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Фотонозои\Обновленная сборка\Rimworld 1.6\ZoologyFramework\checker\"/>
    </mc:Choice>
  </mc:AlternateContent>
  <xr:revisionPtr revIDLastSave="0" documentId="13_ncr:1_{DC2ABB77-8B5E-44EA-AC0B-75F76AF63323}" xr6:coauthVersionLast="47" xr6:coauthVersionMax="47" xr10:uidLastSave="{00000000-0000-0000-0000-000000000000}"/>
  <bookViews>
    <workbookView minimized="1" xWindow="2730" yWindow="795" windowWidth="25440" windowHeight="15405" tabRatio="823" xr2:uid="{6F854AE1-A176-497B-BE52-7B1B2A578D65}"/>
  </bookViews>
  <sheets>
    <sheet name="Bite force" sheetId="17" r:id="rId1"/>
    <sheet name="TeethAdjusters" sheetId="22" r:id="rId2"/>
    <sheet name="BiteAdjusters" sheetId="24" r:id="rId3"/>
    <sheet name="Teeth" sheetId="6" r:id="rId4"/>
    <sheet name="Sharpness" sheetId="18" r:id="rId5"/>
    <sheet name="Limb force" sheetId="19" r:id="rId6"/>
    <sheet name="Force-energy" sheetId="20" r:id="rId7"/>
    <sheet name="Speed" sheetId="21" r:id="rId8"/>
  </sheets>
  <externalReferences>
    <externalReference r:id="rId9"/>
  </externalReferences>
  <definedNames>
    <definedName name="_xlnm._FilterDatabase" localSheetId="3" hidden="1">Teeth!$A$2:$D$221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3" i="17" l="1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32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16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62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D79" i="17"/>
  <c r="B79" i="17"/>
  <c r="G79" i="17" s="1"/>
  <c r="C79" i="17"/>
  <c r="A331" i="22"/>
  <c r="B331" i="22" a="1"/>
  <c r="B331" i="22" s="1"/>
  <c r="A332" i="22"/>
  <c r="B332" i="22" a="1"/>
  <c r="B332" i="22"/>
  <c r="A333" i="22"/>
  <c r="B333" i="22" a="1"/>
  <c r="B333" i="22"/>
  <c r="A334" i="22"/>
  <c r="B334" i="22" a="1"/>
  <c r="B334" i="22"/>
  <c r="A335" i="22"/>
  <c r="B335" i="22" a="1"/>
  <c r="B335" i="22" s="1"/>
  <c r="A336" i="22"/>
  <c r="B336" i="22" a="1"/>
  <c r="B336" i="22" s="1"/>
  <c r="A337" i="22"/>
  <c r="B337" i="22" a="1"/>
  <c r="B337" i="22" s="1"/>
  <c r="A338" i="22"/>
  <c r="B338" i="22" a="1"/>
  <c r="B338" i="22" s="1"/>
  <c r="A339" i="22"/>
  <c r="B339" i="22" a="1"/>
  <c r="B339" i="22" s="1"/>
  <c r="A340" i="22"/>
  <c r="B340" i="22" a="1"/>
  <c r="B340" i="22" s="1"/>
  <c r="A341" i="22"/>
  <c r="B341" i="22" a="1"/>
  <c r="B341" i="22" s="1"/>
  <c r="A342" i="22"/>
  <c r="B342" i="22" a="1"/>
  <c r="B342" i="22" s="1"/>
  <c r="A343" i="22"/>
  <c r="B343" i="22" a="1"/>
  <c r="B343" i="22" s="1"/>
  <c r="A344" i="22"/>
  <c r="B344" i="22" a="1"/>
  <c r="B344" i="22" s="1"/>
  <c r="A345" i="22"/>
  <c r="B345" i="22" a="1"/>
  <c r="B345" i="22" s="1"/>
  <c r="A346" i="22"/>
  <c r="B346" i="22" a="1"/>
  <c r="B346" i="22" s="1"/>
  <c r="A347" i="22"/>
  <c r="B347" i="22" a="1"/>
  <c r="B347" i="22" s="1"/>
  <c r="A348" i="22"/>
  <c r="B348" i="22" a="1"/>
  <c r="B348" i="22" s="1"/>
  <c r="A349" i="22"/>
  <c r="B349" i="22" a="1"/>
  <c r="B349" i="22"/>
  <c r="A350" i="22"/>
  <c r="B350" i="22" a="1"/>
  <c r="B350" i="22" s="1"/>
  <c r="A351" i="22"/>
  <c r="B351" i="22" s="1" a="1"/>
  <c r="B351" i="22" s="1"/>
  <c r="A352" i="22"/>
  <c r="B352" i="22" s="1" a="1"/>
  <c r="B352" i="22" s="1"/>
  <c r="A353" i="22"/>
  <c r="B353" i="22" a="1"/>
  <c r="B353" i="22" s="1"/>
  <c r="A354" i="22"/>
  <c r="B354" i="22" a="1"/>
  <c r="B354" i="22" s="1"/>
  <c r="A355" i="22"/>
  <c r="B355" i="22" a="1"/>
  <c r="B355" i="22"/>
  <c r="A356" i="22"/>
  <c r="B356" i="22" a="1"/>
  <c r="B356" i="22" s="1"/>
  <c r="A357" i="22"/>
  <c r="B357" i="22" s="1" a="1"/>
  <c r="B357" i="22" s="1"/>
  <c r="A358" i="22"/>
  <c r="B358" i="22" s="1" a="1"/>
  <c r="B358" i="22" s="1"/>
  <c r="A359" i="22"/>
  <c r="B359" i="22" a="1"/>
  <c r="B359" i="22" s="1"/>
  <c r="A360" i="22"/>
  <c r="B360" i="22" a="1"/>
  <c r="B360" i="22" s="1"/>
  <c r="A361" i="22"/>
  <c r="B361" i="22" a="1"/>
  <c r="B361" i="22" s="1"/>
  <c r="A331" i="24"/>
  <c r="B331" i="24" s="1"/>
  <c r="A332" i="24"/>
  <c r="B332" i="24" s="1"/>
  <c r="A333" i="24"/>
  <c r="B333" i="24"/>
  <c r="A334" i="24"/>
  <c r="B334" i="24"/>
  <c r="A335" i="24"/>
  <c r="B335" i="24" s="1"/>
  <c r="A336" i="24"/>
  <c r="C336" i="24" s="1" a="1"/>
  <c r="C336" i="24" s="1"/>
  <c r="B336" i="24"/>
  <c r="A337" i="24"/>
  <c r="B337" i="24"/>
  <c r="C337" i="24" a="1"/>
  <c r="C337" i="24" s="1"/>
  <c r="A338" i="24"/>
  <c r="B338" i="24"/>
  <c r="C338" i="24" a="1"/>
  <c r="C338" i="24" s="1"/>
  <c r="A339" i="24"/>
  <c r="C339" i="24" s="1" a="1"/>
  <c r="C339" i="24" s="1"/>
  <c r="B339" i="24"/>
  <c r="A340" i="24"/>
  <c r="B340" i="24"/>
  <c r="C340" i="24" a="1"/>
  <c r="C340" i="24" s="1"/>
  <c r="A341" i="24"/>
  <c r="B341" i="24"/>
  <c r="C341" i="24" a="1"/>
  <c r="C341" i="24" s="1"/>
  <c r="A342" i="24"/>
  <c r="B342" i="24"/>
  <c r="C342" i="24" a="1"/>
  <c r="C342" i="24" s="1"/>
  <c r="A343" i="24"/>
  <c r="B343" i="24"/>
  <c r="C343" i="24" a="1"/>
  <c r="C343" i="24" s="1"/>
  <c r="A344" i="24"/>
  <c r="B344" i="24"/>
  <c r="C344" i="24" a="1"/>
  <c r="C344" i="24" s="1"/>
  <c r="A345" i="24"/>
  <c r="B345" i="24"/>
  <c r="A346" i="24"/>
  <c r="B346" i="24" s="1"/>
  <c r="C346" i="24" a="1"/>
  <c r="C346" i="24" s="1"/>
  <c r="A347" i="24"/>
  <c r="B347" i="24"/>
  <c r="A348" i="24"/>
  <c r="B348" i="24" s="1"/>
  <c r="A349" i="24"/>
  <c r="B349" i="24" s="1"/>
  <c r="A350" i="24"/>
  <c r="B350" i="24" s="1"/>
  <c r="A351" i="24"/>
  <c r="B351" i="24" s="1"/>
  <c r="A352" i="24"/>
  <c r="B352" i="24" s="1"/>
  <c r="A353" i="24"/>
  <c r="B353" i="24" s="1"/>
  <c r="A354" i="24"/>
  <c r="B354" i="24" s="1"/>
  <c r="A355" i="24"/>
  <c r="B355" i="24" s="1"/>
  <c r="A356" i="24"/>
  <c r="B356" i="24" s="1"/>
  <c r="A357" i="24"/>
  <c r="B357" i="24" s="1"/>
  <c r="A358" i="24"/>
  <c r="B358" i="24" s="1"/>
  <c r="A359" i="24"/>
  <c r="B359" i="24" s="1"/>
  <c r="A360" i="24"/>
  <c r="B360" i="24" s="1"/>
  <c r="C360" i="24" a="1"/>
  <c r="C360" i="24" s="1"/>
  <c r="A361" i="24"/>
  <c r="B361" i="24" s="1"/>
  <c r="B330" i="22" a="1"/>
  <c r="B330" i="22" s="1"/>
  <c r="A330" i="22"/>
  <c r="A330" i="24"/>
  <c r="B330" i="24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C167" i="24" s="1" a="1"/>
  <c r="C167" i="24" s="1"/>
  <c r="A168" i="24"/>
  <c r="C168" i="24" s="1" a="1"/>
  <c r="C168" i="24" s="1"/>
  <c r="A169" i="24"/>
  <c r="A170" i="24"/>
  <c r="C170" i="24" s="1" a="1"/>
  <c r="C170" i="24" s="1"/>
  <c r="A171" i="24"/>
  <c r="A172" i="24"/>
  <c r="A173" i="24"/>
  <c r="A174" i="24"/>
  <c r="C174" i="24" s="1" a="1"/>
  <c r="C174" i="24" s="1"/>
  <c r="A175" i="24"/>
  <c r="B175" i="24" s="1"/>
  <c r="A176" i="24"/>
  <c r="C176" i="24" s="1" a="1"/>
  <c r="C176" i="24" s="1"/>
  <c r="A177" i="24"/>
  <c r="A178" i="24"/>
  <c r="A179" i="24"/>
  <c r="A180" i="24"/>
  <c r="A181" i="24"/>
  <c r="A182" i="24"/>
  <c r="B182" i="24" s="1"/>
  <c r="A183" i="24"/>
  <c r="A184" i="24"/>
  <c r="A185" i="24"/>
  <c r="A186" i="24"/>
  <c r="A187" i="24"/>
  <c r="A188" i="24"/>
  <c r="C188" i="24" s="1" a="1"/>
  <c r="C188" i="24" s="1"/>
  <c r="A189" i="24"/>
  <c r="A190" i="24"/>
  <c r="B190" i="24" s="1"/>
  <c r="A191" i="24"/>
  <c r="A192" i="24"/>
  <c r="A193" i="24"/>
  <c r="A194" i="24"/>
  <c r="B194" i="24" s="1"/>
  <c r="A195" i="24"/>
  <c r="A196" i="24"/>
  <c r="A197" i="24"/>
  <c r="A198" i="24"/>
  <c r="A199" i="24"/>
  <c r="A200" i="24"/>
  <c r="A201" i="24"/>
  <c r="A202" i="24"/>
  <c r="B202" i="24" s="1"/>
  <c r="A203" i="24"/>
  <c r="B203" i="24" s="1"/>
  <c r="A204" i="24"/>
  <c r="A205" i="24"/>
  <c r="A206" i="24"/>
  <c r="B206" i="24" s="1"/>
  <c r="A207" i="24"/>
  <c r="A208" i="24"/>
  <c r="A209" i="24"/>
  <c r="A210" i="24"/>
  <c r="A211" i="24"/>
  <c r="A212" i="24"/>
  <c r="A213" i="24"/>
  <c r="A214" i="24"/>
  <c r="B214" i="24" s="1"/>
  <c r="A215" i="24"/>
  <c r="A216" i="24"/>
  <c r="A217" i="24"/>
  <c r="A218" i="24"/>
  <c r="B218" i="24" s="1"/>
  <c r="A219" i="24"/>
  <c r="A220" i="24"/>
  <c r="A221" i="24"/>
  <c r="A222" i="24"/>
  <c r="A223" i="24"/>
  <c r="A224" i="24"/>
  <c r="A225" i="24"/>
  <c r="A226" i="24"/>
  <c r="B226" i="24" s="1"/>
  <c r="A227" i="24"/>
  <c r="A228" i="24"/>
  <c r="A229" i="24"/>
  <c r="A230" i="24"/>
  <c r="B230" i="24" s="1"/>
  <c r="A231" i="24"/>
  <c r="A232" i="24"/>
  <c r="A233" i="24"/>
  <c r="A234" i="24"/>
  <c r="A235" i="24"/>
  <c r="A236" i="24"/>
  <c r="A237" i="24"/>
  <c r="A238" i="24"/>
  <c r="B238" i="24" s="1"/>
  <c r="A239" i="24"/>
  <c r="A240" i="24"/>
  <c r="A241" i="24"/>
  <c r="A242" i="24"/>
  <c r="B242" i="24" s="1"/>
  <c r="A243" i="24"/>
  <c r="A244" i="24"/>
  <c r="A245" i="24"/>
  <c r="A246" i="24"/>
  <c r="A247" i="24"/>
  <c r="A248" i="24"/>
  <c r="A249" i="24"/>
  <c r="A250" i="24"/>
  <c r="B250" i="24" s="1"/>
  <c r="A251" i="24"/>
  <c r="A252" i="24"/>
  <c r="A253" i="24"/>
  <c r="A254" i="24"/>
  <c r="B254" i="24" s="1"/>
  <c r="A255" i="24"/>
  <c r="A256" i="24"/>
  <c r="A257" i="24"/>
  <c r="A258" i="24"/>
  <c r="A259" i="24"/>
  <c r="A260" i="24"/>
  <c r="A261" i="24"/>
  <c r="A262" i="24"/>
  <c r="B262" i="24" s="1"/>
  <c r="A263" i="24"/>
  <c r="A264" i="24"/>
  <c r="A265" i="24"/>
  <c r="A266" i="24"/>
  <c r="B266" i="24" s="1"/>
  <c r="A267" i="24"/>
  <c r="A268" i="24"/>
  <c r="A269" i="24"/>
  <c r="A270" i="24"/>
  <c r="A271" i="24"/>
  <c r="A272" i="24"/>
  <c r="A273" i="24"/>
  <c r="A274" i="24"/>
  <c r="B274" i="24" s="1"/>
  <c r="A275" i="24"/>
  <c r="A276" i="24"/>
  <c r="A277" i="24"/>
  <c r="A278" i="24"/>
  <c r="B278" i="24" s="1"/>
  <c r="A279" i="24"/>
  <c r="A280" i="24"/>
  <c r="A281" i="24"/>
  <c r="A282" i="24"/>
  <c r="A283" i="24"/>
  <c r="A284" i="24"/>
  <c r="A285" i="24"/>
  <c r="A286" i="24"/>
  <c r="B286" i="24" s="1"/>
  <c r="A287" i="24"/>
  <c r="A288" i="24"/>
  <c r="A289" i="24"/>
  <c r="A290" i="24"/>
  <c r="B290" i="24" s="1"/>
  <c r="A291" i="24"/>
  <c r="A292" i="24"/>
  <c r="A293" i="24"/>
  <c r="A294" i="24"/>
  <c r="A295" i="24"/>
  <c r="A296" i="24"/>
  <c r="A297" i="24"/>
  <c r="A298" i="24"/>
  <c r="B298" i="24" s="1"/>
  <c r="A299" i="24"/>
  <c r="A300" i="24"/>
  <c r="A301" i="24"/>
  <c r="A302" i="24"/>
  <c r="B302" i="24" s="1"/>
  <c r="A303" i="24"/>
  <c r="A304" i="24"/>
  <c r="A305" i="24"/>
  <c r="A306" i="24"/>
  <c r="A307" i="24"/>
  <c r="A308" i="24"/>
  <c r="A309" i="24"/>
  <c r="A310" i="24"/>
  <c r="B310" i="24" s="1"/>
  <c r="A311" i="24"/>
  <c r="A312" i="24"/>
  <c r="A313" i="24"/>
  <c r="A314" i="24"/>
  <c r="B314" i="24" s="1"/>
  <c r="A315" i="24"/>
  <c r="A316" i="24"/>
  <c r="A317" i="24"/>
  <c r="A318" i="24"/>
  <c r="A319" i="24"/>
  <c r="A320" i="24"/>
  <c r="A321" i="24"/>
  <c r="A322" i="24"/>
  <c r="B322" i="24" s="1"/>
  <c r="A323" i="24"/>
  <c r="A324" i="24"/>
  <c r="A325" i="24"/>
  <c r="A326" i="24"/>
  <c r="B326" i="24" s="1"/>
  <c r="A327" i="24"/>
  <c r="A328" i="24"/>
  <c r="A329" i="24"/>
  <c r="A2" i="24"/>
  <c r="A167" i="22"/>
  <c r="B167" i="22" a="1"/>
  <c r="B167" i="22" s="1"/>
  <c r="A168" i="22"/>
  <c r="B168" i="22" s="1" a="1"/>
  <c r="B168" i="22" s="1"/>
  <c r="A169" i="22"/>
  <c r="B169" i="22" s="1" a="1"/>
  <c r="B169" i="22" s="1"/>
  <c r="A170" i="22"/>
  <c r="B170" i="22" a="1"/>
  <c r="B170" i="22" s="1"/>
  <c r="A171" i="22"/>
  <c r="B171" i="22" a="1"/>
  <c r="B171" i="22" s="1"/>
  <c r="A172" i="22"/>
  <c r="B172" i="22" a="1"/>
  <c r="B172" i="22" s="1"/>
  <c r="A173" i="22"/>
  <c r="B173" i="22" a="1"/>
  <c r="B173" i="22" s="1"/>
  <c r="A174" i="22"/>
  <c r="B174" i="22" a="1"/>
  <c r="B174" i="22" s="1"/>
  <c r="A175" i="22"/>
  <c r="B175" i="22" s="1" a="1"/>
  <c r="B175" i="22" s="1"/>
  <c r="A176" i="22"/>
  <c r="B176" i="22" a="1"/>
  <c r="B176" i="22" s="1"/>
  <c r="A177" i="22"/>
  <c r="B177" i="22" a="1"/>
  <c r="B177" i="22" s="1"/>
  <c r="A178" i="22"/>
  <c r="B178" i="22" a="1"/>
  <c r="B178" i="22" s="1"/>
  <c r="A179" i="22"/>
  <c r="B179" i="22" a="1"/>
  <c r="B179" i="22" s="1"/>
  <c r="A180" i="22"/>
  <c r="B180" i="22" a="1"/>
  <c r="B180" i="22" s="1"/>
  <c r="A181" i="22"/>
  <c r="B181" i="22" s="1" a="1"/>
  <c r="B181" i="22" s="1"/>
  <c r="A182" i="22"/>
  <c r="B182" i="22" a="1"/>
  <c r="B182" i="22" s="1"/>
  <c r="A183" i="22"/>
  <c r="B183" i="22" a="1"/>
  <c r="B183" i="22" s="1"/>
  <c r="A184" i="22"/>
  <c r="B184" i="22" a="1"/>
  <c r="B184" i="22" s="1"/>
  <c r="A185" i="22"/>
  <c r="B185" i="22" a="1"/>
  <c r="B185" i="22" s="1"/>
  <c r="A186" i="22"/>
  <c r="B186" i="22" a="1"/>
  <c r="B186" i="22" s="1"/>
  <c r="A187" i="22"/>
  <c r="B187" i="22" s="1" a="1"/>
  <c r="B187" i="22" s="1"/>
  <c r="A188" i="22"/>
  <c r="B188" i="22" a="1"/>
  <c r="B188" i="22" s="1"/>
  <c r="A189" i="22"/>
  <c r="B189" i="22" a="1"/>
  <c r="B189" i="22" s="1"/>
  <c r="A190" i="22"/>
  <c r="B190" i="22" a="1"/>
  <c r="B190" i="22" s="1"/>
  <c r="A191" i="22"/>
  <c r="B191" i="22" a="1"/>
  <c r="B191" i="22" s="1"/>
  <c r="A192" i="22"/>
  <c r="B192" i="22" a="1"/>
  <c r="B192" i="22" s="1"/>
  <c r="A193" i="22"/>
  <c r="B193" i="22" s="1" a="1"/>
  <c r="B193" i="22" s="1"/>
  <c r="A194" i="22"/>
  <c r="B194" i="22" a="1"/>
  <c r="B194" i="22" s="1"/>
  <c r="A195" i="22"/>
  <c r="B195" i="22" a="1"/>
  <c r="B195" i="22" s="1"/>
  <c r="A196" i="22"/>
  <c r="B196" i="22" a="1"/>
  <c r="B196" i="22" s="1"/>
  <c r="A197" i="22"/>
  <c r="B197" i="22" a="1"/>
  <c r="B197" i="22" s="1"/>
  <c r="A198" i="22"/>
  <c r="B198" i="22" a="1"/>
  <c r="B198" i="22" s="1"/>
  <c r="A199" i="22"/>
  <c r="B199" i="22" a="1"/>
  <c r="B199" i="22" s="1"/>
  <c r="A200" i="22"/>
  <c r="B200" i="22" a="1"/>
  <c r="B200" i="22" s="1"/>
  <c r="A201" i="22"/>
  <c r="B201" i="22" a="1"/>
  <c r="B201" i="22" s="1"/>
  <c r="A202" i="22"/>
  <c r="B202" i="22" a="1"/>
  <c r="B202" i="22" s="1"/>
  <c r="A203" i="22"/>
  <c r="B203" i="22" a="1"/>
  <c r="B203" i="22" s="1"/>
  <c r="A204" i="22"/>
  <c r="B204" i="22" a="1"/>
  <c r="B204" i="22" s="1"/>
  <c r="A205" i="22"/>
  <c r="B205" i="22" a="1"/>
  <c r="B205" i="22" s="1"/>
  <c r="A206" i="22"/>
  <c r="B206" i="22" a="1"/>
  <c r="B206" i="22" s="1"/>
  <c r="A207" i="22"/>
  <c r="B207" i="22" a="1"/>
  <c r="B207" i="22" s="1"/>
  <c r="A208" i="22"/>
  <c r="B208" i="22" a="1"/>
  <c r="B208" i="22" s="1"/>
  <c r="A209" i="22"/>
  <c r="B209" i="22" a="1"/>
  <c r="B209" i="22" s="1"/>
  <c r="A210" i="22"/>
  <c r="B210" i="22" a="1"/>
  <c r="B210" i="22" s="1"/>
  <c r="A211" i="22"/>
  <c r="B211" i="22" a="1"/>
  <c r="B211" i="22" s="1"/>
  <c r="A212" i="22"/>
  <c r="B212" i="22" a="1"/>
  <c r="B212" i="22" s="1"/>
  <c r="A213" i="22"/>
  <c r="B213" i="22" a="1"/>
  <c r="B213" i="22" s="1"/>
  <c r="A214" i="22"/>
  <c r="B214" i="22" a="1"/>
  <c r="B214" i="22" s="1"/>
  <c r="A215" i="22"/>
  <c r="B215" i="22" a="1"/>
  <c r="B215" i="22" s="1"/>
  <c r="A216" i="22"/>
  <c r="B216" i="22" a="1"/>
  <c r="B216" i="22" s="1"/>
  <c r="A217" i="22"/>
  <c r="B217" i="22" a="1"/>
  <c r="B217" i="22" s="1"/>
  <c r="A218" i="22"/>
  <c r="B218" i="22" a="1"/>
  <c r="B218" i="22" s="1"/>
  <c r="A219" i="22"/>
  <c r="B219" i="22" a="1"/>
  <c r="B219" i="22" s="1"/>
  <c r="A220" i="22"/>
  <c r="B220" i="22" a="1"/>
  <c r="B220" i="22" s="1"/>
  <c r="A221" i="22"/>
  <c r="B221" i="22" a="1"/>
  <c r="B221" i="22" s="1"/>
  <c r="A222" i="22"/>
  <c r="B222" i="22" a="1"/>
  <c r="B222" i="22" s="1"/>
  <c r="A223" i="22"/>
  <c r="B223" i="22" a="1"/>
  <c r="B223" i="22" s="1"/>
  <c r="A224" i="22"/>
  <c r="B224" i="22" a="1"/>
  <c r="B224" i="22" s="1"/>
  <c r="A225" i="22"/>
  <c r="B225" i="22" a="1"/>
  <c r="B225" i="22" s="1"/>
  <c r="A226" i="22"/>
  <c r="B226" i="22" a="1"/>
  <c r="B226" i="22" s="1"/>
  <c r="A227" i="22"/>
  <c r="B227" i="22" a="1"/>
  <c r="B227" i="22" s="1"/>
  <c r="A228" i="22"/>
  <c r="B228" i="22" a="1"/>
  <c r="B228" i="22" s="1"/>
  <c r="A229" i="22"/>
  <c r="B229" i="22" a="1"/>
  <c r="B229" i="22" s="1"/>
  <c r="A230" i="22"/>
  <c r="B230" i="22" a="1"/>
  <c r="B230" i="22" s="1"/>
  <c r="A231" i="22"/>
  <c r="B231" i="22" a="1"/>
  <c r="B231" i="22" s="1"/>
  <c r="A232" i="22"/>
  <c r="B232" i="22" a="1"/>
  <c r="B232" i="22" s="1"/>
  <c r="A233" i="22"/>
  <c r="B233" i="22" a="1"/>
  <c r="B233" i="22" s="1"/>
  <c r="A234" i="22"/>
  <c r="B234" i="22" a="1"/>
  <c r="B234" i="22" s="1"/>
  <c r="A235" i="22"/>
  <c r="B235" i="22" a="1"/>
  <c r="B235" i="22" s="1"/>
  <c r="A236" i="22"/>
  <c r="B236" i="22" a="1"/>
  <c r="B236" i="22" s="1"/>
  <c r="A237" i="22"/>
  <c r="B237" i="22" a="1"/>
  <c r="B237" i="22" s="1"/>
  <c r="A238" i="22"/>
  <c r="B238" i="22" a="1"/>
  <c r="B238" i="22" s="1"/>
  <c r="A239" i="22"/>
  <c r="B239" i="22" a="1"/>
  <c r="B239" i="22" s="1"/>
  <c r="A240" i="22"/>
  <c r="B240" i="22" a="1"/>
  <c r="B240" i="22" s="1"/>
  <c r="A241" i="22"/>
  <c r="B241" i="22" a="1"/>
  <c r="B241" i="22" s="1"/>
  <c r="A242" i="22"/>
  <c r="B242" i="22" a="1"/>
  <c r="B242" i="22" s="1"/>
  <c r="A243" i="22"/>
  <c r="B243" i="22" a="1"/>
  <c r="B243" i="22" s="1"/>
  <c r="A244" i="22"/>
  <c r="B244" i="22" a="1"/>
  <c r="B244" i="22" s="1"/>
  <c r="A245" i="22"/>
  <c r="B245" i="22" a="1"/>
  <c r="B245" i="22" s="1"/>
  <c r="A246" i="22"/>
  <c r="B246" i="22" a="1"/>
  <c r="B246" i="22" s="1"/>
  <c r="A247" i="22"/>
  <c r="B247" i="22" a="1"/>
  <c r="B247" i="22" s="1"/>
  <c r="A248" i="22"/>
  <c r="B248" i="22" a="1"/>
  <c r="B248" i="22" s="1"/>
  <c r="A249" i="22"/>
  <c r="B249" i="22" a="1"/>
  <c r="B249" i="22" s="1"/>
  <c r="A250" i="22"/>
  <c r="B250" i="22" a="1"/>
  <c r="B250" i="22" s="1"/>
  <c r="A251" i="22"/>
  <c r="B251" i="22" a="1"/>
  <c r="B251" i="22" s="1"/>
  <c r="A252" i="22"/>
  <c r="B252" i="22" a="1"/>
  <c r="B252" i="22" s="1"/>
  <c r="A253" i="22"/>
  <c r="B253" i="22" a="1"/>
  <c r="B253" i="22" s="1"/>
  <c r="A254" i="22"/>
  <c r="B254" i="22" a="1"/>
  <c r="B254" i="22" s="1"/>
  <c r="A255" i="22"/>
  <c r="B255" i="22" a="1"/>
  <c r="B255" i="22" s="1"/>
  <c r="A256" i="22"/>
  <c r="B256" i="22" a="1"/>
  <c r="B256" i="22" s="1"/>
  <c r="A257" i="22"/>
  <c r="B257" i="22" a="1"/>
  <c r="B257" i="22" s="1"/>
  <c r="A258" i="22"/>
  <c r="B258" i="22" a="1"/>
  <c r="B258" i="22" s="1"/>
  <c r="A259" i="22"/>
  <c r="B259" i="22" a="1"/>
  <c r="B259" i="22" s="1"/>
  <c r="A260" i="22"/>
  <c r="B260" i="22" a="1"/>
  <c r="B260" i="22" s="1"/>
  <c r="A261" i="22"/>
  <c r="B261" i="22" a="1"/>
  <c r="B261" i="22" s="1"/>
  <c r="A262" i="22"/>
  <c r="B262" i="22" a="1"/>
  <c r="B262" i="22" s="1"/>
  <c r="A263" i="22"/>
  <c r="B263" i="22" a="1"/>
  <c r="B263" i="22" s="1"/>
  <c r="A264" i="22"/>
  <c r="B264" i="22" a="1"/>
  <c r="B264" i="22" s="1"/>
  <c r="A265" i="22"/>
  <c r="B265" i="22" a="1"/>
  <c r="B265" i="22" s="1"/>
  <c r="A266" i="22"/>
  <c r="B266" i="22" a="1"/>
  <c r="B266" i="22" s="1"/>
  <c r="A267" i="22"/>
  <c r="B267" i="22" a="1"/>
  <c r="B267" i="22" s="1"/>
  <c r="A268" i="22"/>
  <c r="B268" i="22" a="1"/>
  <c r="B268" i="22" s="1"/>
  <c r="A269" i="22"/>
  <c r="B269" i="22" a="1"/>
  <c r="B269" i="22" s="1"/>
  <c r="A270" i="22"/>
  <c r="B270" i="22" a="1"/>
  <c r="B270" i="22" s="1"/>
  <c r="A271" i="22"/>
  <c r="B271" i="22" a="1"/>
  <c r="B271" i="22" s="1"/>
  <c r="A272" i="22"/>
  <c r="B272" i="22" a="1"/>
  <c r="B272" i="22" s="1"/>
  <c r="A273" i="22"/>
  <c r="B273" i="22" a="1"/>
  <c r="B273" i="22" s="1"/>
  <c r="A274" i="22"/>
  <c r="B274" i="22" a="1"/>
  <c r="B274" i="22" s="1"/>
  <c r="A275" i="22"/>
  <c r="B275" i="22" a="1"/>
  <c r="B275" i="22" s="1"/>
  <c r="A276" i="22"/>
  <c r="B276" i="22" a="1"/>
  <c r="B276" i="22" s="1"/>
  <c r="A277" i="22"/>
  <c r="B277" i="22" a="1"/>
  <c r="B277" i="22" s="1"/>
  <c r="A278" i="22"/>
  <c r="B278" i="22" a="1"/>
  <c r="B278" i="22" s="1"/>
  <c r="A279" i="22"/>
  <c r="B279" i="22" a="1"/>
  <c r="B279" i="22" s="1"/>
  <c r="A280" i="22"/>
  <c r="B280" i="22" a="1"/>
  <c r="B280" i="22" s="1"/>
  <c r="A281" i="22"/>
  <c r="B281" i="22" a="1"/>
  <c r="B281" i="22" s="1"/>
  <c r="A282" i="22"/>
  <c r="B282" i="22" a="1"/>
  <c r="B282" i="22" s="1"/>
  <c r="A283" i="22"/>
  <c r="B283" i="22" a="1"/>
  <c r="B283" i="22" s="1"/>
  <c r="A284" i="22"/>
  <c r="B284" i="22" a="1"/>
  <c r="B284" i="22" s="1"/>
  <c r="A285" i="22"/>
  <c r="B285" i="22" a="1"/>
  <c r="B285" i="22" s="1"/>
  <c r="A286" i="22"/>
  <c r="B286" i="22" a="1"/>
  <c r="B286" i="22" s="1"/>
  <c r="A287" i="22"/>
  <c r="B287" i="22" a="1"/>
  <c r="B287" i="22" s="1"/>
  <c r="A288" i="22"/>
  <c r="B288" i="22" a="1"/>
  <c r="B288" i="22" s="1"/>
  <c r="A289" i="22"/>
  <c r="B289" i="22" a="1"/>
  <c r="B289" i="22" s="1"/>
  <c r="A290" i="22"/>
  <c r="B290" i="22" a="1"/>
  <c r="B290" i="22" s="1"/>
  <c r="A291" i="22"/>
  <c r="B291" i="22" a="1"/>
  <c r="B291" i="22" s="1"/>
  <c r="A292" i="22"/>
  <c r="B292" i="22" a="1"/>
  <c r="B292" i="22" s="1"/>
  <c r="A293" i="22"/>
  <c r="B293" i="22" a="1"/>
  <c r="B293" i="22" s="1"/>
  <c r="A294" i="22"/>
  <c r="B294" i="22" a="1"/>
  <c r="B294" i="22" s="1"/>
  <c r="A295" i="22"/>
  <c r="B295" i="22" a="1"/>
  <c r="B295" i="22" s="1"/>
  <c r="A296" i="22"/>
  <c r="B296" i="22" a="1"/>
  <c r="B296" i="22" s="1"/>
  <c r="A297" i="22"/>
  <c r="B297" i="22" a="1"/>
  <c r="B297" i="22" s="1"/>
  <c r="A298" i="22"/>
  <c r="B298" i="22" a="1"/>
  <c r="B298" i="22" s="1"/>
  <c r="A299" i="22"/>
  <c r="B299" i="22" a="1"/>
  <c r="B299" i="22" s="1"/>
  <c r="A300" i="22"/>
  <c r="B300" i="22" a="1"/>
  <c r="B300" i="22" s="1"/>
  <c r="A301" i="22"/>
  <c r="B301" i="22" a="1"/>
  <c r="B301" i="22" s="1"/>
  <c r="A302" i="22"/>
  <c r="B302" i="22" a="1"/>
  <c r="B302" i="22" s="1"/>
  <c r="A303" i="22"/>
  <c r="B303" i="22" a="1"/>
  <c r="B303" i="22" s="1"/>
  <c r="A304" i="22"/>
  <c r="B304" i="22" a="1"/>
  <c r="B304" i="22" s="1"/>
  <c r="A305" i="22"/>
  <c r="B305" i="22" a="1"/>
  <c r="B305" i="22" s="1"/>
  <c r="A306" i="22"/>
  <c r="B306" i="22" a="1"/>
  <c r="B306" i="22" s="1"/>
  <c r="A307" i="22"/>
  <c r="B307" i="22" a="1"/>
  <c r="B307" i="22" s="1"/>
  <c r="A308" i="22"/>
  <c r="B308" i="22" a="1"/>
  <c r="B308" i="22" s="1"/>
  <c r="A309" i="22"/>
  <c r="B309" i="22" a="1"/>
  <c r="B309" i="22" s="1"/>
  <c r="A310" i="22"/>
  <c r="B310" i="22" a="1"/>
  <c r="B310" i="22" s="1"/>
  <c r="A311" i="22"/>
  <c r="B311" i="22" a="1"/>
  <c r="B311" i="22" s="1"/>
  <c r="A312" i="22"/>
  <c r="B312" i="22" a="1"/>
  <c r="B312" i="22" s="1"/>
  <c r="A313" i="22"/>
  <c r="B313" i="22" a="1"/>
  <c r="B313" i="22" s="1"/>
  <c r="A314" i="22"/>
  <c r="B314" i="22" a="1"/>
  <c r="B314" i="22" s="1"/>
  <c r="A315" i="22"/>
  <c r="B315" i="22" a="1"/>
  <c r="B315" i="22" s="1"/>
  <c r="A316" i="22"/>
  <c r="B316" i="22" a="1"/>
  <c r="B316" i="22" s="1"/>
  <c r="A317" i="22"/>
  <c r="B317" i="22" a="1"/>
  <c r="B317" i="22" s="1"/>
  <c r="A318" i="22"/>
  <c r="B318" i="22" a="1"/>
  <c r="B318" i="22" s="1"/>
  <c r="A319" i="22"/>
  <c r="B319" i="22" a="1"/>
  <c r="B319" i="22" s="1"/>
  <c r="A320" i="22"/>
  <c r="B320" i="22" a="1"/>
  <c r="B320" i="22" s="1"/>
  <c r="A321" i="22"/>
  <c r="B321" i="22" a="1"/>
  <c r="B321" i="22" s="1"/>
  <c r="A322" i="22"/>
  <c r="B322" i="22" a="1"/>
  <c r="B322" i="22" s="1"/>
  <c r="A323" i="22"/>
  <c r="B323" i="22" a="1"/>
  <c r="B323" i="22" s="1"/>
  <c r="A324" i="22"/>
  <c r="B324" i="22" a="1"/>
  <c r="B324" i="22" s="1"/>
  <c r="A325" i="22"/>
  <c r="B325" i="22" a="1"/>
  <c r="B325" i="22" s="1"/>
  <c r="A326" i="22"/>
  <c r="B326" i="22" a="1"/>
  <c r="B326" i="22" s="1"/>
  <c r="A327" i="22"/>
  <c r="B327" i="22" a="1"/>
  <c r="B327" i="22" s="1"/>
  <c r="A328" i="22"/>
  <c r="B328" i="22" a="1"/>
  <c r="B328" i="22" s="1"/>
  <c r="A329" i="22"/>
  <c r="B329" i="22" a="1"/>
  <c r="B329" i="22" s="1"/>
  <c r="A166" i="22"/>
  <c r="C180" i="24" a="1"/>
  <c r="C180" i="24" s="1"/>
  <c r="C179" i="24" a="1"/>
  <c r="C179" i="24" s="1"/>
  <c r="B167" i="24"/>
  <c r="B168" i="24"/>
  <c r="B169" i="24"/>
  <c r="C169" i="24" a="1"/>
  <c r="C169" i="24" s="1"/>
  <c r="B170" i="24"/>
  <c r="B171" i="24"/>
  <c r="C171" i="24" a="1"/>
  <c r="C171" i="24" s="1"/>
  <c r="B172" i="24"/>
  <c r="C172" i="24" a="1"/>
  <c r="C172" i="24" s="1"/>
  <c r="B173" i="24"/>
  <c r="B174" i="24"/>
  <c r="B176" i="24"/>
  <c r="B177" i="24"/>
  <c r="C177" i="24" a="1"/>
  <c r="C177" i="24" s="1"/>
  <c r="B178" i="24"/>
  <c r="C178" i="24" a="1"/>
  <c r="C178" i="24" s="1"/>
  <c r="B179" i="24"/>
  <c r="B180" i="24"/>
  <c r="B181" i="24"/>
  <c r="C182" i="24" a="1"/>
  <c r="C182" i="24" s="1"/>
  <c r="B183" i="24"/>
  <c r="C183" i="24" a="1"/>
  <c r="C183" i="24" s="1"/>
  <c r="B184" i="24"/>
  <c r="C184" i="24" a="1"/>
  <c r="C184" i="24" s="1"/>
  <c r="B185" i="24"/>
  <c r="C185" i="24" a="1"/>
  <c r="C185" i="24" s="1"/>
  <c r="B186" i="24"/>
  <c r="B187" i="24"/>
  <c r="B188" i="24"/>
  <c r="B189" i="24"/>
  <c r="C190" i="24" a="1"/>
  <c r="C190" i="24" s="1"/>
  <c r="B191" i="24"/>
  <c r="B192" i="24"/>
  <c r="C192" i="24" a="1"/>
  <c r="C192" i="24" s="1"/>
  <c r="B193" i="24"/>
  <c r="C193" i="24" a="1"/>
  <c r="C193" i="24" s="1"/>
  <c r="C194" i="24" a="1"/>
  <c r="C194" i="24" s="1"/>
  <c r="B195" i="24"/>
  <c r="C195" i="24" a="1"/>
  <c r="C195" i="24" s="1"/>
  <c r="B196" i="24"/>
  <c r="C196" i="24" a="1"/>
  <c r="C196" i="24" s="1"/>
  <c r="B197" i="24"/>
  <c r="C197" i="24" a="1"/>
  <c r="C197" i="24" s="1"/>
  <c r="B198" i="24"/>
  <c r="C198" i="24" a="1"/>
  <c r="C198" i="24" s="1"/>
  <c r="B199" i="24"/>
  <c r="C199" i="24" a="1"/>
  <c r="C199" i="24" s="1"/>
  <c r="B200" i="24"/>
  <c r="C200" i="24" a="1"/>
  <c r="C200" i="24" s="1"/>
  <c r="B201" i="24"/>
  <c r="C201" i="24" a="1"/>
  <c r="C201" i="24" s="1"/>
  <c r="C202" i="24" a="1"/>
  <c r="C202" i="24" s="1"/>
  <c r="C203" i="24" a="1"/>
  <c r="C203" i="24" s="1"/>
  <c r="B204" i="24"/>
  <c r="C204" i="24" a="1"/>
  <c r="C204" i="24" s="1"/>
  <c r="B205" i="24"/>
  <c r="C205" i="24" a="1"/>
  <c r="C205" i="24" s="1"/>
  <c r="B207" i="24"/>
  <c r="C207" i="24" a="1"/>
  <c r="C207" i="24" s="1"/>
  <c r="B208" i="24"/>
  <c r="C208" i="24" a="1"/>
  <c r="C208" i="24" s="1"/>
  <c r="B209" i="24"/>
  <c r="C209" i="24" a="1"/>
  <c r="C209" i="24" s="1"/>
  <c r="B210" i="24"/>
  <c r="C210" i="24" a="1"/>
  <c r="C210" i="24" s="1"/>
  <c r="B211" i="24"/>
  <c r="C211" i="24" a="1"/>
  <c r="C211" i="24" s="1"/>
  <c r="B212" i="24"/>
  <c r="C212" i="24" a="1"/>
  <c r="C212" i="24" s="1"/>
  <c r="B213" i="24"/>
  <c r="C213" i="24" a="1"/>
  <c r="C213" i="24" s="1"/>
  <c r="C214" i="24" a="1"/>
  <c r="C214" i="24" s="1"/>
  <c r="B215" i="24"/>
  <c r="C215" i="24" a="1"/>
  <c r="C215" i="24" s="1"/>
  <c r="B216" i="24"/>
  <c r="C216" i="24" a="1"/>
  <c r="C216" i="24" s="1"/>
  <c r="B217" i="24"/>
  <c r="C217" i="24" a="1"/>
  <c r="C217" i="24" s="1"/>
  <c r="C218" i="24" a="1"/>
  <c r="C218" i="24" s="1"/>
  <c r="B219" i="24"/>
  <c r="C219" i="24" a="1"/>
  <c r="C219" i="24" s="1"/>
  <c r="B220" i="24"/>
  <c r="C220" i="24" a="1"/>
  <c r="C220" i="24" s="1"/>
  <c r="B221" i="24"/>
  <c r="C221" i="24" a="1"/>
  <c r="C221" i="24" s="1"/>
  <c r="B222" i="24"/>
  <c r="C222" i="24" a="1"/>
  <c r="C222" i="24" s="1"/>
  <c r="B223" i="24"/>
  <c r="C223" i="24" a="1"/>
  <c r="C223" i="24" s="1"/>
  <c r="B224" i="24"/>
  <c r="C224" i="24" a="1"/>
  <c r="C224" i="24" s="1"/>
  <c r="B225" i="24"/>
  <c r="C225" i="24" a="1"/>
  <c r="C225" i="24" s="1"/>
  <c r="C226" i="24" a="1"/>
  <c r="C226" i="24" s="1"/>
  <c r="B227" i="24"/>
  <c r="C227" i="24" a="1"/>
  <c r="C227" i="24" s="1"/>
  <c r="B228" i="24"/>
  <c r="C228" i="24" a="1"/>
  <c r="C228" i="24" s="1"/>
  <c r="B229" i="24"/>
  <c r="C229" i="24" a="1"/>
  <c r="C229" i="24" s="1"/>
  <c r="C230" i="24" a="1"/>
  <c r="C230" i="24" s="1"/>
  <c r="B231" i="24"/>
  <c r="C231" i="24" a="1"/>
  <c r="C231" i="24" s="1"/>
  <c r="B232" i="24"/>
  <c r="C232" i="24" a="1"/>
  <c r="C232" i="24" s="1"/>
  <c r="B233" i="24"/>
  <c r="C233" i="24" a="1"/>
  <c r="C233" i="24" s="1"/>
  <c r="B234" i="24"/>
  <c r="C234" i="24" a="1"/>
  <c r="C234" i="24" s="1"/>
  <c r="B235" i="24"/>
  <c r="C235" i="24" a="1"/>
  <c r="C235" i="24" s="1"/>
  <c r="B236" i="24"/>
  <c r="C236" i="24" a="1"/>
  <c r="C236" i="24" s="1"/>
  <c r="B237" i="24"/>
  <c r="C237" i="24" a="1"/>
  <c r="C237" i="24" s="1"/>
  <c r="C238" i="24" a="1"/>
  <c r="C238" i="24" s="1"/>
  <c r="B239" i="24"/>
  <c r="C239" i="24" a="1"/>
  <c r="C239" i="24" s="1"/>
  <c r="B240" i="24"/>
  <c r="C240" i="24" a="1"/>
  <c r="C240" i="24" s="1"/>
  <c r="B241" i="24"/>
  <c r="C241" i="24" a="1"/>
  <c r="C241" i="24" s="1"/>
  <c r="C242" i="24" a="1"/>
  <c r="C242" i="24" s="1"/>
  <c r="B243" i="24"/>
  <c r="C243" i="24" a="1"/>
  <c r="C243" i="24" s="1"/>
  <c r="B244" i="24"/>
  <c r="C244" i="24" a="1"/>
  <c r="C244" i="24" s="1"/>
  <c r="B245" i="24"/>
  <c r="C245" i="24" a="1"/>
  <c r="C245" i="24" s="1"/>
  <c r="B246" i="24"/>
  <c r="C246" i="24" a="1"/>
  <c r="C246" i="24" s="1"/>
  <c r="B247" i="24"/>
  <c r="C247" i="24" a="1"/>
  <c r="C247" i="24" s="1"/>
  <c r="B248" i="24"/>
  <c r="C248" i="24" a="1"/>
  <c r="C248" i="24" s="1"/>
  <c r="B249" i="24"/>
  <c r="C249" i="24" a="1"/>
  <c r="C249" i="24" s="1"/>
  <c r="C250" i="24" a="1"/>
  <c r="C250" i="24" s="1"/>
  <c r="B251" i="24"/>
  <c r="C251" i="24" a="1"/>
  <c r="C251" i="24" s="1"/>
  <c r="B252" i="24"/>
  <c r="C252" i="24" a="1"/>
  <c r="C252" i="24" s="1"/>
  <c r="B253" i="24"/>
  <c r="C253" i="24" a="1"/>
  <c r="C253" i="24" s="1"/>
  <c r="C254" i="24" a="1"/>
  <c r="C254" i="24" s="1"/>
  <c r="B255" i="24"/>
  <c r="C255" i="24" a="1"/>
  <c r="C255" i="24" s="1"/>
  <c r="B256" i="24"/>
  <c r="C256" i="24" a="1"/>
  <c r="C256" i="24" s="1"/>
  <c r="B257" i="24"/>
  <c r="C257" i="24" a="1"/>
  <c r="C257" i="24" s="1"/>
  <c r="B258" i="24"/>
  <c r="C258" i="24" a="1"/>
  <c r="C258" i="24" s="1"/>
  <c r="B259" i="24"/>
  <c r="C259" i="24" a="1"/>
  <c r="C259" i="24" s="1"/>
  <c r="B260" i="24"/>
  <c r="C260" i="24" a="1"/>
  <c r="C260" i="24" s="1"/>
  <c r="B261" i="24"/>
  <c r="C261" i="24" a="1"/>
  <c r="C261" i="24" s="1"/>
  <c r="C262" i="24" a="1"/>
  <c r="C262" i="24" s="1"/>
  <c r="B263" i="24"/>
  <c r="C263" i="24" a="1"/>
  <c r="C263" i="24" s="1"/>
  <c r="B264" i="24"/>
  <c r="C264" i="24" a="1"/>
  <c r="C264" i="24" s="1"/>
  <c r="B265" i="24"/>
  <c r="C265" i="24" a="1"/>
  <c r="C265" i="24" s="1"/>
  <c r="C266" i="24" a="1"/>
  <c r="C266" i="24" s="1"/>
  <c r="B267" i="24"/>
  <c r="C267" i="24" a="1"/>
  <c r="C267" i="24" s="1"/>
  <c r="B268" i="24"/>
  <c r="C268" i="24" a="1"/>
  <c r="C268" i="24" s="1"/>
  <c r="B269" i="24"/>
  <c r="C269" i="24" a="1"/>
  <c r="C269" i="24" s="1"/>
  <c r="B270" i="24"/>
  <c r="C270" i="24" a="1"/>
  <c r="C270" i="24" s="1"/>
  <c r="B271" i="24"/>
  <c r="C271" i="24" a="1"/>
  <c r="C271" i="24" s="1"/>
  <c r="B272" i="24"/>
  <c r="C272" i="24" a="1"/>
  <c r="C272" i="24" s="1"/>
  <c r="B273" i="24"/>
  <c r="C273" i="24" a="1"/>
  <c r="C273" i="24" s="1"/>
  <c r="C274" i="24" a="1"/>
  <c r="C274" i="24" s="1"/>
  <c r="B275" i="24"/>
  <c r="C275" i="24" a="1"/>
  <c r="C275" i="24" s="1"/>
  <c r="B276" i="24"/>
  <c r="C276" i="24" a="1"/>
  <c r="C276" i="24" s="1"/>
  <c r="B277" i="24"/>
  <c r="C277" i="24" a="1"/>
  <c r="C277" i="24" s="1"/>
  <c r="B279" i="24"/>
  <c r="B280" i="24"/>
  <c r="C280" i="24" a="1"/>
  <c r="C280" i="24" s="1"/>
  <c r="B281" i="24"/>
  <c r="C281" i="24" a="1"/>
  <c r="C281" i="24" s="1"/>
  <c r="B282" i="24"/>
  <c r="C282" i="24" a="1"/>
  <c r="C282" i="24" s="1"/>
  <c r="B283" i="24"/>
  <c r="B284" i="24"/>
  <c r="C284" i="24" a="1"/>
  <c r="C284" i="24" s="1"/>
  <c r="B285" i="24"/>
  <c r="C285" i="24" a="1"/>
  <c r="C285" i="24" s="1"/>
  <c r="C286" i="24" a="1"/>
  <c r="C286" i="24" s="1"/>
  <c r="B287" i="24"/>
  <c r="B288" i="24"/>
  <c r="B289" i="24"/>
  <c r="C290" i="24" a="1"/>
  <c r="C290" i="24" s="1"/>
  <c r="B291" i="24"/>
  <c r="C291" i="24" a="1"/>
  <c r="C291" i="24" s="1"/>
  <c r="B292" i="24"/>
  <c r="C292" i="24" a="1"/>
  <c r="C292" i="24" s="1"/>
  <c r="B293" i="24"/>
  <c r="C293" i="24" a="1"/>
  <c r="C293" i="24" s="1"/>
  <c r="B294" i="24"/>
  <c r="C294" i="24" a="1"/>
  <c r="C294" i="24" s="1"/>
  <c r="B295" i="24"/>
  <c r="C295" i="24" a="1"/>
  <c r="C295" i="24" s="1"/>
  <c r="B296" i="24"/>
  <c r="C296" i="24" a="1"/>
  <c r="C296" i="24" s="1"/>
  <c r="B297" i="24"/>
  <c r="C297" i="24" a="1"/>
  <c r="C297" i="24" s="1"/>
  <c r="C298" i="24" a="1"/>
  <c r="C298" i="24" s="1"/>
  <c r="B299" i="24"/>
  <c r="C299" i="24" a="1"/>
  <c r="C299" i="24" s="1"/>
  <c r="B300" i="24"/>
  <c r="C300" i="24" a="1"/>
  <c r="C300" i="24" s="1"/>
  <c r="B301" i="24"/>
  <c r="C302" i="24" a="1"/>
  <c r="C302" i="24" s="1"/>
  <c r="B303" i="24"/>
  <c r="C303" i="24" a="1"/>
  <c r="C303" i="24" s="1"/>
  <c r="B304" i="24"/>
  <c r="C304" i="24" a="1"/>
  <c r="C304" i="24" s="1"/>
  <c r="B305" i="24"/>
  <c r="B306" i="24"/>
  <c r="B307" i="24"/>
  <c r="C307" i="24" a="1"/>
  <c r="C307" i="24" s="1"/>
  <c r="B308" i="24"/>
  <c r="C308" i="24" a="1"/>
  <c r="C308" i="24" s="1"/>
  <c r="B309" i="24"/>
  <c r="C309" i="24" a="1"/>
  <c r="C309" i="24" s="1"/>
  <c r="C310" i="24" a="1"/>
  <c r="C310" i="24" s="1"/>
  <c r="B311" i="24"/>
  <c r="C311" i="24" a="1"/>
  <c r="C311" i="24" s="1"/>
  <c r="B312" i="24"/>
  <c r="C312" i="24" a="1"/>
  <c r="C312" i="24" s="1"/>
  <c r="B313" i="24"/>
  <c r="C313" i="24" a="1"/>
  <c r="C313" i="24" s="1"/>
  <c r="C314" i="24" a="1"/>
  <c r="C314" i="24" s="1"/>
  <c r="B315" i="24"/>
  <c r="C315" i="24" a="1"/>
  <c r="C315" i="24" s="1"/>
  <c r="B316" i="24"/>
  <c r="B317" i="24"/>
  <c r="C317" i="24" a="1"/>
  <c r="C317" i="24" s="1"/>
  <c r="B318" i="24"/>
  <c r="C318" i="24" a="1"/>
  <c r="C318" i="24" s="1"/>
  <c r="B319" i="24"/>
  <c r="C319" i="24" a="1"/>
  <c r="C319" i="24" s="1"/>
  <c r="B320" i="24"/>
  <c r="C320" i="24" a="1"/>
  <c r="C320" i="24" s="1"/>
  <c r="B321" i="24"/>
  <c r="C321" i="24" a="1"/>
  <c r="C321" i="24" s="1"/>
  <c r="C322" i="24" a="1"/>
  <c r="C322" i="24" s="1"/>
  <c r="B323" i="24"/>
  <c r="C323" i="24" a="1"/>
  <c r="C323" i="24" s="1"/>
  <c r="B324" i="24"/>
  <c r="C324" i="24" a="1"/>
  <c r="C324" i="24" s="1"/>
  <c r="B325" i="24"/>
  <c r="C325" i="24" a="1"/>
  <c r="C325" i="24" s="1"/>
  <c r="C326" i="24" a="1"/>
  <c r="C326" i="24" s="1"/>
  <c r="B327" i="24"/>
  <c r="C327" i="24" a="1"/>
  <c r="C327" i="24" s="1"/>
  <c r="B328" i="24"/>
  <c r="C328" i="24" a="1"/>
  <c r="C328" i="24" s="1"/>
  <c r="B329" i="24"/>
  <c r="C358" i="24" l="1" a="1"/>
  <c r="C358" i="24" s="1"/>
  <c r="C354" i="24" a="1"/>
  <c r="C354" i="24" s="1"/>
  <c r="C350" i="24" a="1"/>
  <c r="C350" i="24" s="1"/>
  <c r="C361" i="24" a="1"/>
  <c r="C361" i="24" s="1"/>
  <c r="C357" i="24" a="1"/>
  <c r="C357" i="24" s="1"/>
  <c r="C353" i="24" a="1"/>
  <c r="C353" i="24" s="1"/>
  <c r="C349" i="24" a="1"/>
  <c r="C349" i="24" s="1"/>
  <c r="C331" i="24" a="1"/>
  <c r="C331" i="24" s="1"/>
  <c r="C356" i="24" a="1"/>
  <c r="C356" i="24" s="1"/>
  <c r="C352" i="24" a="1"/>
  <c r="C352" i="24" s="1"/>
  <c r="C348" i="24" a="1"/>
  <c r="C348" i="24" s="1"/>
  <c r="C359" i="24" a="1"/>
  <c r="C359" i="24" s="1"/>
  <c r="C355" i="24" a="1"/>
  <c r="C355" i="24" s="1"/>
  <c r="C351" i="24" a="1"/>
  <c r="C351" i="24" s="1"/>
  <c r="C206" i="24" a="1"/>
  <c r="C206" i="24" s="1"/>
  <c r="H79" i="17"/>
  <c r="D370" i="17"/>
  <c r="I370" i="17"/>
  <c r="I367" i="17"/>
  <c r="C330" i="24" s="1" a="1"/>
  <c r="C330" i="24" s="1"/>
  <c r="I368" i="17"/>
  <c r="C333" i="24" s="1" a="1"/>
  <c r="C333" i="24" s="1"/>
  <c r="I369" i="17"/>
  <c r="C332" i="24" s="1" a="1"/>
  <c r="C332" i="24" s="1"/>
  <c r="I371" i="17"/>
  <c r="I372" i="17"/>
  <c r="I373" i="17"/>
  <c r="I374" i="17"/>
  <c r="I376" i="17"/>
  <c r="I377" i="17"/>
  <c r="I378" i="17"/>
  <c r="I379" i="17"/>
  <c r="I380" i="17"/>
  <c r="I381" i="17"/>
  <c r="I382" i="17"/>
  <c r="I383" i="17"/>
  <c r="I384" i="17"/>
  <c r="I385" i="17"/>
  <c r="I387" i="17"/>
  <c r="I388" i="17"/>
  <c r="I389" i="17"/>
  <c r="I390" i="17"/>
  <c r="I391" i="17"/>
  <c r="C334" i="24" s="1" a="1"/>
  <c r="C334" i="24" s="1"/>
  <c r="I393" i="17"/>
  <c r="I394" i="17"/>
  <c r="I395" i="17"/>
  <c r="C347" i="24" s="1" a="1"/>
  <c r="C347" i="24" s="1"/>
  <c r="B386" i="17"/>
  <c r="I386" i="17" s="1"/>
  <c r="C335" i="24" s="1" a="1"/>
  <c r="C335" i="24" s="1"/>
  <c r="B375" i="17"/>
  <c r="D375" i="17" s="1"/>
  <c r="D367" i="17"/>
  <c r="I375" i="17" l="1"/>
  <c r="D394" i="17"/>
  <c r="D393" i="17"/>
  <c r="B392" i="17"/>
  <c r="I392" i="17" s="1"/>
  <c r="D391" i="17"/>
  <c r="G391" i="17"/>
  <c r="H391" i="17"/>
  <c r="H392" i="17"/>
  <c r="G393" i="17"/>
  <c r="H393" i="17"/>
  <c r="G394" i="17"/>
  <c r="H394" i="17"/>
  <c r="G395" i="17"/>
  <c r="H395" i="17"/>
  <c r="D395" i="17"/>
  <c r="D390" i="17"/>
  <c r="H390" i="17"/>
  <c r="G390" i="17"/>
  <c r="D389" i="17"/>
  <c r="H389" i="17"/>
  <c r="G389" i="17"/>
  <c r="D388" i="17"/>
  <c r="D387" i="17"/>
  <c r="D386" i="17"/>
  <c r="D385" i="17"/>
  <c r="D384" i="17"/>
  <c r="D383" i="17"/>
  <c r="D382" i="17"/>
  <c r="D381" i="17"/>
  <c r="D380" i="17"/>
  <c r="D379" i="17"/>
  <c r="D378" i="17"/>
  <c r="D377" i="17"/>
  <c r="D376" i="17"/>
  <c r="D374" i="17"/>
  <c r="D373" i="17"/>
  <c r="D372" i="17"/>
  <c r="D371" i="17"/>
  <c r="D369" i="17"/>
  <c r="D368" i="17"/>
  <c r="C329" i="24" l="1" a="1"/>
  <c r="C329" i="24" s="1"/>
  <c r="C345" i="24" a="1"/>
  <c r="C345" i="24" s="1"/>
  <c r="G392" i="17"/>
  <c r="D392" i="17"/>
  <c r="H388" i="17"/>
  <c r="G388" i="17"/>
  <c r="H387" i="17"/>
  <c r="G387" i="17"/>
  <c r="H386" i="17"/>
  <c r="G386" i="17"/>
  <c r="G385" i="17"/>
  <c r="H385" i="17"/>
  <c r="G368" i="17" l="1"/>
  <c r="H368" i="17"/>
  <c r="G369" i="17"/>
  <c r="H369" i="17"/>
  <c r="G370" i="17"/>
  <c r="H370" i="17"/>
  <c r="G371" i="17"/>
  <c r="H371" i="17"/>
  <c r="G372" i="17"/>
  <c r="H372" i="17"/>
  <c r="G373" i="17"/>
  <c r="H373" i="17"/>
  <c r="G374" i="17"/>
  <c r="H374" i="17"/>
  <c r="G375" i="17"/>
  <c r="H375" i="17"/>
  <c r="G376" i="17"/>
  <c r="H376" i="17"/>
  <c r="G377" i="17"/>
  <c r="H377" i="17"/>
  <c r="G378" i="17"/>
  <c r="H378" i="17"/>
  <c r="G379" i="17"/>
  <c r="H379" i="17"/>
  <c r="G380" i="17"/>
  <c r="H380" i="17"/>
  <c r="G381" i="17"/>
  <c r="H381" i="17"/>
  <c r="G382" i="17"/>
  <c r="H382" i="17"/>
  <c r="G383" i="17"/>
  <c r="H383" i="17"/>
  <c r="G384" i="17"/>
  <c r="H384" i="17"/>
  <c r="H367" i="17"/>
  <c r="G367" i="17"/>
  <c r="C30" i="17"/>
  <c r="H30" i="17" s="1"/>
  <c r="G30" i="17"/>
  <c r="C105" i="24" a="1"/>
  <c r="C105" i="24" s="1"/>
  <c r="C124" i="24" a="1"/>
  <c r="C124" i="24" s="1"/>
  <c r="C125" i="24" a="1"/>
  <c r="C125" i="24" s="1"/>
  <c r="C126" i="24" a="1"/>
  <c r="C126" i="24" s="1"/>
  <c r="C127" i="24" a="1"/>
  <c r="C127" i="24" s="1"/>
  <c r="C137" i="24" a="1"/>
  <c r="C137" i="24" s="1"/>
  <c r="C162" i="24" a="1"/>
  <c r="C162" i="24" s="1"/>
  <c r="C164" i="24" a="1"/>
  <c r="C164" i="24" s="1"/>
  <c r="C165" i="24" a="1"/>
  <c r="C165" i="24" s="1"/>
  <c r="C166" i="24" a="1"/>
  <c r="C166" i="24" s="1"/>
  <c r="B6" i="24"/>
  <c r="B7" i="24"/>
  <c r="B9" i="24"/>
  <c r="B11" i="24"/>
  <c r="B12" i="24"/>
  <c r="B13" i="24"/>
  <c r="B18" i="24"/>
  <c r="B19" i="24"/>
  <c r="B21" i="24"/>
  <c r="B23" i="24"/>
  <c r="B24" i="24"/>
  <c r="B25" i="24"/>
  <c r="B30" i="24"/>
  <c r="B31" i="24"/>
  <c r="B33" i="24"/>
  <c r="B35" i="24"/>
  <c r="B36" i="24"/>
  <c r="B37" i="24"/>
  <c r="B42" i="24"/>
  <c r="B43" i="24"/>
  <c r="B45" i="24"/>
  <c r="B47" i="24"/>
  <c r="B48" i="24"/>
  <c r="B49" i="24"/>
  <c r="B54" i="24"/>
  <c r="B55" i="24"/>
  <c r="B57" i="24"/>
  <c r="B59" i="24"/>
  <c r="B60" i="24"/>
  <c r="B61" i="24"/>
  <c r="B66" i="24"/>
  <c r="B67" i="24"/>
  <c r="B69" i="24"/>
  <c r="B71" i="24"/>
  <c r="B72" i="24"/>
  <c r="B73" i="24"/>
  <c r="B78" i="24"/>
  <c r="B79" i="24"/>
  <c r="B81" i="24"/>
  <c r="B83" i="24"/>
  <c r="B84" i="24"/>
  <c r="B85" i="24"/>
  <c r="B90" i="24"/>
  <c r="B91" i="24"/>
  <c r="B93" i="24"/>
  <c r="B95" i="24"/>
  <c r="B96" i="24"/>
  <c r="B97" i="24"/>
  <c r="B102" i="24"/>
  <c r="B103" i="24"/>
  <c r="B105" i="24"/>
  <c r="B107" i="24"/>
  <c r="B108" i="24"/>
  <c r="B109" i="24"/>
  <c r="B114" i="24"/>
  <c r="B115" i="24"/>
  <c r="B117" i="24"/>
  <c r="B119" i="24"/>
  <c r="B120" i="24"/>
  <c r="B121" i="24"/>
  <c r="B126" i="24"/>
  <c r="B127" i="24"/>
  <c r="B129" i="24"/>
  <c r="B131" i="24"/>
  <c r="B132" i="24"/>
  <c r="B133" i="24"/>
  <c r="B138" i="24"/>
  <c r="B139" i="24"/>
  <c r="B141" i="24"/>
  <c r="B143" i="24"/>
  <c r="B144" i="24"/>
  <c r="B145" i="24"/>
  <c r="B150" i="24"/>
  <c r="B151" i="24"/>
  <c r="B153" i="24"/>
  <c r="B155" i="24"/>
  <c r="B156" i="24"/>
  <c r="B157" i="24"/>
  <c r="B162" i="24"/>
  <c r="B163" i="24"/>
  <c r="B165" i="24"/>
  <c r="B2" i="24"/>
  <c r="G29" i="17"/>
  <c r="C29" i="17"/>
  <c r="D29" i="17" s="1"/>
  <c r="B3" i="24"/>
  <c r="B4" i="24"/>
  <c r="C6" i="24" a="1"/>
  <c r="C6" i="24" s="1"/>
  <c r="C7" i="24" a="1"/>
  <c r="C7" i="24" s="1"/>
  <c r="C8" i="24" a="1"/>
  <c r="C8" i="24" s="1"/>
  <c r="C9" i="24" a="1"/>
  <c r="C9" i="24" s="1"/>
  <c r="B10" i="24"/>
  <c r="C11" i="24" a="1"/>
  <c r="C11" i="24" s="1"/>
  <c r="C12" i="24" a="1"/>
  <c r="C12" i="24" s="1"/>
  <c r="C13" i="24" a="1"/>
  <c r="C13" i="24" s="1"/>
  <c r="B14" i="24"/>
  <c r="B15" i="24"/>
  <c r="B16" i="24"/>
  <c r="B17" i="24"/>
  <c r="B20" i="24"/>
  <c r="C21" i="24" a="1"/>
  <c r="C21" i="24" s="1"/>
  <c r="C22" i="24" a="1"/>
  <c r="C22" i="24" s="1"/>
  <c r="C23" i="24" a="1"/>
  <c r="C23" i="24" s="1"/>
  <c r="C24" i="24" a="1"/>
  <c r="C24" i="24" s="1"/>
  <c r="C25" i="24" a="1"/>
  <c r="C25" i="24" s="1"/>
  <c r="C26" i="24" a="1"/>
  <c r="C26" i="24" s="1"/>
  <c r="C27" i="24" a="1"/>
  <c r="C27" i="24" s="1"/>
  <c r="C28" i="24" a="1"/>
  <c r="C28" i="24" s="1"/>
  <c r="B29" i="24"/>
  <c r="C32" i="24" a="1"/>
  <c r="C32" i="24" s="1"/>
  <c r="C33" i="24" a="1"/>
  <c r="C33" i="24" s="1"/>
  <c r="B34" i="24"/>
  <c r="C37" i="24" a="1"/>
  <c r="C37" i="24" s="1"/>
  <c r="C38" i="24" a="1"/>
  <c r="C38" i="24" s="1"/>
  <c r="C39" i="24" a="1"/>
  <c r="C39" i="24" s="1"/>
  <c r="B40" i="24"/>
  <c r="C41" i="24" a="1"/>
  <c r="C41" i="24" s="1"/>
  <c r="C42" i="24" a="1"/>
  <c r="C42" i="24" s="1"/>
  <c r="C43" i="24" a="1"/>
  <c r="C43" i="24" s="1"/>
  <c r="C44" i="24" a="1"/>
  <c r="C44" i="24" s="1"/>
  <c r="C45" i="24" a="1"/>
  <c r="C45" i="24" s="1"/>
  <c r="B46" i="24"/>
  <c r="C47" i="24" a="1"/>
  <c r="C47" i="24" s="1"/>
  <c r="C48" i="24" a="1"/>
  <c r="C48" i="24" s="1"/>
  <c r="C49" i="24" a="1"/>
  <c r="C49" i="24" s="1"/>
  <c r="B50" i="24"/>
  <c r="C51" i="24" a="1"/>
  <c r="C51" i="24" s="1"/>
  <c r="C52" i="24" a="1"/>
  <c r="C52" i="24" s="1"/>
  <c r="C53" i="24" a="1"/>
  <c r="C53" i="24" s="1"/>
  <c r="C54" i="24" a="1"/>
  <c r="C54" i="24" s="1"/>
  <c r="B56" i="24"/>
  <c r="B58" i="24"/>
  <c r="B62" i="24"/>
  <c r="C63" i="24" a="1"/>
  <c r="C63" i="24" s="1"/>
  <c r="C64" i="24" a="1"/>
  <c r="C64" i="24" s="1"/>
  <c r="C65" i="24" a="1"/>
  <c r="C65" i="24" s="1"/>
  <c r="C66" i="24" a="1"/>
  <c r="C66" i="24" s="1"/>
  <c r="C67" i="24" a="1"/>
  <c r="C67" i="24" s="1"/>
  <c r="C68" i="24" a="1"/>
  <c r="C68" i="24" s="1"/>
  <c r="C69" i="24" a="1"/>
  <c r="C69" i="24" s="1"/>
  <c r="B70" i="24"/>
  <c r="C71" i="24" a="1"/>
  <c r="C71" i="24" s="1"/>
  <c r="C72" i="24" a="1"/>
  <c r="C72" i="24" s="1"/>
  <c r="C73" i="24" a="1"/>
  <c r="C73" i="24" s="1"/>
  <c r="B74" i="24"/>
  <c r="C75" i="24" a="1"/>
  <c r="C75" i="24" s="1"/>
  <c r="C76" i="24" a="1"/>
  <c r="C76" i="24" s="1"/>
  <c r="C77" i="24" a="1"/>
  <c r="C77" i="24" s="1"/>
  <c r="C78" i="24" a="1"/>
  <c r="C78" i="24" s="1"/>
  <c r="C79" i="24" a="1"/>
  <c r="C79" i="24" s="1"/>
  <c r="C80" i="24" a="1"/>
  <c r="C80" i="24" s="1"/>
  <c r="C81" i="24" a="1"/>
  <c r="C81" i="24" s="1"/>
  <c r="B82" i="24"/>
  <c r="C84" i="24" a="1"/>
  <c r="C84" i="24" s="1"/>
  <c r="C85" i="24" a="1"/>
  <c r="C85" i="24" s="1"/>
  <c r="C86" i="24" a="1"/>
  <c r="C86" i="24" s="1"/>
  <c r="C87" i="24" a="1"/>
  <c r="C87" i="24" s="1"/>
  <c r="C88" i="24" a="1"/>
  <c r="C88" i="24" s="1"/>
  <c r="B89" i="24"/>
  <c r="C92" i="24" a="1"/>
  <c r="C92" i="24" s="1"/>
  <c r="C93" i="24" a="1"/>
  <c r="C93" i="24" s="1"/>
  <c r="B94" i="24"/>
  <c r="C95" i="24" a="1"/>
  <c r="C95" i="24" s="1"/>
  <c r="C96" i="24" a="1"/>
  <c r="C96" i="24" s="1"/>
  <c r="C97" i="24" a="1"/>
  <c r="C97" i="24" s="1"/>
  <c r="B98" i="24"/>
  <c r="B99" i="24"/>
  <c r="B100" i="24"/>
  <c r="B101" i="24"/>
  <c r="C102" i="24" a="1"/>
  <c r="C102" i="24" s="1"/>
  <c r="C103" i="24" a="1"/>
  <c r="C103" i="24" s="1"/>
  <c r="C104" i="24" a="1"/>
  <c r="C104" i="24" s="1"/>
  <c r="B106" i="24"/>
  <c r="C107" i="24" a="1"/>
  <c r="C107" i="24" s="1"/>
  <c r="C108" i="24" a="1"/>
  <c r="C108" i="24" s="1"/>
  <c r="B110" i="24"/>
  <c r="B111" i="24"/>
  <c r="B112" i="24"/>
  <c r="B113" i="24"/>
  <c r="C115" i="24" a="1"/>
  <c r="C115" i="24" s="1"/>
  <c r="C116" i="24" a="1"/>
  <c r="C116" i="24" s="1"/>
  <c r="C117" i="24" a="1"/>
  <c r="C117" i="24" s="1"/>
  <c r="C118" i="24" a="1"/>
  <c r="C118" i="24" s="1"/>
  <c r="C122" i="24" a="1"/>
  <c r="C122" i="24" s="1"/>
  <c r="B123" i="24"/>
  <c r="B124" i="24"/>
  <c r="B125" i="24"/>
  <c r="B128" i="24"/>
  <c r="C129" i="24" a="1"/>
  <c r="C129" i="24" s="1"/>
  <c r="B130" i="24"/>
  <c r="C131" i="24" a="1"/>
  <c r="C131" i="24" s="1"/>
  <c r="B134" i="24"/>
  <c r="B135" i="24"/>
  <c r="B136" i="24"/>
  <c r="B137" i="24"/>
  <c r="B140" i="24"/>
  <c r="B142" i="24"/>
  <c r="B146" i="24"/>
  <c r="B147" i="24"/>
  <c r="B148" i="24"/>
  <c r="B149" i="24"/>
  <c r="B152" i="24"/>
  <c r="B154" i="24"/>
  <c r="B158" i="24"/>
  <c r="B159" i="24"/>
  <c r="C160" i="24" a="1"/>
  <c r="C160" i="24" s="1"/>
  <c r="B161" i="24"/>
  <c r="B164" i="24"/>
  <c r="B166" i="24"/>
  <c r="B166" i="22" a="1"/>
  <c r="B166" i="22" s="1"/>
  <c r="A161" i="22"/>
  <c r="B161" i="22" s="1" a="1"/>
  <c r="B161" i="22" s="1"/>
  <c r="A162" i="22"/>
  <c r="B162" i="22" s="1" a="1"/>
  <c r="B162" i="22" s="1"/>
  <c r="A163" i="22"/>
  <c r="A164" i="22"/>
  <c r="A165" i="22"/>
  <c r="A3" i="22"/>
  <c r="A4" i="22"/>
  <c r="A5" i="22"/>
  <c r="A6" i="22"/>
  <c r="B6" i="22" s="1" a="1"/>
  <c r="B6" i="22" s="1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B62" i="22" s="1" a="1"/>
  <c r="B62" i="22" s="1"/>
  <c r="A63" i="22"/>
  <c r="A64" i="22"/>
  <c r="B64" i="22" s="1" a="1"/>
  <c r="B64" i="22" s="1"/>
  <c r="A65" i="22"/>
  <c r="A66" i="22"/>
  <c r="A67" i="22"/>
  <c r="A68" i="22"/>
  <c r="A69" i="22"/>
  <c r="A70" i="22"/>
  <c r="B70" i="22" s="1" a="1"/>
  <c r="B70" i="22" s="1"/>
  <c r="A71" i="22"/>
  <c r="A72" i="22"/>
  <c r="A73" i="22"/>
  <c r="A74" i="22"/>
  <c r="A75" i="22"/>
  <c r="A76" i="22"/>
  <c r="B76" i="22" s="1" a="1"/>
  <c r="B76" i="22" s="1"/>
  <c r="A77" i="22"/>
  <c r="A78" i="22"/>
  <c r="A79" i="22"/>
  <c r="A80" i="22"/>
  <c r="A81" i="22"/>
  <c r="A82" i="22"/>
  <c r="B82" i="22" s="1" a="1"/>
  <c r="B82" i="22" s="1"/>
  <c r="A83" i="22"/>
  <c r="A84" i="22"/>
  <c r="A85" i="22"/>
  <c r="A86" i="22"/>
  <c r="A87" i="22"/>
  <c r="A88" i="22"/>
  <c r="B88" i="22" s="1" a="1"/>
  <c r="B88" i="22" s="1"/>
  <c r="A89" i="22"/>
  <c r="A90" i="22"/>
  <c r="A91" i="22"/>
  <c r="A92" i="22"/>
  <c r="A93" i="22"/>
  <c r="A94" i="22"/>
  <c r="B94" i="22" s="1" a="1"/>
  <c r="B94" i="22" s="1"/>
  <c r="A95" i="22"/>
  <c r="A96" i="22"/>
  <c r="A97" i="22"/>
  <c r="A98" i="22"/>
  <c r="A99" i="22"/>
  <c r="A100" i="22"/>
  <c r="B100" i="22" s="1" a="1"/>
  <c r="B100" i="22" s="1"/>
  <c r="A101" i="22"/>
  <c r="A102" i="22"/>
  <c r="A103" i="22"/>
  <c r="A104" i="22"/>
  <c r="A105" i="22"/>
  <c r="A106" i="22"/>
  <c r="A107" i="22"/>
  <c r="A108" i="22"/>
  <c r="A109" i="22"/>
  <c r="A110" i="22"/>
  <c r="A111" i="22"/>
  <c r="A112" i="22"/>
  <c r="A113" i="22"/>
  <c r="A114" i="22"/>
  <c r="A115" i="22"/>
  <c r="A116" i="22"/>
  <c r="A117" i="22"/>
  <c r="A118" i="22"/>
  <c r="A119" i="22"/>
  <c r="A120" i="22"/>
  <c r="A121" i="22"/>
  <c r="A122" i="22"/>
  <c r="A123" i="22"/>
  <c r="A124" i="22"/>
  <c r="B124" i="22" s="1" a="1"/>
  <c r="B124" i="22" s="1"/>
  <c r="A125" i="22"/>
  <c r="A126" i="22"/>
  <c r="A127" i="22"/>
  <c r="A128" i="22"/>
  <c r="A129" i="22"/>
  <c r="A130" i="22"/>
  <c r="A131" i="22"/>
  <c r="B131" i="22" s="1" a="1"/>
  <c r="B131" i="22" s="1"/>
  <c r="A132" i="22"/>
  <c r="A133" i="22"/>
  <c r="B133" i="22" s="1" a="1"/>
  <c r="B133" i="22" s="1"/>
  <c r="A134" i="22"/>
  <c r="A135" i="22"/>
  <c r="A136" i="22"/>
  <c r="B136" i="22" s="1" a="1"/>
  <c r="B136" i="22" s="1"/>
  <c r="A137" i="22"/>
  <c r="A138" i="22"/>
  <c r="A139" i="22"/>
  <c r="A140" i="22"/>
  <c r="A141" i="22"/>
  <c r="A142" i="22"/>
  <c r="A143" i="22"/>
  <c r="A144" i="22"/>
  <c r="A145" i="22"/>
  <c r="A146" i="22"/>
  <c r="A147" i="22"/>
  <c r="A148" i="22"/>
  <c r="B148" i="22" s="1" a="1"/>
  <c r="B148" i="22" s="1"/>
  <c r="A149" i="22"/>
  <c r="A150" i="22"/>
  <c r="A151" i="22"/>
  <c r="B151" i="22" s="1" a="1"/>
  <c r="B151" i="22" s="1"/>
  <c r="A152" i="22"/>
  <c r="A153" i="22"/>
  <c r="A154" i="22"/>
  <c r="A155" i="22"/>
  <c r="A156" i="22"/>
  <c r="B156" i="22" s="1" a="1"/>
  <c r="B156" i="22" s="1"/>
  <c r="A157" i="22"/>
  <c r="A158" i="22"/>
  <c r="A159" i="22"/>
  <c r="A160" i="22"/>
  <c r="B160" i="22" s="1" a="1"/>
  <c r="B160" i="22" s="1"/>
  <c r="A2" i="22"/>
  <c r="C283" i="24" a="1"/>
  <c r="C283" i="24" s="1"/>
  <c r="C28" i="17"/>
  <c r="D28" i="17" s="1"/>
  <c r="G28" i="17"/>
  <c r="E3" i="21"/>
  <c r="F3" i="21"/>
  <c r="G3" i="21"/>
  <c r="E4" i="21"/>
  <c r="F4" i="21"/>
  <c r="G4" i="21"/>
  <c r="E5" i="21"/>
  <c r="G5" i="21" s="1"/>
  <c r="F5" i="21"/>
  <c r="E6" i="21"/>
  <c r="F6" i="21"/>
  <c r="G6" i="21"/>
  <c r="E7" i="21"/>
  <c r="F7" i="21"/>
  <c r="G7" i="21"/>
  <c r="E8" i="21"/>
  <c r="F8" i="21"/>
  <c r="G8" i="21"/>
  <c r="E9" i="21"/>
  <c r="G9" i="21" s="1"/>
  <c r="F9" i="21"/>
  <c r="E10" i="21"/>
  <c r="F10" i="21"/>
  <c r="G10" i="21"/>
  <c r="E11" i="21"/>
  <c r="F11" i="21"/>
  <c r="G11" i="21"/>
  <c r="E12" i="21"/>
  <c r="F12" i="21"/>
  <c r="G12" i="21"/>
  <c r="E13" i="21"/>
  <c r="G13" i="21" s="1"/>
  <c r="F13" i="21"/>
  <c r="E14" i="21"/>
  <c r="F14" i="21"/>
  <c r="G14" i="21"/>
  <c r="E15" i="21"/>
  <c r="F15" i="21"/>
  <c r="G15" i="21"/>
  <c r="E16" i="21"/>
  <c r="F16" i="21"/>
  <c r="G16" i="21"/>
  <c r="E17" i="21"/>
  <c r="G17" i="21" s="1"/>
  <c r="F17" i="21"/>
  <c r="E18" i="21"/>
  <c r="F18" i="21"/>
  <c r="G18" i="21"/>
  <c r="E19" i="21"/>
  <c r="F19" i="21"/>
  <c r="G19" i="21"/>
  <c r="E20" i="21"/>
  <c r="F20" i="21"/>
  <c r="G20" i="21"/>
  <c r="E21" i="21"/>
  <c r="G21" i="21" s="1"/>
  <c r="F21" i="21"/>
  <c r="E22" i="21"/>
  <c r="F22" i="21"/>
  <c r="G22" i="21"/>
  <c r="E23" i="21"/>
  <c r="F23" i="21"/>
  <c r="G23" i="21"/>
  <c r="E24" i="21"/>
  <c r="F24" i="21"/>
  <c r="G24" i="21"/>
  <c r="E25" i="21"/>
  <c r="G25" i="21" s="1"/>
  <c r="F25" i="21"/>
  <c r="E26" i="21"/>
  <c r="F26" i="21"/>
  <c r="G26" i="21"/>
  <c r="E27" i="21"/>
  <c r="F27" i="21"/>
  <c r="G27" i="21"/>
  <c r="E28" i="21"/>
  <c r="F28" i="21"/>
  <c r="G28" i="21"/>
  <c r="E29" i="21"/>
  <c r="G29" i="21" s="1"/>
  <c r="F29" i="21"/>
  <c r="E30" i="21"/>
  <c r="F30" i="21"/>
  <c r="G30" i="21"/>
  <c r="E31" i="21"/>
  <c r="F31" i="21"/>
  <c r="G31" i="21"/>
  <c r="E32" i="21"/>
  <c r="F32" i="21"/>
  <c r="G32" i="21"/>
  <c r="E33" i="21"/>
  <c r="G33" i="21" s="1"/>
  <c r="F33" i="21"/>
  <c r="E34" i="21"/>
  <c r="F34" i="21"/>
  <c r="G34" i="21"/>
  <c r="E35" i="21"/>
  <c r="F35" i="21"/>
  <c r="G35" i="21"/>
  <c r="E36" i="21"/>
  <c r="F36" i="21"/>
  <c r="G36" i="21"/>
  <c r="E37" i="21"/>
  <c r="G37" i="21" s="1"/>
  <c r="F37" i="21"/>
  <c r="E38" i="21"/>
  <c r="F38" i="21"/>
  <c r="G38" i="21"/>
  <c r="E39" i="21"/>
  <c r="F39" i="21"/>
  <c r="G39" i="21"/>
  <c r="E40" i="21"/>
  <c r="F40" i="21"/>
  <c r="G40" i="21"/>
  <c r="E41" i="21"/>
  <c r="G41" i="21" s="1"/>
  <c r="F41" i="21"/>
  <c r="E42" i="21"/>
  <c r="F42" i="21"/>
  <c r="G42" i="21"/>
  <c r="E43" i="21"/>
  <c r="F43" i="21"/>
  <c r="G43" i="21"/>
  <c r="E44" i="21"/>
  <c r="F44" i="21"/>
  <c r="G44" i="21"/>
  <c r="E45" i="21"/>
  <c r="G45" i="21" s="1"/>
  <c r="F45" i="21"/>
  <c r="E46" i="21"/>
  <c r="F46" i="21"/>
  <c r="G46" i="21"/>
  <c r="E47" i="21"/>
  <c r="F47" i="21"/>
  <c r="G47" i="21"/>
  <c r="E48" i="21"/>
  <c r="F48" i="21"/>
  <c r="G48" i="21"/>
  <c r="E49" i="21"/>
  <c r="G49" i="21" s="1"/>
  <c r="F49" i="21"/>
  <c r="E50" i="21"/>
  <c r="F50" i="21"/>
  <c r="G50" i="21"/>
  <c r="E51" i="21"/>
  <c r="F51" i="21"/>
  <c r="G51" i="21"/>
  <c r="E52" i="21"/>
  <c r="F52" i="21"/>
  <c r="G52" i="21"/>
  <c r="E53" i="21"/>
  <c r="G53" i="21" s="1"/>
  <c r="F53" i="21"/>
  <c r="E54" i="21"/>
  <c r="F54" i="21"/>
  <c r="G54" i="21"/>
  <c r="E55" i="21"/>
  <c r="F55" i="21"/>
  <c r="G55" i="21"/>
  <c r="E56" i="21"/>
  <c r="F56" i="21"/>
  <c r="G56" i="21"/>
  <c r="E57" i="21"/>
  <c r="G57" i="21" s="1"/>
  <c r="F57" i="21"/>
  <c r="E58" i="21"/>
  <c r="F58" i="21"/>
  <c r="G58" i="21"/>
  <c r="E59" i="21"/>
  <c r="F59" i="21"/>
  <c r="G59" i="21"/>
  <c r="E60" i="21"/>
  <c r="F60" i="21"/>
  <c r="G60" i="21"/>
  <c r="E61" i="21"/>
  <c r="G61" i="21" s="1"/>
  <c r="F61" i="21"/>
  <c r="E62" i="21"/>
  <c r="F62" i="21"/>
  <c r="G62" i="21"/>
  <c r="E63" i="21"/>
  <c r="F63" i="21"/>
  <c r="G63" i="21"/>
  <c r="E64" i="21"/>
  <c r="F64" i="21"/>
  <c r="G64" i="21"/>
  <c r="E65" i="21"/>
  <c r="G65" i="21" s="1"/>
  <c r="F65" i="21"/>
  <c r="E66" i="21"/>
  <c r="F66" i="21"/>
  <c r="G66" i="21"/>
  <c r="E67" i="21"/>
  <c r="F67" i="21"/>
  <c r="G67" i="21"/>
  <c r="E68" i="21"/>
  <c r="F68" i="21"/>
  <c r="G68" i="21"/>
  <c r="E69" i="21"/>
  <c r="G69" i="21" s="1"/>
  <c r="F69" i="21"/>
  <c r="E70" i="21"/>
  <c r="F70" i="21"/>
  <c r="G70" i="21"/>
  <c r="E71" i="21"/>
  <c r="F71" i="21"/>
  <c r="G71" i="21"/>
  <c r="E72" i="21"/>
  <c r="F72" i="21"/>
  <c r="G72" i="21"/>
  <c r="E73" i="21"/>
  <c r="G73" i="21" s="1"/>
  <c r="F73" i="21"/>
  <c r="E74" i="21"/>
  <c r="F74" i="21"/>
  <c r="G74" i="21"/>
  <c r="E75" i="21"/>
  <c r="F75" i="21"/>
  <c r="G75" i="21"/>
  <c r="E76" i="21"/>
  <c r="F76" i="21"/>
  <c r="G76" i="21"/>
  <c r="E77" i="21"/>
  <c r="G77" i="21" s="1"/>
  <c r="F77" i="21"/>
  <c r="E78" i="21"/>
  <c r="F78" i="21"/>
  <c r="G78" i="21"/>
  <c r="E79" i="21"/>
  <c r="F79" i="21"/>
  <c r="G79" i="21"/>
  <c r="E80" i="21"/>
  <c r="F80" i="21"/>
  <c r="G80" i="21"/>
  <c r="E81" i="21"/>
  <c r="G81" i="21" s="1"/>
  <c r="F81" i="21"/>
  <c r="E82" i="21"/>
  <c r="F82" i="21"/>
  <c r="G82" i="21"/>
  <c r="E83" i="21"/>
  <c r="F83" i="21"/>
  <c r="G83" i="21"/>
  <c r="E84" i="21"/>
  <c r="F84" i="21"/>
  <c r="G84" i="21"/>
  <c r="E85" i="21"/>
  <c r="G85" i="21" s="1"/>
  <c r="F85" i="21"/>
  <c r="E86" i="21"/>
  <c r="F86" i="21"/>
  <c r="G86" i="21"/>
  <c r="E87" i="21"/>
  <c r="F87" i="21"/>
  <c r="G87" i="21"/>
  <c r="E88" i="21"/>
  <c r="F88" i="21"/>
  <c r="G88" i="21"/>
  <c r="E89" i="21"/>
  <c r="G89" i="21" s="1"/>
  <c r="F89" i="21"/>
  <c r="E90" i="21"/>
  <c r="F90" i="21"/>
  <c r="G90" i="21"/>
  <c r="E91" i="21"/>
  <c r="F91" i="21"/>
  <c r="G91" i="21"/>
  <c r="E92" i="21"/>
  <c r="F92" i="21"/>
  <c r="G92" i="21"/>
  <c r="E93" i="21"/>
  <c r="G93" i="21" s="1"/>
  <c r="F93" i="21"/>
  <c r="E94" i="21"/>
  <c r="F94" i="21"/>
  <c r="G94" i="21"/>
  <c r="E95" i="21"/>
  <c r="F95" i="21"/>
  <c r="G95" i="21"/>
  <c r="E96" i="21"/>
  <c r="F96" i="21"/>
  <c r="G96" i="21"/>
  <c r="E97" i="21"/>
  <c r="G97" i="21" s="1"/>
  <c r="F97" i="21"/>
  <c r="E98" i="21"/>
  <c r="F98" i="21"/>
  <c r="G98" i="21"/>
  <c r="E99" i="21"/>
  <c r="F99" i="21"/>
  <c r="G99" i="21"/>
  <c r="E100" i="21"/>
  <c r="F100" i="21"/>
  <c r="G100" i="21"/>
  <c r="E101" i="21"/>
  <c r="G101" i="21" s="1"/>
  <c r="F101" i="21"/>
  <c r="E102" i="21"/>
  <c r="F102" i="21"/>
  <c r="G102" i="21"/>
  <c r="E103" i="21"/>
  <c r="F103" i="21"/>
  <c r="G103" i="21"/>
  <c r="E104" i="21"/>
  <c r="F104" i="21"/>
  <c r="G104" i="21"/>
  <c r="E105" i="21"/>
  <c r="G105" i="21" s="1"/>
  <c r="F105" i="21"/>
  <c r="E106" i="21"/>
  <c r="F106" i="21"/>
  <c r="G106" i="21"/>
  <c r="E107" i="21"/>
  <c r="F107" i="21"/>
  <c r="G107" i="21"/>
  <c r="E108" i="21"/>
  <c r="F108" i="21"/>
  <c r="G108" i="21"/>
  <c r="E109" i="21"/>
  <c r="G109" i="21" s="1"/>
  <c r="F109" i="21"/>
  <c r="E110" i="21"/>
  <c r="F110" i="21"/>
  <c r="G110" i="21"/>
  <c r="E111" i="21"/>
  <c r="F111" i="21"/>
  <c r="G111" i="21"/>
  <c r="E112" i="21"/>
  <c r="F112" i="21"/>
  <c r="G112" i="21"/>
  <c r="E113" i="21"/>
  <c r="G113" i="21" s="1"/>
  <c r="F113" i="21"/>
  <c r="E114" i="21"/>
  <c r="F114" i="21"/>
  <c r="G114" i="21"/>
  <c r="E115" i="21"/>
  <c r="F115" i="21"/>
  <c r="G115" i="21"/>
  <c r="E116" i="21"/>
  <c r="F116" i="21"/>
  <c r="G116" i="21"/>
  <c r="E117" i="21"/>
  <c r="G117" i="21" s="1"/>
  <c r="F117" i="21"/>
  <c r="E118" i="21"/>
  <c r="F118" i="21"/>
  <c r="G118" i="21"/>
  <c r="E119" i="21"/>
  <c r="F119" i="21"/>
  <c r="G119" i="21"/>
  <c r="E120" i="21"/>
  <c r="F120" i="21"/>
  <c r="G120" i="21"/>
  <c r="E121" i="21"/>
  <c r="G121" i="21" s="1"/>
  <c r="F121" i="21"/>
  <c r="E122" i="21"/>
  <c r="F122" i="21"/>
  <c r="G122" i="21"/>
  <c r="E123" i="21"/>
  <c r="F123" i="21"/>
  <c r="G123" i="21"/>
  <c r="E124" i="21"/>
  <c r="F124" i="21"/>
  <c r="G124" i="21"/>
  <c r="E125" i="21"/>
  <c r="G125" i="21" s="1"/>
  <c r="F125" i="21"/>
  <c r="E126" i="21"/>
  <c r="F126" i="21"/>
  <c r="G126" i="21"/>
  <c r="E127" i="21"/>
  <c r="F127" i="21"/>
  <c r="G127" i="21"/>
  <c r="E128" i="21"/>
  <c r="F128" i="21"/>
  <c r="G128" i="21"/>
  <c r="E129" i="21"/>
  <c r="G129" i="21" s="1"/>
  <c r="F129" i="21"/>
  <c r="E130" i="21"/>
  <c r="F130" i="21"/>
  <c r="G130" i="21"/>
  <c r="E131" i="21"/>
  <c r="F131" i="21"/>
  <c r="G131" i="21"/>
  <c r="E132" i="21"/>
  <c r="F132" i="21"/>
  <c r="G132" i="21"/>
  <c r="E133" i="21"/>
  <c r="G133" i="21" s="1"/>
  <c r="F133" i="21"/>
  <c r="E134" i="21"/>
  <c r="F134" i="21"/>
  <c r="G134" i="21"/>
  <c r="E135" i="21"/>
  <c r="F135" i="21"/>
  <c r="G135" i="21"/>
  <c r="E136" i="21"/>
  <c r="F136" i="21"/>
  <c r="G136" i="21"/>
  <c r="E137" i="21"/>
  <c r="G137" i="21" s="1"/>
  <c r="F137" i="21"/>
  <c r="E138" i="21"/>
  <c r="F138" i="21"/>
  <c r="G138" i="21"/>
  <c r="E139" i="21"/>
  <c r="F139" i="21"/>
  <c r="G139" i="21"/>
  <c r="E140" i="21"/>
  <c r="F140" i="21"/>
  <c r="G140" i="21"/>
  <c r="E141" i="21"/>
  <c r="G141" i="21" s="1"/>
  <c r="F141" i="21"/>
  <c r="E142" i="21"/>
  <c r="F142" i="21"/>
  <c r="G142" i="21"/>
  <c r="E143" i="21"/>
  <c r="F143" i="21"/>
  <c r="G143" i="21"/>
  <c r="E144" i="21"/>
  <c r="F144" i="21"/>
  <c r="G144" i="21"/>
  <c r="E145" i="21"/>
  <c r="G145" i="21" s="1"/>
  <c r="F145" i="21"/>
  <c r="E146" i="21"/>
  <c r="F146" i="21"/>
  <c r="G146" i="21"/>
  <c r="E147" i="21"/>
  <c r="F147" i="21"/>
  <c r="G147" i="21"/>
  <c r="E148" i="21"/>
  <c r="F148" i="21"/>
  <c r="G148" i="21"/>
  <c r="E149" i="21"/>
  <c r="G149" i="21" s="1"/>
  <c r="F149" i="21"/>
  <c r="E150" i="21"/>
  <c r="F150" i="21"/>
  <c r="G150" i="21"/>
  <c r="E151" i="21"/>
  <c r="F151" i="21"/>
  <c r="G151" i="21"/>
  <c r="E152" i="21"/>
  <c r="F152" i="21"/>
  <c r="G152" i="21"/>
  <c r="E153" i="21"/>
  <c r="G153" i="21" s="1"/>
  <c r="F153" i="21"/>
  <c r="E154" i="21"/>
  <c r="F154" i="21"/>
  <c r="G154" i="21"/>
  <c r="E155" i="21"/>
  <c r="F155" i="21"/>
  <c r="G155" i="21"/>
  <c r="E156" i="21"/>
  <c r="F156" i="21"/>
  <c r="G156" i="21"/>
  <c r="E157" i="21"/>
  <c r="G157" i="21" s="1"/>
  <c r="F157" i="21"/>
  <c r="E158" i="21"/>
  <c r="F158" i="21"/>
  <c r="G158" i="21"/>
  <c r="E159" i="21"/>
  <c r="F159" i="21"/>
  <c r="G159" i="21"/>
  <c r="E160" i="21"/>
  <c r="F160" i="21"/>
  <c r="G160" i="21"/>
  <c r="E161" i="21"/>
  <c r="G161" i="21" s="1"/>
  <c r="F161" i="21"/>
  <c r="E162" i="21"/>
  <c r="F162" i="21"/>
  <c r="G162" i="21"/>
  <c r="E163" i="21"/>
  <c r="F163" i="21"/>
  <c r="G163" i="21"/>
  <c r="E164" i="21"/>
  <c r="F164" i="21"/>
  <c r="G164" i="21"/>
  <c r="E165" i="21"/>
  <c r="G165" i="21" s="1"/>
  <c r="F165" i="21"/>
  <c r="E19" i="20"/>
  <c r="C19" i="20" s="1"/>
  <c r="H19" i="20" s="1"/>
  <c r="E20" i="20"/>
  <c r="E21" i="20"/>
  <c r="C21" i="20" s="1"/>
  <c r="H21" i="20" s="1"/>
  <c r="E22" i="20"/>
  <c r="E23" i="20"/>
  <c r="C23" i="20" s="1"/>
  <c r="H23" i="20" s="1"/>
  <c r="F24" i="20"/>
  <c r="F25" i="20"/>
  <c r="I25" i="20"/>
  <c r="H25" i="20"/>
  <c r="I24" i="20"/>
  <c r="H24" i="20"/>
  <c r="B24" i="20"/>
  <c r="I23" i="20"/>
  <c r="I22" i="20"/>
  <c r="C22" i="20"/>
  <c r="H22" i="20" s="1"/>
  <c r="I21" i="20"/>
  <c r="I20" i="20"/>
  <c r="C20" i="20"/>
  <c r="H20" i="20" s="1"/>
  <c r="I19" i="20"/>
  <c r="I18" i="20"/>
  <c r="H18" i="20"/>
  <c r="B18" i="20"/>
  <c r="I17" i="20"/>
  <c r="H17" i="20"/>
  <c r="B17" i="20"/>
  <c r="I16" i="20"/>
  <c r="H16" i="20"/>
  <c r="B16" i="20"/>
  <c r="I15" i="20"/>
  <c r="H15" i="20"/>
  <c r="B15" i="20"/>
  <c r="I14" i="20"/>
  <c r="H14" i="20"/>
  <c r="B14" i="20"/>
  <c r="I13" i="20"/>
  <c r="H13" i="20"/>
  <c r="B13" i="20"/>
  <c r="I12" i="20"/>
  <c r="H12" i="20"/>
  <c r="B12" i="20"/>
  <c r="I11" i="20"/>
  <c r="H11" i="20"/>
  <c r="B11" i="20"/>
  <c r="I10" i="20"/>
  <c r="H10" i="20"/>
  <c r="B10" i="20"/>
  <c r="I9" i="20"/>
  <c r="H9" i="20"/>
  <c r="B9" i="20"/>
  <c r="I8" i="20"/>
  <c r="H8" i="20"/>
  <c r="B8" i="20"/>
  <c r="I7" i="20"/>
  <c r="H7" i="20"/>
  <c r="B7" i="20"/>
  <c r="I6" i="20"/>
  <c r="H6" i="20"/>
  <c r="B6" i="20"/>
  <c r="I5" i="20"/>
  <c r="H5" i="20"/>
  <c r="B5" i="20"/>
  <c r="I4" i="20"/>
  <c r="H4" i="20"/>
  <c r="B4" i="20"/>
  <c r="I3" i="20"/>
  <c r="H3" i="20"/>
  <c r="B3" i="20"/>
  <c r="F54" i="19"/>
  <c r="B54" i="19"/>
  <c r="E54" i="19" s="1"/>
  <c r="F53" i="19"/>
  <c r="B53" i="19"/>
  <c r="E53" i="19" s="1"/>
  <c r="F52" i="19"/>
  <c r="E52" i="19"/>
  <c r="F51" i="19"/>
  <c r="E51" i="19"/>
  <c r="F50" i="19"/>
  <c r="E50" i="19"/>
  <c r="F49" i="19"/>
  <c r="E49" i="19"/>
  <c r="F48" i="19"/>
  <c r="E48" i="19"/>
  <c r="F47" i="19"/>
  <c r="E47" i="19"/>
  <c r="F46" i="19"/>
  <c r="E46" i="19"/>
  <c r="F45" i="19"/>
  <c r="E45" i="19"/>
  <c r="F44" i="19"/>
  <c r="E44" i="19"/>
  <c r="F43" i="19"/>
  <c r="E43" i="19"/>
  <c r="F42" i="19"/>
  <c r="E42" i="19"/>
  <c r="F41" i="19"/>
  <c r="E41" i="19"/>
  <c r="F40" i="19"/>
  <c r="E40" i="19"/>
  <c r="F39" i="19"/>
  <c r="E39" i="19"/>
  <c r="F38" i="19"/>
  <c r="E38" i="19"/>
  <c r="C38" i="19"/>
  <c r="E37" i="19"/>
  <c r="C37" i="19"/>
  <c r="F37" i="19" s="1"/>
  <c r="F36" i="19"/>
  <c r="E36" i="19"/>
  <c r="E35" i="19"/>
  <c r="C35" i="19"/>
  <c r="F35" i="19" s="1"/>
  <c r="E34" i="19"/>
  <c r="C34" i="19"/>
  <c r="F34" i="19" s="1"/>
  <c r="E33" i="19"/>
  <c r="C33" i="19"/>
  <c r="F33" i="19" s="1"/>
  <c r="F32" i="19"/>
  <c r="B32" i="19"/>
  <c r="E32" i="19" s="1"/>
  <c r="E31" i="19"/>
  <c r="C31" i="19"/>
  <c r="F31" i="19" s="1"/>
  <c r="F30" i="19"/>
  <c r="E30" i="19"/>
  <c r="F29" i="19"/>
  <c r="E29" i="19"/>
  <c r="F28" i="19"/>
  <c r="E28" i="19"/>
  <c r="F27" i="19"/>
  <c r="E27" i="19"/>
  <c r="F26" i="19"/>
  <c r="E26" i="19"/>
  <c r="F25" i="19"/>
  <c r="E25" i="19"/>
  <c r="F24" i="19"/>
  <c r="E24" i="19"/>
  <c r="F23" i="19"/>
  <c r="E23" i="19"/>
  <c r="F22" i="19"/>
  <c r="E22" i="19"/>
  <c r="E21" i="19"/>
  <c r="C21" i="19"/>
  <c r="F21" i="19" s="1"/>
  <c r="E20" i="19"/>
  <c r="C20" i="19"/>
  <c r="F20" i="19" s="1"/>
  <c r="F19" i="19"/>
  <c r="E19" i="19"/>
  <c r="F18" i="19"/>
  <c r="E18" i="19"/>
  <c r="F17" i="19"/>
  <c r="E17" i="19"/>
  <c r="F16" i="19"/>
  <c r="E16" i="19"/>
  <c r="F15" i="19"/>
  <c r="E15" i="19"/>
  <c r="F14" i="19"/>
  <c r="E14" i="19"/>
  <c r="F13" i="19"/>
  <c r="E13" i="19"/>
  <c r="F12" i="19"/>
  <c r="E12" i="19"/>
  <c r="F11" i="19"/>
  <c r="E11" i="19"/>
  <c r="F10" i="19"/>
  <c r="E10" i="19"/>
  <c r="F9" i="19"/>
  <c r="E9" i="19"/>
  <c r="F8" i="19"/>
  <c r="B8" i="19"/>
  <c r="E8" i="19" s="1"/>
  <c r="F7" i="19"/>
  <c r="E7" i="19"/>
  <c r="F6" i="19"/>
  <c r="E6" i="19"/>
  <c r="F5" i="19"/>
  <c r="B5" i="19"/>
  <c r="E5" i="19" s="1"/>
  <c r="F4" i="19"/>
  <c r="E4" i="19"/>
  <c r="F3" i="19"/>
  <c r="E3" i="19"/>
  <c r="G54" i="18"/>
  <c r="F54" i="18"/>
  <c r="H54" i="18" s="1"/>
  <c r="G53" i="18"/>
  <c r="F53" i="18"/>
  <c r="H53" i="18" s="1"/>
  <c r="C53" i="18"/>
  <c r="G52" i="18"/>
  <c r="F52" i="18"/>
  <c r="H52" i="18" s="1"/>
  <c r="C52" i="18"/>
  <c r="G51" i="18"/>
  <c r="F51" i="18"/>
  <c r="H51" i="18" s="1"/>
  <c r="G50" i="18"/>
  <c r="F50" i="18"/>
  <c r="H50" i="18" s="1"/>
  <c r="C50" i="18"/>
  <c r="G49" i="18"/>
  <c r="F49" i="18"/>
  <c r="H49" i="18" s="1"/>
  <c r="C49" i="18"/>
  <c r="G48" i="18"/>
  <c r="F48" i="18"/>
  <c r="H48" i="18" s="1"/>
  <c r="G47" i="18"/>
  <c r="F47" i="18"/>
  <c r="H47" i="18" s="1"/>
  <c r="C47" i="18"/>
  <c r="G46" i="18"/>
  <c r="F46" i="18"/>
  <c r="H46" i="18" s="1"/>
  <c r="C46" i="18"/>
  <c r="G45" i="18"/>
  <c r="F45" i="18"/>
  <c r="H45" i="18" s="1"/>
  <c r="G44" i="18"/>
  <c r="F44" i="18"/>
  <c r="H44" i="18" s="1"/>
  <c r="G43" i="18"/>
  <c r="F43" i="18"/>
  <c r="H43" i="18" s="1"/>
  <c r="G42" i="18"/>
  <c r="F42" i="18"/>
  <c r="H42" i="18" s="1"/>
  <c r="G41" i="18"/>
  <c r="F41" i="18"/>
  <c r="H41" i="18" s="1"/>
  <c r="G40" i="18"/>
  <c r="F40" i="18"/>
  <c r="H40" i="18" s="1"/>
  <c r="G39" i="18"/>
  <c r="F39" i="18"/>
  <c r="H39" i="18" s="1"/>
  <c r="G38" i="18"/>
  <c r="F38" i="18"/>
  <c r="H38" i="18" s="1"/>
  <c r="G37" i="18"/>
  <c r="F37" i="18"/>
  <c r="H37" i="18" s="1"/>
  <c r="G36" i="18"/>
  <c r="F36" i="18"/>
  <c r="H36" i="18" s="1"/>
  <c r="G35" i="18"/>
  <c r="F35" i="18"/>
  <c r="H35" i="18" s="1"/>
  <c r="G34" i="18"/>
  <c r="F34" i="18"/>
  <c r="H34" i="18" s="1"/>
  <c r="G33" i="18"/>
  <c r="F33" i="18"/>
  <c r="H33" i="18" s="1"/>
  <c r="G32" i="18"/>
  <c r="F32" i="18"/>
  <c r="H32" i="18" s="1"/>
  <c r="G31" i="18"/>
  <c r="F31" i="18"/>
  <c r="H31" i="18" s="1"/>
  <c r="G30" i="18"/>
  <c r="F30" i="18"/>
  <c r="H30" i="18" s="1"/>
  <c r="G29" i="18"/>
  <c r="F29" i="18"/>
  <c r="H29" i="18" s="1"/>
  <c r="G28" i="18"/>
  <c r="F28" i="18"/>
  <c r="H28" i="18" s="1"/>
  <c r="G27" i="18"/>
  <c r="F27" i="18"/>
  <c r="H27" i="18" s="1"/>
  <c r="G26" i="18"/>
  <c r="F26" i="18"/>
  <c r="H26" i="18" s="1"/>
  <c r="G25" i="18"/>
  <c r="F25" i="18"/>
  <c r="H25" i="18" s="1"/>
  <c r="G24" i="18"/>
  <c r="F24" i="18"/>
  <c r="H24" i="18" s="1"/>
  <c r="G23" i="18"/>
  <c r="E23" i="18"/>
  <c r="F23" i="18" s="1"/>
  <c r="H23" i="18" s="1"/>
  <c r="C23" i="18"/>
  <c r="E19" i="18"/>
  <c r="D19" i="18"/>
  <c r="E18" i="18"/>
  <c r="D18" i="18"/>
  <c r="E17" i="18"/>
  <c r="D17" i="18"/>
  <c r="E16" i="18"/>
  <c r="D16" i="18"/>
  <c r="E15" i="18"/>
  <c r="D15" i="18"/>
  <c r="E14" i="18"/>
  <c r="D14" i="18"/>
  <c r="E13" i="18"/>
  <c r="D13" i="18"/>
  <c r="E12" i="18"/>
  <c r="D12" i="18"/>
  <c r="E11" i="18"/>
  <c r="D11" i="18"/>
  <c r="E10" i="18"/>
  <c r="D10" i="18"/>
  <c r="E9" i="18"/>
  <c r="D9" i="18"/>
  <c r="E8" i="18"/>
  <c r="D8" i="18"/>
  <c r="E7" i="18"/>
  <c r="D7" i="18"/>
  <c r="E6" i="18"/>
  <c r="D6" i="18"/>
  <c r="E5" i="18"/>
  <c r="D5" i="18"/>
  <c r="E4" i="18"/>
  <c r="D4" i="18"/>
  <c r="E3" i="18"/>
  <c r="D3" i="18"/>
  <c r="C132" i="24" l="1" a="1"/>
  <c r="C132" i="24" s="1"/>
  <c r="B116" i="24"/>
  <c r="B104" i="24"/>
  <c r="B92" i="24"/>
  <c r="B80" i="24"/>
  <c r="B68" i="24"/>
  <c r="B44" i="24"/>
  <c r="B32" i="24"/>
  <c r="B8" i="24"/>
  <c r="C136" i="24" a="1"/>
  <c r="C136" i="24" s="1"/>
  <c r="C101" i="24" a="1"/>
  <c r="C101" i="24" s="1"/>
  <c r="C70" i="24" a="1"/>
  <c r="C70" i="24" s="1"/>
  <c r="C50" i="24" a="1"/>
  <c r="C50" i="24" s="1"/>
  <c r="C135" i="24" a="1"/>
  <c r="C135" i="24" s="1"/>
  <c r="C100" i="24" a="1"/>
  <c r="C100" i="24" s="1"/>
  <c r="C34" i="24" a="1"/>
  <c r="C34" i="24" s="1"/>
  <c r="C134" i="24" a="1"/>
  <c r="C134" i="24" s="1"/>
  <c r="C112" i="24" a="1"/>
  <c r="C112" i="24" s="1"/>
  <c r="C98" i="24" a="1"/>
  <c r="C98" i="24" s="1"/>
  <c r="B77" i="24"/>
  <c r="B65" i="24"/>
  <c r="B53" i="24"/>
  <c r="B41" i="24"/>
  <c r="B5" i="24"/>
  <c r="C5" i="24" s="1" a="1"/>
  <c r="C5" i="24" s="1"/>
  <c r="C111" i="24" a="1"/>
  <c r="C111" i="24" s="1"/>
  <c r="C10" i="24" a="1"/>
  <c r="C10" i="24" s="1"/>
  <c r="B160" i="24"/>
  <c r="B88" i="24"/>
  <c r="B76" i="24"/>
  <c r="B64" i="24"/>
  <c r="B52" i="24"/>
  <c r="B28" i="24"/>
  <c r="C110" i="24" a="1"/>
  <c r="C110" i="24" s="1"/>
  <c r="C46" i="24" a="1"/>
  <c r="C46" i="24" s="1"/>
  <c r="B87" i="24"/>
  <c r="B75" i="24"/>
  <c r="B63" i="24"/>
  <c r="B51" i="24"/>
  <c r="B39" i="24"/>
  <c r="B27" i="24"/>
  <c r="B122" i="24"/>
  <c r="B86" i="24"/>
  <c r="B38" i="24"/>
  <c r="B26" i="24"/>
  <c r="C94" i="24" a="1"/>
  <c r="C94" i="24" s="1"/>
  <c r="C106" i="24" a="1"/>
  <c r="C106" i="24" s="1"/>
  <c r="B118" i="24"/>
  <c r="B22" i="24"/>
  <c r="H29" i="17"/>
  <c r="C114" i="24" a="1"/>
  <c r="C114" i="24" s="1"/>
  <c r="D30" i="17"/>
  <c r="C161" i="24" a="1"/>
  <c r="C161" i="24" s="1"/>
  <c r="H28" i="17"/>
  <c r="B154" i="22" a="1"/>
  <c r="B154" i="22" s="1"/>
  <c r="B118" i="22" a="1"/>
  <c r="B118" i="22" s="1"/>
  <c r="B153" i="22" a="1"/>
  <c r="B153" i="22" s="1"/>
  <c r="B106" i="22" a="1"/>
  <c r="B106" i="22" s="1"/>
  <c r="B165" i="22" a="1"/>
  <c r="B165" i="22" s="1"/>
  <c r="B149" i="22" a="1"/>
  <c r="B149" i="22" s="1"/>
  <c r="B145" i="22" a="1"/>
  <c r="B145" i="22" s="1"/>
  <c r="B164" i="22" a="1"/>
  <c r="B164" i="22" s="1"/>
  <c r="B143" i="22" a="1"/>
  <c r="B143" i="22" s="1"/>
  <c r="B163" i="22" a="1"/>
  <c r="B163" i="22" s="1"/>
  <c r="B157" i="22" a="1"/>
  <c r="B157" i="22" s="1"/>
  <c r="B142" i="22" a="1"/>
  <c r="B142" i="22" s="1"/>
  <c r="B155" i="22" a="1"/>
  <c r="B155" i="22" s="1"/>
  <c r="B130" i="22" a="1"/>
  <c r="B130" i="22" s="1"/>
  <c r="B112" i="22" a="1"/>
  <c r="B112" i="22" s="1"/>
  <c r="B57" i="22" a="1"/>
  <c r="B57" i="22" s="1"/>
  <c r="B51" i="22" a="1"/>
  <c r="B51" i="22" s="1"/>
  <c r="B45" i="22" a="1"/>
  <c r="B45" i="22" s="1"/>
  <c r="B39" i="22" a="1"/>
  <c r="B39" i="22" s="1"/>
  <c r="B33" i="22" a="1"/>
  <c r="B33" i="22" s="1"/>
  <c r="B27" i="22" a="1"/>
  <c r="B27" i="22" s="1"/>
  <c r="B21" i="22" a="1"/>
  <c r="B21" i="22" s="1"/>
  <c r="B15" i="22" a="1"/>
  <c r="B15" i="22" s="1"/>
  <c r="B9" i="22" a="1"/>
  <c r="B9" i="22" s="1"/>
  <c r="B159" i="22" a="1"/>
  <c r="B159" i="22" s="1"/>
  <c r="B147" i="22" a="1"/>
  <c r="B147" i="22" s="1"/>
  <c r="B141" i="22" a="1"/>
  <c r="B141" i="22" s="1"/>
  <c r="B135" i="22" a="1"/>
  <c r="B135" i="22" s="1"/>
  <c r="B129" i="22" a="1"/>
  <c r="B129" i="22" s="1"/>
  <c r="B123" i="22" a="1"/>
  <c r="B123" i="22" s="1"/>
  <c r="B117" i="22" a="1"/>
  <c r="B117" i="22" s="1"/>
  <c r="B111" i="22" a="1"/>
  <c r="B111" i="22" s="1"/>
  <c r="B105" i="22" a="1"/>
  <c r="B105" i="22" s="1"/>
  <c r="B99" i="22" a="1"/>
  <c r="B99" i="22" s="1"/>
  <c r="B93" i="22" a="1"/>
  <c r="B93" i="22" s="1"/>
  <c r="B87" i="22" a="1"/>
  <c r="B87" i="22" s="1"/>
  <c r="B81" i="22" a="1"/>
  <c r="B81" i="22" s="1"/>
  <c r="B75" i="22" a="1"/>
  <c r="B75" i="22" s="1"/>
  <c r="B69" i="22" a="1"/>
  <c r="B69" i="22" s="1"/>
  <c r="B63" i="22" a="1"/>
  <c r="B63" i="22" s="1"/>
  <c r="B56" i="22" a="1"/>
  <c r="B56" i="22" s="1"/>
  <c r="B50" i="22" a="1"/>
  <c r="B50" i="22" s="1"/>
  <c r="B44" i="22" a="1"/>
  <c r="B44" i="22" s="1"/>
  <c r="B38" i="22" a="1"/>
  <c r="B38" i="22" s="1"/>
  <c r="B32" i="22" a="1"/>
  <c r="B32" i="22" s="1"/>
  <c r="B26" i="22" a="1"/>
  <c r="B26" i="22" s="1"/>
  <c r="B20" i="22" a="1"/>
  <c r="B20" i="22" s="1"/>
  <c r="B14" i="22" a="1"/>
  <c r="B14" i="22" s="1"/>
  <c r="B158" i="22" a="1"/>
  <c r="B158" i="22" s="1"/>
  <c r="B152" i="22" a="1"/>
  <c r="B152" i="22" s="1"/>
  <c r="B146" i="22" a="1"/>
  <c r="B146" i="22" s="1"/>
  <c r="B140" i="22" a="1"/>
  <c r="B140" i="22" s="1"/>
  <c r="B134" i="22" a="1"/>
  <c r="B134" i="22" s="1"/>
  <c r="B128" i="22" a="1"/>
  <c r="B128" i="22" s="1"/>
  <c r="B122" i="22" a="1"/>
  <c r="B122" i="22" s="1"/>
  <c r="B116" i="22" a="1"/>
  <c r="B116" i="22" s="1"/>
  <c r="B110" i="22" a="1"/>
  <c r="B110" i="22" s="1"/>
  <c r="B104" i="22" a="1"/>
  <c r="B104" i="22" s="1"/>
  <c r="B98" i="22" a="1"/>
  <c r="B98" i="22" s="1"/>
  <c r="B92" i="22" a="1"/>
  <c r="B92" i="22" s="1"/>
  <c r="B86" i="22" a="1"/>
  <c r="B86" i="22" s="1"/>
  <c r="B80" i="22" a="1"/>
  <c r="B80" i="22" s="1"/>
  <c r="B74" i="22" a="1"/>
  <c r="B74" i="22" s="1"/>
  <c r="B68" i="22" a="1"/>
  <c r="B68" i="22" s="1"/>
  <c r="B8" i="22" a="1"/>
  <c r="B8" i="22" s="1"/>
  <c r="B5" i="22" a="1"/>
  <c r="B5" i="22" s="1"/>
  <c r="B2" i="22" a="1"/>
  <c r="B2" i="22" s="1"/>
  <c r="B61" i="22" a="1"/>
  <c r="B61" i="22" s="1"/>
  <c r="B55" i="22" a="1"/>
  <c r="B55" i="22" s="1"/>
  <c r="B49" i="22" a="1"/>
  <c r="B49" i="22" s="1"/>
  <c r="B43" i="22" a="1"/>
  <c r="B43" i="22" s="1"/>
  <c r="B37" i="22" a="1"/>
  <c r="B37" i="22" s="1"/>
  <c r="B31" i="22" a="1"/>
  <c r="B31" i="22" s="1"/>
  <c r="B25" i="22" a="1"/>
  <c r="B25" i="22" s="1"/>
  <c r="B19" i="22" a="1"/>
  <c r="B19" i="22" s="1"/>
  <c r="B13" i="22" a="1"/>
  <c r="B13" i="22" s="1"/>
  <c r="B139" i="22" a="1"/>
  <c r="B139" i="22" s="1"/>
  <c r="B127" i="22" a="1"/>
  <c r="B127" i="22" s="1"/>
  <c r="B121" i="22" a="1"/>
  <c r="B121" i="22" s="1"/>
  <c r="B115" i="22" a="1"/>
  <c r="B115" i="22" s="1"/>
  <c r="B109" i="22" a="1"/>
  <c r="B109" i="22" s="1"/>
  <c r="B103" i="22" a="1"/>
  <c r="B103" i="22" s="1"/>
  <c r="B97" i="22" a="1"/>
  <c r="B97" i="22" s="1"/>
  <c r="B91" i="22" a="1"/>
  <c r="B91" i="22" s="1"/>
  <c r="B85" i="22" a="1"/>
  <c r="B85" i="22" s="1"/>
  <c r="B79" i="22" a="1"/>
  <c r="B79" i="22" s="1"/>
  <c r="B73" i="22" a="1"/>
  <c r="B73" i="22" s="1"/>
  <c r="B67" i="22" a="1"/>
  <c r="B67" i="22" s="1"/>
  <c r="B60" i="22" a="1"/>
  <c r="B60" i="22" s="1"/>
  <c r="B54" i="22" a="1"/>
  <c r="B54" i="22" s="1"/>
  <c r="B48" i="22" a="1"/>
  <c r="B48" i="22" s="1"/>
  <c r="B42" i="22" a="1"/>
  <c r="B42" i="22" s="1"/>
  <c r="B36" i="22" a="1"/>
  <c r="B36" i="22" s="1"/>
  <c r="B30" i="22" a="1"/>
  <c r="B30" i="22" s="1"/>
  <c r="B24" i="22" a="1"/>
  <c r="B24" i="22" s="1"/>
  <c r="B18" i="22" a="1"/>
  <c r="B18" i="22" s="1"/>
  <c r="B12" i="22" a="1"/>
  <c r="B12" i="22" s="1"/>
  <c r="B4" i="22" a="1"/>
  <c r="B4" i="22" s="1"/>
  <c r="B150" i="22" a="1"/>
  <c r="B150" i="22" s="1"/>
  <c r="B144" i="22" a="1"/>
  <c r="B144" i="22" s="1"/>
  <c r="B138" i="22" a="1"/>
  <c r="B138" i="22" s="1"/>
  <c r="B132" i="22" a="1"/>
  <c r="B132" i="22" s="1"/>
  <c r="B126" i="22" a="1"/>
  <c r="B126" i="22" s="1"/>
  <c r="B120" i="22" a="1"/>
  <c r="B120" i="22" s="1"/>
  <c r="B114" i="22" a="1"/>
  <c r="B114" i="22" s="1"/>
  <c r="B108" i="22" a="1"/>
  <c r="B108" i="22" s="1"/>
  <c r="B102" i="22" a="1"/>
  <c r="B102" i="22" s="1"/>
  <c r="B96" i="22" a="1"/>
  <c r="B96" i="22" s="1"/>
  <c r="B90" i="22" a="1"/>
  <c r="B90" i="22" s="1"/>
  <c r="B84" i="22" a="1"/>
  <c r="B84" i="22" s="1"/>
  <c r="B78" i="22" a="1"/>
  <c r="B78" i="22" s="1"/>
  <c r="B72" i="22" a="1"/>
  <c r="B72" i="22" s="1"/>
  <c r="B66" i="22" a="1"/>
  <c r="B66" i="22" s="1"/>
  <c r="B7" i="22" a="1"/>
  <c r="B7" i="22" s="1"/>
  <c r="B59" i="22" a="1"/>
  <c r="B59" i="22" s="1"/>
  <c r="B53" i="22" a="1"/>
  <c r="B53" i="22" s="1"/>
  <c r="B47" i="22" a="1"/>
  <c r="B47" i="22" s="1"/>
  <c r="B41" i="22" a="1"/>
  <c r="B41" i="22" s="1"/>
  <c r="B35" i="22" a="1"/>
  <c r="B35" i="22" s="1"/>
  <c r="B29" i="22" a="1"/>
  <c r="B29" i="22" s="1"/>
  <c r="B23" i="22" a="1"/>
  <c r="B23" i="22" s="1"/>
  <c r="B17" i="22" a="1"/>
  <c r="B17" i="22" s="1"/>
  <c r="B11" i="22" a="1"/>
  <c r="B11" i="22" s="1"/>
  <c r="B137" i="22" a="1"/>
  <c r="B137" i="22" s="1"/>
  <c r="B125" i="22" a="1"/>
  <c r="B125" i="22" s="1"/>
  <c r="B119" i="22" a="1"/>
  <c r="B119" i="22" s="1"/>
  <c r="B113" i="22" a="1"/>
  <c r="B113" i="22" s="1"/>
  <c r="B107" i="22" a="1"/>
  <c r="B107" i="22" s="1"/>
  <c r="B101" i="22" a="1"/>
  <c r="B101" i="22" s="1"/>
  <c r="B95" i="22" a="1"/>
  <c r="B95" i="22" s="1"/>
  <c r="B89" i="22" a="1"/>
  <c r="B89" i="22" s="1"/>
  <c r="B83" i="22" a="1"/>
  <c r="B83" i="22" s="1"/>
  <c r="B77" i="22" a="1"/>
  <c r="B77" i="22" s="1"/>
  <c r="B71" i="22" a="1"/>
  <c r="B71" i="22" s="1"/>
  <c r="B65" i="22" a="1"/>
  <c r="B65" i="22" s="1"/>
  <c r="B3" i="22" a="1"/>
  <c r="B3" i="22" s="1"/>
  <c r="B58" i="22" a="1"/>
  <c r="B58" i="22" s="1"/>
  <c r="B52" i="22" a="1"/>
  <c r="B52" i="22" s="1"/>
  <c r="B46" i="22" a="1"/>
  <c r="B46" i="22" s="1"/>
  <c r="B40" i="22" a="1"/>
  <c r="B40" i="22" s="1"/>
  <c r="B34" i="22" a="1"/>
  <c r="B34" i="22" s="1"/>
  <c r="B28" i="22" a="1"/>
  <c r="B28" i="22" s="1"/>
  <c r="B22" i="22" a="1"/>
  <c r="B22" i="22" s="1"/>
  <c r="B16" i="22" a="1"/>
  <c r="B16" i="22" s="1"/>
  <c r="B10" i="22" a="1"/>
  <c r="B10" i="22" s="1"/>
  <c r="C48" i="18"/>
  <c r="C51" i="18"/>
  <c r="C54" i="18"/>
  <c r="D4" i="6" l="1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3" i="6"/>
  <c r="H365" i="17" l="1"/>
  <c r="B365" i="17"/>
  <c r="H364" i="17"/>
  <c r="B364" i="17"/>
  <c r="H363" i="17"/>
  <c r="B363" i="17"/>
  <c r="H362" i="17"/>
  <c r="B362" i="17"/>
  <c r="H361" i="17"/>
  <c r="B361" i="17"/>
  <c r="H360" i="17"/>
  <c r="B360" i="17"/>
  <c r="H359" i="17"/>
  <c r="B359" i="17"/>
  <c r="H358" i="17"/>
  <c r="B358" i="17"/>
  <c r="H357" i="17"/>
  <c r="B357" i="17"/>
  <c r="H356" i="17"/>
  <c r="B356" i="17"/>
  <c r="H355" i="17"/>
  <c r="B355" i="17"/>
  <c r="H354" i="17"/>
  <c r="B354" i="17"/>
  <c r="D354" i="17" s="1"/>
  <c r="H353" i="17"/>
  <c r="B353" i="17"/>
  <c r="H352" i="17"/>
  <c r="B352" i="17"/>
  <c r="H351" i="17"/>
  <c r="B351" i="17"/>
  <c r="H350" i="17"/>
  <c r="B350" i="17"/>
  <c r="H349" i="17"/>
  <c r="B349" i="17"/>
  <c r="H348" i="17"/>
  <c r="B348" i="17"/>
  <c r="H347" i="17"/>
  <c r="B347" i="17"/>
  <c r="H346" i="17"/>
  <c r="B346" i="17"/>
  <c r="H345" i="17"/>
  <c r="B345" i="17"/>
  <c r="H344" i="17"/>
  <c r="B344" i="17"/>
  <c r="H343" i="17"/>
  <c r="B343" i="17"/>
  <c r="H342" i="17"/>
  <c r="B342" i="17"/>
  <c r="H341" i="17"/>
  <c r="B341" i="17"/>
  <c r="H340" i="17"/>
  <c r="B340" i="17"/>
  <c r="H339" i="17"/>
  <c r="B339" i="17"/>
  <c r="H338" i="17"/>
  <c r="B338" i="17"/>
  <c r="H337" i="17"/>
  <c r="B337" i="17"/>
  <c r="H336" i="17"/>
  <c r="B336" i="17"/>
  <c r="H335" i="17"/>
  <c r="B335" i="17"/>
  <c r="H334" i="17"/>
  <c r="B334" i="17"/>
  <c r="H333" i="17"/>
  <c r="B333" i="17"/>
  <c r="H332" i="17"/>
  <c r="B332" i="17"/>
  <c r="H331" i="17"/>
  <c r="B331" i="17"/>
  <c r="H330" i="17"/>
  <c r="B330" i="17"/>
  <c r="H329" i="17"/>
  <c r="B329" i="17"/>
  <c r="H328" i="17"/>
  <c r="B328" i="17"/>
  <c r="H327" i="17"/>
  <c r="B327" i="17"/>
  <c r="H325" i="17"/>
  <c r="G325" i="17"/>
  <c r="D325" i="17"/>
  <c r="H324" i="17"/>
  <c r="G324" i="17"/>
  <c r="D324" i="17"/>
  <c r="H323" i="17"/>
  <c r="G323" i="17"/>
  <c r="D323" i="17"/>
  <c r="I321" i="17"/>
  <c r="H321" i="17"/>
  <c r="G321" i="17"/>
  <c r="D321" i="17"/>
  <c r="I320" i="17"/>
  <c r="H320" i="17"/>
  <c r="G320" i="17"/>
  <c r="D320" i="17"/>
  <c r="I319" i="17"/>
  <c r="H319" i="17"/>
  <c r="G319" i="17"/>
  <c r="D319" i="17"/>
  <c r="I318" i="17"/>
  <c r="H318" i="17"/>
  <c r="G318" i="17"/>
  <c r="D318" i="17"/>
  <c r="I317" i="17"/>
  <c r="H317" i="17"/>
  <c r="G317" i="17"/>
  <c r="D317" i="17"/>
  <c r="I316" i="17"/>
  <c r="H316" i="17"/>
  <c r="G316" i="17"/>
  <c r="D316" i="17"/>
  <c r="I315" i="17"/>
  <c r="H315" i="17"/>
  <c r="G315" i="17"/>
  <c r="D315" i="17"/>
  <c r="I314" i="17"/>
  <c r="H314" i="17"/>
  <c r="G314" i="17"/>
  <c r="D314" i="17"/>
  <c r="I313" i="17"/>
  <c r="H313" i="17"/>
  <c r="G313" i="17"/>
  <c r="D313" i="17"/>
  <c r="I312" i="17"/>
  <c r="H312" i="17"/>
  <c r="G312" i="17"/>
  <c r="D312" i="17"/>
  <c r="I311" i="17"/>
  <c r="C316" i="24" s="1" a="1"/>
  <c r="C316" i="24" s="1"/>
  <c r="H311" i="17"/>
  <c r="G311" i="17"/>
  <c r="D311" i="17"/>
  <c r="H310" i="17"/>
  <c r="B310" i="17"/>
  <c r="I310" i="17" s="1"/>
  <c r="H309" i="17"/>
  <c r="B309" i="17"/>
  <c r="I309" i="17" s="1"/>
  <c r="H308" i="17"/>
  <c r="B308" i="17"/>
  <c r="G308" i="17" s="1"/>
  <c r="H307" i="17"/>
  <c r="B307" i="17"/>
  <c r="I307" i="17" s="1"/>
  <c r="H306" i="17"/>
  <c r="B306" i="17"/>
  <c r="I306" i="17" s="1"/>
  <c r="H305" i="17"/>
  <c r="B305" i="17"/>
  <c r="I305" i="17" s="1"/>
  <c r="H304" i="17"/>
  <c r="B304" i="17"/>
  <c r="I304" i="17" s="1"/>
  <c r="H303" i="17"/>
  <c r="B303" i="17"/>
  <c r="G303" i="17" s="1"/>
  <c r="H302" i="17"/>
  <c r="B302" i="17"/>
  <c r="I302" i="17" s="1"/>
  <c r="H301" i="17"/>
  <c r="B301" i="17"/>
  <c r="D301" i="17" s="1"/>
  <c r="H300" i="17"/>
  <c r="B300" i="17"/>
  <c r="G300" i="17" s="1"/>
  <c r="H299" i="17"/>
  <c r="B299" i="17"/>
  <c r="I299" i="17" s="1"/>
  <c r="H298" i="17"/>
  <c r="B298" i="17"/>
  <c r="I298" i="17" s="1"/>
  <c r="I296" i="17"/>
  <c r="H296" i="17"/>
  <c r="G296" i="17"/>
  <c r="D296" i="17"/>
  <c r="I295" i="17"/>
  <c r="C31" i="24" s="1" a="1"/>
  <c r="C31" i="24" s="1"/>
  <c r="H295" i="17"/>
  <c r="G295" i="17"/>
  <c r="D295" i="17"/>
  <c r="I294" i="17"/>
  <c r="H294" i="17"/>
  <c r="G294" i="17"/>
  <c r="D294" i="17"/>
  <c r="I293" i="17"/>
  <c r="C175" i="24" s="1" a="1"/>
  <c r="C175" i="24" s="1"/>
  <c r="H293" i="17"/>
  <c r="G293" i="17"/>
  <c r="D293" i="17"/>
  <c r="I292" i="17"/>
  <c r="C89" i="24" s="1" a="1"/>
  <c r="C89" i="24" s="1"/>
  <c r="H292" i="17"/>
  <c r="G292" i="17"/>
  <c r="D292" i="17"/>
  <c r="I291" i="17"/>
  <c r="C163" i="24" s="1" a="1"/>
  <c r="C163" i="24" s="1"/>
  <c r="H291" i="17"/>
  <c r="G291" i="17"/>
  <c r="D291" i="17"/>
  <c r="I290" i="17"/>
  <c r="H290" i="17"/>
  <c r="G290" i="17"/>
  <c r="D290" i="17"/>
  <c r="I289" i="17"/>
  <c r="H289" i="17"/>
  <c r="G289" i="17"/>
  <c r="D289" i="17"/>
  <c r="I288" i="17"/>
  <c r="H288" i="17"/>
  <c r="G288" i="17"/>
  <c r="D288" i="17"/>
  <c r="I287" i="17"/>
  <c r="H287" i="17"/>
  <c r="G287" i="17"/>
  <c r="D287" i="17"/>
  <c r="I286" i="17"/>
  <c r="H286" i="17"/>
  <c r="G286" i="17"/>
  <c r="D286" i="17"/>
  <c r="I285" i="17"/>
  <c r="H285" i="17"/>
  <c r="G285" i="17"/>
  <c r="D285" i="17"/>
  <c r="I284" i="17"/>
  <c r="H284" i="17"/>
  <c r="G284" i="17"/>
  <c r="D284" i="17"/>
  <c r="I283" i="17"/>
  <c r="H283" i="17"/>
  <c r="G283" i="17"/>
  <c r="D283" i="17"/>
  <c r="I282" i="17"/>
  <c r="H282" i="17"/>
  <c r="G282" i="17"/>
  <c r="D282" i="17"/>
  <c r="I281" i="17"/>
  <c r="H281" i="17"/>
  <c r="G281" i="17"/>
  <c r="D281" i="17"/>
  <c r="I280" i="17"/>
  <c r="H280" i="17"/>
  <c r="G280" i="17"/>
  <c r="D280" i="17"/>
  <c r="I279" i="17"/>
  <c r="H279" i="17"/>
  <c r="G279" i="17"/>
  <c r="D279" i="17"/>
  <c r="I278" i="17"/>
  <c r="H278" i="17"/>
  <c r="G278" i="17"/>
  <c r="D278" i="17"/>
  <c r="I277" i="17"/>
  <c r="H277" i="17"/>
  <c r="G277" i="17"/>
  <c r="D277" i="17"/>
  <c r="I276" i="17"/>
  <c r="H276" i="17"/>
  <c r="G276" i="17"/>
  <c r="D276" i="17"/>
  <c r="I275" i="17"/>
  <c r="H275" i="17"/>
  <c r="G275" i="17"/>
  <c r="D275" i="17"/>
  <c r="I274" i="17"/>
  <c r="H274" i="17"/>
  <c r="G274" i="17"/>
  <c r="D274" i="17"/>
  <c r="I273" i="17"/>
  <c r="H273" i="17"/>
  <c r="G273" i="17"/>
  <c r="D273" i="17"/>
  <c r="I272" i="17"/>
  <c r="H272" i="17"/>
  <c r="G272" i="17"/>
  <c r="D272" i="17"/>
  <c r="I271" i="17"/>
  <c r="H271" i="17"/>
  <c r="G271" i="17"/>
  <c r="D271" i="17"/>
  <c r="I270" i="17"/>
  <c r="H270" i="17"/>
  <c r="G270" i="17"/>
  <c r="D270" i="17"/>
  <c r="I269" i="17"/>
  <c r="H269" i="17"/>
  <c r="G269" i="17"/>
  <c r="D269" i="17"/>
  <c r="I268" i="17"/>
  <c r="H268" i="17"/>
  <c r="G268" i="17"/>
  <c r="D268" i="17"/>
  <c r="I267" i="17"/>
  <c r="H267" i="17"/>
  <c r="G267" i="17"/>
  <c r="D267" i="17"/>
  <c r="I266" i="17"/>
  <c r="H266" i="17"/>
  <c r="G266" i="17"/>
  <c r="D266" i="17"/>
  <c r="I265" i="17"/>
  <c r="H265" i="17"/>
  <c r="G265" i="17"/>
  <c r="D265" i="17"/>
  <c r="I264" i="17"/>
  <c r="H264" i="17"/>
  <c r="G264" i="17"/>
  <c r="D264" i="17"/>
  <c r="I263" i="17"/>
  <c r="H263" i="17"/>
  <c r="G263" i="17"/>
  <c r="D263" i="17"/>
  <c r="I262" i="17"/>
  <c r="H262" i="17"/>
  <c r="G262" i="17"/>
  <c r="D262" i="17"/>
  <c r="I261" i="17"/>
  <c r="C133" i="24" s="1" a="1"/>
  <c r="C133" i="24" s="1"/>
  <c r="H261" i="17"/>
  <c r="G261" i="17"/>
  <c r="D261" i="17"/>
  <c r="I260" i="17"/>
  <c r="H260" i="17"/>
  <c r="G260" i="17"/>
  <c r="D260" i="17"/>
  <c r="I259" i="17"/>
  <c r="H259" i="17"/>
  <c r="G259" i="17"/>
  <c r="D259" i="17"/>
  <c r="I258" i="17"/>
  <c r="H258" i="17"/>
  <c r="G258" i="17"/>
  <c r="D258" i="17"/>
  <c r="I257" i="17"/>
  <c r="H257" i="17"/>
  <c r="G257" i="17"/>
  <c r="D257" i="17"/>
  <c r="I256" i="17"/>
  <c r="H256" i="17"/>
  <c r="G256" i="17"/>
  <c r="D256" i="17"/>
  <c r="I255" i="17"/>
  <c r="H255" i="17"/>
  <c r="G255" i="17"/>
  <c r="D255" i="17"/>
  <c r="I254" i="17"/>
  <c r="H254" i="17"/>
  <c r="G254" i="17"/>
  <c r="D254" i="17"/>
  <c r="I253" i="17"/>
  <c r="H253" i="17"/>
  <c r="G253" i="17"/>
  <c r="D253" i="17"/>
  <c r="I252" i="17"/>
  <c r="H252" i="17"/>
  <c r="G252" i="17"/>
  <c r="D252" i="17"/>
  <c r="I250" i="17"/>
  <c r="H250" i="17"/>
  <c r="G250" i="17"/>
  <c r="D250" i="17"/>
  <c r="I249" i="17"/>
  <c r="H249" i="17"/>
  <c r="G249" i="17"/>
  <c r="D249" i="17"/>
  <c r="I248" i="17"/>
  <c r="H248" i="17"/>
  <c r="G248" i="17"/>
  <c r="D248" i="17"/>
  <c r="H246" i="17"/>
  <c r="B246" i="17"/>
  <c r="I246" i="17" s="1"/>
  <c r="H245" i="17"/>
  <c r="B245" i="17"/>
  <c r="G245" i="17" s="1"/>
  <c r="H244" i="17"/>
  <c r="B244" i="17"/>
  <c r="I244" i="17" s="1"/>
  <c r="H243" i="17"/>
  <c r="B243" i="17"/>
  <c r="I243" i="17" s="1"/>
  <c r="H242" i="17"/>
  <c r="B242" i="17"/>
  <c r="I242" i="17" s="1"/>
  <c r="H241" i="17"/>
  <c r="B241" i="17"/>
  <c r="I241" i="17" s="1"/>
  <c r="H240" i="17"/>
  <c r="B240" i="17"/>
  <c r="D240" i="17" s="1"/>
  <c r="H239" i="17"/>
  <c r="B239" i="17"/>
  <c r="I239" i="17" s="1"/>
  <c r="H238" i="17"/>
  <c r="B238" i="17"/>
  <c r="D238" i="17" s="1"/>
  <c r="H237" i="17"/>
  <c r="B237" i="17"/>
  <c r="G237" i="17" s="1"/>
  <c r="H236" i="17"/>
  <c r="B236" i="17"/>
  <c r="I236" i="17" s="1"/>
  <c r="H235" i="17"/>
  <c r="B235" i="17"/>
  <c r="D235" i="17" s="1"/>
  <c r="H234" i="17"/>
  <c r="B234" i="17"/>
  <c r="G234" i="17" s="1"/>
  <c r="H233" i="17"/>
  <c r="B233" i="17"/>
  <c r="G233" i="17" s="1"/>
  <c r="H232" i="17"/>
  <c r="B232" i="17"/>
  <c r="I232" i="17" s="1"/>
  <c r="H231" i="17"/>
  <c r="B231" i="17"/>
  <c r="G231" i="17" s="1"/>
  <c r="H230" i="17"/>
  <c r="B230" i="17"/>
  <c r="I230" i="17" s="1"/>
  <c r="H229" i="17"/>
  <c r="B229" i="17"/>
  <c r="I229" i="17" s="1"/>
  <c r="H228" i="17"/>
  <c r="B228" i="17"/>
  <c r="D228" i="17" s="1"/>
  <c r="H227" i="17"/>
  <c r="B227" i="17"/>
  <c r="I227" i="17" s="1"/>
  <c r="H226" i="17"/>
  <c r="B226" i="17"/>
  <c r="D226" i="17" s="1"/>
  <c r="H225" i="17"/>
  <c r="B225" i="17"/>
  <c r="G225" i="17" s="1"/>
  <c r="H224" i="17"/>
  <c r="B224" i="17"/>
  <c r="I224" i="17" s="1"/>
  <c r="H223" i="17"/>
  <c r="B223" i="17"/>
  <c r="I223" i="17" s="1"/>
  <c r="H222" i="17"/>
  <c r="B222" i="17"/>
  <c r="D222" i="17" s="1"/>
  <c r="H221" i="17"/>
  <c r="B221" i="17"/>
  <c r="G221" i="17" s="1"/>
  <c r="H220" i="17"/>
  <c r="B220" i="17"/>
  <c r="I220" i="17" s="1"/>
  <c r="H219" i="17"/>
  <c r="B219" i="17"/>
  <c r="D219" i="17" s="1"/>
  <c r="H218" i="17"/>
  <c r="B218" i="17"/>
  <c r="I218" i="17" s="1"/>
  <c r="H217" i="17"/>
  <c r="B217" i="17"/>
  <c r="I217" i="17" s="1"/>
  <c r="H216" i="17"/>
  <c r="B216" i="17"/>
  <c r="G216" i="17" s="1"/>
  <c r="H215" i="17"/>
  <c r="B215" i="17"/>
  <c r="I215" i="17" s="1"/>
  <c r="H214" i="17"/>
  <c r="B214" i="17"/>
  <c r="D214" i="17" s="1"/>
  <c r="H213" i="17"/>
  <c r="B213" i="17"/>
  <c r="G213" i="17" s="1"/>
  <c r="H212" i="17"/>
  <c r="B212" i="17"/>
  <c r="I212" i="17" s="1"/>
  <c r="H211" i="17"/>
  <c r="B211" i="17"/>
  <c r="G211" i="17" s="1"/>
  <c r="H210" i="17"/>
  <c r="B210" i="17"/>
  <c r="G210" i="17" s="1"/>
  <c r="H209" i="17"/>
  <c r="B209" i="17"/>
  <c r="G209" i="17" s="1"/>
  <c r="H208" i="17"/>
  <c r="B208" i="17"/>
  <c r="I208" i="17" s="1"/>
  <c r="H207" i="17"/>
  <c r="B207" i="17"/>
  <c r="I207" i="17" s="1"/>
  <c r="H206" i="17"/>
  <c r="B206" i="17"/>
  <c r="I206" i="17" s="1"/>
  <c r="H205" i="17"/>
  <c r="B205" i="17"/>
  <c r="I205" i="17" s="1"/>
  <c r="H204" i="17"/>
  <c r="B204" i="17"/>
  <c r="G204" i="17" s="1"/>
  <c r="H203" i="17"/>
  <c r="B203" i="17"/>
  <c r="I203" i="17" s="1"/>
  <c r="H202" i="17"/>
  <c r="B202" i="17"/>
  <c r="D202" i="17" s="1"/>
  <c r="H201" i="17"/>
  <c r="B201" i="17"/>
  <c r="G201" i="17" s="1"/>
  <c r="H200" i="17"/>
  <c r="B200" i="17"/>
  <c r="I200" i="17" s="1"/>
  <c r="H199" i="17"/>
  <c r="B199" i="17"/>
  <c r="I199" i="17" s="1"/>
  <c r="H198" i="17"/>
  <c r="B198" i="17"/>
  <c r="G198" i="17" s="1"/>
  <c r="H197" i="17"/>
  <c r="B197" i="17"/>
  <c r="G197" i="17" s="1"/>
  <c r="H196" i="17"/>
  <c r="B196" i="17"/>
  <c r="I196" i="17" s="1"/>
  <c r="H195" i="17"/>
  <c r="B195" i="17"/>
  <c r="I195" i="17" s="1"/>
  <c r="H194" i="17"/>
  <c r="B194" i="17"/>
  <c r="I194" i="17" s="1"/>
  <c r="H193" i="17"/>
  <c r="B193" i="17"/>
  <c r="I193" i="17" s="1"/>
  <c r="H192" i="17"/>
  <c r="B192" i="17"/>
  <c r="G192" i="17" s="1"/>
  <c r="H191" i="17"/>
  <c r="B191" i="17"/>
  <c r="I191" i="17" s="1"/>
  <c r="H190" i="17"/>
  <c r="B190" i="17"/>
  <c r="D190" i="17" s="1"/>
  <c r="H189" i="17"/>
  <c r="B189" i="17"/>
  <c r="G189" i="17" s="1"/>
  <c r="H188" i="17"/>
  <c r="B188" i="17"/>
  <c r="I188" i="17" s="1"/>
  <c r="H187" i="17"/>
  <c r="B187" i="17"/>
  <c r="G187" i="17" s="1"/>
  <c r="H186" i="17"/>
  <c r="B186" i="17"/>
  <c r="G186" i="17" s="1"/>
  <c r="H185" i="17"/>
  <c r="B185" i="17"/>
  <c r="G185" i="17" s="1"/>
  <c r="H184" i="17"/>
  <c r="B184" i="17"/>
  <c r="I184" i="17" s="1"/>
  <c r="H183" i="17"/>
  <c r="B183" i="17"/>
  <c r="I183" i="17" s="1"/>
  <c r="H182" i="17"/>
  <c r="B182" i="17"/>
  <c r="I182" i="17" s="1"/>
  <c r="H181" i="17"/>
  <c r="B181" i="17"/>
  <c r="I181" i="17" s="1"/>
  <c r="H180" i="17"/>
  <c r="B180" i="17"/>
  <c r="G180" i="17" s="1"/>
  <c r="H179" i="17"/>
  <c r="B179" i="17"/>
  <c r="I179" i="17" s="1"/>
  <c r="H178" i="17"/>
  <c r="B178" i="17"/>
  <c r="D178" i="17" s="1"/>
  <c r="H177" i="17"/>
  <c r="B177" i="17"/>
  <c r="G177" i="17" s="1"/>
  <c r="H176" i="17"/>
  <c r="B176" i="17"/>
  <c r="I176" i="17" s="1"/>
  <c r="H175" i="17"/>
  <c r="B175" i="17"/>
  <c r="I175" i="17" s="1"/>
  <c r="H174" i="17"/>
  <c r="B174" i="17"/>
  <c r="G174" i="17" s="1"/>
  <c r="H173" i="17"/>
  <c r="B173" i="17"/>
  <c r="G173" i="17" s="1"/>
  <c r="H172" i="17"/>
  <c r="B172" i="17"/>
  <c r="I172" i="17" s="1"/>
  <c r="H171" i="17"/>
  <c r="B171" i="17"/>
  <c r="I171" i="17" s="1"/>
  <c r="H170" i="17"/>
  <c r="B170" i="17"/>
  <c r="I170" i="17" s="1"/>
  <c r="H169" i="17"/>
  <c r="B169" i="17"/>
  <c r="I169" i="17" s="1"/>
  <c r="H168" i="17"/>
  <c r="B168" i="17"/>
  <c r="G168" i="17" s="1"/>
  <c r="G167" i="17"/>
  <c r="C167" i="17"/>
  <c r="I167" i="17" s="1"/>
  <c r="C166" i="17"/>
  <c r="B166" i="17"/>
  <c r="G166" i="17" s="1"/>
  <c r="I164" i="17"/>
  <c r="H164" i="17"/>
  <c r="G164" i="17"/>
  <c r="D164" i="17"/>
  <c r="I163" i="17"/>
  <c r="H163" i="17"/>
  <c r="G163" i="17"/>
  <c r="D163" i="17"/>
  <c r="I162" i="17"/>
  <c r="H162" i="17"/>
  <c r="G162" i="17"/>
  <c r="D162" i="17"/>
  <c r="I161" i="17"/>
  <c r="H161" i="17"/>
  <c r="G161" i="17"/>
  <c r="D161" i="17"/>
  <c r="I160" i="17"/>
  <c r="H160" i="17"/>
  <c r="G160" i="17"/>
  <c r="D160" i="17"/>
  <c r="I159" i="17"/>
  <c r="H159" i="17"/>
  <c r="G159" i="17"/>
  <c r="D159" i="17"/>
  <c r="I158" i="17"/>
  <c r="H158" i="17"/>
  <c r="G158" i="17"/>
  <c r="D158" i="17"/>
  <c r="I157" i="17"/>
  <c r="H157" i="17"/>
  <c r="G157" i="17"/>
  <c r="D157" i="17"/>
  <c r="I156" i="17"/>
  <c r="H156" i="17"/>
  <c r="G156" i="17"/>
  <c r="D156" i="17"/>
  <c r="I155" i="17"/>
  <c r="H155" i="17"/>
  <c r="G155" i="17"/>
  <c r="D155" i="17"/>
  <c r="I154" i="17"/>
  <c r="H154" i="17"/>
  <c r="G154" i="17"/>
  <c r="D154" i="17"/>
  <c r="I153" i="17"/>
  <c r="H153" i="17"/>
  <c r="G153" i="17"/>
  <c r="D153" i="17"/>
  <c r="I152" i="17"/>
  <c r="H152" i="17"/>
  <c r="G152" i="17"/>
  <c r="D152" i="17"/>
  <c r="I151" i="17"/>
  <c r="H151" i="17"/>
  <c r="G151" i="17"/>
  <c r="D151" i="17"/>
  <c r="I150" i="17"/>
  <c r="H150" i="17"/>
  <c r="G150" i="17"/>
  <c r="D150" i="17"/>
  <c r="I149" i="17"/>
  <c r="H149" i="17"/>
  <c r="G149" i="17"/>
  <c r="D149" i="17"/>
  <c r="I148" i="17"/>
  <c r="H148" i="17"/>
  <c r="G148" i="17"/>
  <c r="D148" i="17"/>
  <c r="I147" i="17"/>
  <c r="H147" i="17"/>
  <c r="G147" i="17"/>
  <c r="D147" i="17"/>
  <c r="I146" i="17"/>
  <c r="H146" i="17"/>
  <c r="G146" i="17"/>
  <c r="D146" i="17"/>
  <c r="I145" i="17"/>
  <c r="H145" i="17"/>
  <c r="G145" i="17"/>
  <c r="D145" i="17"/>
  <c r="I144" i="17"/>
  <c r="H144" i="17"/>
  <c r="G144" i="17"/>
  <c r="D144" i="17"/>
  <c r="I143" i="17"/>
  <c r="H143" i="17"/>
  <c r="G143" i="17"/>
  <c r="D143" i="17"/>
  <c r="I142" i="17"/>
  <c r="H142" i="17"/>
  <c r="G142" i="17"/>
  <c r="D142" i="17"/>
  <c r="I141" i="17"/>
  <c r="H141" i="17"/>
  <c r="G141" i="17"/>
  <c r="D141" i="17"/>
  <c r="I140" i="17"/>
  <c r="H140" i="17"/>
  <c r="G140" i="17"/>
  <c r="D140" i="17"/>
  <c r="I139" i="17"/>
  <c r="H139" i="17"/>
  <c r="G139" i="17"/>
  <c r="D139" i="17"/>
  <c r="I138" i="17"/>
  <c r="H138" i="17"/>
  <c r="G138" i="17"/>
  <c r="D138" i="17"/>
  <c r="I137" i="17"/>
  <c r="H137" i="17"/>
  <c r="G137" i="17"/>
  <c r="D137" i="17"/>
  <c r="I136" i="17"/>
  <c r="H136" i="17"/>
  <c r="G136" i="17"/>
  <c r="D136" i="17"/>
  <c r="I135" i="17"/>
  <c r="H135" i="17"/>
  <c r="G135" i="17"/>
  <c r="D135" i="17"/>
  <c r="I134" i="17"/>
  <c r="H134" i="17"/>
  <c r="G134" i="17"/>
  <c r="D134" i="17"/>
  <c r="I133" i="17"/>
  <c r="H133" i="17"/>
  <c r="G133" i="17"/>
  <c r="D133" i="17"/>
  <c r="I132" i="17"/>
  <c r="H132" i="17"/>
  <c r="G132" i="17"/>
  <c r="D132" i="17"/>
  <c r="I131" i="17"/>
  <c r="H131" i="17"/>
  <c r="G131" i="17"/>
  <c r="D131" i="17"/>
  <c r="I130" i="17"/>
  <c r="H130" i="17"/>
  <c r="G130" i="17"/>
  <c r="D130" i="17"/>
  <c r="I129" i="17"/>
  <c r="H129" i="17"/>
  <c r="G129" i="17"/>
  <c r="D129" i="17"/>
  <c r="I128" i="17"/>
  <c r="H128" i="17"/>
  <c r="G128" i="17"/>
  <c r="D128" i="17"/>
  <c r="I127" i="17"/>
  <c r="H127" i="17"/>
  <c r="G127" i="17"/>
  <c r="D127" i="17"/>
  <c r="I126" i="17"/>
  <c r="H126" i="17"/>
  <c r="G126" i="17"/>
  <c r="D126" i="17"/>
  <c r="I125" i="17"/>
  <c r="H125" i="17"/>
  <c r="G125" i="17"/>
  <c r="D125" i="17"/>
  <c r="I124" i="17"/>
  <c r="H124" i="17"/>
  <c r="G124" i="17"/>
  <c r="D124" i="17"/>
  <c r="I123" i="17"/>
  <c r="H123" i="17"/>
  <c r="G123" i="17"/>
  <c r="D123" i="17"/>
  <c r="I122" i="17"/>
  <c r="H122" i="17"/>
  <c r="G122" i="17"/>
  <c r="D122" i="17"/>
  <c r="I121" i="17"/>
  <c r="H121" i="17"/>
  <c r="G121" i="17"/>
  <c r="D121" i="17"/>
  <c r="I120" i="17"/>
  <c r="H120" i="17"/>
  <c r="G120" i="17"/>
  <c r="D120" i="17"/>
  <c r="I119" i="17"/>
  <c r="H119" i="17"/>
  <c r="G119" i="17"/>
  <c r="D119" i="17"/>
  <c r="I118" i="17"/>
  <c r="H118" i="17"/>
  <c r="G118" i="17"/>
  <c r="D118" i="17"/>
  <c r="I117" i="17"/>
  <c r="H117" i="17"/>
  <c r="G117" i="17"/>
  <c r="D117" i="17"/>
  <c r="I116" i="17"/>
  <c r="H116" i="17"/>
  <c r="G116" i="17"/>
  <c r="D116" i="17"/>
  <c r="I115" i="17"/>
  <c r="H115" i="17"/>
  <c r="G115" i="17"/>
  <c r="D115" i="17"/>
  <c r="I114" i="17"/>
  <c r="H114" i="17"/>
  <c r="G114" i="17"/>
  <c r="D114" i="17"/>
  <c r="I113" i="17"/>
  <c r="H113" i="17"/>
  <c r="G113" i="17"/>
  <c r="D113" i="17"/>
  <c r="I112" i="17"/>
  <c r="H112" i="17"/>
  <c r="G112" i="17"/>
  <c r="D112" i="17"/>
  <c r="I111" i="17"/>
  <c r="H111" i="17"/>
  <c r="G111" i="17"/>
  <c r="D111" i="17"/>
  <c r="I110" i="17"/>
  <c r="H110" i="17"/>
  <c r="G110" i="17"/>
  <c r="D110" i="17"/>
  <c r="I109" i="17"/>
  <c r="H109" i="17"/>
  <c r="G109" i="17"/>
  <c r="D109" i="17"/>
  <c r="I108" i="17"/>
  <c r="H108" i="17"/>
  <c r="G108" i="17"/>
  <c r="D108" i="17"/>
  <c r="I107" i="17"/>
  <c r="H107" i="17"/>
  <c r="G107" i="17"/>
  <c r="D107" i="17"/>
  <c r="I106" i="17"/>
  <c r="H106" i="17"/>
  <c r="G106" i="17"/>
  <c r="D106" i="17"/>
  <c r="I105" i="17"/>
  <c r="H105" i="17"/>
  <c r="G105" i="17"/>
  <c r="D105" i="17"/>
  <c r="I104" i="17"/>
  <c r="H104" i="17"/>
  <c r="G104" i="17"/>
  <c r="D104" i="17"/>
  <c r="I103" i="17"/>
  <c r="H103" i="17"/>
  <c r="G103" i="17"/>
  <c r="D103" i="17"/>
  <c r="I102" i="17"/>
  <c r="H102" i="17"/>
  <c r="G102" i="17"/>
  <c r="D102" i="17"/>
  <c r="I101" i="17"/>
  <c r="H101" i="17"/>
  <c r="G101" i="17"/>
  <c r="D101" i="17"/>
  <c r="I100" i="17"/>
  <c r="H100" i="17"/>
  <c r="G100" i="17"/>
  <c r="D100" i="17"/>
  <c r="I99" i="17"/>
  <c r="H99" i="17"/>
  <c r="G99" i="17"/>
  <c r="D99" i="17"/>
  <c r="I98" i="17"/>
  <c r="H98" i="17"/>
  <c r="G98" i="17"/>
  <c r="D98" i="17"/>
  <c r="I97" i="17"/>
  <c r="H97" i="17"/>
  <c r="G97" i="17"/>
  <c r="D97" i="17"/>
  <c r="I96" i="17"/>
  <c r="H96" i="17"/>
  <c r="G96" i="17"/>
  <c r="D96" i="17"/>
  <c r="I95" i="17"/>
  <c r="H95" i="17"/>
  <c r="G95" i="17"/>
  <c r="D95" i="17"/>
  <c r="I94" i="17"/>
  <c r="H94" i="17"/>
  <c r="G94" i="17"/>
  <c r="D94" i="17"/>
  <c r="I93" i="17"/>
  <c r="H93" i="17"/>
  <c r="G93" i="17"/>
  <c r="D93" i="17"/>
  <c r="I92" i="17"/>
  <c r="H92" i="17"/>
  <c r="G92" i="17"/>
  <c r="D92" i="17"/>
  <c r="I91" i="17"/>
  <c r="C91" i="24" s="1" a="1"/>
  <c r="C91" i="24" s="1"/>
  <c r="H91" i="17"/>
  <c r="G91" i="17"/>
  <c r="D91" i="17"/>
  <c r="I90" i="17"/>
  <c r="C113" i="24" s="1" a="1"/>
  <c r="C113" i="24" s="1"/>
  <c r="H90" i="17"/>
  <c r="G90" i="17"/>
  <c r="D90" i="17"/>
  <c r="I89" i="17"/>
  <c r="H89" i="17"/>
  <c r="G89" i="17"/>
  <c r="D89" i="17"/>
  <c r="I88" i="17"/>
  <c r="H88" i="17"/>
  <c r="G88" i="17"/>
  <c r="D88" i="17"/>
  <c r="I87" i="17"/>
  <c r="H87" i="17"/>
  <c r="G87" i="17"/>
  <c r="D87" i="17"/>
  <c r="I86" i="17"/>
  <c r="H86" i="17"/>
  <c r="G86" i="17"/>
  <c r="D86" i="17"/>
  <c r="G84" i="17"/>
  <c r="C84" i="17"/>
  <c r="G83" i="17"/>
  <c r="C83" i="17"/>
  <c r="G82" i="17"/>
  <c r="C82" i="17"/>
  <c r="G81" i="17"/>
  <c r="C81" i="17"/>
  <c r="D81" i="17" s="1"/>
  <c r="G80" i="17"/>
  <c r="C80" i="17"/>
  <c r="C4" i="24" a="1"/>
  <c r="C4" i="24" s="1"/>
  <c r="H78" i="17"/>
  <c r="G78" i="17"/>
  <c r="D78" i="17"/>
  <c r="H77" i="17"/>
  <c r="G77" i="17"/>
  <c r="D77" i="17"/>
  <c r="H76" i="17"/>
  <c r="G76" i="17"/>
  <c r="D76" i="17"/>
  <c r="H75" i="17"/>
  <c r="G75" i="17"/>
  <c r="D75" i="17"/>
  <c r="H74" i="17"/>
  <c r="G74" i="17"/>
  <c r="D74" i="17"/>
  <c r="H73" i="17"/>
  <c r="G73" i="17"/>
  <c r="D73" i="17"/>
  <c r="H72" i="17"/>
  <c r="G72" i="17"/>
  <c r="D72" i="17"/>
  <c r="H71" i="17"/>
  <c r="G71" i="17"/>
  <c r="D71" i="17"/>
  <c r="H70" i="17"/>
  <c r="G70" i="17"/>
  <c r="D70" i="17"/>
  <c r="H69" i="17"/>
  <c r="G69" i="17"/>
  <c r="D69" i="17"/>
  <c r="H68" i="17"/>
  <c r="G68" i="17"/>
  <c r="D68" i="17"/>
  <c r="H67" i="17"/>
  <c r="G67" i="17"/>
  <c r="D67" i="17"/>
  <c r="H66" i="17"/>
  <c r="G66" i="17"/>
  <c r="D66" i="17"/>
  <c r="H65" i="17"/>
  <c r="G65" i="17"/>
  <c r="D65" i="17"/>
  <c r="H64" i="17"/>
  <c r="G64" i="17"/>
  <c r="D64" i="17"/>
  <c r="H63" i="17"/>
  <c r="G63" i="17"/>
  <c r="D63" i="17"/>
  <c r="C128" i="24" a="1"/>
  <c r="C128" i="24" s="1"/>
  <c r="H62" i="17"/>
  <c r="G62" i="17"/>
  <c r="D62" i="17"/>
  <c r="H60" i="17"/>
  <c r="G60" i="17"/>
  <c r="D60" i="17"/>
  <c r="H59" i="17"/>
  <c r="G59" i="17"/>
  <c r="D59" i="17"/>
  <c r="H58" i="17"/>
  <c r="B58" i="17"/>
  <c r="C57" i="17"/>
  <c r="B57" i="17"/>
  <c r="G57" i="17" s="1"/>
  <c r="C56" i="17"/>
  <c r="H56" i="17" s="1"/>
  <c r="B56" i="17"/>
  <c r="G56" i="17" s="1"/>
  <c r="C55" i="17"/>
  <c r="B55" i="17"/>
  <c r="G55" i="17" s="1"/>
  <c r="C54" i="17"/>
  <c r="H54" i="17" s="1"/>
  <c r="B54" i="17"/>
  <c r="G54" i="17" s="1"/>
  <c r="C53" i="17"/>
  <c r="B53" i="17"/>
  <c r="G53" i="17" s="1"/>
  <c r="C121" i="24" a="1"/>
  <c r="C121" i="24" s="1"/>
  <c r="H52" i="17"/>
  <c r="G52" i="17"/>
  <c r="D52" i="17"/>
  <c r="H51" i="17"/>
  <c r="G51" i="17"/>
  <c r="D51" i="17"/>
  <c r="H50" i="17"/>
  <c r="G50" i="17"/>
  <c r="D50" i="17"/>
  <c r="H49" i="17"/>
  <c r="G49" i="17"/>
  <c r="D49" i="17"/>
  <c r="H48" i="17"/>
  <c r="G48" i="17"/>
  <c r="D48" i="17"/>
  <c r="H47" i="17"/>
  <c r="G47" i="17"/>
  <c r="D47" i="17"/>
  <c r="H46" i="17"/>
  <c r="G46" i="17"/>
  <c r="D46" i="17"/>
  <c r="H45" i="17"/>
  <c r="G45" i="17"/>
  <c r="D45" i="17"/>
  <c r="H44" i="17"/>
  <c r="G44" i="17"/>
  <c r="D44" i="17"/>
  <c r="H43" i="17"/>
  <c r="G43" i="17"/>
  <c r="D43" i="17"/>
  <c r="H42" i="17"/>
  <c r="G42" i="17"/>
  <c r="D42" i="17"/>
  <c r="H41" i="17"/>
  <c r="G41" i="17"/>
  <c r="D41" i="17"/>
  <c r="H40" i="17"/>
  <c r="G40" i="17"/>
  <c r="D40" i="17"/>
  <c r="H39" i="17"/>
  <c r="G39" i="17"/>
  <c r="D39" i="17"/>
  <c r="H38" i="17"/>
  <c r="G38" i="17"/>
  <c r="D38" i="17"/>
  <c r="H37" i="17"/>
  <c r="G37" i="17"/>
  <c r="D37" i="17"/>
  <c r="H36" i="17"/>
  <c r="G36" i="17"/>
  <c r="D36" i="17"/>
  <c r="H35" i="17"/>
  <c r="G35" i="17"/>
  <c r="D35" i="17"/>
  <c r="H34" i="17"/>
  <c r="G34" i="17"/>
  <c r="D34" i="17"/>
  <c r="H33" i="17"/>
  <c r="G33" i="17"/>
  <c r="D33" i="17"/>
  <c r="H32" i="17"/>
  <c r="G32" i="17"/>
  <c r="D32" i="17"/>
  <c r="H27" i="17"/>
  <c r="G27" i="17"/>
  <c r="D27" i="17"/>
  <c r="H26" i="17"/>
  <c r="G26" i="17"/>
  <c r="D26" i="17"/>
  <c r="H25" i="17"/>
  <c r="G25" i="17"/>
  <c r="D25" i="17"/>
  <c r="C17" i="24" a="1"/>
  <c r="C17" i="24" s="1"/>
  <c r="C19" i="24" a="1"/>
  <c r="C19" i="24" s="1"/>
  <c r="H24" i="17"/>
  <c r="G24" i="17"/>
  <c r="D24" i="17"/>
  <c r="H23" i="17"/>
  <c r="G23" i="17"/>
  <c r="D23" i="17"/>
  <c r="H22" i="17"/>
  <c r="G22" i="17"/>
  <c r="D22" i="17"/>
  <c r="H21" i="17"/>
  <c r="G21" i="17"/>
  <c r="D21" i="17"/>
  <c r="H20" i="17"/>
  <c r="G20" i="17"/>
  <c r="D20" i="17"/>
  <c r="H19" i="17"/>
  <c r="G19" i="17"/>
  <c r="D19" i="17"/>
  <c r="H18" i="17"/>
  <c r="G18" i="17"/>
  <c r="D18" i="17"/>
  <c r="H17" i="17"/>
  <c r="G17" i="17"/>
  <c r="D17" i="17"/>
  <c r="H16" i="17"/>
  <c r="G16" i="17"/>
  <c r="D16" i="17"/>
  <c r="I14" i="17"/>
  <c r="H14" i="17"/>
  <c r="G14" i="17"/>
  <c r="D14" i="17"/>
  <c r="I13" i="17"/>
  <c r="H13" i="17"/>
  <c r="G13" i="17"/>
  <c r="D13" i="17"/>
  <c r="I12" i="17"/>
  <c r="H12" i="17"/>
  <c r="G12" i="17"/>
  <c r="D12" i="17"/>
  <c r="I11" i="17"/>
  <c r="H11" i="17"/>
  <c r="G11" i="17"/>
  <c r="D11" i="17"/>
  <c r="I10" i="17"/>
  <c r="H10" i="17"/>
  <c r="G10" i="17"/>
  <c r="D10" i="17"/>
  <c r="I9" i="17"/>
  <c r="H9" i="17"/>
  <c r="G9" i="17"/>
  <c r="D9" i="17"/>
  <c r="I8" i="17"/>
  <c r="H8" i="17"/>
  <c r="G8" i="17"/>
  <c r="D8" i="17"/>
  <c r="I7" i="17"/>
  <c r="H7" i="17"/>
  <c r="G7" i="17"/>
  <c r="D7" i="17"/>
  <c r="I6" i="17"/>
  <c r="H6" i="17"/>
  <c r="G6" i="17"/>
  <c r="D6" i="17"/>
  <c r="I5" i="17"/>
  <c r="H5" i="17"/>
  <c r="G5" i="17"/>
  <c r="D5" i="17"/>
  <c r="I4" i="17"/>
  <c r="H4" i="17"/>
  <c r="G4" i="17"/>
  <c r="D4" i="17"/>
  <c r="C191" i="24" l="1" a="1"/>
  <c r="C191" i="24" s="1"/>
  <c r="C3" i="24" a="1"/>
  <c r="C3" i="24" s="1"/>
  <c r="D82" i="17"/>
  <c r="C83" i="24" a="1"/>
  <c r="C83" i="24" s="1"/>
  <c r="C173" i="24" a="1"/>
  <c r="C173" i="24" s="1"/>
  <c r="C62" i="24" a="1"/>
  <c r="C62" i="24" s="1"/>
  <c r="D83" i="17"/>
  <c r="H80" i="17"/>
  <c r="D80" i="17"/>
  <c r="C2" i="24" a="1"/>
  <c r="C2" i="24" s="1"/>
  <c r="D84" i="17"/>
  <c r="G359" i="17"/>
  <c r="I359" i="17"/>
  <c r="G360" i="17"/>
  <c r="I360" i="17"/>
  <c r="G331" i="17"/>
  <c r="I331" i="17"/>
  <c r="G337" i="17"/>
  <c r="I337" i="17"/>
  <c r="G343" i="17"/>
  <c r="I343" i="17"/>
  <c r="G349" i="17"/>
  <c r="I349" i="17"/>
  <c r="G355" i="17"/>
  <c r="I355" i="17"/>
  <c r="G361" i="17"/>
  <c r="I361" i="17"/>
  <c r="G332" i="17"/>
  <c r="I332" i="17"/>
  <c r="G338" i="17"/>
  <c r="I338" i="17"/>
  <c r="G344" i="17"/>
  <c r="I344" i="17"/>
  <c r="G350" i="17"/>
  <c r="I350" i="17"/>
  <c r="G356" i="17"/>
  <c r="I356" i="17"/>
  <c r="G362" i="17"/>
  <c r="I362" i="17"/>
  <c r="G327" i="17"/>
  <c r="I327" i="17"/>
  <c r="G333" i="17"/>
  <c r="I333" i="17"/>
  <c r="G339" i="17"/>
  <c r="I339" i="17"/>
  <c r="G345" i="17"/>
  <c r="I345" i="17"/>
  <c r="G351" i="17"/>
  <c r="I351" i="17"/>
  <c r="G357" i="17"/>
  <c r="I357" i="17"/>
  <c r="G363" i="17"/>
  <c r="I363" i="17"/>
  <c r="G328" i="17"/>
  <c r="I328" i="17"/>
  <c r="G334" i="17"/>
  <c r="I334" i="17"/>
  <c r="G340" i="17"/>
  <c r="I340" i="17"/>
  <c r="G346" i="17"/>
  <c r="I346" i="17"/>
  <c r="G352" i="17"/>
  <c r="I352" i="17"/>
  <c r="G358" i="17"/>
  <c r="I358" i="17"/>
  <c r="G364" i="17"/>
  <c r="I364" i="17"/>
  <c r="G329" i="17"/>
  <c r="I329" i="17"/>
  <c r="G335" i="17"/>
  <c r="I335" i="17"/>
  <c r="G341" i="17"/>
  <c r="I341" i="17"/>
  <c r="G347" i="17"/>
  <c r="I347" i="17"/>
  <c r="G353" i="17"/>
  <c r="I353" i="17"/>
  <c r="G365" i="17"/>
  <c r="I365" i="17"/>
  <c r="G330" i="17"/>
  <c r="I330" i="17"/>
  <c r="G336" i="17"/>
  <c r="I336" i="17"/>
  <c r="G342" i="17"/>
  <c r="I342" i="17"/>
  <c r="G348" i="17"/>
  <c r="I348" i="17"/>
  <c r="G354" i="17"/>
  <c r="I354" i="17"/>
  <c r="C119" i="24" a="1"/>
  <c r="C119" i="24" s="1"/>
  <c r="C109" i="24" a="1"/>
  <c r="C109" i="24" s="1"/>
  <c r="C30" i="24" a="1"/>
  <c r="C30" i="24" s="1"/>
  <c r="C29" i="24" a="1"/>
  <c r="C29" i="24" s="1"/>
  <c r="C35" i="24" a="1"/>
  <c r="C35" i="24" s="1"/>
  <c r="C61" i="24" a="1"/>
  <c r="C61" i="24" s="1"/>
  <c r="I185" i="17"/>
  <c r="C130" i="24" a="1"/>
  <c r="C130" i="24" s="1"/>
  <c r="C40" i="24" a="1"/>
  <c r="C40" i="24" s="1"/>
  <c r="C82" i="24" a="1"/>
  <c r="C82" i="24" s="1"/>
  <c r="C138" i="24" a="1"/>
  <c r="C138" i="24" s="1"/>
  <c r="I231" i="17"/>
  <c r="H81" i="17"/>
  <c r="I234" i="17"/>
  <c r="I226" i="17"/>
  <c r="G193" i="17"/>
  <c r="D333" i="17"/>
  <c r="I303" i="17"/>
  <c r="C18" i="24" a="1"/>
  <c r="C18" i="24" s="1"/>
  <c r="C123" i="24" a="1"/>
  <c r="C123" i="24" s="1"/>
  <c r="C120" i="24" a="1"/>
  <c r="C120" i="24" s="1"/>
  <c r="G219" i="17"/>
  <c r="D197" i="17"/>
  <c r="G240" i="17"/>
  <c r="I192" i="17"/>
  <c r="I202" i="17"/>
  <c r="I187" i="17"/>
  <c r="I235" i="17"/>
  <c r="I240" i="17"/>
  <c r="G222" i="17"/>
  <c r="G309" i="17"/>
  <c r="D309" i="17"/>
  <c r="C56" i="24" a="1"/>
  <c r="C56" i="24" s="1"/>
  <c r="I222" i="17"/>
  <c r="D300" i="17"/>
  <c r="I174" i="17"/>
  <c r="I201" i="17"/>
  <c r="I300" i="17"/>
  <c r="D171" i="17"/>
  <c r="G217" i="17"/>
  <c r="D58" i="17"/>
  <c r="G171" i="17"/>
  <c r="I180" i="17"/>
  <c r="D185" i="17"/>
  <c r="G202" i="17"/>
  <c r="I225" i="17"/>
  <c r="G235" i="17"/>
  <c r="G244" i="17"/>
  <c r="G172" i="17"/>
  <c r="G199" i="17"/>
  <c r="G214" i="17"/>
  <c r="D245" i="17"/>
  <c r="D345" i="17"/>
  <c r="H83" i="17"/>
  <c r="D186" i="17"/>
  <c r="I168" i="17"/>
  <c r="D223" i="17"/>
  <c r="G241" i="17"/>
  <c r="G301" i="17"/>
  <c r="D310" i="17"/>
  <c r="D173" i="17"/>
  <c r="D183" i="17"/>
  <c r="I186" i="17"/>
  <c r="I190" i="17"/>
  <c r="I219" i="17"/>
  <c r="G223" i="17"/>
  <c r="G310" i="17"/>
  <c r="G183" i="17"/>
  <c r="G228" i="17"/>
  <c r="I301" i="17"/>
  <c r="C59" i="24" a="1"/>
  <c r="C59" i="24" s="1"/>
  <c r="I173" i="17"/>
  <c r="D187" i="17"/>
  <c r="D201" i="17"/>
  <c r="G220" i="17"/>
  <c r="D298" i="17"/>
  <c r="I211" i="17"/>
  <c r="I216" i="17"/>
  <c r="I238" i="17"/>
  <c r="D302" i="17"/>
  <c r="D166" i="17"/>
  <c r="G184" i="17"/>
  <c r="D195" i="17"/>
  <c r="D198" i="17"/>
  <c r="G205" i="17"/>
  <c r="G229" i="17"/>
  <c r="D243" i="17"/>
  <c r="D246" i="17"/>
  <c r="D330" i="17"/>
  <c r="D177" i="17"/>
  <c r="G195" i="17"/>
  <c r="D209" i="17"/>
  <c r="D233" i="17"/>
  <c r="G243" i="17"/>
  <c r="G246" i="17"/>
  <c r="I308" i="17"/>
  <c r="C36" i="24" s="1" a="1"/>
  <c r="C36" i="24" s="1"/>
  <c r="D351" i="17"/>
  <c r="C287" i="24" a="1"/>
  <c r="C287" i="24" s="1"/>
  <c r="H166" i="17"/>
  <c r="G181" i="17"/>
  <c r="I198" i="17"/>
  <c r="G226" i="17"/>
  <c r="D336" i="17"/>
  <c r="I166" i="17"/>
  <c r="I177" i="17"/>
  <c r="I209" i="17"/>
  <c r="I233" i="17"/>
  <c r="D357" i="17"/>
  <c r="D199" i="17"/>
  <c r="D213" i="17"/>
  <c r="D342" i="17"/>
  <c r="C187" i="24" a="1"/>
  <c r="C187" i="24" s="1"/>
  <c r="G178" i="17"/>
  <c r="G196" i="17"/>
  <c r="D207" i="17"/>
  <c r="D210" i="17"/>
  <c r="D231" i="17"/>
  <c r="D234" i="17"/>
  <c r="D237" i="17"/>
  <c r="D306" i="17"/>
  <c r="D327" i="17"/>
  <c r="D363" i="17"/>
  <c r="C60" i="24" a="1"/>
  <c r="C60" i="24" s="1"/>
  <c r="H167" i="17"/>
  <c r="D175" i="17"/>
  <c r="D189" i="17"/>
  <c r="G207" i="17"/>
  <c r="I213" i="17"/>
  <c r="D221" i="17"/>
  <c r="G298" i="17"/>
  <c r="G306" i="17"/>
  <c r="D348" i="17"/>
  <c r="G175" i="17"/>
  <c r="I178" i="17"/>
  <c r="I210" i="17"/>
  <c r="I237" i="17"/>
  <c r="I189" i="17"/>
  <c r="I221" i="17"/>
  <c r="G58" i="17"/>
  <c r="D211" i="17"/>
  <c r="G238" i="17"/>
  <c r="D339" i="17"/>
  <c r="C181" i="24" a="1"/>
  <c r="C181" i="24" s="1"/>
  <c r="G190" i="17"/>
  <c r="I197" i="17"/>
  <c r="I204" i="17"/>
  <c r="G208" i="17"/>
  <c r="I214" i="17"/>
  <c r="D225" i="17"/>
  <c r="I228" i="17"/>
  <c r="G232" i="17"/>
  <c r="I245" i="17"/>
  <c r="D360" i="17"/>
  <c r="D176" i="17"/>
  <c r="D188" i="17"/>
  <c r="D200" i="17"/>
  <c r="D212" i="17"/>
  <c r="D224" i="17"/>
  <c r="D236" i="17"/>
  <c r="D299" i="17"/>
  <c r="D169" i="17"/>
  <c r="G176" i="17"/>
  <c r="D181" i="17"/>
  <c r="G188" i="17"/>
  <c r="D193" i="17"/>
  <c r="G200" i="17"/>
  <c r="D205" i="17"/>
  <c r="G212" i="17"/>
  <c r="D217" i="17"/>
  <c r="G224" i="17"/>
  <c r="D229" i="17"/>
  <c r="G236" i="17"/>
  <c r="D241" i="17"/>
  <c r="G299" i="17"/>
  <c r="D304" i="17"/>
  <c r="D329" i="17"/>
  <c r="D332" i="17"/>
  <c r="D335" i="17"/>
  <c r="D338" i="17"/>
  <c r="D341" i="17"/>
  <c r="D344" i="17"/>
  <c r="D347" i="17"/>
  <c r="D350" i="17"/>
  <c r="D353" i="17"/>
  <c r="D356" i="17"/>
  <c r="D359" i="17"/>
  <c r="D362" i="17"/>
  <c r="D365" i="17"/>
  <c r="D53" i="17"/>
  <c r="D55" i="17"/>
  <c r="D57" i="17"/>
  <c r="H84" i="17"/>
  <c r="G169" i="17"/>
  <c r="D174" i="17"/>
  <c r="G304" i="17"/>
  <c r="D167" i="17"/>
  <c r="D179" i="17"/>
  <c r="D191" i="17"/>
  <c r="D203" i="17"/>
  <c r="D215" i="17"/>
  <c r="D227" i="17"/>
  <c r="D239" i="17"/>
  <c r="H53" i="17"/>
  <c r="H55" i="17"/>
  <c r="H57" i="17"/>
  <c r="H82" i="17"/>
  <c r="D172" i="17"/>
  <c r="G179" i="17"/>
  <c r="D184" i="17"/>
  <c r="G191" i="17"/>
  <c r="D196" i="17"/>
  <c r="G203" i="17"/>
  <c r="D208" i="17"/>
  <c r="G215" i="17"/>
  <c r="D220" i="17"/>
  <c r="G227" i="17"/>
  <c r="D232" i="17"/>
  <c r="G239" i="17"/>
  <c r="D244" i="17"/>
  <c r="G302" i="17"/>
  <c r="D307" i="17"/>
  <c r="G307" i="17"/>
  <c r="D170" i="17"/>
  <c r="D182" i="17"/>
  <c r="D194" i="17"/>
  <c r="D206" i="17"/>
  <c r="D218" i="17"/>
  <c r="D230" i="17"/>
  <c r="D242" i="17"/>
  <c r="D305" i="17"/>
  <c r="G170" i="17"/>
  <c r="G182" i="17"/>
  <c r="G194" i="17"/>
  <c r="G206" i="17"/>
  <c r="G218" i="17"/>
  <c r="G230" i="17"/>
  <c r="G242" i="17"/>
  <c r="G305" i="17"/>
  <c r="D54" i="17"/>
  <c r="D56" i="17"/>
  <c r="D168" i="17"/>
  <c r="D180" i="17"/>
  <c r="D192" i="17"/>
  <c r="D204" i="17"/>
  <c r="D216" i="17"/>
  <c r="D303" i="17"/>
  <c r="D308" i="17"/>
  <c r="D328" i="17"/>
  <c r="D331" i="17"/>
  <c r="D334" i="17"/>
  <c r="D337" i="17"/>
  <c r="D340" i="17"/>
  <c r="D343" i="17"/>
  <c r="D346" i="17"/>
  <c r="D349" i="17"/>
  <c r="D352" i="17"/>
  <c r="D355" i="17"/>
  <c r="D358" i="17"/>
  <c r="D361" i="17"/>
  <c r="D364" i="17"/>
  <c r="C305" i="24" l="1" a="1"/>
  <c r="C305" i="24" s="1"/>
  <c r="C301" i="24" a="1"/>
  <c r="C301" i="24" s="1"/>
  <c r="C288" i="24" a="1"/>
  <c r="C288" i="24" s="1"/>
  <c r="C74" i="24" a="1"/>
  <c r="C74" i="24" s="1"/>
  <c r="C189" i="24" a="1"/>
  <c r="C189" i="24" s="1"/>
  <c r="C278" i="24" a="1"/>
  <c r="C278" i="24" s="1"/>
  <c r="C279" i="24" a="1"/>
  <c r="C279" i="24" s="1"/>
  <c r="C90" i="24" a="1"/>
  <c r="C90" i="24" s="1"/>
  <c r="C306" i="24" a="1"/>
  <c r="C306" i="24" s="1"/>
  <c r="C57" i="24" a="1"/>
  <c r="C57" i="24" s="1"/>
  <c r="C152" i="24" a="1"/>
  <c r="C152" i="24" s="1"/>
  <c r="C20" i="24" a="1"/>
  <c r="C20" i="24" s="1"/>
  <c r="C155" i="24" a="1"/>
  <c r="C155" i="24" s="1"/>
  <c r="C156" i="24" a="1"/>
  <c r="C156" i="24" s="1"/>
  <c r="C158" i="24" a="1"/>
  <c r="C158" i="24" s="1"/>
  <c r="C157" i="24" a="1"/>
  <c r="C157" i="24" s="1"/>
  <c r="C159" i="24" a="1"/>
  <c r="C159" i="24" s="1"/>
  <c r="C154" i="24" a="1"/>
  <c r="C154" i="24" s="1"/>
  <c r="C153" i="24" a="1"/>
  <c r="C153" i="24" s="1"/>
  <c r="C150" i="24" a="1"/>
  <c r="C150" i="24" s="1"/>
  <c r="C151" i="24" a="1"/>
  <c r="C151" i="24" s="1"/>
  <c r="C139" i="24" a="1"/>
  <c r="C139" i="24" s="1"/>
  <c r="C140" i="24" a="1"/>
  <c r="C140" i="24" s="1"/>
  <c r="C141" i="24" a="1"/>
  <c r="C141" i="24" s="1"/>
  <c r="C142" i="24" a="1"/>
  <c r="C142" i="24" s="1"/>
  <c r="C143" i="24" a="1"/>
  <c r="C143" i="24" s="1"/>
  <c r="C144" i="24" a="1"/>
  <c r="C144" i="24" s="1"/>
  <c r="C145" i="24" a="1"/>
  <c r="C145" i="24" s="1"/>
  <c r="C146" i="24" a="1"/>
  <c r="C146" i="24" s="1"/>
  <c r="C14" i="24" a="1"/>
  <c r="C14" i="24" s="1"/>
  <c r="C147" i="24" a="1"/>
  <c r="C147" i="24" s="1"/>
  <c r="C15" i="24" a="1"/>
  <c r="C15" i="24" s="1"/>
  <c r="C148" i="24" a="1"/>
  <c r="C148" i="24" s="1"/>
  <c r="C16" i="24" a="1"/>
  <c r="C16" i="24" s="1"/>
  <c r="C149" i="24" a="1"/>
  <c r="C149" i="24" s="1"/>
  <c r="C99" i="24" a="1"/>
  <c r="C99" i="24" s="1"/>
  <c r="C55" i="24" a="1"/>
  <c r="C55" i="24" s="1"/>
  <c r="C58" i="24" a="1"/>
  <c r="C58" i="24" s="1"/>
  <c r="C186" i="24" l="1" a="1"/>
  <c r="C186" i="24" s="1"/>
  <c r="C289" i="24" a="1"/>
  <c r="C289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5" authorId="0" shapeId="0" xr:uid="{8FA06D71-3EFC-463D-A651-089BED539792}">
      <text>
        <r>
          <rPr>
            <b/>
            <sz val="9"/>
            <color indexed="81"/>
            <rFont val="Tahoma"/>
            <family val="2"/>
            <charset val="204"/>
          </rPr>
          <t>See Christiansen &amp; Harris (2009) http://dx.doi.org/10.1671/039.029.0314
CN7231 (359.7 mm; 203 kg)</t>
        </r>
      </text>
    </comment>
    <comment ref="B54" authorId="0" shapeId="0" xr:uid="{41B47366-2E09-4A21-B885-C442882315FF}">
      <text>
        <r>
          <rPr>
            <b/>
            <sz val="9"/>
            <color indexed="81"/>
            <rFont val="Tahoma"/>
            <family val="2"/>
            <charset val="204"/>
          </rPr>
          <t>Based on Valkenburgh (1990) Skeletal and dental predictors of body mass in carnivores in Damuth, J. &amp; MacFadden, B.J. (eds): Body Size in Mammalian Paleobiology: Estimation and Biological Implications.</t>
        </r>
      </text>
    </comment>
    <comment ref="B55" authorId="0" shapeId="0" xr:uid="{BB12C5DE-9466-4968-951C-4A4A2DCC65ED}">
      <text>
        <r>
          <rPr>
            <b/>
            <sz val="9"/>
            <color indexed="81"/>
            <rFont val="Tahoma"/>
            <family val="2"/>
            <charset val="204"/>
          </rPr>
          <t>Based on Valkenburgh (1990) Skeletal and dental predictors of body mass in carnivores in Damuth, J. &amp; MacFadden, B.J. (eds): Body Size in Mammalian Paleobiology: Estimation and Biological Implications.</t>
        </r>
      </text>
    </comment>
    <comment ref="B56" authorId="0" shapeId="0" xr:uid="{374532E0-7931-4D07-8211-8A069FFAE06F}">
      <text>
        <r>
          <rPr>
            <b/>
            <sz val="9"/>
            <color indexed="81"/>
            <rFont val="Tahoma"/>
            <family val="2"/>
            <charset val="204"/>
          </rPr>
          <t>Based on Valkenburgh (1990) Skeletal and dental predictors of body mass in carnivores in Damuth, J. &amp; MacFadden, B.J. (eds): Body Size in Mammalian Paleobiology: Estimation and Biological Implications.</t>
        </r>
      </text>
    </comment>
    <comment ref="B57" authorId="0" shapeId="0" xr:uid="{4C4992F4-96FD-44AF-88E0-DEFBAB22C5A3}">
      <text>
        <r>
          <rPr>
            <b/>
            <sz val="9"/>
            <color indexed="81"/>
            <rFont val="Tahoma"/>
            <family val="2"/>
            <charset val="204"/>
          </rPr>
          <t>Based on Valkenburgh (1990) Skeletal and dental predictors of body mass in carnivores in Damuth, J. &amp; MacFadden, B.J. (eds): Body Size in Mammalian Paleobiology: Estimation and Biological Implications.</t>
        </r>
      </text>
    </comment>
    <comment ref="B58" authorId="0" shapeId="0" xr:uid="{433D782D-4937-4A4A-86BB-EC52266919B3}">
      <text>
        <r>
          <rPr>
            <b/>
            <sz val="9"/>
            <color indexed="81"/>
            <rFont val="Tahoma"/>
            <family val="2"/>
            <charset val="204"/>
          </rPr>
          <t>Based on Valkenburgh (1990) Skeletal and dental predictors of body mass in carnivores in Damuth, J. &amp; MacFadden, B.J. (eds): Body Size in Mammalian Paleobiology: Estimation and Biological Implications.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" authorId="0" shapeId="0" xr:uid="{8A7DF2A0-C4C4-4511-8E92-B0EDD5FD72DE}">
      <text>
        <r>
          <rPr>
            <b/>
            <sz val="9"/>
            <color indexed="81"/>
            <rFont val="Tahoma"/>
            <family val="2"/>
            <charset val="204"/>
          </rPr>
          <t>2 = fully domestic, 1 = domestic, but feral phenotype, 0 = wild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3" authorId="0" shapeId="0" xr:uid="{120907E7-5795-48B6-863D-141AA9BA90EB}">
      <text>
        <r>
          <rPr>
            <b/>
            <sz val="9"/>
            <color indexed="81"/>
            <rFont val="Tahoma"/>
            <family val="2"/>
            <charset val="204"/>
          </rPr>
          <t>https://www.mdpi.com/1424-2818/15/3/318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17" authorId="0" shapeId="0" xr:uid="{A6434917-A438-4D85-838A-662D259A436D}">
      <text>
        <r>
          <rPr>
            <b/>
            <sz val="9"/>
            <color indexed="81"/>
            <rFont val="Tahoma"/>
            <family val="2"/>
            <charset val="204"/>
          </rPr>
          <t>https://www.ejfa.me/index.php/journal/article/view/1273</t>
        </r>
      </text>
    </comment>
    <comment ref="E49" authorId="0" shapeId="0" xr:uid="{6125AFA4-D32C-4826-8613-A9F2976D6808}">
      <text>
        <r>
          <rPr>
            <b/>
            <sz val="9"/>
            <color indexed="81"/>
            <rFont val="Tahoma"/>
            <family val="2"/>
            <charset val="204"/>
          </rPr>
          <t>Predicted from maximum aerobic speed.</t>
        </r>
      </text>
    </comment>
    <comment ref="E50" authorId="0" shapeId="0" xr:uid="{66F6755D-4240-4445-885B-B44A5E1292C3}">
      <text>
        <r>
          <rPr>
            <b/>
            <sz val="9"/>
            <color indexed="81"/>
            <rFont val="Tahoma"/>
            <family val="2"/>
            <charset val="204"/>
          </rPr>
          <t>Predicted from maximum aerobic speed.</t>
        </r>
      </text>
    </comment>
    <comment ref="E164" authorId="0" shapeId="0" xr:uid="{D125847A-48D8-4784-AB08-5378FB0A88BA}">
      <text>
        <r>
          <rPr>
            <b/>
            <sz val="9"/>
            <color indexed="81"/>
            <rFont val="Tahoma"/>
            <family val="2"/>
            <charset val="204"/>
          </rPr>
          <t>Predicted from maximum aerobic speed.</t>
        </r>
      </text>
    </comment>
    <comment ref="E165" authorId="0" shapeId="0" xr:uid="{CDF68AE0-D0CE-478C-B21D-259D6601A745}">
      <text>
        <r>
          <rPr>
            <b/>
            <sz val="9"/>
            <color indexed="81"/>
            <rFont val="Tahoma"/>
            <family val="2"/>
            <charset val="204"/>
          </rPr>
          <t>Predicted from maximum aerobic speed.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<sst xmlns="http://schemas.openxmlformats.org/spreadsheetml/2006/main" count="1859" uniqueCount="691">
  <si>
    <t>Struthio camelus</t>
  </si>
  <si>
    <t>Dromaius novaehollandiae</t>
  </si>
  <si>
    <t>Meleagris gallopavo</t>
  </si>
  <si>
    <t>Gallus gallus</t>
  </si>
  <si>
    <t>Crocuta crocuta</t>
  </si>
  <si>
    <t>Canis familiaris</t>
  </si>
  <si>
    <t>Canis lupus</t>
  </si>
  <si>
    <t>Hyaena hyaena</t>
  </si>
  <si>
    <t>Lycaon pictus</t>
  </si>
  <si>
    <t>Canis latrans</t>
  </si>
  <si>
    <t>Vulpes vulpes</t>
  </si>
  <si>
    <t>Vulpes lagopus</t>
  </si>
  <si>
    <t>Loxodonta africana</t>
  </si>
  <si>
    <t>Panthera tigris</t>
  </si>
  <si>
    <t>Panthera leo</t>
  </si>
  <si>
    <t>Panthera onca</t>
  </si>
  <si>
    <t>Puma concolor</t>
  </si>
  <si>
    <t>Panthera pardus</t>
  </si>
  <si>
    <t>Lynx lynx</t>
  </si>
  <si>
    <t>Felis catus</t>
  </si>
  <si>
    <t>Camelus dromedarius</t>
  </si>
  <si>
    <t>Equus caballus</t>
  </si>
  <si>
    <t>Equus burchellii</t>
  </si>
  <si>
    <t>Tapirus bairdii</t>
  </si>
  <si>
    <t>Meles meles</t>
  </si>
  <si>
    <t>Sus scrofa</t>
  </si>
  <si>
    <t>Gorilla gorilla</t>
  </si>
  <si>
    <t>Homo sapiens</t>
  </si>
  <si>
    <t>Mandrillus sphinx</t>
  </si>
  <si>
    <t>Alouatta seniculus</t>
  </si>
  <si>
    <t>Ceratotherium simum</t>
  </si>
  <si>
    <t>Sciurus vulgaris</t>
  </si>
  <si>
    <t>Rattus norvegicus</t>
  </si>
  <si>
    <t>Giraffa camelopardalis</t>
  </si>
  <si>
    <t>Bison bison</t>
  </si>
  <si>
    <t>Bos taurus</t>
  </si>
  <si>
    <t>Alces alces</t>
  </si>
  <si>
    <t>Connochaetes taurinus</t>
  </si>
  <si>
    <t>Cervus elaphus</t>
  </si>
  <si>
    <t>Rangifer tarandus</t>
  </si>
  <si>
    <t>Capra hircus</t>
  </si>
  <si>
    <t>Ovis aries</t>
  </si>
  <si>
    <t>Odocoileus virginianus</t>
  </si>
  <si>
    <t>Ursus maritimus</t>
  </si>
  <si>
    <t>Ursus arctos</t>
  </si>
  <si>
    <t>Procyon lotor</t>
  </si>
  <si>
    <t>Hippopotamus amphibius</t>
  </si>
  <si>
    <t>Alligator mississippiensis</t>
  </si>
  <si>
    <t>Ailuropoda melanoleuca</t>
  </si>
  <si>
    <t>Neovison vison</t>
  </si>
  <si>
    <t>Lutra lutra</t>
  </si>
  <si>
    <t>Threskiornis molucca</t>
  </si>
  <si>
    <t>Alectura lathami</t>
  </si>
  <si>
    <t>Numida meleagris</t>
  </si>
  <si>
    <t>Eudromia elegans</t>
  </si>
  <si>
    <t>Porphyrio porphyrio</t>
  </si>
  <si>
    <t>Coturnix japonica</t>
  </si>
  <si>
    <t>Colinus virginianus</t>
  </si>
  <si>
    <t>Coturnix chinensis</t>
  </si>
  <si>
    <t>Coelophysis bauri</t>
  </si>
  <si>
    <t>Allosaurus fragilis</t>
  </si>
  <si>
    <t>Tyrannosaurus rex</t>
  </si>
  <si>
    <t>Myrmecobius fasciatus</t>
  </si>
  <si>
    <t>Cercatetus concinnus</t>
  </si>
  <si>
    <t>Sminthopsis crassicaudata</t>
  </si>
  <si>
    <t>Sminthopsis macroura</t>
  </si>
  <si>
    <t>Antechinomys laniger</t>
  </si>
  <si>
    <t>Antechinus stuardii</t>
  </si>
  <si>
    <t>Antechinus flavipes</t>
  </si>
  <si>
    <t>Monodelphis brevicaudata</t>
  </si>
  <si>
    <t>Dasyuroides byrnei</t>
  </si>
  <si>
    <t>Isoodon obesulus</t>
  </si>
  <si>
    <t>Potorus tridactylus</t>
  </si>
  <si>
    <t>Bettongia penicilata</t>
  </si>
  <si>
    <t>Macropus eugenii</t>
  </si>
  <si>
    <t>Macropus spp.</t>
  </si>
  <si>
    <t>Sylvilalagus sp.</t>
  </si>
  <si>
    <t>Lepus americanus</t>
  </si>
  <si>
    <t>Oryctolagus cuniculus</t>
  </si>
  <si>
    <t>Lepus californicus</t>
  </si>
  <si>
    <t>Lepus townsendii</t>
  </si>
  <si>
    <t>Lepus europeus</t>
  </si>
  <si>
    <t>Lepus alleni</t>
  </si>
  <si>
    <t>Lepus arcticus</t>
  </si>
  <si>
    <t>Perognathus longimembris</t>
  </si>
  <si>
    <t>Microdipodops megacephalus</t>
  </si>
  <si>
    <t>Peromyscus crinitus</t>
  </si>
  <si>
    <t>Leggadina forresti</t>
  </si>
  <si>
    <t>Mus musculus</t>
  </si>
  <si>
    <t>Pseudomys hermannbergensis</t>
  </si>
  <si>
    <t>Zapus hudsonicus</t>
  </si>
  <si>
    <t>Chaetodipus fallax</t>
  </si>
  <si>
    <t>Peromyscus maniculatus</t>
  </si>
  <si>
    <t>Onychomys torridus</t>
  </si>
  <si>
    <t>Peromyscus truei</t>
  </si>
  <si>
    <t>Peromyscus eremicus</t>
  </si>
  <si>
    <t>Perognathus parvus</t>
  </si>
  <si>
    <t>Notomys alexis</t>
  </si>
  <si>
    <t>Napeozapus insignis</t>
  </si>
  <si>
    <t>Peromyscus leucopus</t>
  </si>
  <si>
    <t>Zapus trinotatus</t>
  </si>
  <si>
    <t>Tamias minimus</t>
  </si>
  <si>
    <t>Pitymys pinetorum</t>
  </si>
  <si>
    <t>Notomys cervinus</t>
  </si>
  <si>
    <t>Dipodomys merriami</t>
  </si>
  <si>
    <t>Chaetodipus baileyi</t>
  </si>
  <si>
    <t>Lyomis pictus</t>
  </si>
  <si>
    <t>Dipodomys ordii</t>
  </si>
  <si>
    <t>Heteromys dasmarestianus</t>
  </si>
  <si>
    <t>Pseudomys australis</t>
  </si>
  <si>
    <t>Microtus pennsylvanicus</t>
  </si>
  <si>
    <t>Tamias amoenus</t>
  </si>
  <si>
    <t>Dipodomys microps</t>
  </si>
  <si>
    <t>Zymomys argurus</t>
  </si>
  <si>
    <t>Pseudomys nanus</t>
  </si>
  <si>
    <t>Ammospermophilus leucurus</t>
  </si>
  <si>
    <t>Dipodomys deserti</t>
  </si>
  <si>
    <t>Tamias striatus</t>
  </si>
  <si>
    <t>Mesocricetus brandti</t>
  </si>
  <si>
    <t>Neotoma lepida</t>
  </si>
  <si>
    <t>Spermophilus tereticaudus</t>
  </si>
  <si>
    <t>Spermophilus tridecemlineatus</t>
  </si>
  <si>
    <t>Tamiasciurus hudsonicus</t>
  </si>
  <si>
    <t>Spermophilus saturatus</t>
  </si>
  <si>
    <t>Rattus sp.</t>
  </si>
  <si>
    <t>Spermophilus beldingi</t>
  </si>
  <si>
    <t>Sciurus carolinensis</t>
  </si>
  <si>
    <t>Spermophilus citellus</t>
  </si>
  <si>
    <t>Spermophilus undulatus</t>
  </si>
  <si>
    <t>Spermophilopsis leptodactylus</t>
  </si>
  <si>
    <t>Sciurus niger</t>
  </si>
  <si>
    <t>Uromys caudimaculatus</t>
  </si>
  <si>
    <t>Marmota monax</t>
  </si>
  <si>
    <t>Presbytis sp.</t>
  </si>
  <si>
    <t>Mephitis mephitis</t>
  </si>
  <si>
    <t>Urocyon cinereoargenteus</t>
  </si>
  <si>
    <t>Nasua narica</t>
  </si>
  <si>
    <t>Vulpes fulva</t>
  </si>
  <si>
    <t>Canis mesomelas o adustus</t>
  </si>
  <si>
    <t>Canis aureus</t>
  </si>
  <si>
    <t>Acinonyx jubatus</t>
  </si>
  <si>
    <t>Ursus americanus</t>
  </si>
  <si>
    <t>Madoqua kirki</t>
  </si>
  <si>
    <t>Gazella thomsonii</t>
  </si>
  <si>
    <t>Capra aegagrus</t>
  </si>
  <si>
    <t>Procapra gutturosa</t>
  </si>
  <si>
    <t>Gazella subgutturosa</t>
  </si>
  <si>
    <t>Antidorcas marsupialis</t>
  </si>
  <si>
    <t>Saiga tatarica</t>
  </si>
  <si>
    <t>Antilope cervicapra</t>
  </si>
  <si>
    <t>Rupicapra rupicapra</t>
  </si>
  <si>
    <t>Capreolus capreolus</t>
  </si>
  <si>
    <t>Antilocapra americana</t>
  </si>
  <si>
    <t>Aepyceros melampus</t>
  </si>
  <si>
    <t>Dama dama</t>
  </si>
  <si>
    <t>Gazella granti</t>
  </si>
  <si>
    <t>Ovis ammon</t>
  </si>
  <si>
    <t>Capra caucasia</t>
  </si>
  <si>
    <t>Odocoileus hemionus</t>
  </si>
  <si>
    <t>Phacochoerus aethiopicus</t>
  </si>
  <si>
    <t>Ovis canadensis nelsoni</t>
  </si>
  <si>
    <t>Lama guanacoe</t>
  </si>
  <si>
    <t>Oreamnos americanus</t>
  </si>
  <si>
    <t>Damaliscus lunatus</t>
  </si>
  <si>
    <t>Alcelaphus buselaphus</t>
  </si>
  <si>
    <t>Hippotragus equinus</t>
  </si>
  <si>
    <t>Connochaetes gnu</t>
  </si>
  <si>
    <t>Taurotragus oryx</t>
  </si>
  <si>
    <t>Syncerus caffer</t>
  </si>
  <si>
    <t>Bos sauveli</t>
  </si>
  <si>
    <t>Equus hemionus</t>
  </si>
  <si>
    <t>Equus zebra</t>
  </si>
  <si>
    <t>Diceros bicornis</t>
  </si>
  <si>
    <t>Elephas maximus</t>
  </si>
  <si>
    <t>ln speed (km/h)</t>
  </si>
  <si>
    <t>ln body mass (kg)</t>
  </si>
  <si>
    <t>Speed (km/h)</t>
  </si>
  <si>
    <t>Maximum relative running speed (body lengths/s)</t>
  </si>
  <si>
    <t>Body length (m)</t>
  </si>
  <si>
    <t>Body mass (kg)</t>
  </si>
  <si>
    <t>Species</t>
  </si>
  <si>
    <t>https://physoc.onlinelibrary.wiley.com/doi/10.1113/jphysiol.1957.sp005807</t>
  </si>
  <si>
    <r>
      <t xml:space="preserve">Canis familiaris </t>
    </r>
    <r>
      <rPr>
        <sz val="11"/>
        <color theme="1"/>
        <rFont val="Calibri"/>
        <family val="2"/>
        <charset val="204"/>
        <scheme val="minor"/>
      </rPr>
      <t>(pulling)</t>
    </r>
  </si>
  <si>
    <t>Alexander (1985) https://doi.org/10.1242/jeb.115.1.231</t>
  </si>
  <si>
    <r>
      <t xml:space="preserve">Gallago sp. </t>
    </r>
    <r>
      <rPr>
        <sz val="11"/>
        <color theme="1"/>
        <rFont val="Calibri"/>
        <family val="2"/>
        <charset val="204"/>
        <scheme val="minor"/>
      </rPr>
      <t>(jumping)</t>
    </r>
  </si>
  <si>
    <r>
      <t xml:space="preserve">Elephas maximus </t>
    </r>
    <r>
      <rPr>
        <sz val="11"/>
        <color theme="1"/>
        <rFont val="Calibri"/>
        <family val="2"/>
        <charset val="204"/>
        <scheme val="minor"/>
      </rPr>
      <t>(running)</t>
    </r>
  </si>
  <si>
    <r>
      <t xml:space="preserve">Lepus sp. </t>
    </r>
    <r>
      <rPr>
        <sz val="11"/>
        <color theme="1"/>
        <rFont val="Calibri"/>
        <family val="2"/>
        <charset val="204"/>
        <scheme val="minor"/>
      </rPr>
      <t>(running)</t>
    </r>
  </si>
  <si>
    <t>O’Neill et al. (2017) https://doi.org/10.1073/pnas.1619071114</t>
  </si>
  <si>
    <r>
      <t xml:space="preserve">Homo sapiens </t>
    </r>
    <r>
      <rPr>
        <sz val="11"/>
        <color theme="1"/>
        <rFont val="Calibri"/>
        <family val="2"/>
        <charset val="204"/>
        <scheme val="minor"/>
      </rPr>
      <t>(pulling)</t>
    </r>
  </si>
  <si>
    <r>
      <t>Pan sp.</t>
    </r>
    <r>
      <rPr>
        <sz val="11"/>
        <color theme="1"/>
        <rFont val="Calibri"/>
        <family val="2"/>
        <charset val="204"/>
        <scheme val="minor"/>
      </rPr>
      <t xml:space="preserve"> (pulling)</t>
    </r>
  </si>
  <si>
    <t>Alexander (1974) https://doi.org/10.1111/j.1469-7998.1974.tb04134.x</t>
  </si>
  <si>
    <r>
      <t xml:space="preserve">Canis familiaris </t>
    </r>
    <r>
      <rPr>
        <sz val="11"/>
        <color theme="1"/>
        <rFont val="Calibri"/>
        <family val="2"/>
        <charset val="204"/>
        <scheme val="minor"/>
      </rPr>
      <t>(jumping)</t>
    </r>
  </si>
  <si>
    <t>D'Amore et al. (2011) https://doi.org/10.1371/journal.pone.0026226</t>
  </si>
  <si>
    <r>
      <t xml:space="preserve">Varanus komodoensis </t>
    </r>
    <r>
      <rPr>
        <sz val="11"/>
        <color theme="1"/>
        <rFont val="Calibri"/>
        <family val="2"/>
        <charset val="204"/>
        <scheme val="minor"/>
      </rPr>
      <t>(pulling)</t>
    </r>
  </si>
  <si>
    <t>Yanoff  et al. (1992) https://www.thieme-connect.com/products/ejournals/abstract/10.1055/s-0038-1633066</t>
  </si>
  <si>
    <t>Portugal et al. (2015) https://doi.org/10.1016/j.cub.2015.12.004</t>
  </si>
  <si>
    <r>
      <t xml:space="preserve">Sagittarius serpentarius </t>
    </r>
    <r>
      <rPr>
        <sz val="11"/>
        <color theme="1"/>
        <rFont val="Calibri"/>
        <family val="2"/>
        <charset val="204"/>
        <scheme val="minor"/>
      </rPr>
      <t>(kicking)</t>
    </r>
  </si>
  <si>
    <t>Genin et al. (2010) http://dx.doi.org/10.1242/jeb.035436</t>
  </si>
  <si>
    <t>Scholz et al. (2006) https://doi.org/10.1098%2Frspb.2006.3568</t>
  </si>
  <si>
    <r>
      <t xml:space="preserve">Pan paniscus </t>
    </r>
    <r>
      <rPr>
        <sz val="11"/>
        <color theme="1"/>
        <rFont val="Calibri"/>
        <family val="2"/>
        <charset val="204"/>
        <scheme val="minor"/>
      </rPr>
      <t>(jumping)</t>
    </r>
  </si>
  <si>
    <r>
      <t xml:space="preserve">Homo sapiens </t>
    </r>
    <r>
      <rPr>
        <sz val="11"/>
        <color theme="1"/>
        <rFont val="Calibri"/>
        <family val="2"/>
        <charset val="204"/>
        <scheme val="minor"/>
      </rPr>
      <t>(jumping)</t>
    </r>
  </si>
  <si>
    <t>Astley &amp; Roberts (2014) http://dx.doi.org/10.1242/jeb.110296</t>
  </si>
  <si>
    <r>
      <t xml:space="preserve">Rana pipiens </t>
    </r>
    <r>
      <rPr>
        <sz val="11"/>
        <color theme="1"/>
        <rFont val="Calibri"/>
        <family val="2"/>
        <charset val="204"/>
        <scheme val="minor"/>
      </rPr>
      <t>(jumping)</t>
    </r>
  </si>
  <si>
    <t>https://www.doganddrive.com/wp-content/uploads/2023/04/VeterinaryRecord-2018-Pardey-Peakforelimbgroundreactionforcesexperiencedbydogsjumpingfromasimulatedcar.pdf</t>
  </si>
  <si>
    <r>
      <t>Homo sapiens</t>
    </r>
    <r>
      <rPr>
        <sz val="11"/>
        <color theme="1"/>
        <rFont val="Calibri"/>
        <family val="2"/>
        <charset val="204"/>
        <scheme val="minor"/>
      </rPr>
      <t xml:space="preserve"> (punching)</t>
    </r>
  </si>
  <si>
    <t>https://www.mediasphera.ru/issues/sudebno-meditsinskaya-ekspertiza/2014/3/downloads/ru/030039-4521201432</t>
  </si>
  <si>
    <t>Wachenfelt et al. (2013) https://doi.org/10.1016/j.biosystemseng.2013.10.013</t>
  </si>
  <si>
    <t>Kriss &amp; Kriss (1997) https://doi.org/10.1097/00005373-199707000-00022</t>
  </si>
  <si>
    <r>
      <rPr>
        <i/>
        <sz val="11"/>
        <color theme="1"/>
        <rFont val="Calibri"/>
        <family val="2"/>
        <charset val="204"/>
        <scheme val="minor"/>
      </rPr>
      <t>Equus caballus</t>
    </r>
    <r>
      <rPr>
        <sz val="11"/>
        <color theme="1"/>
        <rFont val="Calibri"/>
        <family val="2"/>
        <scheme val="minor"/>
      </rPr>
      <t xml:space="preserve"> (kicking)</t>
    </r>
  </si>
  <si>
    <r>
      <rPr>
        <i/>
        <sz val="11"/>
        <color theme="1"/>
        <rFont val="Calibri"/>
        <family val="2"/>
        <charset val="204"/>
        <scheme val="minor"/>
      </rPr>
      <t>Equus caballus</t>
    </r>
    <r>
      <rPr>
        <sz val="11"/>
        <color theme="1"/>
        <rFont val="Calibri"/>
        <family val="2"/>
        <scheme val="minor"/>
      </rPr>
      <t xml:space="preserve"> (trailing)</t>
    </r>
  </si>
  <si>
    <r>
      <rPr>
        <i/>
        <sz val="11"/>
        <color theme="1"/>
        <rFont val="Calibri"/>
        <family val="2"/>
        <charset val="204"/>
        <scheme val="minor"/>
      </rPr>
      <t>Equus caballus</t>
    </r>
    <r>
      <rPr>
        <sz val="11"/>
        <color theme="1"/>
        <rFont val="Calibri"/>
        <family val="2"/>
        <scheme val="minor"/>
      </rPr>
      <t xml:space="preserve"> (jumping)</t>
    </r>
  </si>
  <si>
    <t>https://www.zora.uzh.ch/id/eprint/125608/1/03_Fuerst_SAT_2016.pdf</t>
  </si>
  <si>
    <r>
      <rPr>
        <i/>
        <sz val="11"/>
        <color theme="1"/>
        <rFont val="Calibri"/>
        <family val="2"/>
        <charset val="204"/>
        <scheme val="minor"/>
      </rPr>
      <t>Equus caballus</t>
    </r>
    <r>
      <rPr>
        <sz val="11"/>
        <color theme="1"/>
        <rFont val="Calibri"/>
        <family val="2"/>
        <scheme val="minor"/>
      </rPr>
      <t xml:space="preserve"> (kicking, supporting leg)</t>
    </r>
  </si>
  <si>
    <r>
      <rPr>
        <i/>
        <sz val="11"/>
        <color theme="1"/>
        <rFont val="Calibri"/>
        <family val="2"/>
        <charset val="204"/>
        <scheme val="minor"/>
      </rPr>
      <t xml:space="preserve">Equus caballus </t>
    </r>
    <r>
      <rPr>
        <sz val="11"/>
        <color theme="1"/>
        <rFont val="Calibri"/>
        <family val="2"/>
        <scheme val="minor"/>
      </rPr>
      <t>(kicking)</t>
    </r>
  </si>
  <si>
    <t>Source</t>
  </si>
  <si>
    <t>ln limb-produced force (N)</t>
  </si>
  <si>
    <t>Limb-produced force (N)</t>
  </si>
  <si>
    <t>limb force</t>
  </si>
  <si>
    <t>Primates</t>
  </si>
  <si>
    <t>Propithecus</t>
  </si>
  <si>
    <t>Bite force</t>
  </si>
  <si>
    <t>Mustela erminea</t>
  </si>
  <si>
    <r>
      <t>Homo sapiens</t>
    </r>
    <r>
      <rPr>
        <sz val="11"/>
        <color theme="1"/>
        <rFont val="Calibri"/>
        <family val="2"/>
        <charset val="204"/>
        <scheme val="minor"/>
      </rPr>
      <t xml:space="preserve"> (kicking)</t>
    </r>
  </si>
  <si>
    <t>https://www.mdpi.com/2075-4663/12/8/205</t>
  </si>
  <si>
    <t>Running speed</t>
  </si>
  <si>
    <t>No data</t>
  </si>
  <si>
    <t>Weight (kg)</t>
  </si>
  <si>
    <t>Max. Bite force (N)</t>
  </si>
  <si>
    <t>Isometric bite force (N)</t>
  </si>
  <si>
    <t>Method</t>
  </si>
  <si>
    <t xml:space="preserve">Source </t>
  </si>
  <si>
    <t>ln weight (kg)</t>
  </si>
  <si>
    <t>ln max. Bite force (N)</t>
  </si>
  <si>
    <t>Suids</t>
  </si>
  <si>
    <t>In vivo</t>
  </si>
  <si>
    <t>https://pmc.ncbi.nlm.nih.gov/articles/PMC8364746/</t>
  </si>
  <si>
    <t>Felids</t>
  </si>
  <si>
    <t>PCSA</t>
  </si>
  <si>
    <t>https://anatomypubs.onlinelibrary.wiley.com/doi/10.1002/ar.22518</t>
  </si>
  <si>
    <t>https://onlinelibrary.wiley.com/doi/10.1111/j.1469-7580.2008.00911.x</t>
  </si>
  <si>
    <t>Other carnivora</t>
  </si>
  <si>
    <t>Ailurus fulgens</t>
  </si>
  <si>
    <t>https://anatomypubs.onlinelibrary.wiley.com/doi/10.1002/ar.24233</t>
  </si>
  <si>
    <t>Spilogale putorius</t>
  </si>
  <si>
    <t>Taxidea taxus</t>
  </si>
  <si>
    <t>Eira barbara</t>
  </si>
  <si>
    <t>Aonyx cinerea</t>
  </si>
  <si>
    <t>Lontra canadensis</t>
  </si>
  <si>
    <t>Pteronura brasiliensis</t>
  </si>
  <si>
    <t>Martes americana</t>
  </si>
  <si>
    <t>Mustela nivalis</t>
  </si>
  <si>
    <t>Gulo gulo</t>
  </si>
  <si>
    <t>Bassariscus astutus</t>
  </si>
  <si>
    <t>Potos flavus</t>
  </si>
  <si>
    <t>Nasua nasua</t>
  </si>
  <si>
    <t>Crocodilians</t>
  </si>
  <si>
    <t>Crocodylus intermedius</t>
  </si>
  <si>
    <t>https://journals.plos.org/plosone/article?id=10.1371/journal.pone.0031781</t>
  </si>
  <si>
    <t>Crocodylus mindorensis</t>
  </si>
  <si>
    <t>Crocodylus moreletii</t>
  </si>
  <si>
    <t>Crocodylus palustris</t>
  </si>
  <si>
    <t>Crocodylus porosus</t>
  </si>
  <si>
    <t>https://zslpublications.onlinelibrary.wiley.com/doi/10.1111/jzo.12349</t>
  </si>
  <si>
    <t>Lizards</t>
  </si>
  <si>
    <t>Sinclair &amp; Alexander (1987) https://doi.org/10.1111/j.1469-7998.1987.tb03681.x</t>
  </si>
  <si>
    <t>Mochlus sundevallii</t>
  </si>
  <si>
    <t>Justin et al. (2014) https://data.nhm.ac.uk/dataset/lepidosaur-bite-force-data/resource/a31436d7-a41c-48ae-b28f-b84e92fd3734</t>
  </si>
  <si>
    <t>Bradypodion pumilum</t>
  </si>
  <si>
    <t>Acontias meleagris</t>
  </si>
  <si>
    <t>Anolis oculatus</t>
  </si>
  <si>
    <t>Sphenodon punctatus</t>
  </si>
  <si>
    <t>Gallotia atlantica</t>
  </si>
  <si>
    <t>Anolis cristatellus</t>
  </si>
  <si>
    <t>Trogonophis wiegmanni</t>
  </si>
  <si>
    <t>Podarcis erhardii</t>
  </si>
  <si>
    <t>Podarcis siculus</t>
  </si>
  <si>
    <t>Podarcis muralis</t>
  </si>
  <si>
    <t>Gallotia intermedia</t>
  </si>
  <si>
    <t>Gallotia galloti</t>
  </si>
  <si>
    <t>Ctenotus inornatus</t>
  </si>
  <si>
    <t>Podarcis melisellensis</t>
  </si>
  <si>
    <t>Anolis carolinensis</t>
  </si>
  <si>
    <t>Gallotia simonyi</t>
  </si>
  <si>
    <t>Anolis equestris</t>
  </si>
  <si>
    <t>Crotaphytus antiquus</t>
  </si>
  <si>
    <t>Anolis sagrei</t>
  </si>
  <si>
    <t>Chalcides sepsoides</t>
  </si>
  <si>
    <t>Uromastyx aegyptia</t>
  </si>
  <si>
    <t>Gekko gecko</t>
  </si>
  <si>
    <t>Typhlosaurus caecus</t>
  </si>
  <si>
    <t>Anolis lineatopus</t>
  </si>
  <si>
    <t>Zootoca vivipara</t>
  </si>
  <si>
    <t>Eremiascincus isolepis</t>
  </si>
  <si>
    <t>Gallotia caesaris</t>
  </si>
  <si>
    <t>Pogona vitticeps</t>
  </si>
  <si>
    <t>Gallotia stehlini</t>
  </si>
  <si>
    <t>Gallotia bravoana</t>
  </si>
  <si>
    <t>Carlia triacantha</t>
  </si>
  <si>
    <t>Typhlosaurus vermis</t>
  </si>
  <si>
    <t>Sauromalus ater</t>
  </si>
  <si>
    <t>Scincus scincus</t>
  </si>
  <si>
    <t>Diplolaemus leopardinus</t>
  </si>
  <si>
    <t>Acontias percivali</t>
  </si>
  <si>
    <t>Anolis garmani</t>
  </si>
  <si>
    <t>Ctenotus robustus</t>
  </si>
  <si>
    <t>Bradypodion occidentale</t>
  </si>
  <si>
    <t>Pygomeles braconnieri</t>
  </si>
  <si>
    <t>Ctenophorus maculosus</t>
  </si>
  <si>
    <t>Chalcides ocellatus</t>
  </si>
  <si>
    <t>Acontias kgalagadi</t>
  </si>
  <si>
    <t>Scelotes bipes</t>
  </si>
  <si>
    <t>Acontias litoralis</t>
  </si>
  <si>
    <t>Ablepharus kitaibelii</t>
  </si>
  <si>
    <t>Cryptoblepharus metallicus</t>
  </si>
  <si>
    <t>Scelotes montispectus</t>
  </si>
  <si>
    <t>Typhlosaurus lomiae</t>
  </si>
  <si>
    <t>Anolis sheplani</t>
  </si>
  <si>
    <t>Ward et al. (2002) https://doi.org/10.1093/auk/119.4.1052</t>
  </si>
  <si>
    <t>Turtles</t>
  </si>
  <si>
    <t>Chrysemys picta</t>
  </si>
  <si>
    <t>Pseudemys scripta</t>
  </si>
  <si>
    <t>Emys blandingii</t>
  </si>
  <si>
    <t>Avahi laniger</t>
  </si>
  <si>
    <t>https://pmc.ncbi.nlm.nih.gov/articles/PMC3349241/</t>
  </si>
  <si>
    <t>Cheirogaleus medius</t>
  </si>
  <si>
    <t>Eulemur collaris</t>
  </si>
  <si>
    <t>Eulemur coronatus</t>
  </si>
  <si>
    <t>Eulemur macaco flavifrons</t>
  </si>
  <si>
    <t>Eulemur mongoz</t>
  </si>
  <si>
    <t>Eulemur rubriventer</t>
  </si>
  <si>
    <t>Galago moholi</t>
  </si>
  <si>
    <t>Hapalemur griseus</t>
  </si>
  <si>
    <t>Lemur catta</t>
  </si>
  <si>
    <t>Lepilemur leucopus</t>
  </si>
  <si>
    <t>Microcebus murinus</t>
  </si>
  <si>
    <t>Mirza coquereli</t>
  </si>
  <si>
    <t>Nycticebus coucang</t>
  </si>
  <si>
    <t>Nycticebus pygmaeus</t>
  </si>
  <si>
    <t>Otolemur crassicaudatus</t>
  </si>
  <si>
    <t>Perodicticus potto</t>
  </si>
  <si>
    <t>Propithecus coquereli</t>
  </si>
  <si>
    <t>Propithecus diadema</t>
  </si>
  <si>
    <t>Propithecus tattersalli</t>
  </si>
  <si>
    <t>Varecia rubra</t>
  </si>
  <si>
    <t>Tarsius syrichta</t>
  </si>
  <si>
    <t>Alouatta fusca</t>
  </si>
  <si>
    <t>Aotus trivirgatus</t>
  </si>
  <si>
    <t>Ateles geoffroyi</t>
  </si>
  <si>
    <t>Callicebus torquatus</t>
  </si>
  <si>
    <t>Callimico goeldii</t>
  </si>
  <si>
    <t>Mico argentatus</t>
  </si>
  <si>
    <t>Cebus nigrivittatus</t>
  </si>
  <si>
    <t>Saguinus fuscicollis</t>
  </si>
  <si>
    <t>Saimiri sciureus</t>
  </si>
  <si>
    <t>Callithrix jacchus</t>
  </si>
  <si>
    <t>Colobus polykomos</t>
  </si>
  <si>
    <t>Colobus rufomitratus</t>
  </si>
  <si>
    <t>Hylobates lar</t>
  </si>
  <si>
    <t>https://www.researchgate.net/publication/44679437_The_craniomandibular_mechanics_of_being_human</t>
  </si>
  <si>
    <t>Pongo pygmaeus</t>
  </si>
  <si>
    <t>Pan troglodytes</t>
  </si>
  <si>
    <t>Rodents</t>
  </si>
  <si>
    <t>Freeman &amp; Lemen (2008) https://doi.org/10.1111/j.1469-7998.2008.00459.x</t>
  </si>
  <si>
    <t>Geomys bursarius</t>
  </si>
  <si>
    <t>Microtus ochrogaster</t>
  </si>
  <si>
    <t>Neotoma floridana</t>
  </si>
  <si>
    <t>Onychomys leucogaster</t>
  </si>
  <si>
    <t>Perognathus flavescens</t>
  </si>
  <si>
    <t>Reithrodontomys megalotis</t>
  </si>
  <si>
    <t>Sigmodon hispidus</t>
  </si>
  <si>
    <t>Zapus hudsonius</t>
  </si>
  <si>
    <t>Robins (1977) https://doi.org/10.1016/0003-9969(77)90138-8</t>
  </si>
  <si>
    <t>Castor canadensis</t>
  </si>
  <si>
    <t>Cox &amp; Baverstock (2015) http://dx.doi.org/10.1007/s10914-015-9306-9</t>
  </si>
  <si>
    <t>Tayassu pecari</t>
  </si>
  <si>
    <t>Pecari tajacu</t>
  </si>
  <si>
    <r>
      <t>Bubo virginianus</t>
    </r>
    <r>
      <rPr>
        <sz val="11"/>
        <color theme="1"/>
        <rFont val="Calibri"/>
        <family val="2"/>
        <charset val="204"/>
        <scheme val="minor"/>
      </rPr>
      <t xml:space="preserve"> (grip)</t>
    </r>
  </si>
  <si>
    <r>
      <t xml:space="preserve">Buteo jamaicensis </t>
    </r>
    <r>
      <rPr>
        <sz val="11"/>
        <color theme="1"/>
        <rFont val="Calibri"/>
        <family val="2"/>
        <charset val="204"/>
        <scheme val="minor"/>
      </rPr>
      <t>(grip)</t>
    </r>
  </si>
  <si>
    <r>
      <t xml:space="preserve">Buteo lineatus </t>
    </r>
    <r>
      <rPr>
        <sz val="11"/>
        <color theme="1"/>
        <rFont val="Calibri"/>
        <family val="2"/>
        <charset val="204"/>
        <scheme val="minor"/>
      </rPr>
      <t>(grip)</t>
    </r>
  </si>
  <si>
    <r>
      <t xml:space="preserve">Falco sparverius </t>
    </r>
    <r>
      <rPr>
        <sz val="11"/>
        <color theme="1"/>
        <rFont val="Calibri"/>
        <family val="2"/>
        <charset val="204"/>
        <scheme val="minor"/>
      </rPr>
      <t>(grip)</t>
    </r>
  </si>
  <si>
    <r>
      <t xml:space="preserve">Strix varia </t>
    </r>
    <r>
      <rPr>
        <sz val="11"/>
        <color theme="1"/>
        <rFont val="Calibri"/>
        <family val="2"/>
        <charset val="204"/>
        <scheme val="minor"/>
      </rPr>
      <t>(grip)</t>
    </r>
  </si>
  <si>
    <r>
      <t xml:space="preserve">Otus asio </t>
    </r>
    <r>
      <rPr>
        <sz val="11"/>
        <color theme="1"/>
        <rFont val="Calibri"/>
        <family val="2"/>
        <charset val="204"/>
        <scheme val="minor"/>
      </rPr>
      <t>(grip)</t>
    </r>
  </si>
  <si>
    <r>
      <t xml:space="preserve">Bubo virginianus </t>
    </r>
    <r>
      <rPr>
        <sz val="11"/>
        <color theme="1"/>
        <rFont val="Calibri"/>
        <family val="2"/>
        <charset val="204"/>
        <scheme val="minor"/>
      </rPr>
      <t>(grip)</t>
    </r>
  </si>
  <si>
    <t>Relative bite force</t>
  </si>
  <si>
    <t>https://pferdeheilkunde.de/files/20060102.pdf</t>
  </si>
  <si>
    <t>https://orbi.uliege.be/bitstream/2268/310492/1/2022%20VanLinden%20et%20al%20Tapir%20sagittal%20crest%20bite%20force%20decoupling.pdf</t>
  </si>
  <si>
    <t>https://onlinelibrary.wiley.com/doi/full/10.1111/joa.14041</t>
  </si>
  <si>
    <t>https://onlinelibrary.wiley.com/doi/full/10.1111/joa.14144</t>
  </si>
  <si>
    <t>Misc</t>
  </si>
  <si>
    <t>Kinetic impact energy Eₖ (J)</t>
  </si>
  <si>
    <t>Force (N)</t>
  </si>
  <si>
    <t>Force-enegy ratio</t>
  </si>
  <si>
    <r>
      <t xml:space="preserve">Ceratotherium simum </t>
    </r>
    <r>
      <rPr>
        <sz val="11"/>
        <color theme="1"/>
        <rFont val="Calibri"/>
        <family val="2"/>
        <charset val="204"/>
        <scheme val="minor"/>
      </rPr>
      <t>(standing)</t>
    </r>
  </si>
  <si>
    <r>
      <t>Sus scrofa</t>
    </r>
    <r>
      <rPr>
        <sz val="11"/>
        <color theme="1"/>
        <rFont val="Calibri"/>
        <family val="2"/>
        <charset val="204"/>
        <scheme val="minor"/>
      </rPr>
      <t xml:space="preserve"> (ramming)</t>
    </r>
  </si>
  <si>
    <t>https://www.sciencedirect.com/science/article/abs/pii/S1742706123007122#:~:text=A%20100%20kg%20bighorn%20sheep,combat%20%5B1%2C2%5D.</t>
  </si>
  <si>
    <r>
      <t>Ovis canadensis</t>
    </r>
    <r>
      <rPr>
        <sz val="11"/>
        <color theme="1"/>
        <rFont val="Calibri"/>
        <family val="2"/>
        <charset val="204"/>
        <scheme val="minor"/>
      </rPr>
      <t xml:space="preserve"> (ramming)</t>
    </r>
  </si>
  <si>
    <r>
      <t>Homo sapiens</t>
    </r>
    <r>
      <rPr>
        <sz val="11"/>
        <color theme="1"/>
        <rFont val="Calibri"/>
        <family val="2"/>
        <charset val="204"/>
        <scheme val="minor"/>
      </rPr>
      <t xml:space="preserve"> (jumping)</t>
    </r>
  </si>
  <si>
    <t>Arthropods</t>
  </si>
  <si>
    <t>Birgus latro</t>
  </si>
  <si>
    <t>Oka et al. (2016) https://doi.org/10.1371/journal.pone.0166108</t>
  </si>
  <si>
    <t>Cancer antennarius</t>
  </si>
  <si>
    <t>Taylor (2000) https://doi.org/10.1098%2Frspb.2000.1167</t>
  </si>
  <si>
    <t>Cancer branneri</t>
  </si>
  <si>
    <t>Cancer gracilis</t>
  </si>
  <si>
    <t>Cancer magister</t>
  </si>
  <si>
    <t>Cancer oregonensis</t>
  </si>
  <si>
    <t>Cancer productus</t>
  </si>
  <si>
    <t>Periplaneta americana</t>
  </si>
  <si>
    <t>Weihmann et al. (2015) https://doi.org/10.1371/journal.pone.0141226</t>
  </si>
  <si>
    <t>Cyclommatus metallifer</t>
  </si>
  <si>
    <t>Goyens et al. (2014) http://dx.doi.org/10.1242/jeb.091744</t>
  </si>
  <si>
    <t>Atta cephalotes</t>
  </si>
  <si>
    <t>Püffel et al. (2023) https://doi.org/10.1098/rsos.221066</t>
  </si>
  <si>
    <t>Bite force (N)</t>
  </si>
  <si>
    <t>Procyon cancrivorus</t>
  </si>
  <si>
    <t>Ursus malayanus</t>
  </si>
  <si>
    <t>Ursus ursinus</t>
  </si>
  <si>
    <t>Ursus thibetanus</t>
  </si>
  <si>
    <t>Nyctereutes procynoides</t>
  </si>
  <si>
    <t>Otocyon megalotis</t>
  </si>
  <si>
    <t>Fennecus zerda</t>
  </si>
  <si>
    <t>Speothos venaticus</t>
  </si>
  <si>
    <t>Chrysocyon brachyurus</t>
  </si>
  <si>
    <t>Cuon alpinus</t>
  </si>
  <si>
    <t>Cerdocyon thous</t>
  </si>
  <si>
    <t>Dusicyon gymnocerus</t>
  </si>
  <si>
    <t>Lycalopex vetulus</t>
  </si>
  <si>
    <t>Nandinia binotata</t>
  </si>
  <si>
    <t>Arctictis binturong</t>
  </si>
  <si>
    <t>Genetta genetta</t>
  </si>
  <si>
    <t>Civettictis civetta</t>
  </si>
  <si>
    <t>Viverricula indica</t>
  </si>
  <si>
    <t>Hyaena brunnea</t>
  </si>
  <si>
    <t>Neofelis nebulosa</t>
  </si>
  <si>
    <t>Panthera uncia</t>
  </si>
  <si>
    <t>Leopardus pardalis</t>
  </si>
  <si>
    <t>Leopardus wiedii</t>
  </si>
  <si>
    <t>Leopardus tigrinus</t>
  </si>
  <si>
    <t>Leopardus geoffroyi</t>
  </si>
  <si>
    <t>Herpailurus yagouaroundi</t>
  </si>
  <si>
    <t>Pardofelis marmorata</t>
  </si>
  <si>
    <t>Felis chaus</t>
  </si>
  <si>
    <t>Ictailurus planiceps</t>
  </si>
  <si>
    <t>Prionailurus bengalensis</t>
  </si>
  <si>
    <t>Leptailurus serval</t>
  </si>
  <si>
    <t>Caracal caracal</t>
  </si>
  <si>
    <t>Profelis aurata</t>
  </si>
  <si>
    <t>Canine length factor</t>
  </si>
  <si>
    <t>ln maximum canine length (cm)</t>
  </si>
  <si>
    <t>Mass (kg)</t>
  </si>
  <si>
    <t>Bite pressure (MPa)</t>
  </si>
  <si>
    <t>Contact area (mm^2)</t>
  </si>
  <si>
    <t>Dunkleosteus terrelli</t>
  </si>
  <si>
    <t>Corrected Fuerst et al. (2008) http://dx.doi.org/10.1098/rsbl.2006.0569</t>
  </si>
  <si>
    <t>Crocodylus acutus</t>
  </si>
  <si>
    <t>Erickson et al. (2012) https://doi.org/10.1371/journal.pone.0031781</t>
  </si>
  <si>
    <t>Crocodylus johnsoni</t>
  </si>
  <si>
    <t>Erickson et al. (2012) https://doi.org/10.1371/journal.pone.0031780</t>
  </si>
  <si>
    <t>Crocodylus niloticus</t>
  </si>
  <si>
    <t>Crocodylus novaeguineae</t>
  </si>
  <si>
    <t>Crocodylus rhombifer</t>
  </si>
  <si>
    <t>Crocodylus siamensis</t>
  </si>
  <si>
    <t>Ostoelaemus tetraspis</t>
  </si>
  <si>
    <t>Gavialis gangeticus</t>
  </si>
  <si>
    <t>Tomistoma schlegelii</t>
  </si>
  <si>
    <t>Alligator sinensis</t>
  </si>
  <si>
    <t>Caiman crocodilus</t>
  </si>
  <si>
    <t>Caiman latirostris</t>
  </si>
  <si>
    <t>Caiman yacare</t>
  </si>
  <si>
    <t>Melanosuchus niger</t>
  </si>
  <si>
    <t>Paleosuchus palpebrosus</t>
  </si>
  <si>
    <t>Paleosuchus trigonatus</t>
  </si>
  <si>
    <t>Corrected Gignac et al. (2017) https://doi.org/10.1038/s41598-017-02161-w</t>
  </si>
  <si>
    <t>Hartstone-Rose et al. (2012) https://doi.org/10.1002/ar.22518</t>
  </si>
  <si>
    <t>Lynx rufus</t>
  </si>
  <si>
    <t>Lynx canadensis</t>
  </si>
  <si>
    <t>Varanus komodoensis</t>
  </si>
  <si>
    <t>Erethizon dorsatum</t>
  </si>
  <si>
    <t>Alouatta belzebul</t>
  </si>
  <si>
    <t>Alouatta caraya</t>
  </si>
  <si>
    <t>Alouatta palliata</t>
  </si>
  <si>
    <t>Alouatta pigra</t>
  </si>
  <si>
    <t>Allenopithecus nigroviridis</t>
  </si>
  <si>
    <t>Aotus lemurinus</t>
  </si>
  <si>
    <t>Ateles paniscus</t>
  </si>
  <si>
    <t>Brachyteles arachnoids</t>
  </si>
  <si>
    <t>Callicebus moloch</t>
  </si>
  <si>
    <t>Callithrix jacchus penicillata</t>
  </si>
  <si>
    <t>Cebus apella</t>
  </si>
  <si>
    <t>Cebus capucinus</t>
  </si>
  <si>
    <t>Cercocebus agilis</t>
  </si>
  <si>
    <t>Cercocebus atys</t>
  </si>
  <si>
    <t>Cercopithecus aethiops ngamiensis</t>
  </si>
  <si>
    <t>Cercopithecus aethiops sabaeus</t>
  </si>
  <si>
    <t>Cercopithecus ascanius</t>
  </si>
  <si>
    <t>Cercopithecus cephus</t>
  </si>
  <si>
    <t>Cercopithecus diana diana</t>
  </si>
  <si>
    <t>Cercopithecus diana roloway</t>
  </si>
  <si>
    <t>Cercopithecus lhoesti</t>
  </si>
  <si>
    <t>Cercopithecus mitis kolbi</t>
  </si>
  <si>
    <t>Cercopithecus mitis stuhlmanni</t>
  </si>
  <si>
    <t>Cercopithecus neglectus</t>
  </si>
  <si>
    <t>Cercopithecus nictitans</t>
  </si>
  <si>
    <t>Colobus angolensis</t>
  </si>
  <si>
    <t>Chiropotes satanas</t>
  </si>
  <si>
    <t>Erythrocebus patas</t>
  </si>
  <si>
    <t>Hylobates concolor</t>
  </si>
  <si>
    <t>Nasalis larvatus</t>
  </si>
  <si>
    <t>Pan paniscus</t>
  </si>
  <si>
    <t>Papio anubis</t>
  </si>
  <si>
    <t>Pithecia pithecia</t>
  </si>
  <si>
    <t>Presbytis comata</t>
  </si>
  <si>
    <t>Procolobus badius</t>
  </si>
  <si>
    <t>Saimiri boliviensis</t>
  </si>
  <si>
    <t>Simias concolor</t>
  </si>
  <si>
    <t>Galago elegantulus</t>
  </si>
  <si>
    <t>Galagoides alleni</t>
  </si>
  <si>
    <t>Indri indri</t>
  </si>
  <si>
    <t>Loris tardigradus</t>
  </si>
  <si>
    <t>P. verreauxi</t>
  </si>
  <si>
    <t>Varecia variegate</t>
  </si>
  <si>
    <t>Alopex lagopus</t>
  </si>
  <si>
    <t>Cynictis penicillata</t>
  </si>
  <si>
    <t>Eira Barbara</t>
  </si>
  <si>
    <t>Felis silvestris</t>
  </si>
  <si>
    <t>Helogale parvula</t>
  </si>
  <si>
    <t>Ictonyx striatus</t>
  </si>
  <si>
    <t>Mungos mungo</t>
  </si>
  <si>
    <t>Mustela sibiricus</t>
  </si>
  <si>
    <t>Proteles cristatus</t>
  </si>
  <si>
    <t>Suricata suricata</t>
  </si>
  <si>
    <t>Vulpes velox</t>
  </si>
  <si>
    <t>Lagothrix lagothricha</t>
  </si>
  <si>
    <t>Lophocebus aterrimus</t>
  </si>
  <si>
    <t>Macaca fascicularis</t>
  </si>
  <si>
    <t>Mandrillus leucophaeus</t>
  </si>
  <si>
    <t>Miopithecus talapoin</t>
  </si>
  <si>
    <t>Theropithecus gelada</t>
  </si>
  <si>
    <t>Arctocebus calabarensis</t>
  </si>
  <si>
    <t>Otolemur garnettii</t>
  </si>
  <si>
    <t>Microcebus rufus</t>
  </si>
  <si>
    <t>Cercopithecus petaurista</t>
  </si>
  <si>
    <t>Cercopithecus pogonias grayi</t>
  </si>
  <si>
    <t>Cercopithecus wolfi</t>
  </si>
  <si>
    <t>Colobus guereza caudatus</t>
  </si>
  <si>
    <t>Colobus guereza occidentalis</t>
  </si>
  <si>
    <t>Hylobates hoolock</t>
  </si>
  <si>
    <t>Hylobates klossii</t>
  </si>
  <si>
    <t>Hylobates syndactylus</t>
  </si>
  <si>
    <t>Lophocebus albigena</t>
  </si>
  <si>
    <t>Macaca fuscata</t>
  </si>
  <si>
    <t>Macaca hecki</t>
  </si>
  <si>
    <t>Macaca mulatta</t>
  </si>
  <si>
    <t>Macaca nigra</t>
  </si>
  <si>
    <t>Macaca sinica</t>
  </si>
  <si>
    <t>Macaca tonkeana</t>
  </si>
  <si>
    <t>Papio hamadryas</t>
  </si>
  <si>
    <t>Presbytis melalophos</t>
  </si>
  <si>
    <t>Presbytis potenziani</t>
  </si>
  <si>
    <t>Presbytis rubicunda</t>
  </si>
  <si>
    <t>Presbytis vetulus</t>
  </si>
  <si>
    <t>Procolobus verus</t>
  </si>
  <si>
    <t>Trachypithecus cristata</t>
  </si>
  <si>
    <t>Trachypithecus obscura</t>
  </si>
  <si>
    <t>Trachypithecus pileata</t>
  </si>
  <si>
    <t>Eulemur fulvus</t>
  </si>
  <si>
    <t>Eulemur macaco</t>
  </si>
  <si>
    <t>Galago senegalensis</t>
  </si>
  <si>
    <t>Galagoides demidovii</t>
  </si>
  <si>
    <t>Galagoides zanzibaricus</t>
  </si>
  <si>
    <t>Lepilemur mustelinus</t>
  </si>
  <si>
    <t>Lepilemur ruficaudatus</t>
  </si>
  <si>
    <t>Conepatus humboldtii</t>
  </si>
  <si>
    <t>Canis mesomelas</t>
  </si>
  <si>
    <t>Felis serval</t>
  </si>
  <si>
    <t>Genetta servalina</t>
  </si>
  <si>
    <t>Herpestes edwardsi</t>
  </si>
  <si>
    <t>Herpestes pulverulentus</t>
  </si>
  <si>
    <t>Herpestes sanguineus</t>
  </si>
  <si>
    <t>Ichneumia albicauda</t>
  </si>
  <si>
    <t>Mustela frenata</t>
  </si>
  <si>
    <t>dataset from Christiansen &amp; Adolfssen (2005) https://doi.org/10.1017/S0952836905006643 and Plavcan &amp; Ruff (2008) https://doi.org/10.1002/ajpa.20779</t>
  </si>
  <si>
    <t>https://www.sciencedirect.com/science/article/abs/pii/S1537511020301008</t>
  </si>
  <si>
    <t>https://onlinelibrary.wiley.com/doi/abs/10.1002/ajpa.1330830211</t>
  </si>
  <si>
    <t>https://journals.sagepub.com/doi/10.1177/03015742211044856</t>
  </si>
  <si>
    <t>ln Kinetic impact energy Eₖ (J)</t>
  </si>
  <si>
    <t>ln Force (N)</t>
  </si>
  <si>
    <t>http://proceedings.archbudo.com/wp-content/uploads/2015/09/158_ArchBudoConfProc.pdf</t>
  </si>
  <si>
    <t>V (m/s)</t>
  </si>
  <si>
    <t>M (kg)</t>
  </si>
  <si>
    <t>Sagittarius serpentarius</t>
  </si>
  <si>
    <t>Test</t>
  </si>
  <si>
    <t>Varanus bengalensis</t>
  </si>
  <si>
    <t>https://www.facebook.com/bbcearth/videos/deadly-60-the-largest-lizard-on-earth/385634677028817/</t>
  </si>
  <si>
    <t>Corrected dry skull</t>
  </si>
  <si>
    <t>https://www.researchgate.net/publication/224630206_Finite_Element_Analysis_of_ursid_cranial_mechanics_and_the_prediction_of_feeding_behaviour_in_the_extinct_giant_Agriotherium_africanum_the_bare_facts</t>
  </si>
  <si>
    <t>Vulpes zerda</t>
  </si>
  <si>
    <t>Speculative</t>
  </si>
  <si>
    <t>https://www.mdpi.com/2076-2615/14/9/1367</t>
  </si>
  <si>
    <t>https://www.bio.umass.edu/biology/dumont/Tanner%20et%20al_2008_Biological%20Journal%20of%20the%20Linnean%20Society.pdf</t>
  </si>
  <si>
    <t>https://journals.biologists.com/jeb/article/219/23/3738/16607/Accuracy-of-mandibular-force-profiles-for-bite</t>
  </si>
  <si>
    <t>https://www.wellesu.com/10.1017/s0952836905006643</t>
  </si>
  <si>
    <t>Canis dirus</t>
  </si>
  <si>
    <t>Canids and hyaenids</t>
  </si>
  <si>
    <t>https://doi.org/10.3390/ani10040707</t>
  </si>
  <si>
    <t>Cacajao calvus</t>
  </si>
  <si>
    <t>Callithrix jacchus jacchus</t>
  </si>
  <si>
    <t>Cercopithecus aethiops hilgerti</t>
  </si>
  <si>
    <t>Saguinus midas</t>
  </si>
  <si>
    <t>Semnopithecus entellus</t>
  </si>
  <si>
    <t>Pygathrix nemaeus</t>
  </si>
  <si>
    <t>Papio cynocephalus</t>
  </si>
  <si>
    <t>Macaca nemestrina</t>
  </si>
  <si>
    <t>Claws sharpness</t>
  </si>
  <si>
    <t>Claw sharpness (px)</t>
  </si>
  <si>
    <t>ln mass (kg)</t>
  </si>
  <si>
    <t>ln claw sharpness (mm^2)</t>
  </si>
  <si>
    <t>Melursus ursinus</t>
  </si>
  <si>
    <t>Teeth sharpness</t>
  </si>
  <si>
    <t>ln contact area (mm^2)</t>
  </si>
  <si>
    <t>Actual Mass (kg)</t>
  </si>
  <si>
    <r>
      <t>Canis l. familiaris</t>
    </r>
    <r>
      <rPr>
        <sz val="11"/>
        <color theme="1"/>
        <rFont val="Calibri"/>
        <family val="2"/>
        <charset val="204"/>
        <scheme val="minor"/>
      </rPr>
      <t xml:space="preserve"> (Australian Shepherd-Blue Heeler cross)</t>
    </r>
  </si>
  <si>
    <t>Canis l. familiaris (Black Labrador)</t>
  </si>
  <si>
    <t>Canis l. familiaris (Shar Pe cross)</t>
  </si>
  <si>
    <t>Canis l. familiaris (Shepherd-Collie crosss)</t>
  </si>
  <si>
    <t>Canis l. familiaris (Spaniel cross)</t>
  </si>
  <si>
    <t>Canis l. familiaris (	Jack Russell cross)</t>
  </si>
  <si>
    <t>Canis l. familiaris (Husky crosss)</t>
  </si>
  <si>
    <t>Canis l. familiaris (Terrier-Collie cross)</t>
  </si>
  <si>
    <t>Canis l. familiaris (Shepherd cross)</t>
  </si>
  <si>
    <t>Canis l. familiaris (	Collie-Hound cross)</t>
  </si>
  <si>
    <t>Canis l. familiaris (Dachshund)</t>
  </si>
  <si>
    <t>Canis l. familiaris (Pit Bull-Shepherd cross)</t>
  </si>
  <si>
    <t>Canis l. familiaris (Shepherd)</t>
  </si>
  <si>
    <t>Canis l. familiaris (Setter cross)</t>
  </si>
  <si>
    <t>Canis l. familiaris (Labrador-Shepherd cross)</t>
  </si>
  <si>
    <t>Canis l. familiaris (Shepherd-Husky cross)</t>
  </si>
  <si>
    <t>Canis l. familiaris (Walker Hound)</t>
  </si>
  <si>
    <t>https://doi.org/10.1890/0012-9658(2007)88[347:bfaeat]2.0.co;2 and https://journals.biologists.com/jeb/article/219/23/3738/16607/Accuracy-of-mandibular-force-profiles-for-bite</t>
  </si>
  <si>
    <t>Bite force adjuster</t>
  </si>
  <si>
    <t>Teeth size adjuster</t>
  </si>
  <si>
    <t>DomesticationLevel</t>
  </si>
  <si>
    <t>https://centaur.reading.ac.uk/117240/2/Palaeontology%20-%202021%20-%20Sakamoto%20-%20Assessing%20bite%20force%20estimates%20in%20extinct%20mammals%20and%20archosaurs%20using%20phylogenetic.pdf</t>
  </si>
  <si>
    <t>Smilodon fatalis</t>
  </si>
  <si>
    <t>https://www.pnas.org/doi/10.1073/pnas.0706086104</t>
  </si>
  <si>
    <t>Theropods</t>
  </si>
  <si>
    <t>Sakamoto (2021) https://doi.org/10.1111/pala.12567</t>
  </si>
  <si>
    <t>Carnotaurus sastrei</t>
  </si>
  <si>
    <t>Dromaeosaurus albertensis</t>
  </si>
  <si>
    <t>Majungasaurus crenatissimus</t>
  </si>
  <si>
    <t>Tarbosaurus bataar</t>
  </si>
  <si>
    <t>Sinraptor dongi</t>
  </si>
  <si>
    <t>Herrerasaurus ischigualastensis</t>
  </si>
  <si>
    <t>Coelophysis rhodesiensis</t>
  </si>
  <si>
    <t>Daspletosaurus torosus</t>
  </si>
  <si>
    <t>Gorgosaurus libratus</t>
  </si>
  <si>
    <t>Lesothosaurus diagnosticus</t>
  </si>
  <si>
    <t>corrected dry skull</t>
  </si>
  <si>
    <t>Bates &amp; Falkingham (2012) and Sellers (2017) https://doi.org/10.1098/rsbl.2012.0056 https://peerj.com/articles/3420/</t>
  </si>
  <si>
    <t>Sakamoto (2021) https://doi.org/10.1111/pala.12567 and https://www.reddit.com/r/Paleontology/comments/1kso8go/is_the_latest_mass_estimates_used_for_a_accurate</t>
  </si>
  <si>
    <t>Acrocanthosaurus atokensis</t>
  </si>
  <si>
    <t>Baryonyx walkeri</t>
  </si>
  <si>
    <t>Carcharodontosaurus saharicus</t>
  </si>
  <si>
    <t>Ceratosaurus nasicornis</t>
  </si>
  <si>
    <t>Deinonychus antirrhopus</t>
  </si>
  <si>
    <t>Gallimimus bullatus</t>
  </si>
  <si>
    <t>Monolophosaurus jiangi</t>
  </si>
  <si>
    <t>Spinosaurus aegyptiacus</t>
  </si>
  <si>
    <t>Velociraptor mongoliensis</t>
  </si>
  <si>
    <t>Yangchuanosaurus shangyouensis</t>
  </si>
  <si>
    <t>Bates &amp; Falkingham (2012) https://doi.org/10.1098/rsbl.2012.0056 and https://www.deviantart.com/triceratopshorridus/journal/Predatory-Dinosaur-Size-Estimations-856766637?utm_source=chatgpt.com</t>
  </si>
  <si>
    <t>Sakamoto (2021) https://doi.org/10.1111/pala.12567  and Sellers (2017) https://doi.org/10.1098/rsbl.2012.0056 https://peerj.com/articles/3420/</t>
  </si>
  <si>
    <t>Sakamoto (2021) https://doi.org/10.1111/pala.12567 and https://www.miketaylor.org.uk/tmp/lovejoy/Erickson-et-al_04_tyrannosaurid-growth.pdf</t>
  </si>
  <si>
    <t>Sakamoto (2021) https://doi.org/10.1111/pala.12567 and https://www.researchgate.net/publication/232687833_My_theropod_is_bigger_than_yoursor_not_Estimating_body_size_from_skull_length_in_theropods?utm_source=chatgpt.com</t>
  </si>
  <si>
    <t>Sakamoto (2021) https://doi.org/10.1111/pala.12567 and https://www.sciencedirect.com/science/article/pii/S0960982225008115</t>
  </si>
  <si>
    <t>Rayfield et al. (2001) https://pubmed.ncbi.nlm.nih.gov/11234010/ and https://www.researchgate.net/publication/373284882_Endocranial_anatomy_of_Allosaurus_supports_neural_trends_among_non-avian_theropod_dinosaurs</t>
  </si>
  <si>
    <t>Sakamoto​ (2022) https://peerj.com/articles/13731/ and https://www.researchgate.net/publication/24023506_Estimating_Mass_Properties_of_Dinosaurs_Using_Laser_Imaging_and_3D_Computer_Modelling</t>
  </si>
  <si>
    <t>Sakamoto​ (2022) https://peerj.com/articles/13731/ and https://doi.org/10.1016%2Fj.crpv.2019.09.005</t>
  </si>
  <si>
    <t>Mazzetta et al. (2009) https://www.researchgate.net/publication/240535638_Cranial_Mechanics_and_Functional_Interpretation_of_the_Horned_Carnivorous_Dinosaur_Carnotaurus_sastrei and https://doi.org/10.1016%2Fj.crpv.2019.09.005</t>
  </si>
  <si>
    <t>Sakamoto​ (2022) https://peerj.com/articles/13731/ and https://theropoddatabase.github.io/Ceratosauria.htm#Ceratosaurusnasicornis</t>
  </si>
  <si>
    <t>Sakamoto​ (2022) https://peerj.com/articles/13731/ and https://theropoddatabase.github.io/Dromaeosaurs.htm#Deinonychusantirrhopus</t>
  </si>
  <si>
    <t>Sakamoto​ (2022) https://peerj.com/articles/13731/ and https://pmc.ncbi.nlm.nih.gov/articles/PMC9711522/</t>
  </si>
  <si>
    <t>Sakamoto​ (2022) https://peerj.com/articles/13731/ and https://theropoddatabase.github.io/Carnosauria.htm#Yangchuanosaurusshangyouensis</t>
  </si>
  <si>
    <t>Sakamoto​ (2022) https://peerj.com/articles/13731/ and https://dinoanimals.pl/blogi/czastytanow/walka-o-tron/</t>
  </si>
  <si>
    <t>Sakamoto​ (2022) https://peerj.com/articles/13731/ and https://theropoddatabase.github.io/Dromaeosaurs.htm#Velociraptormongoliensis</t>
  </si>
  <si>
    <t>Sakamoto​ (2022) https://peerj.com/articles/13731/ and https://www.sciencedirect.com/science/article/pii/S0960982225008115</t>
  </si>
  <si>
    <t>Sakamoto​ (2022) https://peerj.com/articles/13731/ and https://theropoddatabase.github.io/Ornithomimosauria.htm#Gallimimusbullatus</t>
  </si>
  <si>
    <t>Sakamoto (2021) https://doi.org/10.1111/pala.12567 and https://gspauldino.com/Trex2022.pdf and https://journals.plos.org/plosbiology/article?id=10.1371/journal.pbio.1001853#s5</t>
  </si>
  <si>
    <t>Sakamoto​ (2022) https://peerj.com/articles/13731/ and https://pmc.ncbi.nlm.nih.gov/articles/PMC10184548</t>
  </si>
  <si>
    <t>Sakamoto (2021) https://doi.org/10.1111/pala.12567 and 5356 and https://doi.org/10.1671/0272-4634(2007)27[108:MTIBTY]2.0.CO;2</t>
  </si>
  <si>
    <t>PCSA + corrected "working side"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</si>
</sst>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i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2" borderId="3" applyNumberFormat="0" applyAlignment="0" applyProtection="0"/>
    <xf numFmtId="0" fontId="10" fillId="2" borderId="2" applyNumberFormat="0" applyAlignment="0" applyProtection="0"/>
  </cellStyleXfs>
  <cellXfs count="34">
    <xf numFmtId="0" fontId="0" fillId="0" borderId="0" xfId="0"/>
    <xf numFmtId="0" fontId="0" fillId="0" borderId="0" xfId="0" applyAlignment="1">
      <alignment horizontal="right"/>
    </xf>
    <xf numFmtId="0" fontId="4" fillId="0" borderId="0" xfId="0" applyFont="1"/>
    <xf numFmtId="2" fontId="0" fillId="0" borderId="0" xfId="0" applyNumberFormat="1"/>
    <xf numFmtId="2" fontId="0" fillId="0" borderId="0" xfId="0" applyNumberFormat="1" applyAlignment="1">
      <alignment horizontal="right"/>
    </xf>
    <xf numFmtId="0" fontId="6" fillId="0" borderId="0" xfId="0" applyFont="1"/>
    <xf numFmtId="1" fontId="0" fillId="0" borderId="0" xfId="0" applyNumberFormat="1"/>
    <xf numFmtId="164" fontId="0" fillId="0" borderId="0" xfId="0" applyNumberFormat="1"/>
    <xf numFmtId="0" fontId="0" fillId="0" borderId="0" xfId="0"/>
    <xf numFmtId="0" fontId="7" fillId="0" borderId="0" xfId="1" applyFill="1"/>
    <xf numFmtId="0" fontId="0" fillId="0" borderId="0" xfId="0"/>
    <xf numFmtId="0" fontId="8" fillId="0" borderId="1" xfId="2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2" fontId="0" fillId="0" borderId="0" xfId="0" applyNumberFormat="1" applyAlignment="1">
      <alignment horizontal="center"/>
    </xf>
    <xf numFmtId="0" fontId="0" fillId="0" borderId="0" xfId="0"/>
    <xf numFmtId="0" fontId="2" fillId="0" borderId="0" xfId="0" applyFont="1"/>
    <xf numFmtId="0" fontId="10" fillId="2" borderId="2" xfId="4" applyAlignment="1">
      <alignment horizontal="center"/>
    </xf>
    <xf numFmtId="2" fontId="10" fillId="2" borderId="2" xfId="4" applyNumberFormat="1" applyAlignment="1">
      <alignment horizontal="right"/>
    </xf>
    <xf numFmtId="0" fontId="10" fillId="2" borderId="2" xfId="4" applyAlignment="1">
      <alignment horizontal="right"/>
    </xf>
    <xf numFmtId="0" fontId="9" fillId="2" borderId="3" xfId="3" applyAlignment="1">
      <alignment horizontal="center"/>
    </xf>
    <xf numFmtId="0" fontId="9" fillId="2" borderId="3" xfId="3" applyAlignment="1">
      <alignment horizontal="righ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8" fillId="0" borderId="1" xfId="2" applyAlignment="1"/>
    <xf numFmtId="0" fontId="0" fillId="0" borderId="1" xfId="0" applyBorder="1" applyAlignment="1"/>
    <xf numFmtId="0" fontId="0" fillId="0" borderId="0" xfId="0"/>
  </cellXfs>
  <cellStyles count="5">
    <cellStyle name="Вывод" xfId="3" builtinId="21"/>
    <cellStyle name="Вычисление" xfId="4" builtinId="22"/>
    <cellStyle name="Гиперссылка" xfId="1" builtinId="8"/>
    <cellStyle name="Заголовок 2" xfId="2" builtinId="1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Bite force from body mass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4183935237140892E-2"/>
          <c:y val="7.3431210955483453E-2"/>
          <c:w val="0.8875758076115875"/>
          <c:h val="0.78528918465617048"/>
        </c:manualLayout>
      </c:layout>
      <c:scatterChart>
        <c:scatterStyle val="lineMarker"/>
        <c:varyColors val="0"/>
        <c:ser>
          <c:idx val="0"/>
          <c:order val="0"/>
          <c:tx>
            <c:strRef>
              <c:f>'Bite force'!$A$3</c:f>
              <c:strCache>
                <c:ptCount val="1"/>
                <c:pt idx="0">
                  <c:v>Suids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7344735995412974E-2"/>
                  <c:y val="-2.0990765690287413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Suids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0.3439x + 6.8519</a:t>
                    </a:r>
                    <a:br>
                      <a:rPr lang="en-US" baseline="0"/>
                    </a:br>
                    <a:r>
                      <a:rPr lang="en-US" baseline="0"/>
                      <a:t>R² = 0.5366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'Bite force'!$G$4:$G$14</c:f>
              <c:numCache>
                <c:formatCode>0.00</c:formatCode>
                <c:ptCount val="11"/>
                <c:pt idx="0">
                  <c:v>3.4011973816621555</c:v>
                </c:pt>
                <c:pt idx="1">
                  <c:v>3.4011973816621555</c:v>
                </c:pt>
                <c:pt idx="2">
                  <c:v>4.0943445622221004</c:v>
                </c:pt>
                <c:pt idx="3">
                  <c:v>3.6375861597263857</c:v>
                </c:pt>
                <c:pt idx="4">
                  <c:v>3.4011973816621555</c:v>
                </c:pt>
                <c:pt idx="5">
                  <c:v>3.6109179126442243</c:v>
                </c:pt>
                <c:pt idx="6">
                  <c:v>4.499809670330265</c:v>
                </c:pt>
                <c:pt idx="7">
                  <c:v>3.7612001156935624</c:v>
                </c:pt>
                <c:pt idx="8">
                  <c:v>3.4657359027997265</c:v>
                </c:pt>
                <c:pt idx="9">
                  <c:v>2.7725887222397811</c:v>
                </c:pt>
                <c:pt idx="10">
                  <c:v>2.9704144655697009</c:v>
                </c:pt>
              </c:numCache>
            </c:numRef>
          </c:xVal>
          <c:yVal>
            <c:numRef>
              <c:f>'Bite force'!$H$4:$H$14</c:f>
              <c:numCache>
                <c:formatCode>0.00</c:formatCode>
                <c:ptCount val="11"/>
                <c:pt idx="0">
                  <c:v>7.9313206933273355</c:v>
                </c:pt>
                <c:pt idx="1">
                  <c:v>7.977453557485604</c:v>
                </c:pt>
                <c:pt idx="2">
                  <c:v>8.3745922228172152</c:v>
                </c:pt>
                <c:pt idx="3">
                  <c:v>7.8199978280097229</c:v>
                </c:pt>
                <c:pt idx="4">
                  <c:v>7.8414143050173841</c:v>
                </c:pt>
                <c:pt idx="5">
                  <c:v>8.2126497618890451</c:v>
                </c:pt>
                <c:pt idx="6">
                  <c:v>8.4843807016696875</c:v>
                </c:pt>
                <c:pt idx="7">
                  <c:v>8.0591497530892156</c:v>
                </c:pt>
                <c:pt idx="8">
                  <c:v>8.1635992107179618</c:v>
                </c:pt>
                <c:pt idx="9">
                  <c:v>7.8199978280097229</c:v>
                </c:pt>
                <c:pt idx="10">
                  <c:v>8.1025561494253626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6-4076-803F-B681175DBE42}"/>
            </c:ext>
          </c:extLst>
        </c:ser>
        <c:ser>
          <c:idx val="1"/>
          <c:order val="1"/>
          <c:tx>
            <c:strRef>
              <c:f>'Bite force'!$A$15</c:f>
              <c:strCache>
                <c:ptCount val="1"/>
                <c:pt idx="0">
                  <c:v>Felids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3694368133832037E-3"/>
                  <c:y val="-1.989312610433499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Felids: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0.9087x + 4.3479</a:t>
                    </a:r>
                    <a:br>
                      <a:rPr lang="en-US" baseline="0"/>
                    </a:br>
                    <a:r>
                      <a:rPr lang="en-US" baseline="0"/>
                      <a:t>R² = 0.9711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'Bite force'!$G$16:$G$28</c:f>
              <c:numCache>
                <c:formatCode>0.00</c:formatCode>
                <c:ptCount val="13"/>
                <c:pt idx="0">
                  <c:v>2.8088001042023532</c:v>
                </c:pt>
                <c:pt idx="1">
                  <c:v>2.631888840136646</c:v>
                </c:pt>
                <c:pt idx="2">
                  <c:v>2.4501426573516603</c:v>
                </c:pt>
                <c:pt idx="3">
                  <c:v>2.7408400239252009</c:v>
                </c:pt>
                <c:pt idx="4">
                  <c:v>3.1780538303479458</c:v>
                </c:pt>
                <c:pt idx="5">
                  <c:v>4.6051701859880918</c:v>
                </c:pt>
                <c:pt idx="6">
                  <c:v>3.529297384289471</c:v>
                </c:pt>
                <c:pt idx="7">
                  <c:v>3.6542880093443171</c:v>
                </c:pt>
                <c:pt idx="8">
                  <c:v>5.2983173665480363</c:v>
                </c:pt>
                <c:pt idx="9">
                  <c:v>5.3132059790417872</c:v>
                </c:pt>
                <c:pt idx="10">
                  <c:v>0.94390589890712839</c:v>
                </c:pt>
                <c:pt idx="11">
                  <c:v>1.2527629684953681</c:v>
                </c:pt>
                <c:pt idx="12">
                  <c:v>3.6838669122903918</c:v>
                </c:pt>
              </c:numCache>
            </c:numRef>
          </c:xVal>
          <c:yVal>
            <c:numRef>
              <c:f>'Bite force'!$H$16:$H$28</c:f>
              <c:numCache>
                <c:formatCode>0.00</c:formatCode>
                <c:ptCount val="13"/>
                <c:pt idx="0">
                  <c:v>6.9166159074143341</c:v>
                </c:pt>
                <c:pt idx="1">
                  <c:v>6.8130049424363266</c:v>
                </c:pt>
                <c:pt idx="2">
                  <c:v>6.9246123960485599</c:v>
                </c:pt>
                <c:pt idx="3">
                  <c:v>6.5580559487798293</c:v>
                </c:pt>
                <c:pt idx="4">
                  <c:v>7.3860990325028739</c:v>
                </c:pt>
                <c:pt idx="5">
                  <c:v>8.8619028358152061</c:v>
                </c:pt>
                <c:pt idx="6">
                  <c:v>7.7258155712408794</c:v>
                </c:pt>
                <c:pt idx="7">
                  <c:v>7.6293927299417099</c:v>
                </c:pt>
                <c:pt idx="8">
                  <c:v>9.1161615519429713</c:v>
                </c:pt>
                <c:pt idx="9">
                  <c:v>8.9233247440675623</c:v>
                </c:pt>
                <c:pt idx="10">
                  <c:v>5.146912912388804</c:v>
                </c:pt>
                <c:pt idx="11">
                  <c:v>5.3288465715828597</c:v>
                </c:pt>
                <c:pt idx="12">
                  <c:v>7.438995107698446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6-4076-803F-B681175DBE42}"/>
            </c:ext>
          </c:extLst>
        </c:ser>
        <c:ser>
          <c:idx val="2"/>
          <c:order val="2"/>
          <c:tx>
            <c:strRef>
              <c:f>'Bite force'!$A$31</c:f>
              <c:strCache>
                <c:ptCount val="1"/>
                <c:pt idx="0">
                  <c:v>Canids and hyaenids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1653136144025645E-2"/>
                  <c:y val="4.431002007102053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Canids and hyenids: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0.889x + 4.777</a:t>
                    </a:r>
                    <a:br>
                      <a:rPr lang="en-US" baseline="0"/>
                    </a:br>
                    <a:r>
                      <a:rPr lang="en-US" baseline="0"/>
                      <a:t>R² = 0.7908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'Bite force'!$G$32:$G$60</c:f>
              <c:numCache>
                <c:formatCode>0.00</c:formatCode>
                <c:ptCount val="29"/>
                <c:pt idx="0">
                  <c:v>2.7080502011022101</c:v>
                </c:pt>
                <c:pt idx="1">
                  <c:v>3.4011973816621555</c:v>
                </c:pt>
                <c:pt idx="2">
                  <c:v>2.9444389791664403</c:v>
                </c:pt>
                <c:pt idx="3">
                  <c:v>2.917770732084279</c:v>
                </c:pt>
                <c:pt idx="4">
                  <c:v>2.4423470353692043</c:v>
                </c:pt>
                <c:pt idx="5">
                  <c:v>2.0794415416798357</c:v>
                </c:pt>
                <c:pt idx="6">
                  <c:v>3.068052935133617</c:v>
                </c:pt>
                <c:pt idx="7">
                  <c:v>2.7408400239252009</c:v>
                </c:pt>
                <c:pt idx="8">
                  <c:v>3.1570004211501135</c:v>
                </c:pt>
                <c:pt idx="9">
                  <c:v>2.917770732084279</c:v>
                </c:pt>
                <c:pt idx="10">
                  <c:v>1.6094379124341003</c:v>
                </c:pt>
                <c:pt idx="11">
                  <c:v>3.4812400893356918</c:v>
                </c:pt>
                <c:pt idx="12">
                  <c:v>3.1780538303479458</c:v>
                </c:pt>
                <c:pt idx="13">
                  <c:v>3.417726683613366</c:v>
                </c:pt>
                <c:pt idx="14">
                  <c:v>3.2580965380214821</c:v>
                </c:pt>
                <c:pt idx="15">
                  <c:v>3.6888794541139363</c:v>
                </c:pt>
                <c:pt idx="16">
                  <c:v>3.5115454388310208</c:v>
                </c:pt>
                <c:pt idx="17">
                  <c:v>3.2188758248682006</c:v>
                </c:pt>
                <c:pt idx="18">
                  <c:v>3.068052935133617</c:v>
                </c:pt>
                <c:pt idx="19">
                  <c:v>2.7080502011022101</c:v>
                </c:pt>
                <c:pt idx="20">
                  <c:v>4.1431331390886852</c:v>
                </c:pt>
                <c:pt idx="21">
                  <c:v>2.5941415585054313</c:v>
                </c:pt>
                <c:pt idx="22">
                  <c:v>3.096883467253368</c:v>
                </c:pt>
                <c:pt idx="23">
                  <c:v>2.1276023220740399</c:v>
                </c:pt>
                <c:pt idx="24">
                  <c:v>1.4314193915490332</c:v>
                </c:pt>
                <c:pt idx="25">
                  <c:v>0.68537826626082732</c:v>
                </c:pt>
                <c:pt idx="26">
                  <c:v>3.7514566794000106</c:v>
                </c:pt>
                <c:pt idx="27">
                  <c:v>3.9278963545844361</c:v>
                </c:pt>
                <c:pt idx="28">
                  <c:v>3.5467396869528134</c:v>
                </c:pt>
              </c:numCache>
            </c:numRef>
          </c:xVal>
          <c:yVal>
            <c:numRef>
              <c:f>'Bite force'!$H$32:$H$60</c:f>
              <c:numCache>
                <c:formatCode>0.00</c:formatCode>
                <c:ptCount val="29"/>
                <c:pt idx="0">
                  <c:v>7.1777824161951971</c:v>
                </c:pt>
                <c:pt idx="1">
                  <c:v>6.5957805139613113</c:v>
                </c:pt>
                <c:pt idx="2">
                  <c:v>7.2100796281707877</c:v>
                </c:pt>
                <c:pt idx="3">
                  <c:v>7.6182510978766951</c:v>
                </c:pt>
                <c:pt idx="4">
                  <c:v>6.3508857167147399</c:v>
                </c:pt>
                <c:pt idx="5">
                  <c:v>6.932447891572509</c:v>
                </c:pt>
                <c:pt idx="6">
                  <c:v>7.6843240676811551</c:v>
                </c:pt>
                <c:pt idx="7">
                  <c:v>7.5443321080536885</c:v>
                </c:pt>
                <c:pt idx="8">
                  <c:v>7.6971213172826252</c:v>
                </c:pt>
                <c:pt idx="9">
                  <c:v>7.4809921628695246</c:v>
                </c:pt>
                <c:pt idx="10">
                  <c:v>6.7262334023587469</c:v>
                </c:pt>
                <c:pt idx="11">
                  <c:v>7.9724660159745655</c:v>
                </c:pt>
                <c:pt idx="12">
                  <c:v>7.5963923040641959</c:v>
                </c:pt>
                <c:pt idx="13">
                  <c:v>7.834788107388194</c:v>
                </c:pt>
                <c:pt idx="14">
                  <c:v>7.7710670860654059</c:v>
                </c:pt>
                <c:pt idx="15">
                  <c:v>8.136518252115291</c:v>
                </c:pt>
                <c:pt idx="16">
                  <c:v>8.0535691691345406</c:v>
                </c:pt>
                <c:pt idx="17">
                  <c:v>7.8539930872242438</c:v>
                </c:pt>
                <c:pt idx="18">
                  <c:v>7.4235684442591667</c:v>
                </c:pt>
                <c:pt idx="19">
                  <c:v>7.1693500166705997</c:v>
                </c:pt>
                <c:pt idx="20">
                  <c:v>8.6125033712205621</c:v>
                </c:pt>
                <c:pt idx="21">
                  <c:v>7.7368746210652972</c:v>
                </c:pt>
                <c:pt idx="22">
                  <c:v>7.5383885541528404</c:v>
                </c:pt>
                <c:pt idx="23">
                  <c:v>6.4868922286938764</c:v>
                </c:pt>
                <c:pt idx="24">
                  <c:v>6.1051056835970305</c:v>
                </c:pt>
                <c:pt idx="25">
                  <c:v>4.8102312297515351</c:v>
                </c:pt>
                <c:pt idx="26">
                  <c:v>7.9325416070095907</c:v>
                </c:pt>
                <c:pt idx="27">
                  <c:v>8.1546151441104495</c:v>
                </c:pt>
                <c:pt idx="28">
                  <c:v>7.7326760581515241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B76-4076-803F-B681175DBE42}"/>
            </c:ext>
          </c:extLst>
        </c:ser>
        <c:ser>
          <c:idx val="3"/>
          <c:order val="3"/>
          <c:tx>
            <c:strRef>
              <c:f>'Bite force'!$A$61</c:f>
              <c:strCache>
                <c:ptCount val="1"/>
                <c:pt idx="0">
                  <c:v>Other carnivora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508422489148671E-2"/>
                  <c:y val="1.189263637895731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Mustelid:</a:t>
                    </a:r>
                    <a:endParaRPr lang="ru-RU" baseline="0"/>
                  </a:p>
                  <a:p>
                    <a:pPr>
                      <a:defRPr/>
                    </a:pPr>
                    <a:r>
                      <a:rPr lang="en-US" baseline="0"/>
                      <a:t>y = 0.7186x + 4.4502</a:t>
                    </a:r>
                    <a:br>
                      <a:rPr lang="en-US" baseline="0"/>
                    </a:br>
                    <a:r>
                      <a:rPr lang="en-US" baseline="0"/>
                      <a:t>R² = 0.961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'Bite force'!$G$62:$G$84</c:f>
              <c:numCache>
                <c:formatCode>0.00</c:formatCode>
                <c:ptCount val="23"/>
                <c:pt idx="0">
                  <c:v>1.589235205116581</c:v>
                </c:pt>
                <c:pt idx="1">
                  <c:v>1.1233049012584813</c:v>
                </c:pt>
                <c:pt idx="2">
                  <c:v>-0.57981849525294205</c:v>
                </c:pt>
                <c:pt idx="3">
                  <c:v>2.4865719291070616</c:v>
                </c:pt>
                <c:pt idx="4">
                  <c:v>1.5789787049493917</c:v>
                </c:pt>
                <c:pt idx="5">
                  <c:v>1.1314021114911006</c:v>
                </c:pt>
                <c:pt idx="6">
                  <c:v>2.2512917986064953</c:v>
                </c:pt>
                <c:pt idx="7">
                  <c:v>3.4011973816621555</c:v>
                </c:pt>
                <c:pt idx="8">
                  <c:v>-2.0325579557809856</c:v>
                </c:pt>
                <c:pt idx="9">
                  <c:v>0.13889199886661865</c:v>
                </c:pt>
                <c:pt idx="10">
                  <c:v>-0.15082288973458366</c:v>
                </c:pt>
                <c:pt idx="11">
                  <c:v>-3.0791138824930422</c:v>
                </c:pt>
                <c:pt idx="12">
                  <c:v>2.8983399275453414</c:v>
                </c:pt>
                <c:pt idx="13">
                  <c:v>-1.5113637810048184E-2</c:v>
                </c:pt>
                <c:pt idx="14">
                  <c:v>1.0986122886681098</c:v>
                </c:pt>
                <c:pt idx="15">
                  <c:v>1.410986973710262</c:v>
                </c:pt>
                <c:pt idx="16">
                  <c:v>1.7817091333745536</c:v>
                </c:pt>
                <c:pt idx="17">
                  <c:v>4.943058562267181</c:v>
                </c:pt>
                <c:pt idx="18">
                  <c:v>4.5111891225171972</c:v>
                </c:pt>
                <c:pt idx="19">
                  <c:v>4.8240647230128859</c:v>
                </c:pt>
                <c:pt idx="20">
                  <c:v>5.3644795688017055</c:v>
                </c:pt>
                <c:pt idx="21">
                  <c:v>4.7045629298661265</c:v>
                </c:pt>
                <c:pt idx="22">
                  <c:v>5.4229656711131469</c:v>
                </c:pt>
              </c:numCache>
            </c:numRef>
          </c:xVal>
          <c:yVal>
            <c:numRef>
              <c:f>'Bite force'!$H$62:$H$84</c:f>
              <c:numCache>
                <c:formatCode>0.00</c:formatCode>
                <c:ptCount val="23"/>
                <c:pt idx="0">
                  <c:v>6.018666204533127</c:v>
                </c:pt>
                <c:pt idx="1">
                  <c:v>5.1016635924438196</c:v>
                </c:pt>
                <c:pt idx="2">
                  <c:v>4.332376726030061</c:v>
                </c:pt>
                <c:pt idx="3">
                  <c:v>6.276032400409191</c:v>
                </c:pt>
                <c:pt idx="4">
                  <c:v>5.2935560494463259</c:v>
                </c:pt>
                <c:pt idx="5">
                  <c:v>5.0482200544235267</c:v>
                </c:pt>
                <c:pt idx="6">
                  <c:v>5.4368176437931419</c:v>
                </c:pt>
                <c:pt idx="7">
                  <c:v>7.1538494386731584</c:v>
                </c:pt>
                <c:pt idx="8">
                  <c:v>3.0323052537848314</c:v>
                </c:pt>
                <c:pt idx="9">
                  <c:v>3.9653741809251408</c:v>
                </c:pt>
                <c:pt idx="10">
                  <c:v>4.5546134623709387</c:v>
                </c:pt>
                <c:pt idx="11">
                  <c:v>2.2757276388241627</c:v>
                </c:pt>
                <c:pt idx="12">
                  <c:v>7.4006541748519377</c:v>
                </c:pt>
                <c:pt idx="13">
                  <c:v>4.7504386785793349</c:v>
                </c:pt>
                <c:pt idx="14">
                  <c:v>5.1963676940122916</c:v>
                </c:pt>
                <c:pt idx="15">
                  <c:v>5.3076982283537886</c:v>
                </c:pt>
                <c:pt idx="16">
                  <c:v>5.4109538480515411</c:v>
                </c:pt>
                <c:pt idx="17">
                  <c:v>8.0633746737474592</c:v>
                </c:pt>
                <c:pt idx="18">
                  <c:v>7.3845152929724724</c:v>
                </c:pt>
                <c:pt idx="19">
                  <c:v>7.9082414254889271</c:v>
                </c:pt>
                <c:pt idx="20">
                  <c:v>8.2315768742007016</c:v>
                </c:pt>
                <c:pt idx="21">
                  <c:v>8.1996639097392023</c:v>
                </c:pt>
                <c:pt idx="22">
                  <c:v>8.206965664375879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B76-4076-803F-B681175DBE42}"/>
            </c:ext>
          </c:extLst>
        </c:ser>
        <c:ser>
          <c:idx val="4"/>
          <c:order val="4"/>
          <c:tx>
            <c:strRef>
              <c:f>'Bite force'!$A$85</c:f>
              <c:strCache>
                <c:ptCount val="1"/>
                <c:pt idx="0">
                  <c:v>Crocodilians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Crocodilians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0.8129x + 4.6742</a:t>
                    </a:r>
                    <a:br>
                      <a:rPr lang="en-US" baseline="0"/>
                    </a:br>
                    <a:r>
                      <a:rPr lang="en-US" baseline="0"/>
                      <a:t>R² = 0.9941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'Bite force'!$G$86:$G$164</c:f>
              <c:numCache>
                <c:formatCode>0.00</c:formatCode>
                <c:ptCount val="79"/>
                <c:pt idx="0">
                  <c:v>5.2040066870767951</c:v>
                </c:pt>
                <c:pt idx="1">
                  <c:v>4.2341065045972597</c:v>
                </c:pt>
                <c:pt idx="2">
                  <c:v>4.7004803657924166</c:v>
                </c:pt>
                <c:pt idx="3">
                  <c:v>5.3327187932653688</c:v>
                </c:pt>
                <c:pt idx="4">
                  <c:v>6.2747620212419388</c:v>
                </c:pt>
                <c:pt idx="5">
                  <c:v>4.9767337424205742</c:v>
                </c:pt>
                <c:pt idx="6">
                  <c:v>1.5260563034950492</c:v>
                </c:pt>
                <c:pt idx="7">
                  <c:v>0.89608802455663572</c:v>
                </c:pt>
                <c:pt idx="8">
                  <c:v>0.95551144502743635</c:v>
                </c:pt>
                <c:pt idx="9">
                  <c:v>0.78845736036427028</c:v>
                </c:pt>
                <c:pt idx="10">
                  <c:v>5.7887361805363646</c:v>
                </c:pt>
                <c:pt idx="11">
                  <c:v>3.8628327612373745</c:v>
                </c:pt>
                <c:pt idx="12">
                  <c:v>3.4688560301359703</c:v>
                </c:pt>
                <c:pt idx="13">
                  <c:v>4.8636808811395928</c:v>
                </c:pt>
                <c:pt idx="14">
                  <c:v>4.6491870714048655</c:v>
                </c:pt>
                <c:pt idx="15">
                  <c:v>1.1474024528375417</c:v>
                </c:pt>
                <c:pt idx="16">
                  <c:v>3.4657359027997265</c:v>
                </c:pt>
                <c:pt idx="17">
                  <c:v>5.2882670306945352</c:v>
                </c:pt>
                <c:pt idx="18">
                  <c:v>5.0434251169192468</c:v>
                </c:pt>
                <c:pt idx="19">
                  <c:v>2.8449093838194073</c:v>
                </c:pt>
                <c:pt idx="20">
                  <c:v>2.9957322735539909</c:v>
                </c:pt>
                <c:pt idx="21">
                  <c:v>4.0253516907351496</c:v>
                </c:pt>
                <c:pt idx="22">
                  <c:v>5.1532915944977793</c:v>
                </c:pt>
                <c:pt idx="23">
                  <c:v>4.7535901911063645</c:v>
                </c:pt>
                <c:pt idx="24">
                  <c:v>4.8828019225863706</c:v>
                </c:pt>
                <c:pt idx="25">
                  <c:v>5.1059454739005803</c:v>
                </c:pt>
                <c:pt idx="26">
                  <c:v>3.8712010109078911</c:v>
                </c:pt>
                <c:pt idx="27">
                  <c:v>3.751854253275325</c:v>
                </c:pt>
                <c:pt idx="28">
                  <c:v>5.2496521945667558</c:v>
                </c:pt>
                <c:pt idx="29">
                  <c:v>-2.8134107167600364</c:v>
                </c:pt>
                <c:pt idx="30">
                  <c:v>5.4161004022044201</c:v>
                </c:pt>
                <c:pt idx="31">
                  <c:v>-1.5141277326297755</c:v>
                </c:pt>
                <c:pt idx="32">
                  <c:v>3.713572066704308</c:v>
                </c:pt>
                <c:pt idx="33">
                  <c:v>-1.2729656758128873</c:v>
                </c:pt>
                <c:pt idx="34">
                  <c:v>-1.3862943611198906</c:v>
                </c:pt>
                <c:pt idx="35">
                  <c:v>5.3008142467466239</c:v>
                </c:pt>
                <c:pt idx="36">
                  <c:v>-1.3470736479666092</c:v>
                </c:pt>
                <c:pt idx="37">
                  <c:v>-2.8134107167600364</c:v>
                </c:pt>
                <c:pt idx="38">
                  <c:v>4.1896547420264252</c:v>
                </c:pt>
                <c:pt idx="39">
                  <c:v>-0.79850769621777162</c:v>
                </c:pt>
                <c:pt idx="40">
                  <c:v>-0.75502258427803282</c:v>
                </c:pt>
                <c:pt idx="41">
                  <c:v>-1.3093333199837622</c:v>
                </c:pt>
                <c:pt idx="42">
                  <c:v>-1.5141277326297755</c:v>
                </c:pt>
                <c:pt idx="43">
                  <c:v>-1.4271163556401458</c:v>
                </c:pt>
                <c:pt idx="44">
                  <c:v>-1.5606477482646683</c:v>
                </c:pt>
                <c:pt idx="45">
                  <c:v>-1.5606477482646683</c:v>
                </c:pt>
                <c:pt idx="46">
                  <c:v>-1.9661128563728327</c:v>
                </c:pt>
                <c:pt idx="47">
                  <c:v>-2.8134107167600364</c:v>
                </c:pt>
                <c:pt idx="48">
                  <c:v>-2.8134107167600364</c:v>
                </c:pt>
                <c:pt idx="49">
                  <c:v>-2.8134107167600364</c:v>
                </c:pt>
                <c:pt idx="50">
                  <c:v>-2.9957322735539909</c:v>
                </c:pt>
                <c:pt idx="51">
                  <c:v>-2.6592600369327779</c:v>
                </c:pt>
                <c:pt idx="52">
                  <c:v>-2.8134107167600364</c:v>
                </c:pt>
                <c:pt idx="53">
                  <c:v>-2.9957322735539909</c:v>
                </c:pt>
                <c:pt idx="54">
                  <c:v>-2.9957322735539909</c:v>
                </c:pt>
                <c:pt idx="55">
                  <c:v>5.4918261127325554</c:v>
                </c:pt>
                <c:pt idx="56">
                  <c:v>3.912023005428146</c:v>
                </c:pt>
                <c:pt idx="57">
                  <c:v>4.2863413845394733</c:v>
                </c:pt>
                <c:pt idx="58">
                  <c:v>4.0395363257271057</c:v>
                </c:pt>
                <c:pt idx="59">
                  <c:v>3.2188758248682006</c:v>
                </c:pt>
                <c:pt idx="60">
                  <c:v>3.529297384289471</c:v>
                </c:pt>
                <c:pt idx="61">
                  <c:v>3.2188758248682006</c:v>
                </c:pt>
                <c:pt idx="62">
                  <c:v>2.9601050959108397</c:v>
                </c:pt>
                <c:pt idx="63">
                  <c:v>3.8836235309064482</c:v>
                </c:pt>
                <c:pt idx="64">
                  <c:v>4.255612709818223</c:v>
                </c:pt>
                <c:pt idx="65">
                  <c:v>3.9815490680767565</c:v>
                </c:pt>
                <c:pt idx="66">
                  <c:v>4.0235643801610532</c:v>
                </c:pt>
                <c:pt idx="67">
                  <c:v>3.4657359027997265</c:v>
                </c:pt>
                <c:pt idx="68">
                  <c:v>1.1786549963416462</c:v>
                </c:pt>
                <c:pt idx="69">
                  <c:v>1.0647107369924282</c:v>
                </c:pt>
                <c:pt idx="70">
                  <c:v>4.0342406381523954</c:v>
                </c:pt>
                <c:pt idx="71">
                  <c:v>2.917770732084279</c:v>
                </c:pt>
                <c:pt idx="72">
                  <c:v>3.1863526331626408</c:v>
                </c:pt>
                <c:pt idx="73">
                  <c:v>0.50077528791248915</c:v>
                </c:pt>
                <c:pt idx="74">
                  <c:v>5.1532915944977793</c:v>
                </c:pt>
                <c:pt idx="75">
                  <c:v>5.1119877883565437</c:v>
                </c:pt>
                <c:pt idx="76">
                  <c:v>1.7491998548092591</c:v>
                </c:pt>
                <c:pt idx="77">
                  <c:v>4.7460619246855726</c:v>
                </c:pt>
                <c:pt idx="78">
                  <c:v>4.9062372780499945</c:v>
                </c:pt>
              </c:numCache>
            </c:numRef>
          </c:xVal>
          <c:yVal>
            <c:numRef>
              <c:f>'Bite force'!$H$86:$H$164</c:f>
              <c:numCache>
                <c:formatCode>0.00</c:formatCode>
                <c:ptCount val="79"/>
                <c:pt idx="0">
                  <c:v>8.744488113852924</c:v>
                </c:pt>
                <c:pt idx="1">
                  <c:v>7.914252278742441</c:v>
                </c:pt>
                <c:pt idx="2">
                  <c:v>8.3891325213487189</c:v>
                </c:pt>
                <c:pt idx="3">
                  <c:v>8.8949444609568857</c:v>
                </c:pt>
                <c:pt idx="4">
                  <c:v>9.7058899081896577</c:v>
                </c:pt>
                <c:pt idx="5">
                  <c:v>9.0555911797427679</c:v>
                </c:pt>
                <c:pt idx="6">
                  <c:v>5.8496129228677409</c:v>
                </c:pt>
                <c:pt idx="7">
                  <c:v>5.5602969416474446</c:v>
                </c:pt>
                <c:pt idx="8">
                  <c:v>5.1381486143952158</c:v>
                </c:pt>
                <c:pt idx="9">
                  <c:v>5.2882670306945352</c:v>
                </c:pt>
                <c:pt idx="10">
                  <c:v>9.3902005687740342</c:v>
                </c:pt>
                <c:pt idx="11">
                  <c:v>7.7293836211906219</c:v>
                </c:pt>
                <c:pt idx="12">
                  <c:v>7.4845371684108173</c:v>
                </c:pt>
                <c:pt idx="13">
                  <c:v>8.682673731014166</c:v>
                </c:pt>
                <c:pt idx="14">
                  <c:v>8.1665571195867503</c:v>
                </c:pt>
                <c:pt idx="15">
                  <c:v>5.6174981060591884</c:v>
                </c:pt>
                <c:pt idx="16">
                  <c:v>6.9651747698496234</c:v>
                </c:pt>
                <c:pt idx="17">
                  <c:v>9.2160241884444805</c:v>
                </c:pt>
                <c:pt idx="18">
                  <c:v>9.0020854331557238</c:v>
                </c:pt>
                <c:pt idx="19">
                  <c:v>6.9587335237467665</c:v>
                </c:pt>
                <c:pt idx="20">
                  <c:v>6.9810986732063469</c:v>
                </c:pt>
                <c:pt idx="21">
                  <c:v>8.1639124805455214</c:v>
                </c:pt>
                <c:pt idx="22">
                  <c:v>9.3171029043491007</c:v>
                </c:pt>
                <c:pt idx="23">
                  <c:v>8.4402905485748949</c:v>
                </c:pt>
                <c:pt idx="24">
                  <c:v>8.6725203218112146</c:v>
                </c:pt>
                <c:pt idx="25">
                  <c:v>9.2160937892836952</c:v>
                </c:pt>
                <c:pt idx="26">
                  <c:v>7.5413116781284444</c:v>
                </c:pt>
                <c:pt idx="27">
                  <c:v>7.7506577796269189</c:v>
                </c:pt>
                <c:pt idx="28">
                  <c:v>8.6991146681888516</c:v>
                </c:pt>
                <c:pt idx="29">
                  <c:v>2.4069451083182885</c:v>
                </c:pt>
                <c:pt idx="30">
                  <c:v>9.1713812246115882</c:v>
                </c:pt>
                <c:pt idx="31">
                  <c:v>3.4436180975461075</c:v>
                </c:pt>
                <c:pt idx="32">
                  <c:v>7.7520772873392003</c:v>
                </c:pt>
                <c:pt idx="33">
                  <c:v>3.7773481021015445</c:v>
                </c:pt>
                <c:pt idx="34">
                  <c:v>3.7208624999669868</c:v>
                </c:pt>
                <c:pt idx="35">
                  <c:v>9.2906107460394516</c:v>
                </c:pt>
                <c:pt idx="36">
                  <c:v>3.5610460826040513</c:v>
                </c:pt>
                <c:pt idx="37">
                  <c:v>2.4932054526026954</c:v>
                </c:pt>
                <c:pt idx="38">
                  <c:v>7.8689428917385742</c:v>
                </c:pt>
                <c:pt idx="39">
                  <c:v>4.0465538983857519</c:v>
                </c:pt>
                <c:pt idx="40">
                  <c:v>3.9721769282478934</c:v>
                </c:pt>
                <c:pt idx="41">
                  <c:v>3.7750571503549888</c:v>
                </c:pt>
                <c:pt idx="42">
                  <c:v>3.2958368660043291</c:v>
                </c:pt>
                <c:pt idx="43">
                  <c:v>3.5145260669691587</c:v>
                </c:pt>
                <c:pt idx="44">
                  <c:v>3.4904285153900978</c:v>
                </c:pt>
                <c:pt idx="45">
                  <c:v>3.4531571205928664</c:v>
                </c:pt>
                <c:pt idx="46">
                  <c:v>3.0106208860477417</c:v>
                </c:pt>
                <c:pt idx="47">
                  <c:v>2.3125354238472138</c:v>
                </c:pt>
                <c:pt idx="48">
                  <c:v>2.2512917986064953</c:v>
                </c:pt>
                <c:pt idx="49">
                  <c:v>2.3608540011180215</c:v>
                </c:pt>
                <c:pt idx="50">
                  <c:v>2.33214389523559</c:v>
                </c:pt>
                <c:pt idx="51">
                  <c:v>2.3978952727983707</c:v>
                </c:pt>
                <c:pt idx="52">
                  <c:v>2.341805806147327</c:v>
                </c:pt>
                <c:pt idx="53">
                  <c:v>2.2512917986064953</c:v>
                </c:pt>
                <c:pt idx="54">
                  <c:v>2.2407096892759584</c:v>
                </c:pt>
                <c:pt idx="55">
                  <c:v>9.4854006233202597</c:v>
                </c:pt>
                <c:pt idx="56">
                  <c:v>7.8096224901905682</c:v>
                </c:pt>
                <c:pt idx="57">
                  <c:v>7.7932568520364116</c:v>
                </c:pt>
                <c:pt idx="58">
                  <c:v>7.9124597374272803</c:v>
                </c:pt>
                <c:pt idx="59">
                  <c:v>7.4687986189087452</c:v>
                </c:pt>
                <c:pt idx="60">
                  <c:v>7.4560500828626024</c:v>
                </c:pt>
                <c:pt idx="61">
                  <c:v>7.4963194193496427</c:v>
                </c:pt>
                <c:pt idx="62">
                  <c:v>6.5676564743052257</c:v>
                </c:pt>
                <c:pt idx="63">
                  <c:v>7.8640740903093649</c:v>
                </c:pt>
                <c:pt idx="64">
                  <c:v>8.1993267877871414</c:v>
                </c:pt>
                <c:pt idx="65">
                  <c:v>7.8993389948917239</c:v>
                </c:pt>
                <c:pt idx="66">
                  <c:v>7.8793293344795234</c:v>
                </c:pt>
                <c:pt idx="67">
                  <c:v>7.3330883717277677</c:v>
                </c:pt>
                <c:pt idx="68">
                  <c:v>5.9776191402859293</c:v>
                </c:pt>
                <c:pt idx="69">
                  <c:v>5.7193276859916633</c:v>
                </c:pt>
                <c:pt idx="70">
                  <c:v>7.9709476224189864</c:v>
                </c:pt>
                <c:pt idx="71">
                  <c:v>7.1200400869614713</c:v>
                </c:pt>
                <c:pt idx="72">
                  <c:v>7.1200400869614713</c:v>
                </c:pt>
                <c:pt idx="73">
                  <c:v>5.3636368326686794</c:v>
                </c:pt>
                <c:pt idx="74">
                  <c:v>8.722286818552389</c:v>
                </c:pt>
                <c:pt idx="75">
                  <c:v>8.9070301469716338</c:v>
                </c:pt>
                <c:pt idx="76">
                  <c:v>6.10367653771491</c:v>
                </c:pt>
                <c:pt idx="77">
                  <c:v>8.4384746067048315</c:v>
                </c:pt>
                <c:pt idx="78">
                  <c:v>8.7040046534830449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B76-4076-803F-B681175DBE42}"/>
            </c:ext>
          </c:extLst>
        </c:ser>
        <c:ser>
          <c:idx val="5"/>
          <c:order val="5"/>
          <c:tx>
            <c:strRef>
              <c:f>'Bite force'!$A$165</c:f>
              <c:strCache>
                <c:ptCount val="1"/>
                <c:pt idx="0">
                  <c:v>Lizards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138493930289297"/>
                  <c:y val="0.1761986516391333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Lizards: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0.7733x + 5.5303</a:t>
                    </a:r>
                    <a:br>
                      <a:rPr lang="en-US" baseline="0"/>
                    </a:br>
                    <a:r>
                      <a:rPr lang="en-US" baseline="0"/>
                      <a:t>R² = 0.8111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'Bite force'!$G$166:$G$246</c:f>
              <c:numCache>
                <c:formatCode>0.00</c:formatCode>
                <c:ptCount val="81"/>
                <c:pt idx="0">
                  <c:v>4.3534985510593431</c:v>
                </c:pt>
                <c:pt idx="1">
                  <c:v>0.95551144502743635</c:v>
                </c:pt>
                <c:pt idx="2">
                  <c:v>-4.6223163448230622</c:v>
                </c:pt>
                <c:pt idx="3">
                  <c:v>-4.6284388129274454</c:v>
                </c:pt>
                <c:pt idx="4">
                  <c:v>-4.6315141613276936</c:v>
                </c:pt>
                <c:pt idx="5">
                  <c:v>-4.8072863701102255</c:v>
                </c:pt>
                <c:pt idx="6">
                  <c:v>-0.25102875480374542</c:v>
                </c:pt>
                <c:pt idx="7">
                  <c:v>-4.853631545286591</c:v>
                </c:pt>
                <c:pt idx="8">
                  <c:v>-4.9336742529601274</c:v>
                </c:pt>
                <c:pt idx="9">
                  <c:v>-4.9864306053994385</c:v>
                </c:pt>
                <c:pt idx="10">
                  <c:v>-4.9923043374115323</c:v>
                </c:pt>
                <c:pt idx="11">
                  <c:v>-5.0011801353255008</c:v>
                </c:pt>
                <c:pt idx="12">
                  <c:v>-5.0206856299497575</c:v>
                </c:pt>
                <c:pt idx="13">
                  <c:v>-5.0545871816254389</c:v>
                </c:pt>
                <c:pt idx="14">
                  <c:v>-5.0719789243373077</c:v>
                </c:pt>
                <c:pt idx="15">
                  <c:v>-0.52763274208237199</c:v>
                </c:pt>
                <c:pt idx="16">
                  <c:v>-2.8184232585835804</c:v>
                </c:pt>
                <c:pt idx="17">
                  <c:v>-2.9488486876551407</c:v>
                </c:pt>
                <c:pt idx="18">
                  <c:v>-5.2213563254119082</c:v>
                </c:pt>
                <c:pt idx="19">
                  <c:v>-5.2381634437282898</c:v>
                </c:pt>
                <c:pt idx="20">
                  <c:v>-5.2746008399307209</c:v>
                </c:pt>
                <c:pt idx="21">
                  <c:v>-0.80698799698370494</c:v>
                </c:pt>
                <c:pt idx="22">
                  <c:v>-0.83286912373508259</c:v>
                </c:pt>
                <c:pt idx="23">
                  <c:v>-3.1260687752819947</c:v>
                </c:pt>
                <c:pt idx="24">
                  <c:v>-3.2089254940150327</c:v>
                </c:pt>
                <c:pt idx="25">
                  <c:v>-5.3329088113176555</c:v>
                </c:pt>
                <c:pt idx="26">
                  <c:v>-5.3538300764782951</c:v>
                </c:pt>
                <c:pt idx="27">
                  <c:v>-5.3559464793846736</c:v>
                </c:pt>
                <c:pt idx="28">
                  <c:v>-5.3601927702661243</c:v>
                </c:pt>
                <c:pt idx="29">
                  <c:v>-5.3687398308445822</c:v>
                </c:pt>
                <c:pt idx="30">
                  <c:v>-5.4261507380579213</c:v>
                </c:pt>
                <c:pt idx="31">
                  <c:v>-5.4750545450480903</c:v>
                </c:pt>
                <c:pt idx="32">
                  <c:v>-0.99560453859388065</c:v>
                </c:pt>
                <c:pt idx="33">
                  <c:v>-1.0149239267825547</c:v>
                </c:pt>
                <c:pt idx="34">
                  <c:v>-3.3902574416238211</c:v>
                </c:pt>
                <c:pt idx="35">
                  <c:v>-5.6722838075968305</c:v>
                </c:pt>
                <c:pt idx="36">
                  <c:v>-5.6781147279076229</c:v>
                </c:pt>
                <c:pt idx="37">
                  <c:v>-5.7731325527909947</c:v>
                </c:pt>
                <c:pt idx="38">
                  <c:v>-5.7958977635640068</c:v>
                </c:pt>
                <c:pt idx="39">
                  <c:v>-5.8091429903140277</c:v>
                </c:pt>
                <c:pt idx="40">
                  <c:v>-1.2993829891305941</c:v>
                </c:pt>
                <c:pt idx="41">
                  <c:v>-3.5899395062590327</c:v>
                </c:pt>
                <c:pt idx="42">
                  <c:v>-3.6496587409606551</c:v>
                </c:pt>
                <c:pt idx="43">
                  <c:v>-1.4329667693183212</c:v>
                </c:pt>
                <c:pt idx="44">
                  <c:v>-1.4423145993980424</c:v>
                </c:pt>
                <c:pt idx="45">
                  <c:v>-1.4464690841559606</c:v>
                </c:pt>
                <c:pt idx="46">
                  <c:v>-1.4495323949244778</c:v>
                </c:pt>
                <c:pt idx="47">
                  <c:v>-1.5582696258597011</c:v>
                </c:pt>
                <c:pt idx="48">
                  <c:v>-3.8490482062667577</c:v>
                </c:pt>
                <c:pt idx="49">
                  <c:v>-3.8632328412587138</c:v>
                </c:pt>
                <c:pt idx="50">
                  <c:v>-5.8961543673036569</c:v>
                </c:pt>
                <c:pt idx="51">
                  <c:v>-5.9219384844593721</c:v>
                </c:pt>
                <c:pt idx="52">
                  <c:v>-5.9560974032706904</c:v>
                </c:pt>
                <c:pt idx="53">
                  <c:v>-6.0792034614159887</c:v>
                </c:pt>
                <c:pt idx="54">
                  <c:v>-6.1658179342527593</c:v>
                </c:pt>
                <c:pt idx="55">
                  <c:v>-1.65391240253593</c:v>
                </c:pt>
                <c:pt idx="56">
                  <c:v>-3.9765615265657175</c:v>
                </c:pt>
                <c:pt idx="57">
                  <c:v>-3.9792317551215963</c:v>
                </c:pt>
                <c:pt idx="58">
                  <c:v>-4.0822183824242604</c:v>
                </c:pt>
                <c:pt idx="59">
                  <c:v>-4.0917479363748344</c:v>
                </c:pt>
                <c:pt idx="60">
                  <c:v>-4.0983525836196391</c:v>
                </c:pt>
                <c:pt idx="61">
                  <c:v>-1.8375940055718545</c:v>
                </c:pt>
                <c:pt idx="62">
                  <c:v>-1.8858503926276504</c:v>
                </c:pt>
                <c:pt idx="63">
                  <c:v>-4.1376696869604741</c:v>
                </c:pt>
                <c:pt idx="64">
                  <c:v>-4.213128098212068</c:v>
                </c:pt>
                <c:pt idx="65">
                  <c:v>-2.0955709236097197</c:v>
                </c:pt>
                <c:pt idx="66">
                  <c:v>-4.3598738300327486</c:v>
                </c:pt>
                <c:pt idx="67">
                  <c:v>-2.2293346312544529</c:v>
                </c:pt>
                <c:pt idx="68">
                  <c:v>-4.56019682034536</c:v>
                </c:pt>
                <c:pt idx="69">
                  <c:v>-4.5775550189551177</c:v>
                </c:pt>
                <c:pt idx="70">
                  <c:v>-6.2399259064064818</c:v>
                </c:pt>
                <c:pt idx="71">
                  <c:v>-6.2871787912570269</c:v>
                </c:pt>
                <c:pt idx="72">
                  <c:v>-6.4630694577206915</c:v>
                </c:pt>
                <c:pt idx="73">
                  <c:v>-6.5784515318395371</c:v>
                </c:pt>
                <c:pt idx="74">
                  <c:v>-6.8781964767405928</c:v>
                </c:pt>
                <c:pt idx="75">
                  <c:v>-6.9077552789821368</c:v>
                </c:pt>
                <c:pt idx="76">
                  <c:v>-6.9077552789821368</c:v>
                </c:pt>
                <c:pt idx="77">
                  <c:v>-6.9911368879211881</c:v>
                </c:pt>
                <c:pt idx="78">
                  <c:v>-7.1821921246838976</c:v>
                </c:pt>
                <c:pt idx="79">
                  <c:v>-7.3540423816105562</c:v>
                </c:pt>
                <c:pt idx="80">
                  <c:v>-7.4020516007969173</c:v>
                </c:pt>
              </c:numCache>
            </c:numRef>
          </c:xVal>
          <c:yVal>
            <c:numRef>
              <c:f>'Bite force'!$H$166:$H$246</c:f>
              <c:numCache>
                <c:formatCode>0.00</c:formatCode>
                <c:ptCount val="81"/>
                <c:pt idx="0">
                  <c:v>7.8894360388339928</c:v>
                </c:pt>
                <c:pt idx="1">
                  <c:v>3.6375861597263857</c:v>
                </c:pt>
                <c:pt idx="2">
                  <c:v>2.5120353171762528</c:v>
                </c:pt>
                <c:pt idx="3">
                  <c:v>2.5900171341906173</c:v>
                </c:pt>
                <c:pt idx="4">
                  <c:v>2.1961128484835291</c:v>
                </c:pt>
                <c:pt idx="5">
                  <c:v>3.1826266921930797</c:v>
                </c:pt>
                <c:pt idx="6">
                  <c:v>4.779963476361254</c:v>
                </c:pt>
                <c:pt idx="7">
                  <c:v>2.1282317058492679</c:v>
                </c:pt>
                <c:pt idx="8">
                  <c:v>3.0492730404820207</c:v>
                </c:pt>
                <c:pt idx="9">
                  <c:v>1.6486586255873816</c:v>
                </c:pt>
                <c:pt idx="10">
                  <c:v>1.6389967146756448</c:v>
                </c:pt>
                <c:pt idx="11">
                  <c:v>1.6253112615903906</c:v>
                </c:pt>
                <c:pt idx="12">
                  <c:v>2.355177543113216</c:v>
                </c:pt>
                <c:pt idx="13">
                  <c:v>2.4203681286504293</c:v>
                </c:pt>
                <c:pt idx="14">
                  <c:v>2.0281482472922852</c:v>
                </c:pt>
                <c:pt idx="15">
                  <c:v>4.4042772436087017</c:v>
                </c:pt>
                <c:pt idx="16">
                  <c:v>3.8712010109078911</c:v>
                </c:pt>
                <c:pt idx="17">
                  <c:v>4.3757570216602861</c:v>
                </c:pt>
                <c:pt idx="18">
                  <c:v>0.23111172096338664</c:v>
                </c:pt>
                <c:pt idx="19">
                  <c:v>2.6376277368056642</c:v>
                </c:pt>
                <c:pt idx="20">
                  <c:v>1.5560371357069851</c:v>
                </c:pt>
                <c:pt idx="21">
                  <c:v>4.962844630259907</c:v>
                </c:pt>
                <c:pt idx="22">
                  <c:v>5.1532915944977793</c:v>
                </c:pt>
                <c:pt idx="23">
                  <c:v>3.6133473915014993</c:v>
                </c:pt>
                <c:pt idx="24">
                  <c:v>3.7864597824528001</c:v>
                </c:pt>
                <c:pt idx="25">
                  <c:v>1.3862943611198906</c:v>
                </c:pt>
                <c:pt idx="26">
                  <c:v>1.8748743759385615</c:v>
                </c:pt>
                <c:pt idx="27">
                  <c:v>1.9021075263969205</c:v>
                </c:pt>
                <c:pt idx="28">
                  <c:v>1.7047480922384253</c:v>
                </c:pt>
                <c:pt idx="29">
                  <c:v>1.4158531633614351</c:v>
                </c:pt>
                <c:pt idx="30">
                  <c:v>2.4723278675811402</c:v>
                </c:pt>
                <c:pt idx="31">
                  <c:v>2.4907230351094403</c:v>
                </c:pt>
                <c:pt idx="32">
                  <c:v>4.4127982933406349</c:v>
                </c:pt>
                <c:pt idx="33">
                  <c:v>4.423648309364701</c:v>
                </c:pt>
                <c:pt idx="34">
                  <c:v>2.4318574286981849</c:v>
                </c:pt>
                <c:pt idx="35">
                  <c:v>0.95165787571144633</c:v>
                </c:pt>
                <c:pt idx="36">
                  <c:v>1.1019400787607843</c:v>
                </c:pt>
                <c:pt idx="37">
                  <c:v>1.2237754316221157</c:v>
                </c:pt>
                <c:pt idx="38">
                  <c:v>0.73236789371322664</c:v>
                </c:pt>
                <c:pt idx="39">
                  <c:v>-1.1394342831883648</c:v>
                </c:pt>
                <c:pt idx="40">
                  <c:v>4.7899886229806334</c:v>
                </c:pt>
                <c:pt idx="41">
                  <c:v>3.6913763343125234</c:v>
                </c:pt>
                <c:pt idx="42">
                  <c:v>2.9856819377004897</c:v>
                </c:pt>
                <c:pt idx="43">
                  <c:v>4.6596583712721609</c:v>
                </c:pt>
                <c:pt idx="44">
                  <c:v>3.9638561540681634</c:v>
                </c:pt>
                <c:pt idx="45">
                  <c:v>4.8210876922105612</c:v>
                </c:pt>
                <c:pt idx="46">
                  <c:v>4.2691378525952635</c:v>
                </c:pt>
                <c:pt idx="47">
                  <c:v>4.8926022271846632</c:v>
                </c:pt>
                <c:pt idx="48">
                  <c:v>3.2695689391837188</c:v>
                </c:pt>
                <c:pt idx="49">
                  <c:v>3.3911470458086539</c:v>
                </c:pt>
                <c:pt idx="50">
                  <c:v>-0.89159811928378363</c:v>
                </c:pt>
                <c:pt idx="51">
                  <c:v>-7.2570692834835374E-2</c:v>
                </c:pt>
                <c:pt idx="52">
                  <c:v>0.35065687161316933</c:v>
                </c:pt>
                <c:pt idx="53">
                  <c:v>0.73716406597671957</c:v>
                </c:pt>
                <c:pt idx="54">
                  <c:v>1.5282278570085572</c:v>
                </c:pt>
                <c:pt idx="55">
                  <c:v>4.3385970767465452</c:v>
                </c:pt>
                <c:pt idx="56">
                  <c:v>2.9118070386162298</c:v>
                </c:pt>
                <c:pt idx="57">
                  <c:v>2.8033603809065348</c:v>
                </c:pt>
                <c:pt idx="58">
                  <c:v>2.3105532626432224</c:v>
                </c:pt>
                <c:pt idx="59">
                  <c:v>2.402430427963762</c:v>
                </c:pt>
                <c:pt idx="60">
                  <c:v>1.3190856114264407</c:v>
                </c:pt>
                <c:pt idx="61">
                  <c:v>4.6482296754485386</c:v>
                </c:pt>
                <c:pt idx="62">
                  <c:v>3.0301337002713233</c:v>
                </c:pt>
                <c:pt idx="63">
                  <c:v>2.6246685921631592</c:v>
                </c:pt>
                <c:pt idx="64">
                  <c:v>2.7663191092261861</c:v>
                </c:pt>
                <c:pt idx="65">
                  <c:v>4.8032010364872262</c:v>
                </c:pt>
                <c:pt idx="66">
                  <c:v>2.2364452904895007</c:v>
                </c:pt>
                <c:pt idx="67">
                  <c:v>4.4272389774954295</c:v>
                </c:pt>
                <c:pt idx="68">
                  <c:v>2.187174241482718</c:v>
                </c:pt>
                <c:pt idx="69">
                  <c:v>1.9198594718553708</c:v>
                </c:pt>
                <c:pt idx="70">
                  <c:v>0.14842000511827322</c:v>
                </c:pt>
                <c:pt idx="71">
                  <c:v>0.50681760236845186</c:v>
                </c:pt>
                <c:pt idx="72">
                  <c:v>0.28517894223366247</c:v>
                </c:pt>
                <c:pt idx="73">
                  <c:v>-0.31471074483970024</c:v>
                </c:pt>
                <c:pt idx="74">
                  <c:v>-0.94160853985844495</c:v>
                </c:pt>
                <c:pt idx="75">
                  <c:v>-2.120263536200091</c:v>
                </c:pt>
                <c:pt idx="76">
                  <c:v>0.23901690047049992</c:v>
                </c:pt>
                <c:pt idx="77">
                  <c:v>-0.79850769621777162</c:v>
                </c:pt>
                <c:pt idx="78">
                  <c:v>-1.5606477482646683</c:v>
                </c:pt>
                <c:pt idx="79">
                  <c:v>-4.0821994520255166E-2</c:v>
                </c:pt>
                <c:pt idx="80">
                  <c:v>1.980262729617973E-2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B76-4076-803F-B681175DBE42}"/>
            </c:ext>
          </c:extLst>
        </c:ser>
        <c:ser>
          <c:idx val="6"/>
          <c:order val="6"/>
          <c:tx>
            <c:strRef>
              <c:f>'Bite force'!$A$247</c:f>
              <c:strCache>
                <c:ptCount val="1"/>
                <c:pt idx="0">
                  <c:v>Turtles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'Bite force'!$G$248:$G$250</c:f>
              <c:numCache>
                <c:formatCode>0.00</c:formatCode>
                <c:ptCount val="3"/>
                <c:pt idx="0">
                  <c:v>-8.3381608939051013E-2</c:v>
                </c:pt>
                <c:pt idx="1">
                  <c:v>0</c:v>
                </c:pt>
                <c:pt idx="2">
                  <c:v>-1.0050335853501451E-2</c:v>
                </c:pt>
              </c:numCache>
            </c:numRef>
          </c:xVal>
          <c:yVal>
            <c:numRef>
              <c:f>'Bite force'!$H$248:$H$250</c:f>
              <c:numCache>
                <c:formatCode>0.00</c:formatCode>
                <c:ptCount val="3"/>
                <c:pt idx="0">
                  <c:v>3.912023005428146</c:v>
                </c:pt>
                <c:pt idx="1">
                  <c:v>4.0943445622221004</c:v>
                </c:pt>
                <c:pt idx="2">
                  <c:v>4.1743872698956368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B76-4076-803F-B681175DBE42}"/>
            </c:ext>
          </c:extLst>
        </c:ser>
        <c:ser>
          <c:idx val="7"/>
          <c:order val="7"/>
          <c:tx>
            <c:strRef>
              <c:f>'Bite force'!$A$251</c:f>
              <c:strCache>
                <c:ptCount val="1"/>
                <c:pt idx="0">
                  <c:v>Primates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9907252202878515E-2"/>
                  <c:y val="2.07375824976221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Primates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0.7847x + 3.4931</a:t>
                    </a:r>
                    <a:br>
                      <a:rPr lang="en-US" baseline="0"/>
                    </a:br>
                    <a:r>
                      <a:rPr lang="en-US" baseline="0"/>
                      <a:t>R² = 0.7706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'Bite force'!$G$252:$G$296</c:f>
              <c:numCache>
                <c:formatCode>0.00</c:formatCode>
                <c:ptCount val="45"/>
                <c:pt idx="0">
                  <c:v>0.16551443847757333</c:v>
                </c:pt>
                <c:pt idx="1">
                  <c:v>-1.2729656758128873</c:v>
                </c:pt>
                <c:pt idx="2">
                  <c:v>0.71783979315031676</c:v>
                </c:pt>
                <c:pt idx="3">
                  <c:v>0.50681760236845186</c:v>
                </c:pt>
                <c:pt idx="4">
                  <c:v>0.89199803930511046</c:v>
                </c:pt>
                <c:pt idx="5">
                  <c:v>0.48242614924429278</c:v>
                </c:pt>
                <c:pt idx="6">
                  <c:v>0.67294447324242579</c:v>
                </c:pt>
                <c:pt idx="7">
                  <c:v>-1.7147984280919266</c:v>
                </c:pt>
                <c:pt idx="8">
                  <c:v>-0.34249030894677601</c:v>
                </c:pt>
                <c:pt idx="9">
                  <c:v>0.79299251552966143</c:v>
                </c:pt>
                <c:pt idx="10">
                  <c:v>-0.49429632181478012</c:v>
                </c:pt>
                <c:pt idx="11">
                  <c:v>-2.120263536200091</c:v>
                </c:pt>
                <c:pt idx="12">
                  <c:v>-1.1394342831883648</c:v>
                </c:pt>
                <c:pt idx="13">
                  <c:v>-0.43078291609245423</c:v>
                </c:pt>
                <c:pt idx="14">
                  <c:v>-0.86750056770472306</c:v>
                </c:pt>
                <c:pt idx="15">
                  <c:v>0.13976194237515863</c:v>
                </c:pt>
                <c:pt idx="16">
                  <c:v>0.20701416938432612</c:v>
                </c:pt>
                <c:pt idx="17">
                  <c:v>1.3837912309017721</c:v>
                </c:pt>
                <c:pt idx="18">
                  <c:v>1.8082887711792655</c:v>
                </c:pt>
                <c:pt idx="19">
                  <c:v>1.2499017362143359</c:v>
                </c:pt>
                <c:pt idx="20">
                  <c:v>1.2499017362143359</c:v>
                </c:pt>
                <c:pt idx="21">
                  <c:v>-2.0402208285265546</c:v>
                </c:pt>
                <c:pt idx="22">
                  <c:v>1.7119945007591924</c:v>
                </c:pt>
                <c:pt idx="23">
                  <c:v>-0.26136476413440751</c:v>
                </c:pt>
                <c:pt idx="24">
                  <c:v>2.0202221820198649</c:v>
                </c:pt>
                <c:pt idx="25">
                  <c:v>0.22314355131420976</c:v>
                </c:pt>
                <c:pt idx="26">
                  <c:v>-0.73396917508020043</c:v>
                </c:pt>
                <c:pt idx="27">
                  <c:v>-1.0498221244986778</c:v>
                </c:pt>
                <c:pt idx="28">
                  <c:v>1.0681530811834012</c:v>
                </c:pt>
                <c:pt idx="29">
                  <c:v>-1.0498221244986778</c:v>
                </c:pt>
                <c:pt idx="30">
                  <c:v>-0.3285040669720361</c:v>
                </c:pt>
                <c:pt idx="31">
                  <c:v>-1.1394342831883648</c:v>
                </c:pt>
                <c:pt idx="32">
                  <c:v>1.7119945007591924</c:v>
                </c:pt>
                <c:pt idx="33">
                  <c:v>2.0202221820198649</c:v>
                </c:pt>
                <c:pt idx="34">
                  <c:v>-1.1394342831883648</c:v>
                </c:pt>
                <c:pt idx="35">
                  <c:v>2.2082744135228043</c:v>
                </c:pt>
                <c:pt idx="36">
                  <c:v>2.2082744135228043</c:v>
                </c:pt>
                <c:pt idx="37">
                  <c:v>-1.0498221244986778</c:v>
                </c:pt>
                <c:pt idx="38">
                  <c:v>1.547562508716013</c:v>
                </c:pt>
                <c:pt idx="39">
                  <c:v>3.6216707044204863</c:v>
                </c:pt>
                <c:pt idx="40">
                  <c:v>4.8473317431380627</c:v>
                </c:pt>
                <c:pt idx="41">
                  <c:v>3.9100210027574729</c:v>
                </c:pt>
                <c:pt idx="42">
                  <c:v>4.1518269976354629</c:v>
                </c:pt>
                <c:pt idx="43">
                  <c:v>1.9878743481543455</c:v>
                </c:pt>
                <c:pt idx="44">
                  <c:v>1.8405496333974869</c:v>
                </c:pt>
              </c:numCache>
            </c:numRef>
          </c:xVal>
          <c:yVal>
            <c:numRef>
              <c:f>'Bite force'!$H$252:$H$296</c:f>
              <c:numCache>
                <c:formatCode>0.00</c:formatCode>
                <c:ptCount val="45"/>
                <c:pt idx="0">
                  <c:v>4.0185428488058186</c:v>
                </c:pt>
                <c:pt idx="1">
                  <c:v>2.7343675094195836</c:v>
                </c:pt>
                <c:pt idx="2">
                  <c:v>4.0618213705165402</c:v>
                </c:pt>
                <c:pt idx="3">
                  <c:v>4.4127982933406349</c:v>
                </c:pt>
                <c:pt idx="4">
                  <c:v>3.8051057230820686</c:v>
                </c:pt>
                <c:pt idx="5">
                  <c:v>4.1047898200836395</c:v>
                </c:pt>
                <c:pt idx="6">
                  <c:v>4.4374613415619821</c:v>
                </c:pt>
                <c:pt idx="7">
                  <c:v>2.8081971497071487</c:v>
                </c:pt>
                <c:pt idx="8">
                  <c:v>4.1396365514138074</c:v>
                </c:pt>
                <c:pt idx="9">
                  <c:v>4.034417613641752</c:v>
                </c:pt>
                <c:pt idx="10">
                  <c:v>3.5970382504483562</c:v>
                </c:pt>
                <c:pt idx="11">
                  <c:v>2.1781550146158688</c:v>
                </c:pt>
                <c:pt idx="12">
                  <c:v>2.6892071133007303</c:v>
                </c:pt>
                <c:pt idx="13">
                  <c:v>3.8499348131147242</c:v>
                </c:pt>
                <c:pt idx="14">
                  <c:v>3.5782271840103412</c:v>
                </c:pt>
                <c:pt idx="15">
                  <c:v>4.7378637277135569</c:v>
                </c:pt>
                <c:pt idx="16">
                  <c:v>3.591817741270805</c:v>
                </c:pt>
                <c:pt idx="17">
                  <c:v>4.8978397999509111</c:v>
                </c:pt>
                <c:pt idx="18">
                  <c:v>5.3528528991960505</c:v>
                </c:pt>
                <c:pt idx="19">
                  <c:v>5.4331541567702475</c:v>
                </c:pt>
                <c:pt idx="20">
                  <c:v>4.2420459183694517</c:v>
                </c:pt>
                <c:pt idx="21">
                  <c:v>3.0440461338325417</c:v>
                </c:pt>
                <c:pt idx="22">
                  <c:v>3.932021691934835</c:v>
                </c:pt>
                <c:pt idx="23">
                  <c:v>2.6892071133007303</c:v>
                </c:pt>
                <c:pt idx="24">
                  <c:v>4.3653889935208587</c:v>
                </c:pt>
                <c:pt idx="25">
                  <c:v>1.9125010869241836</c:v>
                </c:pt>
                <c:pt idx="26">
                  <c:v>2.4981518765380208</c:v>
                </c:pt>
                <c:pt idx="27">
                  <c:v>1.8050046959780757</c:v>
                </c:pt>
                <c:pt idx="28">
                  <c:v>4.0950110067652608</c:v>
                </c:pt>
                <c:pt idx="29">
                  <c:v>2.4230312460699128</c:v>
                </c:pt>
                <c:pt idx="30">
                  <c:v>1.3660916538023711</c:v>
                </c:pt>
                <c:pt idx="31">
                  <c:v>1.8213182714695995</c:v>
                </c:pt>
                <c:pt idx="32">
                  <c:v>4.3463994570307305</c:v>
                </c:pt>
                <c:pt idx="33">
                  <c:v>4.338858139272503</c:v>
                </c:pt>
                <c:pt idx="34">
                  <c:v>1.9416152247724325</c:v>
                </c:pt>
                <c:pt idx="35">
                  <c:v>4.5367842731216266</c:v>
                </c:pt>
                <c:pt idx="36">
                  <c:v>4.6858280890055459</c:v>
                </c:pt>
                <c:pt idx="37">
                  <c:v>2.1894163948884078</c:v>
                </c:pt>
                <c:pt idx="38">
                  <c:v>4.9126548857360524</c:v>
                </c:pt>
                <c:pt idx="39">
                  <c:v>6.9382844840169602</c:v>
                </c:pt>
                <c:pt idx="40">
                  <c:v>7.4518222365279296</c:v>
                </c:pt>
                <c:pt idx="41">
                  <c:v>7.3205269622727398</c:v>
                </c:pt>
                <c:pt idx="42">
                  <c:v>6.4097471589267609</c:v>
                </c:pt>
                <c:pt idx="43">
                  <c:v>5.911609321858518</c:v>
                </c:pt>
                <c:pt idx="44">
                  <c:v>5.6566908671223501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B76-4076-803F-B681175DBE42}"/>
            </c:ext>
          </c:extLst>
        </c:ser>
        <c:ser>
          <c:idx val="8"/>
          <c:order val="8"/>
          <c:tx>
            <c:strRef>
              <c:f>'Bite force'!$A$297</c:f>
              <c:strCache>
                <c:ptCount val="1"/>
                <c:pt idx="0">
                  <c:v>Rodents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957649929676384E-2"/>
                  <c:y val="2.4732013887947229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Rodents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0.5625x + 4.3006</a:t>
                    </a:r>
                    <a:br>
                      <a:rPr lang="en-US" baseline="0"/>
                    </a:br>
                    <a:r>
                      <a:rPr lang="en-US" baseline="0"/>
                      <a:t>R² = 0.9307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'Bite force'!$G$298:$G$321</c:f>
              <c:numCache>
                <c:formatCode>0.00</c:formatCode>
                <c:ptCount val="24"/>
                <c:pt idx="0">
                  <c:v>-2.7646205525906042</c:v>
                </c:pt>
                <c:pt idx="1">
                  <c:v>-1.8773173575897015</c:v>
                </c:pt>
                <c:pt idx="2">
                  <c:v>-3.3813947543659757</c:v>
                </c:pt>
                <c:pt idx="3">
                  <c:v>-1.1363141558521213</c:v>
                </c:pt>
                <c:pt idx="4">
                  <c:v>-3.3813947543659757</c:v>
                </c:pt>
                <c:pt idx="5">
                  <c:v>-5.0359531020805459</c:v>
                </c:pt>
                <c:pt idx="6">
                  <c:v>-3.7722610630529876</c:v>
                </c:pt>
                <c:pt idx="7">
                  <c:v>-3.8632328412587138</c:v>
                </c:pt>
                <c:pt idx="8">
                  <c:v>-4.4654082436129325</c:v>
                </c:pt>
                <c:pt idx="9">
                  <c:v>-2.2537949288246137</c:v>
                </c:pt>
                <c:pt idx="10">
                  <c:v>-0.53102833108351022</c:v>
                </c:pt>
                <c:pt idx="11">
                  <c:v>-1.9379419794061366</c:v>
                </c:pt>
                <c:pt idx="12">
                  <c:v>-3.7090821614314557</c:v>
                </c:pt>
                <c:pt idx="13">
                  <c:v>-0.5887871652357024</c:v>
                </c:pt>
                <c:pt idx="14">
                  <c:v>-0.62548853208613042</c:v>
                </c:pt>
                <c:pt idx="15">
                  <c:v>-0.67334455326376563</c:v>
                </c:pt>
                <c:pt idx="16">
                  <c:v>-0.84397007029452897</c:v>
                </c:pt>
                <c:pt idx="17">
                  <c:v>-1.0498221244986778</c:v>
                </c:pt>
                <c:pt idx="18">
                  <c:v>-1.0936247471570706</c:v>
                </c:pt>
                <c:pt idx="19">
                  <c:v>-1.1086626245216111</c:v>
                </c:pt>
                <c:pt idx="20">
                  <c:v>-1.1711829815029451</c:v>
                </c:pt>
                <c:pt idx="21">
                  <c:v>-1.1874435023747254</c:v>
                </c:pt>
                <c:pt idx="22">
                  <c:v>-1.1874435023747254</c:v>
                </c:pt>
                <c:pt idx="23">
                  <c:v>3.2188758248682006</c:v>
                </c:pt>
              </c:numCache>
            </c:numRef>
          </c:xVal>
          <c:yVal>
            <c:numRef>
              <c:f>'Bite force'!$H$298:$H$321</c:f>
              <c:numCache>
                <c:formatCode>0.00</c:formatCode>
                <c:ptCount val="24"/>
                <c:pt idx="0">
                  <c:v>2.6376277368056642</c:v>
                </c:pt>
                <c:pt idx="1">
                  <c:v>3.9241491852259864</c:v>
                </c:pt>
                <c:pt idx="2">
                  <c:v>2.5556757206762075</c:v>
                </c:pt>
                <c:pt idx="3">
                  <c:v>3.4098267083602098</c:v>
                </c:pt>
                <c:pt idx="4">
                  <c:v>2.4379897300002487</c:v>
                </c:pt>
                <c:pt idx="5">
                  <c:v>1.5347143662381639</c:v>
                </c:pt>
                <c:pt idx="6">
                  <c:v>2.3025850929940459</c:v>
                </c:pt>
                <c:pt idx="7">
                  <c:v>2.1781550146158688</c:v>
                </c:pt>
                <c:pt idx="8">
                  <c:v>2.0373166153791646</c:v>
                </c:pt>
                <c:pt idx="9">
                  <c:v>2.9892110565637253</c:v>
                </c:pt>
                <c:pt idx="10">
                  <c:v>4.2897742749687948</c:v>
                </c:pt>
                <c:pt idx="11">
                  <c:v>3.0469005601283903</c:v>
                </c:pt>
                <c:pt idx="12">
                  <c:v>2.0320878452963655</c:v>
                </c:pt>
                <c:pt idx="13">
                  <c:v>3.843308395222933</c:v>
                </c:pt>
                <c:pt idx="14">
                  <c:v>3.2500445731692773</c:v>
                </c:pt>
                <c:pt idx="15">
                  <c:v>3.7937826664745469</c:v>
                </c:pt>
                <c:pt idx="16">
                  <c:v>3.7323298872608834</c:v>
                </c:pt>
                <c:pt idx="17">
                  <c:v>3.9171912520040761</c:v>
                </c:pt>
                <c:pt idx="18">
                  <c:v>3.5471874541252877</c:v>
                </c:pt>
                <c:pt idx="19">
                  <c:v>3.446211536785285</c:v>
                </c:pt>
                <c:pt idx="20">
                  <c:v>3.6267085133780221</c:v>
                </c:pt>
                <c:pt idx="21">
                  <c:v>3.5500083304669285</c:v>
                </c:pt>
                <c:pt idx="22">
                  <c:v>3.5722933752563635</c:v>
                </c:pt>
                <c:pt idx="23">
                  <c:v>6.5708829623395841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B76-4076-803F-B681175DBE42}"/>
            </c:ext>
          </c:extLst>
        </c:ser>
        <c:ser>
          <c:idx val="9"/>
          <c:order val="9"/>
          <c:tx>
            <c:strRef>
              <c:f>'Bite force'!$A$322</c:f>
              <c:strCache>
                <c:ptCount val="1"/>
                <c:pt idx="0">
                  <c:v>Misc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'Bite force'!$G$323:$G$325</c:f>
              <c:numCache>
                <c:formatCode>0.00</c:formatCode>
                <c:ptCount val="3"/>
                <c:pt idx="0">
                  <c:v>6.2915691395583204</c:v>
                </c:pt>
                <c:pt idx="1">
                  <c:v>5.521460917862246</c:v>
                </c:pt>
                <c:pt idx="2">
                  <c:v>4.6051701859880918</c:v>
                </c:pt>
              </c:numCache>
            </c:numRef>
          </c:xVal>
          <c:yVal>
            <c:numRef>
              <c:f>'Bite force'!$H$323:$H$325</c:f>
              <c:numCache>
                <c:formatCode>0.00</c:formatCode>
                <c:ptCount val="3"/>
                <c:pt idx="0">
                  <c:v>7.4719320782451222</c:v>
                </c:pt>
                <c:pt idx="1">
                  <c:v>8.6762648860214249</c:v>
                </c:pt>
                <c:pt idx="2">
                  <c:v>3.912023005428146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B76-4076-803F-B681175DBE42}"/>
            </c:ext>
          </c:extLst>
        </c:ser>
        <c:ser>
          <c:idx val="10"/>
          <c:order val="10"/>
          <c:tx>
            <c:strRef>
              <c:f>'Bite force'!$A$326</c:f>
              <c:strCache>
                <c:ptCount val="1"/>
                <c:pt idx="0">
                  <c:v>Arthropods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7274031737737766E-2"/>
                  <c:y val="-6.3602510781755574E-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Arthropods: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0.7444x + 6.5696</a:t>
                    </a:r>
                    <a:br>
                      <a:rPr lang="en-US" baseline="0"/>
                    </a:br>
                    <a:r>
                      <a:rPr lang="en-US" baseline="0"/>
                      <a:t>R² = 0.9563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'Bite force'!$G$327:$G$365</c:f>
              <c:numCache>
                <c:formatCode>0.00</c:formatCode>
                <c:ptCount val="39"/>
                <c:pt idx="0">
                  <c:v>-3.4112477175156566</c:v>
                </c:pt>
                <c:pt idx="1">
                  <c:v>-2.2072749131897207</c:v>
                </c:pt>
                <c:pt idx="2">
                  <c:v>-1.8971199848858813</c:v>
                </c:pt>
                <c:pt idx="3">
                  <c:v>-1.8971199848858813</c:v>
                </c:pt>
                <c:pt idx="4">
                  <c:v>-1.8325814637483102</c:v>
                </c:pt>
                <c:pt idx="5">
                  <c:v>-1.7147984280919266</c:v>
                </c:pt>
                <c:pt idx="6">
                  <c:v>-1.6398971199188088</c:v>
                </c:pt>
                <c:pt idx="7">
                  <c:v>-1.3862943611198906</c:v>
                </c:pt>
                <c:pt idx="8">
                  <c:v>-1.2378743560016174</c:v>
                </c:pt>
                <c:pt idx="9">
                  <c:v>-1.1394342831883648</c:v>
                </c:pt>
                <c:pt idx="10">
                  <c:v>-1.0498221244986778</c:v>
                </c:pt>
                <c:pt idx="11">
                  <c:v>-0.96758402626170559</c:v>
                </c:pt>
                <c:pt idx="12">
                  <c:v>-0.916290731874155</c:v>
                </c:pt>
                <c:pt idx="13">
                  <c:v>-0.79850769621777162</c:v>
                </c:pt>
                <c:pt idx="14">
                  <c:v>-0.48776035083499458</c:v>
                </c:pt>
                <c:pt idx="15">
                  <c:v>-0.44316697529217586</c:v>
                </c:pt>
                <c:pt idx="16">
                  <c:v>-0.40047756659712525</c:v>
                </c:pt>
                <c:pt idx="17">
                  <c:v>-0.35667494393873245</c:v>
                </c:pt>
                <c:pt idx="18">
                  <c:v>-0.2744368457017603</c:v>
                </c:pt>
                <c:pt idx="19">
                  <c:v>-2.0202707317519466E-2</c:v>
                </c:pt>
                <c:pt idx="20">
                  <c:v>0</c:v>
                </c:pt>
                <c:pt idx="21">
                  <c:v>0.131028262406404</c:v>
                </c:pt>
                <c:pt idx="22">
                  <c:v>0.36464311358790924</c:v>
                </c:pt>
                <c:pt idx="23">
                  <c:v>0.45742484703887548</c:v>
                </c:pt>
                <c:pt idx="24">
                  <c:v>0.5709795465857378</c:v>
                </c:pt>
                <c:pt idx="25">
                  <c:v>0.65232518603969014</c:v>
                </c:pt>
                <c:pt idx="26">
                  <c:v>0.72754860727727766</c:v>
                </c:pt>
                <c:pt idx="27">
                  <c:v>0.73716406597671957</c:v>
                </c:pt>
                <c:pt idx="28">
                  <c:v>0.75141608868392118</c:v>
                </c:pt>
                <c:pt idx="29">
                  <c:v>-2.1856913415225465</c:v>
                </c:pt>
                <c:pt idx="30">
                  <c:v>-3.4900285953687713</c:v>
                </c:pt>
                <c:pt idx="31">
                  <c:v>-1.8585405029184061</c:v>
                </c:pt>
                <c:pt idx="32">
                  <c:v>-1.1727971868574862</c:v>
                </c:pt>
                <c:pt idx="33">
                  <c:v>-4.2758664388454912</c:v>
                </c:pt>
                <c:pt idx="34">
                  <c:v>-1.9980459034758418</c:v>
                </c:pt>
                <c:pt idx="35">
                  <c:v>-6.7944265936751336</c:v>
                </c:pt>
                <c:pt idx="36">
                  <c:v>-6.6002705792341763</c:v>
                </c:pt>
                <c:pt idx="37">
                  <c:v>-7.5055922797377574</c:v>
                </c:pt>
                <c:pt idx="38">
                  <c:v>-9.8081773727318033</c:v>
                </c:pt>
              </c:numCache>
            </c:numRef>
          </c:xVal>
          <c:yVal>
            <c:numRef>
              <c:f>'Bite force'!$H$327:$H$365</c:f>
              <c:numCache>
                <c:formatCode>0.00</c:formatCode>
                <c:ptCount val="39"/>
                <c:pt idx="0">
                  <c:v>3.3816730156477139</c:v>
                </c:pt>
                <c:pt idx="1">
                  <c:v>4.6626068611097784</c:v>
                </c:pt>
                <c:pt idx="2">
                  <c:v>5.4527463076570335</c:v>
                </c:pt>
                <c:pt idx="3">
                  <c:v>5.1734324848757689</c:v>
                </c:pt>
                <c:pt idx="4">
                  <c:v>5.3649706967746473</c:v>
                </c:pt>
                <c:pt idx="5">
                  <c:v>5.2585902932160762</c:v>
                </c:pt>
                <c:pt idx="6">
                  <c:v>5.723478821795041</c:v>
                </c:pt>
                <c:pt idx="7">
                  <c:v>5.6942084394949273</c:v>
                </c:pt>
                <c:pt idx="8">
                  <c:v>5.4979285304502659</c:v>
                </c:pt>
                <c:pt idx="9">
                  <c:v>5.5099047214969818</c:v>
                </c:pt>
                <c:pt idx="10">
                  <c:v>5.9414809736088321</c:v>
                </c:pt>
                <c:pt idx="11">
                  <c:v>5.8211172913589566</c:v>
                </c:pt>
                <c:pt idx="12">
                  <c:v>5.87211984581133</c:v>
                </c:pt>
                <c:pt idx="13">
                  <c:v>6.0626945443620048</c:v>
                </c:pt>
                <c:pt idx="14">
                  <c:v>5.8269144090432832</c:v>
                </c:pt>
                <c:pt idx="15">
                  <c:v>6.3656700329832843</c:v>
                </c:pt>
                <c:pt idx="16">
                  <c:v>6.1332083286896628</c:v>
                </c:pt>
                <c:pt idx="17">
                  <c:v>6.170791039838706</c:v>
                </c:pt>
                <c:pt idx="18">
                  <c:v>6.4681596524701694</c:v>
                </c:pt>
                <c:pt idx="19">
                  <c:v>6.4862596941137873</c:v>
                </c:pt>
                <c:pt idx="20">
                  <c:v>6.7327460101273005</c:v>
                </c:pt>
                <c:pt idx="21">
                  <c:v>6.2476761825269209</c:v>
                </c:pt>
                <c:pt idx="22">
                  <c:v>6.8369376185801451</c:v>
                </c:pt>
                <c:pt idx="23">
                  <c:v>7.2528740265556051</c:v>
                </c:pt>
                <c:pt idx="24">
                  <c:v>7.184624926021498</c:v>
                </c:pt>
                <c:pt idx="25">
                  <c:v>7.0730493499602378</c:v>
                </c:pt>
                <c:pt idx="26">
                  <c:v>7.4760175778698148</c:v>
                </c:pt>
                <c:pt idx="27">
                  <c:v>7.3644650919640675</c:v>
                </c:pt>
                <c:pt idx="28">
                  <c:v>7.184624926021498</c:v>
                </c:pt>
                <c:pt idx="29">
                  <c:v>5.0369526024136295</c:v>
                </c:pt>
                <c:pt idx="30">
                  <c:v>4.4402955427978572</c:v>
                </c:pt>
                <c:pt idx="31">
                  <c:v>4.8559289043352747</c:v>
                </c:pt>
                <c:pt idx="32">
                  <c:v>5.2062020776402314</c:v>
                </c:pt>
                <c:pt idx="33">
                  <c:v>3.9684033388642534</c:v>
                </c:pt>
                <c:pt idx="34">
                  <c:v>4.8835592115282793</c:v>
                </c:pt>
                <c:pt idx="35">
                  <c:v>0.26236426446749106</c:v>
                </c:pt>
                <c:pt idx="36">
                  <c:v>1.8718021769015913</c:v>
                </c:pt>
                <c:pt idx="37">
                  <c:v>0.47000362924573563</c:v>
                </c:pt>
                <c:pt idx="38">
                  <c:v>0.33647223662121289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B76-4076-803F-B681175DBE42}"/>
            </c:ext>
          </c:extLst>
        </c:ser>
        <c:ser>
          <c:idx val="11"/>
          <c:order val="11"/>
          <c:tx>
            <c:strRef>
              <c:f>'Bite force'!$A$366:$H$366</c:f>
              <c:strCache>
                <c:ptCount val="1"/>
                <c:pt idx="0">
                  <c:v>Theropods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Theropods: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0.6966x + 4.158</a:t>
                    </a:r>
                    <a:br>
                      <a:rPr lang="en-US" baseline="0"/>
                    </a:br>
                    <a:r>
                      <a:rPr lang="en-US" baseline="0"/>
                      <a:t>R² = 0.9226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'Bite force'!$G$367:$G$384</c:f>
              <c:numCache>
                <c:formatCode>0.00</c:formatCode>
                <c:ptCount val="18"/>
                <c:pt idx="0">
                  <c:v>8.8827664278612932</c:v>
                </c:pt>
                <c:pt idx="1">
                  <c:v>7.3777589082278725</c:v>
                </c:pt>
                <c:pt idx="2">
                  <c:v>7.4633630455200208</c:v>
                </c:pt>
                <c:pt idx="3">
                  <c:v>2.7905514226139538</c:v>
                </c:pt>
                <c:pt idx="4">
                  <c:v>8.9779037737503806</c:v>
                </c:pt>
                <c:pt idx="5">
                  <c:v>8.8827664278612932</c:v>
                </c:pt>
                <c:pt idx="6">
                  <c:v>7.3158835045097854</c:v>
                </c:pt>
                <c:pt idx="7">
                  <c:v>7.0299729117063858</c:v>
                </c:pt>
                <c:pt idx="8">
                  <c:v>8.5221860326488663</c:v>
                </c:pt>
                <c:pt idx="9">
                  <c:v>7.0582932179248807</c:v>
                </c:pt>
                <c:pt idx="10">
                  <c:v>7.3158835045097854</c:v>
                </c:pt>
                <c:pt idx="11">
                  <c:v>5.857933154483459</c:v>
                </c:pt>
                <c:pt idx="12">
                  <c:v>2.4965057856313524</c:v>
                </c:pt>
                <c:pt idx="13">
                  <c:v>2.5690043578883373</c:v>
                </c:pt>
                <c:pt idx="14">
                  <c:v>7.90100705199242</c:v>
                </c:pt>
                <c:pt idx="15">
                  <c:v>7.7406644019172415</c:v>
                </c:pt>
                <c:pt idx="16">
                  <c:v>6.9206715042486833</c:v>
                </c:pt>
                <c:pt idx="17">
                  <c:v>1.8427738320229761</c:v>
                </c:pt>
              </c:numCache>
            </c:numRef>
          </c:xVal>
          <c:yVal>
            <c:numRef>
              <c:f>'Bite force'!$H$367:$H$384</c:f>
              <c:numCache>
                <c:formatCode>0.00</c:formatCode>
                <c:ptCount val="18"/>
                <c:pt idx="0">
                  <c:v>10.953574641928508</c:v>
                </c:pt>
                <c:pt idx="1">
                  <c:v>9.0738331273215191</c:v>
                </c:pt>
                <c:pt idx="2">
                  <c:v>8.5705443669132322</c:v>
                </c:pt>
                <c:pt idx="3">
                  <c:v>6.7859511064054594</c:v>
                </c:pt>
                <c:pt idx="4">
                  <c:v>10.722816040338978</c:v>
                </c:pt>
                <c:pt idx="5">
                  <c:v>10.789425125735191</c:v>
                </c:pt>
                <c:pt idx="6">
                  <c:v>9.1472569126824954</c:v>
                </c:pt>
                <c:pt idx="7">
                  <c:v>8.9676267605024602</c:v>
                </c:pt>
                <c:pt idx="8">
                  <c:v>10.096281793007185</c:v>
                </c:pt>
                <c:pt idx="9">
                  <c:v>9.2914731557623504</c:v>
                </c:pt>
                <c:pt idx="10">
                  <c:v>8.1810377046245009</c:v>
                </c:pt>
                <c:pt idx="11">
                  <c:v>7.5688027762846541</c:v>
                </c:pt>
                <c:pt idx="12">
                  <c:v>5.6653745379106697</c:v>
                </c:pt>
                <c:pt idx="13">
                  <c:v>5.9736422887112175</c:v>
                </c:pt>
                <c:pt idx="14">
                  <c:v>9.6931532729655867</c:v>
                </c:pt>
                <c:pt idx="15">
                  <c:v>9.7196426446318274</c:v>
                </c:pt>
                <c:pt idx="16">
                  <c:v>9.5336411039298348</c:v>
                </c:pt>
                <c:pt idx="17">
                  <c:v>5.5200902405130963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FF6-48CE-8D2D-9B156A5DC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323504"/>
        <c:axId val="951335568"/>
      </c:scatterChart>
      <c:valAx>
        <c:axId val="95132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 Body mass (kg)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1335568"/>
        <c:crosses val="autoZero"/>
        <c:crossBetween val="midCat"/>
      </c:valAx>
      <c:valAx>
        <c:axId val="95133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 Bite force (N)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1323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746152511305434"/>
                  <c:y val="3.1508233388865291E-2"/>
                </c:manualLayout>
              </c:layout>
              <c:numFmt formatCode="#,##0.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Teeth!$B$3:$B$221</c:f>
              <c:numCache>
                <c:formatCode>0.0</c:formatCode>
                <c:ptCount val="219"/>
                <c:pt idx="0">
                  <c:v>1.1600209167967499</c:v>
                </c:pt>
                <c:pt idx="1">
                  <c:v>2.3504224224082102</c:v>
                </c:pt>
                <c:pt idx="2">
                  <c:v>3.6360548577879701</c:v>
                </c:pt>
                <c:pt idx="3">
                  <c:v>3.6360548577879701</c:v>
                </c:pt>
                <c:pt idx="4">
                  <c:v>3.4998353515591498</c:v>
                </c:pt>
                <c:pt idx="5">
                  <c:v>2.0399207835175499</c:v>
                </c:pt>
                <c:pt idx="6">
                  <c:v>1.8049073098946</c:v>
                </c:pt>
                <c:pt idx="7">
                  <c:v>3.4406501086709</c:v>
                </c:pt>
                <c:pt idx="8">
                  <c:v>2.4857994041565199</c:v>
                </c:pt>
                <c:pt idx="9">
                  <c:v>1.83270891710019</c:v>
                </c:pt>
                <c:pt idx="10">
                  <c:v>0.64829908028670902</c:v>
                </c:pt>
                <c:pt idx="11">
                  <c:v>1.33556615105423</c:v>
                </c:pt>
                <c:pt idx="12">
                  <c:v>3.0617087994477998</c:v>
                </c:pt>
                <c:pt idx="13">
                  <c:v>1.4768485341792501</c:v>
                </c:pt>
                <c:pt idx="14">
                  <c:v>1.20804647090587</c:v>
                </c:pt>
                <c:pt idx="15">
                  <c:v>1.8125089541856001</c:v>
                </c:pt>
                <c:pt idx="16">
                  <c:v>1.28923264827676</c:v>
                </c:pt>
                <c:pt idx="17">
                  <c:v>1.27510977351851</c:v>
                </c:pt>
                <c:pt idx="18">
                  <c:v>0.78845736036427005</c:v>
                </c:pt>
                <c:pt idx="19">
                  <c:v>1.9794033079871001</c:v>
                </c:pt>
                <c:pt idx="20">
                  <c:v>1.4206957878372199</c:v>
                </c:pt>
                <c:pt idx="21">
                  <c:v>3.0519722952410002</c:v>
                </c:pt>
                <c:pt idx="22">
                  <c:v>2.0806398215049602</c:v>
                </c:pt>
                <c:pt idx="23">
                  <c:v>2.43449016387398</c:v>
                </c:pt>
                <c:pt idx="24">
                  <c:v>1.6511626718446899</c:v>
                </c:pt>
                <c:pt idx="25">
                  <c:v>1.9501867058225699</c:v>
                </c:pt>
                <c:pt idx="26">
                  <c:v>2.37954613413017</c:v>
                </c:pt>
                <c:pt idx="27">
                  <c:v>1.53901544813755</c:v>
                </c:pt>
                <c:pt idx="28">
                  <c:v>1.65606911753658</c:v>
                </c:pt>
                <c:pt idx="29">
                  <c:v>1.6066959322543599</c:v>
                </c:pt>
                <c:pt idx="30">
                  <c:v>1.4750069280056</c:v>
                </c:pt>
                <c:pt idx="31">
                  <c:v>2.1750454161758102</c:v>
                </c:pt>
                <c:pt idx="32">
                  <c:v>1.12830805415267</c:v>
                </c:pt>
                <c:pt idx="33">
                  <c:v>1.0535367935490101</c:v>
                </c:pt>
                <c:pt idx="34">
                  <c:v>1.9970312117323099</c:v>
                </c:pt>
                <c:pt idx="35">
                  <c:v>2.7914094153973901</c:v>
                </c:pt>
                <c:pt idx="36">
                  <c:v>1.8099267731835</c:v>
                </c:pt>
                <c:pt idx="37">
                  <c:v>3.4368277264479898</c:v>
                </c:pt>
                <c:pt idx="38">
                  <c:v>5.3132059790417898</c:v>
                </c:pt>
                <c:pt idx="39">
                  <c:v>5.0399999027261604</c:v>
                </c:pt>
                <c:pt idx="40">
                  <c:v>3.9783994034220602</c:v>
                </c:pt>
                <c:pt idx="41">
                  <c:v>3.7946509638650001</c:v>
                </c:pt>
                <c:pt idx="42">
                  <c:v>3.9300593679142399</c:v>
                </c:pt>
                <c:pt idx="43">
                  <c:v>5.0246341302581303</c:v>
                </c:pt>
                <c:pt idx="44">
                  <c:v>5.0699728134417601</c:v>
                </c:pt>
                <c:pt idx="45">
                  <c:v>3.5706480972967198</c:v>
                </c:pt>
                <c:pt idx="46">
                  <c:v>1.1903654202463501</c:v>
                </c:pt>
                <c:pt idx="47">
                  <c:v>1.06514336132342</c:v>
                </c:pt>
                <c:pt idx="48">
                  <c:v>2.17927733538871</c:v>
                </c:pt>
                <c:pt idx="49">
                  <c:v>3.07174888298958</c:v>
                </c:pt>
                <c:pt idx="50">
                  <c:v>1.4370765286210501</c:v>
                </c:pt>
                <c:pt idx="51">
                  <c:v>-0.52763274208237199</c:v>
                </c:pt>
                <c:pt idx="52">
                  <c:v>-1.30933331998376</c:v>
                </c:pt>
                <c:pt idx="53">
                  <c:v>0.231111720963387</c:v>
                </c:pt>
                <c:pt idx="54">
                  <c:v>-0.17435338714477799</c:v>
                </c:pt>
                <c:pt idx="55">
                  <c:v>-0.71334988787746501</c:v>
                </c:pt>
                <c:pt idx="56">
                  <c:v>1.3506671834767401</c:v>
                </c:pt>
                <c:pt idx="57">
                  <c:v>0.231111720963387</c:v>
                </c:pt>
                <c:pt idx="58">
                  <c:v>-0.31471074483970002</c:v>
                </c:pt>
                <c:pt idx="59">
                  <c:v>4.2158622541310198</c:v>
                </c:pt>
                <c:pt idx="60">
                  <c:v>4.1899577264250496</c:v>
                </c:pt>
                <c:pt idx="61">
                  <c:v>3.77256886094343</c:v>
                </c:pt>
                <c:pt idx="62">
                  <c:v>3.72792511972786</c:v>
                </c:pt>
                <c:pt idx="63">
                  <c:v>3.2898933121034801</c:v>
                </c:pt>
                <c:pt idx="64">
                  <c:v>2.1198634561787499</c:v>
                </c:pt>
                <c:pt idx="65">
                  <c:v>1.2208299213923599</c:v>
                </c:pt>
                <c:pt idx="66">
                  <c:v>2.5603232890727501</c:v>
                </c:pt>
                <c:pt idx="67">
                  <c:v>0.85866161903751903</c:v>
                </c:pt>
                <c:pt idx="68">
                  <c:v>-0.61618613942381695</c:v>
                </c:pt>
                <c:pt idx="69">
                  <c:v>1.4793292270870799</c:v>
                </c:pt>
                <c:pt idx="70">
                  <c:v>2.1965975611522999</c:v>
                </c:pt>
                <c:pt idx="71">
                  <c:v>-0.28768207245178101</c:v>
                </c:pt>
                <c:pt idx="72">
                  <c:v>2.1598687907924501</c:v>
                </c:pt>
                <c:pt idx="73">
                  <c:v>-0.15082288973458399</c:v>
                </c:pt>
                <c:pt idx="74">
                  <c:v>2.1038148396364198</c:v>
                </c:pt>
                <c:pt idx="75">
                  <c:v>-2.40794560865187</c:v>
                </c:pt>
                <c:pt idx="76">
                  <c:v>-1.4696759700589399</c:v>
                </c:pt>
                <c:pt idx="77">
                  <c:v>-0.56211891815354098</c:v>
                </c:pt>
                <c:pt idx="78">
                  <c:v>2.0343180921616701</c:v>
                </c:pt>
                <c:pt idx="79">
                  <c:v>1.4011829736136401</c:v>
                </c:pt>
                <c:pt idx="80">
                  <c:v>0.93582789815706002</c:v>
                </c:pt>
                <c:pt idx="81">
                  <c:v>1.6094379124341001</c:v>
                </c:pt>
                <c:pt idx="82">
                  <c:v>0.71783979315031698</c:v>
                </c:pt>
                <c:pt idx="83">
                  <c:v>2.0251713542351699</c:v>
                </c:pt>
                <c:pt idx="84">
                  <c:v>1.49966747857489</c:v>
                </c:pt>
                <c:pt idx="85">
                  <c:v>1.8196988379173</c:v>
                </c:pt>
                <c:pt idx="86">
                  <c:v>4.8314242833557097</c:v>
                </c:pt>
                <c:pt idx="87">
                  <c:v>5.0282561523547997</c:v>
                </c:pt>
                <c:pt idx="88">
                  <c:v>5.7000086962366296</c:v>
                </c:pt>
                <c:pt idx="89">
                  <c:v>4.5235806647360199</c:v>
                </c:pt>
                <c:pt idx="90">
                  <c:v>5.34409864138365</c:v>
                </c:pt>
                <c:pt idx="91">
                  <c:v>4.9705145039506</c:v>
                </c:pt>
                <c:pt idx="92">
                  <c:v>4.7941870322841202</c:v>
                </c:pt>
                <c:pt idx="93">
                  <c:v>2.7565569756959998</c:v>
                </c:pt>
                <c:pt idx="94">
                  <c:v>1.6536185922620299</c:v>
                </c:pt>
                <c:pt idx="95">
                  <c:v>0.91892368723670503</c:v>
                </c:pt>
                <c:pt idx="96">
                  <c:v>0.64185388617239503</c:v>
                </c:pt>
                <c:pt idx="97">
                  <c:v>0.22314355131420999</c:v>
                </c:pt>
                <c:pt idx="98">
                  <c:v>0.38204898994624198</c:v>
                </c:pt>
                <c:pt idx="99">
                  <c:v>1.0081345214078801</c:v>
                </c:pt>
                <c:pt idx="100">
                  <c:v>1.53794191072903</c:v>
                </c:pt>
                <c:pt idx="101">
                  <c:v>1.8213182714695999</c:v>
                </c:pt>
                <c:pt idx="102">
                  <c:v>1.68175857401373</c:v>
                </c:pt>
                <c:pt idx="103">
                  <c:v>1.7119945007591899</c:v>
                </c:pt>
                <c:pt idx="104">
                  <c:v>1.8484548129045999</c:v>
                </c:pt>
                <c:pt idx="105">
                  <c:v>2.1877352513150998</c:v>
                </c:pt>
                <c:pt idx="106">
                  <c:v>1.7833912195575401</c:v>
                </c:pt>
                <c:pt idx="107">
                  <c:v>-0.110931560707282</c:v>
                </c:pt>
                <c:pt idx="108">
                  <c:v>-1.17118298150295</c:v>
                </c:pt>
                <c:pt idx="109">
                  <c:v>2.0195588320784599</c:v>
                </c:pt>
                <c:pt idx="110">
                  <c:v>2.1719067693519301</c:v>
                </c:pt>
                <c:pt idx="111">
                  <c:v>0.16126814759612201</c:v>
                </c:pt>
                <c:pt idx="112">
                  <c:v>2.1966688674024999</c:v>
                </c:pt>
                <c:pt idx="113">
                  <c:v>1.1521530555961399</c:v>
                </c:pt>
                <c:pt idx="114">
                  <c:v>-1.0050335853501499E-2</c:v>
                </c:pt>
                <c:pt idx="115">
                  <c:v>0.21913552991667101</c:v>
                </c:pt>
                <c:pt idx="116">
                  <c:v>-0.99425227334386701</c:v>
                </c:pt>
                <c:pt idx="117">
                  <c:v>-1.1239300966524</c:v>
                </c:pt>
                <c:pt idx="118">
                  <c:v>0.97077891715822495</c:v>
                </c:pt>
                <c:pt idx="119">
                  <c:v>1.1346227261911399</c:v>
                </c:pt>
                <c:pt idx="120">
                  <c:v>2.0255131996542799</c:v>
                </c:pt>
                <c:pt idx="121">
                  <c:v>2.1517622032594601</c:v>
                </c:pt>
                <c:pt idx="122">
                  <c:v>1.36609165380237</c:v>
                </c:pt>
                <c:pt idx="123">
                  <c:v>1.58616928549475</c:v>
                </c:pt>
                <c:pt idx="124">
                  <c:v>1.45861502269952</c:v>
                </c:pt>
                <c:pt idx="125">
                  <c:v>1.19694818938897</c:v>
                </c:pt>
                <c:pt idx="126">
                  <c:v>1.2767584740515801</c:v>
                </c:pt>
                <c:pt idx="127">
                  <c:v>1.51512723296286</c:v>
                </c:pt>
                <c:pt idx="128">
                  <c:v>1.51512723296286</c:v>
                </c:pt>
                <c:pt idx="129">
                  <c:v>1.5496879080283299</c:v>
                </c:pt>
                <c:pt idx="130">
                  <c:v>1.7137979277583399</c:v>
                </c:pt>
                <c:pt idx="131">
                  <c:v>1.5871923034867801</c:v>
                </c:pt>
                <c:pt idx="132">
                  <c:v>1.6370530794670699</c:v>
                </c:pt>
                <c:pt idx="133">
                  <c:v>1.7056567701746399</c:v>
                </c:pt>
                <c:pt idx="134">
                  <c:v>1.3056264580524399</c:v>
                </c:pt>
                <c:pt idx="135">
                  <c:v>1.2753628004126101</c:v>
                </c:pt>
                <c:pt idx="136">
                  <c:v>1.2208299213923599</c:v>
                </c:pt>
                <c:pt idx="137">
                  <c:v>-1.27296567581289</c:v>
                </c:pt>
                <c:pt idx="138">
                  <c:v>1.00795792039998</c:v>
                </c:pt>
                <c:pt idx="139">
                  <c:v>2.16274814780625</c:v>
                </c:pt>
                <c:pt idx="140">
                  <c:v>2.1494339134998701</c:v>
                </c:pt>
                <c:pt idx="141">
                  <c:v>2.1494339134998701</c:v>
                </c:pt>
                <c:pt idx="142">
                  <c:v>2.2082744135227999</c:v>
                </c:pt>
                <c:pt idx="143">
                  <c:v>2.2460147415056499</c:v>
                </c:pt>
                <c:pt idx="144">
                  <c:v>0.53062825106217004</c:v>
                </c:pt>
                <c:pt idx="145">
                  <c:v>0.87546873735389996</c:v>
                </c:pt>
                <c:pt idx="146">
                  <c:v>0.89404512292683502</c:v>
                </c:pt>
                <c:pt idx="147">
                  <c:v>0.51282362642866397</c:v>
                </c:pt>
                <c:pt idx="148">
                  <c:v>0.79072750889880905</c:v>
                </c:pt>
                <c:pt idx="149">
                  <c:v>-1.29098418131557</c:v>
                </c:pt>
                <c:pt idx="150">
                  <c:v>-1.7719568419318801</c:v>
                </c:pt>
                <c:pt idx="151">
                  <c:v>-1.5371172508544699</c:v>
                </c:pt>
                <c:pt idx="152">
                  <c:v>-1.25526609871349</c:v>
                </c:pt>
                <c:pt idx="153">
                  <c:v>-2.5902671654458298</c:v>
                </c:pt>
                <c:pt idx="154">
                  <c:v>-1.89711998488588</c:v>
                </c:pt>
                <c:pt idx="155">
                  <c:v>4.7953772370560399</c:v>
                </c:pt>
                <c:pt idx="156">
                  <c:v>-0.34249030894677601</c:v>
                </c:pt>
                <c:pt idx="157">
                  <c:v>2.04186946877208</c:v>
                </c:pt>
                <c:pt idx="158">
                  <c:v>1.9278916435526301</c:v>
                </c:pt>
                <c:pt idx="159">
                  <c:v>1.75699547679172</c:v>
                </c:pt>
                <c:pt idx="160">
                  <c:v>1.7056567701746399</c:v>
                </c:pt>
                <c:pt idx="161">
                  <c:v>2.3725774648140798</c:v>
                </c:pt>
                <c:pt idx="162">
                  <c:v>1.8460898137731001</c:v>
                </c:pt>
                <c:pt idx="163">
                  <c:v>1.80910810756267</c:v>
                </c:pt>
                <c:pt idx="164">
                  <c:v>0.98954119361374804</c:v>
                </c:pt>
                <c:pt idx="165">
                  <c:v>-0.50252682095129597</c:v>
                </c:pt>
                <c:pt idx="166">
                  <c:v>-0.22314355131420999</c:v>
                </c:pt>
                <c:pt idx="167">
                  <c:v>1.9565674435292999</c:v>
                </c:pt>
                <c:pt idx="168">
                  <c:v>1.9169226121820599</c:v>
                </c:pt>
                <c:pt idx="169">
                  <c:v>-1.3280254529959099</c:v>
                </c:pt>
                <c:pt idx="170">
                  <c:v>1.36863942588117</c:v>
                </c:pt>
                <c:pt idx="171">
                  <c:v>2.2528695007481101</c:v>
                </c:pt>
                <c:pt idx="172">
                  <c:v>2.19722457733622</c:v>
                </c:pt>
                <c:pt idx="173">
                  <c:v>1.7900914121273599</c:v>
                </c:pt>
                <c:pt idx="174">
                  <c:v>1.84054963339749</c:v>
                </c:pt>
                <c:pt idx="175">
                  <c:v>2.1804174590198402</c:v>
                </c:pt>
                <c:pt idx="176">
                  <c:v>2.03861954715958</c:v>
                </c:pt>
                <c:pt idx="177">
                  <c:v>1.49065437644413</c:v>
                </c:pt>
                <c:pt idx="178">
                  <c:v>2.4807312783775202</c:v>
                </c:pt>
                <c:pt idx="179">
                  <c:v>2.6026896854443802</c:v>
                </c:pt>
                <c:pt idx="180">
                  <c:v>3.1023420086122502</c:v>
                </c:pt>
                <c:pt idx="181">
                  <c:v>-3.50655789731998</c:v>
                </c:pt>
                <c:pt idx="182">
                  <c:v>-2.99573227355399</c:v>
                </c:pt>
                <c:pt idx="183">
                  <c:v>0.22314355131420999</c:v>
                </c:pt>
                <c:pt idx="184">
                  <c:v>2.7153567762846502</c:v>
                </c:pt>
                <c:pt idx="185">
                  <c:v>-0.42312004334688502</c:v>
                </c:pt>
                <c:pt idx="186">
                  <c:v>0.31481073984003399</c:v>
                </c:pt>
                <c:pt idx="187">
                  <c:v>0.113328685307003</c:v>
                </c:pt>
                <c:pt idx="188">
                  <c:v>1.1314021114910999</c:v>
                </c:pt>
                <c:pt idx="189">
                  <c:v>3.6661224669913199</c:v>
                </c:pt>
                <c:pt idx="190">
                  <c:v>3.6428355156125298</c:v>
                </c:pt>
                <c:pt idx="191">
                  <c:v>3.9655637723561799</c:v>
                </c:pt>
                <c:pt idx="192">
                  <c:v>2.99573227355399</c:v>
                </c:pt>
                <c:pt idx="193">
                  <c:v>2.6023192464699698</c:v>
                </c:pt>
                <c:pt idx="194">
                  <c:v>2.78501124223834</c:v>
                </c:pt>
                <c:pt idx="195">
                  <c:v>-3.0459207484708602E-2</c:v>
                </c:pt>
                <c:pt idx="196">
                  <c:v>0.50380100882902601</c:v>
                </c:pt>
                <c:pt idx="197">
                  <c:v>4.0456793902408199</c:v>
                </c:pt>
                <c:pt idx="198">
                  <c:v>4.0386556563615104</c:v>
                </c:pt>
                <c:pt idx="199">
                  <c:v>1.9013609791431401</c:v>
                </c:pt>
                <c:pt idx="200">
                  <c:v>1.85629799036563</c:v>
                </c:pt>
                <c:pt idx="201">
                  <c:v>1.83816584204221</c:v>
                </c:pt>
                <c:pt idx="202">
                  <c:v>1.8180767775454301</c:v>
                </c:pt>
                <c:pt idx="203">
                  <c:v>1.68454538492091</c:v>
                </c:pt>
                <c:pt idx="204">
                  <c:v>2.3297137603823002</c:v>
                </c:pt>
                <c:pt idx="205">
                  <c:v>1.4929040961781499</c:v>
                </c:pt>
                <c:pt idx="206">
                  <c:v>1.75180515372102</c:v>
                </c:pt>
                <c:pt idx="207">
                  <c:v>2.2741856184723499</c:v>
                </c:pt>
                <c:pt idx="208">
                  <c:v>-0.59783700075561996</c:v>
                </c:pt>
                <c:pt idx="209">
                  <c:v>-1.0498221244986801</c:v>
                </c:pt>
                <c:pt idx="210">
                  <c:v>1.48886124937508E-2</c:v>
                </c:pt>
                <c:pt idx="211">
                  <c:v>2.8332133440562202</c:v>
                </c:pt>
                <c:pt idx="212">
                  <c:v>2.1598687907924501</c:v>
                </c:pt>
                <c:pt idx="213">
                  <c:v>2.0763116486709099</c:v>
                </c:pt>
                <c:pt idx="214">
                  <c:v>2.73111547403321</c:v>
                </c:pt>
                <c:pt idx="215">
                  <c:v>1.8221270058444501</c:v>
                </c:pt>
                <c:pt idx="216">
                  <c:v>1.9466241797889701</c:v>
                </c:pt>
                <c:pt idx="217">
                  <c:v>2.3915113021884502</c:v>
                </c:pt>
                <c:pt idx="218">
                  <c:v>1.27396517614597</c:v>
                </c:pt>
              </c:numCache>
            </c:numRef>
          </c:xVal>
          <c:yVal>
            <c:numRef>
              <c:f>Teeth!$C$3:$C$221</c:f>
              <c:numCache>
                <c:formatCode>0.00</c:formatCode>
                <c:ptCount val="219"/>
                <c:pt idx="0">
                  <c:v>0.32280787442715497</c:v>
                </c:pt>
                <c:pt idx="1">
                  <c:v>0.75141608868392096</c:v>
                </c:pt>
                <c:pt idx="2">
                  <c:v>1.0321875452868701</c:v>
                </c:pt>
                <c:pt idx="3">
                  <c:v>1.1600209167967499</c:v>
                </c:pt>
                <c:pt idx="4">
                  <c:v>1.0622940259939999</c:v>
                </c:pt>
                <c:pt idx="5">
                  <c:v>0.48980625654191501</c:v>
                </c:pt>
                <c:pt idx="6">
                  <c:v>0.262364264467491</c:v>
                </c:pt>
                <c:pt idx="7">
                  <c:v>1.0681530811833999</c:v>
                </c:pt>
                <c:pt idx="8">
                  <c:v>0.69314718055994495</c:v>
                </c:pt>
                <c:pt idx="9">
                  <c:v>0.53649337051456902</c:v>
                </c:pt>
                <c:pt idx="10">
                  <c:v>-0.11653381625595199</c:v>
                </c:pt>
                <c:pt idx="11">
                  <c:v>0.30010459245033799</c:v>
                </c:pt>
                <c:pt idx="12">
                  <c:v>0.89608802455663605</c:v>
                </c:pt>
                <c:pt idx="13">
                  <c:v>0.198850858745165</c:v>
                </c:pt>
                <c:pt idx="14">
                  <c:v>-0.13926206733350799</c:v>
                </c:pt>
                <c:pt idx="15">
                  <c:v>0.62057648772510998</c:v>
                </c:pt>
                <c:pt idx="16">
                  <c:v>0.169742774587095</c:v>
                </c:pt>
                <c:pt idx="17">
                  <c:v>0.37156355643248301</c:v>
                </c:pt>
                <c:pt idx="18">
                  <c:v>0.28216689176367099</c:v>
                </c:pt>
                <c:pt idx="19">
                  <c:v>0.58778666490211895</c:v>
                </c:pt>
                <c:pt idx="20">
                  <c:v>0.62647304729195297</c:v>
                </c:pt>
                <c:pt idx="21">
                  <c:v>1.03673688495002</c:v>
                </c:pt>
                <c:pt idx="22">
                  <c:v>0.60976557162089395</c:v>
                </c:pt>
                <c:pt idx="23">
                  <c:v>0.328584063772207</c:v>
                </c:pt>
                <c:pt idx="24">
                  <c:v>0.405465108108164</c:v>
                </c:pt>
                <c:pt idx="25">
                  <c:v>0.32786386208461299</c:v>
                </c:pt>
                <c:pt idx="26">
                  <c:v>0.31990721974651798</c:v>
                </c:pt>
                <c:pt idx="27">
                  <c:v>0.27611543608031602</c:v>
                </c:pt>
                <c:pt idx="28">
                  <c:v>0.113328685307003</c:v>
                </c:pt>
                <c:pt idx="29">
                  <c:v>0.37156355643248301</c:v>
                </c:pt>
                <c:pt idx="30">
                  <c:v>0.30010459245033799</c:v>
                </c:pt>
                <c:pt idx="31">
                  <c:v>0.41210965082683298</c:v>
                </c:pt>
                <c:pt idx="32">
                  <c:v>0</c:v>
                </c:pt>
                <c:pt idx="33">
                  <c:v>0.122217632724249</c:v>
                </c:pt>
                <c:pt idx="34">
                  <c:v>0.21511137961694499</c:v>
                </c:pt>
                <c:pt idx="35">
                  <c:v>0.832909122935104</c:v>
                </c:pt>
                <c:pt idx="36">
                  <c:v>0.51879379341516796</c:v>
                </c:pt>
                <c:pt idx="37">
                  <c:v>1.44220199305819</c:v>
                </c:pt>
                <c:pt idx="38">
                  <c:v>1.7917594692280501</c:v>
                </c:pt>
                <c:pt idx="39">
                  <c:v>1.5957445853020999</c:v>
                </c:pt>
                <c:pt idx="40">
                  <c:v>1.34547236659964</c:v>
                </c:pt>
                <c:pt idx="41">
                  <c:v>1.19694818938897</c:v>
                </c:pt>
                <c:pt idx="42">
                  <c:v>1.2137250957686101</c:v>
                </c:pt>
                <c:pt idx="43">
                  <c:v>1.8082887711792699</c:v>
                </c:pt>
                <c:pt idx="44">
                  <c:v>1.6705330117939099</c:v>
                </c:pt>
                <c:pt idx="45">
                  <c:v>1.15057202759882</c:v>
                </c:pt>
                <c:pt idx="46">
                  <c:v>0.34358970439007702</c:v>
                </c:pt>
                <c:pt idx="47">
                  <c:v>0.113328685307003</c:v>
                </c:pt>
                <c:pt idx="48">
                  <c:v>0.45742484703887498</c:v>
                </c:pt>
                <c:pt idx="49">
                  <c:v>0.916290731874155</c:v>
                </c:pt>
                <c:pt idx="50">
                  <c:v>8.6177696241052398E-2</c:v>
                </c:pt>
                <c:pt idx="51">
                  <c:v>-0.15198635699788199</c:v>
                </c:pt>
                <c:pt idx="52">
                  <c:v>-0.56916120077895405</c:v>
                </c:pt>
                <c:pt idx="53">
                  <c:v>-0.13238918804574601</c:v>
                </c:pt>
                <c:pt idx="54">
                  <c:v>-0.26918748981561702</c:v>
                </c:pt>
                <c:pt idx="55">
                  <c:v>-0.50418108104732196</c:v>
                </c:pt>
                <c:pt idx="56">
                  <c:v>4.6883585898850499E-2</c:v>
                </c:pt>
                <c:pt idx="57">
                  <c:v>-0.32020526415734102</c:v>
                </c:pt>
                <c:pt idx="58">
                  <c:v>-0.23572233352107</c:v>
                </c:pt>
                <c:pt idx="59">
                  <c:v>1.0331844833456501</c:v>
                </c:pt>
                <c:pt idx="60">
                  <c:v>1.0862022685914301</c:v>
                </c:pt>
                <c:pt idx="61">
                  <c:v>1.08180517035173</c:v>
                </c:pt>
                <c:pt idx="62">
                  <c:v>1.16315080980568</c:v>
                </c:pt>
                <c:pt idx="63">
                  <c:v>1.0698698198024601</c:v>
                </c:pt>
                <c:pt idx="64">
                  <c:v>0.35136084911496401</c:v>
                </c:pt>
                <c:pt idx="65">
                  <c:v>-4.4997365930735701E-2</c:v>
                </c:pt>
                <c:pt idx="66">
                  <c:v>0.31772619380015799</c:v>
                </c:pt>
                <c:pt idx="67">
                  <c:v>-5.8688996348679599E-2</c:v>
                </c:pt>
                <c:pt idx="68">
                  <c:v>-0.43386458262986199</c:v>
                </c:pt>
                <c:pt idx="69">
                  <c:v>0.51700648284107198</c:v>
                </c:pt>
                <c:pt idx="70">
                  <c:v>0.74668794748797496</c:v>
                </c:pt>
                <c:pt idx="71">
                  <c:v>-8.3381608939051097E-2</c:v>
                </c:pt>
                <c:pt idx="72">
                  <c:v>0.25928259793008301</c:v>
                </c:pt>
                <c:pt idx="73">
                  <c:v>0.19474407679251199</c:v>
                </c:pt>
                <c:pt idx="74">
                  <c:v>0.53062825106217004</c:v>
                </c:pt>
                <c:pt idx="75">
                  <c:v>-0.64055473044077504</c:v>
                </c:pt>
                <c:pt idx="76">
                  <c:v>-0.62548853208613098</c:v>
                </c:pt>
                <c:pt idx="77">
                  <c:v>-0.30924625036762099</c:v>
                </c:pt>
                <c:pt idx="78">
                  <c:v>0.62593843086649503</c:v>
                </c:pt>
                <c:pt idx="79">
                  <c:v>0.58889715918614605</c:v>
                </c:pt>
                <c:pt idx="80">
                  <c:v>-0.11653381625595199</c:v>
                </c:pt>
                <c:pt idx="81">
                  <c:v>0.115112807100505</c:v>
                </c:pt>
                <c:pt idx="82">
                  <c:v>-2.6343975339602001E-2</c:v>
                </c:pt>
                <c:pt idx="83">
                  <c:v>0.39204208777602401</c:v>
                </c:pt>
                <c:pt idx="84">
                  <c:v>0.46373401623214</c:v>
                </c:pt>
                <c:pt idx="85">
                  <c:v>0.26849925303500699</c:v>
                </c:pt>
                <c:pt idx="86">
                  <c:v>1.0715836162801899</c:v>
                </c:pt>
                <c:pt idx="87">
                  <c:v>1.3506671834767401</c:v>
                </c:pt>
                <c:pt idx="88">
                  <c:v>1.33315726270676</c:v>
                </c:pt>
                <c:pt idx="89">
                  <c:v>1.4303112465366601</c:v>
                </c:pt>
                <c:pt idx="90">
                  <c:v>1.5129270120532601</c:v>
                </c:pt>
                <c:pt idx="91">
                  <c:v>1.30019166206648</c:v>
                </c:pt>
                <c:pt idx="92">
                  <c:v>1.1908875647772801</c:v>
                </c:pt>
                <c:pt idx="93">
                  <c:v>0.64710324205853897</c:v>
                </c:pt>
                <c:pt idx="94">
                  <c:v>-3.0459207484708602E-2</c:v>
                </c:pt>
                <c:pt idx="95">
                  <c:v>-6.1875403718087398E-2</c:v>
                </c:pt>
                <c:pt idx="96">
                  <c:v>-0.20089294237939001</c:v>
                </c:pt>
                <c:pt idx="97">
                  <c:v>-0.14502577205025799</c:v>
                </c:pt>
                <c:pt idx="98">
                  <c:v>-0.17435338714477799</c:v>
                </c:pt>
                <c:pt idx="99">
                  <c:v>1.9802627296179699E-2</c:v>
                </c:pt>
                <c:pt idx="100">
                  <c:v>0.61030890225094103</c:v>
                </c:pt>
                <c:pt idx="101">
                  <c:v>0.20538682972495101</c:v>
                </c:pt>
                <c:pt idx="102">
                  <c:v>0.38797979376714498</c:v>
                </c:pt>
                <c:pt idx="103">
                  <c:v>0.33504264381161902</c:v>
                </c:pt>
                <c:pt idx="104">
                  <c:v>0.377065633586466</c:v>
                </c:pt>
                <c:pt idx="105">
                  <c:v>0.123102197133983</c:v>
                </c:pt>
                <c:pt idx="106">
                  <c:v>0.30306317449008302</c:v>
                </c:pt>
                <c:pt idx="107">
                  <c:v>-0.57625342908844601</c:v>
                </c:pt>
                <c:pt idx="108">
                  <c:v>-0.92634106772765601</c:v>
                </c:pt>
                <c:pt idx="109">
                  <c:v>0.14063112973974601</c:v>
                </c:pt>
                <c:pt idx="110">
                  <c:v>0.19144646457095499</c:v>
                </c:pt>
                <c:pt idx="111">
                  <c:v>-0.97021907389971096</c:v>
                </c:pt>
                <c:pt idx="112">
                  <c:v>-5.4456185796058702E-2</c:v>
                </c:pt>
                <c:pt idx="113">
                  <c:v>0.30601302913650402</c:v>
                </c:pt>
                <c:pt idx="114">
                  <c:v>-0.83011303563310301</c:v>
                </c:pt>
                <c:pt idx="115">
                  <c:v>-0.83471074488173203</c:v>
                </c:pt>
                <c:pt idx="116">
                  <c:v>-0.67727383140365505</c:v>
                </c:pt>
                <c:pt idx="117">
                  <c:v>-0.61618613942381695</c:v>
                </c:pt>
                <c:pt idx="118">
                  <c:v>0.34358970439007702</c:v>
                </c:pt>
                <c:pt idx="119">
                  <c:v>0.35417181372061401</c:v>
                </c:pt>
                <c:pt idx="120">
                  <c:v>0.52886198625208902</c:v>
                </c:pt>
                <c:pt idx="121">
                  <c:v>0.855691109745226</c:v>
                </c:pt>
                <c:pt idx="122">
                  <c:v>0.56871710218176796</c:v>
                </c:pt>
                <c:pt idx="123">
                  <c:v>0.59663628017910197</c:v>
                </c:pt>
                <c:pt idx="124">
                  <c:v>0.68410643590779596</c:v>
                </c:pt>
                <c:pt idx="125">
                  <c:v>0.47809579914307199</c:v>
                </c:pt>
                <c:pt idx="126">
                  <c:v>0.48980625654191501</c:v>
                </c:pt>
                <c:pt idx="127">
                  <c:v>0.69014267153964703</c:v>
                </c:pt>
                <c:pt idx="128">
                  <c:v>0.80647586586694797</c:v>
                </c:pt>
                <c:pt idx="129">
                  <c:v>0.68964104123065795</c:v>
                </c:pt>
                <c:pt idx="130">
                  <c:v>0.65440635224351495</c:v>
                </c:pt>
                <c:pt idx="131">
                  <c:v>0.66628972639006301</c:v>
                </c:pt>
                <c:pt idx="132">
                  <c:v>0.72658195664618297</c:v>
                </c:pt>
                <c:pt idx="133">
                  <c:v>0.59332684527773405</c:v>
                </c:pt>
                <c:pt idx="134">
                  <c:v>0.47995396009890401</c:v>
                </c:pt>
                <c:pt idx="135">
                  <c:v>0.45298462407614098</c:v>
                </c:pt>
                <c:pt idx="136">
                  <c:v>0.59111445499479398</c:v>
                </c:pt>
                <c:pt idx="137">
                  <c:v>-0.92130327369769904</c:v>
                </c:pt>
                <c:pt idx="138">
                  <c:v>0.10345870836823</c:v>
                </c:pt>
                <c:pt idx="139">
                  <c:v>0.56871710218176796</c:v>
                </c:pt>
                <c:pt idx="140">
                  <c:v>0.70852828259824796</c:v>
                </c:pt>
                <c:pt idx="141">
                  <c:v>0.768254653046751</c:v>
                </c:pt>
                <c:pt idx="142">
                  <c:v>0.64867269045811604</c:v>
                </c:pt>
                <c:pt idx="143">
                  <c:v>0.974559639998131</c:v>
                </c:pt>
                <c:pt idx="144">
                  <c:v>-5.8688996348679599E-2</c:v>
                </c:pt>
                <c:pt idx="145">
                  <c:v>0.17142911562753099</c:v>
                </c:pt>
                <c:pt idx="146">
                  <c:v>5.6380333436107703E-2</c:v>
                </c:pt>
                <c:pt idx="147">
                  <c:v>-3.7701867184011403E-2</c:v>
                </c:pt>
                <c:pt idx="148">
                  <c:v>4.78373294141601E-2</c:v>
                </c:pt>
                <c:pt idx="149">
                  <c:v>-0.70117935225720995</c:v>
                </c:pt>
                <c:pt idx="150">
                  <c:v>-1.0023934309275699</c:v>
                </c:pt>
                <c:pt idx="151">
                  <c:v>-0.91379385167556804</c:v>
                </c:pt>
                <c:pt idx="152">
                  <c:v>-0.916290731874155</c:v>
                </c:pt>
                <c:pt idx="153">
                  <c:v>-1.2039728043259399</c:v>
                </c:pt>
                <c:pt idx="154">
                  <c:v>-1.0106014113454</c:v>
                </c:pt>
                <c:pt idx="155">
                  <c:v>1.1072416153661599</c:v>
                </c:pt>
                <c:pt idx="156">
                  <c:v>-0.52087595961949196</c:v>
                </c:pt>
                <c:pt idx="157">
                  <c:v>0.64762666525813595</c:v>
                </c:pt>
                <c:pt idx="158">
                  <c:v>0.57380042292737898</c:v>
                </c:pt>
                <c:pt idx="159">
                  <c:v>0.50802169643325701</c:v>
                </c:pt>
                <c:pt idx="160">
                  <c:v>0.605408266251939</c:v>
                </c:pt>
                <c:pt idx="161">
                  <c:v>0.76313955237997999</c:v>
                </c:pt>
                <c:pt idx="162">
                  <c:v>-0.24974423311138899</c:v>
                </c:pt>
                <c:pt idx="163">
                  <c:v>0.35276731910771503</c:v>
                </c:pt>
                <c:pt idx="164">
                  <c:v>8.2501221511743605E-2</c:v>
                </c:pt>
                <c:pt idx="165">
                  <c:v>-0.376877651256252</c:v>
                </c:pt>
                <c:pt idx="166">
                  <c:v>-0.34108284917889597</c:v>
                </c:pt>
                <c:pt idx="167">
                  <c:v>0.64919529303076295</c:v>
                </c:pt>
                <c:pt idx="168">
                  <c:v>0.51461842200468699</c:v>
                </c:pt>
                <c:pt idx="169">
                  <c:v>-0.78307188808793204</c:v>
                </c:pt>
                <c:pt idx="170">
                  <c:v>0.87921172363273403</c:v>
                </c:pt>
                <c:pt idx="171">
                  <c:v>0.67090157161262598</c:v>
                </c:pt>
                <c:pt idx="172">
                  <c:v>0.89035734984765103</c:v>
                </c:pt>
                <c:pt idx="173">
                  <c:v>0.52886198625208902</c:v>
                </c:pt>
                <c:pt idx="174">
                  <c:v>0.90097402776226199</c:v>
                </c:pt>
                <c:pt idx="175">
                  <c:v>1.0609104214841001</c:v>
                </c:pt>
                <c:pt idx="176">
                  <c:v>1.0895715440159599</c:v>
                </c:pt>
                <c:pt idx="177">
                  <c:v>0.677525799656989</c:v>
                </c:pt>
                <c:pt idx="178">
                  <c:v>0.902597404742153</c:v>
                </c:pt>
                <c:pt idx="179">
                  <c:v>1.5679907225199301</c:v>
                </c:pt>
                <c:pt idx="180">
                  <c:v>1.601002433613</c:v>
                </c:pt>
                <c:pt idx="181">
                  <c:v>-1.57021719928082</c:v>
                </c:pt>
                <c:pt idx="182">
                  <c:v>-1.54646311327271</c:v>
                </c:pt>
                <c:pt idx="183">
                  <c:v>0.12663265093336601</c:v>
                </c:pt>
                <c:pt idx="184">
                  <c:v>0.83116847845732</c:v>
                </c:pt>
                <c:pt idx="185">
                  <c:v>-0.34955747616986799</c:v>
                </c:pt>
                <c:pt idx="186">
                  <c:v>-0.110931560707282</c:v>
                </c:pt>
                <c:pt idx="187">
                  <c:v>-0.426178149705706</c:v>
                </c:pt>
                <c:pt idx="188">
                  <c:v>-0.173163619009189</c:v>
                </c:pt>
                <c:pt idx="189">
                  <c:v>0.44211842575619997</c:v>
                </c:pt>
                <c:pt idx="190">
                  <c:v>0.80692219481879002</c:v>
                </c:pt>
                <c:pt idx="191">
                  <c:v>0.77564840207168895</c:v>
                </c:pt>
                <c:pt idx="192">
                  <c:v>1.2649738258833301</c:v>
                </c:pt>
                <c:pt idx="193">
                  <c:v>1.0075928902809399</c:v>
                </c:pt>
                <c:pt idx="194">
                  <c:v>1.1197212518783399</c:v>
                </c:pt>
                <c:pt idx="195">
                  <c:v>-0.34249030894677601</c:v>
                </c:pt>
                <c:pt idx="196">
                  <c:v>-0.11653381625595199</c:v>
                </c:pt>
                <c:pt idx="197">
                  <c:v>0.993251773010283</c:v>
                </c:pt>
                <c:pt idx="198">
                  <c:v>1.0296194171811599</c:v>
                </c:pt>
                <c:pt idx="199">
                  <c:v>0.33074156191222798</c:v>
                </c:pt>
                <c:pt idx="200">
                  <c:v>0.33289441527332903</c:v>
                </c:pt>
                <c:pt idx="201">
                  <c:v>0.30895420772732102</c:v>
                </c:pt>
                <c:pt idx="202">
                  <c:v>0.24137631957527</c:v>
                </c:pt>
                <c:pt idx="203">
                  <c:v>0.52827253736971103</c:v>
                </c:pt>
                <c:pt idx="204">
                  <c:v>0.28593053941297503</c:v>
                </c:pt>
                <c:pt idx="205">
                  <c:v>0.398776119957368</c:v>
                </c:pt>
                <c:pt idx="206">
                  <c:v>-9.4310679471241401E-2</c:v>
                </c:pt>
                <c:pt idx="207">
                  <c:v>0.50561205671310305</c:v>
                </c:pt>
                <c:pt idx="208">
                  <c:v>-0.61248927754249105</c:v>
                </c:pt>
                <c:pt idx="209">
                  <c:v>-0.56916120077895405</c:v>
                </c:pt>
                <c:pt idx="210">
                  <c:v>-0.40796823832628298</c:v>
                </c:pt>
                <c:pt idx="211">
                  <c:v>0.54057858191533803</c:v>
                </c:pt>
                <c:pt idx="212">
                  <c:v>0.67701779863006195</c:v>
                </c:pt>
                <c:pt idx="213">
                  <c:v>0.33002291294130598</c:v>
                </c:pt>
                <c:pt idx="214">
                  <c:v>1.37674894827636</c:v>
                </c:pt>
                <c:pt idx="215">
                  <c:v>0.61896228237056905</c:v>
                </c:pt>
                <c:pt idx="216">
                  <c:v>0.43437645160258398</c:v>
                </c:pt>
                <c:pt idx="217">
                  <c:v>0.68561891413915399</c:v>
                </c:pt>
                <c:pt idx="218">
                  <c:v>0.26849925303500699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BC5-4974-B281-9C8F8119E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4517152"/>
        <c:axId val="1552752048"/>
        <c:extLst/>
      </c:scatterChart>
      <c:valAx>
        <c:axId val="155451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 body mass (kg)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2752048"/>
        <c:crosses val="autoZero"/>
        <c:crossBetween val="midCat"/>
      </c:valAx>
      <c:valAx>
        <c:axId val="155275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 average canine length (cm)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4517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 claw sharpness (mm^2) from ln mass (kg)</a:t>
            </a:r>
            <a:endParaRPr lang="ru-RU"/>
          </a:p>
        </c:rich>
      </c:tx>
      <c:layout>
        <c:manualLayout>
          <c:xMode val="edge"/>
          <c:yMode val="edge"/>
          <c:x val="0.22111444943573921"/>
          <c:y val="2.2191397600824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453207466772633"/>
                  <c:y val="-6.94998460872226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Sharpness!$D$3:$D$19</c:f>
              <c:numCache>
                <c:formatCode>0.00</c:formatCode>
                <c:ptCount val="17"/>
                <c:pt idx="0">
                  <c:v>5.0910717703865993</c:v>
                </c:pt>
                <c:pt idx="1">
                  <c:v>5.084499569891765</c:v>
                </c:pt>
                <c:pt idx="2">
                  <c:v>3.9435216724875173</c:v>
                </c:pt>
                <c:pt idx="3">
                  <c:v>4.6051701859880918</c:v>
                </c:pt>
                <c:pt idx="4">
                  <c:v>3.912023005428146</c:v>
                </c:pt>
                <c:pt idx="5">
                  <c:v>4.0073277306721407</c:v>
                </c:pt>
                <c:pt idx="6">
                  <c:v>2.8875901149342877</c:v>
                </c:pt>
                <c:pt idx="7">
                  <c:v>2.2378545534221148</c:v>
                </c:pt>
                <c:pt idx="8">
                  <c:v>2.1865118448176348</c:v>
                </c:pt>
                <c:pt idx="9">
                  <c:v>5.3278761687895813</c:v>
                </c:pt>
                <c:pt idx="10">
                  <c:v>6.0520891689244172</c:v>
                </c:pt>
                <c:pt idx="11">
                  <c:v>4.4573659912196968</c:v>
                </c:pt>
                <c:pt idx="12">
                  <c:v>4.6046640579268905</c:v>
                </c:pt>
                <c:pt idx="13">
                  <c:v>1.7092832474038167</c:v>
                </c:pt>
                <c:pt idx="14">
                  <c:v>1.9611646340887827</c:v>
                </c:pt>
                <c:pt idx="15">
                  <c:v>3.8501476017100584</c:v>
                </c:pt>
                <c:pt idx="16">
                  <c:v>1.9580222152243281</c:v>
                </c:pt>
              </c:numCache>
            </c:numRef>
          </c:xVal>
          <c:yVal>
            <c:numRef>
              <c:f>Sharpness!$E$3:$E$19</c:f>
              <c:numCache>
                <c:formatCode>0.00</c:formatCode>
                <c:ptCount val="17"/>
                <c:pt idx="0">
                  <c:v>2.8710061356422427</c:v>
                </c:pt>
                <c:pt idx="1">
                  <c:v>3.0007034291240928</c:v>
                </c:pt>
                <c:pt idx="2">
                  <c:v>2.1640268070353521</c:v>
                </c:pt>
                <c:pt idx="3">
                  <c:v>1.6919558398561236</c:v>
                </c:pt>
                <c:pt idx="4">
                  <c:v>2.4097750033364211</c:v>
                </c:pt>
                <c:pt idx="5">
                  <c:v>1.9556601020657285</c:v>
                </c:pt>
                <c:pt idx="6">
                  <c:v>1.9556601020657285</c:v>
                </c:pt>
                <c:pt idx="7">
                  <c:v>1.9160548474733696</c:v>
                </c:pt>
                <c:pt idx="8">
                  <c:v>1.2645945672947478</c:v>
                </c:pt>
                <c:pt idx="9">
                  <c:v>2.7587317620022787</c:v>
                </c:pt>
                <c:pt idx="10">
                  <c:v>2.4097750033364211</c:v>
                </c:pt>
                <c:pt idx="11">
                  <c:v>3.3023492085932604</c:v>
                </c:pt>
                <c:pt idx="12">
                  <c:v>1.9160548474733696</c:v>
                </c:pt>
                <c:pt idx="13">
                  <c:v>1.5863055610929016</c:v>
                </c:pt>
                <c:pt idx="14">
                  <c:v>2.5043769245723495</c:v>
                </c:pt>
                <c:pt idx="15">
                  <c:v>2.5043769245723495</c:v>
                </c:pt>
                <c:pt idx="16">
                  <c:v>1.6919558398561236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96-4053-847B-9BBE276FA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741728"/>
        <c:axId val="2088742144"/>
      </c:scatterChart>
      <c:valAx>
        <c:axId val="208874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 mass (kg)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8742144"/>
        <c:crosses val="autoZero"/>
        <c:crossBetween val="midCat"/>
      </c:valAx>
      <c:valAx>
        <c:axId val="208874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 claw sharpness (mm^2)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8741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 contact area (mm^2) from ln body mass (kg)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Terrestrial predators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5424256174239965E-2"/>
                  <c:y val="0.144356131331332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Sharpness!$G$45:$G$54</c:f>
              <c:numCache>
                <c:formatCode>0.00</c:formatCode>
                <c:ptCount val="10"/>
                <c:pt idx="0">
                  <c:v>8.8827664278612932</c:v>
                </c:pt>
                <c:pt idx="1">
                  <c:v>5.2983173665480363</c:v>
                </c:pt>
                <c:pt idx="2">
                  <c:v>4.6051701859880918</c:v>
                </c:pt>
                <c:pt idx="3">
                  <c:v>2.8088001042023532</c:v>
                </c:pt>
                <c:pt idx="4">
                  <c:v>2.631888840136646</c:v>
                </c:pt>
                <c:pt idx="5">
                  <c:v>2.4501426573516603</c:v>
                </c:pt>
                <c:pt idx="6">
                  <c:v>2.7408400239252009</c:v>
                </c:pt>
                <c:pt idx="7">
                  <c:v>3.1780538303479458</c:v>
                </c:pt>
                <c:pt idx="8">
                  <c:v>3.529297384289471</c:v>
                </c:pt>
                <c:pt idx="9">
                  <c:v>3.6542880093443171</c:v>
                </c:pt>
              </c:numCache>
            </c:numRef>
          </c:xVal>
          <c:yVal>
            <c:numRef>
              <c:f>Sharpness!$H$45:$H$54</c:f>
              <c:numCache>
                <c:formatCode>0.00</c:formatCode>
                <c:ptCount val="10"/>
                <c:pt idx="0">
                  <c:v>2.4024308375802703</c:v>
                </c:pt>
                <c:pt idx="1">
                  <c:v>2.3751011640298674</c:v>
                </c:pt>
                <c:pt idx="2">
                  <c:v>1.6462473225437662</c:v>
                </c:pt>
                <c:pt idx="3">
                  <c:v>0.27545691503251146</c:v>
                </c:pt>
                <c:pt idx="4">
                  <c:v>0.25371757055870381</c:v>
                </c:pt>
                <c:pt idx="5">
                  <c:v>0.59453997195678099</c:v>
                </c:pt>
                <c:pt idx="6">
                  <c:v>0.16431721272288996</c:v>
                </c:pt>
                <c:pt idx="7">
                  <c:v>0.40115272235183896</c:v>
                </c:pt>
                <c:pt idx="8">
                  <c:v>0.38513516313022683</c:v>
                </c:pt>
                <c:pt idx="9">
                  <c:v>0.56402528383408068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AA-4F7E-BE46-FEAD5CFD941D}"/>
            </c:ext>
          </c:extLst>
        </c:ser>
        <c:ser>
          <c:idx val="1"/>
          <c:order val="1"/>
          <c:tx>
            <c:v>Aquatic predators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7380890646269529E-2"/>
                  <c:y val="-9.403362106601444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Sharpness!$G$23:$G$44</c:f>
              <c:numCache>
                <c:formatCode>0.00</c:formatCode>
                <c:ptCount val="22"/>
                <c:pt idx="0">
                  <c:v>6.9161201953137645</c:v>
                </c:pt>
                <c:pt idx="1">
                  <c:v>4.8828019225863706</c:v>
                </c:pt>
                <c:pt idx="2">
                  <c:v>5.2040066870767951</c:v>
                </c:pt>
                <c:pt idx="3">
                  <c:v>2.9957322735539909</c:v>
                </c:pt>
                <c:pt idx="4">
                  <c:v>4.7004803657924166</c:v>
                </c:pt>
                <c:pt idx="5">
                  <c:v>4.4543472962535073</c:v>
                </c:pt>
                <c:pt idx="6">
                  <c:v>5.0369526024136295</c:v>
                </c:pt>
                <c:pt idx="7">
                  <c:v>5.3327187932653688</c:v>
                </c:pt>
                <c:pt idx="8">
                  <c:v>5.6058020662959978</c:v>
                </c:pt>
                <c:pt idx="9">
                  <c:v>3.9512437185814275</c:v>
                </c:pt>
                <c:pt idx="10">
                  <c:v>4.2341065045972597</c:v>
                </c:pt>
                <c:pt idx="11">
                  <c:v>2.8332133440562162</c:v>
                </c:pt>
                <c:pt idx="12">
                  <c:v>4.7184988712950942</c:v>
                </c:pt>
                <c:pt idx="13">
                  <c:v>4.9558270576012609</c:v>
                </c:pt>
                <c:pt idx="14">
                  <c:v>4.9558270576012609</c:v>
                </c:pt>
                <c:pt idx="15">
                  <c:v>2.6390573296152584</c:v>
                </c:pt>
                <c:pt idx="16">
                  <c:v>2.9957322735539909</c:v>
                </c:pt>
                <c:pt idx="17">
                  <c:v>3.4011973816621555</c:v>
                </c:pt>
                <c:pt idx="18">
                  <c:v>2.8903717578961645</c:v>
                </c:pt>
                <c:pt idx="19">
                  <c:v>4.0775374439057197</c:v>
                </c:pt>
                <c:pt idx="20">
                  <c:v>2.5649493574615367</c:v>
                </c:pt>
                <c:pt idx="21">
                  <c:v>3.0910424533583161</c:v>
                </c:pt>
              </c:numCache>
            </c:numRef>
          </c:xVal>
          <c:yVal>
            <c:numRef>
              <c:f>Sharpness!$H$23:$H$44</c:f>
              <c:numCache>
                <c:formatCode>0.00</c:formatCode>
                <c:ptCount val="22"/>
                <c:pt idx="0">
                  <c:v>3.7197077523547755</c:v>
                </c:pt>
                <c:pt idx="1">
                  <c:v>1.8467248749431366</c:v>
                </c:pt>
                <c:pt idx="2">
                  <c:v>1.1590034565322762</c:v>
                </c:pt>
                <c:pt idx="3">
                  <c:v>7.9808883310128319E-3</c:v>
                </c:pt>
                <c:pt idx="4">
                  <c:v>2.7561074960559893</c:v>
                </c:pt>
                <c:pt idx="5">
                  <c:v>1.4929290092936598</c:v>
                </c:pt>
                <c:pt idx="6">
                  <c:v>2.1913862563991851</c:v>
                </c:pt>
                <c:pt idx="7">
                  <c:v>2.3959896028552898</c:v>
                </c:pt>
                <c:pt idx="8">
                  <c:v>2.3028796004324872</c:v>
                </c:pt>
                <c:pt idx="9">
                  <c:v>1.4861106899838195</c:v>
                </c:pt>
                <c:pt idx="10">
                  <c:v>1.4681348220865982</c:v>
                </c:pt>
                <c:pt idx="11">
                  <c:v>1.0681530811834012</c:v>
                </c:pt>
                <c:pt idx="12">
                  <c:v>-0.2222773754263607</c:v>
                </c:pt>
                <c:pt idx="13">
                  <c:v>1.1300690318802376</c:v>
                </c:pt>
                <c:pt idx="14">
                  <c:v>2.1656910967901002</c:v>
                </c:pt>
                <c:pt idx="15">
                  <c:v>1.2671517059474675</c:v>
                </c:pt>
                <c:pt idx="16">
                  <c:v>1.0937520117858568</c:v>
                </c:pt>
                <c:pt idx="17">
                  <c:v>1.2717568918365436</c:v>
                </c:pt>
                <c:pt idx="18">
                  <c:v>0.85039863806545191</c:v>
                </c:pt>
                <c:pt idx="19">
                  <c:v>1.455062992220209</c:v>
                </c:pt>
                <c:pt idx="20">
                  <c:v>0.46140512399050376</c:v>
                </c:pt>
                <c:pt idx="21">
                  <c:v>0.47529620261150429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AA-4F7E-BE46-FEAD5CFD941D}"/>
            </c:ext>
          </c:extLst>
        </c:ser>
        <c:ser>
          <c:idx val="2"/>
          <c:order val="2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Sharpness!$G$23:$G$54</c:f>
              <c:numCache>
                <c:formatCode>0.00</c:formatCode>
                <c:ptCount val="32"/>
                <c:pt idx="0">
                  <c:v>6.9161201953137645</c:v>
                </c:pt>
                <c:pt idx="1">
                  <c:v>4.8828019225863706</c:v>
                </c:pt>
                <c:pt idx="2">
                  <c:v>5.2040066870767951</c:v>
                </c:pt>
                <c:pt idx="3">
                  <c:v>2.9957322735539909</c:v>
                </c:pt>
                <c:pt idx="4">
                  <c:v>4.7004803657924166</c:v>
                </c:pt>
                <c:pt idx="5">
                  <c:v>4.4543472962535073</c:v>
                </c:pt>
                <c:pt idx="6">
                  <c:v>5.0369526024136295</c:v>
                </c:pt>
                <c:pt idx="7">
                  <c:v>5.3327187932653688</c:v>
                </c:pt>
                <c:pt idx="8">
                  <c:v>5.6058020662959978</c:v>
                </c:pt>
                <c:pt idx="9">
                  <c:v>3.9512437185814275</c:v>
                </c:pt>
                <c:pt idx="10">
                  <c:v>4.2341065045972597</c:v>
                </c:pt>
                <c:pt idx="11">
                  <c:v>2.8332133440562162</c:v>
                </c:pt>
                <c:pt idx="12">
                  <c:v>4.7184988712950942</c:v>
                </c:pt>
                <c:pt idx="13">
                  <c:v>4.9558270576012609</c:v>
                </c:pt>
                <c:pt idx="14">
                  <c:v>4.9558270576012609</c:v>
                </c:pt>
                <c:pt idx="15">
                  <c:v>2.6390573296152584</c:v>
                </c:pt>
                <c:pt idx="16">
                  <c:v>2.9957322735539909</c:v>
                </c:pt>
                <c:pt idx="17">
                  <c:v>3.4011973816621555</c:v>
                </c:pt>
                <c:pt idx="18">
                  <c:v>2.8903717578961645</c:v>
                </c:pt>
                <c:pt idx="19">
                  <c:v>4.0775374439057197</c:v>
                </c:pt>
                <c:pt idx="20">
                  <c:v>2.5649493574615367</c:v>
                </c:pt>
                <c:pt idx="21">
                  <c:v>3.0910424533583161</c:v>
                </c:pt>
                <c:pt idx="22">
                  <c:v>8.8827664278612932</c:v>
                </c:pt>
                <c:pt idx="23">
                  <c:v>5.2983173665480363</c:v>
                </c:pt>
                <c:pt idx="24">
                  <c:v>4.6051701859880918</c:v>
                </c:pt>
                <c:pt idx="25">
                  <c:v>2.8088001042023532</c:v>
                </c:pt>
                <c:pt idx="26">
                  <c:v>2.631888840136646</c:v>
                </c:pt>
                <c:pt idx="27">
                  <c:v>2.4501426573516603</c:v>
                </c:pt>
                <c:pt idx="28">
                  <c:v>2.7408400239252009</c:v>
                </c:pt>
                <c:pt idx="29">
                  <c:v>3.1780538303479458</c:v>
                </c:pt>
                <c:pt idx="30">
                  <c:v>3.529297384289471</c:v>
                </c:pt>
                <c:pt idx="31">
                  <c:v>3.6542880093443171</c:v>
                </c:pt>
              </c:numCache>
            </c:numRef>
          </c:xVal>
          <c:yVal>
            <c:numRef>
              <c:f>Sharpness!$H$23:$H$54</c:f>
              <c:numCache>
                <c:formatCode>0.00</c:formatCode>
                <c:ptCount val="32"/>
                <c:pt idx="0">
                  <c:v>3.7197077523547755</c:v>
                </c:pt>
                <c:pt idx="1">
                  <c:v>1.8467248749431366</c:v>
                </c:pt>
                <c:pt idx="2">
                  <c:v>1.1590034565322762</c:v>
                </c:pt>
                <c:pt idx="3">
                  <c:v>7.9808883310128319E-3</c:v>
                </c:pt>
                <c:pt idx="4">
                  <c:v>2.7561074960559893</c:v>
                </c:pt>
                <c:pt idx="5">
                  <c:v>1.4929290092936598</c:v>
                </c:pt>
                <c:pt idx="6">
                  <c:v>2.1913862563991851</c:v>
                </c:pt>
                <c:pt idx="7">
                  <c:v>2.3959896028552898</c:v>
                </c:pt>
                <c:pt idx="8">
                  <c:v>2.3028796004324872</c:v>
                </c:pt>
                <c:pt idx="9">
                  <c:v>1.4861106899838195</c:v>
                </c:pt>
                <c:pt idx="10">
                  <c:v>1.4681348220865982</c:v>
                </c:pt>
                <c:pt idx="11">
                  <c:v>1.0681530811834012</c:v>
                </c:pt>
                <c:pt idx="12">
                  <c:v>-0.2222773754263607</c:v>
                </c:pt>
                <c:pt idx="13">
                  <c:v>1.1300690318802376</c:v>
                </c:pt>
                <c:pt idx="14">
                  <c:v>2.1656910967901002</c:v>
                </c:pt>
                <c:pt idx="15">
                  <c:v>1.2671517059474675</c:v>
                </c:pt>
                <c:pt idx="16">
                  <c:v>1.0937520117858568</c:v>
                </c:pt>
                <c:pt idx="17">
                  <c:v>1.2717568918365436</c:v>
                </c:pt>
                <c:pt idx="18">
                  <c:v>0.85039863806545191</c:v>
                </c:pt>
                <c:pt idx="19">
                  <c:v>1.455062992220209</c:v>
                </c:pt>
                <c:pt idx="20">
                  <c:v>0.46140512399050376</c:v>
                </c:pt>
                <c:pt idx="21">
                  <c:v>0.47529620261150429</c:v>
                </c:pt>
                <c:pt idx="22">
                  <c:v>2.4024308375802703</c:v>
                </c:pt>
                <c:pt idx="23">
                  <c:v>2.3751011640298674</c:v>
                </c:pt>
                <c:pt idx="24">
                  <c:v>1.6462473225437662</c:v>
                </c:pt>
                <c:pt idx="25">
                  <c:v>0.27545691503251146</c:v>
                </c:pt>
                <c:pt idx="26">
                  <c:v>0.25371757055870381</c:v>
                </c:pt>
                <c:pt idx="27">
                  <c:v>0.59453997195678099</c:v>
                </c:pt>
                <c:pt idx="28">
                  <c:v>0.16431721272288996</c:v>
                </c:pt>
                <c:pt idx="29">
                  <c:v>0.40115272235183896</c:v>
                </c:pt>
                <c:pt idx="30">
                  <c:v>0.38513516313022683</c:v>
                </c:pt>
                <c:pt idx="31">
                  <c:v>0.56402528383408068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AA-4F7E-BE46-FEAD5CFD9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610271"/>
        <c:axId val="1122610687"/>
      </c:scatterChart>
      <c:valAx>
        <c:axId val="112261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 body mass (kg)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2610687"/>
        <c:crosses val="autoZero"/>
        <c:crossBetween val="midCat"/>
      </c:valAx>
      <c:valAx>
        <c:axId val="112261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 contact area (mm^2)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2610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Limb force vs body mass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2609938870230159E-2"/>
                  <c:y val="0.175509259259259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'Limb force'!$E$3:$E$54</c:f>
              <c:numCache>
                <c:formatCode>0.00</c:formatCode>
                <c:ptCount val="52"/>
                <c:pt idx="0">
                  <c:v>6.4922398350204711</c:v>
                </c:pt>
                <c:pt idx="1">
                  <c:v>6.5072777123850116</c:v>
                </c:pt>
                <c:pt idx="2">
                  <c:v>6.3199686140800182</c:v>
                </c:pt>
                <c:pt idx="3">
                  <c:v>4.4176350621412492</c:v>
                </c:pt>
                <c:pt idx="4">
                  <c:v>1.3762440252663892</c:v>
                </c:pt>
                <c:pt idx="5">
                  <c:v>4.2835865618606288</c:v>
                </c:pt>
                <c:pt idx="6">
                  <c:v>4.4176350621412492</c:v>
                </c:pt>
                <c:pt idx="7">
                  <c:v>0.33454180310426512</c:v>
                </c:pt>
                <c:pt idx="8">
                  <c:v>0.47000362924573563</c:v>
                </c:pt>
                <c:pt idx="9">
                  <c:v>-1.8918008234082815</c:v>
                </c:pt>
                <c:pt idx="10">
                  <c:v>-0.24423951460894419</c:v>
                </c:pt>
                <c:pt idx="11">
                  <c:v>-2.1029148978654781</c:v>
                </c:pt>
                <c:pt idx="12">
                  <c:v>-0.47160491061270937</c:v>
                </c:pt>
                <c:pt idx="13">
                  <c:v>0.30571843493787942</c:v>
                </c:pt>
                <c:pt idx="14">
                  <c:v>4.499809670330265</c:v>
                </c:pt>
                <c:pt idx="15">
                  <c:v>4.6051701859880918</c:v>
                </c:pt>
                <c:pt idx="16">
                  <c:v>7.461640392208575</c:v>
                </c:pt>
                <c:pt idx="17">
                  <c:v>0.87546873735389985</c:v>
                </c:pt>
                <c:pt idx="18">
                  <c:v>7.8240460108562919</c:v>
                </c:pt>
                <c:pt idx="19">
                  <c:v>3.2367157429965316</c:v>
                </c:pt>
                <c:pt idx="20">
                  <c:v>4.2180360345646504</c:v>
                </c:pt>
                <c:pt idx="21">
                  <c:v>3.8628327612373745</c:v>
                </c:pt>
                <c:pt idx="22">
                  <c:v>3.3286266888273199</c:v>
                </c:pt>
                <c:pt idx="23">
                  <c:v>3.7565381025877511</c:v>
                </c:pt>
                <c:pt idx="24">
                  <c:v>4.2106450179182611</c:v>
                </c:pt>
                <c:pt idx="25">
                  <c:v>4.2442003177664782</c:v>
                </c:pt>
                <c:pt idx="26">
                  <c:v>4.4042772436087017</c:v>
                </c:pt>
                <c:pt idx="27">
                  <c:v>4.1682144107885559</c:v>
                </c:pt>
                <c:pt idx="28">
                  <c:v>3.6635616461296463</c:v>
                </c:pt>
                <c:pt idx="29">
                  <c:v>6.4614681763537174</c:v>
                </c:pt>
                <c:pt idx="30">
                  <c:v>3.1041381473977774</c:v>
                </c:pt>
                <c:pt idx="31">
                  <c:v>-2.8949823704538478</c:v>
                </c:pt>
                <c:pt idx="32">
                  <c:v>4.1190371748124726</c:v>
                </c:pt>
                <c:pt idx="33">
                  <c:v>4.4176350621412492</c:v>
                </c:pt>
                <c:pt idx="34">
                  <c:v>3.5263605246161616</c:v>
                </c:pt>
                <c:pt idx="35">
                  <c:v>-1.3862943611198906</c:v>
                </c:pt>
                <c:pt idx="36">
                  <c:v>3.708682081410116</c:v>
                </c:pt>
                <c:pt idx="37">
                  <c:v>3.3357695763396999</c:v>
                </c:pt>
                <c:pt idx="38">
                  <c:v>3.5263605246161616</c:v>
                </c:pt>
                <c:pt idx="39">
                  <c:v>3.4995332823830174</c:v>
                </c:pt>
                <c:pt idx="40">
                  <c:v>3.5667118201397288</c:v>
                </c:pt>
                <c:pt idx="41">
                  <c:v>3.3357695763396999</c:v>
                </c:pt>
                <c:pt idx="42">
                  <c:v>3.5263605246161616</c:v>
                </c:pt>
                <c:pt idx="43">
                  <c:v>3.6027767550605247</c:v>
                </c:pt>
                <c:pt idx="44">
                  <c:v>3.5145260669691587</c:v>
                </c:pt>
                <c:pt idx="45">
                  <c:v>3.3032169733019514</c:v>
                </c:pt>
                <c:pt idx="46">
                  <c:v>3.3214324131932926</c:v>
                </c:pt>
                <c:pt idx="47">
                  <c:v>3.4436180975461075</c:v>
                </c:pt>
                <c:pt idx="48">
                  <c:v>3.5263605246161616</c:v>
                </c:pt>
                <c:pt idx="49">
                  <c:v>3.5835189384561099</c:v>
                </c:pt>
                <c:pt idx="50">
                  <c:v>6.4614681763537174</c:v>
                </c:pt>
                <c:pt idx="51">
                  <c:v>7.6796830926097099</c:v>
                </c:pt>
              </c:numCache>
            </c:numRef>
          </c:xVal>
          <c:yVal>
            <c:numRef>
              <c:f>'Limb force'!$F$3:$F$54</c:f>
              <c:numCache>
                <c:formatCode>0.00</c:formatCode>
                <c:ptCount val="52"/>
                <c:pt idx="0">
                  <c:v>9.0736038484027119</c:v>
                </c:pt>
                <c:pt idx="1">
                  <c:v>8.9625198329495319</c:v>
                </c:pt>
                <c:pt idx="2">
                  <c:v>9.2103403719761836</c:v>
                </c:pt>
                <c:pt idx="3">
                  <c:v>8.7498909555352586</c:v>
                </c:pt>
                <c:pt idx="4">
                  <c:v>5.2729995585637468</c:v>
                </c:pt>
                <c:pt idx="5">
                  <c:v>7.6591713676660582</c:v>
                </c:pt>
                <c:pt idx="6">
                  <c:v>7.8244459308776193</c:v>
                </c:pt>
                <c:pt idx="7">
                  <c:v>4.8706066494925526</c:v>
                </c:pt>
                <c:pt idx="8">
                  <c:v>5.6265413943127536</c:v>
                </c:pt>
                <c:pt idx="9">
                  <c:v>2.9412760877579323</c:v>
                </c:pt>
                <c:pt idx="10">
                  <c:v>3.8137484361598055</c:v>
                </c:pt>
                <c:pt idx="11">
                  <c:v>2.0451088625993306</c:v>
                </c:pt>
                <c:pt idx="12">
                  <c:v>3.5386377907833935</c:v>
                </c:pt>
                <c:pt idx="13">
                  <c:v>4.2811007160839214</c:v>
                </c:pt>
                <c:pt idx="14">
                  <c:v>7.6704285221906927</c:v>
                </c:pt>
                <c:pt idx="15">
                  <c:v>8.1315307106042525</c:v>
                </c:pt>
                <c:pt idx="16">
                  <c:v>10.043249494911286</c:v>
                </c:pt>
                <c:pt idx="17">
                  <c:v>4.6171444870330207</c:v>
                </c:pt>
                <c:pt idx="18">
                  <c:v>10.107106737835897</c:v>
                </c:pt>
                <c:pt idx="19">
                  <c:v>5.4962251577939858</c:v>
                </c:pt>
                <c:pt idx="20">
                  <c:v>8.6317710961236731</c:v>
                </c:pt>
                <c:pt idx="21">
                  <c:v>7.6810990015363592</c:v>
                </c:pt>
                <c:pt idx="22">
                  <c:v>7.0535857271936768</c:v>
                </c:pt>
                <c:pt idx="23">
                  <c:v>7.3588308983423536</c:v>
                </c:pt>
                <c:pt idx="24">
                  <c:v>7.6893711075296904</c:v>
                </c:pt>
                <c:pt idx="25">
                  <c:v>7.7561953439481179</c:v>
                </c:pt>
                <c:pt idx="26">
                  <c:v>6.7912214627261855</c:v>
                </c:pt>
                <c:pt idx="27">
                  <c:v>7.3569182423560209</c:v>
                </c:pt>
                <c:pt idx="28">
                  <c:v>4.9790383468475454</c:v>
                </c:pt>
                <c:pt idx="29">
                  <c:v>9.0264175338152537</c:v>
                </c:pt>
                <c:pt idx="30">
                  <c:v>6.6340218700212557</c:v>
                </c:pt>
                <c:pt idx="31">
                  <c:v>0.27184589669435139</c:v>
                </c:pt>
                <c:pt idx="32">
                  <c:v>7.2350070247271807</c:v>
                </c:pt>
                <c:pt idx="33">
                  <c:v>8.4186979446671391</c:v>
                </c:pt>
                <c:pt idx="34">
                  <c:v>6.7649326966232017</c:v>
                </c:pt>
                <c:pt idx="35">
                  <c:v>3.7871381237558785</c:v>
                </c:pt>
                <c:pt idx="36">
                  <c:v>7.6225660991781083</c:v>
                </c:pt>
                <c:pt idx="37">
                  <c:v>7.3003377612592875</c:v>
                </c:pt>
                <c:pt idx="38">
                  <c:v>7.1771715426270255</c:v>
                </c:pt>
                <c:pt idx="39">
                  <c:v>7.1155821261844538</c:v>
                </c:pt>
                <c:pt idx="40">
                  <c:v>7.2668273475205911</c:v>
                </c:pt>
                <c:pt idx="41">
                  <c:v>7.1563326315531572</c:v>
                </c:pt>
                <c:pt idx="42">
                  <c:v>7.0101313455990031</c:v>
                </c:pt>
                <c:pt idx="43">
                  <c:v>7.4127036655752514</c:v>
                </c:pt>
                <c:pt idx="44">
                  <c:v>7.3204607787457956</c:v>
                </c:pt>
                <c:pt idx="45">
                  <c:v>6.9028432346211162</c:v>
                </c:pt>
                <c:pt idx="46">
                  <c:v>7.0978796478391128</c:v>
                </c:pt>
                <c:pt idx="47">
                  <c:v>7.1221405886224476</c:v>
                </c:pt>
                <c:pt idx="48">
                  <c:v>7.1357669616932071</c:v>
                </c:pt>
                <c:pt idx="49">
                  <c:v>7.0387835413885416</c:v>
                </c:pt>
                <c:pt idx="50">
                  <c:v>9.234056898593499</c:v>
                </c:pt>
                <c:pt idx="51">
                  <c:v>10.609847064568209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74DB-4DDD-8BCD-D1F2311A3DBE}"/>
            </c:ext>
          </c:extLst>
        </c:ser>
        <c:ser>
          <c:idx val="1"/>
          <c:order val="1"/>
          <c:tx>
            <c:v>Fighting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481179503127285"/>
                  <c:y val="0.2012989309298724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Fighting: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0.7932x + 4.2803</a:t>
                    </a:r>
                    <a:br>
                      <a:rPr lang="en-US" baseline="0"/>
                    </a:br>
                    <a:r>
                      <a:rPr lang="en-US" baseline="0"/>
                      <a:t>R² = 0.9659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'Limb force'!$E$3:$E$18</c:f>
              <c:numCache>
                <c:formatCode>0.00</c:formatCode>
                <c:ptCount val="16"/>
                <c:pt idx="0">
                  <c:v>6.4922398350204711</c:v>
                </c:pt>
                <c:pt idx="1">
                  <c:v>6.5072777123850116</c:v>
                </c:pt>
                <c:pt idx="2">
                  <c:v>6.3199686140800182</c:v>
                </c:pt>
                <c:pt idx="3">
                  <c:v>4.4176350621412492</c:v>
                </c:pt>
                <c:pt idx="4">
                  <c:v>1.3762440252663892</c:v>
                </c:pt>
                <c:pt idx="5">
                  <c:v>4.2835865618606288</c:v>
                </c:pt>
                <c:pt idx="6">
                  <c:v>4.4176350621412492</c:v>
                </c:pt>
                <c:pt idx="7">
                  <c:v>0.33454180310426512</c:v>
                </c:pt>
                <c:pt idx="8">
                  <c:v>0.47000362924573563</c:v>
                </c:pt>
                <c:pt idx="9">
                  <c:v>-1.8918008234082815</c:v>
                </c:pt>
                <c:pt idx="10">
                  <c:v>-0.24423951460894419</c:v>
                </c:pt>
                <c:pt idx="11">
                  <c:v>-2.1029148978654781</c:v>
                </c:pt>
                <c:pt idx="12">
                  <c:v>-0.47160491061270937</c:v>
                </c:pt>
                <c:pt idx="13">
                  <c:v>0.30571843493787942</c:v>
                </c:pt>
                <c:pt idx="14">
                  <c:v>4.499809670330265</c:v>
                </c:pt>
                <c:pt idx="15">
                  <c:v>4.6051701859880918</c:v>
                </c:pt>
              </c:numCache>
            </c:numRef>
          </c:xVal>
          <c:yVal>
            <c:numRef>
              <c:f>'Limb force'!$F$3:$F$18</c:f>
              <c:numCache>
                <c:formatCode>0.00</c:formatCode>
                <c:ptCount val="16"/>
                <c:pt idx="0">
                  <c:v>9.0736038484027119</c:v>
                </c:pt>
                <c:pt idx="1">
                  <c:v>8.9625198329495319</c:v>
                </c:pt>
                <c:pt idx="2">
                  <c:v>9.2103403719761836</c:v>
                </c:pt>
                <c:pt idx="3">
                  <c:v>8.7498909555352586</c:v>
                </c:pt>
                <c:pt idx="4">
                  <c:v>5.2729995585637468</c:v>
                </c:pt>
                <c:pt idx="5">
                  <c:v>7.6591713676660582</c:v>
                </c:pt>
                <c:pt idx="6">
                  <c:v>7.8244459308776193</c:v>
                </c:pt>
                <c:pt idx="7">
                  <c:v>4.8706066494925526</c:v>
                </c:pt>
                <c:pt idx="8">
                  <c:v>5.6265413943127536</c:v>
                </c:pt>
                <c:pt idx="9">
                  <c:v>2.9412760877579323</c:v>
                </c:pt>
                <c:pt idx="10">
                  <c:v>3.8137484361598055</c:v>
                </c:pt>
                <c:pt idx="11">
                  <c:v>2.0451088625993306</c:v>
                </c:pt>
                <c:pt idx="12">
                  <c:v>3.5386377907833935</c:v>
                </c:pt>
                <c:pt idx="13">
                  <c:v>4.2811007160839214</c:v>
                </c:pt>
                <c:pt idx="14">
                  <c:v>7.6704285221906927</c:v>
                </c:pt>
                <c:pt idx="15">
                  <c:v>8.1315307106042525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DB-4DDD-8BCD-D1F2311A3DBE}"/>
            </c:ext>
          </c:extLst>
        </c:ser>
        <c:ser>
          <c:idx val="2"/>
          <c:order val="2"/>
          <c:tx>
            <c:v>Locomotion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1034352701195434E-2"/>
                  <c:y val="-3.700874862387874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Locomotion: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0.8439x + 3.9957</a:t>
                    </a:r>
                    <a:br>
                      <a:rPr lang="en-US" baseline="0"/>
                    </a:br>
                    <a:r>
                      <a:rPr lang="en-US" baseline="0"/>
                      <a:t>R² = 0.8852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'Limb force'!$E$19:$E$54</c:f>
              <c:numCache>
                <c:formatCode>0.00</c:formatCode>
                <c:ptCount val="36"/>
                <c:pt idx="0">
                  <c:v>7.461640392208575</c:v>
                </c:pt>
                <c:pt idx="1">
                  <c:v>0.87546873735389985</c:v>
                </c:pt>
                <c:pt idx="2">
                  <c:v>7.8240460108562919</c:v>
                </c:pt>
                <c:pt idx="3">
                  <c:v>3.2367157429965316</c:v>
                </c:pt>
                <c:pt idx="4">
                  <c:v>4.2180360345646504</c:v>
                </c:pt>
                <c:pt idx="5">
                  <c:v>3.8628327612373745</c:v>
                </c:pt>
                <c:pt idx="6">
                  <c:v>3.3286266888273199</c:v>
                </c:pt>
                <c:pt idx="7">
                  <c:v>3.7565381025877511</c:v>
                </c:pt>
                <c:pt idx="8">
                  <c:v>4.2106450179182611</c:v>
                </c:pt>
                <c:pt idx="9">
                  <c:v>4.2442003177664782</c:v>
                </c:pt>
                <c:pt idx="10">
                  <c:v>4.4042772436087017</c:v>
                </c:pt>
                <c:pt idx="11">
                  <c:v>4.1682144107885559</c:v>
                </c:pt>
                <c:pt idx="12">
                  <c:v>3.6635616461296463</c:v>
                </c:pt>
                <c:pt idx="13">
                  <c:v>6.4614681763537174</c:v>
                </c:pt>
                <c:pt idx="14">
                  <c:v>3.1041381473977774</c:v>
                </c:pt>
                <c:pt idx="15">
                  <c:v>-2.8949823704538478</c:v>
                </c:pt>
                <c:pt idx="16">
                  <c:v>4.1190371748124726</c:v>
                </c:pt>
                <c:pt idx="17">
                  <c:v>4.4176350621412492</c:v>
                </c:pt>
                <c:pt idx="18">
                  <c:v>3.5263605246161616</c:v>
                </c:pt>
                <c:pt idx="19">
                  <c:v>-1.3862943611198906</c:v>
                </c:pt>
                <c:pt idx="20">
                  <c:v>3.708682081410116</c:v>
                </c:pt>
                <c:pt idx="21">
                  <c:v>3.3357695763396999</c:v>
                </c:pt>
                <c:pt idx="22">
                  <c:v>3.5263605246161616</c:v>
                </c:pt>
                <c:pt idx="23">
                  <c:v>3.4995332823830174</c:v>
                </c:pt>
                <c:pt idx="24">
                  <c:v>3.5667118201397288</c:v>
                </c:pt>
                <c:pt idx="25">
                  <c:v>3.3357695763396999</c:v>
                </c:pt>
                <c:pt idx="26">
                  <c:v>3.5263605246161616</c:v>
                </c:pt>
                <c:pt idx="27">
                  <c:v>3.6027767550605247</c:v>
                </c:pt>
                <c:pt idx="28">
                  <c:v>3.5145260669691587</c:v>
                </c:pt>
                <c:pt idx="29">
                  <c:v>3.3032169733019514</c:v>
                </c:pt>
                <c:pt idx="30">
                  <c:v>3.3214324131932926</c:v>
                </c:pt>
                <c:pt idx="31">
                  <c:v>3.4436180975461075</c:v>
                </c:pt>
                <c:pt idx="32">
                  <c:v>3.5263605246161616</c:v>
                </c:pt>
                <c:pt idx="33">
                  <c:v>3.5835189384561099</c:v>
                </c:pt>
                <c:pt idx="34">
                  <c:v>6.4614681763537174</c:v>
                </c:pt>
                <c:pt idx="35">
                  <c:v>7.6796830926097099</c:v>
                </c:pt>
              </c:numCache>
            </c:numRef>
          </c:xVal>
          <c:yVal>
            <c:numRef>
              <c:f>'Limb force'!$F$19:$F$54</c:f>
              <c:numCache>
                <c:formatCode>0.00</c:formatCode>
                <c:ptCount val="36"/>
                <c:pt idx="0">
                  <c:v>10.043249494911286</c:v>
                </c:pt>
                <c:pt idx="1">
                  <c:v>4.6171444870330207</c:v>
                </c:pt>
                <c:pt idx="2">
                  <c:v>10.107106737835897</c:v>
                </c:pt>
                <c:pt idx="3">
                  <c:v>5.4962251577939858</c:v>
                </c:pt>
                <c:pt idx="4">
                  <c:v>8.6317710961236731</c:v>
                </c:pt>
                <c:pt idx="5">
                  <c:v>7.6810990015363592</c:v>
                </c:pt>
                <c:pt idx="6">
                  <c:v>7.0535857271936768</c:v>
                </c:pt>
                <c:pt idx="7">
                  <c:v>7.3588308983423536</c:v>
                </c:pt>
                <c:pt idx="8">
                  <c:v>7.6893711075296904</c:v>
                </c:pt>
                <c:pt idx="9">
                  <c:v>7.7561953439481179</c:v>
                </c:pt>
                <c:pt idx="10">
                  <c:v>6.7912214627261855</c:v>
                </c:pt>
                <c:pt idx="11">
                  <c:v>7.3569182423560209</c:v>
                </c:pt>
                <c:pt idx="12">
                  <c:v>4.9790383468475454</c:v>
                </c:pt>
                <c:pt idx="13">
                  <c:v>9.0264175338152537</c:v>
                </c:pt>
                <c:pt idx="14">
                  <c:v>6.6340218700212557</c:v>
                </c:pt>
                <c:pt idx="15">
                  <c:v>0.27184589669435139</c:v>
                </c:pt>
                <c:pt idx="16">
                  <c:v>7.2350070247271807</c:v>
                </c:pt>
                <c:pt idx="17">
                  <c:v>8.4186979446671391</c:v>
                </c:pt>
                <c:pt idx="18">
                  <c:v>6.7649326966232017</c:v>
                </c:pt>
                <c:pt idx="19">
                  <c:v>3.7871381237558785</c:v>
                </c:pt>
                <c:pt idx="20">
                  <c:v>7.6225660991781083</c:v>
                </c:pt>
                <c:pt idx="21">
                  <c:v>7.3003377612592875</c:v>
                </c:pt>
                <c:pt idx="22">
                  <c:v>7.1771715426270255</c:v>
                </c:pt>
                <c:pt idx="23">
                  <c:v>7.1155821261844538</c:v>
                </c:pt>
                <c:pt idx="24">
                  <c:v>7.2668273475205911</c:v>
                </c:pt>
                <c:pt idx="25">
                  <c:v>7.1563326315531572</c:v>
                </c:pt>
                <c:pt idx="26">
                  <c:v>7.0101313455990031</c:v>
                </c:pt>
                <c:pt idx="27">
                  <c:v>7.4127036655752514</c:v>
                </c:pt>
                <c:pt idx="28">
                  <c:v>7.3204607787457956</c:v>
                </c:pt>
                <c:pt idx="29">
                  <c:v>6.9028432346211162</c:v>
                </c:pt>
                <c:pt idx="30">
                  <c:v>7.0978796478391128</c:v>
                </c:pt>
                <c:pt idx="31">
                  <c:v>7.1221405886224476</c:v>
                </c:pt>
                <c:pt idx="32">
                  <c:v>7.1357669616932071</c:v>
                </c:pt>
                <c:pt idx="33">
                  <c:v>7.0387835413885416</c:v>
                </c:pt>
                <c:pt idx="34">
                  <c:v>9.234056898593499</c:v>
                </c:pt>
                <c:pt idx="35">
                  <c:v>10.609847064568209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DB-4DDD-8BCD-D1F2311A3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466192"/>
        <c:axId val="2011464528"/>
        <c:extLst/>
      </c:scatterChart>
      <c:valAx>
        <c:axId val="201146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Body mass (kg)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1464528"/>
        <c:crosses val="autoZero"/>
        <c:crossBetween val="midCat"/>
      </c:valAx>
      <c:valAx>
        <c:axId val="201146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Limb-produced force (N)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1466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Force-enegy ratio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395402962698725"/>
                  <c:y val="0.149186351706036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'Force-energy'!$I$3:$I$25</c:f>
              <c:numCache>
                <c:formatCode>General</c:formatCode>
                <c:ptCount val="23"/>
                <c:pt idx="0">
                  <c:v>8.2935495150603451</c:v>
                </c:pt>
                <c:pt idx="1">
                  <c:v>8.6695708718371201</c:v>
                </c:pt>
                <c:pt idx="2">
                  <c:v>8.8972721131339867</c:v>
                </c:pt>
                <c:pt idx="3">
                  <c:v>9.0818249497407546</c:v>
                </c:pt>
                <c:pt idx="4">
                  <c:v>8.9167743563654263</c:v>
                </c:pt>
                <c:pt idx="5">
                  <c:v>9.3118133409068164</c:v>
                </c:pt>
                <c:pt idx="6">
                  <c:v>9.5421589399160478</c:v>
                </c:pt>
                <c:pt idx="7">
                  <c:v>9.6940003276694036</c:v>
                </c:pt>
                <c:pt idx="8">
                  <c:v>9.0921197405887515</c:v>
                </c:pt>
                <c:pt idx="9">
                  <c:v>9.5362570946578789</c:v>
                </c:pt>
                <c:pt idx="10">
                  <c:v>9.7186628655240543</c:v>
                </c:pt>
                <c:pt idx="11">
                  <c:v>9.8281172455113506</c:v>
                </c:pt>
                <c:pt idx="12">
                  <c:v>9.3100046950891286</c:v>
                </c:pt>
                <c:pt idx="13">
                  <c:v>9.7334107221586113</c:v>
                </c:pt>
                <c:pt idx="14">
                  <c:v>9.9341137460778892</c:v>
                </c:pt>
                <c:pt idx="15">
                  <c:v>9.9738994167764936</c:v>
                </c:pt>
                <c:pt idx="16">
                  <c:v>7.8244459308776193</c:v>
                </c:pt>
                <c:pt idx="17">
                  <c:v>8.3452179266764279</c:v>
                </c:pt>
                <c:pt idx="18">
                  <c:v>8.4504121577258857</c:v>
                </c:pt>
                <c:pt idx="19">
                  <c:v>8.7498909555352586</c:v>
                </c:pt>
                <c:pt idx="20">
                  <c:v>5.2729995585637468</c:v>
                </c:pt>
                <c:pt idx="21">
                  <c:v>7.6591713676660582</c:v>
                </c:pt>
                <c:pt idx="22">
                  <c:v>8.0968174705723186</c:v>
                </c:pt>
              </c:numCache>
            </c:numRef>
          </c:xVal>
          <c:yVal>
            <c:numRef>
              <c:f>'Force-energy'!$H$3:$H$25</c:f>
              <c:numCache>
                <c:formatCode>General</c:formatCode>
                <c:ptCount val="23"/>
                <c:pt idx="0">
                  <c:v>3.4657359027997265</c:v>
                </c:pt>
                <c:pt idx="1">
                  <c:v>4.1588830833596715</c:v>
                </c:pt>
                <c:pt idx="2">
                  <c:v>4.5643481914678361</c:v>
                </c:pt>
                <c:pt idx="3">
                  <c:v>4.8520302639196169</c:v>
                </c:pt>
                <c:pt idx="4">
                  <c:v>4.3944491546724391</c:v>
                </c:pt>
                <c:pt idx="5">
                  <c:v>5.0875963352323836</c:v>
                </c:pt>
                <c:pt idx="6">
                  <c:v>5.4930614433405482</c:v>
                </c:pt>
                <c:pt idx="7">
                  <c:v>5.780743515792329</c:v>
                </c:pt>
                <c:pt idx="8">
                  <c:v>4.8675344504555822</c:v>
                </c:pt>
                <c:pt idx="9">
                  <c:v>5.5606816310155276</c:v>
                </c:pt>
                <c:pt idx="10">
                  <c:v>5.9661467391236922</c:v>
                </c:pt>
                <c:pt idx="11">
                  <c:v>6.253828811575473</c:v>
                </c:pt>
                <c:pt idx="12">
                  <c:v>5.1873858058407549</c:v>
                </c:pt>
                <c:pt idx="13">
                  <c:v>5.8805329864007003</c:v>
                </c:pt>
                <c:pt idx="14">
                  <c:v>6.2859980945088649</c:v>
                </c:pt>
                <c:pt idx="15">
                  <c:v>6.5736801669606457</c:v>
                </c:pt>
                <c:pt idx="16">
                  <c:v>3.3308533412086612</c:v>
                </c:pt>
                <c:pt idx="17">
                  <c:v>3.0437569994726736</c:v>
                </c:pt>
                <c:pt idx="18">
                  <c:v>3.3768323776580589</c:v>
                </c:pt>
                <c:pt idx="19">
                  <c:v>6.7397712972372839</c:v>
                </c:pt>
                <c:pt idx="20">
                  <c:v>7.7197755541305202E-2</c:v>
                </c:pt>
                <c:pt idx="21">
                  <c:v>6.3295426365142911</c:v>
                </c:pt>
                <c:pt idx="22">
                  <c:v>7.7402295247631816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B6-4552-A720-87F89F07E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331824"/>
        <c:axId val="951338480"/>
      </c:scatterChart>
      <c:valAx>
        <c:axId val="95133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Force (N)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1338480"/>
        <c:crosses val="autoZero"/>
        <c:crossBetween val="midCat"/>
      </c:valAx>
      <c:valAx>
        <c:axId val="95133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Energy (j)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133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ln speed (km/h) from ln body mass (kg)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Non-human mammals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7.1119397082800101E-2"/>
                  <c:y val="-6.53823882394375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Speed!$F$3:$F$145</c:f>
              <c:numCache>
                <c:formatCode>0.00</c:formatCode>
                <c:ptCount val="143"/>
                <c:pt idx="0">
                  <c:v>8.6995147482101913</c:v>
                </c:pt>
                <c:pt idx="1">
                  <c:v>8.2940496401020276</c:v>
                </c:pt>
                <c:pt idx="2">
                  <c:v>7.6009024595420822</c:v>
                </c:pt>
                <c:pt idx="3">
                  <c:v>7.0900768357760917</c:v>
                </c:pt>
                <c:pt idx="4">
                  <c:v>5.857933154483459</c:v>
                </c:pt>
                <c:pt idx="5">
                  <c:v>5.7037824746562009</c:v>
                </c:pt>
                <c:pt idx="6">
                  <c:v>5.521460917862246</c:v>
                </c:pt>
                <c:pt idx="7">
                  <c:v>5.4595855141441589</c:v>
                </c:pt>
                <c:pt idx="8">
                  <c:v>5.2983173665480363</c:v>
                </c:pt>
                <c:pt idx="9">
                  <c:v>8.2427563457144775</c:v>
                </c:pt>
                <c:pt idx="10">
                  <c:v>6.9800759405617629</c:v>
                </c:pt>
                <c:pt idx="11">
                  <c:v>6.7627295069318789</c:v>
                </c:pt>
                <c:pt idx="12">
                  <c:v>6.6846117276679271</c:v>
                </c:pt>
                <c:pt idx="13">
                  <c:v>6.4297194780391376</c:v>
                </c:pt>
                <c:pt idx="14">
                  <c:v>6.3099182782265162</c:v>
                </c:pt>
                <c:pt idx="15">
                  <c:v>6.2363695902037044</c:v>
                </c:pt>
                <c:pt idx="16">
                  <c:v>5.9506425525877269</c:v>
                </c:pt>
                <c:pt idx="17">
                  <c:v>5.7037824746562009</c:v>
                </c:pt>
                <c:pt idx="18">
                  <c:v>5.7037824746562009</c:v>
                </c:pt>
                <c:pt idx="19">
                  <c:v>5.4227449449230889</c:v>
                </c:pt>
                <c:pt idx="20">
                  <c:v>5.3752784076841653</c:v>
                </c:pt>
                <c:pt idx="21">
                  <c:v>4.9126548857360524</c:v>
                </c:pt>
                <c:pt idx="22">
                  <c:v>4.8675344504555822</c:v>
                </c:pt>
                <c:pt idx="23">
                  <c:v>4.7318028369214575</c:v>
                </c:pt>
                <c:pt idx="24">
                  <c:v>4.6051701859880918</c:v>
                </c:pt>
                <c:pt idx="25">
                  <c:v>4.5538768916005408</c:v>
                </c:pt>
                <c:pt idx="26">
                  <c:v>4.4426512564903167</c:v>
                </c:pt>
                <c:pt idx="27">
                  <c:v>4.4426512564903167</c:v>
                </c:pt>
                <c:pt idx="28">
                  <c:v>4.3040650932041702</c:v>
                </c:pt>
                <c:pt idx="29">
                  <c:v>4.2484952420493594</c:v>
                </c:pt>
                <c:pt idx="30">
                  <c:v>4.1743872698956368</c:v>
                </c:pt>
                <c:pt idx="31">
                  <c:v>4.1351665567423561</c:v>
                </c:pt>
                <c:pt idx="32">
                  <c:v>4.0430512678345503</c:v>
                </c:pt>
                <c:pt idx="33">
                  <c:v>4.0073331852324712</c:v>
                </c:pt>
                <c:pt idx="34">
                  <c:v>3.9749978045895347</c:v>
                </c:pt>
                <c:pt idx="35">
                  <c:v>3.912023005428146</c:v>
                </c:pt>
                <c:pt idx="36">
                  <c:v>3.912023005428146</c:v>
                </c:pt>
                <c:pt idx="37">
                  <c:v>3.912023005428146</c:v>
                </c:pt>
                <c:pt idx="38">
                  <c:v>3.6243409329763652</c:v>
                </c:pt>
                <c:pt idx="39">
                  <c:v>3.5553480614894135</c:v>
                </c:pt>
                <c:pt idx="40">
                  <c:v>3.5263605246161616</c:v>
                </c:pt>
                <c:pt idx="41">
                  <c:v>3.4011973816621555</c:v>
                </c:pt>
                <c:pt idx="42">
                  <c:v>3.4011973816621555</c:v>
                </c:pt>
                <c:pt idx="43">
                  <c:v>3.4011973816621555</c:v>
                </c:pt>
                <c:pt idx="44">
                  <c:v>3.0204248861443626</c:v>
                </c:pt>
                <c:pt idx="45">
                  <c:v>1.6094379124341003</c:v>
                </c:pt>
                <c:pt idx="46">
                  <c:v>3.0587070727153796</c:v>
                </c:pt>
                <c:pt idx="47">
                  <c:v>2.9496883350525844</c:v>
                </c:pt>
                <c:pt idx="48">
                  <c:v>5.579729825986222</c:v>
                </c:pt>
                <c:pt idx="49">
                  <c:v>5.5266474445495462</c:v>
                </c:pt>
                <c:pt idx="50">
                  <c:v>5.0814043649844631</c:v>
                </c:pt>
                <c:pt idx="51">
                  <c:v>5.0485731334366477</c:v>
                </c:pt>
                <c:pt idx="52">
                  <c:v>4.536891345234797</c:v>
                </c:pt>
                <c:pt idx="53">
                  <c:v>4.0741418549045809</c:v>
                </c:pt>
                <c:pt idx="54">
                  <c:v>3.9589065913269965</c:v>
                </c:pt>
                <c:pt idx="55">
                  <c:v>3.9512437185814275</c:v>
                </c:pt>
                <c:pt idx="56">
                  <c:v>3.5638829639392511</c:v>
                </c:pt>
                <c:pt idx="57">
                  <c:v>3.2884018875168111</c:v>
                </c:pt>
                <c:pt idx="58">
                  <c:v>3.2188758248682006</c:v>
                </c:pt>
                <c:pt idx="59">
                  <c:v>2.9957322735539909</c:v>
                </c:pt>
                <c:pt idx="60">
                  <c:v>2.5877640352277083</c:v>
                </c:pt>
                <c:pt idx="61">
                  <c:v>2.451005098112319</c:v>
                </c:pt>
                <c:pt idx="62">
                  <c:v>2.174751721484161</c:v>
                </c:pt>
                <c:pt idx="63">
                  <c:v>1.9459101490553132</c:v>
                </c:pt>
                <c:pt idx="64">
                  <c:v>1.9459101490553132</c:v>
                </c:pt>
                <c:pt idx="65">
                  <c:v>1.5686159179138452</c:v>
                </c:pt>
                <c:pt idx="66">
                  <c:v>1.4816045409242156</c:v>
                </c:pt>
                <c:pt idx="67">
                  <c:v>1.3083328196501789</c:v>
                </c:pt>
                <c:pt idx="68">
                  <c:v>0.91629073187415511</c:v>
                </c:pt>
                <c:pt idx="69">
                  <c:v>4.8441870864585912</c:v>
                </c:pt>
                <c:pt idx="70">
                  <c:v>2.5649493574615367</c:v>
                </c:pt>
                <c:pt idx="71">
                  <c:v>1.3862943611198906</c:v>
                </c:pt>
                <c:pt idx="72">
                  <c:v>0.16551443847757333</c:v>
                </c:pt>
                <c:pt idx="73">
                  <c:v>7.5107472486805479E-2</c:v>
                </c:pt>
                <c:pt idx="74">
                  <c:v>-0.51082562376599072</c:v>
                </c:pt>
                <c:pt idx="75">
                  <c:v>-0.51082562376599072</c:v>
                </c:pt>
                <c:pt idx="76">
                  <c:v>-0.69314718055994529</c:v>
                </c:pt>
                <c:pt idx="77">
                  <c:v>-0.69314718055994529</c:v>
                </c:pt>
                <c:pt idx="78">
                  <c:v>-0.916290731874155</c:v>
                </c:pt>
                <c:pt idx="79">
                  <c:v>-1.2039728043259361</c:v>
                </c:pt>
                <c:pt idx="80">
                  <c:v>-1.3862943611198906</c:v>
                </c:pt>
                <c:pt idx="81">
                  <c:v>-1.5050778971098575</c:v>
                </c:pt>
                <c:pt idx="82">
                  <c:v>-1.5141277326297755</c:v>
                </c:pt>
                <c:pt idx="83">
                  <c:v>-2.0794415416798357</c:v>
                </c:pt>
                <c:pt idx="84">
                  <c:v>-2.1839135632765472</c:v>
                </c:pt>
                <c:pt idx="85">
                  <c:v>-2.2018351898939028</c:v>
                </c:pt>
                <c:pt idx="86">
                  <c:v>-2.2072749131897207</c:v>
                </c:pt>
                <c:pt idx="87">
                  <c:v>-2.3025850929940455</c:v>
                </c:pt>
                <c:pt idx="88">
                  <c:v>-2.3268777855630902</c:v>
                </c:pt>
                <c:pt idx="89">
                  <c:v>-2.5783385945805528</c:v>
                </c:pt>
                <c:pt idx="90">
                  <c:v>-2.7968814148088259</c:v>
                </c:pt>
                <c:pt idx="91">
                  <c:v>-2.8051119139453413</c:v>
                </c:pt>
                <c:pt idx="92">
                  <c:v>-2.8824035882469876</c:v>
                </c:pt>
                <c:pt idx="93">
                  <c:v>-2.9759296462578115</c:v>
                </c:pt>
                <c:pt idx="94">
                  <c:v>-2.9957322735539909</c:v>
                </c:pt>
                <c:pt idx="95">
                  <c:v>-2.9957322735539909</c:v>
                </c:pt>
                <c:pt idx="96">
                  <c:v>-2.9957322735539909</c:v>
                </c:pt>
                <c:pt idx="97">
                  <c:v>-3.0407296394847267</c:v>
                </c:pt>
                <c:pt idx="98">
                  <c:v>-3.1700856606987688</c:v>
                </c:pt>
                <c:pt idx="99">
                  <c:v>-3.2416328119908169</c:v>
                </c:pt>
                <c:pt idx="100">
                  <c:v>-3.3524072174927233</c:v>
                </c:pt>
                <c:pt idx="101">
                  <c:v>-3.3524072174927233</c:v>
                </c:pt>
                <c:pt idx="102">
                  <c:v>-3.5065578973199818</c:v>
                </c:pt>
                <c:pt idx="103">
                  <c:v>-3.5301677629591155</c:v>
                </c:pt>
                <c:pt idx="104">
                  <c:v>-3.5578511917075324</c:v>
                </c:pt>
                <c:pt idx="105">
                  <c:v>-3.6888794541139363</c:v>
                </c:pt>
                <c:pt idx="106">
                  <c:v>-3.6888794541139363</c:v>
                </c:pt>
                <c:pt idx="107">
                  <c:v>-3.7090821614314557</c:v>
                </c:pt>
                <c:pt idx="108">
                  <c:v>-3.713172146682981</c:v>
                </c:pt>
                <c:pt idx="109">
                  <c:v>-3.9220733412816475</c:v>
                </c:pt>
                <c:pt idx="110">
                  <c:v>-3.9476501830712971</c:v>
                </c:pt>
                <c:pt idx="111">
                  <c:v>-3.9476501830712971</c:v>
                </c:pt>
                <c:pt idx="112">
                  <c:v>-4.0063336848993876</c:v>
                </c:pt>
                <c:pt idx="113">
                  <c:v>-4.0173835210859723</c:v>
                </c:pt>
                <c:pt idx="114">
                  <c:v>-4.0173835210859723</c:v>
                </c:pt>
                <c:pt idx="115">
                  <c:v>-4.0173835210859723</c:v>
                </c:pt>
                <c:pt idx="116">
                  <c:v>-4.1351665567423561</c:v>
                </c:pt>
                <c:pt idx="117">
                  <c:v>-4.1669152550569359</c:v>
                </c:pt>
                <c:pt idx="118">
                  <c:v>-4.2903594461480576</c:v>
                </c:pt>
                <c:pt idx="119">
                  <c:v>-4.3981560166037657</c:v>
                </c:pt>
                <c:pt idx="120">
                  <c:v>-4.7217040022440431</c:v>
                </c:pt>
                <c:pt idx="121">
                  <c:v>1.5260563034950492</c:v>
                </c:pt>
                <c:pt idx="122">
                  <c:v>1.4816045409242156</c:v>
                </c:pt>
                <c:pt idx="123">
                  <c:v>1.3862943611198906</c:v>
                </c:pt>
                <c:pt idx="124">
                  <c:v>1.2527629684953681</c:v>
                </c:pt>
                <c:pt idx="125">
                  <c:v>0.69314718055994529</c:v>
                </c:pt>
                <c:pt idx="126">
                  <c:v>0.64185388617239469</c:v>
                </c:pt>
                <c:pt idx="127">
                  <c:v>0.40546510810816438</c:v>
                </c:pt>
                <c:pt idx="128">
                  <c:v>0.40546510810816438</c:v>
                </c:pt>
                <c:pt idx="129">
                  <c:v>3.912023005428146</c:v>
                </c:pt>
                <c:pt idx="130">
                  <c:v>1.3862943611198906</c:v>
                </c:pt>
                <c:pt idx="131">
                  <c:v>9.5310179804324935E-2</c:v>
                </c:pt>
                <c:pt idx="132">
                  <c:v>-2.0020026706730793E-3</c:v>
                </c:pt>
                <c:pt idx="133">
                  <c:v>-0.33128570993391293</c:v>
                </c:pt>
                <c:pt idx="134">
                  <c:v>-2.120263536200091</c:v>
                </c:pt>
                <c:pt idx="135">
                  <c:v>-2.5969561535966235</c:v>
                </c:pt>
                <c:pt idx="136">
                  <c:v>-2.9565115604007097</c:v>
                </c:pt>
                <c:pt idx="137">
                  <c:v>-3.4577677331505496</c:v>
                </c:pt>
                <c:pt idx="138">
                  <c:v>-3.6888794541139363</c:v>
                </c:pt>
                <c:pt idx="139">
                  <c:v>-3.912023005428146</c:v>
                </c:pt>
                <c:pt idx="140">
                  <c:v>-4.0745419349259206</c:v>
                </c:pt>
                <c:pt idx="141">
                  <c:v>-4.1997050778799272</c:v>
                </c:pt>
                <c:pt idx="142">
                  <c:v>-0.73396917508020043</c:v>
                </c:pt>
              </c:numCache>
            </c:numRef>
          </c:xVal>
          <c:yVal>
            <c:numRef>
              <c:f>Speed!$G$3:$G$145</c:f>
              <c:numCache>
                <c:formatCode>0.00</c:formatCode>
                <c:ptCount val="143"/>
                <c:pt idx="0">
                  <c:v>3.5269485869677157</c:v>
                </c:pt>
                <c:pt idx="1">
                  <c:v>3.2298395034971761</c:v>
                </c:pt>
                <c:pt idx="2">
                  <c:v>3.1928734749462242</c:v>
                </c:pt>
                <c:pt idx="3">
                  <c:v>3.779743400419056</c:v>
                </c:pt>
                <c:pt idx="4">
                  <c:v>4.2200957675276607</c:v>
                </c:pt>
                <c:pt idx="5">
                  <c:v>4.1300494868428776</c:v>
                </c:pt>
                <c:pt idx="6">
                  <c:v>3.6581067954466828</c:v>
                </c:pt>
                <c:pt idx="7">
                  <c:v>4.2217452001162989</c:v>
                </c:pt>
                <c:pt idx="8">
                  <c:v>4.2200957675276607</c:v>
                </c:pt>
                <c:pt idx="9">
                  <c:v>3.192843915820581</c:v>
                </c:pt>
                <c:pt idx="10">
                  <c:v>4.0675487394349377</c:v>
                </c:pt>
                <c:pt idx="11">
                  <c:v>3.996952216213451</c:v>
                </c:pt>
                <c:pt idx="12">
                  <c:v>3.3375160929958176</c:v>
                </c:pt>
                <c:pt idx="13">
                  <c:v>4.0153013548816476</c:v>
                </c:pt>
                <c:pt idx="14">
                  <c:v>3.7481855600113438</c:v>
                </c:pt>
                <c:pt idx="15">
                  <c:v>4.2219987176737472</c:v>
                </c:pt>
                <c:pt idx="16">
                  <c:v>3.9990597820952014</c:v>
                </c:pt>
                <c:pt idx="17">
                  <c:v>4.2480608620057208</c:v>
                </c:pt>
                <c:pt idx="18">
                  <c:v>4.4690906352788646</c:v>
                </c:pt>
                <c:pt idx="19">
                  <c:v>3.9997261430961766</c:v>
                </c:pt>
                <c:pt idx="20">
                  <c:v>4.350956931596305</c:v>
                </c:pt>
                <c:pt idx="21">
                  <c:v>4.356456487162343</c:v>
                </c:pt>
                <c:pt idx="22">
                  <c:v>4.2231018268113081</c:v>
                </c:pt>
                <c:pt idx="23">
                  <c:v>3.4674344594353079</c:v>
                </c:pt>
                <c:pt idx="24">
                  <c:v>4.3539511817255976</c:v>
                </c:pt>
                <c:pt idx="25">
                  <c:v>4.0003920603558436</c:v>
                </c:pt>
                <c:pt idx="26">
                  <c:v>3.8452676288813867</c:v>
                </c:pt>
                <c:pt idx="27">
                  <c:v>3.9793376695124691</c:v>
                </c:pt>
                <c:pt idx="28">
                  <c:v>4.084251801226241</c:v>
                </c:pt>
                <c:pt idx="29">
                  <c:v>3.7808768800761778</c:v>
                </c:pt>
                <c:pt idx="30">
                  <c:v>4.0659450877004026</c:v>
                </c:pt>
                <c:pt idx="31">
                  <c:v>4.3645716794378275</c:v>
                </c:pt>
                <c:pt idx="32">
                  <c:v>4.1292849740956168</c:v>
                </c:pt>
                <c:pt idx="33">
                  <c:v>4.1494178036001994</c:v>
                </c:pt>
                <c:pt idx="34">
                  <c:v>3.8215905103545564</c:v>
                </c:pt>
                <c:pt idx="35">
                  <c:v>4.5767707114663931</c:v>
                </c:pt>
                <c:pt idx="36">
                  <c:v>4.0658895306015799</c:v>
                </c:pt>
                <c:pt idx="37">
                  <c:v>3.6606651476327641</c:v>
                </c:pt>
                <c:pt idx="38">
                  <c:v>4.6257724934548357</c:v>
                </c:pt>
                <c:pt idx="39">
                  <c:v>4.3536271601521834</c:v>
                </c:pt>
                <c:pt idx="40">
                  <c:v>4.5465023983222475</c:v>
                </c:pt>
                <c:pt idx="41">
                  <c:v>4.5495631798573291</c:v>
                </c:pt>
                <c:pt idx="42">
                  <c:v>4.3578589342929881</c:v>
                </c:pt>
                <c:pt idx="43">
                  <c:v>3.7784276107555361</c:v>
                </c:pt>
                <c:pt idx="44">
                  <c:v>4.3659472514940401</c:v>
                </c:pt>
                <c:pt idx="45">
                  <c:v>3.7092525069218389</c:v>
                </c:pt>
                <c:pt idx="46">
                  <c:v>3.3664929999676887</c:v>
                </c:pt>
                <c:pt idx="47">
                  <c:v>3.4901069559348654</c:v>
                </c:pt>
                <c:pt idx="48">
                  <c:v>3.6614054771131812</c:v>
                </c:pt>
                <c:pt idx="49">
                  <c:v>3.8428015363861929</c:v>
                </c:pt>
                <c:pt idx="50">
                  <c:v>3.9969522162134514</c:v>
                </c:pt>
                <c:pt idx="51">
                  <c:v>4.0492321269096312</c:v>
                </c:pt>
                <c:pt idx="52">
                  <c:v>3.8422226651688707</c:v>
                </c:pt>
                <c:pt idx="53">
                  <c:v>4.6720034471945624</c:v>
                </c:pt>
                <c:pt idx="54">
                  <c:v>4.0660006417128054</c:v>
                </c:pt>
                <c:pt idx="55">
                  <c:v>4.1430204341461367</c:v>
                </c:pt>
                <c:pt idx="56">
                  <c:v>4.1280849009036658</c:v>
                </c:pt>
                <c:pt idx="57">
                  <c:v>3.8809755837422659</c:v>
                </c:pt>
                <c:pt idx="58">
                  <c:v>4.1764689171484424</c:v>
                </c:pt>
                <c:pt idx="59">
                  <c:v>4.2202756455285373</c:v>
                </c:pt>
                <c:pt idx="60">
                  <c:v>4.1461302353713307</c:v>
                </c:pt>
                <c:pt idx="61">
                  <c:v>3.3732126359433923</c:v>
                </c:pt>
                <c:pt idx="62">
                  <c:v>3.9971241591023832</c:v>
                </c:pt>
                <c:pt idx="63">
                  <c:v>3.1507586841028572</c:v>
                </c:pt>
                <c:pt idx="64">
                  <c:v>4.0654177882086309</c:v>
                </c:pt>
                <c:pt idx="65">
                  <c:v>4.2488744844135962</c:v>
                </c:pt>
                <c:pt idx="66">
                  <c:v>3.2674373914826313</c:v>
                </c:pt>
                <c:pt idx="67">
                  <c:v>4.1305160157202723</c:v>
                </c:pt>
                <c:pt idx="68">
                  <c:v>2.7441198008622618</c:v>
                </c:pt>
                <c:pt idx="69">
                  <c:v>3.4364100734178979</c:v>
                </c:pt>
                <c:pt idx="70">
                  <c:v>3.5826185332129459</c:v>
                </c:pt>
                <c:pt idx="71">
                  <c:v>2.7441892477180834</c:v>
                </c:pt>
                <c:pt idx="72">
                  <c:v>2.7828088186831383</c:v>
                </c:pt>
                <c:pt idx="73">
                  <c:v>3.1495710190204993</c:v>
                </c:pt>
                <c:pt idx="74">
                  <c:v>3.5555761497610203</c:v>
                </c:pt>
                <c:pt idx="75">
                  <c:v>2.967617943559913</c:v>
                </c:pt>
                <c:pt idx="76">
                  <c:v>2.8603227755359732</c:v>
                </c:pt>
                <c:pt idx="77">
                  <c:v>3.371040808791343</c:v>
                </c:pt>
                <c:pt idx="78">
                  <c:v>2.9685820184327247</c:v>
                </c:pt>
                <c:pt idx="79">
                  <c:v>2.5343822932485258</c:v>
                </c:pt>
                <c:pt idx="80">
                  <c:v>2.2434209042259261</c:v>
                </c:pt>
                <c:pt idx="81">
                  <c:v>3.0696787755292481</c:v>
                </c:pt>
                <c:pt idx="82">
                  <c:v>2.6823581692587517</c:v>
                </c:pt>
                <c:pt idx="83">
                  <c:v>2.4697767681912004</c:v>
                </c:pt>
                <c:pt idx="84">
                  <c:v>2.6932321541186552</c:v>
                </c:pt>
                <c:pt idx="85">
                  <c:v>2.8106789889869161</c:v>
                </c:pt>
                <c:pt idx="86">
                  <c:v>2.169133697169694</c:v>
                </c:pt>
                <c:pt idx="87">
                  <c:v>2.8047768318115933</c:v>
                </c:pt>
                <c:pt idx="88">
                  <c:v>2.6828456174770317</c:v>
                </c:pt>
                <c:pt idx="89">
                  <c:v>2.8197024820282688</c:v>
                </c:pt>
                <c:pt idx="90">
                  <c:v>2.6425768431408256</c:v>
                </c:pt>
                <c:pt idx="91">
                  <c:v>2.4894045191904128</c:v>
                </c:pt>
                <c:pt idx="92">
                  <c:v>3.017233457485752</c:v>
                </c:pt>
                <c:pt idx="93">
                  <c:v>2.9370034036638186</c:v>
                </c:pt>
                <c:pt idx="94">
                  <c:v>2.3680503096166894</c:v>
                </c:pt>
                <c:pt idx="95">
                  <c:v>2.7673766630265288</c:v>
                </c:pt>
                <c:pt idx="96">
                  <c:v>2.5006540067556395</c:v>
                </c:pt>
                <c:pt idx="97">
                  <c:v>2.6145945406134228</c:v>
                </c:pt>
                <c:pt idx="98">
                  <c:v>2.816397930590774</c:v>
                </c:pt>
                <c:pt idx="99">
                  <c:v>2.4925414305359395</c:v>
                </c:pt>
                <c:pt idx="100">
                  <c:v>3.4412039398045176</c:v>
                </c:pt>
                <c:pt idx="101">
                  <c:v>2.6146498763630981</c:v>
                </c:pt>
                <c:pt idx="102">
                  <c:v>1.886855080559666</c:v>
                </c:pt>
                <c:pt idx="103">
                  <c:v>2.7891670393831705</c:v>
                </c:pt>
                <c:pt idx="104">
                  <c:v>2.6274473365701105</c:v>
                </c:pt>
                <c:pt idx="105">
                  <c:v>2.3690003893866645</c:v>
                </c:pt>
                <c:pt idx="106">
                  <c:v>2.1233627287377641</c:v>
                </c:pt>
                <c:pt idx="107">
                  <c:v>2.5443032237445906</c:v>
                </c:pt>
                <c:pt idx="108">
                  <c:v>2.4976864392915403</c:v>
                </c:pt>
                <c:pt idx="109">
                  <c:v>2.5438035682193858</c:v>
                </c:pt>
                <c:pt idx="110">
                  <c:v>2.6319626215873897</c:v>
                </c:pt>
                <c:pt idx="111">
                  <c:v>2.3081754378572583</c:v>
                </c:pt>
                <c:pt idx="112">
                  <c:v>2.5671758001744283</c:v>
                </c:pt>
                <c:pt idx="113">
                  <c:v>2.5217237072433094</c:v>
                </c:pt>
                <c:pt idx="114">
                  <c:v>2.1581169457889722</c:v>
                </c:pt>
                <c:pt idx="115">
                  <c:v>2.5058962194481329</c:v>
                </c:pt>
                <c:pt idx="116">
                  <c:v>2.5366638365608387</c:v>
                </c:pt>
                <c:pt idx="117">
                  <c:v>2.505832175809128</c:v>
                </c:pt>
                <c:pt idx="118">
                  <c:v>2.4046952278830185</c:v>
                </c:pt>
                <c:pt idx="119">
                  <c:v>2.3607577323333873</c:v>
                </c:pt>
                <c:pt idx="120">
                  <c:v>2.2643619684837089</c:v>
                </c:pt>
                <c:pt idx="121">
                  <c:v>4.1309470431023909</c:v>
                </c:pt>
                <c:pt idx="122">
                  <c:v>4.2490050549298282</c:v>
                </c:pt>
                <c:pt idx="123">
                  <c:v>4.2488261587189688</c:v>
                </c:pt>
                <c:pt idx="124">
                  <c:v>3.9972954112835395</c:v>
                </c:pt>
                <c:pt idx="125">
                  <c:v>4.1293168404654459</c:v>
                </c:pt>
                <c:pt idx="126">
                  <c:v>3.996952216213451</c:v>
                </c:pt>
                <c:pt idx="127">
                  <c:v>3.8825333071988646</c:v>
                </c:pt>
                <c:pt idx="128">
                  <c:v>3.6605790487588004</c:v>
                </c:pt>
                <c:pt idx="129">
                  <c:v>4.1484008360640328</c:v>
                </c:pt>
                <c:pt idx="130">
                  <c:v>3.6604133107032508</c:v>
                </c:pt>
                <c:pt idx="131">
                  <c:v>3.182705494562998</c:v>
                </c:pt>
                <c:pt idx="132">
                  <c:v>3.0348599054522696</c:v>
                </c:pt>
                <c:pt idx="133">
                  <c:v>2.6322225973831395</c:v>
                </c:pt>
                <c:pt idx="134">
                  <c:v>3.2449645356305727</c:v>
                </c:pt>
                <c:pt idx="135">
                  <c:v>2.4307904273171852</c:v>
                </c:pt>
                <c:pt idx="136">
                  <c:v>2.7849334614357124</c:v>
                </c:pt>
                <c:pt idx="137">
                  <c:v>2.8555691107006598</c:v>
                </c:pt>
                <c:pt idx="138">
                  <c:v>2.6749582526438656</c:v>
                </c:pt>
                <c:pt idx="139">
                  <c:v>2.6408570234800282</c:v>
                </c:pt>
                <c:pt idx="140">
                  <c:v>2.4142515404059339</c:v>
                </c:pt>
                <c:pt idx="141">
                  <c:v>1.5775062812592926</c:v>
                </c:pt>
                <c:pt idx="142">
                  <c:v>2.6058845763409031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3D-49C3-B5E0-D32C912BD6EB}"/>
            </c:ext>
          </c:extLst>
        </c:ser>
        <c:ser>
          <c:idx val="1"/>
          <c:order val="1"/>
          <c:tx>
            <c:v>Birds, dinosaurs and humans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3.4742636724091435E-4"/>
                  <c:y val="6.01251240771615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Speed!$F$146:$F$163</c:f>
              <c:numCache>
                <c:formatCode>0.00</c:formatCode>
                <c:ptCount val="18"/>
                <c:pt idx="0">
                  <c:v>8.8827664278612932</c:v>
                </c:pt>
                <c:pt idx="1">
                  <c:v>7.2442275156033498</c:v>
                </c:pt>
                <c:pt idx="2">
                  <c:v>2.5726122302071057</c:v>
                </c:pt>
                <c:pt idx="3">
                  <c:v>4.6051701859880918</c:v>
                </c:pt>
                <c:pt idx="4">
                  <c:v>-0.60696948431889286</c:v>
                </c:pt>
                <c:pt idx="5">
                  <c:v>-2.9957322735539909</c:v>
                </c:pt>
                <c:pt idx="6">
                  <c:v>-1.8578992717325999</c:v>
                </c:pt>
                <c:pt idx="7">
                  <c:v>-1.3823023398503531</c:v>
                </c:pt>
                <c:pt idx="8">
                  <c:v>-0.52763274208237199</c:v>
                </c:pt>
                <c:pt idx="9">
                  <c:v>-0.23572233352106983</c:v>
                </c:pt>
                <c:pt idx="10">
                  <c:v>0.30010459245033816</c:v>
                </c:pt>
                <c:pt idx="11">
                  <c:v>0.42526773540434409</c:v>
                </c:pt>
                <c:pt idx="12">
                  <c:v>0.45742484703887548</c:v>
                </c:pt>
                <c:pt idx="13">
                  <c:v>0.82855181756614826</c:v>
                </c:pt>
                <c:pt idx="14">
                  <c:v>0.97077891715822484</c:v>
                </c:pt>
                <c:pt idx="15">
                  <c:v>3.912023005428146</c:v>
                </c:pt>
                <c:pt idx="16">
                  <c:v>4.5788262106484892</c:v>
                </c:pt>
                <c:pt idx="17">
                  <c:v>4.2484952420493594</c:v>
                </c:pt>
              </c:numCache>
            </c:numRef>
          </c:xVal>
          <c:yVal>
            <c:numRef>
              <c:f>Speed!$G$146:$G$163</c:f>
              <c:numCache>
                <c:formatCode>0.00</c:formatCode>
                <c:ptCount val="18"/>
                <c:pt idx="0">
                  <c:v>2.8903717578961645</c:v>
                </c:pt>
                <c:pt idx="1">
                  <c:v>3.5216435347380228</c:v>
                </c:pt>
                <c:pt idx="2">
                  <c:v>3.1755507001298273</c:v>
                </c:pt>
                <c:pt idx="3">
                  <c:v>3.8712510096579327</c:v>
                </c:pt>
                <c:pt idx="4">
                  <c:v>2.5047092770841801</c:v>
                </c:pt>
                <c:pt idx="5">
                  <c:v>1.8290552539717519</c:v>
                </c:pt>
                <c:pt idx="6">
                  <c:v>2.3573005251828545</c:v>
                </c:pt>
                <c:pt idx="7">
                  <c:v>1.4756779222545762</c:v>
                </c:pt>
                <c:pt idx="8">
                  <c:v>2.746732307694554</c:v>
                </c:pt>
                <c:pt idx="9">
                  <c:v>2.3026650897942162</c:v>
                </c:pt>
                <c:pt idx="10">
                  <c:v>2.8668984017105226</c:v>
                </c:pt>
                <c:pt idx="11">
                  <c:v>2.8280707316987854</c:v>
                </c:pt>
                <c:pt idx="12">
                  <c:v>2.010894999144726</c:v>
                </c:pt>
                <c:pt idx="13">
                  <c:v>2.3818767494684563</c:v>
                </c:pt>
                <c:pt idx="14">
                  <c:v>2.5356948166201057</c:v>
                </c:pt>
                <c:pt idx="15">
                  <c:v>3.7658404952500648</c:v>
                </c:pt>
                <c:pt idx="16">
                  <c:v>2.6672282065819548</c:v>
                </c:pt>
                <c:pt idx="17">
                  <c:v>3.6590715808567817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3D-49C3-B5E0-D32C912BD6EB}"/>
            </c:ext>
          </c:extLst>
        </c:ser>
        <c:ser>
          <c:idx val="2"/>
          <c:order val="2"/>
          <c:tx>
            <c:v>Carnivora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Speed!$F$51:$F$71</c:f>
              <c:numCache>
                <c:formatCode>0.00</c:formatCode>
                <c:ptCount val="21"/>
                <c:pt idx="0">
                  <c:v>5.579729825986222</c:v>
                </c:pt>
                <c:pt idx="1">
                  <c:v>5.5266474445495462</c:v>
                </c:pt>
                <c:pt idx="2">
                  <c:v>5.0814043649844631</c:v>
                </c:pt>
                <c:pt idx="3">
                  <c:v>5.0485731334366477</c:v>
                </c:pt>
                <c:pt idx="4">
                  <c:v>4.536891345234797</c:v>
                </c:pt>
                <c:pt idx="5">
                  <c:v>4.0741418549045809</c:v>
                </c:pt>
                <c:pt idx="6">
                  <c:v>3.9589065913269965</c:v>
                </c:pt>
                <c:pt idx="7">
                  <c:v>3.9512437185814275</c:v>
                </c:pt>
                <c:pt idx="8">
                  <c:v>3.5638829639392511</c:v>
                </c:pt>
                <c:pt idx="9">
                  <c:v>3.2884018875168111</c:v>
                </c:pt>
                <c:pt idx="10">
                  <c:v>3.2188758248682006</c:v>
                </c:pt>
                <c:pt idx="11">
                  <c:v>2.9957322735539909</c:v>
                </c:pt>
                <c:pt idx="12">
                  <c:v>2.5877640352277083</c:v>
                </c:pt>
                <c:pt idx="13">
                  <c:v>2.451005098112319</c:v>
                </c:pt>
                <c:pt idx="14">
                  <c:v>2.174751721484161</c:v>
                </c:pt>
                <c:pt idx="15">
                  <c:v>1.9459101490553132</c:v>
                </c:pt>
                <c:pt idx="16">
                  <c:v>1.9459101490553132</c:v>
                </c:pt>
                <c:pt idx="17">
                  <c:v>1.5686159179138452</c:v>
                </c:pt>
                <c:pt idx="18">
                  <c:v>1.4816045409242156</c:v>
                </c:pt>
                <c:pt idx="19">
                  <c:v>1.3083328196501789</c:v>
                </c:pt>
                <c:pt idx="20">
                  <c:v>0.91629073187415511</c:v>
                </c:pt>
              </c:numCache>
            </c:numRef>
          </c:xVal>
          <c:yVal>
            <c:numRef>
              <c:f>Speed!$G$51:$G$71</c:f>
              <c:numCache>
                <c:formatCode>0.00</c:formatCode>
                <c:ptCount val="21"/>
                <c:pt idx="0">
                  <c:v>3.6614054771131812</c:v>
                </c:pt>
                <c:pt idx="1">
                  <c:v>3.8428015363861929</c:v>
                </c:pt>
                <c:pt idx="2">
                  <c:v>3.9969522162134514</c:v>
                </c:pt>
                <c:pt idx="3">
                  <c:v>4.0492321269096312</c:v>
                </c:pt>
                <c:pt idx="4">
                  <c:v>3.8422226651688707</c:v>
                </c:pt>
                <c:pt idx="5">
                  <c:v>4.6720034471945624</c:v>
                </c:pt>
                <c:pt idx="6">
                  <c:v>4.0660006417128054</c:v>
                </c:pt>
                <c:pt idx="7">
                  <c:v>4.1430204341461367</c:v>
                </c:pt>
                <c:pt idx="8">
                  <c:v>4.1280849009036658</c:v>
                </c:pt>
                <c:pt idx="9">
                  <c:v>3.8809755837422659</c:v>
                </c:pt>
                <c:pt idx="10">
                  <c:v>4.1764689171484424</c:v>
                </c:pt>
                <c:pt idx="11">
                  <c:v>4.2202756455285373</c:v>
                </c:pt>
                <c:pt idx="12">
                  <c:v>4.1461302353713307</c:v>
                </c:pt>
                <c:pt idx="13">
                  <c:v>3.3732126359433923</c:v>
                </c:pt>
                <c:pt idx="14">
                  <c:v>3.9971241591023832</c:v>
                </c:pt>
                <c:pt idx="15">
                  <c:v>3.1507586841028572</c:v>
                </c:pt>
                <c:pt idx="16">
                  <c:v>4.0654177882086309</c:v>
                </c:pt>
                <c:pt idx="17">
                  <c:v>4.2488744844135962</c:v>
                </c:pt>
                <c:pt idx="18">
                  <c:v>3.2674373914826313</c:v>
                </c:pt>
                <c:pt idx="19">
                  <c:v>4.1305160157202723</c:v>
                </c:pt>
                <c:pt idx="20">
                  <c:v>2.7441198008622618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23D-49C3-B5E0-D32C912BD6EB}"/>
            </c:ext>
          </c:extLst>
        </c:ser>
        <c:ser>
          <c:idx val="3"/>
          <c:order val="3"/>
          <c:tx>
            <c:v>Artiodactyls and odd-toed ungulates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Speed!$F$5:$F$48</c:f>
              <c:numCache>
                <c:formatCode>0.00</c:formatCode>
                <c:ptCount val="44"/>
                <c:pt idx="0">
                  <c:v>7.6009024595420822</c:v>
                </c:pt>
                <c:pt idx="1">
                  <c:v>7.0900768357760917</c:v>
                </c:pt>
                <c:pt idx="2">
                  <c:v>5.857933154483459</c:v>
                </c:pt>
                <c:pt idx="3">
                  <c:v>5.7037824746562009</c:v>
                </c:pt>
                <c:pt idx="4">
                  <c:v>5.521460917862246</c:v>
                </c:pt>
                <c:pt idx="5">
                  <c:v>5.4595855141441589</c:v>
                </c:pt>
                <c:pt idx="6">
                  <c:v>5.2983173665480363</c:v>
                </c:pt>
                <c:pt idx="7">
                  <c:v>8.2427563457144775</c:v>
                </c:pt>
                <c:pt idx="8">
                  <c:v>6.9800759405617629</c:v>
                </c:pt>
                <c:pt idx="9">
                  <c:v>6.7627295069318789</c:v>
                </c:pt>
                <c:pt idx="10">
                  <c:v>6.6846117276679271</c:v>
                </c:pt>
                <c:pt idx="11">
                  <c:v>6.4297194780391376</c:v>
                </c:pt>
                <c:pt idx="12">
                  <c:v>6.3099182782265162</c:v>
                </c:pt>
                <c:pt idx="13">
                  <c:v>6.2363695902037044</c:v>
                </c:pt>
                <c:pt idx="14">
                  <c:v>5.9506425525877269</c:v>
                </c:pt>
                <c:pt idx="15">
                  <c:v>5.7037824746562009</c:v>
                </c:pt>
                <c:pt idx="16">
                  <c:v>5.7037824746562009</c:v>
                </c:pt>
                <c:pt idx="17">
                  <c:v>5.4227449449230889</c:v>
                </c:pt>
                <c:pt idx="18">
                  <c:v>5.3752784076841653</c:v>
                </c:pt>
                <c:pt idx="19">
                  <c:v>4.9126548857360524</c:v>
                </c:pt>
                <c:pt idx="20">
                  <c:v>4.8675344504555822</c:v>
                </c:pt>
                <c:pt idx="21">
                  <c:v>4.7318028369214575</c:v>
                </c:pt>
                <c:pt idx="22">
                  <c:v>4.6051701859880918</c:v>
                </c:pt>
                <c:pt idx="23">
                  <c:v>4.5538768916005408</c:v>
                </c:pt>
                <c:pt idx="24">
                  <c:v>4.4426512564903167</c:v>
                </c:pt>
                <c:pt idx="25">
                  <c:v>4.4426512564903167</c:v>
                </c:pt>
                <c:pt idx="26">
                  <c:v>4.3040650932041702</c:v>
                </c:pt>
                <c:pt idx="27">
                  <c:v>4.2484952420493594</c:v>
                </c:pt>
                <c:pt idx="28">
                  <c:v>4.1743872698956368</c:v>
                </c:pt>
                <c:pt idx="29">
                  <c:v>4.1351665567423561</c:v>
                </c:pt>
                <c:pt idx="30">
                  <c:v>4.0430512678345503</c:v>
                </c:pt>
                <c:pt idx="31">
                  <c:v>4.0073331852324712</c:v>
                </c:pt>
                <c:pt idx="32">
                  <c:v>3.9749978045895347</c:v>
                </c:pt>
                <c:pt idx="33">
                  <c:v>3.912023005428146</c:v>
                </c:pt>
                <c:pt idx="34">
                  <c:v>3.912023005428146</c:v>
                </c:pt>
                <c:pt idx="35">
                  <c:v>3.912023005428146</c:v>
                </c:pt>
                <c:pt idx="36">
                  <c:v>3.6243409329763652</c:v>
                </c:pt>
                <c:pt idx="37">
                  <c:v>3.5553480614894135</c:v>
                </c:pt>
                <c:pt idx="38">
                  <c:v>3.5263605246161616</c:v>
                </c:pt>
                <c:pt idx="39">
                  <c:v>3.4011973816621555</c:v>
                </c:pt>
                <c:pt idx="40">
                  <c:v>3.4011973816621555</c:v>
                </c:pt>
                <c:pt idx="41">
                  <c:v>3.4011973816621555</c:v>
                </c:pt>
                <c:pt idx="42">
                  <c:v>3.0204248861443626</c:v>
                </c:pt>
                <c:pt idx="43">
                  <c:v>1.6094379124341003</c:v>
                </c:pt>
              </c:numCache>
            </c:numRef>
          </c:xVal>
          <c:yVal>
            <c:numRef>
              <c:f>Speed!$G$5:$G$48</c:f>
              <c:numCache>
                <c:formatCode>0.00</c:formatCode>
                <c:ptCount val="44"/>
                <c:pt idx="0">
                  <c:v>3.1928734749462242</c:v>
                </c:pt>
                <c:pt idx="1">
                  <c:v>3.779743400419056</c:v>
                </c:pt>
                <c:pt idx="2">
                  <c:v>4.2200957675276607</c:v>
                </c:pt>
                <c:pt idx="3">
                  <c:v>4.1300494868428776</c:v>
                </c:pt>
                <c:pt idx="4">
                  <c:v>3.6581067954466828</c:v>
                </c:pt>
                <c:pt idx="5">
                  <c:v>4.2217452001162989</c:v>
                </c:pt>
                <c:pt idx="6">
                  <c:v>4.2200957675276607</c:v>
                </c:pt>
                <c:pt idx="7">
                  <c:v>3.192843915820581</c:v>
                </c:pt>
                <c:pt idx="8">
                  <c:v>4.0675487394349377</c:v>
                </c:pt>
                <c:pt idx="9">
                  <c:v>3.996952216213451</c:v>
                </c:pt>
                <c:pt idx="10">
                  <c:v>3.3375160929958176</c:v>
                </c:pt>
                <c:pt idx="11">
                  <c:v>4.0153013548816476</c:v>
                </c:pt>
                <c:pt idx="12">
                  <c:v>3.7481855600113438</c:v>
                </c:pt>
                <c:pt idx="13">
                  <c:v>4.2219987176737472</c:v>
                </c:pt>
                <c:pt idx="14">
                  <c:v>3.9990597820952014</c:v>
                </c:pt>
                <c:pt idx="15">
                  <c:v>4.2480608620057208</c:v>
                </c:pt>
                <c:pt idx="16">
                  <c:v>4.4690906352788646</c:v>
                </c:pt>
                <c:pt idx="17">
                  <c:v>3.9997261430961766</c:v>
                </c:pt>
                <c:pt idx="18">
                  <c:v>4.350956931596305</c:v>
                </c:pt>
                <c:pt idx="19">
                  <c:v>4.356456487162343</c:v>
                </c:pt>
                <c:pt idx="20">
                  <c:v>4.2231018268113081</c:v>
                </c:pt>
                <c:pt idx="21">
                  <c:v>3.4674344594353079</c:v>
                </c:pt>
                <c:pt idx="22">
                  <c:v>4.3539511817255976</c:v>
                </c:pt>
                <c:pt idx="23">
                  <c:v>4.0003920603558436</c:v>
                </c:pt>
                <c:pt idx="24">
                  <c:v>3.8452676288813867</c:v>
                </c:pt>
                <c:pt idx="25">
                  <c:v>3.9793376695124691</c:v>
                </c:pt>
                <c:pt idx="26">
                  <c:v>4.084251801226241</c:v>
                </c:pt>
                <c:pt idx="27">
                  <c:v>3.7808768800761778</c:v>
                </c:pt>
                <c:pt idx="28">
                  <c:v>4.0659450877004026</c:v>
                </c:pt>
                <c:pt idx="29">
                  <c:v>4.3645716794378275</c:v>
                </c:pt>
                <c:pt idx="30">
                  <c:v>4.1292849740956168</c:v>
                </c:pt>
                <c:pt idx="31">
                  <c:v>4.1494178036001994</c:v>
                </c:pt>
                <c:pt idx="32">
                  <c:v>3.8215905103545564</c:v>
                </c:pt>
                <c:pt idx="33">
                  <c:v>4.5767707114663931</c:v>
                </c:pt>
                <c:pt idx="34">
                  <c:v>4.0658895306015799</c:v>
                </c:pt>
                <c:pt idx="35">
                  <c:v>3.6606651476327641</c:v>
                </c:pt>
                <c:pt idx="36">
                  <c:v>4.6257724934548357</c:v>
                </c:pt>
                <c:pt idx="37">
                  <c:v>4.3536271601521834</c:v>
                </c:pt>
                <c:pt idx="38">
                  <c:v>4.5465023983222475</c:v>
                </c:pt>
                <c:pt idx="39">
                  <c:v>4.5495631798573291</c:v>
                </c:pt>
                <c:pt idx="40">
                  <c:v>4.3578589342929881</c:v>
                </c:pt>
                <c:pt idx="41">
                  <c:v>3.7784276107555361</c:v>
                </c:pt>
                <c:pt idx="42">
                  <c:v>4.3659472514940401</c:v>
                </c:pt>
                <c:pt idx="43">
                  <c:v>3.7092525069218389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23D-49C3-B5E0-D32C912BD6EB}"/>
            </c:ext>
          </c:extLst>
        </c:ser>
        <c:ser>
          <c:idx val="4"/>
          <c:order val="4"/>
          <c:tx>
            <c:v>Rodents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2"/>
            <c:forward val="2"/>
            <c:dispRSqr val="1"/>
            <c:dispEq val="1"/>
            <c:trendlineLbl>
              <c:layout>
                <c:manualLayout>
                  <c:x val="-7.1429184005427704E-4"/>
                  <c:y val="4.15833752037580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Speed!$F$74:$F$123</c:f>
              <c:numCache>
                <c:formatCode>0.00</c:formatCode>
                <c:ptCount val="50"/>
                <c:pt idx="0">
                  <c:v>1.3862943611198906</c:v>
                </c:pt>
                <c:pt idx="1">
                  <c:v>0.16551443847757333</c:v>
                </c:pt>
                <c:pt idx="2">
                  <c:v>7.5107472486805479E-2</c:v>
                </c:pt>
                <c:pt idx="3">
                  <c:v>-0.51082562376599072</c:v>
                </c:pt>
                <c:pt idx="4">
                  <c:v>-0.51082562376599072</c:v>
                </c:pt>
                <c:pt idx="5">
                  <c:v>-0.69314718055994529</c:v>
                </c:pt>
                <c:pt idx="6">
                  <c:v>-0.69314718055994529</c:v>
                </c:pt>
                <c:pt idx="7">
                  <c:v>-0.916290731874155</c:v>
                </c:pt>
                <c:pt idx="8">
                  <c:v>-1.2039728043259361</c:v>
                </c:pt>
                <c:pt idx="9">
                  <c:v>-1.3862943611198906</c:v>
                </c:pt>
                <c:pt idx="10">
                  <c:v>-1.5050778971098575</c:v>
                </c:pt>
                <c:pt idx="11">
                  <c:v>-1.5141277326297755</c:v>
                </c:pt>
                <c:pt idx="12">
                  <c:v>-2.0794415416798357</c:v>
                </c:pt>
                <c:pt idx="13">
                  <c:v>-2.1839135632765472</c:v>
                </c:pt>
                <c:pt idx="14">
                  <c:v>-2.2018351898939028</c:v>
                </c:pt>
                <c:pt idx="15">
                  <c:v>-2.2072749131897207</c:v>
                </c:pt>
                <c:pt idx="16">
                  <c:v>-2.3025850929940455</c:v>
                </c:pt>
                <c:pt idx="17">
                  <c:v>-2.3268777855630902</c:v>
                </c:pt>
                <c:pt idx="18">
                  <c:v>-2.5783385945805528</c:v>
                </c:pt>
                <c:pt idx="19">
                  <c:v>-2.7968814148088259</c:v>
                </c:pt>
                <c:pt idx="20">
                  <c:v>-2.8051119139453413</c:v>
                </c:pt>
                <c:pt idx="21">
                  <c:v>-2.8824035882469876</c:v>
                </c:pt>
                <c:pt idx="22">
                  <c:v>-2.9759296462578115</c:v>
                </c:pt>
                <c:pt idx="23">
                  <c:v>-2.9957322735539909</c:v>
                </c:pt>
                <c:pt idx="24">
                  <c:v>-2.9957322735539909</c:v>
                </c:pt>
                <c:pt idx="25">
                  <c:v>-2.9957322735539909</c:v>
                </c:pt>
                <c:pt idx="26">
                  <c:v>-3.0407296394847267</c:v>
                </c:pt>
                <c:pt idx="27">
                  <c:v>-3.1700856606987688</c:v>
                </c:pt>
                <c:pt idx="28">
                  <c:v>-3.2416328119908169</c:v>
                </c:pt>
                <c:pt idx="29">
                  <c:v>-3.3524072174927233</c:v>
                </c:pt>
                <c:pt idx="30">
                  <c:v>-3.3524072174927233</c:v>
                </c:pt>
                <c:pt idx="31">
                  <c:v>-3.5065578973199818</c:v>
                </c:pt>
                <c:pt idx="32">
                  <c:v>-3.5301677629591155</c:v>
                </c:pt>
                <c:pt idx="33">
                  <c:v>-3.5578511917075324</c:v>
                </c:pt>
                <c:pt idx="34">
                  <c:v>-3.6888794541139363</c:v>
                </c:pt>
                <c:pt idx="35">
                  <c:v>-3.6888794541139363</c:v>
                </c:pt>
                <c:pt idx="36">
                  <c:v>-3.7090821614314557</c:v>
                </c:pt>
                <c:pt idx="37">
                  <c:v>-3.713172146682981</c:v>
                </c:pt>
                <c:pt idx="38">
                  <c:v>-3.9220733412816475</c:v>
                </c:pt>
                <c:pt idx="39">
                  <c:v>-3.9476501830712971</c:v>
                </c:pt>
                <c:pt idx="40">
                  <c:v>-3.9476501830712971</c:v>
                </c:pt>
                <c:pt idx="41">
                  <c:v>-4.0063336848993876</c:v>
                </c:pt>
                <c:pt idx="42">
                  <c:v>-4.0173835210859723</c:v>
                </c:pt>
                <c:pt idx="43">
                  <c:v>-4.0173835210859723</c:v>
                </c:pt>
                <c:pt idx="44">
                  <c:v>-4.0173835210859723</c:v>
                </c:pt>
                <c:pt idx="45">
                  <c:v>-4.1351665567423561</c:v>
                </c:pt>
                <c:pt idx="46">
                  <c:v>-4.1669152550569359</c:v>
                </c:pt>
                <c:pt idx="47">
                  <c:v>-4.2903594461480576</c:v>
                </c:pt>
                <c:pt idx="48">
                  <c:v>-4.3981560166037657</c:v>
                </c:pt>
                <c:pt idx="49">
                  <c:v>-4.7217040022440431</c:v>
                </c:pt>
              </c:numCache>
            </c:numRef>
          </c:xVal>
          <c:yVal>
            <c:numRef>
              <c:f>Speed!$G$74:$G$123</c:f>
              <c:numCache>
                <c:formatCode>0.00</c:formatCode>
                <c:ptCount val="50"/>
                <c:pt idx="0">
                  <c:v>2.7441892477180834</c:v>
                </c:pt>
                <c:pt idx="1">
                  <c:v>2.7828088186831383</c:v>
                </c:pt>
                <c:pt idx="2">
                  <c:v>3.1495710190204993</c:v>
                </c:pt>
                <c:pt idx="3">
                  <c:v>3.5555761497610203</c:v>
                </c:pt>
                <c:pt idx="4">
                  <c:v>2.967617943559913</c:v>
                </c:pt>
                <c:pt idx="5">
                  <c:v>2.8603227755359732</c:v>
                </c:pt>
                <c:pt idx="6">
                  <c:v>3.371040808791343</c:v>
                </c:pt>
                <c:pt idx="7">
                  <c:v>2.9685820184327247</c:v>
                </c:pt>
                <c:pt idx="8">
                  <c:v>2.5343822932485258</c:v>
                </c:pt>
                <c:pt idx="9">
                  <c:v>2.2434209042259261</c:v>
                </c:pt>
                <c:pt idx="10">
                  <c:v>3.0696787755292481</c:v>
                </c:pt>
                <c:pt idx="11">
                  <c:v>2.6823581692587517</c:v>
                </c:pt>
                <c:pt idx="12">
                  <c:v>2.4697767681912004</c:v>
                </c:pt>
                <c:pt idx="13">
                  <c:v>2.6932321541186552</c:v>
                </c:pt>
                <c:pt idx="14">
                  <c:v>2.8106789889869161</c:v>
                </c:pt>
                <c:pt idx="15">
                  <c:v>2.169133697169694</c:v>
                </c:pt>
                <c:pt idx="16">
                  <c:v>2.8047768318115933</c:v>
                </c:pt>
                <c:pt idx="17">
                  <c:v>2.6828456174770317</c:v>
                </c:pt>
                <c:pt idx="18">
                  <c:v>2.8197024820282688</c:v>
                </c:pt>
                <c:pt idx="19">
                  <c:v>2.6425768431408256</c:v>
                </c:pt>
                <c:pt idx="20">
                  <c:v>2.4894045191904128</c:v>
                </c:pt>
                <c:pt idx="21">
                  <c:v>3.017233457485752</c:v>
                </c:pt>
                <c:pt idx="22">
                  <c:v>2.9370034036638186</c:v>
                </c:pt>
                <c:pt idx="23">
                  <c:v>2.3680503096166894</c:v>
                </c:pt>
                <c:pt idx="24">
                  <c:v>2.7673766630265288</c:v>
                </c:pt>
                <c:pt idx="25">
                  <c:v>2.5006540067556395</c:v>
                </c:pt>
                <c:pt idx="26">
                  <c:v>2.6145945406134228</c:v>
                </c:pt>
                <c:pt idx="27">
                  <c:v>2.816397930590774</c:v>
                </c:pt>
                <c:pt idx="28">
                  <c:v>2.4925414305359395</c:v>
                </c:pt>
                <c:pt idx="29">
                  <c:v>3.4412039398045176</c:v>
                </c:pt>
                <c:pt idx="30">
                  <c:v>2.6146498763630981</c:v>
                </c:pt>
                <c:pt idx="31">
                  <c:v>1.886855080559666</c:v>
                </c:pt>
                <c:pt idx="32">
                  <c:v>2.7891670393831705</c:v>
                </c:pt>
                <c:pt idx="33">
                  <c:v>2.6274473365701105</c:v>
                </c:pt>
                <c:pt idx="34">
                  <c:v>2.3690003893866645</c:v>
                </c:pt>
                <c:pt idx="35">
                  <c:v>2.1233627287377641</c:v>
                </c:pt>
                <c:pt idx="36">
                  <c:v>2.5443032237445906</c:v>
                </c:pt>
                <c:pt idx="37">
                  <c:v>2.4976864392915403</c:v>
                </c:pt>
                <c:pt idx="38">
                  <c:v>2.5438035682193858</c:v>
                </c:pt>
                <c:pt idx="39">
                  <c:v>2.6319626215873897</c:v>
                </c:pt>
                <c:pt idx="40">
                  <c:v>2.3081754378572583</c:v>
                </c:pt>
                <c:pt idx="41">
                  <c:v>2.5671758001744283</c:v>
                </c:pt>
                <c:pt idx="42">
                  <c:v>2.5217237072433094</c:v>
                </c:pt>
                <c:pt idx="43">
                  <c:v>2.1581169457889722</c:v>
                </c:pt>
                <c:pt idx="44">
                  <c:v>2.5058962194481329</c:v>
                </c:pt>
                <c:pt idx="45">
                  <c:v>2.5366638365608387</c:v>
                </c:pt>
                <c:pt idx="46">
                  <c:v>2.505832175809128</c:v>
                </c:pt>
                <c:pt idx="47">
                  <c:v>2.4046952278830185</c:v>
                </c:pt>
                <c:pt idx="48">
                  <c:v>2.3607577323333873</c:v>
                </c:pt>
                <c:pt idx="49">
                  <c:v>2.2643619684837089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23D-49C3-B5E0-D32C912BD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70399"/>
        <c:axId val="129688703"/>
      </c:scatterChart>
      <c:valAx>
        <c:axId val="12967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 body mass (kg)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688703"/>
        <c:crosses val="autoZero"/>
        <c:crossBetween val="midCat"/>
      </c:valAx>
      <c:valAx>
        <c:axId val="12968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 speed (km/h)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670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285749</xdr:colOff>
      <xdr:row>0</xdr:row>
      <xdr:rowOff>0</xdr:rowOff>
    </xdr:from>
    <xdr:to>
      <xdr:col>29</xdr:col>
      <xdr:colOff>598714</xdr:colOff>
      <xdr:row>51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35D1C32-2AF3-407D-A423-673EFE89B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587828</xdr:colOff>
      <xdr:row>1</xdr:row>
      <xdr:rowOff>44904</xdr:rowOff>
    </xdr:from>
    <xdr:to>
      <xdr:col>20</xdr:col>
      <xdr:colOff>273503</xdr:colOff>
      <xdr:row>32</xdr:row>
      <xdr:rowOff>72117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D437E42-B60C-4660-8AC7-F0AFE2EA6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219354</xdr:colOff>
      <xdr:row>0</xdr:row>
      <xdr:rowOff>187417</xdr:rowOff>
    </xdr:from>
    <xdr:to>
      <xdr:col>16</xdr:col>
      <xdr:colOff>38100</xdr:colOff>
      <xdr:row>19</xdr:row>
      <xdr:rowOff>1680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456BAA6-F83C-42FD-AF33-E46132628D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169329</xdr:colOff>
      <xdr:row>20</xdr:row>
      <xdr:rowOff>177371</xdr:rowOff>
    </xdr:from>
    <xdr:to>
      <xdr:col>18</xdr:col>
      <xdr:colOff>228600</xdr:colOff>
      <xdr:row>44</xdr:row>
      <xdr:rowOff>115460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DC00D98-6797-43E0-BD8D-2FDF56597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560123</xdr:colOff>
      <xdr:row>1</xdr:row>
      <xdr:rowOff>169500</xdr:rowOff>
    </xdr:from>
    <xdr:to>
      <xdr:col>13</xdr:col>
      <xdr:colOff>5686425</xdr:colOff>
      <xdr:row>31</xdr:row>
      <xdr:rowOff>76199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536ECC5-FFBC-43DD-AFDF-D8BEBFD703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270952</xdr:colOff>
      <xdr:row>4</xdr:row>
      <xdr:rowOff>57150</xdr:rowOff>
    </xdr:from>
    <xdr:to>
      <xdr:col>16</xdr:col>
      <xdr:colOff>607302</xdr:colOff>
      <xdr:row>18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C9A7F4A-D0B7-493F-A5DF-6BA573B63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949137</xdr:colOff>
      <xdr:row>9</xdr:row>
      <xdr:rowOff>127746</xdr:rowOff>
    </xdr:from>
    <xdr:to>
      <xdr:col>25</xdr:col>
      <xdr:colOff>419100</xdr:colOff>
      <xdr:row>75</xdr:row>
      <xdr:rowOff>-1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BEE32D7-9985-4B25-A668-8B926C8D1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imalSta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ups"/>
      <sheetName val="Base stats"/>
      <sheetName val="Animals"/>
      <sheetName val="Animals CE"/>
      <sheetName val="Biomes"/>
      <sheetName val="EggMilk"/>
      <sheetName val="Meat"/>
      <sheetName val="Leathers"/>
      <sheetName val="LifeStages"/>
      <sheetName val="Bionics"/>
    </sheetNames>
    <sheetDataSet>
      <sheetData sheetId="0" refreshError="1"/>
      <sheetData sheetId="1">
        <row r="1">
          <cell r="B1" t="str">
            <v>Species</v>
          </cell>
          <cell r="O1" t="str">
            <v>DomesticationLevel</v>
          </cell>
        </row>
        <row r="2">
          <cell r="B2" t="str">
            <v>Ursus maritimus</v>
          </cell>
          <cell r="O2">
            <v>0</v>
          </cell>
        </row>
        <row r="3">
          <cell r="B3" t="str">
            <v>Ursus arctos</v>
          </cell>
          <cell r="O3">
            <v>0</v>
          </cell>
        </row>
        <row r="4">
          <cell r="B4" t="str">
            <v>Procyon lotor</v>
          </cell>
          <cell r="O4">
            <v>0</v>
          </cell>
        </row>
        <row r="5">
          <cell r="B5" t="str">
            <v>Struthio camelus</v>
          </cell>
          <cell r="O5">
            <v>0</v>
          </cell>
        </row>
        <row r="6">
          <cell r="B6" t="str">
            <v>Casuarius casuarius</v>
          </cell>
          <cell r="O6">
            <v>0</v>
          </cell>
        </row>
        <row r="7">
          <cell r="B7" t="str">
            <v>Dromaius novaehollandiae</v>
          </cell>
          <cell r="O7">
            <v>0</v>
          </cell>
        </row>
        <row r="8">
          <cell r="B8" t="str">
            <v>Meleagris gallopavo (wild)</v>
          </cell>
          <cell r="O8">
            <v>0</v>
          </cell>
        </row>
        <row r="9">
          <cell r="B9" t="str">
            <v>Anser anser (Adler)</v>
          </cell>
          <cell r="O9">
            <v>2</v>
          </cell>
        </row>
        <row r="10">
          <cell r="B10" t="str">
            <v>Anas platyrhynchos (wild)</v>
          </cell>
          <cell r="O10">
            <v>0</v>
          </cell>
        </row>
        <row r="11">
          <cell r="B11" t="str">
            <v>Gallus gallus</v>
          </cell>
          <cell r="O11">
            <v>2</v>
          </cell>
        </row>
        <row r="12">
          <cell r="B12" t="str">
            <v>Camelus dromedarius</v>
          </cell>
          <cell r="O12">
            <v>1</v>
          </cell>
        </row>
        <row r="13">
          <cell r="B13" t="str">
            <v>Lama pacos</v>
          </cell>
          <cell r="O13">
            <v>2</v>
          </cell>
        </row>
        <row r="14">
          <cell r="B14" t="str">
            <v>Canis familiaris (Yorkshire terrier)</v>
          </cell>
          <cell r="O14">
            <v>2</v>
          </cell>
        </row>
        <row r="15">
          <cell r="B15" t="str">
            <v>Canis familiaris (Labrador)</v>
          </cell>
          <cell r="O15">
            <v>2</v>
          </cell>
        </row>
        <row r="16">
          <cell r="B16" t="str">
            <v>Canis familiaris (Husky)</v>
          </cell>
          <cell r="O16">
            <v>2</v>
          </cell>
        </row>
        <row r="17">
          <cell r="B17" t="str">
            <v>Puma concolor</v>
          </cell>
          <cell r="O17">
            <v>0</v>
          </cell>
        </row>
        <row r="18">
          <cell r="B18" t="str">
            <v>Panthera pardus</v>
          </cell>
          <cell r="O18">
            <v>0</v>
          </cell>
        </row>
        <row r="19">
          <cell r="B19" t="str">
            <v>Lynx lynx</v>
          </cell>
          <cell r="O19">
            <v>0</v>
          </cell>
        </row>
        <row r="20">
          <cell r="B20" t="str">
            <v>Felis catus</v>
          </cell>
          <cell r="O20">
            <v>2</v>
          </cell>
        </row>
        <row r="21">
          <cell r="B21" t="str">
            <v>Equus caballus</v>
          </cell>
          <cell r="O21">
            <v>1</v>
          </cell>
        </row>
        <row r="22">
          <cell r="B22" t="str">
            <v>Equus africanus</v>
          </cell>
          <cell r="O22">
            <v>1</v>
          </cell>
        </row>
        <row r="23">
          <cell r="B23" t="str">
            <v>Lepus europaeus</v>
          </cell>
          <cell r="O23">
            <v>0</v>
          </cell>
        </row>
        <row r="24">
          <cell r="B24" t="str">
            <v>Lepus timidus</v>
          </cell>
          <cell r="O24">
            <v>0</v>
          </cell>
        </row>
        <row r="25">
          <cell r="B25" t="str">
            <v>Ceratotherium simum</v>
          </cell>
          <cell r="O25">
            <v>0</v>
          </cell>
        </row>
        <row r="26">
          <cell r="B26" t="str">
            <v>Loxodonta africana</v>
          </cell>
          <cell r="O26">
            <v>0</v>
          </cell>
        </row>
        <row r="27">
          <cell r="B27" t="str">
            <v>Thrumbo magnificus</v>
          </cell>
          <cell r="O27">
            <v>0</v>
          </cell>
        </row>
        <row r="28">
          <cell r="B28" t="str">
            <v>Megatherium americanum</v>
          </cell>
          <cell r="O28">
            <v>0</v>
          </cell>
        </row>
        <row r="29">
          <cell r="B29" t="str">
            <v>Sus scrofa</v>
          </cell>
          <cell r="O29">
            <v>0</v>
          </cell>
        </row>
        <row r="30">
          <cell r="B30" t="str">
            <v>Sus scrofa (domestic)</v>
          </cell>
          <cell r="O30">
            <v>2</v>
          </cell>
        </row>
        <row r="31">
          <cell r="B31" t="str">
            <v>Macaca mulatta</v>
          </cell>
          <cell r="O31">
            <v>0</v>
          </cell>
        </row>
        <row r="32">
          <cell r="B32" t="str">
            <v>Iguana iguana</v>
          </cell>
          <cell r="O32">
            <v>0</v>
          </cell>
        </row>
        <row r="33">
          <cell r="B33" t="str">
            <v>Ophiophagus hannah</v>
          </cell>
          <cell r="O33">
            <v>0</v>
          </cell>
        </row>
        <row r="34">
          <cell r="B34" t="str">
            <v>Manouria emys</v>
          </cell>
          <cell r="O34">
            <v>0</v>
          </cell>
        </row>
        <row r="35">
          <cell r="B35" t="str">
            <v>Rattus norvegicus</v>
          </cell>
          <cell r="O35">
            <v>0</v>
          </cell>
        </row>
        <row r="36">
          <cell r="B36" t="str">
            <v>Sciurus vulgaris</v>
          </cell>
          <cell r="O36">
            <v>0</v>
          </cell>
        </row>
        <row r="37">
          <cell r="B37" t="str">
            <v>Cavia porcellus</v>
          </cell>
          <cell r="O37">
            <v>1</v>
          </cell>
        </row>
        <row r="38">
          <cell r="B38" t="str">
            <v>Chinchilla lanigera</v>
          </cell>
          <cell r="O38">
            <v>0</v>
          </cell>
        </row>
        <row r="39">
          <cell r="B39" t="str">
            <v>Hydrochaeris hydrochaeris</v>
          </cell>
          <cell r="O39">
            <v>0</v>
          </cell>
        </row>
        <row r="40">
          <cell r="B40" t="str">
            <v>Castor nocivus</v>
          </cell>
          <cell r="O40">
            <v>1</v>
          </cell>
        </row>
        <row r="41">
          <cell r="B41" t="str">
            <v>Boomerifer explosivus</v>
          </cell>
          <cell r="O41">
            <v>0</v>
          </cell>
        </row>
        <row r="42">
          <cell r="B42" t="str">
            <v>Bison bison</v>
          </cell>
          <cell r="O42">
            <v>0</v>
          </cell>
        </row>
        <row r="43">
          <cell r="B43" t="str">
            <v>Bos taurus</v>
          </cell>
          <cell r="O43">
            <v>2</v>
          </cell>
        </row>
        <row r="44">
          <cell r="B44" t="str">
            <v>Pseudobison sargentus</v>
          </cell>
          <cell r="O44">
            <v>0</v>
          </cell>
        </row>
        <row r="45">
          <cell r="B45" t="str">
            <v>Bos grunniens</v>
          </cell>
          <cell r="O45">
            <v>1</v>
          </cell>
        </row>
        <row r="46">
          <cell r="B46" t="str">
            <v>Cervus elaphus</v>
          </cell>
          <cell r="O46">
            <v>0</v>
          </cell>
        </row>
        <row r="47">
          <cell r="B47" t="str">
            <v>Bombaria proliferans</v>
          </cell>
          <cell r="O47">
            <v>0</v>
          </cell>
        </row>
        <row r="48">
          <cell r="B48" t="str">
            <v>Bombaria toxiferans</v>
          </cell>
          <cell r="O48">
            <v>0</v>
          </cell>
        </row>
        <row r="49">
          <cell r="B49" t="str">
            <v>Rangifer tarandus</v>
          </cell>
          <cell r="O49">
            <v>1</v>
          </cell>
        </row>
        <row r="50">
          <cell r="B50" t="str">
            <v>Capra ibex</v>
          </cell>
          <cell r="O50">
            <v>0</v>
          </cell>
        </row>
        <row r="51">
          <cell r="B51" t="str">
            <v>Capra hircus</v>
          </cell>
          <cell r="O51">
            <v>2</v>
          </cell>
        </row>
        <row r="52">
          <cell r="B52" t="str">
            <v>Ovis aries</v>
          </cell>
          <cell r="O52">
            <v>2</v>
          </cell>
        </row>
        <row r="53">
          <cell r="B53" t="str">
            <v>Odocoileus hemionus</v>
          </cell>
          <cell r="O53">
            <v>0</v>
          </cell>
        </row>
        <row r="54">
          <cell r="B54" t="str">
            <v>Gazella gazella</v>
          </cell>
          <cell r="O54">
            <v>0</v>
          </cell>
        </row>
        <row r="55">
          <cell r="B55" t="str">
            <v>Canis tyrannus</v>
          </cell>
          <cell r="O55">
            <v>1</v>
          </cell>
        </row>
        <row r="56">
          <cell r="B56" t="str">
            <v>Canis lupus lupus</v>
          </cell>
          <cell r="O56">
            <v>0</v>
          </cell>
        </row>
        <row r="57">
          <cell r="B57" t="str">
            <v>Canis lupus albus</v>
          </cell>
          <cell r="O57">
            <v>0</v>
          </cell>
        </row>
        <row r="58">
          <cell r="B58" t="str">
            <v>Vulpes vulpes</v>
          </cell>
          <cell r="O58">
            <v>0</v>
          </cell>
        </row>
        <row r="59">
          <cell r="B59" t="str">
            <v>Vulpes lagopus</v>
          </cell>
          <cell r="O59">
            <v>0</v>
          </cell>
        </row>
        <row r="60">
          <cell r="B60" t="str">
            <v>Vulpes zerda</v>
          </cell>
          <cell r="O60">
            <v>0</v>
          </cell>
        </row>
        <row r="61">
          <cell r="B61" t="str">
            <v>Rattus macrosordidus</v>
          </cell>
          <cell r="O61">
            <v>0</v>
          </cell>
        </row>
        <row r="62">
          <cell r="B62" t="str">
            <v>Ailuropoda melanoleuca</v>
          </cell>
          <cell r="O62">
            <v>0</v>
          </cell>
        </row>
        <row r="63">
          <cell r="B63" t="str">
            <v>Passer domesticus</v>
          </cell>
          <cell r="O63">
            <v>0</v>
          </cell>
        </row>
        <row r="64">
          <cell r="B64" t="str">
            <v>Sialia sialis</v>
          </cell>
          <cell r="O64">
            <v>0</v>
          </cell>
        </row>
        <row r="65">
          <cell r="B65" t="str">
            <v>Corvus corone</v>
          </cell>
          <cell r="O65">
            <v>0</v>
          </cell>
        </row>
        <row r="66">
          <cell r="B66" t="str">
            <v>Ara macao</v>
          </cell>
          <cell r="O66">
            <v>0</v>
          </cell>
        </row>
        <row r="67">
          <cell r="B67" t="str">
            <v>Coturnix coturnix</v>
          </cell>
          <cell r="O67">
            <v>0</v>
          </cell>
        </row>
        <row r="68">
          <cell r="B68" t="str">
            <v>Cygnus olor</v>
          </cell>
          <cell r="O68">
            <v>0</v>
          </cell>
        </row>
        <row r="69">
          <cell r="B69" t="str">
            <v>Ardea cinerea</v>
          </cell>
          <cell r="O69">
            <v>0</v>
          </cell>
        </row>
        <row r="70">
          <cell r="B70" t="str">
            <v>Phoenicopterus roseus</v>
          </cell>
          <cell r="O70">
            <v>0</v>
          </cell>
        </row>
        <row r="71">
          <cell r="B71" t="str">
            <v>Aptenodytes forsteri</v>
          </cell>
          <cell r="O71">
            <v>0</v>
          </cell>
        </row>
        <row r="72">
          <cell r="B72" t="str">
            <v>Pavo cristatus</v>
          </cell>
          <cell r="O72">
            <v>0</v>
          </cell>
        </row>
        <row r="73">
          <cell r="B73" t="str">
            <v>Gyps africanus</v>
          </cell>
          <cell r="O73">
            <v>0</v>
          </cell>
        </row>
        <row r="74">
          <cell r="B74" t="str">
            <v>Panthera tigris</v>
          </cell>
          <cell r="O74">
            <v>0</v>
          </cell>
        </row>
        <row r="75">
          <cell r="B75" t="str">
            <v>Homotherium serum</v>
          </cell>
          <cell r="O75">
            <v>0</v>
          </cell>
        </row>
        <row r="76">
          <cell r="B76" t="str">
            <v>Lithobates catesbeianus</v>
          </cell>
          <cell r="O76">
            <v>0</v>
          </cell>
        </row>
        <row r="77">
          <cell r="B77" t="str">
            <v>Macrobufo giganteus</v>
          </cell>
          <cell r="O77">
            <v>1</v>
          </cell>
        </row>
        <row r="78">
          <cell r="B78" t="str">
            <v>Hippopotamus amphibius</v>
          </cell>
          <cell r="O78">
            <v>0</v>
          </cell>
        </row>
        <row r="79">
          <cell r="B79" t="str">
            <v>Mammut americanum</v>
          </cell>
          <cell r="O79">
            <v>0</v>
          </cell>
        </row>
        <row r="80">
          <cell r="B80" t="str">
            <v>Thrumbo magnificus (alpha)</v>
          </cell>
          <cell r="O80">
            <v>0</v>
          </cell>
        </row>
        <row r="81">
          <cell r="B81" t="str">
            <v>Euphractus sexcinctus</v>
          </cell>
          <cell r="O81">
            <v>0</v>
          </cell>
        </row>
        <row r="82">
          <cell r="B82" t="str">
            <v>Gulo gulo</v>
          </cell>
          <cell r="O82">
            <v>0</v>
          </cell>
        </row>
        <row r="83">
          <cell r="B83" t="str">
            <v>Mustela vison</v>
          </cell>
          <cell r="O83">
            <v>0</v>
          </cell>
        </row>
        <row r="84">
          <cell r="B84" t="str">
            <v>Meles meles</v>
          </cell>
          <cell r="O84">
            <v>0</v>
          </cell>
        </row>
        <row r="85">
          <cell r="B85" t="str">
            <v>Lutra lutra</v>
          </cell>
          <cell r="O85">
            <v>0</v>
          </cell>
        </row>
        <row r="86">
          <cell r="B86" t="str">
            <v>Zalophus californianus</v>
          </cell>
          <cell r="O86">
            <v>0</v>
          </cell>
        </row>
        <row r="87">
          <cell r="B87" t="str">
            <v>Phoca vitulina</v>
          </cell>
          <cell r="O87">
            <v>0</v>
          </cell>
        </row>
        <row r="88">
          <cell r="B88" t="str">
            <v>Odobenus rosmarus</v>
          </cell>
          <cell r="O88">
            <v>0</v>
          </cell>
        </row>
        <row r="89">
          <cell r="B89" t="str">
            <v>Gorilla gorilla</v>
          </cell>
          <cell r="O89">
            <v>0</v>
          </cell>
        </row>
        <row r="90">
          <cell r="B90" t="str">
            <v>Varanus komodoensis</v>
          </cell>
          <cell r="O90">
            <v>0</v>
          </cell>
        </row>
        <row r="91">
          <cell r="B91" t="str">
            <v>Alligator mississippiensis</v>
          </cell>
          <cell r="O91">
            <v>0</v>
          </cell>
        </row>
        <row r="92">
          <cell r="B92" t="str">
            <v>Chelonia mydas</v>
          </cell>
          <cell r="O92">
            <v>0</v>
          </cell>
        </row>
        <row r="93">
          <cell r="B93" t="str">
            <v>Cynomys ludovicianus</v>
          </cell>
          <cell r="O93">
            <v>0</v>
          </cell>
        </row>
        <row r="94">
          <cell r="B94" t="str">
            <v>Erethizon dorsatum</v>
          </cell>
          <cell r="O94">
            <v>0</v>
          </cell>
        </row>
        <row r="95">
          <cell r="B95" t="str">
            <v>Gigantomyini giganteus</v>
          </cell>
          <cell r="O95">
            <v>0</v>
          </cell>
        </row>
        <row r="96">
          <cell r="B96" t="str">
            <v>Alces alces</v>
          </cell>
          <cell r="O96">
            <v>0</v>
          </cell>
        </row>
        <row r="97">
          <cell r="B97" t="str">
            <v>Ovibos moschatus</v>
          </cell>
          <cell r="O97">
            <v>0</v>
          </cell>
        </row>
        <row r="98">
          <cell r="B98" t="str">
            <v>Megaachatina magnus</v>
          </cell>
          <cell r="O98">
            <v>1</v>
          </cell>
        </row>
        <row r="99">
          <cell r="B99" t="str">
            <v>Canis sordidus</v>
          </cell>
          <cell r="O99">
            <v>0</v>
          </cell>
        </row>
        <row r="100">
          <cell r="B100" t="str">
            <v>Aenocyon dirus</v>
          </cell>
          <cell r="O100">
            <v>0</v>
          </cell>
        </row>
        <row r="101">
          <cell r="B101" t="str">
            <v>Menippe mercenaria</v>
          </cell>
          <cell r="O101">
            <v>0</v>
          </cell>
        </row>
        <row r="102">
          <cell r="B102" t="str">
            <v>Coenobita perlatus</v>
          </cell>
          <cell r="O102">
            <v>0</v>
          </cell>
        </row>
        <row r="103">
          <cell r="B103" t="str">
            <v>Titanocoleus ferox</v>
          </cell>
          <cell r="O103">
            <v>0</v>
          </cell>
        </row>
        <row r="104">
          <cell r="B104" t="str">
            <v>Cryptomorphus serpentinus</v>
          </cell>
          <cell r="O104">
            <v>0</v>
          </cell>
        </row>
        <row r="105">
          <cell r="B105" t="str">
            <v>Gigarachne bellator</v>
          </cell>
          <cell r="O105">
            <v>0</v>
          </cell>
        </row>
        <row r="106">
          <cell r="B106" t="str">
            <v>Imperatombis regina</v>
          </cell>
          <cell r="O106">
            <v>0</v>
          </cell>
        </row>
        <row r="107">
          <cell r="B107" t="str">
            <v>Imperatombis juvenis</v>
          </cell>
          <cell r="O107">
            <v>0</v>
          </cell>
        </row>
        <row r="108">
          <cell r="B108" t="str">
            <v>Voracilocus devastans</v>
          </cell>
          <cell r="O108">
            <v>0</v>
          </cell>
        </row>
        <row r="109">
          <cell r="B109" t="str">
            <v>Canis latrans latrans</v>
          </cell>
          <cell r="O109">
            <v>0</v>
          </cell>
        </row>
        <row r="110">
          <cell r="B110" t="str">
            <v>Giraffa camelopardalis</v>
          </cell>
          <cell r="O110">
            <v>0</v>
          </cell>
        </row>
        <row r="111">
          <cell r="B111" t="str">
            <v>Equus burchellii</v>
          </cell>
          <cell r="O111">
            <v>0</v>
          </cell>
        </row>
        <row r="112">
          <cell r="B112" t="str">
            <v>Connochaetes taurinus</v>
          </cell>
          <cell r="O112">
            <v>0</v>
          </cell>
        </row>
        <row r="113">
          <cell r="B113" t="str">
            <v>Crocodylus porosus</v>
          </cell>
          <cell r="O113">
            <v>0</v>
          </cell>
        </row>
        <row r="114">
          <cell r="B114" t="str">
            <v>Acinonyx jubatus</v>
          </cell>
          <cell r="O114">
            <v>0</v>
          </cell>
        </row>
        <row r="115">
          <cell r="B115" t="str">
            <v>Vombatus explosivus</v>
          </cell>
          <cell r="O115">
            <v>0</v>
          </cell>
        </row>
        <row r="116">
          <cell r="B116" t="str">
            <v>Macropus rufus</v>
          </cell>
          <cell r="O116">
            <v>0</v>
          </cell>
        </row>
        <row r="117">
          <cell r="B117" t="str">
            <v>Phascolarctos cinereus</v>
          </cell>
          <cell r="O117">
            <v>0</v>
          </cell>
        </row>
        <row r="118">
          <cell r="B118" t="str">
            <v>Ornithorhynchus anatinus</v>
          </cell>
          <cell r="O118">
            <v>0</v>
          </cell>
        </row>
        <row r="119">
          <cell r="B119" t="str">
            <v>Canis latrans incolatus</v>
          </cell>
          <cell r="O119">
            <v>0</v>
          </cell>
        </row>
        <row r="120">
          <cell r="B120" t="str">
            <v>Ursus americanus</v>
          </cell>
          <cell r="O120">
            <v>0</v>
          </cell>
        </row>
        <row r="121">
          <cell r="B121" t="str">
            <v>Crocuta crocuta</v>
          </cell>
          <cell r="O121">
            <v>0</v>
          </cell>
        </row>
        <row r="122">
          <cell r="B122" t="str">
            <v>Centrochelys sulcata</v>
          </cell>
          <cell r="O122">
            <v>0</v>
          </cell>
        </row>
        <row r="123">
          <cell r="B123" t="str">
            <v>Panthera leo</v>
          </cell>
          <cell r="O123">
            <v>0</v>
          </cell>
        </row>
        <row r="124">
          <cell r="B124" t="str">
            <v>Heloderma horridum</v>
          </cell>
          <cell r="O124">
            <v>0</v>
          </cell>
        </row>
        <row r="125">
          <cell r="B125" t="str">
            <v>Camelus bactrianus</v>
          </cell>
          <cell r="O125">
            <v>1</v>
          </cell>
        </row>
        <row r="126">
          <cell r="B126" t="str">
            <v>Crotalus adamanteus</v>
          </cell>
          <cell r="O126">
            <v>0</v>
          </cell>
        </row>
        <row r="127">
          <cell r="B127" t="str">
            <v>Gigascorpio bellator</v>
          </cell>
          <cell r="O127">
            <v>0</v>
          </cell>
        </row>
        <row r="128">
          <cell r="B128" t="str">
            <v>Ailurus fulgens</v>
          </cell>
          <cell r="O128">
            <v>0</v>
          </cell>
        </row>
        <row r="129">
          <cell r="B129" t="str">
            <v>Branta canadensis</v>
          </cell>
          <cell r="O129">
            <v>0</v>
          </cell>
        </row>
        <row r="130">
          <cell r="B130" t="str">
            <v>Castor fiber</v>
          </cell>
          <cell r="O130">
            <v>0</v>
          </cell>
        </row>
        <row r="131">
          <cell r="B131" t="str">
            <v>Erinaceus europaeus</v>
          </cell>
          <cell r="O131">
            <v>0</v>
          </cell>
        </row>
        <row r="132">
          <cell r="B132" t="str">
            <v>Panthera onca</v>
          </cell>
          <cell r="O132">
            <v>0</v>
          </cell>
        </row>
        <row r="133">
          <cell r="B133" t="str">
            <v>Lemur catta</v>
          </cell>
          <cell r="O133">
            <v>0</v>
          </cell>
        </row>
        <row r="134">
          <cell r="B134" t="str">
            <v>Mandrillus sphinx</v>
          </cell>
          <cell r="O134">
            <v>0</v>
          </cell>
        </row>
        <row r="135">
          <cell r="B135" t="str">
            <v>Tapirus bairdii</v>
          </cell>
          <cell r="O135">
            <v>0</v>
          </cell>
        </row>
        <row r="136">
          <cell r="B136" t="str">
            <v>Eunectes murinus</v>
          </cell>
          <cell r="O136">
            <v>0</v>
          </cell>
        </row>
        <row r="137">
          <cell r="B137" t="str">
            <v>Elephas maximus</v>
          </cell>
          <cell r="O137">
            <v>0</v>
          </cell>
        </row>
        <row r="138">
          <cell r="B138" t="str">
            <v>Gulo ferox</v>
          </cell>
          <cell r="O138">
            <v>1</v>
          </cell>
        </row>
        <row r="139">
          <cell r="B139" t="str">
            <v>Canis familiaris (Beagle)</v>
          </cell>
          <cell r="O139">
            <v>2</v>
          </cell>
        </row>
        <row r="140">
          <cell r="B140" t="str">
            <v>Canis familiaris (Chihuahua)</v>
          </cell>
          <cell r="O140">
            <v>2</v>
          </cell>
        </row>
        <row r="141">
          <cell r="B141" t="str">
            <v>Canis familiaris (Corgi)</v>
          </cell>
          <cell r="O141">
            <v>2</v>
          </cell>
        </row>
        <row r="142">
          <cell r="B142" t="str">
            <v>Canis familiaris (French bulldog)</v>
          </cell>
          <cell r="O142">
            <v>2</v>
          </cell>
        </row>
        <row r="143">
          <cell r="B143" t="str">
            <v>Canis familiaris (German shepherd)</v>
          </cell>
          <cell r="O143">
            <v>2</v>
          </cell>
        </row>
        <row r="144">
          <cell r="B144" t="str">
            <v>Canis familiaris (Great dane)</v>
          </cell>
          <cell r="O144">
            <v>2</v>
          </cell>
        </row>
        <row r="145">
          <cell r="B145" t="str">
            <v>Canis familiaris (Poodle)</v>
          </cell>
          <cell r="O145">
            <v>2</v>
          </cell>
        </row>
        <row r="146">
          <cell r="B146" t="str">
            <v>Canis familiaris (Pug)</v>
          </cell>
          <cell r="O146">
            <v>2</v>
          </cell>
        </row>
        <row r="147">
          <cell r="B147" t="str">
            <v>Canis familiaris (Rottweiler)</v>
          </cell>
          <cell r="O147">
            <v>2</v>
          </cell>
        </row>
        <row r="148">
          <cell r="B148" t="str">
            <v>Canis familiaris (Shih-Tzu)</v>
          </cell>
          <cell r="O148">
            <v>2</v>
          </cell>
        </row>
        <row r="149">
          <cell r="B149" t="str">
            <v>Canis familiaris (AiredaleTerrier)</v>
          </cell>
          <cell r="O149">
            <v>2</v>
          </cell>
        </row>
        <row r="150">
          <cell r="B150" t="str">
            <v>Felis catus (Abyssinian)</v>
          </cell>
          <cell r="O150">
            <v>2</v>
          </cell>
        </row>
        <row r="151">
          <cell r="B151" t="str">
            <v>Felis catus (Bengal)</v>
          </cell>
          <cell r="O151">
            <v>2</v>
          </cell>
        </row>
        <row r="152">
          <cell r="B152" t="str">
            <v>Felis catus (British Shorthair)</v>
          </cell>
          <cell r="O152">
            <v>2</v>
          </cell>
        </row>
        <row r="153">
          <cell r="B153" t="str">
            <v>Felis catus (Maine Coon)</v>
          </cell>
          <cell r="O153">
            <v>2</v>
          </cell>
        </row>
        <row r="154">
          <cell r="B154" t="str">
            <v>Felis catus (Munchkin)</v>
          </cell>
          <cell r="O154">
            <v>2</v>
          </cell>
        </row>
        <row r="155">
          <cell r="B155" t="str">
            <v>Felis catus (Norwegian Forest)</v>
          </cell>
          <cell r="O155">
            <v>2</v>
          </cell>
        </row>
        <row r="156">
          <cell r="B156" t="str">
            <v>Felis catus (Persian)</v>
          </cell>
          <cell r="O156">
            <v>2</v>
          </cell>
        </row>
        <row r="157">
          <cell r="B157" t="str">
            <v>Felis catus (Siamese)</v>
          </cell>
          <cell r="O157">
            <v>2</v>
          </cell>
        </row>
        <row r="158">
          <cell r="B158" t="str">
            <v>Felis catus (Somali)</v>
          </cell>
          <cell r="O158">
            <v>2</v>
          </cell>
        </row>
        <row r="159">
          <cell r="B159" t="str">
            <v>Felis catus (Sphynx)</v>
          </cell>
          <cell r="O159">
            <v>2</v>
          </cell>
        </row>
        <row r="160">
          <cell r="B160" t="str">
            <v>Kaliscus invictus</v>
          </cell>
          <cell r="O160">
            <v>0</v>
          </cell>
        </row>
        <row r="161">
          <cell r="B161" t="str">
            <v>Smilodon populator</v>
          </cell>
          <cell r="O161">
            <v>1</v>
          </cell>
        </row>
        <row r="162">
          <cell r="B162" t="str">
            <v>Phasianus colchicus</v>
          </cell>
          <cell r="O162">
            <v>0</v>
          </cell>
        </row>
        <row r="163">
          <cell r="B163" t="str">
            <v>Pongo pygmaeus</v>
          </cell>
          <cell r="O163">
            <v>0</v>
          </cell>
        </row>
        <row r="164">
          <cell r="B164" t="str">
            <v>Gallus giganteus</v>
          </cell>
          <cell r="O164">
            <v>1</v>
          </cell>
        </row>
        <row r="165">
          <cell r="B165" t="str">
            <v>Grus japonensis</v>
          </cell>
          <cell r="O165">
            <v>0</v>
          </cell>
        </row>
        <row r="166">
          <cell r="B166" t="str">
            <v>Oryctolagus cuniculus (Angora)</v>
          </cell>
          <cell r="O166">
            <v>1</v>
          </cell>
        </row>
        <row r="167">
          <cell r="B167" t="str">
            <v>Harpactotyrannus venator</v>
          </cell>
          <cell r="O167">
            <v>0</v>
          </cell>
        </row>
        <row r="168">
          <cell r="B168" t="str">
            <v>Daspletosuchus ferox</v>
          </cell>
          <cell r="O168">
            <v>0</v>
          </cell>
        </row>
        <row r="169">
          <cell r="B169" t="str">
            <v>Asciotaurus validus</v>
          </cell>
          <cell r="O169">
            <v>0</v>
          </cell>
        </row>
        <row r="170">
          <cell r="B170" t="str">
            <v>Arthropython serpentes</v>
          </cell>
          <cell r="O170">
            <v>0</v>
          </cell>
        </row>
        <row r="171">
          <cell r="B171" t="str">
            <v>Talpobaena armata</v>
          </cell>
          <cell r="O171">
            <v>0</v>
          </cell>
        </row>
        <row r="172">
          <cell r="B172" t="str">
            <v>Paragnathus paradocus</v>
          </cell>
          <cell r="O172">
            <v>0</v>
          </cell>
        </row>
        <row r="173">
          <cell r="B173" t="str">
            <v>Mustela nigripes</v>
          </cell>
          <cell r="O173">
            <v>0</v>
          </cell>
        </row>
        <row r="174">
          <cell r="B174" t="str">
            <v>Diceros bicornis</v>
          </cell>
          <cell r="O174">
            <v>0</v>
          </cell>
        </row>
        <row r="175">
          <cell r="B175" t="str">
            <v>Pan paniscus</v>
          </cell>
          <cell r="O175">
            <v>0</v>
          </cell>
        </row>
        <row r="176">
          <cell r="B176" t="str">
            <v>Dinornis novaezealandiae</v>
          </cell>
          <cell r="O176">
            <v>0</v>
          </cell>
        </row>
        <row r="177">
          <cell r="B177" t="str">
            <v>Equus quagga</v>
          </cell>
          <cell r="O177">
            <v>0</v>
          </cell>
        </row>
        <row r="178">
          <cell r="B178" t="str">
            <v>Eudyptes chrysocome</v>
          </cell>
          <cell r="O178">
            <v>0</v>
          </cell>
        </row>
        <row r="179">
          <cell r="B179" t="str">
            <v>Sarcophilus harrisii</v>
          </cell>
          <cell r="O179">
            <v>0</v>
          </cell>
        </row>
        <row r="180">
          <cell r="B180" t="str">
            <v>Thylacinus cynocephalus</v>
          </cell>
          <cell r="O180">
            <v>0</v>
          </cell>
        </row>
        <row r="181">
          <cell r="B181" t="str">
            <v>Lycaon pictus</v>
          </cell>
          <cell r="O181">
            <v>0</v>
          </cell>
        </row>
        <row r="182">
          <cell r="B182" t="str">
            <v>Manis crassicaudata</v>
          </cell>
          <cell r="O182">
            <v>0</v>
          </cell>
        </row>
        <row r="183">
          <cell r="B183" t="str">
            <v>Hydra toxifera</v>
          </cell>
          <cell r="O183">
            <v>0</v>
          </cell>
        </row>
        <row r="184">
          <cell r="B184" t="str">
            <v>Megatardi gigantea</v>
          </cell>
          <cell r="O184">
            <v>0</v>
          </cell>
        </row>
        <row r="185">
          <cell r="B185" t="str">
            <v>Pestigator ferox</v>
          </cell>
          <cell r="O185">
            <v>0</v>
          </cell>
        </row>
        <row r="186">
          <cell r="B186" t="str">
            <v>Vulpes toxifera</v>
          </cell>
          <cell r="O186">
            <v>0</v>
          </cell>
        </row>
        <row r="187">
          <cell r="B187" t="str">
            <v>Ursus toxus</v>
          </cell>
          <cell r="O187">
            <v>0</v>
          </cell>
        </row>
        <row r="188">
          <cell r="B188" t="str">
            <v>Iguana toxifera</v>
          </cell>
          <cell r="O188">
            <v>0</v>
          </cell>
        </row>
        <row r="189">
          <cell r="B189" t="str">
            <v>Panthera toxileo</v>
          </cell>
          <cell r="O189">
            <v>0</v>
          </cell>
        </row>
        <row r="190">
          <cell r="B190" t="str">
            <v>Toxoscorpio bellator</v>
          </cell>
          <cell r="O190">
            <v>0</v>
          </cell>
        </row>
        <row r="191">
          <cell r="B191" t="str">
            <v>Sus toxiscrofa</v>
          </cell>
          <cell r="O191">
            <v>0</v>
          </cell>
        </row>
        <row r="192">
          <cell r="B192" t="str">
            <v>Odocoileus toxus</v>
          </cell>
          <cell r="O192">
            <v>0</v>
          </cell>
        </row>
        <row r="193">
          <cell r="B193" t="str">
            <v>Pseudobison toxus</v>
          </cell>
          <cell r="O193">
            <v>0</v>
          </cell>
        </row>
        <row r="194">
          <cell r="B194" t="str">
            <v>Acanthamoeba gigantea (small)</v>
          </cell>
          <cell r="O194">
            <v>0</v>
          </cell>
        </row>
        <row r="195">
          <cell r="B195" t="str">
            <v>Acanthamoeba gigantea (large)</v>
          </cell>
          <cell r="O195">
            <v>0</v>
          </cell>
        </row>
        <row r="196">
          <cell r="B196" t="str">
            <v>Acanthamoeba gigantea (huge)</v>
          </cell>
          <cell r="O196">
            <v>0</v>
          </cell>
        </row>
        <row r="197">
          <cell r="B197" t="str">
            <v>Teratomor primordius</v>
          </cell>
          <cell r="O197">
            <v>0</v>
          </cell>
        </row>
        <row r="198">
          <cell r="B198" t="str">
            <v>Protofluidum viride</v>
          </cell>
          <cell r="O198">
            <v>0</v>
          </cell>
        </row>
        <row r="199">
          <cell r="B199" t="str">
            <v>Protofluidum rubrum</v>
          </cell>
          <cell r="O199">
            <v>0</v>
          </cell>
        </row>
        <row r="200">
          <cell r="B200" t="str">
            <v>Sporus ruber</v>
          </cell>
          <cell r="O200">
            <v>0</v>
          </cell>
        </row>
        <row r="201">
          <cell r="B201" t="str">
            <v>Gelatinous oculi</v>
          </cell>
          <cell r="O201">
            <v>0</v>
          </cell>
        </row>
        <row r="202">
          <cell r="B202" t="str">
            <v>Pterodyna aeria</v>
          </cell>
          <cell r="O202">
            <v>0</v>
          </cell>
        </row>
        <row r="203">
          <cell r="B203" t="str">
            <v>Pterodyna aeria (colossal)</v>
          </cell>
          <cell r="O203">
            <v>0</v>
          </cell>
        </row>
        <row r="204">
          <cell r="B204" t="str">
            <v>Pterodyna aeria (infected)</v>
          </cell>
          <cell r="O204">
            <v>0</v>
          </cell>
        </row>
        <row r="205">
          <cell r="B205" t="str">
            <v>Angelis luminata</v>
          </cell>
          <cell r="O205">
            <v>0</v>
          </cell>
        </row>
        <row r="206">
          <cell r="B206" t="str">
            <v>Angelis luminata (larva)</v>
          </cell>
          <cell r="O206">
            <v>0</v>
          </cell>
        </row>
        <row r="207">
          <cell r="B207" t="str">
            <v>Haemophagus infinitus</v>
          </cell>
          <cell r="O207">
            <v>0</v>
          </cell>
        </row>
        <row r="208">
          <cell r="B208" t="str">
            <v>Haemophagus infinitus (larva)</v>
          </cell>
          <cell r="O208">
            <v>0</v>
          </cell>
        </row>
        <row r="209">
          <cell r="B209" t="str">
            <v>Papilio imperatrix</v>
          </cell>
          <cell r="O209">
            <v>0</v>
          </cell>
        </row>
        <row r="210">
          <cell r="B210" t="str">
            <v>Papilio imperatrix (larva)</v>
          </cell>
          <cell r="O210">
            <v>0</v>
          </cell>
        </row>
        <row r="211">
          <cell r="B211" t="str">
            <v>Pediculus giganteus</v>
          </cell>
          <cell r="O211">
            <v>0</v>
          </cell>
        </row>
        <row r="212">
          <cell r="B212" t="str">
            <v>Caridea sanguinea</v>
          </cell>
          <cell r="O212">
            <v>0</v>
          </cell>
        </row>
        <row r="213">
          <cell r="B213" t="str">
            <v>Caridea raptrix</v>
          </cell>
          <cell r="O213">
            <v>0</v>
          </cell>
        </row>
        <row r="214">
          <cell r="B214" t="str">
            <v>Metallophagus xenus</v>
          </cell>
          <cell r="O214">
            <v>0</v>
          </cell>
        </row>
        <row r="215">
          <cell r="B215" t="str">
            <v>Acarus glacialis</v>
          </cell>
          <cell r="O215">
            <v>0</v>
          </cell>
        </row>
        <row r="216">
          <cell r="B216" t="str">
            <v>Coleoptera ferrum</v>
          </cell>
          <cell r="O216">
            <v>0</v>
          </cell>
        </row>
        <row r="217">
          <cell r="B217" t="str">
            <v>Coleoptera lucifer</v>
          </cell>
          <cell r="O217">
            <v>0</v>
          </cell>
        </row>
        <row r="218">
          <cell r="B218" t="str">
            <v>Speculum vividum (larva)</v>
          </cell>
          <cell r="O218">
            <v>0</v>
          </cell>
        </row>
        <row r="219">
          <cell r="B219" t="str">
            <v>Speculum vividum</v>
          </cell>
          <cell r="O219">
            <v>0</v>
          </cell>
        </row>
        <row r="220">
          <cell r="B220" t="str">
            <v>Vespa incendium</v>
          </cell>
          <cell r="O220">
            <v>0</v>
          </cell>
        </row>
        <row r="221">
          <cell r="B221" t="str">
            <v>Bombus militaris</v>
          </cell>
          <cell r="O221">
            <v>0</v>
          </cell>
        </row>
        <row r="222">
          <cell r="B222" t="str">
            <v>Bombus militaris (hierophant)</v>
          </cell>
          <cell r="O222">
            <v>0</v>
          </cell>
        </row>
        <row r="223">
          <cell r="B223" t="str">
            <v>Bombus militaris (queen)</v>
          </cell>
          <cell r="O223">
            <v>0</v>
          </cell>
        </row>
        <row r="224">
          <cell r="B224" t="str">
            <v>Echidna projectilis</v>
          </cell>
          <cell r="O224">
            <v>0</v>
          </cell>
        </row>
        <row r="225">
          <cell r="B225" t="str">
            <v>Formica chemurgica</v>
          </cell>
          <cell r="O225">
            <v>0</v>
          </cell>
        </row>
        <row r="226">
          <cell r="B226" t="str">
            <v>Cimex titanus</v>
          </cell>
          <cell r="O226">
            <v>0</v>
          </cell>
        </row>
        <row r="227">
          <cell r="B227" t="str">
            <v>Coleoptera crepusculi</v>
          </cell>
          <cell r="O227">
            <v>0</v>
          </cell>
        </row>
        <row r="228">
          <cell r="B228" t="str">
            <v>Arthrocolossus behemoth</v>
          </cell>
          <cell r="O228">
            <v>0</v>
          </cell>
        </row>
        <row r="229">
          <cell r="B229" t="str">
            <v>Devourer maximus</v>
          </cell>
          <cell r="O229">
            <v>0</v>
          </cell>
        </row>
        <row r="230">
          <cell r="B230" t="str">
            <v>Vermis collectivus</v>
          </cell>
          <cell r="O230">
            <v>0</v>
          </cell>
        </row>
        <row r="231">
          <cell r="B231" t="str">
            <v>Araneodraco animalis</v>
          </cell>
          <cell r="O231">
            <v>0</v>
          </cell>
        </row>
        <row r="232">
          <cell r="B232" t="str">
            <v>Araneodraco ferus</v>
          </cell>
          <cell r="O232">
            <v>0</v>
          </cell>
        </row>
        <row r="233">
          <cell r="B233" t="str">
            <v>Araneodraco ferus (clutch mother)</v>
          </cell>
          <cell r="O233">
            <v>0</v>
          </cell>
        </row>
        <row r="234">
          <cell r="B234" t="str">
            <v>Araneodraco arenosus</v>
          </cell>
          <cell r="O234">
            <v>0</v>
          </cell>
        </row>
        <row r="235">
          <cell r="B235" t="str">
            <v>Araneodraco arenosus (clutch mother)</v>
          </cell>
          <cell r="O235">
            <v>0</v>
          </cell>
        </row>
        <row r="236">
          <cell r="B236" t="str">
            <v>Araneodraco glacialis</v>
          </cell>
          <cell r="O236">
            <v>0</v>
          </cell>
        </row>
        <row r="237">
          <cell r="B237" t="str">
            <v>Araneodraco glacialis (clutch mother)</v>
          </cell>
          <cell r="O237">
            <v>0</v>
          </cell>
        </row>
        <row r="238">
          <cell r="B238" t="str">
            <v>Araneodraco ignis</v>
          </cell>
          <cell r="O238">
            <v>0</v>
          </cell>
        </row>
        <row r="239">
          <cell r="B239" t="str">
            <v>Araneodraco sylvanus</v>
          </cell>
          <cell r="O239">
            <v>0</v>
          </cell>
        </row>
        <row r="240">
          <cell r="B240" t="str">
            <v>Titanocoleus niger</v>
          </cell>
          <cell r="O240">
            <v>0</v>
          </cell>
        </row>
        <row r="241">
          <cell r="B241" t="str">
            <v>Cryptomorphus niger</v>
          </cell>
          <cell r="O241">
            <v>0</v>
          </cell>
        </row>
        <row r="242">
          <cell r="B242" t="str">
            <v>Gigarachne niger</v>
          </cell>
          <cell r="O242">
            <v>0</v>
          </cell>
        </row>
        <row r="243">
          <cell r="B243" t="str">
            <v>Devastator rapax</v>
          </cell>
          <cell r="O243">
            <v>0</v>
          </cell>
        </row>
        <row r="244">
          <cell r="B244" t="str">
            <v>Thermophis titan</v>
          </cell>
          <cell r="O244">
            <v>0</v>
          </cell>
        </row>
        <row r="245">
          <cell r="B245" t="str">
            <v>Vermes mammuthus</v>
          </cell>
          <cell r="O245">
            <v>0</v>
          </cell>
        </row>
        <row r="246">
          <cell r="B246" t="str">
            <v>Megacancer montanus</v>
          </cell>
          <cell r="O246">
            <v>0</v>
          </cell>
        </row>
        <row r="247">
          <cell r="B247" t="str">
            <v>Megacancer lapidus</v>
          </cell>
          <cell r="O247">
            <v>0</v>
          </cell>
        </row>
        <row r="248">
          <cell r="B248" t="str">
            <v>Megacancer petreus</v>
          </cell>
          <cell r="O248">
            <v>0</v>
          </cell>
        </row>
        <row r="249">
          <cell r="B249" t="str">
            <v>Acarus crystallis</v>
          </cell>
          <cell r="O249">
            <v>0</v>
          </cell>
        </row>
        <row r="250">
          <cell r="B250" t="str">
            <v>Terramorpha mutabilis</v>
          </cell>
          <cell r="O250">
            <v>0</v>
          </cell>
        </row>
        <row r="251">
          <cell r="B251" t="str">
            <v>Helix giganteus</v>
          </cell>
          <cell r="O251">
            <v>1</v>
          </cell>
        </row>
        <row r="252">
          <cell r="B252" t="str">
            <v>Limax tetrapodium</v>
          </cell>
          <cell r="O252">
            <v>1</v>
          </cell>
        </row>
        <row r="253">
          <cell r="B253" t="str">
            <v>Plasmodium morphicus</v>
          </cell>
          <cell r="O253">
            <v>0</v>
          </cell>
        </row>
        <row r="254">
          <cell r="B254" t="str">
            <v>Loligo arenae</v>
          </cell>
          <cell r="O254">
            <v>1</v>
          </cell>
        </row>
        <row r="255">
          <cell r="B255" t="str">
            <v>Petrovorax asphaltus</v>
          </cell>
          <cell r="O255">
            <v>0</v>
          </cell>
        </row>
        <row r="256">
          <cell r="B256" t="str">
            <v>Sylphalis borealis</v>
          </cell>
          <cell r="O256">
            <v>0</v>
          </cell>
        </row>
        <row r="257">
          <cell r="B257" t="str">
            <v>Mycodermis tegumentum</v>
          </cell>
          <cell r="O257">
            <v>0</v>
          </cell>
        </row>
        <row r="258">
          <cell r="B258" t="str">
            <v>Mimo sapientis</v>
          </cell>
          <cell r="O258">
            <v>0</v>
          </cell>
        </row>
        <row r="259">
          <cell r="B259" t="str">
            <v>Mantis carnifera</v>
          </cell>
          <cell r="O259">
            <v>0</v>
          </cell>
        </row>
        <row r="260">
          <cell r="B260" t="str">
            <v>Echinopsios fixus</v>
          </cell>
          <cell r="O260">
            <v>0</v>
          </cell>
        </row>
        <row r="261">
          <cell r="B261" t="str">
            <v>Echinopsios volans</v>
          </cell>
          <cell r="O261">
            <v>0</v>
          </cell>
        </row>
        <row r="262">
          <cell r="B262" t="str">
            <v>Hystrix succulentis</v>
          </cell>
          <cell r="O262">
            <v>0</v>
          </cell>
        </row>
        <row r="263">
          <cell r="B263" t="str">
            <v>Technoscolopendra mucosa</v>
          </cell>
          <cell r="O263">
            <v>2</v>
          </cell>
        </row>
        <row r="264">
          <cell r="B264" t="str">
            <v>Tentaculabomination gorga</v>
          </cell>
          <cell r="O264">
            <v>0</v>
          </cell>
        </row>
        <row r="265">
          <cell r="B265" t="str">
            <v>Carnis putridus (mature)</v>
          </cell>
          <cell r="O265">
            <v>0</v>
          </cell>
        </row>
        <row r="266">
          <cell r="B266" t="str">
            <v>Oculus viventis</v>
          </cell>
          <cell r="O266">
            <v>0</v>
          </cell>
        </row>
        <row r="267">
          <cell r="B267" t="str">
            <v>Oculus immortalis</v>
          </cell>
          <cell r="O267">
            <v>0</v>
          </cell>
        </row>
        <row r="268">
          <cell r="B268" t="str">
            <v>Anguilla coelestis</v>
          </cell>
          <cell r="O268">
            <v>0</v>
          </cell>
        </row>
        <row r="269">
          <cell r="B269" t="str">
            <v>Mycopion sylvestris</v>
          </cell>
          <cell r="O269">
            <v>0</v>
          </cell>
        </row>
        <row r="270">
          <cell r="B270" t="str">
            <v>Mycopodium sylvestris</v>
          </cell>
          <cell r="O270">
            <v>0</v>
          </cell>
        </row>
        <row r="271">
          <cell r="B271" t="str">
            <v>Mycopion ferus</v>
          </cell>
          <cell r="O271">
            <v>0</v>
          </cell>
        </row>
        <row r="272">
          <cell r="B272" t="str">
            <v>Mycopodium ferus</v>
          </cell>
          <cell r="O272">
            <v>0</v>
          </cell>
        </row>
        <row r="273">
          <cell r="B273" t="str">
            <v>Gallus titanicus</v>
          </cell>
          <cell r="O273">
            <v>0</v>
          </cell>
        </row>
        <row r="274">
          <cell r="B274" t="str">
            <v>Gallus titanicus (moribund)</v>
          </cell>
          <cell r="O274">
            <v>0</v>
          </cell>
        </row>
        <row r="275">
          <cell r="B275" t="str">
            <v>Bestia ventus</v>
          </cell>
          <cell r="O275">
            <v>0</v>
          </cell>
        </row>
        <row r="276">
          <cell r="B276" t="str">
            <v>Bestia tonitrus</v>
          </cell>
          <cell r="O276">
            <v>0</v>
          </cell>
        </row>
        <row r="277">
          <cell r="B277" t="str">
            <v>Bestia nigra</v>
          </cell>
          <cell r="O277">
            <v>0</v>
          </cell>
        </row>
        <row r="278">
          <cell r="B278" t="str">
            <v>Panthera glacialis</v>
          </cell>
          <cell r="O278">
            <v>0</v>
          </cell>
        </row>
        <row r="279">
          <cell r="B279" t="str">
            <v>Panthera arenae</v>
          </cell>
          <cell r="O279">
            <v>0</v>
          </cell>
        </row>
        <row r="280">
          <cell r="B280" t="str">
            <v>Genix ferox</v>
          </cell>
          <cell r="O280">
            <v>0</v>
          </cell>
        </row>
        <row r="281">
          <cell r="B281" t="str">
            <v>Genix frostis</v>
          </cell>
          <cell r="O281">
            <v>0</v>
          </cell>
        </row>
        <row r="282">
          <cell r="B282" t="str">
            <v>Feliscopus phoenix</v>
          </cell>
          <cell r="O282">
            <v>2</v>
          </cell>
        </row>
        <row r="283">
          <cell r="B283" t="str">
            <v>Caracal crystallinus</v>
          </cell>
          <cell r="O283">
            <v>0</v>
          </cell>
        </row>
        <row r="284">
          <cell r="B284" t="str">
            <v>Glaciulus parvus</v>
          </cell>
          <cell r="O284">
            <v>0</v>
          </cell>
        </row>
        <row r="285">
          <cell r="B285" t="str">
            <v>Jaculus acutis</v>
          </cell>
          <cell r="O285">
            <v>0</v>
          </cell>
        </row>
        <row r="286">
          <cell r="B286" t="str">
            <v>Erin similis</v>
          </cell>
          <cell r="O286">
            <v>0</v>
          </cell>
        </row>
        <row r="287">
          <cell r="B287" t="str">
            <v>Canis saltator</v>
          </cell>
          <cell r="O287">
            <v>1</v>
          </cell>
        </row>
        <row r="288">
          <cell r="B288" t="str">
            <v>Canis lacerator</v>
          </cell>
          <cell r="O288">
            <v>1</v>
          </cell>
        </row>
        <row r="289">
          <cell r="B289" t="str">
            <v>Vulpes animalis</v>
          </cell>
          <cell r="O289">
            <v>1</v>
          </cell>
        </row>
        <row r="290">
          <cell r="B290" t="str">
            <v>Bombos vivificalis</v>
          </cell>
          <cell r="O290">
            <v>1</v>
          </cell>
        </row>
        <row r="291">
          <cell r="B291" t="str">
            <v>Bos radiatus</v>
          </cell>
          <cell r="O291">
            <v>1</v>
          </cell>
        </row>
        <row r="292">
          <cell r="B292" t="str">
            <v>Bos chamaeleon</v>
          </cell>
          <cell r="O292">
            <v>1</v>
          </cell>
        </row>
        <row r="293">
          <cell r="B293" t="str">
            <v>Capra electronica</v>
          </cell>
          <cell r="O293">
            <v>2</v>
          </cell>
        </row>
        <row r="294">
          <cell r="B294" t="str">
            <v>Caprabos aculeus</v>
          </cell>
          <cell r="O294">
            <v>2</v>
          </cell>
        </row>
        <row r="295">
          <cell r="B295" t="str">
            <v>Ovis malignus</v>
          </cell>
          <cell r="O295">
            <v>2</v>
          </cell>
        </row>
        <row r="296">
          <cell r="B296" t="str">
            <v>Ovis griseus</v>
          </cell>
          <cell r="O296">
            <v>1</v>
          </cell>
        </row>
        <row r="297">
          <cell r="B297" t="str">
            <v>Antilope giganteus</v>
          </cell>
          <cell r="O297">
            <v>1</v>
          </cell>
        </row>
        <row r="298">
          <cell r="B298" t="str">
            <v>Mus fissilis</v>
          </cell>
          <cell r="O298">
            <v>0</v>
          </cell>
        </row>
        <row r="299">
          <cell r="B299" t="str">
            <v>Mus fissilis (second form)</v>
          </cell>
          <cell r="O299">
            <v>0</v>
          </cell>
        </row>
        <row r="300">
          <cell r="B300" t="str">
            <v>Mus fissilis (third form)</v>
          </cell>
          <cell r="O300">
            <v>0</v>
          </cell>
        </row>
        <row r="301">
          <cell r="B301" t="str">
            <v>Canis terrestris</v>
          </cell>
          <cell r="O301">
            <v>1</v>
          </cell>
        </row>
        <row r="302">
          <cell r="B302" t="str">
            <v>Draco putrefactus</v>
          </cell>
          <cell r="O302">
            <v>0</v>
          </cell>
        </row>
        <row r="303">
          <cell r="B303" t="str">
            <v>Carcharofelis arenae</v>
          </cell>
          <cell r="O303">
            <v>0</v>
          </cell>
        </row>
        <row r="304">
          <cell r="B304" t="str">
            <v>Salvator electronis</v>
          </cell>
          <cell r="O304">
            <v>0</v>
          </cell>
        </row>
        <row r="305">
          <cell r="B305" t="str">
            <v>Anolis audiens</v>
          </cell>
          <cell r="O305">
            <v>0</v>
          </cell>
        </row>
        <row r="306">
          <cell r="B306" t="str">
            <v>Varanus squamosus</v>
          </cell>
          <cell r="O306">
            <v>0</v>
          </cell>
        </row>
        <row r="307">
          <cell r="B307" t="str">
            <v>Gnathus ferox</v>
          </cell>
          <cell r="O307">
            <v>0</v>
          </cell>
        </row>
        <row r="308">
          <cell r="B308" t="str">
            <v>Behemoth giganteus</v>
          </cell>
          <cell r="O308">
            <v>0</v>
          </cell>
        </row>
        <row r="309">
          <cell r="B309" t="str">
            <v>Colossus herbosus</v>
          </cell>
          <cell r="O309">
            <v>0</v>
          </cell>
        </row>
        <row r="310">
          <cell r="B310" t="str">
            <v>Colossus mycoides</v>
          </cell>
          <cell r="O310">
            <v>0</v>
          </cell>
        </row>
        <row r="311">
          <cell r="B311" t="str">
            <v>Colossus animae</v>
          </cell>
          <cell r="O311">
            <v>0</v>
          </cell>
        </row>
        <row r="312">
          <cell r="B312" t="str">
            <v>Murka sapiens</v>
          </cell>
          <cell r="O312">
            <v>0</v>
          </cell>
        </row>
        <row r="313">
          <cell r="B313" t="str">
            <v>Vandalis tenebrosus</v>
          </cell>
          <cell r="O313">
            <v>0</v>
          </cell>
        </row>
        <row r="314">
          <cell r="B314" t="str">
            <v>Crepiscuequs nocturnalis</v>
          </cell>
          <cell r="O314">
            <v>0</v>
          </cell>
        </row>
        <row r="315">
          <cell r="B315" t="str">
            <v>Crepiscuovis nocturnus</v>
          </cell>
          <cell r="O315">
            <v>0</v>
          </cell>
        </row>
        <row r="316">
          <cell r="B316" t="str">
            <v>Rattus nocturnus</v>
          </cell>
          <cell r="O316">
            <v>0</v>
          </cell>
        </row>
        <row r="317">
          <cell r="B317" t="str">
            <v>Crepiscuovis umbrosus</v>
          </cell>
          <cell r="O317">
            <v>0</v>
          </cell>
        </row>
        <row r="318">
          <cell r="B318" t="str">
            <v>Crepiscubos tonitrus</v>
          </cell>
          <cell r="O318">
            <v>0</v>
          </cell>
        </row>
        <row r="319">
          <cell r="B319" t="str">
            <v>Crepisculanius crepusculum</v>
          </cell>
          <cell r="O319">
            <v>0</v>
          </cell>
        </row>
        <row r="320">
          <cell r="B320" t="str">
            <v>Noctiluca ferox</v>
          </cell>
          <cell r="O320">
            <v>0</v>
          </cell>
        </row>
        <row r="321">
          <cell r="B321" t="str">
            <v>Noctiluca oculatus</v>
          </cell>
          <cell r="O321">
            <v>0</v>
          </cell>
        </row>
        <row r="322">
          <cell r="B322" t="str">
            <v>Avis prata</v>
          </cell>
          <cell r="O322">
            <v>0</v>
          </cell>
        </row>
        <row r="323">
          <cell r="B323" t="str">
            <v>Avis nocturnus</v>
          </cell>
          <cell r="O323">
            <v>0</v>
          </cell>
        </row>
        <row r="324">
          <cell r="B324" t="str">
            <v>Avis regalis</v>
          </cell>
          <cell r="O324">
            <v>0</v>
          </cell>
        </row>
        <row r="325">
          <cell r="B325" t="str">
            <v>Avis glacialis</v>
          </cell>
          <cell r="O325">
            <v>0</v>
          </cell>
        </row>
        <row r="326">
          <cell r="B326" t="str">
            <v>Avis desertum</v>
          </cell>
          <cell r="O326">
            <v>0</v>
          </cell>
        </row>
        <row r="327">
          <cell r="B327" t="str">
            <v>Silkie coronatus</v>
          </cell>
          <cell r="O327">
            <v>1</v>
          </cell>
        </row>
        <row r="328">
          <cell r="B328" t="str">
            <v>Phoenicopterus phoenix</v>
          </cell>
          <cell r="O328">
            <v>0</v>
          </cell>
        </row>
        <row r="329">
          <cell r="B329" t="str">
            <v>Velociraptor nobilis</v>
          </cell>
          <cell r="O329">
            <v>2</v>
          </cell>
        </row>
        <row r="330">
          <cell r="B330" t="str">
            <v>Tyrannosaurus rex</v>
          </cell>
          <cell r="O330">
            <v>0</v>
          </cell>
        </row>
        <row r="331">
          <cell r="B331" t="str">
            <v>Yutyrannus huali</v>
          </cell>
          <cell r="O331">
            <v>0</v>
          </cell>
        </row>
        <row r="332">
          <cell r="B332" t="str">
            <v>Carnotaurus sastrei</v>
          </cell>
          <cell r="O332">
            <v>0</v>
          </cell>
        </row>
        <row r="333">
          <cell r="B333" t="str">
            <v>Allosaurus fragilis</v>
          </cell>
          <cell r="O333">
            <v>0</v>
          </cell>
        </row>
        <row r="334">
          <cell r="B334" t="str">
            <v>Spinosaurus aegyptiacus</v>
          </cell>
          <cell r="O334">
            <v>0</v>
          </cell>
        </row>
        <row r="335">
          <cell r="B335" t="str">
            <v>Baryonyx walkeri</v>
          </cell>
          <cell r="O335">
            <v>0</v>
          </cell>
        </row>
        <row r="336">
          <cell r="B336" t="str">
            <v>Ankylosaurus magniventris</v>
          </cell>
          <cell r="O336">
            <v>0</v>
          </cell>
        </row>
        <row r="337">
          <cell r="B337" t="str">
            <v>Minmi paravertebra</v>
          </cell>
          <cell r="O337">
            <v>0</v>
          </cell>
        </row>
        <row r="338">
          <cell r="B338" t="str">
            <v>Giraffatitan brancai</v>
          </cell>
          <cell r="O338">
            <v>0</v>
          </cell>
        </row>
        <row r="339">
          <cell r="B339" t="str">
            <v>Brontosaurus parvus</v>
          </cell>
          <cell r="O339">
            <v>0</v>
          </cell>
        </row>
        <row r="340">
          <cell r="B340" t="str">
            <v>Diplodocus longus</v>
          </cell>
          <cell r="O340">
            <v>0</v>
          </cell>
        </row>
        <row r="341">
          <cell r="B341" t="str">
            <v>Magyarosaurus transsylvanicus</v>
          </cell>
          <cell r="O341">
            <v>0</v>
          </cell>
        </row>
        <row r="342">
          <cell r="B342" t="str">
            <v>Utahraptor ostrommaysi</v>
          </cell>
          <cell r="O342">
            <v>0</v>
          </cell>
        </row>
        <row r="343">
          <cell r="B343" t="str">
            <v>Dakotaraptor steini</v>
          </cell>
          <cell r="O343">
            <v>0</v>
          </cell>
        </row>
        <row r="344">
          <cell r="B344" t="str">
            <v>Dilophosaurus wetherilli</v>
          </cell>
          <cell r="O344">
            <v>0</v>
          </cell>
        </row>
        <row r="345">
          <cell r="B345" t="str">
            <v>Velociraptor mongoliensis</v>
          </cell>
          <cell r="O345">
            <v>0</v>
          </cell>
        </row>
        <row r="346">
          <cell r="B346" t="str">
            <v xml:space="preserve">Compsognathus longipes </v>
          </cell>
          <cell r="O346">
            <v>0</v>
          </cell>
        </row>
        <row r="347">
          <cell r="B347" t="str">
            <v>Gallimimus bullatus</v>
          </cell>
          <cell r="O347">
            <v>0</v>
          </cell>
        </row>
        <row r="348">
          <cell r="B348" t="str">
            <v>Gigantoraptor erlianensis</v>
          </cell>
          <cell r="O348">
            <v>0</v>
          </cell>
        </row>
        <row r="349">
          <cell r="B349" t="str">
            <v>Iguanodon bernissartensis</v>
          </cell>
          <cell r="O349">
            <v>0</v>
          </cell>
        </row>
        <row r="350">
          <cell r="B350" t="str">
            <v>Parasaurolophus walkeri</v>
          </cell>
          <cell r="O350">
            <v>0</v>
          </cell>
        </row>
        <row r="351">
          <cell r="B351" t="str">
            <v>Corythosaurus casuarius</v>
          </cell>
          <cell r="O351">
            <v>0</v>
          </cell>
        </row>
        <row r="352">
          <cell r="B352" t="str">
            <v>Deinocheirus mirificus</v>
          </cell>
          <cell r="O352">
            <v>0</v>
          </cell>
        </row>
        <row r="353">
          <cell r="B353" t="str">
            <v>Therizinosaurus cheloniformis</v>
          </cell>
          <cell r="O353">
            <v>0</v>
          </cell>
        </row>
        <row r="354">
          <cell r="B354" t="str">
            <v>Pachycephalosaurus wyomingensis</v>
          </cell>
          <cell r="O354">
            <v>0</v>
          </cell>
        </row>
        <row r="355">
          <cell r="B355" t="str">
            <v>Stygimoloch spinifer</v>
          </cell>
          <cell r="O355">
            <v>0</v>
          </cell>
        </row>
        <row r="356">
          <cell r="B356" t="str">
            <v>Dryosaurus altus</v>
          </cell>
          <cell r="O356">
            <v>0</v>
          </cell>
        </row>
        <row r="357">
          <cell r="B357" t="str">
            <v>Stegosaurus stenops</v>
          </cell>
          <cell r="O357">
            <v>0</v>
          </cell>
        </row>
        <row r="358">
          <cell r="B358" t="str">
            <v>Protoceratops andrewsi</v>
          </cell>
          <cell r="O358">
            <v>0</v>
          </cell>
        </row>
        <row r="359">
          <cell r="B359" t="str">
            <v>Triceratops horridus</v>
          </cell>
          <cell r="O359">
            <v>0</v>
          </cell>
        </row>
        <row r="360">
          <cell r="B360" t="str">
            <v>Quetzalcoatlus northropi</v>
          </cell>
          <cell r="O360">
            <v>0</v>
          </cell>
        </row>
        <row r="361">
          <cell r="B361" t="str">
            <v>Pteranodon longiceps</v>
          </cell>
          <cell r="O361">
            <v>0</v>
          </cell>
        </row>
        <row r="362">
          <cell r="B362" t="str">
            <v xml:space="preserve">Arthropleura armata </v>
          </cell>
          <cell r="O362">
            <v>0</v>
          </cell>
        </row>
        <row r="363">
          <cell r="B363" t="str">
            <v>Doedicurus clavicaudatus</v>
          </cell>
          <cell r="O363">
            <v>0</v>
          </cell>
        </row>
        <row r="364">
          <cell r="B364" t="str">
            <v>Daeodon shoshonensis</v>
          </cell>
          <cell r="O364">
            <v>0</v>
          </cell>
        </row>
        <row r="365">
          <cell r="B365" t="str">
            <v>Gigantopithecus blacki</v>
          </cell>
          <cell r="O365">
            <v>0</v>
          </cell>
        </row>
        <row r="366">
          <cell r="B366" t="str">
            <v>Paraceratherium transouralicum</v>
          </cell>
          <cell r="O366">
            <v>0</v>
          </cell>
        </row>
        <row r="367">
          <cell r="B367" t="str">
            <v>Titanis walleri</v>
          </cell>
          <cell r="O367">
            <v>0</v>
          </cell>
        </row>
        <row r="368">
          <cell r="B368" t="str">
            <v>Titanoboa cerrejonensis</v>
          </cell>
          <cell r="O368">
            <v>0</v>
          </cell>
        </row>
        <row r="369">
          <cell r="B369" t="str">
            <v xml:space="preserve">Mammuthus primigenius </v>
          </cell>
          <cell r="O369">
            <v>0</v>
          </cell>
        </row>
        <row r="370">
          <cell r="B370" t="str">
            <v>Elasmotherium sibiricum</v>
          </cell>
          <cell r="O370">
            <v>0</v>
          </cell>
        </row>
        <row r="371">
          <cell r="B371" t="str">
            <v>Smilodon fatalis</v>
          </cell>
          <cell r="O371">
            <v>0</v>
          </cell>
        </row>
        <row r="372">
          <cell r="B372" t="str">
            <v>Chalicotherium goldfussi</v>
          </cell>
          <cell r="O372">
            <v>0</v>
          </cell>
        </row>
        <row r="373">
          <cell r="B373" t="str">
            <v>Megaloceros giganteus</v>
          </cell>
          <cell r="O373">
            <v>0</v>
          </cell>
        </row>
        <row r="374">
          <cell r="B374" t="str">
            <v>Procoptodon goliah</v>
          </cell>
          <cell r="O374">
            <v>0</v>
          </cell>
        </row>
        <row r="375">
          <cell r="B375" t="str">
            <v>Varanus priscus</v>
          </cell>
          <cell r="O375">
            <v>0</v>
          </cell>
        </row>
        <row r="376">
          <cell r="B376" t="str">
            <v>Gomphotaria pugnax</v>
          </cell>
          <cell r="O376">
            <v>0</v>
          </cell>
        </row>
        <row r="377">
          <cell r="B377" t="str">
            <v>Diprotodon optatum</v>
          </cell>
          <cell r="O377">
            <v>0</v>
          </cell>
        </row>
        <row r="378">
          <cell r="B378" t="str">
            <v>Arctodus simus</v>
          </cell>
          <cell r="O378">
            <v>0</v>
          </cell>
        </row>
        <row r="379">
          <cell r="B379" t="str">
            <v>Dinocrocuta gigantea</v>
          </cell>
          <cell r="O379">
            <v>0</v>
          </cell>
        </row>
        <row r="380">
          <cell r="B380" t="str">
            <v>Sivatherium giganteum</v>
          </cell>
          <cell r="O380">
            <v>0</v>
          </cell>
        </row>
        <row r="381">
          <cell r="B381" t="str">
            <v>Andrewsarchus mongoliensis</v>
          </cell>
          <cell r="O381">
            <v>0</v>
          </cell>
        </row>
        <row r="382">
          <cell r="B382" t="str">
            <v>Dinornis novaezealandiae</v>
          </cell>
          <cell r="O382">
            <v>0</v>
          </cell>
        </row>
        <row r="383">
          <cell r="B383" t="str">
            <v>Macrauchenia patachonica</v>
          </cell>
          <cell r="O383">
            <v>0</v>
          </cell>
        </row>
        <row r="384">
          <cell r="B384" t="str">
            <v>Quinkana barbara</v>
          </cell>
          <cell r="O384">
            <v>0</v>
          </cell>
        </row>
        <row r="385">
          <cell r="B385" t="str">
            <v>Deinotherium proavum</v>
          </cell>
          <cell r="O385">
            <v>0</v>
          </cell>
        </row>
        <row r="386">
          <cell r="B386" t="str">
            <v>Bos primigenius</v>
          </cell>
          <cell r="O386">
            <v>0</v>
          </cell>
        </row>
        <row r="387">
          <cell r="B387" t="str">
            <v>Megalochelys atlas</v>
          </cell>
          <cell r="O387">
            <v>0</v>
          </cell>
        </row>
        <row r="388">
          <cell r="B388" t="str">
            <v>Palaeeudyptes klekowskii</v>
          </cell>
          <cell r="O388">
            <v>0</v>
          </cell>
        </row>
        <row r="389">
          <cell r="B389" t="str">
            <v>Josephoartigasia monesi</v>
          </cell>
          <cell r="O389">
            <v>0</v>
          </cell>
        </row>
        <row r="390">
          <cell r="B390" t="str">
            <v>Gigantophis garstini</v>
          </cell>
          <cell r="O390">
            <v>0</v>
          </cell>
        </row>
        <row r="391">
          <cell r="B391" t="str">
            <v>Meganeura monyi</v>
          </cell>
          <cell r="O391">
            <v>0</v>
          </cell>
        </row>
        <row r="392">
          <cell r="B392" t="str">
            <v>Mastodon turicensis</v>
          </cell>
          <cell r="O392">
            <v>0</v>
          </cell>
        </row>
        <row r="393">
          <cell r="B393" t="str">
            <v>Platybelodon danovi</v>
          </cell>
          <cell r="O393">
            <v>0</v>
          </cell>
        </row>
        <row r="394">
          <cell r="B394" t="str">
            <v>Purussaurus brasilensis</v>
          </cell>
          <cell r="O394">
            <v>0</v>
          </cell>
        </row>
        <row r="395">
          <cell r="B395" t="str">
            <v>Uintatherium anceps</v>
          </cell>
          <cell r="O395">
            <v>0</v>
          </cell>
        </row>
        <row r="396">
          <cell r="B396" t="str">
            <v>Pulmonoscorpius kirktonensis</v>
          </cell>
          <cell r="O396">
            <v>0</v>
          </cell>
        </row>
        <row r="397">
          <cell r="B397" t="str">
            <v>Dinopithecus ingens</v>
          </cell>
          <cell r="O397">
            <v>0</v>
          </cell>
        </row>
        <row r="398">
          <cell r="B398" t="str">
            <v>Castoroides ohioensis</v>
          </cell>
          <cell r="O398">
            <v>0</v>
          </cell>
        </row>
        <row r="399">
          <cell r="B399" t="str">
            <v xml:space="preserve">Enhydriodon dikikae </v>
          </cell>
          <cell r="O39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zslpublications.onlinelibrary.wiley.com/doi/10.1111/jzo.12349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050C3-4706-4560-809B-127BDF96F50D}">
  <dimension ref="A1:I398"/>
  <sheetViews>
    <sheetView tabSelected="1" topLeftCell="K1" zoomScale="85" zoomScaleNormal="85" workbookViewId="0">
      <selection activeCell="AE21" sqref="AE21"/>
    </sheetView>
  </sheetViews>
  <sheetFormatPr defaultRowHeight="15" x14ac:dyDescent="0.25"/>
  <cols>
    <col min="1" max="1" width="57.28515625" style="10" bestFit="1" customWidth="1"/>
    <col min="2" max="2" width="14.28515625" style="10" bestFit="1" customWidth="1"/>
    <col min="3" max="3" width="23.140625" style="10" bestFit="1" customWidth="1"/>
    <col min="4" max="4" width="48" style="10" customWidth="1"/>
    <col min="5" max="5" width="30.5703125" style="10" bestFit="1" customWidth="1"/>
    <col min="6" max="6" width="26.7109375" style="10" customWidth="1"/>
    <col min="7" max="7" width="15.28515625" style="10" bestFit="1" customWidth="1"/>
    <col min="8" max="8" width="23.140625" style="10" bestFit="1" customWidth="1"/>
    <col min="9" max="9" width="17.5703125" style="10" bestFit="1" customWidth="1"/>
    <col min="10" max="10" width="25.28515625" style="10" bestFit="1" customWidth="1"/>
    <col min="11" max="11" width="9.140625" style="10" bestFit="1" customWidth="1"/>
    <col min="12" max="12" width="7.5703125" style="10" bestFit="1" customWidth="1"/>
    <col min="13" max="13" width="13.42578125" style="10" bestFit="1" customWidth="1"/>
    <col min="14" max="14" width="106.140625" style="10" bestFit="1" customWidth="1"/>
    <col min="15" max="15" width="27.5703125" style="10" bestFit="1" customWidth="1"/>
    <col min="16" max="16" width="13.42578125" style="10" bestFit="1" customWidth="1"/>
    <col min="17" max="16384" width="9.140625" style="10"/>
  </cols>
  <sheetData>
    <row r="1" spans="1:9" x14ac:dyDescent="0.25">
      <c r="A1" s="29" t="s">
        <v>220</v>
      </c>
      <c r="B1" s="29"/>
      <c r="C1" s="29"/>
      <c r="D1" s="29"/>
      <c r="E1" s="29"/>
      <c r="F1" s="29"/>
      <c r="G1" s="30"/>
      <c r="H1" s="30"/>
      <c r="I1" s="30"/>
    </row>
    <row r="2" spans="1:9" x14ac:dyDescent="0.25">
      <c r="A2" s="10" t="s">
        <v>180</v>
      </c>
      <c r="B2" s="10" t="s">
        <v>226</v>
      </c>
      <c r="C2" s="10" t="s">
        <v>227</v>
      </c>
      <c r="D2" s="10" t="s">
        <v>228</v>
      </c>
      <c r="E2" s="10" t="s">
        <v>229</v>
      </c>
      <c r="F2" s="10" t="s">
        <v>230</v>
      </c>
      <c r="G2" s="10" t="s">
        <v>231</v>
      </c>
      <c r="H2" s="10" t="s">
        <v>232</v>
      </c>
      <c r="I2" s="10" t="s">
        <v>383</v>
      </c>
    </row>
    <row r="3" spans="1:9" x14ac:dyDescent="0.25">
      <c r="A3" s="29" t="s">
        <v>233</v>
      </c>
      <c r="B3" s="29"/>
      <c r="C3" s="29"/>
      <c r="D3" s="29"/>
      <c r="E3" s="29"/>
      <c r="F3" s="29"/>
      <c r="G3" s="30"/>
      <c r="H3" s="30"/>
      <c r="I3" s="13"/>
    </row>
    <row r="4" spans="1:9" x14ac:dyDescent="0.25">
      <c r="A4" s="2" t="s">
        <v>25</v>
      </c>
      <c r="B4" s="10">
        <v>30</v>
      </c>
      <c r="C4" s="10">
        <v>2783.1</v>
      </c>
      <c r="D4" s="3">
        <f t="shared" ref="D4:D14" si="0">C4*(1/B4)^(2/3)</f>
        <v>288.25795957733948</v>
      </c>
      <c r="E4" s="10" t="s">
        <v>234</v>
      </c>
      <c r="F4" s="10" t="s">
        <v>235</v>
      </c>
      <c r="G4" s="3">
        <f t="shared" ref="G4:H84" si="1">LN(B4)</f>
        <v>3.4011973816621555</v>
      </c>
      <c r="H4" s="3">
        <f t="shared" si="1"/>
        <v>7.9313206933273355</v>
      </c>
      <c r="I4" s="3">
        <f>C4/EXP(0.3439*LN(B4)+6.8519)</f>
        <v>0.91370173854550152</v>
      </c>
    </row>
    <row r="5" spans="1:9" x14ac:dyDescent="0.25">
      <c r="A5" s="2" t="s">
        <v>25</v>
      </c>
      <c r="B5" s="10">
        <v>30</v>
      </c>
      <c r="C5" s="10">
        <v>2914.5</v>
      </c>
      <c r="D5" s="3">
        <f t="shared" si="0"/>
        <v>301.86763795341744</v>
      </c>
      <c r="E5" s="10" t="s">
        <v>234</v>
      </c>
      <c r="F5" s="10" t="s">
        <v>235</v>
      </c>
      <c r="G5" s="3">
        <f t="shared" si="1"/>
        <v>3.4011973816621555</v>
      </c>
      <c r="H5" s="3">
        <f t="shared" si="1"/>
        <v>7.977453557485604</v>
      </c>
      <c r="I5" s="3">
        <f t="shared" ref="I5:I14" si="2">C5/EXP(0.3439*LN(B5)+6.8519)</f>
        <v>0.95684083108435358</v>
      </c>
    </row>
    <row r="6" spans="1:9" x14ac:dyDescent="0.25">
      <c r="A6" s="2" t="s">
        <v>25</v>
      </c>
      <c r="B6" s="10">
        <v>60</v>
      </c>
      <c r="C6" s="10">
        <v>4335.5</v>
      </c>
      <c r="D6" s="3">
        <f t="shared" si="0"/>
        <v>282.88181097146014</v>
      </c>
      <c r="E6" s="10" t="s">
        <v>234</v>
      </c>
      <c r="F6" s="10" t="s">
        <v>235</v>
      </c>
      <c r="G6" s="3">
        <f t="shared" si="1"/>
        <v>4.0943445622221004</v>
      </c>
      <c r="H6" s="3">
        <f t="shared" si="1"/>
        <v>8.3745922228172152</v>
      </c>
      <c r="I6" s="3">
        <f t="shared" si="2"/>
        <v>1.1214776295402693</v>
      </c>
    </row>
    <row r="7" spans="1:9" x14ac:dyDescent="0.25">
      <c r="A7" s="2" t="s">
        <v>25</v>
      </c>
      <c r="B7" s="10">
        <v>38</v>
      </c>
      <c r="C7" s="10">
        <v>2489.9</v>
      </c>
      <c r="D7" s="3">
        <f t="shared" si="0"/>
        <v>220.2890148786511</v>
      </c>
      <c r="E7" s="10" t="s">
        <v>234</v>
      </c>
      <c r="F7" s="10" t="s">
        <v>235</v>
      </c>
      <c r="G7" s="3">
        <f t="shared" si="1"/>
        <v>3.6375861597263857</v>
      </c>
      <c r="H7" s="3">
        <f t="shared" si="1"/>
        <v>7.8199978280097229</v>
      </c>
      <c r="I7" s="3">
        <f t="shared" si="2"/>
        <v>0.75361921960717249</v>
      </c>
    </row>
    <row r="8" spans="1:9" x14ac:dyDescent="0.25">
      <c r="A8" s="2" t="s">
        <v>25</v>
      </c>
      <c r="B8" s="10">
        <v>30</v>
      </c>
      <c r="C8" s="10">
        <v>2543.8000000000002</v>
      </c>
      <c r="D8" s="3">
        <f t="shared" si="0"/>
        <v>263.47260162151423</v>
      </c>
      <c r="E8" s="10" t="s">
        <v>234</v>
      </c>
      <c r="F8" s="10" t="s">
        <v>235</v>
      </c>
      <c r="G8" s="3">
        <f t="shared" si="1"/>
        <v>3.4011973816621555</v>
      </c>
      <c r="H8" s="3">
        <f t="shared" si="1"/>
        <v>7.8414143050173841</v>
      </c>
      <c r="I8" s="3">
        <f t="shared" si="2"/>
        <v>0.83513868797817081</v>
      </c>
    </row>
    <row r="9" spans="1:9" x14ac:dyDescent="0.25">
      <c r="A9" s="2" t="s">
        <v>25</v>
      </c>
      <c r="B9" s="10">
        <v>37</v>
      </c>
      <c r="C9" s="10">
        <v>3687.3</v>
      </c>
      <c r="D9" s="3">
        <f t="shared" si="0"/>
        <v>332.07842252903049</v>
      </c>
      <c r="E9" s="10" t="s">
        <v>234</v>
      </c>
      <c r="F9" s="10" t="s">
        <v>235</v>
      </c>
      <c r="G9" s="3">
        <f t="shared" si="1"/>
        <v>3.6109179126442243</v>
      </c>
      <c r="H9" s="3">
        <f t="shared" si="1"/>
        <v>8.2126497618890451</v>
      </c>
      <c r="I9" s="3">
        <f t="shared" si="2"/>
        <v>1.1263193361005157</v>
      </c>
    </row>
    <row r="10" spans="1:9" x14ac:dyDescent="0.25">
      <c r="A10" s="2" t="s">
        <v>25</v>
      </c>
      <c r="B10" s="10">
        <v>90</v>
      </c>
      <c r="C10" s="10">
        <v>4838.6000000000004</v>
      </c>
      <c r="D10" s="3">
        <f t="shared" si="0"/>
        <v>240.93027785212786</v>
      </c>
      <c r="E10" s="10" t="s">
        <v>234</v>
      </c>
      <c r="F10" s="10" t="s">
        <v>235</v>
      </c>
      <c r="G10" s="3">
        <f t="shared" si="1"/>
        <v>4.499809670330265</v>
      </c>
      <c r="H10" s="3">
        <f t="shared" si="1"/>
        <v>8.4843807016696875</v>
      </c>
      <c r="I10" s="3">
        <f t="shared" si="2"/>
        <v>1.0887128817249714</v>
      </c>
    </row>
    <row r="11" spans="1:9" x14ac:dyDescent="0.25">
      <c r="A11" s="2" t="s">
        <v>374</v>
      </c>
      <c r="B11" s="10">
        <v>43</v>
      </c>
      <c r="C11" s="10">
        <v>3162.6</v>
      </c>
      <c r="D11" s="3">
        <f t="shared" si="0"/>
        <v>257.67085362276873</v>
      </c>
      <c r="E11" s="10" t="s">
        <v>234</v>
      </c>
      <c r="F11" s="10" t="s">
        <v>235</v>
      </c>
      <c r="G11" s="3">
        <f t="shared" si="1"/>
        <v>3.7612001156935624</v>
      </c>
      <c r="H11" s="3">
        <f t="shared" si="1"/>
        <v>8.0591497530892156</v>
      </c>
      <c r="I11" s="3">
        <f t="shared" si="2"/>
        <v>0.91738599152020295</v>
      </c>
    </row>
    <row r="12" spans="1:9" x14ac:dyDescent="0.25">
      <c r="A12" s="2" t="s">
        <v>374</v>
      </c>
      <c r="B12" s="10">
        <v>32</v>
      </c>
      <c r="C12" s="10">
        <v>3510.8</v>
      </c>
      <c r="D12" s="3">
        <f t="shared" si="0"/>
        <v>348.3154758281222</v>
      </c>
      <c r="E12" s="10" t="s">
        <v>234</v>
      </c>
      <c r="F12" s="10" t="s">
        <v>235</v>
      </c>
      <c r="G12" s="3">
        <f t="shared" si="1"/>
        <v>3.4657359027997265</v>
      </c>
      <c r="H12" s="3">
        <f t="shared" si="1"/>
        <v>8.1635992107179618</v>
      </c>
      <c r="I12" s="3">
        <f t="shared" si="2"/>
        <v>1.1273081624444952</v>
      </c>
    </row>
    <row r="13" spans="1:9" x14ac:dyDescent="0.25">
      <c r="A13" s="2" t="s">
        <v>375</v>
      </c>
      <c r="B13" s="10">
        <v>16</v>
      </c>
      <c r="C13" s="10">
        <v>2489.9</v>
      </c>
      <c r="D13" s="3">
        <f t="shared" si="0"/>
        <v>392.13467776665567</v>
      </c>
      <c r="E13" s="10" t="s">
        <v>234</v>
      </c>
      <c r="F13" s="10" t="s">
        <v>235</v>
      </c>
      <c r="G13" s="3">
        <f t="shared" si="1"/>
        <v>2.7725887222397811</v>
      </c>
      <c r="H13" s="3">
        <f t="shared" si="1"/>
        <v>7.8199978280097229</v>
      </c>
      <c r="I13" s="3">
        <f t="shared" si="2"/>
        <v>1.0147117341891003</v>
      </c>
    </row>
    <row r="14" spans="1:9" x14ac:dyDescent="0.25">
      <c r="A14" s="2" t="s">
        <v>375</v>
      </c>
      <c r="B14" s="10">
        <v>19.5</v>
      </c>
      <c r="C14" s="10">
        <v>3302.9</v>
      </c>
      <c r="D14" s="3">
        <f t="shared" si="0"/>
        <v>455.90289580674585</v>
      </c>
      <c r="E14" s="10" t="s">
        <v>234</v>
      </c>
      <c r="F14" s="10" t="s">
        <v>235</v>
      </c>
      <c r="G14" s="3">
        <f t="shared" si="1"/>
        <v>2.9704144655697009</v>
      </c>
      <c r="H14" s="3">
        <f t="shared" si="1"/>
        <v>8.1025561494253626</v>
      </c>
      <c r="I14" s="3">
        <f t="shared" si="2"/>
        <v>1.2575062771088299</v>
      </c>
    </row>
    <row r="15" spans="1:9" x14ac:dyDescent="0.25">
      <c r="A15" s="29" t="s">
        <v>236</v>
      </c>
      <c r="B15" s="29"/>
      <c r="C15" s="29"/>
      <c r="D15" s="29"/>
      <c r="E15" s="29"/>
      <c r="F15" s="29"/>
      <c r="G15" s="30"/>
      <c r="H15" s="30"/>
      <c r="I15" s="13"/>
    </row>
    <row r="16" spans="1:9" x14ac:dyDescent="0.25">
      <c r="A16" s="2" t="s">
        <v>445</v>
      </c>
      <c r="B16" s="3">
        <v>16.59</v>
      </c>
      <c r="C16" s="3">
        <v>1008.9000000000002</v>
      </c>
      <c r="D16" s="3">
        <f t="shared" ref="D16:D27" si="3">C16*(1/B16)^(2/3)</f>
        <v>155.10192859212563</v>
      </c>
      <c r="E16" s="10" t="s">
        <v>237</v>
      </c>
      <c r="F16" s="10" t="s">
        <v>238</v>
      </c>
      <c r="G16" s="3">
        <f t="shared" si="1"/>
        <v>2.8088001042023532</v>
      </c>
      <c r="H16" s="3">
        <f t="shared" si="1"/>
        <v>6.9166159074143341</v>
      </c>
      <c r="I16" s="3">
        <f>C16/EXP(0.9087*LN(B16)+4.3479)</f>
        <v>1.0164937979858617</v>
      </c>
    </row>
    <row r="17" spans="1:9" x14ac:dyDescent="0.25">
      <c r="A17" s="2" t="s">
        <v>444</v>
      </c>
      <c r="B17" s="3">
        <v>13.9</v>
      </c>
      <c r="C17" s="3">
        <v>909.6</v>
      </c>
      <c r="D17" s="3">
        <f t="shared" si="3"/>
        <v>157.34052133816354</v>
      </c>
      <c r="E17" s="10" t="s">
        <v>237</v>
      </c>
      <c r="F17" s="10" t="s">
        <v>238</v>
      </c>
      <c r="G17" s="3">
        <f t="shared" si="1"/>
        <v>2.631888840136646</v>
      </c>
      <c r="H17" s="3">
        <f t="shared" si="1"/>
        <v>6.8130049424363266</v>
      </c>
      <c r="I17" s="3">
        <f t="shared" ref="I17:I30" si="4">C17/EXP(0.9087*LN(B17)+4.3479)</f>
        <v>1.0762766661938326</v>
      </c>
    </row>
    <row r="18" spans="1:9" x14ac:dyDescent="0.25">
      <c r="A18" s="2" t="s">
        <v>435</v>
      </c>
      <c r="B18" s="3">
        <v>11.59</v>
      </c>
      <c r="C18" s="3">
        <v>1017.0000000000001</v>
      </c>
      <c r="D18" s="3">
        <f t="shared" si="3"/>
        <v>198.57839472720642</v>
      </c>
      <c r="E18" s="10" t="s">
        <v>237</v>
      </c>
      <c r="F18" s="10" t="s">
        <v>238</v>
      </c>
      <c r="G18" s="3">
        <f t="shared" si="1"/>
        <v>2.4501426573516603</v>
      </c>
      <c r="H18" s="3">
        <f t="shared" si="1"/>
        <v>6.9246123960485599</v>
      </c>
      <c r="I18" s="3">
        <f t="shared" si="4"/>
        <v>1.4194475736977108</v>
      </c>
    </row>
    <row r="19" spans="1:9" x14ac:dyDescent="0.25">
      <c r="A19" s="2" t="s">
        <v>474</v>
      </c>
      <c r="B19" s="3">
        <v>15.5</v>
      </c>
      <c r="C19" s="3">
        <v>704.89999999999975</v>
      </c>
      <c r="D19" s="3">
        <f t="shared" si="3"/>
        <v>113.38955349138777</v>
      </c>
      <c r="E19" s="10" t="s">
        <v>237</v>
      </c>
      <c r="F19" s="10" t="s">
        <v>238</v>
      </c>
      <c r="G19" s="3">
        <f t="shared" si="1"/>
        <v>2.7408400239252009</v>
      </c>
      <c r="H19" s="3">
        <f t="shared" si="1"/>
        <v>6.5580559487798293</v>
      </c>
      <c r="I19" s="3">
        <f t="shared" si="4"/>
        <v>0.75544720471573867</v>
      </c>
    </row>
    <row r="20" spans="1:9" x14ac:dyDescent="0.25">
      <c r="A20" s="2" t="s">
        <v>433</v>
      </c>
      <c r="B20" s="3">
        <v>24</v>
      </c>
      <c r="C20" s="3">
        <v>1613.4000000000003</v>
      </c>
      <c r="D20" s="3">
        <f t="shared" si="3"/>
        <v>193.91045472783111</v>
      </c>
      <c r="E20" s="10" t="s">
        <v>237</v>
      </c>
      <c r="F20" s="10" t="s">
        <v>238</v>
      </c>
      <c r="G20" s="3">
        <f t="shared" si="1"/>
        <v>3.1780538303479458</v>
      </c>
      <c r="H20" s="3">
        <f t="shared" si="1"/>
        <v>7.3860990325028739</v>
      </c>
      <c r="I20" s="3">
        <f t="shared" si="4"/>
        <v>1.1621846081654987</v>
      </c>
    </row>
    <row r="21" spans="1:9" x14ac:dyDescent="0.25">
      <c r="A21" s="2" t="s">
        <v>15</v>
      </c>
      <c r="B21" s="3">
        <v>100</v>
      </c>
      <c r="C21" s="3">
        <v>7057.9000000000005</v>
      </c>
      <c r="D21" s="3">
        <f t="shared" si="3"/>
        <v>327.59869828755654</v>
      </c>
      <c r="E21" s="10" t="s">
        <v>237</v>
      </c>
      <c r="F21" s="10" t="s">
        <v>238</v>
      </c>
      <c r="G21" s="3">
        <f t="shared" si="1"/>
        <v>4.6051701859880918</v>
      </c>
      <c r="H21" s="3">
        <f t="shared" si="1"/>
        <v>8.8619028358152061</v>
      </c>
      <c r="I21" s="3">
        <f t="shared" si="4"/>
        <v>1.3899735077771274</v>
      </c>
    </row>
    <row r="22" spans="1:9" x14ac:dyDescent="0.25">
      <c r="A22" s="2" t="s">
        <v>17</v>
      </c>
      <c r="B22" s="3">
        <v>34.1</v>
      </c>
      <c r="C22" s="3">
        <v>2266.1000000000004</v>
      </c>
      <c r="D22" s="3">
        <f t="shared" si="3"/>
        <v>215.49778873081118</v>
      </c>
      <c r="E22" s="10" t="s">
        <v>237</v>
      </c>
      <c r="F22" s="10" t="s">
        <v>238</v>
      </c>
      <c r="G22" s="3">
        <f t="shared" si="1"/>
        <v>3.529297384289471</v>
      </c>
      <c r="H22" s="3">
        <f t="shared" si="1"/>
        <v>7.7258155712408794</v>
      </c>
      <c r="I22" s="3">
        <f t="shared" si="4"/>
        <v>1.1863045298383943</v>
      </c>
    </row>
    <row r="23" spans="1:9" x14ac:dyDescent="0.25">
      <c r="A23" s="2" t="s">
        <v>434</v>
      </c>
      <c r="B23" s="3">
        <v>38.64</v>
      </c>
      <c r="C23" s="3">
        <v>2057.7999999999997</v>
      </c>
      <c r="D23" s="3">
        <f t="shared" si="3"/>
        <v>180.04390246104271</v>
      </c>
      <c r="E23" s="10" t="s">
        <v>237</v>
      </c>
      <c r="F23" s="10" t="s">
        <v>238</v>
      </c>
      <c r="G23" s="3">
        <f t="shared" si="1"/>
        <v>3.6542880093443171</v>
      </c>
      <c r="H23" s="3">
        <f t="shared" si="1"/>
        <v>7.6293927299417099</v>
      </c>
      <c r="I23" s="3">
        <f t="shared" si="4"/>
        <v>0.96159801050139448</v>
      </c>
    </row>
    <row r="24" spans="1:9" x14ac:dyDescent="0.25">
      <c r="A24" s="2" t="s">
        <v>13</v>
      </c>
      <c r="B24" s="3">
        <v>200</v>
      </c>
      <c r="C24" s="3">
        <v>9101.2000000000025</v>
      </c>
      <c r="D24" s="3">
        <f t="shared" si="3"/>
        <v>266.1207023902295</v>
      </c>
      <c r="E24" s="10" t="s">
        <v>237</v>
      </c>
      <c r="F24" s="10" t="s">
        <v>238</v>
      </c>
      <c r="G24" s="3">
        <f t="shared" si="1"/>
        <v>5.2983173665480363</v>
      </c>
      <c r="H24" s="3">
        <f t="shared" si="1"/>
        <v>9.1161615519429713</v>
      </c>
      <c r="I24" s="3">
        <f t="shared" si="4"/>
        <v>0.95473693322556374</v>
      </c>
    </row>
    <row r="25" spans="1:9" x14ac:dyDescent="0.25">
      <c r="A25" s="2" t="s">
        <v>14</v>
      </c>
      <c r="B25" s="3">
        <v>203</v>
      </c>
      <c r="C25" s="3">
        <v>7505</v>
      </c>
      <c r="D25" s="3">
        <f t="shared" si="3"/>
        <v>217.28012609545135</v>
      </c>
      <c r="E25" s="10" t="s">
        <v>594</v>
      </c>
      <c r="F25" s="10" t="s">
        <v>600</v>
      </c>
      <c r="G25" s="3">
        <f t="shared" si="1"/>
        <v>5.3132059790417872</v>
      </c>
      <c r="H25" s="3">
        <f t="shared" si="1"/>
        <v>8.9233247440675623</v>
      </c>
      <c r="I25" s="3">
        <f t="shared" si="4"/>
        <v>0.77671209678413822</v>
      </c>
    </row>
    <row r="26" spans="1:9" x14ac:dyDescent="0.25">
      <c r="A26" s="2" t="s">
        <v>19</v>
      </c>
      <c r="B26" s="3">
        <v>2.57</v>
      </c>
      <c r="C26" s="3">
        <v>171.9</v>
      </c>
      <c r="D26" s="3">
        <f t="shared" si="3"/>
        <v>91.619333435662966</v>
      </c>
      <c r="E26" s="10" t="s">
        <v>594</v>
      </c>
      <c r="F26" s="10" t="s">
        <v>604</v>
      </c>
      <c r="G26" s="3">
        <f t="shared" si="1"/>
        <v>0.94390589890712839</v>
      </c>
      <c r="H26" s="3">
        <f t="shared" si="1"/>
        <v>5.146912912388804</v>
      </c>
      <c r="I26" s="3">
        <f t="shared" si="4"/>
        <v>0.94297606545549217</v>
      </c>
    </row>
    <row r="27" spans="1:9" x14ac:dyDescent="0.25">
      <c r="A27" s="2" t="s">
        <v>19</v>
      </c>
      <c r="B27" s="3">
        <v>3.5</v>
      </c>
      <c r="C27" s="3">
        <v>206.2</v>
      </c>
      <c r="D27" s="3">
        <f t="shared" si="3"/>
        <v>89.449235142965946</v>
      </c>
      <c r="E27" s="10" t="s">
        <v>594</v>
      </c>
      <c r="F27" s="10" t="s">
        <v>604</v>
      </c>
      <c r="G27" s="3">
        <f t="shared" si="1"/>
        <v>1.2527629684953681</v>
      </c>
      <c r="H27" s="3">
        <f t="shared" si="1"/>
        <v>5.3288465715828597</v>
      </c>
      <c r="I27" s="3">
        <f t="shared" si="4"/>
        <v>0.85432880828107238</v>
      </c>
    </row>
    <row r="28" spans="1:9" s="17" customFormat="1" x14ac:dyDescent="0.25">
      <c r="A28" s="2" t="s">
        <v>16</v>
      </c>
      <c r="B28" s="3">
        <v>39.799999999999997</v>
      </c>
      <c r="C28" s="3">
        <f>773.2*2.2</f>
        <v>1701.0400000000002</v>
      </c>
      <c r="D28" s="3">
        <f>C28*(1/B28)^(2/3)</f>
        <v>145.92369277298033</v>
      </c>
      <c r="E28" s="17" t="s">
        <v>594</v>
      </c>
      <c r="F28" s="17" t="s">
        <v>638</v>
      </c>
      <c r="G28" s="3">
        <f>LN(B28)</f>
        <v>3.6838669122903918</v>
      </c>
      <c r="H28" s="3">
        <f t="shared" ref="H28" si="5">LN(C28)</f>
        <v>7.438995107698446</v>
      </c>
      <c r="I28" s="3">
        <f t="shared" si="4"/>
        <v>0.77380547946425748</v>
      </c>
    </row>
    <row r="29" spans="1:9" s="24" customFormat="1" x14ac:dyDescent="0.25">
      <c r="A29" s="24" t="s">
        <v>140</v>
      </c>
      <c r="B29" s="24">
        <v>47</v>
      </c>
      <c r="C29" s="3">
        <f>718.9455775*2.2</f>
        <v>1581.6802705000002</v>
      </c>
      <c r="D29" s="3">
        <f t="shared" ref="D29:D30" si="6">C29*(1/B29)^(2/3)</f>
        <v>121.44700022598357</v>
      </c>
      <c r="E29" s="24" t="s">
        <v>594</v>
      </c>
      <c r="F29" s="24" t="s">
        <v>642</v>
      </c>
      <c r="G29" s="3">
        <f t="shared" ref="G29:G30" si="7">LN(B29)</f>
        <v>3.8501476017100584</v>
      </c>
      <c r="H29" s="3">
        <f t="shared" ref="H29" si="8">LN(C29)</f>
        <v>7.3662430232872973</v>
      </c>
      <c r="I29" s="3">
        <f t="shared" si="4"/>
        <v>0.61860638172364735</v>
      </c>
    </row>
    <row r="30" spans="1:9" x14ac:dyDescent="0.25">
      <c r="A30" s="10" t="s">
        <v>643</v>
      </c>
      <c r="B30" s="10">
        <v>229</v>
      </c>
      <c r="C30" s="3">
        <f>1104*(1933/976)*2.2</f>
        <v>4810.3180327868859</v>
      </c>
      <c r="D30" s="3">
        <f t="shared" si="6"/>
        <v>128.51390958743363</v>
      </c>
      <c r="E30" s="24" t="s">
        <v>594</v>
      </c>
      <c r="F30" s="24" t="s">
        <v>644</v>
      </c>
      <c r="G30" s="3">
        <f t="shared" si="7"/>
        <v>5.43372200355424</v>
      </c>
      <c r="H30" s="3">
        <f t="shared" ref="H30" si="9">LN(C30)</f>
        <v>8.4785184799965485</v>
      </c>
      <c r="I30" s="3">
        <f t="shared" si="4"/>
        <v>0.44619254510907708</v>
      </c>
    </row>
    <row r="31" spans="1:9" x14ac:dyDescent="0.25">
      <c r="A31" s="29" t="s">
        <v>603</v>
      </c>
      <c r="B31" s="29"/>
      <c r="C31" s="29"/>
      <c r="D31" s="29"/>
      <c r="E31" s="29"/>
      <c r="F31" s="29"/>
      <c r="G31" s="30"/>
      <c r="H31" s="30"/>
      <c r="I31" s="16"/>
    </row>
    <row r="32" spans="1:9" x14ac:dyDescent="0.25">
      <c r="A32" s="2" t="s">
        <v>621</v>
      </c>
      <c r="B32" s="3">
        <v>15</v>
      </c>
      <c r="C32" s="3">
        <v>1310</v>
      </c>
      <c r="D32" s="3">
        <f t="shared" ref="D32:D60" si="10">C32*(1/B32)^(2/3)</f>
        <v>215.38252115819438</v>
      </c>
      <c r="E32" s="10" t="s">
        <v>234</v>
      </c>
      <c r="F32" s="10" t="s">
        <v>239</v>
      </c>
      <c r="G32" s="3">
        <f t="shared" si="1"/>
        <v>2.7080502011022101</v>
      </c>
      <c r="H32" s="3">
        <f t="shared" si="1"/>
        <v>7.1777824161951971</v>
      </c>
      <c r="I32" s="3">
        <f>C32/EXP(0.889*LN(B32)+4.777)</f>
        <v>0.9933480105041198</v>
      </c>
    </row>
    <row r="33" spans="1:9" x14ac:dyDescent="0.25">
      <c r="A33" s="2" t="s">
        <v>622</v>
      </c>
      <c r="B33" s="3">
        <v>30</v>
      </c>
      <c r="C33" s="3">
        <v>732</v>
      </c>
      <c r="D33" s="3">
        <f t="shared" si="10"/>
        <v>75.816473145274159</v>
      </c>
      <c r="E33" s="10" t="s">
        <v>234</v>
      </c>
      <c r="F33" s="10" t="s">
        <v>239</v>
      </c>
      <c r="G33" s="3">
        <f t="shared" si="1"/>
        <v>3.4011973816621555</v>
      </c>
      <c r="H33" s="3">
        <f t="shared" si="1"/>
        <v>6.5957805139613113</v>
      </c>
      <c r="I33" s="3">
        <f t="shared" ref="I33:I60" si="11">C33/EXP(0.889*LN(B33)+4.777)</f>
        <v>0.29972677828930849</v>
      </c>
    </row>
    <row r="34" spans="1:9" x14ac:dyDescent="0.25">
      <c r="A34" s="2" t="s">
        <v>623</v>
      </c>
      <c r="B34" s="3">
        <v>19</v>
      </c>
      <c r="C34" s="3">
        <v>1353</v>
      </c>
      <c r="D34" s="3">
        <f t="shared" si="10"/>
        <v>190.01828582741004</v>
      </c>
      <c r="E34" s="10" t="s">
        <v>234</v>
      </c>
      <c r="F34" s="10" t="s">
        <v>239</v>
      </c>
      <c r="G34" s="3">
        <f t="shared" si="1"/>
        <v>2.9444389791664403</v>
      </c>
      <c r="H34" s="3">
        <f t="shared" si="1"/>
        <v>7.2100796281707877</v>
      </c>
      <c r="I34" s="3">
        <f t="shared" si="11"/>
        <v>0.83149780155097908</v>
      </c>
    </row>
    <row r="35" spans="1:9" x14ac:dyDescent="0.25">
      <c r="A35" s="2" t="s">
        <v>624</v>
      </c>
      <c r="B35" s="3">
        <v>18.5</v>
      </c>
      <c r="C35" s="3">
        <v>2035</v>
      </c>
      <c r="D35" s="3">
        <f t="shared" si="10"/>
        <v>290.92648599818148</v>
      </c>
      <c r="E35" s="10" t="s">
        <v>234</v>
      </c>
      <c r="F35" s="10" t="s">
        <v>239</v>
      </c>
      <c r="G35" s="3">
        <f t="shared" si="1"/>
        <v>2.917770732084279</v>
      </c>
      <c r="H35" s="3">
        <f t="shared" si="1"/>
        <v>7.6182510978766951</v>
      </c>
      <c r="I35" s="3">
        <f t="shared" si="11"/>
        <v>1.2806309895518708</v>
      </c>
    </row>
    <row r="36" spans="1:9" x14ac:dyDescent="0.25">
      <c r="A36" s="2" t="s">
        <v>625</v>
      </c>
      <c r="B36" s="3">
        <v>11.5</v>
      </c>
      <c r="C36" s="3">
        <v>573</v>
      </c>
      <c r="D36" s="3">
        <f t="shared" si="10"/>
        <v>112.46638306637405</v>
      </c>
      <c r="E36" s="10" t="s">
        <v>234</v>
      </c>
      <c r="F36" s="10" t="s">
        <v>239</v>
      </c>
      <c r="G36" s="3">
        <f t="shared" si="1"/>
        <v>2.4423470353692043</v>
      </c>
      <c r="H36" s="3">
        <f t="shared" si="1"/>
        <v>6.3508857167147399</v>
      </c>
      <c r="I36" s="3">
        <f t="shared" si="11"/>
        <v>0.5502619740363891</v>
      </c>
    </row>
    <row r="37" spans="1:9" x14ac:dyDescent="0.25">
      <c r="A37" s="2" t="s">
        <v>626</v>
      </c>
      <c r="B37" s="3">
        <v>8</v>
      </c>
      <c r="C37" s="3">
        <v>1025</v>
      </c>
      <c r="D37" s="3">
        <f t="shared" si="10"/>
        <v>256.25000000000006</v>
      </c>
      <c r="E37" s="10" t="s">
        <v>234</v>
      </c>
      <c r="F37" s="10" t="s">
        <v>239</v>
      </c>
      <c r="G37" s="3">
        <f t="shared" si="1"/>
        <v>2.0794415416798357</v>
      </c>
      <c r="H37" s="3">
        <f t="shared" si="1"/>
        <v>6.932447891572509</v>
      </c>
      <c r="I37" s="3">
        <f t="shared" si="11"/>
        <v>1.3591022357756612</v>
      </c>
    </row>
    <row r="38" spans="1:9" x14ac:dyDescent="0.25">
      <c r="A38" s="2" t="s">
        <v>627</v>
      </c>
      <c r="B38" s="3">
        <v>21.5</v>
      </c>
      <c r="C38" s="3">
        <v>2174</v>
      </c>
      <c r="D38" s="3">
        <f t="shared" si="10"/>
        <v>281.16886847481783</v>
      </c>
      <c r="E38" s="10" t="s">
        <v>234</v>
      </c>
      <c r="F38" s="10" t="s">
        <v>239</v>
      </c>
      <c r="G38" s="3">
        <f t="shared" si="1"/>
        <v>3.068052935133617</v>
      </c>
      <c r="H38" s="3">
        <f t="shared" si="1"/>
        <v>7.6843240676811551</v>
      </c>
      <c r="I38" s="3">
        <f t="shared" si="11"/>
        <v>1.1970078784064526</v>
      </c>
    </row>
    <row r="39" spans="1:9" x14ac:dyDescent="0.25">
      <c r="A39" s="2" t="s">
        <v>628</v>
      </c>
      <c r="B39" s="3">
        <v>15.5</v>
      </c>
      <c r="C39" s="3">
        <v>1890</v>
      </c>
      <c r="D39" s="3">
        <f t="shared" si="10"/>
        <v>304.02362902358203</v>
      </c>
      <c r="E39" s="10" t="s">
        <v>234</v>
      </c>
      <c r="F39" s="10" t="s">
        <v>239</v>
      </c>
      <c r="G39" s="3">
        <f t="shared" si="1"/>
        <v>2.7408400239252009</v>
      </c>
      <c r="H39" s="3">
        <f t="shared" si="1"/>
        <v>7.5443321080536885</v>
      </c>
      <c r="I39" s="3">
        <f t="shared" si="11"/>
        <v>1.3919774008852137</v>
      </c>
    </row>
    <row r="40" spans="1:9" x14ac:dyDescent="0.25">
      <c r="A40" s="2" t="s">
        <v>629</v>
      </c>
      <c r="B40" s="3">
        <v>23.5</v>
      </c>
      <c r="C40" s="3">
        <v>2202</v>
      </c>
      <c r="D40" s="3">
        <f t="shared" si="10"/>
        <v>268.39354901687926</v>
      </c>
      <c r="E40" s="10" t="s">
        <v>234</v>
      </c>
      <c r="F40" s="10" t="s">
        <v>239</v>
      </c>
      <c r="G40" s="3">
        <f t="shared" si="1"/>
        <v>3.1570004211501135</v>
      </c>
      <c r="H40" s="3">
        <f t="shared" si="1"/>
        <v>7.6971213172826252</v>
      </c>
      <c r="I40" s="3">
        <f t="shared" si="11"/>
        <v>1.1202455954052934</v>
      </c>
    </row>
    <row r="41" spans="1:9" x14ac:dyDescent="0.25">
      <c r="A41" s="2" t="s">
        <v>630</v>
      </c>
      <c r="B41" s="3">
        <v>18.5</v>
      </c>
      <c r="C41" s="3">
        <v>1774</v>
      </c>
      <c r="D41" s="3">
        <f t="shared" si="10"/>
        <v>253.61355585296016</v>
      </c>
      <c r="E41" s="10" t="s">
        <v>234</v>
      </c>
      <c r="F41" s="10" t="s">
        <v>239</v>
      </c>
      <c r="G41" s="3">
        <f t="shared" si="1"/>
        <v>2.917770732084279</v>
      </c>
      <c r="H41" s="3">
        <f t="shared" si="1"/>
        <v>7.4809921628695246</v>
      </c>
      <c r="I41" s="3">
        <f t="shared" si="11"/>
        <v>1.1163829854864957</v>
      </c>
    </row>
    <row r="42" spans="1:9" x14ac:dyDescent="0.25">
      <c r="A42" s="2" t="s">
        <v>631</v>
      </c>
      <c r="B42" s="3">
        <v>5</v>
      </c>
      <c r="C42" s="3">
        <v>834</v>
      </c>
      <c r="D42" s="3">
        <f t="shared" si="10"/>
        <v>285.22398790567308</v>
      </c>
      <c r="E42" s="10" t="s">
        <v>234</v>
      </c>
      <c r="F42" s="10" t="s">
        <v>239</v>
      </c>
      <c r="G42" s="3">
        <f t="shared" si="1"/>
        <v>1.6094379124341003</v>
      </c>
      <c r="H42" s="3">
        <f t="shared" si="1"/>
        <v>6.7262334023587469</v>
      </c>
      <c r="I42" s="3">
        <f t="shared" si="11"/>
        <v>1.6794109353437492</v>
      </c>
    </row>
    <row r="43" spans="1:9" x14ac:dyDescent="0.25">
      <c r="A43" s="2" t="s">
        <v>629</v>
      </c>
      <c r="B43" s="3">
        <v>32.5</v>
      </c>
      <c r="C43" s="3">
        <v>2900</v>
      </c>
      <c r="D43" s="3">
        <f t="shared" si="10"/>
        <v>284.75788410298054</v>
      </c>
      <c r="E43" s="10" t="s">
        <v>234</v>
      </c>
      <c r="F43" s="10" t="s">
        <v>239</v>
      </c>
      <c r="G43" s="3">
        <f t="shared" si="1"/>
        <v>3.4812400893356918</v>
      </c>
      <c r="H43" s="3">
        <f t="shared" si="1"/>
        <v>7.9724660159745655</v>
      </c>
      <c r="I43" s="3">
        <f t="shared" si="11"/>
        <v>1.1058824090928492</v>
      </c>
    </row>
    <row r="44" spans="1:9" x14ac:dyDescent="0.25">
      <c r="A44" s="2" t="s">
        <v>632</v>
      </c>
      <c r="B44" s="3">
        <v>24</v>
      </c>
      <c r="C44" s="3">
        <v>1991</v>
      </c>
      <c r="D44" s="3">
        <f t="shared" si="10"/>
        <v>239.29324120683754</v>
      </c>
      <c r="E44" s="10" t="s">
        <v>234</v>
      </c>
      <c r="F44" s="10" t="s">
        <v>239</v>
      </c>
      <c r="G44" s="3">
        <f t="shared" si="1"/>
        <v>3.1780538303479458</v>
      </c>
      <c r="H44" s="3">
        <f t="shared" si="1"/>
        <v>7.5963923040641959</v>
      </c>
      <c r="I44" s="3">
        <f t="shared" si="11"/>
        <v>0.99411980530256805</v>
      </c>
    </row>
    <row r="45" spans="1:9" x14ac:dyDescent="0.25">
      <c r="A45" s="2" t="s">
        <v>633</v>
      </c>
      <c r="B45" s="3">
        <v>30.5</v>
      </c>
      <c r="C45" s="3">
        <v>2527</v>
      </c>
      <c r="D45" s="3">
        <f t="shared" si="10"/>
        <v>258.86421340316105</v>
      </c>
      <c r="E45" s="10" t="s">
        <v>234</v>
      </c>
      <c r="F45" s="10" t="s">
        <v>239</v>
      </c>
      <c r="G45" s="3">
        <f t="shared" si="1"/>
        <v>3.417726683613366</v>
      </c>
      <c r="H45" s="3">
        <f t="shared" si="1"/>
        <v>7.834788107388194</v>
      </c>
      <c r="I45" s="3">
        <f t="shared" si="11"/>
        <v>1.0196190586800788</v>
      </c>
    </row>
    <row r="46" spans="1:9" x14ac:dyDescent="0.25">
      <c r="A46" s="2" t="s">
        <v>634</v>
      </c>
      <c r="B46" s="3">
        <v>26</v>
      </c>
      <c r="C46" s="3">
        <v>2371</v>
      </c>
      <c r="D46" s="3">
        <f t="shared" si="10"/>
        <v>270.15685300745679</v>
      </c>
      <c r="E46" s="10" t="s">
        <v>234</v>
      </c>
      <c r="F46" s="10" t="s">
        <v>239</v>
      </c>
      <c r="G46" s="3">
        <f t="shared" si="1"/>
        <v>3.2580965380214821</v>
      </c>
      <c r="H46" s="3">
        <f t="shared" si="1"/>
        <v>7.7710670860654059</v>
      </c>
      <c r="I46" s="3">
        <f t="shared" si="11"/>
        <v>1.1025429271422396</v>
      </c>
    </row>
    <row r="47" spans="1:9" x14ac:dyDescent="0.25">
      <c r="A47" s="2" t="s">
        <v>635</v>
      </c>
      <c r="B47" s="3">
        <v>40</v>
      </c>
      <c r="C47" s="3">
        <v>3417</v>
      </c>
      <c r="D47" s="3">
        <f t="shared" si="10"/>
        <v>292.14939048971371</v>
      </c>
      <c r="E47" s="10" t="s">
        <v>234</v>
      </c>
      <c r="F47" s="10" t="s">
        <v>239</v>
      </c>
      <c r="G47" s="3">
        <f t="shared" si="1"/>
        <v>3.6888794541139363</v>
      </c>
      <c r="H47" s="3">
        <f t="shared" si="1"/>
        <v>8.136518252115291</v>
      </c>
      <c r="I47" s="3">
        <f t="shared" si="11"/>
        <v>1.0834001876084303</v>
      </c>
    </row>
    <row r="48" spans="1:9" x14ac:dyDescent="0.25">
      <c r="A48" s="2" t="s">
        <v>636</v>
      </c>
      <c r="B48" s="3">
        <v>33.5</v>
      </c>
      <c r="C48" s="3">
        <v>3145</v>
      </c>
      <c r="D48" s="3">
        <f t="shared" si="10"/>
        <v>302.63845540678278</v>
      </c>
      <c r="E48" s="10" t="s">
        <v>234</v>
      </c>
      <c r="F48" s="10" t="s">
        <v>239</v>
      </c>
      <c r="G48" s="3">
        <f t="shared" si="1"/>
        <v>3.5115454388310208</v>
      </c>
      <c r="H48" s="3">
        <f t="shared" si="1"/>
        <v>8.0535691691345406</v>
      </c>
      <c r="I48" s="3">
        <f t="shared" si="11"/>
        <v>1.167430609893374</v>
      </c>
    </row>
    <row r="49" spans="1:9" x14ac:dyDescent="0.25">
      <c r="A49" s="2" t="s">
        <v>633</v>
      </c>
      <c r="B49" s="3">
        <v>25</v>
      </c>
      <c r="C49" s="3">
        <v>2576</v>
      </c>
      <c r="D49" s="3">
        <f t="shared" si="10"/>
        <v>301.29078774545383</v>
      </c>
      <c r="E49" s="10" t="s">
        <v>234</v>
      </c>
      <c r="F49" s="10" t="s">
        <v>239</v>
      </c>
      <c r="G49" s="3">
        <f t="shared" si="1"/>
        <v>3.2188758248682006</v>
      </c>
      <c r="H49" s="3">
        <f t="shared" si="1"/>
        <v>7.8539930872242438</v>
      </c>
      <c r="I49" s="3">
        <f t="shared" si="11"/>
        <v>1.2403734193466718</v>
      </c>
    </row>
    <row r="50" spans="1:9" x14ac:dyDescent="0.25">
      <c r="A50" s="2" t="s">
        <v>635</v>
      </c>
      <c r="B50" s="3">
        <v>21.5</v>
      </c>
      <c r="C50" s="3">
        <v>1675</v>
      </c>
      <c r="D50" s="3">
        <f t="shared" si="10"/>
        <v>216.63194788193186</v>
      </c>
      <c r="E50" s="10" t="s">
        <v>234</v>
      </c>
      <c r="F50" s="10" t="s">
        <v>239</v>
      </c>
      <c r="G50" s="3">
        <f t="shared" si="1"/>
        <v>3.068052935133617</v>
      </c>
      <c r="H50" s="3">
        <f t="shared" si="1"/>
        <v>7.4235684442591667</v>
      </c>
      <c r="I50" s="3">
        <f t="shared" si="11"/>
        <v>0.92225768000497166</v>
      </c>
    </row>
    <row r="51" spans="1:9" x14ac:dyDescent="0.25">
      <c r="A51" s="2" t="s">
        <v>637</v>
      </c>
      <c r="B51" s="3">
        <v>15</v>
      </c>
      <c r="C51" s="3">
        <v>1299</v>
      </c>
      <c r="D51" s="3">
        <f t="shared" si="10"/>
        <v>213.57396563701869</v>
      </c>
      <c r="E51" s="10" t="s">
        <v>234</v>
      </c>
      <c r="F51" s="10" t="s">
        <v>239</v>
      </c>
      <c r="G51" s="3">
        <f t="shared" si="1"/>
        <v>2.7080502011022101</v>
      </c>
      <c r="H51" s="3">
        <f t="shared" si="1"/>
        <v>7.1693500166705997</v>
      </c>
      <c r="I51" s="3">
        <f t="shared" si="11"/>
        <v>0.98500692033958137</v>
      </c>
    </row>
    <row r="52" spans="1:9" x14ac:dyDescent="0.25">
      <c r="A52" s="2" t="s">
        <v>4</v>
      </c>
      <c r="B52" s="3">
        <v>62.999899999999997</v>
      </c>
      <c r="C52" s="3">
        <v>5500</v>
      </c>
      <c r="D52" s="3">
        <f t="shared" si="10"/>
        <v>347.37837780944142</v>
      </c>
      <c r="E52" s="10" t="s">
        <v>597</v>
      </c>
      <c r="F52" s="10" t="s">
        <v>599</v>
      </c>
      <c r="G52" s="3">
        <f t="shared" si="1"/>
        <v>4.1431331390886852</v>
      </c>
      <c r="H52" s="3">
        <f t="shared" si="1"/>
        <v>8.6125033712205621</v>
      </c>
      <c r="I52" s="3">
        <f t="shared" si="11"/>
        <v>1.1644606408312139</v>
      </c>
    </row>
    <row r="53" spans="1:9" x14ac:dyDescent="0.25">
      <c r="A53" s="2" t="s">
        <v>7</v>
      </c>
      <c r="B53" s="3">
        <f>(137.8/199.8)*(137.8/199.8)*(137.8/199.8)*40.8</f>
        <v>13.385092109637675</v>
      </c>
      <c r="C53" s="3">
        <f>1041.5*2.2</f>
        <v>2291.3000000000002</v>
      </c>
      <c r="D53" s="3">
        <f t="shared" si="10"/>
        <v>406.4443077898863</v>
      </c>
      <c r="E53" s="10" t="s">
        <v>594</v>
      </c>
      <c r="F53" s="10" t="s">
        <v>601</v>
      </c>
      <c r="G53" s="3">
        <f>LN(B53)</f>
        <v>2.5941415585054313</v>
      </c>
      <c r="H53" s="3">
        <f>LN(C53)</f>
        <v>7.7368746210652972</v>
      </c>
      <c r="I53" s="3">
        <f t="shared" si="11"/>
        <v>1.922608341995677</v>
      </c>
    </row>
    <row r="54" spans="1:9" x14ac:dyDescent="0.25">
      <c r="A54" s="2" t="s">
        <v>8</v>
      </c>
      <c r="B54" s="3">
        <f>AVERAGE(POWER(10,3.08*LOG10(116.1)-5.03),POWER(10,2.86*LOG10(198.2)-5.21))</f>
        <v>22.128878329330966</v>
      </c>
      <c r="C54" s="3">
        <f>854*2.2</f>
        <v>1878.8000000000002</v>
      </c>
      <c r="D54" s="3">
        <f t="shared" si="10"/>
        <v>238.36415705971331</v>
      </c>
      <c r="E54" s="10" t="s">
        <v>594</v>
      </c>
      <c r="F54" s="10" t="s">
        <v>601</v>
      </c>
      <c r="G54" s="3">
        <f t="shared" ref="G54:H60" si="12">LN(B54)</f>
        <v>3.096883467253368</v>
      </c>
      <c r="H54" s="3">
        <f t="shared" si="12"/>
        <v>7.5383885541528404</v>
      </c>
      <c r="I54" s="3">
        <f t="shared" si="11"/>
        <v>1.0082933526504601</v>
      </c>
    </row>
    <row r="55" spans="1:9" x14ac:dyDescent="0.25">
      <c r="A55" s="2" t="s">
        <v>10</v>
      </c>
      <c r="B55" s="3">
        <f>AVERAGE(POWER(10,3.08*LOG10(81.7)-5.03),POWER(10,2.86*LOG10(146)-5.21))</f>
        <v>8.3947148396596347</v>
      </c>
      <c r="C55" s="3">
        <f>298.4*2.2</f>
        <v>656.48</v>
      </c>
      <c r="D55" s="3">
        <f t="shared" si="10"/>
        <v>158.93426366209499</v>
      </c>
      <c r="E55" s="10" t="s">
        <v>594</v>
      </c>
      <c r="F55" s="10" t="s">
        <v>601</v>
      </c>
      <c r="G55" s="3">
        <f t="shared" si="12"/>
        <v>2.1276023220740399</v>
      </c>
      <c r="H55" s="3">
        <f t="shared" si="12"/>
        <v>6.4868922286938764</v>
      </c>
      <c r="I55" s="3">
        <f t="shared" si="11"/>
        <v>0.83397968483596208</v>
      </c>
    </row>
    <row r="56" spans="1:9" x14ac:dyDescent="0.25">
      <c r="A56" s="2" t="s">
        <v>11</v>
      </c>
      <c r="B56" s="3">
        <f>AVERAGE(POWER(10,3.08*LOG10(65)-5.03),POWER(10,2.86*LOG10(114.7)-5.21))</f>
        <v>4.1846346135893961</v>
      </c>
      <c r="C56" s="3">
        <f>203.7*2.2</f>
        <v>448.14</v>
      </c>
      <c r="D56" s="3">
        <f t="shared" si="10"/>
        <v>172.57399296593971</v>
      </c>
      <c r="E56" s="10" t="s">
        <v>594</v>
      </c>
      <c r="F56" s="10" t="s">
        <v>601</v>
      </c>
      <c r="G56" s="3">
        <f t="shared" si="12"/>
        <v>1.4314193915490332</v>
      </c>
      <c r="H56" s="3">
        <f t="shared" si="12"/>
        <v>6.1051056835970305</v>
      </c>
      <c r="I56" s="3">
        <f t="shared" si="11"/>
        <v>1.057147078698137</v>
      </c>
    </row>
    <row r="57" spans="1:9" x14ac:dyDescent="0.25">
      <c r="A57" s="2" t="s">
        <v>596</v>
      </c>
      <c r="B57" s="3">
        <f>AVERAGE(POWER(10,3.08*LOG10(54.3)-5.03),POWER(10,2.86*LOG10(83.2)-5.21))</f>
        <v>1.9845223714339777</v>
      </c>
      <c r="C57" s="3">
        <f>55.8*2.2</f>
        <v>122.76</v>
      </c>
      <c r="D57" s="3">
        <f t="shared" si="10"/>
        <v>77.735526981028457</v>
      </c>
      <c r="E57" s="10" t="s">
        <v>594</v>
      </c>
      <c r="F57" s="10" t="s">
        <v>601</v>
      </c>
      <c r="G57" s="3">
        <f t="shared" si="12"/>
        <v>0.68537826626082732</v>
      </c>
      <c r="H57" s="3">
        <f t="shared" si="12"/>
        <v>4.8102312297515351</v>
      </c>
      <c r="I57" s="3">
        <f t="shared" si="11"/>
        <v>0.5621030690854899</v>
      </c>
    </row>
    <row r="58" spans="1:9" x14ac:dyDescent="0.25">
      <c r="A58" s="2" t="s">
        <v>6</v>
      </c>
      <c r="B58" s="3">
        <f>AVERAGE(POWER(10,3.08*LOG10(139.9)-5.03),POWER(10,2.86*LOG10(255.3)-5.21))</f>
        <v>42.583066719249693</v>
      </c>
      <c r="C58" s="3">
        <v>2786.5</v>
      </c>
      <c r="D58" s="3">
        <f t="shared" si="10"/>
        <v>228.50783244594757</v>
      </c>
      <c r="E58" s="10" t="s">
        <v>594</v>
      </c>
      <c r="F58" s="10" t="s">
        <v>600</v>
      </c>
      <c r="G58" s="3">
        <f t="shared" si="12"/>
        <v>3.7514566794000106</v>
      </c>
      <c r="H58" s="3">
        <f t="shared" si="12"/>
        <v>7.9325416070095907</v>
      </c>
      <c r="I58" s="3">
        <f t="shared" si="11"/>
        <v>0.83568512550617779</v>
      </c>
    </row>
    <row r="59" spans="1:9" x14ac:dyDescent="0.25">
      <c r="A59" s="2" t="s">
        <v>602</v>
      </c>
      <c r="B59" s="3">
        <v>50.8</v>
      </c>
      <c r="C59" s="3">
        <v>3479.4</v>
      </c>
      <c r="D59" s="3">
        <f t="shared" si="10"/>
        <v>253.66578015240597</v>
      </c>
      <c r="E59" s="10" t="s">
        <v>594</v>
      </c>
      <c r="F59" s="10" t="s">
        <v>600</v>
      </c>
      <c r="G59" s="3">
        <f t="shared" si="12"/>
        <v>3.9278963545844361</v>
      </c>
      <c r="H59" s="3">
        <f t="shared" si="12"/>
        <v>8.1546151441104495</v>
      </c>
      <c r="I59" s="3">
        <f t="shared" si="11"/>
        <v>0.89200395271677491</v>
      </c>
    </row>
    <row r="60" spans="1:9" x14ac:dyDescent="0.25">
      <c r="A60" s="2" t="s">
        <v>6</v>
      </c>
      <c r="B60" s="3">
        <v>34.700000000000003</v>
      </c>
      <c r="C60" s="3">
        <v>2281.6999999999998</v>
      </c>
      <c r="D60" s="3">
        <f t="shared" si="10"/>
        <v>214.47280208374866</v>
      </c>
      <c r="E60" s="10" t="s">
        <v>594</v>
      </c>
      <c r="F60" s="10" t="s">
        <v>600</v>
      </c>
      <c r="G60" s="3">
        <f t="shared" si="12"/>
        <v>3.5467396869528134</v>
      </c>
      <c r="H60" s="3">
        <f t="shared" si="12"/>
        <v>7.7326760581515241</v>
      </c>
      <c r="I60" s="3">
        <f t="shared" si="11"/>
        <v>0.82088231478525586</v>
      </c>
    </row>
    <row r="61" spans="1:9" x14ac:dyDescent="0.25">
      <c r="A61" s="29" t="s">
        <v>240</v>
      </c>
      <c r="B61" s="29"/>
      <c r="C61" s="29"/>
      <c r="D61" s="29"/>
      <c r="E61" s="29"/>
      <c r="F61" s="29"/>
      <c r="G61" s="30"/>
      <c r="H61" s="30"/>
      <c r="I61" s="13"/>
    </row>
    <row r="62" spans="1:9" x14ac:dyDescent="0.25">
      <c r="A62" s="2" t="s">
        <v>241</v>
      </c>
      <c r="B62" s="7">
        <v>4.9000000000000004</v>
      </c>
      <c r="C62" s="3">
        <f>328.824*1.25</f>
        <v>411.03000000000003</v>
      </c>
      <c r="D62" s="3">
        <f t="shared" ref="D62:D78" si="13">C62*(1/B62)^(2/3)</f>
        <v>142.47635666305135</v>
      </c>
      <c r="E62" s="10" t="s">
        <v>690</v>
      </c>
      <c r="F62" s="10" t="s">
        <v>242</v>
      </c>
      <c r="G62" s="3">
        <f t="shared" si="1"/>
        <v>1.589235205116581</v>
      </c>
      <c r="H62" s="3">
        <f t="shared" si="1"/>
        <v>6.018666204533127</v>
      </c>
      <c r="I62" s="3">
        <f>C62/EXP(0.7186*LN(B62)+4.4502)</f>
        <v>1.5317973525050295</v>
      </c>
    </row>
    <row r="63" spans="1:9" x14ac:dyDescent="0.25">
      <c r="A63" s="2" t="s">
        <v>134</v>
      </c>
      <c r="B63" s="7">
        <v>3.0750000000000002</v>
      </c>
      <c r="C63" s="3">
        <f>131.436*1.25</f>
        <v>164.29500000000002</v>
      </c>
      <c r="D63" s="3">
        <f t="shared" si="13"/>
        <v>77.695213897177936</v>
      </c>
      <c r="E63" s="28" t="s">
        <v>690</v>
      </c>
      <c r="F63" s="10" t="s">
        <v>242</v>
      </c>
      <c r="G63" s="3">
        <f t="shared" si="1"/>
        <v>1.1233049012584813</v>
      </c>
      <c r="H63" s="3">
        <f t="shared" si="1"/>
        <v>5.1016635924438196</v>
      </c>
      <c r="I63" s="3">
        <f t="shared" ref="I63:I84" si="14">C63/EXP(0.7186*LN(B63)+4.4502)</f>
        <v>0.85577883239016228</v>
      </c>
    </row>
    <row r="64" spans="1:9" x14ac:dyDescent="0.25">
      <c r="A64" s="2" t="s">
        <v>243</v>
      </c>
      <c r="B64" s="7">
        <v>0.56000000000000005</v>
      </c>
      <c r="C64" s="3">
        <f>60.9*1.25</f>
        <v>76.125</v>
      </c>
      <c r="D64" s="3">
        <f t="shared" si="13"/>
        <v>112.04744408854512</v>
      </c>
      <c r="E64" s="28" t="s">
        <v>690</v>
      </c>
      <c r="F64" s="10" t="s">
        <v>242</v>
      </c>
      <c r="G64" s="3">
        <f t="shared" si="1"/>
        <v>-0.57981849525294205</v>
      </c>
      <c r="H64" s="3">
        <f t="shared" si="1"/>
        <v>4.332376726030061</v>
      </c>
      <c r="I64" s="3">
        <f t="shared" si="14"/>
        <v>1.3482861895159874</v>
      </c>
    </row>
    <row r="65" spans="1:9" x14ac:dyDescent="0.25">
      <c r="A65" s="2" t="s">
        <v>244</v>
      </c>
      <c r="B65" s="7">
        <v>12.02</v>
      </c>
      <c r="C65" s="3">
        <f>425.34*1.25</f>
        <v>531.67499999999995</v>
      </c>
      <c r="D65" s="3">
        <f t="shared" si="13"/>
        <v>101.3234404672623</v>
      </c>
      <c r="E65" s="28" t="s">
        <v>690</v>
      </c>
      <c r="F65" s="10" t="s">
        <v>242</v>
      </c>
      <c r="G65" s="3">
        <f t="shared" si="1"/>
        <v>2.4865719291070616</v>
      </c>
      <c r="H65" s="3">
        <f t="shared" si="1"/>
        <v>6.276032400409191</v>
      </c>
      <c r="I65" s="3">
        <f t="shared" si="14"/>
        <v>1.0397515726355127</v>
      </c>
    </row>
    <row r="66" spans="1:9" x14ac:dyDescent="0.25">
      <c r="A66" s="2" t="s">
        <v>245</v>
      </c>
      <c r="B66" s="7">
        <v>4.8499999999999996</v>
      </c>
      <c r="C66" s="3">
        <f>159.24*1.25</f>
        <v>199.05</v>
      </c>
      <c r="D66" s="3">
        <f t="shared" si="13"/>
        <v>69.470595692192362</v>
      </c>
      <c r="E66" s="28" t="s">
        <v>690</v>
      </c>
      <c r="F66" s="10" t="s">
        <v>242</v>
      </c>
      <c r="G66" s="3">
        <f t="shared" si="1"/>
        <v>1.5789787049493917</v>
      </c>
      <c r="H66" s="3">
        <f t="shared" si="1"/>
        <v>5.2935560494463259</v>
      </c>
      <c r="I66" s="3">
        <f t="shared" si="14"/>
        <v>0.74729291571595657</v>
      </c>
    </row>
    <row r="67" spans="1:9" x14ac:dyDescent="0.25">
      <c r="A67" s="2" t="s">
        <v>246</v>
      </c>
      <c r="B67" s="7">
        <v>3.1</v>
      </c>
      <c r="C67" s="3">
        <f>124.596*1.25</f>
        <v>155.745</v>
      </c>
      <c r="D67" s="3">
        <f t="shared" si="13"/>
        <v>73.255401082687484</v>
      </c>
      <c r="E67" s="28" t="s">
        <v>690</v>
      </c>
      <c r="F67" s="10" t="s">
        <v>242</v>
      </c>
      <c r="G67" s="3">
        <f t="shared" si="1"/>
        <v>1.1314021114911006</v>
      </c>
      <c r="H67" s="3">
        <f t="shared" si="1"/>
        <v>5.0482200544235267</v>
      </c>
      <c r="I67" s="3">
        <f t="shared" si="14"/>
        <v>0.80653700187750499</v>
      </c>
    </row>
    <row r="68" spans="1:9" x14ac:dyDescent="0.25">
      <c r="A68" s="2" t="s">
        <v>247</v>
      </c>
      <c r="B68" s="7">
        <v>9.5</v>
      </c>
      <c r="C68" s="3">
        <f>183.768*1.25</f>
        <v>229.71</v>
      </c>
      <c r="D68" s="3">
        <f t="shared" si="13"/>
        <v>51.211107133641661</v>
      </c>
      <c r="E68" s="28" t="s">
        <v>690</v>
      </c>
      <c r="F68" s="10" t="s">
        <v>242</v>
      </c>
      <c r="G68" s="3">
        <f t="shared" si="1"/>
        <v>2.2512917986064953</v>
      </c>
      <c r="H68" s="3">
        <f t="shared" si="1"/>
        <v>5.4368176437931419</v>
      </c>
      <c r="I68" s="3">
        <f t="shared" si="14"/>
        <v>0.53197401081489426</v>
      </c>
    </row>
    <row r="69" spans="1:9" x14ac:dyDescent="0.25">
      <c r="A69" s="2" t="s">
        <v>248</v>
      </c>
      <c r="B69" s="7">
        <v>30</v>
      </c>
      <c r="C69" s="3">
        <f>1023.216*1.25</f>
        <v>1279.02</v>
      </c>
      <c r="D69" s="3">
        <f t="shared" si="13"/>
        <v>132.47375065883682</v>
      </c>
      <c r="E69" s="28" t="s">
        <v>690</v>
      </c>
      <c r="F69" s="10" t="s">
        <v>242</v>
      </c>
      <c r="G69" s="3">
        <f t="shared" si="1"/>
        <v>3.4011973816621555</v>
      </c>
      <c r="H69" s="3">
        <f t="shared" si="1"/>
        <v>7.1538494386731584</v>
      </c>
      <c r="I69" s="3">
        <f t="shared" si="14"/>
        <v>1.2963453033484804</v>
      </c>
    </row>
    <row r="70" spans="1:9" x14ac:dyDescent="0.25">
      <c r="A70" s="2" t="s">
        <v>221</v>
      </c>
      <c r="B70" s="7">
        <v>0.13100000000000001</v>
      </c>
      <c r="C70" s="3">
        <f>16.596*1.25</f>
        <v>20.745000000000001</v>
      </c>
      <c r="D70" s="3">
        <f t="shared" si="13"/>
        <v>80.426513439589996</v>
      </c>
      <c r="E70" s="28" t="s">
        <v>690</v>
      </c>
      <c r="F70" s="10" t="s">
        <v>242</v>
      </c>
      <c r="G70" s="3">
        <f t="shared" si="1"/>
        <v>-2.0325579557809856</v>
      </c>
      <c r="H70" s="3">
        <f t="shared" si="1"/>
        <v>3.0323052537848314</v>
      </c>
      <c r="I70" s="3">
        <f t="shared" si="14"/>
        <v>1.0436262223746966</v>
      </c>
    </row>
    <row r="71" spans="1:9" x14ac:dyDescent="0.25">
      <c r="A71" s="2" t="s">
        <v>49</v>
      </c>
      <c r="B71" s="7">
        <v>1.149</v>
      </c>
      <c r="C71" s="3">
        <f>42.192*1.25</f>
        <v>52.74</v>
      </c>
      <c r="D71" s="3">
        <f t="shared" si="13"/>
        <v>48.075828028778687</v>
      </c>
      <c r="E71" s="28" t="s">
        <v>690</v>
      </c>
      <c r="F71" s="10" t="s">
        <v>242</v>
      </c>
      <c r="G71" s="3">
        <f t="shared" si="1"/>
        <v>0.13889199886661865</v>
      </c>
      <c r="H71" s="3">
        <f t="shared" si="1"/>
        <v>3.9653741809251408</v>
      </c>
      <c r="I71" s="3">
        <f t="shared" si="14"/>
        <v>0.55731001752756903</v>
      </c>
    </row>
    <row r="72" spans="1:9" x14ac:dyDescent="0.25">
      <c r="A72" s="2" t="s">
        <v>249</v>
      </c>
      <c r="B72" s="7">
        <v>0.86</v>
      </c>
      <c r="C72" s="3">
        <f>76.056*1.25</f>
        <v>95.07</v>
      </c>
      <c r="D72" s="3">
        <f t="shared" si="13"/>
        <v>105.12625490923702</v>
      </c>
      <c r="E72" s="28" t="s">
        <v>690</v>
      </c>
      <c r="F72" s="10" t="s">
        <v>242</v>
      </c>
      <c r="G72" s="3">
        <f t="shared" si="1"/>
        <v>-0.15082288973458366</v>
      </c>
      <c r="H72" s="3">
        <f t="shared" si="1"/>
        <v>4.5546134623709387</v>
      </c>
      <c r="I72" s="3">
        <f t="shared" si="14"/>
        <v>1.2371307547471204</v>
      </c>
    </row>
    <row r="73" spans="1:9" x14ac:dyDescent="0.25">
      <c r="A73" s="2" t="s">
        <v>250</v>
      </c>
      <c r="B73" s="7">
        <v>4.5999999999999999E-2</v>
      </c>
      <c r="C73" s="3">
        <f>7.788*1.25</f>
        <v>9.7349999999999994</v>
      </c>
      <c r="D73" s="3">
        <f t="shared" si="13"/>
        <v>75.828197879000498</v>
      </c>
      <c r="E73" s="28" t="s">
        <v>690</v>
      </c>
      <c r="F73" s="10" t="s">
        <v>242</v>
      </c>
      <c r="G73" s="3">
        <f t="shared" si="1"/>
        <v>-3.0791138824930422</v>
      </c>
      <c r="H73" s="3">
        <f t="shared" si="1"/>
        <v>2.2757276388241627</v>
      </c>
      <c r="I73" s="3">
        <f t="shared" si="14"/>
        <v>1.0389170523217741</v>
      </c>
    </row>
    <row r="74" spans="1:9" x14ac:dyDescent="0.25">
      <c r="A74" s="2" t="s">
        <v>251</v>
      </c>
      <c r="B74" s="7">
        <v>18.143999999999998</v>
      </c>
      <c r="C74" s="3">
        <f>1309.644*1.25</f>
        <v>1637.0550000000001</v>
      </c>
      <c r="D74" s="3">
        <f t="shared" si="13"/>
        <v>237.08709343747259</v>
      </c>
      <c r="E74" s="28" t="s">
        <v>690</v>
      </c>
      <c r="F74" s="10" t="s">
        <v>242</v>
      </c>
      <c r="G74" s="3">
        <f t="shared" si="1"/>
        <v>2.8983399275453414</v>
      </c>
      <c r="H74" s="3">
        <f t="shared" si="1"/>
        <v>7.4006541748519377</v>
      </c>
      <c r="I74" s="3">
        <f t="shared" si="14"/>
        <v>2.3814441822452346</v>
      </c>
    </row>
    <row r="75" spans="1:9" x14ac:dyDescent="0.25">
      <c r="A75" s="2" t="s">
        <v>252</v>
      </c>
      <c r="B75" s="7">
        <v>0.98499999999999999</v>
      </c>
      <c r="C75" s="3">
        <f>92.508*1.25</f>
        <v>115.63499999999999</v>
      </c>
      <c r="D75" s="3">
        <f t="shared" si="13"/>
        <v>116.80599978760151</v>
      </c>
      <c r="E75" s="28" t="s">
        <v>690</v>
      </c>
      <c r="F75" s="10" t="s">
        <v>242</v>
      </c>
      <c r="G75" s="3">
        <f t="shared" si="1"/>
        <v>-1.5113637810048184E-2</v>
      </c>
      <c r="H75" s="3">
        <f t="shared" si="1"/>
        <v>4.7504386785793349</v>
      </c>
      <c r="I75" s="3">
        <f t="shared" si="14"/>
        <v>1.3649248043205346</v>
      </c>
    </row>
    <row r="76" spans="1:9" x14ac:dyDescent="0.25">
      <c r="A76" s="2" t="s">
        <v>253</v>
      </c>
      <c r="B76" s="7">
        <v>3</v>
      </c>
      <c r="C76" s="3">
        <f>144.492*1.25</f>
        <v>180.61499999999998</v>
      </c>
      <c r="D76" s="3">
        <f t="shared" si="13"/>
        <v>86.830635380357506</v>
      </c>
      <c r="E76" s="28" t="s">
        <v>690</v>
      </c>
      <c r="F76" s="10" t="s">
        <v>242</v>
      </c>
      <c r="G76" s="3">
        <f t="shared" si="1"/>
        <v>1.0986122886681098</v>
      </c>
      <c r="H76" s="3">
        <f t="shared" si="1"/>
        <v>5.1963676940122916</v>
      </c>
      <c r="I76" s="3">
        <f t="shared" si="14"/>
        <v>0.95762875535347081</v>
      </c>
    </row>
    <row r="77" spans="1:9" x14ac:dyDescent="0.25">
      <c r="A77" s="2" t="s">
        <v>254</v>
      </c>
      <c r="B77" s="7">
        <v>4.0999999999999996</v>
      </c>
      <c r="C77" s="3">
        <f>161.508*1.25</f>
        <v>201.88500000000002</v>
      </c>
      <c r="D77" s="3">
        <f t="shared" si="13"/>
        <v>78.810027860500213</v>
      </c>
      <c r="E77" s="28" t="s">
        <v>690</v>
      </c>
      <c r="F77" s="10" t="s">
        <v>242</v>
      </c>
      <c r="G77" s="3">
        <f t="shared" si="1"/>
        <v>1.410986973710262</v>
      </c>
      <c r="H77" s="3">
        <f t="shared" si="1"/>
        <v>5.3076982283537886</v>
      </c>
      <c r="I77" s="3">
        <f t="shared" si="14"/>
        <v>0.8551853833175217</v>
      </c>
    </row>
    <row r="78" spans="1:9" x14ac:dyDescent="0.25">
      <c r="A78" s="2" t="s">
        <v>45</v>
      </c>
      <c r="B78" s="7">
        <v>5.94</v>
      </c>
      <c r="C78" s="3">
        <f>179.076*1.25</f>
        <v>223.845</v>
      </c>
      <c r="D78" s="3">
        <f t="shared" si="13"/>
        <v>68.247974716084741</v>
      </c>
      <c r="E78" s="28" t="s">
        <v>690</v>
      </c>
      <c r="F78" s="10" t="s">
        <v>242</v>
      </c>
      <c r="G78" s="3">
        <f t="shared" si="1"/>
        <v>1.7817091333745536</v>
      </c>
      <c r="H78" s="3">
        <f t="shared" si="1"/>
        <v>5.4109538480515411</v>
      </c>
      <c r="I78" s="3">
        <f t="shared" si="14"/>
        <v>0.72645238731721695</v>
      </c>
    </row>
    <row r="79" spans="1:9" s="27" customFormat="1" x14ac:dyDescent="0.25">
      <c r="A79" s="2" t="s">
        <v>44</v>
      </c>
      <c r="B79" s="7">
        <f>AVERAGE(139.525,143.716,139.862,140.764,137.125)</f>
        <v>140.19839999999999</v>
      </c>
      <c r="C79" s="3">
        <f>3175.99</f>
        <v>3175.99</v>
      </c>
      <c r="D79" s="3">
        <f t="shared" ref="D79:D84" si="15">C79*(1/B79)^(2/3)</f>
        <v>117.68390970162974</v>
      </c>
      <c r="E79" s="27" t="s">
        <v>594</v>
      </c>
      <c r="F79" s="27" t="s">
        <v>598</v>
      </c>
      <c r="G79" s="3">
        <f t="shared" ref="G79" si="16">LN(B79)</f>
        <v>4.943058562267181</v>
      </c>
      <c r="H79" s="3">
        <f t="shared" ref="H79" si="17">LN(C79)</f>
        <v>8.0633746737474592</v>
      </c>
      <c r="I79" s="3">
        <f t="shared" si="14"/>
        <v>1.0629975461124597</v>
      </c>
    </row>
    <row r="80" spans="1:9" x14ac:dyDescent="0.25">
      <c r="A80" s="2" t="s">
        <v>417</v>
      </c>
      <c r="B80" s="7">
        <v>91.03</v>
      </c>
      <c r="C80" s="3">
        <f>1217.39*(1135.7/858.3)</f>
        <v>1610.8468169637661</v>
      </c>
      <c r="D80" s="3">
        <f t="shared" si="15"/>
        <v>79.603326164300967</v>
      </c>
      <c r="E80" s="10" t="s">
        <v>594</v>
      </c>
      <c r="F80" s="10" t="s">
        <v>595</v>
      </c>
      <c r="G80" s="3">
        <f t="shared" si="1"/>
        <v>4.5111891225171972</v>
      </c>
      <c r="H80" s="3">
        <f t="shared" si="1"/>
        <v>7.3845152929724724</v>
      </c>
      <c r="I80" s="3">
        <f t="shared" si="14"/>
        <v>0.73533786106551313</v>
      </c>
    </row>
    <row r="81" spans="1:9" x14ac:dyDescent="0.25">
      <c r="A81" s="2" t="s">
        <v>141</v>
      </c>
      <c r="B81" s="7">
        <v>124.47</v>
      </c>
      <c r="C81" s="3">
        <f>2016.94*(1003.6/744.3)</f>
        <v>2719.6036329437056</v>
      </c>
      <c r="D81" s="3">
        <f t="shared" si="15"/>
        <v>109.09273243370467</v>
      </c>
      <c r="E81" s="10" t="s">
        <v>594</v>
      </c>
      <c r="F81" s="10" t="s">
        <v>595</v>
      </c>
      <c r="G81" s="3">
        <f t="shared" si="1"/>
        <v>4.8240647230128859</v>
      </c>
      <c r="H81" s="3">
        <f t="shared" si="1"/>
        <v>7.9082414254889271</v>
      </c>
      <c r="I81" s="3">
        <f t="shared" si="14"/>
        <v>0.99150480537008923</v>
      </c>
    </row>
    <row r="82" spans="1:9" x14ac:dyDescent="0.25">
      <c r="A82" s="2" t="s">
        <v>44</v>
      </c>
      <c r="B82" s="7">
        <v>213.68</v>
      </c>
      <c r="C82" s="3">
        <f>2795.56 *(1894.9/1409.7)</f>
        <v>3757.7545889196281</v>
      </c>
      <c r="D82" s="3">
        <f t="shared" si="15"/>
        <v>105.13625353689672</v>
      </c>
      <c r="E82" s="10" t="s">
        <v>594</v>
      </c>
      <c r="F82" s="10" t="s">
        <v>595</v>
      </c>
      <c r="G82" s="3">
        <f t="shared" si="1"/>
        <v>5.3644795688017055</v>
      </c>
      <c r="H82" s="3">
        <f t="shared" si="1"/>
        <v>8.2315768742007016</v>
      </c>
      <c r="I82" s="3">
        <f t="shared" si="14"/>
        <v>0.92910070555385182</v>
      </c>
    </row>
    <row r="83" spans="1:9" x14ac:dyDescent="0.25">
      <c r="A83" s="2" t="s">
        <v>48</v>
      </c>
      <c r="B83" s="7">
        <v>110.45</v>
      </c>
      <c r="C83" s="3">
        <f>2603.47 *(1815.9/1298.9)</f>
        <v>3639.7268250057741</v>
      </c>
      <c r="D83" s="3">
        <f t="shared" si="15"/>
        <v>158.10962525440391</v>
      </c>
      <c r="E83" s="10" t="s">
        <v>594</v>
      </c>
      <c r="F83" s="10" t="s">
        <v>595</v>
      </c>
      <c r="G83" s="3">
        <f t="shared" si="1"/>
        <v>4.7045629298661265</v>
      </c>
      <c r="H83" s="3">
        <f t="shared" si="1"/>
        <v>8.1996639097392023</v>
      </c>
      <c r="I83" s="3">
        <f t="shared" si="14"/>
        <v>1.4459477491568586</v>
      </c>
    </row>
    <row r="84" spans="1:9" x14ac:dyDescent="0.25">
      <c r="A84" s="2" t="s">
        <v>43</v>
      </c>
      <c r="B84" s="7">
        <v>226.55</v>
      </c>
      <c r="C84" s="3">
        <f>2569.57*(2349.6/1646.7)</f>
        <v>3666.4004809619237</v>
      </c>
      <c r="D84" s="3">
        <f t="shared" si="15"/>
        <v>98.65759481311386</v>
      </c>
      <c r="E84" s="10" t="s">
        <v>594</v>
      </c>
      <c r="F84" s="10" t="s">
        <v>595</v>
      </c>
      <c r="G84" s="3">
        <f t="shared" si="1"/>
        <v>5.4229656711131469</v>
      </c>
      <c r="H84" s="3">
        <f t="shared" si="1"/>
        <v>8.206965664375879</v>
      </c>
      <c r="I84" s="3">
        <f t="shared" si="14"/>
        <v>0.86920396678911716</v>
      </c>
    </row>
    <row r="85" spans="1:9" x14ac:dyDescent="0.25">
      <c r="A85" s="29" t="s">
        <v>255</v>
      </c>
      <c r="B85" s="29"/>
      <c r="C85" s="29"/>
      <c r="D85" s="29"/>
      <c r="E85" s="29"/>
      <c r="F85" s="29"/>
      <c r="G85" s="30"/>
      <c r="H85" s="30"/>
      <c r="I85" s="13"/>
    </row>
    <row r="86" spans="1:9" x14ac:dyDescent="0.25">
      <c r="A86" s="2" t="s">
        <v>256</v>
      </c>
      <c r="B86" s="10">
        <v>182</v>
      </c>
      <c r="C86" s="3">
        <v>6276</v>
      </c>
      <c r="D86" s="3">
        <f t="shared" ref="D86:D149" si="18">C86*(1/B86)^(2/3)</f>
        <v>195.41985029899553</v>
      </c>
      <c r="E86" s="10" t="s">
        <v>234</v>
      </c>
      <c r="F86" s="10" t="s">
        <v>257</v>
      </c>
      <c r="G86" s="3">
        <f t="shared" ref="G86:H101" si="19">LN(B86)</f>
        <v>5.2040066870767951</v>
      </c>
      <c r="H86" s="3">
        <f t="shared" si="19"/>
        <v>8.744488113852924</v>
      </c>
      <c r="I86" s="3">
        <f>C86/EXP(0.8129*LN(B86)+4.6742)</f>
        <v>0.85210210134631215</v>
      </c>
    </row>
    <row r="87" spans="1:9" x14ac:dyDescent="0.25">
      <c r="A87" s="2" t="s">
        <v>258</v>
      </c>
      <c r="B87" s="10">
        <v>69</v>
      </c>
      <c r="C87" s="3">
        <v>2736</v>
      </c>
      <c r="D87" s="3">
        <f t="shared" si="18"/>
        <v>162.63600556037133</v>
      </c>
      <c r="E87" s="10" t="s">
        <v>234</v>
      </c>
      <c r="F87" s="10" t="s">
        <v>257</v>
      </c>
      <c r="G87" s="3">
        <f t="shared" si="19"/>
        <v>4.2341065045972597</v>
      </c>
      <c r="H87" s="3">
        <f t="shared" si="19"/>
        <v>7.914252278742441</v>
      </c>
      <c r="I87" s="3">
        <f t="shared" ref="I87:I150" si="20">C87/EXP(0.8129*LN(B87)+4.6742)</f>
        <v>0.81721513239104016</v>
      </c>
    </row>
    <row r="88" spans="1:9" x14ac:dyDescent="0.25">
      <c r="A88" s="2" t="s">
        <v>259</v>
      </c>
      <c r="B88" s="10">
        <v>110</v>
      </c>
      <c r="C88" s="3">
        <v>4399</v>
      </c>
      <c r="D88" s="3">
        <f t="shared" si="18"/>
        <v>191.61323592017442</v>
      </c>
      <c r="E88" s="10" t="s">
        <v>234</v>
      </c>
      <c r="F88" s="10" t="s">
        <v>257</v>
      </c>
      <c r="G88" s="3">
        <f t="shared" si="19"/>
        <v>4.7004803657924166</v>
      </c>
      <c r="H88" s="3">
        <f t="shared" si="19"/>
        <v>8.3891325213487189</v>
      </c>
      <c r="I88" s="3">
        <f t="shared" si="20"/>
        <v>0.89934553096488157</v>
      </c>
    </row>
    <row r="89" spans="1:9" x14ac:dyDescent="0.25">
      <c r="A89" s="2" t="s">
        <v>260</v>
      </c>
      <c r="B89" s="10">
        <v>207</v>
      </c>
      <c r="C89" s="3">
        <v>7295</v>
      </c>
      <c r="D89" s="3">
        <f t="shared" si="18"/>
        <v>208.47071980346249</v>
      </c>
      <c r="E89" s="10" t="s">
        <v>234</v>
      </c>
      <c r="F89" s="10" t="s">
        <v>257</v>
      </c>
      <c r="G89" s="3">
        <f t="shared" si="19"/>
        <v>5.3327187932653688</v>
      </c>
      <c r="H89" s="3">
        <f t="shared" si="19"/>
        <v>8.8949444609568857</v>
      </c>
      <c r="I89" s="3">
        <f t="shared" si="20"/>
        <v>0.89205932025211365</v>
      </c>
    </row>
    <row r="90" spans="1:9" x14ac:dyDescent="0.25">
      <c r="A90" s="2" t="s">
        <v>261</v>
      </c>
      <c r="B90" s="10">
        <v>531</v>
      </c>
      <c r="C90" s="3">
        <v>16414</v>
      </c>
      <c r="D90" s="3">
        <f t="shared" si="18"/>
        <v>250.31377411865361</v>
      </c>
      <c r="E90" s="10" t="s">
        <v>234</v>
      </c>
      <c r="F90" s="10" t="s">
        <v>257</v>
      </c>
      <c r="G90" s="3">
        <f t="shared" si="19"/>
        <v>6.2747620212419388</v>
      </c>
      <c r="H90" s="3">
        <f t="shared" si="19"/>
        <v>9.7058899081896577</v>
      </c>
      <c r="I90" s="3">
        <f t="shared" si="20"/>
        <v>0.93326681947193157</v>
      </c>
    </row>
    <row r="91" spans="1:9" x14ac:dyDescent="0.25">
      <c r="A91" s="2" t="s">
        <v>47</v>
      </c>
      <c r="B91" s="10">
        <v>145</v>
      </c>
      <c r="C91" s="10">
        <v>8566.2999999999993</v>
      </c>
      <c r="D91" s="3">
        <f t="shared" si="18"/>
        <v>310.37110201473075</v>
      </c>
      <c r="E91" s="10" t="s">
        <v>234</v>
      </c>
      <c r="F91" s="10" t="s">
        <v>262</v>
      </c>
      <c r="G91" s="3">
        <f t="shared" si="19"/>
        <v>4.9767337424205742</v>
      </c>
      <c r="H91" s="3">
        <f t="shared" si="19"/>
        <v>9.0555911797427679</v>
      </c>
      <c r="I91" s="3">
        <f t="shared" si="20"/>
        <v>1.3990652296798403</v>
      </c>
    </row>
    <row r="92" spans="1:9" x14ac:dyDescent="0.25">
      <c r="A92" s="2" t="s">
        <v>47</v>
      </c>
      <c r="B92" s="10">
        <v>4.5999999999999996</v>
      </c>
      <c r="C92" s="10">
        <v>347.1</v>
      </c>
      <c r="D92" s="3">
        <f t="shared" si="18"/>
        <v>125.49200531470215</v>
      </c>
      <c r="E92" s="10" t="s">
        <v>234</v>
      </c>
      <c r="F92" s="10" t="s">
        <v>262</v>
      </c>
      <c r="G92" s="3">
        <f t="shared" si="19"/>
        <v>1.5260563034950492</v>
      </c>
      <c r="H92" s="3">
        <f t="shared" si="19"/>
        <v>5.8496129228677409</v>
      </c>
      <c r="I92" s="3">
        <f t="shared" si="20"/>
        <v>0.93695666522092347</v>
      </c>
    </row>
    <row r="93" spans="1:9" x14ac:dyDescent="0.25">
      <c r="A93" s="2" t="s">
        <v>47</v>
      </c>
      <c r="B93" s="10">
        <v>2.4500000000000002</v>
      </c>
      <c r="C93" s="10">
        <v>259.89999999999998</v>
      </c>
      <c r="D93" s="3">
        <f t="shared" si="18"/>
        <v>143.00862244729458</v>
      </c>
      <c r="E93" s="10" t="s">
        <v>234</v>
      </c>
      <c r="F93" s="10" t="s">
        <v>262</v>
      </c>
      <c r="G93" s="3">
        <f t="shared" si="19"/>
        <v>0.89608802455663572</v>
      </c>
      <c r="H93" s="3">
        <f t="shared" si="19"/>
        <v>5.5602969416474446</v>
      </c>
      <c r="I93" s="3">
        <f t="shared" si="20"/>
        <v>1.1707762454697237</v>
      </c>
    </row>
    <row r="94" spans="1:9" x14ac:dyDescent="0.25">
      <c r="A94" s="2" t="s">
        <v>47</v>
      </c>
      <c r="B94" s="10">
        <v>2.6</v>
      </c>
      <c r="C94" s="10">
        <v>170.4</v>
      </c>
      <c r="D94" s="3">
        <f t="shared" si="18"/>
        <v>90.119898057474472</v>
      </c>
      <c r="E94" s="10" t="s">
        <v>234</v>
      </c>
      <c r="F94" s="10" t="s">
        <v>262</v>
      </c>
      <c r="G94" s="3">
        <f t="shared" si="19"/>
        <v>0.95551144502743635</v>
      </c>
      <c r="H94" s="3">
        <f t="shared" si="19"/>
        <v>5.1381486143952158</v>
      </c>
      <c r="I94" s="3">
        <f t="shared" si="20"/>
        <v>0.73140594923126045</v>
      </c>
    </row>
    <row r="95" spans="1:9" x14ac:dyDescent="0.25">
      <c r="A95" s="2" t="s">
        <v>47</v>
      </c>
      <c r="B95" s="10">
        <v>2.2000000000000002</v>
      </c>
      <c r="C95" s="10">
        <v>198</v>
      </c>
      <c r="D95" s="3">
        <f t="shared" si="18"/>
        <v>117.05323021662483</v>
      </c>
      <c r="E95" s="10" t="s">
        <v>234</v>
      </c>
      <c r="F95" s="10" t="s">
        <v>262</v>
      </c>
      <c r="G95" s="3">
        <f t="shared" si="19"/>
        <v>0.78845736036427028</v>
      </c>
      <c r="H95" s="3">
        <f t="shared" si="19"/>
        <v>5.2882670306945352</v>
      </c>
      <c r="I95" s="3">
        <f t="shared" si="20"/>
        <v>0.9734878280398539</v>
      </c>
    </row>
    <row r="96" spans="1:9" x14ac:dyDescent="0.25">
      <c r="A96" s="2" t="s">
        <v>47</v>
      </c>
      <c r="B96" s="10">
        <v>326.60000000000002</v>
      </c>
      <c r="C96" s="10">
        <v>11970.5</v>
      </c>
      <c r="D96" s="3">
        <f t="shared" si="18"/>
        <v>252.4070633654467</v>
      </c>
      <c r="E96" s="10" t="s">
        <v>234</v>
      </c>
      <c r="F96" s="10" t="s">
        <v>262</v>
      </c>
      <c r="G96" s="3">
        <f t="shared" si="19"/>
        <v>5.7887361805363646</v>
      </c>
      <c r="H96" s="3">
        <f t="shared" si="19"/>
        <v>9.3902005687740342</v>
      </c>
      <c r="I96" s="3">
        <f t="shared" si="20"/>
        <v>1.0103905382160245</v>
      </c>
    </row>
    <row r="97" spans="1:9" x14ac:dyDescent="0.25">
      <c r="A97" s="2" t="s">
        <v>47</v>
      </c>
      <c r="B97" s="10">
        <v>47.6</v>
      </c>
      <c r="C97" s="10">
        <v>2274.1999999999998</v>
      </c>
      <c r="D97" s="3">
        <f t="shared" si="18"/>
        <v>173.15060767398251</v>
      </c>
      <c r="E97" s="10" t="s">
        <v>234</v>
      </c>
      <c r="F97" s="10" t="s">
        <v>262</v>
      </c>
      <c r="G97" s="3">
        <f t="shared" si="19"/>
        <v>3.8628327612373745</v>
      </c>
      <c r="H97" s="3">
        <f t="shared" si="19"/>
        <v>7.7293836211906219</v>
      </c>
      <c r="I97" s="3">
        <f t="shared" si="20"/>
        <v>0.91859207864432335</v>
      </c>
    </row>
    <row r="98" spans="1:9" x14ac:dyDescent="0.25">
      <c r="A98" s="2" t="s">
        <v>47</v>
      </c>
      <c r="B98" s="10">
        <v>32.1</v>
      </c>
      <c r="C98" s="10">
        <v>1780.3</v>
      </c>
      <c r="D98" s="3">
        <f t="shared" si="18"/>
        <v>176.26111114336774</v>
      </c>
      <c r="E98" s="10" t="s">
        <v>234</v>
      </c>
      <c r="F98" s="10" t="s">
        <v>262</v>
      </c>
      <c r="G98" s="3">
        <f t="shared" si="19"/>
        <v>3.4688560301359703</v>
      </c>
      <c r="H98" s="3">
        <f t="shared" si="19"/>
        <v>7.4845371684108173</v>
      </c>
      <c r="I98" s="3">
        <f t="shared" si="20"/>
        <v>0.99054904518463882</v>
      </c>
    </row>
    <row r="99" spans="1:9" x14ac:dyDescent="0.25">
      <c r="A99" s="2" t="s">
        <v>47</v>
      </c>
      <c r="B99" s="10">
        <v>129.5</v>
      </c>
      <c r="C99" s="10">
        <v>5899.8</v>
      </c>
      <c r="D99" s="3">
        <f t="shared" si="18"/>
        <v>230.49284258311496</v>
      </c>
      <c r="E99" s="10" t="s">
        <v>234</v>
      </c>
      <c r="F99" s="10" t="s">
        <v>262</v>
      </c>
      <c r="G99" s="3">
        <f t="shared" si="19"/>
        <v>4.8636808811395928</v>
      </c>
      <c r="H99" s="3">
        <f t="shared" si="19"/>
        <v>8.682673731014166</v>
      </c>
      <c r="I99" s="3">
        <f t="shared" si="20"/>
        <v>1.0563161687903984</v>
      </c>
    </row>
    <row r="100" spans="1:9" x14ac:dyDescent="0.25">
      <c r="A100" s="2" t="s">
        <v>47</v>
      </c>
      <c r="B100" s="10">
        <v>104.5</v>
      </c>
      <c r="C100" s="10">
        <v>3521.2</v>
      </c>
      <c r="D100" s="3">
        <f t="shared" si="18"/>
        <v>158.71324318692413</v>
      </c>
      <c r="E100" s="10" t="s">
        <v>234</v>
      </c>
      <c r="F100" s="10" t="s">
        <v>262</v>
      </c>
      <c r="G100" s="3">
        <f t="shared" si="19"/>
        <v>4.6491870714048655</v>
      </c>
      <c r="H100" s="3">
        <f t="shared" si="19"/>
        <v>8.1665571195867503</v>
      </c>
      <c r="I100" s="3">
        <f t="shared" si="20"/>
        <v>0.75053645803684965</v>
      </c>
    </row>
    <row r="101" spans="1:9" x14ac:dyDescent="0.25">
      <c r="A101" s="2" t="s">
        <v>47</v>
      </c>
      <c r="B101" s="10">
        <v>3.15</v>
      </c>
      <c r="C101" s="10">
        <v>275.2</v>
      </c>
      <c r="D101" s="3">
        <f t="shared" si="18"/>
        <v>128.06822599469555</v>
      </c>
      <c r="E101" s="10" t="s">
        <v>234</v>
      </c>
      <c r="F101" s="10" t="s">
        <v>262</v>
      </c>
      <c r="G101" s="3">
        <f t="shared" si="19"/>
        <v>1.1474024528375417</v>
      </c>
      <c r="H101" s="3">
        <f t="shared" si="19"/>
        <v>5.6174981060591884</v>
      </c>
      <c r="I101" s="3">
        <f t="shared" si="20"/>
        <v>1.0106307613857213</v>
      </c>
    </row>
    <row r="102" spans="1:9" x14ac:dyDescent="0.25">
      <c r="A102" s="2" t="s">
        <v>47</v>
      </c>
      <c r="B102" s="10">
        <v>32</v>
      </c>
      <c r="C102" s="10">
        <v>1059.0999999999999</v>
      </c>
      <c r="D102" s="3">
        <f t="shared" si="18"/>
        <v>105.07602838372</v>
      </c>
      <c r="E102" s="10" t="s">
        <v>234</v>
      </c>
      <c r="F102" s="10" t="s">
        <v>262</v>
      </c>
      <c r="G102" s="3">
        <f t="shared" ref="G102:H164" si="21">LN(B102)</f>
        <v>3.4657359027997265</v>
      </c>
      <c r="H102" s="3">
        <f t="shared" si="21"/>
        <v>6.9651747698496234</v>
      </c>
      <c r="I102" s="3">
        <f t="shared" si="20"/>
        <v>0.59077387704907358</v>
      </c>
    </row>
    <row r="103" spans="1:9" x14ac:dyDescent="0.25">
      <c r="A103" s="2" t="s">
        <v>47</v>
      </c>
      <c r="B103" s="10">
        <v>198</v>
      </c>
      <c r="C103" s="10">
        <v>10057</v>
      </c>
      <c r="D103" s="3">
        <f t="shared" si="18"/>
        <v>296.04540405787833</v>
      </c>
      <c r="E103" s="10" t="s">
        <v>234</v>
      </c>
      <c r="F103" s="10" t="s">
        <v>262</v>
      </c>
      <c r="G103" s="3">
        <f t="shared" si="21"/>
        <v>5.2882670306945352</v>
      </c>
      <c r="H103" s="3">
        <f t="shared" si="21"/>
        <v>9.2160241884444805</v>
      </c>
      <c r="I103" s="3">
        <f t="shared" si="20"/>
        <v>1.2750583205764918</v>
      </c>
    </row>
    <row r="104" spans="1:9" x14ac:dyDescent="0.25">
      <c r="A104" s="2" t="s">
        <v>47</v>
      </c>
      <c r="B104" s="10">
        <v>155</v>
      </c>
      <c r="C104" s="10">
        <v>8120</v>
      </c>
      <c r="D104" s="3">
        <f t="shared" si="18"/>
        <v>281.40700053001319</v>
      </c>
      <c r="E104" s="10" t="s">
        <v>234</v>
      </c>
      <c r="F104" s="10" t="s">
        <v>262</v>
      </c>
      <c r="G104" s="3">
        <f t="shared" si="21"/>
        <v>5.0434251169192468</v>
      </c>
      <c r="H104" s="3">
        <f t="shared" si="21"/>
        <v>9.0020854331557238</v>
      </c>
      <c r="I104" s="3">
        <f t="shared" si="20"/>
        <v>1.2561922927014069</v>
      </c>
    </row>
    <row r="105" spans="1:9" x14ac:dyDescent="0.25">
      <c r="A105" s="2" t="s">
        <v>47</v>
      </c>
      <c r="B105" s="10">
        <v>17.2</v>
      </c>
      <c r="C105" s="10">
        <v>1052.3</v>
      </c>
      <c r="D105" s="3">
        <f t="shared" si="18"/>
        <v>157.92611038759122</v>
      </c>
      <c r="E105" s="10" t="s">
        <v>234</v>
      </c>
      <c r="F105" s="10" t="s">
        <v>262</v>
      </c>
      <c r="G105" s="3">
        <f t="shared" si="21"/>
        <v>2.8449093838194073</v>
      </c>
      <c r="H105" s="3">
        <f t="shared" si="21"/>
        <v>6.9587335237467665</v>
      </c>
      <c r="I105" s="3">
        <f t="shared" si="20"/>
        <v>0.97229763323653651</v>
      </c>
    </row>
    <row r="106" spans="1:9" x14ac:dyDescent="0.25">
      <c r="A106" s="2" t="s">
        <v>47</v>
      </c>
      <c r="B106" s="10">
        <v>20</v>
      </c>
      <c r="C106" s="10">
        <v>1076.0999999999999</v>
      </c>
      <c r="D106" s="3">
        <f t="shared" si="18"/>
        <v>146.04923986088895</v>
      </c>
      <c r="E106" s="10" t="s">
        <v>234</v>
      </c>
      <c r="F106" s="10" t="s">
        <v>262</v>
      </c>
      <c r="G106" s="3">
        <f t="shared" si="21"/>
        <v>2.9957322735539909</v>
      </c>
      <c r="H106" s="3">
        <f t="shared" si="21"/>
        <v>6.9810986732063469</v>
      </c>
      <c r="I106" s="3">
        <f t="shared" si="20"/>
        <v>0.87956123541841946</v>
      </c>
    </row>
    <row r="107" spans="1:9" x14ac:dyDescent="0.25">
      <c r="A107" s="2" t="s">
        <v>47</v>
      </c>
      <c r="B107" s="10">
        <v>56</v>
      </c>
      <c r="C107" s="10">
        <v>3511.9</v>
      </c>
      <c r="D107" s="3">
        <f t="shared" si="18"/>
        <v>239.92939359922693</v>
      </c>
      <c r="E107" s="10" t="s">
        <v>234</v>
      </c>
      <c r="F107" s="10" t="s">
        <v>262</v>
      </c>
      <c r="G107" s="3">
        <f t="shared" si="21"/>
        <v>4.0253516907351496</v>
      </c>
      <c r="H107" s="3">
        <f t="shared" si="21"/>
        <v>8.1639124805455214</v>
      </c>
      <c r="I107" s="3">
        <f t="shared" si="20"/>
        <v>1.2429705146723187</v>
      </c>
    </row>
    <row r="108" spans="1:9" x14ac:dyDescent="0.25">
      <c r="A108" s="2" t="s">
        <v>47</v>
      </c>
      <c r="B108" s="10">
        <v>173</v>
      </c>
      <c r="C108" s="10">
        <v>11126.7</v>
      </c>
      <c r="D108" s="3">
        <f t="shared" si="18"/>
        <v>358.37329789494862</v>
      </c>
      <c r="E108" s="10" t="s">
        <v>234</v>
      </c>
      <c r="F108" s="10" t="s">
        <v>262</v>
      </c>
      <c r="G108" s="3">
        <f t="shared" si="21"/>
        <v>5.1532915944977793</v>
      </c>
      <c r="H108" s="3">
        <f t="shared" si="21"/>
        <v>9.3171029043491007</v>
      </c>
      <c r="I108" s="3">
        <f t="shared" si="20"/>
        <v>1.5742707783403749</v>
      </c>
    </row>
    <row r="109" spans="1:9" x14ac:dyDescent="0.25">
      <c r="A109" s="2" t="s">
        <v>47</v>
      </c>
      <c r="B109" s="10">
        <v>116</v>
      </c>
      <c r="C109" s="10">
        <v>4629.8999999999996</v>
      </c>
      <c r="D109" s="3">
        <f t="shared" si="18"/>
        <v>194.65532318856327</v>
      </c>
      <c r="E109" s="10" t="s">
        <v>234</v>
      </c>
      <c r="F109" s="9" t="s">
        <v>262</v>
      </c>
      <c r="G109" s="3">
        <f t="shared" si="21"/>
        <v>4.7535901911063645</v>
      </c>
      <c r="H109" s="3">
        <f t="shared" si="21"/>
        <v>8.4402905485748949</v>
      </c>
      <c r="I109" s="3">
        <f t="shared" si="20"/>
        <v>0.90655559826709475</v>
      </c>
    </row>
    <row r="110" spans="1:9" x14ac:dyDescent="0.25">
      <c r="A110" s="2" t="s">
        <v>47</v>
      </c>
      <c r="B110" s="10">
        <v>132</v>
      </c>
      <c r="C110" s="10">
        <v>5840.2</v>
      </c>
      <c r="D110" s="3">
        <f t="shared" si="18"/>
        <v>225.2743606627678</v>
      </c>
      <c r="E110" s="10" t="s">
        <v>234</v>
      </c>
      <c r="F110" s="10" t="s">
        <v>262</v>
      </c>
      <c r="G110" s="3">
        <f t="shared" si="21"/>
        <v>4.8828019225863706</v>
      </c>
      <c r="H110" s="3">
        <f t="shared" si="21"/>
        <v>8.6725203218112146</v>
      </c>
      <c r="I110" s="3">
        <f t="shared" si="20"/>
        <v>1.0295179046586651</v>
      </c>
    </row>
    <row r="111" spans="1:9" x14ac:dyDescent="0.25">
      <c r="A111" s="2" t="s">
        <v>47</v>
      </c>
      <c r="B111" s="10">
        <v>165</v>
      </c>
      <c r="C111" s="10">
        <v>10057.700000000001</v>
      </c>
      <c r="D111" s="3">
        <f t="shared" si="18"/>
        <v>334.33053856000942</v>
      </c>
      <c r="E111" s="10" t="s">
        <v>234</v>
      </c>
      <c r="F111" s="10" t="s">
        <v>262</v>
      </c>
      <c r="G111" s="3">
        <f t="shared" si="21"/>
        <v>5.1059454739005803</v>
      </c>
      <c r="H111" s="3">
        <f t="shared" si="21"/>
        <v>9.2160937892836952</v>
      </c>
      <c r="I111" s="3">
        <f t="shared" si="20"/>
        <v>1.4788588063456289</v>
      </c>
    </row>
    <row r="112" spans="1:9" x14ac:dyDescent="0.25">
      <c r="A112" s="2" t="s">
        <v>47</v>
      </c>
      <c r="B112" s="10">
        <v>48</v>
      </c>
      <c r="C112" s="10">
        <v>1884.3</v>
      </c>
      <c r="D112" s="3">
        <f t="shared" si="18"/>
        <v>142.66668054473337</v>
      </c>
      <c r="E112" s="10" t="s">
        <v>234</v>
      </c>
      <c r="F112" s="10" t="s">
        <v>262</v>
      </c>
      <c r="G112" s="3">
        <f t="shared" si="21"/>
        <v>3.8712010109078911</v>
      </c>
      <c r="H112" s="3">
        <f t="shared" si="21"/>
        <v>7.5413116781284444</v>
      </c>
      <c r="I112" s="3">
        <f t="shared" si="20"/>
        <v>0.75594426910229218</v>
      </c>
    </row>
    <row r="113" spans="1:9" x14ac:dyDescent="0.25">
      <c r="A113" s="2" t="s">
        <v>47</v>
      </c>
      <c r="B113" s="10">
        <v>42.6</v>
      </c>
      <c r="C113" s="10">
        <v>2323.1</v>
      </c>
      <c r="D113" s="3">
        <f t="shared" si="18"/>
        <v>190.45607885194187</v>
      </c>
      <c r="E113" s="10" t="s">
        <v>234</v>
      </c>
      <c r="F113" s="10" t="s">
        <v>262</v>
      </c>
      <c r="G113" s="3">
        <f t="shared" si="21"/>
        <v>3.751854253275325</v>
      </c>
      <c r="H113" s="3">
        <f t="shared" si="21"/>
        <v>7.7506577796269189</v>
      </c>
      <c r="I113" s="3">
        <f t="shared" si="20"/>
        <v>1.0269317336691837</v>
      </c>
    </row>
    <row r="114" spans="1:9" x14ac:dyDescent="0.25">
      <c r="A114" s="2" t="s">
        <v>47</v>
      </c>
      <c r="B114" s="10">
        <v>190.5</v>
      </c>
      <c r="C114" s="10">
        <v>5997.6</v>
      </c>
      <c r="D114" s="3">
        <f t="shared" si="18"/>
        <v>181.15382613430037</v>
      </c>
      <c r="E114" s="10" t="s">
        <v>234</v>
      </c>
      <c r="F114" s="10" t="s">
        <v>262</v>
      </c>
      <c r="G114" s="3">
        <f t="shared" si="21"/>
        <v>5.2496521945667558</v>
      </c>
      <c r="H114" s="3">
        <f t="shared" si="21"/>
        <v>8.6991146681888516</v>
      </c>
      <c r="I114" s="3">
        <f t="shared" si="20"/>
        <v>0.78464209055047285</v>
      </c>
    </row>
    <row r="115" spans="1:9" x14ac:dyDescent="0.25">
      <c r="A115" s="2" t="s">
        <v>47</v>
      </c>
      <c r="B115" s="10">
        <v>0.06</v>
      </c>
      <c r="C115" s="10">
        <v>11.1</v>
      </c>
      <c r="D115" s="3">
        <f t="shared" si="18"/>
        <v>72.425051361623972</v>
      </c>
      <c r="E115" s="10" t="s">
        <v>234</v>
      </c>
      <c r="F115" s="10" t="s">
        <v>262</v>
      </c>
      <c r="G115" s="3">
        <f t="shared" si="21"/>
        <v>-2.8134107167600364</v>
      </c>
      <c r="H115" s="3">
        <f t="shared" si="21"/>
        <v>2.4069451083182885</v>
      </c>
      <c r="I115" s="3">
        <f t="shared" si="20"/>
        <v>1.0199633343888885</v>
      </c>
    </row>
    <row r="116" spans="1:9" x14ac:dyDescent="0.25">
      <c r="A116" s="2" t="s">
        <v>47</v>
      </c>
      <c r="B116" s="10">
        <v>225</v>
      </c>
      <c r="C116" s="10">
        <v>9617.9</v>
      </c>
      <c r="D116" s="3">
        <f t="shared" si="18"/>
        <v>259.99115810322405</v>
      </c>
      <c r="E116" s="10" t="s">
        <v>234</v>
      </c>
      <c r="F116" s="10" t="s">
        <v>262</v>
      </c>
      <c r="G116" s="3">
        <f t="shared" si="21"/>
        <v>5.4161004022044201</v>
      </c>
      <c r="H116" s="3">
        <f t="shared" si="21"/>
        <v>9.1713812246115882</v>
      </c>
      <c r="I116" s="3">
        <f t="shared" si="20"/>
        <v>1.099035753511272</v>
      </c>
    </row>
    <row r="117" spans="1:9" x14ac:dyDescent="0.25">
      <c r="A117" s="2" t="s">
        <v>47</v>
      </c>
      <c r="B117" s="10">
        <v>0.22</v>
      </c>
      <c r="C117" s="10">
        <v>31.3</v>
      </c>
      <c r="D117" s="3">
        <f t="shared" si="18"/>
        <v>85.8873527553489</v>
      </c>
      <c r="E117" s="10" t="s">
        <v>234</v>
      </c>
      <c r="F117" s="10" t="s">
        <v>262</v>
      </c>
      <c r="G117" s="3">
        <f t="shared" si="21"/>
        <v>-1.5141277326297755</v>
      </c>
      <c r="H117" s="3">
        <f t="shared" si="21"/>
        <v>3.4436180975461075</v>
      </c>
      <c r="I117" s="3">
        <f t="shared" si="20"/>
        <v>1.0002525632895909</v>
      </c>
    </row>
    <row r="118" spans="1:9" x14ac:dyDescent="0.25">
      <c r="A118" s="2" t="s">
        <v>47</v>
      </c>
      <c r="B118" s="10">
        <v>41</v>
      </c>
      <c r="C118" s="10">
        <v>2326.4</v>
      </c>
      <c r="D118" s="3">
        <f t="shared" si="18"/>
        <v>195.65689239088746</v>
      </c>
      <c r="E118" s="10" t="s">
        <v>234</v>
      </c>
      <c r="F118" s="10" t="s">
        <v>262</v>
      </c>
      <c r="G118" s="3">
        <f t="shared" si="21"/>
        <v>3.713572066704308</v>
      </c>
      <c r="H118" s="3">
        <f t="shared" si="21"/>
        <v>7.7520772873392003</v>
      </c>
      <c r="I118" s="3">
        <f t="shared" si="20"/>
        <v>1.0608967640818943</v>
      </c>
    </row>
    <row r="119" spans="1:9" x14ac:dyDescent="0.25">
      <c r="A119" s="2" t="s">
        <v>47</v>
      </c>
      <c r="B119" s="10">
        <v>0.28000000000000003</v>
      </c>
      <c r="C119" s="10">
        <v>43.7</v>
      </c>
      <c r="D119" s="3">
        <f t="shared" si="18"/>
        <v>102.10399839660099</v>
      </c>
      <c r="E119" s="10" t="s">
        <v>234</v>
      </c>
      <c r="F119" s="10" t="s">
        <v>262</v>
      </c>
      <c r="G119" s="3">
        <f t="shared" si="21"/>
        <v>-1.2729656758128873</v>
      </c>
      <c r="H119" s="3">
        <f t="shared" si="21"/>
        <v>3.7773481021015445</v>
      </c>
      <c r="I119" s="3">
        <f t="shared" si="20"/>
        <v>1.1479088547976086</v>
      </c>
    </row>
    <row r="120" spans="1:9" x14ac:dyDescent="0.25">
      <c r="A120" s="2" t="s">
        <v>47</v>
      </c>
      <c r="B120" s="10">
        <v>0.25</v>
      </c>
      <c r="C120" s="10">
        <v>41.3</v>
      </c>
      <c r="D120" s="3">
        <f t="shared" si="18"/>
        <v>104.0694787213165</v>
      </c>
      <c r="E120" s="10" t="s">
        <v>234</v>
      </c>
      <c r="F120" s="10" t="s">
        <v>262</v>
      </c>
      <c r="G120" s="3">
        <f t="shared" si="21"/>
        <v>-1.3862943611198906</v>
      </c>
      <c r="H120" s="3">
        <f t="shared" si="21"/>
        <v>3.7208624999669868</v>
      </c>
      <c r="I120" s="3">
        <f t="shared" si="20"/>
        <v>1.1895572583893457</v>
      </c>
    </row>
    <row r="121" spans="1:9" x14ac:dyDescent="0.25">
      <c r="A121" s="2" t="s">
        <v>47</v>
      </c>
      <c r="B121" s="10">
        <v>200.5</v>
      </c>
      <c r="C121" s="10">
        <v>10835.8</v>
      </c>
      <c r="D121" s="3">
        <f t="shared" si="18"/>
        <v>316.31374392267361</v>
      </c>
      <c r="E121" s="10" t="s">
        <v>234</v>
      </c>
      <c r="F121" s="10" t="s">
        <v>262</v>
      </c>
      <c r="G121" s="3">
        <f t="shared" si="21"/>
        <v>5.3008142467466239</v>
      </c>
      <c r="H121" s="3">
        <f t="shared" si="21"/>
        <v>9.2906107460394516</v>
      </c>
      <c r="I121" s="3">
        <f t="shared" si="20"/>
        <v>1.3598560449704853</v>
      </c>
    </row>
    <row r="122" spans="1:9" x14ac:dyDescent="0.25">
      <c r="A122" s="2" t="s">
        <v>47</v>
      </c>
      <c r="B122" s="10">
        <v>0.26</v>
      </c>
      <c r="C122" s="10">
        <v>35.200000000000003</v>
      </c>
      <c r="D122" s="3">
        <f t="shared" si="18"/>
        <v>86.409288969180281</v>
      </c>
      <c r="E122" s="10" t="s">
        <v>234</v>
      </c>
      <c r="F122" s="10" t="s">
        <v>262</v>
      </c>
      <c r="G122" s="3">
        <f t="shared" si="21"/>
        <v>-1.3470736479666092</v>
      </c>
      <c r="H122" s="3">
        <f t="shared" si="21"/>
        <v>3.5610460826040513</v>
      </c>
      <c r="I122" s="3">
        <f t="shared" si="20"/>
        <v>0.98204539072284069</v>
      </c>
    </row>
    <row r="123" spans="1:9" x14ac:dyDescent="0.25">
      <c r="A123" s="2" t="s">
        <v>47</v>
      </c>
      <c r="B123" s="10">
        <v>0.06</v>
      </c>
      <c r="C123" s="10">
        <v>12.1</v>
      </c>
      <c r="D123" s="3">
        <f t="shared" si="18"/>
        <v>78.949830763572081</v>
      </c>
      <c r="E123" s="10" t="s">
        <v>234</v>
      </c>
      <c r="F123" s="10" t="s">
        <v>262</v>
      </c>
      <c r="G123" s="3">
        <f t="shared" si="21"/>
        <v>-2.8134107167600364</v>
      </c>
      <c r="H123" s="3">
        <f t="shared" si="21"/>
        <v>2.4932054526026954</v>
      </c>
      <c r="I123" s="3">
        <f t="shared" si="20"/>
        <v>1.1118519230725721</v>
      </c>
    </row>
    <row r="124" spans="1:9" x14ac:dyDescent="0.25">
      <c r="A124" s="2" t="s">
        <v>47</v>
      </c>
      <c r="B124" s="10">
        <v>66</v>
      </c>
      <c r="C124" s="10">
        <v>2614.8000000000002</v>
      </c>
      <c r="D124" s="3">
        <f t="shared" si="18"/>
        <v>160.10658190792287</v>
      </c>
      <c r="E124" s="10" t="s">
        <v>234</v>
      </c>
      <c r="F124" s="10" t="s">
        <v>262</v>
      </c>
      <c r="G124" s="3">
        <f t="shared" si="21"/>
        <v>4.1896547420264252</v>
      </c>
      <c r="H124" s="3">
        <f t="shared" si="21"/>
        <v>7.8689428917385742</v>
      </c>
      <c r="I124" s="3">
        <f t="shared" si="20"/>
        <v>0.80975184046342608</v>
      </c>
    </row>
    <row r="125" spans="1:9" x14ac:dyDescent="0.25">
      <c r="A125" s="2" t="s">
        <v>47</v>
      </c>
      <c r="B125" s="10">
        <v>0.45</v>
      </c>
      <c r="C125" s="10">
        <v>57.2</v>
      </c>
      <c r="D125" s="3">
        <f t="shared" si="18"/>
        <v>97.406443406469421</v>
      </c>
      <c r="E125" s="10" t="s">
        <v>234</v>
      </c>
      <c r="F125" s="10" t="s">
        <v>262</v>
      </c>
      <c r="G125" s="3">
        <f t="shared" si="21"/>
        <v>-0.79850769621777162</v>
      </c>
      <c r="H125" s="3">
        <f t="shared" si="21"/>
        <v>4.0465538983857519</v>
      </c>
      <c r="I125" s="3">
        <f t="shared" si="20"/>
        <v>1.0216927439388674</v>
      </c>
    </row>
    <row r="126" spans="1:9" x14ac:dyDescent="0.25">
      <c r="A126" s="2" t="s">
        <v>47</v>
      </c>
      <c r="B126" s="10">
        <v>0.47</v>
      </c>
      <c r="C126" s="10">
        <v>53.1</v>
      </c>
      <c r="D126" s="3">
        <f t="shared" si="18"/>
        <v>87.840732589125821</v>
      </c>
      <c r="E126" s="10" t="s">
        <v>234</v>
      </c>
      <c r="F126" s="10" t="s">
        <v>262</v>
      </c>
      <c r="G126" s="3">
        <f t="shared" si="21"/>
        <v>-0.75502258427803282</v>
      </c>
      <c r="H126" s="3">
        <f t="shared" si="21"/>
        <v>3.9721769282478934</v>
      </c>
      <c r="I126" s="3">
        <f t="shared" si="20"/>
        <v>0.91551803724431735</v>
      </c>
    </row>
    <row r="127" spans="1:9" x14ac:dyDescent="0.25">
      <c r="A127" s="2" t="s">
        <v>47</v>
      </c>
      <c r="B127" s="10">
        <v>0.27</v>
      </c>
      <c r="C127" s="10">
        <v>43.6</v>
      </c>
      <c r="D127" s="3">
        <f t="shared" si="18"/>
        <v>104.37039165043348</v>
      </c>
      <c r="E127" s="10" t="s">
        <v>234</v>
      </c>
      <c r="F127" s="10" t="s">
        <v>262</v>
      </c>
      <c r="G127" s="3">
        <f t="shared" si="21"/>
        <v>-1.3093333199837622</v>
      </c>
      <c r="H127" s="3">
        <f t="shared" si="21"/>
        <v>3.7750571503549888</v>
      </c>
      <c r="I127" s="3">
        <f t="shared" si="20"/>
        <v>1.1796457790537611</v>
      </c>
    </row>
    <row r="128" spans="1:9" x14ac:dyDescent="0.25">
      <c r="A128" s="2" t="s">
        <v>47</v>
      </c>
      <c r="B128" s="10">
        <v>0.22</v>
      </c>
      <c r="C128" s="10">
        <v>27</v>
      </c>
      <c r="D128" s="3">
        <f t="shared" si="18"/>
        <v>74.088131769789783</v>
      </c>
      <c r="E128" s="10" t="s">
        <v>234</v>
      </c>
      <c r="F128" s="10" t="s">
        <v>262</v>
      </c>
      <c r="G128" s="3">
        <f t="shared" si="21"/>
        <v>-1.5141277326297755</v>
      </c>
      <c r="H128" s="3">
        <f t="shared" si="21"/>
        <v>3.2958368660043291</v>
      </c>
      <c r="I128" s="3">
        <f t="shared" si="20"/>
        <v>0.8628376744031615</v>
      </c>
    </row>
    <row r="129" spans="1:9" x14ac:dyDescent="0.25">
      <c r="A129" s="2" t="s">
        <v>47</v>
      </c>
      <c r="B129" s="10">
        <v>0.24</v>
      </c>
      <c r="C129" s="10">
        <v>33.6</v>
      </c>
      <c r="D129" s="3">
        <f t="shared" si="18"/>
        <v>87.002510166708049</v>
      </c>
      <c r="E129" s="10" t="s">
        <v>234</v>
      </c>
      <c r="F129" s="10" t="s">
        <v>262</v>
      </c>
      <c r="G129" s="3">
        <f t="shared" si="21"/>
        <v>-1.4271163556401458</v>
      </c>
      <c r="H129" s="3">
        <f t="shared" si="21"/>
        <v>3.5145260669691587</v>
      </c>
      <c r="I129" s="3">
        <f t="shared" si="20"/>
        <v>1.0004290444822994</v>
      </c>
    </row>
    <row r="130" spans="1:9" x14ac:dyDescent="0.25">
      <c r="A130" s="2" t="s">
        <v>47</v>
      </c>
      <c r="B130" s="10">
        <v>0.21</v>
      </c>
      <c r="C130" s="10">
        <v>32.799999999999997</v>
      </c>
      <c r="D130" s="3">
        <f t="shared" si="18"/>
        <v>92.838400024109816</v>
      </c>
      <c r="E130" s="10" t="s">
        <v>234</v>
      </c>
      <c r="F130" s="10" t="s">
        <v>262</v>
      </c>
      <c r="G130" s="3">
        <f t="shared" si="21"/>
        <v>-1.5606477482646683</v>
      </c>
      <c r="H130" s="3">
        <f t="shared" si="21"/>
        <v>3.4904285153900978</v>
      </c>
      <c r="I130" s="3">
        <f t="shared" si="20"/>
        <v>1.0885854160543478</v>
      </c>
    </row>
    <row r="131" spans="1:9" x14ac:dyDescent="0.25">
      <c r="A131" s="2" t="s">
        <v>47</v>
      </c>
      <c r="B131" s="10">
        <v>0.21</v>
      </c>
      <c r="C131" s="10">
        <v>31.6</v>
      </c>
      <c r="D131" s="3">
        <f t="shared" si="18"/>
        <v>89.441873193959466</v>
      </c>
      <c r="E131" s="10" t="s">
        <v>234</v>
      </c>
      <c r="F131" s="10" t="s">
        <v>262</v>
      </c>
      <c r="G131" s="3">
        <f t="shared" si="21"/>
        <v>-1.5606477482646683</v>
      </c>
      <c r="H131" s="3">
        <f t="shared" si="21"/>
        <v>3.4531571205928664</v>
      </c>
      <c r="I131" s="3">
        <f t="shared" si="20"/>
        <v>1.0487591203450426</v>
      </c>
    </row>
    <row r="132" spans="1:9" x14ac:dyDescent="0.25">
      <c r="A132" s="2" t="s">
        <v>47</v>
      </c>
      <c r="B132" s="10">
        <v>0.14000000000000001</v>
      </c>
      <c r="C132" s="10">
        <v>20.3</v>
      </c>
      <c r="D132" s="3">
        <f t="shared" si="18"/>
        <v>75.291164476841004</v>
      </c>
      <c r="E132" s="10" t="s">
        <v>234</v>
      </c>
      <c r="F132" s="10" t="s">
        <v>262</v>
      </c>
      <c r="G132" s="3">
        <f t="shared" si="21"/>
        <v>-1.9661128563728327</v>
      </c>
      <c r="H132" s="3">
        <f t="shared" si="21"/>
        <v>3.0106208860477417</v>
      </c>
      <c r="I132" s="3">
        <f t="shared" si="20"/>
        <v>0.93676205445904404</v>
      </c>
    </row>
    <row r="133" spans="1:9" x14ac:dyDescent="0.25">
      <c r="A133" s="2" t="s">
        <v>47</v>
      </c>
      <c r="B133" s="10">
        <v>0.06</v>
      </c>
      <c r="C133" s="10">
        <v>10.1</v>
      </c>
      <c r="D133" s="3">
        <f t="shared" si="18"/>
        <v>65.900271959675862</v>
      </c>
      <c r="E133" s="10" t="s">
        <v>234</v>
      </c>
      <c r="F133" s="10" t="s">
        <v>262</v>
      </c>
      <c r="G133" s="3">
        <f t="shared" si="21"/>
        <v>-2.8134107167600364</v>
      </c>
      <c r="H133" s="3">
        <f t="shared" si="21"/>
        <v>2.3125354238472138</v>
      </c>
      <c r="I133" s="3">
        <f t="shared" si="20"/>
        <v>0.92807474570520476</v>
      </c>
    </row>
    <row r="134" spans="1:9" x14ac:dyDescent="0.25">
      <c r="A134" s="2" t="s">
        <v>47</v>
      </c>
      <c r="B134" s="10">
        <v>0.06</v>
      </c>
      <c r="C134" s="10">
        <v>9.5</v>
      </c>
      <c r="D134" s="3">
        <f t="shared" si="18"/>
        <v>61.985404318507001</v>
      </c>
      <c r="E134" s="10" t="s">
        <v>234</v>
      </c>
      <c r="F134" s="10" t="s">
        <v>262</v>
      </c>
      <c r="G134" s="3">
        <f t="shared" si="21"/>
        <v>-2.8134107167600364</v>
      </c>
      <c r="H134" s="3">
        <f t="shared" si="21"/>
        <v>2.2512917986064953</v>
      </c>
      <c r="I134" s="3">
        <f t="shared" si="20"/>
        <v>0.87294159249499459</v>
      </c>
    </row>
    <row r="135" spans="1:9" x14ac:dyDescent="0.25">
      <c r="A135" s="2" t="s">
        <v>47</v>
      </c>
      <c r="B135" s="10">
        <v>0.06</v>
      </c>
      <c r="C135" s="10">
        <v>10.6</v>
      </c>
      <c r="D135" s="3">
        <f t="shared" si="18"/>
        <v>69.162661660649917</v>
      </c>
      <c r="E135" s="10" t="s">
        <v>234</v>
      </c>
      <c r="F135" s="10" t="s">
        <v>262</v>
      </c>
      <c r="G135" s="3">
        <f t="shared" si="21"/>
        <v>-2.8134107167600364</v>
      </c>
      <c r="H135" s="3">
        <f t="shared" si="21"/>
        <v>2.3608540011180215</v>
      </c>
      <c r="I135" s="3">
        <f t="shared" si="20"/>
        <v>0.97401904004704665</v>
      </c>
    </row>
    <row r="136" spans="1:9" x14ac:dyDescent="0.25">
      <c r="A136" s="2" t="s">
        <v>47</v>
      </c>
      <c r="B136" s="10">
        <v>0.05</v>
      </c>
      <c r="C136" s="10">
        <v>10.3</v>
      </c>
      <c r="D136" s="3">
        <f t="shared" si="18"/>
        <v>75.891048871991956</v>
      </c>
      <c r="E136" s="10" t="s">
        <v>234</v>
      </c>
      <c r="F136" s="10" t="s">
        <v>262</v>
      </c>
      <c r="G136" s="3">
        <f t="shared" si="21"/>
        <v>-2.9957322735539909</v>
      </c>
      <c r="H136" s="3">
        <f t="shared" si="21"/>
        <v>2.33214389523559</v>
      </c>
      <c r="I136" s="3">
        <f t="shared" si="20"/>
        <v>1.0976534351228211</v>
      </c>
    </row>
    <row r="137" spans="1:9" x14ac:dyDescent="0.25">
      <c r="A137" s="2" t="s">
        <v>47</v>
      </c>
      <c r="B137" s="10">
        <v>7.0000000000000007E-2</v>
      </c>
      <c r="C137" s="10">
        <v>11</v>
      </c>
      <c r="D137" s="3">
        <f t="shared" si="18"/>
        <v>64.76305471127732</v>
      </c>
      <c r="E137" s="10" t="s">
        <v>234</v>
      </c>
      <c r="F137" s="10" t="s">
        <v>262</v>
      </c>
      <c r="G137" s="3">
        <f t="shared" si="21"/>
        <v>-2.6592600369327779</v>
      </c>
      <c r="H137" s="3">
        <f t="shared" si="21"/>
        <v>2.3978952727983707</v>
      </c>
      <c r="I137" s="3">
        <f t="shared" si="20"/>
        <v>0.89172967864388797</v>
      </c>
    </row>
    <row r="138" spans="1:9" x14ac:dyDescent="0.25">
      <c r="A138" s="2" t="s">
        <v>47</v>
      </c>
      <c r="B138" s="10">
        <v>0.06</v>
      </c>
      <c r="C138" s="10">
        <v>10.4</v>
      </c>
      <c r="D138" s="3">
        <f t="shared" si="18"/>
        <v>67.857705780260304</v>
      </c>
      <c r="E138" s="10" t="s">
        <v>234</v>
      </c>
      <c r="F138" s="10" t="s">
        <v>262</v>
      </c>
      <c r="G138" s="3">
        <f t="shared" si="21"/>
        <v>-2.8134107167600364</v>
      </c>
      <c r="H138" s="3">
        <f t="shared" si="21"/>
        <v>2.341805806147327</v>
      </c>
      <c r="I138" s="3">
        <f t="shared" si="20"/>
        <v>0.95564132231030996</v>
      </c>
    </row>
    <row r="139" spans="1:9" x14ac:dyDescent="0.25">
      <c r="A139" s="2" t="s">
        <v>47</v>
      </c>
      <c r="B139" s="10">
        <v>0.05</v>
      </c>
      <c r="C139" s="10">
        <v>9.5</v>
      </c>
      <c r="D139" s="3">
        <f t="shared" si="18"/>
        <v>69.996598474167328</v>
      </c>
      <c r="E139" s="10" t="s">
        <v>234</v>
      </c>
      <c r="F139" s="10" t="s">
        <v>262</v>
      </c>
      <c r="G139" s="3">
        <f t="shared" si="21"/>
        <v>-2.9957322735539909</v>
      </c>
      <c r="H139" s="3">
        <f t="shared" si="21"/>
        <v>2.2512917986064953</v>
      </c>
      <c r="I139" s="3">
        <f t="shared" si="20"/>
        <v>1.0123987993851262</v>
      </c>
    </row>
    <row r="140" spans="1:9" x14ac:dyDescent="0.25">
      <c r="A140" s="2" t="s">
        <v>47</v>
      </c>
      <c r="B140" s="10">
        <v>0.05</v>
      </c>
      <c r="C140" s="10">
        <v>9.4</v>
      </c>
      <c r="D140" s="3">
        <f t="shared" si="18"/>
        <v>69.259792174439255</v>
      </c>
      <c r="E140" s="10" t="s">
        <v>234</v>
      </c>
      <c r="F140" s="10" t="s">
        <v>262</v>
      </c>
      <c r="G140" s="3">
        <f t="shared" si="21"/>
        <v>-2.9957322735539909</v>
      </c>
      <c r="H140" s="3">
        <f t="shared" si="21"/>
        <v>2.2407096892759584</v>
      </c>
      <c r="I140" s="3">
        <f t="shared" si="20"/>
        <v>1.0017419699179144</v>
      </c>
    </row>
    <row r="141" spans="1:9" x14ac:dyDescent="0.25">
      <c r="A141" s="2" t="s">
        <v>47</v>
      </c>
      <c r="B141" s="10">
        <v>242.7</v>
      </c>
      <c r="C141" s="10">
        <v>13166.1</v>
      </c>
      <c r="D141" s="3">
        <f t="shared" si="18"/>
        <v>338.38463262352087</v>
      </c>
      <c r="E141" s="10" t="s">
        <v>234</v>
      </c>
      <c r="F141" s="10" t="s">
        <v>262</v>
      </c>
      <c r="G141" s="3">
        <f t="shared" si="21"/>
        <v>5.4918261127325554</v>
      </c>
      <c r="H141" s="3">
        <f t="shared" si="21"/>
        <v>9.4854006233202597</v>
      </c>
      <c r="I141" s="3">
        <f t="shared" si="20"/>
        <v>1.4146684267908476</v>
      </c>
    </row>
    <row r="142" spans="1:9" x14ac:dyDescent="0.25">
      <c r="A142" s="2" t="s">
        <v>47</v>
      </c>
      <c r="B142" s="10">
        <v>50</v>
      </c>
      <c r="C142" s="10">
        <v>2464.1999999999998</v>
      </c>
      <c r="D142" s="3">
        <f t="shared" si="18"/>
        <v>181.5638083789928</v>
      </c>
      <c r="E142" s="10" t="s">
        <v>234</v>
      </c>
      <c r="F142" s="10" t="s">
        <v>262</v>
      </c>
      <c r="G142" s="3">
        <f t="shared" si="21"/>
        <v>3.912023005428146</v>
      </c>
      <c r="H142" s="3">
        <f t="shared" si="21"/>
        <v>7.8096224901905682</v>
      </c>
      <c r="I142" s="3">
        <f t="shared" si="20"/>
        <v>0.95632160947282474</v>
      </c>
    </row>
    <row r="143" spans="1:9" x14ac:dyDescent="0.25">
      <c r="A143" s="2" t="s">
        <v>47</v>
      </c>
      <c r="B143" s="10">
        <v>72.7</v>
      </c>
      <c r="C143" s="10">
        <v>2424.1999999999998</v>
      </c>
      <c r="D143" s="3">
        <f t="shared" si="18"/>
        <v>139.16996125206217</v>
      </c>
      <c r="E143" s="10" t="s">
        <v>234</v>
      </c>
      <c r="F143" s="10" t="s">
        <v>262</v>
      </c>
      <c r="G143" s="3">
        <f t="shared" si="21"/>
        <v>4.2863413845394733</v>
      </c>
      <c r="H143" s="3">
        <f t="shared" si="21"/>
        <v>7.7932568520364116</v>
      </c>
      <c r="I143" s="3">
        <f t="shared" si="20"/>
        <v>0.6939814420077377</v>
      </c>
    </row>
    <row r="144" spans="1:9" x14ac:dyDescent="0.25">
      <c r="A144" s="2" t="s">
        <v>47</v>
      </c>
      <c r="B144" s="10">
        <v>56.8</v>
      </c>
      <c r="C144" s="10">
        <v>2731.1</v>
      </c>
      <c r="D144" s="3">
        <f t="shared" si="18"/>
        <v>184.82982193140506</v>
      </c>
      <c r="E144" s="10" t="s">
        <v>234</v>
      </c>
      <c r="F144" s="10" t="s">
        <v>262</v>
      </c>
      <c r="G144" s="3">
        <f t="shared" si="21"/>
        <v>4.0395363257271057</v>
      </c>
      <c r="H144" s="3">
        <f t="shared" si="21"/>
        <v>7.9124597374272803</v>
      </c>
      <c r="I144" s="3">
        <f t="shared" si="20"/>
        <v>0.95553934213267122</v>
      </c>
    </row>
    <row r="145" spans="1:9" x14ac:dyDescent="0.25">
      <c r="A145" s="2" t="s">
        <v>47</v>
      </c>
      <c r="B145" s="10">
        <v>25</v>
      </c>
      <c r="C145" s="10">
        <v>1752.5</v>
      </c>
      <c r="D145" s="3">
        <f t="shared" si="18"/>
        <v>204.97364344872199</v>
      </c>
      <c r="E145" s="10" t="s">
        <v>234</v>
      </c>
      <c r="F145" s="10" t="s">
        <v>262</v>
      </c>
      <c r="G145" s="3">
        <f t="shared" si="21"/>
        <v>3.2188758248682006</v>
      </c>
      <c r="H145" s="3">
        <f t="shared" si="21"/>
        <v>7.4687986189087452</v>
      </c>
      <c r="I145" s="3">
        <f t="shared" si="20"/>
        <v>1.1947948068292968</v>
      </c>
    </row>
    <row r="146" spans="1:9" x14ac:dyDescent="0.25">
      <c r="A146" s="2" t="s">
        <v>47</v>
      </c>
      <c r="B146" s="10">
        <v>34.1</v>
      </c>
      <c r="C146" s="10">
        <v>1730.3</v>
      </c>
      <c r="D146" s="3">
        <f t="shared" si="18"/>
        <v>164.54517622387473</v>
      </c>
      <c r="E146" s="10" t="s">
        <v>234</v>
      </c>
      <c r="F146" s="10" t="s">
        <v>262</v>
      </c>
      <c r="G146" s="3">
        <f t="shared" si="21"/>
        <v>3.529297384289471</v>
      </c>
      <c r="H146" s="3">
        <f t="shared" si="21"/>
        <v>7.4560500828626024</v>
      </c>
      <c r="I146" s="3">
        <f t="shared" si="20"/>
        <v>0.9165709864768643</v>
      </c>
    </row>
    <row r="147" spans="1:9" x14ac:dyDescent="0.25">
      <c r="A147" s="2" t="s">
        <v>47</v>
      </c>
      <c r="B147" s="10">
        <v>25</v>
      </c>
      <c r="C147" s="10">
        <v>1801.4</v>
      </c>
      <c r="D147" s="3">
        <f t="shared" si="18"/>
        <v>210.69302214466637</v>
      </c>
      <c r="E147" s="10" t="s">
        <v>234</v>
      </c>
      <c r="F147" s="10" t="s">
        <v>262</v>
      </c>
      <c r="G147" s="3">
        <f t="shared" si="21"/>
        <v>3.2188758248682006</v>
      </c>
      <c r="H147" s="3">
        <f t="shared" si="21"/>
        <v>7.4963194193496427</v>
      </c>
      <c r="I147" s="3">
        <f t="shared" si="20"/>
        <v>1.2281331612110102</v>
      </c>
    </row>
    <row r="148" spans="1:9" x14ac:dyDescent="0.25">
      <c r="A148" s="2" t="s">
        <v>47</v>
      </c>
      <c r="B148" s="10">
        <v>19.3</v>
      </c>
      <c r="C148" s="10">
        <v>711.7</v>
      </c>
      <c r="D148" s="3">
        <f t="shared" si="18"/>
        <v>98.914226641167787</v>
      </c>
      <c r="E148" s="10" t="s">
        <v>234</v>
      </c>
      <c r="F148" s="10" t="s">
        <v>262</v>
      </c>
      <c r="G148" s="3">
        <f t="shared" si="21"/>
        <v>2.9601050959108397</v>
      </c>
      <c r="H148" s="3">
        <f t="shared" si="21"/>
        <v>6.5676564743052257</v>
      </c>
      <c r="I148" s="3">
        <f t="shared" si="20"/>
        <v>0.59880878342806809</v>
      </c>
    </row>
    <row r="149" spans="1:9" x14ac:dyDescent="0.25">
      <c r="A149" s="2" t="s">
        <v>47</v>
      </c>
      <c r="B149" s="10">
        <v>48.6</v>
      </c>
      <c r="C149" s="10">
        <v>2602.1</v>
      </c>
      <c r="D149" s="3">
        <f t="shared" si="18"/>
        <v>195.38886188495735</v>
      </c>
      <c r="E149" s="10" t="s">
        <v>234</v>
      </c>
      <c r="F149" s="10" t="s">
        <v>262</v>
      </c>
      <c r="G149" s="3">
        <f t="shared" si="21"/>
        <v>3.8836235309064482</v>
      </c>
      <c r="H149" s="3">
        <f t="shared" si="21"/>
        <v>7.8640740903093649</v>
      </c>
      <c r="I149" s="3">
        <f t="shared" si="20"/>
        <v>1.0334229264033745</v>
      </c>
    </row>
    <row r="150" spans="1:9" x14ac:dyDescent="0.25">
      <c r="A150" s="2" t="s">
        <v>47</v>
      </c>
      <c r="B150" s="10">
        <v>70.5</v>
      </c>
      <c r="C150" s="10">
        <v>3638.5</v>
      </c>
      <c r="D150" s="3">
        <f t="shared" ref="D150:D164" si="22">C150*(1/B150)^(2/3)</f>
        <v>213.20446778427933</v>
      </c>
      <c r="E150" s="10" t="s">
        <v>234</v>
      </c>
      <c r="F150" s="10" t="s">
        <v>262</v>
      </c>
      <c r="G150" s="3">
        <f t="shared" si="21"/>
        <v>4.255612709818223</v>
      </c>
      <c r="H150" s="3">
        <f t="shared" si="21"/>
        <v>8.1993267877871414</v>
      </c>
      <c r="I150" s="3">
        <f t="shared" si="20"/>
        <v>1.0679481770250361</v>
      </c>
    </row>
    <row r="151" spans="1:9" x14ac:dyDescent="0.25">
      <c r="A151" s="2" t="s">
        <v>47</v>
      </c>
      <c r="B151" s="10">
        <v>53.6</v>
      </c>
      <c r="C151" s="10">
        <v>2695.5</v>
      </c>
      <c r="D151" s="3">
        <f t="shared" si="22"/>
        <v>189.61068609765181</v>
      </c>
      <c r="E151" s="10" t="s">
        <v>234</v>
      </c>
      <c r="F151" s="10" t="s">
        <v>262</v>
      </c>
      <c r="G151" s="3">
        <f t="shared" si="21"/>
        <v>3.9815490680767565</v>
      </c>
      <c r="H151" s="3">
        <f t="shared" si="21"/>
        <v>7.8993389948917239</v>
      </c>
      <c r="I151" s="3">
        <f t="shared" ref="I151:I164" si="23">C151/EXP(0.8129*LN(B151)+4.6742)</f>
        <v>0.98860319868118185</v>
      </c>
    </row>
    <row r="152" spans="1:9" x14ac:dyDescent="0.25">
      <c r="A152" s="2" t="s">
        <v>47</v>
      </c>
      <c r="B152" s="10">
        <v>55.9</v>
      </c>
      <c r="C152" s="10">
        <v>2642.1</v>
      </c>
      <c r="D152" s="3">
        <f t="shared" si="22"/>
        <v>180.72076063022692</v>
      </c>
      <c r="E152" s="10" t="s">
        <v>234</v>
      </c>
      <c r="F152" s="10" t="s">
        <v>262</v>
      </c>
      <c r="G152" s="3">
        <f t="shared" si="21"/>
        <v>4.0235643801610532</v>
      </c>
      <c r="H152" s="3">
        <f t="shared" si="21"/>
        <v>7.8793293344795234</v>
      </c>
      <c r="I152" s="3">
        <f t="shared" si="23"/>
        <v>0.93648090209834856</v>
      </c>
    </row>
    <row r="153" spans="1:9" x14ac:dyDescent="0.25">
      <c r="A153" s="2" t="s">
        <v>47</v>
      </c>
      <c r="B153" s="10">
        <v>32</v>
      </c>
      <c r="C153" s="10">
        <v>1530.1</v>
      </c>
      <c r="D153" s="3">
        <f t="shared" si="22"/>
        <v>151.80514685103387</v>
      </c>
      <c r="E153" s="10" t="s">
        <v>234</v>
      </c>
      <c r="F153" s="10" t="s">
        <v>262</v>
      </c>
      <c r="G153" s="3">
        <f t="shared" si="21"/>
        <v>3.4657359027997265</v>
      </c>
      <c r="H153" s="3">
        <f t="shared" si="21"/>
        <v>7.3330883717277677</v>
      </c>
      <c r="I153" s="3">
        <f t="shared" si="23"/>
        <v>0.85350118900272642</v>
      </c>
    </row>
    <row r="154" spans="1:9" x14ac:dyDescent="0.25">
      <c r="A154" s="2" t="s">
        <v>47</v>
      </c>
      <c r="B154" s="10">
        <v>3.25</v>
      </c>
      <c r="C154" s="10">
        <v>394.5</v>
      </c>
      <c r="D154" s="3">
        <f t="shared" si="22"/>
        <v>179.80072292103193</v>
      </c>
      <c r="E154" s="10" t="s">
        <v>234</v>
      </c>
      <c r="F154" s="10" t="s">
        <v>262</v>
      </c>
      <c r="G154" s="3">
        <f t="shared" si="21"/>
        <v>1.1786549963416462</v>
      </c>
      <c r="H154" s="3">
        <f t="shared" si="21"/>
        <v>5.9776191402859293</v>
      </c>
      <c r="I154" s="3">
        <f t="shared" si="23"/>
        <v>1.4124001535105304</v>
      </c>
    </row>
    <row r="155" spans="1:9" x14ac:dyDescent="0.25">
      <c r="A155" s="2" t="s">
        <v>47</v>
      </c>
      <c r="B155" s="10">
        <v>2.9</v>
      </c>
      <c r="C155" s="10">
        <v>304.7</v>
      </c>
      <c r="D155" s="3">
        <f t="shared" si="22"/>
        <v>149.83287825320414</v>
      </c>
      <c r="E155" s="10" t="s">
        <v>234</v>
      </c>
      <c r="F155" s="10" t="s">
        <v>262</v>
      </c>
      <c r="G155" s="3">
        <f t="shared" si="21"/>
        <v>1.0647107369924282</v>
      </c>
      <c r="H155" s="3">
        <f t="shared" si="21"/>
        <v>5.7193276859916633</v>
      </c>
      <c r="I155" s="3">
        <f t="shared" si="23"/>
        <v>1.1967676864202847</v>
      </c>
    </row>
    <row r="156" spans="1:9" x14ac:dyDescent="0.25">
      <c r="A156" s="2" t="s">
        <v>47</v>
      </c>
      <c r="B156" s="10">
        <v>56.5</v>
      </c>
      <c r="C156" s="10">
        <v>2895.6</v>
      </c>
      <c r="D156" s="3">
        <f t="shared" si="22"/>
        <v>196.65557801170075</v>
      </c>
      <c r="E156" s="10" t="s">
        <v>234</v>
      </c>
      <c r="F156" s="10" t="s">
        <v>262</v>
      </c>
      <c r="G156" s="3">
        <f t="shared" si="21"/>
        <v>4.0342406381523954</v>
      </c>
      <c r="H156" s="3">
        <f t="shared" si="21"/>
        <v>7.9709476224189864</v>
      </c>
      <c r="I156" s="3">
        <f t="shared" si="23"/>
        <v>1.0174641534250244</v>
      </c>
    </row>
    <row r="157" spans="1:9" x14ac:dyDescent="0.25">
      <c r="A157" s="2" t="s">
        <v>47</v>
      </c>
      <c r="B157" s="10">
        <v>18.5</v>
      </c>
      <c r="C157" s="10">
        <v>1236.5</v>
      </c>
      <c r="D157" s="3">
        <f t="shared" si="22"/>
        <v>176.77179358071322</v>
      </c>
      <c r="E157" s="10" t="s">
        <v>234</v>
      </c>
      <c r="F157" s="10" t="s">
        <v>262</v>
      </c>
      <c r="G157" s="3">
        <f t="shared" si="21"/>
        <v>2.917770732084279</v>
      </c>
      <c r="H157" s="3">
        <f t="shared" si="21"/>
        <v>7.1200400869614713</v>
      </c>
      <c r="I157" s="3">
        <f t="shared" si="23"/>
        <v>1.0767898554523536</v>
      </c>
    </row>
    <row r="158" spans="1:9" x14ac:dyDescent="0.25">
      <c r="A158" s="2" t="s">
        <v>47</v>
      </c>
      <c r="B158" s="10">
        <v>24.2</v>
      </c>
      <c r="C158" s="10">
        <v>1236.5</v>
      </c>
      <c r="D158" s="3">
        <f t="shared" si="22"/>
        <v>147.79186969718975</v>
      </c>
      <c r="E158" s="10" t="s">
        <v>234</v>
      </c>
      <c r="F158" s="10" t="s">
        <v>262</v>
      </c>
      <c r="G158" s="3">
        <f t="shared" si="21"/>
        <v>3.1863526331626408</v>
      </c>
      <c r="H158" s="3">
        <f t="shared" si="21"/>
        <v>7.1200400869614713</v>
      </c>
      <c r="I158" s="3">
        <f t="shared" si="23"/>
        <v>0.86558822995719542</v>
      </c>
    </row>
    <row r="159" spans="1:9" x14ac:dyDescent="0.25">
      <c r="A159" s="2" t="s">
        <v>47</v>
      </c>
      <c r="B159" s="10">
        <v>1.65</v>
      </c>
      <c r="C159" s="10">
        <v>213.5</v>
      </c>
      <c r="D159" s="3">
        <f t="shared" si="22"/>
        <v>152.90038649988577</v>
      </c>
      <c r="E159" s="10" t="s">
        <v>234</v>
      </c>
      <c r="F159" s="10" t="s">
        <v>262</v>
      </c>
      <c r="G159" s="3">
        <f t="shared" si="21"/>
        <v>0.50077528791248915</v>
      </c>
      <c r="H159" s="3">
        <f t="shared" si="21"/>
        <v>5.3636368326686794</v>
      </c>
      <c r="I159" s="3">
        <f t="shared" si="23"/>
        <v>1.3262515784752555</v>
      </c>
    </row>
    <row r="160" spans="1:9" x14ac:dyDescent="0.25">
      <c r="A160" s="2" t="s">
        <v>47</v>
      </c>
      <c r="B160" s="10">
        <v>173</v>
      </c>
      <c r="C160" s="10">
        <v>6138.2</v>
      </c>
      <c r="D160" s="3">
        <f t="shared" si="22"/>
        <v>197.70165252399843</v>
      </c>
      <c r="E160" s="10" t="s">
        <v>234</v>
      </c>
      <c r="F160" s="10" t="s">
        <v>262</v>
      </c>
      <c r="G160" s="3">
        <f t="shared" si="21"/>
        <v>5.1532915944977793</v>
      </c>
      <c r="H160" s="3">
        <f t="shared" si="21"/>
        <v>8.722286818552389</v>
      </c>
      <c r="I160" s="3">
        <f t="shared" si="23"/>
        <v>0.86846853888474462</v>
      </c>
    </row>
    <row r="161" spans="1:9" x14ac:dyDescent="0.25">
      <c r="A161" s="2" t="s">
        <v>47</v>
      </c>
      <c r="B161" s="10">
        <v>166</v>
      </c>
      <c r="C161" s="10">
        <v>7383.7</v>
      </c>
      <c r="D161" s="3">
        <f t="shared" si="22"/>
        <v>244.45672223339494</v>
      </c>
      <c r="E161" s="10" t="s">
        <v>234</v>
      </c>
      <c r="F161" s="10" t="s">
        <v>262</v>
      </c>
      <c r="G161" s="3">
        <f t="shared" si="21"/>
        <v>5.1119877883565437</v>
      </c>
      <c r="H161" s="3">
        <f t="shared" si="21"/>
        <v>8.9070301469716338</v>
      </c>
      <c r="I161" s="3">
        <f t="shared" si="23"/>
        <v>1.0803610316258336</v>
      </c>
    </row>
    <row r="162" spans="1:9" x14ac:dyDescent="0.25">
      <c r="A162" s="2" t="s">
        <v>47</v>
      </c>
      <c r="B162" s="10">
        <v>5.75</v>
      </c>
      <c r="C162" s="10">
        <v>447.5</v>
      </c>
      <c r="D162" s="3">
        <f t="shared" si="22"/>
        <v>139.42729758953357</v>
      </c>
      <c r="E162" s="10" t="s">
        <v>234</v>
      </c>
      <c r="F162" s="10" t="s">
        <v>262</v>
      </c>
      <c r="G162" s="3">
        <f t="shared" si="21"/>
        <v>1.7491998548092591</v>
      </c>
      <c r="H162" s="3">
        <f t="shared" si="21"/>
        <v>6.10367653771491</v>
      </c>
      <c r="I162" s="3">
        <f t="shared" si="23"/>
        <v>1.0075805638294604</v>
      </c>
    </row>
    <row r="163" spans="1:9" x14ac:dyDescent="0.25">
      <c r="A163" s="2" t="s">
        <v>47</v>
      </c>
      <c r="B163" s="10">
        <v>115.13</v>
      </c>
      <c r="C163" s="10">
        <v>4621.5</v>
      </c>
      <c r="D163" s="3">
        <f t="shared" si="22"/>
        <v>195.27978470321818</v>
      </c>
      <c r="E163" s="10" t="s">
        <v>234</v>
      </c>
      <c r="F163" s="10" t="s">
        <v>262</v>
      </c>
      <c r="G163" s="3">
        <f t="shared" si="21"/>
        <v>4.7460619246855726</v>
      </c>
      <c r="H163" s="3">
        <f t="shared" si="21"/>
        <v>8.4384746067048315</v>
      </c>
      <c r="I163" s="3">
        <f t="shared" si="23"/>
        <v>0.91046562740038273</v>
      </c>
    </row>
    <row r="164" spans="1:9" x14ac:dyDescent="0.25">
      <c r="A164" s="2" t="s">
        <v>47</v>
      </c>
      <c r="B164" s="10">
        <v>135.13</v>
      </c>
      <c r="C164" s="10">
        <v>6027</v>
      </c>
      <c r="D164" s="3">
        <f t="shared" si="22"/>
        <v>228.87586937304843</v>
      </c>
      <c r="E164" s="10" t="s">
        <v>234</v>
      </c>
      <c r="F164" s="10" t="s">
        <v>262</v>
      </c>
      <c r="G164" s="3">
        <f t="shared" si="21"/>
        <v>4.9062372780499945</v>
      </c>
      <c r="H164" s="3">
        <f t="shared" si="21"/>
        <v>8.7040046534830449</v>
      </c>
      <c r="I164" s="3">
        <f t="shared" si="23"/>
        <v>1.0423985649577885</v>
      </c>
    </row>
    <row r="165" spans="1:9" x14ac:dyDescent="0.25">
      <c r="A165" s="29" t="s">
        <v>263</v>
      </c>
      <c r="B165" s="29"/>
      <c r="C165" s="29"/>
      <c r="D165" s="29"/>
      <c r="E165" s="29"/>
      <c r="F165" s="29"/>
      <c r="G165" s="30"/>
      <c r="H165" s="30"/>
      <c r="I165" s="13"/>
    </row>
    <row r="166" spans="1:9" x14ac:dyDescent="0.25">
      <c r="A166" s="2" t="s">
        <v>476</v>
      </c>
      <c r="B166" s="3">
        <f>AVERAGE(79,91,68,73)</f>
        <v>77.75</v>
      </c>
      <c r="C166" s="3">
        <f>600*4.448230531</f>
        <v>2668.9383186</v>
      </c>
      <c r="D166" s="3">
        <f>C166*(1/B166)^(2/3)</f>
        <v>146.51146304852821</v>
      </c>
      <c r="E166" s="10" t="s">
        <v>234</v>
      </c>
      <c r="F166" s="10" t="s">
        <v>593</v>
      </c>
      <c r="G166" s="3">
        <f t="shared" ref="G166:H181" si="24">LN(B166)</f>
        <v>4.3534985510593431</v>
      </c>
      <c r="H166" s="3">
        <f t="shared" si="24"/>
        <v>7.8894360388339928</v>
      </c>
      <c r="I166" s="3">
        <f>C166/EXP(0.7733*LN(B166)+5.5303)</f>
        <v>0.36515827447155735</v>
      </c>
    </row>
    <row r="167" spans="1:9" x14ac:dyDescent="0.25">
      <c r="A167" s="2" t="s">
        <v>592</v>
      </c>
      <c r="B167" s="3">
        <v>2.6</v>
      </c>
      <c r="C167" s="3">
        <f>19*2</f>
        <v>38</v>
      </c>
      <c r="D167" s="3">
        <f>C167*(1/B167)^(2/3)</f>
        <v>20.097160364929753</v>
      </c>
      <c r="E167" s="10" t="s">
        <v>237</v>
      </c>
      <c r="F167" s="10" t="s">
        <v>264</v>
      </c>
      <c r="G167" s="3">
        <f t="shared" si="24"/>
        <v>0.95551144502743635</v>
      </c>
      <c r="H167" s="3">
        <f t="shared" si="24"/>
        <v>3.6375861597263857</v>
      </c>
      <c r="I167" s="3">
        <f t="shared" ref="I167:I230" si="25">C167/EXP(0.7733*LN(B167)+5.5303)</f>
        <v>7.1962448781923427E-2</v>
      </c>
    </row>
    <row r="168" spans="1:9" x14ac:dyDescent="0.25">
      <c r="A168" s="2" t="s">
        <v>265</v>
      </c>
      <c r="B168" s="3">
        <f>9.83/1000</f>
        <v>9.8300000000000002E-3</v>
      </c>
      <c r="C168" s="3">
        <v>12.33</v>
      </c>
      <c r="D168" s="3">
        <f t="shared" ref="D168:D231" si="26">C168*(1/B168)^(2/3)</f>
        <v>268.6957092813397</v>
      </c>
      <c r="E168" s="10" t="s">
        <v>234</v>
      </c>
      <c r="F168" s="10" t="s">
        <v>266</v>
      </c>
      <c r="G168" s="3">
        <f t="shared" si="24"/>
        <v>-4.6223163448230622</v>
      </c>
      <c r="H168" s="3">
        <f t="shared" si="24"/>
        <v>2.5120353171762528</v>
      </c>
      <c r="I168" s="3">
        <f t="shared" si="25"/>
        <v>1.7439846897373488</v>
      </c>
    </row>
    <row r="169" spans="1:9" x14ac:dyDescent="0.25">
      <c r="A169" s="2" t="s">
        <v>267</v>
      </c>
      <c r="B169" s="3">
        <f>9.77/1000</f>
        <v>9.7699999999999992E-3</v>
      </c>
      <c r="C169" s="3">
        <v>13.33</v>
      </c>
      <c r="D169" s="3">
        <f t="shared" si="26"/>
        <v>291.67582858150081</v>
      </c>
      <c r="E169" s="10" t="s">
        <v>234</v>
      </c>
      <c r="F169" s="10" t="s">
        <v>266</v>
      </c>
      <c r="G169" s="3">
        <f t="shared" si="24"/>
        <v>-4.6284388129274454</v>
      </c>
      <c r="H169" s="3">
        <f t="shared" si="24"/>
        <v>2.5900171341906173</v>
      </c>
      <c r="I169" s="3">
        <f t="shared" si="25"/>
        <v>1.8943748094211108</v>
      </c>
    </row>
    <row r="170" spans="1:9" x14ac:dyDescent="0.25">
      <c r="A170" s="2" t="s">
        <v>268</v>
      </c>
      <c r="B170" s="3">
        <f>9.74/1000</f>
        <v>9.7400000000000004E-3</v>
      </c>
      <c r="C170" s="3">
        <v>8.99</v>
      </c>
      <c r="D170" s="3">
        <f t="shared" si="26"/>
        <v>197.11532351951956</v>
      </c>
      <c r="E170" s="10" t="s">
        <v>234</v>
      </c>
      <c r="F170" s="10" t="s">
        <v>266</v>
      </c>
      <c r="G170" s="3">
        <f t="shared" si="24"/>
        <v>-4.6315141613276936</v>
      </c>
      <c r="H170" s="3">
        <f t="shared" si="24"/>
        <v>2.1961128484835291</v>
      </c>
      <c r="I170" s="3">
        <f t="shared" si="25"/>
        <v>1.2806435812700181</v>
      </c>
    </row>
    <row r="171" spans="1:9" x14ac:dyDescent="0.25">
      <c r="A171" s="2" t="s">
        <v>269</v>
      </c>
      <c r="B171" s="3">
        <f>8.17/1000</f>
        <v>8.1700000000000002E-3</v>
      </c>
      <c r="C171" s="3">
        <v>24.11</v>
      </c>
      <c r="D171" s="3">
        <f t="shared" si="26"/>
        <v>594.35945073934943</v>
      </c>
      <c r="E171" s="10" t="s">
        <v>234</v>
      </c>
      <c r="F171" s="10" t="s">
        <v>266</v>
      </c>
      <c r="G171" s="3">
        <f t="shared" si="24"/>
        <v>-4.8072863701102255</v>
      </c>
      <c r="H171" s="3">
        <f t="shared" si="24"/>
        <v>3.1826266921930797</v>
      </c>
      <c r="I171" s="3">
        <f t="shared" si="25"/>
        <v>3.9345685915485249</v>
      </c>
    </row>
    <row r="172" spans="1:9" x14ac:dyDescent="0.25">
      <c r="A172" s="2" t="s">
        <v>270</v>
      </c>
      <c r="B172" s="3">
        <f>778/1000</f>
        <v>0.77800000000000002</v>
      </c>
      <c r="C172" s="3">
        <v>119.1</v>
      </c>
      <c r="D172" s="3">
        <f t="shared" si="26"/>
        <v>140.79655548837889</v>
      </c>
      <c r="E172" s="10" t="s">
        <v>234</v>
      </c>
      <c r="F172" s="10" t="s">
        <v>266</v>
      </c>
      <c r="G172" s="3">
        <f t="shared" si="24"/>
        <v>-0.25102875480374542</v>
      </c>
      <c r="H172" s="3">
        <f t="shared" si="24"/>
        <v>4.779963476361254</v>
      </c>
      <c r="I172" s="3">
        <f t="shared" si="25"/>
        <v>0.57337462072161705</v>
      </c>
    </row>
    <row r="173" spans="1:9" x14ac:dyDescent="0.25">
      <c r="A173" s="2" t="s">
        <v>271</v>
      </c>
      <c r="B173" s="3">
        <f>7.8/1000</f>
        <v>7.7999999999999996E-3</v>
      </c>
      <c r="C173" s="3">
        <v>8.4</v>
      </c>
      <c r="D173" s="3">
        <f t="shared" si="26"/>
        <v>213.57457505792954</v>
      </c>
      <c r="E173" s="10" t="s">
        <v>234</v>
      </c>
      <c r="F173" s="10" t="s">
        <v>266</v>
      </c>
      <c r="G173" s="3">
        <f t="shared" si="24"/>
        <v>-4.853631545286591</v>
      </c>
      <c r="H173" s="3">
        <f t="shared" si="24"/>
        <v>2.1282317058492679</v>
      </c>
      <c r="I173" s="3">
        <f t="shared" si="25"/>
        <v>1.4208353592695744</v>
      </c>
    </row>
    <row r="174" spans="1:9" x14ac:dyDescent="0.25">
      <c r="A174" s="2" t="s">
        <v>272</v>
      </c>
      <c r="B174" s="3">
        <f>7.2/1000</f>
        <v>7.1999999999999998E-3</v>
      </c>
      <c r="C174" s="3">
        <v>21.1</v>
      </c>
      <c r="D174" s="3">
        <f t="shared" si="26"/>
        <v>565.88405597718861</v>
      </c>
      <c r="E174" s="10" t="s">
        <v>234</v>
      </c>
      <c r="F174" s="10" t="s">
        <v>266</v>
      </c>
      <c r="G174" s="3">
        <f t="shared" si="24"/>
        <v>-4.9336742529601274</v>
      </c>
      <c r="H174" s="3">
        <f t="shared" si="24"/>
        <v>3.0492730404820207</v>
      </c>
      <c r="I174" s="3">
        <f t="shared" si="25"/>
        <v>3.7968939096814021</v>
      </c>
    </row>
    <row r="175" spans="1:9" x14ac:dyDescent="0.25">
      <c r="A175" s="2" t="s">
        <v>273</v>
      </c>
      <c r="B175" s="3">
        <f>6.83/1000</f>
        <v>6.8300000000000001E-3</v>
      </c>
      <c r="C175" s="3">
        <v>5.2</v>
      </c>
      <c r="D175" s="3">
        <f t="shared" si="26"/>
        <v>144.45177225946139</v>
      </c>
      <c r="E175" s="10" t="s">
        <v>234</v>
      </c>
      <c r="F175" s="10" t="s">
        <v>266</v>
      </c>
      <c r="G175" s="3">
        <f t="shared" si="24"/>
        <v>-4.9864306053994385</v>
      </c>
      <c r="H175" s="3">
        <f t="shared" si="24"/>
        <v>1.6486586255873816</v>
      </c>
      <c r="I175" s="3">
        <f t="shared" si="25"/>
        <v>0.97469118912390507</v>
      </c>
    </row>
    <row r="176" spans="1:9" x14ac:dyDescent="0.25">
      <c r="A176" s="2" t="s">
        <v>273</v>
      </c>
      <c r="B176" s="3">
        <f>6.79/1000</f>
        <v>6.79E-3</v>
      </c>
      <c r="C176" s="3">
        <v>5.15</v>
      </c>
      <c r="D176" s="3">
        <f t="shared" si="26"/>
        <v>143.62411959788099</v>
      </c>
      <c r="E176" s="10" t="s">
        <v>234</v>
      </c>
      <c r="F176" s="10" t="s">
        <v>266</v>
      </c>
      <c r="G176" s="3">
        <f t="shared" si="24"/>
        <v>-4.9923043374115323</v>
      </c>
      <c r="H176" s="3">
        <f t="shared" si="24"/>
        <v>1.6389967146756448</v>
      </c>
      <c r="I176" s="3">
        <f t="shared" si="25"/>
        <v>0.96971376253351205</v>
      </c>
    </row>
    <row r="177" spans="1:9" x14ac:dyDescent="0.25">
      <c r="A177" s="2" t="s">
        <v>273</v>
      </c>
      <c r="B177" s="3">
        <f>6.73/1000</f>
        <v>6.7300000000000007E-3</v>
      </c>
      <c r="C177" s="3">
        <v>5.08</v>
      </c>
      <c r="D177" s="3">
        <f t="shared" si="26"/>
        <v>142.51273324292524</v>
      </c>
      <c r="E177" s="10" t="s">
        <v>234</v>
      </c>
      <c r="F177" s="10" t="s">
        <v>266</v>
      </c>
      <c r="G177" s="3">
        <f t="shared" si="24"/>
        <v>-5.0011801353255008</v>
      </c>
      <c r="H177" s="3">
        <f t="shared" si="24"/>
        <v>1.6253112615903906</v>
      </c>
      <c r="I177" s="3">
        <f t="shared" si="25"/>
        <v>0.96312108311858657</v>
      </c>
    </row>
    <row r="178" spans="1:9" x14ac:dyDescent="0.25">
      <c r="A178" s="2" t="s">
        <v>274</v>
      </c>
      <c r="B178" s="3">
        <f>6.6/1000</f>
        <v>6.6E-3</v>
      </c>
      <c r="C178" s="3">
        <v>10.54</v>
      </c>
      <c r="D178" s="3">
        <f t="shared" si="26"/>
        <v>299.55597544798735</v>
      </c>
      <c r="E178" s="10" t="s">
        <v>234</v>
      </c>
      <c r="F178" s="10" t="s">
        <v>266</v>
      </c>
      <c r="G178" s="3">
        <f t="shared" si="24"/>
        <v>-5.0206856299497575</v>
      </c>
      <c r="H178" s="3">
        <f t="shared" si="24"/>
        <v>2.355177543113216</v>
      </c>
      <c r="I178" s="3">
        <f t="shared" si="25"/>
        <v>2.0286564786201082</v>
      </c>
    </row>
    <row r="179" spans="1:9" x14ac:dyDescent="0.25">
      <c r="A179" s="2" t="s">
        <v>275</v>
      </c>
      <c r="B179" s="3">
        <f>6.38/1000</f>
        <v>6.3800000000000003E-3</v>
      </c>
      <c r="C179" s="3">
        <v>11.25</v>
      </c>
      <c r="D179" s="3">
        <f t="shared" si="26"/>
        <v>327.04341066085533</v>
      </c>
      <c r="E179" s="10" t="s">
        <v>234</v>
      </c>
      <c r="F179" s="10" t="s">
        <v>266</v>
      </c>
      <c r="G179" s="3">
        <f t="shared" si="24"/>
        <v>-5.0545871816254389</v>
      </c>
      <c r="H179" s="3">
        <f t="shared" si="24"/>
        <v>2.4203681286504293</v>
      </c>
      <c r="I179" s="3">
        <f t="shared" si="25"/>
        <v>2.2228283048213986</v>
      </c>
    </row>
    <row r="180" spans="1:9" x14ac:dyDescent="0.25">
      <c r="A180" s="2" t="s">
        <v>276</v>
      </c>
      <c r="B180" s="3">
        <f>6.27/1000</f>
        <v>6.2699999999999995E-3</v>
      </c>
      <c r="C180" s="3">
        <v>7.6</v>
      </c>
      <c r="D180" s="3">
        <f t="shared" si="26"/>
        <v>223.51254230700928</v>
      </c>
      <c r="E180" s="10" t="s">
        <v>234</v>
      </c>
      <c r="F180" s="10" t="s">
        <v>266</v>
      </c>
      <c r="G180" s="3">
        <f t="shared" si="24"/>
        <v>-5.0719789243373077</v>
      </c>
      <c r="H180" s="3">
        <f t="shared" si="24"/>
        <v>2.0281482472922852</v>
      </c>
      <c r="I180" s="3">
        <f t="shared" si="25"/>
        <v>1.5219760896330046</v>
      </c>
    </row>
    <row r="181" spans="1:9" x14ac:dyDescent="0.25">
      <c r="A181" s="2" t="s">
        <v>270</v>
      </c>
      <c r="B181" s="3">
        <f>590/1000</f>
        <v>0.59</v>
      </c>
      <c r="C181" s="3">
        <v>81.8</v>
      </c>
      <c r="D181" s="3">
        <f t="shared" si="26"/>
        <v>116.28364302880004</v>
      </c>
      <c r="E181" s="10" t="s">
        <v>234</v>
      </c>
      <c r="F181" s="10" t="s">
        <v>266</v>
      </c>
      <c r="G181" s="3">
        <f t="shared" si="24"/>
        <v>-0.52763274208237199</v>
      </c>
      <c r="H181" s="3">
        <f t="shared" si="24"/>
        <v>4.4042772436087017</v>
      </c>
      <c r="I181" s="3">
        <f t="shared" si="25"/>
        <v>0.48772460963472852</v>
      </c>
    </row>
    <row r="182" spans="1:9" x14ac:dyDescent="0.25">
      <c r="A182" s="2" t="s">
        <v>277</v>
      </c>
      <c r="B182" s="3">
        <f>59.7/1000</f>
        <v>5.9700000000000003E-2</v>
      </c>
      <c r="C182" s="3">
        <v>48</v>
      </c>
      <c r="D182" s="3">
        <f t="shared" si="26"/>
        <v>314.23774527245865</v>
      </c>
      <c r="E182" s="10" t="s">
        <v>234</v>
      </c>
      <c r="F182" s="10" t="s">
        <v>266</v>
      </c>
      <c r="G182" s="3">
        <f t="shared" ref="G182:H213" si="27">LN(B182)</f>
        <v>-2.8184232585835804</v>
      </c>
      <c r="H182" s="3">
        <f t="shared" si="27"/>
        <v>3.8712010109078911</v>
      </c>
      <c r="I182" s="3">
        <f t="shared" si="25"/>
        <v>1.6826799264683927</v>
      </c>
    </row>
    <row r="183" spans="1:9" x14ac:dyDescent="0.25">
      <c r="A183" s="2" t="s">
        <v>278</v>
      </c>
      <c r="B183" s="3">
        <f>52.4/1000</f>
        <v>5.2399999999999995E-2</v>
      </c>
      <c r="C183" s="3">
        <v>79.5</v>
      </c>
      <c r="D183" s="3">
        <f t="shared" si="26"/>
        <v>567.73578699839175</v>
      </c>
      <c r="E183" s="10" t="s">
        <v>234</v>
      </c>
      <c r="F183" s="10" t="s">
        <v>266</v>
      </c>
      <c r="G183" s="3">
        <f t="shared" si="27"/>
        <v>-2.9488486876551407</v>
      </c>
      <c r="H183" s="3">
        <f t="shared" si="27"/>
        <v>4.3757570216602861</v>
      </c>
      <c r="I183" s="3">
        <f t="shared" si="25"/>
        <v>3.0826872853430367</v>
      </c>
    </row>
    <row r="184" spans="1:9" x14ac:dyDescent="0.25">
      <c r="A184" s="2" t="s">
        <v>279</v>
      </c>
      <c r="B184" s="3">
        <f>5.4/1000</f>
        <v>5.4000000000000003E-3</v>
      </c>
      <c r="C184" s="3">
        <v>1.26</v>
      </c>
      <c r="D184" s="3">
        <f t="shared" si="26"/>
        <v>40.936248334980114</v>
      </c>
      <c r="E184" s="10" t="s">
        <v>234</v>
      </c>
      <c r="F184" s="10" t="s">
        <v>266</v>
      </c>
      <c r="G184" s="3">
        <f t="shared" si="27"/>
        <v>-5.2213563254119082</v>
      </c>
      <c r="H184" s="3">
        <f t="shared" si="27"/>
        <v>0.23111172096338664</v>
      </c>
      <c r="I184" s="3">
        <f t="shared" si="25"/>
        <v>0.28322505993806324</v>
      </c>
    </row>
    <row r="185" spans="1:9" x14ac:dyDescent="0.25">
      <c r="A185" s="2" t="s">
        <v>280</v>
      </c>
      <c r="B185" s="3">
        <f>5.31/1000</f>
        <v>5.3099999999999996E-3</v>
      </c>
      <c r="C185" s="3">
        <v>13.98</v>
      </c>
      <c r="D185" s="3">
        <f t="shared" si="26"/>
        <v>459.31520673750271</v>
      </c>
      <c r="E185" s="10" t="s">
        <v>234</v>
      </c>
      <c r="F185" s="10" t="s">
        <v>266</v>
      </c>
      <c r="G185" s="3">
        <f t="shared" si="27"/>
        <v>-5.2381634437282898</v>
      </c>
      <c r="H185" s="3">
        <f t="shared" si="27"/>
        <v>2.6376277368056642</v>
      </c>
      <c r="I185" s="3">
        <f t="shared" si="25"/>
        <v>3.1835582820325419</v>
      </c>
    </row>
    <row r="186" spans="1:9" x14ac:dyDescent="0.25">
      <c r="A186" s="2" t="s">
        <v>281</v>
      </c>
      <c r="B186" s="3">
        <f>5.12/1000</f>
        <v>5.1200000000000004E-3</v>
      </c>
      <c r="C186" s="3">
        <v>4.74</v>
      </c>
      <c r="D186" s="3">
        <f t="shared" si="26"/>
        <v>159.56281923048644</v>
      </c>
      <c r="E186" s="10" t="s">
        <v>234</v>
      </c>
      <c r="F186" s="10" t="s">
        <v>266</v>
      </c>
      <c r="G186" s="3">
        <f t="shared" si="27"/>
        <v>-5.2746008399307209</v>
      </c>
      <c r="H186" s="3">
        <f t="shared" si="27"/>
        <v>1.5560371357069851</v>
      </c>
      <c r="I186" s="3">
        <f t="shared" si="25"/>
        <v>1.1102508327270444</v>
      </c>
    </row>
    <row r="187" spans="1:9" x14ac:dyDescent="0.25">
      <c r="A187" s="2" t="s">
        <v>282</v>
      </c>
      <c r="B187" s="3">
        <f>446.2/1000</f>
        <v>0.44619999999999999</v>
      </c>
      <c r="C187" s="3">
        <v>143</v>
      </c>
      <c r="D187" s="3">
        <f t="shared" si="26"/>
        <v>244.89673410662328</v>
      </c>
      <c r="E187" s="10" t="s">
        <v>234</v>
      </c>
      <c r="F187" s="10" t="s">
        <v>266</v>
      </c>
      <c r="G187" s="3">
        <f t="shared" si="27"/>
        <v>-0.80698799698370494</v>
      </c>
      <c r="H187" s="3">
        <f t="shared" si="27"/>
        <v>4.962844630259907</v>
      </c>
      <c r="I187" s="3">
        <f t="shared" si="25"/>
        <v>1.058220208468529</v>
      </c>
    </row>
    <row r="188" spans="1:9" x14ac:dyDescent="0.25">
      <c r="A188" s="2" t="s">
        <v>270</v>
      </c>
      <c r="B188" s="3">
        <f>434.8/1000</f>
        <v>0.43480000000000002</v>
      </c>
      <c r="C188" s="3">
        <v>173</v>
      </c>
      <c r="D188" s="3">
        <f t="shared" si="26"/>
        <v>301.42995787448911</v>
      </c>
      <c r="E188" s="10" t="s">
        <v>234</v>
      </c>
      <c r="F188" s="10" t="s">
        <v>266</v>
      </c>
      <c r="G188" s="3">
        <f t="shared" si="27"/>
        <v>-0.83286912373508259</v>
      </c>
      <c r="H188" s="3">
        <f t="shared" si="27"/>
        <v>5.1532915944977793</v>
      </c>
      <c r="I188" s="3">
        <f t="shared" si="25"/>
        <v>1.3061048198846192</v>
      </c>
    </row>
    <row r="189" spans="1:9" x14ac:dyDescent="0.25">
      <c r="A189" s="2" t="s">
        <v>283</v>
      </c>
      <c r="B189" s="3">
        <f>43.89/1000</f>
        <v>4.3889999999999998E-2</v>
      </c>
      <c r="C189" s="3">
        <v>37.090000000000003</v>
      </c>
      <c r="D189" s="3">
        <f t="shared" si="26"/>
        <v>298.08934043431935</v>
      </c>
      <c r="E189" s="10" t="s">
        <v>234</v>
      </c>
      <c r="F189" s="10" t="s">
        <v>266</v>
      </c>
      <c r="G189" s="3">
        <f t="shared" si="27"/>
        <v>-3.1260687752819947</v>
      </c>
      <c r="H189" s="3">
        <f t="shared" si="27"/>
        <v>3.6133473915014993</v>
      </c>
      <c r="I189" s="3">
        <f t="shared" si="25"/>
        <v>1.6494408891492263</v>
      </c>
    </row>
    <row r="190" spans="1:9" x14ac:dyDescent="0.25">
      <c r="A190" s="2" t="s">
        <v>284</v>
      </c>
      <c r="B190" s="3">
        <f>40.4/1000</f>
        <v>4.0399999999999998E-2</v>
      </c>
      <c r="C190" s="3">
        <v>44.1</v>
      </c>
      <c r="D190" s="3">
        <f t="shared" si="26"/>
        <v>374.55679429959105</v>
      </c>
      <c r="E190" s="10" t="s">
        <v>234</v>
      </c>
      <c r="F190" s="10" t="s">
        <v>266</v>
      </c>
      <c r="G190" s="3">
        <f t="shared" si="27"/>
        <v>-3.2089254940150327</v>
      </c>
      <c r="H190" s="3">
        <f t="shared" si="27"/>
        <v>3.7864597824528001</v>
      </c>
      <c r="I190" s="3">
        <f t="shared" si="25"/>
        <v>2.0909570231319794</v>
      </c>
    </row>
    <row r="191" spans="1:9" x14ac:dyDescent="0.25">
      <c r="A191" s="2" t="s">
        <v>285</v>
      </c>
      <c r="B191" s="3">
        <f>4.83/1000</f>
        <v>4.8300000000000001E-3</v>
      </c>
      <c r="C191" s="3">
        <v>4</v>
      </c>
      <c r="D191" s="3">
        <f t="shared" si="26"/>
        <v>139.98942751368855</v>
      </c>
      <c r="E191" s="10" t="s">
        <v>234</v>
      </c>
      <c r="F191" s="10" t="s">
        <v>266</v>
      </c>
      <c r="G191" s="3">
        <f t="shared" si="27"/>
        <v>-5.3329088113176555</v>
      </c>
      <c r="H191" s="3">
        <f t="shared" si="27"/>
        <v>1.3862943611198906</v>
      </c>
      <c r="I191" s="3">
        <f t="shared" si="25"/>
        <v>0.98013275217535167</v>
      </c>
    </row>
    <row r="192" spans="1:9" x14ac:dyDescent="0.25">
      <c r="A192" s="2" t="s">
        <v>276</v>
      </c>
      <c r="B192" s="3">
        <f>4.73/1000</f>
        <v>4.7300000000000007E-3</v>
      </c>
      <c r="C192" s="3">
        <v>6.52</v>
      </c>
      <c r="D192" s="3">
        <f t="shared" si="26"/>
        <v>231.3876463846382</v>
      </c>
      <c r="E192" s="10" t="s">
        <v>234</v>
      </c>
      <c r="F192" s="10" t="s">
        <v>266</v>
      </c>
      <c r="G192" s="3">
        <f t="shared" si="27"/>
        <v>-5.3538300764782951</v>
      </c>
      <c r="H192" s="3">
        <f t="shared" si="27"/>
        <v>1.8748743759385615</v>
      </c>
      <c r="I192" s="3">
        <f t="shared" si="25"/>
        <v>1.6236734989452399</v>
      </c>
    </row>
    <row r="193" spans="1:9" x14ac:dyDescent="0.25">
      <c r="A193" s="2" t="s">
        <v>275</v>
      </c>
      <c r="B193" s="3">
        <f>4.72/1000</f>
        <v>4.7199999999999994E-3</v>
      </c>
      <c r="C193" s="3">
        <v>6.7</v>
      </c>
      <c r="D193" s="3">
        <f t="shared" si="26"/>
        <v>238.11137172767729</v>
      </c>
      <c r="E193" s="10" t="s">
        <v>234</v>
      </c>
      <c r="F193" s="10" t="s">
        <v>266</v>
      </c>
      <c r="G193" s="3">
        <f t="shared" si="27"/>
        <v>-5.3559464793846736</v>
      </c>
      <c r="H193" s="3">
        <f t="shared" si="27"/>
        <v>1.9021075263969205</v>
      </c>
      <c r="I193" s="3">
        <f t="shared" si="25"/>
        <v>1.6712317658780007</v>
      </c>
    </row>
    <row r="194" spans="1:9" x14ac:dyDescent="0.25">
      <c r="A194" s="2" t="s">
        <v>274</v>
      </c>
      <c r="B194" s="3">
        <f>4.7/1000</f>
        <v>4.7000000000000002E-3</v>
      </c>
      <c r="C194" s="3">
        <v>5.5</v>
      </c>
      <c r="D194" s="3">
        <f t="shared" si="26"/>
        <v>196.018675740687</v>
      </c>
      <c r="E194" s="10" t="s">
        <v>234</v>
      </c>
      <c r="F194" s="10" t="s">
        <v>266</v>
      </c>
      <c r="G194" s="3">
        <f t="shared" si="27"/>
        <v>-5.3601927702661243</v>
      </c>
      <c r="H194" s="3">
        <f t="shared" si="27"/>
        <v>1.7047480922384253</v>
      </c>
      <c r="I194" s="3">
        <f t="shared" si="25"/>
        <v>1.3764189484016296</v>
      </c>
    </row>
    <row r="195" spans="1:9" x14ac:dyDescent="0.25">
      <c r="A195" s="2" t="s">
        <v>286</v>
      </c>
      <c r="B195" s="3">
        <f>4.66/1000</f>
        <v>4.6600000000000001E-3</v>
      </c>
      <c r="C195" s="3">
        <v>4.12</v>
      </c>
      <c r="D195" s="3">
        <f t="shared" si="26"/>
        <v>147.67487261528356</v>
      </c>
      <c r="E195" s="10" t="s">
        <v>234</v>
      </c>
      <c r="F195" s="10" t="s">
        <v>266</v>
      </c>
      <c r="G195" s="3">
        <f t="shared" si="27"/>
        <v>-5.3687398308445822</v>
      </c>
      <c r="H195" s="3">
        <f t="shared" si="27"/>
        <v>1.4158531633614351</v>
      </c>
      <c r="I195" s="3">
        <f t="shared" si="25"/>
        <v>1.0379002424165646</v>
      </c>
    </row>
    <row r="196" spans="1:9" x14ac:dyDescent="0.25">
      <c r="A196" s="2" t="s">
        <v>276</v>
      </c>
      <c r="B196" s="3">
        <f>4.4/1000</f>
        <v>4.4000000000000003E-3</v>
      </c>
      <c r="C196" s="3">
        <v>11.85</v>
      </c>
      <c r="D196" s="3">
        <f t="shared" si="26"/>
        <v>441.31622984625682</v>
      </c>
      <c r="E196" s="10" t="s">
        <v>234</v>
      </c>
      <c r="F196" s="10" t="s">
        <v>266</v>
      </c>
      <c r="G196" s="3">
        <f t="shared" si="27"/>
        <v>-5.4261507380579213</v>
      </c>
      <c r="H196" s="3">
        <f t="shared" si="27"/>
        <v>2.4723278675811402</v>
      </c>
      <c r="I196" s="3">
        <f t="shared" si="25"/>
        <v>3.1207402500816568</v>
      </c>
    </row>
    <row r="197" spans="1:9" x14ac:dyDescent="0.25">
      <c r="A197" s="2" t="s">
        <v>269</v>
      </c>
      <c r="B197" s="3">
        <f>4.19/1000</f>
        <v>4.1900000000000001E-3</v>
      </c>
      <c r="C197" s="3">
        <v>12.07</v>
      </c>
      <c r="D197" s="3">
        <f t="shared" si="26"/>
        <v>464.40610627371404</v>
      </c>
      <c r="E197" s="10" t="s">
        <v>234</v>
      </c>
      <c r="F197" s="10" t="s">
        <v>266</v>
      </c>
      <c r="G197" s="3">
        <f t="shared" si="27"/>
        <v>-5.4750545450480903</v>
      </c>
      <c r="H197" s="3">
        <f t="shared" si="27"/>
        <v>2.4907230351094403</v>
      </c>
      <c r="I197" s="3">
        <f t="shared" si="25"/>
        <v>3.3011890270233346</v>
      </c>
    </row>
    <row r="198" spans="1:9" x14ac:dyDescent="0.25">
      <c r="A198" s="2" t="s">
        <v>287</v>
      </c>
      <c r="B198" s="3">
        <f>369.5/1000</f>
        <v>0.3695</v>
      </c>
      <c r="C198" s="3">
        <v>82.5</v>
      </c>
      <c r="D198" s="3">
        <f t="shared" si="26"/>
        <v>160.21788216455303</v>
      </c>
      <c r="E198" s="10" t="s">
        <v>234</v>
      </c>
      <c r="F198" s="10" t="s">
        <v>266</v>
      </c>
      <c r="G198" s="3">
        <f t="shared" si="27"/>
        <v>-0.99560453859388065</v>
      </c>
      <c r="H198" s="3">
        <f t="shared" si="27"/>
        <v>4.4127982933406349</v>
      </c>
      <c r="I198" s="3">
        <f t="shared" si="25"/>
        <v>0.70638086580997339</v>
      </c>
    </row>
    <row r="199" spans="1:9" x14ac:dyDescent="0.25">
      <c r="A199" s="2" t="s">
        <v>287</v>
      </c>
      <c r="B199" s="3">
        <f>362.43/1000</f>
        <v>0.36243000000000003</v>
      </c>
      <c r="C199" s="3">
        <v>83.4</v>
      </c>
      <c r="D199" s="3">
        <f t="shared" si="26"/>
        <v>164.06525754746849</v>
      </c>
      <c r="E199" s="10" t="s">
        <v>234</v>
      </c>
      <c r="F199" s="10" t="s">
        <v>266</v>
      </c>
      <c r="G199" s="3">
        <f t="shared" si="27"/>
        <v>-1.0149239267825547</v>
      </c>
      <c r="H199" s="3">
        <f t="shared" si="27"/>
        <v>4.423648309364701</v>
      </c>
      <c r="I199" s="3">
        <f t="shared" si="25"/>
        <v>0.72483515814573551</v>
      </c>
    </row>
    <row r="200" spans="1:9" x14ac:dyDescent="0.25">
      <c r="A200" s="2" t="s">
        <v>288</v>
      </c>
      <c r="B200" s="3">
        <f>33.7/1000</f>
        <v>3.3700000000000001E-2</v>
      </c>
      <c r="C200" s="3">
        <v>11.38</v>
      </c>
      <c r="D200" s="3">
        <f t="shared" si="26"/>
        <v>109.07427328344085</v>
      </c>
      <c r="E200" s="10" t="s">
        <v>234</v>
      </c>
      <c r="F200" s="10" t="s">
        <v>266</v>
      </c>
      <c r="G200" s="3">
        <f t="shared" si="27"/>
        <v>-3.3902574416238211</v>
      </c>
      <c r="H200" s="3">
        <f t="shared" si="27"/>
        <v>2.4318574286981849</v>
      </c>
      <c r="I200" s="3">
        <f t="shared" si="25"/>
        <v>0.62079367930670082</v>
      </c>
    </row>
    <row r="201" spans="1:9" x14ac:dyDescent="0.25">
      <c r="A201" s="2" t="s">
        <v>281</v>
      </c>
      <c r="B201" s="3">
        <f>3.44/1000</f>
        <v>3.4399999999999999E-3</v>
      </c>
      <c r="C201" s="3">
        <v>2.59</v>
      </c>
      <c r="D201" s="3">
        <f t="shared" si="26"/>
        <v>113.656462755842</v>
      </c>
      <c r="E201" s="10" t="s">
        <v>234</v>
      </c>
      <c r="F201" s="10" t="s">
        <v>266</v>
      </c>
      <c r="G201" s="3">
        <f t="shared" si="27"/>
        <v>-5.6722838075968305</v>
      </c>
      <c r="H201" s="3">
        <f t="shared" si="27"/>
        <v>0.95165787571144633</v>
      </c>
      <c r="I201" s="3">
        <f t="shared" si="25"/>
        <v>0.8250881450466454</v>
      </c>
    </row>
    <row r="202" spans="1:9" x14ac:dyDescent="0.25">
      <c r="A202" s="2" t="s">
        <v>289</v>
      </c>
      <c r="B202" s="3">
        <f>3.42/1000</f>
        <v>3.4199999999999999E-3</v>
      </c>
      <c r="C202" s="3">
        <v>3.01</v>
      </c>
      <c r="D202" s="3">
        <f t="shared" si="26"/>
        <v>132.60169989172618</v>
      </c>
      <c r="E202" s="10" t="s">
        <v>234</v>
      </c>
      <c r="F202" s="10" t="s">
        <v>266</v>
      </c>
      <c r="G202" s="3">
        <f t="shared" si="27"/>
        <v>-5.6781147279076229</v>
      </c>
      <c r="H202" s="3">
        <f t="shared" si="27"/>
        <v>1.1019400787607843</v>
      </c>
      <c r="I202" s="3">
        <f t="shared" si="25"/>
        <v>0.9632196516759185</v>
      </c>
    </row>
    <row r="203" spans="1:9" x14ac:dyDescent="0.25">
      <c r="A203" s="2" t="s">
        <v>290</v>
      </c>
      <c r="B203" s="3">
        <f>3.11/1000</f>
        <v>3.1099999999999999E-3</v>
      </c>
      <c r="C203" s="3">
        <v>3.4</v>
      </c>
      <c r="D203" s="3">
        <f t="shared" si="26"/>
        <v>159.57762274423033</v>
      </c>
      <c r="E203" s="10" t="s">
        <v>234</v>
      </c>
      <c r="F203" s="10" t="s">
        <v>266</v>
      </c>
      <c r="G203" s="3">
        <f t="shared" si="27"/>
        <v>-5.7731325527909947</v>
      </c>
      <c r="H203" s="3">
        <f t="shared" si="27"/>
        <v>1.2237754316221157</v>
      </c>
      <c r="I203" s="3">
        <f t="shared" si="25"/>
        <v>1.1709774585604193</v>
      </c>
    </row>
    <row r="204" spans="1:9" x14ac:dyDescent="0.25">
      <c r="A204" s="2" t="s">
        <v>291</v>
      </c>
      <c r="B204" s="3">
        <f>3.04/1000</f>
        <v>3.0400000000000002E-3</v>
      </c>
      <c r="C204" s="3">
        <v>2.08</v>
      </c>
      <c r="D204" s="3">
        <f t="shared" si="26"/>
        <v>99.11687764709751</v>
      </c>
      <c r="E204" s="10" t="s">
        <v>234</v>
      </c>
      <c r="F204" s="10" t="s">
        <v>266</v>
      </c>
      <c r="G204" s="3">
        <f t="shared" si="27"/>
        <v>-5.7958977635640068</v>
      </c>
      <c r="H204" s="3">
        <f t="shared" si="27"/>
        <v>0.73236789371322664</v>
      </c>
      <c r="I204" s="3">
        <f t="shared" si="25"/>
        <v>0.72908543013710536</v>
      </c>
    </row>
    <row r="205" spans="1:9" x14ac:dyDescent="0.25">
      <c r="A205" s="2" t="s">
        <v>292</v>
      </c>
      <c r="B205" s="3">
        <f>3/1000</f>
        <v>3.0000000000000001E-3</v>
      </c>
      <c r="C205" s="3">
        <v>0.32</v>
      </c>
      <c r="D205" s="3">
        <f t="shared" si="26"/>
        <v>15.383995416612359</v>
      </c>
      <c r="E205" s="10" t="s">
        <v>234</v>
      </c>
      <c r="F205" s="10" t="s">
        <v>266</v>
      </c>
      <c r="G205" s="3">
        <f t="shared" si="27"/>
        <v>-5.8091429903140277</v>
      </c>
      <c r="H205" s="3">
        <f t="shared" si="27"/>
        <v>-1.1394342831883648</v>
      </c>
      <c r="I205" s="3">
        <f t="shared" si="25"/>
        <v>0.11332176726652378</v>
      </c>
    </row>
    <row r="206" spans="1:9" x14ac:dyDescent="0.25">
      <c r="A206" s="2" t="s">
        <v>270</v>
      </c>
      <c r="B206" s="3">
        <f>272.7/1000</f>
        <v>0.2727</v>
      </c>
      <c r="C206" s="3">
        <v>120.3</v>
      </c>
      <c r="D206" s="3">
        <f t="shared" si="26"/>
        <v>286.0721206306859</v>
      </c>
      <c r="E206" s="10" t="s">
        <v>234</v>
      </c>
      <c r="F206" s="10" t="s">
        <v>266</v>
      </c>
      <c r="G206" s="3">
        <f t="shared" si="27"/>
        <v>-1.2993829891305941</v>
      </c>
      <c r="H206" s="3">
        <f t="shared" si="27"/>
        <v>4.7899886229806334</v>
      </c>
      <c r="I206" s="3">
        <f t="shared" si="25"/>
        <v>1.3027813623486639</v>
      </c>
    </row>
    <row r="207" spans="1:9" x14ac:dyDescent="0.25">
      <c r="A207" s="2" t="s">
        <v>293</v>
      </c>
      <c r="B207" s="3">
        <f>27.6/1000</f>
        <v>2.7600000000000003E-2</v>
      </c>
      <c r="C207" s="3">
        <v>40.1</v>
      </c>
      <c r="D207" s="3">
        <f t="shared" si="26"/>
        <v>439.07460359335136</v>
      </c>
      <c r="E207" s="10" t="s">
        <v>234</v>
      </c>
      <c r="F207" s="10" t="s">
        <v>266</v>
      </c>
      <c r="G207" s="3">
        <f t="shared" si="27"/>
        <v>-3.5899395062590327</v>
      </c>
      <c r="H207" s="3">
        <f t="shared" si="27"/>
        <v>3.6913763343125234</v>
      </c>
      <c r="I207" s="3">
        <f t="shared" si="25"/>
        <v>2.552763644610613</v>
      </c>
    </row>
    <row r="208" spans="1:9" x14ac:dyDescent="0.25">
      <c r="A208" s="2" t="s">
        <v>284</v>
      </c>
      <c r="B208" s="3">
        <f>26/1000</f>
        <v>2.5999999999999999E-2</v>
      </c>
      <c r="C208" s="3">
        <v>19.8</v>
      </c>
      <c r="D208" s="3">
        <f t="shared" si="26"/>
        <v>225.60546982486895</v>
      </c>
      <c r="E208" s="10" t="s">
        <v>234</v>
      </c>
      <c r="F208" s="10" t="s">
        <v>266</v>
      </c>
      <c r="G208" s="3">
        <f t="shared" si="27"/>
        <v>-3.6496587409606551</v>
      </c>
      <c r="H208" s="3">
        <f t="shared" si="27"/>
        <v>2.9856819377004897</v>
      </c>
      <c r="I208" s="3">
        <f t="shared" si="25"/>
        <v>1.3200413238897799</v>
      </c>
    </row>
    <row r="209" spans="1:9" x14ac:dyDescent="0.25">
      <c r="A209" s="2" t="s">
        <v>282</v>
      </c>
      <c r="B209" s="3">
        <f>238.6/1000</f>
        <v>0.23860000000000001</v>
      </c>
      <c r="C209" s="3">
        <v>105.6</v>
      </c>
      <c r="D209" s="3">
        <f t="shared" si="26"/>
        <v>274.50502061471286</v>
      </c>
      <c r="E209" s="10" t="s">
        <v>234</v>
      </c>
      <c r="F209" s="10" t="s">
        <v>266</v>
      </c>
      <c r="G209" s="3">
        <f t="shared" si="27"/>
        <v>-1.4329667693183212</v>
      </c>
      <c r="H209" s="3">
        <f t="shared" si="27"/>
        <v>4.6596583712721609</v>
      </c>
      <c r="I209" s="3">
        <f t="shared" si="25"/>
        <v>1.2680389509854524</v>
      </c>
    </row>
    <row r="210" spans="1:9" x14ac:dyDescent="0.25">
      <c r="A210" s="2" t="s">
        <v>294</v>
      </c>
      <c r="B210" s="3">
        <f>236.38/1000</f>
        <v>0.23638000000000001</v>
      </c>
      <c r="C210" s="3">
        <v>52.66</v>
      </c>
      <c r="D210" s="3">
        <f t="shared" si="26"/>
        <v>137.74432100146086</v>
      </c>
      <c r="E210" s="10" t="s">
        <v>234</v>
      </c>
      <c r="F210" s="10" t="s">
        <v>266</v>
      </c>
      <c r="G210" s="3">
        <f t="shared" si="27"/>
        <v>-1.4423145993980424</v>
      </c>
      <c r="H210" s="3">
        <f t="shared" si="27"/>
        <v>3.9638561540681634</v>
      </c>
      <c r="I210" s="3">
        <f t="shared" si="25"/>
        <v>0.63692589394265053</v>
      </c>
    </row>
    <row r="211" spans="1:9" x14ac:dyDescent="0.25">
      <c r="A211" s="2" t="s">
        <v>295</v>
      </c>
      <c r="B211" s="3">
        <f>235.4/1000</f>
        <v>0.2354</v>
      </c>
      <c r="C211" s="3">
        <v>124.1</v>
      </c>
      <c r="D211" s="3">
        <f t="shared" si="26"/>
        <v>325.51235404419123</v>
      </c>
      <c r="E211" s="10" t="s">
        <v>234</v>
      </c>
      <c r="F211" s="10" t="s">
        <v>266</v>
      </c>
      <c r="G211" s="3">
        <f t="shared" si="27"/>
        <v>-1.4464690841559606</v>
      </c>
      <c r="H211" s="3">
        <f t="shared" si="27"/>
        <v>4.8210876922105612</v>
      </c>
      <c r="I211" s="3">
        <f t="shared" si="25"/>
        <v>1.5058269789894214</v>
      </c>
    </row>
    <row r="212" spans="1:9" x14ac:dyDescent="0.25">
      <c r="A212" s="2" t="s">
        <v>294</v>
      </c>
      <c r="B212" s="3">
        <f>234.68/1000</f>
        <v>0.23468</v>
      </c>
      <c r="C212" s="3">
        <v>71.459999999999994</v>
      </c>
      <c r="D212" s="3">
        <f t="shared" si="26"/>
        <v>187.82163876828716</v>
      </c>
      <c r="E212" s="10" t="s">
        <v>234</v>
      </c>
      <c r="F212" s="10" t="s">
        <v>266</v>
      </c>
      <c r="G212" s="3">
        <f t="shared" si="27"/>
        <v>-1.4495323949244778</v>
      </c>
      <c r="H212" s="3">
        <f t="shared" si="27"/>
        <v>4.2691378525952635</v>
      </c>
      <c r="I212" s="3">
        <f t="shared" si="25"/>
        <v>0.86915070401608718</v>
      </c>
    </row>
    <row r="213" spans="1:9" x14ac:dyDescent="0.25">
      <c r="A213" s="2" t="s">
        <v>296</v>
      </c>
      <c r="B213" s="3">
        <f>210.5/1000</f>
        <v>0.21049999999999999</v>
      </c>
      <c r="C213" s="3">
        <v>133.30000000000001</v>
      </c>
      <c r="D213" s="3">
        <f t="shared" si="26"/>
        <v>376.69982284800216</v>
      </c>
      <c r="E213" s="10" t="s">
        <v>234</v>
      </c>
      <c r="F213" s="10" t="s">
        <v>266</v>
      </c>
      <c r="G213" s="3">
        <f t="shared" si="27"/>
        <v>-1.5582696258597011</v>
      </c>
      <c r="H213" s="3">
        <f t="shared" si="27"/>
        <v>4.8926022271846632</v>
      </c>
      <c r="I213" s="3">
        <f t="shared" si="25"/>
        <v>1.763520559299109</v>
      </c>
    </row>
    <row r="214" spans="1:9" x14ac:dyDescent="0.25">
      <c r="A214" s="2" t="s">
        <v>278</v>
      </c>
      <c r="B214" s="3">
        <f>21.3/1000</f>
        <v>2.1299999999999999E-2</v>
      </c>
      <c r="C214" s="3">
        <v>26.3</v>
      </c>
      <c r="D214" s="3">
        <f t="shared" si="26"/>
        <v>342.27040299526823</v>
      </c>
      <c r="E214" s="10" t="s">
        <v>234</v>
      </c>
      <c r="F214" s="10" t="s">
        <v>266</v>
      </c>
      <c r="G214" s="3">
        <f t="shared" ref="G214:H245" si="28">LN(B214)</f>
        <v>-3.8490482062667577</v>
      </c>
      <c r="H214" s="3">
        <f t="shared" si="28"/>
        <v>3.2695689391837188</v>
      </c>
      <c r="I214" s="3">
        <f t="shared" si="25"/>
        <v>2.045695679234997</v>
      </c>
    </row>
    <row r="215" spans="1:9" x14ac:dyDescent="0.25">
      <c r="A215" s="2" t="s">
        <v>271</v>
      </c>
      <c r="B215" s="3">
        <f>21/1000</f>
        <v>2.1000000000000001E-2</v>
      </c>
      <c r="C215" s="3">
        <v>29.7</v>
      </c>
      <c r="D215" s="3">
        <f t="shared" si="26"/>
        <v>390.19070494532968</v>
      </c>
      <c r="E215" s="10" t="s">
        <v>234</v>
      </c>
      <c r="F215" s="10" t="s">
        <v>266</v>
      </c>
      <c r="G215" s="3">
        <f t="shared" si="28"/>
        <v>-3.8632328412587138</v>
      </c>
      <c r="H215" s="3">
        <f t="shared" si="28"/>
        <v>3.3911470458086539</v>
      </c>
      <c r="I215" s="3">
        <f t="shared" si="25"/>
        <v>2.3356378008866208</v>
      </c>
    </row>
    <row r="216" spans="1:9" x14ac:dyDescent="0.25">
      <c r="A216" s="2" t="s">
        <v>297</v>
      </c>
      <c r="B216" s="3">
        <f>2.75/1000</f>
        <v>2.7499999999999998E-3</v>
      </c>
      <c r="C216" s="3">
        <v>0.41</v>
      </c>
      <c r="D216" s="3">
        <f t="shared" si="26"/>
        <v>20.887929555794692</v>
      </c>
      <c r="E216" s="10" t="s">
        <v>234</v>
      </c>
      <c r="F216" s="10" t="s">
        <v>266</v>
      </c>
      <c r="G216" s="3">
        <f t="shared" si="28"/>
        <v>-5.8961543673036569</v>
      </c>
      <c r="H216" s="3">
        <f t="shared" si="28"/>
        <v>-0.89159811928378363</v>
      </c>
      <c r="I216" s="3">
        <f t="shared" si="25"/>
        <v>0.1552991616586393</v>
      </c>
    </row>
    <row r="217" spans="1:9" x14ac:dyDescent="0.25">
      <c r="A217" s="2" t="s">
        <v>298</v>
      </c>
      <c r="B217" s="3">
        <f>2.68/1000</f>
        <v>2.6800000000000001E-3</v>
      </c>
      <c r="C217" s="3">
        <v>0.93</v>
      </c>
      <c r="D217" s="3">
        <f t="shared" si="26"/>
        <v>48.201411111718393</v>
      </c>
      <c r="E217" s="10" t="s">
        <v>234</v>
      </c>
      <c r="F217" s="10" t="s">
        <v>266</v>
      </c>
      <c r="G217" s="3">
        <f t="shared" si="28"/>
        <v>-5.9219384844593721</v>
      </c>
      <c r="H217" s="3">
        <f t="shared" si="28"/>
        <v>-7.2570692834835374E-2</v>
      </c>
      <c r="I217" s="3">
        <f t="shared" si="25"/>
        <v>0.35935818330670505</v>
      </c>
    </row>
    <row r="218" spans="1:9" x14ac:dyDescent="0.25">
      <c r="A218" s="2" t="s">
        <v>291</v>
      </c>
      <c r="B218" s="3">
        <f>2.59/1000</f>
        <v>2.5899999999999999E-3</v>
      </c>
      <c r="C218" s="3">
        <v>1.42</v>
      </c>
      <c r="D218" s="3">
        <f t="shared" si="26"/>
        <v>75.293098242095823</v>
      </c>
      <c r="E218" s="10" t="s">
        <v>234</v>
      </c>
      <c r="F218" s="10" t="s">
        <v>266</v>
      </c>
      <c r="G218" s="3">
        <f t="shared" si="28"/>
        <v>-5.9560974032706904</v>
      </c>
      <c r="H218" s="3">
        <f t="shared" si="28"/>
        <v>0.35065687161316933</v>
      </c>
      <c r="I218" s="3">
        <f t="shared" si="25"/>
        <v>0.56338446000973263</v>
      </c>
    </row>
    <row r="219" spans="1:9" x14ac:dyDescent="0.25">
      <c r="A219" s="2" t="s">
        <v>285</v>
      </c>
      <c r="B219" s="3">
        <f>2.29/1000</f>
        <v>2.2899999999999999E-3</v>
      </c>
      <c r="C219" s="3">
        <v>2.09</v>
      </c>
      <c r="D219" s="3">
        <f t="shared" si="26"/>
        <v>120.29732342776758</v>
      </c>
      <c r="E219" s="10" t="s">
        <v>234</v>
      </c>
      <c r="F219" s="10" t="s">
        <v>266</v>
      </c>
      <c r="G219" s="3">
        <f t="shared" si="28"/>
        <v>-6.0792034614159887</v>
      </c>
      <c r="H219" s="3">
        <f t="shared" si="28"/>
        <v>0.73716406597671957</v>
      </c>
      <c r="I219" s="3">
        <f t="shared" si="25"/>
        <v>0.91202498147906774</v>
      </c>
    </row>
    <row r="220" spans="1:9" x14ac:dyDescent="0.25">
      <c r="A220" s="2" t="s">
        <v>272</v>
      </c>
      <c r="B220" s="3">
        <f>2.1/1000</f>
        <v>2.1000000000000003E-3</v>
      </c>
      <c r="C220" s="3">
        <v>4.6100000000000003</v>
      </c>
      <c r="D220" s="3">
        <f t="shared" si="26"/>
        <v>281.11761669487367</v>
      </c>
      <c r="E220" s="10" t="s">
        <v>234</v>
      </c>
      <c r="F220" s="10" t="s">
        <v>266</v>
      </c>
      <c r="G220" s="3">
        <f t="shared" si="28"/>
        <v>-6.1658179342527593</v>
      </c>
      <c r="H220" s="3">
        <f t="shared" si="28"/>
        <v>1.5282278570085572</v>
      </c>
      <c r="I220" s="3">
        <f t="shared" si="25"/>
        <v>2.1510473553898879</v>
      </c>
    </row>
    <row r="221" spans="1:9" x14ac:dyDescent="0.25">
      <c r="A221" s="2" t="s">
        <v>299</v>
      </c>
      <c r="B221" s="3">
        <f>191.3/1000</f>
        <v>0.1913</v>
      </c>
      <c r="C221" s="3">
        <v>76.599999999999994</v>
      </c>
      <c r="D221" s="3">
        <f t="shared" si="26"/>
        <v>230.72011328522001</v>
      </c>
      <c r="E221" s="10" t="s">
        <v>234</v>
      </c>
      <c r="F221" s="10" t="s">
        <v>266</v>
      </c>
      <c r="G221" s="3">
        <f t="shared" si="28"/>
        <v>-1.65391240253593</v>
      </c>
      <c r="H221" s="3">
        <f t="shared" si="28"/>
        <v>4.3385970767465452</v>
      </c>
      <c r="I221" s="3">
        <f t="shared" si="25"/>
        <v>1.0911885746726051</v>
      </c>
    </row>
    <row r="222" spans="1:9" x14ac:dyDescent="0.25">
      <c r="A222" s="2" t="s">
        <v>300</v>
      </c>
      <c r="B222" s="3">
        <f>18.75/1000</f>
        <v>1.8749999999999999E-2</v>
      </c>
      <c r="C222" s="3">
        <v>18.39</v>
      </c>
      <c r="D222" s="3">
        <f t="shared" si="26"/>
        <v>260.56388116357624</v>
      </c>
      <c r="E222" s="10" t="s">
        <v>234</v>
      </c>
      <c r="F222" s="10" t="s">
        <v>266</v>
      </c>
      <c r="G222" s="3">
        <f t="shared" si="28"/>
        <v>-3.9765615265657175</v>
      </c>
      <c r="H222" s="3">
        <f t="shared" si="28"/>
        <v>2.9118070386162298</v>
      </c>
      <c r="I222" s="3">
        <f t="shared" si="25"/>
        <v>1.5786689686736113</v>
      </c>
    </row>
    <row r="223" spans="1:9" x14ac:dyDescent="0.25">
      <c r="A223" s="2" t="s">
        <v>301</v>
      </c>
      <c r="B223" s="3">
        <f>18.7/1000</f>
        <v>1.8699999999999998E-2</v>
      </c>
      <c r="C223" s="3">
        <v>16.5</v>
      </c>
      <c r="D223" s="3">
        <f t="shared" si="26"/>
        <v>234.20142858313369</v>
      </c>
      <c r="E223" s="10" t="s">
        <v>234</v>
      </c>
      <c r="F223" s="10" t="s">
        <v>266</v>
      </c>
      <c r="G223" s="3">
        <f t="shared" si="28"/>
        <v>-3.9792317551215963</v>
      </c>
      <c r="H223" s="3">
        <f t="shared" si="28"/>
        <v>2.8033603809065348</v>
      </c>
      <c r="I223" s="3">
        <f t="shared" si="25"/>
        <v>1.4193518122352846</v>
      </c>
    </row>
    <row r="224" spans="1:9" x14ac:dyDescent="0.25">
      <c r="A224" s="2" t="s">
        <v>302</v>
      </c>
      <c r="B224" s="3">
        <f>16.87/1000</f>
        <v>1.687E-2</v>
      </c>
      <c r="C224" s="3">
        <v>10.08</v>
      </c>
      <c r="D224" s="3">
        <f t="shared" si="26"/>
        <v>153.24411676008242</v>
      </c>
      <c r="E224" s="10" t="s">
        <v>234</v>
      </c>
      <c r="F224" s="10" t="s">
        <v>266</v>
      </c>
      <c r="G224" s="3">
        <f t="shared" si="28"/>
        <v>-4.0822183824242604</v>
      </c>
      <c r="H224" s="3">
        <f t="shared" si="28"/>
        <v>2.3105532626432224</v>
      </c>
      <c r="I224" s="3">
        <f t="shared" si="25"/>
        <v>0.93897421310957174</v>
      </c>
    </row>
    <row r="225" spans="1:9" x14ac:dyDescent="0.25">
      <c r="A225" s="2" t="s">
        <v>303</v>
      </c>
      <c r="B225" s="3">
        <f>16.71/1000</f>
        <v>1.6709999999999999E-2</v>
      </c>
      <c r="C225" s="3">
        <v>11.05</v>
      </c>
      <c r="D225" s="3">
        <f t="shared" si="26"/>
        <v>169.06147151245511</v>
      </c>
      <c r="E225" s="10" t="s">
        <v>234</v>
      </c>
      <c r="F225" s="10" t="s">
        <v>266</v>
      </c>
      <c r="G225" s="3">
        <f t="shared" si="28"/>
        <v>-4.0917479363748344</v>
      </c>
      <c r="H225" s="3">
        <f t="shared" si="28"/>
        <v>2.402430427963762</v>
      </c>
      <c r="I225" s="3">
        <f t="shared" si="25"/>
        <v>1.0369452249445659</v>
      </c>
    </row>
    <row r="226" spans="1:9" x14ac:dyDescent="0.25">
      <c r="A226" s="2" t="s">
        <v>304</v>
      </c>
      <c r="B226" s="3">
        <f>16.6/1000</f>
        <v>1.66E-2</v>
      </c>
      <c r="C226" s="3">
        <v>3.74</v>
      </c>
      <c r="D226" s="3">
        <f t="shared" si="26"/>
        <v>57.473310060040312</v>
      </c>
      <c r="E226" s="10" t="s">
        <v>234</v>
      </c>
      <c r="F226" s="10" t="s">
        <v>266</v>
      </c>
      <c r="G226" s="3">
        <f t="shared" si="28"/>
        <v>-4.0983525836196391</v>
      </c>
      <c r="H226" s="3">
        <f t="shared" si="28"/>
        <v>1.3190856114264407</v>
      </c>
      <c r="I226" s="3">
        <f t="shared" si="25"/>
        <v>0.35276317637175542</v>
      </c>
    </row>
    <row r="227" spans="1:9" x14ac:dyDescent="0.25">
      <c r="A227" s="2" t="s">
        <v>296</v>
      </c>
      <c r="B227" s="3">
        <f>159.2/1000</f>
        <v>0.15919999999999998</v>
      </c>
      <c r="C227" s="3">
        <v>104.4</v>
      </c>
      <c r="D227" s="3">
        <f t="shared" si="26"/>
        <v>355.41721247761581</v>
      </c>
      <c r="E227" s="10" t="s">
        <v>234</v>
      </c>
      <c r="F227" s="10" t="s">
        <v>266</v>
      </c>
      <c r="G227" s="3">
        <f t="shared" si="28"/>
        <v>-1.8375940055718545</v>
      </c>
      <c r="H227" s="3">
        <f t="shared" si="28"/>
        <v>4.6482296754485386</v>
      </c>
      <c r="I227" s="3">
        <f t="shared" si="25"/>
        <v>1.7141907784423767</v>
      </c>
    </row>
    <row r="228" spans="1:9" x14ac:dyDescent="0.25">
      <c r="A228" s="2" t="s">
        <v>299</v>
      </c>
      <c r="B228" s="3">
        <f>151.7/1000</f>
        <v>0.1517</v>
      </c>
      <c r="C228" s="3">
        <v>20.7</v>
      </c>
      <c r="D228" s="3">
        <f t="shared" si="26"/>
        <v>72.774621987599446</v>
      </c>
      <c r="E228" s="10" t="s">
        <v>234</v>
      </c>
      <c r="F228" s="10" t="s">
        <v>266</v>
      </c>
      <c r="G228" s="3">
        <f t="shared" si="28"/>
        <v>-1.8858503926276504</v>
      </c>
      <c r="H228" s="3">
        <f t="shared" si="28"/>
        <v>3.0301337002713233</v>
      </c>
      <c r="I228" s="3">
        <f t="shared" si="25"/>
        <v>0.35280556149123143</v>
      </c>
    </row>
    <row r="229" spans="1:9" x14ac:dyDescent="0.25">
      <c r="A229" s="2" t="s">
        <v>305</v>
      </c>
      <c r="B229" s="3">
        <f>15.96/1000</f>
        <v>1.5960000000000002E-2</v>
      </c>
      <c r="C229" s="3">
        <v>13.8</v>
      </c>
      <c r="D229" s="3">
        <f t="shared" si="26"/>
        <v>217.69936472975286</v>
      </c>
      <c r="E229" s="10" t="s">
        <v>234</v>
      </c>
      <c r="F229" s="10" t="s">
        <v>266</v>
      </c>
      <c r="G229" s="3">
        <f t="shared" si="28"/>
        <v>-4.1376696869604741</v>
      </c>
      <c r="H229" s="3">
        <f t="shared" si="28"/>
        <v>2.6246685921631592</v>
      </c>
      <c r="I229" s="3">
        <f t="shared" si="25"/>
        <v>1.3418222270246687</v>
      </c>
    </row>
    <row r="230" spans="1:9" x14ac:dyDescent="0.25">
      <c r="A230" s="2" t="s">
        <v>293</v>
      </c>
      <c r="B230" s="3">
        <f>14.8/1000</f>
        <v>1.4800000000000001E-2</v>
      </c>
      <c r="C230" s="3">
        <v>15.9</v>
      </c>
      <c r="D230" s="3">
        <f t="shared" si="26"/>
        <v>263.76832860074552</v>
      </c>
      <c r="E230" s="10" t="s">
        <v>234</v>
      </c>
      <c r="F230" s="10" t="s">
        <v>266</v>
      </c>
      <c r="G230" s="3">
        <f t="shared" si="28"/>
        <v>-4.213128098212068</v>
      </c>
      <c r="H230" s="3">
        <f t="shared" si="28"/>
        <v>2.7663191092261861</v>
      </c>
      <c r="I230" s="3">
        <f t="shared" si="25"/>
        <v>1.6389094769435961</v>
      </c>
    </row>
    <row r="231" spans="1:9" x14ac:dyDescent="0.25">
      <c r="A231" s="2" t="s">
        <v>277</v>
      </c>
      <c r="B231" s="3">
        <f>123/1000</f>
        <v>0.123</v>
      </c>
      <c r="C231" s="3">
        <v>121.9</v>
      </c>
      <c r="D231" s="3">
        <f t="shared" si="26"/>
        <v>492.87141518328559</v>
      </c>
      <c r="E231" s="10" t="s">
        <v>234</v>
      </c>
      <c r="F231" s="10" t="s">
        <v>266</v>
      </c>
      <c r="G231" s="3">
        <f t="shared" si="28"/>
        <v>-2.0955709236097197</v>
      </c>
      <c r="H231" s="3">
        <f t="shared" si="28"/>
        <v>4.8032010364872262</v>
      </c>
      <c r="I231" s="3">
        <f t="shared" ref="I231:I246" si="29">C231/EXP(0.7733*LN(B231)+5.5303)</f>
        <v>2.443437921194723</v>
      </c>
    </row>
    <row r="232" spans="1:9" x14ac:dyDescent="0.25">
      <c r="A232" s="2" t="s">
        <v>306</v>
      </c>
      <c r="B232" s="3">
        <f>12.78/1000</f>
        <v>1.278E-2</v>
      </c>
      <c r="C232" s="3">
        <v>9.36</v>
      </c>
      <c r="D232" s="3">
        <f t="shared" ref="D232:D246" si="30">C232*(1/B232)^(2/3)</f>
        <v>171.23345234731426</v>
      </c>
      <c r="E232" s="10" t="s">
        <v>234</v>
      </c>
      <c r="F232" s="10" t="s">
        <v>266</v>
      </c>
      <c r="G232" s="3">
        <f t="shared" si="28"/>
        <v>-4.3598738300327486</v>
      </c>
      <c r="H232" s="3">
        <f t="shared" si="28"/>
        <v>2.2364452904895007</v>
      </c>
      <c r="I232" s="3">
        <f t="shared" si="29"/>
        <v>1.0807289025482198</v>
      </c>
    </row>
    <row r="233" spans="1:9" x14ac:dyDescent="0.25">
      <c r="A233" s="2" t="s">
        <v>295</v>
      </c>
      <c r="B233" s="3">
        <f>107.6/1000</f>
        <v>0.1076</v>
      </c>
      <c r="C233" s="3">
        <v>83.7</v>
      </c>
      <c r="D233" s="3">
        <f t="shared" si="30"/>
        <v>369.98485227332827</v>
      </c>
      <c r="E233" s="10" t="s">
        <v>234</v>
      </c>
      <c r="F233" s="10" t="s">
        <v>266</v>
      </c>
      <c r="G233" s="3">
        <f t="shared" si="28"/>
        <v>-2.2293346312544529</v>
      </c>
      <c r="H233" s="3">
        <f t="shared" si="28"/>
        <v>4.4272389774954295</v>
      </c>
      <c r="I233" s="3">
        <f t="shared" si="29"/>
        <v>1.8605710334598271</v>
      </c>
    </row>
    <row r="234" spans="1:9" x14ac:dyDescent="0.25">
      <c r="A234" s="2" t="s">
        <v>307</v>
      </c>
      <c r="B234" s="3">
        <f>10.46/1000</f>
        <v>1.0460000000000001E-2</v>
      </c>
      <c r="C234" s="3">
        <v>8.91</v>
      </c>
      <c r="D234" s="3">
        <f t="shared" si="30"/>
        <v>186.29015941674351</v>
      </c>
      <c r="E234" s="10" t="s">
        <v>234</v>
      </c>
      <c r="F234" s="10" t="s">
        <v>266</v>
      </c>
      <c r="G234" s="3">
        <f t="shared" si="28"/>
        <v>-4.56019682034536</v>
      </c>
      <c r="H234" s="3">
        <f t="shared" si="28"/>
        <v>2.187174241482718</v>
      </c>
      <c r="I234" s="3">
        <f t="shared" si="29"/>
        <v>1.2011440080021589</v>
      </c>
    </row>
    <row r="235" spans="1:9" x14ac:dyDescent="0.25">
      <c r="A235" s="2" t="s">
        <v>308</v>
      </c>
      <c r="B235" s="3">
        <f>10.28/1000</f>
        <v>1.0279999999999999E-2</v>
      </c>
      <c r="C235" s="3">
        <v>6.82</v>
      </c>
      <c r="D235" s="3">
        <f t="shared" si="30"/>
        <v>144.25215113511118</v>
      </c>
      <c r="E235" s="10" t="s">
        <v>234</v>
      </c>
      <c r="F235" s="10" t="s">
        <v>266</v>
      </c>
      <c r="G235" s="3">
        <f t="shared" si="28"/>
        <v>-4.5775550189551177</v>
      </c>
      <c r="H235" s="3">
        <f t="shared" si="28"/>
        <v>1.9198594718553708</v>
      </c>
      <c r="I235" s="3">
        <f t="shared" si="29"/>
        <v>0.93181849418914242</v>
      </c>
    </row>
    <row r="236" spans="1:9" x14ac:dyDescent="0.25">
      <c r="A236" s="2" t="s">
        <v>309</v>
      </c>
      <c r="B236" s="3">
        <f>1.95/1000</f>
        <v>1.9499999999999999E-3</v>
      </c>
      <c r="C236" s="3">
        <v>1.1599999999999999</v>
      </c>
      <c r="D236" s="3">
        <f t="shared" si="30"/>
        <v>74.319295069498082</v>
      </c>
      <c r="E236" s="10" t="s">
        <v>234</v>
      </c>
      <c r="F236" s="10" t="s">
        <v>266</v>
      </c>
      <c r="G236" s="3">
        <f t="shared" si="28"/>
        <v>-6.2399259064064818</v>
      </c>
      <c r="H236" s="3">
        <f t="shared" si="28"/>
        <v>0.14842000511827322</v>
      </c>
      <c r="I236" s="3">
        <f t="shared" si="29"/>
        <v>0.57318583730319461</v>
      </c>
    </row>
    <row r="237" spans="1:9" x14ac:dyDescent="0.25">
      <c r="A237" s="2" t="s">
        <v>290</v>
      </c>
      <c r="B237" s="3">
        <f>1.86/1000</f>
        <v>1.8600000000000001E-3</v>
      </c>
      <c r="C237" s="3">
        <v>1.66</v>
      </c>
      <c r="D237" s="3">
        <f t="shared" si="30"/>
        <v>109.75714253389273</v>
      </c>
      <c r="E237" s="10" t="s">
        <v>234</v>
      </c>
      <c r="F237" s="10" t="s">
        <v>266</v>
      </c>
      <c r="G237" s="3">
        <f t="shared" si="28"/>
        <v>-6.2871787912570269</v>
      </c>
      <c r="H237" s="3">
        <f t="shared" si="28"/>
        <v>0.50681760236845186</v>
      </c>
      <c r="I237" s="3">
        <f t="shared" si="29"/>
        <v>0.85077546098776025</v>
      </c>
    </row>
    <row r="238" spans="1:9" x14ac:dyDescent="0.25">
      <c r="A238" s="2" t="s">
        <v>310</v>
      </c>
      <c r="B238" s="3">
        <f>1.56/1000</f>
        <v>1.56E-3</v>
      </c>
      <c r="C238" s="3">
        <v>1.33</v>
      </c>
      <c r="D238" s="3">
        <f t="shared" si="30"/>
        <v>98.878508934271323</v>
      </c>
      <c r="E238" s="10" t="s">
        <v>234</v>
      </c>
      <c r="F238" s="10" t="s">
        <v>266</v>
      </c>
      <c r="G238" s="3">
        <f t="shared" si="28"/>
        <v>-6.4630694577206915</v>
      </c>
      <c r="H238" s="3">
        <f t="shared" si="28"/>
        <v>0.28517894223366247</v>
      </c>
      <c r="I238" s="3">
        <f t="shared" si="29"/>
        <v>0.78096148439736435</v>
      </c>
    </row>
    <row r="239" spans="1:9" x14ac:dyDescent="0.25">
      <c r="A239" s="2" t="s">
        <v>311</v>
      </c>
      <c r="B239" s="3">
        <f>1.39/1000</f>
        <v>1.39E-3</v>
      </c>
      <c r="C239" s="3">
        <v>0.73</v>
      </c>
      <c r="D239" s="3">
        <f t="shared" si="30"/>
        <v>58.611071355558899</v>
      </c>
      <c r="E239" s="10" t="s">
        <v>234</v>
      </c>
      <c r="F239" s="10" t="s">
        <v>266</v>
      </c>
      <c r="G239" s="3">
        <f t="shared" si="28"/>
        <v>-6.5784515318395371</v>
      </c>
      <c r="H239" s="3">
        <f t="shared" si="28"/>
        <v>-0.31471074483970024</v>
      </c>
      <c r="I239" s="3">
        <f t="shared" si="29"/>
        <v>0.46865228819926635</v>
      </c>
    </row>
    <row r="240" spans="1:9" x14ac:dyDescent="0.25">
      <c r="A240" s="2" t="s">
        <v>312</v>
      </c>
      <c r="B240" s="3">
        <f>1.03/1000</f>
        <v>1.0300000000000001E-3</v>
      </c>
      <c r="C240" s="3">
        <v>0.39</v>
      </c>
      <c r="D240" s="3">
        <f t="shared" si="30"/>
        <v>38.238993910629581</v>
      </c>
      <c r="E240" s="10" t="s">
        <v>234</v>
      </c>
      <c r="F240" s="10" t="s">
        <v>266</v>
      </c>
      <c r="G240" s="3">
        <f t="shared" si="28"/>
        <v>-6.8781964767405928</v>
      </c>
      <c r="H240" s="3">
        <f t="shared" si="28"/>
        <v>-0.94160853985844495</v>
      </c>
      <c r="I240" s="3">
        <f t="shared" si="29"/>
        <v>0.31568853367587402</v>
      </c>
    </row>
    <row r="241" spans="1:9" x14ac:dyDescent="0.25">
      <c r="A241" s="2" t="s">
        <v>313</v>
      </c>
      <c r="B241" s="3">
        <f>1/1000</f>
        <v>1E-3</v>
      </c>
      <c r="C241" s="3">
        <v>0.12</v>
      </c>
      <c r="D241" s="3">
        <f t="shared" si="30"/>
        <v>11.999999999999995</v>
      </c>
      <c r="E241" s="10" t="s">
        <v>234</v>
      </c>
      <c r="F241" s="10" t="s">
        <v>266</v>
      </c>
      <c r="G241" s="3">
        <f t="shared" si="28"/>
        <v>-6.9077552789821368</v>
      </c>
      <c r="H241" s="3">
        <f t="shared" si="28"/>
        <v>-2.120263536200091</v>
      </c>
      <c r="I241" s="3">
        <f t="shared" si="29"/>
        <v>9.9380796419083192E-2</v>
      </c>
    </row>
    <row r="242" spans="1:9" x14ac:dyDescent="0.25">
      <c r="A242" s="2" t="s">
        <v>314</v>
      </c>
      <c r="B242" s="3">
        <f>1/1000</f>
        <v>1E-3</v>
      </c>
      <c r="C242" s="3">
        <v>1.27</v>
      </c>
      <c r="D242" s="3">
        <f t="shared" si="30"/>
        <v>126.99999999999994</v>
      </c>
      <c r="E242" s="10" t="s">
        <v>234</v>
      </c>
      <c r="F242" s="10" t="s">
        <v>266</v>
      </c>
      <c r="G242" s="3">
        <f t="shared" si="28"/>
        <v>-6.9077552789821368</v>
      </c>
      <c r="H242" s="3">
        <f t="shared" si="28"/>
        <v>0.23901690047049992</v>
      </c>
      <c r="I242" s="3">
        <f t="shared" si="29"/>
        <v>1.0517800954352972</v>
      </c>
    </row>
    <row r="243" spans="1:9" x14ac:dyDescent="0.25">
      <c r="A243" s="2" t="s">
        <v>315</v>
      </c>
      <c r="B243" s="3">
        <f>0.92/1000</f>
        <v>9.2000000000000003E-4</v>
      </c>
      <c r="C243" s="3">
        <v>0.45</v>
      </c>
      <c r="D243" s="3">
        <f t="shared" si="30"/>
        <v>47.572279543313599</v>
      </c>
      <c r="E243" s="10" t="s">
        <v>234</v>
      </c>
      <c r="F243" s="10" t="s">
        <v>266</v>
      </c>
      <c r="G243" s="3">
        <f t="shared" si="28"/>
        <v>-6.9911368879211881</v>
      </c>
      <c r="H243" s="3">
        <f t="shared" si="28"/>
        <v>-0.79850769621777162</v>
      </c>
      <c r="I243" s="3">
        <f t="shared" si="29"/>
        <v>0.39749952462980886</v>
      </c>
    </row>
    <row r="244" spans="1:9" x14ac:dyDescent="0.25">
      <c r="A244" s="2" t="s">
        <v>312</v>
      </c>
      <c r="B244" s="3">
        <f>0.76/1000</f>
        <v>7.6000000000000004E-4</v>
      </c>
      <c r="C244" s="3">
        <v>0.21</v>
      </c>
      <c r="D244" s="3">
        <f t="shared" si="30"/>
        <v>25.216040879770073</v>
      </c>
      <c r="E244" s="10" t="s">
        <v>234</v>
      </c>
      <c r="F244" s="10" t="s">
        <v>266</v>
      </c>
      <c r="G244" s="3">
        <f t="shared" si="28"/>
        <v>-7.1821921246838976</v>
      </c>
      <c r="H244" s="3">
        <f t="shared" si="28"/>
        <v>-1.5606477482646683</v>
      </c>
      <c r="I244" s="3">
        <f t="shared" si="29"/>
        <v>0.21503411731736088</v>
      </c>
    </row>
    <row r="245" spans="1:9" x14ac:dyDescent="0.25">
      <c r="A245" s="2" t="s">
        <v>316</v>
      </c>
      <c r="B245" s="3">
        <f>0.64/1000</f>
        <v>6.4000000000000005E-4</v>
      </c>
      <c r="C245" s="3">
        <v>0.96</v>
      </c>
      <c r="D245" s="3">
        <f t="shared" si="30"/>
        <v>129.26608140191297</v>
      </c>
      <c r="E245" s="10" t="s">
        <v>234</v>
      </c>
      <c r="F245" s="10" t="s">
        <v>266</v>
      </c>
      <c r="G245" s="3">
        <f t="shared" si="28"/>
        <v>-7.3540423816105562</v>
      </c>
      <c r="H245" s="3">
        <f t="shared" si="28"/>
        <v>-4.0821994520255166E-2</v>
      </c>
      <c r="I245" s="3">
        <f t="shared" si="29"/>
        <v>1.1227252393617608</v>
      </c>
    </row>
    <row r="246" spans="1:9" x14ac:dyDescent="0.25">
      <c r="A246" s="2" t="s">
        <v>316</v>
      </c>
      <c r="B246" s="3">
        <f>0.61/1000</f>
        <v>6.0999999999999997E-4</v>
      </c>
      <c r="C246" s="3">
        <v>1.02</v>
      </c>
      <c r="D246" s="3">
        <f t="shared" si="30"/>
        <v>141.81220672553891</v>
      </c>
      <c r="E246" s="10" t="s">
        <v>234</v>
      </c>
      <c r="F246" s="10" t="s">
        <v>266</v>
      </c>
      <c r="G246" s="3">
        <f t="shared" ref="G246:H246" si="31">LN(B246)</f>
        <v>-7.4020516007969173</v>
      </c>
      <c r="H246" s="3">
        <f t="shared" si="31"/>
        <v>1.980262729617973E-2</v>
      </c>
      <c r="I246" s="3">
        <f t="shared" si="29"/>
        <v>1.2380148015298615</v>
      </c>
    </row>
    <row r="247" spans="1:9" x14ac:dyDescent="0.25">
      <c r="A247" s="29" t="s">
        <v>318</v>
      </c>
      <c r="B247" s="29"/>
      <c r="C247" s="29"/>
      <c r="D247" s="29"/>
      <c r="E247" s="29"/>
      <c r="F247" s="29"/>
      <c r="G247" s="30"/>
      <c r="H247" s="30"/>
    </row>
    <row r="248" spans="1:9" x14ac:dyDescent="0.25">
      <c r="A248" s="2" t="s">
        <v>319</v>
      </c>
      <c r="B248" s="3">
        <v>0.92</v>
      </c>
      <c r="C248" s="3">
        <v>50</v>
      </c>
      <c r="D248" s="3">
        <f>C248*(1/B248)^(2/3)</f>
        <v>52.858088381459552</v>
      </c>
      <c r="E248" s="10" t="s">
        <v>237</v>
      </c>
      <c r="F248" s="10" t="s">
        <v>264</v>
      </c>
      <c r="G248" s="3">
        <f t="shared" ref="G248:H249" si="32">LN(B248)</f>
        <v>-8.3381608939051013E-2</v>
      </c>
      <c r="H248" s="3">
        <f t="shared" si="32"/>
        <v>3.912023005428146</v>
      </c>
      <c r="I248" s="3">
        <f>C248/EXP(2.7059*LN(B248)+4.1445)</f>
        <v>0.99316874091682028</v>
      </c>
    </row>
    <row r="249" spans="1:9" x14ac:dyDescent="0.25">
      <c r="A249" s="2" t="s">
        <v>320</v>
      </c>
      <c r="B249" s="3">
        <v>1</v>
      </c>
      <c r="C249" s="3">
        <v>60</v>
      </c>
      <c r="D249" s="3">
        <f>C249*(1/B249)^(2/3)</f>
        <v>60</v>
      </c>
      <c r="E249" s="10" t="s">
        <v>234</v>
      </c>
      <c r="F249" s="10" t="s">
        <v>264</v>
      </c>
      <c r="G249" s="3">
        <f t="shared" si="32"/>
        <v>0</v>
      </c>
      <c r="H249" s="3">
        <f t="shared" si="32"/>
        <v>4.0943445622221004</v>
      </c>
      <c r="I249" s="3">
        <f t="shared" ref="I249" si="33">C249/EXP(2.7059*LN(B249)+4.1445)</f>
        <v>0.95108157900338286</v>
      </c>
    </row>
    <row r="250" spans="1:9" x14ac:dyDescent="0.25">
      <c r="A250" s="2" t="s">
        <v>321</v>
      </c>
      <c r="B250" s="3">
        <v>0.99</v>
      </c>
      <c r="C250" s="3">
        <v>65</v>
      </c>
      <c r="D250" s="3">
        <f>C250*(1/B250)^(2/3)</f>
        <v>65.436976840220979</v>
      </c>
      <c r="E250" s="10" t="s">
        <v>234</v>
      </c>
      <c r="F250" s="10" t="s">
        <v>264</v>
      </c>
      <c r="G250" s="3">
        <f>LN(B250)</f>
        <v>-1.0050335853501451E-2</v>
      </c>
      <c r="H250" s="3">
        <f>LN(C250)</f>
        <v>4.1743872698956368</v>
      </c>
      <c r="I250" s="3">
        <f>C250/EXP(2.7059*LN(B250)+4.1445)</f>
        <v>1.0587431252382979</v>
      </c>
    </row>
    <row r="251" spans="1:9" x14ac:dyDescent="0.25">
      <c r="A251" s="29" t="s">
        <v>218</v>
      </c>
      <c r="B251" s="29"/>
      <c r="C251" s="29"/>
      <c r="D251" s="29"/>
      <c r="E251" s="29"/>
      <c r="F251" s="29"/>
      <c r="G251" s="30"/>
      <c r="H251" s="30"/>
    </row>
    <row r="252" spans="1:9" x14ac:dyDescent="0.25">
      <c r="A252" s="2" t="s">
        <v>322</v>
      </c>
      <c r="B252" s="3">
        <v>1.18</v>
      </c>
      <c r="C252" s="3">
        <v>55.62</v>
      </c>
      <c r="D252" s="3">
        <f t="shared" ref="D252:D296" si="34">C252*(1/B252)^(2/3)</f>
        <v>49.809209159737343</v>
      </c>
      <c r="E252" s="10" t="s">
        <v>237</v>
      </c>
      <c r="F252" s="10" t="s">
        <v>323</v>
      </c>
      <c r="G252" s="3">
        <f>LN(B252)</f>
        <v>0.16551443847757333</v>
      </c>
      <c r="H252" s="3">
        <f>LN(C252)</f>
        <v>4.0185428488058186</v>
      </c>
      <c r="I252" s="3">
        <f t="shared" ref="I252:I295" si="35">C252/EXP(0.7847*LN(B252)+3.4931)</f>
        <v>1.4852211280287451</v>
      </c>
    </row>
    <row r="253" spans="1:9" x14ac:dyDescent="0.25">
      <c r="A253" s="2" t="s">
        <v>324</v>
      </c>
      <c r="B253" s="3">
        <v>0.28000000000000003</v>
      </c>
      <c r="C253" s="3">
        <v>15.4</v>
      </c>
      <c r="D253" s="3">
        <f t="shared" si="34"/>
        <v>35.981729412074486</v>
      </c>
      <c r="E253" s="10" t="s">
        <v>237</v>
      </c>
      <c r="F253" s="10" t="s">
        <v>323</v>
      </c>
      <c r="G253" s="3">
        <f>LN(B253)</f>
        <v>-1.2729656758128873</v>
      </c>
      <c r="H253" s="3">
        <f>LN(C253)</f>
        <v>2.7343675094195836</v>
      </c>
      <c r="I253" s="3">
        <f t="shared" si="35"/>
        <v>1.2714572393474604</v>
      </c>
    </row>
    <row r="254" spans="1:9" x14ac:dyDescent="0.25">
      <c r="A254" s="2" t="s">
        <v>325</v>
      </c>
      <c r="B254" s="3">
        <v>2.0499999999999998</v>
      </c>
      <c r="C254" s="3">
        <v>58.08</v>
      </c>
      <c r="D254" s="3">
        <f t="shared" si="34"/>
        <v>35.990733711329604</v>
      </c>
      <c r="E254" s="10" t="s">
        <v>237</v>
      </c>
      <c r="F254" s="10" t="s">
        <v>323</v>
      </c>
      <c r="G254" s="3">
        <f t="shared" ref="G254:H296" si="36">LN(B254)</f>
        <v>0.71783979315031676</v>
      </c>
      <c r="H254" s="3">
        <f t="shared" si="36"/>
        <v>4.0618213705165402</v>
      </c>
      <c r="I254" s="3">
        <f t="shared" si="35"/>
        <v>1.0054472675340222</v>
      </c>
    </row>
    <row r="255" spans="1:9" x14ac:dyDescent="0.25">
      <c r="A255" s="2" t="s">
        <v>326</v>
      </c>
      <c r="B255" s="3">
        <v>1.66</v>
      </c>
      <c r="C255" s="3">
        <v>82.5</v>
      </c>
      <c r="D255" s="3">
        <f t="shared" si="34"/>
        <v>58.845766368848871</v>
      </c>
      <c r="E255" s="10" t="s">
        <v>237</v>
      </c>
      <c r="F255" s="10" t="s">
        <v>323</v>
      </c>
      <c r="G255" s="3">
        <f t="shared" si="36"/>
        <v>0.50681760236845186</v>
      </c>
      <c r="H255" s="3">
        <f t="shared" si="36"/>
        <v>4.4127982933406349</v>
      </c>
      <c r="I255" s="3">
        <f t="shared" si="35"/>
        <v>1.6853925781990056</v>
      </c>
    </row>
    <row r="256" spans="1:9" x14ac:dyDescent="0.25">
      <c r="A256" s="2" t="s">
        <v>327</v>
      </c>
      <c r="B256" s="3">
        <v>2.44</v>
      </c>
      <c r="C256" s="3">
        <v>44.93</v>
      </c>
      <c r="D256" s="3">
        <f t="shared" si="34"/>
        <v>24.790000433781103</v>
      </c>
      <c r="E256" s="10" t="s">
        <v>237</v>
      </c>
      <c r="F256" s="10" t="s">
        <v>323</v>
      </c>
      <c r="G256" s="3">
        <f t="shared" si="36"/>
        <v>0.89199803930511046</v>
      </c>
      <c r="H256" s="3">
        <f t="shared" si="36"/>
        <v>3.8051057230820686</v>
      </c>
      <c r="I256" s="3">
        <f t="shared" si="35"/>
        <v>0.6784495630983709</v>
      </c>
    </row>
    <row r="257" spans="1:9" x14ac:dyDescent="0.25">
      <c r="A257" s="2" t="s">
        <v>328</v>
      </c>
      <c r="B257" s="3">
        <v>1.62</v>
      </c>
      <c r="C257" s="3">
        <v>60.63</v>
      </c>
      <c r="D257" s="3">
        <f t="shared" si="34"/>
        <v>43.955263904457077</v>
      </c>
      <c r="E257" s="10" t="s">
        <v>237</v>
      </c>
      <c r="F257" s="10" t="s">
        <v>323</v>
      </c>
      <c r="G257" s="3">
        <f t="shared" si="36"/>
        <v>0.48242614924429278</v>
      </c>
      <c r="H257" s="3">
        <f t="shared" si="36"/>
        <v>4.1047898200836395</v>
      </c>
      <c r="I257" s="3">
        <f t="shared" si="35"/>
        <v>1.2625456258123058</v>
      </c>
    </row>
    <row r="258" spans="1:9" x14ac:dyDescent="0.25">
      <c r="A258" s="2" t="s">
        <v>329</v>
      </c>
      <c r="B258" s="3">
        <v>1.96</v>
      </c>
      <c r="C258" s="3">
        <v>84.56</v>
      </c>
      <c r="D258" s="3">
        <f t="shared" si="34"/>
        <v>53.991773519832698</v>
      </c>
      <c r="E258" s="10" t="s">
        <v>237</v>
      </c>
      <c r="F258" s="10" t="s">
        <v>323</v>
      </c>
      <c r="G258" s="3">
        <f t="shared" si="36"/>
        <v>0.67294447324242579</v>
      </c>
      <c r="H258" s="3">
        <f t="shared" si="36"/>
        <v>4.4374613415619821</v>
      </c>
      <c r="I258" s="3">
        <f t="shared" si="35"/>
        <v>1.5163434526007571</v>
      </c>
    </row>
    <row r="259" spans="1:9" x14ac:dyDescent="0.25">
      <c r="A259" s="2" t="s">
        <v>330</v>
      </c>
      <c r="B259" s="3">
        <v>0.18</v>
      </c>
      <c r="C259" s="3">
        <v>16.579999999999998</v>
      </c>
      <c r="D259" s="3">
        <f t="shared" si="34"/>
        <v>52.007924529491504</v>
      </c>
      <c r="E259" s="10" t="s">
        <v>237</v>
      </c>
      <c r="F259" s="10" t="s">
        <v>323</v>
      </c>
      <c r="G259" s="3">
        <f t="shared" si="36"/>
        <v>-1.7147984280919266</v>
      </c>
      <c r="H259" s="3">
        <f t="shared" si="36"/>
        <v>2.8081971497071487</v>
      </c>
      <c r="I259" s="3">
        <f t="shared" si="35"/>
        <v>1.936146149077036</v>
      </c>
    </row>
    <row r="260" spans="1:9" x14ac:dyDescent="0.25">
      <c r="A260" s="2" t="s">
        <v>331</v>
      </c>
      <c r="B260" s="3">
        <v>0.71</v>
      </c>
      <c r="C260" s="3">
        <v>62.78</v>
      </c>
      <c r="D260" s="3">
        <f t="shared" si="34"/>
        <v>78.882817150953443</v>
      </c>
      <c r="E260" s="10" t="s">
        <v>237</v>
      </c>
      <c r="F260" s="10" t="s">
        <v>323</v>
      </c>
      <c r="G260" s="3">
        <f t="shared" si="36"/>
        <v>-0.34249030894677601</v>
      </c>
      <c r="H260" s="3">
        <f t="shared" si="36"/>
        <v>4.1396365514138074</v>
      </c>
      <c r="I260" s="3">
        <f t="shared" si="35"/>
        <v>2.4974961670991096</v>
      </c>
    </row>
    <row r="261" spans="1:9" x14ac:dyDescent="0.25">
      <c r="A261" s="2" t="s">
        <v>332</v>
      </c>
      <c r="B261" s="3">
        <v>2.21</v>
      </c>
      <c r="C261" s="3">
        <v>56.51</v>
      </c>
      <c r="D261" s="3">
        <f t="shared" si="34"/>
        <v>33.306612026217721</v>
      </c>
      <c r="E261" s="10" t="s">
        <v>237</v>
      </c>
      <c r="F261" s="10" t="s">
        <v>323</v>
      </c>
      <c r="G261" s="3">
        <f t="shared" si="36"/>
        <v>0.79299251552966143</v>
      </c>
      <c r="H261" s="3">
        <f t="shared" si="36"/>
        <v>4.034417613641752</v>
      </c>
      <c r="I261" s="3">
        <f t="shared" si="35"/>
        <v>0.9222456923748853</v>
      </c>
    </row>
    <row r="262" spans="1:9" x14ac:dyDescent="0.25">
      <c r="A262" s="2" t="s">
        <v>333</v>
      </c>
      <c r="B262" s="3">
        <v>0.61</v>
      </c>
      <c r="C262" s="3">
        <v>36.49</v>
      </c>
      <c r="D262" s="3">
        <f t="shared" si="34"/>
        <v>50.732621798185455</v>
      </c>
      <c r="E262" s="10" t="s">
        <v>237</v>
      </c>
      <c r="F262" s="10" t="s">
        <v>323</v>
      </c>
      <c r="G262" s="3">
        <f t="shared" si="36"/>
        <v>-0.49429632181478012</v>
      </c>
      <c r="H262" s="3">
        <f t="shared" si="36"/>
        <v>3.5970382504483562</v>
      </c>
      <c r="I262" s="3">
        <f t="shared" si="35"/>
        <v>1.6352775972306177</v>
      </c>
    </row>
    <row r="263" spans="1:9" x14ac:dyDescent="0.25">
      <c r="A263" s="2" t="s">
        <v>334</v>
      </c>
      <c r="B263" s="3">
        <v>0.12</v>
      </c>
      <c r="C263" s="3">
        <v>8.83</v>
      </c>
      <c r="D263" s="3">
        <f t="shared" si="34"/>
        <v>36.294421027230079</v>
      </c>
      <c r="E263" s="10" t="s">
        <v>237</v>
      </c>
      <c r="F263" s="10" t="s">
        <v>323</v>
      </c>
      <c r="G263" s="3">
        <f t="shared" si="36"/>
        <v>-2.120263536200091</v>
      </c>
      <c r="H263" s="3">
        <f t="shared" si="36"/>
        <v>2.1781550146158688</v>
      </c>
      <c r="I263" s="3">
        <f t="shared" si="35"/>
        <v>1.4174022736220675</v>
      </c>
    </row>
    <row r="264" spans="1:9" x14ac:dyDescent="0.25">
      <c r="A264" s="2" t="s">
        <v>335</v>
      </c>
      <c r="B264" s="3">
        <v>0.32</v>
      </c>
      <c r="C264" s="3">
        <v>14.72</v>
      </c>
      <c r="D264" s="3">
        <f t="shared" si="34"/>
        <v>31.463557418851224</v>
      </c>
      <c r="E264" s="10" t="s">
        <v>237</v>
      </c>
      <c r="F264" s="10" t="s">
        <v>323</v>
      </c>
      <c r="G264" s="3">
        <f t="shared" si="36"/>
        <v>-1.1394342831883648</v>
      </c>
      <c r="H264" s="3">
        <f t="shared" si="36"/>
        <v>2.6892071133007303</v>
      </c>
      <c r="I264" s="3">
        <f t="shared" si="35"/>
        <v>1.0944163367040505</v>
      </c>
    </row>
    <row r="265" spans="1:9" x14ac:dyDescent="0.25">
      <c r="A265" s="2" t="s">
        <v>336</v>
      </c>
      <c r="B265" s="3">
        <v>0.65</v>
      </c>
      <c r="C265" s="3">
        <v>46.99</v>
      </c>
      <c r="D265" s="3">
        <f t="shared" si="34"/>
        <v>62.622423938413874</v>
      </c>
      <c r="E265" s="10" t="s">
        <v>237</v>
      </c>
      <c r="F265" s="10" t="s">
        <v>323</v>
      </c>
      <c r="G265" s="3">
        <f t="shared" si="36"/>
        <v>-0.43078291609245423</v>
      </c>
      <c r="H265" s="3">
        <f t="shared" si="36"/>
        <v>3.8499348131147242</v>
      </c>
      <c r="I265" s="3">
        <f t="shared" si="35"/>
        <v>2.0034489440143477</v>
      </c>
    </row>
    <row r="266" spans="1:9" x14ac:dyDescent="0.25">
      <c r="A266" s="2" t="s">
        <v>337</v>
      </c>
      <c r="B266" s="3">
        <v>0.42</v>
      </c>
      <c r="C266" s="3">
        <v>35.81</v>
      </c>
      <c r="D266" s="3">
        <f t="shared" si="34"/>
        <v>63.85155242530827</v>
      </c>
      <c r="E266" s="10" t="s">
        <v>237</v>
      </c>
      <c r="F266" s="10" t="s">
        <v>323</v>
      </c>
      <c r="G266" s="3">
        <f t="shared" si="36"/>
        <v>-0.86750056770472306</v>
      </c>
      <c r="H266" s="3">
        <f t="shared" si="36"/>
        <v>3.5782271840103412</v>
      </c>
      <c r="I266" s="3">
        <f t="shared" si="35"/>
        <v>2.1508322913531619</v>
      </c>
    </row>
    <row r="267" spans="1:9" x14ac:dyDescent="0.25">
      <c r="A267" s="2" t="s">
        <v>338</v>
      </c>
      <c r="B267" s="3">
        <v>1.1499999999999999</v>
      </c>
      <c r="C267" s="3">
        <v>114.19</v>
      </c>
      <c r="D267" s="3">
        <f t="shared" si="34"/>
        <v>104.03101745797427</v>
      </c>
      <c r="E267" s="10" t="s">
        <v>237</v>
      </c>
      <c r="F267" s="10" t="s">
        <v>323</v>
      </c>
      <c r="G267" s="3">
        <f t="shared" si="36"/>
        <v>0.13976194237515863</v>
      </c>
      <c r="H267" s="3">
        <f t="shared" si="36"/>
        <v>4.7378637277135569</v>
      </c>
      <c r="I267" s="3">
        <f t="shared" si="35"/>
        <v>3.1114614378781291</v>
      </c>
    </row>
    <row r="268" spans="1:9" x14ac:dyDescent="0.25">
      <c r="A268" s="2" t="s">
        <v>339</v>
      </c>
      <c r="B268" s="3">
        <v>1.23</v>
      </c>
      <c r="C268" s="3">
        <v>36.299999999999997</v>
      </c>
      <c r="D268" s="3">
        <f t="shared" si="34"/>
        <v>31.620583812825252</v>
      </c>
      <c r="E268" s="10" t="s">
        <v>237</v>
      </c>
      <c r="F268" s="10" t="s">
        <v>323</v>
      </c>
      <c r="G268" s="3">
        <f t="shared" si="36"/>
        <v>0.20701416938432612</v>
      </c>
      <c r="H268" s="3">
        <f t="shared" si="36"/>
        <v>3.591817741270805</v>
      </c>
      <c r="I268" s="3">
        <f t="shared" si="35"/>
        <v>0.93826178779849989</v>
      </c>
    </row>
    <row r="269" spans="1:9" x14ac:dyDescent="0.25">
      <c r="A269" s="2" t="s">
        <v>340</v>
      </c>
      <c r="B269" s="3">
        <v>3.99</v>
      </c>
      <c r="C269" s="3">
        <v>134</v>
      </c>
      <c r="D269" s="3">
        <f t="shared" si="34"/>
        <v>53.266750189877484</v>
      </c>
      <c r="E269" s="10" t="s">
        <v>237</v>
      </c>
      <c r="F269" s="10" t="s">
        <v>323</v>
      </c>
      <c r="G269" s="3">
        <f t="shared" si="36"/>
        <v>1.3837912309017721</v>
      </c>
      <c r="H269" s="3">
        <f t="shared" si="36"/>
        <v>4.8978397999509111</v>
      </c>
      <c r="I269" s="3">
        <f t="shared" si="35"/>
        <v>1.3755846229225241</v>
      </c>
    </row>
    <row r="270" spans="1:9" x14ac:dyDescent="0.25">
      <c r="A270" s="2" t="s">
        <v>341</v>
      </c>
      <c r="B270" s="3">
        <v>6.1</v>
      </c>
      <c r="C270" s="3">
        <v>211.21</v>
      </c>
      <c r="D270" s="3">
        <f t="shared" si="34"/>
        <v>63.264670902777738</v>
      </c>
      <c r="E270" s="10" t="s">
        <v>237</v>
      </c>
      <c r="F270" s="10" t="s">
        <v>323</v>
      </c>
      <c r="G270" s="3">
        <f t="shared" si="36"/>
        <v>1.8082887711792655</v>
      </c>
      <c r="H270" s="3">
        <f t="shared" si="36"/>
        <v>5.3528528991960505</v>
      </c>
      <c r="I270" s="3">
        <f t="shared" si="35"/>
        <v>1.5539323224524146</v>
      </c>
    </row>
    <row r="271" spans="1:9" x14ac:dyDescent="0.25">
      <c r="A271" s="2" t="s">
        <v>342</v>
      </c>
      <c r="B271" s="3">
        <v>3.49</v>
      </c>
      <c r="C271" s="3">
        <v>228.87</v>
      </c>
      <c r="D271" s="3">
        <f t="shared" si="34"/>
        <v>99.473008163813446</v>
      </c>
      <c r="E271" s="10" t="s">
        <v>237</v>
      </c>
      <c r="F271" s="10" t="s">
        <v>323</v>
      </c>
      <c r="G271" s="3">
        <f t="shared" si="36"/>
        <v>1.2499017362143359</v>
      </c>
      <c r="H271" s="3">
        <f t="shared" si="36"/>
        <v>5.4331541567702475</v>
      </c>
      <c r="I271" s="3">
        <f t="shared" si="35"/>
        <v>2.6097547838238131</v>
      </c>
    </row>
    <row r="272" spans="1:9" x14ac:dyDescent="0.25">
      <c r="A272" s="2" t="s">
        <v>343</v>
      </c>
      <c r="B272" s="3">
        <v>3.49</v>
      </c>
      <c r="C272" s="3">
        <v>69.55</v>
      </c>
      <c r="D272" s="3">
        <f t="shared" si="34"/>
        <v>30.228285567323045</v>
      </c>
      <c r="E272" s="10" t="s">
        <v>237</v>
      </c>
      <c r="F272" s="10" t="s">
        <v>323</v>
      </c>
      <c r="G272" s="3">
        <f t="shared" si="36"/>
        <v>1.2499017362143359</v>
      </c>
      <c r="H272" s="3">
        <f t="shared" si="36"/>
        <v>4.2420459183694517</v>
      </c>
      <c r="I272" s="3">
        <f t="shared" si="35"/>
        <v>0.79306350860727126</v>
      </c>
    </row>
    <row r="273" spans="1:9" x14ac:dyDescent="0.25">
      <c r="A273" s="2" t="s">
        <v>344</v>
      </c>
      <c r="B273" s="3">
        <v>0.13</v>
      </c>
      <c r="C273" s="3">
        <v>20.99</v>
      </c>
      <c r="D273" s="3">
        <f t="shared" si="34"/>
        <v>81.793138023790448</v>
      </c>
      <c r="E273" s="10" t="s">
        <v>237</v>
      </c>
      <c r="F273" s="10" t="s">
        <v>323</v>
      </c>
      <c r="G273" s="3">
        <f t="shared" si="36"/>
        <v>-2.0402208285265546</v>
      </c>
      <c r="H273" s="3">
        <f t="shared" si="36"/>
        <v>3.0440461338325417</v>
      </c>
      <c r="I273" s="3">
        <f t="shared" si="35"/>
        <v>3.1642226524132777</v>
      </c>
    </row>
    <row r="274" spans="1:9" x14ac:dyDescent="0.25">
      <c r="A274" s="2" t="s">
        <v>345</v>
      </c>
      <c r="B274" s="3">
        <v>5.54</v>
      </c>
      <c r="C274" s="3">
        <v>51.01</v>
      </c>
      <c r="D274" s="3">
        <f t="shared" si="34"/>
        <v>16.292290570018089</v>
      </c>
      <c r="E274" s="10" t="s">
        <v>237</v>
      </c>
      <c r="F274" s="10" t="s">
        <v>323</v>
      </c>
      <c r="G274" s="3">
        <f t="shared" si="36"/>
        <v>1.7119945007591924</v>
      </c>
      <c r="H274" s="3">
        <f t="shared" si="36"/>
        <v>3.932021691934835</v>
      </c>
      <c r="I274" s="3">
        <f t="shared" si="35"/>
        <v>0.40475214259573067</v>
      </c>
    </row>
    <row r="275" spans="1:9" x14ac:dyDescent="0.25">
      <c r="A275" s="2" t="s">
        <v>346</v>
      </c>
      <c r="B275" s="3">
        <v>0.77</v>
      </c>
      <c r="C275" s="3">
        <v>14.72</v>
      </c>
      <c r="D275" s="3">
        <f t="shared" si="34"/>
        <v>17.521878312693623</v>
      </c>
      <c r="E275" s="10" t="s">
        <v>237</v>
      </c>
      <c r="F275" s="10" t="s">
        <v>323</v>
      </c>
      <c r="G275" s="3">
        <f t="shared" si="36"/>
        <v>-0.26136476413440751</v>
      </c>
      <c r="H275" s="3">
        <f t="shared" si="36"/>
        <v>2.6892071133007303</v>
      </c>
      <c r="I275" s="3">
        <f t="shared" si="35"/>
        <v>0.5494706293810292</v>
      </c>
    </row>
    <row r="276" spans="1:9" x14ac:dyDescent="0.25">
      <c r="A276" s="2" t="s">
        <v>347</v>
      </c>
      <c r="B276" s="3">
        <v>7.54</v>
      </c>
      <c r="C276" s="3">
        <v>78.680000000000007</v>
      </c>
      <c r="D276" s="3">
        <f t="shared" si="34"/>
        <v>20.462096131742662</v>
      </c>
      <c r="E276" s="10" t="s">
        <v>237</v>
      </c>
      <c r="F276" s="10" t="s">
        <v>323</v>
      </c>
      <c r="G276" s="3">
        <f t="shared" si="36"/>
        <v>2.0202221820198649</v>
      </c>
      <c r="H276" s="3">
        <f t="shared" si="36"/>
        <v>4.3653889935208587</v>
      </c>
      <c r="I276" s="3">
        <f t="shared" si="35"/>
        <v>0.49018159587374521</v>
      </c>
    </row>
    <row r="277" spans="1:9" x14ac:dyDescent="0.25">
      <c r="A277" s="2" t="s">
        <v>348</v>
      </c>
      <c r="B277" s="3">
        <v>1.25</v>
      </c>
      <c r="C277" s="3">
        <v>6.77</v>
      </c>
      <c r="D277" s="3">
        <f t="shared" si="34"/>
        <v>5.8342091406063412</v>
      </c>
      <c r="E277" s="10" t="s">
        <v>237</v>
      </c>
      <c r="F277" s="10" t="s">
        <v>323</v>
      </c>
      <c r="G277" s="3">
        <f t="shared" si="36"/>
        <v>0.22314355131420976</v>
      </c>
      <c r="H277" s="3">
        <f t="shared" si="36"/>
        <v>1.9125010869241836</v>
      </c>
      <c r="I277" s="3">
        <f t="shared" si="35"/>
        <v>0.1727863087033375</v>
      </c>
    </row>
    <row r="278" spans="1:9" x14ac:dyDescent="0.25">
      <c r="A278" s="2" t="s">
        <v>349</v>
      </c>
      <c r="B278" s="3">
        <v>0.48</v>
      </c>
      <c r="C278" s="3">
        <v>12.16</v>
      </c>
      <c r="D278" s="3">
        <f t="shared" si="34"/>
        <v>19.835329381922243</v>
      </c>
      <c r="E278" s="10" t="s">
        <v>237</v>
      </c>
      <c r="F278" s="10" t="s">
        <v>323</v>
      </c>
      <c r="G278" s="3">
        <f t="shared" si="36"/>
        <v>-0.73396917508020043</v>
      </c>
      <c r="H278" s="3">
        <f t="shared" si="36"/>
        <v>2.4981518765380208</v>
      </c>
      <c r="I278" s="3">
        <f t="shared" si="35"/>
        <v>0.65770254326391997</v>
      </c>
    </row>
    <row r="279" spans="1:9" x14ac:dyDescent="0.25">
      <c r="A279" s="2" t="s">
        <v>350</v>
      </c>
      <c r="B279" s="3">
        <v>0.35</v>
      </c>
      <c r="C279" s="3">
        <v>6.08</v>
      </c>
      <c r="D279" s="3">
        <f t="shared" si="34"/>
        <v>12.24216465455844</v>
      </c>
      <c r="E279" s="10" t="s">
        <v>237</v>
      </c>
      <c r="F279" s="10" t="s">
        <v>323</v>
      </c>
      <c r="G279" s="3">
        <f t="shared" si="36"/>
        <v>-1.0498221244986778</v>
      </c>
      <c r="H279" s="3">
        <f t="shared" si="36"/>
        <v>1.8050046959780757</v>
      </c>
      <c r="I279" s="3">
        <f t="shared" si="35"/>
        <v>0.42134644122381193</v>
      </c>
    </row>
    <row r="280" spans="1:9" x14ac:dyDescent="0.25">
      <c r="A280" s="2" t="s">
        <v>351</v>
      </c>
      <c r="B280" s="3">
        <v>2.91</v>
      </c>
      <c r="C280" s="3">
        <v>60.04</v>
      </c>
      <c r="D280" s="3">
        <f t="shared" si="34"/>
        <v>29.456333683943321</v>
      </c>
      <c r="E280" s="10" t="s">
        <v>237</v>
      </c>
      <c r="F280" s="10" t="s">
        <v>323</v>
      </c>
      <c r="G280" s="3">
        <f t="shared" si="36"/>
        <v>1.0681530811834012</v>
      </c>
      <c r="H280" s="3">
        <f t="shared" si="36"/>
        <v>4.0950110067652608</v>
      </c>
      <c r="I280" s="3">
        <f t="shared" si="35"/>
        <v>0.78956847570995548</v>
      </c>
    </row>
    <row r="281" spans="1:9" x14ac:dyDescent="0.25">
      <c r="A281" s="2" t="s">
        <v>352</v>
      </c>
      <c r="B281" s="3">
        <v>0.35</v>
      </c>
      <c r="C281" s="3">
        <v>11.28</v>
      </c>
      <c r="D281" s="3">
        <f t="shared" si="34"/>
        <v>22.71243705648342</v>
      </c>
      <c r="E281" s="10" t="s">
        <v>237</v>
      </c>
      <c r="F281" s="10" t="s">
        <v>323</v>
      </c>
      <c r="G281" s="3">
        <f t="shared" si="36"/>
        <v>-1.0498221244986778</v>
      </c>
      <c r="H281" s="3">
        <f t="shared" si="36"/>
        <v>2.4230312460699128</v>
      </c>
      <c r="I281" s="3">
        <f t="shared" si="35"/>
        <v>0.78170852911259836</v>
      </c>
    </row>
    <row r="282" spans="1:9" x14ac:dyDescent="0.25">
      <c r="A282" s="2" t="s">
        <v>353</v>
      </c>
      <c r="B282" s="3">
        <v>0.72</v>
      </c>
      <c r="C282" s="3">
        <v>3.92</v>
      </c>
      <c r="D282" s="3">
        <f t="shared" si="34"/>
        <v>4.8797518351400235</v>
      </c>
      <c r="E282" s="10" t="s">
        <v>237</v>
      </c>
      <c r="F282" s="10" t="s">
        <v>323</v>
      </c>
      <c r="G282" s="3">
        <f t="shared" si="36"/>
        <v>-0.3285040669720361</v>
      </c>
      <c r="H282" s="3">
        <f t="shared" si="36"/>
        <v>1.3660916538023711</v>
      </c>
      <c r="I282" s="3">
        <f t="shared" si="35"/>
        <v>0.15424219689841687</v>
      </c>
    </row>
    <row r="283" spans="1:9" x14ac:dyDescent="0.25">
      <c r="A283" s="2" t="s">
        <v>354</v>
      </c>
      <c r="B283" s="3">
        <v>0.32</v>
      </c>
      <c r="C283" s="3">
        <v>6.18</v>
      </c>
      <c r="D283" s="3">
        <f t="shared" si="34"/>
        <v>13.209564188077483</v>
      </c>
      <c r="E283" s="10" t="s">
        <v>237</v>
      </c>
      <c r="F283" s="10" t="s">
        <v>323</v>
      </c>
      <c r="G283" s="3">
        <f t="shared" si="36"/>
        <v>-1.1394342831883648</v>
      </c>
      <c r="H283" s="3">
        <f t="shared" si="36"/>
        <v>1.8213182714695995</v>
      </c>
      <c r="I283" s="3">
        <f t="shared" si="35"/>
        <v>0.45947642396949939</v>
      </c>
    </row>
    <row r="284" spans="1:9" x14ac:dyDescent="0.25">
      <c r="A284" s="2" t="s">
        <v>345</v>
      </c>
      <c r="B284" s="3">
        <v>5.54</v>
      </c>
      <c r="C284" s="3">
        <v>77.2</v>
      </c>
      <c r="D284" s="3">
        <f t="shared" si="34"/>
        <v>24.657220780344964</v>
      </c>
      <c r="E284" s="10" t="s">
        <v>237</v>
      </c>
      <c r="F284" s="10" t="s">
        <v>323</v>
      </c>
      <c r="G284" s="3">
        <f t="shared" si="36"/>
        <v>1.7119945007591924</v>
      </c>
      <c r="H284" s="3">
        <f t="shared" si="36"/>
        <v>4.3463994570307305</v>
      </c>
      <c r="I284" s="3">
        <f t="shared" si="35"/>
        <v>0.6125635249635446</v>
      </c>
    </row>
    <row r="285" spans="1:9" x14ac:dyDescent="0.25">
      <c r="A285" s="2" t="s">
        <v>347</v>
      </c>
      <c r="B285" s="3">
        <v>7.54</v>
      </c>
      <c r="C285" s="3">
        <v>76.62</v>
      </c>
      <c r="D285" s="3">
        <f t="shared" si="34"/>
        <v>19.926357468405222</v>
      </c>
      <c r="E285" s="10" t="s">
        <v>237</v>
      </c>
      <c r="F285" s="10" t="s">
        <v>323</v>
      </c>
      <c r="G285" s="3">
        <f t="shared" si="36"/>
        <v>2.0202221820198649</v>
      </c>
      <c r="H285" s="3">
        <f t="shared" si="36"/>
        <v>4.338858139272503</v>
      </c>
      <c r="I285" s="3">
        <f t="shared" si="35"/>
        <v>0.47734765983536293</v>
      </c>
    </row>
    <row r="286" spans="1:9" x14ac:dyDescent="0.25">
      <c r="A286" s="2" t="s">
        <v>354</v>
      </c>
      <c r="B286" s="3">
        <v>0.32</v>
      </c>
      <c r="C286" s="3">
        <v>6.97</v>
      </c>
      <c r="D286" s="3">
        <f t="shared" si="34"/>
        <v>14.89816543542072</v>
      </c>
      <c r="E286" s="10" t="s">
        <v>237</v>
      </c>
      <c r="F286" s="10" t="s">
        <v>323</v>
      </c>
      <c r="G286" s="3">
        <f t="shared" si="36"/>
        <v>-1.1394342831883648</v>
      </c>
      <c r="H286" s="3">
        <f t="shared" si="36"/>
        <v>1.9416152247724325</v>
      </c>
      <c r="I286" s="3">
        <f t="shared" si="35"/>
        <v>0.51821208334424118</v>
      </c>
    </row>
    <row r="287" spans="1:9" x14ac:dyDescent="0.25">
      <c r="A287" s="2" t="s">
        <v>355</v>
      </c>
      <c r="B287" s="3">
        <v>9.1</v>
      </c>
      <c r="C287" s="3">
        <v>93.39</v>
      </c>
      <c r="D287" s="3">
        <f t="shared" si="34"/>
        <v>21.425918429931812</v>
      </c>
      <c r="E287" s="10" t="s">
        <v>237</v>
      </c>
      <c r="F287" s="10" t="s">
        <v>323</v>
      </c>
      <c r="G287" s="3">
        <f t="shared" si="36"/>
        <v>2.2082744135228043</v>
      </c>
      <c r="H287" s="3">
        <f t="shared" si="36"/>
        <v>4.5367842731216266</v>
      </c>
      <c r="I287" s="3">
        <f t="shared" si="35"/>
        <v>0.50200326307119136</v>
      </c>
    </row>
    <row r="288" spans="1:9" x14ac:dyDescent="0.25">
      <c r="A288" s="2" t="s">
        <v>356</v>
      </c>
      <c r="B288" s="3">
        <v>9.1</v>
      </c>
      <c r="C288" s="3">
        <v>108.4</v>
      </c>
      <c r="D288" s="3">
        <f t="shared" si="34"/>
        <v>24.869574449133832</v>
      </c>
      <c r="E288" s="10" t="s">
        <v>237</v>
      </c>
      <c r="F288" s="10" t="s">
        <v>323</v>
      </c>
      <c r="G288" s="3">
        <f t="shared" si="36"/>
        <v>2.2082744135228043</v>
      </c>
      <c r="H288" s="3">
        <f t="shared" si="36"/>
        <v>4.6858280890055459</v>
      </c>
      <c r="I288" s="3">
        <f t="shared" si="35"/>
        <v>0.58268715833512308</v>
      </c>
    </row>
    <row r="289" spans="1:9" x14ac:dyDescent="0.25">
      <c r="A289" s="2" t="s">
        <v>352</v>
      </c>
      <c r="B289" s="3">
        <v>0.35</v>
      </c>
      <c r="C289" s="3">
        <v>8.93</v>
      </c>
      <c r="D289" s="3">
        <f t="shared" si="34"/>
        <v>17.980679336382707</v>
      </c>
      <c r="E289" s="10" t="s">
        <v>237</v>
      </c>
      <c r="F289" s="10" t="s">
        <v>323</v>
      </c>
      <c r="G289" s="3">
        <f t="shared" si="36"/>
        <v>-1.0498221244986778</v>
      </c>
      <c r="H289" s="3">
        <f>LN(C289)</f>
        <v>2.1894163948884078</v>
      </c>
      <c r="I289" s="3">
        <f t="shared" si="35"/>
        <v>0.6188525855474738</v>
      </c>
    </row>
    <row r="290" spans="1:9" x14ac:dyDescent="0.25">
      <c r="A290" s="2" t="s">
        <v>357</v>
      </c>
      <c r="B290" s="3">
        <v>4.7</v>
      </c>
      <c r="C290" s="3">
        <v>136</v>
      </c>
      <c r="D290" s="3">
        <f t="shared" si="34"/>
        <v>48.47007254678806</v>
      </c>
      <c r="E290" s="10" t="s">
        <v>237</v>
      </c>
      <c r="F290" s="10" t="s">
        <v>358</v>
      </c>
      <c r="G290" s="3">
        <f t="shared" si="36"/>
        <v>1.547562508716013</v>
      </c>
      <c r="H290" s="3">
        <f t="shared" si="36"/>
        <v>4.9126548857360524</v>
      </c>
      <c r="I290" s="3">
        <f t="shared" si="35"/>
        <v>1.2277492132695678</v>
      </c>
    </row>
    <row r="291" spans="1:9" x14ac:dyDescent="0.25">
      <c r="A291" s="2" t="s">
        <v>359</v>
      </c>
      <c r="B291" s="3">
        <v>37.4</v>
      </c>
      <c r="C291" s="3">
        <v>1031</v>
      </c>
      <c r="D291" s="3">
        <f t="shared" si="34"/>
        <v>92.188680118408641</v>
      </c>
      <c r="E291" s="10" t="s">
        <v>237</v>
      </c>
      <c r="F291" s="10" t="s">
        <v>358</v>
      </c>
      <c r="G291" s="3">
        <f t="shared" si="36"/>
        <v>3.6216707044204863</v>
      </c>
      <c r="H291" s="3">
        <f t="shared" si="36"/>
        <v>6.9382844840169602</v>
      </c>
      <c r="I291" s="3">
        <f t="shared" si="35"/>
        <v>1.8280676541174832</v>
      </c>
    </row>
    <row r="292" spans="1:9" x14ac:dyDescent="0.25">
      <c r="A292" s="2" t="s">
        <v>26</v>
      </c>
      <c r="B292" s="3">
        <v>127.4</v>
      </c>
      <c r="C292" s="3">
        <v>1723</v>
      </c>
      <c r="D292" s="3">
        <f t="shared" si="34"/>
        <v>68.051702088231892</v>
      </c>
      <c r="E292" s="10" t="s">
        <v>237</v>
      </c>
      <c r="F292" s="10" t="s">
        <v>358</v>
      </c>
      <c r="G292" s="3">
        <f t="shared" si="36"/>
        <v>4.8473317431380627</v>
      </c>
      <c r="H292" s="3">
        <f t="shared" si="36"/>
        <v>7.4518222365279296</v>
      </c>
      <c r="I292" s="3">
        <f t="shared" si="35"/>
        <v>1.1676825028331534</v>
      </c>
    </row>
    <row r="293" spans="1:9" x14ac:dyDescent="0.25">
      <c r="A293" s="2" t="s">
        <v>360</v>
      </c>
      <c r="B293" s="3">
        <v>49.9</v>
      </c>
      <c r="C293" s="3">
        <v>1511</v>
      </c>
      <c r="D293" s="3">
        <f t="shared" si="34"/>
        <v>111.48012164191542</v>
      </c>
      <c r="E293" s="10" t="s">
        <v>237</v>
      </c>
      <c r="F293" s="10" t="s">
        <v>358</v>
      </c>
      <c r="G293" s="3">
        <f t="shared" si="36"/>
        <v>3.9100210027574729</v>
      </c>
      <c r="H293" s="3">
        <f t="shared" si="36"/>
        <v>7.3205269622727398</v>
      </c>
      <c r="I293" s="3">
        <f t="shared" si="35"/>
        <v>2.1366378200334371</v>
      </c>
    </row>
    <row r="294" spans="1:9" x14ac:dyDescent="0.25">
      <c r="A294" s="2" t="s">
        <v>27</v>
      </c>
      <c r="B294" s="3">
        <v>63.55</v>
      </c>
      <c r="C294" s="3">
        <v>607.74</v>
      </c>
      <c r="D294" s="3">
        <f t="shared" si="34"/>
        <v>38.162848645623406</v>
      </c>
      <c r="E294" s="10" t="s">
        <v>234</v>
      </c>
      <c r="F294" s="10" t="s">
        <v>584</v>
      </c>
      <c r="G294" s="3">
        <f t="shared" si="36"/>
        <v>4.1518269976354629</v>
      </c>
      <c r="H294" s="3">
        <f t="shared" si="36"/>
        <v>6.4097471589267609</v>
      </c>
      <c r="I294" s="3">
        <f t="shared" si="35"/>
        <v>0.71085167461006427</v>
      </c>
    </row>
    <row r="295" spans="1:9" x14ac:dyDescent="0.25">
      <c r="A295" s="2" t="s">
        <v>552</v>
      </c>
      <c r="B295" s="3">
        <v>7.3</v>
      </c>
      <c r="C295" s="3">
        <v>369.3</v>
      </c>
      <c r="D295" s="3">
        <f t="shared" si="34"/>
        <v>98.136538247194125</v>
      </c>
      <c r="E295" s="10" t="s">
        <v>234</v>
      </c>
      <c r="F295" s="10" t="s">
        <v>583</v>
      </c>
      <c r="G295" s="3">
        <f t="shared" si="36"/>
        <v>1.9878743481543455</v>
      </c>
      <c r="H295" s="3">
        <f t="shared" si="36"/>
        <v>5.911609321858518</v>
      </c>
      <c r="I295" s="3">
        <f t="shared" si="35"/>
        <v>2.3599119779468505</v>
      </c>
    </row>
    <row r="296" spans="1:9" x14ac:dyDescent="0.25">
      <c r="A296" s="2" t="s">
        <v>552</v>
      </c>
      <c r="B296" s="3">
        <v>6.3</v>
      </c>
      <c r="C296" s="3">
        <v>286.2</v>
      </c>
      <c r="D296" s="3">
        <f t="shared" si="34"/>
        <v>83.902698663201576</v>
      </c>
      <c r="E296" s="10" t="s">
        <v>234</v>
      </c>
      <c r="F296" s="10" t="s">
        <v>583</v>
      </c>
      <c r="G296" s="3">
        <f t="shared" si="36"/>
        <v>1.8405496333974869</v>
      </c>
      <c r="H296" s="3">
        <f t="shared" si="36"/>
        <v>5.6566908671223501</v>
      </c>
      <c r="I296" s="3">
        <f>C296/EXP(0.7847*LN(B296)+3.4931)</f>
        <v>2.0530193634916118</v>
      </c>
    </row>
    <row r="297" spans="1:9" x14ac:dyDescent="0.25">
      <c r="A297" s="29" t="s">
        <v>361</v>
      </c>
      <c r="B297" s="29"/>
      <c r="C297" s="29"/>
      <c r="D297" s="29"/>
      <c r="E297" s="29"/>
      <c r="F297" s="29"/>
      <c r="G297" s="30"/>
      <c r="H297" s="30"/>
      <c r="I297" s="3"/>
    </row>
    <row r="298" spans="1:9" x14ac:dyDescent="0.25">
      <c r="A298" s="2" t="s">
        <v>107</v>
      </c>
      <c r="B298" s="3">
        <f>63/1000</f>
        <v>6.3E-2</v>
      </c>
      <c r="C298" s="3">
        <v>13.98</v>
      </c>
      <c r="D298" s="3">
        <f t="shared" ref="D298:D321" si="37">C298*(1/B298)^(2/3)</f>
        <v>88.297174232367539</v>
      </c>
      <c r="E298" s="10" t="s">
        <v>234</v>
      </c>
      <c r="F298" s="10" t="s">
        <v>362</v>
      </c>
      <c r="G298" s="3">
        <f t="shared" ref="G298:H313" si="38">LN(B298)</f>
        <v>-2.7646205525906042</v>
      </c>
      <c r="H298" s="3">
        <f t="shared" si="38"/>
        <v>2.6376277368056642</v>
      </c>
      <c r="I298" s="3">
        <f>C298/EXP(0.5625*LN(B298)+4.3006)</f>
        <v>0.89774142070552942</v>
      </c>
    </row>
    <row r="299" spans="1:9" x14ac:dyDescent="0.25">
      <c r="A299" s="2" t="s">
        <v>363</v>
      </c>
      <c r="B299" s="3">
        <f>153/1000</f>
        <v>0.153</v>
      </c>
      <c r="C299" s="3">
        <v>50.61</v>
      </c>
      <c r="D299" s="3">
        <f t="shared" si="37"/>
        <v>176.91936968570204</v>
      </c>
      <c r="E299" s="10" t="s">
        <v>234</v>
      </c>
      <c r="F299" s="10" t="s">
        <v>362</v>
      </c>
      <c r="G299" s="3">
        <f t="shared" si="38"/>
        <v>-1.8773173575897015</v>
      </c>
      <c r="H299" s="3">
        <f t="shared" si="38"/>
        <v>3.9241491852259864</v>
      </c>
      <c r="I299" s="3">
        <f t="shared" ref="I299:I320" si="39">C299/EXP(0.5625*LN(B299)+4.3006)</f>
        <v>1.9729703496428244</v>
      </c>
    </row>
    <row r="300" spans="1:9" x14ac:dyDescent="0.25">
      <c r="A300" s="2" t="s">
        <v>364</v>
      </c>
      <c r="B300" s="3">
        <f>34/1000</f>
        <v>3.4000000000000002E-2</v>
      </c>
      <c r="C300" s="3">
        <v>12.88</v>
      </c>
      <c r="D300" s="3">
        <f t="shared" si="37"/>
        <v>122.72411764839407</v>
      </c>
      <c r="E300" s="10" t="s">
        <v>234</v>
      </c>
      <c r="F300" s="10" t="s">
        <v>362</v>
      </c>
      <c r="G300" s="3">
        <f t="shared" si="38"/>
        <v>-3.3813947543659757</v>
      </c>
      <c r="H300" s="3">
        <f t="shared" si="38"/>
        <v>2.5556757206762075</v>
      </c>
      <c r="I300" s="3">
        <f t="shared" si="39"/>
        <v>1.1701246364390561</v>
      </c>
    </row>
    <row r="301" spans="1:9" x14ac:dyDescent="0.25">
      <c r="A301" s="2" t="s">
        <v>365</v>
      </c>
      <c r="B301" s="3">
        <f>321/1000</f>
        <v>0.32100000000000001</v>
      </c>
      <c r="C301" s="3">
        <v>30.26</v>
      </c>
      <c r="D301" s="3">
        <f t="shared" si="37"/>
        <v>64.545440454621826</v>
      </c>
      <c r="E301" s="10" t="s">
        <v>234</v>
      </c>
      <c r="F301" s="10" t="s">
        <v>362</v>
      </c>
      <c r="G301" s="3">
        <f t="shared" si="38"/>
        <v>-1.1363141558521213</v>
      </c>
      <c r="H301" s="3">
        <f t="shared" si="38"/>
        <v>3.4098267083602098</v>
      </c>
      <c r="I301" s="3">
        <f t="shared" si="39"/>
        <v>0.77755835819565311</v>
      </c>
    </row>
    <row r="302" spans="1:9" x14ac:dyDescent="0.25">
      <c r="A302" s="2" t="s">
        <v>366</v>
      </c>
      <c r="B302" s="3">
        <f>34/1000</f>
        <v>3.4000000000000002E-2</v>
      </c>
      <c r="C302" s="3">
        <v>11.45</v>
      </c>
      <c r="D302" s="3">
        <f t="shared" si="37"/>
        <v>109.09869154302112</v>
      </c>
      <c r="E302" s="10" t="s">
        <v>234</v>
      </c>
      <c r="F302" s="10" t="s">
        <v>362</v>
      </c>
      <c r="G302" s="3">
        <f t="shared" si="38"/>
        <v>-3.3813947543659757</v>
      </c>
      <c r="H302" s="3">
        <f t="shared" si="38"/>
        <v>2.4379897300002487</v>
      </c>
      <c r="I302" s="3">
        <f t="shared" si="39"/>
        <v>1.0402117303747818</v>
      </c>
    </row>
    <row r="303" spans="1:9" x14ac:dyDescent="0.25">
      <c r="A303" s="2" t="s">
        <v>367</v>
      </c>
      <c r="B303" s="3">
        <f>6.5/1000</f>
        <v>6.4999999999999997E-3</v>
      </c>
      <c r="C303" s="3">
        <v>4.6399999999999997</v>
      </c>
      <c r="D303" s="3">
        <f t="shared" si="37"/>
        <v>133.22193667409255</v>
      </c>
      <c r="E303" s="10" t="s">
        <v>234</v>
      </c>
      <c r="F303" s="10" t="s">
        <v>362</v>
      </c>
      <c r="G303" s="3">
        <f t="shared" si="38"/>
        <v>-5.0359531020805459</v>
      </c>
      <c r="H303" s="3">
        <f t="shared" si="38"/>
        <v>1.5347143662381639</v>
      </c>
      <c r="I303" s="3">
        <f t="shared" si="39"/>
        <v>1.0691222515393868</v>
      </c>
    </row>
    <row r="304" spans="1:9" x14ac:dyDescent="0.25">
      <c r="A304" s="2" t="s">
        <v>99</v>
      </c>
      <c r="B304" s="3">
        <f>23/1000</f>
        <v>2.3E-2</v>
      </c>
      <c r="C304" s="3">
        <v>10</v>
      </c>
      <c r="D304" s="3">
        <f t="shared" si="37"/>
        <v>123.64639042832894</v>
      </c>
      <c r="E304" s="10" t="s">
        <v>234</v>
      </c>
      <c r="F304" s="10" t="s">
        <v>362</v>
      </c>
      <c r="G304" s="3">
        <f t="shared" si="38"/>
        <v>-3.7722610630529876</v>
      </c>
      <c r="H304" s="3">
        <f t="shared" si="38"/>
        <v>2.3025850929940459</v>
      </c>
      <c r="I304" s="3">
        <f t="shared" si="39"/>
        <v>1.131882234182382</v>
      </c>
    </row>
    <row r="305" spans="1:9" x14ac:dyDescent="0.25">
      <c r="A305" s="2" t="s">
        <v>92</v>
      </c>
      <c r="B305" s="3">
        <f>21/1000</f>
        <v>2.1000000000000001E-2</v>
      </c>
      <c r="C305" s="3">
        <v>8.83</v>
      </c>
      <c r="D305" s="3">
        <f t="shared" si="37"/>
        <v>116.00619274973944</v>
      </c>
      <c r="E305" s="10" t="s">
        <v>234</v>
      </c>
      <c r="F305" s="10" t="s">
        <v>362</v>
      </c>
      <c r="G305" s="3">
        <f t="shared" si="38"/>
        <v>-3.8632328412587138</v>
      </c>
      <c r="H305" s="3">
        <f t="shared" si="38"/>
        <v>2.1781550146158688</v>
      </c>
      <c r="I305" s="3">
        <f t="shared" si="39"/>
        <v>1.0519267554807212</v>
      </c>
    </row>
    <row r="306" spans="1:9" x14ac:dyDescent="0.25">
      <c r="A306" s="2" t="s">
        <v>368</v>
      </c>
      <c r="B306" s="3">
        <f>11.5/1000</f>
        <v>1.15E-2</v>
      </c>
      <c r="C306" s="3">
        <v>7.67</v>
      </c>
      <c r="D306" s="3">
        <f t="shared" si="37"/>
        <v>150.54400665254599</v>
      </c>
      <c r="E306" s="10" t="s">
        <v>234</v>
      </c>
      <c r="F306" s="10" t="s">
        <v>362</v>
      </c>
      <c r="G306" s="3">
        <f t="shared" si="38"/>
        <v>-4.4654082436129325</v>
      </c>
      <c r="H306" s="3">
        <f t="shared" si="38"/>
        <v>2.0373166153791646</v>
      </c>
      <c r="I306" s="3">
        <f t="shared" si="39"/>
        <v>1.2821120438923217</v>
      </c>
    </row>
    <row r="307" spans="1:9" x14ac:dyDescent="0.25">
      <c r="A307" s="2" t="s">
        <v>369</v>
      </c>
      <c r="B307" s="3">
        <f>105/1000</f>
        <v>0.105</v>
      </c>
      <c r="C307" s="3">
        <v>19.87</v>
      </c>
      <c r="D307" s="3">
        <f t="shared" si="37"/>
        <v>89.276742275132875</v>
      </c>
      <c r="E307" s="10" t="s">
        <v>234</v>
      </c>
      <c r="F307" s="10" t="s">
        <v>362</v>
      </c>
      <c r="G307" s="3">
        <f t="shared" si="38"/>
        <v>-2.2537949288246137</v>
      </c>
      <c r="H307" s="3">
        <f t="shared" si="38"/>
        <v>2.9892110565637253</v>
      </c>
      <c r="I307" s="3">
        <f t="shared" si="39"/>
        <v>0.95730876992041969</v>
      </c>
    </row>
    <row r="308" spans="1:9" x14ac:dyDescent="0.25">
      <c r="A308" s="2" t="s">
        <v>130</v>
      </c>
      <c r="B308" s="3">
        <f>588/1000</f>
        <v>0.58799999999999997</v>
      </c>
      <c r="C308" s="3">
        <v>72.95</v>
      </c>
      <c r="D308" s="3">
        <f t="shared" si="37"/>
        <v>103.937853949849</v>
      </c>
      <c r="E308" s="10" t="s">
        <v>234</v>
      </c>
      <c r="F308" s="10" t="s">
        <v>362</v>
      </c>
      <c r="G308" s="3">
        <f t="shared" si="38"/>
        <v>-0.53102833108351022</v>
      </c>
      <c r="H308" s="3">
        <f t="shared" si="38"/>
        <v>4.2897742749687948</v>
      </c>
      <c r="I308" s="3">
        <f t="shared" si="39"/>
        <v>1.333594210519996</v>
      </c>
    </row>
    <row r="309" spans="1:9" x14ac:dyDescent="0.25">
      <c r="A309" s="2" t="s">
        <v>121</v>
      </c>
      <c r="B309" s="3">
        <f>144/1000</f>
        <v>0.14399999999999999</v>
      </c>
      <c r="C309" s="3">
        <v>21.05</v>
      </c>
      <c r="D309" s="3">
        <f t="shared" si="37"/>
        <v>76.620286594579539</v>
      </c>
      <c r="E309" s="10" t="s">
        <v>234</v>
      </c>
      <c r="F309" s="10" t="s">
        <v>362</v>
      </c>
      <c r="G309" s="3">
        <f t="shared" si="38"/>
        <v>-1.9379419794061366</v>
      </c>
      <c r="H309" s="3">
        <f t="shared" si="38"/>
        <v>3.0469005601283903</v>
      </c>
      <c r="I309" s="3">
        <f t="shared" si="39"/>
        <v>0.84907557813043666</v>
      </c>
    </row>
    <row r="310" spans="1:9" x14ac:dyDescent="0.25">
      <c r="A310" s="2" t="s">
        <v>370</v>
      </c>
      <c r="B310" s="3">
        <f>24.5/1000</f>
        <v>2.4500000000000001E-2</v>
      </c>
      <c r="C310" s="3">
        <v>7.63</v>
      </c>
      <c r="D310" s="3">
        <f t="shared" si="37"/>
        <v>90.451092136920522</v>
      </c>
      <c r="E310" s="10" t="s">
        <v>234</v>
      </c>
      <c r="F310" s="10" t="s">
        <v>362</v>
      </c>
      <c r="G310" s="3">
        <f t="shared" si="38"/>
        <v>-3.7090821614314557</v>
      </c>
      <c r="H310" s="3">
        <f t="shared" si="38"/>
        <v>2.0320878452963655</v>
      </c>
      <c r="I310" s="3">
        <f t="shared" si="39"/>
        <v>0.8334734433567661</v>
      </c>
    </row>
    <row r="311" spans="1:9" x14ac:dyDescent="0.25">
      <c r="A311" s="2" t="s">
        <v>32</v>
      </c>
      <c r="B311" s="3">
        <v>0.55500000000000005</v>
      </c>
      <c r="C311" s="3">
        <v>46.679653999999992</v>
      </c>
      <c r="D311" s="3">
        <f t="shared" si="37"/>
        <v>69.119242970866239</v>
      </c>
      <c r="E311" s="10" t="s">
        <v>234</v>
      </c>
      <c r="F311" s="10" t="s">
        <v>371</v>
      </c>
      <c r="G311" s="3">
        <f t="shared" si="38"/>
        <v>-0.5887871652357024</v>
      </c>
      <c r="H311" s="3">
        <f t="shared" si="38"/>
        <v>3.843308395222933</v>
      </c>
      <c r="I311" s="3">
        <f t="shared" si="39"/>
        <v>0.88152772609000785</v>
      </c>
    </row>
    <row r="312" spans="1:9" x14ac:dyDescent="0.25">
      <c r="A312" s="2" t="s">
        <v>32</v>
      </c>
      <c r="B312" s="3">
        <v>0.53500000000000003</v>
      </c>
      <c r="C312" s="3">
        <v>25.791489499999997</v>
      </c>
      <c r="D312" s="3">
        <f t="shared" si="37"/>
        <v>39.13577177472181</v>
      </c>
      <c r="E312" s="10" t="s">
        <v>234</v>
      </c>
      <c r="F312" s="10" t="s">
        <v>371</v>
      </c>
      <c r="G312" s="3">
        <f t="shared" si="38"/>
        <v>-0.62548853208613042</v>
      </c>
      <c r="H312" s="3">
        <f t="shared" si="38"/>
        <v>3.2500445731692773</v>
      </c>
      <c r="I312" s="3">
        <f t="shared" si="39"/>
        <v>0.49722227098835131</v>
      </c>
    </row>
    <row r="313" spans="1:9" x14ac:dyDescent="0.25">
      <c r="A313" s="2" t="s">
        <v>32</v>
      </c>
      <c r="B313" s="3">
        <v>0.51</v>
      </c>
      <c r="C313" s="3">
        <v>44.424124499999998</v>
      </c>
      <c r="D313" s="3">
        <f t="shared" si="37"/>
        <v>69.594047225757208</v>
      </c>
      <c r="E313" s="10" t="s">
        <v>234</v>
      </c>
      <c r="F313" s="10" t="s">
        <v>371</v>
      </c>
      <c r="G313" s="3">
        <f t="shared" si="38"/>
        <v>-0.67334455326376563</v>
      </c>
      <c r="H313" s="3">
        <f t="shared" si="38"/>
        <v>3.7937826664745469</v>
      </c>
      <c r="I313" s="3">
        <f t="shared" si="39"/>
        <v>0.87979969009308479</v>
      </c>
    </row>
    <row r="314" spans="1:9" x14ac:dyDescent="0.25">
      <c r="A314" s="2" t="s">
        <v>32</v>
      </c>
      <c r="B314" s="3">
        <v>0.43</v>
      </c>
      <c r="C314" s="3">
        <v>41.776328999999997</v>
      </c>
      <c r="D314" s="3">
        <f t="shared" si="37"/>
        <v>73.330498549255609</v>
      </c>
      <c r="E314" s="10" t="s">
        <v>234</v>
      </c>
      <c r="F314" s="10" t="s">
        <v>371</v>
      </c>
      <c r="G314" s="3">
        <f t="shared" ref="G314:H321" si="40">LN(B314)</f>
        <v>-0.84397007029452897</v>
      </c>
      <c r="H314" s="3">
        <f t="shared" si="40"/>
        <v>3.7323298872608834</v>
      </c>
      <c r="I314" s="3">
        <f t="shared" si="39"/>
        <v>0.91070436791884879</v>
      </c>
    </row>
    <row r="315" spans="1:9" x14ac:dyDescent="0.25">
      <c r="A315" s="2" t="s">
        <v>32</v>
      </c>
      <c r="B315" s="3">
        <v>0.35</v>
      </c>
      <c r="C315" s="3">
        <v>50.259081249999994</v>
      </c>
      <c r="D315" s="3">
        <f t="shared" si="37"/>
        <v>101.19735987653466</v>
      </c>
      <c r="E315" s="10" t="s">
        <v>234</v>
      </c>
      <c r="F315" s="10" t="s">
        <v>371</v>
      </c>
      <c r="G315" s="3">
        <f t="shared" si="40"/>
        <v>-1.0498221244986778</v>
      </c>
      <c r="H315" s="3">
        <f t="shared" si="40"/>
        <v>3.9171912520040761</v>
      </c>
      <c r="I315" s="3">
        <f t="shared" si="39"/>
        <v>1.2301255004119624</v>
      </c>
    </row>
    <row r="316" spans="1:9" x14ac:dyDescent="0.25">
      <c r="A316" s="2" t="s">
        <v>32</v>
      </c>
      <c r="B316" s="3">
        <v>0.33500000000000002</v>
      </c>
      <c r="C316" s="3">
        <v>34.715541000000002</v>
      </c>
      <c r="D316" s="3">
        <f t="shared" si="37"/>
        <v>71.971529621794204</v>
      </c>
      <c r="E316" s="10" t="s">
        <v>234</v>
      </c>
      <c r="F316" s="10" t="s">
        <v>371</v>
      </c>
      <c r="G316" s="3">
        <f t="shared" si="40"/>
        <v>-1.0936247471570706</v>
      </c>
      <c r="H316" s="3">
        <f t="shared" si="40"/>
        <v>3.5471874541252877</v>
      </c>
      <c r="I316" s="3">
        <f t="shared" si="39"/>
        <v>0.87088214123301255</v>
      </c>
    </row>
    <row r="317" spans="1:9" x14ac:dyDescent="0.25">
      <c r="A317" s="2" t="s">
        <v>32</v>
      </c>
      <c r="B317" s="3">
        <v>0.33</v>
      </c>
      <c r="C317" s="3">
        <v>31.38128</v>
      </c>
      <c r="D317" s="3">
        <f t="shared" si="37"/>
        <v>65.714523121056175</v>
      </c>
      <c r="E317" s="10" t="s">
        <v>234</v>
      </c>
      <c r="F317" s="10" t="s">
        <v>371</v>
      </c>
      <c r="G317" s="3">
        <f t="shared" si="40"/>
        <v>-1.1086626245216111</v>
      </c>
      <c r="H317" s="3">
        <f t="shared" si="40"/>
        <v>3.446211536785285</v>
      </c>
      <c r="I317" s="3">
        <f t="shared" si="39"/>
        <v>0.79392543166782503</v>
      </c>
    </row>
    <row r="318" spans="1:9" x14ac:dyDescent="0.25">
      <c r="A318" s="2" t="s">
        <v>32</v>
      </c>
      <c r="B318" s="3">
        <v>0.31</v>
      </c>
      <c r="C318" s="3">
        <v>37.588889449999996</v>
      </c>
      <c r="D318" s="3">
        <f t="shared" si="37"/>
        <v>82.063814294827694</v>
      </c>
      <c r="E318" s="10" t="s">
        <v>234</v>
      </c>
      <c r="F318" s="10" t="s">
        <v>371</v>
      </c>
      <c r="G318" s="3">
        <f t="shared" si="40"/>
        <v>-1.1711829815029451</v>
      </c>
      <c r="H318" s="3">
        <f t="shared" si="40"/>
        <v>3.6267085133780221</v>
      </c>
      <c r="I318" s="3">
        <f t="shared" si="39"/>
        <v>0.98501238968714511</v>
      </c>
    </row>
    <row r="319" spans="1:9" x14ac:dyDescent="0.25">
      <c r="A319" s="2" t="s">
        <v>32</v>
      </c>
      <c r="B319" s="3">
        <v>0.30499999999999999</v>
      </c>
      <c r="C319" s="3">
        <v>34.813607499999996</v>
      </c>
      <c r="D319" s="3">
        <f t="shared" si="37"/>
        <v>76.833237928020012</v>
      </c>
      <c r="E319" s="10" t="s">
        <v>234</v>
      </c>
      <c r="F319" s="10" t="s">
        <v>371</v>
      </c>
      <c r="G319" s="3">
        <f t="shared" si="40"/>
        <v>-1.1874435023747254</v>
      </c>
      <c r="H319" s="3">
        <f t="shared" si="40"/>
        <v>3.5500083304669285</v>
      </c>
      <c r="I319" s="3">
        <f t="shared" si="39"/>
        <v>0.92066899985413531</v>
      </c>
    </row>
    <row r="320" spans="1:9" x14ac:dyDescent="0.25">
      <c r="A320" s="2" t="s">
        <v>32</v>
      </c>
      <c r="B320" s="3">
        <v>0.30499999999999999</v>
      </c>
      <c r="C320" s="3">
        <v>35.598139499999995</v>
      </c>
      <c r="D320" s="3">
        <f t="shared" si="37"/>
        <v>78.564691177102148</v>
      </c>
      <c r="E320" s="10" t="s">
        <v>234</v>
      </c>
      <c r="F320" s="10" t="s">
        <v>371</v>
      </c>
      <c r="G320" s="3">
        <f t="shared" si="40"/>
        <v>-1.1874435023747254</v>
      </c>
      <c r="H320" s="3">
        <f t="shared" si="40"/>
        <v>3.5722933752563635</v>
      </c>
      <c r="I320" s="3">
        <f t="shared" si="39"/>
        <v>0.94141647027338338</v>
      </c>
    </row>
    <row r="321" spans="1:9" x14ac:dyDescent="0.25">
      <c r="A321" s="2" t="s">
        <v>372</v>
      </c>
      <c r="B321" s="3">
        <v>25</v>
      </c>
      <c r="C321" s="3">
        <v>714</v>
      </c>
      <c r="D321" s="3">
        <f t="shared" si="37"/>
        <v>83.509946603359481</v>
      </c>
      <c r="E321" s="10" t="s">
        <v>237</v>
      </c>
      <c r="F321" s="10" t="s">
        <v>373</v>
      </c>
      <c r="G321" s="3">
        <f t="shared" si="40"/>
        <v>3.2188758248682006</v>
      </c>
      <c r="H321" s="3">
        <f t="shared" si="40"/>
        <v>6.5708829623395841</v>
      </c>
      <c r="I321" s="3">
        <f>C321/EXP(0.5625*LN(B321)+4.3006)</f>
        <v>1.5835439013324151</v>
      </c>
    </row>
    <row r="322" spans="1:9" x14ac:dyDescent="0.25">
      <c r="A322" s="29" t="s">
        <v>388</v>
      </c>
      <c r="B322" s="29"/>
      <c r="C322" s="29"/>
      <c r="D322" s="29"/>
      <c r="E322" s="29"/>
      <c r="F322" s="29"/>
      <c r="G322" s="30"/>
      <c r="H322" s="30"/>
    </row>
    <row r="323" spans="1:9" x14ac:dyDescent="0.25">
      <c r="A323" s="2" t="s">
        <v>21</v>
      </c>
      <c r="B323" s="3">
        <v>540</v>
      </c>
      <c r="C323" s="10">
        <v>1758</v>
      </c>
      <c r="D323" s="3">
        <f>C323*(1/B323)^(2/3)</f>
        <v>26.510812055410248</v>
      </c>
      <c r="E323" s="10" t="s">
        <v>234</v>
      </c>
      <c r="F323" s="10" t="s">
        <v>384</v>
      </c>
      <c r="G323" s="3">
        <f t="shared" ref="G323:H325" si="41">LN(B323)</f>
        <v>6.2915691395583204</v>
      </c>
      <c r="H323" s="3">
        <f t="shared" si="41"/>
        <v>7.4719320782451222</v>
      </c>
      <c r="I323" s="3">
        <v>1</v>
      </c>
    </row>
    <row r="324" spans="1:9" x14ac:dyDescent="0.25">
      <c r="A324" s="2" t="s">
        <v>23</v>
      </c>
      <c r="B324" s="3">
        <v>250</v>
      </c>
      <c r="C324" s="10">
        <v>5862.11</v>
      </c>
      <c r="D324" s="3">
        <f>C324*(1/B324)^(2/3)</f>
        <v>147.71591571598472</v>
      </c>
      <c r="E324" s="10" t="s">
        <v>237</v>
      </c>
      <c r="F324" s="10" t="s">
        <v>385</v>
      </c>
      <c r="G324" s="3">
        <f t="shared" si="41"/>
        <v>5.521460917862246</v>
      </c>
      <c r="H324" s="3">
        <f t="shared" si="41"/>
        <v>8.6762648860214249</v>
      </c>
      <c r="I324" s="3">
        <v>1</v>
      </c>
    </row>
    <row r="325" spans="1:9" x14ac:dyDescent="0.25">
      <c r="A325" s="2" t="s">
        <v>0</v>
      </c>
      <c r="B325" s="3">
        <v>100</v>
      </c>
      <c r="C325" s="10">
        <v>50</v>
      </c>
      <c r="D325" s="3">
        <f>C325*(1/B325)^(2/3)</f>
        <v>2.320794416806391</v>
      </c>
      <c r="E325" s="10" t="s">
        <v>237</v>
      </c>
      <c r="F325" s="10" t="s">
        <v>387</v>
      </c>
      <c r="G325" s="3">
        <f t="shared" si="41"/>
        <v>4.6051701859880918</v>
      </c>
      <c r="H325" s="3">
        <f t="shared" si="41"/>
        <v>3.912023005428146</v>
      </c>
      <c r="I325" s="3">
        <v>1</v>
      </c>
    </row>
    <row r="326" spans="1:9" x14ac:dyDescent="0.25">
      <c r="A326" s="29" t="s">
        <v>397</v>
      </c>
      <c r="B326" s="29"/>
      <c r="C326" s="29"/>
      <c r="D326" s="29"/>
      <c r="E326" s="29"/>
      <c r="F326" s="29"/>
      <c r="G326" s="30"/>
      <c r="H326" s="30"/>
    </row>
    <row r="327" spans="1:9" x14ac:dyDescent="0.25">
      <c r="A327" s="2" t="s">
        <v>398</v>
      </c>
      <c r="B327" s="3">
        <f>33/1000</f>
        <v>3.3000000000000002E-2</v>
      </c>
      <c r="C327" s="3">
        <v>29.41995</v>
      </c>
      <c r="D327" s="3">
        <f t="shared" ref="D327:D365" si="42">C327*(1/B327)^(2/3)</f>
        <v>285.95605942957781</v>
      </c>
      <c r="E327" s="10" t="s">
        <v>234</v>
      </c>
      <c r="F327" s="10" t="s">
        <v>399</v>
      </c>
      <c r="G327" s="3">
        <f t="shared" ref="G327:H342" si="43">LN(B327)</f>
        <v>-3.4112477175156566</v>
      </c>
      <c r="H327" s="3">
        <f t="shared" si="43"/>
        <v>3.3816730156477139</v>
      </c>
      <c r="I327" s="3">
        <f>C327/EXP(0.7444*LN(B327)+6.5696)</f>
        <v>0.52278019346902327</v>
      </c>
    </row>
    <row r="328" spans="1:9" x14ac:dyDescent="0.25">
      <c r="A328" s="2" t="s">
        <v>398</v>
      </c>
      <c r="B328" s="3">
        <f>110/1000</f>
        <v>0.11</v>
      </c>
      <c r="C328" s="3">
        <v>105.91182000000001</v>
      </c>
      <c r="D328" s="3">
        <f t="shared" si="42"/>
        <v>461.33454313241765</v>
      </c>
      <c r="E328" s="10" t="s">
        <v>234</v>
      </c>
      <c r="F328" s="10" t="s">
        <v>399</v>
      </c>
      <c r="G328" s="3">
        <f t="shared" si="43"/>
        <v>-2.2072749131897207</v>
      </c>
      <c r="H328" s="3">
        <f t="shared" si="43"/>
        <v>4.6626068611097784</v>
      </c>
      <c r="I328" s="3">
        <f t="shared" ref="I328:I365" si="44">C328/EXP(0.7444*LN(B328)+6.5696)</f>
        <v>0.76805211235176341</v>
      </c>
    </row>
    <row r="329" spans="1:9" x14ac:dyDescent="0.25">
      <c r="A329" s="2" t="s">
        <v>398</v>
      </c>
      <c r="B329" s="3">
        <f>150/1000</f>
        <v>0.15</v>
      </c>
      <c r="C329" s="3">
        <v>233.39827</v>
      </c>
      <c r="D329" s="3">
        <f t="shared" si="42"/>
        <v>826.74223882632236</v>
      </c>
      <c r="E329" s="10" t="s">
        <v>234</v>
      </c>
      <c r="F329" s="10" t="s">
        <v>399</v>
      </c>
      <c r="G329" s="3">
        <f t="shared" si="43"/>
        <v>-1.8971199848858813</v>
      </c>
      <c r="H329" s="3">
        <f t="shared" si="43"/>
        <v>5.4527463076570335</v>
      </c>
      <c r="I329" s="3">
        <f t="shared" si="44"/>
        <v>1.3436132286805722</v>
      </c>
    </row>
    <row r="330" spans="1:9" x14ac:dyDescent="0.25">
      <c r="A330" s="2" t="s">
        <v>398</v>
      </c>
      <c r="B330" s="3">
        <f>150/1000</f>
        <v>0.15</v>
      </c>
      <c r="C330" s="3">
        <v>176.5197</v>
      </c>
      <c r="D330" s="3">
        <f t="shared" si="42"/>
        <v>625.26723944847913</v>
      </c>
      <c r="E330" s="10" t="s">
        <v>234</v>
      </c>
      <c r="F330" s="10" t="s">
        <v>399</v>
      </c>
      <c r="G330" s="3">
        <f t="shared" si="43"/>
        <v>-1.8971199848858813</v>
      </c>
      <c r="H330" s="3">
        <f t="shared" si="43"/>
        <v>5.1734324848757689</v>
      </c>
      <c r="I330" s="3">
        <f t="shared" si="44"/>
        <v>1.0161780721113571</v>
      </c>
    </row>
    <row r="331" spans="1:9" x14ac:dyDescent="0.25">
      <c r="A331" s="2" t="s">
        <v>398</v>
      </c>
      <c r="B331" s="3">
        <f>160/1000</f>
        <v>0.16</v>
      </c>
      <c r="C331" s="3">
        <v>213.78496999999999</v>
      </c>
      <c r="D331" s="3">
        <f t="shared" si="42"/>
        <v>725.37711091401695</v>
      </c>
      <c r="E331" s="10" t="s">
        <v>234</v>
      </c>
      <c r="F331" s="10" t="s">
        <v>399</v>
      </c>
      <c r="G331" s="3">
        <f t="shared" si="43"/>
        <v>-1.8325814637483102</v>
      </c>
      <c r="H331" s="3">
        <f t="shared" si="43"/>
        <v>5.3649706967746473</v>
      </c>
      <c r="I331" s="3">
        <f t="shared" si="44"/>
        <v>1.1729762689457426</v>
      </c>
    </row>
    <row r="332" spans="1:9" x14ac:dyDescent="0.25">
      <c r="A332" s="2" t="s">
        <v>398</v>
      </c>
      <c r="B332" s="3">
        <f>180/1000</f>
        <v>0.18</v>
      </c>
      <c r="C332" s="3">
        <v>192.21034</v>
      </c>
      <c r="D332" s="3">
        <f t="shared" si="42"/>
        <v>602.92285021157431</v>
      </c>
      <c r="E332" s="10" t="s">
        <v>234</v>
      </c>
      <c r="F332" s="10" t="s">
        <v>399</v>
      </c>
      <c r="G332" s="3">
        <f t="shared" si="43"/>
        <v>-1.7147984280919266</v>
      </c>
      <c r="H332" s="3">
        <f t="shared" si="43"/>
        <v>5.2585902932160762</v>
      </c>
      <c r="I332" s="3">
        <f t="shared" si="44"/>
        <v>0.96607504938535083</v>
      </c>
    </row>
    <row r="333" spans="1:9" x14ac:dyDescent="0.25">
      <c r="A333" s="2" t="s">
        <v>398</v>
      </c>
      <c r="B333" s="3">
        <f>194/1000</f>
        <v>0.19400000000000001</v>
      </c>
      <c r="C333" s="3">
        <v>305.96747999999997</v>
      </c>
      <c r="D333" s="3">
        <f t="shared" si="42"/>
        <v>913.00701899989474</v>
      </c>
      <c r="E333" s="10" t="s">
        <v>234</v>
      </c>
      <c r="F333" s="10" t="s">
        <v>399</v>
      </c>
      <c r="G333" s="3">
        <f t="shared" si="43"/>
        <v>-1.6398971199188088</v>
      </c>
      <c r="H333" s="3">
        <f t="shared" si="43"/>
        <v>5.723478821795041</v>
      </c>
      <c r="I333" s="3">
        <f t="shared" si="44"/>
        <v>1.4544360599992894</v>
      </c>
    </row>
    <row r="334" spans="1:9" x14ac:dyDescent="0.25">
      <c r="A334" s="2" t="s">
        <v>398</v>
      </c>
      <c r="B334" s="3">
        <f>250/1000</f>
        <v>0.25</v>
      </c>
      <c r="C334" s="3">
        <v>297.14149499999996</v>
      </c>
      <c r="D334" s="3">
        <f t="shared" si="42"/>
        <v>748.7496486954642</v>
      </c>
      <c r="E334" s="10" t="s">
        <v>234</v>
      </c>
      <c r="F334" s="10" t="s">
        <v>399</v>
      </c>
      <c r="G334" s="3">
        <f t="shared" si="43"/>
        <v>-1.3862943611198906</v>
      </c>
      <c r="H334" s="3">
        <f t="shared" si="43"/>
        <v>5.6942084394949273</v>
      </c>
      <c r="I334" s="3">
        <f t="shared" si="44"/>
        <v>1.1694879014336035</v>
      </c>
    </row>
    <row r="335" spans="1:9" x14ac:dyDescent="0.25">
      <c r="A335" s="2" t="s">
        <v>398</v>
      </c>
      <c r="B335" s="3">
        <f>290/1000</f>
        <v>0.28999999999999998</v>
      </c>
      <c r="C335" s="3">
        <v>244.18558499999997</v>
      </c>
      <c r="D335" s="3">
        <f t="shared" si="42"/>
        <v>557.34146830888426</v>
      </c>
      <c r="E335" s="10" t="s">
        <v>234</v>
      </c>
      <c r="F335" s="10" t="s">
        <v>399</v>
      </c>
      <c r="G335" s="3">
        <f t="shared" si="43"/>
        <v>-1.2378743560016174</v>
      </c>
      <c r="H335" s="3">
        <f t="shared" si="43"/>
        <v>5.4979285304502659</v>
      </c>
      <c r="I335" s="3">
        <f t="shared" si="44"/>
        <v>0.86053774613407863</v>
      </c>
    </row>
    <row r="336" spans="1:9" x14ac:dyDescent="0.25">
      <c r="A336" s="2" t="s">
        <v>398</v>
      </c>
      <c r="B336" s="3">
        <f>320/1000</f>
        <v>0.32</v>
      </c>
      <c r="C336" s="3">
        <v>247.12757999999997</v>
      </c>
      <c r="D336" s="3">
        <f t="shared" si="42"/>
        <v>528.2277719505264</v>
      </c>
      <c r="E336" s="10" t="s">
        <v>234</v>
      </c>
      <c r="F336" s="10" t="s">
        <v>399</v>
      </c>
      <c r="G336" s="3">
        <f t="shared" si="43"/>
        <v>-1.1394342831883648</v>
      </c>
      <c r="H336" s="3">
        <f t="shared" si="43"/>
        <v>5.5099047214969818</v>
      </c>
      <c r="I336" s="3">
        <f t="shared" si="44"/>
        <v>0.80936895884482152</v>
      </c>
    </row>
    <row r="337" spans="1:9" x14ac:dyDescent="0.25">
      <c r="A337" s="2" t="s">
        <v>398</v>
      </c>
      <c r="B337" s="3">
        <f>350/1000</f>
        <v>0.35</v>
      </c>
      <c r="C337" s="3">
        <v>380.49801999999994</v>
      </c>
      <c r="D337" s="3">
        <f t="shared" si="42"/>
        <v>766.13806111405745</v>
      </c>
      <c r="E337" s="10" t="s">
        <v>234</v>
      </c>
      <c r="F337" s="10" t="s">
        <v>399</v>
      </c>
      <c r="G337" s="3">
        <f t="shared" si="43"/>
        <v>-1.0498221244986778</v>
      </c>
      <c r="H337" s="3">
        <f t="shared" si="43"/>
        <v>5.9414809736088321</v>
      </c>
      <c r="I337" s="3">
        <f t="shared" si="44"/>
        <v>1.1657545538706269</v>
      </c>
    </row>
    <row r="338" spans="1:9" x14ac:dyDescent="0.25">
      <c r="A338" s="2" t="s">
        <v>398</v>
      </c>
      <c r="B338" s="3">
        <f>380/1000</f>
        <v>0.38</v>
      </c>
      <c r="C338" s="3">
        <v>337.34875999999997</v>
      </c>
      <c r="D338" s="3">
        <f t="shared" si="42"/>
        <v>643.01838017923194</v>
      </c>
      <c r="E338" s="10" t="s">
        <v>234</v>
      </c>
      <c r="F338" s="10" t="s">
        <v>399</v>
      </c>
      <c r="G338" s="3">
        <f t="shared" si="43"/>
        <v>-0.96758402626170559</v>
      </c>
      <c r="H338" s="3">
        <f t="shared" si="43"/>
        <v>5.8211172913589566</v>
      </c>
      <c r="I338" s="3">
        <f t="shared" si="44"/>
        <v>0.97218111508073835</v>
      </c>
    </row>
    <row r="339" spans="1:9" x14ac:dyDescent="0.25">
      <c r="A339" s="2" t="s">
        <v>398</v>
      </c>
      <c r="B339" s="3">
        <f>400/1000</f>
        <v>0.4</v>
      </c>
      <c r="C339" s="3">
        <v>355.00073000000003</v>
      </c>
      <c r="D339" s="3">
        <f t="shared" si="42"/>
        <v>653.91693568016569</v>
      </c>
      <c r="E339" s="10" t="s">
        <v>234</v>
      </c>
      <c r="F339" s="10" t="s">
        <v>399</v>
      </c>
      <c r="G339" s="3">
        <f t="shared" si="43"/>
        <v>-0.916290731874155</v>
      </c>
      <c r="H339" s="3">
        <f t="shared" si="43"/>
        <v>5.87211984581133</v>
      </c>
      <c r="I339" s="3">
        <f t="shared" si="44"/>
        <v>0.98472453838656349</v>
      </c>
    </row>
    <row r="340" spans="1:9" x14ac:dyDescent="0.25">
      <c r="A340" s="2" t="s">
        <v>398</v>
      </c>
      <c r="B340" s="3">
        <f>450/1000</f>
        <v>0.45</v>
      </c>
      <c r="C340" s="3">
        <v>429.53126999999995</v>
      </c>
      <c r="D340" s="3">
        <f t="shared" si="42"/>
        <v>731.45303046440438</v>
      </c>
      <c r="E340" s="10" t="s">
        <v>234</v>
      </c>
      <c r="F340" s="10" t="s">
        <v>399</v>
      </c>
      <c r="G340" s="3">
        <f t="shared" si="43"/>
        <v>-0.79850769621777162</v>
      </c>
      <c r="H340" s="3">
        <f t="shared" si="43"/>
        <v>6.0626945443620048</v>
      </c>
      <c r="I340" s="3">
        <f t="shared" si="44"/>
        <v>1.0914462737832678</v>
      </c>
    </row>
    <row r="341" spans="1:9" x14ac:dyDescent="0.25">
      <c r="A341" s="2" t="s">
        <v>398</v>
      </c>
      <c r="B341" s="3">
        <f>614/1000</f>
        <v>0.61399999999999999</v>
      </c>
      <c r="C341" s="3">
        <v>339.31009</v>
      </c>
      <c r="D341" s="3">
        <f t="shared" si="42"/>
        <v>469.69707999392818</v>
      </c>
      <c r="E341" s="10" t="s">
        <v>234</v>
      </c>
      <c r="F341" s="10" t="s">
        <v>399</v>
      </c>
      <c r="G341" s="3">
        <f t="shared" si="43"/>
        <v>-0.48776035083499458</v>
      </c>
      <c r="H341" s="3">
        <f t="shared" si="43"/>
        <v>5.8269144090432832</v>
      </c>
      <c r="I341" s="3">
        <f t="shared" si="44"/>
        <v>0.68413720744584661</v>
      </c>
    </row>
    <row r="342" spans="1:9" x14ac:dyDescent="0.25">
      <c r="A342" s="2" t="s">
        <v>398</v>
      </c>
      <c r="B342" s="3">
        <f>642/1000</f>
        <v>0.64200000000000002</v>
      </c>
      <c r="C342" s="3">
        <v>581.53434499999992</v>
      </c>
      <c r="D342" s="3">
        <f t="shared" si="42"/>
        <v>781.42148923079765</v>
      </c>
      <c r="E342" s="10" t="s">
        <v>234</v>
      </c>
      <c r="F342" s="10" t="s">
        <v>399</v>
      </c>
      <c r="G342" s="3">
        <f t="shared" si="43"/>
        <v>-0.44316697529217586</v>
      </c>
      <c r="H342" s="3">
        <f t="shared" si="43"/>
        <v>6.3656700329832843</v>
      </c>
      <c r="I342" s="3">
        <f t="shared" si="44"/>
        <v>1.1342408010756679</v>
      </c>
    </row>
    <row r="343" spans="1:9" x14ac:dyDescent="0.25">
      <c r="A343" s="2" t="s">
        <v>398</v>
      </c>
      <c r="B343" s="3">
        <f>670/1000</f>
        <v>0.67</v>
      </c>
      <c r="C343" s="3">
        <v>460.91254999999995</v>
      </c>
      <c r="D343" s="3">
        <f t="shared" si="42"/>
        <v>601.96142975856662</v>
      </c>
      <c r="E343" s="10" t="s">
        <v>234</v>
      </c>
      <c r="F343" s="10" t="s">
        <v>399</v>
      </c>
      <c r="G343" s="3">
        <f t="shared" ref="G343:H365" si="45">LN(B343)</f>
        <v>-0.40047756659712525</v>
      </c>
      <c r="H343" s="3">
        <f t="shared" si="45"/>
        <v>6.1332083286896628</v>
      </c>
      <c r="I343" s="3">
        <f t="shared" si="44"/>
        <v>0.87085815299587077</v>
      </c>
    </row>
    <row r="344" spans="1:9" x14ac:dyDescent="0.25">
      <c r="A344" s="2" t="s">
        <v>398</v>
      </c>
      <c r="B344" s="3">
        <f>700/1000</f>
        <v>0.7</v>
      </c>
      <c r="C344" s="3">
        <v>478.56451999999996</v>
      </c>
      <c r="D344" s="3">
        <f t="shared" si="42"/>
        <v>607.02764628575267</v>
      </c>
      <c r="E344" s="10" t="s">
        <v>234</v>
      </c>
      <c r="F344" s="10" t="s">
        <v>399</v>
      </c>
      <c r="G344" s="3">
        <f t="shared" si="45"/>
        <v>-0.35667494393873245</v>
      </c>
      <c r="H344" s="3">
        <f t="shared" si="45"/>
        <v>6.170791039838706</v>
      </c>
      <c r="I344" s="3">
        <f t="shared" si="44"/>
        <v>0.87520237653978916</v>
      </c>
    </row>
    <row r="345" spans="1:9" x14ac:dyDescent="0.25">
      <c r="A345" s="2" t="s">
        <v>398</v>
      </c>
      <c r="B345" s="3">
        <f>760/1000</f>
        <v>0.76</v>
      </c>
      <c r="C345" s="3">
        <v>644.29690500000004</v>
      </c>
      <c r="D345" s="3">
        <f t="shared" si="42"/>
        <v>773.64843310425431</v>
      </c>
      <c r="E345" s="10" t="s">
        <v>234</v>
      </c>
      <c r="F345" s="10" t="s">
        <v>399</v>
      </c>
      <c r="G345" s="3">
        <f t="shared" si="45"/>
        <v>-0.2744368457017603</v>
      </c>
      <c r="H345" s="3">
        <f t="shared" si="45"/>
        <v>6.4681596524701694</v>
      </c>
      <c r="I345" s="3">
        <f t="shared" si="44"/>
        <v>1.1083256359527567</v>
      </c>
    </row>
    <row r="346" spans="1:9" x14ac:dyDescent="0.25">
      <c r="A346" s="2" t="s">
        <v>398</v>
      </c>
      <c r="B346" s="3">
        <f>980/1000</f>
        <v>0.98</v>
      </c>
      <c r="C346" s="3">
        <v>656.064885</v>
      </c>
      <c r="D346" s="3">
        <f t="shared" si="42"/>
        <v>664.96084927946958</v>
      </c>
      <c r="E346" s="10" t="s">
        <v>234</v>
      </c>
      <c r="F346" s="10" t="s">
        <v>399</v>
      </c>
      <c r="G346" s="3">
        <f t="shared" si="45"/>
        <v>-2.0202707317519466E-2</v>
      </c>
      <c r="H346" s="3">
        <f t="shared" si="45"/>
        <v>6.4862596941137873</v>
      </c>
      <c r="I346" s="3">
        <f t="shared" si="44"/>
        <v>0.93397892003930871</v>
      </c>
    </row>
    <row r="347" spans="1:9" x14ac:dyDescent="0.25">
      <c r="A347" s="2" t="s">
        <v>398</v>
      </c>
      <c r="B347" s="3">
        <f>1000/1000</f>
        <v>1</v>
      </c>
      <c r="C347" s="3">
        <v>839.44923999999992</v>
      </c>
      <c r="D347" s="3">
        <f t="shared" si="42"/>
        <v>839.44923999999992</v>
      </c>
      <c r="E347" s="10" t="s">
        <v>234</v>
      </c>
      <c r="F347" s="10" t="s">
        <v>399</v>
      </c>
      <c r="G347" s="3">
        <f t="shared" si="45"/>
        <v>0</v>
      </c>
      <c r="H347" s="3">
        <f t="shared" si="45"/>
        <v>6.7327460101273005</v>
      </c>
      <c r="I347" s="3">
        <f t="shared" si="44"/>
        <v>1.1772085615125738</v>
      </c>
    </row>
    <row r="348" spans="1:9" x14ac:dyDescent="0.25">
      <c r="A348" s="2" t="s">
        <v>398</v>
      </c>
      <c r="B348" s="3">
        <f>1140/1000</f>
        <v>1.1399999999999999</v>
      </c>
      <c r="C348" s="3">
        <v>516.81045500000005</v>
      </c>
      <c r="D348" s="3">
        <f t="shared" si="42"/>
        <v>473.58149397721871</v>
      </c>
      <c r="E348" s="10" t="s">
        <v>234</v>
      </c>
      <c r="F348" s="10" t="s">
        <v>399</v>
      </c>
      <c r="G348" s="3">
        <f t="shared" si="45"/>
        <v>0.131028262406404</v>
      </c>
      <c r="H348" s="3">
        <f t="shared" si="45"/>
        <v>6.2476761825269209</v>
      </c>
      <c r="I348" s="3">
        <f t="shared" si="44"/>
        <v>0.65740089521085987</v>
      </c>
    </row>
    <row r="349" spans="1:9" x14ac:dyDescent="0.25">
      <c r="A349" s="2" t="s">
        <v>398</v>
      </c>
      <c r="B349" s="3">
        <f>1440/1000</f>
        <v>1.44</v>
      </c>
      <c r="C349" s="3">
        <v>931.6317499999999</v>
      </c>
      <c r="D349" s="3">
        <f t="shared" si="42"/>
        <v>730.58253533290247</v>
      </c>
      <c r="E349" s="10" t="s">
        <v>234</v>
      </c>
      <c r="F349" s="10" t="s">
        <v>399</v>
      </c>
      <c r="G349" s="3">
        <f t="shared" si="45"/>
        <v>0.36464311358790924</v>
      </c>
      <c r="H349" s="3">
        <f t="shared" si="45"/>
        <v>6.8369376185801451</v>
      </c>
      <c r="I349" s="3">
        <f t="shared" si="44"/>
        <v>0.99590568946333324</v>
      </c>
    </row>
    <row r="350" spans="1:9" x14ac:dyDescent="0.25">
      <c r="A350" s="2" t="s">
        <v>398</v>
      </c>
      <c r="B350" s="3">
        <f>1580/1000</f>
        <v>1.58</v>
      </c>
      <c r="C350" s="3">
        <v>1412.1576</v>
      </c>
      <c r="D350" s="3">
        <f t="shared" si="42"/>
        <v>1040.9865294583776</v>
      </c>
      <c r="E350" s="10" t="s">
        <v>234</v>
      </c>
      <c r="F350" s="10" t="s">
        <v>399</v>
      </c>
      <c r="G350" s="3">
        <f t="shared" si="45"/>
        <v>0.45742484703887548</v>
      </c>
      <c r="H350" s="3">
        <f t="shared" si="45"/>
        <v>7.2528740265556051</v>
      </c>
      <c r="I350" s="3">
        <f t="shared" si="44"/>
        <v>1.4088404221794428</v>
      </c>
    </row>
    <row r="351" spans="1:9" x14ac:dyDescent="0.25">
      <c r="A351" s="2" t="s">
        <v>398</v>
      </c>
      <c r="B351" s="3">
        <f>1770/1000</f>
        <v>1.77</v>
      </c>
      <c r="C351" s="3">
        <v>1318.9944249999999</v>
      </c>
      <c r="D351" s="3">
        <f t="shared" si="42"/>
        <v>901.42053836958291</v>
      </c>
      <c r="E351" s="10" t="s">
        <v>234</v>
      </c>
      <c r="F351" s="10" t="s">
        <v>399</v>
      </c>
      <c r="G351" s="3">
        <f t="shared" si="45"/>
        <v>0.5709795465857378</v>
      </c>
      <c r="H351" s="3">
        <f t="shared" si="45"/>
        <v>7.184624926021498</v>
      </c>
      <c r="I351" s="3">
        <f t="shared" si="44"/>
        <v>1.2092347863063504</v>
      </c>
    </row>
    <row r="352" spans="1:9" x14ac:dyDescent="0.25">
      <c r="A352" s="2" t="s">
        <v>398</v>
      </c>
      <c r="B352" s="3">
        <f>1920/1000</f>
        <v>1.92</v>
      </c>
      <c r="C352" s="3">
        <v>1179.7399949999999</v>
      </c>
      <c r="D352" s="3">
        <f t="shared" si="42"/>
        <v>763.69301271621725</v>
      </c>
      <c r="E352" s="10" t="s">
        <v>234</v>
      </c>
      <c r="F352" s="10" t="s">
        <v>399</v>
      </c>
      <c r="G352" s="3">
        <f t="shared" si="45"/>
        <v>0.65232518603969014</v>
      </c>
      <c r="H352" s="3">
        <f t="shared" si="45"/>
        <v>7.0730493499602378</v>
      </c>
      <c r="I352" s="3">
        <f t="shared" si="44"/>
        <v>1.018018897659553</v>
      </c>
    </row>
    <row r="353" spans="1:9" x14ac:dyDescent="0.25">
      <c r="A353" s="2" t="s">
        <v>398</v>
      </c>
      <c r="B353" s="3">
        <f>2070/1000</f>
        <v>2.0699999999999998</v>
      </c>
      <c r="C353" s="3">
        <v>1765.1969999999999</v>
      </c>
      <c r="D353" s="3">
        <f t="shared" si="42"/>
        <v>1086.7916267448174</v>
      </c>
      <c r="E353" s="10" t="s">
        <v>234</v>
      </c>
      <c r="F353" s="10" t="s">
        <v>399</v>
      </c>
      <c r="G353" s="3">
        <f t="shared" si="45"/>
        <v>0.72754860727727766</v>
      </c>
      <c r="H353" s="3">
        <f t="shared" si="45"/>
        <v>7.4760175778698148</v>
      </c>
      <c r="I353" s="3">
        <f t="shared" si="44"/>
        <v>1.4402697099305548</v>
      </c>
    </row>
    <row r="354" spans="1:9" x14ac:dyDescent="0.25">
      <c r="A354" s="2" t="s">
        <v>398</v>
      </c>
      <c r="B354" s="3">
        <f>2090/1000</f>
        <v>2.09</v>
      </c>
      <c r="C354" s="3">
        <v>1578.8706499999998</v>
      </c>
      <c r="D354" s="3">
        <f t="shared" si="42"/>
        <v>965.86336616284325</v>
      </c>
      <c r="E354" s="10" t="s">
        <v>234</v>
      </c>
      <c r="F354" s="10" t="s">
        <v>399</v>
      </c>
      <c r="G354" s="3">
        <f t="shared" si="45"/>
        <v>0.73716406597671957</v>
      </c>
      <c r="H354" s="3">
        <f t="shared" si="45"/>
        <v>7.3644650919640675</v>
      </c>
      <c r="I354" s="3">
        <f t="shared" si="44"/>
        <v>1.2790532569476043</v>
      </c>
    </row>
    <row r="355" spans="1:9" x14ac:dyDescent="0.25">
      <c r="A355" s="2" t="s">
        <v>398</v>
      </c>
      <c r="B355" s="3">
        <f>2120/1000</f>
        <v>2.12</v>
      </c>
      <c r="C355" s="3">
        <v>1318.9944249999999</v>
      </c>
      <c r="D355" s="3">
        <f t="shared" si="42"/>
        <v>799.25565787795324</v>
      </c>
      <c r="E355" s="10" t="s">
        <v>234</v>
      </c>
      <c r="F355" s="10" t="s">
        <v>399</v>
      </c>
      <c r="G355" s="3">
        <f t="shared" si="45"/>
        <v>0.75141608868392118</v>
      </c>
      <c r="H355" s="3">
        <f t="shared" si="45"/>
        <v>7.184624926021498</v>
      </c>
      <c r="I355" s="3">
        <f t="shared" si="44"/>
        <v>1.0572495688902517</v>
      </c>
    </row>
    <row r="356" spans="1:9" x14ac:dyDescent="0.25">
      <c r="A356" s="2" t="s">
        <v>400</v>
      </c>
      <c r="B356" s="3">
        <f>112.4/1000</f>
        <v>0.1124</v>
      </c>
      <c r="C356" s="3">
        <v>154</v>
      </c>
      <c r="D356" s="3">
        <f t="shared" si="42"/>
        <v>661.21573508218717</v>
      </c>
      <c r="E356" s="10" t="s">
        <v>234</v>
      </c>
      <c r="F356" s="10" t="s">
        <v>401</v>
      </c>
      <c r="G356" s="3">
        <f t="shared" si="45"/>
        <v>-2.1856913415225465</v>
      </c>
      <c r="H356" s="3">
        <f t="shared" si="45"/>
        <v>5.0369526024136295</v>
      </c>
      <c r="I356" s="3">
        <f t="shared" si="44"/>
        <v>1.0989786374296873</v>
      </c>
    </row>
    <row r="357" spans="1:9" x14ac:dyDescent="0.25">
      <c r="A357" s="2" t="s">
        <v>402</v>
      </c>
      <c r="B357" s="3">
        <f>30.5/1000</f>
        <v>3.0499999999999999E-2</v>
      </c>
      <c r="C357" s="3">
        <v>84.8</v>
      </c>
      <c r="D357" s="3">
        <f t="shared" si="42"/>
        <v>868.68560730463173</v>
      </c>
      <c r="E357" s="10" t="s">
        <v>234</v>
      </c>
      <c r="F357" s="10" t="s">
        <v>401</v>
      </c>
      <c r="G357" s="3">
        <f t="shared" si="45"/>
        <v>-3.4900285953687713</v>
      </c>
      <c r="H357" s="3">
        <f t="shared" si="45"/>
        <v>4.4402955427978572</v>
      </c>
      <c r="I357" s="3">
        <f t="shared" si="44"/>
        <v>1.5978721361061514</v>
      </c>
    </row>
    <row r="358" spans="1:9" x14ac:dyDescent="0.25">
      <c r="A358" s="2" t="s">
        <v>403</v>
      </c>
      <c r="B358" s="3">
        <f xml:space="preserve"> 155.9/1000</f>
        <v>0.15590000000000001</v>
      </c>
      <c r="C358" s="3">
        <v>128.5</v>
      </c>
      <c r="D358" s="3">
        <f t="shared" si="42"/>
        <v>443.61448413340804</v>
      </c>
      <c r="E358" s="10" t="s">
        <v>234</v>
      </c>
      <c r="F358" s="10" t="s">
        <v>401</v>
      </c>
      <c r="G358" s="3">
        <f t="shared" si="45"/>
        <v>-1.8585405029184061</v>
      </c>
      <c r="H358" s="3">
        <f t="shared" si="45"/>
        <v>4.8559289043352747</v>
      </c>
      <c r="I358" s="3">
        <f t="shared" si="44"/>
        <v>0.7187989784281269</v>
      </c>
    </row>
    <row r="359" spans="1:9" x14ac:dyDescent="0.25">
      <c r="A359" s="2" t="s">
        <v>404</v>
      </c>
      <c r="B359" s="3">
        <f>309.5/1000</f>
        <v>0.3095</v>
      </c>
      <c r="C359" s="3">
        <v>182.4</v>
      </c>
      <c r="D359" s="3">
        <f t="shared" si="42"/>
        <v>398.64323493901668</v>
      </c>
      <c r="E359" s="10" t="s">
        <v>234</v>
      </c>
      <c r="F359" s="10" t="s">
        <v>401</v>
      </c>
      <c r="G359" s="3">
        <f t="shared" si="45"/>
        <v>-1.1727971868574862</v>
      </c>
      <c r="H359" s="3">
        <f t="shared" si="45"/>
        <v>5.2062020776402314</v>
      </c>
      <c r="I359" s="3">
        <f t="shared" si="44"/>
        <v>0.61240117503477931</v>
      </c>
    </row>
    <row r="360" spans="1:9" x14ac:dyDescent="0.25">
      <c r="A360" s="2" t="s">
        <v>405</v>
      </c>
      <c r="B360" s="3">
        <f>13.9/1000</f>
        <v>1.3900000000000001E-2</v>
      </c>
      <c r="C360" s="3">
        <v>52.9</v>
      </c>
      <c r="D360" s="3">
        <f t="shared" si="42"/>
        <v>915.0520645106476</v>
      </c>
      <c r="E360" s="10" t="s">
        <v>234</v>
      </c>
      <c r="F360" s="10" t="s">
        <v>401</v>
      </c>
      <c r="G360" s="3">
        <f t="shared" si="45"/>
        <v>-4.2758664388454912</v>
      </c>
      <c r="H360" s="3">
        <f t="shared" si="45"/>
        <v>3.9684033388642534</v>
      </c>
      <c r="I360" s="3">
        <f t="shared" si="44"/>
        <v>1.7891816131378486</v>
      </c>
    </row>
    <row r="361" spans="1:9" x14ac:dyDescent="0.25">
      <c r="A361" s="2" t="s">
        <v>406</v>
      </c>
      <c r="B361" s="3">
        <f xml:space="preserve"> 135.6/1000</f>
        <v>0.1356</v>
      </c>
      <c r="C361" s="3">
        <v>132.1</v>
      </c>
      <c r="D361" s="3">
        <f t="shared" si="42"/>
        <v>500.49109873181561</v>
      </c>
      <c r="E361" s="10" t="s">
        <v>234</v>
      </c>
      <c r="F361" s="10" t="s">
        <v>401</v>
      </c>
      <c r="G361" s="3">
        <f t="shared" si="45"/>
        <v>-1.9980459034758418</v>
      </c>
      <c r="H361" s="3">
        <f t="shared" si="45"/>
        <v>4.8835592115282793</v>
      </c>
      <c r="I361" s="3">
        <f t="shared" si="44"/>
        <v>0.81979955155935336</v>
      </c>
    </row>
    <row r="362" spans="1:9" x14ac:dyDescent="0.25">
      <c r="A362" s="2" t="s">
        <v>407</v>
      </c>
      <c r="B362" s="3">
        <f>1.12/1000</f>
        <v>1.1200000000000001E-3</v>
      </c>
      <c r="C362" s="3">
        <v>1.3</v>
      </c>
      <c r="D362" s="3">
        <f t="shared" si="42"/>
        <v>120.54004165011486</v>
      </c>
      <c r="E362" s="10" t="s">
        <v>234</v>
      </c>
      <c r="F362" s="10" t="s">
        <v>408</v>
      </c>
      <c r="G362" s="3">
        <f t="shared" si="45"/>
        <v>-6.7944265936751336</v>
      </c>
      <c r="H362" s="3">
        <f t="shared" si="45"/>
        <v>0.26236426446749106</v>
      </c>
      <c r="I362" s="3">
        <f t="shared" si="44"/>
        <v>0.28665823856179024</v>
      </c>
    </row>
    <row r="363" spans="1:9" x14ac:dyDescent="0.25">
      <c r="A363" s="2" t="s">
        <v>409</v>
      </c>
      <c r="B363" s="3">
        <f>1.36/1000</f>
        <v>1.3600000000000001E-3</v>
      </c>
      <c r="C363" s="3">
        <v>6.5</v>
      </c>
      <c r="D363" s="3">
        <f t="shared" si="42"/>
        <v>529.52615689564732</v>
      </c>
      <c r="E363" s="10" t="s">
        <v>234</v>
      </c>
      <c r="F363" s="10" t="s">
        <v>410</v>
      </c>
      <c r="G363" s="3">
        <f t="shared" si="45"/>
        <v>-6.6002705792341763</v>
      </c>
      <c r="H363" s="3">
        <f t="shared" si="45"/>
        <v>1.8718021769015913</v>
      </c>
      <c r="I363" s="3">
        <f t="shared" si="44"/>
        <v>1.2404120168541442</v>
      </c>
    </row>
    <row r="364" spans="1:9" x14ac:dyDescent="0.25">
      <c r="A364" s="2" t="s">
        <v>409</v>
      </c>
      <c r="B364" s="3">
        <f>0.55/1000</f>
        <v>5.5000000000000003E-4</v>
      </c>
      <c r="C364" s="3">
        <v>1.6</v>
      </c>
      <c r="D364" s="3">
        <f t="shared" si="42"/>
        <v>238.34800599291498</v>
      </c>
      <c r="E364" s="10" t="s">
        <v>234</v>
      </c>
      <c r="F364" s="10" t="s">
        <v>410</v>
      </c>
      <c r="G364" s="3">
        <f t="shared" si="45"/>
        <v>-7.5055922797377574</v>
      </c>
      <c r="H364" s="3">
        <f t="shared" si="45"/>
        <v>0.47000362924573563</v>
      </c>
      <c r="I364" s="3">
        <f t="shared" si="44"/>
        <v>0.59903606277191157</v>
      </c>
    </row>
    <row r="365" spans="1:9" x14ac:dyDescent="0.25">
      <c r="A365" s="2" t="s">
        <v>411</v>
      </c>
      <c r="B365" s="3">
        <f>55/1000/1000</f>
        <v>5.5000000000000002E-5</v>
      </c>
      <c r="C365" s="3">
        <v>1.4</v>
      </c>
      <c r="D365" s="3">
        <f t="shared" si="42"/>
        <v>968.02426273926278</v>
      </c>
      <c r="E365" s="10" t="s">
        <v>234</v>
      </c>
      <c r="F365" s="10" t="s">
        <v>412</v>
      </c>
      <c r="G365" s="3">
        <f t="shared" si="45"/>
        <v>-9.8081773727318033</v>
      </c>
      <c r="H365" s="3">
        <f t="shared" si="45"/>
        <v>0.33647223662121289</v>
      </c>
      <c r="I365" s="3">
        <f t="shared" si="44"/>
        <v>2.9097858077284147</v>
      </c>
    </row>
    <row r="366" spans="1:9" x14ac:dyDescent="0.25">
      <c r="A366" s="29" t="s">
        <v>645</v>
      </c>
      <c r="B366" s="29"/>
      <c r="C366" s="29"/>
      <c r="D366" s="29"/>
      <c r="E366" s="29"/>
      <c r="F366" s="29"/>
      <c r="G366" s="30"/>
      <c r="H366" s="30"/>
    </row>
    <row r="367" spans="1:9" x14ac:dyDescent="0.25">
      <c r="A367" s="2" t="s">
        <v>61</v>
      </c>
      <c r="B367" s="3">
        <v>7206.7</v>
      </c>
      <c r="C367" s="3">
        <v>57158</v>
      </c>
      <c r="D367" s="3">
        <f t="shared" ref="D367:D394" si="46">C367*(1/B367)^(2/3)</f>
        <v>153.19787043999401</v>
      </c>
      <c r="E367" s="25" t="s">
        <v>237</v>
      </c>
      <c r="F367" s="25" t="s">
        <v>658</v>
      </c>
      <c r="G367" s="3">
        <f t="shared" ref="G367" si="47">LN(B367)</f>
        <v>8.8827664278612932</v>
      </c>
      <c r="H367" s="3">
        <f t="shared" ref="H367" si="48">LN(C367)</f>
        <v>10.953574641928508</v>
      </c>
      <c r="I367" s="3">
        <f t="shared" ref="I367:I394" si="49">C367/EXP(0.6966*LN(B367)+4.158)</f>
        <v>1.8364595276640094</v>
      </c>
    </row>
    <row r="368" spans="1:9" x14ac:dyDescent="0.25">
      <c r="A368" s="2" t="s">
        <v>60</v>
      </c>
      <c r="B368" s="3">
        <v>1600</v>
      </c>
      <c r="C368" s="3">
        <v>8724</v>
      </c>
      <c r="D368" s="3">
        <f t="shared" si="46"/>
        <v>63.772826870422612</v>
      </c>
      <c r="E368" s="25" t="s">
        <v>237</v>
      </c>
      <c r="F368" s="25" t="s">
        <v>670</v>
      </c>
      <c r="G368" s="3">
        <f t="shared" ref="G368:G384" si="50">LN(B368)</f>
        <v>7.3777589082278725</v>
      </c>
      <c r="H368" s="3">
        <f t="shared" ref="H368:H384" si="51">LN(C368)</f>
        <v>9.0738331273215191</v>
      </c>
      <c r="I368" s="3">
        <f t="shared" si="49"/>
        <v>0.79970391333694757</v>
      </c>
    </row>
    <row r="369" spans="1:9" x14ac:dyDescent="0.25">
      <c r="A369" s="2" t="s">
        <v>647</v>
      </c>
      <c r="B369" s="3">
        <v>1743</v>
      </c>
      <c r="C369" s="3">
        <v>5274</v>
      </c>
      <c r="D369" s="3">
        <f t="shared" si="46"/>
        <v>36.414571236413259</v>
      </c>
      <c r="E369" s="25" t="s">
        <v>657</v>
      </c>
      <c r="F369" s="25" t="s">
        <v>678</v>
      </c>
      <c r="G369" s="3">
        <f t="shared" si="50"/>
        <v>7.4633630455200208</v>
      </c>
      <c r="H369" s="3">
        <f t="shared" si="51"/>
        <v>8.5705443669132322</v>
      </c>
      <c r="I369" s="3">
        <f t="shared" si="49"/>
        <v>0.45546594430618215</v>
      </c>
    </row>
    <row r="370" spans="1:9" x14ac:dyDescent="0.25">
      <c r="A370" s="2" t="s">
        <v>648</v>
      </c>
      <c r="B370" s="3">
        <v>16.29</v>
      </c>
      <c r="C370" s="3">
        <v>885.32172179999998</v>
      </c>
      <c r="D370" s="3">
        <f t="shared" si="46"/>
        <v>137.76970562343334</v>
      </c>
      <c r="E370" s="25" t="s">
        <v>657</v>
      </c>
      <c r="F370" s="25" t="s">
        <v>689</v>
      </c>
      <c r="G370" s="3">
        <f t="shared" si="50"/>
        <v>2.7905514226139538</v>
      </c>
      <c r="H370" s="3">
        <f t="shared" si="51"/>
        <v>6.7859511064054594</v>
      </c>
      <c r="I370" s="3">
        <f>C370/EXP(0.6966*LN(B370)+4.158)</f>
        <v>1.9818940639496714</v>
      </c>
    </row>
    <row r="371" spans="1:9" x14ac:dyDescent="0.25">
      <c r="A371" s="2" t="s">
        <v>61</v>
      </c>
      <c r="B371" s="3">
        <v>7926</v>
      </c>
      <c r="C371" s="3">
        <v>45379.513619999998</v>
      </c>
      <c r="D371" s="3">
        <f t="shared" si="46"/>
        <v>114.15382236109754</v>
      </c>
      <c r="E371" s="25" t="s">
        <v>657</v>
      </c>
      <c r="F371" s="25" t="s">
        <v>659</v>
      </c>
      <c r="G371" s="3">
        <f t="shared" si="50"/>
        <v>8.9779037737503806</v>
      </c>
      <c r="H371" s="3">
        <f t="shared" si="51"/>
        <v>10.722816040338978</v>
      </c>
      <c r="I371" s="3">
        <f t="shared" si="49"/>
        <v>1.3645275773397363</v>
      </c>
    </row>
    <row r="372" spans="1:9" x14ac:dyDescent="0.25">
      <c r="A372" s="2" t="s">
        <v>61</v>
      </c>
      <c r="B372" s="3">
        <v>7206.7</v>
      </c>
      <c r="C372" s="3">
        <v>48505.143640000002</v>
      </c>
      <c r="D372" s="3">
        <f t="shared" si="46"/>
        <v>130.00603084492144</v>
      </c>
      <c r="E372" s="25" t="s">
        <v>657</v>
      </c>
      <c r="F372" s="25" t="s">
        <v>671</v>
      </c>
      <c r="G372" s="3">
        <f t="shared" si="50"/>
        <v>8.8827664278612932</v>
      </c>
      <c r="H372" s="3">
        <f t="shared" si="51"/>
        <v>10.789425125735191</v>
      </c>
      <c r="I372" s="3">
        <f t="shared" si="49"/>
        <v>1.5584473420761631</v>
      </c>
    </row>
    <row r="373" spans="1:9" x14ac:dyDescent="0.25">
      <c r="A373" s="2" t="s">
        <v>60</v>
      </c>
      <c r="B373" s="3">
        <v>1504</v>
      </c>
      <c r="C373" s="3">
        <v>9388.6511339999997</v>
      </c>
      <c r="D373" s="3">
        <f t="shared" si="46"/>
        <v>71.521724521333155</v>
      </c>
      <c r="E373" s="25" t="s">
        <v>657</v>
      </c>
      <c r="F373" s="25" t="s">
        <v>646</v>
      </c>
      <c r="G373" s="3">
        <f t="shared" si="50"/>
        <v>7.3158835045097854</v>
      </c>
      <c r="H373" s="3">
        <f t="shared" si="51"/>
        <v>9.1472569126824954</v>
      </c>
      <c r="I373" s="3">
        <f t="shared" si="49"/>
        <v>0.89853687178178665</v>
      </c>
    </row>
    <row r="374" spans="1:9" x14ac:dyDescent="0.25">
      <c r="A374" s="2" t="s">
        <v>649</v>
      </c>
      <c r="B374" s="3">
        <v>1130</v>
      </c>
      <c r="C374" s="3">
        <v>7844.9615229999999</v>
      </c>
      <c r="D374" s="3">
        <f t="shared" si="46"/>
        <v>72.311136759110411</v>
      </c>
      <c r="E374" s="25" t="s">
        <v>657</v>
      </c>
      <c r="F374" s="25" t="s">
        <v>646</v>
      </c>
      <c r="G374" s="3">
        <f t="shared" si="50"/>
        <v>7.0299729117063858</v>
      </c>
      <c r="H374" s="3">
        <f t="shared" si="51"/>
        <v>8.9676267605024602</v>
      </c>
      <c r="I374" s="3">
        <f t="shared" si="49"/>
        <v>0.91626251238541745</v>
      </c>
    </row>
    <row r="375" spans="1:9" x14ac:dyDescent="0.25">
      <c r="A375" s="2" t="s">
        <v>650</v>
      </c>
      <c r="B375" s="3">
        <f>POWER(10,2.754*LOG(480)-0.683)/1000</f>
        <v>5025.0266311715559</v>
      </c>
      <c r="C375" s="3">
        <v>24252.665140000001</v>
      </c>
      <c r="D375" s="3">
        <f t="shared" si="46"/>
        <v>82.667326383280667</v>
      </c>
      <c r="E375" s="25" t="s">
        <v>657</v>
      </c>
      <c r="F375" s="25" t="s">
        <v>687</v>
      </c>
      <c r="G375" s="3">
        <f t="shared" si="50"/>
        <v>8.5221860326488663</v>
      </c>
      <c r="H375" s="3">
        <f t="shared" si="51"/>
        <v>10.096281793007185</v>
      </c>
      <c r="I375" s="3">
        <f t="shared" si="49"/>
        <v>1.0017284947919318</v>
      </c>
    </row>
    <row r="376" spans="1:9" x14ac:dyDescent="0.25">
      <c r="A376" s="2" t="s">
        <v>651</v>
      </c>
      <c r="B376" s="3">
        <v>1162.45940674742</v>
      </c>
      <c r="C376" s="3">
        <v>10845.148929999999</v>
      </c>
      <c r="D376" s="3">
        <f t="shared" si="46"/>
        <v>98.095779558141302</v>
      </c>
      <c r="E376" s="25" t="s">
        <v>657</v>
      </c>
      <c r="F376" s="25" t="s">
        <v>646</v>
      </c>
      <c r="G376" s="3">
        <f t="shared" si="50"/>
        <v>7.0582932179248807</v>
      </c>
      <c r="H376" s="3">
        <f t="shared" si="51"/>
        <v>9.2914731557623504</v>
      </c>
      <c r="I376" s="3">
        <f t="shared" si="49"/>
        <v>1.2419293528819231</v>
      </c>
    </row>
    <row r="377" spans="1:9" x14ac:dyDescent="0.25">
      <c r="A377" s="2" t="s">
        <v>60</v>
      </c>
      <c r="B377" s="3">
        <v>1504</v>
      </c>
      <c r="C377" s="3">
        <v>3572.56</v>
      </c>
      <c r="D377" s="3">
        <f t="shared" si="46"/>
        <v>27.215374020088067</v>
      </c>
      <c r="E377" s="25" t="s">
        <v>657</v>
      </c>
      <c r="F377" s="25" t="s">
        <v>675</v>
      </c>
      <c r="G377" s="3">
        <f t="shared" si="50"/>
        <v>7.3158835045097854</v>
      </c>
      <c r="H377" s="3">
        <f t="shared" si="51"/>
        <v>8.1810377046245009</v>
      </c>
      <c r="I377" s="3">
        <f t="shared" si="49"/>
        <v>0.34191033843272634</v>
      </c>
    </row>
    <row r="378" spans="1:9" x14ac:dyDescent="0.25">
      <c r="A378" s="2" t="s">
        <v>652</v>
      </c>
      <c r="B378" s="3">
        <v>350</v>
      </c>
      <c r="C378" s="3">
        <v>1936.8200859999999</v>
      </c>
      <c r="D378" s="3">
        <f t="shared" si="46"/>
        <v>38.998142103730338</v>
      </c>
      <c r="E378" s="25" t="s">
        <v>657</v>
      </c>
      <c r="F378" s="25" t="s">
        <v>674</v>
      </c>
      <c r="G378" s="3">
        <f t="shared" si="50"/>
        <v>5.857933154483459</v>
      </c>
      <c r="H378" s="3">
        <f t="shared" si="51"/>
        <v>7.5688027762846541</v>
      </c>
      <c r="I378" s="3">
        <f t="shared" si="49"/>
        <v>0.51179380527576179</v>
      </c>
    </row>
    <row r="379" spans="1:9" x14ac:dyDescent="0.25">
      <c r="A379" s="2" t="s">
        <v>59</v>
      </c>
      <c r="B379" s="3">
        <v>12.14</v>
      </c>
      <c r="C379" s="3">
        <v>288.69608849999997</v>
      </c>
      <c r="D379" s="3">
        <f t="shared" si="46"/>
        <v>54.654816673444103</v>
      </c>
      <c r="E379" s="25" t="s">
        <v>657</v>
      </c>
      <c r="F379" s="25" t="s">
        <v>646</v>
      </c>
      <c r="G379" s="3">
        <f t="shared" si="50"/>
        <v>2.4965057856313524</v>
      </c>
      <c r="H379" s="3">
        <f t="shared" si="51"/>
        <v>5.6653745379106697</v>
      </c>
      <c r="I379" s="3">
        <f t="shared" si="49"/>
        <v>0.79319087030179458</v>
      </c>
    </row>
    <row r="380" spans="1:9" x14ac:dyDescent="0.25">
      <c r="A380" s="2" t="s">
        <v>653</v>
      </c>
      <c r="B380" s="3">
        <v>13.0528220298457</v>
      </c>
      <c r="C380" s="3">
        <v>392.93424750000003</v>
      </c>
      <c r="D380" s="3">
        <f t="shared" si="46"/>
        <v>70.878895024061563</v>
      </c>
      <c r="E380" s="25" t="s">
        <v>657</v>
      </c>
      <c r="F380" s="25" t="s">
        <v>646</v>
      </c>
      <c r="G380" s="3">
        <f t="shared" si="50"/>
        <v>2.5690043578883373</v>
      </c>
      <c r="H380" s="3">
        <f t="shared" si="51"/>
        <v>5.9736422887112175</v>
      </c>
      <c r="I380" s="3">
        <f t="shared" si="49"/>
        <v>1.0264167496369121</v>
      </c>
    </row>
    <row r="381" spans="1:9" x14ac:dyDescent="0.25">
      <c r="A381" s="2" t="s">
        <v>654</v>
      </c>
      <c r="B381" s="3">
        <v>2700</v>
      </c>
      <c r="C381" s="3">
        <v>16206.266589999999</v>
      </c>
      <c r="D381" s="3">
        <f t="shared" si="46"/>
        <v>83.580917820773152</v>
      </c>
      <c r="E381" s="25" t="s">
        <v>657</v>
      </c>
      <c r="F381" s="25" t="s">
        <v>674</v>
      </c>
      <c r="G381" s="3">
        <f t="shared" si="50"/>
        <v>7.90100705199242</v>
      </c>
      <c r="H381" s="3">
        <f t="shared" si="51"/>
        <v>9.6931532729655867</v>
      </c>
      <c r="I381" s="3">
        <f t="shared" si="49"/>
        <v>1.0318071305047645</v>
      </c>
    </row>
    <row r="382" spans="1:9" x14ac:dyDescent="0.25">
      <c r="A382" s="2" t="s">
        <v>654</v>
      </c>
      <c r="B382" s="3">
        <v>2300</v>
      </c>
      <c r="C382" s="3">
        <v>16641.29681</v>
      </c>
      <c r="D382" s="3">
        <f t="shared" si="46"/>
        <v>95.50701592966432</v>
      </c>
      <c r="E382" s="25" t="s">
        <v>657</v>
      </c>
      <c r="F382" s="25" t="s">
        <v>673</v>
      </c>
      <c r="G382" s="3">
        <f t="shared" si="50"/>
        <v>7.7406644019172415</v>
      </c>
      <c r="H382" s="3">
        <f t="shared" si="51"/>
        <v>9.7196426446318274</v>
      </c>
      <c r="I382" s="3">
        <f t="shared" si="49"/>
        <v>1.1847073976188882</v>
      </c>
    </row>
    <row r="383" spans="1:9" x14ac:dyDescent="0.25">
      <c r="A383" s="2" t="s">
        <v>655</v>
      </c>
      <c r="B383" s="3">
        <v>1013</v>
      </c>
      <c r="C383" s="3">
        <v>13816.80804</v>
      </c>
      <c r="D383" s="3">
        <f t="shared" si="46"/>
        <v>136.98344801185283</v>
      </c>
      <c r="E383" s="25" t="s">
        <v>657</v>
      </c>
      <c r="F383" s="25" t="s">
        <v>672</v>
      </c>
      <c r="G383" s="3">
        <f t="shared" si="50"/>
        <v>6.9206715042486833</v>
      </c>
      <c r="H383" s="3">
        <f t="shared" si="51"/>
        <v>9.5336411039298348</v>
      </c>
      <c r="I383" s="3">
        <f t="shared" si="49"/>
        <v>1.7414208040342054</v>
      </c>
    </row>
    <row r="384" spans="1:9" x14ac:dyDescent="0.25">
      <c r="A384" s="2" t="s">
        <v>656</v>
      </c>
      <c r="B384" s="3">
        <v>6.3140280461379197</v>
      </c>
      <c r="C384" s="3">
        <v>249.65756540000001</v>
      </c>
      <c r="D384" s="3">
        <f t="shared" si="46"/>
        <v>73.081433915868459</v>
      </c>
      <c r="E384" s="25" t="s">
        <v>657</v>
      </c>
      <c r="F384" s="25" t="s">
        <v>646</v>
      </c>
      <c r="G384" s="3">
        <f t="shared" si="50"/>
        <v>1.8427738320229761</v>
      </c>
      <c r="H384" s="3">
        <f t="shared" si="51"/>
        <v>5.5200902405130963</v>
      </c>
      <c r="I384" s="3">
        <f t="shared" si="49"/>
        <v>1.0815703243524957</v>
      </c>
    </row>
    <row r="385" spans="1:9" x14ac:dyDescent="0.25">
      <c r="A385" s="2" t="s">
        <v>660</v>
      </c>
      <c r="B385" s="3">
        <v>6177.04</v>
      </c>
      <c r="C385" s="3">
        <v>16984</v>
      </c>
      <c r="D385" s="3">
        <f t="shared" si="46"/>
        <v>50.44905536840853</v>
      </c>
      <c r="E385" s="26" t="s">
        <v>237</v>
      </c>
      <c r="F385" s="26" t="s">
        <v>676</v>
      </c>
      <c r="G385" s="3">
        <f t="shared" ref="G385:G390" si="52">LN(B385)</f>
        <v>8.7285944713103536</v>
      </c>
      <c r="H385" s="3">
        <f t="shared" ref="H385:H390" si="53">LN(C385)</f>
        <v>9.7400270033830925</v>
      </c>
      <c r="I385" s="3">
        <f t="shared" si="49"/>
        <v>0.60755540557612009</v>
      </c>
    </row>
    <row r="386" spans="1:9" x14ac:dyDescent="0.25">
      <c r="A386" s="2" t="s">
        <v>661</v>
      </c>
      <c r="B386" s="3">
        <f>POWER(10,2.754*LOG(350)-0.683)/1000</f>
        <v>2105.539504495147</v>
      </c>
      <c r="C386" s="3">
        <v>3416.3204929243898</v>
      </c>
      <c r="D386" s="3">
        <f t="shared" si="46"/>
        <v>20.796153290643581</v>
      </c>
      <c r="E386" s="26" t="s">
        <v>237</v>
      </c>
      <c r="F386" s="10" t="s">
        <v>688</v>
      </c>
      <c r="G386" s="3">
        <f t="shared" si="52"/>
        <v>7.6523270099503797</v>
      </c>
      <c r="H386" s="3">
        <f t="shared" si="53"/>
        <v>8.1363193716212319</v>
      </c>
      <c r="I386" s="3">
        <f t="shared" si="49"/>
        <v>0.2586468597552094</v>
      </c>
    </row>
    <row r="387" spans="1:9" x14ac:dyDescent="0.25">
      <c r="A387" s="2" t="s">
        <v>662</v>
      </c>
      <c r="B387" s="3">
        <v>6325</v>
      </c>
      <c r="C387" s="3">
        <v>25449.1975520052</v>
      </c>
      <c r="D387" s="3">
        <f t="shared" si="46"/>
        <v>74.410417240525206</v>
      </c>
      <c r="E387" s="26" t="s">
        <v>237</v>
      </c>
      <c r="F387" s="10" t="s">
        <v>683</v>
      </c>
      <c r="G387" s="3">
        <f t="shared" si="52"/>
        <v>8.7522653135957214</v>
      </c>
      <c r="H387" s="3">
        <f t="shared" si="53"/>
        <v>10.1444394911085</v>
      </c>
      <c r="I387" s="3">
        <f t="shared" si="49"/>
        <v>0.89548614774219459</v>
      </c>
    </row>
    <row r="388" spans="1:9" s="26" customFormat="1" x14ac:dyDescent="0.25">
      <c r="A388" s="2" t="s">
        <v>647</v>
      </c>
      <c r="B388" s="3">
        <v>1743</v>
      </c>
      <c r="C388" s="3">
        <v>7171.6109809273803</v>
      </c>
      <c r="D388" s="3">
        <f t="shared" si="46"/>
        <v>49.516711972852427</v>
      </c>
      <c r="E388" s="26" t="s">
        <v>237</v>
      </c>
      <c r="F388" s="26" t="s">
        <v>677</v>
      </c>
      <c r="G388" s="3">
        <f t="shared" si="52"/>
        <v>7.4633630455200208</v>
      </c>
      <c r="H388" s="3">
        <f t="shared" si="53"/>
        <v>8.8778855918885107</v>
      </c>
      <c r="I388" s="3">
        <f t="shared" si="49"/>
        <v>0.61934481752458748</v>
      </c>
    </row>
    <row r="389" spans="1:9" x14ac:dyDescent="0.25">
      <c r="A389" s="2" t="s">
        <v>663</v>
      </c>
      <c r="B389" s="3">
        <v>524</v>
      </c>
      <c r="C389" s="3">
        <v>5998.3563019004296</v>
      </c>
      <c r="D389" s="3">
        <f t="shared" si="46"/>
        <v>92.28789379743678</v>
      </c>
      <c r="E389" s="26" t="s">
        <v>237</v>
      </c>
      <c r="F389" s="26" t="s">
        <v>679</v>
      </c>
      <c r="G389" s="3">
        <f t="shared" si="52"/>
        <v>6.261491684321042</v>
      </c>
      <c r="H389" s="3">
        <f t="shared" si="53"/>
        <v>8.6992407609958615</v>
      </c>
      <c r="I389" s="3">
        <f t="shared" si="49"/>
        <v>1.1966017371342328</v>
      </c>
    </row>
    <row r="390" spans="1:9" x14ac:dyDescent="0.25">
      <c r="A390" s="2" t="s">
        <v>664</v>
      </c>
      <c r="B390" s="3">
        <v>42</v>
      </c>
      <c r="C390" s="3">
        <v>706.023203879584</v>
      </c>
      <c r="D390" s="3">
        <f t="shared" si="46"/>
        <v>58.432273061750777</v>
      </c>
      <c r="E390" s="26" t="s">
        <v>237</v>
      </c>
      <c r="F390" s="26" t="s">
        <v>680</v>
      </c>
      <c r="G390" s="3">
        <f t="shared" si="52"/>
        <v>3.7376696182833684</v>
      </c>
      <c r="H390" s="3">
        <f t="shared" si="53"/>
        <v>6.559648103638108</v>
      </c>
      <c r="I390" s="3">
        <f t="shared" si="49"/>
        <v>0.81708467145677222</v>
      </c>
    </row>
    <row r="391" spans="1:9" x14ac:dyDescent="0.25">
      <c r="A391" s="2" t="s">
        <v>667</v>
      </c>
      <c r="B391" s="3">
        <v>7390</v>
      </c>
      <c r="C391" s="3">
        <v>11935.6168365434</v>
      </c>
      <c r="D391" s="3">
        <f t="shared" si="46"/>
        <v>31.459265318184478</v>
      </c>
      <c r="E391" s="26" t="s">
        <v>237</v>
      </c>
      <c r="F391" s="26" t="s">
        <v>681</v>
      </c>
      <c r="G391" s="3">
        <f t="shared" ref="G391:G395" si="54">LN(B391)</f>
        <v>8.9078830139422482</v>
      </c>
      <c r="H391" s="3">
        <f t="shared" ref="H391:H395" si="55">LN(C391)</f>
        <v>9.3872822204322492</v>
      </c>
      <c r="I391" s="3">
        <f t="shared" si="49"/>
        <v>0.37683453500109182</v>
      </c>
    </row>
    <row r="392" spans="1:9" x14ac:dyDescent="0.25">
      <c r="A392" s="2" t="s">
        <v>668</v>
      </c>
      <c r="B392" s="3">
        <f>(280/230)*(280/230)*(280/230)*15</f>
        <v>27.063368126900638</v>
      </c>
      <c r="C392" s="3">
        <v>304.38665913735002</v>
      </c>
      <c r="D392" s="3">
        <f t="shared" si="46"/>
        <v>33.76792572973492</v>
      </c>
      <c r="E392" s="26" t="s">
        <v>237</v>
      </c>
      <c r="F392" s="26" t="s">
        <v>684</v>
      </c>
      <c r="G392" s="3">
        <f t="shared" si="54"/>
        <v>3.2981810838403729</v>
      </c>
      <c r="H392" s="3">
        <f t="shared" si="55"/>
        <v>5.7182987982772753</v>
      </c>
      <c r="I392" s="3">
        <f t="shared" si="49"/>
        <v>0.47844493899746898</v>
      </c>
    </row>
    <row r="393" spans="1:9" x14ac:dyDescent="0.25">
      <c r="A393" s="2" t="s">
        <v>669</v>
      </c>
      <c r="B393" s="3">
        <v>1330</v>
      </c>
      <c r="C393" s="3">
        <v>6312.2812749765799</v>
      </c>
      <c r="D393" s="3">
        <f t="shared" si="46"/>
        <v>52.193759746907674</v>
      </c>
      <c r="E393" s="26" t="s">
        <v>237</v>
      </c>
      <c r="F393" s="26" t="s">
        <v>682</v>
      </c>
      <c r="G393" s="3">
        <f t="shared" si="54"/>
        <v>7.1929342212157996</v>
      </c>
      <c r="H393" s="3">
        <f t="shared" si="55"/>
        <v>8.750252423474647</v>
      </c>
      <c r="I393" s="3">
        <f t="shared" si="49"/>
        <v>0.65813476735142062</v>
      </c>
    </row>
    <row r="394" spans="1:9" x14ac:dyDescent="0.25">
      <c r="A394" s="2" t="s">
        <v>666</v>
      </c>
      <c r="B394" s="3">
        <v>475</v>
      </c>
      <c r="C394" s="3">
        <v>3872.3915755647599</v>
      </c>
      <c r="D394" s="3">
        <f t="shared" si="46"/>
        <v>63.608749860925712</v>
      </c>
      <c r="E394" s="26" t="s">
        <v>237</v>
      </c>
      <c r="F394" s="26" t="s">
        <v>685</v>
      </c>
      <c r="G394" s="3">
        <f t="shared" si="54"/>
        <v>6.1633148040346413</v>
      </c>
      <c r="H394" s="3">
        <f t="shared" si="55"/>
        <v>8.2616275733360514</v>
      </c>
      <c r="I394" s="3">
        <f t="shared" si="49"/>
        <v>0.82717622336571062</v>
      </c>
    </row>
    <row r="395" spans="1:9" x14ac:dyDescent="0.25">
      <c r="A395" s="2" t="s">
        <v>665</v>
      </c>
      <c r="B395" s="3">
        <v>440</v>
      </c>
      <c r="C395" s="10">
        <v>242.50025470955799</v>
      </c>
      <c r="D395" s="3">
        <f t="shared" ref="D395" si="56">C395*(1/B395)^(2/3)</f>
        <v>4.1918951835589917</v>
      </c>
      <c r="E395" s="26" t="s">
        <v>237</v>
      </c>
      <c r="F395" s="26" t="s">
        <v>686</v>
      </c>
      <c r="G395" s="3">
        <f t="shared" si="54"/>
        <v>6.0867747269123065</v>
      </c>
      <c r="H395" s="3">
        <f t="shared" si="55"/>
        <v>5.4910027607256788</v>
      </c>
      <c r="I395" s="3">
        <f>C395/EXP(0.6966*LN(B395)+4.158)</f>
        <v>5.4636970278415457E-2</v>
      </c>
    </row>
    <row r="396" spans="1:9" x14ac:dyDescent="0.25">
      <c r="E396" s="26"/>
      <c r="F396" s="26"/>
    </row>
    <row r="397" spans="1:9" x14ac:dyDescent="0.25">
      <c r="E397" s="26"/>
      <c r="F397" s="26"/>
    </row>
    <row r="398" spans="1:9" x14ac:dyDescent="0.25">
      <c r="E398" s="26"/>
      <c r="F398" s="26"/>
    </row>
  </sheetData>
  <mergeCells count="13">
    <mergeCell ref="A1:I1"/>
    <mergeCell ref="A3:H3"/>
    <mergeCell ref="A251:H251"/>
    <mergeCell ref="A297:H297"/>
    <mergeCell ref="A322:H322"/>
    <mergeCell ref="A366:H366"/>
    <mergeCell ref="A326:H326"/>
    <mergeCell ref="A15:H15"/>
    <mergeCell ref="A31:H31"/>
    <mergeCell ref="A61:H61"/>
    <mergeCell ref="A85:H85"/>
    <mergeCell ref="A165:H165"/>
    <mergeCell ref="A247:H247"/>
  </mergeCells>
  <phoneticPr fontId="11" type="noConversion"/>
  <hyperlinks>
    <hyperlink ref="F109" r:id="rId1" xr:uid="{0ED39283-3411-4AD9-AB09-B91C2DF53A20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C129D-E9A3-44F7-8961-889FD91A5510}">
  <dimension ref="A1:B361"/>
  <sheetViews>
    <sheetView topLeftCell="A331" workbookViewId="0">
      <selection activeCell="B352" sqref="B352"/>
    </sheetView>
  </sheetViews>
  <sheetFormatPr defaultRowHeight="15" x14ac:dyDescent="0.25"/>
  <cols>
    <col min="1" max="1" width="32.85546875" bestFit="1" customWidth="1"/>
    <col min="2" max="2" width="18" style="21" bestFit="1" customWidth="1"/>
  </cols>
  <sheetData>
    <row r="1" spans="1:2" x14ac:dyDescent="0.25">
      <c r="A1" s="18" t="s">
        <v>180</v>
      </c>
      <c r="B1" s="19" t="s">
        <v>640</v>
      </c>
    </row>
    <row r="2" spans="1:2" x14ac:dyDescent="0.25">
      <c r="A2" s="2" t="str">
        <f>'[1]Base stats'!$B2</f>
        <v>Ursus maritimus</v>
      </c>
      <c r="B2" s="20" cm="1">
        <f t="array" ref="B2">IF(
SUMPRODUCT(--(
TRIM(LEFT(Teeth!$A:$A,SEARCH("§",SUBSTITUTE(Teeth!$A:$A," ","§",2)&amp;"§")-1))=
TRIM(LEFT(A2,SEARCH("§",SUBSTITUTE(A2," ","§",2)&amp;"§")-1))
))&gt;0,
IF(
COUNT(_xlfn._xlws.FILTER(Teeth!$D:$D,
TRIM(LEFT(Teeth!$A:$A,SEARCH("§",SUBSTITUTE(Teeth!$A:$A," ","§",2)&amp;"§")-1))=
TRIM(LEFT(A2,SEARCH("§",SUBSTITUTE(A2," ","§",2)&amp;"§")-1))
))=0,
1,
MAX(_xlfn._xlws.FILTER(Teeth!$D:$D,
TRIM(LEFT(Teeth!$A:$A,SEARCH("§",SUBSTITUTE(Teeth!$A:$A," ","§",2)&amp;"§")-1))=
TRIM(LEFT(A2,SEARCH("§",SUBSTITUTE(A2," ","§",2)&amp;"§")-1))
))
),
IF(
SUMPRODUCT(--(
TRIM(LEFT(Teeth!$A:$A,SEARCH(" ",Teeth!$A:$A&amp;" ")-1))=
TRIM(LEFT(A2,SEARCH(" ",A2&amp;" ")-1))
))&gt;0,
IF(
COUNT(_xlfn._xlws.FILTER(Teeth!$D:$D,
TRIM(LEFT(Teeth!$A:$A,SEARCH(" ",Teeth!$A:$A&amp;" ")-1))=
TRIM(LEFT(A2,SEARCH(" ",A2&amp;" ")-1))
))=0,
1,
AVERAGE(_xlfn._xlws.FILTER(Teeth!$D:$D,
TRIM(LEFT(Teeth!$A:$A,SEARCH(" ",Teeth!$A:$A&amp;" ")-1))=
TRIM(LEFT(A2,SEARCH(" ",A2&amp;" ")-1))
))
),
1
)
)</f>
        <v>0.83672459442041081</v>
      </c>
    </row>
    <row r="3" spans="1:2" x14ac:dyDescent="0.25">
      <c r="A3" s="2" t="str">
        <f>'[1]Base stats'!$B3</f>
        <v>Ursus arctos</v>
      </c>
      <c r="B3" s="20" cm="1">
        <f t="array" ref="B3">IF(
SUMPRODUCT(--(
TRIM(LEFT(Teeth!$A:$A,SEARCH("§",SUBSTITUTE(Teeth!$A:$A," ","§",2)&amp;"§")-1))=
TRIM(LEFT(A3,SEARCH("§",SUBSTITUTE(A3," ","§",2)&amp;"§")-1))
))&gt;0,
IF(
COUNT(_xlfn._xlws.FILTER(Teeth!$D:$D,
TRIM(LEFT(Teeth!$A:$A,SEARCH("§",SUBSTITUTE(Teeth!$A:$A," ","§",2)&amp;"§")-1))=
TRIM(LEFT(A3,SEARCH("§",SUBSTITUTE(A3," ","§",2)&amp;"§")-1))
))=0,
1,
MAX(_xlfn._xlws.FILTER(Teeth!$D:$D,
TRIM(LEFT(Teeth!$A:$A,SEARCH("§",SUBSTITUTE(Teeth!$A:$A," ","§",2)&amp;"§")-1))=
TRIM(LEFT(A3,SEARCH("§",SUBSTITUTE(A3," ","§",2)&amp;"§")-1))
))
),
IF(
SUMPRODUCT(--(
TRIM(LEFT(Teeth!$A:$A,SEARCH(" ",Teeth!$A:$A&amp;" ")-1))=
TRIM(LEFT(A3,SEARCH(" ",A3&amp;" ")-1))
))&gt;0,
IF(
COUNT(_xlfn._xlws.FILTER(Teeth!$D:$D,
TRIM(LEFT(Teeth!$A:$A,SEARCH(" ",Teeth!$A:$A&amp;" ")-1))=
TRIM(LEFT(A3,SEARCH(" ",A3&amp;" ")-1))
))=0,
1,
AVERAGE(_xlfn._xlws.FILTER(Teeth!$D:$D,
TRIM(LEFT(Teeth!$A:$A,SEARCH(" ",Teeth!$A:$A&amp;" ")-1))=
TRIM(LEFT(A3,SEARCH(" ",A3&amp;" ")-1))
))
),
1
)
)</f>
        <v>0.79656342827100557</v>
      </c>
    </row>
    <row r="4" spans="1:2" x14ac:dyDescent="0.25">
      <c r="A4" s="2" t="str">
        <f>'[1]Base stats'!$B4</f>
        <v>Procyon lotor</v>
      </c>
      <c r="B4" s="20" cm="1">
        <f t="array" ref="B4">IF(
SUMPRODUCT(--(
TRIM(LEFT(Teeth!$A:$A,SEARCH("§",SUBSTITUTE(Teeth!$A:$A," ","§",2)&amp;"§")-1))=
TRIM(LEFT(A4,SEARCH("§",SUBSTITUTE(A4," ","§",2)&amp;"§")-1))
))&gt;0,
IF(
COUNT(_xlfn._xlws.FILTER(Teeth!$D:$D,
TRIM(LEFT(Teeth!$A:$A,SEARCH("§",SUBSTITUTE(Teeth!$A:$A," ","§",2)&amp;"§")-1))=
TRIM(LEFT(A4,SEARCH("§",SUBSTITUTE(A4," ","§",2)&amp;"§")-1))
))=0,
1,
MAX(_xlfn._xlws.FILTER(Teeth!$D:$D,
TRIM(LEFT(Teeth!$A:$A,SEARCH("§",SUBSTITUTE(Teeth!$A:$A," ","§",2)&amp;"§")-1))=
TRIM(LEFT(A4,SEARCH("§",SUBSTITUTE(A4," ","§",2)&amp;"§")-1))
))
),
IF(
SUMPRODUCT(--(
TRIM(LEFT(Teeth!$A:$A,SEARCH(" ",Teeth!$A:$A&amp;" ")-1))=
TRIM(LEFT(A4,SEARCH(" ",A4&amp;" ")-1))
))&gt;0,
IF(
COUNT(_xlfn._xlws.FILTER(Teeth!$D:$D,
TRIM(LEFT(Teeth!$A:$A,SEARCH(" ",Teeth!$A:$A&amp;" ")-1))=
TRIM(LEFT(A4,SEARCH(" ",A4&amp;" ")-1))
))=0,
1,
AVERAGE(_xlfn._xlws.FILTER(Teeth!$D:$D,
TRIM(LEFT(Teeth!$A:$A,SEARCH(" ",Teeth!$A:$A&amp;" ")-1))=
TRIM(LEFT(A4,SEARCH(" ",A4&amp;" ")-1))
))
),
1
)
)</f>
        <v>1.1605024511758444</v>
      </c>
    </row>
    <row r="5" spans="1:2" x14ac:dyDescent="0.25">
      <c r="A5" s="2" t="str">
        <f>'[1]Base stats'!$B5</f>
        <v>Struthio camelus</v>
      </c>
      <c r="B5" s="20" cm="1">
        <f t="array" ref="B5">IF(
SUMPRODUCT(--(
TRIM(LEFT(Teeth!$A:$A,SEARCH("§",SUBSTITUTE(Teeth!$A:$A," ","§",2)&amp;"§")-1))=
TRIM(LEFT(A5,SEARCH("§",SUBSTITUTE(A5," ","§",2)&amp;"§")-1))
))&gt;0,
IF(
COUNT(_xlfn._xlws.FILTER(Teeth!$D:$D,
TRIM(LEFT(Teeth!$A:$A,SEARCH("§",SUBSTITUTE(Teeth!$A:$A," ","§",2)&amp;"§")-1))=
TRIM(LEFT(A5,SEARCH("§",SUBSTITUTE(A5," ","§",2)&amp;"§")-1))
))=0,
1,
MAX(_xlfn._xlws.FILTER(Teeth!$D:$D,
TRIM(LEFT(Teeth!$A:$A,SEARCH("§",SUBSTITUTE(Teeth!$A:$A," ","§",2)&amp;"§")-1))=
TRIM(LEFT(A5,SEARCH("§",SUBSTITUTE(A5," ","§",2)&amp;"§")-1))
))
),
IF(
SUMPRODUCT(--(
TRIM(LEFT(Teeth!$A:$A,SEARCH(" ",Teeth!$A:$A&amp;" ")-1))=
TRIM(LEFT(A5,SEARCH(" ",A5&amp;" ")-1))
))&gt;0,
IF(
COUNT(_xlfn._xlws.FILTER(Teeth!$D:$D,
TRIM(LEFT(Teeth!$A:$A,SEARCH(" ",Teeth!$A:$A&amp;" ")-1))=
TRIM(LEFT(A5,SEARCH(" ",A5&amp;" ")-1))
))=0,
1,
AVERAGE(_xlfn._xlws.FILTER(Teeth!$D:$D,
TRIM(LEFT(Teeth!$A:$A,SEARCH(" ",Teeth!$A:$A&amp;" ")-1))=
TRIM(LEFT(A5,SEARCH(" ",A5&amp;" ")-1))
))
),
1
)
)</f>
        <v>1</v>
      </c>
    </row>
    <row r="6" spans="1:2" x14ac:dyDescent="0.25">
      <c r="A6" s="2" t="str">
        <f>'[1]Base stats'!$B6</f>
        <v>Casuarius casuarius</v>
      </c>
      <c r="B6" s="20" cm="1">
        <f t="array" ref="B6">IF(
SUMPRODUCT(--(
TRIM(LEFT(Teeth!$A:$A,SEARCH("§",SUBSTITUTE(Teeth!$A:$A," ","§",2)&amp;"§")-1))=
TRIM(LEFT(A6,SEARCH("§",SUBSTITUTE(A6," ","§",2)&amp;"§")-1))
))&gt;0,
IF(
COUNT(_xlfn._xlws.FILTER(Teeth!$D:$D,
TRIM(LEFT(Teeth!$A:$A,SEARCH("§",SUBSTITUTE(Teeth!$A:$A," ","§",2)&amp;"§")-1))=
TRIM(LEFT(A6,SEARCH("§",SUBSTITUTE(A6," ","§",2)&amp;"§")-1))
))=0,
1,
MAX(_xlfn._xlws.FILTER(Teeth!$D:$D,
TRIM(LEFT(Teeth!$A:$A,SEARCH("§",SUBSTITUTE(Teeth!$A:$A," ","§",2)&amp;"§")-1))=
TRIM(LEFT(A6,SEARCH("§",SUBSTITUTE(A6," ","§",2)&amp;"§")-1))
))
),
IF(
SUMPRODUCT(--(
TRIM(LEFT(Teeth!$A:$A,SEARCH(" ",Teeth!$A:$A&amp;" ")-1))=
TRIM(LEFT(A6,SEARCH(" ",A6&amp;" ")-1))
))&gt;0,
IF(
COUNT(_xlfn._xlws.FILTER(Teeth!$D:$D,
TRIM(LEFT(Teeth!$A:$A,SEARCH(" ",Teeth!$A:$A&amp;" ")-1))=
TRIM(LEFT(A6,SEARCH(" ",A6&amp;" ")-1))
))=0,
1,
AVERAGE(_xlfn._xlws.FILTER(Teeth!$D:$D,
TRIM(LEFT(Teeth!$A:$A,SEARCH(" ",Teeth!$A:$A&amp;" ")-1))=
TRIM(LEFT(A6,SEARCH(" ",A6&amp;" ")-1))
))
),
1
)
)</f>
        <v>1</v>
      </c>
    </row>
    <row r="7" spans="1:2" x14ac:dyDescent="0.25">
      <c r="A7" s="2" t="str">
        <f>'[1]Base stats'!$B7</f>
        <v>Dromaius novaehollandiae</v>
      </c>
      <c r="B7" s="20" cm="1">
        <f t="array" ref="B7">IF(
SUMPRODUCT(--(
TRIM(LEFT(Teeth!$A:$A,SEARCH("§",SUBSTITUTE(Teeth!$A:$A," ","§",2)&amp;"§")-1))=
TRIM(LEFT(A7,SEARCH("§",SUBSTITUTE(A7," ","§",2)&amp;"§")-1))
))&gt;0,
IF(
COUNT(_xlfn._xlws.FILTER(Teeth!$D:$D,
TRIM(LEFT(Teeth!$A:$A,SEARCH("§",SUBSTITUTE(Teeth!$A:$A," ","§",2)&amp;"§")-1))=
TRIM(LEFT(A7,SEARCH("§",SUBSTITUTE(A7," ","§",2)&amp;"§")-1))
))=0,
1,
MAX(_xlfn._xlws.FILTER(Teeth!$D:$D,
TRIM(LEFT(Teeth!$A:$A,SEARCH("§",SUBSTITUTE(Teeth!$A:$A," ","§",2)&amp;"§")-1))=
TRIM(LEFT(A7,SEARCH("§",SUBSTITUTE(A7," ","§",2)&amp;"§")-1))
))
),
IF(
SUMPRODUCT(--(
TRIM(LEFT(Teeth!$A:$A,SEARCH(" ",Teeth!$A:$A&amp;" ")-1))=
TRIM(LEFT(A7,SEARCH(" ",A7&amp;" ")-1))
))&gt;0,
IF(
COUNT(_xlfn._xlws.FILTER(Teeth!$D:$D,
TRIM(LEFT(Teeth!$A:$A,SEARCH(" ",Teeth!$A:$A&amp;" ")-1))=
TRIM(LEFT(A7,SEARCH(" ",A7&amp;" ")-1))
))=0,
1,
AVERAGE(_xlfn._xlws.FILTER(Teeth!$D:$D,
TRIM(LEFT(Teeth!$A:$A,SEARCH(" ",Teeth!$A:$A&amp;" ")-1))=
TRIM(LEFT(A7,SEARCH(" ",A7&amp;" ")-1))
))
),
1
)
)</f>
        <v>1</v>
      </c>
    </row>
    <row r="8" spans="1:2" x14ac:dyDescent="0.25">
      <c r="A8" s="2" t="str">
        <f>'[1]Base stats'!$B8</f>
        <v>Meleagris gallopavo (wild)</v>
      </c>
      <c r="B8" s="20" cm="1">
        <f t="array" ref="B8">IF(
SUMPRODUCT(--(
TRIM(LEFT(Teeth!$A:$A,SEARCH("§",SUBSTITUTE(Teeth!$A:$A," ","§",2)&amp;"§")-1))=
TRIM(LEFT(A8,SEARCH("§",SUBSTITUTE(A8," ","§",2)&amp;"§")-1))
))&gt;0,
IF(
COUNT(_xlfn._xlws.FILTER(Teeth!$D:$D,
TRIM(LEFT(Teeth!$A:$A,SEARCH("§",SUBSTITUTE(Teeth!$A:$A," ","§",2)&amp;"§")-1))=
TRIM(LEFT(A8,SEARCH("§",SUBSTITUTE(A8," ","§",2)&amp;"§")-1))
))=0,
1,
MAX(_xlfn._xlws.FILTER(Teeth!$D:$D,
TRIM(LEFT(Teeth!$A:$A,SEARCH("§",SUBSTITUTE(Teeth!$A:$A," ","§",2)&amp;"§")-1))=
TRIM(LEFT(A8,SEARCH("§",SUBSTITUTE(A8," ","§",2)&amp;"§")-1))
))
),
IF(
SUMPRODUCT(--(
TRIM(LEFT(Teeth!$A:$A,SEARCH(" ",Teeth!$A:$A&amp;" ")-1))=
TRIM(LEFT(A8,SEARCH(" ",A8&amp;" ")-1))
))&gt;0,
IF(
COUNT(_xlfn._xlws.FILTER(Teeth!$D:$D,
TRIM(LEFT(Teeth!$A:$A,SEARCH(" ",Teeth!$A:$A&amp;" ")-1))=
TRIM(LEFT(A8,SEARCH(" ",A8&amp;" ")-1))
))=0,
1,
AVERAGE(_xlfn._xlws.FILTER(Teeth!$D:$D,
TRIM(LEFT(Teeth!$A:$A,SEARCH(" ",Teeth!$A:$A&amp;" ")-1))=
TRIM(LEFT(A8,SEARCH(" ",A8&amp;" ")-1))
))
),
1
)
)</f>
        <v>1</v>
      </c>
    </row>
    <row r="9" spans="1:2" x14ac:dyDescent="0.25">
      <c r="A9" s="2" t="str">
        <f>'[1]Base stats'!$B9</f>
        <v>Anser anser (Adler)</v>
      </c>
      <c r="B9" s="20" cm="1">
        <f t="array" ref="B9">IF(
SUMPRODUCT(--(
TRIM(LEFT(Teeth!$A:$A,SEARCH("§",SUBSTITUTE(Teeth!$A:$A," ","§",2)&amp;"§")-1))=
TRIM(LEFT(A9,SEARCH("§",SUBSTITUTE(A9," ","§",2)&amp;"§")-1))
))&gt;0,
IF(
COUNT(_xlfn._xlws.FILTER(Teeth!$D:$D,
TRIM(LEFT(Teeth!$A:$A,SEARCH("§",SUBSTITUTE(Teeth!$A:$A," ","§",2)&amp;"§")-1))=
TRIM(LEFT(A9,SEARCH("§",SUBSTITUTE(A9," ","§",2)&amp;"§")-1))
))=0,
1,
MAX(_xlfn._xlws.FILTER(Teeth!$D:$D,
TRIM(LEFT(Teeth!$A:$A,SEARCH("§",SUBSTITUTE(Teeth!$A:$A," ","§",2)&amp;"§")-1))=
TRIM(LEFT(A9,SEARCH("§",SUBSTITUTE(A9," ","§",2)&amp;"§")-1))
))
),
IF(
SUMPRODUCT(--(
TRIM(LEFT(Teeth!$A:$A,SEARCH(" ",Teeth!$A:$A&amp;" ")-1))=
TRIM(LEFT(A9,SEARCH(" ",A9&amp;" ")-1))
))&gt;0,
IF(
COUNT(_xlfn._xlws.FILTER(Teeth!$D:$D,
TRIM(LEFT(Teeth!$A:$A,SEARCH(" ",Teeth!$A:$A&amp;" ")-1))=
TRIM(LEFT(A9,SEARCH(" ",A9&amp;" ")-1))
))=0,
1,
AVERAGE(_xlfn._xlws.FILTER(Teeth!$D:$D,
TRIM(LEFT(Teeth!$A:$A,SEARCH(" ",Teeth!$A:$A&amp;" ")-1))=
TRIM(LEFT(A9,SEARCH(" ",A9&amp;" ")-1))
))
),
1
)
)</f>
        <v>1</v>
      </c>
    </row>
    <row r="10" spans="1:2" x14ac:dyDescent="0.25">
      <c r="A10" s="2" t="str">
        <f>'[1]Base stats'!$B10</f>
        <v>Anas platyrhynchos (wild)</v>
      </c>
      <c r="B10" s="20" cm="1">
        <f t="array" ref="B10">IF(
SUMPRODUCT(--(
TRIM(LEFT(Teeth!$A:$A,SEARCH("§",SUBSTITUTE(Teeth!$A:$A," ","§",2)&amp;"§")-1))=
TRIM(LEFT(A10,SEARCH("§",SUBSTITUTE(A10," ","§",2)&amp;"§")-1))
))&gt;0,
IF(
COUNT(_xlfn._xlws.FILTER(Teeth!$D:$D,
TRIM(LEFT(Teeth!$A:$A,SEARCH("§",SUBSTITUTE(Teeth!$A:$A," ","§",2)&amp;"§")-1))=
TRIM(LEFT(A10,SEARCH("§",SUBSTITUTE(A10," ","§",2)&amp;"§")-1))
))=0,
1,
MAX(_xlfn._xlws.FILTER(Teeth!$D:$D,
TRIM(LEFT(Teeth!$A:$A,SEARCH("§",SUBSTITUTE(Teeth!$A:$A," ","§",2)&amp;"§")-1))=
TRIM(LEFT(A10,SEARCH("§",SUBSTITUTE(A10," ","§",2)&amp;"§")-1))
))
),
IF(
SUMPRODUCT(--(
TRIM(LEFT(Teeth!$A:$A,SEARCH(" ",Teeth!$A:$A&amp;" ")-1))=
TRIM(LEFT(A10,SEARCH(" ",A10&amp;" ")-1))
))&gt;0,
IF(
COUNT(_xlfn._xlws.FILTER(Teeth!$D:$D,
TRIM(LEFT(Teeth!$A:$A,SEARCH(" ",Teeth!$A:$A&amp;" ")-1))=
TRIM(LEFT(A10,SEARCH(" ",A10&amp;" ")-1))
))=0,
1,
AVERAGE(_xlfn._xlws.FILTER(Teeth!$D:$D,
TRIM(LEFT(Teeth!$A:$A,SEARCH(" ",Teeth!$A:$A&amp;" ")-1))=
TRIM(LEFT(A10,SEARCH(" ",A10&amp;" ")-1))
))
),
1
)
)</f>
        <v>1</v>
      </c>
    </row>
    <row r="11" spans="1:2" x14ac:dyDescent="0.25">
      <c r="A11" s="2" t="str">
        <f>'[1]Base stats'!$B11</f>
        <v>Gallus gallus</v>
      </c>
      <c r="B11" s="20" cm="1">
        <f t="array" ref="B11">IF(
SUMPRODUCT(--(
TRIM(LEFT(Teeth!$A:$A,SEARCH("§",SUBSTITUTE(Teeth!$A:$A," ","§",2)&amp;"§")-1))=
TRIM(LEFT(A11,SEARCH("§",SUBSTITUTE(A11," ","§",2)&amp;"§")-1))
))&gt;0,
IF(
COUNT(_xlfn._xlws.FILTER(Teeth!$D:$D,
TRIM(LEFT(Teeth!$A:$A,SEARCH("§",SUBSTITUTE(Teeth!$A:$A," ","§",2)&amp;"§")-1))=
TRIM(LEFT(A11,SEARCH("§",SUBSTITUTE(A11," ","§",2)&amp;"§")-1))
))=0,
1,
MAX(_xlfn._xlws.FILTER(Teeth!$D:$D,
TRIM(LEFT(Teeth!$A:$A,SEARCH("§",SUBSTITUTE(Teeth!$A:$A," ","§",2)&amp;"§")-1))=
TRIM(LEFT(A11,SEARCH("§",SUBSTITUTE(A11," ","§",2)&amp;"§")-1))
))
),
IF(
SUMPRODUCT(--(
TRIM(LEFT(Teeth!$A:$A,SEARCH(" ",Teeth!$A:$A&amp;" ")-1))=
TRIM(LEFT(A11,SEARCH(" ",A11&amp;" ")-1))
))&gt;0,
IF(
COUNT(_xlfn._xlws.FILTER(Teeth!$D:$D,
TRIM(LEFT(Teeth!$A:$A,SEARCH(" ",Teeth!$A:$A&amp;" ")-1))=
TRIM(LEFT(A11,SEARCH(" ",A11&amp;" ")-1))
))=0,
1,
AVERAGE(_xlfn._xlws.FILTER(Teeth!$D:$D,
TRIM(LEFT(Teeth!$A:$A,SEARCH(" ",Teeth!$A:$A&amp;" ")-1))=
TRIM(LEFT(A11,SEARCH(" ",A11&amp;" ")-1))
))
),
1
)
)</f>
        <v>1</v>
      </c>
    </row>
    <row r="12" spans="1:2" x14ac:dyDescent="0.25">
      <c r="A12" s="2" t="str">
        <f>'[1]Base stats'!$B12</f>
        <v>Camelus dromedarius</v>
      </c>
      <c r="B12" s="20" cm="1">
        <f t="array" ref="B12">IF(
SUMPRODUCT(--(
TRIM(LEFT(Teeth!$A:$A,SEARCH("§",SUBSTITUTE(Teeth!$A:$A," ","§",2)&amp;"§")-1))=
TRIM(LEFT(A12,SEARCH("§",SUBSTITUTE(A12," ","§",2)&amp;"§")-1))
))&gt;0,
IF(
COUNT(_xlfn._xlws.FILTER(Teeth!$D:$D,
TRIM(LEFT(Teeth!$A:$A,SEARCH("§",SUBSTITUTE(Teeth!$A:$A," ","§",2)&amp;"§")-1))=
TRIM(LEFT(A12,SEARCH("§",SUBSTITUTE(A12," ","§",2)&amp;"§")-1))
))=0,
1,
MAX(_xlfn._xlws.FILTER(Teeth!$D:$D,
TRIM(LEFT(Teeth!$A:$A,SEARCH("§",SUBSTITUTE(Teeth!$A:$A," ","§",2)&amp;"§")-1))=
TRIM(LEFT(A12,SEARCH("§",SUBSTITUTE(A12," ","§",2)&amp;"§")-1))
))
),
IF(
SUMPRODUCT(--(
TRIM(LEFT(Teeth!$A:$A,SEARCH(" ",Teeth!$A:$A&amp;" ")-1))=
TRIM(LEFT(A12,SEARCH(" ",A12&amp;" ")-1))
))&gt;0,
IF(
COUNT(_xlfn._xlws.FILTER(Teeth!$D:$D,
TRIM(LEFT(Teeth!$A:$A,SEARCH(" ",Teeth!$A:$A&amp;" ")-1))=
TRIM(LEFT(A12,SEARCH(" ",A12&amp;" ")-1))
))=0,
1,
AVERAGE(_xlfn._xlws.FILTER(Teeth!$D:$D,
TRIM(LEFT(Teeth!$A:$A,SEARCH(" ",Teeth!$A:$A&amp;" ")-1))=
TRIM(LEFT(A12,SEARCH(" ",A12&amp;" ")-1))
))
),
1
)
)</f>
        <v>1</v>
      </c>
    </row>
    <row r="13" spans="1:2" x14ac:dyDescent="0.25">
      <c r="A13" s="2" t="str">
        <f>'[1]Base stats'!$B13</f>
        <v>Lama pacos</v>
      </c>
      <c r="B13" s="20" cm="1">
        <f t="array" ref="B13">IF(
SUMPRODUCT(--(
TRIM(LEFT(Teeth!$A:$A,SEARCH("§",SUBSTITUTE(Teeth!$A:$A," ","§",2)&amp;"§")-1))=
TRIM(LEFT(A13,SEARCH("§",SUBSTITUTE(A13," ","§",2)&amp;"§")-1))
))&gt;0,
IF(
COUNT(_xlfn._xlws.FILTER(Teeth!$D:$D,
TRIM(LEFT(Teeth!$A:$A,SEARCH("§",SUBSTITUTE(Teeth!$A:$A," ","§",2)&amp;"§")-1))=
TRIM(LEFT(A13,SEARCH("§",SUBSTITUTE(A13," ","§",2)&amp;"§")-1))
))=0,
1,
MAX(_xlfn._xlws.FILTER(Teeth!$D:$D,
TRIM(LEFT(Teeth!$A:$A,SEARCH("§",SUBSTITUTE(Teeth!$A:$A," ","§",2)&amp;"§")-1))=
TRIM(LEFT(A13,SEARCH("§",SUBSTITUTE(A13," ","§",2)&amp;"§")-1))
))
),
IF(
SUMPRODUCT(--(
TRIM(LEFT(Teeth!$A:$A,SEARCH(" ",Teeth!$A:$A&amp;" ")-1))=
TRIM(LEFT(A13,SEARCH(" ",A13&amp;" ")-1))
))&gt;0,
IF(
COUNT(_xlfn._xlws.FILTER(Teeth!$D:$D,
TRIM(LEFT(Teeth!$A:$A,SEARCH(" ",Teeth!$A:$A&amp;" ")-1))=
TRIM(LEFT(A13,SEARCH(" ",A13&amp;" ")-1))
))=0,
1,
AVERAGE(_xlfn._xlws.FILTER(Teeth!$D:$D,
TRIM(LEFT(Teeth!$A:$A,SEARCH(" ",Teeth!$A:$A&amp;" ")-1))=
TRIM(LEFT(A13,SEARCH(" ",A13&amp;" ")-1))
))
),
1
)
)</f>
        <v>1</v>
      </c>
    </row>
    <row r="14" spans="1:2" x14ac:dyDescent="0.25">
      <c r="A14" s="2" t="str">
        <f>'[1]Base stats'!$B14</f>
        <v>Canis familiaris (Yorkshire terrier)</v>
      </c>
      <c r="B14" s="20" cm="1">
        <f t="array" ref="B14">IF(
SUMPRODUCT(--(
TRIM(LEFT(Teeth!$A:$A,SEARCH("§",SUBSTITUTE(Teeth!$A:$A," ","§",2)&amp;"§")-1))=
TRIM(LEFT(A14,SEARCH("§",SUBSTITUTE(A14," ","§",2)&amp;"§")-1))
))&gt;0,
IF(
COUNT(_xlfn._xlws.FILTER(Teeth!$D:$D,
TRIM(LEFT(Teeth!$A:$A,SEARCH("§",SUBSTITUTE(Teeth!$A:$A," ","§",2)&amp;"§")-1))=
TRIM(LEFT(A14,SEARCH("§",SUBSTITUTE(A14," ","§",2)&amp;"§")-1))
))=0,
1,
MAX(_xlfn._xlws.FILTER(Teeth!$D:$D,
TRIM(LEFT(Teeth!$A:$A,SEARCH("§",SUBSTITUTE(Teeth!$A:$A," ","§",2)&amp;"§")-1))=
TRIM(LEFT(A14,SEARCH("§",SUBSTITUTE(A14," ","§",2)&amp;"§")-1))
))
),
IF(
SUMPRODUCT(--(
TRIM(LEFT(Teeth!$A:$A,SEARCH(" ",Teeth!$A:$A&amp;" ")-1))=
TRIM(LEFT(A14,SEARCH(" ",A14&amp;" ")-1))
))&gt;0,
IF(
COUNT(_xlfn._xlws.FILTER(Teeth!$D:$D,
TRIM(LEFT(Teeth!$A:$A,SEARCH(" ",Teeth!$A:$A&amp;" ")-1))=
TRIM(LEFT(A14,SEARCH(" ",A14&amp;" ")-1))
))=0,
1,
AVERAGE(_xlfn._xlws.FILTER(Teeth!$D:$D,
TRIM(LEFT(Teeth!$A:$A,SEARCH(" ",Teeth!$A:$A&amp;" ")-1))=
TRIM(LEFT(A14,SEARCH(" ",A14&amp;" ")-1))
))
),
1
)
)</f>
        <v>0.95359131166584876</v>
      </c>
    </row>
    <row r="15" spans="1:2" x14ac:dyDescent="0.25">
      <c r="A15" s="2" t="str">
        <f>'[1]Base stats'!$B15</f>
        <v>Canis familiaris (Labrador)</v>
      </c>
      <c r="B15" s="20" cm="1">
        <f t="array" ref="B15">IF(
SUMPRODUCT(--(
TRIM(LEFT(Teeth!$A:$A,SEARCH("§",SUBSTITUTE(Teeth!$A:$A," ","§",2)&amp;"§")-1))=
TRIM(LEFT(A15,SEARCH("§",SUBSTITUTE(A15," ","§",2)&amp;"§")-1))
))&gt;0,
IF(
COUNT(_xlfn._xlws.FILTER(Teeth!$D:$D,
TRIM(LEFT(Teeth!$A:$A,SEARCH("§",SUBSTITUTE(Teeth!$A:$A," ","§",2)&amp;"§")-1))=
TRIM(LEFT(A15,SEARCH("§",SUBSTITUTE(A15," ","§",2)&amp;"§")-1))
))=0,
1,
MAX(_xlfn._xlws.FILTER(Teeth!$D:$D,
TRIM(LEFT(Teeth!$A:$A,SEARCH("§",SUBSTITUTE(Teeth!$A:$A," ","§",2)&amp;"§")-1))=
TRIM(LEFT(A15,SEARCH("§",SUBSTITUTE(A15," ","§",2)&amp;"§")-1))
))
),
IF(
SUMPRODUCT(--(
TRIM(LEFT(Teeth!$A:$A,SEARCH(" ",Teeth!$A:$A&amp;" ")-1))=
TRIM(LEFT(A15,SEARCH(" ",A15&amp;" ")-1))
))&gt;0,
IF(
COUNT(_xlfn._xlws.FILTER(Teeth!$D:$D,
TRIM(LEFT(Teeth!$A:$A,SEARCH(" ",Teeth!$A:$A&amp;" ")-1))=
TRIM(LEFT(A15,SEARCH(" ",A15&amp;" ")-1))
))=0,
1,
AVERAGE(_xlfn._xlws.FILTER(Teeth!$D:$D,
TRIM(LEFT(Teeth!$A:$A,SEARCH(" ",Teeth!$A:$A&amp;" ")-1))=
TRIM(LEFT(A15,SEARCH(" ",A15&amp;" ")-1))
))
),
1
)
)</f>
        <v>0.95359131166584876</v>
      </c>
    </row>
    <row r="16" spans="1:2" x14ac:dyDescent="0.25">
      <c r="A16" s="2" t="str">
        <f>'[1]Base stats'!$B16</f>
        <v>Canis familiaris (Husky)</v>
      </c>
      <c r="B16" s="20" cm="1">
        <f t="array" ref="B16">IF(
SUMPRODUCT(--(
TRIM(LEFT(Teeth!$A:$A,SEARCH("§",SUBSTITUTE(Teeth!$A:$A," ","§",2)&amp;"§")-1))=
TRIM(LEFT(A16,SEARCH("§",SUBSTITUTE(A16," ","§",2)&amp;"§")-1))
))&gt;0,
IF(
COUNT(_xlfn._xlws.FILTER(Teeth!$D:$D,
TRIM(LEFT(Teeth!$A:$A,SEARCH("§",SUBSTITUTE(Teeth!$A:$A," ","§",2)&amp;"§")-1))=
TRIM(LEFT(A16,SEARCH("§",SUBSTITUTE(A16," ","§",2)&amp;"§")-1))
))=0,
1,
MAX(_xlfn._xlws.FILTER(Teeth!$D:$D,
TRIM(LEFT(Teeth!$A:$A,SEARCH("§",SUBSTITUTE(Teeth!$A:$A," ","§",2)&amp;"§")-1))=
TRIM(LEFT(A16,SEARCH("§",SUBSTITUTE(A16," ","§",2)&amp;"§")-1))
))
),
IF(
SUMPRODUCT(--(
TRIM(LEFT(Teeth!$A:$A,SEARCH(" ",Teeth!$A:$A&amp;" ")-1))=
TRIM(LEFT(A16,SEARCH(" ",A16&amp;" ")-1))
))&gt;0,
IF(
COUNT(_xlfn._xlws.FILTER(Teeth!$D:$D,
TRIM(LEFT(Teeth!$A:$A,SEARCH(" ",Teeth!$A:$A&amp;" ")-1))=
TRIM(LEFT(A16,SEARCH(" ",A16&amp;" ")-1))
))=0,
1,
AVERAGE(_xlfn._xlws.FILTER(Teeth!$D:$D,
TRIM(LEFT(Teeth!$A:$A,SEARCH(" ",Teeth!$A:$A&amp;" ")-1))=
TRIM(LEFT(A16,SEARCH(" ",A16&amp;" ")-1))
))
),
1
)
)</f>
        <v>0.95359131166584876</v>
      </c>
    </row>
    <row r="17" spans="1:2" x14ac:dyDescent="0.25">
      <c r="A17" s="2" t="str">
        <f>'[1]Base stats'!$B17</f>
        <v>Puma concolor</v>
      </c>
      <c r="B17" s="20" cm="1">
        <f t="array" ref="B17">IF(
SUMPRODUCT(--(
TRIM(LEFT(Teeth!$A:$A,SEARCH("§",SUBSTITUTE(Teeth!$A:$A," ","§",2)&amp;"§")-1))=
TRIM(LEFT(A17,SEARCH("§",SUBSTITUTE(A17," ","§",2)&amp;"§")-1))
))&gt;0,
IF(
COUNT(_xlfn._xlws.FILTER(Teeth!$D:$D,
TRIM(LEFT(Teeth!$A:$A,SEARCH("§",SUBSTITUTE(Teeth!$A:$A," ","§",2)&amp;"§")-1))=
TRIM(LEFT(A17,SEARCH("§",SUBSTITUTE(A17," ","§",2)&amp;"§")-1))
))=0,
1,
MAX(_xlfn._xlws.FILTER(Teeth!$D:$D,
TRIM(LEFT(Teeth!$A:$A,SEARCH("§",SUBSTITUTE(Teeth!$A:$A," ","§",2)&amp;"§")-1))=
TRIM(LEFT(A17,SEARCH("§",SUBSTITUTE(A17," ","§",2)&amp;"§")-1))
))
),
IF(
SUMPRODUCT(--(
TRIM(LEFT(Teeth!$A:$A,SEARCH(" ",Teeth!$A:$A&amp;" ")-1))=
TRIM(LEFT(A17,SEARCH(" ",A17&amp;" ")-1))
))&gt;0,
IF(
COUNT(_xlfn._xlws.FILTER(Teeth!$D:$D,
TRIM(LEFT(Teeth!$A:$A,SEARCH(" ",Teeth!$A:$A&amp;" ")-1))=
TRIM(LEFT(A17,SEARCH(" ",A17&amp;" ")-1))
))=0,
1,
AVERAGE(_xlfn._xlws.FILTER(Teeth!$D:$D,
TRIM(LEFT(Teeth!$A:$A,SEARCH(" ",Teeth!$A:$A&amp;" ")-1))=
TRIM(LEFT(A17,SEARCH(" ",A17&amp;" ")-1))
))
),
1
)
)</f>
        <v>1.0393594726837676</v>
      </c>
    </row>
    <row r="18" spans="1:2" x14ac:dyDescent="0.25">
      <c r="A18" s="2" t="str">
        <f>'[1]Base stats'!$B18</f>
        <v>Panthera pardus</v>
      </c>
      <c r="B18" s="20" cm="1">
        <f t="array" ref="B18">IF(
SUMPRODUCT(--(
TRIM(LEFT(Teeth!$A:$A,SEARCH("§",SUBSTITUTE(Teeth!$A:$A," ","§",2)&amp;"§")-1))=
TRIM(LEFT(A18,SEARCH("§",SUBSTITUTE(A18," ","§",2)&amp;"§")-1))
))&gt;0,
IF(
COUNT(_xlfn._xlws.FILTER(Teeth!$D:$D,
TRIM(LEFT(Teeth!$A:$A,SEARCH("§",SUBSTITUTE(Teeth!$A:$A," ","§",2)&amp;"§")-1))=
TRIM(LEFT(A18,SEARCH("§",SUBSTITUTE(A18," ","§",2)&amp;"§")-1))
))=0,
1,
MAX(_xlfn._xlws.FILTER(Teeth!$D:$D,
TRIM(LEFT(Teeth!$A:$A,SEARCH("§",SUBSTITUTE(Teeth!$A:$A," ","§",2)&amp;"§")-1))=
TRIM(LEFT(A18,SEARCH("§",SUBSTITUTE(A18," ","§",2)&amp;"§")-1))
))
),
IF(
SUMPRODUCT(--(
TRIM(LEFT(Teeth!$A:$A,SEARCH(" ",Teeth!$A:$A&amp;" ")-1))=
TRIM(LEFT(A18,SEARCH(" ",A18&amp;" ")-1))
))&gt;0,
IF(
COUNT(_xlfn._xlws.FILTER(Teeth!$D:$D,
TRIM(LEFT(Teeth!$A:$A,SEARCH(" ",Teeth!$A:$A&amp;" ")-1))=
TRIM(LEFT(A18,SEARCH(" ",A18&amp;" ")-1))
))=0,
1,
AVERAGE(_xlfn._xlws.FILTER(Teeth!$D:$D,
TRIM(LEFT(Teeth!$A:$A,SEARCH(" ",Teeth!$A:$A&amp;" ")-1))=
TRIM(LEFT(A18,SEARCH(" ",A18&amp;" ")-1))
))
),
1
)
)</f>
        <v>1.0623284440172567</v>
      </c>
    </row>
    <row r="19" spans="1:2" x14ac:dyDescent="0.25">
      <c r="A19" s="2" t="str">
        <f>'[1]Base stats'!$B19</f>
        <v>Lynx lynx</v>
      </c>
      <c r="B19" s="20" cm="1">
        <f t="array" ref="B19">IF(
SUMPRODUCT(--(
TRIM(LEFT(Teeth!$A:$A,SEARCH("§",SUBSTITUTE(Teeth!$A:$A," ","§",2)&amp;"§")-1))=
TRIM(LEFT(A19,SEARCH("§",SUBSTITUTE(A19," ","§",2)&amp;"§")-1))
))&gt;0,
IF(
COUNT(_xlfn._xlws.FILTER(Teeth!$D:$D,
TRIM(LEFT(Teeth!$A:$A,SEARCH("§",SUBSTITUTE(Teeth!$A:$A," ","§",2)&amp;"§")-1))=
TRIM(LEFT(A19,SEARCH("§",SUBSTITUTE(A19," ","§",2)&amp;"§")-1))
))=0,
1,
MAX(_xlfn._xlws.FILTER(Teeth!$D:$D,
TRIM(LEFT(Teeth!$A:$A,SEARCH("§",SUBSTITUTE(Teeth!$A:$A," ","§",2)&amp;"§")-1))=
TRIM(LEFT(A19,SEARCH("§",SUBSTITUTE(A19," ","§",2)&amp;"§")-1))
))
),
IF(
SUMPRODUCT(--(
TRIM(LEFT(Teeth!$A:$A,SEARCH(" ",Teeth!$A:$A&amp;" ")-1))=
TRIM(LEFT(A19,SEARCH(" ",A19&amp;" ")-1))
))&gt;0,
IF(
COUNT(_xlfn._xlws.FILTER(Teeth!$D:$D,
TRIM(LEFT(Teeth!$A:$A,SEARCH(" ",Teeth!$A:$A&amp;" ")-1))=
TRIM(LEFT(A19,SEARCH(" ",A19&amp;" ")-1))
))=0,
1,
AVERAGE(_xlfn._xlws.FILTER(Teeth!$D:$D,
TRIM(LEFT(Teeth!$A:$A,SEARCH(" ",Teeth!$A:$A&amp;" ")-1))=
TRIM(LEFT(A19,SEARCH(" ",A19&amp;" ")-1))
))
),
1
)
)</f>
        <v>1.057158398386151</v>
      </c>
    </row>
    <row r="20" spans="1:2" x14ac:dyDescent="0.25">
      <c r="A20" s="2" t="str">
        <f>'[1]Base stats'!$B20</f>
        <v>Felis catus</v>
      </c>
      <c r="B20" s="20" cm="1">
        <f t="array" ref="B20">IF(
SUMPRODUCT(--(
TRIM(LEFT(Teeth!$A:$A,SEARCH("§",SUBSTITUTE(Teeth!$A:$A," ","§",2)&amp;"§")-1))=
TRIM(LEFT(A20,SEARCH("§",SUBSTITUTE(A20," ","§",2)&amp;"§")-1))
))&gt;0,
IF(
COUNT(_xlfn._xlws.FILTER(Teeth!$D:$D,
TRIM(LEFT(Teeth!$A:$A,SEARCH("§",SUBSTITUTE(Teeth!$A:$A," ","§",2)&amp;"§")-1))=
TRIM(LEFT(A20,SEARCH("§",SUBSTITUTE(A20," ","§",2)&amp;"§")-1))
))=0,
1,
MAX(_xlfn._xlws.FILTER(Teeth!$D:$D,
TRIM(LEFT(Teeth!$A:$A,SEARCH("§",SUBSTITUTE(Teeth!$A:$A," ","§",2)&amp;"§")-1))=
TRIM(LEFT(A20,SEARCH("§",SUBSTITUTE(A20," ","§",2)&amp;"§")-1))
))
),
IF(
SUMPRODUCT(--(
TRIM(LEFT(Teeth!$A:$A,SEARCH(" ",Teeth!$A:$A&amp;" ")-1))=
TRIM(LEFT(A20,SEARCH(" ",A20&amp;" ")-1))
))&gt;0,
IF(
COUNT(_xlfn._xlws.FILTER(Teeth!$D:$D,
TRIM(LEFT(Teeth!$A:$A,SEARCH(" ",Teeth!$A:$A&amp;" ")-1))=
TRIM(LEFT(A20,SEARCH(" ",A20&amp;" ")-1))
))=0,
1,
AVERAGE(_xlfn._xlws.FILTER(Teeth!$D:$D,
TRIM(LEFT(Teeth!$A:$A,SEARCH(" ",Teeth!$A:$A&amp;" ")-1))=
TRIM(LEFT(A20,SEARCH(" ",A20&amp;" ")-1))
))
),
1
)
)</f>
        <v>0.89529411549459281</v>
      </c>
    </row>
    <row r="21" spans="1:2" x14ac:dyDescent="0.25">
      <c r="A21" s="2" t="str">
        <f>'[1]Base stats'!$B21</f>
        <v>Equus caballus</v>
      </c>
      <c r="B21" s="20" cm="1">
        <f t="array" ref="B21">IF(
SUMPRODUCT(--(
TRIM(LEFT(Teeth!$A:$A,SEARCH("§",SUBSTITUTE(Teeth!$A:$A," ","§",2)&amp;"§")-1))=
TRIM(LEFT(A21,SEARCH("§",SUBSTITUTE(A21," ","§",2)&amp;"§")-1))
))&gt;0,
IF(
COUNT(_xlfn._xlws.FILTER(Teeth!$D:$D,
TRIM(LEFT(Teeth!$A:$A,SEARCH("§",SUBSTITUTE(Teeth!$A:$A," ","§",2)&amp;"§")-1))=
TRIM(LEFT(A21,SEARCH("§",SUBSTITUTE(A21," ","§",2)&amp;"§")-1))
))=0,
1,
MAX(_xlfn._xlws.FILTER(Teeth!$D:$D,
TRIM(LEFT(Teeth!$A:$A,SEARCH("§",SUBSTITUTE(Teeth!$A:$A," ","§",2)&amp;"§")-1))=
TRIM(LEFT(A21,SEARCH("§",SUBSTITUTE(A21," ","§",2)&amp;"§")-1))
))
),
IF(
SUMPRODUCT(--(
TRIM(LEFT(Teeth!$A:$A,SEARCH(" ",Teeth!$A:$A&amp;" ")-1))=
TRIM(LEFT(A21,SEARCH(" ",A21&amp;" ")-1))
))&gt;0,
IF(
COUNT(_xlfn._xlws.FILTER(Teeth!$D:$D,
TRIM(LEFT(Teeth!$A:$A,SEARCH(" ",Teeth!$A:$A&amp;" ")-1))=
TRIM(LEFT(A21,SEARCH(" ",A21&amp;" ")-1))
))=0,
1,
AVERAGE(_xlfn._xlws.FILTER(Teeth!$D:$D,
TRIM(LEFT(Teeth!$A:$A,SEARCH(" ",Teeth!$A:$A&amp;" ")-1))=
TRIM(LEFT(A21,SEARCH(" ",A21&amp;" ")-1))
))
),
1
)
)</f>
        <v>1</v>
      </c>
    </row>
    <row r="22" spans="1:2" x14ac:dyDescent="0.25">
      <c r="A22" s="2" t="str">
        <f>'[1]Base stats'!$B22</f>
        <v>Equus africanus</v>
      </c>
      <c r="B22" s="20" cm="1">
        <f t="array" ref="B22">IF(
SUMPRODUCT(--(
TRIM(LEFT(Teeth!$A:$A,SEARCH("§",SUBSTITUTE(Teeth!$A:$A," ","§",2)&amp;"§")-1))=
TRIM(LEFT(A22,SEARCH("§",SUBSTITUTE(A22," ","§",2)&amp;"§")-1))
))&gt;0,
IF(
COUNT(_xlfn._xlws.FILTER(Teeth!$D:$D,
TRIM(LEFT(Teeth!$A:$A,SEARCH("§",SUBSTITUTE(Teeth!$A:$A," ","§",2)&amp;"§")-1))=
TRIM(LEFT(A22,SEARCH("§",SUBSTITUTE(A22," ","§",2)&amp;"§")-1))
))=0,
1,
MAX(_xlfn._xlws.FILTER(Teeth!$D:$D,
TRIM(LEFT(Teeth!$A:$A,SEARCH("§",SUBSTITUTE(Teeth!$A:$A," ","§",2)&amp;"§")-1))=
TRIM(LEFT(A22,SEARCH("§",SUBSTITUTE(A22," ","§",2)&amp;"§")-1))
))
),
IF(
SUMPRODUCT(--(
TRIM(LEFT(Teeth!$A:$A,SEARCH(" ",Teeth!$A:$A&amp;" ")-1))=
TRIM(LEFT(A22,SEARCH(" ",A22&amp;" ")-1))
))&gt;0,
IF(
COUNT(_xlfn._xlws.FILTER(Teeth!$D:$D,
TRIM(LEFT(Teeth!$A:$A,SEARCH(" ",Teeth!$A:$A&amp;" ")-1))=
TRIM(LEFT(A22,SEARCH(" ",A22&amp;" ")-1))
))=0,
1,
AVERAGE(_xlfn._xlws.FILTER(Teeth!$D:$D,
TRIM(LEFT(Teeth!$A:$A,SEARCH(" ",Teeth!$A:$A&amp;" ")-1))=
TRIM(LEFT(A22,SEARCH(" ",A22&amp;" ")-1))
))
),
1
)
)</f>
        <v>1</v>
      </c>
    </row>
    <row r="23" spans="1:2" x14ac:dyDescent="0.25">
      <c r="A23" s="2" t="str">
        <f>'[1]Base stats'!$B23</f>
        <v>Lepus europaeus</v>
      </c>
      <c r="B23" s="20" cm="1">
        <f t="array" ref="B23">IF(
SUMPRODUCT(--(
TRIM(LEFT(Teeth!$A:$A,SEARCH("§",SUBSTITUTE(Teeth!$A:$A," ","§",2)&amp;"§")-1))=
TRIM(LEFT(A23,SEARCH("§",SUBSTITUTE(A23," ","§",2)&amp;"§")-1))
))&gt;0,
IF(
COUNT(_xlfn._xlws.FILTER(Teeth!$D:$D,
TRIM(LEFT(Teeth!$A:$A,SEARCH("§",SUBSTITUTE(Teeth!$A:$A," ","§",2)&amp;"§")-1))=
TRIM(LEFT(A23,SEARCH("§",SUBSTITUTE(A23," ","§",2)&amp;"§")-1))
))=0,
1,
MAX(_xlfn._xlws.FILTER(Teeth!$D:$D,
TRIM(LEFT(Teeth!$A:$A,SEARCH("§",SUBSTITUTE(Teeth!$A:$A," ","§",2)&amp;"§")-1))=
TRIM(LEFT(A23,SEARCH("§",SUBSTITUTE(A23," ","§",2)&amp;"§")-1))
))
),
IF(
SUMPRODUCT(--(
TRIM(LEFT(Teeth!$A:$A,SEARCH(" ",Teeth!$A:$A&amp;" ")-1))=
TRIM(LEFT(A23,SEARCH(" ",A23&amp;" ")-1))
))&gt;0,
IF(
COUNT(_xlfn._xlws.FILTER(Teeth!$D:$D,
TRIM(LEFT(Teeth!$A:$A,SEARCH(" ",Teeth!$A:$A&amp;" ")-1))=
TRIM(LEFT(A23,SEARCH(" ",A23&amp;" ")-1))
))=0,
1,
AVERAGE(_xlfn._xlws.FILTER(Teeth!$D:$D,
TRIM(LEFT(Teeth!$A:$A,SEARCH(" ",Teeth!$A:$A&amp;" ")-1))=
TRIM(LEFT(A23,SEARCH(" ",A23&amp;" ")-1))
))
),
1
)
)</f>
        <v>1</v>
      </c>
    </row>
    <row r="24" spans="1:2" x14ac:dyDescent="0.25">
      <c r="A24" s="2" t="str">
        <f>'[1]Base stats'!$B24</f>
        <v>Lepus timidus</v>
      </c>
      <c r="B24" s="20" cm="1">
        <f t="array" ref="B24">IF(
SUMPRODUCT(--(
TRIM(LEFT(Teeth!$A:$A,SEARCH("§",SUBSTITUTE(Teeth!$A:$A," ","§",2)&amp;"§")-1))=
TRIM(LEFT(A24,SEARCH("§",SUBSTITUTE(A24," ","§",2)&amp;"§")-1))
))&gt;0,
IF(
COUNT(_xlfn._xlws.FILTER(Teeth!$D:$D,
TRIM(LEFT(Teeth!$A:$A,SEARCH("§",SUBSTITUTE(Teeth!$A:$A," ","§",2)&amp;"§")-1))=
TRIM(LEFT(A24,SEARCH("§",SUBSTITUTE(A24," ","§",2)&amp;"§")-1))
))=0,
1,
MAX(_xlfn._xlws.FILTER(Teeth!$D:$D,
TRIM(LEFT(Teeth!$A:$A,SEARCH("§",SUBSTITUTE(Teeth!$A:$A," ","§",2)&amp;"§")-1))=
TRIM(LEFT(A24,SEARCH("§",SUBSTITUTE(A24," ","§",2)&amp;"§")-1))
))
),
IF(
SUMPRODUCT(--(
TRIM(LEFT(Teeth!$A:$A,SEARCH(" ",Teeth!$A:$A&amp;" ")-1))=
TRIM(LEFT(A24,SEARCH(" ",A24&amp;" ")-1))
))&gt;0,
IF(
COUNT(_xlfn._xlws.FILTER(Teeth!$D:$D,
TRIM(LEFT(Teeth!$A:$A,SEARCH(" ",Teeth!$A:$A&amp;" ")-1))=
TRIM(LEFT(A24,SEARCH(" ",A24&amp;" ")-1))
))=0,
1,
AVERAGE(_xlfn._xlws.FILTER(Teeth!$D:$D,
TRIM(LEFT(Teeth!$A:$A,SEARCH(" ",Teeth!$A:$A&amp;" ")-1))=
TRIM(LEFT(A24,SEARCH(" ",A24&amp;" ")-1))
))
),
1
)
)</f>
        <v>1</v>
      </c>
    </row>
    <row r="25" spans="1:2" x14ac:dyDescent="0.25">
      <c r="A25" s="2" t="str">
        <f>'[1]Base stats'!$B25</f>
        <v>Ceratotherium simum</v>
      </c>
      <c r="B25" s="20" cm="1">
        <f t="array" ref="B25">IF(
SUMPRODUCT(--(
TRIM(LEFT(Teeth!$A:$A,SEARCH("§",SUBSTITUTE(Teeth!$A:$A," ","§",2)&amp;"§")-1))=
TRIM(LEFT(A25,SEARCH("§",SUBSTITUTE(A25," ","§",2)&amp;"§")-1))
))&gt;0,
IF(
COUNT(_xlfn._xlws.FILTER(Teeth!$D:$D,
TRIM(LEFT(Teeth!$A:$A,SEARCH("§",SUBSTITUTE(Teeth!$A:$A," ","§",2)&amp;"§")-1))=
TRIM(LEFT(A25,SEARCH("§",SUBSTITUTE(A25," ","§",2)&amp;"§")-1))
))=0,
1,
MAX(_xlfn._xlws.FILTER(Teeth!$D:$D,
TRIM(LEFT(Teeth!$A:$A,SEARCH("§",SUBSTITUTE(Teeth!$A:$A," ","§",2)&amp;"§")-1))=
TRIM(LEFT(A25,SEARCH("§",SUBSTITUTE(A25," ","§",2)&amp;"§")-1))
))
),
IF(
SUMPRODUCT(--(
TRIM(LEFT(Teeth!$A:$A,SEARCH(" ",Teeth!$A:$A&amp;" ")-1))=
TRIM(LEFT(A25,SEARCH(" ",A25&amp;" ")-1))
))&gt;0,
IF(
COUNT(_xlfn._xlws.FILTER(Teeth!$D:$D,
TRIM(LEFT(Teeth!$A:$A,SEARCH(" ",Teeth!$A:$A&amp;" ")-1))=
TRIM(LEFT(A25,SEARCH(" ",A25&amp;" ")-1))
))=0,
1,
AVERAGE(_xlfn._xlws.FILTER(Teeth!$D:$D,
TRIM(LEFT(Teeth!$A:$A,SEARCH(" ",Teeth!$A:$A&amp;" ")-1))=
TRIM(LEFT(A25,SEARCH(" ",A25&amp;" ")-1))
))
),
1
)
)</f>
        <v>1</v>
      </c>
    </row>
    <row r="26" spans="1:2" x14ac:dyDescent="0.25">
      <c r="A26" s="2" t="str">
        <f>'[1]Base stats'!$B26</f>
        <v>Loxodonta africana</v>
      </c>
      <c r="B26" s="20" cm="1">
        <f t="array" ref="B26">IF(
SUMPRODUCT(--(
TRIM(LEFT(Teeth!$A:$A,SEARCH("§",SUBSTITUTE(Teeth!$A:$A," ","§",2)&amp;"§")-1))=
TRIM(LEFT(A26,SEARCH("§",SUBSTITUTE(A26," ","§",2)&amp;"§")-1))
))&gt;0,
IF(
COUNT(_xlfn._xlws.FILTER(Teeth!$D:$D,
TRIM(LEFT(Teeth!$A:$A,SEARCH("§",SUBSTITUTE(Teeth!$A:$A," ","§",2)&amp;"§")-1))=
TRIM(LEFT(A26,SEARCH("§",SUBSTITUTE(A26," ","§",2)&amp;"§")-1))
))=0,
1,
MAX(_xlfn._xlws.FILTER(Teeth!$D:$D,
TRIM(LEFT(Teeth!$A:$A,SEARCH("§",SUBSTITUTE(Teeth!$A:$A," ","§",2)&amp;"§")-1))=
TRIM(LEFT(A26,SEARCH("§",SUBSTITUTE(A26," ","§",2)&amp;"§")-1))
))
),
IF(
SUMPRODUCT(--(
TRIM(LEFT(Teeth!$A:$A,SEARCH(" ",Teeth!$A:$A&amp;" ")-1))=
TRIM(LEFT(A26,SEARCH(" ",A26&amp;" ")-1))
))&gt;0,
IF(
COUNT(_xlfn._xlws.FILTER(Teeth!$D:$D,
TRIM(LEFT(Teeth!$A:$A,SEARCH(" ",Teeth!$A:$A&amp;" ")-1))=
TRIM(LEFT(A26,SEARCH(" ",A26&amp;" ")-1))
))=0,
1,
AVERAGE(_xlfn._xlws.FILTER(Teeth!$D:$D,
TRIM(LEFT(Teeth!$A:$A,SEARCH(" ",Teeth!$A:$A&amp;" ")-1))=
TRIM(LEFT(A26,SEARCH(" ",A26&amp;" ")-1))
))
),
1
)
)</f>
        <v>1</v>
      </c>
    </row>
    <row r="27" spans="1:2" x14ac:dyDescent="0.25">
      <c r="A27" s="2" t="str">
        <f>'[1]Base stats'!$B27</f>
        <v>Thrumbo magnificus</v>
      </c>
      <c r="B27" s="20" cm="1">
        <f t="array" ref="B27">IF(
SUMPRODUCT(--(
TRIM(LEFT(Teeth!$A:$A,SEARCH("§",SUBSTITUTE(Teeth!$A:$A," ","§",2)&amp;"§")-1))=
TRIM(LEFT(A27,SEARCH("§",SUBSTITUTE(A27," ","§",2)&amp;"§")-1))
))&gt;0,
IF(
COUNT(_xlfn._xlws.FILTER(Teeth!$D:$D,
TRIM(LEFT(Teeth!$A:$A,SEARCH("§",SUBSTITUTE(Teeth!$A:$A," ","§",2)&amp;"§")-1))=
TRIM(LEFT(A27,SEARCH("§",SUBSTITUTE(A27," ","§",2)&amp;"§")-1))
))=0,
1,
MAX(_xlfn._xlws.FILTER(Teeth!$D:$D,
TRIM(LEFT(Teeth!$A:$A,SEARCH("§",SUBSTITUTE(Teeth!$A:$A," ","§",2)&amp;"§")-1))=
TRIM(LEFT(A27,SEARCH("§",SUBSTITUTE(A27," ","§",2)&amp;"§")-1))
))
),
IF(
SUMPRODUCT(--(
TRIM(LEFT(Teeth!$A:$A,SEARCH(" ",Teeth!$A:$A&amp;" ")-1))=
TRIM(LEFT(A27,SEARCH(" ",A27&amp;" ")-1))
))&gt;0,
IF(
COUNT(_xlfn._xlws.FILTER(Teeth!$D:$D,
TRIM(LEFT(Teeth!$A:$A,SEARCH(" ",Teeth!$A:$A&amp;" ")-1))=
TRIM(LEFT(A27,SEARCH(" ",A27&amp;" ")-1))
))=0,
1,
AVERAGE(_xlfn._xlws.FILTER(Teeth!$D:$D,
TRIM(LEFT(Teeth!$A:$A,SEARCH(" ",Teeth!$A:$A&amp;" ")-1))=
TRIM(LEFT(A27,SEARCH(" ",A27&amp;" ")-1))
))
),
1
)
)</f>
        <v>1</v>
      </c>
    </row>
    <row r="28" spans="1:2" x14ac:dyDescent="0.25">
      <c r="A28" s="2" t="str">
        <f>'[1]Base stats'!$B28</f>
        <v>Megatherium americanum</v>
      </c>
      <c r="B28" s="20" cm="1">
        <f t="array" ref="B28">IF(
SUMPRODUCT(--(
TRIM(LEFT(Teeth!$A:$A,SEARCH("§",SUBSTITUTE(Teeth!$A:$A," ","§",2)&amp;"§")-1))=
TRIM(LEFT(A28,SEARCH("§",SUBSTITUTE(A28," ","§",2)&amp;"§")-1))
))&gt;0,
IF(
COUNT(_xlfn._xlws.FILTER(Teeth!$D:$D,
TRIM(LEFT(Teeth!$A:$A,SEARCH("§",SUBSTITUTE(Teeth!$A:$A," ","§",2)&amp;"§")-1))=
TRIM(LEFT(A28,SEARCH("§",SUBSTITUTE(A28," ","§",2)&amp;"§")-1))
))=0,
1,
MAX(_xlfn._xlws.FILTER(Teeth!$D:$D,
TRIM(LEFT(Teeth!$A:$A,SEARCH("§",SUBSTITUTE(Teeth!$A:$A," ","§",2)&amp;"§")-1))=
TRIM(LEFT(A28,SEARCH("§",SUBSTITUTE(A28," ","§",2)&amp;"§")-1))
))
),
IF(
SUMPRODUCT(--(
TRIM(LEFT(Teeth!$A:$A,SEARCH(" ",Teeth!$A:$A&amp;" ")-1))=
TRIM(LEFT(A28,SEARCH(" ",A28&amp;" ")-1))
))&gt;0,
IF(
COUNT(_xlfn._xlws.FILTER(Teeth!$D:$D,
TRIM(LEFT(Teeth!$A:$A,SEARCH(" ",Teeth!$A:$A&amp;" ")-1))=
TRIM(LEFT(A28,SEARCH(" ",A28&amp;" ")-1))
))=0,
1,
AVERAGE(_xlfn._xlws.FILTER(Teeth!$D:$D,
TRIM(LEFT(Teeth!$A:$A,SEARCH(" ",Teeth!$A:$A&amp;" ")-1))=
TRIM(LEFT(A28,SEARCH(" ",A28&amp;" ")-1))
))
),
1
)
)</f>
        <v>1</v>
      </c>
    </row>
    <row r="29" spans="1:2" x14ac:dyDescent="0.25">
      <c r="A29" s="2" t="str">
        <f>'[1]Base stats'!$B29</f>
        <v>Sus scrofa</v>
      </c>
      <c r="B29" s="20" cm="1">
        <f t="array" ref="B29">IF(
SUMPRODUCT(--(
TRIM(LEFT(Teeth!$A:$A,SEARCH("§",SUBSTITUTE(Teeth!$A:$A," ","§",2)&amp;"§")-1))=
TRIM(LEFT(A29,SEARCH("§",SUBSTITUTE(A29," ","§",2)&amp;"§")-1))
))&gt;0,
IF(
COUNT(_xlfn._xlws.FILTER(Teeth!$D:$D,
TRIM(LEFT(Teeth!$A:$A,SEARCH("§",SUBSTITUTE(Teeth!$A:$A," ","§",2)&amp;"§")-1))=
TRIM(LEFT(A29,SEARCH("§",SUBSTITUTE(A29," ","§",2)&amp;"§")-1))
))=0,
1,
MAX(_xlfn._xlws.FILTER(Teeth!$D:$D,
TRIM(LEFT(Teeth!$A:$A,SEARCH("§",SUBSTITUTE(Teeth!$A:$A," ","§",2)&amp;"§")-1))=
TRIM(LEFT(A29,SEARCH("§",SUBSTITUTE(A29," ","§",2)&amp;"§")-1))
))
),
IF(
SUMPRODUCT(--(
TRIM(LEFT(Teeth!$A:$A,SEARCH(" ",Teeth!$A:$A&amp;" ")-1))=
TRIM(LEFT(A29,SEARCH(" ",A29&amp;" ")-1))
))&gt;0,
IF(
COUNT(_xlfn._xlws.FILTER(Teeth!$D:$D,
TRIM(LEFT(Teeth!$A:$A,SEARCH(" ",Teeth!$A:$A&amp;" ")-1))=
TRIM(LEFT(A29,SEARCH(" ",A29&amp;" ")-1))
))=0,
1,
AVERAGE(_xlfn._xlws.FILTER(Teeth!$D:$D,
TRIM(LEFT(Teeth!$A:$A,SEARCH(" ",Teeth!$A:$A&amp;" ")-1))=
TRIM(LEFT(A29,SEARCH(" ",A29&amp;" ")-1))
))
),
1
)
)</f>
        <v>1</v>
      </c>
    </row>
    <row r="30" spans="1:2" x14ac:dyDescent="0.25">
      <c r="A30" s="2" t="str">
        <f>'[1]Base stats'!$B30</f>
        <v>Sus scrofa (domestic)</v>
      </c>
      <c r="B30" s="20" cm="1">
        <f t="array" ref="B30">IF(
SUMPRODUCT(--(
TRIM(LEFT(Teeth!$A:$A,SEARCH("§",SUBSTITUTE(Teeth!$A:$A," ","§",2)&amp;"§")-1))=
TRIM(LEFT(A30,SEARCH("§",SUBSTITUTE(A30," ","§",2)&amp;"§")-1))
))&gt;0,
IF(
COUNT(_xlfn._xlws.FILTER(Teeth!$D:$D,
TRIM(LEFT(Teeth!$A:$A,SEARCH("§",SUBSTITUTE(Teeth!$A:$A," ","§",2)&amp;"§")-1))=
TRIM(LEFT(A30,SEARCH("§",SUBSTITUTE(A30," ","§",2)&amp;"§")-1))
))=0,
1,
MAX(_xlfn._xlws.FILTER(Teeth!$D:$D,
TRIM(LEFT(Teeth!$A:$A,SEARCH("§",SUBSTITUTE(Teeth!$A:$A," ","§",2)&amp;"§")-1))=
TRIM(LEFT(A30,SEARCH("§",SUBSTITUTE(A30," ","§",2)&amp;"§")-1))
))
),
IF(
SUMPRODUCT(--(
TRIM(LEFT(Teeth!$A:$A,SEARCH(" ",Teeth!$A:$A&amp;" ")-1))=
TRIM(LEFT(A30,SEARCH(" ",A30&amp;" ")-1))
))&gt;0,
IF(
COUNT(_xlfn._xlws.FILTER(Teeth!$D:$D,
TRIM(LEFT(Teeth!$A:$A,SEARCH(" ",Teeth!$A:$A&amp;" ")-1))=
TRIM(LEFT(A30,SEARCH(" ",A30&amp;" ")-1))
))=0,
1,
AVERAGE(_xlfn._xlws.FILTER(Teeth!$D:$D,
TRIM(LEFT(Teeth!$A:$A,SEARCH(" ",Teeth!$A:$A&amp;" ")-1))=
TRIM(LEFT(A30,SEARCH(" ",A30&amp;" ")-1))
))
),
1
)
)</f>
        <v>1</v>
      </c>
    </row>
    <row r="31" spans="1:2" x14ac:dyDescent="0.25">
      <c r="A31" s="2" t="str">
        <f>'[1]Base stats'!$B31</f>
        <v>Macaca mulatta</v>
      </c>
      <c r="B31" s="20" cm="1">
        <f t="array" ref="B31">IF(
SUMPRODUCT(--(
TRIM(LEFT(Teeth!$A:$A,SEARCH("§",SUBSTITUTE(Teeth!$A:$A," ","§",2)&amp;"§")-1))=
TRIM(LEFT(A31,SEARCH("§",SUBSTITUTE(A31," ","§",2)&amp;"§")-1))
))&gt;0,
IF(
COUNT(_xlfn._xlws.FILTER(Teeth!$D:$D,
TRIM(LEFT(Teeth!$A:$A,SEARCH("§",SUBSTITUTE(Teeth!$A:$A," ","§",2)&amp;"§")-1))=
TRIM(LEFT(A31,SEARCH("§",SUBSTITUTE(A31," ","§",2)&amp;"§")-1))
))=0,
1,
MAX(_xlfn._xlws.FILTER(Teeth!$D:$D,
TRIM(LEFT(Teeth!$A:$A,SEARCH("§",SUBSTITUTE(Teeth!$A:$A," ","§",2)&amp;"§")-1))=
TRIM(LEFT(A31,SEARCH("§",SUBSTITUTE(A31," ","§",2)&amp;"§")-1))
))
),
IF(
SUMPRODUCT(--(
TRIM(LEFT(Teeth!$A:$A,SEARCH(" ",Teeth!$A:$A&amp;" ")-1))=
TRIM(LEFT(A31,SEARCH(" ",A31&amp;" ")-1))
))&gt;0,
IF(
COUNT(_xlfn._xlws.FILTER(Teeth!$D:$D,
TRIM(LEFT(Teeth!$A:$A,SEARCH(" ",Teeth!$A:$A&amp;" ")-1))=
TRIM(LEFT(A31,SEARCH(" ",A31&amp;" ")-1))
))=0,
1,
AVERAGE(_xlfn._xlws.FILTER(Teeth!$D:$D,
TRIM(LEFT(Teeth!$A:$A,SEARCH(" ",Teeth!$A:$A&amp;" ")-1))=
TRIM(LEFT(A31,SEARCH(" ",A31&amp;" ")-1))
))
),
1
)
)</f>
        <v>1.1162884080347795</v>
      </c>
    </row>
    <row r="32" spans="1:2" x14ac:dyDescent="0.25">
      <c r="A32" s="2" t="str">
        <f>'[1]Base stats'!$B32</f>
        <v>Iguana iguana</v>
      </c>
      <c r="B32" s="20" cm="1">
        <f t="array" ref="B32">IF(
SUMPRODUCT(--(
TRIM(LEFT(Teeth!$A:$A,SEARCH("§",SUBSTITUTE(Teeth!$A:$A," ","§",2)&amp;"§")-1))=
TRIM(LEFT(A32,SEARCH("§",SUBSTITUTE(A32," ","§",2)&amp;"§")-1))
))&gt;0,
IF(
COUNT(_xlfn._xlws.FILTER(Teeth!$D:$D,
TRIM(LEFT(Teeth!$A:$A,SEARCH("§",SUBSTITUTE(Teeth!$A:$A," ","§",2)&amp;"§")-1))=
TRIM(LEFT(A32,SEARCH("§",SUBSTITUTE(A32," ","§",2)&amp;"§")-1))
))=0,
1,
MAX(_xlfn._xlws.FILTER(Teeth!$D:$D,
TRIM(LEFT(Teeth!$A:$A,SEARCH("§",SUBSTITUTE(Teeth!$A:$A," ","§",2)&amp;"§")-1))=
TRIM(LEFT(A32,SEARCH("§",SUBSTITUTE(A32," ","§",2)&amp;"§")-1))
))
),
IF(
SUMPRODUCT(--(
TRIM(LEFT(Teeth!$A:$A,SEARCH(" ",Teeth!$A:$A&amp;" ")-1))=
TRIM(LEFT(A32,SEARCH(" ",A32&amp;" ")-1))
))&gt;0,
IF(
COUNT(_xlfn._xlws.FILTER(Teeth!$D:$D,
TRIM(LEFT(Teeth!$A:$A,SEARCH(" ",Teeth!$A:$A&amp;" ")-1))=
TRIM(LEFT(A32,SEARCH(" ",A32&amp;" ")-1))
))=0,
1,
AVERAGE(_xlfn._xlws.FILTER(Teeth!$D:$D,
TRIM(LEFT(Teeth!$A:$A,SEARCH(" ",Teeth!$A:$A&amp;" ")-1))=
TRIM(LEFT(A32,SEARCH(" ",A32&amp;" ")-1))
))
),
1
)
)</f>
        <v>1</v>
      </c>
    </row>
    <row r="33" spans="1:2" x14ac:dyDescent="0.25">
      <c r="A33" s="2" t="str">
        <f>'[1]Base stats'!$B33</f>
        <v>Ophiophagus hannah</v>
      </c>
      <c r="B33" s="20" cm="1">
        <f t="array" ref="B33">IF(
SUMPRODUCT(--(
TRIM(LEFT(Teeth!$A:$A,SEARCH("§",SUBSTITUTE(Teeth!$A:$A," ","§",2)&amp;"§")-1))=
TRIM(LEFT(A33,SEARCH("§",SUBSTITUTE(A33," ","§",2)&amp;"§")-1))
))&gt;0,
IF(
COUNT(_xlfn._xlws.FILTER(Teeth!$D:$D,
TRIM(LEFT(Teeth!$A:$A,SEARCH("§",SUBSTITUTE(Teeth!$A:$A," ","§",2)&amp;"§")-1))=
TRIM(LEFT(A33,SEARCH("§",SUBSTITUTE(A33," ","§",2)&amp;"§")-1))
))=0,
1,
MAX(_xlfn._xlws.FILTER(Teeth!$D:$D,
TRIM(LEFT(Teeth!$A:$A,SEARCH("§",SUBSTITUTE(Teeth!$A:$A," ","§",2)&amp;"§")-1))=
TRIM(LEFT(A33,SEARCH("§",SUBSTITUTE(A33," ","§",2)&amp;"§")-1))
))
),
IF(
SUMPRODUCT(--(
TRIM(LEFT(Teeth!$A:$A,SEARCH(" ",Teeth!$A:$A&amp;" ")-1))=
TRIM(LEFT(A33,SEARCH(" ",A33&amp;" ")-1))
))&gt;0,
IF(
COUNT(_xlfn._xlws.FILTER(Teeth!$D:$D,
TRIM(LEFT(Teeth!$A:$A,SEARCH(" ",Teeth!$A:$A&amp;" ")-1))=
TRIM(LEFT(A33,SEARCH(" ",A33&amp;" ")-1))
))=0,
1,
AVERAGE(_xlfn._xlws.FILTER(Teeth!$D:$D,
TRIM(LEFT(Teeth!$A:$A,SEARCH(" ",Teeth!$A:$A&amp;" ")-1))=
TRIM(LEFT(A33,SEARCH(" ",A33&amp;" ")-1))
))
),
1
)
)</f>
        <v>1</v>
      </c>
    </row>
    <row r="34" spans="1:2" x14ac:dyDescent="0.25">
      <c r="A34" s="2" t="str">
        <f>'[1]Base stats'!$B34</f>
        <v>Manouria emys</v>
      </c>
      <c r="B34" s="20" cm="1">
        <f t="array" ref="B34">IF(
SUMPRODUCT(--(
TRIM(LEFT(Teeth!$A:$A,SEARCH("§",SUBSTITUTE(Teeth!$A:$A," ","§",2)&amp;"§")-1))=
TRIM(LEFT(A34,SEARCH("§",SUBSTITUTE(A34," ","§",2)&amp;"§")-1))
))&gt;0,
IF(
COUNT(_xlfn._xlws.FILTER(Teeth!$D:$D,
TRIM(LEFT(Teeth!$A:$A,SEARCH("§",SUBSTITUTE(Teeth!$A:$A," ","§",2)&amp;"§")-1))=
TRIM(LEFT(A34,SEARCH("§",SUBSTITUTE(A34," ","§",2)&amp;"§")-1))
))=0,
1,
MAX(_xlfn._xlws.FILTER(Teeth!$D:$D,
TRIM(LEFT(Teeth!$A:$A,SEARCH("§",SUBSTITUTE(Teeth!$A:$A," ","§",2)&amp;"§")-1))=
TRIM(LEFT(A34,SEARCH("§",SUBSTITUTE(A34," ","§",2)&amp;"§")-1))
))
),
IF(
SUMPRODUCT(--(
TRIM(LEFT(Teeth!$A:$A,SEARCH(" ",Teeth!$A:$A&amp;" ")-1))=
TRIM(LEFT(A34,SEARCH(" ",A34&amp;" ")-1))
))&gt;0,
IF(
COUNT(_xlfn._xlws.FILTER(Teeth!$D:$D,
TRIM(LEFT(Teeth!$A:$A,SEARCH(" ",Teeth!$A:$A&amp;" ")-1))=
TRIM(LEFT(A34,SEARCH(" ",A34&amp;" ")-1))
))=0,
1,
AVERAGE(_xlfn._xlws.FILTER(Teeth!$D:$D,
TRIM(LEFT(Teeth!$A:$A,SEARCH(" ",Teeth!$A:$A&amp;" ")-1))=
TRIM(LEFT(A34,SEARCH(" ",A34&amp;" ")-1))
))
),
1
)
)</f>
        <v>1</v>
      </c>
    </row>
    <row r="35" spans="1:2" x14ac:dyDescent="0.25">
      <c r="A35" s="2" t="str">
        <f>'[1]Base stats'!$B35</f>
        <v>Rattus norvegicus</v>
      </c>
      <c r="B35" s="20" cm="1">
        <f t="array" ref="B35">IF(
SUMPRODUCT(--(
TRIM(LEFT(Teeth!$A:$A,SEARCH("§",SUBSTITUTE(Teeth!$A:$A," ","§",2)&amp;"§")-1))=
TRIM(LEFT(A35,SEARCH("§",SUBSTITUTE(A35," ","§",2)&amp;"§")-1))
))&gt;0,
IF(
COUNT(_xlfn._xlws.FILTER(Teeth!$D:$D,
TRIM(LEFT(Teeth!$A:$A,SEARCH("§",SUBSTITUTE(Teeth!$A:$A," ","§",2)&amp;"§")-1))=
TRIM(LEFT(A35,SEARCH("§",SUBSTITUTE(A35," ","§",2)&amp;"§")-1))
))=0,
1,
MAX(_xlfn._xlws.FILTER(Teeth!$D:$D,
TRIM(LEFT(Teeth!$A:$A,SEARCH("§",SUBSTITUTE(Teeth!$A:$A," ","§",2)&amp;"§")-1))=
TRIM(LEFT(A35,SEARCH("§",SUBSTITUTE(A35," ","§",2)&amp;"§")-1))
))
),
IF(
SUMPRODUCT(--(
TRIM(LEFT(Teeth!$A:$A,SEARCH(" ",Teeth!$A:$A&amp;" ")-1))=
TRIM(LEFT(A35,SEARCH(" ",A35&amp;" ")-1))
))&gt;0,
IF(
COUNT(_xlfn._xlws.FILTER(Teeth!$D:$D,
TRIM(LEFT(Teeth!$A:$A,SEARCH(" ",Teeth!$A:$A&amp;" ")-1))=
TRIM(LEFT(A35,SEARCH(" ",A35&amp;" ")-1))
))=0,
1,
AVERAGE(_xlfn._xlws.FILTER(Teeth!$D:$D,
TRIM(LEFT(Teeth!$A:$A,SEARCH(" ",Teeth!$A:$A&amp;" ")-1))=
TRIM(LEFT(A35,SEARCH(" ",A35&amp;" ")-1))
))
),
1
)
)</f>
        <v>1</v>
      </c>
    </row>
    <row r="36" spans="1:2" x14ac:dyDescent="0.25">
      <c r="A36" s="2" t="str">
        <f>'[1]Base stats'!$B36</f>
        <v>Sciurus vulgaris</v>
      </c>
      <c r="B36" s="20" cm="1">
        <f t="array" ref="B36">IF(
SUMPRODUCT(--(
TRIM(LEFT(Teeth!$A:$A,SEARCH("§",SUBSTITUTE(Teeth!$A:$A," ","§",2)&amp;"§")-1))=
TRIM(LEFT(A36,SEARCH("§",SUBSTITUTE(A36," ","§",2)&amp;"§")-1))
))&gt;0,
IF(
COUNT(_xlfn._xlws.FILTER(Teeth!$D:$D,
TRIM(LEFT(Teeth!$A:$A,SEARCH("§",SUBSTITUTE(Teeth!$A:$A," ","§",2)&amp;"§")-1))=
TRIM(LEFT(A36,SEARCH("§",SUBSTITUTE(A36," ","§",2)&amp;"§")-1))
))=0,
1,
MAX(_xlfn._xlws.FILTER(Teeth!$D:$D,
TRIM(LEFT(Teeth!$A:$A,SEARCH("§",SUBSTITUTE(Teeth!$A:$A," ","§",2)&amp;"§")-1))=
TRIM(LEFT(A36,SEARCH("§",SUBSTITUTE(A36," ","§",2)&amp;"§")-1))
))
),
IF(
SUMPRODUCT(--(
TRIM(LEFT(Teeth!$A:$A,SEARCH(" ",Teeth!$A:$A&amp;" ")-1))=
TRIM(LEFT(A36,SEARCH(" ",A36&amp;" ")-1))
))&gt;0,
IF(
COUNT(_xlfn._xlws.FILTER(Teeth!$D:$D,
TRIM(LEFT(Teeth!$A:$A,SEARCH(" ",Teeth!$A:$A&amp;" ")-1))=
TRIM(LEFT(A36,SEARCH(" ",A36&amp;" ")-1))
))=0,
1,
AVERAGE(_xlfn._xlws.FILTER(Teeth!$D:$D,
TRIM(LEFT(Teeth!$A:$A,SEARCH(" ",Teeth!$A:$A&amp;" ")-1))=
TRIM(LEFT(A36,SEARCH(" ",A36&amp;" ")-1))
))
),
1
)
)</f>
        <v>1</v>
      </c>
    </row>
    <row r="37" spans="1:2" x14ac:dyDescent="0.25">
      <c r="A37" s="2" t="str">
        <f>'[1]Base stats'!$B37</f>
        <v>Cavia porcellus</v>
      </c>
      <c r="B37" s="20" cm="1">
        <f t="array" ref="B37">IF(
SUMPRODUCT(--(
TRIM(LEFT(Teeth!$A:$A,SEARCH("§",SUBSTITUTE(Teeth!$A:$A," ","§",2)&amp;"§")-1))=
TRIM(LEFT(A37,SEARCH("§",SUBSTITUTE(A37," ","§",2)&amp;"§")-1))
))&gt;0,
IF(
COUNT(_xlfn._xlws.FILTER(Teeth!$D:$D,
TRIM(LEFT(Teeth!$A:$A,SEARCH("§",SUBSTITUTE(Teeth!$A:$A," ","§",2)&amp;"§")-1))=
TRIM(LEFT(A37,SEARCH("§",SUBSTITUTE(A37," ","§",2)&amp;"§")-1))
))=0,
1,
MAX(_xlfn._xlws.FILTER(Teeth!$D:$D,
TRIM(LEFT(Teeth!$A:$A,SEARCH("§",SUBSTITUTE(Teeth!$A:$A," ","§",2)&amp;"§")-1))=
TRIM(LEFT(A37,SEARCH("§",SUBSTITUTE(A37," ","§",2)&amp;"§")-1))
))
),
IF(
SUMPRODUCT(--(
TRIM(LEFT(Teeth!$A:$A,SEARCH(" ",Teeth!$A:$A&amp;" ")-1))=
TRIM(LEFT(A37,SEARCH(" ",A37&amp;" ")-1))
))&gt;0,
IF(
COUNT(_xlfn._xlws.FILTER(Teeth!$D:$D,
TRIM(LEFT(Teeth!$A:$A,SEARCH(" ",Teeth!$A:$A&amp;" ")-1))=
TRIM(LEFT(A37,SEARCH(" ",A37&amp;" ")-1))
))=0,
1,
AVERAGE(_xlfn._xlws.FILTER(Teeth!$D:$D,
TRIM(LEFT(Teeth!$A:$A,SEARCH(" ",Teeth!$A:$A&amp;" ")-1))=
TRIM(LEFT(A37,SEARCH(" ",A37&amp;" ")-1))
))
),
1
)
)</f>
        <v>1</v>
      </c>
    </row>
    <row r="38" spans="1:2" x14ac:dyDescent="0.25">
      <c r="A38" s="2" t="str">
        <f>'[1]Base stats'!$B38</f>
        <v>Chinchilla lanigera</v>
      </c>
      <c r="B38" s="20" cm="1">
        <f t="array" ref="B38">IF(
SUMPRODUCT(--(
TRIM(LEFT(Teeth!$A:$A,SEARCH("§",SUBSTITUTE(Teeth!$A:$A," ","§",2)&amp;"§")-1))=
TRIM(LEFT(A38,SEARCH("§",SUBSTITUTE(A38," ","§",2)&amp;"§")-1))
))&gt;0,
IF(
COUNT(_xlfn._xlws.FILTER(Teeth!$D:$D,
TRIM(LEFT(Teeth!$A:$A,SEARCH("§",SUBSTITUTE(Teeth!$A:$A," ","§",2)&amp;"§")-1))=
TRIM(LEFT(A38,SEARCH("§",SUBSTITUTE(A38," ","§",2)&amp;"§")-1))
))=0,
1,
MAX(_xlfn._xlws.FILTER(Teeth!$D:$D,
TRIM(LEFT(Teeth!$A:$A,SEARCH("§",SUBSTITUTE(Teeth!$A:$A," ","§",2)&amp;"§")-1))=
TRIM(LEFT(A38,SEARCH("§",SUBSTITUTE(A38," ","§",2)&amp;"§")-1))
))
),
IF(
SUMPRODUCT(--(
TRIM(LEFT(Teeth!$A:$A,SEARCH(" ",Teeth!$A:$A&amp;" ")-1))=
TRIM(LEFT(A38,SEARCH(" ",A38&amp;" ")-1))
))&gt;0,
IF(
COUNT(_xlfn._xlws.FILTER(Teeth!$D:$D,
TRIM(LEFT(Teeth!$A:$A,SEARCH(" ",Teeth!$A:$A&amp;" ")-1))=
TRIM(LEFT(A38,SEARCH(" ",A38&amp;" ")-1))
))=0,
1,
AVERAGE(_xlfn._xlws.FILTER(Teeth!$D:$D,
TRIM(LEFT(Teeth!$A:$A,SEARCH(" ",Teeth!$A:$A&amp;" ")-1))=
TRIM(LEFT(A38,SEARCH(" ",A38&amp;" ")-1))
))
),
1
)
)</f>
        <v>1</v>
      </c>
    </row>
    <row r="39" spans="1:2" x14ac:dyDescent="0.25">
      <c r="A39" s="2" t="str">
        <f>'[1]Base stats'!$B39</f>
        <v>Hydrochaeris hydrochaeris</v>
      </c>
      <c r="B39" s="20" cm="1">
        <f t="array" ref="B39">IF(
SUMPRODUCT(--(
TRIM(LEFT(Teeth!$A:$A,SEARCH("§",SUBSTITUTE(Teeth!$A:$A," ","§",2)&amp;"§")-1))=
TRIM(LEFT(A39,SEARCH("§",SUBSTITUTE(A39," ","§",2)&amp;"§")-1))
))&gt;0,
IF(
COUNT(_xlfn._xlws.FILTER(Teeth!$D:$D,
TRIM(LEFT(Teeth!$A:$A,SEARCH("§",SUBSTITUTE(Teeth!$A:$A," ","§",2)&amp;"§")-1))=
TRIM(LEFT(A39,SEARCH("§",SUBSTITUTE(A39," ","§",2)&amp;"§")-1))
))=0,
1,
MAX(_xlfn._xlws.FILTER(Teeth!$D:$D,
TRIM(LEFT(Teeth!$A:$A,SEARCH("§",SUBSTITUTE(Teeth!$A:$A," ","§",2)&amp;"§")-1))=
TRIM(LEFT(A39,SEARCH("§",SUBSTITUTE(A39," ","§",2)&amp;"§")-1))
))
),
IF(
SUMPRODUCT(--(
TRIM(LEFT(Teeth!$A:$A,SEARCH(" ",Teeth!$A:$A&amp;" ")-1))=
TRIM(LEFT(A39,SEARCH(" ",A39&amp;" ")-1))
))&gt;0,
IF(
COUNT(_xlfn._xlws.FILTER(Teeth!$D:$D,
TRIM(LEFT(Teeth!$A:$A,SEARCH(" ",Teeth!$A:$A&amp;" ")-1))=
TRIM(LEFT(A39,SEARCH(" ",A39&amp;" ")-1))
))=0,
1,
AVERAGE(_xlfn._xlws.FILTER(Teeth!$D:$D,
TRIM(LEFT(Teeth!$A:$A,SEARCH(" ",Teeth!$A:$A&amp;" ")-1))=
TRIM(LEFT(A39,SEARCH(" ",A39&amp;" ")-1))
))
),
1
)
)</f>
        <v>1</v>
      </c>
    </row>
    <row r="40" spans="1:2" x14ac:dyDescent="0.25">
      <c r="A40" s="2" t="str">
        <f>'[1]Base stats'!$B40</f>
        <v>Castor nocivus</v>
      </c>
      <c r="B40" s="20" cm="1">
        <f t="array" ref="B40">IF(
SUMPRODUCT(--(
TRIM(LEFT(Teeth!$A:$A,SEARCH("§",SUBSTITUTE(Teeth!$A:$A," ","§",2)&amp;"§")-1))=
TRIM(LEFT(A40,SEARCH("§",SUBSTITUTE(A40," ","§",2)&amp;"§")-1))
))&gt;0,
IF(
COUNT(_xlfn._xlws.FILTER(Teeth!$D:$D,
TRIM(LEFT(Teeth!$A:$A,SEARCH("§",SUBSTITUTE(Teeth!$A:$A," ","§",2)&amp;"§")-1))=
TRIM(LEFT(A40,SEARCH("§",SUBSTITUTE(A40," ","§",2)&amp;"§")-1))
))=0,
1,
MAX(_xlfn._xlws.FILTER(Teeth!$D:$D,
TRIM(LEFT(Teeth!$A:$A,SEARCH("§",SUBSTITUTE(Teeth!$A:$A," ","§",2)&amp;"§")-1))=
TRIM(LEFT(A40,SEARCH("§",SUBSTITUTE(A40," ","§",2)&amp;"§")-1))
))
),
IF(
SUMPRODUCT(--(
TRIM(LEFT(Teeth!$A:$A,SEARCH(" ",Teeth!$A:$A&amp;" ")-1))=
TRIM(LEFT(A40,SEARCH(" ",A40&amp;" ")-1))
))&gt;0,
IF(
COUNT(_xlfn._xlws.FILTER(Teeth!$D:$D,
TRIM(LEFT(Teeth!$A:$A,SEARCH(" ",Teeth!$A:$A&amp;" ")-1))=
TRIM(LEFT(A40,SEARCH(" ",A40&amp;" ")-1))
))=0,
1,
AVERAGE(_xlfn._xlws.FILTER(Teeth!$D:$D,
TRIM(LEFT(Teeth!$A:$A,SEARCH(" ",Teeth!$A:$A&amp;" ")-1))=
TRIM(LEFT(A40,SEARCH(" ",A40&amp;" ")-1))
))
),
1
)
)</f>
        <v>1</v>
      </c>
    </row>
    <row r="41" spans="1:2" x14ac:dyDescent="0.25">
      <c r="A41" s="2" t="str">
        <f>'[1]Base stats'!$B41</f>
        <v>Boomerifer explosivus</v>
      </c>
      <c r="B41" s="20" cm="1">
        <f t="array" ref="B41">IF(
SUMPRODUCT(--(
TRIM(LEFT(Teeth!$A:$A,SEARCH("§",SUBSTITUTE(Teeth!$A:$A," ","§",2)&amp;"§")-1))=
TRIM(LEFT(A41,SEARCH("§",SUBSTITUTE(A41," ","§",2)&amp;"§")-1))
))&gt;0,
IF(
COUNT(_xlfn._xlws.FILTER(Teeth!$D:$D,
TRIM(LEFT(Teeth!$A:$A,SEARCH("§",SUBSTITUTE(Teeth!$A:$A," ","§",2)&amp;"§")-1))=
TRIM(LEFT(A41,SEARCH("§",SUBSTITUTE(A41," ","§",2)&amp;"§")-1))
))=0,
1,
MAX(_xlfn._xlws.FILTER(Teeth!$D:$D,
TRIM(LEFT(Teeth!$A:$A,SEARCH("§",SUBSTITUTE(Teeth!$A:$A," ","§",2)&amp;"§")-1))=
TRIM(LEFT(A41,SEARCH("§",SUBSTITUTE(A41," ","§",2)&amp;"§")-1))
))
),
IF(
SUMPRODUCT(--(
TRIM(LEFT(Teeth!$A:$A,SEARCH(" ",Teeth!$A:$A&amp;" ")-1))=
TRIM(LEFT(A41,SEARCH(" ",A41&amp;" ")-1))
))&gt;0,
IF(
COUNT(_xlfn._xlws.FILTER(Teeth!$D:$D,
TRIM(LEFT(Teeth!$A:$A,SEARCH(" ",Teeth!$A:$A&amp;" ")-1))=
TRIM(LEFT(A41,SEARCH(" ",A41&amp;" ")-1))
))=0,
1,
AVERAGE(_xlfn._xlws.FILTER(Teeth!$D:$D,
TRIM(LEFT(Teeth!$A:$A,SEARCH(" ",Teeth!$A:$A&amp;" ")-1))=
TRIM(LEFT(A41,SEARCH(" ",A41&amp;" ")-1))
))
),
1
)
)</f>
        <v>1</v>
      </c>
    </row>
    <row r="42" spans="1:2" x14ac:dyDescent="0.25">
      <c r="A42" s="2" t="str">
        <f>'[1]Base stats'!$B42</f>
        <v>Bison bison</v>
      </c>
      <c r="B42" s="20" cm="1">
        <f t="array" ref="B42">IF(
SUMPRODUCT(--(
TRIM(LEFT(Teeth!$A:$A,SEARCH("§",SUBSTITUTE(Teeth!$A:$A," ","§",2)&amp;"§")-1))=
TRIM(LEFT(A42,SEARCH("§",SUBSTITUTE(A42," ","§",2)&amp;"§")-1))
))&gt;0,
IF(
COUNT(_xlfn._xlws.FILTER(Teeth!$D:$D,
TRIM(LEFT(Teeth!$A:$A,SEARCH("§",SUBSTITUTE(Teeth!$A:$A," ","§",2)&amp;"§")-1))=
TRIM(LEFT(A42,SEARCH("§",SUBSTITUTE(A42," ","§",2)&amp;"§")-1))
))=0,
1,
MAX(_xlfn._xlws.FILTER(Teeth!$D:$D,
TRIM(LEFT(Teeth!$A:$A,SEARCH("§",SUBSTITUTE(Teeth!$A:$A," ","§",2)&amp;"§")-1))=
TRIM(LEFT(A42,SEARCH("§",SUBSTITUTE(A42," ","§",2)&amp;"§")-1))
))
),
IF(
SUMPRODUCT(--(
TRIM(LEFT(Teeth!$A:$A,SEARCH(" ",Teeth!$A:$A&amp;" ")-1))=
TRIM(LEFT(A42,SEARCH(" ",A42&amp;" ")-1))
))&gt;0,
IF(
COUNT(_xlfn._xlws.FILTER(Teeth!$D:$D,
TRIM(LEFT(Teeth!$A:$A,SEARCH(" ",Teeth!$A:$A&amp;" ")-1))=
TRIM(LEFT(A42,SEARCH(" ",A42&amp;" ")-1))
))=0,
1,
AVERAGE(_xlfn._xlws.FILTER(Teeth!$D:$D,
TRIM(LEFT(Teeth!$A:$A,SEARCH(" ",Teeth!$A:$A&amp;" ")-1))=
TRIM(LEFT(A42,SEARCH(" ",A42&amp;" ")-1))
))
),
1
)
)</f>
        <v>1</v>
      </c>
    </row>
    <row r="43" spans="1:2" x14ac:dyDescent="0.25">
      <c r="A43" s="2" t="str">
        <f>'[1]Base stats'!$B43</f>
        <v>Bos taurus</v>
      </c>
      <c r="B43" s="20" cm="1">
        <f t="array" ref="B43">IF(
SUMPRODUCT(--(
TRIM(LEFT(Teeth!$A:$A,SEARCH("§",SUBSTITUTE(Teeth!$A:$A," ","§",2)&amp;"§")-1))=
TRIM(LEFT(A43,SEARCH("§",SUBSTITUTE(A43," ","§",2)&amp;"§")-1))
))&gt;0,
IF(
COUNT(_xlfn._xlws.FILTER(Teeth!$D:$D,
TRIM(LEFT(Teeth!$A:$A,SEARCH("§",SUBSTITUTE(Teeth!$A:$A," ","§",2)&amp;"§")-1))=
TRIM(LEFT(A43,SEARCH("§",SUBSTITUTE(A43," ","§",2)&amp;"§")-1))
))=0,
1,
MAX(_xlfn._xlws.FILTER(Teeth!$D:$D,
TRIM(LEFT(Teeth!$A:$A,SEARCH("§",SUBSTITUTE(Teeth!$A:$A," ","§",2)&amp;"§")-1))=
TRIM(LEFT(A43,SEARCH("§",SUBSTITUTE(A43," ","§",2)&amp;"§")-1))
))
),
IF(
SUMPRODUCT(--(
TRIM(LEFT(Teeth!$A:$A,SEARCH(" ",Teeth!$A:$A&amp;" ")-1))=
TRIM(LEFT(A43,SEARCH(" ",A43&amp;" ")-1))
))&gt;0,
IF(
COUNT(_xlfn._xlws.FILTER(Teeth!$D:$D,
TRIM(LEFT(Teeth!$A:$A,SEARCH(" ",Teeth!$A:$A&amp;" ")-1))=
TRIM(LEFT(A43,SEARCH(" ",A43&amp;" ")-1))
))=0,
1,
AVERAGE(_xlfn._xlws.FILTER(Teeth!$D:$D,
TRIM(LEFT(Teeth!$A:$A,SEARCH(" ",Teeth!$A:$A&amp;" ")-1))=
TRIM(LEFT(A43,SEARCH(" ",A43&amp;" ")-1))
))
),
1
)
)</f>
        <v>1</v>
      </c>
    </row>
    <row r="44" spans="1:2" x14ac:dyDescent="0.25">
      <c r="A44" s="2" t="str">
        <f>'[1]Base stats'!$B44</f>
        <v>Pseudobison sargentus</v>
      </c>
      <c r="B44" s="20" cm="1">
        <f t="array" ref="B44">IF(
SUMPRODUCT(--(
TRIM(LEFT(Teeth!$A:$A,SEARCH("§",SUBSTITUTE(Teeth!$A:$A," ","§",2)&amp;"§")-1))=
TRIM(LEFT(A44,SEARCH("§",SUBSTITUTE(A44," ","§",2)&amp;"§")-1))
))&gt;0,
IF(
COUNT(_xlfn._xlws.FILTER(Teeth!$D:$D,
TRIM(LEFT(Teeth!$A:$A,SEARCH("§",SUBSTITUTE(Teeth!$A:$A," ","§",2)&amp;"§")-1))=
TRIM(LEFT(A44,SEARCH("§",SUBSTITUTE(A44," ","§",2)&amp;"§")-1))
))=0,
1,
MAX(_xlfn._xlws.FILTER(Teeth!$D:$D,
TRIM(LEFT(Teeth!$A:$A,SEARCH("§",SUBSTITUTE(Teeth!$A:$A," ","§",2)&amp;"§")-1))=
TRIM(LEFT(A44,SEARCH("§",SUBSTITUTE(A44," ","§",2)&amp;"§")-1))
))
),
IF(
SUMPRODUCT(--(
TRIM(LEFT(Teeth!$A:$A,SEARCH(" ",Teeth!$A:$A&amp;" ")-1))=
TRIM(LEFT(A44,SEARCH(" ",A44&amp;" ")-1))
))&gt;0,
IF(
COUNT(_xlfn._xlws.FILTER(Teeth!$D:$D,
TRIM(LEFT(Teeth!$A:$A,SEARCH(" ",Teeth!$A:$A&amp;" ")-1))=
TRIM(LEFT(A44,SEARCH(" ",A44&amp;" ")-1))
))=0,
1,
AVERAGE(_xlfn._xlws.FILTER(Teeth!$D:$D,
TRIM(LEFT(Teeth!$A:$A,SEARCH(" ",Teeth!$A:$A&amp;" ")-1))=
TRIM(LEFT(A44,SEARCH(" ",A44&amp;" ")-1))
))
),
1
)
)</f>
        <v>1</v>
      </c>
    </row>
    <row r="45" spans="1:2" x14ac:dyDescent="0.25">
      <c r="A45" s="2" t="str">
        <f>'[1]Base stats'!$B45</f>
        <v>Bos grunniens</v>
      </c>
      <c r="B45" s="20" cm="1">
        <f t="array" ref="B45">IF(
SUMPRODUCT(--(
TRIM(LEFT(Teeth!$A:$A,SEARCH("§",SUBSTITUTE(Teeth!$A:$A," ","§",2)&amp;"§")-1))=
TRIM(LEFT(A45,SEARCH("§",SUBSTITUTE(A45," ","§",2)&amp;"§")-1))
))&gt;0,
IF(
COUNT(_xlfn._xlws.FILTER(Teeth!$D:$D,
TRIM(LEFT(Teeth!$A:$A,SEARCH("§",SUBSTITUTE(Teeth!$A:$A," ","§",2)&amp;"§")-1))=
TRIM(LEFT(A45,SEARCH("§",SUBSTITUTE(A45," ","§",2)&amp;"§")-1))
))=0,
1,
MAX(_xlfn._xlws.FILTER(Teeth!$D:$D,
TRIM(LEFT(Teeth!$A:$A,SEARCH("§",SUBSTITUTE(Teeth!$A:$A," ","§",2)&amp;"§")-1))=
TRIM(LEFT(A45,SEARCH("§",SUBSTITUTE(A45," ","§",2)&amp;"§")-1))
))
),
IF(
SUMPRODUCT(--(
TRIM(LEFT(Teeth!$A:$A,SEARCH(" ",Teeth!$A:$A&amp;" ")-1))=
TRIM(LEFT(A45,SEARCH(" ",A45&amp;" ")-1))
))&gt;0,
IF(
COUNT(_xlfn._xlws.FILTER(Teeth!$D:$D,
TRIM(LEFT(Teeth!$A:$A,SEARCH(" ",Teeth!$A:$A&amp;" ")-1))=
TRIM(LEFT(A45,SEARCH(" ",A45&amp;" ")-1))
))=0,
1,
AVERAGE(_xlfn._xlws.FILTER(Teeth!$D:$D,
TRIM(LEFT(Teeth!$A:$A,SEARCH(" ",Teeth!$A:$A&amp;" ")-1))=
TRIM(LEFT(A45,SEARCH(" ",A45&amp;" ")-1))
))
),
1
)
)</f>
        <v>1</v>
      </c>
    </row>
    <row r="46" spans="1:2" x14ac:dyDescent="0.25">
      <c r="A46" s="2" t="str">
        <f>'[1]Base stats'!$B46</f>
        <v>Cervus elaphus</v>
      </c>
      <c r="B46" s="20" cm="1">
        <f t="array" ref="B46">IF(
SUMPRODUCT(--(
TRIM(LEFT(Teeth!$A:$A,SEARCH("§",SUBSTITUTE(Teeth!$A:$A," ","§",2)&amp;"§")-1))=
TRIM(LEFT(A46,SEARCH("§",SUBSTITUTE(A46," ","§",2)&amp;"§")-1))
))&gt;0,
IF(
COUNT(_xlfn._xlws.FILTER(Teeth!$D:$D,
TRIM(LEFT(Teeth!$A:$A,SEARCH("§",SUBSTITUTE(Teeth!$A:$A," ","§",2)&amp;"§")-1))=
TRIM(LEFT(A46,SEARCH("§",SUBSTITUTE(A46," ","§",2)&amp;"§")-1))
))=0,
1,
MAX(_xlfn._xlws.FILTER(Teeth!$D:$D,
TRIM(LEFT(Teeth!$A:$A,SEARCH("§",SUBSTITUTE(Teeth!$A:$A," ","§",2)&amp;"§")-1))=
TRIM(LEFT(A46,SEARCH("§",SUBSTITUTE(A46," ","§",2)&amp;"§")-1))
))
),
IF(
SUMPRODUCT(--(
TRIM(LEFT(Teeth!$A:$A,SEARCH(" ",Teeth!$A:$A&amp;" ")-1))=
TRIM(LEFT(A46,SEARCH(" ",A46&amp;" ")-1))
))&gt;0,
IF(
COUNT(_xlfn._xlws.FILTER(Teeth!$D:$D,
TRIM(LEFT(Teeth!$A:$A,SEARCH(" ",Teeth!$A:$A&amp;" ")-1))=
TRIM(LEFT(A46,SEARCH(" ",A46&amp;" ")-1))
))=0,
1,
AVERAGE(_xlfn._xlws.FILTER(Teeth!$D:$D,
TRIM(LEFT(Teeth!$A:$A,SEARCH(" ",Teeth!$A:$A&amp;" ")-1))=
TRIM(LEFT(A46,SEARCH(" ",A46&amp;" ")-1))
))
),
1
)
)</f>
        <v>1</v>
      </c>
    </row>
    <row r="47" spans="1:2" x14ac:dyDescent="0.25">
      <c r="A47" s="2" t="str">
        <f>'[1]Base stats'!$B47</f>
        <v>Bombaria proliferans</v>
      </c>
      <c r="B47" s="20" cm="1">
        <f t="array" ref="B47">IF(
SUMPRODUCT(--(
TRIM(LEFT(Teeth!$A:$A,SEARCH("§",SUBSTITUTE(Teeth!$A:$A," ","§",2)&amp;"§")-1))=
TRIM(LEFT(A47,SEARCH("§",SUBSTITUTE(A47," ","§",2)&amp;"§")-1))
))&gt;0,
IF(
COUNT(_xlfn._xlws.FILTER(Teeth!$D:$D,
TRIM(LEFT(Teeth!$A:$A,SEARCH("§",SUBSTITUTE(Teeth!$A:$A," ","§",2)&amp;"§")-1))=
TRIM(LEFT(A47,SEARCH("§",SUBSTITUTE(A47," ","§",2)&amp;"§")-1))
))=0,
1,
MAX(_xlfn._xlws.FILTER(Teeth!$D:$D,
TRIM(LEFT(Teeth!$A:$A,SEARCH("§",SUBSTITUTE(Teeth!$A:$A," ","§",2)&amp;"§")-1))=
TRIM(LEFT(A47,SEARCH("§",SUBSTITUTE(A47," ","§",2)&amp;"§")-1))
))
),
IF(
SUMPRODUCT(--(
TRIM(LEFT(Teeth!$A:$A,SEARCH(" ",Teeth!$A:$A&amp;" ")-1))=
TRIM(LEFT(A47,SEARCH(" ",A47&amp;" ")-1))
))&gt;0,
IF(
COUNT(_xlfn._xlws.FILTER(Teeth!$D:$D,
TRIM(LEFT(Teeth!$A:$A,SEARCH(" ",Teeth!$A:$A&amp;" ")-1))=
TRIM(LEFT(A47,SEARCH(" ",A47&amp;" ")-1))
))=0,
1,
AVERAGE(_xlfn._xlws.FILTER(Teeth!$D:$D,
TRIM(LEFT(Teeth!$A:$A,SEARCH(" ",Teeth!$A:$A&amp;" ")-1))=
TRIM(LEFT(A47,SEARCH(" ",A47&amp;" ")-1))
))
),
1
)
)</f>
        <v>1</v>
      </c>
    </row>
    <row r="48" spans="1:2" x14ac:dyDescent="0.25">
      <c r="A48" s="2" t="str">
        <f>'[1]Base stats'!$B48</f>
        <v>Bombaria toxiferans</v>
      </c>
      <c r="B48" s="20" cm="1">
        <f t="array" ref="B48">IF(
SUMPRODUCT(--(
TRIM(LEFT(Teeth!$A:$A,SEARCH("§",SUBSTITUTE(Teeth!$A:$A," ","§",2)&amp;"§")-1))=
TRIM(LEFT(A48,SEARCH("§",SUBSTITUTE(A48," ","§",2)&amp;"§")-1))
))&gt;0,
IF(
COUNT(_xlfn._xlws.FILTER(Teeth!$D:$D,
TRIM(LEFT(Teeth!$A:$A,SEARCH("§",SUBSTITUTE(Teeth!$A:$A," ","§",2)&amp;"§")-1))=
TRIM(LEFT(A48,SEARCH("§",SUBSTITUTE(A48," ","§",2)&amp;"§")-1))
))=0,
1,
MAX(_xlfn._xlws.FILTER(Teeth!$D:$D,
TRIM(LEFT(Teeth!$A:$A,SEARCH("§",SUBSTITUTE(Teeth!$A:$A," ","§",2)&amp;"§")-1))=
TRIM(LEFT(A48,SEARCH("§",SUBSTITUTE(A48," ","§",2)&amp;"§")-1))
))
),
IF(
SUMPRODUCT(--(
TRIM(LEFT(Teeth!$A:$A,SEARCH(" ",Teeth!$A:$A&amp;" ")-1))=
TRIM(LEFT(A48,SEARCH(" ",A48&amp;" ")-1))
))&gt;0,
IF(
COUNT(_xlfn._xlws.FILTER(Teeth!$D:$D,
TRIM(LEFT(Teeth!$A:$A,SEARCH(" ",Teeth!$A:$A&amp;" ")-1))=
TRIM(LEFT(A48,SEARCH(" ",A48&amp;" ")-1))
))=0,
1,
AVERAGE(_xlfn._xlws.FILTER(Teeth!$D:$D,
TRIM(LEFT(Teeth!$A:$A,SEARCH(" ",Teeth!$A:$A&amp;" ")-1))=
TRIM(LEFT(A48,SEARCH(" ",A48&amp;" ")-1))
))
),
1
)
)</f>
        <v>1</v>
      </c>
    </row>
    <row r="49" spans="1:2" x14ac:dyDescent="0.25">
      <c r="A49" s="2" t="str">
        <f>'[1]Base stats'!$B49</f>
        <v>Rangifer tarandus</v>
      </c>
      <c r="B49" s="20" cm="1">
        <f t="array" ref="B49">IF(
SUMPRODUCT(--(
TRIM(LEFT(Teeth!$A:$A,SEARCH("§",SUBSTITUTE(Teeth!$A:$A," ","§",2)&amp;"§")-1))=
TRIM(LEFT(A49,SEARCH("§",SUBSTITUTE(A49," ","§",2)&amp;"§")-1))
))&gt;0,
IF(
COUNT(_xlfn._xlws.FILTER(Teeth!$D:$D,
TRIM(LEFT(Teeth!$A:$A,SEARCH("§",SUBSTITUTE(Teeth!$A:$A," ","§",2)&amp;"§")-1))=
TRIM(LEFT(A49,SEARCH("§",SUBSTITUTE(A49," ","§",2)&amp;"§")-1))
))=0,
1,
MAX(_xlfn._xlws.FILTER(Teeth!$D:$D,
TRIM(LEFT(Teeth!$A:$A,SEARCH("§",SUBSTITUTE(Teeth!$A:$A," ","§",2)&amp;"§")-1))=
TRIM(LEFT(A49,SEARCH("§",SUBSTITUTE(A49," ","§",2)&amp;"§")-1))
))
),
IF(
SUMPRODUCT(--(
TRIM(LEFT(Teeth!$A:$A,SEARCH(" ",Teeth!$A:$A&amp;" ")-1))=
TRIM(LEFT(A49,SEARCH(" ",A49&amp;" ")-1))
))&gt;0,
IF(
COUNT(_xlfn._xlws.FILTER(Teeth!$D:$D,
TRIM(LEFT(Teeth!$A:$A,SEARCH(" ",Teeth!$A:$A&amp;" ")-1))=
TRIM(LEFT(A49,SEARCH(" ",A49&amp;" ")-1))
))=0,
1,
AVERAGE(_xlfn._xlws.FILTER(Teeth!$D:$D,
TRIM(LEFT(Teeth!$A:$A,SEARCH(" ",Teeth!$A:$A&amp;" ")-1))=
TRIM(LEFT(A49,SEARCH(" ",A49&amp;" ")-1))
))
),
1
)
)</f>
        <v>1</v>
      </c>
    </row>
    <row r="50" spans="1:2" x14ac:dyDescent="0.25">
      <c r="A50" s="2" t="str">
        <f>'[1]Base stats'!$B50</f>
        <v>Capra ibex</v>
      </c>
      <c r="B50" s="20" cm="1">
        <f t="array" ref="B50">IF(
SUMPRODUCT(--(
TRIM(LEFT(Teeth!$A:$A,SEARCH("§",SUBSTITUTE(Teeth!$A:$A," ","§",2)&amp;"§")-1))=
TRIM(LEFT(A50,SEARCH("§",SUBSTITUTE(A50," ","§",2)&amp;"§")-1))
))&gt;0,
IF(
COUNT(_xlfn._xlws.FILTER(Teeth!$D:$D,
TRIM(LEFT(Teeth!$A:$A,SEARCH("§",SUBSTITUTE(Teeth!$A:$A," ","§",2)&amp;"§")-1))=
TRIM(LEFT(A50,SEARCH("§",SUBSTITUTE(A50," ","§",2)&amp;"§")-1))
))=0,
1,
MAX(_xlfn._xlws.FILTER(Teeth!$D:$D,
TRIM(LEFT(Teeth!$A:$A,SEARCH("§",SUBSTITUTE(Teeth!$A:$A," ","§",2)&amp;"§")-1))=
TRIM(LEFT(A50,SEARCH("§",SUBSTITUTE(A50," ","§",2)&amp;"§")-1))
))
),
IF(
SUMPRODUCT(--(
TRIM(LEFT(Teeth!$A:$A,SEARCH(" ",Teeth!$A:$A&amp;" ")-1))=
TRIM(LEFT(A50,SEARCH(" ",A50&amp;" ")-1))
))&gt;0,
IF(
COUNT(_xlfn._xlws.FILTER(Teeth!$D:$D,
TRIM(LEFT(Teeth!$A:$A,SEARCH(" ",Teeth!$A:$A&amp;" ")-1))=
TRIM(LEFT(A50,SEARCH(" ",A50&amp;" ")-1))
))=0,
1,
AVERAGE(_xlfn._xlws.FILTER(Teeth!$D:$D,
TRIM(LEFT(Teeth!$A:$A,SEARCH(" ",Teeth!$A:$A&amp;" ")-1))=
TRIM(LEFT(A50,SEARCH(" ",A50&amp;" ")-1))
))
),
1
)
)</f>
        <v>1</v>
      </c>
    </row>
    <row r="51" spans="1:2" x14ac:dyDescent="0.25">
      <c r="A51" s="2" t="str">
        <f>'[1]Base stats'!$B51</f>
        <v>Capra hircus</v>
      </c>
      <c r="B51" s="20" cm="1">
        <f t="array" ref="B51">IF(
SUMPRODUCT(--(
TRIM(LEFT(Teeth!$A:$A,SEARCH("§",SUBSTITUTE(Teeth!$A:$A," ","§",2)&amp;"§")-1))=
TRIM(LEFT(A51,SEARCH("§",SUBSTITUTE(A51," ","§",2)&amp;"§")-1))
))&gt;0,
IF(
COUNT(_xlfn._xlws.FILTER(Teeth!$D:$D,
TRIM(LEFT(Teeth!$A:$A,SEARCH("§",SUBSTITUTE(Teeth!$A:$A," ","§",2)&amp;"§")-1))=
TRIM(LEFT(A51,SEARCH("§",SUBSTITUTE(A51," ","§",2)&amp;"§")-1))
))=0,
1,
MAX(_xlfn._xlws.FILTER(Teeth!$D:$D,
TRIM(LEFT(Teeth!$A:$A,SEARCH("§",SUBSTITUTE(Teeth!$A:$A," ","§",2)&amp;"§")-1))=
TRIM(LEFT(A51,SEARCH("§",SUBSTITUTE(A51," ","§",2)&amp;"§")-1))
))
),
IF(
SUMPRODUCT(--(
TRIM(LEFT(Teeth!$A:$A,SEARCH(" ",Teeth!$A:$A&amp;" ")-1))=
TRIM(LEFT(A51,SEARCH(" ",A51&amp;" ")-1))
))&gt;0,
IF(
COUNT(_xlfn._xlws.FILTER(Teeth!$D:$D,
TRIM(LEFT(Teeth!$A:$A,SEARCH(" ",Teeth!$A:$A&amp;" ")-1))=
TRIM(LEFT(A51,SEARCH(" ",A51&amp;" ")-1))
))=0,
1,
AVERAGE(_xlfn._xlws.FILTER(Teeth!$D:$D,
TRIM(LEFT(Teeth!$A:$A,SEARCH(" ",Teeth!$A:$A&amp;" ")-1))=
TRIM(LEFT(A51,SEARCH(" ",A51&amp;" ")-1))
))
),
1
)
)</f>
        <v>1</v>
      </c>
    </row>
    <row r="52" spans="1:2" x14ac:dyDescent="0.25">
      <c r="A52" s="2" t="str">
        <f>'[1]Base stats'!$B52</f>
        <v>Ovis aries</v>
      </c>
      <c r="B52" s="20" cm="1">
        <f t="array" ref="B52">IF(
SUMPRODUCT(--(
TRIM(LEFT(Teeth!$A:$A,SEARCH("§",SUBSTITUTE(Teeth!$A:$A," ","§",2)&amp;"§")-1))=
TRIM(LEFT(A52,SEARCH("§",SUBSTITUTE(A52," ","§",2)&amp;"§")-1))
))&gt;0,
IF(
COUNT(_xlfn._xlws.FILTER(Teeth!$D:$D,
TRIM(LEFT(Teeth!$A:$A,SEARCH("§",SUBSTITUTE(Teeth!$A:$A," ","§",2)&amp;"§")-1))=
TRIM(LEFT(A52,SEARCH("§",SUBSTITUTE(A52," ","§",2)&amp;"§")-1))
))=0,
1,
MAX(_xlfn._xlws.FILTER(Teeth!$D:$D,
TRIM(LEFT(Teeth!$A:$A,SEARCH("§",SUBSTITUTE(Teeth!$A:$A," ","§",2)&amp;"§")-1))=
TRIM(LEFT(A52,SEARCH("§",SUBSTITUTE(A52," ","§",2)&amp;"§")-1))
))
),
IF(
SUMPRODUCT(--(
TRIM(LEFT(Teeth!$A:$A,SEARCH(" ",Teeth!$A:$A&amp;" ")-1))=
TRIM(LEFT(A52,SEARCH(" ",A52&amp;" ")-1))
))&gt;0,
IF(
COUNT(_xlfn._xlws.FILTER(Teeth!$D:$D,
TRIM(LEFT(Teeth!$A:$A,SEARCH(" ",Teeth!$A:$A&amp;" ")-1))=
TRIM(LEFT(A52,SEARCH(" ",A52&amp;" ")-1))
))=0,
1,
AVERAGE(_xlfn._xlws.FILTER(Teeth!$D:$D,
TRIM(LEFT(Teeth!$A:$A,SEARCH(" ",Teeth!$A:$A&amp;" ")-1))=
TRIM(LEFT(A52,SEARCH(" ",A52&amp;" ")-1))
))
),
1
)
)</f>
        <v>1</v>
      </c>
    </row>
    <row r="53" spans="1:2" x14ac:dyDescent="0.25">
      <c r="A53" s="2" t="str">
        <f>'[1]Base stats'!$B53</f>
        <v>Odocoileus hemionus</v>
      </c>
      <c r="B53" s="20" cm="1">
        <f t="array" ref="B53">IF(
SUMPRODUCT(--(
TRIM(LEFT(Teeth!$A:$A,SEARCH("§",SUBSTITUTE(Teeth!$A:$A," ","§",2)&amp;"§")-1))=
TRIM(LEFT(A53,SEARCH("§",SUBSTITUTE(A53," ","§",2)&amp;"§")-1))
))&gt;0,
IF(
COUNT(_xlfn._xlws.FILTER(Teeth!$D:$D,
TRIM(LEFT(Teeth!$A:$A,SEARCH("§",SUBSTITUTE(Teeth!$A:$A," ","§",2)&amp;"§")-1))=
TRIM(LEFT(A53,SEARCH("§",SUBSTITUTE(A53," ","§",2)&amp;"§")-1))
))=0,
1,
MAX(_xlfn._xlws.FILTER(Teeth!$D:$D,
TRIM(LEFT(Teeth!$A:$A,SEARCH("§",SUBSTITUTE(Teeth!$A:$A," ","§",2)&amp;"§")-1))=
TRIM(LEFT(A53,SEARCH("§",SUBSTITUTE(A53," ","§",2)&amp;"§")-1))
))
),
IF(
SUMPRODUCT(--(
TRIM(LEFT(Teeth!$A:$A,SEARCH(" ",Teeth!$A:$A&amp;" ")-1))=
TRIM(LEFT(A53,SEARCH(" ",A53&amp;" ")-1))
))&gt;0,
IF(
COUNT(_xlfn._xlws.FILTER(Teeth!$D:$D,
TRIM(LEFT(Teeth!$A:$A,SEARCH(" ",Teeth!$A:$A&amp;" ")-1))=
TRIM(LEFT(A53,SEARCH(" ",A53&amp;" ")-1))
))=0,
1,
AVERAGE(_xlfn._xlws.FILTER(Teeth!$D:$D,
TRIM(LEFT(Teeth!$A:$A,SEARCH(" ",Teeth!$A:$A&amp;" ")-1))=
TRIM(LEFT(A53,SEARCH(" ",A53&amp;" ")-1))
))
),
1
)
)</f>
        <v>1</v>
      </c>
    </row>
    <row r="54" spans="1:2" x14ac:dyDescent="0.25">
      <c r="A54" s="2" t="str">
        <f>'[1]Base stats'!$B54</f>
        <v>Gazella gazella</v>
      </c>
      <c r="B54" s="20" cm="1">
        <f t="array" ref="B54">IF(
SUMPRODUCT(--(
TRIM(LEFT(Teeth!$A:$A,SEARCH("§",SUBSTITUTE(Teeth!$A:$A," ","§",2)&amp;"§")-1))=
TRIM(LEFT(A54,SEARCH("§",SUBSTITUTE(A54," ","§",2)&amp;"§")-1))
))&gt;0,
IF(
COUNT(_xlfn._xlws.FILTER(Teeth!$D:$D,
TRIM(LEFT(Teeth!$A:$A,SEARCH("§",SUBSTITUTE(Teeth!$A:$A," ","§",2)&amp;"§")-1))=
TRIM(LEFT(A54,SEARCH("§",SUBSTITUTE(A54," ","§",2)&amp;"§")-1))
))=0,
1,
MAX(_xlfn._xlws.FILTER(Teeth!$D:$D,
TRIM(LEFT(Teeth!$A:$A,SEARCH("§",SUBSTITUTE(Teeth!$A:$A," ","§",2)&amp;"§")-1))=
TRIM(LEFT(A54,SEARCH("§",SUBSTITUTE(A54," ","§",2)&amp;"§")-1))
))
),
IF(
SUMPRODUCT(--(
TRIM(LEFT(Teeth!$A:$A,SEARCH(" ",Teeth!$A:$A&amp;" ")-1))=
TRIM(LEFT(A54,SEARCH(" ",A54&amp;" ")-1))
))&gt;0,
IF(
COUNT(_xlfn._xlws.FILTER(Teeth!$D:$D,
TRIM(LEFT(Teeth!$A:$A,SEARCH(" ",Teeth!$A:$A&amp;" ")-1))=
TRIM(LEFT(A54,SEARCH(" ",A54&amp;" ")-1))
))=0,
1,
AVERAGE(_xlfn._xlws.FILTER(Teeth!$D:$D,
TRIM(LEFT(Teeth!$A:$A,SEARCH(" ",Teeth!$A:$A&amp;" ")-1))=
TRIM(LEFT(A54,SEARCH(" ",A54&amp;" ")-1))
))
),
1
)
)</f>
        <v>1</v>
      </c>
    </row>
    <row r="55" spans="1:2" x14ac:dyDescent="0.25">
      <c r="A55" s="2" t="str">
        <f>'[1]Base stats'!$B55</f>
        <v>Canis tyrannus</v>
      </c>
      <c r="B55" s="20" cm="1">
        <f t="array" ref="B55">IF(
SUMPRODUCT(--(
TRIM(LEFT(Teeth!$A:$A,SEARCH("§",SUBSTITUTE(Teeth!$A:$A," ","§",2)&amp;"§")-1))=
TRIM(LEFT(A55,SEARCH("§",SUBSTITUTE(A55," ","§",2)&amp;"§")-1))
))&gt;0,
IF(
COUNT(_xlfn._xlws.FILTER(Teeth!$D:$D,
TRIM(LEFT(Teeth!$A:$A,SEARCH("§",SUBSTITUTE(Teeth!$A:$A," ","§",2)&amp;"§")-1))=
TRIM(LEFT(A55,SEARCH("§",SUBSTITUTE(A55," ","§",2)&amp;"§")-1))
))=0,
1,
MAX(_xlfn._xlws.FILTER(Teeth!$D:$D,
TRIM(LEFT(Teeth!$A:$A,SEARCH("§",SUBSTITUTE(Teeth!$A:$A," ","§",2)&amp;"§")-1))=
TRIM(LEFT(A55,SEARCH("§",SUBSTITUTE(A55," ","§",2)&amp;"§")-1))
))
),
IF(
SUMPRODUCT(--(
TRIM(LEFT(Teeth!$A:$A,SEARCH(" ",Teeth!$A:$A&amp;" ")-1))=
TRIM(LEFT(A55,SEARCH(" ",A55&amp;" ")-1))
))&gt;0,
IF(
COUNT(_xlfn._xlws.FILTER(Teeth!$D:$D,
TRIM(LEFT(Teeth!$A:$A,SEARCH(" ",Teeth!$A:$A&amp;" ")-1))=
TRIM(LEFT(A55,SEARCH(" ",A55&amp;" ")-1))
))=0,
1,
AVERAGE(_xlfn._xlws.FILTER(Teeth!$D:$D,
TRIM(LEFT(Teeth!$A:$A,SEARCH(" ",Teeth!$A:$A&amp;" ")-1))=
TRIM(LEFT(A55,SEARCH(" ",A55&amp;" ")-1))
))
),
1
)
)</f>
        <v>1.038364019968949</v>
      </c>
    </row>
    <row r="56" spans="1:2" x14ac:dyDescent="0.25">
      <c r="A56" s="2" t="str">
        <f>'[1]Base stats'!$B56</f>
        <v>Canis lupus lupus</v>
      </c>
      <c r="B56" s="20" cm="1">
        <f t="array" ref="B56">IF(
SUMPRODUCT(--(
TRIM(LEFT(Teeth!$A:$A,SEARCH("§",SUBSTITUTE(Teeth!$A:$A," ","§",2)&amp;"§")-1))=
TRIM(LEFT(A56,SEARCH("§",SUBSTITUTE(A56," ","§",2)&amp;"§")-1))
))&gt;0,
IF(
COUNT(_xlfn._xlws.FILTER(Teeth!$D:$D,
TRIM(LEFT(Teeth!$A:$A,SEARCH("§",SUBSTITUTE(Teeth!$A:$A," ","§",2)&amp;"§")-1))=
TRIM(LEFT(A56,SEARCH("§",SUBSTITUTE(A56," ","§",2)&amp;"§")-1))
))=0,
1,
MAX(_xlfn._xlws.FILTER(Teeth!$D:$D,
TRIM(LEFT(Teeth!$A:$A,SEARCH("§",SUBSTITUTE(Teeth!$A:$A," ","§",2)&amp;"§")-1))=
TRIM(LEFT(A56,SEARCH("§",SUBSTITUTE(A56," ","§",2)&amp;"§")-1))
))
),
IF(
SUMPRODUCT(--(
TRIM(LEFT(Teeth!$A:$A,SEARCH(" ",Teeth!$A:$A&amp;" ")-1))=
TRIM(LEFT(A56,SEARCH(" ",A56&amp;" ")-1))
))&gt;0,
IF(
COUNT(_xlfn._xlws.FILTER(Teeth!$D:$D,
TRIM(LEFT(Teeth!$A:$A,SEARCH(" ",Teeth!$A:$A&amp;" ")-1))=
TRIM(LEFT(A56,SEARCH(" ",A56&amp;" ")-1))
))=0,
1,
AVERAGE(_xlfn._xlws.FILTER(Teeth!$D:$D,
TRIM(LEFT(Teeth!$A:$A,SEARCH(" ",Teeth!$A:$A&amp;" ")-1))=
TRIM(LEFT(A56,SEARCH(" ",A56&amp;" ")-1))
))
),
1
)
)</f>
        <v>1.0836264905293682</v>
      </c>
    </row>
    <row r="57" spans="1:2" x14ac:dyDescent="0.25">
      <c r="A57" s="2" t="str">
        <f>'[1]Base stats'!$B57</f>
        <v>Canis lupus albus</v>
      </c>
      <c r="B57" s="20" cm="1">
        <f t="array" ref="B57">IF(
SUMPRODUCT(--(
TRIM(LEFT(Teeth!$A:$A,SEARCH("§",SUBSTITUTE(Teeth!$A:$A," ","§",2)&amp;"§")-1))=
TRIM(LEFT(A57,SEARCH("§",SUBSTITUTE(A57," ","§",2)&amp;"§")-1))
))&gt;0,
IF(
COUNT(_xlfn._xlws.FILTER(Teeth!$D:$D,
TRIM(LEFT(Teeth!$A:$A,SEARCH("§",SUBSTITUTE(Teeth!$A:$A," ","§",2)&amp;"§")-1))=
TRIM(LEFT(A57,SEARCH("§",SUBSTITUTE(A57," ","§",2)&amp;"§")-1))
))=0,
1,
MAX(_xlfn._xlws.FILTER(Teeth!$D:$D,
TRIM(LEFT(Teeth!$A:$A,SEARCH("§",SUBSTITUTE(Teeth!$A:$A," ","§",2)&amp;"§")-1))=
TRIM(LEFT(A57,SEARCH("§",SUBSTITUTE(A57," ","§",2)&amp;"§")-1))
))
),
IF(
SUMPRODUCT(--(
TRIM(LEFT(Teeth!$A:$A,SEARCH(" ",Teeth!$A:$A&amp;" ")-1))=
TRIM(LEFT(A57,SEARCH(" ",A57&amp;" ")-1))
))&gt;0,
IF(
COUNT(_xlfn._xlws.FILTER(Teeth!$D:$D,
TRIM(LEFT(Teeth!$A:$A,SEARCH(" ",Teeth!$A:$A&amp;" ")-1))=
TRIM(LEFT(A57,SEARCH(" ",A57&amp;" ")-1))
))=0,
1,
AVERAGE(_xlfn._xlws.FILTER(Teeth!$D:$D,
TRIM(LEFT(Teeth!$A:$A,SEARCH(" ",Teeth!$A:$A&amp;" ")-1))=
TRIM(LEFT(A57,SEARCH(" ",A57&amp;" ")-1))
))
),
1
)
)</f>
        <v>1.0836264905293682</v>
      </c>
    </row>
    <row r="58" spans="1:2" x14ac:dyDescent="0.25">
      <c r="A58" s="2" t="str">
        <f>'[1]Base stats'!$B58</f>
        <v>Vulpes vulpes</v>
      </c>
      <c r="B58" s="20" cm="1">
        <f t="array" ref="B58">IF(
SUMPRODUCT(--(
TRIM(LEFT(Teeth!$A:$A,SEARCH("§",SUBSTITUTE(Teeth!$A:$A," ","§",2)&amp;"§")-1))=
TRIM(LEFT(A58,SEARCH("§",SUBSTITUTE(A58," ","§",2)&amp;"§")-1))
))&gt;0,
IF(
COUNT(_xlfn._xlws.FILTER(Teeth!$D:$D,
TRIM(LEFT(Teeth!$A:$A,SEARCH("§",SUBSTITUTE(Teeth!$A:$A," ","§",2)&amp;"§")-1))=
TRIM(LEFT(A58,SEARCH("§",SUBSTITUTE(A58," ","§",2)&amp;"§")-1))
))=0,
1,
MAX(_xlfn._xlws.FILTER(Teeth!$D:$D,
TRIM(LEFT(Teeth!$A:$A,SEARCH("§",SUBSTITUTE(Teeth!$A:$A," ","§",2)&amp;"§")-1))=
TRIM(LEFT(A58,SEARCH("§",SUBSTITUTE(A58," ","§",2)&amp;"§")-1))
))
),
IF(
SUMPRODUCT(--(
TRIM(LEFT(Teeth!$A:$A,SEARCH(" ",Teeth!$A:$A&amp;" ")-1))=
TRIM(LEFT(A58,SEARCH(" ",A58&amp;" ")-1))
))&gt;0,
IF(
COUNT(_xlfn._xlws.FILTER(Teeth!$D:$D,
TRIM(LEFT(Teeth!$A:$A,SEARCH(" ",Teeth!$A:$A&amp;" ")-1))=
TRIM(LEFT(A58,SEARCH(" ",A58&amp;" ")-1))
))=0,
1,
AVERAGE(_xlfn._xlws.FILTER(Teeth!$D:$D,
TRIM(LEFT(Teeth!$A:$A,SEARCH(" ",Teeth!$A:$A&amp;" ")-1))=
TRIM(LEFT(A58,SEARCH(" ",A58&amp;" ")-1))
))
),
1
)
)</f>
        <v>1.4047564678154916</v>
      </c>
    </row>
    <row r="59" spans="1:2" x14ac:dyDescent="0.25">
      <c r="A59" s="2" t="str">
        <f>'[1]Base stats'!$B59</f>
        <v>Vulpes lagopus</v>
      </c>
      <c r="B59" s="20" cm="1">
        <f t="array" ref="B59">IF(
SUMPRODUCT(--(
TRIM(LEFT(Teeth!$A:$A,SEARCH("§",SUBSTITUTE(Teeth!$A:$A," ","§",2)&amp;"§")-1))=
TRIM(LEFT(A59,SEARCH("§",SUBSTITUTE(A59," ","§",2)&amp;"§")-1))
))&gt;0,
IF(
COUNT(_xlfn._xlws.FILTER(Teeth!$D:$D,
TRIM(LEFT(Teeth!$A:$A,SEARCH("§",SUBSTITUTE(Teeth!$A:$A," ","§",2)&amp;"§")-1))=
TRIM(LEFT(A59,SEARCH("§",SUBSTITUTE(A59," ","§",2)&amp;"§")-1))
))=0,
1,
MAX(_xlfn._xlws.FILTER(Teeth!$D:$D,
TRIM(LEFT(Teeth!$A:$A,SEARCH("§",SUBSTITUTE(Teeth!$A:$A," ","§",2)&amp;"§")-1))=
TRIM(LEFT(A59,SEARCH("§",SUBSTITUTE(A59," ","§",2)&amp;"§")-1))
))
),
IF(
SUMPRODUCT(--(
TRIM(LEFT(Teeth!$A:$A,SEARCH(" ",Teeth!$A:$A&amp;" ")-1))=
TRIM(LEFT(A59,SEARCH(" ",A59&amp;" ")-1))
))&gt;0,
IF(
COUNT(_xlfn._xlws.FILTER(Teeth!$D:$D,
TRIM(LEFT(Teeth!$A:$A,SEARCH(" ",Teeth!$A:$A&amp;" ")-1))=
TRIM(LEFT(A59,SEARCH(" ",A59&amp;" ")-1))
))=0,
1,
AVERAGE(_xlfn._xlws.FILTER(Teeth!$D:$D,
TRIM(LEFT(Teeth!$A:$A,SEARCH(" ",Teeth!$A:$A&amp;" ")-1))=
TRIM(LEFT(A59,SEARCH(" ",A59&amp;" ")-1))
))
),
1
)
)</f>
        <v>1.1469133122883668</v>
      </c>
    </row>
    <row r="60" spans="1:2" x14ac:dyDescent="0.25">
      <c r="A60" s="2" t="str">
        <f>'[1]Base stats'!$B60</f>
        <v>Vulpes zerda</v>
      </c>
      <c r="B60" s="20" cm="1">
        <f t="array" ref="B60">IF(
SUMPRODUCT(--(
TRIM(LEFT(Teeth!$A:$A,SEARCH("§",SUBSTITUTE(Teeth!$A:$A," ","§",2)&amp;"§")-1))=
TRIM(LEFT(A60,SEARCH("§",SUBSTITUTE(A60," ","§",2)&amp;"§")-1))
))&gt;0,
IF(
COUNT(_xlfn._xlws.FILTER(Teeth!$D:$D,
TRIM(LEFT(Teeth!$A:$A,SEARCH("§",SUBSTITUTE(Teeth!$A:$A," ","§",2)&amp;"§")-1))=
TRIM(LEFT(A60,SEARCH("§",SUBSTITUTE(A60," ","§",2)&amp;"§")-1))
))=0,
1,
MAX(_xlfn._xlws.FILTER(Teeth!$D:$D,
TRIM(LEFT(Teeth!$A:$A,SEARCH("§",SUBSTITUTE(Teeth!$A:$A," ","§",2)&amp;"§")-1))=
TRIM(LEFT(A60,SEARCH("§",SUBSTITUTE(A60," ","§",2)&amp;"§")-1))
))
),
IF(
SUMPRODUCT(--(
TRIM(LEFT(Teeth!$A:$A,SEARCH(" ",Teeth!$A:$A&amp;" ")-1))=
TRIM(LEFT(A60,SEARCH(" ",A60&amp;" ")-1))
))&gt;0,
IF(
COUNT(_xlfn._xlws.FILTER(Teeth!$D:$D,
TRIM(LEFT(Teeth!$A:$A,SEARCH(" ",Teeth!$A:$A&amp;" ")-1))=
TRIM(LEFT(A60,SEARCH(" ",A60&amp;" ")-1))
))=0,
1,
AVERAGE(_xlfn._xlws.FILTER(Teeth!$D:$D,
TRIM(LEFT(Teeth!$A:$A,SEARCH(" ",Teeth!$A:$A&amp;" ")-1))=
TRIM(LEFT(A60,SEARCH(" ",A60&amp;" ")-1))
))
),
1
)
)</f>
        <v>1.2266423062576042</v>
      </c>
    </row>
    <row r="61" spans="1:2" x14ac:dyDescent="0.25">
      <c r="A61" s="2" t="str">
        <f>'[1]Base stats'!$B61</f>
        <v>Rattus macrosordidus</v>
      </c>
      <c r="B61" s="20" cm="1">
        <f t="array" ref="B61">IF(
SUMPRODUCT(--(
TRIM(LEFT(Teeth!$A:$A,SEARCH("§",SUBSTITUTE(Teeth!$A:$A," ","§",2)&amp;"§")-1))=
TRIM(LEFT(A61,SEARCH("§",SUBSTITUTE(A61," ","§",2)&amp;"§")-1))
))&gt;0,
IF(
COUNT(_xlfn._xlws.FILTER(Teeth!$D:$D,
TRIM(LEFT(Teeth!$A:$A,SEARCH("§",SUBSTITUTE(Teeth!$A:$A," ","§",2)&amp;"§")-1))=
TRIM(LEFT(A61,SEARCH("§",SUBSTITUTE(A61," ","§",2)&amp;"§")-1))
))=0,
1,
MAX(_xlfn._xlws.FILTER(Teeth!$D:$D,
TRIM(LEFT(Teeth!$A:$A,SEARCH("§",SUBSTITUTE(Teeth!$A:$A," ","§",2)&amp;"§")-1))=
TRIM(LEFT(A61,SEARCH("§",SUBSTITUTE(A61," ","§",2)&amp;"§")-1))
))
),
IF(
SUMPRODUCT(--(
TRIM(LEFT(Teeth!$A:$A,SEARCH(" ",Teeth!$A:$A&amp;" ")-1))=
TRIM(LEFT(A61,SEARCH(" ",A61&amp;" ")-1))
))&gt;0,
IF(
COUNT(_xlfn._xlws.FILTER(Teeth!$D:$D,
TRIM(LEFT(Teeth!$A:$A,SEARCH(" ",Teeth!$A:$A&amp;" ")-1))=
TRIM(LEFT(A61,SEARCH(" ",A61&amp;" ")-1))
))=0,
1,
AVERAGE(_xlfn._xlws.FILTER(Teeth!$D:$D,
TRIM(LEFT(Teeth!$A:$A,SEARCH(" ",Teeth!$A:$A&amp;" ")-1))=
TRIM(LEFT(A61,SEARCH(" ",A61&amp;" ")-1))
))
),
1
)
)</f>
        <v>1</v>
      </c>
    </row>
    <row r="62" spans="1:2" x14ac:dyDescent="0.25">
      <c r="A62" s="2" t="str">
        <f>'[1]Base stats'!$B62</f>
        <v>Ailuropoda melanoleuca</v>
      </c>
      <c r="B62" s="20" cm="1">
        <f t="array" ref="B62">IF(
SUMPRODUCT(--(
TRIM(LEFT(Teeth!$A:$A,SEARCH("§",SUBSTITUTE(Teeth!$A:$A," ","§",2)&amp;"§")-1))=
TRIM(LEFT(A62,SEARCH("§",SUBSTITUTE(A62," ","§",2)&amp;"§")-1))
))&gt;0,
IF(
COUNT(_xlfn._xlws.FILTER(Teeth!$D:$D,
TRIM(LEFT(Teeth!$A:$A,SEARCH("§",SUBSTITUTE(Teeth!$A:$A," ","§",2)&amp;"§")-1))=
TRIM(LEFT(A62,SEARCH("§",SUBSTITUTE(A62," ","§",2)&amp;"§")-1))
))=0,
1,
MAX(_xlfn._xlws.FILTER(Teeth!$D:$D,
TRIM(LEFT(Teeth!$A:$A,SEARCH("§",SUBSTITUTE(Teeth!$A:$A," ","§",2)&amp;"§")-1))=
TRIM(LEFT(A62,SEARCH("§",SUBSTITUTE(A62," ","§",2)&amp;"§")-1))
))
),
IF(
SUMPRODUCT(--(
TRIM(LEFT(Teeth!$A:$A,SEARCH(" ",Teeth!$A:$A&amp;" ")-1))=
TRIM(LEFT(A62,SEARCH(" ",A62&amp;" ")-1))
))&gt;0,
IF(
COUNT(_xlfn._xlws.FILTER(Teeth!$D:$D,
TRIM(LEFT(Teeth!$A:$A,SEARCH(" ",Teeth!$A:$A&amp;" ")-1))=
TRIM(LEFT(A62,SEARCH(" ",A62&amp;" ")-1))
))=0,
1,
AVERAGE(_xlfn._xlws.FILTER(Teeth!$D:$D,
TRIM(LEFT(Teeth!$A:$A,SEARCH(" ",Teeth!$A:$A&amp;" ")-1))=
TRIM(LEFT(A62,SEARCH(" ",A62&amp;" ")-1))
))
),
1
)
)</f>
        <v>1</v>
      </c>
    </row>
    <row r="63" spans="1:2" x14ac:dyDescent="0.25">
      <c r="A63" s="2" t="str">
        <f>'[1]Base stats'!$B63</f>
        <v>Passer domesticus</v>
      </c>
      <c r="B63" s="20" cm="1">
        <f t="array" ref="B63">IF(
SUMPRODUCT(--(
TRIM(LEFT(Teeth!$A:$A,SEARCH("§",SUBSTITUTE(Teeth!$A:$A," ","§",2)&amp;"§")-1))=
TRIM(LEFT(A63,SEARCH("§",SUBSTITUTE(A63," ","§",2)&amp;"§")-1))
))&gt;0,
IF(
COUNT(_xlfn._xlws.FILTER(Teeth!$D:$D,
TRIM(LEFT(Teeth!$A:$A,SEARCH("§",SUBSTITUTE(Teeth!$A:$A," ","§",2)&amp;"§")-1))=
TRIM(LEFT(A63,SEARCH("§",SUBSTITUTE(A63," ","§",2)&amp;"§")-1))
))=0,
1,
MAX(_xlfn._xlws.FILTER(Teeth!$D:$D,
TRIM(LEFT(Teeth!$A:$A,SEARCH("§",SUBSTITUTE(Teeth!$A:$A," ","§",2)&amp;"§")-1))=
TRIM(LEFT(A63,SEARCH("§",SUBSTITUTE(A63," ","§",2)&amp;"§")-1))
))
),
IF(
SUMPRODUCT(--(
TRIM(LEFT(Teeth!$A:$A,SEARCH(" ",Teeth!$A:$A&amp;" ")-1))=
TRIM(LEFT(A63,SEARCH(" ",A63&amp;" ")-1))
))&gt;0,
IF(
COUNT(_xlfn._xlws.FILTER(Teeth!$D:$D,
TRIM(LEFT(Teeth!$A:$A,SEARCH(" ",Teeth!$A:$A&amp;" ")-1))=
TRIM(LEFT(A63,SEARCH(" ",A63&amp;" ")-1))
))=0,
1,
AVERAGE(_xlfn._xlws.FILTER(Teeth!$D:$D,
TRIM(LEFT(Teeth!$A:$A,SEARCH(" ",Teeth!$A:$A&amp;" ")-1))=
TRIM(LEFT(A63,SEARCH(" ",A63&amp;" ")-1))
))
),
1
)
)</f>
        <v>1</v>
      </c>
    </row>
    <row r="64" spans="1:2" x14ac:dyDescent="0.25">
      <c r="A64" s="2" t="str">
        <f>'[1]Base stats'!$B64</f>
        <v>Sialia sialis</v>
      </c>
      <c r="B64" s="20" cm="1">
        <f t="array" ref="B64">IF(
SUMPRODUCT(--(
TRIM(LEFT(Teeth!$A:$A,SEARCH("§",SUBSTITUTE(Teeth!$A:$A," ","§",2)&amp;"§")-1))=
TRIM(LEFT(A64,SEARCH("§",SUBSTITUTE(A64," ","§",2)&amp;"§")-1))
))&gt;0,
IF(
COUNT(_xlfn._xlws.FILTER(Teeth!$D:$D,
TRIM(LEFT(Teeth!$A:$A,SEARCH("§",SUBSTITUTE(Teeth!$A:$A," ","§",2)&amp;"§")-1))=
TRIM(LEFT(A64,SEARCH("§",SUBSTITUTE(A64," ","§",2)&amp;"§")-1))
))=0,
1,
MAX(_xlfn._xlws.FILTER(Teeth!$D:$D,
TRIM(LEFT(Teeth!$A:$A,SEARCH("§",SUBSTITUTE(Teeth!$A:$A," ","§",2)&amp;"§")-1))=
TRIM(LEFT(A64,SEARCH("§",SUBSTITUTE(A64," ","§",2)&amp;"§")-1))
))
),
IF(
SUMPRODUCT(--(
TRIM(LEFT(Teeth!$A:$A,SEARCH(" ",Teeth!$A:$A&amp;" ")-1))=
TRIM(LEFT(A64,SEARCH(" ",A64&amp;" ")-1))
))&gt;0,
IF(
COUNT(_xlfn._xlws.FILTER(Teeth!$D:$D,
TRIM(LEFT(Teeth!$A:$A,SEARCH(" ",Teeth!$A:$A&amp;" ")-1))=
TRIM(LEFT(A64,SEARCH(" ",A64&amp;" ")-1))
))=0,
1,
AVERAGE(_xlfn._xlws.FILTER(Teeth!$D:$D,
TRIM(LEFT(Teeth!$A:$A,SEARCH(" ",Teeth!$A:$A&amp;" ")-1))=
TRIM(LEFT(A64,SEARCH(" ",A64&amp;" ")-1))
))
),
1
)
)</f>
        <v>1</v>
      </c>
    </row>
    <row r="65" spans="1:2" x14ac:dyDescent="0.25">
      <c r="A65" s="2" t="str">
        <f>'[1]Base stats'!$B65</f>
        <v>Corvus corone</v>
      </c>
      <c r="B65" s="20" cm="1">
        <f t="array" ref="B65">IF(
SUMPRODUCT(--(
TRIM(LEFT(Teeth!$A:$A,SEARCH("§",SUBSTITUTE(Teeth!$A:$A," ","§",2)&amp;"§")-1))=
TRIM(LEFT(A65,SEARCH("§",SUBSTITUTE(A65," ","§",2)&amp;"§")-1))
))&gt;0,
IF(
COUNT(_xlfn._xlws.FILTER(Teeth!$D:$D,
TRIM(LEFT(Teeth!$A:$A,SEARCH("§",SUBSTITUTE(Teeth!$A:$A," ","§",2)&amp;"§")-1))=
TRIM(LEFT(A65,SEARCH("§",SUBSTITUTE(A65," ","§",2)&amp;"§")-1))
))=0,
1,
MAX(_xlfn._xlws.FILTER(Teeth!$D:$D,
TRIM(LEFT(Teeth!$A:$A,SEARCH("§",SUBSTITUTE(Teeth!$A:$A," ","§",2)&amp;"§")-1))=
TRIM(LEFT(A65,SEARCH("§",SUBSTITUTE(A65," ","§",2)&amp;"§")-1))
))
),
IF(
SUMPRODUCT(--(
TRIM(LEFT(Teeth!$A:$A,SEARCH(" ",Teeth!$A:$A&amp;" ")-1))=
TRIM(LEFT(A65,SEARCH(" ",A65&amp;" ")-1))
))&gt;0,
IF(
COUNT(_xlfn._xlws.FILTER(Teeth!$D:$D,
TRIM(LEFT(Teeth!$A:$A,SEARCH(" ",Teeth!$A:$A&amp;" ")-1))=
TRIM(LEFT(A65,SEARCH(" ",A65&amp;" ")-1))
))=0,
1,
AVERAGE(_xlfn._xlws.FILTER(Teeth!$D:$D,
TRIM(LEFT(Teeth!$A:$A,SEARCH(" ",Teeth!$A:$A&amp;" ")-1))=
TRIM(LEFT(A65,SEARCH(" ",A65&amp;" ")-1))
))
),
1
)
)</f>
        <v>1</v>
      </c>
    </row>
    <row r="66" spans="1:2" x14ac:dyDescent="0.25">
      <c r="A66" s="2" t="str">
        <f>'[1]Base stats'!$B66</f>
        <v>Ara macao</v>
      </c>
      <c r="B66" s="20" cm="1">
        <f t="array" ref="B66">IF(
SUMPRODUCT(--(
TRIM(LEFT(Teeth!$A:$A,SEARCH("§",SUBSTITUTE(Teeth!$A:$A," ","§",2)&amp;"§")-1))=
TRIM(LEFT(A66,SEARCH("§",SUBSTITUTE(A66," ","§",2)&amp;"§")-1))
))&gt;0,
IF(
COUNT(_xlfn._xlws.FILTER(Teeth!$D:$D,
TRIM(LEFT(Teeth!$A:$A,SEARCH("§",SUBSTITUTE(Teeth!$A:$A," ","§",2)&amp;"§")-1))=
TRIM(LEFT(A66,SEARCH("§",SUBSTITUTE(A66," ","§",2)&amp;"§")-1))
))=0,
1,
MAX(_xlfn._xlws.FILTER(Teeth!$D:$D,
TRIM(LEFT(Teeth!$A:$A,SEARCH("§",SUBSTITUTE(Teeth!$A:$A," ","§",2)&amp;"§")-1))=
TRIM(LEFT(A66,SEARCH("§",SUBSTITUTE(A66," ","§",2)&amp;"§")-1))
))
),
IF(
SUMPRODUCT(--(
TRIM(LEFT(Teeth!$A:$A,SEARCH(" ",Teeth!$A:$A&amp;" ")-1))=
TRIM(LEFT(A66,SEARCH(" ",A66&amp;" ")-1))
))&gt;0,
IF(
COUNT(_xlfn._xlws.FILTER(Teeth!$D:$D,
TRIM(LEFT(Teeth!$A:$A,SEARCH(" ",Teeth!$A:$A&amp;" ")-1))=
TRIM(LEFT(A66,SEARCH(" ",A66&amp;" ")-1))
))=0,
1,
AVERAGE(_xlfn._xlws.FILTER(Teeth!$D:$D,
TRIM(LEFT(Teeth!$A:$A,SEARCH(" ",Teeth!$A:$A&amp;" ")-1))=
TRIM(LEFT(A66,SEARCH(" ",A66&amp;" ")-1))
))
),
1
)
)</f>
        <v>1</v>
      </c>
    </row>
    <row r="67" spans="1:2" x14ac:dyDescent="0.25">
      <c r="A67" s="2" t="str">
        <f>'[1]Base stats'!$B67</f>
        <v>Coturnix coturnix</v>
      </c>
      <c r="B67" s="20" cm="1">
        <f t="array" ref="B67">IF(
SUMPRODUCT(--(
TRIM(LEFT(Teeth!$A:$A,SEARCH("§",SUBSTITUTE(Teeth!$A:$A," ","§",2)&amp;"§")-1))=
TRIM(LEFT(A67,SEARCH("§",SUBSTITUTE(A67," ","§",2)&amp;"§")-1))
))&gt;0,
IF(
COUNT(_xlfn._xlws.FILTER(Teeth!$D:$D,
TRIM(LEFT(Teeth!$A:$A,SEARCH("§",SUBSTITUTE(Teeth!$A:$A," ","§",2)&amp;"§")-1))=
TRIM(LEFT(A67,SEARCH("§",SUBSTITUTE(A67," ","§",2)&amp;"§")-1))
))=0,
1,
MAX(_xlfn._xlws.FILTER(Teeth!$D:$D,
TRIM(LEFT(Teeth!$A:$A,SEARCH("§",SUBSTITUTE(Teeth!$A:$A," ","§",2)&amp;"§")-1))=
TRIM(LEFT(A67,SEARCH("§",SUBSTITUTE(A67," ","§",2)&amp;"§")-1))
))
),
IF(
SUMPRODUCT(--(
TRIM(LEFT(Teeth!$A:$A,SEARCH(" ",Teeth!$A:$A&amp;" ")-1))=
TRIM(LEFT(A67,SEARCH(" ",A67&amp;" ")-1))
))&gt;0,
IF(
COUNT(_xlfn._xlws.FILTER(Teeth!$D:$D,
TRIM(LEFT(Teeth!$A:$A,SEARCH(" ",Teeth!$A:$A&amp;" ")-1))=
TRIM(LEFT(A67,SEARCH(" ",A67&amp;" ")-1))
))=0,
1,
AVERAGE(_xlfn._xlws.FILTER(Teeth!$D:$D,
TRIM(LEFT(Teeth!$A:$A,SEARCH(" ",Teeth!$A:$A&amp;" ")-1))=
TRIM(LEFT(A67,SEARCH(" ",A67&amp;" ")-1))
))
),
1
)
)</f>
        <v>1</v>
      </c>
    </row>
    <row r="68" spans="1:2" x14ac:dyDescent="0.25">
      <c r="A68" s="2" t="str">
        <f>'[1]Base stats'!$B68</f>
        <v>Cygnus olor</v>
      </c>
      <c r="B68" s="20" cm="1">
        <f t="array" ref="B68">IF(
SUMPRODUCT(--(
TRIM(LEFT(Teeth!$A:$A,SEARCH("§",SUBSTITUTE(Teeth!$A:$A," ","§",2)&amp;"§")-1))=
TRIM(LEFT(A68,SEARCH("§",SUBSTITUTE(A68," ","§",2)&amp;"§")-1))
))&gt;0,
IF(
COUNT(_xlfn._xlws.FILTER(Teeth!$D:$D,
TRIM(LEFT(Teeth!$A:$A,SEARCH("§",SUBSTITUTE(Teeth!$A:$A," ","§",2)&amp;"§")-1))=
TRIM(LEFT(A68,SEARCH("§",SUBSTITUTE(A68," ","§",2)&amp;"§")-1))
))=0,
1,
MAX(_xlfn._xlws.FILTER(Teeth!$D:$D,
TRIM(LEFT(Teeth!$A:$A,SEARCH("§",SUBSTITUTE(Teeth!$A:$A," ","§",2)&amp;"§")-1))=
TRIM(LEFT(A68,SEARCH("§",SUBSTITUTE(A68," ","§",2)&amp;"§")-1))
))
),
IF(
SUMPRODUCT(--(
TRIM(LEFT(Teeth!$A:$A,SEARCH(" ",Teeth!$A:$A&amp;" ")-1))=
TRIM(LEFT(A68,SEARCH(" ",A68&amp;" ")-1))
))&gt;0,
IF(
COUNT(_xlfn._xlws.FILTER(Teeth!$D:$D,
TRIM(LEFT(Teeth!$A:$A,SEARCH(" ",Teeth!$A:$A&amp;" ")-1))=
TRIM(LEFT(A68,SEARCH(" ",A68&amp;" ")-1))
))=0,
1,
AVERAGE(_xlfn._xlws.FILTER(Teeth!$D:$D,
TRIM(LEFT(Teeth!$A:$A,SEARCH(" ",Teeth!$A:$A&amp;" ")-1))=
TRIM(LEFT(A68,SEARCH(" ",A68&amp;" ")-1))
))
),
1
)
)</f>
        <v>1</v>
      </c>
    </row>
    <row r="69" spans="1:2" x14ac:dyDescent="0.25">
      <c r="A69" s="2" t="str">
        <f>'[1]Base stats'!$B69</f>
        <v>Ardea cinerea</v>
      </c>
      <c r="B69" s="20" cm="1">
        <f t="array" ref="B69">IF(
SUMPRODUCT(--(
TRIM(LEFT(Teeth!$A:$A,SEARCH("§",SUBSTITUTE(Teeth!$A:$A," ","§",2)&amp;"§")-1))=
TRIM(LEFT(A69,SEARCH("§",SUBSTITUTE(A69," ","§",2)&amp;"§")-1))
))&gt;0,
IF(
COUNT(_xlfn._xlws.FILTER(Teeth!$D:$D,
TRIM(LEFT(Teeth!$A:$A,SEARCH("§",SUBSTITUTE(Teeth!$A:$A," ","§",2)&amp;"§")-1))=
TRIM(LEFT(A69,SEARCH("§",SUBSTITUTE(A69," ","§",2)&amp;"§")-1))
))=0,
1,
MAX(_xlfn._xlws.FILTER(Teeth!$D:$D,
TRIM(LEFT(Teeth!$A:$A,SEARCH("§",SUBSTITUTE(Teeth!$A:$A," ","§",2)&amp;"§")-1))=
TRIM(LEFT(A69,SEARCH("§",SUBSTITUTE(A69," ","§",2)&amp;"§")-1))
))
),
IF(
SUMPRODUCT(--(
TRIM(LEFT(Teeth!$A:$A,SEARCH(" ",Teeth!$A:$A&amp;" ")-1))=
TRIM(LEFT(A69,SEARCH(" ",A69&amp;" ")-1))
))&gt;0,
IF(
COUNT(_xlfn._xlws.FILTER(Teeth!$D:$D,
TRIM(LEFT(Teeth!$A:$A,SEARCH(" ",Teeth!$A:$A&amp;" ")-1))=
TRIM(LEFT(A69,SEARCH(" ",A69&amp;" ")-1))
))=0,
1,
AVERAGE(_xlfn._xlws.FILTER(Teeth!$D:$D,
TRIM(LEFT(Teeth!$A:$A,SEARCH(" ",Teeth!$A:$A&amp;" ")-1))=
TRIM(LEFT(A69,SEARCH(" ",A69&amp;" ")-1))
))
),
1
)
)</f>
        <v>1</v>
      </c>
    </row>
    <row r="70" spans="1:2" x14ac:dyDescent="0.25">
      <c r="A70" s="2" t="str">
        <f>'[1]Base stats'!$B70</f>
        <v>Phoenicopterus roseus</v>
      </c>
      <c r="B70" s="20" cm="1">
        <f t="array" ref="B70">IF(
SUMPRODUCT(--(
TRIM(LEFT(Teeth!$A:$A,SEARCH("§",SUBSTITUTE(Teeth!$A:$A," ","§",2)&amp;"§")-1))=
TRIM(LEFT(A70,SEARCH("§",SUBSTITUTE(A70," ","§",2)&amp;"§")-1))
))&gt;0,
IF(
COUNT(_xlfn._xlws.FILTER(Teeth!$D:$D,
TRIM(LEFT(Teeth!$A:$A,SEARCH("§",SUBSTITUTE(Teeth!$A:$A," ","§",2)&amp;"§")-1))=
TRIM(LEFT(A70,SEARCH("§",SUBSTITUTE(A70," ","§",2)&amp;"§")-1))
))=0,
1,
MAX(_xlfn._xlws.FILTER(Teeth!$D:$D,
TRIM(LEFT(Teeth!$A:$A,SEARCH("§",SUBSTITUTE(Teeth!$A:$A," ","§",2)&amp;"§")-1))=
TRIM(LEFT(A70,SEARCH("§",SUBSTITUTE(A70," ","§",2)&amp;"§")-1))
))
),
IF(
SUMPRODUCT(--(
TRIM(LEFT(Teeth!$A:$A,SEARCH(" ",Teeth!$A:$A&amp;" ")-1))=
TRIM(LEFT(A70,SEARCH(" ",A70&amp;" ")-1))
))&gt;0,
IF(
COUNT(_xlfn._xlws.FILTER(Teeth!$D:$D,
TRIM(LEFT(Teeth!$A:$A,SEARCH(" ",Teeth!$A:$A&amp;" ")-1))=
TRIM(LEFT(A70,SEARCH(" ",A70&amp;" ")-1))
))=0,
1,
AVERAGE(_xlfn._xlws.FILTER(Teeth!$D:$D,
TRIM(LEFT(Teeth!$A:$A,SEARCH(" ",Teeth!$A:$A&amp;" ")-1))=
TRIM(LEFT(A70,SEARCH(" ",A70&amp;" ")-1))
))
),
1
)
)</f>
        <v>1</v>
      </c>
    </row>
    <row r="71" spans="1:2" x14ac:dyDescent="0.25">
      <c r="A71" s="2" t="str">
        <f>'[1]Base stats'!$B71</f>
        <v>Aptenodytes forsteri</v>
      </c>
      <c r="B71" s="20" cm="1">
        <f t="array" ref="B71">IF(
SUMPRODUCT(--(
TRIM(LEFT(Teeth!$A:$A,SEARCH("§",SUBSTITUTE(Teeth!$A:$A," ","§",2)&amp;"§")-1))=
TRIM(LEFT(A71,SEARCH("§",SUBSTITUTE(A71," ","§",2)&amp;"§")-1))
))&gt;0,
IF(
COUNT(_xlfn._xlws.FILTER(Teeth!$D:$D,
TRIM(LEFT(Teeth!$A:$A,SEARCH("§",SUBSTITUTE(Teeth!$A:$A," ","§",2)&amp;"§")-1))=
TRIM(LEFT(A71,SEARCH("§",SUBSTITUTE(A71," ","§",2)&amp;"§")-1))
))=0,
1,
MAX(_xlfn._xlws.FILTER(Teeth!$D:$D,
TRIM(LEFT(Teeth!$A:$A,SEARCH("§",SUBSTITUTE(Teeth!$A:$A," ","§",2)&amp;"§")-1))=
TRIM(LEFT(A71,SEARCH("§",SUBSTITUTE(A71," ","§",2)&amp;"§")-1))
))
),
IF(
SUMPRODUCT(--(
TRIM(LEFT(Teeth!$A:$A,SEARCH(" ",Teeth!$A:$A&amp;" ")-1))=
TRIM(LEFT(A71,SEARCH(" ",A71&amp;" ")-1))
))&gt;0,
IF(
COUNT(_xlfn._xlws.FILTER(Teeth!$D:$D,
TRIM(LEFT(Teeth!$A:$A,SEARCH(" ",Teeth!$A:$A&amp;" ")-1))=
TRIM(LEFT(A71,SEARCH(" ",A71&amp;" ")-1))
))=0,
1,
AVERAGE(_xlfn._xlws.FILTER(Teeth!$D:$D,
TRIM(LEFT(Teeth!$A:$A,SEARCH(" ",Teeth!$A:$A&amp;" ")-1))=
TRIM(LEFT(A71,SEARCH(" ",A71&amp;" ")-1))
))
),
1
)
)</f>
        <v>1</v>
      </c>
    </row>
    <row r="72" spans="1:2" x14ac:dyDescent="0.25">
      <c r="A72" s="2" t="str">
        <f>'[1]Base stats'!$B72</f>
        <v>Pavo cristatus</v>
      </c>
      <c r="B72" s="20" cm="1">
        <f t="array" ref="B72">IF(
SUMPRODUCT(--(
TRIM(LEFT(Teeth!$A:$A,SEARCH("§",SUBSTITUTE(Teeth!$A:$A," ","§",2)&amp;"§")-1))=
TRIM(LEFT(A72,SEARCH("§",SUBSTITUTE(A72," ","§",2)&amp;"§")-1))
))&gt;0,
IF(
COUNT(_xlfn._xlws.FILTER(Teeth!$D:$D,
TRIM(LEFT(Teeth!$A:$A,SEARCH("§",SUBSTITUTE(Teeth!$A:$A," ","§",2)&amp;"§")-1))=
TRIM(LEFT(A72,SEARCH("§",SUBSTITUTE(A72," ","§",2)&amp;"§")-1))
))=0,
1,
MAX(_xlfn._xlws.FILTER(Teeth!$D:$D,
TRIM(LEFT(Teeth!$A:$A,SEARCH("§",SUBSTITUTE(Teeth!$A:$A," ","§",2)&amp;"§")-1))=
TRIM(LEFT(A72,SEARCH("§",SUBSTITUTE(A72," ","§",2)&amp;"§")-1))
))
),
IF(
SUMPRODUCT(--(
TRIM(LEFT(Teeth!$A:$A,SEARCH(" ",Teeth!$A:$A&amp;" ")-1))=
TRIM(LEFT(A72,SEARCH(" ",A72&amp;" ")-1))
))&gt;0,
IF(
COUNT(_xlfn._xlws.FILTER(Teeth!$D:$D,
TRIM(LEFT(Teeth!$A:$A,SEARCH(" ",Teeth!$A:$A&amp;" ")-1))=
TRIM(LEFT(A72,SEARCH(" ",A72&amp;" ")-1))
))=0,
1,
AVERAGE(_xlfn._xlws.FILTER(Teeth!$D:$D,
TRIM(LEFT(Teeth!$A:$A,SEARCH(" ",Teeth!$A:$A&amp;" ")-1))=
TRIM(LEFT(A72,SEARCH(" ",A72&amp;" ")-1))
))
),
1
)
)</f>
        <v>1</v>
      </c>
    </row>
    <row r="73" spans="1:2" x14ac:dyDescent="0.25">
      <c r="A73" s="2" t="str">
        <f>'[1]Base stats'!$B73</f>
        <v>Gyps africanus</v>
      </c>
      <c r="B73" s="20" cm="1">
        <f t="array" ref="B73">IF(
SUMPRODUCT(--(
TRIM(LEFT(Teeth!$A:$A,SEARCH("§",SUBSTITUTE(Teeth!$A:$A," ","§",2)&amp;"§")-1))=
TRIM(LEFT(A73,SEARCH("§",SUBSTITUTE(A73," ","§",2)&amp;"§")-1))
))&gt;0,
IF(
COUNT(_xlfn._xlws.FILTER(Teeth!$D:$D,
TRIM(LEFT(Teeth!$A:$A,SEARCH("§",SUBSTITUTE(Teeth!$A:$A," ","§",2)&amp;"§")-1))=
TRIM(LEFT(A73,SEARCH("§",SUBSTITUTE(A73," ","§",2)&amp;"§")-1))
))=0,
1,
MAX(_xlfn._xlws.FILTER(Teeth!$D:$D,
TRIM(LEFT(Teeth!$A:$A,SEARCH("§",SUBSTITUTE(Teeth!$A:$A," ","§",2)&amp;"§")-1))=
TRIM(LEFT(A73,SEARCH("§",SUBSTITUTE(A73," ","§",2)&amp;"§")-1))
))
),
IF(
SUMPRODUCT(--(
TRIM(LEFT(Teeth!$A:$A,SEARCH(" ",Teeth!$A:$A&amp;" ")-1))=
TRIM(LEFT(A73,SEARCH(" ",A73&amp;" ")-1))
))&gt;0,
IF(
COUNT(_xlfn._xlws.FILTER(Teeth!$D:$D,
TRIM(LEFT(Teeth!$A:$A,SEARCH(" ",Teeth!$A:$A&amp;" ")-1))=
TRIM(LEFT(A73,SEARCH(" ",A73&amp;" ")-1))
))=0,
1,
AVERAGE(_xlfn._xlws.FILTER(Teeth!$D:$D,
TRIM(LEFT(Teeth!$A:$A,SEARCH(" ",Teeth!$A:$A&amp;" ")-1))=
TRIM(LEFT(A73,SEARCH(" ",A73&amp;" ")-1))
))
),
1
)
)</f>
        <v>1</v>
      </c>
    </row>
    <row r="74" spans="1:2" x14ac:dyDescent="0.25">
      <c r="A74" s="2" t="str">
        <f>'[1]Base stats'!$B74</f>
        <v>Panthera tigris</v>
      </c>
      <c r="B74" s="20" cm="1">
        <f t="array" ref="B74">IF(
SUMPRODUCT(--(
TRIM(LEFT(Teeth!$A:$A,SEARCH("§",SUBSTITUTE(Teeth!$A:$A," ","§",2)&amp;"§")-1))=
TRIM(LEFT(A74,SEARCH("§",SUBSTITUTE(A74," ","§",2)&amp;"§")-1))
))&gt;0,
IF(
COUNT(_xlfn._xlws.FILTER(Teeth!$D:$D,
TRIM(LEFT(Teeth!$A:$A,SEARCH("§",SUBSTITUTE(Teeth!$A:$A," ","§",2)&amp;"§")-1))=
TRIM(LEFT(A74,SEARCH("§",SUBSTITUTE(A74," ","§",2)&amp;"§")-1))
))=0,
1,
MAX(_xlfn._xlws.FILTER(Teeth!$D:$D,
TRIM(LEFT(Teeth!$A:$A,SEARCH("§",SUBSTITUTE(Teeth!$A:$A," ","§",2)&amp;"§")-1))=
TRIM(LEFT(A74,SEARCH("§",SUBSTITUTE(A74," ","§",2)&amp;"§")-1))
))
),
IF(
SUMPRODUCT(--(
TRIM(LEFT(Teeth!$A:$A,SEARCH(" ",Teeth!$A:$A&amp;" ")-1))=
TRIM(LEFT(A74,SEARCH(" ",A74&amp;" ")-1))
))&gt;0,
IF(
COUNT(_xlfn._xlws.FILTER(Teeth!$D:$D,
TRIM(LEFT(Teeth!$A:$A,SEARCH(" ",Teeth!$A:$A&amp;" ")-1))=
TRIM(LEFT(A74,SEARCH(" ",A74&amp;" ")-1))
))=0,
1,
AVERAGE(_xlfn._xlws.FILTER(Teeth!$D:$D,
TRIM(LEFT(Teeth!$A:$A,SEARCH(" ",Teeth!$A:$A&amp;" ")-1))=
TRIM(LEFT(A74,SEARCH(" ",A74&amp;" ")-1))
))
),
1
)
)</f>
        <v>1.2604512005623816</v>
      </c>
    </row>
    <row r="75" spans="1:2" x14ac:dyDescent="0.25">
      <c r="A75" s="2" t="str">
        <f>'[1]Base stats'!$B75</f>
        <v>Homotherium serum</v>
      </c>
      <c r="B75" s="20" cm="1">
        <f t="array" ref="B75">IF(
SUMPRODUCT(--(
TRIM(LEFT(Teeth!$A:$A,SEARCH("§",SUBSTITUTE(Teeth!$A:$A," ","§",2)&amp;"§")-1))=
TRIM(LEFT(A75,SEARCH("§",SUBSTITUTE(A75," ","§",2)&amp;"§")-1))
))&gt;0,
IF(
COUNT(_xlfn._xlws.FILTER(Teeth!$D:$D,
TRIM(LEFT(Teeth!$A:$A,SEARCH("§",SUBSTITUTE(Teeth!$A:$A," ","§",2)&amp;"§")-1))=
TRIM(LEFT(A75,SEARCH("§",SUBSTITUTE(A75," ","§",2)&amp;"§")-1))
))=0,
1,
MAX(_xlfn._xlws.FILTER(Teeth!$D:$D,
TRIM(LEFT(Teeth!$A:$A,SEARCH("§",SUBSTITUTE(Teeth!$A:$A," ","§",2)&amp;"§")-1))=
TRIM(LEFT(A75,SEARCH("§",SUBSTITUTE(A75," ","§",2)&amp;"§")-1))
))
),
IF(
SUMPRODUCT(--(
TRIM(LEFT(Teeth!$A:$A,SEARCH(" ",Teeth!$A:$A&amp;" ")-1))=
TRIM(LEFT(A75,SEARCH(" ",A75&amp;" ")-1))
))&gt;0,
IF(
COUNT(_xlfn._xlws.FILTER(Teeth!$D:$D,
TRIM(LEFT(Teeth!$A:$A,SEARCH(" ",Teeth!$A:$A&amp;" ")-1))=
TRIM(LEFT(A75,SEARCH(" ",A75&amp;" ")-1))
))=0,
1,
AVERAGE(_xlfn._xlws.FILTER(Teeth!$D:$D,
TRIM(LEFT(Teeth!$A:$A,SEARCH(" ",Teeth!$A:$A&amp;" ")-1))=
TRIM(LEFT(A75,SEARCH(" ",A75&amp;" ")-1))
))
),
1
)
)</f>
        <v>1</v>
      </c>
    </row>
    <row r="76" spans="1:2" x14ac:dyDescent="0.25">
      <c r="A76" s="2" t="str">
        <f>'[1]Base stats'!$B76</f>
        <v>Lithobates catesbeianus</v>
      </c>
      <c r="B76" s="20" cm="1">
        <f t="array" ref="B76">IF(
SUMPRODUCT(--(
TRIM(LEFT(Teeth!$A:$A,SEARCH("§",SUBSTITUTE(Teeth!$A:$A," ","§",2)&amp;"§")-1))=
TRIM(LEFT(A76,SEARCH("§",SUBSTITUTE(A76," ","§",2)&amp;"§")-1))
))&gt;0,
IF(
COUNT(_xlfn._xlws.FILTER(Teeth!$D:$D,
TRIM(LEFT(Teeth!$A:$A,SEARCH("§",SUBSTITUTE(Teeth!$A:$A," ","§",2)&amp;"§")-1))=
TRIM(LEFT(A76,SEARCH("§",SUBSTITUTE(A76," ","§",2)&amp;"§")-1))
))=0,
1,
MAX(_xlfn._xlws.FILTER(Teeth!$D:$D,
TRIM(LEFT(Teeth!$A:$A,SEARCH("§",SUBSTITUTE(Teeth!$A:$A," ","§",2)&amp;"§")-1))=
TRIM(LEFT(A76,SEARCH("§",SUBSTITUTE(A76," ","§",2)&amp;"§")-1))
))
),
IF(
SUMPRODUCT(--(
TRIM(LEFT(Teeth!$A:$A,SEARCH(" ",Teeth!$A:$A&amp;" ")-1))=
TRIM(LEFT(A76,SEARCH(" ",A76&amp;" ")-1))
))&gt;0,
IF(
COUNT(_xlfn._xlws.FILTER(Teeth!$D:$D,
TRIM(LEFT(Teeth!$A:$A,SEARCH(" ",Teeth!$A:$A&amp;" ")-1))=
TRIM(LEFT(A76,SEARCH(" ",A76&amp;" ")-1))
))=0,
1,
AVERAGE(_xlfn._xlws.FILTER(Teeth!$D:$D,
TRIM(LEFT(Teeth!$A:$A,SEARCH(" ",Teeth!$A:$A&amp;" ")-1))=
TRIM(LEFT(A76,SEARCH(" ",A76&amp;" ")-1))
))
),
1
)
)</f>
        <v>1</v>
      </c>
    </row>
    <row r="77" spans="1:2" x14ac:dyDescent="0.25">
      <c r="A77" s="2" t="str">
        <f>'[1]Base stats'!$B77</f>
        <v>Macrobufo giganteus</v>
      </c>
      <c r="B77" s="20" cm="1">
        <f t="array" ref="B77">IF(
SUMPRODUCT(--(
TRIM(LEFT(Teeth!$A:$A,SEARCH("§",SUBSTITUTE(Teeth!$A:$A," ","§",2)&amp;"§")-1))=
TRIM(LEFT(A77,SEARCH("§",SUBSTITUTE(A77," ","§",2)&amp;"§")-1))
))&gt;0,
IF(
COUNT(_xlfn._xlws.FILTER(Teeth!$D:$D,
TRIM(LEFT(Teeth!$A:$A,SEARCH("§",SUBSTITUTE(Teeth!$A:$A," ","§",2)&amp;"§")-1))=
TRIM(LEFT(A77,SEARCH("§",SUBSTITUTE(A77," ","§",2)&amp;"§")-1))
))=0,
1,
MAX(_xlfn._xlws.FILTER(Teeth!$D:$D,
TRIM(LEFT(Teeth!$A:$A,SEARCH("§",SUBSTITUTE(Teeth!$A:$A," ","§",2)&amp;"§")-1))=
TRIM(LEFT(A77,SEARCH("§",SUBSTITUTE(A77," ","§",2)&amp;"§")-1))
))
),
IF(
SUMPRODUCT(--(
TRIM(LEFT(Teeth!$A:$A,SEARCH(" ",Teeth!$A:$A&amp;" ")-1))=
TRIM(LEFT(A77,SEARCH(" ",A77&amp;" ")-1))
))&gt;0,
IF(
COUNT(_xlfn._xlws.FILTER(Teeth!$D:$D,
TRIM(LEFT(Teeth!$A:$A,SEARCH(" ",Teeth!$A:$A&amp;" ")-1))=
TRIM(LEFT(A77,SEARCH(" ",A77&amp;" ")-1))
))=0,
1,
AVERAGE(_xlfn._xlws.FILTER(Teeth!$D:$D,
TRIM(LEFT(Teeth!$A:$A,SEARCH(" ",Teeth!$A:$A&amp;" ")-1))=
TRIM(LEFT(A77,SEARCH(" ",A77&amp;" ")-1))
))
),
1
)
)</f>
        <v>1</v>
      </c>
    </row>
    <row r="78" spans="1:2" x14ac:dyDescent="0.25">
      <c r="A78" s="2" t="str">
        <f>'[1]Base stats'!$B78</f>
        <v>Hippopotamus amphibius</v>
      </c>
      <c r="B78" s="20" cm="1">
        <f t="array" ref="B78">IF(
SUMPRODUCT(--(
TRIM(LEFT(Teeth!$A:$A,SEARCH("§",SUBSTITUTE(Teeth!$A:$A," ","§",2)&amp;"§")-1))=
TRIM(LEFT(A78,SEARCH("§",SUBSTITUTE(A78," ","§",2)&amp;"§")-1))
))&gt;0,
IF(
COUNT(_xlfn._xlws.FILTER(Teeth!$D:$D,
TRIM(LEFT(Teeth!$A:$A,SEARCH("§",SUBSTITUTE(Teeth!$A:$A," ","§",2)&amp;"§")-1))=
TRIM(LEFT(A78,SEARCH("§",SUBSTITUTE(A78," ","§",2)&amp;"§")-1))
))=0,
1,
MAX(_xlfn._xlws.FILTER(Teeth!$D:$D,
TRIM(LEFT(Teeth!$A:$A,SEARCH("§",SUBSTITUTE(Teeth!$A:$A," ","§",2)&amp;"§")-1))=
TRIM(LEFT(A78,SEARCH("§",SUBSTITUTE(A78," ","§",2)&amp;"§")-1))
))
),
IF(
SUMPRODUCT(--(
TRIM(LEFT(Teeth!$A:$A,SEARCH(" ",Teeth!$A:$A&amp;" ")-1))=
TRIM(LEFT(A78,SEARCH(" ",A78&amp;" ")-1))
))&gt;0,
IF(
COUNT(_xlfn._xlws.FILTER(Teeth!$D:$D,
TRIM(LEFT(Teeth!$A:$A,SEARCH(" ",Teeth!$A:$A&amp;" ")-1))=
TRIM(LEFT(A78,SEARCH(" ",A78&amp;" ")-1))
))=0,
1,
AVERAGE(_xlfn._xlws.FILTER(Teeth!$D:$D,
TRIM(LEFT(Teeth!$A:$A,SEARCH(" ",Teeth!$A:$A&amp;" ")-1))=
TRIM(LEFT(A78,SEARCH(" ",A78&amp;" ")-1))
))
),
1
)
)</f>
        <v>1</v>
      </c>
    </row>
    <row r="79" spans="1:2" x14ac:dyDescent="0.25">
      <c r="A79" s="2" t="str">
        <f>'[1]Base stats'!$B79</f>
        <v>Mammut americanum</v>
      </c>
      <c r="B79" s="20" cm="1">
        <f t="array" ref="B79">IF(
SUMPRODUCT(--(
TRIM(LEFT(Teeth!$A:$A,SEARCH("§",SUBSTITUTE(Teeth!$A:$A," ","§",2)&amp;"§")-1))=
TRIM(LEFT(A79,SEARCH("§",SUBSTITUTE(A79," ","§",2)&amp;"§")-1))
))&gt;0,
IF(
COUNT(_xlfn._xlws.FILTER(Teeth!$D:$D,
TRIM(LEFT(Teeth!$A:$A,SEARCH("§",SUBSTITUTE(Teeth!$A:$A," ","§",2)&amp;"§")-1))=
TRIM(LEFT(A79,SEARCH("§",SUBSTITUTE(A79," ","§",2)&amp;"§")-1))
))=0,
1,
MAX(_xlfn._xlws.FILTER(Teeth!$D:$D,
TRIM(LEFT(Teeth!$A:$A,SEARCH("§",SUBSTITUTE(Teeth!$A:$A," ","§",2)&amp;"§")-1))=
TRIM(LEFT(A79,SEARCH("§",SUBSTITUTE(A79," ","§",2)&amp;"§")-1))
))
),
IF(
SUMPRODUCT(--(
TRIM(LEFT(Teeth!$A:$A,SEARCH(" ",Teeth!$A:$A&amp;" ")-1))=
TRIM(LEFT(A79,SEARCH(" ",A79&amp;" ")-1))
))&gt;0,
IF(
COUNT(_xlfn._xlws.FILTER(Teeth!$D:$D,
TRIM(LEFT(Teeth!$A:$A,SEARCH(" ",Teeth!$A:$A&amp;" ")-1))=
TRIM(LEFT(A79,SEARCH(" ",A79&amp;" ")-1))
))=0,
1,
AVERAGE(_xlfn._xlws.FILTER(Teeth!$D:$D,
TRIM(LEFT(Teeth!$A:$A,SEARCH(" ",Teeth!$A:$A&amp;" ")-1))=
TRIM(LEFT(A79,SEARCH(" ",A79&amp;" ")-1))
))
),
1
)
)</f>
        <v>1</v>
      </c>
    </row>
    <row r="80" spans="1:2" x14ac:dyDescent="0.25">
      <c r="A80" s="2" t="str">
        <f>'[1]Base stats'!$B80</f>
        <v>Thrumbo magnificus (alpha)</v>
      </c>
      <c r="B80" s="20" cm="1">
        <f t="array" ref="B80">IF(
SUMPRODUCT(--(
TRIM(LEFT(Teeth!$A:$A,SEARCH("§",SUBSTITUTE(Teeth!$A:$A," ","§",2)&amp;"§")-1))=
TRIM(LEFT(A80,SEARCH("§",SUBSTITUTE(A80," ","§",2)&amp;"§")-1))
))&gt;0,
IF(
COUNT(_xlfn._xlws.FILTER(Teeth!$D:$D,
TRIM(LEFT(Teeth!$A:$A,SEARCH("§",SUBSTITUTE(Teeth!$A:$A," ","§",2)&amp;"§")-1))=
TRIM(LEFT(A80,SEARCH("§",SUBSTITUTE(A80," ","§",2)&amp;"§")-1))
))=0,
1,
MAX(_xlfn._xlws.FILTER(Teeth!$D:$D,
TRIM(LEFT(Teeth!$A:$A,SEARCH("§",SUBSTITUTE(Teeth!$A:$A," ","§",2)&amp;"§")-1))=
TRIM(LEFT(A80,SEARCH("§",SUBSTITUTE(A80," ","§",2)&amp;"§")-1))
))
),
IF(
SUMPRODUCT(--(
TRIM(LEFT(Teeth!$A:$A,SEARCH(" ",Teeth!$A:$A&amp;" ")-1))=
TRIM(LEFT(A80,SEARCH(" ",A80&amp;" ")-1))
))&gt;0,
IF(
COUNT(_xlfn._xlws.FILTER(Teeth!$D:$D,
TRIM(LEFT(Teeth!$A:$A,SEARCH(" ",Teeth!$A:$A&amp;" ")-1))=
TRIM(LEFT(A80,SEARCH(" ",A80&amp;" ")-1))
))=0,
1,
AVERAGE(_xlfn._xlws.FILTER(Teeth!$D:$D,
TRIM(LEFT(Teeth!$A:$A,SEARCH(" ",Teeth!$A:$A&amp;" ")-1))=
TRIM(LEFT(A80,SEARCH(" ",A80&amp;" ")-1))
))
),
1
)
)</f>
        <v>1</v>
      </c>
    </row>
    <row r="81" spans="1:2" x14ac:dyDescent="0.25">
      <c r="A81" s="2" t="str">
        <f>'[1]Base stats'!$B81</f>
        <v>Euphractus sexcinctus</v>
      </c>
      <c r="B81" s="20" cm="1">
        <f t="array" ref="B81">IF(
SUMPRODUCT(--(
TRIM(LEFT(Teeth!$A:$A,SEARCH("§",SUBSTITUTE(Teeth!$A:$A," ","§",2)&amp;"§")-1))=
TRIM(LEFT(A81,SEARCH("§",SUBSTITUTE(A81," ","§",2)&amp;"§")-1))
))&gt;0,
IF(
COUNT(_xlfn._xlws.FILTER(Teeth!$D:$D,
TRIM(LEFT(Teeth!$A:$A,SEARCH("§",SUBSTITUTE(Teeth!$A:$A," ","§",2)&amp;"§")-1))=
TRIM(LEFT(A81,SEARCH("§",SUBSTITUTE(A81," ","§",2)&amp;"§")-1))
))=0,
1,
MAX(_xlfn._xlws.FILTER(Teeth!$D:$D,
TRIM(LEFT(Teeth!$A:$A,SEARCH("§",SUBSTITUTE(Teeth!$A:$A," ","§",2)&amp;"§")-1))=
TRIM(LEFT(A81,SEARCH("§",SUBSTITUTE(A81," ","§",2)&amp;"§")-1))
))
),
IF(
SUMPRODUCT(--(
TRIM(LEFT(Teeth!$A:$A,SEARCH(" ",Teeth!$A:$A&amp;" ")-1))=
TRIM(LEFT(A81,SEARCH(" ",A81&amp;" ")-1))
))&gt;0,
IF(
COUNT(_xlfn._xlws.FILTER(Teeth!$D:$D,
TRIM(LEFT(Teeth!$A:$A,SEARCH(" ",Teeth!$A:$A&amp;" ")-1))=
TRIM(LEFT(A81,SEARCH(" ",A81&amp;" ")-1))
))=0,
1,
AVERAGE(_xlfn._xlws.FILTER(Teeth!$D:$D,
TRIM(LEFT(Teeth!$A:$A,SEARCH(" ",Teeth!$A:$A&amp;" ")-1))=
TRIM(LEFT(A81,SEARCH(" ",A81&amp;" ")-1))
))
),
1
)
)</f>
        <v>1</v>
      </c>
    </row>
    <row r="82" spans="1:2" x14ac:dyDescent="0.25">
      <c r="A82" s="2" t="str">
        <f>'[1]Base stats'!$B82</f>
        <v>Gulo gulo</v>
      </c>
      <c r="B82" s="20" cm="1">
        <f t="array" ref="B82">IF(
SUMPRODUCT(--(
TRIM(LEFT(Teeth!$A:$A,SEARCH("§",SUBSTITUTE(Teeth!$A:$A," ","§",2)&amp;"§")-1))=
TRIM(LEFT(A82,SEARCH("§",SUBSTITUTE(A82," ","§",2)&amp;"§")-1))
))&gt;0,
IF(
COUNT(_xlfn._xlws.FILTER(Teeth!$D:$D,
TRIM(LEFT(Teeth!$A:$A,SEARCH("§",SUBSTITUTE(Teeth!$A:$A," ","§",2)&amp;"§")-1))=
TRIM(LEFT(A82,SEARCH("§",SUBSTITUTE(A82," ","§",2)&amp;"§")-1))
))=0,
1,
MAX(_xlfn._xlws.FILTER(Teeth!$D:$D,
TRIM(LEFT(Teeth!$A:$A,SEARCH("§",SUBSTITUTE(Teeth!$A:$A," ","§",2)&amp;"§")-1))=
TRIM(LEFT(A82,SEARCH("§",SUBSTITUTE(A82," ","§",2)&amp;"§")-1))
))
),
IF(
SUMPRODUCT(--(
TRIM(LEFT(Teeth!$A:$A,SEARCH(" ",Teeth!$A:$A&amp;" ")-1))=
TRIM(LEFT(A82,SEARCH(" ",A82&amp;" ")-1))
))&gt;0,
IF(
COUNT(_xlfn._xlws.FILTER(Teeth!$D:$D,
TRIM(LEFT(Teeth!$A:$A,SEARCH(" ",Teeth!$A:$A&amp;" ")-1))=
TRIM(LEFT(A82,SEARCH(" ",A82&amp;" ")-1))
))=0,
1,
AVERAGE(_xlfn._xlws.FILTER(Teeth!$D:$D,
TRIM(LEFT(Teeth!$A:$A,SEARCH(" ",Teeth!$A:$A&amp;" ")-1))=
TRIM(LEFT(A82,SEARCH(" ",A82&amp;" ")-1))
))
),
1
)
)</f>
        <v>1.1999813567066198</v>
      </c>
    </row>
    <row r="83" spans="1:2" x14ac:dyDescent="0.25">
      <c r="A83" s="2" t="str">
        <f>'[1]Base stats'!$B83</f>
        <v>Mustela vison</v>
      </c>
      <c r="B83" s="20" cm="1">
        <f t="array" ref="B83">IF(
SUMPRODUCT(--(
TRIM(LEFT(Teeth!$A:$A,SEARCH("§",SUBSTITUTE(Teeth!$A:$A," ","§",2)&amp;"§")-1))=
TRIM(LEFT(A83,SEARCH("§",SUBSTITUTE(A83," ","§",2)&amp;"§")-1))
))&gt;0,
IF(
COUNT(_xlfn._xlws.FILTER(Teeth!$D:$D,
TRIM(LEFT(Teeth!$A:$A,SEARCH("§",SUBSTITUTE(Teeth!$A:$A," ","§",2)&amp;"§")-1))=
TRIM(LEFT(A83,SEARCH("§",SUBSTITUTE(A83," ","§",2)&amp;"§")-1))
))=0,
1,
MAX(_xlfn._xlws.FILTER(Teeth!$D:$D,
TRIM(LEFT(Teeth!$A:$A,SEARCH("§",SUBSTITUTE(Teeth!$A:$A," ","§",2)&amp;"§")-1))=
TRIM(LEFT(A83,SEARCH("§",SUBSTITUTE(A83," ","§",2)&amp;"§")-1))
))
),
IF(
SUMPRODUCT(--(
TRIM(LEFT(Teeth!$A:$A,SEARCH(" ",Teeth!$A:$A&amp;" ")-1))=
TRIM(LEFT(A83,SEARCH(" ",A83&amp;" ")-1))
))&gt;0,
IF(
COUNT(_xlfn._xlws.FILTER(Teeth!$D:$D,
TRIM(LEFT(Teeth!$A:$A,SEARCH(" ",Teeth!$A:$A&amp;" ")-1))=
TRIM(LEFT(A83,SEARCH(" ",A83&amp;" ")-1))
))=0,
1,
AVERAGE(_xlfn._xlws.FILTER(Teeth!$D:$D,
TRIM(LEFT(Teeth!$A:$A,SEARCH(" ",Teeth!$A:$A&amp;" ")-1))=
TRIM(LEFT(A83,SEARCH(" ",A83&amp;" ")-1))
))
),
1
)
)</f>
        <v>1.2697912324530132</v>
      </c>
    </row>
    <row r="84" spans="1:2" x14ac:dyDescent="0.25">
      <c r="A84" s="2" t="str">
        <f>'[1]Base stats'!$B84</f>
        <v>Meles meles</v>
      </c>
      <c r="B84" s="20" cm="1">
        <f t="array" ref="B84">IF(
SUMPRODUCT(--(
TRIM(LEFT(Teeth!$A:$A,SEARCH("§",SUBSTITUTE(Teeth!$A:$A," ","§",2)&amp;"§")-1))=
TRIM(LEFT(A84,SEARCH("§",SUBSTITUTE(A84," ","§",2)&amp;"§")-1))
))&gt;0,
IF(
COUNT(_xlfn._xlws.FILTER(Teeth!$D:$D,
TRIM(LEFT(Teeth!$A:$A,SEARCH("§",SUBSTITUTE(Teeth!$A:$A," ","§",2)&amp;"§")-1))=
TRIM(LEFT(A84,SEARCH("§",SUBSTITUTE(A84," ","§",2)&amp;"§")-1))
))=0,
1,
MAX(_xlfn._xlws.FILTER(Teeth!$D:$D,
TRIM(LEFT(Teeth!$A:$A,SEARCH("§",SUBSTITUTE(Teeth!$A:$A," ","§",2)&amp;"§")-1))=
TRIM(LEFT(A84,SEARCH("§",SUBSTITUTE(A84," ","§",2)&amp;"§")-1))
))
),
IF(
SUMPRODUCT(--(
TRIM(LEFT(Teeth!$A:$A,SEARCH(" ",Teeth!$A:$A&amp;" ")-1))=
TRIM(LEFT(A84,SEARCH(" ",A84&amp;" ")-1))
))&gt;0,
IF(
COUNT(_xlfn._xlws.FILTER(Teeth!$D:$D,
TRIM(LEFT(Teeth!$A:$A,SEARCH(" ",Teeth!$A:$A&amp;" ")-1))=
TRIM(LEFT(A84,SEARCH(" ",A84&amp;" ")-1))
))=0,
1,
AVERAGE(_xlfn._xlws.FILTER(Teeth!$D:$D,
TRIM(LEFT(Teeth!$A:$A,SEARCH(" ",Teeth!$A:$A&amp;" ")-1))=
TRIM(LEFT(A84,SEARCH(" ",A84&amp;" ")-1))
))
),
1
)
)</f>
        <v>0.99946268287890638</v>
      </c>
    </row>
    <row r="85" spans="1:2" x14ac:dyDescent="0.25">
      <c r="A85" s="2" t="str">
        <f>'[1]Base stats'!$B85</f>
        <v>Lutra lutra</v>
      </c>
      <c r="B85" s="20" cm="1">
        <f t="array" ref="B85">IF(
SUMPRODUCT(--(
TRIM(LEFT(Teeth!$A:$A,SEARCH("§",SUBSTITUTE(Teeth!$A:$A," ","§",2)&amp;"§")-1))=
TRIM(LEFT(A85,SEARCH("§",SUBSTITUTE(A85," ","§",2)&amp;"§")-1))
))&gt;0,
IF(
COUNT(_xlfn._xlws.FILTER(Teeth!$D:$D,
TRIM(LEFT(Teeth!$A:$A,SEARCH("§",SUBSTITUTE(Teeth!$A:$A," ","§",2)&amp;"§")-1))=
TRIM(LEFT(A85,SEARCH("§",SUBSTITUTE(A85," ","§",2)&amp;"§")-1))
))=0,
1,
MAX(_xlfn._xlws.FILTER(Teeth!$D:$D,
TRIM(LEFT(Teeth!$A:$A,SEARCH("§",SUBSTITUTE(Teeth!$A:$A," ","§",2)&amp;"§")-1))=
TRIM(LEFT(A85,SEARCH("§",SUBSTITUTE(A85," ","§",2)&amp;"§")-1))
))
),
IF(
SUMPRODUCT(--(
TRIM(LEFT(Teeth!$A:$A,SEARCH(" ",Teeth!$A:$A&amp;" ")-1))=
TRIM(LEFT(A85,SEARCH(" ",A85&amp;" ")-1))
))&gt;0,
IF(
COUNT(_xlfn._xlws.FILTER(Teeth!$D:$D,
TRIM(LEFT(Teeth!$A:$A,SEARCH(" ",Teeth!$A:$A&amp;" ")-1))=
TRIM(LEFT(A85,SEARCH(" ",A85&amp;" ")-1))
))=0,
1,
AVERAGE(_xlfn._xlws.FILTER(Teeth!$D:$D,
TRIM(LEFT(Teeth!$A:$A,SEARCH(" ",Teeth!$A:$A&amp;" ")-1))=
TRIM(LEFT(A85,SEARCH(" ",A85&amp;" ")-1))
))
),
1
)
)</f>
        <v>0.7468055548243242</v>
      </c>
    </row>
    <row r="86" spans="1:2" x14ac:dyDescent="0.25">
      <c r="A86" s="2" t="str">
        <f>'[1]Base stats'!$B86</f>
        <v>Zalophus californianus</v>
      </c>
      <c r="B86" s="20" cm="1">
        <f t="array" ref="B86">IF(
SUMPRODUCT(--(
TRIM(LEFT(Teeth!$A:$A,SEARCH("§",SUBSTITUTE(Teeth!$A:$A," ","§",2)&amp;"§")-1))=
TRIM(LEFT(A86,SEARCH("§",SUBSTITUTE(A86," ","§",2)&amp;"§")-1))
))&gt;0,
IF(
COUNT(_xlfn._xlws.FILTER(Teeth!$D:$D,
TRIM(LEFT(Teeth!$A:$A,SEARCH("§",SUBSTITUTE(Teeth!$A:$A," ","§",2)&amp;"§")-1))=
TRIM(LEFT(A86,SEARCH("§",SUBSTITUTE(A86," ","§",2)&amp;"§")-1))
))=0,
1,
MAX(_xlfn._xlws.FILTER(Teeth!$D:$D,
TRIM(LEFT(Teeth!$A:$A,SEARCH("§",SUBSTITUTE(Teeth!$A:$A," ","§",2)&amp;"§")-1))=
TRIM(LEFT(A86,SEARCH("§",SUBSTITUTE(A86," ","§",2)&amp;"§")-1))
))
),
IF(
SUMPRODUCT(--(
TRIM(LEFT(Teeth!$A:$A,SEARCH(" ",Teeth!$A:$A&amp;" ")-1))=
TRIM(LEFT(A86,SEARCH(" ",A86&amp;" ")-1))
))&gt;0,
IF(
COUNT(_xlfn._xlws.FILTER(Teeth!$D:$D,
TRIM(LEFT(Teeth!$A:$A,SEARCH(" ",Teeth!$A:$A&amp;" ")-1))=
TRIM(LEFT(A86,SEARCH(" ",A86&amp;" ")-1))
))=0,
1,
AVERAGE(_xlfn._xlws.FILTER(Teeth!$D:$D,
TRIM(LEFT(Teeth!$A:$A,SEARCH(" ",Teeth!$A:$A&amp;" ")-1))=
TRIM(LEFT(A86,SEARCH(" ",A86&amp;" ")-1))
))
),
1
)
)</f>
        <v>1</v>
      </c>
    </row>
    <row r="87" spans="1:2" x14ac:dyDescent="0.25">
      <c r="A87" s="2" t="str">
        <f>'[1]Base stats'!$B87</f>
        <v>Phoca vitulina</v>
      </c>
      <c r="B87" s="20" cm="1">
        <f t="array" ref="B87">IF(
SUMPRODUCT(--(
TRIM(LEFT(Teeth!$A:$A,SEARCH("§",SUBSTITUTE(Teeth!$A:$A," ","§",2)&amp;"§")-1))=
TRIM(LEFT(A87,SEARCH("§",SUBSTITUTE(A87," ","§",2)&amp;"§")-1))
))&gt;0,
IF(
COUNT(_xlfn._xlws.FILTER(Teeth!$D:$D,
TRIM(LEFT(Teeth!$A:$A,SEARCH("§",SUBSTITUTE(Teeth!$A:$A," ","§",2)&amp;"§")-1))=
TRIM(LEFT(A87,SEARCH("§",SUBSTITUTE(A87," ","§",2)&amp;"§")-1))
))=0,
1,
MAX(_xlfn._xlws.FILTER(Teeth!$D:$D,
TRIM(LEFT(Teeth!$A:$A,SEARCH("§",SUBSTITUTE(Teeth!$A:$A," ","§",2)&amp;"§")-1))=
TRIM(LEFT(A87,SEARCH("§",SUBSTITUTE(A87," ","§",2)&amp;"§")-1))
))
),
IF(
SUMPRODUCT(--(
TRIM(LEFT(Teeth!$A:$A,SEARCH(" ",Teeth!$A:$A&amp;" ")-1))=
TRIM(LEFT(A87,SEARCH(" ",A87&amp;" ")-1))
))&gt;0,
IF(
COUNT(_xlfn._xlws.FILTER(Teeth!$D:$D,
TRIM(LEFT(Teeth!$A:$A,SEARCH(" ",Teeth!$A:$A&amp;" ")-1))=
TRIM(LEFT(A87,SEARCH(" ",A87&amp;" ")-1))
))=0,
1,
AVERAGE(_xlfn._xlws.FILTER(Teeth!$D:$D,
TRIM(LEFT(Teeth!$A:$A,SEARCH(" ",Teeth!$A:$A&amp;" ")-1))=
TRIM(LEFT(A87,SEARCH(" ",A87&amp;" ")-1))
))
),
1
)
)</f>
        <v>1</v>
      </c>
    </row>
    <row r="88" spans="1:2" x14ac:dyDescent="0.25">
      <c r="A88" s="2" t="str">
        <f>'[1]Base stats'!$B88</f>
        <v>Odobenus rosmarus</v>
      </c>
      <c r="B88" s="20" cm="1">
        <f t="array" ref="B88">IF(
SUMPRODUCT(--(
TRIM(LEFT(Teeth!$A:$A,SEARCH("§",SUBSTITUTE(Teeth!$A:$A," ","§",2)&amp;"§")-1))=
TRIM(LEFT(A88,SEARCH("§",SUBSTITUTE(A88," ","§",2)&amp;"§")-1))
))&gt;0,
IF(
COUNT(_xlfn._xlws.FILTER(Teeth!$D:$D,
TRIM(LEFT(Teeth!$A:$A,SEARCH("§",SUBSTITUTE(Teeth!$A:$A," ","§",2)&amp;"§")-1))=
TRIM(LEFT(A88,SEARCH("§",SUBSTITUTE(A88," ","§",2)&amp;"§")-1))
))=0,
1,
MAX(_xlfn._xlws.FILTER(Teeth!$D:$D,
TRIM(LEFT(Teeth!$A:$A,SEARCH("§",SUBSTITUTE(Teeth!$A:$A," ","§",2)&amp;"§")-1))=
TRIM(LEFT(A88,SEARCH("§",SUBSTITUTE(A88," ","§",2)&amp;"§")-1))
))
),
IF(
SUMPRODUCT(--(
TRIM(LEFT(Teeth!$A:$A,SEARCH(" ",Teeth!$A:$A&amp;" ")-1))=
TRIM(LEFT(A88,SEARCH(" ",A88&amp;" ")-1))
))&gt;0,
IF(
COUNT(_xlfn._xlws.FILTER(Teeth!$D:$D,
TRIM(LEFT(Teeth!$A:$A,SEARCH(" ",Teeth!$A:$A&amp;" ")-1))=
TRIM(LEFT(A88,SEARCH(" ",A88&amp;" ")-1))
))=0,
1,
AVERAGE(_xlfn._xlws.FILTER(Teeth!$D:$D,
TRIM(LEFT(Teeth!$A:$A,SEARCH(" ",Teeth!$A:$A&amp;" ")-1))=
TRIM(LEFT(A88,SEARCH(" ",A88&amp;" ")-1))
))
),
1
)
)</f>
        <v>1</v>
      </c>
    </row>
    <row r="89" spans="1:2" x14ac:dyDescent="0.25">
      <c r="A89" s="2" t="str">
        <f>'[1]Base stats'!$B89</f>
        <v>Gorilla gorilla</v>
      </c>
      <c r="B89" s="20" cm="1">
        <f t="array" ref="B89">IF(
SUMPRODUCT(--(
TRIM(LEFT(Teeth!$A:$A,SEARCH("§",SUBSTITUTE(Teeth!$A:$A," ","§",2)&amp;"§")-1))=
TRIM(LEFT(A89,SEARCH("§",SUBSTITUTE(A89," ","§",2)&amp;"§")-1))
))&gt;0,
IF(
COUNT(_xlfn._xlws.FILTER(Teeth!$D:$D,
TRIM(LEFT(Teeth!$A:$A,SEARCH("§",SUBSTITUTE(Teeth!$A:$A," ","§",2)&amp;"§")-1))=
TRIM(LEFT(A89,SEARCH("§",SUBSTITUTE(A89," ","§",2)&amp;"§")-1))
))=0,
1,
MAX(_xlfn._xlws.FILTER(Teeth!$D:$D,
TRIM(LEFT(Teeth!$A:$A,SEARCH("§",SUBSTITUTE(Teeth!$A:$A," ","§",2)&amp;"§")-1))=
TRIM(LEFT(A89,SEARCH("§",SUBSTITUTE(A89," ","§",2)&amp;"§")-1))
))
),
IF(
SUMPRODUCT(--(
TRIM(LEFT(Teeth!$A:$A,SEARCH(" ",Teeth!$A:$A&amp;" ")-1))=
TRIM(LEFT(A89,SEARCH(" ",A89&amp;" ")-1))
))&gt;0,
IF(
COUNT(_xlfn._xlws.FILTER(Teeth!$D:$D,
TRIM(LEFT(Teeth!$A:$A,SEARCH(" ",Teeth!$A:$A&amp;" ")-1))=
TRIM(LEFT(A89,SEARCH(" ",A89&amp;" ")-1))
))=0,
1,
AVERAGE(_xlfn._xlws.FILTER(Teeth!$D:$D,
TRIM(LEFT(Teeth!$A:$A,SEARCH(" ",Teeth!$A:$A&amp;" ")-1))=
TRIM(LEFT(A89,SEARCH(" ",A89&amp;" ")-1))
))
),
1
)
)</f>
        <v>0.6787493024042468</v>
      </c>
    </row>
    <row r="90" spans="1:2" x14ac:dyDescent="0.25">
      <c r="A90" s="2" t="str">
        <f>'[1]Base stats'!$B90</f>
        <v>Varanus komodoensis</v>
      </c>
      <c r="B90" s="20" cm="1">
        <f t="array" ref="B90">IF(
SUMPRODUCT(--(
TRIM(LEFT(Teeth!$A:$A,SEARCH("§",SUBSTITUTE(Teeth!$A:$A," ","§",2)&amp;"§")-1))=
TRIM(LEFT(A90,SEARCH("§",SUBSTITUTE(A90," ","§",2)&amp;"§")-1))
))&gt;0,
IF(
COUNT(_xlfn._xlws.FILTER(Teeth!$D:$D,
TRIM(LEFT(Teeth!$A:$A,SEARCH("§",SUBSTITUTE(Teeth!$A:$A," ","§",2)&amp;"§")-1))=
TRIM(LEFT(A90,SEARCH("§",SUBSTITUTE(A90," ","§",2)&amp;"§")-1))
))=0,
1,
MAX(_xlfn._xlws.FILTER(Teeth!$D:$D,
TRIM(LEFT(Teeth!$A:$A,SEARCH("§",SUBSTITUTE(Teeth!$A:$A," ","§",2)&amp;"§")-1))=
TRIM(LEFT(A90,SEARCH("§",SUBSTITUTE(A90," ","§",2)&amp;"§")-1))
))
),
IF(
SUMPRODUCT(--(
TRIM(LEFT(Teeth!$A:$A,SEARCH(" ",Teeth!$A:$A&amp;" ")-1))=
TRIM(LEFT(A90,SEARCH(" ",A90&amp;" ")-1))
))&gt;0,
IF(
COUNT(_xlfn._xlws.FILTER(Teeth!$D:$D,
TRIM(LEFT(Teeth!$A:$A,SEARCH(" ",Teeth!$A:$A&amp;" ")-1))=
TRIM(LEFT(A90,SEARCH(" ",A90&amp;" ")-1))
))=0,
1,
AVERAGE(_xlfn._xlws.FILTER(Teeth!$D:$D,
TRIM(LEFT(Teeth!$A:$A,SEARCH(" ",Teeth!$A:$A&amp;" ")-1))=
TRIM(LEFT(A90,SEARCH(" ",A90&amp;" ")-1))
))
),
1
)
)</f>
        <v>1</v>
      </c>
    </row>
    <row r="91" spans="1:2" x14ac:dyDescent="0.25">
      <c r="A91" s="2" t="str">
        <f>'[1]Base stats'!$B91</f>
        <v>Alligator mississippiensis</v>
      </c>
      <c r="B91" s="20" cm="1">
        <f t="array" ref="B91">IF(
SUMPRODUCT(--(
TRIM(LEFT(Teeth!$A:$A,SEARCH("§",SUBSTITUTE(Teeth!$A:$A," ","§",2)&amp;"§")-1))=
TRIM(LEFT(A91,SEARCH("§",SUBSTITUTE(A91," ","§",2)&amp;"§")-1))
))&gt;0,
IF(
COUNT(_xlfn._xlws.FILTER(Teeth!$D:$D,
TRIM(LEFT(Teeth!$A:$A,SEARCH("§",SUBSTITUTE(Teeth!$A:$A," ","§",2)&amp;"§")-1))=
TRIM(LEFT(A91,SEARCH("§",SUBSTITUTE(A91," ","§",2)&amp;"§")-1))
))=0,
1,
MAX(_xlfn._xlws.FILTER(Teeth!$D:$D,
TRIM(LEFT(Teeth!$A:$A,SEARCH("§",SUBSTITUTE(Teeth!$A:$A," ","§",2)&amp;"§")-1))=
TRIM(LEFT(A91,SEARCH("§",SUBSTITUTE(A91," ","§",2)&amp;"§")-1))
))
),
IF(
SUMPRODUCT(--(
TRIM(LEFT(Teeth!$A:$A,SEARCH(" ",Teeth!$A:$A&amp;" ")-1))=
TRIM(LEFT(A91,SEARCH(" ",A91&amp;" ")-1))
))&gt;0,
IF(
COUNT(_xlfn._xlws.FILTER(Teeth!$D:$D,
TRIM(LEFT(Teeth!$A:$A,SEARCH(" ",Teeth!$A:$A&amp;" ")-1))=
TRIM(LEFT(A91,SEARCH(" ",A91&amp;" ")-1))
))=0,
1,
AVERAGE(_xlfn._xlws.FILTER(Teeth!$D:$D,
TRIM(LEFT(Teeth!$A:$A,SEARCH(" ",Teeth!$A:$A&amp;" ")-1))=
TRIM(LEFT(A91,SEARCH(" ",A91&amp;" ")-1))
))
),
1
)
)</f>
        <v>1</v>
      </c>
    </row>
    <row r="92" spans="1:2" x14ac:dyDescent="0.25">
      <c r="A92" s="2" t="str">
        <f>'[1]Base stats'!$B92</f>
        <v>Chelonia mydas</v>
      </c>
      <c r="B92" s="20" cm="1">
        <f t="array" ref="B92">IF(
SUMPRODUCT(--(
TRIM(LEFT(Teeth!$A:$A,SEARCH("§",SUBSTITUTE(Teeth!$A:$A," ","§",2)&amp;"§")-1))=
TRIM(LEFT(A92,SEARCH("§",SUBSTITUTE(A92," ","§",2)&amp;"§")-1))
))&gt;0,
IF(
COUNT(_xlfn._xlws.FILTER(Teeth!$D:$D,
TRIM(LEFT(Teeth!$A:$A,SEARCH("§",SUBSTITUTE(Teeth!$A:$A," ","§",2)&amp;"§")-1))=
TRIM(LEFT(A92,SEARCH("§",SUBSTITUTE(A92," ","§",2)&amp;"§")-1))
))=0,
1,
MAX(_xlfn._xlws.FILTER(Teeth!$D:$D,
TRIM(LEFT(Teeth!$A:$A,SEARCH("§",SUBSTITUTE(Teeth!$A:$A," ","§",2)&amp;"§")-1))=
TRIM(LEFT(A92,SEARCH("§",SUBSTITUTE(A92," ","§",2)&amp;"§")-1))
))
),
IF(
SUMPRODUCT(--(
TRIM(LEFT(Teeth!$A:$A,SEARCH(" ",Teeth!$A:$A&amp;" ")-1))=
TRIM(LEFT(A92,SEARCH(" ",A92&amp;" ")-1))
))&gt;0,
IF(
COUNT(_xlfn._xlws.FILTER(Teeth!$D:$D,
TRIM(LEFT(Teeth!$A:$A,SEARCH(" ",Teeth!$A:$A&amp;" ")-1))=
TRIM(LEFT(A92,SEARCH(" ",A92&amp;" ")-1))
))=0,
1,
AVERAGE(_xlfn._xlws.FILTER(Teeth!$D:$D,
TRIM(LEFT(Teeth!$A:$A,SEARCH(" ",Teeth!$A:$A&amp;" ")-1))=
TRIM(LEFT(A92,SEARCH(" ",A92&amp;" ")-1))
))
),
1
)
)</f>
        <v>1</v>
      </c>
    </row>
    <row r="93" spans="1:2" x14ac:dyDescent="0.25">
      <c r="A93" s="2" t="str">
        <f>'[1]Base stats'!$B93</f>
        <v>Cynomys ludovicianus</v>
      </c>
      <c r="B93" s="20" cm="1">
        <f t="array" ref="B93">IF(
SUMPRODUCT(--(
TRIM(LEFT(Teeth!$A:$A,SEARCH("§",SUBSTITUTE(Teeth!$A:$A," ","§",2)&amp;"§")-1))=
TRIM(LEFT(A93,SEARCH("§",SUBSTITUTE(A93," ","§",2)&amp;"§")-1))
))&gt;0,
IF(
COUNT(_xlfn._xlws.FILTER(Teeth!$D:$D,
TRIM(LEFT(Teeth!$A:$A,SEARCH("§",SUBSTITUTE(Teeth!$A:$A," ","§",2)&amp;"§")-1))=
TRIM(LEFT(A93,SEARCH("§",SUBSTITUTE(A93," ","§",2)&amp;"§")-1))
))=0,
1,
MAX(_xlfn._xlws.FILTER(Teeth!$D:$D,
TRIM(LEFT(Teeth!$A:$A,SEARCH("§",SUBSTITUTE(Teeth!$A:$A," ","§",2)&amp;"§")-1))=
TRIM(LEFT(A93,SEARCH("§",SUBSTITUTE(A93," ","§",2)&amp;"§")-1))
))
),
IF(
SUMPRODUCT(--(
TRIM(LEFT(Teeth!$A:$A,SEARCH(" ",Teeth!$A:$A&amp;" ")-1))=
TRIM(LEFT(A93,SEARCH(" ",A93&amp;" ")-1))
))&gt;0,
IF(
COUNT(_xlfn._xlws.FILTER(Teeth!$D:$D,
TRIM(LEFT(Teeth!$A:$A,SEARCH(" ",Teeth!$A:$A&amp;" ")-1))=
TRIM(LEFT(A93,SEARCH(" ",A93&amp;" ")-1))
))=0,
1,
AVERAGE(_xlfn._xlws.FILTER(Teeth!$D:$D,
TRIM(LEFT(Teeth!$A:$A,SEARCH(" ",Teeth!$A:$A&amp;" ")-1))=
TRIM(LEFT(A93,SEARCH(" ",A93&amp;" ")-1))
))
),
1
)
)</f>
        <v>1</v>
      </c>
    </row>
    <row r="94" spans="1:2" x14ac:dyDescent="0.25">
      <c r="A94" s="2" t="str">
        <f>'[1]Base stats'!$B94</f>
        <v>Erethizon dorsatum</v>
      </c>
      <c r="B94" s="20" cm="1">
        <f t="array" ref="B94">IF(
SUMPRODUCT(--(
TRIM(LEFT(Teeth!$A:$A,SEARCH("§",SUBSTITUTE(Teeth!$A:$A," ","§",2)&amp;"§")-1))=
TRIM(LEFT(A94,SEARCH("§",SUBSTITUTE(A94," ","§",2)&amp;"§")-1))
))&gt;0,
IF(
COUNT(_xlfn._xlws.FILTER(Teeth!$D:$D,
TRIM(LEFT(Teeth!$A:$A,SEARCH("§",SUBSTITUTE(Teeth!$A:$A," ","§",2)&amp;"§")-1))=
TRIM(LEFT(A94,SEARCH("§",SUBSTITUTE(A94," ","§",2)&amp;"§")-1))
))=0,
1,
MAX(_xlfn._xlws.FILTER(Teeth!$D:$D,
TRIM(LEFT(Teeth!$A:$A,SEARCH("§",SUBSTITUTE(Teeth!$A:$A," ","§",2)&amp;"§")-1))=
TRIM(LEFT(A94,SEARCH("§",SUBSTITUTE(A94," ","§",2)&amp;"§")-1))
))
),
IF(
SUMPRODUCT(--(
TRIM(LEFT(Teeth!$A:$A,SEARCH(" ",Teeth!$A:$A&amp;" ")-1))=
TRIM(LEFT(A94,SEARCH(" ",A94&amp;" ")-1))
))&gt;0,
IF(
COUNT(_xlfn._xlws.FILTER(Teeth!$D:$D,
TRIM(LEFT(Teeth!$A:$A,SEARCH(" ",Teeth!$A:$A&amp;" ")-1))=
TRIM(LEFT(A94,SEARCH(" ",A94&amp;" ")-1))
))=0,
1,
AVERAGE(_xlfn._xlws.FILTER(Teeth!$D:$D,
TRIM(LEFT(Teeth!$A:$A,SEARCH(" ",Teeth!$A:$A&amp;" ")-1))=
TRIM(LEFT(A94,SEARCH(" ",A94&amp;" ")-1))
))
),
1
)
)</f>
        <v>1</v>
      </c>
    </row>
    <row r="95" spans="1:2" x14ac:dyDescent="0.25">
      <c r="A95" s="2" t="str">
        <f>'[1]Base stats'!$B95</f>
        <v>Gigantomyini giganteus</v>
      </c>
      <c r="B95" s="20" cm="1">
        <f t="array" ref="B95">IF(
SUMPRODUCT(--(
TRIM(LEFT(Teeth!$A:$A,SEARCH("§",SUBSTITUTE(Teeth!$A:$A," ","§",2)&amp;"§")-1))=
TRIM(LEFT(A95,SEARCH("§",SUBSTITUTE(A95," ","§",2)&amp;"§")-1))
))&gt;0,
IF(
COUNT(_xlfn._xlws.FILTER(Teeth!$D:$D,
TRIM(LEFT(Teeth!$A:$A,SEARCH("§",SUBSTITUTE(Teeth!$A:$A," ","§",2)&amp;"§")-1))=
TRIM(LEFT(A95,SEARCH("§",SUBSTITUTE(A95," ","§",2)&amp;"§")-1))
))=0,
1,
MAX(_xlfn._xlws.FILTER(Teeth!$D:$D,
TRIM(LEFT(Teeth!$A:$A,SEARCH("§",SUBSTITUTE(Teeth!$A:$A," ","§",2)&amp;"§")-1))=
TRIM(LEFT(A95,SEARCH("§",SUBSTITUTE(A95," ","§",2)&amp;"§")-1))
))
),
IF(
SUMPRODUCT(--(
TRIM(LEFT(Teeth!$A:$A,SEARCH(" ",Teeth!$A:$A&amp;" ")-1))=
TRIM(LEFT(A95,SEARCH(" ",A95&amp;" ")-1))
))&gt;0,
IF(
COUNT(_xlfn._xlws.FILTER(Teeth!$D:$D,
TRIM(LEFT(Teeth!$A:$A,SEARCH(" ",Teeth!$A:$A&amp;" ")-1))=
TRIM(LEFT(A95,SEARCH(" ",A95&amp;" ")-1))
))=0,
1,
AVERAGE(_xlfn._xlws.FILTER(Teeth!$D:$D,
TRIM(LEFT(Teeth!$A:$A,SEARCH(" ",Teeth!$A:$A&amp;" ")-1))=
TRIM(LEFT(A95,SEARCH(" ",A95&amp;" ")-1))
))
),
1
)
)</f>
        <v>1</v>
      </c>
    </row>
    <row r="96" spans="1:2" x14ac:dyDescent="0.25">
      <c r="A96" s="2" t="str">
        <f>'[1]Base stats'!$B96</f>
        <v>Alces alces</v>
      </c>
      <c r="B96" s="20" cm="1">
        <f t="array" ref="B96">IF(
SUMPRODUCT(--(
TRIM(LEFT(Teeth!$A:$A,SEARCH("§",SUBSTITUTE(Teeth!$A:$A," ","§",2)&amp;"§")-1))=
TRIM(LEFT(A96,SEARCH("§",SUBSTITUTE(A96," ","§",2)&amp;"§")-1))
))&gt;0,
IF(
COUNT(_xlfn._xlws.FILTER(Teeth!$D:$D,
TRIM(LEFT(Teeth!$A:$A,SEARCH("§",SUBSTITUTE(Teeth!$A:$A," ","§",2)&amp;"§")-1))=
TRIM(LEFT(A96,SEARCH("§",SUBSTITUTE(A96," ","§",2)&amp;"§")-1))
))=0,
1,
MAX(_xlfn._xlws.FILTER(Teeth!$D:$D,
TRIM(LEFT(Teeth!$A:$A,SEARCH("§",SUBSTITUTE(Teeth!$A:$A," ","§",2)&amp;"§")-1))=
TRIM(LEFT(A96,SEARCH("§",SUBSTITUTE(A96," ","§",2)&amp;"§")-1))
))
),
IF(
SUMPRODUCT(--(
TRIM(LEFT(Teeth!$A:$A,SEARCH(" ",Teeth!$A:$A&amp;" ")-1))=
TRIM(LEFT(A96,SEARCH(" ",A96&amp;" ")-1))
))&gt;0,
IF(
COUNT(_xlfn._xlws.FILTER(Teeth!$D:$D,
TRIM(LEFT(Teeth!$A:$A,SEARCH(" ",Teeth!$A:$A&amp;" ")-1))=
TRIM(LEFT(A96,SEARCH(" ",A96&amp;" ")-1))
))=0,
1,
AVERAGE(_xlfn._xlws.FILTER(Teeth!$D:$D,
TRIM(LEFT(Teeth!$A:$A,SEARCH(" ",Teeth!$A:$A&amp;" ")-1))=
TRIM(LEFT(A96,SEARCH(" ",A96&amp;" ")-1))
))
),
1
)
)</f>
        <v>1</v>
      </c>
    </row>
    <row r="97" spans="1:2" x14ac:dyDescent="0.25">
      <c r="A97" s="2" t="str">
        <f>'[1]Base stats'!$B97</f>
        <v>Ovibos moschatus</v>
      </c>
      <c r="B97" s="20" cm="1">
        <f t="array" ref="B97">IF(
SUMPRODUCT(--(
TRIM(LEFT(Teeth!$A:$A,SEARCH("§",SUBSTITUTE(Teeth!$A:$A," ","§",2)&amp;"§")-1))=
TRIM(LEFT(A97,SEARCH("§",SUBSTITUTE(A97," ","§",2)&amp;"§")-1))
))&gt;0,
IF(
COUNT(_xlfn._xlws.FILTER(Teeth!$D:$D,
TRIM(LEFT(Teeth!$A:$A,SEARCH("§",SUBSTITUTE(Teeth!$A:$A," ","§",2)&amp;"§")-1))=
TRIM(LEFT(A97,SEARCH("§",SUBSTITUTE(A97," ","§",2)&amp;"§")-1))
))=0,
1,
MAX(_xlfn._xlws.FILTER(Teeth!$D:$D,
TRIM(LEFT(Teeth!$A:$A,SEARCH("§",SUBSTITUTE(Teeth!$A:$A," ","§",2)&amp;"§")-1))=
TRIM(LEFT(A97,SEARCH("§",SUBSTITUTE(A97," ","§",2)&amp;"§")-1))
))
),
IF(
SUMPRODUCT(--(
TRIM(LEFT(Teeth!$A:$A,SEARCH(" ",Teeth!$A:$A&amp;" ")-1))=
TRIM(LEFT(A97,SEARCH(" ",A97&amp;" ")-1))
))&gt;0,
IF(
COUNT(_xlfn._xlws.FILTER(Teeth!$D:$D,
TRIM(LEFT(Teeth!$A:$A,SEARCH(" ",Teeth!$A:$A&amp;" ")-1))=
TRIM(LEFT(A97,SEARCH(" ",A97&amp;" ")-1))
))=0,
1,
AVERAGE(_xlfn._xlws.FILTER(Teeth!$D:$D,
TRIM(LEFT(Teeth!$A:$A,SEARCH(" ",Teeth!$A:$A&amp;" ")-1))=
TRIM(LEFT(A97,SEARCH(" ",A97&amp;" ")-1))
))
),
1
)
)</f>
        <v>1</v>
      </c>
    </row>
    <row r="98" spans="1:2" x14ac:dyDescent="0.25">
      <c r="A98" s="2" t="str">
        <f>'[1]Base stats'!$B98</f>
        <v>Megaachatina magnus</v>
      </c>
      <c r="B98" s="20" cm="1">
        <f t="array" ref="B98">IF(
SUMPRODUCT(--(
TRIM(LEFT(Teeth!$A:$A,SEARCH("§",SUBSTITUTE(Teeth!$A:$A," ","§",2)&amp;"§")-1))=
TRIM(LEFT(A98,SEARCH("§",SUBSTITUTE(A98," ","§",2)&amp;"§")-1))
))&gt;0,
IF(
COUNT(_xlfn._xlws.FILTER(Teeth!$D:$D,
TRIM(LEFT(Teeth!$A:$A,SEARCH("§",SUBSTITUTE(Teeth!$A:$A," ","§",2)&amp;"§")-1))=
TRIM(LEFT(A98,SEARCH("§",SUBSTITUTE(A98," ","§",2)&amp;"§")-1))
))=0,
1,
MAX(_xlfn._xlws.FILTER(Teeth!$D:$D,
TRIM(LEFT(Teeth!$A:$A,SEARCH("§",SUBSTITUTE(Teeth!$A:$A," ","§",2)&amp;"§")-1))=
TRIM(LEFT(A98,SEARCH("§",SUBSTITUTE(A98," ","§",2)&amp;"§")-1))
))
),
IF(
SUMPRODUCT(--(
TRIM(LEFT(Teeth!$A:$A,SEARCH(" ",Teeth!$A:$A&amp;" ")-1))=
TRIM(LEFT(A98,SEARCH(" ",A98&amp;" ")-1))
))&gt;0,
IF(
COUNT(_xlfn._xlws.FILTER(Teeth!$D:$D,
TRIM(LEFT(Teeth!$A:$A,SEARCH(" ",Teeth!$A:$A&amp;" ")-1))=
TRIM(LEFT(A98,SEARCH(" ",A98&amp;" ")-1))
))=0,
1,
AVERAGE(_xlfn._xlws.FILTER(Teeth!$D:$D,
TRIM(LEFT(Teeth!$A:$A,SEARCH(" ",Teeth!$A:$A&amp;" ")-1))=
TRIM(LEFT(A98,SEARCH(" ",A98&amp;" ")-1))
))
),
1
)
)</f>
        <v>1</v>
      </c>
    </row>
    <row r="99" spans="1:2" x14ac:dyDescent="0.25">
      <c r="A99" s="2" t="str">
        <f>'[1]Base stats'!$B99</f>
        <v>Canis sordidus</v>
      </c>
      <c r="B99" s="20" cm="1">
        <f t="array" ref="B99">IF(
SUMPRODUCT(--(
TRIM(LEFT(Teeth!$A:$A,SEARCH("§",SUBSTITUTE(Teeth!$A:$A," ","§",2)&amp;"§")-1))=
TRIM(LEFT(A99,SEARCH("§",SUBSTITUTE(A99," ","§",2)&amp;"§")-1))
))&gt;0,
IF(
COUNT(_xlfn._xlws.FILTER(Teeth!$D:$D,
TRIM(LEFT(Teeth!$A:$A,SEARCH("§",SUBSTITUTE(Teeth!$A:$A," ","§",2)&amp;"§")-1))=
TRIM(LEFT(A99,SEARCH("§",SUBSTITUTE(A99," ","§",2)&amp;"§")-1))
))=0,
1,
MAX(_xlfn._xlws.FILTER(Teeth!$D:$D,
TRIM(LEFT(Teeth!$A:$A,SEARCH("§",SUBSTITUTE(Teeth!$A:$A," ","§",2)&amp;"§")-1))=
TRIM(LEFT(A99,SEARCH("§",SUBSTITUTE(A99," ","§",2)&amp;"§")-1))
))
),
IF(
SUMPRODUCT(--(
TRIM(LEFT(Teeth!$A:$A,SEARCH(" ",Teeth!$A:$A&amp;" ")-1))=
TRIM(LEFT(A99,SEARCH(" ",A99&amp;" ")-1))
))&gt;0,
IF(
COUNT(_xlfn._xlws.FILTER(Teeth!$D:$D,
TRIM(LEFT(Teeth!$A:$A,SEARCH(" ",Teeth!$A:$A&amp;" ")-1))=
TRIM(LEFT(A99,SEARCH(" ",A99&amp;" ")-1))
))=0,
1,
AVERAGE(_xlfn._xlws.FILTER(Teeth!$D:$D,
TRIM(LEFT(Teeth!$A:$A,SEARCH(" ",Teeth!$A:$A&amp;" ")-1))=
TRIM(LEFT(A99,SEARCH(" ",A99&amp;" ")-1))
))
),
1
)
)</f>
        <v>1.038364019968949</v>
      </c>
    </row>
    <row r="100" spans="1:2" x14ac:dyDescent="0.25">
      <c r="A100" s="2" t="str">
        <f>'[1]Base stats'!$B100</f>
        <v>Aenocyon dirus</v>
      </c>
      <c r="B100" s="20" cm="1">
        <f t="array" ref="B100">IF(
SUMPRODUCT(--(
TRIM(LEFT(Teeth!$A:$A,SEARCH("§",SUBSTITUTE(Teeth!$A:$A," ","§",2)&amp;"§")-1))=
TRIM(LEFT(A100,SEARCH("§",SUBSTITUTE(A100," ","§",2)&amp;"§")-1))
))&gt;0,
IF(
COUNT(_xlfn._xlws.FILTER(Teeth!$D:$D,
TRIM(LEFT(Teeth!$A:$A,SEARCH("§",SUBSTITUTE(Teeth!$A:$A," ","§",2)&amp;"§")-1))=
TRIM(LEFT(A100,SEARCH("§",SUBSTITUTE(A100," ","§",2)&amp;"§")-1))
))=0,
1,
MAX(_xlfn._xlws.FILTER(Teeth!$D:$D,
TRIM(LEFT(Teeth!$A:$A,SEARCH("§",SUBSTITUTE(Teeth!$A:$A," ","§",2)&amp;"§")-1))=
TRIM(LEFT(A100,SEARCH("§",SUBSTITUTE(A100," ","§",2)&amp;"§")-1))
))
),
IF(
SUMPRODUCT(--(
TRIM(LEFT(Teeth!$A:$A,SEARCH(" ",Teeth!$A:$A&amp;" ")-1))=
TRIM(LEFT(A100,SEARCH(" ",A100&amp;" ")-1))
))&gt;0,
IF(
COUNT(_xlfn._xlws.FILTER(Teeth!$D:$D,
TRIM(LEFT(Teeth!$A:$A,SEARCH(" ",Teeth!$A:$A&amp;" ")-1))=
TRIM(LEFT(A100,SEARCH(" ",A100&amp;" ")-1))
))=0,
1,
AVERAGE(_xlfn._xlws.FILTER(Teeth!$D:$D,
TRIM(LEFT(Teeth!$A:$A,SEARCH(" ",Teeth!$A:$A&amp;" ")-1))=
TRIM(LEFT(A100,SEARCH(" ",A100&amp;" ")-1))
))
),
1
)
)</f>
        <v>1</v>
      </c>
    </row>
    <row r="101" spans="1:2" x14ac:dyDescent="0.25">
      <c r="A101" s="2" t="str">
        <f>'[1]Base stats'!$B101</f>
        <v>Menippe mercenaria</v>
      </c>
      <c r="B101" s="20" cm="1">
        <f t="array" ref="B101">IF(
SUMPRODUCT(--(
TRIM(LEFT(Teeth!$A:$A,SEARCH("§",SUBSTITUTE(Teeth!$A:$A," ","§",2)&amp;"§")-1))=
TRIM(LEFT(A101,SEARCH("§",SUBSTITUTE(A101," ","§",2)&amp;"§")-1))
))&gt;0,
IF(
COUNT(_xlfn._xlws.FILTER(Teeth!$D:$D,
TRIM(LEFT(Teeth!$A:$A,SEARCH("§",SUBSTITUTE(Teeth!$A:$A," ","§",2)&amp;"§")-1))=
TRIM(LEFT(A101,SEARCH("§",SUBSTITUTE(A101," ","§",2)&amp;"§")-1))
))=0,
1,
MAX(_xlfn._xlws.FILTER(Teeth!$D:$D,
TRIM(LEFT(Teeth!$A:$A,SEARCH("§",SUBSTITUTE(Teeth!$A:$A," ","§",2)&amp;"§")-1))=
TRIM(LEFT(A101,SEARCH("§",SUBSTITUTE(A101," ","§",2)&amp;"§")-1))
))
),
IF(
SUMPRODUCT(--(
TRIM(LEFT(Teeth!$A:$A,SEARCH(" ",Teeth!$A:$A&amp;" ")-1))=
TRIM(LEFT(A101,SEARCH(" ",A101&amp;" ")-1))
))&gt;0,
IF(
COUNT(_xlfn._xlws.FILTER(Teeth!$D:$D,
TRIM(LEFT(Teeth!$A:$A,SEARCH(" ",Teeth!$A:$A&amp;" ")-1))=
TRIM(LEFT(A101,SEARCH(" ",A101&amp;" ")-1))
))=0,
1,
AVERAGE(_xlfn._xlws.FILTER(Teeth!$D:$D,
TRIM(LEFT(Teeth!$A:$A,SEARCH(" ",Teeth!$A:$A&amp;" ")-1))=
TRIM(LEFT(A101,SEARCH(" ",A101&amp;" ")-1))
))
),
1
)
)</f>
        <v>1</v>
      </c>
    </row>
    <row r="102" spans="1:2" x14ac:dyDescent="0.25">
      <c r="A102" s="2" t="str">
        <f>'[1]Base stats'!$B102</f>
        <v>Coenobita perlatus</v>
      </c>
      <c r="B102" s="20" cm="1">
        <f t="array" ref="B102">IF(
SUMPRODUCT(--(
TRIM(LEFT(Teeth!$A:$A,SEARCH("§",SUBSTITUTE(Teeth!$A:$A," ","§",2)&amp;"§")-1))=
TRIM(LEFT(A102,SEARCH("§",SUBSTITUTE(A102," ","§",2)&amp;"§")-1))
))&gt;0,
IF(
COUNT(_xlfn._xlws.FILTER(Teeth!$D:$D,
TRIM(LEFT(Teeth!$A:$A,SEARCH("§",SUBSTITUTE(Teeth!$A:$A," ","§",2)&amp;"§")-1))=
TRIM(LEFT(A102,SEARCH("§",SUBSTITUTE(A102," ","§",2)&amp;"§")-1))
))=0,
1,
MAX(_xlfn._xlws.FILTER(Teeth!$D:$D,
TRIM(LEFT(Teeth!$A:$A,SEARCH("§",SUBSTITUTE(Teeth!$A:$A," ","§",2)&amp;"§")-1))=
TRIM(LEFT(A102,SEARCH("§",SUBSTITUTE(A102," ","§",2)&amp;"§")-1))
))
),
IF(
SUMPRODUCT(--(
TRIM(LEFT(Teeth!$A:$A,SEARCH(" ",Teeth!$A:$A&amp;" ")-1))=
TRIM(LEFT(A102,SEARCH(" ",A102&amp;" ")-1))
))&gt;0,
IF(
COUNT(_xlfn._xlws.FILTER(Teeth!$D:$D,
TRIM(LEFT(Teeth!$A:$A,SEARCH(" ",Teeth!$A:$A&amp;" ")-1))=
TRIM(LEFT(A102,SEARCH(" ",A102&amp;" ")-1))
))=0,
1,
AVERAGE(_xlfn._xlws.FILTER(Teeth!$D:$D,
TRIM(LEFT(Teeth!$A:$A,SEARCH(" ",Teeth!$A:$A&amp;" ")-1))=
TRIM(LEFT(A102,SEARCH(" ",A102&amp;" ")-1))
))
),
1
)
)</f>
        <v>1</v>
      </c>
    </row>
    <row r="103" spans="1:2" x14ac:dyDescent="0.25">
      <c r="A103" s="2" t="str">
        <f>'[1]Base stats'!$B103</f>
        <v>Titanocoleus ferox</v>
      </c>
      <c r="B103" s="20" cm="1">
        <f t="array" ref="B103">IF(
SUMPRODUCT(--(
TRIM(LEFT(Teeth!$A:$A,SEARCH("§",SUBSTITUTE(Teeth!$A:$A," ","§",2)&amp;"§")-1))=
TRIM(LEFT(A103,SEARCH("§",SUBSTITUTE(A103," ","§",2)&amp;"§")-1))
))&gt;0,
IF(
COUNT(_xlfn._xlws.FILTER(Teeth!$D:$D,
TRIM(LEFT(Teeth!$A:$A,SEARCH("§",SUBSTITUTE(Teeth!$A:$A," ","§",2)&amp;"§")-1))=
TRIM(LEFT(A103,SEARCH("§",SUBSTITUTE(A103," ","§",2)&amp;"§")-1))
))=0,
1,
MAX(_xlfn._xlws.FILTER(Teeth!$D:$D,
TRIM(LEFT(Teeth!$A:$A,SEARCH("§",SUBSTITUTE(Teeth!$A:$A," ","§",2)&amp;"§")-1))=
TRIM(LEFT(A103,SEARCH("§",SUBSTITUTE(A103," ","§",2)&amp;"§")-1))
))
),
IF(
SUMPRODUCT(--(
TRIM(LEFT(Teeth!$A:$A,SEARCH(" ",Teeth!$A:$A&amp;" ")-1))=
TRIM(LEFT(A103,SEARCH(" ",A103&amp;" ")-1))
))&gt;0,
IF(
COUNT(_xlfn._xlws.FILTER(Teeth!$D:$D,
TRIM(LEFT(Teeth!$A:$A,SEARCH(" ",Teeth!$A:$A&amp;" ")-1))=
TRIM(LEFT(A103,SEARCH(" ",A103&amp;" ")-1))
))=0,
1,
AVERAGE(_xlfn._xlws.FILTER(Teeth!$D:$D,
TRIM(LEFT(Teeth!$A:$A,SEARCH(" ",Teeth!$A:$A&amp;" ")-1))=
TRIM(LEFT(A103,SEARCH(" ",A103&amp;" ")-1))
))
),
1
)
)</f>
        <v>1</v>
      </c>
    </row>
    <row r="104" spans="1:2" x14ac:dyDescent="0.25">
      <c r="A104" s="2" t="str">
        <f>'[1]Base stats'!$B104</f>
        <v>Cryptomorphus serpentinus</v>
      </c>
      <c r="B104" s="20" cm="1">
        <f t="array" ref="B104">IF(
SUMPRODUCT(--(
TRIM(LEFT(Teeth!$A:$A,SEARCH("§",SUBSTITUTE(Teeth!$A:$A," ","§",2)&amp;"§")-1))=
TRIM(LEFT(A104,SEARCH("§",SUBSTITUTE(A104," ","§",2)&amp;"§")-1))
))&gt;0,
IF(
COUNT(_xlfn._xlws.FILTER(Teeth!$D:$D,
TRIM(LEFT(Teeth!$A:$A,SEARCH("§",SUBSTITUTE(Teeth!$A:$A," ","§",2)&amp;"§")-1))=
TRIM(LEFT(A104,SEARCH("§",SUBSTITUTE(A104," ","§",2)&amp;"§")-1))
))=0,
1,
MAX(_xlfn._xlws.FILTER(Teeth!$D:$D,
TRIM(LEFT(Teeth!$A:$A,SEARCH("§",SUBSTITUTE(Teeth!$A:$A," ","§",2)&amp;"§")-1))=
TRIM(LEFT(A104,SEARCH("§",SUBSTITUTE(A104," ","§",2)&amp;"§")-1))
))
),
IF(
SUMPRODUCT(--(
TRIM(LEFT(Teeth!$A:$A,SEARCH(" ",Teeth!$A:$A&amp;" ")-1))=
TRIM(LEFT(A104,SEARCH(" ",A104&amp;" ")-1))
))&gt;0,
IF(
COUNT(_xlfn._xlws.FILTER(Teeth!$D:$D,
TRIM(LEFT(Teeth!$A:$A,SEARCH(" ",Teeth!$A:$A&amp;" ")-1))=
TRIM(LEFT(A104,SEARCH(" ",A104&amp;" ")-1))
))=0,
1,
AVERAGE(_xlfn._xlws.FILTER(Teeth!$D:$D,
TRIM(LEFT(Teeth!$A:$A,SEARCH(" ",Teeth!$A:$A&amp;" ")-1))=
TRIM(LEFT(A104,SEARCH(" ",A104&amp;" ")-1))
))
),
1
)
)</f>
        <v>1</v>
      </c>
    </row>
    <row r="105" spans="1:2" x14ac:dyDescent="0.25">
      <c r="A105" s="2" t="str">
        <f>'[1]Base stats'!$B105</f>
        <v>Gigarachne bellator</v>
      </c>
      <c r="B105" s="20" cm="1">
        <f t="array" ref="B105">IF(
SUMPRODUCT(--(
TRIM(LEFT(Teeth!$A:$A,SEARCH("§",SUBSTITUTE(Teeth!$A:$A," ","§",2)&amp;"§")-1))=
TRIM(LEFT(A105,SEARCH("§",SUBSTITUTE(A105," ","§",2)&amp;"§")-1))
))&gt;0,
IF(
COUNT(_xlfn._xlws.FILTER(Teeth!$D:$D,
TRIM(LEFT(Teeth!$A:$A,SEARCH("§",SUBSTITUTE(Teeth!$A:$A," ","§",2)&amp;"§")-1))=
TRIM(LEFT(A105,SEARCH("§",SUBSTITUTE(A105," ","§",2)&amp;"§")-1))
))=0,
1,
MAX(_xlfn._xlws.FILTER(Teeth!$D:$D,
TRIM(LEFT(Teeth!$A:$A,SEARCH("§",SUBSTITUTE(Teeth!$A:$A," ","§",2)&amp;"§")-1))=
TRIM(LEFT(A105,SEARCH("§",SUBSTITUTE(A105," ","§",2)&amp;"§")-1))
))
),
IF(
SUMPRODUCT(--(
TRIM(LEFT(Teeth!$A:$A,SEARCH(" ",Teeth!$A:$A&amp;" ")-1))=
TRIM(LEFT(A105,SEARCH(" ",A105&amp;" ")-1))
))&gt;0,
IF(
COUNT(_xlfn._xlws.FILTER(Teeth!$D:$D,
TRIM(LEFT(Teeth!$A:$A,SEARCH(" ",Teeth!$A:$A&amp;" ")-1))=
TRIM(LEFT(A105,SEARCH(" ",A105&amp;" ")-1))
))=0,
1,
AVERAGE(_xlfn._xlws.FILTER(Teeth!$D:$D,
TRIM(LEFT(Teeth!$A:$A,SEARCH(" ",Teeth!$A:$A&amp;" ")-1))=
TRIM(LEFT(A105,SEARCH(" ",A105&amp;" ")-1))
))
),
1
)
)</f>
        <v>1</v>
      </c>
    </row>
    <row r="106" spans="1:2" x14ac:dyDescent="0.25">
      <c r="A106" s="2" t="str">
        <f>'[1]Base stats'!$B106</f>
        <v>Imperatombis regina</v>
      </c>
      <c r="B106" s="20" cm="1">
        <f t="array" ref="B106">IF(
SUMPRODUCT(--(
TRIM(LEFT(Teeth!$A:$A,SEARCH("§",SUBSTITUTE(Teeth!$A:$A," ","§",2)&amp;"§")-1))=
TRIM(LEFT(A106,SEARCH("§",SUBSTITUTE(A106," ","§",2)&amp;"§")-1))
))&gt;0,
IF(
COUNT(_xlfn._xlws.FILTER(Teeth!$D:$D,
TRIM(LEFT(Teeth!$A:$A,SEARCH("§",SUBSTITUTE(Teeth!$A:$A," ","§",2)&amp;"§")-1))=
TRIM(LEFT(A106,SEARCH("§",SUBSTITUTE(A106," ","§",2)&amp;"§")-1))
))=0,
1,
MAX(_xlfn._xlws.FILTER(Teeth!$D:$D,
TRIM(LEFT(Teeth!$A:$A,SEARCH("§",SUBSTITUTE(Teeth!$A:$A," ","§",2)&amp;"§")-1))=
TRIM(LEFT(A106,SEARCH("§",SUBSTITUTE(A106," ","§",2)&amp;"§")-1))
))
),
IF(
SUMPRODUCT(--(
TRIM(LEFT(Teeth!$A:$A,SEARCH(" ",Teeth!$A:$A&amp;" ")-1))=
TRIM(LEFT(A106,SEARCH(" ",A106&amp;" ")-1))
))&gt;0,
IF(
COUNT(_xlfn._xlws.FILTER(Teeth!$D:$D,
TRIM(LEFT(Teeth!$A:$A,SEARCH(" ",Teeth!$A:$A&amp;" ")-1))=
TRIM(LEFT(A106,SEARCH(" ",A106&amp;" ")-1))
))=0,
1,
AVERAGE(_xlfn._xlws.FILTER(Teeth!$D:$D,
TRIM(LEFT(Teeth!$A:$A,SEARCH(" ",Teeth!$A:$A&amp;" ")-1))=
TRIM(LEFT(A106,SEARCH(" ",A106&amp;" ")-1))
))
),
1
)
)</f>
        <v>1</v>
      </c>
    </row>
    <row r="107" spans="1:2" x14ac:dyDescent="0.25">
      <c r="A107" s="2" t="str">
        <f>'[1]Base stats'!$B107</f>
        <v>Imperatombis juvenis</v>
      </c>
      <c r="B107" s="20" cm="1">
        <f t="array" ref="B107">IF(
SUMPRODUCT(--(
TRIM(LEFT(Teeth!$A:$A,SEARCH("§",SUBSTITUTE(Teeth!$A:$A," ","§",2)&amp;"§")-1))=
TRIM(LEFT(A107,SEARCH("§",SUBSTITUTE(A107," ","§",2)&amp;"§")-1))
))&gt;0,
IF(
COUNT(_xlfn._xlws.FILTER(Teeth!$D:$D,
TRIM(LEFT(Teeth!$A:$A,SEARCH("§",SUBSTITUTE(Teeth!$A:$A," ","§",2)&amp;"§")-1))=
TRIM(LEFT(A107,SEARCH("§",SUBSTITUTE(A107," ","§",2)&amp;"§")-1))
))=0,
1,
MAX(_xlfn._xlws.FILTER(Teeth!$D:$D,
TRIM(LEFT(Teeth!$A:$A,SEARCH("§",SUBSTITUTE(Teeth!$A:$A," ","§",2)&amp;"§")-1))=
TRIM(LEFT(A107,SEARCH("§",SUBSTITUTE(A107," ","§",2)&amp;"§")-1))
))
),
IF(
SUMPRODUCT(--(
TRIM(LEFT(Teeth!$A:$A,SEARCH(" ",Teeth!$A:$A&amp;" ")-1))=
TRIM(LEFT(A107,SEARCH(" ",A107&amp;" ")-1))
))&gt;0,
IF(
COUNT(_xlfn._xlws.FILTER(Teeth!$D:$D,
TRIM(LEFT(Teeth!$A:$A,SEARCH(" ",Teeth!$A:$A&amp;" ")-1))=
TRIM(LEFT(A107,SEARCH(" ",A107&amp;" ")-1))
))=0,
1,
AVERAGE(_xlfn._xlws.FILTER(Teeth!$D:$D,
TRIM(LEFT(Teeth!$A:$A,SEARCH(" ",Teeth!$A:$A&amp;" ")-1))=
TRIM(LEFT(A107,SEARCH(" ",A107&amp;" ")-1))
))
),
1
)
)</f>
        <v>1</v>
      </c>
    </row>
    <row r="108" spans="1:2" x14ac:dyDescent="0.25">
      <c r="A108" s="2" t="str">
        <f>'[1]Base stats'!$B108</f>
        <v>Voracilocus devastans</v>
      </c>
      <c r="B108" s="20" cm="1">
        <f t="array" ref="B108">IF(
SUMPRODUCT(--(
TRIM(LEFT(Teeth!$A:$A,SEARCH("§",SUBSTITUTE(Teeth!$A:$A," ","§",2)&amp;"§")-1))=
TRIM(LEFT(A108,SEARCH("§",SUBSTITUTE(A108," ","§",2)&amp;"§")-1))
))&gt;0,
IF(
COUNT(_xlfn._xlws.FILTER(Teeth!$D:$D,
TRIM(LEFT(Teeth!$A:$A,SEARCH("§",SUBSTITUTE(Teeth!$A:$A," ","§",2)&amp;"§")-1))=
TRIM(LEFT(A108,SEARCH("§",SUBSTITUTE(A108," ","§",2)&amp;"§")-1))
))=0,
1,
MAX(_xlfn._xlws.FILTER(Teeth!$D:$D,
TRIM(LEFT(Teeth!$A:$A,SEARCH("§",SUBSTITUTE(Teeth!$A:$A," ","§",2)&amp;"§")-1))=
TRIM(LEFT(A108,SEARCH("§",SUBSTITUTE(A108," ","§",2)&amp;"§")-1))
))
),
IF(
SUMPRODUCT(--(
TRIM(LEFT(Teeth!$A:$A,SEARCH(" ",Teeth!$A:$A&amp;" ")-1))=
TRIM(LEFT(A108,SEARCH(" ",A108&amp;" ")-1))
))&gt;0,
IF(
COUNT(_xlfn._xlws.FILTER(Teeth!$D:$D,
TRIM(LEFT(Teeth!$A:$A,SEARCH(" ",Teeth!$A:$A&amp;" ")-1))=
TRIM(LEFT(A108,SEARCH(" ",A108&amp;" ")-1))
))=0,
1,
AVERAGE(_xlfn._xlws.FILTER(Teeth!$D:$D,
TRIM(LEFT(Teeth!$A:$A,SEARCH(" ",Teeth!$A:$A&amp;" ")-1))=
TRIM(LEFT(A108,SEARCH(" ",A108&amp;" ")-1))
))
),
1
)
)</f>
        <v>1</v>
      </c>
    </row>
    <row r="109" spans="1:2" x14ac:dyDescent="0.25">
      <c r="A109" s="2" t="str">
        <f>'[1]Base stats'!$B109</f>
        <v>Canis latrans latrans</v>
      </c>
      <c r="B109" s="20" cm="1">
        <f t="array" ref="B109">IF(
SUMPRODUCT(--(
TRIM(LEFT(Teeth!$A:$A,SEARCH("§",SUBSTITUTE(Teeth!$A:$A," ","§",2)&amp;"§")-1))=
TRIM(LEFT(A109,SEARCH("§",SUBSTITUTE(A109," ","§",2)&amp;"§")-1))
))&gt;0,
IF(
COUNT(_xlfn._xlws.FILTER(Teeth!$D:$D,
TRIM(LEFT(Teeth!$A:$A,SEARCH("§",SUBSTITUTE(Teeth!$A:$A," ","§",2)&amp;"§")-1))=
TRIM(LEFT(A109,SEARCH("§",SUBSTITUTE(A109," ","§",2)&amp;"§")-1))
))=0,
1,
MAX(_xlfn._xlws.FILTER(Teeth!$D:$D,
TRIM(LEFT(Teeth!$A:$A,SEARCH("§",SUBSTITUTE(Teeth!$A:$A," ","§",2)&amp;"§")-1))=
TRIM(LEFT(A109,SEARCH("§",SUBSTITUTE(A109," ","§",2)&amp;"§")-1))
))
),
IF(
SUMPRODUCT(--(
TRIM(LEFT(Teeth!$A:$A,SEARCH(" ",Teeth!$A:$A&amp;" ")-1))=
TRIM(LEFT(A109,SEARCH(" ",A109&amp;" ")-1))
))&gt;0,
IF(
COUNT(_xlfn._xlws.FILTER(Teeth!$D:$D,
TRIM(LEFT(Teeth!$A:$A,SEARCH(" ",Teeth!$A:$A&amp;" ")-1))=
TRIM(LEFT(A109,SEARCH(" ",A109&amp;" ")-1))
))=0,
1,
AVERAGE(_xlfn._xlws.FILTER(Teeth!$D:$D,
TRIM(LEFT(Teeth!$A:$A,SEARCH(" ",Teeth!$A:$A&amp;" ")-1))=
TRIM(LEFT(A109,SEARCH(" ",A109&amp;" ")-1))
))
),
1
)
)</f>
        <v>1.1410682230934119</v>
      </c>
    </row>
    <row r="110" spans="1:2" x14ac:dyDescent="0.25">
      <c r="A110" s="2" t="str">
        <f>'[1]Base stats'!$B110</f>
        <v>Giraffa camelopardalis</v>
      </c>
      <c r="B110" s="20" cm="1">
        <f t="array" ref="B110">IF(
SUMPRODUCT(--(
TRIM(LEFT(Teeth!$A:$A,SEARCH("§",SUBSTITUTE(Teeth!$A:$A," ","§",2)&amp;"§")-1))=
TRIM(LEFT(A110,SEARCH("§",SUBSTITUTE(A110," ","§",2)&amp;"§")-1))
))&gt;0,
IF(
COUNT(_xlfn._xlws.FILTER(Teeth!$D:$D,
TRIM(LEFT(Teeth!$A:$A,SEARCH("§",SUBSTITUTE(Teeth!$A:$A," ","§",2)&amp;"§")-1))=
TRIM(LEFT(A110,SEARCH("§",SUBSTITUTE(A110," ","§",2)&amp;"§")-1))
))=0,
1,
MAX(_xlfn._xlws.FILTER(Teeth!$D:$D,
TRIM(LEFT(Teeth!$A:$A,SEARCH("§",SUBSTITUTE(Teeth!$A:$A," ","§",2)&amp;"§")-1))=
TRIM(LEFT(A110,SEARCH("§",SUBSTITUTE(A110," ","§",2)&amp;"§")-1))
))
),
IF(
SUMPRODUCT(--(
TRIM(LEFT(Teeth!$A:$A,SEARCH(" ",Teeth!$A:$A&amp;" ")-1))=
TRIM(LEFT(A110,SEARCH(" ",A110&amp;" ")-1))
))&gt;0,
IF(
COUNT(_xlfn._xlws.FILTER(Teeth!$D:$D,
TRIM(LEFT(Teeth!$A:$A,SEARCH(" ",Teeth!$A:$A&amp;" ")-1))=
TRIM(LEFT(A110,SEARCH(" ",A110&amp;" ")-1))
))=0,
1,
AVERAGE(_xlfn._xlws.FILTER(Teeth!$D:$D,
TRIM(LEFT(Teeth!$A:$A,SEARCH(" ",Teeth!$A:$A&amp;" ")-1))=
TRIM(LEFT(A110,SEARCH(" ",A110&amp;" ")-1))
))
),
1
)
)</f>
        <v>1</v>
      </c>
    </row>
    <row r="111" spans="1:2" x14ac:dyDescent="0.25">
      <c r="A111" s="2" t="str">
        <f>'[1]Base stats'!$B111</f>
        <v>Equus burchellii</v>
      </c>
      <c r="B111" s="20" cm="1">
        <f t="array" ref="B111">IF(
SUMPRODUCT(--(
TRIM(LEFT(Teeth!$A:$A,SEARCH("§",SUBSTITUTE(Teeth!$A:$A," ","§",2)&amp;"§")-1))=
TRIM(LEFT(A111,SEARCH("§",SUBSTITUTE(A111," ","§",2)&amp;"§")-1))
))&gt;0,
IF(
COUNT(_xlfn._xlws.FILTER(Teeth!$D:$D,
TRIM(LEFT(Teeth!$A:$A,SEARCH("§",SUBSTITUTE(Teeth!$A:$A," ","§",2)&amp;"§")-1))=
TRIM(LEFT(A111,SEARCH("§",SUBSTITUTE(A111," ","§",2)&amp;"§")-1))
))=0,
1,
MAX(_xlfn._xlws.FILTER(Teeth!$D:$D,
TRIM(LEFT(Teeth!$A:$A,SEARCH("§",SUBSTITUTE(Teeth!$A:$A," ","§",2)&amp;"§")-1))=
TRIM(LEFT(A111,SEARCH("§",SUBSTITUTE(A111," ","§",2)&amp;"§")-1))
))
),
IF(
SUMPRODUCT(--(
TRIM(LEFT(Teeth!$A:$A,SEARCH(" ",Teeth!$A:$A&amp;" ")-1))=
TRIM(LEFT(A111,SEARCH(" ",A111&amp;" ")-1))
))&gt;0,
IF(
COUNT(_xlfn._xlws.FILTER(Teeth!$D:$D,
TRIM(LEFT(Teeth!$A:$A,SEARCH(" ",Teeth!$A:$A&amp;" ")-1))=
TRIM(LEFT(A111,SEARCH(" ",A111&amp;" ")-1))
))=0,
1,
AVERAGE(_xlfn._xlws.FILTER(Teeth!$D:$D,
TRIM(LEFT(Teeth!$A:$A,SEARCH(" ",Teeth!$A:$A&amp;" ")-1))=
TRIM(LEFT(A111,SEARCH(" ",A111&amp;" ")-1))
))
),
1
)
)</f>
        <v>1</v>
      </c>
    </row>
    <row r="112" spans="1:2" x14ac:dyDescent="0.25">
      <c r="A112" s="2" t="str">
        <f>'[1]Base stats'!$B112</f>
        <v>Connochaetes taurinus</v>
      </c>
      <c r="B112" s="20" cm="1">
        <f t="array" ref="B112">IF(
SUMPRODUCT(--(
TRIM(LEFT(Teeth!$A:$A,SEARCH("§",SUBSTITUTE(Teeth!$A:$A," ","§",2)&amp;"§")-1))=
TRIM(LEFT(A112,SEARCH("§",SUBSTITUTE(A112," ","§",2)&amp;"§")-1))
))&gt;0,
IF(
COUNT(_xlfn._xlws.FILTER(Teeth!$D:$D,
TRIM(LEFT(Teeth!$A:$A,SEARCH("§",SUBSTITUTE(Teeth!$A:$A," ","§",2)&amp;"§")-1))=
TRIM(LEFT(A112,SEARCH("§",SUBSTITUTE(A112," ","§",2)&amp;"§")-1))
))=0,
1,
MAX(_xlfn._xlws.FILTER(Teeth!$D:$D,
TRIM(LEFT(Teeth!$A:$A,SEARCH("§",SUBSTITUTE(Teeth!$A:$A," ","§",2)&amp;"§")-1))=
TRIM(LEFT(A112,SEARCH("§",SUBSTITUTE(A112," ","§",2)&amp;"§")-1))
))
),
IF(
SUMPRODUCT(--(
TRIM(LEFT(Teeth!$A:$A,SEARCH(" ",Teeth!$A:$A&amp;" ")-1))=
TRIM(LEFT(A112,SEARCH(" ",A112&amp;" ")-1))
))&gt;0,
IF(
COUNT(_xlfn._xlws.FILTER(Teeth!$D:$D,
TRIM(LEFT(Teeth!$A:$A,SEARCH(" ",Teeth!$A:$A&amp;" ")-1))=
TRIM(LEFT(A112,SEARCH(" ",A112&amp;" ")-1))
))=0,
1,
AVERAGE(_xlfn._xlws.FILTER(Teeth!$D:$D,
TRIM(LEFT(Teeth!$A:$A,SEARCH(" ",Teeth!$A:$A&amp;" ")-1))=
TRIM(LEFT(A112,SEARCH(" ",A112&amp;" ")-1))
))
),
1
)
)</f>
        <v>1</v>
      </c>
    </row>
    <row r="113" spans="1:2" x14ac:dyDescent="0.25">
      <c r="A113" s="2" t="str">
        <f>'[1]Base stats'!$B113</f>
        <v>Crocodylus porosus</v>
      </c>
      <c r="B113" s="20" cm="1">
        <f t="array" ref="B113">IF(
SUMPRODUCT(--(
TRIM(LEFT(Teeth!$A:$A,SEARCH("§",SUBSTITUTE(Teeth!$A:$A," ","§",2)&amp;"§")-1))=
TRIM(LEFT(A113,SEARCH("§",SUBSTITUTE(A113," ","§",2)&amp;"§")-1))
))&gt;0,
IF(
COUNT(_xlfn._xlws.FILTER(Teeth!$D:$D,
TRIM(LEFT(Teeth!$A:$A,SEARCH("§",SUBSTITUTE(Teeth!$A:$A," ","§",2)&amp;"§")-1))=
TRIM(LEFT(A113,SEARCH("§",SUBSTITUTE(A113," ","§",2)&amp;"§")-1))
))=0,
1,
MAX(_xlfn._xlws.FILTER(Teeth!$D:$D,
TRIM(LEFT(Teeth!$A:$A,SEARCH("§",SUBSTITUTE(Teeth!$A:$A," ","§",2)&amp;"§")-1))=
TRIM(LEFT(A113,SEARCH("§",SUBSTITUTE(A113," ","§",2)&amp;"§")-1))
))
),
IF(
SUMPRODUCT(--(
TRIM(LEFT(Teeth!$A:$A,SEARCH(" ",Teeth!$A:$A&amp;" ")-1))=
TRIM(LEFT(A113,SEARCH(" ",A113&amp;" ")-1))
))&gt;0,
IF(
COUNT(_xlfn._xlws.FILTER(Teeth!$D:$D,
TRIM(LEFT(Teeth!$A:$A,SEARCH(" ",Teeth!$A:$A&amp;" ")-1))=
TRIM(LEFT(A113,SEARCH(" ",A113&amp;" ")-1))
))=0,
1,
AVERAGE(_xlfn._xlws.FILTER(Teeth!$D:$D,
TRIM(LEFT(Teeth!$A:$A,SEARCH(" ",Teeth!$A:$A&amp;" ")-1))=
TRIM(LEFT(A113,SEARCH(" ",A113&amp;" ")-1))
))
),
1
)
)</f>
        <v>1</v>
      </c>
    </row>
    <row r="114" spans="1:2" x14ac:dyDescent="0.25">
      <c r="A114" s="2" t="str">
        <f>'[1]Base stats'!$B114</f>
        <v>Acinonyx jubatus</v>
      </c>
      <c r="B114" s="20" cm="1">
        <f t="array" ref="B114">IF(
SUMPRODUCT(--(
TRIM(LEFT(Teeth!$A:$A,SEARCH("§",SUBSTITUTE(Teeth!$A:$A," ","§",2)&amp;"§")-1))=
TRIM(LEFT(A114,SEARCH("§",SUBSTITUTE(A114," ","§",2)&amp;"§")-1))
))&gt;0,
IF(
COUNT(_xlfn._xlws.FILTER(Teeth!$D:$D,
TRIM(LEFT(Teeth!$A:$A,SEARCH("§",SUBSTITUTE(Teeth!$A:$A," ","§",2)&amp;"§")-1))=
TRIM(LEFT(A114,SEARCH("§",SUBSTITUTE(A114," ","§",2)&amp;"§")-1))
))=0,
1,
MAX(_xlfn._xlws.FILTER(Teeth!$D:$D,
TRIM(LEFT(Teeth!$A:$A,SEARCH("§",SUBSTITUTE(Teeth!$A:$A," ","§",2)&amp;"§")-1))=
TRIM(LEFT(A114,SEARCH("§",SUBSTITUTE(A114," ","§",2)&amp;"§")-1))
))
),
IF(
SUMPRODUCT(--(
TRIM(LEFT(Teeth!$A:$A,SEARCH(" ",Teeth!$A:$A&amp;" ")-1))=
TRIM(LEFT(A114,SEARCH(" ",A114&amp;" ")-1))
))&gt;0,
IF(
COUNT(_xlfn._xlws.FILTER(Teeth!$D:$D,
TRIM(LEFT(Teeth!$A:$A,SEARCH(" ",Teeth!$A:$A&amp;" ")-1))=
TRIM(LEFT(A114,SEARCH(" ",A114&amp;" ")-1))
))=0,
1,
AVERAGE(_xlfn._xlws.FILTER(Teeth!$D:$D,
TRIM(LEFT(Teeth!$A:$A,SEARCH(" ",Teeth!$A:$A&amp;" ")-1))=
TRIM(LEFT(A114,SEARCH(" ",A114&amp;" ")-1))
))
),
1
)
)</f>
        <v>1.1807275346262045</v>
      </c>
    </row>
    <row r="115" spans="1:2" x14ac:dyDescent="0.25">
      <c r="A115" s="2" t="str">
        <f>'[1]Base stats'!$B115</f>
        <v>Vombatus explosivus</v>
      </c>
      <c r="B115" s="20" cm="1">
        <f t="array" ref="B115">IF(
SUMPRODUCT(--(
TRIM(LEFT(Teeth!$A:$A,SEARCH("§",SUBSTITUTE(Teeth!$A:$A," ","§",2)&amp;"§")-1))=
TRIM(LEFT(A115,SEARCH("§",SUBSTITUTE(A115," ","§",2)&amp;"§")-1))
))&gt;0,
IF(
COUNT(_xlfn._xlws.FILTER(Teeth!$D:$D,
TRIM(LEFT(Teeth!$A:$A,SEARCH("§",SUBSTITUTE(Teeth!$A:$A," ","§",2)&amp;"§")-1))=
TRIM(LEFT(A115,SEARCH("§",SUBSTITUTE(A115," ","§",2)&amp;"§")-1))
))=0,
1,
MAX(_xlfn._xlws.FILTER(Teeth!$D:$D,
TRIM(LEFT(Teeth!$A:$A,SEARCH("§",SUBSTITUTE(Teeth!$A:$A," ","§",2)&amp;"§")-1))=
TRIM(LEFT(A115,SEARCH("§",SUBSTITUTE(A115," ","§",2)&amp;"§")-1))
))
),
IF(
SUMPRODUCT(--(
TRIM(LEFT(Teeth!$A:$A,SEARCH(" ",Teeth!$A:$A&amp;" ")-1))=
TRIM(LEFT(A115,SEARCH(" ",A115&amp;" ")-1))
))&gt;0,
IF(
COUNT(_xlfn._xlws.FILTER(Teeth!$D:$D,
TRIM(LEFT(Teeth!$A:$A,SEARCH(" ",Teeth!$A:$A&amp;" ")-1))=
TRIM(LEFT(A115,SEARCH(" ",A115&amp;" ")-1))
))=0,
1,
AVERAGE(_xlfn._xlws.FILTER(Teeth!$D:$D,
TRIM(LEFT(Teeth!$A:$A,SEARCH(" ",Teeth!$A:$A&amp;" ")-1))=
TRIM(LEFT(A115,SEARCH(" ",A115&amp;" ")-1))
))
),
1
)
)</f>
        <v>1</v>
      </c>
    </row>
    <row r="116" spans="1:2" x14ac:dyDescent="0.25">
      <c r="A116" s="2" t="str">
        <f>'[1]Base stats'!$B116</f>
        <v>Macropus rufus</v>
      </c>
      <c r="B116" s="20" cm="1">
        <f t="array" ref="B116">IF(
SUMPRODUCT(--(
TRIM(LEFT(Teeth!$A:$A,SEARCH("§",SUBSTITUTE(Teeth!$A:$A," ","§",2)&amp;"§")-1))=
TRIM(LEFT(A116,SEARCH("§",SUBSTITUTE(A116," ","§",2)&amp;"§")-1))
))&gt;0,
IF(
COUNT(_xlfn._xlws.FILTER(Teeth!$D:$D,
TRIM(LEFT(Teeth!$A:$A,SEARCH("§",SUBSTITUTE(Teeth!$A:$A," ","§",2)&amp;"§")-1))=
TRIM(LEFT(A116,SEARCH("§",SUBSTITUTE(A116," ","§",2)&amp;"§")-1))
))=0,
1,
MAX(_xlfn._xlws.FILTER(Teeth!$D:$D,
TRIM(LEFT(Teeth!$A:$A,SEARCH("§",SUBSTITUTE(Teeth!$A:$A," ","§",2)&amp;"§")-1))=
TRIM(LEFT(A116,SEARCH("§",SUBSTITUTE(A116," ","§",2)&amp;"§")-1))
))
),
IF(
SUMPRODUCT(--(
TRIM(LEFT(Teeth!$A:$A,SEARCH(" ",Teeth!$A:$A&amp;" ")-1))=
TRIM(LEFT(A116,SEARCH(" ",A116&amp;" ")-1))
))&gt;0,
IF(
COUNT(_xlfn._xlws.FILTER(Teeth!$D:$D,
TRIM(LEFT(Teeth!$A:$A,SEARCH(" ",Teeth!$A:$A&amp;" ")-1))=
TRIM(LEFT(A116,SEARCH(" ",A116&amp;" ")-1))
))=0,
1,
AVERAGE(_xlfn._xlws.FILTER(Teeth!$D:$D,
TRIM(LEFT(Teeth!$A:$A,SEARCH(" ",Teeth!$A:$A&amp;" ")-1))=
TRIM(LEFT(A116,SEARCH(" ",A116&amp;" ")-1))
))
),
1
)
)</f>
        <v>1</v>
      </c>
    </row>
    <row r="117" spans="1:2" x14ac:dyDescent="0.25">
      <c r="A117" s="2" t="str">
        <f>'[1]Base stats'!$B117</f>
        <v>Phascolarctos cinereus</v>
      </c>
      <c r="B117" s="20" cm="1">
        <f t="array" ref="B117">IF(
SUMPRODUCT(--(
TRIM(LEFT(Teeth!$A:$A,SEARCH("§",SUBSTITUTE(Teeth!$A:$A," ","§",2)&amp;"§")-1))=
TRIM(LEFT(A117,SEARCH("§",SUBSTITUTE(A117," ","§",2)&amp;"§")-1))
))&gt;0,
IF(
COUNT(_xlfn._xlws.FILTER(Teeth!$D:$D,
TRIM(LEFT(Teeth!$A:$A,SEARCH("§",SUBSTITUTE(Teeth!$A:$A," ","§",2)&amp;"§")-1))=
TRIM(LEFT(A117,SEARCH("§",SUBSTITUTE(A117," ","§",2)&amp;"§")-1))
))=0,
1,
MAX(_xlfn._xlws.FILTER(Teeth!$D:$D,
TRIM(LEFT(Teeth!$A:$A,SEARCH("§",SUBSTITUTE(Teeth!$A:$A," ","§",2)&amp;"§")-1))=
TRIM(LEFT(A117,SEARCH("§",SUBSTITUTE(A117," ","§",2)&amp;"§")-1))
))
),
IF(
SUMPRODUCT(--(
TRIM(LEFT(Teeth!$A:$A,SEARCH(" ",Teeth!$A:$A&amp;" ")-1))=
TRIM(LEFT(A117,SEARCH(" ",A117&amp;" ")-1))
))&gt;0,
IF(
COUNT(_xlfn._xlws.FILTER(Teeth!$D:$D,
TRIM(LEFT(Teeth!$A:$A,SEARCH(" ",Teeth!$A:$A&amp;" ")-1))=
TRIM(LEFT(A117,SEARCH(" ",A117&amp;" ")-1))
))=0,
1,
AVERAGE(_xlfn._xlws.FILTER(Teeth!$D:$D,
TRIM(LEFT(Teeth!$A:$A,SEARCH(" ",Teeth!$A:$A&amp;" ")-1))=
TRIM(LEFT(A117,SEARCH(" ",A117&amp;" ")-1))
))
),
1
)
)</f>
        <v>1</v>
      </c>
    </row>
    <row r="118" spans="1:2" x14ac:dyDescent="0.25">
      <c r="A118" s="2" t="str">
        <f>'[1]Base stats'!$B118</f>
        <v>Ornithorhynchus anatinus</v>
      </c>
      <c r="B118" s="20" cm="1">
        <f t="array" ref="B118">IF(
SUMPRODUCT(--(
TRIM(LEFT(Teeth!$A:$A,SEARCH("§",SUBSTITUTE(Teeth!$A:$A," ","§",2)&amp;"§")-1))=
TRIM(LEFT(A118,SEARCH("§",SUBSTITUTE(A118," ","§",2)&amp;"§")-1))
))&gt;0,
IF(
COUNT(_xlfn._xlws.FILTER(Teeth!$D:$D,
TRIM(LEFT(Teeth!$A:$A,SEARCH("§",SUBSTITUTE(Teeth!$A:$A," ","§",2)&amp;"§")-1))=
TRIM(LEFT(A118,SEARCH("§",SUBSTITUTE(A118," ","§",2)&amp;"§")-1))
))=0,
1,
MAX(_xlfn._xlws.FILTER(Teeth!$D:$D,
TRIM(LEFT(Teeth!$A:$A,SEARCH("§",SUBSTITUTE(Teeth!$A:$A," ","§",2)&amp;"§")-1))=
TRIM(LEFT(A118,SEARCH("§",SUBSTITUTE(A118," ","§",2)&amp;"§")-1))
))
),
IF(
SUMPRODUCT(--(
TRIM(LEFT(Teeth!$A:$A,SEARCH(" ",Teeth!$A:$A&amp;" ")-1))=
TRIM(LEFT(A118,SEARCH(" ",A118&amp;" ")-1))
))&gt;0,
IF(
COUNT(_xlfn._xlws.FILTER(Teeth!$D:$D,
TRIM(LEFT(Teeth!$A:$A,SEARCH(" ",Teeth!$A:$A&amp;" ")-1))=
TRIM(LEFT(A118,SEARCH(" ",A118&amp;" ")-1))
))=0,
1,
AVERAGE(_xlfn._xlws.FILTER(Teeth!$D:$D,
TRIM(LEFT(Teeth!$A:$A,SEARCH(" ",Teeth!$A:$A&amp;" ")-1))=
TRIM(LEFT(A118,SEARCH(" ",A118&amp;" ")-1))
))
),
1
)
)</f>
        <v>1</v>
      </c>
    </row>
    <row r="119" spans="1:2" x14ac:dyDescent="0.25">
      <c r="A119" s="2" t="str">
        <f>'[1]Base stats'!$B119</f>
        <v>Canis latrans incolatus</v>
      </c>
      <c r="B119" s="20" cm="1">
        <f t="array" ref="B119">IF(
SUMPRODUCT(--(
TRIM(LEFT(Teeth!$A:$A,SEARCH("§",SUBSTITUTE(Teeth!$A:$A," ","§",2)&amp;"§")-1))=
TRIM(LEFT(A119,SEARCH("§",SUBSTITUTE(A119," ","§",2)&amp;"§")-1))
))&gt;0,
IF(
COUNT(_xlfn._xlws.FILTER(Teeth!$D:$D,
TRIM(LEFT(Teeth!$A:$A,SEARCH("§",SUBSTITUTE(Teeth!$A:$A," ","§",2)&amp;"§")-1))=
TRIM(LEFT(A119,SEARCH("§",SUBSTITUTE(A119," ","§",2)&amp;"§")-1))
))=0,
1,
MAX(_xlfn._xlws.FILTER(Teeth!$D:$D,
TRIM(LEFT(Teeth!$A:$A,SEARCH("§",SUBSTITUTE(Teeth!$A:$A," ","§",2)&amp;"§")-1))=
TRIM(LEFT(A119,SEARCH("§",SUBSTITUTE(A119," ","§",2)&amp;"§")-1))
))
),
IF(
SUMPRODUCT(--(
TRIM(LEFT(Teeth!$A:$A,SEARCH(" ",Teeth!$A:$A&amp;" ")-1))=
TRIM(LEFT(A119,SEARCH(" ",A119&amp;" ")-1))
))&gt;0,
IF(
COUNT(_xlfn._xlws.FILTER(Teeth!$D:$D,
TRIM(LEFT(Teeth!$A:$A,SEARCH(" ",Teeth!$A:$A&amp;" ")-1))=
TRIM(LEFT(A119,SEARCH(" ",A119&amp;" ")-1))
))=0,
1,
AVERAGE(_xlfn._xlws.FILTER(Teeth!$D:$D,
TRIM(LEFT(Teeth!$A:$A,SEARCH(" ",Teeth!$A:$A&amp;" ")-1))=
TRIM(LEFT(A119,SEARCH(" ",A119&amp;" ")-1))
))
),
1
)
)</f>
        <v>1.1410682230934119</v>
      </c>
    </row>
    <row r="120" spans="1:2" x14ac:dyDescent="0.25">
      <c r="A120" s="2" t="str">
        <f>'[1]Base stats'!$B120</f>
        <v>Ursus americanus</v>
      </c>
      <c r="B120" s="20" cm="1">
        <f t="array" ref="B120">IF(
SUMPRODUCT(--(
TRIM(LEFT(Teeth!$A:$A,SEARCH("§",SUBSTITUTE(Teeth!$A:$A," ","§",2)&amp;"§")-1))=
TRIM(LEFT(A120,SEARCH("§",SUBSTITUTE(A120," ","§",2)&amp;"§")-1))
))&gt;0,
IF(
COUNT(_xlfn._xlws.FILTER(Teeth!$D:$D,
TRIM(LEFT(Teeth!$A:$A,SEARCH("§",SUBSTITUTE(Teeth!$A:$A," ","§",2)&amp;"§")-1))=
TRIM(LEFT(A120,SEARCH("§",SUBSTITUTE(A120," ","§",2)&amp;"§")-1))
))=0,
1,
MAX(_xlfn._xlws.FILTER(Teeth!$D:$D,
TRIM(LEFT(Teeth!$A:$A,SEARCH("§",SUBSTITUTE(Teeth!$A:$A," ","§",2)&amp;"§")-1))=
TRIM(LEFT(A120,SEARCH("§",SUBSTITUTE(A120," ","§",2)&amp;"§")-1))
))
),
IF(
SUMPRODUCT(--(
TRIM(LEFT(Teeth!$A:$A,SEARCH(" ",Teeth!$A:$A&amp;" ")-1))=
TRIM(LEFT(A120,SEARCH(" ",A120&amp;" ")-1))
))&gt;0,
IF(
COUNT(_xlfn._xlws.FILTER(Teeth!$D:$D,
TRIM(LEFT(Teeth!$A:$A,SEARCH(" ",Teeth!$A:$A&amp;" ")-1))=
TRIM(LEFT(A120,SEARCH(" ",A120&amp;" ")-1))
))=0,
1,
AVERAGE(_xlfn._xlws.FILTER(Teeth!$D:$D,
TRIM(LEFT(Teeth!$A:$A,SEARCH(" ",Teeth!$A:$A&amp;" ")-1))=
TRIM(LEFT(A120,SEARCH(" ",A120&amp;" ")-1))
))
),
1
)
)</f>
        <v>0.646574871368368</v>
      </c>
    </row>
    <row r="121" spans="1:2" x14ac:dyDescent="0.25">
      <c r="A121" s="2" t="str">
        <f>'[1]Base stats'!$B121</f>
        <v>Crocuta crocuta</v>
      </c>
      <c r="B121" s="20" cm="1">
        <f t="array" ref="B121">IF(
SUMPRODUCT(--(
TRIM(LEFT(Teeth!$A:$A,SEARCH("§",SUBSTITUTE(Teeth!$A:$A," ","§",2)&amp;"§")-1))=
TRIM(LEFT(A121,SEARCH("§",SUBSTITUTE(A121," ","§",2)&amp;"§")-1))
))&gt;0,
IF(
COUNT(_xlfn._xlws.FILTER(Teeth!$D:$D,
TRIM(LEFT(Teeth!$A:$A,SEARCH("§",SUBSTITUTE(Teeth!$A:$A," ","§",2)&amp;"§")-1))=
TRIM(LEFT(A121,SEARCH("§",SUBSTITUTE(A121," ","§",2)&amp;"§")-1))
))=0,
1,
MAX(_xlfn._xlws.FILTER(Teeth!$D:$D,
TRIM(LEFT(Teeth!$A:$A,SEARCH("§",SUBSTITUTE(Teeth!$A:$A," ","§",2)&amp;"§")-1))=
TRIM(LEFT(A121,SEARCH("§",SUBSTITUTE(A121," ","§",2)&amp;"§")-1))
))
),
IF(
SUMPRODUCT(--(
TRIM(LEFT(Teeth!$A:$A,SEARCH(" ",Teeth!$A:$A&amp;" ")-1))=
TRIM(LEFT(A121,SEARCH(" ",A121&amp;" ")-1))
))&gt;0,
IF(
COUNT(_xlfn._xlws.FILTER(Teeth!$D:$D,
TRIM(LEFT(Teeth!$A:$A,SEARCH(" ",Teeth!$A:$A&amp;" ")-1))=
TRIM(LEFT(A121,SEARCH(" ",A121&amp;" ")-1))
))=0,
1,
AVERAGE(_xlfn._xlws.FILTER(Teeth!$D:$D,
TRIM(LEFT(Teeth!$A:$A,SEARCH(" ",Teeth!$A:$A&amp;" ")-1))=
TRIM(LEFT(A121,SEARCH(" ",A121&amp;" ")-1))
))
),
1
)
)</f>
        <v>0.82546980223782873</v>
      </c>
    </row>
    <row r="122" spans="1:2" x14ac:dyDescent="0.25">
      <c r="A122" s="2" t="str">
        <f>'[1]Base stats'!$B122</f>
        <v>Centrochelys sulcata</v>
      </c>
      <c r="B122" s="20" cm="1">
        <f t="array" ref="B122">IF(
SUMPRODUCT(--(
TRIM(LEFT(Teeth!$A:$A,SEARCH("§",SUBSTITUTE(Teeth!$A:$A," ","§",2)&amp;"§")-1))=
TRIM(LEFT(A122,SEARCH("§",SUBSTITUTE(A122," ","§",2)&amp;"§")-1))
))&gt;0,
IF(
COUNT(_xlfn._xlws.FILTER(Teeth!$D:$D,
TRIM(LEFT(Teeth!$A:$A,SEARCH("§",SUBSTITUTE(Teeth!$A:$A," ","§",2)&amp;"§")-1))=
TRIM(LEFT(A122,SEARCH("§",SUBSTITUTE(A122," ","§",2)&amp;"§")-1))
))=0,
1,
MAX(_xlfn._xlws.FILTER(Teeth!$D:$D,
TRIM(LEFT(Teeth!$A:$A,SEARCH("§",SUBSTITUTE(Teeth!$A:$A," ","§",2)&amp;"§")-1))=
TRIM(LEFT(A122,SEARCH("§",SUBSTITUTE(A122," ","§",2)&amp;"§")-1))
))
),
IF(
SUMPRODUCT(--(
TRIM(LEFT(Teeth!$A:$A,SEARCH(" ",Teeth!$A:$A&amp;" ")-1))=
TRIM(LEFT(A122,SEARCH(" ",A122&amp;" ")-1))
))&gt;0,
IF(
COUNT(_xlfn._xlws.FILTER(Teeth!$D:$D,
TRIM(LEFT(Teeth!$A:$A,SEARCH(" ",Teeth!$A:$A&amp;" ")-1))=
TRIM(LEFT(A122,SEARCH(" ",A122&amp;" ")-1))
))=0,
1,
AVERAGE(_xlfn._xlws.FILTER(Teeth!$D:$D,
TRIM(LEFT(Teeth!$A:$A,SEARCH(" ",Teeth!$A:$A&amp;" ")-1))=
TRIM(LEFT(A122,SEARCH(" ",A122&amp;" ")-1))
))
),
1
)
)</f>
        <v>1</v>
      </c>
    </row>
    <row r="123" spans="1:2" x14ac:dyDescent="0.25">
      <c r="A123" s="2" t="str">
        <f>'[1]Base stats'!$B123</f>
        <v>Panthera leo</v>
      </c>
      <c r="B123" s="20" cm="1">
        <f t="array" ref="B123">IF(
SUMPRODUCT(--(
TRIM(LEFT(Teeth!$A:$A,SEARCH("§",SUBSTITUTE(Teeth!$A:$A," ","§",2)&amp;"§")-1))=
TRIM(LEFT(A123,SEARCH("§",SUBSTITUTE(A123," ","§",2)&amp;"§")-1))
))&gt;0,
IF(
COUNT(_xlfn._xlws.FILTER(Teeth!$D:$D,
TRIM(LEFT(Teeth!$A:$A,SEARCH("§",SUBSTITUTE(Teeth!$A:$A," ","§",2)&amp;"§")-1))=
TRIM(LEFT(A123,SEARCH("§",SUBSTITUTE(A123," ","§",2)&amp;"§")-1))
))=0,
1,
MAX(_xlfn._xlws.FILTER(Teeth!$D:$D,
TRIM(LEFT(Teeth!$A:$A,SEARCH("§",SUBSTITUTE(Teeth!$A:$A," ","§",2)&amp;"§")-1))=
TRIM(LEFT(A123,SEARCH("§",SUBSTITUTE(A123," ","§",2)&amp;"§")-1))
))
),
IF(
SUMPRODUCT(--(
TRIM(LEFT(Teeth!$A:$A,SEARCH(" ",Teeth!$A:$A&amp;" ")-1))=
TRIM(LEFT(A123,SEARCH(" ",A123&amp;" ")-1))
))&gt;0,
IF(
COUNT(_xlfn._xlws.FILTER(Teeth!$D:$D,
TRIM(LEFT(Teeth!$A:$A,SEARCH(" ",Teeth!$A:$A&amp;" ")-1))=
TRIM(LEFT(A123,SEARCH(" ",A123&amp;" ")-1))
))=0,
1,
AVERAGE(_xlfn._xlws.FILTER(Teeth!$D:$D,
TRIM(LEFT(Teeth!$A:$A,SEARCH(" ",Teeth!$A:$A&amp;" ")-1))=
TRIM(LEFT(A123,SEARCH(" ",A123&amp;" ")-1))
))
),
1
)
)</f>
        <v>1.1181010203336941</v>
      </c>
    </row>
    <row r="124" spans="1:2" x14ac:dyDescent="0.25">
      <c r="A124" s="2" t="str">
        <f>'[1]Base stats'!$B124</f>
        <v>Heloderma horridum</v>
      </c>
      <c r="B124" s="20" cm="1">
        <f t="array" ref="B124">IF(
SUMPRODUCT(--(
TRIM(LEFT(Teeth!$A:$A,SEARCH("§",SUBSTITUTE(Teeth!$A:$A," ","§",2)&amp;"§")-1))=
TRIM(LEFT(A124,SEARCH("§",SUBSTITUTE(A124," ","§",2)&amp;"§")-1))
))&gt;0,
IF(
COUNT(_xlfn._xlws.FILTER(Teeth!$D:$D,
TRIM(LEFT(Teeth!$A:$A,SEARCH("§",SUBSTITUTE(Teeth!$A:$A," ","§",2)&amp;"§")-1))=
TRIM(LEFT(A124,SEARCH("§",SUBSTITUTE(A124," ","§",2)&amp;"§")-1))
))=0,
1,
MAX(_xlfn._xlws.FILTER(Teeth!$D:$D,
TRIM(LEFT(Teeth!$A:$A,SEARCH("§",SUBSTITUTE(Teeth!$A:$A," ","§",2)&amp;"§")-1))=
TRIM(LEFT(A124,SEARCH("§",SUBSTITUTE(A124," ","§",2)&amp;"§")-1))
))
),
IF(
SUMPRODUCT(--(
TRIM(LEFT(Teeth!$A:$A,SEARCH(" ",Teeth!$A:$A&amp;" ")-1))=
TRIM(LEFT(A124,SEARCH(" ",A124&amp;" ")-1))
))&gt;0,
IF(
COUNT(_xlfn._xlws.FILTER(Teeth!$D:$D,
TRIM(LEFT(Teeth!$A:$A,SEARCH(" ",Teeth!$A:$A&amp;" ")-1))=
TRIM(LEFT(A124,SEARCH(" ",A124&amp;" ")-1))
))=0,
1,
AVERAGE(_xlfn._xlws.FILTER(Teeth!$D:$D,
TRIM(LEFT(Teeth!$A:$A,SEARCH(" ",Teeth!$A:$A&amp;" ")-1))=
TRIM(LEFT(A124,SEARCH(" ",A124&amp;" ")-1))
))
),
1
)
)</f>
        <v>1</v>
      </c>
    </row>
    <row r="125" spans="1:2" x14ac:dyDescent="0.25">
      <c r="A125" s="2" t="str">
        <f>'[1]Base stats'!$B125</f>
        <v>Camelus bactrianus</v>
      </c>
      <c r="B125" s="20" cm="1">
        <f t="array" ref="B125">IF(
SUMPRODUCT(--(
TRIM(LEFT(Teeth!$A:$A,SEARCH("§",SUBSTITUTE(Teeth!$A:$A," ","§",2)&amp;"§")-1))=
TRIM(LEFT(A125,SEARCH("§",SUBSTITUTE(A125," ","§",2)&amp;"§")-1))
))&gt;0,
IF(
COUNT(_xlfn._xlws.FILTER(Teeth!$D:$D,
TRIM(LEFT(Teeth!$A:$A,SEARCH("§",SUBSTITUTE(Teeth!$A:$A," ","§",2)&amp;"§")-1))=
TRIM(LEFT(A125,SEARCH("§",SUBSTITUTE(A125," ","§",2)&amp;"§")-1))
))=0,
1,
MAX(_xlfn._xlws.FILTER(Teeth!$D:$D,
TRIM(LEFT(Teeth!$A:$A,SEARCH("§",SUBSTITUTE(Teeth!$A:$A," ","§",2)&amp;"§")-1))=
TRIM(LEFT(A125,SEARCH("§",SUBSTITUTE(A125," ","§",2)&amp;"§")-1))
))
),
IF(
SUMPRODUCT(--(
TRIM(LEFT(Teeth!$A:$A,SEARCH(" ",Teeth!$A:$A&amp;" ")-1))=
TRIM(LEFT(A125,SEARCH(" ",A125&amp;" ")-1))
))&gt;0,
IF(
COUNT(_xlfn._xlws.FILTER(Teeth!$D:$D,
TRIM(LEFT(Teeth!$A:$A,SEARCH(" ",Teeth!$A:$A&amp;" ")-1))=
TRIM(LEFT(A125,SEARCH(" ",A125&amp;" ")-1))
))=0,
1,
AVERAGE(_xlfn._xlws.FILTER(Teeth!$D:$D,
TRIM(LEFT(Teeth!$A:$A,SEARCH(" ",Teeth!$A:$A&amp;" ")-1))=
TRIM(LEFT(A125,SEARCH(" ",A125&amp;" ")-1))
))
),
1
)
)</f>
        <v>1</v>
      </c>
    </row>
    <row r="126" spans="1:2" x14ac:dyDescent="0.25">
      <c r="A126" s="2" t="str">
        <f>'[1]Base stats'!$B126</f>
        <v>Crotalus adamanteus</v>
      </c>
      <c r="B126" s="20" cm="1">
        <f t="array" ref="B126">IF(
SUMPRODUCT(--(
TRIM(LEFT(Teeth!$A:$A,SEARCH("§",SUBSTITUTE(Teeth!$A:$A," ","§",2)&amp;"§")-1))=
TRIM(LEFT(A126,SEARCH("§",SUBSTITUTE(A126," ","§",2)&amp;"§")-1))
))&gt;0,
IF(
COUNT(_xlfn._xlws.FILTER(Teeth!$D:$D,
TRIM(LEFT(Teeth!$A:$A,SEARCH("§",SUBSTITUTE(Teeth!$A:$A," ","§",2)&amp;"§")-1))=
TRIM(LEFT(A126,SEARCH("§",SUBSTITUTE(A126," ","§",2)&amp;"§")-1))
))=0,
1,
MAX(_xlfn._xlws.FILTER(Teeth!$D:$D,
TRIM(LEFT(Teeth!$A:$A,SEARCH("§",SUBSTITUTE(Teeth!$A:$A," ","§",2)&amp;"§")-1))=
TRIM(LEFT(A126,SEARCH("§",SUBSTITUTE(A126," ","§",2)&amp;"§")-1))
))
),
IF(
SUMPRODUCT(--(
TRIM(LEFT(Teeth!$A:$A,SEARCH(" ",Teeth!$A:$A&amp;" ")-1))=
TRIM(LEFT(A126,SEARCH(" ",A126&amp;" ")-1))
))&gt;0,
IF(
COUNT(_xlfn._xlws.FILTER(Teeth!$D:$D,
TRIM(LEFT(Teeth!$A:$A,SEARCH(" ",Teeth!$A:$A&amp;" ")-1))=
TRIM(LEFT(A126,SEARCH(" ",A126&amp;" ")-1))
))=0,
1,
AVERAGE(_xlfn._xlws.FILTER(Teeth!$D:$D,
TRIM(LEFT(Teeth!$A:$A,SEARCH(" ",Teeth!$A:$A&amp;" ")-1))=
TRIM(LEFT(A126,SEARCH(" ",A126&amp;" ")-1))
))
),
1
)
)</f>
        <v>1</v>
      </c>
    </row>
    <row r="127" spans="1:2" x14ac:dyDescent="0.25">
      <c r="A127" s="2" t="str">
        <f>'[1]Base stats'!$B127</f>
        <v>Gigascorpio bellator</v>
      </c>
      <c r="B127" s="20" cm="1">
        <f t="array" ref="B127">IF(
SUMPRODUCT(--(
TRIM(LEFT(Teeth!$A:$A,SEARCH("§",SUBSTITUTE(Teeth!$A:$A," ","§",2)&amp;"§")-1))=
TRIM(LEFT(A127,SEARCH("§",SUBSTITUTE(A127," ","§",2)&amp;"§")-1))
))&gt;0,
IF(
COUNT(_xlfn._xlws.FILTER(Teeth!$D:$D,
TRIM(LEFT(Teeth!$A:$A,SEARCH("§",SUBSTITUTE(Teeth!$A:$A," ","§",2)&amp;"§")-1))=
TRIM(LEFT(A127,SEARCH("§",SUBSTITUTE(A127," ","§",2)&amp;"§")-1))
))=0,
1,
MAX(_xlfn._xlws.FILTER(Teeth!$D:$D,
TRIM(LEFT(Teeth!$A:$A,SEARCH("§",SUBSTITUTE(Teeth!$A:$A," ","§",2)&amp;"§")-1))=
TRIM(LEFT(A127,SEARCH("§",SUBSTITUTE(A127," ","§",2)&amp;"§")-1))
))
),
IF(
SUMPRODUCT(--(
TRIM(LEFT(Teeth!$A:$A,SEARCH(" ",Teeth!$A:$A&amp;" ")-1))=
TRIM(LEFT(A127,SEARCH(" ",A127&amp;" ")-1))
))&gt;0,
IF(
COUNT(_xlfn._xlws.FILTER(Teeth!$D:$D,
TRIM(LEFT(Teeth!$A:$A,SEARCH(" ",Teeth!$A:$A&amp;" ")-1))=
TRIM(LEFT(A127,SEARCH(" ",A127&amp;" ")-1))
))=0,
1,
AVERAGE(_xlfn._xlws.FILTER(Teeth!$D:$D,
TRIM(LEFT(Teeth!$A:$A,SEARCH(" ",Teeth!$A:$A&amp;" ")-1))=
TRIM(LEFT(A127,SEARCH(" ",A127&amp;" ")-1))
))
),
1
)
)</f>
        <v>1</v>
      </c>
    </row>
    <row r="128" spans="1:2" x14ac:dyDescent="0.25">
      <c r="A128" s="2" t="str">
        <f>'[1]Base stats'!$B128</f>
        <v>Ailurus fulgens</v>
      </c>
      <c r="B128" s="20" cm="1">
        <f t="array" ref="B128">IF(
SUMPRODUCT(--(
TRIM(LEFT(Teeth!$A:$A,SEARCH("§",SUBSTITUTE(Teeth!$A:$A," ","§",2)&amp;"§")-1))=
TRIM(LEFT(A128,SEARCH("§",SUBSTITUTE(A128," ","§",2)&amp;"§")-1))
))&gt;0,
IF(
COUNT(_xlfn._xlws.FILTER(Teeth!$D:$D,
TRIM(LEFT(Teeth!$A:$A,SEARCH("§",SUBSTITUTE(Teeth!$A:$A," ","§",2)&amp;"§")-1))=
TRIM(LEFT(A128,SEARCH("§",SUBSTITUTE(A128," ","§",2)&amp;"§")-1))
))=0,
1,
MAX(_xlfn._xlws.FILTER(Teeth!$D:$D,
TRIM(LEFT(Teeth!$A:$A,SEARCH("§",SUBSTITUTE(Teeth!$A:$A," ","§",2)&amp;"§")-1))=
TRIM(LEFT(A128,SEARCH("§",SUBSTITUTE(A128," ","§",2)&amp;"§")-1))
))
),
IF(
SUMPRODUCT(--(
TRIM(LEFT(Teeth!$A:$A,SEARCH(" ",Teeth!$A:$A&amp;" ")-1))=
TRIM(LEFT(A128,SEARCH(" ",A128&amp;" ")-1))
))&gt;0,
IF(
COUNT(_xlfn._xlws.FILTER(Teeth!$D:$D,
TRIM(LEFT(Teeth!$A:$A,SEARCH(" ",Teeth!$A:$A&amp;" ")-1))=
TRIM(LEFT(A128,SEARCH(" ",A128&amp;" ")-1))
))=0,
1,
AVERAGE(_xlfn._xlws.FILTER(Teeth!$D:$D,
TRIM(LEFT(Teeth!$A:$A,SEARCH(" ",Teeth!$A:$A&amp;" ")-1))=
TRIM(LEFT(A128,SEARCH(" ",A128&amp;" ")-1))
))
),
1
)
)</f>
        <v>0.81359246060103374</v>
      </c>
    </row>
    <row r="129" spans="1:2" x14ac:dyDescent="0.25">
      <c r="A129" s="2" t="str">
        <f>'[1]Base stats'!$B129</f>
        <v>Branta canadensis</v>
      </c>
      <c r="B129" s="20" cm="1">
        <f t="array" ref="B129">IF(
SUMPRODUCT(--(
TRIM(LEFT(Teeth!$A:$A,SEARCH("§",SUBSTITUTE(Teeth!$A:$A," ","§",2)&amp;"§")-1))=
TRIM(LEFT(A129,SEARCH("§",SUBSTITUTE(A129," ","§",2)&amp;"§")-1))
))&gt;0,
IF(
COUNT(_xlfn._xlws.FILTER(Teeth!$D:$D,
TRIM(LEFT(Teeth!$A:$A,SEARCH("§",SUBSTITUTE(Teeth!$A:$A," ","§",2)&amp;"§")-1))=
TRIM(LEFT(A129,SEARCH("§",SUBSTITUTE(A129," ","§",2)&amp;"§")-1))
))=0,
1,
MAX(_xlfn._xlws.FILTER(Teeth!$D:$D,
TRIM(LEFT(Teeth!$A:$A,SEARCH("§",SUBSTITUTE(Teeth!$A:$A," ","§",2)&amp;"§")-1))=
TRIM(LEFT(A129,SEARCH("§",SUBSTITUTE(A129," ","§",2)&amp;"§")-1))
))
),
IF(
SUMPRODUCT(--(
TRIM(LEFT(Teeth!$A:$A,SEARCH(" ",Teeth!$A:$A&amp;" ")-1))=
TRIM(LEFT(A129,SEARCH(" ",A129&amp;" ")-1))
))&gt;0,
IF(
COUNT(_xlfn._xlws.FILTER(Teeth!$D:$D,
TRIM(LEFT(Teeth!$A:$A,SEARCH(" ",Teeth!$A:$A&amp;" ")-1))=
TRIM(LEFT(A129,SEARCH(" ",A129&amp;" ")-1))
))=0,
1,
AVERAGE(_xlfn._xlws.FILTER(Teeth!$D:$D,
TRIM(LEFT(Teeth!$A:$A,SEARCH(" ",Teeth!$A:$A&amp;" ")-1))=
TRIM(LEFT(A129,SEARCH(" ",A129&amp;" ")-1))
))
),
1
)
)</f>
        <v>1</v>
      </c>
    </row>
    <row r="130" spans="1:2" x14ac:dyDescent="0.25">
      <c r="A130" s="2" t="str">
        <f>'[1]Base stats'!$B130</f>
        <v>Castor fiber</v>
      </c>
      <c r="B130" s="20" cm="1">
        <f t="array" ref="B130">IF(
SUMPRODUCT(--(
TRIM(LEFT(Teeth!$A:$A,SEARCH("§",SUBSTITUTE(Teeth!$A:$A," ","§",2)&amp;"§")-1))=
TRIM(LEFT(A130,SEARCH("§",SUBSTITUTE(A130," ","§",2)&amp;"§")-1))
))&gt;0,
IF(
COUNT(_xlfn._xlws.FILTER(Teeth!$D:$D,
TRIM(LEFT(Teeth!$A:$A,SEARCH("§",SUBSTITUTE(Teeth!$A:$A," ","§",2)&amp;"§")-1))=
TRIM(LEFT(A130,SEARCH("§",SUBSTITUTE(A130," ","§",2)&amp;"§")-1))
))=0,
1,
MAX(_xlfn._xlws.FILTER(Teeth!$D:$D,
TRIM(LEFT(Teeth!$A:$A,SEARCH("§",SUBSTITUTE(Teeth!$A:$A," ","§",2)&amp;"§")-1))=
TRIM(LEFT(A130,SEARCH("§",SUBSTITUTE(A130," ","§",2)&amp;"§")-1))
))
),
IF(
SUMPRODUCT(--(
TRIM(LEFT(Teeth!$A:$A,SEARCH(" ",Teeth!$A:$A&amp;" ")-1))=
TRIM(LEFT(A130,SEARCH(" ",A130&amp;" ")-1))
))&gt;0,
IF(
COUNT(_xlfn._xlws.FILTER(Teeth!$D:$D,
TRIM(LEFT(Teeth!$A:$A,SEARCH(" ",Teeth!$A:$A&amp;" ")-1))=
TRIM(LEFT(A130,SEARCH(" ",A130&amp;" ")-1))
))=0,
1,
AVERAGE(_xlfn._xlws.FILTER(Teeth!$D:$D,
TRIM(LEFT(Teeth!$A:$A,SEARCH(" ",Teeth!$A:$A&amp;" ")-1))=
TRIM(LEFT(A130,SEARCH(" ",A130&amp;" ")-1))
))
),
1
)
)</f>
        <v>1</v>
      </c>
    </row>
    <row r="131" spans="1:2" x14ac:dyDescent="0.25">
      <c r="A131" s="2" t="str">
        <f>'[1]Base stats'!$B131</f>
        <v>Erinaceus europaeus</v>
      </c>
      <c r="B131" s="20" cm="1">
        <f t="array" ref="B131">IF(
SUMPRODUCT(--(
TRIM(LEFT(Teeth!$A:$A,SEARCH("§",SUBSTITUTE(Teeth!$A:$A," ","§",2)&amp;"§")-1))=
TRIM(LEFT(A131,SEARCH("§",SUBSTITUTE(A131," ","§",2)&amp;"§")-1))
))&gt;0,
IF(
COUNT(_xlfn._xlws.FILTER(Teeth!$D:$D,
TRIM(LEFT(Teeth!$A:$A,SEARCH("§",SUBSTITUTE(Teeth!$A:$A," ","§",2)&amp;"§")-1))=
TRIM(LEFT(A131,SEARCH("§",SUBSTITUTE(A131," ","§",2)&amp;"§")-1))
))=0,
1,
MAX(_xlfn._xlws.FILTER(Teeth!$D:$D,
TRIM(LEFT(Teeth!$A:$A,SEARCH("§",SUBSTITUTE(Teeth!$A:$A," ","§",2)&amp;"§")-1))=
TRIM(LEFT(A131,SEARCH("§",SUBSTITUTE(A131," ","§",2)&amp;"§")-1))
))
),
IF(
SUMPRODUCT(--(
TRIM(LEFT(Teeth!$A:$A,SEARCH(" ",Teeth!$A:$A&amp;" ")-1))=
TRIM(LEFT(A131,SEARCH(" ",A131&amp;" ")-1))
))&gt;0,
IF(
COUNT(_xlfn._xlws.FILTER(Teeth!$D:$D,
TRIM(LEFT(Teeth!$A:$A,SEARCH(" ",Teeth!$A:$A&amp;" ")-1))=
TRIM(LEFT(A131,SEARCH(" ",A131&amp;" ")-1))
))=0,
1,
AVERAGE(_xlfn._xlws.FILTER(Teeth!$D:$D,
TRIM(LEFT(Teeth!$A:$A,SEARCH(" ",Teeth!$A:$A&amp;" ")-1))=
TRIM(LEFT(A131,SEARCH(" ",A131&amp;" ")-1))
))
),
1
)
)</f>
        <v>1</v>
      </c>
    </row>
    <row r="132" spans="1:2" x14ac:dyDescent="0.25">
      <c r="A132" s="2" t="str">
        <f>'[1]Base stats'!$B132</f>
        <v>Panthera onca</v>
      </c>
      <c r="B132" s="20" cm="1">
        <f t="array" ref="B132">IF(
SUMPRODUCT(--(
TRIM(LEFT(Teeth!$A:$A,SEARCH("§",SUBSTITUTE(Teeth!$A:$A," ","§",2)&amp;"§")-1))=
TRIM(LEFT(A132,SEARCH("§",SUBSTITUTE(A132," ","§",2)&amp;"§")-1))
))&gt;0,
IF(
COUNT(_xlfn._xlws.FILTER(Teeth!$D:$D,
TRIM(LEFT(Teeth!$A:$A,SEARCH("§",SUBSTITUTE(Teeth!$A:$A," ","§",2)&amp;"§")-1))=
TRIM(LEFT(A132,SEARCH("§",SUBSTITUTE(A132," ","§",2)&amp;"§")-1))
))=0,
1,
MAX(_xlfn._xlws.FILTER(Teeth!$D:$D,
TRIM(LEFT(Teeth!$A:$A,SEARCH("§",SUBSTITUTE(Teeth!$A:$A," ","§",2)&amp;"§")-1))=
TRIM(LEFT(A132,SEARCH("§",SUBSTITUTE(A132," ","§",2)&amp;"§")-1))
))
),
IF(
SUMPRODUCT(--(
TRIM(LEFT(Teeth!$A:$A,SEARCH(" ",Teeth!$A:$A&amp;" ")-1))=
TRIM(LEFT(A132,SEARCH(" ",A132&amp;" ")-1))
))&gt;0,
IF(
COUNT(_xlfn._xlws.FILTER(Teeth!$D:$D,
TRIM(LEFT(Teeth!$A:$A,SEARCH(" ",Teeth!$A:$A&amp;" ")-1))=
TRIM(LEFT(A132,SEARCH(" ",A132&amp;" ")-1))
))=0,
1,
AVERAGE(_xlfn._xlws.FILTER(Teeth!$D:$D,
TRIM(LEFT(Teeth!$A:$A,SEARCH(" ",Teeth!$A:$A&amp;" ")-1))=
TRIM(LEFT(A132,SEARCH(" ",A132&amp;" ")-1))
))
),
1
)
)</f>
        <v>1.1539667792284651</v>
      </c>
    </row>
    <row r="133" spans="1:2" x14ac:dyDescent="0.25">
      <c r="A133" s="2" t="str">
        <f>'[1]Base stats'!$B133</f>
        <v>Lemur catta</v>
      </c>
      <c r="B133" s="20" cm="1">
        <f t="array" ref="B133">IF(
SUMPRODUCT(--(
TRIM(LEFT(Teeth!$A:$A,SEARCH("§",SUBSTITUTE(Teeth!$A:$A," ","§",2)&amp;"§")-1))=
TRIM(LEFT(A133,SEARCH("§",SUBSTITUTE(A133," ","§",2)&amp;"§")-1))
))&gt;0,
IF(
COUNT(_xlfn._xlws.FILTER(Teeth!$D:$D,
TRIM(LEFT(Teeth!$A:$A,SEARCH("§",SUBSTITUTE(Teeth!$A:$A," ","§",2)&amp;"§")-1))=
TRIM(LEFT(A133,SEARCH("§",SUBSTITUTE(A133," ","§",2)&amp;"§")-1))
))=0,
1,
MAX(_xlfn._xlws.FILTER(Teeth!$D:$D,
TRIM(LEFT(Teeth!$A:$A,SEARCH("§",SUBSTITUTE(Teeth!$A:$A," ","§",2)&amp;"§")-1))=
TRIM(LEFT(A133,SEARCH("§",SUBSTITUTE(A133," ","§",2)&amp;"§")-1))
))
),
IF(
SUMPRODUCT(--(
TRIM(LEFT(Teeth!$A:$A,SEARCH(" ",Teeth!$A:$A&amp;" ")-1))=
TRIM(LEFT(A133,SEARCH(" ",A133&amp;" ")-1))
))&gt;0,
IF(
COUNT(_xlfn._xlws.FILTER(Teeth!$D:$D,
TRIM(LEFT(Teeth!$A:$A,SEARCH(" ",Teeth!$A:$A&amp;" ")-1))=
TRIM(LEFT(A133,SEARCH(" ",A133&amp;" ")-1))
))=0,
1,
AVERAGE(_xlfn._xlws.FILTER(Teeth!$D:$D,
TRIM(LEFT(Teeth!$A:$A,SEARCH(" ",Teeth!$A:$A&amp;" ")-1))=
TRIM(LEFT(A133,SEARCH(" ",A133&amp;" ")-1))
))
),
1
)
)</f>
        <v>0.95146295544256565</v>
      </c>
    </row>
    <row r="134" spans="1:2" x14ac:dyDescent="0.25">
      <c r="A134" s="2" t="str">
        <f>'[1]Base stats'!$B134</f>
        <v>Mandrillus sphinx</v>
      </c>
      <c r="B134" s="20" cm="1">
        <f t="array" ref="B134">IF(
SUMPRODUCT(--(
TRIM(LEFT(Teeth!$A:$A,SEARCH("§",SUBSTITUTE(Teeth!$A:$A," ","§",2)&amp;"§")-1))=
TRIM(LEFT(A134,SEARCH("§",SUBSTITUTE(A134," ","§",2)&amp;"§")-1))
))&gt;0,
IF(
COUNT(_xlfn._xlws.FILTER(Teeth!$D:$D,
TRIM(LEFT(Teeth!$A:$A,SEARCH("§",SUBSTITUTE(Teeth!$A:$A," ","§",2)&amp;"§")-1))=
TRIM(LEFT(A134,SEARCH("§",SUBSTITUTE(A134," ","§",2)&amp;"§")-1))
))=0,
1,
MAX(_xlfn._xlws.FILTER(Teeth!$D:$D,
TRIM(LEFT(Teeth!$A:$A,SEARCH("§",SUBSTITUTE(Teeth!$A:$A," ","§",2)&amp;"§")-1))=
TRIM(LEFT(A134,SEARCH("§",SUBSTITUTE(A134," ","§",2)&amp;"§")-1))
))
),
IF(
SUMPRODUCT(--(
TRIM(LEFT(Teeth!$A:$A,SEARCH(" ",Teeth!$A:$A&amp;" ")-1))=
TRIM(LEFT(A134,SEARCH(" ",A134&amp;" ")-1))
))&gt;0,
IF(
COUNT(_xlfn._xlws.FILTER(Teeth!$D:$D,
TRIM(LEFT(Teeth!$A:$A,SEARCH(" ",Teeth!$A:$A&amp;" ")-1))=
TRIM(LEFT(A134,SEARCH(" ",A134&amp;" ")-1))
))=0,
1,
AVERAGE(_xlfn._xlws.FILTER(Teeth!$D:$D,
TRIM(LEFT(Teeth!$A:$A,SEARCH(" ",Teeth!$A:$A&amp;" ")-1))=
TRIM(LEFT(A134,SEARCH(" ",A134&amp;" ")-1))
))
),
1
)
)</f>
        <v>2.0388052907867817</v>
      </c>
    </row>
    <row r="135" spans="1:2" x14ac:dyDescent="0.25">
      <c r="A135" s="2" t="str">
        <f>'[1]Base stats'!$B135</f>
        <v>Tapirus bairdii</v>
      </c>
      <c r="B135" s="20" cm="1">
        <f t="array" ref="B135">IF(
SUMPRODUCT(--(
TRIM(LEFT(Teeth!$A:$A,SEARCH("§",SUBSTITUTE(Teeth!$A:$A," ","§",2)&amp;"§")-1))=
TRIM(LEFT(A135,SEARCH("§",SUBSTITUTE(A135," ","§",2)&amp;"§")-1))
))&gt;0,
IF(
COUNT(_xlfn._xlws.FILTER(Teeth!$D:$D,
TRIM(LEFT(Teeth!$A:$A,SEARCH("§",SUBSTITUTE(Teeth!$A:$A," ","§",2)&amp;"§")-1))=
TRIM(LEFT(A135,SEARCH("§",SUBSTITUTE(A135," ","§",2)&amp;"§")-1))
))=0,
1,
MAX(_xlfn._xlws.FILTER(Teeth!$D:$D,
TRIM(LEFT(Teeth!$A:$A,SEARCH("§",SUBSTITUTE(Teeth!$A:$A," ","§",2)&amp;"§")-1))=
TRIM(LEFT(A135,SEARCH("§",SUBSTITUTE(A135," ","§",2)&amp;"§")-1))
))
),
IF(
SUMPRODUCT(--(
TRIM(LEFT(Teeth!$A:$A,SEARCH(" ",Teeth!$A:$A&amp;" ")-1))=
TRIM(LEFT(A135,SEARCH(" ",A135&amp;" ")-1))
))&gt;0,
IF(
COUNT(_xlfn._xlws.FILTER(Teeth!$D:$D,
TRIM(LEFT(Teeth!$A:$A,SEARCH(" ",Teeth!$A:$A&amp;" ")-1))=
TRIM(LEFT(A135,SEARCH(" ",A135&amp;" ")-1))
))=0,
1,
AVERAGE(_xlfn._xlws.FILTER(Teeth!$D:$D,
TRIM(LEFT(Teeth!$A:$A,SEARCH(" ",Teeth!$A:$A&amp;" ")-1))=
TRIM(LEFT(A135,SEARCH(" ",A135&amp;" ")-1))
))
),
1
)
)</f>
        <v>1</v>
      </c>
    </row>
    <row r="136" spans="1:2" x14ac:dyDescent="0.25">
      <c r="A136" s="2" t="str">
        <f>'[1]Base stats'!$B136</f>
        <v>Eunectes murinus</v>
      </c>
      <c r="B136" s="20" cm="1">
        <f t="array" ref="B136">IF(
SUMPRODUCT(--(
TRIM(LEFT(Teeth!$A:$A,SEARCH("§",SUBSTITUTE(Teeth!$A:$A," ","§",2)&amp;"§")-1))=
TRIM(LEFT(A136,SEARCH("§",SUBSTITUTE(A136," ","§",2)&amp;"§")-1))
))&gt;0,
IF(
COUNT(_xlfn._xlws.FILTER(Teeth!$D:$D,
TRIM(LEFT(Teeth!$A:$A,SEARCH("§",SUBSTITUTE(Teeth!$A:$A," ","§",2)&amp;"§")-1))=
TRIM(LEFT(A136,SEARCH("§",SUBSTITUTE(A136," ","§",2)&amp;"§")-1))
))=0,
1,
MAX(_xlfn._xlws.FILTER(Teeth!$D:$D,
TRIM(LEFT(Teeth!$A:$A,SEARCH("§",SUBSTITUTE(Teeth!$A:$A," ","§",2)&amp;"§")-1))=
TRIM(LEFT(A136,SEARCH("§",SUBSTITUTE(A136," ","§",2)&amp;"§")-1))
))
),
IF(
SUMPRODUCT(--(
TRIM(LEFT(Teeth!$A:$A,SEARCH(" ",Teeth!$A:$A&amp;" ")-1))=
TRIM(LEFT(A136,SEARCH(" ",A136&amp;" ")-1))
))&gt;0,
IF(
COUNT(_xlfn._xlws.FILTER(Teeth!$D:$D,
TRIM(LEFT(Teeth!$A:$A,SEARCH(" ",Teeth!$A:$A&amp;" ")-1))=
TRIM(LEFT(A136,SEARCH(" ",A136&amp;" ")-1))
))=0,
1,
AVERAGE(_xlfn._xlws.FILTER(Teeth!$D:$D,
TRIM(LEFT(Teeth!$A:$A,SEARCH(" ",Teeth!$A:$A&amp;" ")-1))=
TRIM(LEFT(A136,SEARCH(" ",A136&amp;" ")-1))
))
),
1
)
)</f>
        <v>1</v>
      </c>
    </row>
    <row r="137" spans="1:2" x14ac:dyDescent="0.25">
      <c r="A137" s="2" t="str">
        <f>'[1]Base stats'!$B137</f>
        <v>Elephas maximus</v>
      </c>
      <c r="B137" s="20" cm="1">
        <f t="array" ref="B137">IF(
SUMPRODUCT(--(
TRIM(LEFT(Teeth!$A:$A,SEARCH("§",SUBSTITUTE(Teeth!$A:$A," ","§",2)&amp;"§")-1))=
TRIM(LEFT(A137,SEARCH("§",SUBSTITUTE(A137," ","§",2)&amp;"§")-1))
))&gt;0,
IF(
COUNT(_xlfn._xlws.FILTER(Teeth!$D:$D,
TRIM(LEFT(Teeth!$A:$A,SEARCH("§",SUBSTITUTE(Teeth!$A:$A," ","§",2)&amp;"§")-1))=
TRIM(LEFT(A137,SEARCH("§",SUBSTITUTE(A137," ","§",2)&amp;"§")-1))
))=0,
1,
MAX(_xlfn._xlws.FILTER(Teeth!$D:$D,
TRIM(LEFT(Teeth!$A:$A,SEARCH("§",SUBSTITUTE(Teeth!$A:$A," ","§",2)&amp;"§")-1))=
TRIM(LEFT(A137,SEARCH("§",SUBSTITUTE(A137," ","§",2)&amp;"§")-1))
))
),
IF(
SUMPRODUCT(--(
TRIM(LEFT(Teeth!$A:$A,SEARCH(" ",Teeth!$A:$A&amp;" ")-1))=
TRIM(LEFT(A137,SEARCH(" ",A137&amp;" ")-1))
))&gt;0,
IF(
COUNT(_xlfn._xlws.FILTER(Teeth!$D:$D,
TRIM(LEFT(Teeth!$A:$A,SEARCH(" ",Teeth!$A:$A&amp;" ")-1))=
TRIM(LEFT(A137,SEARCH(" ",A137&amp;" ")-1))
))=0,
1,
AVERAGE(_xlfn._xlws.FILTER(Teeth!$D:$D,
TRIM(LEFT(Teeth!$A:$A,SEARCH(" ",Teeth!$A:$A&amp;" ")-1))=
TRIM(LEFT(A137,SEARCH(" ",A137&amp;" ")-1))
))
),
1
)
)</f>
        <v>1</v>
      </c>
    </row>
    <row r="138" spans="1:2" x14ac:dyDescent="0.25">
      <c r="A138" s="2" t="str">
        <f>'[1]Base stats'!$B138</f>
        <v>Gulo ferox</v>
      </c>
      <c r="B138" s="20" cm="1">
        <f t="array" ref="B138">IF(
SUMPRODUCT(--(
TRIM(LEFT(Teeth!$A:$A,SEARCH("§",SUBSTITUTE(Teeth!$A:$A," ","§",2)&amp;"§")-1))=
TRIM(LEFT(A138,SEARCH("§",SUBSTITUTE(A138," ","§",2)&amp;"§")-1))
))&gt;0,
IF(
COUNT(_xlfn._xlws.FILTER(Teeth!$D:$D,
TRIM(LEFT(Teeth!$A:$A,SEARCH("§",SUBSTITUTE(Teeth!$A:$A," ","§",2)&amp;"§")-1))=
TRIM(LEFT(A138,SEARCH("§",SUBSTITUTE(A138," ","§",2)&amp;"§")-1))
))=0,
1,
MAX(_xlfn._xlws.FILTER(Teeth!$D:$D,
TRIM(LEFT(Teeth!$A:$A,SEARCH("§",SUBSTITUTE(Teeth!$A:$A," ","§",2)&amp;"§")-1))=
TRIM(LEFT(A138,SEARCH("§",SUBSTITUTE(A138," ","§",2)&amp;"§")-1))
))
),
IF(
SUMPRODUCT(--(
TRIM(LEFT(Teeth!$A:$A,SEARCH(" ",Teeth!$A:$A&amp;" ")-1))=
TRIM(LEFT(A138,SEARCH(" ",A138&amp;" ")-1))
))&gt;0,
IF(
COUNT(_xlfn._xlws.FILTER(Teeth!$D:$D,
TRIM(LEFT(Teeth!$A:$A,SEARCH(" ",Teeth!$A:$A&amp;" ")-1))=
TRIM(LEFT(A138,SEARCH(" ",A138&amp;" ")-1))
))=0,
1,
AVERAGE(_xlfn._xlws.FILTER(Teeth!$D:$D,
TRIM(LEFT(Teeth!$A:$A,SEARCH(" ",Teeth!$A:$A&amp;" ")-1))=
TRIM(LEFT(A138,SEARCH(" ",A138&amp;" ")-1))
))
),
1
)
)</f>
        <v>1.1999813567066198</v>
      </c>
    </row>
    <row r="139" spans="1:2" x14ac:dyDescent="0.25">
      <c r="A139" s="2" t="str">
        <f>'[1]Base stats'!$B139</f>
        <v>Canis familiaris (Beagle)</v>
      </c>
      <c r="B139" s="20" cm="1">
        <f t="array" ref="B139">IF(
SUMPRODUCT(--(
TRIM(LEFT(Teeth!$A:$A,SEARCH("§",SUBSTITUTE(Teeth!$A:$A," ","§",2)&amp;"§")-1))=
TRIM(LEFT(A139,SEARCH("§",SUBSTITUTE(A139," ","§",2)&amp;"§")-1))
))&gt;0,
IF(
COUNT(_xlfn._xlws.FILTER(Teeth!$D:$D,
TRIM(LEFT(Teeth!$A:$A,SEARCH("§",SUBSTITUTE(Teeth!$A:$A," ","§",2)&amp;"§")-1))=
TRIM(LEFT(A139,SEARCH("§",SUBSTITUTE(A139," ","§",2)&amp;"§")-1))
))=0,
1,
MAX(_xlfn._xlws.FILTER(Teeth!$D:$D,
TRIM(LEFT(Teeth!$A:$A,SEARCH("§",SUBSTITUTE(Teeth!$A:$A," ","§",2)&amp;"§")-1))=
TRIM(LEFT(A139,SEARCH("§",SUBSTITUTE(A139," ","§",2)&amp;"§")-1))
))
),
IF(
SUMPRODUCT(--(
TRIM(LEFT(Teeth!$A:$A,SEARCH(" ",Teeth!$A:$A&amp;" ")-1))=
TRIM(LEFT(A139,SEARCH(" ",A139&amp;" ")-1))
))&gt;0,
IF(
COUNT(_xlfn._xlws.FILTER(Teeth!$D:$D,
TRIM(LEFT(Teeth!$A:$A,SEARCH(" ",Teeth!$A:$A&amp;" ")-1))=
TRIM(LEFT(A139,SEARCH(" ",A139&amp;" ")-1))
))=0,
1,
AVERAGE(_xlfn._xlws.FILTER(Teeth!$D:$D,
TRIM(LEFT(Teeth!$A:$A,SEARCH(" ",Teeth!$A:$A&amp;" ")-1))=
TRIM(LEFT(A139,SEARCH(" ",A139&amp;" ")-1))
))
),
1
)
)</f>
        <v>0.95359131166584876</v>
      </c>
    </row>
    <row r="140" spans="1:2" x14ac:dyDescent="0.25">
      <c r="A140" s="2" t="str">
        <f>'[1]Base stats'!$B140</f>
        <v>Canis familiaris (Chihuahua)</v>
      </c>
      <c r="B140" s="20" cm="1">
        <f t="array" ref="B140">IF(
SUMPRODUCT(--(
TRIM(LEFT(Teeth!$A:$A,SEARCH("§",SUBSTITUTE(Teeth!$A:$A," ","§",2)&amp;"§")-1))=
TRIM(LEFT(A140,SEARCH("§",SUBSTITUTE(A140," ","§",2)&amp;"§")-1))
))&gt;0,
IF(
COUNT(_xlfn._xlws.FILTER(Teeth!$D:$D,
TRIM(LEFT(Teeth!$A:$A,SEARCH("§",SUBSTITUTE(Teeth!$A:$A," ","§",2)&amp;"§")-1))=
TRIM(LEFT(A140,SEARCH("§",SUBSTITUTE(A140," ","§",2)&amp;"§")-1))
))=0,
1,
MAX(_xlfn._xlws.FILTER(Teeth!$D:$D,
TRIM(LEFT(Teeth!$A:$A,SEARCH("§",SUBSTITUTE(Teeth!$A:$A," ","§",2)&amp;"§")-1))=
TRIM(LEFT(A140,SEARCH("§",SUBSTITUTE(A140," ","§",2)&amp;"§")-1))
))
),
IF(
SUMPRODUCT(--(
TRIM(LEFT(Teeth!$A:$A,SEARCH(" ",Teeth!$A:$A&amp;" ")-1))=
TRIM(LEFT(A140,SEARCH(" ",A140&amp;" ")-1))
))&gt;0,
IF(
COUNT(_xlfn._xlws.FILTER(Teeth!$D:$D,
TRIM(LEFT(Teeth!$A:$A,SEARCH(" ",Teeth!$A:$A&amp;" ")-1))=
TRIM(LEFT(A140,SEARCH(" ",A140&amp;" ")-1))
))=0,
1,
AVERAGE(_xlfn._xlws.FILTER(Teeth!$D:$D,
TRIM(LEFT(Teeth!$A:$A,SEARCH(" ",Teeth!$A:$A&amp;" ")-1))=
TRIM(LEFT(A140,SEARCH(" ",A140&amp;" ")-1))
))
),
1
)
)</f>
        <v>0.95359131166584876</v>
      </c>
    </row>
    <row r="141" spans="1:2" x14ac:dyDescent="0.25">
      <c r="A141" s="2" t="str">
        <f>'[1]Base stats'!$B141</f>
        <v>Canis familiaris (Corgi)</v>
      </c>
      <c r="B141" s="20" cm="1">
        <f t="array" ref="B141">IF(
SUMPRODUCT(--(
TRIM(LEFT(Teeth!$A:$A,SEARCH("§",SUBSTITUTE(Teeth!$A:$A," ","§",2)&amp;"§")-1))=
TRIM(LEFT(A141,SEARCH("§",SUBSTITUTE(A141," ","§",2)&amp;"§")-1))
))&gt;0,
IF(
COUNT(_xlfn._xlws.FILTER(Teeth!$D:$D,
TRIM(LEFT(Teeth!$A:$A,SEARCH("§",SUBSTITUTE(Teeth!$A:$A," ","§",2)&amp;"§")-1))=
TRIM(LEFT(A141,SEARCH("§",SUBSTITUTE(A141," ","§",2)&amp;"§")-1))
))=0,
1,
MAX(_xlfn._xlws.FILTER(Teeth!$D:$D,
TRIM(LEFT(Teeth!$A:$A,SEARCH("§",SUBSTITUTE(Teeth!$A:$A," ","§",2)&amp;"§")-1))=
TRIM(LEFT(A141,SEARCH("§",SUBSTITUTE(A141," ","§",2)&amp;"§")-1))
))
),
IF(
SUMPRODUCT(--(
TRIM(LEFT(Teeth!$A:$A,SEARCH(" ",Teeth!$A:$A&amp;" ")-1))=
TRIM(LEFT(A141,SEARCH(" ",A141&amp;" ")-1))
))&gt;0,
IF(
COUNT(_xlfn._xlws.FILTER(Teeth!$D:$D,
TRIM(LEFT(Teeth!$A:$A,SEARCH(" ",Teeth!$A:$A&amp;" ")-1))=
TRIM(LEFT(A141,SEARCH(" ",A141&amp;" ")-1))
))=0,
1,
AVERAGE(_xlfn._xlws.FILTER(Teeth!$D:$D,
TRIM(LEFT(Teeth!$A:$A,SEARCH(" ",Teeth!$A:$A&amp;" ")-1))=
TRIM(LEFT(A141,SEARCH(" ",A141&amp;" ")-1))
))
),
1
)
)</f>
        <v>0.95359131166584876</v>
      </c>
    </row>
    <row r="142" spans="1:2" x14ac:dyDescent="0.25">
      <c r="A142" s="2" t="str">
        <f>'[1]Base stats'!$B142</f>
        <v>Canis familiaris (French bulldog)</v>
      </c>
      <c r="B142" s="20" cm="1">
        <f t="array" ref="B142">IF(
SUMPRODUCT(--(
TRIM(LEFT(Teeth!$A:$A,SEARCH("§",SUBSTITUTE(Teeth!$A:$A," ","§",2)&amp;"§")-1))=
TRIM(LEFT(A142,SEARCH("§",SUBSTITUTE(A142," ","§",2)&amp;"§")-1))
))&gt;0,
IF(
COUNT(_xlfn._xlws.FILTER(Teeth!$D:$D,
TRIM(LEFT(Teeth!$A:$A,SEARCH("§",SUBSTITUTE(Teeth!$A:$A," ","§",2)&amp;"§")-1))=
TRIM(LEFT(A142,SEARCH("§",SUBSTITUTE(A142," ","§",2)&amp;"§")-1))
))=0,
1,
MAX(_xlfn._xlws.FILTER(Teeth!$D:$D,
TRIM(LEFT(Teeth!$A:$A,SEARCH("§",SUBSTITUTE(Teeth!$A:$A," ","§",2)&amp;"§")-1))=
TRIM(LEFT(A142,SEARCH("§",SUBSTITUTE(A142," ","§",2)&amp;"§")-1))
))
),
IF(
SUMPRODUCT(--(
TRIM(LEFT(Teeth!$A:$A,SEARCH(" ",Teeth!$A:$A&amp;" ")-1))=
TRIM(LEFT(A142,SEARCH(" ",A142&amp;" ")-1))
))&gt;0,
IF(
COUNT(_xlfn._xlws.FILTER(Teeth!$D:$D,
TRIM(LEFT(Teeth!$A:$A,SEARCH(" ",Teeth!$A:$A&amp;" ")-1))=
TRIM(LEFT(A142,SEARCH(" ",A142&amp;" ")-1))
))=0,
1,
AVERAGE(_xlfn._xlws.FILTER(Teeth!$D:$D,
TRIM(LEFT(Teeth!$A:$A,SEARCH(" ",Teeth!$A:$A&amp;" ")-1))=
TRIM(LEFT(A142,SEARCH(" ",A142&amp;" ")-1))
))
),
1
)
)</f>
        <v>0.95359131166584876</v>
      </c>
    </row>
    <row r="143" spans="1:2" x14ac:dyDescent="0.25">
      <c r="A143" s="2" t="str">
        <f>'[1]Base stats'!$B143</f>
        <v>Canis familiaris (German shepherd)</v>
      </c>
      <c r="B143" s="20" cm="1">
        <f t="array" ref="B143">IF(
SUMPRODUCT(--(
TRIM(LEFT(Teeth!$A:$A,SEARCH("§",SUBSTITUTE(Teeth!$A:$A," ","§",2)&amp;"§")-1))=
TRIM(LEFT(A143,SEARCH("§",SUBSTITUTE(A143," ","§",2)&amp;"§")-1))
))&gt;0,
IF(
COUNT(_xlfn._xlws.FILTER(Teeth!$D:$D,
TRIM(LEFT(Teeth!$A:$A,SEARCH("§",SUBSTITUTE(Teeth!$A:$A," ","§",2)&amp;"§")-1))=
TRIM(LEFT(A143,SEARCH("§",SUBSTITUTE(A143," ","§",2)&amp;"§")-1))
))=0,
1,
MAX(_xlfn._xlws.FILTER(Teeth!$D:$D,
TRIM(LEFT(Teeth!$A:$A,SEARCH("§",SUBSTITUTE(Teeth!$A:$A," ","§",2)&amp;"§")-1))=
TRIM(LEFT(A143,SEARCH("§",SUBSTITUTE(A143," ","§",2)&amp;"§")-1))
))
),
IF(
SUMPRODUCT(--(
TRIM(LEFT(Teeth!$A:$A,SEARCH(" ",Teeth!$A:$A&amp;" ")-1))=
TRIM(LEFT(A143,SEARCH(" ",A143&amp;" ")-1))
))&gt;0,
IF(
COUNT(_xlfn._xlws.FILTER(Teeth!$D:$D,
TRIM(LEFT(Teeth!$A:$A,SEARCH(" ",Teeth!$A:$A&amp;" ")-1))=
TRIM(LEFT(A143,SEARCH(" ",A143&amp;" ")-1))
))=0,
1,
AVERAGE(_xlfn._xlws.FILTER(Teeth!$D:$D,
TRIM(LEFT(Teeth!$A:$A,SEARCH(" ",Teeth!$A:$A&amp;" ")-1))=
TRIM(LEFT(A143,SEARCH(" ",A143&amp;" ")-1))
))
),
1
)
)</f>
        <v>0.95359131166584876</v>
      </c>
    </row>
    <row r="144" spans="1:2" x14ac:dyDescent="0.25">
      <c r="A144" s="2" t="str">
        <f>'[1]Base stats'!$B144</f>
        <v>Canis familiaris (Great dane)</v>
      </c>
      <c r="B144" s="20" cm="1">
        <f t="array" ref="B144">IF(
SUMPRODUCT(--(
TRIM(LEFT(Teeth!$A:$A,SEARCH("§",SUBSTITUTE(Teeth!$A:$A," ","§",2)&amp;"§")-1))=
TRIM(LEFT(A144,SEARCH("§",SUBSTITUTE(A144," ","§",2)&amp;"§")-1))
))&gt;0,
IF(
COUNT(_xlfn._xlws.FILTER(Teeth!$D:$D,
TRIM(LEFT(Teeth!$A:$A,SEARCH("§",SUBSTITUTE(Teeth!$A:$A," ","§",2)&amp;"§")-1))=
TRIM(LEFT(A144,SEARCH("§",SUBSTITUTE(A144," ","§",2)&amp;"§")-1))
))=0,
1,
MAX(_xlfn._xlws.FILTER(Teeth!$D:$D,
TRIM(LEFT(Teeth!$A:$A,SEARCH("§",SUBSTITUTE(Teeth!$A:$A," ","§",2)&amp;"§")-1))=
TRIM(LEFT(A144,SEARCH("§",SUBSTITUTE(A144," ","§",2)&amp;"§")-1))
))
),
IF(
SUMPRODUCT(--(
TRIM(LEFT(Teeth!$A:$A,SEARCH(" ",Teeth!$A:$A&amp;" ")-1))=
TRIM(LEFT(A144,SEARCH(" ",A144&amp;" ")-1))
))&gt;0,
IF(
COUNT(_xlfn._xlws.FILTER(Teeth!$D:$D,
TRIM(LEFT(Teeth!$A:$A,SEARCH(" ",Teeth!$A:$A&amp;" ")-1))=
TRIM(LEFT(A144,SEARCH(" ",A144&amp;" ")-1))
))=0,
1,
AVERAGE(_xlfn._xlws.FILTER(Teeth!$D:$D,
TRIM(LEFT(Teeth!$A:$A,SEARCH(" ",Teeth!$A:$A&amp;" ")-1))=
TRIM(LEFT(A144,SEARCH(" ",A144&amp;" ")-1))
))
),
1
)
)</f>
        <v>0.95359131166584876</v>
      </c>
    </row>
    <row r="145" spans="1:2" x14ac:dyDescent="0.25">
      <c r="A145" s="2" t="str">
        <f>'[1]Base stats'!$B145</f>
        <v>Canis familiaris (Poodle)</v>
      </c>
      <c r="B145" s="20" cm="1">
        <f t="array" ref="B145">IF(
SUMPRODUCT(--(
TRIM(LEFT(Teeth!$A:$A,SEARCH("§",SUBSTITUTE(Teeth!$A:$A," ","§",2)&amp;"§")-1))=
TRIM(LEFT(A145,SEARCH("§",SUBSTITUTE(A145," ","§",2)&amp;"§")-1))
))&gt;0,
IF(
COUNT(_xlfn._xlws.FILTER(Teeth!$D:$D,
TRIM(LEFT(Teeth!$A:$A,SEARCH("§",SUBSTITUTE(Teeth!$A:$A," ","§",2)&amp;"§")-1))=
TRIM(LEFT(A145,SEARCH("§",SUBSTITUTE(A145," ","§",2)&amp;"§")-1))
))=0,
1,
MAX(_xlfn._xlws.FILTER(Teeth!$D:$D,
TRIM(LEFT(Teeth!$A:$A,SEARCH("§",SUBSTITUTE(Teeth!$A:$A," ","§",2)&amp;"§")-1))=
TRIM(LEFT(A145,SEARCH("§",SUBSTITUTE(A145," ","§",2)&amp;"§")-1))
))
),
IF(
SUMPRODUCT(--(
TRIM(LEFT(Teeth!$A:$A,SEARCH(" ",Teeth!$A:$A&amp;" ")-1))=
TRIM(LEFT(A145,SEARCH(" ",A145&amp;" ")-1))
))&gt;0,
IF(
COUNT(_xlfn._xlws.FILTER(Teeth!$D:$D,
TRIM(LEFT(Teeth!$A:$A,SEARCH(" ",Teeth!$A:$A&amp;" ")-1))=
TRIM(LEFT(A145,SEARCH(" ",A145&amp;" ")-1))
))=0,
1,
AVERAGE(_xlfn._xlws.FILTER(Teeth!$D:$D,
TRIM(LEFT(Teeth!$A:$A,SEARCH(" ",Teeth!$A:$A&amp;" ")-1))=
TRIM(LEFT(A145,SEARCH(" ",A145&amp;" ")-1))
))
),
1
)
)</f>
        <v>0.95359131166584876</v>
      </c>
    </row>
    <row r="146" spans="1:2" x14ac:dyDescent="0.25">
      <c r="A146" s="2" t="str">
        <f>'[1]Base stats'!$B146</f>
        <v>Canis familiaris (Pug)</v>
      </c>
      <c r="B146" s="20" cm="1">
        <f t="array" ref="B146">IF(
SUMPRODUCT(--(
TRIM(LEFT(Teeth!$A:$A,SEARCH("§",SUBSTITUTE(Teeth!$A:$A," ","§",2)&amp;"§")-1))=
TRIM(LEFT(A146,SEARCH("§",SUBSTITUTE(A146," ","§",2)&amp;"§")-1))
))&gt;0,
IF(
COUNT(_xlfn._xlws.FILTER(Teeth!$D:$D,
TRIM(LEFT(Teeth!$A:$A,SEARCH("§",SUBSTITUTE(Teeth!$A:$A," ","§",2)&amp;"§")-1))=
TRIM(LEFT(A146,SEARCH("§",SUBSTITUTE(A146," ","§",2)&amp;"§")-1))
))=0,
1,
MAX(_xlfn._xlws.FILTER(Teeth!$D:$D,
TRIM(LEFT(Teeth!$A:$A,SEARCH("§",SUBSTITUTE(Teeth!$A:$A," ","§",2)&amp;"§")-1))=
TRIM(LEFT(A146,SEARCH("§",SUBSTITUTE(A146," ","§",2)&amp;"§")-1))
))
),
IF(
SUMPRODUCT(--(
TRIM(LEFT(Teeth!$A:$A,SEARCH(" ",Teeth!$A:$A&amp;" ")-1))=
TRIM(LEFT(A146,SEARCH(" ",A146&amp;" ")-1))
))&gt;0,
IF(
COUNT(_xlfn._xlws.FILTER(Teeth!$D:$D,
TRIM(LEFT(Teeth!$A:$A,SEARCH(" ",Teeth!$A:$A&amp;" ")-1))=
TRIM(LEFT(A146,SEARCH(" ",A146&amp;" ")-1))
))=0,
1,
AVERAGE(_xlfn._xlws.FILTER(Teeth!$D:$D,
TRIM(LEFT(Teeth!$A:$A,SEARCH(" ",Teeth!$A:$A&amp;" ")-1))=
TRIM(LEFT(A146,SEARCH(" ",A146&amp;" ")-1))
))
),
1
)
)</f>
        <v>0.95359131166584876</v>
      </c>
    </row>
    <row r="147" spans="1:2" x14ac:dyDescent="0.25">
      <c r="A147" s="2" t="str">
        <f>'[1]Base stats'!$B147</f>
        <v>Canis familiaris (Rottweiler)</v>
      </c>
      <c r="B147" s="20" cm="1">
        <f t="array" ref="B147">IF(
SUMPRODUCT(--(
TRIM(LEFT(Teeth!$A:$A,SEARCH("§",SUBSTITUTE(Teeth!$A:$A," ","§",2)&amp;"§")-1))=
TRIM(LEFT(A147,SEARCH("§",SUBSTITUTE(A147," ","§",2)&amp;"§")-1))
))&gt;0,
IF(
COUNT(_xlfn._xlws.FILTER(Teeth!$D:$D,
TRIM(LEFT(Teeth!$A:$A,SEARCH("§",SUBSTITUTE(Teeth!$A:$A," ","§",2)&amp;"§")-1))=
TRIM(LEFT(A147,SEARCH("§",SUBSTITUTE(A147," ","§",2)&amp;"§")-1))
))=0,
1,
MAX(_xlfn._xlws.FILTER(Teeth!$D:$D,
TRIM(LEFT(Teeth!$A:$A,SEARCH("§",SUBSTITUTE(Teeth!$A:$A," ","§",2)&amp;"§")-1))=
TRIM(LEFT(A147,SEARCH("§",SUBSTITUTE(A147," ","§",2)&amp;"§")-1))
))
),
IF(
SUMPRODUCT(--(
TRIM(LEFT(Teeth!$A:$A,SEARCH(" ",Teeth!$A:$A&amp;" ")-1))=
TRIM(LEFT(A147,SEARCH(" ",A147&amp;" ")-1))
))&gt;0,
IF(
COUNT(_xlfn._xlws.FILTER(Teeth!$D:$D,
TRIM(LEFT(Teeth!$A:$A,SEARCH(" ",Teeth!$A:$A&amp;" ")-1))=
TRIM(LEFT(A147,SEARCH(" ",A147&amp;" ")-1))
))=0,
1,
AVERAGE(_xlfn._xlws.FILTER(Teeth!$D:$D,
TRIM(LEFT(Teeth!$A:$A,SEARCH(" ",Teeth!$A:$A&amp;" ")-1))=
TRIM(LEFT(A147,SEARCH(" ",A147&amp;" ")-1))
))
),
1
)
)</f>
        <v>0.95359131166584876</v>
      </c>
    </row>
    <row r="148" spans="1:2" x14ac:dyDescent="0.25">
      <c r="A148" s="2" t="str">
        <f>'[1]Base stats'!$B148</f>
        <v>Canis familiaris (Shih-Tzu)</v>
      </c>
      <c r="B148" s="20" cm="1">
        <f t="array" ref="B148">IF(
SUMPRODUCT(--(
TRIM(LEFT(Teeth!$A:$A,SEARCH("§",SUBSTITUTE(Teeth!$A:$A," ","§",2)&amp;"§")-1))=
TRIM(LEFT(A148,SEARCH("§",SUBSTITUTE(A148," ","§",2)&amp;"§")-1))
))&gt;0,
IF(
COUNT(_xlfn._xlws.FILTER(Teeth!$D:$D,
TRIM(LEFT(Teeth!$A:$A,SEARCH("§",SUBSTITUTE(Teeth!$A:$A," ","§",2)&amp;"§")-1))=
TRIM(LEFT(A148,SEARCH("§",SUBSTITUTE(A148," ","§",2)&amp;"§")-1))
))=0,
1,
MAX(_xlfn._xlws.FILTER(Teeth!$D:$D,
TRIM(LEFT(Teeth!$A:$A,SEARCH("§",SUBSTITUTE(Teeth!$A:$A," ","§",2)&amp;"§")-1))=
TRIM(LEFT(A148,SEARCH("§",SUBSTITUTE(A148," ","§",2)&amp;"§")-1))
))
),
IF(
SUMPRODUCT(--(
TRIM(LEFT(Teeth!$A:$A,SEARCH(" ",Teeth!$A:$A&amp;" ")-1))=
TRIM(LEFT(A148,SEARCH(" ",A148&amp;" ")-1))
))&gt;0,
IF(
COUNT(_xlfn._xlws.FILTER(Teeth!$D:$D,
TRIM(LEFT(Teeth!$A:$A,SEARCH(" ",Teeth!$A:$A&amp;" ")-1))=
TRIM(LEFT(A148,SEARCH(" ",A148&amp;" ")-1))
))=0,
1,
AVERAGE(_xlfn._xlws.FILTER(Teeth!$D:$D,
TRIM(LEFT(Teeth!$A:$A,SEARCH(" ",Teeth!$A:$A&amp;" ")-1))=
TRIM(LEFT(A148,SEARCH(" ",A148&amp;" ")-1))
))
),
1
)
)</f>
        <v>0.95359131166584876</v>
      </c>
    </row>
    <row r="149" spans="1:2" x14ac:dyDescent="0.25">
      <c r="A149" s="2" t="str">
        <f>'[1]Base stats'!$B149</f>
        <v>Canis familiaris (AiredaleTerrier)</v>
      </c>
      <c r="B149" s="20" cm="1">
        <f t="array" ref="B149">IF(
SUMPRODUCT(--(
TRIM(LEFT(Teeth!$A:$A,SEARCH("§",SUBSTITUTE(Teeth!$A:$A," ","§",2)&amp;"§")-1))=
TRIM(LEFT(A149,SEARCH("§",SUBSTITUTE(A149," ","§",2)&amp;"§")-1))
))&gt;0,
IF(
COUNT(_xlfn._xlws.FILTER(Teeth!$D:$D,
TRIM(LEFT(Teeth!$A:$A,SEARCH("§",SUBSTITUTE(Teeth!$A:$A," ","§",2)&amp;"§")-1))=
TRIM(LEFT(A149,SEARCH("§",SUBSTITUTE(A149," ","§",2)&amp;"§")-1))
))=0,
1,
MAX(_xlfn._xlws.FILTER(Teeth!$D:$D,
TRIM(LEFT(Teeth!$A:$A,SEARCH("§",SUBSTITUTE(Teeth!$A:$A," ","§",2)&amp;"§")-1))=
TRIM(LEFT(A149,SEARCH("§",SUBSTITUTE(A149," ","§",2)&amp;"§")-1))
))
),
IF(
SUMPRODUCT(--(
TRIM(LEFT(Teeth!$A:$A,SEARCH(" ",Teeth!$A:$A&amp;" ")-1))=
TRIM(LEFT(A149,SEARCH(" ",A149&amp;" ")-1))
))&gt;0,
IF(
COUNT(_xlfn._xlws.FILTER(Teeth!$D:$D,
TRIM(LEFT(Teeth!$A:$A,SEARCH(" ",Teeth!$A:$A&amp;" ")-1))=
TRIM(LEFT(A149,SEARCH(" ",A149&amp;" ")-1))
))=0,
1,
AVERAGE(_xlfn._xlws.FILTER(Teeth!$D:$D,
TRIM(LEFT(Teeth!$A:$A,SEARCH(" ",Teeth!$A:$A&amp;" ")-1))=
TRIM(LEFT(A149,SEARCH(" ",A149&amp;" ")-1))
))
),
1
)
)</f>
        <v>0.95359131166584876</v>
      </c>
    </row>
    <row r="150" spans="1:2" x14ac:dyDescent="0.25">
      <c r="A150" s="2" t="str">
        <f>'[1]Base stats'!$B150</f>
        <v>Felis catus (Abyssinian)</v>
      </c>
      <c r="B150" s="20" cm="1">
        <f t="array" ref="B150">IF(
SUMPRODUCT(--(
TRIM(LEFT(Teeth!$A:$A,SEARCH("§",SUBSTITUTE(Teeth!$A:$A," ","§",2)&amp;"§")-1))=
TRIM(LEFT(A150,SEARCH("§",SUBSTITUTE(A150," ","§",2)&amp;"§")-1))
))&gt;0,
IF(
COUNT(_xlfn._xlws.FILTER(Teeth!$D:$D,
TRIM(LEFT(Teeth!$A:$A,SEARCH("§",SUBSTITUTE(Teeth!$A:$A," ","§",2)&amp;"§")-1))=
TRIM(LEFT(A150,SEARCH("§",SUBSTITUTE(A150," ","§",2)&amp;"§")-1))
))=0,
1,
MAX(_xlfn._xlws.FILTER(Teeth!$D:$D,
TRIM(LEFT(Teeth!$A:$A,SEARCH("§",SUBSTITUTE(Teeth!$A:$A," ","§",2)&amp;"§")-1))=
TRIM(LEFT(A150,SEARCH("§",SUBSTITUTE(A150," ","§",2)&amp;"§")-1))
))
),
IF(
SUMPRODUCT(--(
TRIM(LEFT(Teeth!$A:$A,SEARCH(" ",Teeth!$A:$A&amp;" ")-1))=
TRIM(LEFT(A150,SEARCH(" ",A150&amp;" ")-1))
))&gt;0,
IF(
COUNT(_xlfn._xlws.FILTER(Teeth!$D:$D,
TRIM(LEFT(Teeth!$A:$A,SEARCH(" ",Teeth!$A:$A&amp;" ")-1))=
TRIM(LEFT(A150,SEARCH(" ",A150&amp;" ")-1))
))=0,
1,
AVERAGE(_xlfn._xlws.FILTER(Teeth!$D:$D,
TRIM(LEFT(Teeth!$A:$A,SEARCH(" ",Teeth!$A:$A&amp;" ")-1))=
TRIM(LEFT(A150,SEARCH(" ",A150&amp;" ")-1))
))
),
1
)
)</f>
        <v>0.89529411549459281</v>
      </c>
    </row>
    <row r="151" spans="1:2" x14ac:dyDescent="0.25">
      <c r="A151" s="2" t="str">
        <f>'[1]Base stats'!$B151</f>
        <v>Felis catus (Bengal)</v>
      </c>
      <c r="B151" s="20" cm="1">
        <f t="array" ref="B151">IF(
SUMPRODUCT(--(
TRIM(LEFT(Teeth!$A:$A,SEARCH("§",SUBSTITUTE(Teeth!$A:$A," ","§",2)&amp;"§")-1))=
TRIM(LEFT(A151,SEARCH("§",SUBSTITUTE(A151," ","§",2)&amp;"§")-1))
))&gt;0,
IF(
COUNT(_xlfn._xlws.FILTER(Teeth!$D:$D,
TRIM(LEFT(Teeth!$A:$A,SEARCH("§",SUBSTITUTE(Teeth!$A:$A," ","§",2)&amp;"§")-1))=
TRIM(LEFT(A151,SEARCH("§",SUBSTITUTE(A151," ","§",2)&amp;"§")-1))
))=0,
1,
MAX(_xlfn._xlws.FILTER(Teeth!$D:$D,
TRIM(LEFT(Teeth!$A:$A,SEARCH("§",SUBSTITUTE(Teeth!$A:$A," ","§",2)&amp;"§")-1))=
TRIM(LEFT(A151,SEARCH("§",SUBSTITUTE(A151," ","§",2)&amp;"§")-1))
))
),
IF(
SUMPRODUCT(--(
TRIM(LEFT(Teeth!$A:$A,SEARCH(" ",Teeth!$A:$A&amp;" ")-1))=
TRIM(LEFT(A151,SEARCH(" ",A151&amp;" ")-1))
))&gt;0,
IF(
COUNT(_xlfn._xlws.FILTER(Teeth!$D:$D,
TRIM(LEFT(Teeth!$A:$A,SEARCH(" ",Teeth!$A:$A&amp;" ")-1))=
TRIM(LEFT(A151,SEARCH(" ",A151&amp;" ")-1))
))=0,
1,
AVERAGE(_xlfn._xlws.FILTER(Teeth!$D:$D,
TRIM(LEFT(Teeth!$A:$A,SEARCH(" ",Teeth!$A:$A&amp;" ")-1))=
TRIM(LEFT(A151,SEARCH(" ",A151&amp;" ")-1))
))
),
1
)
)</f>
        <v>0.89529411549459281</v>
      </c>
    </row>
    <row r="152" spans="1:2" x14ac:dyDescent="0.25">
      <c r="A152" s="2" t="str">
        <f>'[1]Base stats'!$B152</f>
        <v>Felis catus (British Shorthair)</v>
      </c>
      <c r="B152" s="20" cm="1">
        <f t="array" ref="B152">IF(
SUMPRODUCT(--(
TRIM(LEFT(Teeth!$A:$A,SEARCH("§",SUBSTITUTE(Teeth!$A:$A," ","§",2)&amp;"§")-1))=
TRIM(LEFT(A152,SEARCH("§",SUBSTITUTE(A152," ","§",2)&amp;"§")-1))
))&gt;0,
IF(
COUNT(_xlfn._xlws.FILTER(Teeth!$D:$D,
TRIM(LEFT(Teeth!$A:$A,SEARCH("§",SUBSTITUTE(Teeth!$A:$A," ","§",2)&amp;"§")-1))=
TRIM(LEFT(A152,SEARCH("§",SUBSTITUTE(A152," ","§",2)&amp;"§")-1))
))=0,
1,
MAX(_xlfn._xlws.FILTER(Teeth!$D:$D,
TRIM(LEFT(Teeth!$A:$A,SEARCH("§",SUBSTITUTE(Teeth!$A:$A," ","§",2)&amp;"§")-1))=
TRIM(LEFT(A152,SEARCH("§",SUBSTITUTE(A152," ","§",2)&amp;"§")-1))
))
),
IF(
SUMPRODUCT(--(
TRIM(LEFT(Teeth!$A:$A,SEARCH(" ",Teeth!$A:$A&amp;" ")-1))=
TRIM(LEFT(A152,SEARCH(" ",A152&amp;" ")-1))
))&gt;0,
IF(
COUNT(_xlfn._xlws.FILTER(Teeth!$D:$D,
TRIM(LEFT(Teeth!$A:$A,SEARCH(" ",Teeth!$A:$A&amp;" ")-1))=
TRIM(LEFT(A152,SEARCH(" ",A152&amp;" ")-1))
))=0,
1,
AVERAGE(_xlfn._xlws.FILTER(Teeth!$D:$D,
TRIM(LEFT(Teeth!$A:$A,SEARCH(" ",Teeth!$A:$A&amp;" ")-1))=
TRIM(LEFT(A152,SEARCH(" ",A152&amp;" ")-1))
))
),
1
)
)</f>
        <v>0.89529411549459281</v>
      </c>
    </row>
    <row r="153" spans="1:2" x14ac:dyDescent="0.25">
      <c r="A153" s="2" t="str">
        <f>'[1]Base stats'!$B153</f>
        <v>Felis catus (Maine Coon)</v>
      </c>
      <c r="B153" s="20" cm="1">
        <f t="array" ref="B153">IF(
SUMPRODUCT(--(
TRIM(LEFT(Teeth!$A:$A,SEARCH("§",SUBSTITUTE(Teeth!$A:$A," ","§",2)&amp;"§")-1))=
TRIM(LEFT(A153,SEARCH("§",SUBSTITUTE(A153," ","§",2)&amp;"§")-1))
))&gt;0,
IF(
COUNT(_xlfn._xlws.FILTER(Teeth!$D:$D,
TRIM(LEFT(Teeth!$A:$A,SEARCH("§",SUBSTITUTE(Teeth!$A:$A," ","§",2)&amp;"§")-1))=
TRIM(LEFT(A153,SEARCH("§",SUBSTITUTE(A153," ","§",2)&amp;"§")-1))
))=0,
1,
MAX(_xlfn._xlws.FILTER(Teeth!$D:$D,
TRIM(LEFT(Teeth!$A:$A,SEARCH("§",SUBSTITUTE(Teeth!$A:$A," ","§",2)&amp;"§")-1))=
TRIM(LEFT(A153,SEARCH("§",SUBSTITUTE(A153," ","§",2)&amp;"§")-1))
))
),
IF(
SUMPRODUCT(--(
TRIM(LEFT(Teeth!$A:$A,SEARCH(" ",Teeth!$A:$A&amp;" ")-1))=
TRIM(LEFT(A153,SEARCH(" ",A153&amp;" ")-1))
))&gt;0,
IF(
COUNT(_xlfn._xlws.FILTER(Teeth!$D:$D,
TRIM(LEFT(Teeth!$A:$A,SEARCH(" ",Teeth!$A:$A&amp;" ")-1))=
TRIM(LEFT(A153,SEARCH(" ",A153&amp;" ")-1))
))=0,
1,
AVERAGE(_xlfn._xlws.FILTER(Teeth!$D:$D,
TRIM(LEFT(Teeth!$A:$A,SEARCH(" ",Teeth!$A:$A&amp;" ")-1))=
TRIM(LEFT(A153,SEARCH(" ",A153&amp;" ")-1))
))
),
1
)
)</f>
        <v>0.89529411549459281</v>
      </c>
    </row>
    <row r="154" spans="1:2" x14ac:dyDescent="0.25">
      <c r="A154" s="2" t="str">
        <f>'[1]Base stats'!$B154</f>
        <v>Felis catus (Munchkin)</v>
      </c>
      <c r="B154" s="20" cm="1">
        <f t="array" ref="B154">IF(
SUMPRODUCT(--(
TRIM(LEFT(Teeth!$A:$A,SEARCH("§",SUBSTITUTE(Teeth!$A:$A," ","§",2)&amp;"§")-1))=
TRIM(LEFT(A154,SEARCH("§",SUBSTITUTE(A154," ","§",2)&amp;"§")-1))
))&gt;0,
IF(
COUNT(_xlfn._xlws.FILTER(Teeth!$D:$D,
TRIM(LEFT(Teeth!$A:$A,SEARCH("§",SUBSTITUTE(Teeth!$A:$A," ","§",2)&amp;"§")-1))=
TRIM(LEFT(A154,SEARCH("§",SUBSTITUTE(A154," ","§",2)&amp;"§")-1))
))=0,
1,
MAX(_xlfn._xlws.FILTER(Teeth!$D:$D,
TRIM(LEFT(Teeth!$A:$A,SEARCH("§",SUBSTITUTE(Teeth!$A:$A," ","§",2)&amp;"§")-1))=
TRIM(LEFT(A154,SEARCH("§",SUBSTITUTE(A154," ","§",2)&amp;"§")-1))
))
),
IF(
SUMPRODUCT(--(
TRIM(LEFT(Teeth!$A:$A,SEARCH(" ",Teeth!$A:$A&amp;" ")-1))=
TRIM(LEFT(A154,SEARCH(" ",A154&amp;" ")-1))
))&gt;0,
IF(
COUNT(_xlfn._xlws.FILTER(Teeth!$D:$D,
TRIM(LEFT(Teeth!$A:$A,SEARCH(" ",Teeth!$A:$A&amp;" ")-1))=
TRIM(LEFT(A154,SEARCH(" ",A154&amp;" ")-1))
))=0,
1,
AVERAGE(_xlfn._xlws.FILTER(Teeth!$D:$D,
TRIM(LEFT(Teeth!$A:$A,SEARCH(" ",Teeth!$A:$A&amp;" ")-1))=
TRIM(LEFT(A154,SEARCH(" ",A154&amp;" ")-1))
))
),
1
)
)</f>
        <v>0.89529411549459281</v>
      </c>
    </row>
    <row r="155" spans="1:2" x14ac:dyDescent="0.25">
      <c r="A155" s="2" t="str">
        <f>'[1]Base stats'!$B155</f>
        <v>Felis catus (Norwegian Forest)</v>
      </c>
      <c r="B155" s="20" cm="1">
        <f t="array" ref="B155">IF(
SUMPRODUCT(--(
TRIM(LEFT(Teeth!$A:$A,SEARCH("§",SUBSTITUTE(Teeth!$A:$A," ","§",2)&amp;"§")-1))=
TRIM(LEFT(A155,SEARCH("§",SUBSTITUTE(A155," ","§",2)&amp;"§")-1))
))&gt;0,
IF(
COUNT(_xlfn._xlws.FILTER(Teeth!$D:$D,
TRIM(LEFT(Teeth!$A:$A,SEARCH("§",SUBSTITUTE(Teeth!$A:$A," ","§",2)&amp;"§")-1))=
TRIM(LEFT(A155,SEARCH("§",SUBSTITUTE(A155," ","§",2)&amp;"§")-1))
))=0,
1,
MAX(_xlfn._xlws.FILTER(Teeth!$D:$D,
TRIM(LEFT(Teeth!$A:$A,SEARCH("§",SUBSTITUTE(Teeth!$A:$A," ","§",2)&amp;"§")-1))=
TRIM(LEFT(A155,SEARCH("§",SUBSTITUTE(A155," ","§",2)&amp;"§")-1))
))
),
IF(
SUMPRODUCT(--(
TRIM(LEFT(Teeth!$A:$A,SEARCH(" ",Teeth!$A:$A&amp;" ")-1))=
TRIM(LEFT(A155,SEARCH(" ",A155&amp;" ")-1))
))&gt;0,
IF(
COUNT(_xlfn._xlws.FILTER(Teeth!$D:$D,
TRIM(LEFT(Teeth!$A:$A,SEARCH(" ",Teeth!$A:$A&amp;" ")-1))=
TRIM(LEFT(A155,SEARCH(" ",A155&amp;" ")-1))
))=0,
1,
AVERAGE(_xlfn._xlws.FILTER(Teeth!$D:$D,
TRIM(LEFT(Teeth!$A:$A,SEARCH(" ",Teeth!$A:$A&amp;" ")-1))=
TRIM(LEFT(A155,SEARCH(" ",A155&amp;" ")-1))
))
),
1
)
)</f>
        <v>0.89529411549459281</v>
      </c>
    </row>
    <row r="156" spans="1:2" x14ac:dyDescent="0.25">
      <c r="A156" s="2" t="str">
        <f>'[1]Base stats'!$B156</f>
        <v>Felis catus (Persian)</v>
      </c>
      <c r="B156" s="20" cm="1">
        <f t="array" ref="B156">IF(
SUMPRODUCT(--(
TRIM(LEFT(Teeth!$A:$A,SEARCH("§",SUBSTITUTE(Teeth!$A:$A," ","§",2)&amp;"§")-1))=
TRIM(LEFT(A156,SEARCH("§",SUBSTITUTE(A156," ","§",2)&amp;"§")-1))
))&gt;0,
IF(
COUNT(_xlfn._xlws.FILTER(Teeth!$D:$D,
TRIM(LEFT(Teeth!$A:$A,SEARCH("§",SUBSTITUTE(Teeth!$A:$A," ","§",2)&amp;"§")-1))=
TRIM(LEFT(A156,SEARCH("§",SUBSTITUTE(A156," ","§",2)&amp;"§")-1))
))=0,
1,
MAX(_xlfn._xlws.FILTER(Teeth!$D:$D,
TRIM(LEFT(Teeth!$A:$A,SEARCH("§",SUBSTITUTE(Teeth!$A:$A," ","§",2)&amp;"§")-1))=
TRIM(LEFT(A156,SEARCH("§",SUBSTITUTE(A156," ","§",2)&amp;"§")-1))
))
),
IF(
SUMPRODUCT(--(
TRIM(LEFT(Teeth!$A:$A,SEARCH(" ",Teeth!$A:$A&amp;" ")-1))=
TRIM(LEFT(A156,SEARCH(" ",A156&amp;" ")-1))
))&gt;0,
IF(
COUNT(_xlfn._xlws.FILTER(Teeth!$D:$D,
TRIM(LEFT(Teeth!$A:$A,SEARCH(" ",Teeth!$A:$A&amp;" ")-1))=
TRIM(LEFT(A156,SEARCH(" ",A156&amp;" ")-1))
))=0,
1,
AVERAGE(_xlfn._xlws.FILTER(Teeth!$D:$D,
TRIM(LEFT(Teeth!$A:$A,SEARCH(" ",Teeth!$A:$A&amp;" ")-1))=
TRIM(LEFT(A156,SEARCH(" ",A156&amp;" ")-1))
))
),
1
)
)</f>
        <v>0.89529411549459281</v>
      </c>
    </row>
    <row r="157" spans="1:2" x14ac:dyDescent="0.25">
      <c r="A157" s="2" t="str">
        <f>'[1]Base stats'!$B157</f>
        <v>Felis catus (Siamese)</v>
      </c>
      <c r="B157" s="20" cm="1">
        <f t="array" ref="B157">IF(
SUMPRODUCT(--(
TRIM(LEFT(Teeth!$A:$A,SEARCH("§",SUBSTITUTE(Teeth!$A:$A," ","§",2)&amp;"§")-1))=
TRIM(LEFT(A157,SEARCH("§",SUBSTITUTE(A157," ","§",2)&amp;"§")-1))
))&gt;0,
IF(
COUNT(_xlfn._xlws.FILTER(Teeth!$D:$D,
TRIM(LEFT(Teeth!$A:$A,SEARCH("§",SUBSTITUTE(Teeth!$A:$A," ","§",2)&amp;"§")-1))=
TRIM(LEFT(A157,SEARCH("§",SUBSTITUTE(A157," ","§",2)&amp;"§")-1))
))=0,
1,
MAX(_xlfn._xlws.FILTER(Teeth!$D:$D,
TRIM(LEFT(Teeth!$A:$A,SEARCH("§",SUBSTITUTE(Teeth!$A:$A," ","§",2)&amp;"§")-1))=
TRIM(LEFT(A157,SEARCH("§",SUBSTITUTE(A157," ","§",2)&amp;"§")-1))
))
),
IF(
SUMPRODUCT(--(
TRIM(LEFT(Teeth!$A:$A,SEARCH(" ",Teeth!$A:$A&amp;" ")-1))=
TRIM(LEFT(A157,SEARCH(" ",A157&amp;" ")-1))
))&gt;0,
IF(
COUNT(_xlfn._xlws.FILTER(Teeth!$D:$D,
TRIM(LEFT(Teeth!$A:$A,SEARCH(" ",Teeth!$A:$A&amp;" ")-1))=
TRIM(LEFT(A157,SEARCH(" ",A157&amp;" ")-1))
))=0,
1,
AVERAGE(_xlfn._xlws.FILTER(Teeth!$D:$D,
TRIM(LEFT(Teeth!$A:$A,SEARCH(" ",Teeth!$A:$A&amp;" ")-1))=
TRIM(LEFT(A157,SEARCH(" ",A157&amp;" ")-1))
))
),
1
)
)</f>
        <v>0.89529411549459281</v>
      </c>
    </row>
    <row r="158" spans="1:2" x14ac:dyDescent="0.25">
      <c r="A158" s="2" t="str">
        <f>'[1]Base stats'!$B158</f>
        <v>Felis catus (Somali)</v>
      </c>
      <c r="B158" s="20" cm="1">
        <f t="array" ref="B158">IF(
SUMPRODUCT(--(
TRIM(LEFT(Teeth!$A:$A,SEARCH("§",SUBSTITUTE(Teeth!$A:$A," ","§",2)&amp;"§")-1))=
TRIM(LEFT(A158,SEARCH("§",SUBSTITUTE(A158," ","§",2)&amp;"§")-1))
))&gt;0,
IF(
COUNT(_xlfn._xlws.FILTER(Teeth!$D:$D,
TRIM(LEFT(Teeth!$A:$A,SEARCH("§",SUBSTITUTE(Teeth!$A:$A," ","§",2)&amp;"§")-1))=
TRIM(LEFT(A158,SEARCH("§",SUBSTITUTE(A158," ","§",2)&amp;"§")-1))
))=0,
1,
MAX(_xlfn._xlws.FILTER(Teeth!$D:$D,
TRIM(LEFT(Teeth!$A:$A,SEARCH("§",SUBSTITUTE(Teeth!$A:$A," ","§",2)&amp;"§")-1))=
TRIM(LEFT(A158,SEARCH("§",SUBSTITUTE(A158," ","§",2)&amp;"§")-1))
))
),
IF(
SUMPRODUCT(--(
TRIM(LEFT(Teeth!$A:$A,SEARCH(" ",Teeth!$A:$A&amp;" ")-1))=
TRIM(LEFT(A158,SEARCH(" ",A158&amp;" ")-1))
))&gt;0,
IF(
COUNT(_xlfn._xlws.FILTER(Teeth!$D:$D,
TRIM(LEFT(Teeth!$A:$A,SEARCH(" ",Teeth!$A:$A&amp;" ")-1))=
TRIM(LEFT(A158,SEARCH(" ",A158&amp;" ")-1))
))=0,
1,
AVERAGE(_xlfn._xlws.FILTER(Teeth!$D:$D,
TRIM(LEFT(Teeth!$A:$A,SEARCH(" ",Teeth!$A:$A&amp;" ")-1))=
TRIM(LEFT(A158,SEARCH(" ",A158&amp;" ")-1))
))
),
1
)
)</f>
        <v>0.89529411549459281</v>
      </c>
    </row>
    <row r="159" spans="1:2" x14ac:dyDescent="0.25">
      <c r="A159" s="2" t="str">
        <f>'[1]Base stats'!$B159</f>
        <v>Felis catus (Sphynx)</v>
      </c>
      <c r="B159" s="20" cm="1">
        <f t="array" ref="B159">IF(
SUMPRODUCT(--(
TRIM(LEFT(Teeth!$A:$A,SEARCH("§",SUBSTITUTE(Teeth!$A:$A," ","§",2)&amp;"§")-1))=
TRIM(LEFT(A159,SEARCH("§",SUBSTITUTE(A159," ","§",2)&amp;"§")-1))
))&gt;0,
IF(
COUNT(_xlfn._xlws.FILTER(Teeth!$D:$D,
TRIM(LEFT(Teeth!$A:$A,SEARCH("§",SUBSTITUTE(Teeth!$A:$A," ","§",2)&amp;"§")-1))=
TRIM(LEFT(A159,SEARCH("§",SUBSTITUTE(A159," ","§",2)&amp;"§")-1))
))=0,
1,
MAX(_xlfn._xlws.FILTER(Teeth!$D:$D,
TRIM(LEFT(Teeth!$A:$A,SEARCH("§",SUBSTITUTE(Teeth!$A:$A," ","§",2)&amp;"§")-1))=
TRIM(LEFT(A159,SEARCH("§",SUBSTITUTE(A159," ","§",2)&amp;"§")-1))
))
),
IF(
SUMPRODUCT(--(
TRIM(LEFT(Teeth!$A:$A,SEARCH(" ",Teeth!$A:$A&amp;" ")-1))=
TRIM(LEFT(A159,SEARCH(" ",A159&amp;" ")-1))
))&gt;0,
IF(
COUNT(_xlfn._xlws.FILTER(Teeth!$D:$D,
TRIM(LEFT(Teeth!$A:$A,SEARCH(" ",Teeth!$A:$A&amp;" ")-1))=
TRIM(LEFT(A159,SEARCH(" ",A159&amp;" ")-1))
))=0,
1,
AVERAGE(_xlfn._xlws.FILTER(Teeth!$D:$D,
TRIM(LEFT(Teeth!$A:$A,SEARCH(" ",Teeth!$A:$A&amp;" ")-1))=
TRIM(LEFT(A159,SEARCH(" ",A159&amp;" ")-1))
))
),
1
)
)</f>
        <v>0.89529411549459281</v>
      </c>
    </row>
    <row r="160" spans="1:2" x14ac:dyDescent="0.25">
      <c r="A160" s="2" t="str">
        <f>'[1]Base stats'!$B160</f>
        <v>Kaliscus invictus</v>
      </c>
      <c r="B160" s="20" cm="1">
        <f t="array" ref="B160">IF(
SUMPRODUCT(--(
TRIM(LEFT(Teeth!$A:$A,SEARCH("§",SUBSTITUTE(Teeth!$A:$A," ","§",2)&amp;"§")-1))=
TRIM(LEFT(A160,SEARCH("§",SUBSTITUTE(A160," ","§",2)&amp;"§")-1))
))&gt;0,
IF(
COUNT(_xlfn._xlws.FILTER(Teeth!$D:$D,
TRIM(LEFT(Teeth!$A:$A,SEARCH("§",SUBSTITUTE(Teeth!$A:$A," ","§",2)&amp;"§")-1))=
TRIM(LEFT(A160,SEARCH("§",SUBSTITUTE(A160," ","§",2)&amp;"§")-1))
))=0,
1,
MAX(_xlfn._xlws.FILTER(Teeth!$D:$D,
TRIM(LEFT(Teeth!$A:$A,SEARCH("§",SUBSTITUTE(Teeth!$A:$A," ","§",2)&amp;"§")-1))=
TRIM(LEFT(A160,SEARCH("§",SUBSTITUTE(A160," ","§",2)&amp;"§")-1))
))
),
IF(
SUMPRODUCT(--(
TRIM(LEFT(Teeth!$A:$A,SEARCH(" ",Teeth!$A:$A&amp;" ")-1))=
TRIM(LEFT(A160,SEARCH(" ",A160&amp;" ")-1))
))&gt;0,
IF(
COUNT(_xlfn._xlws.FILTER(Teeth!$D:$D,
TRIM(LEFT(Teeth!$A:$A,SEARCH(" ",Teeth!$A:$A&amp;" ")-1))=
TRIM(LEFT(A160,SEARCH(" ",A160&amp;" ")-1))
))=0,
1,
AVERAGE(_xlfn._xlws.FILTER(Teeth!$D:$D,
TRIM(LEFT(Teeth!$A:$A,SEARCH(" ",Teeth!$A:$A&amp;" ")-1))=
TRIM(LEFT(A160,SEARCH(" ",A160&amp;" ")-1))
))
),
1
)
)</f>
        <v>1</v>
      </c>
    </row>
    <row r="161" spans="1:2" x14ac:dyDescent="0.25">
      <c r="A161" s="2" t="str">
        <f>'[1]Base stats'!$B161</f>
        <v>Smilodon populator</v>
      </c>
      <c r="B161" s="20" cm="1">
        <f t="array" ref="B161">IF(
SUMPRODUCT(--(
TRIM(LEFT(Teeth!$A:$A,SEARCH("§",SUBSTITUTE(Teeth!$A:$A," ","§",2)&amp;"§")-1))=
TRIM(LEFT(A161,SEARCH("§",SUBSTITUTE(A161," ","§",2)&amp;"§")-1))
))&gt;0,
IF(
COUNT(_xlfn._xlws.FILTER(Teeth!$D:$D,
TRIM(LEFT(Teeth!$A:$A,SEARCH("§",SUBSTITUTE(Teeth!$A:$A," ","§",2)&amp;"§")-1))=
TRIM(LEFT(A161,SEARCH("§",SUBSTITUTE(A161," ","§",2)&amp;"§")-1))
))=0,
1,
MAX(_xlfn._xlws.FILTER(Teeth!$D:$D,
TRIM(LEFT(Teeth!$A:$A,SEARCH("§",SUBSTITUTE(Teeth!$A:$A," ","§",2)&amp;"§")-1))=
TRIM(LEFT(A161,SEARCH("§",SUBSTITUTE(A161," ","§",2)&amp;"§")-1))
))
),
IF(
SUMPRODUCT(--(
TRIM(LEFT(Teeth!$A:$A,SEARCH(" ",Teeth!$A:$A&amp;" ")-1))=
TRIM(LEFT(A161,SEARCH(" ",A161&amp;" ")-1))
))&gt;0,
IF(
COUNT(_xlfn._xlws.FILTER(Teeth!$D:$D,
TRIM(LEFT(Teeth!$A:$A,SEARCH(" ",Teeth!$A:$A&amp;" ")-1))=
TRIM(LEFT(A161,SEARCH(" ",A161&amp;" ")-1))
))=0,
1,
AVERAGE(_xlfn._xlws.FILTER(Teeth!$D:$D,
TRIM(LEFT(Teeth!$A:$A,SEARCH(" ",Teeth!$A:$A&amp;" ")-1))=
TRIM(LEFT(A161,SEARCH(" ",A161&amp;" ")-1))
))
),
1
)
)</f>
        <v>1</v>
      </c>
    </row>
    <row r="162" spans="1:2" x14ac:dyDescent="0.25">
      <c r="A162" s="2" t="str">
        <f>'[1]Base stats'!$B162</f>
        <v>Phasianus colchicus</v>
      </c>
      <c r="B162" s="20" cm="1">
        <f t="array" ref="B162">IF(
SUMPRODUCT(--(
TRIM(LEFT(Teeth!$A:$A,SEARCH("§",SUBSTITUTE(Teeth!$A:$A," ","§",2)&amp;"§")-1))=
TRIM(LEFT(A162,SEARCH("§",SUBSTITUTE(A162," ","§",2)&amp;"§")-1))
))&gt;0,
IF(
COUNT(_xlfn._xlws.FILTER(Teeth!$D:$D,
TRIM(LEFT(Teeth!$A:$A,SEARCH("§",SUBSTITUTE(Teeth!$A:$A," ","§",2)&amp;"§")-1))=
TRIM(LEFT(A162,SEARCH("§",SUBSTITUTE(A162," ","§",2)&amp;"§")-1))
))=0,
1,
MAX(_xlfn._xlws.FILTER(Teeth!$D:$D,
TRIM(LEFT(Teeth!$A:$A,SEARCH("§",SUBSTITUTE(Teeth!$A:$A," ","§",2)&amp;"§")-1))=
TRIM(LEFT(A162,SEARCH("§",SUBSTITUTE(A162," ","§",2)&amp;"§")-1))
))
),
IF(
SUMPRODUCT(--(
TRIM(LEFT(Teeth!$A:$A,SEARCH(" ",Teeth!$A:$A&amp;" ")-1))=
TRIM(LEFT(A162,SEARCH(" ",A162&amp;" ")-1))
))&gt;0,
IF(
COUNT(_xlfn._xlws.FILTER(Teeth!$D:$D,
TRIM(LEFT(Teeth!$A:$A,SEARCH(" ",Teeth!$A:$A&amp;" ")-1))=
TRIM(LEFT(A162,SEARCH(" ",A162&amp;" ")-1))
))=0,
1,
AVERAGE(_xlfn._xlws.FILTER(Teeth!$D:$D,
TRIM(LEFT(Teeth!$A:$A,SEARCH(" ",Teeth!$A:$A&amp;" ")-1))=
TRIM(LEFT(A162,SEARCH(" ",A162&amp;" ")-1))
))
),
1
)
)</f>
        <v>1</v>
      </c>
    </row>
    <row r="163" spans="1:2" x14ac:dyDescent="0.25">
      <c r="A163" s="2" t="str">
        <f>'[1]Base stats'!$B163</f>
        <v>Pongo pygmaeus</v>
      </c>
      <c r="B163" s="20" cm="1">
        <f t="array" ref="B163">IF(
SUMPRODUCT(--(
TRIM(LEFT(Teeth!$A:$A,SEARCH("§",SUBSTITUTE(Teeth!$A:$A," ","§",2)&amp;"§")-1))=
TRIM(LEFT(A163,SEARCH("§",SUBSTITUTE(A163," ","§",2)&amp;"§")-1))
))&gt;0,
IF(
COUNT(_xlfn._xlws.FILTER(Teeth!$D:$D,
TRIM(LEFT(Teeth!$A:$A,SEARCH("§",SUBSTITUTE(Teeth!$A:$A," ","§",2)&amp;"§")-1))=
TRIM(LEFT(A163,SEARCH("§",SUBSTITUTE(A163," ","§",2)&amp;"§")-1))
))=0,
1,
MAX(_xlfn._xlws.FILTER(Teeth!$D:$D,
TRIM(LEFT(Teeth!$A:$A,SEARCH("§",SUBSTITUTE(Teeth!$A:$A," ","§",2)&amp;"§")-1))=
TRIM(LEFT(A163,SEARCH("§",SUBSTITUTE(A163," ","§",2)&amp;"§")-1))
))
),
IF(
SUMPRODUCT(--(
TRIM(LEFT(Teeth!$A:$A,SEARCH(" ",Teeth!$A:$A&amp;" ")-1))=
TRIM(LEFT(A163,SEARCH(" ",A163&amp;" ")-1))
))&gt;0,
IF(
COUNT(_xlfn._xlws.FILTER(Teeth!$D:$D,
TRIM(LEFT(Teeth!$A:$A,SEARCH(" ",Teeth!$A:$A&amp;" ")-1))=
TRIM(LEFT(A163,SEARCH(" ",A163&amp;" ")-1))
))=0,
1,
AVERAGE(_xlfn._xlws.FILTER(Teeth!$D:$D,
TRIM(LEFT(Teeth!$A:$A,SEARCH(" ",Teeth!$A:$A&amp;" ")-1))=
TRIM(LEFT(A163,SEARCH(" ",A163&amp;" ")-1))
))
),
1
)
)</f>
        <v>0.823477289474559</v>
      </c>
    </row>
    <row r="164" spans="1:2" x14ac:dyDescent="0.25">
      <c r="A164" s="2" t="str">
        <f>'[1]Base stats'!$B164</f>
        <v>Gallus giganteus</v>
      </c>
      <c r="B164" s="20" cm="1">
        <f t="array" ref="B164">IF(
SUMPRODUCT(--(
TRIM(LEFT(Teeth!$A:$A,SEARCH("§",SUBSTITUTE(Teeth!$A:$A," ","§",2)&amp;"§")-1))=
TRIM(LEFT(A164,SEARCH("§",SUBSTITUTE(A164," ","§",2)&amp;"§")-1))
))&gt;0,
IF(
COUNT(_xlfn._xlws.FILTER(Teeth!$D:$D,
TRIM(LEFT(Teeth!$A:$A,SEARCH("§",SUBSTITUTE(Teeth!$A:$A," ","§",2)&amp;"§")-1))=
TRIM(LEFT(A164,SEARCH("§",SUBSTITUTE(A164," ","§",2)&amp;"§")-1))
))=0,
1,
MAX(_xlfn._xlws.FILTER(Teeth!$D:$D,
TRIM(LEFT(Teeth!$A:$A,SEARCH("§",SUBSTITUTE(Teeth!$A:$A," ","§",2)&amp;"§")-1))=
TRIM(LEFT(A164,SEARCH("§",SUBSTITUTE(A164," ","§",2)&amp;"§")-1))
))
),
IF(
SUMPRODUCT(--(
TRIM(LEFT(Teeth!$A:$A,SEARCH(" ",Teeth!$A:$A&amp;" ")-1))=
TRIM(LEFT(A164,SEARCH(" ",A164&amp;" ")-1))
))&gt;0,
IF(
COUNT(_xlfn._xlws.FILTER(Teeth!$D:$D,
TRIM(LEFT(Teeth!$A:$A,SEARCH(" ",Teeth!$A:$A&amp;" ")-1))=
TRIM(LEFT(A164,SEARCH(" ",A164&amp;" ")-1))
))=0,
1,
AVERAGE(_xlfn._xlws.FILTER(Teeth!$D:$D,
TRIM(LEFT(Teeth!$A:$A,SEARCH(" ",Teeth!$A:$A&amp;" ")-1))=
TRIM(LEFT(A164,SEARCH(" ",A164&amp;" ")-1))
))
),
1
)
)</f>
        <v>1</v>
      </c>
    </row>
    <row r="165" spans="1:2" x14ac:dyDescent="0.25">
      <c r="A165" s="2" t="str">
        <f>'[1]Base stats'!$B165</f>
        <v>Grus japonensis</v>
      </c>
      <c r="B165" s="20" cm="1">
        <f t="array" ref="B165">IF(
SUMPRODUCT(--(
TRIM(LEFT(Teeth!$A:$A,SEARCH("§",SUBSTITUTE(Teeth!$A:$A," ","§",2)&amp;"§")-1))=
TRIM(LEFT(A165,SEARCH("§",SUBSTITUTE(A165," ","§",2)&amp;"§")-1))
))&gt;0,
IF(
COUNT(_xlfn._xlws.FILTER(Teeth!$D:$D,
TRIM(LEFT(Teeth!$A:$A,SEARCH("§",SUBSTITUTE(Teeth!$A:$A," ","§",2)&amp;"§")-1))=
TRIM(LEFT(A165,SEARCH("§",SUBSTITUTE(A165," ","§",2)&amp;"§")-1))
))=0,
1,
MAX(_xlfn._xlws.FILTER(Teeth!$D:$D,
TRIM(LEFT(Teeth!$A:$A,SEARCH("§",SUBSTITUTE(Teeth!$A:$A," ","§",2)&amp;"§")-1))=
TRIM(LEFT(A165,SEARCH("§",SUBSTITUTE(A165," ","§",2)&amp;"§")-1))
))
),
IF(
SUMPRODUCT(--(
TRIM(LEFT(Teeth!$A:$A,SEARCH(" ",Teeth!$A:$A&amp;" ")-1))=
TRIM(LEFT(A165,SEARCH(" ",A165&amp;" ")-1))
))&gt;0,
IF(
COUNT(_xlfn._xlws.FILTER(Teeth!$D:$D,
TRIM(LEFT(Teeth!$A:$A,SEARCH(" ",Teeth!$A:$A&amp;" ")-1))=
TRIM(LEFT(A165,SEARCH(" ",A165&amp;" ")-1))
))=0,
1,
AVERAGE(_xlfn._xlws.FILTER(Teeth!$D:$D,
TRIM(LEFT(Teeth!$A:$A,SEARCH(" ",Teeth!$A:$A&amp;" ")-1))=
TRIM(LEFT(A165,SEARCH(" ",A165&amp;" ")-1))
))
),
1
)
)</f>
        <v>1</v>
      </c>
    </row>
    <row r="166" spans="1:2" x14ac:dyDescent="0.25">
      <c r="A166" s="2" t="str">
        <f>'[1]Base stats'!$B166</f>
        <v>Oryctolagus cuniculus (Angora)</v>
      </c>
      <c r="B166" s="20" cm="1">
        <f t="array" ref="B166">IF(
SUMPRODUCT(--(
TRIM(LEFT(Teeth!$A:$A,SEARCH("§",SUBSTITUTE(Teeth!$A:$A," ","§",2)&amp;"§")-1))=
TRIM(LEFT(A166,SEARCH("§",SUBSTITUTE(A166," ","§",2)&amp;"§")-1))
))&gt;0,
IF(
COUNT(_xlfn._xlws.FILTER(Teeth!$D:$D,
TRIM(LEFT(Teeth!$A:$A,SEARCH("§",SUBSTITUTE(Teeth!$A:$A," ","§",2)&amp;"§")-1))=
TRIM(LEFT(A166,SEARCH("§",SUBSTITUTE(A166," ","§",2)&amp;"§")-1))
))=0,
1,
MAX(_xlfn._xlws.FILTER(Teeth!$D:$D,
TRIM(LEFT(Teeth!$A:$A,SEARCH("§",SUBSTITUTE(Teeth!$A:$A," ","§",2)&amp;"§")-1))=
TRIM(LEFT(A166,SEARCH("§",SUBSTITUTE(A166," ","§",2)&amp;"§")-1))
))
),
IF(
SUMPRODUCT(--(
TRIM(LEFT(Teeth!$A:$A,SEARCH(" ",Teeth!$A:$A&amp;" ")-1))=
TRIM(LEFT(A166,SEARCH(" ",A166&amp;" ")-1))
))&gt;0,
IF(
COUNT(_xlfn._xlws.FILTER(Teeth!$D:$D,
TRIM(LEFT(Teeth!$A:$A,SEARCH(" ",Teeth!$A:$A&amp;" ")-1))=
TRIM(LEFT(A166,SEARCH(" ",A166&amp;" ")-1))
))=0,
1,
AVERAGE(_xlfn._xlws.FILTER(Teeth!$D:$D,
TRIM(LEFT(Teeth!$A:$A,SEARCH(" ",Teeth!$A:$A&amp;" ")-1))=
TRIM(LEFT(A166,SEARCH(" ",A166&amp;" ")-1))
))
),
1
)
)</f>
        <v>1</v>
      </c>
    </row>
    <row r="167" spans="1:2" x14ac:dyDescent="0.25">
      <c r="A167" s="2" t="str">
        <f>'[1]Base stats'!$B167</f>
        <v>Harpactotyrannus venator</v>
      </c>
      <c r="B167" s="20" cm="1">
        <f t="array" ref="B167">IF(
SUMPRODUCT(--(
TRIM(LEFT(Teeth!$A:$A,SEARCH("§",SUBSTITUTE(Teeth!$A:$A," ","§",2)&amp;"§")-1))=
TRIM(LEFT(A167,SEARCH("§",SUBSTITUTE(A167," ","§",2)&amp;"§")-1))
))&gt;0,
IF(
COUNT(_xlfn._xlws.FILTER(Teeth!$D:$D,
TRIM(LEFT(Teeth!$A:$A,SEARCH("§",SUBSTITUTE(Teeth!$A:$A," ","§",2)&amp;"§")-1))=
TRIM(LEFT(A167,SEARCH("§",SUBSTITUTE(A167," ","§",2)&amp;"§")-1))
))=0,
1,
MAX(_xlfn._xlws.FILTER(Teeth!$D:$D,
TRIM(LEFT(Teeth!$A:$A,SEARCH("§",SUBSTITUTE(Teeth!$A:$A," ","§",2)&amp;"§")-1))=
TRIM(LEFT(A167,SEARCH("§",SUBSTITUTE(A167," ","§",2)&amp;"§")-1))
))
),
IF(
SUMPRODUCT(--(
TRIM(LEFT(Teeth!$A:$A,SEARCH(" ",Teeth!$A:$A&amp;" ")-1))=
TRIM(LEFT(A167,SEARCH(" ",A167&amp;" ")-1))
))&gt;0,
IF(
COUNT(_xlfn._xlws.FILTER(Teeth!$D:$D,
TRIM(LEFT(Teeth!$A:$A,SEARCH(" ",Teeth!$A:$A&amp;" ")-1))=
TRIM(LEFT(A167,SEARCH(" ",A167&amp;" ")-1))
))=0,
1,
AVERAGE(_xlfn._xlws.FILTER(Teeth!$D:$D,
TRIM(LEFT(Teeth!$A:$A,SEARCH(" ",Teeth!$A:$A&amp;" ")-1))=
TRIM(LEFT(A167,SEARCH(" ",A167&amp;" ")-1))
))
),
1
)
)</f>
        <v>1</v>
      </c>
    </row>
    <row r="168" spans="1:2" x14ac:dyDescent="0.25">
      <c r="A168" s="2" t="str">
        <f>'[1]Base stats'!$B168</f>
        <v>Daspletosuchus ferox</v>
      </c>
      <c r="B168" s="20" cm="1">
        <f t="array" ref="B168">IF(
SUMPRODUCT(--(
TRIM(LEFT(Teeth!$A:$A,SEARCH("§",SUBSTITUTE(Teeth!$A:$A," ","§",2)&amp;"§")-1))=
TRIM(LEFT(A168,SEARCH("§",SUBSTITUTE(A168," ","§",2)&amp;"§")-1))
))&gt;0,
IF(
COUNT(_xlfn._xlws.FILTER(Teeth!$D:$D,
TRIM(LEFT(Teeth!$A:$A,SEARCH("§",SUBSTITUTE(Teeth!$A:$A," ","§",2)&amp;"§")-1))=
TRIM(LEFT(A168,SEARCH("§",SUBSTITUTE(A168," ","§",2)&amp;"§")-1))
))=0,
1,
MAX(_xlfn._xlws.FILTER(Teeth!$D:$D,
TRIM(LEFT(Teeth!$A:$A,SEARCH("§",SUBSTITUTE(Teeth!$A:$A," ","§",2)&amp;"§")-1))=
TRIM(LEFT(A168,SEARCH("§",SUBSTITUTE(A168," ","§",2)&amp;"§")-1))
))
),
IF(
SUMPRODUCT(--(
TRIM(LEFT(Teeth!$A:$A,SEARCH(" ",Teeth!$A:$A&amp;" ")-1))=
TRIM(LEFT(A168,SEARCH(" ",A168&amp;" ")-1))
))&gt;0,
IF(
COUNT(_xlfn._xlws.FILTER(Teeth!$D:$D,
TRIM(LEFT(Teeth!$A:$A,SEARCH(" ",Teeth!$A:$A&amp;" ")-1))=
TRIM(LEFT(A168,SEARCH(" ",A168&amp;" ")-1))
))=0,
1,
AVERAGE(_xlfn._xlws.FILTER(Teeth!$D:$D,
TRIM(LEFT(Teeth!$A:$A,SEARCH(" ",Teeth!$A:$A&amp;" ")-1))=
TRIM(LEFT(A168,SEARCH(" ",A168&amp;" ")-1))
))
),
1
)
)</f>
        <v>1</v>
      </c>
    </row>
    <row r="169" spans="1:2" x14ac:dyDescent="0.25">
      <c r="A169" s="2" t="str">
        <f>'[1]Base stats'!$B169</f>
        <v>Asciotaurus validus</v>
      </c>
      <c r="B169" s="20" cm="1">
        <f t="array" ref="B169">IF(
SUMPRODUCT(--(
TRIM(LEFT(Teeth!$A:$A,SEARCH("§",SUBSTITUTE(Teeth!$A:$A," ","§",2)&amp;"§")-1))=
TRIM(LEFT(A169,SEARCH("§",SUBSTITUTE(A169," ","§",2)&amp;"§")-1))
))&gt;0,
IF(
COUNT(_xlfn._xlws.FILTER(Teeth!$D:$D,
TRIM(LEFT(Teeth!$A:$A,SEARCH("§",SUBSTITUTE(Teeth!$A:$A," ","§",2)&amp;"§")-1))=
TRIM(LEFT(A169,SEARCH("§",SUBSTITUTE(A169," ","§",2)&amp;"§")-1))
))=0,
1,
MAX(_xlfn._xlws.FILTER(Teeth!$D:$D,
TRIM(LEFT(Teeth!$A:$A,SEARCH("§",SUBSTITUTE(Teeth!$A:$A," ","§",2)&amp;"§")-1))=
TRIM(LEFT(A169,SEARCH("§",SUBSTITUTE(A169," ","§",2)&amp;"§")-1))
))
),
IF(
SUMPRODUCT(--(
TRIM(LEFT(Teeth!$A:$A,SEARCH(" ",Teeth!$A:$A&amp;" ")-1))=
TRIM(LEFT(A169,SEARCH(" ",A169&amp;" ")-1))
))&gt;0,
IF(
COUNT(_xlfn._xlws.FILTER(Teeth!$D:$D,
TRIM(LEFT(Teeth!$A:$A,SEARCH(" ",Teeth!$A:$A&amp;" ")-1))=
TRIM(LEFT(A169,SEARCH(" ",A169&amp;" ")-1))
))=0,
1,
AVERAGE(_xlfn._xlws.FILTER(Teeth!$D:$D,
TRIM(LEFT(Teeth!$A:$A,SEARCH(" ",Teeth!$A:$A&amp;" ")-1))=
TRIM(LEFT(A169,SEARCH(" ",A169&amp;" ")-1))
))
),
1
)
)</f>
        <v>1</v>
      </c>
    </row>
    <row r="170" spans="1:2" x14ac:dyDescent="0.25">
      <c r="A170" s="2" t="str">
        <f>'[1]Base stats'!$B170</f>
        <v>Arthropython serpentes</v>
      </c>
      <c r="B170" s="20" cm="1">
        <f t="array" ref="B170">IF(
SUMPRODUCT(--(
TRIM(LEFT(Teeth!$A:$A,SEARCH("§",SUBSTITUTE(Teeth!$A:$A," ","§",2)&amp;"§")-1))=
TRIM(LEFT(A170,SEARCH("§",SUBSTITUTE(A170," ","§",2)&amp;"§")-1))
))&gt;0,
IF(
COUNT(_xlfn._xlws.FILTER(Teeth!$D:$D,
TRIM(LEFT(Teeth!$A:$A,SEARCH("§",SUBSTITUTE(Teeth!$A:$A," ","§",2)&amp;"§")-1))=
TRIM(LEFT(A170,SEARCH("§",SUBSTITUTE(A170," ","§",2)&amp;"§")-1))
))=0,
1,
MAX(_xlfn._xlws.FILTER(Teeth!$D:$D,
TRIM(LEFT(Teeth!$A:$A,SEARCH("§",SUBSTITUTE(Teeth!$A:$A," ","§",2)&amp;"§")-1))=
TRIM(LEFT(A170,SEARCH("§",SUBSTITUTE(A170," ","§",2)&amp;"§")-1))
))
),
IF(
SUMPRODUCT(--(
TRIM(LEFT(Teeth!$A:$A,SEARCH(" ",Teeth!$A:$A&amp;" ")-1))=
TRIM(LEFT(A170,SEARCH(" ",A170&amp;" ")-1))
))&gt;0,
IF(
COUNT(_xlfn._xlws.FILTER(Teeth!$D:$D,
TRIM(LEFT(Teeth!$A:$A,SEARCH(" ",Teeth!$A:$A&amp;" ")-1))=
TRIM(LEFT(A170,SEARCH(" ",A170&amp;" ")-1))
))=0,
1,
AVERAGE(_xlfn._xlws.FILTER(Teeth!$D:$D,
TRIM(LEFT(Teeth!$A:$A,SEARCH(" ",Teeth!$A:$A&amp;" ")-1))=
TRIM(LEFT(A170,SEARCH(" ",A170&amp;" ")-1))
))
),
1
)
)</f>
        <v>1</v>
      </c>
    </row>
    <row r="171" spans="1:2" x14ac:dyDescent="0.25">
      <c r="A171" s="2" t="str">
        <f>'[1]Base stats'!$B171</f>
        <v>Talpobaena armata</v>
      </c>
      <c r="B171" s="20" cm="1">
        <f t="array" ref="B171">IF(
SUMPRODUCT(--(
TRIM(LEFT(Teeth!$A:$A,SEARCH("§",SUBSTITUTE(Teeth!$A:$A," ","§",2)&amp;"§")-1))=
TRIM(LEFT(A171,SEARCH("§",SUBSTITUTE(A171," ","§",2)&amp;"§")-1))
))&gt;0,
IF(
COUNT(_xlfn._xlws.FILTER(Teeth!$D:$D,
TRIM(LEFT(Teeth!$A:$A,SEARCH("§",SUBSTITUTE(Teeth!$A:$A," ","§",2)&amp;"§")-1))=
TRIM(LEFT(A171,SEARCH("§",SUBSTITUTE(A171," ","§",2)&amp;"§")-1))
))=0,
1,
MAX(_xlfn._xlws.FILTER(Teeth!$D:$D,
TRIM(LEFT(Teeth!$A:$A,SEARCH("§",SUBSTITUTE(Teeth!$A:$A," ","§",2)&amp;"§")-1))=
TRIM(LEFT(A171,SEARCH("§",SUBSTITUTE(A171," ","§",2)&amp;"§")-1))
))
),
IF(
SUMPRODUCT(--(
TRIM(LEFT(Teeth!$A:$A,SEARCH(" ",Teeth!$A:$A&amp;" ")-1))=
TRIM(LEFT(A171,SEARCH(" ",A171&amp;" ")-1))
))&gt;0,
IF(
COUNT(_xlfn._xlws.FILTER(Teeth!$D:$D,
TRIM(LEFT(Teeth!$A:$A,SEARCH(" ",Teeth!$A:$A&amp;" ")-1))=
TRIM(LEFT(A171,SEARCH(" ",A171&amp;" ")-1))
))=0,
1,
AVERAGE(_xlfn._xlws.FILTER(Teeth!$D:$D,
TRIM(LEFT(Teeth!$A:$A,SEARCH(" ",Teeth!$A:$A&amp;" ")-1))=
TRIM(LEFT(A171,SEARCH(" ",A171&amp;" ")-1))
))
),
1
)
)</f>
        <v>1</v>
      </c>
    </row>
    <row r="172" spans="1:2" x14ac:dyDescent="0.25">
      <c r="A172" s="2" t="str">
        <f>'[1]Base stats'!$B172</f>
        <v>Paragnathus paradocus</v>
      </c>
      <c r="B172" s="20" cm="1">
        <f t="array" ref="B172">IF(
SUMPRODUCT(--(
TRIM(LEFT(Teeth!$A:$A,SEARCH("§",SUBSTITUTE(Teeth!$A:$A," ","§",2)&amp;"§")-1))=
TRIM(LEFT(A172,SEARCH("§",SUBSTITUTE(A172," ","§",2)&amp;"§")-1))
))&gt;0,
IF(
COUNT(_xlfn._xlws.FILTER(Teeth!$D:$D,
TRIM(LEFT(Teeth!$A:$A,SEARCH("§",SUBSTITUTE(Teeth!$A:$A," ","§",2)&amp;"§")-1))=
TRIM(LEFT(A172,SEARCH("§",SUBSTITUTE(A172," ","§",2)&amp;"§")-1))
))=0,
1,
MAX(_xlfn._xlws.FILTER(Teeth!$D:$D,
TRIM(LEFT(Teeth!$A:$A,SEARCH("§",SUBSTITUTE(Teeth!$A:$A," ","§",2)&amp;"§")-1))=
TRIM(LEFT(A172,SEARCH("§",SUBSTITUTE(A172," ","§",2)&amp;"§")-1))
))
),
IF(
SUMPRODUCT(--(
TRIM(LEFT(Teeth!$A:$A,SEARCH(" ",Teeth!$A:$A&amp;" ")-1))=
TRIM(LEFT(A172,SEARCH(" ",A172&amp;" ")-1))
))&gt;0,
IF(
COUNT(_xlfn._xlws.FILTER(Teeth!$D:$D,
TRIM(LEFT(Teeth!$A:$A,SEARCH(" ",Teeth!$A:$A&amp;" ")-1))=
TRIM(LEFT(A172,SEARCH(" ",A172&amp;" ")-1))
))=0,
1,
AVERAGE(_xlfn._xlws.FILTER(Teeth!$D:$D,
TRIM(LEFT(Teeth!$A:$A,SEARCH(" ",Teeth!$A:$A&amp;" ")-1))=
TRIM(LEFT(A172,SEARCH(" ",A172&amp;" ")-1))
))
),
1
)
)</f>
        <v>1</v>
      </c>
    </row>
    <row r="173" spans="1:2" x14ac:dyDescent="0.25">
      <c r="A173" s="2" t="str">
        <f>'[1]Base stats'!$B173</f>
        <v>Mustela nigripes</v>
      </c>
      <c r="B173" s="20" cm="1">
        <f t="array" ref="B173">IF(
SUMPRODUCT(--(
TRIM(LEFT(Teeth!$A:$A,SEARCH("§",SUBSTITUTE(Teeth!$A:$A," ","§",2)&amp;"§")-1))=
TRIM(LEFT(A173,SEARCH("§",SUBSTITUTE(A173," ","§",2)&amp;"§")-1))
))&gt;0,
IF(
COUNT(_xlfn._xlws.FILTER(Teeth!$D:$D,
TRIM(LEFT(Teeth!$A:$A,SEARCH("§",SUBSTITUTE(Teeth!$A:$A," ","§",2)&amp;"§")-1))=
TRIM(LEFT(A173,SEARCH("§",SUBSTITUTE(A173," ","§",2)&amp;"§")-1))
))=0,
1,
MAX(_xlfn._xlws.FILTER(Teeth!$D:$D,
TRIM(LEFT(Teeth!$A:$A,SEARCH("§",SUBSTITUTE(Teeth!$A:$A," ","§",2)&amp;"§")-1))=
TRIM(LEFT(A173,SEARCH("§",SUBSTITUTE(A173," ","§",2)&amp;"§")-1))
))
),
IF(
SUMPRODUCT(--(
TRIM(LEFT(Teeth!$A:$A,SEARCH(" ",Teeth!$A:$A&amp;" ")-1))=
TRIM(LEFT(A173,SEARCH(" ",A173&amp;" ")-1))
))&gt;0,
IF(
COUNT(_xlfn._xlws.FILTER(Teeth!$D:$D,
TRIM(LEFT(Teeth!$A:$A,SEARCH(" ",Teeth!$A:$A&amp;" ")-1))=
TRIM(LEFT(A173,SEARCH(" ",A173&amp;" ")-1))
))=0,
1,
AVERAGE(_xlfn._xlws.FILTER(Teeth!$D:$D,
TRIM(LEFT(Teeth!$A:$A,SEARCH(" ",Teeth!$A:$A&amp;" ")-1))=
TRIM(LEFT(A173,SEARCH(" ",A173&amp;" ")-1))
))
),
1
)
)</f>
        <v>1.2697912324530132</v>
      </c>
    </row>
    <row r="174" spans="1:2" x14ac:dyDescent="0.25">
      <c r="A174" s="2" t="str">
        <f>'[1]Base stats'!$B174</f>
        <v>Diceros bicornis</v>
      </c>
      <c r="B174" s="20" cm="1">
        <f t="array" ref="B174">IF(
SUMPRODUCT(--(
TRIM(LEFT(Teeth!$A:$A,SEARCH("§",SUBSTITUTE(Teeth!$A:$A," ","§",2)&amp;"§")-1))=
TRIM(LEFT(A174,SEARCH("§",SUBSTITUTE(A174," ","§",2)&amp;"§")-1))
))&gt;0,
IF(
COUNT(_xlfn._xlws.FILTER(Teeth!$D:$D,
TRIM(LEFT(Teeth!$A:$A,SEARCH("§",SUBSTITUTE(Teeth!$A:$A," ","§",2)&amp;"§")-1))=
TRIM(LEFT(A174,SEARCH("§",SUBSTITUTE(A174," ","§",2)&amp;"§")-1))
))=0,
1,
MAX(_xlfn._xlws.FILTER(Teeth!$D:$D,
TRIM(LEFT(Teeth!$A:$A,SEARCH("§",SUBSTITUTE(Teeth!$A:$A," ","§",2)&amp;"§")-1))=
TRIM(LEFT(A174,SEARCH("§",SUBSTITUTE(A174," ","§",2)&amp;"§")-1))
))
),
IF(
SUMPRODUCT(--(
TRIM(LEFT(Teeth!$A:$A,SEARCH(" ",Teeth!$A:$A&amp;" ")-1))=
TRIM(LEFT(A174,SEARCH(" ",A174&amp;" ")-1))
))&gt;0,
IF(
COUNT(_xlfn._xlws.FILTER(Teeth!$D:$D,
TRIM(LEFT(Teeth!$A:$A,SEARCH(" ",Teeth!$A:$A&amp;" ")-1))=
TRIM(LEFT(A174,SEARCH(" ",A174&amp;" ")-1))
))=0,
1,
AVERAGE(_xlfn._xlws.FILTER(Teeth!$D:$D,
TRIM(LEFT(Teeth!$A:$A,SEARCH(" ",Teeth!$A:$A&amp;" ")-1))=
TRIM(LEFT(A174,SEARCH(" ",A174&amp;" ")-1))
))
),
1
)
)</f>
        <v>1</v>
      </c>
    </row>
    <row r="175" spans="1:2" x14ac:dyDescent="0.25">
      <c r="A175" s="2" t="str">
        <f>'[1]Base stats'!$B175</f>
        <v>Pan paniscus</v>
      </c>
      <c r="B175" s="20" cm="1">
        <f t="array" ref="B175">IF(
SUMPRODUCT(--(
TRIM(LEFT(Teeth!$A:$A,SEARCH("§",SUBSTITUTE(Teeth!$A:$A," ","§",2)&amp;"§")-1))=
TRIM(LEFT(A175,SEARCH("§",SUBSTITUTE(A175," ","§",2)&amp;"§")-1))
))&gt;0,
IF(
COUNT(_xlfn._xlws.FILTER(Teeth!$D:$D,
TRIM(LEFT(Teeth!$A:$A,SEARCH("§",SUBSTITUTE(Teeth!$A:$A," ","§",2)&amp;"§")-1))=
TRIM(LEFT(A175,SEARCH("§",SUBSTITUTE(A175," ","§",2)&amp;"§")-1))
))=0,
1,
MAX(_xlfn._xlws.FILTER(Teeth!$D:$D,
TRIM(LEFT(Teeth!$A:$A,SEARCH("§",SUBSTITUTE(Teeth!$A:$A," ","§",2)&amp;"§")-1))=
TRIM(LEFT(A175,SEARCH("§",SUBSTITUTE(A175," ","§",2)&amp;"§")-1))
))
),
IF(
SUMPRODUCT(--(
TRIM(LEFT(Teeth!$A:$A,SEARCH(" ",Teeth!$A:$A&amp;" ")-1))=
TRIM(LEFT(A175,SEARCH(" ",A175&amp;" ")-1))
))&gt;0,
IF(
COUNT(_xlfn._xlws.FILTER(Teeth!$D:$D,
TRIM(LEFT(Teeth!$A:$A,SEARCH(" ",Teeth!$A:$A&amp;" ")-1))=
TRIM(LEFT(A175,SEARCH(" ",A175&amp;" ")-1))
))=0,
1,
AVERAGE(_xlfn._xlws.FILTER(Teeth!$D:$D,
TRIM(LEFT(Teeth!$A:$A,SEARCH(" ",Teeth!$A:$A&amp;" ")-1))=
TRIM(LEFT(A175,SEARCH(" ",A175&amp;" ")-1))
))
),
1
)
)</f>
        <v>0.52290607632225938</v>
      </c>
    </row>
    <row r="176" spans="1:2" x14ac:dyDescent="0.25">
      <c r="A176" s="2" t="str">
        <f>'[1]Base stats'!$B176</f>
        <v>Dinornis novaezealandiae</v>
      </c>
      <c r="B176" s="20" cm="1">
        <f t="array" ref="B176">IF(
SUMPRODUCT(--(
TRIM(LEFT(Teeth!$A:$A,SEARCH("§",SUBSTITUTE(Teeth!$A:$A," ","§",2)&amp;"§")-1))=
TRIM(LEFT(A176,SEARCH("§",SUBSTITUTE(A176," ","§",2)&amp;"§")-1))
))&gt;0,
IF(
COUNT(_xlfn._xlws.FILTER(Teeth!$D:$D,
TRIM(LEFT(Teeth!$A:$A,SEARCH("§",SUBSTITUTE(Teeth!$A:$A," ","§",2)&amp;"§")-1))=
TRIM(LEFT(A176,SEARCH("§",SUBSTITUTE(A176," ","§",2)&amp;"§")-1))
))=0,
1,
MAX(_xlfn._xlws.FILTER(Teeth!$D:$D,
TRIM(LEFT(Teeth!$A:$A,SEARCH("§",SUBSTITUTE(Teeth!$A:$A," ","§",2)&amp;"§")-1))=
TRIM(LEFT(A176,SEARCH("§",SUBSTITUTE(A176," ","§",2)&amp;"§")-1))
))
),
IF(
SUMPRODUCT(--(
TRIM(LEFT(Teeth!$A:$A,SEARCH(" ",Teeth!$A:$A&amp;" ")-1))=
TRIM(LEFT(A176,SEARCH(" ",A176&amp;" ")-1))
))&gt;0,
IF(
COUNT(_xlfn._xlws.FILTER(Teeth!$D:$D,
TRIM(LEFT(Teeth!$A:$A,SEARCH(" ",Teeth!$A:$A&amp;" ")-1))=
TRIM(LEFT(A176,SEARCH(" ",A176&amp;" ")-1))
))=0,
1,
AVERAGE(_xlfn._xlws.FILTER(Teeth!$D:$D,
TRIM(LEFT(Teeth!$A:$A,SEARCH(" ",Teeth!$A:$A&amp;" ")-1))=
TRIM(LEFT(A176,SEARCH(" ",A176&amp;" ")-1))
))
),
1
)
)</f>
        <v>1</v>
      </c>
    </row>
    <row r="177" spans="1:2" x14ac:dyDescent="0.25">
      <c r="A177" s="2" t="str">
        <f>'[1]Base stats'!$B177</f>
        <v>Equus quagga</v>
      </c>
      <c r="B177" s="20" cm="1">
        <f t="array" ref="B177">IF(
SUMPRODUCT(--(
TRIM(LEFT(Teeth!$A:$A,SEARCH("§",SUBSTITUTE(Teeth!$A:$A," ","§",2)&amp;"§")-1))=
TRIM(LEFT(A177,SEARCH("§",SUBSTITUTE(A177," ","§",2)&amp;"§")-1))
))&gt;0,
IF(
COUNT(_xlfn._xlws.FILTER(Teeth!$D:$D,
TRIM(LEFT(Teeth!$A:$A,SEARCH("§",SUBSTITUTE(Teeth!$A:$A," ","§",2)&amp;"§")-1))=
TRIM(LEFT(A177,SEARCH("§",SUBSTITUTE(A177," ","§",2)&amp;"§")-1))
))=0,
1,
MAX(_xlfn._xlws.FILTER(Teeth!$D:$D,
TRIM(LEFT(Teeth!$A:$A,SEARCH("§",SUBSTITUTE(Teeth!$A:$A," ","§",2)&amp;"§")-1))=
TRIM(LEFT(A177,SEARCH("§",SUBSTITUTE(A177," ","§",2)&amp;"§")-1))
))
),
IF(
SUMPRODUCT(--(
TRIM(LEFT(Teeth!$A:$A,SEARCH(" ",Teeth!$A:$A&amp;" ")-1))=
TRIM(LEFT(A177,SEARCH(" ",A177&amp;" ")-1))
))&gt;0,
IF(
COUNT(_xlfn._xlws.FILTER(Teeth!$D:$D,
TRIM(LEFT(Teeth!$A:$A,SEARCH(" ",Teeth!$A:$A&amp;" ")-1))=
TRIM(LEFT(A177,SEARCH(" ",A177&amp;" ")-1))
))=0,
1,
AVERAGE(_xlfn._xlws.FILTER(Teeth!$D:$D,
TRIM(LEFT(Teeth!$A:$A,SEARCH(" ",Teeth!$A:$A&amp;" ")-1))=
TRIM(LEFT(A177,SEARCH(" ",A177&amp;" ")-1))
))
),
1
)
)</f>
        <v>1</v>
      </c>
    </row>
    <row r="178" spans="1:2" x14ac:dyDescent="0.25">
      <c r="A178" s="2" t="str">
        <f>'[1]Base stats'!$B178</f>
        <v>Eudyptes chrysocome</v>
      </c>
      <c r="B178" s="20" cm="1">
        <f t="array" ref="B178">IF(
SUMPRODUCT(--(
TRIM(LEFT(Teeth!$A:$A,SEARCH("§",SUBSTITUTE(Teeth!$A:$A," ","§",2)&amp;"§")-1))=
TRIM(LEFT(A178,SEARCH("§",SUBSTITUTE(A178," ","§",2)&amp;"§")-1))
))&gt;0,
IF(
COUNT(_xlfn._xlws.FILTER(Teeth!$D:$D,
TRIM(LEFT(Teeth!$A:$A,SEARCH("§",SUBSTITUTE(Teeth!$A:$A," ","§",2)&amp;"§")-1))=
TRIM(LEFT(A178,SEARCH("§",SUBSTITUTE(A178," ","§",2)&amp;"§")-1))
))=0,
1,
MAX(_xlfn._xlws.FILTER(Teeth!$D:$D,
TRIM(LEFT(Teeth!$A:$A,SEARCH("§",SUBSTITUTE(Teeth!$A:$A," ","§",2)&amp;"§")-1))=
TRIM(LEFT(A178,SEARCH("§",SUBSTITUTE(A178," ","§",2)&amp;"§")-1))
))
),
IF(
SUMPRODUCT(--(
TRIM(LEFT(Teeth!$A:$A,SEARCH(" ",Teeth!$A:$A&amp;" ")-1))=
TRIM(LEFT(A178,SEARCH(" ",A178&amp;" ")-1))
))&gt;0,
IF(
COUNT(_xlfn._xlws.FILTER(Teeth!$D:$D,
TRIM(LEFT(Teeth!$A:$A,SEARCH(" ",Teeth!$A:$A&amp;" ")-1))=
TRIM(LEFT(A178,SEARCH(" ",A178&amp;" ")-1))
))=0,
1,
AVERAGE(_xlfn._xlws.FILTER(Teeth!$D:$D,
TRIM(LEFT(Teeth!$A:$A,SEARCH(" ",Teeth!$A:$A&amp;" ")-1))=
TRIM(LEFT(A178,SEARCH(" ",A178&amp;" ")-1))
))
),
1
)
)</f>
        <v>1</v>
      </c>
    </row>
    <row r="179" spans="1:2" x14ac:dyDescent="0.25">
      <c r="A179" s="2" t="str">
        <f>'[1]Base stats'!$B179</f>
        <v>Sarcophilus harrisii</v>
      </c>
      <c r="B179" s="20" cm="1">
        <f t="array" ref="B179">IF(
SUMPRODUCT(--(
TRIM(LEFT(Teeth!$A:$A,SEARCH("§",SUBSTITUTE(Teeth!$A:$A," ","§",2)&amp;"§")-1))=
TRIM(LEFT(A179,SEARCH("§",SUBSTITUTE(A179," ","§",2)&amp;"§")-1))
))&gt;0,
IF(
COUNT(_xlfn._xlws.FILTER(Teeth!$D:$D,
TRIM(LEFT(Teeth!$A:$A,SEARCH("§",SUBSTITUTE(Teeth!$A:$A," ","§",2)&amp;"§")-1))=
TRIM(LEFT(A179,SEARCH("§",SUBSTITUTE(A179," ","§",2)&amp;"§")-1))
))=0,
1,
MAX(_xlfn._xlws.FILTER(Teeth!$D:$D,
TRIM(LEFT(Teeth!$A:$A,SEARCH("§",SUBSTITUTE(Teeth!$A:$A," ","§",2)&amp;"§")-1))=
TRIM(LEFT(A179,SEARCH("§",SUBSTITUTE(A179," ","§",2)&amp;"§")-1))
))
),
IF(
SUMPRODUCT(--(
TRIM(LEFT(Teeth!$A:$A,SEARCH(" ",Teeth!$A:$A&amp;" ")-1))=
TRIM(LEFT(A179,SEARCH(" ",A179&amp;" ")-1))
))&gt;0,
IF(
COUNT(_xlfn._xlws.FILTER(Teeth!$D:$D,
TRIM(LEFT(Teeth!$A:$A,SEARCH(" ",Teeth!$A:$A&amp;" ")-1))=
TRIM(LEFT(A179,SEARCH(" ",A179&amp;" ")-1))
))=0,
1,
AVERAGE(_xlfn._xlws.FILTER(Teeth!$D:$D,
TRIM(LEFT(Teeth!$A:$A,SEARCH(" ",Teeth!$A:$A&amp;" ")-1))=
TRIM(LEFT(A179,SEARCH(" ",A179&amp;" ")-1))
))
),
1
)
)</f>
        <v>1</v>
      </c>
    </row>
    <row r="180" spans="1:2" x14ac:dyDescent="0.25">
      <c r="A180" s="2" t="str">
        <f>'[1]Base stats'!$B180</f>
        <v>Thylacinus cynocephalus</v>
      </c>
      <c r="B180" s="20" cm="1">
        <f t="array" ref="B180">IF(
SUMPRODUCT(--(
TRIM(LEFT(Teeth!$A:$A,SEARCH("§",SUBSTITUTE(Teeth!$A:$A," ","§",2)&amp;"§")-1))=
TRIM(LEFT(A180,SEARCH("§",SUBSTITUTE(A180," ","§",2)&amp;"§")-1))
))&gt;0,
IF(
COUNT(_xlfn._xlws.FILTER(Teeth!$D:$D,
TRIM(LEFT(Teeth!$A:$A,SEARCH("§",SUBSTITUTE(Teeth!$A:$A," ","§",2)&amp;"§")-1))=
TRIM(LEFT(A180,SEARCH("§",SUBSTITUTE(A180," ","§",2)&amp;"§")-1))
))=0,
1,
MAX(_xlfn._xlws.FILTER(Teeth!$D:$D,
TRIM(LEFT(Teeth!$A:$A,SEARCH("§",SUBSTITUTE(Teeth!$A:$A," ","§",2)&amp;"§")-1))=
TRIM(LEFT(A180,SEARCH("§",SUBSTITUTE(A180," ","§",2)&amp;"§")-1))
))
),
IF(
SUMPRODUCT(--(
TRIM(LEFT(Teeth!$A:$A,SEARCH(" ",Teeth!$A:$A&amp;" ")-1))=
TRIM(LEFT(A180,SEARCH(" ",A180&amp;" ")-1))
))&gt;0,
IF(
COUNT(_xlfn._xlws.FILTER(Teeth!$D:$D,
TRIM(LEFT(Teeth!$A:$A,SEARCH(" ",Teeth!$A:$A&amp;" ")-1))=
TRIM(LEFT(A180,SEARCH(" ",A180&amp;" ")-1))
))=0,
1,
AVERAGE(_xlfn._xlws.FILTER(Teeth!$D:$D,
TRIM(LEFT(Teeth!$A:$A,SEARCH(" ",Teeth!$A:$A&amp;" ")-1))=
TRIM(LEFT(A180,SEARCH(" ",A180&amp;" ")-1))
))
),
1
)
)</f>
        <v>1</v>
      </c>
    </row>
    <row r="181" spans="1:2" x14ac:dyDescent="0.25">
      <c r="A181" s="2" t="str">
        <f>'[1]Base stats'!$B181</f>
        <v>Lycaon pictus</v>
      </c>
      <c r="B181" s="20" cm="1">
        <f t="array" ref="B181">IF(
SUMPRODUCT(--(
TRIM(LEFT(Teeth!$A:$A,SEARCH("§",SUBSTITUTE(Teeth!$A:$A," ","§",2)&amp;"§")-1))=
TRIM(LEFT(A181,SEARCH("§",SUBSTITUTE(A181," ","§",2)&amp;"§")-1))
))&gt;0,
IF(
COUNT(_xlfn._xlws.FILTER(Teeth!$D:$D,
TRIM(LEFT(Teeth!$A:$A,SEARCH("§",SUBSTITUTE(Teeth!$A:$A," ","§",2)&amp;"§")-1))=
TRIM(LEFT(A181,SEARCH("§",SUBSTITUTE(A181," ","§",2)&amp;"§")-1))
))=0,
1,
MAX(_xlfn._xlws.FILTER(Teeth!$D:$D,
TRIM(LEFT(Teeth!$A:$A,SEARCH("§",SUBSTITUTE(Teeth!$A:$A," ","§",2)&amp;"§")-1))=
TRIM(LEFT(A181,SEARCH("§",SUBSTITUTE(A181," ","§",2)&amp;"§")-1))
))
),
IF(
SUMPRODUCT(--(
TRIM(LEFT(Teeth!$A:$A,SEARCH(" ",Teeth!$A:$A&amp;" ")-1))=
TRIM(LEFT(A181,SEARCH(" ",A181&amp;" ")-1))
))&gt;0,
IF(
COUNT(_xlfn._xlws.FILTER(Teeth!$D:$D,
TRIM(LEFT(Teeth!$A:$A,SEARCH(" ",Teeth!$A:$A&amp;" ")-1))=
TRIM(LEFT(A181,SEARCH(" ",A181&amp;" ")-1))
))=0,
1,
AVERAGE(_xlfn._xlws.FILTER(Teeth!$D:$D,
TRIM(LEFT(Teeth!$A:$A,SEARCH(" ",Teeth!$A:$A&amp;" ")-1))=
TRIM(LEFT(A181,SEARCH(" ",A181&amp;" ")-1))
))
),
1
)
)</f>
        <v>1.0222399759593972</v>
      </c>
    </row>
    <row r="182" spans="1:2" x14ac:dyDescent="0.25">
      <c r="A182" s="2" t="str">
        <f>'[1]Base stats'!$B182</f>
        <v>Manis crassicaudata</v>
      </c>
      <c r="B182" s="20" cm="1">
        <f t="array" ref="B182">IF(
SUMPRODUCT(--(
TRIM(LEFT(Teeth!$A:$A,SEARCH("§",SUBSTITUTE(Teeth!$A:$A," ","§",2)&amp;"§")-1))=
TRIM(LEFT(A182,SEARCH("§",SUBSTITUTE(A182," ","§",2)&amp;"§")-1))
))&gt;0,
IF(
COUNT(_xlfn._xlws.FILTER(Teeth!$D:$D,
TRIM(LEFT(Teeth!$A:$A,SEARCH("§",SUBSTITUTE(Teeth!$A:$A," ","§",2)&amp;"§")-1))=
TRIM(LEFT(A182,SEARCH("§",SUBSTITUTE(A182," ","§",2)&amp;"§")-1))
))=0,
1,
MAX(_xlfn._xlws.FILTER(Teeth!$D:$D,
TRIM(LEFT(Teeth!$A:$A,SEARCH("§",SUBSTITUTE(Teeth!$A:$A," ","§",2)&amp;"§")-1))=
TRIM(LEFT(A182,SEARCH("§",SUBSTITUTE(A182," ","§",2)&amp;"§")-1))
))
),
IF(
SUMPRODUCT(--(
TRIM(LEFT(Teeth!$A:$A,SEARCH(" ",Teeth!$A:$A&amp;" ")-1))=
TRIM(LEFT(A182,SEARCH(" ",A182&amp;" ")-1))
))&gt;0,
IF(
COUNT(_xlfn._xlws.FILTER(Teeth!$D:$D,
TRIM(LEFT(Teeth!$A:$A,SEARCH(" ",Teeth!$A:$A&amp;" ")-1))=
TRIM(LEFT(A182,SEARCH(" ",A182&amp;" ")-1))
))=0,
1,
AVERAGE(_xlfn._xlws.FILTER(Teeth!$D:$D,
TRIM(LEFT(Teeth!$A:$A,SEARCH(" ",Teeth!$A:$A&amp;" ")-1))=
TRIM(LEFT(A182,SEARCH(" ",A182&amp;" ")-1))
))
),
1
)
)</f>
        <v>1</v>
      </c>
    </row>
    <row r="183" spans="1:2" x14ac:dyDescent="0.25">
      <c r="A183" s="2" t="str">
        <f>'[1]Base stats'!$B183</f>
        <v>Hydra toxifera</v>
      </c>
      <c r="B183" s="20" cm="1">
        <f t="array" ref="B183">IF(
SUMPRODUCT(--(
TRIM(LEFT(Teeth!$A:$A,SEARCH("§",SUBSTITUTE(Teeth!$A:$A," ","§",2)&amp;"§")-1))=
TRIM(LEFT(A183,SEARCH("§",SUBSTITUTE(A183," ","§",2)&amp;"§")-1))
))&gt;0,
IF(
COUNT(_xlfn._xlws.FILTER(Teeth!$D:$D,
TRIM(LEFT(Teeth!$A:$A,SEARCH("§",SUBSTITUTE(Teeth!$A:$A," ","§",2)&amp;"§")-1))=
TRIM(LEFT(A183,SEARCH("§",SUBSTITUTE(A183," ","§",2)&amp;"§")-1))
))=0,
1,
MAX(_xlfn._xlws.FILTER(Teeth!$D:$D,
TRIM(LEFT(Teeth!$A:$A,SEARCH("§",SUBSTITUTE(Teeth!$A:$A," ","§",2)&amp;"§")-1))=
TRIM(LEFT(A183,SEARCH("§",SUBSTITUTE(A183," ","§",2)&amp;"§")-1))
))
),
IF(
SUMPRODUCT(--(
TRIM(LEFT(Teeth!$A:$A,SEARCH(" ",Teeth!$A:$A&amp;" ")-1))=
TRIM(LEFT(A183,SEARCH(" ",A183&amp;" ")-1))
))&gt;0,
IF(
COUNT(_xlfn._xlws.FILTER(Teeth!$D:$D,
TRIM(LEFT(Teeth!$A:$A,SEARCH(" ",Teeth!$A:$A&amp;" ")-1))=
TRIM(LEFT(A183,SEARCH(" ",A183&amp;" ")-1))
))=0,
1,
AVERAGE(_xlfn._xlws.FILTER(Teeth!$D:$D,
TRIM(LEFT(Teeth!$A:$A,SEARCH(" ",Teeth!$A:$A&amp;" ")-1))=
TRIM(LEFT(A183,SEARCH(" ",A183&amp;" ")-1))
))
),
1
)
)</f>
        <v>1</v>
      </c>
    </row>
    <row r="184" spans="1:2" x14ac:dyDescent="0.25">
      <c r="A184" s="2" t="str">
        <f>'[1]Base stats'!$B184</f>
        <v>Megatardi gigantea</v>
      </c>
      <c r="B184" s="20" cm="1">
        <f t="array" ref="B184">IF(
SUMPRODUCT(--(
TRIM(LEFT(Teeth!$A:$A,SEARCH("§",SUBSTITUTE(Teeth!$A:$A," ","§",2)&amp;"§")-1))=
TRIM(LEFT(A184,SEARCH("§",SUBSTITUTE(A184," ","§",2)&amp;"§")-1))
))&gt;0,
IF(
COUNT(_xlfn._xlws.FILTER(Teeth!$D:$D,
TRIM(LEFT(Teeth!$A:$A,SEARCH("§",SUBSTITUTE(Teeth!$A:$A," ","§",2)&amp;"§")-1))=
TRIM(LEFT(A184,SEARCH("§",SUBSTITUTE(A184," ","§",2)&amp;"§")-1))
))=0,
1,
MAX(_xlfn._xlws.FILTER(Teeth!$D:$D,
TRIM(LEFT(Teeth!$A:$A,SEARCH("§",SUBSTITUTE(Teeth!$A:$A," ","§",2)&amp;"§")-1))=
TRIM(LEFT(A184,SEARCH("§",SUBSTITUTE(A184," ","§",2)&amp;"§")-1))
))
),
IF(
SUMPRODUCT(--(
TRIM(LEFT(Teeth!$A:$A,SEARCH(" ",Teeth!$A:$A&amp;" ")-1))=
TRIM(LEFT(A184,SEARCH(" ",A184&amp;" ")-1))
))&gt;0,
IF(
COUNT(_xlfn._xlws.FILTER(Teeth!$D:$D,
TRIM(LEFT(Teeth!$A:$A,SEARCH(" ",Teeth!$A:$A&amp;" ")-1))=
TRIM(LEFT(A184,SEARCH(" ",A184&amp;" ")-1))
))=0,
1,
AVERAGE(_xlfn._xlws.FILTER(Teeth!$D:$D,
TRIM(LEFT(Teeth!$A:$A,SEARCH(" ",Teeth!$A:$A&amp;" ")-1))=
TRIM(LEFT(A184,SEARCH(" ",A184&amp;" ")-1))
))
),
1
)
)</f>
        <v>1</v>
      </c>
    </row>
    <row r="185" spans="1:2" x14ac:dyDescent="0.25">
      <c r="A185" s="2" t="str">
        <f>'[1]Base stats'!$B185</f>
        <v>Pestigator ferox</v>
      </c>
      <c r="B185" s="20" cm="1">
        <f t="array" ref="B185">IF(
SUMPRODUCT(--(
TRIM(LEFT(Teeth!$A:$A,SEARCH("§",SUBSTITUTE(Teeth!$A:$A," ","§",2)&amp;"§")-1))=
TRIM(LEFT(A185,SEARCH("§",SUBSTITUTE(A185," ","§",2)&amp;"§")-1))
))&gt;0,
IF(
COUNT(_xlfn._xlws.FILTER(Teeth!$D:$D,
TRIM(LEFT(Teeth!$A:$A,SEARCH("§",SUBSTITUTE(Teeth!$A:$A," ","§",2)&amp;"§")-1))=
TRIM(LEFT(A185,SEARCH("§",SUBSTITUTE(A185," ","§",2)&amp;"§")-1))
))=0,
1,
MAX(_xlfn._xlws.FILTER(Teeth!$D:$D,
TRIM(LEFT(Teeth!$A:$A,SEARCH("§",SUBSTITUTE(Teeth!$A:$A," ","§",2)&amp;"§")-1))=
TRIM(LEFT(A185,SEARCH("§",SUBSTITUTE(A185," ","§",2)&amp;"§")-1))
))
),
IF(
SUMPRODUCT(--(
TRIM(LEFT(Teeth!$A:$A,SEARCH(" ",Teeth!$A:$A&amp;" ")-1))=
TRIM(LEFT(A185,SEARCH(" ",A185&amp;" ")-1))
))&gt;0,
IF(
COUNT(_xlfn._xlws.FILTER(Teeth!$D:$D,
TRIM(LEFT(Teeth!$A:$A,SEARCH(" ",Teeth!$A:$A&amp;" ")-1))=
TRIM(LEFT(A185,SEARCH(" ",A185&amp;" ")-1))
))=0,
1,
AVERAGE(_xlfn._xlws.FILTER(Teeth!$D:$D,
TRIM(LEFT(Teeth!$A:$A,SEARCH(" ",Teeth!$A:$A&amp;" ")-1))=
TRIM(LEFT(A185,SEARCH(" ",A185&amp;" ")-1))
))
),
1
)
)</f>
        <v>1</v>
      </c>
    </row>
    <row r="186" spans="1:2" x14ac:dyDescent="0.25">
      <c r="A186" s="2" t="str">
        <f>'[1]Base stats'!$B186</f>
        <v>Vulpes toxifera</v>
      </c>
      <c r="B186" s="20" cm="1">
        <f t="array" ref="B186">IF(
SUMPRODUCT(--(
TRIM(LEFT(Teeth!$A:$A,SEARCH("§",SUBSTITUTE(Teeth!$A:$A," ","§",2)&amp;"§")-1))=
TRIM(LEFT(A186,SEARCH("§",SUBSTITUTE(A186," ","§",2)&amp;"§")-1))
))&gt;0,
IF(
COUNT(_xlfn._xlws.FILTER(Teeth!$D:$D,
TRIM(LEFT(Teeth!$A:$A,SEARCH("§",SUBSTITUTE(Teeth!$A:$A," ","§",2)&amp;"§")-1))=
TRIM(LEFT(A186,SEARCH("§",SUBSTITUTE(A186," ","§",2)&amp;"§")-1))
))=0,
1,
MAX(_xlfn._xlws.FILTER(Teeth!$D:$D,
TRIM(LEFT(Teeth!$A:$A,SEARCH("§",SUBSTITUTE(Teeth!$A:$A," ","§",2)&amp;"§")-1))=
TRIM(LEFT(A186,SEARCH("§",SUBSTITUTE(A186," ","§",2)&amp;"§")-1))
))
),
IF(
SUMPRODUCT(--(
TRIM(LEFT(Teeth!$A:$A,SEARCH(" ",Teeth!$A:$A&amp;" ")-1))=
TRIM(LEFT(A186,SEARCH(" ",A186&amp;" ")-1))
))&gt;0,
IF(
COUNT(_xlfn._xlws.FILTER(Teeth!$D:$D,
TRIM(LEFT(Teeth!$A:$A,SEARCH(" ",Teeth!$A:$A&amp;" ")-1))=
TRIM(LEFT(A186,SEARCH(" ",A186&amp;" ")-1))
))=0,
1,
AVERAGE(_xlfn._xlws.FILTER(Teeth!$D:$D,
TRIM(LEFT(Teeth!$A:$A,SEARCH(" ",Teeth!$A:$A&amp;" ")-1))=
TRIM(LEFT(A186,SEARCH(" ",A186&amp;" ")-1))
))
),
1
)
)</f>
        <v>1.2266423062576042</v>
      </c>
    </row>
    <row r="187" spans="1:2" x14ac:dyDescent="0.25">
      <c r="A187" s="2" t="str">
        <f>'[1]Base stats'!$B187</f>
        <v>Ursus toxus</v>
      </c>
      <c r="B187" s="20" cm="1">
        <f t="array" ref="B187">IF(
SUMPRODUCT(--(
TRIM(LEFT(Teeth!$A:$A,SEARCH("§",SUBSTITUTE(Teeth!$A:$A," ","§",2)&amp;"§")-1))=
TRIM(LEFT(A187,SEARCH("§",SUBSTITUTE(A187," ","§",2)&amp;"§")-1))
))&gt;0,
IF(
COUNT(_xlfn._xlws.FILTER(Teeth!$D:$D,
TRIM(LEFT(Teeth!$A:$A,SEARCH("§",SUBSTITUTE(Teeth!$A:$A," ","§",2)&amp;"§")-1))=
TRIM(LEFT(A187,SEARCH("§",SUBSTITUTE(A187," ","§",2)&amp;"§")-1))
))=0,
1,
MAX(_xlfn._xlws.FILTER(Teeth!$D:$D,
TRIM(LEFT(Teeth!$A:$A,SEARCH("§",SUBSTITUTE(Teeth!$A:$A," ","§",2)&amp;"§")-1))=
TRIM(LEFT(A187,SEARCH("§",SUBSTITUTE(A187," ","§",2)&amp;"§")-1))
))
),
IF(
SUMPRODUCT(--(
TRIM(LEFT(Teeth!$A:$A,SEARCH(" ",Teeth!$A:$A&amp;" ")-1))=
TRIM(LEFT(A187,SEARCH(" ",A187&amp;" ")-1))
))&gt;0,
IF(
COUNT(_xlfn._xlws.FILTER(Teeth!$D:$D,
TRIM(LEFT(Teeth!$A:$A,SEARCH(" ",Teeth!$A:$A&amp;" ")-1))=
TRIM(LEFT(A187,SEARCH(" ",A187&amp;" ")-1))
))=0,
1,
AVERAGE(_xlfn._xlws.FILTER(Teeth!$D:$D,
TRIM(LEFT(Teeth!$A:$A,SEARCH(" ",Teeth!$A:$A&amp;" ")-1))=
TRIM(LEFT(A187,SEARCH(" ",A187&amp;" ")-1))
))
),
1
)
)</f>
        <v>0.77716495074174219</v>
      </c>
    </row>
    <row r="188" spans="1:2" x14ac:dyDescent="0.25">
      <c r="A188" s="2" t="str">
        <f>'[1]Base stats'!$B188</f>
        <v>Iguana toxifera</v>
      </c>
      <c r="B188" s="20" cm="1">
        <f t="array" ref="B188">IF(
SUMPRODUCT(--(
TRIM(LEFT(Teeth!$A:$A,SEARCH("§",SUBSTITUTE(Teeth!$A:$A," ","§",2)&amp;"§")-1))=
TRIM(LEFT(A188,SEARCH("§",SUBSTITUTE(A188," ","§",2)&amp;"§")-1))
))&gt;0,
IF(
COUNT(_xlfn._xlws.FILTER(Teeth!$D:$D,
TRIM(LEFT(Teeth!$A:$A,SEARCH("§",SUBSTITUTE(Teeth!$A:$A," ","§",2)&amp;"§")-1))=
TRIM(LEFT(A188,SEARCH("§",SUBSTITUTE(A188," ","§",2)&amp;"§")-1))
))=0,
1,
MAX(_xlfn._xlws.FILTER(Teeth!$D:$D,
TRIM(LEFT(Teeth!$A:$A,SEARCH("§",SUBSTITUTE(Teeth!$A:$A," ","§",2)&amp;"§")-1))=
TRIM(LEFT(A188,SEARCH("§",SUBSTITUTE(A188," ","§",2)&amp;"§")-1))
))
),
IF(
SUMPRODUCT(--(
TRIM(LEFT(Teeth!$A:$A,SEARCH(" ",Teeth!$A:$A&amp;" ")-1))=
TRIM(LEFT(A188,SEARCH(" ",A188&amp;" ")-1))
))&gt;0,
IF(
COUNT(_xlfn._xlws.FILTER(Teeth!$D:$D,
TRIM(LEFT(Teeth!$A:$A,SEARCH(" ",Teeth!$A:$A&amp;" ")-1))=
TRIM(LEFT(A188,SEARCH(" ",A188&amp;" ")-1))
))=0,
1,
AVERAGE(_xlfn._xlws.FILTER(Teeth!$D:$D,
TRIM(LEFT(Teeth!$A:$A,SEARCH(" ",Teeth!$A:$A&amp;" ")-1))=
TRIM(LEFT(A188,SEARCH(" ",A188&amp;" ")-1))
))
),
1
)
)</f>
        <v>1</v>
      </c>
    </row>
    <row r="189" spans="1:2" x14ac:dyDescent="0.25">
      <c r="A189" s="2" t="str">
        <f>'[1]Base stats'!$B189</f>
        <v>Panthera toxileo</v>
      </c>
      <c r="B189" s="20" cm="1">
        <f t="array" ref="B189">IF(
SUMPRODUCT(--(
TRIM(LEFT(Teeth!$A:$A,SEARCH("§",SUBSTITUTE(Teeth!$A:$A," ","§",2)&amp;"§")-1))=
TRIM(LEFT(A189,SEARCH("§",SUBSTITUTE(A189," ","§",2)&amp;"§")-1))
))&gt;0,
IF(
COUNT(_xlfn._xlws.FILTER(Teeth!$D:$D,
TRIM(LEFT(Teeth!$A:$A,SEARCH("§",SUBSTITUTE(Teeth!$A:$A," ","§",2)&amp;"§")-1))=
TRIM(LEFT(A189,SEARCH("§",SUBSTITUTE(A189," ","§",2)&amp;"§")-1))
))=0,
1,
MAX(_xlfn._xlws.FILTER(Teeth!$D:$D,
TRIM(LEFT(Teeth!$A:$A,SEARCH("§",SUBSTITUTE(Teeth!$A:$A," ","§",2)&amp;"§")-1))=
TRIM(LEFT(A189,SEARCH("§",SUBSTITUTE(A189," ","§",2)&amp;"§")-1))
))
),
IF(
SUMPRODUCT(--(
TRIM(LEFT(Teeth!$A:$A,SEARCH(" ",Teeth!$A:$A&amp;" ")-1))=
TRIM(LEFT(A189,SEARCH(" ",A189&amp;" ")-1))
))&gt;0,
IF(
COUNT(_xlfn._xlws.FILTER(Teeth!$D:$D,
TRIM(LEFT(Teeth!$A:$A,SEARCH(" ",Teeth!$A:$A&amp;" ")-1))=
TRIM(LEFT(A189,SEARCH(" ",A189&amp;" ")-1))
))=0,
1,
AVERAGE(_xlfn._xlws.FILTER(Teeth!$D:$D,
TRIM(LEFT(Teeth!$A:$A,SEARCH(" ",Teeth!$A:$A&amp;" ")-1))=
TRIM(LEFT(A189,SEARCH(" ",A189&amp;" ")-1))
))
),
1
)
)</f>
        <v>1.1021218846899565</v>
      </c>
    </row>
    <row r="190" spans="1:2" x14ac:dyDescent="0.25">
      <c r="A190" s="2" t="str">
        <f>'[1]Base stats'!$B190</f>
        <v>Toxoscorpio bellator</v>
      </c>
      <c r="B190" s="20" cm="1">
        <f t="array" ref="B190">IF(
SUMPRODUCT(--(
TRIM(LEFT(Teeth!$A:$A,SEARCH("§",SUBSTITUTE(Teeth!$A:$A," ","§",2)&amp;"§")-1))=
TRIM(LEFT(A190,SEARCH("§",SUBSTITUTE(A190," ","§",2)&amp;"§")-1))
))&gt;0,
IF(
COUNT(_xlfn._xlws.FILTER(Teeth!$D:$D,
TRIM(LEFT(Teeth!$A:$A,SEARCH("§",SUBSTITUTE(Teeth!$A:$A," ","§",2)&amp;"§")-1))=
TRIM(LEFT(A190,SEARCH("§",SUBSTITUTE(A190," ","§",2)&amp;"§")-1))
))=0,
1,
MAX(_xlfn._xlws.FILTER(Teeth!$D:$D,
TRIM(LEFT(Teeth!$A:$A,SEARCH("§",SUBSTITUTE(Teeth!$A:$A," ","§",2)&amp;"§")-1))=
TRIM(LEFT(A190,SEARCH("§",SUBSTITUTE(A190," ","§",2)&amp;"§")-1))
))
),
IF(
SUMPRODUCT(--(
TRIM(LEFT(Teeth!$A:$A,SEARCH(" ",Teeth!$A:$A&amp;" ")-1))=
TRIM(LEFT(A190,SEARCH(" ",A190&amp;" ")-1))
))&gt;0,
IF(
COUNT(_xlfn._xlws.FILTER(Teeth!$D:$D,
TRIM(LEFT(Teeth!$A:$A,SEARCH(" ",Teeth!$A:$A&amp;" ")-1))=
TRIM(LEFT(A190,SEARCH(" ",A190&amp;" ")-1))
))=0,
1,
AVERAGE(_xlfn._xlws.FILTER(Teeth!$D:$D,
TRIM(LEFT(Teeth!$A:$A,SEARCH(" ",Teeth!$A:$A&amp;" ")-1))=
TRIM(LEFT(A190,SEARCH(" ",A190&amp;" ")-1))
))
),
1
)
)</f>
        <v>1</v>
      </c>
    </row>
    <row r="191" spans="1:2" x14ac:dyDescent="0.25">
      <c r="A191" s="2" t="str">
        <f>'[1]Base stats'!$B191</f>
        <v>Sus toxiscrofa</v>
      </c>
      <c r="B191" s="20" cm="1">
        <f t="array" ref="B191">IF(
SUMPRODUCT(--(
TRIM(LEFT(Teeth!$A:$A,SEARCH("§",SUBSTITUTE(Teeth!$A:$A," ","§",2)&amp;"§")-1))=
TRIM(LEFT(A191,SEARCH("§",SUBSTITUTE(A191," ","§",2)&amp;"§")-1))
))&gt;0,
IF(
COUNT(_xlfn._xlws.FILTER(Teeth!$D:$D,
TRIM(LEFT(Teeth!$A:$A,SEARCH("§",SUBSTITUTE(Teeth!$A:$A," ","§",2)&amp;"§")-1))=
TRIM(LEFT(A191,SEARCH("§",SUBSTITUTE(A191," ","§",2)&amp;"§")-1))
))=0,
1,
MAX(_xlfn._xlws.FILTER(Teeth!$D:$D,
TRIM(LEFT(Teeth!$A:$A,SEARCH("§",SUBSTITUTE(Teeth!$A:$A," ","§",2)&amp;"§")-1))=
TRIM(LEFT(A191,SEARCH("§",SUBSTITUTE(A191," ","§",2)&amp;"§")-1))
))
),
IF(
SUMPRODUCT(--(
TRIM(LEFT(Teeth!$A:$A,SEARCH(" ",Teeth!$A:$A&amp;" ")-1))=
TRIM(LEFT(A191,SEARCH(" ",A191&amp;" ")-1))
))&gt;0,
IF(
COUNT(_xlfn._xlws.FILTER(Teeth!$D:$D,
TRIM(LEFT(Teeth!$A:$A,SEARCH(" ",Teeth!$A:$A&amp;" ")-1))=
TRIM(LEFT(A191,SEARCH(" ",A191&amp;" ")-1))
))=0,
1,
AVERAGE(_xlfn._xlws.FILTER(Teeth!$D:$D,
TRIM(LEFT(Teeth!$A:$A,SEARCH(" ",Teeth!$A:$A&amp;" ")-1))=
TRIM(LEFT(A191,SEARCH(" ",A191&amp;" ")-1))
))
),
1
)
)</f>
        <v>1</v>
      </c>
    </row>
    <row r="192" spans="1:2" x14ac:dyDescent="0.25">
      <c r="A192" s="2" t="str">
        <f>'[1]Base stats'!$B192</f>
        <v>Odocoileus toxus</v>
      </c>
      <c r="B192" s="20" cm="1">
        <f t="array" ref="B192">IF(
SUMPRODUCT(--(
TRIM(LEFT(Teeth!$A:$A,SEARCH("§",SUBSTITUTE(Teeth!$A:$A," ","§",2)&amp;"§")-1))=
TRIM(LEFT(A192,SEARCH("§",SUBSTITUTE(A192," ","§",2)&amp;"§")-1))
))&gt;0,
IF(
COUNT(_xlfn._xlws.FILTER(Teeth!$D:$D,
TRIM(LEFT(Teeth!$A:$A,SEARCH("§",SUBSTITUTE(Teeth!$A:$A," ","§",2)&amp;"§")-1))=
TRIM(LEFT(A192,SEARCH("§",SUBSTITUTE(A192," ","§",2)&amp;"§")-1))
))=0,
1,
MAX(_xlfn._xlws.FILTER(Teeth!$D:$D,
TRIM(LEFT(Teeth!$A:$A,SEARCH("§",SUBSTITUTE(Teeth!$A:$A," ","§",2)&amp;"§")-1))=
TRIM(LEFT(A192,SEARCH("§",SUBSTITUTE(A192," ","§",2)&amp;"§")-1))
))
),
IF(
SUMPRODUCT(--(
TRIM(LEFT(Teeth!$A:$A,SEARCH(" ",Teeth!$A:$A&amp;" ")-1))=
TRIM(LEFT(A192,SEARCH(" ",A192&amp;" ")-1))
))&gt;0,
IF(
COUNT(_xlfn._xlws.FILTER(Teeth!$D:$D,
TRIM(LEFT(Teeth!$A:$A,SEARCH(" ",Teeth!$A:$A&amp;" ")-1))=
TRIM(LEFT(A192,SEARCH(" ",A192&amp;" ")-1))
))=0,
1,
AVERAGE(_xlfn._xlws.FILTER(Teeth!$D:$D,
TRIM(LEFT(Teeth!$A:$A,SEARCH(" ",Teeth!$A:$A&amp;" ")-1))=
TRIM(LEFT(A192,SEARCH(" ",A192&amp;" ")-1))
))
),
1
)
)</f>
        <v>1</v>
      </c>
    </row>
    <row r="193" spans="1:2" x14ac:dyDescent="0.25">
      <c r="A193" s="2" t="str">
        <f>'[1]Base stats'!$B193</f>
        <v>Pseudobison toxus</v>
      </c>
      <c r="B193" s="20" cm="1">
        <f t="array" ref="B193">IF(
SUMPRODUCT(--(
TRIM(LEFT(Teeth!$A:$A,SEARCH("§",SUBSTITUTE(Teeth!$A:$A," ","§",2)&amp;"§")-1))=
TRIM(LEFT(A193,SEARCH("§",SUBSTITUTE(A193," ","§",2)&amp;"§")-1))
))&gt;0,
IF(
COUNT(_xlfn._xlws.FILTER(Teeth!$D:$D,
TRIM(LEFT(Teeth!$A:$A,SEARCH("§",SUBSTITUTE(Teeth!$A:$A," ","§",2)&amp;"§")-1))=
TRIM(LEFT(A193,SEARCH("§",SUBSTITUTE(A193," ","§",2)&amp;"§")-1))
))=0,
1,
MAX(_xlfn._xlws.FILTER(Teeth!$D:$D,
TRIM(LEFT(Teeth!$A:$A,SEARCH("§",SUBSTITUTE(Teeth!$A:$A," ","§",2)&amp;"§")-1))=
TRIM(LEFT(A193,SEARCH("§",SUBSTITUTE(A193," ","§",2)&amp;"§")-1))
))
),
IF(
SUMPRODUCT(--(
TRIM(LEFT(Teeth!$A:$A,SEARCH(" ",Teeth!$A:$A&amp;" ")-1))=
TRIM(LEFT(A193,SEARCH(" ",A193&amp;" ")-1))
))&gt;0,
IF(
COUNT(_xlfn._xlws.FILTER(Teeth!$D:$D,
TRIM(LEFT(Teeth!$A:$A,SEARCH(" ",Teeth!$A:$A&amp;" ")-1))=
TRIM(LEFT(A193,SEARCH(" ",A193&amp;" ")-1))
))=0,
1,
AVERAGE(_xlfn._xlws.FILTER(Teeth!$D:$D,
TRIM(LEFT(Teeth!$A:$A,SEARCH(" ",Teeth!$A:$A&amp;" ")-1))=
TRIM(LEFT(A193,SEARCH(" ",A193&amp;" ")-1))
))
),
1
)
)</f>
        <v>1</v>
      </c>
    </row>
    <row r="194" spans="1:2" x14ac:dyDescent="0.25">
      <c r="A194" s="2" t="str">
        <f>'[1]Base stats'!$B194</f>
        <v>Acanthamoeba gigantea (small)</v>
      </c>
      <c r="B194" s="20" cm="1">
        <f t="array" ref="B194">IF(
SUMPRODUCT(--(
TRIM(LEFT(Teeth!$A:$A,SEARCH("§",SUBSTITUTE(Teeth!$A:$A," ","§",2)&amp;"§")-1))=
TRIM(LEFT(A194,SEARCH("§",SUBSTITUTE(A194," ","§",2)&amp;"§")-1))
))&gt;0,
IF(
COUNT(_xlfn._xlws.FILTER(Teeth!$D:$D,
TRIM(LEFT(Teeth!$A:$A,SEARCH("§",SUBSTITUTE(Teeth!$A:$A," ","§",2)&amp;"§")-1))=
TRIM(LEFT(A194,SEARCH("§",SUBSTITUTE(A194," ","§",2)&amp;"§")-1))
))=0,
1,
MAX(_xlfn._xlws.FILTER(Teeth!$D:$D,
TRIM(LEFT(Teeth!$A:$A,SEARCH("§",SUBSTITUTE(Teeth!$A:$A," ","§",2)&amp;"§")-1))=
TRIM(LEFT(A194,SEARCH("§",SUBSTITUTE(A194," ","§",2)&amp;"§")-1))
))
),
IF(
SUMPRODUCT(--(
TRIM(LEFT(Teeth!$A:$A,SEARCH(" ",Teeth!$A:$A&amp;" ")-1))=
TRIM(LEFT(A194,SEARCH(" ",A194&amp;" ")-1))
))&gt;0,
IF(
COUNT(_xlfn._xlws.FILTER(Teeth!$D:$D,
TRIM(LEFT(Teeth!$A:$A,SEARCH(" ",Teeth!$A:$A&amp;" ")-1))=
TRIM(LEFT(A194,SEARCH(" ",A194&amp;" ")-1))
))=0,
1,
AVERAGE(_xlfn._xlws.FILTER(Teeth!$D:$D,
TRIM(LEFT(Teeth!$A:$A,SEARCH(" ",Teeth!$A:$A&amp;" ")-1))=
TRIM(LEFT(A194,SEARCH(" ",A194&amp;" ")-1))
))
),
1
)
)</f>
        <v>1</v>
      </c>
    </row>
    <row r="195" spans="1:2" x14ac:dyDescent="0.25">
      <c r="A195" s="2" t="str">
        <f>'[1]Base stats'!$B195</f>
        <v>Acanthamoeba gigantea (large)</v>
      </c>
      <c r="B195" s="20" cm="1">
        <f t="array" ref="B195">IF(
SUMPRODUCT(--(
TRIM(LEFT(Teeth!$A:$A,SEARCH("§",SUBSTITUTE(Teeth!$A:$A," ","§",2)&amp;"§")-1))=
TRIM(LEFT(A195,SEARCH("§",SUBSTITUTE(A195," ","§",2)&amp;"§")-1))
))&gt;0,
IF(
COUNT(_xlfn._xlws.FILTER(Teeth!$D:$D,
TRIM(LEFT(Teeth!$A:$A,SEARCH("§",SUBSTITUTE(Teeth!$A:$A," ","§",2)&amp;"§")-1))=
TRIM(LEFT(A195,SEARCH("§",SUBSTITUTE(A195," ","§",2)&amp;"§")-1))
))=0,
1,
MAX(_xlfn._xlws.FILTER(Teeth!$D:$D,
TRIM(LEFT(Teeth!$A:$A,SEARCH("§",SUBSTITUTE(Teeth!$A:$A," ","§",2)&amp;"§")-1))=
TRIM(LEFT(A195,SEARCH("§",SUBSTITUTE(A195," ","§",2)&amp;"§")-1))
))
),
IF(
SUMPRODUCT(--(
TRIM(LEFT(Teeth!$A:$A,SEARCH(" ",Teeth!$A:$A&amp;" ")-1))=
TRIM(LEFT(A195,SEARCH(" ",A195&amp;" ")-1))
))&gt;0,
IF(
COUNT(_xlfn._xlws.FILTER(Teeth!$D:$D,
TRIM(LEFT(Teeth!$A:$A,SEARCH(" ",Teeth!$A:$A&amp;" ")-1))=
TRIM(LEFT(A195,SEARCH(" ",A195&amp;" ")-1))
))=0,
1,
AVERAGE(_xlfn._xlws.FILTER(Teeth!$D:$D,
TRIM(LEFT(Teeth!$A:$A,SEARCH(" ",Teeth!$A:$A&amp;" ")-1))=
TRIM(LEFT(A195,SEARCH(" ",A195&amp;" ")-1))
))
),
1
)
)</f>
        <v>1</v>
      </c>
    </row>
    <row r="196" spans="1:2" x14ac:dyDescent="0.25">
      <c r="A196" s="2" t="str">
        <f>'[1]Base stats'!$B196</f>
        <v>Acanthamoeba gigantea (huge)</v>
      </c>
      <c r="B196" s="20" cm="1">
        <f t="array" ref="B196">IF(
SUMPRODUCT(--(
TRIM(LEFT(Teeth!$A:$A,SEARCH("§",SUBSTITUTE(Teeth!$A:$A," ","§",2)&amp;"§")-1))=
TRIM(LEFT(A196,SEARCH("§",SUBSTITUTE(A196," ","§",2)&amp;"§")-1))
))&gt;0,
IF(
COUNT(_xlfn._xlws.FILTER(Teeth!$D:$D,
TRIM(LEFT(Teeth!$A:$A,SEARCH("§",SUBSTITUTE(Teeth!$A:$A," ","§",2)&amp;"§")-1))=
TRIM(LEFT(A196,SEARCH("§",SUBSTITUTE(A196," ","§",2)&amp;"§")-1))
))=0,
1,
MAX(_xlfn._xlws.FILTER(Teeth!$D:$D,
TRIM(LEFT(Teeth!$A:$A,SEARCH("§",SUBSTITUTE(Teeth!$A:$A," ","§",2)&amp;"§")-1))=
TRIM(LEFT(A196,SEARCH("§",SUBSTITUTE(A196," ","§",2)&amp;"§")-1))
))
),
IF(
SUMPRODUCT(--(
TRIM(LEFT(Teeth!$A:$A,SEARCH(" ",Teeth!$A:$A&amp;" ")-1))=
TRIM(LEFT(A196,SEARCH(" ",A196&amp;" ")-1))
))&gt;0,
IF(
COUNT(_xlfn._xlws.FILTER(Teeth!$D:$D,
TRIM(LEFT(Teeth!$A:$A,SEARCH(" ",Teeth!$A:$A&amp;" ")-1))=
TRIM(LEFT(A196,SEARCH(" ",A196&amp;" ")-1))
))=0,
1,
AVERAGE(_xlfn._xlws.FILTER(Teeth!$D:$D,
TRIM(LEFT(Teeth!$A:$A,SEARCH(" ",Teeth!$A:$A&amp;" ")-1))=
TRIM(LEFT(A196,SEARCH(" ",A196&amp;" ")-1))
))
),
1
)
)</f>
        <v>1</v>
      </c>
    </row>
    <row r="197" spans="1:2" x14ac:dyDescent="0.25">
      <c r="A197" s="2" t="str">
        <f>'[1]Base stats'!$B197</f>
        <v>Teratomor primordius</v>
      </c>
      <c r="B197" s="20" cm="1">
        <f t="array" ref="B197">IF(
SUMPRODUCT(--(
TRIM(LEFT(Teeth!$A:$A,SEARCH("§",SUBSTITUTE(Teeth!$A:$A," ","§",2)&amp;"§")-1))=
TRIM(LEFT(A197,SEARCH("§",SUBSTITUTE(A197," ","§",2)&amp;"§")-1))
))&gt;0,
IF(
COUNT(_xlfn._xlws.FILTER(Teeth!$D:$D,
TRIM(LEFT(Teeth!$A:$A,SEARCH("§",SUBSTITUTE(Teeth!$A:$A," ","§",2)&amp;"§")-1))=
TRIM(LEFT(A197,SEARCH("§",SUBSTITUTE(A197," ","§",2)&amp;"§")-1))
))=0,
1,
MAX(_xlfn._xlws.FILTER(Teeth!$D:$D,
TRIM(LEFT(Teeth!$A:$A,SEARCH("§",SUBSTITUTE(Teeth!$A:$A," ","§",2)&amp;"§")-1))=
TRIM(LEFT(A197,SEARCH("§",SUBSTITUTE(A197," ","§",2)&amp;"§")-1))
))
),
IF(
SUMPRODUCT(--(
TRIM(LEFT(Teeth!$A:$A,SEARCH(" ",Teeth!$A:$A&amp;" ")-1))=
TRIM(LEFT(A197,SEARCH(" ",A197&amp;" ")-1))
))&gt;0,
IF(
COUNT(_xlfn._xlws.FILTER(Teeth!$D:$D,
TRIM(LEFT(Teeth!$A:$A,SEARCH(" ",Teeth!$A:$A&amp;" ")-1))=
TRIM(LEFT(A197,SEARCH(" ",A197&amp;" ")-1))
))=0,
1,
AVERAGE(_xlfn._xlws.FILTER(Teeth!$D:$D,
TRIM(LEFT(Teeth!$A:$A,SEARCH(" ",Teeth!$A:$A&amp;" ")-1))=
TRIM(LEFT(A197,SEARCH(" ",A197&amp;" ")-1))
))
),
1
)
)</f>
        <v>1</v>
      </c>
    </row>
    <row r="198" spans="1:2" x14ac:dyDescent="0.25">
      <c r="A198" s="2" t="str">
        <f>'[1]Base stats'!$B198</f>
        <v>Protofluidum viride</v>
      </c>
      <c r="B198" s="20" cm="1">
        <f t="array" ref="B198">IF(
SUMPRODUCT(--(
TRIM(LEFT(Teeth!$A:$A,SEARCH("§",SUBSTITUTE(Teeth!$A:$A," ","§",2)&amp;"§")-1))=
TRIM(LEFT(A198,SEARCH("§",SUBSTITUTE(A198," ","§",2)&amp;"§")-1))
))&gt;0,
IF(
COUNT(_xlfn._xlws.FILTER(Teeth!$D:$D,
TRIM(LEFT(Teeth!$A:$A,SEARCH("§",SUBSTITUTE(Teeth!$A:$A," ","§",2)&amp;"§")-1))=
TRIM(LEFT(A198,SEARCH("§",SUBSTITUTE(A198," ","§",2)&amp;"§")-1))
))=0,
1,
MAX(_xlfn._xlws.FILTER(Teeth!$D:$D,
TRIM(LEFT(Teeth!$A:$A,SEARCH("§",SUBSTITUTE(Teeth!$A:$A," ","§",2)&amp;"§")-1))=
TRIM(LEFT(A198,SEARCH("§",SUBSTITUTE(A198," ","§",2)&amp;"§")-1))
))
),
IF(
SUMPRODUCT(--(
TRIM(LEFT(Teeth!$A:$A,SEARCH(" ",Teeth!$A:$A&amp;" ")-1))=
TRIM(LEFT(A198,SEARCH(" ",A198&amp;" ")-1))
))&gt;0,
IF(
COUNT(_xlfn._xlws.FILTER(Teeth!$D:$D,
TRIM(LEFT(Teeth!$A:$A,SEARCH(" ",Teeth!$A:$A&amp;" ")-1))=
TRIM(LEFT(A198,SEARCH(" ",A198&amp;" ")-1))
))=0,
1,
AVERAGE(_xlfn._xlws.FILTER(Teeth!$D:$D,
TRIM(LEFT(Teeth!$A:$A,SEARCH(" ",Teeth!$A:$A&amp;" ")-1))=
TRIM(LEFT(A198,SEARCH(" ",A198&amp;" ")-1))
))
),
1
)
)</f>
        <v>1</v>
      </c>
    </row>
    <row r="199" spans="1:2" x14ac:dyDescent="0.25">
      <c r="A199" s="2" t="str">
        <f>'[1]Base stats'!$B199</f>
        <v>Protofluidum rubrum</v>
      </c>
      <c r="B199" s="20" cm="1">
        <f t="array" ref="B199">IF(
SUMPRODUCT(--(
TRIM(LEFT(Teeth!$A:$A,SEARCH("§",SUBSTITUTE(Teeth!$A:$A," ","§",2)&amp;"§")-1))=
TRIM(LEFT(A199,SEARCH("§",SUBSTITUTE(A199," ","§",2)&amp;"§")-1))
))&gt;0,
IF(
COUNT(_xlfn._xlws.FILTER(Teeth!$D:$D,
TRIM(LEFT(Teeth!$A:$A,SEARCH("§",SUBSTITUTE(Teeth!$A:$A," ","§",2)&amp;"§")-1))=
TRIM(LEFT(A199,SEARCH("§",SUBSTITUTE(A199," ","§",2)&amp;"§")-1))
))=0,
1,
MAX(_xlfn._xlws.FILTER(Teeth!$D:$D,
TRIM(LEFT(Teeth!$A:$A,SEARCH("§",SUBSTITUTE(Teeth!$A:$A," ","§",2)&amp;"§")-1))=
TRIM(LEFT(A199,SEARCH("§",SUBSTITUTE(A199," ","§",2)&amp;"§")-1))
))
),
IF(
SUMPRODUCT(--(
TRIM(LEFT(Teeth!$A:$A,SEARCH(" ",Teeth!$A:$A&amp;" ")-1))=
TRIM(LEFT(A199,SEARCH(" ",A199&amp;" ")-1))
))&gt;0,
IF(
COUNT(_xlfn._xlws.FILTER(Teeth!$D:$D,
TRIM(LEFT(Teeth!$A:$A,SEARCH(" ",Teeth!$A:$A&amp;" ")-1))=
TRIM(LEFT(A199,SEARCH(" ",A199&amp;" ")-1))
))=0,
1,
AVERAGE(_xlfn._xlws.FILTER(Teeth!$D:$D,
TRIM(LEFT(Teeth!$A:$A,SEARCH(" ",Teeth!$A:$A&amp;" ")-1))=
TRIM(LEFT(A199,SEARCH(" ",A199&amp;" ")-1))
))
),
1
)
)</f>
        <v>1</v>
      </c>
    </row>
    <row r="200" spans="1:2" x14ac:dyDescent="0.25">
      <c r="A200" s="2" t="str">
        <f>'[1]Base stats'!$B200</f>
        <v>Sporus ruber</v>
      </c>
      <c r="B200" s="20" cm="1">
        <f t="array" ref="B200">IF(
SUMPRODUCT(--(
TRIM(LEFT(Teeth!$A:$A,SEARCH("§",SUBSTITUTE(Teeth!$A:$A," ","§",2)&amp;"§")-1))=
TRIM(LEFT(A200,SEARCH("§",SUBSTITUTE(A200," ","§",2)&amp;"§")-1))
))&gt;0,
IF(
COUNT(_xlfn._xlws.FILTER(Teeth!$D:$D,
TRIM(LEFT(Teeth!$A:$A,SEARCH("§",SUBSTITUTE(Teeth!$A:$A," ","§",2)&amp;"§")-1))=
TRIM(LEFT(A200,SEARCH("§",SUBSTITUTE(A200," ","§",2)&amp;"§")-1))
))=0,
1,
MAX(_xlfn._xlws.FILTER(Teeth!$D:$D,
TRIM(LEFT(Teeth!$A:$A,SEARCH("§",SUBSTITUTE(Teeth!$A:$A," ","§",2)&amp;"§")-1))=
TRIM(LEFT(A200,SEARCH("§",SUBSTITUTE(A200," ","§",2)&amp;"§")-1))
))
),
IF(
SUMPRODUCT(--(
TRIM(LEFT(Teeth!$A:$A,SEARCH(" ",Teeth!$A:$A&amp;" ")-1))=
TRIM(LEFT(A200,SEARCH(" ",A200&amp;" ")-1))
))&gt;0,
IF(
COUNT(_xlfn._xlws.FILTER(Teeth!$D:$D,
TRIM(LEFT(Teeth!$A:$A,SEARCH(" ",Teeth!$A:$A&amp;" ")-1))=
TRIM(LEFT(A200,SEARCH(" ",A200&amp;" ")-1))
))=0,
1,
AVERAGE(_xlfn._xlws.FILTER(Teeth!$D:$D,
TRIM(LEFT(Teeth!$A:$A,SEARCH(" ",Teeth!$A:$A&amp;" ")-1))=
TRIM(LEFT(A200,SEARCH(" ",A200&amp;" ")-1))
))
),
1
)
)</f>
        <v>1</v>
      </c>
    </row>
    <row r="201" spans="1:2" x14ac:dyDescent="0.25">
      <c r="A201" s="2" t="str">
        <f>'[1]Base stats'!$B201</f>
        <v>Gelatinous oculi</v>
      </c>
      <c r="B201" s="20" cm="1">
        <f t="array" ref="B201">IF(
SUMPRODUCT(--(
TRIM(LEFT(Teeth!$A:$A,SEARCH("§",SUBSTITUTE(Teeth!$A:$A," ","§",2)&amp;"§")-1))=
TRIM(LEFT(A201,SEARCH("§",SUBSTITUTE(A201," ","§",2)&amp;"§")-1))
))&gt;0,
IF(
COUNT(_xlfn._xlws.FILTER(Teeth!$D:$D,
TRIM(LEFT(Teeth!$A:$A,SEARCH("§",SUBSTITUTE(Teeth!$A:$A," ","§",2)&amp;"§")-1))=
TRIM(LEFT(A201,SEARCH("§",SUBSTITUTE(A201," ","§",2)&amp;"§")-1))
))=0,
1,
MAX(_xlfn._xlws.FILTER(Teeth!$D:$D,
TRIM(LEFT(Teeth!$A:$A,SEARCH("§",SUBSTITUTE(Teeth!$A:$A," ","§",2)&amp;"§")-1))=
TRIM(LEFT(A201,SEARCH("§",SUBSTITUTE(A201," ","§",2)&amp;"§")-1))
))
),
IF(
SUMPRODUCT(--(
TRIM(LEFT(Teeth!$A:$A,SEARCH(" ",Teeth!$A:$A&amp;" ")-1))=
TRIM(LEFT(A201,SEARCH(" ",A201&amp;" ")-1))
))&gt;0,
IF(
COUNT(_xlfn._xlws.FILTER(Teeth!$D:$D,
TRIM(LEFT(Teeth!$A:$A,SEARCH(" ",Teeth!$A:$A&amp;" ")-1))=
TRIM(LEFT(A201,SEARCH(" ",A201&amp;" ")-1))
))=0,
1,
AVERAGE(_xlfn._xlws.FILTER(Teeth!$D:$D,
TRIM(LEFT(Teeth!$A:$A,SEARCH(" ",Teeth!$A:$A&amp;" ")-1))=
TRIM(LEFT(A201,SEARCH(" ",A201&amp;" ")-1))
))
),
1
)
)</f>
        <v>1</v>
      </c>
    </row>
    <row r="202" spans="1:2" x14ac:dyDescent="0.25">
      <c r="A202" s="2" t="str">
        <f>'[1]Base stats'!$B202</f>
        <v>Pterodyna aeria</v>
      </c>
      <c r="B202" s="20" cm="1">
        <f t="array" ref="B202">IF(
SUMPRODUCT(--(
TRIM(LEFT(Teeth!$A:$A,SEARCH("§",SUBSTITUTE(Teeth!$A:$A," ","§",2)&amp;"§")-1))=
TRIM(LEFT(A202,SEARCH("§",SUBSTITUTE(A202," ","§",2)&amp;"§")-1))
))&gt;0,
IF(
COUNT(_xlfn._xlws.FILTER(Teeth!$D:$D,
TRIM(LEFT(Teeth!$A:$A,SEARCH("§",SUBSTITUTE(Teeth!$A:$A," ","§",2)&amp;"§")-1))=
TRIM(LEFT(A202,SEARCH("§",SUBSTITUTE(A202," ","§",2)&amp;"§")-1))
))=0,
1,
MAX(_xlfn._xlws.FILTER(Teeth!$D:$D,
TRIM(LEFT(Teeth!$A:$A,SEARCH("§",SUBSTITUTE(Teeth!$A:$A," ","§",2)&amp;"§")-1))=
TRIM(LEFT(A202,SEARCH("§",SUBSTITUTE(A202," ","§",2)&amp;"§")-1))
))
),
IF(
SUMPRODUCT(--(
TRIM(LEFT(Teeth!$A:$A,SEARCH(" ",Teeth!$A:$A&amp;" ")-1))=
TRIM(LEFT(A202,SEARCH(" ",A202&amp;" ")-1))
))&gt;0,
IF(
COUNT(_xlfn._xlws.FILTER(Teeth!$D:$D,
TRIM(LEFT(Teeth!$A:$A,SEARCH(" ",Teeth!$A:$A&amp;" ")-1))=
TRIM(LEFT(A202,SEARCH(" ",A202&amp;" ")-1))
))=0,
1,
AVERAGE(_xlfn._xlws.FILTER(Teeth!$D:$D,
TRIM(LEFT(Teeth!$A:$A,SEARCH(" ",Teeth!$A:$A&amp;" ")-1))=
TRIM(LEFT(A202,SEARCH(" ",A202&amp;" ")-1))
))
),
1
)
)</f>
        <v>1</v>
      </c>
    </row>
    <row r="203" spans="1:2" x14ac:dyDescent="0.25">
      <c r="A203" s="2" t="str">
        <f>'[1]Base stats'!$B203</f>
        <v>Pterodyna aeria (colossal)</v>
      </c>
      <c r="B203" s="20" cm="1">
        <f t="array" ref="B203">IF(
SUMPRODUCT(--(
TRIM(LEFT(Teeth!$A:$A,SEARCH("§",SUBSTITUTE(Teeth!$A:$A," ","§",2)&amp;"§")-1))=
TRIM(LEFT(A203,SEARCH("§",SUBSTITUTE(A203," ","§",2)&amp;"§")-1))
))&gt;0,
IF(
COUNT(_xlfn._xlws.FILTER(Teeth!$D:$D,
TRIM(LEFT(Teeth!$A:$A,SEARCH("§",SUBSTITUTE(Teeth!$A:$A," ","§",2)&amp;"§")-1))=
TRIM(LEFT(A203,SEARCH("§",SUBSTITUTE(A203," ","§",2)&amp;"§")-1))
))=0,
1,
MAX(_xlfn._xlws.FILTER(Teeth!$D:$D,
TRIM(LEFT(Teeth!$A:$A,SEARCH("§",SUBSTITUTE(Teeth!$A:$A," ","§",2)&amp;"§")-1))=
TRIM(LEFT(A203,SEARCH("§",SUBSTITUTE(A203," ","§",2)&amp;"§")-1))
))
),
IF(
SUMPRODUCT(--(
TRIM(LEFT(Teeth!$A:$A,SEARCH(" ",Teeth!$A:$A&amp;" ")-1))=
TRIM(LEFT(A203,SEARCH(" ",A203&amp;" ")-1))
))&gt;0,
IF(
COUNT(_xlfn._xlws.FILTER(Teeth!$D:$D,
TRIM(LEFT(Teeth!$A:$A,SEARCH(" ",Teeth!$A:$A&amp;" ")-1))=
TRIM(LEFT(A203,SEARCH(" ",A203&amp;" ")-1))
))=0,
1,
AVERAGE(_xlfn._xlws.FILTER(Teeth!$D:$D,
TRIM(LEFT(Teeth!$A:$A,SEARCH(" ",Teeth!$A:$A&amp;" ")-1))=
TRIM(LEFT(A203,SEARCH(" ",A203&amp;" ")-1))
))
),
1
)
)</f>
        <v>1</v>
      </c>
    </row>
    <row r="204" spans="1:2" x14ac:dyDescent="0.25">
      <c r="A204" s="2" t="str">
        <f>'[1]Base stats'!$B204</f>
        <v>Pterodyna aeria (infected)</v>
      </c>
      <c r="B204" s="20" cm="1">
        <f t="array" ref="B204">IF(
SUMPRODUCT(--(
TRIM(LEFT(Teeth!$A:$A,SEARCH("§",SUBSTITUTE(Teeth!$A:$A," ","§",2)&amp;"§")-1))=
TRIM(LEFT(A204,SEARCH("§",SUBSTITUTE(A204," ","§",2)&amp;"§")-1))
))&gt;0,
IF(
COUNT(_xlfn._xlws.FILTER(Teeth!$D:$D,
TRIM(LEFT(Teeth!$A:$A,SEARCH("§",SUBSTITUTE(Teeth!$A:$A," ","§",2)&amp;"§")-1))=
TRIM(LEFT(A204,SEARCH("§",SUBSTITUTE(A204," ","§",2)&amp;"§")-1))
))=0,
1,
MAX(_xlfn._xlws.FILTER(Teeth!$D:$D,
TRIM(LEFT(Teeth!$A:$A,SEARCH("§",SUBSTITUTE(Teeth!$A:$A," ","§",2)&amp;"§")-1))=
TRIM(LEFT(A204,SEARCH("§",SUBSTITUTE(A204," ","§",2)&amp;"§")-1))
))
),
IF(
SUMPRODUCT(--(
TRIM(LEFT(Teeth!$A:$A,SEARCH(" ",Teeth!$A:$A&amp;" ")-1))=
TRIM(LEFT(A204,SEARCH(" ",A204&amp;" ")-1))
))&gt;0,
IF(
COUNT(_xlfn._xlws.FILTER(Teeth!$D:$D,
TRIM(LEFT(Teeth!$A:$A,SEARCH(" ",Teeth!$A:$A&amp;" ")-1))=
TRIM(LEFT(A204,SEARCH(" ",A204&amp;" ")-1))
))=0,
1,
AVERAGE(_xlfn._xlws.FILTER(Teeth!$D:$D,
TRIM(LEFT(Teeth!$A:$A,SEARCH(" ",Teeth!$A:$A&amp;" ")-1))=
TRIM(LEFT(A204,SEARCH(" ",A204&amp;" ")-1))
))
),
1
)
)</f>
        <v>1</v>
      </c>
    </row>
    <row r="205" spans="1:2" x14ac:dyDescent="0.25">
      <c r="A205" s="2" t="str">
        <f>'[1]Base stats'!$B205</f>
        <v>Angelis luminata</v>
      </c>
      <c r="B205" s="20" cm="1">
        <f t="array" ref="B205">IF(
SUMPRODUCT(--(
TRIM(LEFT(Teeth!$A:$A,SEARCH("§",SUBSTITUTE(Teeth!$A:$A," ","§",2)&amp;"§")-1))=
TRIM(LEFT(A205,SEARCH("§",SUBSTITUTE(A205," ","§",2)&amp;"§")-1))
))&gt;0,
IF(
COUNT(_xlfn._xlws.FILTER(Teeth!$D:$D,
TRIM(LEFT(Teeth!$A:$A,SEARCH("§",SUBSTITUTE(Teeth!$A:$A," ","§",2)&amp;"§")-1))=
TRIM(LEFT(A205,SEARCH("§",SUBSTITUTE(A205," ","§",2)&amp;"§")-1))
))=0,
1,
MAX(_xlfn._xlws.FILTER(Teeth!$D:$D,
TRIM(LEFT(Teeth!$A:$A,SEARCH("§",SUBSTITUTE(Teeth!$A:$A," ","§",2)&amp;"§")-1))=
TRIM(LEFT(A205,SEARCH("§",SUBSTITUTE(A205," ","§",2)&amp;"§")-1))
))
),
IF(
SUMPRODUCT(--(
TRIM(LEFT(Teeth!$A:$A,SEARCH(" ",Teeth!$A:$A&amp;" ")-1))=
TRIM(LEFT(A205,SEARCH(" ",A205&amp;" ")-1))
))&gt;0,
IF(
COUNT(_xlfn._xlws.FILTER(Teeth!$D:$D,
TRIM(LEFT(Teeth!$A:$A,SEARCH(" ",Teeth!$A:$A&amp;" ")-1))=
TRIM(LEFT(A205,SEARCH(" ",A205&amp;" ")-1))
))=0,
1,
AVERAGE(_xlfn._xlws.FILTER(Teeth!$D:$D,
TRIM(LEFT(Teeth!$A:$A,SEARCH(" ",Teeth!$A:$A&amp;" ")-1))=
TRIM(LEFT(A205,SEARCH(" ",A205&amp;" ")-1))
))
),
1
)
)</f>
        <v>1</v>
      </c>
    </row>
    <row r="206" spans="1:2" x14ac:dyDescent="0.25">
      <c r="A206" s="2" t="str">
        <f>'[1]Base stats'!$B206</f>
        <v>Angelis luminata (larva)</v>
      </c>
      <c r="B206" s="20" cm="1">
        <f t="array" ref="B206">IF(
SUMPRODUCT(--(
TRIM(LEFT(Teeth!$A:$A,SEARCH("§",SUBSTITUTE(Teeth!$A:$A," ","§",2)&amp;"§")-1))=
TRIM(LEFT(A206,SEARCH("§",SUBSTITUTE(A206," ","§",2)&amp;"§")-1))
))&gt;0,
IF(
COUNT(_xlfn._xlws.FILTER(Teeth!$D:$D,
TRIM(LEFT(Teeth!$A:$A,SEARCH("§",SUBSTITUTE(Teeth!$A:$A," ","§",2)&amp;"§")-1))=
TRIM(LEFT(A206,SEARCH("§",SUBSTITUTE(A206," ","§",2)&amp;"§")-1))
))=0,
1,
MAX(_xlfn._xlws.FILTER(Teeth!$D:$D,
TRIM(LEFT(Teeth!$A:$A,SEARCH("§",SUBSTITUTE(Teeth!$A:$A," ","§",2)&amp;"§")-1))=
TRIM(LEFT(A206,SEARCH("§",SUBSTITUTE(A206," ","§",2)&amp;"§")-1))
))
),
IF(
SUMPRODUCT(--(
TRIM(LEFT(Teeth!$A:$A,SEARCH(" ",Teeth!$A:$A&amp;" ")-1))=
TRIM(LEFT(A206,SEARCH(" ",A206&amp;" ")-1))
))&gt;0,
IF(
COUNT(_xlfn._xlws.FILTER(Teeth!$D:$D,
TRIM(LEFT(Teeth!$A:$A,SEARCH(" ",Teeth!$A:$A&amp;" ")-1))=
TRIM(LEFT(A206,SEARCH(" ",A206&amp;" ")-1))
))=0,
1,
AVERAGE(_xlfn._xlws.FILTER(Teeth!$D:$D,
TRIM(LEFT(Teeth!$A:$A,SEARCH(" ",Teeth!$A:$A&amp;" ")-1))=
TRIM(LEFT(A206,SEARCH(" ",A206&amp;" ")-1))
))
),
1
)
)</f>
        <v>1</v>
      </c>
    </row>
    <row r="207" spans="1:2" x14ac:dyDescent="0.25">
      <c r="A207" s="2" t="str">
        <f>'[1]Base stats'!$B207</f>
        <v>Haemophagus infinitus</v>
      </c>
      <c r="B207" s="20" cm="1">
        <f t="array" ref="B207">IF(
SUMPRODUCT(--(
TRIM(LEFT(Teeth!$A:$A,SEARCH("§",SUBSTITUTE(Teeth!$A:$A," ","§",2)&amp;"§")-1))=
TRIM(LEFT(A207,SEARCH("§",SUBSTITUTE(A207," ","§",2)&amp;"§")-1))
))&gt;0,
IF(
COUNT(_xlfn._xlws.FILTER(Teeth!$D:$D,
TRIM(LEFT(Teeth!$A:$A,SEARCH("§",SUBSTITUTE(Teeth!$A:$A," ","§",2)&amp;"§")-1))=
TRIM(LEFT(A207,SEARCH("§",SUBSTITUTE(A207," ","§",2)&amp;"§")-1))
))=0,
1,
MAX(_xlfn._xlws.FILTER(Teeth!$D:$D,
TRIM(LEFT(Teeth!$A:$A,SEARCH("§",SUBSTITUTE(Teeth!$A:$A," ","§",2)&amp;"§")-1))=
TRIM(LEFT(A207,SEARCH("§",SUBSTITUTE(A207," ","§",2)&amp;"§")-1))
))
),
IF(
SUMPRODUCT(--(
TRIM(LEFT(Teeth!$A:$A,SEARCH(" ",Teeth!$A:$A&amp;" ")-1))=
TRIM(LEFT(A207,SEARCH(" ",A207&amp;" ")-1))
))&gt;0,
IF(
COUNT(_xlfn._xlws.FILTER(Teeth!$D:$D,
TRIM(LEFT(Teeth!$A:$A,SEARCH(" ",Teeth!$A:$A&amp;" ")-1))=
TRIM(LEFT(A207,SEARCH(" ",A207&amp;" ")-1))
))=0,
1,
AVERAGE(_xlfn._xlws.FILTER(Teeth!$D:$D,
TRIM(LEFT(Teeth!$A:$A,SEARCH(" ",Teeth!$A:$A&amp;" ")-1))=
TRIM(LEFT(A207,SEARCH(" ",A207&amp;" ")-1))
))
),
1
)
)</f>
        <v>1</v>
      </c>
    </row>
    <row r="208" spans="1:2" x14ac:dyDescent="0.25">
      <c r="A208" s="2" t="str">
        <f>'[1]Base stats'!$B208</f>
        <v>Haemophagus infinitus (larva)</v>
      </c>
      <c r="B208" s="20" cm="1">
        <f t="array" ref="B208">IF(
SUMPRODUCT(--(
TRIM(LEFT(Teeth!$A:$A,SEARCH("§",SUBSTITUTE(Teeth!$A:$A," ","§",2)&amp;"§")-1))=
TRIM(LEFT(A208,SEARCH("§",SUBSTITUTE(A208," ","§",2)&amp;"§")-1))
))&gt;0,
IF(
COUNT(_xlfn._xlws.FILTER(Teeth!$D:$D,
TRIM(LEFT(Teeth!$A:$A,SEARCH("§",SUBSTITUTE(Teeth!$A:$A," ","§",2)&amp;"§")-1))=
TRIM(LEFT(A208,SEARCH("§",SUBSTITUTE(A208," ","§",2)&amp;"§")-1))
))=0,
1,
MAX(_xlfn._xlws.FILTER(Teeth!$D:$D,
TRIM(LEFT(Teeth!$A:$A,SEARCH("§",SUBSTITUTE(Teeth!$A:$A," ","§",2)&amp;"§")-1))=
TRIM(LEFT(A208,SEARCH("§",SUBSTITUTE(A208," ","§",2)&amp;"§")-1))
))
),
IF(
SUMPRODUCT(--(
TRIM(LEFT(Teeth!$A:$A,SEARCH(" ",Teeth!$A:$A&amp;" ")-1))=
TRIM(LEFT(A208,SEARCH(" ",A208&amp;" ")-1))
))&gt;0,
IF(
COUNT(_xlfn._xlws.FILTER(Teeth!$D:$D,
TRIM(LEFT(Teeth!$A:$A,SEARCH(" ",Teeth!$A:$A&amp;" ")-1))=
TRIM(LEFT(A208,SEARCH(" ",A208&amp;" ")-1))
))=0,
1,
AVERAGE(_xlfn._xlws.FILTER(Teeth!$D:$D,
TRIM(LEFT(Teeth!$A:$A,SEARCH(" ",Teeth!$A:$A&amp;" ")-1))=
TRIM(LEFT(A208,SEARCH(" ",A208&amp;" ")-1))
))
),
1
)
)</f>
        <v>1</v>
      </c>
    </row>
    <row r="209" spans="1:2" x14ac:dyDescent="0.25">
      <c r="A209" s="2" t="str">
        <f>'[1]Base stats'!$B209</f>
        <v>Papilio imperatrix</v>
      </c>
      <c r="B209" s="20" cm="1">
        <f t="array" ref="B209">IF(
SUMPRODUCT(--(
TRIM(LEFT(Teeth!$A:$A,SEARCH("§",SUBSTITUTE(Teeth!$A:$A," ","§",2)&amp;"§")-1))=
TRIM(LEFT(A209,SEARCH("§",SUBSTITUTE(A209," ","§",2)&amp;"§")-1))
))&gt;0,
IF(
COUNT(_xlfn._xlws.FILTER(Teeth!$D:$D,
TRIM(LEFT(Teeth!$A:$A,SEARCH("§",SUBSTITUTE(Teeth!$A:$A," ","§",2)&amp;"§")-1))=
TRIM(LEFT(A209,SEARCH("§",SUBSTITUTE(A209," ","§",2)&amp;"§")-1))
))=0,
1,
MAX(_xlfn._xlws.FILTER(Teeth!$D:$D,
TRIM(LEFT(Teeth!$A:$A,SEARCH("§",SUBSTITUTE(Teeth!$A:$A," ","§",2)&amp;"§")-1))=
TRIM(LEFT(A209,SEARCH("§",SUBSTITUTE(A209," ","§",2)&amp;"§")-1))
))
),
IF(
SUMPRODUCT(--(
TRIM(LEFT(Teeth!$A:$A,SEARCH(" ",Teeth!$A:$A&amp;" ")-1))=
TRIM(LEFT(A209,SEARCH(" ",A209&amp;" ")-1))
))&gt;0,
IF(
COUNT(_xlfn._xlws.FILTER(Teeth!$D:$D,
TRIM(LEFT(Teeth!$A:$A,SEARCH(" ",Teeth!$A:$A&amp;" ")-1))=
TRIM(LEFT(A209,SEARCH(" ",A209&amp;" ")-1))
))=0,
1,
AVERAGE(_xlfn._xlws.FILTER(Teeth!$D:$D,
TRIM(LEFT(Teeth!$A:$A,SEARCH(" ",Teeth!$A:$A&amp;" ")-1))=
TRIM(LEFT(A209,SEARCH(" ",A209&amp;" ")-1))
))
),
1
)
)</f>
        <v>1</v>
      </c>
    </row>
    <row r="210" spans="1:2" x14ac:dyDescent="0.25">
      <c r="A210" s="2" t="str">
        <f>'[1]Base stats'!$B210</f>
        <v>Papilio imperatrix (larva)</v>
      </c>
      <c r="B210" s="20" cm="1">
        <f t="array" ref="B210">IF(
SUMPRODUCT(--(
TRIM(LEFT(Teeth!$A:$A,SEARCH("§",SUBSTITUTE(Teeth!$A:$A," ","§",2)&amp;"§")-1))=
TRIM(LEFT(A210,SEARCH("§",SUBSTITUTE(A210," ","§",2)&amp;"§")-1))
))&gt;0,
IF(
COUNT(_xlfn._xlws.FILTER(Teeth!$D:$D,
TRIM(LEFT(Teeth!$A:$A,SEARCH("§",SUBSTITUTE(Teeth!$A:$A," ","§",2)&amp;"§")-1))=
TRIM(LEFT(A210,SEARCH("§",SUBSTITUTE(A210," ","§",2)&amp;"§")-1))
))=0,
1,
MAX(_xlfn._xlws.FILTER(Teeth!$D:$D,
TRIM(LEFT(Teeth!$A:$A,SEARCH("§",SUBSTITUTE(Teeth!$A:$A," ","§",2)&amp;"§")-1))=
TRIM(LEFT(A210,SEARCH("§",SUBSTITUTE(A210," ","§",2)&amp;"§")-1))
))
),
IF(
SUMPRODUCT(--(
TRIM(LEFT(Teeth!$A:$A,SEARCH(" ",Teeth!$A:$A&amp;" ")-1))=
TRIM(LEFT(A210,SEARCH(" ",A210&amp;" ")-1))
))&gt;0,
IF(
COUNT(_xlfn._xlws.FILTER(Teeth!$D:$D,
TRIM(LEFT(Teeth!$A:$A,SEARCH(" ",Teeth!$A:$A&amp;" ")-1))=
TRIM(LEFT(A210,SEARCH(" ",A210&amp;" ")-1))
))=0,
1,
AVERAGE(_xlfn._xlws.FILTER(Teeth!$D:$D,
TRIM(LEFT(Teeth!$A:$A,SEARCH(" ",Teeth!$A:$A&amp;" ")-1))=
TRIM(LEFT(A210,SEARCH(" ",A210&amp;" ")-1))
))
),
1
)
)</f>
        <v>1</v>
      </c>
    </row>
    <row r="211" spans="1:2" x14ac:dyDescent="0.25">
      <c r="A211" s="2" t="str">
        <f>'[1]Base stats'!$B211</f>
        <v>Pediculus giganteus</v>
      </c>
      <c r="B211" s="20" cm="1">
        <f t="array" ref="B211">IF(
SUMPRODUCT(--(
TRIM(LEFT(Teeth!$A:$A,SEARCH("§",SUBSTITUTE(Teeth!$A:$A," ","§",2)&amp;"§")-1))=
TRIM(LEFT(A211,SEARCH("§",SUBSTITUTE(A211," ","§",2)&amp;"§")-1))
))&gt;0,
IF(
COUNT(_xlfn._xlws.FILTER(Teeth!$D:$D,
TRIM(LEFT(Teeth!$A:$A,SEARCH("§",SUBSTITUTE(Teeth!$A:$A," ","§",2)&amp;"§")-1))=
TRIM(LEFT(A211,SEARCH("§",SUBSTITUTE(A211," ","§",2)&amp;"§")-1))
))=0,
1,
MAX(_xlfn._xlws.FILTER(Teeth!$D:$D,
TRIM(LEFT(Teeth!$A:$A,SEARCH("§",SUBSTITUTE(Teeth!$A:$A," ","§",2)&amp;"§")-1))=
TRIM(LEFT(A211,SEARCH("§",SUBSTITUTE(A211," ","§",2)&amp;"§")-1))
))
),
IF(
SUMPRODUCT(--(
TRIM(LEFT(Teeth!$A:$A,SEARCH(" ",Teeth!$A:$A&amp;" ")-1))=
TRIM(LEFT(A211,SEARCH(" ",A211&amp;" ")-1))
))&gt;0,
IF(
COUNT(_xlfn._xlws.FILTER(Teeth!$D:$D,
TRIM(LEFT(Teeth!$A:$A,SEARCH(" ",Teeth!$A:$A&amp;" ")-1))=
TRIM(LEFT(A211,SEARCH(" ",A211&amp;" ")-1))
))=0,
1,
AVERAGE(_xlfn._xlws.FILTER(Teeth!$D:$D,
TRIM(LEFT(Teeth!$A:$A,SEARCH(" ",Teeth!$A:$A&amp;" ")-1))=
TRIM(LEFT(A211,SEARCH(" ",A211&amp;" ")-1))
))
),
1
)
)</f>
        <v>1</v>
      </c>
    </row>
    <row r="212" spans="1:2" x14ac:dyDescent="0.25">
      <c r="A212" s="2" t="str">
        <f>'[1]Base stats'!$B212</f>
        <v>Caridea sanguinea</v>
      </c>
      <c r="B212" s="20" cm="1">
        <f t="array" ref="B212">IF(
SUMPRODUCT(--(
TRIM(LEFT(Teeth!$A:$A,SEARCH("§",SUBSTITUTE(Teeth!$A:$A," ","§",2)&amp;"§")-1))=
TRIM(LEFT(A212,SEARCH("§",SUBSTITUTE(A212," ","§",2)&amp;"§")-1))
))&gt;0,
IF(
COUNT(_xlfn._xlws.FILTER(Teeth!$D:$D,
TRIM(LEFT(Teeth!$A:$A,SEARCH("§",SUBSTITUTE(Teeth!$A:$A," ","§",2)&amp;"§")-1))=
TRIM(LEFT(A212,SEARCH("§",SUBSTITUTE(A212," ","§",2)&amp;"§")-1))
))=0,
1,
MAX(_xlfn._xlws.FILTER(Teeth!$D:$D,
TRIM(LEFT(Teeth!$A:$A,SEARCH("§",SUBSTITUTE(Teeth!$A:$A," ","§",2)&amp;"§")-1))=
TRIM(LEFT(A212,SEARCH("§",SUBSTITUTE(A212," ","§",2)&amp;"§")-1))
))
),
IF(
SUMPRODUCT(--(
TRIM(LEFT(Teeth!$A:$A,SEARCH(" ",Teeth!$A:$A&amp;" ")-1))=
TRIM(LEFT(A212,SEARCH(" ",A212&amp;" ")-1))
))&gt;0,
IF(
COUNT(_xlfn._xlws.FILTER(Teeth!$D:$D,
TRIM(LEFT(Teeth!$A:$A,SEARCH(" ",Teeth!$A:$A&amp;" ")-1))=
TRIM(LEFT(A212,SEARCH(" ",A212&amp;" ")-1))
))=0,
1,
AVERAGE(_xlfn._xlws.FILTER(Teeth!$D:$D,
TRIM(LEFT(Teeth!$A:$A,SEARCH(" ",Teeth!$A:$A&amp;" ")-1))=
TRIM(LEFT(A212,SEARCH(" ",A212&amp;" ")-1))
))
),
1
)
)</f>
        <v>1</v>
      </c>
    </row>
    <row r="213" spans="1:2" x14ac:dyDescent="0.25">
      <c r="A213" s="2" t="str">
        <f>'[1]Base stats'!$B213</f>
        <v>Caridea raptrix</v>
      </c>
      <c r="B213" s="20" cm="1">
        <f t="array" ref="B213">IF(
SUMPRODUCT(--(
TRIM(LEFT(Teeth!$A:$A,SEARCH("§",SUBSTITUTE(Teeth!$A:$A," ","§",2)&amp;"§")-1))=
TRIM(LEFT(A213,SEARCH("§",SUBSTITUTE(A213," ","§",2)&amp;"§")-1))
))&gt;0,
IF(
COUNT(_xlfn._xlws.FILTER(Teeth!$D:$D,
TRIM(LEFT(Teeth!$A:$A,SEARCH("§",SUBSTITUTE(Teeth!$A:$A," ","§",2)&amp;"§")-1))=
TRIM(LEFT(A213,SEARCH("§",SUBSTITUTE(A213," ","§",2)&amp;"§")-1))
))=0,
1,
MAX(_xlfn._xlws.FILTER(Teeth!$D:$D,
TRIM(LEFT(Teeth!$A:$A,SEARCH("§",SUBSTITUTE(Teeth!$A:$A," ","§",2)&amp;"§")-1))=
TRIM(LEFT(A213,SEARCH("§",SUBSTITUTE(A213," ","§",2)&amp;"§")-1))
))
),
IF(
SUMPRODUCT(--(
TRIM(LEFT(Teeth!$A:$A,SEARCH(" ",Teeth!$A:$A&amp;" ")-1))=
TRIM(LEFT(A213,SEARCH(" ",A213&amp;" ")-1))
))&gt;0,
IF(
COUNT(_xlfn._xlws.FILTER(Teeth!$D:$D,
TRIM(LEFT(Teeth!$A:$A,SEARCH(" ",Teeth!$A:$A&amp;" ")-1))=
TRIM(LEFT(A213,SEARCH(" ",A213&amp;" ")-1))
))=0,
1,
AVERAGE(_xlfn._xlws.FILTER(Teeth!$D:$D,
TRIM(LEFT(Teeth!$A:$A,SEARCH(" ",Teeth!$A:$A&amp;" ")-1))=
TRIM(LEFT(A213,SEARCH(" ",A213&amp;" ")-1))
))
),
1
)
)</f>
        <v>1</v>
      </c>
    </row>
    <row r="214" spans="1:2" x14ac:dyDescent="0.25">
      <c r="A214" s="2" t="str">
        <f>'[1]Base stats'!$B214</f>
        <v>Metallophagus xenus</v>
      </c>
      <c r="B214" s="20" cm="1">
        <f t="array" ref="B214">IF(
SUMPRODUCT(--(
TRIM(LEFT(Teeth!$A:$A,SEARCH("§",SUBSTITUTE(Teeth!$A:$A," ","§",2)&amp;"§")-1))=
TRIM(LEFT(A214,SEARCH("§",SUBSTITUTE(A214," ","§",2)&amp;"§")-1))
))&gt;0,
IF(
COUNT(_xlfn._xlws.FILTER(Teeth!$D:$D,
TRIM(LEFT(Teeth!$A:$A,SEARCH("§",SUBSTITUTE(Teeth!$A:$A," ","§",2)&amp;"§")-1))=
TRIM(LEFT(A214,SEARCH("§",SUBSTITUTE(A214," ","§",2)&amp;"§")-1))
))=0,
1,
MAX(_xlfn._xlws.FILTER(Teeth!$D:$D,
TRIM(LEFT(Teeth!$A:$A,SEARCH("§",SUBSTITUTE(Teeth!$A:$A," ","§",2)&amp;"§")-1))=
TRIM(LEFT(A214,SEARCH("§",SUBSTITUTE(A214," ","§",2)&amp;"§")-1))
))
),
IF(
SUMPRODUCT(--(
TRIM(LEFT(Teeth!$A:$A,SEARCH(" ",Teeth!$A:$A&amp;" ")-1))=
TRIM(LEFT(A214,SEARCH(" ",A214&amp;" ")-1))
))&gt;0,
IF(
COUNT(_xlfn._xlws.FILTER(Teeth!$D:$D,
TRIM(LEFT(Teeth!$A:$A,SEARCH(" ",Teeth!$A:$A&amp;" ")-1))=
TRIM(LEFT(A214,SEARCH(" ",A214&amp;" ")-1))
))=0,
1,
AVERAGE(_xlfn._xlws.FILTER(Teeth!$D:$D,
TRIM(LEFT(Teeth!$A:$A,SEARCH(" ",Teeth!$A:$A&amp;" ")-1))=
TRIM(LEFT(A214,SEARCH(" ",A214&amp;" ")-1))
))
),
1
)
)</f>
        <v>1</v>
      </c>
    </row>
    <row r="215" spans="1:2" x14ac:dyDescent="0.25">
      <c r="A215" s="2" t="str">
        <f>'[1]Base stats'!$B215</f>
        <v>Acarus glacialis</v>
      </c>
      <c r="B215" s="20" cm="1">
        <f t="array" ref="B215">IF(
SUMPRODUCT(--(
TRIM(LEFT(Teeth!$A:$A,SEARCH("§",SUBSTITUTE(Teeth!$A:$A," ","§",2)&amp;"§")-1))=
TRIM(LEFT(A215,SEARCH("§",SUBSTITUTE(A215," ","§",2)&amp;"§")-1))
))&gt;0,
IF(
COUNT(_xlfn._xlws.FILTER(Teeth!$D:$D,
TRIM(LEFT(Teeth!$A:$A,SEARCH("§",SUBSTITUTE(Teeth!$A:$A," ","§",2)&amp;"§")-1))=
TRIM(LEFT(A215,SEARCH("§",SUBSTITUTE(A215," ","§",2)&amp;"§")-1))
))=0,
1,
MAX(_xlfn._xlws.FILTER(Teeth!$D:$D,
TRIM(LEFT(Teeth!$A:$A,SEARCH("§",SUBSTITUTE(Teeth!$A:$A," ","§",2)&amp;"§")-1))=
TRIM(LEFT(A215,SEARCH("§",SUBSTITUTE(A215," ","§",2)&amp;"§")-1))
))
),
IF(
SUMPRODUCT(--(
TRIM(LEFT(Teeth!$A:$A,SEARCH(" ",Teeth!$A:$A&amp;" ")-1))=
TRIM(LEFT(A215,SEARCH(" ",A215&amp;" ")-1))
))&gt;0,
IF(
COUNT(_xlfn._xlws.FILTER(Teeth!$D:$D,
TRIM(LEFT(Teeth!$A:$A,SEARCH(" ",Teeth!$A:$A&amp;" ")-1))=
TRIM(LEFT(A215,SEARCH(" ",A215&amp;" ")-1))
))=0,
1,
AVERAGE(_xlfn._xlws.FILTER(Teeth!$D:$D,
TRIM(LEFT(Teeth!$A:$A,SEARCH(" ",Teeth!$A:$A&amp;" ")-1))=
TRIM(LEFT(A215,SEARCH(" ",A215&amp;" ")-1))
))
),
1
)
)</f>
        <v>1</v>
      </c>
    </row>
    <row r="216" spans="1:2" x14ac:dyDescent="0.25">
      <c r="A216" s="2" t="str">
        <f>'[1]Base stats'!$B216</f>
        <v>Coleoptera ferrum</v>
      </c>
      <c r="B216" s="20" cm="1">
        <f t="array" ref="B216">IF(
SUMPRODUCT(--(
TRIM(LEFT(Teeth!$A:$A,SEARCH("§",SUBSTITUTE(Teeth!$A:$A," ","§",2)&amp;"§")-1))=
TRIM(LEFT(A216,SEARCH("§",SUBSTITUTE(A216," ","§",2)&amp;"§")-1))
))&gt;0,
IF(
COUNT(_xlfn._xlws.FILTER(Teeth!$D:$D,
TRIM(LEFT(Teeth!$A:$A,SEARCH("§",SUBSTITUTE(Teeth!$A:$A," ","§",2)&amp;"§")-1))=
TRIM(LEFT(A216,SEARCH("§",SUBSTITUTE(A216," ","§",2)&amp;"§")-1))
))=0,
1,
MAX(_xlfn._xlws.FILTER(Teeth!$D:$D,
TRIM(LEFT(Teeth!$A:$A,SEARCH("§",SUBSTITUTE(Teeth!$A:$A," ","§",2)&amp;"§")-1))=
TRIM(LEFT(A216,SEARCH("§",SUBSTITUTE(A216," ","§",2)&amp;"§")-1))
))
),
IF(
SUMPRODUCT(--(
TRIM(LEFT(Teeth!$A:$A,SEARCH(" ",Teeth!$A:$A&amp;" ")-1))=
TRIM(LEFT(A216,SEARCH(" ",A216&amp;" ")-1))
))&gt;0,
IF(
COUNT(_xlfn._xlws.FILTER(Teeth!$D:$D,
TRIM(LEFT(Teeth!$A:$A,SEARCH(" ",Teeth!$A:$A&amp;" ")-1))=
TRIM(LEFT(A216,SEARCH(" ",A216&amp;" ")-1))
))=0,
1,
AVERAGE(_xlfn._xlws.FILTER(Teeth!$D:$D,
TRIM(LEFT(Teeth!$A:$A,SEARCH(" ",Teeth!$A:$A&amp;" ")-1))=
TRIM(LEFT(A216,SEARCH(" ",A216&amp;" ")-1))
))
),
1
)
)</f>
        <v>1</v>
      </c>
    </row>
    <row r="217" spans="1:2" x14ac:dyDescent="0.25">
      <c r="A217" s="2" t="str">
        <f>'[1]Base stats'!$B217</f>
        <v>Coleoptera lucifer</v>
      </c>
      <c r="B217" s="20" cm="1">
        <f t="array" ref="B217">IF(
SUMPRODUCT(--(
TRIM(LEFT(Teeth!$A:$A,SEARCH("§",SUBSTITUTE(Teeth!$A:$A," ","§",2)&amp;"§")-1))=
TRIM(LEFT(A217,SEARCH("§",SUBSTITUTE(A217," ","§",2)&amp;"§")-1))
))&gt;0,
IF(
COUNT(_xlfn._xlws.FILTER(Teeth!$D:$D,
TRIM(LEFT(Teeth!$A:$A,SEARCH("§",SUBSTITUTE(Teeth!$A:$A," ","§",2)&amp;"§")-1))=
TRIM(LEFT(A217,SEARCH("§",SUBSTITUTE(A217," ","§",2)&amp;"§")-1))
))=0,
1,
MAX(_xlfn._xlws.FILTER(Teeth!$D:$D,
TRIM(LEFT(Teeth!$A:$A,SEARCH("§",SUBSTITUTE(Teeth!$A:$A," ","§",2)&amp;"§")-1))=
TRIM(LEFT(A217,SEARCH("§",SUBSTITUTE(A217," ","§",2)&amp;"§")-1))
))
),
IF(
SUMPRODUCT(--(
TRIM(LEFT(Teeth!$A:$A,SEARCH(" ",Teeth!$A:$A&amp;" ")-1))=
TRIM(LEFT(A217,SEARCH(" ",A217&amp;" ")-1))
))&gt;0,
IF(
COUNT(_xlfn._xlws.FILTER(Teeth!$D:$D,
TRIM(LEFT(Teeth!$A:$A,SEARCH(" ",Teeth!$A:$A&amp;" ")-1))=
TRIM(LEFT(A217,SEARCH(" ",A217&amp;" ")-1))
))=0,
1,
AVERAGE(_xlfn._xlws.FILTER(Teeth!$D:$D,
TRIM(LEFT(Teeth!$A:$A,SEARCH(" ",Teeth!$A:$A&amp;" ")-1))=
TRIM(LEFT(A217,SEARCH(" ",A217&amp;" ")-1))
))
),
1
)
)</f>
        <v>1</v>
      </c>
    </row>
    <row r="218" spans="1:2" x14ac:dyDescent="0.25">
      <c r="A218" s="2" t="str">
        <f>'[1]Base stats'!$B218</f>
        <v>Speculum vividum (larva)</v>
      </c>
      <c r="B218" s="20" cm="1">
        <f t="array" ref="B218">IF(
SUMPRODUCT(--(
TRIM(LEFT(Teeth!$A:$A,SEARCH("§",SUBSTITUTE(Teeth!$A:$A," ","§",2)&amp;"§")-1))=
TRIM(LEFT(A218,SEARCH("§",SUBSTITUTE(A218," ","§",2)&amp;"§")-1))
))&gt;0,
IF(
COUNT(_xlfn._xlws.FILTER(Teeth!$D:$D,
TRIM(LEFT(Teeth!$A:$A,SEARCH("§",SUBSTITUTE(Teeth!$A:$A," ","§",2)&amp;"§")-1))=
TRIM(LEFT(A218,SEARCH("§",SUBSTITUTE(A218," ","§",2)&amp;"§")-1))
))=0,
1,
MAX(_xlfn._xlws.FILTER(Teeth!$D:$D,
TRIM(LEFT(Teeth!$A:$A,SEARCH("§",SUBSTITUTE(Teeth!$A:$A," ","§",2)&amp;"§")-1))=
TRIM(LEFT(A218,SEARCH("§",SUBSTITUTE(A218," ","§",2)&amp;"§")-1))
))
),
IF(
SUMPRODUCT(--(
TRIM(LEFT(Teeth!$A:$A,SEARCH(" ",Teeth!$A:$A&amp;" ")-1))=
TRIM(LEFT(A218,SEARCH(" ",A218&amp;" ")-1))
))&gt;0,
IF(
COUNT(_xlfn._xlws.FILTER(Teeth!$D:$D,
TRIM(LEFT(Teeth!$A:$A,SEARCH(" ",Teeth!$A:$A&amp;" ")-1))=
TRIM(LEFT(A218,SEARCH(" ",A218&amp;" ")-1))
))=0,
1,
AVERAGE(_xlfn._xlws.FILTER(Teeth!$D:$D,
TRIM(LEFT(Teeth!$A:$A,SEARCH(" ",Teeth!$A:$A&amp;" ")-1))=
TRIM(LEFT(A218,SEARCH(" ",A218&amp;" ")-1))
))
),
1
)
)</f>
        <v>1</v>
      </c>
    </row>
    <row r="219" spans="1:2" x14ac:dyDescent="0.25">
      <c r="A219" s="2" t="str">
        <f>'[1]Base stats'!$B219</f>
        <v>Speculum vividum</v>
      </c>
      <c r="B219" s="20" cm="1">
        <f t="array" ref="B219">IF(
SUMPRODUCT(--(
TRIM(LEFT(Teeth!$A:$A,SEARCH("§",SUBSTITUTE(Teeth!$A:$A," ","§",2)&amp;"§")-1))=
TRIM(LEFT(A219,SEARCH("§",SUBSTITUTE(A219," ","§",2)&amp;"§")-1))
))&gt;0,
IF(
COUNT(_xlfn._xlws.FILTER(Teeth!$D:$D,
TRIM(LEFT(Teeth!$A:$A,SEARCH("§",SUBSTITUTE(Teeth!$A:$A," ","§",2)&amp;"§")-1))=
TRIM(LEFT(A219,SEARCH("§",SUBSTITUTE(A219," ","§",2)&amp;"§")-1))
))=0,
1,
MAX(_xlfn._xlws.FILTER(Teeth!$D:$D,
TRIM(LEFT(Teeth!$A:$A,SEARCH("§",SUBSTITUTE(Teeth!$A:$A," ","§",2)&amp;"§")-1))=
TRIM(LEFT(A219,SEARCH("§",SUBSTITUTE(A219," ","§",2)&amp;"§")-1))
))
),
IF(
SUMPRODUCT(--(
TRIM(LEFT(Teeth!$A:$A,SEARCH(" ",Teeth!$A:$A&amp;" ")-1))=
TRIM(LEFT(A219,SEARCH(" ",A219&amp;" ")-1))
))&gt;0,
IF(
COUNT(_xlfn._xlws.FILTER(Teeth!$D:$D,
TRIM(LEFT(Teeth!$A:$A,SEARCH(" ",Teeth!$A:$A&amp;" ")-1))=
TRIM(LEFT(A219,SEARCH(" ",A219&amp;" ")-1))
))=0,
1,
AVERAGE(_xlfn._xlws.FILTER(Teeth!$D:$D,
TRIM(LEFT(Teeth!$A:$A,SEARCH(" ",Teeth!$A:$A&amp;" ")-1))=
TRIM(LEFT(A219,SEARCH(" ",A219&amp;" ")-1))
))
),
1
)
)</f>
        <v>1</v>
      </c>
    </row>
    <row r="220" spans="1:2" x14ac:dyDescent="0.25">
      <c r="A220" s="2" t="str">
        <f>'[1]Base stats'!$B220</f>
        <v>Vespa incendium</v>
      </c>
      <c r="B220" s="20" cm="1">
        <f t="array" ref="B220">IF(
SUMPRODUCT(--(
TRIM(LEFT(Teeth!$A:$A,SEARCH("§",SUBSTITUTE(Teeth!$A:$A," ","§",2)&amp;"§")-1))=
TRIM(LEFT(A220,SEARCH("§",SUBSTITUTE(A220," ","§",2)&amp;"§")-1))
))&gt;0,
IF(
COUNT(_xlfn._xlws.FILTER(Teeth!$D:$D,
TRIM(LEFT(Teeth!$A:$A,SEARCH("§",SUBSTITUTE(Teeth!$A:$A," ","§",2)&amp;"§")-1))=
TRIM(LEFT(A220,SEARCH("§",SUBSTITUTE(A220," ","§",2)&amp;"§")-1))
))=0,
1,
MAX(_xlfn._xlws.FILTER(Teeth!$D:$D,
TRIM(LEFT(Teeth!$A:$A,SEARCH("§",SUBSTITUTE(Teeth!$A:$A," ","§",2)&amp;"§")-1))=
TRIM(LEFT(A220,SEARCH("§",SUBSTITUTE(A220," ","§",2)&amp;"§")-1))
))
),
IF(
SUMPRODUCT(--(
TRIM(LEFT(Teeth!$A:$A,SEARCH(" ",Teeth!$A:$A&amp;" ")-1))=
TRIM(LEFT(A220,SEARCH(" ",A220&amp;" ")-1))
))&gt;0,
IF(
COUNT(_xlfn._xlws.FILTER(Teeth!$D:$D,
TRIM(LEFT(Teeth!$A:$A,SEARCH(" ",Teeth!$A:$A&amp;" ")-1))=
TRIM(LEFT(A220,SEARCH(" ",A220&amp;" ")-1))
))=0,
1,
AVERAGE(_xlfn._xlws.FILTER(Teeth!$D:$D,
TRIM(LEFT(Teeth!$A:$A,SEARCH(" ",Teeth!$A:$A&amp;" ")-1))=
TRIM(LEFT(A220,SEARCH(" ",A220&amp;" ")-1))
))
),
1
)
)</f>
        <v>1</v>
      </c>
    </row>
    <row r="221" spans="1:2" x14ac:dyDescent="0.25">
      <c r="A221" s="2" t="str">
        <f>'[1]Base stats'!$B221</f>
        <v>Bombus militaris</v>
      </c>
      <c r="B221" s="20" cm="1">
        <f t="array" ref="B221">IF(
SUMPRODUCT(--(
TRIM(LEFT(Teeth!$A:$A,SEARCH("§",SUBSTITUTE(Teeth!$A:$A," ","§",2)&amp;"§")-1))=
TRIM(LEFT(A221,SEARCH("§",SUBSTITUTE(A221," ","§",2)&amp;"§")-1))
))&gt;0,
IF(
COUNT(_xlfn._xlws.FILTER(Teeth!$D:$D,
TRIM(LEFT(Teeth!$A:$A,SEARCH("§",SUBSTITUTE(Teeth!$A:$A," ","§",2)&amp;"§")-1))=
TRIM(LEFT(A221,SEARCH("§",SUBSTITUTE(A221," ","§",2)&amp;"§")-1))
))=0,
1,
MAX(_xlfn._xlws.FILTER(Teeth!$D:$D,
TRIM(LEFT(Teeth!$A:$A,SEARCH("§",SUBSTITUTE(Teeth!$A:$A," ","§",2)&amp;"§")-1))=
TRIM(LEFT(A221,SEARCH("§",SUBSTITUTE(A221," ","§",2)&amp;"§")-1))
))
),
IF(
SUMPRODUCT(--(
TRIM(LEFT(Teeth!$A:$A,SEARCH(" ",Teeth!$A:$A&amp;" ")-1))=
TRIM(LEFT(A221,SEARCH(" ",A221&amp;" ")-1))
))&gt;0,
IF(
COUNT(_xlfn._xlws.FILTER(Teeth!$D:$D,
TRIM(LEFT(Teeth!$A:$A,SEARCH(" ",Teeth!$A:$A&amp;" ")-1))=
TRIM(LEFT(A221,SEARCH(" ",A221&amp;" ")-1))
))=0,
1,
AVERAGE(_xlfn._xlws.FILTER(Teeth!$D:$D,
TRIM(LEFT(Teeth!$A:$A,SEARCH(" ",Teeth!$A:$A&amp;" ")-1))=
TRIM(LEFT(A221,SEARCH(" ",A221&amp;" ")-1))
))
),
1
)
)</f>
        <v>1</v>
      </c>
    </row>
    <row r="222" spans="1:2" x14ac:dyDescent="0.25">
      <c r="A222" s="2" t="str">
        <f>'[1]Base stats'!$B222</f>
        <v>Bombus militaris (hierophant)</v>
      </c>
      <c r="B222" s="20" cm="1">
        <f t="array" ref="B222">IF(
SUMPRODUCT(--(
TRIM(LEFT(Teeth!$A:$A,SEARCH("§",SUBSTITUTE(Teeth!$A:$A," ","§",2)&amp;"§")-1))=
TRIM(LEFT(A222,SEARCH("§",SUBSTITUTE(A222," ","§",2)&amp;"§")-1))
))&gt;0,
IF(
COUNT(_xlfn._xlws.FILTER(Teeth!$D:$D,
TRIM(LEFT(Teeth!$A:$A,SEARCH("§",SUBSTITUTE(Teeth!$A:$A," ","§",2)&amp;"§")-1))=
TRIM(LEFT(A222,SEARCH("§",SUBSTITUTE(A222," ","§",2)&amp;"§")-1))
))=0,
1,
MAX(_xlfn._xlws.FILTER(Teeth!$D:$D,
TRIM(LEFT(Teeth!$A:$A,SEARCH("§",SUBSTITUTE(Teeth!$A:$A," ","§",2)&amp;"§")-1))=
TRIM(LEFT(A222,SEARCH("§",SUBSTITUTE(A222," ","§",2)&amp;"§")-1))
))
),
IF(
SUMPRODUCT(--(
TRIM(LEFT(Teeth!$A:$A,SEARCH(" ",Teeth!$A:$A&amp;" ")-1))=
TRIM(LEFT(A222,SEARCH(" ",A222&amp;" ")-1))
))&gt;0,
IF(
COUNT(_xlfn._xlws.FILTER(Teeth!$D:$D,
TRIM(LEFT(Teeth!$A:$A,SEARCH(" ",Teeth!$A:$A&amp;" ")-1))=
TRIM(LEFT(A222,SEARCH(" ",A222&amp;" ")-1))
))=0,
1,
AVERAGE(_xlfn._xlws.FILTER(Teeth!$D:$D,
TRIM(LEFT(Teeth!$A:$A,SEARCH(" ",Teeth!$A:$A&amp;" ")-1))=
TRIM(LEFT(A222,SEARCH(" ",A222&amp;" ")-1))
))
),
1
)
)</f>
        <v>1</v>
      </c>
    </row>
    <row r="223" spans="1:2" x14ac:dyDescent="0.25">
      <c r="A223" s="2" t="str">
        <f>'[1]Base stats'!$B223</f>
        <v>Bombus militaris (queen)</v>
      </c>
      <c r="B223" s="20" cm="1">
        <f t="array" ref="B223">IF(
SUMPRODUCT(--(
TRIM(LEFT(Teeth!$A:$A,SEARCH("§",SUBSTITUTE(Teeth!$A:$A," ","§",2)&amp;"§")-1))=
TRIM(LEFT(A223,SEARCH("§",SUBSTITUTE(A223," ","§",2)&amp;"§")-1))
))&gt;0,
IF(
COUNT(_xlfn._xlws.FILTER(Teeth!$D:$D,
TRIM(LEFT(Teeth!$A:$A,SEARCH("§",SUBSTITUTE(Teeth!$A:$A," ","§",2)&amp;"§")-1))=
TRIM(LEFT(A223,SEARCH("§",SUBSTITUTE(A223," ","§",2)&amp;"§")-1))
))=0,
1,
MAX(_xlfn._xlws.FILTER(Teeth!$D:$D,
TRIM(LEFT(Teeth!$A:$A,SEARCH("§",SUBSTITUTE(Teeth!$A:$A," ","§",2)&amp;"§")-1))=
TRIM(LEFT(A223,SEARCH("§",SUBSTITUTE(A223," ","§",2)&amp;"§")-1))
))
),
IF(
SUMPRODUCT(--(
TRIM(LEFT(Teeth!$A:$A,SEARCH(" ",Teeth!$A:$A&amp;" ")-1))=
TRIM(LEFT(A223,SEARCH(" ",A223&amp;" ")-1))
))&gt;0,
IF(
COUNT(_xlfn._xlws.FILTER(Teeth!$D:$D,
TRIM(LEFT(Teeth!$A:$A,SEARCH(" ",Teeth!$A:$A&amp;" ")-1))=
TRIM(LEFT(A223,SEARCH(" ",A223&amp;" ")-1))
))=0,
1,
AVERAGE(_xlfn._xlws.FILTER(Teeth!$D:$D,
TRIM(LEFT(Teeth!$A:$A,SEARCH(" ",Teeth!$A:$A&amp;" ")-1))=
TRIM(LEFT(A223,SEARCH(" ",A223&amp;" ")-1))
))
),
1
)
)</f>
        <v>1</v>
      </c>
    </row>
    <row r="224" spans="1:2" x14ac:dyDescent="0.25">
      <c r="A224" s="2" t="str">
        <f>'[1]Base stats'!$B224</f>
        <v>Echidna projectilis</v>
      </c>
      <c r="B224" s="20" cm="1">
        <f t="array" ref="B224">IF(
SUMPRODUCT(--(
TRIM(LEFT(Teeth!$A:$A,SEARCH("§",SUBSTITUTE(Teeth!$A:$A," ","§",2)&amp;"§")-1))=
TRIM(LEFT(A224,SEARCH("§",SUBSTITUTE(A224," ","§",2)&amp;"§")-1))
))&gt;0,
IF(
COUNT(_xlfn._xlws.FILTER(Teeth!$D:$D,
TRIM(LEFT(Teeth!$A:$A,SEARCH("§",SUBSTITUTE(Teeth!$A:$A," ","§",2)&amp;"§")-1))=
TRIM(LEFT(A224,SEARCH("§",SUBSTITUTE(A224," ","§",2)&amp;"§")-1))
))=0,
1,
MAX(_xlfn._xlws.FILTER(Teeth!$D:$D,
TRIM(LEFT(Teeth!$A:$A,SEARCH("§",SUBSTITUTE(Teeth!$A:$A," ","§",2)&amp;"§")-1))=
TRIM(LEFT(A224,SEARCH("§",SUBSTITUTE(A224," ","§",2)&amp;"§")-1))
))
),
IF(
SUMPRODUCT(--(
TRIM(LEFT(Teeth!$A:$A,SEARCH(" ",Teeth!$A:$A&amp;" ")-1))=
TRIM(LEFT(A224,SEARCH(" ",A224&amp;" ")-1))
))&gt;0,
IF(
COUNT(_xlfn._xlws.FILTER(Teeth!$D:$D,
TRIM(LEFT(Teeth!$A:$A,SEARCH(" ",Teeth!$A:$A&amp;" ")-1))=
TRIM(LEFT(A224,SEARCH(" ",A224&amp;" ")-1))
))=0,
1,
AVERAGE(_xlfn._xlws.FILTER(Teeth!$D:$D,
TRIM(LEFT(Teeth!$A:$A,SEARCH(" ",Teeth!$A:$A&amp;" ")-1))=
TRIM(LEFT(A224,SEARCH(" ",A224&amp;" ")-1))
))
),
1
)
)</f>
        <v>1</v>
      </c>
    </row>
    <row r="225" spans="1:2" x14ac:dyDescent="0.25">
      <c r="A225" s="2" t="str">
        <f>'[1]Base stats'!$B225</f>
        <v>Formica chemurgica</v>
      </c>
      <c r="B225" s="20" cm="1">
        <f t="array" ref="B225">IF(
SUMPRODUCT(--(
TRIM(LEFT(Teeth!$A:$A,SEARCH("§",SUBSTITUTE(Teeth!$A:$A," ","§",2)&amp;"§")-1))=
TRIM(LEFT(A225,SEARCH("§",SUBSTITUTE(A225," ","§",2)&amp;"§")-1))
))&gt;0,
IF(
COUNT(_xlfn._xlws.FILTER(Teeth!$D:$D,
TRIM(LEFT(Teeth!$A:$A,SEARCH("§",SUBSTITUTE(Teeth!$A:$A," ","§",2)&amp;"§")-1))=
TRIM(LEFT(A225,SEARCH("§",SUBSTITUTE(A225," ","§",2)&amp;"§")-1))
))=0,
1,
MAX(_xlfn._xlws.FILTER(Teeth!$D:$D,
TRIM(LEFT(Teeth!$A:$A,SEARCH("§",SUBSTITUTE(Teeth!$A:$A," ","§",2)&amp;"§")-1))=
TRIM(LEFT(A225,SEARCH("§",SUBSTITUTE(A225," ","§",2)&amp;"§")-1))
))
),
IF(
SUMPRODUCT(--(
TRIM(LEFT(Teeth!$A:$A,SEARCH(" ",Teeth!$A:$A&amp;" ")-1))=
TRIM(LEFT(A225,SEARCH(" ",A225&amp;" ")-1))
))&gt;0,
IF(
COUNT(_xlfn._xlws.FILTER(Teeth!$D:$D,
TRIM(LEFT(Teeth!$A:$A,SEARCH(" ",Teeth!$A:$A&amp;" ")-1))=
TRIM(LEFT(A225,SEARCH(" ",A225&amp;" ")-1))
))=0,
1,
AVERAGE(_xlfn._xlws.FILTER(Teeth!$D:$D,
TRIM(LEFT(Teeth!$A:$A,SEARCH(" ",Teeth!$A:$A&amp;" ")-1))=
TRIM(LEFT(A225,SEARCH(" ",A225&amp;" ")-1))
))
),
1
)
)</f>
        <v>1</v>
      </c>
    </row>
    <row r="226" spans="1:2" x14ac:dyDescent="0.25">
      <c r="A226" s="2" t="str">
        <f>'[1]Base stats'!$B226</f>
        <v>Cimex titanus</v>
      </c>
      <c r="B226" s="20" cm="1">
        <f t="array" ref="B226">IF(
SUMPRODUCT(--(
TRIM(LEFT(Teeth!$A:$A,SEARCH("§",SUBSTITUTE(Teeth!$A:$A," ","§",2)&amp;"§")-1))=
TRIM(LEFT(A226,SEARCH("§",SUBSTITUTE(A226," ","§",2)&amp;"§")-1))
))&gt;0,
IF(
COUNT(_xlfn._xlws.FILTER(Teeth!$D:$D,
TRIM(LEFT(Teeth!$A:$A,SEARCH("§",SUBSTITUTE(Teeth!$A:$A," ","§",2)&amp;"§")-1))=
TRIM(LEFT(A226,SEARCH("§",SUBSTITUTE(A226," ","§",2)&amp;"§")-1))
))=0,
1,
MAX(_xlfn._xlws.FILTER(Teeth!$D:$D,
TRIM(LEFT(Teeth!$A:$A,SEARCH("§",SUBSTITUTE(Teeth!$A:$A," ","§",2)&amp;"§")-1))=
TRIM(LEFT(A226,SEARCH("§",SUBSTITUTE(A226," ","§",2)&amp;"§")-1))
))
),
IF(
SUMPRODUCT(--(
TRIM(LEFT(Teeth!$A:$A,SEARCH(" ",Teeth!$A:$A&amp;" ")-1))=
TRIM(LEFT(A226,SEARCH(" ",A226&amp;" ")-1))
))&gt;0,
IF(
COUNT(_xlfn._xlws.FILTER(Teeth!$D:$D,
TRIM(LEFT(Teeth!$A:$A,SEARCH(" ",Teeth!$A:$A&amp;" ")-1))=
TRIM(LEFT(A226,SEARCH(" ",A226&amp;" ")-1))
))=0,
1,
AVERAGE(_xlfn._xlws.FILTER(Teeth!$D:$D,
TRIM(LEFT(Teeth!$A:$A,SEARCH(" ",Teeth!$A:$A&amp;" ")-1))=
TRIM(LEFT(A226,SEARCH(" ",A226&amp;" ")-1))
))
),
1
)
)</f>
        <v>1</v>
      </c>
    </row>
    <row r="227" spans="1:2" x14ac:dyDescent="0.25">
      <c r="A227" s="2" t="str">
        <f>'[1]Base stats'!$B227</f>
        <v>Coleoptera crepusculi</v>
      </c>
      <c r="B227" s="20" cm="1">
        <f t="array" ref="B227">IF(
SUMPRODUCT(--(
TRIM(LEFT(Teeth!$A:$A,SEARCH("§",SUBSTITUTE(Teeth!$A:$A," ","§",2)&amp;"§")-1))=
TRIM(LEFT(A227,SEARCH("§",SUBSTITUTE(A227," ","§",2)&amp;"§")-1))
))&gt;0,
IF(
COUNT(_xlfn._xlws.FILTER(Teeth!$D:$D,
TRIM(LEFT(Teeth!$A:$A,SEARCH("§",SUBSTITUTE(Teeth!$A:$A," ","§",2)&amp;"§")-1))=
TRIM(LEFT(A227,SEARCH("§",SUBSTITUTE(A227," ","§",2)&amp;"§")-1))
))=0,
1,
MAX(_xlfn._xlws.FILTER(Teeth!$D:$D,
TRIM(LEFT(Teeth!$A:$A,SEARCH("§",SUBSTITUTE(Teeth!$A:$A," ","§",2)&amp;"§")-1))=
TRIM(LEFT(A227,SEARCH("§",SUBSTITUTE(A227," ","§",2)&amp;"§")-1))
))
),
IF(
SUMPRODUCT(--(
TRIM(LEFT(Teeth!$A:$A,SEARCH(" ",Teeth!$A:$A&amp;" ")-1))=
TRIM(LEFT(A227,SEARCH(" ",A227&amp;" ")-1))
))&gt;0,
IF(
COUNT(_xlfn._xlws.FILTER(Teeth!$D:$D,
TRIM(LEFT(Teeth!$A:$A,SEARCH(" ",Teeth!$A:$A&amp;" ")-1))=
TRIM(LEFT(A227,SEARCH(" ",A227&amp;" ")-1))
))=0,
1,
AVERAGE(_xlfn._xlws.FILTER(Teeth!$D:$D,
TRIM(LEFT(Teeth!$A:$A,SEARCH(" ",Teeth!$A:$A&amp;" ")-1))=
TRIM(LEFT(A227,SEARCH(" ",A227&amp;" ")-1))
))
),
1
)
)</f>
        <v>1</v>
      </c>
    </row>
    <row r="228" spans="1:2" x14ac:dyDescent="0.25">
      <c r="A228" s="2" t="str">
        <f>'[1]Base stats'!$B228</f>
        <v>Arthrocolossus behemoth</v>
      </c>
      <c r="B228" s="20" cm="1">
        <f t="array" ref="B228">IF(
SUMPRODUCT(--(
TRIM(LEFT(Teeth!$A:$A,SEARCH("§",SUBSTITUTE(Teeth!$A:$A," ","§",2)&amp;"§")-1))=
TRIM(LEFT(A228,SEARCH("§",SUBSTITUTE(A228," ","§",2)&amp;"§")-1))
))&gt;0,
IF(
COUNT(_xlfn._xlws.FILTER(Teeth!$D:$D,
TRIM(LEFT(Teeth!$A:$A,SEARCH("§",SUBSTITUTE(Teeth!$A:$A," ","§",2)&amp;"§")-1))=
TRIM(LEFT(A228,SEARCH("§",SUBSTITUTE(A228," ","§",2)&amp;"§")-1))
))=0,
1,
MAX(_xlfn._xlws.FILTER(Teeth!$D:$D,
TRIM(LEFT(Teeth!$A:$A,SEARCH("§",SUBSTITUTE(Teeth!$A:$A," ","§",2)&amp;"§")-1))=
TRIM(LEFT(A228,SEARCH("§",SUBSTITUTE(A228," ","§",2)&amp;"§")-1))
))
),
IF(
SUMPRODUCT(--(
TRIM(LEFT(Teeth!$A:$A,SEARCH(" ",Teeth!$A:$A&amp;" ")-1))=
TRIM(LEFT(A228,SEARCH(" ",A228&amp;" ")-1))
))&gt;0,
IF(
COUNT(_xlfn._xlws.FILTER(Teeth!$D:$D,
TRIM(LEFT(Teeth!$A:$A,SEARCH(" ",Teeth!$A:$A&amp;" ")-1))=
TRIM(LEFT(A228,SEARCH(" ",A228&amp;" ")-1))
))=0,
1,
AVERAGE(_xlfn._xlws.FILTER(Teeth!$D:$D,
TRIM(LEFT(Teeth!$A:$A,SEARCH(" ",Teeth!$A:$A&amp;" ")-1))=
TRIM(LEFT(A228,SEARCH(" ",A228&amp;" ")-1))
))
),
1
)
)</f>
        <v>1</v>
      </c>
    </row>
    <row r="229" spans="1:2" x14ac:dyDescent="0.25">
      <c r="A229" s="2" t="str">
        <f>'[1]Base stats'!$B229</f>
        <v>Devourer maximus</v>
      </c>
      <c r="B229" s="20" cm="1">
        <f t="array" ref="B229">IF(
SUMPRODUCT(--(
TRIM(LEFT(Teeth!$A:$A,SEARCH("§",SUBSTITUTE(Teeth!$A:$A," ","§",2)&amp;"§")-1))=
TRIM(LEFT(A229,SEARCH("§",SUBSTITUTE(A229," ","§",2)&amp;"§")-1))
))&gt;0,
IF(
COUNT(_xlfn._xlws.FILTER(Teeth!$D:$D,
TRIM(LEFT(Teeth!$A:$A,SEARCH("§",SUBSTITUTE(Teeth!$A:$A," ","§",2)&amp;"§")-1))=
TRIM(LEFT(A229,SEARCH("§",SUBSTITUTE(A229," ","§",2)&amp;"§")-1))
))=0,
1,
MAX(_xlfn._xlws.FILTER(Teeth!$D:$D,
TRIM(LEFT(Teeth!$A:$A,SEARCH("§",SUBSTITUTE(Teeth!$A:$A," ","§",2)&amp;"§")-1))=
TRIM(LEFT(A229,SEARCH("§",SUBSTITUTE(A229," ","§",2)&amp;"§")-1))
))
),
IF(
SUMPRODUCT(--(
TRIM(LEFT(Teeth!$A:$A,SEARCH(" ",Teeth!$A:$A&amp;" ")-1))=
TRIM(LEFT(A229,SEARCH(" ",A229&amp;" ")-1))
))&gt;0,
IF(
COUNT(_xlfn._xlws.FILTER(Teeth!$D:$D,
TRIM(LEFT(Teeth!$A:$A,SEARCH(" ",Teeth!$A:$A&amp;" ")-1))=
TRIM(LEFT(A229,SEARCH(" ",A229&amp;" ")-1))
))=0,
1,
AVERAGE(_xlfn._xlws.FILTER(Teeth!$D:$D,
TRIM(LEFT(Teeth!$A:$A,SEARCH(" ",Teeth!$A:$A&amp;" ")-1))=
TRIM(LEFT(A229,SEARCH(" ",A229&amp;" ")-1))
))
),
1
)
)</f>
        <v>1</v>
      </c>
    </row>
    <row r="230" spans="1:2" x14ac:dyDescent="0.25">
      <c r="A230" s="2" t="str">
        <f>'[1]Base stats'!$B230</f>
        <v>Vermis collectivus</v>
      </c>
      <c r="B230" s="20" cm="1">
        <f t="array" ref="B230">IF(
SUMPRODUCT(--(
TRIM(LEFT(Teeth!$A:$A,SEARCH("§",SUBSTITUTE(Teeth!$A:$A," ","§",2)&amp;"§")-1))=
TRIM(LEFT(A230,SEARCH("§",SUBSTITUTE(A230," ","§",2)&amp;"§")-1))
))&gt;0,
IF(
COUNT(_xlfn._xlws.FILTER(Teeth!$D:$D,
TRIM(LEFT(Teeth!$A:$A,SEARCH("§",SUBSTITUTE(Teeth!$A:$A," ","§",2)&amp;"§")-1))=
TRIM(LEFT(A230,SEARCH("§",SUBSTITUTE(A230," ","§",2)&amp;"§")-1))
))=0,
1,
MAX(_xlfn._xlws.FILTER(Teeth!$D:$D,
TRIM(LEFT(Teeth!$A:$A,SEARCH("§",SUBSTITUTE(Teeth!$A:$A," ","§",2)&amp;"§")-1))=
TRIM(LEFT(A230,SEARCH("§",SUBSTITUTE(A230," ","§",2)&amp;"§")-1))
))
),
IF(
SUMPRODUCT(--(
TRIM(LEFT(Teeth!$A:$A,SEARCH(" ",Teeth!$A:$A&amp;" ")-1))=
TRIM(LEFT(A230,SEARCH(" ",A230&amp;" ")-1))
))&gt;0,
IF(
COUNT(_xlfn._xlws.FILTER(Teeth!$D:$D,
TRIM(LEFT(Teeth!$A:$A,SEARCH(" ",Teeth!$A:$A&amp;" ")-1))=
TRIM(LEFT(A230,SEARCH(" ",A230&amp;" ")-1))
))=0,
1,
AVERAGE(_xlfn._xlws.FILTER(Teeth!$D:$D,
TRIM(LEFT(Teeth!$A:$A,SEARCH(" ",Teeth!$A:$A&amp;" ")-1))=
TRIM(LEFT(A230,SEARCH(" ",A230&amp;" ")-1))
))
),
1
)
)</f>
        <v>1</v>
      </c>
    </row>
    <row r="231" spans="1:2" x14ac:dyDescent="0.25">
      <c r="A231" s="2" t="str">
        <f>'[1]Base stats'!$B231</f>
        <v>Araneodraco animalis</v>
      </c>
      <c r="B231" s="20" cm="1">
        <f t="array" ref="B231">IF(
SUMPRODUCT(--(
TRIM(LEFT(Teeth!$A:$A,SEARCH("§",SUBSTITUTE(Teeth!$A:$A," ","§",2)&amp;"§")-1))=
TRIM(LEFT(A231,SEARCH("§",SUBSTITUTE(A231," ","§",2)&amp;"§")-1))
))&gt;0,
IF(
COUNT(_xlfn._xlws.FILTER(Teeth!$D:$D,
TRIM(LEFT(Teeth!$A:$A,SEARCH("§",SUBSTITUTE(Teeth!$A:$A," ","§",2)&amp;"§")-1))=
TRIM(LEFT(A231,SEARCH("§",SUBSTITUTE(A231," ","§",2)&amp;"§")-1))
))=0,
1,
MAX(_xlfn._xlws.FILTER(Teeth!$D:$D,
TRIM(LEFT(Teeth!$A:$A,SEARCH("§",SUBSTITUTE(Teeth!$A:$A," ","§",2)&amp;"§")-1))=
TRIM(LEFT(A231,SEARCH("§",SUBSTITUTE(A231," ","§",2)&amp;"§")-1))
))
),
IF(
SUMPRODUCT(--(
TRIM(LEFT(Teeth!$A:$A,SEARCH(" ",Teeth!$A:$A&amp;" ")-1))=
TRIM(LEFT(A231,SEARCH(" ",A231&amp;" ")-1))
))&gt;0,
IF(
COUNT(_xlfn._xlws.FILTER(Teeth!$D:$D,
TRIM(LEFT(Teeth!$A:$A,SEARCH(" ",Teeth!$A:$A&amp;" ")-1))=
TRIM(LEFT(A231,SEARCH(" ",A231&amp;" ")-1))
))=0,
1,
AVERAGE(_xlfn._xlws.FILTER(Teeth!$D:$D,
TRIM(LEFT(Teeth!$A:$A,SEARCH(" ",Teeth!$A:$A&amp;" ")-1))=
TRIM(LEFT(A231,SEARCH(" ",A231&amp;" ")-1))
))
),
1
)
)</f>
        <v>1</v>
      </c>
    </row>
    <row r="232" spans="1:2" x14ac:dyDescent="0.25">
      <c r="A232" s="2" t="str">
        <f>'[1]Base stats'!$B232</f>
        <v>Araneodraco ferus</v>
      </c>
      <c r="B232" s="20" cm="1">
        <f t="array" ref="B232">IF(
SUMPRODUCT(--(
TRIM(LEFT(Teeth!$A:$A,SEARCH("§",SUBSTITUTE(Teeth!$A:$A," ","§",2)&amp;"§")-1))=
TRIM(LEFT(A232,SEARCH("§",SUBSTITUTE(A232," ","§",2)&amp;"§")-1))
))&gt;0,
IF(
COUNT(_xlfn._xlws.FILTER(Teeth!$D:$D,
TRIM(LEFT(Teeth!$A:$A,SEARCH("§",SUBSTITUTE(Teeth!$A:$A," ","§",2)&amp;"§")-1))=
TRIM(LEFT(A232,SEARCH("§",SUBSTITUTE(A232," ","§",2)&amp;"§")-1))
))=0,
1,
MAX(_xlfn._xlws.FILTER(Teeth!$D:$D,
TRIM(LEFT(Teeth!$A:$A,SEARCH("§",SUBSTITUTE(Teeth!$A:$A," ","§",2)&amp;"§")-1))=
TRIM(LEFT(A232,SEARCH("§",SUBSTITUTE(A232," ","§",2)&amp;"§")-1))
))
),
IF(
SUMPRODUCT(--(
TRIM(LEFT(Teeth!$A:$A,SEARCH(" ",Teeth!$A:$A&amp;" ")-1))=
TRIM(LEFT(A232,SEARCH(" ",A232&amp;" ")-1))
))&gt;0,
IF(
COUNT(_xlfn._xlws.FILTER(Teeth!$D:$D,
TRIM(LEFT(Teeth!$A:$A,SEARCH(" ",Teeth!$A:$A&amp;" ")-1))=
TRIM(LEFT(A232,SEARCH(" ",A232&amp;" ")-1))
))=0,
1,
AVERAGE(_xlfn._xlws.FILTER(Teeth!$D:$D,
TRIM(LEFT(Teeth!$A:$A,SEARCH(" ",Teeth!$A:$A&amp;" ")-1))=
TRIM(LEFT(A232,SEARCH(" ",A232&amp;" ")-1))
))
),
1
)
)</f>
        <v>1</v>
      </c>
    </row>
    <row r="233" spans="1:2" x14ac:dyDescent="0.25">
      <c r="A233" s="2" t="str">
        <f>'[1]Base stats'!$B233</f>
        <v>Araneodraco ferus (clutch mother)</v>
      </c>
      <c r="B233" s="20" cm="1">
        <f t="array" ref="B233">IF(
SUMPRODUCT(--(
TRIM(LEFT(Teeth!$A:$A,SEARCH("§",SUBSTITUTE(Teeth!$A:$A," ","§",2)&amp;"§")-1))=
TRIM(LEFT(A233,SEARCH("§",SUBSTITUTE(A233," ","§",2)&amp;"§")-1))
))&gt;0,
IF(
COUNT(_xlfn._xlws.FILTER(Teeth!$D:$D,
TRIM(LEFT(Teeth!$A:$A,SEARCH("§",SUBSTITUTE(Teeth!$A:$A," ","§",2)&amp;"§")-1))=
TRIM(LEFT(A233,SEARCH("§",SUBSTITUTE(A233," ","§",2)&amp;"§")-1))
))=0,
1,
MAX(_xlfn._xlws.FILTER(Teeth!$D:$D,
TRIM(LEFT(Teeth!$A:$A,SEARCH("§",SUBSTITUTE(Teeth!$A:$A," ","§",2)&amp;"§")-1))=
TRIM(LEFT(A233,SEARCH("§",SUBSTITUTE(A233," ","§",2)&amp;"§")-1))
))
),
IF(
SUMPRODUCT(--(
TRIM(LEFT(Teeth!$A:$A,SEARCH(" ",Teeth!$A:$A&amp;" ")-1))=
TRIM(LEFT(A233,SEARCH(" ",A233&amp;" ")-1))
))&gt;0,
IF(
COUNT(_xlfn._xlws.FILTER(Teeth!$D:$D,
TRIM(LEFT(Teeth!$A:$A,SEARCH(" ",Teeth!$A:$A&amp;" ")-1))=
TRIM(LEFT(A233,SEARCH(" ",A233&amp;" ")-1))
))=0,
1,
AVERAGE(_xlfn._xlws.FILTER(Teeth!$D:$D,
TRIM(LEFT(Teeth!$A:$A,SEARCH(" ",Teeth!$A:$A&amp;" ")-1))=
TRIM(LEFT(A233,SEARCH(" ",A233&amp;" ")-1))
))
),
1
)
)</f>
        <v>1</v>
      </c>
    </row>
    <row r="234" spans="1:2" x14ac:dyDescent="0.25">
      <c r="A234" s="2" t="str">
        <f>'[1]Base stats'!$B234</f>
        <v>Araneodraco arenosus</v>
      </c>
      <c r="B234" s="20" cm="1">
        <f t="array" ref="B234">IF(
SUMPRODUCT(--(
TRIM(LEFT(Teeth!$A:$A,SEARCH("§",SUBSTITUTE(Teeth!$A:$A," ","§",2)&amp;"§")-1))=
TRIM(LEFT(A234,SEARCH("§",SUBSTITUTE(A234," ","§",2)&amp;"§")-1))
))&gt;0,
IF(
COUNT(_xlfn._xlws.FILTER(Teeth!$D:$D,
TRIM(LEFT(Teeth!$A:$A,SEARCH("§",SUBSTITUTE(Teeth!$A:$A," ","§",2)&amp;"§")-1))=
TRIM(LEFT(A234,SEARCH("§",SUBSTITUTE(A234," ","§",2)&amp;"§")-1))
))=0,
1,
MAX(_xlfn._xlws.FILTER(Teeth!$D:$D,
TRIM(LEFT(Teeth!$A:$A,SEARCH("§",SUBSTITUTE(Teeth!$A:$A," ","§",2)&amp;"§")-1))=
TRIM(LEFT(A234,SEARCH("§",SUBSTITUTE(A234," ","§",2)&amp;"§")-1))
))
),
IF(
SUMPRODUCT(--(
TRIM(LEFT(Teeth!$A:$A,SEARCH(" ",Teeth!$A:$A&amp;" ")-1))=
TRIM(LEFT(A234,SEARCH(" ",A234&amp;" ")-1))
))&gt;0,
IF(
COUNT(_xlfn._xlws.FILTER(Teeth!$D:$D,
TRIM(LEFT(Teeth!$A:$A,SEARCH(" ",Teeth!$A:$A&amp;" ")-1))=
TRIM(LEFT(A234,SEARCH(" ",A234&amp;" ")-1))
))=0,
1,
AVERAGE(_xlfn._xlws.FILTER(Teeth!$D:$D,
TRIM(LEFT(Teeth!$A:$A,SEARCH(" ",Teeth!$A:$A&amp;" ")-1))=
TRIM(LEFT(A234,SEARCH(" ",A234&amp;" ")-1))
))
),
1
)
)</f>
        <v>1</v>
      </c>
    </row>
    <row r="235" spans="1:2" x14ac:dyDescent="0.25">
      <c r="A235" s="2" t="str">
        <f>'[1]Base stats'!$B235</f>
        <v>Araneodraco arenosus (clutch mother)</v>
      </c>
      <c r="B235" s="20" cm="1">
        <f t="array" ref="B235">IF(
SUMPRODUCT(--(
TRIM(LEFT(Teeth!$A:$A,SEARCH("§",SUBSTITUTE(Teeth!$A:$A," ","§",2)&amp;"§")-1))=
TRIM(LEFT(A235,SEARCH("§",SUBSTITUTE(A235," ","§",2)&amp;"§")-1))
))&gt;0,
IF(
COUNT(_xlfn._xlws.FILTER(Teeth!$D:$D,
TRIM(LEFT(Teeth!$A:$A,SEARCH("§",SUBSTITUTE(Teeth!$A:$A," ","§",2)&amp;"§")-1))=
TRIM(LEFT(A235,SEARCH("§",SUBSTITUTE(A235," ","§",2)&amp;"§")-1))
))=0,
1,
MAX(_xlfn._xlws.FILTER(Teeth!$D:$D,
TRIM(LEFT(Teeth!$A:$A,SEARCH("§",SUBSTITUTE(Teeth!$A:$A," ","§",2)&amp;"§")-1))=
TRIM(LEFT(A235,SEARCH("§",SUBSTITUTE(A235," ","§",2)&amp;"§")-1))
))
),
IF(
SUMPRODUCT(--(
TRIM(LEFT(Teeth!$A:$A,SEARCH(" ",Teeth!$A:$A&amp;" ")-1))=
TRIM(LEFT(A235,SEARCH(" ",A235&amp;" ")-1))
))&gt;0,
IF(
COUNT(_xlfn._xlws.FILTER(Teeth!$D:$D,
TRIM(LEFT(Teeth!$A:$A,SEARCH(" ",Teeth!$A:$A&amp;" ")-1))=
TRIM(LEFT(A235,SEARCH(" ",A235&amp;" ")-1))
))=0,
1,
AVERAGE(_xlfn._xlws.FILTER(Teeth!$D:$D,
TRIM(LEFT(Teeth!$A:$A,SEARCH(" ",Teeth!$A:$A&amp;" ")-1))=
TRIM(LEFT(A235,SEARCH(" ",A235&amp;" ")-1))
))
),
1
)
)</f>
        <v>1</v>
      </c>
    </row>
    <row r="236" spans="1:2" x14ac:dyDescent="0.25">
      <c r="A236" s="2" t="str">
        <f>'[1]Base stats'!$B236</f>
        <v>Araneodraco glacialis</v>
      </c>
      <c r="B236" s="20" cm="1">
        <f t="array" ref="B236">IF(
SUMPRODUCT(--(
TRIM(LEFT(Teeth!$A:$A,SEARCH("§",SUBSTITUTE(Teeth!$A:$A," ","§",2)&amp;"§")-1))=
TRIM(LEFT(A236,SEARCH("§",SUBSTITUTE(A236," ","§",2)&amp;"§")-1))
))&gt;0,
IF(
COUNT(_xlfn._xlws.FILTER(Teeth!$D:$D,
TRIM(LEFT(Teeth!$A:$A,SEARCH("§",SUBSTITUTE(Teeth!$A:$A," ","§",2)&amp;"§")-1))=
TRIM(LEFT(A236,SEARCH("§",SUBSTITUTE(A236," ","§",2)&amp;"§")-1))
))=0,
1,
MAX(_xlfn._xlws.FILTER(Teeth!$D:$D,
TRIM(LEFT(Teeth!$A:$A,SEARCH("§",SUBSTITUTE(Teeth!$A:$A," ","§",2)&amp;"§")-1))=
TRIM(LEFT(A236,SEARCH("§",SUBSTITUTE(A236," ","§",2)&amp;"§")-1))
))
),
IF(
SUMPRODUCT(--(
TRIM(LEFT(Teeth!$A:$A,SEARCH(" ",Teeth!$A:$A&amp;" ")-1))=
TRIM(LEFT(A236,SEARCH(" ",A236&amp;" ")-1))
))&gt;0,
IF(
COUNT(_xlfn._xlws.FILTER(Teeth!$D:$D,
TRIM(LEFT(Teeth!$A:$A,SEARCH(" ",Teeth!$A:$A&amp;" ")-1))=
TRIM(LEFT(A236,SEARCH(" ",A236&amp;" ")-1))
))=0,
1,
AVERAGE(_xlfn._xlws.FILTER(Teeth!$D:$D,
TRIM(LEFT(Teeth!$A:$A,SEARCH(" ",Teeth!$A:$A&amp;" ")-1))=
TRIM(LEFT(A236,SEARCH(" ",A236&amp;" ")-1))
))
),
1
)
)</f>
        <v>1</v>
      </c>
    </row>
    <row r="237" spans="1:2" x14ac:dyDescent="0.25">
      <c r="A237" s="2" t="str">
        <f>'[1]Base stats'!$B237</f>
        <v>Araneodraco glacialis (clutch mother)</v>
      </c>
      <c r="B237" s="20" cm="1">
        <f t="array" ref="B237">IF(
SUMPRODUCT(--(
TRIM(LEFT(Teeth!$A:$A,SEARCH("§",SUBSTITUTE(Teeth!$A:$A," ","§",2)&amp;"§")-1))=
TRIM(LEFT(A237,SEARCH("§",SUBSTITUTE(A237," ","§",2)&amp;"§")-1))
))&gt;0,
IF(
COUNT(_xlfn._xlws.FILTER(Teeth!$D:$D,
TRIM(LEFT(Teeth!$A:$A,SEARCH("§",SUBSTITUTE(Teeth!$A:$A," ","§",2)&amp;"§")-1))=
TRIM(LEFT(A237,SEARCH("§",SUBSTITUTE(A237," ","§",2)&amp;"§")-1))
))=0,
1,
MAX(_xlfn._xlws.FILTER(Teeth!$D:$D,
TRIM(LEFT(Teeth!$A:$A,SEARCH("§",SUBSTITUTE(Teeth!$A:$A," ","§",2)&amp;"§")-1))=
TRIM(LEFT(A237,SEARCH("§",SUBSTITUTE(A237," ","§",2)&amp;"§")-1))
))
),
IF(
SUMPRODUCT(--(
TRIM(LEFT(Teeth!$A:$A,SEARCH(" ",Teeth!$A:$A&amp;" ")-1))=
TRIM(LEFT(A237,SEARCH(" ",A237&amp;" ")-1))
))&gt;0,
IF(
COUNT(_xlfn._xlws.FILTER(Teeth!$D:$D,
TRIM(LEFT(Teeth!$A:$A,SEARCH(" ",Teeth!$A:$A&amp;" ")-1))=
TRIM(LEFT(A237,SEARCH(" ",A237&amp;" ")-1))
))=0,
1,
AVERAGE(_xlfn._xlws.FILTER(Teeth!$D:$D,
TRIM(LEFT(Teeth!$A:$A,SEARCH(" ",Teeth!$A:$A&amp;" ")-1))=
TRIM(LEFT(A237,SEARCH(" ",A237&amp;" ")-1))
))
),
1
)
)</f>
        <v>1</v>
      </c>
    </row>
    <row r="238" spans="1:2" x14ac:dyDescent="0.25">
      <c r="A238" s="2" t="str">
        <f>'[1]Base stats'!$B238</f>
        <v>Araneodraco ignis</v>
      </c>
      <c r="B238" s="20" cm="1">
        <f t="array" ref="B238">IF(
SUMPRODUCT(--(
TRIM(LEFT(Teeth!$A:$A,SEARCH("§",SUBSTITUTE(Teeth!$A:$A," ","§",2)&amp;"§")-1))=
TRIM(LEFT(A238,SEARCH("§",SUBSTITUTE(A238," ","§",2)&amp;"§")-1))
))&gt;0,
IF(
COUNT(_xlfn._xlws.FILTER(Teeth!$D:$D,
TRIM(LEFT(Teeth!$A:$A,SEARCH("§",SUBSTITUTE(Teeth!$A:$A," ","§",2)&amp;"§")-1))=
TRIM(LEFT(A238,SEARCH("§",SUBSTITUTE(A238," ","§",2)&amp;"§")-1))
))=0,
1,
MAX(_xlfn._xlws.FILTER(Teeth!$D:$D,
TRIM(LEFT(Teeth!$A:$A,SEARCH("§",SUBSTITUTE(Teeth!$A:$A," ","§",2)&amp;"§")-1))=
TRIM(LEFT(A238,SEARCH("§",SUBSTITUTE(A238," ","§",2)&amp;"§")-1))
))
),
IF(
SUMPRODUCT(--(
TRIM(LEFT(Teeth!$A:$A,SEARCH(" ",Teeth!$A:$A&amp;" ")-1))=
TRIM(LEFT(A238,SEARCH(" ",A238&amp;" ")-1))
))&gt;0,
IF(
COUNT(_xlfn._xlws.FILTER(Teeth!$D:$D,
TRIM(LEFT(Teeth!$A:$A,SEARCH(" ",Teeth!$A:$A&amp;" ")-1))=
TRIM(LEFT(A238,SEARCH(" ",A238&amp;" ")-1))
))=0,
1,
AVERAGE(_xlfn._xlws.FILTER(Teeth!$D:$D,
TRIM(LEFT(Teeth!$A:$A,SEARCH(" ",Teeth!$A:$A&amp;" ")-1))=
TRIM(LEFT(A238,SEARCH(" ",A238&amp;" ")-1))
))
),
1
)
)</f>
        <v>1</v>
      </c>
    </row>
    <row r="239" spans="1:2" x14ac:dyDescent="0.25">
      <c r="A239" s="2" t="str">
        <f>'[1]Base stats'!$B239</f>
        <v>Araneodraco sylvanus</v>
      </c>
      <c r="B239" s="20" cm="1">
        <f t="array" ref="B239">IF(
SUMPRODUCT(--(
TRIM(LEFT(Teeth!$A:$A,SEARCH("§",SUBSTITUTE(Teeth!$A:$A," ","§",2)&amp;"§")-1))=
TRIM(LEFT(A239,SEARCH("§",SUBSTITUTE(A239," ","§",2)&amp;"§")-1))
))&gt;0,
IF(
COUNT(_xlfn._xlws.FILTER(Teeth!$D:$D,
TRIM(LEFT(Teeth!$A:$A,SEARCH("§",SUBSTITUTE(Teeth!$A:$A," ","§",2)&amp;"§")-1))=
TRIM(LEFT(A239,SEARCH("§",SUBSTITUTE(A239," ","§",2)&amp;"§")-1))
))=0,
1,
MAX(_xlfn._xlws.FILTER(Teeth!$D:$D,
TRIM(LEFT(Teeth!$A:$A,SEARCH("§",SUBSTITUTE(Teeth!$A:$A," ","§",2)&amp;"§")-1))=
TRIM(LEFT(A239,SEARCH("§",SUBSTITUTE(A239," ","§",2)&amp;"§")-1))
))
),
IF(
SUMPRODUCT(--(
TRIM(LEFT(Teeth!$A:$A,SEARCH(" ",Teeth!$A:$A&amp;" ")-1))=
TRIM(LEFT(A239,SEARCH(" ",A239&amp;" ")-1))
))&gt;0,
IF(
COUNT(_xlfn._xlws.FILTER(Teeth!$D:$D,
TRIM(LEFT(Teeth!$A:$A,SEARCH(" ",Teeth!$A:$A&amp;" ")-1))=
TRIM(LEFT(A239,SEARCH(" ",A239&amp;" ")-1))
))=0,
1,
AVERAGE(_xlfn._xlws.FILTER(Teeth!$D:$D,
TRIM(LEFT(Teeth!$A:$A,SEARCH(" ",Teeth!$A:$A&amp;" ")-1))=
TRIM(LEFT(A239,SEARCH(" ",A239&amp;" ")-1))
))
),
1
)
)</f>
        <v>1</v>
      </c>
    </row>
    <row r="240" spans="1:2" x14ac:dyDescent="0.25">
      <c r="A240" s="2" t="str">
        <f>'[1]Base stats'!$B240</f>
        <v>Titanocoleus niger</v>
      </c>
      <c r="B240" s="20" cm="1">
        <f t="array" ref="B240">IF(
SUMPRODUCT(--(
TRIM(LEFT(Teeth!$A:$A,SEARCH("§",SUBSTITUTE(Teeth!$A:$A," ","§",2)&amp;"§")-1))=
TRIM(LEFT(A240,SEARCH("§",SUBSTITUTE(A240," ","§",2)&amp;"§")-1))
))&gt;0,
IF(
COUNT(_xlfn._xlws.FILTER(Teeth!$D:$D,
TRIM(LEFT(Teeth!$A:$A,SEARCH("§",SUBSTITUTE(Teeth!$A:$A," ","§",2)&amp;"§")-1))=
TRIM(LEFT(A240,SEARCH("§",SUBSTITUTE(A240," ","§",2)&amp;"§")-1))
))=0,
1,
MAX(_xlfn._xlws.FILTER(Teeth!$D:$D,
TRIM(LEFT(Teeth!$A:$A,SEARCH("§",SUBSTITUTE(Teeth!$A:$A," ","§",2)&amp;"§")-1))=
TRIM(LEFT(A240,SEARCH("§",SUBSTITUTE(A240," ","§",2)&amp;"§")-1))
))
),
IF(
SUMPRODUCT(--(
TRIM(LEFT(Teeth!$A:$A,SEARCH(" ",Teeth!$A:$A&amp;" ")-1))=
TRIM(LEFT(A240,SEARCH(" ",A240&amp;" ")-1))
))&gt;0,
IF(
COUNT(_xlfn._xlws.FILTER(Teeth!$D:$D,
TRIM(LEFT(Teeth!$A:$A,SEARCH(" ",Teeth!$A:$A&amp;" ")-1))=
TRIM(LEFT(A240,SEARCH(" ",A240&amp;" ")-1))
))=0,
1,
AVERAGE(_xlfn._xlws.FILTER(Teeth!$D:$D,
TRIM(LEFT(Teeth!$A:$A,SEARCH(" ",Teeth!$A:$A&amp;" ")-1))=
TRIM(LEFT(A240,SEARCH(" ",A240&amp;" ")-1))
))
),
1
)
)</f>
        <v>1</v>
      </c>
    </row>
    <row r="241" spans="1:2" x14ac:dyDescent="0.25">
      <c r="A241" s="2" t="str">
        <f>'[1]Base stats'!$B241</f>
        <v>Cryptomorphus niger</v>
      </c>
      <c r="B241" s="20" cm="1">
        <f t="array" ref="B241">IF(
SUMPRODUCT(--(
TRIM(LEFT(Teeth!$A:$A,SEARCH("§",SUBSTITUTE(Teeth!$A:$A," ","§",2)&amp;"§")-1))=
TRIM(LEFT(A241,SEARCH("§",SUBSTITUTE(A241," ","§",2)&amp;"§")-1))
))&gt;0,
IF(
COUNT(_xlfn._xlws.FILTER(Teeth!$D:$D,
TRIM(LEFT(Teeth!$A:$A,SEARCH("§",SUBSTITUTE(Teeth!$A:$A," ","§",2)&amp;"§")-1))=
TRIM(LEFT(A241,SEARCH("§",SUBSTITUTE(A241," ","§",2)&amp;"§")-1))
))=0,
1,
MAX(_xlfn._xlws.FILTER(Teeth!$D:$D,
TRIM(LEFT(Teeth!$A:$A,SEARCH("§",SUBSTITUTE(Teeth!$A:$A," ","§",2)&amp;"§")-1))=
TRIM(LEFT(A241,SEARCH("§",SUBSTITUTE(A241," ","§",2)&amp;"§")-1))
))
),
IF(
SUMPRODUCT(--(
TRIM(LEFT(Teeth!$A:$A,SEARCH(" ",Teeth!$A:$A&amp;" ")-1))=
TRIM(LEFT(A241,SEARCH(" ",A241&amp;" ")-1))
))&gt;0,
IF(
COUNT(_xlfn._xlws.FILTER(Teeth!$D:$D,
TRIM(LEFT(Teeth!$A:$A,SEARCH(" ",Teeth!$A:$A&amp;" ")-1))=
TRIM(LEFT(A241,SEARCH(" ",A241&amp;" ")-1))
))=0,
1,
AVERAGE(_xlfn._xlws.FILTER(Teeth!$D:$D,
TRIM(LEFT(Teeth!$A:$A,SEARCH(" ",Teeth!$A:$A&amp;" ")-1))=
TRIM(LEFT(A241,SEARCH(" ",A241&amp;" ")-1))
))
),
1
)
)</f>
        <v>1</v>
      </c>
    </row>
    <row r="242" spans="1:2" x14ac:dyDescent="0.25">
      <c r="A242" s="2" t="str">
        <f>'[1]Base stats'!$B242</f>
        <v>Gigarachne niger</v>
      </c>
      <c r="B242" s="20" cm="1">
        <f t="array" ref="B242">IF(
SUMPRODUCT(--(
TRIM(LEFT(Teeth!$A:$A,SEARCH("§",SUBSTITUTE(Teeth!$A:$A," ","§",2)&amp;"§")-1))=
TRIM(LEFT(A242,SEARCH("§",SUBSTITUTE(A242," ","§",2)&amp;"§")-1))
))&gt;0,
IF(
COUNT(_xlfn._xlws.FILTER(Teeth!$D:$D,
TRIM(LEFT(Teeth!$A:$A,SEARCH("§",SUBSTITUTE(Teeth!$A:$A," ","§",2)&amp;"§")-1))=
TRIM(LEFT(A242,SEARCH("§",SUBSTITUTE(A242," ","§",2)&amp;"§")-1))
))=0,
1,
MAX(_xlfn._xlws.FILTER(Teeth!$D:$D,
TRIM(LEFT(Teeth!$A:$A,SEARCH("§",SUBSTITUTE(Teeth!$A:$A," ","§",2)&amp;"§")-1))=
TRIM(LEFT(A242,SEARCH("§",SUBSTITUTE(A242," ","§",2)&amp;"§")-1))
))
),
IF(
SUMPRODUCT(--(
TRIM(LEFT(Teeth!$A:$A,SEARCH(" ",Teeth!$A:$A&amp;" ")-1))=
TRIM(LEFT(A242,SEARCH(" ",A242&amp;" ")-1))
))&gt;0,
IF(
COUNT(_xlfn._xlws.FILTER(Teeth!$D:$D,
TRIM(LEFT(Teeth!$A:$A,SEARCH(" ",Teeth!$A:$A&amp;" ")-1))=
TRIM(LEFT(A242,SEARCH(" ",A242&amp;" ")-1))
))=0,
1,
AVERAGE(_xlfn._xlws.FILTER(Teeth!$D:$D,
TRIM(LEFT(Teeth!$A:$A,SEARCH(" ",Teeth!$A:$A&amp;" ")-1))=
TRIM(LEFT(A242,SEARCH(" ",A242&amp;" ")-1))
))
),
1
)
)</f>
        <v>1</v>
      </c>
    </row>
    <row r="243" spans="1:2" x14ac:dyDescent="0.25">
      <c r="A243" s="2" t="str">
        <f>'[1]Base stats'!$B243</f>
        <v>Devastator rapax</v>
      </c>
      <c r="B243" s="20" cm="1">
        <f t="array" ref="B243">IF(
SUMPRODUCT(--(
TRIM(LEFT(Teeth!$A:$A,SEARCH("§",SUBSTITUTE(Teeth!$A:$A," ","§",2)&amp;"§")-1))=
TRIM(LEFT(A243,SEARCH("§",SUBSTITUTE(A243," ","§",2)&amp;"§")-1))
))&gt;0,
IF(
COUNT(_xlfn._xlws.FILTER(Teeth!$D:$D,
TRIM(LEFT(Teeth!$A:$A,SEARCH("§",SUBSTITUTE(Teeth!$A:$A," ","§",2)&amp;"§")-1))=
TRIM(LEFT(A243,SEARCH("§",SUBSTITUTE(A243," ","§",2)&amp;"§")-1))
))=0,
1,
MAX(_xlfn._xlws.FILTER(Teeth!$D:$D,
TRIM(LEFT(Teeth!$A:$A,SEARCH("§",SUBSTITUTE(Teeth!$A:$A," ","§",2)&amp;"§")-1))=
TRIM(LEFT(A243,SEARCH("§",SUBSTITUTE(A243," ","§",2)&amp;"§")-1))
))
),
IF(
SUMPRODUCT(--(
TRIM(LEFT(Teeth!$A:$A,SEARCH(" ",Teeth!$A:$A&amp;" ")-1))=
TRIM(LEFT(A243,SEARCH(" ",A243&amp;" ")-1))
))&gt;0,
IF(
COUNT(_xlfn._xlws.FILTER(Teeth!$D:$D,
TRIM(LEFT(Teeth!$A:$A,SEARCH(" ",Teeth!$A:$A&amp;" ")-1))=
TRIM(LEFT(A243,SEARCH(" ",A243&amp;" ")-1))
))=0,
1,
AVERAGE(_xlfn._xlws.FILTER(Teeth!$D:$D,
TRIM(LEFT(Teeth!$A:$A,SEARCH(" ",Teeth!$A:$A&amp;" ")-1))=
TRIM(LEFT(A243,SEARCH(" ",A243&amp;" ")-1))
))
),
1
)
)</f>
        <v>1</v>
      </c>
    </row>
    <row r="244" spans="1:2" x14ac:dyDescent="0.25">
      <c r="A244" s="2" t="str">
        <f>'[1]Base stats'!$B244</f>
        <v>Thermophis titan</v>
      </c>
      <c r="B244" s="20" cm="1">
        <f t="array" ref="B244">IF(
SUMPRODUCT(--(
TRIM(LEFT(Teeth!$A:$A,SEARCH("§",SUBSTITUTE(Teeth!$A:$A," ","§",2)&amp;"§")-1))=
TRIM(LEFT(A244,SEARCH("§",SUBSTITUTE(A244," ","§",2)&amp;"§")-1))
))&gt;0,
IF(
COUNT(_xlfn._xlws.FILTER(Teeth!$D:$D,
TRIM(LEFT(Teeth!$A:$A,SEARCH("§",SUBSTITUTE(Teeth!$A:$A," ","§",2)&amp;"§")-1))=
TRIM(LEFT(A244,SEARCH("§",SUBSTITUTE(A244," ","§",2)&amp;"§")-1))
))=0,
1,
MAX(_xlfn._xlws.FILTER(Teeth!$D:$D,
TRIM(LEFT(Teeth!$A:$A,SEARCH("§",SUBSTITUTE(Teeth!$A:$A," ","§",2)&amp;"§")-1))=
TRIM(LEFT(A244,SEARCH("§",SUBSTITUTE(A244," ","§",2)&amp;"§")-1))
))
),
IF(
SUMPRODUCT(--(
TRIM(LEFT(Teeth!$A:$A,SEARCH(" ",Teeth!$A:$A&amp;" ")-1))=
TRIM(LEFT(A244,SEARCH(" ",A244&amp;" ")-1))
))&gt;0,
IF(
COUNT(_xlfn._xlws.FILTER(Teeth!$D:$D,
TRIM(LEFT(Teeth!$A:$A,SEARCH(" ",Teeth!$A:$A&amp;" ")-1))=
TRIM(LEFT(A244,SEARCH(" ",A244&amp;" ")-1))
))=0,
1,
AVERAGE(_xlfn._xlws.FILTER(Teeth!$D:$D,
TRIM(LEFT(Teeth!$A:$A,SEARCH(" ",Teeth!$A:$A&amp;" ")-1))=
TRIM(LEFT(A244,SEARCH(" ",A244&amp;" ")-1))
))
),
1
)
)</f>
        <v>1</v>
      </c>
    </row>
    <row r="245" spans="1:2" x14ac:dyDescent="0.25">
      <c r="A245" s="2" t="str">
        <f>'[1]Base stats'!$B245</f>
        <v>Vermes mammuthus</v>
      </c>
      <c r="B245" s="20" cm="1">
        <f t="array" ref="B245">IF(
SUMPRODUCT(--(
TRIM(LEFT(Teeth!$A:$A,SEARCH("§",SUBSTITUTE(Teeth!$A:$A," ","§",2)&amp;"§")-1))=
TRIM(LEFT(A245,SEARCH("§",SUBSTITUTE(A245," ","§",2)&amp;"§")-1))
))&gt;0,
IF(
COUNT(_xlfn._xlws.FILTER(Teeth!$D:$D,
TRIM(LEFT(Teeth!$A:$A,SEARCH("§",SUBSTITUTE(Teeth!$A:$A," ","§",2)&amp;"§")-1))=
TRIM(LEFT(A245,SEARCH("§",SUBSTITUTE(A245," ","§",2)&amp;"§")-1))
))=0,
1,
MAX(_xlfn._xlws.FILTER(Teeth!$D:$D,
TRIM(LEFT(Teeth!$A:$A,SEARCH("§",SUBSTITUTE(Teeth!$A:$A," ","§",2)&amp;"§")-1))=
TRIM(LEFT(A245,SEARCH("§",SUBSTITUTE(A245," ","§",2)&amp;"§")-1))
))
),
IF(
SUMPRODUCT(--(
TRIM(LEFT(Teeth!$A:$A,SEARCH(" ",Teeth!$A:$A&amp;" ")-1))=
TRIM(LEFT(A245,SEARCH(" ",A245&amp;" ")-1))
))&gt;0,
IF(
COUNT(_xlfn._xlws.FILTER(Teeth!$D:$D,
TRIM(LEFT(Teeth!$A:$A,SEARCH(" ",Teeth!$A:$A&amp;" ")-1))=
TRIM(LEFT(A245,SEARCH(" ",A245&amp;" ")-1))
))=0,
1,
AVERAGE(_xlfn._xlws.FILTER(Teeth!$D:$D,
TRIM(LEFT(Teeth!$A:$A,SEARCH(" ",Teeth!$A:$A&amp;" ")-1))=
TRIM(LEFT(A245,SEARCH(" ",A245&amp;" ")-1))
))
),
1
)
)</f>
        <v>1</v>
      </c>
    </row>
    <row r="246" spans="1:2" x14ac:dyDescent="0.25">
      <c r="A246" s="2" t="str">
        <f>'[1]Base stats'!$B246</f>
        <v>Megacancer montanus</v>
      </c>
      <c r="B246" s="20" cm="1">
        <f t="array" ref="B246">IF(
SUMPRODUCT(--(
TRIM(LEFT(Teeth!$A:$A,SEARCH("§",SUBSTITUTE(Teeth!$A:$A," ","§",2)&amp;"§")-1))=
TRIM(LEFT(A246,SEARCH("§",SUBSTITUTE(A246," ","§",2)&amp;"§")-1))
))&gt;0,
IF(
COUNT(_xlfn._xlws.FILTER(Teeth!$D:$D,
TRIM(LEFT(Teeth!$A:$A,SEARCH("§",SUBSTITUTE(Teeth!$A:$A," ","§",2)&amp;"§")-1))=
TRIM(LEFT(A246,SEARCH("§",SUBSTITUTE(A246," ","§",2)&amp;"§")-1))
))=0,
1,
MAX(_xlfn._xlws.FILTER(Teeth!$D:$D,
TRIM(LEFT(Teeth!$A:$A,SEARCH("§",SUBSTITUTE(Teeth!$A:$A," ","§",2)&amp;"§")-1))=
TRIM(LEFT(A246,SEARCH("§",SUBSTITUTE(A246," ","§",2)&amp;"§")-1))
))
),
IF(
SUMPRODUCT(--(
TRIM(LEFT(Teeth!$A:$A,SEARCH(" ",Teeth!$A:$A&amp;" ")-1))=
TRIM(LEFT(A246,SEARCH(" ",A246&amp;" ")-1))
))&gt;0,
IF(
COUNT(_xlfn._xlws.FILTER(Teeth!$D:$D,
TRIM(LEFT(Teeth!$A:$A,SEARCH(" ",Teeth!$A:$A&amp;" ")-1))=
TRIM(LEFT(A246,SEARCH(" ",A246&amp;" ")-1))
))=0,
1,
AVERAGE(_xlfn._xlws.FILTER(Teeth!$D:$D,
TRIM(LEFT(Teeth!$A:$A,SEARCH(" ",Teeth!$A:$A&amp;" ")-1))=
TRIM(LEFT(A246,SEARCH(" ",A246&amp;" ")-1))
))
),
1
)
)</f>
        <v>1</v>
      </c>
    </row>
    <row r="247" spans="1:2" x14ac:dyDescent="0.25">
      <c r="A247" s="2" t="str">
        <f>'[1]Base stats'!$B247</f>
        <v>Megacancer lapidus</v>
      </c>
      <c r="B247" s="20" cm="1">
        <f t="array" ref="B247">IF(
SUMPRODUCT(--(
TRIM(LEFT(Teeth!$A:$A,SEARCH("§",SUBSTITUTE(Teeth!$A:$A," ","§",2)&amp;"§")-1))=
TRIM(LEFT(A247,SEARCH("§",SUBSTITUTE(A247," ","§",2)&amp;"§")-1))
))&gt;0,
IF(
COUNT(_xlfn._xlws.FILTER(Teeth!$D:$D,
TRIM(LEFT(Teeth!$A:$A,SEARCH("§",SUBSTITUTE(Teeth!$A:$A," ","§",2)&amp;"§")-1))=
TRIM(LEFT(A247,SEARCH("§",SUBSTITUTE(A247," ","§",2)&amp;"§")-1))
))=0,
1,
MAX(_xlfn._xlws.FILTER(Teeth!$D:$D,
TRIM(LEFT(Teeth!$A:$A,SEARCH("§",SUBSTITUTE(Teeth!$A:$A," ","§",2)&amp;"§")-1))=
TRIM(LEFT(A247,SEARCH("§",SUBSTITUTE(A247," ","§",2)&amp;"§")-1))
))
),
IF(
SUMPRODUCT(--(
TRIM(LEFT(Teeth!$A:$A,SEARCH(" ",Teeth!$A:$A&amp;" ")-1))=
TRIM(LEFT(A247,SEARCH(" ",A247&amp;" ")-1))
))&gt;0,
IF(
COUNT(_xlfn._xlws.FILTER(Teeth!$D:$D,
TRIM(LEFT(Teeth!$A:$A,SEARCH(" ",Teeth!$A:$A&amp;" ")-1))=
TRIM(LEFT(A247,SEARCH(" ",A247&amp;" ")-1))
))=0,
1,
AVERAGE(_xlfn._xlws.FILTER(Teeth!$D:$D,
TRIM(LEFT(Teeth!$A:$A,SEARCH(" ",Teeth!$A:$A&amp;" ")-1))=
TRIM(LEFT(A247,SEARCH(" ",A247&amp;" ")-1))
))
),
1
)
)</f>
        <v>1</v>
      </c>
    </row>
    <row r="248" spans="1:2" x14ac:dyDescent="0.25">
      <c r="A248" s="2" t="str">
        <f>'[1]Base stats'!$B248</f>
        <v>Megacancer petreus</v>
      </c>
      <c r="B248" s="20" cm="1">
        <f t="array" ref="B248">IF(
SUMPRODUCT(--(
TRIM(LEFT(Teeth!$A:$A,SEARCH("§",SUBSTITUTE(Teeth!$A:$A," ","§",2)&amp;"§")-1))=
TRIM(LEFT(A248,SEARCH("§",SUBSTITUTE(A248," ","§",2)&amp;"§")-1))
))&gt;0,
IF(
COUNT(_xlfn._xlws.FILTER(Teeth!$D:$D,
TRIM(LEFT(Teeth!$A:$A,SEARCH("§",SUBSTITUTE(Teeth!$A:$A," ","§",2)&amp;"§")-1))=
TRIM(LEFT(A248,SEARCH("§",SUBSTITUTE(A248," ","§",2)&amp;"§")-1))
))=0,
1,
MAX(_xlfn._xlws.FILTER(Teeth!$D:$D,
TRIM(LEFT(Teeth!$A:$A,SEARCH("§",SUBSTITUTE(Teeth!$A:$A," ","§",2)&amp;"§")-1))=
TRIM(LEFT(A248,SEARCH("§",SUBSTITUTE(A248," ","§",2)&amp;"§")-1))
))
),
IF(
SUMPRODUCT(--(
TRIM(LEFT(Teeth!$A:$A,SEARCH(" ",Teeth!$A:$A&amp;" ")-1))=
TRIM(LEFT(A248,SEARCH(" ",A248&amp;" ")-1))
))&gt;0,
IF(
COUNT(_xlfn._xlws.FILTER(Teeth!$D:$D,
TRIM(LEFT(Teeth!$A:$A,SEARCH(" ",Teeth!$A:$A&amp;" ")-1))=
TRIM(LEFT(A248,SEARCH(" ",A248&amp;" ")-1))
))=0,
1,
AVERAGE(_xlfn._xlws.FILTER(Teeth!$D:$D,
TRIM(LEFT(Teeth!$A:$A,SEARCH(" ",Teeth!$A:$A&amp;" ")-1))=
TRIM(LEFT(A248,SEARCH(" ",A248&amp;" ")-1))
))
),
1
)
)</f>
        <v>1</v>
      </c>
    </row>
    <row r="249" spans="1:2" x14ac:dyDescent="0.25">
      <c r="A249" s="2" t="str">
        <f>'[1]Base stats'!$B249</f>
        <v>Acarus crystallis</v>
      </c>
      <c r="B249" s="20" cm="1">
        <f t="array" ref="B249">IF(
SUMPRODUCT(--(
TRIM(LEFT(Teeth!$A:$A,SEARCH("§",SUBSTITUTE(Teeth!$A:$A," ","§",2)&amp;"§")-1))=
TRIM(LEFT(A249,SEARCH("§",SUBSTITUTE(A249," ","§",2)&amp;"§")-1))
))&gt;0,
IF(
COUNT(_xlfn._xlws.FILTER(Teeth!$D:$D,
TRIM(LEFT(Teeth!$A:$A,SEARCH("§",SUBSTITUTE(Teeth!$A:$A," ","§",2)&amp;"§")-1))=
TRIM(LEFT(A249,SEARCH("§",SUBSTITUTE(A249," ","§",2)&amp;"§")-1))
))=0,
1,
MAX(_xlfn._xlws.FILTER(Teeth!$D:$D,
TRIM(LEFT(Teeth!$A:$A,SEARCH("§",SUBSTITUTE(Teeth!$A:$A," ","§",2)&amp;"§")-1))=
TRIM(LEFT(A249,SEARCH("§",SUBSTITUTE(A249," ","§",2)&amp;"§")-1))
))
),
IF(
SUMPRODUCT(--(
TRIM(LEFT(Teeth!$A:$A,SEARCH(" ",Teeth!$A:$A&amp;" ")-1))=
TRIM(LEFT(A249,SEARCH(" ",A249&amp;" ")-1))
))&gt;0,
IF(
COUNT(_xlfn._xlws.FILTER(Teeth!$D:$D,
TRIM(LEFT(Teeth!$A:$A,SEARCH(" ",Teeth!$A:$A&amp;" ")-1))=
TRIM(LEFT(A249,SEARCH(" ",A249&amp;" ")-1))
))=0,
1,
AVERAGE(_xlfn._xlws.FILTER(Teeth!$D:$D,
TRIM(LEFT(Teeth!$A:$A,SEARCH(" ",Teeth!$A:$A&amp;" ")-1))=
TRIM(LEFT(A249,SEARCH(" ",A249&amp;" ")-1))
))
),
1
)
)</f>
        <v>1</v>
      </c>
    </row>
    <row r="250" spans="1:2" x14ac:dyDescent="0.25">
      <c r="A250" s="2" t="str">
        <f>'[1]Base stats'!$B250</f>
        <v>Terramorpha mutabilis</v>
      </c>
      <c r="B250" s="20" cm="1">
        <f t="array" ref="B250">IF(
SUMPRODUCT(--(
TRIM(LEFT(Teeth!$A:$A,SEARCH("§",SUBSTITUTE(Teeth!$A:$A," ","§",2)&amp;"§")-1))=
TRIM(LEFT(A250,SEARCH("§",SUBSTITUTE(A250," ","§",2)&amp;"§")-1))
))&gt;0,
IF(
COUNT(_xlfn._xlws.FILTER(Teeth!$D:$D,
TRIM(LEFT(Teeth!$A:$A,SEARCH("§",SUBSTITUTE(Teeth!$A:$A," ","§",2)&amp;"§")-1))=
TRIM(LEFT(A250,SEARCH("§",SUBSTITUTE(A250," ","§",2)&amp;"§")-1))
))=0,
1,
MAX(_xlfn._xlws.FILTER(Teeth!$D:$D,
TRIM(LEFT(Teeth!$A:$A,SEARCH("§",SUBSTITUTE(Teeth!$A:$A," ","§",2)&amp;"§")-1))=
TRIM(LEFT(A250,SEARCH("§",SUBSTITUTE(A250," ","§",2)&amp;"§")-1))
))
),
IF(
SUMPRODUCT(--(
TRIM(LEFT(Teeth!$A:$A,SEARCH(" ",Teeth!$A:$A&amp;" ")-1))=
TRIM(LEFT(A250,SEARCH(" ",A250&amp;" ")-1))
))&gt;0,
IF(
COUNT(_xlfn._xlws.FILTER(Teeth!$D:$D,
TRIM(LEFT(Teeth!$A:$A,SEARCH(" ",Teeth!$A:$A&amp;" ")-1))=
TRIM(LEFT(A250,SEARCH(" ",A250&amp;" ")-1))
))=0,
1,
AVERAGE(_xlfn._xlws.FILTER(Teeth!$D:$D,
TRIM(LEFT(Teeth!$A:$A,SEARCH(" ",Teeth!$A:$A&amp;" ")-1))=
TRIM(LEFT(A250,SEARCH(" ",A250&amp;" ")-1))
))
),
1
)
)</f>
        <v>1</v>
      </c>
    </row>
    <row r="251" spans="1:2" x14ac:dyDescent="0.25">
      <c r="A251" s="2" t="str">
        <f>'[1]Base stats'!$B251</f>
        <v>Helix giganteus</v>
      </c>
      <c r="B251" s="20" cm="1">
        <f t="array" ref="B251">IF(
SUMPRODUCT(--(
TRIM(LEFT(Teeth!$A:$A,SEARCH("§",SUBSTITUTE(Teeth!$A:$A," ","§",2)&amp;"§")-1))=
TRIM(LEFT(A251,SEARCH("§",SUBSTITUTE(A251," ","§",2)&amp;"§")-1))
))&gt;0,
IF(
COUNT(_xlfn._xlws.FILTER(Teeth!$D:$D,
TRIM(LEFT(Teeth!$A:$A,SEARCH("§",SUBSTITUTE(Teeth!$A:$A," ","§",2)&amp;"§")-1))=
TRIM(LEFT(A251,SEARCH("§",SUBSTITUTE(A251," ","§",2)&amp;"§")-1))
))=0,
1,
MAX(_xlfn._xlws.FILTER(Teeth!$D:$D,
TRIM(LEFT(Teeth!$A:$A,SEARCH("§",SUBSTITUTE(Teeth!$A:$A," ","§",2)&amp;"§")-1))=
TRIM(LEFT(A251,SEARCH("§",SUBSTITUTE(A251," ","§",2)&amp;"§")-1))
))
),
IF(
SUMPRODUCT(--(
TRIM(LEFT(Teeth!$A:$A,SEARCH(" ",Teeth!$A:$A&amp;" ")-1))=
TRIM(LEFT(A251,SEARCH(" ",A251&amp;" ")-1))
))&gt;0,
IF(
COUNT(_xlfn._xlws.FILTER(Teeth!$D:$D,
TRIM(LEFT(Teeth!$A:$A,SEARCH(" ",Teeth!$A:$A&amp;" ")-1))=
TRIM(LEFT(A251,SEARCH(" ",A251&amp;" ")-1))
))=0,
1,
AVERAGE(_xlfn._xlws.FILTER(Teeth!$D:$D,
TRIM(LEFT(Teeth!$A:$A,SEARCH(" ",Teeth!$A:$A&amp;" ")-1))=
TRIM(LEFT(A251,SEARCH(" ",A251&amp;" ")-1))
))
),
1
)
)</f>
        <v>1</v>
      </c>
    </row>
    <row r="252" spans="1:2" x14ac:dyDescent="0.25">
      <c r="A252" s="2" t="str">
        <f>'[1]Base stats'!$B252</f>
        <v>Limax tetrapodium</v>
      </c>
      <c r="B252" s="20" cm="1">
        <f t="array" ref="B252">IF(
SUMPRODUCT(--(
TRIM(LEFT(Teeth!$A:$A,SEARCH("§",SUBSTITUTE(Teeth!$A:$A," ","§",2)&amp;"§")-1))=
TRIM(LEFT(A252,SEARCH("§",SUBSTITUTE(A252," ","§",2)&amp;"§")-1))
))&gt;0,
IF(
COUNT(_xlfn._xlws.FILTER(Teeth!$D:$D,
TRIM(LEFT(Teeth!$A:$A,SEARCH("§",SUBSTITUTE(Teeth!$A:$A," ","§",2)&amp;"§")-1))=
TRIM(LEFT(A252,SEARCH("§",SUBSTITUTE(A252," ","§",2)&amp;"§")-1))
))=0,
1,
MAX(_xlfn._xlws.FILTER(Teeth!$D:$D,
TRIM(LEFT(Teeth!$A:$A,SEARCH("§",SUBSTITUTE(Teeth!$A:$A," ","§",2)&amp;"§")-1))=
TRIM(LEFT(A252,SEARCH("§",SUBSTITUTE(A252," ","§",2)&amp;"§")-1))
))
),
IF(
SUMPRODUCT(--(
TRIM(LEFT(Teeth!$A:$A,SEARCH(" ",Teeth!$A:$A&amp;" ")-1))=
TRIM(LEFT(A252,SEARCH(" ",A252&amp;" ")-1))
))&gt;0,
IF(
COUNT(_xlfn._xlws.FILTER(Teeth!$D:$D,
TRIM(LEFT(Teeth!$A:$A,SEARCH(" ",Teeth!$A:$A&amp;" ")-1))=
TRIM(LEFT(A252,SEARCH(" ",A252&amp;" ")-1))
))=0,
1,
AVERAGE(_xlfn._xlws.FILTER(Teeth!$D:$D,
TRIM(LEFT(Teeth!$A:$A,SEARCH(" ",Teeth!$A:$A&amp;" ")-1))=
TRIM(LEFT(A252,SEARCH(" ",A252&amp;" ")-1))
))
),
1
)
)</f>
        <v>1</v>
      </c>
    </row>
    <row r="253" spans="1:2" x14ac:dyDescent="0.25">
      <c r="A253" s="2" t="str">
        <f>'[1]Base stats'!$B253</f>
        <v>Plasmodium morphicus</v>
      </c>
      <c r="B253" s="20" cm="1">
        <f t="array" ref="B253">IF(
SUMPRODUCT(--(
TRIM(LEFT(Teeth!$A:$A,SEARCH("§",SUBSTITUTE(Teeth!$A:$A," ","§",2)&amp;"§")-1))=
TRIM(LEFT(A253,SEARCH("§",SUBSTITUTE(A253," ","§",2)&amp;"§")-1))
))&gt;0,
IF(
COUNT(_xlfn._xlws.FILTER(Teeth!$D:$D,
TRIM(LEFT(Teeth!$A:$A,SEARCH("§",SUBSTITUTE(Teeth!$A:$A," ","§",2)&amp;"§")-1))=
TRIM(LEFT(A253,SEARCH("§",SUBSTITUTE(A253," ","§",2)&amp;"§")-1))
))=0,
1,
MAX(_xlfn._xlws.FILTER(Teeth!$D:$D,
TRIM(LEFT(Teeth!$A:$A,SEARCH("§",SUBSTITUTE(Teeth!$A:$A," ","§",2)&amp;"§")-1))=
TRIM(LEFT(A253,SEARCH("§",SUBSTITUTE(A253," ","§",2)&amp;"§")-1))
))
),
IF(
SUMPRODUCT(--(
TRIM(LEFT(Teeth!$A:$A,SEARCH(" ",Teeth!$A:$A&amp;" ")-1))=
TRIM(LEFT(A253,SEARCH(" ",A253&amp;" ")-1))
))&gt;0,
IF(
COUNT(_xlfn._xlws.FILTER(Teeth!$D:$D,
TRIM(LEFT(Teeth!$A:$A,SEARCH(" ",Teeth!$A:$A&amp;" ")-1))=
TRIM(LEFT(A253,SEARCH(" ",A253&amp;" ")-1))
))=0,
1,
AVERAGE(_xlfn._xlws.FILTER(Teeth!$D:$D,
TRIM(LEFT(Teeth!$A:$A,SEARCH(" ",Teeth!$A:$A&amp;" ")-1))=
TRIM(LEFT(A253,SEARCH(" ",A253&amp;" ")-1))
))
),
1
)
)</f>
        <v>1</v>
      </c>
    </row>
    <row r="254" spans="1:2" x14ac:dyDescent="0.25">
      <c r="A254" s="2" t="str">
        <f>'[1]Base stats'!$B254</f>
        <v>Loligo arenae</v>
      </c>
      <c r="B254" s="20" cm="1">
        <f t="array" ref="B254">IF(
SUMPRODUCT(--(
TRIM(LEFT(Teeth!$A:$A,SEARCH("§",SUBSTITUTE(Teeth!$A:$A," ","§",2)&amp;"§")-1))=
TRIM(LEFT(A254,SEARCH("§",SUBSTITUTE(A254," ","§",2)&amp;"§")-1))
))&gt;0,
IF(
COUNT(_xlfn._xlws.FILTER(Teeth!$D:$D,
TRIM(LEFT(Teeth!$A:$A,SEARCH("§",SUBSTITUTE(Teeth!$A:$A," ","§",2)&amp;"§")-1))=
TRIM(LEFT(A254,SEARCH("§",SUBSTITUTE(A254," ","§",2)&amp;"§")-1))
))=0,
1,
MAX(_xlfn._xlws.FILTER(Teeth!$D:$D,
TRIM(LEFT(Teeth!$A:$A,SEARCH("§",SUBSTITUTE(Teeth!$A:$A," ","§",2)&amp;"§")-1))=
TRIM(LEFT(A254,SEARCH("§",SUBSTITUTE(A254," ","§",2)&amp;"§")-1))
))
),
IF(
SUMPRODUCT(--(
TRIM(LEFT(Teeth!$A:$A,SEARCH(" ",Teeth!$A:$A&amp;" ")-1))=
TRIM(LEFT(A254,SEARCH(" ",A254&amp;" ")-1))
))&gt;0,
IF(
COUNT(_xlfn._xlws.FILTER(Teeth!$D:$D,
TRIM(LEFT(Teeth!$A:$A,SEARCH(" ",Teeth!$A:$A&amp;" ")-1))=
TRIM(LEFT(A254,SEARCH(" ",A254&amp;" ")-1))
))=0,
1,
AVERAGE(_xlfn._xlws.FILTER(Teeth!$D:$D,
TRIM(LEFT(Teeth!$A:$A,SEARCH(" ",Teeth!$A:$A&amp;" ")-1))=
TRIM(LEFT(A254,SEARCH(" ",A254&amp;" ")-1))
))
),
1
)
)</f>
        <v>1</v>
      </c>
    </row>
    <row r="255" spans="1:2" x14ac:dyDescent="0.25">
      <c r="A255" s="2" t="str">
        <f>'[1]Base stats'!$B255</f>
        <v>Petrovorax asphaltus</v>
      </c>
      <c r="B255" s="20" cm="1">
        <f t="array" ref="B255">IF(
SUMPRODUCT(--(
TRIM(LEFT(Teeth!$A:$A,SEARCH("§",SUBSTITUTE(Teeth!$A:$A," ","§",2)&amp;"§")-1))=
TRIM(LEFT(A255,SEARCH("§",SUBSTITUTE(A255," ","§",2)&amp;"§")-1))
))&gt;0,
IF(
COUNT(_xlfn._xlws.FILTER(Teeth!$D:$D,
TRIM(LEFT(Teeth!$A:$A,SEARCH("§",SUBSTITUTE(Teeth!$A:$A," ","§",2)&amp;"§")-1))=
TRIM(LEFT(A255,SEARCH("§",SUBSTITUTE(A255," ","§",2)&amp;"§")-1))
))=0,
1,
MAX(_xlfn._xlws.FILTER(Teeth!$D:$D,
TRIM(LEFT(Teeth!$A:$A,SEARCH("§",SUBSTITUTE(Teeth!$A:$A," ","§",2)&amp;"§")-1))=
TRIM(LEFT(A255,SEARCH("§",SUBSTITUTE(A255," ","§",2)&amp;"§")-1))
))
),
IF(
SUMPRODUCT(--(
TRIM(LEFT(Teeth!$A:$A,SEARCH(" ",Teeth!$A:$A&amp;" ")-1))=
TRIM(LEFT(A255,SEARCH(" ",A255&amp;" ")-1))
))&gt;0,
IF(
COUNT(_xlfn._xlws.FILTER(Teeth!$D:$D,
TRIM(LEFT(Teeth!$A:$A,SEARCH(" ",Teeth!$A:$A&amp;" ")-1))=
TRIM(LEFT(A255,SEARCH(" ",A255&amp;" ")-1))
))=0,
1,
AVERAGE(_xlfn._xlws.FILTER(Teeth!$D:$D,
TRIM(LEFT(Teeth!$A:$A,SEARCH(" ",Teeth!$A:$A&amp;" ")-1))=
TRIM(LEFT(A255,SEARCH(" ",A255&amp;" ")-1))
))
),
1
)
)</f>
        <v>1</v>
      </c>
    </row>
    <row r="256" spans="1:2" x14ac:dyDescent="0.25">
      <c r="A256" s="2" t="str">
        <f>'[1]Base stats'!$B256</f>
        <v>Sylphalis borealis</v>
      </c>
      <c r="B256" s="20" cm="1">
        <f t="array" ref="B256">IF(
SUMPRODUCT(--(
TRIM(LEFT(Teeth!$A:$A,SEARCH("§",SUBSTITUTE(Teeth!$A:$A," ","§",2)&amp;"§")-1))=
TRIM(LEFT(A256,SEARCH("§",SUBSTITUTE(A256," ","§",2)&amp;"§")-1))
))&gt;0,
IF(
COUNT(_xlfn._xlws.FILTER(Teeth!$D:$D,
TRIM(LEFT(Teeth!$A:$A,SEARCH("§",SUBSTITUTE(Teeth!$A:$A," ","§",2)&amp;"§")-1))=
TRIM(LEFT(A256,SEARCH("§",SUBSTITUTE(A256," ","§",2)&amp;"§")-1))
))=0,
1,
MAX(_xlfn._xlws.FILTER(Teeth!$D:$D,
TRIM(LEFT(Teeth!$A:$A,SEARCH("§",SUBSTITUTE(Teeth!$A:$A," ","§",2)&amp;"§")-1))=
TRIM(LEFT(A256,SEARCH("§",SUBSTITUTE(A256," ","§",2)&amp;"§")-1))
))
),
IF(
SUMPRODUCT(--(
TRIM(LEFT(Teeth!$A:$A,SEARCH(" ",Teeth!$A:$A&amp;" ")-1))=
TRIM(LEFT(A256,SEARCH(" ",A256&amp;" ")-1))
))&gt;0,
IF(
COUNT(_xlfn._xlws.FILTER(Teeth!$D:$D,
TRIM(LEFT(Teeth!$A:$A,SEARCH(" ",Teeth!$A:$A&amp;" ")-1))=
TRIM(LEFT(A256,SEARCH(" ",A256&amp;" ")-1))
))=0,
1,
AVERAGE(_xlfn._xlws.FILTER(Teeth!$D:$D,
TRIM(LEFT(Teeth!$A:$A,SEARCH(" ",Teeth!$A:$A&amp;" ")-1))=
TRIM(LEFT(A256,SEARCH(" ",A256&amp;" ")-1))
))
),
1
)
)</f>
        <v>1</v>
      </c>
    </row>
    <row r="257" spans="1:2" x14ac:dyDescent="0.25">
      <c r="A257" s="2" t="str">
        <f>'[1]Base stats'!$B257</f>
        <v>Mycodermis tegumentum</v>
      </c>
      <c r="B257" s="20" cm="1">
        <f t="array" ref="B257">IF(
SUMPRODUCT(--(
TRIM(LEFT(Teeth!$A:$A,SEARCH("§",SUBSTITUTE(Teeth!$A:$A," ","§",2)&amp;"§")-1))=
TRIM(LEFT(A257,SEARCH("§",SUBSTITUTE(A257," ","§",2)&amp;"§")-1))
))&gt;0,
IF(
COUNT(_xlfn._xlws.FILTER(Teeth!$D:$D,
TRIM(LEFT(Teeth!$A:$A,SEARCH("§",SUBSTITUTE(Teeth!$A:$A," ","§",2)&amp;"§")-1))=
TRIM(LEFT(A257,SEARCH("§",SUBSTITUTE(A257," ","§",2)&amp;"§")-1))
))=0,
1,
MAX(_xlfn._xlws.FILTER(Teeth!$D:$D,
TRIM(LEFT(Teeth!$A:$A,SEARCH("§",SUBSTITUTE(Teeth!$A:$A," ","§",2)&amp;"§")-1))=
TRIM(LEFT(A257,SEARCH("§",SUBSTITUTE(A257," ","§",2)&amp;"§")-1))
))
),
IF(
SUMPRODUCT(--(
TRIM(LEFT(Teeth!$A:$A,SEARCH(" ",Teeth!$A:$A&amp;" ")-1))=
TRIM(LEFT(A257,SEARCH(" ",A257&amp;" ")-1))
))&gt;0,
IF(
COUNT(_xlfn._xlws.FILTER(Teeth!$D:$D,
TRIM(LEFT(Teeth!$A:$A,SEARCH(" ",Teeth!$A:$A&amp;" ")-1))=
TRIM(LEFT(A257,SEARCH(" ",A257&amp;" ")-1))
))=0,
1,
AVERAGE(_xlfn._xlws.FILTER(Teeth!$D:$D,
TRIM(LEFT(Teeth!$A:$A,SEARCH(" ",Teeth!$A:$A&amp;" ")-1))=
TRIM(LEFT(A257,SEARCH(" ",A257&amp;" ")-1))
))
),
1
)
)</f>
        <v>1</v>
      </c>
    </row>
    <row r="258" spans="1:2" x14ac:dyDescent="0.25">
      <c r="A258" s="2" t="str">
        <f>'[1]Base stats'!$B258</f>
        <v>Mimo sapientis</v>
      </c>
      <c r="B258" s="20" cm="1">
        <f t="array" ref="B258">IF(
SUMPRODUCT(--(
TRIM(LEFT(Teeth!$A:$A,SEARCH("§",SUBSTITUTE(Teeth!$A:$A," ","§",2)&amp;"§")-1))=
TRIM(LEFT(A258,SEARCH("§",SUBSTITUTE(A258," ","§",2)&amp;"§")-1))
))&gt;0,
IF(
COUNT(_xlfn._xlws.FILTER(Teeth!$D:$D,
TRIM(LEFT(Teeth!$A:$A,SEARCH("§",SUBSTITUTE(Teeth!$A:$A," ","§",2)&amp;"§")-1))=
TRIM(LEFT(A258,SEARCH("§",SUBSTITUTE(A258," ","§",2)&amp;"§")-1))
))=0,
1,
MAX(_xlfn._xlws.FILTER(Teeth!$D:$D,
TRIM(LEFT(Teeth!$A:$A,SEARCH("§",SUBSTITUTE(Teeth!$A:$A," ","§",2)&amp;"§")-1))=
TRIM(LEFT(A258,SEARCH("§",SUBSTITUTE(A258," ","§",2)&amp;"§")-1))
))
),
IF(
SUMPRODUCT(--(
TRIM(LEFT(Teeth!$A:$A,SEARCH(" ",Teeth!$A:$A&amp;" ")-1))=
TRIM(LEFT(A258,SEARCH(" ",A258&amp;" ")-1))
))&gt;0,
IF(
COUNT(_xlfn._xlws.FILTER(Teeth!$D:$D,
TRIM(LEFT(Teeth!$A:$A,SEARCH(" ",Teeth!$A:$A&amp;" ")-1))=
TRIM(LEFT(A258,SEARCH(" ",A258&amp;" ")-1))
))=0,
1,
AVERAGE(_xlfn._xlws.FILTER(Teeth!$D:$D,
TRIM(LEFT(Teeth!$A:$A,SEARCH(" ",Teeth!$A:$A&amp;" ")-1))=
TRIM(LEFT(A258,SEARCH(" ",A258&amp;" ")-1))
))
),
1
)
)</f>
        <v>1</v>
      </c>
    </row>
    <row r="259" spans="1:2" x14ac:dyDescent="0.25">
      <c r="A259" s="2" t="str">
        <f>'[1]Base stats'!$B259</f>
        <v>Mantis carnifera</v>
      </c>
      <c r="B259" s="20" cm="1">
        <f t="array" ref="B259">IF(
SUMPRODUCT(--(
TRIM(LEFT(Teeth!$A:$A,SEARCH("§",SUBSTITUTE(Teeth!$A:$A," ","§",2)&amp;"§")-1))=
TRIM(LEFT(A259,SEARCH("§",SUBSTITUTE(A259," ","§",2)&amp;"§")-1))
))&gt;0,
IF(
COUNT(_xlfn._xlws.FILTER(Teeth!$D:$D,
TRIM(LEFT(Teeth!$A:$A,SEARCH("§",SUBSTITUTE(Teeth!$A:$A," ","§",2)&amp;"§")-1))=
TRIM(LEFT(A259,SEARCH("§",SUBSTITUTE(A259," ","§",2)&amp;"§")-1))
))=0,
1,
MAX(_xlfn._xlws.FILTER(Teeth!$D:$D,
TRIM(LEFT(Teeth!$A:$A,SEARCH("§",SUBSTITUTE(Teeth!$A:$A," ","§",2)&amp;"§")-1))=
TRIM(LEFT(A259,SEARCH("§",SUBSTITUTE(A259," ","§",2)&amp;"§")-1))
))
),
IF(
SUMPRODUCT(--(
TRIM(LEFT(Teeth!$A:$A,SEARCH(" ",Teeth!$A:$A&amp;" ")-1))=
TRIM(LEFT(A259,SEARCH(" ",A259&amp;" ")-1))
))&gt;0,
IF(
COUNT(_xlfn._xlws.FILTER(Teeth!$D:$D,
TRIM(LEFT(Teeth!$A:$A,SEARCH(" ",Teeth!$A:$A&amp;" ")-1))=
TRIM(LEFT(A259,SEARCH(" ",A259&amp;" ")-1))
))=0,
1,
AVERAGE(_xlfn._xlws.FILTER(Teeth!$D:$D,
TRIM(LEFT(Teeth!$A:$A,SEARCH(" ",Teeth!$A:$A&amp;" ")-1))=
TRIM(LEFT(A259,SEARCH(" ",A259&amp;" ")-1))
))
),
1
)
)</f>
        <v>1</v>
      </c>
    </row>
    <row r="260" spans="1:2" x14ac:dyDescent="0.25">
      <c r="A260" s="2" t="str">
        <f>'[1]Base stats'!$B260</f>
        <v>Echinopsios fixus</v>
      </c>
      <c r="B260" s="20" cm="1">
        <f t="array" ref="B260">IF(
SUMPRODUCT(--(
TRIM(LEFT(Teeth!$A:$A,SEARCH("§",SUBSTITUTE(Teeth!$A:$A," ","§",2)&amp;"§")-1))=
TRIM(LEFT(A260,SEARCH("§",SUBSTITUTE(A260," ","§",2)&amp;"§")-1))
))&gt;0,
IF(
COUNT(_xlfn._xlws.FILTER(Teeth!$D:$D,
TRIM(LEFT(Teeth!$A:$A,SEARCH("§",SUBSTITUTE(Teeth!$A:$A," ","§",2)&amp;"§")-1))=
TRIM(LEFT(A260,SEARCH("§",SUBSTITUTE(A260," ","§",2)&amp;"§")-1))
))=0,
1,
MAX(_xlfn._xlws.FILTER(Teeth!$D:$D,
TRIM(LEFT(Teeth!$A:$A,SEARCH("§",SUBSTITUTE(Teeth!$A:$A," ","§",2)&amp;"§")-1))=
TRIM(LEFT(A260,SEARCH("§",SUBSTITUTE(A260," ","§",2)&amp;"§")-1))
))
),
IF(
SUMPRODUCT(--(
TRIM(LEFT(Teeth!$A:$A,SEARCH(" ",Teeth!$A:$A&amp;" ")-1))=
TRIM(LEFT(A260,SEARCH(" ",A260&amp;" ")-1))
))&gt;0,
IF(
COUNT(_xlfn._xlws.FILTER(Teeth!$D:$D,
TRIM(LEFT(Teeth!$A:$A,SEARCH(" ",Teeth!$A:$A&amp;" ")-1))=
TRIM(LEFT(A260,SEARCH(" ",A260&amp;" ")-1))
))=0,
1,
AVERAGE(_xlfn._xlws.FILTER(Teeth!$D:$D,
TRIM(LEFT(Teeth!$A:$A,SEARCH(" ",Teeth!$A:$A&amp;" ")-1))=
TRIM(LEFT(A260,SEARCH(" ",A260&amp;" ")-1))
))
),
1
)
)</f>
        <v>1</v>
      </c>
    </row>
    <row r="261" spans="1:2" x14ac:dyDescent="0.25">
      <c r="A261" s="2" t="str">
        <f>'[1]Base stats'!$B261</f>
        <v>Echinopsios volans</v>
      </c>
      <c r="B261" s="20" cm="1">
        <f t="array" ref="B261">IF(
SUMPRODUCT(--(
TRIM(LEFT(Teeth!$A:$A,SEARCH("§",SUBSTITUTE(Teeth!$A:$A," ","§",2)&amp;"§")-1))=
TRIM(LEFT(A261,SEARCH("§",SUBSTITUTE(A261," ","§",2)&amp;"§")-1))
))&gt;0,
IF(
COUNT(_xlfn._xlws.FILTER(Teeth!$D:$D,
TRIM(LEFT(Teeth!$A:$A,SEARCH("§",SUBSTITUTE(Teeth!$A:$A," ","§",2)&amp;"§")-1))=
TRIM(LEFT(A261,SEARCH("§",SUBSTITUTE(A261," ","§",2)&amp;"§")-1))
))=0,
1,
MAX(_xlfn._xlws.FILTER(Teeth!$D:$D,
TRIM(LEFT(Teeth!$A:$A,SEARCH("§",SUBSTITUTE(Teeth!$A:$A," ","§",2)&amp;"§")-1))=
TRIM(LEFT(A261,SEARCH("§",SUBSTITUTE(A261," ","§",2)&amp;"§")-1))
))
),
IF(
SUMPRODUCT(--(
TRIM(LEFT(Teeth!$A:$A,SEARCH(" ",Teeth!$A:$A&amp;" ")-1))=
TRIM(LEFT(A261,SEARCH(" ",A261&amp;" ")-1))
))&gt;0,
IF(
COUNT(_xlfn._xlws.FILTER(Teeth!$D:$D,
TRIM(LEFT(Teeth!$A:$A,SEARCH(" ",Teeth!$A:$A&amp;" ")-1))=
TRIM(LEFT(A261,SEARCH(" ",A261&amp;" ")-1))
))=0,
1,
AVERAGE(_xlfn._xlws.FILTER(Teeth!$D:$D,
TRIM(LEFT(Teeth!$A:$A,SEARCH(" ",Teeth!$A:$A&amp;" ")-1))=
TRIM(LEFT(A261,SEARCH(" ",A261&amp;" ")-1))
))
),
1
)
)</f>
        <v>1</v>
      </c>
    </row>
    <row r="262" spans="1:2" x14ac:dyDescent="0.25">
      <c r="A262" s="2" t="str">
        <f>'[1]Base stats'!$B262</f>
        <v>Hystrix succulentis</v>
      </c>
      <c r="B262" s="20" cm="1">
        <f t="array" ref="B262">IF(
SUMPRODUCT(--(
TRIM(LEFT(Teeth!$A:$A,SEARCH("§",SUBSTITUTE(Teeth!$A:$A," ","§",2)&amp;"§")-1))=
TRIM(LEFT(A262,SEARCH("§",SUBSTITUTE(A262," ","§",2)&amp;"§")-1))
))&gt;0,
IF(
COUNT(_xlfn._xlws.FILTER(Teeth!$D:$D,
TRIM(LEFT(Teeth!$A:$A,SEARCH("§",SUBSTITUTE(Teeth!$A:$A," ","§",2)&amp;"§")-1))=
TRIM(LEFT(A262,SEARCH("§",SUBSTITUTE(A262," ","§",2)&amp;"§")-1))
))=0,
1,
MAX(_xlfn._xlws.FILTER(Teeth!$D:$D,
TRIM(LEFT(Teeth!$A:$A,SEARCH("§",SUBSTITUTE(Teeth!$A:$A," ","§",2)&amp;"§")-1))=
TRIM(LEFT(A262,SEARCH("§",SUBSTITUTE(A262," ","§",2)&amp;"§")-1))
))
),
IF(
SUMPRODUCT(--(
TRIM(LEFT(Teeth!$A:$A,SEARCH(" ",Teeth!$A:$A&amp;" ")-1))=
TRIM(LEFT(A262,SEARCH(" ",A262&amp;" ")-1))
))&gt;0,
IF(
COUNT(_xlfn._xlws.FILTER(Teeth!$D:$D,
TRIM(LEFT(Teeth!$A:$A,SEARCH(" ",Teeth!$A:$A&amp;" ")-1))=
TRIM(LEFT(A262,SEARCH(" ",A262&amp;" ")-1))
))=0,
1,
AVERAGE(_xlfn._xlws.FILTER(Teeth!$D:$D,
TRIM(LEFT(Teeth!$A:$A,SEARCH(" ",Teeth!$A:$A&amp;" ")-1))=
TRIM(LEFT(A262,SEARCH(" ",A262&amp;" ")-1))
))
),
1
)
)</f>
        <v>1</v>
      </c>
    </row>
    <row r="263" spans="1:2" x14ac:dyDescent="0.25">
      <c r="A263" s="2" t="str">
        <f>'[1]Base stats'!$B263</f>
        <v>Technoscolopendra mucosa</v>
      </c>
      <c r="B263" s="20" cm="1">
        <f t="array" ref="B263">IF(
SUMPRODUCT(--(
TRIM(LEFT(Teeth!$A:$A,SEARCH("§",SUBSTITUTE(Teeth!$A:$A," ","§",2)&amp;"§")-1))=
TRIM(LEFT(A263,SEARCH("§",SUBSTITUTE(A263," ","§",2)&amp;"§")-1))
))&gt;0,
IF(
COUNT(_xlfn._xlws.FILTER(Teeth!$D:$D,
TRIM(LEFT(Teeth!$A:$A,SEARCH("§",SUBSTITUTE(Teeth!$A:$A," ","§",2)&amp;"§")-1))=
TRIM(LEFT(A263,SEARCH("§",SUBSTITUTE(A263," ","§",2)&amp;"§")-1))
))=0,
1,
MAX(_xlfn._xlws.FILTER(Teeth!$D:$D,
TRIM(LEFT(Teeth!$A:$A,SEARCH("§",SUBSTITUTE(Teeth!$A:$A," ","§",2)&amp;"§")-1))=
TRIM(LEFT(A263,SEARCH("§",SUBSTITUTE(A263," ","§",2)&amp;"§")-1))
))
),
IF(
SUMPRODUCT(--(
TRIM(LEFT(Teeth!$A:$A,SEARCH(" ",Teeth!$A:$A&amp;" ")-1))=
TRIM(LEFT(A263,SEARCH(" ",A263&amp;" ")-1))
))&gt;0,
IF(
COUNT(_xlfn._xlws.FILTER(Teeth!$D:$D,
TRIM(LEFT(Teeth!$A:$A,SEARCH(" ",Teeth!$A:$A&amp;" ")-1))=
TRIM(LEFT(A263,SEARCH(" ",A263&amp;" ")-1))
))=0,
1,
AVERAGE(_xlfn._xlws.FILTER(Teeth!$D:$D,
TRIM(LEFT(Teeth!$A:$A,SEARCH(" ",Teeth!$A:$A&amp;" ")-1))=
TRIM(LEFT(A263,SEARCH(" ",A263&amp;" ")-1))
))
),
1
)
)</f>
        <v>1</v>
      </c>
    </row>
    <row r="264" spans="1:2" x14ac:dyDescent="0.25">
      <c r="A264" s="2" t="str">
        <f>'[1]Base stats'!$B264</f>
        <v>Tentaculabomination gorga</v>
      </c>
      <c r="B264" s="20" cm="1">
        <f t="array" ref="B264">IF(
SUMPRODUCT(--(
TRIM(LEFT(Teeth!$A:$A,SEARCH("§",SUBSTITUTE(Teeth!$A:$A," ","§",2)&amp;"§")-1))=
TRIM(LEFT(A264,SEARCH("§",SUBSTITUTE(A264," ","§",2)&amp;"§")-1))
))&gt;0,
IF(
COUNT(_xlfn._xlws.FILTER(Teeth!$D:$D,
TRIM(LEFT(Teeth!$A:$A,SEARCH("§",SUBSTITUTE(Teeth!$A:$A," ","§",2)&amp;"§")-1))=
TRIM(LEFT(A264,SEARCH("§",SUBSTITUTE(A264," ","§",2)&amp;"§")-1))
))=0,
1,
MAX(_xlfn._xlws.FILTER(Teeth!$D:$D,
TRIM(LEFT(Teeth!$A:$A,SEARCH("§",SUBSTITUTE(Teeth!$A:$A," ","§",2)&amp;"§")-1))=
TRIM(LEFT(A264,SEARCH("§",SUBSTITUTE(A264," ","§",2)&amp;"§")-1))
))
),
IF(
SUMPRODUCT(--(
TRIM(LEFT(Teeth!$A:$A,SEARCH(" ",Teeth!$A:$A&amp;" ")-1))=
TRIM(LEFT(A264,SEARCH(" ",A264&amp;" ")-1))
))&gt;0,
IF(
COUNT(_xlfn._xlws.FILTER(Teeth!$D:$D,
TRIM(LEFT(Teeth!$A:$A,SEARCH(" ",Teeth!$A:$A&amp;" ")-1))=
TRIM(LEFT(A264,SEARCH(" ",A264&amp;" ")-1))
))=0,
1,
AVERAGE(_xlfn._xlws.FILTER(Teeth!$D:$D,
TRIM(LEFT(Teeth!$A:$A,SEARCH(" ",Teeth!$A:$A&amp;" ")-1))=
TRIM(LEFT(A264,SEARCH(" ",A264&amp;" ")-1))
))
),
1
)
)</f>
        <v>1</v>
      </c>
    </row>
    <row r="265" spans="1:2" x14ac:dyDescent="0.25">
      <c r="A265" s="2" t="str">
        <f>'[1]Base stats'!$B265</f>
        <v>Carnis putridus (mature)</v>
      </c>
      <c r="B265" s="20" cm="1">
        <f t="array" ref="B265">IF(
SUMPRODUCT(--(
TRIM(LEFT(Teeth!$A:$A,SEARCH("§",SUBSTITUTE(Teeth!$A:$A," ","§",2)&amp;"§")-1))=
TRIM(LEFT(A265,SEARCH("§",SUBSTITUTE(A265," ","§",2)&amp;"§")-1))
))&gt;0,
IF(
COUNT(_xlfn._xlws.FILTER(Teeth!$D:$D,
TRIM(LEFT(Teeth!$A:$A,SEARCH("§",SUBSTITUTE(Teeth!$A:$A," ","§",2)&amp;"§")-1))=
TRIM(LEFT(A265,SEARCH("§",SUBSTITUTE(A265," ","§",2)&amp;"§")-1))
))=0,
1,
MAX(_xlfn._xlws.FILTER(Teeth!$D:$D,
TRIM(LEFT(Teeth!$A:$A,SEARCH("§",SUBSTITUTE(Teeth!$A:$A," ","§",2)&amp;"§")-1))=
TRIM(LEFT(A265,SEARCH("§",SUBSTITUTE(A265," ","§",2)&amp;"§")-1))
))
),
IF(
SUMPRODUCT(--(
TRIM(LEFT(Teeth!$A:$A,SEARCH(" ",Teeth!$A:$A&amp;" ")-1))=
TRIM(LEFT(A265,SEARCH(" ",A265&amp;" ")-1))
))&gt;0,
IF(
COUNT(_xlfn._xlws.FILTER(Teeth!$D:$D,
TRIM(LEFT(Teeth!$A:$A,SEARCH(" ",Teeth!$A:$A&amp;" ")-1))=
TRIM(LEFT(A265,SEARCH(" ",A265&amp;" ")-1))
))=0,
1,
AVERAGE(_xlfn._xlws.FILTER(Teeth!$D:$D,
TRIM(LEFT(Teeth!$A:$A,SEARCH(" ",Teeth!$A:$A&amp;" ")-1))=
TRIM(LEFT(A265,SEARCH(" ",A265&amp;" ")-1))
))
),
1
)
)</f>
        <v>1</v>
      </c>
    </row>
    <row r="266" spans="1:2" x14ac:dyDescent="0.25">
      <c r="A266" s="2" t="str">
        <f>'[1]Base stats'!$B266</f>
        <v>Oculus viventis</v>
      </c>
      <c r="B266" s="20" cm="1">
        <f t="array" ref="B266">IF(
SUMPRODUCT(--(
TRIM(LEFT(Teeth!$A:$A,SEARCH("§",SUBSTITUTE(Teeth!$A:$A," ","§",2)&amp;"§")-1))=
TRIM(LEFT(A266,SEARCH("§",SUBSTITUTE(A266," ","§",2)&amp;"§")-1))
))&gt;0,
IF(
COUNT(_xlfn._xlws.FILTER(Teeth!$D:$D,
TRIM(LEFT(Teeth!$A:$A,SEARCH("§",SUBSTITUTE(Teeth!$A:$A," ","§",2)&amp;"§")-1))=
TRIM(LEFT(A266,SEARCH("§",SUBSTITUTE(A266," ","§",2)&amp;"§")-1))
))=0,
1,
MAX(_xlfn._xlws.FILTER(Teeth!$D:$D,
TRIM(LEFT(Teeth!$A:$A,SEARCH("§",SUBSTITUTE(Teeth!$A:$A," ","§",2)&amp;"§")-1))=
TRIM(LEFT(A266,SEARCH("§",SUBSTITUTE(A266," ","§",2)&amp;"§")-1))
))
),
IF(
SUMPRODUCT(--(
TRIM(LEFT(Teeth!$A:$A,SEARCH(" ",Teeth!$A:$A&amp;" ")-1))=
TRIM(LEFT(A266,SEARCH(" ",A266&amp;" ")-1))
))&gt;0,
IF(
COUNT(_xlfn._xlws.FILTER(Teeth!$D:$D,
TRIM(LEFT(Teeth!$A:$A,SEARCH(" ",Teeth!$A:$A&amp;" ")-1))=
TRIM(LEFT(A266,SEARCH(" ",A266&amp;" ")-1))
))=0,
1,
AVERAGE(_xlfn._xlws.FILTER(Teeth!$D:$D,
TRIM(LEFT(Teeth!$A:$A,SEARCH(" ",Teeth!$A:$A&amp;" ")-1))=
TRIM(LEFT(A266,SEARCH(" ",A266&amp;" ")-1))
))
),
1
)
)</f>
        <v>1</v>
      </c>
    </row>
    <row r="267" spans="1:2" x14ac:dyDescent="0.25">
      <c r="A267" s="2" t="str">
        <f>'[1]Base stats'!$B267</f>
        <v>Oculus immortalis</v>
      </c>
      <c r="B267" s="20" cm="1">
        <f t="array" ref="B267">IF(
SUMPRODUCT(--(
TRIM(LEFT(Teeth!$A:$A,SEARCH("§",SUBSTITUTE(Teeth!$A:$A," ","§",2)&amp;"§")-1))=
TRIM(LEFT(A267,SEARCH("§",SUBSTITUTE(A267," ","§",2)&amp;"§")-1))
))&gt;0,
IF(
COUNT(_xlfn._xlws.FILTER(Teeth!$D:$D,
TRIM(LEFT(Teeth!$A:$A,SEARCH("§",SUBSTITUTE(Teeth!$A:$A," ","§",2)&amp;"§")-1))=
TRIM(LEFT(A267,SEARCH("§",SUBSTITUTE(A267," ","§",2)&amp;"§")-1))
))=0,
1,
MAX(_xlfn._xlws.FILTER(Teeth!$D:$D,
TRIM(LEFT(Teeth!$A:$A,SEARCH("§",SUBSTITUTE(Teeth!$A:$A," ","§",2)&amp;"§")-1))=
TRIM(LEFT(A267,SEARCH("§",SUBSTITUTE(A267," ","§",2)&amp;"§")-1))
))
),
IF(
SUMPRODUCT(--(
TRIM(LEFT(Teeth!$A:$A,SEARCH(" ",Teeth!$A:$A&amp;" ")-1))=
TRIM(LEFT(A267,SEARCH(" ",A267&amp;" ")-1))
))&gt;0,
IF(
COUNT(_xlfn._xlws.FILTER(Teeth!$D:$D,
TRIM(LEFT(Teeth!$A:$A,SEARCH(" ",Teeth!$A:$A&amp;" ")-1))=
TRIM(LEFT(A267,SEARCH(" ",A267&amp;" ")-1))
))=0,
1,
AVERAGE(_xlfn._xlws.FILTER(Teeth!$D:$D,
TRIM(LEFT(Teeth!$A:$A,SEARCH(" ",Teeth!$A:$A&amp;" ")-1))=
TRIM(LEFT(A267,SEARCH(" ",A267&amp;" ")-1))
))
),
1
)
)</f>
        <v>1</v>
      </c>
    </row>
    <row r="268" spans="1:2" x14ac:dyDescent="0.25">
      <c r="A268" s="2" t="str">
        <f>'[1]Base stats'!$B268</f>
        <v>Anguilla coelestis</v>
      </c>
      <c r="B268" s="20" cm="1">
        <f t="array" ref="B268">IF(
SUMPRODUCT(--(
TRIM(LEFT(Teeth!$A:$A,SEARCH("§",SUBSTITUTE(Teeth!$A:$A," ","§",2)&amp;"§")-1))=
TRIM(LEFT(A268,SEARCH("§",SUBSTITUTE(A268," ","§",2)&amp;"§")-1))
))&gt;0,
IF(
COUNT(_xlfn._xlws.FILTER(Teeth!$D:$D,
TRIM(LEFT(Teeth!$A:$A,SEARCH("§",SUBSTITUTE(Teeth!$A:$A," ","§",2)&amp;"§")-1))=
TRIM(LEFT(A268,SEARCH("§",SUBSTITUTE(A268," ","§",2)&amp;"§")-1))
))=0,
1,
MAX(_xlfn._xlws.FILTER(Teeth!$D:$D,
TRIM(LEFT(Teeth!$A:$A,SEARCH("§",SUBSTITUTE(Teeth!$A:$A," ","§",2)&amp;"§")-1))=
TRIM(LEFT(A268,SEARCH("§",SUBSTITUTE(A268," ","§",2)&amp;"§")-1))
))
),
IF(
SUMPRODUCT(--(
TRIM(LEFT(Teeth!$A:$A,SEARCH(" ",Teeth!$A:$A&amp;" ")-1))=
TRIM(LEFT(A268,SEARCH(" ",A268&amp;" ")-1))
))&gt;0,
IF(
COUNT(_xlfn._xlws.FILTER(Teeth!$D:$D,
TRIM(LEFT(Teeth!$A:$A,SEARCH(" ",Teeth!$A:$A&amp;" ")-1))=
TRIM(LEFT(A268,SEARCH(" ",A268&amp;" ")-1))
))=0,
1,
AVERAGE(_xlfn._xlws.FILTER(Teeth!$D:$D,
TRIM(LEFT(Teeth!$A:$A,SEARCH(" ",Teeth!$A:$A&amp;" ")-1))=
TRIM(LEFT(A268,SEARCH(" ",A268&amp;" ")-1))
))
),
1
)
)</f>
        <v>1</v>
      </c>
    </row>
    <row r="269" spans="1:2" x14ac:dyDescent="0.25">
      <c r="A269" s="2" t="str">
        <f>'[1]Base stats'!$B269</f>
        <v>Mycopion sylvestris</v>
      </c>
      <c r="B269" s="20" cm="1">
        <f t="array" ref="B269">IF(
SUMPRODUCT(--(
TRIM(LEFT(Teeth!$A:$A,SEARCH("§",SUBSTITUTE(Teeth!$A:$A," ","§",2)&amp;"§")-1))=
TRIM(LEFT(A269,SEARCH("§",SUBSTITUTE(A269," ","§",2)&amp;"§")-1))
))&gt;0,
IF(
COUNT(_xlfn._xlws.FILTER(Teeth!$D:$D,
TRIM(LEFT(Teeth!$A:$A,SEARCH("§",SUBSTITUTE(Teeth!$A:$A," ","§",2)&amp;"§")-1))=
TRIM(LEFT(A269,SEARCH("§",SUBSTITUTE(A269," ","§",2)&amp;"§")-1))
))=0,
1,
MAX(_xlfn._xlws.FILTER(Teeth!$D:$D,
TRIM(LEFT(Teeth!$A:$A,SEARCH("§",SUBSTITUTE(Teeth!$A:$A," ","§",2)&amp;"§")-1))=
TRIM(LEFT(A269,SEARCH("§",SUBSTITUTE(A269," ","§",2)&amp;"§")-1))
))
),
IF(
SUMPRODUCT(--(
TRIM(LEFT(Teeth!$A:$A,SEARCH(" ",Teeth!$A:$A&amp;" ")-1))=
TRIM(LEFT(A269,SEARCH(" ",A269&amp;" ")-1))
))&gt;0,
IF(
COUNT(_xlfn._xlws.FILTER(Teeth!$D:$D,
TRIM(LEFT(Teeth!$A:$A,SEARCH(" ",Teeth!$A:$A&amp;" ")-1))=
TRIM(LEFT(A269,SEARCH(" ",A269&amp;" ")-1))
))=0,
1,
AVERAGE(_xlfn._xlws.FILTER(Teeth!$D:$D,
TRIM(LEFT(Teeth!$A:$A,SEARCH(" ",Teeth!$A:$A&amp;" ")-1))=
TRIM(LEFT(A269,SEARCH(" ",A269&amp;" ")-1))
))
),
1
)
)</f>
        <v>1</v>
      </c>
    </row>
    <row r="270" spans="1:2" x14ac:dyDescent="0.25">
      <c r="A270" s="2" t="str">
        <f>'[1]Base stats'!$B270</f>
        <v>Mycopodium sylvestris</v>
      </c>
      <c r="B270" s="20" cm="1">
        <f t="array" ref="B270">IF(
SUMPRODUCT(--(
TRIM(LEFT(Teeth!$A:$A,SEARCH("§",SUBSTITUTE(Teeth!$A:$A," ","§",2)&amp;"§")-1))=
TRIM(LEFT(A270,SEARCH("§",SUBSTITUTE(A270," ","§",2)&amp;"§")-1))
))&gt;0,
IF(
COUNT(_xlfn._xlws.FILTER(Teeth!$D:$D,
TRIM(LEFT(Teeth!$A:$A,SEARCH("§",SUBSTITUTE(Teeth!$A:$A," ","§",2)&amp;"§")-1))=
TRIM(LEFT(A270,SEARCH("§",SUBSTITUTE(A270," ","§",2)&amp;"§")-1))
))=0,
1,
MAX(_xlfn._xlws.FILTER(Teeth!$D:$D,
TRIM(LEFT(Teeth!$A:$A,SEARCH("§",SUBSTITUTE(Teeth!$A:$A," ","§",2)&amp;"§")-1))=
TRIM(LEFT(A270,SEARCH("§",SUBSTITUTE(A270," ","§",2)&amp;"§")-1))
))
),
IF(
SUMPRODUCT(--(
TRIM(LEFT(Teeth!$A:$A,SEARCH(" ",Teeth!$A:$A&amp;" ")-1))=
TRIM(LEFT(A270,SEARCH(" ",A270&amp;" ")-1))
))&gt;0,
IF(
COUNT(_xlfn._xlws.FILTER(Teeth!$D:$D,
TRIM(LEFT(Teeth!$A:$A,SEARCH(" ",Teeth!$A:$A&amp;" ")-1))=
TRIM(LEFT(A270,SEARCH(" ",A270&amp;" ")-1))
))=0,
1,
AVERAGE(_xlfn._xlws.FILTER(Teeth!$D:$D,
TRIM(LEFT(Teeth!$A:$A,SEARCH(" ",Teeth!$A:$A&amp;" ")-1))=
TRIM(LEFT(A270,SEARCH(" ",A270&amp;" ")-1))
))
),
1
)
)</f>
        <v>1</v>
      </c>
    </row>
    <row r="271" spans="1:2" x14ac:dyDescent="0.25">
      <c r="A271" s="2" t="str">
        <f>'[1]Base stats'!$B271</f>
        <v>Mycopion ferus</v>
      </c>
      <c r="B271" s="20" cm="1">
        <f t="array" ref="B271">IF(
SUMPRODUCT(--(
TRIM(LEFT(Teeth!$A:$A,SEARCH("§",SUBSTITUTE(Teeth!$A:$A," ","§",2)&amp;"§")-1))=
TRIM(LEFT(A271,SEARCH("§",SUBSTITUTE(A271," ","§",2)&amp;"§")-1))
))&gt;0,
IF(
COUNT(_xlfn._xlws.FILTER(Teeth!$D:$D,
TRIM(LEFT(Teeth!$A:$A,SEARCH("§",SUBSTITUTE(Teeth!$A:$A," ","§",2)&amp;"§")-1))=
TRIM(LEFT(A271,SEARCH("§",SUBSTITUTE(A271," ","§",2)&amp;"§")-1))
))=0,
1,
MAX(_xlfn._xlws.FILTER(Teeth!$D:$D,
TRIM(LEFT(Teeth!$A:$A,SEARCH("§",SUBSTITUTE(Teeth!$A:$A," ","§",2)&amp;"§")-1))=
TRIM(LEFT(A271,SEARCH("§",SUBSTITUTE(A271," ","§",2)&amp;"§")-1))
))
),
IF(
SUMPRODUCT(--(
TRIM(LEFT(Teeth!$A:$A,SEARCH(" ",Teeth!$A:$A&amp;" ")-1))=
TRIM(LEFT(A271,SEARCH(" ",A271&amp;" ")-1))
))&gt;0,
IF(
COUNT(_xlfn._xlws.FILTER(Teeth!$D:$D,
TRIM(LEFT(Teeth!$A:$A,SEARCH(" ",Teeth!$A:$A&amp;" ")-1))=
TRIM(LEFT(A271,SEARCH(" ",A271&amp;" ")-1))
))=0,
1,
AVERAGE(_xlfn._xlws.FILTER(Teeth!$D:$D,
TRIM(LEFT(Teeth!$A:$A,SEARCH(" ",Teeth!$A:$A&amp;" ")-1))=
TRIM(LEFT(A271,SEARCH(" ",A271&amp;" ")-1))
))
),
1
)
)</f>
        <v>1</v>
      </c>
    </row>
    <row r="272" spans="1:2" x14ac:dyDescent="0.25">
      <c r="A272" s="2" t="str">
        <f>'[1]Base stats'!$B272</f>
        <v>Mycopodium ferus</v>
      </c>
      <c r="B272" s="20" cm="1">
        <f t="array" ref="B272">IF(
SUMPRODUCT(--(
TRIM(LEFT(Teeth!$A:$A,SEARCH("§",SUBSTITUTE(Teeth!$A:$A," ","§",2)&amp;"§")-1))=
TRIM(LEFT(A272,SEARCH("§",SUBSTITUTE(A272," ","§",2)&amp;"§")-1))
))&gt;0,
IF(
COUNT(_xlfn._xlws.FILTER(Teeth!$D:$D,
TRIM(LEFT(Teeth!$A:$A,SEARCH("§",SUBSTITUTE(Teeth!$A:$A," ","§",2)&amp;"§")-1))=
TRIM(LEFT(A272,SEARCH("§",SUBSTITUTE(A272," ","§",2)&amp;"§")-1))
))=0,
1,
MAX(_xlfn._xlws.FILTER(Teeth!$D:$D,
TRIM(LEFT(Teeth!$A:$A,SEARCH("§",SUBSTITUTE(Teeth!$A:$A," ","§",2)&amp;"§")-1))=
TRIM(LEFT(A272,SEARCH("§",SUBSTITUTE(A272," ","§",2)&amp;"§")-1))
))
),
IF(
SUMPRODUCT(--(
TRIM(LEFT(Teeth!$A:$A,SEARCH(" ",Teeth!$A:$A&amp;" ")-1))=
TRIM(LEFT(A272,SEARCH(" ",A272&amp;" ")-1))
))&gt;0,
IF(
COUNT(_xlfn._xlws.FILTER(Teeth!$D:$D,
TRIM(LEFT(Teeth!$A:$A,SEARCH(" ",Teeth!$A:$A&amp;" ")-1))=
TRIM(LEFT(A272,SEARCH(" ",A272&amp;" ")-1))
))=0,
1,
AVERAGE(_xlfn._xlws.FILTER(Teeth!$D:$D,
TRIM(LEFT(Teeth!$A:$A,SEARCH(" ",Teeth!$A:$A&amp;" ")-1))=
TRIM(LEFT(A272,SEARCH(" ",A272&amp;" ")-1))
))
),
1
)
)</f>
        <v>1</v>
      </c>
    </row>
    <row r="273" spans="1:2" x14ac:dyDescent="0.25">
      <c r="A273" s="2" t="str">
        <f>'[1]Base stats'!$B273</f>
        <v>Gallus titanicus</v>
      </c>
      <c r="B273" s="20" cm="1">
        <f t="array" ref="B273">IF(
SUMPRODUCT(--(
TRIM(LEFT(Teeth!$A:$A,SEARCH("§",SUBSTITUTE(Teeth!$A:$A," ","§",2)&amp;"§")-1))=
TRIM(LEFT(A273,SEARCH("§",SUBSTITUTE(A273," ","§",2)&amp;"§")-1))
))&gt;0,
IF(
COUNT(_xlfn._xlws.FILTER(Teeth!$D:$D,
TRIM(LEFT(Teeth!$A:$A,SEARCH("§",SUBSTITUTE(Teeth!$A:$A," ","§",2)&amp;"§")-1))=
TRIM(LEFT(A273,SEARCH("§",SUBSTITUTE(A273," ","§",2)&amp;"§")-1))
))=0,
1,
MAX(_xlfn._xlws.FILTER(Teeth!$D:$D,
TRIM(LEFT(Teeth!$A:$A,SEARCH("§",SUBSTITUTE(Teeth!$A:$A," ","§",2)&amp;"§")-1))=
TRIM(LEFT(A273,SEARCH("§",SUBSTITUTE(A273," ","§",2)&amp;"§")-1))
))
),
IF(
SUMPRODUCT(--(
TRIM(LEFT(Teeth!$A:$A,SEARCH(" ",Teeth!$A:$A&amp;" ")-1))=
TRIM(LEFT(A273,SEARCH(" ",A273&amp;" ")-1))
))&gt;0,
IF(
COUNT(_xlfn._xlws.FILTER(Teeth!$D:$D,
TRIM(LEFT(Teeth!$A:$A,SEARCH(" ",Teeth!$A:$A&amp;" ")-1))=
TRIM(LEFT(A273,SEARCH(" ",A273&amp;" ")-1))
))=0,
1,
AVERAGE(_xlfn._xlws.FILTER(Teeth!$D:$D,
TRIM(LEFT(Teeth!$A:$A,SEARCH(" ",Teeth!$A:$A&amp;" ")-1))=
TRIM(LEFT(A273,SEARCH(" ",A273&amp;" ")-1))
))
),
1
)
)</f>
        <v>1</v>
      </c>
    </row>
    <row r="274" spans="1:2" x14ac:dyDescent="0.25">
      <c r="A274" s="2" t="str">
        <f>'[1]Base stats'!$B274</f>
        <v>Gallus titanicus (moribund)</v>
      </c>
      <c r="B274" s="20" cm="1">
        <f t="array" ref="B274">IF(
SUMPRODUCT(--(
TRIM(LEFT(Teeth!$A:$A,SEARCH("§",SUBSTITUTE(Teeth!$A:$A," ","§",2)&amp;"§")-1))=
TRIM(LEFT(A274,SEARCH("§",SUBSTITUTE(A274," ","§",2)&amp;"§")-1))
))&gt;0,
IF(
COUNT(_xlfn._xlws.FILTER(Teeth!$D:$D,
TRIM(LEFT(Teeth!$A:$A,SEARCH("§",SUBSTITUTE(Teeth!$A:$A," ","§",2)&amp;"§")-1))=
TRIM(LEFT(A274,SEARCH("§",SUBSTITUTE(A274," ","§",2)&amp;"§")-1))
))=0,
1,
MAX(_xlfn._xlws.FILTER(Teeth!$D:$D,
TRIM(LEFT(Teeth!$A:$A,SEARCH("§",SUBSTITUTE(Teeth!$A:$A," ","§",2)&amp;"§")-1))=
TRIM(LEFT(A274,SEARCH("§",SUBSTITUTE(A274," ","§",2)&amp;"§")-1))
))
),
IF(
SUMPRODUCT(--(
TRIM(LEFT(Teeth!$A:$A,SEARCH(" ",Teeth!$A:$A&amp;" ")-1))=
TRIM(LEFT(A274,SEARCH(" ",A274&amp;" ")-1))
))&gt;0,
IF(
COUNT(_xlfn._xlws.FILTER(Teeth!$D:$D,
TRIM(LEFT(Teeth!$A:$A,SEARCH(" ",Teeth!$A:$A&amp;" ")-1))=
TRIM(LEFT(A274,SEARCH(" ",A274&amp;" ")-1))
))=0,
1,
AVERAGE(_xlfn._xlws.FILTER(Teeth!$D:$D,
TRIM(LEFT(Teeth!$A:$A,SEARCH(" ",Teeth!$A:$A&amp;" ")-1))=
TRIM(LEFT(A274,SEARCH(" ",A274&amp;" ")-1))
))
),
1
)
)</f>
        <v>1</v>
      </c>
    </row>
    <row r="275" spans="1:2" x14ac:dyDescent="0.25">
      <c r="A275" s="2" t="str">
        <f>'[1]Base stats'!$B275</f>
        <v>Bestia ventus</v>
      </c>
      <c r="B275" s="20" cm="1">
        <f t="array" ref="B275">IF(
SUMPRODUCT(--(
TRIM(LEFT(Teeth!$A:$A,SEARCH("§",SUBSTITUTE(Teeth!$A:$A," ","§",2)&amp;"§")-1))=
TRIM(LEFT(A275,SEARCH("§",SUBSTITUTE(A275," ","§",2)&amp;"§")-1))
))&gt;0,
IF(
COUNT(_xlfn._xlws.FILTER(Teeth!$D:$D,
TRIM(LEFT(Teeth!$A:$A,SEARCH("§",SUBSTITUTE(Teeth!$A:$A," ","§",2)&amp;"§")-1))=
TRIM(LEFT(A275,SEARCH("§",SUBSTITUTE(A275," ","§",2)&amp;"§")-1))
))=0,
1,
MAX(_xlfn._xlws.FILTER(Teeth!$D:$D,
TRIM(LEFT(Teeth!$A:$A,SEARCH("§",SUBSTITUTE(Teeth!$A:$A," ","§",2)&amp;"§")-1))=
TRIM(LEFT(A275,SEARCH("§",SUBSTITUTE(A275," ","§",2)&amp;"§")-1))
))
),
IF(
SUMPRODUCT(--(
TRIM(LEFT(Teeth!$A:$A,SEARCH(" ",Teeth!$A:$A&amp;" ")-1))=
TRIM(LEFT(A275,SEARCH(" ",A275&amp;" ")-1))
))&gt;0,
IF(
COUNT(_xlfn._xlws.FILTER(Teeth!$D:$D,
TRIM(LEFT(Teeth!$A:$A,SEARCH(" ",Teeth!$A:$A&amp;" ")-1))=
TRIM(LEFT(A275,SEARCH(" ",A275&amp;" ")-1))
))=0,
1,
AVERAGE(_xlfn._xlws.FILTER(Teeth!$D:$D,
TRIM(LEFT(Teeth!$A:$A,SEARCH(" ",Teeth!$A:$A&amp;" ")-1))=
TRIM(LEFT(A275,SEARCH(" ",A275&amp;" ")-1))
))
),
1
)
)</f>
        <v>1</v>
      </c>
    </row>
    <row r="276" spans="1:2" x14ac:dyDescent="0.25">
      <c r="A276" s="2" t="str">
        <f>'[1]Base stats'!$B276</f>
        <v>Bestia tonitrus</v>
      </c>
      <c r="B276" s="20" cm="1">
        <f t="array" ref="B276">IF(
SUMPRODUCT(--(
TRIM(LEFT(Teeth!$A:$A,SEARCH("§",SUBSTITUTE(Teeth!$A:$A," ","§",2)&amp;"§")-1))=
TRIM(LEFT(A276,SEARCH("§",SUBSTITUTE(A276," ","§",2)&amp;"§")-1))
))&gt;0,
IF(
COUNT(_xlfn._xlws.FILTER(Teeth!$D:$D,
TRIM(LEFT(Teeth!$A:$A,SEARCH("§",SUBSTITUTE(Teeth!$A:$A," ","§",2)&amp;"§")-1))=
TRIM(LEFT(A276,SEARCH("§",SUBSTITUTE(A276," ","§",2)&amp;"§")-1))
))=0,
1,
MAX(_xlfn._xlws.FILTER(Teeth!$D:$D,
TRIM(LEFT(Teeth!$A:$A,SEARCH("§",SUBSTITUTE(Teeth!$A:$A," ","§",2)&amp;"§")-1))=
TRIM(LEFT(A276,SEARCH("§",SUBSTITUTE(A276," ","§",2)&amp;"§")-1))
))
),
IF(
SUMPRODUCT(--(
TRIM(LEFT(Teeth!$A:$A,SEARCH(" ",Teeth!$A:$A&amp;" ")-1))=
TRIM(LEFT(A276,SEARCH(" ",A276&amp;" ")-1))
))&gt;0,
IF(
COUNT(_xlfn._xlws.FILTER(Teeth!$D:$D,
TRIM(LEFT(Teeth!$A:$A,SEARCH(" ",Teeth!$A:$A&amp;" ")-1))=
TRIM(LEFT(A276,SEARCH(" ",A276&amp;" ")-1))
))=0,
1,
AVERAGE(_xlfn._xlws.FILTER(Teeth!$D:$D,
TRIM(LEFT(Teeth!$A:$A,SEARCH(" ",Teeth!$A:$A&amp;" ")-1))=
TRIM(LEFT(A276,SEARCH(" ",A276&amp;" ")-1))
))
),
1
)
)</f>
        <v>1</v>
      </c>
    </row>
    <row r="277" spans="1:2" x14ac:dyDescent="0.25">
      <c r="A277" s="2" t="str">
        <f>'[1]Base stats'!$B277</f>
        <v>Bestia nigra</v>
      </c>
      <c r="B277" s="20" cm="1">
        <f t="array" ref="B277">IF(
SUMPRODUCT(--(
TRIM(LEFT(Teeth!$A:$A,SEARCH("§",SUBSTITUTE(Teeth!$A:$A," ","§",2)&amp;"§")-1))=
TRIM(LEFT(A277,SEARCH("§",SUBSTITUTE(A277," ","§",2)&amp;"§")-1))
))&gt;0,
IF(
COUNT(_xlfn._xlws.FILTER(Teeth!$D:$D,
TRIM(LEFT(Teeth!$A:$A,SEARCH("§",SUBSTITUTE(Teeth!$A:$A," ","§",2)&amp;"§")-1))=
TRIM(LEFT(A277,SEARCH("§",SUBSTITUTE(A277," ","§",2)&amp;"§")-1))
))=0,
1,
MAX(_xlfn._xlws.FILTER(Teeth!$D:$D,
TRIM(LEFT(Teeth!$A:$A,SEARCH("§",SUBSTITUTE(Teeth!$A:$A," ","§",2)&amp;"§")-1))=
TRIM(LEFT(A277,SEARCH("§",SUBSTITUTE(A277," ","§",2)&amp;"§")-1))
))
),
IF(
SUMPRODUCT(--(
TRIM(LEFT(Teeth!$A:$A,SEARCH(" ",Teeth!$A:$A&amp;" ")-1))=
TRIM(LEFT(A277,SEARCH(" ",A277&amp;" ")-1))
))&gt;0,
IF(
COUNT(_xlfn._xlws.FILTER(Teeth!$D:$D,
TRIM(LEFT(Teeth!$A:$A,SEARCH(" ",Teeth!$A:$A&amp;" ")-1))=
TRIM(LEFT(A277,SEARCH(" ",A277&amp;" ")-1))
))=0,
1,
AVERAGE(_xlfn._xlws.FILTER(Teeth!$D:$D,
TRIM(LEFT(Teeth!$A:$A,SEARCH(" ",Teeth!$A:$A&amp;" ")-1))=
TRIM(LEFT(A277,SEARCH(" ",A277&amp;" ")-1))
))
),
1
)
)</f>
        <v>1</v>
      </c>
    </row>
    <row r="278" spans="1:2" x14ac:dyDescent="0.25">
      <c r="A278" s="2" t="str">
        <f>'[1]Base stats'!$B278</f>
        <v>Panthera glacialis</v>
      </c>
      <c r="B278" s="20" cm="1">
        <f t="array" ref="B278">IF(
SUMPRODUCT(--(
TRIM(LEFT(Teeth!$A:$A,SEARCH("§",SUBSTITUTE(Teeth!$A:$A," ","§",2)&amp;"§")-1))=
TRIM(LEFT(A278,SEARCH("§",SUBSTITUTE(A278," ","§",2)&amp;"§")-1))
))&gt;0,
IF(
COUNT(_xlfn._xlws.FILTER(Teeth!$D:$D,
TRIM(LEFT(Teeth!$A:$A,SEARCH("§",SUBSTITUTE(Teeth!$A:$A," ","§",2)&amp;"§")-1))=
TRIM(LEFT(A278,SEARCH("§",SUBSTITUTE(A278," ","§",2)&amp;"§")-1))
))=0,
1,
MAX(_xlfn._xlws.FILTER(Teeth!$D:$D,
TRIM(LEFT(Teeth!$A:$A,SEARCH("§",SUBSTITUTE(Teeth!$A:$A," ","§",2)&amp;"§")-1))=
TRIM(LEFT(A278,SEARCH("§",SUBSTITUTE(A278," ","§",2)&amp;"§")-1))
))
),
IF(
SUMPRODUCT(--(
TRIM(LEFT(Teeth!$A:$A,SEARCH(" ",Teeth!$A:$A&amp;" ")-1))=
TRIM(LEFT(A278,SEARCH(" ",A278&amp;" ")-1))
))&gt;0,
IF(
COUNT(_xlfn._xlws.FILTER(Teeth!$D:$D,
TRIM(LEFT(Teeth!$A:$A,SEARCH(" ",Teeth!$A:$A&amp;" ")-1))=
TRIM(LEFT(A278,SEARCH(" ",A278&amp;" ")-1))
))=0,
1,
AVERAGE(_xlfn._xlws.FILTER(Teeth!$D:$D,
TRIM(LEFT(Teeth!$A:$A,SEARCH(" ",Teeth!$A:$A&amp;" ")-1))=
TRIM(LEFT(A278,SEARCH(" ",A278&amp;" ")-1))
))
),
1
)
)</f>
        <v>1.1021218846899565</v>
      </c>
    </row>
    <row r="279" spans="1:2" x14ac:dyDescent="0.25">
      <c r="A279" s="2" t="str">
        <f>'[1]Base stats'!$B279</f>
        <v>Panthera arenae</v>
      </c>
      <c r="B279" s="20" cm="1">
        <f t="array" ref="B279">IF(
SUMPRODUCT(--(
TRIM(LEFT(Teeth!$A:$A,SEARCH("§",SUBSTITUTE(Teeth!$A:$A," ","§",2)&amp;"§")-1))=
TRIM(LEFT(A279,SEARCH("§",SUBSTITUTE(A279," ","§",2)&amp;"§")-1))
))&gt;0,
IF(
COUNT(_xlfn._xlws.FILTER(Teeth!$D:$D,
TRIM(LEFT(Teeth!$A:$A,SEARCH("§",SUBSTITUTE(Teeth!$A:$A," ","§",2)&amp;"§")-1))=
TRIM(LEFT(A279,SEARCH("§",SUBSTITUTE(A279," ","§",2)&amp;"§")-1))
))=0,
1,
MAX(_xlfn._xlws.FILTER(Teeth!$D:$D,
TRIM(LEFT(Teeth!$A:$A,SEARCH("§",SUBSTITUTE(Teeth!$A:$A," ","§",2)&amp;"§")-1))=
TRIM(LEFT(A279,SEARCH("§",SUBSTITUTE(A279," ","§",2)&amp;"§")-1))
))
),
IF(
SUMPRODUCT(--(
TRIM(LEFT(Teeth!$A:$A,SEARCH(" ",Teeth!$A:$A&amp;" ")-1))=
TRIM(LEFT(A279,SEARCH(" ",A279&amp;" ")-1))
))&gt;0,
IF(
COUNT(_xlfn._xlws.FILTER(Teeth!$D:$D,
TRIM(LEFT(Teeth!$A:$A,SEARCH(" ",Teeth!$A:$A&amp;" ")-1))=
TRIM(LEFT(A279,SEARCH(" ",A279&amp;" ")-1))
))=0,
1,
AVERAGE(_xlfn._xlws.FILTER(Teeth!$D:$D,
TRIM(LEFT(Teeth!$A:$A,SEARCH(" ",Teeth!$A:$A&amp;" ")-1))=
TRIM(LEFT(A279,SEARCH(" ",A279&amp;" ")-1))
))
),
1
)
)</f>
        <v>1.1021218846899565</v>
      </c>
    </row>
    <row r="280" spans="1:2" x14ac:dyDescent="0.25">
      <c r="A280" s="2" t="str">
        <f>'[1]Base stats'!$B280</f>
        <v>Genix ferox</v>
      </c>
      <c r="B280" s="20" cm="1">
        <f t="array" ref="B280">IF(
SUMPRODUCT(--(
TRIM(LEFT(Teeth!$A:$A,SEARCH("§",SUBSTITUTE(Teeth!$A:$A," ","§",2)&amp;"§")-1))=
TRIM(LEFT(A280,SEARCH("§",SUBSTITUTE(A280," ","§",2)&amp;"§")-1))
))&gt;0,
IF(
COUNT(_xlfn._xlws.FILTER(Teeth!$D:$D,
TRIM(LEFT(Teeth!$A:$A,SEARCH("§",SUBSTITUTE(Teeth!$A:$A," ","§",2)&amp;"§")-1))=
TRIM(LEFT(A280,SEARCH("§",SUBSTITUTE(A280," ","§",2)&amp;"§")-1))
))=0,
1,
MAX(_xlfn._xlws.FILTER(Teeth!$D:$D,
TRIM(LEFT(Teeth!$A:$A,SEARCH("§",SUBSTITUTE(Teeth!$A:$A," ","§",2)&amp;"§")-1))=
TRIM(LEFT(A280,SEARCH("§",SUBSTITUTE(A280," ","§",2)&amp;"§")-1))
))
),
IF(
SUMPRODUCT(--(
TRIM(LEFT(Teeth!$A:$A,SEARCH(" ",Teeth!$A:$A&amp;" ")-1))=
TRIM(LEFT(A280,SEARCH(" ",A280&amp;" ")-1))
))&gt;0,
IF(
COUNT(_xlfn._xlws.FILTER(Teeth!$D:$D,
TRIM(LEFT(Teeth!$A:$A,SEARCH(" ",Teeth!$A:$A&amp;" ")-1))=
TRIM(LEFT(A280,SEARCH(" ",A280&amp;" ")-1))
))=0,
1,
AVERAGE(_xlfn._xlws.FILTER(Teeth!$D:$D,
TRIM(LEFT(Teeth!$A:$A,SEARCH(" ",Teeth!$A:$A&amp;" ")-1))=
TRIM(LEFT(A280,SEARCH(" ",A280&amp;" ")-1))
))
),
1
)
)</f>
        <v>1</v>
      </c>
    </row>
    <row r="281" spans="1:2" x14ac:dyDescent="0.25">
      <c r="A281" s="2" t="str">
        <f>'[1]Base stats'!$B281</f>
        <v>Genix frostis</v>
      </c>
      <c r="B281" s="20" cm="1">
        <f t="array" ref="B281">IF(
SUMPRODUCT(--(
TRIM(LEFT(Teeth!$A:$A,SEARCH("§",SUBSTITUTE(Teeth!$A:$A," ","§",2)&amp;"§")-1))=
TRIM(LEFT(A281,SEARCH("§",SUBSTITUTE(A281," ","§",2)&amp;"§")-1))
))&gt;0,
IF(
COUNT(_xlfn._xlws.FILTER(Teeth!$D:$D,
TRIM(LEFT(Teeth!$A:$A,SEARCH("§",SUBSTITUTE(Teeth!$A:$A," ","§",2)&amp;"§")-1))=
TRIM(LEFT(A281,SEARCH("§",SUBSTITUTE(A281," ","§",2)&amp;"§")-1))
))=0,
1,
MAX(_xlfn._xlws.FILTER(Teeth!$D:$D,
TRIM(LEFT(Teeth!$A:$A,SEARCH("§",SUBSTITUTE(Teeth!$A:$A," ","§",2)&amp;"§")-1))=
TRIM(LEFT(A281,SEARCH("§",SUBSTITUTE(A281," ","§",2)&amp;"§")-1))
))
),
IF(
SUMPRODUCT(--(
TRIM(LEFT(Teeth!$A:$A,SEARCH(" ",Teeth!$A:$A&amp;" ")-1))=
TRIM(LEFT(A281,SEARCH(" ",A281&amp;" ")-1))
))&gt;0,
IF(
COUNT(_xlfn._xlws.FILTER(Teeth!$D:$D,
TRIM(LEFT(Teeth!$A:$A,SEARCH(" ",Teeth!$A:$A&amp;" ")-1))=
TRIM(LEFT(A281,SEARCH(" ",A281&amp;" ")-1))
))=0,
1,
AVERAGE(_xlfn._xlws.FILTER(Teeth!$D:$D,
TRIM(LEFT(Teeth!$A:$A,SEARCH(" ",Teeth!$A:$A&amp;" ")-1))=
TRIM(LEFT(A281,SEARCH(" ",A281&amp;" ")-1))
))
),
1
)
)</f>
        <v>1</v>
      </c>
    </row>
    <row r="282" spans="1:2" x14ac:dyDescent="0.25">
      <c r="A282" s="2" t="str">
        <f>'[1]Base stats'!$B282</f>
        <v>Feliscopus phoenix</v>
      </c>
      <c r="B282" s="20" cm="1">
        <f t="array" ref="B282">IF(
SUMPRODUCT(--(
TRIM(LEFT(Teeth!$A:$A,SEARCH("§",SUBSTITUTE(Teeth!$A:$A," ","§",2)&amp;"§")-1))=
TRIM(LEFT(A282,SEARCH("§",SUBSTITUTE(A282," ","§",2)&amp;"§")-1))
))&gt;0,
IF(
COUNT(_xlfn._xlws.FILTER(Teeth!$D:$D,
TRIM(LEFT(Teeth!$A:$A,SEARCH("§",SUBSTITUTE(Teeth!$A:$A," ","§",2)&amp;"§")-1))=
TRIM(LEFT(A282,SEARCH("§",SUBSTITUTE(A282," ","§",2)&amp;"§")-1))
))=0,
1,
MAX(_xlfn._xlws.FILTER(Teeth!$D:$D,
TRIM(LEFT(Teeth!$A:$A,SEARCH("§",SUBSTITUTE(Teeth!$A:$A," ","§",2)&amp;"§")-1))=
TRIM(LEFT(A282,SEARCH("§",SUBSTITUTE(A282," ","§",2)&amp;"§")-1))
))
),
IF(
SUMPRODUCT(--(
TRIM(LEFT(Teeth!$A:$A,SEARCH(" ",Teeth!$A:$A&amp;" ")-1))=
TRIM(LEFT(A282,SEARCH(" ",A282&amp;" ")-1))
))&gt;0,
IF(
COUNT(_xlfn._xlws.FILTER(Teeth!$D:$D,
TRIM(LEFT(Teeth!$A:$A,SEARCH(" ",Teeth!$A:$A&amp;" ")-1))=
TRIM(LEFT(A282,SEARCH(" ",A282&amp;" ")-1))
))=0,
1,
AVERAGE(_xlfn._xlws.FILTER(Teeth!$D:$D,
TRIM(LEFT(Teeth!$A:$A,SEARCH(" ",Teeth!$A:$A&amp;" ")-1))=
TRIM(LEFT(A282,SEARCH(" ",A282&amp;" ")-1))
))
),
1
)
)</f>
        <v>1</v>
      </c>
    </row>
    <row r="283" spans="1:2" x14ac:dyDescent="0.25">
      <c r="A283" s="2" t="str">
        <f>'[1]Base stats'!$B283</f>
        <v>Caracal crystallinus</v>
      </c>
      <c r="B283" s="20" cm="1">
        <f t="array" ref="B283">IF(
SUMPRODUCT(--(
TRIM(LEFT(Teeth!$A:$A,SEARCH("§",SUBSTITUTE(Teeth!$A:$A," ","§",2)&amp;"§")-1))=
TRIM(LEFT(A283,SEARCH("§",SUBSTITUTE(A283," ","§",2)&amp;"§")-1))
))&gt;0,
IF(
COUNT(_xlfn._xlws.FILTER(Teeth!$D:$D,
TRIM(LEFT(Teeth!$A:$A,SEARCH("§",SUBSTITUTE(Teeth!$A:$A," ","§",2)&amp;"§")-1))=
TRIM(LEFT(A283,SEARCH("§",SUBSTITUTE(A283," ","§",2)&amp;"§")-1))
))=0,
1,
MAX(_xlfn._xlws.FILTER(Teeth!$D:$D,
TRIM(LEFT(Teeth!$A:$A,SEARCH("§",SUBSTITUTE(Teeth!$A:$A," ","§",2)&amp;"§")-1))=
TRIM(LEFT(A283,SEARCH("§",SUBSTITUTE(A283," ","§",2)&amp;"§")-1))
))
),
IF(
SUMPRODUCT(--(
TRIM(LEFT(Teeth!$A:$A,SEARCH(" ",Teeth!$A:$A&amp;" ")-1))=
TRIM(LEFT(A283,SEARCH(" ",A283&amp;" ")-1))
))&gt;0,
IF(
COUNT(_xlfn._xlws.FILTER(Teeth!$D:$D,
TRIM(LEFT(Teeth!$A:$A,SEARCH(" ",Teeth!$A:$A&amp;" ")-1))=
TRIM(LEFT(A283,SEARCH(" ",A283&amp;" ")-1))
))=0,
1,
AVERAGE(_xlfn._xlws.FILTER(Teeth!$D:$D,
TRIM(LEFT(Teeth!$A:$A,SEARCH(" ",Teeth!$A:$A&amp;" ")-1))=
TRIM(LEFT(A283,SEARCH(" ",A283&amp;" ")-1))
))
),
1
)
)</f>
        <v>0.90811679292382275</v>
      </c>
    </row>
    <row r="284" spans="1:2" x14ac:dyDescent="0.25">
      <c r="A284" s="2" t="str">
        <f>'[1]Base stats'!$B284</f>
        <v>Glaciulus parvus</v>
      </c>
      <c r="B284" s="20" cm="1">
        <f t="array" ref="B284">IF(
SUMPRODUCT(--(
TRIM(LEFT(Teeth!$A:$A,SEARCH("§",SUBSTITUTE(Teeth!$A:$A," ","§",2)&amp;"§")-1))=
TRIM(LEFT(A284,SEARCH("§",SUBSTITUTE(A284," ","§",2)&amp;"§")-1))
))&gt;0,
IF(
COUNT(_xlfn._xlws.FILTER(Teeth!$D:$D,
TRIM(LEFT(Teeth!$A:$A,SEARCH("§",SUBSTITUTE(Teeth!$A:$A," ","§",2)&amp;"§")-1))=
TRIM(LEFT(A284,SEARCH("§",SUBSTITUTE(A284," ","§",2)&amp;"§")-1))
))=0,
1,
MAX(_xlfn._xlws.FILTER(Teeth!$D:$D,
TRIM(LEFT(Teeth!$A:$A,SEARCH("§",SUBSTITUTE(Teeth!$A:$A," ","§",2)&amp;"§")-1))=
TRIM(LEFT(A284,SEARCH("§",SUBSTITUTE(A284," ","§",2)&amp;"§")-1))
))
),
IF(
SUMPRODUCT(--(
TRIM(LEFT(Teeth!$A:$A,SEARCH(" ",Teeth!$A:$A&amp;" ")-1))=
TRIM(LEFT(A284,SEARCH(" ",A284&amp;" ")-1))
))&gt;0,
IF(
COUNT(_xlfn._xlws.FILTER(Teeth!$D:$D,
TRIM(LEFT(Teeth!$A:$A,SEARCH(" ",Teeth!$A:$A&amp;" ")-1))=
TRIM(LEFT(A284,SEARCH(" ",A284&amp;" ")-1))
))=0,
1,
AVERAGE(_xlfn._xlws.FILTER(Teeth!$D:$D,
TRIM(LEFT(Teeth!$A:$A,SEARCH(" ",Teeth!$A:$A&amp;" ")-1))=
TRIM(LEFT(A284,SEARCH(" ",A284&amp;" ")-1))
))
),
1
)
)</f>
        <v>1</v>
      </c>
    </row>
    <row r="285" spans="1:2" x14ac:dyDescent="0.25">
      <c r="A285" s="2" t="str">
        <f>'[1]Base stats'!$B285</f>
        <v>Jaculus acutis</v>
      </c>
      <c r="B285" s="20" cm="1">
        <f t="array" ref="B285">IF(
SUMPRODUCT(--(
TRIM(LEFT(Teeth!$A:$A,SEARCH("§",SUBSTITUTE(Teeth!$A:$A," ","§",2)&amp;"§")-1))=
TRIM(LEFT(A285,SEARCH("§",SUBSTITUTE(A285," ","§",2)&amp;"§")-1))
))&gt;0,
IF(
COUNT(_xlfn._xlws.FILTER(Teeth!$D:$D,
TRIM(LEFT(Teeth!$A:$A,SEARCH("§",SUBSTITUTE(Teeth!$A:$A," ","§",2)&amp;"§")-1))=
TRIM(LEFT(A285,SEARCH("§",SUBSTITUTE(A285," ","§",2)&amp;"§")-1))
))=0,
1,
MAX(_xlfn._xlws.FILTER(Teeth!$D:$D,
TRIM(LEFT(Teeth!$A:$A,SEARCH("§",SUBSTITUTE(Teeth!$A:$A," ","§",2)&amp;"§")-1))=
TRIM(LEFT(A285,SEARCH("§",SUBSTITUTE(A285," ","§",2)&amp;"§")-1))
))
),
IF(
SUMPRODUCT(--(
TRIM(LEFT(Teeth!$A:$A,SEARCH(" ",Teeth!$A:$A&amp;" ")-1))=
TRIM(LEFT(A285,SEARCH(" ",A285&amp;" ")-1))
))&gt;0,
IF(
COUNT(_xlfn._xlws.FILTER(Teeth!$D:$D,
TRIM(LEFT(Teeth!$A:$A,SEARCH(" ",Teeth!$A:$A&amp;" ")-1))=
TRIM(LEFT(A285,SEARCH(" ",A285&amp;" ")-1))
))=0,
1,
AVERAGE(_xlfn._xlws.FILTER(Teeth!$D:$D,
TRIM(LEFT(Teeth!$A:$A,SEARCH(" ",Teeth!$A:$A&amp;" ")-1))=
TRIM(LEFT(A285,SEARCH(" ",A285&amp;" ")-1))
))
),
1
)
)</f>
        <v>1</v>
      </c>
    </row>
    <row r="286" spans="1:2" x14ac:dyDescent="0.25">
      <c r="A286" s="2" t="str">
        <f>'[1]Base stats'!$B286</f>
        <v>Erin similis</v>
      </c>
      <c r="B286" s="20" cm="1">
        <f t="array" ref="B286">IF(
SUMPRODUCT(--(
TRIM(LEFT(Teeth!$A:$A,SEARCH("§",SUBSTITUTE(Teeth!$A:$A," ","§",2)&amp;"§")-1))=
TRIM(LEFT(A286,SEARCH("§",SUBSTITUTE(A286," ","§",2)&amp;"§")-1))
))&gt;0,
IF(
COUNT(_xlfn._xlws.FILTER(Teeth!$D:$D,
TRIM(LEFT(Teeth!$A:$A,SEARCH("§",SUBSTITUTE(Teeth!$A:$A," ","§",2)&amp;"§")-1))=
TRIM(LEFT(A286,SEARCH("§",SUBSTITUTE(A286," ","§",2)&amp;"§")-1))
))=0,
1,
MAX(_xlfn._xlws.FILTER(Teeth!$D:$D,
TRIM(LEFT(Teeth!$A:$A,SEARCH("§",SUBSTITUTE(Teeth!$A:$A," ","§",2)&amp;"§")-1))=
TRIM(LEFT(A286,SEARCH("§",SUBSTITUTE(A286," ","§",2)&amp;"§")-1))
))
),
IF(
SUMPRODUCT(--(
TRIM(LEFT(Teeth!$A:$A,SEARCH(" ",Teeth!$A:$A&amp;" ")-1))=
TRIM(LEFT(A286,SEARCH(" ",A286&amp;" ")-1))
))&gt;0,
IF(
COUNT(_xlfn._xlws.FILTER(Teeth!$D:$D,
TRIM(LEFT(Teeth!$A:$A,SEARCH(" ",Teeth!$A:$A&amp;" ")-1))=
TRIM(LEFT(A286,SEARCH(" ",A286&amp;" ")-1))
))=0,
1,
AVERAGE(_xlfn._xlws.FILTER(Teeth!$D:$D,
TRIM(LEFT(Teeth!$A:$A,SEARCH(" ",Teeth!$A:$A&amp;" ")-1))=
TRIM(LEFT(A286,SEARCH(" ",A286&amp;" ")-1))
))
),
1
)
)</f>
        <v>1</v>
      </c>
    </row>
    <row r="287" spans="1:2" x14ac:dyDescent="0.25">
      <c r="A287" s="2" t="str">
        <f>'[1]Base stats'!$B287</f>
        <v>Canis saltator</v>
      </c>
      <c r="B287" s="20" cm="1">
        <f t="array" ref="B287">IF(
SUMPRODUCT(--(
TRIM(LEFT(Teeth!$A:$A,SEARCH("§",SUBSTITUTE(Teeth!$A:$A," ","§",2)&amp;"§")-1))=
TRIM(LEFT(A287,SEARCH("§",SUBSTITUTE(A287," ","§",2)&amp;"§")-1))
))&gt;0,
IF(
COUNT(_xlfn._xlws.FILTER(Teeth!$D:$D,
TRIM(LEFT(Teeth!$A:$A,SEARCH("§",SUBSTITUTE(Teeth!$A:$A," ","§",2)&amp;"§")-1))=
TRIM(LEFT(A287,SEARCH("§",SUBSTITUTE(A287," ","§",2)&amp;"§")-1))
))=0,
1,
MAX(_xlfn._xlws.FILTER(Teeth!$D:$D,
TRIM(LEFT(Teeth!$A:$A,SEARCH("§",SUBSTITUTE(Teeth!$A:$A," ","§",2)&amp;"§")-1))=
TRIM(LEFT(A287,SEARCH("§",SUBSTITUTE(A287," ","§",2)&amp;"§")-1))
))
),
IF(
SUMPRODUCT(--(
TRIM(LEFT(Teeth!$A:$A,SEARCH(" ",Teeth!$A:$A&amp;" ")-1))=
TRIM(LEFT(A287,SEARCH(" ",A287&amp;" ")-1))
))&gt;0,
IF(
COUNT(_xlfn._xlws.FILTER(Teeth!$D:$D,
TRIM(LEFT(Teeth!$A:$A,SEARCH(" ",Teeth!$A:$A&amp;" ")-1))=
TRIM(LEFT(A287,SEARCH(" ",A287&amp;" ")-1))
))=0,
1,
AVERAGE(_xlfn._xlws.FILTER(Teeth!$D:$D,
TRIM(LEFT(Teeth!$A:$A,SEARCH(" ",Teeth!$A:$A&amp;" ")-1))=
TRIM(LEFT(A287,SEARCH(" ",A287&amp;" ")-1))
))
),
1
)
)</f>
        <v>1.038364019968949</v>
      </c>
    </row>
    <row r="288" spans="1:2" x14ac:dyDescent="0.25">
      <c r="A288" s="2" t="str">
        <f>'[1]Base stats'!$B288</f>
        <v>Canis lacerator</v>
      </c>
      <c r="B288" s="20" cm="1">
        <f t="array" ref="B288">IF(
SUMPRODUCT(--(
TRIM(LEFT(Teeth!$A:$A,SEARCH("§",SUBSTITUTE(Teeth!$A:$A," ","§",2)&amp;"§")-1))=
TRIM(LEFT(A288,SEARCH("§",SUBSTITUTE(A288," ","§",2)&amp;"§")-1))
))&gt;0,
IF(
COUNT(_xlfn._xlws.FILTER(Teeth!$D:$D,
TRIM(LEFT(Teeth!$A:$A,SEARCH("§",SUBSTITUTE(Teeth!$A:$A," ","§",2)&amp;"§")-1))=
TRIM(LEFT(A288,SEARCH("§",SUBSTITUTE(A288," ","§",2)&amp;"§")-1))
))=0,
1,
MAX(_xlfn._xlws.FILTER(Teeth!$D:$D,
TRIM(LEFT(Teeth!$A:$A,SEARCH("§",SUBSTITUTE(Teeth!$A:$A," ","§",2)&amp;"§")-1))=
TRIM(LEFT(A288,SEARCH("§",SUBSTITUTE(A288," ","§",2)&amp;"§")-1))
))
),
IF(
SUMPRODUCT(--(
TRIM(LEFT(Teeth!$A:$A,SEARCH(" ",Teeth!$A:$A&amp;" ")-1))=
TRIM(LEFT(A288,SEARCH(" ",A288&amp;" ")-1))
))&gt;0,
IF(
COUNT(_xlfn._xlws.FILTER(Teeth!$D:$D,
TRIM(LEFT(Teeth!$A:$A,SEARCH(" ",Teeth!$A:$A&amp;" ")-1))=
TRIM(LEFT(A288,SEARCH(" ",A288&amp;" ")-1))
))=0,
1,
AVERAGE(_xlfn._xlws.FILTER(Teeth!$D:$D,
TRIM(LEFT(Teeth!$A:$A,SEARCH(" ",Teeth!$A:$A&amp;" ")-1))=
TRIM(LEFT(A288,SEARCH(" ",A288&amp;" ")-1))
))
),
1
)
)</f>
        <v>1.038364019968949</v>
      </c>
    </row>
    <row r="289" spans="1:2" x14ac:dyDescent="0.25">
      <c r="A289" s="2" t="str">
        <f>'[1]Base stats'!$B289</f>
        <v>Vulpes animalis</v>
      </c>
      <c r="B289" s="20" cm="1">
        <f t="array" ref="B289">IF(
SUMPRODUCT(--(
TRIM(LEFT(Teeth!$A:$A,SEARCH("§",SUBSTITUTE(Teeth!$A:$A," ","§",2)&amp;"§")-1))=
TRIM(LEFT(A289,SEARCH("§",SUBSTITUTE(A289," ","§",2)&amp;"§")-1))
))&gt;0,
IF(
COUNT(_xlfn._xlws.FILTER(Teeth!$D:$D,
TRIM(LEFT(Teeth!$A:$A,SEARCH("§",SUBSTITUTE(Teeth!$A:$A," ","§",2)&amp;"§")-1))=
TRIM(LEFT(A289,SEARCH("§",SUBSTITUTE(A289," ","§",2)&amp;"§")-1))
))=0,
1,
MAX(_xlfn._xlws.FILTER(Teeth!$D:$D,
TRIM(LEFT(Teeth!$A:$A,SEARCH("§",SUBSTITUTE(Teeth!$A:$A," ","§",2)&amp;"§")-1))=
TRIM(LEFT(A289,SEARCH("§",SUBSTITUTE(A289," ","§",2)&amp;"§")-1))
))
),
IF(
SUMPRODUCT(--(
TRIM(LEFT(Teeth!$A:$A,SEARCH(" ",Teeth!$A:$A&amp;" ")-1))=
TRIM(LEFT(A289,SEARCH(" ",A289&amp;" ")-1))
))&gt;0,
IF(
COUNT(_xlfn._xlws.FILTER(Teeth!$D:$D,
TRIM(LEFT(Teeth!$A:$A,SEARCH(" ",Teeth!$A:$A&amp;" ")-1))=
TRIM(LEFT(A289,SEARCH(" ",A289&amp;" ")-1))
))=0,
1,
AVERAGE(_xlfn._xlws.FILTER(Teeth!$D:$D,
TRIM(LEFT(Teeth!$A:$A,SEARCH(" ",Teeth!$A:$A&amp;" ")-1))=
TRIM(LEFT(A289,SEARCH(" ",A289&amp;" ")-1))
))
),
1
)
)</f>
        <v>1.2266423062576042</v>
      </c>
    </row>
    <row r="290" spans="1:2" x14ac:dyDescent="0.25">
      <c r="A290" s="2" t="str">
        <f>'[1]Base stats'!$B290</f>
        <v>Bombos vivificalis</v>
      </c>
      <c r="B290" s="20" cm="1">
        <f t="array" ref="B290">IF(
SUMPRODUCT(--(
TRIM(LEFT(Teeth!$A:$A,SEARCH("§",SUBSTITUTE(Teeth!$A:$A," ","§",2)&amp;"§")-1))=
TRIM(LEFT(A290,SEARCH("§",SUBSTITUTE(A290," ","§",2)&amp;"§")-1))
))&gt;0,
IF(
COUNT(_xlfn._xlws.FILTER(Teeth!$D:$D,
TRIM(LEFT(Teeth!$A:$A,SEARCH("§",SUBSTITUTE(Teeth!$A:$A," ","§",2)&amp;"§")-1))=
TRIM(LEFT(A290,SEARCH("§",SUBSTITUTE(A290," ","§",2)&amp;"§")-1))
))=0,
1,
MAX(_xlfn._xlws.FILTER(Teeth!$D:$D,
TRIM(LEFT(Teeth!$A:$A,SEARCH("§",SUBSTITUTE(Teeth!$A:$A," ","§",2)&amp;"§")-1))=
TRIM(LEFT(A290,SEARCH("§",SUBSTITUTE(A290," ","§",2)&amp;"§")-1))
))
),
IF(
SUMPRODUCT(--(
TRIM(LEFT(Teeth!$A:$A,SEARCH(" ",Teeth!$A:$A&amp;" ")-1))=
TRIM(LEFT(A290,SEARCH(" ",A290&amp;" ")-1))
))&gt;0,
IF(
COUNT(_xlfn._xlws.FILTER(Teeth!$D:$D,
TRIM(LEFT(Teeth!$A:$A,SEARCH(" ",Teeth!$A:$A&amp;" ")-1))=
TRIM(LEFT(A290,SEARCH(" ",A290&amp;" ")-1))
))=0,
1,
AVERAGE(_xlfn._xlws.FILTER(Teeth!$D:$D,
TRIM(LEFT(Teeth!$A:$A,SEARCH(" ",Teeth!$A:$A&amp;" ")-1))=
TRIM(LEFT(A290,SEARCH(" ",A290&amp;" ")-1))
))
),
1
)
)</f>
        <v>1</v>
      </c>
    </row>
    <row r="291" spans="1:2" x14ac:dyDescent="0.25">
      <c r="A291" s="2" t="str">
        <f>'[1]Base stats'!$B291</f>
        <v>Bos radiatus</v>
      </c>
      <c r="B291" s="20" cm="1">
        <f t="array" ref="B291">IF(
SUMPRODUCT(--(
TRIM(LEFT(Teeth!$A:$A,SEARCH("§",SUBSTITUTE(Teeth!$A:$A," ","§",2)&amp;"§")-1))=
TRIM(LEFT(A291,SEARCH("§",SUBSTITUTE(A291," ","§",2)&amp;"§")-1))
))&gt;0,
IF(
COUNT(_xlfn._xlws.FILTER(Teeth!$D:$D,
TRIM(LEFT(Teeth!$A:$A,SEARCH("§",SUBSTITUTE(Teeth!$A:$A," ","§",2)&amp;"§")-1))=
TRIM(LEFT(A291,SEARCH("§",SUBSTITUTE(A291," ","§",2)&amp;"§")-1))
))=0,
1,
MAX(_xlfn._xlws.FILTER(Teeth!$D:$D,
TRIM(LEFT(Teeth!$A:$A,SEARCH("§",SUBSTITUTE(Teeth!$A:$A," ","§",2)&amp;"§")-1))=
TRIM(LEFT(A291,SEARCH("§",SUBSTITUTE(A291," ","§",2)&amp;"§")-1))
))
),
IF(
SUMPRODUCT(--(
TRIM(LEFT(Teeth!$A:$A,SEARCH(" ",Teeth!$A:$A&amp;" ")-1))=
TRIM(LEFT(A291,SEARCH(" ",A291&amp;" ")-1))
))&gt;0,
IF(
COUNT(_xlfn._xlws.FILTER(Teeth!$D:$D,
TRIM(LEFT(Teeth!$A:$A,SEARCH(" ",Teeth!$A:$A&amp;" ")-1))=
TRIM(LEFT(A291,SEARCH(" ",A291&amp;" ")-1))
))=0,
1,
AVERAGE(_xlfn._xlws.FILTER(Teeth!$D:$D,
TRIM(LEFT(Teeth!$A:$A,SEARCH(" ",Teeth!$A:$A&amp;" ")-1))=
TRIM(LEFT(A291,SEARCH(" ",A291&amp;" ")-1))
))
),
1
)
)</f>
        <v>1</v>
      </c>
    </row>
    <row r="292" spans="1:2" x14ac:dyDescent="0.25">
      <c r="A292" s="2" t="str">
        <f>'[1]Base stats'!$B292</f>
        <v>Bos chamaeleon</v>
      </c>
      <c r="B292" s="20" cm="1">
        <f t="array" ref="B292">IF(
SUMPRODUCT(--(
TRIM(LEFT(Teeth!$A:$A,SEARCH("§",SUBSTITUTE(Teeth!$A:$A," ","§",2)&amp;"§")-1))=
TRIM(LEFT(A292,SEARCH("§",SUBSTITUTE(A292," ","§",2)&amp;"§")-1))
))&gt;0,
IF(
COUNT(_xlfn._xlws.FILTER(Teeth!$D:$D,
TRIM(LEFT(Teeth!$A:$A,SEARCH("§",SUBSTITUTE(Teeth!$A:$A," ","§",2)&amp;"§")-1))=
TRIM(LEFT(A292,SEARCH("§",SUBSTITUTE(A292," ","§",2)&amp;"§")-1))
))=0,
1,
MAX(_xlfn._xlws.FILTER(Teeth!$D:$D,
TRIM(LEFT(Teeth!$A:$A,SEARCH("§",SUBSTITUTE(Teeth!$A:$A," ","§",2)&amp;"§")-1))=
TRIM(LEFT(A292,SEARCH("§",SUBSTITUTE(A292," ","§",2)&amp;"§")-1))
))
),
IF(
SUMPRODUCT(--(
TRIM(LEFT(Teeth!$A:$A,SEARCH(" ",Teeth!$A:$A&amp;" ")-1))=
TRIM(LEFT(A292,SEARCH(" ",A292&amp;" ")-1))
))&gt;0,
IF(
COUNT(_xlfn._xlws.FILTER(Teeth!$D:$D,
TRIM(LEFT(Teeth!$A:$A,SEARCH(" ",Teeth!$A:$A&amp;" ")-1))=
TRIM(LEFT(A292,SEARCH(" ",A292&amp;" ")-1))
))=0,
1,
AVERAGE(_xlfn._xlws.FILTER(Teeth!$D:$D,
TRIM(LEFT(Teeth!$A:$A,SEARCH(" ",Teeth!$A:$A&amp;" ")-1))=
TRIM(LEFT(A292,SEARCH(" ",A292&amp;" ")-1))
))
),
1
)
)</f>
        <v>1</v>
      </c>
    </row>
    <row r="293" spans="1:2" x14ac:dyDescent="0.25">
      <c r="A293" s="2" t="str">
        <f>'[1]Base stats'!$B293</f>
        <v>Capra electronica</v>
      </c>
      <c r="B293" s="20" cm="1">
        <f t="array" ref="B293">IF(
SUMPRODUCT(--(
TRIM(LEFT(Teeth!$A:$A,SEARCH("§",SUBSTITUTE(Teeth!$A:$A," ","§",2)&amp;"§")-1))=
TRIM(LEFT(A293,SEARCH("§",SUBSTITUTE(A293," ","§",2)&amp;"§")-1))
))&gt;0,
IF(
COUNT(_xlfn._xlws.FILTER(Teeth!$D:$D,
TRIM(LEFT(Teeth!$A:$A,SEARCH("§",SUBSTITUTE(Teeth!$A:$A," ","§",2)&amp;"§")-1))=
TRIM(LEFT(A293,SEARCH("§",SUBSTITUTE(A293," ","§",2)&amp;"§")-1))
))=0,
1,
MAX(_xlfn._xlws.FILTER(Teeth!$D:$D,
TRIM(LEFT(Teeth!$A:$A,SEARCH("§",SUBSTITUTE(Teeth!$A:$A," ","§",2)&amp;"§")-1))=
TRIM(LEFT(A293,SEARCH("§",SUBSTITUTE(A293," ","§",2)&amp;"§")-1))
))
),
IF(
SUMPRODUCT(--(
TRIM(LEFT(Teeth!$A:$A,SEARCH(" ",Teeth!$A:$A&amp;" ")-1))=
TRIM(LEFT(A293,SEARCH(" ",A293&amp;" ")-1))
))&gt;0,
IF(
COUNT(_xlfn._xlws.FILTER(Teeth!$D:$D,
TRIM(LEFT(Teeth!$A:$A,SEARCH(" ",Teeth!$A:$A&amp;" ")-1))=
TRIM(LEFT(A293,SEARCH(" ",A293&amp;" ")-1))
))=0,
1,
AVERAGE(_xlfn._xlws.FILTER(Teeth!$D:$D,
TRIM(LEFT(Teeth!$A:$A,SEARCH(" ",Teeth!$A:$A&amp;" ")-1))=
TRIM(LEFT(A293,SEARCH(" ",A293&amp;" ")-1))
))
),
1
)
)</f>
        <v>1</v>
      </c>
    </row>
    <row r="294" spans="1:2" x14ac:dyDescent="0.25">
      <c r="A294" s="2" t="str">
        <f>'[1]Base stats'!$B294</f>
        <v>Caprabos aculeus</v>
      </c>
      <c r="B294" s="20" cm="1">
        <f t="array" ref="B294">IF(
SUMPRODUCT(--(
TRIM(LEFT(Teeth!$A:$A,SEARCH("§",SUBSTITUTE(Teeth!$A:$A," ","§",2)&amp;"§")-1))=
TRIM(LEFT(A294,SEARCH("§",SUBSTITUTE(A294," ","§",2)&amp;"§")-1))
))&gt;0,
IF(
COUNT(_xlfn._xlws.FILTER(Teeth!$D:$D,
TRIM(LEFT(Teeth!$A:$A,SEARCH("§",SUBSTITUTE(Teeth!$A:$A," ","§",2)&amp;"§")-1))=
TRIM(LEFT(A294,SEARCH("§",SUBSTITUTE(A294," ","§",2)&amp;"§")-1))
))=0,
1,
MAX(_xlfn._xlws.FILTER(Teeth!$D:$D,
TRIM(LEFT(Teeth!$A:$A,SEARCH("§",SUBSTITUTE(Teeth!$A:$A," ","§",2)&amp;"§")-1))=
TRIM(LEFT(A294,SEARCH("§",SUBSTITUTE(A294," ","§",2)&amp;"§")-1))
))
),
IF(
SUMPRODUCT(--(
TRIM(LEFT(Teeth!$A:$A,SEARCH(" ",Teeth!$A:$A&amp;" ")-1))=
TRIM(LEFT(A294,SEARCH(" ",A294&amp;" ")-1))
))&gt;0,
IF(
COUNT(_xlfn._xlws.FILTER(Teeth!$D:$D,
TRIM(LEFT(Teeth!$A:$A,SEARCH(" ",Teeth!$A:$A&amp;" ")-1))=
TRIM(LEFT(A294,SEARCH(" ",A294&amp;" ")-1))
))=0,
1,
AVERAGE(_xlfn._xlws.FILTER(Teeth!$D:$D,
TRIM(LEFT(Teeth!$A:$A,SEARCH(" ",Teeth!$A:$A&amp;" ")-1))=
TRIM(LEFT(A294,SEARCH(" ",A294&amp;" ")-1))
))
),
1
)
)</f>
        <v>1</v>
      </c>
    </row>
    <row r="295" spans="1:2" x14ac:dyDescent="0.25">
      <c r="A295" s="2" t="str">
        <f>'[1]Base stats'!$B295</f>
        <v>Ovis malignus</v>
      </c>
      <c r="B295" s="20" cm="1">
        <f t="array" ref="B295">IF(
SUMPRODUCT(--(
TRIM(LEFT(Teeth!$A:$A,SEARCH("§",SUBSTITUTE(Teeth!$A:$A," ","§",2)&amp;"§")-1))=
TRIM(LEFT(A295,SEARCH("§",SUBSTITUTE(A295," ","§",2)&amp;"§")-1))
))&gt;0,
IF(
COUNT(_xlfn._xlws.FILTER(Teeth!$D:$D,
TRIM(LEFT(Teeth!$A:$A,SEARCH("§",SUBSTITUTE(Teeth!$A:$A," ","§",2)&amp;"§")-1))=
TRIM(LEFT(A295,SEARCH("§",SUBSTITUTE(A295," ","§",2)&amp;"§")-1))
))=0,
1,
MAX(_xlfn._xlws.FILTER(Teeth!$D:$D,
TRIM(LEFT(Teeth!$A:$A,SEARCH("§",SUBSTITUTE(Teeth!$A:$A," ","§",2)&amp;"§")-1))=
TRIM(LEFT(A295,SEARCH("§",SUBSTITUTE(A295," ","§",2)&amp;"§")-1))
))
),
IF(
SUMPRODUCT(--(
TRIM(LEFT(Teeth!$A:$A,SEARCH(" ",Teeth!$A:$A&amp;" ")-1))=
TRIM(LEFT(A295,SEARCH(" ",A295&amp;" ")-1))
))&gt;0,
IF(
COUNT(_xlfn._xlws.FILTER(Teeth!$D:$D,
TRIM(LEFT(Teeth!$A:$A,SEARCH(" ",Teeth!$A:$A&amp;" ")-1))=
TRIM(LEFT(A295,SEARCH(" ",A295&amp;" ")-1))
))=0,
1,
AVERAGE(_xlfn._xlws.FILTER(Teeth!$D:$D,
TRIM(LEFT(Teeth!$A:$A,SEARCH(" ",Teeth!$A:$A&amp;" ")-1))=
TRIM(LEFT(A295,SEARCH(" ",A295&amp;" ")-1))
))
),
1
)
)</f>
        <v>1</v>
      </c>
    </row>
    <row r="296" spans="1:2" x14ac:dyDescent="0.25">
      <c r="A296" s="2" t="str">
        <f>'[1]Base stats'!$B296</f>
        <v>Ovis griseus</v>
      </c>
      <c r="B296" s="20" cm="1">
        <f t="array" ref="B296">IF(
SUMPRODUCT(--(
TRIM(LEFT(Teeth!$A:$A,SEARCH("§",SUBSTITUTE(Teeth!$A:$A," ","§",2)&amp;"§")-1))=
TRIM(LEFT(A296,SEARCH("§",SUBSTITUTE(A296," ","§",2)&amp;"§")-1))
))&gt;0,
IF(
COUNT(_xlfn._xlws.FILTER(Teeth!$D:$D,
TRIM(LEFT(Teeth!$A:$A,SEARCH("§",SUBSTITUTE(Teeth!$A:$A," ","§",2)&amp;"§")-1))=
TRIM(LEFT(A296,SEARCH("§",SUBSTITUTE(A296," ","§",2)&amp;"§")-1))
))=0,
1,
MAX(_xlfn._xlws.FILTER(Teeth!$D:$D,
TRIM(LEFT(Teeth!$A:$A,SEARCH("§",SUBSTITUTE(Teeth!$A:$A," ","§",2)&amp;"§")-1))=
TRIM(LEFT(A296,SEARCH("§",SUBSTITUTE(A296," ","§",2)&amp;"§")-1))
))
),
IF(
SUMPRODUCT(--(
TRIM(LEFT(Teeth!$A:$A,SEARCH(" ",Teeth!$A:$A&amp;" ")-1))=
TRIM(LEFT(A296,SEARCH(" ",A296&amp;" ")-1))
))&gt;0,
IF(
COUNT(_xlfn._xlws.FILTER(Teeth!$D:$D,
TRIM(LEFT(Teeth!$A:$A,SEARCH(" ",Teeth!$A:$A&amp;" ")-1))=
TRIM(LEFT(A296,SEARCH(" ",A296&amp;" ")-1))
))=0,
1,
AVERAGE(_xlfn._xlws.FILTER(Teeth!$D:$D,
TRIM(LEFT(Teeth!$A:$A,SEARCH(" ",Teeth!$A:$A&amp;" ")-1))=
TRIM(LEFT(A296,SEARCH(" ",A296&amp;" ")-1))
))
),
1
)
)</f>
        <v>1</v>
      </c>
    </row>
    <row r="297" spans="1:2" x14ac:dyDescent="0.25">
      <c r="A297" s="2" t="str">
        <f>'[1]Base stats'!$B297</f>
        <v>Antilope giganteus</v>
      </c>
      <c r="B297" s="20" cm="1">
        <f t="array" ref="B297">IF(
SUMPRODUCT(--(
TRIM(LEFT(Teeth!$A:$A,SEARCH("§",SUBSTITUTE(Teeth!$A:$A," ","§",2)&amp;"§")-1))=
TRIM(LEFT(A297,SEARCH("§",SUBSTITUTE(A297," ","§",2)&amp;"§")-1))
))&gt;0,
IF(
COUNT(_xlfn._xlws.FILTER(Teeth!$D:$D,
TRIM(LEFT(Teeth!$A:$A,SEARCH("§",SUBSTITUTE(Teeth!$A:$A," ","§",2)&amp;"§")-1))=
TRIM(LEFT(A297,SEARCH("§",SUBSTITUTE(A297," ","§",2)&amp;"§")-1))
))=0,
1,
MAX(_xlfn._xlws.FILTER(Teeth!$D:$D,
TRIM(LEFT(Teeth!$A:$A,SEARCH("§",SUBSTITUTE(Teeth!$A:$A," ","§",2)&amp;"§")-1))=
TRIM(LEFT(A297,SEARCH("§",SUBSTITUTE(A297," ","§",2)&amp;"§")-1))
))
),
IF(
SUMPRODUCT(--(
TRIM(LEFT(Teeth!$A:$A,SEARCH(" ",Teeth!$A:$A&amp;" ")-1))=
TRIM(LEFT(A297,SEARCH(" ",A297&amp;" ")-1))
))&gt;0,
IF(
COUNT(_xlfn._xlws.FILTER(Teeth!$D:$D,
TRIM(LEFT(Teeth!$A:$A,SEARCH(" ",Teeth!$A:$A&amp;" ")-1))=
TRIM(LEFT(A297,SEARCH(" ",A297&amp;" ")-1))
))=0,
1,
AVERAGE(_xlfn._xlws.FILTER(Teeth!$D:$D,
TRIM(LEFT(Teeth!$A:$A,SEARCH(" ",Teeth!$A:$A&amp;" ")-1))=
TRIM(LEFT(A297,SEARCH(" ",A297&amp;" ")-1))
))
),
1
)
)</f>
        <v>1</v>
      </c>
    </row>
    <row r="298" spans="1:2" x14ac:dyDescent="0.25">
      <c r="A298" s="2" t="str">
        <f>'[1]Base stats'!$B298</f>
        <v>Mus fissilis</v>
      </c>
      <c r="B298" s="20" cm="1">
        <f t="array" ref="B298">IF(
SUMPRODUCT(--(
TRIM(LEFT(Teeth!$A:$A,SEARCH("§",SUBSTITUTE(Teeth!$A:$A," ","§",2)&amp;"§")-1))=
TRIM(LEFT(A298,SEARCH("§",SUBSTITUTE(A298," ","§",2)&amp;"§")-1))
))&gt;0,
IF(
COUNT(_xlfn._xlws.FILTER(Teeth!$D:$D,
TRIM(LEFT(Teeth!$A:$A,SEARCH("§",SUBSTITUTE(Teeth!$A:$A," ","§",2)&amp;"§")-1))=
TRIM(LEFT(A298,SEARCH("§",SUBSTITUTE(A298," ","§",2)&amp;"§")-1))
))=0,
1,
MAX(_xlfn._xlws.FILTER(Teeth!$D:$D,
TRIM(LEFT(Teeth!$A:$A,SEARCH("§",SUBSTITUTE(Teeth!$A:$A," ","§",2)&amp;"§")-1))=
TRIM(LEFT(A298,SEARCH("§",SUBSTITUTE(A298," ","§",2)&amp;"§")-1))
))
),
IF(
SUMPRODUCT(--(
TRIM(LEFT(Teeth!$A:$A,SEARCH(" ",Teeth!$A:$A&amp;" ")-1))=
TRIM(LEFT(A298,SEARCH(" ",A298&amp;" ")-1))
))&gt;0,
IF(
COUNT(_xlfn._xlws.FILTER(Teeth!$D:$D,
TRIM(LEFT(Teeth!$A:$A,SEARCH(" ",Teeth!$A:$A&amp;" ")-1))=
TRIM(LEFT(A298,SEARCH(" ",A298&amp;" ")-1))
))=0,
1,
AVERAGE(_xlfn._xlws.FILTER(Teeth!$D:$D,
TRIM(LEFT(Teeth!$A:$A,SEARCH(" ",Teeth!$A:$A&amp;" ")-1))=
TRIM(LEFT(A298,SEARCH(" ",A298&amp;" ")-1))
))
),
1
)
)</f>
        <v>1</v>
      </c>
    </row>
    <row r="299" spans="1:2" x14ac:dyDescent="0.25">
      <c r="A299" s="2" t="str">
        <f>'[1]Base stats'!$B299</f>
        <v>Mus fissilis (second form)</v>
      </c>
      <c r="B299" s="20" cm="1">
        <f t="array" ref="B299">IF(
SUMPRODUCT(--(
TRIM(LEFT(Teeth!$A:$A,SEARCH("§",SUBSTITUTE(Teeth!$A:$A," ","§",2)&amp;"§")-1))=
TRIM(LEFT(A299,SEARCH("§",SUBSTITUTE(A299," ","§",2)&amp;"§")-1))
))&gt;0,
IF(
COUNT(_xlfn._xlws.FILTER(Teeth!$D:$D,
TRIM(LEFT(Teeth!$A:$A,SEARCH("§",SUBSTITUTE(Teeth!$A:$A," ","§",2)&amp;"§")-1))=
TRIM(LEFT(A299,SEARCH("§",SUBSTITUTE(A299," ","§",2)&amp;"§")-1))
))=0,
1,
MAX(_xlfn._xlws.FILTER(Teeth!$D:$D,
TRIM(LEFT(Teeth!$A:$A,SEARCH("§",SUBSTITUTE(Teeth!$A:$A," ","§",2)&amp;"§")-1))=
TRIM(LEFT(A299,SEARCH("§",SUBSTITUTE(A299," ","§",2)&amp;"§")-1))
))
),
IF(
SUMPRODUCT(--(
TRIM(LEFT(Teeth!$A:$A,SEARCH(" ",Teeth!$A:$A&amp;" ")-1))=
TRIM(LEFT(A299,SEARCH(" ",A299&amp;" ")-1))
))&gt;0,
IF(
COUNT(_xlfn._xlws.FILTER(Teeth!$D:$D,
TRIM(LEFT(Teeth!$A:$A,SEARCH(" ",Teeth!$A:$A&amp;" ")-1))=
TRIM(LEFT(A299,SEARCH(" ",A299&amp;" ")-1))
))=0,
1,
AVERAGE(_xlfn._xlws.FILTER(Teeth!$D:$D,
TRIM(LEFT(Teeth!$A:$A,SEARCH(" ",Teeth!$A:$A&amp;" ")-1))=
TRIM(LEFT(A299,SEARCH(" ",A299&amp;" ")-1))
))
),
1
)
)</f>
        <v>1</v>
      </c>
    </row>
    <row r="300" spans="1:2" x14ac:dyDescent="0.25">
      <c r="A300" s="2" t="str">
        <f>'[1]Base stats'!$B300</f>
        <v>Mus fissilis (third form)</v>
      </c>
      <c r="B300" s="20" cm="1">
        <f t="array" ref="B300">IF(
SUMPRODUCT(--(
TRIM(LEFT(Teeth!$A:$A,SEARCH("§",SUBSTITUTE(Teeth!$A:$A," ","§",2)&amp;"§")-1))=
TRIM(LEFT(A300,SEARCH("§",SUBSTITUTE(A300," ","§",2)&amp;"§")-1))
))&gt;0,
IF(
COUNT(_xlfn._xlws.FILTER(Teeth!$D:$D,
TRIM(LEFT(Teeth!$A:$A,SEARCH("§",SUBSTITUTE(Teeth!$A:$A," ","§",2)&amp;"§")-1))=
TRIM(LEFT(A300,SEARCH("§",SUBSTITUTE(A300," ","§",2)&amp;"§")-1))
))=0,
1,
MAX(_xlfn._xlws.FILTER(Teeth!$D:$D,
TRIM(LEFT(Teeth!$A:$A,SEARCH("§",SUBSTITUTE(Teeth!$A:$A," ","§",2)&amp;"§")-1))=
TRIM(LEFT(A300,SEARCH("§",SUBSTITUTE(A300," ","§",2)&amp;"§")-1))
))
),
IF(
SUMPRODUCT(--(
TRIM(LEFT(Teeth!$A:$A,SEARCH(" ",Teeth!$A:$A&amp;" ")-1))=
TRIM(LEFT(A300,SEARCH(" ",A300&amp;" ")-1))
))&gt;0,
IF(
COUNT(_xlfn._xlws.FILTER(Teeth!$D:$D,
TRIM(LEFT(Teeth!$A:$A,SEARCH(" ",Teeth!$A:$A&amp;" ")-1))=
TRIM(LEFT(A300,SEARCH(" ",A300&amp;" ")-1))
))=0,
1,
AVERAGE(_xlfn._xlws.FILTER(Teeth!$D:$D,
TRIM(LEFT(Teeth!$A:$A,SEARCH(" ",Teeth!$A:$A&amp;" ")-1))=
TRIM(LEFT(A300,SEARCH(" ",A300&amp;" ")-1))
))
),
1
)
)</f>
        <v>1</v>
      </c>
    </row>
    <row r="301" spans="1:2" x14ac:dyDescent="0.25">
      <c r="A301" s="2" t="str">
        <f>'[1]Base stats'!$B301</f>
        <v>Canis terrestris</v>
      </c>
      <c r="B301" s="20" cm="1">
        <f t="array" ref="B301">IF(
SUMPRODUCT(--(
TRIM(LEFT(Teeth!$A:$A,SEARCH("§",SUBSTITUTE(Teeth!$A:$A," ","§",2)&amp;"§")-1))=
TRIM(LEFT(A301,SEARCH("§",SUBSTITUTE(A301," ","§",2)&amp;"§")-1))
))&gt;0,
IF(
COUNT(_xlfn._xlws.FILTER(Teeth!$D:$D,
TRIM(LEFT(Teeth!$A:$A,SEARCH("§",SUBSTITUTE(Teeth!$A:$A," ","§",2)&amp;"§")-1))=
TRIM(LEFT(A301,SEARCH("§",SUBSTITUTE(A301," ","§",2)&amp;"§")-1))
))=0,
1,
MAX(_xlfn._xlws.FILTER(Teeth!$D:$D,
TRIM(LEFT(Teeth!$A:$A,SEARCH("§",SUBSTITUTE(Teeth!$A:$A," ","§",2)&amp;"§")-1))=
TRIM(LEFT(A301,SEARCH("§",SUBSTITUTE(A301," ","§",2)&amp;"§")-1))
))
),
IF(
SUMPRODUCT(--(
TRIM(LEFT(Teeth!$A:$A,SEARCH(" ",Teeth!$A:$A&amp;" ")-1))=
TRIM(LEFT(A301,SEARCH(" ",A301&amp;" ")-1))
))&gt;0,
IF(
COUNT(_xlfn._xlws.FILTER(Teeth!$D:$D,
TRIM(LEFT(Teeth!$A:$A,SEARCH(" ",Teeth!$A:$A&amp;" ")-1))=
TRIM(LEFT(A301,SEARCH(" ",A301&amp;" ")-1))
))=0,
1,
AVERAGE(_xlfn._xlws.FILTER(Teeth!$D:$D,
TRIM(LEFT(Teeth!$A:$A,SEARCH(" ",Teeth!$A:$A&amp;" ")-1))=
TRIM(LEFT(A301,SEARCH(" ",A301&amp;" ")-1))
))
),
1
)
)</f>
        <v>1.038364019968949</v>
      </c>
    </row>
    <row r="302" spans="1:2" x14ac:dyDescent="0.25">
      <c r="A302" s="2" t="str">
        <f>'[1]Base stats'!$B302</f>
        <v>Draco putrefactus</v>
      </c>
      <c r="B302" s="20" cm="1">
        <f t="array" ref="B302">IF(
SUMPRODUCT(--(
TRIM(LEFT(Teeth!$A:$A,SEARCH("§",SUBSTITUTE(Teeth!$A:$A," ","§",2)&amp;"§")-1))=
TRIM(LEFT(A302,SEARCH("§",SUBSTITUTE(A302," ","§",2)&amp;"§")-1))
))&gt;0,
IF(
COUNT(_xlfn._xlws.FILTER(Teeth!$D:$D,
TRIM(LEFT(Teeth!$A:$A,SEARCH("§",SUBSTITUTE(Teeth!$A:$A," ","§",2)&amp;"§")-1))=
TRIM(LEFT(A302,SEARCH("§",SUBSTITUTE(A302," ","§",2)&amp;"§")-1))
))=0,
1,
MAX(_xlfn._xlws.FILTER(Teeth!$D:$D,
TRIM(LEFT(Teeth!$A:$A,SEARCH("§",SUBSTITUTE(Teeth!$A:$A," ","§",2)&amp;"§")-1))=
TRIM(LEFT(A302,SEARCH("§",SUBSTITUTE(A302," ","§",2)&amp;"§")-1))
))
),
IF(
SUMPRODUCT(--(
TRIM(LEFT(Teeth!$A:$A,SEARCH(" ",Teeth!$A:$A&amp;" ")-1))=
TRIM(LEFT(A302,SEARCH(" ",A302&amp;" ")-1))
))&gt;0,
IF(
COUNT(_xlfn._xlws.FILTER(Teeth!$D:$D,
TRIM(LEFT(Teeth!$A:$A,SEARCH(" ",Teeth!$A:$A&amp;" ")-1))=
TRIM(LEFT(A302,SEARCH(" ",A302&amp;" ")-1))
))=0,
1,
AVERAGE(_xlfn._xlws.FILTER(Teeth!$D:$D,
TRIM(LEFT(Teeth!$A:$A,SEARCH(" ",Teeth!$A:$A&amp;" ")-1))=
TRIM(LEFT(A302,SEARCH(" ",A302&amp;" ")-1))
))
),
1
)
)</f>
        <v>1</v>
      </c>
    </row>
    <row r="303" spans="1:2" x14ac:dyDescent="0.25">
      <c r="A303" s="2" t="str">
        <f>'[1]Base stats'!$B303</f>
        <v>Carcharofelis arenae</v>
      </c>
      <c r="B303" s="20" cm="1">
        <f t="array" ref="B303">IF(
SUMPRODUCT(--(
TRIM(LEFT(Teeth!$A:$A,SEARCH("§",SUBSTITUTE(Teeth!$A:$A," ","§",2)&amp;"§")-1))=
TRIM(LEFT(A303,SEARCH("§",SUBSTITUTE(A303," ","§",2)&amp;"§")-1))
))&gt;0,
IF(
COUNT(_xlfn._xlws.FILTER(Teeth!$D:$D,
TRIM(LEFT(Teeth!$A:$A,SEARCH("§",SUBSTITUTE(Teeth!$A:$A," ","§",2)&amp;"§")-1))=
TRIM(LEFT(A303,SEARCH("§",SUBSTITUTE(A303," ","§",2)&amp;"§")-1))
))=0,
1,
MAX(_xlfn._xlws.FILTER(Teeth!$D:$D,
TRIM(LEFT(Teeth!$A:$A,SEARCH("§",SUBSTITUTE(Teeth!$A:$A," ","§",2)&amp;"§")-1))=
TRIM(LEFT(A303,SEARCH("§",SUBSTITUTE(A303," ","§",2)&amp;"§")-1))
))
),
IF(
SUMPRODUCT(--(
TRIM(LEFT(Teeth!$A:$A,SEARCH(" ",Teeth!$A:$A&amp;" ")-1))=
TRIM(LEFT(A303,SEARCH(" ",A303&amp;" ")-1))
))&gt;0,
IF(
COUNT(_xlfn._xlws.FILTER(Teeth!$D:$D,
TRIM(LEFT(Teeth!$A:$A,SEARCH(" ",Teeth!$A:$A&amp;" ")-1))=
TRIM(LEFT(A303,SEARCH(" ",A303&amp;" ")-1))
))=0,
1,
AVERAGE(_xlfn._xlws.FILTER(Teeth!$D:$D,
TRIM(LEFT(Teeth!$A:$A,SEARCH(" ",Teeth!$A:$A&amp;" ")-1))=
TRIM(LEFT(A303,SEARCH(" ",A303&amp;" ")-1))
))
),
1
)
)</f>
        <v>1</v>
      </c>
    </row>
    <row r="304" spans="1:2" x14ac:dyDescent="0.25">
      <c r="A304" s="2" t="str">
        <f>'[1]Base stats'!$B304</f>
        <v>Salvator electronis</v>
      </c>
      <c r="B304" s="20" cm="1">
        <f t="array" ref="B304">IF(
SUMPRODUCT(--(
TRIM(LEFT(Teeth!$A:$A,SEARCH("§",SUBSTITUTE(Teeth!$A:$A," ","§",2)&amp;"§")-1))=
TRIM(LEFT(A304,SEARCH("§",SUBSTITUTE(A304," ","§",2)&amp;"§")-1))
))&gt;0,
IF(
COUNT(_xlfn._xlws.FILTER(Teeth!$D:$D,
TRIM(LEFT(Teeth!$A:$A,SEARCH("§",SUBSTITUTE(Teeth!$A:$A," ","§",2)&amp;"§")-1))=
TRIM(LEFT(A304,SEARCH("§",SUBSTITUTE(A304," ","§",2)&amp;"§")-1))
))=0,
1,
MAX(_xlfn._xlws.FILTER(Teeth!$D:$D,
TRIM(LEFT(Teeth!$A:$A,SEARCH("§",SUBSTITUTE(Teeth!$A:$A," ","§",2)&amp;"§")-1))=
TRIM(LEFT(A304,SEARCH("§",SUBSTITUTE(A304," ","§",2)&amp;"§")-1))
))
),
IF(
SUMPRODUCT(--(
TRIM(LEFT(Teeth!$A:$A,SEARCH(" ",Teeth!$A:$A&amp;" ")-1))=
TRIM(LEFT(A304,SEARCH(" ",A304&amp;" ")-1))
))&gt;0,
IF(
COUNT(_xlfn._xlws.FILTER(Teeth!$D:$D,
TRIM(LEFT(Teeth!$A:$A,SEARCH(" ",Teeth!$A:$A&amp;" ")-1))=
TRIM(LEFT(A304,SEARCH(" ",A304&amp;" ")-1))
))=0,
1,
AVERAGE(_xlfn._xlws.FILTER(Teeth!$D:$D,
TRIM(LEFT(Teeth!$A:$A,SEARCH(" ",Teeth!$A:$A&amp;" ")-1))=
TRIM(LEFT(A304,SEARCH(" ",A304&amp;" ")-1))
))
),
1
)
)</f>
        <v>1</v>
      </c>
    </row>
    <row r="305" spans="1:2" x14ac:dyDescent="0.25">
      <c r="A305" s="2" t="str">
        <f>'[1]Base stats'!$B305</f>
        <v>Anolis audiens</v>
      </c>
      <c r="B305" s="20" cm="1">
        <f t="array" ref="B305">IF(
SUMPRODUCT(--(
TRIM(LEFT(Teeth!$A:$A,SEARCH("§",SUBSTITUTE(Teeth!$A:$A," ","§",2)&amp;"§")-1))=
TRIM(LEFT(A305,SEARCH("§",SUBSTITUTE(A305," ","§",2)&amp;"§")-1))
))&gt;0,
IF(
COUNT(_xlfn._xlws.FILTER(Teeth!$D:$D,
TRIM(LEFT(Teeth!$A:$A,SEARCH("§",SUBSTITUTE(Teeth!$A:$A," ","§",2)&amp;"§")-1))=
TRIM(LEFT(A305,SEARCH("§",SUBSTITUTE(A305," ","§",2)&amp;"§")-1))
))=0,
1,
MAX(_xlfn._xlws.FILTER(Teeth!$D:$D,
TRIM(LEFT(Teeth!$A:$A,SEARCH("§",SUBSTITUTE(Teeth!$A:$A," ","§",2)&amp;"§")-1))=
TRIM(LEFT(A305,SEARCH("§",SUBSTITUTE(A305," ","§",2)&amp;"§")-1))
))
),
IF(
SUMPRODUCT(--(
TRIM(LEFT(Teeth!$A:$A,SEARCH(" ",Teeth!$A:$A&amp;" ")-1))=
TRIM(LEFT(A305,SEARCH(" ",A305&amp;" ")-1))
))&gt;0,
IF(
COUNT(_xlfn._xlws.FILTER(Teeth!$D:$D,
TRIM(LEFT(Teeth!$A:$A,SEARCH(" ",Teeth!$A:$A&amp;" ")-1))=
TRIM(LEFT(A305,SEARCH(" ",A305&amp;" ")-1))
))=0,
1,
AVERAGE(_xlfn._xlws.FILTER(Teeth!$D:$D,
TRIM(LEFT(Teeth!$A:$A,SEARCH(" ",Teeth!$A:$A&amp;" ")-1))=
TRIM(LEFT(A305,SEARCH(" ",A305&amp;" ")-1))
))
),
1
)
)</f>
        <v>1</v>
      </c>
    </row>
    <row r="306" spans="1:2" x14ac:dyDescent="0.25">
      <c r="A306" s="2" t="str">
        <f>'[1]Base stats'!$B306</f>
        <v>Varanus squamosus</v>
      </c>
      <c r="B306" s="20" cm="1">
        <f t="array" ref="B306">IF(
SUMPRODUCT(--(
TRIM(LEFT(Teeth!$A:$A,SEARCH("§",SUBSTITUTE(Teeth!$A:$A," ","§",2)&amp;"§")-1))=
TRIM(LEFT(A306,SEARCH("§",SUBSTITUTE(A306," ","§",2)&amp;"§")-1))
))&gt;0,
IF(
COUNT(_xlfn._xlws.FILTER(Teeth!$D:$D,
TRIM(LEFT(Teeth!$A:$A,SEARCH("§",SUBSTITUTE(Teeth!$A:$A," ","§",2)&amp;"§")-1))=
TRIM(LEFT(A306,SEARCH("§",SUBSTITUTE(A306," ","§",2)&amp;"§")-1))
))=0,
1,
MAX(_xlfn._xlws.FILTER(Teeth!$D:$D,
TRIM(LEFT(Teeth!$A:$A,SEARCH("§",SUBSTITUTE(Teeth!$A:$A," ","§",2)&amp;"§")-1))=
TRIM(LEFT(A306,SEARCH("§",SUBSTITUTE(A306," ","§",2)&amp;"§")-1))
))
),
IF(
SUMPRODUCT(--(
TRIM(LEFT(Teeth!$A:$A,SEARCH(" ",Teeth!$A:$A&amp;" ")-1))=
TRIM(LEFT(A306,SEARCH(" ",A306&amp;" ")-1))
))&gt;0,
IF(
COUNT(_xlfn._xlws.FILTER(Teeth!$D:$D,
TRIM(LEFT(Teeth!$A:$A,SEARCH(" ",Teeth!$A:$A&amp;" ")-1))=
TRIM(LEFT(A306,SEARCH(" ",A306&amp;" ")-1))
))=0,
1,
AVERAGE(_xlfn._xlws.FILTER(Teeth!$D:$D,
TRIM(LEFT(Teeth!$A:$A,SEARCH(" ",Teeth!$A:$A&amp;" ")-1))=
TRIM(LEFT(A306,SEARCH(" ",A306&amp;" ")-1))
))
),
1
)
)</f>
        <v>1</v>
      </c>
    </row>
    <row r="307" spans="1:2" x14ac:dyDescent="0.25">
      <c r="A307" s="2" t="str">
        <f>'[1]Base stats'!$B307</f>
        <v>Gnathus ferox</v>
      </c>
      <c r="B307" s="20" cm="1">
        <f t="array" ref="B307">IF(
SUMPRODUCT(--(
TRIM(LEFT(Teeth!$A:$A,SEARCH("§",SUBSTITUTE(Teeth!$A:$A," ","§",2)&amp;"§")-1))=
TRIM(LEFT(A307,SEARCH("§",SUBSTITUTE(A307," ","§",2)&amp;"§")-1))
))&gt;0,
IF(
COUNT(_xlfn._xlws.FILTER(Teeth!$D:$D,
TRIM(LEFT(Teeth!$A:$A,SEARCH("§",SUBSTITUTE(Teeth!$A:$A," ","§",2)&amp;"§")-1))=
TRIM(LEFT(A307,SEARCH("§",SUBSTITUTE(A307," ","§",2)&amp;"§")-1))
))=0,
1,
MAX(_xlfn._xlws.FILTER(Teeth!$D:$D,
TRIM(LEFT(Teeth!$A:$A,SEARCH("§",SUBSTITUTE(Teeth!$A:$A," ","§",2)&amp;"§")-1))=
TRIM(LEFT(A307,SEARCH("§",SUBSTITUTE(A307," ","§",2)&amp;"§")-1))
))
),
IF(
SUMPRODUCT(--(
TRIM(LEFT(Teeth!$A:$A,SEARCH(" ",Teeth!$A:$A&amp;" ")-1))=
TRIM(LEFT(A307,SEARCH(" ",A307&amp;" ")-1))
))&gt;0,
IF(
COUNT(_xlfn._xlws.FILTER(Teeth!$D:$D,
TRIM(LEFT(Teeth!$A:$A,SEARCH(" ",Teeth!$A:$A&amp;" ")-1))=
TRIM(LEFT(A307,SEARCH(" ",A307&amp;" ")-1))
))=0,
1,
AVERAGE(_xlfn._xlws.FILTER(Teeth!$D:$D,
TRIM(LEFT(Teeth!$A:$A,SEARCH(" ",Teeth!$A:$A&amp;" ")-1))=
TRIM(LEFT(A307,SEARCH(" ",A307&amp;" ")-1))
))
),
1
)
)</f>
        <v>1</v>
      </c>
    </row>
    <row r="308" spans="1:2" x14ac:dyDescent="0.25">
      <c r="A308" s="2" t="str">
        <f>'[1]Base stats'!$B308</f>
        <v>Behemoth giganteus</v>
      </c>
      <c r="B308" s="20" cm="1">
        <f t="array" ref="B308">IF(
SUMPRODUCT(--(
TRIM(LEFT(Teeth!$A:$A,SEARCH("§",SUBSTITUTE(Teeth!$A:$A," ","§",2)&amp;"§")-1))=
TRIM(LEFT(A308,SEARCH("§",SUBSTITUTE(A308," ","§",2)&amp;"§")-1))
))&gt;0,
IF(
COUNT(_xlfn._xlws.FILTER(Teeth!$D:$D,
TRIM(LEFT(Teeth!$A:$A,SEARCH("§",SUBSTITUTE(Teeth!$A:$A," ","§",2)&amp;"§")-1))=
TRIM(LEFT(A308,SEARCH("§",SUBSTITUTE(A308," ","§",2)&amp;"§")-1))
))=0,
1,
MAX(_xlfn._xlws.FILTER(Teeth!$D:$D,
TRIM(LEFT(Teeth!$A:$A,SEARCH("§",SUBSTITUTE(Teeth!$A:$A," ","§",2)&amp;"§")-1))=
TRIM(LEFT(A308,SEARCH("§",SUBSTITUTE(A308," ","§",2)&amp;"§")-1))
))
),
IF(
SUMPRODUCT(--(
TRIM(LEFT(Teeth!$A:$A,SEARCH(" ",Teeth!$A:$A&amp;" ")-1))=
TRIM(LEFT(A308,SEARCH(" ",A308&amp;" ")-1))
))&gt;0,
IF(
COUNT(_xlfn._xlws.FILTER(Teeth!$D:$D,
TRIM(LEFT(Teeth!$A:$A,SEARCH(" ",Teeth!$A:$A&amp;" ")-1))=
TRIM(LEFT(A308,SEARCH(" ",A308&amp;" ")-1))
))=0,
1,
AVERAGE(_xlfn._xlws.FILTER(Teeth!$D:$D,
TRIM(LEFT(Teeth!$A:$A,SEARCH(" ",Teeth!$A:$A&amp;" ")-1))=
TRIM(LEFT(A308,SEARCH(" ",A308&amp;" ")-1))
))
),
1
)
)</f>
        <v>1</v>
      </c>
    </row>
    <row r="309" spans="1:2" x14ac:dyDescent="0.25">
      <c r="A309" s="2" t="str">
        <f>'[1]Base stats'!$B309</f>
        <v>Colossus herbosus</v>
      </c>
      <c r="B309" s="20" cm="1">
        <f t="array" ref="B309">IF(
SUMPRODUCT(--(
TRIM(LEFT(Teeth!$A:$A,SEARCH("§",SUBSTITUTE(Teeth!$A:$A," ","§",2)&amp;"§")-1))=
TRIM(LEFT(A309,SEARCH("§",SUBSTITUTE(A309," ","§",2)&amp;"§")-1))
))&gt;0,
IF(
COUNT(_xlfn._xlws.FILTER(Teeth!$D:$D,
TRIM(LEFT(Teeth!$A:$A,SEARCH("§",SUBSTITUTE(Teeth!$A:$A," ","§",2)&amp;"§")-1))=
TRIM(LEFT(A309,SEARCH("§",SUBSTITUTE(A309," ","§",2)&amp;"§")-1))
))=0,
1,
MAX(_xlfn._xlws.FILTER(Teeth!$D:$D,
TRIM(LEFT(Teeth!$A:$A,SEARCH("§",SUBSTITUTE(Teeth!$A:$A," ","§",2)&amp;"§")-1))=
TRIM(LEFT(A309,SEARCH("§",SUBSTITUTE(A309," ","§",2)&amp;"§")-1))
))
),
IF(
SUMPRODUCT(--(
TRIM(LEFT(Teeth!$A:$A,SEARCH(" ",Teeth!$A:$A&amp;" ")-1))=
TRIM(LEFT(A309,SEARCH(" ",A309&amp;" ")-1))
))&gt;0,
IF(
COUNT(_xlfn._xlws.FILTER(Teeth!$D:$D,
TRIM(LEFT(Teeth!$A:$A,SEARCH(" ",Teeth!$A:$A&amp;" ")-1))=
TRIM(LEFT(A309,SEARCH(" ",A309&amp;" ")-1))
))=0,
1,
AVERAGE(_xlfn._xlws.FILTER(Teeth!$D:$D,
TRIM(LEFT(Teeth!$A:$A,SEARCH(" ",Teeth!$A:$A&amp;" ")-1))=
TRIM(LEFT(A309,SEARCH(" ",A309&amp;" ")-1))
))
),
1
)
)</f>
        <v>1</v>
      </c>
    </row>
    <row r="310" spans="1:2" x14ac:dyDescent="0.25">
      <c r="A310" s="2" t="str">
        <f>'[1]Base stats'!$B310</f>
        <v>Colossus mycoides</v>
      </c>
      <c r="B310" s="20" cm="1">
        <f t="array" ref="B310">IF(
SUMPRODUCT(--(
TRIM(LEFT(Teeth!$A:$A,SEARCH("§",SUBSTITUTE(Teeth!$A:$A," ","§",2)&amp;"§")-1))=
TRIM(LEFT(A310,SEARCH("§",SUBSTITUTE(A310," ","§",2)&amp;"§")-1))
))&gt;0,
IF(
COUNT(_xlfn._xlws.FILTER(Teeth!$D:$D,
TRIM(LEFT(Teeth!$A:$A,SEARCH("§",SUBSTITUTE(Teeth!$A:$A," ","§",2)&amp;"§")-1))=
TRIM(LEFT(A310,SEARCH("§",SUBSTITUTE(A310," ","§",2)&amp;"§")-1))
))=0,
1,
MAX(_xlfn._xlws.FILTER(Teeth!$D:$D,
TRIM(LEFT(Teeth!$A:$A,SEARCH("§",SUBSTITUTE(Teeth!$A:$A," ","§",2)&amp;"§")-1))=
TRIM(LEFT(A310,SEARCH("§",SUBSTITUTE(A310," ","§",2)&amp;"§")-1))
))
),
IF(
SUMPRODUCT(--(
TRIM(LEFT(Teeth!$A:$A,SEARCH(" ",Teeth!$A:$A&amp;" ")-1))=
TRIM(LEFT(A310,SEARCH(" ",A310&amp;" ")-1))
))&gt;0,
IF(
COUNT(_xlfn._xlws.FILTER(Teeth!$D:$D,
TRIM(LEFT(Teeth!$A:$A,SEARCH(" ",Teeth!$A:$A&amp;" ")-1))=
TRIM(LEFT(A310,SEARCH(" ",A310&amp;" ")-1))
))=0,
1,
AVERAGE(_xlfn._xlws.FILTER(Teeth!$D:$D,
TRIM(LEFT(Teeth!$A:$A,SEARCH(" ",Teeth!$A:$A&amp;" ")-1))=
TRIM(LEFT(A310,SEARCH(" ",A310&amp;" ")-1))
))
),
1
)
)</f>
        <v>1</v>
      </c>
    </row>
    <row r="311" spans="1:2" x14ac:dyDescent="0.25">
      <c r="A311" s="2" t="str">
        <f>'[1]Base stats'!$B311</f>
        <v>Colossus animae</v>
      </c>
      <c r="B311" s="20" cm="1">
        <f t="array" ref="B311">IF(
SUMPRODUCT(--(
TRIM(LEFT(Teeth!$A:$A,SEARCH("§",SUBSTITUTE(Teeth!$A:$A," ","§",2)&amp;"§")-1))=
TRIM(LEFT(A311,SEARCH("§",SUBSTITUTE(A311," ","§",2)&amp;"§")-1))
))&gt;0,
IF(
COUNT(_xlfn._xlws.FILTER(Teeth!$D:$D,
TRIM(LEFT(Teeth!$A:$A,SEARCH("§",SUBSTITUTE(Teeth!$A:$A," ","§",2)&amp;"§")-1))=
TRIM(LEFT(A311,SEARCH("§",SUBSTITUTE(A311," ","§",2)&amp;"§")-1))
))=0,
1,
MAX(_xlfn._xlws.FILTER(Teeth!$D:$D,
TRIM(LEFT(Teeth!$A:$A,SEARCH("§",SUBSTITUTE(Teeth!$A:$A," ","§",2)&amp;"§")-1))=
TRIM(LEFT(A311,SEARCH("§",SUBSTITUTE(A311," ","§",2)&amp;"§")-1))
))
),
IF(
SUMPRODUCT(--(
TRIM(LEFT(Teeth!$A:$A,SEARCH(" ",Teeth!$A:$A&amp;" ")-1))=
TRIM(LEFT(A311,SEARCH(" ",A311&amp;" ")-1))
))&gt;0,
IF(
COUNT(_xlfn._xlws.FILTER(Teeth!$D:$D,
TRIM(LEFT(Teeth!$A:$A,SEARCH(" ",Teeth!$A:$A&amp;" ")-1))=
TRIM(LEFT(A311,SEARCH(" ",A311&amp;" ")-1))
))=0,
1,
AVERAGE(_xlfn._xlws.FILTER(Teeth!$D:$D,
TRIM(LEFT(Teeth!$A:$A,SEARCH(" ",Teeth!$A:$A&amp;" ")-1))=
TRIM(LEFT(A311,SEARCH(" ",A311&amp;" ")-1))
))
),
1
)
)</f>
        <v>1</v>
      </c>
    </row>
    <row r="312" spans="1:2" x14ac:dyDescent="0.25">
      <c r="A312" s="2" t="str">
        <f>'[1]Base stats'!$B312</f>
        <v>Murka sapiens</v>
      </c>
      <c r="B312" s="20" cm="1">
        <f t="array" ref="B312">IF(
SUMPRODUCT(--(
TRIM(LEFT(Teeth!$A:$A,SEARCH("§",SUBSTITUTE(Teeth!$A:$A," ","§",2)&amp;"§")-1))=
TRIM(LEFT(A312,SEARCH("§",SUBSTITUTE(A312," ","§",2)&amp;"§")-1))
))&gt;0,
IF(
COUNT(_xlfn._xlws.FILTER(Teeth!$D:$D,
TRIM(LEFT(Teeth!$A:$A,SEARCH("§",SUBSTITUTE(Teeth!$A:$A," ","§",2)&amp;"§")-1))=
TRIM(LEFT(A312,SEARCH("§",SUBSTITUTE(A312," ","§",2)&amp;"§")-1))
))=0,
1,
MAX(_xlfn._xlws.FILTER(Teeth!$D:$D,
TRIM(LEFT(Teeth!$A:$A,SEARCH("§",SUBSTITUTE(Teeth!$A:$A," ","§",2)&amp;"§")-1))=
TRIM(LEFT(A312,SEARCH("§",SUBSTITUTE(A312," ","§",2)&amp;"§")-1))
))
),
IF(
SUMPRODUCT(--(
TRIM(LEFT(Teeth!$A:$A,SEARCH(" ",Teeth!$A:$A&amp;" ")-1))=
TRIM(LEFT(A312,SEARCH(" ",A312&amp;" ")-1))
))&gt;0,
IF(
COUNT(_xlfn._xlws.FILTER(Teeth!$D:$D,
TRIM(LEFT(Teeth!$A:$A,SEARCH(" ",Teeth!$A:$A&amp;" ")-1))=
TRIM(LEFT(A312,SEARCH(" ",A312&amp;" ")-1))
))=0,
1,
AVERAGE(_xlfn._xlws.FILTER(Teeth!$D:$D,
TRIM(LEFT(Teeth!$A:$A,SEARCH(" ",Teeth!$A:$A&amp;" ")-1))=
TRIM(LEFT(A312,SEARCH(" ",A312&amp;" ")-1))
))
),
1
)
)</f>
        <v>1</v>
      </c>
    </row>
    <row r="313" spans="1:2" x14ac:dyDescent="0.25">
      <c r="A313" s="2" t="str">
        <f>'[1]Base stats'!$B313</f>
        <v>Vandalis tenebrosus</v>
      </c>
      <c r="B313" s="20" cm="1">
        <f t="array" ref="B313">IF(
SUMPRODUCT(--(
TRIM(LEFT(Teeth!$A:$A,SEARCH("§",SUBSTITUTE(Teeth!$A:$A," ","§",2)&amp;"§")-1))=
TRIM(LEFT(A313,SEARCH("§",SUBSTITUTE(A313," ","§",2)&amp;"§")-1))
))&gt;0,
IF(
COUNT(_xlfn._xlws.FILTER(Teeth!$D:$D,
TRIM(LEFT(Teeth!$A:$A,SEARCH("§",SUBSTITUTE(Teeth!$A:$A," ","§",2)&amp;"§")-1))=
TRIM(LEFT(A313,SEARCH("§",SUBSTITUTE(A313," ","§",2)&amp;"§")-1))
))=0,
1,
MAX(_xlfn._xlws.FILTER(Teeth!$D:$D,
TRIM(LEFT(Teeth!$A:$A,SEARCH("§",SUBSTITUTE(Teeth!$A:$A," ","§",2)&amp;"§")-1))=
TRIM(LEFT(A313,SEARCH("§",SUBSTITUTE(A313," ","§",2)&amp;"§")-1))
))
),
IF(
SUMPRODUCT(--(
TRIM(LEFT(Teeth!$A:$A,SEARCH(" ",Teeth!$A:$A&amp;" ")-1))=
TRIM(LEFT(A313,SEARCH(" ",A313&amp;" ")-1))
))&gt;0,
IF(
COUNT(_xlfn._xlws.FILTER(Teeth!$D:$D,
TRIM(LEFT(Teeth!$A:$A,SEARCH(" ",Teeth!$A:$A&amp;" ")-1))=
TRIM(LEFT(A313,SEARCH(" ",A313&amp;" ")-1))
))=0,
1,
AVERAGE(_xlfn._xlws.FILTER(Teeth!$D:$D,
TRIM(LEFT(Teeth!$A:$A,SEARCH(" ",Teeth!$A:$A&amp;" ")-1))=
TRIM(LEFT(A313,SEARCH(" ",A313&amp;" ")-1))
))
),
1
)
)</f>
        <v>1</v>
      </c>
    </row>
    <row r="314" spans="1:2" x14ac:dyDescent="0.25">
      <c r="A314" s="2" t="str">
        <f>'[1]Base stats'!$B314</f>
        <v>Crepiscuequs nocturnalis</v>
      </c>
      <c r="B314" s="20" cm="1">
        <f t="array" ref="B314">IF(
SUMPRODUCT(--(
TRIM(LEFT(Teeth!$A:$A,SEARCH("§",SUBSTITUTE(Teeth!$A:$A," ","§",2)&amp;"§")-1))=
TRIM(LEFT(A314,SEARCH("§",SUBSTITUTE(A314," ","§",2)&amp;"§")-1))
))&gt;0,
IF(
COUNT(_xlfn._xlws.FILTER(Teeth!$D:$D,
TRIM(LEFT(Teeth!$A:$A,SEARCH("§",SUBSTITUTE(Teeth!$A:$A," ","§",2)&amp;"§")-1))=
TRIM(LEFT(A314,SEARCH("§",SUBSTITUTE(A314," ","§",2)&amp;"§")-1))
))=0,
1,
MAX(_xlfn._xlws.FILTER(Teeth!$D:$D,
TRIM(LEFT(Teeth!$A:$A,SEARCH("§",SUBSTITUTE(Teeth!$A:$A," ","§",2)&amp;"§")-1))=
TRIM(LEFT(A314,SEARCH("§",SUBSTITUTE(A314," ","§",2)&amp;"§")-1))
))
),
IF(
SUMPRODUCT(--(
TRIM(LEFT(Teeth!$A:$A,SEARCH(" ",Teeth!$A:$A&amp;" ")-1))=
TRIM(LEFT(A314,SEARCH(" ",A314&amp;" ")-1))
))&gt;0,
IF(
COUNT(_xlfn._xlws.FILTER(Teeth!$D:$D,
TRIM(LEFT(Teeth!$A:$A,SEARCH(" ",Teeth!$A:$A&amp;" ")-1))=
TRIM(LEFT(A314,SEARCH(" ",A314&amp;" ")-1))
))=0,
1,
AVERAGE(_xlfn._xlws.FILTER(Teeth!$D:$D,
TRIM(LEFT(Teeth!$A:$A,SEARCH(" ",Teeth!$A:$A&amp;" ")-1))=
TRIM(LEFT(A314,SEARCH(" ",A314&amp;" ")-1))
))
),
1
)
)</f>
        <v>1</v>
      </c>
    </row>
    <row r="315" spans="1:2" x14ac:dyDescent="0.25">
      <c r="A315" s="2" t="str">
        <f>'[1]Base stats'!$B315</f>
        <v>Crepiscuovis nocturnus</v>
      </c>
      <c r="B315" s="20" cm="1">
        <f t="array" ref="B315">IF(
SUMPRODUCT(--(
TRIM(LEFT(Teeth!$A:$A,SEARCH("§",SUBSTITUTE(Teeth!$A:$A," ","§",2)&amp;"§")-1))=
TRIM(LEFT(A315,SEARCH("§",SUBSTITUTE(A315," ","§",2)&amp;"§")-1))
))&gt;0,
IF(
COUNT(_xlfn._xlws.FILTER(Teeth!$D:$D,
TRIM(LEFT(Teeth!$A:$A,SEARCH("§",SUBSTITUTE(Teeth!$A:$A," ","§",2)&amp;"§")-1))=
TRIM(LEFT(A315,SEARCH("§",SUBSTITUTE(A315," ","§",2)&amp;"§")-1))
))=0,
1,
MAX(_xlfn._xlws.FILTER(Teeth!$D:$D,
TRIM(LEFT(Teeth!$A:$A,SEARCH("§",SUBSTITUTE(Teeth!$A:$A," ","§",2)&amp;"§")-1))=
TRIM(LEFT(A315,SEARCH("§",SUBSTITUTE(A315," ","§",2)&amp;"§")-1))
))
),
IF(
SUMPRODUCT(--(
TRIM(LEFT(Teeth!$A:$A,SEARCH(" ",Teeth!$A:$A&amp;" ")-1))=
TRIM(LEFT(A315,SEARCH(" ",A315&amp;" ")-1))
))&gt;0,
IF(
COUNT(_xlfn._xlws.FILTER(Teeth!$D:$D,
TRIM(LEFT(Teeth!$A:$A,SEARCH(" ",Teeth!$A:$A&amp;" ")-1))=
TRIM(LEFT(A315,SEARCH(" ",A315&amp;" ")-1))
))=0,
1,
AVERAGE(_xlfn._xlws.FILTER(Teeth!$D:$D,
TRIM(LEFT(Teeth!$A:$A,SEARCH(" ",Teeth!$A:$A&amp;" ")-1))=
TRIM(LEFT(A315,SEARCH(" ",A315&amp;" ")-1))
))
),
1
)
)</f>
        <v>1</v>
      </c>
    </row>
    <row r="316" spans="1:2" x14ac:dyDescent="0.25">
      <c r="A316" s="2" t="str">
        <f>'[1]Base stats'!$B316</f>
        <v>Rattus nocturnus</v>
      </c>
      <c r="B316" s="20" cm="1">
        <f t="array" ref="B316">IF(
SUMPRODUCT(--(
TRIM(LEFT(Teeth!$A:$A,SEARCH("§",SUBSTITUTE(Teeth!$A:$A," ","§",2)&amp;"§")-1))=
TRIM(LEFT(A316,SEARCH("§",SUBSTITUTE(A316," ","§",2)&amp;"§")-1))
))&gt;0,
IF(
COUNT(_xlfn._xlws.FILTER(Teeth!$D:$D,
TRIM(LEFT(Teeth!$A:$A,SEARCH("§",SUBSTITUTE(Teeth!$A:$A," ","§",2)&amp;"§")-1))=
TRIM(LEFT(A316,SEARCH("§",SUBSTITUTE(A316," ","§",2)&amp;"§")-1))
))=0,
1,
MAX(_xlfn._xlws.FILTER(Teeth!$D:$D,
TRIM(LEFT(Teeth!$A:$A,SEARCH("§",SUBSTITUTE(Teeth!$A:$A," ","§",2)&amp;"§")-1))=
TRIM(LEFT(A316,SEARCH("§",SUBSTITUTE(A316," ","§",2)&amp;"§")-1))
))
),
IF(
SUMPRODUCT(--(
TRIM(LEFT(Teeth!$A:$A,SEARCH(" ",Teeth!$A:$A&amp;" ")-1))=
TRIM(LEFT(A316,SEARCH(" ",A316&amp;" ")-1))
))&gt;0,
IF(
COUNT(_xlfn._xlws.FILTER(Teeth!$D:$D,
TRIM(LEFT(Teeth!$A:$A,SEARCH(" ",Teeth!$A:$A&amp;" ")-1))=
TRIM(LEFT(A316,SEARCH(" ",A316&amp;" ")-1))
))=0,
1,
AVERAGE(_xlfn._xlws.FILTER(Teeth!$D:$D,
TRIM(LEFT(Teeth!$A:$A,SEARCH(" ",Teeth!$A:$A&amp;" ")-1))=
TRIM(LEFT(A316,SEARCH(" ",A316&amp;" ")-1))
))
),
1
)
)</f>
        <v>1</v>
      </c>
    </row>
    <row r="317" spans="1:2" x14ac:dyDescent="0.25">
      <c r="A317" s="2" t="str">
        <f>'[1]Base stats'!$B317</f>
        <v>Crepiscuovis umbrosus</v>
      </c>
      <c r="B317" s="20" cm="1">
        <f t="array" ref="B317">IF(
SUMPRODUCT(--(
TRIM(LEFT(Teeth!$A:$A,SEARCH("§",SUBSTITUTE(Teeth!$A:$A," ","§",2)&amp;"§")-1))=
TRIM(LEFT(A317,SEARCH("§",SUBSTITUTE(A317," ","§",2)&amp;"§")-1))
))&gt;0,
IF(
COUNT(_xlfn._xlws.FILTER(Teeth!$D:$D,
TRIM(LEFT(Teeth!$A:$A,SEARCH("§",SUBSTITUTE(Teeth!$A:$A," ","§",2)&amp;"§")-1))=
TRIM(LEFT(A317,SEARCH("§",SUBSTITUTE(A317," ","§",2)&amp;"§")-1))
))=0,
1,
MAX(_xlfn._xlws.FILTER(Teeth!$D:$D,
TRIM(LEFT(Teeth!$A:$A,SEARCH("§",SUBSTITUTE(Teeth!$A:$A," ","§",2)&amp;"§")-1))=
TRIM(LEFT(A317,SEARCH("§",SUBSTITUTE(A317," ","§",2)&amp;"§")-1))
))
),
IF(
SUMPRODUCT(--(
TRIM(LEFT(Teeth!$A:$A,SEARCH(" ",Teeth!$A:$A&amp;" ")-1))=
TRIM(LEFT(A317,SEARCH(" ",A317&amp;" ")-1))
))&gt;0,
IF(
COUNT(_xlfn._xlws.FILTER(Teeth!$D:$D,
TRIM(LEFT(Teeth!$A:$A,SEARCH(" ",Teeth!$A:$A&amp;" ")-1))=
TRIM(LEFT(A317,SEARCH(" ",A317&amp;" ")-1))
))=0,
1,
AVERAGE(_xlfn._xlws.FILTER(Teeth!$D:$D,
TRIM(LEFT(Teeth!$A:$A,SEARCH(" ",Teeth!$A:$A&amp;" ")-1))=
TRIM(LEFT(A317,SEARCH(" ",A317&amp;" ")-1))
))
),
1
)
)</f>
        <v>1</v>
      </c>
    </row>
    <row r="318" spans="1:2" x14ac:dyDescent="0.25">
      <c r="A318" s="2" t="str">
        <f>'[1]Base stats'!$B318</f>
        <v>Crepiscubos tonitrus</v>
      </c>
      <c r="B318" s="20" cm="1">
        <f t="array" ref="B318">IF(
SUMPRODUCT(--(
TRIM(LEFT(Teeth!$A:$A,SEARCH("§",SUBSTITUTE(Teeth!$A:$A," ","§",2)&amp;"§")-1))=
TRIM(LEFT(A318,SEARCH("§",SUBSTITUTE(A318," ","§",2)&amp;"§")-1))
))&gt;0,
IF(
COUNT(_xlfn._xlws.FILTER(Teeth!$D:$D,
TRIM(LEFT(Teeth!$A:$A,SEARCH("§",SUBSTITUTE(Teeth!$A:$A," ","§",2)&amp;"§")-1))=
TRIM(LEFT(A318,SEARCH("§",SUBSTITUTE(A318," ","§",2)&amp;"§")-1))
))=0,
1,
MAX(_xlfn._xlws.FILTER(Teeth!$D:$D,
TRIM(LEFT(Teeth!$A:$A,SEARCH("§",SUBSTITUTE(Teeth!$A:$A," ","§",2)&amp;"§")-1))=
TRIM(LEFT(A318,SEARCH("§",SUBSTITUTE(A318," ","§",2)&amp;"§")-1))
))
),
IF(
SUMPRODUCT(--(
TRIM(LEFT(Teeth!$A:$A,SEARCH(" ",Teeth!$A:$A&amp;" ")-1))=
TRIM(LEFT(A318,SEARCH(" ",A318&amp;" ")-1))
))&gt;0,
IF(
COUNT(_xlfn._xlws.FILTER(Teeth!$D:$D,
TRIM(LEFT(Teeth!$A:$A,SEARCH(" ",Teeth!$A:$A&amp;" ")-1))=
TRIM(LEFT(A318,SEARCH(" ",A318&amp;" ")-1))
))=0,
1,
AVERAGE(_xlfn._xlws.FILTER(Teeth!$D:$D,
TRIM(LEFT(Teeth!$A:$A,SEARCH(" ",Teeth!$A:$A&amp;" ")-1))=
TRIM(LEFT(A318,SEARCH(" ",A318&amp;" ")-1))
))
),
1
)
)</f>
        <v>1</v>
      </c>
    </row>
    <row r="319" spans="1:2" x14ac:dyDescent="0.25">
      <c r="A319" s="2" t="str">
        <f>'[1]Base stats'!$B319</f>
        <v>Crepisculanius crepusculum</v>
      </c>
      <c r="B319" s="20" cm="1">
        <f t="array" ref="B319">IF(
SUMPRODUCT(--(
TRIM(LEFT(Teeth!$A:$A,SEARCH("§",SUBSTITUTE(Teeth!$A:$A," ","§",2)&amp;"§")-1))=
TRIM(LEFT(A319,SEARCH("§",SUBSTITUTE(A319," ","§",2)&amp;"§")-1))
))&gt;0,
IF(
COUNT(_xlfn._xlws.FILTER(Teeth!$D:$D,
TRIM(LEFT(Teeth!$A:$A,SEARCH("§",SUBSTITUTE(Teeth!$A:$A," ","§",2)&amp;"§")-1))=
TRIM(LEFT(A319,SEARCH("§",SUBSTITUTE(A319," ","§",2)&amp;"§")-1))
))=0,
1,
MAX(_xlfn._xlws.FILTER(Teeth!$D:$D,
TRIM(LEFT(Teeth!$A:$A,SEARCH("§",SUBSTITUTE(Teeth!$A:$A," ","§",2)&amp;"§")-1))=
TRIM(LEFT(A319,SEARCH("§",SUBSTITUTE(A319," ","§",2)&amp;"§")-1))
))
),
IF(
SUMPRODUCT(--(
TRIM(LEFT(Teeth!$A:$A,SEARCH(" ",Teeth!$A:$A&amp;" ")-1))=
TRIM(LEFT(A319,SEARCH(" ",A319&amp;" ")-1))
))&gt;0,
IF(
COUNT(_xlfn._xlws.FILTER(Teeth!$D:$D,
TRIM(LEFT(Teeth!$A:$A,SEARCH(" ",Teeth!$A:$A&amp;" ")-1))=
TRIM(LEFT(A319,SEARCH(" ",A319&amp;" ")-1))
))=0,
1,
AVERAGE(_xlfn._xlws.FILTER(Teeth!$D:$D,
TRIM(LEFT(Teeth!$A:$A,SEARCH(" ",Teeth!$A:$A&amp;" ")-1))=
TRIM(LEFT(A319,SEARCH(" ",A319&amp;" ")-1))
))
),
1
)
)</f>
        <v>1</v>
      </c>
    </row>
    <row r="320" spans="1:2" x14ac:dyDescent="0.25">
      <c r="A320" s="2" t="str">
        <f>'[1]Base stats'!$B320</f>
        <v>Noctiluca ferox</v>
      </c>
      <c r="B320" s="20" cm="1">
        <f t="array" ref="B320">IF(
SUMPRODUCT(--(
TRIM(LEFT(Teeth!$A:$A,SEARCH("§",SUBSTITUTE(Teeth!$A:$A," ","§",2)&amp;"§")-1))=
TRIM(LEFT(A320,SEARCH("§",SUBSTITUTE(A320," ","§",2)&amp;"§")-1))
))&gt;0,
IF(
COUNT(_xlfn._xlws.FILTER(Teeth!$D:$D,
TRIM(LEFT(Teeth!$A:$A,SEARCH("§",SUBSTITUTE(Teeth!$A:$A," ","§",2)&amp;"§")-1))=
TRIM(LEFT(A320,SEARCH("§",SUBSTITUTE(A320," ","§",2)&amp;"§")-1))
))=0,
1,
MAX(_xlfn._xlws.FILTER(Teeth!$D:$D,
TRIM(LEFT(Teeth!$A:$A,SEARCH("§",SUBSTITUTE(Teeth!$A:$A," ","§",2)&amp;"§")-1))=
TRIM(LEFT(A320,SEARCH("§",SUBSTITUTE(A320," ","§",2)&amp;"§")-1))
))
),
IF(
SUMPRODUCT(--(
TRIM(LEFT(Teeth!$A:$A,SEARCH(" ",Teeth!$A:$A&amp;" ")-1))=
TRIM(LEFT(A320,SEARCH(" ",A320&amp;" ")-1))
))&gt;0,
IF(
COUNT(_xlfn._xlws.FILTER(Teeth!$D:$D,
TRIM(LEFT(Teeth!$A:$A,SEARCH(" ",Teeth!$A:$A&amp;" ")-1))=
TRIM(LEFT(A320,SEARCH(" ",A320&amp;" ")-1))
))=0,
1,
AVERAGE(_xlfn._xlws.FILTER(Teeth!$D:$D,
TRIM(LEFT(Teeth!$A:$A,SEARCH(" ",Teeth!$A:$A&amp;" ")-1))=
TRIM(LEFT(A320,SEARCH(" ",A320&amp;" ")-1))
))
),
1
)
)</f>
        <v>1</v>
      </c>
    </row>
    <row r="321" spans="1:2" x14ac:dyDescent="0.25">
      <c r="A321" s="2" t="str">
        <f>'[1]Base stats'!$B321</f>
        <v>Noctiluca oculatus</v>
      </c>
      <c r="B321" s="20" cm="1">
        <f t="array" ref="B321">IF(
SUMPRODUCT(--(
TRIM(LEFT(Teeth!$A:$A,SEARCH("§",SUBSTITUTE(Teeth!$A:$A," ","§",2)&amp;"§")-1))=
TRIM(LEFT(A321,SEARCH("§",SUBSTITUTE(A321," ","§",2)&amp;"§")-1))
))&gt;0,
IF(
COUNT(_xlfn._xlws.FILTER(Teeth!$D:$D,
TRIM(LEFT(Teeth!$A:$A,SEARCH("§",SUBSTITUTE(Teeth!$A:$A," ","§",2)&amp;"§")-1))=
TRIM(LEFT(A321,SEARCH("§",SUBSTITUTE(A321," ","§",2)&amp;"§")-1))
))=0,
1,
MAX(_xlfn._xlws.FILTER(Teeth!$D:$D,
TRIM(LEFT(Teeth!$A:$A,SEARCH("§",SUBSTITUTE(Teeth!$A:$A," ","§",2)&amp;"§")-1))=
TRIM(LEFT(A321,SEARCH("§",SUBSTITUTE(A321," ","§",2)&amp;"§")-1))
))
),
IF(
SUMPRODUCT(--(
TRIM(LEFT(Teeth!$A:$A,SEARCH(" ",Teeth!$A:$A&amp;" ")-1))=
TRIM(LEFT(A321,SEARCH(" ",A321&amp;" ")-1))
))&gt;0,
IF(
COUNT(_xlfn._xlws.FILTER(Teeth!$D:$D,
TRIM(LEFT(Teeth!$A:$A,SEARCH(" ",Teeth!$A:$A&amp;" ")-1))=
TRIM(LEFT(A321,SEARCH(" ",A321&amp;" ")-1))
))=0,
1,
AVERAGE(_xlfn._xlws.FILTER(Teeth!$D:$D,
TRIM(LEFT(Teeth!$A:$A,SEARCH(" ",Teeth!$A:$A&amp;" ")-1))=
TRIM(LEFT(A321,SEARCH(" ",A321&amp;" ")-1))
))
),
1
)
)</f>
        <v>1</v>
      </c>
    </row>
    <row r="322" spans="1:2" x14ac:dyDescent="0.25">
      <c r="A322" s="2" t="str">
        <f>'[1]Base stats'!$B322</f>
        <v>Avis prata</v>
      </c>
      <c r="B322" s="20" cm="1">
        <f t="array" ref="B322">IF(
SUMPRODUCT(--(
TRIM(LEFT(Teeth!$A:$A,SEARCH("§",SUBSTITUTE(Teeth!$A:$A," ","§",2)&amp;"§")-1))=
TRIM(LEFT(A322,SEARCH("§",SUBSTITUTE(A322," ","§",2)&amp;"§")-1))
))&gt;0,
IF(
COUNT(_xlfn._xlws.FILTER(Teeth!$D:$D,
TRIM(LEFT(Teeth!$A:$A,SEARCH("§",SUBSTITUTE(Teeth!$A:$A," ","§",2)&amp;"§")-1))=
TRIM(LEFT(A322,SEARCH("§",SUBSTITUTE(A322," ","§",2)&amp;"§")-1))
))=0,
1,
MAX(_xlfn._xlws.FILTER(Teeth!$D:$D,
TRIM(LEFT(Teeth!$A:$A,SEARCH("§",SUBSTITUTE(Teeth!$A:$A," ","§",2)&amp;"§")-1))=
TRIM(LEFT(A322,SEARCH("§",SUBSTITUTE(A322," ","§",2)&amp;"§")-1))
))
),
IF(
SUMPRODUCT(--(
TRIM(LEFT(Teeth!$A:$A,SEARCH(" ",Teeth!$A:$A&amp;" ")-1))=
TRIM(LEFT(A322,SEARCH(" ",A322&amp;" ")-1))
))&gt;0,
IF(
COUNT(_xlfn._xlws.FILTER(Teeth!$D:$D,
TRIM(LEFT(Teeth!$A:$A,SEARCH(" ",Teeth!$A:$A&amp;" ")-1))=
TRIM(LEFT(A322,SEARCH(" ",A322&amp;" ")-1))
))=0,
1,
AVERAGE(_xlfn._xlws.FILTER(Teeth!$D:$D,
TRIM(LEFT(Teeth!$A:$A,SEARCH(" ",Teeth!$A:$A&amp;" ")-1))=
TRIM(LEFT(A322,SEARCH(" ",A322&amp;" ")-1))
))
),
1
)
)</f>
        <v>1</v>
      </c>
    </row>
    <row r="323" spans="1:2" x14ac:dyDescent="0.25">
      <c r="A323" s="2" t="str">
        <f>'[1]Base stats'!$B323</f>
        <v>Avis nocturnus</v>
      </c>
      <c r="B323" s="20" cm="1">
        <f t="array" ref="B323">IF(
SUMPRODUCT(--(
TRIM(LEFT(Teeth!$A:$A,SEARCH("§",SUBSTITUTE(Teeth!$A:$A," ","§",2)&amp;"§")-1))=
TRIM(LEFT(A323,SEARCH("§",SUBSTITUTE(A323," ","§",2)&amp;"§")-1))
))&gt;0,
IF(
COUNT(_xlfn._xlws.FILTER(Teeth!$D:$D,
TRIM(LEFT(Teeth!$A:$A,SEARCH("§",SUBSTITUTE(Teeth!$A:$A," ","§",2)&amp;"§")-1))=
TRIM(LEFT(A323,SEARCH("§",SUBSTITUTE(A323," ","§",2)&amp;"§")-1))
))=0,
1,
MAX(_xlfn._xlws.FILTER(Teeth!$D:$D,
TRIM(LEFT(Teeth!$A:$A,SEARCH("§",SUBSTITUTE(Teeth!$A:$A," ","§",2)&amp;"§")-1))=
TRIM(LEFT(A323,SEARCH("§",SUBSTITUTE(A323," ","§",2)&amp;"§")-1))
))
),
IF(
SUMPRODUCT(--(
TRIM(LEFT(Teeth!$A:$A,SEARCH(" ",Teeth!$A:$A&amp;" ")-1))=
TRIM(LEFT(A323,SEARCH(" ",A323&amp;" ")-1))
))&gt;0,
IF(
COUNT(_xlfn._xlws.FILTER(Teeth!$D:$D,
TRIM(LEFT(Teeth!$A:$A,SEARCH(" ",Teeth!$A:$A&amp;" ")-1))=
TRIM(LEFT(A323,SEARCH(" ",A323&amp;" ")-1))
))=0,
1,
AVERAGE(_xlfn._xlws.FILTER(Teeth!$D:$D,
TRIM(LEFT(Teeth!$A:$A,SEARCH(" ",Teeth!$A:$A&amp;" ")-1))=
TRIM(LEFT(A323,SEARCH(" ",A323&amp;" ")-1))
))
),
1
)
)</f>
        <v>1</v>
      </c>
    </row>
    <row r="324" spans="1:2" x14ac:dyDescent="0.25">
      <c r="A324" s="2" t="str">
        <f>'[1]Base stats'!$B324</f>
        <v>Avis regalis</v>
      </c>
      <c r="B324" s="20" cm="1">
        <f t="array" ref="B324">IF(
SUMPRODUCT(--(
TRIM(LEFT(Teeth!$A:$A,SEARCH("§",SUBSTITUTE(Teeth!$A:$A," ","§",2)&amp;"§")-1))=
TRIM(LEFT(A324,SEARCH("§",SUBSTITUTE(A324," ","§",2)&amp;"§")-1))
))&gt;0,
IF(
COUNT(_xlfn._xlws.FILTER(Teeth!$D:$D,
TRIM(LEFT(Teeth!$A:$A,SEARCH("§",SUBSTITUTE(Teeth!$A:$A," ","§",2)&amp;"§")-1))=
TRIM(LEFT(A324,SEARCH("§",SUBSTITUTE(A324," ","§",2)&amp;"§")-1))
))=0,
1,
MAX(_xlfn._xlws.FILTER(Teeth!$D:$D,
TRIM(LEFT(Teeth!$A:$A,SEARCH("§",SUBSTITUTE(Teeth!$A:$A," ","§",2)&amp;"§")-1))=
TRIM(LEFT(A324,SEARCH("§",SUBSTITUTE(A324," ","§",2)&amp;"§")-1))
))
),
IF(
SUMPRODUCT(--(
TRIM(LEFT(Teeth!$A:$A,SEARCH(" ",Teeth!$A:$A&amp;" ")-1))=
TRIM(LEFT(A324,SEARCH(" ",A324&amp;" ")-1))
))&gt;0,
IF(
COUNT(_xlfn._xlws.FILTER(Teeth!$D:$D,
TRIM(LEFT(Teeth!$A:$A,SEARCH(" ",Teeth!$A:$A&amp;" ")-1))=
TRIM(LEFT(A324,SEARCH(" ",A324&amp;" ")-1))
))=0,
1,
AVERAGE(_xlfn._xlws.FILTER(Teeth!$D:$D,
TRIM(LEFT(Teeth!$A:$A,SEARCH(" ",Teeth!$A:$A&amp;" ")-1))=
TRIM(LEFT(A324,SEARCH(" ",A324&amp;" ")-1))
))
),
1
)
)</f>
        <v>1</v>
      </c>
    </row>
    <row r="325" spans="1:2" x14ac:dyDescent="0.25">
      <c r="A325" s="2" t="str">
        <f>'[1]Base stats'!$B325</f>
        <v>Avis glacialis</v>
      </c>
      <c r="B325" s="20" cm="1">
        <f t="array" ref="B325">IF(
SUMPRODUCT(--(
TRIM(LEFT(Teeth!$A:$A,SEARCH("§",SUBSTITUTE(Teeth!$A:$A," ","§",2)&amp;"§")-1))=
TRIM(LEFT(A325,SEARCH("§",SUBSTITUTE(A325," ","§",2)&amp;"§")-1))
))&gt;0,
IF(
COUNT(_xlfn._xlws.FILTER(Teeth!$D:$D,
TRIM(LEFT(Teeth!$A:$A,SEARCH("§",SUBSTITUTE(Teeth!$A:$A," ","§",2)&amp;"§")-1))=
TRIM(LEFT(A325,SEARCH("§",SUBSTITUTE(A325," ","§",2)&amp;"§")-1))
))=0,
1,
MAX(_xlfn._xlws.FILTER(Teeth!$D:$D,
TRIM(LEFT(Teeth!$A:$A,SEARCH("§",SUBSTITUTE(Teeth!$A:$A," ","§",2)&amp;"§")-1))=
TRIM(LEFT(A325,SEARCH("§",SUBSTITUTE(A325," ","§",2)&amp;"§")-1))
))
),
IF(
SUMPRODUCT(--(
TRIM(LEFT(Teeth!$A:$A,SEARCH(" ",Teeth!$A:$A&amp;" ")-1))=
TRIM(LEFT(A325,SEARCH(" ",A325&amp;" ")-1))
))&gt;0,
IF(
COUNT(_xlfn._xlws.FILTER(Teeth!$D:$D,
TRIM(LEFT(Teeth!$A:$A,SEARCH(" ",Teeth!$A:$A&amp;" ")-1))=
TRIM(LEFT(A325,SEARCH(" ",A325&amp;" ")-1))
))=0,
1,
AVERAGE(_xlfn._xlws.FILTER(Teeth!$D:$D,
TRIM(LEFT(Teeth!$A:$A,SEARCH(" ",Teeth!$A:$A&amp;" ")-1))=
TRIM(LEFT(A325,SEARCH(" ",A325&amp;" ")-1))
))
),
1
)
)</f>
        <v>1</v>
      </c>
    </row>
    <row r="326" spans="1:2" x14ac:dyDescent="0.25">
      <c r="A326" s="2" t="str">
        <f>'[1]Base stats'!$B326</f>
        <v>Avis desertum</v>
      </c>
      <c r="B326" s="20" cm="1">
        <f t="array" ref="B326">IF(
SUMPRODUCT(--(
TRIM(LEFT(Teeth!$A:$A,SEARCH("§",SUBSTITUTE(Teeth!$A:$A," ","§",2)&amp;"§")-1))=
TRIM(LEFT(A326,SEARCH("§",SUBSTITUTE(A326," ","§",2)&amp;"§")-1))
))&gt;0,
IF(
COUNT(_xlfn._xlws.FILTER(Teeth!$D:$D,
TRIM(LEFT(Teeth!$A:$A,SEARCH("§",SUBSTITUTE(Teeth!$A:$A," ","§",2)&amp;"§")-1))=
TRIM(LEFT(A326,SEARCH("§",SUBSTITUTE(A326," ","§",2)&amp;"§")-1))
))=0,
1,
MAX(_xlfn._xlws.FILTER(Teeth!$D:$D,
TRIM(LEFT(Teeth!$A:$A,SEARCH("§",SUBSTITUTE(Teeth!$A:$A," ","§",2)&amp;"§")-1))=
TRIM(LEFT(A326,SEARCH("§",SUBSTITUTE(A326," ","§",2)&amp;"§")-1))
))
),
IF(
SUMPRODUCT(--(
TRIM(LEFT(Teeth!$A:$A,SEARCH(" ",Teeth!$A:$A&amp;" ")-1))=
TRIM(LEFT(A326,SEARCH(" ",A326&amp;" ")-1))
))&gt;0,
IF(
COUNT(_xlfn._xlws.FILTER(Teeth!$D:$D,
TRIM(LEFT(Teeth!$A:$A,SEARCH(" ",Teeth!$A:$A&amp;" ")-1))=
TRIM(LEFT(A326,SEARCH(" ",A326&amp;" ")-1))
))=0,
1,
AVERAGE(_xlfn._xlws.FILTER(Teeth!$D:$D,
TRIM(LEFT(Teeth!$A:$A,SEARCH(" ",Teeth!$A:$A&amp;" ")-1))=
TRIM(LEFT(A326,SEARCH(" ",A326&amp;" ")-1))
))
),
1
)
)</f>
        <v>1</v>
      </c>
    </row>
    <row r="327" spans="1:2" x14ac:dyDescent="0.25">
      <c r="A327" s="2" t="str">
        <f>'[1]Base stats'!$B327</f>
        <v>Silkie coronatus</v>
      </c>
      <c r="B327" s="20" cm="1">
        <f t="array" ref="B327">IF(
SUMPRODUCT(--(
TRIM(LEFT(Teeth!$A:$A,SEARCH("§",SUBSTITUTE(Teeth!$A:$A," ","§",2)&amp;"§")-1))=
TRIM(LEFT(A327,SEARCH("§",SUBSTITUTE(A327," ","§",2)&amp;"§")-1))
))&gt;0,
IF(
COUNT(_xlfn._xlws.FILTER(Teeth!$D:$D,
TRIM(LEFT(Teeth!$A:$A,SEARCH("§",SUBSTITUTE(Teeth!$A:$A," ","§",2)&amp;"§")-1))=
TRIM(LEFT(A327,SEARCH("§",SUBSTITUTE(A327," ","§",2)&amp;"§")-1))
))=0,
1,
MAX(_xlfn._xlws.FILTER(Teeth!$D:$D,
TRIM(LEFT(Teeth!$A:$A,SEARCH("§",SUBSTITUTE(Teeth!$A:$A," ","§",2)&amp;"§")-1))=
TRIM(LEFT(A327,SEARCH("§",SUBSTITUTE(A327," ","§",2)&amp;"§")-1))
))
),
IF(
SUMPRODUCT(--(
TRIM(LEFT(Teeth!$A:$A,SEARCH(" ",Teeth!$A:$A&amp;" ")-1))=
TRIM(LEFT(A327,SEARCH(" ",A327&amp;" ")-1))
))&gt;0,
IF(
COUNT(_xlfn._xlws.FILTER(Teeth!$D:$D,
TRIM(LEFT(Teeth!$A:$A,SEARCH(" ",Teeth!$A:$A&amp;" ")-1))=
TRIM(LEFT(A327,SEARCH(" ",A327&amp;" ")-1))
))=0,
1,
AVERAGE(_xlfn._xlws.FILTER(Teeth!$D:$D,
TRIM(LEFT(Teeth!$A:$A,SEARCH(" ",Teeth!$A:$A&amp;" ")-1))=
TRIM(LEFT(A327,SEARCH(" ",A327&amp;" ")-1))
))
),
1
)
)</f>
        <v>1</v>
      </c>
    </row>
    <row r="328" spans="1:2" x14ac:dyDescent="0.25">
      <c r="A328" s="2" t="str">
        <f>'[1]Base stats'!$B328</f>
        <v>Phoenicopterus phoenix</v>
      </c>
      <c r="B328" s="20" cm="1">
        <f t="array" ref="B328">IF(
SUMPRODUCT(--(
TRIM(LEFT(Teeth!$A:$A,SEARCH("§",SUBSTITUTE(Teeth!$A:$A," ","§",2)&amp;"§")-1))=
TRIM(LEFT(A328,SEARCH("§",SUBSTITUTE(A328," ","§",2)&amp;"§")-1))
))&gt;0,
IF(
COUNT(_xlfn._xlws.FILTER(Teeth!$D:$D,
TRIM(LEFT(Teeth!$A:$A,SEARCH("§",SUBSTITUTE(Teeth!$A:$A," ","§",2)&amp;"§")-1))=
TRIM(LEFT(A328,SEARCH("§",SUBSTITUTE(A328," ","§",2)&amp;"§")-1))
))=0,
1,
MAX(_xlfn._xlws.FILTER(Teeth!$D:$D,
TRIM(LEFT(Teeth!$A:$A,SEARCH("§",SUBSTITUTE(Teeth!$A:$A," ","§",2)&amp;"§")-1))=
TRIM(LEFT(A328,SEARCH("§",SUBSTITUTE(A328," ","§",2)&amp;"§")-1))
))
),
IF(
SUMPRODUCT(--(
TRIM(LEFT(Teeth!$A:$A,SEARCH(" ",Teeth!$A:$A&amp;" ")-1))=
TRIM(LEFT(A328,SEARCH(" ",A328&amp;" ")-1))
))&gt;0,
IF(
COUNT(_xlfn._xlws.FILTER(Teeth!$D:$D,
TRIM(LEFT(Teeth!$A:$A,SEARCH(" ",Teeth!$A:$A&amp;" ")-1))=
TRIM(LEFT(A328,SEARCH(" ",A328&amp;" ")-1))
))=0,
1,
AVERAGE(_xlfn._xlws.FILTER(Teeth!$D:$D,
TRIM(LEFT(Teeth!$A:$A,SEARCH(" ",Teeth!$A:$A&amp;" ")-1))=
TRIM(LEFT(A328,SEARCH(" ",A328&amp;" ")-1))
))
),
1
)
)</f>
        <v>1</v>
      </c>
    </row>
    <row r="329" spans="1:2" x14ac:dyDescent="0.25">
      <c r="A329" s="2" t="str">
        <f>'[1]Base stats'!$B329</f>
        <v>Velociraptor nobilis</v>
      </c>
      <c r="B329" s="20" cm="1">
        <f t="array" ref="B329">IF(
SUMPRODUCT(--(
TRIM(LEFT(Teeth!$A:$A,SEARCH("§",SUBSTITUTE(Teeth!$A:$A," ","§",2)&amp;"§")-1))=
TRIM(LEFT(A329,SEARCH("§",SUBSTITUTE(A329," ","§",2)&amp;"§")-1))
))&gt;0,
IF(
COUNT(_xlfn._xlws.FILTER(Teeth!$D:$D,
TRIM(LEFT(Teeth!$A:$A,SEARCH("§",SUBSTITUTE(Teeth!$A:$A," ","§",2)&amp;"§")-1))=
TRIM(LEFT(A329,SEARCH("§",SUBSTITUTE(A329," ","§",2)&amp;"§")-1))
))=0,
1,
MAX(_xlfn._xlws.FILTER(Teeth!$D:$D,
TRIM(LEFT(Teeth!$A:$A,SEARCH("§",SUBSTITUTE(Teeth!$A:$A," ","§",2)&amp;"§")-1))=
TRIM(LEFT(A329,SEARCH("§",SUBSTITUTE(A329," ","§",2)&amp;"§")-1))
))
),
IF(
SUMPRODUCT(--(
TRIM(LEFT(Teeth!$A:$A,SEARCH(" ",Teeth!$A:$A&amp;" ")-1))=
TRIM(LEFT(A329,SEARCH(" ",A329&amp;" ")-1))
))&gt;0,
IF(
COUNT(_xlfn._xlws.FILTER(Teeth!$D:$D,
TRIM(LEFT(Teeth!$A:$A,SEARCH(" ",Teeth!$A:$A&amp;" ")-1))=
TRIM(LEFT(A329,SEARCH(" ",A329&amp;" ")-1))
))=0,
1,
AVERAGE(_xlfn._xlws.FILTER(Teeth!$D:$D,
TRIM(LEFT(Teeth!$A:$A,SEARCH(" ",Teeth!$A:$A&amp;" ")-1))=
TRIM(LEFT(A329,SEARCH(" ",A329&amp;" ")-1))
))
),
1
)
)</f>
        <v>1</v>
      </c>
    </row>
    <row r="330" spans="1:2" x14ac:dyDescent="0.25">
      <c r="A330" s="2" t="str">
        <f>'[1]Base stats'!$B330</f>
        <v>Tyrannosaurus rex</v>
      </c>
      <c r="B330" s="20" cm="1">
        <f t="array" ref="B330">IF(
SUMPRODUCT(--(
TRIM(LEFT(Teeth!$A:$A,SEARCH("§",SUBSTITUTE(Teeth!$A:$A," ","§",2)&amp;"§")-1))=
TRIM(LEFT(A330,SEARCH("§",SUBSTITUTE(A330," ","§",2)&amp;"§")-1))
))&gt;0,
IF(
COUNT(_xlfn._xlws.FILTER(Teeth!$D:$D,
TRIM(LEFT(Teeth!$A:$A,SEARCH("§",SUBSTITUTE(Teeth!$A:$A," ","§",2)&amp;"§")-1))=
TRIM(LEFT(A330,SEARCH("§",SUBSTITUTE(A330," ","§",2)&amp;"§")-1))
))=0,
1,
MAX(_xlfn._xlws.FILTER(Teeth!$D:$D,
TRIM(LEFT(Teeth!$A:$A,SEARCH("§",SUBSTITUTE(Teeth!$A:$A," ","§",2)&amp;"§")-1))=
TRIM(LEFT(A330,SEARCH("§",SUBSTITUTE(A330," ","§",2)&amp;"§")-1))
))
),
IF(
SUMPRODUCT(--(
TRIM(LEFT(Teeth!$A:$A,SEARCH(" ",Teeth!$A:$A&amp;" ")-1))=
TRIM(LEFT(A330,SEARCH(" ",A330&amp;" ")-1))
))&gt;0,
IF(
COUNT(_xlfn._xlws.FILTER(Teeth!$D:$D,
TRIM(LEFT(Teeth!$A:$A,SEARCH(" ",Teeth!$A:$A&amp;" ")-1))=
TRIM(LEFT(A330,SEARCH(" ",A330&amp;" ")-1))
))=0,
1,
AVERAGE(_xlfn._xlws.FILTER(Teeth!$D:$D,
TRIM(LEFT(Teeth!$A:$A,SEARCH(" ",Teeth!$A:$A&amp;" ")-1))=
TRIM(LEFT(A330,SEARCH(" ",A330&amp;" ")-1))
))
),
1
)
)</f>
        <v>1</v>
      </c>
    </row>
    <row r="331" spans="1:2" x14ac:dyDescent="0.25">
      <c r="A331" s="2" t="str">
        <f>'[1]Base stats'!$B331</f>
        <v>Yutyrannus huali</v>
      </c>
      <c r="B331" s="20" cm="1">
        <f t="array" ref="B331">IF(
SUMPRODUCT(--(
TRIM(LEFT(Teeth!$A:$A,SEARCH("§",SUBSTITUTE(Teeth!$A:$A," ","§",2)&amp;"§")-1))=
TRIM(LEFT(A331,SEARCH("§",SUBSTITUTE(A331," ","§",2)&amp;"§")-1))
))&gt;0,
IF(
COUNT(_xlfn._xlws.FILTER(Teeth!$D:$D,
TRIM(LEFT(Teeth!$A:$A,SEARCH("§",SUBSTITUTE(Teeth!$A:$A," ","§",2)&amp;"§")-1))=
TRIM(LEFT(A331,SEARCH("§",SUBSTITUTE(A331," ","§",2)&amp;"§")-1))
))=0,
1,
MAX(_xlfn._xlws.FILTER(Teeth!$D:$D,
TRIM(LEFT(Teeth!$A:$A,SEARCH("§",SUBSTITUTE(Teeth!$A:$A," ","§",2)&amp;"§")-1))=
TRIM(LEFT(A331,SEARCH("§",SUBSTITUTE(A331," ","§",2)&amp;"§")-1))
))
),
IF(
SUMPRODUCT(--(
TRIM(LEFT(Teeth!$A:$A,SEARCH(" ",Teeth!$A:$A&amp;" ")-1))=
TRIM(LEFT(A331,SEARCH(" ",A331&amp;" ")-1))
))&gt;0,
IF(
COUNT(_xlfn._xlws.FILTER(Teeth!$D:$D,
TRIM(LEFT(Teeth!$A:$A,SEARCH(" ",Teeth!$A:$A&amp;" ")-1))=
TRIM(LEFT(A331,SEARCH(" ",A331&amp;" ")-1))
))=0,
1,
AVERAGE(_xlfn._xlws.FILTER(Teeth!$D:$D,
TRIM(LEFT(Teeth!$A:$A,SEARCH(" ",Teeth!$A:$A&amp;" ")-1))=
TRIM(LEFT(A331,SEARCH(" ",A331&amp;" ")-1))
))
),
1
)
)</f>
        <v>1</v>
      </c>
    </row>
    <row r="332" spans="1:2" x14ac:dyDescent="0.25">
      <c r="A332" s="2" t="str">
        <f>'[1]Base stats'!$B332</f>
        <v>Carnotaurus sastrei</v>
      </c>
      <c r="B332" s="20" cm="1">
        <f t="array" ref="B332">IF(
SUMPRODUCT(--(
TRIM(LEFT(Teeth!$A:$A,SEARCH("§",SUBSTITUTE(Teeth!$A:$A," ","§",2)&amp;"§")-1))=
TRIM(LEFT(A332,SEARCH("§",SUBSTITUTE(A332," ","§",2)&amp;"§")-1))
))&gt;0,
IF(
COUNT(_xlfn._xlws.FILTER(Teeth!$D:$D,
TRIM(LEFT(Teeth!$A:$A,SEARCH("§",SUBSTITUTE(Teeth!$A:$A," ","§",2)&amp;"§")-1))=
TRIM(LEFT(A332,SEARCH("§",SUBSTITUTE(A332," ","§",2)&amp;"§")-1))
))=0,
1,
MAX(_xlfn._xlws.FILTER(Teeth!$D:$D,
TRIM(LEFT(Teeth!$A:$A,SEARCH("§",SUBSTITUTE(Teeth!$A:$A," ","§",2)&amp;"§")-1))=
TRIM(LEFT(A332,SEARCH("§",SUBSTITUTE(A332," ","§",2)&amp;"§")-1))
))
),
IF(
SUMPRODUCT(--(
TRIM(LEFT(Teeth!$A:$A,SEARCH(" ",Teeth!$A:$A&amp;" ")-1))=
TRIM(LEFT(A332,SEARCH(" ",A332&amp;" ")-1))
))&gt;0,
IF(
COUNT(_xlfn._xlws.FILTER(Teeth!$D:$D,
TRIM(LEFT(Teeth!$A:$A,SEARCH(" ",Teeth!$A:$A&amp;" ")-1))=
TRIM(LEFT(A332,SEARCH(" ",A332&amp;" ")-1))
))=0,
1,
AVERAGE(_xlfn._xlws.FILTER(Teeth!$D:$D,
TRIM(LEFT(Teeth!$A:$A,SEARCH(" ",Teeth!$A:$A&amp;" ")-1))=
TRIM(LEFT(A332,SEARCH(" ",A332&amp;" ")-1))
))
),
1
)
)</f>
        <v>1</v>
      </c>
    </row>
    <row r="333" spans="1:2" x14ac:dyDescent="0.25">
      <c r="A333" s="2" t="str">
        <f>'[1]Base stats'!$B333</f>
        <v>Allosaurus fragilis</v>
      </c>
      <c r="B333" s="20" cm="1">
        <f t="array" ref="B333">IF(
SUMPRODUCT(--(
TRIM(LEFT(Teeth!$A:$A,SEARCH("§",SUBSTITUTE(Teeth!$A:$A," ","§",2)&amp;"§")-1))=
TRIM(LEFT(A333,SEARCH("§",SUBSTITUTE(A333," ","§",2)&amp;"§")-1))
))&gt;0,
IF(
COUNT(_xlfn._xlws.FILTER(Teeth!$D:$D,
TRIM(LEFT(Teeth!$A:$A,SEARCH("§",SUBSTITUTE(Teeth!$A:$A," ","§",2)&amp;"§")-1))=
TRIM(LEFT(A333,SEARCH("§",SUBSTITUTE(A333," ","§",2)&amp;"§")-1))
))=0,
1,
MAX(_xlfn._xlws.FILTER(Teeth!$D:$D,
TRIM(LEFT(Teeth!$A:$A,SEARCH("§",SUBSTITUTE(Teeth!$A:$A," ","§",2)&amp;"§")-1))=
TRIM(LEFT(A333,SEARCH("§",SUBSTITUTE(A333," ","§",2)&amp;"§")-1))
))
),
IF(
SUMPRODUCT(--(
TRIM(LEFT(Teeth!$A:$A,SEARCH(" ",Teeth!$A:$A&amp;" ")-1))=
TRIM(LEFT(A333,SEARCH(" ",A333&amp;" ")-1))
))&gt;0,
IF(
COUNT(_xlfn._xlws.FILTER(Teeth!$D:$D,
TRIM(LEFT(Teeth!$A:$A,SEARCH(" ",Teeth!$A:$A&amp;" ")-1))=
TRIM(LEFT(A333,SEARCH(" ",A333&amp;" ")-1))
))=0,
1,
AVERAGE(_xlfn._xlws.FILTER(Teeth!$D:$D,
TRIM(LEFT(Teeth!$A:$A,SEARCH(" ",Teeth!$A:$A&amp;" ")-1))=
TRIM(LEFT(A333,SEARCH(" ",A333&amp;" ")-1))
))
),
1
)
)</f>
        <v>1</v>
      </c>
    </row>
    <row r="334" spans="1:2" x14ac:dyDescent="0.25">
      <c r="A334" s="2" t="str">
        <f>'[1]Base stats'!$B334</f>
        <v>Spinosaurus aegyptiacus</v>
      </c>
      <c r="B334" s="20" cm="1">
        <f t="array" ref="B334">IF(
SUMPRODUCT(--(
TRIM(LEFT(Teeth!$A:$A,SEARCH("§",SUBSTITUTE(Teeth!$A:$A," ","§",2)&amp;"§")-1))=
TRIM(LEFT(A334,SEARCH("§",SUBSTITUTE(A334," ","§",2)&amp;"§")-1))
))&gt;0,
IF(
COUNT(_xlfn._xlws.FILTER(Teeth!$D:$D,
TRIM(LEFT(Teeth!$A:$A,SEARCH("§",SUBSTITUTE(Teeth!$A:$A," ","§",2)&amp;"§")-1))=
TRIM(LEFT(A334,SEARCH("§",SUBSTITUTE(A334," ","§",2)&amp;"§")-1))
))=0,
1,
MAX(_xlfn._xlws.FILTER(Teeth!$D:$D,
TRIM(LEFT(Teeth!$A:$A,SEARCH("§",SUBSTITUTE(Teeth!$A:$A," ","§",2)&amp;"§")-1))=
TRIM(LEFT(A334,SEARCH("§",SUBSTITUTE(A334," ","§",2)&amp;"§")-1))
))
),
IF(
SUMPRODUCT(--(
TRIM(LEFT(Teeth!$A:$A,SEARCH(" ",Teeth!$A:$A&amp;" ")-1))=
TRIM(LEFT(A334,SEARCH(" ",A334&amp;" ")-1))
))&gt;0,
IF(
COUNT(_xlfn._xlws.FILTER(Teeth!$D:$D,
TRIM(LEFT(Teeth!$A:$A,SEARCH(" ",Teeth!$A:$A&amp;" ")-1))=
TRIM(LEFT(A334,SEARCH(" ",A334&amp;" ")-1))
))=0,
1,
AVERAGE(_xlfn._xlws.FILTER(Teeth!$D:$D,
TRIM(LEFT(Teeth!$A:$A,SEARCH(" ",Teeth!$A:$A&amp;" ")-1))=
TRIM(LEFT(A334,SEARCH(" ",A334&amp;" ")-1))
))
),
1
)
)</f>
        <v>1</v>
      </c>
    </row>
    <row r="335" spans="1:2" x14ac:dyDescent="0.25">
      <c r="A335" s="2" t="str">
        <f>'[1]Base stats'!$B335</f>
        <v>Baryonyx walkeri</v>
      </c>
      <c r="B335" s="20" cm="1">
        <f t="array" ref="B335">IF(
SUMPRODUCT(--(
TRIM(LEFT(Teeth!$A:$A,SEARCH("§",SUBSTITUTE(Teeth!$A:$A," ","§",2)&amp;"§")-1))=
TRIM(LEFT(A335,SEARCH("§",SUBSTITUTE(A335," ","§",2)&amp;"§")-1))
))&gt;0,
IF(
COUNT(_xlfn._xlws.FILTER(Teeth!$D:$D,
TRIM(LEFT(Teeth!$A:$A,SEARCH("§",SUBSTITUTE(Teeth!$A:$A," ","§",2)&amp;"§")-1))=
TRIM(LEFT(A335,SEARCH("§",SUBSTITUTE(A335," ","§",2)&amp;"§")-1))
))=0,
1,
MAX(_xlfn._xlws.FILTER(Teeth!$D:$D,
TRIM(LEFT(Teeth!$A:$A,SEARCH("§",SUBSTITUTE(Teeth!$A:$A," ","§",2)&amp;"§")-1))=
TRIM(LEFT(A335,SEARCH("§",SUBSTITUTE(A335," ","§",2)&amp;"§")-1))
))
),
IF(
SUMPRODUCT(--(
TRIM(LEFT(Teeth!$A:$A,SEARCH(" ",Teeth!$A:$A&amp;" ")-1))=
TRIM(LEFT(A335,SEARCH(" ",A335&amp;" ")-1))
))&gt;0,
IF(
COUNT(_xlfn._xlws.FILTER(Teeth!$D:$D,
TRIM(LEFT(Teeth!$A:$A,SEARCH(" ",Teeth!$A:$A&amp;" ")-1))=
TRIM(LEFT(A335,SEARCH(" ",A335&amp;" ")-1))
))=0,
1,
AVERAGE(_xlfn._xlws.FILTER(Teeth!$D:$D,
TRIM(LEFT(Teeth!$A:$A,SEARCH(" ",Teeth!$A:$A&amp;" ")-1))=
TRIM(LEFT(A335,SEARCH(" ",A335&amp;" ")-1))
))
),
1
)
)</f>
        <v>1</v>
      </c>
    </row>
    <row r="336" spans="1:2" x14ac:dyDescent="0.25">
      <c r="A336" s="2" t="str">
        <f>'[1]Base stats'!$B336</f>
        <v>Ankylosaurus magniventris</v>
      </c>
      <c r="B336" s="20" cm="1">
        <f t="array" ref="B336">IF(
SUMPRODUCT(--(
TRIM(LEFT(Teeth!$A:$A,SEARCH("§",SUBSTITUTE(Teeth!$A:$A," ","§",2)&amp;"§")-1))=
TRIM(LEFT(A336,SEARCH("§",SUBSTITUTE(A336," ","§",2)&amp;"§")-1))
))&gt;0,
IF(
COUNT(_xlfn._xlws.FILTER(Teeth!$D:$D,
TRIM(LEFT(Teeth!$A:$A,SEARCH("§",SUBSTITUTE(Teeth!$A:$A," ","§",2)&amp;"§")-1))=
TRIM(LEFT(A336,SEARCH("§",SUBSTITUTE(A336," ","§",2)&amp;"§")-1))
))=0,
1,
MAX(_xlfn._xlws.FILTER(Teeth!$D:$D,
TRIM(LEFT(Teeth!$A:$A,SEARCH("§",SUBSTITUTE(Teeth!$A:$A," ","§",2)&amp;"§")-1))=
TRIM(LEFT(A336,SEARCH("§",SUBSTITUTE(A336," ","§",2)&amp;"§")-1))
))
),
IF(
SUMPRODUCT(--(
TRIM(LEFT(Teeth!$A:$A,SEARCH(" ",Teeth!$A:$A&amp;" ")-1))=
TRIM(LEFT(A336,SEARCH(" ",A336&amp;" ")-1))
))&gt;0,
IF(
COUNT(_xlfn._xlws.FILTER(Teeth!$D:$D,
TRIM(LEFT(Teeth!$A:$A,SEARCH(" ",Teeth!$A:$A&amp;" ")-1))=
TRIM(LEFT(A336,SEARCH(" ",A336&amp;" ")-1))
))=0,
1,
AVERAGE(_xlfn._xlws.FILTER(Teeth!$D:$D,
TRIM(LEFT(Teeth!$A:$A,SEARCH(" ",Teeth!$A:$A&amp;" ")-1))=
TRIM(LEFT(A336,SEARCH(" ",A336&amp;" ")-1))
))
),
1
)
)</f>
        <v>1</v>
      </c>
    </row>
    <row r="337" spans="1:2" x14ac:dyDescent="0.25">
      <c r="A337" s="2" t="str">
        <f>'[1]Base stats'!$B337</f>
        <v>Minmi paravertebra</v>
      </c>
      <c r="B337" s="20" cm="1">
        <f t="array" ref="B337">IF(
SUMPRODUCT(--(
TRIM(LEFT(Teeth!$A:$A,SEARCH("§",SUBSTITUTE(Teeth!$A:$A," ","§",2)&amp;"§")-1))=
TRIM(LEFT(A337,SEARCH("§",SUBSTITUTE(A337," ","§",2)&amp;"§")-1))
))&gt;0,
IF(
COUNT(_xlfn._xlws.FILTER(Teeth!$D:$D,
TRIM(LEFT(Teeth!$A:$A,SEARCH("§",SUBSTITUTE(Teeth!$A:$A," ","§",2)&amp;"§")-1))=
TRIM(LEFT(A337,SEARCH("§",SUBSTITUTE(A337," ","§",2)&amp;"§")-1))
))=0,
1,
MAX(_xlfn._xlws.FILTER(Teeth!$D:$D,
TRIM(LEFT(Teeth!$A:$A,SEARCH("§",SUBSTITUTE(Teeth!$A:$A," ","§",2)&amp;"§")-1))=
TRIM(LEFT(A337,SEARCH("§",SUBSTITUTE(A337," ","§",2)&amp;"§")-1))
))
),
IF(
SUMPRODUCT(--(
TRIM(LEFT(Teeth!$A:$A,SEARCH(" ",Teeth!$A:$A&amp;" ")-1))=
TRIM(LEFT(A337,SEARCH(" ",A337&amp;" ")-1))
))&gt;0,
IF(
COUNT(_xlfn._xlws.FILTER(Teeth!$D:$D,
TRIM(LEFT(Teeth!$A:$A,SEARCH(" ",Teeth!$A:$A&amp;" ")-1))=
TRIM(LEFT(A337,SEARCH(" ",A337&amp;" ")-1))
))=0,
1,
AVERAGE(_xlfn._xlws.FILTER(Teeth!$D:$D,
TRIM(LEFT(Teeth!$A:$A,SEARCH(" ",Teeth!$A:$A&amp;" ")-1))=
TRIM(LEFT(A337,SEARCH(" ",A337&amp;" ")-1))
))
),
1
)
)</f>
        <v>1</v>
      </c>
    </row>
    <row r="338" spans="1:2" x14ac:dyDescent="0.25">
      <c r="A338" s="2" t="str">
        <f>'[1]Base stats'!$B338</f>
        <v>Giraffatitan brancai</v>
      </c>
      <c r="B338" s="20" cm="1">
        <f t="array" ref="B338">IF(
SUMPRODUCT(--(
TRIM(LEFT(Teeth!$A:$A,SEARCH("§",SUBSTITUTE(Teeth!$A:$A," ","§",2)&amp;"§")-1))=
TRIM(LEFT(A338,SEARCH("§",SUBSTITUTE(A338," ","§",2)&amp;"§")-1))
))&gt;0,
IF(
COUNT(_xlfn._xlws.FILTER(Teeth!$D:$D,
TRIM(LEFT(Teeth!$A:$A,SEARCH("§",SUBSTITUTE(Teeth!$A:$A," ","§",2)&amp;"§")-1))=
TRIM(LEFT(A338,SEARCH("§",SUBSTITUTE(A338," ","§",2)&amp;"§")-1))
))=0,
1,
MAX(_xlfn._xlws.FILTER(Teeth!$D:$D,
TRIM(LEFT(Teeth!$A:$A,SEARCH("§",SUBSTITUTE(Teeth!$A:$A," ","§",2)&amp;"§")-1))=
TRIM(LEFT(A338,SEARCH("§",SUBSTITUTE(A338," ","§",2)&amp;"§")-1))
))
),
IF(
SUMPRODUCT(--(
TRIM(LEFT(Teeth!$A:$A,SEARCH(" ",Teeth!$A:$A&amp;" ")-1))=
TRIM(LEFT(A338,SEARCH(" ",A338&amp;" ")-1))
))&gt;0,
IF(
COUNT(_xlfn._xlws.FILTER(Teeth!$D:$D,
TRIM(LEFT(Teeth!$A:$A,SEARCH(" ",Teeth!$A:$A&amp;" ")-1))=
TRIM(LEFT(A338,SEARCH(" ",A338&amp;" ")-1))
))=0,
1,
AVERAGE(_xlfn._xlws.FILTER(Teeth!$D:$D,
TRIM(LEFT(Teeth!$A:$A,SEARCH(" ",Teeth!$A:$A&amp;" ")-1))=
TRIM(LEFT(A338,SEARCH(" ",A338&amp;" ")-1))
))
),
1
)
)</f>
        <v>1</v>
      </c>
    </row>
    <row r="339" spans="1:2" x14ac:dyDescent="0.25">
      <c r="A339" s="2" t="str">
        <f>'[1]Base stats'!$B339</f>
        <v>Brontosaurus parvus</v>
      </c>
      <c r="B339" s="20" cm="1">
        <f t="array" ref="B339">IF(
SUMPRODUCT(--(
TRIM(LEFT(Teeth!$A:$A,SEARCH("§",SUBSTITUTE(Teeth!$A:$A," ","§",2)&amp;"§")-1))=
TRIM(LEFT(A339,SEARCH("§",SUBSTITUTE(A339," ","§",2)&amp;"§")-1))
))&gt;0,
IF(
COUNT(_xlfn._xlws.FILTER(Teeth!$D:$D,
TRIM(LEFT(Teeth!$A:$A,SEARCH("§",SUBSTITUTE(Teeth!$A:$A," ","§",2)&amp;"§")-1))=
TRIM(LEFT(A339,SEARCH("§",SUBSTITUTE(A339," ","§",2)&amp;"§")-1))
))=0,
1,
MAX(_xlfn._xlws.FILTER(Teeth!$D:$D,
TRIM(LEFT(Teeth!$A:$A,SEARCH("§",SUBSTITUTE(Teeth!$A:$A," ","§",2)&amp;"§")-1))=
TRIM(LEFT(A339,SEARCH("§",SUBSTITUTE(A339," ","§",2)&amp;"§")-1))
))
),
IF(
SUMPRODUCT(--(
TRIM(LEFT(Teeth!$A:$A,SEARCH(" ",Teeth!$A:$A&amp;" ")-1))=
TRIM(LEFT(A339,SEARCH(" ",A339&amp;" ")-1))
))&gt;0,
IF(
COUNT(_xlfn._xlws.FILTER(Teeth!$D:$D,
TRIM(LEFT(Teeth!$A:$A,SEARCH(" ",Teeth!$A:$A&amp;" ")-1))=
TRIM(LEFT(A339,SEARCH(" ",A339&amp;" ")-1))
))=0,
1,
AVERAGE(_xlfn._xlws.FILTER(Teeth!$D:$D,
TRIM(LEFT(Teeth!$A:$A,SEARCH(" ",Teeth!$A:$A&amp;" ")-1))=
TRIM(LEFT(A339,SEARCH(" ",A339&amp;" ")-1))
))
),
1
)
)</f>
        <v>1</v>
      </c>
    </row>
    <row r="340" spans="1:2" x14ac:dyDescent="0.25">
      <c r="A340" s="2" t="str">
        <f>'[1]Base stats'!$B340</f>
        <v>Diplodocus longus</v>
      </c>
      <c r="B340" s="20" cm="1">
        <f t="array" ref="B340">IF(
SUMPRODUCT(--(
TRIM(LEFT(Teeth!$A:$A,SEARCH("§",SUBSTITUTE(Teeth!$A:$A," ","§",2)&amp;"§")-1))=
TRIM(LEFT(A340,SEARCH("§",SUBSTITUTE(A340," ","§",2)&amp;"§")-1))
))&gt;0,
IF(
COUNT(_xlfn._xlws.FILTER(Teeth!$D:$D,
TRIM(LEFT(Teeth!$A:$A,SEARCH("§",SUBSTITUTE(Teeth!$A:$A," ","§",2)&amp;"§")-1))=
TRIM(LEFT(A340,SEARCH("§",SUBSTITUTE(A340," ","§",2)&amp;"§")-1))
))=0,
1,
MAX(_xlfn._xlws.FILTER(Teeth!$D:$D,
TRIM(LEFT(Teeth!$A:$A,SEARCH("§",SUBSTITUTE(Teeth!$A:$A," ","§",2)&amp;"§")-1))=
TRIM(LEFT(A340,SEARCH("§",SUBSTITUTE(A340," ","§",2)&amp;"§")-1))
))
),
IF(
SUMPRODUCT(--(
TRIM(LEFT(Teeth!$A:$A,SEARCH(" ",Teeth!$A:$A&amp;" ")-1))=
TRIM(LEFT(A340,SEARCH(" ",A340&amp;" ")-1))
))&gt;0,
IF(
COUNT(_xlfn._xlws.FILTER(Teeth!$D:$D,
TRIM(LEFT(Teeth!$A:$A,SEARCH(" ",Teeth!$A:$A&amp;" ")-1))=
TRIM(LEFT(A340,SEARCH(" ",A340&amp;" ")-1))
))=0,
1,
AVERAGE(_xlfn._xlws.FILTER(Teeth!$D:$D,
TRIM(LEFT(Teeth!$A:$A,SEARCH(" ",Teeth!$A:$A&amp;" ")-1))=
TRIM(LEFT(A340,SEARCH(" ",A340&amp;" ")-1))
))
),
1
)
)</f>
        <v>1</v>
      </c>
    </row>
    <row r="341" spans="1:2" x14ac:dyDescent="0.25">
      <c r="A341" s="2" t="str">
        <f>'[1]Base stats'!$B341</f>
        <v>Magyarosaurus transsylvanicus</v>
      </c>
      <c r="B341" s="20" cm="1">
        <f t="array" ref="B341">IF(
SUMPRODUCT(--(
TRIM(LEFT(Teeth!$A:$A,SEARCH("§",SUBSTITUTE(Teeth!$A:$A," ","§",2)&amp;"§")-1))=
TRIM(LEFT(A341,SEARCH("§",SUBSTITUTE(A341," ","§",2)&amp;"§")-1))
))&gt;0,
IF(
COUNT(_xlfn._xlws.FILTER(Teeth!$D:$D,
TRIM(LEFT(Teeth!$A:$A,SEARCH("§",SUBSTITUTE(Teeth!$A:$A," ","§",2)&amp;"§")-1))=
TRIM(LEFT(A341,SEARCH("§",SUBSTITUTE(A341," ","§",2)&amp;"§")-1))
))=0,
1,
MAX(_xlfn._xlws.FILTER(Teeth!$D:$D,
TRIM(LEFT(Teeth!$A:$A,SEARCH("§",SUBSTITUTE(Teeth!$A:$A," ","§",2)&amp;"§")-1))=
TRIM(LEFT(A341,SEARCH("§",SUBSTITUTE(A341," ","§",2)&amp;"§")-1))
))
),
IF(
SUMPRODUCT(--(
TRIM(LEFT(Teeth!$A:$A,SEARCH(" ",Teeth!$A:$A&amp;" ")-1))=
TRIM(LEFT(A341,SEARCH(" ",A341&amp;" ")-1))
))&gt;0,
IF(
COUNT(_xlfn._xlws.FILTER(Teeth!$D:$D,
TRIM(LEFT(Teeth!$A:$A,SEARCH(" ",Teeth!$A:$A&amp;" ")-1))=
TRIM(LEFT(A341,SEARCH(" ",A341&amp;" ")-1))
))=0,
1,
AVERAGE(_xlfn._xlws.FILTER(Teeth!$D:$D,
TRIM(LEFT(Teeth!$A:$A,SEARCH(" ",Teeth!$A:$A&amp;" ")-1))=
TRIM(LEFT(A341,SEARCH(" ",A341&amp;" ")-1))
))
),
1
)
)</f>
        <v>1</v>
      </c>
    </row>
    <row r="342" spans="1:2" x14ac:dyDescent="0.25">
      <c r="A342" s="2" t="str">
        <f>'[1]Base stats'!$B342</f>
        <v>Utahraptor ostrommaysi</v>
      </c>
      <c r="B342" s="20" cm="1">
        <f t="array" ref="B342">IF(
SUMPRODUCT(--(
TRIM(LEFT(Teeth!$A:$A,SEARCH("§",SUBSTITUTE(Teeth!$A:$A," ","§",2)&amp;"§")-1))=
TRIM(LEFT(A342,SEARCH("§",SUBSTITUTE(A342," ","§",2)&amp;"§")-1))
))&gt;0,
IF(
COUNT(_xlfn._xlws.FILTER(Teeth!$D:$D,
TRIM(LEFT(Teeth!$A:$A,SEARCH("§",SUBSTITUTE(Teeth!$A:$A," ","§",2)&amp;"§")-1))=
TRIM(LEFT(A342,SEARCH("§",SUBSTITUTE(A342," ","§",2)&amp;"§")-1))
))=0,
1,
MAX(_xlfn._xlws.FILTER(Teeth!$D:$D,
TRIM(LEFT(Teeth!$A:$A,SEARCH("§",SUBSTITUTE(Teeth!$A:$A," ","§",2)&amp;"§")-1))=
TRIM(LEFT(A342,SEARCH("§",SUBSTITUTE(A342," ","§",2)&amp;"§")-1))
))
),
IF(
SUMPRODUCT(--(
TRIM(LEFT(Teeth!$A:$A,SEARCH(" ",Teeth!$A:$A&amp;" ")-1))=
TRIM(LEFT(A342,SEARCH(" ",A342&amp;" ")-1))
))&gt;0,
IF(
COUNT(_xlfn._xlws.FILTER(Teeth!$D:$D,
TRIM(LEFT(Teeth!$A:$A,SEARCH(" ",Teeth!$A:$A&amp;" ")-1))=
TRIM(LEFT(A342,SEARCH(" ",A342&amp;" ")-1))
))=0,
1,
AVERAGE(_xlfn._xlws.FILTER(Teeth!$D:$D,
TRIM(LEFT(Teeth!$A:$A,SEARCH(" ",Teeth!$A:$A&amp;" ")-1))=
TRIM(LEFT(A342,SEARCH(" ",A342&amp;" ")-1))
))
),
1
)
)</f>
        <v>1</v>
      </c>
    </row>
    <row r="343" spans="1:2" x14ac:dyDescent="0.25">
      <c r="A343" s="2" t="str">
        <f>'[1]Base stats'!$B343</f>
        <v>Dakotaraptor steini</v>
      </c>
      <c r="B343" s="20" cm="1">
        <f t="array" ref="B343">IF(
SUMPRODUCT(--(
TRIM(LEFT(Teeth!$A:$A,SEARCH("§",SUBSTITUTE(Teeth!$A:$A," ","§",2)&amp;"§")-1))=
TRIM(LEFT(A343,SEARCH("§",SUBSTITUTE(A343," ","§",2)&amp;"§")-1))
))&gt;0,
IF(
COUNT(_xlfn._xlws.FILTER(Teeth!$D:$D,
TRIM(LEFT(Teeth!$A:$A,SEARCH("§",SUBSTITUTE(Teeth!$A:$A," ","§",2)&amp;"§")-1))=
TRIM(LEFT(A343,SEARCH("§",SUBSTITUTE(A343," ","§",2)&amp;"§")-1))
))=0,
1,
MAX(_xlfn._xlws.FILTER(Teeth!$D:$D,
TRIM(LEFT(Teeth!$A:$A,SEARCH("§",SUBSTITUTE(Teeth!$A:$A," ","§",2)&amp;"§")-1))=
TRIM(LEFT(A343,SEARCH("§",SUBSTITUTE(A343," ","§",2)&amp;"§")-1))
))
),
IF(
SUMPRODUCT(--(
TRIM(LEFT(Teeth!$A:$A,SEARCH(" ",Teeth!$A:$A&amp;" ")-1))=
TRIM(LEFT(A343,SEARCH(" ",A343&amp;" ")-1))
))&gt;0,
IF(
COUNT(_xlfn._xlws.FILTER(Teeth!$D:$D,
TRIM(LEFT(Teeth!$A:$A,SEARCH(" ",Teeth!$A:$A&amp;" ")-1))=
TRIM(LEFT(A343,SEARCH(" ",A343&amp;" ")-1))
))=0,
1,
AVERAGE(_xlfn._xlws.FILTER(Teeth!$D:$D,
TRIM(LEFT(Teeth!$A:$A,SEARCH(" ",Teeth!$A:$A&amp;" ")-1))=
TRIM(LEFT(A343,SEARCH(" ",A343&amp;" ")-1))
))
),
1
)
)</f>
        <v>1</v>
      </c>
    </row>
    <row r="344" spans="1:2" x14ac:dyDescent="0.25">
      <c r="A344" s="2" t="str">
        <f>'[1]Base stats'!$B344</f>
        <v>Dilophosaurus wetherilli</v>
      </c>
      <c r="B344" s="20" cm="1">
        <f t="array" ref="B344">IF(
SUMPRODUCT(--(
TRIM(LEFT(Teeth!$A:$A,SEARCH("§",SUBSTITUTE(Teeth!$A:$A," ","§",2)&amp;"§")-1))=
TRIM(LEFT(A344,SEARCH("§",SUBSTITUTE(A344," ","§",2)&amp;"§")-1))
))&gt;0,
IF(
COUNT(_xlfn._xlws.FILTER(Teeth!$D:$D,
TRIM(LEFT(Teeth!$A:$A,SEARCH("§",SUBSTITUTE(Teeth!$A:$A," ","§",2)&amp;"§")-1))=
TRIM(LEFT(A344,SEARCH("§",SUBSTITUTE(A344," ","§",2)&amp;"§")-1))
))=0,
1,
MAX(_xlfn._xlws.FILTER(Teeth!$D:$D,
TRIM(LEFT(Teeth!$A:$A,SEARCH("§",SUBSTITUTE(Teeth!$A:$A," ","§",2)&amp;"§")-1))=
TRIM(LEFT(A344,SEARCH("§",SUBSTITUTE(A344," ","§",2)&amp;"§")-1))
))
),
IF(
SUMPRODUCT(--(
TRIM(LEFT(Teeth!$A:$A,SEARCH(" ",Teeth!$A:$A&amp;" ")-1))=
TRIM(LEFT(A344,SEARCH(" ",A344&amp;" ")-1))
))&gt;0,
IF(
COUNT(_xlfn._xlws.FILTER(Teeth!$D:$D,
TRIM(LEFT(Teeth!$A:$A,SEARCH(" ",Teeth!$A:$A&amp;" ")-1))=
TRIM(LEFT(A344,SEARCH(" ",A344&amp;" ")-1))
))=0,
1,
AVERAGE(_xlfn._xlws.FILTER(Teeth!$D:$D,
TRIM(LEFT(Teeth!$A:$A,SEARCH(" ",Teeth!$A:$A&amp;" ")-1))=
TRIM(LEFT(A344,SEARCH(" ",A344&amp;" ")-1))
))
),
1
)
)</f>
        <v>1</v>
      </c>
    </row>
    <row r="345" spans="1:2" x14ac:dyDescent="0.25">
      <c r="A345" s="2" t="str">
        <f>'[1]Base stats'!$B345</f>
        <v>Velociraptor mongoliensis</v>
      </c>
      <c r="B345" s="20" cm="1">
        <f t="array" ref="B345">IF(
SUMPRODUCT(--(
TRIM(LEFT(Teeth!$A:$A,SEARCH("§",SUBSTITUTE(Teeth!$A:$A," ","§",2)&amp;"§")-1))=
TRIM(LEFT(A345,SEARCH("§",SUBSTITUTE(A345," ","§",2)&amp;"§")-1))
))&gt;0,
IF(
COUNT(_xlfn._xlws.FILTER(Teeth!$D:$D,
TRIM(LEFT(Teeth!$A:$A,SEARCH("§",SUBSTITUTE(Teeth!$A:$A," ","§",2)&amp;"§")-1))=
TRIM(LEFT(A345,SEARCH("§",SUBSTITUTE(A345," ","§",2)&amp;"§")-1))
))=0,
1,
MAX(_xlfn._xlws.FILTER(Teeth!$D:$D,
TRIM(LEFT(Teeth!$A:$A,SEARCH("§",SUBSTITUTE(Teeth!$A:$A," ","§",2)&amp;"§")-1))=
TRIM(LEFT(A345,SEARCH("§",SUBSTITUTE(A345," ","§",2)&amp;"§")-1))
))
),
IF(
SUMPRODUCT(--(
TRIM(LEFT(Teeth!$A:$A,SEARCH(" ",Teeth!$A:$A&amp;" ")-1))=
TRIM(LEFT(A345,SEARCH(" ",A345&amp;" ")-1))
))&gt;0,
IF(
COUNT(_xlfn._xlws.FILTER(Teeth!$D:$D,
TRIM(LEFT(Teeth!$A:$A,SEARCH(" ",Teeth!$A:$A&amp;" ")-1))=
TRIM(LEFT(A345,SEARCH(" ",A345&amp;" ")-1))
))=0,
1,
AVERAGE(_xlfn._xlws.FILTER(Teeth!$D:$D,
TRIM(LEFT(Teeth!$A:$A,SEARCH(" ",Teeth!$A:$A&amp;" ")-1))=
TRIM(LEFT(A345,SEARCH(" ",A345&amp;" ")-1))
))
),
1
)
)</f>
        <v>1</v>
      </c>
    </row>
    <row r="346" spans="1:2" x14ac:dyDescent="0.25">
      <c r="A346" s="2" t="str">
        <f>'[1]Base stats'!$B346</f>
        <v xml:space="preserve">Compsognathus longipes </v>
      </c>
      <c r="B346" s="20" cm="1">
        <f t="array" ref="B346">IF(
SUMPRODUCT(--(
TRIM(LEFT(Teeth!$A:$A,SEARCH("§",SUBSTITUTE(Teeth!$A:$A," ","§",2)&amp;"§")-1))=
TRIM(LEFT(A346,SEARCH("§",SUBSTITUTE(A346," ","§",2)&amp;"§")-1))
))&gt;0,
IF(
COUNT(_xlfn._xlws.FILTER(Teeth!$D:$D,
TRIM(LEFT(Teeth!$A:$A,SEARCH("§",SUBSTITUTE(Teeth!$A:$A," ","§",2)&amp;"§")-1))=
TRIM(LEFT(A346,SEARCH("§",SUBSTITUTE(A346," ","§",2)&amp;"§")-1))
))=0,
1,
MAX(_xlfn._xlws.FILTER(Teeth!$D:$D,
TRIM(LEFT(Teeth!$A:$A,SEARCH("§",SUBSTITUTE(Teeth!$A:$A," ","§",2)&amp;"§")-1))=
TRIM(LEFT(A346,SEARCH("§",SUBSTITUTE(A346," ","§",2)&amp;"§")-1))
))
),
IF(
SUMPRODUCT(--(
TRIM(LEFT(Teeth!$A:$A,SEARCH(" ",Teeth!$A:$A&amp;" ")-1))=
TRIM(LEFT(A346,SEARCH(" ",A346&amp;" ")-1))
))&gt;0,
IF(
COUNT(_xlfn._xlws.FILTER(Teeth!$D:$D,
TRIM(LEFT(Teeth!$A:$A,SEARCH(" ",Teeth!$A:$A&amp;" ")-1))=
TRIM(LEFT(A346,SEARCH(" ",A346&amp;" ")-1))
))=0,
1,
AVERAGE(_xlfn._xlws.FILTER(Teeth!$D:$D,
TRIM(LEFT(Teeth!$A:$A,SEARCH(" ",Teeth!$A:$A&amp;" ")-1))=
TRIM(LEFT(A346,SEARCH(" ",A346&amp;" ")-1))
))
),
1
)
)</f>
        <v>1</v>
      </c>
    </row>
    <row r="347" spans="1:2" x14ac:dyDescent="0.25">
      <c r="A347" s="2" t="str">
        <f>'[1]Base stats'!$B347</f>
        <v>Gallimimus bullatus</v>
      </c>
      <c r="B347" s="20" cm="1">
        <f t="array" ref="B347">IF(
SUMPRODUCT(--(
TRIM(LEFT(Teeth!$A:$A,SEARCH("§",SUBSTITUTE(Teeth!$A:$A," ","§",2)&amp;"§")-1))=
TRIM(LEFT(A347,SEARCH("§",SUBSTITUTE(A347," ","§",2)&amp;"§")-1))
))&gt;0,
IF(
COUNT(_xlfn._xlws.FILTER(Teeth!$D:$D,
TRIM(LEFT(Teeth!$A:$A,SEARCH("§",SUBSTITUTE(Teeth!$A:$A," ","§",2)&amp;"§")-1))=
TRIM(LEFT(A347,SEARCH("§",SUBSTITUTE(A347," ","§",2)&amp;"§")-1))
))=0,
1,
MAX(_xlfn._xlws.FILTER(Teeth!$D:$D,
TRIM(LEFT(Teeth!$A:$A,SEARCH("§",SUBSTITUTE(Teeth!$A:$A," ","§",2)&amp;"§")-1))=
TRIM(LEFT(A347,SEARCH("§",SUBSTITUTE(A347," ","§",2)&amp;"§")-1))
))
),
IF(
SUMPRODUCT(--(
TRIM(LEFT(Teeth!$A:$A,SEARCH(" ",Teeth!$A:$A&amp;" ")-1))=
TRIM(LEFT(A347,SEARCH(" ",A347&amp;" ")-1))
))&gt;0,
IF(
COUNT(_xlfn._xlws.FILTER(Teeth!$D:$D,
TRIM(LEFT(Teeth!$A:$A,SEARCH(" ",Teeth!$A:$A&amp;" ")-1))=
TRIM(LEFT(A347,SEARCH(" ",A347&amp;" ")-1))
))=0,
1,
AVERAGE(_xlfn._xlws.FILTER(Teeth!$D:$D,
TRIM(LEFT(Teeth!$A:$A,SEARCH(" ",Teeth!$A:$A&amp;" ")-1))=
TRIM(LEFT(A347,SEARCH(" ",A347&amp;" ")-1))
))
),
1
)
)</f>
        <v>1</v>
      </c>
    </row>
    <row r="348" spans="1:2" x14ac:dyDescent="0.25">
      <c r="A348" s="2" t="str">
        <f>'[1]Base stats'!$B348</f>
        <v>Gigantoraptor erlianensis</v>
      </c>
      <c r="B348" s="20" cm="1">
        <f t="array" ref="B348">IF(
SUMPRODUCT(--(
TRIM(LEFT(Teeth!$A:$A,SEARCH("§",SUBSTITUTE(Teeth!$A:$A," ","§",2)&amp;"§")-1))=
TRIM(LEFT(A348,SEARCH("§",SUBSTITUTE(A348," ","§",2)&amp;"§")-1))
))&gt;0,
IF(
COUNT(_xlfn._xlws.FILTER(Teeth!$D:$D,
TRIM(LEFT(Teeth!$A:$A,SEARCH("§",SUBSTITUTE(Teeth!$A:$A," ","§",2)&amp;"§")-1))=
TRIM(LEFT(A348,SEARCH("§",SUBSTITUTE(A348," ","§",2)&amp;"§")-1))
))=0,
1,
MAX(_xlfn._xlws.FILTER(Teeth!$D:$D,
TRIM(LEFT(Teeth!$A:$A,SEARCH("§",SUBSTITUTE(Teeth!$A:$A," ","§",2)&amp;"§")-1))=
TRIM(LEFT(A348,SEARCH("§",SUBSTITUTE(A348," ","§",2)&amp;"§")-1))
))
),
IF(
SUMPRODUCT(--(
TRIM(LEFT(Teeth!$A:$A,SEARCH(" ",Teeth!$A:$A&amp;" ")-1))=
TRIM(LEFT(A348,SEARCH(" ",A348&amp;" ")-1))
))&gt;0,
IF(
COUNT(_xlfn._xlws.FILTER(Teeth!$D:$D,
TRIM(LEFT(Teeth!$A:$A,SEARCH(" ",Teeth!$A:$A&amp;" ")-1))=
TRIM(LEFT(A348,SEARCH(" ",A348&amp;" ")-1))
))=0,
1,
AVERAGE(_xlfn._xlws.FILTER(Teeth!$D:$D,
TRIM(LEFT(Teeth!$A:$A,SEARCH(" ",Teeth!$A:$A&amp;" ")-1))=
TRIM(LEFT(A348,SEARCH(" ",A348&amp;" ")-1))
))
),
1
)
)</f>
        <v>1</v>
      </c>
    </row>
    <row r="349" spans="1:2" x14ac:dyDescent="0.25">
      <c r="A349" s="2" t="str">
        <f>'[1]Base stats'!$B349</f>
        <v>Iguanodon bernissartensis</v>
      </c>
      <c r="B349" s="20" cm="1">
        <f t="array" ref="B349">IF(
SUMPRODUCT(--(
TRIM(LEFT(Teeth!$A:$A,SEARCH("§",SUBSTITUTE(Teeth!$A:$A," ","§",2)&amp;"§")-1))=
TRIM(LEFT(A349,SEARCH("§",SUBSTITUTE(A349," ","§",2)&amp;"§")-1))
))&gt;0,
IF(
COUNT(_xlfn._xlws.FILTER(Teeth!$D:$D,
TRIM(LEFT(Teeth!$A:$A,SEARCH("§",SUBSTITUTE(Teeth!$A:$A," ","§",2)&amp;"§")-1))=
TRIM(LEFT(A349,SEARCH("§",SUBSTITUTE(A349," ","§",2)&amp;"§")-1))
))=0,
1,
MAX(_xlfn._xlws.FILTER(Teeth!$D:$D,
TRIM(LEFT(Teeth!$A:$A,SEARCH("§",SUBSTITUTE(Teeth!$A:$A," ","§",2)&amp;"§")-1))=
TRIM(LEFT(A349,SEARCH("§",SUBSTITUTE(A349," ","§",2)&amp;"§")-1))
))
),
IF(
SUMPRODUCT(--(
TRIM(LEFT(Teeth!$A:$A,SEARCH(" ",Teeth!$A:$A&amp;" ")-1))=
TRIM(LEFT(A349,SEARCH(" ",A349&amp;" ")-1))
))&gt;0,
IF(
COUNT(_xlfn._xlws.FILTER(Teeth!$D:$D,
TRIM(LEFT(Teeth!$A:$A,SEARCH(" ",Teeth!$A:$A&amp;" ")-1))=
TRIM(LEFT(A349,SEARCH(" ",A349&amp;" ")-1))
))=0,
1,
AVERAGE(_xlfn._xlws.FILTER(Teeth!$D:$D,
TRIM(LEFT(Teeth!$A:$A,SEARCH(" ",Teeth!$A:$A&amp;" ")-1))=
TRIM(LEFT(A349,SEARCH(" ",A349&amp;" ")-1))
))
),
1
)
)</f>
        <v>1</v>
      </c>
    </row>
    <row r="350" spans="1:2" x14ac:dyDescent="0.25">
      <c r="A350" s="2" t="str">
        <f>'[1]Base stats'!$B350</f>
        <v>Parasaurolophus walkeri</v>
      </c>
      <c r="B350" s="20" cm="1">
        <f t="array" ref="B350">IF(
SUMPRODUCT(--(
TRIM(LEFT(Teeth!$A:$A,SEARCH("§",SUBSTITUTE(Teeth!$A:$A," ","§",2)&amp;"§")-1))=
TRIM(LEFT(A350,SEARCH("§",SUBSTITUTE(A350," ","§",2)&amp;"§")-1))
))&gt;0,
IF(
COUNT(_xlfn._xlws.FILTER(Teeth!$D:$D,
TRIM(LEFT(Teeth!$A:$A,SEARCH("§",SUBSTITUTE(Teeth!$A:$A," ","§",2)&amp;"§")-1))=
TRIM(LEFT(A350,SEARCH("§",SUBSTITUTE(A350," ","§",2)&amp;"§")-1))
))=0,
1,
MAX(_xlfn._xlws.FILTER(Teeth!$D:$D,
TRIM(LEFT(Teeth!$A:$A,SEARCH("§",SUBSTITUTE(Teeth!$A:$A," ","§",2)&amp;"§")-1))=
TRIM(LEFT(A350,SEARCH("§",SUBSTITUTE(A350," ","§",2)&amp;"§")-1))
))
),
IF(
SUMPRODUCT(--(
TRIM(LEFT(Teeth!$A:$A,SEARCH(" ",Teeth!$A:$A&amp;" ")-1))=
TRIM(LEFT(A350,SEARCH(" ",A350&amp;" ")-1))
))&gt;0,
IF(
COUNT(_xlfn._xlws.FILTER(Teeth!$D:$D,
TRIM(LEFT(Teeth!$A:$A,SEARCH(" ",Teeth!$A:$A&amp;" ")-1))=
TRIM(LEFT(A350,SEARCH(" ",A350&amp;" ")-1))
))=0,
1,
AVERAGE(_xlfn._xlws.FILTER(Teeth!$D:$D,
TRIM(LEFT(Teeth!$A:$A,SEARCH(" ",Teeth!$A:$A&amp;" ")-1))=
TRIM(LEFT(A350,SEARCH(" ",A350&amp;" ")-1))
))
),
1
)
)</f>
        <v>1</v>
      </c>
    </row>
    <row r="351" spans="1:2" x14ac:dyDescent="0.25">
      <c r="A351" s="2" t="str">
        <f>'[1]Base stats'!$B351</f>
        <v>Corythosaurus casuarius</v>
      </c>
      <c r="B351" s="20" cm="1">
        <f t="array" ref="B351">IF(
SUMPRODUCT(--(
TRIM(LEFT(Teeth!$A:$A,SEARCH("§",SUBSTITUTE(Teeth!$A:$A," ","§",2)&amp;"§")-1))=
TRIM(LEFT(A351,SEARCH("§",SUBSTITUTE(A351," ","§",2)&amp;"§")-1))
))&gt;0,
IF(
COUNT(_xlfn._xlws.FILTER(Teeth!$D:$D,
TRIM(LEFT(Teeth!$A:$A,SEARCH("§",SUBSTITUTE(Teeth!$A:$A," ","§",2)&amp;"§")-1))=
TRIM(LEFT(A351,SEARCH("§",SUBSTITUTE(A351," ","§",2)&amp;"§")-1))
))=0,
1,
MAX(_xlfn._xlws.FILTER(Teeth!$D:$D,
TRIM(LEFT(Teeth!$A:$A,SEARCH("§",SUBSTITUTE(Teeth!$A:$A," ","§",2)&amp;"§")-1))=
TRIM(LEFT(A351,SEARCH("§",SUBSTITUTE(A351," ","§",2)&amp;"§")-1))
))
),
IF(
SUMPRODUCT(--(
TRIM(LEFT(Teeth!$A:$A,SEARCH(" ",Teeth!$A:$A&amp;" ")-1))=
TRIM(LEFT(A351,SEARCH(" ",A351&amp;" ")-1))
))&gt;0,
IF(
COUNT(_xlfn._xlws.FILTER(Teeth!$D:$D,
TRIM(LEFT(Teeth!$A:$A,SEARCH(" ",Teeth!$A:$A&amp;" ")-1))=
TRIM(LEFT(A351,SEARCH(" ",A351&amp;" ")-1))
))=0,
1,
AVERAGE(_xlfn._xlws.FILTER(Teeth!$D:$D,
TRIM(LEFT(Teeth!$A:$A,SEARCH(" ",Teeth!$A:$A&amp;" ")-1))=
TRIM(LEFT(A351,SEARCH(" ",A351&amp;" ")-1))
))
),
1
)
)</f>
        <v>1</v>
      </c>
    </row>
    <row r="352" spans="1:2" x14ac:dyDescent="0.25">
      <c r="A352" s="2" t="str">
        <f>'[1]Base stats'!$B352</f>
        <v>Deinocheirus mirificus</v>
      </c>
      <c r="B352" s="20" cm="1">
        <f t="array" ref="B352">IF(
SUMPRODUCT(--(
TRIM(LEFT(Teeth!$A:$A,SEARCH("§",SUBSTITUTE(Teeth!$A:$A," ","§",2)&amp;"§")-1))=
TRIM(LEFT(A352,SEARCH("§",SUBSTITUTE(A352," ","§",2)&amp;"§")-1))
))&gt;0,
IF(
COUNT(_xlfn._xlws.FILTER(Teeth!$D:$D,
TRIM(LEFT(Teeth!$A:$A,SEARCH("§",SUBSTITUTE(Teeth!$A:$A," ","§",2)&amp;"§")-1))=
TRIM(LEFT(A352,SEARCH("§",SUBSTITUTE(A352," ","§",2)&amp;"§")-1))
))=0,
1,
MAX(_xlfn._xlws.FILTER(Teeth!$D:$D,
TRIM(LEFT(Teeth!$A:$A,SEARCH("§",SUBSTITUTE(Teeth!$A:$A," ","§",2)&amp;"§")-1))=
TRIM(LEFT(A352,SEARCH("§",SUBSTITUTE(A352," ","§",2)&amp;"§")-1))
))
),
IF(
SUMPRODUCT(--(
TRIM(LEFT(Teeth!$A:$A,SEARCH(" ",Teeth!$A:$A&amp;" ")-1))=
TRIM(LEFT(A352,SEARCH(" ",A352&amp;" ")-1))
))&gt;0,
IF(
COUNT(_xlfn._xlws.FILTER(Teeth!$D:$D,
TRIM(LEFT(Teeth!$A:$A,SEARCH(" ",Teeth!$A:$A&amp;" ")-1))=
TRIM(LEFT(A352,SEARCH(" ",A352&amp;" ")-1))
))=0,
1,
AVERAGE(_xlfn._xlws.FILTER(Teeth!$D:$D,
TRIM(LEFT(Teeth!$A:$A,SEARCH(" ",Teeth!$A:$A&amp;" ")-1))=
TRIM(LEFT(A352,SEARCH(" ",A352&amp;" ")-1))
))
),
1
)
)</f>
        <v>1</v>
      </c>
    </row>
    <row r="353" spans="1:2" x14ac:dyDescent="0.25">
      <c r="A353" s="2" t="str">
        <f>'[1]Base stats'!$B353</f>
        <v>Therizinosaurus cheloniformis</v>
      </c>
      <c r="B353" s="20" cm="1">
        <f t="array" ref="B353">IF(
SUMPRODUCT(--(
TRIM(LEFT(Teeth!$A:$A,SEARCH("§",SUBSTITUTE(Teeth!$A:$A," ","§",2)&amp;"§")-1))=
TRIM(LEFT(A353,SEARCH("§",SUBSTITUTE(A353," ","§",2)&amp;"§")-1))
))&gt;0,
IF(
COUNT(_xlfn._xlws.FILTER(Teeth!$D:$D,
TRIM(LEFT(Teeth!$A:$A,SEARCH("§",SUBSTITUTE(Teeth!$A:$A," ","§",2)&amp;"§")-1))=
TRIM(LEFT(A353,SEARCH("§",SUBSTITUTE(A353," ","§",2)&amp;"§")-1))
))=0,
1,
MAX(_xlfn._xlws.FILTER(Teeth!$D:$D,
TRIM(LEFT(Teeth!$A:$A,SEARCH("§",SUBSTITUTE(Teeth!$A:$A," ","§",2)&amp;"§")-1))=
TRIM(LEFT(A353,SEARCH("§",SUBSTITUTE(A353," ","§",2)&amp;"§")-1))
))
),
IF(
SUMPRODUCT(--(
TRIM(LEFT(Teeth!$A:$A,SEARCH(" ",Teeth!$A:$A&amp;" ")-1))=
TRIM(LEFT(A353,SEARCH(" ",A353&amp;" ")-1))
))&gt;0,
IF(
COUNT(_xlfn._xlws.FILTER(Teeth!$D:$D,
TRIM(LEFT(Teeth!$A:$A,SEARCH(" ",Teeth!$A:$A&amp;" ")-1))=
TRIM(LEFT(A353,SEARCH(" ",A353&amp;" ")-1))
))=0,
1,
AVERAGE(_xlfn._xlws.FILTER(Teeth!$D:$D,
TRIM(LEFT(Teeth!$A:$A,SEARCH(" ",Teeth!$A:$A&amp;" ")-1))=
TRIM(LEFT(A353,SEARCH(" ",A353&amp;" ")-1))
))
),
1
)
)</f>
        <v>1</v>
      </c>
    </row>
    <row r="354" spans="1:2" x14ac:dyDescent="0.25">
      <c r="A354" s="2" t="str">
        <f>'[1]Base stats'!$B354</f>
        <v>Pachycephalosaurus wyomingensis</v>
      </c>
      <c r="B354" s="20" cm="1">
        <f t="array" ref="B354">IF(
SUMPRODUCT(--(
TRIM(LEFT(Teeth!$A:$A,SEARCH("§",SUBSTITUTE(Teeth!$A:$A," ","§",2)&amp;"§")-1))=
TRIM(LEFT(A354,SEARCH("§",SUBSTITUTE(A354," ","§",2)&amp;"§")-1))
))&gt;0,
IF(
COUNT(_xlfn._xlws.FILTER(Teeth!$D:$D,
TRIM(LEFT(Teeth!$A:$A,SEARCH("§",SUBSTITUTE(Teeth!$A:$A," ","§",2)&amp;"§")-1))=
TRIM(LEFT(A354,SEARCH("§",SUBSTITUTE(A354," ","§",2)&amp;"§")-1))
))=0,
1,
MAX(_xlfn._xlws.FILTER(Teeth!$D:$D,
TRIM(LEFT(Teeth!$A:$A,SEARCH("§",SUBSTITUTE(Teeth!$A:$A," ","§",2)&amp;"§")-1))=
TRIM(LEFT(A354,SEARCH("§",SUBSTITUTE(A354," ","§",2)&amp;"§")-1))
))
),
IF(
SUMPRODUCT(--(
TRIM(LEFT(Teeth!$A:$A,SEARCH(" ",Teeth!$A:$A&amp;" ")-1))=
TRIM(LEFT(A354,SEARCH(" ",A354&amp;" ")-1))
))&gt;0,
IF(
COUNT(_xlfn._xlws.FILTER(Teeth!$D:$D,
TRIM(LEFT(Teeth!$A:$A,SEARCH(" ",Teeth!$A:$A&amp;" ")-1))=
TRIM(LEFT(A354,SEARCH(" ",A354&amp;" ")-1))
))=0,
1,
AVERAGE(_xlfn._xlws.FILTER(Teeth!$D:$D,
TRIM(LEFT(Teeth!$A:$A,SEARCH(" ",Teeth!$A:$A&amp;" ")-1))=
TRIM(LEFT(A354,SEARCH(" ",A354&amp;" ")-1))
))
),
1
)
)</f>
        <v>1</v>
      </c>
    </row>
    <row r="355" spans="1:2" x14ac:dyDescent="0.25">
      <c r="A355" s="2" t="str">
        <f>'[1]Base stats'!$B355</f>
        <v>Stygimoloch spinifer</v>
      </c>
      <c r="B355" s="20" cm="1">
        <f t="array" ref="B355">IF(
SUMPRODUCT(--(
TRIM(LEFT(Teeth!$A:$A,SEARCH("§",SUBSTITUTE(Teeth!$A:$A," ","§",2)&amp;"§")-1))=
TRIM(LEFT(A355,SEARCH("§",SUBSTITUTE(A355," ","§",2)&amp;"§")-1))
))&gt;0,
IF(
COUNT(_xlfn._xlws.FILTER(Teeth!$D:$D,
TRIM(LEFT(Teeth!$A:$A,SEARCH("§",SUBSTITUTE(Teeth!$A:$A," ","§",2)&amp;"§")-1))=
TRIM(LEFT(A355,SEARCH("§",SUBSTITUTE(A355," ","§",2)&amp;"§")-1))
))=0,
1,
MAX(_xlfn._xlws.FILTER(Teeth!$D:$D,
TRIM(LEFT(Teeth!$A:$A,SEARCH("§",SUBSTITUTE(Teeth!$A:$A," ","§",2)&amp;"§")-1))=
TRIM(LEFT(A355,SEARCH("§",SUBSTITUTE(A355," ","§",2)&amp;"§")-1))
))
),
IF(
SUMPRODUCT(--(
TRIM(LEFT(Teeth!$A:$A,SEARCH(" ",Teeth!$A:$A&amp;" ")-1))=
TRIM(LEFT(A355,SEARCH(" ",A355&amp;" ")-1))
))&gt;0,
IF(
COUNT(_xlfn._xlws.FILTER(Teeth!$D:$D,
TRIM(LEFT(Teeth!$A:$A,SEARCH(" ",Teeth!$A:$A&amp;" ")-1))=
TRIM(LEFT(A355,SEARCH(" ",A355&amp;" ")-1))
))=0,
1,
AVERAGE(_xlfn._xlws.FILTER(Teeth!$D:$D,
TRIM(LEFT(Teeth!$A:$A,SEARCH(" ",Teeth!$A:$A&amp;" ")-1))=
TRIM(LEFT(A355,SEARCH(" ",A355&amp;" ")-1))
))
),
1
)
)</f>
        <v>1</v>
      </c>
    </row>
    <row r="356" spans="1:2" x14ac:dyDescent="0.25">
      <c r="A356" s="2" t="str">
        <f>'[1]Base stats'!$B356</f>
        <v>Dryosaurus altus</v>
      </c>
      <c r="B356" s="20" cm="1">
        <f t="array" ref="B356">IF(
SUMPRODUCT(--(
TRIM(LEFT(Teeth!$A:$A,SEARCH("§",SUBSTITUTE(Teeth!$A:$A," ","§",2)&amp;"§")-1))=
TRIM(LEFT(A356,SEARCH("§",SUBSTITUTE(A356," ","§",2)&amp;"§")-1))
))&gt;0,
IF(
COUNT(_xlfn._xlws.FILTER(Teeth!$D:$D,
TRIM(LEFT(Teeth!$A:$A,SEARCH("§",SUBSTITUTE(Teeth!$A:$A," ","§",2)&amp;"§")-1))=
TRIM(LEFT(A356,SEARCH("§",SUBSTITUTE(A356," ","§",2)&amp;"§")-1))
))=0,
1,
MAX(_xlfn._xlws.FILTER(Teeth!$D:$D,
TRIM(LEFT(Teeth!$A:$A,SEARCH("§",SUBSTITUTE(Teeth!$A:$A," ","§",2)&amp;"§")-1))=
TRIM(LEFT(A356,SEARCH("§",SUBSTITUTE(A356," ","§",2)&amp;"§")-1))
))
),
IF(
SUMPRODUCT(--(
TRIM(LEFT(Teeth!$A:$A,SEARCH(" ",Teeth!$A:$A&amp;" ")-1))=
TRIM(LEFT(A356,SEARCH(" ",A356&amp;" ")-1))
))&gt;0,
IF(
COUNT(_xlfn._xlws.FILTER(Teeth!$D:$D,
TRIM(LEFT(Teeth!$A:$A,SEARCH(" ",Teeth!$A:$A&amp;" ")-1))=
TRIM(LEFT(A356,SEARCH(" ",A356&amp;" ")-1))
))=0,
1,
AVERAGE(_xlfn._xlws.FILTER(Teeth!$D:$D,
TRIM(LEFT(Teeth!$A:$A,SEARCH(" ",Teeth!$A:$A&amp;" ")-1))=
TRIM(LEFT(A356,SEARCH(" ",A356&amp;" ")-1))
))
),
1
)
)</f>
        <v>1</v>
      </c>
    </row>
    <row r="357" spans="1:2" x14ac:dyDescent="0.25">
      <c r="A357" s="2" t="str">
        <f>'[1]Base stats'!$B357</f>
        <v>Stegosaurus stenops</v>
      </c>
      <c r="B357" s="20" cm="1">
        <f t="array" ref="B357">IF(
SUMPRODUCT(--(
TRIM(LEFT(Teeth!$A:$A,SEARCH("§",SUBSTITUTE(Teeth!$A:$A," ","§",2)&amp;"§")-1))=
TRIM(LEFT(A357,SEARCH("§",SUBSTITUTE(A357," ","§",2)&amp;"§")-1))
))&gt;0,
IF(
COUNT(_xlfn._xlws.FILTER(Teeth!$D:$D,
TRIM(LEFT(Teeth!$A:$A,SEARCH("§",SUBSTITUTE(Teeth!$A:$A," ","§",2)&amp;"§")-1))=
TRIM(LEFT(A357,SEARCH("§",SUBSTITUTE(A357," ","§",2)&amp;"§")-1))
))=0,
1,
MAX(_xlfn._xlws.FILTER(Teeth!$D:$D,
TRIM(LEFT(Teeth!$A:$A,SEARCH("§",SUBSTITUTE(Teeth!$A:$A," ","§",2)&amp;"§")-1))=
TRIM(LEFT(A357,SEARCH("§",SUBSTITUTE(A357," ","§",2)&amp;"§")-1))
))
),
IF(
SUMPRODUCT(--(
TRIM(LEFT(Teeth!$A:$A,SEARCH(" ",Teeth!$A:$A&amp;" ")-1))=
TRIM(LEFT(A357,SEARCH(" ",A357&amp;" ")-1))
))&gt;0,
IF(
COUNT(_xlfn._xlws.FILTER(Teeth!$D:$D,
TRIM(LEFT(Teeth!$A:$A,SEARCH(" ",Teeth!$A:$A&amp;" ")-1))=
TRIM(LEFT(A357,SEARCH(" ",A357&amp;" ")-1))
))=0,
1,
AVERAGE(_xlfn._xlws.FILTER(Teeth!$D:$D,
TRIM(LEFT(Teeth!$A:$A,SEARCH(" ",Teeth!$A:$A&amp;" ")-1))=
TRIM(LEFT(A357,SEARCH(" ",A357&amp;" ")-1))
))
),
1
)
)</f>
        <v>1</v>
      </c>
    </row>
    <row r="358" spans="1:2" x14ac:dyDescent="0.25">
      <c r="A358" s="2" t="str">
        <f>'[1]Base stats'!$B358</f>
        <v>Protoceratops andrewsi</v>
      </c>
      <c r="B358" s="20" cm="1">
        <f t="array" ref="B358">IF(
SUMPRODUCT(--(
TRIM(LEFT(Teeth!$A:$A,SEARCH("§",SUBSTITUTE(Teeth!$A:$A," ","§",2)&amp;"§")-1))=
TRIM(LEFT(A358,SEARCH("§",SUBSTITUTE(A358," ","§",2)&amp;"§")-1))
))&gt;0,
IF(
COUNT(_xlfn._xlws.FILTER(Teeth!$D:$D,
TRIM(LEFT(Teeth!$A:$A,SEARCH("§",SUBSTITUTE(Teeth!$A:$A," ","§",2)&amp;"§")-1))=
TRIM(LEFT(A358,SEARCH("§",SUBSTITUTE(A358," ","§",2)&amp;"§")-1))
))=0,
1,
MAX(_xlfn._xlws.FILTER(Teeth!$D:$D,
TRIM(LEFT(Teeth!$A:$A,SEARCH("§",SUBSTITUTE(Teeth!$A:$A," ","§",2)&amp;"§")-1))=
TRIM(LEFT(A358,SEARCH("§",SUBSTITUTE(A358," ","§",2)&amp;"§")-1))
))
),
IF(
SUMPRODUCT(--(
TRIM(LEFT(Teeth!$A:$A,SEARCH(" ",Teeth!$A:$A&amp;" ")-1))=
TRIM(LEFT(A358,SEARCH(" ",A358&amp;" ")-1))
))&gt;0,
IF(
COUNT(_xlfn._xlws.FILTER(Teeth!$D:$D,
TRIM(LEFT(Teeth!$A:$A,SEARCH(" ",Teeth!$A:$A&amp;" ")-1))=
TRIM(LEFT(A358,SEARCH(" ",A358&amp;" ")-1))
))=0,
1,
AVERAGE(_xlfn._xlws.FILTER(Teeth!$D:$D,
TRIM(LEFT(Teeth!$A:$A,SEARCH(" ",Teeth!$A:$A&amp;" ")-1))=
TRIM(LEFT(A358,SEARCH(" ",A358&amp;" ")-1))
))
),
1
)
)</f>
        <v>1</v>
      </c>
    </row>
    <row r="359" spans="1:2" x14ac:dyDescent="0.25">
      <c r="A359" s="2" t="str">
        <f>'[1]Base stats'!$B359</f>
        <v>Triceratops horridus</v>
      </c>
      <c r="B359" s="20" cm="1">
        <f t="array" ref="B359">IF(
SUMPRODUCT(--(
TRIM(LEFT(Teeth!$A:$A,SEARCH("§",SUBSTITUTE(Teeth!$A:$A," ","§",2)&amp;"§")-1))=
TRIM(LEFT(A359,SEARCH("§",SUBSTITUTE(A359," ","§",2)&amp;"§")-1))
))&gt;0,
IF(
COUNT(_xlfn._xlws.FILTER(Teeth!$D:$D,
TRIM(LEFT(Teeth!$A:$A,SEARCH("§",SUBSTITUTE(Teeth!$A:$A," ","§",2)&amp;"§")-1))=
TRIM(LEFT(A359,SEARCH("§",SUBSTITUTE(A359," ","§",2)&amp;"§")-1))
))=0,
1,
MAX(_xlfn._xlws.FILTER(Teeth!$D:$D,
TRIM(LEFT(Teeth!$A:$A,SEARCH("§",SUBSTITUTE(Teeth!$A:$A," ","§",2)&amp;"§")-1))=
TRIM(LEFT(A359,SEARCH("§",SUBSTITUTE(A359," ","§",2)&amp;"§")-1))
))
),
IF(
SUMPRODUCT(--(
TRIM(LEFT(Teeth!$A:$A,SEARCH(" ",Teeth!$A:$A&amp;" ")-1))=
TRIM(LEFT(A359,SEARCH(" ",A359&amp;" ")-1))
))&gt;0,
IF(
COUNT(_xlfn._xlws.FILTER(Teeth!$D:$D,
TRIM(LEFT(Teeth!$A:$A,SEARCH(" ",Teeth!$A:$A&amp;" ")-1))=
TRIM(LEFT(A359,SEARCH(" ",A359&amp;" ")-1))
))=0,
1,
AVERAGE(_xlfn._xlws.FILTER(Teeth!$D:$D,
TRIM(LEFT(Teeth!$A:$A,SEARCH(" ",Teeth!$A:$A&amp;" ")-1))=
TRIM(LEFT(A359,SEARCH(" ",A359&amp;" ")-1))
))
),
1
)
)</f>
        <v>1</v>
      </c>
    </row>
    <row r="360" spans="1:2" x14ac:dyDescent="0.25">
      <c r="A360" s="2" t="str">
        <f>'[1]Base stats'!$B360</f>
        <v>Quetzalcoatlus northropi</v>
      </c>
      <c r="B360" s="20" cm="1">
        <f t="array" ref="B360">IF(
SUMPRODUCT(--(
TRIM(LEFT(Teeth!$A:$A,SEARCH("§",SUBSTITUTE(Teeth!$A:$A," ","§",2)&amp;"§")-1))=
TRIM(LEFT(A360,SEARCH("§",SUBSTITUTE(A360," ","§",2)&amp;"§")-1))
))&gt;0,
IF(
COUNT(_xlfn._xlws.FILTER(Teeth!$D:$D,
TRIM(LEFT(Teeth!$A:$A,SEARCH("§",SUBSTITUTE(Teeth!$A:$A," ","§",2)&amp;"§")-1))=
TRIM(LEFT(A360,SEARCH("§",SUBSTITUTE(A360," ","§",2)&amp;"§")-1))
))=0,
1,
MAX(_xlfn._xlws.FILTER(Teeth!$D:$D,
TRIM(LEFT(Teeth!$A:$A,SEARCH("§",SUBSTITUTE(Teeth!$A:$A," ","§",2)&amp;"§")-1))=
TRIM(LEFT(A360,SEARCH("§",SUBSTITUTE(A360," ","§",2)&amp;"§")-1))
))
),
IF(
SUMPRODUCT(--(
TRIM(LEFT(Teeth!$A:$A,SEARCH(" ",Teeth!$A:$A&amp;" ")-1))=
TRIM(LEFT(A360,SEARCH(" ",A360&amp;" ")-1))
))&gt;0,
IF(
COUNT(_xlfn._xlws.FILTER(Teeth!$D:$D,
TRIM(LEFT(Teeth!$A:$A,SEARCH(" ",Teeth!$A:$A&amp;" ")-1))=
TRIM(LEFT(A360,SEARCH(" ",A360&amp;" ")-1))
))=0,
1,
AVERAGE(_xlfn._xlws.FILTER(Teeth!$D:$D,
TRIM(LEFT(Teeth!$A:$A,SEARCH(" ",Teeth!$A:$A&amp;" ")-1))=
TRIM(LEFT(A360,SEARCH(" ",A360&amp;" ")-1))
))
),
1
)
)</f>
        <v>1</v>
      </c>
    </row>
    <row r="361" spans="1:2" x14ac:dyDescent="0.25">
      <c r="A361" s="2" t="str">
        <f>'[1]Base stats'!$B361</f>
        <v>Pteranodon longiceps</v>
      </c>
      <c r="B361" s="20" cm="1">
        <f t="array" ref="B361">IF(
SUMPRODUCT(--(
TRIM(LEFT(Teeth!$A:$A,SEARCH("§",SUBSTITUTE(Teeth!$A:$A," ","§",2)&amp;"§")-1))=
TRIM(LEFT(A361,SEARCH("§",SUBSTITUTE(A361," ","§",2)&amp;"§")-1))
))&gt;0,
IF(
COUNT(_xlfn._xlws.FILTER(Teeth!$D:$D,
TRIM(LEFT(Teeth!$A:$A,SEARCH("§",SUBSTITUTE(Teeth!$A:$A," ","§",2)&amp;"§")-1))=
TRIM(LEFT(A361,SEARCH("§",SUBSTITUTE(A361," ","§",2)&amp;"§")-1))
))=0,
1,
MAX(_xlfn._xlws.FILTER(Teeth!$D:$D,
TRIM(LEFT(Teeth!$A:$A,SEARCH("§",SUBSTITUTE(Teeth!$A:$A," ","§",2)&amp;"§")-1))=
TRIM(LEFT(A361,SEARCH("§",SUBSTITUTE(A361," ","§",2)&amp;"§")-1))
))
),
IF(
SUMPRODUCT(--(
TRIM(LEFT(Teeth!$A:$A,SEARCH(" ",Teeth!$A:$A&amp;" ")-1))=
TRIM(LEFT(A361,SEARCH(" ",A361&amp;" ")-1))
))&gt;0,
IF(
COUNT(_xlfn._xlws.FILTER(Teeth!$D:$D,
TRIM(LEFT(Teeth!$A:$A,SEARCH(" ",Teeth!$A:$A&amp;" ")-1))=
TRIM(LEFT(A361,SEARCH(" ",A361&amp;" ")-1))
))=0,
1,
AVERAGE(_xlfn._xlws.FILTER(Teeth!$D:$D,
TRIM(LEFT(Teeth!$A:$A,SEARCH(" ",Teeth!$A:$A&amp;" ")-1))=
TRIM(LEFT(A361,SEARCH(" ",A361&amp;" ")-1))
))
),
1
)
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E8251-428E-4B42-AFBD-A62AAD83482B}">
  <dimension ref="A1:C570"/>
  <sheetViews>
    <sheetView topLeftCell="A336" workbookViewId="0">
      <selection activeCell="C356" sqref="C356"/>
    </sheetView>
  </sheetViews>
  <sheetFormatPr defaultRowHeight="15" x14ac:dyDescent="0.25"/>
  <cols>
    <col min="1" max="1" width="33.140625" style="24" bestFit="1" customWidth="1"/>
    <col min="2" max="2" width="18.85546875" style="23" bestFit="1" customWidth="1"/>
    <col min="3" max="3" width="17.5703125" style="21" bestFit="1" customWidth="1"/>
  </cols>
  <sheetData>
    <row r="1" spans="1:3" x14ac:dyDescent="0.25">
      <c r="A1" s="18" t="s">
        <v>180</v>
      </c>
      <c r="B1" s="22" t="s">
        <v>641</v>
      </c>
      <c r="C1" s="19" t="s">
        <v>639</v>
      </c>
    </row>
    <row r="2" spans="1:3" x14ac:dyDescent="0.25">
      <c r="A2" s="2" t="str">
        <f>'[1]Base stats'!$B2</f>
        <v>Ursus maritimus</v>
      </c>
      <c r="B2" s="23">
        <f>_xlfn.XLOOKUP(A2,'[1]Base stats'!$B:$B,'[1]Base stats'!$O:$O)</f>
        <v>0</v>
      </c>
      <c r="C2" s="20" cm="1">
        <f t="array" ref="C2">IF(
SUMPRODUCT(--(
TRIM(LEFT('Bite force'!$A:$A,SEARCH("§",SUBSTITUTE('Bite force'!$A:$A," ","§",2)&amp;"§")-1))=
TRIM(LEFT(A2,SEARCH("§",SUBSTITUTE(A2," ","§",2)&amp;"§")-1))
))&gt;0,
IF(
COUNT(_xlfn._xlws.FILTER('Bite force'!$I:$I,
TRIM(LEFT('Bite force'!$A:$A,SEARCH("§",SUBSTITUTE('Bite force'!$A:$A," ","§",2)&amp;"§")-1))=
TRIM(LEFT(A2,SEARCH("§",SUBSTITUTE(A2," ","§",2)&amp;"§")-1))
))=0,
1,
IF(
B2=2,
AVERAGE(_xlfn._xlws.FILTER('Bite force'!$I:$I,
TRIM(LEFT('Bite force'!$A:$A,SEARCH("§",SUBSTITUTE('Bite force'!$A:$A," ","§",2)&amp;"§")-1))=
TRIM(LEFT(A2,SEARCH("§",SUBSTITUTE(A2," ","§",2)&amp;"§")-1))
)),
MAX(_xlfn._xlws.FILTER('Bite force'!$I:$I,
TRIM(LEFT('Bite force'!$A:$A,SEARCH("§",SUBSTITUTE('Bite force'!$A:$A," ","§",2)&amp;"§")-1))=
TRIM(LEFT(A2,SEARCH("§",SUBSTITUTE(A2," ","§",2)&amp;"§")-1))
))
)
),
IFERROR(
AVERAGE(_xlfn._xlws.FILTER('Bite force'!$I:$I,
TRIM(LEFT('Bite force'!$A:$A,SEARCH(" ",'Bite force'!$A:$A&amp;" ")-1))=
TRIM(LEFT(A2,SEARCH(" ",A2&amp;" ")-1))
)),
1
)
)</f>
        <v>0.86920396678911716</v>
      </c>
    </row>
    <row r="3" spans="1:3" x14ac:dyDescent="0.25">
      <c r="A3" s="2" t="str">
        <f>'[1]Base stats'!$B3</f>
        <v>Ursus arctos</v>
      </c>
      <c r="B3" s="23">
        <f>_xlfn.XLOOKUP(A3,'[1]Base stats'!$B:$B,'[1]Base stats'!$O:$O)</f>
        <v>0</v>
      </c>
      <c r="C3" s="20" cm="1">
        <f t="array" ref="C3">IF(
SUMPRODUCT(--(
TRIM(LEFT('Bite force'!$A:$A,SEARCH("§",SUBSTITUTE('Bite force'!$A:$A," ","§",2)&amp;"§")-1))=
TRIM(LEFT(A3,SEARCH("§",SUBSTITUTE(A3," ","§",2)&amp;"§")-1))
))&gt;0,
IF(
COUNT(_xlfn._xlws.FILTER('Bite force'!$I:$I,
TRIM(LEFT('Bite force'!$A:$A,SEARCH("§",SUBSTITUTE('Bite force'!$A:$A," ","§",2)&amp;"§")-1))=
TRIM(LEFT(A3,SEARCH("§",SUBSTITUTE(A3," ","§",2)&amp;"§")-1))
))=0,
1,
IF(
B3=2,
AVERAGE(_xlfn._xlws.FILTER('Bite force'!$I:$I,
TRIM(LEFT('Bite force'!$A:$A,SEARCH("§",SUBSTITUTE('Bite force'!$A:$A," ","§",2)&amp;"§")-1))=
TRIM(LEFT(A3,SEARCH("§",SUBSTITUTE(A3," ","§",2)&amp;"§")-1))
)),
MAX(_xlfn._xlws.FILTER('Bite force'!$I:$I,
TRIM(LEFT('Bite force'!$A:$A,SEARCH("§",SUBSTITUTE('Bite force'!$A:$A," ","§",2)&amp;"§")-1))=
TRIM(LEFT(A3,SEARCH("§",SUBSTITUTE(A3," ","§",2)&amp;"§")-1))
))
)
),
IFERROR(
AVERAGE(_xlfn._xlws.FILTER('Bite force'!$I:$I,
TRIM(LEFT('Bite force'!$A:$A,SEARCH(" ",'Bite force'!$A:$A&amp;" ")-1))=
TRIM(LEFT(A3,SEARCH(" ",A3&amp;" ")-1))
)),
1
)
)</f>
        <v>1.0629975461124597</v>
      </c>
    </row>
    <row r="4" spans="1:3" x14ac:dyDescent="0.25">
      <c r="A4" s="2" t="str">
        <f>'[1]Base stats'!$B4</f>
        <v>Procyon lotor</v>
      </c>
      <c r="B4" s="23">
        <f>_xlfn.XLOOKUP(A4,'[1]Base stats'!$B:$B,'[1]Base stats'!$O:$O)</f>
        <v>0</v>
      </c>
      <c r="C4" s="20" cm="1">
        <f t="array" ref="C4">IF(
SUMPRODUCT(--(
TRIM(LEFT('Bite force'!$A:$A,SEARCH("§",SUBSTITUTE('Bite force'!$A:$A," ","§",2)&amp;"§")-1))=
TRIM(LEFT(A4,SEARCH("§",SUBSTITUTE(A4," ","§",2)&amp;"§")-1))
))&gt;0,
IF(
COUNT(_xlfn._xlws.FILTER('Bite force'!$I:$I,
TRIM(LEFT('Bite force'!$A:$A,SEARCH("§",SUBSTITUTE('Bite force'!$A:$A," ","§",2)&amp;"§")-1))=
TRIM(LEFT(A4,SEARCH("§",SUBSTITUTE(A4," ","§",2)&amp;"§")-1))
))=0,
1,
IF(
B4=2,
AVERAGE(_xlfn._xlws.FILTER('Bite force'!$I:$I,
TRIM(LEFT('Bite force'!$A:$A,SEARCH("§",SUBSTITUTE('Bite force'!$A:$A," ","§",2)&amp;"§")-1))=
TRIM(LEFT(A4,SEARCH("§",SUBSTITUTE(A4," ","§",2)&amp;"§")-1))
)),
MAX(_xlfn._xlws.FILTER('Bite force'!$I:$I,
TRIM(LEFT('Bite force'!$A:$A,SEARCH("§",SUBSTITUTE('Bite force'!$A:$A," ","§",2)&amp;"§")-1))=
TRIM(LEFT(A4,SEARCH("§",SUBSTITUTE(A4," ","§",2)&amp;"§")-1))
))
)
),
IFERROR(
AVERAGE(_xlfn._xlws.FILTER('Bite force'!$I:$I,
TRIM(LEFT('Bite force'!$A:$A,SEARCH(" ",'Bite force'!$A:$A&amp;" ")-1))=
TRIM(LEFT(A4,SEARCH(" ",A4&amp;" ")-1))
)),
1
)
)</f>
        <v>0.72645238731721695</v>
      </c>
    </row>
    <row r="5" spans="1:3" x14ac:dyDescent="0.25">
      <c r="A5" s="2" t="str">
        <f>'[1]Base stats'!$B5</f>
        <v>Struthio camelus</v>
      </c>
      <c r="B5" s="23">
        <f>_xlfn.XLOOKUP(A5,'[1]Base stats'!$B:$B,'[1]Base stats'!$O:$O)</f>
        <v>0</v>
      </c>
      <c r="C5" s="20" cm="1">
        <f t="array" ref="C5">IF(
SUMPRODUCT(--(
TRIM(LEFT('Bite force'!$A:$A,SEARCH("§",SUBSTITUTE('Bite force'!$A:$A," ","§",2)&amp;"§")-1))=
TRIM(LEFT(A5,SEARCH("§",SUBSTITUTE(A5," ","§",2)&amp;"§")-1))
))&gt;0,
IF(
COUNT(_xlfn._xlws.FILTER('Bite force'!$I:$I,
TRIM(LEFT('Bite force'!$A:$A,SEARCH("§",SUBSTITUTE('Bite force'!$A:$A," ","§",2)&amp;"§")-1))=
TRIM(LEFT(A5,SEARCH("§",SUBSTITUTE(A5," ","§",2)&amp;"§")-1))
))=0,
1,
IF(
B5=2,
AVERAGE(_xlfn._xlws.FILTER('Bite force'!$I:$I,
TRIM(LEFT('Bite force'!$A:$A,SEARCH("§",SUBSTITUTE('Bite force'!$A:$A," ","§",2)&amp;"§")-1))=
TRIM(LEFT(A5,SEARCH("§",SUBSTITUTE(A5," ","§",2)&amp;"§")-1))
)),
MAX(_xlfn._xlws.FILTER('Bite force'!$I:$I,
TRIM(LEFT('Bite force'!$A:$A,SEARCH("§",SUBSTITUTE('Bite force'!$A:$A," ","§",2)&amp;"§")-1))=
TRIM(LEFT(A5,SEARCH("§",SUBSTITUTE(A5," ","§",2)&amp;"§")-1))
))
)
),
IFERROR(
AVERAGE(_xlfn._xlws.FILTER('Bite force'!$I:$I,
TRIM(LEFT('Bite force'!$A:$A,SEARCH(" ",'Bite force'!$A:$A&amp;" ")-1))=
TRIM(LEFT(A5,SEARCH(" ",A5&amp;" ")-1))
)),
1
)
)</f>
        <v>1</v>
      </c>
    </row>
    <row r="6" spans="1:3" x14ac:dyDescent="0.25">
      <c r="A6" s="2" t="str">
        <f>'[1]Base stats'!$B6</f>
        <v>Casuarius casuarius</v>
      </c>
      <c r="B6" s="23">
        <f>_xlfn.XLOOKUP(A6,'[1]Base stats'!$B:$B,'[1]Base stats'!$O:$O)</f>
        <v>0</v>
      </c>
      <c r="C6" s="20" cm="1">
        <f t="array" ref="C6">IF(
SUMPRODUCT(--(
TRIM(LEFT('Bite force'!$A:$A,SEARCH("§",SUBSTITUTE('Bite force'!$A:$A," ","§",2)&amp;"§")-1))=
TRIM(LEFT(A6,SEARCH("§",SUBSTITUTE(A6," ","§",2)&amp;"§")-1))
))&gt;0,
IF(
COUNT(_xlfn._xlws.FILTER('Bite force'!$I:$I,
TRIM(LEFT('Bite force'!$A:$A,SEARCH("§",SUBSTITUTE('Bite force'!$A:$A," ","§",2)&amp;"§")-1))=
TRIM(LEFT(A6,SEARCH("§",SUBSTITUTE(A6," ","§",2)&amp;"§")-1))
))=0,
1,
IF(
B6=2,
AVERAGE(_xlfn._xlws.FILTER('Bite force'!$I:$I,
TRIM(LEFT('Bite force'!$A:$A,SEARCH("§",SUBSTITUTE('Bite force'!$A:$A," ","§",2)&amp;"§")-1))=
TRIM(LEFT(A6,SEARCH("§",SUBSTITUTE(A6," ","§",2)&amp;"§")-1))
)),
MAX(_xlfn._xlws.FILTER('Bite force'!$I:$I,
TRIM(LEFT('Bite force'!$A:$A,SEARCH("§",SUBSTITUTE('Bite force'!$A:$A," ","§",2)&amp;"§")-1))=
TRIM(LEFT(A6,SEARCH("§",SUBSTITUTE(A6," ","§",2)&amp;"§")-1))
))
)
),
IFERROR(
AVERAGE(_xlfn._xlws.FILTER('Bite force'!$I:$I,
TRIM(LEFT('Bite force'!$A:$A,SEARCH(" ",'Bite force'!$A:$A&amp;" ")-1))=
TRIM(LEFT(A6,SEARCH(" ",A6&amp;" ")-1))
)),
1
)
)</f>
        <v>1</v>
      </c>
    </row>
    <row r="7" spans="1:3" x14ac:dyDescent="0.25">
      <c r="A7" s="2" t="str">
        <f>'[1]Base stats'!$B7</f>
        <v>Dromaius novaehollandiae</v>
      </c>
      <c r="B7" s="23">
        <f>_xlfn.XLOOKUP(A7,'[1]Base stats'!$B:$B,'[1]Base stats'!$O:$O)</f>
        <v>0</v>
      </c>
      <c r="C7" s="20" cm="1">
        <f t="array" ref="C7">IF(
SUMPRODUCT(--(
TRIM(LEFT('Bite force'!$A:$A,SEARCH("§",SUBSTITUTE('Bite force'!$A:$A," ","§",2)&amp;"§")-1))=
TRIM(LEFT(A7,SEARCH("§",SUBSTITUTE(A7," ","§",2)&amp;"§")-1))
))&gt;0,
IF(
COUNT(_xlfn._xlws.FILTER('Bite force'!$I:$I,
TRIM(LEFT('Bite force'!$A:$A,SEARCH("§",SUBSTITUTE('Bite force'!$A:$A," ","§",2)&amp;"§")-1))=
TRIM(LEFT(A7,SEARCH("§",SUBSTITUTE(A7," ","§",2)&amp;"§")-1))
))=0,
1,
IF(
B7=2,
AVERAGE(_xlfn._xlws.FILTER('Bite force'!$I:$I,
TRIM(LEFT('Bite force'!$A:$A,SEARCH("§",SUBSTITUTE('Bite force'!$A:$A," ","§",2)&amp;"§")-1))=
TRIM(LEFT(A7,SEARCH("§",SUBSTITUTE(A7," ","§",2)&amp;"§")-1))
)),
MAX(_xlfn._xlws.FILTER('Bite force'!$I:$I,
TRIM(LEFT('Bite force'!$A:$A,SEARCH("§",SUBSTITUTE('Bite force'!$A:$A," ","§",2)&amp;"§")-1))=
TRIM(LEFT(A7,SEARCH("§",SUBSTITUTE(A7," ","§",2)&amp;"§")-1))
))
)
),
IFERROR(
AVERAGE(_xlfn._xlws.FILTER('Bite force'!$I:$I,
TRIM(LEFT('Bite force'!$A:$A,SEARCH(" ",'Bite force'!$A:$A&amp;" ")-1))=
TRIM(LEFT(A7,SEARCH(" ",A7&amp;" ")-1))
)),
1
)
)</f>
        <v>1</v>
      </c>
    </row>
    <row r="8" spans="1:3" x14ac:dyDescent="0.25">
      <c r="A8" s="2" t="str">
        <f>'[1]Base stats'!$B8</f>
        <v>Meleagris gallopavo (wild)</v>
      </c>
      <c r="B8" s="23">
        <f>_xlfn.XLOOKUP(A8,'[1]Base stats'!$B:$B,'[1]Base stats'!$O:$O)</f>
        <v>0</v>
      </c>
      <c r="C8" s="20" cm="1">
        <f t="array" ref="C8">IF(
SUMPRODUCT(--(
TRIM(LEFT('Bite force'!$A:$A,SEARCH("§",SUBSTITUTE('Bite force'!$A:$A," ","§",2)&amp;"§")-1))=
TRIM(LEFT(A8,SEARCH("§",SUBSTITUTE(A8," ","§",2)&amp;"§")-1))
))&gt;0,
IF(
COUNT(_xlfn._xlws.FILTER('Bite force'!$I:$I,
TRIM(LEFT('Bite force'!$A:$A,SEARCH("§",SUBSTITUTE('Bite force'!$A:$A," ","§",2)&amp;"§")-1))=
TRIM(LEFT(A8,SEARCH("§",SUBSTITUTE(A8," ","§",2)&amp;"§")-1))
))=0,
1,
IF(
B8=2,
AVERAGE(_xlfn._xlws.FILTER('Bite force'!$I:$I,
TRIM(LEFT('Bite force'!$A:$A,SEARCH("§",SUBSTITUTE('Bite force'!$A:$A," ","§",2)&amp;"§")-1))=
TRIM(LEFT(A8,SEARCH("§",SUBSTITUTE(A8," ","§",2)&amp;"§")-1))
)),
MAX(_xlfn._xlws.FILTER('Bite force'!$I:$I,
TRIM(LEFT('Bite force'!$A:$A,SEARCH("§",SUBSTITUTE('Bite force'!$A:$A," ","§",2)&amp;"§")-1))=
TRIM(LEFT(A8,SEARCH("§",SUBSTITUTE(A8," ","§",2)&amp;"§")-1))
))
)
),
IFERROR(
AVERAGE(_xlfn._xlws.FILTER('Bite force'!$I:$I,
TRIM(LEFT('Bite force'!$A:$A,SEARCH(" ",'Bite force'!$A:$A&amp;" ")-1))=
TRIM(LEFT(A8,SEARCH(" ",A8&amp;" ")-1))
)),
1
)
)</f>
        <v>1</v>
      </c>
    </row>
    <row r="9" spans="1:3" x14ac:dyDescent="0.25">
      <c r="A9" s="2" t="str">
        <f>'[1]Base stats'!$B9</f>
        <v>Anser anser (Adler)</v>
      </c>
      <c r="B9" s="23">
        <f>_xlfn.XLOOKUP(A9,'[1]Base stats'!$B:$B,'[1]Base stats'!$O:$O)</f>
        <v>2</v>
      </c>
      <c r="C9" s="20" cm="1">
        <f t="array" ref="C9">IF(
SUMPRODUCT(--(
TRIM(LEFT('Bite force'!$A:$A,SEARCH("§",SUBSTITUTE('Bite force'!$A:$A," ","§",2)&amp;"§")-1))=
TRIM(LEFT(A9,SEARCH("§",SUBSTITUTE(A9," ","§",2)&amp;"§")-1))
))&gt;0,
IF(
COUNT(_xlfn._xlws.FILTER('Bite force'!$I:$I,
TRIM(LEFT('Bite force'!$A:$A,SEARCH("§",SUBSTITUTE('Bite force'!$A:$A," ","§",2)&amp;"§")-1))=
TRIM(LEFT(A9,SEARCH("§",SUBSTITUTE(A9," ","§",2)&amp;"§")-1))
))=0,
1,
IF(
B9=2,
AVERAGE(_xlfn._xlws.FILTER('Bite force'!$I:$I,
TRIM(LEFT('Bite force'!$A:$A,SEARCH("§",SUBSTITUTE('Bite force'!$A:$A," ","§",2)&amp;"§")-1))=
TRIM(LEFT(A9,SEARCH("§",SUBSTITUTE(A9," ","§",2)&amp;"§")-1))
)),
MAX(_xlfn._xlws.FILTER('Bite force'!$I:$I,
TRIM(LEFT('Bite force'!$A:$A,SEARCH("§",SUBSTITUTE('Bite force'!$A:$A," ","§",2)&amp;"§")-1))=
TRIM(LEFT(A9,SEARCH("§",SUBSTITUTE(A9," ","§",2)&amp;"§")-1))
))
)
),
IFERROR(
AVERAGE(_xlfn._xlws.FILTER('Bite force'!$I:$I,
TRIM(LEFT('Bite force'!$A:$A,SEARCH(" ",'Bite force'!$A:$A&amp;" ")-1))=
TRIM(LEFT(A9,SEARCH(" ",A9&amp;" ")-1))
)),
1
)
)</f>
        <v>1</v>
      </c>
    </row>
    <row r="10" spans="1:3" x14ac:dyDescent="0.25">
      <c r="A10" s="2" t="str">
        <f>'[1]Base stats'!$B10</f>
        <v>Anas platyrhynchos (wild)</v>
      </c>
      <c r="B10" s="23">
        <f>_xlfn.XLOOKUP(A10,'[1]Base stats'!$B:$B,'[1]Base stats'!$O:$O)</f>
        <v>0</v>
      </c>
      <c r="C10" s="20" cm="1">
        <f t="array" ref="C10">IF(
SUMPRODUCT(--(
TRIM(LEFT('Bite force'!$A:$A,SEARCH("§",SUBSTITUTE('Bite force'!$A:$A," ","§",2)&amp;"§")-1))=
TRIM(LEFT(A10,SEARCH("§",SUBSTITUTE(A10," ","§",2)&amp;"§")-1))
))&gt;0,
IF(
COUNT(_xlfn._xlws.FILTER('Bite force'!$I:$I,
TRIM(LEFT('Bite force'!$A:$A,SEARCH("§",SUBSTITUTE('Bite force'!$A:$A," ","§",2)&amp;"§")-1))=
TRIM(LEFT(A10,SEARCH("§",SUBSTITUTE(A10," ","§",2)&amp;"§")-1))
))=0,
1,
IF(
B10=2,
AVERAGE(_xlfn._xlws.FILTER('Bite force'!$I:$I,
TRIM(LEFT('Bite force'!$A:$A,SEARCH("§",SUBSTITUTE('Bite force'!$A:$A," ","§",2)&amp;"§")-1))=
TRIM(LEFT(A10,SEARCH("§",SUBSTITUTE(A10," ","§",2)&amp;"§")-1))
)),
MAX(_xlfn._xlws.FILTER('Bite force'!$I:$I,
TRIM(LEFT('Bite force'!$A:$A,SEARCH("§",SUBSTITUTE('Bite force'!$A:$A," ","§",2)&amp;"§")-1))=
TRIM(LEFT(A10,SEARCH("§",SUBSTITUTE(A10," ","§",2)&amp;"§")-1))
))
)
),
IFERROR(
AVERAGE(_xlfn._xlws.FILTER('Bite force'!$I:$I,
TRIM(LEFT('Bite force'!$A:$A,SEARCH(" ",'Bite force'!$A:$A&amp;" ")-1))=
TRIM(LEFT(A10,SEARCH(" ",A10&amp;" ")-1))
)),
1
)
)</f>
        <v>1</v>
      </c>
    </row>
    <row r="11" spans="1:3" x14ac:dyDescent="0.25">
      <c r="A11" s="2" t="str">
        <f>'[1]Base stats'!$B11</f>
        <v>Gallus gallus</v>
      </c>
      <c r="B11" s="23">
        <f>_xlfn.XLOOKUP(A11,'[1]Base stats'!$B:$B,'[1]Base stats'!$O:$O)</f>
        <v>2</v>
      </c>
      <c r="C11" s="20" cm="1">
        <f t="array" ref="C11">IF(
SUMPRODUCT(--(
TRIM(LEFT('Bite force'!$A:$A,SEARCH("§",SUBSTITUTE('Bite force'!$A:$A," ","§",2)&amp;"§")-1))=
TRIM(LEFT(A11,SEARCH("§",SUBSTITUTE(A11," ","§",2)&amp;"§")-1))
))&gt;0,
IF(
COUNT(_xlfn._xlws.FILTER('Bite force'!$I:$I,
TRIM(LEFT('Bite force'!$A:$A,SEARCH("§",SUBSTITUTE('Bite force'!$A:$A," ","§",2)&amp;"§")-1))=
TRIM(LEFT(A11,SEARCH("§",SUBSTITUTE(A11," ","§",2)&amp;"§")-1))
))=0,
1,
IF(
B11=2,
AVERAGE(_xlfn._xlws.FILTER('Bite force'!$I:$I,
TRIM(LEFT('Bite force'!$A:$A,SEARCH("§",SUBSTITUTE('Bite force'!$A:$A," ","§",2)&amp;"§")-1))=
TRIM(LEFT(A11,SEARCH("§",SUBSTITUTE(A11," ","§",2)&amp;"§")-1))
)),
MAX(_xlfn._xlws.FILTER('Bite force'!$I:$I,
TRIM(LEFT('Bite force'!$A:$A,SEARCH("§",SUBSTITUTE('Bite force'!$A:$A," ","§",2)&amp;"§")-1))=
TRIM(LEFT(A11,SEARCH("§",SUBSTITUTE(A11," ","§",2)&amp;"§")-1))
))
)
),
IFERROR(
AVERAGE(_xlfn._xlws.FILTER('Bite force'!$I:$I,
TRIM(LEFT('Bite force'!$A:$A,SEARCH(" ",'Bite force'!$A:$A&amp;" ")-1))=
TRIM(LEFT(A11,SEARCH(" ",A11&amp;" ")-1))
)),
1
)
)</f>
        <v>1</v>
      </c>
    </row>
    <row r="12" spans="1:3" x14ac:dyDescent="0.25">
      <c r="A12" s="2" t="str">
        <f>'[1]Base stats'!$B12</f>
        <v>Camelus dromedarius</v>
      </c>
      <c r="B12" s="23">
        <f>_xlfn.XLOOKUP(A12,'[1]Base stats'!$B:$B,'[1]Base stats'!$O:$O)</f>
        <v>1</v>
      </c>
      <c r="C12" s="20" cm="1">
        <f t="array" ref="C12">IF(
SUMPRODUCT(--(
TRIM(LEFT('Bite force'!$A:$A,SEARCH("§",SUBSTITUTE('Bite force'!$A:$A," ","§",2)&amp;"§")-1))=
TRIM(LEFT(A12,SEARCH("§",SUBSTITUTE(A12," ","§",2)&amp;"§")-1))
))&gt;0,
IF(
COUNT(_xlfn._xlws.FILTER('Bite force'!$I:$I,
TRIM(LEFT('Bite force'!$A:$A,SEARCH("§",SUBSTITUTE('Bite force'!$A:$A," ","§",2)&amp;"§")-1))=
TRIM(LEFT(A12,SEARCH("§",SUBSTITUTE(A12," ","§",2)&amp;"§")-1))
))=0,
1,
IF(
B12=2,
AVERAGE(_xlfn._xlws.FILTER('Bite force'!$I:$I,
TRIM(LEFT('Bite force'!$A:$A,SEARCH("§",SUBSTITUTE('Bite force'!$A:$A," ","§",2)&amp;"§")-1))=
TRIM(LEFT(A12,SEARCH("§",SUBSTITUTE(A12," ","§",2)&amp;"§")-1))
)),
MAX(_xlfn._xlws.FILTER('Bite force'!$I:$I,
TRIM(LEFT('Bite force'!$A:$A,SEARCH("§",SUBSTITUTE('Bite force'!$A:$A," ","§",2)&amp;"§")-1))=
TRIM(LEFT(A12,SEARCH("§",SUBSTITUTE(A12," ","§",2)&amp;"§")-1))
))
)
),
IFERROR(
AVERAGE(_xlfn._xlws.FILTER('Bite force'!$I:$I,
TRIM(LEFT('Bite force'!$A:$A,SEARCH(" ",'Bite force'!$A:$A&amp;" ")-1))=
TRIM(LEFT(A12,SEARCH(" ",A12&amp;" ")-1))
)),
1
)
)</f>
        <v>1</v>
      </c>
    </row>
    <row r="13" spans="1:3" x14ac:dyDescent="0.25">
      <c r="A13" s="2" t="str">
        <f>'[1]Base stats'!$B13</f>
        <v>Lama pacos</v>
      </c>
      <c r="B13" s="23">
        <f>_xlfn.XLOOKUP(A13,'[1]Base stats'!$B:$B,'[1]Base stats'!$O:$O)</f>
        <v>2</v>
      </c>
      <c r="C13" s="20" cm="1">
        <f t="array" ref="C13">IF(
SUMPRODUCT(--(
TRIM(LEFT('Bite force'!$A:$A,SEARCH("§",SUBSTITUTE('Bite force'!$A:$A," ","§",2)&amp;"§")-1))=
TRIM(LEFT(A13,SEARCH("§",SUBSTITUTE(A13," ","§",2)&amp;"§")-1))
))&gt;0,
IF(
COUNT(_xlfn._xlws.FILTER('Bite force'!$I:$I,
TRIM(LEFT('Bite force'!$A:$A,SEARCH("§",SUBSTITUTE('Bite force'!$A:$A," ","§",2)&amp;"§")-1))=
TRIM(LEFT(A13,SEARCH("§",SUBSTITUTE(A13," ","§",2)&amp;"§")-1))
))=0,
1,
IF(
B13=2,
AVERAGE(_xlfn._xlws.FILTER('Bite force'!$I:$I,
TRIM(LEFT('Bite force'!$A:$A,SEARCH("§",SUBSTITUTE('Bite force'!$A:$A," ","§",2)&amp;"§")-1))=
TRIM(LEFT(A13,SEARCH("§",SUBSTITUTE(A13," ","§",2)&amp;"§")-1))
)),
MAX(_xlfn._xlws.FILTER('Bite force'!$I:$I,
TRIM(LEFT('Bite force'!$A:$A,SEARCH("§",SUBSTITUTE('Bite force'!$A:$A," ","§",2)&amp;"§")-1))=
TRIM(LEFT(A13,SEARCH("§",SUBSTITUTE(A13," ","§",2)&amp;"§")-1))
))
)
),
IFERROR(
AVERAGE(_xlfn._xlws.FILTER('Bite force'!$I:$I,
TRIM(LEFT('Bite force'!$A:$A,SEARCH(" ",'Bite force'!$A:$A&amp;" ")-1))=
TRIM(LEFT(A13,SEARCH(" ",A13&amp;" ")-1))
)),
1
)
)</f>
        <v>1</v>
      </c>
    </row>
    <row r="14" spans="1:3" x14ac:dyDescent="0.25">
      <c r="A14" s="2" t="str">
        <f>'[1]Base stats'!$B14</f>
        <v>Canis familiaris (Yorkshire terrier)</v>
      </c>
      <c r="B14" s="23">
        <f>_xlfn.XLOOKUP(A14,'[1]Base stats'!$B:$B,'[1]Base stats'!$O:$O)</f>
        <v>2</v>
      </c>
      <c r="C14" s="20" cm="1">
        <f t="array" ref="C14">IF(
SUMPRODUCT(--(
TRIM(LEFT('Bite force'!$A:$A,SEARCH("§",SUBSTITUTE('Bite force'!$A:$A," ","§",2)&amp;"§")-1))=
TRIM(LEFT(A14,SEARCH("§",SUBSTITUTE(A14," ","§",2)&amp;"§")-1))
))&gt;0,
IF(
COUNT(_xlfn._xlws.FILTER('Bite force'!$I:$I,
TRIM(LEFT('Bite force'!$A:$A,SEARCH("§",SUBSTITUTE('Bite force'!$A:$A," ","§",2)&amp;"§")-1))=
TRIM(LEFT(A14,SEARCH("§",SUBSTITUTE(A14," ","§",2)&amp;"§")-1))
))=0,
1,
IF(
B14=2,
AVERAGE(_xlfn._xlws.FILTER('Bite force'!$I:$I,
TRIM(LEFT('Bite force'!$A:$A,SEARCH("§",SUBSTITUTE('Bite force'!$A:$A," ","§",2)&amp;"§")-1))=
TRIM(LEFT(A14,SEARCH("§",SUBSTITUTE(A14," ","§",2)&amp;"§")-1))
)),
MAX(_xlfn._xlws.FILTER('Bite force'!$I:$I,
TRIM(LEFT('Bite force'!$A:$A,SEARCH("§",SUBSTITUTE('Bite force'!$A:$A," ","§",2)&amp;"§")-1))=
TRIM(LEFT(A14,SEARCH("§",SUBSTITUTE(A14," ","§",2)&amp;"§")-1))
))
)
),
IFERROR(
AVERAGE(_xlfn._xlws.FILTER('Bite force'!$I:$I,
TRIM(LEFT('Bite force'!$A:$A,SEARCH(" ",'Bite force'!$A:$A&amp;" ")-1))=
TRIM(LEFT(A14,SEARCH(" ",A14&amp;" ")-1))
)),
1
)
)</f>
        <v>1.0429911737241087</v>
      </c>
    </row>
    <row r="15" spans="1:3" x14ac:dyDescent="0.25">
      <c r="A15" s="2" t="str">
        <f>'[1]Base stats'!$B15</f>
        <v>Canis familiaris (Labrador)</v>
      </c>
      <c r="B15" s="23">
        <f>_xlfn.XLOOKUP(A15,'[1]Base stats'!$B:$B,'[1]Base stats'!$O:$O)</f>
        <v>2</v>
      </c>
      <c r="C15" s="20" cm="1">
        <f t="array" ref="C15">IF(
SUMPRODUCT(--(
TRIM(LEFT('Bite force'!$A:$A,SEARCH("§",SUBSTITUTE('Bite force'!$A:$A," ","§",2)&amp;"§")-1))=
TRIM(LEFT(A15,SEARCH("§",SUBSTITUTE(A15," ","§",2)&amp;"§")-1))
))&gt;0,
IF(
COUNT(_xlfn._xlws.FILTER('Bite force'!$I:$I,
TRIM(LEFT('Bite force'!$A:$A,SEARCH("§",SUBSTITUTE('Bite force'!$A:$A," ","§",2)&amp;"§")-1))=
TRIM(LEFT(A15,SEARCH("§",SUBSTITUTE(A15," ","§",2)&amp;"§")-1))
))=0,
1,
IF(
B15=2,
AVERAGE(_xlfn._xlws.FILTER('Bite force'!$I:$I,
TRIM(LEFT('Bite force'!$A:$A,SEARCH("§",SUBSTITUTE('Bite force'!$A:$A," ","§",2)&amp;"§")-1))=
TRIM(LEFT(A15,SEARCH("§",SUBSTITUTE(A15," ","§",2)&amp;"§")-1))
)),
MAX(_xlfn._xlws.FILTER('Bite force'!$I:$I,
TRIM(LEFT('Bite force'!$A:$A,SEARCH("§",SUBSTITUTE('Bite force'!$A:$A," ","§",2)&amp;"§")-1))=
TRIM(LEFT(A15,SEARCH("§",SUBSTITUTE(A15," ","§",2)&amp;"§")-1))
))
)
),
IFERROR(
AVERAGE(_xlfn._xlws.FILTER('Bite force'!$I:$I,
TRIM(LEFT('Bite force'!$A:$A,SEARCH(" ",'Bite force'!$A:$A&amp;" ")-1))=
TRIM(LEFT(A15,SEARCH(" ",A15&amp;" ")-1))
)),
1
)
)</f>
        <v>1.0429911737241087</v>
      </c>
    </row>
    <row r="16" spans="1:3" x14ac:dyDescent="0.25">
      <c r="A16" s="2" t="str">
        <f>'[1]Base stats'!$B16</f>
        <v>Canis familiaris (Husky)</v>
      </c>
      <c r="B16" s="23">
        <f>_xlfn.XLOOKUP(A16,'[1]Base stats'!$B:$B,'[1]Base stats'!$O:$O)</f>
        <v>2</v>
      </c>
      <c r="C16" s="20" cm="1">
        <f t="array" ref="C16">IF(
SUMPRODUCT(--(
TRIM(LEFT('Bite force'!$A:$A,SEARCH("§",SUBSTITUTE('Bite force'!$A:$A," ","§",2)&amp;"§")-1))=
TRIM(LEFT(A16,SEARCH("§",SUBSTITUTE(A16," ","§",2)&amp;"§")-1))
))&gt;0,
IF(
COUNT(_xlfn._xlws.FILTER('Bite force'!$I:$I,
TRIM(LEFT('Bite force'!$A:$A,SEARCH("§",SUBSTITUTE('Bite force'!$A:$A," ","§",2)&amp;"§")-1))=
TRIM(LEFT(A16,SEARCH("§",SUBSTITUTE(A16," ","§",2)&amp;"§")-1))
))=0,
1,
IF(
B16=2,
AVERAGE(_xlfn._xlws.FILTER('Bite force'!$I:$I,
TRIM(LEFT('Bite force'!$A:$A,SEARCH("§",SUBSTITUTE('Bite force'!$A:$A," ","§",2)&amp;"§")-1))=
TRIM(LEFT(A16,SEARCH("§",SUBSTITUTE(A16," ","§",2)&amp;"§")-1))
)),
MAX(_xlfn._xlws.FILTER('Bite force'!$I:$I,
TRIM(LEFT('Bite force'!$A:$A,SEARCH("§",SUBSTITUTE('Bite force'!$A:$A," ","§",2)&amp;"§")-1))=
TRIM(LEFT(A16,SEARCH("§",SUBSTITUTE(A16," ","§",2)&amp;"§")-1))
))
)
),
IFERROR(
AVERAGE(_xlfn._xlws.FILTER('Bite force'!$I:$I,
TRIM(LEFT('Bite force'!$A:$A,SEARCH(" ",'Bite force'!$A:$A&amp;" ")-1))=
TRIM(LEFT(A16,SEARCH(" ",A16&amp;" ")-1))
)),
1
)
)</f>
        <v>1.0429911737241087</v>
      </c>
    </row>
    <row r="17" spans="1:3" x14ac:dyDescent="0.25">
      <c r="A17" s="2" t="str">
        <f>'[1]Base stats'!$B17</f>
        <v>Puma concolor</v>
      </c>
      <c r="B17" s="23">
        <f>_xlfn.XLOOKUP(A17,'[1]Base stats'!$B:$B,'[1]Base stats'!$O:$O)</f>
        <v>0</v>
      </c>
      <c r="C17" s="20" cm="1">
        <f t="array" ref="C17">IF(
SUMPRODUCT(--(
TRIM(LEFT('Bite force'!$A:$A,SEARCH("§",SUBSTITUTE('Bite force'!$A:$A," ","§",2)&amp;"§")-1))=
TRIM(LEFT(A17,SEARCH("§",SUBSTITUTE(A17," ","§",2)&amp;"§")-1))
))&gt;0,
IF(
COUNT(_xlfn._xlws.FILTER('Bite force'!$I:$I,
TRIM(LEFT('Bite force'!$A:$A,SEARCH("§",SUBSTITUTE('Bite force'!$A:$A," ","§",2)&amp;"§")-1))=
TRIM(LEFT(A17,SEARCH("§",SUBSTITUTE(A17," ","§",2)&amp;"§")-1))
))=0,
1,
IF(
B17=2,
AVERAGE(_xlfn._xlws.FILTER('Bite force'!$I:$I,
TRIM(LEFT('Bite force'!$A:$A,SEARCH("§",SUBSTITUTE('Bite force'!$A:$A," ","§",2)&amp;"§")-1))=
TRIM(LEFT(A17,SEARCH("§",SUBSTITUTE(A17," ","§",2)&amp;"§")-1))
)),
MAX(_xlfn._xlws.FILTER('Bite force'!$I:$I,
TRIM(LEFT('Bite force'!$A:$A,SEARCH("§",SUBSTITUTE('Bite force'!$A:$A," ","§",2)&amp;"§")-1))=
TRIM(LEFT(A17,SEARCH("§",SUBSTITUTE(A17," ","§",2)&amp;"§")-1))
))
)
),
IFERROR(
AVERAGE(_xlfn._xlws.FILTER('Bite force'!$I:$I,
TRIM(LEFT('Bite force'!$A:$A,SEARCH(" ",'Bite force'!$A:$A&amp;" ")-1))=
TRIM(LEFT(A17,SEARCH(" ",A17&amp;" ")-1))
)),
1
)
)</f>
        <v>0.77380547946425748</v>
      </c>
    </row>
    <row r="18" spans="1:3" x14ac:dyDescent="0.25">
      <c r="A18" s="2" t="str">
        <f>'[1]Base stats'!$B18</f>
        <v>Panthera pardus</v>
      </c>
      <c r="B18" s="23">
        <f>_xlfn.XLOOKUP(A18,'[1]Base stats'!$B:$B,'[1]Base stats'!$O:$O)</f>
        <v>0</v>
      </c>
      <c r="C18" s="20" cm="1">
        <f t="array" ref="C18">IF(
SUMPRODUCT(--(
TRIM(LEFT('Bite force'!$A:$A,SEARCH("§",SUBSTITUTE('Bite force'!$A:$A," ","§",2)&amp;"§")-1))=
TRIM(LEFT(A18,SEARCH("§",SUBSTITUTE(A18," ","§",2)&amp;"§")-1))
))&gt;0,
IF(
COUNT(_xlfn._xlws.FILTER('Bite force'!$I:$I,
TRIM(LEFT('Bite force'!$A:$A,SEARCH("§",SUBSTITUTE('Bite force'!$A:$A," ","§",2)&amp;"§")-1))=
TRIM(LEFT(A18,SEARCH("§",SUBSTITUTE(A18," ","§",2)&amp;"§")-1))
))=0,
1,
IF(
B18=2,
AVERAGE(_xlfn._xlws.FILTER('Bite force'!$I:$I,
TRIM(LEFT('Bite force'!$A:$A,SEARCH("§",SUBSTITUTE('Bite force'!$A:$A," ","§",2)&amp;"§")-1))=
TRIM(LEFT(A18,SEARCH("§",SUBSTITUTE(A18," ","§",2)&amp;"§")-1))
)),
MAX(_xlfn._xlws.FILTER('Bite force'!$I:$I,
TRIM(LEFT('Bite force'!$A:$A,SEARCH("§",SUBSTITUTE('Bite force'!$A:$A," ","§",2)&amp;"§")-1))=
TRIM(LEFT(A18,SEARCH("§",SUBSTITUTE(A18," ","§",2)&amp;"§")-1))
))
)
),
IFERROR(
AVERAGE(_xlfn._xlws.FILTER('Bite force'!$I:$I,
TRIM(LEFT('Bite force'!$A:$A,SEARCH(" ",'Bite force'!$A:$A&amp;" ")-1))=
TRIM(LEFT(A18,SEARCH(" ",A18&amp;" ")-1))
)),
1
)
)</f>
        <v>1.1863045298383943</v>
      </c>
    </row>
    <row r="19" spans="1:3" x14ac:dyDescent="0.25">
      <c r="A19" s="2" t="str">
        <f>'[1]Base stats'!$B19</f>
        <v>Lynx lynx</v>
      </c>
      <c r="B19" s="23">
        <f>_xlfn.XLOOKUP(A19,'[1]Base stats'!$B:$B,'[1]Base stats'!$O:$O)</f>
        <v>0</v>
      </c>
      <c r="C19" s="20" cm="1">
        <f t="array" ref="C19">IF(
SUMPRODUCT(--(
TRIM(LEFT('Bite force'!$A:$A,SEARCH("§",SUBSTITUTE('Bite force'!$A:$A," ","§",2)&amp;"§")-1))=
TRIM(LEFT(A19,SEARCH("§",SUBSTITUTE(A19," ","§",2)&amp;"§")-1))
))&gt;0,
IF(
COUNT(_xlfn._xlws.FILTER('Bite force'!$I:$I,
TRIM(LEFT('Bite force'!$A:$A,SEARCH("§",SUBSTITUTE('Bite force'!$A:$A," ","§",2)&amp;"§")-1))=
TRIM(LEFT(A19,SEARCH("§",SUBSTITUTE(A19," ","§",2)&amp;"§")-1))
))=0,
1,
IF(
B19=2,
AVERAGE(_xlfn._xlws.FILTER('Bite force'!$I:$I,
TRIM(LEFT('Bite force'!$A:$A,SEARCH("§",SUBSTITUTE('Bite force'!$A:$A," ","§",2)&amp;"§")-1))=
TRIM(LEFT(A19,SEARCH("§",SUBSTITUTE(A19," ","§",2)&amp;"§")-1))
)),
MAX(_xlfn._xlws.FILTER('Bite force'!$I:$I,
TRIM(LEFT('Bite force'!$A:$A,SEARCH("§",SUBSTITUTE('Bite force'!$A:$A," ","§",2)&amp;"§")-1))=
TRIM(LEFT(A19,SEARCH("§",SUBSTITUTE(A19," ","§",2)&amp;"§")-1))
))
)
),
IFERROR(
AVERAGE(_xlfn._xlws.FILTER('Bite force'!$I:$I,
TRIM(LEFT('Bite force'!$A:$A,SEARCH(" ",'Bite force'!$A:$A&amp;" ")-1))=
TRIM(LEFT(A19,SEARCH(" ",A19&amp;" ")-1))
)),
1
)
)</f>
        <v>0.75544720471573867</v>
      </c>
    </row>
    <row r="20" spans="1:3" x14ac:dyDescent="0.25">
      <c r="A20" s="2" t="str">
        <f>'[1]Base stats'!$B20</f>
        <v>Felis catus</v>
      </c>
      <c r="B20" s="23">
        <f>_xlfn.XLOOKUP(A20,'[1]Base stats'!$B:$B,'[1]Base stats'!$O:$O)</f>
        <v>2</v>
      </c>
      <c r="C20" s="20" cm="1">
        <f t="array" ref="C20">IF(
SUMPRODUCT(--(
TRIM(LEFT('Bite force'!$A:$A,SEARCH("§",SUBSTITUTE('Bite force'!$A:$A," ","§",2)&amp;"§")-1))=
TRIM(LEFT(A20,SEARCH("§",SUBSTITUTE(A20," ","§",2)&amp;"§")-1))
))&gt;0,
IF(
COUNT(_xlfn._xlws.FILTER('Bite force'!$I:$I,
TRIM(LEFT('Bite force'!$A:$A,SEARCH("§",SUBSTITUTE('Bite force'!$A:$A," ","§",2)&amp;"§")-1))=
TRIM(LEFT(A20,SEARCH("§",SUBSTITUTE(A20," ","§",2)&amp;"§")-1))
))=0,
1,
IF(
B20=2,
AVERAGE(_xlfn._xlws.FILTER('Bite force'!$I:$I,
TRIM(LEFT('Bite force'!$A:$A,SEARCH("§",SUBSTITUTE('Bite force'!$A:$A," ","§",2)&amp;"§")-1))=
TRIM(LEFT(A20,SEARCH("§",SUBSTITUTE(A20," ","§",2)&amp;"§")-1))
)),
MAX(_xlfn._xlws.FILTER('Bite force'!$I:$I,
TRIM(LEFT('Bite force'!$A:$A,SEARCH("§",SUBSTITUTE('Bite force'!$A:$A," ","§",2)&amp;"§")-1))=
TRIM(LEFT(A20,SEARCH("§",SUBSTITUTE(A20," ","§",2)&amp;"§")-1))
))
)
),
IFERROR(
AVERAGE(_xlfn._xlws.FILTER('Bite force'!$I:$I,
TRIM(LEFT('Bite force'!$A:$A,SEARCH(" ",'Bite force'!$A:$A&amp;" ")-1))=
TRIM(LEFT(A20,SEARCH(" ",A20&amp;" ")-1))
)),
1
)
)</f>
        <v>0.89865243686828222</v>
      </c>
    </row>
    <row r="21" spans="1:3" x14ac:dyDescent="0.25">
      <c r="A21" s="2" t="str">
        <f>'[1]Base stats'!$B21</f>
        <v>Equus caballus</v>
      </c>
      <c r="B21" s="23">
        <f>_xlfn.XLOOKUP(A21,'[1]Base stats'!$B:$B,'[1]Base stats'!$O:$O)</f>
        <v>1</v>
      </c>
      <c r="C21" s="20" cm="1">
        <f t="array" ref="C21">IF(
SUMPRODUCT(--(
TRIM(LEFT('Bite force'!$A:$A,SEARCH("§",SUBSTITUTE('Bite force'!$A:$A," ","§",2)&amp;"§")-1))=
TRIM(LEFT(A21,SEARCH("§",SUBSTITUTE(A21," ","§",2)&amp;"§")-1))
))&gt;0,
IF(
COUNT(_xlfn._xlws.FILTER('Bite force'!$I:$I,
TRIM(LEFT('Bite force'!$A:$A,SEARCH("§",SUBSTITUTE('Bite force'!$A:$A," ","§",2)&amp;"§")-1))=
TRIM(LEFT(A21,SEARCH("§",SUBSTITUTE(A21," ","§",2)&amp;"§")-1))
))=0,
1,
IF(
B21=2,
AVERAGE(_xlfn._xlws.FILTER('Bite force'!$I:$I,
TRIM(LEFT('Bite force'!$A:$A,SEARCH("§",SUBSTITUTE('Bite force'!$A:$A," ","§",2)&amp;"§")-1))=
TRIM(LEFT(A21,SEARCH("§",SUBSTITUTE(A21," ","§",2)&amp;"§")-1))
)),
MAX(_xlfn._xlws.FILTER('Bite force'!$I:$I,
TRIM(LEFT('Bite force'!$A:$A,SEARCH("§",SUBSTITUTE('Bite force'!$A:$A," ","§",2)&amp;"§")-1))=
TRIM(LEFT(A21,SEARCH("§",SUBSTITUTE(A21," ","§",2)&amp;"§")-1))
))
)
),
IFERROR(
AVERAGE(_xlfn._xlws.FILTER('Bite force'!$I:$I,
TRIM(LEFT('Bite force'!$A:$A,SEARCH(" ",'Bite force'!$A:$A&amp;" ")-1))=
TRIM(LEFT(A21,SEARCH(" ",A21&amp;" ")-1))
)),
1
)
)</f>
        <v>1</v>
      </c>
    </row>
    <row r="22" spans="1:3" x14ac:dyDescent="0.25">
      <c r="A22" s="2" t="str">
        <f>'[1]Base stats'!$B22</f>
        <v>Equus africanus</v>
      </c>
      <c r="B22" s="23">
        <f>_xlfn.XLOOKUP(A22,'[1]Base stats'!$B:$B,'[1]Base stats'!$O:$O)</f>
        <v>1</v>
      </c>
      <c r="C22" s="20" cm="1">
        <f t="array" ref="C22">IF(
SUMPRODUCT(--(
TRIM(LEFT('Bite force'!$A:$A,SEARCH("§",SUBSTITUTE('Bite force'!$A:$A," ","§",2)&amp;"§")-1))=
TRIM(LEFT(A22,SEARCH("§",SUBSTITUTE(A22," ","§",2)&amp;"§")-1))
))&gt;0,
IF(
COUNT(_xlfn._xlws.FILTER('Bite force'!$I:$I,
TRIM(LEFT('Bite force'!$A:$A,SEARCH("§",SUBSTITUTE('Bite force'!$A:$A," ","§",2)&amp;"§")-1))=
TRIM(LEFT(A22,SEARCH("§",SUBSTITUTE(A22," ","§",2)&amp;"§")-1))
))=0,
1,
IF(
B22=2,
AVERAGE(_xlfn._xlws.FILTER('Bite force'!$I:$I,
TRIM(LEFT('Bite force'!$A:$A,SEARCH("§",SUBSTITUTE('Bite force'!$A:$A," ","§",2)&amp;"§")-1))=
TRIM(LEFT(A22,SEARCH("§",SUBSTITUTE(A22," ","§",2)&amp;"§")-1))
)),
MAX(_xlfn._xlws.FILTER('Bite force'!$I:$I,
TRIM(LEFT('Bite force'!$A:$A,SEARCH("§",SUBSTITUTE('Bite force'!$A:$A," ","§",2)&amp;"§")-1))=
TRIM(LEFT(A22,SEARCH("§",SUBSTITUTE(A22," ","§",2)&amp;"§")-1))
))
)
),
IFERROR(
AVERAGE(_xlfn._xlws.FILTER('Bite force'!$I:$I,
TRIM(LEFT('Bite force'!$A:$A,SEARCH(" ",'Bite force'!$A:$A&amp;" ")-1))=
TRIM(LEFT(A22,SEARCH(" ",A22&amp;" ")-1))
)),
1
)
)</f>
        <v>1</v>
      </c>
    </row>
    <row r="23" spans="1:3" x14ac:dyDescent="0.25">
      <c r="A23" s="2" t="str">
        <f>'[1]Base stats'!$B23</f>
        <v>Lepus europaeus</v>
      </c>
      <c r="B23" s="23">
        <f>_xlfn.XLOOKUP(A23,'[1]Base stats'!$B:$B,'[1]Base stats'!$O:$O)</f>
        <v>0</v>
      </c>
      <c r="C23" s="20" cm="1">
        <f t="array" ref="C23">IF(
SUMPRODUCT(--(
TRIM(LEFT('Bite force'!$A:$A,SEARCH("§",SUBSTITUTE('Bite force'!$A:$A," ","§",2)&amp;"§")-1))=
TRIM(LEFT(A23,SEARCH("§",SUBSTITUTE(A23," ","§",2)&amp;"§")-1))
))&gt;0,
IF(
COUNT(_xlfn._xlws.FILTER('Bite force'!$I:$I,
TRIM(LEFT('Bite force'!$A:$A,SEARCH("§",SUBSTITUTE('Bite force'!$A:$A," ","§",2)&amp;"§")-1))=
TRIM(LEFT(A23,SEARCH("§",SUBSTITUTE(A23," ","§",2)&amp;"§")-1))
))=0,
1,
IF(
B23=2,
AVERAGE(_xlfn._xlws.FILTER('Bite force'!$I:$I,
TRIM(LEFT('Bite force'!$A:$A,SEARCH("§",SUBSTITUTE('Bite force'!$A:$A," ","§",2)&amp;"§")-1))=
TRIM(LEFT(A23,SEARCH("§",SUBSTITUTE(A23," ","§",2)&amp;"§")-1))
)),
MAX(_xlfn._xlws.FILTER('Bite force'!$I:$I,
TRIM(LEFT('Bite force'!$A:$A,SEARCH("§",SUBSTITUTE('Bite force'!$A:$A," ","§",2)&amp;"§")-1))=
TRIM(LEFT(A23,SEARCH("§",SUBSTITUTE(A23," ","§",2)&amp;"§")-1))
))
)
),
IFERROR(
AVERAGE(_xlfn._xlws.FILTER('Bite force'!$I:$I,
TRIM(LEFT('Bite force'!$A:$A,SEARCH(" ",'Bite force'!$A:$A&amp;" ")-1))=
TRIM(LEFT(A23,SEARCH(" ",A23&amp;" ")-1))
)),
1
)
)</f>
        <v>1</v>
      </c>
    </row>
    <row r="24" spans="1:3" x14ac:dyDescent="0.25">
      <c r="A24" s="2" t="str">
        <f>'[1]Base stats'!$B24</f>
        <v>Lepus timidus</v>
      </c>
      <c r="B24" s="23">
        <f>_xlfn.XLOOKUP(A24,'[1]Base stats'!$B:$B,'[1]Base stats'!$O:$O)</f>
        <v>0</v>
      </c>
      <c r="C24" s="20" cm="1">
        <f t="array" ref="C24">IF(
SUMPRODUCT(--(
TRIM(LEFT('Bite force'!$A:$A,SEARCH("§",SUBSTITUTE('Bite force'!$A:$A," ","§",2)&amp;"§")-1))=
TRIM(LEFT(A24,SEARCH("§",SUBSTITUTE(A24," ","§",2)&amp;"§")-1))
))&gt;0,
IF(
COUNT(_xlfn._xlws.FILTER('Bite force'!$I:$I,
TRIM(LEFT('Bite force'!$A:$A,SEARCH("§",SUBSTITUTE('Bite force'!$A:$A," ","§",2)&amp;"§")-1))=
TRIM(LEFT(A24,SEARCH("§",SUBSTITUTE(A24," ","§",2)&amp;"§")-1))
))=0,
1,
IF(
B24=2,
AVERAGE(_xlfn._xlws.FILTER('Bite force'!$I:$I,
TRIM(LEFT('Bite force'!$A:$A,SEARCH("§",SUBSTITUTE('Bite force'!$A:$A," ","§",2)&amp;"§")-1))=
TRIM(LEFT(A24,SEARCH("§",SUBSTITUTE(A24," ","§",2)&amp;"§")-1))
)),
MAX(_xlfn._xlws.FILTER('Bite force'!$I:$I,
TRIM(LEFT('Bite force'!$A:$A,SEARCH("§",SUBSTITUTE('Bite force'!$A:$A," ","§",2)&amp;"§")-1))=
TRIM(LEFT(A24,SEARCH("§",SUBSTITUTE(A24," ","§",2)&amp;"§")-1))
))
)
),
IFERROR(
AVERAGE(_xlfn._xlws.FILTER('Bite force'!$I:$I,
TRIM(LEFT('Bite force'!$A:$A,SEARCH(" ",'Bite force'!$A:$A&amp;" ")-1))=
TRIM(LEFT(A24,SEARCH(" ",A24&amp;" ")-1))
)),
1
)
)</f>
        <v>1</v>
      </c>
    </row>
    <row r="25" spans="1:3" x14ac:dyDescent="0.25">
      <c r="A25" s="2" t="str">
        <f>'[1]Base stats'!$B25</f>
        <v>Ceratotherium simum</v>
      </c>
      <c r="B25" s="23">
        <f>_xlfn.XLOOKUP(A25,'[1]Base stats'!$B:$B,'[1]Base stats'!$O:$O)</f>
        <v>0</v>
      </c>
      <c r="C25" s="20" cm="1">
        <f t="array" ref="C25">IF(
SUMPRODUCT(--(
TRIM(LEFT('Bite force'!$A:$A,SEARCH("§",SUBSTITUTE('Bite force'!$A:$A," ","§",2)&amp;"§")-1))=
TRIM(LEFT(A25,SEARCH("§",SUBSTITUTE(A25," ","§",2)&amp;"§")-1))
))&gt;0,
IF(
COUNT(_xlfn._xlws.FILTER('Bite force'!$I:$I,
TRIM(LEFT('Bite force'!$A:$A,SEARCH("§",SUBSTITUTE('Bite force'!$A:$A," ","§",2)&amp;"§")-1))=
TRIM(LEFT(A25,SEARCH("§",SUBSTITUTE(A25," ","§",2)&amp;"§")-1))
))=0,
1,
IF(
B25=2,
AVERAGE(_xlfn._xlws.FILTER('Bite force'!$I:$I,
TRIM(LEFT('Bite force'!$A:$A,SEARCH("§",SUBSTITUTE('Bite force'!$A:$A," ","§",2)&amp;"§")-1))=
TRIM(LEFT(A25,SEARCH("§",SUBSTITUTE(A25," ","§",2)&amp;"§")-1))
)),
MAX(_xlfn._xlws.FILTER('Bite force'!$I:$I,
TRIM(LEFT('Bite force'!$A:$A,SEARCH("§",SUBSTITUTE('Bite force'!$A:$A," ","§",2)&amp;"§")-1))=
TRIM(LEFT(A25,SEARCH("§",SUBSTITUTE(A25," ","§",2)&amp;"§")-1))
))
)
),
IFERROR(
AVERAGE(_xlfn._xlws.FILTER('Bite force'!$I:$I,
TRIM(LEFT('Bite force'!$A:$A,SEARCH(" ",'Bite force'!$A:$A&amp;" ")-1))=
TRIM(LEFT(A25,SEARCH(" ",A25&amp;" ")-1))
)),
1
)
)</f>
        <v>1</v>
      </c>
    </row>
    <row r="26" spans="1:3" x14ac:dyDescent="0.25">
      <c r="A26" s="2" t="str">
        <f>'[1]Base stats'!$B26</f>
        <v>Loxodonta africana</v>
      </c>
      <c r="B26" s="23">
        <f>_xlfn.XLOOKUP(A26,'[1]Base stats'!$B:$B,'[1]Base stats'!$O:$O)</f>
        <v>0</v>
      </c>
      <c r="C26" s="20" cm="1">
        <f t="array" ref="C26">IF(
SUMPRODUCT(--(
TRIM(LEFT('Bite force'!$A:$A,SEARCH("§",SUBSTITUTE('Bite force'!$A:$A," ","§",2)&amp;"§")-1))=
TRIM(LEFT(A26,SEARCH("§",SUBSTITUTE(A26," ","§",2)&amp;"§")-1))
))&gt;0,
IF(
COUNT(_xlfn._xlws.FILTER('Bite force'!$I:$I,
TRIM(LEFT('Bite force'!$A:$A,SEARCH("§",SUBSTITUTE('Bite force'!$A:$A," ","§",2)&amp;"§")-1))=
TRIM(LEFT(A26,SEARCH("§",SUBSTITUTE(A26," ","§",2)&amp;"§")-1))
))=0,
1,
IF(
B26=2,
AVERAGE(_xlfn._xlws.FILTER('Bite force'!$I:$I,
TRIM(LEFT('Bite force'!$A:$A,SEARCH("§",SUBSTITUTE('Bite force'!$A:$A," ","§",2)&amp;"§")-1))=
TRIM(LEFT(A26,SEARCH("§",SUBSTITUTE(A26," ","§",2)&amp;"§")-1))
)),
MAX(_xlfn._xlws.FILTER('Bite force'!$I:$I,
TRIM(LEFT('Bite force'!$A:$A,SEARCH("§",SUBSTITUTE('Bite force'!$A:$A," ","§",2)&amp;"§")-1))=
TRIM(LEFT(A26,SEARCH("§",SUBSTITUTE(A26," ","§",2)&amp;"§")-1))
))
)
),
IFERROR(
AVERAGE(_xlfn._xlws.FILTER('Bite force'!$I:$I,
TRIM(LEFT('Bite force'!$A:$A,SEARCH(" ",'Bite force'!$A:$A&amp;" ")-1))=
TRIM(LEFT(A26,SEARCH(" ",A26&amp;" ")-1))
)),
1
)
)</f>
        <v>1</v>
      </c>
    </row>
    <row r="27" spans="1:3" x14ac:dyDescent="0.25">
      <c r="A27" s="2" t="str">
        <f>'[1]Base stats'!$B27</f>
        <v>Thrumbo magnificus</v>
      </c>
      <c r="B27" s="23">
        <f>_xlfn.XLOOKUP(A27,'[1]Base stats'!$B:$B,'[1]Base stats'!$O:$O)</f>
        <v>0</v>
      </c>
      <c r="C27" s="20" cm="1">
        <f t="array" ref="C27">IF(
SUMPRODUCT(--(
TRIM(LEFT('Bite force'!$A:$A,SEARCH("§",SUBSTITUTE('Bite force'!$A:$A," ","§",2)&amp;"§")-1))=
TRIM(LEFT(A27,SEARCH("§",SUBSTITUTE(A27," ","§",2)&amp;"§")-1))
))&gt;0,
IF(
COUNT(_xlfn._xlws.FILTER('Bite force'!$I:$I,
TRIM(LEFT('Bite force'!$A:$A,SEARCH("§",SUBSTITUTE('Bite force'!$A:$A," ","§",2)&amp;"§")-1))=
TRIM(LEFT(A27,SEARCH("§",SUBSTITUTE(A27," ","§",2)&amp;"§")-1))
))=0,
1,
IF(
B27=2,
AVERAGE(_xlfn._xlws.FILTER('Bite force'!$I:$I,
TRIM(LEFT('Bite force'!$A:$A,SEARCH("§",SUBSTITUTE('Bite force'!$A:$A," ","§",2)&amp;"§")-1))=
TRIM(LEFT(A27,SEARCH("§",SUBSTITUTE(A27," ","§",2)&amp;"§")-1))
)),
MAX(_xlfn._xlws.FILTER('Bite force'!$I:$I,
TRIM(LEFT('Bite force'!$A:$A,SEARCH("§",SUBSTITUTE('Bite force'!$A:$A," ","§",2)&amp;"§")-1))=
TRIM(LEFT(A27,SEARCH("§",SUBSTITUTE(A27," ","§",2)&amp;"§")-1))
))
)
),
IFERROR(
AVERAGE(_xlfn._xlws.FILTER('Bite force'!$I:$I,
TRIM(LEFT('Bite force'!$A:$A,SEARCH(" ",'Bite force'!$A:$A&amp;" ")-1))=
TRIM(LEFT(A27,SEARCH(" ",A27&amp;" ")-1))
)),
1
)
)</f>
        <v>1</v>
      </c>
    </row>
    <row r="28" spans="1:3" x14ac:dyDescent="0.25">
      <c r="A28" s="2" t="str">
        <f>'[1]Base stats'!$B28</f>
        <v>Megatherium americanum</v>
      </c>
      <c r="B28" s="23">
        <f>_xlfn.XLOOKUP(A28,'[1]Base stats'!$B:$B,'[1]Base stats'!$O:$O)</f>
        <v>0</v>
      </c>
      <c r="C28" s="20" cm="1">
        <f t="array" ref="C28">IF(
SUMPRODUCT(--(
TRIM(LEFT('Bite force'!$A:$A,SEARCH("§",SUBSTITUTE('Bite force'!$A:$A," ","§",2)&amp;"§")-1))=
TRIM(LEFT(A28,SEARCH("§",SUBSTITUTE(A28," ","§",2)&amp;"§")-1))
))&gt;0,
IF(
COUNT(_xlfn._xlws.FILTER('Bite force'!$I:$I,
TRIM(LEFT('Bite force'!$A:$A,SEARCH("§",SUBSTITUTE('Bite force'!$A:$A," ","§",2)&amp;"§")-1))=
TRIM(LEFT(A28,SEARCH("§",SUBSTITUTE(A28," ","§",2)&amp;"§")-1))
))=0,
1,
IF(
B28=2,
AVERAGE(_xlfn._xlws.FILTER('Bite force'!$I:$I,
TRIM(LEFT('Bite force'!$A:$A,SEARCH("§",SUBSTITUTE('Bite force'!$A:$A," ","§",2)&amp;"§")-1))=
TRIM(LEFT(A28,SEARCH("§",SUBSTITUTE(A28," ","§",2)&amp;"§")-1))
)),
MAX(_xlfn._xlws.FILTER('Bite force'!$I:$I,
TRIM(LEFT('Bite force'!$A:$A,SEARCH("§",SUBSTITUTE('Bite force'!$A:$A," ","§",2)&amp;"§")-1))=
TRIM(LEFT(A28,SEARCH("§",SUBSTITUTE(A28," ","§",2)&amp;"§")-1))
))
)
),
IFERROR(
AVERAGE(_xlfn._xlws.FILTER('Bite force'!$I:$I,
TRIM(LEFT('Bite force'!$A:$A,SEARCH(" ",'Bite force'!$A:$A&amp;" ")-1))=
TRIM(LEFT(A28,SEARCH(" ",A28&amp;" ")-1))
)),
1
)
)</f>
        <v>1</v>
      </c>
    </row>
    <row r="29" spans="1:3" x14ac:dyDescent="0.25">
      <c r="A29" s="2" t="str">
        <f>'[1]Base stats'!$B29</f>
        <v>Sus scrofa</v>
      </c>
      <c r="B29" s="23">
        <f>_xlfn.XLOOKUP(A29,'[1]Base stats'!$B:$B,'[1]Base stats'!$O:$O)</f>
        <v>0</v>
      </c>
      <c r="C29" s="20" cm="1">
        <f t="array" ref="C29">IF(
SUMPRODUCT(--(
TRIM(LEFT('Bite force'!$A:$A,SEARCH("§",SUBSTITUTE('Bite force'!$A:$A," ","§",2)&amp;"§")-1))=
TRIM(LEFT(A29,SEARCH("§",SUBSTITUTE(A29," ","§",2)&amp;"§")-1))
))&gt;0,
IF(
COUNT(_xlfn._xlws.FILTER('Bite force'!$I:$I,
TRIM(LEFT('Bite force'!$A:$A,SEARCH("§",SUBSTITUTE('Bite force'!$A:$A," ","§",2)&amp;"§")-1))=
TRIM(LEFT(A29,SEARCH("§",SUBSTITUTE(A29," ","§",2)&amp;"§")-1))
))=0,
1,
IF(
B29=2,
AVERAGE(_xlfn._xlws.FILTER('Bite force'!$I:$I,
TRIM(LEFT('Bite force'!$A:$A,SEARCH("§",SUBSTITUTE('Bite force'!$A:$A," ","§",2)&amp;"§")-1))=
TRIM(LEFT(A29,SEARCH("§",SUBSTITUTE(A29," ","§",2)&amp;"§")-1))
)),
MAX(_xlfn._xlws.FILTER('Bite force'!$I:$I,
TRIM(LEFT('Bite force'!$A:$A,SEARCH("§",SUBSTITUTE('Bite force'!$A:$A," ","§",2)&amp;"§")-1))=
TRIM(LEFT(A29,SEARCH("§",SUBSTITUTE(A29," ","§",2)&amp;"§")-1))
))
)
),
IFERROR(
AVERAGE(_xlfn._xlws.FILTER('Bite force'!$I:$I,
TRIM(LEFT('Bite force'!$A:$A,SEARCH(" ",'Bite force'!$A:$A&amp;" ")-1))=
TRIM(LEFT(A29,SEARCH(" ",A29&amp;" ")-1))
)),
1
)
)</f>
        <v>1.1263193361005157</v>
      </c>
    </row>
    <row r="30" spans="1:3" x14ac:dyDescent="0.25">
      <c r="A30" s="2" t="str">
        <f>'[1]Base stats'!$B30</f>
        <v>Sus scrofa (domestic)</v>
      </c>
      <c r="B30" s="23">
        <f>_xlfn.XLOOKUP(A30,'[1]Base stats'!$B:$B,'[1]Base stats'!$O:$O)</f>
        <v>2</v>
      </c>
      <c r="C30" s="20" cm="1">
        <f t="array" ref="C30">IF(
SUMPRODUCT(--(
TRIM(LEFT('Bite force'!$A:$A,SEARCH("§",SUBSTITUTE('Bite force'!$A:$A," ","§",2)&amp;"§")-1))=
TRIM(LEFT(A30,SEARCH("§",SUBSTITUTE(A30," ","§",2)&amp;"§")-1))
))&gt;0,
IF(
COUNT(_xlfn._xlws.FILTER('Bite force'!$I:$I,
TRIM(LEFT('Bite force'!$A:$A,SEARCH("§",SUBSTITUTE('Bite force'!$A:$A," ","§",2)&amp;"§")-1))=
TRIM(LEFT(A30,SEARCH("§",SUBSTITUTE(A30," ","§",2)&amp;"§")-1))
))=0,
1,
IF(
B30=2,
AVERAGE(_xlfn._xlws.FILTER('Bite force'!$I:$I,
TRIM(LEFT('Bite force'!$A:$A,SEARCH("§",SUBSTITUTE('Bite force'!$A:$A," ","§",2)&amp;"§")-1))=
TRIM(LEFT(A30,SEARCH("§",SUBSTITUTE(A30," ","§",2)&amp;"§")-1))
)),
MAX(_xlfn._xlws.FILTER('Bite force'!$I:$I,
TRIM(LEFT('Bite force'!$A:$A,SEARCH("§",SUBSTITUTE('Bite force'!$A:$A," ","§",2)&amp;"§")-1))=
TRIM(LEFT(A30,SEARCH("§",SUBSTITUTE(A30," ","§",2)&amp;"§")-1))
))
)
),
IFERROR(
AVERAGE(_xlfn._xlws.FILTER('Bite force'!$I:$I,
TRIM(LEFT('Bite force'!$A:$A,SEARCH(" ",'Bite force'!$A:$A&amp;" ")-1))=
TRIM(LEFT(A30,SEARCH(" ",A30&amp;" ")-1))
)),
1
)
)</f>
        <v>0.97083004636870796</v>
      </c>
    </row>
    <row r="31" spans="1:3" x14ac:dyDescent="0.25">
      <c r="A31" s="2" t="str">
        <f>'[1]Base stats'!$B31</f>
        <v>Macaca mulatta</v>
      </c>
      <c r="B31" s="23">
        <f>_xlfn.XLOOKUP(A31,'[1]Base stats'!$B:$B,'[1]Base stats'!$O:$O)</f>
        <v>0</v>
      </c>
      <c r="C31" s="20" cm="1">
        <f t="array" ref="C31">IF(
SUMPRODUCT(--(
TRIM(LEFT('Bite force'!$A:$A,SEARCH("§",SUBSTITUTE('Bite force'!$A:$A," ","§",2)&amp;"§")-1))=
TRIM(LEFT(A31,SEARCH("§",SUBSTITUTE(A31," ","§",2)&amp;"§")-1))
))&gt;0,
IF(
COUNT(_xlfn._xlws.FILTER('Bite force'!$I:$I,
TRIM(LEFT('Bite force'!$A:$A,SEARCH("§",SUBSTITUTE('Bite force'!$A:$A," ","§",2)&amp;"§")-1))=
TRIM(LEFT(A31,SEARCH("§",SUBSTITUTE(A31," ","§",2)&amp;"§")-1))
))=0,
1,
IF(
B31=2,
AVERAGE(_xlfn._xlws.FILTER('Bite force'!$I:$I,
TRIM(LEFT('Bite force'!$A:$A,SEARCH("§",SUBSTITUTE('Bite force'!$A:$A," ","§",2)&amp;"§")-1))=
TRIM(LEFT(A31,SEARCH("§",SUBSTITUTE(A31," ","§",2)&amp;"§")-1))
)),
MAX(_xlfn._xlws.FILTER('Bite force'!$I:$I,
TRIM(LEFT('Bite force'!$A:$A,SEARCH("§",SUBSTITUTE('Bite force'!$A:$A," ","§",2)&amp;"§")-1))=
TRIM(LEFT(A31,SEARCH("§",SUBSTITUTE(A31," ","§",2)&amp;"§")-1))
))
)
),
IFERROR(
AVERAGE(_xlfn._xlws.FILTER('Bite force'!$I:$I,
TRIM(LEFT('Bite force'!$A:$A,SEARCH(" ",'Bite force'!$A:$A&amp;" ")-1))=
TRIM(LEFT(A31,SEARCH(" ",A31&amp;" ")-1))
)),
1
)
)</f>
        <v>2.3599119779468505</v>
      </c>
    </row>
    <row r="32" spans="1:3" x14ac:dyDescent="0.25">
      <c r="A32" s="2" t="str">
        <f>'[1]Base stats'!$B32</f>
        <v>Iguana iguana</v>
      </c>
      <c r="B32" s="23">
        <f>_xlfn.XLOOKUP(A32,'[1]Base stats'!$B:$B,'[1]Base stats'!$O:$O)</f>
        <v>0</v>
      </c>
      <c r="C32" s="20" cm="1">
        <f t="array" ref="C32">IF(
SUMPRODUCT(--(
TRIM(LEFT('Bite force'!$A:$A,SEARCH("§",SUBSTITUTE('Bite force'!$A:$A," ","§",2)&amp;"§")-1))=
TRIM(LEFT(A32,SEARCH("§",SUBSTITUTE(A32," ","§",2)&amp;"§")-1))
))&gt;0,
IF(
COUNT(_xlfn._xlws.FILTER('Bite force'!$I:$I,
TRIM(LEFT('Bite force'!$A:$A,SEARCH("§",SUBSTITUTE('Bite force'!$A:$A," ","§",2)&amp;"§")-1))=
TRIM(LEFT(A32,SEARCH("§",SUBSTITUTE(A32," ","§",2)&amp;"§")-1))
))=0,
1,
IF(
B32=2,
AVERAGE(_xlfn._xlws.FILTER('Bite force'!$I:$I,
TRIM(LEFT('Bite force'!$A:$A,SEARCH("§",SUBSTITUTE('Bite force'!$A:$A," ","§",2)&amp;"§")-1))=
TRIM(LEFT(A32,SEARCH("§",SUBSTITUTE(A32," ","§",2)&amp;"§")-1))
)),
MAX(_xlfn._xlws.FILTER('Bite force'!$I:$I,
TRIM(LEFT('Bite force'!$A:$A,SEARCH("§",SUBSTITUTE('Bite force'!$A:$A," ","§",2)&amp;"§")-1))=
TRIM(LEFT(A32,SEARCH("§",SUBSTITUTE(A32," ","§",2)&amp;"§")-1))
))
)
),
IFERROR(
AVERAGE(_xlfn._xlws.FILTER('Bite force'!$I:$I,
TRIM(LEFT('Bite force'!$A:$A,SEARCH(" ",'Bite force'!$A:$A&amp;" ")-1))=
TRIM(LEFT(A32,SEARCH(" ",A32&amp;" ")-1))
)),
1
)
)</f>
        <v>1</v>
      </c>
    </row>
    <row r="33" spans="1:3" x14ac:dyDescent="0.25">
      <c r="A33" s="2" t="str">
        <f>'[1]Base stats'!$B33</f>
        <v>Ophiophagus hannah</v>
      </c>
      <c r="B33" s="23">
        <f>_xlfn.XLOOKUP(A33,'[1]Base stats'!$B:$B,'[1]Base stats'!$O:$O)</f>
        <v>0</v>
      </c>
      <c r="C33" s="20" cm="1">
        <f t="array" ref="C33">IF(
SUMPRODUCT(--(
TRIM(LEFT('Bite force'!$A:$A,SEARCH("§",SUBSTITUTE('Bite force'!$A:$A," ","§",2)&amp;"§")-1))=
TRIM(LEFT(A33,SEARCH("§",SUBSTITUTE(A33," ","§",2)&amp;"§")-1))
))&gt;0,
IF(
COUNT(_xlfn._xlws.FILTER('Bite force'!$I:$I,
TRIM(LEFT('Bite force'!$A:$A,SEARCH("§",SUBSTITUTE('Bite force'!$A:$A," ","§",2)&amp;"§")-1))=
TRIM(LEFT(A33,SEARCH("§",SUBSTITUTE(A33," ","§",2)&amp;"§")-1))
))=0,
1,
IF(
B33=2,
AVERAGE(_xlfn._xlws.FILTER('Bite force'!$I:$I,
TRIM(LEFT('Bite force'!$A:$A,SEARCH("§",SUBSTITUTE('Bite force'!$A:$A," ","§",2)&amp;"§")-1))=
TRIM(LEFT(A33,SEARCH("§",SUBSTITUTE(A33," ","§",2)&amp;"§")-1))
)),
MAX(_xlfn._xlws.FILTER('Bite force'!$I:$I,
TRIM(LEFT('Bite force'!$A:$A,SEARCH("§",SUBSTITUTE('Bite force'!$A:$A," ","§",2)&amp;"§")-1))=
TRIM(LEFT(A33,SEARCH("§",SUBSTITUTE(A33," ","§",2)&amp;"§")-1))
))
)
),
IFERROR(
AVERAGE(_xlfn._xlws.FILTER('Bite force'!$I:$I,
TRIM(LEFT('Bite force'!$A:$A,SEARCH(" ",'Bite force'!$A:$A&amp;" ")-1))=
TRIM(LEFT(A33,SEARCH(" ",A33&amp;" ")-1))
)),
1
)
)</f>
        <v>1</v>
      </c>
    </row>
    <row r="34" spans="1:3" x14ac:dyDescent="0.25">
      <c r="A34" s="2" t="str">
        <f>'[1]Base stats'!$B34</f>
        <v>Manouria emys</v>
      </c>
      <c r="B34" s="23">
        <f>_xlfn.XLOOKUP(A34,'[1]Base stats'!$B:$B,'[1]Base stats'!$O:$O)</f>
        <v>0</v>
      </c>
      <c r="C34" s="20" cm="1">
        <f t="array" ref="C34">IF(
SUMPRODUCT(--(
TRIM(LEFT('Bite force'!$A:$A,SEARCH("§",SUBSTITUTE('Bite force'!$A:$A," ","§",2)&amp;"§")-1))=
TRIM(LEFT(A34,SEARCH("§",SUBSTITUTE(A34," ","§",2)&amp;"§")-1))
))&gt;0,
IF(
COUNT(_xlfn._xlws.FILTER('Bite force'!$I:$I,
TRIM(LEFT('Bite force'!$A:$A,SEARCH("§",SUBSTITUTE('Bite force'!$A:$A," ","§",2)&amp;"§")-1))=
TRIM(LEFT(A34,SEARCH("§",SUBSTITUTE(A34," ","§",2)&amp;"§")-1))
))=0,
1,
IF(
B34=2,
AVERAGE(_xlfn._xlws.FILTER('Bite force'!$I:$I,
TRIM(LEFT('Bite force'!$A:$A,SEARCH("§",SUBSTITUTE('Bite force'!$A:$A," ","§",2)&amp;"§")-1))=
TRIM(LEFT(A34,SEARCH("§",SUBSTITUTE(A34," ","§",2)&amp;"§")-1))
)),
MAX(_xlfn._xlws.FILTER('Bite force'!$I:$I,
TRIM(LEFT('Bite force'!$A:$A,SEARCH("§",SUBSTITUTE('Bite force'!$A:$A," ","§",2)&amp;"§")-1))=
TRIM(LEFT(A34,SEARCH("§",SUBSTITUTE(A34," ","§",2)&amp;"§")-1))
))
)
),
IFERROR(
AVERAGE(_xlfn._xlws.FILTER('Bite force'!$I:$I,
TRIM(LEFT('Bite force'!$A:$A,SEARCH(" ",'Bite force'!$A:$A&amp;" ")-1))=
TRIM(LEFT(A34,SEARCH(" ",A34&amp;" ")-1))
)),
1
)
)</f>
        <v>1</v>
      </c>
    </row>
    <row r="35" spans="1:3" x14ac:dyDescent="0.25">
      <c r="A35" s="2" t="str">
        <f>'[1]Base stats'!$B35</f>
        <v>Rattus norvegicus</v>
      </c>
      <c r="B35" s="23">
        <f>_xlfn.XLOOKUP(A35,'[1]Base stats'!$B:$B,'[1]Base stats'!$O:$O)</f>
        <v>0</v>
      </c>
      <c r="C35" s="20" cm="1">
        <f t="array" ref="C35">IF(
SUMPRODUCT(--(
TRIM(LEFT('Bite force'!$A:$A,SEARCH("§",SUBSTITUTE('Bite force'!$A:$A," ","§",2)&amp;"§")-1))=
TRIM(LEFT(A35,SEARCH("§",SUBSTITUTE(A35," ","§",2)&amp;"§")-1))
))&gt;0,
IF(
COUNT(_xlfn._xlws.FILTER('Bite force'!$I:$I,
TRIM(LEFT('Bite force'!$A:$A,SEARCH("§",SUBSTITUTE('Bite force'!$A:$A," ","§",2)&amp;"§")-1))=
TRIM(LEFT(A35,SEARCH("§",SUBSTITUTE(A35," ","§",2)&amp;"§")-1))
))=0,
1,
IF(
B35=2,
AVERAGE(_xlfn._xlws.FILTER('Bite force'!$I:$I,
TRIM(LEFT('Bite force'!$A:$A,SEARCH("§",SUBSTITUTE('Bite force'!$A:$A," ","§",2)&amp;"§")-1))=
TRIM(LEFT(A35,SEARCH("§",SUBSTITUTE(A35," ","§",2)&amp;"§")-1))
)),
MAX(_xlfn._xlws.FILTER('Bite force'!$I:$I,
TRIM(LEFT('Bite force'!$A:$A,SEARCH("§",SUBSTITUTE('Bite force'!$A:$A," ","§",2)&amp;"§")-1))=
TRIM(LEFT(A35,SEARCH("§",SUBSTITUTE(A35," ","§",2)&amp;"§")-1))
))
)
),
IFERROR(
AVERAGE(_xlfn._xlws.FILTER('Bite force'!$I:$I,
TRIM(LEFT('Bite force'!$A:$A,SEARCH(" ",'Bite force'!$A:$A&amp;" ")-1))=
TRIM(LEFT(A35,SEARCH(" ",A35&amp;" ")-1))
)),
1
)
)</f>
        <v>1.2301255004119624</v>
      </c>
    </row>
    <row r="36" spans="1:3" x14ac:dyDescent="0.25">
      <c r="A36" s="2" t="str">
        <f>'[1]Base stats'!$B36</f>
        <v>Sciurus vulgaris</v>
      </c>
      <c r="B36" s="23">
        <f>_xlfn.XLOOKUP(A36,'[1]Base stats'!$B:$B,'[1]Base stats'!$O:$O)</f>
        <v>0</v>
      </c>
      <c r="C36" s="20" cm="1">
        <f t="array" ref="C36">IF(
SUMPRODUCT(--(
TRIM(LEFT('Bite force'!$A:$A,SEARCH("§",SUBSTITUTE('Bite force'!$A:$A," ","§",2)&amp;"§")-1))=
TRIM(LEFT(A36,SEARCH("§",SUBSTITUTE(A36," ","§",2)&amp;"§")-1))
))&gt;0,
IF(
COUNT(_xlfn._xlws.FILTER('Bite force'!$I:$I,
TRIM(LEFT('Bite force'!$A:$A,SEARCH("§",SUBSTITUTE('Bite force'!$A:$A," ","§",2)&amp;"§")-1))=
TRIM(LEFT(A36,SEARCH("§",SUBSTITUTE(A36," ","§",2)&amp;"§")-1))
))=0,
1,
IF(
B36=2,
AVERAGE(_xlfn._xlws.FILTER('Bite force'!$I:$I,
TRIM(LEFT('Bite force'!$A:$A,SEARCH("§",SUBSTITUTE('Bite force'!$A:$A," ","§",2)&amp;"§")-1))=
TRIM(LEFT(A36,SEARCH("§",SUBSTITUTE(A36," ","§",2)&amp;"§")-1))
)),
MAX(_xlfn._xlws.FILTER('Bite force'!$I:$I,
TRIM(LEFT('Bite force'!$A:$A,SEARCH("§",SUBSTITUTE('Bite force'!$A:$A," ","§",2)&amp;"§")-1))=
TRIM(LEFT(A36,SEARCH("§",SUBSTITUTE(A36," ","§",2)&amp;"§")-1))
))
)
),
IFERROR(
AVERAGE(_xlfn._xlws.FILTER('Bite force'!$I:$I,
TRIM(LEFT('Bite force'!$A:$A,SEARCH(" ",'Bite force'!$A:$A&amp;" ")-1))=
TRIM(LEFT(A36,SEARCH(" ",A36&amp;" ")-1))
)),
1
)
)</f>
        <v>1.333594210519996</v>
      </c>
    </row>
    <row r="37" spans="1:3" x14ac:dyDescent="0.25">
      <c r="A37" s="2" t="str">
        <f>'[1]Base stats'!$B37</f>
        <v>Cavia porcellus</v>
      </c>
      <c r="B37" s="23">
        <f>_xlfn.XLOOKUP(A37,'[1]Base stats'!$B:$B,'[1]Base stats'!$O:$O)</f>
        <v>1</v>
      </c>
      <c r="C37" s="20" cm="1">
        <f t="array" ref="C37">IF(
SUMPRODUCT(--(
TRIM(LEFT('Bite force'!$A:$A,SEARCH("§",SUBSTITUTE('Bite force'!$A:$A," ","§",2)&amp;"§")-1))=
TRIM(LEFT(A37,SEARCH("§",SUBSTITUTE(A37," ","§",2)&amp;"§")-1))
))&gt;0,
IF(
COUNT(_xlfn._xlws.FILTER('Bite force'!$I:$I,
TRIM(LEFT('Bite force'!$A:$A,SEARCH("§",SUBSTITUTE('Bite force'!$A:$A," ","§",2)&amp;"§")-1))=
TRIM(LEFT(A37,SEARCH("§",SUBSTITUTE(A37," ","§",2)&amp;"§")-1))
))=0,
1,
IF(
B37=2,
AVERAGE(_xlfn._xlws.FILTER('Bite force'!$I:$I,
TRIM(LEFT('Bite force'!$A:$A,SEARCH("§",SUBSTITUTE('Bite force'!$A:$A," ","§",2)&amp;"§")-1))=
TRIM(LEFT(A37,SEARCH("§",SUBSTITUTE(A37," ","§",2)&amp;"§")-1))
)),
MAX(_xlfn._xlws.FILTER('Bite force'!$I:$I,
TRIM(LEFT('Bite force'!$A:$A,SEARCH("§",SUBSTITUTE('Bite force'!$A:$A," ","§",2)&amp;"§")-1))=
TRIM(LEFT(A37,SEARCH("§",SUBSTITUTE(A37," ","§",2)&amp;"§")-1))
))
)
),
IFERROR(
AVERAGE(_xlfn._xlws.FILTER('Bite force'!$I:$I,
TRIM(LEFT('Bite force'!$A:$A,SEARCH(" ",'Bite force'!$A:$A&amp;" ")-1))=
TRIM(LEFT(A37,SEARCH(" ",A37&amp;" ")-1))
)),
1
)
)</f>
        <v>1</v>
      </c>
    </row>
    <row r="38" spans="1:3" x14ac:dyDescent="0.25">
      <c r="A38" s="2" t="str">
        <f>'[1]Base stats'!$B38</f>
        <v>Chinchilla lanigera</v>
      </c>
      <c r="B38" s="23">
        <f>_xlfn.XLOOKUP(A38,'[1]Base stats'!$B:$B,'[1]Base stats'!$O:$O)</f>
        <v>0</v>
      </c>
      <c r="C38" s="20" cm="1">
        <f t="array" ref="C38">IF(
SUMPRODUCT(--(
TRIM(LEFT('Bite force'!$A:$A,SEARCH("§",SUBSTITUTE('Bite force'!$A:$A," ","§",2)&amp;"§")-1))=
TRIM(LEFT(A38,SEARCH("§",SUBSTITUTE(A38," ","§",2)&amp;"§")-1))
))&gt;0,
IF(
COUNT(_xlfn._xlws.FILTER('Bite force'!$I:$I,
TRIM(LEFT('Bite force'!$A:$A,SEARCH("§",SUBSTITUTE('Bite force'!$A:$A," ","§",2)&amp;"§")-1))=
TRIM(LEFT(A38,SEARCH("§",SUBSTITUTE(A38," ","§",2)&amp;"§")-1))
))=0,
1,
IF(
B38=2,
AVERAGE(_xlfn._xlws.FILTER('Bite force'!$I:$I,
TRIM(LEFT('Bite force'!$A:$A,SEARCH("§",SUBSTITUTE('Bite force'!$A:$A," ","§",2)&amp;"§")-1))=
TRIM(LEFT(A38,SEARCH("§",SUBSTITUTE(A38," ","§",2)&amp;"§")-1))
)),
MAX(_xlfn._xlws.FILTER('Bite force'!$I:$I,
TRIM(LEFT('Bite force'!$A:$A,SEARCH("§",SUBSTITUTE('Bite force'!$A:$A," ","§",2)&amp;"§")-1))=
TRIM(LEFT(A38,SEARCH("§",SUBSTITUTE(A38," ","§",2)&amp;"§")-1))
))
)
),
IFERROR(
AVERAGE(_xlfn._xlws.FILTER('Bite force'!$I:$I,
TRIM(LEFT('Bite force'!$A:$A,SEARCH(" ",'Bite force'!$A:$A&amp;" ")-1))=
TRIM(LEFT(A38,SEARCH(" ",A38&amp;" ")-1))
)),
1
)
)</f>
        <v>1</v>
      </c>
    </row>
    <row r="39" spans="1:3" x14ac:dyDescent="0.25">
      <c r="A39" s="2" t="str">
        <f>'[1]Base stats'!$B39</f>
        <v>Hydrochaeris hydrochaeris</v>
      </c>
      <c r="B39" s="23">
        <f>_xlfn.XLOOKUP(A39,'[1]Base stats'!$B:$B,'[1]Base stats'!$O:$O)</f>
        <v>0</v>
      </c>
      <c r="C39" s="20" cm="1">
        <f t="array" ref="C39">IF(
SUMPRODUCT(--(
TRIM(LEFT('Bite force'!$A:$A,SEARCH("§",SUBSTITUTE('Bite force'!$A:$A," ","§",2)&amp;"§")-1))=
TRIM(LEFT(A39,SEARCH("§",SUBSTITUTE(A39," ","§",2)&amp;"§")-1))
))&gt;0,
IF(
COUNT(_xlfn._xlws.FILTER('Bite force'!$I:$I,
TRIM(LEFT('Bite force'!$A:$A,SEARCH("§",SUBSTITUTE('Bite force'!$A:$A," ","§",2)&amp;"§")-1))=
TRIM(LEFT(A39,SEARCH("§",SUBSTITUTE(A39," ","§",2)&amp;"§")-1))
))=0,
1,
IF(
B39=2,
AVERAGE(_xlfn._xlws.FILTER('Bite force'!$I:$I,
TRIM(LEFT('Bite force'!$A:$A,SEARCH("§",SUBSTITUTE('Bite force'!$A:$A," ","§",2)&amp;"§")-1))=
TRIM(LEFT(A39,SEARCH("§",SUBSTITUTE(A39," ","§",2)&amp;"§")-1))
)),
MAX(_xlfn._xlws.FILTER('Bite force'!$I:$I,
TRIM(LEFT('Bite force'!$A:$A,SEARCH("§",SUBSTITUTE('Bite force'!$A:$A," ","§",2)&amp;"§")-1))=
TRIM(LEFT(A39,SEARCH("§",SUBSTITUTE(A39," ","§",2)&amp;"§")-1))
))
)
),
IFERROR(
AVERAGE(_xlfn._xlws.FILTER('Bite force'!$I:$I,
TRIM(LEFT('Bite force'!$A:$A,SEARCH(" ",'Bite force'!$A:$A&amp;" ")-1))=
TRIM(LEFT(A39,SEARCH(" ",A39&amp;" ")-1))
)),
1
)
)</f>
        <v>1</v>
      </c>
    </row>
    <row r="40" spans="1:3" x14ac:dyDescent="0.25">
      <c r="A40" s="2" t="str">
        <f>'[1]Base stats'!$B40</f>
        <v>Castor nocivus</v>
      </c>
      <c r="B40" s="23">
        <f>_xlfn.XLOOKUP(A40,'[1]Base stats'!$B:$B,'[1]Base stats'!$O:$O)</f>
        <v>1</v>
      </c>
      <c r="C40" s="20" cm="1">
        <f t="array" ref="C40">IF(
SUMPRODUCT(--(
TRIM(LEFT('Bite force'!$A:$A,SEARCH("§",SUBSTITUTE('Bite force'!$A:$A," ","§",2)&amp;"§")-1))=
TRIM(LEFT(A40,SEARCH("§",SUBSTITUTE(A40," ","§",2)&amp;"§")-1))
))&gt;0,
IF(
COUNT(_xlfn._xlws.FILTER('Bite force'!$I:$I,
TRIM(LEFT('Bite force'!$A:$A,SEARCH("§",SUBSTITUTE('Bite force'!$A:$A," ","§",2)&amp;"§")-1))=
TRIM(LEFT(A40,SEARCH("§",SUBSTITUTE(A40," ","§",2)&amp;"§")-1))
))=0,
1,
IF(
B40=2,
AVERAGE(_xlfn._xlws.FILTER('Bite force'!$I:$I,
TRIM(LEFT('Bite force'!$A:$A,SEARCH("§",SUBSTITUTE('Bite force'!$A:$A," ","§",2)&amp;"§")-1))=
TRIM(LEFT(A40,SEARCH("§",SUBSTITUTE(A40," ","§",2)&amp;"§")-1))
)),
MAX(_xlfn._xlws.FILTER('Bite force'!$I:$I,
TRIM(LEFT('Bite force'!$A:$A,SEARCH("§",SUBSTITUTE('Bite force'!$A:$A," ","§",2)&amp;"§")-1))=
TRIM(LEFT(A40,SEARCH("§",SUBSTITUTE(A40," ","§",2)&amp;"§")-1))
))
)
),
IFERROR(
AVERAGE(_xlfn._xlws.FILTER('Bite force'!$I:$I,
TRIM(LEFT('Bite force'!$A:$A,SEARCH(" ",'Bite force'!$A:$A&amp;" ")-1))=
TRIM(LEFT(A40,SEARCH(" ",A40&amp;" ")-1))
)),
1
)
)</f>
        <v>1.5835439013324151</v>
      </c>
    </row>
    <row r="41" spans="1:3" x14ac:dyDescent="0.25">
      <c r="A41" s="2" t="str">
        <f>'[1]Base stats'!$B41</f>
        <v>Boomerifer explosivus</v>
      </c>
      <c r="B41" s="23">
        <f>_xlfn.XLOOKUP(A41,'[1]Base stats'!$B:$B,'[1]Base stats'!$O:$O)</f>
        <v>0</v>
      </c>
      <c r="C41" s="20" cm="1">
        <f t="array" ref="C41">IF(
SUMPRODUCT(--(
TRIM(LEFT('Bite force'!$A:$A,SEARCH("§",SUBSTITUTE('Bite force'!$A:$A," ","§",2)&amp;"§")-1))=
TRIM(LEFT(A41,SEARCH("§",SUBSTITUTE(A41," ","§",2)&amp;"§")-1))
))&gt;0,
IF(
COUNT(_xlfn._xlws.FILTER('Bite force'!$I:$I,
TRIM(LEFT('Bite force'!$A:$A,SEARCH("§",SUBSTITUTE('Bite force'!$A:$A," ","§",2)&amp;"§")-1))=
TRIM(LEFT(A41,SEARCH("§",SUBSTITUTE(A41," ","§",2)&amp;"§")-1))
))=0,
1,
IF(
B41=2,
AVERAGE(_xlfn._xlws.FILTER('Bite force'!$I:$I,
TRIM(LEFT('Bite force'!$A:$A,SEARCH("§",SUBSTITUTE('Bite force'!$A:$A," ","§",2)&amp;"§")-1))=
TRIM(LEFT(A41,SEARCH("§",SUBSTITUTE(A41," ","§",2)&amp;"§")-1))
)),
MAX(_xlfn._xlws.FILTER('Bite force'!$I:$I,
TRIM(LEFT('Bite force'!$A:$A,SEARCH("§",SUBSTITUTE('Bite force'!$A:$A," ","§",2)&amp;"§")-1))=
TRIM(LEFT(A41,SEARCH("§",SUBSTITUTE(A41," ","§",2)&amp;"§")-1))
))
)
),
IFERROR(
AVERAGE(_xlfn._xlws.FILTER('Bite force'!$I:$I,
TRIM(LEFT('Bite force'!$A:$A,SEARCH(" ",'Bite force'!$A:$A&amp;" ")-1))=
TRIM(LEFT(A41,SEARCH(" ",A41&amp;" ")-1))
)),
1
)
)</f>
        <v>1</v>
      </c>
    </row>
    <row r="42" spans="1:3" x14ac:dyDescent="0.25">
      <c r="A42" s="2" t="str">
        <f>'[1]Base stats'!$B42</f>
        <v>Bison bison</v>
      </c>
      <c r="B42" s="23">
        <f>_xlfn.XLOOKUP(A42,'[1]Base stats'!$B:$B,'[1]Base stats'!$O:$O)</f>
        <v>0</v>
      </c>
      <c r="C42" s="20" cm="1">
        <f t="array" ref="C42">IF(
SUMPRODUCT(--(
TRIM(LEFT('Bite force'!$A:$A,SEARCH("§",SUBSTITUTE('Bite force'!$A:$A," ","§",2)&amp;"§")-1))=
TRIM(LEFT(A42,SEARCH("§",SUBSTITUTE(A42," ","§",2)&amp;"§")-1))
))&gt;0,
IF(
COUNT(_xlfn._xlws.FILTER('Bite force'!$I:$I,
TRIM(LEFT('Bite force'!$A:$A,SEARCH("§",SUBSTITUTE('Bite force'!$A:$A," ","§",2)&amp;"§")-1))=
TRIM(LEFT(A42,SEARCH("§",SUBSTITUTE(A42," ","§",2)&amp;"§")-1))
))=0,
1,
IF(
B42=2,
AVERAGE(_xlfn._xlws.FILTER('Bite force'!$I:$I,
TRIM(LEFT('Bite force'!$A:$A,SEARCH("§",SUBSTITUTE('Bite force'!$A:$A," ","§",2)&amp;"§")-1))=
TRIM(LEFT(A42,SEARCH("§",SUBSTITUTE(A42," ","§",2)&amp;"§")-1))
)),
MAX(_xlfn._xlws.FILTER('Bite force'!$I:$I,
TRIM(LEFT('Bite force'!$A:$A,SEARCH("§",SUBSTITUTE('Bite force'!$A:$A," ","§",2)&amp;"§")-1))=
TRIM(LEFT(A42,SEARCH("§",SUBSTITUTE(A42," ","§",2)&amp;"§")-1))
))
)
),
IFERROR(
AVERAGE(_xlfn._xlws.FILTER('Bite force'!$I:$I,
TRIM(LEFT('Bite force'!$A:$A,SEARCH(" ",'Bite force'!$A:$A&amp;" ")-1))=
TRIM(LEFT(A42,SEARCH(" ",A42&amp;" ")-1))
)),
1
)
)</f>
        <v>1</v>
      </c>
    </row>
    <row r="43" spans="1:3" x14ac:dyDescent="0.25">
      <c r="A43" s="2" t="str">
        <f>'[1]Base stats'!$B43</f>
        <v>Bos taurus</v>
      </c>
      <c r="B43" s="23">
        <f>_xlfn.XLOOKUP(A43,'[1]Base stats'!$B:$B,'[1]Base stats'!$O:$O)</f>
        <v>2</v>
      </c>
      <c r="C43" s="20" cm="1">
        <f t="array" ref="C43">IF(
SUMPRODUCT(--(
TRIM(LEFT('Bite force'!$A:$A,SEARCH("§",SUBSTITUTE('Bite force'!$A:$A," ","§",2)&amp;"§")-1))=
TRIM(LEFT(A43,SEARCH("§",SUBSTITUTE(A43," ","§",2)&amp;"§")-1))
))&gt;0,
IF(
COUNT(_xlfn._xlws.FILTER('Bite force'!$I:$I,
TRIM(LEFT('Bite force'!$A:$A,SEARCH("§",SUBSTITUTE('Bite force'!$A:$A," ","§",2)&amp;"§")-1))=
TRIM(LEFT(A43,SEARCH("§",SUBSTITUTE(A43," ","§",2)&amp;"§")-1))
))=0,
1,
IF(
B43=2,
AVERAGE(_xlfn._xlws.FILTER('Bite force'!$I:$I,
TRIM(LEFT('Bite force'!$A:$A,SEARCH("§",SUBSTITUTE('Bite force'!$A:$A," ","§",2)&amp;"§")-1))=
TRIM(LEFT(A43,SEARCH("§",SUBSTITUTE(A43," ","§",2)&amp;"§")-1))
)),
MAX(_xlfn._xlws.FILTER('Bite force'!$I:$I,
TRIM(LEFT('Bite force'!$A:$A,SEARCH("§",SUBSTITUTE('Bite force'!$A:$A," ","§",2)&amp;"§")-1))=
TRIM(LEFT(A43,SEARCH("§",SUBSTITUTE(A43," ","§",2)&amp;"§")-1))
))
)
),
IFERROR(
AVERAGE(_xlfn._xlws.FILTER('Bite force'!$I:$I,
TRIM(LEFT('Bite force'!$A:$A,SEARCH(" ",'Bite force'!$A:$A&amp;" ")-1))=
TRIM(LEFT(A43,SEARCH(" ",A43&amp;" ")-1))
)),
1
)
)</f>
        <v>1</v>
      </c>
    </row>
    <row r="44" spans="1:3" x14ac:dyDescent="0.25">
      <c r="A44" s="2" t="str">
        <f>'[1]Base stats'!$B44</f>
        <v>Pseudobison sargentus</v>
      </c>
      <c r="B44" s="23">
        <f>_xlfn.XLOOKUP(A44,'[1]Base stats'!$B:$B,'[1]Base stats'!$O:$O)</f>
        <v>0</v>
      </c>
      <c r="C44" s="20" cm="1">
        <f t="array" ref="C44">IF(
SUMPRODUCT(--(
TRIM(LEFT('Bite force'!$A:$A,SEARCH("§",SUBSTITUTE('Bite force'!$A:$A," ","§",2)&amp;"§")-1))=
TRIM(LEFT(A44,SEARCH("§",SUBSTITUTE(A44," ","§",2)&amp;"§")-1))
))&gt;0,
IF(
COUNT(_xlfn._xlws.FILTER('Bite force'!$I:$I,
TRIM(LEFT('Bite force'!$A:$A,SEARCH("§",SUBSTITUTE('Bite force'!$A:$A," ","§",2)&amp;"§")-1))=
TRIM(LEFT(A44,SEARCH("§",SUBSTITUTE(A44," ","§",2)&amp;"§")-1))
))=0,
1,
IF(
B44=2,
AVERAGE(_xlfn._xlws.FILTER('Bite force'!$I:$I,
TRIM(LEFT('Bite force'!$A:$A,SEARCH("§",SUBSTITUTE('Bite force'!$A:$A," ","§",2)&amp;"§")-1))=
TRIM(LEFT(A44,SEARCH("§",SUBSTITUTE(A44," ","§",2)&amp;"§")-1))
)),
MAX(_xlfn._xlws.FILTER('Bite force'!$I:$I,
TRIM(LEFT('Bite force'!$A:$A,SEARCH("§",SUBSTITUTE('Bite force'!$A:$A," ","§",2)&amp;"§")-1))=
TRIM(LEFT(A44,SEARCH("§",SUBSTITUTE(A44," ","§",2)&amp;"§")-1))
))
)
),
IFERROR(
AVERAGE(_xlfn._xlws.FILTER('Bite force'!$I:$I,
TRIM(LEFT('Bite force'!$A:$A,SEARCH(" ",'Bite force'!$A:$A&amp;" ")-1))=
TRIM(LEFT(A44,SEARCH(" ",A44&amp;" ")-1))
)),
1
)
)</f>
        <v>1</v>
      </c>
    </row>
    <row r="45" spans="1:3" x14ac:dyDescent="0.25">
      <c r="A45" s="2" t="str">
        <f>'[1]Base stats'!$B45</f>
        <v>Bos grunniens</v>
      </c>
      <c r="B45" s="23">
        <f>_xlfn.XLOOKUP(A45,'[1]Base stats'!$B:$B,'[1]Base stats'!$O:$O)</f>
        <v>1</v>
      </c>
      <c r="C45" s="20" cm="1">
        <f t="array" ref="C45">IF(
SUMPRODUCT(--(
TRIM(LEFT('Bite force'!$A:$A,SEARCH("§",SUBSTITUTE('Bite force'!$A:$A," ","§",2)&amp;"§")-1))=
TRIM(LEFT(A45,SEARCH("§",SUBSTITUTE(A45," ","§",2)&amp;"§")-1))
))&gt;0,
IF(
COUNT(_xlfn._xlws.FILTER('Bite force'!$I:$I,
TRIM(LEFT('Bite force'!$A:$A,SEARCH("§",SUBSTITUTE('Bite force'!$A:$A," ","§",2)&amp;"§")-1))=
TRIM(LEFT(A45,SEARCH("§",SUBSTITUTE(A45," ","§",2)&amp;"§")-1))
))=0,
1,
IF(
B45=2,
AVERAGE(_xlfn._xlws.FILTER('Bite force'!$I:$I,
TRIM(LEFT('Bite force'!$A:$A,SEARCH("§",SUBSTITUTE('Bite force'!$A:$A," ","§",2)&amp;"§")-1))=
TRIM(LEFT(A45,SEARCH("§",SUBSTITUTE(A45," ","§",2)&amp;"§")-1))
)),
MAX(_xlfn._xlws.FILTER('Bite force'!$I:$I,
TRIM(LEFT('Bite force'!$A:$A,SEARCH("§",SUBSTITUTE('Bite force'!$A:$A," ","§",2)&amp;"§")-1))=
TRIM(LEFT(A45,SEARCH("§",SUBSTITUTE(A45," ","§",2)&amp;"§")-1))
))
)
),
IFERROR(
AVERAGE(_xlfn._xlws.FILTER('Bite force'!$I:$I,
TRIM(LEFT('Bite force'!$A:$A,SEARCH(" ",'Bite force'!$A:$A&amp;" ")-1))=
TRIM(LEFT(A45,SEARCH(" ",A45&amp;" ")-1))
)),
1
)
)</f>
        <v>1</v>
      </c>
    </row>
    <row r="46" spans="1:3" x14ac:dyDescent="0.25">
      <c r="A46" s="2" t="str">
        <f>'[1]Base stats'!$B46</f>
        <v>Cervus elaphus</v>
      </c>
      <c r="B46" s="23">
        <f>_xlfn.XLOOKUP(A46,'[1]Base stats'!$B:$B,'[1]Base stats'!$O:$O)</f>
        <v>0</v>
      </c>
      <c r="C46" s="20" cm="1">
        <f t="array" ref="C46">IF(
SUMPRODUCT(--(
TRIM(LEFT('Bite force'!$A:$A,SEARCH("§",SUBSTITUTE('Bite force'!$A:$A," ","§",2)&amp;"§")-1))=
TRIM(LEFT(A46,SEARCH("§",SUBSTITUTE(A46," ","§",2)&amp;"§")-1))
))&gt;0,
IF(
COUNT(_xlfn._xlws.FILTER('Bite force'!$I:$I,
TRIM(LEFT('Bite force'!$A:$A,SEARCH("§",SUBSTITUTE('Bite force'!$A:$A," ","§",2)&amp;"§")-1))=
TRIM(LEFT(A46,SEARCH("§",SUBSTITUTE(A46," ","§",2)&amp;"§")-1))
))=0,
1,
IF(
B46=2,
AVERAGE(_xlfn._xlws.FILTER('Bite force'!$I:$I,
TRIM(LEFT('Bite force'!$A:$A,SEARCH("§",SUBSTITUTE('Bite force'!$A:$A," ","§",2)&amp;"§")-1))=
TRIM(LEFT(A46,SEARCH("§",SUBSTITUTE(A46," ","§",2)&amp;"§")-1))
)),
MAX(_xlfn._xlws.FILTER('Bite force'!$I:$I,
TRIM(LEFT('Bite force'!$A:$A,SEARCH("§",SUBSTITUTE('Bite force'!$A:$A," ","§",2)&amp;"§")-1))=
TRIM(LEFT(A46,SEARCH("§",SUBSTITUTE(A46," ","§",2)&amp;"§")-1))
))
)
),
IFERROR(
AVERAGE(_xlfn._xlws.FILTER('Bite force'!$I:$I,
TRIM(LEFT('Bite force'!$A:$A,SEARCH(" ",'Bite force'!$A:$A&amp;" ")-1))=
TRIM(LEFT(A46,SEARCH(" ",A46&amp;" ")-1))
)),
1
)
)</f>
        <v>1</v>
      </c>
    </row>
    <row r="47" spans="1:3" x14ac:dyDescent="0.25">
      <c r="A47" s="2" t="str">
        <f>'[1]Base stats'!$B47</f>
        <v>Bombaria proliferans</v>
      </c>
      <c r="B47" s="23">
        <f>_xlfn.XLOOKUP(A47,'[1]Base stats'!$B:$B,'[1]Base stats'!$O:$O)</f>
        <v>0</v>
      </c>
      <c r="C47" s="20" cm="1">
        <f t="array" ref="C47">IF(
SUMPRODUCT(--(
TRIM(LEFT('Bite force'!$A:$A,SEARCH("§",SUBSTITUTE('Bite force'!$A:$A," ","§",2)&amp;"§")-1))=
TRIM(LEFT(A47,SEARCH("§",SUBSTITUTE(A47," ","§",2)&amp;"§")-1))
))&gt;0,
IF(
COUNT(_xlfn._xlws.FILTER('Bite force'!$I:$I,
TRIM(LEFT('Bite force'!$A:$A,SEARCH("§",SUBSTITUTE('Bite force'!$A:$A," ","§",2)&amp;"§")-1))=
TRIM(LEFT(A47,SEARCH("§",SUBSTITUTE(A47," ","§",2)&amp;"§")-1))
))=0,
1,
IF(
B47=2,
AVERAGE(_xlfn._xlws.FILTER('Bite force'!$I:$I,
TRIM(LEFT('Bite force'!$A:$A,SEARCH("§",SUBSTITUTE('Bite force'!$A:$A," ","§",2)&amp;"§")-1))=
TRIM(LEFT(A47,SEARCH("§",SUBSTITUTE(A47," ","§",2)&amp;"§")-1))
)),
MAX(_xlfn._xlws.FILTER('Bite force'!$I:$I,
TRIM(LEFT('Bite force'!$A:$A,SEARCH("§",SUBSTITUTE('Bite force'!$A:$A," ","§",2)&amp;"§")-1))=
TRIM(LEFT(A47,SEARCH("§",SUBSTITUTE(A47," ","§",2)&amp;"§")-1))
))
)
),
IFERROR(
AVERAGE(_xlfn._xlws.FILTER('Bite force'!$I:$I,
TRIM(LEFT('Bite force'!$A:$A,SEARCH(" ",'Bite force'!$A:$A&amp;" ")-1))=
TRIM(LEFT(A47,SEARCH(" ",A47&amp;" ")-1))
)),
1
)
)</f>
        <v>1</v>
      </c>
    </row>
    <row r="48" spans="1:3" x14ac:dyDescent="0.25">
      <c r="A48" s="2" t="str">
        <f>'[1]Base stats'!$B48</f>
        <v>Bombaria toxiferans</v>
      </c>
      <c r="B48" s="23">
        <f>_xlfn.XLOOKUP(A48,'[1]Base stats'!$B:$B,'[1]Base stats'!$O:$O)</f>
        <v>0</v>
      </c>
      <c r="C48" s="20" cm="1">
        <f t="array" ref="C48">IF(
SUMPRODUCT(--(
TRIM(LEFT('Bite force'!$A:$A,SEARCH("§",SUBSTITUTE('Bite force'!$A:$A," ","§",2)&amp;"§")-1))=
TRIM(LEFT(A48,SEARCH("§",SUBSTITUTE(A48," ","§",2)&amp;"§")-1))
))&gt;0,
IF(
COUNT(_xlfn._xlws.FILTER('Bite force'!$I:$I,
TRIM(LEFT('Bite force'!$A:$A,SEARCH("§",SUBSTITUTE('Bite force'!$A:$A," ","§",2)&amp;"§")-1))=
TRIM(LEFT(A48,SEARCH("§",SUBSTITUTE(A48," ","§",2)&amp;"§")-1))
))=0,
1,
IF(
B48=2,
AVERAGE(_xlfn._xlws.FILTER('Bite force'!$I:$I,
TRIM(LEFT('Bite force'!$A:$A,SEARCH("§",SUBSTITUTE('Bite force'!$A:$A," ","§",2)&amp;"§")-1))=
TRIM(LEFT(A48,SEARCH("§",SUBSTITUTE(A48," ","§",2)&amp;"§")-1))
)),
MAX(_xlfn._xlws.FILTER('Bite force'!$I:$I,
TRIM(LEFT('Bite force'!$A:$A,SEARCH("§",SUBSTITUTE('Bite force'!$A:$A," ","§",2)&amp;"§")-1))=
TRIM(LEFT(A48,SEARCH("§",SUBSTITUTE(A48," ","§",2)&amp;"§")-1))
))
)
),
IFERROR(
AVERAGE(_xlfn._xlws.FILTER('Bite force'!$I:$I,
TRIM(LEFT('Bite force'!$A:$A,SEARCH(" ",'Bite force'!$A:$A&amp;" ")-1))=
TRIM(LEFT(A48,SEARCH(" ",A48&amp;" ")-1))
)),
1
)
)</f>
        <v>1</v>
      </c>
    </row>
    <row r="49" spans="1:3" x14ac:dyDescent="0.25">
      <c r="A49" s="2" t="str">
        <f>'[1]Base stats'!$B49</f>
        <v>Rangifer tarandus</v>
      </c>
      <c r="B49" s="23">
        <f>_xlfn.XLOOKUP(A49,'[1]Base stats'!$B:$B,'[1]Base stats'!$O:$O)</f>
        <v>1</v>
      </c>
      <c r="C49" s="20" cm="1">
        <f t="array" ref="C49">IF(
SUMPRODUCT(--(
TRIM(LEFT('Bite force'!$A:$A,SEARCH("§",SUBSTITUTE('Bite force'!$A:$A," ","§",2)&amp;"§")-1))=
TRIM(LEFT(A49,SEARCH("§",SUBSTITUTE(A49," ","§",2)&amp;"§")-1))
))&gt;0,
IF(
COUNT(_xlfn._xlws.FILTER('Bite force'!$I:$I,
TRIM(LEFT('Bite force'!$A:$A,SEARCH("§",SUBSTITUTE('Bite force'!$A:$A," ","§",2)&amp;"§")-1))=
TRIM(LEFT(A49,SEARCH("§",SUBSTITUTE(A49," ","§",2)&amp;"§")-1))
))=0,
1,
IF(
B49=2,
AVERAGE(_xlfn._xlws.FILTER('Bite force'!$I:$I,
TRIM(LEFT('Bite force'!$A:$A,SEARCH("§",SUBSTITUTE('Bite force'!$A:$A," ","§",2)&amp;"§")-1))=
TRIM(LEFT(A49,SEARCH("§",SUBSTITUTE(A49," ","§",2)&amp;"§")-1))
)),
MAX(_xlfn._xlws.FILTER('Bite force'!$I:$I,
TRIM(LEFT('Bite force'!$A:$A,SEARCH("§",SUBSTITUTE('Bite force'!$A:$A," ","§",2)&amp;"§")-1))=
TRIM(LEFT(A49,SEARCH("§",SUBSTITUTE(A49," ","§",2)&amp;"§")-1))
))
)
),
IFERROR(
AVERAGE(_xlfn._xlws.FILTER('Bite force'!$I:$I,
TRIM(LEFT('Bite force'!$A:$A,SEARCH(" ",'Bite force'!$A:$A&amp;" ")-1))=
TRIM(LEFT(A49,SEARCH(" ",A49&amp;" ")-1))
)),
1
)
)</f>
        <v>1</v>
      </c>
    </row>
    <row r="50" spans="1:3" x14ac:dyDescent="0.25">
      <c r="A50" s="2" t="str">
        <f>'[1]Base stats'!$B50</f>
        <v>Capra ibex</v>
      </c>
      <c r="B50" s="23">
        <f>_xlfn.XLOOKUP(A50,'[1]Base stats'!$B:$B,'[1]Base stats'!$O:$O)</f>
        <v>0</v>
      </c>
      <c r="C50" s="20" cm="1">
        <f t="array" ref="C50">IF(
SUMPRODUCT(--(
TRIM(LEFT('Bite force'!$A:$A,SEARCH("§",SUBSTITUTE('Bite force'!$A:$A," ","§",2)&amp;"§")-1))=
TRIM(LEFT(A50,SEARCH("§",SUBSTITUTE(A50," ","§",2)&amp;"§")-1))
))&gt;0,
IF(
COUNT(_xlfn._xlws.FILTER('Bite force'!$I:$I,
TRIM(LEFT('Bite force'!$A:$A,SEARCH("§",SUBSTITUTE('Bite force'!$A:$A," ","§",2)&amp;"§")-1))=
TRIM(LEFT(A50,SEARCH("§",SUBSTITUTE(A50," ","§",2)&amp;"§")-1))
))=0,
1,
IF(
B50=2,
AVERAGE(_xlfn._xlws.FILTER('Bite force'!$I:$I,
TRIM(LEFT('Bite force'!$A:$A,SEARCH("§",SUBSTITUTE('Bite force'!$A:$A," ","§",2)&amp;"§")-1))=
TRIM(LEFT(A50,SEARCH("§",SUBSTITUTE(A50," ","§",2)&amp;"§")-1))
)),
MAX(_xlfn._xlws.FILTER('Bite force'!$I:$I,
TRIM(LEFT('Bite force'!$A:$A,SEARCH("§",SUBSTITUTE('Bite force'!$A:$A," ","§",2)&amp;"§")-1))=
TRIM(LEFT(A50,SEARCH("§",SUBSTITUTE(A50," ","§",2)&amp;"§")-1))
))
)
),
IFERROR(
AVERAGE(_xlfn._xlws.FILTER('Bite force'!$I:$I,
TRIM(LEFT('Bite force'!$A:$A,SEARCH(" ",'Bite force'!$A:$A&amp;" ")-1))=
TRIM(LEFT(A50,SEARCH(" ",A50&amp;" ")-1))
)),
1
)
)</f>
        <v>1</v>
      </c>
    </row>
    <row r="51" spans="1:3" x14ac:dyDescent="0.25">
      <c r="A51" s="2" t="str">
        <f>'[1]Base stats'!$B51</f>
        <v>Capra hircus</v>
      </c>
      <c r="B51" s="23">
        <f>_xlfn.XLOOKUP(A51,'[1]Base stats'!$B:$B,'[1]Base stats'!$O:$O)</f>
        <v>2</v>
      </c>
      <c r="C51" s="20" cm="1">
        <f t="array" ref="C51">IF(
SUMPRODUCT(--(
TRIM(LEFT('Bite force'!$A:$A,SEARCH("§",SUBSTITUTE('Bite force'!$A:$A," ","§",2)&amp;"§")-1))=
TRIM(LEFT(A51,SEARCH("§",SUBSTITUTE(A51," ","§",2)&amp;"§")-1))
))&gt;0,
IF(
COUNT(_xlfn._xlws.FILTER('Bite force'!$I:$I,
TRIM(LEFT('Bite force'!$A:$A,SEARCH("§",SUBSTITUTE('Bite force'!$A:$A," ","§",2)&amp;"§")-1))=
TRIM(LEFT(A51,SEARCH("§",SUBSTITUTE(A51," ","§",2)&amp;"§")-1))
))=0,
1,
IF(
B51=2,
AVERAGE(_xlfn._xlws.FILTER('Bite force'!$I:$I,
TRIM(LEFT('Bite force'!$A:$A,SEARCH("§",SUBSTITUTE('Bite force'!$A:$A," ","§",2)&amp;"§")-1))=
TRIM(LEFT(A51,SEARCH("§",SUBSTITUTE(A51," ","§",2)&amp;"§")-1))
)),
MAX(_xlfn._xlws.FILTER('Bite force'!$I:$I,
TRIM(LEFT('Bite force'!$A:$A,SEARCH("§",SUBSTITUTE('Bite force'!$A:$A," ","§",2)&amp;"§")-1))=
TRIM(LEFT(A51,SEARCH("§",SUBSTITUTE(A51," ","§",2)&amp;"§")-1))
))
)
),
IFERROR(
AVERAGE(_xlfn._xlws.FILTER('Bite force'!$I:$I,
TRIM(LEFT('Bite force'!$A:$A,SEARCH(" ",'Bite force'!$A:$A&amp;" ")-1))=
TRIM(LEFT(A51,SEARCH(" ",A51&amp;" ")-1))
)),
1
)
)</f>
        <v>1</v>
      </c>
    </row>
    <row r="52" spans="1:3" x14ac:dyDescent="0.25">
      <c r="A52" s="2" t="str">
        <f>'[1]Base stats'!$B52</f>
        <v>Ovis aries</v>
      </c>
      <c r="B52" s="23">
        <f>_xlfn.XLOOKUP(A52,'[1]Base stats'!$B:$B,'[1]Base stats'!$O:$O)</f>
        <v>2</v>
      </c>
      <c r="C52" s="20" cm="1">
        <f t="array" ref="C52">IF(
SUMPRODUCT(--(
TRIM(LEFT('Bite force'!$A:$A,SEARCH("§",SUBSTITUTE('Bite force'!$A:$A," ","§",2)&amp;"§")-1))=
TRIM(LEFT(A52,SEARCH("§",SUBSTITUTE(A52," ","§",2)&amp;"§")-1))
))&gt;0,
IF(
COUNT(_xlfn._xlws.FILTER('Bite force'!$I:$I,
TRIM(LEFT('Bite force'!$A:$A,SEARCH("§",SUBSTITUTE('Bite force'!$A:$A," ","§",2)&amp;"§")-1))=
TRIM(LEFT(A52,SEARCH("§",SUBSTITUTE(A52," ","§",2)&amp;"§")-1))
))=0,
1,
IF(
B52=2,
AVERAGE(_xlfn._xlws.FILTER('Bite force'!$I:$I,
TRIM(LEFT('Bite force'!$A:$A,SEARCH("§",SUBSTITUTE('Bite force'!$A:$A," ","§",2)&amp;"§")-1))=
TRIM(LEFT(A52,SEARCH("§",SUBSTITUTE(A52," ","§",2)&amp;"§")-1))
)),
MAX(_xlfn._xlws.FILTER('Bite force'!$I:$I,
TRIM(LEFT('Bite force'!$A:$A,SEARCH("§",SUBSTITUTE('Bite force'!$A:$A," ","§",2)&amp;"§")-1))=
TRIM(LEFT(A52,SEARCH("§",SUBSTITUTE(A52," ","§",2)&amp;"§")-1))
))
)
),
IFERROR(
AVERAGE(_xlfn._xlws.FILTER('Bite force'!$I:$I,
TRIM(LEFT('Bite force'!$A:$A,SEARCH(" ",'Bite force'!$A:$A&amp;" ")-1))=
TRIM(LEFT(A52,SEARCH(" ",A52&amp;" ")-1))
)),
1
)
)</f>
        <v>1</v>
      </c>
    </row>
    <row r="53" spans="1:3" x14ac:dyDescent="0.25">
      <c r="A53" s="2" t="str">
        <f>'[1]Base stats'!$B53</f>
        <v>Odocoileus hemionus</v>
      </c>
      <c r="B53" s="23">
        <f>_xlfn.XLOOKUP(A53,'[1]Base stats'!$B:$B,'[1]Base stats'!$O:$O)</f>
        <v>0</v>
      </c>
      <c r="C53" s="20" cm="1">
        <f t="array" ref="C53">IF(
SUMPRODUCT(--(
TRIM(LEFT('Bite force'!$A:$A,SEARCH("§",SUBSTITUTE('Bite force'!$A:$A," ","§",2)&amp;"§")-1))=
TRIM(LEFT(A53,SEARCH("§",SUBSTITUTE(A53," ","§",2)&amp;"§")-1))
))&gt;0,
IF(
COUNT(_xlfn._xlws.FILTER('Bite force'!$I:$I,
TRIM(LEFT('Bite force'!$A:$A,SEARCH("§",SUBSTITUTE('Bite force'!$A:$A," ","§",2)&amp;"§")-1))=
TRIM(LEFT(A53,SEARCH("§",SUBSTITUTE(A53," ","§",2)&amp;"§")-1))
))=0,
1,
IF(
B53=2,
AVERAGE(_xlfn._xlws.FILTER('Bite force'!$I:$I,
TRIM(LEFT('Bite force'!$A:$A,SEARCH("§",SUBSTITUTE('Bite force'!$A:$A," ","§",2)&amp;"§")-1))=
TRIM(LEFT(A53,SEARCH("§",SUBSTITUTE(A53," ","§",2)&amp;"§")-1))
)),
MAX(_xlfn._xlws.FILTER('Bite force'!$I:$I,
TRIM(LEFT('Bite force'!$A:$A,SEARCH("§",SUBSTITUTE('Bite force'!$A:$A," ","§",2)&amp;"§")-1))=
TRIM(LEFT(A53,SEARCH("§",SUBSTITUTE(A53," ","§",2)&amp;"§")-1))
))
)
),
IFERROR(
AVERAGE(_xlfn._xlws.FILTER('Bite force'!$I:$I,
TRIM(LEFT('Bite force'!$A:$A,SEARCH(" ",'Bite force'!$A:$A&amp;" ")-1))=
TRIM(LEFT(A53,SEARCH(" ",A53&amp;" ")-1))
)),
1
)
)</f>
        <v>1</v>
      </c>
    </row>
    <row r="54" spans="1:3" x14ac:dyDescent="0.25">
      <c r="A54" s="2" t="str">
        <f>'[1]Base stats'!$B54</f>
        <v>Gazella gazella</v>
      </c>
      <c r="B54" s="23">
        <f>_xlfn.XLOOKUP(A54,'[1]Base stats'!$B:$B,'[1]Base stats'!$O:$O)</f>
        <v>0</v>
      </c>
      <c r="C54" s="20" cm="1">
        <f t="array" ref="C54">IF(
SUMPRODUCT(--(
TRIM(LEFT('Bite force'!$A:$A,SEARCH("§",SUBSTITUTE('Bite force'!$A:$A," ","§",2)&amp;"§")-1))=
TRIM(LEFT(A54,SEARCH("§",SUBSTITUTE(A54," ","§",2)&amp;"§")-1))
))&gt;0,
IF(
COUNT(_xlfn._xlws.FILTER('Bite force'!$I:$I,
TRIM(LEFT('Bite force'!$A:$A,SEARCH("§",SUBSTITUTE('Bite force'!$A:$A," ","§",2)&amp;"§")-1))=
TRIM(LEFT(A54,SEARCH("§",SUBSTITUTE(A54," ","§",2)&amp;"§")-1))
))=0,
1,
IF(
B54=2,
AVERAGE(_xlfn._xlws.FILTER('Bite force'!$I:$I,
TRIM(LEFT('Bite force'!$A:$A,SEARCH("§",SUBSTITUTE('Bite force'!$A:$A," ","§",2)&amp;"§")-1))=
TRIM(LEFT(A54,SEARCH("§",SUBSTITUTE(A54," ","§",2)&amp;"§")-1))
)),
MAX(_xlfn._xlws.FILTER('Bite force'!$I:$I,
TRIM(LEFT('Bite force'!$A:$A,SEARCH("§",SUBSTITUTE('Bite force'!$A:$A," ","§",2)&amp;"§")-1))=
TRIM(LEFT(A54,SEARCH("§",SUBSTITUTE(A54," ","§",2)&amp;"§")-1))
))
)
),
IFERROR(
AVERAGE(_xlfn._xlws.FILTER('Bite force'!$I:$I,
TRIM(LEFT('Bite force'!$A:$A,SEARCH(" ",'Bite force'!$A:$A&amp;" ")-1))=
TRIM(LEFT(A54,SEARCH(" ",A54&amp;" ")-1))
)),
1
)
)</f>
        <v>1</v>
      </c>
    </row>
    <row r="55" spans="1:3" x14ac:dyDescent="0.25">
      <c r="A55" s="2" t="str">
        <f>'[1]Base stats'!$B55</f>
        <v>Canis tyrannus</v>
      </c>
      <c r="B55" s="23">
        <f>_xlfn.XLOOKUP(A55,'[1]Base stats'!$B:$B,'[1]Base stats'!$O:$O)</f>
        <v>1</v>
      </c>
      <c r="C55" s="20" cm="1">
        <f t="array" ref="C55">IF(
SUMPRODUCT(--(
TRIM(LEFT('Bite force'!$A:$A,SEARCH("§",SUBSTITUTE('Bite force'!$A:$A," ","§",2)&amp;"§")-1))=
TRIM(LEFT(A55,SEARCH("§",SUBSTITUTE(A55," ","§",2)&amp;"§")-1))
))&gt;0,
IF(
COUNT(_xlfn._xlws.FILTER('Bite force'!$I:$I,
TRIM(LEFT('Bite force'!$A:$A,SEARCH("§",SUBSTITUTE('Bite force'!$A:$A," ","§",2)&amp;"§")-1))=
TRIM(LEFT(A55,SEARCH("§",SUBSTITUTE(A55," ","§",2)&amp;"§")-1))
))=0,
1,
IF(
B55=2,
AVERAGE(_xlfn._xlws.FILTER('Bite force'!$I:$I,
TRIM(LEFT('Bite force'!$A:$A,SEARCH("§",SUBSTITUTE('Bite force'!$A:$A," ","§",2)&amp;"§")-1))=
TRIM(LEFT(A55,SEARCH("§",SUBSTITUTE(A55," ","§",2)&amp;"§")-1))
)),
MAX(_xlfn._xlws.FILTER('Bite force'!$I:$I,
TRIM(LEFT('Bite force'!$A:$A,SEARCH("§",SUBSTITUTE('Bite force'!$A:$A," ","§",2)&amp;"§")-1))=
TRIM(LEFT(A55,SEARCH("§",SUBSTITUTE(A55," ","§",2)&amp;"§")-1))
))
)
),
IFERROR(
AVERAGE(_xlfn._xlws.FILTER('Bite force'!$I:$I,
TRIM(LEFT('Bite force'!$A:$A,SEARCH(" ",'Bite force'!$A:$A&amp;" ")-1))=
TRIM(LEFT(A55,SEARCH(" ",A55&amp;" ")-1))
)),
1
)
)</f>
        <v>1.0429911737241087</v>
      </c>
    </row>
    <row r="56" spans="1:3" x14ac:dyDescent="0.25">
      <c r="A56" s="2" t="str">
        <f>'[1]Base stats'!$B56</f>
        <v>Canis lupus lupus</v>
      </c>
      <c r="B56" s="23">
        <f>_xlfn.XLOOKUP(A56,'[1]Base stats'!$B:$B,'[1]Base stats'!$O:$O)</f>
        <v>0</v>
      </c>
      <c r="C56" s="20" cm="1">
        <f t="array" ref="C56">IF(
SUMPRODUCT(--(
TRIM(LEFT('Bite force'!$A:$A,SEARCH("§",SUBSTITUTE('Bite force'!$A:$A," ","§",2)&amp;"§")-1))=
TRIM(LEFT(A56,SEARCH("§",SUBSTITUTE(A56," ","§",2)&amp;"§")-1))
))&gt;0,
IF(
COUNT(_xlfn._xlws.FILTER('Bite force'!$I:$I,
TRIM(LEFT('Bite force'!$A:$A,SEARCH("§",SUBSTITUTE('Bite force'!$A:$A," ","§",2)&amp;"§")-1))=
TRIM(LEFT(A56,SEARCH("§",SUBSTITUTE(A56," ","§",2)&amp;"§")-1))
))=0,
1,
IF(
B56=2,
AVERAGE(_xlfn._xlws.FILTER('Bite force'!$I:$I,
TRIM(LEFT('Bite force'!$A:$A,SEARCH("§",SUBSTITUTE('Bite force'!$A:$A," ","§",2)&amp;"§")-1))=
TRIM(LEFT(A56,SEARCH("§",SUBSTITUTE(A56," ","§",2)&amp;"§")-1))
)),
MAX(_xlfn._xlws.FILTER('Bite force'!$I:$I,
TRIM(LEFT('Bite force'!$A:$A,SEARCH("§",SUBSTITUTE('Bite force'!$A:$A," ","§",2)&amp;"§")-1))=
TRIM(LEFT(A56,SEARCH("§",SUBSTITUTE(A56," ","§",2)&amp;"§")-1))
))
)
),
IFERROR(
AVERAGE(_xlfn._xlws.FILTER('Bite force'!$I:$I,
TRIM(LEFT('Bite force'!$A:$A,SEARCH(" ",'Bite force'!$A:$A&amp;" ")-1))=
TRIM(LEFT(A56,SEARCH(" ",A56&amp;" ")-1))
)),
1
)
)</f>
        <v>0.83568512550617779</v>
      </c>
    </row>
    <row r="57" spans="1:3" x14ac:dyDescent="0.25">
      <c r="A57" s="2" t="str">
        <f>'[1]Base stats'!$B57</f>
        <v>Canis lupus albus</v>
      </c>
      <c r="B57" s="23">
        <f>_xlfn.XLOOKUP(A57,'[1]Base stats'!$B:$B,'[1]Base stats'!$O:$O)</f>
        <v>0</v>
      </c>
      <c r="C57" s="20" cm="1">
        <f t="array" ref="C57">IF(
SUMPRODUCT(--(
TRIM(LEFT('Bite force'!$A:$A,SEARCH("§",SUBSTITUTE('Bite force'!$A:$A," ","§",2)&amp;"§")-1))=
TRIM(LEFT(A57,SEARCH("§",SUBSTITUTE(A57," ","§",2)&amp;"§")-1))
))&gt;0,
IF(
COUNT(_xlfn._xlws.FILTER('Bite force'!$I:$I,
TRIM(LEFT('Bite force'!$A:$A,SEARCH("§",SUBSTITUTE('Bite force'!$A:$A," ","§",2)&amp;"§")-1))=
TRIM(LEFT(A57,SEARCH("§",SUBSTITUTE(A57," ","§",2)&amp;"§")-1))
))=0,
1,
IF(
B57=2,
AVERAGE(_xlfn._xlws.FILTER('Bite force'!$I:$I,
TRIM(LEFT('Bite force'!$A:$A,SEARCH("§",SUBSTITUTE('Bite force'!$A:$A," ","§",2)&amp;"§")-1))=
TRIM(LEFT(A57,SEARCH("§",SUBSTITUTE(A57," ","§",2)&amp;"§")-1))
)),
MAX(_xlfn._xlws.FILTER('Bite force'!$I:$I,
TRIM(LEFT('Bite force'!$A:$A,SEARCH("§",SUBSTITUTE('Bite force'!$A:$A," ","§",2)&amp;"§")-1))=
TRIM(LEFT(A57,SEARCH("§",SUBSTITUTE(A57," ","§",2)&amp;"§")-1))
))
)
),
IFERROR(
AVERAGE(_xlfn._xlws.FILTER('Bite force'!$I:$I,
TRIM(LEFT('Bite force'!$A:$A,SEARCH(" ",'Bite force'!$A:$A&amp;" ")-1))=
TRIM(LEFT(A57,SEARCH(" ",A57&amp;" ")-1))
)),
1
)
)</f>
        <v>0.83568512550617779</v>
      </c>
    </row>
    <row r="58" spans="1:3" x14ac:dyDescent="0.25">
      <c r="A58" s="2" t="str">
        <f>'[1]Base stats'!$B58</f>
        <v>Vulpes vulpes</v>
      </c>
      <c r="B58" s="23">
        <f>_xlfn.XLOOKUP(A58,'[1]Base stats'!$B:$B,'[1]Base stats'!$O:$O)</f>
        <v>0</v>
      </c>
      <c r="C58" s="20" cm="1">
        <f t="array" ref="C58">IF(
SUMPRODUCT(--(
TRIM(LEFT('Bite force'!$A:$A,SEARCH("§",SUBSTITUTE('Bite force'!$A:$A," ","§",2)&amp;"§")-1))=
TRIM(LEFT(A58,SEARCH("§",SUBSTITUTE(A58," ","§",2)&amp;"§")-1))
))&gt;0,
IF(
COUNT(_xlfn._xlws.FILTER('Bite force'!$I:$I,
TRIM(LEFT('Bite force'!$A:$A,SEARCH("§",SUBSTITUTE('Bite force'!$A:$A," ","§",2)&amp;"§")-1))=
TRIM(LEFT(A58,SEARCH("§",SUBSTITUTE(A58," ","§",2)&amp;"§")-1))
))=0,
1,
IF(
B58=2,
AVERAGE(_xlfn._xlws.FILTER('Bite force'!$I:$I,
TRIM(LEFT('Bite force'!$A:$A,SEARCH("§",SUBSTITUTE('Bite force'!$A:$A," ","§",2)&amp;"§")-1))=
TRIM(LEFT(A58,SEARCH("§",SUBSTITUTE(A58," ","§",2)&amp;"§")-1))
)),
MAX(_xlfn._xlws.FILTER('Bite force'!$I:$I,
TRIM(LEFT('Bite force'!$A:$A,SEARCH("§",SUBSTITUTE('Bite force'!$A:$A," ","§",2)&amp;"§")-1))=
TRIM(LEFT(A58,SEARCH("§",SUBSTITUTE(A58," ","§",2)&amp;"§")-1))
))
)
),
IFERROR(
AVERAGE(_xlfn._xlws.FILTER('Bite force'!$I:$I,
TRIM(LEFT('Bite force'!$A:$A,SEARCH(" ",'Bite force'!$A:$A&amp;" ")-1))=
TRIM(LEFT(A58,SEARCH(" ",A58&amp;" ")-1))
)),
1
)
)</f>
        <v>0.83397968483596208</v>
      </c>
    </row>
    <row r="59" spans="1:3" x14ac:dyDescent="0.25">
      <c r="A59" s="2" t="str">
        <f>'[1]Base stats'!$B59</f>
        <v>Vulpes lagopus</v>
      </c>
      <c r="B59" s="23">
        <f>_xlfn.XLOOKUP(A59,'[1]Base stats'!$B:$B,'[1]Base stats'!$O:$O)</f>
        <v>0</v>
      </c>
      <c r="C59" s="20" cm="1">
        <f t="array" ref="C59">IF(
SUMPRODUCT(--(
TRIM(LEFT('Bite force'!$A:$A,SEARCH("§",SUBSTITUTE('Bite force'!$A:$A," ","§",2)&amp;"§")-1))=
TRIM(LEFT(A59,SEARCH("§",SUBSTITUTE(A59," ","§",2)&amp;"§")-1))
))&gt;0,
IF(
COUNT(_xlfn._xlws.FILTER('Bite force'!$I:$I,
TRIM(LEFT('Bite force'!$A:$A,SEARCH("§",SUBSTITUTE('Bite force'!$A:$A," ","§",2)&amp;"§")-1))=
TRIM(LEFT(A59,SEARCH("§",SUBSTITUTE(A59," ","§",2)&amp;"§")-1))
))=0,
1,
IF(
B59=2,
AVERAGE(_xlfn._xlws.FILTER('Bite force'!$I:$I,
TRIM(LEFT('Bite force'!$A:$A,SEARCH("§",SUBSTITUTE('Bite force'!$A:$A," ","§",2)&amp;"§")-1))=
TRIM(LEFT(A59,SEARCH("§",SUBSTITUTE(A59," ","§",2)&amp;"§")-1))
)),
MAX(_xlfn._xlws.FILTER('Bite force'!$I:$I,
TRIM(LEFT('Bite force'!$A:$A,SEARCH("§",SUBSTITUTE('Bite force'!$A:$A," ","§",2)&amp;"§")-1))=
TRIM(LEFT(A59,SEARCH("§",SUBSTITUTE(A59," ","§",2)&amp;"§")-1))
))
)
),
IFERROR(
AVERAGE(_xlfn._xlws.FILTER('Bite force'!$I:$I,
TRIM(LEFT('Bite force'!$A:$A,SEARCH(" ",'Bite force'!$A:$A&amp;" ")-1))=
TRIM(LEFT(A59,SEARCH(" ",A59&amp;" ")-1))
)),
1
)
)</f>
        <v>1.057147078698137</v>
      </c>
    </row>
    <row r="60" spans="1:3" x14ac:dyDescent="0.25">
      <c r="A60" s="2" t="str">
        <f>'[1]Base stats'!$B60</f>
        <v>Vulpes zerda</v>
      </c>
      <c r="B60" s="23">
        <f>_xlfn.XLOOKUP(A60,'[1]Base stats'!$B:$B,'[1]Base stats'!$O:$O)</f>
        <v>0</v>
      </c>
      <c r="C60" s="20" cm="1">
        <f t="array" ref="C60">IF(
SUMPRODUCT(--(
TRIM(LEFT('Bite force'!$A:$A,SEARCH("§",SUBSTITUTE('Bite force'!$A:$A," ","§",2)&amp;"§")-1))=
TRIM(LEFT(A60,SEARCH("§",SUBSTITUTE(A60," ","§",2)&amp;"§")-1))
))&gt;0,
IF(
COUNT(_xlfn._xlws.FILTER('Bite force'!$I:$I,
TRIM(LEFT('Bite force'!$A:$A,SEARCH("§",SUBSTITUTE('Bite force'!$A:$A," ","§",2)&amp;"§")-1))=
TRIM(LEFT(A60,SEARCH("§",SUBSTITUTE(A60," ","§",2)&amp;"§")-1))
))=0,
1,
IF(
B60=2,
AVERAGE(_xlfn._xlws.FILTER('Bite force'!$I:$I,
TRIM(LEFT('Bite force'!$A:$A,SEARCH("§",SUBSTITUTE('Bite force'!$A:$A," ","§",2)&amp;"§")-1))=
TRIM(LEFT(A60,SEARCH("§",SUBSTITUTE(A60," ","§",2)&amp;"§")-1))
)),
MAX(_xlfn._xlws.FILTER('Bite force'!$I:$I,
TRIM(LEFT('Bite force'!$A:$A,SEARCH("§",SUBSTITUTE('Bite force'!$A:$A," ","§",2)&amp;"§")-1))=
TRIM(LEFT(A60,SEARCH("§",SUBSTITUTE(A60," ","§",2)&amp;"§")-1))
))
)
),
IFERROR(
AVERAGE(_xlfn._xlws.FILTER('Bite force'!$I:$I,
TRIM(LEFT('Bite force'!$A:$A,SEARCH(" ",'Bite force'!$A:$A&amp;" ")-1))=
TRIM(LEFT(A60,SEARCH(" ",A60&amp;" ")-1))
)),
1
)
)</f>
        <v>0.5621030690854899</v>
      </c>
    </row>
    <row r="61" spans="1:3" x14ac:dyDescent="0.25">
      <c r="A61" s="2" t="str">
        <f>'[1]Base stats'!$B61</f>
        <v>Rattus macrosordidus</v>
      </c>
      <c r="B61" s="23">
        <f>_xlfn.XLOOKUP(A61,'[1]Base stats'!$B:$B,'[1]Base stats'!$O:$O)</f>
        <v>0</v>
      </c>
      <c r="C61" s="20" cm="1">
        <f t="array" ref="C61">IF(
SUMPRODUCT(--(
TRIM(LEFT('Bite force'!$A:$A,SEARCH("§",SUBSTITUTE('Bite force'!$A:$A," ","§",2)&amp;"§")-1))=
TRIM(LEFT(A61,SEARCH("§",SUBSTITUTE(A61," ","§",2)&amp;"§")-1))
))&gt;0,
IF(
COUNT(_xlfn._xlws.FILTER('Bite force'!$I:$I,
TRIM(LEFT('Bite force'!$A:$A,SEARCH("§",SUBSTITUTE('Bite force'!$A:$A," ","§",2)&amp;"§")-1))=
TRIM(LEFT(A61,SEARCH("§",SUBSTITUTE(A61," ","§",2)&amp;"§")-1))
))=0,
1,
IF(
B61=2,
AVERAGE(_xlfn._xlws.FILTER('Bite force'!$I:$I,
TRIM(LEFT('Bite force'!$A:$A,SEARCH("§",SUBSTITUTE('Bite force'!$A:$A," ","§",2)&amp;"§")-1))=
TRIM(LEFT(A61,SEARCH("§",SUBSTITUTE(A61," ","§",2)&amp;"§")-1))
)),
MAX(_xlfn._xlws.FILTER('Bite force'!$I:$I,
TRIM(LEFT('Bite force'!$A:$A,SEARCH("§",SUBSTITUTE('Bite force'!$A:$A," ","§",2)&amp;"§")-1))=
TRIM(LEFT(A61,SEARCH("§",SUBSTITUTE(A61," ","§",2)&amp;"§")-1))
))
)
),
IFERROR(
AVERAGE(_xlfn._xlws.FILTER('Bite force'!$I:$I,
TRIM(LEFT('Bite force'!$A:$A,SEARCH(" ",'Bite force'!$A:$A&amp;" ")-1))=
TRIM(LEFT(A61,SEARCH(" ",A61&amp;" ")-1))
)),
1
)
)</f>
        <v>0.89112849882177569</v>
      </c>
    </row>
    <row r="62" spans="1:3" x14ac:dyDescent="0.25">
      <c r="A62" s="2" t="str">
        <f>'[1]Base stats'!$B62</f>
        <v>Ailuropoda melanoleuca</v>
      </c>
      <c r="B62" s="23">
        <f>_xlfn.XLOOKUP(A62,'[1]Base stats'!$B:$B,'[1]Base stats'!$O:$O)</f>
        <v>0</v>
      </c>
      <c r="C62" s="20" cm="1">
        <f t="array" ref="C62">IF(
SUMPRODUCT(--(
TRIM(LEFT('Bite force'!$A:$A,SEARCH("§",SUBSTITUTE('Bite force'!$A:$A," ","§",2)&amp;"§")-1))=
TRIM(LEFT(A62,SEARCH("§",SUBSTITUTE(A62," ","§",2)&amp;"§")-1))
))&gt;0,
IF(
COUNT(_xlfn._xlws.FILTER('Bite force'!$I:$I,
TRIM(LEFT('Bite force'!$A:$A,SEARCH("§",SUBSTITUTE('Bite force'!$A:$A," ","§",2)&amp;"§")-1))=
TRIM(LEFT(A62,SEARCH("§",SUBSTITUTE(A62," ","§",2)&amp;"§")-1))
))=0,
1,
IF(
B62=2,
AVERAGE(_xlfn._xlws.FILTER('Bite force'!$I:$I,
TRIM(LEFT('Bite force'!$A:$A,SEARCH("§",SUBSTITUTE('Bite force'!$A:$A," ","§",2)&amp;"§")-1))=
TRIM(LEFT(A62,SEARCH("§",SUBSTITUTE(A62," ","§",2)&amp;"§")-1))
)),
MAX(_xlfn._xlws.FILTER('Bite force'!$I:$I,
TRIM(LEFT('Bite force'!$A:$A,SEARCH("§",SUBSTITUTE('Bite force'!$A:$A," ","§",2)&amp;"§")-1))=
TRIM(LEFT(A62,SEARCH("§",SUBSTITUTE(A62," ","§",2)&amp;"§")-1))
))
)
),
IFERROR(
AVERAGE(_xlfn._xlws.FILTER('Bite force'!$I:$I,
TRIM(LEFT('Bite force'!$A:$A,SEARCH(" ",'Bite force'!$A:$A&amp;" ")-1))=
TRIM(LEFT(A62,SEARCH(" ",A62&amp;" ")-1))
)),
1
)
)</f>
        <v>1.4459477491568586</v>
      </c>
    </row>
    <row r="63" spans="1:3" x14ac:dyDescent="0.25">
      <c r="A63" s="2" t="str">
        <f>'[1]Base stats'!$B63</f>
        <v>Passer domesticus</v>
      </c>
      <c r="B63" s="23">
        <f>_xlfn.XLOOKUP(A63,'[1]Base stats'!$B:$B,'[1]Base stats'!$O:$O)</f>
        <v>0</v>
      </c>
      <c r="C63" s="20" cm="1">
        <f t="array" ref="C63">IF(
SUMPRODUCT(--(
TRIM(LEFT('Bite force'!$A:$A,SEARCH("§",SUBSTITUTE('Bite force'!$A:$A," ","§",2)&amp;"§")-1))=
TRIM(LEFT(A63,SEARCH("§",SUBSTITUTE(A63," ","§",2)&amp;"§")-1))
))&gt;0,
IF(
COUNT(_xlfn._xlws.FILTER('Bite force'!$I:$I,
TRIM(LEFT('Bite force'!$A:$A,SEARCH("§",SUBSTITUTE('Bite force'!$A:$A," ","§",2)&amp;"§")-1))=
TRIM(LEFT(A63,SEARCH("§",SUBSTITUTE(A63," ","§",2)&amp;"§")-1))
))=0,
1,
IF(
B63=2,
AVERAGE(_xlfn._xlws.FILTER('Bite force'!$I:$I,
TRIM(LEFT('Bite force'!$A:$A,SEARCH("§",SUBSTITUTE('Bite force'!$A:$A," ","§",2)&amp;"§")-1))=
TRIM(LEFT(A63,SEARCH("§",SUBSTITUTE(A63," ","§",2)&amp;"§")-1))
)),
MAX(_xlfn._xlws.FILTER('Bite force'!$I:$I,
TRIM(LEFT('Bite force'!$A:$A,SEARCH("§",SUBSTITUTE('Bite force'!$A:$A," ","§",2)&amp;"§")-1))=
TRIM(LEFT(A63,SEARCH("§",SUBSTITUTE(A63," ","§",2)&amp;"§")-1))
))
)
),
IFERROR(
AVERAGE(_xlfn._xlws.FILTER('Bite force'!$I:$I,
TRIM(LEFT('Bite force'!$A:$A,SEARCH(" ",'Bite force'!$A:$A&amp;" ")-1))=
TRIM(LEFT(A63,SEARCH(" ",A63&amp;" ")-1))
)),
1
)
)</f>
        <v>1</v>
      </c>
    </row>
    <row r="64" spans="1:3" x14ac:dyDescent="0.25">
      <c r="A64" s="2" t="str">
        <f>'[1]Base stats'!$B64</f>
        <v>Sialia sialis</v>
      </c>
      <c r="B64" s="23">
        <f>_xlfn.XLOOKUP(A64,'[1]Base stats'!$B:$B,'[1]Base stats'!$O:$O)</f>
        <v>0</v>
      </c>
      <c r="C64" s="20" cm="1">
        <f t="array" ref="C64">IF(
SUMPRODUCT(--(
TRIM(LEFT('Bite force'!$A:$A,SEARCH("§",SUBSTITUTE('Bite force'!$A:$A," ","§",2)&amp;"§")-1))=
TRIM(LEFT(A64,SEARCH("§",SUBSTITUTE(A64," ","§",2)&amp;"§")-1))
))&gt;0,
IF(
COUNT(_xlfn._xlws.FILTER('Bite force'!$I:$I,
TRIM(LEFT('Bite force'!$A:$A,SEARCH("§",SUBSTITUTE('Bite force'!$A:$A," ","§",2)&amp;"§")-1))=
TRIM(LEFT(A64,SEARCH("§",SUBSTITUTE(A64," ","§",2)&amp;"§")-1))
))=0,
1,
IF(
B64=2,
AVERAGE(_xlfn._xlws.FILTER('Bite force'!$I:$I,
TRIM(LEFT('Bite force'!$A:$A,SEARCH("§",SUBSTITUTE('Bite force'!$A:$A," ","§",2)&amp;"§")-1))=
TRIM(LEFT(A64,SEARCH("§",SUBSTITUTE(A64," ","§",2)&amp;"§")-1))
)),
MAX(_xlfn._xlws.FILTER('Bite force'!$I:$I,
TRIM(LEFT('Bite force'!$A:$A,SEARCH("§",SUBSTITUTE('Bite force'!$A:$A," ","§",2)&amp;"§")-1))=
TRIM(LEFT(A64,SEARCH("§",SUBSTITUTE(A64," ","§",2)&amp;"§")-1))
))
)
),
IFERROR(
AVERAGE(_xlfn._xlws.FILTER('Bite force'!$I:$I,
TRIM(LEFT('Bite force'!$A:$A,SEARCH(" ",'Bite force'!$A:$A&amp;" ")-1))=
TRIM(LEFT(A64,SEARCH(" ",A64&amp;" ")-1))
)),
1
)
)</f>
        <v>1</v>
      </c>
    </row>
    <row r="65" spans="1:3" x14ac:dyDescent="0.25">
      <c r="A65" s="2" t="str">
        <f>'[1]Base stats'!$B65</f>
        <v>Corvus corone</v>
      </c>
      <c r="B65" s="23">
        <f>_xlfn.XLOOKUP(A65,'[1]Base stats'!$B:$B,'[1]Base stats'!$O:$O)</f>
        <v>0</v>
      </c>
      <c r="C65" s="20" cm="1">
        <f t="array" ref="C65">IF(
SUMPRODUCT(--(
TRIM(LEFT('Bite force'!$A:$A,SEARCH("§",SUBSTITUTE('Bite force'!$A:$A," ","§",2)&amp;"§")-1))=
TRIM(LEFT(A65,SEARCH("§",SUBSTITUTE(A65," ","§",2)&amp;"§")-1))
))&gt;0,
IF(
COUNT(_xlfn._xlws.FILTER('Bite force'!$I:$I,
TRIM(LEFT('Bite force'!$A:$A,SEARCH("§",SUBSTITUTE('Bite force'!$A:$A," ","§",2)&amp;"§")-1))=
TRIM(LEFT(A65,SEARCH("§",SUBSTITUTE(A65," ","§",2)&amp;"§")-1))
))=0,
1,
IF(
B65=2,
AVERAGE(_xlfn._xlws.FILTER('Bite force'!$I:$I,
TRIM(LEFT('Bite force'!$A:$A,SEARCH("§",SUBSTITUTE('Bite force'!$A:$A," ","§",2)&amp;"§")-1))=
TRIM(LEFT(A65,SEARCH("§",SUBSTITUTE(A65," ","§",2)&amp;"§")-1))
)),
MAX(_xlfn._xlws.FILTER('Bite force'!$I:$I,
TRIM(LEFT('Bite force'!$A:$A,SEARCH("§",SUBSTITUTE('Bite force'!$A:$A," ","§",2)&amp;"§")-1))=
TRIM(LEFT(A65,SEARCH("§",SUBSTITUTE(A65," ","§",2)&amp;"§")-1))
))
)
),
IFERROR(
AVERAGE(_xlfn._xlws.FILTER('Bite force'!$I:$I,
TRIM(LEFT('Bite force'!$A:$A,SEARCH(" ",'Bite force'!$A:$A&amp;" ")-1))=
TRIM(LEFT(A65,SEARCH(" ",A65&amp;" ")-1))
)),
1
)
)</f>
        <v>1</v>
      </c>
    </row>
    <row r="66" spans="1:3" x14ac:dyDescent="0.25">
      <c r="A66" s="2" t="str">
        <f>'[1]Base stats'!$B66</f>
        <v>Ara macao</v>
      </c>
      <c r="B66" s="23">
        <f>_xlfn.XLOOKUP(A66,'[1]Base stats'!$B:$B,'[1]Base stats'!$O:$O)</f>
        <v>0</v>
      </c>
      <c r="C66" s="20" cm="1">
        <f t="array" ref="C66">IF(
SUMPRODUCT(--(
TRIM(LEFT('Bite force'!$A:$A,SEARCH("§",SUBSTITUTE('Bite force'!$A:$A," ","§",2)&amp;"§")-1))=
TRIM(LEFT(A66,SEARCH("§",SUBSTITUTE(A66," ","§",2)&amp;"§")-1))
))&gt;0,
IF(
COUNT(_xlfn._xlws.FILTER('Bite force'!$I:$I,
TRIM(LEFT('Bite force'!$A:$A,SEARCH("§",SUBSTITUTE('Bite force'!$A:$A," ","§",2)&amp;"§")-1))=
TRIM(LEFT(A66,SEARCH("§",SUBSTITUTE(A66," ","§",2)&amp;"§")-1))
))=0,
1,
IF(
B66=2,
AVERAGE(_xlfn._xlws.FILTER('Bite force'!$I:$I,
TRIM(LEFT('Bite force'!$A:$A,SEARCH("§",SUBSTITUTE('Bite force'!$A:$A," ","§",2)&amp;"§")-1))=
TRIM(LEFT(A66,SEARCH("§",SUBSTITUTE(A66," ","§",2)&amp;"§")-1))
)),
MAX(_xlfn._xlws.FILTER('Bite force'!$I:$I,
TRIM(LEFT('Bite force'!$A:$A,SEARCH("§",SUBSTITUTE('Bite force'!$A:$A," ","§",2)&amp;"§")-1))=
TRIM(LEFT(A66,SEARCH("§",SUBSTITUTE(A66," ","§",2)&amp;"§")-1))
))
)
),
IFERROR(
AVERAGE(_xlfn._xlws.FILTER('Bite force'!$I:$I,
TRIM(LEFT('Bite force'!$A:$A,SEARCH(" ",'Bite force'!$A:$A&amp;" ")-1))=
TRIM(LEFT(A66,SEARCH(" ",A66&amp;" ")-1))
)),
1
)
)</f>
        <v>1</v>
      </c>
    </row>
    <row r="67" spans="1:3" x14ac:dyDescent="0.25">
      <c r="A67" s="2" t="str">
        <f>'[1]Base stats'!$B67</f>
        <v>Coturnix coturnix</v>
      </c>
      <c r="B67" s="23">
        <f>_xlfn.XLOOKUP(A67,'[1]Base stats'!$B:$B,'[1]Base stats'!$O:$O)</f>
        <v>0</v>
      </c>
      <c r="C67" s="20" cm="1">
        <f t="array" ref="C67">IF(
SUMPRODUCT(--(
TRIM(LEFT('Bite force'!$A:$A,SEARCH("§",SUBSTITUTE('Bite force'!$A:$A," ","§",2)&amp;"§")-1))=
TRIM(LEFT(A67,SEARCH("§",SUBSTITUTE(A67," ","§",2)&amp;"§")-1))
))&gt;0,
IF(
COUNT(_xlfn._xlws.FILTER('Bite force'!$I:$I,
TRIM(LEFT('Bite force'!$A:$A,SEARCH("§",SUBSTITUTE('Bite force'!$A:$A," ","§",2)&amp;"§")-1))=
TRIM(LEFT(A67,SEARCH("§",SUBSTITUTE(A67," ","§",2)&amp;"§")-1))
))=0,
1,
IF(
B67=2,
AVERAGE(_xlfn._xlws.FILTER('Bite force'!$I:$I,
TRIM(LEFT('Bite force'!$A:$A,SEARCH("§",SUBSTITUTE('Bite force'!$A:$A," ","§",2)&amp;"§")-1))=
TRIM(LEFT(A67,SEARCH("§",SUBSTITUTE(A67," ","§",2)&amp;"§")-1))
)),
MAX(_xlfn._xlws.FILTER('Bite force'!$I:$I,
TRIM(LEFT('Bite force'!$A:$A,SEARCH("§",SUBSTITUTE('Bite force'!$A:$A," ","§",2)&amp;"§")-1))=
TRIM(LEFT(A67,SEARCH("§",SUBSTITUTE(A67," ","§",2)&amp;"§")-1))
))
)
),
IFERROR(
AVERAGE(_xlfn._xlws.FILTER('Bite force'!$I:$I,
TRIM(LEFT('Bite force'!$A:$A,SEARCH(" ",'Bite force'!$A:$A&amp;" ")-1))=
TRIM(LEFT(A67,SEARCH(" ",A67&amp;" ")-1))
)),
1
)
)</f>
        <v>1</v>
      </c>
    </row>
    <row r="68" spans="1:3" x14ac:dyDescent="0.25">
      <c r="A68" s="2" t="str">
        <f>'[1]Base stats'!$B68</f>
        <v>Cygnus olor</v>
      </c>
      <c r="B68" s="23">
        <f>_xlfn.XLOOKUP(A68,'[1]Base stats'!$B:$B,'[1]Base stats'!$O:$O)</f>
        <v>0</v>
      </c>
      <c r="C68" s="20" cm="1">
        <f t="array" ref="C68">IF(
SUMPRODUCT(--(
TRIM(LEFT('Bite force'!$A:$A,SEARCH("§",SUBSTITUTE('Bite force'!$A:$A," ","§",2)&amp;"§")-1))=
TRIM(LEFT(A68,SEARCH("§",SUBSTITUTE(A68," ","§",2)&amp;"§")-1))
))&gt;0,
IF(
COUNT(_xlfn._xlws.FILTER('Bite force'!$I:$I,
TRIM(LEFT('Bite force'!$A:$A,SEARCH("§",SUBSTITUTE('Bite force'!$A:$A," ","§",2)&amp;"§")-1))=
TRIM(LEFT(A68,SEARCH("§",SUBSTITUTE(A68," ","§",2)&amp;"§")-1))
))=0,
1,
IF(
B68=2,
AVERAGE(_xlfn._xlws.FILTER('Bite force'!$I:$I,
TRIM(LEFT('Bite force'!$A:$A,SEARCH("§",SUBSTITUTE('Bite force'!$A:$A," ","§",2)&amp;"§")-1))=
TRIM(LEFT(A68,SEARCH("§",SUBSTITUTE(A68," ","§",2)&amp;"§")-1))
)),
MAX(_xlfn._xlws.FILTER('Bite force'!$I:$I,
TRIM(LEFT('Bite force'!$A:$A,SEARCH("§",SUBSTITUTE('Bite force'!$A:$A," ","§",2)&amp;"§")-1))=
TRIM(LEFT(A68,SEARCH("§",SUBSTITUTE(A68," ","§",2)&amp;"§")-1))
))
)
),
IFERROR(
AVERAGE(_xlfn._xlws.FILTER('Bite force'!$I:$I,
TRIM(LEFT('Bite force'!$A:$A,SEARCH(" ",'Bite force'!$A:$A&amp;" ")-1))=
TRIM(LEFT(A68,SEARCH(" ",A68&amp;" ")-1))
)),
1
)
)</f>
        <v>1</v>
      </c>
    </row>
    <row r="69" spans="1:3" x14ac:dyDescent="0.25">
      <c r="A69" s="2" t="str">
        <f>'[1]Base stats'!$B69</f>
        <v>Ardea cinerea</v>
      </c>
      <c r="B69" s="23">
        <f>_xlfn.XLOOKUP(A69,'[1]Base stats'!$B:$B,'[1]Base stats'!$O:$O)</f>
        <v>0</v>
      </c>
      <c r="C69" s="20" cm="1">
        <f t="array" ref="C69">IF(
SUMPRODUCT(--(
TRIM(LEFT('Bite force'!$A:$A,SEARCH("§",SUBSTITUTE('Bite force'!$A:$A," ","§",2)&amp;"§")-1))=
TRIM(LEFT(A69,SEARCH("§",SUBSTITUTE(A69," ","§",2)&amp;"§")-1))
))&gt;0,
IF(
COUNT(_xlfn._xlws.FILTER('Bite force'!$I:$I,
TRIM(LEFT('Bite force'!$A:$A,SEARCH("§",SUBSTITUTE('Bite force'!$A:$A," ","§",2)&amp;"§")-1))=
TRIM(LEFT(A69,SEARCH("§",SUBSTITUTE(A69," ","§",2)&amp;"§")-1))
))=0,
1,
IF(
B69=2,
AVERAGE(_xlfn._xlws.FILTER('Bite force'!$I:$I,
TRIM(LEFT('Bite force'!$A:$A,SEARCH("§",SUBSTITUTE('Bite force'!$A:$A," ","§",2)&amp;"§")-1))=
TRIM(LEFT(A69,SEARCH("§",SUBSTITUTE(A69," ","§",2)&amp;"§")-1))
)),
MAX(_xlfn._xlws.FILTER('Bite force'!$I:$I,
TRIM(LEFT('Bite force'!$A:$A,SEARCH("§",SUBSTITUTE('Bite force'!$A:$A," ","§",2)&amp;"§")-1))=
TRIM(LEFT(A69,SEARCH("§",SUBSTITUTE(A69," ","§",2)&amp;"§")-1))
))
)
),
IFERROR(
AVERAGE(_xlfn._xlws.FILTER('Bite force'!$I:$I,
TRIM(LEFT('Bite force'!$A:$A,SEARCH(" ",'Bite force'!$A:$A&amp;" ")-1))=
TRIM(LEFT(A69,SEARCH(" ",A69&amp;" ")-1))
)),
1
)
)</f>
        <v>1</v>
      </c>
    </row>
    <row r="70" spans="1:3" x14ac:dyDescent="0.25">
      <c r="A70" s="2" t="str">
        <f>'[1]Base stats'!$B70</f>
        <v>Phoenicopterus roseus</v>
      </c>
      <c r="B70" s="23">
        <f>_xlfn.XLOOKUP(A70,'[1]Base stats'!$B:$B,'[1]Base stats'!$O:$O)</f>
        <v>0</v>
      </c>
      <c r="C70" s="20" cm="1">
        <f t="array" ref="C70">IF(
SUMPRODUCT(--(
TRIM(LEFT('Bite force'!$A:$A,SEARCH("§",SUBSTITUTE('Bite force'!$A:$A," ","§",2)&amp;"§")-1))=
TRIM(LEFT(A70,SEARCH("§",SUBSTITUTE(A70," ","§",2)&amp;"§")-1))
))&gt;0,
IF(
COUNT(_xlfn._xlws.FILTER('Bite force'!$I:$I,
TRIM(LEFT('Bite force'!$A:$A,SEARCH("§",SUBSTITUTE('Bite force'!$A:$A," ","§",2)&amp;"§")-1))=
TRIM(LEFT(A70,SEARCH("§",SUBSTITUTE(A70," ","§",2)&amp;"§")-1))
))=0,
1,
IF(
B70=2,
AVERAGE(_xlfn._xlws.FILTER('Bite force'!$I:$I,
TRIM(LEFT('Bite force'!$A:$A,SEARCH("§",SUBSTITUTE('Bite force'!$A:$A," ","§",2)&amp;"§")-1))=
TRIM(LEFT(A70,SEARCH("§",SUBSTITUTE(A70," ","§",2)&amp;"§")-1))
)),
MAX(_xlfn._xlws.FILTER('Bite force'!$I:$I,
TRIM(LEFT('Bite force'!$A:$A,SEARCH("§",SUBSTITUTE('Bite force'!$A:$A," ","§",2)&amp;"§")-1))=
TRIM(LEFT(A70,SEARCH("§",SUBSTITUTE(A70," ","§",2)&amp;"§")-1))
))
)
),
IFERROR(
AVERAGE(_xlfn._xlws.FILTER('Bite force'!$I:$I,
TRIM(LEFT('Bite force'!$A:$A,SEARCH(" ",'Bite force'!$A:$A&amp;" ")-1))=
TRIM(LEFT(A70,SEARCH(" ",A70&amp;" ")-1))
)),
1
)
)</f>
        <v>1</v>
      </c>
    </row>
    <row r="71" spans="1:3" x14ac:dyDescent="0.25">
      <c r="A71" s="2" t="str">
        <f>'[1]Base stats'!$B71</f>
        <v>Aptenodytes forsteri</v>
      </c>
      <c r="B71" s="23">
        <f>_xlfn.XLOOKUP(A71,'[1]Base stats'!$B:$B,'[1]Base stats'!$O:$O)</f>
        <v>0</v>
      </c>
      <c r="C71" s="20" cm="1">
        <f t="array" ref="C71">IF(
SUMPRODUCT(--(
TRIM(LEFT('Bite force'!$A:$A,SEARCH("§",SUBSTITUTE('Bite force'!$A:$A," ","§",2)&amp;"§")-1))=
TRIM(LEFT(A71,SEARCH("§",SUBSTITUTE(A71," ","§",2)&amp;"§")-1))
))&gt;0,
IF(
COUNT(_xlfn._xlws.FILTER('Bite force'!$I:$I,
TRIM(LEFT('Bite force'!$A:$A,SEARCH("§",SUBSTITUTE('Bite force'!$A:$A," ","§",2)&amp;"§")-1))=
TRIM(LEFT(A71,SEARCH("§",SUBSTITUTE(A71," ","§",2)&amp;"§")-1))
))=0,
1,
IF(
B71=2,
AVERAGE(_xlfn._xlws.FILTER('Bite force'!$I:$I,
TRIM(LEFT('Bite force'!$A:$A,SEARCH("§",SUBSTITUTE('Bite force'!$A:$A," ","§",2)&amp;"§")-1))=
TRIM(LEFT(A71,SEARCH("§",SUBSTITUTE(A71," ","§",2)&amp;"§")-1))
)),
MAX(_xlfn._xlws.FILTER('Bite force'!$I:$I,
TRIM(LEFT('Bite force'!$A:$A,SEARCH("§",SUBSTITUTE('Bite force'!$A:$A," ","§",2)&amp;"§")-1))=
TRIM(LEFT(A71,SEARCH("§",SUBSTITUTE(A71," ","§",2)&amp;"§")-1))
))
)
),
IFERROR(
AVERAGE(_xlfn._xlws.FILTER('Bite force'!$I:$I,
TRIM(LEFT('Bite force'!$A:$A,SEARCH(" ",'Bite force'!$A:$A&amp;" ")-1))=
TRIM(LEFT(A71,SEARCH(" ",A71&amp;" ")-1))
)),
1
)
)</f>
        <v>1</v>
      </c>
    </row>
    <row r="72" spans="1:3" x14ac:dyDescent="0.25">
      <c r="A72" s="2" t="str">
        <f>'[1]Base stats'!$B72</f>
        <v>Pavo cristatus</v>
      </c>
      <c r="B72" s="23">
        <f>_xlfn.XLOOKUP(A72,'[1]Base stats'!$B:$B,'[1]Base stats'!$O:$O)</f>
        <v>0</v>
      </c>
      <c r="C72" s="20" cm="1">
        <f t="array" ref="C72">IF(
SUMPRODUCT(--(
TRIM(LEFT('Bite force'!$A:$A,SEARCH("§",SUBSTITUTE('Bite force'!$A:$A," ","§",2)&amp;"§")-1))=
TRIM(LEFT(A72,SEARCH("§",SUBSTITUTE(A72," ","§",2)&amp;"§")-1))
))&gt;0,
IF(
COUNT(_xlfn._xlws.FILTER('Bite force'!$I:$I,
TRIM(LEFT('Bite force'!$A:$A,SEARCH("§",SUBSTITUTE('Bite force'!$A:$A," ","§",2)&amp;"§")-1))=
TRIM(LEFT(A72,SEARCH("§",SUBSTITUTE(A72," ","§",2)&amp;"§")-1))
))=0,
1,
IF(
B72=2,
AVERAGE(_xlfn._xlws.FILTER('Bite force'!$I:$I,
TRIM(LEFT('Bite force'!$A:$A,SEARCH("§",SUBSTITUTE('Bite force'!$A:$A," ","§",2)&amp;"§")-1))=
TRIM(LEFT(A72,SEARCH("§",SUBSTITUTE(A72," ","§",2)&amp;"§")-1))
)),
MAX(_xlfn._xlws.FILTER('Bite force'!$I:$I,
TRIM(LEFT('Bite force'!$A:$A,SEARCH("§",SUBSTITUTE('Bite force'!$A:$A," ","§",2)&amp;"§")-1))=
TRIM(LEFT(A72,SEARCH("§",SUBSTITUTE(A72," ","§",2)&amp;"§")-1))
))
)
),
IFERROR(
AVERAGE(_xlfn._xlws.FILTER('Bite force'!$I:$I,
TRIM(LEFT('Bite force'!$A:$A,SEARCH(" ",'Bite force'!$A:$A&amp;" ")-1))=
TRIM(LEFT(A72,SEARCH(" ",A72&amp;" ")-1))
)),
1
)
)</f>
        <v>1</v>
      </c>
    </row>
    <row r="73" spans="1:3" x14ac:dyDescent="0.25">
      <c r="A73" s="2" t="str">
        <f>'[1]Base stats'!$B73</f>
        <v>Gyps africanus</v>
      </c>
      <c r="B73" s="23">
        <f>_xlfn.XLOOKUP(A73,'[1]Base stats'!$B:$B,'[1]Base stats'!$O:$O)</f>
        <v>0</v>
      </c>
      <c r="C73" s="20" cm="1">
        <f t="array" ref="C73">IF(
SUMPRODUCT(--(
TRIM(LEFT('Bite force'!$A:$A,SEARCH("§",SUBSTITUTE('Bite force'!$A:$A," ","§",2)&amp;"§")-1))=
TRIM(LEFT(A73,SEARCH("§",SUBSTITUTE(A73," ","§",2)&amp;"§")-1))
))&gt;0,
IF(
COUNT(_xlfn._xlws.FILTER('Bite force'!$I:$I,
TRIM(LEFT('Bite force'!$A:$A,SEARCH("§",SUBSTITUTE('Bite force'!$A:$A," ","§",2)&amp;"§")-1))=
TRIM(LEFT(A73,SEARCH("§",SUBSTITUTE(A73," ","§",2)&amp;"§")-1))
))=0,
1,
IF(
B73=2,
AVERAGE(_xlfn._xlws.FILTER('Bite force'!$I:$I,
TRIM(LEFT('Bite force'!$A:$A,SEARCH("§",SUBSTITUTE('Bite force'!$A:$A," ","§",2)&amp;"§")-1))=
TRIM(LEFT(A73,SEARCH("§",SUBSTITUTE(A73," ","§",2)&amp;"§")-1))
)),
MAX(_xlfn._xlws.FILTER('Bite force'!$I:$I,
TRIM(LEFT('Bite force'!$A:$A,SEARCH("§",SUBSTITUTE('Bite force'!$A:$A," ","§",2)&amp;"§")-1))=
TRIM(LEFT(A73,SEARCH("§",SUBSTITUTE(A73," ","§",2)&amp;"§")-1))
))
)
),
IFERROR(
AVERAGE(_xlfn._xlws.FILTER('Bite force'!$I:$I,
TRIM(LEFT('Bite force'!$A:$A,SEARCH(" ",'Bite force'!$A:$A&amp;" ")-1))=
TRIM(LEFT(A73,SEARCH(" ",A73&amp;" ")-1))
)),
1
)
)</f>
        <v>1</v>
      </c>
    </row>
    <row r="74" spans="1:3" x14ac:dyDescent="0.25">
      <c r="A74" s="2" t="str">
        <f>'[1]Base stats'!$B74</f>
        <v>Panthera tigris</v>
      </c>
      <c r="B74" s="23">
        <f>_xlfn.XLOOKUP(A74,'[1]Base stats'!$B:$B,'[1]Base stats'!$O:$O)</f>
        <v>0</v>
      </c>
      <c r="C74" s="20" cm="1">
        <f t="array" ref="C74">IF(
SUMPRODUCT(--(
TRIM(LEFT('Bite force'!$A:$A,SEARCH("§",SUBSTITUTE('Bite force'!$A:$A," ","§",2)&amp;"§")-1))=
TRIM(LEFT(A74,SEARCH("§",SUBSTITUTE(A74," ","§",2)&amp;"§")-1))
))&gt;0,
IF(
COUNT(_xlfn._xlws.FILTER('Bite force'!$I:$I,
TRIM(LEFT('Bite force'!$A:$A,SEARCH("§",SUBSTITUTE('Bite force'!$A:$A," ","§",2)&amp;"§")-1))=
TRIM(LEFT(A74,SEARCH("§",SUBSTITUTE(A74," ","§",2)&amp;"§")-1))
))=0,
1,
IF(
B74=2,
AVERAGE(_xlfn._xlws.FILTER('Bite force'!$I:$I,
TRIM(LEFT('Bite force'!$A:$A,SEARCH("§",SUBSTITUTE('Bite force'!$A:$A," ","§",2)&amp;"§")-1))=
TRIM(LEFT(A74,SEARCH("§",SUBSTITUTE(A74," ","§",2)&amp;"§")-1))
)),
MAX(_xlfn._xlws.FILTER('Bite force'!$I:$I,
TRIM(LEFT('Bite force'!$A:$A,SEARCH("§",SUBSTITUTE('Bite force'!$A:$A," ","§",2)&amp;"§")-1))=
TRIM(LEFT(A74,SEARCH("§",SUBSTITUTE(A74," ","§",2)&amp;"§")-1))
))
)
),
IFERROR(
AVERAGE(_xlfn._xlws.FILTER('Bite force'!$I:$I,
TRIM(LEFT('Bite force'!$A:$A,SEARCH(" ",'Bite force'!$A:$A&amp;" ")-1))=
TRIM(LEFT(A74,SEARCH(" ",A74&amp;" ")-1))
)),
1
)
)</f>
        <v>0.95473693322556374</v>
      </c>
    </row>
    <row r="75" spans="1:3" x14ac:dyDescent="0.25">
      <c r="A75" s="2" t="str">
        <f>'[1]Base stats'!$B75</f>
        <v>Homotherium serum</v>
      </c>
      <c r="B75" s="23">
        <f>_xlfn.XLOOKUP(A75,'[1]Base stats'!$B:$B,'[1]Base stats'!$O:$O)</f>
        <v>0</v>
      </c>
      <c r="C75" s="20" cm="1">
        <f t="array" ref="C75">IF(
SUMPRODUCT(--(
TRIM(LEFT('Bite force'!$A:$A,SEARCH("§",SUBSTITUTE('Bite force'!$A:$A," ","§",2)&amp;"§")-1))=
TRIM(LEFT(A75,SEARCH("§",SUBSTITUTE(A75," ","§",2)&amp;"§")-1))
))&gt;0,
IF(
COUNT(_xlfn._xlws.FILTER('Bite force'!$I:$I,
TRIM(LEFT('Bite force'!$A:$A,SEARCH("§",SUBSTITUTE('Bite force'!$A:$A," ","§",2)&amp;"§")-1))=
TRIM(LEFT(A75,SEARCH("§",SUBSTITUTE(A75," ","§",2)&amp;"§")-1))
))=0,
1,
IF(
B75=2,
AVERAGE(_xlfn._xlws.FILTER('Bite force'!$I:$I,
TRIM(LEFT('Bite force'!$A:$A,SEARCH("§",SUBSTITUTE('Bite force'!$A:$A," ","§",2)&amp;"§")-1))=
TRIM(LEFT(A75,SEARCH("§",SUBSTITUTE(A75," ","§",2)&amp;"§")-1))
)),
MAX(_xlfn._xlws.FILTER('Bite force'!$I:$I,
TRIM(LEFT('Bite force'!$A:$A,SEARCH("§",SUBSTITUTE('Bite force'!$A:$A," ","§",2)&amp;"§")-1))=
TRIM(LEFT(A75,SEARCH("§",SUBSTITUTE(A75," ","§",2)&amp;"§")-1))
))
)
),
IFERROR(
AVERAGE(_xlfn._xlws.FILTER('Bite force'!$I:$I,
TRIM(LEFT('Bite force'!$A:$A,SEARCH(" ",'Bite force'!$A:$A&amp;" ")-1))=
TRIM(LEFT(A75,SEARCH(" ",A75&amp;" ")-1))
)),
1
)
)</f>
        <v>1</v>
      </c>
    </row>
    <row r="76" spans="1:3" x14ac:dyDescent="0.25">
      <c r="A76" s="2" t="str">
        <f>'[1]Base stats'!$B76</f>
        <v>Lithobates catesbeianus</v>
      </c>
      <c r="B76" s="23">
        <f>_xlfn.XLOOKUP(A76,'[1]Base stats'!$B:$B,'[1]Base stats'!$O:$O)</f>
        <v>0</v>
      </c>
      <c r="C76" s="20" cm="1">
        <f t="array" ref="C76">IF(
SUMPRODUCT(--(
TRIM(LEFT('Bite force'!$A:$A,SEARCH("§",SUBSTITUTE('Bite force'!$A:$A," ","§",2)&amp;"§")-1))=
TRIM(LEFT(A76,SEARCH("§",SUBSTITUTE(A76," ","§",2)&amp;"§")-1))
))&gt;0,
IF(
COUNT(_xlfn._xlws.FILTER('Bite force'!$I:$I,
TRIM(LEFT('Bite force'!$A:$A,SEARCH("§",SUBSTITUTE('Bite force'!$A:$A," ","§",2)&amp;"§")-1))=
TRIM(LEFT(A76,SEARCH("§",SUBSTITUTE(A76," ","§",2)&amp;"§")-1))
))=0,
1,
IF(
B76=2,
AVERAGE(_xlfn._xlws.FILTER('Bite force'!$I:$I,
TRIM(LEFT('Bite force'!$A:$A,SEARCH("§",SUBSTITUTE('Bite force'!$A:$A," ","§",2)&amp;"§")-1))=
TRIM(LEFT(A76,SEARCH("§",SUBSTITUTE(A76," ","§",2)&amp;"§")-1))
)),
MAX(_xlfn._xlws.FILTER('Bite force'!$I:$I,
TRIM(LEFT('Bite force'!$A:$A,SEARCH("§",SUBSTITUTE('Bite force'!$A:$A," ","§",2)&amp;"§")-1))=
TRIM(LEFT(A76,SEARCH("§",SUBSTITUTE(A76," ","§",2)&amp;"§")-1))
))
)
),
IFERROR(
AVERAGE(_xlfn._xlws.FILTER('Bite force'!$I:$I,
TRIM(LEFT('Bite force'!$A:$A,SEARCH(" ",'Bite force'!$A:$A&amp;" ")-1))=
TRIM(LEFT(A76,SEARCH(" ",A76&amp;" ")-1))
)),
1
)
)</f>
        <v>1</v>
      </c>
    </row>
    <row r="77" spans="1:3" x14ac:dyDescent="0.25">
      <c r="A77" s="2" t="str">
        <f>'[1]Base stats'!$B77</f>
        <v>Macrobufo giganteus</v>
      </c>
      <c r="B77" s="23">
        <f>_xlfn.XLOOKUP(A77,'[1]Base stats'!$B:$B,'[1]Base stats'!$O:$O)</f>
        <v>1</v>
      </c>
      <c r="C77" s="20" cm="1">
        <f t="array" ref="C77">IF(
SUMPRODUCT(--(
TRIM(LEFT('Bite force'!$A:$A,SEARCH("§",SUBSTITUTE('Bite force'!$A:$A," ","§",2)&amp;"§")-1))=
TRIM(LEFT(A77,SEARCH("§",SUBSTITUTE(A77," ","§",2)&amp;"§")-1))
))&gt;0,
IF(
COUNT(_xlfn._xlws.FILTER('Bite force'!$I:$I,
TRIM(LEFT('Bite force'!$A:$A,SEARCH("§",SUBSTITUTE('Bite force'!$A:$A," ","§",2)&amp;"§")-1))=
TRIM(LEFT(A77,SEARCH("§",SUBSTITUTE(A77," ","§",2)&amp;"§")-1))
))=0,
1,
IF(
B77=2,
AVERAGE(_xlfn._xlws.FILTER('Bite force'!$I:$I,
TRIM(LEFT('Bite force'!$A:$A,SEARCH("§",SUBSTITUTE('Bite force'!$A:$A," ","§",2)&amp;"§")-1))=
TRIM(LEFT(A77,SEARCH("§",SUBSTITUTE(A77," ","§",2)&amp;"§")-1))
)),
MAX(_xlfn._xlws.FILTER('Bite force'!$I:$I,
TRIM(LEFT('Bite force'!$A:$A,SEARCH("§",SUBSTITUTE('Bite force'!$A:$A," ","§",2)&amp;"§")-1))=
TRIM(LEFT(A77,SEARCH("§",SUBSTITUTE(A77," ","§",2)&amp;"§")-1))
))
)
),
IFERROR(
AVERAGE(_xlfn._xlws.FILTER('Bite force'!$I:$I,
TRIM(LEFT('Bite force'!$A:$A,SEARCH(" ",'Bite force'!$A:$A&amp;" ")-1))=
TRIM(LEFT(A77,SEARCH(" ",A77&amp;" ")-1))
)),
1
)
)</f>
        <v>1</v>
      </c>
    </row>
    <row r="78" spans="1:3" x14ac:dyDescent="0.25">
      <c r="A78" s="2" t="str">
        <f>'[1]Base stats'!$B78</f>
        <v>Hippopotamus amphibius</v>
      </c>
      <c r="B78" s="23">
        <f>_xlfn.XLOOKUP(A78,'[1]Base stats'!$B:$B,'[1]Base stats'!$O:$O)</f>
        <v>0</v>
      </c>
      <c r="C78" s="20" cm="1">
        <f t="array" ref="C78">IF(
SUMPRODUCT(--(
TRIM(LEFT('Bite force'!$A:$A,SEARCH("§",SUBSTITUTE('Bite force'!$A:$A," ","§",2)&amp;"§")-1))=
TRIM(LEFT(A78,SEARCH("§",SUBSTITUTE(A78," ","§",2)&amp;"§")-1))
))&gt;0,
IF(
COUNT(_xlfn._xlws.FILTER('Bite force'!$I:$I,
TRIM(LEFT('Bite force'!$A:$A,SEARCH("§",SUBSTITUTE('Bite force'!$A:$A," ","§",2)&amp;"§")-1))=
TRIM(LEFT(A78,SEARCH("§",SUBSTITUTE(A78," ","§",2)&amp;"§")-1))
))=0,
1,
IF(
B78=2,
AVERAGE(_xlfn._xlws.FILTER('Bite force'!$I:$I,
TRIM(LEFT('Bite force'!$A:$A,SEARCH("§",SUBSTITUTE('Bite force'!$A:$A," ","§",2)&amp;"§")-1))=
TRIM(LEFT(A78,SEARCH("§",SUBSTITUTE(A78," ","§",2)&amp;"§")-1))
)),
MAX(_xlfn._xlws.FILTER('Bite force'!$I:$I,
TRIM(LEFT('Bite force'!$A:$A,SEARCH("§",SUBSTITUTE('Bite force'!$A:$A," ","§",2)&amp;"§")-1))=
TRIM(LEFT(A78,SEARCH("§",SUBSTITUTE(A78," ","§",2)&amp;"§")-1))
))
)
),
IFERROR(
AVERAGE(_xlfn._xlws.FILTER('Bite force'!$I:$I,
TRIM(LEFT('Bite force'!$A:$A,SEARCH(" ",'Bite force'!$A:$A&amp;" ")-1))=
TRIM(LEFT(A78,SEARCH(" ",A78&amp;" ")-1))
)),
1
)
)</f>
        <v>1</v>
      </c>
    </row>
    <row r="79" spans="1:3" x14ac:dyDescent="0.25">
      <c r="A79" s="2" t="str">
        <f>'[1]Base stats'!$B79</f>
        <v>Mammut americanum</v>
      </c>
      <c r="B79" s="23">
        <f>_xlfn.XLOOKUP(A79,'[1]Base stats'!$B:$B,'[1]Base stats'!$O:$O)</f>
        <v>0</v>
      </c>
      <c r="C79" s="20" cm="1">
        <f t="array" ref="C79">IF(
SUMPRODUCT(--(
TRIM(LEFT('Bite force'!$A:$A,SEARCH("§",SUBSTITUTE('Bite force'!$A:$A," ","§",2)&amp;"§")-1))=
TRIM(LEFT(A79,SEARCH("§",SUBSTITUTE(A79," ","§",2)&amp;"§")-1))
))&gt;0,
IF(
COUNT(_xlfn._xlws.FILTER('Bite force'!$I:$I,
TRIM(LEFT('Bite force'!$A:$A,SEARCH("§",SUBSTITUTE('Bite force'!$A:$A," ","§",2)&amp;"§")-1))=
TRIM(LEFT(A79,SEARCH("§",SUBSTITUTE(A79," ","§",2)&amp;"§")-1))
))=0,
1,
IF(
B79=2,
AVERAGE(_xlfn._xlws.FILTER('Bite force'!$I:$I,
TRIM(LEFT('Bite force'!$A:$A,SEARCH("§",SUBSTITUTE('Bite force'!$A:$A," ","§",2)&amp;"§")-1))=
TRIM(LEFT(A79,SEARCH("§",SUBSTITUTE(A79," ","§",2)&amp;"§")-1))
)),
MAX(_xlfn._xlws.FILTER('Bite force'!$I:$I,
TRIM(LEFT('Bite force'!$A:$A,SEARCH("§",SUBSTITUTE('Bite force'!$A:$A," ","§",2)&amp;"§")-1))=
TRIM(LEFT(A79,SEARCH("§",SUBSTITUTE(A79," ","§",2)&amp;"§")-1))
))
)
),
IFERROR(
AVERAGE(_xlfn._xlws.FILTER('Bite force'!$I:$I,
TRIM(LEFT('Bite force'!$A:$A,SEARCH(" ",'Bite force'!$A:$A&amp;" ")-1))=
TRIM(LEFT(A79,SEARCH(" ",A79&amp;" ")-1))
)),
1
)
)</f>
        <v>1</v>
      </c>
    </row>
    <row r="80" spans="1:3" x14ac:dyDescent="0.25">
      <c r="A80" s="2" t="str">
        <f>'[1]Base stats'!$B80</f>
        <v>Thrumbo magnificus (alpha)</v>
      </c>
      <c r="B80" s="23">
        <f>_xlfn.XLOOKUP(A80,'[1]Base stats'!$B:$B,'[1]Base stats'!$O:$O)</f>
        <v>0</v>
      </c>
      <c r="C80" s="20" cm="1">
        <f t="array" ref="C80">IF(
SUMPRODUCT(--(
TRIM(LEFT('Bite force'!$A:$A,SEARCH("§",SUBSTITUTE('Bite force'!$A:$A," ","§",2)&amp;"§")-1))=
TRIM(LEFT(A80,SEARCH("§",SUBSTITUTE(A80," ","§",2)&amp;"§")-1))
))&gt;0,
IF(
COUNT(_xlfn._xlws.FILTER('Bite force'!$I:$I,
TRIM(LEFT('Bite force'!$A:$A,SEARCH("§",SUBSTITUTE('Bite force'!$A:$A," ","§",2)&amp;"§")-1))=
TRIM(LEFT(A80,SEARCH("§",SUBSTITUTE(A80," ","§",2)&amp;"§")-1))
))=0,
1,
IF(
B80=2,
AVERAGE(_xlfn._xlws.FILTER('Bite force'!$I:$I,
TRIM(LEFT('Bite force'!$A:$A,SEARCH("§",SUBSTITUTE('Bite force'!$A:$A," ","§",2)&amp;"§")-1))=
TRIM(LEFT(A80,SEARCH("§",SUBSTITUTE(A80," ","§",2)&amp;"§")-1))
)),
MAX(_xlfn._xlws.FILTER('Bite force'!$I:$I,
TRIM(LEFT('Bite force'!$A:$A,SEARCH("§",SUBSTITUTE('Bite force'!$A:$A," ","§",2)&amp;"§")-1))=
TRIM(LEFT(A80,SEARCH("§",SUBSTITUTE(A80," ","§",2)&amp;"§")-1))
))
)
),
IFERROR(
AVERAGE(_xlfn._xlws.FILTER('Bite force'!$I:$I,
TRIM(LEFT('Bite force'!$A:$A,SEARCH(" ",'Bite force'!$A:$A&amp;" ")-1))=
TRIM(LEFT(A80,SEARCH(" ",A80&amp;" ")-1))
)),
1
)
)</f>
        <v>1</v>
      </c>
    </row>
    <row r="81" spans="1:3" x14ac:dyDescent="0.25">
      <c r="A81" s="2" t="str">
        <f>'[1]Base stats'!$B81</f>
        <v>Euphractus sexcinctus</v>
      </c>
      <c r="B81" s="23">
        <f>_xlfn.XLOOKUP(A81,'[1]Base stats'!$B:$B,'[1]Base stats'!$O:$O)</f>
        <v>0</v>
      </c>
      <c r="C81" s="20" cm="1">
        <f t="array" ref="C81">IF(
SUMPRODUCT(--(
TRIM(LEFT('Bite force'!$A:$A,SEARCH("§",SUBSTITUTE('Bite force'!$A:$A," ","§",2)&amp;"§")-1))=
TRIM(LEFT(A81,SEARCH("§",SUBSTITUTE(A81," ","§",2)&amp;"§")-1))
))&gt;0,
IF(
COUNT(_xlfn._xlws.FILTER('Bite force'!$I:$I,
TRIM(LEFT('Bite force'!$A:$A,SEARCH("§",SUBSTITUTE('Bite force'!$A:$A," ","§",2)&amp;"§")-1))=
TRIM(LEFT(A81,SEARCH("§",SUBSTITUTE(A81," ","§",2)&amp;"§")-1))
))=0,
1,
IF(
B81=2,
AVERAGE(_xlfn._xlws.FILTER('Bite force'!$I:$I,
TRIM(LEFT('Bite force'!$A:$A,SEARCH("§",SUBSTITUTE('Bite force'!$A:$A," ","§",2)&amp;"§")-1))=
TRIM(LEFT(A81,SEARCH("§",SUBSTITUTE(A81," ","§",2)&amp;"§")-1))
)),
MAX(_xlfn._xlws.FILTER('Bite force'!$I:$I,
TRIM(LEFT('Bite force'!$A:$A,SEARCH("§",SUBSTITUTE('Bite force'!$A:$A," ","§",2)&amp;"§")-1))=
TRIM(LEFT(A81,SEARCH("§",SUBSTITUTE(A81," ","§",2)&amp;"§")-1))
))
)
),
IFERROR(
AVERAGE(_xlfn._xlws.FILTER('Bite force'!$I:$I,
TRIM(LEFT('Bite force'!$A:$A,SEARCH(" ",'Bite force'!$A:$A&amp;" ")-1))=
TRIM(LEFT(A81,SEARCH(" ",A81&amp;" ")-1))
)),
1
)
)</f>
        <v>1</v>
      </c>
    </row>
    <row r="82" spans="1:3" x14ac:dyDescent="0.25">
      <c r="A82" s="2" t="str">
        <f>'[1]Base stats'!$B82</f>
        <v>Gulo gulo</v>
      </c>
      <c r="B82" s="23">
        <f>_xlfn.XLOOKUP(A82,'[1]Base stats'!$B:$B,'[1]Base stats'!$O:$O)</f>
        <v>0</v>
      </c>
      <c r="C82" s="20" cm="1">
        <f t="array" ref="C82">IF(
SUMPRODUCT(--(
TRIM(LEFT('Bite force'!$A:$A,SEARCH("§",SUBSTITUTE('Bite force'!$A:$A," ","§",2)&amp;"§")-1))=
TRIM(LEFT(A82,SEARCH("§",SUBSTITUTE(A82," ","§",2)&amp;"§")-1))
))&gt;0,
IF(
COUNT(_xlfn._xlws.FILTER('Bite force'!$I:$I,
TRIM(LEFT('Bite force'!$A:$A,SEARCH("§",SUBSTITUTE('Bite force'!$A:$A," ","§",2)&amp;"§")-1))=
TRIM(LEFT(A82,SEARCH("§",SUBSTITUTE(A82," ","§",2)&amp;"§")-1))
))=0,
1,
IF(
B82=2,
AVERAGE(_xlfn._xlws.FILTER('Bite force'!$I:$I,
TRIM(LEFT('Bite force'!$A:$A,SEARCH("§",SUBSTITUTE('Bite force'!$A:$A," ","§",2)&amp;"§")-1))=
TRIM(LEFT(A82,SEARCH("§",SUBSTITUTE(A82," ","§",2)&amp;"§")-1))
)),
MAX(_xlfn._xlws.FILTER('Bite force'!$I:$I,
TRIM(LEFT('Bite force'!$A:$A,SEARCH("§",SUBSTITUTE('Bite force'!$A:$A," ","§",2)&amp;"§")-1))=
TRIM(LEFT(A82,SEARCH("§",SUBSTITUTE(A82," ","§",2)&amp;"§")-1))
))
)
),
IFERROR(
AVERAGE(_xlfn._xlws.FILTER('Bite force'!$I:$I,
TRIM(LEFT('Bite force'!$A:$A,SEARCH(" ",'Bite force'!$A:$A&amp;" ")-1))=
TRIM(LEFT(A82,SEARCH(" ",A82&amp;" ")-1))
)),
1
)
)</f>
        <v>2.3814441822452346</v>
      </c>
    </row>
    <row r="83" spans="1:3" x14ac:dyDescent="0.25">
      <c r="A83" s="2" t="str">
        <f>'[1]Base stats'!$B83</f>
        <v>Mustela vison</v>
      </c>
      <c r="B83" s="23">
        <f>_xlfn.XLOOKUP(A83,'[1]Base stats'!$B:$B,'[1]Base stats'!$O:$O)</f>
        <v>0</v>
      </c>
      <c r="C83" s="20" cm="1">
        <f t="array" ref="C83">IF(
SUMPRODUCT(--(
TRIM(LEFT('Bite force'!$A:$A,SEARCH("§",SUBSTITUTE('Bite force'!$A:$A," ","§",2)&amp;"§")-1))=
TRIM(LEFT(A83,SEARCH("§",SUBSTITUTE(A83," ","§",2)&amp;"§")-1))
))&gt;0,
IF(
COUNT(_xlfn._xlws.FILTER('Bite force'!$I:$I,
TRIM(LEFT('Bite force'!$A:$A,SEARCH("§",SUBSTITUTE('Bite force'!$A:$A," ","§",2)&amp;"§")-1))=
TRIM(LEFT(A83,SEARCH("§",SUBSTITUTE(A83," ","§",2)&amp;"§")-1))
))=0,
1,
IF(
B83=2,
AVERAGE(_xlfn._xlws.FILTER('Bite force'!$I:$I,
TRIM(LEFT('Bite force'!$A:$A,SEARCH("§",SUBSTITUTE('Bite force'!$A:$A," ","§",2)&amp;"§")-1))=
TRIM(LEFT(A83,SEARCH("§",SUBSTITUTE(A83," ","§",2)&amp;"§")-1))
)),
MAX(_xlfn._xlws.FILTER('Bite force'!$I:$I,
TRIM(LEFT('Bite force'!$A:$A,SEARCH("§",SUBSTITUTE('Bite force'!$A:$A," ","§",2)&amp;"§")-1))=
TRIM(LEFT(A83,SEARCH("§",SUBSTITUTE(A83," ","§",2)&amp;"§")-1))
))
)
),
IFERROR(
AVERAGE(_xlfn._xlws.FILTER('Bite force'!$I:$I,
TRIM(LEFT('Bite force'!$A:$A,SEARCH(" ",'Bite force'!$A:$A&amp;" ")-1))=
TRIM(LEFT(A83,SEARCH(" ",A83&amp;" ")-1))
)),
1
)
)</f>
        <v>1.0412716373482354</v>
      </c>
    </row>
    <row r="84" spans="1:3" x14ac:dyDescent="0.25">
      <c r="A84" s="2" t="str">
        <f>'[1]Base stats'!$B84</f>
        <v>Meles meles</v>
      </c>
      <c r="B84" s="23">
        <f>_xlfn.XLOOKUP(A84,'[1]Base stats'!$B:$B,'[1]Base stats'!$O:$O)</f>
        <v>0</v>
      </c>
      <c r="C84" s="20" cm="1">
        <f t="array" ref="C84">IF(
SUMPRODUCT(--(
TRIM(LEFT('Bite force'!$A:$A,SEARCH("§",SUBSTITUTE('Bite force'!$A:$A," ","§",2)&amp;"§")-1))=
TRIM(LEFT(A84,SEARCH("§",SUBSTITUTE(A84," ","§",2)&amp;"§")-1))
))&gt;0,
IF(
COUNT(_xlfn._xlws.FILTER('Bite force'!$I:$I,
TRIM(LEFT('Bite force'!$A:$A,SEARCH("§",SUBSTITUTE('Bite force'!$A:$A," ","§",2)&amp;"§")-1))=
TRIM(LEFT(A84,SEARCH("§",SUBSTITUTE(A84," ","§",2)&amp;"§")-1))
))=0,
1,
IF(
B84=2,
AVERAGE(_xlfn._xlws.FILTER('Bite force'!$I:$I,
TRIM(LEFT('Bite force'!$A:$A,SEARCH("§",SUBSTITUTE('Bite force'!$A:$A," ","§",2)&amp;"§")-1))=
TRIM(LEFT(A84,SEARCH("§",SUBSTITUTE(A84," ","§",2)&amp;"§")-1))
)),
MAX(_xlfn._xlws.FILTER('Bite force'!$I:$I,
TRIM(LEFT('Bite force'!$A:$A,SEARCH("§",SUBSTITUTE('Bite force'!$A:$A," ","§",2)&amp;"§")-1))=
TRIM(LEFT(A84,SEARCH("§",SUBSTITUTE(A84," ","§",2)&amp;"§")-1))
))
)
),
IFERROR(
AVERAGE(_xlfn._xlws.FILTER('Bite force'!$I:$I,
TRIM(LEFT('Bite force'!$A:$A,SEARCH(" ",'Bite force'!$A:$A&amp;" ")-1))=
TRIM(LEFT(A84,SEARCH(" ",A84&amp;" ")-1))
)),
1
)
)</f>
        <v>1</v>
      </c>
    </row>
    <row r="85" spans="1:3" x14ac:dyDescent="0.25">
      <c r="A85" s="2" t="str">
        <f>'[1]Base stats'!$B85</f>
        <v>Lutra lutra</v>
      </c>
      <c r="B85" s="23">
        <f>_xlfn.XLOOKUP(A85,'[1]Base stats'!$B:$B,'[1]Base stats'!$O:$O)</f>
        <v>0</v>
      </c>
      <c r="C85" s="20" cm="1">
        <f t="array" ref="C85">IF(
SUMPRODUCT(--(
TRIM(LEFT('Bite force'!$A:$A,SEARCH("§",SUBSTITUTE('Bite force'!$A:$A," ","§",2)&amp;"§")-1))=
TRIM(LEFT(A85,SEARCH("§",SUBSTITUTE(A85," ","§",2)&amp;"§")-1))
))&gt;0,
IF(
COUNT(_xlfn._xlws.FILTER('Bite force'!$I:$I,
TRIM(LEFT('Bite force'!$A:$A,SEARCH("§",SUBSTITUTE('Bite force'!$A:$A," ","§",2)&amp;"§")-1))=
TRIM(LEFT(A85,SEARCH("§",SUBSTITUTE(A85," ","§",2)&amp;"§")-1))
))=0,
1,
IF(
B85=2,
AVERAGE(_xlfn._xlws.FILTER('Bite force'!$I:$I,
TRIM(LEFT('Bite force'!$A:$A,SEARCH("§",SUBSTITUTE('Bite force'!$A:$A," ","§",2)&amp;"§")-1))=
TRIM(LEFT(A85,SEARCH("§",SUBSTITUTE(A85," ","§",2)&amp;"§")-1))
)),
MAX(_xlfn._xlws.FILTER('Bite force'!$I:$I,
TRIM(LEFT('Bite force'!$A:$A,SEARCH("§",SUBSTITUTE('Bite force'!$A:$A," ","§",2)&amp;"§")-1))=
TRIM(LEFT(A85,SEARCH("§",SUBSTITUTE(A85," ","§",2)&amp;"§")-1))
))
)
),
IFERROR(
AVERAGE(_xlfn._xlws.FILTER('Bite force'!$I:$I,
TRIM(LEFT('Bite force'!$A:$A,SEARCH(" ",'Bite force'!$A:$A&amp;" ")-1))=
TRIM(LEFT(A85,SEARCH(" ",A85&amp;" ")-1))
)),
1
)
)</f>
        <v>1</v>
      </c>
    </row>
    <row r="86" spans="1:3" x14ac:dyDescent="0.25">
      <c r="A86" s="2" t="str">
        <f>'[1]Base stats'!$B86</f>
        <v>Zalophus californianus</v>
      </c>
      <c r="B86" s="23">
        <f>_xlfn.XLOOKUP(A86,'[1]Base stats'!$B:$B,'[1]Base stats'!$O:$O)</f>
        <v>0</v>
      </c>
      <c r="C86" s="20" cm="1">
        <f t="array" ref="C86">IF(
SUMPRODUCT(--(
TRIM(LEFT('Bite force'!$A:$A,SEARCH("§",SUBSTITUTE('Bite force'!$A:$A," ","§",2)&amp;"§")-1))=
TRIM(LEFT(A86,SEARCH("§",SUBSTITUTE(A86," ","§",2)&amp;"§")-1))
))&gt;0,
IF(
COUNT(_xlfn._xlws.FILTER('Bite force'!$I:$I,
TRIM(LEFT('Bite force'!$A:$A,SEARCH("§",SUBSTITUTE('Bite force'!$A:$A," ","§",2)&amp;"§")-1))=
TRIM(LEFT(A86,SEARCH("§",SUBSTITUTE(A86," ","§",2)&amp;"§")-1))
))=0,
1,
IF(
B86=2,
AVERAGE(_xlfn._xlws.FILTER('Bite force'!$I:$I,
TRIM(LEFT('Bite force'!$A:$A,SEARCH("§",SUBSTITUTE('Bite force'!$A:$A," ","§",2)&amp;"§")-1))=
TRIM(LEFT(A86,SEARCH("§",SUBSTITUTE(A86," ","§",2)&amp;"§")-1))
)),
MAX(_xlfn._xlws.FILTER('Bite force'!$I:$I,
TRIM(LEFT('Bite force'!$A:$A,SEARCH("§",SUBSTITUTE('Bite force'!$A:$A," ","§",2)&amp;"§")-1))=
TRIM(LEFT(A86,SEARCH("§",SUBSTITUTE(A86," ","§",2)&amp;"§")-1))
))
)
),
IFERROR(
AVERAGE(_xlfn._xlws.FILTER('Bite force'!$I:$I,
TRIM(LEFT('Bite force'!$A:$A,SEARCH(" ",'Bite force'!$A:$A&amp;" ")-1))=
TRIM(LEFT(A86,SEARCH(" ",A86&amp;" ")-1))
)),
1
)
)</f>
        <v>1</v>
      </c>
    </row>
    <row r="87" spans="1:3" x14ac:dyDescent="0.25">
      <c r="A87" s="2" t="str">
        <f>'[1]Base stats'!$B87</f>
        <v>Phoca vitulina</v>
      </c>
      <c r="B87" s="23">
        <f>_xlfn.XLOOKUP(A87,'[1]Base stats'!$B:$B,'[1]Base stats'!$O:$O)</f>
        <v>0</v>
      </c>
      <c r="C87" s="20" cm="1">
        <f t="array" ref="C87">IF(
SUMPRODUCT(--(
TRIM(LEFT('Bite force'!$A:$A,SEARCH("§",SUBSTITUTE('Bite force'!$A:$A," ","§",2)&amp;"§")-1))=
TRIM(LEFT(A87,SEARCH("§",SUBSTITUTE(A87," ","§",2)&amp;"§")-1))
))&gt;0,
IF(
COUNT(_xlfn._xlws.FILTER('Bite force'!$I:$I,
TRIM(LEFT('Bite force'!$A:$A,SEARCH("§",SUBSTITUTE('Bite force'!$A:$A," ","§",2)&amp;"§")-1))=
TRIM(LEFT(A87,SEARCH("§",SUBSTITUTE(A87," ","§",2)&amp;"§")-1))
))=0,
1,
IF(
B87=2,
AVERAGE(_xlfn._xlws.FILTER('Bite force'!$I:$I,
TRIM(LEFT('Bite force'!$A:$A,SEARCH("§",SUBSTITUTE('Bite force'!$A:$A," ","§",2)&amp;"§")-1))=
TRIM(LEFT(A87,SEARCH("§",SUBSTITUTE(A87," ","§",2)&amp;"§")-1))
)),
MAX(_xlfn._xlws.FILTER('Bite force'!$I:$I,
TRIM(LEFT('Bite force'!$A:$A,SEARCH("§",SUBSTITUTE('Bite force'!$A:$A," ","§",2)&amp;"§")-1))=
TRIM(LEFT(A87,SEARCH("§",SUBSTITUTE(A87," ","§",2)&amp;"§")-1))
))
)
),
IFERROR(
AVERAGE(_xlfn._xlws.FILTER('Bite force'!$I:$I,
TRIM(LEFT('Bite force'!$A:$A,SEARCH(" ",'Bite force'!$A:$A&amp;" ")-1))=
TRIM(LEFT(A87,SEARCH(" ",A87&amp;" ")-1))
)),
1
)
)</f>
        <v>1</v>
      </c>
    </row>
    <row r="88" spans="1:3" x14ac:dyDescent="0.25">
      <c r="A88" s="2" t="str">
        <f>'[1]Base stats'!$B88</f>
        <v>Odobenus rosmarus</v>
      </c>
      <c r="B88" s="23">
        <f>_xlfn.XLOOKUP(A88,'[1]Base stats'!$B:$B,'[1]Base stats'!$O:$O)</f>
        <v>0</v>
      </c>
      <c r="C88" s="20" cm="1">
        <f t="array" ref="C88">IF(
SUMPRODUCT(--(
TRIM(LEFT('Bite force'!$A:$A,SEARCH("§",SUBSTITUTE('Bite force'!$A:$A," ","§",2)&amp;"§")-1))=
TRIM(LEFT(A88,SEARCH("§",SUBSTITUTE(A88," ","§",2)&amp;"§")-1))
))&gt;0,
IF(
COUNT(_xlfn._xlws.FILTER('Bite force'!$I:$I,
TRIM(LEFT('Bite force'!$A:$A,SEARCH("§",SUBSTITUTE('Bite force'!$A:$A," ","§",2)&amp;"§")-1))=
TRIM(LEFT(A88,SEARCH("§",SUBSTITUTE(A88," ","§",2)&amp;"§")-1))
))=0,
1,
IF(
B88=2,
AVERAGE(_xlfn._xlws.FILTER('Bite force'!$I:$I,
TRIM(LEFT('Bite force'!$A:$A,SEARCH("§",SUBSTITUTE('Bite force'!$A:$A," ","§",2)&amp;"§")-1))=
TRIM(LEFT(A88,SEARCH("§",SUBSTITUTE(A88," ","§",2)&amp;"§")-1))
)),
MAX(_xlfn._xlws.FILTER('Bite force'!$I:$I,
TRIM(LEFT('Bite force'!$A:$A,SEARCH("§",SUBSTITUTE('Bite force'!$A:$A," ","§",2)&amp;"§")-1))=
TRIM(LEFT(A88,SEARCH("§",SUBSTITUTE(A88," ","§",2)&amp;"§")-1))
))
)
),
IFERROR(
AVERAGE(_xlfn._xlws.FILTER('Bite force'!$I:$I,
TRIM(LEFT('Bite force'!$A:$A,SEARCH(" ",'Bite force'!$A:$A&amp;" ")-1))=
TRIM(LEFT(A88,SEARCH(" ",A88&amp;" ")-1))
)),
1
)
)</f>
        <v>1</v>
      </c>
    </row>
    <row r="89" spans="1:3" x14ac:dyDescent="0.25">
      <c r="A89" s="2" t="str">
        <f>'[1]Base stats'!$B89</f>
        <v>Gorilla gorilla</v>
      </c>
      <c r="B89" s="23">
        <f>_xlfn.XLOOKUP(A89,'[1]Base stats'!$B:$B,'[1]Base stats'!$O:$O)</f>
        <v>0</v>
      </c>
      <c r="C89" s="20" cm="1">
        <f t="array" ref="C89">IF(
SUMPRODUCT(--(
TRIM(LEFT('Bite force'!$A:$A,SEARCH("§",SUBSTITUTE('Bite force'!$A:$A," ","§",2)&amp;"§")-1))=
TRIM(LEFT(A89,SEARCH("§",SUBSTITUTE(A89," ","§",2)&amp;"§")-1))
))&gt;0,
IF(
COUNT(_xlfn._xlws.FILTER('Bite force'!$I:$I,
TRIM(LEFT('Bite force'!$A:$A,SEARCH("§",SUBSTITUTE('Bite force'!$A:$A," ","§",2)&amp;"§")-1))=
TRIM(LEFT(A89,SEARCH("§",SUBSTITUTE(A89," ","§",2)&amp;"§")-1))
))=0,
1,
IF(
B89=2,
AVERAGE(_xlfn._xlws.FILTER('Bite force'!$I:$I,
TRIM(LEFT('Bite force'!$A:$A,SEARCH("§",SUBSTITUTE('Bite force'!$A:$A," ","§",2)&amp;"§")-1))=
TRIM(LEFT(A89,SEARCH("§",SUBSTITUTE(A89," ","§",2)&amp;"§")-1))
)),
MAX(_xlfn._xlws.FILTER('Bite force'!$I:$I,
TRIM(LEFT('Bite force'!$A:$A,SEARCH("§",SUBSTITUTE('Bite force'!$A:$A," ","§",2)&amp;"§")-1))=
TRIM(LEFT(A89,SEARCH("§",SUBSTITUTE(A89," ","§",2)&amp;"§")-1))
))
)
),
IFERROR(
AVERAGE(_xlfn._xlws.FILTER('Bite force'!$I:$I,
TRIM(LEFT('Bite force'!$A:$A,SEARCH(" ",'Bite force'!$A:$A&amp;" ")-1))=
TRIM(LEFT(A89,SEARCH(" ",A89&amp;" ")-1))
)),
1
)
)</f>
        <v>1.1676825028331534</v>
      </c>
    </row>
    <row r="90" spans="1:3" x14ac:dyDescent="0.25">
      <c r="A90" s="2" t="str">
        <f>'[1]Base stats'!$B90</f>
        <v>Varanus komodoensis</v>
      </c>
      <c r="B90" s="23">
        <f>_xlfn.XLOOKUP(A90,'[1]Base stats'!$B:$B,'[1]Base stats'!$O:$O)</f>
        <v>0</v>
      </c>
      <c r="C90" s="20" cm="1">
        <f t="array" ref="C90">IF(
SUMPRODUCT(--(
TRIM(LEFT('Bite force'!$A:$A,SEARCH("§",SUBSTITUTE('Bite force'!$A:$A," ","§",2)&amp;"§")-1))=
TRIM(LEFT(A90,SEARCH("§",SUBSTITUTE(A90," ","§",2)&amp;"§")-1))
))&gt;0,
IF(
COUNT(_xlfn._xlws.FILTER('Bite force'!$I:$I,
TRIM(LEFT('Bite force'!$A:$A,SEARCH("§",SUBSTITUTE('Bite force'!$A:$A," ","§",2)&amp;"§")-1))=
TRIM(LEFT(A90,SEARCH("§",SUBSTITUTE(A90," ","§",2)&amp;"§")-1))
))=0,
1,
IF(
B90=2,
AVERAGE(_xlfn._xlws.FILTER('Bite force'!$I:$I,
TRIM(LEFT('Bite force'!$A:$A,SEARCH("§",SUBSTITUTE('Bite force'!$A:$A," ","§",2)&amp;"§")-1))=
TRIM(LEFT(A90,SEARCH("§",SUBSTITUTE(A90," ","§",2)&amp;"§")-1))
)),
MAX(_xlfn._xlws.FILTER('Bite force'!$I:$I,
TRIM(LEFT('Bite force'!$A:$A,SEARCH("§",SUBSTITUTE('Bite force'!$A:$A," ","§",2)&amp;"§")-1))=
TRIM(LEFT(A90,SEARCH("§",SUBSTITUTE(A90," ","§",2)&amp;"§")-1))
))
)
),
IFERROR(
AVERAGE(_xlfn._xlws.FILTER('Bite force'!$I:$I,
TRIM(LEFT('Bite force'!$A:$A,SEARCH(" ",'Bite force'!$A:$A&amp;" ")-1))=
TRIM(LEFT(A90,SEARCH(" ",A90&amp;" ")-1))
)),
1
)
)</f>
        <v>0.36515827447155735</v>
      </c>
    </row>
    <row r="91" spans="1:3" x14ac:dyDescent="0.25">
      <c r="A91" s="2" t="str">
        <f>'[1]Base stats'!$B91</f>
        <v>Alligator mississippiensis</v>
      </c>
      <c r="B91" s="23">
        <f>_xlfn.XLOOKUP(A91,'[1]Base stats'!$B:$B,'[1]Base stats'!$O:$O)</f>
        <v>0</v>
      </c>
      <c r="C91" s="20" cm="1">
        <f t="array" ref="C91">IF(
SUMPRODUCT(--(
TRIM(LEFT('Bite force'!$A:$A,SEARCH("§",SUBSTITUTE('Bite force'!$A:$A," ","§",2)&amp;"§")-1))=
TRIM(LEFT(A91,SEARCH("§",SUBSTITUTE(A91," ","§",2)&amp;"§")-1))
))&gt;0,
IF(
COUNT(_xlfn._xlws.FILTER('Bite force'!$I:$I,
TRIM(LEFT('Bite force'!$A:$A,SEARCH("§",SUBSTITUTE('Bite force'!$A:$A," ","§",2)&amp;"§")-1))=
TRIM(LEFT(A91,SEARCH("§",SUBSTITUTE(A91," ","§",2)&amp;"§")-1))
))=0,
1,
IF(
B91=2,
AVERAGE(_xlfn._xlws.FILTER('Bite force'!$I:$I,
TRIM(LEFT('Bite force'!$A:$A,SEARCH("§",SUBSTITUTE('Bite force'!$A:$A," ","§",2)&amp;"§")-1))=
TRIM(LEFT(A91,SEARCH("§",SUBSTITUTE(A91," ","§",2)&amp;"§")-1))
)),
MAX(_xlfn._xlws.FILTER('Bite force'!$I:$I,
TRIM(LEFT('Bite force'!$A:$A,SEARCH("§",SUBSTITUTE('Bite force'!$A:$A," ","§",2)&amp;"§")-1))=
TRIM(LEFT(A91,SEARCH("§",SUBSTITUTE(A91," ","§",2)&amp;"§")-1))
))
)
),
IFERROR(
AVERAGE(_xlfn._xlws.FILTER('Bite force'!$I:$I,
TRIM(LEFT('Bite force'!$A:$A,SEARCH(" ",'Bite force'!$A:$A&amp;" ")-1))=
TRIM(LEFT(A91,SEARCH(" ",A91&amp;" ")-1))
)),
1
)
)</f>
        <v>1.5742707783403749</v>
      </c>
    </row>
    <row r="92" spans="1:3" x14ac:dyDescent="0.25">
      <c r="A92" s="2" t="str">
        <f>'[1]Base stats'!$B92</f>
        <v>Chelonia mydas</v>
      </c>
      <c r="B92" s="23">
        <f>_xlfn.XLOOKUP(A92,'[1]Base stats'!$B:$B,'[1]Base stats'!$O:$O)</f>
        <v>0</v>
      </c>
      <c r="C92" s="20" cm="1">
        <f t="array" ref="C92">IF(
SUMPRODUCT(--(
TRIM(LEFT('Bite force'!$A:$A,SEARCH("§",SUBSTITUTE('Bite force'!$A:$A," ","§",2)&amp;"§")-1))=
TRIM(LEFT(A92,SEARCH("§",SUBSTITUTE(A92," ","§",2)&amp;"§")-1))
))&gt;0,
IF(
COUNT(_xlfn._xlws.FILTER('Bite force'!$I:$I,
TRIM(LEFT('Bite force'!$A:$A,SEARCH("§",SUBSTITUTE('Bite force'!$A:$A," ","§",2)&amp;"§")-1))=
TRIM(LEFT(A92,SEARCH("§",SUBSTITUTE(A92," ","§",2)&amp;"§")-1))
))=0,
1,
IF(
B92=2,
AVERAGE(_xlfn._xlws.FILTER('Bite force'!$I:$I,
TRIM(LEFT('Bite force'!$A:$A,SEARCH("§",SUBSTITUTE('Bite force'!$A:$A," ","§",2)&amp;"§")-1))=
TRIM(LEFT(A92,SEARCH("§",SUBSTITUTE(A92," ","§",2)&amp;"§")-1))
)),
MAX(_xlfn._xlws.FILTER('Bite force'!$I:$I,
TRIM(LEFT('Bite force'!$A:$A,SEARCH("§",SUBSTITUTE('Bite force'!$A:$A," ","§",2)&amp;"§")-1))=
TRIM(LEFT(A92,SEARCH("§",SUBSTITUTE(A92," ","§",2)&amp;"§")-1))
))
)
),
IFERROR(
AVERAGE(_xlfn._xlws.FILTER('Bite force'!$I:$I,
TRIM(LEFT('Bite force'!$A:$A,SEARCH(" ",'Bite force'!$A:$A&amp;" ")-1))=
TRIM(LEFT(A92,SEARCH(" ",A92&amp;" ")-1))
)),
1
)
)</f>
        <v>1</v>
      </c>
    </row>
    <row r="93" spans="1:3" x14ac:dyDescent="0.25">
      <c r="A93" s="2" t="str">
        <f>'[1]Base stats'!$B93</f>
        <v>Cynomys ludovicianus</v>
      </c>
      <c r="B93" s="23">
        <f>_xlfn.XLOOKUP(A93,'[1]Base stats'!$B:$B,'[1]Base stats'!$O:$O)</f>
        <v>0</v>
      </c>
      <c r="C93" s="20" cm="1">
        <f t="array" ref="C93">IF(
SUMPRODUCT(--(
TRIM(LEFT('Bite force'!$A:$A,SEARCH("§",SUBSTITUTE('Bite force'!$A:$A," ","§",2)&amp;"§")-1))=
TRIM(LEFT(A93,SEARCH("§",SUBSTITUTE(A93," ","§",2)&amp;"§")-1))
))&gt;0,
IF(
COUNT(_xlfn._xlws.FILTER('Bite force'!$I:$I,
TRIM(LEFT('Bite force'!$A:$A,SEARCH("§",SUBSTITUTE('Bite force'!$A:$A," ","§",2)&amp;"§")-1))=
TRIM(LEFT(A93,SEARCH("§",SUBSTITUTE(A93," ","§",2)&amp;"§")-1))
))=0,
1,
IF(
B93=2,
AVERAGE(_xlfn._xlws.FILTER('Bite force'!$I:$I,
TRIM(LEFT('Bite force'!$A:$A,SEARCH("§",SUBSTITUTE('Bite force'!$A:$A," ","§",2)&amp;"§")-1))=
TRIM(LEFT(A93,SEARCH("§",SUBSTITUTE(A93," ","§",2)&amp;"§")-1))
)),
MAX(_xlfn._xlws.FILTER('Bite force'!$I:$I,
TRIM(LEFT('Bite force'!$A:$A,SEARCH("§",SUBSTITUTE('Bite force'!$A:$A," ","§",2)&amp;"§")-1))=
TRIM(LEFT(A93,SEARCH("§",SUBSTITUTE(A93," ","§",2)&amp;"§")-1))
))
)
),
IFERROR(
AVERAGE(_xlfn._xlws.FILTER('Bite force'!$I:$I,
TRIM(LEFT('Bite force'!$A:$A,SEARCH(" ",'Bite force'!$A:$A&amp;" ")-1))=
TRIM(LEFT(A93,SEARCH(" ",A93&amp;" ")-1))
)),
1
)
)</f>
        <v>1</v>
      </c>
    </row>
    <row r="94" spans="1:3" x14ac:dyDescent="0.25">
      <c r="A94" s="2" t="str">
        <f>'[1]Base stats'!$B94</f>
        <v>Erethizon dorsatum</v>
      </c>
      <c r="B94" s="23">
        <f>_xlfn.XLOOKUP(A94,'[1]Base stats'!$B:$B,'[1]Base stats'!$O:$O)</f>
        <v>0</v>
      </c>
      <c r="C94" s="20" cm="1">
        <f t="array" ref="C94">IF(
SUMPRODUCT(--(
TRIM(LEFT('Bite force'!$A:$A,SEARCH("§",SUBSTITUTE('Bite force'!$A:$A," ","§",2)&amp;"§")-1))=
TRIM(LEFT(A94,SEARCH("§",SUBSTITUTE(A94," ","§",2)&amp;"§")-1))
))&gt;0,
IF(
COUNT(_xlfn._xlws.FILTER('Bite force'!$I:$I,
TRIM(LEFT('Bite force'!$A:$A,SEARCH("§",SUBSTITUTE('Bite force'!$A:$A," ","§",2)&amp;"§")-1))=
TRIM(LEFT(A94,SEARCH("§",SUBSTITUTE(A94," ","§",2)&amp;"§")-1))
))=0,
1,
IF(
B94=2,
AVERAGE(_xlfn._xlws.FILTER('Bite force'!$I:$I,
TRIM(LEFT('Bite force'!$A:$A,SEARCH("§",SUBSTITUTE('Bite force'!$A:$A," ","§",2)&amp;"§")-1))=
TRIM(LEFT(A94,SEARCH("§",SUBSTITUTE(A94," ","§",2)&amp;"§")-1))
)),
MAX(_xlfn._xlws.FILTER('Bite force'!$I:$I,
TRIM(LEFT('Bite force'!$A:$A,SEARCH("§",SUBSTITUTE('Bite force'!$A:$A," ","§",2)&amp;"§")-1))=
TRIM(LEFT(A94,SEARCH("§",SUBSTITUTE(A94," ","§",2)&amp;"§")-1))
))
)
),
IFERROR(
AVERAGE(_xlfn._xlws.FILTER('Bite force'!$I:$I,
TRIM(LEFT('Bite force'!$A:$A,SEARCH(" ",'Bite force'!$A:$A&amp;" ")-1))=
TRIM(LEFT(A94,SEARCH(" ",A94&amp;" ")-1))
)),
1
)
)</f>
        <v>1</v>
      </c>
    </row>
    <row r="95" spans="1:3" x14ac:dyDescent="0.25">
      <c r="A95" s="2" t="str">
        <f>'[1]Base stats'!$B95</f>
        <v>Gigantomyini giganteus</v>
      </c>
      <c r="B95" s="23">
        <f>_xlfn.XLOOKUP(A95,'[1]Base stats'!$B:$B,'[1]Base stats'!$O:$O)</f>
        <v>0</v>
      </c>
      <c r="C95" s="20" cm="1">
        <f t="array" ref="C95">IF(
SUMPRODUCT(--(
TRIM(LEFT('Bite force'!$A:$A,SEARCH("§",SUBSTITUTE('Bite force'!$A:$A," ","§",2)&amp;"§")-1))=
TRIM(LEFT(A95,SEARCH("§",SUBSTITUTE(A95," ","§",2)&amp;"§")-1))
))&gt;0,
IF(
COUNT(_xlfn._xlws.FILTER('Bite force'!$I:$I,
TRIM(LEFT('Bite force'!$A:$A,SEARCH("§",SUBSTITUTE('Bite force'!$A:$A," ","§",2)&amp;"§")-1))=
TRIM(LEFT(A95,SEARCH("§",SUBSTITUTE(A95," ","§",2)&amp;"§")-1))
))=0,
1,
IF(
B95=2,
AVERAGE(_xlfn._xlws.FILTER('Bite force'!$I:$I,
TRIM(LEFT('Bite force'!$A:$A,SEARCH("§",SUBSTITUTE('Bite force'!$A:$A," ","§",2)&amp;"§")-1))=
TRIM(LEFT(A95,SEARCH("§",SUBSTITUTE(A95," ","§",2)&amp;"§")-1))
)),
MAX(_xlfn._xlws.FILTER('Bite force'!$I:$I,
TRIM(LEFT('Bite force'!$A:$A,SEARCH("§",SUBSTITUTE('Bite force'!$A:$A," ","§",2)&amp;"§")-1))=
TRIM(LEFT(A95,SEARCH("§",SUBSTITUTE(A95," ","§",2)&amp;"§")-1))
))
)
),
IFERROR(
AVERAGE(_xlfn._xlws.FILTER('Bite force'!$I:$I,
TRIM(LEFT('Bite force'!$A:$A,SEARCH(" ",'Bite force'!$A:$A&amp;" ")-1))=
TRIM(LEFT(A95,SEARCH(" ",A95&amp;" ")-1))
)),
1
)
)</f>
        <v>1</v>
      </c>
    </row>
    <row r="96" spans="1:3" x14ac:dyDescent="0.25">
      <c r="A96" s="2" t="str">
        <f>'[1]Base stats'!$B96</f>
        <v>Alces alces</v>
      </c>
      <c r="B96" s="23">
        <f>_xlfn.XLOOKUP(A96,'[1]Base stats'!$B:$B,'[1]Base stats'!$O:$O)</f>
        <v>0</v>
      </c>
      <c r="C96" s="20" cm="1">
        <f t="array" ref="C96">IF(
SUMPRODUCT(--(
TRIM(LEFT('Bite force'!$A:$A,SEARCH("§",SUBSTITUTE('Bite force'!$A:$A," ","§",2)&amp;"§")-1))=
TRIM(LEFT(A96,SEARCH("§",SUBSTITUTE(A96," ","§",2)&amp;"§")-1))
))&gt;0,
IF(
COUNT(_xlfn._xlws.FILTER('Bite force'!$I:$I,
TRIM(LEFT('Bite force'!$A:$A,SEARCH("§",SUBSTITUTE('Bite force'!$A:$A," ","§",2)&amp;"§")-1))=
TRIM(LEFT(A96,SEARCH("§",SUBSTITUTE(A96," ","§",2)&amp;"§")-1))
))=0,
1,
IF(
B96=2,
AVERAGE(_xlfn._xlws.FILTER('Bite force'!$I:$I,
TRIM(LEFT('Bite force'!$A:$A,SEARCH("§",SUBSTITUTE('Bite force'!$A:$A," ","§",2)&amp;"§")-1))=
TRIM(LEFT(A96,SEARCH("§",SUBSTITUTE(A96," ","§",2)&amp;"§")-1))
)),
MAX(_xlfn._xlws.FILTER('Bite force'!$I:$I,
TRIM(LEFT('Bite force'!$A:$A,SEARCH("§",SUBSTITUTE('Bite force'!$A:$A," ","§",2)&amp;"§")-1))=
TRIM(LEFT(A96,SEARCH("§",SUBSTITUTE(A96," ","§",2)&amp;"§")-1))
))
)
),
IFERROR(
AVERAGE(_xlfn._xlws.FILTER('Bite force'!$I:$I,
TRIM(LEFT('Bite force'!$A:$A,SEARCH(" ",'Bite force'!$A:$A&amp;" ")-1))=
TRIM(LEFT(A96,SEARCH(" ",A96&amp;" ")-1))
)),
1
)
)</f>
        <v>1</v>
      </c>
    </row>
    <row r="97" spans="1:3" x14ac:dyDescent="0.25">
      <c r="A97" s="2" t="str">
        <f>'[1]Base stats'!$B97</f>
        <v>Ovibos moschatus</v>
      </c>
      <c r="B97" s="23">
        <f>_xlfn.XLOOKUP(A97,'[1]Base stats'!$B:$B,'[1]Base stats'!$O:$O)</f>
        <v>0</v>
      </c>
      <c r="C97" s="20" cm="1">
        <f t="array" ref="C97">IF(
SUMPRODUCT(--(
TRIM(LEFT('Bite force'!$A:$A,SEARCH("§",SUBSTITUTE('Bite force'!$A:$A," ","§",2)&amp;"§")-1))=
TRIM(LEFT(A97,SEARCH("§",SUBSTITUTE(A97," ","§",2)&amp;"§")-1))
))&gt;0,
IF(
COUNT(_xlfn._xlws.FILTER('Bite force'!$I:$I,
TRIM(LEFT('Bite force'!$A:$A,SEARCH("§",SUBSTITUTE('Bite force'!$A:$A," ","§",2)&amp;"§")-1))=
TRIM(LEFT(A97,SEARCH("§",SUBSTITUTE(A97," ","§",2)&amp;"§")-1))
))=0,
1,
IF(
B97=2,
AVERAGE(_xlfn._xlws.FILTER('Bite force'!$I:$I,
TRIM(LEFT('Bite force'!$A:$A,SEARCH("§",SUBSTITUTE('Bite force'!$A:$A," ","§",2)&amp;"§")-1))=
TRIM(LEFT(A97,SEARCH("§",SUBSTITUTE(A97," ","§",2)&amp;"§")-1))
)),
MAX(_xlfn._xlws.FILTER('Bite force'!$I:$I,
TRIM(LEFT('Bite force'!$A:$A,SEARCH("§",SUBSTITUTE('Bite force'!$A:$A," ","§",2)&amp;"§")-1))=
TRIM(LEFT(A97,SEARCH("§",SUBSTITUTE(A97," ","§",2)&amp;"§")-1))
))
)
),
IFERROR(
AVERAGE(_xlfn._xlws.FILTER('Bite force'!$I:$I,
TRIM(LEFT('Bite force'!$A:$A,SEARCH(" ",'Bite force'!$A:$A&amp;" ")-1))=
TRIM(LEFT(A97,SEARCH(" ",A97&amp;" ")-1))
)),
1
)
)</f>
        <v>1</v>
      </c>
    </row>
    <row r="98" spans="1:3" x14ac:dyDescent="0.25">
      <c r="A98" s="2" t="str">
        <f>'[1]Base stats'!$B98</f>
        <v>Megaachatina magnus</v>
      </c>
      <c r="B98" s="23">
        <f>_xlfn.XLOOKUP(A98,'[1]Base stats'!$B:$B,'[1]Base stats'!$O:$O)</f>
        <v>1</v>
      </c>
      <c r="C98" s="20" cm="1">
        <f t="array" ref="C98">IF(
SUMPRODUCT(--(
TRIM(LEFT('Bite force'!$A:$A,SEARCH("§",SUBSTITUTE('Bite force'!$A:$A," ","§",2)&amp;"§")-1))=
TRIM(LEFT(A98,SEARCH("§",SUBSTITUTE(A98," ","§",2)&amp;"§")-1))
))&gt;0,
IF(
COUNT(_xlfn._xlws.FILTER('Bite force'!$I:$I,
TRIM(LEFT('Bite force'!$A:$A,SEARCH("§",SUBSTITUTE('Bite force'!$A:$A," ","§",2)&amp;"§")-1))=
TRIM(LEFT(A98,SEARCH("§",SUBSTITUTE(A98," ","§",2)&amp;"§")-1))
))=0,
1,
IF(
B98=2,
AVERAGE(_xlfn._xlws.FILTER('Bite force'!$I:$I,
TRIM(LEFT('Bite force'!$A:$A,SEARCH("§",SUBSTITUTE('Bite force'!$A:$A," ","§",2)&amp;"§")-1))=
TRIM(LEFT(A98,SEARCH("§",SUBSTITUTE(A98," ","§",2)&amp;"§")-1))
)),
MAX(_xlfn._xlws.FILTER('Bite force'!$I:$I,
TRIM(LEFT('Bite force'!$A:$A,SEARCH("§",SUBSTITUTE('Bite force'!$A:$A," ","§",2)&amp;"§")-1))=
TRIM(LEFT(A98,SEARCH("§",SUBSTITUTE(A98," ","§",2)&amp;"§")-1))
))
)
),
IFERROR(
AVERAGE(_xlfn._xlws.FILTER('Bite force'!$I:$I,
TRIM(LEFT('Bite force'!$A:$A,SEARCH(" ",'Bite force'!$A:$A&amp;" ")-1))=
TRIM(LEFT(A98,SEARCH(" ",A98&amp;" ")-1))
)),
1
)
)</f>
        <v>1</v>
      </c>
    </row>
    <row r="99" spans="1:3" x14ac:dyDescent="0.25">
      <c r="A99" s="2" t="str">
        <f>'[1]Base stats'!$B99</f>
        <v>Canis sordidus</v>
      </c>
      <c r="B99" s="23">
        <f>_xlfn.XLOOKUP(A99,'[1]Base stats'!$B:$B,'[1]Base stats'!$O:$O)</f>
        <v>0</v>
      </c>
      <c r="C99" s="20" cm="1">
        <f t="array" ref="C99">IF(
SUMPRODUCT(--(
TRIM(LEFT('Bite force'!$A:$A,SEARCH("§",SUBSTITUTE('Bite force'!$A:$A," ","§",2)&amp;"§")-1))=
TRIM(LEFT(A99,SEARCH("§",SUBSTITUTE(A99," ","§",2)&amp;"§")-1))
))&gt;0,
IF(
COUNT(_xlfn._xlws.FILTER('Bite force'!$I:$I,
TRIM(LEFT('Bite force'!$A:$A,SEARCH("§",SUBSTITUTE('Bite force'!$A:$A," ","§",2)&amp;"§")-1))=
TRIM(LEFT(A99,SEARCH("§",SUBSTITUTE(A99," ","§",2)&amp;"§")-1))
))=0,
1,
IF(
B99=2,
AVERAGE(_xlfn._xlws.FILTER('Bite force'!$I:$I,
TRIM(LEFT('Bite force'!$A:$A,SEARCH("§",SUBSTITUTE('Bite force'!$A:$A," ","§",2)&amp;"§")-1))=
TRIM(LEFT(A99,SEARCH("§",SUBSTITUTE(A99," ","§",2)&amp;"§")-1))
)),
MAX(_xlfn._xlws.FILTER('Bite force'!$I:$I,
TRIM(LEFT('Bite force'!$A:$A,SEARCH("§",SUBSTITUTE('Bite force'!$A:$A," ","§",2)&amp;"§")-1))=
TRIM(LEFT(A99,SEARCH("§",SUBSTITUTE(A99," ","§",2)&amp;"§")-1))
))
)
),
IFERROR(
AVERAGE(_xlfn._xlws.FILTER('Bite force'!$I:$I,
TRIM(LEFT('Bite force'!$A:$A,SEARCH(" ",'Bite force'!$A:$A&amp;" ")-1))=
TRIM(LEFT(A99,SEARCH(" ",A99&amp;" ")-1))
)),
1
)
)</f>
        <v>1.0429911737241087</v>
      </c>
    </row>
    <row r="100" spans="1:3" x14ac:dyDescent="0.25">
      <c r="A100" s="2" t="str">
        <f>'[1]Base stats'!$B100</f>
        <v>Aenocyon dirus</v>
      </c>
      <c r="B100" s="23">
        <f>_xlfn.XLOOKUP(A100,'[1]Base stats'!$B:$B,'[1]Base stats'!$O:$O)</f>
        <v>0</v>
      </c>
      <c r="C100" s="20" cm="1">
        <f t="array" ref="C100">IF(
SUMPRODUCT(--(
TRIM(LEFT('Bite force'!$A:$A,SEARCH("§",SUBSTITUTE('Bite force'!$A:$A," ","§",2)&amp;"§")-1))=
TRIM(LEFT(A100,SEARCH("§",SUBSTITUTE(A100," ","§",2)&amp;"§")-1))
))&gt;0,
IF(
COUNT(_xlfn._xlws.FILTER('Bite force'!$I:$I,
TRIM(LEFT('Bite force'!$A:$A,SEARCH("§",SUBSTITUTE('Bite force'!$A:$A," ","§",2)&amp;"§")-1))=
TRIM(LEFT(A100,SEARCH("§",SUBSTITUTE(A100," ","§",2)&amp;"§")-1))
))=0,
1,
IF(
B100=2,
AVERAGE(_xlfn._xlws.FILTER('Bite force'!$I:$I,
TRIM(LEFT('Bite force'!$A:$A,SEARCH("§",SUBSTITUTE('Bite force'!$A:$A," ","§",2)&amp;"§")-1))=
TRIM(LEFT(A100,SEARCH("§",SUBSTITUTE(A100," ","§",2)&amp;"§")-1))
)),
MAX(_xlfn._xlws.FILTER('Bite force'!$I:$I,
TRIM(LEFT('Bite force'!$A:$A,SEARCH("§",SUBSTITUTE('Bite force'!$A:$A," ","§",2)&amp;"§")-1))=
TRIM(LEFT(A100,SEARCH("§",SUBSTITUTE(A100," ","§",2)&amp;"§")-1))
))
)
),
IFERROR(
AVERAGE(_xlfn._xlws.FILTER('Bite force'!$I:$I,
TRIM(LEFT('Bite force'!$A:$A,SEARCH(" ",'Bite force'!$A:$A&amp;" ")-1))=
TRIM(LEFT(A100,SEARCH(" ",A100&amp;" ")-1))
)),
1
)
)</f>
        <v>1</v>
      </c>
    </row>
    <row r="101" spans="1:3" x14ac:dyDescent="0.25">
      <c r="A101" s="2" t="str">
        <f>'[1]Base stats'!$B101</f>
        <v>Menippe mercenaria</v>
      </c>
      <c r="B101" s="23">
        <f>_xlfn.XLOOKUP(A101,'[1]Base stats'!$B:$B,'[1]Base stats'!$O:$O)</f>
        <v>0</v>
      </c>
      <c r="C101" s="20" cm="1">
        <f t="array" ref="C101">IF(
SUMPRODUCT(--(
TRIM(LEFT('Bite force'!$A:$A,SEARCH("§",SUBSTITUTE('Bite force'!$A:$A," ","§",2)&amp;"§")-1))=
TRIM(LEFT(A101,SEARCH("§",SUBSTITUTE(A101," ","§",2)&amp;"§")-1))
))&gt;0,
IF(
COUNT(_xlfn._xlws.FILTER('Bite force'!$I:$I,
TRIM(LEFT('Bite force'!$A:$A,SEARCH("§",SUBSTITUTE('Bite force'!$A:$A," ","§",2)&amp;"§")-1))=
TRIM(LEFT(A101,SEARCH("§",SUBSTITUTE(A101," ","§",2)&amp;"§")-1))
))=0,
1,
IF(
B101=2,
AVERAGE(_xlfn._xlws.FILTER('Bite force'!$I:$I,
TRIM(LEFT('Bite force'!$A:$A,SEARCH("§",SUBSTITUTE('Bite force'!$A:$A," ","§",2)&amp;"§")-1))=
TRIM(LEFT(A101,SEARCH("§",SUBSTITUTE(A101," ","§",2)&amp;"§")-1))
)),
MAX(_xlfn._xlws.FILTER('Bite force'!$I:$I,
TRIM(LEFT('Bite force'!$A:$A,SEARCH("§",SUBSTITUTE('Bite force'!$A:$A," ","§",2)&amp;"§")-1))=
TRIM(LEFT(A101,SEARCH("§",SUBSTITUTE(A101," ","§",2)&amp;"§")-1))
))
)
),
IFERROR(
AVERAGE(_xlfn._xlws.FILTER('Bite force'!$I:$I,
TRIM(LEFT('Bite force'!$A:$A,SEARCH(" ",'Bite force'!$A:$A&amp;" ")-1))=
TRIM(LEFT(A101,SEARCH(" ",A101&amp;" ")-1))
)),
1
)
)</f>
        <v>1</v>
      </c>
    </row>
    <row r="102" spans="1:3" x14ac:dyDescent="0.25">
      <c r="A102" s="2" t="str">
        <f>'[1]Base stats'!$B102</f>
        <v>Coenobita perlatus</v>
      </c>
      <c r="B102" s="23">
        <f>_xlfn.XLOOKUP(A102,'[1]Base stats'!$B:$B,'[1]Base stats'!$O:$O)</f>
        <v>0</v>
      </c>
      <c r="C102" s="20" cm="1">
        <f t="array" ref="C102">IF(
SUMPRODUCT(--(
TRIM(LEFT('Bite force'!$A:$A,SEARCH("§",SUBSTITUTE('Bite force'!$A:$A," ","§",2)&amp;"§")-1))=
TRIM(LEFT(A102,SEARCH("§",SUBSTITUTE(A102," ","§",2)&amp;"§")-1))
))&gt;0,
IF(
COUNT(_xlfn._xlws.FILTER('Bite force'!$I:$I,
TRIM(LEFT('Bite force'!$A:$A,SEARCH("§",SUBSTITUTE('Bite force'!$A:$A," ","§",2)&amp;"§")-1))=
TRIM(LEFT(A102,SEARCH("§",SUBSTITUTE(A102," ","§",2)&amp;"§")-1))
))=0,
1,
IF(
B102=2,
AVERAGE(_xlfn._xlws.FILTER('Bite force'!$I:$I,
TRIM(LEFT('Bite force'!$A:$A,SEARCH("§",SUBSTITUTE('Bite force'!$A:$A," ","§",2)&amp;"§")-1))=
TRIM(LEFT(A102,SEARCH("§",SUBSTITUTE(A102," ","§",2)&amp;"§")-1))
)),
MAX(_xlfn._xlws.FILTER('Bite force'!$I:$I,
TRIM(LEFT('Bite force'!$A:$A,SEARCH("§",SUBSTITUTE('Bite force'!$A:$A," ","§",2)&amp;"§")-1))=
TRIM(LEFT(A102,SEARCH("§",SUBSTITUTE(A102," ","§",2)&amp;"§")-1))
))
)
),
IFERROR(
AVERAGE(_xlfn._xlws.FILTER('Bite force'!$I:$I,
TRIM(LEFT('Bite force'!$A:$A,SEARCH(" ",'Bite force'!$A:$A&amp;" ")-1))=
TRIM(LEFT(A102,SEARCH(" ",A102&amp;" ")-1))
)),
1
)
)</f>
        <v>1</v>
      </c>
    </row>
    <row r="103" spans="1:3" x14ac:dyDescent="0.25">
      <c r="A103" s="2" t="str">
        <f>'[1]Base stats'!$B103</f>
        <v>Titanocoleus ferox</v>
      </c>
      <c r="B103" s="23">
        <f>_xlfn.XLOOKUP(A103,'[1]Base stats'!$B:$B,'[1]Base stats'!$O:$O)</f>
        <v>0</v>
      </c>
      <c r="C103" s="20" cm="1">
        <f t="array" ref="C103">IF(
SUMPRODUCT(--(
TRIM(LEFT('Bite force'!$A:$A,SEARCH("§",SUBSTITUTE('Bite force'!$A:$A," ","§",2)&amp;"§")-1))=
TRIM(LEFT(A103,SEARCH("§",SUBSTITUTE(A103," ","§",2)&amp;"§")-1))
))&gt;0,
IF(
COUNT(_xlfn._xlws.FILTER('Bite force'!$I:$I,
TRIM(LEFT('Bite force'!$A:$A,SEARCH("§",SUBSTITUTE('Bite force'!$A:$A," ","§",2)&amp;"§")-1))=
TRIM(LEFT(A103,SEARCH("§",SUBSTITUTE(A103," ","§",2)&amp;"§")-1))
))=0,
1,
IF(
B103=2,
AVERAGE(_xlfn._xlws.FILTER('Bite force'!$I:$I,
TRIM(LEFT('Bite force'!$A:$A,SEARCH("§",SUBSTITUTE('Bite force'!$A:$A," ","§",2)&amp;"§")-1))=
TRIM(LEFT(A103,SEARCH("§",SUBSTITUTE(A103," ","§",2)&amp;"§")-1))
)),
MAX(_xlfn._xlws.FILTER('Bite force'!$I:$I,
TRIM(LEFT('Bite force'!$A:$A,SEARCH("§",SUBSTITUTE('Bite force'!$A:$A," ","§",2)&amp;"§")-1))=
TRIM(LEFT(A103,SEARCH("§",SUBSTITUTE(A103," ","§",2)&amp;"§")-1))
))
)
),
IFERROR(
AVERAGE(_xlfn._xlws.FILTER('Bite force'!$I:$I,
TRIM(LEFT('Bite force'!$A:$A,SEARCH(" ",'Bite force'!$A:$A&amp;" ")-1))=
TRIM(LEFT(A103,SEARCH(" ",A103&amp;" ")-1))
)),
1
)
)</f>
        <v>1</v>
      </c>
    </row>
    <row r="104" spans="1:3" x14ac:dyDescent="0.25">
      <c r="A104" s="2" t="str">
        <f>'[1]Base stats'!$B104</f>
        <v>Cryptomorphus serpentinus</v>
      </c>
      <c r="B104" s="23">
        <f>_xlfn.XLOOKUP(A104,'[1]Base stats'!$B:$B,'[1]Base stats'!$O:$O)</f>
        <v>0</v>
      </c>
      <c r="C104" s="20" cm="1">
        <f t="array" ref="C104">IF(
SUMPRODUCT(--(
TRIM(LEFT('Bite force'!$A:$A,SEARCH("§",SUBSTITUTE('Bite force'!$A:$A," ","§",2)&amp;"§")-1))=
TRIM(LEFT(A104,SEARCH("§",SUBSTITUTE(A104," ","§",2)&amp;"§")-1))
))&gt;0,
IF(
COUNT(_xlfn._xlws.FILTER('Bite force'!$I:$I,
TRIM(LEFT('Bite force'!$A:$A,SEARCH("§",SUBSTITUTE('Bite force'!$A:$A," ","§",2)&amp;"§")-1))=
TRIM(LEFT(A104,SEARCH("§",SUBSTITUTE(A104," ","§",2)&amp;"§")-1))
))=0,
1,
IF(
B104=2,
AVERAGE(_xlfn._xlws.FILTER('Bite force'!$I:$I,
TRIM(LEFT('Bite force'!$A:$A,SEARCH("§",SUBSTITUTE('Bite force'!$A:$A," ","§",2)&amp;"§")-1))=
TRIM(LEFT(A104,SEARCH("§",SUBSTITUTE(A104," ","§",2)&amp;"§")-1))
)),
MAX(_xlfn._xlws.FILTER('Bite force'!$I:$I,
TRIM(LEFT('Bite force'!$A:$A,SEARCH("§",SUBSTITUTE('Bite force'!$A:$A," ","§",2)&amp;"§")-1))=
TRIM(LEFT(A104,SEARCH("§",SUBSTITUTE(A104," ","§",2)&amp;"§")-1))
))
)
),
IFERROR(
AVERAGE(_xlfn._xlws.FILTER('Bite force'!$I:$I,
TRIM(LEFT('Bite force'!$A:$A,SEARCH(" ",'Bite force'!$A:$A&amp;" ")-1))=
TRIM(LEFT(A104,SEARCH(" ",A104&amp;" ")-1))
)),
1
)
)</f>
        <v>1</v>
      </c>
    </row>
    <row r="105" spans="1:3" x14ac:dyDescent="0.25">
      <c r="A105" s="2" t="str">
        <f>'[1]Base stats'!$B105</f>
        <v>Gigarachne bellator</v>
      </c>
      <c r="B105" s="23">
        <f>_xlfn.XLOOKUP(A105,'[1]Base stats'!$B:$B,'[1]Base stats'!$O:$O)</f>
        <v>0</v>
      </c>
      <c r="C105" s="20" cm="1">
        <f t="array" ref="C105">IF(
SUMPRODUCT(--(
TRIM(LEFT('Bite force'!$A:$A,SEARCH("§",SUBSTITUTE('Bite force'!$A:$A," ","§",2)&amp;"§")-1))=
TRIM(LEFT(A105,SEARCH("§",SUBSTITUTE(A105," ","§",2)&amp;"§")-1))
))&gt;0,
IF(
COUNT(_xlfn._xlws.FILTER('Bite force'!$I:$I,
TRIM(LEFT('Bite force'!$A:$A,SEARCH("§",SUBSTITUTE('Bite force'!$A:$A," ","§",2)&amp;"§")-1))=
TRIM(LEFT(A105,SEARCH("§",SUBSTITUTE(A105," ","§",2)&amp;"§")-1))
))=0,
1,
IF(
B105=2,
AVERAGE(_xlfn._xlws.FILTER('Bite force'!$I:$I,
TRIM(LEFT('Bite force'!$A:$A,SEARCH("§",SUBSTITUTE('Bite force'!$A:$A," ","§",2)&amp;"§")-1))=
TRIM(LEFT(A105,SEARCH("§",SUBSTITUTE(A105," ","§",2)&amp;"§")-1))
)),
MAX(_xlfn._xlws.FILTER('Bite force'!$I:$I,
TRIM(LEFT('Bite force'!$A:$A,SEARCH("§",SUBSTITUTE('Bite force'!$A:$A," ","§",2)&amp;"§")-1))=
TRIM(LEFT(A105,SEARCH("§",SUBSTITUTE(A105," ","§",2)&amp;"§")-1))
))
)
),
IFERROR(
AVERAGE(_xlfn._xlws.FILTER('Bite force'!$I:$I,
TRIM(LEFT('Bite force'!$A:$A,SEARCH(" ",'Bite force'!$A:$A&amp;" ")-1))=
TRIM(LEFT(A105,SEARCH(" ",A105&amp;" ")-1))
)),
1
)
)</f>
        <v>1</v>
      </c>
    </row>
    <row r="106" spans="1:3" x14ac:dyDescent="0.25">
      <c r="A106" s="2" t="str">
        <f>'[1]Base stats'!$B106</f>
        <v>Imperatombis regina</v>
      </c>
      <c r="B106" s="23">
        <f>_xlfn.XLOOKUP(A106,'[1]Base stats'!$B:$B,'[1]Base stats'!$O:$O)</f>
        <v>0</v>
      </c>
      <c r="C106" s="20" cm="1">
        <f t="array" ref="C106">IF(
SUMPRODUCT(--(
TRIM(LEFT('Bite force'!$A:$A,SEARCH("§",SUBSTITUTE('Bite force'!$A:$A," ","§",2)&amp;"§")-1))=
TRIM(LEFT(A106,SEARCH("§",SUBSTITUTE(A106," ","§",2)&amp;"§")-1))
))&gt;0,
IF(
COUNT(_xlfn._xlws.FILTER('Bite force'!$I:$I,
TRIM(LEFT('Bite force'!$A:$A,SEARCH("§",SUBSTITUTE('Bite force'!$A:$A," ","§",2)&amp;"§")-1))=
TRIM(LEFT(A106,SEARCH("§",SUBSTITUTE(A106," ","§",2)&amp;"§")-1))
))=0,
1,
IF(
B106=2,
AVERAGE(_xlfn._xlws.FILTER('Bite force'!$I:$I,
TRIM(LEFT('Bite force'!$A:$A,SEARCH("§",SUBSTITUTE('Bite force'!$A:$A," ","§",2)&amp;"§")-1))=
TRIM(LEFT(A106,SEARCH("§",SUBSTITUTE(A106," ","§",2)&amp;"§")-1))
)),
MAX(_xlfn._xlws.FILTER('Bite force'!$I:$I,
TRIM(LEFT('Bite force'!$A:$A,SEARCH("§",SUBSTITUTE('Bite force'!$A:$A," ","§",2)&amp;"§")-1))=
TRIM(LEFT(A106,SEARCH("§",SUBSTITUTE(A106," ","§",2)&amp;"§")-1))
))
)
),
IFERROR(
AVERAGE(_xlfn._xlws.FILTER('Bite force'!$I:$I,
TRIM(LEFT('Bite force'!$A:$A,SEARCH(" ",'Bite force'!$A:$A&amp;" ")-1))=
TRIM(LEFT(A106,SEARCH(" ",A106&amp;" ")-1))
)),
1
)
)</f>
        <v>1</v>
      </c>
    </row>
    <row r="107" spans="1:3" x14ac:dyDescent="0.25">
      <c r="A107" s="2" t="str">
        <f>'[1]Base stats'!$B107</f>
        <v>Imperatombis juvenis</v>
      </c>
      <c r="B107" s="23">
        <f>_xlfn.XLOOKUP(A107,'[1]Base stats'!$B:$B,'[1]Base stats'!$O:$O)</f>
        <v>0</v>
      </c>
      <c r="C107" s="20" cm="1">
        <f t="array" ref="C107">IF(
SUMPRODUCT(--(
TRIM(LEFT('Bite force'!$A:$A,SEARCH("§",SUBSTITUTE('Bite force'!$A:$A," ","§",2)&amp;"§")-1))=
TRIM(LEFT(A107,SEARCH("§",SUBSTITUTE(A107," ","§",2)&amp;"§")-1))
))&gt;0,
IF(
COUNT(_xlfn._xlws.FILTER('Bite force'!$I:$I,
TRIM(LEFT('Bite force'!$A:$A,SEARCH("§",SUBSTITUTE('Bite force'!$A:$A," ","§",2)&amp;"§")-1))=
TRIM(LEFT(A107,SEARCH("§",SUBSTITUTE(A107," ","§",2)&amp;"§")-1))
))=0,
1,
IF(
B107=2,
AVERAGE(_xlfn._xlws.FILTER('Bite force'!$I:$I,
TRIM(LEFT('Bite force'!$A:$A,SEARCH("§",SUBSTITUTE('Bite force'!$A:$A," ","§",2)&amp;"§")-1))=
TRIM(LEFT(A107,SEARCH("§",SUBSTITUTE(A107," ","§",2)&amp;"§")-1))
)),
MAX(_xlfn._xlws.FILTER('Bite force'!$I:$I,
TRIM(LEFT('Bite force'!$A:$A,SEARCH("§",SUBSTITUTE('Bite force'!$A:$A," ","§",2)&amp;"§")-1))=
TRIM(LEFT(A107,SEARCH("§",SUBSTITUTE(A107," ","§",2)&amp;"§")-1))
))
)
),
IFERROR(
AVERAGE(_xlfn._xlws.FILTER('Bite force'!$I:$I,
TRIM(LEFT('Bite force'!$A:$A,SEARCH(" ",'Bite force'!$A:$A&amp;" ")-1))=
TRIM(LEFT(A107,SEARCH(" ",A107&amp;" ")-1))
)),
1
)
)</f>
        <v>1</v>
      </c>
    </row>
    <row r="108" spans="1:3" x14ac:dyDescent="0.25">
      <c r="A108" s="2" t="str">
        <f>'[1]Base stats'!$B108</f>
        <v>Voracilocus devastans</v>
      </c>
      <c r="B108" s="23">
        <f>_xlfn.XLOOKUP(A108,'[1]Base stats'!$B:$B,'[1]Base stats'!$O:$O)</f>
        <v>0</v>
      </c>
      <c r="C108" s="20" cm="1">
        <f t="array" ref="C108">IF(
SUMPRODUCT(--(
TRIM(LEFT('Bite force'!$A:$A,SEARCH("§",SUBSTITUTE('Bite force'!$A:$A," ","§",2)&amp;"§")-1))=
TRIM(LEFT(A108,SEARCH("§",SUBSTITUTE(A108," ","§",2)&amp;"§")-1))
))&gt;0,
IF(
COUNT(_xlfn._xlws.FILTER('Bite force'!$I:$I,
TRIM(LEFT('Bite force'!$A:$A,SEARCH("§",SUBSTITUTE('Bite force'!$A:$A," ","§",2)&amp;"§")-1))=
TRIM(LEFT(A108,SEARCH("§",SUBSTITUTE(A108," ","§",2)&amp;"§")-1))
))=0,
1,
IF(
B108=2,
AVERAGE(_xlfn._xlws.FILTER('Bite force'!$I:$I,
TRIM(LEFT('Bite force'!$A:$A,SEARCH("§",SUBSTITUTE('Bite force'!$A:$A," ","§",2)&amp;"§")-1))=
TRIM(LEFT(A108,SEARCH("§",SUBSTITUTE(A108," ","§",2)&amp;"§")-1))
)),
MAX(_xlfn._xlws.FILTER('Bite force'!$I:$I,
TRIM(LEFT('Bite force'!$A:$A,SEARCH("§",SUBSTITUTE('Bite force'!$A:$A," ","§",2)&amp;"§")-1))=
TRIM(LEFT(A108,SEARCH("§",SUBSTITUTE(A108," ","§",2)&amp;"§")-1))
))
)
),
IFERROR(
AVERAGE(_xlfn._xlws.FILTER('Bite force'!$I:$I,
TRIM(LEFT('Bite force'!$A:$A,SEARCH(" ",'Bite force'!$A:$A&amp;" ")-1))=
TRIM(LEFT(A108,SEARCH(" ",A108&amp;" ")-1))
)),
1
)
)</f>
        <v>1</v>
      </c>
    </row>
    <row r="109" spans="1:3" x14ac:dyDescent="0.25">
      <c r="A109" s="2" t="str">
        <f>'[1]Base stats'!$B109</f>
        <v>Canis latrans latrans</v>
      </c>
      <c r="B109" s="23">
        <f>_xlfn.XLOOKUP(A109,'[1]Base stats'!$B:$B,'[1]Base stats'!$O:$O)</f>
        <v>0</v>
      </c>
      <c r="C109" s="20" cm="1">
        <f t="array" ref="C109">IF(
SUMPRODUCT(--(
TRIM(LEFT('Bite force'!$A:$A,SEARCH("§",SUBSTITUTE('Bite force'!$A:$A," ","§",2)&amp;"§")-1))=
TRIM(LEFT(A109,SEARCH("§",SUBSTITUTE(A109," ","§",2)&amp;"§")-1))
))&gt;0,
IF(
COUNT(_xlfn._xlws.FILTER('Bite force'!$I:$I,
TRIM(LEFT('Bite force'!$A:$A,SEARCH("§",SUBSTITUTE('Bite force'!$A:$A," ","§",2)&amp;"§")-1))=
TRIM(LEFT(A109,SEARCH("§",SUBSTITUTE(A109," ","§",2)&amp;"§")-1))
))=0,
1,
IF(
B109=2,
AVERAGE(_xlfn._xlws.FILTER('Bite force'!$I:$I,
TRIM(LEFT('Bite force'!$A:$A,SEARCH("§",SUBSTITUTE('Bite force'!$A:$A," ","§",2)&amp;"§")-1))=
TRIM(LEFT(A109,SEARCH("§",SUBSTITUTE(A109," ","§",2)&amp;"§")-1))
)),
MAX(_xlfn._xlws.FILTER('Bite force'!$I:$I,
TRIM(LEFT('Bite force'!$A:$A,SEARCH("§",SUBSTITUTE('Bite force'!$A:$A," ","§",2)&amp;"§")-1))=
TRIM(LEFT(A109,SEARCH("§",SUBSTITUTE(A109," ","§",2)&amp;"§")-1))
))
)
),
IFERROR(
AVERAGE(_xlfn._xlws.FILTER('Bite force'!$I:$I,
TRIM(LEFT('Bite force'!$A:$A,SEARCH(" ",'Bite force'!$A:$A&amp;" ")-1))=
TRIM(LEFT(A109,SEARCH(" ",A109&amp;" ")-1))
)),
1
)
)</f>
        <v>1.0429911737241087</v>
      </c>
    </row>
    <row r="110" spans="1:3" x14ac:dyDescent="0.25">
      <c r="A110" s="2" t="str">
        <f>'[1]Base stats'!$B110</f>
        <v>Giraffa camelopardalis</v>
      </c>
      <c r="B110" s="23">
        <f>_xlfn.XLOOKUP(A110,'[1]Base stats'!$B:$B,'[1]Base stats'!$O:$O)</f>
        <v>0</v>
      </c>
      <c r="C110" s="20" cm="1">
        <f t="array" ref="C110">IF(
SUMPRODUCT(--(
TRIM(LEFT('Bite force'!$A:$A,SEARCH("§",SUBSTITUTE('Bite force'!$A:$A," ","§",2)&amp;"§")-1))=
TRIM(LEFT(A110,SEARCH("§",SUBSTITUTE(A110," ","§",2)&amp;"§")-1))
))&gt;0,
IF(
COUNT(_xlfn._xlws.FILTER('Bite force'!$I:$I,
TRIM(LEFT('Bite force'!$A:$A,SEARCH("§",SUBSTITUTE('Bite force'!$A:$A," ","§",2)&amp;"§")-1))=
TRIM(LEFT(A110,SEARCH("§",SUBSTITUTE(A110," ","§",2)&amp;"§")-1))
))=0,
1,
IF(
B110=2,
AVERAGE(_xlfn._xlws.FILTER('Bite force'!$I:$I,
TRIM(LEFT('Bite force'!$A:$A,SEARCH("§",SUBSTITUTE('Bite force'!$A:$A," ","§",2)&amp;"§")-1))=
TRIM(LEFT(A110,SEARCH("§",SUBSTITUTE(A110," ","§",2)&amp;"§")-1))
)),
MAX(_xlfn._xlws.FILTER('Bite force'!$I:$I,
TRIM(LEFT('Bite force'!$A:$A,SEARCH("§",SUBSTITUTE('Bite force'!$A:$A," ","§",2)&amp;"§")-1))=
TRIM(LEFT(A110,SEARCH("§",SUBSTITUTE(A110," ","§",2)&amp;"§")-1))
))
)
),
IFERROR(
AVERAGE(_xlfn._xlws.FILTER('Bite force'!$I:$I,
TRIM(LEFT('Bite force'!$A:$A,SEARCH(" ",'Bite force'!$A:$A&amp;" ")-1))=
TRIM(LEFT(A110,SEARCH(" ",A110&amp;" ")-1))
)),
1
)
)</f>
        <v>1</v>
      </c>
    </row>
    <row r="111" spans="1:3" x14ac:dyDescent="0.25">
      <c r="A111" s="2" t="str">
        <f>'[1]Base stats'!$B111</f>
        <v>Equus burchellii</v>
      </c>
      <c r="B111" s="23">
        <f>_xlfn.XLOOKUP(A111,'[1]Base stats'!$B:$B,'[1]Base stats'!$O:$O)</f>
        <v>0</v>
      </c>
      <c r="C111" s="20" cm="1">
        <f t="array" ref="C111">IF(
SUMPRODUCT(--(
TRIM(LEFT('Bite force'!$A:$A,SEARCH("§",SUBSTITUTE('Bite force'!$A:$A," ","§",2)&amp;"§")-1))=
TRIM(LEFT(A111,SEARCH("§",SUBSTITUTE(A111," ","§",2)&amp;"§")-1))
))&gt;0,
IF(
COUNT(_xlfn._xlws.FILTER('Bite force'!$I:$I,
TRIM(LEFT('Bite force'!$A:$A,SEARCH("§",SUBSTITUTE('Bite force'!$A:$A," ","§",2)&amp;"§")-1))=
TRIM(LEFT(A111,SEARCH("§",SUBSTITUTE(A111," ","§",2)&amp;"§")-1))
))=0,
1,
IF(
B111=2,
AVERAGE(_xlfn._xlws.FILTER('Bite force'!$I:$I,
TRIM(LEFT('Bite force'!$A:$A,SEARCH("§",SUBSTITUTE('Bite force'!$A:$A," ","§",2)&amp;"§")-1))=
TRIM(LEFT(A111,SEARCH("§",SUBSTITUTE(A111," ","§",2)&amp;"§")-1))
)),
MAX(_xlfn._xlws.FILTER('Bite force'!$I:$I,
TRIM(LEFT('Bite force'!$A:$A,SEARCH("§",SUBSTITUTE('Bite force'!$A:$A," ","§",2)&amp;"§")-1))=
TRIM(LEFT(A111,SEARCH("§",SUBSTITUTE(A111," ","§",2)&amp;"§")-1))
))
)
),
IFERROR(
AVERAGE(_xlfn._xlws.FILTER('Bite force'!$I:$I,
TRIM(LEFT('Bite force'!$A:$A,SEARCH(" ",'Bite force'!$A:$A&amp;" ")-1))=
TRIM(LEFT(A111,SEARCH(" ",A111&amp;" ")-1))
)),
1
)
)</f>
        <v>1</v>
      </c>
    </row>
    <row r="112" spans="1:3" x14ac:dyDescent="0.25">
      <c r="A112" s="2" t="str">
        <f>'[1]Base stats'!$B112</f>
        <v>Connochaetes taurinus</v>
      </c>
      <c r="B112" s="23">
        <f>_xlfn.XLOOKUP(A112,'[1]Base stats'!$B:$B,'[1]Base stats'!$O:$O)</f>
        <v>0</v>
      </c>
      <c r="C112" s="20" cm="1">
        <f t="array" ref="C112">IF(
SUMPRODUCT(--(
TRIM(LEFT('Bite force'!$A:$A,SEARCH("§",SUBSTITUTE('Bite force'!$A:$A," ","§",2)&amp;"§")-1))=
TRIM(LEFT(A112,SEARCH("§",SUBSTITUTE(A112," ","§",2)&amp;"§")-1))
))&gt;0,
IF(
COUNT(_xlfn._xlws.FILTER('Bite force'!$I:$I,
TRIM(LEFT('Bite force'!$A:$A,SEARCH("§",SUBSTITUTE('Bite force'!$A:$A," ","§",2)&amp;"§")-1))=
TRIM(LEFT(A112,SEARCH("§",SUBSTITUTE(A112," ","§",2)&amp;"§")-1))
))=0,
1,
IF(
B112=2,
AVERAGE(_xlfn._xlws.FILTER('Bite force'!$I:$I,
TRIM(LEFT('Bite force'!$A:$A,SEARCH("§",SUBSTITUTE('Bite force'!$A:$A," ","§",2)&amp;"§")-1))=
TRIM(LEFT(A112,SEARCH("§",SUBSTITUTE(A112," ","§",2)&amp;"§")-1))
)),
MAX(_xlfn._xlws.FILTER('Bite force'!$I:$I,
TRIM(LEFT('Bite force'!$A:$A,SEARCH("§",SUBSTITUTE('Bite force'!$A:$A," ","§",2)&amp;"§")-1))=
TRIM(LEFT(A112,SEARCH("§",SUBSTITUTE(A112," ","§",2)&amp;"§")-1))
))
)
),
IFERROR(
AVERAGE(_xlfn._xlws.FILTER('Bite force'!$I:$I,
TRIM(LEFT('Bite force'!$A:$A,SEARCH(" ",'Bite force'!$A:$A&amp;" ")-1))=
TRIM(LEFT(A112,SEARCH(" ",A112&amp;" ")-1))
)),
1
)
)</f>
        <v>1</v>
      </c>
    </row>
    <row r="113" spans="1:3" x14ac:dyDescent="0.25">
      <c r="A113" s="2" t="str">
        <f>'[1]Base stats'!$B113</f>
        <v>Crocodylus porosus</v>
      </c>
      <c r="B113" s="23">
        <f>_xlfn.XLOOKUP(A113,'[1]Base stats'!$B:$B,'[1]Base stats'!$O:$O)</f>
        <v>0</v>
      </c>
      <c r="C113" s="20" cm="1">
        <f t="array" ref="C113">IF(
SUMPRODUCT(--(
TRIM(LEFT('Bite force'!$A:$A,SEARCH("§",SUBSTITUTE('Bite force'!$A:$A," ","§",2)&amp;"§")-1))=
TRIM(LEFT(A113,SEARCH("§",SUBSTITUTE(A113," ","§",2)&amp;"§")-1))
))&gt;0,
IF(
COUNT(_xlfn._xlws.FILTER('Bite force'!$I:$I,
TRIM(LEFT('Bite force'!$A:$A,SEARCH("§",SUBSTITUTE('Bite force'!$A:$A," ","§",2)&amp;"§")-1))=
TRIM(LEFT(A113,SEARCH("§",SUBSTITUTE(A113," ","§",2)&amp;"§")-1))
))=0,
1,
IF(
B113=2,
AVERAGE(_xlfn._xlws.FILTER('Bite force'!$I:$I,
TRIM(LEFT('Bite force'!$A:$A,SEARCH("§",SUBSTITUTE('Bite force'!$A:$A," ","§",2)&amp;"§")-1))=
TRIM(LEFT(A113,SEARCH("§",SUBSTITUTE(A113," ","§",2)&amp;"§")-1))
)),
MAX(_xlfn._xlws.FILTER('Bite force'!$I:$I,
TRIM(LEFT('Bite force'!$A:$A,SEARCH("§",SUBSTITUTE('Bite force'!$A:$A," ","§",2)&amp;"§")-1))=
TRIM(LEFT(A113,SEARCH("§",SUBSTITUTE(A113," ","§",2)&amp;"§")-1))
))
)
),
IFERROR(
AVERAGE(_xlfn._xlws.FILTER('Bite force'!$I:$I,
TRIM(LEFT('Bite force'!$A:$A,SEARCH(" ",'Bite force'!$A:$A&amp;" ")-1))=
TRIM(LEFT(A113,SEARCH(" ",A113&amp;" ")-1))
)),
1
)
)</f>
        <v>0.93326681947193157</v>
      </c>
    </row>
    <row r="114" spans="1:3" x14ac:dyDescent="0.25">
      <c r="A114" s="2" t="str">
        <f>'[1]Base stats'!$B114</f>
        <v>Acinonyx jubatus</v>
      </c>
      <c r="B114" s="23">
        <f>_xlfn.XLOOKUP(A114,'[1]Base stats'!$B:$B,'[1]Base stats'!$O:$O)</f>
        <v>0</v>
      </c>
      <c r="C114" s="20" cm="1">
        <f t="array" ref="C114">IF(
SUMPRODUCT(--(
TRIM(LEFT('Bite force'!$A:$A,SEARCH("§",SUBSTITUTE('Bite force'!$A:$A," ","§",2)&amp;"§")-1))=
TRIM(LEFT(A114,SEARCH("§",SUBSTITUTE(A114," ","§",2)&amp;"§")-1))
))&gt;0,
IF(
COUNT(_xlfn._xlws.FILTER('Bite force'!$I:$I,
TRIM(LEFT('Bite force'!$A:$A,SEARCH("§",SUBSTITUTE('Bite force'!$A:$A," ","§",2)&amp;"§")-1))=
TRIM(LEFT(A114,SEARCH("§",SUBSTITUTE(A114," ","§",2)&amp;"§")-1))
))=0,
1,
IF(
B114=2,
AVERAGE(_xlfn._xlws.FILTER('Bite force'!$I:$I,
TRIM(LEFT('Bite force'!$A:$A,SEARCH("§",SUBSTITUTE('Bite force'!$A:$A," ","§",2)&amp;"§")-1))=
TRIM(LEFT(A114,SEARCH("§",SUBSTITUTE(A114," ","§",2)&amp;"§")-1))
)),
MAX(_xlfn._xlws.FILTER('Bite force'!$I:$I,
TRIM(LEFT('Bite force'!$A:$A,SEARCH("§",SUBSTITUTE('Bite force'!$A:$A," ","§",2)&amp;"§")-1))=
TRIM(LEFT(A114,SEARCH("§",SUBSTITUTE(A114," ","§",2)&amp;"§")-1))
))
)
),
IFERROR(
AVERAGE(_xlfn._xlws.FILTER('Bite force'!$I:$I,
TRIM(LEFT('Bite force'!$A:$A,SEARCH(" ",'Bite force'!$A:$A&amp;" ")-1))=
TRIM(LEFT(A114,SEARCH(" ",A114&amp;" ")-1))
)),
1
)
)</f>
        <v>0.61860638172364735</v>
      </c>
    </row>
    <row r="115" spans="1:3" x14ac:dyDescent="0.25">
      <c r="A115" s="2" t="str">
        <f>'[1]Base stats'!$B115</f>
        <v>Vombatus explosivus</v>
      </c>
      <c r="B115" s="23">
        <f>_xlfn.XLOOKUP(A115,'[1]Base stats'!$B:$B,'[1]Base stats'!$O:$O)</f>
        <v>0</v>
      </c>
      <c r="C115" s="20" cm="1">
        <f t="array" ref="C115">IF(
SUMPRODUCT(--(
TRIM(LEFT('Bite force'!$A:$A,SEARCH("§",SUBSTITUTE('Bite force'!$A:$A," ","§",2)&amp;"§")-1))=
TRIM(LEFT(A115,SEARCH("§",SUBSTITUTE(A115," ","§",2)&amp;"§")-1))
))&gt;0,
IF(
COUNT(_xlfn._xlws.FILTER('Bite force'!$I:$I,
TRIM(LEFT('Bite force'!$A:$A,SEARCH("§",SUBSTITUTE('Bite force'!$A:$A," ","§",2)&amp;"§")-1))=
TRIM(LEFT(A115,SEARCH("§",SUBSTITUTE(A115," ","§",2)&amp;"§")-1))
))=0,
1,
IF(
B115=2,
AVERAGE(_xlfn._xlws.FILTER('Bite force'!$I:$I,
TRIM(LEFT('Bite force'!$A:$A,SEARCH("§",SUBSTITUTE('Bite force'!$A:$A," ","§",2)&amp;"§")-1))=
TRIM(LEFT(A115,SEARCH("§",SUBSTITUTE(A115," ","§",2)&amp;"§")-1))
)),
MAX(_xlfn._xlws.FILTER('Bite force'!$I:$I,
TRIM(LEFT('Bite force'!$A:$A,SEARCH("§",SUBSTITUTE('Bite force'!$A:$A," ","§",2)&amp;"§")-1))=
TRIM(LEFT(A115,SEARCH("§",SUBSTITUTE(A115," ","§",2)&amp;"§")-1))
))
)
),
IFERROR(
AVERAGE(_xlfn._xlws.FILTER('Bite force'!$I:$I,
TRIM(LEFT('Bite force'!$A:$A,SEARCH(" ",'Bite force'!$A:$A&amp;" ")-1))=
TRIM(LEFT(A115,SEARCH(" ",A115&amp;" ")-1))
)),
1
)
)</f>
        <v>1</v>
      </c>
    </row>
    <row r="116" spans="1:3" x14ac:dyDescent="0.25">
      <c r="A116" s="2" t="str">
        <f>'[1]Base stats'!$B116</f>
        <v>Macropus rufus</v>
      </c>
      <c r="B116" s="23">
        <f>_xlfn.XLOOKUP(A116,'[1]Base stats'!$B:$B,'[1]Base stats'!$O:$O)</f>
        <v>0</v>
      </c>
      <c r="C116" s="20" cm="1">
        <f t="array" ref="C116">IF(
SUMPRODUCT(--(
TRIM(LEFT('Bite force'!$A:$A,SEARCH("§",SUBSTITUTE('Bite force'!$A:$A," ","§",2)&amp;"§")-1))=
TRIM(LEFT(A116,SEARCH("§",SUBSTITUTE(A116," ","§",2)&amp;"§")-1))
))&gt;0,
IF(
COUNT(_xlfn._xlws.FILTER('Bite force'!$I:$I,
TRIM(LEFT('Bite force'!$A:$A,SEARCH("§",SUBSTITUTE('Bite force'!$A:$A," ","§",2)&amp;"§")-1))=
TRIM(LEFT(A116,SEARCH("§",SUBSTITUTE(A116," ","§",2)&amp;"§")-1))
))=0,
1,
IF(
B116=2,
AVERAGE(_xlfn._xlws.FILTER('Bite force'!$I:$I,
TRIM(LEFT('Bite force'!$A:$A,SEARCH("§",SUBSTITUTE('Bite force'!$A:$A," ","§",2)&amp;"§")-1))=
TRIM(LEFT(A116,SEARCH("§",SUBSTITUTE(A116," ","§",2)&amp;"§")-1))
)),
MAX(_xlfn._xlws.FILTER('Bite force'!$I:$I,
TRIM(LEFT('Bite force'!$A:$A,SEARCH("§",SUBSTITUTE('Bite force'!$A:$A," ","§",2)&amp;"§")-1))=
TRIM(LEFT(A116,SEARCH("§",SUBSTITUTE(A116," ","§",2)&amp;"§")-1))
))
)
),
IFERROR(
AVERAGE(_xlfn._xlws.FILTER('Bite force'!$I:$I,
TRIM(LEFT('Bite force'!$A:$A,SEARCH(" ",'Bite force'!$A:$A&amp;" ")-1))=
TRIM(LEFT(A116,SEARCH(" ",A116&amp;" ")-1))
)),
1
)
)</f>
        <v>1</v>
      </c>
    </row>
    <row r="117" spans="1:3" x14ac:dyDescent="0.25">
      <c r="A117" s="2" t="str">
        <f>'[1]Base stats'!$B117</f>
        <v>Phascolarctos cinereus</v>
      </c>
      <c r="B117" s="23">
        <f>_xlfn.XLOOKUP(A117,'[1]Base stats'!$B:$B,'[1]Base stats'!$O:$O)</f>
        <v>0</v>
      </c>
      <c r="C117" s="20" cm="1">
        <f t="array" ref="C117">IF(
SUMPRODUCT(--(
TRIM(LEFT('Bite force'!$A:$A,SEARCH("§",SUBSTITUTE('Bite force'!$A:$A," ","§",2)&amp;"§")-1))=
TRIM(LEFT(A117,SEARCH("§",SUBSTITUTE(A117," ","§",2)&amp;"§")-1))
))&gt;0,
IF(
COUNT(_xlfn._xlws.FILTER('Bite force'!$I:$I,
TRIM(LEFT('Bite force'!$A:$A,SEARCH("§",SUBSTITUTE('Bite force'!$A:$A," ","§",2)&amp;"§")-1))=
TRIM(LEFT(A117,SEARCH("§",SUBSTITUTE(A117," ","§",2)&amp;"§")-1))
))=0,
1,
IF(
B117=2,
AVERAGE(_xlfn._xlws.FILTER('Bite force'!$I:$I,
TRIM(LEFT('Bite force'!$A:$A,SEARCH("§",SUBSTITUTE('Bite force'!$A:$A," ","§",2)&amp;"§")-1))=
TRIM(LEFT(A117,SEARCH("§",SUBSTITUTE(A117," ","§",2)&amp;"§")-1))
)),
MAX(_xlfn._xlws.FILTER('Bite force'!$I:$I,
TRIM(LEFT('Bite force'!$A:$A,SEARCH("§",SUBSTITUTE('Bite force'!$A:$A," ","§",2)&amp;"§")-1))=
TRIM(LEFT(A117,SEARCH("§",SUBSTITUTE(A117," ","§",2)&amp;"§")-1))
))
)
),
IFERROR(
AVERAGE(_xlfn._xlws.FILTER('Bite force'!$I:$I,
TRIM(LEFT('Bite force'!$A:$A,SEARCH(" ",'Bite force'!$A:$A&amp;" ")-1))=
TRIM(LEFT(A117,SEARCH(" ",A117&amp;" ")-1))
)),
1
)
)</f>
        <v>1</v>
      </c>
    </row>
    <row r="118" spans="1:3" x14ac:dyDescent="0.25">
      <c r="A118" s="2" t="str">
        <f>'[1]Base stats'!$B118</f>
        <v>Ornithorhynchus anatinus</v>
      </c>
      <c r="B118" s="23">
        <f>_xlfn.XLOOKUP(A118,'[1]Base stats'!$B:$B,'[1]Base stats'!$O:$O)</f>
        <v>0</v>
      </c>
      <c r="C118" s="20" cm="1">
        <f t="array" ref="C118">IF(
SUMPRODUCT(--(
TRIM(LEFT('Bite force'!$A:$A,SEARCH("§",SUBSTITUTE('Bite force'!$A:$A," ","§",2)&amp;"§")-1))=
TRIM(LEFT(A118,SEARCH("§",SUBSTITUTE(A118," ","§",2)&amp;"§")-1))
))&gt;0,
IF(
COUNT(_xlfn._xlws.FILTER('Bite force'!$I:$I,
TRIM(LEFT('Bite force'!$A:$A,SEARCH("§",SUBSTITUTE('Bite force'!$A:$A," ","§",2)&amp;"§")-1))=
TRIM(LEFT(A118,SEARCH("§",SUBSTITUTE(A118," ","§",2)&amp;"§")-1))
))=0,
1,
IF(
B118=2,
AVERAGE(_xlfn._xlws.FILTER('Bite force'!$I:$I,
TRIM(LEFT('Bite force'!$A:$A,SEARCH("§",SUBSTITUTE('Bite force'!$A:$A," ","§",2)&amp;"§")-1))=
TRIM(LEFT(A118,SEARCH("§",SUBSTITUTE(A118," ","§",2)&amp;"§")-1))
)),
MAX(_xlfn._xlws.FILTER('Bite force'!$I:$I,
TRIM(LEFT('Bite force'!$A:$A,SEARCH("§",SUBSTITUTE('Bite force'!$A:$A," ","§",2)&amp;"§")-1))=
TRIM(LEFT(A118,SEARCH("§",SUBSTITUTE(A118," ","§",2)&amp;"§")-1))
))
)
),
IFERROR(
AVERAGE(_xlfn._xlws.FILTER('Bite force'!$I:$I,
TRIM(LEFT('Bite force'!$A:$A,SEARCH(" ",'Bite force'!$A:$A&amp;" ")-1))=
TRIM(LEFT(A118,SEARCH(" ",A118&amp;" ")-1))
)),
1
)
)</f>
        <v>1</v>
      </c>
    </row>
    <row r="119" spans="1:3" x14ac:dyDescent="0.25">
      <c r="A119" s="2" t="str">
        <f>'[1]Base stats'!$B119</f>
        <v>Canis latrans incolatus</v>
      </c>
      <c r="B119" s="23">
        <f>_xlfn.XLOOKUP(A119,'[1]Base stats'!$B:$B,'[1]Base stats'!$O:$O)</f>
        <v>0</v>
      </c>
      <c r="C119" s="20" cm="1">
        <f t="array" ref="C119">IF(
SUMPRODUCT(--(
TRIM(LEFT('Bite force'!$A:$A,SEARCH("§",SUBSTITUTE('Bite force'!$A:$A," ","§",2)&amp;"§")-1))=
TRIM(LEFT(A119,SEARCH("§",SUBSTITUTE(A119," ","§",2)&amp;"§")-1))
))&gt;0,
IF(
COUNT(_xlfn._xlws.FILTER('Bite force'!$I:$I,
TRIM(LEFT('Bite force'!$A:$A,SEARCH("§",SUBSTITUTE('Bite force'!$A:$A," ","§",2)&amp;"§")-1))=
TRIM(LEFT(A119,SEARCH("§",SUBSTITUTE(A119," ","§",2)&amp;"§")-1))
))=0,
1,
IF(
B119=2,
AVERAGE(_xlfn._xlws.FILTER('Bite force'!$I:$I,
TRIM(LEFT('Bite force'!$A:$A,SEARCH("§",SUBSTITUTE('Bite force'!$A:$A," ","§",2)&amp;"§")-1))=
TRIM(LEFT(A119,SEARCH("§",SUBSTITUTE(A119," ","§",2)&amp;"§")-1))
)),
MAX(_xlfn._xlws.FILTER('Bite force'!$I:$I,
TRIM(LEFT('Bite force'!$A:$A,SEARCH("§",SUBSTITUTE('Bite force'!$A:$A," ","§",2)&amp;"§")-1))=
TRIM(LEFT(A119,SEARCH("§",SUBSTITUTE(A119," ","§",2)&amp;"§")-1))
))
)
),
IFERROR(
AVERAGE(_xlfn._xlws.FILTER('Bite force'!$I:$I,
TRIM(LEFT('Bite force'!$A:$A,SEARCH(" ",'Bite force'!$A:$A&amp;" ")-1))=
TRIM(LEFT(A119,SEARCH(" ",A119&amp;" ")-1))
)),
1
)
)</f>
        <v>1.0429911737241087</v>
      </c>
    </row>
    <row r="120" spans="1:3" x14ac:dyDescent="0.25">
      <c r="A120" s="2" t="str">
        <f>'[1]Base stats'!$B120</f>
        <v>Ursus americanus</v>
      </c>
      <c r="B120" s="23">
        <f>_xlfn.XLOOKUP(A120,'[1]Base stats'!$B:$B,'[1]Base stats'!$O:$O)</f>
        <v>0</v>
      </c>
      <c r="C120" s="20" cm="1">
        <f t="array" ref="C120">IF(
SUMPRODUCT(--(
TRIM(LEFT('Bite force'!$A:$A,SEARCH("§",SUBSTITUTE('Bite force'!$A:$A," ","§",2)&amp;"§")-1))=
TRIM(LEFT(A120,SEARCH("§",SUBSTITUTE(A120," ","§",2)&amp;"§")-1))
))&gt;0,
IF(
COUNT(_xlfn._xlws.FILTER('Bite force'!$I:$I,
TRIM(LEFT('Bite force'!$A:$A,SEARCH("§",SUBSTITUTE('Bite force'!$A:$A," ","§",2)&amp;"§")-1))=
TRIM(LEFT(A120,SEARCH("§",SUBSTITUTE(A120," ","§",2)&amp;"§")-1))
))=0,
1,
IF(
B120=2,
AVERAGE(_xlfn._xlws.FILTER('Bite force'!$I:$I,
TRIM(LEFT('Bite force'!$A:$A,SEARCH("§",SUBSTITUTE('Bite force'!$A:$A," ","§",2)&amp;"§")-1))=
TRIM(LEFT(A120,SEARCH("§",SUBSTITUTE(A120," ","§",2)&amp;"§")-1))
)),
MAX(_xlfn._xlws.FILTER('Bite force'!$I:$I,
TRIM(LEFT('Bite force'!$A:$A,SEARCH("§",SUBSTITUTE('Bite force'!$A:$A," ","§",2)&amp;"§")-1))=
TRIM(LEFT(A120,SEARCH("§",SUBSTITUTE(A120," ","§",2)&amp;"§")-1))
))
)
),
IFERROR(
AVERAGE(_xlfn._xlws.FILTER('Bite force'!$I:$I,
TRIM(LEFT('Bite force'!$A:$A,SEARCH(" ",'Bite force'!$A:$A&amp;" ")-1))=
TRIM(LEFT(A120,SEARCH(" ",A120&amp;" ")-1))
)),
1
)
)</f>
        <v>0.99150480537008923</v>
      </c>
    </row>
    <row r="121" spans="1:3" x14ac:dyDescent="0.25">
      <c r="A121" s="2" t="str">
        <f>'[1]Base stats'!$B121</f>
        <v>Crocuta crocuta</v>
      </c>
      <c r="B121" s="23">
        <f>_xlfn.XLOOKUP(A121,'[1]Base stats'!$B:$B,'[1]Base stats'!$O:$O)</f>
        <v>0</v>
      </c>
      <c r="C121" s="20" cm="1">
        <f t="array" ref="C121">IF(
SUMPRODUCT(--(
TRIM(LEFT('Bite force'!$A:$A,SEARCH("§",SUBSTITUTE('Bite force'!$A:$A," ","§",2)&amp;"§")-1))=
TRIM(LEFT(A121,SEARCH("§",SUBSTITUTE(A121," ","§",2)&amp;"§")-1))
))&gt;0,
IF(
COUNT(_xlfn._xlws.FILTER('Bite force'!$I:$I,
TRIM(LEFT('Bite force'!$A:$A,SEARCH("§",SUBSTITUTE('Bite force'!$A:$A," ","§",2)&amp;"§")-1))=
TRIM(LEFT(A121,SEARCH("§",SUBSTITUTE(A121," ","§",2)&amp;"§")-1))
))=0,
1,
IF(
B121=2,
AVERAGE(_xlfn._xlws.FILTER('Bite force'!$I:$I,
TRIM(LEFT('Bite force'!$A:$A,SEARCH("§",SUBSTITUTE('Bite force'!$A:$A," ","§",2)&amp;"§")-1))=
TRIM(LEFT(A121,SEARCH("§",SUBSTITUTE(A121," ","§",2)&amp;"§")-1))
)),
MAX(_xlfn._xlws.FILTER('Bite force'!$I:$I,
TRIM(LEFT('Bite force'!$A:$A,SEARCH("§",SUBSTITUTE('Bite force'!$A:$A," ","§",2)&amp;"§")-1))=
TRIM(LEFT(A121,SEARCH("§",SUBSTITUTE(A121," ","§",2)&amp;"§")-1))
))
)
),
IFERROR(
AVERAGE(_xlfn._xlws.FILTER('Bite force'!$I:$I,
TRIM(LEFT('Bite force'!$A:$A,SEARCH(" ",'Bite force'!$A:$A&amp;" ")-1))=
TRIM(LEFT(A121,SEARCH(" ",A121&amp;" ")-1))
)),
1
)
)</f>
        <v>1.1644606408312139</v>
      </c>
    </row>
    <row r="122" spans="1:3" x14ac:dyDescent="0.25">
      <c r="A122" s="2" t="str">
        <f>'[1]Base stats'!$B122</f>
        <v>Centrochelys sulcata</v>
      </c>
      <c r="B122" s="23">
        <f>_xlfn.XLOOKUP(A122,'[1]Base stats'!$B:$B,'[1]Base stats'!$O:$O)</f>
        <v>0</v>
      </c>
      <c r="C122" s="20" cm="1">
        <f t="array" ref="C122">IF(
SUMPRODUCT(--(
TRIM(LEFT('Bite force'!$A:$A,SEARCH("§",SUBSTITUTE('Bite force'!$A:$A," ","§",2)&amp;"§")-1))=
TRIM(LEFT(A122,SEARCH("§",SUBSTITUTE(A122," ","§",2)&amp;"§")-1))
))&gt;0,
IF(
COUNT(_xlfn._xlws.FILTER('Bite force'!$I:$I,
TRIM(LEFT('Bite force'!$A:$A,SEARCH("§",SUBSTITUTE('Bite force'!$A:$A," ","§",2)&amp;"§")-1))=
TRIM(LEFT(A122,SEARCH("§",SUBSTITUTE(A122," ","§",2)&amp;"§")-1))
))=0,
1,
IF(
B122=2,
AVERAGE(_xlfn._xlws.FILTER('Bite force'!$I:$I,
TRIM(LEFT('Bite force'!$A:$A,SEARCH("§",SUBSTITUTE('Bite force'!$A:$A," ","§",2)&amp;"§")-1))=
TRIM(LEFT(A122,SEARCH("§",SUBSTITUTE(A122," ","§",2)&amp;"§")-1))
)),
MAX(_xlfn._xlws.FILTER('Bite force'!$I:$I,
TRIM(LEFT('Bite force'!$A:$A,SEARCH("§",SUBSTITUTE('Bite force'!$A:$A," ","§",2)&amp;"§")-1))=
TRIM(LEFT(A122,SEARCH("§",SUBSTITUTE(A122," ","§",2)&amp;"§")-1))
))
)
),
IFERROR(
AVERAGE(_xlfn._xlws.FILTER('Bite force'!$I:$I,
TRIM(LEFT('Bite force'!$A:$A,SEARCH(" ",'Bite force'!$A:$A&amp;" ")-1))=
TRIM(LEFT(A122,SEARCH(" ",A122&amp;" ")-1))
)),
1
)
)</f>
        <v>1</v>
      </c>
    </row>
    <row r="123" spans="1:3" x14ac:dyDescent="0.25">
      <c r="A123" s="2" t="str">
        <f>'[1]Base stats'!$B123</f>
        <v>Panthera leo</v>
      </c>
      <c r="B123" s="23">
        <f>_xlfn.XLOOKUP(A123,'[1]Base stats'!$B:$B,'[1]Base stats'!$O:$O)</f>
        <v>0</v>
      </c>
      <c r="C123" s="20" cm="1">
        <f t="array" ref="C123">IF(
SUMPRODUCT(--(
TRIM(LEFT('Bite force'!$A:$A,SEARCH("§",SUBSTITUTE('Bite force'!$A:$A," ","§",2)&amp;"§")-1))=
TRIM(LEFT(A123,SEARCH("§",SUBSTITUTE(A123," ","§",2)&amp;"§")-1))
))&gt;0,
IF(
COUNT(_xlfn._xlws.FILTER('Bite force'!$I:$I,
TRIM(LEFT('Bite force'!$A:$A,SEARCH("§",SUBSTITUTE('Bite force'!$A:$A," ","§",2)&amp;"§")-1))=
TRIM(LEFT(A123,SEARCH("§",SUBSTITUTE(A123," ","§",2)&amp;"§")-1))
))=0,
1,
IF(
B123=2,
AVERAGE(_xlfn._xlws.FILTER('Bite force'!$I:$I,
TRIM(LEFT('Bite force'!$A:$A,SEARCH("§",SUBSTITUTE('Bite force'!$A:$A," ","§",2)&amp;"§")-1))=
TRIM(LEFT(A123,SEARCH("§",SUBSTITUTE(A123," ","§",2)&amp;"§")-1))
)),
MAX(_xlfn._xlws.FILTER('Bite force'!$I:$I,
TRIM(LEFT('Bite force'!$A:$A,SEARCH("§",SUBSTITUTE('Bite force'!$A:$A," ","§",2)&amp;"§")-1))=
TRIM(LEFT(A123,SEARCH("§",SUBSTITUTE(A123," ","§",2)&amp;"§")-1))
))
)
),
IFERROR(
AVERAGE(_xlfn._xlws.FILTER('Bite force'!$I:$I,
TRIM(LEFT('Bite force'!$A:$A,SEARCH(" ",'Bite force'!$A:$A&amp;" ")-1))=
TRIM(LEFT(A123,SEARCH(" ",A123&amp;" ")-1))
)),
1
)
)</f>
        <v>0.77671209678413822</v>
      </c>
    </row>
    <row r="124" spans="1:3" x14ac:dyDescent="0.25">
      <c r="A124" s="2" t="str">
        <f>'[1]Base stats'!$B124</f>
        <v>Heloderma horridum</v>
      </c>
      <c r="B124" s="23">
        <f>_xlfn.XLOOKUP(A124,'[1]Base stats'!$B:$B,'[1]Base stats'!$O:$O)</f>
        <v>0</v>
      </c>
      <c r="C124" s="20" cm="1">
        <f t="array" ref="C124">IF(
SUMPRODUCT(--(
TRIM(LEFT('Bite force'!$A:$A,SEARCH("§",SUBSTITUTE('Bite force'!$A:$A," ","§",2)&amp;"§")-1))=
TRIM(LEFT(A124,SEARCH("§",SUBSTITUTE(A124," ","§",2)&amp;"§")-1))
))&gt;0,
IF(
COUNT(_xlfn._xlws.FILTER('Bite force'!$I:$I,
TRIM(LEFT('Bite force'!$A:$A,SEARCH("§",SUBSTITUTE('Bite force'!$A:$A," ","§",2)&amp;"§")-1))=
TRIM(LEFT(A124,SEARCH("§",SUBSTITUTE(A124," ","§",2)&amp;"§")-1))
))=0,
1,
IF(
B124=2,
AVERAGE(_xlfn._xlws.FILTER('Bite force'!$I:$I,
TRIM(LEFT('Bite force'!$A:$A,SEARCH("§",SUBSTITUTE('Bite force'!$A:$A," ","§",2)&amp;"§")-1))=
TRIM(LEFT(A124,SEARCH("§",SUBSTITUTE(A124," ","§",2)&amp;"§")-1))
)),
MAX(_xlfn._xlws.FILTER('Bite force'!$I:$I,
TRIM(LEFT('Bite force'!$A:$A,SEARCH("§",SUBSTITUTE('Bite force'!$A:$A," ","§",2)&amp;"§")-1))=
TRIM(LEFT(A124,SEARCH("§",SUBSTITUTE(A124," ","§",2)&amp;"§")-1))
))
)
),
IFERROR(
AVERAGE(_xlfn._xlws.FILTER('Bite force'!$I:$I,
TRIM(LEFT('Bite force'!$A:$A,SEARCH(" ",'Bite force'!$A:$A&amp;" ")-1))=
TRIM(LEFT(A124,SEARCH(" ",A124&amp;" ")-1))
)),
1
)
)</f>
        <v>1</v>
      </c>
    </row>
    <row r="125" spans="1:3" x14ac:dyDescent="0.25">
      <c r="A125" s="2" t="str">
        <f>'[1]Base stats'!$B125</f>
        <v>Camelus bactrianus</v>
      </c>
      <c r="B125" s="23">
        <f>_xlfn.XLOOKUP(A125,'[1]Base stats'!$B:$B,'[1]Base stats'!$O:$O)</f>
        <v>1</v>
      </c>
      <c r="C125" s="20" cm="1">
        <f t="array" ref="C125">IF(
SUMPRODUCT(--(
TRIM(LEFT('Bite force'!$A:$A,SEARCH("§",SUBSTITUTE('Bite force'!$A:$A," ","§",2)&amp;"§")-1))=
TRIM(LEFT(A125,SEARCH("§",SUBSTITUTE(A125," ","§",2)&amp;"§")-1))
))&gt;0,
IF(
COUNT(_xlfn._xlws.FILTER('Bite force'!$I:$I,
TRIM(LEFT('Bite force'!$A:$A,SEARCH("§",SUBSTITUTE('Bite force'!$A:$A," ","§",2)&amp;"§")-1))=
TRIM(LEFT(A125,SEARCH("§",SUBSTITUTE(A125," ","§",2)&amp;"§")-1))
))=0,
1,
IF(
B125=2,
AVERAGE(_xlfn._xlws.FILTER('Bite force'!$I:$I,
TRIM(LEFT('Bite force'!$A:$A,SEARCH("§",SUBSTITUTE('Bite force'!$A:$A," ","§",2)&amp;"§")-1))=
TRIM(LEFT(A125,SEARCH("§",SUBSTITUTE(A125," ","§",2)&amp;"§")-1))
)),
MAX(_xlfn._xlws.FILTER('Bite force'!$I:$I,
TRIM(LEFT('Bite force'!$A:$A,SEARCH("§",SUBSTITUTE('Bite force'!$A:$A," ","§",2)&amp;"§")-1))=
TRIM(LEFT(A125,SEARCH("§",SUBSTITUTE(A125," ","§",2)&amp;"§")-1))
))
)
),
IFERROR(
AVERAGE(_xlfn._xlws.FILTER('Bite force'!$I:$I,
TRIM(LEFT('Bite force'!$A:$A,SEARCH(" ",'Bite force'!$A:$A&amp;" ")-1))=
TRIM(LEFT(A125,SEARCH(" ",A125&amp;" ")-1))
)),
1
)
)</f>
        <v>1</v>
      </c>
    </row>
    <row r="126" spans="1:3" x14ac:dyDescent="0.25">
      <c r="A126" s="2" t="str">
        <f>'[1]Base stats'!$B126</f>
        <v>Crotalus adamanteus</v>
      </c>
      <c r="B126" s="23">
        <f>_xlfn.XLOOKUP(A126,'[1]Base stats'!$B:$B,'[1]Base stats'!$O:$O)</f>
        <v>0</v>
      </c>
      <c r="C126" s="20" cm="1">
        <f t="array" ref="C126">IF(
SUMPRODUCT(--(
TRIM(LEFT('Bite force'!$A:$A,SEARCH("§",SUBSTITUTE('Bite force'!$A:$A," ","§",2)&amp;"§")-1))=
TRIM(LEFT(A126,SEARCH("§",SUBSTITUTE(A126," ","§",2)&amp;"§")-1))
))&gt;0,
IF(
COUNT(_xlfn._xlws.FILTER('Bite force'!$I:$I,
TRIM(LEFT('Bite force'!$A:$A,SEARCH("§",SUBSTITUTE('Bite force'!$A:$A," ","§",2)&amp;"§")-1))=
TRIM(LEFT(A126,SEARCH("§",SUBSTITUTE(A126," ","§",2)&amp;"§")-1))
))=0,
1,
IF(
B126=2,
AVERAGE(_xlfn._xlws.FILTER('Bite force'!$I:$I,
TRIM(LEFT('Bite force'!$A:$A,SEARCH("§",SUBSTITUTE('Bite force'!$A:$A," ","§",2)&amp;"§")-1))=
TRIM(LEFT(A126,SEARCH("§",SUBSTITUTE(A126," ","§",2)&amp;"§")-1))
)),
MAX(_xlfn._xlws.FILTER('Bite force'!$I:$I,
TRIM(LEFT('Bite force'!$A:$A,SEARCH("§",SUBSTITUTE('Bite force'!$A:$A," ","§",2)&amp;"§")-1))=
TRIM(LEFT(A126,SEARCH("§",SUBSTITUTE(A126," ","§",2)&amp;"§")-1))
))
)
),
IFERROR(
AVERAGE(_xlfn._xlws.FILTER('Bite force'!$I:$I,
TRIM(LEFT('Bite force'!$A:$A,SEARCH(" ",'Bite force'!$A:$A&amp;" ")-1))=
TRIM(LEFT(A126,SEARCH(" ",A126&amp;" ")-1))
)),
1
)
)</f>
        <v>1</v>
      </c>
    </row>
    <row r="127" spans="1:3" x14ac:dyDescent="0.25">
      <c r="A127" s="2" t="str">
        <f>'[1]Base stats'!$B127</f>
        <v>Gigascorpio bellator</v>
      </c>
      <c r="B127" s="23">
        <f>_xlfn.XLOOKUP(A127,'[1]Base stats'!$B:$B,'[1]Base stats'!$O:$O)</f>
        <v>0</v>
      </c>
      <c r="C127" s="20" cm="1">
        <f t="array" ref="C127">IF(
SUMPRODUCT(--(
TRIM(LEFT('Bite force'!$A:$A,SEARCH("§",SUBSTITUTE('Bite force'!$A:$A," ","§",2)&amp;"§")-1))=
TRIM(LEFT(A127,SEARCH("§",SUBSTITUTE(A127," ","§",2)&amp;"§")-1))
))&gt;0,
IF(
COUNT(_xlfn._xlws.FILTER('Bite force'!$I:$I,
TRIM(LEFT('Bite force'!$A:$A,SEARCH("§",SUBSTITUTE('Bite force'!$A:$A," ","§",2)&amp;"§")-1))=
TRIM(LEFT(A127,SEARCH("§",SUBSTITUTE(A127," ","§",2)&amp;"§")-1))
))=0,
1,
IF(
B127=2,
AVERAGE(_xlfn._xlws.FILTER('Bite force'!$I:$I,
TRIM(LEFT('Bite force'!$A:$A,SEARCH("§",SUBSTITUTE('Bite force'!$A:$A," ","§",2)&amp;"§")-1))=
TRIM(LEFT(A127,SEARCH("§",SUBSTITUTE(A127," ","§",2)&amp;"§")-1))
)),
MAX(_xlfn._xlws.FILTER('Bite force'!$I:$I,
TRIM(LEFT('Bite force'!$A:$A,SEARCH("§",SUBSTITUTE('Bite force'!$A:$A," ","§",2)&amp;"§")-1))=
TRIM(LEFT(A127,SEARCH("§",SUBSTITUTE(A127," ","§",2)&amp;"§")-1))
))
)
),
IFERROR(
AVERAGE(_xlfn._xlws.FILTER('Bite force'!$I:$I,
TRIM(LEFT('Bite force'!$A:$A,SEARCH(" ",'Bite force'!$A:$A&amp;" ")-1))=
TRIM(LEFT(A127,SEARCH(" ",A127&amp;" ")-1))
)),
1
)
)</f>
        <v>1</v>
      </c>
    </row>
    <row r="128" spans="1:3" x14ac:dyDescent="0.25">
      <c r="A128" s="2" t="str">
        <f>'[1]Base stats'!$B128</f>
        <v>Ailurus fulgens</v>
      </c>
      <c r="B128" s="23">
        <f>_xlfn.XLOOKUP(A128,'[1]Base stats'!$B:$B,'[1]Base stats'!$O:$O)</f>
        <v>0</v>
      </c>
      <c r="C128" s="20" cm="1">
        <f t="array" ref="C128">IF(
SUMPRODUCT(--(
TRIM(LEFT('Bite force'!$A:$A,SEARCH("§",SUBSTITUTE('Bite force'!$A:$A," ","§",2)&amp;"§")-1))=
TRIM(LEFT(A128,SEARCH("§",SUBSTITUTE(A128," ","§",2)&amp;"§")-1))
))&gt;0,
IF(
COUNT(_xlfn._xlws.FILTER('Bite force'!$I:$I,
TRIM(LEFT('Bite force'!$A:$A,SEARCH("§",SUBSTITUTE('Bite force'!$A:$A," ","§",2)&amp;"§")-1))=
TRIM(LEFT(A128,SEARCH("§",SUBSTITUTE(A128," ","§",2)&amp;"§")-1))
))=0,
1,
IF(
B128=2,
AVERAGE(_xlfn._xlws.FILTER('Bite force'!$I:$I,
TRIM(LEFT('Bite force'!$A:$A,SEARCH("§",SUBSTITUTE('Bite force'!$A:$A," ","§",2)&amp;"§")-1))=
TRIM(LEFT(A128,SEARCH("§",SUBSTITUTE(A128," ","§",2)&amp;"§")-1))
)),
MAX(_xlfn._xlws.FILTER('Bite force'!$I:$I,
TRIM(LEFT('Bite force'!$A:$A,SEARCH("§",SUBSTITUTE('Bite force'!$A:$A," ","§",2)&amp;"§")-1))=
TRIM(LEFT(A128,SEARCH("§",SUBSTITUTE(A128," ","§",2)&amp;"§")-1))
))
)
),
IFERROR(
AVERAGE(_xlfn._xlws.FILTER('Bite force'!$I:$I,
TRIM(LEFT('Bite force'!$A:$A,SEARCH(" ",'Bite force'!$A:$A&amp;" ")-1))=
TRIM(LEFT(A128,SEARCH(" ",A128&amp;" ")-1))
)),
1
)
)</f>
        <v>1.5317973525050295</v>
      </c>
    </row>
    <row r="129" spans="1:3" x14ac:dyDescent="0.25">
      <c r="A129" s="2" t="str">
        <f>'[1]Base stats'!$B129</f>
        <v>Branta canadensis</v>
      </c>
      <c r="B129" s="23">
        <f>_xlfn.XLOOKUP(A129,'[1]Base stats'!$B:$B,'[1]Base stats'!$O:$O)</f>
        <v>0</v>
      </c>
      <c r="C129" s="20" cm="1">
        <f t="array" ref="C129">IF(
SUMPRODUCT(--(
TRIM(LEFT('Bite force'!$A:$A,SEARCH("§",SUBSTITUTE('Bite force'!$A:$A," ","§",2)&amp;"§")-1))=
TRIM(LEFT(A129,SEARCH("§",SUBSTITUTE(A129," ","§",2)&amp;"§")-1))
))&gt;0,
IF(
COUNT(_xlfn._xlws.FILTER('Bite force'!$I:$I,
TRIM(LEFT('Bite force'!$A:$A,SEARCH("§",SUBSTITUTE('Bite force'!$A:$A," ","§",2)&amp;"§")-1))=
TRIM(LEFT(A129,SEARCH("§",SUBSTITUTE(A129," ","§",2)&amp;"§")-1))
))=0,
1,
IF(
B129=2,
AVERAGE(_xlfn._xlws.FILTER('Bite force'!$I:$I,
TRIM(LEFT('Bite force'!$A:$A,SEARCH("§",SUBSTITUTE('Bite force'!$A:$A," ","§",2)&amp;"§")-1))=
TRIM(LEFT(A129,SEARCH("§",SUBSTITUTE(A129," ","§",2)&amp;"§")-1))
)),
MAX(_xlfn._xlws.FILTER('Bite force'!$I:$I,
TRIM(LEFT('Bite force'!$A:$A,SEARCH("§",SUBSTITUTE('Bite force'!$A:$A," ","§",2)&amp;"§")-1))=
TRIM(LEFT(A129,SEARCH("§",SUBSTITUTE(A129," ","§",2)&amp;"§")-1))
))
)
),
IFERROR(
AVERAGE(_xlfn._xlws.FILTER('Bite force'!$I:$I,
TRIM(LEFT('Bite force'!$A:$A,SEARCH(" ",'Bite force'!$A:$A&amp;" ")-1))=
TRIM(LEFT(A129,SEARCH(" ",A129&amp;" ")-1))
)),
1
)
)</f>
        <v>1</v>
      </c>
    </row>
    <row r="130" spans="1:3" x14ac:dyDescent="0.25">
      <c r="A130" s="2" t="str">
        <f>'[1]Base stats'!$B130</f>
        <v>Castor fiber</v>
      </c>
      <c r="B130" s="23">
        <f>_xlfn.XLOOKUP(A130,'[1]Base stats'!$B:$B,'[1]Base stats'!$O:$O)</f>
        <v>0</v>
      </c>
      <c r="C130" s="20" cm="1">
        <f t="array" ref="C130">IF(
SUMPRODUCT(--(
TRIM(LEFT('Bite force'!$A:$A,SEARCH("§",SUBSTITUTE('Bite force'!$A:$A," ","§",2)&amp;"§")-1))=
TRIM(LEFT(A130,SEARCH("§",SUBSTITUTE(A130," ","§",2)&amp;"§")-1))
))&gt;0,
IF(
COUNT(_xlfn._xlws.FILTER('Bite force'!$I:$I,
TRIM(LEFT('Bite force'!$A:$A,SEARCH("§",SUBSTITUTE('Bite force'!$A:$A," ","§",2)&amp;"§")-1))=
TRIM(LEFT(A130,SEARCH("§",SUBSTITUTE(A130," ","§",2)&amp;"§")-1))
))=0,
1,
IF(
B130=2,
AVERAGE(_xlfn._xlws.FILTER('Bite force'!$I:$I,
TRIM(LEFT('Bite force'!$A:$A,SEARCH("§",SUBSTITUTE('Bite force'!$A:$A," ","§",2)&amp;"§")-1))=
TRIM(LEFT(A130,SEARCH("§",SUBSTITUTE(A130," ","§",2)&amp;"§")-1))
)),
MAX(_xlfn._xlws.FILTER('Bite force'!$I:$I,
TRIM(LEFT('Bite force'!$A:$A,SEARCH("§",SUBSTITUTE('Bite force'!$A:$A," ","§",2)&amp;"§")-1))=
TRIM(LEFT(A130,SEARCH("§",SUBSTITUTE(A130," ","§",2)&amp;"§")-1))
))
)
),
IFERROR(
AVERAGE(_xlfn._xlws.FILTER('Bite force'!$I:$I,
TRIM(LEFT('Bite force'!$A:$A,SEARCH(" ",'Bite force'!$A:$A&amp;" ")-1))=
TRIM(LEFT(A130,SEARCH(" ",A130&amp;" ")-1))
)),
1
)
)</f>
        <v>1.5835439013324151</v>
      </c>
    </row>
    <row r="131" spans="1:3" x14ac:dyDescent="0.25">
      <c r="A131" s="2" t="str">
        <f>'[1]Base stats'!$B131</f>
        <v>Erinaceus europaeus</v>
      </c>
      <c r="B131" s="23">
        <f>_xlfn.XLOOKUP(A131,'[1]Base stats'!$B:$B,'[1]Base stats'!$O:$O)</f>
        <v>0</v>
      </c>
      <c r="C131" s="20" cm="1">
        <f t="array" ref="C131">IF(
SUMPRODUCT(--(
TRIM(LEFT('Bite force'!$A:$A,SEARCH("§",SUBSTITUTE('Bite force'!$A:$A," ","§",2)&amp;"§")-1))=
TRIM(LEFT(A131,SEARCH("§",SUBSTITUTE(A131," ","§",2)&amp;"§")-1))
))&gt;0,
IF(
COUNT(_xlfn._xlws.FILTER('Bite force'!$I:$I,
TRIM(LEFT('Bite force'!$A:$A,SEARCH("§",SUBSTITUTE('Bite force'!$A:$A," ","§",2)&amp;"§")-1))=
TRIM(LEFT(A131,SEARCH("§",SUBSTITUTE(A131," ","§",2)&amp;"§")-1))
))=0,
1,
IF(
B131=2,
AVERAGE(_xlfn._xlws.FILTER('Bite force'!$I:$I,
TRIM(LEFT('Bite force'!$A:$A,SEARCH("§",SUBSTITUTE('Bite force'!$A:$A," ","§",2)&amp;"§")-1))=
TRIM(LEFT(A131,SEARCH("§",SUBSTITUTE(A131," ","§",2)&amp;"§")-1))
)),
MAX(_xlfn._xlws.FILTER('Bite force'!$I:$I,
TRIM(LEFT('Bite force'!$A:$A,SEARCH("§",SUBSTITUTE('Bite force'!$A:$A," ","§",2)&amp;"§")-1))=
TRIM(LEFT(A131,SEARCH("§",SUBSTITUTE(A131," ","§",2)&amp;"§")-1))
))
)
),
IFERROR(
AVERAGE(_xlfn._xlws.FILTER('Bite force'!$I:$I,
TRIM(LEFT('Bite force'!$A:$A,SEARCH(" ",'Bite force'!$A:$A&amp;" ")-1))=
TRIM(LEFT(A131,SEARCH(" ",A131&amp;" ")-1))
)),
1
)
)</f>
        <v>1</v>
      </c>
    </row>
    <row r="132" spans="1:3" x14ac:dyDescent="0.25">
      <c r="A132" s="2" t="str">
        <f>'[1]Base stats'!$B132</f>
        <v>Panthera onca</v>
      </c>
      <c r="B132" s="23">
        <f>_xlfn.XLOOKUP(A132,'[1]Base stats'!$B:$B,'[1]Base stats'!$O:$O)</f>
        <v>0</v>
      </c>
      <c r="C132" s="20" cm="1">
        <f t="array" ref="C132">IF(
SUMPRODUCT(--(
TRIM(LEFT('Bite force'!$A:$A,SEARCH("§",SUBSTITUTE('Bite force'!$A:$A," ","§",2)&amp;"§")-1))=
TRIM(LEFT(A132,SEARCH("§",SUBSTITUTE(A132," ","§",2)&amp;"§")-1))
))&gt;0,
IF(
COUNT(_xlfn._xlws.FILTER('Bite force'!$I:$I,
TRIM(LEFT('Bite force'!$A:$A,SEARCH("§",SUBSTITUTE('Bite force'!$A:$A," ","§",2)&amp;"§")-1))=
TRIM(LEFT(A132,SEARCH("§",SUBSTITUTE(A132," ","§",2)&amp;"§")-1))
))=0,
1,
IF(
B132=2,
AVERAGE(_xlfn._xlws.FILTER('Bite force'!$I:$I,
TRIM(LEFT('Bite force'!$A:$A,SEARCH("§",SUBSTITUTE('Bite force'!$A:$A," ","§",2)&amp;"§")-1))=
TRIM(LEFT(A132,SEARCH("§",SUBSTITUTE(A132," ","§",2)&amp;"§")-1))
)),
MAX(_xlfn._xlws.FILTER('Bite force'!$I:$I,
TRIM(LEFT('Bite force'!$A:$A,SEARCH("§",SUBSTITUTE('Bite force'!$A:$A," ","§",2)&amp;"§")-1))=
TRIM(LEFT(A132,SEARCH("§",SUBSTITUTE(A132," ","§",2)&amp;"§")-1))
))
)
),
IFERROR(
AVERAGE(_xlfn._xlws.FILTER('Bite force'!$I:$I,
TRIM(LEFT('Bite force'!$A:$A,SEARCH(" ",'Bite force'!$A:$A&amp;" ")-1))=
TRIM(LEFT(A132,SEARCH(" ",A132&amp;" ")-1))
)),
1
)
)</f>
        <v>1.3899735077771274</v>
      </c>
    </row>
    <row r="133" spans="1:3" x14ac:dyDescent="0.25">
      <c r="A133" s="2" t="str">
        <f>'[1]Base stats'!$B133</f>
        <v>Lemur catta</v>
      </c>
      <c r="B133" s="23">
        <f>_xlfn.XLOOKUP(A133,'[1]Base stats'!$B:$B,'[1]Base stats'!$O:$O)</f>
        <v>0</v>
      </c>
      <c r="C133" s="20" cm="1">
        <f t="array" ref="C133">IF(
SUMPRODUCT(--(
TRIM(LEFT('Bite force'!$A:$A,SEARCH("§",SUBSTITUTE('Bite force'!$A:$A," ","§",2)&amp;"§")-1))=
TRIM(LEFT(A133,SEARCH("§",SUBSTITUTE(A133," ","§",2)&amp;"§")-1))
))&gt;0,
IF(
COUNT(_xlfn._xlws.FILTER('Bite force'!$I:$I,
TRIM(LEFT('Bite force'!$A:$A,SEARCH("§",SUBSTITUTE('Bite force'!$A:$A," ","§",2)&amp;"§")-1))=
TRIM(LEFT(A133,SEARCH("§",SUBSTITUTE(A133," ","§",2)&amp;"§")-1))
))=0,
1,
IF(
B133=2,
AVERAGE(_xlfn._xlws.FILTER('Bite force'!$I:$I,
TRIM(LEFT('Bite force'!$A:$A,SEARCH("§",SUBSTITUTE('Bite force'!$A:$A," ","§",2)&amp;"§")-1))=
TRIM(LEFT(A133,SEARCH("§",SUBSTITUTE(A133," ","§",2)&amp;"§")-1))
)),
MAX(_xlfn._xlws.FILTER('Bite force'!$I:$I,
TRIM(LEFT('Bite force'!$A:$A,SEARCH("§",SUBSTITUTE('Bite force'!$A:$A," ","§",2)&amp;"§")-1))=
TRIM(LEFT(A133,SEARCH("§",SUBSTITUTE(A133," ","§",2)&amp;"§")-1))
))
)
),
IFERROR(
AVERAGE(_xlfn._xlws.FILTER('Bite force'!$I:$I,
TRIM(LEFT('Bite force'!$A:$A,SEARCH(" ",'Bite force'!$A:$A&amp;" ")-1))=
TRIM(LEFT(A133,SEARCH(" ",A133&amp;" ")-1))
)),
1
)
)</f>
        <v>0.9222456923748853</v>
      </c>
    </row>
    <row r="134" spans="1:3" x14ac:dyDescent="0.25">
      <c r="A134" s="2" t="str">
        <f>'[1]Base stats'!$B134</f>
        <v>Mandrillus sphinx</v>
      </c>
      <c r="B134" s="23">
        <f>_xlfn.XLOOKUP(A134,'[1]Base stats'!$B:$B,'[1]Base stats'!$O:$O)</f>
        <v>0</v>
      </c>
      <c r="C134" s="20" cm="1">
        <f t="array" ref="C134">IF(
SUMPRODUCT(--(
TRIM(LEFT('Bite force'!$A:$A,SEARCH("§",SUBSTITUTE('Bite force'!$A:$A," ","§",2)&amp;"§")-1))=
TRIM(LEFT(A134,SEARCH("§",SUBSTITUTE(A134," ","§",2)&amp;"§")-1))
))&gt;0,
IF(
COUNT(_xlfn._xlws.FILTER('Bite force'!$I:$I,
TRIM(LEFT('Bite force'!$A:$A,SEARCH("§",SUBSTITUTE('Bite force'!$A:$A," ","§",2)&amp;"§")-1))=
TRIM(LEFT(A134,SEARCH("§",SUBSTITUTE(A134," ","§",2)&amp;"§")-1))
))=0,
1,
IF(
B134=2,
AVERAGE(_xlfn._xlws.FILTER('Bite force'!$I:$I,
TRIM(LEFT('Bite force'!$A:$A,SEARCH("§",SUBSTITUTE('Bite force'!$A:$A," ","§",2)&amp;"§")-1))=
TRIM(LEFT(A134,SEARCH("§",SUBSTITUTE(A134," ","§",2)&amp;"§")-1))
)),
MAX(_xlfn._xlws.FILTER('Bite force'!$I:$I,
TRIM(LEFT('Bite force'!$A:$A,SEARCH("§",SUBSTITUTE('Bite force'!$A:$A," ","§",2)&amp;"§")-1))=
TRIM(LEFT(A134,SEARCH("§",SUBSTITUTE(A134," ","§",2)&amp;"§")-1))
))
)
),
IFERROR(
AVERAGE(_xlfn._xlws.FILTER('Bite force'!$I:$I,
TRIM(LEFT('Bite force'!$A:$A,SEARCH(" ",'Bite force'!$A:$A&amp;" ")-1))=
TRIM(LEFT(A134,SEARCH(" ",A134&amp;" ")-1))
)),
1
)
)</f>
        <v>1</v>
      </c>
    </row>
    <row r="135" spans="1:3" x14ac:dyDescent="0.25">
      <c r="A135" s="2" t="str">
        <f>'[1]Base stats'!$B135</f>
        <v>Tapirus bairdii</v>
      </c>
      <c r="B135" s="23">
        <f>_xlfn.XLOOKUP(A135,'[1]Base stats'!$B:$B,'[1]Base stats'!$O:$O)</f>
        <v>0</v>
      </c>
      <c r="C135" s="20" cm="1">
        <f t="array" ref="C135">IF(
SUMPRODUCT(--(
TRIM(LEFT('Bite force'!$A:$A,SEARCH("§",SUBSTITUTE('Bite force'!$A:$A," ","§",2)&amp;"§")-1))=
TRIM(LEFT(A135,SEARCH("§",SUBSTITUTE(A135," ","§",2)&amp;"§")-1))
))&gt;0,
IF(
COUNT(_xlfn._xlws.FILTER('Bite force'!$I:$I,
TRIM(LEFT('Bite force'!$A:$A,SEARCH("§",SUBSTITUTE('Bite force'!$A:$A," ","§",2)&amp;"§")-1))=
TRIM(LEFT(A135,SEARCH("§",SUBSTITUTE(A135," ","§",2)&amp;"§")-1))
))=0,
1,
IF(
B135=2,
AVERAGE(_xlfn._xlws.FILTER('Bite force'!$I:$I,
TRIM(LEFT('Bite force'!$A:$A,SEARCH("§",SUBSTITUTE('Bite force'!$A:$A," ","§",2)&amp;"§")-1))=
TRIM(LEFT(A135,SEARCH("§",SUBSTITUTE(A135," ","§",2)&amp;"§")-1))
)),
MAX(_xlfn._xlws.FILTER('Bite force'!$I:$I,
TRIM(LEFT('Bite force'!$A:$A,SEARCH("§",SUBSTITUTE('Bite force'!$A:$A," ","§",2)&amp;"§")-1))=
TRIM(LEFT(A135,SEARCH("§",SUBSTITUTE(A135," ","§",2)&amp;"§")-1))
))
)
),
IFERROR(
AVERAGE(_xlfn._xlws.FILTER('Bite force'!$I:$I,
TRIM(LEFT('Bite force'!$A:$A,SEARCH(" ",'Bite force'!$A:$A&amp;" ")-1))=
TRIM(LEFT(A135,SEARCH(" ",A135&amp;" ")-1))
)),
1
)
)</f>
        <v>1</v>
      </c>
    </row>
    <row r="136" spans="1:3" x14ac:dyDescent="0.25">
      <c r="A136" s="2" t="str">
        <f>'[1]Base stats'!$B136</f>
        <v>Eunectes murinus</v>
      </c>
      <c r="B136" s="23">
        <f>_xlfn.XLOOKUP(A136,'[1]Base stats'!$B:$B,'[1]Base stats'!$O:$O)</f>
        <v>0</v>
      </c>
      <c r="C136" s="20" cm="1">
        <f t="array" ref="C136">IF(
SUMPRODUCT(--(
TRIM(LEFT('Bite force'!$A:$A,SEARCH("§",SUBSTITUTE('Bite force'!$A:$A," ","§",2)&amp;"§")-1))=
TRIM(LEFT(A136,SEARCH("§",SUBSTITUTE(A136," ","§",2)&amp;"§")-1))
))&gt;0,
IF(
COUNT(_xlfn._xlws.FILTER('Bite force'!$I:$I,
TRIM(LEFT('Bite force'!$A:$A,SEARCH("§",SUBSTITUTE('Bite force'!$A:$A," ","§",2)&amp;"§")-1))=
TRIM(LEFT(A136,SEARCH("§",SUBSTITUTE(A136," ","§",2)&amp;"§")-1))
))=0,
1,
IF(
B136=2,
AVERAGE(_xlfn._xlws.FILTER('Bite force'!$I:$I,
TRIM(LEFT('Bite force'!$A:$A,SEARCH("§",SUBSTITUTE('Bite force'!$A:$A," ","§",2)&amp;"§")-1))=
TRIM(LEFT(A136,SEARCH("§",SUBSTITUTE(A136," ","§",2)&amp;"§")-1))
)),
MAX(_xlfn._xlws.FILTER('Bite force'!$I:$I,
TRIM(LEFT('Bite force'!$A:$A,SEARCH("§",SUBSTITUTE('Bite force'!$A:$A," ","§",2)&amp;"§")-1))=
TRIM(LEFT(A136,SEARCH("§",SUBSTITUTE(A136," ","§",2)&amp;"§")-1))
))
)
),
IFERROR(
AVERAGE(_xlfn._xlws.FILTER('Bite force'!$I:$I,
TRIM(LEFT('Bite force'!$A:$A,SEARCH(" ",'Bite force'!$A:$A&amp;" ")-1))=
TRIM(LEFT(A136,SEARCH(" ",A136&amp;" ")-1))
)),
1
)
)</f>
        <v>1</v>
      </c>
    </row>
    <row r="137" spans="1:3" x14ac:dyDescent="0.25">
      <c r="A137" s="2" t="str">
        <f>'[1]Base stats'!$B137</f>
        <v>Elephas maximus</v>
      </c>
      <c r="B137" s="23">
        <f>_xlfn.XLOOKUP(A137,'[1]Base stats'!$B:$B,'[1]Base stats'!$O:$O)</f>
        <v>0</v>
      </c>
      <c r="C137" s="20" cm="1">
        <f t="array" ref="C137">IF(
SUMPRODUCT(--(
TRIM(LEFT('Bite force'!$A:$A,SEARCH("§",SUBSTITUTE('Bite force'!$A:$A," ","§",2)&amp;"§")-1))=
TRIM(LEFT(A137,SEARCH("§",SUBSTITUTE(A137," ","§",2)&amp;"§")-1))
))&gt;0,
IF(
COUNT(_xlfn._xlws.FILTER('Bite force'!$I:$I,
TRIM(LEFT('Bite force'!$A:$A,SEARCH("§",SUBSTITUTE('Bite force'!$A:$A," ","§",2)&amp;"§")-1))=
TRIM(LEFT(A137,SEARCH("§",SUBSTITUTE(A137," ","§",2)&amp;"§")-1))
))=0,
1,
IF(
B137=2,
AVERAGE(_xlfn._xlws.FILTER('Bite force'!$I:$I,
TRIM(LEFT('Bite force'!$A:$A,SEARCH("§",SUBSTITUTE('Bite force'!$A:$A," ","§",2)&amp;"§")-1))=
TRIM(LEFT(A137,SEARCH("§",SUBSTITUTE(A137," ","§",2)&amp;"§")-1))
)),
MAX(_xlfn._xlws.FILTER('Bite force'!$I:$I,
TRIM(LEFT('Bite force'!$A:$A,SEARCH("§",SUBSTITUTE('Bite force'!$A:$A," ","§",2)&amp;"§")-1))=
TRIM(LEFT(A137,SEARCH("§",SUBSTITUTE(A137," ","§",2)&amp;"§")-1))
))
)
),
IFERROR(
AVERAGE(_xlfn._xlws.FILTER('Bite force'!$I:$I,
TRIM(LEFT('Bite force'!$A:$A,SEARCH(" ",'Bite force'!$A:$A&amp;" ")-1))=
TRIM(LEFT(A137,SEARCH(" ",A137&amp;" ")-1))
)),
1
)
)</f>
        <v>1</v>
      </c>
    </row>
    <row r="138" spans="1:3" x14ac:dyDescent="0.25">
      <c r="A138" s="2" t="str">
        <f>'[1]Base stats'!$B138</f>
        <v>Gulo ferox</v>
      </c>
      <c r="B138" s="23">
        <f>_xlfn.XLOOKUP(A138,'[1]Base stats'!$B:$B,'[1]Base stats'!$O:$O)</f>
        <v>1</v>
      </c>
      <c r="C138" s="20" cm="1">
        <f t="array" ref="C138">IF(
SUMPRODUCT(--(
TRIM(LEFT('Bite force'!$A:$A,SEARCH("§",SUBSTITUTE('Bite force'!$A:$A," ","§",2)&amp;"§")-1))=
TRIM(LEFT(A138,SEARCH("§",SUBSTITUTE(A138," ","§",2)&amp;"§")-1))
))&gt;0,
IF(
COUNT(_xlfn._xlws.FILTER('Bite force'!$I:$I,
TRIM(LEFT('Bite force'!$A:$A,SEARCH("§",SUBSTITUTE('Bite force'!$A:$A," ","§",2)&amp;"§")-1))=
TRIM(LEFT(A138,SEARCH("§",SUBSTITUTE(A138," ","§",2)&amp;"§")-1))
))=0,
1,
IF(
B138=2,
AVERAGE(_xlfn._xlws.FILTER('Bite force'!$I:$I,
TRIM(LEFT('Bite force'!$A:$A,SEARCH("§",SUBSTITUTE('Bite force'!$A:$A," ","§",2)&amp;"§")-1))=
TRIM(LEFT(A138,SEARCH("§",SUBSTITUTE(A138," ","§",2)&amp;"§")-1))
)),
MAX(_xlfn._xlws.FILTER('Bite force'!$I:$I,
TRIM(LEFT('Bite force'!$A:$A,SEARCH("§",SUBSTITUTE('Bite force'!$A:$A," ","§",2)&amp;"§")-1))=
TRIM(LEFT(A138,SEARCH("§",SUBSTITUTE(A138," ","§",2)&amp;"§")-1))
))
)
),
IFERROR(
AVERAGE(_xlfn._xlws.FILTER('Bite force'!$I:$I,
TRIM(LEFT('Bite force'!$A:$A,SEARCH(" ",'Bite force'!$A:$A&amp;" ")-1))=
TRIM(LEFT(A138,SEARCH(" ",A138&amp;" ")-1))
)),
1
)
)</f>
        <v>2.3814441822452346</v>
      </c>
    </row>
    <row r="139" spans="1:3" x14ac:dyDescent="0.25">
      <c r="A139" s="2" t="str">
        <f>'[1]Base stats'!$B139</f>
        <v>Canis familiaris (Beagle)</v>
      </c>
      <c r="B139" s="23">
        <f>_xlfn.XLOOKUP(A139,'[1]Base stats'!$B:$B,'[1]Base stats'!$O:$O)</f>
        <v>2</v>
      </c>
      <c r="C139" s="20" cm="1">
        <f t="array" ref="C139">IF(
SUMPRODUCT(--(
TRIM(LEFT('Bite force'!$A:$A,SEARCH("§",SUBSTITUTE('Bite force'!$A:$A," ","§",2)&amp;"§")-1))=
TRIM(LEFT(A139,SEARCH("§",SUBSTITUTE(A139," ","§",2)&amp;"§")-1))
))&gt;0,
IF(
COUNT(_xlfn._xlws.FILTER('Bite force'!$I:$I,
TRIM(LEFT('Bite force'!$A:$A,SEARCH("§",SUBSTITUTE('Bite force'!$A:$A," ","§",2)&amp;"§")-1))=
TRIM(LEFT(A139,SEARCH("§",SUBSTITUTE(A139," ","§",2)&amp;"§")-1))
))=0,
1,
IF(
B139=2,
AVERAGE(_xlfn._xlws.FILTER('Bite force'!$I:$I,
TRIM(LEFT('Bite force'!$A:$A,SEARCH("§",SUBSTITUTE('Bite force'!$A:$A," ","§",2)&amp;"§")-1))=
TRIM(LEFT(A139,SEARCH("§",SUBSTITUTE(A139," ","§",2)&amp;"§")-1))
)),
MAX(_xlfn._xlws.FILTER('Bite force'!$I:$I,
TRIM(LEFT('Bite force'!$A:$A,SEARCH("§",SUBSTITUTE('Bite force'!$A:$A," ","§",2)&amp;"§")-1))=
TRIM(LEFT(A139,SEARCH("§",SUBSTITUTE(A139," ","§",2)&amp;"§")-1))
))
)
),
IFERROR(
AVERAGE(_xlfn._xlws.FILTER('Bite force'!$I:$I,
TRIM(LEFT('Bite force'!$A:$A,SEARCH(" ",'Bite force'!$A:$A&amp;" ")-1))=
TRIM(LEFT(A139,SEARCH(" ",A139&amp;" ")-1))
)),
1
)
)</f>
        <v>1.0429911737241087</v>
      </c>
    </row>
    <row r="140" spans="1:3" x14ac:dyDescent="0.25">
      <c r="A140" s="2" t="str">
        <f>'[1]Base stats'!$B140</f>
        <v>Canis familiaris (Chihuahua)</v>
      </c>
      <c r="B140" s="23">
        <f>_xlfn.XLOOKUP(A140,'[1]Base stats'!$B:$B,'[1]Base stats'!$O:$O)</f>
        <v>2</v>
      </c>
      <c r="C140" s="20" cm="1">
        <f t="array" ref="C140">IF(
SUMPRODUCT(--(
TRIM(LEFT('Bite force'!$A:$A,SEARCH("§",SUBSTITUTE('Bite force'!$A:$A," ","§",2)&amp;"§")-1))=
TRIM(LEFT(A140,SEARCH("§",SUBSTITUTE(A140," ","§",2)&amp;"§")-1))
))&gt;0,
IF(
COUNT(_xlfn._xlws.FILTER('Bite force'!$I:$I,
TRIM(LEFT('Bite force'!$A:$A,SEARCH("§",SUBSTITUTE('Bite force'!$A:$A," ","§",2)&amp;"§")-1))=
TRIM(LEFT(A140,SEARCH("§",SUBSTITUTE(A140," ","§",2)&amp;"§")-1))
))=0,
1,
IF(
B140=2,
AVERAGE(_xlfn._xlws.FILTER('Bite force'!$I:$I,
TRIM(LEFT('Bite force'!$A:$A,SEARCH("§",SUBSTITUTE('Bite force'!$A:$A," ","§",2)&amp;"§")-1))=
TRIM(LEFT(A140,SEARCH("§",SUBSTITUTE(A140," ","§",2)&amp;"§")-1))
)),
MAX(_xlfn._xlws.FILTER('Bite force'!$I:$I,
TRIM(LEFT('Bite force'!$A:$A,SEARCH("§",SUBSTITUTE('Bite force'!$A:$A," ","§",2)&amp;"§")-1))=
TRIM(LEFT(A140,SEARCH("§",SUBSTITUTE(A140," ","§",2)&amp;"§")-1))
))
)
),
IFERROR(
AVERAGE(_xlfn._xlws.FILTER('Bite force'!$I:$I,
TRIM(LEFT('Bite force'!$A:$A,SEARCH(" ",'Bite force'!$A:$A&amp;" ")-1))=
TRIM(LEFT(A140,SEARCH(" ",A140&amp;" ")-1))
)),
1
)
)</f>
        <v>1.0429911737241087</v>
      </c>
    </row>
    <row r="141" spans="1:3" x14ac:dyDescent="0.25">
      <c r="A141" s="2" t="str">
        <f>'[1]Base stats'!$B141</f>
        <v>Canis familiaris (Corgi)</v>
      </c>
      <c r="B141" s="23">
        <f>_xlfn.XLOOKUP(A141,'[1]Base stats'!$B:$B,'[1]Base stats'!$O:$O)</f>
        <v>2</v>
      </c>
      <c r="C141" s="20" cm="1">
        <f t="array" ref="C141">IF(
SUMPRODUCT(--(
TRIM(LEFT('Bite force'!$A:$A,SEARCH("§",SUBSTITUTE('Bite force'!$A:$A," ","§",2)&amp;"§")-1))=
TRIM(LEFT(A141,SEARCH("§",SUBSTITUTE(A141," ","§",2)&amp;"§")-1))
))&gt;0,
IF(
COUNT(_xlfn._xlws.FILTER('Bite force'!$I:$I,
TRIM(LEFT('Bite force'!$A:$A,SEARCH("§",SUBSTITUTE('Bite force'!$A:$A," ","§",2)&amp;"§")-1))=
TRIM(LEFT(A141,SEARCH("§",SUBSTITUTE(A141," ","§",2)&amp;"§")-1))
))=0,
1,
IF(
B141=2,
AVERAGE(_xlfn._xlws.FILTER('Bite force'!$I:$I,
TRIM(LEFT('Bite force'!$A:$A,SEARCH("§",SUBSTITUTE('Bite force'!$A:$A," ","§",2)&amp;"§")-1))=
TRIM(LEFT(A141,SEARCH("§",SUBSTITUTE(A141," ","§",2)&amp;"§")-1))
)),
MAX(_xlfn._xlws.FILTER('Bite force'!$I:$I,
TRIM(LEFT('Bite force'!$A:$A,SEARCH("§",SUBSTITUTE('Bite force'!$A:$A," ","§",2)&amp;"§")-1))=
TRIM(LEFT(A141,SEARCH("§",SUBSTITUTE(A141," ","§",2)&amp;"§")-1))
))
)
),
IFERROR(
AVERAGE(_xlfn._xlws.FILTER('Bite force'!$I:$I,
TRIM(LEFT('Bite force'!$A:$A,SEARCH(" ",'Bite force'!$A:$A&amp;" ")-1))=
TRIM(LEFT(A141,SEARCH(" ",A141&amp;" ")-1))
)),
1
)
)</f>
        <v>1.0429911737241087</v>
      </c>
    </row>
    <row r="142" spans="1:3" x14ac:dyDescent="0.25">
      <c r="A142" s="2" t="str">
        <f>'[1]Base stats'!$B142</f>
        <v>Canis familiaris (French bulldog)</v>
      </c>
      <c r="B142" s="23">
        <f>_xlfn.XLOOKUP(A142,'[1]Base stats'!$B:$B,'[1]Base stats'!$O:$O)</f>
        <v>2</v>
      </c>
      <c r="C142" s="20" cm="1">
        <f t="array" ref="C142">IF(
SUMPRODUCT(--(
TRIM(LEFT('Bite force'!$A:$A,SEARCH("§",SUBSTITUTE('Bite force'!$A:$A," ","§",2)&amp;"§")-1))=
TRIM(LEFT(A142,SEARCH("§",SUBSTITUTE(A142," ","§",2)&amp;"§")-1))
))&gt;0,
IF(
COUNT(_xlfn._xlws.FILTER('Bite force'!$I:$I,
TRIM(LEFT('Bite force'!$A:$A,SEARCH("§",SUBSTITUTE('Bite force'!$A:$A," ","§",2)&amp;"§")-1))=
TRIM(LEFT(A142,SEARCH("§",SUBSTITUTE(A142," ","§",2)&amp;"§")-1))
))=0,
1,
IF(
B142=2,
AVERAGE(_xlfn._xlws.FILTER('Bite force'!$I:$I,
TRIM(LEFT('Bite force'!$A:$A,SEARCH("§",SUBSTITUTE('Bite force'!$A:$A," ","§",2)&amp;"§")-1))=
TRIM(LEFT(A142,SEARCH("§",SUBSTITUTE(A142," ","§",2)&amp;"§")-1))
)),
MAX(_xlfn._xlws.FILTER('Bite force'!$I:$I,
TRIM(LEFT('Bite force'!$A:$A,SEARCH("§",SUBSTITUTE('Bite force'!$A:$A," ","§",2)&amp;"§")-1))=
TRIM(LEFT(A142,SEARCH("§",SUBSTITUTE(A142," ","§",2)&amp;"§")-1))
))
)
),
IFERROR(
AVERAGE(_xlfn._xlws.FILTER('Bite force'!$I:$I,
TRIM(LEFT('Bite force'!$A:$A,SEARCH(" ",'Bite force'!$A:$A&amp;" ")-1))=
TRIM(LEFT(A142,SEARCH(" ",A142&amp;" ")-1))
)),
1
)
)</f>
        <v>1.0429911737241087</v>
      </c>
    </row>
    <row r="143" spans="1:3" x14ac:dyDescent="0.25">
      <c r="A143" s="2" t="str">
        <f>'[1]Base stats'!$B143</f>
        <v>Canis familiaris (German shepherd)</v>
      </c>
      <c r="B143" s="23">
        <f>_xlfn.XLOOKUP(A143,'[1]Base stats'!$B:$B,'[1]Base stats'!$O:$O)</f>
        <v>2</v>
      </c>
      <c r="C143" s="20" cm="1">
        <f t="array" ref="C143">IF(
SUMPRODUCT(--(
TRIM(LEFT('Bite force'!$A:$A,SEARCH("§",SUBSTITUTE('Bite force'!$A:$A," ","§",2)&amp;"§")-1))=
TRIM(LEFT(A143,SEARCH("§",SUBSTITUTE(A143," ","§",2)&amp;"§")-1))
))&gt;0,
IF(
COUNT(_xlfn._xlws.FILTER('Bite force'!$I:$I,
TRIM(LEFT('Bite force'!$A:$A,SEARCH("§",SUBSTITUTE('Bite force'!$A:$A," ","§",2)&amp;"§")-1))=
TRIM(LEFT(A143,SEARCH("§",SUBSTITUTE(A143," ","§",2)&amp;"§")-1))
))=0,
1,
IF(
B143=2,
AVERAGE(_xlfn._xlws.FILTER('Bite force'!$I:$I,
TRIM(LEFT('Bite force'!$A:$A,SEARCH("§",SUBSTITUTE('Bite force'!$A:$A," ","§",2)&amp;"§")-1))=
TRIM(LEFT(A143,SEARCH("§",SUBSTITUTE(A143," ","§",2)&amp;"§")-1))
)),
MAX(_xlfn._xlws.FILTER('Bite force'!$I:$I,
TRIM(LEFT('Bite force'!$A:$A,SEARCH("§",SUBSTITUTE('Bite force'!$A:$A," ","§",2)&amp;"§")-1))=
TRIM(LEFT(A143,SEARCH("§",SUBSTITUTE(A143," ","§",2)&amp;"§")-1))
))
)
),
IFERROR(
AVERAGE(_xlfn._xlws.FILTER('Bite force'!$I:$I,
TRIM(LEFT('Bite force'!$A:$A,SEARCH(" ",'Bite force'!$A:$A&amp;" ")-1))=
TRIM(LEFT(A143,SEARCH(" ",A143&amp;" ")-1))
)),
1
)
)</f>
        <v>1.0429911737241087</v>
      </c>
    </row>
    <row r="144" spans="1:3" x14ac:dyDescent="0.25">
      <c r="A144" s="2" t="str">
        <f>'[1]Base stats'!$B144</f>
        <v>Canis familiaris (Great dane)</v>
      </c>
      <c r="B144" s="23">
        <f>_xlfn.XLOOKUP(A144,'[1]Base stats'!$B:$B,'[1]Base stats'!$O:$O)</f>
        <v>2</v>
      </c>
      <c r="C144" s="20" cm="1">
        <f t="array" ref="C144">IF(
SUMPRODUCT(--(
TRIM(LEFT('Bite force'!$A:$A,SEARCH("§",SUBSTITUTE('Bite force'!$A:$A," ","§",2)&amp;"§")-1))=
TRIM(LEFT(A144,SEARCH("§",SUBSTITUTE(A144," ","§",2)&amp;"§")-1))
))&gt;0,
IF(
COUNT(_xlfn._xlws.FILTER('Bite force'!$I:$I,
TRIM(LEFT('Bite force'!$A:$A,SEARCH("§",SUBSTITUTE('Bite force'!$A:$A," ","§",2)&amp;"§")-1))=
TRIM(LEFT(A144,SEARCH("§",SUBSTITUTE(A144," ","§",2)&amp;"§")-1))
))=0,
1,
IF(
B144=2,
AVERAGE(_xlfn._xlws.FILTER('Bite force'!$I:$I,
TRIM(LEFT('Bite force'!$A:$A,SEARCH("§",SUBSTITUTE('Bite force'!$A:$A," ","§",2)&amp;"§")-1))=
TRIM(LEFT(A144,SEARCH("§",SUBSTITUTE(A144," ","§",2)&amp;"§")-1))
)),
MAX(_xlfn._xlws.FILTER('Bite force'!$I:$I,
TRIM(LEFT('Bite force'!$A:$A,SEARCH("§",SUBSTITUTE('Bite force'!$A:$A," ","§",2)&amp;"§")-1))=
TRIM(LEFT(A144,SEARCH("§",SUBSTITUTE(A144," ","§",2)&amp;"§")-1))
))
)
),
IFERROR(
AVERAGE(_xlfn._xlws.FILTER('Bite force'!$I:$I,
TRIM(LEFT('Bite force'!$A:$A,SEARCH(" ",'Bite force'!$A:$A&amp;" ")-1))=
TRIM(LEFT(A144,SEARCH(" ",A144&amp;" ")-1))
)),
1
)
)</f>
        <v>1.0429911737241087</v>
      </c>
    </row>
    <row r="145" spans="1:3" x14ac:dyDescent="0.25">
      <c r="A145" s="2" t="str">
        <f>'[1]Base stats'!$B145</f>
        <v>Canis familiaris (Poodle)</v>
      </c>
      <c r="B145" s="23">
        <f>_xlfn.XLOOKUP(A145,'[1]Base stats'!$B:$B,'[1]Base stats'!$O:$O)</f>
        <v>2</v>
      </c>
      <c r="C145" s="20" cm="1">
        <f t="array" ref="C145">IF(
SUMPRODUCT(--(
TRIM(LEFT('Bite force'!$A:$A,SEARCH("§",SUBSTITUTE('Bite force'!$A:$A," ","§",2)&amp;"§")-1))=
TRIM(LEFT(A145,SEARCH("§",SUBSTITUTE(A145," ","§",2)&amp;"§")-1))
))&gt;0,
IF(
COUNT(_xlfn._xlws.FILTER('Bite force'!$I:$I,
TRIM(LEFT('Bite force'!$A:$A,SEARCH("§",SUBSTITUTE('Bite force'!$A:$A," ","§",2)&amp;"§")-1))=
TRIM(LEFT(A145,SEARCH("§",SUBSTITUTE(A145," ","§",2)&amp;"§")-1))
))=0,
1,
IF(
B145=2,
AVERAGE(_xlfn._xlws.FILTER('Bite force'!$I:$I,
TRIM(LEFT('Bite force'!$A:$A,SEARCH("§",SUBSTITUTE('Bite force'!$A:$A," ","§",2)&amp;"§")-1))=
TRIM(LEFT(A145,SEARCH("§",SUBSTITUTE(A145," ","§",2)&amp;"§")-1))
)),
MAX(_xlfn._xlws.FILTER('Bite force'!$I:$I,
TRIM(LEFT('Bite force'!$A:$A,SEARCH("§",SUBSTITUTE('Bite force'!$A:$A," ","§",2)&amp;"§")-1))=
TRIM(LEFT(A145,SEARCH("§",SUBSTITUTE(A145," ","§",2)&amp;"§")-1))
))
)
),
IFERROR(
AVERAGE(_xlfn._xlws.FILTER('Bite force'!$I:$I,
TRIM(LEFT('Bite force'!$A:$A,SEARCH(" ",'Bite force'!$A:$A&amp;" ")-1))=
TRIM(LEFT(A145,SEARCH(" ",A145&amp;" ")-1))
)),
1
)
)</f>
        <v>1.0429911737241087</v>
      </c>
    </row>
    <row r="146" spans="1:3" x14ac:dyDescent="0.25">
      <c r="A146" s="2" t="str">
        <f>'[1]Base stats'!$B146</f>
        <v>Canis familiaris (Pug)</v>
      </c>
      <c r="B146" s="23">
        <f>_xlfn.XLOOKUP(A146,'[1]Base stats'!$B:$B,'[1]Base stats'!$O:$O)</f>
        <v>2</v>
      </c>
      <c r="C146" s="20" cm="1">
        <f t="array" ref="C146">IF(
SUMPRODUCT(--(
TRIM(LEFT('Bite force'!$A:$A,SEARCH("§",SUBSTITUTE('Bite force'!$A:$A," ","§",2)&amp;"§")-1))=
TRIM(LEFT(A146,SEARCH("§",SUBSTITUTE(A146," ","§",2)&amp;"§")-1))
))&gt;0,
IF(
COUNT(_xlfn._xlws.FILTER('Bite force'!$I:$I,
TRIM(LEFT('Bite force'!$A:$A,SEARCH("§",SUBSTITUTE('Bite force'!$A:$A," ","§",2)&amp;"§")-1))=
TRIM(LEFT(A146,SEARCH("§",SUBSTITUTE(A146," ","§",2)&amp;"§")-1))
))=0,
1,
IF(
B146=2,
AVERAGE(_xlfn._xlws.FILTER('Bite force'!$I:$I,
TRIM(LEFT('Bite force'!$A:$A,SEARCH("§",SUBSTITUTE('Bite force'!$A:$A," ","§",2)&amp;"§")-1))=
TRIM(LEFT(A146,SEARCH("§",SUBSTITUTE(A146," ","§",2)&amp;"§")-1))
)),
MAX(_xlfn._xlws.FILTER('Bite force'!$I:$I,
TRIM(LEFT('Bite force'!$A:$A,SEARCH("§",SUBSTITUTE('Bite force'!$A:$A," ","§",2)&amp;"§")-1))=
TRIM(LEFT(A146,SEARCH("§",SUBSTITUTE(A146," ","§",2)&amp;"§")-1))
))
)
),
IFERROR(
AVERAGE(_xlfn._xlws.FILTER('Bite force'!$I:$I,
TRIM(LEFT('Bite force'!$A:$A,SEARCH(" ",'Bite force'!$A:$A&amp;" ")-1))=
TRIM(LEFT(A146,SEARCH(" ",A146&amp;" ")-1))
)),
1
)
)</f>
        <v>1.0429911737241087</v>
      </c>
    </row>
    <row r="147" spans="1:3" x14ac:dyDescent="0.25">
      <c r="A147" s="2" t="str">
        <f>'[1]Base stats'!$B147</f>
        <v>Canis familiaris (Rottweiler)</v>
      </c>
      <c r="B147" s="23">
        <f>_xlfn.XLOOKUP(A147,'[1]Base stats'!$B:$B,'[1]Base stats'!$O:$O)</f>
        <v>2</v>
      </c>
      <c r="C147" s="20" cm="1">
        <f t="array" ref="C147">IF(
SUMPRODUCT(--(
TRIM(LEFT('Bite force'!$A:$A,SEARCH("§",SUBSTITUTE('Bite force'!$A:$A," ","§",2)&amp;"§")-1))=
TRIM(LEFT(A147,SEARCH("§",SUBSTITUTE(A147," ","§",2)&amp;"§")-1))
))&gt;0,
IF(
COUNT(_xlfn._xlws.FILTER('Bite force'!$I:$I,
TRIM(LEFT('Bite force'!$A:$A,SEARCH("§",SUBSTITUTE('Bite force'!$A:$A," ","§",2)&amp;"§")-1))=
TRIM(LEFT(A147,SEARCH("§",SUBSTITUTE(A147," ","§",2)&amp;"§")-1))
))=0,
1,
IF(
B147=2,
AVERAGE(_xlfn._xlws.FILTER('Bite force'!$I:$I,
TRIM(LEFT('Bite force'!$A:$A,SEARCH("§",SUBSTITUTE('Bite force'!$A:$A," ","§",2)&amp;"§")-1))=
TRIM(LEFT(A147,SEARCH("§",SUBSTITUTE(A147," ","§",2)&amp;"§")-1))
)),
MAX(_xlfn._xlws.FILTER('Bite force'!$I:$I,
TRIM(LEFT('Bite force'!$A:$A,SEARCH("§",SUBSTITUTE('Bite force'!$A:$A," ","§",2)&amp;"§")-1))=
TRIM(LEFT(A147,SEARCH("§",SUBSTITUTE(A147," ","§",2)&amp;"§")-1))
))
)
),
IFERROR(
AVERAGE(_xlfn._xlws.FILTER('Bite force'!$I:$I,
TRIM(LEFT('Bite force'!$A:$A,SEARCH(" ",'Bite force'!$A:$A&amp;" ")-1))=
TRIM(LEFT(A147,SEARCH(" ",A147&amp;" ")-1))
)),
1
)
)</f>
        <v>1.0429911737241087</v>
      </c>
    </row>
    <row r="148" spans="1:3" x14ac:dyDescent="0.25">
      <c r="A148" s="2" t="str">
        <f>'[1]Base stats'!$B148</f>
        <v>Canis familiaris (Shih-Tzu)</v>
      </c>
      <c r="B148" s="23">
        <f>_xlfn.XLOOKUP(A148,'[1]Base stats'!$B:$B,'[1]Base stats'!$O:$O)</f>
        <v>2</v>
      </c>
      <c r="C148" s="20" cm="1">
        <f t="array" ref="C148">IF(
SUMPRODUCT(--(
TRIM(LEFT('Bite force'!$A:$A,SEARCH("§",SUBSTITUTE('Bite force'!$A:$A," ","§",2)&amp;"§")-1))=
TRIM(LEFT(A148,SEARCH("§",SUBSTITUTE(A148," ","§",2)&amp;"§")-1))
))&gt;0,
IF(
COUNT(_xlfn._xlws.FILTER('Bite force'!$I:$I,
TRIM(LEFT('Bite force'!$A:$A,SEARCH("§",SUBSTITUTE('Bite force'!$A:$A," ","§",2)&amp;"§")-1))=
TRIM(LEFT(A148,SEARCH("§",SUBSTITUTE(A148," ","§",2)&amp;"§")-1))
))=0,
1,
IF(
B148=2,
AVERAGE(_xlfn._xlws.FILTER('Bite force'!$I:$I,
TRIM(LEFT('Bite force'!$A:$A,SEARCH("§",SUBSTITUTE('Bite force'!$A:$A," ","§",2)&amp;"§")-1))=
TRIM(LEFT(A148,SEARCH("§",SUBSTITUTE(A148," ","§",2)&amp;"§")-1))
)),
MAX(_xlfn._xlws.FILTER('Bite force'!$I:$I,
TRIM(LEFT('Bite force'!$A:$A,SEARCH("§",SUBSTITUTE('Bite force'!$A:$A," ","§",2)&amp;"§")-1))=
TRIM(LEFT(A148,SEARCH("§",SUBSTITUTE(A148," ","§",2)&amp;"§")-1))
))
)
),
IFERROR(
AVERAGE(_xlfn._xlws.FILTER('Bite force'!$I:$I,
TRIM(LEFT('Bite force'!$A:$A,SEARCH(" ",'Bite force'!$A:$A&amp;" ")-1))=
TRIM(LEFT(A148,SEARCH(" ",A148&amp;" ")-1))
)),
1
)
)</f>
        <v>1.0429911737241087</v>
      </c>
    </row>
    <row r="149" spans="1:3" x14ac:dyDescent="0.25">
      <c r="A149" s="2" t="str">
        <f>'[1]Base stats'!$B149</f>
        <v>Canis familiaris (AiredaleTerrier)</v>
      </c>
      <c r="B149" s="23">
        <f>_xlfn.XLOOKUP(A149,'[1]Base stats'!$B:$B,'[1]Base stats'!$O:$O)</f>
        <v>2</v>
      </c>
      <c r="C149" s="20" cm="1">
        <f t="array" ref="C149">IF(
SUMPRODUCT(--(
TRIM(LEFT('Bite force'!$A:$A,SEARCH("§",SUBSTITUTE('Bite force'!$A:$A," ","§",2)&amp;"§")-1))=
TRIM(LEFT(A149,SEARCH("§",SUBSTITUTE(A149," ","§",2)&amp;"§")-1))
))&gt;0,
IF(
COUNT(_xlfn._xlws.FILTER('Bite force'!$I:$I,
TRIM(LEFT('Bite force'!$A:$A,SEARCH("§",SUBSTITUTE('Bite force'!$A:$A," ","§",2)&amp;"§")-1))=
TRIM(LEFT(A149,SEARCH("§",SUBSTITUTE(A149," ","§",2)&amp;"§")-1))
))=0,
1,
IF(
B149=2,
AVERAGE(_xlfn._xlws.FILTER('Bite force'!$I:$I,
TRIM(LEFT('Bite force'!$A:$A,SEARCH("§",SUBSTITUTE('Bite force'!$A:$A," ","§",2)&amp;"§")-1))=
TRIM(LEFT(A149,SEARCH("§",SUBSTITUTE(A149," ","§",2)&amp;"§")-1))
)),
MAX(_xlfn._xlws.FILTER('Bite force'!$I:$I,
TRIM(LEFT('Bite force'!$A:$A,SEARCH("§",SUBSTITUTE('Bite force'!$A:$A," ","§",2)&amp;"§")-1))=
TRIM(LEFT(A149,SEARCH("§",SUBSTITUTE(A149," ","§",2)&amp;"§")-1))
))
)
),
IFERROR(
AVERAGE(_xlfn._xlws.FILTER('Bite force'!$I:$I,
TRIM(LEFT('Bite force'!$A:$A,SEARCH(" ",'Bite force'!$A:$A&amp;" ")-1))=
TRIM(LEFT(A149,SEARCH(" ",A149&amp;" ")-1))
)),
1
)
)</f>
        <v>1.0429911737241087</v>
      </c>
    </row>
    <row r="150" spans="1:3" x14ac:dyDescent="0.25">
      <c r="A150" s="2" t="str">
        <f>'[1]Base stats'!$B150</f>
        <v>Felis catus (Abyssinian)</v>
      </c>
      <c r="B150" s="23">
        <f>_xlfn.XLOOKUP(A150,'[1]Base stats'!$B:$B,'[1]Base stats'!$O:$O)</f>
        <v>2</v>
      </c>
      <c r="C150" s="20" cm="1">
        <f t="array" ref="C150">IF(
SUMPRODUCT(--(
TRIM(LEFT('Bite force'!$A:$A,SEARCH("§",SUBSTITUTE('Bite force'!$A:$A," ","§",2)&amp;"§")-1))=
TRIM(LEFT(A150,SEARCH("§",SUBSTITUTE(A150," ","§",2)&amp;"§")-1))
))&gt;0,
IF(
COUNT(_xlfn._xlws.FILTER('Bite force'!$I:$I,
TRIM(LEFT('Bite force'!$A:$A,SEARCH("§",SUBSTITUTE('Bite force'!$A:$A," ","§",2)&amp;"§")-1))=
TRIM(LEFT(A150,SEARCH("§",SUBSTITUTE(A150," ","§",2)&amp;"§")-1))
))=0,
1,
IF(
B150=2,
AVERAGE(_xlfn._xlws.FILTER('Bite force'!$I:$I,
TRIM(LEFT('Bite force'!$A:$A,SEARCH("§",SUBSTITUTE('Bite force'!$A:$A," ","§",2)&amp;"§")-1))=
TRIM(LEFT(A150,SEARCH("§",SUBSTITUTE(A150," ","§",2)&amp;"§")-1))
)),
MAX(_xlfn._xlws.FILTER('Bite force'!$I:$I,
TRIM(LEFT('Bite force'!$A:$A,SEARCH("§",SUBSTITUTE('Bite force'!$A:$A," ","§",2)&amp;"§")-1))=
TRIM(LEFT(A150,SEARCH("§",SUBSTITUTE(A150," ","§",2)&amp;"§")-1))
))
)
),
IFERROR(
AVERAGE(_xlfn._xlws.FILTER('Bite force'!$I:$I,
TRIM(LEFT('Bite force'!$A:$A,SEARCH(" ",'Bite force'!$A:$A&amp;" ")-1))=
TRIM(LEFT(A150,SEARCH(" ",A150&amp;" ")-1))
)),
1
)
)</f>
        <v>0.89865243686828222</v>
      </c>
    </row>
    <row r="151" spans="1:3" x14ac:dyDescent="0.25">
      <c r="A151" s="2" t="str">
        <f>'[1]Base stats'!$B151</f>
        <v>Felis catus (Bengal)</v>
      </c>
      <c r="B151" s="23">
        <f>_xlfn.XLOOKUP(A151,'[1]Base stats'!$B:$B,'[1]Base stats'!$O:$O)</f>
        <v>2</v>
      </c>
      <c r="C151" s="20" cm="1">
        <f t="array" ref="C151">IF(
SUMPRODUCT(--(
TRIM(LEFT('Bite force'!$A:$A,SEARCH("§",SUBSTITUTE('Bite force'!$A:$A," ","§",2)&amp;"§")-1))=
TRIM(LEFT(A151,SEARCH("§",SUBSTITUTE(A151," ","§",2)&amp;"§")-1))
))&gt;0,
IF(
COUNT(_xlfn._xlws.FILTER('Bite force'!$I:$I,
TRIM(LEFT('Bite force'!$A:$A,SEARCH("§",SUBSTITUTE('Bite force'!$A:$A," ","§",2)&amp;"§")-1))=
TRIM(LEFT(A151,SEARCH("§",SUBSTITUTE(A151," ","§",2)&amp;"§")-1))
))=0,
1,
IF(
B151=2,
AVERAGE(_xlfn._xlws.FILTER('Bite force'!$I:$I,
TRIM(LEFT('Bite force'!$A:$A,SEARCH("§",SUBSTITUTE('Bite force'!$A:$A," ","§",2)&amp;"§")-1))=
TRIM(LEFT(A151,SEARCH("§",SUBSTITUTE(A151," ","§",2)&amp;"§")-1))
)),
MAX(_xlfn._xlws.FILTER('Bite force'!$I:$I,
TRIM(LEFT('Bite force'!$A:$A,SEARCH("§",SUBSTITUTE('Bite force'!$A:$A," ","§",2)&amp;"§")-1))=
TRIM(LEFT(A151,SEARCH("§",SUBSTITUTE(A151," ","§",2)&amp;"§")-1))
))
)
),
IFERROR(
AVERAGE(_xlfn._xlws.FILTER('Bite force'!$I:$I,
TRIM(LEFT('Bite force'!$A:$A,SEARCH(" ",'Bite force'!$A:$A&amp;" ")-1))=
TRIM(LEFT(A151,SEARCH(" ",A151&amp;" ")-1))
)),
1
)
)</f>
        <v>0.89865243686828222</v>
      </c>
    </row>
    <row r="152" spans="1:3" x14ac:dyDescent="0.25">
      <c r="A152" s="2" t="str">
        <f>'[1]Base stats'!$B152</f>
        <v>Felis catus (British Shorthair)</v>
      </c>
      <c r="B152" s="23">
        <f>_xlfn.XLOOKUP(A152,'[1]Base stats'!$B:$B,'[1]Base stats'!$O:$O)</f>
        <v>2</v>
      </c>
      <c r="C152" s="20" cm="1">
        <f t="array" ref="C152">IF(
SUMPRODUCT(--(
TRIM(LEFT('Bite force'!$A:$A,SEARCH("§",SUBSTITUTE('Bite force'!$A:$A," ","§",2)&amp;"§")-1))=
TRIM(LEFT(A152,SEARCH("§",SUBSTITUTE(A152," ","§",2)&amp;"§")-1))
))&gt;0,
IF(
COUNT(_xlfn._xlws.FILTER('Bite force'!$I:$I,
TRIM(LEFT('Bite force'!$A:$A,SEARCH("§",SUBSTITUTE('Bite force'!$A:$A," ","§",2)&amp;"§")-1))=
TRIM(LEFT(A152,SEARCH("§",SUBSTITUTE(A152," ","§",2)&amp;"§")-1))
))=0,
1,
IF(
B152=2,
AVERAGE(_xlfn._xlws.FILTER('Bite force'!$I:$I,
TRIM(LEFT('Bite force'!$A:$A,SEARCH("§",SUBSTITUTE('Bite force'!$A:$A," ","§",2)&amp;"§")-1))=
TRIM(LEFT(A152,SEARCH("§",SUBSTITUTE(A152," ","§",2)&amp;"§")-1))
)),
MAX(_xlfn._xlws.FILTER('Bite force'!$I:$I,
TRIM(LEFT('Bite force'!$A:$A,SEARCH("§",SUBSTITUTE('Bite force'!$A:$A," ","§",2)&amp;"§")-1))=
TRIM(LEFT(A152,SEARCH("§",SUBSTITUTE(A152," ","§",2)&amp;"§")-1))
))
)
),
IFERROR(
AVERAGE(_xlfn._xlws.FILTER('Bite force'!$I:$I,
TRIM(LEFT('Bite force'!$A:$A,SEARCH(" ",'Bite force'!$A:$A&amp;" ")-1))=
TRIM(LEFT(A152,SEARCH(" ",A152&amp;" ")-1))
)),
1
)
)</f>
        <v>0.89865243686828222</v>
      </c>
    </row>
    <row r="153" spans="1:3" x14ac:dyDescent="0.25">
      <c r="A153" s="2" t="str">
        <f>'[1]Base stats'!$B153</f>
        <v>Felis catus (Maine Coon)</v>
      </c>
      <c r="B153" s="23">
        <f>_xlfn.XLOOKUP(A153,'[1]Base stats'!$B:$B,'[1]Base stats'!$O:$O)</f>
        <v>2</v>
      </c>
      <c r="C153" s="20" cm="1">
        <f t="array" ref="C153">IF(
SUMPRODUCT(--(
TRIM(LEFT('Bite force'!$A:$A,SEARCH("§",SUBSTITUTE('Bite force'!$A:$A," ","§",2)&amp;"§")-1))=
TRIM(LEFT(A153,SEARCH("§",SUBSTITUTE(A153," ","§",2)&amp;"§")-1))
))&gt;0,
IF(
COUNT(_xlfn._xlws.FILTER('Bite force'!$I:$I,
TRIM(LEFT('Bite force'!$A:$A,SEARCH("§",SUBSTITUTE('Bite force'!$A:$A," ","§",2)&amp;"§")-1))=
TRIM(LEFT(A153,SEARCH("§",SUBSTITUTE(A153," ","§",2)&amp;"§")-1))
))=0,
1,
IF(
B153=2,
AVERAGE(_xlfn._xlws.FILTER('Bite force'!$I:$I,
TRIM(LEFT('Bite force'!$A:$A,SEARCH("§",SUBSTITUTE('Bite force'!$A:$A," ","§",2)&amp;"§")-1))=
TRIM(LEFT(A153,SEARCH("§",SUBSTITUTE(A153," ","§",2)&amp;"§")-1))
)),
MAX(_xlfn._xlws.FILTER('Bite force'!$I:$I,
TRIM(LEFT('Bite force'!$A:$A,SEARCH("§",SUBSTITUTE('Bite force'!$A:$A," ","§",2)&amp;"§")-1))=
TRIM(LEFT(A153,SEARCH("§",SUBSTITUTE(A153," ","§",2)&amp;"§")-1))
))
)
),
IFERROR(
AVERAGE(_xlfn._xlws.FILTER('Bite force'!$I:$I,
TRIM(LEFT('Bite force'!$A:$A,SEARCH(" ",'Bite force'!$A:$A&amp;" ")-1))=
TRIM(LEFT(A153,SEARCH(" ",A153&amp;" ")-1))
)),
1
)
)</f>
        <v>0.89865243686828222</v>
      </c>
    </row>
    <row r="154" spans="1:3" x14ac:dyDescent="0.25">
      <c r="A154" s="2" t="str">
        <f>'[1]Base stats'!$B154</f>
        <v>Felis catus (Munchkin)</v>
      </c>
      <c r="B154" s="23">
        <f>_xlfn.XLOOKUP(A154,'[1]Base stats'!$B:$B,'[1]Base stats'!$O:$O)</f>
        <v>2</v>
      </c>
      <c r="C154" s="20" cm="1">
        <f t="array" ref="C154">IF(
SUMPRODUCT(--(
TRIM(LEFT('Bite force'!$A:$A,SEARCH("§",SUBSTITUTE('Bite force'!$A:$A," ","§",2)&amp;"§")-1))=
TRIM(LEFT(A154,SEARCH("§",SUBSTITUTE(A154," ","§",2)&amp;"§")-1))
))&gt;0,
IF(
COUNT(_xlfn._xlws.FILTER('Bite force'!$I:$I,
TRIM(LEFT('Bite force'!$A:$A,SEARCH("§",SUBSTITUTE('Bite force'!$A:$A," ","§",2)&amp;"§")-1))=
TRIM(LEFT(A154,SEARCH("§",SUBSTITUTE(A154," ","§",2)&amp;"§")-1))
))=0,
1,
IF(
B154=2,
AVERAGE(_xlfn._xlws.FILTER('Bite force'!$I:$I,
TRIM(LEFT('Bite force'!$A:$A,SEARCH("§",SUBSTITUTE('Bite force'!$A:$A," ","§",2)&amp;"§")-1))=
TRIM(LEFT(A154,SEARCH("§",SUBSTITUTE(A154," ","§",2)&amp;"§")-1))
)),
MAX(_xlfn._xlws.FILTER('Bite force'!$I:$I,
TRIM(LEFT('Bite force'!$A:$A,SEARCH("§",SUBSTITUTE('Bite force'!$A:$A," ","§",2)&amp;"§")-1))=
TRIM(LEFT(A154,SEARCH("§",SUBSTITUTE(A154," ","§",2)&amp;"§")-1))
))
)
),
IFERROR(
AVERAGE(_xlfn._xlws.FILTER('Bite force'!$I:$I,
TRIM(LEFT('Bite force'!$A:$A,SEARCH(" ",'Bite force'!$A:$A&amp;" ")-1))=
TRIM(LEFT(A154,SEARCH(" ",A154&amp;" ")-1))
)),
1
)
)</f>
        <v>0.89865243686828222</v>
      </c>
    </row>
    <row r="155" spans="1:3" x14ac:dyDescent="0.25">
      <c r="A155" s="2" t="str">
        <f>'[1]Base stats'!$B155</f>
        <v>Felis catus (Norwegian Forest)</v>
      </c>
      <c r="B155" s="23">
        <f>_xlfn.XLOOKUP(A155,'[1]Base stats'!$B:$B,'[1]Base stats'!$O:$O)</f>
        <v>2</v>
      </c>
      <c r="C155" s="20" cm="1">
        <f t="array" ref="C155">IF(
SUMPRODUCT(--(
TRIM(LEFT('Bite force'!$A:$A,SEARCH("§",SUBSTITUTE('Bite force'!$A:$A," ","§",2)&amp;"§")-1))=
TRIM(LEFT(A155,SEARCH("§",SUBSTITUTE(A155," ","§",2)&amp;"§")-1))
))&gt;0,
IF(
COUNT(_xlfn._xlws.FILTER('Bite force'!$I:$I,
TRIM(LEFT('Bite force'!$A:$A,SEARCH("§",SUBSTITUTE('Bite force'!$A:$A," ","§",2)&amp;"§")-1))=
TRIM(LEFT(A155,SEARCH("§",SUBSTITUTE(A155," ","§",2)&amp;"§")-1))
))=0,
1,
IF(
B155=2,
AVERAGE(_xlfn._xlws.FILTER('Bite force'!$I:$I,
TRIM(LEFT('Bite force'!$A:$A,SEARCH("§",SUBSTITUTE('Bite force'!$A:$A," ","§",2)&amp;"§")-1))=
TRIM(LEFT(A155,SEARCH("§",SUBSTITUTE(A155," ","§",2)&amp;"§")-1))
)),
MAX(_xlfn._xlws.FILTER('Bite force'!$I:$I,
TRIM(LEFT('Bite force'!$A:$A,SEARCH("§",SUBSTITUTE('Bite force'!$A:$A," ","§",2)&amp;"§")-1))=
TRIM(LEFT(A155,SEARCH("§",SUBSTITUTE(A155," ","§",2)&amp;"§")-1))
))
)
),
IFERROR(
AVERAGE(_xlfn._xlws.FILTER('Bite force'!$I:$I,
TRIM(LEFT('Bite force'!$A:$A,SEARCH(" ",'Bite force'!$A:$A&amp;" ")-1))=
TRIM(LEFT(A155,SEARCH(" ",A155&amp;" ")-1))
)),
1
)
)</f>
        <v>0.89865243686828222</v>
      </c>
    </row>
    <row r="156" spans="1:3" x14ac:dyDescent="0.25">
      <c r="A156" s="2" t="str">
        <f>'[1]Base stats'!$B156</f>
        <v>Felis catus (Persian)</v>
      </c>
      <c r="B156" s="23">
        <f>_xlfn.XLOOKUP(A156,'[1]Base stats'!$B:$B,'[1]Base stats'!$O:$O)</f>
        <v>2</v>
      </c>
      <c r="C156" s="20" cm="1">
        <f t="array" ref="C156">IF(
SUMPRODUCT(--(
TRIM(LEFT('Bite force'!$A:$A,SEARCH("§",SUBSTITUTE('Bite force'!$A:$A," ","§",2)&amp;"§")-1))=
TRIM(LEFT(A156,SEARCH("§",SUBSTITUTE(A156," ","§",2)&amp;"§")-1))
))&gt;0,
IF(
COUNT(_xlfn._xlws.FILTER('Bite force'!$I:$I,
TRIM(LEFT('Bite force'!$A:$A,SEARCH("§",SUBSTITUTE('Bite force'!$A:$A," ","§",2)&amp;"§")-1))=
TRIM(LEFT(A156,SEARCH("§",SUBSTITUTE(A156," ","§",2)&amp;"§")-1))
))=0,
1,
IF(
B156=2,
AVERAGE(_xlfn._xlws.FILTER('Bite force'!$I:$I,
TRIM(LEFT('Bite force'!$A:$A,SEARCH("§",SUBSTITUTE('Bite force'!$A:$A," ","§",2)&amp;"§")-1))=
TRIM(LEFT(A156,SEARCH("§",SUBSTITUTE(A156," ","§",2)&amp;"§")-1))
)),
MAX(_xlfn._xlws.FILTER('Bite force'!$I:$I,
TRIM(LEFT('Bite force'!$A:$A,SEARCH("§",SUBSTITUTE('Bite force'!$A:$A," ","§",2)&amp;"§")-1))=
TRIM(LEFT(A156,SEARCH("§",SUBSTITUTE(A156," ","§",2)&amp;"§")-1))
))
)
),
IFERROR(
AVERAGE(_xlfn._xlws.FILTER('Bite force'!$I:$I,
TRIM(LEFT('Bite force'!$A:$A,SEARCH(" ",'Bite force'!$A:$A&amp;" ")-1))=
TRIM(LEFT(A156,SEARCH(" ",A156&amp;" ")-1))
)),
1
)
)</f>
        <v>0.89865243686828222</v>
      </c>
    </row>
    <row r="157" spans="1:3" x14ac:dyDescent="0.25">
      <c r="A157" s="2" t="str">
        <f>'[1]Base stats'!$B157</f>
        <v>Felis catus (Siamese)</v>
      </c>
      <c r="B157" s="23">
        <f>_xlfn.XLOOKUP(A157,'[1]Base stats'!$B:$B,'[1]Base stats'!$O:$O)</f>
        <v>2</v>
      </c>
      <c r="C157" s="20" cm="1">
        <f t="array" ref="C157">IF(
SUMPRODUCT(--(
TRIM(LEFT('Bite force'!$A:$A,SEARCH("§",SUBSTITUTE('Bite force'!$A:$A," ","§",2)&amp;"§")-1))=
TRIM(LEFT(A157,SEARCH("§",SUBSTITUTE(A157," ","§",2)&amp;"§")-1))
))&gt;0,
IF(
COUNT(_xlfn._xlws.FILTER('Bite force'!$I:$I,
TRIM(LEFT('Bite force'!$A:$A,SEARCH("§",SUBSTITUTE('Bite force'!$A:$A," ","§",2)&amp;"§")-1))=
TRIM(LEFT(A157,SEARCH("§",SUBSTITUTE(A157," ","§",2)&amp;"§")-1))
))=0,
1,
IF(
B157=2,
AVERAGE(_xlfn._xlws.FILTER('Bite force'!$I:$I,
TRIM(LEFT('Bite force'!$A:$A,SEARCH("§",SUBSTITUTE('Bite force'!$A:$A," ","§",2)&amp;"§")-1))=
TRIM(LEFT(A157,SEARCH("§",SUBSTITUTE(A157," ","§",2)&amp;"§")-1))
)),
MAX(_xlfn._xlws.FILTER('Bite force'!$I:$I,
TRIM(LEFT('Bite force'!$A:$A,SEARCH("§",SUBSTITUTE('Bite force'!$A:$A," ","§",2)&amp;"§")-1))=
TRIM(LEFT(A157,SEARCH("§",SUBSTITUTE(A157," ","§",2)&amp;"§")-1))
))
)
),
IFERROR(
AVERAGE(_xlfn._xlws.FILTER('Bite force'!$I:$I,
TRIM(LEFT('Bite force'!$A:$A,SEARCH(" ",'Bite force'!$A:$A&amp;" ")-1))=
TRIM(LEFT(A157,SEARCH(" ",A157&amp;" ")-1))
)),
1
)
)</f>
        <v>0.89865243686828222</v>
      </c>
    </row>
    <row r="158" spans="1:3" x14ac:dyDescent="0.25">
      <c r="A158" s="2" t="str">
        <f>'[1]Base stats'!$B158</f>
        <v>Felis catus (Somali)</v>
      </c>
      <c r="B158" s="23">
        <f>_xlfn.XLOOKUP(A158,'[1]Base stats'!$B:$B,'[1]Base stats'!$O:$O)</f>
        <v>2</v>
      </c>
      <c r="C158" s="20" cm="1">
        <f t="array" ref="C158">IF(
SUMPRODUCT(--(
TRIM(LEFT('Bite force'!$A:$A,SEARCH("§",SUBSTITUTE('Bite force'!$A:$A," ","§",2)&amp;"§")-1))=
TRIM(LEFT(A158,SEARCH("§",SUBSTITUTE(A158," ","§",2)&amp;"§")-1))
))&gt;0,
IF(
COUNT(_xlfn._xlws.FILTER('Bite force'!$I:$I,
TRIM(LEFT('Bite force'!$A:$A,SEARCH("§",SUBSTITUTE('Bite force'!$A:$A," ","§",2)&amp;"§")-1))=
TRIM(LEFT(A158,SEARCH("§",SUBSTITUTE(A158," ","§",2)&amp;"§")-1))
))=0,
1,
IF(
B158=2,
AVERAGE(_xlfn._xlws.FILTER('Bite force'!$I:$I,
TRIM(LEFT('Bite force'!$A:$A,SEARCH("§",SUBSTITUTE('Bite force'!$A:$A," ","§",2)&amp;"§")-1))=
TRIM(LEFT(A158,SEARCH("§",SUBSTITUTE(A158," ","§",2)&amp;"§")-1))
)),
MAX(_xlfn._xlws.FILTER('Bite force'!$I:$I,
TRIM(LEFT('Bite force'!$A:$A,SEARCH("§",SUBSTITUTE('Bite force'!$A:$A," ","§",2)&amp;"§")-1))=
TRIM(LEFT(A158,SEARCH("§",SUBSTITUTE(A158," ","§",2)&amp;"§")-1))
))
)
),
IFERROR(
AVERAGE(_xlfn._xlws.FILTER('Bite force'!$I:$I,
TRIM(LEFT('Bite force'!$A:$A,SEARCH(" ",'Bite force'!$A:$A&amp;" ")-1))=
TRIM(LEFT(A158,SEARCH(" ",A158&amp;" ")-1))
)),
1
)
)</f>
        <v>0.89865243686828222</v>
      </c>
    </row>
    <row r="159" spans="1:3" x14ac:dyDescent="0.25">
      <c r="A159" s="2" t="str">
        <f>'[1]Base stats'!$B159</f>
        <v>Felis catus (Sphynx)</v>
      </c>
      <c r="B159" s="23">
        <f>_xlfn.XLOOKUP(A159,'[1]Base stats'!$B:$B,'[1]Base stats'!$O:$O)</f>
        <v>2</v>
      </c>
      <c r="C159" s="20" cm="1">
        <f t="array" ref="C159">IF(
SUMPRODUCT(--(
TRIM(LEFT('Bite force'!$A:$A,SEARCH("§",SUBSTITUTE('Bite force'!$A:$A," ","§",2)&amp;"§")-1))=
TRIM(LEFT(A159,SEARCH("§",SUBSTITUTE(A159," ","§",2)&amp;"§")-1))
))&gt;0,
IF(
COUNT(_xlfn._xlws.FILTER('Bite force'!$I:$I,
TRIM(LEFT('Bite force'!$A:$A,SEARCH("§",SUBSTITUTE('Bite force'!$A:$A," ","§",2)&amp;"§")-1))=
TRIM(LEFT(A159,SEARCH("§",SUBSTITUTE(A159," ","§",2)&amp;"§")-1))
))=0,
1,
IF(
B159=2,
AVERAGE(_xlfn._xlws.FILTER('Bite force'!$I:$I,
TRIM(LEFT('Bite force'!$A:$A,SEARCH("§",SUBSTITUTE('Bite force'!$A:$A," ","§",2)&amp;"§")-1))=
TRIM(LEFT(A159,SEARCH("§",SUBSTITUTE(A159," ","§",2)&amp;"§")-1))
)),
MAX(_xlfn._xlws.FILTER('Bite force'!$I:$I,
TRIM(LEFT('Bite force'!$A:$A,SEARCH("§",SUBSTITUTE('Bite force'!$A:$A," ","§",2)&amp;"§")-1))=
TRIM(LEFT(A159,SEARCH("§",SUBSTITUTE(A159," ","§",2)&amp;"§")-1))
))
)
),
IFERROR(
AVERAGE(_xlfn._xlws.FILTER('Bite force'!$I:$I,
TRIM(LEFT('Bite force'!$A:$A,SEARCH(" ",'Bite force'!$A:$A&amp;" ")-1))=
TRIM(LEFT(A159,SEARCH(" ",A159&amp;" ")-1))
)),
1
)
)</f>
        <v>0.89865243686828222</v>
      </c>
    </row>
    <row r="160" spans="1:3" x14ac:dyDescent="0.25">
      <c r="A160" s="2" t="str">
        <f>'[1]Base stats'!$B160</f>
        <v>Kaliscus invictus</v>
      </c>
      <c r="B160" s="23">
        <f>_xlfn.XLOOKUP(A160,'[1]Base stats'!$B:$B,'[1]Base stats'!$O:$O)</f>
        <v>0</v>
      </c>
      <c r="C160" s="20" cm="1">
        <f t="array" ref="C160">IF(
SUMPRODUCT(--(
TRIM(LEFT('Bite force'!$A:$A,SEARCH("§",SUBSTITUTE('Bite force'!$A:$A," ","§",2)&amp;"§")-1))=
TRIM(LEFT(A160,SEARCH("§",SUBSTITUTE(A160," ","§",2)&amp;"§")-1))
))&gt;0,
IF(
COUNT(_xlfn._xlws.FILTER('Bite force'!$I:$I,
TRIM(LEFT('Bite force'!$A:$A,SEARCH("§",SUBSTITUTE('Bite force'!$A:$A," ","§",2)&amp;"§")-1))=
TRIM(LEFT(A160,SEARCH("§",SUBSTITUTE(A160," ","§",2)&amp;"§")-1))
))=0,
1,
IF(
B160=2,
AVERAGE(_xlfn._xlws.FILTER('Bite force'!$I:$I,
TRIM(LEFT('Bite force'!$A:$A,SEARCH("§",SUBSTITUTE('Bite force'!$A:$A," ","§",2)&amp;"§")-1))=
TRIM(LEFT(A160,SEARCH("§",SUBSTITUTE(A160," ","§",2)&amp;"§")-1))
)),
MAX(_xlfn._xlws.FILTER('Bite force'!$I:$I,
TRIM(LEFT('Bite force'!$A:$A,SEARCH("§",SUBSTITUTE('Bite force'!$A:$A," ","§",2)&amp;"§")-1))=
TRIM(LEFT(A160,SEARCH("§",SUBSTITUTE(A160," ","§",2)&amp;"§")-1))
))
)
),
IFERROR(
AVERAGE(_xlfn._xlws.FILTER('Bite force'!$I:$I,
TRIM(LEFT('Bite force'!$A:$A,SEARCH(" ",'Bite force'!$A:$A&amp;" ")-1))=
TRIM(LEFT(A160,SEARCH(" ",A160&amp;" ")-1))
)),
1
)
)</f>
        <v>1</v>
      </c>
    </row>
    <row r="161" spans="1:3" x14ac:dyDescent="0.25">
      <c r="A161" s="2" t="str">
        <f>'[1]Base stats'!$B161</f>
        <v>Smilodon populator</v>
      </c>
      <c r="B161" s="23">
        <f>_xlfn.XLOOKUP(A161,'[1]Base stats'!$B:$B,'[1]Base stats'!$O:$O)</f>
        <v>1</v>
      </c>
      <c r="C161" s="20" cm="1">
        <f t="array" ref="C161">IF(
SUMPRODUCT(--(
TRIM(LEFT('Bite force'!$A:$A,SEARCH("§",SUBSTITUTE('Bite force'!$A:$A," ","§",2)&amp;"§")-1))=
TRIM(LEFT(A161,SEARCH("§",SUBSTITUTE(A161," ","§",2)&amp;"§")-1))
))&gt;0,
IF(
COUNT(_xlfn._xlws.FILTER('Bite force'!$I:$I,
TRIM(LEFT('Bite force'!$A:$A,SEARCH("§",SUBSTITUTE('Bite force'!$A:$A," ","§",2)&amp;"§")-1))=
TRIM(LEFT(A161,SEARCH("§",SUBSTITUTE(A161," ","§",2)&amp;"§")-1))
))=0,
1,
IF(
B161=2,
AVERAGE(_xlfn._xlws.FILTER('Bite force'!$I:$I,
TRIM(LEFT('Bite force'!$A:$A,SEARCH("§",SUBSTITUTE('Bite force'!$A:$A," ","§",2)&amp;"§")-1))=
TRIM(LEFT(A161,SEARCH("§",SUBSTITUTE(A161," ","§",2)&amp;"§")-1))
)),
MAX(_xlfn._xlws.FILTER('Bite force'!$I:$I,
TRIM(LEFT('Bite force'!$A:$A,SEARCH("§",SUBSTITUTE('Bite force'!$A:$A," ","§",2)&amp;"§")-1))=
TRIM(LEFT(A161,SEARCH("§",SUBSTITUTE(A161," ","§",2)&amp;"§")-1))
))
)
),
IFERROR(
AVERAGE(_xlfn._xlws.FILTER('Bite force'!$I:$I,
TRIM(LEFT('Bite force'!$A:$A,SEARCH(" ",'Bite force'!$A:$A&amp;" ")-1))=
TRIM(LEFT(A161,SEARCH(" ",A161&amp;" ")-1))
)),
1
)
)</f>
        <v>0.44619254510907708</v>
      </c>
    </row>
    <row r="162" spans="1:3" x14ac:dyDescent="0.25">
      <c r="A162" s="2" t="str">
        <f>'[1]Base stats'!$B162</f>
        <v>Phasianus colchicus</v>
      </c>
      <c r="B162" s="23">
        <f>_xlfn.XLOOKUP(A162,'[1]Base stats'!$B:$B,'[1]Base stats'!$O:$O)</f>
        <v>0</v>
      </c>
      <c r="C162" s="20" cm="1">
        <f t="array" ref="C162">IF(
SUMPRODUCT(--(
TRIM(LEFT('Bite force'!$A:$A,SEARCH("§",SUBSTITUTE('Bite force'!$A:$A," ","§",2)&amp;"§")-1))=
TRIM(LEFT(A162,SEARCH("§",SUBSTITUTE(A162," ","§",2)&amp;"§")-1))
))&gt;0,
IF(
COUNT(_xlfn._xlws.FILTER('Bite force'!$I:$I,
TRIM(LEFT('Bite force'!$A:$A,SEARCH("§",SUBSTITUTE('Bite force'!$A:$A," ","§",2)&amp;"§")-1))=
TRIM(LEFT(A162,SEARCH("§",SUBSTITUTE(A162," ","§",2)&amp;"§")-1))
))=0,
1,
IF(
B162=2,
AVERAGE(_xlfn._xlws.FILTER('Bite force'!$I:$I,
TRIM(LEFT('Bite force'!$A:$A,SEARCH("§",SUBSTITUTE('Bite force'!$A:$A," ","§",2)&amp;"§")-1))=
TRIM(LEFT(A162,SEARCH("§",SUBSTITUTE(A162," ","§",2)&amp;"§")-1))
)),
MAX(_xlfn._xlws.FILTER('Bite force'!$I:$I,
TRIM(LEFT('Bite force'!$A:$A,SEARCH("§",SUBSTITUTE('Bite force'!$A:$A," ","§",2)&amp;"§")-1))=
TRIM(LEFT(A162,SEARCH("§",SUBSTITUTE(A162," ","§",2)&amp;"§")-1))
))
)
),
IFERROR(
AVERAGE(_xlfn._xlws.FILTER('Bite force'!$I:$I,
TRIM(LEFT('Bite force'!$A:$A,SEARCH(" ",'Bite force'!$A:$A&amp;" ")-1))=
TRIM(LEFT(A162,SEARCH(" ",A162&amp;" ")-1))
)),
1
)
)</f>
        <v>1</v>
      </c>
    </row>
    <row r="163" spans="1:3" x14ac:dyDescent="0.25">
      <c r="A163" s="2" t="str">
        <f>'[1]Base stats'!$B163</f>
        <v>Pongo pygmaeus</v>
      </c>
      <c r="B163" s="23">
        <f>_xlfn.XLOOKUP(A163,'[1]Base stats'!$B:$B,'[1]Base stats'!$O:$O)</f>
        <v>0</v>
      </c>
      <c r="C163" s="20" cm="1">
        <f t="array" ref="C163">IF(
SUMPRODUCT(--(
TRIM(LEFT('Bite force'!$A:$A,SEARCH("§",SUBSTITUTE('Bite force'!$A:$A," ","§",2)&amp;"§")-1))=
TRIM(LEFT(A163,SEARCH("§",SUBSTITUTE(A163," ","§",2)&amp;"§")-1))
))&gt;0,
IF(
COUNT(_xlfn._xlws.FILTER('Bite force'!$I:$I,
TRIM(LEFT('Bite force'!$A:$A,SEARCH("§",SUBSTITUTE('Bite force'!$A:$A," ","§",2)&amp;"§")-1))=
TRIM(LEFT(A163,SEARCH("§",SUBSTITUTE(A163," ","§",2)&amp;"§")-1))
))=0,
1,
IF(
B163=2,
AVERAGE(_xlfn._xlws.FILTER('Bite force'!$I:$I,
TRIM(LEFT('Bite force'!$A:$A,SEARCH("§",SUBSTITUTE('Bite force'!$A:$A," ","§",2)&amp;"§")-1))=
TRIM(LEFT(A163,SEARCH("§",SUBSTITUTE(A163," ","§",2)&amp;"§")-1))
)),
MAX(_xlfn._xlws.FILTER('Bite force'!$I:$I,
TRIM(LEFT('Bite force'!$A:$A,SEARCH("§",SUBSTITUTE('Bite force'!$A:$A," ","§",2)&amp;"§")-1))=
TRIM(LEFT(A163,SEARCH("§",SUBSTITUTE(A163," ","§",2)&amp;"§")-1))
))
)
),
IFERROR(
AVERAGE(_xlfn._xlws.FILTER('Bite force'!$I:$I,
TRIM(LEFT('Bite force'!$A:$A,SEARCH(" ",'Bite force'!$A:$A&amp;" ")-1))=
TRIM(LEFT(A163,SEARCH(" ",A163&amp;" ")-1))
)),
1
)
)</f>
        <v>1.8280676541174832</v>
      </c>
    </row>
    <row r="164" spans="1:3" x14ac:dyDescent="0.25">
      <c r="A164" s="2" t="str">
        <f>'[1]Base stats'!$B164</f>
        <v>Gallus giganteus</v>
      </c>
      <c r="B164" s="23">
        <f>_xlfn.XLOOKUP(A164,'[1]Base stats'!$B:$B,'[1]Base stats'!$O:$O)</f>
        <v>1</v>
      </c>
      <c r="C164" s="20" cm="1">
        <f t="array" ref="C164">IF(
SUMPRODUCT(--(
TRIM(LEFT('Bite force'!$A:$A,SEARCH("§",SUBSTITUTE('Bite force'!$A:$A," ","§",2)&amp;"§")-1))=
TRIM(LEFT(A164,SEARCH("§",SUBSTITUTE(A164," ","§",2)&amp;"§")-1))
))&gt;0,
IF(
COUNT(_xlfn._xlws.FILTER('Bite force'!$I:$I,
TRIM(LEFT('Bite force'!$A:$A,SEARCH("§",SUBSTITUTE('Bite force'!$A:$A," ","§",2)&amp;"§")-1))=
TRIM(LEFT(A164,SEARCH("§",SUBSTITUTE(A164," ","§",2)&amp;"§")-1))
))=0,
1,
IF(
B164=2,
AVERAGE(_xlfn._xlws.FILTER('Bite force'!$I:$I,
TRIM(LEFT('Bite force'!$A:$A,SEARCH("§",SUBSTITUTE('Bite force'!$A:$A," ","§",2)&amp;"§")-1))=
TRIM(LEFT(A164,SEARCH("§",SUBSTITUTE(A164," ","§",2)&amp;"§")-1))
)),
MAX(_xlfn._xlws.FILTER('Bite force'!$I:$I,
TRIM(LEFT('Bite force'!$A:$A,SEARCH("§",SUBSTITUTE('Bite force'!$A:$A," ","§",2)&amp;"§")-1))=
TRIM(LEFT(A164,SEARCH("§",SUBSTITUTE(A164," ","§",2)&amp;"§")-1))
))
)
),
IFERROR(
AVERAGE(_xlfn._xlws.FILTER('Bite force'!$I:$I,
TRIM(LEFT('Bite force'!$A:$A,SEARCH(" ",'Bite force'!$A:$A&amp;" ")-1))=
TRIM(LEFT(A164,SEARCH(" ",A164&amp;" ")-1))
)),
1
)
)</f>
        <v>1</v>
      </c>
    </row>
    <row r="165" spans="1:3" x14ac:dyDescent="0.25">
      <c r="A165" s="2" t="str">
        <f>'[1]Base stats'!$B165</f>
        <v>Grus japonensis</v>
      </c>
      <c r="B165" s="23">
        <f>_xlfn.XLOOKUP(A165,'[1]Base stats'!$B:$B,'[1]Base stats'!$O:$O)</f>
        <v>0</v>
      </c>
      <c r="C165" s="20" cm="1">
        <f t="array" ref="C165">IF(
SUMPRODUCT(--(
TRIM(LEFT('Bite force'!$A:$A,SEARCH("§",SUBSTITUTE('Bite force'!$A:$A," ","§",2)&amp;"§")-1))=
TRIM(LEFT(A165,SEARCH("§",SUBSTITUTE(A165," ","§",2)&amp;"§")-1))
))&gt;0,
IF(
COUNT(_xlfn._xlws.FILTER('Bite force'!$I:$I,
TRIM(LEFT('Bite force'!$A:$A,SEARCH("§",SUBSTITUTE('Bite force'!$A:$A," ","§",2)&amp;"§")-1))=
TRIM(LEFT(A165,SEARCH("§",SUBSTITUTE(A165," ","§",2)&amp;"§")-1))
))=0,
1,
IF(
B165=2,
AVERAGE(_xlfn._xlws.FILTER('Bite force'!$I:$I,
TRIM(LEFT('Bite force'!$A:$A,SEARCH("§",SUBSTITUTE('Bite force'!$A:$A," ","§",2)&amp;"§")-1))=
TRIM(LEFT(A165,SEARCH("§",SUBSTITUTE(A165," ","§",2)&amp;"§")-1))
)),
MAX(_xlfn._xlws.FILTER('Bite force'!$I:$I,
TRIM(LEFT('Bite force'!$A:$A,SEARCH("§",SUBSTITUTE('Bite force'!$A:$A," ","§",2)&amp;"§")-1))=
TRIM(LEFT(A165,SEARCH("§",SUBSTITUTE(A165," ","§",2)&amp;"§")-1))
))
)
),
IFERROR(
AVERAGE(_xlfn._xlws.FILTER('Bite force'!$I:$I,
TRIM(LEFT('Bite force'!$A:$A,SEARCH(" ",'Bite force'!$A:$A&amp;" ")-1))=
TRIM(LEFT(A165,SEARCH(" ",A165&amp;" ")-1))
)),
1
)
)</f>
        <v>1</v>
      </c>
    </row>
    <row r="166" spans="1:3" x14ac:dyDescent="0.25">
      <c r="A166" s="2" t="str">
        <f>'[1]Base stats'!$B166</f>
        <v>Oryctolagus cuniculus (Angora)</v>
      </c>
      <c r="B166" s="23">
        <f>_xlfn.XLOOKUP(A166,'[1]Base stats'!$B:$B,'[1]Base stats'!$O:$O)</f>
        <v>1</v>
      </c>
      <c r="C166" s="20" cm="1">
        <f t="array" ref="C166">IF(
SUMPRODUCT(--(
TRIM(LEFT('Bite force'!$A:$A,SEARCH("§",SUBSTITUTE('Bite force'!$A:$A," ","§",2)&amp;"§")-1))=
TRIM(LEFT(A166,SEARCH("§",SUBSTITUTE(A166," ","§",2)&amp;"§")-1))
))&gt;0,
IF(
COUNT(_xlfn._xlws.FILTER('Bite force'!$I:$I,
TRIM(LEFT('Bite force'!$A:$A,SEARCH("§",SUBSTITUTE('Bite force'!$A:$A," ","§",2)&amp;"§")-1))=
TRIM(LEFT(A166,SEARCH("§",SUBSTITUTE(A166," ","§",2)&amp;"§")-1))
))=0,
1,
IF(
B166=2,
AVERAGE(_xlfn._xlws.FILTER('Bite force'!$I:$I,
TRIM(LEFT('Bite force'!$A:$A,SEARCH("§",SUBSTITUTE('Bite force'!$A:$A," ","§",2)&amp;"§")-1))=
TRIM(LEFT(A166,SEARCH("§",SUBSTITUTE(A166," ","§",2)&amp;"§")-1))
)),
MAX(_xlfn._xlws.FILTER('Bite force'!$I:$I,
TRIM(LEFT('Bite force'!$A:$A,SEARCH("§",SUBSTITUTE('Bite force'!$A:$A," ","§",2)&amp;"§")-1))=
TRIM(LEFT(A166,SEARCH("§",SUBSTITUTE(A166," ","§",2)&amp;"§")-1))
))
)
),
IFERROR(
AVERAGE(_xlfn._xlws.FILTER('Bite force'!$I:$I,
TRIM(LEFT('Bite force'!$A:$A,SEARCH(" ",'Bite force'!$A:$A&amp;" ")-1))=
TRIM(LEFT(A166,SEARCH(" ",A166&amp;" ")-1))
)),
1
)
)</f>
        <v>1</v>
      </c>
    </row>
    <row r="167" spans="1:3" x14ac:dyDescent="0.25">
      <c r="A167" s="2" t="str">
        <f>'[1]Base stats'!$B167</f>
        <v>Harpactotyrannus venator</v>
      </c>
      <c r="B167" s="23">
        <f>_xlfn.XLOOKUP(A167,'[1]Base stats'!$B:$B,'[1]Base stats'!$O:$O)</f>
        <v>0</v>
      </c>
      <c r="C167" s="20" cm="1">
        <f t="array" ref="C167">IF(
SUMPRODUCT(--(
TRIM(LEFT('Bite force'!$A:$A,SEARCH("§",SUBSTITUTE('Bite force'!$A:$A," ","§",2)&amp;"§")-1))=
TRIM(LEFT(A167,SEARCH("§",SUBSTITUTE(A167," ","§",2)&amp;"§")-1))
))&gt;0,
IF(
COUNT(_xlfn._xlws.FILTER('Bite force'!$I:$I,
TRIM(LEFT('Bite force'!$A:$A,SEARCH("§",SUBSTITUTE('Bite force'!$A:$A," ","§",2)&amp;"§")-1))=
TRIM(LEFT(A167,SEARCH("§",SUBSTITUTE(A167," ","§",2)&amp;"§")-1))
))=0,
1,
IF(
B167=2,
AVERAGE(_xlfn._xlws.FILTER('Bite force'!$I:$I,
TRIM(LEFT('Bite force'!$A:$A,SEARCH("§",SUBSTITUTE('Bite force'!$A:$A," ","§",2)&amp;"§")-1))=
TRIM(LEFT(A167,SEARCH("§",SUBSTITUTE(A167," ","§",2)&amp;"§")-1))
)),
MAX(_xlfn._xlws.FILTER('Bite force'!$I:$I,
TRIM(LEFT('Bite force'!$A:$A,SEARCH("§",SUBSTITUTE('Bite force'!$A:$A," ","§",2)&amp;"§")-1))=
TRIM(LEFT(A167,SEARCH("§",SUBSTITUTE(A167," ","§",2)&amp;"§")-1))
))
)
),
IFERROR(
AVERAGE(_xlfn._xlws.FILTER('Bite force'!$I:$I,
TRIM(LEFT('Bite force'!$A:$A,SEARCH(" ",'Bite force'!$A:$A&amp;" ")-1))=
TRIM(LEFT(A167,SEARCH(" ",A167&amp;" ")-1))
)),
1
)
)</f>
        <v>1</v>
      </c>
    </row>
    <row r="168" spans="1:3" x14ac:dyDescent="0.25">
      <c r="A168" s="2" t="str">
        <f>'[1]Base stats'!$B168</f>
        <v>Daspletosuchus ferox</v>
      </c>
      <c r="B168" s="23">
        <f>_xlfn.XLOOKUP(A168,'[1]Base stats'!$B:$B,'[1]Base stats'!$O:$O)</f>
        <v>0</v>
      </c>
      <c r="C168" s="20" cm="1">
        <f t="array" ref="C168">IF(
SUMPRODUCT(--(
TRIM(LEFT('Bite force'!$A:$A,SEARCH("§",SUBSTITUTE('Bite force'!$A:$A," ","§",2)&amp;"§")-1))=
TRIM(LEFT(A168,SEARCH("§",SUBSTITUTE(A168," ","§",2)&amp;"§")-1))
))&gt;0,
IF(
COUNT(_xlfn._xlws.FILTER('Bite force'!$I:$I,
TRIM(LEFT('Bite force'!$A:$A,SEARCH("§",SUBSTITUTE('Bite force'!$A:$A," ","§",2)&amp;"§")-1))=
TRIM(LEFT(A168,SEARCH("§",SUBSTITUTE(A168," ","§",2)&amp;"§")-1))
))=0,
1,
IF(
B168=2,
AVERAGE(_xlfn._xlws.FILTER('Bite force'!$I:$I,
TRIM(LEFT('Bite force'!$A:$A,SEARCH("§",SUBSTITUTE('Bite force'!$A:$A," ","§",2)&amp;"§")-1))=
TRIM(LEFT(A168,SEARCH("§",SUBSTITUTE(A168," ","§",2)&amp;"§")-1))
)),
MAX(_xlfn._xlws.FILTER('Bite force'!$I:$I,
TRIM(LEFT('Bite force'!$A:$A,SEARCH("§",SUBSTITUTE('Bite force'!$A:$A," ","§",2)&amp;"§")-1))=
TRIM(LEFT(A168,SEARCH("§",SUBSTITUTE(A168," ","§",2)&amp;"§")-1))
))
)
),
IFERROR(
AVERAGE(_xlfn._xlws.FILTER('Bite force'!$I:$I,
TRIM(LEFT('Bite force'!$A:$A,SEARCH(" ",'Bite force'!$A:$A&amp;" ")-1))=
TRIM(LEFT(A168,SEARCH(" ",A168&amp;" ")-1))
)),
1
)
)</f>
        <v>1</v>
      </c>
    </row>
    <row r="169" spans="1:3" x14ac:dyDescent="0.25">
      <c r="A169" s="2" t="str">
        <f>'[1]Base stats'!$B169</f>
        <v>Asciotaurus validus</v>
      </c>
      <c r="B169" s="23">
        <f>_xlfn.XLOOKUP(A169,'[1]Base stats'!$B:$B,'[1]Base stats'!$O:$O)</f>
        <v>0</v>
      </c>
      <c r="C169" s="20" cm="1">
        <f t="array" ref="C169">IF(
SUMPRODUCT(--(
TRIM(LEFT('Bite force'!$A:$A,SEARCH("§",SUBSTITUTE('Bite force'!$A:$A," ","§",2)&amp;"§")-1))=
TRIM(LEFT(A169,SEARCH("§",SUBSTITUTE(A169," ","§",2)&amp;"§")-1))
))&gt;0,
IF(
COUNT(_xlfn._xlws.FILTER('Bite force'!$I:$I,
TRIM(LEFT('Bite force'!$A:$A,SEARCH("§",SUBSTITUTE('Bite force'!$A:$A," ","§",2)&amp;"§")-1))=
TRIM(LEFT(A169,SEARCH("§",SUBSTITUTE(A169," ","§",2)&amp;"§")-1))
))=0,
1,
IF(
B169=2,
AVERAGE(_xlfn._xlws.FILTER('Bite force'!$I:$I,
TRIM(LEFT('Bite force'!$A:$A,SEARCH("§",SUBSTITUTE('Bite force'!$A:$A," ","§",2)&amp;"§")-1))=
TRIM(LEFT(A169,SEARCH("§",SUBSTITUTE(A169," ","§",2)&amp;"§")-1))
)),
MAX(_xlfn._xlws.FILTER('Bite force'!$I:$I,
TRIM(LEFT('Bite force'!$A:$A,SEARCH("§",SUBSTITUTE('Bite force'!$A:$A," ","§",2)&amp;"§")-1))=
TRIM(LEFT(A169,SEARCH("§",SUBSTITUTE(A169," ","§",2)&amp;"§")-1))
))
)
),
IFERROR(
AVERAGE(_xlfn._xlws.FILTER('Bite force'!$I:$I,
TRIM(LEFT('Bite force'!$A:$A,SEARCH(" ",'Bite force'!$A:$A&amp;" ")-1))=
TRIM(LEFT(A169,SEARCH(" ",A169&amp;" ")-1))
)),
1
)
)</f>
        <v>1</v>
      </c>
    </row>
    <row r="170" spans="1:3" x14ac:dyDescent="0.25">
      <c r="A170" s="2" t="str">
        <f>'[1]Base stats'!$B170</f>
        <v>Arthropython serpentes</v>
      </c>
      <c r="B170" s="23">
        <f>_xlfn.XLOOKUP(A170,'[1]Base stats'!$B:$B,'[1]Base stats'!$O:$O)</f>
        <v>0</v>
      </c>
      <c r="C170" s="20" cm="1">
        <f t="array" ref="C170">IF(
SUMPRODUCT(--(
TRIM(LEFT('Bite force'!$A:$A,SEARCH("§",SUBSTITUTE('Bite force'!$A:$A," ","§",2)&amp;"§")-1))=
TRIM(LEFT(A170,SEARCH("§",SUBSTITUTE(A170," ","§",2)&amp;"§")-1))
))&gt;0,
IF(
COUNT(_xlfn._xlws.FILTER('Bite force'!$I:$I,
TRIM(LEFT('Bite force'!$A:$A,SEARCH("§",SUBSTITUTE('Bite force'!$A:$A," ","§",2)&amp;"§")-1))=
TRIM(LEFT(A170,SEARCH("§",SUBSTITUTE(A170," ","§",2)&amp;"§")-1))
))=0,
1,
IF(
B170=2,
AVERAGE(_xlfn._xlws.FILTER('Bite force'!$I:$I,
TRIM(LEFT('Bite force'!$A:$A,SEARCH("§",SUBSTITUTE('Bite force'!$A:$A," ","§",2)&amp;"§")-1))=
TRIM(LEFT(A170,SEARCH("§",SUBSTITUTE(A170," ","§",2)&amp;"§")-1))
)),
MAX(_xlfn._xlws.FILTER('Bite force'!$I:$I,
TRIM(LEFT('Bite force'!$A:$A,SEARCH("§",SUBSTITUTE('Bite force'!$A:$A," ","§",2)&amp;"§")-1))=
TRIM(LEFT(A170,SEARCH("§",SUBSTITUTE(A170," ","§",2)&amp;"§")-1))
))
)
),
IFERROR(
AVERAGE(_xlfn._xlws.FILTER('Bite force'!$I:$I,
TRIM(LEFT('Bite force'!$A:$A,SEARCH(" ",'Bite force'!$A:$A&amp;" ")-1))=
TRIM(LEFT(A170,SEARCH(" ",A170&amp;" ")-1))
)),
1
)
)</f>
        <v>1</v>
      </c>
    </row>
    <row r="171" spans="1:3" x14ac:dyDescent="0.25">
      <c r="A171" s="2" t="str">
        <f>'[1]Base stats'!$B171</f>
        <v>Talpobaena armata</v>
      </c>
      <c r="B171" s="23">
        <f>_xlfn.XLOOKUP(A171,'[1]Base stats'!$B:$B,'[1]Base stats'!$O:$O)</f>
        <v>0</v>
      </c>
      <c r="C171" s="20" cm="1">
        <f t="array" ref="C171">IF(
SUMPRODUCT(--(
TRIM(LEFT('Bite force'!$A:$A,SEARCH("§",SUBSTITUTE('Bite force'!$A:$A," ","§",2)&amp;"§")-1))=
TRIM(LEFT(A171,SEARCH("§",SUBSTITUTE(A171," ","§",2)&amp;"§")-1))
))&gt;0,
IF(
COUNT(_xlfn._xlws.FILTER('Bite force'!$I:$I,
TRIM(LEFT('Bite force'!$A:$A,SEARCH("§",SUBSTITUTE('Bite force'!$A:$A," ","§",2)&amp;"§")-1))=
TRIM(LEFT(A171,SEARCH("§",SUBSTITUTE(A171," ","§",2)&amp;"§")-1))
))=0,
1,
IF(
B171=2,
AVERAGE(_xlfn._xlws.FILTER('Bite force'!$I:$I,
TRIM(LEFT('Bite force'!$A:$A,SEARCH("§",SUBSTITUTE('Bite force'!$A:$A," ","§",2)&amp;"§")-1))=
TRIM(LEFT(A171,SEARCH("§",SUBSTITUTE(A171," ","§",2)&amp;"§")-1))
)),
MAX(_xlfn._xlws.FILTER('Bite force'!$I:$I,
TRIM(LEFT('Bite force'!$A:$A,SEARCH("§",SUBSTITUTE('Bite force'!$A:$A," ","§",2)&amp;"§")-1))=
TRIM(LEFT(A171,SEARCH("§",SUBSTITUTE(A171," ","§",2)&amp;"§")-1))
))
)
),
IFERROR(
AVERAGE(_xlfn._xlws.FILTER('Bite force'!$I:$I,
TRIM(LEFT('Bite force'!$A:$A,SEARCH(" ",'Bite force'!$A:$A&amp;" ")-1))=
TRIM(LEFT(A171,SEARCH(" ",A171&amp;" ")-1))
)),
1
)
)</f>
        <v>1</v>
      </c>
    </row>
    <row r="172" spans="1:3" x14ac:dyDescent="0.25">
      <c r="A172" s="2" t="str">
        <f>'[1]Base stats'!$B172</f>
        <v>Paragnathus paradocus</v>
      </c>
      <c r="B172" s="23">
        <f>_xlfn.XLOOKUP(A172,'[1]Base stats'!$B:$B,'[1]Base stats'!$O:$O)</f>
        <v>0</v>
      </c>
      <c r="C172" s="20" cm="1">
        <f t="array" ref="C172">IF(
SUMPRODUCT(--(
TRIM(LEFT('Bite force'!$A:$A,SEARCH("§",SUBSTITUTE('Bite force'!$A:$A," ","§",2)&amp;"§")-1))=
TRIM(LEFT(A172,SEARCH("§",SUBSTITUTE(A172," ","§",2)&amp;"§")-1))
))&gt;0,
IF(
COUNT(_xlfn._xlws.FILTER('Bite force'!$I:$I,
TRIM(LEFT('Bite force'!$A:$A,SEARCH("§",SUBSTITUTE('Bite force'!$A:$A," ","§",2)&amp;"§")-1))=
TRIM(LEFT(A172,SEARCH("§",SUBSTITUTE(A172," ","§",2)&amp;"§")-1))
))=0,
1,
IF(
B172=2,
AVERAGE(_xlfn._xlws.FILTER('Bite force'!$I:$I,
TRIM(LEFT('Bite force'!$A:$A,SEARCH("§",SUBSTITUTE('Bite force'!$A:$A," ","§",2)&amp;"§")-1))=
TRIM(LEFT(A172,SEARCH("§",SUBSTITUTE(A172," ","§",2)&amp;"§")-1))
)),
MAX(_xlfn._xlws.FILTER('Bite force'!$I:$I,
TRIM(LEFT('Bite force'!$A:$A,SEARCH("§",SUBSTITUTE('Bite force'!$A:$A," ","§",2)&amp;"§")-1))=
TRIM(LEFT(A172,SEARCH("§",SUBSTITUTE(A172," ","§",2)&amp;"§")-1))
))
)
),
IFERROR(
AVERAGE(_xlfn._xlws.FILTER('Bite force'!$I:$I,
TRIM(LEFT('Bite force'!$A:$A,SEARCH(" ",'Bite force'!$A:$A&amp;" ")-1))=
TRIM(LEFT(A172,SEARCH(" ",A172&amp;" ")-1))
)),
1
)
)</f>
        <v>1</v>
      </c>
    </row>
    <row r="173" spans="1:3" x14ac:dyDescent="0.25">
      <c r="A173" s="2" t="str">
        <f>'[1]Base stats'!$B173</f>
        <v>Mustela nigripes</v>
      </c>
      <c r="B173" s="23">
        <f>_xlfn.XLOOKUP(A173,'[1]Base stats'!$B:$B,'[1]Base stats'!$O:$O)</f>
        <v>0</v>
      </c>
      <c r="C173" s="20" cm="1">
        <f t="array" ref="C173">IF(
SUMPRODUCT(--(
TRIM(LEFT('Bite force'!$A:$A,SEARCH("§",SUBSTITUTE('Bite force'!$A:$A," ","§",2)&amp;"§")-1))=
TRIM(LEFT(A173,SEARCH("§",SUBSTITUTE(A173," ","§",2)&amp;"§")-1))
))&gt;0,
IF(
COUNT(_xlfn._xlws.FILTER('Bite force'!$I:$I,
TRIM(LEFT('Bite force'!$A:$A,SEARCH("§",SUBSTITUTE('Bite force'!$A:$A," ","§",2)&amp;"§")-1))=
TRIM(LEFT(A173,SEARCH("§",SUBSTITUTE(A173," ","§",2)&amp;"§")-1))
))=0,
1,
IF(
B173=2,
AVERAGE(_xlfn._xlws.FILTER('Bite force'!$I:$I,
TRIM(LEFT('Bite force'!$A:$A,SEARCH("§",SUBSTITUTE('Bite force'!$A:$A," ","§",2)&amp;"§")-1))=
TRIM(LEFT(A173,SEARCH("§",SUBSTITUTE(A173," ","§",2)&amp;"§")-1))
)),
MAX(_xlfn._xlws.FILTER('Bite force'!$I:$I,
TRIM(LEFT('Bite force'!$A:$A,SEARCH("§",SUBSTITUTE('Bite force'!$A:$A," ","§",2)&amp;"§")-1))=
TRIM(LEFT(A173,SEARCH("§",SUBSTITUTE(A173," ","§",2)&amp;"§")-1))
))
)
),
IFERROR(
AVERAGE(_xlfn._xlws.FILTER('Bite force'!$I:$I,
TRIM(LEFT('Bite force'!$A:$A,SEARCH(" ",'Bite force'!$A:$A&amp;" ")-1))=
TRIM(LEFT(A173,SEARCH(" ",A173&amp;" ")-1))
)),
1
)
)</f>
        <v>1.0412716373482354</v>
      </c>
    </row>
    <row r="174" spans="1:3" x14ac:dyDescent="0.25">
      <c r="A174" s="2" t="str">
        <f>'[1]Base stats'!$B174</f>
        <v>Diceros bicornis</v>
      </c>
      <c r="B174" s="23">
        <f>_xlfn.XLOOKUP(A174,'[1]Base stats'!$B:$B,'[1]Base stats'!$O:$O)</f>
        <v>0</v>
      </c>
      <c r="C174" s="20" cm="1">
        <f t="array" ref="C174">IF(
SUMPRODUCT(--(
TRIM(LEFT('Bite force'!$A:$A,SEARCH("§",SUBSTITUTE('Bite force'!$A:$A," ","§",2)&amp;"§")-1))=
TRIM(LEFT(A174,SEARCH("§",SUBSTITUTE(A174," ","§",2)&amp;"§")-1))
))&gt;0,
IF(
COUNT(_xlfn._xlws.FILTER('Bite force'!$I:$I,
TRIM(LEFT('Bite force'!$A:$A,SEARCH("§",SUBSTITUTE('Bite force'!$A:$A," ","§",2)&amp;"§")-1))=
TRIM(LEFT(A174,SEARCH("§",SUBSTITUTE(A174," ","§",2)&amp;"§")-1))
))=0,
1,
IF(
B174=2,
AVERAGE(_xlfn._xlws.FILTER('Bite force'!$I:$I,
TRIM(LEFT('Bite force'!$A:$A,SEARCH("§",SUBSTITUTE('Bite force'!$A:$A," ","§",2)&amp;"§")-1))=
TRIM(LEFT(A174,SEARCH("§",SUBSTITUTE(A174," ","§",2)&amp;"§")-1))
)),
MAX(_xlfn._xlws.FILTER('Bite force'!$I:$I,
TRIM(LEFT('Bite force'!$A:$A,SEARCH("§",SUBSTITUTE('Bite force'!$A:$A," ","§",2)&amp;"§")-1))=
TRIM(LEFT(A174,SEARCH("§",SUBSTITUTE(A174," ","§",2)&amp;"§")-1))
))
)
),
IFERROR(
AVERAGE(_xlfn._xlws.FILTER('Bite force'!$I:$I,
TRIM(LEFT('Bite force'!$A:$A,SEARCH(" ",'Bite force'!$A:$A&amp;" ")-1))=
TRIM(LEFT(A174,SEARCH(" ",A174&amp;" ")-1))
)),
1
)
)</f>
        <v>1</v>
      </c>
    </row>
    <row r="175" spans="1:3" x14ac:dyDescent="0.25">
      <c r="A175" s="2" t="str">
        <f>'[1]Base stats'!$B175</f>
        <v>Pan paniscus</v>
      </c>
      <c r="B175" s="23">
        <f>_xlfn.XLOOKUP(A175,'[1]Base stats'!$B:$B,'[1]Base stats'!$O:$O)</f>
        <v>0</v>
      </c>
      <c r="C175" s="20" cm="1">
        <f t="array" ref="C175">IF(
SUMPRODUCT(--(
TRIM(LEFT('Bite force'!$A:$A,SEARCH("§",SUBSTITUTE('Bite force'!$A:$A," ","§",2)&amp;"§")-1))=
TRIM(LEFT(A175,SEARCH("§",SUBSTITUTE(A175," ","§",2)&amp;"§")-1))
))&gt;0,
IF(
COUNT(_xlfn._xlws.FILTER('Bite force'!$I:$I,
TRIM(LEFT('Bite force'!$A:$A,SEARCH("§",SUBSTITUTE('Bite force'!$A:$A," ","§",2)&amp;"§")-1))=
TRIM(LEFT(A175,SEARCH("§",SUBSTITUTE(A175," ","§",2)&amp;"§")-1))
))=0,
1,
IF(
B175=2,
AVERAGE(_xlfn._xlws.FILTER('Bite force'!$I:$I,
TRIM(LEFT('Bite force'!$A:$A,SEARCH("§",SUBSTITUTE('Bite force'!$A:$A," ","§",2)&amp;"§")-1))=
TRIM(LEFT(A175,SEARCH("§",SUBSTITUTE(A175," ","§",2)&amp;"§")-1))
)),
MAX(_xlfn._xlws.FILTER('Bite force'!$I:$I,
TRIM(LEFT('Bite force'!$A:$A,SEARCH("§",SUBSTITUTE('Bite force'!$A:$A," ","§",2)&amp;"§")-1))=
TRIM(LEFT(A175,SEARCH("§",SUBSTITUTE(A175," ","§",2)&amp;"§")-1))
))
)
),
IFERROR(
AVERAGE(_xlfn._xlws.FILTER('Bite force'!$I:$I,
TRIM(LEFT('Bite force'!$A:$A,SEARCH(" ",'Bite force'!$A:$A&amp;" ")-1))=
TRIM(LEFT(A175,SEARCH(" ",A175&amp;" ")-1))
)),
1
)
)</f>
        <v>2.1366378200334371</v>
      </c>
    </row>
    <row r="176" spans="1:3" x14ac:dyDescent="0.25">
      <c r="A176" s="2" t="str">
        <f>'[1]Base stats'!$B176</f>
        <v>Dinornis novaezealandiae</v>
      </c>
      <c r="B176" s="23">
        <f>_xlfn.XLOOKUP(A176,'[1]Base stats'!$B:$B,'[1]Base stats'!$O:$O)</f>
        <v>0</v>
      </c>
      <c r="C176" s="20" cm="1">
        <f t="array" ref="C176">IF(
SUMPRODUCT(--(
TRIM(LEFT('Bite force'!$A:$A,SEARCH("§",SUBSTITUTE('Bite force'!$A:$A," ","§",2)&amp;"§")-1))=
TRIM(LEFT(A176,SEARCH("§",SUBSTITUTE(A176," ","§",2)&amp;"§")-1))
))&gt;0,
IF(
COUNT(_xlfn._xlws.FILTER('Bite force'!$I:$I,
TRIM(LEFT('Bite force'!$A:$A,SEARCH("§",SUBSTITUTE('Bite force'!$A:$A," ","§",2)&amp;"§")-1))=
TRIM(LEFT(A176,SEARCH("§",SUBSTITUTE(A176," ","§",2)&amp;"§")-1))
))=0,
1,
IF(
B176=2,
AVERAGE(_xlfn._xlws.FILTER('Bite force'!$I:$I,
TRIM(LEFT('Bite force'!$A:$A,SEARCH("§",SUBSTITUTE('Bite force'!$A:$A," ","§",2)&amp;"§")-1))=
TRIM(LEFT(A176,SEARCH("§",SUBSTITUTE(A176," ","§",2)&amp;"§")-1))
)),
MAX(_xlfn._xlws.FILTER('Bite force'!$I:$I,
TRIM(LEFT('Bite force'!$A:$A,SEARCH("§",SUBSTITUTE('Bite force'!$A:$A," ","§",2)&amp;"§")-1))=
TRIM(LEFT(A176,SEARCH("§",SUBSTITUTE(A176," ","§",2)&amp;"§")-1))
))
)
),
IFERROR(
AVERAGE(_xlfn._xlws.FILTER('Bite force'!$I:$I,
TRIM(LEFT('Bite force'!$A:$A,SEARCH(" ",'Bite force'!$A:$A&amp;" ")-1))=
TRIM(LEFT(A176,SEARCH(" ",A176&amp;" ")-1))
)),
1
)
)</f>
        <v>1</v>
      </c>
    </row>
    <row r="177" spans="1:3" x14ac:dyDescent="0.25">
      <c r="A177" s="2" t="str">
        <f>'[1]Base stats'!$B177</f>
        <v>Equus quagga</v>
      </c>
      <c r="B177" s="23">
        <f>_xlfn.XLOOKUP(A177,'[1]Base stats'!$B:$B,'[1]Base stats'!$O:$O)</f>
        <v>0</v>
      </c>
      <c r="C177" s="20" cm="1">
        <f t="array" ref="C177">IF(
SUMPRODUCT(--(
TRIM(LEFT('Bite force'!$A:$A,SEARCH("§",SUBSTITUTE('Bite force'!$A:$A," ","§",2)&amp;"§")-1))=
TRIM(LEFT(A177,SEARCH("§",SUBSTITUTE(A177," ","§",2)&amp;"§")-1))
))&gt;0,
IF(
COUNT(_xlfn._xlws.FILTER('Bite force'!$I:$I,
TRIM(LEFT('Bite force'!$A:$A,SEARCH("§",SUBSTITUTE('Bite force'!$A:$A," ","§",2)&amp;"§")-1))=
TRIM(LEFT(A177,SEARCH("§",SUBSTITUTE(A177," ","§",2)&amp;"§")-1))
))=0,
1,
IF(
B177=2,
AVERAGE(_xlfn._xlws.FILTER('Bite force'!$I:$I,
TRIM(LEFT('Bite force'!$A:$A,SEARCH("§",SUBSTITUTE('Bite force'!$A:$A," ","§",2)&amp;"§")-1))=
TRIM(LEFT(A177,SEARCH("§",SUBSTITUTE(A177," ","§",2)&amp;"§")-1))
)),
MAX(_xlfn._xlws.FILTER('Bite force'!$I:$I,
TRIM(LEFT('Bite force'!$A:$A,SEARCH("§",SUBSTITUTE('Bite force'!$A:$A," ","§",2)&amp;"§")-1))=
TRIM(LEFT(A177,SEARCH("§",SUBSTITUTE(A177," ","§",2)&amp;"§")-1))
))
)
),
IFERROR(
AVERAGE(_xlfn._xlws.FILTER('Bite force'!$I:$I,
TRIM(LEFT('Bite force'!$A:$A,SEARCH(" ",'Bite force'!$A:$A&amp;" ")-1))=
TRIM(LEFT(A177,SEARCH(" ",A177&amp;" ")-1))
)),
1
)
)</f>
        <v>1</v>
      </c>
    </row>
    <row r="178" spans="1:3" x14ac:dyDescent="0.25">
      <c r="A178" s="2" t="str">
        <f>'[1]Base stats'!$B178</f>
        <v>Eudyptes chrysocome</v>
      </c>
      <c r="B178" s="23">
        <f>_xlfn.XLOOKUP(A178,'[1]Base stats'!$B:$B,'[1]Base stats'!$O:$O)</f>
        <v>0</v>
      </c>
      <c r="C178" s="20" cm="1">
        <f t="array" ref="C178">IF(
SUMPRODUCT(--(
TRIM(LEFT('Bite force'!$A:$A,SEARCH("§",SUBSTITUTE('Bite force'!$A:$A," ","§",2)&amp;"§")-1))=
TRIM(LEFT(A178,SEARCH("§",SUBSTITUTE(A178," ","§",2)&amp;"§")-1))
))&gt;0,
IF(
COUNT(_xlfn._xlws.FILTER('Bite force'!$I:$I,
TRIM(LEFT('Bite force'!$A:$A,SEARCH("§",SUBSTITUTE('Bite force'!$A:$A," ","§",2)&amp;"§")-1))=
TRIM(LEFT(A178,SEARCH("§",SUBSTITUTE(A178," ","§",2)&amp;"§")-1))
))=0,
1,
IF(
B178=2,
AVERAGE(_xlfn._xlws.FILTER('Bite force'!$I:$I,
TRIM(LEFT('Bite force'!$A:$A,SEARCH("§",SUBSTITUTE('Bite force'!$A:$A," ","§",2)&amp;"§")-1))=
TRIM(LEFT(A178,SEARCH("§",SUBSTITUTE(A178," ","§",2)&amp;"§")-1))
)),
MAX(_xlfn._xlws.FILTER('Bite force'!$I:$I,
TRIM(LEFT('Bite force'!$A:$A,SEARCH("§",SUBSTITUTE('Bite force'!$A:$A," ","§",2)&amp;"§")-1))=
TRIM(LEFT(A178,SEARCH("§",SUBSTITUTE(A178," ","§",2)&amp;"§")-1))
))
)
),
IFERROR(
AVERAGE(_xlfn._xlws.FILTER('Bite force'!$I:$I,
TRIM(LEFT('Bite force'!$A:$A,SEARCH(" ",'Bite force'!$A:$A&amp;" ")-1))=
TRIM(LEFT(A178,SEARCH(" ",A178&amp;" ")-1))
)),
1
)
)</f>
        <v>1</v>
      </c>
    </row>
    <row r="179" spans="1:3" x14ac:dyDescent="0.25">
      <c r="A179" s="2" t="str">
        <f>'[1]Base stats'!$B179</f>
        <v>Sarcophilus harrisii</v>
      </c>
      <c r="B179" s="23">
        <f>_xlfn.XLOOKUP(A179,'[1]Base stats'!$B:$B,'[1]Base stats'!$O:$O)</f>
        <v>0</v>
      </c>
      <c r="C179" s="20" cm="1">
        <f t="array" ref="C179">IF(
SUMPRODUCT(--(
TRIM(LEFT('Bite force'!$A:$A,SEARCH("§",SUBSTITUTE('Bite force'!$A:$A," ","§",2)&amp;"§")-1))=
TRIM(LEFT(A179,SEARCH("§",SUBSTITUTE(A179," ","§",2)&amp;"§")-1))
))&gt;0,
IF(
COUNT(_xlfn._xlws.FILTER('Bite force'!$I:$I,
TRIM(LEFT('Bite force'!$A:$A,SEARCH("§",SUBSTITUTE('Bite force'!$A:$A," ","§",2)&amp;"§")-1))=
TRIM(LEFT(A179,SEARCH("§",SUBSTITUTE(A179," ","§",2)&amp;"§")-1))
))=0,
1,
IF(
B179=2,
AVERAGE(_xlfn._xlws.FILTER('Bite force'!$I:$I,
TRIM(LEFT('Bite force'!$A:$A,SEARCH("§",SUBSTITUTE('Bite force'!$A:$A," ","§",2)&amp;"§")-1))=
TRIM(LEFT(A179,SEARCH("§",SUBSTITUTE(A179," ","§",2)&amp;"§")-1))
)),
MAX(_xlfn._xlws.FILTER('Bite force'!$I:$I,
TRIM(LEFT('Bite force'!$A:$A,SEARCH("§",SUBSTITUTE('Bite force'!$A:$A," ","§",2)&amp;"§")-1))=
TRIM(LEFT(A179,SEARCH("§",SUBSTITUTE(A179," ","§",2)&amp;"§")-1))
))
)
),
IFERROR(
AVERAGE(_xlfn._xlws.FILTER('Bite force'!$I:$I,
TRIM(LEFT('Bite force'!$A:$A,SEARCH(" ",'Bite force'!$A:$A&amp;" ")-1))=
TRIM(LEFT(A179,SEARCH(" ",A179&amp;" ")-1))
)),
1
)
)</f>
        <v>1</v>
      </c>
    </row>
    <row r="180" spans="1:3" x14ac:dyDescent="0.25">
      <c r="A180" s="2" t="str">
        <f>'[1]Base stats'!$B180</f>
        <v>Thylacinus cynocephalus</v>
      </c>
      <c r="B180" s="23">
        <f>_xlfn.XLOOKUP(A180,'[1]Base stats'!$B:$B,'[1]Base stats'!$O:$O)</f>
        <v>0</v>
      </c>
      <c r="C180" s="20" cm="1">
        <f t="array" ref="C180">IF(
SUMPRODUCT(--(
TRIM(LEFT('Bite force'!$A:$A,SEARCH("§",SUBSTITUTE('Bite force'!$A:$A," ","§",2)&amp;"§")-1))=
TRIM(LEFT(A180,SEARCH("§",SUBSTITUTE(A180," ","§",2)&amp;"§")-1))
))&gt;0,
IF(
COUNT(_xlfn._xlws.FILTER('Bite force'!$I:$I,
TRIM(LEFT('Bite force'!$A:$A,SEARCH("§",SUBSTITUTE('Bite force'!$A:$A," ","§",2)&amp;"§")-1))=
TRIM(LEFT(A180,SEARCH("§",SUBSTITUTE(A180," ","§",2)&amp;"§")-1))
))=0,
1,
IF(
B180=2,
AVERAGE(_xlfn._xlws.FILTER('Bite force'!$I:$I,
TRIM(LEFT('Bite force'!$A:$A,SEARCH("§",SUBSTITUTE('Bite force'!$A:$A," ","§",2)&amp;"§")-1))=
TRIM(LEFT(A180,SEARCH("§",SUBSTITUTE(A180," ","§",2)&amp;"§")-1))
)),
MAX(_xlfn._xlws.FILTER('Bite force'!$I:$I,
TRIM(LEFT('Bite force'!$A:$A,SEARCH("§",SUBSTITUTE('Bite force'!$A:$A," ","§",2)&amp;"§")-1))=
TRIM(LEFT(A180,SEARCH("§",SUBSTITUTE(A180," ","§",2)&amp;"§")-1))
))
)
),
IFERROR(
AVERAGE(_xlfn._xlws.FILTER('Bite force'!$I:$I,
TRIM(LEFT('Bite force'!$A:$A,SEARCH(" ",'Bite force'!$A:$A&amp;" ")-1))=
TRIM(LEFT(A180,SEARCH(" ",A180&amp;" ")-1))
)),
1
)
)</f>
        <v>1</v>
      </c>
    </row>
    <row r="181" spans="1:3" x14ac:dyDescent="0.25">
      <c r="A181" s="2" t="str">
        <f>'[1]Base stats'!$B181</f>
        <v>Lycaon pictus</v>
      </c>
      <c r="B181" s="23">
        <f>_xlfn.XLOOKUP(A181,'[1]Base stats'!$B:$B,'[1]Base stats'!$O:$O)</f>
        <v>0</v>
      </c>
      <c r="C181" s="20" cm="1">
        <f t="array" ref="C181">IF(
SUMPRODUCT(--(
TRIM(LEFT('Bite force'!$A:$A,SEARCH("§",SUBSTITUTE('Bite force'!$A:$A," ","§",2)&amp;"§")-1))=
TRIM(LEFT(A181,SEARCH("§",SUBSTITUTE(A181," ","§",2)&amp;"§")-1))
))&gt;0,
IF(
COUNT(_xlfn._xlws.FILTER('Bite force'!$I:$I,
TRIM(LEFT('Bite force'!$A:$A,SEARCH("§",SUBSTITUTE('Bite force'!$A:$A," ","§",2)&amp;"§")-1))=
TRIM(LEFT(A181,SEARCH("§",SUBSTITUTE(A181," ","§",2)&amp;"§")-1))
))=0,
1,
IF(
B181=2,
AVERAGE(_xlfn._xlws.FILTER('Bite force'!$I:$I,
TRIM(LEFT('Bite force'!$A:$A,SEARCH("§",SUBSTITUTE('Bite force'!$A:$A," ","§",2)&amp;"§")-1))=
TRIM(LEFT(A181,SEARCH("§",SUBSTITUTE(A181," ","§",2)&amp;"§")-1))
)),
MAX(_xlfn._xlws.FILTER('Bite force'!$I:$I,
TRIM(LEFT('Bite force'!$A:$A,SEARCH("§",SUBSTITUTE('Bite force'!$A:$A," ","§",2)&amp;"§")-1))=
TRIM(LEFT(A181,SEARCH("§",SUBSTITUTE(A181," ","§",2)&amp;"§")-1))
))
)
),
IFERROR(
AVERAGE(_xlfn._xlws.FILTER('Bite force'!$I:$I,
TRIM(LEFT('Bite force'!$A:$A,SEARCH(" ",'Bite force'!$A:$A&amp;" ")-1))=
TRIM(LEFT(A181,SEARCH(" ",A181&amp;" ")-1))
)),
1
)
)</f>
        <v>1.0082933526504601</v>
      </c>
    </row>
    <row r="182" spans="1:3" x14ac:dyDescent="0.25">
      <c r="A182" s="2" t="str">
        <f>'[1]Base stats'!$B182</f>
        <v>Manis crassicaudata</v>
      </c>
      <c r="B182" s="23">
        <f>_xlfn.XLOOKUP(A182,'[1]Base stats'!$B:$B,'[1]Base stats'!$O:$O)</f>
        <v>0</v>
      </c>
      <c r="C182" s="20" cm="1">
        <f t="array" ref="C182">IF(
SUMPRODUCT(--(
TRIM(LEFT('Bite force'!$A:$A,SEARCH("§",SUBSTITUTE('Bite force'!$A:$A," ","§",2)&amp;"§")-1))=
TRIM(LEFT(A182,SEARCH("§",SUBSTITUTE(A182," ","§",2)&amp;"§")-1))
))&gt;0,
IF(
COUNT(_xlfn._xlws.FILTER('Bite force'!$I:$I,
TRIM(LEFT('Bite force'!$A:$A,SEARCH("§",SUBSTITUTE('Bite force'!$A:$A," ","§",2)&amp;"§")-1))=
TRIM(LEFT(A182,SEARCH("§",SUBSTITUTE(A182," ","§",2)&amp;"§")-1))
))=0,
1,
IF(
B182=2,
AVERAGE(_xlfn._xlws.FILTER('Bite force'!$I:$I,
TRIM(LEFT('Bite force'!$A:$A,SEARCH("§",SUBSTITUTE('Bite force'!$A:$A," ","§",2)&amp;"§")-1))=
TRIM(LEFT(A182,SEARCH("§",SUBSTITUTE(A182," ","§",2)&amp;"§")-1))
)),
MAX(_xlfn._xlws.FILTER('Bite force'!$I:$I,
TRIM(LEFT('Bite force'!$A:$A,SEARCH("§",SUBSTITUTE('Bite force'!$A:$A," ","§",2)&amp;"§")-1))=
TRIM(LEFT(A182,SEARCH("§",SUBSTITUTE(A182," ","§",2)&amp;"§")-1))
))
)
),
IFERROR(
AVERAGE(_xlfn._xlws.FILTER('Bite force'!$I:$I,
TRIM(LEFT('Bite force'!$A:$A,SEARCH(" ",'Bite force'!$A:$A&amp;" ")-1))=
TRIM(LEFT(A182,SEARCH(" ",A182&amp;" ")-1))
)),
1
)
)</f>
        <v>1</v>
      </c>
    </row>
    <row r="183" spans="1:3" x14ac:dyDescent="0.25">
      <c r="A183" s="2" t="str">
        <f>'[1]Base stats'!$B183</f>
        <v>Hydra toxifera</v>
      </c>
      <c r="B183" s="23">
        <f>_xlfn.XLOOKUP(A183,'[1]Base stats'!$B:$B,'[1]Base stats'!$O:$O)</f>
        <v>0</v>
      </c>
      <c r="C183" s="20" cm="1">
        <f t="array" ref="C183">IF(
SUMPRODUCT(--(
TRIM(LEFT('Bite force'!$A:$A,SEARCH("§",SUBSTITUTE('Bite force'!$A:$A," ","§",2)&amp;"§")-1))=
TRIM(LEFT(A183,SEARCH("§",SUBSTITUTE(A183," ","§",2)&amp;"§")-1))
))&gt;0,
IF(
COUNT(_xlfn._xlws.FILTER('Bite force'!$I:$I,
TRIM(LEFT('Bite force'!$A:$A,SEARCH("§",SUBSTITUTE('Bite force'!$A:$A," ","§",2)&amp;"§")-1))=
TRIM(LEFT(A183,SEARCH("§",SUBSTITUTE(A183," ","§",2)&amp;"§")-1))
))=0,
1,
IF(
B183=2,
AVERAGE(_xlfn._xlws.FILTER('Bite force'!$I:$I,
TRIM(LEFT('Bite force'!$A:$A,SEARCH("§",SUBSTITUTE('Bite force'!$A:$A," ","§",2)&amp;"§")-1))=
TRIM(LEFT(A183,SEARCH("§",SUBSTITUTE(A183," ","§",2)&amp;"§")-1))
)),
MAX(_xlfn._xlws.FILTER('Bite force'!$I:$I,
TRIM(LEFT('Bite force'!$A:$A,SEARCH("§",SUBSTITUTE('Bite force'!$A:$A," ","§",2)&amp;"§")-1))=
TRIM(LEFT(A183,SEARCH("§",SUBSTITUTE(A183," ","§",2)&amp;"§")-1))
))
)
),
IFERROR(
AVERAGE(_xlfn._xlws.FILTER('Bite force'!$I:$I,
TRIM(LEFT('Bite force'!$A:$A,SEARCH(" ",'Bite force'!$A:$A&amp;" ")-1))=
TRIM(LEFT(A183,SEARCH(" ",A183&amp;" ")-1))
)),
1
)
)</f>
        <v>1</v>
      </c>
    </row>
    <row r="184" spans="1:3" x14ac:dyDescent="0.25">
      <c r="A184" s="2" t="str">
        <f>'[1]Base stats'!$B184</f>
        <v>Megatardi gigantea</v>
      </c>
      <c r="B184" s="23">
        <f>_xlfn.XLOOKUP(A184,'[1]Base stats'!$B:$B,'[1]Base stats'!$O:$O)</f>
        <v>0</v>
      </c>
      <c r="C184" s="20" cm="1">
        <f t="array" ref="C184">IF(
SUMPRODUCT(--(
TRIM(LEFT('Bite force'!$A:$A,SEARCH("§",SUBSTITUTE('Bite force'!$A:$A," ","§",2)&amp;"§")-1))=
TRIM(LEFT(A184,SEARCH("§",SUBSTITUTE(A184," ","§",2)&amp;"§")-1))
))&gt;0,
IF(
COUNT(_xlfn._xlws.FILTER('Bite force'!$I:$I,
TRIM(LEFT('Bite force'!$A:$A,SEARCH("§",SUBSTITUTE('Bite force'!$A:$A," ","§",2)&amp;"§")-1))=
TRIM(LEFT(A184,SEARCH("§",SUBSTITUTE(A184," ","§",2)&amp;"§")-1))
))=0,
1,
IF(
B184=2,
AVERAGE(_xlfn._xlws.FILTER('Bite force'!$I:$I,
TRIM(LEFT('Bite force'!$A:$A,SEARCH("§",SUBSTITUTE('Bite force'!$A:$A," ","§",2)&amp;"§")-1))=
TRIM(LEFT(A184,SEARCH("§",SUBSTITUTE(A184," ","§",2)&amp;"§")-1))
)),
MAX(_xlfn._xlws.FILTER('Bite force'!$I:$I,
TRIM(LEFT('Bite force'!$A:$A,SEARCH("§",SUBSTITUTE('Bite force'!$A:$A," ","§",2)&amp;"§")-1))=
TRIM(LEFT(A184,SEARCH("§",SUBSTITUTE(A184," ","§",2)&amp;"§")-1))
))
)
),
IFERROR(
AVERAGE(_xlfn._xlws.FILTER('Bite force'!$I:$I,
TRIM(LEFT('Bite force'!$A:$A,SEARCH(" ",'Bite force'!$A:$A&amp;" ")-1))=
TRIM(LEFT(A184,SEARCH(" ",A184&amp;" ")-1))
)),
1
)
)</f>
        <v>1</v>
      </c>
    </row>
    <row r="185" spans="1:3" x14ac:dyDescent="0.25">
      <c r="A185" s="2" t="str">
        <f>'[1]Base stats'!$B185</f>
        <v>Pestigator ferox</v>
      </c>
      <c r="B185" s="23">
        <f>_xlfn.XLOOKUP(A185,'[1]Base stats'!$B:$B,'[1]Base stats'!$O:$O)</f>
        <v>0</v>
      </c>
      <c r="C185" s="20" cm="1">
        <f t="array" ref="C185">IF(
SUMPRODUCT(--(
TRIM(LEFT('Bite force'!$A:$A,SEARCH("§",SUBSTITUTE('Bite force'!$A:$A," ","§",2)&amp;"§")-1))=
TRIM(LEFT(A185,SEARCH("§",SUBSTITUTE(A185," ","§",2)&amp;"§")-1))
))&gt;0,
IF(
COUNT(_xlfn._xlws.FILTER('Bite force'!$I:$I,
TRIM(LEFT('Bite force'!$A:$A,SEARCH("§",SUBSTITUTE('Bite force'!$A:$A," ","§",2)&amp;"§")-1))=
TRIM(LEFT(A185,SEARCH("§",SUBSTITUTE(A185," ","§",2)&amp;"§")-1))
))=0,
1,
IF(
B185=2,
AVERAGE(_xlfn._xlws.FILTER('Bite force'!$I:$I,
TRIM(LEFT('Bite force'!$A:$A,SEARCH("§",SUBSTITUTE('Bite force'!$A:$A," ","§",2)&amp;"§")-1))=
TRIM(LEFT(A185,SEARCH("§",SUBSTITUTE(A185," ","§",2)&amp;"§")-1))
)),
MAX(_xlfn._xlws.FILTER('Bite force'!$I:$I,
TRIM(LEFT('Bite force'!$A:$A,SEARCH("§",SUBSTITUTE('Bite force'!$A:$A," ","§",2)&amp;"§")-1))=
TRIM(LEFT(A185,SEARCH("§",SUBSTITUTE(A185," ","§",2)&amp;"§")-1))
))
)
),
IFERROR(
AVERAGE(_xlfn._xlws.FILTER('Bite force'!$I:$I,
TRIM(LEFT('Bite force'!$A:$A,SEARCH(" ",'Bite force'!$A:$A&amp;" ")-1))=
TRIM(LEFT(A185,SEARCH(" ",A185&amp;" ")-1))
)),
1
)
)</f>
        <v>1</v>
      </c>
    </row>
    <row r="186" spans="1:3" x14ac:dyDescent="0.25">
      <c r="A186" s="2" t="str">
        <f>'[1]Base stats'!$B186</f>
        <v>Vulpes toxifera</v>
      </c>
      <c r="B186" s="23">
        <f>_xlfn.XLOOKUP(A186,'[1]Base stats'!$B:$B,'[1]Base stats'!$O:$O)</f>
        <v>0</v>
      </c>
      <c r="C186" s="20" cm="1">
        <f t="array" ref="C186">IF(
SUMPRODUCT(--(
TRIM(LEFT('Bite force'!$A:$A,SEARCH("§",SUBSTITUTE('Bite force'!$A:$A," ","§",2)&amp;"§")-1))=
TRIM(LEFT(A186,SEARCH("§",SUBSTITUTE(A186," ","§",2)&amp;"§")-1))
))&gt;0,
IF(
COUNT(_xlfn._xlws.FILTER('Bite force'!$I:$I,
TRIM(LEFT('Bite force'!$A:$A,SEARCH("§",SUBSTITUTE('Bite force'!$A:$A," ","§",2)&amp;"§")-1))=
TRIM(LEFT(A186,SEARCH("§",SUBSTITUTE(A186," ","§",2)&amp;"§")-1))
))=0,
1,
IF(
B186=2,
AVERAGE(_xlfn._xlws.FILTER('Bite force'!$I:$I,
TRIM(LEFT('Bite force'!$A:$A,SEARCH("§",SUBSTITUTE('Bite force'!$A:$A," ","§",2)&amp;"§")-1))=
TRIM(LEFT(A186,SEARCH("§",SUBSTITUTE(A186," ","§",2)&amp;"§")-1))
)),
MAX(_xlfn._xlws.FILTER('Bite force'!$I:$I,
TRIM(LEFT('Bite force'!$A:$A,SEARCH("§",SUBSTITUTE('Bite force'!$A:$A," ","§",2)&amp;"§")-1))=
TRIM(LEFT(A186,SEARCH("§",SUBSTITUTE(A186," ","§",2)&amp;"§")-1))
))
)
),
IFERROR(
AVERAGE(_xlfn._xlws.FILTER('Bite force'!$I:$I,
TRIM(LEFT('Bite force'!$A:$A,SEARCH(" ",'Bite force'!$A:$A&amp;" ")-1))=
TRIM(LEFT(A186,SEARCH(" ",A186&amp;" ")-1))
)),
1
)
)</f>
        <v>0.81774327753986287</v>
      </c>
    </row>
    <row r="187" spans="1:3" x14ac:dyDescent="0.25">
      <c r="A187" s="2" t="str">
        <f>'[1]Base stats'!$B187</f>
        <v>Ursus toxus</v>
      </c>
      <c r="B187" s="23">
        <f>_xlfn.XLOOKUP(A187,'[1]Base stats'!$B:$B,'[1]Base stats'!$O:$O)</f>
        <v>0</v>
      </c>
      <c r="C187" s="20" cm="1">
        <f t="array" ref="C187">IF(
SUMPRODUCT(--(
TRIM(LEFT('Bite force'!$A:$A,SEARCH("§",SUBSTITUTE('Bite force'!$A:$A," ","§",2)&amp;"§")-1))=
TRIM(LEFT(A187,SEARCH("§",SUBSTITUTE(A187," ","§",2)&amp;"§")-1))
))&gt;0,
IF(
COUNT(_xlfn._xlws.FILTER('Bite force'!$I:$I,
TRIM(LEFT('Bite force'!$A:$A,SEARCH("§",SUBSTITUTE('Bite force'!$A:$A," ","§",2)&amp;"§")-1))=
TRIM(LEFT(A187,SEARCH("§",SUBSTITUTE(A187," ","§",2)&amp;"§")-1))
))=0,
1,
IF(
B187=2,
AVERAGE(_xlfn._xlws.FILTER('Bite force'!$I:$I,
TRIM(LEFT('Bite force'!$A:$A,SEARCH("§",SUBSTITUTE('Bite force'!$A:$A," ","§",2)&amp;"§")-1))=
TRIM(LEFT(A187,SEARCH("§",SUBSTITUTE(A187," ","§",2)&amp;"§")-1))
)),
MAX(_xlfn._xlws.FILTER('Bite force'!$I:$I,
TRIM(LEFT('Bite force'!$A:$A,SEARCH("§",SUBSTITUTE('Bite force'!$A:$A," ","§",2)&amp;"§")-1))=
TRIM(LEFT(A187,SEARCH("§",SUBSTITUTE(A187," ","§",2)&amp;"§")-1))
))
)
),
IFERROR(
AVERAGE(_xlfn._xlws.FILTER('Bite force'!$I:$I,
TRIM(LEFT('Bite force'!$A:$A,SEARCH(" ",'Bite force'!$A:$A&amp;" ")-1))=
TRIM(LEFT(A187,SEARCH(" ",A187&amp;" ")-1))
)),
1
)
)</f>
        <v>0.91762897697820622</v>
      </c>
    </row>
    <row r="188" spans="1:3" x14ac:dyDescent="0.25">
      <c r="A188" s="2" t="str">
        <f>'[1]Base stats'!$B188</f>
        <v>Iguana toxifera</v>
      </c>
      <c r="B188" s="23">
        <f>_xlfn.XLOOKUP(A188,'[1]Base stats'!$B:$B,'[1]Base stats'!$O:$O)</f>
        <v>0</v>
      </c>
      <c r="C188" s="20" cm="1">
        <f t="array" ref="C188">IF(
SUMPRODUCT(--(
TRIM(LEFT('Bite force'!$A:$A,SEARCH("§",SUBSTITUTE('Bite force'!$A:$A," ","§",2)&amp;"§")-1))=
TRIM(LEFT(A188,SEARCH("§",SUBSTITUTE(A188," ","§",2)&amp;"§")-1))
))&gt;0,
IF(
COUNT(_xlfn._xlws.FILTER('Bite force'!$I:$I,
TRIM(LEFT('Bite force'!$A:$A,SEARCH("§",SUBSTITUTE('Bite force'!$A:$A," ","§",2)&amp;"§")-1))=
TRIM(LEFT(A188,SEARCH("§",SUBSTITUTE(A188," ","§",2)&amp;"§")-1))
))=0,
1,
IF(
B188=2,
AVERAGE(_xlfn._xlws.FILTER('Bite force'!$I:$I,
TRIM(LEFT('Bite force'!$A:$A,SEARCH("§",SUBSTITUTE('Bite force'!$A:$A," ","§",2)&amp;"§")-1))=
TRIM(LEFT(A188,SEARCH("§",SUBSTITUTE(A188," ","§",2)&amp;"§")-1))
)),
MAX(_xlfn._xlws.FILTER('Bite force'!$I:$I,
TRIM(LEFT('Bite force'!$A:$A,SEARCH("§",SUBSTITUTE('Bite force'!$A:$A," ","§",2)&amp;"§")-1))=
TRIM(LEFT(A188,SEARCH("§",SUBSTITUTE(A188," ","§",2)&amp;"§")-1))
))
)
),
IFERROR(
AVERAGE(_xlfn._xlws.FILTER('Bite force'!$I:$I,
TRIM(LEFT('Bite force'!$A:$A,SEARCH(" ",'Bite force'!$A:$A&amp;" ")-1))=
TRIM(LEFT(A188,SEARCH(" ",A188&amp;" ")-1))
)),
1
)
)</f>
        <v>1</v>
      </c>
    </row>
    <row r="189" spans="1:3" x14ac:dyDescent="0.25">
      <c r="A189" s="2" t="str">
        <f>'[1]Base stats'!$B189</f>
        <v>Panthera toxileo</v>
      </c>
      <c r="B189" s="23">
        <f>_xlfn.XLOOKUP(A189,'[1]Base stats'!$B:$B,'[1]Base stats'!$O:$O)</f>
        <v>0</v>
      </c>
      <c r="C189" s="20" cm="1">
        <f t="array" ref="C189">IF(
SUMPRODUCT(--(
TRIM(LEFT('Bite force'!$A:$A,SEARCH("§",SUBSTITUTE('Bite force'!$A:$A," ","§",2)&amp;"§")-1))=
TRIM(LEFT(A189,SEARCH("§",SUBSTITUTE(A189," ","§",2)&amp;"§")-1))
))&gt;0,
IF(
COUNT(_xlfn._xlws.FILTER('Bite force'!$I:$I,
TRIM(LEFT('Bite force'!$A:$A,SEARCH("§",SUBSTITUTE('Bite force'!$A:$A," ","§",2)&amp;"§")-1))=
TRIM(LEFT(A189,SEARCH("§",SUBSTITUTE(A189," ","§",2)&amp;"§")-1))
))=0,
1,
IF(
B189=2,
AVERAGE(_xlfn._xlws.FILTER('Bite force'!$I:$I,
TRIM(LEFT('Bite force'!$A:$A,SEARCH("§",SUBSTITUTE('Bite force'!$A:$A," ","§",2)&amp;"§")-1))=
TRIM(LEFT(A189,SEARCH("§",SUBSTITUTE(A189," ","§",2)&amp;"§")-1))
)),
MAX(_xlfn._xlws.FILTER('Bite force'!$I:$I,
TRIM(LEFT('Bite force'!$A:$A,SEARCH("§",SUBSTITUTE('Bite force'!$A:$A," ","§",2)&amp;"§")-1))=
TRIM(LEFT(A189,SEARCH("§",SUBSTITUTE(A189," ","§",2)&amp;"§")-1))
))
)
),
IFERROR(
AVERAGE(_xlfn._xlws.FILTER('Bite force'!$I:$I,
TRIM(LEFT('Bite force'!$A:$A,SEARCH(" ",'Bite force'!$A:$A&amp;" ")-1))=
TRIM(LEFT(A189,SEARCH(" ",A189&amp;" ")-1))
)),
1
)
)</f>
        <v>1.0538650156253235</v>
      </c>
    </row>
    <row r="190" spans="1:3" x14ac:dyDescent="0.25">
      <c r="A190" s="2" t="str">
        <f>'[1]Base stats'!$B190</f>
        <v>Toxoscorpio bellator</v>
      </c>
      <c r="B190" s="23">
        <f>_xlfn.XLOOKUP(A190,'[1]Base stats'!$B:$B,'[1]Base stats'!$O:$O)</f>
        <v>0</v>
      </c>
      <c r="C190" s="20" cm="1">
        <f t="array" ref="C190">IF(
SUMPRODUCT(--(
TRIM(LEFT('Bite force'!$A:$A,SEARCH("§",SUBSTITUTE('Bite force'!$A:$A," ","§",2)&amp;"§")-1))=
TRIM(LEFT(A190,SEARCH("§",SUBSTITUTE(A190," ","§",2)&amp;"§")-1))
))&gt;0,
IF(
COUNT(_xlfn._xlws.FILTER('Bite force'!$I:$I,
TRIM(LEFT('Bite force'!$A:$A,SEARCH("§",SUBSTITUTE('Bite force'!$A:$A," ","§",2)&amp;"§")-1))=
TRIM(LEFT(A190,SEARCH("§",SUBSTITUTE(A190," ","§",2)&amp;"§")-1))
))=0,
1,
IF(
B190=2,
AVERAGE(_xlfn._xlws.FILTER('Bite force'!$I:$I,
TRIM(LEFT('Bite force'!$A:$A,SEARCH("§",SUBSTITUTE('Bite force'!$A:$A," ","§",2)&amp;"§")-1))=
TRIM(LEFT(A190,SEARCH("§",SUBSTITUTE(A190," ","§",2)&amp;"§")-1))
)),
MAX(_xlfn._xlws.FILTER('Bite force'!$I:$I,
TRIM(LEFT('Bite force'!$A:$A,SEARCH("§",SUBSTITUTE('Bite force'!$A:$A," ","§",2)&amp;"§")-1))=
TRIM(LEFT(A190,SEARCH("§",SUBSTITUTE(A190," ","§",2)&amp;"§")-1))
))
)
),
IFERROR(
AVERAGE(_xlfn._xlws.FILTER('Bite force'!$I:$I,
TRIM(LEFT('Bite force'!$A:$A,SEARCH(" ",'Bite force'!$A:$A&amp;" ")-1))=
TRIM(LEFT(A190,SEARCH(" ",A190&amp;" ")-1))
)),
1
)
)</f>
        <v>1</v>
      </c>
    </row>
    <row r="191" spans="1:3" x14ac:dyDescent="0.25">
      <c r="A191" s="2" t="str">
        <f>'[1]Base stats'!$B191</f>
        <v>Sus toxiscrofa</v>
      </c>
      <c r="B191" s="23">
        <f>_xlfn.XLOOKUP(A191,'[1]Base stats'!$B:$B,'[1]Base stats'!$O:$O)</f>
        <v>0</v>
      </c>
      <c r="C191" s="20" cm="1">
        <f t="array" ref="C191">IF(
SUMPRODUCT(--(
TRIM(LEFT('Bite force'!$A:$A,SEARCH("§",SUBSTITUTE('Bite force'!$A:$A," ","§",2)&amp;"§")-1))=
TRIM(LEFT(A191,SEARCH("§",SUBSTITUTE(A191," ","§",2)&amp;"§")-1))
))&gt;0,
IF(
COUNT(_xlfn._xlws.FILTER('Bite force'!$I:$I,
TRIM(LEFT('Bite force'!$A:$A,SEARCH("§",SUBSTITUTE('Bite force'!$A:$A," ","§",2)&amp;"§")-1))=
TRIM(LEFT(A191,SEARCH("§",SUBSTITUTE(A191," ","§",2)&amp;"§")-1))
))=0,
1,
IF(
B191=2,
AVERAGE(_xlfn._xlws.FILTER('Bite force'!$I:$I,
TRIM(LEFT('Bite force'!$A:$A,SEARCH("§",SUBSTITUTE('Bite force'!$A:$A," ","§",2)&amp;"§")-1))=
TRIM(LEFT(A191,SEARCH("§",SUBSTITUTE(A191," ","§",2)&amp;"§")-1))
)),
MAX(_xlfn._xlws.FILTER('Bite force'!$I:$I,
TRIM(LEFT('Bite force'!$A:$A,SEARCH("§",SUBSTITUTE('Bite force'!$A:$A," ","§",2)&amp;"§")-1))=
TRIM(LEFT(A191,SEARCH("§",SUBSTITUTE(A191," ","§",2)&amp;"§")-1))
))
)
),
IFERROR(
AVERAGE(_xlfn._xlws.FILTER('Bite force'!$I:$I,
TRIM(LEFT('Bite force'!$A:$A,SEARCH(" ",'Bite force'!$A:$A&amp;" ")-1))=
TRIM(LEFT(A191,SEARCH(" ",A191&amp;" ")-1))
)),
1
)
)</f>
        <v>0.97083004636870796</v>
      </c>
    </row>
    <row r="192" spans="1:3" x14ac:dyDescent="0.25">
      <c r="A192" s="2" t="str">
        <f>'[1]Base stats'!$B192</f>
        <v>Odocoileus toxus</v>
      </c>
      <c r="B192" s="23">
        <f>_xlfn.XLOOKUP(A192,'[1]Base stats'!$B:$B,'[1]Base stats'!$O:$O)</f>
        <v>0</v>
      </c>
      <c r="C192" s="20" cm="1">
        <f t="array" ref="C192">IF(
SUMPRODUCT(--(
TRIM(LEFT('Bite force'!$A:$A,SEARCH("§",SUBSTITUTE('Bite force'!$A:$A," ","§",2)&amp;"§")-1))=
TRIM(LEFT(A192,SEARCH("§",SUBSTITUTE(A192," ","§",2)&amp;"§")-1))
))&gt;0,
IF(
COUNT(_xlfn._xlws.FILTER('Bite force'!$I:$I,
TRIM(LEFT('Bite force'!$A:$A,SEARCH("§",SUBSTITUTE('Bite force'!$A:$A," ","§",2)&amp;"§")-1))=
TRIM(LEFT(A192,SEARCH("§",SUBSTITUTE(A192," ","§",2)&amp;"§")-1))
))=0,
1,
IF(
B192=2,
AVERAGE(_xlfn._xlws.FILTER('Bite force'!$I:$I,
TRIM(LEFT('Bite force'!$A:$A,SEARCH("§",SUBSTITUTE('Bite force'!$A:$A," ","§",2)&amp;"§")-1))=
TRIM(LEFT(A192,SEARCH("§",SUBSTITUTE(A192," ","§",2)&amp;"§")-1))
)),
MAX(_xlfn._xlws.FILTER('Bite force'!$I:$I,
TRIM(LEFT('Bite force'!$A:$A,SEARCH("§",SUBSTITUTE('Bite force'!$A:$A," ","§",2)&amp;"§")-1))=
TRIM(LEFT(A192,SEARCH("§",SUBSTITUTE(A192," ","§",2)&amp;"§")-1))
))
)
),
IFERROR(
AVERAGE(_xlfn._xlws.FILTER('Bite force'!$I:$I,
TRIM(LEFT('Bite force'!$A:$A,SEARCH(" ",'Bite force'!$A:$A&amp;" ")-1))=
TRIM(LEFT(A192,SEARCH(" ",A192&amp;" ")-1))
)),
1
)
)</f>
        <v>1</v>
      </c>
    </row>
    <row r="193" spans="1:3" x14ac:dyDescent="0.25">
      <c r="A193" s="2" t="str">
        <f>'[1]Base stats'!$B193</f>
        <v>Pseudobison toxus</v>
      </c>
      <c r="B193" s="23">
        <f>_xlfn.XLOOKUP(A193,'[1]Base stats'!$B:$B,'[1]Base stats'!$O:$O)</f>
        <v>0</v>
      </c>
      <c r="C193" s="20" cm="1">
        <f t="array" ref="C193">IF(
SUMPRODUCT(--(
TRIM(LEFT('Bite force'!$A:$A,SEARCH("§",SUBSTITUTE('Bite force'!$A:$A," ","§",2)&amp;"§")-1))=
TRIM(LEFT(A193,SEARCH("§",SUBSTITUTE(A193," ","§",2)&amp;"§")-1))
))&gt;0,
IF(
COUNT(_xlfn._xlws.FILTER('Bite force'!$I:$I,
TRIM(LEFT('Bite force'!$A:$A,SEARCH("§",SUBSTITUTE('Bite force'!$A:$A," ","§",2)&amp;"§")-1))=
TRIM(LEFT(A193,SEARCH("§",SUBSTITUTE(A193," ","§",2)&amp;"§")-1))
))=0,
1,
IF(
B193=2,
AVERAGE(_xlfn._xlws.FILTER('Bite force'!$I:$I,
TRIM(LEFT('Bite force'!$A:$A,SEARCH("§",SUBSTITUTE('Bite force'!$A:$A," ","§",2)&amp;"§")-1))=
TRIM(LEFT(A193,SEARCH("§",SUBSTITUTE(A193," ","§",2)&amp;"§")-1))
)),
MAX(_xlfn._xlws.FILTER('Bite force'!$I:$I,
TRIM(LEFT('Bite force'!$A:$A,SEARCH("§",SUBSTITUTE('Bite force'!$A:$A," ","§",2)&amp;"§")-1))=
TRIM(LEFT(A193,SEARCH("§",SUBSTITUTE(A193," ","§",2)&amp;"§")-1))
))
)
),
IFERROR(
AVERAGE(_xlfn._xlws.FILTER('Bite force'!$I:$I,
TRIM(LEFT('Bite force'!$A:$A,SEARCH(" ",'Bite force'!$A:$A&amp;" ")-1))=
TRIM(LEFT(A193,SEARCH(" ",A193&amp;" ")-1))
)),
1
)
)</f>
        <v>1</v>
      </c>
    </row>
    <row r="194" spans="1:3" x14ac:dyDescent="0.25">
      <c r="A194" s="2" t="str">
        <f>'[1]Base stats'!$B194</f>
        <v>Acanthamoeba gigantea (small)</v>
      </c>
      <c r="B194" s="23">
        <f>_xlfn.XLOOKUP(A194,'[1]Base stats'!$B:$B,'[1]Base stats'!$O:$O)</f>
        <v>0</v>
      </c>
      <c r="C194" s="20" cm="1">
        <f t="array" ref="C194">IF(
SUMPRODUCT(--(
TRIM(LEFT('Bite force'!$A:$A,SEARCH("§",SUBSTITUTE('Bite force'!$A:$A," ","§",2)&amp;"§")-1))=
TRIM(LEFT(A194,SEARCH("§",SUBSTITUTE(A194," ","§",2)&amp;"§")-1))
))&gt;0,
IF(
COUNT(_xlfn._xlws.FILTER('Bite force'!$I:$I,
TRIM(LEFT('Bite force'!$A:$A,SEARCH("§",SUBSTITUTE('Bite force'!$A:$A," ","§",2)&amp;"§")-1))=
TRIM(LEFT(A194,SEARCH("§",SUBSTITUTE(A194," ","§",2)&amp;"§")-1))
))=0,
1,
IF(
B194=2,
AVERAGE(_xlfn._xlws.FILTER('Bite force'!$I:$I,
TRIM(LEFT('Bite force'!$A:$A,SEARCH("§",SUBSTITUTE('Bite force'!$A:$A," ","§",2)&amp;"§")-1))=
TRIM(LEFT(A194,SEARCH("§",SUBSTITUTE(A194," ","§",2)&amp;"§")-1))
)),
MAX(_xlfn._xlws.FILTER('Bite force'!$I:$I,
TRIM(LEFT('Bite force'!$A:$A,SEARCH("§",SUBSTITUTE('Bite force'!$A:$A," ","§",2)&amp;"§")-1))=
TRIM(LEFT(A194,SEARCH("§",SUBSTITUTE(A194," ","§",2)&amp;"§")-1))
))
)
),
IFERROR(
AVERAGE(_xlfn._xlws.FILTER('Bite force'!$I:$I,
TRIM(LEFT('Bite force'!$A:$A,SEARCH(" ",'Bite force'!$A:$A&amp;" ")-1))=
TRIM(LEFT(A194,SEARCH(" ",A194&amp;" ")-1))
)),
1
)
)</f>
        <v>1</v>
      </c>
    </row>
    <row r="195" spans="1:3" x14ac:dyDescent="0.25">
      <c r="A195" s="2" t="str">
        <f>'[1]Base stats'!$B195</f>
        <v>Acanthamoeba gigantea (large)</v>
      </c>
      <c r="B195" s="23">
        <f>_xlfn.XLOOKUP(A195,'[1]Base stats'!$B:$B,'[1]Base stats'!$O:$O)</f>
        <v>0</v>
      </c>
      <c r="C195" s="20" cm="1">
        <f t="array" ref="C195">IF(
SUMPRODUCT(--(
TRIM(LEFT('Bite force'!$A:$A,SEARCH("§",SUBSTITUTE('Bite force'!$A:$A," ","§",2)&amp;"§")-1))=
TRIM(LEFT(A195,SEARCH("§",SUBSTITUTE(A195," ","§",2)&amp;"§")-1))
))&gt;0,
IF(
COUNT(_xlfn._xlws.FILTER('Bite force'!$I:$I,
TRIM(LEFT('Bite force'!$A:$A,SEARCH("§",SUBSTITUTE('Bite force'!$A:$A," ","§",2)&amp;"§")-1))=
TRIM(LEFT(A195,SEARCH("§",SUBSTITUTE(A195," ","§",2)&amp;"§")-1))
))=0,
1,
IF(
B195=2,
AVERAGE(_xlfn._xlws.FILTER('Bite force'!$I:$I,
TRIM(LEFT('Bite force'!$A:$A,SEARCH("§",SUBSTITUTE('Bite force'!$A:$A," ","§",2)&amp;"§")-1))=
TRIM(LEFT(A195,SEARCH("§",SUBSTITUTE(A195," ","§",2)&amp;"§")-1))
)),
MAX(_xlfn._xlws.FILTER('Bite force'!$I:$I,
TRIM(LEFT('Bite force'!$A:$A,SEARCH("§",SUBSTITUTE('Bite force'!$A:$A," ","§",2)&amp;"§")-1))=
TRIM(LEFT(A195,SEARCH("§",SUBSTITUTE(A195," ","§",2)&amp;"§")-1))
))
)
),
IFERROR(
AVERAGE(_xlfn._xlws.FILTER('Bite force'!$I:$I,
TRIM(LEFT('Bite force'!$A:$A,SEARCH(" ",'Bite force'!$A:$A&amp;" ")-1))=
TRIM(LEFT(A195,SEARCH(" ",A195&amp;" ")-1))
)),
1
)
)</f>
        <v>1</v>
      </c>
    </row>
    <row r="196" spans="1:3" x14ac:dyDescent="0.25">
      <c r="A196" s="2" t="str">
        <f>'[1]Base stats'!$B196</f>
        <v>Acanthamoeba gigantea (huge)</v>
      </c>
      <c r="B196" s="23">
        <f>_xlfn.XLOOKUP(A196,'[1]Base stats'!$B:$B,'[1]Base stats'!$O:$O)</f>
        <v>0</v>
      </c>
      <c r="C196" s="20" cm="1">
        <f t="array" ref="C196">IF(
SUMPRODUCT(--(
TRIM(LEFT('Bite force'!$A:$A,SEARCH("§",SUBSTITUTE('Bite force'!$A:$A," ","§",2)&amp;"§")-1))=
TRIM(LEFT(A196,SEARCH("§",SUBSTITUTE(A196," ","§",2)&amp;"§")-1))
))&gt;0,
IF(
COUNT(_xlfn._xlws.FILTER('Bite force'!$I:$I,
TRIM(LEFT('Bite force'!$A:$A,SEARCH("§",SUBSTITUTE('Bite force'!$A:$A," ","§",2)&amp;"§")-1))=
TRIM(LEFT(A196,SEARCH("§",SUBSTITUTE(A196," ","§",2)&amp;"§")-1))
))=0,
1,
IF(
B196=2,
AVERAGE(_xlfn._xlws.FILTER('Bite force'!$I:$I,
TRIM(LEFT('Bite force'!$A:$A,SEARCH("§",SUBSTITUTE('Bite force'!$A:$A," ","§",2)&amp;"§")-1))=
TRIM(LEFT(A196,SEARCH("§",SUBSTITUTE(A196," ","§",2)&amp;"§")-1))
)),
MAX(_xlfn._xlws.FILTER('Bite force'!$I:$I,
TRIM(LEFT('Bite force'!$A:$A,SEARCH("§",SUBSTITUTE('Bite force'!$A:$A," ","§",2)&amp;"§")-1))=
TRIM(LEFT(A196,SEARCH("§",SUBSTITUTE(A196," ","§",2)&amp;"§")-1))
))
)
),
IFERROR(
AVERAGE(_xlfn._xlws.FILTER('Bite force'!$I:$I,
TRIM(LEFT('Bite force'!$A:$A,SEARCH(" ",'Bite force'!$A:$A&amp;" ")-1))=
TRIM(LEFT(A196,SEARCH(" ",A196&amp;" ")-1))
)),
1
)
)</f>
        <v>1</v>
      </c>
    </row>
    <row r="197" spans="1:3" x14ac:dyDescent="0.25">
      <c r="A197" s="2" t="str">
        <f>'[1]Base stats'!$B197</f>
        <v>Teratomor primordius</v>
      </c>
      <c r="B197" s="23">
        <f>_xlfn.XLOOKUP(A197,'[1]Base stats'!$B:$B,'[1]Base stats'!$O:$O)</f>
        <v>0</v>
      </c>
      <c r="C197" s="20" cm="1">
        <f t="array" ref="C197">IF(
SUMPRODUCT(--(
TRIM(LEFT('Bite force'!$A:$A,SEARCH("§",SUBSTITUTE('Bite force'!$A:$A," ","§",2)&amp;"§")-1))=
TRIM(LEFT(A197,SEARCH("§",SUBSTITUTE(A197," ","§",2)&amp;"§")-1))
))&gt;0,
IF(
COUNT(_xlfn._xlws.FILTER('Bite force'!$I:$I,
TRIM(LEFT('Bite force'!$A:$A,SEARCH("§",SUBSTITUTE('Bite force'!$A:$A," ","§",2)&amp;"§")-1))=
TRIM(LEFT(A197,SEARCH("§",SUBSTITUTE(A197," ","§",2)&amp;"§")-1))
))=0,
1,
IF(
B197=2,
AVERAGE(_xlfn._xlws.FILTER('Bite force'!$I:$I,
TRIM(LEFT('Bite force'!$A:$A,SEARCH("§",SUBSTITUTE('Bite force'!$A:$A," ","§",2)&amp;"§")-1))=
TRIM(LEFT(A197,SEARCH("§",SUBSTITUTE(A197," ","§",2)&amp;"§")-1))
)),
MAX(_xlfn._xlws.FILTER('Bite force'!$I:$I,
TRIM(LEFT('Bite force'!$A:$A,SEARCH("§",SUBSTITUTE('Bite force'!$A:$A," ","§",2)&amp;"§")-1))=
TRIM(LEFT(A197,SEARCH("§",SUBSTITUTE(A197," ","§",2)&amp;"§")-1))
))
)
),
IFERROR(
AVERAGE(_xlfn._xlws.FILTER('Bite force'!$I:$I,
TRIM(LEFT('Bite force'!$A:$A,SEARCH(" ",'Bite force'!$A:$A&amp;" ")-1))=
TRIM(LEFT(A197,SEARCH(" ",A197&amp;" ")-1))
)),
1
)
)</f>
        <v>1</v>
      </c>
    </row>
    <row r="198" spans="1:3" x14ac:dyDescent="0.25">
      <c r="A198" s="2" t="str">
        <f>'[1]Base stats'!$B198</f>
        <v>Protofluidum viride</v>
      </c>
      <c r="B198" s="23">
        <f>_xlfn.XLOOKUP(A198,'[1]Base stats'!$B:$B,'[1]Base stats'!$O:$O)</f>
        <v>0</v>
      </c>
      <c r="C198" s="20" cm="1">
        <f t="array" ref="C198">IF(
SUMPRODUCT(--(
TRIM(LEFT('Bite force'!$A:$A,SEARCH("§",SUBSTITUTE('Bite force'!$A:$A," ","§",2)&amp;"§")-1))=
TRIM(LEFT(A198,SEARCH("§",SUBSTITUTE(A198," ","§",2)&amp;"§")-1))
))&gt;0,
IF(
COUNT(_xlfn._xlws.FILTER('Bite force'!$I:$I,
TRIM(LEFT('Bite force'!$A:$A,SEARCH("§",SUBSTITUTE('Bite force'!$A:$A," ","§",2)&amp;"§")-1))=
TRIM(LEFT(A198,SEARCH("§",SUBSTITUTE(A198," ","§",2)&amp;"§")-1))
))=0,
1,
IF(
B198=2,
AVERAGE(_xlfn._xlws.FILTER('Bite force'!$I:$I,
TRIM(LEFT('Bite force'!$A:$A,SEARCH("§",SUBSTITUTE('Bite force'!$A:$A," ","§",2)&amp;"§")-1))=
TRIM(LEFT(A198,SEARCH("§",SUBSTITUTE(A198," ","§",2)&amp;"§")-1))
)),
MAX(_xlfn._xlws.FILTER('Bite force'!$I:$I,
TRIM(LEFT('Bite force'!$A:$A,SEARCH("§",SUBSTITUTE('Bite force'!$A:$A," ","§",2)&amp;"§")-1))=
TRIM(LEFT(A198,SEARCH("§",SUBSTITUTE(A198," ","§",2)&amp;"§")-1))
))
)
),
IFERROR(
AVERAGE(_xlfn._xlws.FILTER('Bite force'!$I:$I,
TRIM(LEFT('Bite force'!$A:$A,SEARCH(" ",'Bite force'!$A:$A&amp;" ")-1))=
TRIM(LEFT(A198,SEARCH(" ",A198&amp;" ")-1))
)),
1
)
)</f>
        <v>1</v>
      </c>
    </row>
    <row r="199" spans="1:3" x14ac:dyDescent="0.25">
      <c r="A199" s="2" t="str">
        <f>'[1]Base stats'!$B199</f>
        <v>Protofluidum rubrum</v>
      </c>
      <c r="B199" s="23">
        <f>_xlfn.XLOOKUP(A199,'[1]Base stats'!$B:$B,'[1]Base stats'!$O:$O)</f>
        <v>0</v>
      </c>
      <c r="C199" s="20" cm="1">
        <f t="array" ref="C199">IF(
SUMPRODUCT(--(
TRIM(LEFT('Bite force'!$A:$A,SEARCH("§",SUBSTITUTE('Bite force'!$A:$A," ","§",2)&amp;"§")-1))=
TRIM(LEFT(A199,SEARCH("§",SUBSTITUTE(A199," ","§",2)&amp;"§")-1))
))&gt;0,
IF(
COUNT(_xlfn._xlws.FILTER('Bite force'!$I:$I,
TRIM(LEFT('Bite force'!$A:$A,SEARCH("§",SUBSTITUTE('Bite force'!$A:$A," ","§",2)&amp;"§")-1))=
TRIM(LEFT(A199,SEARCH("§",SUBSTITUTE(A199," ","§",2)&amp;"§")-1))
))=0,
1,
IF(
B199=2,
AVERAGE(_xlfn._xlws.FILTER('Bite force'!$I:$I,
TRIM(LEFT('Bite force'!$A:$A,SEARCH("§",SUBSTITUTE('Bite force'!$A:$A," ","§",2)&amp;"§")-1))=
TRIM(LEFT(A199,SEARCH("§",SUBSTITUTE(A199," ","§",2)&amp;"§")-1))
)),
MAX(_xlfn._xlws.FILTER('Bite force'!$I:$I,
TRIM(LEFT('Bite force'!$A:$A,SEARCH("§",SUBSTITUTE('Bite force'!$A:$A," ","§",2)&amp;"§")-1))=
TRIM(LEFT(A199,SEARCH("§",SUBSTITUTE(A199," ","§",2)&amp;"§")-1))
))
)
),
IFERROR(
AVERAGE(_xlfn._xlws.FILTER('Bite force'!$I:$I,
TRIM(LEFT('Bite force'!$A:$A,SEARCH(" ",'Bite force'!$A:$A&amp;" ")-1))=
TRIM(LEFT(A199,SEARCH(" ",A199&amp;" ")-1))
)),
1
)
)</f>
        <v>1</v>
      </c>
    </row>
    <row r="200" spans="1:3" x14ac:dyDescent="0.25">
      <c r="A200" s="2" t="str">
        <f>'[1]Base stats'!$B200</f>
        <v>Sporus ruber</v>
      </c>
      <c r="B200" s="23">
        <f>_xlfn.XLOOKUP(A200,'[1]Base stats'!$B:$B,'[1]Base stats'!$O:$O)</f>
        <v>0</v>
      </c>
      <c r="C200" s="20" cm="1">
        <f t="array" ref="C200">IF(
SUMPRODUCT(--(
TRIM(LEFT('Bite force'!$A:$A,SEARCH("§",SUBSTITUTE('Bite force'!$A:$A," ","§",2)&amp;"§")-1))=
TRIM(LEFT(A200,SEARCH("§",SUBSTITUTE(A200," ","§",2)&amp;"§")-1))
))&gt;0,
IF(
COUNT(_xlfn._xlws.FILTER('Bite force'!$I:$I,
TRIM(LEFT('Bite force'!$A:$A,SEARCH("§",SUBSTITUTE('Bite force'!$A:$A," ","§",2)&amp;"§")-1))=
TRIM(LEFT(A200,SEARCH("§",SUBSTITUTE(A200," ","§",2)&amp;"§")-1))
))=0,
1,
IF(
B200=2,
AVERAGE(_xlfn._xlws.FILTER('Bite force'!$I:$I,
TRIM(LEFT('Bite force'!$A:$A,SEARCH("§",SUBSTITUTE('Bite force'!$A:$A," ","§",2)&amp;"§")-1))=
TRIM(LEFT(A200,SEARCH("§",SUBSTITUTE(A200," ","§",2)&amp;"§")-1))
)),
MAX(_xlfn._xlws.FILTER('Bite force'!$I:$I,
TRIM(LEFT('Bite force'!$A:$A,SEARCH("§",SUBSTITUTE('Bite force'!$A:$A," ","§",2)&amp;"§")-1))=
TRIM(LEFT(A200,SEARCH("§",SUBSTITUTE(A200," ","§",2)&amp;"§")-1))
))
)
),
IFERROR(
AVERAGE(_xlfn._xlws.FILTER('Bite force'!$I:$I,
TRIM(LEFT('Bite force'!$A:$A,SEARCH(" ",'Bite force'!$A:$A&amp;" ")-1))=
TRIM(LEFT(A200,SEARCH(" ",A200&amp;" ")-1))
)),
1
)
)</f>
        <v>1</v>
      </c>
    </row>
    <row r="201" spans="1:3" x14ac:dyDescent="0.25">
      <c r="A201" s="2" t="str">
        <f>'[1]Base stats'!$B201</f>
        <v>Gelatinous oculi</v>
      </c>
      <c r="B201" s="23">
        <f>_xlfn.XLOOKUP(A201,'[1]Base stats'!$B:$B,'[1]Base stats'!$O:$O)</f>
        <v>0</v>
      </c>
      <c r="C201" s="20" cm="1">
        <f t="array" ref="C201">IF(
SUMPRODUCT(--(
TRIM(LEFT('Bite force'!$A:$A,SEARCH("§",SUBSTITUTE('Bite force'!$A:$A," ","§",2)&amp;"§")-1))=
TRIM(LEFT(A201,SEARCH("§",SUBSTITUTE(A201," ","§",2)&amp;"§")-1))
))&gt;0,
IF(
COUNT(_xlfn._xlws.FILTER('Bite force'!$I:$I,
TRIM(LEFT('Bite force'!$A:$A,SEARCH("§",SUBSTITUTE('Bite force'!$A:$A," ","§",2)&amp;"§")-1))=
TRIM(LEFT(A201,SEARCH("§",SUBSTITUTE(A201," ","§",2)&amp;"§")-1))
))=0,
1,
IF(
B201=2,
AVERAGE(_xlfn._xlws.FILTER('Bite force'!$I:$I,
TRIM(LEFT('Bite force'!$A:$A,SEARCH("§",SUBSTITUTE('Bite force'!$A:$A," ","§",2)&amp;"§")-1))=
TRIM(LEFT(A201,SEARCH("§",SUBSTITUTE(A201," ","§",2)&amp;"§")-1))
)),
MAX(_xlfn._xlws.FILTER('Bite force'!$I:$I,
TRIM(LEFT('Bite force'!$A:$A,SEARCH("§",SUBSTITUTE('Bite force'!$A:$A," ","§",2)&amp;"§")-1))=
TRIM(LEFT(A201,SEARCH("§",SUBSTITUTE(A201," ","§",2)&amp;"§")-1))
))
)
),
IFERROR(
AVERAGE(_xlfn._xlws.FILTER('Bite force'!$I:$I,
TRIM(LEFT('Bite force'!$A:$A,SEARCH(" ",'Bite force'!$A:$A&amp;" ")-1))=
TRIM(LEFT(A201,SEARCH(" ",A201&amp;" ")-1))
)),
1
)
)</f>
        <v>1</v>
      </c>
    </row>
    <row r="202" spans="1:3" x14ac:dyDescent="0.25">
      <c r="A202" s="2" t="str">
        <f>'[1]Base stats'!$B202</f>
        <v>Pterodyna aeria</v>
      </c>
      <c r="B202" s="23">
        <f>_xlfn.XLOOKUP(A202,'[1]Base stats'!$B:$B,'[1]Base stats'!$O:$O)</f>
        <v>0</v>
      </c>
      <c r="C202" s="20" cm="1">
        <f t="array" ref="C202">IF(
SUMPRODUCT(--(
TRIM(LEFT('Bite force'!$A:$A,SEARCH("§",SUBSTITUTE('Bite force'!$A:$A," ","§",2)&amp;"§")-1))=
TRIM(LEFT(A202,SEARCH("§",SUBSTITUTE(A202," ","§",2)&amp;"§")-1))
))&gt;0,
IF(
COUNT(_xlfn._xlws.FILTER('Bite force'!$I:$I,
TRIM(LEFT('Bite force'!$A:$A,SEARCH("§",SUBSTITUTE('Bite force'!$A:$A," ","§",2)&amp;"§")-1))=
TRIM(LEFT(A202,SEARCH("§",SUBSTITUTE(A202," ","§",2)&amp;"§")-1))
))=0,
1,
IF(
B202=2,
AVERAGE(_xlfn._xlws.FILTER('Bite force'!$I:$I,
TRIM(LEFT('Bite force'!$A:$A,SEARCH("§",SUBSTITUTE('Bite force'!$A:$A," ","§",2)&amp;"§")-1))=
TRIM(LEFT(A202,SEARCH("§",SUBSTITUTE(A202," ","§",2)&amp;"§")-1))
)),
MAX(_xlfn._xlws.FILTER('Bite force'!$I:$I,
TRIM(LEFT('Bite force'!$A:$A,SEARCH("§",SUBSTITUTE('Bite force'!$A:$A," ","§",2)&amp;"§")-1))=
TRIM(LEFT(A202,SEARCH("§",SUBSTITUTE(A202," ","§",2)&amp;"§")-1))
))
)
),
IFERROR(
AVERAGE(_xlfn._xlws.FILTER('Bite force'!$I:$I,
TRIM(LEFT('Bite force'!$A:$A,SEARCH(" ",'Bite force'!$A:$A&amp;" ")-1))=
TRIM(LEFT(A202,SEARCH(" ",A202&amp;" ")-1))
)),
1
)
)</f>
        <v>1</v>
      </c>
    </row>
    <row r="203" spans="1:3" x14ac:dyDescent="0.25">
      <c r="A203" s="2" t="str">
        <f>'[1]Base stats'!$B203</f>
        <v>Pterodyna aeria (colossal)</v>
      </c>
      <c r="B203" s="23">
        <f>_xlfn.XLOOKUP(A203,'[1]Base stats'!$B:$B,'[1]Base stats'!$O:$O)</f>
        <v>0</v>
      </c>
      <c r="C203" s="20" cm="1">
        <f t="array" ref="C203">IF(
SUMPRODUCT(--(
TRIM(LEFT('Bite force'!$A:$A,SEARCH("§",SUBSTITUTE('Bite force'!$A:$A," ","§",2)&amp;"§")-1))=
TRIM(LEFT(A203,SEARCH("§",SUBSTITUTE(A203," ","§",2)&amp;"§")-1))
))&gt;0,
IF(
COUNT(_xlfn._xlws.FILTER('Bite force'!$I:$I,
TRIM(LEFT('Bite force'!$A:$A,SEARCH("§",SUBSTITUTE('Bite force'!$A:$A," ","§",2)&amp;"§")-1))=
TRIM(LEFT(A203,SEARCH("§",SUBSTITUTE(A203," ","§",2)&amp;"§")-1))
))=0,
1,
IF(
B203=2,
AVERAGE(_xlfn._xlws.FILTER('Bite force'!$I:$I,
TRIM(LEFT('Bite force'!$A:$A,SEARCH("§",SUBSTITUTE('Bite force'!$A:$A," ","§",2)&amp;"§")-1))=
TRIM(LEFT(A203,SEARCH("§",SUBSTITUTE(A203," ","§",2)&amp;"§")-1))
)),
MAX(_xlfn._xlws.FILTER('Bite force'!$I:$I,
TRIM(LEFT('Bite force'!$A:$A,SEARCH("§",SUBSTITUTE('Bite force'!$A:$A," ","§",2)&amp;"§")-1))=
TRIM(LEFT(A203,SEARCH("§",SUBSTITUTE(A203," ","§",2)&amp;"§")-1))
))
)
),
IFERROR(
AVERAGE(_xlfn._xlws.FILTER('Bite force'!$I:$I,
TRIM(LEFT('Bite force'!$A:$A,SEARCH(" ",'Bite force'!$A:$A&amp;" ")-1))=
TRIM(LEFT(A203,SEARCH(" ",A203&amp;" ")-1))
)),
1
)
)</f>
        <v>1</v>
      </c>
    </row>
    <row r="204" spans="1:3" x14ac:dyDescent="0.25">
      <c r="A204" s="2" t="str">
        <f>'[1]Base stats'!$B204</f>
        <v>Pterodyna aeria (infected)</v>
      </c>
      <c r="B204" s="23">
        <f>_xlfn.XLOOKUP(A204,'[1]Base stats'!$B:$B,'[1]Base stats'!$O:$O)</f>
        <v>0</v>
      </c>
      <c r="C204" s="20" cm="1">
        <f t="array" ref="C204">IF(
SUMPRODUCT(--(
TRIM(LEFT('Bite force'!$A:$A,SEARCH("§",SUBSTITUTE('Bite force'!$A:$A," ","§",2)&amp;"§")-1))=
TRIM(LEFT(A204,SEARCH("§",SUBSTITUTE(A204," ","§",2)&amp;"§")-1))
))&gt;0,
IF(
COUNT(_xlfn._xlws.FILTER('Bite force'!$I:$I,
TRIM(LEFT('Bite force'!$A:$A,SEARCH("§",SUBSTITUTE('Bite force'!$A:$A," ","§",2)&amp;"§")-1))=
TRIM(LEFT(A204,SEARCH("§",SUBSTITUTE(A204," ","§",2)&amp;"§")-1))
))=0,
1,
IF(
B204=2,
AVERAGE(_xlfn._xlws.FILTER('Bite force'!$I:$I,
TRIM(LEFT('Bite force'!$A:$A,SEARCH("§",SUBSTITUTE('Bite force'!$A:$A," ","§",2)&amp;"§")-1))=
TRIM(LEFT(A204,SEARCH("§",SUBSTITUTE(A204," ","§",2)&amp;"§")-1))
)),
MAX(_xlfn._xlws.FILTER('Bite force'!$I:$I,
TRIM(LEFT('Bite force'!$A:$A,SEARCH("§",SUBSTITUTE('Bite force'!$A:$A," ","§",2)&amp;"§")-1))=
TRIM(LEFT(A204,SEARCH("§",SUBSTITUTE(A204," ","§",2)&amp;"§")-1))
))
)
),
IFERROR(
AVERAGE(_xlfn._xlws.FILTER('Bite force'!$I:$I,
TRIM(LEFT('Bite force'!$A:$A,SEARCH(" ",'Bite force'!$A:$A&amp;" ")-1))=
TRIM(LEFT(A204,SEARCH(" ",A204&amp;" ")-1))
)),
1
)
)</f>
        <v>1</v>
      </c>
    </row>
    <row r="205" spans="1:3" x14ac:dyDescent="0.25">
      <c r="A205" s="2" t="str">
        <f>'[1]Base stats'!$B205</f>
        <v>Angelis luminata</v>
      </c>
      <c r="B205" s="23">
        <f>_xlfn.XLOOKUP(A205,'[1]Base stats'!$B:$B,'[1]Base stats'!$O:$O)</f>
        <v>0</v>
      </c>
      <c r="C205" s="20" cm="1">
        <f t="array" ref="C205">IF(
SUMPRODUCT(--(
TRIM(LEFT('Bite force'!$A:$A,SEARCH("§",SUBSTITUTE('Bite force'!$A:$A," ","§",2)&amp;"§")-1))=
TRIM(LEFT(A205,SEARCH("§",SUBSTITUTE(A205," ","§",2)&amp;"§")-1))
))&gt;0,
IF(
COUNT(_xlfn._xlws.FILTER('Bite force'!$I:$I,
TRIM(LEFT('Bite force'!$A:$A,SEARCH("§",SUBSTITUTE('Bite force'!$A:$A," ","§",2)&amp;"§")-1))=
TRIM(LEFT(A205,SEARCH("§",SUBSTITUTE(A205," ","§",2)&amp;"§")-1))
))=0,
1,
IF(
B205=2,
AVERAGE(_xlfn._xlws.FILTER('Bite force'!$I:$I,
TRIM(LEFT('Bite force'!$A:$A,SEARCH("§",SUBSTITUTE('Bite force'!$A:$A," ","§",2)&amp;"§")-1))=
TRIM(LEFT(A205,SEARCH("§",SUBSTITUTE(A205," ","§",2)&amp;"§")-1))
)),
MAX(_xlfn._xlws.FILTER('Bite force'!$I:$I,
TRIM(LEFT('Bite force'!$A:$A,SEARCH("§",SUBSTITUTE('Bite force'!$A:$A," ","§",2)&amp;"§")-1))=
TRIM(LEFT(A205,SEARCH("§",SUBSTITUTE(A205," ","§",2)&amp;"§")-1))
))
)
),
IFERROR(
AVERAGE(_xlfn._xlws.FILTER('Bite force'!$I:$I,
TRIM(LEFT('Bite force'!$A:$A,SEARCH(" ",'Bite force'!$A:$A&amp;" ")-1))=
TRIM(LEFT(A205,SEARCH(" ",A205&amp;" ")-1))
)),
1
)
)</f>
        <v>1</v>
      </c>
    </row>
    <row r="206" spans="1:3" x14ac:dyDescent="0.25">
      <c r="A206" s="2" t="str">
        <f>'[1]Base stats'!$B206</f>
        <v>Angelis luminata (larva)</v>
      </c>
      <c r="B206" s="23">
        <f>_xlfn.XLOOKUP(A206,'[1]Base stats'!$B:$B,'[1]Base stats'!$O:$O)</f>
        <v>0</v>
      </c>
      <c r="C206" s="20" cm="1">
        <f t="array" ref="C206">IF(
SUMPRODUCT(--(
TRIM(LEFT('Bite force'!$A:$A,SEARCH("§",SUBSTITUTE('Bite force'!$A:$A," ","§",2)&amp;"§")-1))=
TRIM(LEFT(A206,SEARCH("§",SUBSTITUTE(A206," ","§",2)&amp;"§")-1))
))&gt;0,
IF(
COUNT(_xlfn._xlws.FILTER('Bite force'!$I:$I,
TRIM(LEFT('Bite force'!$A:$A,SEARCH("§",SUBSTITUTE('Bite force'!$A:$A," ","§",2)&amp;"§")-1))=
TRIM(LEFT(A206,SEARCH("§",SUBSTITUTE(A206," ","§",2)&amp;"§")-1))
))=0,
1,
IF(
B206=2,
AVERAGE(_xlfn._xlws.FILTER('Bite force'!$I:$I,
TRIM(LEFT('Bite force'!$A:$A,SEARCH("§",SUBSTITUTE('Bite force'!$A:$A," ","§",2)&amp;"§")-1))=
TRIM(LEFT(A206,SEARCH("§",SUBSTITUTE(A206," ","§",2)&amp;"§")-1))
)),
MAX(_xlfn._xlws.FILTER('Bite force'!$I:$I,
TRIM(LEFT('Bite force'!$A:$A,SEARCH("§",SUBSTITUTE('Bite force'!$A:$A," ","§",2)&amp;"§")-1))=
TRIM(LEFT(A206,SEARCH("§",SUBSTITUTE(A206," ","§",2)&amp;"§")-1))
))
)
),
IFERROR(
AVERAGE(_xlfn._xlws.FILTER('Bite force'!$I:$I,
TRIM(LEFT('Bite force'!$A:$A,SEARCH(" ",'Bite force'!$A:$A&amp;" ")-1))=
TRIM(LEFT(A206,SEARCH(" ",A206&amp;" ")-1))
)),
1
)
)</f>
        <v>1</v>
      </c>
    </row>
    <row r="207" spans="1:3" x14ac:dyDescent="0.25">
      <c r="A207" s="2" t="str">
        <f>'[1]Base stats'!$B207</f>
        <v>Haemophagus infinitus</v>
      </c>
      <c r="B207" s="23">
        <f>_xlfn.XLOOKUP(A207,'[1]Base stats'!$B:$B,'[1]Base stats'!$O:$O)</f>
        <v>0</v>
      </c>
      <c r="C207" s="20" cm="1">
        <f t="array" ref="C207">IF(
SUMPRODUCT(--(
TRIM(LEFT('Bite force'!$A:$A,SEARCH("§",SUBSTITUTE('Bite force'!$A:$A," ","§",2)&amp;"§")-1))=
TRIM(LEFT(A207,SEARCH("§",SUBSTITUTE(A207," ","§",2)&amp;"§")-1))
))&gt;0,
IF(
COUNT(_xlfn._xlws.FILTER('Bite force'!$I:$I,
TRIM(LEFT('Bite force'!$A:$A,SEARCH("§",SUBSTITUTE('Bite force'!$A:$A," ","§",2)&amp;"§")-1))=
TRIM(LEFT(A207,SEARCH("§",SUBSTITUTE(A207," ","§",2)&amp;"§")-1))
))=0,
1,
IF(
B207=2,
AVERAGE(_xlfn._xlws.FILTER('Bite force'!$I:$I,
TRIM(LEFT('Bite force'!$A:$A,SEARCH("§",SUBSTITUTE('Bite force'!$A:$A," ","§",2)&amp;"§")-1))=
TRIM(LEFT(A207,SEARCH("§",SUBSTITUTE(A207," ","§",2)&amp;"§")-1))
)),
MAX(_xlfn._xlws.FILTER('Bite force'!$I:$I,
TRIM(LEFT('Bite force'!$A:$A,SEARCH("§",SUBSTITUTE('Bite force'!$A:$A," ","§",2)&amp;"§")-1))=
TRIM(LEFT(A207,SEARCH("§",SUBSTITUTE(A207," ","§",2)&amp;"§")-1))
))
)
),
IFERROR(
AVERAGE(_xlfn._xlws.FILTER('Bite force'!$I:$I,
TRIM(LEFT('Bite force'!$A:$A,SEARCH(" ",'Bite force'!$A:$A&amp;" ")-1))=
TRIM(LEFT(A207,SEARCH(" ",A207&amp;" ")-1))
)),
1
)
)</f>
        <v>1</v>
      </c>
    </row>
    <row r="208" spans="1:3" x14ac:dyDescent="0.25">
      <c r="A208" s="2" t="str">
        <f>'[1]Base stats'!$B208</f>
        <v>Haemophagus infinitus (larva)</v>
      </c>
      <c r="B208" s="23">
        <f>_xlfn.XLOOKUP(A208,'[1]Base stats'!$B:$B,'[1]Base stats'!$O:$O)</f>
        <v>0</v>
      </c>
      <c r="C208" s="20" cm="1">
        <f t="array" ref="C208">IF(
SUMPRODUCT(--(
TRIM(LEFT('Bite force'!$A:$A,SEARCH("§",SUBSTITUTE('Bite force'!$A:$A," ","§",2)&amp;"§")-1))=
TRIM(LEFT(A208,SEARCH("§",SUBSTITUTE(A208," ","§",2)&amp;"§")-1))
))&gt;0,
IF(
COUNT(_xlfn._xlws.FILTER('Bite force'!$I:$I,
TRIM(LEFT('Bite force'!$A:$A,SEARCH("§",SUBSTITUTE('Bite force'!$A:$A," ","§",2)&amp;"§")-1))=
TRIM(LEFT(A208,SEARCH("§",SUBSTITUTE(A208," ","§",2)&amp;"§")-1))
))=0,
1,
IF(
B208=2,
AVERAGE(_xlfn._xlws.FILTER('Bite force'!$I:$I,
TRIM(LEFT('Bite force'!$A:$A,SEARCH("§",SUBSTITUTE('Bite force'!$A:$A," ","§",2)&amp;"§")-1))=
TRIM(LEFT(A208,SEARCH("§",SUBSTITUTE(A208," ","§",2)&amp;"§")-1))
)),
MAX(_xlfn._xlws.FILTER('Bite force'!$I:$I,
TRIM(LEFT('Bite force'!$A:$A,SEARCH("§",SUBSTITUTE('Bite force'!$A:$A," ","§",2)&amp;"§")-1))=
TRIM(LEFT(A208,SEARCH("§",SUBSTITUTE(A208," ","§",2)&amp;"§")-1))
))
)
),
IFERROR(
AVERAGE(_xlfn._xlws.FILTER('Bite force'!$I:$I,
TRIM(LEFT('Bite force'!$A:$A,SEARCH(" ",'Bite force'!$A:$A&amp;" ")-1))=
TRIM(LEFT(A208,SEARCH(" ",A208&amp;" ")-1))
)),
1
)
)</f>
        <v>1</v>
      </c>
    </row>
    <row r="209" spans="1:3" x14ac:dyDescent="0.25">
      <c r="A209" s="2" t="str">
        <f>'[1]Base stats'!$B209</f>
        <v>Papilio imperatrix</v>
      </c>
      <c r="B209" s="23">
        <f>_xlfn.XLOOKUP(A209,'[1]Base stats'!$B:$B,'[1]Base stats'!$O:$O)</f>
        <v>0</v>
      </c>
      <c r="C209" s="20" cm="1">
        <f t="array" ref="C209">IF(
SUMPRODUCT(--(
TRIM(LEFT('Bite force'!$A:$A,SEARCH("§",SUBSTITUTE('Bite force'!$A:$A," ","§",2)&amp;"§")-1))=
TRIM(LEFT(A209,SEARCH("§",SUBSTITUTE(A209," ","§",2)&amp;"§")-1))
))&gt;0,
IF(
COUNT(_xlfn._xlws.FILTER('Bite force'!$I:$I,
TRIM(LEFT('Bite force'!$A:$A,SEARCH("§",SUBSTITUTE('Bite force'!$A:$A," ","§",2)&amp;"§")-1))=
TRIM(LEFT(A209,SEARCH("§",SUBSTITUTE(A209," ","§",2)&amp;"§")-1))
))=0,
1,
IF(
B209=2,
AVERAGE(_xlfn._xlws.FILTER('Bite force'!$I:$I,
TRIM(LEFT('Bite force'!$A:$A,SEARCH("§",SUBSTITUTE('Bite force'!$A:$A," ","§",2)&amp;"§")-1))=
TRIM(LEFT(A209,SEARCH("§",SUBSTITUTE(A209," ","§",2)&amp;"§")-1))
)),
MAX(_xlfn._xlws.FILTER('Bite force'!$I:$I,
TRIM(LEFT('Bite force'!$A:$A,SEARCH("§",SUBSTITUTE('Bite force'!$A:$A," ","§",2)&amp;"§")-1))=
TRIM(LEFT(A209,SEARCH("§",SUBSTITUTE(A209," ","§",2)&amp;"§")-1))
))
)
),
IFERROR(
AVERAGE(_xlfn._xlws.FILTER('Bite force'!$I:$I,
TRIM(LEFT('Bite force'!$A:$A,SEARCH(" ",'Bite force'!$A:$A&amp;" ")-1))=
TRIM(LEFT(A209,SEARCH(" ",A209&amp;" ")-1))
)),
1
)
)</f>
        <v>1</v>
      </c>
    </row>
    <row r="210" spans="1:3" x14ac:dyDescent="0.25">
      <c r="A210" s="2" t="str">
        <f>'[1]Base stats'!$B210</f>
        <v>Papilio imperatrix (larva)</v>
      </c>
      <c r="B210" s="23">
        <f>_xlfn.XLOOKUP(A210,'[1]Base stats'!$B:$B,'[1]Base stats'!$O:$O)</f>
        <v>0</v>
      </c>
      <c r="C210" s="20" cm="1">
        <f t="array" ref="C210">IF(
SUMPRODUCT(--(
TRIM(LEFT('Bite force'!$A:$A,SEARCH("§",SUBSTITUTE('Bite force'!$A:$A," ","§",2)&amp;"§")-1))=
TRIM(LEFT(A210,SEARCH("§",SUBSTITUTE(A210," ","§",2)&amp;"§")-1))
))&gt;0,
IF(
COUNT(_xlfn._xlws.FILTER('Bite force'!$I:$I,
TRIM(LEFT('Bite force'!$A:$A,SEARCH("§",SUBSTITUTE('Bite force'!$A:$A," ","§",2)&amp;"§")-1))=
TRIM(LEFT(A210,SEARCH("§",SUBSTITUTE(A210," ","§",2)&amp;"§")-1))
))=0,
1,
IF(
B210=2,
AVERAGE(_xlfn._xlws.FILTER('Bite force'!$I:$I,
TRIM(LEFT('Bite force'!$A:$A,SEARCH("§",SUBSTITUTE('Bite force'!$A:$A," ","§",2)&amp;"§")-1))=
TRIM(LEFT(A210,SEARCH("§",SUBSTITUTE(A210," ","§",2)&amp;"§")-1))
)),
MAX(_xlfn._xlws.FILTER('Bite force'!$I:$I,
TRIM(LEFT('Bite force'!$A:$A,SEARCH("§",SUBSTITUTE('Bite force'!$A:$A," ","§",2)&amp;"§")-1))=
TRIM(LEFT(A210,SEARCH("§",SUBSTITUTE(A210," ","§",2)&amp;"§")-1))
))
)
),
IFERROR(
AVERAGE(_xlfn._xlws.FILTER('Bite force'!$I:$I,
TRIM(LEFT('Bite force'!$A:$A,SEARCH(" ",'Bite force'!$A:$A&amp;" ")-1))=
TRIM(LEFT(A210,SEARCH(" ",A210&amp;" ")-1))
)),
1
)
)</f>
        <v>1</v>
      </c>
    </row>
    <row r="211" spans="1:3" x14ac:dyDescent="0.25">
      <c r="A211" s="2" t="str">
        <f>'[1]Base stats'!$B211</f>
        <v>Pediculus giganteus</v>
      </c>
      <c r="B211" s="23">
        <f>_xlfn.XLOOKUP(A211,'[1]Base stats'!$B:$B,'[1]Base stats'!$O:$O)</f>
        <v>0</v>
      </c>
      <c r="C211" s="20" cm="1">
        <f t="array" ref="C211">IF(
SUMPRODUCT(--(
TRIM(LEFT('Bite force'!$A:$A,SEARCH("§",SUBSTITUTE('Bite force'!$A:$A," ","§",2)&amp;"§")-1))=
TRIM(LEFT(A211,SEARCH("§",SUBSTITUTE(A211," ","§",2)&amp;"§")-1))
))&gt;0,
IF(
COUNT(_xlfn._xlws.FILTER('Bite force'!$I:$I,
TRIM(LEFT('Bite force'!$A:$A,SEARCH("§",SUBSTITUTE('Bite force'!$A:$A," ","§",2)&amp;"§")-1))=
TRIM(LEFT(A211,SEARCH("§",SUBSTITUTE(A211," ","§",2)&amp;"§")-1))
))=0,
1,
IF(
B211=2,
AVERAGE(_xlfn._xlws.FILTER('Bite force'!$I:$I,
TRIM(LEFT('Bite force'!$A:$A,SEARCH("§",SUBSTITUTE('Bite force'!$A:$A," ","§",2)&amp;"§")-1))=
TRIM(LEFT(A211,SEARCH("§",SUBSTITUTE(A211," ","§",2)&amp;"§")-1))
)),
MAX(_xlfn._xlws.FILTER('Bite force'!$I:$I,
TRIM(LEFT('Bite force'!$A:$A,SEARCH("§",SUBSTITUTE('Bite force'!$A:$A," ","§",2)&amp;"§")-1))=
TRIM(LEFT(A211,SEARCH("§",SUBSTITUTE(A211," ","§",2)&amp;"§")-1))
))
)
),
IFERROR(
AVERAGE(_xlfn._xlws.FILTER('Bite force'!$I:$I,
TRIM(LEFT('Bite force'!$A:$A,SEARCH(" ",'Bite force'!$A:$A&amp;" ")-1))=
TRIM(LEFT(A211,SEARCH(" ",A211&amp;" ")-1))
)),
1
)
)</f>
        <v>1</v>
      </c>
    </row>
    <row r="212" spans="1:3" x14ac:dyDescent="0.25">
      <c r="A212" s="2" t="str">
        <f>'[1]Base stats'!$B212</f>
        <v>Caridea sanguinea</v>
      </c>
      <c r="B212" s="23">
        <f>_xlfn.XLOOKUP(A212,'[1]Base stats'!$B:$B,'[1]Base stats'!$O:$O)</f>
        <v>0</v>
      </c>
      <c r="C212" s="20" cm="1">
        <f t="array" ref="C212">IF(
SUMPRODUCT(--(
TRIM(LEFT('Bite force'!$A:$A,SEARCH("§",SUBSTITUTE('Bite force'!$A:$A," ","§",2)&amp;"§")-1))=
TRIM(LEFT(A212,SEARCH("§",SUBSTITUTE(A212," ","§",2)&amp;"§")-1))
))&gt;0,
IF(
COUNT(_xlfn._xlws.FILTER('Bite force'!$I:$I,
TRIM(LEFT('Bite force'!$A:$A,SEARCH("§",SUBSTITUTE('Bite force'!$A:$A," ","§",2)&amp;"§")-1))=
TRIM(LEFT(A212,SEARCH("§",SUBSTITUTE(A212," ","§",2)&amp;"§")-1))
))=0,
1,
IF(
B212=2,
AVERAGE(_xlfn._xlws.FILTER('Bite force'!$I:$I,
TRIM(LEFT('Bite force'!$A:$A,SEARCH("§",SUBSTITUTE('Bite force'!$A:$A," ","§",2)&amp;"§")-1))=
TRIM(LEFT(A212,SEARCH("§",SUBSTITUTE(A212," ","§",2)&amp;"§")-1))
)),
MAX(_xlfn._xlws.FILTER('Bite force'!$I:$I,
TRIM(LEFT('Bite force'!$A:$A,SEARCH("§",SUBSTITUTE('Bite force'!$A:$A," ","§",2)&amp;"§")-1))=
TRIM(LEFT(A212,SEARCH("§",SUBSTITUTE(A212," ","§",2)&amp;"§")-1))
))
)
),
IFERROR(
AVERAGE(_xlfn._xlws.FILTER('Bite force'!$I:$I,
TRIM(LEFT('Bite force'!$A:$A,SEARCH(" ",'Bite force'!$A:$A&amp;" ")-1))=
TRIM(LEFT(A212,SEARCH(" ",A212&amp;" ")-1))
)),
1
)
)</f>
        <v>1</v>
      </c>
    </row>
    <row r="213" spans="1:3" x14ac:dyDescent="0.25">
      <c r="A213" s="2" t="str">
        <f>'[1]Base stats'!$B213</f>
        <v>Caridea raptrix</v>
      </c>
      <c r="B213" s="23">
        <f>_xlfn.XLOOKUP(A213,'[1]Base stats'!$B:$B,'[1]Base stats'!$O:$O)</f>
        <v>0</v>
      </c>
      <c r="C213" s="20" cm="1">
        <f t="array" ref="C213">IF(
SUMPRODUCT(--(
TRIM(LEFT('Bite force'!$A:$A,SEARCH("§",SUBSTITUTE('Bite force'!$A:$A," ","§",2)&amp;"§")-1))=
TRIM(LEFT(A213,SEARCH("§",SUBSTITUTE(A213," ","§",2)&amp;"§")-1))
))&gt;0,
IF(
COUNT(_xlfn._xlws.FILTER('Bite force'!$I:$I,
TRIM(LEFT('Bite force'!$A:$A,SEARCH("§",SUBSTITUTE('Bite force'!$A:$A," ","§",2)&amp;"§")-1))=
TRIM(LEFT(A213,SEARCH("§",SUBSTITUTE(A213," ","§",2)&amp;"§")-1))
))=0,
1,
IF(
B213=2,
AVERAGE(_xlfn._xlws.FILTER('Bite force'!$I:$I,
TRIM(LEFT('Bite force'!$A:$A,SEARCH("§",SUBSTITUTE('Bite force'!$A:$A," ","§",2)&amp;"§")-1))=
TRIM(LEFT(A213,SEARCH("§",SUBSTITUTE(A213," ","§",2)&amp;"§")-1))
)),
MAX(_xlfn._xlws.FILTER('Bite force'!$I:$I,
TRIM(LEFT('Bite force'!$A:$A,SEARCH("§",SUBSTITUTE('Bite force'!$A:$A," ","§",2)&amp;"§")-1))=
TRIM(LEFT(A213,SEARCH("§",SUBSTITUTE(A213," ","§",2)&amp;"§")-1))
))
)
),
IFERROR(
AVERAGE(_xlfn._xlws.FILTER('Bite force'!$I:$I,
TRIM(LEFT('Bite force'!$A:$A,SEARCH(" ",'Bite force'!$A:$A&amp;" ")-1))=
TRIM(LEFT(A213,SEARCH(" ",A213&amp;" ")-1))
)),
1
)
)</f>
        <v>1</v>
      </c>
    </row>
    <row r="214" spans="1:3" x14ac:dyDescent="0.25">
      <c r="A214" s="2" t="str">
        <f>'[1]Base stats'!$B214</f>
        <v>Metallophagus xenus</v>
      </c>
      <c r="B214" s="23">
        <f>_xlfn.XLOOKUP(A214,'[1]Base stats'!$B:$B,'[1]Base stats'!$O:$O)</f>
        <v>0</v>
      </c>
      <c r="C214" s="20" cm="1">
        <f t="array" ref="C214">IF(
SUMPRODUCT(--(
TRIM(LEFT('Bite force'!$A:$A,SEARCH("§",SUBSTITUTE('Bite force'!$A:$A," ","§",2)&amp;"§")-1))=
TRIM(LEFT(A214,SEARCH("§",SUBSTITUTE(A214," ","§",2)&amp;"§")-1))
))&gt;0,
IF(
COUNT(_xlfn._xlws.FILTER('Bite force'!$I:$I,
TRIM(LEFT('Bite force'!$A:$A,SEARCH("§",SUBSTITUTE('Bite force'!$A:$A," ","§",2)&amp;"§")-1))=
TRIM(LEFT(A214,SEARCH("§",SUBSTITUTE(A214," ","§",2)&amp;"§")-1))
))=0,
1,
IF(
B214=2,
AVERAGE(_xlfn._xlws.FILTER('Bite force'!$I:$I,
TRIM(LEFT('Bite force'!$A:$A,SEARCH("§",SUBSTITUTE('Bite force'!$A:$A," ","§",2)&amp;"§")-1))=
TRIM(LEFT(A214,SEARCH("§",SUBSTITUTE(A214," ","§",2)&amp;"§")-1))
)),
MAX(_xlfn._xlws.FILTER('Bite force'!$I:$I,
TRIM(LEFT('Bite force'!$A:$A,SEARCH("§",SUBSTITUTE('Bite force'!$A:$A," ","§",2)&amp;"§")-1))=
TRIM(LEFT(A214,SEARCH("§",SUBSTITUTE(A214," ","§",2)&amp;"§")-1))
))
)
),
IFERROR(
AVERAGE(_xlfn._xlws.FILTER('Bite force'!$I:$I,
TRIM(LEFT('Bite force'!$A:$A,SEARCH(" ",'Bite force'!$A:$A&amp;" ")-1))=
TRIM(LEFT(A214,SEARCH(" ",A214&amp;" ")-1))
)),
1
)
)</f>
        <v>1</v>
      </c>
    </row>
    <row r="215" spans="1:3" x14ac:dyDescent="0.25">
      <c r="A215" s="2" t="str">
        <f>'[1]Base stats'!$B215</f>
        <v>Acarus glacialis</v>
      </c>
      <c r="B215" s="23">
        <f>_xlfn.XLOOKUP(A215,'[1]Base stats'!$B:$B,'[1]Base stats'!$O:$O)</f>
        <v>0</v>
      </c>
      <c r="C215" s="20" cm="1">
        <f t="array" ref="C215">IF(
SUMPRODUCT(--(
TRIM(LEFT('Bite force'!$A:$A,SEARCH("§",SUBSTITUTE('Bite force'!$A:$A," ","§",2)&amp;"§")-1))=
TRIM(LEFT(A215,SEARCH("§",SUBSTITUTE(A215," ","§",2)&amp;"§")-1))
))&gt;0,
IF(
COUNT(_xlfn._xlws.FILTER('Bite force'!$I:$I,
TRIM(LEFT('Bite force'!$A:$A,SEARCH("§",SUBSTITUTE('Bite force'!$A:$A," ","§",2)&amp;"§")-1))=
TRIM(LEFT(A215,SEARCH("§",SUBSTITUTE(A215," ","§",2)&amp;"§")-1))
))=0,
1,
IF(
B215=2,
AVERAGE(_xlfn._xlws.FILTER('Bite force'!$I:$I,
TRIM(LEFT('Bite force'!$A:$A,SEARCH("§",SUBSTITUTE('Bite force'!$A:$A," ","§",2)&amp;"§")-1))=
TRIM(LEFT(A215,SEARCH("§",SUBSTITUTE(A215," ","§",2)&amp;"§")-1))
)),
MAX(_xlfn._xlws.FILTER('Bite force'!$I:$I,
TRIM(LEFT('Bite force'!$A:$A,SEARCH("§",SUBSTITUTE('Bite force'!$A:$A," ","§",2)&amp;"§")-1))=
TRIM(LEFT(A215,SEARCH("§",SUBSTITUTE(A215," ","§",2)&amp;"§")-1))
))
)
),
IFERROR(
AVERAGE(_xlfn._xlws.FILTER('Bite force'!$I:$I,
TRIM(LEFT('Bite force'!$A:$A,SEARCH(" ",'Bite force'!$A:$A&amp;" ")-1))=
TRIM(LEFT(A215,SEARCH(" ",A215&amp;" ")-1))
)),
1
)
)</f>
        <v>1</v>
      </c>
    </row>
    <row r="216" spans="1:3" x14ac:dyDescent="0.25">
      <c r="A216" s="2" t="str">
        <f>'[1]Base stats'!$B216</f>
        <v>Coleoptera ferrum</v>
      </c>
      <c r="B216" s="23">
        <f>_xlfn.XLOOKUP(A216,'[1]Base stats'!$B:$B,'[1]Base stats'!$O:$O)</f>
        <v>0</v>
      </c>
      <c r="C216" s="20" cm="1">
        <f t="array" ref="C216">IF(
SUMPRODUCT(--(
TRIM(LEFT('Bite force'!$A:$A,SEARCH("§",SUBSTITUTE('Bite force'!$A:$A," ","§",2)&amp;"§")-1))=
TRIM(LEFT(A216,SEARCH("§",SUBSTITUTE(A216," ","§",2)&amp;"§")-1))
))&gt;0,
IF(
COUNT(_xlfn._xlws.FILTER('Bite force'!$I:$I,
TRIM(LEFT('Bite force'!$A:$A,SEARCH("§",SUBSTITUTE('Bite force'!$A:$A," ","§",2)&amp;"§")-1))=
TRIM(LEFT(A216,SEARCH("§",SUBSTITUTE(A216," ","§",2)&amp;"§")-1))
))=0,
1,
IF(
B216=2,
AVERAGE(_xlfn._xlws.FILTER('Bite force'!$I:$I,
TRIM(LEFT('Bite force'!$A:$A,SEARCH("§",SUBSTITUTE('Bite force'!$A:$A," ","§",2)&amp;"§")-1))=
TRIM(LEFT(A216,SEARCH("§",SUBSTITUTE(A216," ","§",2)&amp;"§")-1))
)),
MAX(_xlfn._xlws.FILTER('Bite force'!$I:$I,
TRIM(LEFT('Bite force'!$A:$A,SEARCH("§",SUBSTITUTE('Bite force'!$A:$A," ","§",2)&amp;"§")-1))=
TRIM(LEFT(A216,SEARCH("§",SUBSTITUTE(A216," ","§",2)&amp;"§")-1))
))
)
),
IFERROR(
AVERAGE(_xlfn._xlws.FILTER('Bite force'!$I:$I,
TRIM(LEFT('Bite force'!$A:$A,SEARCH(" ",'Bite force'!$A:$A&amp;" ")-1))=
TRIM(LEFT(A216,SEARCH(" ",A216&amp;" ")-1))
)),
1
)
)</f>
        <v>1</v>
      </c>
    </row>
    <row r="217" spans="1:3" x14ac:dyDescent="0.25">
      <c r="A217" s="2" t="str">
        <f>'[1]Base stats'!$B217</f>
        <v>Coleoptera lucifer</v>
      </c>
      <c r="B217" s="23">
        <f>_xlfn.XLOOKUP(A217,'[1]Base stats'!$B:$B,'[1]Base stats'!$O:$O)</f>
        <v>0</v>
      </c>
      <c r="C217" s="20" cm="1">
        <f t="array" ref="C217">IF(
SUMPRODUCT(--(
TRIM(LEFT('Bite force'!$A:$A,SEARCH("§",SUBSTITUTE('Bite force'!$A:$A," ","§",2)&amp;"§")-1))=
TRIM(LEFT(A217,SEARCH("§",SUBSTITUTE(A217," ","§",2)&amp;"§")-1))
))&gt;0,
IF(
COUNT(_xlfn._xlws.FILTER('Bite force'!$I:$I,
TRIM(LEFT('Bite force'!$A:$A,SEARCH("§",SUBSTITUTE('Bite force'!$A:$A," ","§",2)&amp;"§")-1))=
TRIM(LEFT(A217,SEARCH("§",SUBSTITUTE(A217," ","§",2)&amp;"§")-1))
))=0,
1,
IF(
B217=2,
AVERAGE(_xlfn._xlws.FILTER('Bite force'!$I:$I,
TRIM(LEFT('Bite force'!$A:$A,SEARCH("§",SUBSTITUTE('Bite force'!$A:$A," ","§",2)&amp;"§")-1))=
TRIM(LEFT(A217,SEARCH("§",SUBSTITUTE(A217," ","§",2)&amp;"§")-1))
)),
MAX(_xlfn._xlws.FILTER('Bite force'!$I:$I,
TRIM(LEFT('Bite force'!$A:$A,SEARCH("§",SUBSTITUTE('Bite force'!$A:$A," ","§",2)&amp;"§")-1))=
TRIM(LEFT(A217,SEARCH("§",SUBSTITUTE(A217," ","§",2)&amp;"§")-1))
))
)
),
IFERROR(
AVERAGE(_xlfn._xlws.FILTER('Bite force'!$I:$I,
TRIM(LEFT('Bite force'!$A:$A,SEARCH(" ",'Bite force'!$A:$A&amp;" ")-1))=
TRIM(LEFT(A217,SEARCH(" ",A217&amp;" ")-1))
)),
1
)
)</f>
        <v>1</v>
      </c>
    </row>
    <row r="218" spans="1:3" x14ac:dyDescent="0.25">
      <c r="A218" s="2" t="str">
        <f>'[1]Base stats'!$B218</f>
        <v>Speculum vividum (larva)</v>
      </c>
      <c r="B218" s="23">
        <f>_xlfn.XLOOKUP(A218,'[1]Base stats'!$B:$B,'[1]Base stats'!$O:$O)</f>
        <v>0</v>
      </c>
      <c r="C218" s="20" cm="1">
        <f t="array" ref="C218">IF(
SUMPRODUCT(--(
TRIM(LEFT('Bite force'!$A:$A,SEARCH("§",SUBSTITUTE('Bite force'!$A:$A," ","§",2)&amp;"§")-1))=
TRIM(LEFT(A218,SEARCH("§",SUBSTITUTE(A218," ","§",2)&amp;"§")-1))
))&gt;0,
IF(
COUNT(_xlfn._xlws.FILTER('Bite force'!$I:$I,
TRIM(LEFT('Bite force'!$A:$A,SEARCH("§",SUBSTITUTE('Bite force'!$A:$A," ","§",2)&amp;"§")-1))=
TRIM(LEFT(A218,SEARCH("§",SUBSTITUTE(A218," ","§",2)&amp;"§")-1))
))=0,
1,
IF(
B218=2,
AVERAGE(_xlfn._xlws.FILTER('Bite force'!$I:$I,
TRIM(LEFT('Bite force'!$A:$A,SEARCH("§",SUBSTITUTE('Bite force'!$A:$A," ","§",2)&amp;"§")-1))=
TRIM(LEFT(A218,SEARCH("§",SUBSTITUTE(A218," ","§",2)&amp;"§")-1))
)),
MAX(_xlfn._xlws.FILTER('Bite force'!$I:$I,
TRIM(LEFT('Bite force'!$A:$A,SEARCH("§",SUBSTITUTE('Bite force'!$A:$A," ","§",2)&amp;"§")-1))=
TRIM(LEFT(A218,SEARCH("§",SUBSTITUTE(A218," ","§",2)&amp;"§")-1))
))
)
),
IFERROR(
AVERAGE(_xlfn._xlws.FILTER('Bite force'!$I:$I,
TRIM(LEFT('Bite force'!$A:$A,SEARCH(" ",'Bite force'!$A:$A&amp;" ")-1))=
TRIM(LEFT(A218,SEARCH(" ",A218&amp;" ")-1))
)),
1
)
)</f>
        <v>1</v>
      </c>
    </row>
    <row r="219" spans="1:3" x14ac:dyDescent="0.25">
      <c r="A219" s="2" t="str">
        <f>'[1]Base stats'!$B219</f>
        <v>Speculum vividum</v>
      </c>
      <c r="B219" s="23">
        <f>_xlfn.XLOOKUP(A219,'[1]Base stats'!$B:$B,'[1]Base stats'!$O:$O)</f>
        <v>0</v>
      </c>
      <c r="C219" s="20" cm="1">
        <f t="array" ref="C219">IF(
SUMPRODUCT(--(
TRIM(LEFT('Bite force'!$A:$A,SEARCH("§",SUBSTITUTE('Bite force'!$A:$A," ","§",2)&amp;"§")-1))=
TRIM(LEFT(A219,SEARCH("§",SUBSTITUTE(A219," ","§",2)&amp;"§")-1))
))&gt;0,
IF(
COUNT(_xlfn._xlws.FILTER('Bite force'!$I:$I,
TRIM(LEFT('Bite force'!$A:$A,SEARCH("§",SUBSTITUTE('Bite force'!$A:$A," ","§",2)&amp;"§")-1))=
TRIM(LEFT(A219,SEARCH("§",SUBSTITUTE(A219," ","§",2)&amp;"§")-1))
))=0,
1,
IF(
B219=2,
AVERAGE(_xlfn._xlws.FILTER('Bite force'!$I:$I,
TRIM(LEFT('Bite force'!$A:$A,SEARCH("§",SUBSTITUTE('Bite force'!$A:$A," ","§",2)&amp;"§")-1))=
TRIM(LEFT(A219,SEARCH("§",SUBSTITUTE(A219," ","§",2)&amp;"§")-1))
)),
MAX(_xlfn._xlws.FILTER('Bite force'!$I:$I,
TRIM(LEFT('Bite force'!$A:$A,SEARCH("§",SUBSTITUTE('Bite force'!$A:$A," ","§",2)&amp;"§")-1))=
TRIM(LEFT(A219,SEARCH("§",SUBSTITUTE(A219," ","§",2)&amp;"§")-1))
))
)
),
IFERROR(
AVERAGE(_xlfn._xlws.FILTER('Bite force'!$I:$I,
TRIM(LEFT('Bite force'!$A:$A,SEARCH(" ",'Bite force'!$A:$A&amp;" ")-1))=
TRIM(LEFT(A219,SEARCH(" ",A219&amp;" ")-1))
)),
1
)
)</f>
        <v>1</v>
      </c>
    </row>
    <row r="220" spans="1:3" x14ac:dyDescent="0.25">
      <c r="A220" s="2" t="str">
        <f>'[1]Base stats'!$B220</f>
        <v>Vespa incendium</v>
      </c>
      <c r="B220" s="23">
        <f>_xlfn.XLOOKUP(A220,'[1]Base stats'!$B:$B,'[1]Base stats'!$O:$O)</f>
        <v>0</v>
      </c>
      <c r="C220" s="20" cm="1">
        <f t="array" ref="C220">IF(
SUMPRODUCT(--(
TRIM(LEFT('Bite force'!$A:$A,SEARCH("§",SUBSTITUTE('Bite force'!$A:$A," ","§",2)&amp;"§")-1))=
TRIM(LEFT(A220,SEARCH("§",SUBSTITUTE(A220," ","§",2)&amp;"§")-1))
))&gt;0,
IF(
COUNT(_xlfn._xlws.FILTER('Bite force'!$I:$I,
TRIM(LEFT('Bite force'!$A:$A,SEARCH("§",SUBSTITUTE('Bite force'!$A:$A," ","§",2)&amp;"§")-1))=
TRIM(LEFT(A220,SEARCH("§",SUBSTITUTE(A220," ","§",2)&amp;"§")-1))
))=0,
1,
IF(
B220=2,
AVERAGE(_xlfn._xlws.FILTER('Bite force'!$I:$I,
TRIM(LEFT('Bite force'!$A:$A,SEARCH("§",SUBSTITUTE('Bite force'!$A:$A," ","§",2)&amp;"§")-1))=
TRIM(LEFT(A220,SEARCH("§",SUBSTITUTE(A220," ","§",2)&amp;"§")-1))
)),
MAX(_xlfn._xlws.FILTER('Bite force'!$I:$I,
TRIM(LEFT('Bite force'!$A:$A,SEARCH("§",SUBSTITUTE('Bite force'!$A:$A," ","§",2)&amp;"§")-1))=
TRIM(LEFT(A220,SEARCH("§",SUBSTITUTE(A220," ","§",2)&amp;"§")-1))
))
)
),
IFERROR(
AVERAGE(_xlfn._xlws.FILTER('Bite force'!$I:$I,
TRIM(LEFT('Bite force'!$A:$A,SEARCH(" ",'Bite force'!$A:$A&amp;" ")-1))=
TRIM(LEFT(A220,SEARCH(" ",A220&amp;" ")-1))
)),
1
)
)</f>
        <v>1</v>
      </c>
    </row>
    <row r="221" spans="1:3" x14ac:dyDescent="0.25">
      <c r="A221" s="2" t="str">
        <f>'[1]Base stats'!$B221</f>
        <v>Bombus militaris</v>
      </c>
      <c r="B221" s="23">
        <f>_xlfn.XLOOKUP(A221,'[1]Base stats'!$B:$B,'[1]Base stats'!$O:$O)</f>
        <v>0</v>
      </c>
      <c r="C221" s="20" cm="1">
        <f t="array" ref="C221">IF(
SUMPRODUCT(--(
TRIM(LEFT('Bite force'!$A:$A,SEARCH("§",SUBSTITUTE('Bite force'!$A:$A," ","§",2)&amp;"§")-1))=
TRIM(LEFT(A221,SEARCH("§",SUBSTITUTE(A221," ","§",2)&amp;"§")-1))
))&gt;0,
IF(
COUNT(_xlfn._xlws.FILTER('Bite force'!$I:$I,
TRIM(LEFT('Bite force'!$A:$A,SEARCH("§",SUBSTITUTE('Bite force'!$A:$A," ","§",2)&amp;"§")-1))=
TRIM(LEFT(A221,SEARCH("§",SUBSTITUTE(A221," ","§",2)&amp;"§")-1))
))=0,
1,
IF(
B221=2,
AVERAGE(_xlfn._xlws.FILTER('Bite force'!$I:$I,
TRIM(LEFT('Bite force'!$A:$A,SEARCH("§",SUBSTITUTE('Bite force'!$A:$A," ","§",2)&amp;"§")-1))=
TRIM(LEFT(A221,SEARCH("§",SUBSTITUTE(A221," ","§",2)&amp;"§")-1))
)),
MAX(_xlfn._xlws.FILTER('Bite force'!$I:$I,
TRIM(LEFT('Bite force'!$A:$A,SEARCH("§",SUBSTITUTE('Bite force'!$A:$A," ","§",2)&amp;"§")-1))=
TRIM(LEFT(A221,SEARCH("§",SUBSTITUTE(A221," ","§",2)&amp;"§")-1))
))
)
),
IFERROR(
AVERAGE(_xlfn._xlws.FILTER('Bite force'!$I:$I,
TRIM(LEFT('Bite force'!$A:$A,SEARCH(" ",'Bite force'!$A:$A&amp;" ")-1))=
TRIM(LEFT(A221,SEARCH(" ",A221&amp;" ")-1))
)),
1
)
)</f>
        <v>1</v>
      </c>
    </row>
    <row r="222" spans="1:3" x14ac:dyDescent="0.25">
      <c r="A222" s="2" t="str">
        <f>'[1]Base stats'!$B222</f>
        <v>Bombus militaris (hierophant)</v>
      </c>
      <c r="B222" s="23">
        <f>_xlfn.XLOOKUP(A222,'[1]Base stats'!$B:$B,'[1]Base stats'!$O:$O)</f>
        <v>0</v>
      </c>
      <c r="C222" s="20" cm="1">
        <f t="array" ref="C222">IF(
SUMPRODUCT(--(
TRIM(LEFT('Bite force'!$A:$A,SEARCH("§",SUBSTITUTE('Bite force'!$A:$A," ","§",2)&amp;"§")-1))=
TRIM(LEFT(A222,SEARCH("§",SUBSTITUTE(A222," ","§",2)&amp;"§")-1))
))&gt;0,
IF(
COUNT(_xlfn._xlws.FILTER('Bite force'!$I:$I,
TRIM(LEFT('Bite force'!$A:$A,SEARCH("§",SUBSTITUTE('Bite force'!$A:$A," ","§",2)&amp;"§")-1))=
TRIM(LEFT(A222,SEARCH("§",SUBSTITUTE(A222," ","§",2)&amp;"§")-1))
))=0,
1,
IF(
B222=2,
AVERAGE(_xlfn._xlws.FILTER('Bite force'!$I:$I,
TRIM(LEFT('Bite force'!$A:$A,SEARCH("§",SUBSTITUTE('Bite force'!$A:$A," ","§",2)&amp;"§")-1))=
TRIM(LEFT(A222,SEARCH("§",SUBSTITUTE(A222," ","§",2)&amp;"§")-1))
)),
MAX(_xlfn._xlws.FILTER('Bite force'!$I:$I,
TRIM(LEFT('Bite force'!$A:$A,SEARCH("§",SUBSTITUTE('Bite force'!$A:$A," ","§",2)&amp;"§")-1))=
TRIM(LEFT(A222,SEARCH("§",SUBSTITUTE(A222," ","§",2)&amp;"§")-1))
))
)
),
IFERROR(
AVERAGE(_xlfn._xlws.FILTER('Bite force'!$I:$I,
TRIM(LEFT('Bite force'!$A:$A,SEARCH(" ",'Bite force'!$A:$A&amp;" ")-1))=
TRIM(LEFT(A222,SEARCH(" ",A222&amp;" ")-1))
)),
1
)
)</f>
        <v>1</v>
      </c>
    </row>
    <row r="223" spans="1:3" x14ac:dyDescent="0.25">
      <c r="A223" s="2" t="str">
        <f>'[1]Base stats'!$B223</f>
        <v>Bombus militaris (queen)</v>
      </c>
      <c r="B223" s="23">
        <f>_xlfn.XLOOKUP(A223,'[1]Base stats'!$B:$B,'[1]Base stats'!$O:$O)</f>
        <v>0</v>
      </c>
      <c r="C223" s="20" cm="1">
        <f t="array" ref="C223">IF(
SUMPRODUCT(--(
TRIM(LEFT('Bite force'!$A:$A,SEARCH("§",SUBSTITUTE('Bite force'!$A:$A," ","§",2)&amp;"§")-1))=
TRIM(LEFT(A223,SEARCH("§",SUBSTITUTE(A223," ","§",2)&amp;"§")-1))
))&gt;0,
IF(
COUNT(_xlfn._xlws.FILTER('Bite force'!$I:$I,
TRIM(LEFT('Bite force'!$A:$A,SEARCH("§",SUBSTITUTE('Bite force'!$A:$A," ","§",2)&amp;"§")-1))=
TRIM(LEFT(A223,SEARCH("§",SUBSTITUTE(A223," ","§",2)&amp;"§")-1))
))=0,
1,
IF(
B223=2,
AVERAGE(_xlfn._xlws.FILTER('Bite force'!$I:$I,
TRIM(LEFT('Bite force'!$A:$A,SEARCH("§",SUBSTITUTE('Bite force'!$A:$A," ","§",2)&amp;"§")-1))=
TRIM(LEFT(A223,SEARCH("§",SUBSTITUTE(A223," ","§",2)&amp;"§")-1))
)),
MAX(_xlfn._xlws.FILTER('Bite force'!$I:$I,
TRIM(LEFT('Bite force'!$A:$A,SEARCH("§",SUBSTITUTE('Bite force'!$A:$A," ","§",2)&amp;"§")-1))=
TRIM(LEFT(A223,SEARCH("§",SUBSTITUTE(A223," ","§",2)&amp;"§")-1))
))
)
),
IFERROR(
AVERAGE(_xlfn._xlws.FILTER('Bite force'!$I:$I,
TRIM(LEFT('Bite force'!$A:$A,SEARCH(" ",'Bite force'!$A:$A&amp;" ")-1))=
TRIM(LEFT(A223,SEARCH(" ",A223&amp;" ")-1))
)),
1
)
)</f>
        <v>1</v>
      </c>
    </row>
    <row r="224" spans="1:3" x14ac:dyDescent="0.25">
      <c r="A224" s="2" t="str">
        <f>'[1]Base stats'!$B224</f>
        <v>Echidna projectilis</v>
      </c>
      <c r="B224" s="23">
        <f>_xlfn.XLOOKUP(A224,'[1]Base stats'!$B:$B,'[1]Base stats'!$O:$O)</f>
        <v>0</v>
      </c>
      <c r="C224" s="20" cm="1">
        <f t="array" ref="C224">IF(
SUMPRODUCT(--(
TRIM(LEFT('Bite force'!$A:$A,SEARCH("§",SUBSTITUTE('Bite force'!$A:$A," ","§",2)&amp;"§")-1))=
TRIM(LEFT(A224,SEARCH("§",SUBSTITUTE(A224," ","§",2)&amp;"§")-1))
))&gt;0,
IF(
COUNT(_xlfn._xlws.FILTER('Bite force'!$I:$I,
TRIM(LEFT('Bite force'!$A:$A,SEARCH("§",SUBSTITUTE('Bite force'!$A:$A," ","§",2)&amp;"§")-1))=
TRIM(LEFT(A224,SEARCH("§",SUBSTITUTE(A224," ","§",2)&amp;"§")-1))
))=0,
1,
IF(
B224=2,
AVERAGE(_xlfn._xlws.FILTER('Bite force'!$I:$I,
TRIM(LEFT('Bite force'!$A:$A,SEARCH("§",SUBSTITUTE('Bite force'!$A:$A," ","§",2)&amp;"§")-1))=
TRIM(LEFT(A224,SEARCH("§",SUBSTITUTE(A224," ","§",2)&amp;"§")-1))
)),
MAX(_xlfn._xlws.FILTER('Bite force'!$I:$I,
TRIM(LEFT('Bite force'!$A:$A,SEARCH("§",SUBSTITUTE('Bite force'!$A:$A," ","§",2)&amp;"§")-1))=
TRIM(LEFT(A224,SEARCH("§",SUBSTITUTE(A224," ","§",2)&amp;"§")-1))
))
)
),
IFERROR(
AVERAGE(_xlfn._xlws.FILTER('Bite force'!$I:$I,
TRIM(LEFT('Bite force'!$A:$A,SEARCH(" ",'Bite force'!$A:$A&amp;" ")-1))=
TRIM(LEFT(A224,SEARCH(" ",A224&amp;" ")-1))
)),
1
)
)</f>
        <v>1</v>
      </c>
    </row>
    <row r="225" spans="1:3" x14ac:dyDescent="0.25">
      <c r="A225" s="2" t="str">
        <f>'[1]Base stats'!$B225</f>
        <v>Formica chemurgica</v>
      </c>
      <c r="B225" s="23">
        <f>_xlfn.XLOOKUP(A225,'[1]Base stats'!$B:$B,'[1]Base stats'!$O:$O)</f>
        <v>0</v>
      </c>
      <c r="C225" s="20" cm="1">
        <f t="array" ref="C225">IF(
SUMPRODUCT(--(
TRIM(LEFT('Bite force'!$A:$A,SEARCH("§",SUBSTITUTE('Bite force'!$A:$A," ","§",2)&amp;"§")-1))=
TRIM(LEFT(A225,SEARCH("§",SUBSTITUTE(A225," ","§",2)&amp;"§")-1))
))&gt;0,
IF(
COUNT(_xlfn._xlws.FILTER('Bite force'!$I:$I,
TRIM(LEFT('Bite force'!$A:$A,SEARCH("§",SUBSTITUTE('Bite force'!$A:$A," ","§",2)&amp;"§")-1))=
TRIM(LEFT(A225,SEARCH("§",SUBSTITUTE(A225," ","§",2)&amp;"§")-1))
))=0,
1,
IF(
B225=2,
AVERAGE(_xlfn._xlws.FILTER('Bite force'!$I:$I,
TRIM(LEFT('Bite force'!$A:$A,SEARCH("§",SUBSTITUTE('Bite force'!$A:$A," ","§",2)&amp;"§")-1))=
TRIM(LEFT(A225,SEARCH("§",SUBSTITUTE(A225," ","§",2)&amp;"§")-1))
)),
MAX(_xlfn._xlws.FILTER('Bite force'!$I:$I,
TRIM(LEFT('Bite force'!$A:$A,SEARCH("§",SUBSTITUTE('Bite force'!$A:$A," ","§",2)&amp;"§")-1))=
TRIM(LEFT(A225,SEARCH("§",SUBSTITUTE(A225," ","§",2)&amp;"§")-1))
))
)
),
IFERROR(
AVERAGE(_xlfn._xlws.FILTER('Bite force'!$I:$I,
TRIM(LEFT('Bite force'!$A:$A,SEARCH(" ",'Bite force'!$A:$A&amp;" ")-1))=
TRIM(LEFT(A225,SEARCH(" ",A225&amp;" ")-1))
)),
1
)
)</f>
        <v>1</v>
      </c>
    </row>
    <row r="226" spans="1:3" x14ac:dyDescent="0.25">
      <c r="A226" s="2" t="str">
        <f>'[1]Base stats'!$B226</f>
        <v>Cimex titanus</v>
      </c>
      <c r="B226" s="23">
        <f>_xlfn.XLOOKUP(A226,'[1]Base stats'!$B:$B,'[1]Base stats'!$O:$O)</f>
        <v>0</v>
      </c>
      <c r="C226" s="20" cm="1">
        <f t="array" ref="C226">IF(
SUMPRODUCT(--(
TRIM(LEFT('Bite force'!$A:$A,SEARCH("§",SUBSTITUTE('Bite force'!$A:$A," ","§",2)&amp;"§")-1))=
TRIM(LEFT(A226,SEARCH("§",SUBSTITUTE(A226," ","§",2)&amp;"§")-1))
))&gt;0,
IF(
COUNT(_xlfn._xlws.FILTER('Bite force'!$I:$I,
TRIM(LEFT('Bite force'!$A:$A,SEARCH("§",SUBSTITUTE('Bite force'!$A:$A," ","§",2)&amp;"§")-1))=
TRIM(LEFT(A226,SEARCH("§",SUBSTITUTE(A226," ","§",2)&amp;"§")-1))
))=0,
1,
IF(
B226=2,
AVERAGE(_xlfn._xlws.FILTER('Bite force'!$I:$I,
TRIM(LEFT('Bite force'!$A:$A,SEARCH("§",SUBSTITUTE('Bite force'!$A:$A," ","§",2)&amp;"§")-1))=
TRIM(LEFT(A226,SEARCH("§",SUBSTITUTE(A226," ","§",2)&amp;"§")-1))
)),
MAX(_xlfn._xlws.FILTER('Bite force'!$I:$I,
TRIM(LEFT('Bite force'!$A:$A,SEARCH("§",SUBSTITUTE('Bite force'!$A:$A," ","§",2)&amp;"§")-1))=
TRIM(LEFT(A226,SEARCH("§",SUBSTITUTE(A226," ","§",2)&amp;"§")-1))
))
)
),
IFERROR(
AVERAGE(_xlfn._xlws.FILTER('Bite force'!$I:$I,
TRIM(LEFT('Bite force'!$A:$A,SEARCH(" ",'Bite force'!$A:$A&amp;" ")-1))=
TRIM(LEFT(A226,SEARCH(" ",A226&amp;" ")-1))
)),
1
)
)</f>
        <v>1</v>
      </c>
    </row>
    <row r="227" spans="1:3" x14ac:dyDescent="0.25">
      <c r="A227" s="2" t="str">
        <f>'[1]Base stats'!$B227</f>
        <v>Coleoptera crepusculi</v>
      </c>
      <c r="B227" s="23">
        <f>_xlfn.XLOOKUP(A227,'[1]Base stats'!$B:$B,'[1]Base stats'!$O:$O)</f>
        <v>0</v>
      </c>
      <c r="C227" s="20" cm="1">
        <f t="array" ref="C227">IF(
SUMPRODUCT(--(
TRIM(LEFT('Bite force'!$A:$A,SEARCH("§",SUBSTITUTE('Bite force'!$A:$A," ","§",2)&amp;"§")-1))=
TRIM(LEFT(A227,SEARCH("§",SUBSTITUTE(A227," ","§",2)&amp;"§")-1))
))&gt;0,
IF(
COUNT(_xlfn._xlws.FILTER('Bite force'!$I:$I,
TRIM(LEFT('Bite force'!$A:$A,SEARCH("§",SUBSTITUTE('Bite force'!$A:$A," ","§",2)&amp;"§")-1))=
TRIM(LEFT(A227,SEARCH("§",SUBSTITUTE(A227," ","§",2)&amp;"§")-1))
))=0,
1,
IF(
B227=2,
AVERAGE(_xlfn._xlws.FILTER('Bite force'!$I:$I,
TRIM(LEFT('Bite force'!$A:$A,SEARCH("§",SUBSTITUTE('Bite force'!$A:$A," ","§",2)&amp;"§")-1))=
TRIM(LEFT(A227,SEARCH("§",SUBSTITUTE(A227," ","§",2)&amp;"§")-1))
)),
MAX(_xlfn._xlws.FILTER('Bite force'!$I:$I,
TRIM(LEFT('Bite force'!$A:$A,SEARCH("§",SUBSTITUTE('Bite force'!$A:$A," ","§",2)&amp;"§")-1))=
TRIM(LEFT(A227,SEARCH("§",SUBSTITUTE(A227," ","§",2)&amp;"§")-1))
))
)
),
IFERROR(
AVERAGE(_xlfn._xlws.FILTER('Bite force'!$I:$I,
TRIM(LEFT('Bite force'!$A:$A,SEARCH(" ",'Bite force'!$A:$A&amp;" ")-1))=
TRIM(LEFT(A227,SEARCH(" ",A227&amp;" ")-1))
)),
1
)
)</f>
        <v>1</v>
      </c>
    </row>
    <row r="228" spans="1:3" x14ac:dyDescent="0.25">
      <c r="A228" s="2" t="str">
        <f>'[1]Base stats'!$B228</f>
        <v>Arthrocolossus behemoth</v>
      </c>
      <c r="B228" s="23">
        <f>_xlfn.XLOOKUP(A228,'[1]Base stats'!$B:$B,'[1]Base stats'!$O:$O)</f>
        <v>0</v>
      </c>
      <c r="C228" s="20" cm="1">
        <f t="array" ref="C228">IF(
SUMPRODUCT(--(
TRIM(LEFT('Bite force'!$A:$A,SEARCH("§",SUBSTITUTE('Bite force'!$A:$A," ","§",2)&amp;"§")-1))=
TRIM(LEFT(A228,SEARCH("§",SUBSTITUTE(A228," ","§",2)&amp;"§")-1))
))&gt;0,
IF(
COUNT(_xlfn._xlws.FILTER('Bite force'!$I:$I,
TRIM(LEFT('Bite force'!$A:$A,SEARCH("§",SUBSTITUTE('Bite force'!$A:$A," ","§",2)&amp;"§")-1))=
TRIM(LEFT(A228,SEARCH("§",SUBSTITUTE(A228," ","§",2)&amp;"§")-1))
))=0,
1,
IF(
B228=2,
AVERAGE(_xlfn._xlws.FILTER('Bite force'!$I:$I,
TRIM(LEFT('Bite force'!$A:$A,SEARCH("§",SUBSTITUTE('Bite force'!$A:$A," ","§",2)&amp;"§")-1))=
TRIM(LEFT(A228,SEARCH("§",SUBSTITUTE(A228," ","§",2)&amp;"§")-1))
)),
MAX(_xlfn._xlws.FILTER('Bite force'!$I:$I,
TRIM(LEFT('Bite force'!$A:$A,SEARCH("§",SUBSTITUTE('Bite force'!$A:$A," ","§",2)&amp;"§")-1))=
TRIM(LEFT(A228,SEARCH("§",SUBSTITUTE(A228," ","§",2)&amp;"§")-1))
))
)
),
IFERROR(
AVERAGE(_xlfn._xlws.FILTER('Bite force'!$I:$I,
TRIM(LEFT('Bite force'!$A:$A,SEARCH(" ",'Bite force'!$A:$A&amp;" ")-1))=
TRIM(LEFT(A228,SEARCH(" ",A228&amp;" ")-1))
)),
1
)
)</f>
        <v>1</v>
      </c>
    </row>
    <row r="229" spans="1:3" x14ac:dyDescent="0.25">
      <c r="A229" s="2" t="str">
        <f>'[1]Base stats'!$B229</f>
        <v>Devourer maximus</v>
      </c>
      <c r="B229" s="23">
        <f>_xlfn.XLOOKUP(A229,'[1]Base stats'!$B:$B,'[1]Base stats'!$O:$O)</f>
        <v>0</v>
      </c>
      <c r="C229" s="20" cm="1">
        <f t="array" ref="C229">IF(
SUMPRODUCT(--(
TRIM(LEFT('Bite force'!$A:$A,SEARCH("§",SUBSTITUTE('Bite force'!$A:$A," ","§",2)&amp;"§")-1))=
TRIM(LEFT(A229,SEARCH("§",SUBSTITUTE(A229," ","§",2)&amp;"§")-1))
))&gt;0,
IF(
COUNT(_xlfn._xlws.FILTER('Bite force'!$I:$I,
TRIM(LEFT('Bite force'!$A:$A,SEARCH("§",SUBSTITUTE('Bite force'!$A:$A," ","§",2)&amp;"§")-1))=
TRIM(LEFT(A229,SEARCH("§",SUBSTITUTE(A229," ","§",2)&amp;"§")-1))
))=0,
1,
IF(
B229=2,
AVERAGE(_xlfn._xlws.FILTER('Bite force'!$I:$I,
TRIM(LEFT('Bite force'!$A:$A,SEARCH("§",SUBSTITUTE('Bite force'!$A:$A," ","§",2)&amp;"§")-1))=
TRIM(LEFT(A229,SEARCH("§",SUBSTITUTE(A229," ","§",2)&amp;"§")-1))
)),
MAX(_xlfn._xlws.FILTER('Bite force'!$I:$I,
TRIM(LEFT('Bite force'!$A:$A,SEARCH("§",SUBSTITUTE('Bite force'!$A:$A," ","§",2)&amp;"§")-1))=
TRIM(LEFT(A229,SEARCH("§",SUBSTITUTE(A229," ","§",2)&amp;"§")-1))
))
)
),
IFERROR(
AVERAGE(_xlfn._xlws.FILTER('Bite force'!$I:$I,
TRIM(LEFT('Bite force'!$A:$A,SEARCH(" ",'Bite force'!$A:$A&amp;" ")-1))=
TRIM(LEFT(A229,SEARCH(" ",A229&amp;" ")-1))
)),
1
)
)</f>
        <v>1</v>
      </c>
    </row>
    <row r="230" spans="1:3" x14ac:dyDescent="0.25">
      <c r="A230" s="2" t="str">
        <f>'[1]Base stats'!$B230</f>
        <v>Vermis collectivus</v>
      </c>
      <c r="B230" s="23">
        <f>_xlfn.XLOOKUP(A230,'[1]Base stats'!$B:$B,'[1]Base stats'!$O:$O)</f>
        <v>0</v>
      </c>
      <c r="C230" s="20" cm="1">
        <f t="array" ref="C230">IF(
SUMPRODUCT(--(
TRIM(LEFT('Bite force'!$A:$A,SEARCH("§",SUBSTITUTE('Bite force'!$A:$A," ","§",2)&amp;"§")-1))=
TRIM(LEFT(A230,SEARCH("§",SUBSTITUTE(A230," ","§",2)&amp;"§")-1))
))&gt;0,
IF(
COUNT(_xlfn._xlws.FILTER('Bite force'!$I:$I,
TRIM(LEFT('Bite force'!$A:$A,SEARCH("§",SUBSTITUTE('Bite force'!$A:$A," ","§",2)&amp;"§")-1))=
TRIM(LEFT(A230,SEARCH("§",SUBSTITUTE(A230," ","§",2)&amp;"§")-1))
))=0,
1,
IF(
B230=2,
AVERAGE(_xlfn._xlws.FILTER('Bite force'!$I:$I,
TRIM(LEFT('Bite force'!$A:$A,SEARCH("§",SUBSTITUTE('Bite force'!$A:$A," ","§",2)&amp;"§")-1))=
TRIM(LEFT(A230,SEARCH("§",SUBSTITUTE(A230," ","§",2)&amp;"§")-1))
)),
MAX(_xlfn._xlws.FILTER('Bite force'!$I:$I,
TRIM(LEFT('Bite force'!$A:$A,SEARCH("§",SUBSTITUTE('Bite force'!$A:$A," ","§",2)&amp;"§")-1))=
TRIM(LEFT(A230,SEARCH("§",SUBSTITUTE(A230," ","§",2)&amp;"§")-1))
))
)
),
IFERROR(
AVERAGE(_xlfn._xlws.FILTER('Bite force'!$I:$I,
TRIM(LEFT('Bite force'!$A:$A,SEARCH(" ",'Bite force'!$A:$A&amp;" ")-1))=
TRIM(LEFT(A230,SEARCH(" ",A230&amp;" ")-1))
)),
1
)
)</f>
        <v>1</v>
      </c>
    </row>
    <row r="231" spans="1:3" x14ac:dyDescent="0.25">
      <c r="A231" s="2" t="str">
        <f>'[1]Base stats'!$B231</f>
        <v>Araneodraco animalis</v>
      </c>
      <c r="B231" s="23">
        <f>_xlfn.XLOOKUP(A231,'[1]Base stats'!$B:$B,'[1]Base stats'!$O:$O)</f>
        <v>0</v>
      </c>
      <c r="C231" s="20" cm="1">
        <f t="array" ref="C231">IF(
SUMPRODUCT(--(
TRIM(LEFT('Bite force'!$A:$A,SEARCH("§",SUBSTITUTE('Bite force'!$A:$A," ","§",2)&amp;"§")-1))=
TRIM(LEFT(A231,SEARCH("§",SUBSTITUTE(A231," ","§",2)&amp;"§")-1))
))&gt;0,
IF(
COUNT(_xlfn._xlws.FILTER('Bite force'!$I:$I,
TRIM(LEFT('Bite force'!$A:$A,SEARCH("§",SUBSTITUTE('Bite force'!$A:$A," ","§",2)&amp;"§")-1))=
TRIM(LEFT(A231,SEARCH("§",SUBSTITUTE(A231," ","§",2)&amp;"§")-1))
))=0,
1,
IF(
B231=2,
AVERAGE(_xlfn._xlws.FILTER('Bite force'!$I:$I,
TRIM(LEFT('Bite force'!$A:$A,SEARCH("§",SUBSTITUTE('Bite force'!$A:$A," ","§",2)&amp;"§")-1))=
TRIM(LEFT(A231,SEARCH("§",SUBSTITUTE(A231," ","§",2)&amp;"§")-1))
)),
MAX(_xlfn._xlws.FILTER('Bite force'!$I:$I,
TRIM(LEFT('Bite force'!$A:$A,SEARCH("§",SUBSTITUTE('Bite force'!$A:$A," ","§",2)&amp;"§")-1))=
TRIM(LEFT(A231,SEARCH("§",SUBSTITUTE(A231," ","§",2)&amp;"§")-1))
))
)
),
IFERROR(
AVERAGE(_xlfn._xlws.FILTER('Bite force'!$I:$I,
TRIM(LEFT('Bite force'!$A:$A,SEARCH(" ",'Bite force'!$A:$A&amp;" ")-1))=
TRIM(LEFT(A231,SEARCH(" ",A231&amp;" ")-1))
)),
1
)
)</f>
        <v>1</v>
      </c>
    </row>
    <row r="232" spans="1:3" x14ac:dyDescent="0.25">
      <c r="A232" s="2" t="str">
        <f>'[1]Base stats'!$B232</f>
        <v>Araneodraco ferus</v>
      </c>
      <c r="B232" s="23">
        <f>_xlfn.XLOOKUP(A232,'[1]Base stats'!$B:$B,'[1]Base stats'!$O:$O)</f>
        <v>0</v>
      </c>
      <c r="C232" s="20" cm="1">
        <f t="array" ref="C232">IF(
SUMPRODUCT(--(
TRIM(LEFT('Bite force'!$A:$A,SEARCH("§",SUBSTITUTE('Bite force'!$A:$A," ","§",2)&amp;"§")-1))=
TRIM(LEFT(A232,SEARCH("§",SUBSTITUTE(A232," ","§",2)&amp;"§")-1))
))&gt;0,
IF(
COUNT(_xlfn._xlws.FILTER('Bite force'!$I:$I,
TRIM(LEFT('Bite force'!$A:$A,SEARCH("§",SUBSTITUTE('Bite force'!$A:$A," ","§",2)&amp;"§")-1))=
TRIM(LEFT(A232,SEARCH("§",SUBSTITUTE(A232," ","§",2)&amp;"§")-1))
))=0,
1,
IF(
B232=2,
AVERAGE(_xlfn._xlws.FILTER('Bite force'!$I:$I,
TRIM(LEFT('Bite force'!$A:$A,SEARCH("§",SUBSTITUTE('Bite force'!$A:$A," ","§",2)&amp;"§")-1))=
TRIM(LEFT(A232,SEARCH("§",SUBSTITUTE(A232," ","§",2)&amp;"§")-1))
)),
MAX(_xlfn._xlws.FILTER('Bite force'!$I:$I,
TRIM(LEFT('Bite force'!$A:$A,SEARCH("§",SUBSTITUTE('Bite force'!$A:$A," ","§",2)&amp;"§")-1))=
TRIM(LEFT(A232,SEARCH("§",SUBSTITUTE(A232," ","§",2)&amp;"§")-1))
))
)
),
IFERROR(
AVERAGE(_xlfn._xlws.FILTER('Bite force'!$I:$I,
TRIM(LEFT('Bite force'!$A:$A,SEARCH(" ",'Bite force'!$A:$A&amp;" ")-1))=
TRIM(LEFT(A232,SEARCH(" ",A232&amp;" ")-1))
)),
1
)
)</f>
        <v>1</v>
      </c>
    </row>
    <row r="233" spans="1:3" x14ac:dyDescent="0.25">
      <c r="A233" s="2" t="str">
        <f>'[1]Base stats'!$B233</f>
        <v>Araneodraco ferus (clutch mother)</v>
      </c>
      <c r="B233" s="23">
        <f>_xlfn.XLOOKUP(A233,'[1]Base stats'!$B:$B,'[1]Base stats'!$O:$O)</f>
        <v>0</v>
      </c>
      <c r="C233" s="20" cm="1">
        <f t="array" ref="C233">IF(
SUMPRODUCT(--(
TRIM(LEFT('Bite force'!$A:$A,SEARCH("§",SUBSTITUTE('Bite force'!$A:$A," ","§",2)&amp;"§")-1))=
TRIM(LEFT(A233,SEARCH("§",SUBSTITUTE(A233," ","§",2)&amp;"§")-1))
))&gt;0,
IF(
COUNT(_xlfn._xlws.FILTER('Bite force'!$I:$I,
TRIM(LEFT('Bite force'!$A:$A,SEARCH("§",SUBSTITUTE('Bite force'!$A:$A," ","§",2)&amp;"§")-1))=
TRIM(LEFT(A233,SEARCH("§",SUBSTITUTE(A233," ","§",2)&amp;"§")-1))
))=0,
1,
IF(
B233=2,
AVERAGE(_xlfn._xlws.FILTER('Bite force'!$I:$I,
TRIM(LEFT('Bite force'!$A:$A,SEARCH("§",SUBSTITUTE('Bite force'!$A:$A," ","§",2)&amp;"§")-1))=
TRIM(LEFT(A233,SEARCH("§",SUBSTITUTE(A233," ","§",2)&amp;"§")-1))
)),
MAX(_xlfn._xlws.FILTER('Bite force'!$I:$I,
TRIM(LEFT('Bite force'!$A:$A,SEARCH("§",SUBSTITUTE('Bite force'!$A:$A," ","§",2)&amp;"§")-1))=
TRIM(LEFT(A233,SEARCH("§",SUBSTITUTE(A233," ","§",2)&amp;"§")-1))
))
)
),
IFERROR(
AVERAGE(_xlfn._xlws.FILTER('Bite force'!$I:$I,
TRIM(LEFT('Bite force'!$A:$A,SEARCH(" ",'Bite force'!$A:$A&amp;" ")-1))=
TRIM(LEFT(A233,SEARCH(" ",A233&amp;" ")-1))
)),
1
)
)</f>
        <v>1</v>
      </c>
    </row>
    <row r="234" spans="1:3" x14ac:dyDescent="0.25">
      <c r="A234" s="2" t="str">
        <f>'[1]Base stats'!$B234</f>
        <v>Araneodraco arenosus</v>
      </c>
      <c r="B234" s="23">
        <f>_xlfn.XLOOKUP(A234,'[1]Base stats'!$B:$B,'[1]Base stats'!$O:$O)</f>
        <v>0</v>
      </c>
      <c r="C234" s="20" cm="1">
        <f t="array" ref="C234">IF(
SUMPRODUCT(--(
TRIM(LEFT('Bite force'!$A:$A,SEARCH("§",SUBSTITUTE('Bite force'!$A:$A," ","§",2)&amp;"§")-1))=
TRIM(LEFT(A234,SEARCH("§",SUBSTITUTE(A234," ","§",2)&amp;"§")-1))
))&gt;0,
IF(
COUNT(_xlfn._xlws.FILTER('Bite force'!$I:$I,
TRIM(LEFT('Bite force'!$A:$A,SEARCH("§",SUBSTITUTE('Bite force'!$A:$A," ","§",2)&amp;"§")-1))=
TRIM(LEFT(A234,SEARCH("§",SUBSTITUTE(A234," ","§",2)&amp;"§")-1))
))=0,
1,
IF(
B234=2,
AVERAGE(_xlfn._xlws.FILTER('Bite force'!$I:$I,
TRIM(LEFT('Bite force'!$A:$A,SEARCH("§",SUBSTITUTE('Bite force'!$A:$A," ","§",2)&amp;"§")-1))=
TRIM(LEFT(A234,SEARCH("§",SUBSTITUTE(A234," ","§",2)&amp;"§")-1))
)),
MAX(_xlfn._xlws.FILTER('Bite force'!$I:$I,
TRIM(LEFT('Bite force'!$A:$A,SEARCH("§",SUBSTITUTE('Bite force'!$A:$A," ","§",2)&amp;"§")-1))=
TRIM(LEFT(A234,SEARCH("§",SUBSTITUTE(A234," ","§",2)&amp;"§")-1))
))
)
),
IFERROR(
AVERAGE(_xlfn._xlws.FILTER('Bite force'!$I:$I,
TRIM(LEFT('Bite force'!$A:$A,SEARCH(" ",'Bite force'!$A:$A&amp;" ")-1))=
TRIM(LEFT(A234,SEARCH(" ",A234&amp;" ")-1))
)),
1
)
)</f>
        <v>1</v>
      </c>
    </row>
    <row r="235" spans="1:3" x14ac:dyDescent="0.25">
      <c r="A235" s="2" t="str">
        <f>'[1]Base stats'!$B235</f>
        <v>Araneodraco arenosus (clutch mother)</v>
      </c>
      <c r="B235" s="23">
        <f>_xlfn.XLOOKUP(A235,'[1]Base stats'!$B:$B,'[1]Base stats'!$O:$O)</f>
        <v>0</v>
      </c>
      <c r="C235" s="20" cm="1">
        <f t="array" ref="C235">IF(
SUMPRODUCT(--(
TRIM(LEFT('Bite force'!$A:$A,SEARCH("§",SUBSTITUTE('Bite force'!$A:$A," ","§",2)&amp;"§")-1))=
TRIM(LEFT(A235,SEARCH("§",SUBSTITUTE(A235," ","§",2)&amp;"§")-1))
))&gt;0,
IF(
COUNT(_xlfn._xlws.FILTER('Bite force'!$I:$I,
TRIM(LEFT('Bite force'!$A:$A,SEARCH("§",SUBSTITUTE('Bite force'!$A:$A," ","§",2)&amp;"§")-1))=
TRIM(LEFT(A235,SEARCH("§",SUBSTITUTE(A235," ","§",2)&amp;"§")-1))
))=0,
1,
IF(
B235=2,
AVERAGE(_xlfn._xlws.FILTER('Bite force'!$I:$I,
TRIM(LEFT('Bite force'!$A:$A,SEARCH("§",SUBSTITUTE('Bite force'!$A:$A," ","§",2)&amp;"§")-1))=
TRIM(LEFT(A235,SEARCH("§",SUBSTITUTE(A235," ","§",2)&amp;"§")-1))
)),
MAX(_xlfn._xlws.FILTER('Bite force'!$I:$I,
TRIM(LEFT('Bite force'!$A:$A,SEARCH("§",SUBSTITUTE('Bite force'!$A:$A," ","§",2)&amp;"§")-1))=
TRIM(LEFT(A235,SEARCH("§",SUBSTITUTE(A235," ","§",2)&amp;"§")-1))
))
)
),
IFERROR(
AVERAGE(_xlfn._xlws.FILTER('Bite force'!$I:$I,
TRIM(LEFT('Bite force'!$A:$A,SEARCH(" ",'Bite force'!$A:$A&amp;" ")-1))=
TRIM(LEFT(A235,SEARCH(" ",A235&amp;" ")-1))
)),
1
)
)</f>
        <v>1</v>
      </c>
    </row>
    <row r="236" spans="1:3" x14ac:dyDescent="0.25">
      <c r="A236" s="2" t="str">
        <f>'[1]Base stats'!$B236</f>
        <v>Araneodraco glacialis</v>
      </c>
      <c r="B236" s="23">
        <f>_xlfn.XLOOKUP(A236,'[1]Base stats'!$B:$B,'[1]Base stats'!$O:$O)</f>
        <v>0</v>
      </c>
      <c r="C236" s="20" cm="1">
        <f t="array" ref="C236">IF(
SUMPRODUCT(--(
TRIM(LEFT('Bite force'!$A:$A,SEARCH("§",SUBSTITUTE('Bite force'!$A:$A," ","§",2)&amp;"§")-1))=
TRIM(LEFT(A236,SEARCH("§",SUBSTITUTE(A236," ","§",2)&amp;"§")-1))
))&gt;0,
IF(
COUNT(_xlfn._xlws.FILTER('Bite force'!$I:$I,
TRIM(LEFT('Bite force'!$A:$A,SEARCH("§",SUBSTITUTE('Bite force'!$A:$A," ","§",2)&amp;"§")-1))=
TRIM(LEFT(A236,SEARCH("§",SUBSTITUTE(A236," ","§",2)&amp;"§")-1))
))=0,
1,
IF(
B236=2,
AVERAGE(_xlfn._xlws.FILTER('Bite force'!$I:$I,
TRIM(LEFT('Bite force'!$A:$A,SEARCH("§",SUBSTITUTE('Bite force'!$A:$A," ","§",2)&amp;"§")-1))=
TRIM(LEFT(A236,SEARCH("§",SUBSTITUTE(A236," ","§",2)&amp;"§")-1))
)),
MAX(_xlfn._xlws.FILTER('Bite force'!$I:$I,
TRIM(LEFT('Bite force'!$A:$A,SEARCH("§",SUBSTITUTE('Bite force'!$A:$A," ","§",2)&amp;"§")-1))=
TRIM(LEFT(A236,SEARCH("§",SUBSTITUTE(A236," ","§",2)&amp;"§")-1))
))
)
),
IFERROR(
AVERAGE(_xlfn._xlws.FILTER('Bite force'!$I:$I,
TRIM(LEFT('Bite force'!$A:$A,SEARCH(" ",'Bite force'!$A:$A&amp;" ")-1))=
TRIM(LEFT(A236,SEARCH(" ",A236&amp;" ")-1))
)),
1
)
)</f>
        <v>1</v>
      </c>
    </row>
    <row r="237" spans="1:3" x14ac:dyDescent="0.25">
      <c r="A237" s="2" t="str">
        <f>'[1]Base stats'!$B237</f>
        <v>Araneodraco glacialis (clutch mother)</v>
      </c>
      <c r="B237" s="23">
        <f>_xlfn.XLOOKUP(A237,'[1]Base stats'!$B:$B,'[1]Base stats'!$O:$O)</f>
        <v>0</v>
      </c>
      <c r="C237" s="20" cm="1">
        <f t="array" ref="C237">IF(
SUMPRODUCT(--(
TRIM(LEFT('Bite force'!$A:$A,SEARCH("§",SUBSTITUTE('Bite force'!$A:$A," ","§",2)&amp;"§")-1))=
TRIM(LEFT(A237,SEARCH("§",SUBSTITUTE(A237," ","§",2)&amp;"§")-1))
))&gt;0,
IF(
COUNT(_xlfn._xlws.FILTER('Bite force'!$I:$I,
TRIM(LEFT('Bite force'!$A:$A,SEARCH("§",SUBSTITUTE('Bite force'!$A:$A," ","§",2)&amp;"§")-1))=
TRIM(LEFT(A237,SEARCH("§",SUBSTITUTE(A237," ","§",2)&amp;"§")-1))
))=0,
1,
IF(
B237=2,
AVERAGE(_xlfn._xlws.FILTER('Bite force'!$I:$I,
TRIM(LEFT('Bite force'!$A:$A,SEARCH("§",SUBSTITUTE('Bite force'!$A:$A," ","§",2)&amp;"§")-1))=
TRIM(LEFT(A237,SEARCH("§",SUBSTITUTE(A237," ","§",2)&amp;"§")-1))
)),
MAX(_xlfn._xlws.FILTER('Bite force'!$I:$I,
TRIM(LEFT('Bite force'!$A:$A,SEARCH("§",SUBSTITUTE('Bite force'!$A:$A," ","§",2)&amp;"§")-1))=
TRIM(LEFT(A237,SEARCH("§",SUBSTITUTE(A237," ","§",2)&amp;"§")-1))
))
)
),
IFERROR(
AVERAGE(_xlfn._xlws.FILTER('Bite force'!$I:$I,
TRIM(LEFT('Bite force'!$A:$A,SEARCH(" ",'Bite force'!$A:$A&amp;" ")-1))=
TRIM(LEFT(A237,SEARCH(" ",A237&amp;" ")-1))
)),
1
)
)</f>
        <v>1</v>
      </c>
    </row>
    <row r="238" spans="1:3" x14ac:dyDescent="0.25">
      <c r="A238" s="2" t="str">
        <f>'[1]Base stats'!$B238</f>
        <v>Araneodraco ignis</v>
      </c>
      <c r="B238" s="23">
        <f>_xlfn.XLOOKUP(A238,'[1]Base stats'!$B:$B,'[1]Base stats'!$O:$O)</f>
        <v>0</v>
      </c>
      <c r="C238" s="20" cm="1">
        <f t="array" ref="C238">IF(
SUMPRODUCT(--(
TRIM(LEFT('Bite force'!$A:$A,SEARCH("§",SUBSTITUTE('Bite force'!$A:$A," ","§",2)&amp;"§")-1))=
TRIM(LEFT(A238,SEARCH("§",SUBSTITUTE(A238," ","§",2)&amp;"§")-1))
))&gt;0,
IF(
COUNT(_xlfn._xlws.FILTER('Bite force'!$I:$I,
TRIM(LEFT('Bite force'!$A:$A,SEARCH("§",SUBSTITUTE('Bite force'!$A:$A," ","§",2)&amp;"§")-1))=
TRIM(LEFT(A238,SEARCH("§",SUBSTITUTE(A238," ","§",2)&amp;"§")-1))
))=0,
1,
IF(
B238=2,
AVERAGE(_xlfn._xlws.FILTER('Bite force'!$I:$I,
TRIM(LEFT('Bite force'!$A:$A,SEARCH("§",SUBSTITUTE('Bite force'!$A:$A," ","§",2)&amp;"§")-1))=
TRIM(LEFT(A238,SEARCH("§",SUBSTITUTE(A238," ","§",2)&amp;"§")-1))
)),
MAX(_xlfn._xlws.FILTER('Bite force'!$I:$I,
TRIM(LEFT('Bite force'!$A:$A,SEARCH("§",SUBSTITUTE('Bite force'!$A:$A," ","§",2)&amp;"§")-1))=
TRIM(LEFT(A238,SEARCH("§",SUBSTITUTE(A238," ","§",2)&amp;"§")-1))
))
)
),
IFERROR(
AVERAGE(_xlfn._xlws.FILTER('Bite force'!$I:$I,
TRIM(LEFT('Bite force'!$A:$A,SEARCH(" ",'Bite force'!$A:$A&amp;" ")-1))=
TRIM(LEFT(A238,SEARCH(" ",A238&amp;" ")-1))
)),
1
)
)</f>
        <v>1</v>
      </c>
    </row>
    <row r="239" spans="1:3" x14ac:dyDescent="0.25">
      <c r="A239" s="2" t="str">
        <f>'[1]Base stats'!$B239</f>
        <v>Araneodraco sylvanus</v>
      </c>
      <c r="B239" s="23">
        <f>_xlfn.XLOOKUP(A239,'[1]Base stats'!$B:$B,'[1]Base stats'!$O:$O)</f>
        <v>0</v>
      </c>
      <c r="C239" s="20" cm="1">
        <f t="array" ref="C239">IF(
SUMPRODUCT(--(
TRIM(LEFT('Bite force'!$A:$A,SEARCH("§",SUBSTITUTE('Bite force'!$A:$A," ","§",2)&amp;"§")-1))=
TRIM(LEFT(A239,SEARCH("§",SUBSTITUTE(A239," ","§",2)&amp;"§")-1))
))&gt;0,
IF(
COUNT(_xlfn._xlws.FILTER('Bite force'!$I:$I,
TRIM(LEFT('Bite force'!$A:$A,SEARCH("§",SUBSTITUTE('Bite force'!$A:$A," ","§",2)&amp;"§")-1))=
TRIM(LEFT(A239,SEARCH("§",SUBSTITUTE(A239," ","§",2)&amp;"§")-1))
))=0,
1,
IF(
B239=2,
AVERAGE(_xlfn._xlws.FILTER('Bite force'!$I:$I,
TRIM(LEFT('Bite force'!$A:$A,SEARCH("§",SUBSTITUTE('Bite force'!$A:$A," ","§",2)&amp;"§")-1))=
TRIM(LEFT(A239,SEARCH("§",SUBSTITUTE(A239," ","§",2)&amp;"§")-1))
)),
MAX(_xlfn._xlws.FILTER('Bite force'!$I:$I,
TRIM(LEFT('Bite force'!$A:$A,SEARCH("§",SUBSTITUTE('Bite force'!$A:$A," ","§",2)&amp;"§")-1))=
TRIM(LEFT(A239,SEARCH("§",SUBSTITUTE(A239," ","§",2)&amp;"§")-1))
))
)
),
IFERROR(
AVERAGE(_xlfn._xlws.FILTER('Bite force'!$I:$I,
TRIM(LEFT('Bite force'!$A:$A,SEARCH(" ",'Bite force'!$A:$A&amp;" ")-1))=
TRIM(LEFT(A239,SEARCH(" ",A239&amp;" ")-1))
)),
1
)
)</f>
        <v>1</v>
      </c>
    </row>
    <row r="240" spans="1:3" x14ac:dyDescent="0.25">
      <c r="A240" s="2" t="str">
        <f>'[1]Base stats'!$B240</f>
        <v>Titanocoleus niger</v>
      </c>
      <c r="B240" s="23">
        <f>_xlfn.XLOOKUP(A240,'[1]Base stats'!$B:$B,'[1]Base stats'!$O:$O)</f>
        <v>0</v>
      </c>
      <c r="C240" s="20" cm="1">
        <f t="array" ref="C240">IF(
SUMPRODUCT(--(
TRIM(LEFT('Bite force'!$A:$A,SEARCH("§",SUBSTITUTE('Bite force'!$A:$A," ","§",2)&amp;"§")-1))=
TRIM(LEFT(A240,SEARCH("§",SUBSTITUTE(A240," ","§",2)&amp;"§")-1))
))&gt;0,
IF(
COUNT(_xlfn._xlws.FILTER('Bite force'!$I:$I,
TRIM(LEFT('Bite force'!$A:$A,SEARCH("§",SUBSTITUTE('Bite force'!$A:$A," ","§",2)&amp;"§")-1))=
TRIM(LEFT(A240,SEARCH("§",SUBSTITUTE(A240," ","§",2)&amp;"§")-1))
))=0,
1,
IF(
B240=2,
AVERAGE(_xlfn._xlws.FILTER('Bite force'!$I:$I,
TRIM(LEFT('Bite force'!$A:$A,SEARCH("§",SUBSTITUTE('Bite force'!$A:$A," ","§",2)&amp;"§")-1))=
TRIM(LEFT(A240,SEARCH("§",SUBSTITUTE(A240," ","§",2)&amp;"§")-1))
)),
MAX(_xlfn._xlws.FILTER('Bite force'!$I:$I,
TRIM(LEFT('Bite force'!$A:$A,SEARCH("§",SUBSTITUTE('Bite force'!$A:$A," ","§",2)&amp;"§")-1))=
TRIM(LEFT(A240,SEARCH("§",SUBSTITUTE(A240," ","§",2)&amp;"§")-1))
))
)
),
IFERROR(
AVERAGE(_xlfn._xlws.FILTER('Bite force'!$I:$I,
TRIM(LEFT('Bite force'!$A:$A,SEARCH(" ",'Bite force'!$A:$A&amp;" ")-1))=
TRIM(LEFT(A240,SEARCH(" ",A240&amp;" ")-1))
)),
1
)
)</f>
        <v>1</v>
      </c>
    </row>
    <row r="241" spans="1:3" x14ac:dyDescent="0.25">
      <c r="A241" s="2" t="str">
        <f>'[1]Base stats'!$B241</f>
        <v>Cryptomorphus niger</v>
      </c>
      <c r="B241" s="23">
        <f>_xlfn.XLOOKUP(A241,'[1]Base stats'!$B:$B,'[1]Base stats'!$O:$O)</f>
        <v>0</v>
      </c>
      <c r="C241" s="20" cm="1">
        <f t="array" ref="C241">IF(
SUMPRODUCT(--(
TRIM(LEFT('Bite force'!$A:$A,SEARCH("§",SUBSTITUTE('Bite force'!$A:$A," ","§",2)&amp;"§")-1))=
TRIM(LEFT(A241,SEARCH("§",SUBSTITUTE(A241," ","§",2)&amp;"§")-1))
))&gt;0,
IF(
COUNT(_xlfn._xlws.FILTER('Bite force'!$I:$I,
TRIM(LEFT('Bite force'!$A:$A,SEARCH("§",SUBSTITUTE('Bite force'!$A:$A," ","§",2)&amp;"§")-1))=
TRIM(LEFT(A241,SEARCH("§",SUBSTITUTE(A241," ","§",2)&amp;"§")-1))
))=0,
1,
IF(
B241=2,
AVERAGE(_xlfn._xlws.FILTER('Bite force'!$I:$I,
TRIM(LEFT('Bite force'!$A:$A,SEARCH("§",SUBSTITUTE('Bite force'!$A:$A," ","§",2)&amp;"§")-1))=
TRIM(LEFT(A241,SEARCH("§",SUBSTITUTE(A241," ","§",2)&amp;"§")-1))
)),
MAX(_xlfn._xlws.FILTER('Bite force'!$I:$I,
TRIM(LEFT('Bite force'!$A:$A,SEARCH("§",SUBSTITUTE('Bite force'!$A:$A," ","§",2)&amp;"§")-1))=
TRIM(LEFT(A241,SEARCH("§",SUBSTITUTE(A241," ","§",2)&amp;"§")-1))
))
)
),
IFERROR(
AVERAGE(_xlfn._xlws.FILTER('Bite force'!$I:$I,
TRIM(LEFT('Bite force'!$A:$A,SEARCH(" ",'Bite force'!$A:$A&amp;" ")-1))=
TRIM(LEFT(A241,SEARCH(" ",A241&amp;" ")-1))
)),
1
)
)</f>
        <v>1</v>
      </c>
    </row>
    <row r="242" spans="1:3" x14ac:dyDescent="0.25">
      <c r="A242" s="2" t="str">
        <f>'[1]Base stats'!$B242</f>
        <v>Gigarachne niger</v>
      </c>
      <c r="B242" s="23">
        <f>_xlfn.XLOOKUP(A242,'[1]Base stats'!$B:$B,'[1]Base stats'!$O:$O)</f>
        <v>0</v>
      </c>
      <c r="C242" s="20" cm="1">
        <f t="array" ref="C242">IF(
SUMPRODUCT(--(
TRIM(LEFT('Bite force'!$A:$A,SEARCH("§",SUBSTITUTE('Bite force'!$A:$A," ","§",2)&amp;"§")-1))=
TRIM(LEFT(A242,SEARCH("§",SUBSTITUTE(A242," ","§",2)&amp;"§")-1))
))&gt;0,
IF(
COUNT(_xlfn._xlws.FILTER('Bite force'!$I:$I,
TRIM(LEFT('Bite force'!$A:$A,SEARCH("§",SUBSTITUTE('Bite force'!$A:$A," ","§",2)&amp;"§")-1))=
TRIM(LEFT(A242,SEARCH("§",SUBSTITUTE(A242," ","§",2)&amp;"§")-1))
))=0,
1,
IF(
B242=2,
AVERAGE(_xlfn._xlws.FILTER('Bite force'!$I:$I,
TRIM(LEFT('Bite force'!$A:$A,SEARCH("§",SUBSTITUTE('Bite force'!$A:$A," ","§",2)&amp;"§")-1))=
TRIM(LEFT(A242,SEARCH("§",SUBSTITUTE(A242," ","§",2)&amp;"§")-1))
)),
MAX(_xlfn._xlws.FILTER('Bite force'!$I:$I,
TRIM(LEFT('Bite force'!$A:$A,SEARCH("§",SUBSTITUTE('Bite force'!$A:$A," ","§",2)&amp;"§")-1))=
TRIM(LEFT(A242,SEARCH("§",SUBSTITUTE(A242," ","§",2)&amp;"§")-1))
))
)
),
IFERROR(
AVERAGE(_xlfn._xlws.FILTER('Bite force'!$I:$I,
TRIM(LEFT('Bite force'!$A:$A,SEARCH(" ",'Bite force'!$A:$A&amp;" ")-1))=
TRIM(LEFT(A242,SEARCH(" ",A242&amp;" ")-1))
)),
1
)
)</f>
        <v>1</v>
      </c>
    </row>
    <row r="243" spans="1:3" x14ac:dyDescent="0.25">
      <c r="A243" s="2" t="str">
        <f>'[1]Base stats'!$B243</f>
        <v>Devastator rapax</v>
      </c>
      <c r="B243" s="23">
        <f>_xlfn.XLOOKUP(A243,'[1]Base stats'!$B:$B,'[1]Base stats'!$O:$O)</f>
        <v>0</v>
      </c>
      <c r="C243" s="20" cm="1">
        <f t="array" ref="C243">IF(
SUMPRODUCT(--(
TRIM(LEFT('Bite force'!$A:$A,SEARCH("§",SUBSTITUTE('Bite force'!$A:$A," ","§",2)&amp;"§")-1))=
TRIM(LEFT(A243,SEARCH("§",SUBSTITUTE(A243," ","§",2)&amp;"§")-1))
))&gt;0,
IF(
COUNT(_xlfn._xlws.FILTER('Bite force'!$I:$I,
TRIM(LEFT('Bite force'!$A:$A,SEARCH("§",SUBSTITUTE('Bite force'!$A:$A," ","§",2)&amp;"§")-1))=
TRIM(LEFT(A243,SEARCH("§",SUBSTITUTE(A243," ","§",2)&amp;"§")-1))
))=0,
1,
IF(
B243=2,
AVERAGE(_xlfn._xlws.FILTER('Bite force'!$I:$I,
TRIM(LEFT('Bite force'!$A:$A,SEARCH("§",SUBSTITUTE('Bite force'!$A:$A," ","§",2)&amp;"§")-1))=
TRIM(LEFT(A243,SEARCH("§",SUBSTITUTE(A243," ","§",2)&amp;"§")-1))
)),
MAX(_xlfn._xlws.FILTER('Bite force'!$I:$I,
TRIM(LEFT('Bite force'!$A:$A,SEARCH("§",SUBSTITUTE('Bite force'!$A:$A," ","§",2)&amp;"§")-1))=
TRIM(LEFT(A243,SEARCH("§",SUBSTITUTE(A243," ","§",2)&amp;"§")-1))
))
)
),
IFERROR(
AVERAGE(_xlfn._xlws.FILTER('Bite force'!$I:$I,
TRIM(LEFT('Bite force'!$A:$A,SEARCH(" ",'Bite force'!$A:$A&amp;" ")-1))=
TRIM(LEFT(A243,SEARCH(" ",A243&amp;" ")-1))
)),
1
)
)</f>
        <v>1</v>
      </c>
    </row>
    <row r="244" spans="1:3" x14ac:dyDescent="0.25">
      <c r="A244" s="2" t="str">
        <f>'[1]Base stats'!$B244</f>
        <v>Thermophis titan</v>
      </c>
      <c r="B244" s="23">
        <f>_xlfn.XLOOKUP(A244,'[1]Base stats'!$B:$B,'[1]Base stats'!$O:$O)</f>
        <v>0</v>
      </c>
      <c r="C244" s="20" cm="1">
        <f t="array" ref="C244">IF(
SUMPRODUCT(--(
TRIM(LEFT('Bite force'!$A:$A,SEARCH("§",SUBSTITUTE('Bite force'!$A:$A," ","§",2)&amp;"§")-1))=
TRIM(LEFT(A244,SEARCH("§",SUBSTITUTE(A244," ","§",2)&amp;"§")-1))
))&gt;0,
IF(
COUNT(_xlfn._xlws.FILTER('Bite force'!$I:$I,
TRIM(LEFT('Bite force'!$A:$A,SEARCH("§",SUBSTITUTE('Bite force'!$A:$A," ","§",2)&amp;"§")-1))=
TRIM(LEFT(A244,SEARCH("§",SUBSTITUTE(A244," ","§",2)&amp;"§")-1))
))=0,
1,
IF(
B244=2,
AVERAGE(_xlfn._xlws.FILTER('Bite force'!$I:$I,
TRIM(LEFT('Bite force'!$A:$A,SEARCH("§",SUBSTITUTE('Bite force'!$A:$A," ","§",2)&amp;"§")-1))=
TRIM(LEFT(A244,SEARCH("§",SUBSTITUTE(A244," ","§",2)&amp;"§")-1))
)),
MAX(_xlfn._xlws.FILTER('Bite force'!$I:$I,
TRIM(LEFT('Bite force'!$A:$A,SEARCH("§",SUBSTITUTE('Bite force'!$A:$A," ","§",2)&amp;"§")-1))=
TRIM(LEFT(A244,SEARCH("§",SUBSTITUTE(A244," ","§",2)&amp;"§")-1))
))
)
),
IFERROR(
AVERAGE(_xlfn._xlws.FILTER('Bite force'!$I:$I,
TRIM(LEFT('Bite force'!$A:$A,SEARCH(" ",'Bite force'!$A:$A&amp;" ")-1))=
TRIM(LEFT(A244,SEARCH(" ",A244&amp;" ")-1))
)),
1
)
)</f>
        <v>1</v>
      </c>
    </row>
    <row r="245" spans="1:3" x14ac:dyDescent="0.25">
      <c r="A245" s="2" t="str">
        <f>'[1]Base stats'!$B245</f>
        <v>Vermes mammuthus</v>
      </c>
      <c r="B245" s="23">
        <f>_xlfn.XLOOKUP(A245,'[1]Base stats'!$B:$B,'[1]Base stats'!$O:$O)</f>
        <v>0</v>
      </c>
      <c r="C245" s="20" cm="1">
        <f t="array" ref="C245">IF(
SUMPRODUCT(--(
TRIM(LEFT('Bite force'!$A:$A,SEARCH("§",SUBSTITUTE('Bite force'!$A:$A," ","§",2)&amp;"§")-1))=
TRIM(LEFT(A245,SEARCH("§",SUBSTITUTE(A245," ","§",2)&amp;"§")-1))
))&gt;0,
IF(
COUNT(_xlfn._xlws.FILTER('Bite force'!$I:$I,
TRIM(LEFT('Bite force'!$A:$A,SEARCH("§",SUBSTITUTE('Bite force'!$A:$A," ","§",2)&amp;"§")-1))=
TRIM(LEFT(A245,SEARCH("§",SUBSTITUTE(A245," ","§",2)&amp;"§")-1))
))=0,
1,
IF(
B245=2,
AVERAGE(_xlfn._xlws.FILTER('Bite force'!$I:$I,
TRIM(LEFT('Bite force'!$A:$A,SEARCH("§",SUBSTITUTE('Bite force'!$A:$A," ","§",2)&amp;"§")-1))=
TRIM(LEFT(A245,SEARCH("§",SUBSTITUTE(A245," ","§",2)&amp;"§")-1))
)),
MAX(_xlfn._xlws.FILTER('Bite force'!$I:$I,
TRIM(LEFT('Bite force'!$A:$A,SEARCH("§",SUBSTITUTE('Bite force'!$A:$A," ","§",2)&amp;"§")-1))=
TRIM(LEFT(A245,SEARCH("§",SUBSTITUTE(A245," ","§",2)&amp;"§")-1))
))
)
),
IFERROR(
AVERAGE(_xlfn._xlws.FILTER('Bite force'!$I:$I,
TRIM(LEFT('Bite force'!$A:$A,SEARCH(" ",'Bite force'!$A:$A&amp;" ")-1))=
TRIM(LEFT(A245,SEARCH(" ",A245&amp;" ")-1))
)),
1
)
)</f>
        <v>1</v>
      </c>
    </row>
    <row r="246" spans="1:3" x14ac:dyDescent="0.25">
      <c r="A246" s="2" t="str">
        <f>'[1]Base stats'!$B246</f>
        <v>Megacancer montanus</v>
      </c>
      <c r="B246" s="23">
        <f>_xlfn.XLOOKUP(A246,'[1]Base stats'!$B:$B,'[1]Base stats'!$O:$O)</f>
        <v>0</v>
      </c>
      <c r="C246" s="20" cm="1">
        <f t="array" ref="C246">IF(
SUMPRODUCT(--(
TRIM(LEFT('Bite force'!$A:$A,SEARCH("§",SUBSTITUTE('Bite force'!$A:$A," ","§",2)&amp;"§")-1))=
TRIM(LEFT(A246,SEARCH("§",SUBSTITUTE(A246," ","§",2)&amp;"§")-1))
))&gt;0,
IF(
COUNT(_xlfn._xlws.FILTER('Bite force'!$I:$I,
TRIM(LEFT('Bite force'!$A:$A,SEARCH("§",SUBSTITUTE('Bite force'!$A:$A," ","§",2)&amp;"§")-1))=
TRIM(LEFT(A246,SEARCH("§",SUBSTITUTE(A246," ","§",2)&amp;"§")-1))
))=0,
1,
IF(
B246=2,
AVERAGE(_xlfn._xlws.FILTER('Bite force'!$I:$I,
TRIM(LEFT('Bite force'!$A:$A,SEARCH("§",SUBSTITUTE('Bite force'!$A:$A," ","§",2)&amp;"§")-1))=
TRIM(LEFT(A246,SEARCH("§",SUBSTITUTE(A246," ","§",2)&amp;"§")-1))
)),
MAX(_xlfn._xlws.FILTER('Bite force'!$I:$I,
TRIM(LEFT('Bite force'!$A:$A,SEARCH("§",SUBSTITUTE('Bite force'!$A:$A," ","§",2)&amp;"§")-1))=
TRIM(LEFT(A246,SEARCH("§",SUBSTITUTE(A246," ","§",2)&amp;"§")-1))
))
)
),
IFERROR(
AVERAGE(_xlfn._xlws.FILTER('Bite force'!$I:$I,
TRIM(LEFT('Bite force'!$A:$A,SEARCH(" ",'Bite force'!$A:$A&amp;" ")-1))=
TRIM(LEFT(A246,SEARCH(" ",A246&amp;" ")-1))
)),
1
)
)</f>
        <v>1</v>
      </c>
    </row>
    <row r="247" spans="1:3" x14ac:dyDescent="0.25">
      <c r="A247" s="2" t="str">
        <f>'[1]Base stats'!$B247</f>
        <v>Megacancer lapidus</v>
      </c>
      <c r="B247" s="23">
        <f>_xlfn.XLOOKUP(A247,'[1]Base stats'!$B:$B,'[1]Base stats'!$O:$O)</f>
        <v>0</v>
      </c>
      <c r="C247" s="20" cm="1">
        <f t="array" ref="C247">IF(
SUMPRODUCT(--(
TRIM(LEFT('Bite force'!$A:$A,SEARCH("§",SUBSTITUTE('Bite force'!$A:$A," ","§",2)&amp;"§")-1))=
TRIM(LEFT(A247,SEARCH("§",SUBSTITUTE(A247," ","§",2)&amp;"§")-1))
))&gt;0,
IF(
COUNT(_xlfn._xlws.FILTER('Bite force'!$I:$I,
TRIM(LEFT('Bite force'!$A:$A,SEARCH("§",SUBSTITUTE('Bite force'!$A:$A," ","§",2)&amp;"§")-1))=
TRIM(LEFT(A247,SEARCH("§",SUBSTITUTE(A247," ","§",2)&amp;"§")-1))
))=0,
1,
IF(
B247=2,
AVERAGE(_xlfn._xlws.FILTER('Bite force'!$I:$I,
TRIM(LEFT('Bite force'!$A:$A,SEARCH("§",SUBSTITUTE('Bite force'!$A:$A," ","§",2)&amp;"§")-1))=
TRIM(LEFT(A247,SEARCH("§",SUBSTITUTE(A247," ","§",2)&amp;"§")-1))
)),
MAX(_xlfn._xlws.FILTER('Bite force'!$I:$I,
TRIM(LEFT('Bite force'!$A:$A,SEARCH("§",SUBSTITUTE('Bite force'!$A:$A," ","§",2)&amp;"§")-1))=
TRIM(LEFT(A247,SEARCH("§",SUBSTITUTE(A247," ","§",2)&amp;"§")-1))
))
)
),
IFERROR(
AVERAGE(_xlfn._xlws.FILTER('Bite force'!$I:$I,
TRIM(LEFT('Bite force'!$A:$A,SEARCH(" ",'Bite force'!$A:$A&amp;" ")-1))=
TRIM(LEFT(A247,SEARCH(" ",A247&amp;" ")-1))
)),
1
)
)</f>
        <v>1</v>
      </c>
    </row>
    <row r="248" spans="1:3" x14ac:dyDescent="0.25">
      <c r="A248" s="2" t="str">
        <f>'[1]Base stats'!$B248</f>
        <v>Megacancer petreus</v>
      </c>
      <c r="B248" s="23">
        <f>_xlfn.XLOOKUP(A248,'[1]Base stats'!$B:$B,'[1]Base stats'!$O:$O)</f>
        <v>0</v>
      </c>
      <c r="C248" s="20" cm="1">
        <f t="array" ref="C248">IF(
SUMPRODUCT(--(
TRIM(LEFT('Bite force'!$A:$A,SEARCH("§",SUBSTITUTE('Bite force'!$A:$A," ","§",2)&amp;"§")-1))=
TRIM(LEFT(A248,SEARCH("§",SUBSTITUTE(A248," ","§",2)&amp;"§")-1))
))&gt;0,
IF(
COUNT(_xlfn._xlws.FILTER('Bite force'!$I:$I,
TRIM(LEFT('Bite force'!$A:$A,SEARCH("§",SUBSTITUTE('Bite force'!$A:$A," ","§",2)&amp;"§")-1))=
TRIM(LEFT(A248,SEARCH("§",SUBSTITUTE(A248," ","§",2)&amp;"§")-1))
))=0,
1,
IF(
B248=2,
AVERAGE(_xlfn._xlws.FILTER('Bite force'!$I:$I,
TRIM(LEFT('Bite force'!$A:$A,SEARCH("§",SUBSTITUTE('Bite force'!$A:$A," ","§",2)&amp;"§")-1))=
TRIM(LEFT(A248,SEARCH("§",SUBSTITUTE(A248," ","§",2)&amp;"§")-1))
)),
MAX(_xlfn._xlws.FILTER('Bite force'!$I:$I,
TRIM(LEFT('Bite force'!$A:$A,SEARCH("§",SUBSTITUTE('Bite force'!$A:$A," ","§",2)&amp;"§")-1))=
TRIM(LEFT(A248,SEARCH("§",SUBSTITUTE(A248," ","§",2)&amp;"§")-1))
))
)
),
IFERROR(
AVERAGE(_xlfn._xlws.FILTER('Bite force'!$I:$I,
TRIM(LEFT('Bite force'!$A:$A,SEARCH(" ",'Bite force'!$A:$A&amp;" ")-1))=
TRIM(LEFT(A248,SEARCH(" ",A248&amp;" ")-1))
)),
1
)
)</f>
        <v>1</v>
      </c>
    </row>
    <row r="249" spans="1:3" x14ac:dyDescent="0.25">
      <c r="A249" s="2" t="str">
        <f>'[1]Base stats'!$B249</f>
        <v>Acarus crystallis</v>
      </c>
      <c r="B249" s="23">
        <f>_xlfn.XLOOKUP(A249,'[1]Base stats'!$B:$B,'[1]Base stats'!$O:$O)</f>
        <v>0</v>
      </c>
      <c r="C249" s="20" cm="1">
        <f t="array" ref="C249">IF(
SUMPRODUCT(--(
TRIM(LEFT('Bite force'!$A:$A,SEARCH("§",SUBSTITUTE('Bite force'!$A:$A," ","§",2)&amp;"§")-1))=
TRIM(LEFT(A249,SEARCH("§",SUBSTITUTE(A249," ","§",2)&amp;"§")-1))
))&gt;0,
IF(
COUNT(_xlfn._xlws.FILTER('Bite force'!$I:$I,
TRIM(LEFT('Bite force'!$A:$A,SEARCH("§",SUBSTITUTE('Bite force'!$A:$A," ","§",2)&amp;"§")-1))=
TRIM(LEFT(A249,SEARCH("§",SUBSTITUTE(A249," ","§",2)&amp;"§")-1))
))=0,
1,
IF(
B249=2,
AVERAGE(_xlfn._xlws.FILTER('Bite force'!$I:$I,
TRIM(LEFT('Bite force'!$A:$A,SEARCH("§",SUBSTITUTE('Bite force'!$A:$A," ","§",2)&amp;"§")-1))=
TRIM(LEFT(A249,SEARCH("§",SUBSTITUTE(A249," ","§",2)&amp;"§")-1))
)),
MAX(_xlfn._xlws.FILTER('Bite force'!$I:$I,
TRIM(LEFT('Bite force'!$A:$A,SEARCH("§",SUBSTITUTE('Bite force'!$A:$A," ","§",2)&amp;"§")-1))=
TRIM(LEFT(A249,SEARCH("§",SUBSTITUTE(A249," ","§",2)&amp;"§")-1))
))
)
),
IFERROR(
AVERAGE(_xlfn._xlws.FILTER('Bite force'!$I:$I,
TRIM(LEFT('Bite force'!$A:$A,SEARCH(" ",'Bite force'!$A:$A&amp;" ")-1))=
TRIM(LEFT(A249,SEARCH(" ",A249&amp;" ")-1))
)),
1
)
)</f>
        <v>1</v>
      </c>
    </row>
    <row r="250" spans="1:3" x14ac:dyDescent="0.25">
      <c r="A250" s="2" t="str">
        <f>'[1]Base stats'!$B250</f>
        <v>Terramorpha mutabilis</v>
      </c>
      <c r="B250" s="23">
        <f>_xlfn.XLOOKUP(A250,'[1]Base stats'!$B:$B,'[1]Base stats'!$O:$O)</f>
        <v>0</v>
      </c>
      <c r="C250" s="20" cm="1">
        <f t="array" ref="C250">IF(
SUMPRODUCT(--(
TRIM(LEFT('Bite force'!$A:$A,SEARCH("§",SUBSTITUTE('Bite force'!$A:$A," ","§",2)&amp;"§")-1))=
TRIM(LEFT(A250,SEARCH("§",SUBSTITUTE(A250," ","§",2)&amp;"§")-1))
))&gt;0,
IF(
COUNT(_xlfn._xlws.FILTER('Bite force'!$I:$I,
TRIM(LEFT('Bite force'!$A:$A,SEARCH("§",SUBSTITUTE('Bite force'!$A:$A," ","§",2)&amp;"§")-1))=
TRIM(LEFT(A250,SEARCH("§",SUBSTITUTE(A250," ","§",2)&amp;"§")-1))
))=0,
1,
IF(
B250=2,
AVERAGE(_xlfn._xlws.FILTER('Bite force'!$I:$I,
TRIM(LEFT('Bite force'!$A:$A,SEARCH("§",SUBSTITUTE('Bite force'!$A:$A," ","§",2)&amp;"§")-1))=
TRIM(LEFT(A250,SEARCH("§",SUBSTITUTE(A250," ","§",2)&amp;"§")-1))
)),
MAX(_xlfn._xlws.FILTER('Bite force'!$I:$I,
TRIM(LEFT('Bite force'!$A:$A,SEARCH("§",SUBSTITUTE('Bite force'!$A:$A," ","§",2)&amp;"§")-1))=
TRIM(LEFT(A250,SEARCH("§",SUBSTITUTE(A250," ","§",2)&amp;"§")-1))
))
)
),
IFERROR(
AVERAGE(_xlfn._xlws.FILTER('Bite force'!$I:$I,
TRIM(LEFT('Bite force'!$A:$A,SEARCH(" ",'Bite force'!$A:$A&amp;" ")-1))=
TRIM(LEFT(A250,SEARCH(" ",A250&amp;" ")-1))
)),
1
)
)</f>
        <v>1</v>
      </c>
    </row>
    <row r="251" spans="1:3" x14ac:dyDescent="0.25">
      <c r="A251" s="2" t="str">
        <f>'[1]Base stats'!$B251</f>
        <v>Helix giganteus</v>
      </c>
      <c r="B251" s="23">
        <f>_xlfn.XLOOKUP(A251,'[1]Base stats'!$B:$B,'[1]Base stats'!$O:$O)</f>
        <v>1</v>
      </c>
      <c r="C251" s="20" cm="1">
        <f t="array" ref="C251">IF(
SUMPRODUCT(--(
TRIM(LEFT('Bite force'!$A:$A,SEARCH("§",SUBSTITUTE('Bite force'!$A:$A," ","§",2)&amp;"§")-1))=
TRIM(LEFT(A251,SEARCH("§",SUBSTITUTE(A251," ","§",2)&amp;"§")-1))
))&gt;0,
IF(
COUNT(_xlfn._xlws.FILTER('Bite force'!$I:$I,
TRIM(LEFT('Bite force'!$A:$A,SEARCH("§",SUBSTITUTE('Bite force'!$A:$A," ","§",2)&amp;"§")-1))=
TRIM(LEFT(A251,SEARCH("§",SUBSTITUTE(A251," ","§",2)&amp;"§")-1))
))=0,
1,
IF(
B251=2,
AVERAGE(_xlfn._xlws.FILTER('Bite force'!$I:$I,
TRIM(LEFT('Bite force'!$A:$A,SEARCH("§",SUBSTITUTE('Bite force'!$A:$A," ","§",2)&amp;"§")-1))=
TRIM(LEFT(A251,SEARCH("§",SUBSTITUTE(A251," ","§",2)&amp;"§")-1))
)),
MAX(_xlfn._xlws.FILTER('Bite force'!$I:$I,
TRIM(LEFT('Bite force'!$A:$A,SEARCH("§",SUBSTITUTE('Bite force'!$A:$A," ","§",2)&amp;"§")-1))=
TRIM(LEFT(A251,SEARCH("§",SUBSTITUTE(A251," ","§",2)&amp;"§")-1))
))
)
),
IFERROR(
AVERAGE(_xlfn._xlws.FILTER('Bite force'!$I:$I,
TRIM(LEFT('Bite force'!$A:$A,SEARCH(" ",'Bite force'!$A:$A&amp;" ")-1))=
TRIM(LEFT(A251,SEARCH(" ",A251&amp;" ")-1))
)),
1
)
)</f>
        <v>1</v>
      </c>
    </row>
    <row r="252" spans="1:3" x14ac:dyDescent="0.25">
      <c r="A252" s="2" t="str">
        <f>'[1]Base stats'!$B252</f>
        <v>Limax tetrapodium</v>
      </c>
      <c r="B252" s="23">
        <f>_xlfn.XLOOKUP(A252,'[1]Base stats'!$B:$B,'[1]Base stats'!$O:$O)</f>
        <v>1</v>
      </c>
      <c r="C252" s="20" cm="1">
        <f t="array" ref="C252">IF(
SUMPRODUCT(--(
TRIM(LEFT('Bite force'!$A:$A,SEARCH("§",SUBSTITUTE('Bite force'!$A:$A," ","§",2)&amp;"§")-1))=
TRIM(LEFT(A252,SEARCH("§",SUBSTITUTE(A252," ","§",2)&amp;"§")-1))
))&gt;0,
IF(
COUNT(_xlfn._xlws.FILTER('Bite force'!$I:$I,
TRIM(LEFT('Bite force'!$A:$A,SEARCH("§",SUBSTITUTE('Bite force'!$A:$A," ","§",2)&amp;"§")-1))=
TRIM(LEFT(A252,SEARCH("§",SUBSTITUTE(A252," ","§",2)&amp;"§")-1))
))=0,
1,
IF(
B252=2,
AVERAGE(_xlfn._xlws.FILTER('Bite force'!$I:$I,
TRIM(LEFT('Bite force'!$A:$A,SEARCH("§",SUBSTITUTE('Bite force'!$A:$A," ","§",2)&amp;"§")-1))=
TRIM(LEFT(A252,SEARCH("§",SUBSTITUTE(A252," ","§",2)&amp;"§")-1))
)),
MAX(_xlfn._xlws.FILTER('Bite force'!$I:$I,
TRIM(LEFT('Bite force'!$A:$A,SEARCH("§",SUBSTITUTE('Bite force'!$A:$A," ","§",2)&amp;"§")-1))=
TRIM(LEFT(A252,SEARCH("§",SUBSTITUTE(A252," ","§",2)&amp;"§")-1))
))
)
),
IFERROR(
AVERAGE(_xlfn._xlws.FILTER('Bite force'!$I:$I,
TRIM(LEFT('Bite force'!$A:$A,SEARCH(" ",'Bite force'!$A:$A&amp;" ")-1))=
TRIM(LEFT(A252,SEARCH(" ",A252&amp;" ")-1))
)),
1
)
)</f>
        <v>1</v>
      </c>
    </row>
    <row r="253" spans="1:3" x14ac:dyDescent="0.25">
      <c r="A253" s="2" t="str">
        <f>'[1]Base stats'!$B253</f>
        <v>Plasmodium morphicus</v>
      </c>
      <c r="B253" s="23">
        <f>_xlfn.XLOOKUP(A253,'[1]Base stats'!$B:$B,'[1]Base stats'!$O:$O)</f>
        <v>0</v>
      </c>
      <c r="C253" s="20" cm="1">
        <f t="array" ref="C253">IF(
SUMPRODUCT(--(
TRIM(LEFT('Bite force'!$A:$A,SEARCH("§",SUBSTITUTE('Bite force'!$A:$A," ","§",2)&amp;"§")-1))=
TRIM(LEFT(A253,SEARCH("§",SUBSTITUTE(A253," ","§",2)&amp;"§")-1))
))&gt;0,
IF(
COUNT(_xlfn._xlws.FILTER('Bite force'!$I:$I,
TRIM(LEFT('Bite force'!$A:$A,SEARCH("§",SUBSTITUTE('Bite force'!$A:$A," ","§",2)&amp;"§")-1))=
TRIM(LEFT(A253,SEARCH("§",SUBSTITUTE(A253," ","§",2)&amp;"§")-1))
))=0,
1,
IF(
B253=2,
AVERAGE(_xlfn._xlws.FILTER('Bite force'!$I:$I,
TRIM(LEFT('Bite force'!$A:$A,SEARCH("§",SUBSTITUTE('Bite force'!$A:$A," ","§",2)&amp;"§")-1))=
TRIM(LEFT(A253,SEARCH("§",SUBSTITUTE(A253," ","§",2)&amp;"§")-1))
)),
MAX(_xlfn._xlws.FILTER('Bite force'!$I:$I,
TRIM(LEFT('Bite force'!$A:$A,SEARCH("§",SUBSTITUTE('Bite force'!$A:$A," ","§",2)&amp;"§")-1))=
TRIM(LEFT(A253,SEARCH("§",SUBSTITUTE(A253," ","§",2)&amp;"§")-1))
))
)
),
IFERROR(
AVERAGE(_xlfn._xlws.FILTER('Bite force'!$I:$I,
TRIM(LEFT('Bite force'!$A:$A,SEARCH(" ",'Bite force'!$A:$A&amp;" ")-1))=
TRIM(LEFT(A253,SEARCH(" ",A253&amp;" ")-1))
)),
1
)
)</f>
        <v>1</v>
      </c>
    </row>
    <row r="254" spans="1:3" x14ac:dyDescent="0.25">
      <c r="A254" s="2" t="str">
        <f>'[1]Base stats'!$B254</f>
        <v>Loligo arenae</v>
      </c>
      <c r="B254" s="23">
        <f>_xlfn.XLOOKUP(A254,'[1]Base stats'!$B:$B,'[1]Base stats'!$O:$O)</f>
        <v>1</v>
      </c>
      <c r="C254" s="20" cm="1">
        <f t="array" ref="C254">IF(
SUMPRODUCT(--(
TRIM(LEFT('Bite force'!$A:$A,SEARCH("§",SUBSTITUTE('Bite force'!$A:$A," ","§",2)&amp;"§")-1))=
TRIM(LEFT(A254,SEARCH("§",SUBSTITUTE(A254," ","§",2)&amp;"§")-1))
))&gt;0,
IF(
COUNT(_xlfn._xlws.FILTER('Bite force'!$I:$I,
TRIM(LEFT('Bite force'!$A:$A,SEARCH("§",SUBSTITUTE('Bite force'!$A:$A," ","§",2)&amp;"§")-1))=
TRIM(LEFT(A254,SEARCH("§",SUBSTITUTE(A254," ","§",2)&amp;"§")-1))
))=0,
1,
IF(
B254=2,
AVERAGE(_xlfn._xlws.FILTER('Bite force'!$I:$I,
TRIM(LEFT('Bite force'!$A:$A,SEARCH("§",SUBSTITUTE('Bite force'!$A:$A," ","§",2)&amp;"§")-1))=
TRIM(LEFT(A254,SEARCH("§",SUBSTITUTE(A254," ","§",2)&amp;"§")-1))
)),
MAX(_xlfn._xlws.FILTER('Bite force'!$I:$I,
TRIM(LEFT('Bite force'!$A:$A,SEARCH("§",SUBSTITUTE('Bite force'!$A:$A," ","§",2)&amp;"§")-1))=
TRIM(LEFT(A254,SEARCH("§",SUBSTITUTE(A254," ","§",2)&amp;"§")-1))
))
)
),
IFERROR(
AVERAGE(_xlfn._xlws.FILTER('Bite force'!$I:$I,
TRIM(LEFT('Bite force'!$A:$A,SEARCH(" ",'Bite force'!$A:$A&amp;" ")-1))=
TRIM(LEFT(A254,SEARCH(" ",A254&amp;" ")-1))
)),
1
)
)</f>
        <v>1</v>
      </c>
    </row>
    <row r="255" spans="1:3" x14ac:dyDescent="0.25">
      <c r="A255" s="2" t="str">
        <f>'[1]Base stats'!$B255</f>
        <v>Petrovorax asphaltus</v>
      </c>
      <c r="B255" s="23">
        <f>_xlfn.XLOOKUP(A255,'[1]Base stats'!$B:$B,'[1]Base stats'!$O:$O)</f>
        <v>0</v>
      </c>
      <c r="C255" s="20" cm="1">
        <f t="array" ref="C255">IF(
SUMPRODUCT(--(
TRIM(LEFT('Bite force'!$A:$A,SEARCH("§",SUBSTITUTE('Bite force'!$A:$A," ","§",2)&amp;"§")-1))=
TRIM(LEFT(A255,SEARCH("§",SUBSTITUTE(A255," ","§",2)&amp;"§")-1))
))&gt;0,
IF(
COUNT(_xlfn._xlws.FILTER('Bite force'!$I:$I,
TRIM(LEFT('Bite force'!$A:$A,SEARCH("§",SUBSTITUTE('Bite force'!$A:$A," ","§",2)&amp;"§")-1))=
TRIM(LEFT(A255,SEARCH("§",SUBSTITUTE(A255," ","§",2)&amp;"§")-1))
))=0,
1,
IF(
B255=2,
AVERAGE(_xlfn._xlws.FILTER('Bite force'!$I:$I,
TRIM(LEFT('Bite force'!$A:$A,SEARCH("§",SUBSTITUTE('Bite force'!$A:$A," ","§",2)&amp;"§")-1))=
TRIM(LEFT(A255,SEARCH("§",SUBSTITUTE(A255," ","§",2)&amp;"§")-1))
)),
MAX(_xlfn._xlws.FILTER('Bite force'!$I:$I,
TRIM(LEFT('Bite force'!$A:$A,SEARCH("§",SUBSTITUTE('Bite force'!$A:$A," ","§",2)&amp;"§")-1))=
TRIM(LEFT(A255,SEARCH("§",SUBSTITUTE(A255," ","§",2)&amp;"§")-1))
))
)
),
IFERROR(
AVERAGE(_xlfn._xlws.FILTER('Bite force'!$I:$I,
TRIM(LEFT('Bite force'!$A:$A,SEARCH(" ",'Bite force'!$A:$A&amp;" ")-1))=
TRIM(LEFT(A255,SEARCH(" ",A255&amp;" ")-1))
)),
1
)
)</f>
        <v>1</v>
      </c>
    </row>
    <row r="256" spans="1:3" x14ac:dyDescent="0.25">
      <c r="A256" s="2" t="str">
        <f>'[1]Base stats'!$B256</f>
        <v>Sylphalis borealis</v>
      </c>
      <c r="B256" s="23">
        <f>_xlfn.XLOOKUP(A256,'[1]Base stats'!$B:$B,'[1]Base stats'!$O:$O)</f>
        <v>0</v>
      </c>
      <c r="C256" s="20" cm="1">
        <f t="array" ref="C256">IF(
SUMPRODUCT(--(
TRIM(LEFT('Bite force'!$A:$A,SEARCH("§",SUBSTITUTE('Bite force'!$A:$A," ","§",2)&amp;"§")-1))=
TRIM(LEFT(A256,SEARCH("§",SUBSTITUTE(A256," ","§",2)&amp;"§")-1))
))&gt;0,
IF(
COUNT(_xlfn._xlws.FILTER('Bite force'!$I:$I,
TRIM(LEFT('Bite force'!$A:$A,SEARCH("§",SUBSTITUTE('Bite force'!$A:$A," ","§",2)&amp;"§")-1))=
TRIM(LEFT(A256,SEARCH("§",SUBSTITUTE(A256," ","§",2)&amp;"§")-1))
))=0,
1,
IF(
B256=2,
AVERAGE(_xlfn._xlws.FILTER('Bite force'!$I:$I,
TRIM(LEFT('Bite force'!$A:$A,SEARCH("§",SUBSTITUTE('Bite force'!$A:$A," ","§",2)&amp;"§")-1))=
TRIM(LEFT(A256,SEARCH("§",SUBSTITUTE(A256," ","§",2)&amp;"§")-1))
)),
MAX(_xlfn._xlws.FILTER('Bite force'!$I:$I,
TRIM(LEFT('Bite force'!$A:$A,SEARCH("§",SUBSTITUTE('Bite force'!$A:$A," ","§",2)&amp;"§")-1))=
TRIM(LEFT(A256,SEARCH("§",SUBSTITUTE(A256," ","§",2)&amp;"§")-1))
))
)
),
IFERROR(
AVERAGE(_xlfn._xlws.FILTER('Bite force'!$I:$I,
TRIM(LEFT('Bite force'!$A:$A,SEARCH(" ",'Bite force'!$A:$A&amp;" ")-1))=
TRIM(LEFT(A256,SEARCH(" ",A256&amp;" ")-1))
)),
1
)
)</f>
        <v>1</v>
      </c>
    </row>
    <row r="257" spans="1:3" x14ac:dyDescent="0.25">
      <c r="A257" s="2" t="str">
        <f>'[1]Base stats'!$B257</f>
        <v>Mycodermis tegumentum</v>
      </c>
      <c r="B257" s="23">
        <f>_xlfn.XLOOKUP(A257,'[1]Base stats'!$B:$B,'[1]Base stats'!$O:$O)</f>
        <v>0</v>
      </c>
      <c r="C257" s="20" cm="1">
        <f t="array" ref="C257">IF(
SUMPRODUCT(--(
TRIM(LEFT('Bite force'!$A:$A,SEARCH("§",SUBSTITUTE('Bite force'!$A:$A," ","§",2)&amp;"§")-1))=
TRIM(LEFT(A257,SEARCH("§",SUBSTITUTE(A257," ","§",2)&amp;"§")-1))
))&gt;0,
IF(
COUNT(_xlfn._xlws.FILTER('Bite force'!$I:$I,
TRIM(LEFT('Bite force'!$A:$A,SEARCH("§",SUBSTITUTE('Bite force'!$A:$A," ","§",2)&amp;"§")-1))=
TRIM(LEFT(A257,SEARCH("§",SUBSTITUTE(A257," ","§",2)&amp;"§")-1))
))=0,
1,
IF(
B257=2,
AVERAGE(_xlfn._xlws.FILTER('Bite force'!$I:$I,
TRIM(LEFT('Bite force'!$A:$A,SEARCH("§",SUBSTITUTE('Bite force'!$A:$A," ","§",2)&amp;"§")-1))=
TRIM(LEFT(A257,SEARCH("§",SUBSTITUTE(A257," ","§",2)&amp;"§")-1))
)),
MAX(_xlfn._xlws.FILTER('Bite force'!$I:$I,
TRIM(LEFT('Bite force'!$A:$A,SEARCH("§",SUBSTITUTE('Bite force'!$A:$A," ","§",2)&amp;"§")-1))=
TRIM(LEFT(A257,SEARCH("§",SUBSTITUTE(A257," ","§",2)&amp;"§")-1))
))
)
),
IFERROR(
AVERAGE(_xlfn._xlws.FILTER('Bite force'!$I:$I,
TRIM(LEFT('Bite force'!$A:$A,SEARCH(" ",'Bite force'!$A:$A&amp;" ")-1))=
TRIM(LEFT(A257,SEARCH(" ",A257&amp;" ")-1))
)),
1
)
)</f>
        <v>1</v>
      </c>
    </row>
    <row r="258" spans="1:3" x14ac:dyDescent="0.25">
      <c r="A258" s="2" t="str">
        <f>'[1]Base stats'!$B258</f>
        <v>Mimo sapientis</v>
      </c>
      <c r="B258" s="23">
        <f>_xlfn.XLOOKUP(A258,'[1]Base stats'!$B:$B,'[1]Base stats'!$O:$O)</f>
        <v>0</v>
      </c>
      <c r="C258" s="20" cm="1">
        <f t="array" ref="C258">IF(
SUMPRODUCT(--(
TRIM(LEFT('Bite force'!$A:$A,SEARCH("§",SUBSTITUTE('Bite force'!$A:$A," ","§",2)&amp;"§")-1))=
TRIM(LEFT(A258,SEARCH("§",SUBSTITUTE(A258," ","§",2)&amp;"§")-1))
))&gt;0,
IF(
COUNT(_xlfn._xlws.FILTER('Bite force'!$I:$I,
TRIM(LEFT('Bite force'!$A:$A,SEARCH("§",SUBSTITUTE('Bite force'!$A:$A," ","§",2)&amp;"§")-1))=
TRIM(LEFT(A258,SEARCH("§",SUBSTITUTE(A258," ","§",2)&amp;"§")-1))
))=0,
1,
IF(
B258=2,
AVERAGE(_xlfn._xlws.FILTER('Bite force'!$I:$I,
TRIM(LEFT('Bite force'!$A:$A,SEARCH("§",SUBSTITUTE('Bite force'!$A:$A," ","§",2)&amp;"§")-1))=
TRIM(LEFT(A258,SEARCH("§",SUBSTITUTE(A258," ","§",2)&amp;"§")-1))
)),
MAX(_xlfn._xlws.FILTER('Bite force'!$I:$I,
TRIM(LEFT('Bite force'!$A:$A,SEARCH("§",SUBSTITUTE('Bite force'!$A:$A," ","§",2)&amp;"§")-1))=
TRIM(LEFT(A258,SEARCH("§",SUBSTITUTE(A258," ","§",2)&amp;"§")-1))
))
)
),
IFERROR(
AVERAGE(_xlfn._xlws.FILTER('Bite force'!$I:$I,
TRIM(LEFT('Bite force'!$A:$A,SEARCH(" ",'Bite force'!$A:$A&amp;" ")-1))=
TRIM(LEFT(A258,SEARCH(" ",A258&amp;" ")-1))
)),
1
)
)</f>
        <v>1</v>
      </c>
    </row>
    <row r="259" spans="1:3" x14ac:dyDescent="0.25">
      <c r="A259" s="2" t="str">
        <f>'[1]Base stats'!$B259</f>
        <v>Mantis carnifera</v>
      </c>
      <c r="B259" s="23">
        <f>_xlfn.XLOOKUP(A259,'[1]Base stats'!$B:$B,'[1]Base stats'!$O:$O)</f>
        <v>0</v>
      </c>
      <c r="C259" s="20" cm="1">
        <f t="array" ref="C259">IF(
SUMPRODUCT(--(
TRIM(LEFT('Bite force'!$A:$A,SEARCH("§",SUBSTITUTE('Bite force'!$A:$A," ","§",2)&amp;"§")-1))=
TRIM(LEFT(A259,SEARCH("§",SUBSTITUTE(A259," ","§",2)&amp;"§")-1))
))&gt;0,
IF(
COUNT(_xlfn._xlws.FILTER('Bite force'!$I:$I,
TRIM(LEFT('Bite force'!$A:$A,SEARCH("§",SUBSTITUTE('Bite force'!$A:$A," ","§",2)&amp;"§")-1))=
TRIM(LEFT(A259,SEARCH("§",SUBSTITUTE(A259," ","§",2)&amp;"§")-1))
))=0,
1,
IF(
B259=2,
AVERAGE(_xlfn._xlws.FILTER('Bite force'!$I:$I,
TRIM(LEFT('Bite force'!$A:$A,SEARCH("§",SUBSTITUTE('Bite force'!$A:$A," ","§",2)&amp;"§")-1))=
TRIM(LEFT(A259,SEARCH("§",SUBSTITUTE(A259," ","§",2)&amp;"§")-1))
)),
MAX(_xlfn._xlws.FILTER('Bite force'!$I:$I,
TRIM(LEFT('Bite force'!$A:$A,SEARCH("§",SUBSTITUTE('Bite force'!$A:$A," ","§",2)&amp;"§")-1))=
TRIM(LEFT(A259,SEARCH("§",SUBSTITUTE(A259," ","§",2)&amp;"§")-1))
))
)
),
IFERROR(
AVERAGE(_xlfn._xlws.FILTER('Bite force'!$I:$I,
TRIM(LEFT('Bite force'!$A:$A,SEARCH(" ",'Bite force'!$A:$A&amp;" ")-1))=
TRIM(LEFT(A259,SEARCH(" ",A259&amp;" ")-1))
)),
1
)
)</f>
        <v>1</v>
      </c>
    </row>
    <row r="260" spans="1:3" x14ac:dyDescent="0.25">
      <c r="A260" s="2" t="str">
        <f>'[1]Base stats'!$B260</f>
        <v>Echinopsios fixus</v>
      </c>
      <c r="B260" s="23">
        <f>_xlfn.XLOOKUP(A260,'[1]Base stats'!$B:$B,'[1]Base stats'!$O:$O)</f>
        <v>0</v>
      </c>
      <c r="C260" s="20" cm="1">
        <f t="array" ref="C260">IF(
SUMPRODUCT(--(
TRIM(LEFT('Bite force'!$A:$A,SEARCH("§",SUBSTITUTE('Bite force'!$A:$A," ","§",2)&amp;"§")-1))=
TRIM(LEFT(A260,SEARCH("§",SUBSTITUTE(A260," ","§",2)&amp;"§")-1))
))&gt;0,
IF(
COUNT(_xlfn._xlws.FILTER('Bite force'!$I:$I,
TRIM(LEFT('Bite force'!$A:$A,SEARCH("§",SUBSTITUTE('Bite force'!$A:$A," ","§",2)&amp;"§")-1))=
TRIM(LEFT(A260,SEARCH("§",SUBSTITUTE(A260," ","§",2)&amp;"§")-1))
))=0,
1,
IF(
B260=2,
AVERAGE(_xlfn._xlws.FILTER('Bite force'!$I:$I,
TRIM(LEFT('Bite force'!$A:$A,SEARCH("§",SUBSTITUTE('Bite force'!$A:$A," ","§",2)&amp;"§")-1))=
TRIM(LEFT(A260,SEARCH("§",SUBSTITUTE(A260," ","§",2)&amp;"§")-1))
)),
MAX(_xlfn._xlws.FILTER('Bite force'!$I:$I,
TRIM(LEFT('Bite force'!$A:$A,SEARCH("§",SUBSTITUTE('Bite force'!$A:$A," ","§",2)&amp;"§")-1))=
TRIM(LEFT(A260,SEARCH("§",SUBSTITUTE(A260," ","§",2)&amp;"§")-1))
))
)
),
IFERROR(
AVERAGE(_xlfn._xlws.FILTER('Bite force'!$I:$I,
TRIM(LEFT('Bite force'!$A:$A,SEARCH(" ",'Bite force'!$A:$A&amp;" ")-1))=
TRIM(LEFT(A260,SEARCH(" ",A260&amp;" ")-1))
)),
1
)
)</f>
        <v>1</v>
      </c>
    </row>
    <row r="261" spans="1:3" x14ac:dyDescent="0.25">
      <c r="A261" s="2" t="str">
        <f>'[1]Base stats'!$B261</f>
        <v>Echinopsios volans</v>
      </c>
      <c r="B261" s="23">
        <f>_xlfn.XLOOKUP(A261,'[1]Base stats'!$B:$B,'[1]Base stats'!$O:$O)</f>
        <v>0</v>
      </c>
      <c r="C261" s="20" cm="1">
        <f t="array" ref="C261">IF(
SUMPRODUCT(--(
TRIM(LEFT('Bite force'!$A:$A,SEARCH("§",SUBSTITUTE('Bite force'!$A:$A," ","§",2)&amp;"§")-1))=
TRIM(LEFT(A261,SEARCH("§",SUBSTITUTE(A261," ","§",2)&amp;"§")-1))
))&gt;0,
IF(
COUNT(_xlfn._xlws.FILTER('Bite force'!$I:$I,
TRIM(LEFT('Bite force'!$A:$A,SEARCH("§",SUBSTITUTE('Bite force'!$A:$A," ","§",2)&amp;"§")-1))=
TRIM(LEFT(A261,SEARCH("§",SUBSTITUTE(A261," ","§",2)&amp;"§")-1))
))=0,
1,
IF(
B261=2,
AVERAGE(_xlfn._xlws.FILTER('Bite force'!$I:$I,
TRIM(LEFT('Bite force'!$A:$A,SEARCH("§",SUBSTITUTE('Bite force'!$A:$A," ","§",2)&amp;"§")-1))=
TRIM(LEFT(A261,SEARCH("§",SUBSTITUTE(A261," ","§",2)&amp;"§")-1))
)),
MAX(_xlfn._xlws.FILTER('Bite force'!$I:$I,
TRIM(LEFT('Bite force'!$A:$A,SEARCH("§",SUBSTITUTE('Bite force'!$A:$A," ","§",2)&amp;"§")-1))=
TRIM(LEFT(A261,SEARCH("§",SUBSTITUTE(A261," ","§",2)&amp;"§")-1))
))
)
),
IFERROR(
AVERAGE(_xlfn._xlws.FILTER('Bite force'!$I:$I,
TRIM(LEFT('Bite force'!$A:$A,SEARCH(" ",'Bite force'!$A:$A&amp;" ")-1))=
TRIM(LEFT(A261,SEARCH(" ",A261&amp;" ")-1))
)),
1
)
)</f>
        <v>1</v>
      </c>
    </row>
    <row r="262" spans="1:3" x14ac:dyDescent="0.25">
      <c r="A262" s="2" t="str">
        <f>'[1]Base stats'!$B262</f>
        <v>Hystrix succulentis</v>
      </c>
      <c r="B262" s="23">
        <f>_xlfn.XLOOKUP(A262,'[1]Base stats'!$B:$B,'[1]Base stats'!$O:$O)</f>
        <v>0</v>
      </c>
      <c r="C262" s="20" cm="1">
        <f t="array" ref="C262">IF(
SUMPRODUCT(--(
TRIM(LEFT('Bite force'!$A:$A,SEARCH("§",SUBSTITUTE('Bite force'!$A:$A," ","§",2)&amp;"§")-1))=
TRIM(LEFT(A262,SEARCH("§",SUBSTITUTE(A262," ","§",2)&amp;"§")-1))
))&gt;0,
IF(
COUNT(_xlfn._xlws.FILTER('Bite force'!$I:$I,
TRIM(LEFT('Bite force'!$A:$A,SEARCH("§",SUBSTITUTE('Bite force'!$A:$A," ","§",2)&amp;"§")-1))=
TRIM(LEFT(A262,SEARCH("§",SUBSTITUTE(A262," ","§",2)&amp;"§")-1))
))=0,
1,
IF(
B262=2,
AVERAGE(_xlfn._xlws.FILTER('Bite force'!$I:$I,
TRIM(LEFT('Bite force'!$A:$A,SEARCH("§",SUBSTITUTE('Bite force'!$A:$A," ","§",2)&amp;"§")-1))=
TRIM(LEFT(A262,SEARCH("§",SUBSTITUTE(A262," ","§",2)&amp;"§")-1))
)),
MAX(_xlfn._xlws.FILTER('Bite force'!$I:$I,
TRIM(LEFT('Bite force'!$A:$A,SEARCH("§",SUBSTITUTE('Bite force'!$A:$A," ","§",2)&amp;"§")-1))=
TRIM(LEFT(A262,SEARCH("§",SUBSTITUTE(A262," ","§",2)&amp;"§")-1))
))
)
),
IFERROR(
AVERAGE(_xlfn._xlws.FILTER('Bite force'!$I:$I,
TRIM(LEFT('Bite force'!$A:$A,SEARCH(" ",'Bite force'!$A:$A&amp;" ")-1))=
TRIM(LEFT(A262,SEARCH(" ",A262&amp;" ")-1))
)),
1
)
)</f>
        <v>1</v>
      </c>
    </row>
    <row r="263" spans="1:3" x14ac:dyDescent="0.25">
      <c r="A263" s="2" t="str">
        <f>'[1]Base stats'!$B263</f>
        <v>Technoscolopendra mucosa</v>
      </c>
      <c r="B263" s="23">
        <f>_xlfn.XLOOKUP(A263,'[1]Base stats'!$B:$B,'[1]Base stats'!$O:$O)</f>
        <v>2</v>
      </c>
      <c r="C263" s="20" cm="1">
        <f t="array" ref="C263">IF(
SUMPRODUCT(--(
TRIM(LEFT('Bite force'!$A:$A,SEARCH("§",SUBSTITUTE('Bite force'!$A:$A," ","§",2)&amp;"§")-1))=
TRIM(LEFT(A263,SEARCH("§",SUBSTITUTE(A263," ","§",2)&amp;"§")-1))
))&gt;0,
IF(
COUNT(_xlfn._xlws.FILTER('Bite force'!$I:$I,
TRIM(LEFT('Bite force'!$A:$A,SEARCH("§",SUBSTITUTE('Bite force'!$A:$A," ","§",2)&amp;"§")-1))=
TRIM(LEFT(A263,SEARCH("§",SUBSTITUTE(A263," ","§",2)&amp;"§")-1))
))=0,
1,
IF(
B263=2,
AVERAGE(_xlfn._xlws.FILTER('Bite force'!$I:$I,
TRIM(LEFT('Bite force'!$A:$A,SEARCH("§",SUBSTITUTE('Bite force'!$A:$A," ","§",2)&amp;"§")-1))=
TRIM(LEFT(A263,SEARCH("§",SUBSTITUTE(A263," ","§",2)&amp;"§")-1))
)),
MAX(_xlfn._xlws.FILTER('Bite force'!$I:$I,
TRIM(LEFT('Bite force'!$A:$A,SEARCH("§",SUBSTITUTE('Bite force'!$A:$A," ","§",2)&amp;"§")-1))=
TRIM(LEFT(A263,SEARCH("§",SUBSTITUTE(A263," ","§",2)&amp;"§")-1))
))
)
),
IFERROR(
AVERAGE(_xlfn._xlws.FILTER('Bite force'!$I:$I,
TRIM(LEFT('Bite force'!$A:$A,SEARCH(" ",'Bite force'!$A:$A&amp;" ")-1))=
TRIM(LEFT(A263,SEARCH(" ",A263&amp;" ")-1))
)),
1
)
)</f>
        <v>1</v>
      </c>
    </row>
    <row r="264" spans="1:3" x14ac:dyDescent="0.25">
      <c r="A264" s="2" t="str">
        <f>'[1]Base stats'!$B264</f>
        <v>Tentaculabomination gorga</v>
      </c>
      <c r="B264" s="23">
        <f>_xlfn.XLOOKUP(A264,'[1]Base stats'!$B:$B,'[1]Base stats'!$O:$O)</f>
        <v>0</v>
      </c>
      <c r="C264" s="20" cm="1">
        <f t="array" ref="C264">IF(
SUMPRODUCT(--(
TRIM(LEFT('Bite force'!$A:$A,SEARCH("§",SUBSTITUTE('Bite force'!$A:$A," ","§",2)&amp;"§")-1))=
TRIM(LEFT(A264,SEARCH("§",SUBSTITUTE(A264," ","§",2)&amp;"§")-1))
))&gt;0,
IF(
COUNT(_xlfn._xlws.FILTER('Bite force'!$I:$I,
TRIM(LEFT('Bite force'!$A:$A,SEARCH("§",SUBSTITUTE('Bite force'!$A:$A," ","§",2)&amp;"§")-1))=
TRIM(LEFT(A264,SEARCH("§",SUBSTITUTE(A264," ","§",2)&amp;"§")-1))
))=0,
1,
IF(
B264=2,
AVERAGE(_xlfn._xlws.FILTER('Bite force'!$I:$I,
TRIM(LEFT('Bite force'!$A:$A,SEARCH("§",SUBSTITUTE('Bite force'!$A:$A," ","§",2)&amp;"§")-1))=
TRIM(LEFT(A264,SEARCH("§",SUBSTITUTE(A264," ","§",2)&amp;"§")-1))
)),
MAX(_xlfn._xlws.FILTER('Bite force'!$I:$I,
TRIM(LEFT('Bite force'!$A:$A,SEARCH("§",SUBSTITUTE('Bite force'!$A:$A," ","§",2)&amp;"§")-1))=
TRIM(LEFT(A264,SEARCH("§",SUBSTITUTE(A264," ","§",2)&amp;"§")-1))
))
)
),
IFERROR(
AVERAGE(_xlfn._xlws.FILTER('Bite force'!$I:$I,
TRIM(LEFT('Bite force'!$A:$A,SEARCH(" ",'Bite force'!$A:$A&amp;" ")-1))=
TRIM(LEFT(A264,SEARCH(" ",A264&amp;" ")-1))
)),
1
)
)</f>
        <v>1</v>
      </c>
    </row>
    <row r="265" spans="1:3" x14ac:dyDescent="0.25">
      <c r="A265" s="2" t="str">
        <f>'[1]Base stats'!$B265</f>
        <v>Carnis putridus (mature)</v>
      </c>
      <c r="B265" s="23">
        <f>_xlfn.XLOOKUP(A265,'[1]Base stats'!$B:$B,'[1]Base stats'!$O:$O)</f>
        <v>0</v>
      </c>
      <c r="C265" s="20" cm="1">
        <f t="array" ref="C265">IF(
SUMPRODUCT(--(
TRIM(LEFT('Bite force'!$A:$A,SEARCH("§",SUBSTITUTE('Bite force'!$A:$A," ","§",2)&amp;"§")-1))=
TRIM(LEFT(A265,SEARCH("§",SUBSTITUTE(A265," ","§",2)&amp;"§")-1))
))&gt;0,
IF(
COUNT(_xlfn._xlws.FILTER('Bite force'!$I:$I,
TRIM(LEFT('Bite force'!$A:$A,SEARCH("§",SUBSTITUTE('Bite force'!$A:$A," ","§",2)&amp;"§")-1))=
TRIM(LEFT(A265,SEARCH("§",SUBSTITUTE(A265," ","§",2)&amp;"§")-1))
))=0,
1,
IF(
B265=2,
AVERAGE(_xlfn._xlws.FILTER('Bite force'!$I:$I,
TRIM(LEFT('Bite force'!$A:$A,SEARCH("§",SUBSTITUTE('Bite force'!$A:$A," ","§",2)&amp;"§")-1))=
TRIM(LEFT(A265,SEARCH("§",SUBSTITUTE(A265," ","§",2)&amp;"§")-1))
)),
MAX(_xlfn._xlws.FILTER('Bite force'!$I:$I,
TRIM(LEFT('Bite force'!$A:$A,SEARCH("§",SUBSTITUTE('Bite force'!$A:$A," ","§",2)&amp;"§")-1))=
TRIM(LEFT(A265,SEARCH("§",SUBSTITUTE(A265," ","§",2)&amp;"§")-1))
))
)
),
IFERROR(
AVERAGE(_xlfn._xlws.FILTER('Bite force'!$I:$I,
TRIM(LEFT('Bite force'!$A:$A,SEARCH(" ",'Bite force'!$A:$A&amp;" ")-1))=
TRIM(LEFT(A265,SEARCH(" ",A265&amp;" ")-1))
)),
1
)
)</f>
        <v>1</v>
      </c>
    </row>
    <row r="266" spans="1:3" x14ac:dyDescent="0.25">
      <c r="A266" s="2" t="str">
        <f>'[1]Base stats'!$B266</f>
        <v>Oculus viventis</v>
      </c>
      <c r="B266" s="23">
        <f>_xlfn.XLOOKUP(A266,'[1]Base stats'!$B:$B,'[1]Base stats'!$O:$O)</f>
        <v>0</v>
      </c>
      <c r="C266" s="20" cm="1">
        <f t="array" ref="C266">IF(
SUMPRODUCT(--(
TRIM(LEFT('Bite force'!$A:$A,SEARCH("§",SUBSTITUTE('Bite force'!$A:$A," ","§",2)&amp;"§")-1))=
TRIM(LEFT(A266,SEARCH("§",SUBSTITUTE(A266," ","§",2)&amp;"§")-1))
))&gt;0,
IF(
COUNT(_xlfn._xlws.FILTER('Bite force'!$I:$I,
TRIM(LEFT('Bite force'!$A:$A,SEARCH("§",SUBSTITUTE('Bite force'!$A:$A," ","§",2)&amp;"§")-1))=
TRIM(LEFT(A266,SEARCH("§",SUBSTITUTE(A266," ","§",2)&amp;"§")-1))
))=0,
1,
IF(
B266=2,
AVERAGE(_xlfn._xlws.FILTER('Bite force'!$I:$I,
TRIM(LEFT('Bite force'!$A:$A,SEARCH("§",SUBSTITUTE('Bite force'!$A:$A," ","§",2)&amp;"§")-1))=
TRIM(LEFT(A266,SEARCH("§",SUBSTITUTE(A266," ","§",2)&amp;"§")-1))
)),
MAX(_xlfn._xlws.FILTER('Bite force'!$I:$I,
TRIM(LEFT('Bite force'!$A:$A,SEARCH("§",SUBSTITUTE('Bite force'!$A:$A," ","§",2)&amp;"§")-1))=
TRIM(LEFT(A266,SEARCH("§",SUBSTITUTE(A266," ","§",2)&amp;"§")-1))
))
)
),
IFERROR(
AVERAGE(_xlfn._xlws.FILTER('Bite force'!$I:$I,
TRIM(LEFT('Bite force'!$A:$A,SEARCH(" ",'Bite force'!$A:$A&amp;" ")-1))=
TRIM(LEFT(A266,SEARCH(" ",A266&amp;" ")-1))
)),
1
)
)</f>
        <v>1</v>
      </c>
    </row>
    <row r="267" spans="1:3" x14ac:dyDescent="0.25">
      <c r="A267" s="2" t="str">
        <f>'[1]Base stats'!$B267</f>
        <v>Oculus immortalis</v>
      </c>
      <c r="B267" s="23">
        <f>_xlfn.XLOOKUP(A267,'[1]Base stats'!$B:$B,'[1]Base stats'!$O:$O)</f>
        <v>0</v>
      </c>
      <c r="C267" s="20" cm="1">
        <f t="array" ref="C267">IF(
SUMPRODUCT(--(
TRIM(LEFT('Bite force'!$A:$A,SEARCH("§",SUBSTITUTE('Bite force'!$A:$A," ","§",2)&amp;"§")-1))=
TRIM(LEFT(A267,SEARCH("§",SUBSTITUTE(A267," ","§",2)&amp;"§")-1))
))&gt;0,
IF(
COUNT(_xlfn._xlws.FILTER('Bite force'!$I:$I,
TRIM(LEFT('Bite force'!$A:$A,SEARCH("§",SUBSTITUTE('Bite force'!$A:$A," ","§",2)&amp;"§")-1))=
TRIM(LEFT(A267,SEARCH("§",SUBSTITUTE(A267," ","§",2)&amp;"§")-1))
))=0,
1,
IF(
B267=2,
AVERAGE(_xlfn._xlws.FILTER('Bite force'!$I:$I,
TRIM(LEFT('Bite force'!$A:$A,SEARCH("§",SUBSTITUTE('Bite force'!$A:$A," ","§",2)&amp;"§")-1))=
TRIM(LEFT(A267,SEARCH("§",SUBSTITUTE(A267," ","§",2)&amp;"§")-1))
)),
MAX(_xlfn._xlws.FILTER('Bite force'!$I:$I,
TRIM(LEFT('Bite force'!$A:$A,SEARCH("§",SUBSTITUTE('Bite force'!$A:$A," ","§",2)&amp;"§")-1))=
TRIM(LEFT(A267,SEARCH("§",SUBSTITUTE(A267," ","§",2)&amp;"§")-1))
))
)
),
IFERROR(
AVERAGE(_xlfn._xlws.FILTER('Bite force'!$I:$I,
TRIM(LEFT('Bite force'!$A:$A,SEARCH(" ",'Bite force'!$A:$A&amp;" ")-1))=
TRIM(LEFT(A267,SEARCH(" ",A267&amp;" ")-1))
)),
1
)
)</f>
        <v>1</v>
      </c>
    </row>
    <row r="268" spans="1:3" x14ac:dyDescent="0.25">
      <c r="A268" s="2" t="str">
        <f>'[1]Base stats'!$B268</f>
        <v>Anguilla coelestis</v>
      </c>
      <c r="B268" s="23">
        <f>_xlfn.XLOOKUP(A268,'[1]Base stats'!$B:$B,'[1]Base stats'!$O:$O)</f>
        <v>0</v>
      </c>
      <c r="C268" s="20" cm="1">
        <f t="array" ref="C268">IF(
SUMPRODUCT(--(
TRIM(LEFT('Bite force'!$A:$A,SEARCH("§",SUBSTITUTE('Bite force'!$A:$A," ","§",2)&amp;"§")-1))=
TRIM(LEFT(A268,SEARCH("§",SUBSTITUTE(A268," ","§",2)&amp;"§")-1))
))&gt;0,
IF(
COUNT(_xlfn._xlws.FILTER('Bite force'!$I:$I,
TRIM(LEFT('Bite force'!$A:$A,SEARCH("§",SUBSTITUTE('Bite force'!$A:$A," ","§",2)&amp;"§")-1))=
TRIM(LEFT(A268,SEARCH("§",SUBSTITUTE(A268," ","§",2)&amp;"§")-1))
))=0,
1,
IF(
B268=2,
AVERAGE(_xlfn._xlws.FILTER('Bite force'!$I:$I,
TRIM(LEFT('Bite force'!$A:$A,SEARCH("§",SUBSTITUTE('Bite force'!$A:$A," ","§",2)&amp;"§")-1))=
TRIM(LEFT(A268,SEARCH("§",SUBSTITUTE(A268," ","§",2)&amp;"§")-1))
)),
MAX(_xlfn._xlws.FILTER('Bite force'!$I:$I,
TRIM(LEFT('Bite force'!$A:$A,SEARCH("§",SUBSTITUTE('Bite force'!$A:$A," ","§",2)&amp;"§")-1))=
TRIM(LEFT(A268,SEARCH("§",SUBSTITUTE(A268," ","§",2)&amp;"§")-1))
))
)
),
IFERROR(
AVERAGE(_xlfn._xlws.FILTER('Bite force'!$I:$I,
TRIM(LEFT('Bite force'!$A:$A,SEARCH(" ",'Bite force'!$A:$A&amp;" ")-1))=
TRIM(LEFT(A268,SEARCH(" ",A268&amp;" ")-1))
)),
1
)
)</f>
        <v>1</v>
      </c>
    </row>
    <row r="269" spans="1:3" x14ac:dyDescent="0.25">
      <c r="A269" s="2" t="str">
        <f>'[1]Base stats'!$B269</f>
        <v>Mycopion sylvestris</v>
      </c>
      <c r="B269" s="23">
        <f>_xlfn.XLOOKUP(A269,'[1]Base stats'!$B:$B,'[1]Base stats'!$O:$O)</f>
        <v>0</v>
      </c>
      <c r="C269" s="20" cm="1">
        <f t="array" ref="C269">IF(
SUMPRODUCT(--(
TRIM(LEFT('Bite force'!$A:$A,SEARCH("§",SUBSTITUTE('Bite force'!$A:$A," ","§",2)&amp;"§")-1))=
TRIM(LEFT(A269,SEARCH("§",SUBSTITUTE(A269," ","§",2)&amp;"§")-1))
))&gt;0,
IF(
COUNT(_xlfn._xlws.FILTER('Bite force'!$I:$I,
TRIM(LEFT('Bite force'!$A:$A,SEARCH("§",SUBSTITUTE('Bite force'!$A:$A," ","§",2)&amp;"§")-1))=
TRIM(LEFT(A269,SEARCH("§",SUBSTITUTE(A269," ","§",2)&amp;"§")-1))
))=0,
1,
IF(
B269=2,
AVERAGE(_xlfn._xlws.FILTER('Bite force'!$I:$I,
TRIM(LEFT('Bite force'!$A:$A,SEARCH("§",SUBSTITUTE('Bite force'!$A:$A," ","§",2)&amp;"§")-1))=
TRIM(LEFT(A269,SEARCH("§",SUBSTITUTE(A269," ","§",2)&amp;"§")-1))
)),
MAX(_xlfn._xlws.FILTER('Bite force'!$I:$I,
TRIM(LEFT('Bite force'!$A:$A,SEARCH("§",SUBSTITUTE('Bite force'!$A:$A," ","§",2)&amp;"§")-1))=
TRIM(LEFT(A269,SEARCH("§",SUBSTITUTE(A269," ","§",2)&amp;"§")-1))
))
)
),
IFERROR(
AVERAGE(_xlfn._xlws.FILTER('Bite force'!$I:$I,
TRIM(LEFT('Bite force'!$A:$A,SEARCH(" ",'Bite force'!$A:$A&amp;" ")-1))=
TRIM(LEFT(A269,SEARCH(" ",A269&amp;" ")-1))
)),
1
)
)</f>
        <v>1</v>
      </c>
    </row>
    <row r="270" spans="1:3" x14ac:dyDescent="0.25">
      <c r="A270" s="2" t="str">
        <f>'[1]Base stats'!$B270</f>
        <v>Mycopodium sylvestris</v>
      </c>
      <c r="B270" s="23">
        <f>_xlfn.XLOOKUP(A270,'[1]Base stats'!$B:$B,'[1]Base stats'!$O:$O)</f>
        <v>0</v>
      </c>
      <c r="C270" s="20" cm="1">
        <f t="array" ref="C270">IF(
SUMPRODUCT(--(
TRIM(LEFT('Bite force'!$A:$A,SEARCH("§",SUBSTITUTE('Bite force'!$A:$A," ","§",2)&amp;"§")-1))=
TRIM(LEFT(A270,SEARCH("§",SUBSTITUTE(A270," ","§",2)&amp;"§")-1))
))&gt;0,
IF(
COUNT(_xlfn._xlws.FILTER('Bite force'!$I:$I,
TRIM(LEFT('Bite force'!$A:$A,SEARCH("§",SUBSTITUTE('Bite force'!$A:$A," ","§",2)&amp;"§")-1))=
TRIM(LEFT(A270,SEARCH("§",SUBSTITUTE(A270," ","§",2)&amp;"§")-1))
))=0,
1,
IF(
B270=2,
AVERAGE(_xlfn._xlws.FILTER('Bite force'!$I:$I,
TRIM(LEFT('Bite force'!$A:$A,SEARCH("§",SUBSTITUTE('Bite force'!$A:$A," ","§",2)&amp;"§")-1))=
TRIM(LEFT(A270,SEARCH("§",SUBSTITUTE(A270," ","§",2)&amp;"§")-1))
)),
MAX(_xlfn._xlws.FILTER('Bite force'!$I:$I,
TRIM(LEFT('Bite force'!$A:$A,SEARCH("§",SUBSTITUTE('Bite force'!$A:$A," ","§",2)&amp;"§")-1))=
TRIM(LEFT(A270,SEARCH("§",SUBSTITUTE(A270," ","§",2)&amp;"§")-1))
))
)
),
IFERROR(
AVERAGE(_xlfn._xlws.FILTER('Bite force'!$I:$I,
TRIM(LEFT('Bite force'!$A:$A,SEARCH(" ",'Bite force'!$A:$A&amp;" ")-1))=
TRIM(LEFT(A270,SEARCH(" ",A270&amp;" ")-1))
)),
1
)
)</f>
        <v>1</v>
      </c>
    </row>
    <row r="271" spans="1:3" x14ac:dyDescent="0.25">
      <c r="A271" s="2" t="str">
        <f>'[1]Base stats'!$B271</f>
        <v>Mycopion ferus</v>
      </c>
      <c r="B271" s="23">
        <f>_xlfn.XLOOKUP(A271,'[1]Base stats'!$B:$B,'[1]Base stats'!$O:$O)</f>
        <v>0</v>
      </c>
      <c r="C271" s="20" cm="1">
        <f t="array" ref="C271">IF(
SUMPRODUCT(--(
TRIM(LEFT('Bite force'!$A:$A,SEARCH("§",SUBSTITUTE('Bite force'!$A:$A," ","§",2)&amp;"§")-1))=
TRIM(LEFT(A271,SEARCH("§",SUBSTITUTE(A271," ","§",2)&amp;"§")-1))
))&gt;0,
IF(
COUNT(_xlfn._xlws.FILTER('Bite force'!$I:$I,
TRIM(LEFT('Bite force'!$A:$A,SEARCH("§",SUBSTITUTE('Bite force'!$A:$A," ","§",2)&amp;"§")-1))=
TRIM(LEFT(A271,SEARCH("§",SUBSTITUTE(A271," ","§",2)&amp;"§")-1))
))=0,
1,
IF(
B271=2,
AVERAGE(_xlfn._xlws.FILTER('Bite force'!$I:$I,
TRIM(LEFT('Bite force'!$A:$A,SEARCH("§",SUBSTITUTE('Bite force'!$A:$A," ","§",2)&amp;"§")-1))=
TRIM(LEFT(A271,SEARCH("§",SUBSTITUTE(A271," ","§",2)&amp;"§")-1))
)),
MAX(_xlfn._xlws.FILTER('Bite force'!$I:$I,
TRIM(LEFT('Bite force'!$A:$A,SEARCH("§",SUBSTITUTE('Bite force'!$A:$A," ","§",2)&amp;"§")-1))=
TRIM(LEFT(A271,SEARCH("§",SUBSTITUTE(A271," ","§",2)&amp;"§")-1))
))
)
),
IFERROR(
AVERAGE(_xlfn._xlws.FILTER('Bite force'!$I:$I,
TRIM(LEFT('Bite force'!$A:$A,SEARCH(" ",'Bite force'!$A:$A&amp;" ")-1))=
TRIM(LEFT(A271,SEARCH(" ",A271&amp;" ")-1))
)),
1
)
)</f>
        <v>1</v>
      </c>
    </row>
    <row r="272" spans="1:3" x14ac:dyDescent="0.25">
      <c r="A272" s="2" t="str">
        <f>'[1]Base stats'!$B272</f>
        <v>Mycopodium ferus</v>
      </c>
      <c r="B272" s="23">
        <f>_xlfn.XLOOKUP(A272,'[1]Base stats'!$B:$B,'[1]Base stats'!$O:$O)</f>
        <v>0</v>
      </c>
      <c r="C272" s="20" cm="1">
        <f t="array" ref="C272">IF(
SUMPRODUCT(--(
TRIM(LEFT('Bite force'!$A:$A,SEARCH("§",SUBSTITUTE('Bite force'!$A:$A," ","§",2)&amp;"§")-1))=
TRIM(LEFT(A272,SEARCH("§",SUBSTITUTE(A272," ","§",2)&amp;"§")-1))
))&gt;0,
IF(
COUNT(_xlfn._xlws.FILTER('Bite force'!$I:$I,
TRIM(LEFT('Bite force'!$A:$A,SEARCH("§",SUBSTITUTE('Bite force'!$A:$A," ","§",2)&amp;"§")-1))=
TRIM(LEFT(A272,SEARCH("§",SUBSTITUTE(A272," ","§",2)&amp;"§")-1))
))=0,
1,
IF(
B272=2,
AVERAGE(_xlfn._xlws.FILTER('Bite force'!$I:$I,
TRIM(LEFT('Bite force'!$A:$A,SEARCH("§",SUBSTITUTE('Bite force'!$A:$A," ","§",2)&amp;"§")-1))=
TRIM(LEFT(A272,SEARCH("§",SUBSTITUTE(A272," ","§",2)&amp;"§")-1))
)),
MAX(_xlfn._xlws.FILTER('Bite force'!$I:$I,
TRIM(LEFT('Bite force'!$A:$A,SEARCH("§",SUBSTITUTE('Bite force'!$A:$A," ","§",2)&amp;"§")-1))=
TRIM(LEFT(A272,SEARCH("§",SUBSTITUTE(A272," ","§",2)&amp;"§")-1))
))
)
),
IFERROR(
AVERAGE(_xlfn._xlws.FILTER('Bite force'!$I:$I,
TRIM(LEFT('Bite force'!$A:$A,SEARCH(" ",'Bite force'!$A:$A&amp;" ")-1))=
TRIM(LEFT(A272,SEARCH(" ",A272&amp;" ")-1))
)),
1
)
)</f>
        <v>1</v>
      </c>
    </row>
    <row r="273" spans="1:3" x14ac:dyDescent="0.25">
      <c r="A273" s="2" t="str">
        <f>'[1]Base stats'!$B273</f>
        <v>Gallus titanicus</v>
      </c>
      <c r="B273" s="23">
        <f>_xlfn.XLOOKUP(A273,'[1]Base stats'!$B:$B,'[1]Base stats'!$O:$O)</f>
        <v>0</v>
      </c>
      <c r="C273" s="20" cm="1">
        <f t="array" ref="C273">IF(
SUMPRODUCT(--(
TRIM(LEFT('Bite force'!$A:$A,SEARCH("§",SUBSTITUTE('Bite force'!$A:$A," ","§",2)&amp;"§")-1))=
TRIM(LEFT(A273,SEARCH("§",SUBSTITUTE(A273," ","§",2)&amp;"§")-1))
))&gt;0,
IF(
COUNT(_xlfn._xlws.FILTER('Bite force'!$I:$I,
TRIM(LEFT('Bite force'!$A:$A,SEARCH("§",SUBSTITUTE('Bite force'!$A:$A," ","§",2)&amp;"§")-1))=
TRIM(LEFT(A273,SEARCH("§",SUBSTITUTE(A273," ","§",2)&amp;"§")-1))
))=0,
1,
IF(
B273=2,
AVERAGE(_xlfn._xlws.FILTER('Bite force'!$I:$I,
TRIM(LEFT('Bite force'!$A:$A,SEARCH("§",SUBSTITUTE('Bite force'!$A:$A," ","§",2)&amp;"§")-1))=
TRIM(LEFT(A273,SEARCH("§",SUBSTITUTE(A273," ","§",2)&amp;"§")-1))
)),
MAX(_xlfn._xlws.FILTER('Bite force'!$I:$I,
TRIM(LEFT('Bite force'!$A:$A,SEARCH("§",SUBSTITUTE('Bite force'!$A:$A," ","§",2)&amp;"§")-1))=
TRIM(LEFT(A273,SEARCH("§",SUBSTITUTE(A273," ","§",2)&amp;"§")-1))
))
)
),
IFERROR(
AVERAGE(_xlfn._xlws.FILTER('Bite force'!$I:$I,
TRIM(LEFT('Bite force'!$A:$A,SEARCH(" ",'Bite force'!$A:$A&amp;" ")-1))=
TRIM(LEFT(A273,SEARCH(" ",A273&amp;" ")-1))
)),
1
)
)</f>
        <v>1</v>
      </c>
    </row>
    <row r="274" spans="1:3" x14ac:dyDescent="0.25">
      <c r="A274" s="2" t="str">
        <f>'[1]Base stats'!$B274</f>
        <v>Gallus titanicus (moribund)</v>
      </c>
      <c r="B274" s="23">
        <f>_xlfn.XLOOKUP(A274,'[1]Base stats'!$B:$B,'[1]Base stats'!$O:$O)</f>
        <v>0</v>
      </c>
      <c r="C274" s="20" cm="1">
        <f t="array" ref="C274">IF(
SUMPRODUCT(--(
TRIM(LEFT('Bite force'!$A:$A,SEARCH("§",SUBSTITUTE('Bite force'!$A:$A," ","§",2)&amp;"§")-1))=
TRIM(LEFT(A274,SEARCH("§",SUBSTITUTE(A274," ","§",2)&amp;"§")-1))
))&gt;0,
IF(
COUNT(_xlfn._xlws.FILTER('Bite force'!$I:$I,
TRIM(LEFT('Bite force'!$A:$A,SEARCH("§",SUBSTITUTE('Bite force'!$A:$A," ","§",2)&amp;"§")-1))=
TRIM(LEFT(A274,SEARCH("§",SUBSTITUTE(A274," ","§",2)&amp;"§")-1))
))=0,
1,
IF(
B274=2,
AVERAGE(_xlfn._xlws.FILTER('Bite force'!$I:$I,
TRIM(LEFT('Bite force'!$A:$A,SEARCH("§",SUBSTITUTE('Bite force'!$A:$A," ","§",2)&amp;"§")-1))=
TRIM(LEFT(A274,SEARCH("§",SUBSTITUTE(A274," ","§",2)&amp;"§")-1))
)),
MAX(_xlfn._xlws.FILTER('Bite force'!$I:$I,
TRIM(LEFT('Bite force'!$A:$A,SEARCH("§",SUBSTITUTE('Bite force'!$A:$A," ","§",2)&amp;"§")-1))=
TRIM(LEFT(A274,SEARCH("§",SUBSTITUTE(A274," ","§",2)&amp;"§")-1))
))
)
),
IFERROR(
AVERAGE(_xlfn._xlws.FILTER('Bite force'!$I:$I,
TRIM(LEFT('Bite force'!$A:$A,SEARCH(" ",'Bite force'!$A:$A&amp;" ")-1))=
TRIM(LEFT(A274,SEARCH(" ",A274&amp;" ")-1))
)),
1
)
)</f>
        <v>1</v>
      </c>
    </row>
    <row r="275" spans="1:3" x14ac:dyDescent="0.25">
      <c r="A275" s="2" t="str">
        <f>'[1]Base stats'!$B275</f>
        <v>Bestia ventus</v>
      </c>
      <c r="B275" s="23">
        <f>_xlfn.XLOOKUP(A275,'[1]Base stats'!$B:$B,'[1]Base stats'!$O:$O)</f>
        <v>0</v>
      </c>
      <c r="C275" s="20" cm="1">
        <f t="array" ref="C275">IF(
SUMPRODUCT(--(
TRIM(LEFT('Bite force'!$A:$A,SEARCH("§",SUBSTITUTE('Bite force'!$A:$A," ","§",2)&amp;"§")-1))=
TRIM(LEFT(A275,SEARCH("§",SUBSTITUTE(A275," ","§",2)&amp;"§")-1))
))&gt;0,
IF(
COUNT(_xlfn._xlws.FILTER('Bite force'!$I:$I,
TRIM(LEFT('Bite force'!$A:$A,SEARCH("§",SUBSTITUTE('Bite force'!$A:$A," ","§",2)&amp;"§")-1))=
TRIM(LEFT(A275,SEARCH("§",SUBSTITUTE(A275," ","§",2)&amp;"§")-1))
))=0,
1,
IF(
B275=2,
AVERAGE(_xlfn._xlws.FILTER('Bite force'!$I:$I,
TRIM(LEFT('Bite force'!$A:$A,SEARCH("§",SUBSTITUTE('Bite force'!$A:$A," ","§",2)&amp;"§")-1))=
TRIM(LEFT(A275,SEARCH("§",SUBSTITUTE(A275," ","§",2)&amp;"§")-1))
)),
MAX(_xlfn._xlws.FILTER('Bite force'!$I:$I,
TRIM(LEFT('Bite force'!$A:$A,SEARCH("§",SUBSTITUTE('Bite force'!$A:$A," ","§",2)&amp;"§")-1))=
TRIM(LEFT(A275,SEARCH("§",SUBSTITUTE(A275," ","§",2)&amp;"§")-1))
))
)
),
IFERROR(
AVERAGE(_xlfn._xlws.FILTER('Bite force'!$I:$I,
TRIM(LEFT('Bite force'!$A:$A,SEARCH(" ",'Bite force'!$A:$A&amp;" ")-1))=
TRIM(LEFT(A275,SEARCH(" ",A275&amp;" ")-1))
)),
1
)
)</f>
        <v>1</v>
      </c>
    </row>
    <row r="276" spans="1:3" x14ac:dyDescent="0.25">
      <c r="A276" s="2" t="str">
        <f>'[1]Base stats'!$B276</f>
        <v>Bestia tonitrus</v>
      </c>
      <c r="B276" s="23">
        <f>_xlfn.XLOOKUP(A276,'[1]Base stats'!$B:$B,'[1]Base stats'!$O:$O)</f>
        <v>0</v>
      </c>
      <c r="C276" s="20" cm="1">
        <f t="array" ref="C276">IF(
SUMPRODUCT(--(
TRIM(LEFT('Bite force'!$A:$A,SEARCH("§",SUBSTITUTE('Bite force'!$A:$A," ","§",2)&amp;"§")-1))=
TRIM(LEFT(A276,SEARCH("§",SUBSTITUTE(A276," ","§",2)&amp;"§")-1))
))&gt;0,
IF(
COUNT(_xlfn._xlws.FILTER('Bite force'!$I:$I,
TRIM(LEFT('Bite force'!$A:$A,SEARCH("§",SUBSTITUTE('Bite force'!$A:$A," ","§",2)&amp;"§")-1))=
TRIM(LEFT(A276,SEARCH("§",SUBSTITUTE(A276," ","§",2)&amp;"§")-1))
))=0,
1,
IF(
B276=2,
AVERAGE(_xlfn._xlws.FILTER('Bite force'!$I:$I,
TRIM(LEFT('Bite force'!$A:$A,SEARCH("§",SUBSTITUTE('Bite force'!$A:$A," ","§",2)&amp;"§")-1))=
TRIM(LEFT(A276,SEARCH("§",SUBSTITUTE(A276," ","§",2)&amp;"§")-1))
)),
MAX(_xlfn._xlws.FILTER('Bite force'!$I:$I,
TRIM(LEFT('Bite force'!$A:$A,SEARCH("§",SUBSTITUTE('Bite force'!$A:$A," ","§",2)&amp;"§")-1))=
TRIM(LEFT(A276,SEARCH("§",SUBSTITUTE(A276," ","§",2)&amp;"§")-1))
))
)
),
IFERROR(
AVERAGE(_xlfn._xlws.FILTER('Bite force'!$I:$I,
TRIM(LEFT('Bite force'!$A:$A,SEARCH(" ",'Bite force'!$A:$A&amp;" ")-1))=
TRIM(LEFT(A276,SEARCH(" ",A276&amp;" ")-1))
)),
1
)
)</f>
        <v>1</v>
      </c>
    </row>
    <row r="277" spans="1:3" x14ac:dyDescent="0.25">
      <c r="A277" s="2" t="str">
        <f>'[1]Base stats'!$B277</f>
        <v>Bestia nigra</v>
      </c>
      <c r="B277" s="23">
        <f>_xlfn.XLOOKUP(A277,'[1]Base stats'!$B:$B,'[1]Base stats'!$O:$O)</f>
        <v>0</v>
      </c>
      <c r="C277" s="20" cm="1">
        <f t="array" ref="C277">IF(
SUMPRODUCT(--(
TRIM(LEFT('Bite force'!$A:$A,SEARCH("§",SUBSTITUTE('Bite force'!$A:$A," ","§",2)&amp;"§")-1))=
TRIM(LEFT(A277,SEARCH("§",SUBSTITUTE(A277," ","§",2)&amp;"§")-1))
))&gt;0,
IF(
COUNT(_xlfn._xlws.FILTER('Bite force'!$I:$I,
TRIM(LEFT('Bite force'!$A:$A,SEARCH("§",SUBSTITUTE('Bite force'!$A:$A," ","§",2)&amp;"§")-1))=
TRIM(LEFT(A277,SEARCH("§",SUBSTITUTE(A277," ","§",2)&amp;"§")-1))
))=0,
1,
IF(
B277=2,
AVERAGE(_xlfn._xlws.FILTER('Bite force'!$I:$I,
TRIM(LEFT('Bite force'!$A:$A,SEARCH("§",SUBSTITUTE('Bite force'!$A:$A," ","§",2)&amp;"§")-1))=
TRIM(LEFT(A277,SEARCH("§",SUBSTITUTE(A277," ","§",2)&amp;"§")-1))
)),
MAX(_xlfn._xlws.FILTER('Bite force'!$I:$I,
TRIM(LEFT('Bite force'!$A:$A,SEARCH("§",SUBSTITUTE('Bite force'!$A:$A," ","§",2)&amp;"§")-1))=
TRIM(LEFT(A277,SEARCH("§",SUBSTITUTE(A277," ","§",2)&amp;"§")-1))
))
)
),
IFERROR(
AVERAGE(_xlfn._xlws.FILTER('Bite force'!$I:$I,
TRIM(LEFT('Bite force'!$A:$A,SEARCH(" ",'Bite force'!$A:$A&amp;" ")-1))=
TRIM(LEFT(A277,SEARCH(" ",A277&amp;" ")-1))
)),
1
)
)</f>
        <v>1</v>
      </c>
    </row>
    <row r="278" spans="1:3" x14ac:dyDescent="0.25">
      <c r="A278" s="2" t="str">
        <f>'[1]Base stats'!$B278</f>
        <v>Panthera glacialis</v>
      </c>
      <c r="B278" s="23">
        <f>_xlfn.XLOOKUP(A278,'[1]Base stats'!$B:$B,'[1]Base stats'!$O:$O)</f>
        <v>0</v>
      </c>
      <c r="C278" s="20" cm="1">
        <f t="array" ref="C278">IF(
SUMPRODUCT(--(
TRIM(LEFT('Bite force'!$A:$A,SEARCH("§",SUBSTITUTE('Bite force'!$A:$A," ","§",2)&amp;"§")-1))=
TRIM(LEFT(A278,SEARCH("§",SUBSTITUTE(A278," ","§",2)&amp;"§")-1))
))&gt;0,
IF(
COUNT(_xlfn._xlws.FILTER('Bite force'!$I:$I,
TRIM(LEFT('Bite force'!$A:$A,SEARCH("§",SUBSTITUTE('Bite force'!$A:$A," ","§",2)&amp;"§")-1))=
TRIM(LEFT(A278,SEARCH("§",SUBSTITUTE(A278," ","§",2)&amp;"§")-1))
))=0,
1,
IF(
B278=2,
AVERAGE(_xlfn._xlws.FILTER('Bite force'!$I:$I,
TRIM(LEFT('Bite force'!$A:$A,SEARCH("§",SUBSTITUTE('Bite force'!$A:$A," ","§",2)&amp;"§")-1))=
TRIM(LEFT(A278,SEARCH("§",SUBSTITUTE(A278," ","§",2)&amp;"§")-1))
)),
MAX(_xlfn._xlws.FILTER('Bite force'!$I:$I,
TRIM(LEFT('Bite force'!$A:$A,SEARCH("§",SUBSTITUTE('Bite force'!$A:$A," ","§",2)&amp;"§")-1))=
TRIM(LEFT(A278,SEARCH("§",SUBSTITUTE(A278," ","§",2)&amp;"§")-1))
))
)
),
IFERROR(
AVERAGE(_xlfn._xlws.FILTER('Bite force'!$I:$I,
TRIM(LEFT('Bite force'!$A:$A,SEARCH(" ",'Bite force'!$A:$A&amp;" ")-1))=
TRIM(LEFT(A278,SEARCH(" ",A278&amp;" ")-1))
)),
1
)
)</f>
        <v>1.0538650156253235</v>
      </c>
    </row>
    <row r="279" spans="1:3" x14ac:dyDescent="0.25">
      <c r="A279" s="2" t="str">
        <f>'[1]Base stats'!$B279</f>
        <v>Panthera arenae</v>
      </c>
      <c r="B279" s="23">
        <f>_xlfn.XLOOKUP(A279,'[1]Base stats'!$B:$B,'[1]Base stats'!$O:$O)</f>
        <v>0</v>
      </c>
      <c r="C279" s="20" cm="1">
        <f t="array" ref="C279">IF(
SUMPRODUCT(--(
TRIM(LEFT('Bite force'!$A:$A,SEARCH("§",SUBSTITUTE('Bite force'!$A:$A," ","§",2)&amp;"§")-1))=
TRIM(LEFT(A279,SEARCH("§",SUBSTITUTE(A279," ","§",2)&amp;"§")-1))
))&gt;0,
IF(
COUNT(_xlfn._xlws.FILTER('Bite force'!$I:$I,
TRIM(LEFT('Bite force'!$A:$A,SEARCH("§",SUBSTITUTE('Bite force'!$A:$A," ","§",2)&amp;"§")-1))=
TRIM(LEFT(A279,SEARCH("§",SUBSTITUTE(A279," ","§",2)&amp;"§")-1))
))=0,
1,
IF(
B279=2,
AVERAGE(_xlfn._xlws.FILTER('Bite force'!$I:$I,
TRIM(LEFT('Bite force'!$A:$A,SEARCH("§",SUBSTITUTE('Bite force'!$A:$A," ","§",2)&amp;"§")-1))=
TRIM(LEFT(A279,SEARCH("§",SUBSTITUTE(A279," ","§",2)&amp;"§")-1))
)),
MAX(_xlfn._xlws.FILTER('Bite force'!$I:$I,
TRIM(LEFT('Bite force'!$A:$A,SEARCH("§",SUBSTITUTE('Bite force'!$A:$A," ","§",2)&amp;"§")-1))=
TRIM(LEFT(A279,SEARCH("§",SUBSTITUTE(A279," ","§",2)&amp;"§")-1))
))
)
),
IFERROR(
AVERAGE(_xlfn._xlws.FILTER('Bite force'!$I:$I,
TRIM(LEFT('Bite force'!$A:$A,SEARCH(" ",'Bite force'!$A:$A&amp;" ")-1))=
TRIM(LEFT(A279,SEARCH(" ",A279&amp;" ")-1))
)),
1
)
)</f>
        <v>1.0538650156253235</v>
      </c>
    </row>
    <row r="280" spans="1:3" x14ac:dyDescent="0.25">
      <c r="A280" s="2" t="str">
        <f>'[1]Base stats'!$B280</f>
        <v>Genix ferox</v>
      </c>
      <c r="B280" s="23">
        <f>_xlfn.XLOOKUP(A280,'[1]Base stats'!$B:$B,'[1]Base stats'!$O:$O)</f>
        <v>0</v>
      </c>
      <c r="C280" s="20" cm="1">
        <f t="array" ref="C280">IF(
SUMPRODUCT(--(
TRIM(LEFT('Bite force'!$A:$A,SEARCH("§",SUBSTITUTE('Bite force'!$A:$A," ","§",2)&amp;"§")-1))=
TRIM(LEFT(A280,SEARCH("§",SUBSTITUTE(A280," ","§",2)&amp;"§")-1))
))&gt;0,
IF(
COUNT(_xlfn._xlws.FILTER('Bite force'!$I:$I,
TRIM(LEFT('Bite force'!$A:$A,SEARCH("§",SUBSTITUTE('Bite force'!$A:$A," ","§",2)&amp;"§")-1))=
TRIM(LEFT(A280,SEARCH("§",SUBSTITUTE(A280," ","§",2)&amp;"§")-1))
))=0,
1,
IF(
B280=2,
AVERAGE(_xlfn._xlws.FILTER('Bite force'!$I:$I,
TRIM(LEFT('Bite force'!$A:$A,SEARCH("§",SUBSTITUTE('Bite force'!$A:$A," ","§",2)&amp;"§")-1))=
TRIM(LEFT(A280,SEARCH("§",SUBSTITUTE(A280," ","§",2)&amp;"§")-1))
)),
MAX(_xlfn._xlws.FILTER('Bite force'!$I:$I,
TRIM(LEFT('Bite force'!$A:$A,SEARCH("§",SUBSTITUTE('Bite force'!$A:$A," ","§",2)&amp;"§")-1))=
TRIM(LEFT(A280,SEARCH("§",SUBSTITUTE(A280," ","§",2)&amp;"§")-1))
))
)
),
IFERROR(
AVERAGE(_xlfn._xlws.FILTER('Bite force'!$I:$I,
TRIM(LEFT('Bite force'!$A:$A,SEARCH(" ",'Bite force'!$A:$A&amp;" ")-1))=
TRIM(LEFT(A280,SEARCH(" ",A280&amp;" ")-1))
)),
1
)
)</f>
        <v>1</v>
      </c>
    </row>
    <row r="281" spans="1:3" x14ac:dyDescent="0.25">
      <c r="A281" s="2" t="str">
        <f>'[1]Base stats'!$B281</f>
        <v>Genix frostis</v>
      </c>
      <c r="B281" s="23">
        <f>_xlfn.XLOOKUP(A281,'[1]Base stats'!$B:$B,'[1]Base stats'!$O:$O)</f>
        <v>0</v>
      </c>
      <c r="C281" s="20" cm="1">
        <f t="array" ref="C281">IF(
SUMPRODUCT(--(
TRIM(LEFT('Bite force'!$A:$A,SEARCH("§",SUBSTITUTE('Bite force'!$A:$A," ","§",2)&amp;"§")-1))=
TRIM(LEFT(A281,SEARCH("§",SUBSTITUTE(A281," ","§",2)&amp;"§")-1))
))&gt;0,
IF(
COUNT(_xlfn._xlws.FILTER('Bite force'!$I:$I,
TRIM(LEFT('Bite force'!$A:$A,SEARCH("§",SUBSTITUTE('Bite force'!$A:$A," ","§",2)&amp;"§")-1))=
TRIM(LEFT(A281,SEARCH("§",SUBSTITUTE(A281," ","§",2)&amp;"§")-1))
))=0,
1,
IF(
B281=2,
AVERAGE(_xlfn._xlws.FILTER('Bite force'!$I:$I,
TRIM(LEFT('Bite force'!$A:$A,SEARCH("§",SUBSTITUTE('Bite force'!$A:$A," ","§",2)&amp;"§")-1))=
TRIM(LEFT(A281,SEARCH("§",SUBSTITUTE(A281," ","§",2)&amp;"§")-1))
)),
MAX(_xlfn._xlws.FILTER('Bite force'!$I:$I,
TRIM(LEFT('Bite force'!$A:$A,SEARCH("§",SUBSTITUTE('Bite force'!$A:$A," ","§",2)&amp;"§")-1))=
TRIM(LEFT(A281,SEARCH("§",SUBSTITUTE(A281," ","§",2)&amp;"§")-1))
))
)
),
IFERROR(
AVERAGE(_xlfn._xlws.FILTER('Bite force'!$I:$I,
TRIM(LEFT('Bite force'!$A:$A,SEARCH(" ",'Bite force'!$A:$A&amp;" ")-1))=
TRIM(LEFT(A281,SEARCH(" ",A281&amp;" ")-1))
)),
1
)
)</f>
        <v>1</v>
      </c>
    </row>
    <row r="282" spans="1:3" x14ac:dyDescent="0.25">
      <c r="A282" s="2" t="str">
        <f>'[1]Base stats'!$B282</f>
        <v>Feliscopus phoenix</v>
      </c>
      <c r="B282" s="23">
        <f>_xlfn.XLOOKUP(A282,'[1]Base stats'!$B:$B,'[1]Base stats'!$O:$O)</f>
        <v>2</v>
      </c>
      <c r="C282" s="20" cm="1">
        <f t="array" ref="C282">IF(
SUMPRODUCT(--(
TRIM(LEFT('Bite force'!$A:$A,SEARCH("§",SUBSTITUTE('Bite force'!$A:$A," ","§",2)&amp;"§")-1))=
TRIM(LEFT(A282,SEARCH("§",SUBSTITUTE(A282," ","§",2)&amp;"§")-1))
))&gt;0,
IF(
COUNT(_xlfn._xlws.FILTER('Bite force'!$I:$I,
TRIM(LEFT('Bite force'!$A:$A,SEARCH("§",SUBSTITUTE('Bite force'!$A:$A," ","§",2)&amp;"§")-1))=
TRIM(LEFT(A282,SEARCH("§",SUBSTITUTE(A282," ","§",2)&amp;"§")-1))
))=0,
1,
IF(
B282=2,
AVERAGE(_xlfn._xlws.FILTER('Bite force'!$I:$I,
TRIM(LEFT('Bite force'!$A:$A,SEARCH("§",SUBSTITUTE('Bite force'!$A:$A," ","§",2)&amp;"§")-1))=
TRIM(LEFT(A282,SEARCH("§",SUBSTITUTE(A282," ","§",2)&amp;"§")-1))
)),
MAX(_xlfn._xlws.FILTER('Bite force'!$I:$I,
TRIM(LEFT('Bite force'!$A:$A,SEARCH("§",SUBSTITUTE('Bite force'!$A:$A," ","§",2)&amp;"§")-1))=
TRIM(LEFT(A282,SEARCH("§",SUBSTITUTE(A282," ","§",2)&amp;"§")-1))
))
)
),
IFERROR(
AVERAGE(_xlfn._xlws.FILTER('Bite force'!$I:$I,
TRIM(LEFT('Bite force'!$A:$A,SEARCH(" ",'Bite force'!$A:$A&amp;" ")-1))=
TRIM(LEFT(A282,SEARCH(" ",A282&amp;" ")-1))
)),
1
)
)</f>
        <v>1</v>
      </c>
    </row>
    <row r="283" spans="1:3" x14ac:dyDescent="0.25">
      <c r="A283" s="2" t="str">
        <f>'[1]Base stats'!$B283</f>
        <v>Caracal crystallinus</v>
      </c>
      <c r="B283" s="23">
        <f>_xlfn.XLOOKUP(A283,'[1]Base stats'!$B:$B,'[1]Base stats'!$O:$O)</f>
        <v>0</v>
      </c>
      <c r="C283" s="20" cm="1">
        <f t="array" ref="C283">IF(
SUMPRODUCT(--(
TRIM(LEFT('Bite force'!$A:$A,SEARCH("§",SUBSTITUTE('Bite force'!$A:$A," ","§",2)&amp;"§")-1))=
TRIM(LEFT(A283,SEARCH("§",SUBSTITUTE(A283," ","§",2)&amp;"§")-1))
))&gt;0,
IF(
COUNT(_xlfn._xlws.FILTER('Bite force'!$I:$I,
TRIM(LEFT('Bite force'!$A:$A,SEARCH("§",SUBSTITUTE('Bite force'!$A:$A," ","§",2)&amp;"§")-1))=
TRIM(LEFT(A283,SEARCH("§",SUBSTITUTE(A283," ","§",2)&amp;"§")-1))
))=0,
1,
IF(
B283=2,
AVERAGE(_xlfn._xlws.FILTER('Bite force'!$I:$I,
TRIM(LEFT('Bite force'!$A:$A,SEARCH("§",SUBSTITUTE('Bite force'!$A:$A," ","§",2)&amp;"§")-1))=
TRIM(LEFT(A283,SEARCH("§",SUBSTITUTE(A283," ","§",2)&amp;"§")-1))
)),
MAX(_xlfn._xlws.FILTER('Bite force'!$I:$I,
TRIM(LEFT('Bite force'!$A:$A,SEARCH("§",SUBSTITUTE('Bite force'!$A:$A," ","§",2)&amp;"§")-1))=
TRIM(LEFT(A283,SEARCH("§",SUBSTITUTE(A283," ","§",2)&amp;"§")-1))
))
)
),
IFERROR(
AVERAGE(_xlfn._xlws.FILTER('Bite force'!$I:$I,
TRIM(LEFT('Bite force'!$A:$A,SEARCH(" ",'Bite force'!$A:$A&amp;" ")-1))=
TRIM(LEFT(A283,SEARCH(" ",A283&amp;" ")-1))
)),
1
)
)</f>
        <v>1.0164937979858617</v>
      </c>
    </row>
    <row r="284" spans="1:3" x14ac:dyDescent="0.25">
      <c r="A284" s="2" t="str">
        <f>'[1]Base stats'!$B284</f>
        <v>Glaciulus parvus</v>
      </c>
      <c r="B284" s="23">
        <f>_xlfn.XLOOKUP(A284,'[1]Base stats'!$B:$B,'[1]Base stats'!$O:$O)</f>
        <v>0</v>
      </c>
      <c r="C284" s="20" cm="1">
        <f t="array" ref="C284">IF(
SUMPRODUCT(--(
TRIM(LEFT('Bite force'!$A:$A,SEARCH("§",SUBSTITUTE('Bite force'!$A:$A," ","§",2)&amp;"§")-1))=
TRIM(LEFT(A284,SEARCH("§",SUBSTITUTE(A284," ","§",2)&amp;"§")-1))
))&gt;0,
IF(
COUNT(_xlfn._xlws.FILTER('Bite force'!$I:$I,
TRIM(LEFT('Bite force'!$A:$A,SEARCH("§",SUBSTITUTE('Bite force'!$A:$A," ","§",2)&amp;"§")-1))=
TRIM(LEFT(A284,SEARCH("§",SUBSTITUTE(A284," ","§",2)&amp;"§")-1))
))=0,
1,
IF(
B284=2,
AVERAGE(_xlfn._xlws.FILTER('Bite force'!$I:$I,
TRIM(LEFT('Bite force'!$A:$A,SEARCH("§",SUBSTITUTE('Bite force'!$A:$A," ","§",2)&amp;"§")-1))=
TRIM(LEFT(A284,SEARCH("§",SUBSTITUTE(A284," ","§",2)&amp;"§")-1))
)),
MAX(_xlfn._xlws.FILTER('Bite force'!$I:$I,
TRIM(LEFT('Bite force'!$A:$A,SEARCH("§",SUBSTITUTE('Bite force'!$A:$A," ","§",2)&amp;"§")-1))=
TRIM(LEFT(A284,SEARCH("§",SUBSTITUTE(A284," ","§",2)&amp;"§")-1))
))
)
),
IFERROR(
AVERAGE(_xlfn._xlws.FILTER('Bite force'!$I:$I,
TRIM(LEFT('Bite force'!$A:$A,SEARCH(" ",'Bite force'!$A:$A&amp;" ")-1))=
TRIM(LEFT(A284,SEARCH(" ",A284&amp;" ")-1))
)),
1
)
)</f>
        <v>1</v>
      </c>
    </row>
    <row r="285" spans="1:3" x14ac:dyDescent="0.25">
      <c r="A285" s="2" t="str">
        <f>'[1]Base stats'!$B285</f>
        <v>Jaculus acutis</v>
      </c>
      <c r="B285" s="23">
        <f>_xlfn.XLOOKUP(A285,'[1]Base stats'!$B:$B,'[1]Base stats'!$O:$O)</f>
        <v>0</v>
      </c>
      <c r="C285" s="20" cm="1">
        <f t="array" ref="C285">IF(
SUMPRODUCT(--(
TRIM(LEFT('Bite force'!$A:$A,SEARCH("§",SUBSTITUTE('Bite force'!$A:$A," ","§",2)&amp;"§")-1))=
TRIM(LEFT(A285,SEARCH("§",SUBSTITUTE(A285," ","§",2)&amp;"§")-1))
))&gt;0,
IF(
COUNT(_xlfn._xlws.FILTER('Bite force'!$I:$I,
TRIM(LEFT('Bite force'!$A:$A,SEARCH("§",SUBSTITUTE('Bite force'!$A:$A," ","§",2)&amp;"§")-1))=
TRIM(LEFT(A285,SEARCH("§",SUBSTITUTE(A285," ","§",2)&amp;"§")-1))
))=0,
1,
IF(
B285=2,
AVERAGE(_xlfn._xlws.FILTER('Bite force'!$I:$I,
TRIM(LEFT('Bite force'!$A:$A,SEARCH("§",SUBSTITUTE('Bite force'!$A:$A," ","§",2)&amp;"§")-1))=
TRIM(LEFT(A285,SEARCH("§",SUBSTITUTE(A285," ","§",2)&amp;"§")-1))
)),
MAX(_xlfn._xlws.FILTER('Bite force'!$I:$I,
TRIM(LEFT('Bite force'!$A:$A,SEARCH("§",SUBSTITUTE('Bite force'!$A:$A," ","§",2)&amp;"§")-1))=
TRIM(LEFT(A285,SEARCH("§",SUBSTITUTE(A285," ","§",2)&amp;"§")-1))
))
)
),
IFERROR(
AVERAGE(_xlfn._xlws.FILTER('Bite force'!$I:$I,
TRIM(LEFT('Bite force'!$A:$A,SEARCH(" ",'Bite force'!$A:$A&amp;" ")-1))=
TRIM(LEFT(A285,SEARCH(" ",A285&amp;" ")-1))
)),
1
)
)</f>
        <v>1</v>
      </c>
    </row>
    <row r="286" spans="1:3" x14ac:dyDescent="0.25">
      <c r="A286" s="2" t="str">
        <f>'[1]Base stats'!$B286</f>
        <v>Erin similis</v>
      </c>
      <c r="B286" s="23">
        <f>_xlfn.XLOOKUP(A286,'[1]Base stats'!$B:$B,'[1]Base stats'!$O:$O)</f>
        <v>0</v>
      </c>
      <c r="C286" s="20" cm="1">
        <f t="array" ref="C286">IF(
SUMPRODUCT(--(
TRIM(LEFT('Bite force'!$A:$A,SEARCH("§",SUBSTITUTE('Bite force'!$A:$A," ","§",2)&amp;"§")-1))=
TRIM(LEFT(A286,SEARCH("§",SUBSTITUTE(A286," ","§",2)&amp;"§")-1))
))&gt;0,
IF(
COUNT(_xlfn._xlws.FILTER('Bite force'!$I:$I,
TRIM(LEFT('Bite force'!$A:$A,SEARCH("§",SUBSTITUTE('Bite force'!$A:$A," ","§",2)&amp;"§")-1))=
TRIM(LEFT(A286,SEARCH("§",SUBSTITUTE(A286," ","§",2)&amp;"§")-1))
))=0,
1,
IF(
B286=2,
AVERAGE(_xlfn._xlws.FILTER('Bite force'!$I:$I,
TRIM(LEFT('Bite force'!$A:$A,SEARCH("§",SUBSTITUTE('Bite force'!$A:$A," ","§",2)&amp;"§")-1))=
TRIM(LEFT(A286,SEARCH("§",SUBSTITUTE(A286," ","§",2)&amp;"§")-1))
)),
MAX(_xlfn._xlws.FILTER('Bite force'!$I:$I,
TRIM(LEFT('Bite force'!$A:$A,SEARCH("§",SUBSTITUTE('Bite force'!$A:$A," ","§",2)&amp;"§")-1))=
TRIM(LEFT(A286,SEARCH("§",SUBSTITUTE(A286," ","§",2)&amp;"§")-1))
))
)
),
IFERROR(
AVERAGE(_xlfn._xlws.FILTER('Bite force'!$I:$I,
TRIM(LEFT('Bite force'!$A:$A,SEARCH(" ",'Bite force'!$A:$A&amp;" ")-1))=
TRIM(LEFT(A286,SEARCH(" ",A286&amp;" ")-1))
)),
1
)
)</f>
        <v>1</v>
      </c>
    </row>
    <row r="287" spans="1:3" x14ac:dyDescent="0.25">
      <c r="A287" s="2" t="str">
        <f>'[1]Base stats'!$B287</f>
        <v>Canis saltator</v>
      </c>
      <c r="B287" s="23">
        <f>_xlfn.XLOOKUP(A287,'[1]Base stats'!$B:$B,'[1]Base stats'!$O:$O)</f>
        <v>1</v>
      </c>
      <c r="C287" s="20" cm="1">
        <f t="array" ref="C287">IF(
SUMPRODUCT(--(
TRIM(LEFT('Bite force'!$A:$A,SEARCH("§",SUBSTITUTE('Bite force'!$A:$A," ","§",2)&amp;"§")-1))=
TRIM(LEFT(A287,SEARCH("§",SUBSTITUTE(A287," ","§",2)&amp;"§")-1))
))&gt;0,
IF(
COUNT(_xlfn._xlws.FILTER('Bite force'!$I:$I,
TRIM(LEFT('Bite force'!$A:$A,SEARCH("§",SUBSTITUTE('Bite force'!$A:$A," ","§",2)&amp;"§")-1))=
TRIM(LEFT(A287,SEARCH("§",SUBSTITUTE(A287," ","§",2)&amp;"§")-1))
))=0,
1,
IF(
B287=2,
AVERAGE(_xlfn._xlws.FILTER('Bite force'!$I:$I,
TRIM(LEFT('Bite force'!$A:$A,SEARCH("§",SUBSTITUTE('Bite force'!$A:$A," ","§",2)&amp;"§")-1))=
TRIM(LEFT(A287,SEARCH("§",SUBSTITUTE(A287," ","§",2)&amp;"§")-1))
)),
MAX(_xlfn._xlws.FILTER('Bite force'!$I:$I,
TRIM(LEFT('Bite force'!$A:$A,SEARCH("§",SUBSTITUTE('Bite force'!$A:$A," ","§",2)&amp;"§")-1))=
TRIM(LEFT(A287,SEARCH("§",SUBSTITUTE(A287," ","§",2)&amp;"§")-1))
))
)
),
IFERROR(
AVERAGE(_xlfn._xlws.FILTER('Bite force'!$I:$I,
TRIM(LEFT('Bite force'!$A:$A,SEARCH(" ",'Bite force'!$A:$A&amp;" ")-1))=
TRIM(LEFT(A287,SEARCH(" ",A287&amp;" ")-1))
)),
1
)
)</f>
        <v>1.0429911737241087</v>
      </c>
    </row>
    <row r="288" spans="1:3" x14ac:dyDescent="0.25">
      <c r="A288" s="2" t="str">
        <f>'[1]Base stats'!$B288</f>
        <v>Canis lacerator</v>
      </c>
      <c r="B288" s="23">
        <f>_xlfn.XLOOKUP(A288,'[1]Base stats'!$B:$B,'[1]Base stats'!$O:$O)</f>
        <v>1</v>
      </c>
      <c r="C288" s="20" cm="1">
        <f t="array" ref="C288">IF(
SUMPRODUCT(--(
TRIM(LEFT('Bite force'!$A:$A,SEARCH("§",SUBSTITUTE('Bite force'!$A:$A," ","§",2)&amp;"§")-1))=
TRIM(LEFT(A288,SEARCH("§",SUBSTITUTE(A288," ","§",2)&amp;"§")-1))
))&gt;0,
IF(
COUNT(_xlfn._xlws.FILTER('Bite force'!$I:$I,
TRIM(LEFT('Bite force'!$A:$A,SEARCH("§",SUBSTITUTE('Bite force'!$A:$A," ","§",2)&amp;"§")-1))=
TRIM(LEFT(A288,SEARCH("§",SUBSTITUTE(A288," ","§",2)&amp;"§")-1))
))=0,
1,
IF(
B288=2,
AVERAGE(_xlfn._xlws.FILTER('Bite force'!$I:$I,
TRIM(LEFT('Bite force'!$A:$A,SEARCH("§",SUBSTITUTE('Bite force'!$A:$A," ","§",2)&amp;"§")-1))=
TRIM(LEFT(A288,SEARCH("§",SUBSTITUTE(A288," ","§",2)&amp;"§")-1))
)),
MAX(_xlfn._xlws.FILTER('Bite force'!$I:$I,
TRIM(LEFT('Bite force'!$A:$A,SEARCH("§",SUBSTITUTE('Bite force'!$A:$A," ","§",2)&amp;"§")-1))=
TRIM(LEFT(A288,SEARCH("§",SUBSTITUTE(A288," ","§",2)&amp;"§")-1))
))
)
),
IFERROR(
AVERAGE(_xlfn._xlws.FILTER('Bite force'!$I:$I,
TRIM(LEFT('Bite force'!$A:$A,SEARCH(" ",'Bite force'!$A:$A&amp;" ")-1))=
TRIM(LEFT(A288,SEARCH(" ",A288&amp;" ")-1))
)),
1
)
)</f>
        <v>1.0429911737241087</v>
      </c>
    </row>
    <row r="289" spans="1:3" x14ac:dyDescent="0.25">
      <c r="A289" s="2" t="str">
        <f>'[1]Base stats'!$B289</f>
        <v>Vulpes animalis</v>
      </c>
      <c r="B289" s="23">
        <f>_xlfn.XLOOKUP(A289,'[1]Base stats'!$B:$B,'[1]Base stats'!$O:$O)</f>
        <v>1</v>
      </c>
      <c r="C289" s="20" cm="1">
        <f t="array" ref="C289">IF(
SUMPRODUCT(--(
TRIM(LEFT('Bite force'!$A:$A,SEARCH("§",SUBSTITUTE('Bite force'!$A:$A," ","§",2)&amp;"§")-1))=
TRIM(LEFT(A289,SEARCH("§",SUBSTITUTE(A289," ","§",2)&amp;"§")-1))
))&gt;0,
IF(
COUNT(_xlfn._xlws.FILTER('Bite force'!$I:$I,
TRIM(LEFT('Bite force'!$A:$A,SEARCH("§",SUBSTITUTE('Bite force'!$A:$A," ","§",2)&amp;"§")-1))=
TRIM(LEFT(A289,SEARCH("§",SUBSTITUTE(A289," ","§",2)&amp;"§")-1))
))=0,
1,
IF(
B289=2,
AVERAGE(_xlfn._xlws.FILTER('Bite force'!$I:$I,
TRIM(LEFT('Bite force'!$A:$A,SEARCH("§",SUBSTITUTE('Bite force'!$A:$A," ","§",2)&amp;"§")-1))=
TRIM(LEFT(A289,SEARCH("§",SUBSTITUTE(A289," ","§",2)&amp;"§")-1))
)),
MAX(_xlfn._xlws.FILTER('Bite force'!$I:$I,
TRIM(LEFT('Bite force'!$A:$A,SEARCH("§",SUBSTITUTE('Bite force'!$A:$A," ","§",2)&amp;"§")-1))=
TRIM(LEFT(A289,SEARCH("§",SUBSTITUTE(A289," ","§",2)&amp;"§")-1))
))
)
),
IFERROR(
AVERAGE(_xlfn._xlws.FILTER('Bite force'!$I:$I,
TRIM(LEFT('Bite force'!$A:$A,SEARCH(" ",'Bite force'!$A:$A&amp;" ")-1))=
TRIM(LEFT(A289,SEARCH(" ",A289&amp;" ")-1))
)),
1
)
)</f>
        <v>0.81774327753986287</v>
      </c>
    </row>
    <row r="290" spans="1:3" x14ac:dyDescent="0.25">
      <c r="A290" s="2" t="str">
        <f>'[1]Base stats'!$B290</f>
        <v>Bombos vivificalis</v>
      </c>
      <c r="B290" s="23">
        <f>_xlfn.XLOOKUP(A290,'[1]Base stats'!$B:$B,'[1]Base stats'!$O:$O)</f>
        <v>1</v>
      </c>
      <c r="C290" s="20" cm="1">
        <f t="array" ref="C290">IF(
SUMPRODUCT(--(
TRIM(LEFT('Bite force'!$A:$A,SEARCH("§",SUBSTITUTE('Bite force'!$A:$A," ","§",2)&amp;"§")-1))=
TRIM(LEFT(A290,SEARCH("§",SUBSTITUTE(A290," ","§",2)&amp;"§")-1))
))&gt;0,
IF(
COUNT(_xlfn._xlws.FILTER('Bite force'!$I:$I,
TRIM(LEFT('Bite force'!$A:$A,SEARCH("§",SUBSTITUTE('Bite force'!$A:$A," ","§",2)&amp;"§")-1))=
TRIM(LEFT(A290,SEARCH("§",SUBSTITUTE(A290," ","§",2)&amp;"§")-1))
))=0,
1,
IF(
B290=2,
AVERAGE(_xlfn._xlws.FILTER('Bite force'!$I:$I,
TRIM(LEFT('Bite force'!$A:$A,SEARCH("§",SUBSTITUTE('Bite force'!$A:$A," ","§",2)&amp;"§")-1))=
TRIM(LEFT(A290,SEARCH("§",SUBSTITUTE(A290," ","§",2)&amp;"§")-1))
)),
MAX(_xlfn._xlws.FILTER('Bite force'!$I:$I,
TRIM(LEFT('Bite force'!$A:$A,SEARCH("§",SUBSTITUTE('Bite force'!$A:$A," ","§",2)&amp;"§")-1))=
TRIM(LEFT(A290,SEARCH("§",SUBSTITUTE(A290," ","§",2)&amp;"§")-1))
))
)
),
IFERROR(
AVERAGE(_xlfn._xlws.FILTER('Bite force'!$I:$I,
TRIM(LEFT('Bite force'!$A:$A,SEARCH(" ",'Bite force'!$A:$A&amp;" ")-1))=
TRIM(LEFT(A290,SEARCH(" ",A290&amp;" ")-1))
)),
1
)
)</f>
        <v>1</v>
      </c>
    </row>
    <row r="291" spans="1:3" x14ac:dyDescent="0.25">
      <c r="A291" s="2" t="str">
        <f>'[1]Base stats'!$B291</f>
        <v>Bos radiatus</v>
      </c>
      <c r="B291" s="23">
        <f>_xlfn.XLOOKUP(A291,'[1]Base stats'!$B:$B,'[1]Base stats'!$O:$O)</f>
        <v>1</v>
      </c>
      <c r="C291" s="20" cm="1">
        <f t="array" ref="C291">IF(
SUMPRODUCT(--(
TRIM(LEFT('Bite force'!$A:$A,SEARCH("§",SUBSTITUTE('Bite force'!$A:$A," ","§",2)&amp;"§")-1))=
TRIM(LEFT(A291,SEARCH("§",SUBSTITUTE(A291," ","§",2)&amp;"§")-1))
))&gt;0,
IF(
COUNT(_xlfn._xlws.FILTER('Bite force'!$I:$I,
TRIM(LEFT('Bite force'!$A:$A,SEARCH("§",SUBSTITUTE('Bite force'!$A:$A," ","§",2)&amp;"§")-1))=
TRIM(LEFT(A291,SEARCH("§",SUBSTITUTE(A291," ","§",2)&amp;"§")-1))
))=0,
1,
IF(
B291=2,
AVERAGE(_xlfn._xlws.FILTER('Bite force'!$I:$I,
TRIM(LEFT('Bite force'!$A:$A,SEARCH("§",SUBSTITUTE('Bite force'!$A:$A," ","§",2)&amp;"§")-1))=
TRIM(LEFT(A291,SEARCH("§",SUBSTITUTE(A291," ","§",2)&amp;"§")-1))
)),
MAX(_xlfn._xlws.FILTER('Bite force'!$I:$I,
TRIM(LEFT('Bite force'!$A:$A,SEARCH("§",SUBSTITUTE('Bite force'!$A:$A," ","§",2)&amp;"§")-1))=
TRIM(LEFT(A291,SEARCH("§",SUBSTITUTE(A291," ","§",2)&amp;"§")-1))
))
)
),
IFERROR(
AVERAGE(_xlfn._xlws.FILTER('Bite force'!$I:$I,
TRIM(LEFT('Bite force'!$A:$A,SEARCH(" ",'Bite force'!$A:$A&amp;" ")-1))=
TRIM(LEFT(A291,SEARCH(" ",A291&amp;" ")-1))
)),
1
)
)</f>
        <v>1</v>
      </c>
    </row>
    <row r="292" spans="1:3" x14ac:dyDescent="0.25">
      <c r="A292" s="2" t="str">
        <f>'[1]Base stats'!$B292</f>
        <v>Bos chamaeleon</v>
      </c>
      <c r="B292" s="23">
        <f>_xlfn.XLOOKUP(A292,'[1]Base stats'!$B:$B,'[1]Base stats'!$O:$O)</f>
        <v>1</v>
      </c>
      <c r="C292" s="20" cm="1">
        <f t="array" ref="C292">IF(
SUMPRODUCT(--(
TRIM(LEFT('Bite force'!$A:$A,SEARCH("§",SUBSTITUTE('Bite force'!$A:$A," ","§",2)&amp;"§")-1))=
TRIM(LEFT(A292,SEARCH("§",SUBSTITUTE(A292," ","§",2)&amp;"§")-1))
))&gt;0,
IF(
COUNT(_xlfn._xlws.FILTER('Bite force'!$I:$I,
TRIM(LEFT('Bite force'!$A:$A,SEARCH("§",SUBSTITUTE('Bite force'!$A:$A," ","§",2)&amp;"§")-1))=
TRIM(LEFT(A292,SEARCH("§",SUBSTITUTE(A292," ","§",2)&amp;"§")-1))
))=0,
1,
IF(
B292=2,
AVERAGE(_xlfn._xlws.FILTER('Bite force'!$I:$I,
TRIM(LEFT('Bite force'!$A:$A,SEARCH("§",SUBSTITUTE('Bite force'!$A:$A," ","§",2)&amp;"§")-1))=
TRIM(LEFT(A292,SEARCH("§",SUBSTITUTE(A292," ","§",2)&amp;"§")-1))
)),
MAX(_xlfn._xlws.FILTER('Bite force'!$I:$I,
TRIM(LEFT('Bite force'!$A:$A,SEARCH("§",SUBSTITUTE('Bite force'!$A:$A," ","§",2)&amp;"§")-1))=
TRIM(LEFT(A292,SEARCH("§",SUBSTITUTE(A292," ","§",2)&amp;"§")-1))
))
)
),
IFERROR(
AVERAGE(_xlfn._xlws.FILTER('Bite force'!$I:$I,
TRIM(LEFT('Bite force'!$A:$A,SEARCH(" ",'Bite force'!$A:$A&amp;" ")-1))=
TRIM(LEFT(A292,SEARCH(" ",A292&amp;" ")-1))
)),
1
)
)</f>
        <v>1</v>
      </c>
    </row>
    <row r="293" spans="1:3" x14ac:dyDescent="0.25">
      <c r="A293" s="2" t="str">
        <f>'[1]Base stats'!$B293</f>
        <v>Capra electronica</v>
      </c>
      <c r="B293" s="23">
        <f>_xlfn.XLOOKUP(A293,'[1]Base stats'!$B:$B,'[1]Base stats'!$O:$O)</f>
        <v>2</v>
      </c>
      <c r="C293" s="20" cm="1">
        <f t="array" ref="C293">IF(
SUMPRODUCT(--(
TRIM(LEFT('Bite force'!$A:$A,SEARCH("§",SUBSTITUTE('Bite force'!$A:$A," ","§",2)&amp;"§")-1))=
TRIM(LEFT(A293,SEARCH("§",SUBSTITUTE(A293," ","§",2)&amp;"§")-1))
))&gt;0,
IF(
COUNT(_xlfn._xlws.FILTER('Bite force'!$I:$I,
TRIM(LEFT('Bite force'!$A:$A,SEARCH("§",SUBSTITUTE('Bite force'!$A:$A," ","§",2)&amp;"§")-1))=
TRIM(LEFT(A293,SEARCH("§",SUBSTITUTE(A293," ","§",2)&amp;"§")-1))
))=0,
1,
IF(
B293=2,
AVERAGE(_xlfn._xlws.FILTER('Bite force'!$I:$I,
TRIM(LEFT('Bite force'!$A:$A,SEARCH("§",SUBSTITUTE('Bite force'!$A:$A," ","§",2)&amp;"§")-1))=
TRIM(LEFT(A293,SEARCH("§",SUBSTITUTE(A293," ","§",2)&amp;"§")-1))
)),
MAX(_xlfn._xlws.FILTER('Bite force'!$I:$I,
TRIM(LEFT('Bite force'!$A:$A,SEARCH("§",SUBSTITUTE('Bite force'!$A:$A," ","§",2)&amp;"§")-1))=
TRIM(LEFT(A293,SEARCH("§",SUBSTITUTE(A293," ","§",2)&amp;"§")-1))
))
)
),
IFERROR(
AVERAGE(_xlfn._xlws.FILTER('Bite force'!$I:$I,
TRIM(LEFT('Bite force'!$A:$A,SEARCH(" ",'Bite force'!$A:$A&amp;" ")-1))=
TRIM(LEFT(A293,SEARCH(" ",A293&amp;" ")-1))
)),
1
)
)</f>
        <v>1</v>
      </c>
    </row>
    <row r="294" spans="1:3" x14ac:dyDescent="0.25">
      <c r="A294" s="2" t="str">
        <f>'[1]Base stats'!$B294</f>
        <v>Caprabos aculeus</v>
      </c>
      <c r="B294" s="23">
        <f>_xlfn.XLOOKUP(A294,'[1]Base stats'!$B:$B,'[1]Base stats'!$O:$O)</f>
        <v>2</v>
      </c>
      <c r="C294" s="20" cm="1">
        <f t="array" ref="C294">IF(
SUMPRODUCT(--(
TRIM(LEFT('Bite force'!$A:$A,SEARCH("§",SUBSTITUTE('Bite force'!$A:$A," ","§",2)&amp;"§")-1))=
TRIM(LEFT(A294,SEARCH("§",SUBSTITUTE(A294," ","§",2)&amp;"§")-1))
))&gt;0,
IF(
COUNT(_xlfn._xlws.FILTER('Bite force'!$I:$I,
TRIM(LEFT('Bite force'!$A:$A,SEARCH("§",SUBSTITUTE('Bite force'!$A:$A," ","§",2)&amp;"§")-1))=
TRIM(LEFT(A294,SEARCH("§",SUBSTITUTE(A294," ","§",2)&amp;"§")-1))
))=0,
1,
IF(
B294=2,
AVERAGE(_xlfn._xlws.FILTER('Bite force'!$I:$I,
TRIM(LEFT('Bite force'!$A:$A,SEARCH("§",SUBSTITUTE('Bite force'!$A:$A," ","§",2)&amp;"§")-1))=
TRIM(LEFT(A294,SEARCH("§",SUBSTITUTE(A294," ","§",2)&amp;"§")-1))
)),
MAX(_xlfn._xlws.FILTER('Bite force'!$I:$I,
TRIM(LEFT('Bite force'!$A:$A,SEARCH("§",SUBSTITUTE('Bite force'!$A:$A," ","§",2)&amp;"§")-1))=
TRIM(LEFT(A294,SEARCH("§",SUBSTITUTE(A294," ","§",2)&amp;"§")-1))
))
)
),
IFERROR(
AVERAGE(_xlfn._xlws.FILTER('Bite force'!$I:$I,
TRIM(LEFT('Bite force'!$A:$A,SEARCH(" ",'Bite force'!$A:$A&amp;" ")-1))=
TRIM(LEFT(A294,SEARCH(" ",A294&amp;" ")-1))
)),
1
)
)</f>
        <v>1</v>
      </c>
    </row>
    <row r="295" spans="1:3" x14ac:dyDescent="0.25">
      <c r="A295" s="2" t="str">
        <f>'[1]Base stats'!$B295</f>
        <v>Ovis malignus</v>
      </c>
      <c r="B295" s="23">
        <f>_xlfn.XLOOKUP(A295,'[1]Base stats'!$B:$B,'[1]Base stats'!$O:$O)</f>
        <v>2</v>
      </c>
      <c r="C295" s="20" cm="1">
        <f t="array" ref="C295">IF(
SUMPRODUCT(--(
TRIM(LEFT('Bite force'!$A:$A,SEARCH("§",SUBSTITUTE('Bite force'!$A:$A," ","§",2)&amp;"§")-1))=
TRIM(LEFT(A295,SEARCH("§",SUBSTITUTE(A295," ","§",2)&amp;"§")-1))
))&gt;0,
IF(
COUNT(_xlfn._xlws.FILTER('Bite force'!$I:$I,
TRIM(LEFT('Bite force'!$A:$A,SEARCH("§",SUBSTITUTE('Bite force'!$A:$A," ","§",2)&amp;"§")-1))=
TRIM(LEFT(A295,SEARCH("§",SUBSTITUTE(A295," ","§",2)&amp;"§")-1))
))=0,
1,
IF(
B295=2,
AVERAGE(_xlfn._xlws.FILTER('Bite force'!$I:$I,
TRIM(LEFT('Bite force'!$A:$A,SEARCH("§",SUBSTITUTE('Bite force'!$A:$A," ","§",2)&amp;"§")-1))=
TRIM(LEFT(A295,SEARCH("§",SUBSTITUTE(A295," ","§",2)&amp;"§")-1))
)),
MAX(_xlfn._xlws.FILTER('Bite force'!$I:$I,
TRIM(LEFT('Bite force'!$A:$A,SEARCH("§",SUBSTITUTE('Bite force'!$A:$A," ","§",2)&amp;"§")-1))=
TRIM(LEFT(A295,SEARCH("§",SUBSTITUTE(A295," ","§",2)&amp;"§")-1))
))
)
),
IFERROR(
AVERAGE(_xlfn._xlws.FILTER('Bite force'!$I:$I,
TRIM(LEFT('Bite force'!$A:$A,SEARCH(" ",'Bite force'!$A:$A&amp;" ")-1))=
TRIM(LEFT(A295,SEARCH(" ",A295&amp;" ")-1))
)),
1
)
)</f>
        <v>1</v>
      </c>
    </row>
    <row r="296" spans="1:3" x14ac:dyDescent="0.25">
      <c r="A296" s="2" t="str">
        <f>'[1]Base stats'!$B296</f>
        <v>Ovis griseus</v>
      </c>
      <c r="B296" s="23">
        <f>_xlfn.XLOOKUP(A296,'[1]Base stats'!$B:$B,'[1]Base stats'!$O:$O)</f>
        <v>1</v>
      </c>
      <c r="C296" s="20" cm="1">
        <f t="array" ref="C296">IF(
SUMPRODUCT(--(
TRIM(LEFT('Bite force'!$A:$A,SEARCH("§",SUBSTITUTE('Bite force'!$A:$A," ","§",2)&amp;"§")-1))=
TRIM(LEFT(A296,SEARCH("§",SUBSTITUTE(A296," ","§",2)&amp;"§")-1))
))&gt;0,
IF(
COUNT(_xlfn._xlws.FILTER('Bite force'!$I:$I,
TRIM(LEFT('Bite force'!$A:$A,SEARCH("§",SUBSTITUTE('Bite force'!$A:$A," ","§",2)&amp;"§")-1))=
TRIM(LEFT(A296,SEARCH("§",SUBSTITUTE(A296," ","§",2)&amp;"§")-1))
))=0,
1,
IF(
B296=2,
AVERAGE(_xlfn._xlws.FILTER('Bite force'!$I:$I,
TRIM(LEFT('Bite force'!$A:$A,SEARCH("§",SUBSTITUTE('Bite force'!$A:$A," ","§",2)&amp;"§")-1))=
TRIM(LEFT(A296,SEARCH("§",SUBSTITUTE(A296," ","§",2)&amp;"§")-1))
)),
MAX(_xlfn._xlws.FILTER('Bite force'!$I:$I,
TRIM(LEFT('Bite force'!$A:$A,SEARCH("§",SUBSTITUTE('Bite force'!$A:$A," ","§",2)&amp;"§")-1))=
TRIM(LEFT(A296,SEARCH("§",SUBSTITUTE(A296," ","§",2)&amp;"§")-1))
))
)
),
IFERROR(
AVERAGE(_xlfn._xlws.FILTER('Bite force'!$I:$I,
TRIM(LEFT('Bite force'!$A:$A,SEARCH(" ",'Bite force'!$A:$A&amp;" ")-1))=
TRIM(LEFT(A296,SEARCH(" ",A296&amp;" ")-1))
)),
1
)
)</f>
        <v>1</v>
      </c>
    </row>
    <row r="297" spans="1:3" x14ac:dyDescent="0.25">
      <c r="A297" s="2" t="str">
        <f>'[1]Base stats'!$B297</f>
        <v>Antilope giganteus</v>
      </c>
      <c r="B297" s="23">
        <f>_xlfn.XLOOKUP(A297,'[1]Base stats'!$B:$B,'[1]Base stats'!$O:$O)</f>
        <v>1</v>
      </c>
      <c r="C297" s="20" cm="1">
        <f t="array" ref="C297">IF(
SUMPRODUCT(--(
TRIM(LEFT('Bite force'!$A:$A,SEARCH("§",SUBSTITUTE('Bite force'!$A:$A," ","§",2)&amp;"§")-1))=
TRIM(LEFT(A297,SEARCH("§",SUBSTITUTE(A297," ","§",2)&amp;"§")-1))
))&gt;0,
IF(
COUNT(_xlfn._xlws.FILTER('Bite force'!$I:$I,
TRIM(LEFT('Bite force'!$A:$A,SEARCH("§",SUBSTITUTE('Bite force'!$A:$A," ","§",2)&amp;"§")-1))=
TRIM(LEFT(A297,SEARCH("§",SUBSTITUTE(A297," ","§",2)&amp;"§")-1))
))=0,
1,
IF(
B297=2,
AVERAGE(_xlfn._xlws.FILTER('Bite force'!$I:$I,
TRIM(LEFT('Bite force'!$A:$A,SEARCH("§",SUBSTITUTE('Bite force'!$A:$A," ","§",2)&amp;"§")-1))=
TRIM(LEFT(A297,SEARCH("§",SUBSTITUTE(A297," ","§",2)&amp;"§")-1))
)),
MAX(_xlfn._xlws.FILTER('Bite force'!$I:$I,
TRIM(LEFT('Bite force'!$A:$A,SEARCH("§",SUBSTITUTE('Bite force'!$A:$A," ","§",2)&amp;"§")-1))=
TRIM(LEFT(A297,SEARCH("§",SUBSTITUTE(A297," ","§",2)&amp;"§")-1))
))
)
),
IFERROR(
AVERAGE(_xlfn._xlws.FILTER('Bite force'!$I:$I,
TRIM(LEFT('Bite force'!$A:$A,SEARCH(" ",'Bite force'!$A:$A&amp;" ")-1))=
TRIM(LEFT(A297,SEARCH(" ",A297&amp;" ")-1))
)),
1
)
)</f>
        <v>1</v>
      </c>
    </row>
    <row r="298" spans="1:3" x14ac:dyDescent="0.25">
      <c r="A298" s="2" t="str">
        <f>'[1]Base stats'!$B298</f>
        <v>Mus fissilis</v>
      </c>
      <c r="B298" s="23">
        <f>_xlfn.XLOOKUP(A298,'[1]Base stats'!$B:$B,'[1]Base stats'!$O:$O)</f>
        <v>0</v>
      </c>
      <c r="C298" s="20" cm="1">
        <f t="array" ref="C298">IF(
SUMPRODUCT(--(
TRIM(LEFT('Bite force'!$A:$A,SEARCH("§",SUBSTITUTE('Bite force'!$A:$A," ","§",2)&amp;"§")-1))=
TRIM(LEFT(A298,SEARCH("§",SUBSTITUTE(A298," ","§",2)&amp;"§")-1))
))&gt;0,
IF(
COUNT(_xlfn._xlws.FILTER('Bite force'!$I:$I,
TRIM(LEFT('Bite force'!$A:$A,SEARCH("§",SUBSTITUTE('Bite force'!$A:$A," ","§",2)&amp;"§")-1))=
TRIM(LEFT(A298,SEARCH("§",SUBSTITUTE(A298," ","§",2)&amp;"§")-1))
))=0,
1,
IF(
B298=2,
AVERAGE(_xlfn._xlws.FILTER('Bite force'!$I:$I,
TRIM(LEFT('Bite force'!$A:$A,SEARCH("§",SUBSTITUTE('Bite force'!$A:$A," ","§",2)&amp;"§")-1))=
TRIM(LEFT(A298,SEARCH("§",SUBSTITUTE(A298," ","§",2)&amp;"§")-1))
)),
MAX(_xlfn._xlws.FILTER('Bite force'!$I:$I,
TRIM(LEFT('Bite force'!$A:$A,SEARCH("§",SUBSTITUTE('Bite force'!$A:$A," ","§",2)&amp;"§")-1))=
TRIM(LEFT(A298,SEARCH("§",SUBSTITUTE(A298," ","§",2)&amp;"§")-1))
))
)
),
IFERROR(
AVERAGE(_xlfn._xlws.FILTER('Bite force'!$I:$I,
TRIM(LEFT('Bite force'!$A:$A,SEARCH(" ",'Bite force'!$A:$A&amp;" ")-1))=
TRIM(LEFT(A298,SEARCH(" ",A298&amp;" ")-1))
)),
1
)
)</f>
        <v>1</v>
      </c>
    </row>
    <row r="299" spans="1:3" x14ac:dyDescent="0.25">
      <c r="A299" s="2" t="str">
        <f>'[1]Base stats'!$B299</f>
        <v>Mus fissilis (second form)</v>
      </c>
      <c r="B299" s="23">
        <f>_xlfn.XLOOKUP(A299,'[1]Base stats'!$B:$B,'[1]Base stats'!$O:$O)</f>
        <v>0</v>
      </c>
      <c r="C299" s="20" cm="1">
        <f t="array" ref="C299">IF(
SUMPRODUCT(--(
TRIM(LEFT('Bite force'!$A:$A,SEARCH("§",SUBSTITUTE('Bite force'!$A:$A," ","§",2)&amp;"§")-1))=
TRIM(LEFT(A299,SEARCH("§",SUBSTITUTE(A299," ","§",2)&amp;"§")-1))
))&gt;0,
IF(
COUNT(_xlfn._xlws.FILTER('Bite force'!$I:$I,
TRIM(LEFT('Bite force'!$A:$A,SEARCH("§",SUBSTITUTE('Bite force'!$A:$A," ","§",2)&amp;"§")-1))=
TRIM(LEFT(A299,SEARCH("§",SUBSTITUTE(A299," ","§",2)&amp;"§")-1))
))=0,
1,
IF(
B299=2,
AVERAGE(_xlfn._xlws.FILTER('Bite force'!$I:$I,
TRIM(LEFT('Bite force'!$A:$A,SEARCH("§",SUBSTITUTE('Bite force'!$A:$A," ","§",2)&amp;"§")-1))=
TRIM(LEFT(A299,SEARCH("§",SUBSTITUTE(A299," ","§",2)&amp;"§")-1))
)),
MAX(_xlfn._xlws.FILTER('Bite force'!$I:$I,
TRIM(LEFT('Bite force'!$A:$A,SEARCH("§",SUBSTITUTE('Bite force'!$A:$A," ","§",2)&amp;"§")-1))=
TRIM(LEFT(A299,SEARCH("§",SUBSTITUTE(A299," ","§",2)&amp;"§")-1))
))
)
),
IFERROR(
AVERAGE(_xlfn._xlws.FILTER('Bite force'!$I:$I,
TRIM(LEFT('Bite force'!$A:$A,SEARCH(" ",'Bite force'!$A:$A&amp;" ")-1))=
TRIM(LEFT(A299,SEARCH(" ",A299&amp;" ")-1))
)),
1
)
)</f>
        <v>1</v>
      </c>
    </row>
    <row r="300" spans="1:3" x14ac:dyDescent="0.25">
      <c r="A300" s="2" t="str">
        <f>'[1]Base stats'!$B300</f>
        <v>Mus fissilis (third form)</v>
      </c>
      <c r="B300" s="23">
        <f>_xlfn.XLOOKUP(A300,'[1]Base stats'!$B:$B,'[1]Base stats'!$O:$O)</f>
        <v>0</v>
      </c>
      <c r="C300" s="20" cm="1">
        <f t="array" ref="C300">IF(
SUMPRODUCT(--(
TRIM(LEFT('Bite force'!$A:$A,SEARCH("§",SUBSTITUTE('Bite force'!$A:$A," ","§",2)&amp;"§")-1))=
TRIM(LEFT(A300,SEARCH("§",SUBSTITUTE(A300," ","§",2)&amp;"§")-1))
))&gt;0,
IF(
COUNT(_xlfn._xlws.FILTER('Bite force'!$I:$I,
TRIM(LEFT('Bite force'!$A:$A,SEARCH("§",SUBSTITUTE('Bite force'!$A:$A," ","§",2)&amp;"§")-1))=
TRIM(LEFT(A300,SEARCH("§",SUBSTITUTE(A300," ","§",2)&amp;"§")-1))
))=0,
1,
IF(
B300=2,
AVERAGE(_xlfn._xlws.FILTER('Bite force'!$I:$I,
TRIM(LEFT('Bite force'!$A:$A,SEARCH("§",SUBSTITUTE('Bite force'!$A:$A," ","§",2)&amp;"§")-1))=
TRIM(LEFT(A300,SEARCH("§",SUBSTITUTE(A300," ","§",2)&amp;"§")-1))
)),
MAX(_xlfn._xlws.FILTER('Bite force'!$I:$I,
TRIM(LEFT('Bite force'!$A:$A,SEARCH("§",SUBSTITUTE('Bite force'!$A:$A," ","§",2)&amp;"§")-1))=
TRIM(LEFT(A300,SEARCH("§",SUBSTITUTE(A300," ","§",2)&amp;"§")-1))
))
)
),
IFERROR(
AVERAGE(_xlfn._xlws.FILTER('Bite force'!$I:$I,
TRIM(LEFT('Bite force'!$A:$A,SEARCH(" ",'Bite force'!$A:$A&amp;" ")-1))=
TRIM(LEFT(A300,SEARCH(" ",A300&amp;" ")-1))
)),
1
)
)</f>
        <v>1</v>
      </c>
    </row>
    <row r="301" spans="1:3" x14ac:dyDescent="0.25">
      <c r="A301" s="2" t="str">
        <f>'[1]Base stats'!$B301</f>
        <v>Canis terrestris</v>
      </c>
      <c r="B301" s="23">
        <f>_xlfn.XLOOKUP(A301,'[1]Base stats'!$B:$B,'[1]Base stats'!$O:$O)</f>
        <v>1</v>
      </c>
      <c r="C301" s="20" cm="1">
        <f t="array" ref="C301">IF(
SUMPRODUCT(--(
TRIM(LEFT('Bite force'!$A:$A,SEARCH("§",SUBSTITUTE('Bite force'!$A:$A," ","§",2)&amp;"§")-1))=
TRIM(LEFT(A301,SEARCH("§",SUBSTITUTE(A301," ","§",2)&amp;"§")-1))
))&gt;0,
IF(
COUNT(_xlfn._xlws.FILTER('Bite force'!$I:$I,
TRIM(LEFT('Bite force'!$A:$A,SEARCH("§",SUBSTITUTE('Bite force'!$A:$A," ","§",2)&amp;"§")-1))=
TRIM(LEFT(A301,SEARCH("§",SUBSTITUTE(A301," ","§",2)&amp;"§")-1))
))=0,
1,
IF(
B301=2,
AVERAGE(_xlfn._xlws.FILTER('Bite force'!$I:$I,
TRIM(LEFT('Bite force'!$A:$A,SEARCH("§",SUBSTITUTE('Bite force'!$A:$A," ","§",2)&amp;"§")-1))=
TRIM(LEFT(A301,SEARCH("§",SUBSTITUTE(A301," ","§",2)&amp;"§")-1))
)),
MAX(_xlfn._xlws.FILTER('Bite force'!$I:$I,
TRIM(LEFT('Bite force'!$A:$A,SEARCH("§",SUBSTITUTE('Bite force'!$A:$A," ","§",2)&amp;"§")-1))=
TRIM(LEFT(A301,SEARCH("§",SUBSTITUTE(A301," ","§",2)&amp;"§")-1))
))
)
),
IFERROR(
AVERAGE(_xlfn._xlws.FILTER('Bite force'!$I:$I,
TRIM(LEFT('Bite force'!$A:$A,SEARCH(" ",'Bite force'!$A:$A&amp;" ")-1))=
TRIM(LEFT(A301,SEARCH(" ",A301&amp;" ")-1))
)),
1
)
)</f>
        <v>1.0429911737241087</v>
      </c>
    </row>
    <row r="302" spans="1:3" x14ac:dyDescent="0.25">
      <c r="A302" s="2" t="str">
        <f>'[1]Base stats'!$B302</f>
        <v>Draco putrefactus</v>
      </c>
      <c r="B302" s="23">
        <f>_xlfn.XLOOKUP(A302,'[1]Base stats'!$B:$B,'[1]Base stats'!$O:$O)</f>
        <v>0</v>
      </c>
      <c r="C302" s="20" cm="1">
        <f t="array" ref="C302">IF(
SUMPRODUCT(--(
TRIM(LEFT('Bite force'!$A:$A,SEARCH("§",SUBSTITUTE('Bite force'!$A:$A," ","§",2)&amp;"§")-1))=
TRIM(LEFT(A302,SEARCH("§",SUBSTITUTE(A302," ","§",2)&amp;"§")-1))
))&gt;0,
IF(
COUNT(_xlfn._xlws.FILTER('Bite force'!$I:$I,
TRIM(LEFT('Bite force'!$A:$A,SEARCH("§",SUBSTITUTE('Bite force'!$A:$A," ","§",2)&amp;"§")-1))=
TRIM(LEFT(A302,SEARCH("§",SUBSTITUTE(A302," ","§",2)&amp;"§")-1))
))=0,
1,
IF(
B302=2,
AVERAGE(_xlfn._xlws.FILTER('Bite force'!$I:$I,
TRIM(LEFT('Bite force'!$A:$A,SEARCH("§",SUBSTITUTE('Bite force'!$A:$A," ","§",2)&amp;"§")-1))=
TRIM(LEFT(A302,SEARCH("§",SUBSTITUTE(A302," ","§",2)&amp;"§")-1))
)),
MAX(_xlfn._xlws.FILTER('Bite force'!$I:$I,
TRIM(LEFT('Bite force'!$A:$A,SEARCH("§",SUBSTITUTE('Bite force'!$A:$A," ","§",2)&amp;"§")-1))=
TRIM(LEFT(A302,SEARCH("§",SUBSTITUTE(A302," ","§",2)&amp;"§")-1))
))
)
),
IFERROR(
AVERAGE(_xlfn._xlws.FILTER('Bite force'!$I:$I,
TRIM(LEFT('Bite force'!$A:$A,SEARCH(" ",'Bite force'!$A:$A&amp;" ")-1))=
TRIM(LEFT(A302,SEARCH(" ",A302&amp;" ")-1))
)),
1
)
)</f>
        <v>1</v>
      </c>
    </row>
    <row r="303" spans="1:3" x14ac:dyDescent="0.25">
      <c r="A303" s="2" t="str">
        <f>'[1]Base stats'!$B303</f>
        <v>Carcharofelis arenae</v>
      </c>
      <c r="B303" s="23">
        <f>_xlfn.XLOOKUP(A303,'[1]Base stats'!$B:$B,'[1]Base stats'!$O:$O)</f>
        <v>0</v>
      </c>
      <c r="C303" s="20" cm="1">
        <f t="array" ref="C303">IF(
SUMPRODUCT(--(
TRIM(LEFT('Bite force'!$A:$A,SEARCH("§",SUBSTITUTE('Bite force'!$A:$A," ","§",2)&amp;"§")-1))=
TRIM(LEFT(A303,SEARCH("§",SUBSTITUTE(A303," ","§",2)&amp;"§")-1))
))&gt;0,
IF(
COUNT(_xlfn._xlws.FILTER('Bite force'!$I:$I,
TRIM(LEFT('Bite force'!$A:$A,SEARCH("§",SUBSTITUTE('Bite force'!$A:$A," ","§",2)&amp;"§")-1))=
TRIM(LEFT(A303,SEARCH("§",SUBSTITUTE(A303," ","§",2)&amp;"§")-1))
))=0,
1,
IF(
B303=2,
AVERAGE(_xlfn._xlws.FILTER('Bite force'!$I:$I,
TRIM(LEFT('Bite force'!$A:$A,SEARCH("§",SUBSTITUTE('Bite force'!$A:$A," ","§",2)&amp;"§")-1))=
TRIM(LEFT(A303,SEARCH("§",SUBSTITUTE(A303," ","§",2)&amp;"§")-1))
)),
MAX(_xlfn._xlws.FILTER('Bite force'!$I:$I,
TRIM(LEFT('Bite force'!$A:$A,SEARCH("§",SUBSTITUTE('Bite force'!$A:$A," ","§",2)&amp;"§")-1))=
TRIM(LEFT(A303,SEARCH("§",SUBSTITUTE(A303," ","§",2)&amp;"§")-1))
))
)
),
IFERROR(
AVERAGE(_xlfn._xlws.FILTER('Bite force'!$I:$I,
TRIM(LEFT('Bite force'!$A:$A,SEARCH(" ",'Bite force'!$A:$A&amp;" ")-1))=
TRIM(LEFT(A303,SEARCH(" ",A303&amp;" ")-1))
)),
1
)
)</f>
        <v>1</v>
      </c>
    </row>
    <row r="304" spans="1:3" x14ac:dyDescent="0.25">
      <c r="A304" s="2" t="str">
        <f>'[1]Base stats'!$B304</f>
        <v>Salvator electronis</v>
      </c>
      <c r="B304" s="23">
        <f>_xlfn.XLOOKUP(A304,'[1]Base stats'!$B:$B,'[1]Base stats'!$O:$O)</f>
        <v>0</v>
      </c>
      <c r="C304" s="20" cm="1">
        <f t="array" ref="C304">IF(
SUMPRODUCT(--(
TRIM(LEFT('Bite force'!$A:$A,SEARCH("§",SUBSTITUTE('Bite force'!$A:$A," ","§",2)&amp;"§")-1))=
TRIM(LEFT(A304,SEARCH("§",SUBSTITUTE(A304," ","§",2)&amp;"§")-1))
))&gt;0,
IF(
COUNT(_xlfn._xlws.FILTER('Bite force'!$I:$I,
TRIM(LEFT('Bite force'!$A:$A,SEARCH("§",SUBSTITUTE('Bite force'!$A:$A," ","§",2)&amp;"§")-1))=
TRIM(LEFT(A304,SEARCH("§",SUBSTITUTE(A304," ","§",2)&amp;"§")-1))
))=0,
1,
IF(
B304=2,
AVERAGE(_xlfn._xlws.FILTER('Bite force'!$I:$I,
TRIM(LEFT('Bite force'!$A:$A,SEARCH("§",SUBSTITUTE('Bite force'!$A:$A," ","§",2)&amp;"§")-1))=
TRIM(LEFT(A304,SEARCH("§",SUBSTITUTE(A304," ","§",2)&amp;"§")-1))
)),
MAX(_xlfn._xlws.FILTER('Bite force'!$I:$I,
TRIM(LEFT('Bite force'!$A:$A,SEARCH("§",SUBSTITUTE('Bite force'!$A:$A," ","§",2)&amp;"§")-1))=
TRIM(LEFT(A304,SEARCH("§",SUBSTITUTE(A304," ","§",2)&amp;"§")-1))
))
)
),
IFERROR(
AVERAGE(_xlfn._xlws.FILTER('Bite force'!$I:$I,
TRIM(LEFT('Bite force'!$A:$A,SEARCH(" ",'Bite force'!$A:$A&amp;" ")-1))=
TRIM(LEFT(A304,SEARCH(" ",A304&amp;" ")-1))
)),
1
)
)</f>
        <v>1</v>
      </c>
    </row>
    <row r="305" spans="1:3" x14ac:dyDescent="0.25">
      <c r="A305" s="2" t="str">
        <f>'[1]Base stats'!$B305</f>
        <v>Anolis audiens</v>
      </c>
      <c r="B305" s="23">
        <f>_xlfn.XLOOKUP(A305,'[1]Base stats'!$B:$B,'[1]Base stats'!$O:$O)</f>
        <v>0</v>
      </c>
      <c r="C305" s="20" cm="1">
        <f t="array" ref="C305">IF(
SUMPRODUCT(--(
TRIM(LEFT('Bite force'!$A:$A,SEARCH("§",SUBSTITUTE('Bite force'!$A:$A," ","§",2)&amp;"§")-1))=
TRIM(LEFT(A305,SEARCH("§",SUBSTITUTE(A305," ","§",2)&amp;"§")-1))
))&gt;0,
IF(
COUNT(_xlfn._xlws.FILTER('Bite force'!$I:$I,
TRIM(LEFT('Bite force'!$A:$A,SEARCH("§",SUBSTITUTE('Bite force'!$A:$A," ","§",2)&amp;"§")-1))=
TRIM(LEFT(A305,SEARCH("§",SUBSTITUTE(A305," ","§",2)&amp;"§")-1))
))=0,
1,
IF(
B305=2,
AVERAGE(_xlfn._xlws.FILTER('Bite force'!$I:$I,
TRIM(LEFT('Bite force'!$A:$A,SEARCH("§",SUBSTITUTE('Bite force'!$A:$A," ","§",2)&amp;"§")-1))=
TRIM(LEFT(A305,SEARCH("§",SUBSTITUTE(A305," ","§",2)&amp;"§")-1))
)),
MAX(_xlfn._xlws.FILTER('Bite force'!$I:$I,
TRIM(LEFT('Bite force'!$A:$A,SEARCH("§",SUBSTITUTE('Bite force'!$A:$A," ","§",2)&amp;"§")-1))=
TRIM(LEFT(A305,SEARCH("§",SUBSTITUTE(A305," ","§",2)&amp;"§")-1))
))
)
),
IFERROR(
AVERAGE(_xlfn._xlws.FILTER('Bite force'!$I:$I,
TRIM(LEFT('Bite force'!$A:$A,SEARCH(" ",'Bite force'!$A:$A&amp;" ")-1))=
TRIM(LEFT(A305,SEARCH(" ",A305&amp;" ")-1))
)),
1
)
)</f>
        <v>1.7200053335432037</v>
      </c>
    </row>
    <row r="306" spans="1:3" x14ac:dyDescent="0.25">
      <c r="A306" s="2" t="str">
        <f>'[1]Base stats'!$B306</f>
        <v>Varanus squamosus</v>
      </c>
      <c r="B306" s="23">
        <f>_xlfn.XLOOKUP(A306,'[1]Base stats'!$B:$B,'[1]Base stats'!$O:$O)</f>
        <v>0</v>
      </c>
      <c r="C306" s="20" cm="1">
        <f t="array" ref="C306">IF(
SUMPRODUCT(--(
TRIM(LEFT('Bite force'!$A:$A,SEARCH("§",SUBSTITUTE('Bite force'!$A:$A," ","§",2)&amp;"§")-1))=
TRIM(LEFT(A306,SEARCH("§",SUBSTITUTE(A306," ","§",2)&amp;"§")-1))
))&gt;0,
IF(
COUNT(_xlfn._xlws.FILTER('Bite force'!$I:$I,
TRIM(LEFT('Bite force'!$A:$A,SEARCH("§",SUBSTITUTE('Bite force'!$A:$A," ","§",2)&amp;"§")-1))=
TRIM(LEFT(A306,SEARCH("§",SUBSTITUTE(A306," ","§",2)&amp;"§")-1))
))=0,
1,
IF(
B306=2,
AVERAGE(_xlfn._xlws.FILTER('Bite force'!$I:$I,
TRIM(LEFT('Bite force'!$A:$A,SEARCH("§",SUBSTITUTE('Bite force'!$A:$A," ","§",2)&amp;"§")-1))=
TRIM(LEFT(A306,SEARCH("§",SUBSTITUTE(A306," ","§",2)&amp;"§")-1))
)),
MAX(_xlfn._xlws.FILTER('Bite force'!$I:$I,
TRIM(LEFT('Bite force'!$A:$A,SEARCH("§",SUBSTITUTE('Bite force'!$A:$A," ","§",2)&amp;"§")-1))=
TRIM(LEFT(A306,SEARCH("§",SUBSTITUTE(A306," ","§",2)&amp;"§")-1))
))
)
),
IFERROR(
AVERAGE(_xlfn._xlws.FILTER('Bite force'!$I:$I,
TRIM(LEFT('Bite force'!$A:$A,SEARCH(" ",'Bite force'!$A:$A&amp;" ")-1))=
TRIM(LEFT(A306,SEARCH(" ",A306&amp;" ")-1))
)),
1
)
)</f>
        <v>0.21856036162674039</v>
      </c>
    </row>
    <row r="307" spans="1:3" x14ac:dyDescent="0.25">
      <c r="A307" s="2" t="str">
        <f>'[1]Base stats'!$B307</f>
        <v>Gnathus ferox</v>
      </c>
      <c r="B307" s="23">
        <f>_xlfn.XLOOKUP(A307,'[1]Base stats'!$B:$B,'[1]Base stats'!$O:$O)</f>
        <v>0</v>
      </c>
      <c r="C307" s="20" cm="1">
        <f t="array" ref="C307">IF(
SUMPRODUCT(--(
TRIM(LEFT('Bite force'!$A:$A,SEARCH("§",SUBSTITUTE('Bite force'!$A:$A," ","§",2)&amp;"§")-1))=
TRIM(LEFT(A307,SEARCH("§",SUBSTITUTE(A307," ","§",2)&amp;"§")-1))
))&gt;0,
IF(
COUNT(_xlfn._xlws.FILTER('Bite force'!$I:$I,
TRIM(LEFT('Bite force'!$A:$A,SEARCH("§",SUBSTITUTE('Bite force'!$A:$A," ","§",2)&amp;"§")-1))=
TRIM(LEFT(A307,SEARCH("§",SUBSTITUTE(A307," ","§",2)&amp;"§")-1))
))=0,
1,
IF(
B307=2,
AVERAGE(_xlfn._xlws.FILTER('Bite force'!$I:$I,
TRIM(LEFT('Bite force'!$A:$A,SEARCH("§",SUBSTITUTE('Bite force'!$A:$A," ","§",2)&amp;"§")-1))=
TRIM(LEFT(A307,SEARCH("§",SUBSTITUTE(A307," ","§",2)&amp;"§")-1))
)),
MAX(_xlfn._xlws.FILTER('Bite force'!$I:$I,
TRIM(LEFT('Bite force'!$A:$A,SEARCH("§",SUBSTITUTE('Bite force'!$A:$A," ","§",2)&amp;"§")-1))=
TRIM(LEFT(A307,SEARCH("§",SUBSTITUTE(A307," ","§",2)&amp;"§")-1))
))
)
),
IFERROR(
AVERAGE(_xlfn._xlws.FILTER('Bite force'!$I:$I,
TRIM(LEFT('Bite force'!$A:$A,SEARCH(" ",'Bite force'!$A:$A&amp;" ")-1))=
TRIM(LEFT(A307,SEARCH(" ",A307&amp;" ")-1))
)),
1
)
)</f>
        <v>1</v>
      </c>
    </row>
    <row r="308" spans="1:3" x14ac:dyDescent="0.25">
      <c r="A308" s="2" t="str">
        <f>'[1]Base stats'!$B308</f>
        <v>Behemoth giganteus</v>
      </c>
      <c r="B308" s="23">
        <f>_xlfn.XLOOKUP(A308,'[1]Base stats'!$B:$B,'[1]Base stats'!$O:$O)</f>
        <v>0</v>
      </c>
      <c r="C308" s="20" cm="1">
        <f t="array" ref="C308">IF(
SUMPRODUCT(--(
TRIM(LEFT('Bite force'!$A:$A,SEARCH("§",SUBSTITUTE('Bite force'!$A:$A," ","§",2)&amp;"§")-1))=
TRIM(LEFT(A308,SEARCH("§",SUBSTITUTE(A308," ","§",2)&amp;"§")-1))
))&gt;0,
IF(
COUNT(_xlfn._xlws.FILTER('Bite force'!$I:$I,
TRIM(LEFT('Bite force'!$A:$A,SEARCH("§",SUBSTITUTE('Bite force'!$A:$A," ","§",2)&amp;"§")-1))=
TRIM(LEFT(A308,SEARCH("§",SUBSTITUTE(A308," ","§",2)&amp;"§")-1))
))=0,
1,
IF(
B308=2,
AVERAGE(_xlfn._xlws.FILTER('Bite force'!$I:$I,
TRIM(LEFT('Bite force'!$A:$A,SEARCH("§",SUBSTITUTE('Bite force'!$A:$A," ","§",2)&amp;"§")-1))=
TRIM(LEFT(A308,SEARCH("§",SUBSTITUTE(A308," ","§",2)&amp;"§")-1))
)),
MAX(_xlfn._xlws.FILTER('Bite force'!$I:$I,
TRIM(LEFT('Bite force'!$A:$A,SEARCH("§",SUBSTITUTE('Bite force'!$A:$A," ","§",2)&amp;"§")-1))=
TRIM(LEFT(A308,SEARCH("§",SUBSTITUTE(A308," ","§",2)&amp;"§")-1))
))
)
),
IFERROR(
AVERAGE(_xlfn._xlws.FILTER('Bite force'!$I:$I,
TRIM(LEFT('Bite force'!$A:$A,SEARCH(" ",'Bite force'!$A:$A&amp;" ")-1))=
TRIM(LEFT(A308,SEARCH(" ",A308&amp;" ")-1))
)),
1
)
)</f>
        <v>1</v>
      </c>
    </row>
    <row r="309" spans="1:3" x14ac:dyDescent="0.25">
      <c r="A309" s="2" t="str">
        <f>'[1]Base stats'!$B309</f>
        <v>Colossus herbosus</v>
      </c>
      <c r="B309" s="23">
        <f>_xlfn.XLOOKUP(A309,'[1]Base stats'!$B:$B,'[1]Base stats'!$O:$O)</f>
        <v>0</v>
      </c>
      <c r="C309" s="20" cm="1">
        <f t="array" ref="C309">IF(
SUMPRODUCT(--(
TRIM(LEFT('Bite force'!$A:$A,SEARCH("§",SUBSTITUTE('Bite force'!$A:$A," ","§",2)&amp;"§")-1))=
TRIM(LEFT(A309,SEARCH("§",SUBSTITUTE(A309," ","§",2)&amp;"§")-1))
))&gt;0,
IF(
COUNT(_xlfn._xlws.FILTER('Bite force'!$I:$I,
TRIM(LEFT('Bite force'!$A:$A,SEARCH("§",SUBSTITUTE('Bite force'!$A:$A," ","§",2)&amp;"§")-1))=
TRIM(LEFT(A309,SEARCH("§",SUBSTITUTE(A309," ","§",2)&amp;"§")-1))
))=0,
1,
IF(
B309=2,
AVERAGE(_xlfn._xlws.FILTER('Bite force'!$I:$I,
TRIM(LEFT('Bite force'!$A:$A,SEARCH("§",SUBSTITUTE('Bite force'!$A:$A," ","§",2)&amp;"§")-1))=
TRIM(LEFT(A309,SEARCH("§",SUBSTITUTE(A309," ","§",2)&amp;"§")-1))
)),
MAX(_xlfn._xlws.FILTER('Bite force'!$I:$I,
TRIM(LEFT('Bite force'!$A:$A,SEARCH("§",SUBSTITUTE('Bite force'!$A:$A," ","§",2)&amp;"§")-1))=
TRIM(LEFT(A309,SEARCH("§",SUBSTITUTE(A309," ","§",2)&amp;"§")-1))
))
)
),
IFERROR(
AVERAGE(_xlfn._xlws.FILTER('Bite force'!$I:$I,
TRIM(LEFT('Bite force'!$A:$A,SEARCH(" ",'Bite force'!$A:$A&amp;" ")-1))=
TRIM(LEFT(A309,SEARCH(" ",A309&amp;" ")-1))
)),
1
)
)</f>
        <v>1</v>
      </c>
    </row>
    <row r="310" spans="1:3" x14ac:dyDescent="0.25">
      <c r="A310" s="2" t="str">
        <f>'[1]Base stats'!$B310</f>
        <v>Colossus mycoides</v>
      </c>
      <c r="B310" s="23">
        <f>_xlfn.XLOOKUP(A310,'[1]Base stats'!$B:$B,'[1]Base stats'!$O:$O)</f>
        <v>0</v>
      </c>
      <c r="C310" s="20" cm="1">
        <f t="array" ref="C310">IF(
SUMPRODUCT(--(
TRIM(LEFT('Bite force'!$A:$A,SEARCH("§",SUBSTITUTE('Bite force'!$A:$A," ","§",2)&amp;"§")-1))=
TRIM(LEFT(A310,SEARCH("§",SUBSTITUTE(A310," ","§",2)&amp;"§")-1))
))&gt;0,
IF(
COUNT(_xlfn._xlws.FILTER('Bite force'!$I:$I,
TRIM(LEFT('Bite force'!$A:$A,SEARCH("§",SUBSTITUTE('Bite force'!$A:$A," ","§",2)&amp;"§")-1))=
TRIM(LEFT(A310,SEARCH("§",SUBSTITUTE(A310," ","§",2)&amp;"§")-1))
))=0,
1,
IF(
B310=2,
AVERAGE(_xlfn._xlws.FILTER('Bite force'!$I:$I,
TRIM(LEFT('Bite force'!$A:$A,SEARCH("§",SUBSTITUTE('Bite force'!$A:$A," ","§",2)&amp;"§")-1))=
TRIM(LEFT(A310,SEARCH("§",SUBSTITUTE(A310," ","§",2)&amp;"§")-1))
)),
MAX(_xlfn._xlws.FILTER('Bite force'!$I:$I,
TRIM(LEFT('Bite force'!$A:$A,SEARCH("§",SUBSTITUTE('Bite force'!$A:$A," ","§",2)&amp;"§")-1))=
TRIM(LEFT(A310,SEARCH("§",SUBSTITUTE(A310," ","§",2)&amp;"§")-1))
))
)
),
IFERROR(
AVERAGE(_xlfn._xlws.FILTER('Bite force'!$I:$I,
TRIM(LEFT('Bite force'!$A:$A,SEARCH(" ",'Bite force'!$A:$A&amp;" ")-1))=
TRIM(LEFT(A310,SEARCH(" ",A310&amp;" ")-1))
)),
1
)
)</f>
        <v>1</v>
      </c>
    </row>
    <row r="311" spans="1:3" x14ac:dyDescent="0.25">
      <c r="A311" s="2" t="str">
        <f>'[1]Base stats'!$B311</f>
        <v>Colossus animae</v>
      </c>
      <c r="B311" s="23">
        <f>_xlfn.XLOOKUP(A311,'[1]Base stats'!$B:$B,'[1]Base stats'!$O:$O)</f>
        <v>0</v>
      </c>
      <c r="C311" s="20" cm="1">
        <f t="array" ref="C311">IF(
SUMPRODUCT(--(
TRIM(LEFT('Bite force'!$A:$A,SEARCH("§",SUBSTITUTE('Bite force'!$A:$A," ","§",2)&amp;"§")-1))=
TRIM(LEFT(A311,SEARCH("§",SUBSTITUTE(A311," ","§",2)&amp;"§")-1))
))&gt;0,
IF(
COUNT(_xlfn._xlws.FILTER('Bite force'!$I:$I,
TRIM(LEFT('Bite force'!$A:$A,SEARCH("§",SUBSTITUTE('Bite force'!$A:$A," ","§",2)&amp;"§")-1))=
TRIM(LEFT(A311,SEARCH("§",SUBSTITUTE(A311," ","§",2)&amp;"§")-1))
))=0,
1,
IF(
B311=2,
AVERAGE(_xlfn._xlws.FILTER('Bite force'!$I:$I,
TRIM(LEFT('Bite force'!$A:$A,SEARCH("§",SUBSTITUTE('Bite force'!$A:$A," ","§",2)&amp;"§")-1))=
TRIM(LEFT(A311,SEARCH("§",SUBSTITUTE(A311," ","§",2)&amp;"§")-1))
)),
MAX(_xlfn._xlws.FILTER('Bite force'!$I:$I,
TRIM(LEFT('Bite force'!$A:$A,SEARCH("§",SUBSTITUTE('Bite force'!$A:$A," ","§",2)&amp;"§")-1))=
TRIM(LEFT(A311,SEARCH("§",SUBSTITUTE(A311," ","§",2)&amp;"§")-1))
))
)
),
IFERROR(
AVERAGE(_xlfn._xlws.FILTER('Bite force'!$I:$I,
TRIM(LEFT('Bite force'!$A:$A,SEARCH(" ",'Bite force'!$A:$A&amp;" ")-1))=
TRIM(LEFT(A311,SEARCH(" ",A311&amp;" ")-1))
)),
1
)
)</f>
        <v>1</v>
      </c>
    </row>
    <row r="312" spans="1:3" x14ac:dyDescent="0.25">
      <c r="A312" s="2" t="str">
        <f>'[1]Base stats'!$B312</f>
        <v>Murka sapiens</v>
      </c>
      <c r="B312" s="23">
        <f>_xlfn.XLOOKUP(A312,'[1]Base stats'!$B:$B,'[1]Base stats'!$O:$O)</f>
        <v>0</v>
      </c>
      <c r="C312" s="20" cm="1">
        <f t="array" ref="C312">IF(
SUMPRODUCT(--(
TRIM(LEFT('Bite force'!$A:$A,SEARCH("§",SUBSTITUTE('Bite force'!$A:$A," ","§",2)&amp;"§")-1))=
TRIM(LEFT(A312,SEARCH("§",SUBSTITUTE(A312," ","§",2)&amp;"§")-1))
))&gt;0,
IF(
COUNT(_xlfn._xlws.FILTER('Bite force'!$I:$I,
TRIM(LEFT('Bite force'!$A:$A,SEARCH("§",SUBSTITUTE('Bite force'!$A:$A," ","§",2)&amp;"§")-1))=
TRIM(LEFT(A312,SEARCH("§",SUBSTITUTE(A312," ","§",2)&amp;"§")-1))
))=0,
1,
IF(
B312=2,
AVERAGE(_xlfn._xlws.FILTER('Bite force'!$I:$I,
TRIM(LEFT('Bite force'!$A:$A,SEARCH("§",SUBSTITUTE('Bite force'!$A:$A," ","§",2)&amp;"§")-1))=
TRIM(LEFT(A312,SEARCH("§",SUBSTITUTE(A312," ","§",2)&amp;"§")-1))
)),
MAX(_xlfn._xlws.FILTER('Bite force'!$I:$I,
TRIM(LEFT('Bite force'!$A:$A,SEARCH("§",SUBSTITUTE('Bite force'!$A:$A," ","§",2)&amp;"§")-1))=
TRIM(LEFT(A312,SEARCH("§",SUBSTITUTE(A312," ","§",2)&amp;"§")-1))
))
)
),
IFERROR(
AVERAGE(_xlfn._xlws.FILTER('Bite force'!$I:$I,
TRIM(LEFT('Bite force'!$A:$A,SEARCH(" ",'Bite force'!$A:$A&amp;" ")-1))=
TRIM(LEFT(A312,SEARCH(" ",A312&amp;" ")-1))
)),
1
)
)</f>
        <v>1</v>
      </c>
    </row>
    <row r="313" spans="1:3" x14ac:dyDescent="0.25">
      <c r="A313" s="2" t="str">
        <f>'[1]Base stats'!$B313</f>
        <v>Vandalis tenebrosus</v>
      </c>
      <c r="B313" s="23">
        <f>_xlfn.XLOOKUP(A313,'[1]Base stats'!$B:$B,'[1]Base stats'!$O:$O)</f>
        <v>0</v>
      </c>
      <c r="C313" s="20" cm="1">
        <f t="array" ref="C313">IF(
SUMPRODUCT(--(
TRIM(LEFT('Bite force'!$A:$A,SEARCH("§",SUBSTITUTE('Bite force'!$A:$A," ","§",2)&amp;"§")-1))=
TRIM(LEFT(A313,SEARCH("§",SUBSTITUTE(A313," ","§",2)&amp;"§")-1))
))&gt;0,
IF(
COUNT(_xlfn._xlws.FILTER('Bite force'!$I:$I,
TRIM(LEFT('Bite force'!$A:$A,SEARCH("§",SUBSTITUTE('Bite force'!$A:$A," ","§",2)&amp;"§")-1))=
TRIM(LEFT(A313,SEARCH("§",SUBSTITUTE(A313," ","§",2)&amp;"§")-1))
))=0,
1,
IF(
B313=2,
AVERAGE(_xlfn._xlws.FILTER('Bite force'!$I:$I,
TRIM(LEFT('Bite force'!$A:$A,SEARCH("§",SUBSTITUTE('Bite force'!$A:$A," ","§",2)&amp;"§")-1))=
TRIM(LEFT(A313,SEARCH("§",SUBSTITUTE(A313," ","§",2)&amp;"§")-1))
)),
MAX(_xlfn._xlws.FILTER('Bite force'!$I:$I,
TRIM(LEFT('Bite force'!$A:$A,SEARCH("§",SUBSTITUTE('Bite force'!$A:$A," ","§",2)&amp;"§")-1))=
TRIM(LEFT(A313,SEARCH("§",SUBSTITUTE(A313," ","§",2)&amp;"§")-1))
))
)
),
IFERROR(
AVERAGE(_xlfn._xlws.FILTER('Bite force'!$I:$I,
TRIM(LEFT('Bite force'!$A:$A,SEARCH(" ",'Bite force'!$A:$A&amp;" ")-1))=
TRIM(LEFT(A313,SEARCH(" ",A313&amp;" ")-1))
)),
1
)
)</f>
        <v>1</v>
      </c>
    </row>
    <row r="314" spans="1:3" x14ac:dyDescent="0.25">
      <c r="A314" s="2" t="str">
        <f>'[1]Base stats'!$B314</f>
        <v>Crepiscuequs nocturnalis</v>
      </c>
      <c r="B314" s="23">
        <f>_xlfn.XLOOKUP(A314,'[1]Base stats'!$B:$B,'[1]Base stats'!$O:$O)</f>
        <v>0</v>
      </c>
      <c r="C314" s="20" cm="1">
        <f t="array" ref="C314">IF(
SUMPRODUCT(--(
TRIM(LEFT('Bite force'!$A:$A,SEARCH("§",SUBSTITUTE('Bite force'!$A:$A," ","§",2)&amp;"§")-1))=
TRIM(LEFT(A314,SEARCH("§",SUBSTITUTE(A314," ","§",2)&amp;"§")-1))
))&gt;0,
IF(
COUNT(_xlfn._xlws.FILTER('Bite force'!$I:$I,
TRIM(LEFT('Bite force'!$A:$A,SEARCH("§",SUBSTITUTE('Bite force'!$A:$A," ","§",2)&amp;"§")-1))=
TRIM(LEFT(A314,SEARCH("§",SUBSTITUTE(A314," ","§",2)&amp;"§")-1))
))=0,
1,
IF(
B314=2,
AVERAGE(_xlfn._xlws.FILTER('Bite force'!$I:$I,
TRIM(LEFT('Bite force'!$A:$A,SEARCH("§",SUBSTITUTE('Bite force'!$A:$A," ","§",2)&amp;"§")-1))=
TRIM(LEFT(A314,SEARCH("§",SUBSTITUTE(A314," ","§",2)&amp;"§")-1))
)),
MAX(_xlfn._xlws.FILTER('Bite force'!$I:$I,
TRIM(LEFT('Bite force'!$A:$A,SEARCH("§",SUBSTITUTE('Bite force'!$A:$A," ","§",2)&amp;"§")-1))=
TRIM(LEFT(A314,SEARCH("§",SUBSTITUTE(A314," ","§",2)&amp;"§")-1))
))
)
),
IFERROR(
AVERAGE(_xlfn._xlws.FILTER('Bite force'!$I:$I,
TRIM(LEFT('Bite force'!$A:$A,SEARCH(" ",'Bite force'!$A:$A&amp;" ")-1))=
TRIM(LEFT(A314,SEARCH(" ",A314&amp;" ")-1))
)),
1
)
)</f>
        <v>1</v>
      </c>
    </row>
    <row r="315" spans="1:3" x14ac:dyDescent="0.25">
      <c r="A315" s="2" t="str">
        <f>'[1]Base stats'!$B315</f>
        <v>Crepiscuovis nocturnus</v>
      </c>
      <c r="B315" s="23">
        <f>_xlfn.XLOOKUP(A315,'[1]Base stats'!$B:$B,'[1]Base stats'!$O:$O)</f>
        <v>0</v>
      </c>
      <c r="C315" s="20" cm="1">
        <f t="array" ref="C315">IF(
SUMPRODUCT(--(
TRIM(LEFT('Bite force'!$A:$A,SEARCH("§",SUBSTITUTE('Bite force'!$A:$A," ","§",2)&amp;"§")-1))=
TRIM(LEFT(A315,SEARCH("§",SUBSTITUTE(A315," ","§",2)&amp;"§")-1))
))&gt;0,
IF(
COUNT(_xlfn._xlws.FILTER('Bite force'!$I:$I,
TRIM(LEFT('Bite force'!$A:$A,SEARCH("§",SUBSTITUTE('Bite force'!$A:$A," ","§",2)&amp;"§")-1))=
TRIM(LEFT(A315,SEARCH("§",SUBSTITUTE(A315," ","§",2)&amp;"§")-1))
))=0,
1,
IF(
B315=2,
AVERAGE(_xlfn._xlws.FILTER('Bite force'!$I:$I,
TRIM(LEFT('Bite force'!$A:$A,SEARCH("§",SUBSTITUTE('Bite force'!$A:$A," ","§",2)&amp;"§")-1))=
TRIM(LEFT(A315,SEARCH("§",SUBSTITUTE(A315," ","§",2)&amp;"§")-1))
)),
MAX(_xlfn._xlws.FILTER('Bite force'!$I:$I,
TRIM(LEFT('Bite force'!$A:$A,SEARCH("§",SUBSTITUTE('Bite force'!$A:$A," ","§",2)&amp;"§")-1))=
TRIM(LEFT(A315,SEARCH("§",SUBSTITUTE(A315," ","§",2)&amp;"§")-1))
))
)
),
IFERROR(
AVERAGE(_xlfn._xlws.FILTER('Bite force'!$I:$I,
TRIM(LEFT('Bite force'!$A:$A,SEARCH(" ",'Bite force'!$A:$A&amp;" ")-1))=
TRIM(LEFT(A315,SEARCH(" ",A315&amp;" ")-1))
)),
1
)
)</f>
        <v>1</v>
      </c>
    </row>
    <row r="316" spans="1:3" x14ac:dyDescent="0.25">
      <c r="A316" s="2" t="str">
        <f>'[1]Base stats'!$B316</f>
        <v>Rattus nocturnus</v>
      </c>
      <c r="B316" s="23">
        <f>_xlfn.XLOOKUP(A316,'[1]Base stats'!$B:$B,'[1]Base stats'!$O:$O)</f>
        <v>0</v>
      </c>
      <c r="C316" s="20" cm="1">
        <f t="array" ref="C316">IF(
SUMPRODUCT(--(
TRIM(LEFT('Bite force'!$A:$A,SEARCH("§",SUBSTITUTE('Bite force'!$A:$A," ","§",2)&amp;"§")-1))=
TRIM(LEFT(A316,SEARCH("§",SUBSTITUTE(A316," ","§",2)&amp;"§")-1))
))&gt;0,
IF(
COUNT(_xlfn._xlws.FILTER('Bite force'!$I:$I,
TRIM(LEFT('Bite force'!$A:$A,SEARCH("§",SUBSTITUTE('Bite force'!$A:$A," ","§",2)&amp;"§")-1))=
TRIM(LEFT(A316,SEARCH("§",SUBSTITUTE(A316," ","§",2)&amp;"§")-1))
))=0,
1,
IF(
B316=2,
AVERAGE(_xlfn._xlws.FILTER('Bite force'!$I:$I,
TRIM(LEFT('Bite force'!$A:$A,SEARCH("§",SUBSTITUTE('Bite force'!$A:$A," ","§",2)&amp;"§")-1))=
TRIM(LEFT(A316,SEARCH("§",SUBSTITUTE(A316," ","§",2)&amp;"§")-1))
)),
MAX(_xlfn._xlws.FILTER('Bite force'!$I:$I,
TRIM(LEFT('Bite force'!$A:$A,SEARCH("§",SUBSTITUTE('Bite force'!$A:$A," ","§",2)&amp;"§")-1))=
TRIM(LEFT(A316,SEARCH("§",SUBSTITUTE(A316," ","§",2)&amp;"§")-1))
))
)
),
IFERROR(
AVERAGE(_xlfn._xlws.FILTER('Bite force'!$I:$I,
TRIM(LEFT('Bite force'!$A:$A,SEARCH(" ",'Bite force'!$A:$A&amp;" ")-1))=
TRIM(LEFT(A316,SEARCH(" ",A316&amp;" ")-1))
)),
1
)
)</f>
        <v>0.89112849882177569</v>
      </c>
    </row>
    <row r="317" spans="1:3" x14ac:dyDescent="0.25">
      <c r="A317" s="2" t="str">
        <f>'[1]Base stats'!$B317</f>
        <v>Crepiscuovis umbrosus</v>
      </c>
      <c r="B317" s="23">
        <f>_xlfn.XLOOKUP(A317,'[1]Base stats'!$B:$B,'[1]Base stats'!$O:$O)</f>
        <v>0</v>
      </c>
      <c r="C317" s="20" cm="1">
        <f t="array" ref="C317">IF(
SUMPRODUCT(--(
TRIM(LEFT('Bite force'!$A:$A,SEARCH("§",SUBSTITUTE('Bite force'!$A:$A," ","§",2)&amp;"§")-1))=
TRIM(LEFT(A317,SEARCH("§",SUBSTITUTE(A317," ","§",2)&amp;"§")-1))
))&gt;0,
IF(
COUNT(_xlfn._xlws.FILTER('Bite force'!$I:$I,
TRIM(LEFT('Bite force'!$A:$A,SEARCH("§",SUBSTITUTE('Bite force'!$A:$A," ","§",2)&amp;"§")-1))=
TRIM(LEFT(A317,SEARCH("§",SUBSTITUTE(A317," ","§",2)&amp;"§")-1))
))=0,
1,
IF(
B317=2,
AVERAGE(_xlfn._xlws.FILTER('Bite force'!$I:$I,
TRIM(LEFT('Bite force'!$A:$A,SEARCH("§",SUBSTITUTE('Bite force'!$A:$A," ","§",2)&amp;"§")-1))=
TRIM(LEFT(A317,SEARCH("§",SUBSTITUTE(A317," ","§",2)&amp;"§")-1))
)),
MAX(_xlfn._xlws.FILTER('Bite force'!$I:$I,
TRIM(LEFT('Bite force'!$A:$A,SEARCH("§",SUBSTITUTE('Bite force'!$A:$A," ","§",2)&amp;"§")-1))=
TRIM(LEFT(A317,SEARCH("§",SUBSTITUTE(A317," ","§",2)&amp;"§")-1))
))
)
),
IFERROR(
AVERAGE(_xlfn._xlws.FILTER('Bite force'!$I:$I,
TRIM(LEFT('Bite force'!$A:$A,SEARCH(" ",'Bite force'!$A:$A&amp;" ")-1))=
TRIM(LEFT(A317,SEARCH(" ",A317&amp;" ")-1))
)),
1
)
)</f>
        <v>1</v>
      </c>
    </row>
    <row r="318" spans="1:3" x14ac:dyDescent="0.25">
      <c r="A318" s="2" t="str">
        <f>'[1]Base stats'!$B318</f>
        <v>Crepiscubos tonitrus</v>
      </c>
      <c r="B318" s="23">
        <f>_xlfn.XLOOKUP(A318,'[1]Base stats'!$B:$B,'[1]Base stats'!$O:$O)</f>
        <v>0</v>
      </c>
      <c r="C318" s="20" cm="1">
        <f t="array" ref="C318">IF(
SUMPRODUCT(--(
TRIM(LEFT('Bite force'!$A:$A,SEARCH("§",SUBSTITUTE('Bite force'!$A:$A," ","§",2)&amp;"§")-1))=
TRIM(LEFT(A318,SEARCH("§",SUBSTITUTE(A318," ","§",2)&amp;"§")-1))
))&gt;0,
IF(
COUNT(_xlfn._xlws.FILTER('Bite force'!$I:$I,
TRIM(LEFT('Bite force'!$A:$A,SEARCH("§",SUBSTITUTE('Bite force'!$A:$A," ","§",2)&amp;"§")-1))=
TRIM(LEFT(A318,SEARCH("§",SUBSTITUTE(A318," ","§",2)&amp;"§")-1))
))=0,
1,
IF(
B318=2,
AVERAGE(_xlfn._xlws.FILTER('Bite force'!$I:$I,
TRIM(LEFT('Bite force'!$A:$A,SEARCH("§",SUBSTITUTE('Bite force'!$A:$A," ","§",2)&amp;"§")-1))=
TRIM(LEFT(A318,SEARCH("§",SUBSTITUTE(A318," ","§",2)&amp;"§")-1))
)),
MAX(_xlfn._xlws.FILTER('Bite force'!$I:$I,
TRIM(LEFT('Bite force'!$A:$A,SEARCH("§",SUBSTITUTE('Bite force'!$A:$A," ","§",2)&amp;"§")-1))=
TRIM(LEFT(A318,SEARCH("§",SUBSTITUTE(A318," ","§",2)&amp;"§")-1))
))
)
),
IFERROR(
AVERAGE(_xlfn._xlws.FILTER('Bite force'!$I:$I,
TRIM(LEFT('Bite force'!$A:$A,SEARCH(" ",'Bite force'!$A:$A&amp;" ")-1))=
TRIM(LEFT(A318,SEARCH(" ",A318&amp;" ")-1))
)),
1
)
)</f>
        <v>1</v>
      </c>
    </row>
    <row r="319" spans="1:3" x14ac:dyDescent="0.25">
      <c r="A319" s="2" t="str">
        <f>'[1]Base stats'!$B319</f>
        <v>Crepisculanius crepusculum</v>
      </c>
      <c r="B319" s="23">
        <f>_xlfn.XLOOKUP(A319,'[1]Base stats'!$B:$B,'[1]Base stats'!$O:$O)</f>
        <v>0</v>
      </c>
      <c r="C319" s="20" cm="1">
        <f t="array" ref="C319">IF(
SUMPRODUCT(--(
TRIM(LEFT('Bite force'!$A:$A,SEARCH("§",SUBSTITUTE('Bite force'!$A:$A," ","§",2)&amp;"§")-1))=
TRIM(LEFT(A319,SEARCH("§",SUBSTITUTE(A319," ","§",2)&amp;"§")-1))
))&gt;0,
IF(
COUNT(_xlfn._xlws.FILTER('Bite force'!$I:$I,
TRIM(LEFT('Bite force'!$A:$A,SEARCH("§",SUBSTITUTE('Bite force'!$A:$A," ","§",2)&amp;"§")-1))=
TRIM(LEFT(A319,SEARCH("§",SUBSTITUTE(A319," ","§",2)&amp;"§")-1))
))=0,
1,
IF(
B319=2,
AVERAGE(_xlfn._xlws.FILTER('Bite force'!$I:$I,
TRIM(LEFT('Bite force'!$A:$A,SEARCH("§",SUBSTITUTE('Bite force'!$A:$A," ","§",2)&amp;"§")-1))=
TRIM(LEFT(A319,SEARCH("§",SUBSTITUTE(A319," ","§",2)&amp;"§")-1))
)),
MAX(_xlfn._xlws.FILTER('Bite force'!$I:$I,
TRIM(LEFT('Bite force'!$A:$A,SEARCH("§",SUBSTITUTE('Bite force'!$A:$A," ","§",2)&amp;"§")-1))=
TRIM(LEFT(A319,SEARCH("§",SUBSTITUTE(A319," ","§",2)&amp;"§")-1))
))
)
),
IFERROR(
AVERAGE(_xlfn._xlws.FILTER('Bite force'!$I:$I,
TRIM(LEFT('Bite force'!$A:$A,SEARCH(" ",'Bite force'!$A:$A&amp;" ")-1))=
TRIM(LEFT(A319,SEARCH(" ",A319&amp;" ")-1))
)),
1
)
)</f>
        <v>1</v>
      </c>
    </row>
    <row r="320" spans="1:3" x14ac:dyDescent="0.25">
      <c r="A320" s="2" t="str">
        <f>'[1]Base stats'!$B320</f>
        <v>Noctiluca ferox</v>
      </c>
      <c r="B320" s="23">
        <f>_xlfn.XLOOKUP(A320,'[1]Base stats'!$B:$B,'[1]Base stats'!$O:$O)</f>
        <v>0</v>
      </c>
      <c r="C320" s="20" cm="1">
        <f t="array" ref="C320">IF(
SUMPRODUCT(--(
TRIM(LEFT('Bite force'!$A:$A,SEARCH("§",SUBSTITUTE('Bite force'!$A:$A," ","§",2)&amp;"§")-1))=
TRIM(LEFT(A320,SEARCH("§",SUBSTITUTE(A320," ","§",2)&amp;"§")-1))
))&gt;0,
IF(
COUNT(_xlfn._xlws.FILTER('Bite force'!$I:$I,
TRIM(LEFT('Bite force'!$A:$A,SEARCH("§",SUBSTITUTE('Bite force'!$A:$A," ","§",2)&amp;"§")-1))=
TRIM(LEFT(A320,SEARCH("§",SUBSTITUTE(A320," ","§",2)&amp;"§")-1))
))=0,
1,
IF(
B320=2,
AVERAGE(_xlfn._xlws.FILTER('Bite force'!$I:$I,
TRIM(LEFT('Bite force'!$A:$A,SEARCH("§",SUBSTITUTE('Bite force'!$A:$A," ","§",2)&amp;"§")-1))=
TRIM(LEFT(A320,SEARCH("§",SUBSTITUTE(A320," ","§",2)&amp;"§")-1))
)),
MAX(_xlfn._xlws.FILTER('Bite force'!$I:$I,
TRIM(LEFT('Bite force'!$A:$A,SEARCH("§",SUBSTITUTE('Bite force'!$A:$A," ","§",2)&amp;"§")-1))=
TRIM(LEFT(A320,SEARCH("§",SUBSTITUTE(A320," ","§",2)&amp;"§")-1))
))
)
),
IFERROR(
AVERAGE(_xlfn._xlws.FILTER('Bite force'!$I:$I,
TRIM(LEFT('Bite force'!$A:$A,SEARCH(" ",'Bite force'!$A:$A&amp;" ")-1))=
TRIM(LEFT(A320,SEARCH(" ",A320&amp;" ")-1))
)),
1
)
)</f>
        <v>1</v>
      </c>
    </row>
    <row r="321" spans="1:3" x14ac:dyDescent="0.25">
      <c r="A321" s="2" t="str">
        <f>'[1]Base stats'!$B321</f>
        <v>Noctiluca oculatus</v>
      </c>
      <c r="B321" s="23">
        <f>_xlfn.XLOOKUP(A321,'[1]Base stats'!$B:$B,'[1]Base stats'!$O:$O)</f>
        <v>0</v>
      </c>
      <c r="C321" s="20" cm="1">
        <f t="array" ref="C321">IF(
SUMPRODUCT(--(
TRIM(LEFT('Bite force'!$A:$A,SEARCH("§",SUBSTITUTE('Bite force'!$A:$A," ","§",2)&amp;"§")-1))=
TRIM(LEFT(A321,SEARCH("§",SUBSTITUTE(A321," ","§",2)&amp;"§")-1))
))&gt;0,
IF(
COUNT(_xlfn._xlws.FILTER('Bite force'!$I:$I,
TRIM(LEFT('Bite force'!$A:$A,SEARCH("§",SUBSTITUTE('Bite force'!$A:$A," ","§",2)&amp;"§")-1))=
TRIM(LEFT(A321,SEARCH("§",SUBSTITUTE(A321," ","§",2)&amp;"§")-1))
))=0,
1,
IF(
B321=2,
AVERAGE(_xlfn._xlws.FILTER('Bite force'!$I:$I,
TRIM(LEFT('Bite force'!$A:$A,SEARCH("§",SUBSTITUTE('Bite force'!$A:$A," ","§",2)&amp;"§")-1))=
TRIM(LEFT(A321,SEARCH("§",SUBSTITUTE(A321," ","§",2)&amp;"§")-1))
)),
MAX(_xlfn._xlws.FILTER('Bite force'!$I:$I,
TRIM(LEFT('Bite force'!$A:$A,SEARCH("§",SUBSTITUTE('Bite force'!$A:$A," ","§",2)&amp;"§")-1))=
TRIM(LEFT(A321,SEARCH("§",SUBSTITUTE(A321," ","§",2)&amp;"§")-1))
))
)
),
IFERROR(
AVERAGE(_xlfn._xlws.FILTER('Bite force'!$I:$I,
TRIM(LEFT('Bite force'!$A:$A,SEARCH(" ",'Bite force'!$A:$A&amp;" ")-1))=
TRIM(LEFT(A321,SEARCH(" ",A321&amp;" ")-1))
)),
1
)
)</f>
        <v>1</v>
      </c>
    </row>
    <row r="322" spans="1:3" x14ac:dyDescent="0.25">
      <c r="A322" s="2" t="str">
        <f>'[1]Base stats'!$B322</f>
        <v>Avis prata</v>
      </c>
      <c r="B322" s="23">
        <f>_xlfn.XLOOKUP(A322,'[1]Base stats'!$B:$B,'[1]Base stats'!$O:$O)</f>
        <v>0</v>
      </c>
      <c r="C322" s="20" cm="1">
        <f t="array" ref="C322">IF(
SUMPRODUCT(--(
TRIM(LEFT('Bite force'!$A:$A,SEARCH("§",SUBSTITUTE('Bite force'!$A:$A," ","§",2)&amp;"§")-1))=
TRIM(LEFT(A322,SEARCH("§",SUBSTITUTE(A322," ","§",2)&amp;"§")-1))
))&gt;0,
IF(
COUNT(_xlfn._xlws.FILTER('Bite force'!$I:$I,
TRIM(LEFT('Bite force'!$A:$A,SEARCH("§",SUBSTITUTE('Bite force'!$A:$A," ","§",2)&amp;"§")-1))=
TRIM(LEFT(A322,SEARCH("§",SUBSTITUTE(A322," ","§",2)&amp;"§")-1))
))=0,
1,
IF(
B322=2,
AVERAGE(_xlfn._xlws.FILTER('Bite force'!$I:$I,
TRIM(LEFT('Bite force'!$A:$A,SEARCH("§",SUBSTITUTE('Bite force'!$A:$A," ","§",2)&amp;"§")-1))=
TRIM(LEFT(A322,SEARCH("§",SUBSTITUTE(A322," ","§",2)&amp;"§")-1))
)),
MAX(_xlfn._xlws.FILTER('Bite force'!$I:$I,
TRIM(LEFT('Bite force'!$A:$A,SEARCH("§",SUBSTITUTE('Bite force'!$A:$A," ","§",2)&amp;"§")-1))=
TRIM(LEFT(A322,SEARCH("§",SUBSTITUTE(A322," ","§",2)&amp;"§")-1))
))
)
),
IFERROR(
AVERAGE(_xlfn._xlws.FILTER('Bite force'!$I:$I,
TRIM(LEFT('Bite force'!$A:$A,SEARCH(" ",'Bite force'!$A:$A&amp;" ")-1))=
TRIM(LEFT(A322,SEARCH(" ",A322&amp;" ")-1))
)),
1
)
)</f>
        <v>1</v>
      </c>
    </row>
    <row r="323" spans="1:3" x14ac:dyDescent="0.25">
      <c r="A323" s="2" t="str">
        <f>'[1]Base stats'!$B323</f>
        <v>Avis nocturnus</v>
      </c>
      <c r="B323" s="23">
        <f>_xlfn.XLOOKUP(A323,'[1]Base stats'!$B:$B,'[1]Base stats'!$O:$O)</f>
        <v>0</v>
      </c>
      <c r="C323" s="20" cm="1">
        <f t="array" ref="C323">IF(
SUMPRODUCT(--(
TRIM(LEFT('Bite force'!$A:$A,SEARCH("§",SUBSTITUTE('Bite force'!$A:$A," ","§",2)&amp;"§")-1))=
TRIM(LEFT(A323,SEARCH("§",SUBSTITUTE(A323," ","§",2)&amp;"§")-1))
))&gt;0,
IF(
COUNT(_xlfn._xlws.FILTER('Bite force'!$I:$I,
TRIM(LEFT('Bite force'!$A:$A,SEARCH("§",SUBSTITUTE('Bite force'!$A:$A," ","§",2)&amp;"§")-1))=
TRIM(LEFT(A323,SEARCH("§",SUBSTITUTE(A323," ","§",2)&amp;"§")-1))
))=0,
1,
IF(
B323=2,
AVERAGE(_xlfn._xlws.FILTER('Bite force'!$I:$I,
TRIM(LEFT('Bite force'!$A:$A,SEARCH("§",SUBSTITUTE('Bite force'!$A:$A," ","§",2)&amp;"§")-1))=
TRIM(LEFT(A323,SEARCH("§",SUBSTITUTE(A323," ","§",2)&amp;"§")-1))
)),
MAX(_xlfn._xlws.FILTER('Bite force'!$I:$I,
TRIM(LEFT('Bite force'!$A:$A,SEARCH("§",SUBSTITUTE('Bite force'!$A:$A," ","§",2)&amp;"§")-1))=
TRIM(LEFT(A323,SEARCH("§",SUBSTITUTE(A323," ","§",2)&amp;"§")-1))
))
)
),
IFERROR(
AVERAGE(_xlfn._xlws.FILTER('Bite force'!$I:$I,
TRIM(LEFT('Bite force'!$A:$A,SEARCH(" ",'Bite force'!$A:$A&amp;" ")-1))=
TRIM(LEFT(A323,SEARCH(" ",A323&amp;" ")-1))
)),
1
)
)</f>
        <v>1</v>
      </c>
    </row>
    <row r="324" spans="1:3" x14ac:dyDescent="0.25">
      <c r="A324" s="2" t="str">
        <f>'[1]Base stats'!$B324</f>
        <v>Avis regalis</v>
      </c>
      <c r="B324" s="23">
        <f>_xlfn.XLOOKUP(A324,'[1]Base stats'!$B:$B,'[1]Base stats'!$O:$O)</f>
        <v>0</v>
      </c>
      <c r="C324" s="20" cm="1">
        <f t="array" ref="C324">IF(
SUMPRODUCT(--(
TRIM(LEFT('Bite force'!$A:$A,SEARCH("§",SUBSTITUTE('Bite force'!$A:$A," ","§",2)&amp;"§")-1))=
TRIM(LEFT(A324,SEARCH("§",SUBSTITUTE(A324," ","§",2)&amp;"§")-1))
))&gt;0,
IF(
COUNT(_xlfn._xlws.FILTER('Bite force'!$I:$I,
TRIM(LEFT('Bite force'!$A:$A,SEARCH("§",SUBSTITUTE('Bite force'!$A:$A," ","§",2)&amp;"§")-1))=
TRIM(LEFT(A324,SEARCH("§",SUBSTITUTE(A324," ","§",2)&amp;"§")-1))
))=0,
1,
IF(
B324=2,
AVERAGE(_xlfn._xlws.FILTER('Bite force'!$I:$I,
TRIM(LEFT('Bite force'!$A:$A,SEARCH("§",SUBSTITUTE('Bite force'!$A:$A," ","§",2)&amp;"§")-1))=
TRIM(LEFT(A324,SEARCH("§",SUBSTITUTE(A324," ","§",2)&amp;"§")-1))
)),
MAX(_xlfn._xlws.FILTER('Bite force'!$I:$I,
TRIM(LEFT('Bite force'!$A:$A,SEARCH("§",SUBSTITUTE('Bite force'!$A:$A," ","§",2)&amp;"§")-1))=
TRIM(LEFT(A324,SEARCH("§",SUBSTITUTE(A324," ","§",2)&amp;"§")-1))
))
)
),
IFERROR(
AVERAGE(_xlfn._xlws.FILTER('Bite force'!$I:$I,
TRIM(LEFT('Bite force'!$A:$A,SEARCH(" ",'Bite force'!$A:$A&amp;" ")-1))=
TRIM(LEFT(A324,SEARCH(" ",A324&amp;" ")-1))
)),
1
)
)</f>
        <v>1</v>
      </c>
    </row>
    <row r="325" spans="1:3" x14ac:dyDescent="0.25">
      <c r="A325" s="2" t="str">
        <f>'[1]Base stats'!$B325</f>
        <v>Avis glacialis</v>
      </c>
      <c r="B325" s="23">
        <f>_xlfn.XLOOKUP(A325,'[1]Base stats'!$B:$B,'[1]Base stats'!$O:$O)</f>
        <v>0</v>
      </c>
      <c r="C325" s="20" cm="1">
        <f t="array" ref="C325">IF(
SUMPRODUCT(--(
TRIM(LEFT('Bite force'!$A:$A,SEARCH("§",SUBSTITUTE('Bite force'!$A:$A," ","§",2)&amp;"§")-1))=
TRIM(LEFT(A325,SEARCH("§",SUBSTITUTE(A325," ","§",2)&amp;"§")-1))
))&gt;0,
IF(
COUNT(_xlfn._xlws.FILTER('Bite force'!$I:$I,
TRIM(LEFT('Bite force'!$A:$A,SEARCH("§",SUBSTITUTE('Bite force'!$A:$A," ","§",2)&amp;"§")-1))=
TRIM(LEFT(A325,SEARCH("§",SUBSTITUTE(A325," ","§",2)&amp;"§")-1))
))=0,
1,
IF(
B325=2,
AVERAGE(_xlfn._xlws.FILTER('Bite force'!$I:$I,
TRIM(LEFT('Bite force'!$A:$A,SEARCH("§",SUBSTITUTE('Bite force'!$A:$A," ","§",2)&amp;"§")-1))=
TRIM(LEFT(A325,SEARCH("§",SUBSTITUTE(A325," ","§",2)&amp;"§")-1))
)),
MAX(_xlfn._xlws.FILTER('Bite force'!$I:$I,
TRIM(LEFT('Bite force'!$A:$A,SEARCH("§",SUBSTITUTE('Bite force'!$A:$A," ","§",2)&amp;"§")-1))=
TRIM(LEFT(A325,SEARCH("§",SUBSTITUTE(A325," ","§",2)&amp;"§")-1))
))
)
),
IFERROR(
AVERAGE(_xlfn._xlws.FILTER('Bite force'!$I:$I,
TRIM(LEFT('Bite force'!$A:$A,SEARCH(" ",'Bite force'!$A:$A&amp;" ")-1))=
TRIM(LEFT(A325,SEARCH(" ",A325&amp;" ")-1))
)),
1
)
)</f>
        <v>1</v>
      </c>
    </row>
    <row r="326" spans="1:3" x14ac:dyDescent="0.25">
      <c r="A326" s="2" t="str">
        <f>'[1]Base stats'!$B326</f>
        <v>Avis desertum</v>
      </c>
      <c r="B326" s="23">
        <f>_xlfn.XLOOKUP(A326,'[1]Base stats'!$B:$B,'[1]Base stats'!$O:$O)</f>
        <v>0</v>
      </c>
      <c r="C326" s="20" cm="1">
        <f t="array" ref="C326">IF(
SUMPRODUCT(--(
TRIM(LEFT('Bite force'!$A:$A,SEARCH("§",SUBSTITUTE('Bite force'!$A:$A," ","§",2)&amp;"§")-1))=
TRIM(LEFT(A326,SEARCH("§",SUBSTITUTE(A326," ","§",2)&amp;"§")-1))
))&gt;0,
IF(
COUNT(_xlfn._xlws.FILTER('Bite force'!$I:$I,
TRIM(LEFT('Bite force'!$A:$A,SEARCH("§",SUBSTITUTE('Bite force'!$A:$A," ","§",2)&amp;"§")-1))=
TRIM(LEFT(A326,SEARCH("§",SUBSTITUTE(A326," ","§",2)&amp;"§")-1))
))=0,
1,
IF(
B326=2,
AVERAGE(_xlfn._xlws.FILTER('Bite force'!$I:$I,
TRIM(LEFT('Bite force'!$A:$A,SEARCH("§",SUBSTITUTE('Bite force'!$A:$A," ","§",2)&amp;"§")-1))=
TRIM(LEFT(A326,SEARCH("§",SUBSTITUTE(A326," ","§",2)&amp;"§")-1))
)),
MAX(_xlfn._xlws.FILTER('Bite force'!$I:$I,
TRIM(LEFT('Bite force'!$A:$A,SEARCH("§",SUBSTITUTE('Bite force'!$A:$A," ","§",2)&amp;"§")-1))=
TRIM(LEFT(A326,SEARCH("§",SUBSTITUTE(A326," ","§",2)&amp;"§")-1))
))
)
),
IFERROR(
AVERAGE(_xlfn._xlws.FILTER('Bite force'!$I:$I,
TRIM(LEFT('Bite force'!$A:$A,SEARCH(" ",'Bite force'!$A:$A&amp;" ")-1))=
TRIM(LEFT(A326,SEARCH(" ",A326&amp;" ")-1))
)),
1
)
)</f>
        <v>1</v>
      </c>
    </row>
    <row r="327" spans="1:3" x14ac:dyDescent="0.25">
      <c r="A327" s="2" t="str">
        <f>'[1]Base stats'!$B327</f>
        <v>Silkie coronatus</v>
      </c>
      <c r="B327" s="23">
        <f>_xlfn.XLOOKUP(A327,'[1]Base stats'!$B:$B,'[1]Base stats'!$O:$O)</f>
        <v>1</v>
      </c>
      <c r="C327" s="20" cm="1">
        <f t="array" ref="C327">IF(
SUMPRODUCT(--(
TRIM(LEFT('Bite force'!$A:$A,SEARCH("§",SUBSTITUTE('Bite force'!$A:$A," ","§",2)&amp;"§")-1))=
TRIM(LEFT(A327,SEARCH("§",SUBSTITUTE(A327," ","§",2)&amp;"§")-1))
))&gt;0,
IF(
COUNT(_xlfn._xlws.FILTER('Bite force'!$I:$I,
TRIM(LEFT('Bite force'!$A:$A,SEARCH("§",SUBSTITUTE('Bite force'!$A:$A," ","§",2)&amp;"§")-1))=
TRIM(LEFT(A327,SEARCH("§",SUBSTITUTE(A327," ","§",2)&amp;"§")-1))
))=0,
1,
IF(
B327=2,
AVERAGE(_xlfn._xlws.FILTER('Bite force'!$I:$I,
TRIM(LEFT('Bite force'!$A:$A,SEARCH("§",SUBSTITUTE('Bite force'!$A:$A," ","§",2)&amp;"§")-1))=
TRIM(LEFT(A327,SEARCH("§",SUBSTITUTE(A327," ","§",2)&amp;"§")-1))
)),
MAX(_xlfn._xlws.FILTER('Bite force'!$I:$I,
TRIM(LEFT('Bite force'!$A:$A,SEARCH("§",SUBSTITUTE('Bite force'!$A:$A," ","§",2)&amp;"§")-1))=
TRIM(LEFT(A327,SEARCH("§",SUBSTITUTE(A327," ","§",2)&amp;"§")-1))
))
)
),
IFERROR(
AVERAGE(_xlfn._xlws.FILTER('Bite force'!$I:$I,
TRIM(LEFT('Bite force'!$A:$A,SEARCH(" ",'Bite force'!$A:$A&amp;" ")-1))=
TRIM(LEFT(A327,SEARCH(" ",A327&amp;" ")-1))
)),
1
)
)</f>
        <v>1</v>
      </c>
    </row>
    <row r="328" spans="1:3" x14ac:dyDescent="0.25">
      <c r="A328" s="2" t="str">
        <f>'[1]Base stats'!$B328</f>
        <v>Phoenicopterus phoenix</v>
      </c>
      <c r="B328" s="23">
        <f>_xlfn.XLOOKUP(A328,'[1]Base stats'!$B:$B,'[1]Base stats'!$O:$O)</f>
        <v>0</v>
      </c>
      <c r="C328" s="20" cm="1">
        <f t="array" ref="C328">IF(
SUMPRODUCT(--(
TRIM(LEFT('Bite force'!$A:$A,SEARCH("§",SUBSTITUTE('Bite force'!$A:$A," ","§",2)&amp;"§")-1))=
TRIM(LEFT(A328,SEARCH("§",SUBSTITUTE(A328," ","§",2)&amp;"§")-1))
))&gt;0,
IF(
COUNT(_xlfn._xlws.FILTER('Bite force'!$I:$I,
TRIM(LEFT('Bite force'!$A:$A,SEARCH("§",SUBSTITUTE('Bite force'!$A:$A," ","§",2)&amp;"§")-1))=
TRIM(LEFT(A328,SEARCH("§",SUBSTITUTE(A328," ","§",2)&amp;"§")-1))
))=0,
1,
IF(
B328=2,
AVERAGE(_xlfn._xlws.FILTER('Bite force'!$I:$I,
TRIM(LEFT('Bite force'!$A:$A,SEARCH("§",SUBSTITUTE('Bite force'!$A:$A," ","§",2)&amp;"§")-1))=
TRIM(LEFT(A328,SEARCH("§",SUBSTITUTE(A328," ","§",2)&amp;"§")-1))
)),
MAX(_xlfn._xlws.FILTER('Bite force'!$I:$I,
TRIM(LEFT('Bite force'!$A:$A,SEARCH("§",SUBSTITUTE('Bite force'!$A:$A," ","§",2)&amp;"§")-1))=
TRIM(LEFT(A328,SEARCH("§",SUBSTITUTE(A328," ","§",2)&amp;"§")-1))
))
)
),
IFERROR(
AVERAGE(_xlfn._xlws.FILTER('Bite force'!$I:$I,
TRIM(LEFT('Bite force'!$A:$A,SEARCH(" ",'Bite force'!$A:$A&amp;" ")-1))=
TRIM(LEFT(A328,SEARCH(" ",A328&amp;" ")-1))
)),
1
)
)</f>
        <v>1</v>
      </c>
    </row>
    <row r="329" spans="1:3" x14ac:dyDescent="0.25">
      <c r="A329" s="2" t="str">
        <f>'[1]Base stats'!$B329</f>
        <v>Velociraptor nobilis</v>
      </c>
      <c r="B329" s="23">
        <f>_xlfn.XLOOKUP(A329,'[1]Base stats'!$B:$B,'[1]Base stats'!$O:$O)</f>
        <v>2</v>
      </c>
      <c r="C329" s="20" cm="1">
        <f t="array" ref="C329">IF(
SUMPRODUCT(--(
TRIM(LEFT('Bite force'!$A:$A,SEARCH("§",SUBSTITUTE('Bite force'!$A:$A," ","§",2)&amp;"§")-1))=
TRIM(LEFT(A329,SEARCH("§",SUBSTITUTE(A329," ","§",2)&amp;"§")-1))
))&gt;0,
IF(
COUNT(_xlfn._xlws.FILTER('Bite force'!$I:$I,
TRIM(LEFT('Bite force'!$A:$A,SEARCH("§",SUBSTITUTE('Bite force'!$A:$A," ","§",2)&amp;"§")-1))=
TRIM(LEFT(A329,SEARCH("§",SUBSTITUTE(A329," ","§",2)&amp;"§")-1))
))=0,
1,
IF(
B329=2,
AVERAGE(_xlfn._xlws.FILTER('Bite force'!$I:$I,
TRIM(LEFT('Bite force'!$A:$A,SEARCH("§",SUBSTITUTE('Bite force'!$A:$A," ","§",2)&amp;"§")-1))=
TRIM(LEFT(A329,SEARCH("§",SUBSTITUTE(A329," ","§",2)&amp;"§")-1))
)),
MAX(_xlfn._xlws.FILTER('Bite force'!$I:$I,
TRIM(LEFT('Bite force'!$A:$A,SEARCH("§",SUBSTITUTE('Bite force'!$A:$A," ","§",2)&amp;"§")-1))=
TRIM(LEFT(A329,SEARCH("§",SUBSTITUTE(A329," ","§",2)&amp;"§")-1))
))
)
),
IFERROR(
AVERAGE(_xlfn._xlws.FILTER('Bite force'!$I:$I,
TRIM(LEFT('Bite force'!$A:$A,SEARCH(" ",'Bite force'!$A:$A&amp;" ")-1))=
TRIM(LEFT(A329,SEARCH(" ",A329&amp;" ")-1))
)),
1
)
)</f>
        <v>0.47844493899746898</v>
      </c>
    </row>
    <row r="330" spans="1:3" x14ac:dyDescent="0.25">
      <c r="A330" s="2" t="str">
        <f>'[1]Base stats'!$B330</f>
        <v>Tyrannosaurus rex</v>
      </c>
      <c r="B330" s="23">
        <f>_xlfn.XLOOKUP(A330,'[1]Base stats'!$B:$B,'[1]Base stats'!$O:$O)</f>
        <v>0</v>
      </c>
      <c r="C330" s="20" cm="1">
        <f t="array" ref="C330">IF(
SUMPRODUCT(--(
TRIM(LEFT('Bite force'!$A:$A,SEARCH("§",SUBSTITUTE('Bite force'!$A:$A," ","§",2)&amp;"§")-1))=
TRIM(LEFT(A330,SEARCH("§",SUBSTITUTE(A330," ","§",2)&amp;"§")-1))
))&gt;0,
IF(
COUNT(_xlfn._xlws.FILTER('Bite force'!$I:$I,
TRIM(LEFT('Bite force'!$A:$A,SEARCH("§",SUBSTITUTE('Bite force'!$A:$A," ","§",2)&amp;"§")-1))=
TRIM(LEFT(A330,SEARCH("§",SUBSTITUTE(A330," ","§",2)&amp;"§")-1))
))=0,
1,
IF(
B330=2,
AVERAGE(_xlfn._xlws.FILTER('Bite force'!$I:$I,
TRIM(LEFT('Bite force'!$A:$A,SEARCH("§",SUBSTITUTE('Bite force'!$A:$A," ","§",2)&amp;"§")-1))=
TRIM(LEFT(A330,SEARCH("§",SUBSTITUTE(A330," ","§",2)&amp;"§")-1))
)),
MAX(_xlfn._xlws.FILTER('Bite force'!$I:$I,
TRIM(LEFT('Bite force'!$A:$A,SEARCH("§",SUBSTITUTE('Bite force'!$A:$A," ","§",2)&amp;"§")-1))=
TRIM(LEFT(A330,SEARCH("§",SUBSTITUTE(A330," ","§",2)&amp;"§")-1))
))
)
),
IFERROR(
AVERAGE(_xlfn._xlws.FILTER('Bite force'!$I:$I,
TRIM(LEFT('Bite force'!$A:$A,SEARCH(" ",'Bite force'!$A:$A&amp;" ")-1))=
TRIM(LEFT(A330,SEARCH(" ",A330&amp;" ")-1))
)),
1
)
)</f>
        <v>1.8364595276640094</v>
      </c>
    </row>
    <row r="331" spans="1:3" x14ac:dyDescent="0.25">
      <c r="A331" s="2" t="str">
        <f>'[1]Base stats'!$B331</f>
        <v>Yutyrannus huali</v>
      </c>
      <c r="B331" s="23">
        <f>_xlfn.XLOOKUP(A331,'[1]Base stats'!$B:$B,'[1]Base stats'!$O:$O)</f>
        <v>0</v>
      </c>
      <c r="C331" s="20" cm="1">
        <f t="array" ref="C331">IF(
SUMPRODUCT(--(
TRIM(LEFT('Bite force'!$A:$A,SEARCH("§",SUBSTITUTE('Bite force'!$A:$A," ","§",2)&amp;"§")-1))=
TRIM(LEFT(A331,SEARCH("§",SUBSTITUTE(A331," ","§",2)&amp;"§")-1))
))&gt;0,
IF(
COUNT(_xlfn._xlws.FILTER('Bite force'!$I:$I,
TRIM(LEFT('Bite force'!$A:$A,SEARCH("§",SUBSTITUTE('Bite force'!$A:$A," ","§",2)&amp;"§")-1))=
TRIM(LEFT(A331,SEARCH("§",SUBSTITUTE(A331," ","§",2)&amp;"§")-1))
))=0,
1,
IF(
B331=2,
AVERAGE(_xlfn._xlws.FILTER('Bite force'!$I:$I,
TRIM(LEFT('Bite force'!$A:$A,SEARCH("§",SUBSTITUTE('Bite force'!$A:$A," ","§",2)&amp;"§")-1))=
TRIM(LEFT(A331,SEARCH("§",SUBSTITUTE(A331," ","§",2)&amp;"§")-1))
)),
MAX(_xlfn._xlws.FILTER('Bite force'!$I:$I,
TRIM(LEFT('Bite force'!$A:$A,SEARCH("§",SUBSTITUTE('Bite force'!$A:$A," ","§",2)&amp;"§")-1))=
TRIM(LEFT(A331,SEARCH("§",SUBSTITUTE(A331," ","§",2)&amp;"§")-1))
))
)
),
IFERROR(
AVERAGE(_xlfn._xlws.FILTER('Bite force'!$I:$I,
TRIM(LEFT('Bite force'!$A:$A,SEARCH(" ",'Bite force'!$A:$A&amp;" ")-1))=
TRIM(LEFT(A331,SEARCH(" ",A331&amp;" ")-1))
)),
1
)
)</f>
        <v>1</v>
      </c>
    </row>
    <row r="332" spans="1:3" x14ac:dyDescent="0.25">
      <c r="A332" s="2" t="str">
        <f>'[1]Base stats'!$B332</f>
        <v>Carnotaurus sastrei</v>
      </c>
      <c r="B332" s="23">
        <f>_xlfn.XLOOKUP(A332,'[1]Base stats'!$B:$B,'[1]Base stats'!$O:$O)</f>
        <v>0</v>
      </c>
      <c r="C332" s="20" cm="1">
        <f t="array" ref="C332">IF(
SUMPRODUCT(--(
TRIM(LEFT('Bite force'!$A:$A,SEARCH("§",SUBSTITUTE('Bite force'!$A:$A," ","§",2)&amp;"§")-1))=
TRIM(LEFT(A332,SEARCH("§",SUBSTITUTE(A332," ","§",2)&amp;"§")-1))
))&gt;0,
IF(
COUNT(_xlfn._xlws.FILTER('Bite force'!$I:$I,
TRIM(LEFT('Bite force'!$A:$A,SEARCH("§",SUBSTITUTE('Bite force'!$A:$A," ","§",2)&amp;"§")-1))=
TRIM(LEFT(A332,SEARCH("§",SUBSTITUTE(A332," ","§",2)&amp;"§")-1))
))=0,
1,
IF(
B332=2,
AVERAGE(_xlfn._xlws.FILTER('Bite force'!$I:$I,
TRIM(LEFT('Bite force'!$A:$A,SEARCH("§",SUBSTITUTE('Bite force'!$A:$A," ","§",2)&amp;"§")-1))=
TRIM(LEFT(A332,SEARCH("§",SUBSTITUTE(A332," ","§",2)&amp;"§")-1))
)),
MAX(_xlfn._xlws.FILTER('Bite force'!$I:$I,
TRIM(LEFT('Bite force'!$A:$A,SEARCH("§",SUBSTITUTE('Bite force'!$A:$A," ","§",2)&amp;"§")-1))=
TRIM(LEFT(A332,SEARCH("§",SUBSTITUTE(A332," ","§",2)&amp;"§")-1))
))
)
),
IFERROR(
AVERAGE(_xlfn._xlws.FILTER('Bite force'!$I:$I,
TRIM(LEFT('Bite force'!$A:$A,SEARCH(" ",'Bite force'!$A:$A&amp;" ")-1))=
TRIM(LEFT(A332,SEARCH(" ",A332&amp;" ")-1))
)),
1
)
)</f>
        <v>0.61934481752458748</v>
      </c>
    </row>
    <row r="333" spans="1:3" x14ac:dyDescent="0.25">
      <c r="A333" s="2" t="str">
        <f>'[1]Base stats'!$B333</f>
        <v>Allosaurus fragilis</v>
      </c>
      <c r="B333" s="23">
        <f>_xlfn.XLOOKUP(A333,'[1]Base stats'!$B:$B,'[1]Base stats'!$O:$O)</f>
        <v>0</v>
      </c>
      <c r="C333" s="20" cm="1">
        <f t="array" ref="C333">IF(
SUMPRODUCT(--(
TRIM(LEFT('Bite force'!$A:$A,SEARCH("§",SUBSTITUTE('Bite force'!$A:$A," ","§",2)&amp;"§")-1))=
TRIM(LEFT(A333,SEARCH("§",SUBSTITUTE(A333," ","§",2)&amp;"§")-1))
))&gt;0,
IF(
COUNT(_xlfn._xlws.FILTER('Bite force'!$I:$I,
TRIM(LEFT('Bite force'!$A:$A,SEARCH("§",SUBSTITUTE('Bite force'!$A:$A," ","§",2)&amp;"§")-1))=
TRIM(LEFT(A333,SEARCH("§",SUBSTITUTE(A333," ","§",2)&amp;"§")-1))
))=0,
1,
IF(
B333=2,
AVERAGE(_xlfn._xlws.FILTER('Bite force'!$I:$I,
TRIM(LEFT('Bite force'!$A:$A,SEARCH("§",SUBSTITUTE('Bite force'!$A:$A," ","§",2)&amp;"§")-1))=
TRIM(LEFT(A333,SEARCH("§",SUBSTITUTE(A333," ","§",2)&amp;"§")-1))
)),
MAX(_xlfn._xlws.FILTER('Bite force'!$I:$I,
TRIM(LEFT('Bite force'!$A:$A,SEARCH("§",SUBSTITUTE('Bite force'!$A:$A," ","§",2)&amp;"§")-1))=
TRIM(LEFT(A333,SEARCH("§",SUBSTITUTE(A333," ","§",2)&amp;"§")-1))
))
)
),
IFERROR(
AVERAGE(_xlfn._xlws.FILTER('Bite force'!$I:$I,
TRIM(LEFT('Bite force'!$A:$A,SEARCH(" ",'Bite force'!$A:$A&amp;" ")-1))=
TRIM(LEFT(A333,SEARCH(" ",A333&amp;" ")-1))
)),
1
)
)</f>
        <v>0.89853687178178665</v>
      </c>
    </row>
    <row r="334" spans="1:3" x14ac:dyDescent="0.25">
      <c r="A334" s="2" t="str">
        <f>'[1]Base stats'!$B334</f>
        <v>Spinosaurus aegyptiacus</v>
      </c>
      <c r="B334" s="23">
        <f>_xlfn.XLOOKUP(A334,'[1]Base stats'!$B:$B,'[1]Base stats'!$O:$O)</f>
        <v>0</v>
      </c>
      <c r="C334" s="20" cm="1">
        <f t="array" ref="C334">IF(
SUMPRODUCT(--(
TRIM(LEFT('Bite force'!$A:$A,SEARCH("§",SUBSTITUTE('Bite force'!$A:$A," ","§",2)&amp;"§")-1))=
TRIM(LEFT(A334,SEARCH("§",SUBSTITUTE(A334," ","§",2)&amp;"§")-1))
))&gt;0,
IF(
COUNT(_xlfn._xlws.FILTER('Bite force'!$I:$I,
TRIM(LEFT('Bite force'!$A:$A,SEARCH("§",SUBSTITUTE('Bite force'!$A:$A," ","§",2)&amp;"§")-1))=
TRIM(LEFT(A334,SEARCH("§",SUBSTITUTE(A334," ","§",2)&amp;"§")-1))
))=0,
1,
IF(
B334=2,
AVERAGE(_xlfn._xlws.FILTER('Bite force'!$I:$I,
TRIM(LEFT('Bite force'!$A:$A,SEARCH("§",SUBSTITUTE('Bite force'!$A:$A," ","§",2)&amp;"§")-1))=
TRIM(LEFT(A334,SEARCH("§",SUBSTITUTE(A334," ","§",2)&amp;"§")-1))
)),
MAX(_xlfn._xlws.FILTER('Bite force'!$I:$I,
TRIM(LEFT('Bite force'!$A:$A,SEARCH("§",SUBSTITUTE('Bite force'!$A:$A," ","§",2)&amp;"§")-1))=
TRIM(LEFT(A334,SEARCH("§",SUBSTITUTE(A334," ","§",2)&amp;"§")-1))
))
)
),
IFERROR(
AVERAGE(_xlfn._xlws.FILTER('Bite force'!$I:$I,
TRIM(LEFT('Bite force'!$A:$A,SEARCH(" ",'Bite force'!$A:$A&amp;" ")-1))=
TRIM(LEFT(A334,SEARCH(" ",A334&amp;" ")-1))
)),
1
)
)</f>
        <v>0.37683453500109182</v>
      </c>
    </row>
    <row r="335" spans="1:3" x14ac:dyDescent="0.25">
      <c r="A335" s="2" t="str">
        <f>'[1]Base stats'!$B335</f>
        <v>Baryonyx walkeri</v>
      </c>
      <c r="B335" s="23">
        <f>_xlfn.XLOOKUP(A335,'[1]Base stats'!$B:$B,'[1]Base stats'!$O:$O)</f>
        <v>0</v>
      </c>
      <c r="C335" s="20" cm="1">
        <f t="array" ref="C335">IF(
SUMPRODUCT(--(
TRIM(LEFT('Bite force'!$A:$A,SEARCH("§",SUBSTITUTE('Bite force'!$A:$A," ","§",2)&amp;"§")-1))=
TRIM(LEFT(A335,SEARCH("§",SUBSTITUTE(A335," ","§",2)&amp;"§")-1))
))&gt;0,
IF(
COUNT(_xlfn._xlws.FILTER('Bite force'!$I:$I,
TRIM(LEFT('Bite force'!$A:$A,SEARCH("§",SUBSTITUTE('Bite force'!$A:$A," ","§",2)&amp;"§")-1))=
TRIM(LEFT(A335,SEARCH("§",SUBSTITUTE(A335," ","§",2)&amp;"§")-1))
))=0,
1,
IF(
B335=2,
AVERAGE(_xlfn._xlws.FILTER('Bite force'!$I:$I,
TRIM(LEFT('Bite force'!$A:$A,SEARCH("§",SUBSTITUTE('Bite force'!$A:$A," ","§",2)&amp;"§")-1))=
TRIM(LEFT(A335,SEARCH("§",SUBSTITUTE(A335," ","§",2)&amp;"§")-1))
)),
MAX(_xlfn._xlws.FILTER('Bite force'!$I:$I,
TRIM(LEFT('Bite force'!$A:$A,SEARCH("§",SUBSTITUTE('Bite force'!$A:$A," ","§",2)&amp;"§")-1))=
TRIM(LEFT(A335,SEARCH("§",SUBSTITUTE(A335," ","§",2)&amp;"§")-1))
))
)
),
IFERROR(
AVERAGE(_xlfn._xlws.FILTER('Bite force'!$I:$I,
TRIM(LEFT('Bite force'!$A:$A,SEARCH(" ",'Bite force'!$A:$A&amp;" ")-1))=
TRIM(LEFT(A335,SEARCH(" ",A335&amp;" ")-1))
)),
1
)
)</f>
        <v>0.2586468597552094</v>
      </c>
    </row>
    <row r="336" spans="1:3" x14ac:dyDescent="0.25">
      <c r="A336" s="2" t="str">
        <f>'[1]Base stats'!$B336</f>
        <v>Ankylosaurus magniventris</v>
      </c>
      <c r="B336" s="23">
        <f>_xlfn.XLOOKUP(A336,'[1]Base stats'!$B:$B,'[1]Base stats'!$O:$O)</f>
        <v>0</v>
      </c>
      <c r="C336" s="20" cm="1">
        <f t="array" ref="C336">IF(
SUMPRODUCT(--(
TRIM(LEFT('Bite force'!$A:$A,SEARCH("§",SUBSTITUTE('Bite force'!$A:$A," ","§",2)&amp;"§")-1))=
TRIM(LEFT(A336,SEARCH("§",SUBSTITUTE(A336," ","§",2)&amp;"§")-1))
))&gt;0,
IF(
COUNT(_xlfn._xlws.FILTER('Bite force'!$I:$I,
TRIM(LEFT('Bite force'!$A:$A,SEARCH("§",SUBSTITUTE('Bite force'!$A:$A," ","§",2)&amp;"§")-1))=
TRIM(LEFT(A336,SEARCH("§",SUBSTITUTE(A336," ","§",2)&amp;"§")-1))
))=0,
1,
IF(
B336=2,
AVERAGE(_xlfn._xlws.FILTER('Bite force'!$I:$I,
TRIM(LEFT('Bite force'!$A:$A,SEARCH("§",SUBSTITUTE('Bite force'!$A:$A," ","§",2)&amp;"§")-1))=
TRIM(LEFT(A336,SEARCH("§",SUBSTITUTE(A336," ","§",2)&amp;"§")-1))
)),
MAX(_xlfn._xlws.FILTER('Bite force'!$I:$I,
TRIM(LEFT('Bite force'!$A:$A,SEARCH("§",SUBSTITUTE('Bite force'!$A:$A," ","§",2)&amp;"§")-1))=
TRIM(LEFT(A336,SEARCH("§",SUBSTITUTE(A336," ","§",2)&amp;"§")-1))
))
)
),
IFERROR(
AVERAGE(_xlfn._xlws.FILTER('Bite force'!$I:$I,
TRIM(LEFT('Bite force'!$A:$A,SEARCH(" ",'Bite force'!$A:$A&amp;" ")-1))=
TRIM(LEFT(A336,SEARCH(" ",A336&amp;" ")-1))
)),
1
)
)</f>
        <v>1</v>
      </c>
    </row>
    <row r="337" spans="1:3" x14ac:dyDescent="0.25">
      <c r="A337" s="2" t="str">
        <f>'[1]Base stats'!$B337</f>
        <v>Minmi paravertebra</v>
      </c>
      <c r="B337" s="23">
        <f>_xlfn.XLOOKUP(A337,'[1]Base stats'!$B:$B,'[1]Base stats'!$O:$O)</f>
        <v>0</v>
      </c>
      <c r="C337" s="20" cm="1">
        <f t="array" ref="C337">IF(
SUMPRODUCT(--(
TRIM(LEFT('Bite force'!$A:$A,SEARCH("§",SUBSTITUTE('Bite force'!$A:$A," ","§",2)&amp;"§")-1))=
TRIM(LEFT(A337,SEARCH("§",SUBSTITUTE(A337," ","§",2)&amp;"§")-1))
))&gt;0,
IF(
COUNT(_xlfn._xlws.FILTER('Bite force'!$I:$I,
TRIM(LEFT('Bite force'!$A:$A,SEARCH("§",SUBSTITUTE('Bite force'!$A:$A," ","§",2)&amp;"§")-1))=
TRIM(LEFT(A337,SEARCH("§",SUBSTITUTE(A337," ","§",2)&amp;"§")-1))
))=0,
1,
IF(
B337=2,
AVERAGE(_xlfn._xlws.FILTER('Bite force'!$I:$I,
TRIM(LEFT('Bite force'!$A:$A,SEARCH("§",SUBSTITUTE('Bite force'!$A:$A," ","§",2)&amp;"§")-1))=
TRIM(LEFT(A337,SEARCH("§",SUBSTITUTE(A337," ","§",2)&amp;"§")-1))
)),
MAX(_xlfn._xlws.FILTER('Bite force'!$I:$I,
TRIM(LEFT('Bite force'!$A:$A,SEARCH("§",SUBSTITUTE('Bite force'!$A:$A," ","§",2)&amp;"§")-1))=
TRIM(LEFT(A337,SEARCH("§",SUBSTITUTE(A337," ","§",2)&amp;"§")-1))
))
)
),
IFERROR(
AVERAGE(_xlfn._xlws.FILTER('Bite force'!$I:$I,
TRIM(LEFT('Bite force'!$A:$A,SEARCH(" ",'Bite force'!$A:$A&amp;" ")-1))=
TRIM(LEFT(A337,SEARCH(" ",A337&amp;" ")-1))
)),
1
)
)</f>
        <v>1</v>
      </c>
    </row>
    <row r="338" spans="1:3" x14ac:dyDescent="0.25">
      <c r="A338" s="2" t="str">
        <f>'[1]Base stats'!$B338</f>
        <v>Giraffatitan brancai</v>
      </c>
      <c r="B338" s="23">
        <f>_xlfn.XLOOKUP(A338,'[1]Base stats'!$B:$B,'[1]Base stats'!$O:$O)</f>
        <v>0</v>
      </c>
      <c r="C338" s="20" cm="1">
        <f t="array" ref="C338">IF(
SUMPRODUCT(--(
TRIM(LEFT('Bite force'!$A:$A,SEARCH("§",SUBSTITUTE('Bite force'!$A:$A," ","§",2)&amp;"§")-1))=
TRIM(LEFT(A338,SEARCH("§",SUBSTITUTE(A338," ","§",2)&amp;"§")-1))
))&gt;0,
IF(
COUNT(_xlfn._xlws.FILTER('Bite force'!$I:$I,
TRIM(LEFT('Bite force'!$A:$A,SEARCH("§",SUBSTITUTE('Bite force'!$A:$A," ","§",2)&amp;"§")-1))=
TRIM(LEFT(A338,SEARCH("§",SUBSTITUTE(A338," ","§",2)&amp;"§")-1))
))=0,
1,
IF(
B338=2,
AVERAGE(_xlfn._xlws.FILTER('Bite force'!$I:$I,
TRIM(LEFT('Bite force'!$A:$A,SEARCH("§",SUBSTITUTE('Bite force'!$A:$A," ","§",2)&amp;"§")-1))=
TRIM(LEFT(A338,SEARCH("§",SUBSTITUTE(A338," ","§",2)&amp;"§")-1))
)),
MAX(_xlfn._xlws.FILTER('Bite force'!$I:$I,
TRIM(LEFT('Bite force'!$A:$A,SEARCH("§",SUBSTITUTE('Bite force'!$A:$A," ","§",2)&amp;"§")-1))=
TRIM(LEFT(A338,SEARCH("§",SUBSTITUTE(A338," ","§",2)&amp;"§")-1))
))
)
),
IFERROR(
AVERAGE(_xlfn._xlws.FILTER('Bite force'!$I:$I,
TRIM(LEFT('Bite force'!$A:$A,SEARCH(" ",'Bite force'!$A:$A&amp;" ")-1))=
TRIM(LEFT(A338,SEARCH(" ",A338&amp;" ")-1))
)),
1
)
)</f>
        <v>1</v>
      </c>
    </row>
    <row r="339" spans="1:3" x14ac:dyDescent="0.25">
      <c r="A339" s="2" t="str">
        <f>'[1]Base stats'!$B339</f>
        <v>Brontosaurus parvus</v>
      </c>
      <c r="B339" s="23">
        <f>_xlfn.XLOOKUP(A339,'[1]Base stats'!$B:$B,'[1]Base stats'!$O:$O)</f>
        <v>0</v>
      </c>
      <c r="C339" s="20" cm="1">
        <f t="array" ref="C339">IF(
SUMPRODUCT(--(
TRIM(LEFT('Bite force'!$A:$A,SEARCH("§",SUBSTITUTE('Bite force'!$A:$A," ","§",2)&amp;"§")-1))=
TRIM(LEFT(A339,SEARCH("§",SUBSTITUTE(A339," ","§",2)&amp;"§")-1))
))&gt;0,
IF(
COUNT(_xlfn._xlws.FILTER('Bite force'!$I:$I,
TRIM(LEFT('Bite force'!$A:$A,SEARCH("§",SUBSTITUTE('Bite force'!$A:$A," ","§",2)&amp;"§")-1))=
TRIM(LEFT(A339,SEARCH("§",SUBSTITUTE(A339," ","§",2)&amp;"§")-1))
))=0,
1,
IF(
B339=2,
AVERAGE(_xlfn._xlws.FILTER('Bite force'!$I:$I,
TRIM(LEFT('Bite force'!$A:$A,SEARCH("§",SUBSTITUTE('Bite force'!$A:$A," ","§",2)&amp;"§")-1))=
TRIM(LEFT(A339,SEARCH("§",SUBSTITUTE(A339," ","§",2)&amp;"§")-1))
)),
MAX(_xlfn._xlws.FILTER('Bite force'!$I:$I,
TRIM(LEFT('Bite force'!$A:$A,SEARCH("§",SUBSTITUTE('Bite force'!$A:$A," ","§",2)&amp;"§")-1))=
TRIM(LEFT(A339,SEARCH("§",SUBSTITUTE(A339," ","§",2)&amp;"§")-1))
))
)
),
IFERROR(
AVERAGE(_xlfn._xlws.FILTER('Bite force'!$I:$I,
TRIM(LEFT('Bite force'!$A:$A,SEARCH(" ",'Bite force'!$A:$A&amp;" ")-1))=
TRIM(LEFT(A339,SEARCH(" ",A339&amp;" ")-1))
)),
1
)
)</f>
        <v>1</v>
      </c>
    </row>
    <row r="340" spans="1:3" x14ac:dyDescent="0.25">
      <c r="A340" s="2" t="str">
        <f>'[1]Base stats'!$B340</f>
        <v>Diplodocus longus</v>
      </c>
      <c r="B340" s="23">
        <f>_xlfn.XLOOKUP(A340,'[1]Base stats'!$B:$B,'[1]Base stats'!$O:$O)</f>
        <v>0</v>
      </c>
      <c r="C340" s="20" cm="1">
        <f t="array" ref="C340">IF(
SUMPRODUCT(--(
TRIM(LEFT('Bite force'!$A:$A,SEARCH("§",SUBSTITUTE('Bite force'!$A:$A," ","§",2)&amp;"§")-1))=
TRIM(LEFT(A340,SEARCH("§",SUBSTITUTE(A340," ","§",2)&amp;"§")-1))
))&gt;0,
IF(
COUNT(_xlfn._xlws.FILTER('Bite force'!$I:$I,
TRIM(LEFT('Bite force'!$A:$A,SEARCH("§",SUBSTITUTE('Bite force'!$A:$A," ","§",2)&amp;"§")-1))=
TRIM(LEFT(A340,SEARCH("§",SUBSTITUTE(A340," ","§",2)&amp;"§")-1))
))=0,
1,
IF(
B340=2,
AVERAGE(_xlfn._xlws.FILTER('Bite force'!$I:$I,
TRIM(LEFT('Bite force'!$A:$A,SEARCH("§",SUBSTITUTE('Bite force'!$A:$A," ","§",2)&amp;"§")-1))=
TRIM(LEFT(A340,SEARCH("§",SUBSTITUTE(A340," ","§",2)&amp;"§")-1))
)),
MAX(_xlfn._xlws.FILTER('Bite force'!$I:$I,
TRIM(LEFT('Bite force'!$A:$A,SEARCH("§",SUBSTITUTE('Bite force'!$A:$A," ","§",2)&amp;"§")-1))=
TRIM(LEFT(A340,SEARCH("§",SUBSTITUTE(A340," ","§",2)&amp;"§")-1))
))
)
),
IFERROR(
AVERAGE(_xlfn._xlws.FILTER('Bite force'!$I:$I,
TRIM(LEFT('Bite force'!$A:$A,SEARCH(" ",'Bite force'!$A:$A&amp;" ")-1))=
TRIM(LEFT(A340,SEARCH(" ",A340&amp;" ")-1))
)),
1
)
)</f>
        <v>1</v>
      </c>
    </row>
    <row r="341" spans="1:3" x14ac:dyDescent="0.25">
      <c r="A341" s="2" t="str">
        <f>'[1]Base stats'!$B341</f>
        <v>Magyarosaurus transsylvanicus</v>
      </c>
      <c r="B341" s="23">
        <f>_xlfn.XLOOKUP(A341,'[1]Base stats'!$B:$B,'[1]Base stats'!$O:$O)</f>
        <v>0</v>
      </c>
      <c r="C341" s="20" cm="1">
        <f t="array" ref="C341">IF(
SUMPRODUCT(--(
TRIM(LEFT('Bite force'!$A:$A,SEARCH("§",SUBSTITUTE('Bite force'!$A:$A," ","§",2)&amp;"§")-1))=
TRIM(LEFT(A341,SEARCH("§",SUBSTITUTE(A341," ","§",2)&amp;"§")-1))
))&gt;0,
IF(
COUNT(_xlfn._xlws.FILTER('Bite force'!$I:$I,
TRIM(LEFT('Bite force'!$A:$A,SEARCH("§",SUBSTITUTE('Bite force'!$A:$A," ","§",2)&amp;"§")-1))=
TRIM(LEFT(A341,SEARCH("§",SUBSTITUTE(A341," ","§",2)&amp;"§")-1))
))=0,
1,
IF(
B341=2,
AVERAGE(_xlfn._xlws.FILTER('Bite force'!$I:$I,
TRIM(LEFT('Bite force'!$A:$A,SEARCH("§",SUBSTITUTE('Bite force'!$A:$A," ","§",2)&amp;"§")-1))=
TRIM(LEFT(A341,SEARCH("§",SUBSTITUTE(A341," ","§",2)&amp;"§")-1))
)),
MAX(_xlfn._xlws.FILTER('Bite force'!$I:$I,
TRIM(LEFT('Bite force'!$A:$A,SEARCH("§",SUBSTITUTE('Bite force'!$A:$A," ","§",2)&amp;"§")-1))=
TRIM(LEFT(A341,SEARCH("§",SUBSTITUTE(A341," ","§",2)&amp;"§")-1))
))
)
),
IFERROR(
AVERAGE(_xlfn._xlws.FILTER('Bite force'!$I:$I,
TRIM(LEFT('Bite force'!$A:$A,SEARCH(" ",'Bite force'!$A:$A&amp;" ")-1))=
TRIM(LEFT(A341,SEARCH(" ",A341&amp;" ")-1))
)),
1
)
)</f>
        <v>1</v>
      </c>
    </row>
    <row r="342" spans="1:3" x14ac:dyDescent="0.25">
      <c r="A342" s="2" t="str">
        <f>'[1]Base stats'!$B342</f>
        <v>Utahraptor ostrommaysi</v>
      </c>
      <c r="B342" s="23">
        <f>_xlfn.XLOOKUP(A342,'[1]Base stats'!$B:$B,'[1]Base stats'!$O:$O)</f>
        <v>0</v>
      </c>
      <c r="C342" s="20" cm="1">
        <f t="array" ref="C342">IF(
SUMPRODUCT(--(
TRIM(LEFT('Bite force'!$A:$A,SEARCH("§",SUBSTITUTE('Bite force'!$A:$A," ","§",2)&amp;"§")-1))=
TRIM(LEFT(A342,SEARCH("§",SUBSTITUTE(A342," ","§",2)&amp;"§")-1))
))&gt;0,
IF(
COUNT(_xlfn._xlws.FILTER('Bite force'!$I:$I,
TRIM(LEFT('Bite force'!$A:$A,SEARCH("§",SUBSTITUTE('Bite force'!$A:$A," ","§",2)&amp;"§")-1))=
TRIM(LEFT(A342,SEARCH("§",SUBSTITUTE(A342," ","§",2)&amp;"§")-1))
))=0,
1,
IF(
B342=2,
AVERAGE(_xlfn._xlws.FILTER('Bite force'!$I:$I,
TRIM(LEFT('Bite force'!$A:$A,SEARCH("§",SUBSTITUTE('Bite force'!$A:$A," ","§",2)&amp;"§")-1))=
TRIM(LEFT(A342,SEARCH("§",SUBSTITUTE(A342," ","§",2)&amp;"§")-1))
)),
MAX(_xlfn._xlws.FILTER('Bite force'!$I:$I,
TRIM(LEFT('Bite force'!$A:$A,SEARCH("§",SUBSTITUTE('Bite force'!$A:$A," ","§",2)&amp;"§")-1))=
TRIM(LEFT(A342,SEARCH("§",SUBSTITUTE(A342," ","§",2)&amp;"§")-1))
))
)
),
IFERROR(
AVERAGE(_xlfn._xlws.FILTER('Bite force'!$I:$I,
TRIM(LEFT('Bite force'!$A:$A,SEARCH(" ",'Bite force'!$A:$A&amp;" ")-1))=
TRIM(LEFT(A342,SEARCH(" ",A342&amp;" ")-1))
)),
1
)
)</f>
        <v>1</v>
      </c>
    </row>
    <row r="343" spans="1:3" x14ac:dyDescent="0.25">
      <c r="A343" s="2" t="str">
        <f>'[1]Base stats'!$B343</f>
        <v>Dakotaraptor steini</v>
      </c>
      <c r="B343" s="23">
        <f>_xlfn.XLOOKUP(A343,'[1]Base stats'!$B:$B,'[1]Base stats'!$O:$O)</f>
        <v>0</v>
      </c>
      <c r="C343" s="20" cm="1">
        <f t="array" ref="C343">IF(
SUMPRODUCT(--(
TRIM(LEFT('Bite force'!$A:$A,SEARCH("§",SUBSTITUTE('Bite force'!$A:$A," ","§",2)&amp;"§")-1))=
TRIM(LEFT(A343,SEARCH("§",SUBSTITUTE(A343," ","§",2)&amp;"§")-1))
))&gt;0,
IF(
COUNT(_xlfn._xlws.FILTER('Bite force'!$I:$I,
TRIM(LEFT('Bite force'!$A:$A,SEARCH("§",SUBSTITUTE('Bite force'!$A:$A," ","§",2)&amp;"§")-1))=
TRIM(LEFT(A343,SEARCH("§",SUBSTITUTE(A343," ","§",2)&amp;"§")-1))
))=0,
1,
IF(
B343=2,
AVERAGE(_xlfn._xlws.FILTER('Bite force'!$I:$I,
TRIM(LEFT('Bite force'!$A:$A,SEARCH("§",SUBSTITUTE('Bite force'!$A:$A," ","§",2)&amp;"§")-1))=
TRIM(LEFT(A343,SEARCH("§",SUBSTITUTE(A343," ","§",2)&amp;"§")-1))
)),
MAX(_xlfn._xlws.FILTER('Bite force'!$I:$I,
TRIM(LEFT('Bite force'!$A:$A,SEARCH("§",SUBSTITUTE('Bite force'!$A:$A," ","§",2)&amp;"§")-1))=
TRIM(LEFT(A343,SEARCH("§",SUBSTITUTE(A343," ","§",2)&amp;"§")-1))
))
)
),
IFERROR(
AVERAGE(_xlfn._xlws.FILTER('Bite force'!$I:$I,
TRIM(LEFT('Bite force'!$A:$A,SEARCH(" ",'Bite force'!$A:$A&amp;" ")-1))=
TRIM(LEFT(A343,SEARCH(" ",A343&amp;" ")-1))
)),
1
)
)</f>
        <v>1</v>
      </c>
    </row>
    <row r="344" spans="1:3" x14ac:dyDescent="0.25">
      <c r="A344" s="2" t="str">
        <f>'[1]Base stats'!$B344</f>
        <v>Dilophosaurus wetherilli</v>
      </c>
      <c r="B344" s="23">
        <f>_xlfn.XLOOKUP(A344,'[1]Base stats'!$B:$B,'[1]Base stats'!$O:$O)</f>
        <v>0</v>
      </c>
      <c r="C344" s="20" cm="1">
        <f t="array" ref="C344">IF(
SUMPRODUCT(--(
TRIM(LEFT('Bite force'!$A:$A,SEARCH("§",SUBSTITUTE('Bite force'!$A:$A," ","§",2)&amp;"§")-1))=
TRIM(LEFT(A344,SEARCH("§",SUBSTITUTE(A344," ","§",2)&amp;"§")-1))
))&gt;0,
IF(
COUNT(_xlfn._xlws.FILTER('Bite force'!$I:$I,
TRIM(LEFT('Bite force'!$A:$A,SEARCH("§",SUBSTITUTE('Bite force'!$A:$A," ","§",2)&amp;"§")-1))=
TRIM(LEFT(A344,SEARCH("§",SUBSTITUTE(A344," ","§",2)&amp;"§")-1))
))=0,
1,
IF(
B344=2,
AVERAGE(_xlfn._xlws.FILTER('Bite force'!$I:$I,
TRIM(LEFT('Bite force'!$A:$A,SEARCH("§",SUBSTITUTE('Bite force'!$A:$A," ","§",2)&amp;"§")-1))=
TRIM(LEFT(A344,SEARCH("§",SUBSTITUTE(A344," ","§",2)&amp;"§")-1))
)),
MAX(_xlfn._xlws.FILTER('Bite force'!$I:$I,
TRIM(LEFT('Bite force'!$A:$A,SEARCH("§",SUBSTITUTE('Bite force'!$A:$A," ","§",2)&amp;"§")-1))=
TRIM(LEFT(A344,SEARCH("§",SUBSTITUTE(A344," ","§",2)&amp;"§")-1))
))
)
),
IFERROR(
AVERAGE(_xlfn._xlws.FILTER('Bite force'!$I:$I,
TRIM(LEFT('Bite force'!$A:$A,SEARCH(" ",'Bite force'!$A:$A&amp;" ")-1))=
TRIM(LEFT(A344,SEARCH(" ",A344&amp;" ")-1))
)),
1
)
)</f>
        <v>1</v>
      </c>
    </row>
    <row r="345" spans="1:3" x14ac:dyDescent="0.25">
      <c r="A345" s="2" t="str">
        <f>'[1]Base stats'!$B345</f>
        <v>Velociraptor mongoliensis</v>
      </c>
      <c r="B345" s="23">
        <f>_xlfn.XLOOKUP(A345,'[1]Base stats'!$B:$B,'[1]Base stats'!$O:$O)</f>
        <v>0</v>
      </c>
      <c r="C345" s="20" cm="1">
        <f t="array" ref="C345">IF(
SUMPRODUCT(--(
TRIM(LEFT('Bite force'!$A:$A,SEARCH("§",SUBSTITUTE('Bite force'!$A:$A," ","§",2)&amp;"§")-1))=
TRIM(LEFT(A345,SEARCH("§",SUBSTITUTE(A345," ","§",2)&amp;"§")-1))
))&gt;0,
IF(
COUNT(_xlfn._xlws.FILTER('Bite force'!$I:$I,
TRIM(LEFT('Bite force'!$A:$A,SEARCH("§",SUBSTITUTE('Bite force'!$A:$A," ","§",2)&amp;"§")-1))=
TRIM(LEFT(A345,SEARCH("§",SUBSTITUTE(A345," ","§",2)&amp;"§")-1))
))=0,
1,
IF(
B345=2,
AVERAGE(_xlfn._xlws.FILTER('Bite force'!$I:$I,
TRIM(LEFT('Bite force'!$A:$A,SEARCH("§",SUBSTITUTE('Bite force'!$A:$A," ","§",2)&amp;"§")-1))=
TRIM(LEFT(A345,SEARCH("§",SUBSTITUTE(A345," ","§",2)&amp;"§")-1))
)),
MAX(_xlfn._xlws.FILTER('Bite force'!$I:$I,
TRIM(LEFT('Bite force'!$A:$A,SEARCH("§",SUBSTITUTE('Bite force'!$A:$A," ","§",2)&amp;"§")-1))=
TRIM(LEFT(A345,SEARCH("§",SUBSTITUTE(A345," ","§",2)&amp;"§")-1))
))
)
),
IFERROR(
AVERAGE(_xlfn._xlws.FILTER('Bite force'!$I:$I,
TRIM(LEFT('Bite force'!$A:$A,SEARCH(" ",'Bite force'!$A:$A&amp;" ")-1))=
TRIM(LEFT(A345,SEARCH(" ",A345&amp;" ")-1))
)),
1
)
)</f>
        <v>0.47844493899746898</v>
      </c>
    </row>
    <row r="346" spans="1:3" x14ac:dyDescent="0.25">
      <c r="A346" s="2" t="str">
        <f>'[1]Base stats'!$B346</f>
        <v xml:space="preserve">Compsognathus longipes </v>
      </c>
      <c r="B346" s="23">
        <f>_xlfn.XLOOKUP(A346,'[1]Base stats'!$B:$B,'[1]Base stats'!$O:$O)</f>
        <v>0</v>
      </c>
      <c r="C346" s="20" cm="1">
        <f t="array" ref="C346">IF(
SUMPRODUCT(--(
TRIM(LEFT('Bite force'!$A:$A,SEARCH("§",SUBSTITUTE('Bite force'!$A:$A," ","§",2)&amp;"§")-1))=
TRIM(LEFT(A346,SEARCH("§",SUBSTITUTE(A346," ","§",2)&amp;"§")-1))
))&gt;0,
IF(
COUNT(_xlfn._xlws.FILTER('Bite force'!$I:$I,
TRIM(LEFT('Bite force'!$A:$A,SEARCH("§",SUBSTITUTE('Bite force'!$A:$A," ","§",2)&amp;"§")-1))=
TRIM(LEFT(A346,SEARCH("§",SUBSTITUTE(A346," ","§",2)&amp;"§")-1))
))=0,
1,
IF(
B346=2,
AVERAGE(_xlfn._xlws.FILTER('Bite force'!$I:$I,
TRIM(LEFT('Bite force'!$A:$A,SEARCH("§",SUBSTITUTE('Bite force'!$A:$A," ","§",2)&amp;"§")-1))=
TRIM(LEFT(A346,SEARCH("§",SUBSTITUTE(A346," ","§",2)&amp;"§")-1))
)),
MAX(_xlfn._xlws.FILTER('Bite force'!$I:$I,
TRIM(LEFT('Bite force'!$A:$A,SEARCH("§",SUBSTITUTE('Bite force'!$A:$A," ","§",2)&amp;"§")-1))=
TRIM(LEFT(A346,SEARCH("§",SUBSTITUTE(A346," ","§",2)&amp;"§")-1))
))
)
),
IFERROR(
AVERAGE(_xlfn._xlws.FILTER('Bite force'!$I:$I,
TRIM(LEFT('Bite force'!$A:$A,SEARCH(" ",'Bite force'!$A:$A&amp;" ")-1))=
TRIM(LEFT(A346,SEARCH(" ",A346&amp;" ")-1))
)),
1
)
)</f>
        <v>1</v>
      </c>
    </row>
    <row r="347" spans="1:3" x14ac:dyDescent="0.25">
      <c r="A347" s="2" t="str">
        <f>'[1]Base stats'!$B347</f>
        <v>Gallimimus bullatus</v>
      </c>
      <c r="B347" s="23">
        <f>_xlfn.XLOOKUP(A347,'[1]Base stats'!$B:$B,'[1]Base stats'!$O:$O)</f>
        <v>0</v>
      </c>
      <c r="C347" s="20" cm="1">
        <f t="array" ref="C347">IF(
SUMPRODUCT(--(
TRIM(LEFT('Bite force'!$A:$A,SEARCH("§",SUBSTITUTE('Bite force'!$A:$A," ","§",2)&amp;"§")-1))=
TRIM(LEFT(A347,SEARCH("§",SUBSTITUTE(A347," ","§",2)&amp;"§")-1))
))&gt;0,
IF(
COUNT(_xlfn._xlws.FILTER('Bite force'!$I:$I,
TRIM(LEFT('Bite force'!$A:$A,SEARCH("§",SUBSTITUTE('Bite force'!$A:$A," ","§",2)&amp;"§")-1))=
TRIM(LEFT(A347,SEARCH("§",SUBSTITUTE(A347," ","§",2)&amp;"§")-1))
))=0,
1,
IF(
B347=2,
AVERAGE(_xlfn._xlws.FILTER('Bite force'!$I:$I,
TRIM(LEFT('Bite force'!$A:$A,SEARCH("§",SUBSTITUTE('Bite force'!$A:$A," ","§",2)&amp;"§")-1))=
TRIM(LEFT(A347,SEARCH("§",SUBSTITUTE(A347," ","§",2)&amp;"§")-1))
)),
MAX(_xlfn._xlws.FILTER('Bite force'!$I:$I,
TRIM(LEFT('Bite force'!$A:$A,SEARCH("§",SUBSTITUTE('Bite force'!$A:$A," ","§",2)&amp;"§")-1))=
TRIM(LEFT(A347,SEARCH("§",SUBSTITUTE(A347," ","§",2)&amp;"§")-1))
))
)
),
IFERROR(
AVERAGE(_xlfn._xlws.FILTER('Bite force'!$I:$I,
TRIM(LEFT('Bite force'!$A:$A,SEARCH(" ",'Bite force'!$A:$A&amp;" ")-1))=
TRIM(LEFT(A347,SEARCH(" ",A347&amp;" ")-1))
)),
1
)
)</f>
        <v>5.4636970278415457E-2</v>
      </c>
    </row>
    <row r="348" spans="1:3" x14ac:dyDescent="0.25">
      <c r="A348" s="2" t="str">
        <f>'[1]Base stats'!$B348</f>
        <v>Gigantoraptor erlianensis</v>
      </c>
      <c r="B348" s="23">
        <f>_xlfn.XLOOKUP(A348,'[1]Base stats'!$B:$B,'[1]Base stats'!$O:$O)</f>
        <v>0</v>
      </c>
      <c r="C348" s="20" cm="1">
        <f t="array" ref="C348">IF(
SUMPRODUCT(--(
TRIM(LEFT('Bite force'!$A:$A,SEARCH("§",SUBSTITUTE('Bite force'!$A:$A," ","§",2)&amp;"§")-1))=
TRIM(LEFT(A348,SEARCH("§",SUBSTITUTE(A348," ","§",2)&amp;"§")-1))
))&gt;0,
IF(
COUNT(_xlfn._xlws.FILTER('Bite force'!$I:$I,
TRIM(LEFT('Bite force'!$A:$A,SEARCH("§",SUBSTITUTE('Bite force'!$A:$A," ","§",2)&amp;"§")-1))=
TRIM(LEFT(A348,SEARCH("§",SUBSTITUTE(A348," ","§",2)&amp;"§")-1))
))=0,
1,
IF(
B348=2,
AVERAGE(_xlfn._xlws.FILTER('Bite force'!$I:$I,
TRIM(LEFT('Bite force'!$A:$A,SEARCH("§",SUBSTITUTE('Bite force'!$A:$A," ","§",2)&amp;"§")-1))=
TRIM(LEFT(A348,SEARCH("§",SUBSTITUTE(A348," ","§",2)&amp;"§")-1))
)),
MAX(_xlfn._xlws.FILTER('Bite force'!$I:$I,
TRIM(LEFT('Bite force'!$A:$A,SEARCH("§",SUBSTITUTE('Bite force'!$A:$A," ","§",2)&amp;"§")-1))=
TRIM(LEFT(A348,SEARCH("§",SUBSTITUTE(A348," ","§",2)&amp;"§")-1))
))
)
),
IFERROR(
AVERAGE(_xlfn._xlws.FILTER('Bite force'!$I:$I,
TRIM(LEFT('Bite force'!$A:$A,SEARCH(" ",'Bite force'!$A:$A&amp;" ")-1))=
TRIM(LEFT(A348,SEARCH(" ",A348&amp;" ")-1))
)),
1
)
)</f>
        <v>1</v>
      </c>
    </row>
    <row r="349" spans="1:3" x14ac:dyDescent="0.25">
      <c r="A349" s="2" t="str">
        <f>'[1]Base stats'!$B349</f>
        <v>Iguanodon bernissartensis</v>
      </c>
      <c r="B349" s="23">
        <f>_xlfn.XLOOKUP(A349,'[1]Base stats'!$B:$B,'[1]Base stats'!$O:$O)</f>
        <v>0</v>
      </c>
      <c r="C349" s="20" cm="1">
        <f t="array" ref="C349">IF(
SUMPRODUCT(--(
TRIM(LEFT('Bite force'!$A:$A,SEARCH("§",SUBSTITUTE('Bite force'!$A:$A," ","§",2)&amp;"§")-1))=
TRIM(LEFT(A349,SEARCH("§",SUBSTITUTE(A349," ","§",2)&amp;"§")-1))
))&gt;0,
IF(
COUNT(_xlfn._xlws.FILTER('Bite force'!$I:$I,
TRIM(LEFT('Bite force'!$A:$A,SEARCH("§",SUBSTITUTE('Bite force'!$A:$A," ","§",2)&amp;"§")-1))=
TRIM(LEFT(A349,SEARCH("§",SUBSTITUTE(A349," ","§",2)&amp;"§")-1))
))=0,
1,
IF(
B349=2,
AVERAGE(_xlfn._xlws.FILTER('Bite force'!$I:$I,
TRIM(LEFT('Bite force'!$A:$A,SEARCH("§",SUBSTITUTE('Bite force'!$A:$A," ","§",2)&amp;"§")-1))=
TRIM(LEFT(A349,SEARCH("§",SUBSTITUTE(A349," ","§",2)&amp;"§")-1))
)),
MAX(_xlfn._xlws.FILTER('Bite force'!$I:$I,
TRIM(LEFT('Bite force'!$A:$A,SEARCH("§",SUBSTITUTE('Bite force'!$A:$A," ","§",2)&amp;"§")-1))=
TRIM(LEFT(A349,SEARCH("§",SUBSTITUTE(A349," ","§",2)&amp;"§")-1))
))
)
),
IFERROR(
AVERAGE(_xlfn._xlws.FILTER('Bite force'!$I:$I,
TRIM(LEFT('Bite force'!$A:$A,SEARCH(" ",'Bite force'!$A:$A&amp;" ")-1))=
TRIM(LEFT(A349,SEARCH(" ",A349&amp;" ")-1))
)),
1
)
)</f>
        <v>1</v>
      </c>
    </row>
    <row r="350" spans="1:3" x14ac:dyDescent="0.25">
      <c r="A350" s="2" t="str">
        <f>'[1]Base stats'!$B350</f>
        <v>Parasaurolophus walkeri</v>
      </c>
      <c r="B350" s="23">
        <f>_xlfn.XLOOKUP(A350,'[1]Base stats'!$B:$B,'[1]Base stats'!$O:$O)</f>
        <v>0</v>
      </c>
      <c r="C350" s="20" cm="1">
        <f t="array" ref="C350">IF(
SUMPRODUCT(--(
TRIM(LEFT('Bite force'!$A:$A,SEARCH("§",SUBSTITUTE('Bite force'!$A:$A," ","§",2)&amp;"§")-1))=
TRIM(LEFT(A350,SEARCH("§",SUBSTITUTE(A350," ","§",2)&amp;"§")-1))
))&gt;0,
IF(
COUNT(_xlfn._xlws.FILTER('Bite force'!$I:$I,
TRIM(LEFT('Bite force'!$A:$A,SEARCH("§",SUBSTITUTE('Bite force'!$A:$A," ","§",2)&amp;"§")-1))=
TRIM(LEFT(A350,SEARCH("§",SUBSTITUTE(A350," ","§",2)&amp;"§")-1))
))=0,
1,
IF(
B350=2,
AVERAGE(_xlfn._xlws.FILTER('Bite force'!$I:$I,
TRIM(LEFT('Bite force'!$A:$A,SEARCH("§",SUBSTITUTE('Bite force'!$A:$A," ","§",2)&amp;"§")-1))=
TRIM(LEFT(A350,SEARCH("§",SUBSTITUTE(A350," ","§",2)&amp;"§")-1))
)),
MAX(_xlfn._xlws.FILTER('Bite force'!$I:$I,
TRIM(LEFT('Bite force'!$A:$A,SEARCH("§",SUBSTITUTE('Bite force'!$A:$A," ","§",2)&amp;"§")-1))=
TRIM(LEFT(A350,SEARCH("§",SUBSTITUTE(A350," ","§",2)&amp;"§")-1))
))
)
),
IFERROR(
AVERAGE(_xlfn._xlws.FILTER('Bite force'!$I:$I,
TRIM(LEFT('Bite force'!$A:$A,SEARCH(" ",'Bite force'!$A:$A&amp;" ")-1))=
TRIM(LEFT(A350,SEARCH(" ",A350&amp;" ")-1))
)),
1
)
)</f>
        <v>1</v>
      </c>
    </row>
    <row r="351" spans="1:3" x14ac:dyDescent="0.25">
      <c r="A351" s="2" t="str">
        <f>'[1]Base stats'!$B351</f>
        <v>Corythosaurus casuarius</v>
      </c>
      <c r="B351" s="23">
        <f>_xlfn.XLOOKUP(A351,'[1]Base stats'!$B:$B,'[1]Base stats'!$O:$O)</f>
        <v>0</v>
      </c>
      <c r="C351" s="20" cm="1">
        <f t="array" ref="C351">IF(
SUMPRODUCT(--(
TRIM(LEFT('Bite force'!$A:$A,SEARCH("§",SUBSTITUTE('Bite force'!$A:$A," ","§",2)&amp;"§")-1))=
TRIM(LEFT(A351,SEARCH("§",SUBSTITUTE(A351," ","§",2)&amp;"§")-1))
))&gt;0,
IF(
COUNT(_xlfn._xlws.FILTER('Bite force'!$I:$I,
TRIM(LEFT('Bite force'!$A:$A,SEARCH("§",SUBSTITUTE('Bite force'!$A:$A," ","§",2)&amp;"§")-1))=
TRIM(LEFT(A351,SEARCH("§",SUBSTITUTE(A351," ","§",2)&amp;"§")-1))
))=0,
1,
IF(
B351=2,
AVERAGE(_xlfn._xlws.FILTER('Bite force'!$I:$I,
TRIM(LEFT('Bite force'!$A:$A,SEARCH("§",SUBSTITUTE('Bite force'!$A:$A," ","§",2)&amp;"§")-1))=
TRIM(LEFT(A351,SEARCH("§",SUBSTITUTE(A351," ","§",2)&amp;"§")-1))
)),
MAX(_xlfn._xlws.FILTER('Bite force'!$I:$I,
TRIM(LEFT('Bite force'!$A:$A,SEARCH("§",SUBSTITUTE('Bite force'!$A:$A," ","§",2)&amp;"§")-1))=
TRIM(LEFT(A351,SEARCH("§",SUBSTITUTE(A351," ","§",2)&amp;"§")-1))
))
)
),
IFERROR(
AVERAGE(_xlfn._xlws.FILTER('Bite force'!$I:$I,
TRIM(LEFT('Bite force'!$A:$A,SEARCH(" ",'Bite force'!$A:$A&amp;" ")-1))=
TRIM(LEFT(A351,SEARCH(" ",A351&amp;" ")-1))
)),
1
)
)</f>
        <v>1</v>
      </c>
    </row>
    <row r="352" spans="1:3" x14ac:dyDescent="0.25">
      <c r="A352" s="2" t="str">
        <f>'[1]Base stats'!$B352</f>
        <v>Deinocheirus mirificus</v>
      </c>
      <c r="B352" s="23">
        <f>_xlfn.XLOOKUP(A352,'[1]Base stats'!$B:$B,'[1]Base stats'!$O:$O)</f>
        <v>0</v>
      </c>
      <c r="C352" s="20" cm="1">
        <f t="array" ref="C352">IF(
SUMPRODUCT(--(
TRIM(LEFT('Bite force'!$A:$A,SEARCH("§",SUBSTITUTE('Bite force'!$A:$A," ","§",2)&amp;"§")-1))=
TRIM(LEFT(A352,SEARCH("§",SUBSTITUTE(A352," ","§",2)&amp;"§")-1))
))&gt;0,
IF(
COUNT(_xlfn._xlws.FILTER('Bite force'!$I:$I,
TRIM(LEFT('Bite force'!$A:$A,SEARCH("§",SUBSTITUTE('Bite force'!$A:$A," ","§",2)&amp;"§")-1))=
TRIM(LEFT(A352,SEARCH("§",SUBSTITUTE(A352," ","§",2)&amp;"§")-1))
))=0,
1,
IF(
B352=2,
AVERAGE(_xlfn._xlws.FILTER('Bite force'!$I:$I,
TRIM(LEFT('Bite force'!$A:$A,SEARCH("§",SUBSTITUTE('Bite force'!$A:$A," ","§",2)&amp;"§")-1))=
TRIM(LEFT(A352,SEARCH("§",SUBSTITUTE(A352," ","§",2)&amp;"§")-1))
)),
MAX(_xlfn._xlws.FILTER('Bite force'!$I:$I,
TRIM(LEFT('Bite force'!$A:$A,SEARCH("§",SUBSTITUTE('Bite force'!$A:$A," ","§",2)&amp;"§")-1))=
TRIM(LEFT(A352,SEARCH("§",SUBSTITUTE(A352," ","§",2)&amp;"§")-1))
))
)
),
IFERROR(
AVERAGE(_xlfn._xlws.FILTER('Bite force'!$I:$I,
TRIM(LEFT('Bite force'!$A:$A,SEARCH(" ",'Bite force'!$A:$A&amp;" ")-1))=
TRIM(LEFT(A352,SEARCH(" ",A352&amp;" ")-1))
)),
1
)
)</f>
        <v>1</v>
      </c>
    </row>
    <row r="353" spans="1:3" x14ac:dyDescent="0.25">
      <c r="A353" s="2" t="str">
        <f>'[1]Base stats'!$B353</f>
        <v>Therizinosaurus cheloniformis</v>
      </c>
      <c r="B353" s="23">
        <f>_xlfn.XLOOKUP(A353,'[1]Base stats'!$B:$B,'[1]Base stats'!$O:$O)</f>
        <v>0</v>
      </c>
      <c r="C353" s="20" cm="1">
        <f t="array" ref="C353">IF(
SUMPRODUCT(--(
TRIM(LEFT('Bite force'!$A:$A,SEARCH("§",SUBSTITUTE('Bite force'!$A:$A," ","§",2)&amp;"§")-1))=
TRIM(LEFT(A353,SEARCH("§",SUBSTITUTE(A353," ","§",2)&amp;"§")-1))
))&gt;0,
IF(
COUNT(_xlfn._xlws.FILTER('Bite force'!$I:$I,
TRIM(LEFT('Bite force'!$A:$A,SEARCH("§",SUBSTITUTE('Bite force'!$A:$A," ","§",2)&amp;"§")-1))=
TRIM(LEFT(A353,SEARCH("§",SUBSTITUTE(A353," ","§",2)&amp;"§")-1))
))=0,
1,
IF(
B353=2,
AVERAGE(_xlfn._xlws.FILTER('Bite force'!$I:$I,
TRIM(LEFT('Bite force'!$A:$A,SEARCH("§",SUBSTITUTE('Bite force'!$A:$A," ","§",2)&amp;"§")-1))=
TRIM(LEFT(A353,SEARCH("§",SUBSTITUTE(A353," ","§",2)&amp;"§")-1))
)),
MAX(_xlfn._xlws.FILTER('Bite force'!$I:$I,
TRIM(LEFT('Bite force'!$A:$A,SEARCH("§",SUBSTITUTE('Bite force'!$A:$A," ","§",2)&amp;"§")-1))=
TRIM(LEFT(A353,SEARCH("§",SUBSTITUTE(A353," ","§",2)&amp;"§")-1))
))
)
),
IFERROR(
AVERAGE(_xlfn._xlws.FILTER('Bite force'!$I:$I,
TRIM(LEFT('Bite force'!$A:$A,SEARCH(" ",'Bite force'!$A:$A&amp;" ")-1))=
TRIM(LEFT(A353,SEARCH(" ",A353&amp;" ")-1))
)),
1
)
)</f>
        <v>1</v>
      </c>
    </row>
    <row r="354" spans="1:3" x14ac:dyDescent="0.25">
      <c r="A354" s="2" t="str">
        <f>'[1]Base stats'!$B354</f>
        <v>Pachycephalosaurus wyomingensis</v>
      </c>
      <c r="B354" s="23">
        <f>_xlfn.XLOOKUP(A354,'[1]Base stats'!$B:$B,'[1]Base stats'!$O:$O)</f>
        <v>0</v>
      </c>
      <c r="C354" s="20" cm="1">
        <f t="array" ref="C354">IF(
SUMPRODUCT(--(
TRIM(LEFT('Bite force'!$A:$A,SEARCH("§",SUBSTITUTE('Bite force'!$A:$A," ","§",2)&amp;"§")-1))=
TRIM(LEFT(A354,SEARCH("§",SUBSTITUTE(A354," ","§",2)&amp;"§")-1))
))&gt;0,
IF(
COUNT(_xlfn._xlws.FILTER('Bite force'!$I:$I,
TRIM(LEFT('Bite force'!$A:$A,SEARCH("§",SUBSTITUTE('Bite force'!$A:$A," ","§",2)&amp;"§")-1))=
TRIM(LEFT(A354,SEARCH("§",SUBSTITUTE(A354," ","§",2)&amp;"§")-1))
))=0,
1,
IF(
B354=2,
AVERAGE(_xlfn._xlws.FILTER('Bite force'!$I:$I,
TRIM(LEFT('Bite force'!$A:$A,SEARCH("§",SUBSTITUTE('Bite force'!$A:$A," ","§",2)&amp;"§")-1))=
TRIM(LEFT(A354,SEARCH("§",SUBSTITUTE(A354," ","§",2)&amp;"§")-1))
)),
MAX(_xlfn._xlws.FILTER('Bite force'!$I:$I,
TRIM(LEFT('Bite force'!$A:$A,SEARCH("§",SUBSTITUTE('Bite force'!$A:$A," ","§",2)&amp;"§")-1))=
TRIM(LEFT(A354,SEARCH("§",SUBSTITUTE(A354," ","§",2)&amp;"§")-1))
))
)
),
IFERROR(
AVERAGE(_xlfn._xlws.FILTER('Bite force'!$I:$I,
TRIM(LEFT('Bite force'!$A:$A,SEARCH(" ",'Bite force'!$A:$A&amp;" ")-1))=
TRIM(LEFT(A354,SEARCH(" ",A354&amp;" ")-1))
)),
1
)
)</f>
        <v>1</v>
      </c>
    </row>
    <row r="355" spans="1:3" x14ac:dyDescent="0.25">
      <c r="A355" s="2" t="str">
        <f>'[1]Base stats'!$B355</f>
        <v>Stygimoloch spinifer</v>
      </c>
      <c r="B355" s="23">
        <f>_xlfn.XLOOKUP(A355,'[1]Base stats'!$B:$B,'[1]Base stats'!$O:$O)</f>
        <v>0</v>
      </c>
      <c r="C355" s="20" cm="1">
        <f t="array" ref="C355">IF(
SUMPRODUCT(--(
TRIM(LEFT('Bite force'!$A:$A,SEARCH("§",SUBSTITUTE('Bite force'!$A:$A," ","§",2)&amp;"§")-1))=
TRIM(LEFT(A355,SEARCH("§",SUBSTITUTE(A355," ","§",2)&amp;"§")-1))
))&gt;0,
IF(
COUNT(_xlfn._xlws.FILTER('Bite force'!$I:$I,
TRIM(LEFT('Bite force'!$A:$A,SEARCH("§",SUBSTITUTE('Bite force'!$A:$A," ","§",2)&amp;"§")-1))=
TRIM(LEFT(A355,SEARCH("§",SUBSTITUTE(A355," ","§",2)&amp;"§")-1))
))=0,
1,
IF(
B355=2,
AVERAGE(_xlfn._xlws.FILTER('Bite force'!$I:$I,
TRIM(LEFT('Bite force'!$A:$A,SEARCH("§",SUBSTITUTE('Bite force'!$A:$A," ","§",2)&amp;"§")-1))=
TRIM(LEFT(A355,SEARCH("§",SUBSTITUTE(A355," ","§",2)&amp;"§")-1))
)),
MAX(_xlfn._xlws.FILTER('Bite force'!$I:$I,
TRIM(LEFT('Bite force'!$A:$A,SEARCH("§",SUBSTITUTE('Bite force'!$A:$A," ","§",2)&amp;"§")-1))=
TRIM(LEFT(A355,SEARCH("§",SUBSTITUTE(A355," ","§",2)&amp;"§")-1))
))
)
),
IFERROR(
AVERAGE(_xlfn._xlws.FILTER('Bite force'!$I:$I,
TRIM(LEFT('Bite force'!$A:$A,SEARCH(" ",'Bite force'!$A:$A&amp;" ")-1))=
TRIM(LEFT(A355,SEARCH(" ",A355&amp;" ")-1))
)),
1
)
)</f>
        <v>1</v>
      </c>
    </row>
    <row r="356" spans="1:3" x14ac:dyDescent="0.25">
      <c r="A356" s="2" t="str">
        <f>'[1]Base stats'!$B356</f>
        <v>Dryosaurus altus</v>
      </c>
      <c r="B356" s="23">
        <f>_xlfn.XLOOKUP(A356,'[1]Base stats'!$B:$B,'[1]Base stats'!$O:$O)</f>
        <v>0</v>
      </c>
      <c r="C356" s="20" cm="1">
        <f t="array" ref="C356">IF(
SUMPRODUCT(--(
TRIM(LEFT('Bite force'!$A:$A,SEARCH("§",SUBSTITUTE('Bite force'!$A:$A," ","§",2)&amp;"§")-1))=
TRIM(LEFT(A356,SEARCH("§",SUBSTITUTE(A356," ","§",2)&amp;"§")-1))
))&gt;0,
IF(
COUNT(_xlfn._xlws.FILTER('Bite force'!$I:$I,
TRIM(LEFT('Bite force'!$A:$A,SEARCH("§",SUBSTITUTE('Bite force'!$A:$A," ","§",2)&amp;"§")-1))=
TRIM(LEFT(A356,SEARCH("§",SUBSTITUTE(A356," ","§",2)&amp;"§")-1))
))=0,
1,
IF(
B356=2,
AVERAGE(_xlfn._xlws.FILTER('Bite force'!$I:$I,
TRIM(LEFT('Bite force'!$A:$A,SEARCH("§",SUBSTITUTE('Bite force'!$A:$A," ","§",2)&amp;"§")-1))=
TRIM(LEFT(A356,SEARCH("§",SUBSTITUTE(A356," ","§",2)&amp;"§")-1))
)),
MAX(_xlfn._xlws.FILTER('Bite force'!$I:$I,
TRIM(LEFT('Bite force'!$A:$A,SEARCH("§",SUBSTITUTE('Bite force'!$A:$A," ","§",2)&amp;"§")-1))=
TRIM(LEFT(A356,SEARCH("§",SUBSTITUTE(A356," ","§",2)&amp;"§")-1))
))
)
),
IFERROR(
AVERAGE(_xlfn._xlws.FILTER('Bite force'!$I:$I,
TRIM(LEFT('Bite force'!$A:$A,SEARCH(" ",'Bite force'!$A:$A&amp;" ")-1))=
TRIM(LEFT(A356,SEARCH(" ",A356&amp;" ")-1))
)),
1
)
)</f>
        <v>1</v>
      </c>
    </row>
    <row r="357" spans="1:3" x14ac:dyDescent="0.25">
      <c r="A357" s="2" t="str">
        <f>'[1]Base stats'!$B357</f>
        <v>Stegosaurus stenops</v>
      </c>
      <c r="B357" s="23">
        <f>_xlfn.XLOOKUP(A357,'[1]Base stats'!$B:$B,'[1]Base stats'!$O:$O)</f>
        <v>0</v>
      </c>
      <c r="C357" s="20" cm="1">
        <f t="array" ref="C357">IF(
SUMPRODUCT(--(
TRIM(LEFT('Bite force'!$A:$A,SEARCH("§",SUBSTITUTE('Bite force'!$A:$A," ","§",2)&amp;"§")-1))=
TRIM(LEFT(A357,SEARCH("§",SUBSTITUTE(A357," ","§",2)&amp;"§")-1))
))&gt;0,
IF(
COUNT(_xlfn._xlws.FILTER('Bite force'!$I:$I,
TRIM(LEFT('Bite force'!$A:$A,SEARCH("§",SUBSTITUTE('Bite force'!$A:$A," ","§",2)&amp;"§")-1))=
TRIM(LEFT(A357,SEARCH("§",SUBSTITUTE(A357," ","§",2)&amp;"§")-1))
))=0,
1,
IF(
B357=2,
AVERAGE(_xlfn._xlws.FILTER('Bite force'!$I:$I,
TRIM(LEFT('Bite force'!$A:$A,SEARCH("§",SUBSTITUTE('Bite force'!$A:$A," ","§",2)&amp;"§")-1))=
TRIM(LEFT(A357,SEARCH("§",SUBSTITUTE(A357," ","§",2)&amp;"§")-1))
)),
MAX(_xlfn._xlws.FILTER('Bite force'!$I:$I,
TRIM(LEFT('Bite force'!$A:$A,SEARCH("§",SUBSTITUTE('Bite force'!$A:$A," ","§",2)&amp;"§")-1))=
TRIM(LEFT(A357,SEARCH("§",SUBSTITUTE(A357," ","§",2)&amp;"§")-1))
))
)
),
IFERROR(
AVERAGE(_xlfn._xlws.FILTER('Bite force'!$I:$I,
TRIM(LEFT('Bite force'!$A:$A,SEARCH(" ",'Bite force'!$A:$A&amp;" ")-1))=
TRIM(LEFT(A357,SEARCH(" ",A357&amp;" ")-1))
)),
1
)
)</f>
        <v>1</v>
      </c>
    </row>
    <row r="358" spans="1:3" x14ac:dyDescent="0.25">
      <c r="A358" s="2" t="str">
        <f>'[1]Base stats'!$B358</f>
        <v>Protoceratops andrewsi</v>
      </c>
      <c r="B358" s="23">
        <f>_xlfn.XLOOKUP(A358,'[1]Base stats'!$B:$B,'[1]Base stats'!$O:$O)</f>
        <v>0</v>
      </c>
      <c r="C358" s="20" cm="1">
        <f t="array" ref="C358">IF(
SUMPRODUCT(--(
TRIM(LEFT('Bite force'!$A:$A,SEARCH("§",SUBSTITUTE('Bite force'!$A:$A," ","§",2)&amp;"§")-1))=
TRIM(LEFT(A358,SEARCH("§",SUBSTITUTE(A358," ","§",2)&amp;"§")-1))
))&gt;0,
IF(
COUNT(_xlfn._xlws.FILTER('Bite force'!$I:$I,
TRIM(LEFT('Bite force'!$A:$A,SEARCH("§",SUBSTITUTE('Bite force'!$A:$A," ","§",2)&amp;"§")-1))=
TRIM(LEFT(A358,SEARCH("§",SUBSTITUTE(A358," ","§",2)&amp;"§")-1))
))=0,
1,
IF(
B358=2,
AVERAGE(_xlfn._xlws.FILTER('Bite force'!$I:$I,
TRIM(LEFT('Bite force'!$A:$A,SEARCH("§",SUBSTITUTE('Bite force'!$A:$A," ","§",2)&amp;"§")-1))=
TRIM(LEFT(A358,SEARCH("§",SUBSTITUTE(A358," ","§",2)&amp;"§")-1))
)),
MAX(_xlfn._xlws.FILTER('Bite force'!$I:$I,
TRIM(LEFT('Bite force'!$A:$A,SEARCH("§",SUBSTITUTE('Bite force'!$A:$A," ","§",2)&amp;"§")-1))=
TRIM(LEFT(A358,SEARCH("§",SUBSTITUTE(A358," ","§",2)&amp;"§")-1))
))
)
),
IFERROR(
AVERAGE(_xlfn._xlws.FILTER('Bite force'!$I:$I,
TRIM(LEFT('Bite force'!$A:$A,SEARCH(" ",'Bite force'!$A:$A&amp;" ")-1))=
TRIM(LEFT(A358,SEARCH(" ",A358&amp;" ")-1))
)),
1
)
)</f>
        <v>1</v>
      </c>
    </row>
    <row r="359" spans="1:3" x14ac:dyDescent="0.25">
      <c r="A359" s="2" t="str">
        <f>'[1]Base stats'!$B359</f>
        <v>Triceratops horridus</v>
      </c>
      <c r="B359" s="23">
        <f>_xlfn.XLOOKUP(A359,'[1]Base stats'!$B:$B,'[1]Base stats'!$O:$O)</f>
        <v>0</v>
      </c>
      <c r="C359" s="20" cm="1">
        <f t="array" ref="C359">IF(
SUMPRODUCT(--(
TRIM(LEFT('Bite force'!$A:$A,SEARCH("§",SUBSTITUTE('Bite force'!$A:$A," ","§",2)&amp;"§")-1))=
TRIM(LEFT(A359,SEARCH("§",SUBSTITUTE(A359," ","§",2)&amp;"§")-1))
))&gt;0,
IF(
COUNT(_xlfn._xlws.FILTER('Bite force'!$I:$I,
TRIM(LEFT('Bite force'!$A:$A,SEARCH("§",SUBSTITUTE('Bite force'!$A:$A," ","§",2)&amp;"§")-1))=
TRIM(LEFT(A359,SEARCH("§",SUBSTITUTE(A359," ","§",2)&amp;"§")-1))
))=0,
1,
IF(
B359=2,
AVERAGE(_xlfn._xlws.FILTER('Bite force'!$I:$I,
TRIM(LEFT('Bite force'!$A:$A,SEARCH("§",SUBSTITUTE('Bite force'!$A:$A," ","§",2)&amp;"§")-1))=
TRIM(LEFT(A359,SEARCH("§",SUBSTITUTE(A359," ","§",2)&amp;"§")-1))
)),
MAX(_xlfn._xlws.FILTER('Bite force'!$I:$I,
TRIM(LEFT('Bite force'!$A:$A,SEARCH("§",SUBSTITUTE('Bite force'!$A:$A," ","§",2)&amp;"§")-1))=
TRIM(LEFT(A359,SEARCH("§",SUBSTITUTE(A359," ","§",2)&amp;"§")-1))
))
)
),
IFERROR(
AVERAGE(_xlfn._xlws.FILTER('Bite force'!$I:$I,
TRIM(LEFT('Bite force'!$A:$A,SEARCH(" ",'Bite force'!$A:$A&amp;" ")-1))=
TRIM(LEFT(A359,SEARCH(" ",A359&amp;" ")-1))
)),
1
)
)</f>
        <v>1</v>
      </c>
    </row>
    <row r="360" spans="1:3" x14ac:dyDescent="0.25">
      <c r="A360" s="2" t="str">
        <f>'[1]Base stats'!$B360</f>
        <v>Quetzalcoatlus northropi</v>
      </c>
      <c r="B360" s="23">
        <f>_xlfn.XLOOKUP(A360,'[1]Base stats'!$B:$B,'[1]Base stats'!$O:$O)</f>
        <v>0</v>
      </c>
      <c r="C360" s="20" cm="1">
        <f t="array" ref="C360">IF(
SUMPRODUCT(--(
TRIM(LEFT('Bite force'!$A:$A,SEARCH("§",SUBSTITUTE('Bite force'!$A:$A," ","§",2)&amp;"§")-1))=
TRIM(LEFT(A360,SEARCH("§",SUBSTITUTE(A360," ","§",2)&amp;"§")-1))
))&gt;0,
IF(
COUNT(_xlfn._xlws.FILTER('Bite force'!$I:$I,
TRIM(LEFT('Bite force'!$A:$A,SEARCH("§",SUBSTITUTE('Bite force'!$A:$A," ","§",2)&amp;"§")-1))=
TRIM(LEFT(A360,SEARCH("§",SUBSTITUTE(A360," ","§",2)&amp;"§")-1))
))=0,
1,
IF(
B360=2,
AVERAGE(_xlfn._xlws.FILTER('Bite force'!$I:$I,
TRIM(LEFT('Bite force'!$A:$A,SEARCH("§",SUBSTITUTE('Bite force'!$A:$A," ","§",2)&amp;"§")-1))=
TRIM(LEFT(A360,SEARCH("§",SUBSTITUTE(A360," ","§",2)&amp;"§")-1))
)),
MAX(_xlfn._xlws.FILTER('Bite force'!$I:$I,
TRIM(LEFT('Bite force'!$A:$A,SEARCH("§",SUBSTITUTE('Bite force'!$A:$A," ","§",2)&amp;"§")-1))=
TRIM(LEFT(A360,SEARCH("§",SUBSTITUTE(A360," ","§",2)&amp;"§")-1))
))
)
),
IFERROR(
AVERAGE(_xlfn._xlws.FILTER('Bite force'!$I:$I,
TRIM(LEFT('Bite force'!$A:$A,SEARCH(" ",'Bite force'!$A:$A&amp;" ")-1))=
TRIM(LEFT(A360,SEARCH(" ",A360&amp;" ")-1))
)),
1
)
)</f>
        <v>1</v>
      </c>
    </row>
    <row r="361" spans="1:3" x14ac:dyDescent="0.25">
      <c r="A361" s="2" t="str">
        <f>'[1]Base stats'!$B361</f>
        <v>Pteranodon longiceps</v>
      </c>
      <c r="B361" s="23">
        <f>_xlfn.XLOOKUP(A361,'[1]Base stats'!$B:$B,'[1]Base stats'!$O:$O)</f>
        <v>0</v>
      </c>
      <c r="C361" s="20" cm="1">
        <f t="array" ref="C361">IF(
SUMPRODUCT(--(
TRIM(LEFT('Bite force'!$A:$A,SEARCH("§",SUBSTITUTE('Bite force'!$A:$A," ","§",2)&amp;"§")-1))=
TRIM(LEFT(A361,SEARCH("§",SUBSTITUTE(A361," ","§",2)&amp;"§")-1))
))&gt;0,
IF(
COUNT(_xlfn._xlws.FILTER('Bite force'!$I:$I,
TRIM(LEFT('Bite force'!$A:$A,SEARCH("§",SUBSTITUTE('Bite force'!$A:$A," ","§",2)&amp;"§")-1))=
TRIM(LEFT(A361,SEARCH("§",SUBSTITUTE(A361," ","§",2)&amp;"§")-1))
))=0,
1,
IF(
B361=2,
AVERAGE(_xlfn._xlws.FILTER('Bite force'!$I:$I,
TRIM(LEFT('Bite force'!$A:$A,SEARCH("§",SUBSTITUTE('Bite force'!$A:$A," ","§",2)&amp;"§")-1))=
TRIM(LEFT(A361,SEARCH("§",SUBSTITUTE(A361," ","§",2)&amp;"§")-1))
)),
MAX(_xlfn._xlws.FILTER('Bite force'!$I:$I,
TRIM(LEFT('Bite force'!$A:$A,SEARCH("§",SUBSTITUTE('Bite force'!$A:$A," ","§",2)&amp;"§")-1))=
TRIM(LEFT(A361,SEARCH("§",SUBSTITUTE(A361," ","§",2)&amp;"§")-1))
))
)
),
IFERROR(
AVERAGE(_xlfn._xlws.FILTER('Bite force'!$I:$I,
TRIM(LEFT('Bite force'!$A:$A,SEARCH(" ",'Bite force'!$A:$A&amp;" ")-1))=
TRIM(LEFT(A361,SEARCH(" ",A361&amp;" ")-1))
)),
1
)
)</f>
        <v>1</v>
      </c>
    </row>
    <row r="362" spans="1:3" x14ac:dyDescent="0.25">
      <c r="A362" s="2"/>
    </row>
    <row r="363" spans="1:3" x14ac:dyDescent="0.25">
      <c r="A363" s="2"/>
    </row>
    <row r="364" spans="1:3" x14ac:dyDescent="0.25">
      <c r="A364" s="2"/>
    </row>
    <row r="365" spans="1:3" x14ac:dyDescent="0.25">
      <c r="A365" s="2"/>
    </row>
    <row r="366" spans="1:3" x14ac:dyDescent="0.25">
      <c r="A366" s="2"/>
    </row>
    <row r="367" spans="1:3" x14ac:dyDescent="0.25">
      <c r="A367" s="2"/>
    </row>
    <row r="368" spans="1:3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0AEAF-8B37-475D-9DFE-306CBF1A9230}">
  <dimension ref="A1:R241"/>
  <sheetViews>
    <sheetView topLeftCell="A198" zoomScale="70" zoomScaleNormal="70" workbookViewId="0">
      <pane xSplit="1" topLeftCell="B1" activePane="topRight" state="frozen"/>
      <selection pane="topRight" activeCell="A221" sqref="A221"/>
    </sheetView>
  </sheetViews>
  <sheetFormatPr defaultRowHeight="15" x14ac:dyDescent="0.25"/>
  <cols>
    <col min="1" max="1" width="33" bestFit="1" customWidth="1"/>
    <col min="2" max="2" width="23" bestFit="1" customWidth="1"/>
    <col min="3" max="3" width="37.85546875" customWidth="1"/>
    <col min="4" max="4" width="25.28515625" bestFit="1" customWidth="1"/>
  </cols>
  <sheetData>
    <row r="1" spans="1:4" ht="18" thickBot="1" x14ac:dyDescent="0.35">
      <c r="A1" s="31" t="s">
        <v>581</v>
      </c>
      <c r="B1" s="32"/>
      <c r="C1" s="32"/>
      <c r="D1" s="32"/>
    </row>
    <row r="2" spans="1:4" ht="18.75" thickTop="1" thickBot="1" x14ac:dyDescent="0.35">
      <c r="A2" s="11" t="s">
        <v>180</v>
      </c>
      <c r="B2" s="11" t="s">
        <v>175</v>
      </c>
      <c r="C2" s="11" t="s">
        <v>448</v>
      </c>
      <c r="D2" s="11" t="s">
        <v>447</v>
      </c>
    </row>
    <row r="3" spans="1:4" ht="15.75" thickTop="1" x14ac:dyDescent="0.25">
      <c r="A3" s="2" t="s">
        <v>521</v>
      </c>
      <c r="B3" s="12">
        <v>1.1600209167967499</v>
      </c>
      <c r="C3" s="3">
        <v>0.32280787442715497</v>
      </c>
      <c r="D3" s="3">
        <f>EXP(C3)/EXP(0.358*B3-0.222)</f>
        <v>1.1382823164930562</v>
      </c>
    </row>
    <row r="4" spans="1:4" x14ac:dyDescent="0.25">
      <c r="A4" s="2" t="s">
        <v>9</v>
      </c>
      <c r="B4" s="12">
        <v>2.3504224224082102</v>
      </c>
      <c r="C4" s="3">
        <v>0.75141608868392096</v>
      </c>
      <c r="D4" s="3">
        <f t="shared" ref="D4:D67" si="0">EXP(C4)/EXP(0.358*B4-0.222)</f>
        <v>1.1410682230934119</v>
      </c>
    </row>
    <row r="5" spans="1:4" s="10" customFormat="1" x14ac:dyDescent="0.25">
      <c r="A5" s="2" t="s">
        <v>5</v>
      </c>
      <c r="B5" s="12">
        <v>3.6360548577879701</v>
      </c>
      <c r="C5" s="3">
        <v>1.0321875452868701</v>
      </c>
      <c r="D5" s="3">
        <f t="shared" si="0"/>
        <v>0.95359131166584876</v>
      </c>
    </row>
    <row r="6" spans="1:4" x14ac:dyDescent="0.25">
      <c r="A6" s="2" t="s">
        <v>6</v>
      </c>
      <c r="B6" s="12">
        <v>3.6360548577879701</v>
      </c>
      <c r="C6" s="3">
        <v>1.1600209167967499</v>
      </c>
      <c r="D6" s="3">
        <f t="shared" si="0"/>
        <v>1.0836264905293682</v>
      </c>
    </row>
    <row r="7" spans="1:4" x14ac:dyDescent="0.25">
      <c r="A7" s="2" t="s">
        <v>6</v>
      </c>
      <c r="B7" s="12">
        <v>3.4998353515591498</v>
      </c>
      <c r="C7" s="3">
        <v>1.0622940259939999</v>
      </c>
      <c r="D7" s="3">
        <f t="shared" si="0"/>
        <v>1.0318496517278064</v>
      </c>
    </row>
    <row r="8" spans="1:4" x14ac:dyDescent="0.25">
      <c r="A8" s="2" t="s">
        <v>573</v>
      </c>
      <c r="B8" s="12">
        <v>2.0399207835175499</v>
      </c>
      <c r="C8" s="3">
        <v>0.48980625654191501</v>
      </c>
      <c r="D8" s="3">
        <f t="shared" si="0"/>
        <v>0.98168442282830937</v>
      </c>
    </row>
    <row r="9" spans="1:4" x14ac:dyDescent="0.25">
      <c r="A9" s="2" t="s">
        <v>424</v>
      </c>
      <c r="B9" s="12">
        <v>1.8049073098946</v>
      </c>
      <c r="C9" s="3">
        <v>0.262364264467491</v>
      </c>
      <c r="D9" s="3">
        <f t="shared" si="0"/>
        <v>0.8506176447638748</v>
      </c>
    </row>
    <row r="10" spans="1:4" x14ac:dyDescent="0.25">
      <c r="A10" s="2" t="s">
        <v>422</v>
      </c>
      <c r="B10" s="12">
        <v>3.4406501086709</v>
      </c>
      <c r="C10" s="3">
        <v>1.0681530811833999</v>
      </c>
      <c r="D10" s="3">
        <f t="shared" si="0"/>
        <v>1.0601393293606742</v>
      </c>
    </row>
    <row r="11" spans="1:4" x14ac:dyDescent="0.25">
      <c r="A11" s="2" t="s">
        <v>423</v>
      </c>
      <c r="B11" s="12">
        <v>2.4857994041565199</v>
      </c>
      <c r="C11" s="3">
        <v>0.69314718055994495</v>
      </c>
      <c r="D11" s="3">
        <f t="shared" si="0"/>
        <v>1.0255519893906226</v>
      </c>
    </row>
    <row r="12" spans="1:4" x14ac:dyDescent="0.25">
      <c r="A12" s="2" t="s">
        <v>425</v>
      </c>
      <c r="B12" s="12">
        <v>1.83270891710019</v>
      </c>
      <c r="C12" s="3">
        <v>0.53649337051456902</v>
      </c>
      <c r="D12" s="3">
        <f t="shared" si="0"/>
        <v>1.1078083213549628</v>
      </c>
    </row>
    <row r="13" spans="1:4" x14ac:dyDescent="0.25">
      <c r="A13" s="2" t="s">
        <v>420</v>
      </c>
      <c r="B13" s="12">
        <v>0.64829908028670902</v>
      </c>
      <c r="C13" s="3">
        <v>-0.11653381625595199</v>
      </c>
      <c r="D13" s="3">
        <f t="shared" si="0"/>
        <v>0.88106410922018641</v>
      </c>
    </row>
    <row r="14" spans="1:4" x14ac:dyDescent="0.25">
      <c r="A14" s="2" t="s">
        <v>426</v>
      </c>
      <c r="B14" s="12">
        <v>1.33556615105423</v>
      </c>
      <c r="C14" s="3">
        <v>0.30010459245033799</v>
      </c>
      <c r="D14" s="3">
        <f t="shared" si="0"/>
        <v>1.0449530021360494</v>
      </c>
    </row>
    <row r="15" spans="1:4" x14ac:dyDescent="0.25">
      <c r="A15" s="2" t="s">
        <v>8</v>
      </c>
      <c r="B15" s="12">
        <v>3.0617087994477998</v>
      </c>
      <c r="C15" s="3">
        <v>0.89608802455663605</v>
      </c>
      <c r="D15" s="3">
        <f t="shared" si="0"/>
        <v>1.0222399759593972</v>
      </c>
    </row>
    <row r="16" spans="1:4" x14ac:dyDescent="0.25">
      <c r="A16" s="2" t="s">
        <v>418</v>
      </c>
      <c r="B16" s="12">
        <v>1.4768485341792501</v>
      </c>
      <c r="C16" s="3">
        <v>0.198850858745165</v>
      </c>
      <c r="D16" s="3">
        <f t="shared" si="0"/>
        <v>0.89775245030867223</v>
      </c>
    </row>
    <row r="17" spans="1:4" x14ac:dyDescent="0.25">
      <c r="A17" s="2" t="s">
        <v>419</v>
      </c>
      <c r="B17" s="12">
        <v>1.20804647090587</v>
      </c>
      <c r="C17" s="3">
        <v>-0.13926206733350799</v>
      </c>
      <c r="D17" s="3">
        <f t="shared" si="0"/>
        <v>0.70486942653098961</v>
      </c>
    </row>
    <row r="18" spans="1:4" x14ac:dyDescent="0.25">
      <c r="A18" s="2" t="s">
        <v>421</v>
      </c>
      <c r="B18" s="12">
        <v>1.8125089541856001</v>
      </c>
      <c r="C18" s="3">
        <v>0.62057648772510998</v>
      </c>
      <c r="D18" s="3">
        <f t="shared" si="0"/>
        <v>1.2137300236639816</v>
      </c>
    </row>
    <row r="19" spans="1:4" x14ac:dyDescent="0.25">
      <c r="A19" s="2" t="s">
        <v>135</v>
      </c>
      <c r="B19" s="12">
        <v>1.28923264827676</v>
      </c>
      <c r="C19" s="3">
        <v>0.169742774587095</v>
      </c>
      <c r="D19" s="3">
        <f t="shared" si="0"/>
        <v>0.93257797328511149</v>
      </c>
    </row>
    <row r="20" spans="1:4" x14ac:dyDescent="0.25">
      <c r="A20" s="2" t="s">
        <v>11</v>
      </c>
      <c r="B20" s="12">
        <v>1.27510977351851</v>
      </c>
      <c r="C20" s="3">
        <v>0.37156355643248301</v>
      </c>
      <c r="D20" s="3">
        <f t="shared" si="0"/>
        <v>1.1469133122883668</v>
      </c>
    </row>
    <row r="21" spans="1:4" x14ac:dyDescent="0.25">
      <c r="A21" s="2" t="s">
        <v>531</v>
      </c>
      <c r="B21" s="12">
        <v>0.78845736036427005</v>
      </c>
      <c r="C21" s="3">
        <v>0.28216689176367099</v>
      </c>
      <c r="D21" s="3">
        <f t="shared" si="0"/>
        <v>1.2484454742211286</v>
      </c>
    </row>
    <row r="22" spans="1:4" x14ac:dyDescent="0.25">
      <c r="A22" s="2" t="s">
        <v>10</v>
      </c>
      <c r="B22" s="12">
        <v>1.9794033079871001</v>
      </c>
      <c r="C22" s="3">
        <v>0.58778666490211895</v>
      </c>
      <c r="D22" s="3">
        <f t="shared" si="0"/>
        <v>1.1064539707054291</v>
      </c>
    </row>
    <row r="23" spans="1:4" x14ac:dyDescent="0.25">
      <c r="A23" s="2" t="s">
        <v>10</v>
      </c>
      <c r="B23" s="12">
        <v>1.4206957878372199</v>
      </c>
      <c r="C23" s="3">
        <v>0.62647304729195297</v>
      </c>
      <c r="D23" s="3">
        <f t="shared" si="0"/>
        <v>1.4047564678154916</v>
      </c>
    </row>
    <row r="24" spans="1:4" x14ac:dyDescent="0.25">
      <c r="A24" s="2" t="s">
        <v>140</v>
      </c>
      <c r="B24" s="12">
        <v>3.0519722952410002</v>
      </c>
      <c r="C24" s="3">
        <v>1.03673688495002</v>
      </c>
      <c r="D24" s="3">
        <f t="shared" si="0"/>
        <v>1.1807275346262045</v>
      </c>
    </row>
    <row r="25" spans="1:4" x14ac:dyDescent="0.25">
      <c r="A25" s="2" t="s">
        <v>445</v>
      </c>
      <c r="B25" s="12">
        <v>2.0806398215049602</v>
      </c>
      <c r="C25" s="3">
        <v>0.60976557162089395</v>
      </c>
      <c r="D25" s="3">
        <f t="shared" si="0"/>
        <v>1.0907837946859791</v>
      </c>
    </row>
    <row r="26" spans="1:4" x14ac:dyDescent="0.25">
      <c r="A26" s="2" t="s">
        <v>445</v>
      </c>
      <c r="B26" s="12">
        <v>2.43449016387398</v>
      </c>
      <c r="C26" s="3">
        <v>0.328584063772207</v>
      </c>
      <c r="D26" s="3">
        <f t="shared" si="0"/>
        <v>0.72544979116166641</v>
      </c>
    </row>
    <row r="27" spans="1:4" x14ac:dyDescent="0.25">
      <c r="A27" s="2" t="s">
        <v>441</v>
      </c>
      <c r="B27" s="12">
        <v>1.6511626718446899</v>
      </c>
      <c r="C27" s="3">
        <v>0.405465108108164</v>
      </c>
      <c r="D27" s="3">
        <f t="shared" si="0"/>
        <v>1.0370175693558012</v>
      </c>
    </row>
    <row r="28" spans="1:4" x14ac:dyDescent="0.25">
      <c r="A28" s="2" t="s">
        <v>441</v>
      </c>
      <c r="B28" s="12">
        <v>1.9501867058225699</v>
      </c>
      <c r="C28" s="3">
        <v>0.32786386208461299</v>
      </c>
      <c r="D28" s="3">
        <f t="shared" si="0"/>
        <v>0.86216985635023824</v>
      </c>
    </row>
    <row r="29" spans="1:4" x14ac:dyDescent="0.25">
      <c r="A29" s="2" t="s">
        <v>574</v>
      </c>
      <c r="B29" s="12">
        <v>2.37954613413017</v>
      </c>
      <c r="C29" s="3">
        <v>0.31990721974651798</v>
      </c>
      <c r="D29" s="3">
        <f t="shared" si="0"/>
        <v>0.73346874265668616</v>
      </c>
    </row>
    <row r="30" spans="1:4" x14ac:dyDescent="0.25">
      <c r="A30" s="2" t="s">
        <v>524</v>
      </c>
      <c r="B30" s="12">
        <v>1.53901544813755</v>
      </c>
      <c r="C30" s="3">
        <v>0.27611543608031602</v>
      </c>
      <c r="D30" s="3">
        <f t="shared" si="0"/>
        <v>0.94852029361564583</v>
      </c>
    </row>
    <row r="31" spans="1:4" x14ac:dyDescent="0.25">
      <c r="A31" s="2" t="s">
        <v>439</v>
      </c>
      <c r="B31" s="12">
        <v>1.65606911753658</v>
      </c>
      <c r="C31" s="3">
        <v>0.113328685307003</v>
      </c>
      <c r="D31" s="3">
        <f t="shared" si="0"/>
        <v>0.77294757044318618</v>
      </c>
    </row>
    <row r="32" spans="1:4" x14ac:dyDescent="0.25">
      <c r="A32" s="2" t="s">
        <v>442</v>
      </c>
      <c r="B32" s="12">
        <v>1.6066959322543599</v>
      </c>
      <c r="C32" s="3">
        <v>0.37156355643248301</v>
      </c>
      <c r="D32" s="3">
        <f t="shared" si="0"/>
        <v>1.0185361125769117</v>
      </c>
    </row>
    <row r="33" spans="1:4" x14ac:dyDescent="0.25">
      <c r="A33" s="2" t="s">
        <v>438</v>
      </c>
      <c r="B33" s="12">
        <v>1.4750069280056</v>
      </c>
      <c r="C33" s="3">
        <v>0.30010459245033799</v>
      </c>
      <c r="D33" s="3">
        <f t="shared" si="0"/>
        <v>0.99406976589081197</v>
      </c>
    </row>
    <row r="34" spans="1:4" x14ac:dyDescent="0.25">
      <c r="A34" s="2" t="s">
        <v>435</v>
      </c>
      <c r="B34" s="12">
        <v>2.1750454161758102</v>
      </c>
      <c r="C34" s="3">
        <v>0.41210965082683298</v>
      </c>
      <c r="D34" s="3">
        <f t="shared" si="0"/>
        <v>0.86540592197604038</v>
      </c>
    </row>
    <row r="35" spans="1:4" x14ac:dyDescent="0.25">
      <c r="A35" s="2" t="s">
        <v>437</v>
      </c>
      <c r="B35" s="12">
        <v>1.12830805415267</v>
      </c>
      <c r="C35" s="3">
        <v>0</v>
      </c>
      <c r="D35" s="3">
        <f t="shared" si="0"/>
        <v>0.83365612367277186</v>
      </c>
    </row>
    <row r="36" spans="1:4" x14ac:dyDescent="0.25">
      <c r="A36" s="2" t="s">
        <v>436</v>
      </c>
      <c r="B36" s="12">
        <v>1.0535367935490101</v>
      </c>
      <c r="C36" s="3">
        <v>0.122217632724249</v>
      </c>
      <c r="D36" s="3">
        <f t="shared" si="0"/>
        <v>0.96758835101757912</v>
      </c>
    </row>
    <row r="37" spans="1:4" x14ac:dyDescent="0.25">
      <c r="A37" s="2" t="s">
        <v>444</v>
      </c>
      <c r="B37" s="12">
        <v>1.9970312117323099</v>
      </c>
      <c r="C37" s="3">
        <v>0.21511137961694499</v>
      </c>
      <c r="D37" s="3">
        <f t="shared" si="0"/>
        <v>0.75742875851743385</v>
      </c>
    </row>
    <row r="38" spans="1:4" x14ac:dyDescent="0.25">
      <c r="A38" s="2" t="s">
        <v>18</v>
      </c>
      <c r="B38" s="12">
        <v>2.7914094153973901</v>
      </c>
      <c r="C38" s="3">
        <v>0.832909122935104</v>
      </c>
      <c r="D38" s="3">
        <f t="shared" si="0"/>
        <v>1.057158398386151</v>
      </c>
    </row>
    <row r="39" spans="1:4" x14ac:dyDescent="0.25">
      <c r="A39" s="2" t="s">
        <v>474</v>
      </c>
      <c r="B39" s="12">
        <v>1.8099267731835</v>
      </c>
      <c r="C39" s="3">
        <v>0.51879379341516796</v>
      </c>
      <c r="D39" s="3">
        <f t="shared" si="0"/>
        <v>1.0972861648908416</v>
      </c>
    </row>
    <row r="40" spans="1:4" x14ac:dyDescent="0.25">
      <c r="A40" s="2" t="s">
        <v>433</v>
      </c>
      <c r="B40" s="12">
        <v>3.4368277264479898</v>
      </c>
      <c r="C40" s="3">
        <v>1.44220199305819</v>
      </c>
      <c r="D40" s="3">
        <f t="shared" si="0"/>
        <v>1.543137477562452</v>
      </c>
    </row>
    <row r="41" spans="1:4" x14ac:dyDescent="0.25">
      <c r="A41" s="2" t="s">
        <v>14</v>
      </c>
      <c r="B41" s="12">
        <v>5.3132059790417898</v>
      </c>
      <c r="C41" s="3">
        <v>1.7917594692280501</v>
      </c>
      <c r="D41" s="3">
        <f t="shared" si="0"/>
        <v>1.1181010203336941</v>
      </c>
    </row>
    <row r="42" spans="1:4" x14ac:dyDescent="0.25">
      <c r="A42" s="2" t="s">
        <v>14</v>
      </c>
      <c r="B42" s="12">
        <v>5.0399999027261604</v>
      </c>
      <c r="C42" s="3">
        <v>1.5957445853020999</v>
      </c>
      <c r="D42" s="3">
        <f t="shared" si="0"/>
        <v>1.0135151349276421</v>
      </c>
    </row>
    <row r="43" spans="1:4" x14ac:dyDescent="0.25">
      <c r="A43" s="2" t="s">
        <v>15</v>
      </c>
      <c r="B43" s="12">
        <v>3.9783994034220602</v>
      </c>
      <c r="C43" s="3">
        <v>1.34547236659964</v>
      </c>
      <c r="D43" s="3">
        <f t="shared" si="0"/>
        <v>1.1539667792284651</v>
      </c>
    </row>
    <row r="44" spans="1:4" x14ac:dyDescent="0.25">
      <c r="A44" s="2" t="s">
        <v>17</v>
      </c>
      <c r="B44" s="12">
        <v>3.7946509638650001</v>
      </c>
      <c r="C44" s="3">
        <v>1.19694818938897</v>
      </c>
      <c r="D44" s="3">
        <f t="shared" si="0"/>
        <v>1.0623284440172567</v>
      </c>
    </row>
    <row r="45" spans="1:4" x14ac:dyDescent="0.25">
      <c r="A45" s="2" t="s">
        <v>17</v>
      </c>
      <c r="B45" s="12">
        <v>3.9300593679142399</v>
      </c>
      <c r="C45" s="3">
        <v>1.2137250957686101</v>
      </c>
      <c r="D45" s="3">
        <f t="shared" si="0"/>
        <v>1.0291815163822295</v>
      </c>
    </row>
    <row r="46" spans="1:4" x14ac:dyDescent="0.25">
      <c r="A46" s="2" t="s">
        <v>13</v>
      </c>
      <c r="B46" s="12">
        <v>5.0246341302581303</v>
      </c>
      <c r="C46" s="3">
        <v>1.8082887711792699</v>
      </c>
      <c r="D46" s="3">
        <f t="shared" si="0"/>
        <v>1.2604512005623816</v>
      </c>
    </row>
    <row r="47" spans="1:4" x14ac:dyDescent="0.25">
      <c r="A47" s="2" t="s">
        <v>13</v>
      </c>
      <c r="B47" s="12">
        <v>5.0699728134417601</v>
      </c>
      <c r="C47" s="3">
        <v>1.6705330117939099</v>
      </c>
      <c r="D47" s="3">
        <f t="shared" si="0"/>
        <v>1.0805635867210663</v>
      </c>
    </row>
    <row r="48" spans="1:4" x14ac:dyDescent="0.25">
      <c r="A48" s="2" t="s">
        <v>434</v>
      </c>
      <c r="B48" s="12">
        <v>3.5706480972967198</v>
      </c>
      <c r="C48" s="3">
        <v>1.15057202759882</v>
      </c>
      <c r="D48" s="3">
        <f t="shared" si="0"/>
        <v>1.098867395346917</v>
      </c>
    </row>
    <row r="49" spans="1:4" x14ac:dyDescent="0.25">
      <c r="A49" s="2" t="s">
        <v>440</v>
      </c>
      <c r="B49" s="12">
        <v>1.1903654202463501</v>
      </c>
      <c r="C49" s="3">
        <v>0.34358970439007702</v>
      </c>
      <c r="D49" s="3">
        <f t="shared" si="0"/>
        <v>1.1496285428061539</v>
      </c>
    </row>
    <row r="50" spans="1:4" x14ac:dyDescent="0.25">
      <c r="A50" s="2" t="s">
        <v>443</v>
      </c>
      <c r="B50" s="12">
        <v>1.06514336132342</v>
      </c>
      <c r="C50" s="3">
        <v>0.113328685307003</v>
      </c>
      <c r="D50" s="3">
        <f t="shared" si="0"/>
        <v>0.95504899319084313</v>
      </c>
    </row>
    <row r="51" spans="1:4" x14ac:dyDescent="0.25">
      <c r="A51" s="2" t="s">
        <v>446</v>
      </c>
      <c r="B51" s="12">
        <v>2.17927733538871</v>
      </c>
      <c r="C51" s="3">
        <v>0.45742484703887498</v>
      </c>
      <c r="D51" s="3">
        <f t="shared" si="0"/>
        <v>0.90415322250562291</v>
      </c>
    </row>
    <row r="52" spans="1:4" x14ac:dyDescent="0.25">
      <c r="A52" s="2" t="s">
        <v>16</v>
      </c>
      <c r="B52" s="12">
        <v>3.07174888298958</v>
      </c>
      <c r="C52" s="3">
        <v>0.916290731874155</v>
      </c>
      <c r="D52" s="3">
        <f t="shared" si="0"/>
        <v>1.0393594726837676</v>
      </c>
    </row>
    <row r="53" spans="1:4" x14ac:dyDescent="0.25">
      <c r="A53" s="2" t="s">
        <v>241</v>
      </c>
      <c r="B53" s="12">
        <v>1.4370765286210501</v>
      </c>
      <c r="C53" s="3">
        <v>8.6177696241052398E-2</v>
      </c>
      <c r="D53" s="3">
        <f t="shared" si="0"/>
        <v>0.81359246060103374</v>
      </c>
    </row>
    <row r="54" spans="1:4" x14ac:dyDescent="0.25">
      <c r="A54" s="2" t="s">
        <v>522</v>
      </c>
      <c r="B54" s="12">
        <v>-0.52763274208237199</v>
      </c>
      <c r="C54" s="3">
        <v>-0.15198635699788199</v>
      </c>
      <c r="D54" s="3">
        <f t="shared" si="0"/>
        <v>1.2955122343032075</v>
      </c>
    </row>
    <row r="55" spans="1:4" x14ac:dyDescent="0.25">
      <c r="A55" s="2" t="s">
        <v>525</v>
      </c>
      <c r="B55" s="12">
        <v>-1.30933331998376</v>
      </c>
      <c r="C55" s="3">
        <v>-0.56916120077895405</v>
      </c>
      <c r="D55" s="3">
        <f t="shared" si="0"/>
        <v>1.1292798489819196</v>
      </c>
    </row>
    <row r="56" spans="1:4" x14ac:dyDescent="0.25">
      <c r="A56" s="2" t="s">
        <v>576</v>
      </c>
      <c r="B56" s="12">
        <v>0.231111720963387</v>
      </c>
      <c r="C56" s="3">
        <v>-0.13238918804574601</v>
      </c>
      <c r="D56" s="3">
        <f t="shared" si="0"/>
        <v>1.0068964878482332</v>
      </c>
    </row>
    <row r="57" spans="1:4" x14ac:dyDescent="0.25">
      <c r="A57" s="2" t="s">
        <v>577</v>
      </c>
      <c r="B57" s="12">
        <v>-0.17435338714477799</v>
      </c>
      <c r="C57" s="3">
        <v>-0.26918748981561702</v>
      </c>
      <c r="D57" s="3">
        <f t="shared" si="0"/>
        <v>1.0153476059513205</v>
      </c>
    </row>
    <row r="58" spans="1:4" x14ac:dyDescent="0.25">
      <c r="A58" s="2" t="s">
        <v>578</v>
      </c>
      <c r="B58" s="12">
        <v>-0.71334988787746501</v>
      </c>
      <c r="C58" s="3">
        <v>-0.50418108104732196</v>
      </c>
      <c r="D58" s="3">
        <f t="shared" si="0"/>
        <v>0.97355416021518493</v>
      </c>
    </row>
    <row r="59" spans="1:4" x14ac:dyDescent="0.25">
      <c r="A59" s="2" t="s">
        <v>579</v>
      </c>
      <c r="B59" s="12">
        <v>1.3506671834767401</v>
      </c>
      <c r="C59" s="3">
        <v>4.6883585898850499E-2</v>
      </c>
      <c r="D59" s="3">
        <f t="shared" si="0"/>
        <v>0.80681953053778488</v>
      </c>
    </row>
    <row r="60" spans="1:4" x14ac:dyDescent="0.25">
      <c r="A60" s="2" t="s">
        <v>527</v>
      </c>
      <c r="B60" s="12">
        <v>0.231111720963387</v>
      </c>
      <c r="C60" s="3">
        <v>-0.32020526415734102</v>
      </c>
      <c r="D60" s="3">
        <f t="shared" si="0"/>
        <v>0.8344827056824401</v>
      </c>
    </row>
    <row r="61" spans="1:4" x14ac:dyDescent="0.25">
      <c r="A61" s="2" t="s">
        <v>530</v>
      </c>
      <c r="B61" s="12">
        <v>-0.31471074483970002</v>
      </c>
      <c r="C61" s="3">
        <v>-0.23572233352107</v>
      </c>
      <c r="D61" s="3">
        <f t="shared" si="0"/>
        <v>1.1040045984749864</v>
      </c>
    </row>
    <row r="62" spans="1:4" x14ac:dyDescent="0.25">
      <c r="A62" s="2" t="s">
        <v>4</v>
      </c>
      <c r="B62" s="12">
        <v>4.2158622541310198</v>
      </c>
      <c r="C62" s="3">
        <v>1.0331844833456501</v>
      </c>
      <c r="D62" s="3">
        <f t="shared" si="0"/>
        <v>0.77561873250219948</v>
      </c>
    </row>
    <row r="63" spans="1:4" x14ac:dyDescent="0.25">
      <c r="A63" s="2" t="s">
        <v>4</v>
      </c>
      <c r="B63" s="12">
        <v>4.1899577264250496</v>
      </c>
      <c r="C63" s="3">
        <v>1.0862022685914301</v>
      </c>
      <c r="D63" s="3">
        <f t="shared" si="0"/>
        <v>0.82546980223782873</v>
      </c>
    </row>
    <row r="64" spans="1:4" x14ac:dyDescent="0.25">
      <c r="A64" s="2" t="s">
        <v>432</v>
      </c>
      <c r="B64" s="12">
        <v>3.77256886094343</v>
      </c>
      <c r="C64" s="3">
        <v>1.08180517035173</v>
      </c>
      <c r="D64" s="3">
        <f t="shared" si="0"/>
        <v>0.95430258586344863</v>
      </c>
    </row>
    <row r="65" spans="1:4" x14ac:dyDescent="0.25">
      <c r="A65" s="2" t="s">
        <v>7</v>
      </c>
      <c r="B65" s="12">
        <v>3.72792511972786</v>
      </c>
      <c r="C65" s="3">
        <v>1.16315080980568</v>
      </c>
      <c r="D65" s="3">
        <f t="shared" si="0"/>
        <v>1.0518532589994527</v>
      </c>
    </row>
    <row r="66" spans="1:4" x14ac:dyDescent="0.25">
      <c r="A66" s="2" t="s">
        <v>7</v>
      </c>
      <c r="B66" s="12">
        <v>3.2898933121034801</v>
      </c>
      <c r="C66" s="3">
        <v>1.0698698198024601</v>
      </c>
      <c r="D66" s="3">
        <f t="shared" si="0"/>
        <v>1.120850771180536</v>
      </c>
    </row>
    <row r="67" spans="1:4" x14ac:dyDescent="0.25">
      <c r="A67" s="2" t="s">
        <v>529</v>
      </c>
      <c r="B67" s="12">
        <v>2.1198634561787499</v>
      </c>
      <c r="C67" s="3">
        <v>0.35136084911496401</v>
      </c>
      <c r="D67" s="3">
        <f t="shared" si="0"/>
        <v>0.83064707940037907</v>
      </c>
    </row>
    <row r="68" spans="1:4" x14ac:dyDescent="0.25">
      <c r="A68" s="2" t="s">
        <v>572</v>
      </c>
      <c r="B68" s="12">
        <v>1.2208299213923599</v>
      </c>
      <c r="C68" s="3">
        <v>-4.4997365930735701E-2</v>
      </c>
      <c r="D68" s="3">
        <f t="shared" ref="D68:D131" si="1">EXP(C68)/EXP(0.358*B68-0.222)</f>
        <v>0.77100958176196621</v>
      </c>
    </row>
    <row r="69" spans="1:4" x14ac:dyDescent="0.25">
      <c r="A69" s="2" t="s">
        <v>24</v>
      </c>
      <c r="B69" s="12">
        <v>2.5603232890727501</v>
      </c>
      <c r="C69" s="3">
        <v>0.31772619380015799</v>
      </c>
      <c r="D69" s="3">
        <f t="shared" si="1"/>
        <v>0.68600556181444494</v>
      </c>
    </row>
    <row r="70" spans="1:4" x14ac:dyDescent="0.25">
      <c r="A70" s="2" t="s">
        <v>134</v>
      </c>
      <c r="B70" s="12">
        <v>0.85866161903751903</v>
      </c>
      <c r="C70" s="3">
        <v>-5.8688996348679599E-2</v>
      </c>
      <c r="D70" s="3">
        <f t="shared" si="1"/>
        <v>0.86580994637631581</v>
      </c>
    </row>
    <row r="71" spans="1:4" x14ac:dyDescent="0.25">
      <c r="A71" s="2" t="s">
        <v>243</v>
      </c>
      <c r="B71" s="12">
        <v>-0.61618613942381695</v>
      </c>
      <c r="C71" s="3">
        <v>-0.43386458262986199</v>
      </c>
      <c r="D71" s="3">
        <f t="shared" si="1"/>
        <v>1.0087682733508165</v>
      </c>
    </row>
    <row r="72" spans="1:4" x14ac:dyDescent="0.25">
      <c r="A72" s="2" t="s">
        <v>523</v>
      </c>
      <c r="B72" s="12">
        <v>1.4793292270870799</v>
      </c>
      <c r="C72" s="3">
        <v>0.51700648284107198</v>
      </c>
      <c r="D72" s="3">
        <f t="shared" si="1"/>
        <v>1.2329462366531381</v>
      </c>
    </row>
    <row r="73" spans="1:4" x14ac:dyDescent="0.25">
      <c r="A73" s="2" t="s">
        <v>251</v>
      </c>
      <c r="B73" s="12">
        <v>2.1965975611522999</v>
      </c>
      <c r="C73" s="3">
        <v>0.74668794748797496</v>
      </c>
      <c r="D73" s="3">
        <f t="shared" si="1"/>
        <v>1.1999813567066198</v>
      </c>
    </row>
    <row r="74" spans="1:4" x14ac:dyDescent="0.25">
      <c r="A74" s="2" t="s">
        <v>526</v>
      </c>
      <c r="B74" s="12">
        <v>-0.28768207245178101</v>
      </c>
      <c r="C74" s="3">
        <v>-8.3381608939051097E-2</v>
      </c>
      <c r="D74" s="3">
        <f t="shared" si="1"/>
        <v>1.27329569294453</v>
      </c>
    </row>
    <row r="75" spans="1:4" x14ac:dyDescent="0.25">
      <c r="A75" s="2" t="s">
        <v>50</v>
      </c>
      <c r="B75" s="12">
        <v>2.1598687907924501</v>
      </c>
      <c r="C75" s="3">
        <v>0.25928259793008301</v>
      </c>
      <c r="D75" s="3">
        <f t="shared" si="1"/>
        <v>0.7468055548243242</v>
      </c>
    </row>
    <row r="76" spans="1:4" x14ac:dyDescent="0.25">
      <c r="A76" s="2" t="s">
        <v>249</v>
      </c>
      <c r="B76" s="12">
        <v>-0.15082288973458399</v>
      </c>
      <c r="C76" s="3">
        <v>0.19474407679251199</v>
      </c>
      <c r="D76" s="3">
        <f t="shared" si="1"/>
        <v>1.6011764996502116</v>
      </c>
    </row>
    <row r="77" spans="1:4" x14ac:dyDescent="0.25">
      <c r="A77" s="2" t="s">
        <v>24</v>
      </c>
      <c r="B77" s="12">
        <v>2.1038148396364198</v>
      </c>
      <c r="C77" s="3">
        <v>0.53062825106217004</v>
      </c>
      <c r="D77" s="3">
        <f t="shared" si="1"/>
        <v>0.99946268287890638</v>
      </c>
    </row>
    <row r="78" spans="1:4" x14ac:dyDescent="0.25">
      <c r="A78" s="2" t="s">
        <v>221</v>
      </c>
      <c r="B78" s="12">
        <v>-2.40794560865187</v>
      </c>
      <c r="C78" s="3">
        <v>-0.64055473044077504</v>
      </c>
      <c r="D78" s="3">
        <f t="shared" si="1"/>
        <v>1.5581353181886306</v>
      </c>
    </row>
    <row r="79" spans="1:4" x14ac:dyDescent="0.25">
      <c r="A79" s="2" t="s">
        <v>580</v>
      </c>
      <c r="B79" s="12">
        <v>-1.4696759700589399</v>
      </c>
      <c r="C79" s="3">
        <v>-0.62548853208613098</v>
      </c>
      <c r="D79" s="3">
        <f t="shared" si="1"/>
        <v>1.1304948590166815</v>
      </c>
    </row>
    <row r="80" spans="1:4" x14ac:dyDescent="0.25">
      <c r="A80" s="2" t="s">
        <v>528</v>
      </c>
      <c r="B80" s="12">
        <v>-0.56211891815354098</v>
      </c>
      <c r="C80" s="3">
        <v>-0.30924625036762099</v>
      </c>
      <c r="D80" s="3">
        <f t="shared" si="1"/>
        <v>1.1207435201537277</v>
      </c>
    </row>
    <row r="81" spans="1:17" x14ac:dyDescent="0.25">
      <c r="A81" s="2" t="s">
        <v>244</v>
      </c>
      <c r="B81" s="12">
        <v>2.0343180921616701</v>
      </c>
      <c r="C81" s="3">
        <v>0.62593843086649503</v>
      </c>
      <c r="D81" s="3">
        <f t="shared" si="1"/>
        <v>1.1271051752118169</v>
      </c>
    </row>
    <row r="82" spans="1:17" x14ac:dyDescent="0.25">
      <c r="A82" s="2" t="s">
        <v>244</v>
      </c>
      <c r="B82" s="12">
        <v>1.4011829736136401</v>
      </c>
      <c r="C82" s="3">
        <v>0.58889715918614605</v>
      </c>
      <c r="D82" s="3">
        <f t="shared" si="1"/>
        <v>1.3624351561857517</v>
      </c>
    </row>
    <row r="83" spans="1:17" x14ac:dyDescent="0.25">
      <c r="A83" s="2" t="s">
        <v>254</v>
      </c>
      <c r="B83" s="12">
        <v>0.93582789815706002</v>
      </c>
      <c r="C83" s="3">
        <v>-0.11653381625595199</v>
      </c>
      <c r="D83" s="3">
        <f t="shared" si="1"/>
        <v>0.79488311221641184</v>
      </c>
    </row>
    <row r="84" spans="1:17" x14ac:dyDescent="0.25">
      <c r="A84" s="2" t="s">
        <v>254</v>
      </c>
      <c r="B84" s="12">
        <v>1.6094379124341001</v>
      </c>
      <c r="C84" s="3">
        <v>0.115112807100505</v>
      </c>
      <c r="D84" s="3">
        <f t="shared" si="1"/>
        <v>0.7873629418293453</v>
      </c>
      <c r="P84" s="8"/>
      <c r="Q84" s="8"/>
    </row>
    <row r="85" spans="1:17" x14ac:dyDescent="0.25">
      <c r="A85" s="2" t="s">
        <v>253</v>
      </c>
      <c r="B85" s="12">
        <v>0.71783979315031698</v>
      </c>
      <c r="C85" s="3">
        <v>-2.6343975339602001E-2</v>
      </c>
      <c r="D85" s="3">
        <f t="shared" si="1"/>
        <v>0.94051223500047731</v>
      </c>
      <c r="P85" s="8"/>
      <c r="Q85" s="8"/>
    </row>
    <row r="86" spans="1:17" x14ac:dyDescent="0.25">
      <c r="A86" s="2" t="s">
        <v>414</v>
      </c>
      <c r="B86" s="12">
        <v>2.0251713542351699</v>
      </c>
      <c r="C86" s="3">
        <v>0.39204208777602401</v>
      </c>
      <c r="D86" s="3">
        <f t="shared" si="1"/>
        <v>0.89496626241796329</v>
      </c>
      <c r="P86" s="8"/>
      <c r="Q86" s="8"/>
    </row>
    <row r="87" spans="1:17" x14ac:dyDescent="0.25">
      <c r="A87" s="2" t="s">
        <v>45</v>
      </c>
      <c r="B87" s="12">
        <v>1.49966747857489</v>
      </c>
      <c r="C87" s="3">
        <v>0.46373401623214</v>
      </c>
      <c r="D87" s="3">
        <f t="shared" si="1"/>
        <v>1.1605024511758444</v>
      </c>
      <c r="P87" s="8"/>
      <c r="Q87" s="8"/>
    </row>
    <row r="88" spans="1:17" x14ac:dyDescent="0.25">
      <c r="A88" s="2" t="s">
        <v>45</v>
      </c>
      <c r="B88" s="12">
        <v>1.8196988379173</v>
      </c>
      <c r="C88" s="3">
        <v>0.26849925303500699</v>
      </c>
      <c r="D88" s="3">
        <f t="shared" si="1"/>
        <v>0.85133214156827808</v>
      </c>
      <c r="P88" s="8"/>
      <c r="Q88" s="8"/>
    </row>
    <row r="89" spans="1:17" x14ac:dyDescent="0.25">
      <c r="A89" s="2" t="s">
        <v>141</v>
      </c>
      <c r="B89" s="12">
        <v>4.8314242833557097</v>
      </c>
      <c r="C89" s="3">
        <v>1.0715836162801899</v>
      </c>
      <c r="D89" s="3">
        <f t="shared" si="1"/>
        <v>0.646574871368368</v>
      </c>
      <c r="P89" s="8"/>
      <c r="Q89" s="8"/>
    </row>
    <row r="90" spans="1:17" x14ac:dyDescent="0.25">
      <c r="A90" s="2" t="s">
        <v>44</v>
      </c>
      <c r="B90" s="12">
        <v>5.0282561523547997</v>
      </c>
      <c r="C90" s="3">
        <v>1.3506671834767401</v>
      </c>
      <c r="D90" s="3">
        <f t="shared" si="1"/>
        <v>0.79656342827100557</v>
      </c>
      <c r="P90" s="8"/>
      <c r="Q90" s="8"/>
    </row>
    <row r="91" spans="1:17" x14ac:dyDescent="0.25">
      <c r="A91" s="2" t="s">
        <v>44</v>
      </c>
      <c r="B91" s="12">
        <v>5.7000086962366296</v>
      </c>
      <c r="C91" s="3">
        <v>1.33315726270676</v>
      </c>
      <c r="D91" s="3">
        <f t="shared" si="1"/>
        <v>0.61542274901885063</v>
      </c>
      <c r="P91" s="8"/>
      <c r="Q91" s="8"/>
    </row>
    <row r="92" spans="1:17" x14ac:dyDescent="0.25">
      <c r="A92" s="2" t="s">
        <v>415</v>
      </c>
      <c r="B92" s="12">
        <v>4.5235806647360199</v>
      </c>
      <c r="C92" s="3">
        <v>1.4303112465366601</v>
      </c>
      <c r="D92" s="3">
        <f t="shared" si="1"/>
        <v>1.0334155338654207</v>
      </c>
      <c r="P92" s="8"/>
      <c r="Q92" s="8"/>
    </row>
    <row r="93" spans="1:17" x14ac:dyDescent="0.25">
      <c r="A93" s="2" t="s">
        <v>43</v>
      </c>
      <c r="B93" s="12">
        <v>5.34409864138365</v>
      </c>
      <c r="C93" s="3">
        <v>1.5129270120532601</v>
      </c>
      <c r="D93" s="3">
        <f t="shared" si="1"/>
        <v>0.83672459442041081</v>
      </c>
      <c r="P93" s="8"/>
      <c r="Q93" s="8"/>
    </row>
    <row r="94" spans="1:17" x14ac:dyDescent="0.25">
      <c r="A94" s="2" t="s">
        <v>417</v>
      </c>
      <c r="B94" s="12">
        <v>4.9705145039506</v>
      </c>
      <c r="C94" s="3">
        <v>1.30019166206648</v>
      </c>
      <c r="D94" s="3">
        <f t="shared" si="1"/>
        <v>0.77317293947880195</v>
      </c>
      <c r="P94" s="8"/>
      <c r="Q94" s="8"/>
    </row>
    <row r="95" spans="1:17" x14ac:dyDescent="0.25">
      <c r="A95" s="2" t="s">
        <v>416</v>
      </c>
      <c r="B95" s="12">
        <v>4.7941870322841202</v>
      </c>
      <c r="C95" s="3">
        <v>1.1908875647772801</v>
      </c>
      <c r="D95" s="3">
        <f t="shared" si="1"/>
        <v>0.73828053876933764</v>
      </c>
      <c r="P95" s="8"/>
      <c r="Q95" s="8"/>
    </row>
    <row r="96" spans="1:17" x14ac:dyDescent="0.25">
      <c r="A96" s="2" t="s">
        <v>428</v>
      </c>
      <c r="B96" s="12">
        <v>2.7565569756959998</v>
      </c>
      <c r="C96" s="3">
        <v>0.64710324205853897</v>
      </c>
      <c r="D96" s="3">
        <f t="shared" si="1"/>
        <v>0.8889234499303178</v>
      </c>
      <c r="P96" s="8"/>
      <c r="Q96" s="8"/>
    </row>
    <row r="97" spans="1:18" x14ac:dyDescent="0.25">
      <c r="A97" s="2" t="s">
        <v>430</v>
      </c>
      <c r="B97" s="12">
        <v>1.6536185922620299</v>
      </c>
      <c r="C97" s="3">
        <v>-3.0459207484708602E-2</v>
      </c>
      <c r="D97" s="3">
        <f t="shared" si="1"/>
        <v>0.67001534524107476</v>
      </c>
      <c r="P97" s="8"/>
      <c r="Q97" s="8"/>
    </row>
    <row r="98" spans="1:18" x14ac:dyDescent="0.25">
      <c r="A98" s="2" t="s">
        <v>429</v>
      </c>
      <c r="B98" s="12">
        <v>0.91892368723670503</v>
      </c>
      <c r="C98" s="3">
        <v>-6.1875403718087398E-2</v>
      </c>
      <c r="D98" s="3">
        <f t="shared" si="1"/>
        <v>0.844635518485505</v>
      </c>
      <c r="P98" s="8"/>
      <c r="Q98" s="8"/>
    </row>
    <row r="99" spans="1:18" x14ac:dyDescent="0.25">
      <c r="A99" s="2" t="s">
        <v>429</v>
      </c>
      <c r="B99" s="12">
        <v>0.64185388617239503</v>
      </c>
      <c r="C99" s="3">
        <v>-0.20089294237939001</v>
      </c>
      <c r="D99" s="3">
        <f t="shared" si="1"/>
        <v>0.81165765600279394</v>
      </c>
      <c r="P99" s="8"/>
      <c r="Q99" s="8"/>
    </row>
    <row r="100" spans="1:18" x14ac:dyDescent="0.25">
      <c r="A100" s="2" t="s">
        <v>575</v>
      </c>
      <c r="B100" s="12">
        <v>0.22314355131420999</v>
      </c>
      <c r="C100" s="3">
        <v>-0.14502577205025799</v>
      </c>
      <c r="D100" s="3">
        <f t="shared" si="1"/>
        <v>0.99709306990652047</v>
      </c>
      <c r="P100" s="8"/>
      <c r="Q100" s="8"/>
    </row>
    <row r="101" spans="1:18" x14ac:dyDescent="0.25">
      <c r="A101" s="2" t="s">
        <v>427</v>
      </c>
      <c r="B101" s="12">
        <v>0.38204898994624198</v>
      </c>
      <c r="C101" s="3">
        <v>-0.17435338714477799</v>
      </c>
      <c r="D101" s="3">
        <f t="shared" si="1"/>
        <v>0.91472946366976027</v>
      </c>
      <c r="P101" s="8"/>
      <c r="Q101" s="8"/>
    </row>
    <row r="102" spans="1:18" x14ac:dyDescent="0.25">
      <c r="A102" s="2" t="s">
        <v>431</v>
      </c>
      <c r="B102" s="12">
        <v>1.0081345214078801</v>
      </c>
      <c r="C102" s="3">
        <v>1.9802627296179699E-2</v>
      </c>
      <c r="D102" s="3">
        <f t="shared" si="1"/>
        <v>0.88771056328452658</v>
      </c>
      <c r="P102" s="8"/>
      <c r="Q102" s="8"/>
    </row>
    <row r="103" spans="1:18" x14ac:dyDescent="0.25">
      <c r="A103" s="2" t="s">
        <v>482</v>
      </c>
      <c r="B103" s="12">
        <v>1.53794191072903</v>
      </c>
      <c r="C103" s="3">
        <v>0.61030890225094103</v>
      </c>
      <c r="D103" s="3">
        <f t="shared" si="1"/>
        <v>1.3254151063828983</v>
      </c>
      <c r="P103" s="8"/>
      <c r="Q103" s="8"/>
    </row>
    <row r="104" spans="1:18" x14ac:dyDescent="0.25">
      <c r="A104" s="2" t="s">
        <v>478</v>
      </c>
      <c r="B104" s="12">
        <v>1.8213182714695999</v>
      </c>
      <c r="C104" s="3">
        <v>0.20538682972495101</v>
      </c>
      <c r="D104" s="3">
        <f t="shared" si="1"/>
        <v>0.79879965330434899</v>
      </c>
      <c r="P104" s="8"/>
      <c r="Q104" s="8"/>
    </row>
    <row r="105" spans="1:18" x14ac:dyDescent="0.25">
      <c r="A105" s="2" t="s">
        <v>479</v>
      </c>
      <c r="B105" s="12">
        <v>1.68175857401373</v>
      </c>
      <c r="C105" s="3">
        <v>0.38797979376714498</v>
      </c>
      <c r="D105" s="3">
        <f t="shared" si="1"/>
        <v>1.0079415927502529</v>
      </c>
      <c r="P105" s="8"/>
      <c r="Q105" s="8"/>
    </row>
    <row r="106" spans="1:18" x14ac:dyDescent="0.25">
      <c r="A106" s="2" t="s">
        <v>345</v>
      </c>
      <c r="B106" s="12">
        <v>1.7119945007591899</v>
      </c>
      <c r="C106" s="3">
        <v>0.33504264381161902</v>
      </c>
      <c r="D106" s="3">
        <f t="shared" si="1"/>
        <v>0.94567966530484671</v>
      </c>
      <c r="P106" s="8"/>
      <c r="Q106" s="8"/>
    </row>
    <row r="107" spans="1:18" x14ac:dyDescent="0.25">
      <c r="A107" s="2" t="s">
        <v>480</v>
      </c>
      <c r="B107" s="12">
        <v>1.8484548129045999</v>
      </c>
      <c r="C107" s="3">
        <v>0.377065633586466</v>
      </c>
      <c r="D107" s="3">
        <f t="shared" si="1"/>
        <v>0.9392428665122653</v>
      </c>
      <c r="P107" s="8"/>
      <c r="Q107" s="8"/>
    </row>
    <row r="108" spans="1:18" x14ac:dyDescent="0.25">
      <c r="A108" s="2" t="s">
        <v>481</v>
      </c>
      <c r="B108" s="12">
        <v>2.1877352513150998</v>
      </c>
      <c r="C108" s="3">
        <v>0.123102197133983</v>
      </c>
      <c r="D108" s="3">
        <f t="shared" si="1"/>
        <v>0.64525672195695094</v>
      </c>
      <c r="P108" s="8"/>
      <c r="Q108" s="8"/>
    </row>
    <row r="109" spans="1:18" x14ac:dyDescent="0.25">
      <c r="A109" s="2" t="s">
        <v>29</v>
      </c>
      <c r="B109" s="12">
        <v>1.7833912195575401</v>
      </c>
      <c r="C109" s="3">
        <v>0.30306317449008302</v>
      </c>
      <c r="D109" s="3">
        <f t="shared" si="1"/>
        <v>0.89280161172291772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x14ac:dyDescent="0.25">
      <c r="A110" s="2" t="s">
        <v>483</v>
      </c>
      <c r="B110" s="12">
        <v>-0.110931560707282</v>
      </c>
      <c r="C110" s="3">
        <v>-0.57625342908844601</v>
      </c>
      <c r="D110" s="3">
        <f t="shared" si="1"/>
        <v>0.73012470522408268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x14ac:dyDescent="0.25">
      <c r="A111" s="2" t="s">
        <v>538</v>
      </c>
      <c r="B111" s="12">
        <v>-1.17118298150295</v>
      </c>
      <c r="C111" s="3">
        <v>-0.92634106772765601</v>
      </c>
      <c r="D111" s="3">
        <f t="shared" si="1"/>
        <v>0.75197096936176044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x14ac:dyDescent="0.25">
      <c r="A112" s="2" t="s">
        <v>347</v>
      </c>
      <c r="B112" s="12">
        <v>2.0195588320784599</v>
      </c>
      <c r="C112" s="3">
        <v>0.14063112973974601</v>
      </c>
      <c r="D112" s="3">
        <f t="shared" si="1"/>
        <v>0.69741758348628213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x14ac:dyDescent="0.25">
      <c r="A113" s="2" t="s">
        <v>484</v>
      </c>
      <c r="B113" s="12">
        <v>2.1719067693519301</v>
      </c>
      <c r="C113" s="3">
        <v>0.19144646457095499</v>
      </c>
      <c r="D113" s="3">
        <f t="shared" si="1"/>
        <v>0.69482437801242158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x14ac:dyDescent="0.25">
      <c r="A114" s="2" t="s">
        <v>322</v>
      </c>
      <c r="B114" s="12">
        <v>0.16126814759612201</v>
      </c>
      <c r="C114" s="3">
        <v>-0.97021907389971096</v>
      </c>
      <c r="D114" s="3">
        <f t="shared" si="1"/>
        <v>0.44666202312902514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x14ac:dyDescent="0.25">
      <c r="A115" s="2" t="s">
        <v>485</v>
      </c>
      <c r="B115" s="12">
        <v>2.1966688674024999</v>
      </c>
      <c r="C115" s="3">
        <v>-5.4456185796058702E-2</v>
      </c>
      <c r="D115" s="3">
        <f t="shared" si="1"/>
        <v>0.53855608341933303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x14ac:dyDescent="0.25">
      <c r="A116" s="2" t="s">
        <v>605</v>
      </c>
      <c r="B116" s="12">
        <v>1.1521530555961399</v>
      </c>
      <c r="C116" s="3">
        <v>0.30601302913650402</v>
      </c>
      <c r="D116" s="3">
        <f t="shared" si="1"/>
        <v>1.1224819218327469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x14ac:dyDescent="0.25">
      <c r="A117" s="2" t="s">
        <v>486</v>
      </c>
      <c r="B117" s="12">
        <v>-1.0050335853501499E-2</v>
      </c>
      <c r="C117" s="3">
        <v>-0.83011303563310301</v>
      </c>
      <c r="D117" s="3">
        <f t="shared" si="1"/>
        <v>0.54633932855990563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x14ac:dyDescent="0.25">
      <c r="A118" s="2" t="s">
        <v>348</v>
      </c>
      <c r="B118" s="12">
        <v>0.21913552991667101</v>
      </c>
      <c r="C118" s="3">
        <v>-0.83471074488173203</v>
      </c>
      <c r="D118" s="3">
        <f t="shared" si="1"/>
        <v>0.50099394460258628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x14ac:dyDescent="0.25">
      <c r="A119" s="2" t="s">
        <v>606</v>
      </c>
      <c r="B119" s="12">
        <v>-0.99425227334386701</v>
      </c>
      <c r="C119" s="3">
        <v>-0.67727383140365505</v>
      </c>
      <c r="D119" s="3">
        <f t="shared" si="1"/>
        <v>0.90544248818999928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x14ac:dyDescent="0.25">
      <c r="A120" s="2" t="s">
        <v>487</v>
      </c>
      <c r="B120" s="12">
        <v>-1.1239300966524</v>
      </c>
      <c r="C120" s="3">
        <v>-0.61618613942381695</v>
      </c>
      <c r="D120" s="3">
        <f t="shared" si="1"/>
        <v>1.0082143896486297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x14ac:dyDescent="0.25">
      <c r="A121" s="2" t="s">
        <v>488</v>
      </c>
      <c r="B121" s="12">
        <v>0.97077891715822495</v>
      </c>
      <c r="C121" s="3">
        <v>0.34358970439007702</v>
      </c>
      <c r="D121" s="3">
        <f t="shared" si="1"/>
        <v>1.2436503081755532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x14ac:dyDescent="0.25">
      <c r="A122" s="2" t="s">
        <v>489</v>
      </c>
      <c r="B122" s="12">
        <v>1.1346227261911399</v>
      </c>
      <c r="C122" s="3">
        <v>0.35417181372061401</v>
      </c>
      <c r="D122" s="3">
        <f t="shared" si="1"/>
        <v>1.1852774447152281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x14ac:dyDescent="0.25">
      <c r="A123" s="2" t="s">
        <v>490</v>
      </c>
      <c r="B123" s="12">
        <v>2.0255131996542799</v>
      </c>
      <c r="C123" s="3">
        <v>0.52886198625208902</v>
      </c>
      <c r="D123" s="3">
        <f t="shared" si="1"/>
        <v>1.0260620892706052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x14ac:dyDescent="0.25">
      <c r="A124" s="2" t="s">
        <v>491</v>
      </c>
      <c r="B124" s="12">
        <v>2.1517622032594601</v>
      </c>
      <c r="C124" s="3">
        <v>0.855691109745226</v>
      </c>
      <c r="D124" s="3">
        <f t="shared" si="1"/>
        <v>1.359830746606068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x14ac:dyDescent="0.25">
      <c r="A125" s="2" t="s">
        <v>607</v>
      </c>
      <c r="B125" s="12">
        <v>1.36609165380237</v>
      </c>
      <c r="C125" s="3">
        <v>0.56871710218176796</v>
      </c>
      <c r="D125" s="3">
        <f t="shared" si="1"/>
        <v>1.3520964179375192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x14ac:dyDescent="0.25">
      <c r="A126" s="2" t="s">
        <v>492</v>
      </c>
      <c r="B126" s="12">
        <v>1.58616928549475</v>
      </c>
      <c r="C126" s="3">
        <v>0.59663628017910197</v>
      </c>
      <c r="D126" s="3">
        <f t="shared" si="1"/>
        <v>1.2850372110866357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x14ac:dyDescent="0.25">
      <c r="A127" s="2" t="s">
        <v>493</v>
      </c>
      <c r="B127" s="12">
        <v>1.45861502269952</v>
      </c>
      <c r="C127" s="3">
        <v>0.68410643590779596</v>
      </c>
      <c r="D127" s="3">
        <f t="shared" si="1"/>
        <v>1.4680313092345907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x14ac:dyDescent="0.25">
      <c r="A128" s="2" t="s">
        <v>494</v>
      </c>
      <c r="B128" s="12">
        <v>1.19694818938897</v>
      </c>
      <c r="C128" s="3">
        <v>0.47809579914307199</v>
      </c>
      <c r="D128" s="3">
        <f t="shared" si="1"/>
        <v>1.3120467825817936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x14ac:dyDescent="0.25">
      <c r="A129" s="2" t="s">
        <v>495</v>
      </c>
      <c r="B129" s="12">
        <v>1.2767584740515801</v>
      </c>
      <c r="C129" s="3">
        <v>0.48980625654191501</v>
      </c>
      <c r="D129" s="3">
        <f t="shared" si="1"/>
        <v>1.2901090153567276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x14ac:dyDescent="0.25">
      <c r="A130" s="2" t="s">
        <v>496</v>
      </c>
      <c r="B130" s="12">
        <v>1.51512723296286</v>
      </c>
      <c r="C130" s="3">
        <v>0.69014267153964703</v>
      </c>
      <c r="D130" s="3">
        <f t="shared" si="1"/>
        <v>1.4473396138342389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x14ac:dyDescent="0.25">
      <c r="A131" s="2" t="s">
        <v>497</v>
      </c>
      <c r="B131" s="12">
        <v>1.51512723296286</v>
      </c>
      <c r="C131" s="3">
        <v>0.80647586586694797</v>
      </c>
      <c r="D131" s="3">
        <f t="shared" si="1"/>
        <v>1.6258980616793841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x14ac:dyDescent="0.25">
      <c r="A132" s="2" t="s">
        <v>498</v>
      </c>
      <c r="B132" s="12">
        <v>1.5496879080283299</v>
      </c>
      <c r="C132" s="3">
        <v>0.68964104123065795</v>
      </c>
      <c r="D132" s="3">
        <f t="shared" ref="D132:D195" si="2">EXP(C132)/EXP(0.358*B132-0.222)</f>
        <v>1.4288254886140037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x14ac:dyDescent="0.25">
      <c r="A133" s="2" t="s">
        <v>499</v>
      </c>
      <c r="B133" s="12">
        <v>1.7137979277583399</v>
      </c>
      <c r="C133" s="3">
        <v>0.65440635224351495</v>
      </c>
      <c r="D133" s="3">
        <f t="shared" si="2"/>
        <v>1.3006533226406851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x14ac:dyDescent="0.25">
      <c r="A134" s="2" t="s">
        <v>500</v>
      </c>
      <c r="B134" s="12">
        <v>1.5871923034867801</v>
      </c>
      <c r="C134" s="3">
        <v>0.66628972639006301</v>
      </c>
      <c r="D134" s="3">
        <f t="shared" si="2"/>
        <v>1.3772308899226895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x14ac:dyDescent="0.25">
      <c r="A135" s="2" t="s">
        <v>501</v>
      </c>
      <c r="B135" s="12">
        <v>1.6370530794670699</v>
      </c>
      <c r="C135" s="3">
        <v>0.72658195664618297</v>
      </c>
      <c r="D135" s="3">
        <f t="shared" si="2"/>
        <v>1.4369415829702397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x14ac:dyDescent="0.25">
      <c r="A136" s="2" t="s">
        <v>502</v>
      </c>
      <c r="B136" s="12">
        <v>1.7056567701746399</v>
      </c>
      <c r="C136" s="3">
        <v>0.59332684527773405</v>
      </c>
      <c r="D136" s="3">
        <f t="shared" si="2"/>
        <v>1.2271589752969057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x14ac:dyDescent="0.25">
      <c r="A137" s="2" t="s">
        <v>541</v>
      </c>
      <c r="B137" s="12">
        <v>1.3056264580524399</v>
      </c>
      <c r="C137" s="3">
        <v>0.47995396009890401</v>
      </c>
      <c r="D137" s="3">
        <f t="shared" si="2"/>
        <v>1.2643266501829551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x14ac:dyDescent="0.25">
      <c r="A138" s="2" t="s">
        <v>542</v>
      </c>
      <c r="B138" s="12">
        <v>1.2753628004126101</v>
      </c>
      <c r="C138" s="3">
        <v>0.45298462407614098</v>
      </c>
      <c r="D138" s="3">
        <f t="shared" si="2"/>
        <v>1.2440905008228313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x14ac:dyDescent="0.25">
      <c r="A139" s="2" t="s">
        <v>543</v>
      </c>
      <c r="B139" s="12">
        <v>1.2208299213923599</v>
      </c>
      <c r="C139" s="3">
        <v>0.59111445499479398</v>
      </c>
      <c r="D139" s="3">
        <f t="shared" si="2"/>
        <v>1.4565306534122502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x14ac:dyDescent="0.25">
      <c r="A140" s="2" t="s">
        <v>324</v>
      </c>
      <c r="B140" s="12">
        <v>-1.27296567581289</v>
      </c>
      <c r="C140" s="3">
        <v>-0.92130327369769904</v>
      </c>
      <c r="D140" s="3">
        <f t="shared" si="2"/>
        <v>0.78381554405241671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x14ac:dyDescent="0.25">
      <c r="A141" s="2" t="s">
        <v>504</v>
      </c>
      <c r="B141" s="12">
        <v>1.00795792039998</v>
      </c>
      <c r="C141" s="3">
        <v>0.10345870836823</v>
      </c>
      <c r="D141" s="3">
        <f t="shared" si="2"/>
        <v>0.96522868433276621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x14ac:dyDescent="0.25">
      <c r="A142" s="2" t="s">
        <v>503</v>
      </c>
      <c r="B142" s="12">
        <v>2.16274814780625</v>
      </c>
      <c r="C142" s="3">
        <v>0.56871710218176796</v>
      </c>
      <c r="D142" s="3">
        <f t="shared" si="2"/>
        <v>1.0165893656434124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x14ac:dyDescent="0.25">
      <c r="A143" s="2" t="s">
        <v>544</v>
      </c>
      <c r="B143" s="12">
        <v>2.1494339134998701</v>
      </c>
      <c r="C143" s="3">
        <v>0.70852828259824796</v>
      </c>
      <c r="D143" s="3">
        <f t="shared" si="2"/>
        <v>1.1747213159678507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x14ac:dyDescent="0.25">
      <c r="A144" s="2" t="s">
        <v>545</v>
      </c>
      <c r="B144" s="12">
        <v>2.1494339134998701</v>
      </c>
      <c r="C144" s="3">
        <v>0.768254653046751</v>
      </c>
      <c r="D144" s="3">
        <f t="shared" si="2"/>
        <v>1.2470207568816769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x14ac:dyDescent="0.25">
      <c r="A145" s="2" t="s">
        <v>355</v>
      </c>
      <c r="B145" s="12">
        <v>2.2082744135227999</v>
      </c>
      <c r="C145" s="3">
        <v>0.64867269045811604</v>
      </c>
      <c r="D145" s="3">
        <f t="shared" si="2"/>
        <v>1.0834067237911762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x14ac:dyDescent="0.25">
      <c r="A146" s="2" t="s">
        <v>505</v>
      </c>
      <c r="B146" s="12">
        <v>2.2460147415056499</v>
      </c>
      <c r="C146" s="3">
        <v>0.974559639998131</v>
      </c>
      <c r="D146" s="3">
        <f t="shared" si="2"/>
        <v>1.4806576727322462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x14ac:dyDescent="0.25">
      <c r="A147" s="2" t="s">
        <v>326</v>
      </c>
      <c r="B147" s="12">
        <v>0.53062825106217004</v>
      </c>
      <c r="C147" s="3">
        <v>-5.8688996348679599E-2</v>
      </c>
      <c r="D147" s="3">
        <f t="shared" si="2"/>
        <v>0.97369817019399807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x14ac:dyDescent="0.25">
      <c r="A148" s="2" t="s">
        <v>565</v>
      </c>
      <c r="B148" s="12">
        <v>0.87546873735389996</v>
      </c>
      <c r="C148" s="3">
        <v>0.17142911562753099</v>
      </c>
      <c r="D148" s="3">
        <f t="shared" si="2"/>
        <v>1.0832993171804632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x14ac:dyDescent="0.25">
      <c r="A149" s="2" t="s">
        <v>566</v>
      </c>
      <c r="B149" s="12">
        <v>0.89404512292683502</v>
      </c>
      <c r="C149" s="3">
        <v>5.6380333436107703E-2</v>
      </c>
      <c r="D149" s="3">
        <f t="shared" si="2"/>
        <v>0.95916916672106556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x14ac:dyDescent="0.25">
      <c r="A150" s="2" t="s">
        <v>328</v>
      </c>
      <c r="B150" s="12">
        <v>0.51282362642866397</v>
      </c>
      <c r="C150" s="3">
        <v>-3.7701867184011403E-2</v>
      </c>
      <c r="D150" s="3">
        <f t="shared" si="2"/>
        <v>1.0007075247321526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x14ac:dyDescent="0.25">
      <c r="A151" s="2" t="s">
        <v>329</v>
      </c>
      <c r="B151" s="12">
        <v>0.79072750889880905</v>
      </c>
      <c r="C151" s="3">
        <v>4.78373294141601E-2</v>
      </c>
      <c r="D151" s="3">
        <f t="shared" si="2"/>
        <v>0.98684418550719966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x14ac:dyDescent="0.25">
      <c r="A152" s="2" t="s">
        <v>515</v>
      </c>
      <c r="B152" s="12">
        <v>-1.29098418131557</v>
      </c>
      <c r="C152" s="3">
        <v>-0.70117935225720995</v>
      </c>
      <c r="D152" s="3">
        <f t="shared" si="2"/>
        <v>0.98313678756575495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x14ac:dyDescent="0.25">
      <c r="A153" s="2" t="s">
        <v>330</v>
      </c>
      <c r="B153" s="12">
        <v>-1.7719568419318801</v>
      </c>
      <c r="C153" s="3">
        <v>-1.0023934309275699</v>
      </c>
      <c r="D153" s="3">
        <f t="shared" si="2"/>
        <v>0.86412928883649209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x14ac:dyDescent="0.25">
      <c r="A154" s="2" t="s">
        <v>567</v>
      </c>
      <c r="B154" s="12">
        <v>-1.5371172508544699</v>
      </c>
      <c r="C154" s="3">
        <v>-0.91379385167556804</v>
      </c>
      <c r="D154" s="3">
        <f t="shared" si="2"/>
        <v>0.86805007502080056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x14ac:dyDescent="0.25">
      <c r="A155" s="2" t="s">
        <v>516</v>
      </c>
      <c r="B155" s="12">
        <v>-1.25526609871349</v>
      </c>
      <c r="C155" s="3">
        <v>-0.916290731874155</v>
      </c>
      <c r="D155" s="3">
        <f t="shared" si="2"/>
        <v>0.78277853194605673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x14ac:dyDescent="0.25">
      <c r="A156" s="2" t="s">
        <v>568</v>
      </c>
      <c r="B156" s="12">
        <v>-2.5902671654458298</v>
      </c>
      <c r="C156" s="3">
        <v>-1.2039728043259399</v>
      </c>
      <c r="D156" s="3">
        <f t="shared" si="2"/>
        <v>0.94680969740815113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x14ac:dyDescent="0.25">
      <c r="A157" s="2" t="s">
        <v>569</v>
      </c>
      <c r="B157" s="12">
        <v>-1.89711998488588</v>
      </c>
      <c r="C157" s="3">
        <v>-1.0106014113454</v>
      </c>
      <c r="D157" s="3">
        <f t="shared" si="2"/>
        <v>0.89634270421130657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x14ac:dyDescent="0.25">
      <c r="A158" s="2" t="s">
        <v>26</v>
      </c>
      <c r="B158" s="12">
        <v>4.7953772370560399</v>
      </c>
      <c r="C158" s="3">
        <v>1.1072416153661599</v>
      </c>
      <c r="D158" s="3">
        <f t="shared" si="2"/>
        <v>0.6787493024042468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x14ac:dyDescent="0.25">
      <c r="A159" s="2" t="s">
        <v>331</v>
      </c>
      <c r="B159" s="12">
        <v>-0.34249030894677601</v>
      </c>
      <c r="C159" s="3">
        <v>-0.52087595961949196</v>
      </c>
      <c r="D159" s="3">
        <f t="shared" si="2"/>
        <v>0.83839625772511694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x14ac:dyDescent="0.25">
      <c r="A160" s="2" t="s">
        <v>506</v>
      </c>
      <c r="B160" s="12">
        <v>2.04186946877208</v>
      </c>
      <c r="C160" s="3">
        <v>0.64762666525813595</v>
      </c>
      <c r="D160" s="3">
        <f t="shared" si="2"/>
        <v>1.1487074978978078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x14ac:dyDescent="0.25">
      <c r="A161" s="2" t="s">
        <v>546</v>
      </c>
      <c r="B161" s="12">
        <v>1.9278916435526301</v>
      </c>
      <c r="C161" s="3">
        <v>0.57380042292737898</v>
      </c>
      <c r="D161" s="3">
        <f t="shared" si="2"/>
        <v>1.1113941459069159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x14ac:dyDescent="0.25">
      <c r="A162" s="2" t="s">
        <v>547</v>
      </c>
      <c r="B162" s="12">
        <v>1.75699547679172</v>
      </c>
      <c r="C162" s="3">
        <v>0.50802169643325701</v>
      </c>
      <c r="D162" s="3">
        <f t="shared" si="2"/>
        <v>1.1062957979299863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x14ac:dyDescent="0.25">
      <c r="A163" s="2" t="s">
        <v>357</v>
      </c>
      <c r="B163" s="12">
        <v>1.7056567701746399</v>
      </c>
      <c r="C163" s="3">
        <v>0.605408266251939</v>
      </c>
      <c r="D163" s="3">
        <f t="shared" si="2"/>
        <v>1.2420747197480293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x14ac:dyDescent="0.25">
      <c r="A164" s="2" t="s">
        <v>548</v>
      </c>
      <c r="B164" s="12">
        <v>2.3725774648140798</v>
      </c>
      <c r="C164" s="3">
        <v>0.76313955237997999</v>
      </c>
      <c r="D164" s="3">
        <f t="shared" si="2"/>
        <v>1.1454033205181755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x14ac:dyDescent="0.25">
      <c r="A165" s="2" t="s">
        <v>517</v>
      </c>
      <c r="B165" s="12">
        <v>1.8460898137731001</v>
      </c>
      <c r="C165" s="3">
        <v>-0.24974423311138899</v>
      </c>
      <c r="D165" s="3">
        <f t="shared" si="2"/>
        <v>0.50225647346408597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x14ac:dyDescent="0.25">
      <c r="A166" s="2" t="s">
        <v>532</v>
      </c>
      <c r="B166" s="12">
        <v>1.80910810756267</v>
      </c>
      <c r="C166" s="3">
        <v>0.35276731910771503</v>
      </c>
      <c r="D166" s="3">
        <f t="shared" si="2"/>
        <v>0.92969994618952712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x14ac:dyDescent="0.25">
      <c r="A167" s="2" t="s">
        <v>332</v>
      </c>
      <c r="B167" s="12">
        <v>0.98954119361374804</v>
      </c>
      <c r="C167" s="3">
        <v>8.2501221511743605E-2</v>
      </c>
      <c r="D167" s="3">
        <f t="shared" si="2"/>
        <v>0.95146295544256565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x14ac:dyDescent="0.25">
      <c r="A168" s="2" t="s">
        <v>570</v>
      </c>
      <c r="B168" s="12">
        <v>-0.50252682095129597</v>
      </c>
      <c r="C168" s="3">
        <v>-0.376877651256252</v>
      </c>
      <c r="D168" s="3">
        <f t="shared" si="2"/>
        <v>1.0253427537999154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x14ac:dyDescent="0.25">
      <c r="A169" s="2" t="s">
        <v>571</v>
      </c>
      <c r="B169" s="12">
        <v>-0.22314355131420999</v>
      </c>
      <c r="C169" s="3">
        <v>-0.34108284917889597</v>
      </c>
      <c r="D169" s="3">
        <f t="shared" si="2"/>
        <v>0.96156082270700016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x14ac:dyDescent="0.25">
      <c r="A170" s="2" t="s">
        <v>549</v>
      </c>
      <c r="B170" s="12">
        <v>1.9565674435292999</v>
      </c>
      <c r="C170" s="3">
        <v>0.64919529303076295</v>
      </c>
      <c r="D170" s="3">
        <f t="shared" si="2"/>
        <v>1.1861872221145822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x14ac:dyDescent="0.25">
      <c r="A171" s="2" t="s">
        <v>533</v>
      </c>
      <c r="B171" s="12">
        <v>1.9169226121820599</v>
      </c>
      <c r="C171" s="3">
        <v>0.51461842200468699</v>
      </c>
      <c r="D171" s="3">
        <f t="shared" si="2"/>
        <v>1.0516497554961992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x14ac:dyDescent="0.25">
      <c r="A172" s="2" t="s">
        <v>518</v>
      </c>
      <c r="B172" s="12">
        <v>-1.3280254529959099</v>
      </c>
      <c r="C172" s="3">
        <v>-0.78307188808793204</v>
      </c>
      <c r="D172" s="3">
        <f t="shared" si="2"/>
        <v>0.91792574822872031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x14ac:dyDescent="0.25">
      <c r="A173" s="2" t="s">
        <v>534</v>
      </c>
      <c r="B173" s="12">
        <v>1.36863942588117</v>
      </c>
      <c r="C173" s="3">
        <v>0.87921172363273403</v>
      </c>
      <c r="D173" s="3">
        <f t="shared" si="2"/>
        <v>1.8427127548608451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x14ac:dyDescent="0.25">
      <c r="A174" s="2" t="s">
        <v>550</v>
      </c>
      <c r="B174" s="12">
        <v>2.2528695007481101</v>
      </c>
      <c r="C174" s="3">
        <v>0.67090157161262598</v>
      </c>
      <c r="D174" s="3">
        <f t="shared" si="2"/>
        <v>1.0902143086383049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x14ac:dyDescent="0.25">
      <c r="A175" s="2" t="s">
        <v>551</v>
      </c>
      <c r="B175" s="12">
        <v>2.19722457733622</v>
      </c>
      <c r="C175" s="3">
        <v>0.89035734984765103</v>
      </c>
      <c r="D175" s="3">
        <f t="shared" si="2"/>
        <v>1.3850703757458802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x14ac:dyDescent="0.25">
      <c r="A176" s="2" t="s">
        <v>552</v>
      </c>
      <c r="B176" s="12">
        <v>1.7900914121273599</v>
      </c>
      <c r="C176" s="3">
        <v>0.52886198625208902</v>
      </c>
      <c r="D176" s="3">
        <f t="shared" si="2"/>
        <v>1.1162884080347795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x14ac:dyDescent="0.25">
      <c r="A177" s="2" t="s">
        <v>612</v>
      </c>
      <c r="B177" s="12">
        <v>1.84054963339749</v>
      </c>
      <c r="C177" s="3">
        <v>0.90097402776226199</v>
      </c>
      <c r="D177" s="3">
        <f t="shared" si="2"/>
        <v>1.5905140390856087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x14ac:dyDescent="0.25">
      <c r="A178" s="2" t="s">
        <v>612</v>
      </c>
      <c r="B178" s="12">
        <v>2.1804174590198402</v>
      </c>
      <c r="C178" s="3">
        <v>1.0609104214841001</v>
      </c>
      <c r="D178" s="3">
        <f t="shared" si="2"/>
        <v>1.6525523494038303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x14ac:dyDescent="0.25">
      <c r="A179" s="2" t="s">
        <v>553</v>
      </c>
      <c r="B179" s="12">
        <v>2.03861954715958</v>
      </c>
      <c r="C179" s="3">
        <v>1.0895715440159599</v>
      </c>
      <c r="D179" s="3">
        <f t="shared" si="2"/>
        <v>1.7891591236098277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x14ac:dyDescent="0.25">
      <c r="A180" s="2" t="s">
        <v>554</v>
      </c>
      <c r="B180" s="12">
        <v>1.49065437644413</v>
      </c>
      <c r="C180" s="3">
        <v>0.677525799656989</v>
      </c>
      <c r="D180" s="3">
        <f t="shared" si="2"/>
        <v>1.4417700107300888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x14ac:dyDescent="0.25">
      <c r="A181" s="2" t="s">
        <v>555</v>
      </c>
      <c r="B181" s="12">
        <v>2.4807312783775202</v>
      </c>
      <c r="C181" s="3">
        <v>0.902597404742153</v>
      </c>
      <c r="D181" s="3">
        <f t="shared" si="2"/>
        <v>1.2668019906519115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x14ac:dyDescent="0.25">
      <c r="A182" s="2" t="s">
        <v>535</v>
      </c>
      <c r="B182" s="12">
        <v>2.6026896854443802</v>
      </c>
      <c r="C182" s="3">
        <v>1.5679907225199301</v>
      </c>
      <c r="D182" s="3">
        <f t="shared" si="2"/>
        <v>2.3589764448074155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x14ac:dyDescent="0.25">
      <c r="A183" s="2" t="s">
        <v>28</v>
      </c>
      <c r="B183" s="12">
        <v>3.1023420086122502</v>
      </c>
      <c r="C183" s="3">
        <v>1.601002433613</v>
      </c>
      <c r="D183" s="3">
        <f t="shared" si="2"/>
        <v>2.0388052907867817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x14ac:dyDescent="0.25">
      <c r="A184" s="2" t="s">
        <v>334</v>
      </c>
      <c r="B184" s="12">
        <v>-3.50655789731998</v>
      </c>
      <c r="C184" s="3">
        <v>-1.57021719928082</v>
      </c>
      <c r="D184" s="3">
        <f t="shared" si="2"/>
        <v>0.91131244428724534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x14ac:dyDescent="0.25">
      <c r="A185" s="2" t="s">
        <v>540</v>
      </c>
      <c r="B185" s="12">
        <v>-2.99573227355399</v>
      </c>
      <c r="C185" s="3">
        <v>-1.54646311327271</v>
      </c>
      <c r="D185" s="3">
        <f t="shared" si="2"/>
        <v>0.7772517649058267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x14ac:dyDescent="0.25">
      <c r="A186" s="2" t="s">
        <v>536</v>
      </c>
      <c r="B186" s="12">
        <v>0.22314355131420999</v>
      </c>
      <c r="C186" s="3">
        <v>0.12663265093336601</v>
      </c>
      <c r="D186" s="3">
        <f t="shared" si="2"/>
        <v>1.3083244327675156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x14ac:dyDescent="0.25">
      <c r="A187" s="2" t="s">
        <v>507</v>
      </c>
      <c r="B187" s="12">
        <v>2.7153567762846502</v>
      </c>
      <c r="C187" s="3">
        <v>0.83116847845732</v>
      </c>
      <c r="D187" s="3">
        <f t="shared" si="2"/>
        <v>1.0844476212842382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x14ac:dyDescent="0.25">
      <c r="A188" s="2" t="s">
        <v>336</v>
      </c>
      <c r="B188" s="12">
        <v>-0.42312004334688502</v>
      </c>
      <c r="C188" s="3">
        <v>-0.34955747616986799</v>
      </c>
      <c r="D188" s="3">
        <f t="shared" si="2"/>
        <v>1.024207865171312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x14ac:dyDescent="0.25">
      <c r="A189" s="2" t="s">
        <v>338</v>
      </c>
      <c r="B189" s="12">
        <v>0.31481073984003399</v>
      </c>
      <c r="C189" s="3">
        <v>-0.110931560707282</v>
      </c>
      <c r="D189" s="3">
        <f t="shared" si="2"/>
        <v>0.99836752836374432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x14ac:dyDescent="0.25">
      <c r="A190" s="2" t="s">
        <v>539</v>
      </c>
      <c r="B190" s="12">
        <v>0.113328685307003</v>
      </c>
      <c r="C190" s="3">
        <v>-0.426178149705706</v>
      </c>
      <c r="D190" s="3">
        <f t="shared" si="2"/>
        <v>0.78290038050722943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x14ac:dyDescent="0.25">
      <c r="A191" s="2" t="s">
        <v>519</v>
      </c>
      <c r="B191" s="12">
        <v>1.1314021114910999</v>
      </c>
      <c r="C191" s="3">
        <v>-0.173163619009189</v>
      </c>
      <c r="D191" s="3">
        <f t="shared" si="2"/>
        <v>0.70032863543062163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x14ac:dyDescent="0.25">
      <c r="A192" s="2" t="s">
        <v>508</v>
      </c>
      <c r="B192" s="12">
        <v>3.6661224669913199</v>
      </c>
      <c r="C192" s="3">
        <v>0.44211842575619997</v>
      </c>
      <c r="D192" s="3">
        <f t="shared" si="2"/>
        <v>0.52290607632225938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x14ac:dyDescent="0.25">
      <c r="A193" s="2" t="s">
        <v>360</v>
      </c>
      <c r="B193" s="12">
        <v>3.6428355156125298</v>
      </c>
      <c r="C193" s="3">
        <v>0.80692219481879002</v>
      </c>
      <c r="D193" s="3">
        <f t="shared" si="2"/>
        <v>0.75941041251913066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x14ac:dyDescent="0.25">
      <c r="A194" s="2" t="s">
        <v>360</v>
      </c>
      <c r="B194" s="12">
        <v>3.9655637723561799</v>
      </c>
      <c r="C194" s="3">
        <v>0.77564840207168895</v>
      </c>
      <c r="D194" s="3">
        <f t="shared" si="2"/>
        <v>0.65571867675316742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x14ac:dyDescent="0.25">
      <c r="A195" s="2" t="s">
        <v>509</v>
      </c>
      <c r="B195" s="12">
        <v>2.99573227355399</v>
      </c>
      <c r="C195" s="3">
        <v>1.2649738258833301</v>
      </c>
      <c r="D195" s="3">
        <f t="shared" si="2"/>
        <v>1.5136162752766316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x14ac:dyDescent="0.25">
      <c r="A196" s="2" t="s">
        <v>611</v>
      </c>
      <c r="B196" s="12">
        <v>2.6023192464699698</v>
      </c>
      <c r="C196" s="3">
        <v>1.0075928902809399</v>
      </c>
      <c r="D196" s="3">
        <f t="shared" ref="D196:D221" si="3">EXP(C196)/EXP(0.358*B196-0.222)</f>
        <v>1.3471114050310571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x14ac:dyDescent="0.25">
      <c r="A197" s="2" t="s">
        <v>556</v>
      </c>
      <c r="B197" s="12">
        <v>2.78501124223834</v>
      </c>
      <c r="C197" s="3">
        <v>1.1197212518783399</v>
      </c>
      <c r="D197" s="3">
        <f t="shared" si="3"/>
        <v>1.4115483566242812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x14ac:dyDescent="0.25">
      <c r="A198" s="2" t="s">
        <v>339</v>
      </c>
      <c r="B198" s="12">
        <v>-3.0459207484708602E-2</v>
      </c>
      <c r="C198" s="3">
        <v>-0.34249030894677601</v>
      </c>
      <c r="D198" s="3">
        <f t="shared" si="3"/>
        <v>0.89620516567838826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x14ac:dyDescent="0.25">
      <c r="A199" s="2" t="s">
        <v>510</v>
      </c>
      <c r="B199" s="12">
        <v>0.50380100882902601</v>
      </c>
      <c r="C199" s="3">
        <v>-0.11653381625595199</v>
      </c>
      <c r="D199" s="3">
        <f t="shared" si="3"/>
        <v>0.92784129659909631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x14ac:dyDescent="0.25">
      <c r="A200" s="2" t="s">
        <v>359</v>
      </c>
      <c r="B200" s="12">
        <v>4.0456793902408199</v>
      </c>
      <c r="C200" s="3">
        <v>0.993251773010283</v>
      </c>
      <c r="D200" s="3">
        <f t="shared" si="3"/>
        <v>0.79207321465352354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x14ac:dyDescent="0.25">
      <c r="A201" s="2" t="s">
        <v>359</v>
      </c>
      <c r="B201" s="12">
        <v>4.0386556563615104</v>
      </c>
      <c r="C201" s="3">
        <v>1.0296194171811599</v>
      </c>
      <c r="D201" s="3">
        <f t="shared" si="3"/>
        <v>0.823477289474559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x14ac:dyDescent="0.25">
      <c r="A202" s="2" t="s">
        <v>511</v>
      </c>
      <c r="B202" s="12">
        <v>1.9013609791431401</v>
      </c>
      <c r="C202" s="3">
        <v>0.33074156191222798</v>
      </c>
      <c r="D202" s="3">
        <f t="shared" si="3"/>
        <v>0.87990118409067886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x14ac:dyDescent="0.25">
      <c r="A203" s="2" t="s">
        <v>557</v>
      </c>
      <c r="B203" s="12">
        <v>1.85629799036563</v>
      </c>
      <c r="C203" s="3">
        <v>0.33289441527332903</v>
      </c>
      <c r="D203" s="3">
        <f t="shared" si="3"/>
        <v>0.89613853296213009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x14ac:dyDescent="0.25">
      <c r="A204" s="2" t="s">
        <v>558</v>
      </c>
      <c r="B204" s="12">
        <v>1.83816584204221</v>
      </c>
      <c r="C204" s="3">
        <v>0.30895420772732102</v>
      </c>
      <c r="D204" s="3">
        <f t="shared" si="3"/>
        <v>0.88063753367732556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x14ac:dyDescent="0.25">
      <c r="A205" s="2" t="s">
        <v>559</v>
      </c>
      <c r="B205" s="12">
        <v>1.8180767775454301</v>
      </c>
      <c r="C205" s="3">
        <v>0.24137631957527</v>
      </c>
      <c r="D205" s="3">
        <f t="shared" si="3"/>
        <v>0.82903312506522875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x14ac:dyDescent="0.25">
      <c r="A206" s="2" t="s">
        <v>560</v>
      </c>
      <c r="B206" s="12">
        <v>1.68454538492091</v>
      </c>
      <c r="C206" s="3">
        <v>0.52827253736971103</v>
      </c>
      <c r="D206" s="3">
        <f t="shared" si="3"/>
        <v>1.1585917854249392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x14ac:dyDescent="0.25">
      <c r="A207" s="2" t="s">
        <v>512</v>
      </c>
      <c r="B207" s="12">
        <v>2.3297137603823002</v>
      </c>
      <c r="C207" s="3">
        <v>0.28593053941297503</v>
      </c>
      <c r="D207" s="3">
        <f t="shared" si="3"/>
        <v>0.72172796793248983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x14ac:dyDescent="0.25">
      <c r="A208" s="2" t="s">
        <v>561</v>
      </c>
      <c r="B208" s="12">
        <v>1.4929040961781499</v>
      </c>
      <c r="C208" s="3">
        <v>0.398776119957368</v>
      </c>
      <c r="D208" s="3">
        <f t="shared" si="3"/>
        <v>1.0901512559338351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x14ac:dyDescent="0.25">
      <c r="A209" s="2" t="s">
        <v>219</v>
      </c>
      <c r="B209" s="12">
        <v>1.75180515372102</v>
      </c>
      <c r="C209" s="3">
        <v>-9.4310679471241401E-2</v>
      </c>
      <c r="D209" s="3">
        <f t="shared" si="3"/>
        <v>0.6068601411104193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x14ac:dyDescent="0.25">
      <c r="A210" s="2" t="s">
        <v>610</v>
      </c>
      <c r="B210" s="12">
        <v>2.2741856184723499</v>
      </c>
      <c r="C210" s="3">
        <v>0.50561205671310305</v>
      </c>
      <c r="D210" s="3">
        <f t="shared" si="3"/>
        <v>0.91709299954309931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x14ac:dyDescent="0.25">
      <c r="A211" s="2" t="s">
        <v>608</v>
      </c>
      <c r="B211" s="12">
        <v>-0.59783700075561996</v>
      </c>
      <c r="C211" s="3">
        <v>-0.61248927754249105</v>
      </c>
      <c r="D211" s="3">
        <f t="shared" si="3"/>
        <v>0.83822926393295394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x14ac:dyDescent="0.25">
      <c r="A212" s="2" t="s">
        <v>352</v>
      </c>
      <c r="B212" s="12">
        <v>-1.0498221244986801</v>
      </c>
      <c r="C212" s="3">
        <v>-0.56916120077895405</v>
      </c>
      <c r="D212" s="3">
        <f t="shared" si="3"/>
        <v>1.0290902091188516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x14ac:dyDescent="0.25">
      <c r="A213" s="2" t="s">
        <v>513</v>
      </c>
      <c r="B213" s="12">
        <v>1.48886124937508E-2</v>
      </c>
      <c r="C213" s="3">
        <v>-0.40796823832628298</v>
      </c>
      <c r="D213" s="3">
        <f t="shared" si="3"/>
        <v>0.82588613867852678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x14ac:dyDescent="0.25">
      <c r="A214" s="2" t="s">
        <v>609</v>
      </c>
      <c r="B214" s="12">
        <v>2.8332133440562202</v>
      </c>
      <c r="C214" s="3">
        <v>0.54057858191533803</v>
      </c>
      <c r="D214" s="3">
        <f t="shared" si="3"/>
        <v>0.77746877597193609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x14ac:dyDescent="0.25">
      <c r="A215" s="2" t="s">
        <v>609</v>
      </c>
      <c r="B215" s="12">
        <v>2.1598687907924501</v>
      </c>
      <c r="C215" s="3">
        <v>0.67701779863006195</v>
      </c>
      <c r="D215" s="3">
        <f t="shared" si="3"/>
        <v>1.1340380647332333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x14ac:dyDescent="0.25">
      <c r="A216" s="2" t="s">
        <v>514</v>
      </c>
      <c r="B216" s="12">
        <v>2.0763116486709099</v>
      </c>
      <c r="C216" s="3">
        <v>0.33002291294130598</v>
      </c>
      <c r="D216" s="3">
        <f t="shared" si="3"/>
        <v>0.82588754625082383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x14ac:dyDescent="0.25">
      <c r="A217" s="2" t="s">
        <v>537</v>
      </c>
      <c r="B217" s="12">
        <v>2.73111547403321</v>
      </c>
      <c r="C217" s="3">
        <v>1.37674894827636</v>
      </c>
      <c r="D217" s="3">
        <f t="shared" si="3"/>
        <v>1.8608057792633932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x14ac:dyDescent="0.25">
      <c r="A218" s="2" t="s">
        <v>562</v>
      </c>
      <c r="B218" s="12">
        <v>1.8221270058444501</v>
      </c>
      <c r="C218" s="3">
        <v>0.61896228237056905</v>
      </c>
      <c r="D218" s="3">
        <f t="shared" si="3"/>
        <v>1.2076071193394875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x14ac:dyDescent="0.25">
      <c r="A219" s="2" t="s">
        <v>563</v>
      </c>
      <c r="B219" s="12">
        <v>1.9466241797889701</v>
      </c>
      <c r="C219" s="3">
        <v>0.43437645160258398</v>
      </c>
      <c r="D219" s="3">
        <f t="shared" si="3"/>
        <v>0.96029475540918341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x14ac:dyDescent="0.25">
      <c r="A220" s="2" t="s">
        <v>564</v>
      </c>
      <c r="B220" s="12">
        <v>2.3915113021884502</v>
      </c>
      <c r="C220" s="3">
        <v>0.68561891413915399</v>
      </c>
      <c r="D220" s="3">
        <f t="shared" si="3"/>
        <v>1.0528048285380114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x14ac:dyDescent="0.25">
      <c r="A221" s="2" t="s">
        <v>520</v>
      </c>
      <c r="B221" s="12">
        <v>1.27396517614597</v>
      </c>
      <c r="C221" s="3">
        <v>0.26849925303500699</v>
      </c>
      <c r="D221" s="3">
        <f t="shared" si="3"/>
        <v>1.0350189336946058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</sheetData>
  <autoFilter ref="A2:D221" xr:uid="{8050AEAF-8B37-475D-9DFE-306CBF1A9230}"/>
  <mergeCells count="1">
    <mergeCell ref="A1: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0DF7-5B2F-4AAE-B7D0-4014A9D6A035}">
  <dimension ref="A1:H54"/>
  <sheetViews>
    <sheetView workbookViewId="0">
      <selection activeCell="V36" sqref="V36"/>
    </sheetView>
  </sheetViews>
  <sheetFormatPr defaultRowHeight="15" x14ac:dyDescent="0.25"/>
  <cols>
    <col min="1" max="1" width="24.42578125" bestFit="1" customWidth="1"/>
    <col min="2" max="2" width="14.28515625" bestFit="1" customWidth="1"/>
    <col min="3" max="3" width="18.85546875" bestFit="1" customWidth="1"/>
    <col min="4" max="4" width="17.42578125" customWidth="1"/>
    <col min="5" max="5" width="24.140625" bestFit="1" customWidth="1"/>
    <col min="6" max="6" width="19.5703125" bestFit="1" customWidth="1"/>
    <col min="7" max="7" width="16.42578125" bestFit="1" customWidth="1"/>
    <col min="8" max="8" width="21.5703125" bestFit="1" customWidth="1"/>
  </cols>
  <sheetData>
    <row r="1" spans="1:7" s="10" customFormat="1" x14ac:dyDescent="0.25">
      <c r="A1" s="14" t="s">
        <v>613</v>
      </c>
      <c r="B1" s="14"/>
      <c r="C1" s="14"/>
      <c r="D1" s="14"/>
      <c r="E1" s="14"/>
      <c r="F1" s="14"/>
      <c r="G1" s="14"/>
    </row>
    <row r="2" spans="1:7" s="10" customFormat="1" x14ac:dyDescent="0.25">
      <c r="A2" s="10" t="s">
        <v>180</v>
      </c>
      <c r="B2" s="10" t="s">
        <v>449</v>
      </c>
      <c r="C2" s="10" t="s">
        <v>614</v>
      </c>
      <c r="D2" s="10" t="s">
        <v>615</v>
      </c>
      <c r="E2" s="10" t="s">
        <v>616</v>
      </c>
    </row>
    <row r="3" spans="1:7" s="10" customFormat="1" x14ac:dyDescent="0.25">
      <c r="A3" s="2" t="s">
        <v>13</v>
      </c>
      <c r="B3" s="10">
        <v>162.56399999999999</v>
      </c>
      <c r="C3" s="10">
        <v>8.06</v>
      </c>
      <c r="D3" s="3">
        <f t="shared" ref="D3:D19" si="0">LN(B3)</f>
        <v>5.0910717703865993</v>
      </c>
      <c r="E3" s="3">
        <f t="shared" ref="E3:E19" si="1">LN(PI()*((C3*100/170)/2)^2)</f>
        <v>2.8710061356422427</v>
      </c>
      <c r="F3" s="3"/>
      <c r="G3" s="3"/>
    </row>
    <row r="4" spans="1:7" s="10" customFormat="1" x14ac:dyDescent="0.25">
      <c r="A4" s="2" t="s">
        <v>14</v>
      </c>
      <c r="B4" s="10">
        <v>161.4991</v>
      </c>
      <c r="C4" s="10">
        <v>8.6</v>
      </c>
      <c r="D4" s="3">
        <f t="shared" si="0"/>
        <v>5.084499569891765</v>
      </c>
      <c r="E4" s="3">
        <f t="shared" si="1"/>
        <v>3.0007034291240928</v>
      </c>
      <c r="F4" s="3"/>
      <c r="G4" s="3"/>
    </row>
    <row r="5" spans="1:7" s="10" customFormat="1" x14ac:dyDescent="0.25">
      <c r="A5" s="2" t="s">
        <v>16</v>
      </c>
      <c r="B5" s="10">
        <v>51.6</v>
      </c>
      <c r="C5" s="10">
        <v>5.66</v>
      </c>
      <c r="D5" s="3">
        <f t="shared" si="0"/>
        <v>3.9435216724875173</v>
      </c>
      <c r="E5" s="3">
        <f t="shared" si="1"/>
        <v>2.1640268070353521</v>
      </c>
      <c r="F5" s="3"/>
      <c r="G5" s="3"/>
    </row>
    <row r="6" spans="1:7" s="10" customFormat="1" x14ac:dyDescent="0.25">
      <c r="A6" s="2" t="s">
        <v>15</v>
      </c>
      <c r="B6" s="10">
        <v>100</v>
      </c>
      <c r="C6" s="10">
        <v>4.47</v>
      </c>
      <c r="D6" s="3">
        <f t="shared" si="0"/>
        <v>4.6051701859880918</v>
      </c>
      <c r="E6" s="3">
        <f t="shared" si="1"/>
        <v>1.6919558398561236</v>
      </c>
      <c r="F6" s="3"/>
      <c r="G6" s="3"/>
    </row>
    <row r="7" spans="1:7" s="10" customFormat="1" x14ac:dyDescent="0.25">
      <c r="A7" s="2" t="s">
        <v>140</v>
      </c>
      <c r="B7" s="10">
        <v>50</v>
      </c>
      <c r="C7" s="10">
        <v>6.4</v>
      </c>
      <c r="D7" s="3">
        <f t="shared" si="0"/>
        <v>3.912023005428146</v>
      </c>
      <c r="E7" s="3">
        <f t="shared" si="1"/>
        <v>2.4097750033364211</v>
      </c>
      <c r="F7" s="3"/>
      <c r="G7" s="3"/>
    </row>
    <row r="8" spans="1:7" s="10" customFormat="1" x14ac:dyDescent="0.25">
      <c r="A8" s="2" t="s">
        <v>17</v>
      </c>
      <c r="B8" s="10">
        <v>54.999699999999997</v>
      </c>
      <c r="C8" s="10">
        <v>5.0999999999999996</v>
      </c>
      <c r="D8" s="3">
        <f t="shared" si="0"/>
        <v>4.0073277306721407</v>
      </c>
      <c r="E8" s="3">
        <f t="shared" si="1"/>
        <v>1.9556601020657285</v>
      </c>
      <c r="F8" s="3"/>
      <c r="G8" s="3"/>
    </row>
    <row r="9" spans="1:7" s="10" customFormat="1" x14ac:dyDescent="0.25">
      <c r="A9" s="2" t="s">
        <v>18</v>
      </c>
      <c r="B9" s="10">
        <v>17.95</v>
      </c>
      <c r="C9" s="10">
        <v>5.0999999999999996</v>
      </c>
      <c r="D9" s="3">
        <f t="shared" si="0"/>
        <v>2.8875901149342877</v>
      </c>
      <c r="E9" s="3">
        <f t="shared" si="1"/>
        <v>1.9556601020657285</v>
      </c>
      <c r="F9" s="3"/>
      <c r="G9" s="3"/>
    </row>
    <row r="10" spans="1:7" s="10" customFormat="1" x14ac:dyDescent="0.25">
      <c r="A10" s="2" t="s">
        <v>475</v>
      </c>
      <c r="B10" s="10">
        <v>9.3732000000000006</v>
      </c>
      <c r="C10" s="10">
        <v>5</v>
      </c>
      <c r="D10" s="3">
        <f t="shared" si="0"/>
        <v>2.2378545534221148</v>
      </c>
      <c r="E10" s="3">
        <f t="shared" si="1"/>
        <v>1.9160548474733696</v>
      </c>
      <c r="F10" s="3"/>
      <c r="G10" s="3"/>
    </row>
    <row r="11" spans="1:7" s="10" customFormat="1" x14ac:dyDescent="0.25">
      <c r="A11" s="10" t="s">
        <v>474</v>
      </c>
      <c r="B11" s="10">
        <v>8.9040999999999997</v>
      </c>
      <c r="C11" s="10">
        <v>3.61</v>
      </c>
      <c r="D11" s="3">
        <f t="shared" si="0"/>
        <v>2.1865118448176348</v>
      </c>
      <c r="E11" s="3">
        <f t="shared" si="1"/>
        <v>1.2645945672947478</v>
      </c>
      <c r="F11" s="3"/>
      <c r="G11" s="3"/>
    </row>
    <row r="12" spans="1:7" s="10" customFormat="1" x14ac:dyDescent="0.25">
      <c r="A12" s="2" t="s">
        <v>44</v>
      </c>
      <c r="B12" s="10">
        <v>206</v>
      </c>
      <c r="C12" s="10">
        <v>7.62</v>
      </c>
      <c r="D12" s="3">
        <f t="shared" si="0"/>
        <v>5.3278761687895813</v>
      </c>
      <c r="E12" s="3">
        <f t="shared" si="1"/>
        <v>2.7587317620022787</v>
      </c>
      <c r="F12" s="3"/>
      <c r="G12" s="3"/>
    </row>
    <row r="13" spans="1:7" s="10" customFormat="1" x14ac:dyDescent="0.25">
      <c r="A13" s="2" t="s">
        <v>43</v>
      </c>
      <c r="B13" s="10">
        <v>425</v>
      </c>
      <c r="C13" s="10">
        <v>6.4</v>
      </c>
      <c r="D13" s="3">
        <f t="shared" si="0"/>
        <v>6.0520891689244172</v>
      </c>
      <c r="E13" s="3">
        <f t="shared" si="1"/>
        <v>2.4097750033364211</v>
      </c>
      <c r="F13" s="3"/>
      <c r="G13" s="3"/>
    </row>
    <row r="14" spans="1:7" s="10" customFormat="1" x14ac:dyDescent="0.25">
      <c r="A14" s="10" t="s">
        <v>617</v>
      </c>
      <c r="B14" s="10">
        <v>86.26</v>
      </c>
      <c r="C14" s="10">
        <v>10</v>
      </c>
      <c r="D14" s="3">
        <f t="shared" si="0"/>
        <v>4.4573659912196968</v>
      </c>
      <c r="E14" s="3">
        <f t="shared" si="1"/>
        <v>3.3023492085932604</v>
      </c>
      <c r="F14" s="3"/>
      <c r="G14" s="3"/>
    </row>
    <row r="15" spans="1:7" s="10" customFormat="1" x14ac:dyDescent="0.25">
      <c r="A15" s="2" t="s">
        <v>141</v>
      </c>
      <c r="B15" s="10">
        <v>99.949399999999997</v>
      </c>
      <c r="C15" s="10">
        <v>5</v>
      </c>
      <c r="D15" s="3">
        <f t="shared" si="0"/>
        <v>4.6046640579268905</v>
      </c>
      <c r="E15" s="3">
        <f t="shared" si="1"/>
        <v>1.9160548474733696</v>
      </c>
      <c r="F15" s="3"/>
      <c r="G15" s="3"/>
    </row>
    <row r="16" spans="1:7" s="10" customFormat="1" x14ac:dyDescent="0.25">
      <c r="A16" s="2" t="s">
        <v>45</v>
      </c>
      <c r="B16" s="10">
        <v>5.5250000000000004</v>
      </c>
      <c r="C16" s="10">
        <v>4.24</v>
      </c>
      <c r="D16" s="3">
        <f t="shared" si="0"/>
        <v>1.7092832474038167</v>
      </c>
      <c r="E16" s="3">
        <f t="shared" si="1"/>
        <v>1.5863055610929016</v>
      </c>
      <c r="F16" s="3"/>
      <c r="G16" s="3"/>
    </row>
    <row r="17" spans="1:8" s="10" customFormat="1" x14ac:dyDescent="0.25">
      <c r="A17" s="10" t="s">
        <v>244</v>
      </c>
      <c r="B17" s="10">
        <v>7.1075999999999997</v>
      </c>
      <c r="C17" s="10">
        <v>6.71</v>
      </c>
      <c r="D17" s="3">
        <f t="shared" si="0"/>
        <v>1.9611646340887827</v>
      </c>
      <c r="E17" s="3">
        <f t="shared" si="1"/>
        <v>2.5043769245723495</v>
      </c>
      <c r="F17" s="3"/>
      <c r="G17" s="3"/>
    </row>
    <row r="18" spans="1:8" s="10" customFormat="1" x14ac:dyDescent="0.25">
      <c r="A18" s="10" t="s">
        <v>476</v>
      </c>
      <c r="B18" s="10">
        <v>47</v>
      </c>
      <c r="C18" s="10">
        <v>6.71</v>
      </c>
      <c r="D18" s="3">
        <f t="shared" si="0"/>
        <v>3.8501476017100584</v>
      </c>
      <c r="E18" s="3">
        <f t="shared" si="1"/>
        <v>2.5043769245723495</v>
      </c>
      <c r="F18" s="3"/>
      <c r="G18" s="3"/>
    </row>
    <row r="19" spans="1:8" s="10" customFormat="1" x14ac:dyDescent="0.25">
      <c r="A19" s="10" t="s">
        <v>477</v>
      </c>
      <c r="B19" s="10">
        <v>7.0853000000000002</v>
      </c>
      <c r="C19" s="10">
        <v>4.47</v>
      </c>
      <c r="D19" s="3">
        <f t="shared" si="0"/>
        <v>1.9580222152243281</v>
      </c>
      <c r="E19" s="3">
        <f t="shared" si="1"/>
        <v>1.6919558398561236</v>
      </c>
      <c r="F19" s="3"/>
      <c r="G19" s="3"/>
    </row>
    <row r="20" spans="1:8" s="10" customFormat="1" x14ac:dyDescent="0.25"/>
    <row r="21" spans="1:8" s="10" customFormat="1" x14ac:dyDescent="0.25">
      <c r="A21" s="14" t="s">
        <v>618</v>
      </c>
    </row>
    <row r="22" spans="1:8" s="10" customFormat="1" x14ac:dyDescent="0.25">
      <c r="A22" s="10" t="s">
        <v>180</v>
      </c>
      <c r="B22" s="10" t="s">
        <v>179</v>
      </c>
      <c r="C22" s="10" t="s">
        <v>450</v>
      </c>
      <c r="D22" s="10" t="s">
        <v>214</v>
      </c>
      <c r="E22" s="10" t="s">
        <v>413</v>
      </c>
      <c r="F22" s="10" t="s">
        <v>451</v>
      </c>
      <c r="G22" s="10" t="s">
        <v>175</v>
      </c>
      <c r="H22" s="10" t="s">
        <v>619</v>
      </c>
    </row>
    <row r="23" spans="1:8" s="10" customFormat="1" x14ac:dyDescent="0.25">
      <c r="A23" s="2" t="s">
        <v>452</v>
      </c>
      <c r="B23" s="3">
        <v>1008.4</v>
      </c>
      <c r="C23" s="12">
        <f>(30/20*107)</f>
        <v>160.5</v>
      </c>
      <c r="D23" s="10" t="s">
        <v>453</v>
      </c>
      <c r="E23" s="6">
        <f>30/20*4414</f>
        <v>6621</v>
      </c>
      <c r="F23" s="3">
        <f t="shared" ref="F23:F45" si="2">E23/C23</f>
        <v>41.252336448598129</v>
      </c>
      <c r="G23" s="3">
        <f t="shared" ref="G23:G54" si="3">LN(B23)</f>
        <v>6.9161201953137645</v>
      </c>
      <c r="H23" s="3">
        <f t="shared" ref="H23:H54" si="4">LN(F23)</f>
        <v>3.7197077523547755</v>
      </c>
    </row>
    <row r="24" spans="1:8" s="10" customFormat="1" x14ac:dyDescent="0.25">
      <c r="A24" s="2" t="s">
        <v>454</v>
      </c>
      <c r="B24" s="3">
        <v>132</v>
      </c>
      <c r="C24" s="12">
        <v>410</v>
      </c>
      <c r="D24" s="10" t="s">
        <v>455</v>
      </c>
      <c r="E24" s="6">
        <v>2599</v>
      </c>
      <c r="F24" s="3">
        <f t="shared" si="2"/>
        <v>6.3390243902439023</v>
      </c>
      <c r="G24" s="3">
        <f t="shared" si="3"/>
        <v>4.8828019225863706</v>
      </c>
      <c r="H24" s="3">
        <f t="shared" si="4"/>
        <v>1.8467248749431366</v>
      </c>
    </row>
    <row r="25" spans="1:8" s="10" customFormat="1" x14ac:dyDescent="0.25">
      <c r="A25" s="2" t="s">
        <v>256</v>
      </c>
      <c r="B25" s="3">
        <v>182</v>
      </c>
      <c r="C25" s="12">
        <v>1344</v>
      </c>
      <c r="D25" s="10" t="s">
        <v>455</v>
      </c>
      <c r="E25" s="6">
        <v>4283</v>
      </c>
      <c r="F25" s="3">
        <f t="shared" si="2"/>
        <v>3.1867559523809526</v>
      </c>
      <c r="G25" s="3">
        <f t="shared" si="3"/>
        <v>5.2040066870767951</v>
      </c>
      <c r="H25" s="3">
        <f t="shared" si="4"/>
        <v>1.1590034565322762</v>
      </c>
    </row>
    <row r="26" spans="1:8" s="10" customFormat="1" x14ac:dyDescent="0.25">
      <c r="A26" s="2" t="s">
        <v>456</v>
      </c>
      <c r="B26" s="3">
        <v>20</v>
      </c>
      <c r="C26" s="12">
        <v>624</v>
      </c>
      <c r="D26" s="10" t="s">
        <v>455</v>
      </c>
      <c r="E26" s="6">
        <v>629</v>
      </c>
      <c r="F26" s="3">
        <f t="shared" si="2"/>
        <v>1.0080128205128205</v>
      </c>
      <c r="G26" s="3">
        <f t="shared" si="3"/>
        <v>2.9957322735539909</v>
      </c>
      <c r="H26" s="3">
        <f t="shared" si="4"/>
        <v>7.9808883310128319E-3</v>
      </c>
    </row>
    <row r="27" spans="1:8" s="10" customFormat="1" x14ac:dyDescent="0.25">
      <c r="A27" s="2" t="s">
        <v>259</v>
      </c>
      <c r="B27" s="3">
        <v>110</v>
      </c>
      <c r="C27" s="12">
        <v>195</v>
      </c>
      <c r="D27" s="10" t="s">
        <v>457</v>
      </c>
      <c r="E27" s="6">
        <v>3069</v>
      </c>
      <c r="F27" s="3">
        <f t="shared" si="2"/>
        <v>15.738461538461538</v>
      </c>
      <c r="G27" s="3">
        <f t="shared" si="3"/>
        <v>4.7004803657924166</v>
      </c>
      <c r="H27" s="3">
        <f t="shared" si="4"/>
        <v>2.7561074960559893</v>
      </c>
    </row>
    <row r="28" spans="1:8" s="10" customFormat="1" x14ac:dyDescent="0.25">
      <c r="A28" s="2" t="s">
        <v>458</v>
      </c>
      <c r="B28" s="3">
        <v>86</v>
      </c>
      <c r="C28" s="12">
        <v>451</v>
      </c>
      <c r="D28" s="10" t="s">
        <v>455</v>
      </c>
      <c r="E28" s="6">
        <v>2007</v>
      </c>
      <c r="F28" s="3">
        <f t="shared" si="2"/>
        <v>4.4501108647450112</v>
      </c>
      <c r="G28" s="3">
        <f t="shared" si="3"/>
        <v>4.4543472962535073</v>
      </c>
      <c r="H28" s="3">
        <f t="shared" si="4"/>
        <v>1.4929290092936598</v>
      </c>
    </row>
    <row r="29" spans="1:8" s="10" customFormat="1" x14ac:dyDescent="0.25">
      <c r="A29" s="2" t="s">
        <v>459</v>
      </c>
      <c r="B29" s="3">
        <v>154</v>
      </c>
      <c r="C29" s="12">
        <v>439</v>
      </c>
      <c r="D29" s="10" t="s">
        <v>455</v>
      </c>
      <c r="E29" s="6">
        <v>3928</v>
      </c>
      <c r="F29" s="3">
        <f t="shared" si="2"/>
        <v>8.9476082004555817</v>
      </c>
      <c r="G29" s="3">
        <f t="shared" si="3"/>
        <v>5.0369526024136295</v>
      </c>
      <c r="H29" s="3">
        <f t="shared" si="4"/>
        <v>2.1913862563991851</v>
      </c>
    </row>
    <row r="30" spans="1:8" s="10" customFormat="1" x14ac:dyDescent="0.25">
      <c r="A30" s="2" t="s">
        <v>260</v>
      </c>
      <c r="B30" s="3">
        <v>207</v>
      </c>
      <c r="C30" s="12">
        <v>382</v>
      </c>
      <c r="D30" s="10" t="s">
        <v>455</v>
      </c>
      <c r="E30" s="6">
        <v>4194</v>
      </c>
      <c r="F30" s="3">
        <f t="shared" si="2"/>
        <v>10.979057591623036</v>
      </c>
      <c r="G30" s="3">
        <f t="shared" si="3"/>
        <v>5.3327187932653688</v>
      </c>
      <c r="H30" s="3">
        <f t="shared" si="4"/>
        <v>2.3959896028552898</v>
      </c>
    </row>
    <row r="31" spans="1:8" s="10" customFormat="1" x14ac:dyDescent="0.25">
      <c r="A31" s="2" t="s">
        <v>261</v>
      </c>
      <c r="B31" s="3">
        <v>272</v>
      </c>
      <c r="C31" s="12">
        <v>679</v>
      </c>
      <c r="D31" s="10" t="s">
        <v>455</v>
      </c>
      <c r="E31" s="6">
        <v>6792</v>
      </c>
      <c r="F31" s="3">
        <f t="shared" si="2"/>
        <v>10.002945508100147</v>
      </c>
      <c r="G31" s="3">
        <f t="shared" si="3"/>
        <v>5.6058020662959978</v>
      </c>
      <c r="H31" s="3">
        <f t="shared" si="4"/>
        <v>2.3028796004324872</v>
      </c>
    </row>
    <row r="32" spans="1:8" s="10" customFormat="1" x14ac:dyDescent="0.25">
      <c r="A32" s="2" t="s">
        <v>460</v>
      </c>
      <c r="B32" s="3">
        <v>52</v>
      </c>
      <c r="C32" s="12">
        <v>312</v>
      </c>
      <c r="D32" s="10" t="s">
        <v>455</v>
      </c>
      <c r="E32" s="6">
        <v>1379</v>
      </c>
      <c r="F32" s="3">
        <f t="shared" si="2"/>
        <v>4.4198717948717947</v>
      </c>
      <c r="G32" s="3">
        <f t="shared" si="3"/>
        <v>3.9512437185814275</v>
      </c>
      <c r="H32" s="3">
        <f t="shared" si="4"/>
        <v>1.4861106899838195</v>
      </c>
    </row>
    <row r="33" spans="1:8" s="10" customFormat="1" x14ac:dyDescent="0.25">
      <c r="A33" s="2" t="s">
        <v>461</v>
      </c>
      <c r="B33" s="3">
        <v>69</v>
      </c>
      <c r="C33" s="12">
        <v>513</v>
      </c>
      <c r="D33" s="10" t="s">
        <v>455</v>
      </c>
      <c r="E33" s="6">
        <v>2227</v>
      </c>
      <c r="F33" s="3">
        <f t="shared" si="2"/>
        <v>4.341130604288499</v>
      </c>
      <c r="G33" s="3">
        <f t="shared" si="3"/>
        <v>4.2341065045972597</v>
      </c>
      <c r="H33" s="3">
        <f t="shared" si="4"/>
        <v>1.4681348220865982</v>
      </c>
    </row>
    <row r="34" spans="1:8" s="10" customFormat="1" x14ac:dyDescent="0.25">
      <c r="A34" s="2" t="s">
        <v>462</v>
      </c>
      <c r="B34" s="3">
        <v>17</v>
      </c>
      <c r="C34" s="12">
        <v>400</v>
      </c>
      <c r="D34" s="10" t="s">
        <v>455</v>
      </c>
      <c r="E34" s="6">
        <v>1164</v>
      </c>
      <c r="F34" s="3">
        <f t="shared" si="2"/>
        <v>2.91</v>
      </c>
      <c r="G34" s="3">
        <f t="shared" si="3"/>
        <v>2.8332133440562162</v>
      </c>
      <c r="H34" s="3">
        <f t="shared" si="4"/>
        <v>1.0681530811834012</v>
      </c>
    </row>
    <row r="35" spans="1:8" s="10" customFormat="1" x14ac:dyDescent="0.25">
      <c r="A35" s="2" t="s">
        <v>463</v>
      </c>
      <c r="B35" s="3">
        <v>112</v>
      </c>
      <c r="C35" s="12">
        <v>1154</v>
      </c>
      <c r="D35" s="10" t="s">
        <v>455</v>
      </c>
      <c r="E35" s="6">
        <v>924</v>
      </c>
      <c r="F35" s="3">
        <f t="shared" si="2"/>
        <v>0.80069324090121319</v>
      </c>
      <c r="G35" s="3">
        <f t="shared" si="3"/>
        <v>4.7184988712950942</v>
      </c>
      <c r="H35" s="3">
        <f t="shared" si="4"/>
        <v>-0.2222773754263607</v>
      </c>
    </row>
    <row r="36" spans="1:8" s="10" customFormat="1" x14ac:dyDescent="0.25">
      <c r="A36" s="2" t="s">
        <v>464</v>
      </c>
      <c r="B36" s="3">
        <v>142</v>
      </c>
      <c r="C36" s="12">
        <v>678</v>
      </c>
      <c r="D36" s="10" t="s">
        <v>455</v>
      </c>
      <c r="E36" s="6">
        <v>2099</v>
      </c>
      <c r="F36" s="3">
        <f t="shared" si="2"/>
        <v>3.0958702064896757</v>
      </c>
      <c r="G36" s="3">
        <f t="shared" si="3"/>
        <v>4.9558270576012609</v>
      </c>
      <c r="H36" s="3">
        <f t="shared" si="4"/>
        <v>1.1300690318802376</v>
      </c>
    </row>
    <row r="37" spans="1:8" s="10" customFormat="1" x14ac:dyDescent="0.25">
      <c r="A37" s="2" t="s">
        <v>47</v>
      </c>
      <c r="B37" s="3">
        <v>142</v>
      </c>
      <c r="C37" s="12">
        <v>383</v>
      </c>
      <c r="D37" s="10" t="s">
        <v>455</v>
      </c>
      <c r="E37" s="6">
        <v>3340</v>
      </c>
      <c r="F37" s="3">
        <f t="shared" si="2"/>
        <v>8.7206266318537864</v>
      </c>
      <c r="G37" s="3">
        <f t="shared" si="3"/>
        <v>4.9558270576012609</v>
      </c>
      <c r="H37" s="3">
        <f t="shared" si="4"/>
        <v>2.1656910967901002</v>
      </c>
    </row>
    <row r="38" spans="1:8" s="10" customFormat="1" x14ac:dyDescent="0.25">
      <c r="A38" s="2" t="s">
        <v>465</v>
      </c>
      <c r="B38" s="3">
        <v>14</v>
      </c>
      <c r="C38" s="12">
        <v>207</v>
      </c>
      <c r="D38" s="10" t="s">
        <v>455</v>
      </c>
      <c r="E38" s="6">
        <v>735</v>
      </c>
      <c r="F38" s="3">
        <f t="shared" si="2"/>
        <v>3.5507246376811592</v>
      </c>
      <c r="G38" s="3">
        <f t="shared" si="3"/>
        <v>2.6390573296152584</v>
      </c>
      <c r="H38" s="3">
        <f t="shared" si="4"/>
        <v>1.2671517059474675</v>
      </c>
    </row>
    <row r="39" spans="1:8" s="10" customFormat="1" x14ac:dyDescent="0.25">
      <c r="A39" s="2" t="s">
        <v>466</v>
      </c>
      <c r="B39" s="3">
        <v>20</v>
      </c>
      <c r="C39" s="12">
        <v>275</v>
      </c>
      <c r="D39" s="10" t="s">
        <v>455</v>
      </c>
      <c r="E39" s="6">
        <v>821</v>
      </c>
      <c r="F39" s="3">
        <f t="shared" si="2"/>
        <v>2.9854545454545454</v>
      </c>
      <c r="G39" s="3">
        <f t="shared" si="3"/>
        <v>2.9957322735539909</v>
      </c>
      <c r="H39" s="3">
        <f t="shared" si="4"/>
        <v>1.0937520117858568</v>
      </c>
    </row>
    <row r="40" spans="1:8" s="10" customFormat="1" x14ac:dyDescent="0.25">
      <c r="A40" s="2" t="s">
        <v>467</v>
      </c>
      <c r="B40" s="3">
        <v>30</v>
      </c>
      <c r="C40" s="12">
        <v>298</v>
      </c>
      <c r="D40" s="10" t="s">
        <v>455</v>
      </c>
      <c r="E40" s="6">
        <v>1063</v>
      </c>
      <c r="F40" s="3">
        <f t="shared" si="2"/>
        <v>3.5671140939597317</v>
      </c>
      <c r="G40" s="3">
        <f t="shared" si="3"/>
        <v>3.4011973816621555</v>
      </c>
      <c r="H40" s="3">
        <f t="shared" si="4"/>
        <v>1.2717568918365436</v>
      </c>
    </row>
    <row r="41" spans="1:8" s="10" customFormat="1" x14ac:dyDescent="0.25">
      <c r="A41" s="2" t="s">
        <v>468</v>
      </c>
      <c r="B41" s="3">
        <v>18</v>
      </c>
      <c r="C41" s="12">
        <v>276</v>
      </c>
      <c r="D41" s="10" t="s">
        <v>455</v>
      </c>
      <c r="E41" s="6">
        <v>646</v>
      </c>
      <c r="F41" s="3">
        <f t="shared" si="2"/>
        <v>2.3405797101449277</v>
      </c>
      <c r="G41" s="3">
        <f t="shared" si="3"/>
        <v>2.8903717578961645</v>
      </c>
      <c r="H41" s="3">
        <f t="shared" si="4"/>
        <v>0.85039863806545191</v>
      </c>
    </row>
    <row r="42" spans="1:8" s="10" customFormat="1" x14ac:dyDescent="0.25">
      <c r="A42" s="2" t="s">
        <v>469</v>
      </c>
      <c r="B42" s="3">
        <v>59</v>
      </c>
      <c r="C42" s="12">
        <v>446</v>
      </c>
      <c r="D42" s="10" t="s">
        <v>455</v>
      </c>
      <c r="E42" s="6">
        <v>1911</v>
      </c>
      <c r="F42" s="3">
        <f t="shared" si="2"/>
        <v>4.2847533632286998</v>
      </c>
      <c r="G42" s="3">
        <f t="shared" si="3"/>
        <v>4.0775374439057197</v>
      </c>
      <c r="H42" s="3">
        <f t="shared" si="4"/>
        <v>1.455062992220209</v>
      </c>
    </row>
    <row r="43" spans="1:8" s="10" customFormat="1" x14ac:dyDescent="0.25">
      <c r="A43" s="2" t="s">
        <v>470</v>
      </c>
      <c r="B43" s="3">
        <v>13</v>
      </c>
      <c r="C43" s="12">
        <v>365</v>
      </c>
      <c r="D43" s="10" t="s">
        <v>455</v>
      </c>
      <c r="E43" s="6">
        <v>579</v>
      </c>
      <c r="F43" s="3">
        <f t="shared" si="2"/>
        <v>1.5863013698630137</v>
      </c>
      <c r="G43" s="3">
        <f t="shared" si="3"/>
        <v>2.5649493574615367</v>
      </c>
      <c r="H43" s="3">
        <f t="shared" si="4"/>
        <v>0.46140512399050376</v>
      </c>
    </row>
    <row r="44" spans="1:8" s="10" customFormat="1" x14ac:dyDescent="0.25">
      <c r="A44" s="2" t="s">
        <v>471</v>
      </c>
      <c r="B44" s="3">
        <v>22</v>
      </c>
      <c r="C44" s="12">
        <v>424</v>
      </c>
      <c r="D44" s="10" t="s">
        <v>455</v>
      </c>
      <c r="E44" s="6">
        <v>682</v>
      </c>
      <c r="F44" s="3">
        <f t="shared" si="2"/>
        <v>1.6084905660377358</v>
      </c>
      <c r="G44" s="3">
        <f t="shared" si="3"/>
        <v>3.0910424533583161</v>
      </c>
      <c r="H44" s="3">
        <f t="shared" si="4"/>
        <v>0.47529620261150429</v>
      </c>
    </row>
    <row r="45" spans="1:8" s="10" customFormat="1" x14ac:dyDescent="0.25">
      <c r="A45" s="2" t="s">
        <v>61</v>
      </c>
      <c r="B45" s="3">
        <v>7206.7</v>
      </c>
      <c r="C45" s="12">
        <v>4165.5115598440871</v>
      </c>
      <c r="D45" s="10" t="s">
        <v>472</v>
      </c>
      <c r="E45" s="6">
        <v>46028.921590479455</v>
      </c>
      <c r="F45" s="3">
        <f t="shared" si="2"/>
        <v>11.050004526263347</v>
      </c>
      <c r="G45" s="3">
        <f t="shared" si="3"/>
        <v>8.8827664278612932</v>
      </c>
      <c r="H45" s="3">
        <f t="shared" si="4"/>
        <v>2.4024308375802703</v>
      </c>
    </row>
    <row r="46" spans="1:8" s="10" customFormat="1" x14ac:dyDescent="0.25">
      <c r="A46" s="2" t="s">
        <v>13</v>
      </c>
      <c r="B46" s="3">
        <v>200</v>
      </c>
      <c r="C46" s="12">
        <f t="shared" ref="C46:C54" si="5">E46/F46</f>
        <v>654.51394975304834</v>
      </c>
      <c r="D46" s="10" t="s">
        <v>473</v>
      </c>
      <c r="E46" s="6">
        <v>7037.4</v>
      </c>
      <c r="F46" s="3">
        <f>PI()*(3.7/2)^2</f>
        <v>10.752100856911069</v>
      </c>
      <c r="G46" s="3">
        <f t="shared" si="3"/>
        <v>5.2983173665480363</v>
      </c>
      <c r="H46" s="3">
        <f t="shared" si="4"/>
        <v>2.3751011640298674</v>
      </c>
    </row>
    <row r="47" spans="1:8" s="10" customFormat="1" x14ac:dyDescent="0.25">
      <c r="A47" s="2" t="s">
        <v>15</v>
      </c>
      <c r="B47" s="3">
        <v>100</v>
      </c>
      <c r="C47" s="12">
        <f t="shared" si="5"/>
        <v>970.74177889489022</v>
      </c>
      <c r="D47" s="10" t="s">
        <v>473</v>
      </c>
      <c r="E47" s="6">
        <v>5035.7</v>
      </c>
      <c r="F47" s="3">
        <f>PI()*(2.57/2)^2</f>
        <v>5.1874763294238049</v>
      </c>
      <c r="G47" s="3">
        <f t="shared" si="3"/>
        <v>4.6051701859880918</v>
      </c>
      <c r="H47" s="3">
        <f t="shared" si="4"/>
        <v>1.6462473225437662</v>
      </c>
    </row>
    <row r="48" spans="1:8" s="10" customFormat="1" x14ac:dyDescent="0.25">
      <c r="A48" s="2" t="s">
        <v>445</v>
      </c>
      <c r="B48" s="3">
        <v>16.59</v>
      </c>
      <c r="C48" s="12">
        <f t="shared" si="5"/>
        <v>591.20861852701751</v>
      </c>
      <c r="D48" s="10" t="s">
        <v>473</v>
      </c>
      <c r="E48" s="6">
        <v>778.7</v>
      </c>
      <c r="F48" s="3">
        <f>PI()*(1.85*0.7/2)^2</f>
        <v>1.3171323549716054</v>
      </c>
      <c r="G48" s="3">
        <f t="shared" si="3"/>
        <v>2.8088001042023532</v>
      </c>
      <c r="H48" s="3">
        <f t="shared" si="4"/>
        <v>0.27545691503251146</v>
      </c>
    </row>
    <row r="49" spans="1:8" s="10" customFormat="1" x14ac:dyDescent="0.25">
      <c r="A49" s="2" t="s">
        <v>444</v>
      </c>
      <c r="B49" s="10">
        <v>13.9</v>
      </c>
      <c r="C49" s="12">
        <f t="shared" si="5"/>
        <v>528.00737506392795</v>
      </c>
      <c r="D49" s="10" t="s">
        <v>473</v>
      </c>
      <c r="E49" s="6">
        <v>680.5</v>
      </c>
      <c r="F49" s="3">
        <f>PI()*(1.83*0.7/2)^2</f>
        <v>1.28880775560684</v>
      </c>
      <c r="G49" s="3">
        <f t="shared" si="3"/>
        <v>2.631888840136646</v>
      </c>
      <c r="H49" s="3">
        <f t="shared" si="4"/>
        <v>0.25371757055870381</v>
      </c>
    </row>
    <row r="50" spans="1:8" s="10" customFormat="1" x14ac:dyDescent="0.25">
      <c r="A50" s="2" t="s">
        <v>435</v>
      </c>
      <c r="B50" s="10">
        <v>11.59</v>
      </c>
      <c r="C50" s="12">
        <f t="shared" si="5"/>
        <v>404.97802549368561</v>
      </c>
      <c r="D50" s="10" t="s">
        <v>473</v>
      </c>
      <c r="E50" s="6">
        <v>733.9</v>
      </c>
      <c r="F50" s="3">
        <f>PI()*(2.17*0.7/2)^2</f>
        <v>1.8121970916948995</v>
      </c>
      <c r="G50" s="3">
        <f t="shared" si="3"/>
        <v>2.4501426573516603</v>
      </c>
      <c r="H50" s="3">
        <f t="shared" si="4"/>
        <v>0.59453997195678099</v>
      </c>
    </row>
    <row r="51" spans="1:8" s="10" customFormat="1" x14ac:dyDescent="0.25">
      <c r="A51" s="2" t="s">
        <v>474</v>
      </c>
      <c r="B51" s="10">
        <v>15.5</v>
      </c>
      <c r="C51" s="12">
        <f t="shared" si="5"/>
        <v>437.04835618031319</v>
      </c>
      <c r="D51" s="10" t="s">
        <v>473</v>
      </c>
      <c r="E51" s="6">
        <v>515.1</v>
      </c>
      <c r="F51" s="3">
        <f>PI()*(1.75*0.7/2)^2</f>
        <v>1.1785881189482956</v>
      </c>
      <c r="G51" s="3">
        <f t="shared" si="3"/>
        <v>2.7408400239252009</v>
      </c>
      <c r="H51" s="3">
        <f t="shared" si="4"/>
        <v>0.16431721272288996</v>
      </c>
    </row>
    <row r="52" spans="1:8" s="10" customFormat="1" x14ac:dyDescent="0.25">
      <c r="A52" s="2" t="s">
        <v>433</v>
      </c>
      <c r="B52" s="10">
        <v>24</v>
      </c>
      <c r="C52" s="12">
        <f t="shared" si="5"/>
        <v>729.47232626397931</v>
      </c>
      <c r="D52" s="10" t="s">
        <v>473</v>
      </c>
      <c r="E52" s="6">
        <v>1089.5</v>
      </c>
      <c r="F52" s="3">
        <f>PI()*(1.97*0.7/2)^2</f>
        <v>1.4935453488412869</v>
      </c>
      <c r="G52" s="3">
        <f t="shared" si="3"/>
        <v>3.1780538303479458</v>
      </c>
      <c r="H52" s="3">
        <f t="shared" si="4"/>
        <v>0.40115272235183896</v>
      </c>
    </row>
    <row r="53" spans="1:8" s="10" customFormat="1" x14ac:dyDescent="0.25">
      <c r="A53" s="2" t="s">
        <v>17</v>
      </c>
      <c r="B53" s="10">
        <v>34.1</v>
      </c>
      <c r="C53" s="12">
        <f t="shared" si="5"/>
        <v>1131.0962898424987</v>
      </c>
      <c r="D53" s="10" t="s">
        <v>473</v>
      </c>
      <c r="E53" s="6">
        <v>1662.5</v>
      </c>
      <c r="F53" s="3">
        <f>PI()*(2.28*0.6/2)^2</f>
        <v>1.4698129725379061</v>
      </c>
      <c r="G53" s="3">
        <f t="shared" si="3"/>
        <v>3.529297384289471</v>
      </c>
      <c r="H53" s="3">
        <f t="shared" si="4"/>
        <v>0.38513516313022683</v>
      </c>
    </row>
    <row r="54" spans="1:8" s="10" customFormat="1" x14ac:dyDescent="0.25">
      <c r="A54" s="2" t="s">
        <v>434</v>
      </c>
      <c r="B54" s="10">
        <v>38.64</v>
      </c>
      <c r="C54" s="12">
        <f t="shared" si="5"/>
        <v>845.34991685581247</v>
      </c>
      <c r="D54" s="10" t="s">
        <v>473</v>
      </c>
      <c r="E54" s="6">
        <v>1485.9</v>
      </c>
      <c r="F54" s="3">
        <f>PI()*(1.87*0.8/2)^2</f>
        <v>1.7577336560541039</v>
      </c>
      <c r="G54" s="3">
        <f t="shared" si="3"/>
        <v>3.6542880093443171</v>
      </c>
      <c r="H54" s="3">
        <f t="shared" si="4"/>
        <v>0.56402528383408068</v>
      </c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5E444-82D5-48CD-B6C4-5D1B1C5D2EC3}">
  <dimension ref="A1:O54"/>
  <sheetViews>
    <sheetView topLeftCell="G1" workbookViewId="0">
      <selection activeCell="O21" sqref="O21"/>
    </sheetView>
  </sheetViews>
  <sheetFormatPr defaultRowHeight="15" x14ac:dyDescent="0.25"/>
  <cols>
    <col min="1" max="1" width="36.7109375" bestFit="1" customWidth="1"/>
    <col min="2" max="2" width="14.28515625" bestFit="1" customWidth="1"/>
    <col min="3" max="3" width="23.140625" bestFit="1" customWidth="1"/>
    <col min="4" max="4" width="165.28515625" bestFit="1" customWidth="1"/>
    <col min="5" max="5" width="16.42578125" bestFit="1" customWidth="1"/>
    <col min="6" max="6" width="25" bestFit="1" customWidth="1"/>
    <col min="8" max="8" width="22.7109375" bestFit="1" customWidth="1"/>
    <col min="9" max="9" width="5.5703125" bestFit="1" customWidth="1"/>
    <col min="10" max="10" width="25.28515625" bestFit="1" customWidth="1"/>
    <col min="12" max="12" width="7.5703125" bestFit="1" customWidth="1"/>
    <col min="13" max="13" width="6.5703125" bestFit="1" customWidth="1"/>
    <col min="14" max="14" width="106.140625" bestFit="1" customWidth="1"/>
    <col min="15" max="15" width="27.5703125" bestFit="1" customWidth="1"/>
    <col min="16" max="16" width="12" bestFit="1" customWidth="1"/>
    <col min="17" max="17" width="4.5703125" bestFit="1" customWidth="1"/>
  </cols>
  <sheetData>
    <row r="1" spans="1:6" s="10" customFormat="1" x14ac:dyDescent="0.25">
      <c r="A1" s="29" t="s">
        <v>217</v>
      </c>
      <c r="B1" s="29"/>
      <c r="C1" s="29"/>
      <c r="D1" s="29"/>
      <c r="E1" s="29"/>
      <c r="F1" s="29"/>
    </row>
    <row r="2" spans="1:6" s="10" customFormat="1" x14ac:dyDescent="0.25">
      <c r="A2" s="10" t="s">
        <v>180</v>
      </c>
      <c r="B2" s="10" t="s">
        <v>179</v>
      </c>
      <c r="C2" s="10" t="s">
        <v>216</v>
      </c>
      <c r="D2" s="10" t="s">
        <v>214</v>
      </c>
      <c r="E2" s="10" t="s">
        <v>175</v>
      </c>
      <c r="F2" s="10" t="s">
        <v>215</v>
      </c>
    </row>
    <row r="3" spans="1:6" s="10" customFormat="1" x14ac:dyDescent="0.25">
      <c r="A3" s="15" t="s">
        <v>213</v>
      </c>
      <c r="B3" s="3">
        <v>660</v>
      </c>
      <c r="C3" s="3">
        <v>8722</v>
      </c>
      <c r="D3" s="10" t="s">
        <v>206</v>
      </c>
      <c r="E3" s="3">
        <f t="shared" ref="E3:F18" si="0">LN(B3)</f>
        <v>6.4922398350204711</v>
      </c>
      <c r="F3" s="3">
        <f t="shared" si="0"/>
        <v>9.0736038484027119</v>
      </c>
    </row>
    <row r="4" spans="1:6" s="10" customFormat="1" x14ac:dyDescent="0.25">
      <c r="A4" s="15" t="s">
        <v>212</v>
      </c>
      <c r="B4" s="3">
        <v>670</v>
      </c>
      <c r="C4" s="3">
        <v>7805</v>
      </c>
      <c r="D4" s="10" t="s">
        <v>211</v>
      </c>
      <c r="E4" s="3">
        <f t="shared" si="0"/>
        <v>6.5072777123850116</v>
      </c>
      <c r="F4" s="3">
        <f t="shared" si="0"/>
        <v>8.9625198329495319</v>
      </c>
    </row>
    <row r="5" spans="1:6" s="10" customFormat="1" x14ac:dyDescent="0.25">
      <c r="A5" s="2" t="s">
        <v>208</v>
      </c>
      <c r="B5" s="3">
        <f>1000/1.8</f>
        <v>555.55555555555554</v>
      </c>
      <c r="C5" s="3">
        <v>10000</v>
      </c>
      <c r="D5" s="10" t="s">
        <v>207</v>
      </c>
      <c r="E5" s="3">
        <f t="shared" si="0"/>
        <v>6.3199686140800182</v>
      </c>
      <c r="F5" s="3">
        <f t="shared" si="0"/>
        <v>9.2103403719761836</v>
      </c>
    </row>
    <row r="6" spans="1:6" s="10" customFormat="1" x14ac:dyDescent="0.25">
      <c r="A6" s="2" t="s">
        <v>222</v>
      </c>
      <c r="B6" s="3">
        <v>82.9</v>
      </c>
      <c r="C6" s="3">
        <v>6310</v>
      </c>
      <c r="D6" s="10" t="s">
        <v>223</v>
      </c>
      <c r="E6" s="3">
        <f t="shared" si="0"/>
        <v>4.4176350621412492</v>
      </c>
      <c r="F6" s="3">
        <f t="shared" si="0"/>
        <v>8.7498909555352586</v>
      </c>
    </row>
    <row r="7" spans="1:6" s="10" customFormat="1" x14ac:dyDescent="0.25">
      <c r="A7" s="2" t="s">
        <v>196</v>
      </c>
      <c r="B7" s="3">
        <v>3.96</v>
      </c>
      <c r="C7" s="3">
        <v>195</v>
      </c>
      <c r="D7" s="10" t="s">
        <v>195</v>
      </c>
      <c r="E7" s="3">
        <f t="shared" si="0"/>
        <v>1.3762440252663892</v>
      </c>
      <c r="F7" s="3">
        <f t="shared" si="0"/>
        <v>5.2729995585637468</v>
      </c>
    </row>
    <row r="8" spans="1:6" s="10" customFormat="1" x14ac:dyDescent="0.25">
      <c r="A8" s="2" t="s">
        <v>204</v>
      </c>
      <c r="B8" s="3">
        <f>AVERAGE(65,80)</f>
        <v>72.5</v>
      </c>
      <c r="C8" s="3">
        <v>2120</v>
      </c>
      <c r="D8" s="10" t="s">
        <v>205</v>
      </c>
      <c r="E8" s="3">
        <f t="shared" si="0"/>
        <v>4.2835865618606288</v>
      </c>
      <c r="F8" s="3">
        <f t="shared" si="0"/>
        <v>7.6591713676660582</v>
      </c>
    </row>
    <row r="9" spans="1:6" s="10" customFormat="1" x14ac:dyDescent="0.25">
      <c r="A9" s="2" t="s">
        <v>204</v>
      </c>
      <c r="B9" s="3">
        <v>82.9</v>
      </c>
      <c r="C9" s="3">
        <v>2501</v>
      </c>
      <c r="D9" s="10" t="s">
        <v>223</v>
      </c>
      <c r="E9" s="3">
        <f t="shared" si="0"/>
        <v>4.4176350621412492</v>
      </c>
      <c r="F9" s="3">
        <f t="shared" si="0"/>
        <v>7.8244459308776193</v>
      </c>
    </row>
    <row r="10" spans="1:6" s="10" customFormat="1" x14ac:dyDescent="0.25">
      <c r="A10" s="2" t="s">
        <v>376</v>
      </c>
      <c r="B10" s="3">
        <v>1.3973</v>
      </c>
      <c r="C10" s="3">
        <v>130.4</v>
      </c>
      <c r="D10" s="10" t="s">
        <v>317</v>
      </c>
      <c r="E10" s="3">
        <f t="shared" si="0"/>
        <v>0.33454180310426512</v>
      </c>
      <c r="F10" s="3">
        <f t="shared" si="0"/>
        <v>4.8706066494925526</v>
      </c>
    </row>
    <row r="11" spans="1:6" s="10" customFormat="1" x14ac:dyDescent="0.25">
      <c r="A11" s="2" t="s">
        <v>382</v>
      </c>
      <c r="B11" s="3">
        <v>1.6</v>
      </c>
      <c r="C11" s="3">
        <v>277.7</v>
      </c>
      <c r="D11" s="10" t="s">
        <v>317</v>
      </c>
      <c r="E11" s="3">
        <f t="shared" si="0"/>
        <v>0.47000362924573563</v>
      </c>
      <c r="F11" s="3">
        <f t="shared" si="0"/>
        <v>5.6265413943127536</v>
      </c>
    </row>
    <row r="12" spans="1:6" s="10" customFormat="1" x14ac:dyDescent="0.25">
      <c r="A12" s="2" t="s">
        <v>381</v>
      </c>
      <c r="B12" s="3">
        <v>0.15079999999999999</v>
      </c>
      <c r="C12" s="3">
        <v>18.940000000000001</v>
      </c>
      <c r="D12" s="10" t="s">
        <v>317</v>
      </c>
      <c r="E12" s="3">
        <f t="shared" si="0"/>
        <v>-1.8918008234082815</v>
      </c>
      <c r="F12" s="3">
        <f t="shared" si="0"/>
        <v>2.9412760877579323</v>
      </c>
    </row>
    <row r="13" spans="1:6" s="10" customFormat="1" x14ac:dyDescent="0.25">
      <c r="A13" s="2" t="s">
        <v>380</v>
      </c>
      <c r="B13" s="3">
        <v>0.7833</v>
      </c>
      <c r="C13" s="3">
        <v>45.32</v>
      </c>
      <c r="D13" s="10" t="s">
        <v>317</v>
      </c>
      <c r="E13" s="3">
        <f t="shared" si="0"/>
        <v>-0.24423951460894419</v>
      </c>
      <c r="F13" s="3">
        <f t="shared" si="0"/>
        <v>3.8137484361598055</v>
      </c>
    </row>
    <row r="14" spans="1:6" s="10" customFormat="1" x14ac:dyDescent="0.25">
      <c r="A14" s="2" t="s">
        <v>379</v>
      </c>
      <c r="B14" s="3">
        <v>0.1221</v>
      </c>
      <c r="C14" s="3">
        <v>7.73</v>
      </c>
      <c r="D14" s="10" t="s">
        <v>317</v>
      </c>
      <c r="E14" s="3">
        <f t="shared" si="0"/>
        <v>-2.1029148978654781</v>
      </c>
      <c r="F14" s="3">
        <f t="shared" si="0"/>
        <v>2.0451088625993306</v>
      </c>
    </row>
    <row r="15" spans="1:6" s="10" customFormat="1" x14ac:dyDescent="0.25">
      <c r="A15" s="2" t="s">
        <v>378</v>
      </c>
      <c r="B15" s="3">
        <v>0.624</v>
      </c>
      <c r="C15" s="3">
        <v>34.42</v>
      </c>
      <c r="D15" s="10" t="s">
        <v>317</v>
      </c>
      <c r="E15" s="3">
        <f t="shared" si="0"/>
        <v>-0.47160491061270937</v>
      </c>
      <c r="F15" s="3">
        <f t="shared" si="0"/>
        <v>3.5386377907833935</v>
      </c>
    </row>
    <row r="16" spans="1:6" s="10" customFormat="1" x14ac:dyDescent="0.25">
      <c r="A16" s="2" t="s">
        <v>377</v>
      </c>
      <c r="B16" s="3">
        <v>1.3575999999999999</v>
      </c>
      <c r="C16" s="3">
        <v>72.319999999999993</v>
      </c>
      <c r="D16" s="10" t="s">
        <v>317</v>
      </c>
      <c r="E16" s="3">
        <f t="shared" si="0"/>
        <v>0.30571843493787942</v>
      </c>
      <c r="F16" s="3">
        <f t="shared" si="0"/>
        <v>4.2811007160839214</v>
      </c>
    </row>
    <row r="17" spans="1:15" s="10" customFormat="1" x14ac:dyDescent="0.25">
      <c r="A17" s="2" t="s">
        <v>393</v>
      </c>
      <c r="B17" s="3">
        <v>90</v>
      </c>
      <c r="C17" s="3">
        <v>2144</v>
      </c>
      <c r="D17" s="10" t="s">
        <v>206</v>
      </c>
      <c r="E17" s="3">
        <f t="shared" si="0"/>
        <v>4.499809670330265</v>
      </c>
      <c r="F17" s="3">
        <f t="shared" si="0"/>
        <v>7.6704285221906927</v>
      </c>
    </row>
    <row r="18" spans="1:15" s="10" customFormat="1" x14ac:dyDescent="0.25">
      <c r="A18" s="2" t="s">
        <v>395</v>
      </c>
      <c r="B18" s="3">
        <v>100</v>
      </c>
      <c r="C18" s="3">
        <v>3400</v>
      </c>
      <c r="D18" s="10" t="s">
        <v>394</v>
      </c>
      <c r="E18" s="3">
        <f t="shared" si="0"/>
        <v>4.6051701859880918</v>
      </c>
      <c r="F18" s="3">
        <f t="shared" si="0"/>
        <v>8.1315307106042525</v>
      </c>
    </row>
    <row r="19" spans="1:15" s="10" customFormat="1" x14ac:dyDescent="0.25">
      <c r="A19" s="2" t="s">
        <v>185</v>
      </c>
      <c r="B19" s="3">
        <v>1740</v>
      </c>
      <c r="C19" s="3">
        <v>23000</v>
      </c>
      <c r="D19" s="10" t="s">
        <v>197</v>
      </c>
      <c r="E19" s="3">
        <f t="shared" ref="E19:F50" si="1">LN(B19)</f>
        <v>7.461640392208575</v>
      </c>
      <c r="F19" s="3">
        <f t="shared" si="1"/>
        <v>10.043249494911286</v>
      </c>
    </row>
    <row r="20" spans="1:15" s="10" customFormat="1" x14ac:dyDescent="0.25">
      <c r="A20" s="2" t="s">
        <v>186</v>
      </c>
      <c r="B20" s="3">
        <v>2.4</v>
      </c>
      <c r="C20" s="3">
        <f>4.3*B20*9.80665</f>
        <v>101.20462799999999</v>
      </c>
      <c r="D20" s="10" t="s">
        <v>183</v>
      </c>
      <c r="E20" s="3">
        <f t="shared" si="1"/>
        <v>0.87546873735389985</v>
      </c>
      <c r="F20" s="3">
        <f t="shared" si="1"/>
        <v>4.6171444870330207</v>
      </c>
    </row>
    <row r="21" spans="1:15" s="10" customFormat="1" x14ac:dyDescent="0.25">
      <c r="A21" s="2" t="s">
        <v>185</v>
      </c>
      <c r="B21" s="3">
        <v>2500</v>
      </c>
      <c r="C21" s="3">
        <f>1*B21*9.80665</f>
        <v>24516.625</v>
      </c>
      <c r="D21" s="10" t="s">
        <v>183</v>
      </c>
      <c r="E21" s="3">
        <f t="shared" si="1"/>
        <v>7.8240460108562919</v>
      </c>
      <c r="F21" s="3">
        <f t="shared" si="1"/>
        <v>10.107106737835897</v>
      </c>
    </row>
    <row r="22" spans="1:15" s="10" customFormat="1" x14ac:dyDescent="0.25">
      <c r="A22" s="2" t="s">
        <v>193</v>
      </c>
      <c r="B22" s="3">
        <v>25.45</v>
      </c>
      <c r="C22" s="3">
        <v>243.77</v>
      </c>
      <c r="D22" s="10" t="s">
        <v>192</v>
      </c>
      <c r="E22" s="3">
        <f t="shared" si="1"/>
        <v>3.2367157429965316</v>
      </c>
      <c r="F22" s="3">
        <f t="shared" si="1"/>
        <v>5.4962251577939858</v>
      </c>
    </row>
    <row r="23" spans="1:15" s="10" customFormat="1" x14ac:dyDescent="0.25">
      <c r="A23" s="2" t="s">
        <v>189</v>
      </c>
      <c r="B23" s="3">
        <v>67.900000000000006</v>
      </c>
      <c r="C23" s="3">
        <v>5607</v>
      </c>
      <c r="D23" s="10" t="s">
        <v>187</v>
      </c>
      <c r="E23" s="3">
        <f t="shared" si="1"/>
        <v>4.2180360345646504</v>
      </c>
      <c r="F23" s="3">
        <f t="shared" si="1"/>
        <v>8.6317710961236731</v>
      </c>
    </row>
    <row r="24" spans="1:15" s="10" customFormat="1" x14ac:dyDescent="0.25">
      <c r="A24" s="2" t="s">
        <v>189</v>
      </c>
      <c r="B24" s="3">
        <v>47.6</v>
      </c>
      <c r="C24" s="3">
        <v>2167</v>
      </c>
      <c r="D24" s="10" t="s">
        <v>187</v>
      </c>
      <c r="E24" s="3">
        <f t="shared" si="1"/>
        <v>3.8628327612373745</v>
      </c>
      <c r="F24" s="3">
        <f t="shared" si="1"/>
        <v>7.6810990015363592</v>
      </c>
    </row>
    <row r="25" spans="1:15" s="10" customFormat="1" x14ac:dyDescent="0.25">
      <c r="A25" s="2" t="s">
        <v>189</v>
      </c>
      <c r="B25" s="3">
        <v>27.9</v>
      </c>
      <c r="C25" s="3">
        <v>1157</v>
      </c>
      <c r="D25" s="10" t="s">
        <v>187</v>
      </c>
      <c r="E25" s="3">
        <f t="shared" si="1"/>
        <v>3.3286266888273199</v>
      </c>
      <c r="F25" s="3">
        <f t="shared" si="1"/>
        <v>7.0535857271936768</v>
      </c>
    </row>
    <row r="26" spans="1:15" s="10" customFormat="1" x14ac:dyDescent="0.25">
      <c r="A26" s="2" t="s">
        <v>189</v>
      </c>
      <c r="B26" s="3">
        <v>42.8</v>
      </c>
      <c r="C26" s="3">
        <v>1570</v>
      </c>
      <c r="D26" s="10" t="s">
        <v>187</v>
      </c>
      <c r="E26" s="3">
        <f t="shared" si="1"/>
        <v>3.7565381025877511</v>
      </c>
      <c r="F26" s="3">
        <f t="shared" si="1"/>
        <v>7.3588308983423536</v>
      </c>
    </row>
    <row r="27" spans="1:15" s="10" customFormat="1" x14ac:dyDescent="0.25">
      <c r="A27" s="2" t="s">
        <v>188</v>
      </c>
      <c r="B27" s="3">
        <v>67.400000000000006</v>
      </c>
      <c r="C27" s="3">
        <v>2185</v>
      </c>
      <c r="D27" s="10" t="s">
        <v>187</v>
      </c>
      <c r="E27" s="3">
        <f t="shared" si="1"/>
        <v>4.2106450179182611</v>
      </c>
      <c r="F27" s="3">
        <f t="shared" si="1"/>
        <v>7.6893711075296904</v>
      </c>
    </row>
    <row r="28" spans="1:15" s="10" customFormat="1" x14ac:dyDescent="0.25">
      <c r="A28" s="2" t="s">
        <v>188</v>
      </c>
      <c r="B28" s="3">
        <v>69.7</v>
      </c>
      <c r="C28" s="3">
        <v>2336</v>
      </c>
      <c r="D28" s="10" t="s">
        <v>187</v>
      </c>
      <c r="E28" s="3">
        <f t="shared" si="1"/>
        <v>4.2442003177664782</v>
      </c>
      <c r="F28" s="3">
        <f t="shared" si="1"/>
        <v>7.7561953439481179</v>
      </c>
      <c r="H28" s="14"/>
      <c r="I28" s="14"/>
      <c r="J28" s="14"/>
      <c r="K28" s="14"/>
      <c r="L28" s="14"/>
      <c r="M28" s="14"/>
    </row>
    <row r="29" spans="1:15" s="10" customFormat="1" x14ac:dyDescent="0.25">
      <c r="A29" s="2" t="s">
        <v>188</v>
      </c>
      <c r="B29" s="3">
        <v>81.8</v>
      </c>
      <c r="C29" s="3">
        <v>890</v>
      </c>
      <c r="D29" s="10" t="s">
        <v>187</v>
      </c>
      <c r="E29" s="3">
        <f t="shared" si="1"/>
        <v>4.4042772436087017</v>
      </c>
      <c r="F29" s="3">
        <f t="shared" si="1"/>
        <v>6.7912214627261855</v>
      </c>
      <c r="K29" s="3"/>
      <c r="N29" s="3"/>
      <c r="O29" s="3"/>
    </row>
    <row r="30" spans="1:15" s="10" customFormat="1" x14ac:dyDescent="0.25">
      <c r="A30" s="2" t="s">
        <v>188</v>
      </c>
      <c r="B30" s="3">
        <v>64.599999999999994</v>
      </c>
      <c r="C30" s="3">
        <v>1567</v>
      </c>
      <c r="D30" s="10" t="s">
        <v>187</v>
      </c>
      <c r="E30" s="3">
        <f t="shared" si="1"/>
        <v>4.1682144107885559</v>
      </c>
      <c r="F30" s="3">
        <f t="shared" si="1"/>
        <v>7.3569182423560209</v>
      </c>
      <c r="K30" s="3"/>
      <c r="N30" s="3"/>
      <c r="O30" s="3"/>
    </row>
    <row r="31" spans="1:15" s="10" customFormat="1" x14ac:dyDescent="0.25">
      <c r="A31" s="2" t="s">
        <v>182</v>
      </c>
      <c r="B31" s="3">
        <v>39</v>
      </c>
      <c r="C31" s="3">
        <f>B31*0.38*9.80665</f>
        <v>145.334553</v>
      </c>
      <c r="D31" s="10" t="s">
        <v>181</v>
      </c>
      <c r="E31" s="3">
        <f t="shared" si="1"/>
        <v>3.6635616461296463</v>
      </c>
      <c r="F31" s="3">
        <f t="shared" si="1"/>
        <v>4.9790383468475454</v>
      </c>
      <c r="K31" s="3"/>
      <c r="N31" s="3"/>
      <c r="O31" s="3"/>
    </row>
    <row r="32" spans="1:15" s="10" customFormat="1" x14ac:dyDescent="0.25">
      <c r="A32" s="15" t="s">
        <v>209</v>
      </c>
      <c r="B32" s="3">
        <f>C32/13</f>
        <v>640</v>
      </c>
      <c r="C32" s="3">
        <v>8320</v>
      </c>
      <c r="D32" s="10" t="s">
        <v>206</v>
      </c>
      <c r="E32" s="3">
        <f t="shared" si="1"/>
        <v>6.4614681763537174</v>
      </c>
      <c r="F32" s="3">
        <f t="shared" si="1"/>
        <v>9.0264175338152537</v>
      </c>
      <c r="K32" s="3"/>
      <c r="N32" s="3"/>
      <c r="O32" s="3"/>
    </row>
    <row r="33" spans="1:15" s="10" customFormat="1" x14ac:dyDescent="0.25">
      <c r="A33" s="2" t="s">
        <v>191</v>
      </c>
      <c r="B33" s="3">
        <v>22.29</v>
      </c>
      <c r="C33" s="3">
        <f>34.12*22.29</f>
        <v>760.5347999999999</v>
      </c>
      <c r="D33" s="10" t="s">
        <v>203</v>
      </c>
      <c r="E33" s="3">
        <f t="shared" si="1"/>
        <v>3.1041381473977774</v>
      </c>
      <c r="F33" s="3">
        <f t="shared" si="1"/>
        <v>6.6340218700212557</v>
      </c>
      <c r="K33" s="3"/>
      <c r="N33" s="3"/>
      <c r="O33" s="3"/>
    </row>
    <row r="34" spans="1:15" s="10" customFormat="1" x14ac:dyDescent="0.25">
      <c r="A34" s="2" t="s">
        <v>202</v>
      </c>
      <c r="B34" s="3">
        <v>5.5300000000000002E-2</v>
      </c>
      <c r="C34" s="3">
        <f>B34*2.42*9.80665</f>
        <v>1.3123847429</v>
      </c>
      <c r="D34" s="10" t="s">
        <v>201</v>
      </c>
      <c r="E34" s="3">
        <f t="shared" si="1"/>
        <v>-2.8949823704538478</v>
      </c>
      <c r="F34" s="3">
        <f t="shared" si="1"/>
        <v>0.27184589669435139</v>
      </c>
      <c r="K34" s="3"/>
      <c r="N34" s="3"/>
      <c r="O34" s="3"/>
    </row>
    <row r="35" spans="1:15" s="10" customFormat="1" x14ac:dyDescent="0.25">
      <c r="A35" s="2" t="s">
        <v>200</v>
      </c>
      <c r="B35" s="3">
        <v>61.5</v>
      </c>
      <c r="C35" s="3">
        <f>2.3*B35*9.80665</f>
        <v>1387.1506424999998</v>
      </c>
      <c r="D35" s="10" t="s">
        <v>198</v>
      </c>
      <c r="E35" s="3">
        <f t="shared" si="1"/>
        <v>4.1190371748124726</v>
      </c>
      <c r="F35" s="3">
        <f t="shared" si="1"/>
        <v>7.2350070247271807</v>
      </c>
      <c r="K35" s="3"/>
      <c r="N35" s="3"/>
      <c r="O35" s="3"/>
    </row>
    <row r="36" spans="1:15" s="10" customFormat="1" x14ac:dyDescent="0.25">
      <c r="A36" s="2" t="s">
        <v>396</v>
      </c>
      <c r="B36" s="3">
        <v>82.9</v>
      </c>
      <c r="C36" s="3">
        <v>4531</v>
      </c>
      <c r="D36" s="10" t="s">
        <v>223</v>
      </c>
      <c r="E36" s="3">
        <f t="shared" si="1"/>
        <v>4.4176350621412492</v>
      </c>
      <c r="F36" s="3">
        <f t="shared" si="1"/>
        <v>8.4186979446671391</v>
      </c>
    </row>
    <row r="37" spans="1:15" s="10" customFormat="1" x14ac:dyDescent="0.25">
      <c r="A37" s="2" t="s">
        <v>199</v>
      </c>
      <c r="B37" s="3">
        <v>34</v>
      </c>
      <c r="C37" s="3">
        <f>2.6*B37*9.80665</f>
        <v>866.90786000000003</v>
      </c>
      <c r="D37" s="10" t="s">
        <v>198</v>
      </c>
      <c r="E37" s="3">
        <f t="shared" si="1"/>
        <v>3.5263605246161616</v>
      </c>
      <c r="F37" s="3">
        <f t="shared" si="1"/>
        <v>6.7649326966232017</v>
      </c>
    </row>
    <row r="38" spans="1:15" s="10" customFormat="1" x14ac:dyDescent="0.25">
      <c r="A38" s="2" t="s">
        <v>184</v>
      </c>
      <c r="B38" s="3">
        <v>0.25</v>
      </c>
      <c r="C38" s="3">
        <f>18*B38*9.80665</f>
        <v>44.129925</v>
      </c>
      <c r="D38" s="10" t="s">
        <v>183</v>
      </c>
      <c r="E38" s="3">
        <f t="shared" si="1"/>
        <v>-1.3862943611198906</v>
      </c>
      <c r="F38" s="3">
        <f t="shared" si="1"/>
        <v>3.7871381237558785</v>
      </c>
    </row>
    <row r="39" spans="1:15" s="10" customFormat="1" x14ac:dyDescent="0.25">
      <c r="A39" s="2" t="s">
        <v>191</v>
      </c>
      <c r="B39" s="3">
        <v>40.799999999999997</v>
      </c>
      <c r="C39" s="3">
        <v>2043.8</v>
      </c>
      <c r="D39" s="10" t="s">
        <v>194</v>
      </c>
      <c r="E39" s="3">
        <f t="shared" si="1"/>
        <v>3.708682081410116</v>
      </c>
      <c r="F39" s="3">
        <f t="shared" si="1"/>
        <v>7.6225660991781083</v>
      </c>
    </row>
    <row r="40" spans="1:15" s="10" customFormat="1" x14ac:dyDescent="0.25">
      <c r="A40" s="2" t="s">
        <v>191</v>
      </c>
      <c r="B40" s="3">
        <v>28.1</v>
      </c>
      <c r="C40" s="3">
        <v>1480.8</v>
      </c>
      <c r="D40" s="10" t="s">
        <v>194</v>
      </c>
      <c r="E40" s="3">
        <f t="shared" si="1"/>
        <v>3.3357695763396999</v>
      </c>
      <c r="F40" s="3">
        <f t="shared" si="1"/>
        <v>7.3003377612592875</v>
      </c>
    </row>
    <row r="41" spans="1:15" s="10" customFormat="1" x14ac:dyDescent="0.25">
      <c r="A41" s="2" t="s">
        <v>191</v>
      </c>
      <c r="B41" s="3">
        <v>34</v>
      </c>
      <c r="C41" s="3">
        <v>1309.2</v>
      </c>
      <c r="D41" s="10" t="s">
        <v>194</v>
      </c>
      <c r="E41" s="3">
        <f t="shared" si="1"/>
        <v>3.5263605246161616</v>
      </c>
      <c r="F41" s="3">
        <f t="shared" si="1"/>
        <v>7.1771715426270255</v>
      </c>
    </row>
    <row r="42" spans="1:15" s="10" customFormat="1" x14ac:dyDescent="0.25">
      <c r="A42" s="2" t="s">
        <v>191</v>
      </c>
      <c r="B42" s="3">
        <v>33.1</v>
      </c>
      <c r="C42" s="3">
        <v>1231</v>
      </c>
      <c r="D42" s="10" t="s">
        <v>194</v>
      </c>
      <c r="E42" s="3">
        <f t="shared" si="1"/>
        <v>3.4995332823830174</v>
      </c>
      <c r="F42" s="3">
        <f t="shared" si="1"/>
        <v>7.1155821261844538</v>
      </c>
    </row>
    <row r="43" spans="1:15" s="10" customFormat="1" x14ac:dyDescent="0.25">
      <c r="A43" s="2" t="s">
        <v>191</v>
      </c>
      <c r="B43" s="3">
        <v>35.4</v>
      </c>
      <c r="C43" s="3">
        <v>1432</v>
      </c>
      <c r="D43" s="10" t="s">
        <v>194</v>
      </c>
      <c r="E43" s="3">
        <f t="shared" si="1"/>
        <v>3.5667118201397288</v>
      </c>
      <c r="F43" s="3">
        <f t="shared" si="1"/>
        <v>7.2668273475205911</v>
      </c>
    </row>
    <row r="44" spans="1:15" s="10" customFormat="1" x14ac:dyDescent="0.25">
      <c r="A44" s="2" t="s">
        <v>191</v>
      </c>
      <c r="B44" s="3">
        <v>28.1</v>
      </c>
      <c r="C44" s="3">
        <v>1282.2</v>
      </c>
      <c r="D44" s="10" t="s">
        <v>194</v>
      </c>
      <c r="E44" s="3">
        <f t="shared" si="1"/>
        <v>3.3357695763396999</v>
      </c>
      <c r="F44" s="3">
        <f t="shared" si="1"/>
        <v>7.1563326315531572</v>
      </c>
    </row>
    <row r="45" spans="1:15" s="10" customFormat="1" x14ac:dyDescent="0.25">
      <c r="A45" s="2" t="s">
        <v>191</v>
      </c>
      <c r="B45" s="3">
        <v>34</v>
      </c>
      <c r="C45" s="3">
        <v>1107.8</v>
      </c>
      <c r="D45" s="10" t="s">
        <v>194</v>
      </c>
      <c r="E45" s="3">
        <f t="shared" si="1"/>
        <v>3.5263605246161616</v>
      </c>
      <c r="F45" s="3">
        <f t="shared" si="1"/>
        <v>7.0101313455990031</v>
      </c>
    </row>
    <row r="46" spans="1:15" s="10" customFormat="1" x14ac:dyDescent="0.25">
      <c r="A46" s="2" t="s">
        <v>191</v>
      </c>
      <c r="B46" s="3">
        <v>36.700000000000003</v>
      </c>
      <c r="C46" s="3">
        <v>1656.9</v>
      </c>
      <c r="D46" s="10" t="s">
        <v>194</v>
      </c>
      <c r="E46" s="3">
        <f t="shared" si="1"/>
        <v>3.6027767550605247</v>
      </c>
      <c r="F46" s="3">
        <f t="shared" si="1"/>
        <v>7.4127036655752514</v>
      </c>
    </row>
    <row r="47" spans="1:15" s="10" customFormat="1" x14ac:dyDescent="0.25">
      <c r="A47" s="2" t="s">
        <v>191</v>
      </c>
      <c r="B47" s="3">
        <v>33.6</v>
      </c>
      <c r="C47" s="3">
        <v>1510.9</v>
      </c>
      <c r="D47" s="10" t="s">
        <v>194</v>
      </c>
      <c r="E47" s="3">
        <f t="shared" si="1"/>
        <v>3.5145260669691587</v>
      </c>
      <c r="F47" s="3">
        <f t="shared" si="1"/>
        <v>7.3204607787457956</v>
      </c>
    </row>
    <row r="48" spans="1:15" s="10" customFormat="1" x14ac:dyDescent="0.25">
      <c r="A48" s="2" t="s">
        <v>191</v>
      </c>
      <c r="B48" s="3">
        <v>27.2</v>
      </c>
      <c r="C48" s="3">
        <v>995.1</v>
      </c>
      <c r="D48" s="10" t="s">
        <v>194</v>
      </c>
      <c r="E48" s="3">
        <f t="shared" si="1"/>
        <v>3.3032169733019514</v>
      </c>
      <c r="F48" s="3">
        <f t="shared" si="1"/>
        <v>6.9028432346211162</v>
      </c>
    </row>
    <row r="49" spans="1:6" s="10" customFormat="1" x14ac:dyDescent="0.25">
      <c r="A49" s="2" t="s">
        <v>191</v>
      </c>
      <c r="B49" s="3">
        <v>27.7</v>
      </c>
      <c r="C49" s="3">
        <v>1209.4000000000001</v>
      </c>
      <c r="D49" s="10" t="s">
        <v>194</v>
      </c>
      <c r="E49" s="3">
        <f t="shared" si="1"/>
        <v>3.3214324131932926</v>
      </c>
      <c r="F49" s="3">
        <f t="shared" si="1"/>
        <v>7.0978796478391128</v>
      </c>
    </row>
    <row r="50" spans="1:6" s="10" customFormat="1" x14ac:dyDescent="0.25">
      <c r="A50" s="2" t="s">
        <v>191</v>
      </c>
      <c r="B50" s="3">
        <v>31.3</v>
      </c>
      <c r="C50" s="3">
        <v>1239.0999999999999</v>
      </c>
      <c r="D50" s="10" t="s">
        <v>194</v>
      </c>
      <c r="E50" s="3">
        <f t="shared" si="1"/>
        <v>3.4436180975461075</v>
      </c>
      <c r="F50" s="3">
        <f t="shared" si="1"/>
        <v>7.1221405886224476</v>
      </c>
    </row>
    <row r="51" spans="1:6" s="10" customFormat="1" x14ac:dyDescent="0.25">
      <c r="A51" s="2" t="s">
        <v>191</v>
      </c>
      <c r="B51" s="3">
        <v>34</v>
      </c>
      <c r="C51" s="3">
        <v>1256.0999999999999</v>
      </c>
      <c r="D51" s="10" t="s">
        <v>194</v>
      </c>
      <c r="E51" s="3">
        <f t="shared" ref="E51:F54" si="2">LN(B51)</f>
        <v>3.5263605246161616</v>
      </c>
      <c r="F51" s="3">
        <f t="shared" si="2"/>
        <v>7.1357669616932071</v>
      </c>
    </row>
    <row r="52" spans="1:6" s="10" customFormat="1" x14ac:dyDescent="0.25">
      <c r="A52" s="2" t="s">
        <v>191</v>
      </c>
      <c r="B52" s="3">
        <v>36</v>
      </c>
      <c r="C52" s="3">
        <v>1140</v>
      </c>
      <c r="D52" s="10" t="s">
        <v>190</v>
      </c>
      <c r="E52" s="3">
        <f t="shared" si="2"/>
        <v>3.5835189384561099</v>
      </c>
      <c r="F52" s="3">
        <f t="shared" si="2"/>
        <v>7.0387835413885416</v>
      </c>
    </row>
    <row r="53" spans="1:6" s="10" customFormat="1" x14ac:dyDescent="0.25">
      <c r="A53" s="15" t="s">
        <v>210</v>
      </c>
      <c r="B53" s="3">
        <f>10240/16</f>
        <v>640</v>
      </c>
      <c r="C53" s="3">
        <v>10240</v>
      </c>
      <c r="D53" s="10" t="s">
        <v>206</v>
      </c>
      <c r="E53" s="3">
        <f t="shared" si="2"/>
        <v>6.4614681763537174</v>
      </c>
      <c r="F53" s="3">
        <f t="shared" si="2"/>
        <v>9.234056898593499</v>
      </c>
    </row>
    <row r="54" spans="1:6" s="10" customFormat="1" x14ac:dyDescent="0.25">
      <c r="A54" s="2" t="s">
        <v>392</v>
      </c>
      <c r="B54" s="3">
        <f>40532/191%/9.8066500286389</f>
        <v>2163.9338965298316</v>
      </c>
      <c r="C54" s="3">
        <v>40532</v>
      </c>
      <c r="D54" s="10" t="s">
        <v>386</v>
      </c>
      <c r="E54" s="3">
        <f t="shared" si="2"/>
        <v>7.6796830926097099</v>
      </c>
      <c r="F54" s="3">
        <f t="shared" si="2"/>
        <v>10.609847064568209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08B05-CA0C-4D30-8136-F9137CF68436}">
  <dimension ref="A1:I25"/>
  <sheetViews>
    <sheetView workbookViewId="0">
      <selection activeCell="K26" sqref="K26"/>
    </sheetView>
  </sheetViews>
  <sheetFormatPr defaultRowHeight="15" x14ac:dyDescent="0.25"/>
  <cols>
    <col min="1" max="1" width="22.7109375" bestFit="1" customWidth="1"/>
    <col min="2" max="2" width="15.42578125" bestFit="1" customWidth="1"/>
    <col min="3" max="3" width="25.28515625" bestFit="1" customWidth="1"/>
    <col min="5" max="5" width="7.5703125" bestFit="1" customWidth="1"/>
    <col min="6" max="6" width="6.5703125" bestFit="1" customWidth="1"/>
    <col min="7" max="7" width="12.42578125" customWidth="1"/>
    <col min="8" max="8" width="27.5703125" bestFit="1" customWidth="1"/>
    <col min="9" max="9" width="12" bestFit="1" customWidth="1"/>
  </cols>
  <sheetData>
    <row r="1" spans="1:9" x14ac:dyDescent="0.25">
      <c r="A1" s="29" t="s">
        <v>391</v>
      </c>
      <c r="B1" s="29"/>
      <c r="C1" s="33"/>
      <c r="D1" s="33"/>
      <c r="E1" s="33"/>
      <c r="F1" s="33"/>
      <c r="G1" s="33"/>
      <c r="H1" s="33"/>
      <c r="I1" s="33"/>
    </row>
    <row r="2" spans="1:9" x14ac:dyDescent="0.25">
      <c r="A2" s="10" t="s">
        <v>180</v>
      </c>
      <c r="B2" s="10" t="s">
        <v>620</v>
      </c>
      <c r="C2" s="10" t="s">
        <v>389</v>
      </c>
      <c r="D2" s="10" t="s">
        <v>390</v>
      </c>
      <c r="E2" s="10" t="s">
        <v>588</v>
      </c>
      <c r="F2" s="10" t="s">
        <v>589</v>
      </c>
      <c r="G2" s="3" t="s">
        <v>214</v>
      </c>
      <c r="H2" s="10" t="s">
        <v>585</v>
      </c>
      <c r="I2" s="10" t="s">
        <v>586</v>
      </c>
    </row>
    <row r="3" spans="1:9" x14ac:dyDescent="0.25">
      <c r="A3" s="10" t="s">
        <v>591</v>
      </c>
      <c r="B3" s="10">
        <f t="shared" ref="B3:B18" si="0">F3</f>
        <v>6.5</v>
      </c>
      <c r="C3" s="10">
        <v>32</v>
      </c>
      <c r="D3" s="10">
        <v>3998</v>
      </c>
      <c r="E3" s="12">
        <v>3.1</v>
      </c>
      <c r="F3" s="12">
        <v>6.5</v>
      </c>
      <c r="G3" s="10" t="s">
        <v>582</v>
      </c>
      <c r="H3" s="10">
        <f t="shared" ref="H3:H25" si="1">LN(C3)</f>
        <v>3.4657359027997265</v>
      </c>
      <c r="I3" s="10">
        <f t="shared" ref="I3:I25" si="2">LN(D3)</f>
        <v>8.2935495150603451</v>
      </c>
    </row>
    <row r="4" spans="1:9" x14ac:dyDescent="0.25">
      <c r="A4" s="10" t="s">
        <v>591</v>
      </c>
      <c r="B4" s="10">
        <f t="shared" si="0"/>
        <v>6.5</v>
      </c>
      <c r="C4" s="10">
        <v>64</v>
      </c>
      <c r="D4" s="10">
        <v>5823</v>
      </c>
      <c r="E4" s="12">
        <v>4.4000000000000004</v>
      </c>
      <c r="F4" s="12">
        <v>6.5</v>
      </c>
      <c r="G4" s="10" t="s">
        <v>582</v>
      </c>
      <c r="H4" s="10">
        <f t="shared" si="1"/>
        <v>4.1588830833596715</v>
      </c>
      <c r="I4" s="10">
        <f t="shared" si="2"/>
        <v>8.6695708718371201</v>
      </c>
    </row>
    <row r="5" spans="1:9" x14ac:dyDescent="0.25">
      <c r="A5" s="10" t="s">
        <v>591</v>
      </c>
      <c r="B5" s="10">
        <f t="shared" si="0"/>
        <v>6.5</v>
      </c>
      <c r="C5" s="10">
        <v>96</v>
      </c>
      <c r="D5" s="10">
        <v>7312</v>
      </c>
      <c r="E5" s="12">
        <v>5.4</v>
      </c>
      <c r="F5" s="12">
        <v>6.5</v>
      </c>
      <c r="G5" s="10" t="s">
        <v>582</v>
      </c>
      <c r="H5" s="10">
        <f t="shared" si="1"/>
        <v>4.5643481914678361</v>
      </c>
      <c r="I5" s="10">
        <f t="shared" si="2"/>
        <v>8.8972721131339867</v>
      </c>
    </row>
    <row r="6" spans="1:9" x14ac:dyDescent="0.25">
      <c r="A6" s="10" t="s">
        <v>591</v>
      </c>
      <c r="B6" s="10">
        <f t="shared" si="0"/>
        <v>6.5</v>
      </c>
      <c r="C6" s="10">
        <v>128</v>
      </c>
      <c r="D6" s="10">
        <v>8794</v>
      </c>
      <c r="E6" s="12">
        <v>6.3</v>
      </c>
      <c r="F6" s="12">
        <v>6.5</v>
      </c>
      <c r="G6" s="10" t="s">
        <v>582</v>
      </c>
      <c r="H6" s="10">
        <f t="shared" si="1"/>
        <v>4.8520302639196169</v>
      </c>
      <c r="I6" s="10">
        <f t="shared" si="2"/>
        <v>9.0818249497407546</v>
      </c>
    </row>
    <row r="7" spans="1:9" x14ac:dyDescent="0.25">
      <c r="A7" s="10" t="s">
        <v>591</v>
      </c>
      <c r="B7" s="10">
        <f t="shared" si="0"/>
        <v>16.5</v>
      </c>
      <c r="C7" s="10">
        <v>81</v>
      </c>
      <c r="D7" s="10">
        <v>7456</v>
      </c>
      <c r="E7" s="12">
        <v>3.1</v>
      </c>
      <c r="F7" s="12">
        <v>16.5</v>
      </c>
      <c r="G7" s="10" t="s">
        <v>582</v>
      </c>
      <c r="H7" s="10">
        <f t="shared" si="1"/>
        <v>4.3944491546724391</v>
      </c>
      <c r="I7" s="10">
        <f t="shared" si="2"/>
        <v>8.9167743563654263</v>
      </c>
    </row>
    <row r="8" spans="1:9" x14ac:dyDescent="0.25">
      <c r="A8" s="10" t="s">
        <v>591</v>
      </c>
      <c r="B8" s="10">
        <f t="shared" si="0"/>
        <v>16.5</v>
      </c>
      <c r="C8" s="10">
        <v>162</v>
      </c>
      <c r="D8" s="10">
        <v>11068</v>
      </c>
      <c r="E8" s="12">
        <v>4.4000000000000004</v>
      </c>
      <c r="F8" s="12">
        <v>16.5</v>
      </c>
      <c r="G8" s="10" t="s">
        <v>582</v>
      </c>
      <c r="H8" s="10">
        <f t="shared" si="1"/>
        <v>5.0875963352323836</v>
      </c>
      <c r="I8" s="10">
        <f t="shared" si="2"/>
        <v>9.3118133409068164</v>
      </c>
    </row>
    <row r="9" spans="1:9" x14ac:dyDescent="0.25">
      <c r="A9" s="10" t="s">
        <v>591</v>
      </c>
      <c r="B9" s="10">
        <f t="shared" si="0"/>
        <v>16.5</v>
      </c>
      <c r="C9" s="10">
        <v>243</v>
      </c>
      <c r="D9" s="10">
        <v>13935</v>
      </c>
      <c r="E9" s="12">
        <v>5.4</v>
      </c>
      <c r="F9" s="12">
        <v>16.5</v>
      </c>
      <c r="G9" s="10" t="s">
        <v>582</v>
      </c>
      <c r="H9" s="10">
        <f t="shared" si="1"/>
        <v>5.4930614433405482</v>
      </c>
      <c r="I9" s="10">
        <f t="shared" si="2"/>
        <v>9.5421589399160478</v>
      </c>
    </row>
    <row r="10" spans="1:9" x14ac:dyDescent="0.25">
      <c r="A10" s="10" t="s">
        <v>591</v>
      </c>
      <c r="B10" s="10">
        <f t="shared" si="0"/>
        <v>16.5</v>
      </c>
      <c r="C10" s="10">
        <v>324</v>
      </c>
      <c r="D10" s="10">
        <v>16220</v>
      </c>
      <c r="E10" s="12">
        <v>6.3</v>
      </c>
      <c r="F10" s="12">
        <v>16.5</v>
      </c>
      <c r="G10" s="10" t="s">
        <v>582</v>
      </c>
      <c r="H10" s="10">
        <f t="shared" si="1"/>
        <v>5.780743515792329</v>
      </c>
      <c r="I10" s="10">
        <f t="shared" si="2"/>
        <v>9.6940003276694036</v>
      </c>
    </row>
    <row r="11" spans="1:9" x14ac:dyDescent="0.25">
      <c r="A11" s="10" t="s">
        <v>591</v>
      </c>
      <c r="B11" s="10">
        <f t="shared" si="0"/>
        <v>26.5</v>
      </c>
      <c r="C11" s="10">
        <v>130</v>
      </c>
      <c r="D11" s="10">
        <v>8885</v>
      </c>
      <c r="E11" s="12">
        <v>3.1</v>
      </c>
      <c r="F11" s="12">
        <v>26.5</v>
      </c>
      <c r="G11" s="10" t="s">
        <v>582</v>
      </c>
      <c r="H11" s="10">
        <f t="shared" si="1"/>
        <v>4.8675344504555822</v>
      </c>
      <c r="I11" s="10">
        <f t="shared" si="2"/>
        <v>9.0921197405887515</v>
      </c>
    </row>
    <row r="12" spans="1:9" x14ac:dyDescent="0.25">
      <c r="A12" s="10" t="s">
        <v>591</v>
      </c>
      <c r="B12" s="10">
        <f t="shared" si="0"/>
        <v>26.5</v>
      </c>
      <c r="C12" s="10">
        <v>260</v>
      </c>
      <c r="D12" s="10">
        <v>13853</v>
      </c>
      <c r="E12" s="12">
        <v>4.4000000000000004</v>
      </c>
      <c r="F12" s="12">
        <v>26.5</v>
      </c>
      <c r="G12" s="10" t="s">
        <v>582</v>
      </c>
      <c r="H12" s="10">
        <f t="shared" si="1"/>
        <v>5.5606816310155276</v>
      </c>
      <c r="I12" s="10">
        <f t="shared" si="2"/>
        <v>9.5362570946578789</v>
      </c>
    </row>
    <row r="13" spans="1:9" x14ac:dyDescent="0.25">
      <c r="A13" s="10" t="s">
        <v>591</v>
      </c>
      <c r="B13" s="10">
        <f t="shared" si="0"/>
        <v>26.5</v>
      </c>
      <c r="C13" s="10">
        <v>390</v>
      </c>
      <c r="D13" s="10">
        <v>16625</v>
      </c>
      <c r="E13" s="12">
        <v>5.4</v>
      </c>
      <c r="F13" s="12">
        <v>26.5</v>
      </c>
      <c r="G13" s="10" t="s">
        <v>582</v>
      </c>
      <c r="H13" s="10">
        <f t="shared" si="1"/>
        <v>5.9661467391236922</v>
      </c>
      <c r="I13" s="10">
        <f t="shared" si="2"/>
        <v>9.7186628655240543</v>
      </c>
    </row>
    <row r="14" spans="1:9" x14ac:dyDescent="0.25">
      <c r="A14" s="10" t="s">
        <v>591</v>
      </c>
      <c r="B14" s="10">
        <f t="shared" si="0"/>
        <v>26.5</v>
      </c>
      <c r="C14" s="10">
        <v>520</v>
      </c>
      <c r="D14" s="10">
        <v>18548</v>
      </c>
      <c r="E14" s="12">
        <v>6.3</v>
      </c>
      <c r="F14" s="12">
        <v>26.5</v>
      </c>
      <c r="G14" s="10" t="s">
        <v>582</v>
      </c>
      <c r="H14" s="10">
        <f t="shared" si="1"/>
        <v>6.253828811575473</v>
      </c>
      <c r="I14" s="10">
        <f t="shared" si="2"/>
        <v>9.8281172455113506</v>
      </c>
    </row>
    <row r="15" spans="1:9" x14ac:dyDescent="0.25">
      <c r="A15" s="10" t="s">
        <v>591</v>
      </c>
      <c r="B15" s="10">
        <f t="shared" si="0"/>
        <v>36.5</v>
      </c>
      <c r="C15" s="10">
        <v>179</v>
      </c>
      <c r="D15" s="10">
        <v>11048</v>
      </c>
      <c r="E15" s="12">
        <v>3.1</v>
      </c>
      <c r="F15" s="12">
        <v>36.5</v>
      </c>
      <c r="G15" s="10" t="s">
        <v>582</v>
      </c>
      <c r="H15" s="10">
        <f t="shared" si="1"/>
        <v>5.1873858058407549</v>
      </c>
      <c r="I15" s="10">
        <f t="shared" si="2"/>
        <v>9.3100046950891286</v>
      </c>
    </row>
    <row r="16" spans="1:9" x14ac:dyDescent="0.25">
      <c r="A16" s="10" t="s">
        <v>591</v>
      </c>
      <c r="B16" s="10">
        <f t="shared" si="0"/>
        <v>36.5</v>
      </c>
      <c r="C16" s="10">
        <v>358</v>
      </c>
      <c r="D16" s="10">
        <v>16872</v>
      </c>
      <c r="E16" s="12">
        <v>4.4000000000000004</v>
      </c>
      <c r="F16" s="12">
        <v>36.5</v>
      </c>
      <c r="G16" s="10" t="s">
        <v>582</v>
      </c>
      <c r="H16" s="10">
        <f t="shared" si="1"/>
        <v>5.8805329864007003</v>
      </c>
      <c r="I16" s="10">
        <f t="shared" si="2"/>
        <v>9.7334107221586113</v>
      </c>
    </row>
    <row r="17" spans="1:9" x14ac:dyDescent="0.25">
      <c r="A17" s="10" t="s">
        <v>591</v>
      </c>
      <c r="B17" s="10">
        <f t="shared" si="0"/>
        <v>36.5</v>
      </c>
      <c r="C17" s="10">
        <v>537</v>
      </c>
      <c r="D17" s="10">
        <v>20622</v>
      </c>
      <c r="E17" s="12">
        <v>5.4</v>
      </c>
      <c r="F17" s="12">
        <v>36.5</v>
      </c>
      <c r="G17" s="10" t="s">
        <v>582</v>
      </c>
      <c r="H17" s="10">
        <f t="shared" si="1"/>
        <v>6.2859980945088649</v>
      </c>
      <c r="I17" s="10">
        <f t="shared" si="2"/>
        <v>9.9341137460778892</v>
      </c>
    </row>
    <row r="18" spans="1:9" x14ac:dyDescent="0.25">
      <c r="A18" s="10" t="s">
        <v>591</v>
      </c>
      <c r="B18" s="10">
        <f t="shared" si="0"/>
        <v>36.5</v>
      </c>
      <c r="C18" s="10">
        <v>716</v>
      </c>
      <c r="D18" s="10">
        <v>21459</v>
      </c>
      <c r="E18" s="12">
        <v>6.3</v>
      </c>
      <c r="F18" s="12">
        <v>36.5</v>
      </c>
      <c r="G18" s="10" t="s">
        <v>582</v>
      </c>
      <c r="H18" s="10">
        <f t="shared" si="1"/>
        <v>6.5736801669606457</v>
      </c>
      <c r="I18" s="10">
        <f t="shared" si="2"/>
        <v>9.9738994167764936</v>
      </c>
    </row>
    <row r="19" spans="1:9" x14ac:dyDescent="0.25">
      <c r="A19" s="2" t="s">
        <v>27</v>
      </c>
      <c r="B19" s="3">
        <v>82.9</v>
      </c>
      <c r="C19" s="6">
        <f>1/2*F19*E19^2</f>
        <v>27.962192816635159</v>
      </c>
      <c r="D19" s="10">
        <v>2501</v>
      </c>
      <c r="E19" s="12">
        <f>17.2/F19</f>
        <v>3.2514177693761814</v>
      </c>
      <c r="F19" s="12">
        <v>5.29</v>
      </c>
      <c r="G19" s="10" t="s">
        <v>223</v>
      </c>
      <c r="H19" s="10">
        <f t="shared" si="1"/>
        <v>3.3308533412086612</v>
      </c>
      <c r="I19" s="10">
        <f t="shared" si="2"/>
        <v>7.8244459308776193</v>
      </c>
    </row>
    <row r="20" spans="1:9" x14ac:dyDescent="0.25">
      <c r="A20" s="2" t="s">
        <v>27</v>
      </c>
      <c r="B20" s="3">
        <v>82.9</v>
      </c>
      <c r="C20" s="6">
        <f>1/2*F20*E20^2</f>
        <v>20.983931947069948</v>
      </c>
      <c r="D20" s="10">
        <v>4210</v>
      </c>
      <c r="E20" s="12">
        <f>(14.9/F20)</f>
        <v>2.8166351606805295</v>
      </c>
      <c r="F20" s="12">
        <v>5.29</v>
      </c>
      <c r="G20" s="10" t="s">
        <v>223</v>
      </c>
      <c r="H20" s="10">
        <f t="shared" si="1"/>
        <v>3.0437569994726736</v>
      </c>
      <c r="I20" s="10">
        <f t="shared" si="2"/>
        <v>8.3452179266764279</v>
      </c>
    </row>
    <row r="21" spans="1:9" x14ac:dyDescent="0.25">
      <c r="A21" s="2" t="s">
        <v>27</v>
      </c>
      <c r="B21" s="3">
        <v>82.9</v>
      </c>
      <c r="C21" s="6">
        <f>1/2*F21*E21^2</f>
        <v>29.277882797731571</v>
      </c>
      <c r="D21" s="10">
        <v>4677</v>
      </c>
      <c r="E21" s="12">
        <f>(17.6/F21)</f>
        <v>3.3270321361058603</v>
      </c>
      <c r="F21" s="12">
        <v>5.29</v>
      </c>
      <c r="G21" s="10" t="s">
        <v>223</v>
      </c>
      <c r="H21" s="10">
        <f t="shared" si="1"/>
        <v>3.3768323776580589</v>
      </c>
      <c r="I21" s="10">
        <f t="shared" si="2"/>
        <v>8.4504121577258857</v>
      </c>
    </row>
    <row r="22" spans="1:9" x14ac:dyDescent="0.25">
      <c r="A22" s="2" t="s">
        <v>27</v>
      </c>
      <c r="B22" s="3">
        <v>82.9</v>
      </c>
      <c r="C22" s="6">
        <f>1/2*F22*E22^2</f>
        <v>845.36737588652488</v>
      </c>
      <c r="D22" s="10">
        <v>6310</v>
      </c>
      <c r="E22" s="12">
        <f>(154.4/F22)</f>
        <v>10.950354609929079</v>
      </c>
      <c r="F22" s="12">
        <v>14.1</v>
      </c>
      <c r="G22" s="10" t="s">
        <v>223</v>
      </c>
      <c r="H22" s="10">
        <f t="shared" si="1"/>
        <v>6.7397712972372839</v>
      </c>
      <c r="I22" s="10">
        <f t="shared" si="2"/>
        <v>8.7498909555352586</v>
      </c>
    </row>
    <row r="23" spans="1:9" x14ac:dyDescent="0.25">
      <c r="A23" s="2" t="s">
        <v>590</v>
      </c>
      <c r="B23" s="10">
        <v>3.96</v>
      </c>
      <c r="C23" s="6">
        <f>1/2*3.96*E23^2</f>
        <v>1.0802556818181819</v>
      </c>
      <c r="D23" s="10">
        <v>195</v>
      </c>
      <c r="E23" s="12">
        <f>D23*0.015/F23</f>
        <v>0.73863636363636365</v>
      </c>
      <c r="F23" s="12">
        <v>3.96</v>
      </c>
      <c r="G23" s="10" t="s">
        <v>195</v>
      </c>
      <c r="H23" s="10">
        <f t="shared" si="1"/>
        <v>7.7197755541305202E-2</v>
      </c>
      <c r="I23" s="10">
        <f t="shared" si="2"/>
        <v>5.2729995585637468</v>
      </c>
    </row>
    <row r="24" spans="1:9" x14ac:dyDescent="0.25">
      <c r="A24" s="2" t="s">
        <v>27</v>
      </c>
      <c r="B24" s="3">
        <f>AVERAGE(65,80)</f>
        <v>72.5</v>
      </c>
      <c r="C24" s="10">
        <v>560.9</v>
      </c>
      <c r="D24" s="10">
        <v>2120</v>
      </c>
      <c r="E24" s="10">
        <v>5.2</v>
      </c>
      <c r="F24" s="12">
        <f>2*C24/E24^2</f>
        <v>41.48668639053254</v>
      </c>
      <c r="G24" s="10" t="s">
        <v>205</v>
      </c>
      <c r="H24" s="10">
        <f t="shared" si="1"/>
        <v>6.3295426365142911</v>
      </c>
      <c r="I24" s="10">
        <f t="shared" si="2"/>
        <v>7.6591713676660582</v>
      </c>
    </row>
    <row r="25" spans="1:9" x14ac:dyDescent="0.25">
      <c r="A25" s="2" t="s">
        <v>27</v>
      </c>
      <c r="B25" s="3">
        <v>64.099999999999994</v>
      </c>
      <c r="C25" s="10">
        <v>2299</v>
      </c>
      <c r="D25" s="10">
        <v>3284</v>
      </c>
      <c r="E25" s="10">
        <v>7.2</v>
      </c>
      <c r="F25" s="12">
        <f>2*C25/E25^2</f>
        <v>88.695987654320987</v>
      </c>
      <c r="G25" s="10" t="s">
        <v>587</v>
      </c>
      <c r="H25" s="10">
        <f t="shared" si="1"/>
        <v>7.7402295247631816</v>
      </c>
      <c r="I25" s="10">
        <f t="shared" si="2"/>
        <v>8.0968174705723186</v>
      </c>
    </row>
  </sheetData>
  <mergeCells count="1">
    <mergeCell ref="A1:I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7CE0-4B1A-425C-83B4-AC693326A14B}">
  <dimension ref="A1:G165"/>
  <sheetViews>
    <sheetView topLeftCell="A10" zoomScale="40" zoomScaleNormal="40" workbookViewId="0">
      <selection activeCell="AI51" sqref="AI51"/>
    </sheetView>
  </sheetViews>
  <sheetFormatPr defaultRowHeight="15" x14ac:dyDescent="0.25"/>
  <cols>
    <col min="1" max="1" width="57.28515625" style="10" bestFit="1" customWidth="1"/>
    <col min="2" max="2" width="14.28515625" style="10" bestFit="1" customWidth="1"/>
    <col min="3" max="3" width="23.140625" style="10" bestFit="1" customWidth="1"/>
    <col min="4" max="4" width="48" style="10" customWidth="1"/>
    <col min="5" max="5" width="17.85546875" style="10" bestFit="1" customWidth="1"/>
    <col min="6" max="6" width="26.7109375" style="10" customWidth="1"/>
    <col min="7" max="7" width="15.28515625" style="10" bestFit="1" customWidth="1"/>
    <col min="8" max="8" width="23.140625" style="10" bestFit="1" customWidth="1"/>
    <col min="9" max="9" width="17.5703125" style="10" bestFit="1" customWidth="1"/>
    <col min="10" max="10" width="25.28515625" style="10" bestFit="1" customWidth="1"/>
    <col min="11" max="11" width="9.140625" style="10" bestFit="1" customWidth="1"/>
    <col min="12" max="12" width="7.5703125" style="10" bestFit="1" customWidth="1"/>
    <col min="13" max="13" width="13.42578125" style="10" bestFit="1" customWidth="1"/>
    <col min="14" max="14" width="106.140625" style="10" bestFit="1" customWidth="1"/>
    <col min="15" max="15" width="27.5703125" style="10" bestFit="1" customWidth="1"/>
    <col min="16" max="16" width="13.42578125" style="10" bestFit="1" customWidth="1"/>
    <col min="17" max="16384" width="9.140625" style="10"/>
  </cols>
  <sheetData>
    <row r="1" spans="1:7" x14ac:dyDescent="0.25">
      <c r="A1" s="29" t="s">
        <v>224</v>
      </c>
      <c r="B1" s="29"/>
      <c r="C1" s="29"/>
      <c r="D1" s="29"/>
      <c r="E1" s="29"/>
      <c r="F1" s="29"/>
    </row>
    <row r="2" spans="1:7" x14ac:dyDescent="0.25">
      <c r="A2" s="10" t="s">
        <v>180</v>
      </c>
      <c r="B2" s="10" t="s">
        <v>179</v>
      </c>
      <c r="C2" s="10" t="s">
        <v>178</v>
      </c>
      <c r="D2" s="10" t="s">
        <v>177</v>
      </c>
      <c r="E2" s="10" t="s">
        <v>176</v>
      </c>
      <c r="F2" s="10" t="s">
        <v>175</v>
      </c>
      <c r="G2" s="10" t="s">
        <v>174</v>
      </c>
    </row>
    <row r="3" spans="1:7" x14ac:dyDescent="0.25">
      <c r="A3" s="2" t="s">
        <v>12</v>
      </c>
      <c r="B3" s="1">
        <v>6000</v>
      </c>
      <c r="C3" s="1">
        <v>6.75</v>
      </c>
      <c r="D3" s="4">
        <v>1.4</v>
      </c>
      <c r="E3" s="4">
        <f t="shared" ref="E3:E16" si="0">C3*D3*3.6</f>
        <v>34.019999999999996</v>
      </c>
      <c r="F3" s="4">
        <f t="shared" ref="F3:F34" si="1">LN(B3)</f>
        <v>8.6995147482101913</v>
      </c>
      <c r="G3" s="4">
        <f t="shared" ref="G3:G34" si="2">LN(E3)</f>
        <v>3.5269485869677157</v>
      </c>
    </row>
    <row r="4" spans="1:7" x14ac:dyDescent="0.25">
      <c r="A4" s="2" t="s">
        <v>173</v>
      </c>
      <c r="B4" s="1">
        <v>4000</v>
      </c>
      <c r="C4" s="1">
        <v>5.95</v>
      </c>
      <c r="D4" s="4">
        <v>1.18</v>
      </c>
      <c r="E4" s="4">
        <f t="shared" si="0"/>
        <v>25.275600000000001</v>
      </c>
      <c r="F4" s="4">
        <f t="shared" si="1"/>
        <v>8.2940496401020276</v>
      </c>
      <c r="G4" s="4">
        <f t="shared" si="2"/>
        <v>3.2298395034971761</v>
      </c>
    </row>
    <row r="5" spans="1:7" x14ac:dyDescent="0.25">
      <c r="A5" s="2" t="s">
        <v>30</v>
      </c>
      <c r="B5" s="1">
        <v>2000</v>
      </c>
      <c r="C5" s="1">
        <v>3.78</v>
      </c>
      <c r="D5" s="4">
        <v>1.79</v>
      </c>
      <c r="E5" s="4">
        <f t="shared" si="0"/>
        <v>24.358319999999999</v>
      </c>
      <c r="F5" s="4">
        <f t="shared" si="1"/>
        <v>7.6009024595420822</v>
      </c>
      <c r="G5" s="4">
        <f t="shared" si="2"/>
        <v>3.1928734749462242</v>
      </c>
    </row>
    <row r="6" spans="1:7" x14ac:dyDescent="0.25">
      <c r="A6" s="2" t="s">
        <v>172</v>
      </c>
      <c r="B6" s="1">
        <v>1200</v>
      </c>
      <c r="C6" s="1">
        <v>3.38</v>
      </c>
      <c r="D6" s="4">
        <v>3.6</v>
      </c>
      <c r="E6" s="4">
        <f t="shared" si="0"/>
        <v>43.8048</v>
      </c>
      <c r="F6" s="4">
        <f t="shared" si="1"/>
        <v>7.0900768357760917</v>
      </c>
      <c r="G6" s="4">
        <f t="shared" si="2"/>
        <v>3.779743400419056</v>
      </c>
    </row>
    <row r="7" spans="1:7" x14ac:dyDescent="0.25">
      <c r="A7" s="2" t="s">
        <v>21</v>
      </c>
      <c r="B7" s="1">
        <v>350</v>
      </c>
      <c r="C7" s="1">
        <v>2.5</v>
      </c>
      <c r="D7" s="4">
        <v>7.56</v>
      </c>
      <c r="E7" s="4">
        <f t="shared" si="0"/>
        <v>68.039999999999992</v>
      </c>
      <c r="F7" s="4">
        <f t="shared" si="1"/>
        <v>5.857933154483459</v>
      </c>
      <c r="G7" s="4">
        <f t="shared" si="2"/>
        <v>4.2200957675276607</v>
      </c>
    </row>
    <row r="8" spans="1:7" x14ac:dyDescent="0.25">
      <c r="A8" s="2" t="s">
        <v>171</v>
      </c>
      <c r="B8" s="1">
        <v>300</v>
      </c>
      <c r="C8" s="1">
        <v>2.35</v>
      </c>
      <c r="D8" s="4">
        <v>7.35</v>
      </c>
      <c r="E8" s="4">
        <f t="shared" si="0"/>
        <v>62.181000000000004</v>
      </c>
      <c r="F8" s="4">
        <f t="shared" si="1"/>
        <v>5.7037824746562009</v>
      </c>
      <c r="G8" s="4">
        <f t="shared" si="2"/>
        <v>4.1300494868428776</v>
      </c>
    </row>
    <row r="9" spans="1:7" x14ac:dyDescent="0.25">
      <c r="A9" s="2" t="s">
        <v>23</v>
      </c>
      <c r="B9" s="1">
        <v>250</v>
      </c>
      <c r="C9" s="1">
        <v>2.08</v>
      </c>
      <c r="D9" s="4">
        <v>5.18</v>
      </c>
      <c r="E9" s="4">
        <f t="shared" si="0"/>
        <v>38.787840000000003</v>
      </c>
      <c r="F9" s="4">
        <f t="shared" si="1"/>
        <v>5.521460917862246</v>
      </c>
      <c r="G9" s="4">
        <f t="shared" si="2"/>
        <v>3.6581067954466828</v>
      </c>
    </row>
    <row r="10" spans="1:7" x14ac:dyDescent="0.25">
      <c r="A10" s="2" t="s">
        <v>22</v>
      </c>
      <c r="B10" s="1">
        <v>235</v>
      </c>
      <c r="C10" s="1">
        <v>2.3199999999999998</v>
      </c>
      <c r="D10" s="4">
        <v>8.16</v>
      </c>
      <c r="E10" s="4">
        <f t="shared" si="0"/>
        <v>68.152320000000003</v>
      </c>
      <c r="F10" s="4">
        <f t="shared" si="1"/>
        <v>5.4595855141441589</v>
      </c>
      <c r="G10" s="4">
        <f t="shared" si="2"/>
        <v>4.2217452001162989</v>
      </c>
    </row>
    <row r="11" spans="1:7" x14ac:dyDescent="0.25">
      <c r="A11" s="2" t="s">
        <v>170</v>
      </c>
      <c r="B11" s="1">
        <v>200</v>
      </c>
      <c r="C11" s="1">
        <v>2.25</v>
      </c>
      <c r="D11" s="4">
        <v>8.4</v>
      </c>
      <c r="E11" s="4">
        <f t="shared" si="0"/>
        <v>68.040000000000006</v>
      </c>
      <c r="F11" s="4">
        <f t="shared" si="1"/>
        <v>5.2983173665480363</v>
      </c>
      <c r="G11" s="4">
        <f t="shared" si="2"/>
        <v>4.2200957675276607</v>
      </c>
    </row>
    <row r="12" spans="1:7" x14ac:dyDescent="0.25">
      <c r="A12" s="2" t="s">
        <v>46</v>
      </c>
      <c r="B12" s="1">
        <v>3800</v>
      </c>
      <c r="C12" s="1">
        <v>3.98</v>
      </c>
      <c r="D12" s="4">
        <v>1.7</v>
      </c>
      <c r="E12" s="4">
        <f t="shared" si="0"/>
        <v>24.357600000000001</v>
      </c>
      <c r="F12" s="4">
        <f t="shared" si="1"/>
        <v>8.2427563457144775</v>
      </c>
      <c r="G12" s="4">
        <f t="shared" si="2"/>
        <v>3.192843915820581</v>
      </c>
    </row>
    <row r="13" spans="1:7" x14ac:dyDescent="0.25">
      <c r="A13" s="2" t="s">
        <v>33</v>
      </c>
      <c r="B13" s="1">
        <v>1075</v>
      </c>
      <c r="C13" s="1">
        <v>4.2699999999999996</v>
      </c>
      <c r="D13" s="4">
        <v>3.8</v>
      </c>
      <c r="E13" s="4">
        <f t="shared" si="0"/>
        <v>58.413599999999995</v>
      </c>
      <c r="F13" s="4">
        <f t="shared" si="1"/>
        <v>6.9800759405617629</v>
      </c>
      <c r="G13" s="4">
        <f t="shared" si="2"/>
        <v>4.0675487394349377</v>
      </c>
    </row>
    <row r="14" spans="1:7" x14ac:dyDescent="0.25">
      <c r="A14" s="2" t="s">
        <v>34</v>
      </c>
      <c r="B14" s="1">
        <v>865</v>
      </c>
      <c r="C14" s="1">
        <v>2.8</v>
      </c>
      <c r="D14" s="4">
        <v>5.4</v>
      </c>
      <c r="E14" s="4">
        <f t="shared" si="0"/>
        <v>54.431999999999995</v>
      </c>
      <c r="F14" s="4">
        <f t="shared" si="1"/>
        <v>6.7627295069318789</v>
      </c>
      <c r="G14" s="4">
        <f t="shared" si="2"/>
        <v>3.996952216213451</v>
      </c>
    </row>
    <row r="15" spans="1:7" x14ac:dyDescent="0.25">
      <c r="A15" s="2" t="s">
        <v>169</v>
      </c>
      <c r="B15" s="1">
        <v>800</v>
      </c>
      <c r="C15" s="1">
        <v>2.16</v>
      </c>
      <c r="D15" s="4">
        <v>3.62</v>
      </c>
      <c r="E15" s="4">
        <f t="shared" si="0"/>
        <v>28.149120000000003</v>
      </c>
      <c r="F15" s="4">
        <f t="shared" si="1"/>
        <v>6.6846117276679271</v>
      </c>
      <c r="G15" s="4">
        <f t="shared" si="2"/>
        <v>3.3375160929958176</v>
      </c>
    </row>
    <row r="16" spans="1:7" x14ac:dyDescent="0.25">
      <c r="A16" s="2" t="s">
        <v>168</v>
      </c>
      <c r="B16" s="1">
        <v>620</v>
      </c>
      <c r="C16" s="1">
        <v>2.75</v>
      </c>
      <c r="D16" s="4">
        <v>5.6</v>
      </c>
      <c r="E16" s="4">
        <f t="shared" si="0"/>
        <v>55.44</v>
      </c>
      <c r="F16" s="4">
        <f t="shared" si="1"/>
        <v>6.4297194780391376</v>
      </c>
      <c r="G16" s="4">
        <f t="shared" si="2"/>
        <v>4.0153013548816476</v>
      </c>
    </row>
    <row r="17" spans="1:7" x14ac:dyDescent="0.25">
      <c r="A17" s="2" t="s">
        <v>20</v>
      </c>
      <c r="B17" s="1">
        <v>550</v>
      </c>
      <c r="C17" s="1">
        <v>2.85</v>
      </c>
      <c r="D17" s="1" t="s">
        <v>225</v>
      </c>
      <c r="E17" s="4">
        <f>11.79*3.6</f>
        <v>42.443999999999996</v>
      </c>
      <c r="F17" s="4">
        <f t="shared" si="1"/>
        <v>6.3099182782265162</v>
      </c>
      <c r="G17" s="4">
        <f t="shared" si="2"/>
        <v>3.7481855600113438</v>
      </c>
    </row>
    <row r="18" spans="1:7" x14ac:dyDescent="0.25">
      <c r="A18" s="2" t="s">
        <v>167</v>
      </c>
      <c r="B18" s="1">
        <v>511</v>
      </c>
      <c r="C18" s="1">
        <v>2.63</v>
      </c>
      <c r="D18" s="4">
        <v>7.2</v>
      </c>
      <c r="E18" s="4">
        <f t="shared" ref="E18:E48" si="3">C18*D18*3.6</f>
        <v>68.169600000000003</v>
      </c>
      <c r="F18" s="4">
        <f t="shared" si="1"/>
        <v>6.2363695902037044</v>
      </c>
      <c r="G18" s="4">
        <f t="shared" si="2"/>
        <v>4.2219987176737472</v>
      </c>
    </row>
    <row r="19" spans="1:7" x14ac:dyDescent="0.25">
      <c r="A19" s="2" t="s">
        <v>36</v>
      </c>
      <c r="B19" s="1">
        <v>384</v>
      </c>
      <c r="C19" s="1">
        <v>2.77</v>
      </c>
      <c r="D19" s="4">
        <v>5.47</v>
      </c>
      <c r="E19" s="4">
        <f t="shared" si="3"/>
        <v>54.546839999999996</v>
      </c>
      <c r="F19" s="4">
        <f t="shared" si="1"/>
        <v>5.9506425525877269</v>
      </c>
      <c r="G19" s="4">
        <f t="shared" si="2"/>
        <v>3.9990597820952014</v>
      </c>
    </row>
    <row r="20" spans="1:7" x14ac:dyDescent="0.25">
      <c r="A20" s="2" t="s">
        <v>38</v>
      </c>
      <c r="B20" s="1">
        <v>300</v>
      </c>
      <c r="C20" s="1">
        <v>2.15</v>
      </c>
      <c r="D20" s="4">
        <v>9.0399999999999991</v>
      </c>
      <c r="E20" s="4">
        <f t="shared" si="3"/>
        <v>69.969599999999986</v>
      </c>
      <c r="F20" s="4">
        <f t="shared" si="1"/>
        <v>5.7037824746562009</v>
      </c>
      <c r="G20" s="4">
        <f t="shared" si="2"/>
        <v>4.2480608620057208</v>
      </c>
    </row>
    <row r="21" spans="1:7" x14ac:dyDescent="0.25">
      <c r="A21" s="2" t="s">
        <v>166</v>
      </c>
      <c r="B21" s="1">
        <v>300</v>
      </c>
      <c r="C21" s="1">
        <v>2.21</v>
      </c>
      <c r="D21" s="4">
        <v>10.97</v>
      </c>
      <c r="E21" s="4">
        <f t="shared" si="3"/>
        <v>87.277320000000003</v>
      </c>
      <c r="F21" s="4">
        <f t="shared" si="1"/>
        <v>5.7037824746562009</v>
      </c>
      <c r="G21" s="4">
        <f t="shared" si="2"/>
        <v>4.4690906352788646</v>
      </c>
    </row>
    <row r="22" spans="1:7" x14ac:dyDescent="0.25">
      <c r="A22" s="2" t="s">
        <v>165</v>
      </c>
      <c r="B22" s="1">
        <v>226.5</v>
      </c>
      <c r="C22" s="1">
        <v>2.2799999999999998</v>
      </c>
      <c r="D22" s="4">
        <v>6.65</v>
      </c>
      <c r="E22" s="4">
        <f t="shared" si="3"/>
        <v>54.583199999999998</v>
      </c>
      <c r="F22" s="4">
        <f t="shared" si="1"/>
        <v>5.4227449449230889</v>
      </c>
      <c r="G22" s="4">
        <f t="shared" si="2"/>
        <v>3.9997261430961766</v>
      </c>
    </row>
    <row r="23" spans="1:7" x14ac:dyDescent="0.25">
      <c r="A23" s="2" t="s">
        <v>37</v>
      </c>
      <c r="B23" s="1">
        <v>216</v>
      </c>
      <c r="C23" s="1">
        <v>1.98</v>
      </c>
      <c r="D23" s="4">
        <v>10.88</v>
      </c>
      <c r="E23" s="4">
        <f t="shared" si="3"/>
        <v>77.552640000000011</v>
      </c>
      <c r="F23" s="4">
        <f t="shared" si="1"/>
        <v>5.3752784076841653</v>
      </c>
      <c r="G23" s="4">
        <f t="shared" si="2"/>
        <v>4.350956931596305</v>
      </c>
    </row>
    <row r="24" spans="1:7" x14ac:dyDescent="0.25">
      <c r="A24" s="2" t="s">
        <v>164</v>
      </c>
      <c r="B24" s="1">
        <v>136</v>
      </c>
      <c r="C24" s="1">
        <v>1.98</v>
      </c>
      <c r="D24" s="4">
        <v>10.94</v>
      </c>
      <c r="E24" s="4">
        <f t="shared" si="3"/>
        <v>77.980319999999992</v>
      </c>
      <c r="F24" s="4">
        <f t="shared" si="1"/>
        <v>4.9126548857360524</v>
      </c>
      <c r="G24" s="4">
        <f t="shared" si="2"/>
        <v>4.356456487162343</v>
      </c>
    </row>
    <row r="25" spans="1:7" x14ac:dyDescent="0.25">
      <c r="A25" s="2" t="s">
        <v>163</v>
      </c>
      <c r="B25" s="1">
        <v>130</v>
      </c>
      <c r="C25" s="1">
        <v>1.63</v>
      </c>
      <c r="D25" s="4">
        <v>11.63</v>
      </c>
      <c r="E25" s="4">
        <f t="shared" si="3"/>
        <v>68.244840000000011</v>
      </c>
      <c r="F25" s="4">
        <f t="shared" si="1"/>
        <v>4.8675344504555822</v>
      </c>
      <c r="G25" s="4">
        <f t="shared" si="2"/>
        <v>4.2231018268113081</v>
      </c>
    </row>
    <row r="26" spans="1:7" x14ac:dyDescent="0.25">
      <c r="A26" s="2" t="s">
        <v>162</v>
      </c>
      <c r="B26" s="1">
        <v>113.5</v>
      </c>
      <c r="C26" s="1">
        <v>1.4</v>
      </c>
      <c r="D26" s="4">
        <v>6.36</v>
      </c>
      <c r="E26" s="4">
        <f t="shared" si="3"/>
        <v>32.054400000000001</v>
      </c>
      <c r="F26" s="4">
        <f t="shared" si="1"/>
        <v>4.7318028369214575</v>
      </c>
      <c r="G26" s="4">
        <f t="shared" si="2"/>
        <v>3.4674344594353079</v>
      </c>
    </row>
    <row r="27" spans="1:7" x14ac:dyDescent="0.25">
      <c r="A27" s="2" t="s">
        <v>39</v>
      </c>
      <c r="B27" s="1">
        <v>100</v>
      </c>
      <c r="C27" s="1">
        <v>1.7</v>
      </c>
      <c r="D27" s="4">
        <v>12.71</v>
      </c>
      <c r="E27" s="4">
        <f t="shared" si="3"/>
        <v>77.785200000000003</v>
      </c>
      <c r="F27" s="4">
        <f t="shared" si="1"/>
        <v>4.6051701859880918</v>
      </c>
      <c r="G27" s="4">
        <f t="shared" si="2"/>
        <v>4.3539511817255976</v>
      </c>
    </row>
    <row r="28" spans="1:7" x14ac:dyDescent="0.25">
      <c r="A28" s="2" t="s">
        <v>161</v>
      </c>
      <c r="B28" s="1">
        <v>95</v>
      </c>
      <c r="C28" s="1">
        <v>1.73</v>
      </c>
      <c r="D28" s="4">
        <v>8.77</v>
      </c>
      <c r="E28" s="4">
        <f t="shared" si="3"/>
        <v>54.619559999999993</v>
      </c>
      <c r="F28" s="4">
        <f t="shared" si="1"/>
        <v>4.5538768916005408</v>
      </c>
      <c r="G28" s="4">
        <f t="shared" si="2"/>
        <v>4.0003920603558436</v>
      </c>
    </row>
    <row r="29" spans="1:7" x14ac:dyDescent="0.25">
      <c r="A29" s="2" t="s">
        <v>160</v>
      </c>
      <c r="B29" s="1">
        <v>85</v>
      </c>
      <c r="C29" s="1">
        <v>1.45</v>
      </c>
      <c r="D29" s="4">
        <v>8.9600000000000009</v>
      </c>
      <c r="E29" s="4">
        <f t="shared" si="3"/>
        <v>46.771200000000007</v>
      </c>
      <c r="F29" s="4">
        <f t="shared" si="1"/>
        <v>4.4426512564903167</v>
      </c>
      <c r="G29" s="4">
        <f t="shared" si="2"/>
        <v>3.8452676288813867</v>
      </c>
    </row>
    <row r="30" spans="1:7" x14ac:dyDescent="0.25">
      <c r="A30" s="2" t="s">
        <v>159</v>
      </c>
      <c r="B30" s="1">
        <v>85</v>
      </c>
      <c r="C30" s="1">
        <v>1.2</v>
      </c>
      <c r="D30" s="4">
        <v>12.38</v>
      </c>
      <c r="E30" s="4">
        <f t="shared" si="3"/>
        <v>53.4816</v>
      </c>
      <c r="F30" s="4">
        <f t="shared" si="1"/>
        <v>4.4426512564903167</v>
      </c>
      <c r="G30" s="4">
        <f t="shared" si="2"/>
        <v>3.9793376695124691</v>
      </c>
    </row>
    <row r="31" spans="1:7" x14ac:dyDescent="0.25">
      <c r="A31" s="2" t="s">
        <v>158</v>
      </c>
      <c r="B31" s="1">
        <v>74</v>
      </c>
      <c r="C31" s="1">
        <v>1.39</v>
      </c>
      <c r="D31" s="4">
        <v>11.87</v>
      </c>
      <c r="E31" s="4">
        <f t="shared" si="3"/>
        <v>59.397479999999995</v>
      </c>
      <c r="F31" s="4">
        <f t="shared" si="1"/>
        <v>4.3040650932041702</v>
      </c>
      <c r="G31" s="4">
        <f t="shared" si="2"/>
        <v>4.084251801226241</v>
      </c>
    </row>
    <row r="32" spans="1:7" x14ac:dyDescent="0.25">
      <c r="A32" s="2" t="s">
        <v>157</v>
      </c>
      <c r="B32" s="1">
        <v>70</v>
      </c>
      <c r="C32" s="1">
        <v>1.58</v>
      </c>
      <c r="D32" s="4">
        <v>7.71</v>
      </c>
      <c r="E32" s="4">
        <f t="shared" si="3"/>
        <v>43.854480000000002</v>
      </c>
      <c r="F32" s="4">
        <f t="shared" si="1"/>
        <v>4.2484952420493594</v>
      </c>
      <c r="G32" s="4">
        <f t="shared" si="2"/>
        <v>3.7808768800761778</v>
      </c>
    </row>
    <row r="33" spans="1:7" x14ac:dyDescent="0.25">
      <c r="A33" s="2" t="s">
        <v>156</v>
      </c>
      <c r="B33" s="1">
        <v>65</v>
      </c>
      <c r="C33" s="1">
        <v>1.5</v>
      </c>
      <c r="D33" s="4">
        <v>10.8</v>
      </c>
      <c r="E33" s="4">
        <f t="shared" si="3"/>
        <v>58.320000000000014</v>
      </c>
      <c r="F33" s="4">
        <f t="shared" si="1"/>
        <v>4.1743872698956368</v>
      </c>
      <c r="G33" s="4">
        <f t="shared" si="2"/>
        <v>4.0659450877004026</v>
      </c>
    </row>
    <row r="34" spans="1:7" x14ac:dyDescent="0.25">
      <c r="A34" s="2" t="s">
        <v>155</v>
      </c>
      <c r="B34" s="1">
        <v>62.5</v>
      </c>
      <c r="C34" s="1">
        <v>1.31</v>
      </c>
      <c r="D34" s="4">
        <v>16.670000000000002</v>
      </c>
      <c r="E34" s="4">
        <f t="shared" si="3"/>
        <v>78.61572000000001</v>
      </c>
      <c r="F34" s="4">
        <f t="shared" si="1"/>
        <v>4.1351665567423561</v>
      </c>
      <c r="G34" s="4">
        <f t="shared" si="2"/>
        <v>4.3645716794378275</v>
      </c>
    </row>
    <row r="35" spans="1:7" x14ac:dyDescent="0.25">
      <c r="A35" s="2" t="s">
        <v>42</v>
      </c>
      <c r="B35" s="1">
        <v>57</v>
      </c>
      <c r="C35" s="1">
        <v>1.27</v>
      </c>
      <c r="D35" s="4">
        <v>13.59</v>
      </c>
      <c r="E35" s="4">
        <f t="shared" si="3"/>
        <v>62.133479999999999</v>
      </c>
      <c r="F35" s="4">
        <f t="shared" ref="F35:F66" si="4">LN(B35)</f>
        <v>4.0430512678345503</v>
      </c>
      <c r="G35" s="4">
        <f t="shared" ref="G35:G66" si="5">LN(E35)</f>
        <v>4.1292849740956168</v>
      </c>
    </row>
    <row r="36" spans="1:7" x14ac:dyDescent="0.25">
      <c r="A36" s="2" t="s">
        <v>154</v>
      </c>
      <c r="B36" s="1">
        <v>55</v>
      </c>
      <c r="C36" s="1">
        <v>1.53</v>
      </c>
      <c r="D36" s="4">
        <v>11.51</v>
      </c>
      <c r="E36" s="4">
        <f t="shared" si="3"/>
        <v>63.397079999999995</v>
      </c>
      <c r="F36" s="4">
        <f t="shared" si="4"/>
        <v>4.0073331852324712</v>
      </c>
      <c r="G36" s="4">
        <f t="shared" si="5"/>
        <v>4.1494178036001994</v>
      </c>
    </row>
    <row r="37" spans="1:7" x14ac:dyDescent="0.25">
      <c r="A37" s="2" t="s">
        <v>153</v>
      </c>
      <c r="B37" s="1">
        <v>53.25</v>
      </c>
      <c r="C37" s="1">
        <v>1.3</v>
      </c>
      <c r="D37" s="4">
        <v>9.76</v>
      </c>
      <c r="E37" s="4">
        <f t="shared" si="3"/>
        <v>45.6768</v>
      </c>
      <c r="F37" s="4">
        <f t="shared" si="4"/>
        <v>3.9749978045895347</v>
      </c>
      <c r="G37" s="4">
        <f t="shared" si="5"/>
        <v>3.8215905103545564</v>
      </c>
    </row>
    <row r="38" spans="1:7" x14ac:dyDescent="0.25">
      <c r="A38" s="2" t="s">
        <v>152</v>
      </c>
      <c r="B38" s="1">
        <v>50</v>
      </c>
      <c r="C38" s="1">
        <v>1.25</v>
      </c>
      <c r="D38" s="4">
        <v>21.6</v>
      </c>
      <c r="E38" s="4">
        <f t="shared" si="3"/>
        <v>97.2</v>
      </c>
      <c r="F38" s="4">
        <f t="shared" si="4"/>
        <v>3.912023005428146</v>
      </c>
      <c r="G38" s="4">
        <f t="shared" si="5"/>
        <v>4.5767707114663931</v>
      </c>
    </row>
    <row r="39" spans="1:7" x14ac:dyDescent="0.25">
      <c r="A39" s="2" t="s">
        <v>151</v>
      </c>
      <c r="B39" s="1">
        <v>50</v>
      </c>
      <c r="C39" s="1">
        <v>1.23</v>
      </c>
      <c r="D39" s="4">
        <v>13.17</v>
      </c>
      <c r="E39" s="4">
        <f t="shared" si="3"/>
        <v>58.316760000000009</v>
      </c>
      <c r="F39" s="4">
        <f t="shared" si="4"/>
        <v>3.912023005428146</v>
      </c>
      <c r="G39" s="4">
        <f t="shared" si="5"/>
        <v>4.0658895306015799</v>
      </c>
    </row>
    <row r="40" spans="1:7" x14ac:dyDescent="0.25">
      <c r="A40" s="2" t="s">
        <v>150</v>
      </c>
      <c r="B40" s="1">
        <v>50</v>
      </c>
      <c r="C40" s="1">
        <v>1.1000000000000001</v>
      </c>
      <c r="D40" s="4">
        <v>9.82</v>
      </c>
      <c r="E40" s="4">
        <f t="shared" si="3"/>
        <v>38.887200000000007</v>
      </c>
      <c r="F40" s="4">
        <f t="shared" si="4"/>
        <v>3.912023005428146</v>
      </c>
      <c r="G40" s="4">
        <f t="shared" si="5"/>
        <v>3.6606651476327641</v>
      </c>
    </row>
    <row r="41" spans="1:7" x14ac:dyDescent="0.25">
      <c r="A41" s="2" t="s">
        <v>149</v>
      </c>
      <c r="B41" s="1">
        <v>37.5</v>
      </c>
      <c r="C41" s="1">
        <v>1.2</v>
      </c>
      <c r="D41" s="4">
        <v>23.63</v>
      </c>
      <c r="E41" s="4">
        <f t="shared" si="3"/>
        <v>102.08159999999999</v>
      </c>
      <c r="F41" s="4">
        <f t="shared" si="4"/>
        <v>3.6243409329763652</v>
      </c>
      <c r="G41" s="4">
        <f t="shared" si="5"/>
        <v>4.6257724934548357</v>
      </c>
    </row>
    <row r="42" spans="1:7" x14ac:dyDescent="0.25">
      <c r="A42" s="2" t="s">
        <v>148</v>
      </c>
      <c r="B42" s="1">
        <v>35</v>
      </c>
      <c r="C42" s="1">
        <v>1.2</v>
      </c>
      <c r="D42" s="4">
        <v>18</v>
      </c>
      <c r="E42" s="4">
        <f t="shared" si="3"/>
        <v>77.759999999999991</v>
      </c>
      <c r="F42" s="4">
        <f t="shared" si="4"/>
        <v>3.5553480614894135</v>
      </c>
      <c r="G42" s="4">
        <f t="shared" si="5"/>
        <v>4.3536271601521834</v>
      </c>
    </row>
    <row r="43" spans="1:7" x14ac:dyDescent="0.25">
      <c r="A43" s="2" t="s">
        <v>147</v>
      </c>
      <c r="B43" s="1">
        <v>34</v>
      </c>
      <c r="C43" s="1">
        <v>1.3</v>
      </c>
      <c r="D43" s="4">
        <v>20.149999999999999</v>
      </c>
      <c r="E43" s="4">
        <f t="shared" si="3"/>
        <v>94.302000000000007</v>
      </c>
      <c r="F43" s="4">
        <f t="shared" si="4"/>
        <v>3.5263605246161616</v>
      </c>
      <c r="G43" s="4">
        <f t="shared" si="5"/>
        <v>4.5465023983222475</v>
      </c>
    </row>
    <row r="44" spans="1:7" x14ac:dyDescent="0.25">
      <c r="A44" s="2" t="s">
        <v>146</v>
      </c>
      <c r="B44" s="1">
        <v>30</v>
      </c>
      <c r="C44" s="1">
        <v>1.03</v>
      </c>
      <c r="D44" s="4">
        <v>25.51</v>
      </c>
      <c r="E44" s="4">
        <f t="shared" si="3"/>
        <v>94.591080000000005</v>
      </c>
      <c r="F44" s="4">
        <f t="shared" si="4"/>
        <v>3.4011973816621555</v>
      </c>
      <c r="G44" s="4">
        <f t="shared" si="5"/>
        <v>4.5495631798573291</v>
      </c>
    </row>
    <row r="45" spans="1:7" x14ac:dyDescent="0.25">
      <c r="A45" s="2" t="s">
        <v>145</v>
      </c>
      <c r="B45" s="1">
        <v>30</v>
      </c>
      <c r="C45" s="1">
        <v>1.22</v>
      </c>
      <c r="D45" s="4">
        <v>17.78</v>
      </c>
      <c r="E45" s="4">
        <f t="shared" si="3"/>
        <v>78.089760000000012</v>
      </c>
      <c r="F45" s="4">
        <f t="shared" si="4"/>
        <v>3.4011973816621555</v>
      </c>
      <c r="G45" s="4">
        <f t="shared" si="5"/>
        <v>4.3578589342929881</v>
      </c>
    </row>
    <row r="46" spans="1:7" x14ac:dyDescent="0.25">
      <c r="A46" s="2" t="s">
        <v>144</v>
      </c>
      <c r="B46" s="1">
        <v>30</v>
      </c>
      <c r="C46" s="1">
        <v>1.4</v>
      </c>
      <c r="D46" s="4">
        <v>8.68</v>
      </c>
      <c r="E46" s="4">
        <f t="shared" si="3"/>
        <v>43.747199999999999</v>
      </c>
      <c r="F46" s="4">
        <f t="shared" si="4"/>
        <v>3.4011973816621555</v>
      </c>
      <c r="G46" s="4">
        <f t="shared" si="5"/>
        <v>3.7784276107555361</v>
      </c>
    </row>
    <row r="47" spans="1:7" x14ac:dyDescent="0.25">
      <c r="A47" s="2" t="s">
        <v>143</v>
      </c>
      <c r="B47" s="1">
        <v>20.5</v>
      </c>
      <c r="C47" s="1">
        <v>0.90400000000000003</v>
      </c>
      <c r="D47" s="4">
        <v>24.19</v>
      </c>
      <c r="E47" s="4">
        <f t="shared" si="3"/>
        <v>78.723936000000009</v>
      </c>
      <c r="F47" s="4">
        <f t="shared" si="4"/>
        <v>3.0204248861443626</v>
      </c>
      <c r="G47" s="4">
        <f t="shared" si="5"/>
        <v>4.3659472514940401</v>
      </c>
    </row>
    <row r="48" spans="1:7" x14ac:dyDescent="0.25">
      <c r="A48" s="2" t="s">
        <v>142</v>
      </c>
      <c r="B48" s="1">
        <v>5</v>
      </c>
      <c r="C48" s="1">
        <v>0.62</v>
      </c>
      <c r="D48" s="4">
        <v>18.29</v>
      </c>
      <c r="E48" s="4">
        <f t="shared" si="3"/>
        <v>40.823279999999997</v>
      </c>
      <c r="F48" s="4">
        <f t="shared" si="4"/>
        <v>1.6094379124341003</v>
      </c>
      <c r="G48" s="4">
        <f t="shared" si="5"/>
        <v>3.7092525069218389</v>
      </c>
    </row>
    <row r="49" spans="1:7" x14ac:dyDescent="0.25">
      <c r="A49" s="2" t="s">
        <v>40</v>
      </c>
      <c r="B49" s="1">
        <v>21.3</v>
      </c>
      <c r="C49" s="1" t="s">
        <v>225</v>
      </c>
      <c r="D49" s="1" t="s">
        <v>225</v>
      </c>
      <c r="E49" s="4">
        <f>3.8*3.6*(23.3/11)</f>
        <v>28.97672727272727</v>
      </c>
      <c r="F49" s="4">
        <f t="shared" si="4"/>
        <v>3.0587070727153796</v>
      </c>
      <c r="G49" s="4">
        <f t="shared" si="5"/>
        <v>3.3664929999676887</v>
      </c>
    </row>
    <row r="50" spans="1:7" x14ac:dyDescent="0.25">
      <c r="A50" s="2" t="s">
        <v>41</v>
      </c>
      <c r="B50" s="1">
        <v>19.100000000000001</v>
      </c>
      <c r="C50" s="1" t="s">
        <v>225</v>
      </c>
      <c r="D50" s="1" t="s">
        <v>225</v>
      </c>
      <c r="E50" s="4">
        <f>4.3*3.6*(23.3/11)</f>
        <v>32.789454545454547</v>
      </c>
      <c r="F50" s="4">
        <f t="shared" si="4"/>
        <v>2.9496883350525844</v>
      </c>
      <c r="G50" s="4">
        <f t="shared" si="5"/>
        <v>3.4901069559348654</v>
      </c>
    </row>
    <row r="51" spans="1:7" x14ac:dyDescent="0.25">
      <c r="A51" s="2" t="s">
        <v>43</v>
      </c>
      <c r="B51" s="1">
        <v>265</v>
      </c>
      <c r="C51" s="1">
        <v>2.35</v>
      </c>
      <c r="D51" s="4">
        <v>4.5999999999999996</v>
      </c>
      <c r="E51" s="4">
        <f t="shared" ref="E51:E82" si="6">C51*D51*3.6</f>
        <v>38.915999999999997</v>
      </c>
      <c r="F51" s="4">
        <f t="shared" si="4"/>
        <v>5.579729825986222</v>
      </c>
      <c r="G51" s="4">
        <f t="shared" si="5"/>
        <v>3.6614054771131812</v>
      </c>
    </row>
    <row r="52" spans="1:7" x14ac:dyDescent="0.25">
      <c r="A52" s="2" t="s">
        <v>44</v>
      </c>
      <c r="B52" s="1">
        <v>251.3</v>
      </c>
      <c r="C52" s="1">
        <v>2.25</v>
      </c>
      <c r="D52" s="4">
        <v>5.76</v>
      </c>
      <c r="E52" s="4">
        <f t="shared" si="6"/>
        <v>46.655999999999999</v>
      </c>
      <c r="F52" s="4">
        <f t="shared" si="4"/>
        <v>5.5266474445495462</v>
      </c>
      <c r="G52" s="4">
        <f t="shared" si="5"/>
        <v>3.8428015363861929</v>
      </c>
    </row>
    <row r="53" spans="1:7" x14ac:dyDescent="0.25">
      <c r="A53" s="2" t="s">
        <v>13</v>
      </c>
      <c r="B53" s="1">
        <v>161</v>
      </c>
      <c r="C53" s="1">
        <v>2.1</v>
      </c>
      <c r="D53" s="4">
        <v>7.2</v>
      </c>
      <c r="E53" s="4">
        <f t="shared" si="6"/>
        <v>54.432000000000002</v>
      </c>
      <c r="F53" s="4">
        <f t="shared" si="4"/>
        <v>5.0814043649844631</v>
      </c>
      <c r="G53" s="4">
        <f t="shared" si="5"/>
        <v>3.9969522162134514</v>
      </c>
    </row>
    <row r="54" spans="1:7" x14ac:dyDescent="0.25">
      <c r="A54" s="2" t="s">
        <v>14</v>
      </c>
      <c r="B54" s="1">
        <v>155.80000000000001</v>
      </c>
      <c r="C54" s="1">
        <v>1.95</v>
      </c>
      <c r="D54" s="4">
        <v>8.17</v>
      </c>
      <c r="E54" s="4">
        <f t="shared" si="6"/>
        <v>57.353400000000001</v>
      </c>
      <c r="F54" s="4">
        <f t="shared" si="4"/>
        <v>5.0485731334366477</v>
      </c>
      <c r="G54" s="4">
        <f t="shared" si="5"/>
        <v>4.0492321269096312</v>
      </c>
    </row>
    <row r="55" spans="1:7" x14ac:dyDescent="0.25">
      <c r="A55" s="2" t="s">
        <v>141</v>
      </c>
      <c r="B55" s="1">
        <v>93.4</v>
      </c>
      <c r="C55" s="1">
        <v>1.65</v>
      </c>
      <c r="D55" s="4">
        <v>7.85</v>
      </c>
      <c r="E55" s="4">
        <f t="shared" si="6"/>
        <v>46.628999999999998</v>
      </c>
      <c r="F55" s="4">
        <f t="shared" si="4"/>
        <v>4.536891345234797</v>
      </c>
      <c r="G55" s="4">
        <f t="shared" si="5"/>
        <v>3.8422226651688707</v>
      </c>
    </row>
    <row r="56" spans="1:7" x14ac:dyDescent="0.25">
      <c r="A56" s="2" t="s">
        <v>140</v>
      </c>
      <c r="B56" s="1">
        <v>58.8</v>
      </c>
      <c r="C56" s="1">
        <v>1.31</v>
      </c>
      <c r="D56" s="4">
        <v>22.67</v>
      </c>
      <c r="E56" s="4">
        <f t="shared" si="6"/>
        <v>106.91172000000002</v>
      </c>
      <c r="F56" s="4">
        <f t="shared" si="4"/>
        <v>4.0741418549045809</v>
      </c>
      <c r="G56" s="4">
        <f t="shared" si="5"/>
        <v>4.6720034471945624</v>
      </c>
    </row>
    <row r="57" spans="1:7" x14ac:dyDescent="0.25">
      <c r="A57" s="2" t="s">
        <v>17</v>
      </c>
      <c r="B57" s="1">
        <v>52.4</v>
      </c>
      <c r="C57" s="1">
        <v>1.41</v>
      </c>
      <c r="D57" s="4">
        <v>11.49</v>
      </c>
      <c r="E57" s="4">
        <f t="shared" si="6"/>
        <v>58.323240000000006</v>
      </c>
      <c r="F57" s="4">
        <f t="shared" si="4"/>
        <v>3.9589065913269965</v>
      </c>
      <c r="G57" s="4">
        <f t="shared" si="5"/>
        <v>4.0660006417128054</v>
      </c>
    </row>
    <row r="58" spans="1:7" x14ac:dyDescent="0.25">
      <c r="A58" s="2" t="s">
        <v>4</v>
      </c>
      <c r="B58" s="1">
        <v>52</v>
      </c>
      <c r="C58" s="1">
        <v>1.3</v>
      </c>
      <c r="D58" s="4">
        <v>13.46</v>
      </c>
      <c r="E58" s="4">
        <f t="shared" si="6"/>
        <v>62.992800000000003</v>
      </c>
      <c r="F58" s="4">
        <f t="shared" si="4"/>
        <v>3.9512437185814275</v>
      </c>
      <c r="G58" s="4">
        <f t="shared" si="5"/>
        <v>4.1430204341461367</v>
      </c>
    </row>
    <row r="59" spans="1:7" x14ac:dyDescent="0.25">
      <c r="A59" s="2" t="s">
        <v>6</v>
      </c>
      <c r="B59" s="1">
        <v>35.299999999999997</v>
      </c>
      <c r="C59" s="1">
        <v>1.22</v>
      </c>
      <c r="D59" s="4">
        <v>14.13</v>
      </c>
      <c r="E59" s="4">
        <f t="shared" si="6"/>
        <v>62.058960000000006</v>
      </c>
      <c r="F59" s="4">
        <f t="shared" si="4"/>
        <v>3.5638829639392511</v>
      </c>
      <c r="G59" s="4">
        <f t="shared" si="5"/>
        <v>4.1280849009036658</v>
      </c>
    </row>
    <row r="60" spans="1:7" x14ac:dyDescent="0.25">
      <c r="A60" s="2" t="s">
        <v>7</v>
      </c>
      <c r="B60" s="1">
        <v>26.8</v>
      </c>
      <c r="C60" s="1">
        <v>1.1100000000000001</v>
      </c>
      <c r="D60" s="4">
        <v>12.13</v>
      </c>
      <c r="E60" s="4">
        <f t="shared" si="6"/>
        <v>48.471480000000007</v>
      </c>
      <c r="F60" s="4">
        <f t="shared" si="4"/>
        <v>3.2884018875168111</v>
      </c>
      <c r="G60" s="4">
        <f t="shared" si="5"/>
        <v>3.8809755837422659</v>
      </c>
    </row>
    <row r="61" spans="1:7" x14ac:dyDescent="0.25">
      <c r="A61" s="2" t="s">
        <v>5</v>
      </c>
      <c r="B61" s="1">
        <v>25</v>
      </c>
      <c r="C61" s="1">
        <v>0.96599999999999997</v>
      </c>
      <c r="D61" s="4">
        <v>18.73</v>
      </c>
      <c r="E61" s="4">
        <f t="shared" si="6"/>
        <v>65.135447999999997</v>
      </c>
      <c r="F61" s="4">
        <f t="shared" si="4"/>
        <v>3.2188758248682006</v>
      </c>
      <c r="G61" s="4">
        <f t="shared" si="5"/>
        <v>4.1764689171484424</v>
      </c>
    </row>
    <row r="62" spans="1:7" x14ac:dyDescent="0.25">
      <c r="A62" s="2" t="s">
        <v>8</v>
      </c>
      <c r="B62" s="1">
        <v>20</v>
      </c>
      <c r="C62" s="1">
        <v>0.94</v>
      </c>
      <c r="D62" s="4">
        <v>20.11</v>
      </c>
      <c r="E62" s="4">
        <f t="shared" si="6"/>
        <v>68.052239999999998</v>
      </c>
      <c r="F62" s="4">
        <f t="shared" si="4"/>
        <v>2.9957322735539909</v>
      </c>
      <c r="G62" s="4">
        <f t="shared" si="5"/>
        <v>4.2202756455285373</v>
      </c>
    </row>
    <row r="63" spans="1:7" x14ac:dyDescent="0.25">
      <c r="A63" s="2" t="s">
        <v>9</v>
      </c>
      <c r="B63" s="1">
        <v>13.3</v>
      </c>
      <c r="C63" s="1">
        <v>0.875</v>
      </c>
      <c r="D63" s="4">
        <v>20.059999999999999</v>
      </c>
      <c r="E63" s="4">
        <f t="shared" si="6"/>
        <v>63.188999999999993</v>
      </c>
      <c r="F63" s="4">
        <f t="shared" si="4"/>
        <v>2.5877640352277083</v>
      </c>
      <c r="G63" s="4">
        <f t="shared" si="5"/>
        <v>4.1461302353713307</v>
      </c>
    </row>
    <row r="64" spans="1:7" x14ac:dyDescent="0.25">
      <c r="A64" s="2" t="s">
        <v>24</v>
      </c>
      <c r="B64" s="1">
        <v>11.6</v>
      </c>
      <c r="C64" s="1">
        <v>0.73599999999999999</v>
      </c>
      <c r="D64" s="4">
        <v>11.01</v>
      </c>
      <c r="E64" s="4">
        <f t="shared" si="6"/>
        <v>29.172096000000003</v>
      </c>
      <c r="F64" s="4">
        <f t="shared" si="4"/>
        <v>2.451005098112319</v>
      </c>
      <c r="G64" s="4">
        <f t="shared" si="5"/>
        <v>3.3732126359433923</v>
      </c>
    </row>
    <row r="65" spans="1:7" x14ac:dyDescent="0.25">
      <c r="A65" s="2" t="s">
        <v>139</v>
      </c>
      <c r="B65" s="1">
        <v>8.8000000000000007</v>
      </c>
      <c r="C65" s="1">
        <v>0.83</v>
      </c>
      <c r="D65" s="4">
        <v>18.22</v>
      </c>
      <c r="E65" s="4">
        <f t="shared" si="6"/>
        <v>54.441359999999996</v>
      </c>
      <c r="F65" s="4">
        <f t="shared" si="4"/>
        <v>2.174751721484161</v>
      </c>
      <c r="G65" s="4">
        <f t="shared" si="5"/>
        <v>3.9971241591023832</v>
      </c>
    </row>
    <row r="66" spans="1:7" x14ac:dyDescent="0.25">
      <c r="A66" s="2" t="s">
        <v>45</v>
      </c>
      <c r="B66" s="1">
        <v>7</v>
      </c>
      <c r="C66" s="1">
        <v>0.50800000000000001</v>
      </c>
      <c r="D66" s="4">
        <v>12.77</v>
      </c>
      <c r="E66" s="4">
        <f t="shared" si="6"/>
        <v>23.353776</v>
      </c>
      <c r="F66" s="4">
        <f t="shared" si="4"/>
        <v>1.9459101490553132</v>
      </c>
      <c r="G66" s="4">
        <f t="shared" si="5"/>
        <v>3.1507586841028572</v>
      </c>
    </row>
    <row r="67" spans="1:7" x14ac:dyDescent="0.25">
      <c r="A67" s="2" t="s">
        <v>138</v>
      </c>
      <c r="B67" s="1">
        <v>7</v>
      </c>
      <c r="C67" s="1">
        <v>0.63100000000000001</v>
      </c>
      <c r="D67" s="4">
        <v>25.66</v>
      </c>
      <c r="E67" s="4">
        <f t="shared" si="6"/>
        <v>58.289256000000002</v>
      </c>
      <c r="F67" s="4">
        <f t="shared" ref="F67:F98" si="7">LN(B67)</f>
        <v>1.9459101490553132</v>
      </c>
      <c r="G67" s="4">
        <f t="shared" ref="G67:G98" si="8">LN(E67)</f>
        <v>4.0654177882086309</v>
      </c>
    </row>
    <row r="68" spans="1:7" x14ac:dyDescent="0.25">
      <c r="A68" s="2" t="s">
        <v>137</v>
      </c>
      <c r="B68" s="1">
        <v>4.8</v>
      </c>
      <c r="C68" s="1">
        <v>0.67800000000000005</v>
      </c>
      <c r="D68" s="4">
        <v>28.69</v>
      </c>
      <c r="E68" s="4">
        <f t="shared" si="6"/>
        <v>70.026552000000009</v>
      </c>
      <c r="F68" s="4">
        <f t="shared" si="7"/>
        <v>1.5686159179138452</v>
      </c>
      <c r="G68" s="4">
        <f t="shared" si="8"/>
        <v>4.2488744844135962</v>
      </c>
    </row>
    <row r="69" spans="1:7" x14ac:dyDescent="0.25">
      <c r="A69" s="2" t="s">
        <v>136</v>
      </c>
      <c r="B69" s="1">
        <v>4.4000000000000004</v>
      </c>
      <c r="C69" s="1">
        <v>0.54</v>
      </c>
      <c r="D69" s="4">
        <v>13.5</v>
      </c>
      <c r="E69" s="4">
        <f t="shared" si="6"/>
        <v>26.244000000000003</v>
      </c>
      <c r="F69" s="4">
        <f t="shared" si="7"/>
        <v>1.4816045409242156</v>
      </c>
      <c r="G69" s="4">
        <f t="shared" si="8"/>
        <v>3.2674373914826313</v>
      </c>
    </row>
    <row r="70" spans="1:7" x14ac:dyDescent="0.25">
      <c r="A70" s="2" t="s">
        <v>135</v>
      </c>
      <c r="B70" s="1">
        <v>3.7</v>
      </c>
      <c r="C70" s="1">
        <v>0.58399999999999996</v>
      </c>
      <c r="D70" s="4">
        <v>29.59</v>
      </c>
      <c r="E70" s="4">
        <f t="shared" si="6"/>
        <v>62.210015999999996</v>
      </c>
      <c r="F70" s="4">
        <f t="shared" si="7"/>
        <v>1.3083328196501789</v>
      </c>
      <c r="G70" s="4">
        <f t="shared" si="8"/>
        <v>4.1305160157202723</v>
      </c>
    </row>
    <row r="71" spans="1:7" x14ac:dyDescent="0.25">
      <c r="A71" s="2" t="s">
        <v>134</v>
      </c>
      <c r="B71" s="1">
        <v>2.5</v>
      </c>
      <c r="C71" s="1">
        <v>0.33</v>
      </c>
      <c r="D71" s="4">
        <v>13.09</v>
      </c>
      <c r="E71" s="4">
        <f t="shared" si="6"/>
        <v>15.550920000000001</v>
      </c>
      <c r="F71" s="4">
        <f t="shared" si="7"/>
        <v>0.91629073187415511</v>
      </c>
      <c r="G71" s="4">
        <f t="shared" si="8"/>
        <v>2.7441198008622618</v>
      </c>
    </row>
    <row r="72" spans="1:7" x14ac:dyDescent="0.25">
      <c r="A72" s="2" t="s">
        <v>26</v>
      </c>
      <c r="B72" s="1">
        <v>127</v>
      </c>
      <c r="C72" s="1">
        <v>1.66</v>
      </c>
      <c r="D72" s="4">
        <v>5.2</v>
      </c>
      <c r="E72" s="4">
        <f t="shared" si="6"/>
        <v>31.075199999999999</v>
      </c>
      <c r="F72" s="4">
        <f t="shared" si="7"/>
        <v>4.8441870864585912</v>
      </c>
      <c r="G72" s="4">
        <f t="shared" si="8"/>
        <v>3.4364100734178979</v>
      </c>
    </row>
    <row r="73" spans="1:7" x14ac:dyDescent="0.25">
      <c r="A73" s="2" t="s">
        <v>133</v>
      </c>
      <c r="B73" s="1">
        <v>13</v>
      </c>
      <c r="C73" s="1">
        <v>0.51500000000000001</v>
      </c>
      <c r="D73" s="4">
        <v>19.399999999999999</v>
      </c>
      <c r="E73" s="4">
        <f t="shared" si="6"/>
        <v>35.967599999999997</v>
      </c>
      <c r="F73" s="4">
        <f t="shared" si="7"/>
        <v>2.5649493574615367</v>
      </c>
      <c r="G73" s="4">
        <f t="shared" si="8"/>
        <v>3.5826185332129459</v>
      </c>
    </row>
    <row r="74" spans="1:7" x14ac:dyDescent="0.25">
      <c r="A74" s="2" t="s">
        <v>132</v>
      </c>
      <c r="B74" s="1">
        <v>4</v>
      </c>
      <c r="C74" s="1">
        <v>0.45</v>
      </c>
      <c r="D74" s="4">
        <v>9.6</v>
      </c>
      <c r="E74" s="4">
        <f t="shared" si="6"/>
        <v>15.552000000000001</v>
      </c>
      <c r="F74" s="4">
        <f t="shared" si="7"/>
        <v>1.3862943611198906</v>
      </c>
      <c r="G74" s="4">
        <f t="shared" si="8"/>
        <v>2.7441892477180834</v>
      </c>
    </row>
    <row r="75" spans="1:7" x14ac:dyDescent="0.25">
      <c r="A75" s="2" t="s">
        <v>131</v>
      </c>
      <c r="B75" s="1">
        <v>1.18</v>
      </c>
      <c r="C75" s="1">
        <v>0.27</v>
      </c>
      <c r="D75" s="4">
        <v>16.63</v>
      </c>
      <c r="E75" s="4">
        <f t="shared" si="6"/>
        <v>16.164360000000002</v>
      </c>
      <c r="F75" s="4">
        <f t="shared" si="7"/>
        <v>0.16551443847757333</v>
      </c>
      <c r="G75" s="4">
        <f t="shared" si="8"/>
        <v>2.7828088186831383</v>
      </c>
    </row>
    <row r="76" spans="1:7" x14ac:dyDescent="0.25">
      <c r="A76" s="2" t="s">
        <v>130</v>
      </c>
      <c r="B76" s="1">
        <v>1.0780000000000001</v>
      </c>
      <c r="C76" s="1">
        <v>0.33800000000000002</v>
      </c>
      <c r="D76" s="4">
        <v>19.170000000000002</v>
      </c>
      <c r="E76" s="4">
        <f t="shared" si="6"/>
        <v>23.326056000000005</v>
      </c>
      <c r="F76" s="4">
        <f t="shared" si="7"/>
        <v>7.5107472486805479E-2</v>
      </c>
      <c r="G76" s="4">
        <f t="shared" si="8"/>
        <v>3.1495710190204993</v>
      </c>
    </row>
    <row r="77" spans="1:7" x14ac:dyDescent="0.25">
      <c r="A77" s="2" t="s">
        <v>129</v>
      </c>
      <c r="B77" s="1">
        <v>0.6</v>
      </c>
      <c r="C77" s="1">
        <v>0.27800000000000002</v>
      </c>
      <c r="D77" s="4">
        <v>34.979999999999997</v>
      </c>
      <c r="E77" s="4">
        <f t="shared" si="6"/>
        <v>35.007984</v>
      </c>
      <c r="F77" s="4">
        <f t="shared" si="7"/>
        <v>-0.51082562376599072</v>
      </c>
      <c r="G77" s="4">
        <f t="shared" si="8"/>
        <v>3.5555761497610203</v>
      </c>
    </row>
    <row r="78" spans="1:7" x14ac:dyDescent="0.25">
      <c r="A78" s="2" t="s">
        <v>128</v>
      </c>
      <c r="B78" s="1">
        <v>0.6</v>
      </c>
      <c r="C78" s="1">
        <v>0.27800000000000002</v>
      </c>
      <c r="D78" s="4">
        <v>19.43</v>
      </c>
      <c r="E78" s="4">
        <f t="shared" si="6"/>
        <v>19.445544000000002</v>
      </c>
      <c r="F78" s="4">
        <f t="shared" si="7"/>
        <v>-0.51082562376599072</v>
      </c>
      <c r="G78" s="4">
        <f t="shared" si="8"/>
        <v>2.967617943559913</v>
      </c>
    </row>
    <row r="79" spans="1:7" x14ac:dyDescent="0.25">
      <c r="A79" s="2" t="s">
        <v>127</v>
      </c>
      <c r="B79" s="1">
        <v>0.5</v>
      </c>
      <c r="C79" s="1">
        <v>0.26100000000000001</v>
      </c>
      <c r="D79" s="4">
        <v>18.59</v>
      </c>
      <c r="E79" s="4">
        <f t="shared" si="6"/>
        <v>17.467164</v>
      </c>
      <c r="F79" s="4">
        <f t="shared" si="7"/>
        <v>-0.69314718055994529</v>
      </c>
      <c r="G79" s="4">
        <f t="shared" si="8"/>
        <v>2.8603227755359732</v>
      </c>
    </row>
    <row r="80" spans="1:7" x14ac:dyDescent="0.25">
      <c r="A80" s="2" t="s">
        <v>126</v>
      </c>
      <c r="B80" s="1">
        <v>0.5</v>
      </c>
      <c r="C80" s="1">
        <v>0.26100000000000001</v>
      </c>
      <c r="D80" s="4">
        <v>30.98</v>
      </c>
      <c r="E80" s="4">
        <f t="shared" si="6"/>
        <v>29.108808</v>
      </c>
      <c r="F80" s="4">
        <f t="shared" si="7"/>
        <v>-0.69314718055994529</v>
      </c>
      <c r="G80" s="4">
        <f t="shared" si="8"/>
        <v>3.371040808791343</v>
      </c>
    </row>
    <row r="81" spans="1:7" x14ac:dyDescent="0.25">
      <c r="A81" s="2" t="s">
        <v>31</v>
      </c>
      <c r="B81" s="1">
        <v>0.4</v>
      </c>
      <c r="C81" s="1">
        <v>0.24299999999999999</v>
      </c>
      <c r="D81" s="4">
        <v>22.25</v>
      </c>
      <c r="E81" s="4">
        <f t="shared" si="6"/>
        <v>19.464299999999998</v>
      </c>
      <c r="F81" s="4">
        <f t="shared" si="7"/>
        <v>-0.916290731874155</v>
      </c>
      <c r="G81" s="4">
        <f t="shared" si="8"/>
        <v>2.9685820184327247</v>
      </c>
    </row>
    <row r="82" spans="1:7" x14ac:dyDescent="0.25">
      <c r="A82" s="2" t="s">
        <v>125</v>
      </c>
      <c r="B82" s="1">
        <v>0.3</v>
      </c>
      <c r="C82" s="1">
        <v>0.22</v>
      </c>
      <c r="D82" s="4">
        <v>15.92</v>
      </c>
      <c r="E82" s="4">
        <f t="shared" si="6"/>
        <v>12.608640000000001</v>
      </c>
      <c r="F82" s="4">
        <f t="shared" si="7"/>
        <v>-1.2039728043259361</v>
      </c>
      <c r="G82" s="4">
        <f t="shared" si="8"/>
        <v>2.5343822932485258</v>
      </c>
    </row>
    <row r="83" spans="1:7" x14ac:dyDescent="0.25">
      <c r="A83" s="2" t="s">
        <v>124</v>
      </c>
      <c r="B83" s="1">
        <v>0.25</v>
      </c>
      <c r="C83" s="1">
        <v>0.19</v>
      </c>
      <c r="D83" s="4">
        <v>13.78</v>
      </c>
      <c r="E83" s="4">
        <f t="shared" ref="E83:E114" si="9">C83*D83*3.6</f>
        <v>9.4255200000000006</v>
      </c>
      <c r="F83" s="4">
        <f t="shared" si="7"/>
        <v>-1.3862943611198906</v>
      </c>
      <c r="G83" s="4">
        <f t="shared" si="8"/>
        <v>2.2434209042259261</v>
      </c>
    </row>
    <row r="84" spans="1:7" x14ac:dyDescent="0.25">
      <c r="A84" s="2" t="s">
        <v>123</v>
      </c>
      <c r="B84" s="1">
        <v>0.222</v>
      </c>
      <c r="C84" s="1">
        <v>0.19900000000000001</v>
      </c>
      <c r="D84" s="4">
        <v>30.06</v>
      </c>
      <c r="E84" s="4">
        <f t="shared" si="9"/>
        <v>21.534984000000001</v>
      </c>
      <c r="F84" s="4">
        <f t="shared" si="7"/>
        <v>-1.5050778971098575</v>
      </c>
      <c r="G84" s="4">
        <f t="shared" si="8"/>
        <v>3.0696787755292481</v>
      </c>
    </row>
    <row r="85" spans="1:7" x14ac:dyDescent="0.25">
      <c r="A85" s="2" t="s">
        <v>122</v>
      </c>
      <c r="B85" s="1">
        <v>0.22</v>
      </c>
      <c r="C85" s="1">
        <v>0.19800000000000001</v>
      </c>
      <c r="D85" s="4">
        <v>20.51</v>
      </c>
      <c r="E85" s="4">
        <f t="shared" si="9"/>
        <v>14.619528000000003</v>
      </c>
      <c r="F85" s="4">
        <f t="shared" si="7"/>
        <v>-1.5141277326297755</v>
      </c>
      <c r="G85" s="4">
        <f t="shared" si="8"/>
        <v>2.6823581692587517</v>
      </c>
    </row>
    <row r="86" spans="1:7" x14ac:dyDescent="0.25">
      <c r="A86" s="2" t="s">
        <v>121</v>
      </c>
      <c r="B86" s="1">
        <v>0.125</v>
      </c>
      <c r="C86" s="1">
        <v>0.16400000000000001</v>
      </c>
      <c r="D86" s="4">
        <v>20.02</v>
      </c>
      <c r="E86" s="4">
        <f t="shared" si="9"/>
        <v>11.819808</v>
      </c>
      <c r="F86" s="4">
        <f t="shared" si="7"/>
        <v>-2.0794415416798357</v>
      </c>
      <c r="G86" s="4">
        <f t="shared" si="8"/>
        <v>2.4697767681912004</v>
      </c>
    </row>
    <row r="87" spans="1:7" x14ac:dyDescent="0.25">
      <c r="A87" s="2" t="s">
        <v>120</v>
      </c>
      <c r="B87" s="1">
        <v>0.11260000000000001</v>
      </c>
      <c r="C87" s="1">
        <v>0.159</v>
      </c>
      <c r="D87" s="4">
        <v>25.82</v>
      </c>
      <c r="E87" s="4">
        <f t="shared" si="9"/>
        <v>14.779368000000002</v>
      </c>
      <c r="F87" s="4">
        <f t="shared" si="7"/>
        <v>-2.1839135632765472</v>
      </c>
      <c r="G87" s="4">
        <f t="shared" si="8"/>
        <v>2.6932321541186552</v>
      </c>
    </row>
    <row r="88" spans="1:7" x14ac:dyDescent="0.25">
      <c r="A88" s="2" t="s">
        <v>119</v>
      </c>
      <c r="B88" s="1">
        <v>0.1106</v>
      </c>
      <c r="C88" s="1">
        <v>0.19</v>
      </c>
      <c r="D88" s="4">
        <v>24.3</v>
      </c>
      <c r="E88" s="4">
        <f t="shared" si="9"/>
        <v>16.621200000000002</v>
      </c>
      <c r="F88" s="4">
        <f t="shared" si="7"/>
        <v>-2.2018351898939028</v>
      </c>
      <c r="G88" s="4">
        <f t="shared" si="8"/>
        <v>2.8106789889869161</v>
      </c>
    </row>
    <row r="89" spans="1:7" x14ac:dyDescent="0.25">
      <c r="A89" s="2" t="s">
        <v>118</v>
      </c>
      <c r="B89" s="1">
        <v>0.11</v>
      </c>
      <c r="C89" s="1">
        <v>0.17499999999999999</v>
      </c>
      <c r="D89" s="4">
        <v>13.89</v>
      </c>
      <c r="E89" s="4">
        <f t="shared" si="9"/>
        <v>8.7507000000000001</v>
      </c>
      <c r="F89" s="4">
        <f t="shared" si="7"/>
        <v>-2.2072749131897207</v>
      </c>
      <c r="G89" s="4">
        <f t="shared" si="8"/>
        <v>2.169133697169694</v>
      </c>
    </row>
    <row r="90" spans="1:7" x14ac:dyDescent="0.25">
      <c r="A90" s="2" t="s">
        <v>117</v>
      </c>
      <c r="B90" s="1">
        <v>0.1</v>
      </c>
      <c r="C90" s="1">
        <v>0.32300000000000001</v>
      </c>
      <c r="D90" s="4">
        <v>14.21</v>
      </c>
      <c r="E90" s="4">
        <f t="shared" si="9"/>
        <v>16.523388000000001</v>
      </c>
      <c r="F90" s="4">
        <f t="shared" si="7"/>
        <v>-2.3025850929940455</v>
      </c>
      <c r="G90" s="4">
        <f t="shared" si="8"/>
        <v>2.8047768318115933</v>
      </c>
    </row>
    <row r="91" spans="1:7" x14ac:dyDescent="0.25">
      <c r="A91" s="2" t="s">
        <v>116</v>
      </c>
      <c r="B91" s="1">
        <v>9.7600000000000006E-2</v>
      </c>
      <c r="C91" s="1">
        <v>0.152</v>
      </c>
      <c r="D91" s="4">
        <v>26.73</v>
      </c>
      <c r="E91" s="4">
        <f t="shared" si="9"/>
        <v>14.626656000000002</v>
      </c>
      <c r="F91" s="4">
        <f t="shared" si="7"/>
        <v>-2.3268777855630902</v>
      </c>
      <c r="G91" s="4">
        <f t="shared" si="8"/>
        <v>2.6828456174770317</v>
      </c>
    </row>
    <row r="92" spans="1:7" x14ac:dyDescent="0.25">
      <c r="A92" s="2" t="s">
        <v>115</v>
      </c>
      <c r="B92" s="1">
        <v>7.5899999999999995E-2</v>
      </c>
      <c r="C92" s="1">
        <v>0.153</v>
      </c>
      <c r="D92" s="4">
        <v>30.45</v>
      </c>
      <c r="E92" s="4">
        <f t="shared" si="9"/>
        <v>16.77186</v>
      </c>
      <c r="F92" s="4">
        <f t="shared" si="7"/>
        <v>-2.5783385945805528</v>
      </c>
      <c r="G92" s="4">
        <f t="shared" si="8"/>
        <v>2.8197024820282688</v>
      </c>
    </row>
    <row r="93" spans="1:7" x14ac:dyDescent="0.25">
      <c r="A93" s="2" t="s">
        <v>114</v>
      </c>
      <c r="B93" s="1">
        <v>6.0999999999999999E-2</v>
      </c>
      <c r="C93" s="1">
        <v>0.13</v>
      </c>
      <c r="D93" s="4">
        <v>30.02</v>
      </c>
      <c r="E93" s="4">
        <f t="shared" si="9"/>
        <v>14.04936</v>
      </c>
      <c r="F93" s="4">
        <f t="shared" si="7"/>
        <v>-2.7968814148088259</v>
      </c>
      <c r="G93" s="4">
        <f t="shared" si="8"/>
        <v>2.6425768431408256</v>
      </c>
    </row>
    <row r="94" spans="1:7" x14ac:dyDescent="0.25">
      <c r="A94" s="2" t="s">
        <v>113</v>
      </c>
      <c r="B94" s="1">
        <v>6.0499999999999998E-2</v>
      </c>
      <c r="C94" s="1">
        <v>0.13100000000000001</v>
      </c>
      <c r="D94" s="4">
        <v>25.56</v>
      </c>
      <c r="E94" s="4">
        <f t="shared" si="9"/>
        <v>12.054095999999999</v>
      </c>
      <c r="F94" s="4">
        <f t="shared" si="7"/>
        <v>-2.8051119139453413</v>
      </c>
      <c r="G94" s="4">
        <f t="shared" si="8"/>
        <v>2.4894045191904128</v>
      </c>
    </row>
    <row r="95" spans="1:7" x14ac:dyDescent="0.25">
      <c r="A95" s="2" t="s">
        <v>112</v>
      </c>
      <c r="B95" s="1">
        <v>5.6000000000000001E-2</v>
      </c>
      <c r="C95" s="1">
        <v>0.126</v>
      </c>
      <c r="D95" s="4">
        <v>45.05</v>
      </c>
      <c r="E95" s="4">
        <f t="shared" si="9"/>
        <v>20.43468</v>
      </c>
      <c r="F95" s="4">
        <f t="shared" si="7"/>
        <v>-2.8824035882469876</v>
      </c>
      <c r="G95" s="4">
        <f t="shared" si="8"/>
        <v>3.017233457485752</v>
      </c>
    </row>
    <row r="96" spans="1:7" x14ac:dyDescent="0.25">
      <c r="A96" s="2" t="s">
        <v>111</v>
      </c>
      <c r="B96" s="1">
        <v>5.0999999999999997E-2</v>
      </c>
      <c r="C96" s="1">
        <v>0.122</v>
      </c>
      <c r="D96" s="4">
        <v>42.94</v>
      </c>
      <c r="E96" s="4">
        <f t="shared" si="9"/>
        <v>18.859247999999997</v>
      </c>
      <c r="F96" s="4">
        <f t="shared" si="7"/>
        <v>-2.9759296462578115</v>
      </c>
      <c r="G96" s="4">
        <f t="shared" si="8"/>
        <v>2.9370034036638186</v>
      </c>
    </row>
    <row r="97" spans="1:7" x14ac:dyDescent="0.25">
      <c r="A97" s="2" t="s">
        <v>110</v>
      </c>
      <c r="B97" s="1">
        <v>0.05</v>
      </c>
      <c r="C97" s="1">
        <v>0.121</v>
      </c>
      <c r="D97" s="4">
        <v>24.51</v>
      </c>
      <c r="E97" s="4">
        <f t="shared" si="9"/>
        <v>10.676556</v>
      </c>
      <c r="F97" s="4">
        <f t="shared" si="7"/>
        <v>-2.9957322735539909</v>
      </c>
      <c r="G97" s="4">
        <f t="shared" si="8"/>
        <v>2.3680503096166894</v>
      </c>
    </row>
    <row r="98" spans="1:7" x14ac:dyDescent="0.25">
      <c r="A98" s="2" t="s">
        <v>109</v>
      </c>
      <c r="B98" s="1">
        <v>0.05</v>
      </c>
      <c r="C98" s="1">
        <v>0.121</v>
      </c>
      <c r="D98" s="4">
        <v>36.54</v>
      </c>
      <c r="E98" s="4">
        <f t="shared" si="9"/>
        <v>15.916824</v>
      </c>
      <c r="F98" s="4">
        <f t="shared" si="7"/>
        <v>-2.9957322735539909</v>
      </c>
      <c r="G98" s="4">
        <f t="shared" si="8"/>
        <v>2.7673766630265288</v>
      </c>
    </row>
    <row r="99" spans="1:7" x14ac:dyDescent="0.25">
      <c r="A99" s="2" t="s">
        <v>108</v>
      </c>
      <c r="B99" s="1">
        <v>0.05</v>
      </c>
      <c r="C99" s="1">
        <v>0.14799999999999999</v>
      </c>
      <c r="D99" s="4">
        <v>22.88</v>
      </c>
      <c r="E99" s="4">
        <f t="shared" si="9"/>
        <v>12.190463999999999</v>
      </c>
      <c r="F99" s="4">
        <f t="shared" ref="F99:F130" si="10">LN(B99)</f>
        <v>-2.9957322735539909</v>
      </c>
      <c r="G99" s="4">
        <f t="shared" ref="G99:G130" si="11">LN(E99)</f>
        <v>2.5006540067556395</v>
      </c>
    </row>
    <row r="100" spans="1:7" x14ac:dyDescent="0.25">
      <c r="A100" s="2" t="s">
        <v>107</v>
      </c>
      <c r="B100" s="1">
        <v>4.7800000000000002E-2</v>
      </c>
      <c r="C100" s="1">
        <v>0.11899999999999999</v>
      </c>
      <c r="D100" s="4">
        <v>31.89</v>
      </c>
      <c r="E100" s="4">
        <f t="shared" si="9"/>
        <v>13.661676</v>
      </c>
      <c r="F100" s="4">
        <f t="shared" si="10"/>
        <v>-3.0407296394847267</v>
      </c>
      <c r="G100" s="4">
        <f t="shared" si="11"/>
        <v>2.6145945406134228</v>
      </c>
    </row>
    <row r="101" spans="1:7" x14ac:dyDescent="0.25">
      <c r="A101" s="2" t="s">
        <v>106</v>
      </c>
      <c r="B101" s="1">
        <v>4.2000000000000003E-2</v>
      </c>
      <c r="C101" s="1">
        <v>0.11600000000000001</v>
      </c>
      <c r="D101" s="4">
        <v>40.03</v>
      </c>
      <c r="E101" s="4">
        <f t="shared" si="9"/>
        <v>16.716528</v>
      </c>
      <c r="F101" s="4">
        <f t="shared" si="10"/>
        <v>-3.1700856606987688</v>
      </c>
      <c r="G101" s="4">
        <f t="shared" si="11"/>
        <v>2.816397930590774</v>
      </c>
    </row>
    <row r="102" spans="1:7" x14ac:dyDescent="0.25">
      <c r="A102" s="2" t="s">
        <v>105</v>
      </c>
      <c r="B102" s="1">
        <v>3.9100000000000003E-2</v>
      </c>
      <c r="C102" s="1">
        <v>0.112</v>
      </c>
      <c r="D102" s="4">
        <v>29.99</v>
      </c>
      <c r="E102" s="4">
        <f t="shared" si="9"/>
        <v>12.091968000000001</v>
      </c>
      <c r="F102" s="4">
        <f t="shared" si="10"/>
        <v>-3.2416328119908169</v>
      </c>
      <c r="G102" s="4">
        <f t="shared" si="11"/>
        <v>2.4925414305359395</v>
      </c>
    </row>
    <row r="103" spans="1:7" x14ac:dyDescent="0.25">
      <c r="A103" s="2" t="s">
        <v>104</v>
      </c>
      <c r="B103" s="1">
        <v>3.5000000000000003E-2</v>
      </c>
      <c r="C103" s="1">
        <v>0.108</v>
      </c>
      <c r="D103" s="4">
        <v>80.31</v>
      </c>
      <c r="E103" s="4">
        <f t="shared" si="9"/>
        <v>31.224527999999999</v>
      </c>
      <c r="F103" s="4">
        <f t="shared" si="10"/>
        <v>-3.3524072174927233</v>
      </c>
      <c r="G103" s="4">
        <f t="shared" si="11"/>
        <v>3.4412039398045176</v>
      </c>
    </row>
    <row r="104" spans="1:7" x14ac:dyDescent="0.25">
      <c r="A104" s="2" t="s">
        <v>103</v>
      </c>
      <c r="B104" s="1">
        <v>3.5000000000000003E-2</v>
      </c>
      <c r="C104" s="1">
        <v>0.108</v>
      </c>
      <c r="D104" s="4">
        <v>35.14</v>
      </c>
      <c r="E104" s="4">
        <f t="shared" si="9"/>
        <v>13.662431999999999</v>
      </c>
      <c r="F104" s="4">
        <f t="shared" si="10"/>
        <v>-3.3524072174927233</v>
      </c>
      <c r="G104" s="4">
        <f t="shared" si="11"/>
        <v>2.6146498763630981</v>
      </c>
    </row>
    <row r="105" spans="1:7" x14ac:dyDescent="0.25">
      <c r="A105" s="2" t="s">
        <v>102</v>
      </c>
      <c r="B105" s="1">
        <v>0.03</v>
      </c>
      <c r="C105" s="1">
        <v>0.10199999999999999</v>
      </c>
      <c r="D105" s="4">
        <v>17.97</v>
      </c>
      <c r="E105" s="4">
        <f t="shared" si="9"/>
        <v>6.5985839999999998</v>
      </c>
      <c r="F105" s="4">
        <f t="shared" si="10"/>
        <v>-3.5065578973199818</v>
      </c>
      <c r="G105" s="4">
        <f t="shared" si="11"/>
        <v>1.886855080559666</v>
      </c>
    </row>
    <row r="106" spans="1:7" x14ac:dyDescent="0.25">
      <c r="A106" s="2" t="s">
        <v>101</v>
      </c>
      <c r="B106" s="1">
        <v>2.93E-2</v>
      </c>
      <c r="C106" s="1">
        <v>0.10100000000000001</v>
      </c>
      <c r="D106" s="4">
        <v>44.74</v>
      </c>
      <c r="E106" s="4">
        <f t="shared" si="9"/>
        <v>16.267464</v>
      </c>
      <c r="F106" s="4">
        <f t="shared" si="10"/>
        <v>-3.5301677629591155</v>
      </c>
      <c r="G106" s="4">
        <f t="shared" si="11"/>
        <v>2.7891670393831705</v>
      </c>
    </row>
    <row r="107" spans="1:7" x14ac:dyDescent="0.25">
      <c r="A107" s="2" t="s">
        <v>100</v>
      </c>
      <c r="B107" s="1">
        <v>2.8500000000000001E-2</v>
      </c>
      <c r="C107" s="1">
        <v>0.1</v>
      </c>
      <c r="D107" s="4">
        <v>38.44</v>
      </c>
      <c r="E107" s="4">
        <f t="shared" si="9"/>
        <v>13.8384</v>
      </c>
      <c r="F107" s="4">
        <f t="shared" si="10"/>
        <v>-3.5578511917075324</v>
      </c>
      <c r="G107" s="4">
        <f t="shared" si="11"/>
        <v>2.6274473365701105</v>
      </c>
    </row>
    <row r="108" spans="1:7" x14ac:dyDescent="0.25">
      <c r="A108" s="2" t="s">
        <v>99</v>
      </c>
      <c r="B108" s="1">
        <v>2.5000000000000001E-2</v>
      </c>
      <c r="C108" s="1">
        <v>9.6100000000000005E-2</v>
      </c>
      <c r="D108" s="4">
        <v>30.89</v>
      </c>
      <c r="E108" s="4">
        <f t="shared" si="9"/>
        <v>10.686704400000002</v>
      </c>
      <c r="F108" s="4">
        <f t="shared" si="10"/>
        <v>-3.6888794541139363</v>
      </c>
      <c r="G108" s="4">
        <f t="shared" si="11"/>
        <v>2.3690003893866645</v>
      </c>
    </row>
    <row r="109" spans="1:7" x14ac:dyDescent="0.25">
      <c r="A109" s="2" t="s">
        <v>98</v>
      </c>
      <c r="B109" s="1">
        <v>2.5000000000000001E-2</v>
      </c>
      <c r="C109" s="1">
        <v>0.09</v>
      </c>
      <c r="D109" s="4">
        <v>25.8</v>
      </c>
      <c r="E109" s="4">
        <f t="shared" si="9"/>
        <v>8.3592000000000013</v>
      </c>
      <c r="F109" s="4">
        <f t="shared" si="10"/>
        <v>-3.6888794541139363</v>
      </c>
      <c r="G109" s="4">
        <f t="shared" si="11"/>
        <v>2.1233627287377641</v>
      </c>
    </row>
    <row r="110" spans="1:7" x14ac:dyDescent="0.25">
      <c r="A110" s="2" t="s">
        <v>97</v>
      </c>
      <c r="B110" s="1">
        <v>2.4500000000000001E-2</v>
      </c>
      <c r="C110" s="1">
        <v>9.5500000000000002E-2</v>
      </c>
      <c r="D110" s="4">
        <v>37.04</v>
      </c>
      <c r="E110" s="4">
        <f t="shared" si="9"/>
        <v>12.734351999999999</v>
      </c>
      <c r="F110" s="4">
        <f t="shared" si="10"/>
        <v>-3.7090821614314557</v>
      </c>
      <c r="G110" s="4">
        <f t="shared" si="11"/>
        <v>2.5443032237445906</v>
      </c>
    </row>
    <row r="111" spans="1:7" x14ac:dyDescent="0.25">
      <c r="A111" s="2" t="s">
        <v>96</v>
      </c>
      <c r="B111" s="1">
        <v>2.4400000000000002E-2</v>
      </c>
      <c r="C111" s="1">
        <v>9.5399999999999999E-2</v>
      </c>
      <c r="D111" s="4">
        <v>35.39</v>
      </c>
      <c r="E111" s="4">
        <f t="shared" si="9"/>
        <v>12.1543416</v>
      </c>
      <c r="F111" s="4">
        <f t="shared" si="10"/>
        <v>-3.713172146682981</v>
      </c>
      <c r="G111" s="4">
        <f t="shared" si="11"/>
        <v>2.4976864392915403</v>
      </c>
    </row>
    <row r="112" spans="1:7" x14ac:dyDescent="0.25">
      <c r="A112" s="2" t="s">
        <v>95</v>
      </c>
      <c r="B112" s="1">
        <v>1.9800000000000002E-2</v>
      </c>
      <c r="C112" s="1">
        <v>8.8900000000000007E-2</v>
      </c>
      <c r="D112" s="4">
        <v>39.770000000000003</v>
      </c>
      <c r="E112" s="4">
        <f t="shared" si="9"/>
        <v>12.727990800000002</v>
      </c>
      <c r="F112" s="4">
        <f t="shared" si="10"/>
        <v>-3.9220733412816475</v>
      </c>
      <c r="G112" s="4">
        <f t="shared" si="11"/>
        <v>2.5438035682193858</v>
      </c>
    </row>
    <row r="113" spans="1:7" x14ac:dyDescent="0.25">
      <c r="A113" s="2" t="s">
        <v>94</v>
      </c>
      <c r="B113" s="1">
        <v>1.9300000000000001E-2</v>
      </c>
      <c r="C113" s="1">
        <v>8.8200000000000001E-2</v>
      </c>
      <c r="D113" s="4">
        <v>43.78</v>
      </c>
      <c r="E113" s="4">
        <f t="shared" si="9"/>
        <v>13.901025600000001</v>
      </c>
      <c r="F113" s="4">
        <f t="shared" si="10"/>
        <v>-3.9476501830712971</v>
      </c>
      <c r="G113" s="4">
        <f t="shared" si="11"/>
        <v>2.6319626215873897</v>
      </c>
    </row>
    <row r="114" spans="1:7" x14ac:dyDescent="0.25">
      <c r="A114" s="2" t="s">
        <v>93</v>
      </c>
      <c r="B114" s="1">
        <v>1.9300000000000001E-2</v>
      </c>
      <c r="C114" s="1">
        <v>0.115</v>
      </c>
      <c r="D114" s="4">
        <v>24.29</v>
      </c>
      <c r="E114" s="4">
        <f t="shared" si="9"/>
        <v>10.05606</v>
      </c>
      <c r="F114" s="4">
        <f t="shared" si="10"/>
        <v>-3.9476501830712971</v>
      </c>
      <c r="G114" s="4">
        <f t="shared" si="11"/>
        <v>2.3081754378572583</v>
      </c>
    </row>
    <row r="115" spans="1:7" x14ac:dyDescent="0.25">
      <c r="A115" s="2" t="s">
        <v>92</v>
      </c>
      <c r="B115" s="1">
        <v>1.8200000000000001E-2</v>
      </c>
      <c r="C115" s="1">
        <v>8.6499999999999994E-2</v>
      </c>
      <c r="D115" s="4">
        <v>41.84</v>
      </c>
      <c r="E115" s="4">
        <f t="shared" ref="E115:E145" si="12">C115*D115*3.6</f>
        <v>13.028976</v>
      </c>
      <c r="F115" s="4">
        <f t="shared" si="10"/>
        <v>-4.0063336848993876</v>
      </c>
      <c r="G115" s="4">
        <f t="shared" si="11"/>
        <v>2.5671758001744283</v>
      </c>
    </row>
    <row r="116" spans="1:7" x14ac:dyDescent="0.25">
      <c r="A116" s="2" t="s">
        <v>91</v>
      </c>
      <c r="B116" s="1">
        <v>1.7999999999999999E-2</v>
      </c>
      <c r="C116" s="1">
        <v>8.6199999999999999E-2</v>
      </c>
      <c r="D116" s="4">
        <v>40.119999999999997</v>
      </c>
      <c r="E116" s="4">
        <f t="shared" si="12"/>
        <v>12.4500384</v>
      </c>
      <c r="F116" s="4">
        <f t="shared" si="10"/>
        <v>-4.0173835210859723</v>
      </c>
      <c r="G116" s="4">
        <f t="shared" si="11"/>
        <v>2.5217237072433094</v>
      </c>
    </row>
    <row r="117" spans="1:7" x14ac:dyDescent="0.25">
      <c r="A117" s="2" t="s">
        <v>90</v>
      </c>
      <c r="B117" s="1">
        <v>1.7999999999999999E-2</v>
      </c>
      <c r="C117" s="1">
        <v>8.6199999999999999E-2</v>
      </c>
      <c r="D117" s="4">
        <v>27.89</v>
      </c>
      <c r="E117" s="4">
        <f t="shared" si="12"/>
        <v>8.6548248000000001</v>
      </c>
      <c r="F117" s="4">
        <f t="shared" si="10"/>
        <v>-4.0173835210859723</v>
      </c>
      <c r="G117" s="4">
        <f t="shared" si="11"/>
        <v>2.1581169457889722</v>
      </c>
    </row>
    <row r="118" spans="1:7" x14ac:dyDescent="0.25">
      <c r="A118" s="2" t="s">
        <v>89</v>
      </c>
      <c r="B118" s="1">
        <v>1.7999999999999999E-2</v>
      </c>
      <c r="C118" s="1">
        <v>8.6199999999999999E-2</v>
      </c>
      <c r="D118" s="4">
        <v>39.49</v>
      </c>
      <c r="E118" s="4">
        <f t="shared" si="12"/>
        <v>12.254536800000002</v>
      </c>
      <c r="F118" s="4">
        <f t="shared" si="10"/>
        <v>-4.0173835210859723</v>
      </c>
      <c r="G118" s="4">
        <f t="shared" si="11"/>
        <v>2.5058962194481329</v>
      </c>
    </row>
    <row r="119" spans="1:7" x14ac:dyDescent="0.25">
      <c r="A119" s="2" t="s">
        <v>88</v>
      </c>
      <c r="B119" s="1">
        <v>1.6E-2</v>
      </c>
      <c r="C119" s="1">
        <v>0.08</v>
      </c>
      <c r="D119" s="4">
        <v>43.88</v>
      </c>
      <c r="E119" s="4">
        <f t="shared" si="12"/>
        <v>12.637440000000002</v>
      </c>
      <c r="F119" s="4">
        <f t="shared" si="10"/>
        <v>-4.1351665567423561</v>
      </c>
      <c r="G119" s="4">
        <f t="shared" si="11"/>
        <v>2.5366638365608387</v>
      </c>
    </row>
    <row r="120" spans="1:7" x14ac:dyDescent="0.25">
      <c r="A120" s="2" t="s">
        <v>87</v>
      </c>
      <c r="B120" s="1">
        <v>1.55E-2</v>
      </c>
      <c r="C120" s="1">
        <v>8.2000000000000003E-2</v>
      </c>
      <c r="D120" s="4">
        <v>41.51</v>
      </c>
      <c r="E120" s="4">
        <f t="shared" si="12"/>
        <v>12.253752</v>
      </c>
      <c r="F120" s="4">
        <f t="shared" si="10"/>
        <v>-4.1669152550569359</v>
      </c>
      <c r="G120" s="4">
        <f t="shared" si="11"/>
        <v>2.505832175809128</v>
      </c>
    </row>
    <row r="121" spans="1:7" x14ac:dyDescent="0.25">
      <c r="A121" s="2" t="s">
        <v>86</v>
      </c>
      <c r="B121" s="1">
        <v>1.37E-2</v>
      </c>
      <c r="C121" s="1">
        <v>7.8600000000000003E-2</v>
      </c>
      <c r="D121" s="4">
        <v>39.14</v>
      </c>
      <c r="E121" s="4">
        <f t="shared" si="12"/>
        <v>11.075054400000001</v>
      </c>
      <c r="F121" s="4">
        <f t="shared" si="10"/>
        <v>-4.2903594461480576</v>
      </c>
      <c r="G121" s="4">
        <f t="shared" si="11"/>
        <v>2.4046952278830185</v>
      </c>
    </row>
    <row r="122" spans="1:7" x14ac:dyDescent="0.25">
      <c r="A122" s="2" t="s">
        <v>85</v>
      </c>
      <c r="B122" s="1">
        <v>1.23E-2</v>
      </c>
      <c r="C122" s="1">
        <v>7.5899999999999995E-2</v>
      </c>
      <c r="D122" s="4">
        <v>38.79</v>
      </c>
      <c r="E122" s="4">
        <f t="shared" si="12"/>
        <v>10.5989796</v>
      </c>
      <c r="F122" s="4">
        <f t="shared" si="10"/>
        <v>-4.3981560166037657</v>
      </c>
      <c r="G122" s="4">
        <f t="shared" si="11"/>
        <v>2.3607577323333873</v>
      </c>
    </row>
    <row r="123" spans="1:7" x14ac:dyDescent="0.25">
      <c r="A123" s="2" t="s">
        <v>84</v>
      </c>
      <c r="B123" s="1">
        <v>8.8999999999999999E-3</v>
      </c>
      <c r="C123" s="1">
        <v>6.8099999999999994E-2</v>
      </c>
      <c r="D123" s="4">
        <v>39.26</v>
      </c>
      <c r="E123" s="4">
        <f t="shared" si="12"/>
        <v>9.6249815999999981</v>
      </c>
      <c r="F123" s="4">
        <f t="shared" si="10"/>
        <v>-4.7217040022440431</v>
      </c>
      <c r="G123" s="4">
        <f t="shared" si="11"/>
        <v>2.2643619684837089</v>
      </c>
    </row>
    <row r="124" spans="1:7" x14ac:dyDescent="0.25">
      <c r="A124" s="2" t="s">
        <v>83</v>
      </c>
      <c r="B124" s="1">
        <v>4.5999999999999996</v>
      </c>
      <c r="C124" s="1">
        <v>0.54900000000000004</v>
      </c>
      <c r="D124" s="4">
        <v>31.49</v>
      </c>
      <c r="E124" s="4">
        <f t="shared" si="12"/>
        <v>62.236836000000004</v>
      </c>
      <c r="F124" s="4">
        <f t="shared" si="10"/>
        <v>1.5260563034950492</v>
      </c>
      <c r="G124" s="4">
        <f t="shared" si="11"/>
        <v>4.1309470431023909</v>
      </c>
    </row>
    <row r="125" spans="1:7" x14ac:dyDescent="0.25">
      <c r="A125" s="2" t="s">
        <v>82</v>
      </c>
      <c r="B125" s="1">
        <v>4.4000000000000004</v>
      </c>
      <c r="C125" s="1">
        <v>0.54100000000000004</v>
      </c>
      <c r="D125" s="4">
        <v>35.96</v>
      </c>
      <c r="E125" s="4">
        <f t="shared" si="12"/>
        <v>70.035696000000002</v>
      </c>
      <c r="F125" s="4">
        <f t="shared" si="10"/>
        <v>1.4816045409242156</v>
      </c>
      <c r="G125" s="4">
        <f t="shared" si="11"/>
        <v>4.2490050549298282</v>
      </c>
    </row>
    <row r="126" spans="1:7" x14ac:dyDescent="0.25">
      <c r="A126" s="2" t="s">
        <v>81</v>
      </c>
      <c r="B126" s="1">
        <v>4</v>
      </c>
      <c r="C126" s="1">
        <v>0.52400000000000002</v>
      </c>
      <c r="D126" s="4">
        <v>37.119999999999997</v>
      </c>
      <c r="E126" s="4">
        <f t="shared" si="12"/>
        <v>70.023167999999998</v>
      </c>
      <c r="F126" s="4">
        <f t="shared" si="10"/>
        <v>1.3862943611198906</v>
      </c>
      <c r="G126" s="4">
        <f t="shared" si="11"/>
        <v>4.2488261587189688</v>
      </c>
    </row>
    <row r="127" spans="1:7" x14ac:dyDescent="0.25">
      <c r="A127" s="2" t="s">
        <v>80</v>
      </c>
      <c r="B127" s="1">
        <v>3.5</v>
      </c>
      <c r="C127" s="1">
        <v>0.501</v>
      </c>
      <c r="D127" s="4">
        <v>30.19</v>
      </c>
      <c r="E127" s="4">
        <f t="shared" si="12"/>
        <v>54.450684000000003</v>
      </c>
      <c r="F127" s="4">
        <f t="shared" si="10"/>
        <v>1.2527629684953681</v>
      </c>
      <c r="G127" s="4">
        <f t="shared" si="11"/>
        <v>3.9972954112835395</v>
      </c>
    </row>
    <row r="128" spans="1:7" x14ac:dyDescent="0.25">
      <c r="A128" s="2" t="s">
        <v>79</v>
      </c>
      <c r="B128" s="1">
        <v>2</v>
      </c>
      <c r="C128" s="1">
        <v>0.41499999999999998</v>
      </c>
      <c r="D128" s="4">
        <v>41.59</v>
      </c>
      <c r="E128" s="4">
        <f t="shared" si="12"/>
        <v>62.135460000000002</v>
      </c>
      <c r="F128" s="4">
        <f t="shared" si="10"/>
        <v>0.69314718055994529</v>
      </c>
      <c r="G128" s="4">
        <f t="shared" si="11"/>
        <v>4.1293168404654459</v>
      </c>
    </row>
    <row r="129" spans="1:7" x14ac:dyDescent="0.25">
      <c r="A129" s="2" t="s">
        <v>78</v>
      </c>
      <c r="B129" s="1">
        <v>1.9</v>
      </c>
      <c r="C129" s="1">
        <v>0.4</v>
      </c>
      <c r="D129" s="4">
        <v>37.799999999999997</v>
      </c>
      <c r="E129" s="4">
        <f t="shared" si="12"/>
        <v>54.431999999999995</v>
      </c>
      <c r="F129" s="4">
        <f t="shared" si="10"/>
        <v>0.64185388617239469</v>
      </c>
      <c r="G129" s="4">
        <f t="shared" si="11"/>
        <v>3.996952216213451</v>
      </c>
    </row>
    <row r="130" spans="1:7" x14ac:dyDescent="0.25">
      <c r="A130" s="2" t="s">
        <v>77</v>
      </c>
      <c r="B130" s="1">
        <v>1.5</v>
      </c>
      <c r="C130" s="1">
        <v>0.377</v>
      </c>
      <c r="D130" s="4">
        <v>35.770000000000003</v>
      </c>
      <c r="E130" s="4">
        <f t="shared" si="12"/>
        <v>48.547044000000007</v>
      </c>
      <c r="F130" s="4">
        <f t="shared" si="10"/>
        <v>0.40546510810816438</v>
      </c>
      <c r="G130" s="4">
        <f t="shared" si="11"/>
        <v>3.8825333071988646</v>
      </c>
    </row>
    <row r="131" spans="1:7" x14ac:dyDescent="0.25">
      <c r="A131" s="2" t="s">
        <v>76</v>
      </c>
      <c r="B131" s="1">
        <v>1.5</v>
      </c>
      <c r="C131" s="1">
        <v>0.34300000000000003</v>
      </c>
      <c r="D131" s="4">
        <v>31.49</v>
      </c>
      <c r="E131" s="4">
        <f t="shared" si="12"/>
        <v>38.883852000000005</v>
      </c>
      <c r="F131" s="4">
        <f t="shared" ref="F131:F165" si="13">LN(B131)</f>
        <v>0.40546510810816438</v>
      </c>
      <c r="G131" s="4">
        <f t="shared" ref="G131:G165" si="14">LN(E131)</f>
        <v>3.6605790487588004</v>
      </c>
    </row>
    <row r="132" spans="1:7" x14ac:dyDescent="0.25">
      <c r="A132" s="2" t="s">
        <v>75</v>
      </c>
      <c r="B132" s="1">
        <v>50</v>
      </c>
      <c r="C132" s="1">
        <v>1.22</v>
      </c>
      <c r="D132" s="4">
        <v>14.42</v>
      </c>
      <c r="E132" s="4">
        <f t="shared" si="12"/>
        <v>63.332639999999991</v>
      </c>
      <c r="F132" s="4">
        <f t="shared" si="13"/>
        <v>3.912023005428146</v>
      </c>
      <c r="G132" s="4">
        <f t="shared" si="14"/>
        <v>4.1484008360640328</v>
      </c>
    </row>
    <row r="133" spans="1:7" x14ac:dyDescent="0.25">
      <c r="A133" s="2" t="s">
        <v>74</v>
      </c>
      <c r="B133" s="1">
        <v>4</v>
      </c>
      <c r="C133" s="1">
        <v>0.47699999999999998</v>
      </c>
      <c r="D133" s="4">
        <v>22.64</v>
      </c>
      <c r="E133" s="4">
        <f t="shared" si="12"/>
        <v>38.877408000000003</v>
      </c>
      <c r="F133" s="4">
        <f t="shared" si="13"/>
        <v>1.3862943611198906</v>
      </c>
      <c r="G133" s="4">
        <f t="shared" si="14"/>
        <v>3.6604133107032508</v>
      </c>
    </row>
    <row r="134" spans="1:7" x14ac:dyDescent="0.25">
      <c r="A134" s="2" t="s">
        <v>73</v>
      </c>
      <c r="B134" s="1">
        <v>1.1000000000000001</v>
      </c>
      <c r="C134" s="1">
        <v>0.36499999999999999</v>
      </c>
      <c r="D134" s="4">
        <v>18.350000000000001</v>
      </c>
      <c r="E134" s="4">
        <f t="shared" si="12"/>
        <v>24.111900000000002</v>
      </c>
      <c r="F134" s="4">
        <f t="shared" si="13"/>
        <v>9.5310179804324935E-2</v>
      </c>
      <c r="G134" s="4">
        <f t="shared" si="14"/>
        <v>3.182705494562998</v>
      </c>
    </row>
    <row r="135" spans="1:7" x14ac:dyDescent="0.25">
      <c r="A135" s="2" t="s">
        <v>72</v>
      </c>
      <c r="B135" s="1">
        <v>0.998</v>
      </c>
      <c r="C135" s="1">
        <v>0.32900000000000001</v>
      </c>
      <c r="D135" s="4">
        <v>17.559999999999999</v>
      </c>
      <c r="E135" s="4">
        <f t="shared" si="12"/>
        <v>20.798064</v>
      </c>
      <c r="F135" s="4">
        <f t="shared" si="13"/>
        <v>-2.0020026706730793E-3</v>
      </c>
      <c r="G135" s="4">
        <f t="shared" si="14"/>
        <v>3.0348599054522696</v>
      </c>
    </row>
    <row r="136" spans="1:7" x14ac:dyDescent="0.25">
      <c r="A136" s="2" t="s">
        <v>71</v>
      </c>
      <c r="B136" s="1">
        <v>0.71799999999999997</v>
      </c>
      <c r="C136" s="1">
        <v>0.32</v>
      </c>
      <c r="D136" s="4">
        <v>12.07</v>
      </c>
      <c r="E136" s="4">
        <f t="shared" si="12"/>
        <v>13.904640000000001</v>
      </c>
      <c r="F136" s="4">
        <f t="shared" si="13"/>
        <v>-0.33128570993391293</v>
      </c>
      <c r="G136" s="4">
        <f t="shared" si="14"/>
        <v>2.6322225973831395</v>
      </c>
    </row>
    <row r="137" spans="1:7" x14ac:dyDescent="0.25">
      <c r="A137" s="2" t="s">
        <v>70</v>
      </c>
      <c r="B137" s="1">
        <v>0.12</v>
      </c>
      <c r="C137" s="1">
        <v>0.22500000000000001</v>
      </c>
      <c r="D137" s="4">
        <v>31.68</v>
      </c>
      <c r="E137" s="4">
        <f t="shared" si="12"/>
        <v>25.660800000000002</v>
      </c>
      <c r="F137" s="4">
        <f t="shared" si="13"/>
        <v>-2.120263536200091</v>
      </c>
      <c r="G137" s="4">
        <f t="shared" si="14"/>
        <v>3.2449645356305727</v>
      </c>
    </row>
    <row r="138" spans="1:7" x14ac:dyDescent="0.25">
      <c r="A138" s="2" t="s">
        <v>69</v>
      </c>
      <c r="B138" s="1">
        <v>7.4499999999999997E-2</v>
      </c>
      <c r="C138" s="1">
        <v>0.159</v>
      </c>
      <c r="D138" s="4">
        <v>19.86</v>
      </c>
      <c r="E138" s="4">
        <f t="shared" si="12"/>
        <v>11.367864000000001</v>
      </c>
      <c r="F138" s="4">
        <f t="shared" si="13"/>
        <v>-2.5969561535966235</v>
      </c>
      <c r="G138" s="4">
        <f t="shared" si="14"/>
        <v>2.4307904273171852</v>
      </c>
    </row>
    <row r="139" spans="1:7" x14ac:dyDescent="0.25">
      <c r="A139" s="2" t="s">
        <v>68</v>
      </c>
      <c r="B139" s="1">
        <v>5.1999999999999998E-2</v>
      </c>
      <c r="C139" s="1">
        <v>0.155</v>
      </c>
      <c r="D139" s="4">
        <v>29.03</v>
      </c>
      <c r="E139" s="4">
        <f t="shared" si="12"/>
        <v>16.198740000000001</v>
      </c>
      <c r="F139" s="4">
        <f t="shared" si="13"/>
        <v>-2.9565115604007097</v>
      </c>
      <c r="G139" s="4">
        <f t="shared" si="14"/>
        <v>2.7849334614357124</v>
      </c>
    </row>
    <row r="140" spans="1:7" x14ac:dyDescent="0.25">
      <c r="A140" s="2" t="s">
        <v>67</v>
      </c>
      <c r="B140" s="1">
        <v>3.15E-2</v>
      </c>
      <c r="C140" s="1">
        <v>0.123</v>
      </c>
      <c r="D140" s="4">
        <v>39.26</v>
      </c>
      <c r="E140" s="4">
        <f t="shared" si="12"/>
        <v>17.384328</v>
      </c>
      <c r="F140" s="4">
        <f t="shared" si="13"/>
        <v>-3.4577677331505496</v>
      </c>
      <c r="G140" s="4">
        <f t="shared" si="14"/>
        <v>2.8555691107006598</v>
      </c>
    </row>
    <row r="141" spans="1:7" x14ac:dyDescent="0.25">
      <c r="A141" s="2" t="s">
        <v>66</v>
      </c>
      <c r="B141" s="1">
        <v>2.5000000000000001E-2</v>
      </c>
      <c r="C141" s="1">
        <v>0.104</v>
      </c>
      <c r="D141" s="4">
        <v>38.76</v>
      </c>
      <c r="E141" s="4">
        <f t="shared" si="12"/>
        <v>14.511744</v>
      </c>
      <c r="F141" s="4">
        <f t="shared" si="13"/>
        <v>-3.6888794541139363</v>
      </c>
      <c r="G141" s="4">
        <f t="shared" si="14"/>
        <v>2.6749582526438656</v>
      </c>
    </row>
    <row r="142" spans="1:7" x14ac:dyDescent="0.25">
      <c r="A142" s="2" t="s">
        <v>65</v>
      </c>
      <c r="B142" s="1">
        <v>0.02</v>
      </c>
      <c r="C142" s="1">
        <v>9.6100000000000005E-2</v>
      </c>
      <c r="D142" s="4">
        <v>40.54</v>
      </c>
      <c r="E142" s="4">
        <f t="shared" si="12"/>
        <v>14.025218400000002</v>
      </c>
      <c r="F142" s="4">
        <f t="shared" si="13"/>
        <v>-3.912023005428146</v>
      </c>
      <c r="G142" s="4">
        <f t="shared" si="14"/>
        <v>2.6408570234800282</v>
      </c>
    </row>
    <row r="143" spans="1:7" x14ac:dyDescent="0.25">
      <c r="A143" s="2" t="s">
        <v>64</v>
      </c>
      <c r="B143" s="1">
        <v>1.7000000000000001E-2</v>
      </c>
      <c r="C143" s="1">
        <v>8.9200000000000002E-2</v>
      </c>
      <c r="D143" s="4">
        <v>34.82</v>
      </c>
      <c r="E143" s="4">
        <f t="shared" si="12"/>
        <v>11.181398400000001</v>
      </c>
      <c r="F143" s="4">
        <f t="shared" si="13"/>
        <v>-4.0745419349259206</v>
      </c>
      <c r="G143" s="4">
        <f t="shared" si="14"/>
        <v>2.4142515404059339</v>
      </c>
    </row>
    <row r="144" spans="1:7" x14ac:dyDescent="0.25">
      <c r="A144" s="2" t="s">
        <v>63</v>
      </c>
      <c r="B144" s="1">
        <v>1.4999999999999999E-2</v>
      </c>
      <c r="C144" s="1">
        <v>8.4500000000000006E-2</v>
      </c>
      <c r="D144" s="4">
        <v>15.92</v>
      </c>
      <c r="E144" s="4">
        <f t="shared" si="12"/>
        <v>4.8428640000000005</v>
      </c>
      <c r="F144" s="4">
        <f t="shared" si="13"/>
        <v>-4.1997050778799272</v>
      </c>
      <c r="G144" s="4">
        <f t="shared" si="14"/>
        <v>1.5775062812592926</v>
      </c>
    </row>
    <row r="145" spans="1:7" x14ac:dyDescent="0.25">
      <c r="A145" s="2" t="s">
        <v>62</v>
      </c>
      <c r="B145" s="1">
        <v>0.48</v>
      </c>
      <c r="C145" s="1">
        <v>9.5000000000000001E-2</v>
      </c>
      <c r="D145" s="4">
        <v>39.6</v>
      </c>
      <c r="E145" s="4">
        <f t="shared" si="12"/>
        <v>13.543200000000001</v>
      </c>
      <c r="F145" s="4">
        <f t="shared" si="13"/>
        <v>-0.73396917508020043</v>
      </c>
      <c r="G145" s="4">
        <f t="shared" si="14"/>
        <v>2.6058845763409031</v>
      </c>
    </row>
    <row r="146" spans="1:7" x14ac:dyDescent="0.25">
      <c r="A146" s="2" t="s">
        <v>61</v>
      </c>
      <c r="B146" s="1">
        <v>7206.7</v>
      </c>
      <c r="C146" s="1">
        <v>11.9</v>
      </c>
      <c r="D146" s="1" t="s">
        <v>225</v>
      </c>
      <c r="E146" s="4">
        <f>5*3.6</f>
        <v>18</v>
      </c>
      <c r="F146" s="4">
        <f t="shared" si="13"/>
        <v>8.8827664278612932</v>
      </c>
      <c r="G146" s="4">
        <f t="shared" si="14"/>
        <v>2.8903717578961645</v>
      </c>
    </row>
    <row r="147" spans="1:7" x14ac:dyDescent="0.25">
      <c r="A147" s="2" t="s">
        <v>60</v>
      </c>
      <c r="B147" s="1">
        <v>1400</v>
      </c>
      <c r="C147" s="1" t="s">
        <v>225</v>
      </c>
      <c r="D147" s="1" t="s">
        <v>225</v>
      </c>
      <c r="E147" s="4">
        <f>9.4*3.6</f>
        <v>33.840000000000003</v>
      </c>
      <c r="F147" s="4">
        <f t="shared" si="13"/>
        <v>7.2442275156033498</v>
      </c>
      <c r="G147" s="4">
        <f t="shared" si="14"/>
        <v>3.5216435347380228</v>
      </c>
    </row>
    <row r="148" spans="1:7" x14ac:dyDescent="0.25">
      <c r="A148" s="2" t="s">
        <v>59</v>
      </c>
      <c r="B148" s="1">
        <v>13.1</v>
      </c>
      <c r="C148" s="1" t="s">
        <v>225</v>
      </c>
      <c r="D148" s="1" t="s">
        <v>225</v>
      </c>
      <c r="E148" s="4">
        <f>6.65*3.6</f>
        <v>23.94</v>
      </c>
      <c r="F148" s="4">
        <f t="shared" si="13"/>
        <v>2.5726122302071057</v>
      </c>
      <c r="G148" s="4">
        <f t="shared" si="14"/>
        <v>3.1755507001298273</v>
      </c>
    </row>
    <row r="149" spans="1:7" x14ac:dyDescent="0.25">
      <c r="A149" s="2" t="s">
        <v>0</v>
      </c>
      <c r="B149" s="1">
        <v>100</v>
      </c>
      <c r="C149" s="1">
        <v>1.181</v>
      </c>
      <c r="D149" s="1" t="s">
        <v>225</v>
      </c>
      <c r="E149" s="4">
        <f>11.3*3.6*1.18</f>
        <v>48.002400000000009</v>
      </c>
      <c r="F149" s="4">
        <f t="shared" si="13"/>
        <v>4.6051701859880918</v>
      </c>
      <c r="G149" s="4">
        <f t="shared" si="14"/>
        <v>3.8712510096579327</v>
      </c>
    </row>
    <row r="150" spans="1:7" x14ac:dyDescent="0.25">
      <c r="A150" s="2" t="s">
        <v>54</v>
      </c>
      <c r="B150" s="1">
        <v>0.54500000000000004</v>
      </c>
      <c r="C150" s="1" t="s">
        <v>225</v>
      </c>
      <c r="D150" s="1" t="s">
        <v>225</v>
      </c>
      <c r="E150" s="4">
        <f>3.4*3.6</f>
        <v>12.24</v>
      </c>
      <c r="F150" s="4">
        <f t="shared" si="13"/>
        <v>-0.60696948431889286</v>
      </c>
      <c r="G150" s="4">
        <f t="shared" si="14"/>
        <v>2.5047092770841801</v>
      </c>
    </row>
    <row r="151" spans="1:7" x14ac:dyDescent="0.25">
      <c r="A151" s="5" t="s">
        <v>58</v>
      </c>
      <c r="B151" s="1">
        <v>0.05</v>
      </c>
      <c r="C151" s="1">
        <v>8.3000000000000004E-2</v>
      </c>
      <c r="D151" s="1" t="s">
        <v>225</v>
      </c>
      <c r="E151" s="4">
        <f>1.73*3.6</f>
        <v>6.2279999999999998</v>
      </c>
      <c r="F151" s="4">
        <f t="shared" si="13"/>
        <v>-2.9957322735539909</v>
      </c>
      <c r="G151" s="4">
        <f t="shared" si="14"/>
        <v>1.8290552539717519</v>
      </c>
    </row>
    <row r="152" spans="1:7" x14ac:dyDescent="0.25">
      <c r="A152" s="5" t="s">
        <v>57</v>
      </c>
      <c r="B152" s="1">
        <v>0.156</v>
      </c>
      <c r="C152" s="1">
        <v>0.13200000000000001</v>
      </c>
      <c r="D152" s="1" t="s">
        <v>225</v>
      </c>
      <c r="E152" s="4">
        <f>2.934*3.6</f>
        <v>10.5624</v>
      </c>
      <c r="F152" s="4">
        <f t="shared" si="13"/>
        <v>-1.8578992717325999</v>
      </c>
      <c r="G152" s="4">
        <f t="shared" si="14"/>
        <v>2.3573005251828545</v>
      </c>
    </row>
    <row r="153" spans="1:7" x14ac:dyDescent="0.25">
      <c r="A153" s="5" t="s">
        <v>56</v>
      </c>
      <c r="B153" s="1">
        <v>0.251</v>
      </c>
      <c r="C153" s="1">
        <v>0.14199999999999999</v>
      </c>
      <c r="D153" s="1" t="s">
        <v>225</v>
      </c>
      <c r="E153" s="4">
        <f>1.215*3.6</f>
        <v>4.3740000000000006</v>
      </c>
      <c r="F153" s="4">
        <f t="shared" si="13"/>
        <v>-1.3823023398503531</v>
      </c>
      <c r="G153" s="4">
        <f t="shared" si="14"/>
        <v>1.4756779222545762</v>
      </c>
    </row>
    <row r="154" spans="1:7" x14ac:dyDescent="0.25">
      <c r="A154" s="5" t="s">
        <v>55</v>
      </c>
      <c r="B154" s="1">
        <v>0.59</v>
      </c>
      <c r="C154" s="1">
        <v>0.27800000000000002</v>
      </c>
      <c r="D154" s="1" t="s">
        <v>225</v>
      </c>
      <c r="E154" s="4">
        <f>4.331*3.6</f>
        <v>15.591600000000001</v>
      </c>
      <c r="F154" s="4">
        <f t="shared" si="13"/>
        <v>-0.52763274208237199</v>
      </c>
      <c r="G154" s="4">
        <f t="shared" si="14"/>
        <v>2.746732307694554</v>
      </c>
    </row>
    <row r="155" spans="1:7" x14ac:dyDescent="0.25">
      <c r="A155" s="5" t="s">
        <v>54</v>
      </c>
      <c r="B155" s="1">
        <v>0.79</v>
      </c>
      <c r="C155" s="1" t="s">
        <v>225</v>
      </c>
      <c r="D155" s="1" t="s">
        <v>225</v>
      </c>
      <c r="E155" s="4">
        <f>2.778*3.6</f>
        <v>10.0008</v>
      </c>
      <c r="F155" s="4">
        <f t="shared" si="13"/>
        <v>-0.23572233352106983</v>
      </c>
      <c r="G155" s="4">
        <f t="shared" si="14"/>
        <v>2.3026650897942162</v>
      </c>
    </row>
    <row r="156" spans="1:7" x14ac:dyDescent="0.25">
      <c r="A156" s="5" t="s">
        <v>53</v>
      </c>
      <c r="B156" s="1">
        <v>1.35</v>
      </c>
      <c r="C156" s="1">
        <v>0.25600000000000001</v>
      </c>
      <c r="D156" s="1" t="s">
        <v>225</v>
      </c>
      <c r="E156" s="4">
        <f>4.884*3.6</f>
        <v>17.582400000000003</v>
      </c>
      <c r="F156" s="4">
        <f t="shared" si="13"/>
        <v>0.30010459245033816</v>
      </c>
      <c r="G156" s="4">
        <f t="shared" si="14"/>
        <v>2.8668984017105226</v>
      </c>
    </row>
    <row r="157" spans="1:7" x14ac:dyDescent="0.25">
      <c r="A157" s="5" t="s">
        <v>52</v>
      </c>
      <c r="B157" s="1">
        <v>1.53</v>
      </c>
      <c r="C157" s="1">
        <v>0.311</v>
      </c>
      <c r="D157" s="1" t="s">
        <v>225</v>
      </c>
      <c r="E157" s="4">
        <f>4.698*3.6</f>
        <v>16.912800000000001</v>
      </c>
      <c r="F157" s="4">
        <f t="shared" si="13"/>
        <v>0.42526773540434409</v>
      </c>
      <c r="G157" s="4">
        <f t="shared" si="14"/>
        <v>2.8280707316987854</v>
      </c>
    </row>
    <row r="158" spans="1:7" x14ac:dyDescent="0.25">
      <c r="A158" s="5" t="s">
        <v>51</v>
      </c>
      <c r="B158" s="1">
        <v>1.58</v>
      </c>
      <c r="C158" s="1">
        <v>0.35299999999999998</v>
      </c>
      <c r="D158" s="1" t="s">
        <v>225</v>
      </c>
      <c r="E158" s="4">
        <f>2.075*3.6</f>
        <v>7.4700000000000006</v>
      </c>
      <c r="F158" s="4">
        <f t="shared" si="13"/>
        <v>0.45742484703887548</v>
      </c>
      <c r="G158" s="4">
        <f t="shared" si="14"/>
        <v>2.010894999144726</v>
      </c>
    </row>
    <row r="159" spans="1:7" x14ac:dyDescent="0.25">
      <c r="A159" s="5" t="s">
        <v>3</v>
      </c>
      <c r="B159" s="1">
        <v>2.29</v>
      </c>
      <c r="C159" s="1">
        <v>0.33200000000000002</v>
      </c>
      <c r="D159" s="1" t="s">
        <v>225</v>
      </c>
      <c r="E159" s="4">
        <f>3.007*3.6</f>
        <v>10.825200000000001</v>
      </c>
      <c r="F159" s="4">
        <f t="shared" si="13"/>
        <v>0.82855181756614826</v>
      </c>
      <c r="G159" s="4">
        <f t="shared" si="14"/>
        <v>2.3818767494684563</v>
      </c>
    </row>
    <row r="160" spans="1:7" x14ac:dyDescent="0.25">
      <c r="A160" s="5" t="s">
        <v>2</v>
      </c>
      <c r="B160" s="1">
        <v>2.64</v>
      </c>
      <c r="C160" s="1">
        <v>0.37</v>
      </c>
      <c r="D160" s="1" t="s">
        <v>225</v>
      </c>
      <c r="E160" s="4">
        <f>3.507*3.6</f>
        <v>12.625200000000001</v>
      </c>
      <c r="F160" s="4">
        <f t="shared" si="13"/>
        <v>0.97077891715822484</v>
      </c>
      <c r="G160" s="4">
        <f t="shared" si="14"/>
        <v>2.5356948166201057</v>
      </c>
    </row>
    <row r="161" spans="1:7" x14ac:dyDescent="0.25">
      <c r="A161" s="5" t="s">
        <v>1</v>
      </c>
      <c r="B161" s="1">
        <v>50</v>
      </c>
      <c r="C161" s="1" t="s">
        <v>225</v>
      </c>
      <c r="D161" s="1" t="s">
        <v>225</v>
      </c>
      <c r="E161" s="4">
        <f>12*3.6</f>
        <v>43.2</v>
      </c>
      <c r="F161" s="4">
        <f t="shared" si="13"/>
        <v>3.912023005428146</v>
      </c>
      <c r="G161" s="4">
        <f t="shared" si="14"/>
        <v>3.7658404952500648</v>
      </c>
    </row>
    <row r="162" spans="1:7" x14ac:dyDescent="0.25">
      <c r="A162" s="5" t="s">
        <v>27</v>
      </c>
      <c r="B162" s="1">
        <v>97.4</v>
      </c>
      <c r="C162" s="1">
        <v>1.18</v>
      </c>
      <c r="D162" s="1" t="s">
        <v>225</v>
      </c>
      <c r="E162" s="4">
        <f>4*3.6</f>
        <v>14.4</v>
      </c>
      <c r="F162" s="4">
        <f t="shared" si="13"/>
        <v>4.5788262106484892</v>
      </c>
      <c r="G162" s="4">
        <f t="shared" si="14"/>
        <v>2.6672282065819548</v>
      </c>
    </row>
    <row r="163" spans="1:7" x14ac:dyDescent="0.25">
      <c r="A163" s="2" t="s">
        <v>27</v>
      </c>
      <c r="B163" s="1">
        <v>70</v>
      </c>
      <c r="C163" s="1">
        <v>1.36</v>
      </c>
      <c r="D163" s="4">
        <v>7.93</v>
      </c>
      <c r="E163" s="4">
        <f>C163*D163*3.6</f>
        <v>38.825280000000006</v>
      </c>
      <c r="F163" s="4">
        <f t="shared" si="13"/>
        <v>4.2484952420493594</v>
      </c>
      <c r="G163" s="4">
        <f t="shared" si="14"/>
        <v>3.6590715808567817</v>
      </c>
    </row>
    <row r="164" spans="1:7" x14ac:dyDescent="0.25">
      <c r="A164" s="5" t="s">
        <v>25</v>
      </c>
      <c r="B164" s="1">
        <v>18.5</v>
      </c>
      <c r="C164" s="1" t="s">
        <v>225</v>
      </c>
      <c r="D164" s="1" t="s">
        <v>225</v>
      </c>
      <c r="E164" s="4">
        <f>5.83*3.6*(23.3/11)</f>
        <v>44.456400000000002</v>
      </c>
      <c r="F164" s="4">
        <f t="shared" si="13"/>
        <v>2.917770732084279</v>
      </c>
      <c r="G164" s="4">
        <f t="shared" si="14"/>
        <v>3.7945089335977498</v>
      </c>
    </row>
    <row r="165" spans="1:7" x14ac:dyDescent="0.25">
      <c r="A165" s="5" t="s">
        <v>35</v>
      </c>
      <c r="B165" s="1">
        <v>500</v>
      </c>
      <c r="C165" s="1" t="s">
        <v>225</v>
      </c>
      <c r="D165" s="1" t="s">
        <v>225</v>
      </c>
      <c r="E165" s="4">
        <f>5.4*3.6*(23.3/11)</f>
        <v>41.177454545454545</v>
      </c>
      <c r="F165" s="4">
        <f t="shared" si="13"/>
        <v>6.2146080984221914</v>
      </c>
      <c r="G165" s="4">
        <f t="shared" si="14"/>
        <v>3.7178908868055776</v>
      </c>
    </row>
  </sheetData>
  <mergeCells count="1">
    <mergeCell ref="A1:F1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Bite force</vt:lpstr>
      <vt:lpstr>TeethAdjusters</vt:lpstr>
      <vt:lpstr>BiteAdjusters</vt:lpstr>
      <vt:lpstr>Teeth</vt:lpstr>
      <vt:lpstr>Sharpness</vt:lpstr>
      <vt:lpstr>Limb force</vt:lpstr>
      <vt:lpstr>Force-energy</vt:lpstr>
      <vt:lpstr>Speed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2025-06-19T07:53:23Z</dcterms:created>
  <dcterms:modified xsi:type="dcterms:W3CDTF">2026-07-03T09:02:06Z</dcterms:modified>
</cp:coreProperties>
</file>