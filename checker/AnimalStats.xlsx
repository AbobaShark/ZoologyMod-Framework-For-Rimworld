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"/>
    </mc:Choice>
  </mc:AlternateContent>
  <xr:revisionPtr revIDLastSave="0" documentId="13_ncr:1_{5F3B92B4-0FC8-4D57-96DB-F4DA6FD9CD95}" xr6:coauthVersionLast="47" xr6:coauthVersionMax="47" xr10:uidLastSave="{00000000-0000-0000-0000-000000000000}"/>
  <bookViews>
    <workbookView xWindow="-120" yWindow="-120" windowWidth="29040" windowHeight="15720" tabRatio="823" activeTab="2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Animals!$A$1:$BP$68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3" i="3" l="1"/>
  <c r="C132" i="3"/>
  <c r="E164" i="3"/>
  <c r="H2" i="1"/>
  <c r="H3" i="1"/>
  <c r="H4" i="1"/>
  <c r="H12" i="1"/>
  <c r="H13" i="1"/>
  <c r="H17" i="1"/>
  <c r="H18" i="1"/>
  <c r="H21" i="1"/>
  <c r="H22" i="1"/>
  <c r="H23" i="1"/>
  <c r="H24" i="1"/>
  <c r="H26" i="1"/>
  <c r="H27" i="1"/>
  <c r="H28" i="1"/>
  <c r="H33" i="1"/>
  <c r="H38" i="1"/>
  <c r="H42" i="1"/>
  <c r="H43" i="1"/>
  <c r="H45" i="1"/>
  <c r="H46" i="1"/>
  <c r="H47" i="1"/>
  <c r="H48" i="1"/>
  <c r="H49" i="1"/>
  <c r="H50" i="1"/>
  <c r="H53" i="1"/>
  <c r="H54" i="1"/>
  <c r="H56" i="1"/>
  <c r="H57" i="1"/>
  <c r="H62" i="1"/>
  <c r="H74" i="1"/>
  <c r="H76" i="1"/>
  <c r="H77" i="1"/>
  <c r="H78" i="1"/>
  <c r="H79" i="1"/>
  <c r="H80" i="1"/>
  <c r="H87" i="1"/>
  <c r="H88" i="1"/>
  <c r="H89" i="1"/>
  <c r="H90" i="1"/>
  <c r="H91" i="1"/>
  <c r="H96" i="1"/>
  <c r="H98" i="1"/>
  <c r="H101" i="1"/>
  <c r="H102" i="1"/>
  <c r="H103" i="1"/>
  <c r="H104" i="1"/>
  <c r="H105" i="1"/>
  <c r="H106" i="1"/>
  <c r="I106" i="1"/>
  <c r="H107" i="1"/>
  <c r="H108" i="1"/>
  <c r="H109" i="1"/>
  <c r="H110" i="1"/>
  <c r="H111" i="1"/>
  <c r="H112" i="1"/>
  <c r="H113" i="1"/>
  <c r="H114" i="1"/>
  <c r="H116" i="1"/>
  <c r="H119" i="1"/>
  <c r="H120" i="1"/>
  <c r="H121" i="1"/>
  <c r="H123" i="1"/>
  <c r="H124" i="1"/>
  <c r="H125" i="1"/>
  <c r="H126" i="1"/>
  <c r="H127" i="1"/>
  <c r="H135" i="1"/>
  <c r="H136" i="1"/>
  <c r="H137" i="1"/>
  <c r="I160" i="1"/>
  <c r="H163" i="1"/>
  <c r="H164" i="1"/>
  <c r="I164" i="1"/>
  <c r="H166" i="1"/>
  <c r="V164" i="3"/>
  <c r="U164" i="3"/>
  <c r="E62" i="3"/>
  <c r="E60" i="3"/>
  <c r="E59" i="3"/>
  <c r="E58" i="3"/>
  <c r="E57" i="3"/>
  <c r="E56" i="3"/>
  <c r="E55" i="3"/>
  <c r="S161" i="3"/>
  <c r="S162" i="3"/>
  <c r="T161" i="3" l="1"/>
  <c r="S163" i="3"/>
  <c r="T163" i="3"/>
  <c r="S164" i="3"/>
  <c r="T164" i="3"/>
  <c r="S165" i="3"/>
  <c r="T165" i="3"/>
  <c r="S166" i="3"/>
  <c r="T166" i="3"/>
  <c r="T162" i="3"/>
  <c r="S3" i="3"/>
  <c r="T3" i="3"/>
  <c r="S4" i="3"/>
  <c r="T4" i="3"/>
  <c r="S5" i="3"/>
  <c r="T5" i="3"/>
  <c r="S6" i="3"/>
  <c r="T6" i="3"/>
  <c r="S7" i="3"/>
  <c r="T7" i="3"/>
  <c r="S8" i="3"/>
  <c r="T8" i="3"/>
  <c r="S9" i="3"/>
  <c r="T9" i="3"/>
  <c r="S10" i="3"/>
  <c r="T10" i="3"/>
  <c r="S11" i="3"/>
  <c r="T11" i="3"/>
  <c r="S12" i="3"/>
  <c r="T12" i="3"/>
  <c r="S13" i="3"/>
  <c r="T13" i="3"/>
  <c r="S14" i="3"/>
  <c r="T14" i="3"/>
  <c r="S15" i="3"/>
  <c r="T15" i="3"/>
  <c r="S16" i="3"/>
  <c r="T16" i="3"/>
  <c r="S17" i="3"/>
  <c r="T17" i="3"/>
  <c r="S18" i="3"/>
  <c r="T18" i="3"/>
  <c r="S19" i="3"/>
  <c r="T19" i="3"/>
  <c r="S20" i="3"/>
  <c r="T20" i="3"/>
  <c r="S21" i="3"/>
  <c r="T21" i="3"/>
  <c r="S22" i="3"/>
  <c r="T22" i="3"/>
  <c r="S23" i="3"/>
  <c r="T23" i="3"/>
  <c r="S24" i="3"/>
  <c r="T24" i="3"/>
  <c r="S25" i="3"/>
  <c r="T25" i="3"/>
  <c r="S26" i="3"/>
  <c r="T26" i="3"/>
  <c r="S27" i="3"/>
  <c r="T27" i="3"/>
  <c r="S28" i="3"/>
  <c r="T28" i="3"/>
  <c r="S29" i="3"/>
  <c r="T29" i="3"/>
  <c r="S30" i="3"/>
  <c r="T30" i="3"/>
  <c r="S31" i="3"/>
  <c r="T31" i="3"/>
  <c r="S32" i="3"/>
  <c r="T32" i="3"/>
  <c r="S33" i="3"/>
  <c r="T33" i="3"/>
  <c r="S34" i="3"/>
  <c r="T34" i="3"/>
  <c r="S35" i="3"/>
  <c r="T35" i="3"/>
  <c r="S36" i="3"/>
  <c r="T36" i="3"/>
  <c r="S37" i="3"/>
  <c r="T37" i="3"/>
  <c r="S38" i="3"/>
  <c r="T38" i="3"/>
  <c r="S39" i="3"/>
  <c r="T39" i="3"/>
  <c r="S40" i="3"/>
  <c r="T40" i="3"/>
  <c r="S41" i="3"/>
  <c r="T41" i="3"/>
  <c r="S42" i="3"/>
  <c r="T42" i="3"/>
  <c r="S43" i="3"/>
  <c r="T43" i="3"/>
  <c r="S44" i="3"/>
  <c r="T44" i="3"/>
  <c r="S45" i="3"/>
  <c r="T45" i="3"/>
  <c r="S46" i="3"/>
  <c r="T46" i="3"/>
  <c r="S47" i="3"/>
  <c r="T47" i="3"/>
  <c r="S48" i="3"/>
  <c r="T48" i="3"/>
  <c r="S49" i="3"/>
  <c r="T49" i="3"/>
  <c r="S50" i="3"/>
  <c r="T50" i="3"/>
  <c r="S51" i="3"/>
  <c r="T51" i="3"/>
  <c r="S52" i="3"/>
  <c r="T52" i="3"/>
  <c r="S53" i="3"/>
  <c r="T53" i="3"/>
  <c r="S54" i="3"/>
  <c r="T54" i="3"/>
  <c r="S55" i="3"/>
  <c r="T55" i="3"/>
  <c r="S56" i="3"/>
  <c r="T56" i="3"/>
  <c r="S57" i="3"/>
  <c r="T57" i="3"/>
  <c r="S58" i="3"/>
  <c r="T58" i="3"/>
  <c r="S59" i="3"/>
  <c r="T59" i="3"/>
  <c r="S60" i="3"/>
  <c r="T60" i="3"/>
  <c r="S61" i="3"/>
  <c r="T61" i="3"/>
  <c r="S62" i="3"/>
  <c r="T62" i="3"/>
  <c r="S63" i="3"/>
  <c r="T63" i="3"/>
  <c r="S64" i="3"/>
  <c r="T64" i="3"/>
  <c r="S65" i="3"/>
  <c r="T65" i="3"/>
  <c r="S66" i="3"/>
  <c r="T66" i="3"/>
  <c r="S67" i="3"/>
  <c r="T67" i="3"/>
  <c r="S68" i="3"/>
  <c r="T68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S80" i="3"/>
  <c r="T80" i="3"/>
  <c r="S81" i="3"/>
  <c r="T81" i="3"/>
  <c r="S82" i="3"/>
  <c r="T82" i="3"/>
  <c r="S83" i="3"/>
  <c r="T83" i="3"/>
  <c r="S84" i="3"/>
  <c r="T84" i="3"/>
  <c r="S85" i="3"/>
  <c r="T85" i="3"/>
  <c r="S86" i="3"/>
  <c r="T86" i="3"/>
  <c r="S87" i="3"/>
  <c r="T87" i="3"/>
  <c r="S88" i="3"/>
  <c r="T88" i="3"/>
  <c r="S89" i="3"/>
  <c r="T89" i="3"/>
  <c r="S90" i="3"/>
  <c r="T90" i="3"/>
  <c r="S91" i="3"/>
  <c r="T91" i="3"/>
  <c r="S92" i="3"/>
  <c r="T92" i="3"/>
  <c r="S93" i="3"/>
  <c r="T93" i="3"/>
  <c r="S94" i="3"/>
  <c r="T94" i="3"/>
  <c r="S95" i="3"/>
  <c r="T95" i="3"/>
  <c r="S96" i="3"/>
  <c r="T96" i="3"/>
  <c r="S97" i="3"/>
  <c r="T97" i="3"/>
  <c r="S98" i="3"/>
  <c r="T98" i="3"/>
  <c r="S99" i="3"/>
  <c r="T99" i="3"/>
  <c r="S100" i="3"/>
  <c r="T100" i="3"/>
  <c r="S101" i="3"/>
  <c r="T101" i="3"/>
  <c r="S102" i="3"/>
  <c r="T102" i="3"/>
  <c r="S103" i="3"/>
  <c r="T103" i="3"/>
  <c r="S104" i="3"/>
  <c r="T104" i="3"/>
  <c r="S105" i="3"/>
  <c r="T105" i="3"/>
  <c r="S106" i="3"/>
  <c r="T106" i="3"/>
  <c r="S107" i="3"/>
  <c r="T107" i="3"/>
  <c r="S108" i="3"/>
  <c r="T108" i="3"/>
  <c r="S109" i="3"/>
  <c r="T109" i="3"/>
  <c r="S110" i="3"/>
  <c r="T110" i="3"/>
  <c r="S111" i="3"/>
  <c r="T111" i="3"/>
  <c r="S112" i="3"/>
  <c r="T112" i="3"/>
  <c r="S113" i="3"/>
  <c r="T113" i="3"/>
  <c r="S114" i="3"/>
  <c r="T114" i="3"/>
  <c r="S115" i="3"/>
  <c r="T115" i="3"/>
  <c r="S116" i="3"/>
  <c r="T116" i="3"/>
  <c r="S117" i="3"/>
  <c r="T117" i="3"/>
  <c r="S118" i="3"/>
  <c r="T118" i="3"/>
  <c r="S119" i="3"/>
  <c r="T119" i="3"/>
  <c r="S120" i="3"/>
  <c r="T120" i="3"/>
  <c r="S121" i="3"/>
  <c r="T121" i="3"/>
  <c r="S122" i="3"/>
  <c r="T122" i="3"/>
  <c r="S123" i="3"/>
  <c r="T123" i="3"/>
  <c r="S124" i="3"/>
  <c r="T124" i="3"/>
  <c r="S125" i="3"/>
  <c r="T125" i="3"/>
  <c r="S126" i="3"/>
  <c r="T126" i="3"/>
  <c r="S127" i="3"/>
  <c r="T127" i="3"/>
  <c r="S128" i="3"/>
  <c r="T128" i="3"/>
  <c r="S129" i="3"/>
  <c r="T129" i="3"/>
  <c r="S130" i="3"/>
  <c r="T130" i="3"/>
  <c r="S131" i="3"/>
  <c r="T131" i="3"/>
  <c r="S132" i="3"/>
  <c r="T132" i="3"/>
  <c r="S133" i="3"/>
  <c r="T133" i="3"/>
  <c r="S134" i="3"/>
  <c r="T134" i="3"/>
  <c r="S135" i="3"/>
  <c r="T135" i="3"/>
  <c r="S136" i="3"/>
  <c r="T136" i="3"/>
  <c r="S137" i="3"/>
  <c r="T137" i="3"/>
  <c r="S138" i="3"/>
  <c r="T138" i="3"/>
  <c r="S139" i="3"/>
  <c r="T139" i="3"/>
  <c r="S140" i="3"/>
  <c r="T140" i="3"/>
  <c r="S141" i="3"/>
  <c r="T141" i="3"/>
  <c r="S142" i="3"/>
  <c r="T142" i="3"/>
  <c r="S143" i="3"/>
  <c r="T143" i="3"/>
  <c r="S144" i="3"/>
  <c r="T144" i="3"/>
  <c r="S145" i="3"/>
  <c r="T145" i="3"/>
  <c r="S146" i="3"/>
  <c r="T146" i="3"/>
  <c r="S147" i="3"/>
  <c r="T147" i="3"/>
  <c r="S148" i="3"/>
  <c r="T148" i="3"/>
  <c r="S149" i="3"/>
  <c r="T149" i="3"/>
  <c r="S150" i="3"/>
  <c r="T150" i="3"/>
  <c r="S151" i="3"/>
  <c r="T151" i="3"/>
  <c r="S152" i="3"/>
  <c r="T152" i="3"/>
  <c r="S153" i="3"/>
  <c r="T153" i="3"/>
  <c r="S154" i="3"/>
  <c r="T154" i="3"/>
  <c r="S155" i="3"/>
  <c r="T155" i="3"/>
  <c r="S156" i="3"/>
  <c r="T156" i="3"/>
  <c r="S157" i="3"/>
  <c r="T157" i="3"/>
  <c r="S158" i="3"/>
  <c r="T158" i="3"/>
  <c r="S159" i="3"/>
  <c r="T159" i="3"/>
  <c r="S160" i="3"/>
  <c r="T160" i="3"/>
  <c r="T2" i="3"/>
  <c r="S2" i="3"/>
  <c r="V165" i="3" l="1"/>
  <c r="G166" i="3"/>
  <c r="E24" i="3"/>
  <c r="E23" i="3"/>
  <c r="E166" i="3"/>
  <c r="BM166" i="3" s="1" a="1"/>
  <c r="BM166" i="3" s="1"/>
  <c r="BQ166" i="3" s="1"/>
  <c r="BR166" i="3"/>
  <c r="BN166" i="3"/>
  <c r="BJ166" i="3"/>
  <c r="BF166" i="3"/>
  <c r="BA166" i="3"/>
  <c r="AZ166" i="3"/>
  <c r="AW166" i="3"/>
  <c r="AV166" i="3"/>
  <c r="AO166" i="3"/>
  <c r="BD166" i="3" s="1"/>
  <c r="C166" i="3"/>
  <c r="AX166" i="3" s="1"/>
  <c r="C36" i="9"/>
  <c r="D36" i="9"/>
  <c r="E36" i="9"/>
  <c r="G165" i="3"/>
  <c r="E165" i="3"/>
  <c r="AM165" i="3" s="1"/>
  <c r="BR165" i="3"/>
  <c r="BN165" i="3"/>
  <c r="BJ165" i="3"/>
  <c r="BF165" i="3"/>
  <c r="BA165" i="3"/>
  <c r="AZ165" i="3"/>
  <c r="AX165" i="3"/>
  <c r="AW165" i="3"/>
  <c r="AV165" i="3"/>
  <c r="AO165" i="3"/>
  <c r="BD165" i="3" s="1"/>
  <c r="AL165" i="3"/>
  <c r="L165" i="3"/>
  <c r="H165" i="1" s="1"/>
  <c r="J165" i="3"/>
  <c r="F165" i="3"/>
  <c r="E35" i="9"/>
  <c r="D35" i="9"/>
  <c r="C35" i="9"/>
  <c r="F164" i="3"/>
  <c r="BR164" i="3"/>
  <c r="BN164" i="3"/>
  <c r="BJ164" i="3"/>
  <c r="BF164" i="3"/>
  <c r="BA164" i="3"/>
  <c r="AZ164" i="3"/>
  <c r="AW164" i="3"/>
  <c r="AO164" i="3"/>
  <c r="BD164" i="3" s="1"/>
  <c r="AU164" i="3"/>
  <c r="AV164" i="3"/>
  <c r="J164" i="3"/>
  <c r="AM164" i="3"/>
  <c r="L25" i="3"/>
  <c r="H25" i="1" s="1"/>
  <c r="G25" i="3"/>
  <c r="G163" i="3"/>
  <c r="BR163" i="3"/>
  <c r="BN163" i="3"/>
  <c r="BM163" i="3" a="1"/>
  <c r="BM163" i="3" s="1"/>
  <c r="BJ163" i="3"/>
  <c r="BF163" i="3"/>
  <c r="BC163" i="3"/>
  <c r="BA163" i="3"/>
  <c r="AZ163" i="3"/>
  <c r="AX163" i="3"/>
  <c r="AW163" i="3"/>
  <c r="AV163" i="3"/>
  <c r="AQ163" i="3"/>
  <c r="BG163" i="3" s="1"/>
  <c r="AP163" i="3"/>
  <c r="BE163" i="3" s="1"/>
  <c r="AO163" i="3"/>
  <c r="BD163" i="3" s="1"/>
  <c r="AM163" i="3"/>
  <c r="AN163" i="3" s="1"/>
  <c r="AL163" i="3"/>
  <c r="CH166" i="1"/>
  <c r="CG166" i="1"/>
  <c r="CF166" i="1"/>
  <c r="CE166" i="1"/>
  <c r="CD166" i="1"/>
  <c r="CC166" i="1"/>
  <c r="CA166" i="1"/>
  <c r="BZ166" i="1"/>
  <c r="BW166" i="1"/>
  <c r="BT166" i="1"/>
  <c r="BR166" i="1"/>
  <c r="AV166" i="1" s="1"/>
  <c r="BM166" i="1"/>
  <c r="BH166" i="1"/>
  <c r="BI166" i="1" s="1"/>
  <c r="BG166" i="1"/>
  <c r="BJ166" i="1" s="1"/>
  <c r="BA166" i="1"/>
  <c r="AZ166" i="1"/>
  <c r="AX166" i="1"/>
  <c r="AW166" i="1"/>
  <c r="AU166" i="1"/>
  <c r="AR166" i="1"/>
  <c r="AQ166" i="1"/>
  <c r="AN166" i="1"/>
  <c r="AB166" i="1"/>
  <c r="R166" i="1"/>
  <c r="V166" i="1" s="1"/>
  <c r="O166" i="1"/>
  <c r="N166" i="1"/>
  <c r="M166" i="1"/>
  <c r="BK166" i="1"/>
  <c r="A166" i="1"/>
  <c r="AS166" i="1" s="1"/>
  <c r="AT166" i="1" s="1"/>
  <c r="CH165" i="1"/>
  <c r="CG165" i="1"/>
  <c r="CF165" i="1"/>
  <c r="CE165" i="1"/>
  <c r="CD165" i="1"/>
  <c r="CC165" i="1"/>
  <c r="CA165" i="1"/>
  <c r="BZ165" i="1"/>
  <c r="BW165" i="1"/>
  <c r="BT165" i="1"/>
  <c r="BR165" i="1"/>
  <c r="AV165" i="1" s="1"/>
  <c r="BM165" i="1"/>
  <c r="BH165" i="1"/>
  <c r="BI165" i="1" s="1"/>
  <c r="BG165" i="1"/>
  <c r="BJ165" i="1" s="1"/>
  <c r="BA165" i="1"/>
  <c r="AZ165" i="1"/>
  <c r="AX165" i="1"/>
  <c r="AW165" i="1"/>
  <c r="AU165" i="1"/>
  <c r="AR165" i="1"/>
  <c r="AQ165" i="1"/>
  <c r="AN165" i="1"/>
  <c r="I165" i="1" s="1"/>
  <c r="AB165" i="1"/>
  <c r="W165" i="1"/>
  <c r="Z165" i="1" s="1"/>
  <c r="R165" i="1"/>
  <c r="T165" i="1" s="1"/>
  <c r="O165" i="1"/>
  <c r="BY165" i="1" s="1"/>
  <c r="N165" i="1"/>
  <c r="M165" i="1"/>
  <c r="BK165" i="1"/>
  <c r="A165" i="1"/>
  <c r="AS165" i="1" s="1"/>
  <c r="AT165" i="1" s="1"/>
  <c r="CH164" i="1"/>
  <c r="CG164" i="1"/>
  <c r="CF164" i="1"/>
  <c r="CE164" i="1"/>
  <c r="CD164" i="1"/>
  <c r="CC164" i="1"/>
  <c r="CA164" i="1"/>
  <c r="BZ164" i="1"/>
  <c r="BW164" i="1"/>
  <c r="BT164" i="1"/>
  <c r="BR164" i="1"/>
  <c r="AV164" i="1" s="1"/>
  <c r="BM164" i="1"/>
  <c r="BH164" i="1"/>
  <c r="BI164" i="1" s="1"/>
  <c r="BG164" i="1"/>
  <c r="BJ164" i="1" s="1"/>
  <c r="BA164" i="1"/>
  <c r="AZ164" i="1"/>
  <c r="AX164" i="1"/>
  <c r="AW164" i="1"/>
  <c r="AU164" i="1"/>
  <c r="AR164" i="1"/>
  <c r="AQ164" i="1"/>
  <c r="AN164" i="1"/>
  <c r="AO164" i="1" s="1"/>
  <c r="AB164" i="1"/>
  <c r="W164" i="1"/>
  <c r="Z164" i="1" s="1"/>
  <c r="O164" i="1"/>
  <c r="BY164" i="1" s="1"/>
  <c r="N164" i="1"/>
  <c r="M164" i="1"/>
  <c r="BK164" i="1"/>
  <c r="A164" i="1"/>
  <c r="CH163" i="1"/>
  <c r="CG163" i="1"/>
  <c r="CF163" i="1"/>
  <c r="CE163" i="1"/>
  <c r="CD163" i="1"/>
  <c r="CC163" i="1"/>
  <c r="CA163" i="1"/>
  <c r="BZ163" i="1"/>
  <c r="BW163" i="1"/>
  <c r="BT163" i="1"/>
  <c r="BR163" i="1"/>
  <c r="AV163" i="1" s="1"/>
  <c r="BM163" i="1"/>
  <c r="BK163" i="1"/>
  <c r="BH163" i="1"/>
  <c r="BI163" i="1" s="1"/>
  <c r="BG163" i="1"/>
  <c r="BJ163" i="1" s="1"/>
  <c r="BA163" i="1"/>
  <c r="AZ163" i="1"/>
  <c r="AY163" i="1"/>
  <c r="AX163" i="1"/>
  <c r="AW163" i="1"/>
  <c r="AU163" i="1"/>
  <c r="AR163" i="1"/>
  <c r="AQ163" i="1"/>
  <c r="AN163" i="1"/>
  <c r="I163" i="1" s="1"/>
  <c r="AB163" i="1"/>
  <c r="W163" i="1"/>
  <c r="Z163" i="1" s="1"/>
  <c r="R163" i="1"/>
  <c r="V163" i="1" s="1"/>
  <c r="O163" i="1"/>
  <c r="BY163" i="1" s="1"/>
  <c r="N163" i="1"/>
  <c r="M163" i="1"/>
  <c r="A163" i="1"/>
  <c r="AS163" i="1" s="1"/>
  <c r="AT163" i="1" s="1"/>
  <c r="C34" i="9"/>
  <c r="D34" i="9"/>
  <c r="E34" i="9"/>
  <c r="BW162" i="1"/>
  <c r="BT162" i="1"/>
  <c r="BR162" i="1"/>
  <c r="AV162" i="1" s="1"/>
  <c r="BK162" i="1"/>
  <c r="BH162" i="1"/>
  <c r="BI162" i="1" s="1"/>
  <c r="AZ162" i="1"/>
  <c r="AX162" i="1"/>
  <c r="AQ162" i="1"/>
  <c r="AN162" i="1"/>
  <c r="AB162" i="1"/>
  <c r="W162" i="1"/>
  <c r="Z162" i="1" s="1"/>
  <c r="O162" i="1"/>
  <c r="BY162" i="1" s="1"/>
  <c r="A162" i="1"/>
  <c r="G162" i="3"/>
  <c r="E162" i="3"/>
  <c r="AH162" i="1" s="1"/>
  <c r="AL162" i="1" s="1"/>
  <c r="BR162" i="3"/>
  <c r="BN162" i="3"/>
  <c r="BJ162" i="3"/>
  <c r="BF162" i="3"/>
  <c r="BA162" i="3"/>
  <c r="AZ162" i="3"/>
  <c r="AX162" i="3"/>
  <c r="AW162" i="3"/>
  <c r="AV162" i="3"/>
  <c r="AO162" i="3"/>
  <c r="AL162" i="3"/>
  <c r="L162" i="3"/>
  <c r="H162" i="1" s="1"/>
  <c r="J162" i="3"/>
  <c r="AU162" i="1" s="1"/>
  <c r="F162" i="3"/>
  <c r="AR162" i="1" s="1"/>
  <c r="B161" i="5"/>
  <c r="C161" i="5"/>
  <c r="BW161" i="1"/>
  <c r="BT161" i="1"/>
  <c r="BR161" i="1"/>
  <c r="AV161" i="1" s="1"/>
  <c r="BK161" i="1"/>
  <c r="AZ161" i="1"/>
  <c r="AX161" i="1"/>
  <c r="AU161" i="1"/>
  <c r="AR161" i="1"/>
  <c r="AQ161" i="1"/>
  <c r="AB161" i="1"/>
  <c r="W161" i="1"/>
  <c r="Z161" i="1" s="1"/>
  <c r="O161" i="1"/>
  <c r="BY161" i="1" s="1"/>
  <c r="A161" i="1"/>
  <c r="BM162" i="1" l="1"/>
  <c r="BC166" i="3"/>
  <c r="AS162" i="1"/>
  <c r="AT162" i="1" s="1"/>
  <c r="AM166" i="3"/>
  <c r="AN166" i="3" s="1"/>
  <c r="CF162" i="1"/>
  <c r="AL166" i="3"/>
  <c r="AP166" i="3"/>
  <c r="BE166" i="3" s="1"/>
  <c r="CG162" i="1"/>
  <c r="AU162" i="3"/>
  <c r="AN165" i="3"/>
  <c r="AU165" i="3"/>
  <c r="BB162" i="1"/>
  <c r="I162" i="1"/>
  <c r="BB166" i="3"/>
  <c r="BI166" i="3" s="1"/>
  <c r="I166" i="1"/>
  <c r="AT164" i="1"/>
  <c r="AS164" i="1"/>
  <c r="A161" i="5"/>
  <c r="AS161" i="1"/>
  <c r="AT161" i="1" s="1"/>
  <c r="AT166" i="3"/>
  <c r="BO165" i="1"/>
  <c r="BL165" i="1" s="1"/>
  <c r="AM162" i="3"/>
  <c r="AN162" i="3" s="1"/>
  <c r="CA162" i="1"/>
  <c r="BX162" i="1" s="1"/>
  <c r="BZ162" i="1"/>
  <c r="CC162" i="1"/>
  <c r="BO166" i="1"/>
  <c r="BL166" i="1" s="1"/>
  <c r="BD162" i="3"/>
  <c r="N162" i="1"/>
  <c r="BA162" i="1"/>
  <c r="CD162" i="1"/>
  <c r="AW162" i="1"/>
  <c r="M162" i="1"/>
  <c r="BG162" i="1"/>
  <c r="BJ162" i="1" s="1"/>
  <c r="CE162" i="1"/>
  <c r="CH162" i="1"/>
  <c r="P163" i="1"/>
  <c r="Q163" i="1" s="1"/>
  <c r="AR163" i="3"/>
  <c r="AQ166" i="3"/>
  <c r="AR166" i="3" s="1"/>
  <c r="AS166" i="3"/>
  <c r="BL166" i="3"/>
  <c r="BH166" i="3"/>
  <c r="BP166" i="3"/>
  <c r="AU166" i="3"/>
  <c r="P166" i="1"/>
  <c r="BX166" i="1"/>
  <c r="BY166" i="1" s="1"/>
  <c r="W166" i="1"/>
  <c r="Z166" i="1" s="1"/>
  <c r="BX164" i="1"/>
  <c r="BX165" i="1"/>
  <c r="BH165" i="3"/>
  <c r="BP165" i="3"/>
  <c r="AP165" i="3"/>
  <c r="BE165" i="3" s="1"/>
  <c r="AQ165" i="3"/>
  <c r="BG165" i="3" s="1"/>
  <c r="BM165" i="3" a="1"/>
  <c r="BM165" i="3" s="1"/>
  <c r="BQ165" i="3" s="1"/>
  <c r="BB165" i="3"/>
  <c r="BC165" i="3"/>
  <c r="BO164" i="1"/>
  <c r="BL164" i="1" s="1"/>
  <c r="BB164" i="3"/>
  <c r="BH164" i="3"/>
  <c r="AP164" i="3"/>
  <c r="AQ164" i="3"/>
  <c r="BG164" i="3" s="1"/>
  <c r="BM164" i="3" a="1"/>
  <c r="BM164" i="3" s="1"/>
  <c r="BC164" i="3"/>
  <c r="AL164" i="3"/>
  <c r="BP164" i="3" s="1"/>
  <c r="AX164" i="3"/>
  <c r="P164" i="1" s="1"/>
  <c r="BX163" i="1"/>
  <c r="BO163" i="1"/>
  <c r="BL163" i="1" s="1"/>
  <c r="AM165" i="1"/>
  <c r="BH163" i="3"/>
  <c r="BP163" i="3"/>
  <c r="BQ163" i="3"/>
  <c r="BL163" i="3"/>
  <c r="BO163" i="3"/>
  <c r="BS163" i="3" s="1"/>
  <c r="AY163" i="3"/>
  <c r="Y162" i="1"/>
  <c r="AM166" i="1"/>
  <c r="V163" i="3"/>
  <c r="AA162" i="1"/>
  <c r="BO162" i="1"/>
  <c r="BL162" i="1" s="1"/>
  <c r="AM163" i="1"/>
  <c r="AA165" i="1"/>
  <c r="AA164" i="1"/>
  <c r="Y164" i="1"/>
  <c r="AM164" i="1"/>
  <c r="AA163" i="1"/>
  <c r="AP163" i="1"/>
  <c r="BQ163" i="1" s="1"/>
  <c r="BC166" i="1"/>
  <c r="AO166" i="1"/>
  <c r="AP166" i="1"/>
  <c r="BQ166" i="1" s="1"/>
  <c r="BB166" i="1"/>
  <c r="S166" i="1"/>
  <c r="T166" i="1"/>
  <c r="AY166" i="1"/>
  <c r="U166" i="1"/>
  <c r="J166" i="1"/>
  <c r="AH166" i="1"/>
  <c r="BF166" i="1"/>
  <c r="AY165" i="1"/>
  <c r="U165" i="1"/>
  <c r="AO165" i="1"/>
  <c r="BB165" i="1"/>
  <c r="J165" i="1"/>
  <c r="V165" i="1"/>
  <c r="AH165" i="1"/>
  <c r="BF165" i="1"/>
  <c r="AP165" i="1"/>
  <c r="BQ165" i="1" s="1"/>
  <c r="S165" i="1"/>
  <c r="BC165" i="1"/>
  <c r="X165" i="1"/>
  <c r="P165" i="1"/>
  <c r="Y165" i="1"/>
  <c r="BC164" i="1"/>
  <c r="BB164" i="1"/>
  <c r="AP164" i="1"/>
  <c r="BQ164" i="1" s="1"/>
  <c r="AY164" i="1"/>
  <c r="J164" i="1"/>
  <c r="AH164" i="1"/>
  <c r="BF164" i="1"/>
  <c r="X164" i="1"/>
  <c r="BC163" i="1"/>
  <c r="AO163" i="1"/>
  <c r="S163" i="1"/>
  <c r="T163" i="1"/>
  <c r="U163" i="1"/>
  <c r="BB163" i="1"/>
  <c r="J163" i="1"/>
  <c r="AH163" i="1"/>
  <c r="BF163" i="1"/>
  <c r="X163" i="1"/>
  <c r="Y163" i="1"/>
  <c r="P162" i="1"/>
  <c r="Q162" i="1" s="1"/>
  <c r="AI162" i="1"/>
  <c r="AK162" i="1"/>
  <c r="AM162" i="1"/>
  <c r="BC162" i="1"/>
  <c r="J162" i="1"/>
  <c r="BF162" i="1"/>
  <c r="AO162" i="1"/>
  <c r="X162" i="1"/>
  <c r="AJ162" i="1"/>
  <c r="BH162" i="3"/>
  <c r="BP162" i="3"/>
  <c r="AP162" i="3"/>
  <c r="BE162" i="3" s="1"/>
  <c r="AQ162" i="3"/>
  <c r="BG162" i="3" s="1"/>
  <c r="BM162" i="3" a="1"/>
  <c r="BM162" i="3" s="1"/>
  <c r="BQ162" i="3" s="1"/>
  <c r="BB162" i="3"/>
  <c r="BC162" i="3"/>
  <c r="K161" i="5"/>
  <c r="N161" i="5" s="1"/>
  <c r="AA161" i="1"/>
  <c r="Y161" i="1"/>
  <c r="X161" i="1"/>
  <c r="C161" i="3"/>
  <c r="AN161" i="1" s="1"/>
  <c r="I161" i="1" s="1"/>
  <c r="E161" i="3"/>
  <c r="BR161" i="3"/>
  <c r="BN161" i="3"/>
  <c r="BJ161" i="3"/>
  <c r="BF161" i="3"/>
  <c r="AZ161" i="3"/>
  <c r="AW161" i="3"/>
  <c r="AO161" i="3"/>
  <c r="AV161" i="3"/>
  <c r="AU161" i="3"/>
  <c r="AX161" i="3"/>
  <c r="E63" i="3"/>
  <c r="E64" i="3"/>
  <c r="V37" i="3"/>
  <c r="P161" i="1" l="1"/>
  <c r="Q161" i="1" s="1"/>
  <c r="BC161" i="1"/>
  <c r="BS161" i="1" s="1"/>
  <c r="AT161" i="3"/>
  <c r="BF161" i="1"/>
  <c r="BA161" i="3"/>
  <c r="AP162" i="1"/>
  <c r="BQ162" i="1" s="1"/>
  <c r="AC164" i="1"/>
  <c r="AD164" i="1" s="1"/>
  <c r="AC166" i="1"/>
  <c r="AG166" i="1" s="1"/>
  <c r="AC162" i="1"/>
  <c r="AE162" i="1" s="1"/>
  <c r="BM161" i="3" a="1"/>
  <c r="BM161" i="3" s="1"/>
  <c r="J161" i="1"/>
  <c r="BD161" i="3"/>
  <c r="E161" i="5" s="1"/>
  <c r="AC161" i="5"/>
  <c r="CH161" i="1"/>
  <c r="BM161" i="1"/>
  <c r="BO161" i="1" s="1"/>
  <c r="BL161" i="1" s="1"/>
  <c r="CE161" i="1"/>
  <c r="BG161" i="1"/>
  <c r="BJ161" i="1" s="1"/>
  <c r="R161" i="1"/>
  <c r="BA161" i="1"/>
  <c r="W161" i="5"/>
  <c r="M161" i="1"/>
  <c r="CD161" i="1"/>
  <c r="CC161" i="1"/>
  <c r="N161" i="1"/>
  <c r="CA161" i="1"/>
  <c r="AP161" i="1" s="1"/>
  <c r="BQ161" i="1" s="1"/>
  <c r="X161" i="5"/>
  <c r="CG161" i="1"/>
  <c r="AY161" i="1"/>
  <c r="BZ161" i="1"/>
  <c r="CF161" i="1"/>
  <c r="Y161" i="5"/>
  <c r="AW161" i="1"/>
  <c r="BH161" i="1"/>
  <c r="AQ161" i="3"/>
  <c r="AY161" i="3" s="1"/>
  <c r="BB161" i="1"/>
  <c r="AO161" i="1"/>
  <c r="AB161" i="5" s="1"/>
  <c r="AP161" i="3"/>
  <c r="R162" i="1"/>
  <c r="S162" i="1" s="1"/>
  <c r="BG166" i="3"/>
  <c r="AY166" i="3"/>
  <c r="Q166" i="1"/>
  <c r="Y166" i="1"/>
  <c r="X166" i="1"/>
  <c r="AA166" i="1"/>
  <c r="AR165" i="3"/>
  <c r="AY165" i="3"/>
  <c r="BK165" i="3" s="1"/>
  <c r="AC165" i="1"/>
  <c r="AE165" i="1" s="1"/>
  <c r="BO165" i="3"/>
  <c r="BS165" i="3" s="1"/>
  <c r="BL165" i="3"/>
  <c r="BI165" i="3"/>
  <c r="Q165" i="1"/>
  <c r="BE164" i="3"/>
  <c r="BQ164" i="3" s="1"/>
  <c r="R164" i="1"/>
  <c r="AR164" i="3"/>
  <c r="AY164" i="3"/>
  <c r="BK164" i="3" s="1"/>
  <c r="BO164" i="3"/>
  <c r="BS164" i="3" s="1"/>
  <c r="Q164" i="1"/>
  <c r="AN164" i="3"/>
  <c r="AU163" i="3"/>
  <c r="AC163" i="1" s="1"/>
  <c r="BK163" i="3"/>
  <c r="BS166" i="1"/>
  <c r="CB166" i="1"/>
  <c r="BD166" i="1"/>
  <c r="BE166" i="1" s="1"/>
  <c r="BN166" i="1" s="1" a="1"/>
  <c r="BN166" i="1" s="1"/>
  <c r="AL166" i="1"/>
  <c r="AK166" i="1"/>
  <c r="AJ166" i="1"/>
  <c r="AI166" i="1"/>
  <c r="AL165" i="1"/>
  <c r="AK165" i="1"/>
  <c r="AJ165" i="1"/>
  <c r="AI165" i="1"/>
  <c r="BS165" i="1"/>
  <c r="BD165" i="1"/>
  <c r="BE165" i="1" s="1"/>
  <c r="BN165" i="1" s="1" a="1"/>
  <c r="BN165" i="1" s="1"/>
  <c r="CB165" i="1"/>
  <c r="AL164" i="1"/>
  <c r="AK164" i="1"/>
  <c r="AJ164" i="1"/>
  <c r="AI164" i="1"/>
  <c r="BS164" i="1"/>
  <c r="CB164" i="1"/>
  <c r="BD164" i="1"/>
  <c r="BE164" i="1" s="1"/>
  <c r="BN164" i="1" s="1" a="1"/>
  <c r="BN164" i="1" s="1"/>
  <c r="BS163" i="1"/>
  <c r="CB163" i="1"/>
  <c r="BE163" i="1"/>
  <c r="BN163" i="1" s="1" a="1"/>
  <c r="BN163" i="1" s="1"/>
  <c r="BD163" i="1"/>
  <c r="AL163" i="1"/>
  <c r="AK163" i="1"/>
  <c r="AJ163" i="1"/>
  <c r="AI163" i="1"/>
  <c r="AY162" i="1"/>
  <c r="BS162" i="1"/>
  <c r="CB162" i="1"/>
  <c r="BE162" i="1"/>
  <c r="BN162" i="1" s="1" a="1"/>
  <c r="BN162" i="1" s="1"/>
  <c r="BD162" i="1"/>
  <c r="AR162" i="3"/>
  <c r="AY162" i="3"/>
  <c r="BK162" i="3" s="1"/>
  <c r="M161" i="5"/>
  <c r="L161" i="5"/>
  <c r="BO162" i="3"/>
  <c r="BS162" i="3" s="1"/>
  <c r="BI162" i="3"/>
  <c r="BL162" i="3"/>
  <c r="CB161" i="1"/>
  <c r="BD161" i="1"/>
  <c r="BE161" i="1" s="1"/>
  <c r="AR161" i="3"/>
  <c r="BB161" i="3"/>
  <c r="BC161" i="3"/>
  <c r="L161" i="3"/>
  <c r="H161" i="1" s="1"/>
  <c r="AL161" i="3"/>
  <c r="AR3" i="1"/>
  <c r="AR4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9" i="1"/>
  <c r="AR30" i="1"/>
  <c r="AR31" i="1"/>
  <c r="AR35" i="1"/>
  <c r="AR36" i="1"/>
  <c r="AR37" i="1"/>
  <c r="AR38" i="1"/>
  <c r="AR39" i="1"/>
  <c r="AR40" i="1"/>
  <c r="AR42" i="1"/>
  <c r="AR43" i="1"/>
  <c r="AR45" i="1"/>
  <c r="AR46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2" i="1"/>
  <c r="AR74" i="1"/>
  <c r="AR75" i="1"/>
  <c r="AR76" i="1"/>
  <c r="AR77" i="1"/>
  <c r="AR78" i="1"/>
  <c r="AR81" i="1"/>
  <c r="AR82" i="1"/>
  <c r="AR83" i="1"/>
  <c r="AR84" i="1"/>
  <c r="AR85" i="1"/>
  <c r="AR86" i="1"/>
  <c r="AR87" i="1"/>
  <c r="AR88" i="1"/>
  <c r="AR89" i="1"/>
  <c r="AR93" i="1"/>
  <c r="AR94" i="1"/>
  <c r="AR96" i="1"/>
  <c r="AR97" i="1"/>
  <c r="AR98" i="1"/>
  <c r="AR99" i="1"/>
  <c r="AR100" i="1"/>
  <c r="AR101" i="1"/>
  <c r="AR102" i="1"/>
  <c r="AR109" i="1"/>
  <c r="AR110" i="1"/>
  <c r="AR111" i="1"/>
  <c r="AR112" i="1"/>
  <c r="AR114" i="1"/>
  <c r="AR115" i="1"/>
  <c r="AR116" i="1"/>
  <c r="AR117" i="1"/>
  <c r="AR119" i="1"/>
  <c r="AR120" i="1"/>
  <c r="AR121" i="1"/>
  <c r="AR123" i="1"/>
  <c r="AR128" i="1"/>
  <c r="AR130" i="1"/>
  <c r="AR131" i="1"/>
  <c r="AR132" i="1"/>
  <c r="AR133" i="1"/>
  <c r="AR134" i="1"/>
  <c r="AR135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6" i="1"/>
  <c r="AQ127" i="1"/>
  <c r="AQ128" i="1"/>
  <c r="AQ129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2" i="1"/>
  <c r="AU3" i="1"/>
  <c r="AU4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3" i="1"/>
  <c r="AU94" i="1"/>
  <c r="AU95" i="1"/>
  <c r="AU96" i="1"/>
  <c r="AU97" i="1"/>
  <c r="AU98" i="1"/>
  <c r="AU99" i="1"/>
  <c r="AU100" i="1"/>
  <c r="AU101" i="1"/>
  <c r="AU102" i="1"/>
  <c r="AU109" i="1"/>
  <c r="AU110" i="1"/>
  <c r="AU111" i="1"/>
  <c r="AU112" i="1"/>
  <c r="AU114" i="1"/>
  <c r="AU115" i="1"/>
  <c r="AU116" i="1"/>
  <c r="AU117" i="1"/>
  <c r="AU119" i="1"/>
  <c r="AU120" i="1"/>
  <c r="AU121" i="1"/>
  <c r="AU123" i="1"/>
  <c r="AU125" i="1"/>
  <c r="AU128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2" i="1"/>
  <c r="BN3" i="3"/>
  <c r="BN4" i="3"/>
  <c r="BN5" i="3"/>
  <c r="BN6" i="3"/>
  <c r="BN7" i="3"/>
  <c r="BN8" i="3"/>
  <c r="BN9" i="3"/>
  <c r="BN10" i="3"/>
  <c r="BN11" i="3"/>
  <c r="BN12" i="3"/>
  <c r="BN13" i="3"/>
  <c r="BN14" i="3"/>
  <c r="BN15" i="3"/>
  <c r="BN16" i="3"/>
  <c r="BN17" i="3"/>
  <c r="BN18" i="3"/>
  <c r="BN19" i="3"/>
  <c r="BN20" i="3"/>
  <c r="BN21" i="3"/>
  <c r="BN22" i="3"/>
  <c r="BN23" i="3"/>
  <c r="BN24" i="3"/>
  <c r="BN28" i="3"/>
  <c r="BN30" i="3"/>
  <c r="BN31" i="3"/>
  <c r="BN32" i="3"/>
  <c r="BN33" i="3"/>
  <c r="BN34" i="3"/>
  <c r="BN35" i="3"/>
  <c r="BN36" i="3"/>
  <c r="BN37" i="3"/>
  <c r="BN38" i="3"/>
  <c r="BN39" i="3"/>
  <c r="BN40" i="3"/>
  <c r="BN41" i="3"/>
  <c r="BN47" i="3"/>
  <c r="BN48" i="3"/>
  <c r="BN55" i="3"/>
  <c r="BN56" i="3"/>
  <c r="BN57" i="3"/>
  <c r="BN58" i="3"/>
  <c r="BN59" i="3"/>
  <c r="BN60" i="3"/>
  <c r="BN61" i="3"/>
  <c r="BN62" i="3"/>
  <c r="BN63" i="3"/>
  <c r="BN64" i="3"/>
  <c r="BN65" i="3"/>
  <c r="BN66" i="3"/>
  <c r="BN67" i="3"/>
  <c r="BN68" i="3"/>
  <c r="BN69" i="3"/>
  <c r="BN70" i="3"/>
  <c r="BN71" i="3"/>
  <c r="BN72" i="3"/>
  <c r="BN73" i="3"/>
  <c r="BN74" i="3"/>
  <c r="BN75" i="3"/>
  <c r="BN76" i="3"/>
  <c r="BN77" i="3"/>
  <c r="BN78" i="3"/>
  <c r="BN81" i="3"/>
  <c r="BN82" i="3"/>
  <c r="BN83" i="3"/>
  <c r="BN84" i="3"/>
  <c r="BN85" i="3"/>
  <c r="BN86" i="3"/>
  <c r="BN87" i="3"/>
  <c r="BN89" i="3"/>
  <c r="BN90" i="3"/>
  <c r="BN91" i="3"/>
  <c r="BN92" i="3"/>
  <c r="BN93" i="3"/>
  <c r="BN94" i="3"/>
  <c r="BN95" i="3"/>
  <c r="BN98" i="3"/>
  <c r="BN99" i="3"/>
  <c r="BN100" i="3"/>
  <c r="BN101" i="3"/>
  <c r="BN102" i="3"/>
  <c r="BN103" i="3"/>
  <c r="BN104" i="3"/>
  <c r="BN105" i="3"/>
  <c r="BN106" i="3"/>
  <c r="BN107" i="3"/>
  <c r="BN108" i="3"/>
  <c r="BN109" i="3"/>
  <c r="BN110" i="3"/>
  <c r="BN111" i="3"/>
  <c r="BN113" i="3"/>
  <c r="BN114" i="3"/>
  <c r="BN115" i="3"/>
  <c r="BN116" i="3"/>
  <c r="BN117" i="3"/>
  <c r="BN118" i="3"/>
  <c r="BN119" i="3"/>
  <c r="BN120" i="3"/>
  <c r="BN121" i="3"/>
  <c r="BN122" i="3"/>
  <c r="BN123" i="3"/>
  <c r="BN124" i="3"/>
  <c r="BN125" i="3"/>
  <c r="BN126" i="3"/>
  <c r="BN127" i="3"/>
  <c r="BN128" i="3"/>
  <c r="BN129" i="3"/>
  <c r="BN130" i="3"/>
  <c r="BN131" i="3"/>
  <c r="BN132" i="3"/>
  <c r="BN133" i="3"/>
  <c r="BN134" i="3"/>
  <c r="BN135" i="3"/>
  <c r="BN136" i="3"/>
  <c r="BN138" i="3"/>
  <c r="BN139" i="3"/>
  <c r="BN140" i="3"/>
  <c r="BN141" i="3"/>
  <c r="BN142" i="3"/>
  <c r="BN143" i="3"/>
  <c r="BN144" i="3"/>
  <c r="BN145" i="3"/>
  <c r="BN146" i="3"/>
  <c r="BN147" i="3"/>
  <c r="BN148" i="3"/>
  <c r="BN149" i="3"/>
  <c r="BN150" i="3"/>
  <c r="BN151" i="3"/>
  <c r="BN152" i="3"/>
  <c r="BN153" i="3"/>
  <c r="BN154" i="3"/>
  <c r="BN155" i="3"/>
  <c r="BN156" i="3"/>
  <c r="BN157" i="3"/>
  <c r="BN158" i="3"/>
  <c r="BN159" i="3"/>
  <c r="BN160" i="3"/>
  <c r="BN2" i="3"/>
  <c r="BC55" i="3"/>
  <c r="BC56" i="3"/>
  <c r="BC57" i="3"/>
  <c r="BC58" i="3"/>
  <c r="BC59" i="3"/>
  <c r="BC60" i="3"/>
  <c r="BC62" i="3"/>
  <c r="BC76" i="3"/>
  <c r="BC77" i="3"/>
  <c r="BC81" i="3"/>
  <c r="BC89" i="3"/>
  <c r="BC93" i="3"/>
  <c r="BC94" i="3"/>
  <c r="BC98" i="3"/>
  <c r="BC99" i="3"/>
  <c r="BC100" i="3"/>
  <c r="BC101" i="3"/>
  <c r="BC102" i="3"/>
  <c r="BC109" i="3"/>
  <c r="BC114" i="3"/>
  <c r="BC116" i="3"/>
  <c r="BC117" i="3"/>
  <c r="BC118" i="3"/>
  <c r="BC119" i="3"/>
  <c r="BC122" i="3"/>
  <c r="BC123" i="3"/>
  <c r="BC128" i="3"/>
  <c r="BC130" i="3"/>
  <c r="BC131" i="3"/>
  <c r="BC133" i="3"/>
  <c r="BC134" i="3"/>
  <c r="BC138" i="3"/>
  <c r="BC140" i="3"/>
  <c r="BC150" i="3"/>
  <c r="BC158" i="3"/>
  <c r="AZ160" i="3"/>
  <c r="AZ159" i="3"/>
  <c r="AZ158" i="3"/>
  <c r="AZ157" i="3"/>
  <c r="AZ156" i="3"/>
  <c r="AZ155" i="3"/>
  <c r="AZ154" i="3"/>
  <c r="AZ153" i="3"/>
  <c r="AZ152" i="3"/>
  <c r="AZ151" i="3"/>
  <c r="AZ150" i="3"/>
  <c r="AZ149" i="3"/>
  <c r="AZ148" i="3"/>
  <c r="AZ147" i="3"/>
  <c r="AZ146" i="3"/>
  <c r="AZ145" i="3"/>
  <c r="AZ144" i="3"/>
  <c r="AZ143" i="3"/>
  <c r="AZ142" i="3"/>
  <c r="AZ141" i="3"/>
  <c r="AZ140" i="3"/>
  <c r="AZ139" i="3"/>
  <c r="AZ138" i="3"/>
  <c r="AZ136" i="3"/>
  <c r="AZ135" i="3"/>
  <c r="AZ134" i="3"/>
  <c r="AZ133" i="3"/>
  <c r="AZ132" i="3"/>
  <c r="AZ131" i="3"/>
  <c r="AZ130" i="3"/>
  <c r="AZ129" i="3"/>
  <c r="AZ128" i="3"/>
  <c r="AZ127" i="3"/>
  <c r="AZ126" i="3"/>
  <c r="AZ125" i="3"/>
  <c r="AZ124" i="3"/>
  <c r="AZ123" i="3"/>
  <c r="AZ122" i="3"/>
  <c r="AZ121" i="3"/>
  <c r="AZ120" i="3"/>
  <c r="AZ119" i="3"/>
  <c r="AZ118" i="3"/>
  <c r="AZ117" i="3"/>
  <c r="AZ116" i="3"/>
  <c r="AZ115" i="3"/>
  <c r="AZ114" i="3"/>
  <c r="AZ113" i="3"/>
  <c r="AZ111" i="3"/>
  <c r="AZ110" i="3"/>
  <c r="AZ109" i="3"/>
  <c r="AZ108" i="3"/>
  <c r="AZ107" i="3"/>
  <c r="AZ106" i="3"/>
  <c r="AZ105" i="3"/>
  <c r="AZ104" i="3"/>
  <c r="AZ103" i="3"/>
  <c r="AZ102" i="3"/>
  <c r="AZ101" i="3"/>
  <c r="AZ100" i="3"/>
  <c r="AZ99" i="3"/>
  <c r="AZ98" i="3"/>
  <c r="AZ95" i="3"/>
  <c r="AZ94" i="3"/>
  <c r="AZ93" i="3"/>
  <c r="AZ92" i="3"/>
  <c r="AZ91" i="3"/>
  <c r="AZ90" i="3"/>
  <c r="AZ89" i="3"/>
  <c r="AZ87" i="3"/>
  <c r="AZ86" i="3"/>
  <c r="AZ85" i="3"/>
  <c r="AZ84" i="3"/>
  <c r="AZ83" i="3"/>
  <c r="AZ82" i="3"/>
  <c r="AZ81" i="3"/>
  <c r="AZ78" i="3"/>
  <c r="AZ77" i="3"/>
  <c r="AZ76" i="3"/>
  <c r="AZ75" i="3"/>
  <c r="AZ74" i="3"/>
  <c r="AZ73" i="3"/>
  <c r="AZ72" i="3"/>
  <c r="AZ71" i="3"/>
  <c r="AZ70" i="3"/>
  <c r="AZ69" i="3"/>
  <c r="AZ68" i="3"/>
  <c r="AZ67" i="3"/>
  <c r="AZ66" i="3"/>
  <c r="AZ65" i="3"/>
  <c r="AZ64" i="3"/>
  <c r="AZ63" i="3"/>
  <c r="AZ62" i="3"/>
  <c r="AZ61" i="3"/>
  <c r="AZ60" i="3"/>
  <c r="AZ59" i="3"/>
  <c r="AZ58" i="3"/>
  <c r="AZ57" i="3"/>
  <c r="AZ56" i="3"/>
  <c r="AZ55" i="3"/>
  <c r="AZ48" i="3"/>
  <c r="AZ47" i="3"/>
  <c r="AZ41" i="3"/>
  <c r="AZ40" i="3"/>
  <c r="AZ39" i="3"/>
  <c r="AZ38" i="3"/>
  <c r="AZ37" i="3"/>
  <c r="AZ36" i="3"/>
  <c r="AZ35" i="3"/>
  <c r="AZ34" i="3"/>
  <c r="AZ33" i="3"/>
  <c r="AZ32" i="3"/>
  <c r="AZ31" i="3"/>
  <c r="AZ30" i="3"/>
  <c r="AZ28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" i="3"/>
  <c r="BB102" i="3"/>
  <c r="BB101" i="3"/>
  <c r="BR160" i="3"/>
  <c r="BJ160" i="3"/>
  <c r="BF160" i="3"/>
  <c r="BA160" i="3"/>
  <c r="BR159" i="3"/>
  <c r="BJ159" i="3"/>
  <c r="BF159" i="3"/>
  <c r="BR158" i="3"/>
  <c r="BJ158" i="3"/>
  <c r="BF158" i="3"/>
  <c r="BA158" i="3"/>
  <c r="BR157" i="3"/>
  <c r="BJ157" i="3"/>
  <c r="BF157" i="3"/>
  <c r="BR156" i="3"/>
  <c r="BJ156" i="3"/>
  <c r="BF156" i="3"/>
  <c r="BR155" i="3"/>
  <c r="BJ155" i="3"/>
  <c r="BF155" i="3"/>
  <c r="BR154" i="3"/>
  <c r="BJ154" i="3"/>
  <c r="BF154" i="3"/>
  <c r="BR153" i="3"/>
  <c r="BJ153" i="3"/>
  <c r="BF153" i="3"/>
  <c r="BR152" i="3"/>
  <c r="BJ152" i="3"/>
  <c r="BF152" i="3"/>
  <c r="BR151" i="3"/>
  <c r="BJ151" i="3"/>
  <c r="BF151" i="3"/>
  <c r="BR150" i="3"/>
  <c r="BJ150" i="3"/>
  <c r="BF150" i="3"/>
  <c r="BA150" i="3"/>
  <c r="BR149" i="3"/>
  <c r="BM149" i="3" a="1"/>
  <c r="BM149" i="3" s="1"/>
  <c r="BQ149" i="3" s="1"/>
  <c r="BJ149" i="3"/>
  <c r="BF149" i="3"/>
  <c r="BR148" i="3"/>
  <c r="BM148" i="3" a="1"/>
  <c r="BM148" i="3" s="1"/>
  <c r="BQ148" i="3" s="1"/>
  <c r="BJ148" i="3"/>
  <c r="BF148" i="3"/>
  <c r="BR147" i="3"/>
  <c r="BM147" i="3" a="1"/>
  <c r="BM147" i="3" s="1"/>
  <c r="BQ147" i="3" s="1"/>
  <c r="BJ147" i="3"/>
  <c r="BF147" i="3"/>
  <c r="BR146" i="3"/>
  <c r="BM146" i="3" a="1"/>
  <c r="BM146" i="3" s="1"/>
  <c r="BQ146" i="3" s="1"/>
  <c r="BJ146" i="3"/>
  <c r="BF146" i="3"/>
  <c r="BR145" i="3"/>
  <c r="BM145" i="3" a="1"/>
  <c r="BM145" i="3" s="1"/>
  <c r="BQ145" i="3" s="1"/>
  <c r="BJ145" i="3"/>
  <c r="BF145" i="3"/>
  <c r="BR144" i="3"/>
  <c r="BM144" i="3" a="1"/>
  <c r="BM144" i="3" s="1"/>
  <c r="BQ144" i="3" s="1"/>
  <c r="BJ144" i="3"/>
  <c r="BF144" i="3"/>
  <c r="BR143" i="3"/>
  <c r="BM143" i="3" a="1"/>
  <c r="BM143" i="3" s="1"/>
  <c r="BQ143" i="3" s="1"/>
  <c r="BJ143" i="3"/>
  <c r="BF143" i="3"/>
  <c r="BR142" i="3"/>
  <c r="BM142" i="3" a="1"/>
  <c r="BM142" i="3" s="1"/>
  <c r="BQ142" i="3" s="1"/>
  <c r="BJ142" i="3"/>
  <c r="BF142" i="3"/>
  <c r="BR141" i="3"/>
  <c r="BM141" i="3" a="1"/>
  <c r="BM141" i="3" s="1"/>
  <c r="BQ141" i="3" s="1"/>
  <c r="BJ141" i="3"/>
  <c r="BF141" i="3"/>
  <c r="BR140" i="3"/>
  <c r="BM140" i="3" a="1"/>
  <c r="BM140" i="3" s="1"/>
  <c r="BQ140" i="3" s="1"/>
  <c r="BJ140" i="3"/>
  <c r="BF140" i="3"/>
  <c r="BA140" i="3"/>
  <c r="BR139" i="3"/>
  <c r="BM139" i="3" a="1"/>
  <c r="BM139" i="3" s="1"/>
  <c r="BQ139" i="3" s="1"/>
  <c r="BJ139" i="3"/>
  <c r="BF139" i="3"/>
  <c r="BR138" i="3"/>
  <c r="BM138" i="3" a="1"/>
  <c r="BM138" i="3" s="1"/>
  <c r="BJ138" i="3"/>
  <c r="BF138" i="3"/>
  <c r="BA138" i="3"/>
  <c r="BR136" i="3"/>
  <c r="BM136" i="3" a="1"/>
  <c r="BM136" i="3" s="1"/>
  <c r="BQ136" i="3" s="1"/>
  <c r="BJ136" i="3"/>
  <c r="BF136" i="3"/>
  <c r="BR135" i="3"/>
  <c r="BJ135" i="3"/>
  <c r="BF135" i="3"/>
  <c r="BR134" i="3"/>
  <c r="BM134" i="3" a="1"/>
  <c r="BM134" i="3" s="1"/>
  <c r="BJ134" i="3"/>
  <c r="BF134" i="3"/>
  <c r="BA134" i="3"/>
  <c r="BR133" i="3"/>
  <c r="BM133" i="3" a="1"/>
  <c r="BM133" i="3" s="1"/>
  <c r="BJ133" i="3"/>
  <c r="BF133" i="3"/>
  <c r="BA133" i="3"/>
  <c r="BR132" i="3"/>
  <c r="BJ132" i="3"/>
  <c r="BF132" i="3"/>
  <c r="BR131" i="3"/>
  <c r="BM131" i="3" a="1"/>
  <c r="BM131" i="3" s="1"/>
  <c r="BQ131" i="3" s="1"/>
  <c r="BJ131" i="3"/>
  <c r="BF131" i="3"/>
  <c r="BA131" i="3"/>
  <c r="BR130" i="3"/>
  <c r="BM130" i="3" a="1"/>
  <c r="BM130" i="3" s="1"/>
  <c r="BQ130" i="3" s="1"/>
  <c r="BJ130" i="3"/>
  <c r="BF130" i="3"/>
  <c r="BA130" i="3"/>
  <c r="BR129" i="3"/>
  <c r="BJ129" i="3"/>
  <c r="BF129" i="3"/>
  <c r="BA129" i="3"/>
  <c r="BR128" i="3"/>
  <c r="BM128" i="3" a="1"/>
  <c r="BM128" i="3" s="1"/>
  <c r="BJ128" i="3"/>
  <c r="BF128" i="3"/>
  <c r="BA128" i="3"/>
  <c r="BR127" i="3"/>
  <c r="BJ127" i="3"/>
  <c r="BF127" i="3"/>
  <c r="BA127" i="3"/>
  <c r="BR126" i="3"/>
  <c r="BJ126" i="3"/>
  <c r="BF126" i="3"/>
  <c r="BA126" i="3"/>
  <c r="BR125" i="3"/>
  <c r="BJ125" i="3"/>
  <c r="BF125" i="3"/>
  <c r="BA125" i="3"/>
  <c r="BR124" i="3"/>
  <c r="BJ124" i="3"/>
  <c r="BF124" i="3"/>
  <c r="BR123" i="3"/>
  <c r="BJ123" i="3"/>
  <c r="BF123" i="3"/>
  <c r="BA123" i="3"/>
  <c r="BR122" i="3"/>
  <c r="BM122" i="3" a="1"/>
  <c r="BM122" i="3" s="1"/>
  <c r="BQ122" i="3" s="1"/>
  <c r="BJ122" i="3"/>
  <c r="BF122" i="3"/>
  <c r="BA122" i="3"/>
  <c r="BR121" i="3"/>
  <c r="BJ121" i="3"/>
  <c r="BF121" i="3"/>
  <c r="BA121" i="3"/>
  <c r="BR120" i="3"/>
  <c r="BJ120" i="3"/>
  <c r="BF120" i="3"/>
  <c r="BR119" i="3"/>
  <c r="BM119" i="3" a="1"/>
  <c r="BM119" i="3" s="1"/>
  <c r="BQ119" i="3" s="1"/>
  <c r="BJ119" i="3"/>
  <c r="BF119" i="3"/>
  <c r="BA119" i="3"/>
  <c r="BR118" i="3"/>
  <c r="BJ118" i="3"/>
  <c r="BF118" i="3"/>
  <c r="BA118" i="3"/>
  <c r="BR117" i="3"/>
  <c r="BM117" i="3" a="1"/>
  <c r="BM117" i="3" s="1"/>
  <c r="BJ117" i="3"/>
  <c r="BF117" i="3"/>
  <c r="BA117" i="3"/>
  <c r="BR116" i="3"/>
  <c r="BM116" i="3" a="1"/>
  <c r="BM116" i="3" s="1"/>
  <c r="BJ116" i="3"/>
  <c r="BF116" i="3"/>
  <c r="BA116" i="3"/>
  <c r="BR115" i="3"/>
  <c r="BJ115" i="3"/>
  <c r="BF115" i="3"/>
  <c r="BR114" i="3"/>
  <c r="BJ114" i="3"/>
  <c r="BF114" i="3"/>
  <c r="BA114" i="3"/>
  <c r="BR113" i="3"/>
  <c r="BM113" i="3" a="1"/>
  <c r="BM113" i="3" s="1"/>
  <c r="BQ113" i="3" s="1"/>
  <c r="BJ113" i="3"/>
  <c r="BF113" i="3"/>
  <c r="BR111" i="3"/>
  <c r="BJ111" i="3"/>
  <c r="BF111" i="3"/>
  <c r="BR110" i="3"/>
  <c r="BJ110" i="3"/>
  <c r="BF110" i="3"/>
  <c r="BR109" i="3"/>
  <c r="BM109" i="3" a="1"/>
  <c r="BM109" i="3" s="1"/>
  <c r="BQ109" i="3" s="1"/>
  <c r="BJ109" i="3"/>
  <c r="BF109" i="3"/>
  <c r="BA109" i="3"/>
  <c r="BR108" i="3"/>
  <c r="BJ108" i="3"/>
  <c r="BF108" i="3"/>
  <c r="BA108" i="3"/>
  <c r="BR107" i="3"/>
  <c r="BJ107" i="3"/>
  <c r="BF107" i="3"/>
  <c r="BA107" i="3"/>
  <c r="BR106" i="3"/>
  <c r="BJ106" i="3"/>
  <c r="BF106" i="3"/>
  <c r="BA106" i="3"/>
  <c r="BR105" i="3"/>
  <c r="BJ105" i="3"/>
  <c r="BF105" i="3"/>
  <c r="BA105" i="3"/>
  <c r="BR104" i="3"/>
  <c r="BJ104" i="3"/>
  <c r="BF104" i="3"/>
  <c r="BA104" i="3"/>
  <c r="BR103" i="3"/>
  <c r="BJ103" i="3"/>
  <c r="BF103" i="3"/>
  <c r="BA103" i="3"/>
  <c r="BR102" i="3"/>
  <c r="BM102" i="3" a="1"/>
  <c r="BM102" i="3" s="1"/>
  <c r="BJ102" i="3"/>
  <c r="BF102" i="3"/>
  <c r="BA102" i="3"/>
  <c r="BR101" i="3"/>
  <c r="BM101" i="3" a="1"/>
  <c r="BM101" i="3" s="1"/>
  <c r="BJ101" i="3"/>
  <c r="BF101" i="3"/>
  <c r="BA101" i="3"/>
  <c r="BR100" i="3"/>
  <c r="BM100" i="3" a="1"/>
  <c r="BM100" i="3" s="1"/>
  <c r="BQ100" i="3" s="1"/>
  <c r="BJ100" i="3"/>
  <c r="BF100" i="3"/>
  <c r="BA100" i="3"/>
  <c r="BR99" i="3"/>
  <c r="BM99" i="3" a="1"/>
  <c r="BM99" i="3" s="1"/>
  <c r="BQ99" i="3" s="1"/>
  <c r="BJ99" i="3"/>
  <c r="BF99" i="3"/>
  <c r="BA99" i="3"/>
  <c r="BR98" i="3"/>
  <c r="BM98" i="3" a="1"/>
  <c r="BM98" i="3" s="1"/>
  <c r="BQ98" i="3" s="1"/>
  <c r="BJ98" i="3"/>
  <c r="BF98" i="3"/>
  <c r="BA98" i="3"/>
  <c r="BA97" i="3"/>
  <c r="BA96" i="3"/>
  <c r="BR95" i="3"/>
  <c r="BJ95" i="3"/>
  <c r="BF95" i="3"/>
  <c r="BA95" i="3"/>
  <c r="BR94" i="3"/>
  <c r="BM94" i="3" a="1"/>
  <c r="BM94" i="3" s="1"/>
  <c r="BQ94" i="3" s="1"/>
  <c r="BJ94" i="3"/>
  <c r="BF94" i="3"/>
  <c r="BA94" i="3"/>
  <c r="BR93" i="3"/>
  <c r="BQ93" i="3"/>
  <c r="BM93" i="3" a="1"/>
  <c r="BM93" i="3" s="1"/>
  <c r="BJ93" i="3"/>
  <c r="BF93" i="3"/>
  <c r="BA93" i="3"/>
  <c r="BR92" i="3"/>
  <c r="BM92" i="3" a="1"/>
  <c r="BM92" i="3" s="1"/>
  <c r="BQ92" i="3" s="1"/>
  <c r="BJ92" i="3"/>
  <c r="BF92" i="3"/>
  <c r="BR91" i="3"/>
  <c r="BM91" i="3" a="1"/>
  <c r="BM91" i="3" s="1"/>
  <c r="BQ91" i="3" s="1"/>
  <c r="BJ91" i="3"/>
  <c r="BF91" i="3"/>
  <c r="BR90" i="3"/>
  <c r="BJ90" i="3"/>
  <c r="BF90" i="3"/>
  <c r="BR89" i="3"/>
  <c r="BM89" i="3" a="1"/>
  <c r="BM89" i="3" s="1"/>
  <c r="BJ89" i="3"/>
  <c r="BF89" i="3"/>
  <c r="BA89" i="3"/>
  <c r="BA88" i="3"/>
  <c r="BR87" i="3"/>
  <c r="BJ87" i="3"/>
  <c r="BF87" i="3"/>
  <c r="BA87" i="3"/>
  <c r="BR86" i="3"/>
  <c r="BJ86" i="3"/>
  <c r="BF86" i="3"/>
  <c r="BR85" i="3"/>
  <c r="BJ85" i="3"/>
  <c r="BF85" i="3"/>
  <c r="BA85" i="3"/>
  <c r="BR84" i="3"/>
  <c r="BJ84" i="3"/>
  <c r="BF84" i="3"/>
  <c r="BA84" i="3"/>
  <c r="BR83" i="3"/>
  <c r="BJ83" i="3"/>
  <c r="BF83" i="3"/>
  <c r="BA83" i="3"/>
  <c r="BR82" i="3"/>
  <c r="BJ82" i="3"/>
  <c r="BF82" i="3"/>
  <c r="BA82" i="3"/>
  <c r="BR81" i="3"/>
  <c r="BM81" i="3" a="1"/>
  <c r="BM81" i="3" s="1"/>
  <c r="BQ81" i="3" s="1"/>
  <c r="BJ81" i="3"/>
  <c r="BF81" i="3"/>
  <c r="BA81" i="3"/>
  <c r="BA80" i="3"/>
  <c r="BR78" i="3"/>
  <c r="BJ78" i="3"/>
  <c r="BF78" i="3"/>
  <c r="BR77" i="3"/>
  <c r="BM77" i="3" a="1"/>
  <c r="BM77" i="3" s="1"/>
  <c r="BQ77" i="3" s="1"/>
  <c r="BJ77" i="3"/>
  <c r="BF77" i="3"/>
  <c r="BA77" i="3"/>
  <c r="BR76" i="3"/>
  <c r="BM76" i="3" a="1"/>
  <c r="BM76" i="3" s="1"/>
  <c r="BQ76" i="3" s="1"/>
  <c r="BJ76" i="3"/>
  <c r="BF76" i="3"/>
  <c r="BA76" i="3"/>
  <c r="BR75" i="3"/>
  <c r="BJ75" i="3"/>
  <c r="BF75" i="3"/>
  <c r="BR74" i="3"/>
  <c r="BJ74" i="3"/>
  <c r="BF74" i="3"/>
  <c r="BR73" i="3"/>
  <c r="BJ73" i="3"/>
  <c r="BF73" i="3"/>
  <c r="BA73" i="3"/>
  <c r="BR72" i="3"/>
  <c r="BJ72" i="3"/>
  <c r="BF72" i="3"/>
  <c r="BA72" i="3"/>
  <c r="BR71" i="3"/>
  <c r="BJ71" i="3"/>
  <c r="BF71" i="3"/>
  <c r="BR70" i="3"/>
  <c r="BJ70" i="3"/>
  <c r="BF70" i="3"/>
  <c r="BR69" i="3"/>
  <c r="BJ69" i="3"/>
  <c r="BF69" i="3"/>
  <c r="BA69" i="3"/>
  <c r="BR68" i="3"/>
  <c r="BJ68" i="3"/>
  <c r="BF68" i="3"/>
  <c r="BA68" i="3"/>
  <c r="BR67" i="3"/>
  <c r="BJ67" i="3"/>
  <c r="BF67" i="3"/>
  <c r="BA67" i="3"/>
  <c r="BR66" i="3"/>
  <c r="BJ66" i="3"/>
  <c r="BF66" i="3"/>
  <c r="BA66" i="3"/>
  <c r="BR65" i="3"/>
  <c r="BJ65" i="3"/>
  <c r="BF65" i="3"/>
  <c r="BA65" i="3"/>
  <c r="BR64" i="3"/>
  <c r="BJ64" i="3"/>
  <c r="BF64" i="3"/>
  <c r="BA64" i="3"/>
  <c r="BR63" i="3"/>
  <c r="BJ63" i="3"/>
  <c r="BF63" i="3"/>
  <c r="BR62" i="3"/>
  <c r="BM62" i="3" a="1"/>
  <c r="BM62" i="3" s="1"/>
  <c r="BJ62" i="3"/>
  <c r="BF62" i="3"/>
  <c r="BA62" i="3"/>
  <c r="BR61" i="3"/>
  <c r="BJ61" i="3"/>
  <c r="BF61" i="3"/>
  <c r="BA61" i="3"/>
  <c r="BR60" i="3"/>
  <c r="BM60" i="3" a="1"/>
  <c r="BM60" i="3" s="1"/>
  <c r="BQ60" i="3" s="1"/>
  <c r="BJ60" i="3"/>
  <c r="BF60" i="3"/>
  <c r="BA60" i="3"/>
  <c r="BR59" i="3"/>
  <c r="BM59" i="3" a="1"/>
  <c r="BM59" i="3" s="1"/>
  <c r="BQ59" i="3" s="1"/>
  <c r="BJ59" i="3"/>
  <c r="BF59" i="3"/>
  <c r="BA59" i="3"/>
  <c r="BR58" i="3"/>
  <c r="BM58" i="3" a="1"/>
  <c r="BM58" i="3" s="1"/>
  <c r="BQ58" i="3" s="1"/>
  <c r="BJ58" i="3"/>
  <c r="BF58" i="3"/>
  <c r="BA58" i="3"/>
  <c r="BR57" i="3"/>
  <c r="BM57" i="3" a="1"/>
  <c r="BM57" i="3" s="1"/>
  <c r="BQ57" i="3" s="1"/>
  <c r="BJ57" i="3"/>
  <c r="BF57" i="3"/>
  <c r="BA57" i="3"/>
  <c r="BR56" i="3"/>
  <c r="BM56" i="3" a="1"/>
  <c r="BM56" i="3" s="1"/>
  <c r="BQ56" i="3" s="1"/>
  <c r="BJ56" i="3"/>
  <c r="BF56" i="3"/>
  <c r="BA56" i="3"/>
  <c r="BR55" i="3"/>
  <c r="BM55" i="3" a="1"/>
  <c r="BM55" i="3" s="1"/>
  <c r="BQ55" i="3" s="1"/>
  <c r="BJ55" i="3"/>
  <c r="BF55" i="3"/>
  <c r="BA55" i="3"/>
  <c r="BA54" i="3"/>
  <c r="BA53" i="3"/>
  <c r="BA50" i="3"/>
  <c r="BA49" i="3"/>
  <c r="BR48" i="3"/>
  <c r="BJ48" i="3"/>
  <c r="BF48" i="3"/>
  <c r="BA48" i="3"/>
  <c r="BR47" i="3"/>
  <c r="BJ47" i="3"/>
  <c r="BF47" i="3"/>
  <c r="BA47" i="3"/>
  <c r="BA45" i="3"/>
  <c r="BA44" i="3"/>
  <c r="BA42" i="3"/>
  <c r="BR41" i="3"/>
  <c r="BJ41" i="3"/>
  <c r="BF41" i="3"/>
  <c r="BA41" i="3"/>
  <c r="BR40" i="3"/>
  <c r="BJ40" i="3"/>
  <c r="BF40" i="3"/>
  <c r="BA40" i="3"/>
  <c r="BR39" i="3"/>
  <c r="BJ39" i="3"/>
  <c r="BF39" i="3"/>
  <c r="BR38" i="3"/>
  <c r="BJ38" i="3"/>
  <c r="BF38" i="3"/>
  <c r="BA38" i="3"/>
  <c r="BR37" i="3"/>
  <c r="BJ37" i="3"/>
  <c r="BF37" i="3"/>
  <c r="BA37" i="3"/>
  <c r="BR36" i="3"/>
  <c r="BJ36" i="3"/>
  <c r="BF36" i="3"/>
  <c r="BA36" i="3"/>
  <c r="BR35" i="3"/>
  <c r="BJ35" i="3"/>
  <c r="BF35" i="3"/>
  <c r="BA35" i="3"/>
  <c r="BR34" i="3"/>
  <c r="BJ34" i="3"/>
  <c r="BF34" i="3"/>
  <c r="BA34" i="3"/>
  <c r="BR33" i="3"/>
  <c r="BJ33" i="3"/>
  <c r="BF33" i="3"/>
  <c r="BA33" i="3"/>
  <c r="BR32" i="3"/>
  <c r="BJ32" i="3"/>
  <c r="BF32" i="3"/>
  <c r="BA32" i="3"/>
  <c r="BR31" i="3"/>
  <c r="BJ31" i="3"/>
  <c r="BF31" i="3"/>
  <c r="BR30" i="3"/>
  <c r="BJ30" i="3"/>
  <c r="BF30" i="3"/>
  <c r="BA29" i="3"/>
  <c r="BR28" i="3"/>
  <c r="BJ28" i="3"/>
  <c r="BF28" i="3"/>
  <c r="BA27" i="3"/>
  <c r="BR24" i="3"/>
  <c r="BJ24" i="3"/>
  <c r="BF24" i="3"/>
  <c r="BA24" i="3"/>
  <c r="BR23" i="3"/>
  <c r="BJ23" i="3"/>
  <c r="BF23" i="3"/>
  <c r="BA23" i="3"/>
  <c r="BR22" i="3"/>
  <c r="BJ22" i="3"/>
  <c r="BF22" i="3"/>
  <c r="BA22" i="3"/>
  <c r="BR21" i="3"/>
  <c r="BJ21" i="3"/>
  <c r="BF21" i="3"/>
  <c r="BA21" i="3"/>
  <c r="BR20" i="3"/>
  <c r="BJ20" i="3"/>
  <c r="BF20" i="3"/>
  <c r="BA20" i="3"/>
  <c r="BR19" i="3"/>
  <c r="BJ19" i="3"/>
  <c r="BF19" i="3"/>
  <c r="BR18" i="3"/>
  <c r="BJ18" i="3"/>
  <c r="BF18" i="3"/>
  <c r="BA18" i="3"/>
  <c r="BR17" i="3"/>
  <c r="BJ17" i="3"/>
  <c r="BF17" i="3"/>
  <c r="BA17" i="3"/>
  <c r="BR16" i="3"/>
  <c r="BJ16" i="3"/>
  <c r="BF16" i="3"/>
  <c r="BR15" i="3"/>
  <c r="BJ15" i="3"/>
  <c r="BF15" i="3"/>
  <c r="BR14" i="3"/>
  <c r="BJ14" i="3"/>
  <c r="BF14" i="3"/>
  <c r="BR13" i="3"/>
  <c r="BJ13" i="3"/>
  <c r="BF13" i="3"/>
  <c r="BR12" i="3"/>
  <c r="BJ12" i="3"/>
  <c r="BF12" i="3"/>
  <c r="BA12" i="3"/>
  <c r="BR11" i="3"/>
  <c r="BJ11" i="3"/>
  <c r="BF11" i="3"/>
  <c r="BR10" i="3"/>
  <c r="BJ10" i="3"/>
  <c r="BF10" i="3"/>
  <c r="BA10" i="3"/>
  <c r="BR9" i="3"/>
  <c r="BJ9" i="3"/>
  <c r="BF9" i="3"/>
  <c r="BR8" i="3"/>
  <c r="BJ8" i="3"/>
  <c r="BF8" i="3"/>
  <c r="BA8" i="3"/>
  <c r="BR7" i="3"/>
  <c r="BJ7" i="3"/>
  <c r="BF7" i="3"/>
  <c r="BR6" i="3"/>
  <c r="BJ6" i="3"/>
  <c r="BF6" i="3"/>
  <c r="BR5" i="3"/>
  <c r="BJ5" i="3"/>
  <c r="BF5" i="3"/>
  <c r="BA5" i="3"/>
  <c r="BR4" i="3"/>
  <c r="BJ4" i="3"/>
  <c r="BF4" i="3"/>
  <c r="BA4" i="3"/>
  <c r="BR3" i="3"/>
  <c r="BJ3" i="3"/>
  <c r="BF3" i="3"/>
  <c r="BH161" i="3" l="1"/>
  <c r="F161" i="5" s="1"/>
  <c r="AS161" i="3"/>
  <c r="BI164" i="3"/>
  <c r="BL164" i="3"/>
  <c r="BN161" i="1" a="1"/>
  <c r="BN161" i="1" s="1"/>
  <c r="AE164" i="1"/>
  <c r="AF162" i="1"/>
  <c r="AF166" i="1"/>
  <c r="AD166" i="1"/>
  <c r="AE166" i="1"/>
  <c r="AF164" i="1"/>
  <c r="AG164" i="1"/>
  <c r="AG162" i="1"/>
  <c r="AD162" i="1"/>
  <c r="V162" i="1"/>
  <c r="U162" i="1"/>
  <c r="T162" i="1"/>
  <c r="U161" i="1"/>
  <c r="G161" i="5"/>
  <c r="S161" i="1"/>
  <c r="T161" i="1"/>
  <c r="V161" i="1"/>
  <c r="BE161" i="3"/>
  <c r="BL161" i="3" s="1"/>
  <c r="AH161" i="1"/>
  <c r="BG161" i="3"/>
  <c r="BO161" i="3" s="1"/>
  <c r="BS161" i="3" s="1"/>
  <c r="AC161" i="1"/>
  <c r="BI161" i="1"/>
  <c r="BX161" i="1"/>
  <c r="AM161" i="1"/>
  <c r="BO166" i="3"/>
  <c r="BS166" i="3" s="1"/>
  <c r="BK166" i="3"/>
  <c r="AF165" i="1"/>
  <c r="AG165" i="1"/>
  <c r="AD165" i="1"/>
  <c r="V164" i="1"/>
  <c r="T164" i="1"/>
  <c r="S164" i="1"/>
  <c r="U164" i="1"/>
  <c r="AD163" i="1"/>
  <c r="AF163" i="1"/>
  <c r="AE163" i="1"/>
  <c r="AG163" i="1"/>
  <c r="BP161" i="3"/>
  <c r="D161" i="5" s="1"/>
  <c r="AO4" i="3"/>
  <c r="AO5" i="3"/>
  <c r="AO8" i="3"/>
  <c r="AO10" i="3"/>
  <c r="AO12" i="3"/>
  <c r="AO17" i="3"/>
  <c r="AO18" i="3"/>
  <c r="AO20" i="3"/>
  <c r="AO21" i="3"/>
  <c r="AO22" i="3"/>
  <c r="AO23" i="3"/>
  <c r="AO24" i="3"/>
  <c r="AO27" i="3"/>
  <c r="AO29" i="3"/>
  <c r="AO32" i="3"/>
  <c r="AO33" i="3"/>
  <c r="AO34" i="3"/>
  <c r="AO35" i="3"/>
  <c r="AO36" i="3"/>
  <c r="AO37" i="3"/>
  <c r="AO38" i="3"/>
  <c r="AO40" i="3"/>
  <c r="AO41" i="3"/>
  <c r="AO42" i="3"/>
  <c r="AO44" i="3"/>
  <c r="AO45" i="3"/>
  <c r="AO47" i="3"/>
  <c r="AO48" i="3"/>
  <c r="AO49" i="3"/>
  <c r="AO50" i="3"/>
  <c r="AO53" i="3"/>
  <c r="AO54" i="3"/>
  <c r="AO55" i="3"/>
  <c r="BD55" i="3" s="1"/>
  <c r="AP55" i="3"/>
  <c r="BE55" i="3" s="1"/>
  <c r="AQ55" i="3"/>
  <c r="AO56" i="3"/>
  <c r="BD56" i="3" s="1"/>
  <c r="AP56" i="3"/>
  <c r="BE56" i="3" s="1"/>
  <c r="BL56" i="3" s="1"/>
  <c r="AQ56" i="3"/>
  <c r="BG56" i="3" s="1"/>
  <c r="AO57" i="3"/>
  <c r="BD57" i="3" s="1"/>
  <c r="BH57" i="3" s="1"/>
  <c r="AP57" i="3"/>
  <c r="BE57" i="3" s="1"/>
  <c r="AQ57" i="3"/>
  <c r="AO58" i="3"/>
  <c r="BD58" i="3" s="1"/>
  <c r="AP58" i="3"/>
  <c r="BE58" i="3" s="1"/>
  <c r="BL58" i="3" s="1"/>
  <c r="AQ58" i="3"/>
  <c r="AO59" i="3"/>
  <c r="BD59" i="3" s="1"/>
  <c r="AP59" i="3"/>
  <c r="BE59" i="3" s="1"/>
  <c r="AQ59" i="3"/>
  <c r="AO60" i="3"/>
  <c r="BD60" i="3" s="1"/>
  <c r="BH60" i="3" s="1"/>
  <c r="AP60" i="3"/>
  <c r="BE60" i="3" s="1"/>
  <c r="AQ60" i="3"/>
  <c r="AO61" i="3"/>
  <c r="AO62" i="3"/>
  <c r="BD62" i="3" s="1"/>
  <c r="AP62" i="3"/>
  <c r="BE62" i="3" s="1"/>
  <c r="AQ62" i="3"/>
  <c r="AY62" i="3" s="1"/>
  <c r="AO64" i="3"/>
  <c r="AO65" i="3"/>
  <c r="AO66" i="3"/>
  <c r="AO67" i="3"/>
  <c r="AO68" i="3"/>
  <c r="AO69" i="3"/>
  <c r="AO72" i="3"/>
  <c r="AO73" i="3"/>
  <c r="AO76" i="3"/>
  <c r="BD76" i="3" s="1"/>
  <c r="BH76" i="3" s="1"/>
  <c r="AP76" i="3"/>
  <c r="BE76" i="3" s="1"/>
  <c r="AQ76" i="3"/>
  <c r="AO77" i="3"/>
  <c r="BD77" i="3" s="1"/>
  <c r="BH77" i="3" s="1"/>
  <c r="AP77" i="3"/>
  <c r="BE77" i="3" s="1"/>
  <c r="AQ77" i="3"/>
  <c r="AY77" i="3" s="1"/>
  <c r="AQ79" i="3"/>
  <c r="BG79" i="3" s="1"/>
  <c r="AO80" i="3"/>
  <c r="AO81" i="3"/>
  <c r="BD81" i="3" s="1"/>
  <c r="BH81" i="3" s="1"/>
  <c r="AP81" i="3"/>
  <c r="BE81" i="3" s="1"/>
  <c r="AQ81" i="3"/>
  <c r="AY81" i="3" s="1"/>
  <c r="AO82" i="3"/>
  <c r="AO83" i="3"/>
  <c r="AO84" i="3"/>
  <c r="AO85" i="3"/>
  <c r="AO87" i="3"/>
  <c r="AO88" i="3"/>
  <c r="AO89" i="3"/>
  <c r="BD89" i="3" s="1"/>
  <c r="BH89" i="3" s="1"/>
  <c r="AP89" i="3"/>
  <c r="BE89" i="3" s="1"/>
  <c r="AQ89" i="3"/>
  <c r="AY89" i="3" s="1"/>
  <c r="AO93" i="3"/>
  <c r="BD93" i="3" s="1"/>
  <c r="AP93" i="3"/>
  <c r="BE93" i="3" s="1"/>
  <c r="AQ93" i="3"/>
  <c r="BG93" i="3" s="1"/>
  <c r="BO93" i="3" s="1"/>
  <c r="BS93" i="3" s="1"/>
  <c r="AO94" i="3"/>
  <c r="BD94" i="3" s="1"/>
  <c r="AP94" i="3"/>
  <c r="BE94" i="3" s="1"/>
  <c r="AQ94" i="3"/>
  <c r="AO95" i="3"/>
  <c r="AO96" i="3"/>
  <c r="AO97" i="3"/>
  <c r="AO98" i="3"/>
  <c r="BD98" i="3" s="1"/>
  <c r="AP98" i="3"/>
  <c r="BE98" i="3" s="1"/>
  <c r="AQ98" i="3"/>
  <c r="AO99" i="3"/>
  <c r="BD99" i="3" s="1"/>
  <c r="BH99" i="3" s="1"/>
  <c r="AP99" i="3"/>
  <c r="BE99" i="3" s="1"/>
  <c r="AQ99" i="3"/>
  <c r="BG99" i="3" s="1"/>
  <c r="BO99" i="3" s="1"/>
  <c r="AO100" i="3"/>
  <c r="BD100" i="3" s="1"/>
  <c r="AP100" i="3"/>
  <c r="BE100" i="3" s="1"/>
  <c r="AQ100" i="3"/>
  <c r="AO101" i="3"/>
  <c r="BD101" i="3" s="1"/>
  <c r="AP101" i="3"/>
  <c r="BE101" i="3" s="1"/>
  <c r="BQ101" i="3" s="1"/>
  <c r="AQ101" i="3"/>
  <c r="AO102" i="3"/>
  <c r="BD102" i="3" s="1"/>
  <c r="AP102" i="3"/>
  <c r="BE102" i="3" s="1"/>
  <c r="BQ102" i="3" s="1"/>
  <c r="AQ102" i="3"/>
  <c r="AY102" i="3" s="1"/>
  <c r="AO103" i="3"/>
  <c r="AO104" i="3"/>
  <c r="AO105" i="3"/>
  <c r="AO106" i="3"/>
  <c r="AO107" i="3"/>
  <c r="AO108" i="3"/>
  <c r="AO109" i="3"/>
  <c r="BD109" i="3" s="1"/>
  <c r="AP109" i="3"/>
  <c r="BE109" i="3" s="1"/>
  <c r="BL109" i="3" s="1"/>
  <c r="AQ109" i="3"/>
  <c r="BG109" i="3" s="1"/>
  <c r="AQ110" i="3"/>
  <c r="AO114" i="3"/>
  <c r="BD114" i="3" s="1"/>
  <c r="AP114" i="3"/>
  <c r="BE114" i="3" s="1"/>
  <c r="AQ114" i="3"/>
  <c r="AY114" i="3" s="1"/>
  <c r="AO116" i="3"/>
  <c r="BD116" i="3" s="1"/>
  <c r="AP116" i="3"/>
  <c r="BE116" i="3" s="1"/>
  <c r="AQ116" i="3"/>
  <c r="AO117" i="3"/>
  <c r="BD117" i="3" s="1"/>
  <c r="AP117" i="3"/>
  <c r="BE117" i="3" s="1"/>
  <c r="BQ117" i="3" s="1"/>
  <c r="AQ117" i="3"/>
  <c r="BG117" i="3" s="1"/>
  <c r="AO118" i="3"/>
  <c r="BD118" i="3" s="1"/>
  <c r="BH118" i="3" s="1"/>
  <c r="AP118" i="3"/>
  <c r="BE118" i="3" s="1"/>
  <c r="AQ118" i="3"/>
  <c r="AO119" i="3"/>
  <c r="BD119" i="3" s="1"/>
  <c r="BH119" i="3" s="1"/>
  <c r="AP119" i="3"/>
  <c r="BE119" i="3" s="1"/>
  <c r="AQ119" i="3"/>
  <c r="AO121" i="3"/>
  <c r="AO122" i="3"/>
  <c r="BD122" i="3" s="1"/>
  <c r="BH122" i="3" s="1"/>
  <c r="AP122" i="3"/>
  <c r="BE122" i="3" s="1"/>
  <c r="AQ122" i="3"/>
  <c r="AY122" i="3" s="1"/>
  <c r="AO123" i="3"/>
  <c r="BD123" i="3" s="1"/>
  <c r="AP123" i="3"/>
  <c r="BE123" i="3" s="1"/>
  <c r="BL123" i="3" s="1"/>
  <c r="AQ123" i="3"/>
  <c r="AY123" i="3" s="1"/>
  <c r="AO125" i="3"/>
  <c r="AO126" i="3"/>
  <c r="AO127" i="3"/>
  <c r="AO128" i="3"/>
  <c r="BD128" i="3" s="1"/>
  <c r="AP128" i="3"/>
  <c r="BE128" i="3" s="1"/>
  <c r="AQ128" i="3"/>
  <c r="AY128" i="3" s="1"/>
  <c r="AO129" i="3"/>
  <c r="AO130" i="3"/>
  <c r="BD130" i="3" s="1"/>
  <c r="AP130" i="3"/>
  <c r="BE130" i="3" s="1"/>
  <c r="AQ130" i="3"/>
  <c r="AO131" i="3"/>
  <c r="BD131" i="3" s="1"/>
  <c r="BH131" i="3" s="1"/>
  <c r="AP131" i="3"/>
  <c r="BE131" i="3" s="1"/>
  <c r="AQ131" i="3"/>
  <c r="AO133" i="3"/>
  <c r="BD133" i="3" s="1"/>
  <c r="AP133" i="3"/>
  <c r="BE133" i="3" s="1"/>
  <c r="BL133" i="3" s="1"/>
  <c r="AQ133" i="3"/>
  <c r="AO134" i="3"/>
  <c r="BD134" i="3" s="1"/>
  <c r="AP134" i="3"/>
  <c r="BE134" i="3" s="1"/>
  <c r="AQ134" i="3"/>
  <c r="AY134" i="3" s="1"/>
  <c r="AQ137" i="3"/>
  <c r="AO138" i="3"/>
  <c r="BD138" i="3" s="1"/>
  <c r="BH138" i="3" s="1"/>
  <c r="AP138" i="3"/>
  <c r="BE138" i="3" s="1"/>
  <c r="BQ138" i="3" s="1"/>
  <c r="AQ138" i="3"/>
  <c r="BG138" i="3" s="1"/>
  <c r="AO140" i="3"/>
  <c r="BD140" i="3" s="1"/>
  <c r="AP140" i="3"/>
  <c r="BE140" i="3" s="1"/>
  <c r="AQ140" i="3"/>
  <c r="AY140" i="3" s="1"/>
  <c r="AO150" i="3"/>
  <c r="BD150" i="3" s="1"/>
  <c r="AP150" i="3"/>
  <c r="BE150" i="3" s="1"/>
  <c r="BL150" i="3" s="1"/>
  <c r="AQ150" i="3"/>
  <c r="AY150" i="3" s="1"/>
  <c r="AO158" i="3"/>
  <c r="BD158" i="3" s="1"/>
  <c r="AP158" i="3"/>
  <c r="BE158" i="3" s="1"/>
  <c r="AQ158" i="3"/>
  <c r="AO160" i="3"/>
  <c r="O3" i="1"/>
  <c r="BY3" i="1" s="1"/>
  <c r="W3" i="1"/>
  <c r="X3" i="1" s="1"/>
  <c r="AB3" i="1"/>
  <c r="AX3" i="1"/>
  <c r="AZ3" i="1"/>
  <c r="BK3" i="1"/>
  <c r="BR3" i="1"/>
  <c r="AV3" i="1" s="1"/>
  <c r="BT3" i="1"/>
  <c r="BW3" i="1"/>
  <c r="O4" i="1"/>
  <c r="W4" i="1"/>
  <c r="K4" i="5" s="1"/>
  <c r="L4" i="5" s="1"/>
  <c r="AB4" i="1"/>
  <c r="AN4" i="1"/>
  <c r="AX4" i="1"/>
  <c r="AZ4" i="1"/>
  <c r="BK4" i="1"/>
  <c r="BR4" i="1"/>
  <c r="AV4" i="1" s="1"/>
  <c r="BT4" i="1"/>
  <c r="BW4" i="1"/>
  <c r="O5" i="1"/>
  <c r="BY5" i="1" s="1"/>
  <c r="W5" i="1"/>
  <c r="Y5" i="1" s="1"/>
  <c r="AB5" i="1"/>
  <c r="AN5" i="1"/>
  <c r="AX5" i="1"/>
  <c r="AZ5" i="1"/>
  <c r="BK5" i="1"/>
  <c r="BR5" i="1"/>
  <c r="AV5" i="1" s="1"/>
  <c r="BT5" i="1"/>
  <c r="BW5" i="1"/>
  <c r="O6" i="1"/>
  <c r="BY6" i="1" s="1"/>
  <c r="W6" i="1"/>
  <c r="Y6" i="1" s="1"/>
  <c r="AB6" i="1"/>
  <c r="AX6" i="1"/>
  <c r="AZ6" i="1"/>
  <c r="BK6" i="1"/>
  <c r="BR6" i="1"/>
  <c r="AV6" i="1" s="1"/>
  <c r="BT6" i="1"/>
  <c r="BW6" i="1"/>
  <c r="O7" i="1"/>
  <c r="BY7" i="1" s="1"/>
  <c r="W7" i="1"/>
  <c r="Y7" i="1" s="1"/>
  <c r="AB7" i="1"/>
  <c r="AX7" i="1"/>
  <c r="AZ7" i="1"/>
  <c r="BK7" i="1"/>
  <c r="BR7" i="1"/>
  <c r="AV7" i="1" s="1"/>
  <c r="BT7" i="1"/>
  <c r="BW7" i="1"/>
  <c r="O8" i="1"/>
  <c r="BY8" i="1" s="1"/>
  <c r="W8" i="1"/>
  <c r="AB8" i="1"/>
  <c r="AN8" i="1"/>
  <c r="AX8" i="1"/>
  <c r="AZ8" i="1"/>
  <c r="BK8" i="1"/>
  <c r="BR8" i="1"/>
  <c r="AV8" i="1" s="1"/>
  <c r="BT8" i="1"/>
  <c r="BW8" i="1"/>
  <c r="O9" i="1"/>
  <c r="BY9" i="1" s="1"/>
  <c r="W9" i="1"/>
  <c r="Y9" i="1" s="1"/>
  <c r="AB9" i="1"/>
  <c r="AX9" i="1"/>
  <c r="AZ9" i="1"/>
  <c r="BK9" i="1"/>
  <c r="BR9" i="1"/>
  <c r="AV9" i="1" s="1"/>
  <c r="BT9" i="1"/>
  <c r="BW9" i="1"/>
  <c r="O10" i="1"/>
  <c r="BY10" i="1" s="1"/>
  <c r="W10" i="1"/>
  <c r="Y10" i="1" s="1"/>
  <c r="AB10" i="1"/>
  <c r="AN10" i="1"/>
  <c r="AX10" i="1"/>
  <c r="AZ10" i="1"/>
  <c r="BK10" i="1"/>
  <c r="BR10" i="1"/>
  <c r="AV10" i="1" s="1"/>
  <c r="BT10" i="1"/>
  <c r="BW10" i="1"/>
  <c r="O11" i="1"/>
  <c r="BY11" i="1" s="1"/>
  <c r="W11" i="1"/>
  <c r="Y11" i="1" s="1"/>
  <c r="AB11" i="1"/>
  <c r="AX11" i="1"/>
  <c r="AZ11" i="1"/>
  <c r="BK11" i="1"/>
  <c r="BR11" i="1"/>
  <c r="AV11" i="1" s="1"/>
  <c r="BT11" i="1"/>
  <c r="BW11" i="1"/>
  <c r="O12" i="1"/>
  <c r="BY12" i="1" s="1"/>
  <c r="W12" i="1"/>
  <c r="Z12" i="1" s="1"/>
  <c r="AB12" i="1"/>
  <c r="AN12" i="1"/>
  <c r="AX12" i="1"/>
  <c r="AZ12" i="1"/>
  <c r="BK12" i="1"/>
  <c r="BR12" i="1"/>
  <c r="AV12" i="1" s="1"/>
  <c r="BT12" i="1"/>
  <c r="BW12" i="1"/>
  <c r="O13" i="1"/>
  <c r="BY13" i="1" s="1"/>
  <c r="W13" i="1"/>
  <c r="AA13" i="1" s="1"/>
  <c r="AB13" i="1"/>
  <c r="AX13" i="1"/>
  <c r="AZ13" i="1"/>
  <c r="BK13" i="1"/>
  <c r="BR13" i="1"/>
  <c r="AV13" i="1" s="1"/>
  <c r="BT13" i="1"/>
  <c r="BW13" i="1"/>
  <c r="O14" i="1"/>
  <c r="BY14" i="1" s="1"/>
  <c r="W14" i="1"/>
  <c r="AA14" i="1" s="1"/>
  <c r="AB14" i="1"/>
  <c r="AX14" i="1"/>
  <c r="AZ14" i="1"/>
  <c r="BK14" i="1"/>
  <c r="BR14" i="1"/>
  <c r="AV14" i="1" s="1"/>
  <c r="BT14" i="1"/>
  <c r="BW14" i="1"/>
  <c r="O15" i="1"/>
  <c r="BY15" i="1" s="1"/>
  <c r="W15" i="1"/>
  <c r="AB15" i="1"/>
  <c r="AX15" i="1"/>
  <c r="AZ15" i="1"/>
  <c r="BK15" i="1"/>
  <c r="BR15" i="1"/>
  <c r="AV15" i="1" s="1"/>
  <c r="BT15" i="1"/>
  <c r="BW15" i="1"/>
  <c r="O16" i="1"/>
  <c r="BY16" i="1" s="1"/>
  <c r="W16" i="1"/>
  <c r="Z16" i="1" s="1"/>
  <c r="AB16" i="1"/>
  <c r="AX16" i="1"/>
  <c r="AZ16" i="1"/>
  <c r="BK16" i="1"/>
  <c r="BR16" i="1"/>
  <c r="AV16" i="1" s="1"/>
  <c r="BT16" i="1"/>
  <c r="BW16" i="1"/>
  <c r="O17" i="1"/>
  <c r="BY17" i="1" s="1"/>
  <c r="W17" i="1"/>
  <c r="Y17" i="1" s="1"/>
  <c r="AB17" i="1"/>
  <c r="AN17" i="1"/>
  <c r="AX17" i="1"/>
  <c r="AZ17" i="1"/>
  <c r="BK17" i="1"/>
  <c r="BR17" i="1"/>
  <c r="AV17" i="1" s="1"/>
  <c r="BT17" i="1"/>
  <c r="BW17" i="1"/>
  <c r="O18" i="1"/>
  <c r="BY18" i="1" s="1"/>
  <c r="W18" i="1"/>
  <c r="AA18" i="1" s="1"/>
  <c r="AB18" i="1"/>
  <c r="AN18" i="1"/>
  <c r="AX18" i="1"/>
  <c r="AZ18" i="1"/>
  <c r="BK18" i="1"/>
  <c r="BR18" i="1"/>
  <c r="AV18" i="1" s="1"/>
  <c r="BT18" i="1"/>
  <c r="BW18" i="1"/>
  <c r="O19" i="1"/>
  <c r="BY19" i="1" s="1"/>
  <c r="W19" i="1"/>
  <c r="K19" i="5" s="1"/>
  <c r="L19" i="5" s="1"/>
  <c r="AB19" i="1"/>
  <c r="AX19" i="1"/>
  <c r="AZ19" i="1"/>
  <c r="BK19" i="1"/>
  <c r="BR19" i="1"/>
  <c r="AV19" i="1" s="1"/>
  <c r="BT19" i="1"/>
  <c r="BW19" i="1"/>
  <c r="O20" i="1"/>
  <c r="BY20" i="1" s="1"/>
  <c r="W20" i="1"/>
  <c r="Y20" i="1" s="1"/>
  <c r="AB20" i="1"/>
  <c r="AN20" i="1"/>
  <c r="AX20" i="1"/>
  <c r="AZ20" i="1"/>
  <c r="BK20" i="1"/>
  <c r="BR20" i="1"/>
  <c r="AV20" i="1" s="1"/>
  <c r="BT20" i="1"/>
  <c r="BW20" i="1"/>
  <c r="O21" i="1"/>
  <c r="BY21" i="1" s="1"/>
  <c r="W21" i="1"/>
  <c r="AB21" i="1"/>
  <c r="AN21" i="1"/>
  <c r="AX21" i="1"/>
  <c r="AZ21" i="1"/>
  <c r="BK21" i="1"/>
  <c r="BR21" i="1"/>
  <c r="AV21" i="1" s="1"/>
  <c r="BT21" i="1"/>
  <c r="BW21" i="1"/>
  <c r="O22" i="1"/>
  <c r="BY22" i="1" s="1"/>
  <c r="W22" i="1"/>
  <c r="Y22" i="1" s="1"/>
  <c r="AB22" i="1"/>
  <c r="AN22" i="1"/>
  <c r="AX22" i="1"/>
  <c r="AZ22" i="1"/>
  <c r="BK22" i="1"/>
  <c r="BR22" i="1"/>
  <c r="AV22" i="1" s="1"/>
  <c r="BT22" i="1"/>
  <c r="BW22" i="1"/>
  <c r="O23" i="1"/>
  <c r="BY23" i="1" s="1"/>
  <c r="W23" i="1"/>
  <c r="Z23" i="1" s="1"/>
  <c r="AB23" i="1"/>
  <c r="AN23" i="1"/>
  <c r="I23" i="1" s="1"/>
  <c r="AX23" i="1"/>
  <c r="AZ23" i="1"/>
  <c r="BK23" i="1"/>
  <c r="BR23" i="1"/>
  <c r="AV23" i="1" s="1"/>
  <c r="BT23" i="1"/>
  <c r="BW23" i="1"/>
  <c r="O24" i="1"/>
  <c r="BY24" i="1" s="1"/>
  <c r="W24" i="1"/>
  <c r="Y24" i="1" s="1"/>
  <c r="AB24" i="1"/>
  <c r="AN24" i="1"/>
  <c r="I24" i="1" s="1"/>
  <c r="AX24" i="1"/>
  <c r="AZ24" i="1"/>
  <c r="BK24" i="1"/>
  <c r="BR24" i="1"/>
  <c r="AV24" i="1" s="1"/>
  <c r="BT24" i="1"/>
  <c r="BW24" i="1"/>
  <c r="O25" i="1"/>
  <c r="BY25" i="1" s="1"/>
  <c r="AB25" i="1"/>
  <c r="AX25" i="1"/>
  <c r="AZ25" i="1"/>
  <c r="BK25" i="1"/>
  <c r="BR25" i="1"/>
  <c r="AV25" i="1" s="1"/>
  <c r="BT25" i="1"/>
  <c r="BW25" i="1"/>
  <c r="O26" i="1"/>
  <c r="BY26" i="1" s="1"/>
  <c r="AB26" i="1"/>
  <c r="AX26" i="1"/>
  <c r="AZ26" i="1"/>
  <c r="BK26" i="1"/>
  <c r="BR26" i="1"/>
  <c r="AV26" i="1" s="1"/>
  <c r="BT26" i="1"/>
  <c r="BW26" i="1"/>
  <c r="O27" i="1"/>
  <c r="AB27" i="1"/>
  <c r="AN27" i="1"/>
  <c r="AX27" i="1"/>
  <c r="AZ27" i="1"/>
  <c r="BK27" i="1"/>
  <c r="BR27" i="1"/>
  <c r="AV27" i="1" s="1"/>
  <c r="BT27" i="1"/>
  <c r="BW27" i="1"/>
  <c r="O28" i="1"/>
  <c r="BY28" i="1" s="1"/>
  <c r="W28" i="1"/>
  <c r="K28" i="5" s="1"/>
  <c r="AB28" i="1"/>
  <c r="AX28" i="1"/>
  <c r="AZ28" i="1"/>
  <c r="BK28" i="1"/>
  <c r="BR28" i="1"/>
  <c r="AV28" i="1" s="1"/>
  <c r="BT28" i="1"/>
  <c r="BW28" i="1"/>
  <c r="O29" i="1"/>
  <c r="AB29" i="1"/>
  <c r="AN29" i="1"/>
  <c r="AX29" i="1"/>
  <c r="AZ29" i="1"/>
  <c r="BK29" i="1"/>
  <c r="BR29" i="1"/>
  <c r="AV29" i="1" s="1"/>
  <c r="BT29" i="1"/>
  <c r="BW29" i="1"/>
  <c r="O30" i="1"/>
  <c r="BY30" i="1" s="1"/>
  <c r="W30" i="1"/>
  <c r="AB30" i="1"/>
  <c r="AX30" i="1"/>
  <c r="AZ30" i="1"/>
  <c r="BK30" i="1"/>
  <c r="BR30" i="1"/>
  <c r="AV30" i="1" s="1"/>
  <c r="BT30" i="1"/>
  <c r="BW30" i="1"/>
  <c r="O31" i="1"/>
  <c r="BY31" i="1" s="1"/>
  <c r="W31" i="1"/>
  <c r="K31" i="5" s="1"/>
  <c r="L31" i="5" s="1"/>
  <c r="AB31" i="1"/>
  <c r="AX31" i="1"/>
  <c r="AZ31" i="1"/>
  <c r="BK31" i="1"/>
  <c r="BR31" i="1"/>
  <c r="AV31" i="1" s="1"/>
  <c r="BT31" i="1"/>
  <c r="BW31" i="1"/>
  <c r="O32" i="1"/>
  <c r="W32" i="1"/>
  <c r="AB32" i="1"/>
  <c r="AN32" i="1"/>
  <c r="AX32" i="1"/>
  <c r="AZ32" i="1"/>
  <c r="BK32" i="1"/>
  <c r="BR32" i="1"/>
  <c r="AV32" i="1" s="1"/>
  <c r="BT32" i="1"/>
  <c r="BW32" i="1"/>
  <c r="O33" i="1"/>
  <c r="BY33" i="1" s="1"/>
  <c r="W33" i="1"/>
  <c r="AB33" i="1"/>
  <c r="AN33" i="1"/>
  <c r="AX33" i="1"/>
  <c r="AZ33" i="1"/>
  <c r="BK33" i="1"/>
  <c r="BR33" i="1"/>
  <c r="AV33" i="1" s="1"/>
  <c r="BT33" i="1"/>
  <c r="BW33" i="1"/>
  <c r="O34" i="1"/>
  <c r="BY34" i="1" s="1"/>
  <c r="W34" i="1"/>
  <c r="K34" i="5" s="1"/>
  <c r="AB34" i="1"/>
  <c r="AN34" i="1"/>
  <c r="AX34" i="1"/>
  <c r="AZ34" i="1"/>
  <c r="BK34" i="1"/>
  <c r="BR34" i="1"/>
  <c r="AV34" i="1" s="1"/>
  <c r="BT34" i="1"/>
  <c r="BW34" i="1"/>
  <c r="O35" i="1"/>
  <c r="W35" i="1"/>
  <c r="Y35" i="1" s="1"/>
  <c r="AB35" i="1"/>
  <c r="AN35" i="1"/>
  <c r="AX35" i="1"/>
  <c r="AZ35" i="1"/>
  <c r="BK35" i="1"/>
  <c r="BR35" i="1"/>
  <c r="AV35" i="1" s="1"/>
  <c r="BT35" i="1"/>
  <c r="BW35" i="1"/>
  <c r="O36" i="1"/>
  <c r="BY36" i="1" s="1"/>
  <c r="W36" i="1"/>
  <c r="X36" i="1" s="1"/>
  <c r="AB36" i="1"/>
  <c r="AN36" i="1"/>
  <c r="AX36" i="1"/>
  <c r="AZ36" i="1"/>
  <c r="BK36" i="1"/>
  <c r="BR36" i="1"/>
  <c r="AV36" i="1" s="1"/>
  <c r="BT36" i="1"/>
  <c r="BW36" i="1"/>
  <c r="O37" i="1"/>
  <c r="BY37" i="1" s="1"/>
  <c r="W37" i="1"/>
  <c r="Z37" i="1" s="1"/>
  <c r="AB37" i="1"/>
  <c r="AN37" i="1"/>
  <c r="AX37" i="1"/>
  <c r="AZ37" i="1"/>
  <c r="BK37" i="1"/>
  <c r="BR37" i="1"/>
  <c r="AV37" i="1" s="1"/>
  <c r="BT37" i="1"/>
  <c r="BW37" i="1"/>
  <c r="O38" i="1"/>
  <c r="BY38" i="1" s="1"/>
  <c r="W38" i="1"/>
  <c r="AB38" i="1"/>
  <c r="AN38" i="1"/>
  <c r="AX38" i="1"/>
  <c r="AZ38" i="1"/>
  <c r="BK38" i="1"/>
  <c r="BR38" i="1"/>
  <c r="AV38" i="1" s="1"/>
  <c r="BT38" i="1"/>
  <c r="BW38" i="1"/>
  <c r="O39" i="1"/>
  <c r="BY39" i="1" s="1"/>
  <c r="W39" i="1"/>
  <c r="Z39" i="1" s="1"/>
  <c r="AB39" i="1"/>
  <c r="AX39" i="1"/>
  <c r="AZ39" i="1"/>
  <c r="BK39" i="1"/>
  <c r="BR39" i="1"/>
  <c r="AV39" i="1" s="1"/>
  <c r="BT39" i="1"/>
  <c r="BW39" i="1"/>
  <c r="O40" i="1"/>
  <c r="BY40" i="1" s="1"/>
  <c r="W40" i="1"/>
  <c r="X40" i="1" s="1"/>
  <c r="AB40" i="1"/>
  <c r="AN40" i="1"/>
  <c r="AX40" i="1"/>
  <c r="AZ40" i="1"/>
  <c r="BR40" i="1"/>
  <c r="AV40" i="1" s="1"/>
  <c r="BT40" i="1"/>
  <c r="BW40" i="1"/>
  <c r="O41" i="1"/>
  <c r="W41" i="1"/>
  <c r="K41" i="5" s="1"/>
  <c r="L41" i="5" s="1"/>
  <c r="AB41" i="1"/>
  <c r="AN41" i="1"/>
  <c r="AX41" i="1"/>
  <c r="AZ41" i="1"/>
  <c r="BK41" i="1"/>
  <c r="BR41" i="1"/>
  <c r="AV41" i="1" s="1"/>
  <c r="BT41" i="1"/>
  <c r="BW41" i="1"/>
  <c r="O42" i="1"/>
  <c r="BY42" i="1" s="1"/>
  <c r="AB42" i="1"/>
  <c r="AN42" i="1"/>
  <c r="AX42" i="1"/>
  <c r="AZ42" i="1"/>
  <c r="BK42" i="1"/>
  <c r="BR42" i="1"/>
  <c r="AV42" i="1" s="1"/>
  <c r="BT42" i="1"/>
  <c r="BW42" i="1"/>
  <c r="O43" i="1"/>
  <c r="BY43" i="1" s="1"/>
  <c r="AB43" i="1"/>
  <c r="AX43" i="1"/>
  <c r="AZ43" i="1"/>
  <c r="BK43" i="1"/>
  <c r="BR43" i="1"/>
  <c r="AV43" i="1" s="1"/>
  <c r="BT43" i="1"/>
  <c r="BW43" i="1"/>
  <c r="O44" i="1"/>
  <c r="BY44" i="1" s="1"/>
  <c r="AB44" i="1"/>
  <c r="AN44" i="1"/>
  <c r="AX44" i="1"/>
  <c r="AZ44" i="1"/>
  <c r="BK44" i="1"/>
  <c r="BR44" i="1"/>
  <c r="AV44" i="1" s="1"/>
  <c r="BT44" i="1"/>
  <c r="BW44" i="1"/>
  <c r="O45" i="1"/>
  <c r="BY45" i="1" s="1"/>
  <c r="AB45" i="1"/>
  <c r="AN45" i="1"/>
  <c r="AX45" i="1"/>
  <c r="AZ45" i="1"/>
  <c r="BK45" i="1"/>
  <c r="BR45" i="1"/>
  <c r="AV45" i="1" s="1"/>
  <c r="BT45" i="1"/>
  <c r="BW45" i="1"/>
  <c r="O46" i="1"/>
  <c r="BY46" i="1" s="1"/>
  <c r="AB46" i="1"/>
  <c r="AX46" i="1"/>
  <c r="AZ46" i="1"/>
  <c r="BK46" i="1"/>
  <c r="BR46" i="1"/>
  <c r="AV46" i="1" s="1"/>
  <c r="BT46" i="1"/>
  <c r="BW46" i="1"/>
  <c r="O47" i="1"/>
  <c r="W47" i="1"/>
  <c r="K47" i="5" s="1"/>
  <c r="L47" i="5" s="1"/>
  <c r="AB47" i="1"/>
  <c r="AN47" i="1"/>
  <c r="AX47" i="1"/>
  <c r="AZ47" i="1"/>
  <c r="BK47" i="1"/>
  <c r="BR47" i="1"/>
  <c r="AV47" i="1" s="1"/>
  <c r="BT47" i="1"/>
  <c r="BW47" i="1"/>
  <c r="O48" i="1"/>
  <c r="W48" i="1"/>
  <c r="AA48" i="1" s="1"/>
  <c r="AB48" i="1"/>
  <c r="AN48" i="1"/>
  <c r="AX48" i="1"/>
  <c r="AZ48" i="1"/>
  <c r="BK48" i="1"/>
  <c r="BR48" i="1"/>
  <c r="AV48" i="1" s="1"/>
  <c r="BT48" i="1"/>
  <c r="BW48" i="1"/>
  <c r="BX48" i="1"/>
  <c r="O49" i="1"/>
  <c r="BY49" i="1" s="1"/>
  <c r="AB49" i="1"/>
  <c r="AN49" i="1"/>
  <c r="AX49" i="1"/>
  <c r="AZ49" i="1"/>
  <c r="BK49" i="1"/>
  <c r="BR49" i="1"/>
  <c r="AV49" i="1" s="1"/>
  <c r="BT49" i="1"/>
  <c r="BW49" i="1"/>
  <c r="O50" i="1"/>
  <c r="BY50" i="1" s="1"/>
  <c r="AB50" i="1"/>
  <c r="AN50" i="1"/>
  <c r="AX50" i="1"/>
  <c r="AZ50" i="1"/>
  <c r="BK50" i="1"/>
  <c r="BR50" i="1"/>
  <c r="AV50" i="1" s="1"/>
  <c r="BT50" i="1"/>
  <c r="BW50" i="1"/>
  <c r="O51" i="1"/>
  <c r="BY51" i="1" s="1"/>
  <c r="AB51" i="1"/>
  <c r="AX51" i="1"/>
  <c r="AZ51" i="1"/>
  <c r="BK51" i="1"/>
  <c r="BR51" i="1"/>
  <c r="AV51" i="1" s="1"/>
  <c r="BT51" i="1"/>
  <c r="BW51" i="1"/>
  <c r="O52" i="1"/>
  <c r="BY52" i="1" s="1"/>
  <c r="AB52" i="1"/>
  <c r="AX52" i="1"/>
  <c r="AZ52" i="1"/>
  <c r="BK52" i="1"/>
  <c r="BR52" i="1"/>
  <c r="AV52" i="1" s="1"/>
  <c r="BT52" i="1"/>
  <c r="BW52" i="1"/>
  <c r="O53" i="1"/>
  <c r="BY53" i="1" s="1"/>
  <c r="AB53" i="1"/>
  <c r="AN53" i="1"/>
  <c r="AX53" i="1"/>
  <c r="AZ53" i="1"/>
  <c r="BK53" i="1"/>
  <c r="BR53" i="1"/>
  <c r="AV53" i="1" s="1"/>
  <c r="BT53" i="1"/>
  <c r="BW53" i="1"/>
  <c r="O54" i="1"/>
  <c r="BY54" i="1" s="1"/>
  <c r="AB54" i="1"/>
  <c r="AN54" i="1"/>
  <c r="AX54" i="1"/>
  <c r="AZ54" i="1"/>
  <c r="BK54" i="1"/>
  <c r="BR54" i="1"/>
  <c r="AV54" i="1" s="1"/>
  <c r="BT54" i="1"/>
  <c r="BW54" i="1"/>
  <c r="M55" i="1"/>
  <c r="N55" i="1"/>
  <c r="O55" i="1"/>
  <c r="R55" i="1"/>
  <c r="V55" i="1" s="1"/>
  <c r="W55" i="1"/>
  <c r="K55" i="5" s="1"/>
  <c r="AB55" i="1"/>
  <c r="AH55" i="1"/>
  <c r="AN55" i="1"/>
  <c r="I55" i="1" s="1"/>
  <c r="AW55" i="1"/>
  <c r="AX55" i="1"/>
  <c r="AY55" i="1"/>
  <c r="AZ55" i="1"/>
  <c r="BA55" i="1"/>
  <c r="BG55" i="1"/>
  <c r="BH55" i="1"/>
  <c r="BK55" i="1"/>
  <c r="BM55" i="1"/>
  <c r="BR55" i="1"/>
  <c r="AV55" i="1" s="1"/>
  <c r="BT55" i="1"/>
  <c r="BW55" i="1"/>
  <c r="BZ55" i="1"/>
  <c r="CA55" i="1"/>
  <c r="CC55" i="1"/>
  <c r="CD55" i="1"/>
  <c r="CE55" i="1"/>
  <c r="CF55" i="1"/>
  <c r="CG55" i="1"/>
  <c r="CH55" i="1"/>
  <c r="M56" i="1"/>
  <c r="N56" i="1"/>
  <c r="O56" i="1"/>
  <c r="BY56" i="1" s="1"/>
  <c r="R56" i="1"/>
  <c r="U56" i="1" s="1"/>
  <c r="W56" i="1"/>
  <c r="Y56" i="1" s="1"/>
  <c r="AB56" i="1"/>
  <c r="AH56" i="1"/>
  <c r="AN56" i="1"/>
  <c r="I56" i="1" s="1"/>
  <c r="AW56" i="1"/>
  <c r="AX56" i="1"/>
  <c r="AY56" i="1"/>
  <c r="AZ56" i="1"/>
  <c r="BA56" i="1"/>
  <c r="BG56" i="1"/>
  <c r="BH56" i="1"/>
  <c r="BK56" i="1"/>
  <c r="BM56" i="1"/>
  <c r="BR56" i="1"/>
  <c r="AV56" i="1" s="1"/>
  <c r="BT56" i="1"/>
  <c r="BW56" i="1"/>
  <c r="BZ56" i="1"/>
  <c r="CA56" i="1"/>
  <c r="CC56" i="1"/>
  <c r="CD56" i="1"/>
  <c r="CE56" i="1"/>
  <c r="CF56" i="1"/>
  <c r="CG56" i="1"/>
  <c r="CH56" i="1"/>
  <c r="M57" i="1"/>
  <c r="N57" i="1"/>
  <c r="O57" i="1"/>
  <c r="BY57" i="1" s="1"/>
  <c r="R57" i="1"/>
  <c r="G57" i="5" s="1"/>
  <c r="W57" i="1"/>
  <c r="AB57" i="1"/>
  <c r="AH57" i="1"/>
  <c r="AN57" i="1"/>
  <c r="I57" i="1" s="1"/>
  <c r="AW57" i="1"/>
  <c r="AX57" i="1"/>
  <c r="AY57" i="1"/>
  <c r="AZ57" i="1"/>
  <c r="BA57" i="1"/>
  <c r="BG57" i="1"/>
  <c r="BJ57" i="1" s="1"/>
  <c r="BH57" i="1"/>
  <c r="BK57" i="1"/>
  <c r="BM57" i="1"/>
  <c r="BR57" i="1"/>
  <c r="AV57" i="1" s="1"/>
  <c r="BT57" i="1"/>
  <c r="BW57" i="1"/>
  <c r="BZ57" i="1"/>
  <c r="CA57" i="1"/>
  <c r="CC57" i="1"/>
  <c r="CD57" i="1"/>
  <c r="CE57" i="1"/>
  <c r="CF57" i="1"/>
  <c r="CG57" i="1"/>
  <c r="CH57" i="1"/>
  <c r="M58" i="1"/>
  <c r="N58" i="1"/>
  <c r="O58" i="1"/>
  <c r="BY58" i="1" s="1"/>
  <c r="R58" i="1"/>
  <c r="S58" i="1" s="1"/>
  <c r="W58" i="1"/>
  <c r="AB58" i="1"/>
  <c r="AH58" i="1"/>
  <c r="AN58" i="1"/>
  <c r="I58" i="1" s="1"/>
  <c r="AW58" i="1"/>
  <c r="AX58" i="1"/>
  <c r="AY58" i="1"/>
  <c r="AZ58" i="1"/>
  <c r="BA58" i="1"/>
  <c r="BG58" i="1"/>
  <c r="BJ58" i="1" s="1"/>
  <c r="BH58" i="1"/>
  <c r="BK58" i="1"/>
  <c r="BM58" i="1"/>
  <c r="BR58" i="1"/>
  <c r="AV58" i="1" s="1"/>
  <c r="BT58" i="1"/>
  <c r="BW58" i="1"/>
  <c r="BZ58" i="1"/>
  <c r="CA58" i="1"/>
  <c r="CC58" i="1"/>
  <c r="CD58" i="1"/>
  <c r="CE58" i="1"/>
  <c r="CF58" i="1"/>
  <c r="CG58" i="1"/>
  <c r="CH58" i="1"/>
  <c r="M59" i="1"/>
  <c r="N59" i="1"/>
  <c r="O59" i="1"/>
  <c r="BY59" i="1" s="1"/>
  <c r="R59" i="1"/>
  <c r="W59" i="1"/>
  <c r="K59" i="5" s="1"/>
  <c r="L59" i="5" s="1"/>
  <c r="AB59" i="1"/>
  <c r="AH59" i="1"/>
  <c r="AN59" i="1"/>
  <c r="I59" i="1" s="1"/>
  <c r="AW59" i="1"/>
  <c r="AX59" i="1"/>
  <c r="AY59" i="1"/>
  <c r="AZ59" i="1"/>
  <c r="BA59" i="1"/>
  <c r="BG59" i="1"/>
  <c r="BH59" i="1"/>
  <c r="BK59" i="1"/>
  <c r="BM59" i="1"/>
  <c r="BR59" i="1"/>
  <c r="AV59" i="1" s="1"/>
  <c r="BT59" i="1"/>
  <c r="BW59" i="1"/>
  <c r="BZ59" i="1"/>
  <c r="CA59" i="1"/>
  <c r="CC59" i="1"/>
  <c r="CD59" i="1"/>
  <c r="CE59" i="1"/>
  <c r="CF59" i="1"/>
  <c r="CG59" i="1"/>
  <c r="CH59" i="1"/>
  <c r="M60" i="1"/>
  <c r="N60" i="1"/>
  <c r="O60" i="1"/>
  <c r="BY60" i="1" s="1"/>
  <c r="R60" i="1"/>
  <c r="T60" i="1" s="1"/>
  <c r="W60" i="1"/>
  <c r="Z60" i="1" s="1"/>
  <c r="AB60" i="1"/>
  <c r="AH60" i="1"/>
  <c r="S60" i="5" s="1"/>
  <c r="T60" i="5" s="1"/>
  <c r="AN60" i="1"/>
  <c r="I60" i="1" s="1"/>
  <c r="AW60" i="1"/>
  <c r="AX60" i="1"/>
  <c r="AY60" i="1"/>
  <c r="AZ60" i="1"/>
  <c r="BA60" i="1"/>
  <c r="BG60" i="1"/>
  <c r="BH60" i="1"/>
  <c r="BK60" i="1"/>
  <c r="BM60" i="1"/>
  <c r="BR60" i="1"/>
  <c r="AV60" i="1" s="1"/>
  <c r="BT60" i="1"/>
  <c r="BW60" i="1"/>
  <c r="BZ60" i="1"/>
  <c r="CA60" i="1"/>
  <c r="CC60" i="1"/>
  <c r="CD60" i="1"/>
  <c r="CE60" i="1"/>
  <c r="CF60" i="1"/>
  <c r="CG60" i="1"/>
  <c r="CH60" i="1"/>
  <c r="O61" i="1"/>
  <c r="W61" i="1"/>
  <c r="AB61" i="1"/>
  <c r="AN61" i="1"/>
  <c r="AX61" i="1"/>
  <c r="AZ61" i="1"/>
  <c r="BK61" i="1"/>
  <c r="BR61" i="1"/>
  <c r="AV61" i="1" s="1"/>
  <c r="BT61" i="1"/>
  <c r="BW61" i="1"/>
  <c r="BX61" i="1"/>
  <c r="M62" i="1"/>
  <c r="N62" i="1"/>
  <c r="O62" i="1"/>
  <c r="BY62" i="1" s="1"/>
  <c r="R62" i="1"/>
  <c r="S62" i="1" s="1"/>
  <c r="W62" i="1"/>
  <c r="X62" i="1" s="1"/>
  <c r="AB62" i="1"/>
  <c r="AN62" i="1"/>
  <c r="I62" i="1" s="1"/>
  <c r="AW62" i="1"/>
  <c r="AX62" i="1"/>
  <c r="AY62" i="1"/>
  <c r="AZ62" i="1"/>
  <c r="BA62" i="1"/>
  <c r="BG62" i="1"/>
  <c r="BJ62" i="1" s="1"/>
  <c r="BH62" i="1"/>
  <c r="BI62" i="1" s="1"/>
  <c r="BK62" i="1"/>
  <c r="BM62" i="1"/>
  <c r="BR62" i="1"/>
  <c r="AV62" i="1" s="1"/>
  <c r="BT62" i="1"/>
  <c r="BW62" i="1"/>
  <c r="BZ62" i="1"/>
  <c r="CA62" i="1"/>
  <c r="CC62" i="1"/>
  <c r="CD62" i="1"/>
  <c r="CE62" i="1"/>
  <c r="CF62" i="1"/>
  <c r="CG62" i="1"/>
  <c r="CH62" i="1"/>
  <c r="O63" i="1"/>
  <c r="W63" i="1"/>
  <c r="X63" i="1" s="1"/>
  <c r="AB63" i="1"/>
  <c r="AX63" i="1"/>
  <c r="AZ63" i="1"/>
  <c r="BK63" i="1"/>
  <c r="BR63" i="1"/>
  <c r="AV63" i="1" s="1"/>
  <c r="BT63" i="1"/>
  <c r="BW63" i="1"/>
  <c r="O64" i="1"/>
  <c r="BY64" i="1" s="1"/>
  <c r="W64" i="1"/>
  <c r="Z64" i="1" s="1"/>
  <c r="AB64" i="1"/>
  <c r="AN64" i="1"/>
  <c r="I64" i="1" s="1"/>
  <c r="AX64" i="1"/>
  <c r="AZ64" i="1"/>
  <c r="BK64" i="1"/>
  <c r="BR64" i="1"/>
  <c r="AV64" i="1" s="1"/>
  <c r="BT64" i="1"/>
  <c r="BW64" i="1"/>
  <c r="O65" i="1"/>
  <c r="W65" i="1"/>
  <c r="Z65" i="1" s="1"/>
  <c r="AB65" i="1"/>
  <c r="AN65" i="1"/>
  <c r="AX65" i="1"/>
  <c r="AZ65" i="1"/>
  <c r="BK65" i="1"/>
  <c r="BR65" i="1"/>
  <c r="AV65" i="1" s="1"/>
  <c r="BT65" i="1"/>
  <c r="BW65" i="1"/>
  <c r="O66" i="1"/>
  <c r="BY66" i="1" s="1"/>
  <c r="W66" i="1"/>
  <c r="AA66" i="1" s="1"/>
  <c r="AB66" i="1"/>
  <c r="AN66" i="1"/>
  <c r="AX66" i="1"/>
  <c r="AZ66" i="1"/>
  <c r="BK66" i="1"/>
  <c r="BR66" i="1"/>
  <c r="AV66" i="1" s="1"/>
  <c r="BT66" i="1"/>
  <c r="BW66" i="1"/>
  <c r="O67" i="1"/>
  <c r="BY67" i="1" s="1"/>
  <c r="W67" i="1"/>
  <c r="Z67" i="1" s="1"/>
  <c r="AB67" i="1"/>
  <c r="AN67" i="1"/>
  <c r="AX67" i="1"/>
  <c r="AZ67" i="1"/>
  <c r="BK67" i="1"/>
  <c r="BR67" i="1"/>
  <c r="AV67" i="1" s="1"/>
  <c r="BT67" i="1"/>
  <c r="BW67" i="1"/>
  <c r="O68" i="1"/>
  <c r="BY68" i="1" s="1"/>
  <c r="W68" i="1"/>
  <c r="AA68" i="1" s="1"/>
  <c r="AB68" i="1"/>
  <c r="AN68" i="1"/>
  <c r="AX68" i="1"/>
  <c r="AZ68" i="1"/>
  <c r="BK68" i="1"/>
  <c r="BR68" i="1"/>
  <c r="AV68" i="1" s="1"/>
  <c r="BT68" i="1"/>
  <c r="BW68" i="1"/>
  <c r="O69" i="1"/>
  <c r="BY69" i="1" s="1"/>
  <c r="W69" i="1"/>
  <c r="Y69" i="1" s="1"/>
  <c r="AB69" i="1"/>
  <c r="AN69" i="1"/>
  <c r="AX69" i="1"/>
  <c r="AZ69" i="1"/>
  <c r="BK69" i="1"/>
  <c r="BR69" i="1"/>
  <c r="AV69" i="1" s="1"/>
  <c r="BT69" i="1"/>
  <c r="BW69" i="1"/>
  <c r="O70" i="1"/>
  <c r="BY70" i="1" s="1"/>
  <c r="W70" i="1"/>
  <c r="Z70" i="1" s="1"/>
  <c r="AB70" i="1"/>
  <c r="AX70" i="1"/>
  <c r="AZ70" i="1"/>
  <c r="BK70" i="1"/>
  <c r="BR70" i="1"/>
  <c r="AV70" i="1" s="1"/>
  <c r="BT70" i="1"/>
  <c r="BW70" i="1"/>
  <c r="O71" i="1"/>
  <c r="BY71" i="1" s="1"/>
  <c r="W71" i="1"/>
  <c r="K71" i="5" s="1"/>
  <c r="L71" i="5" s="1"/>
  <c r="AB71" i="1"/>
  <c r="AX71" i="1"/>
  <c r="AZ71" i="1"/>
  <c r="BR71" i="1"/>
  <c r="AV71" i="1" s="1"/>
  <c r="BT71" i="1"/>
  <c r="BW71" i="1"/>
  <c r="O72" i="1"/>
  <c r="BY72" i="1" s="1"/>
  <c r="W72" i="1"/>
  <c r="K72" i="5" s="1"/>
  <c r="L72" i="5" s="1"/>
  <c r="AB72" i="1"/>
  <c r="AN72" i="1"/>
  <c r="AX72" i="1"/>
  <c r="AZ72" i="1"/>
  <c r="BK72" i="1"/>
  <c r="BR72" i="1"/>
  <c r="AV72" i="1" s="1"/>
  <c r="BT72" i="1"/>
  <c r="BW72" i="1"/>
  <c r="O73" i="1"/>
  <c r="BY73" i="1" s="1"/>
  <c r="W73" i="1"/>
  <c r="AB73" i="1"/>
  <c r="AN73" i="1"/>
  <c r="AX73" i="1"/>
  <c r="AZ73" i="1"/>
  <c r="BK73" i="1"/>
  <c r="BR73" i="1"/>
  <c r="AV73" i="1" s="1"/>
  <c r="BT73" i="1"/>
  <c r="BW73" i="1"/>
  <c r="O74" i="1"/>
  <c r="BY74" i="1" s="1"/>
  <c r="W74" i="1"/>
  <c r="K74" i="5" s="1"/>
  <c r="L74" i="5" s="1"/>
  <c r="AB74" i="1"/>
  <c r="AX74" i="1"/>
  <c r="AZ74" i="1"/>
  <c r="BK74" i="1"/>
  <c r="BR74" i="1"/>
  <c r="AV74" i="1" s="1"/>
  <c r="BT74" i="1"/>
  <c r="BW74" i="1"/>
  <c r="O75" i="1"/>
  <c r="BY75" i="1" s="1"/>
  <c r="W75" i="1"/>
  <c r="X75" i="1" s="1"/>
  <c r="AB75" i="1"/>
  <c r="AX75" i="1"/>
  <c r="AZ75" i="1"/>
  <c r="BK75" i="1"/>
  <c r="BR75" i="1"/>
  <c r="AV75" i="1" s="1"/>
  <c r="BT75" i="1"/>
  <c r="BW75" i="1"/>
  <c r="M76" i="1"/>
  <c r="N76" i="1"/>
  <c r="O76" i="1"/>
  <c r="BY76" i="1" s="1"/>
  <c r="R76" i="1"/>
  <c r="S76" i="1" s="1"/>
  <c r="W76" i="1"/>
  <c r="AA76" i="1" s="1"/>
  <c r="AB76" i="1"/>
  <c r="AH76" i="1"/>
  <c r="AN76" i="1"/>
  <c r="I76" i="1" s="1"/>
  <c r="AW76" i="1"/>
  <c r="AX76" i="1"/>
  <c r="AZ76" i="1"/>
  <c r="BA76" i="1"/>
  <c r="BG76" i="1"/>
  <c r="BJ76" i="1" s="1"/>
  <c r="BH76" i="1"/>
  <c r="BK76" i="1"/>
  <c r="BM76" i="1"/>
  <c r="BR76" i="1"/>
  <c r="AV76" i="1" s="1"/>
  <c r="BT76" i="1"/>
  <c r="BW76" i="1"/>
  <c r="BZ76" i="1"/>
  <c r="CA76" i="1"/>
  <c r="CC76" i="1"/>
  <c r="CD76" i="1"/>
  <c r="CE76" i="1"/>
  <c r="CF76" i="1"/>
  <c r="CG76" i="1"/>
  <c r="CH76" i="1"/>
  <c r="M77" i="1"/>
  <c r="N77" i="1"/>
  <c r="O77" i="1"/>
  <c r="BY77" i="1" s="1"/>
  <c r="R77" i="1"/>
  <c r="U77" i="1" s="1"/>
  <c r="W77" i="1"/>
  <c r="Y77" i="1" s="1"/>
  <c r="AB77" i="1"/>
  <c r="AH77" i="1"/>
  <c r="AN77" i="1"/>
  <c r="I77" i="1" s="1"/>
  <c r="AW77" i="1"/>
  <c r="AX77" i="1"/>
  <c r="AZ77" i="1"/>
  <c r="BA77" i="1"/>
  <c r="BG77" i="1"/>
  <c r="BJ77" i="1" s="1"/>
  <c r="BH77" i="1"/>
  <c r="BK77" i="1"/>
  <c r="BM77" i="1"/>
  <c r="BR77" i="1"/>
  <c r="AV77" i="1" s="1"/>
  <c r="BT77" i="1"/>
  <c r="BW77" i="1"/>
  <c r="BZ77" i="1"/>
  <c r="CA77" i="1"/>
  <c r="CC77" i="1"/>
  <c r="CD77" i="1"/>
  <c r="CE77" i="1"/>
  <c r="CF77" i="1"/>
  <c r="CG77" i="1"/>
  <c r="CH77" i="1"/>
  <c r="O78" i="1"/>
  <c r="BY78" i="1" s="1"/>
  <c r="W78" i="1"/>
  <c r="K78" i="5" s="1"/>
  <c r="L78" i="5" s="1"/>
  <c r="AB78" i="1"/>
  <c r="AX78" i="1"/>
  <c r="AZ78" i="1"/>
  <c r="BK78" i="1"/>
  <c r="BR78" i="1"/>
  <c r="AV78" i="1" s="1"/>
  <c r="BT78" i="1"/>
  <c r="BW78" i="1"/>
  <c r="M79" i="1"/>
  <c r="N79" i="1"/>
  <c r="O79" i="1"/>
  <c r="BY79" i="1" s="1"/>
  <c r="AB79" i="1"/>
  <c r="AH79" i="1"/>
  <c r="AW79" i="1"/>
  <c r="AX79" i="1"/>
  <c r="AY79" i="1"/>
  <c r="AZ79" i="1"/>
  <c r="BA79" i="1"/>
  <c r="BG79" i="1"/>
  <c r="BJ79" i="1" s="1"/>
  <c r="BH79" i="1"/>
  <c r="BI79" i="1" s="1"/>
  <c r="BK79" i="1"/>
  <c r="BM79" i="1"/>
  <c r="BR79" i="1"/>
  <c r="AV79" i="1" s="1"/>
  <c r="BT79" i="1"/>
  <c r="BW79" i="1"/>
  <c r="BZ79" i="1"/>
  <c r="CA79" i="1"/>
  <c r="CC79" i="1"/>
  <c r="CD79" i="1"/>
  <c r="CE79" i="1"/>
  <c r="CF79" i="1"/>
  <c r="CG79" i="1"/>
  <c r="CH79" i="1"/>
  <c r="O80" i="1"/>
  <c r="AB80" i="1"/>
  <c r="AN80" i="1"/>
  <c r="AX80" i="1"/>
  <c r="AZ80" i="1"/>
  <c r="BK80" i="1"/>
  <c r="BR80" i="1"/>
  <c r="AV80" i="1" s="1"/>
  <c r="BT80" i="1"/>
  <c r="BW80" i="1"/>
  <c r="O81" i="1"/>
  <c r="BY81" i="1" s="1"/>
  <c r="R81" i="1"/>
  <c r="V81" i="1" s="1"/>
  <c r="W81" i="1"/>
  <c r="Z81" i="1" s="1"/>
  <c r="AB81" i="1"/>
  <c r="AH81" i="1"/>
  <c r="AN81" i="1"/>
  <c r="AW81" i="1"/>
  <c r="AX81" i="1"/>
  <c r="AY81" i="1"/>
  <c r="AZ81" i="1"/>
  <c r="BA81" i="1"/>
  <c r="BG81" i="1"/>
  <c r="BJ81" i="1" s="1"/>
  <c r="BH81" i="1"/>
  <c r="AM81" i="1" s="1"/>
  <c r="BK81" i="1"/>
  <c r="BM81" i="1"/>
  <c r="BR81" i="1"/>
  <c r="AV81" i="1" s="1"/>
  <c r="BT81" i="1"/>
  <c r="BW81" i="1"/>
  <c r="BZ81" i="1"/>
  <c r="CA81" i="1"/>
  <c r="CC81" i="1"/>
  <c r="CD81" i="1"/>
  <c r="CE81" i="1"/>
  <c r="CF81" i="1"/>
  <c r="CG81" i="1"/>
  <c r="CH81" i="1"/>
  <c r="O82" i="1"/>
  <c r="BY82" i="1" s="1"/>
  <c r="W82" i="1"/>
  <c r="Y82" i="1" s="1"/>
  <c r="AB82" i="1"/>
  <c r="AN82" i="1"/>
  <c r="AX82" i="1"/>
  <c r="AZ82" i="1"/>
  <c r="BK82" i="1"/>
  <c r="BR82" i="1"/>
  <c r="AV82" i="1" s="1"/>
  <c r="BT82" i="1"/>
  <c r="BW82" i="1"/>
  <c r="O83" i="1"/>
  <c r="BY83" i="1" s="1"/>
  <c r="W83" i="1"/>
  <c r="Y83" i="1" s="1"/>
  <c r="AB83" i="1"/>
  <c r="AN83" i="1"/>
  <c r="AX83" i="1"/>
  <c r="AZ83" i="1"/>
  <c r="BK83" i="1"/>
  <c r="BR83" i="1"/>
  <c r="AV83" i="1" s="1"/>
  <c r="BT83" i="1"/>
  <c r="BW83" i="1"/>
  <c r="O84" i="1"/>
  <c r="BY84" i="1" s="1"/>
  <c r="W84" i="1"/>
  <c r="Y84" i="1" s="1"/>
  <c r="AB84" i="1"/>
  <c r="AN84" i="1"/>
  <c r="AX84" i="1"/>
  <c r="AZ84" i="1"/>
  <c r="BK84" i="1"/>
  <c r="BR84" i="1"/>
  <c r="AV84" i="1" s="1"/>
  <c r="BT84" i="1"/>
  <c r="BW84" i="1"/>
  <c r="O85" i="1"/>
  <c r="BY85" i="1" s="1"/>
  <c r="W85" i="1"/>
  <c r="K85" i="5" s="1"/>
  <c r="L85" i="5" s="1"/>
  <c r="AB85" i="1"/>
  <c r="AN85" i="1"/>
  <c r="AX85" i="1"/>
  <c r="AZ85" i="1"/>
  <c r="BR85" i="1"/>
  <c r="AV85" i="1" s="1"/>
  <c r="BT85" i="1"/>
  <c r="BW85" i="1"/>
  <c r="O86" i="1"/>
  <c r="BY86" i="1" s="1"/>
  <c r="W86" i="1"/>
  <c r="Y86" i="1" s="1"/>
  <c r="AB86" i="1"/>
  <c r="AX86" i="1"/>
  <c r="AZ86" i="1"/>
  <c r="BR86" i="1"/>
  <c r="AV86" i="1" s="1"/>
  <c r="BT86" i="1"/>
  <c r="BW86" i="1"/>
  <c r="O87" i="1"/>
  <c r="BY87" i="1" s="1"/>
  <c r="W87" i="1"/>
  <c r="K87" i="5" s="1"/>
  <c r="L87" i="5" s="1"/>
  <c r="AB87" i="1"/>
  <c r="AN87" i="1"/>
  <c r="AX87" i="1"/>
  <c r="AZ87" i="1"/>
  <c r="BR87" i="1"/>
  <c r="AV87" i="1" s="1"/>
  <c r="BT87" i="1"/>
  <c r="BW87" i="1"/>
  <c r="O88" i="1"/>
  <c r="BY88" i="1" s="1"/>
  <c r="AB88" i="1"/>
  <c r="AN88" i="1"/>
  <c r="AX88" i="1"/>
  <c r="AZ88" i="1"/>
  <c r="BR88" i="1"/>
  <c r="AV88" i="1" s="1"/>
  <c r="BT88" i="1"/>
  <c r="BW88" i="1"/>
  <c r="M89" i="1"/>
  <c r="N89" i="1"/>
  <c r="O89" i="1"/>
  <c r="BY89" i="1" s="1"/>
  <c r="R89" i="1"/>
  <c r="S89" i="1" s="1"/>
  <c r="W89" i="1"/>
  <c r="K89" i="5" s="1"/>
  <c r="AB89" i="1"/>
  <c r="AN89" i="1"/>
  <c r="I89" i="1" s="1"/>
  <c r="AW89" i="1"/>
  <c r="AX89" i="1"/>
  <c r="AY89" i="1"/>
  <c r="AZ89" i="1"/>
  <c r="BA89" i="1"/>
  <c r="BG89" i="1"/>
  <c r="BJ89" i="1" s="1"/>
  <c r="BH89" i="1"/>
  <c r="AM89" i="1" s="1"/>
  <c r="BK89" i="1"/>
  <c r="BM89" i="1"/>
  <c r="BR89" i="1"/>
  <c r="AV89" i="1" s="1"/>
  <c r="BT89" i="1"/>
  <c r="BW89" i="1"/>
  <c r="BZ89" i="1"/>
  <c r="CA89" i="1"/>
  <c r="CC89" i="1"/>
  <c r="CD89" i="1"/>
  <c r="CE89" i="1"/>
  <c r="CF89" i="1"/>
  <c r="CG89" i="1"/>
  <c r="CH89" i="1"/>
  <c r="O90" i="1"/>
  <c r="BY90" i="1" s="1"/>
  <c r="W90" i="1"/>
  <c r="AB90" i="1"/>
  <c r="AX90" i="1"/>
  <c r="AZ90" i="1"/>
  <c r="BK90" i="1"/>
  <c r="BR90" i="1"/>
  <c r="AV90" i="1" s="1"/>
  <c r="BT90" i="1"/>
  <c r="BW90" i="1"/>
  <c r="O91" i="1"/>
  <c r="BY91" i="1" s="1"/>
  <c r="R91" i="1"/>
  <c r="S91" i="1" s="1"/>
  <c r="W91" i="1"/>
  <c r="X91" i="1" s="1"/>
  <c r="AB91" i="1"/>
  <c r="AH91" i="1"/>
  <c r="S91" i="5" s="1"/>
  <c r="AW91" i="1"/>
  <c r="AX91" i="1"/>
  <c r="AY91" i="1"/>
  <c r="AZ91" i="1"/>
  <c r="BA91" i="1"/>
  <c r="BG91" i="1"/>
  <c r="BJ91" i="1" s="1"/>
  <c r="BH91" i="1"/>
  <c r="BM91" i="1"/>
  <c r="BR91" i="1"/>
  <c r="AV91" i="1" s="1"/>
  <c r="BT91" i="1"/>
  <c r="BW91" i="1"/>
  <c r="BZ91" i="1"/>
  <c r="CA91" i="1"/>
  <c r="CC91" i="1"/>
  <c r="CD91" i="1"/>
  <c r="CE91" i="1"/>
  <c r="CF91" i="1"/>
  <c r="CG91" i="1"/>
  <c r="CH91" i="1"/>
  <c r="O92" i="1"/>
  <c r="BY92" i="1" s="1"/>
  <c r="R92" i="1"/>
  <c r="G92" i="5" s="1"/>
  <c r="H92" i="5" s="1"/>
  <c r="W92" i="1"/>
  <c r="X92" i="1" s="1"/>
  <c r="AB92" i="1"/>
  <c r="AH92" i="1"/>
  <c r="S92" i="5" s="1"/>
  <c r="AW92" i="1"/>
  <c r="AX92" i="1"/>
  <c r="AZ92" i="1"/>
  <c r="BA92" i="1"/>
  <c r="BG92" i="1"/>
  <c r="BJ92" i="1" s="1"/>
  <c r="BH92" i="1"/>
  <c r="AM92" i="1" s="1"/>
  <c r="BM92" i="1"/>
  <c r="BR92" i="1"/>
  <c r="AV92" i="1" s="1"/>
  <c r="BT92" i="1"/>
  <c r="BW92" i="1"/>
  <c r="BZ92" i="1"/>
  <c r="CA92" i="1"/>
  <c r="CC92" i="1"/>
  <c r="CD92" i="1"/>
  <c r="CE92" i="1"/>
  <c r="CF92" i="1"/>
  <c r="CG92" i="1"/>
  <c r="CH92" i="1"/>
  <c r="M93" i="1"/>
  <c r="N93" i="1"/>
  <c r="O93" i="1"/>
  <c r="BY93" i="1" s="1"/>
  <c r="R93" i="1"/>
  <c r="S93" i="1" s="1"/>
  <c r="W93" i="1"/>
  <c r="K93" i="5" s="1"/>
  <c r="L93" i="5" s="1"/>
  <c r="AB93" i="1"/>
  <c r="AH93" i="1"/>
  <c r="AN93" i="1"/>
  <c r="I93" i="1" s="1"/>
  <c r="AW93" i="1"/>
  <c r="AX93" i="1"/>
  <c r="AY93" i="1"/>
  <c r="AZ93" i="1"/>
  <c r="BA93" i="1"/>
  <c r="BG93" i="1"/>
  <c r="BJ93" i="1" s="1"/>
  <c r="BH93" i="1"/>
  <c r="BK93" i="1"/>
  <c r="BM93" i="1"/>
  <c r="BR93" i="1"/>
  <c r="AV93" i="1" s="1"/>
  <c r="BT93" i="1"/>
  <c r="BW93" i="1"/>
  <c r="BZ93" i="1"/>
  <c r="CA93" i="1"/>
  <c r="CC93" i="1"/>
  <c r="CD93" i="1"/>
  <c r="CE93" i="1"/>
  <c r="CF93" i="1"/>
  <c r="CG93" i="1"/>
  <c r="CH93" i="1"/>
  <c r="M94" i="1"/>
  <c r="N94" i="1"/>
  <c r="O94" i="1"/>
  <c r="BY94" i="1" s="1"/>
  <c r="R94" i="1"/>
  <c r="S94" i="1" s="1"/>
  <c r="W94" i="1"/>
  <c r="AA94" i="1" s="1"/>
  <c r="AB94" i="1"/>
  <c r="AH94" i="1"/>
  <c r="S94" i="5" s="1"/>
  <c r="AN94" i="1"/>
  <c r="I94" i="1" s="1"/>
  <c r="AW94" i="1"/>
  <c r="AX94" i="1"/>
  <c r="AY94" i="1"/>
  <c r="AZ94" i="1"/>
  <c r="BA94" i="1"/>
  <c r="BG94" i="1"/>
  <c r="BJ94" i="1" s="1"/>
  <c r="BH94" i="1"/>
  <c r="BK94" i="1"/>
  <c r="BM94" i="1"/>
  <c r="BR94" i="1"/>
  <c r="AV94" i="1" s="1"/>
  <c r="BT94" i="1"/>
  <c r="BW94" i="1"/>
  <c r="BZ94" i="1"/>
  <c r="CA94" i="1"/>
  <c r="CC94" i="1"/>
  <c r="CD94" i="1"/>
  <c r="CE94" i="1"/>
  <c r="CF94" i="1"/>
  <c r="CG94" i="1"/>
  <c r="CH94" i="1"/>
  <c r="O95" i="1"/>
  <c r="BY95" i="1" s="1"/>
  <c r="W95" i="1"/>
  <c r="K95" i="5" s="1"/>
  <c r="L95" i="5" s="1"/>
  <c r="AB95" i="1"/>
  <c r="AN95" i="1"/>
  <c r="AX95" i="1"/>
  <c r="AZ95" i="1"/>
  <c r="BK95" i="1"/>
  <c r="BR95" i="1"/>
  <c r="AV95" i="1" s="1"/>
  <c r="BT95" i="1"/>
  <c r="BW95" i="1"/>
  <c r="O96" i="1"/>
  <c r="BY96" i="1" s="1"/>
  <c r="AB96" i="1"/>
  <c r="AN96" i="1"/>
  <c r="AX96" i="1"/>
  <c r="AZ96" i="1"/>
  <c r="BK96" i="1"/>
  <c r="BR96" i="1"/>
  <c r="AV96" i="1" s="1"/>
  <c r="BT96" i="1"/>
  <c r="BW96" i="1"/>
  <c r="O97" i="1"/>
  <c r="BY97" i="1" s="1"/>
  <c r="AB97" i="1"/>
  <c r="AN97" i="1"/>
  <c r="AX97" i="1"/>
  <c r="AZ97" i="1"/>
  <c r="BK97" i="1"/>
  <c r="BR97" i="1"/>
  <c r="AV97" i="1" s="1"/>
  <c r="BT97" i="1"/>
  <c r="BW97" i="1"/>
  <c r="O98" i="1"/>
  <c r="BY98" i="1" s="1"/>
  <c r="R98" i="1"/>
  <c r="U98" i="1" s="1"/>
  <c r="W98" i="1"/>
  <c r="Z98" i="1" s="1"/>
  <c r="AB98" i="1"/>
  <c r="AH98" i="1"/>
  <c r="S98" i="5" s="1"/>
  <c r="AN98" i="1"/>
  <c r="AW98" i="1"/>
  <c r="AX98" i="1"/>
  <c r="AY98" i="1"/>
  <c r="AZ98" i="1"/>
  <c r="BA98" i="1"/>
  <c r="BG98" i="1"/>
  <c r="BH98" i="1"/>
  <c r="BK98" i="1"/>
  <c r="BM98" i="1"/>
  <c r="BR98" i="1"/>
  <c r="AV98" i="1" s="1"/>
  <c r="BT98" i="1"/>
  <c r="BW98" i="1"/>
  <c r="BZ98" i="1"/>
  <c r="CA98" i="1"/>
  <c r="CC98" i="1"/>
  <c r="CD98" i="1"/>
  <c r="CE98" i="1"/>
  <c r="CF98" i="1"/>
  <c r="CG98" i="1"/>
  <c r="CH98" i="1"/>
  <c r="M99" i="1"/>
  <c r="N99" i="1"/>
  <c r="O99" i="1"/>
  <c r="R99" i="1"/>
  <c r="T99" i="1" s="1"/>
  <c r="W99" i="1"/>
  <c r="X99" i="1" s="1"/>
  <c r="AB99" i="1"/>
  <c r="AH99" i="1"/>
  <c r="S99" i="5" s="1"/>
  <c r="AN99" i="1"/>
  <c r="I99" i="1" s="1"/>
  <c r="AW99" i="1"/>
  <c r="AX99" i="1"/>
  <c r="AY99" i="1"/>
  <c r="AZ99" i="1"/>
  <c r="BA99" i="1"/>
  <c r="BG99" i="1"/>
  <c r="BJ99" i="1" s="1"/>
  <c r="BH99" i="1"/>
  <c r="BK99" i="1"/>
  <c r="BM99" i="1"/>
  <c r="BR99" i="1"/>
  <c r="AV99" i="1" s="1"/>
  <c r="BT99" i="1"/>
  <c r="BW99" i="1"/>
  <c r="BZ99" i="1"/>
  <c r="CA99" i="1"/>
  <c r="CC99" i="1"/>
  <c r="CD99" i="1"/>
  <c r="CE99" i="1"/>
  <c r="CF99" i="1"/>
  <c r="CG99" i="1"/>
  <c r="CH99" i="1"/>
  <c r="M100" i="1"/>
  <c r="N100" i="1"/>
  <c r="O100" i="1"/>
  <c r="BY100" i="1" s="1"/>
  <c r="R100" i="1"/>
  <c r="G100" i="5" s="1"/>
  <c r="W100" i="1"/>
  <c r="K100" i="5" s="1"/>
  <c r="L100" i="5" s="1"/>
  <c r="AB100" i="1"/>
  <c r="AH100" i="1"/>
  <c r="AN100" i="1"/>
  <c r="I100" i="1" s="1"/>
  <c r="AW100" i="1"/>
  <c r="AX100" i="1"/>
  <c r="AY100" i="1"/>
  <c r="AZ100" i="1"/>
  <c r="BA100" i="1"/>
  <c r="BG100" i="1"/>
  <c r="BJ100" i="1" s="1"/>
  <c r="BH100" i="1"/>
  <c r="BK100" i="1"/>
  <c r="BM100" i="1"/>
  <c r="BR100" i="1"/>
  <c r="AV100" i="1" s="1"/>
  <c r="BT100" i="1"/>
  <c r="BW100" i="1"/>
  <c r="BZ100" i="1"/>
  <c r="CA100" i="1"/>
  <c r="CC100" i="1"/>
  <c r="CD100" i="1"/>
  <c r="CE100" i="1"/>
  <c r="CF100" i="1"/>
  <c r="CG100" i="1"/>
  <c r="CH100" i="1"/>
  <c r="O101" i="1"/>
  <c r="BY101" i="1" s="1"/>
  <c r="R101" i="1"/>
  <c r="S101" i="1" s="1"/>
  <c r="W101" i="1"/>
  <c r="AB101" i="1"/>
  <c r="AN101" i="1"/>
  <c r="AW101" i="1"/>
  <c r="AX101" i="1"/>
  <c r="AZ101" i="1"/>
  <c r="BA101" i="1"/>
  <c r="BG101" i="1"/>
  <c r="BJ101" i="1" s="1"/>
  <c r="BH101" i="1"/>
  <c r="BI101" i="1" s="1"/>
  <c r="BK101" i="1"/>
  <c r="BM101" i="1"/>
  <c r="BR101" i="1"/>
  <c r="AV101" i="1" s="1"/>
  <c r="BT101" i="1"/>
  <c r="BW101" i="1"/>
  <c r="BZ101" i="1"/>
  <c r="CA101" i="1"/>
  <c r="CC101" i="1"/>
  <c r="CD101" i="1"/>
  <c r="CE101" i="1"/>
  <c r="CF101" i="1"/>
  <c r="CG101" i="1"/>
  <c r="CH101" i="1"/>
  <c r="O102" i="1"/>
  <c r="BY102" i="1" s="1"/>
  <c r="R102" i="1"/>
  <c r="S102" i="1" s="1"/>
  <c r="W102" i="1"/>
  <c r="Z102" i="1" s="1"/>
  <c r="AB102" i="1"/>
  <c r="AN102" i="1"/>
  <c r="AW102" i="1"/>
  <c r="AX102" i="1"/>
  <c r="AZ102" i="1"/>
  <c r="BA102" i="1"/>
  <c r="BG102" i="1"/>
  <c r="BH102" i="1"/>
  <c r="AM102" i="1" s="1"/>
  <c r="BK102" i="1"/>
  <c r="BM102" i="1"/>
  <c r="BR102" i="1"/>
  <c r="AV102" i="1" s="1"/>
  <c r="BT102" i="1"/>
  <c r="BW102" i="1"/>
  <c r="BZ102" i="1"/>
  <c r="CA102" i="1"/>
  <c r="CC102" i="1"/>
  <c r="CD102" i="1"/>
  <c r="CE102" i="1"/>
  <c r="CF102" i="1"/>
  <c r="CG102" i="1"/>
  <c r="CH102" i="1"/>
  <c r="O103" i="1"/>
  <c r="W103" i="1"/>
  <c r="K103" i="5" s="1"/>
  <c r="AB103" i="1"/>
  <c r="AN103" i="1"/>
  <c r="AX103" i="1"/>
  <c r="AZ103" i="1"/>
  <c r="BK103" i="1"/>
  <c r="BR103" i="1"/>
  <c r="AV103" i="1" s="1"/>
  <c r="BT103" i="1"/>
  <c r="BU103" i="1"/>
  <c r="BW103" i="1"/>
  <c r="O104" i="1"/>
  <c r="W104" i="1"/>
  <c r="K104" i="5" s="1"/>
  <c r="L104" i="5" s="1"/>
  <c r="AB104" i="1"/>
  <c r="AN104" i="1"/>
  <c r="AX104" i="1"/>
  <c r="AZ104" i="1"/>
  <c r="BK104" i="1"/>
  <c r="BR104" i="1"/>
  <c r="AV104" i="1" s="1"/>
  <c r="BT104" i="1"/>
  <c r="BU104" i="1"/>
  <c r="BW104" i="1"/>
  <c r="O105" i="1"/>
  <c r="W105" i="1"/>
  <c r="Y105" i="1" s="1"/>
  <c r="AB105" i="1"/>
  <c r="AN105" i="1"/>
  <c r="AX105" i="1"/>
  <c r="AZ105" i="1"/>
  <c r="BK105" i="1"/>
  <c r="BR105" i="1"/>
  <c r="AV105" i="1" s="1"/>
  <c r="BT105" i="1"/>
  <c r="BU105" i="1"/>
  <c r="BW105" i="1"/>
  <c r="O106" i="1"/>
  <c r="W106" i="1"/>
  <c r="AA106" i="1" s="1"/>
  <c r="AB106" i="1"/>
  <c r="AN106" i="1"/>
  <c r="AX106" i="1"/>
  <c r="AZ106" i="1"/>
  <c r="BK106" i="1"/>
  <c r="BR106" i="1"/>
  <c r="AV106" i="1" s="1"/>
  <c r="BT106" i="1"/>
  <c r="BU106" i="1"/>
  <c r="BW106" i="1"/>
  <c r="O107" i="1"/>
  <c r="W107" i="1"/>
  <c r="X107" i="1" s="1"/>
  <c r="AB107" i="1"/>
  <c r="AN107" i="1"/>
  <c r="AX107" i="1"/>
  <c r="AZ107" i="1"/>
  <c r="BK107" i="1"/>
  <c r="BR107" i="1"/>
  <c r="AV107" i="1" s="1"/>
  <c r="BT107" i="1"/>
  <c r="BU107" i="1"/>
  <c r="BW107" i="1"/>
  <c r="O108" i="1"/>
  <c r="W108" i="1"/>
  <c r="K108" i="5" s="1"/>
  <c r="AB108" i="1"/>
  <c r="AN108" i="1"/>
  <c r="AX108" i="1"/>
  <c r="AZ108" i="1"/>
  <c r="BK108" i="1"/>
  <c r="BR108" i="1"/>
  <c r="AV108" i="1" s="1"/>
  <c r="BT108" i="1"/>
  <c r="BU108" i="1"/>
  <c r="BW108" i="1"/>
  <c r="M109" i="1"/>
  <c r="N109" i="1"/>
  <c r="O109" i="1"/>
  <c r="BY109" i="1" s="1"/>
  <c r="R109" i="1"/>
  <c r="U109" i="1" s="1"/>
  <c r="W109" i="1"/>
  <c r="Y109" i="1" s="1"/>
  <c r="AB109" i="1"/>
  <c r="AH109" i="1"/>
  <c r="AN109" i="1"/>
  <c r="I109" i="1" s="1"/>
  <c r="AW109" i="1"/>
  <c r="AX109" i="1"/>
  <c r="AY109" i="1"/>
  <c r="AZ109" i="1"/>
  <c r="BA109" i="1"/>
  <c r="BG109" i="1"/>
  <c r="BJ109" i="1" s="1"/>
  <c r="BH109" i="1"/>
  <c r="BK109" i="1"/>
  <c r="BM109" i="1"/>
  <c r="BR109" i="1"/>
  <c r="AV109" i="1" s="1"/>
  <c r="BT109" i="1"/>
  <c r="BW109" i="1"/>
  <c r="BZ109" i="1"/>
  <c r="CA109" i="1"/>
  <c r="CC109" i="1"/>
  <c r="CD109" i="1"/>
  <c r="CE109" i="1"/>
  <c r="CF109" i="1"/>
  <c r="CG109" i="1"/>
  <c r="CH109" i="1"/>
  <c r="M110" i="1"/>
  <c r="N110" i="1"/>
  <c r="O110" i="1"/>
  <c r="BY110" i="1" s="1"/>
  <c r="W110" i="1"/>
  <c r="AB110" i="1"/>
  <c r="AH110" i="1"/>
  <c r="AW110" i="1"/>
  <c r="AX110" i="1"/>
  <c r="AZ110" i="1"/>
  <c r="BA110" i="1"/>
  <c r="BG110" i="1"/>
  <c r="BJ110" i="1" s="1"/>
  <c r="BH110" i="1"/>
  <c r="BK110" i="1"/>
  <c r="BM110" i="1"/>
  <c r="BR110" i="1"/>
  <c r="AV110" i="1" s="1"/>
  <c r="BT110" i="1"/>
  <c r="BW110" i="1"/>
  <c r="BZ110" i="1"/>
  <c r="CA110" i="1"/>
  <c r="CC110" i="1"/>
  <c r="CD110" i="1"/>
  <c r="CE110" i="1"/>
  <c r="CF110" i="1"/>
  <c r="CG110" i="1"/>
  <c r="CH110" i="1"/>
  <c r="O111" i="1"/>
  <c r="BY111" i="1" s="1"/>
  <c r="W111" i="1"/>
  <c r="Y111" i="1" s="1"/>
  <c r="AB111" i="1"/>
  <c r="AX111" i="1"/>
  <c r="AZ111" i="1"/>
  <c r="BK111" i="1"/>
  <c r="BR111" i="1"/>
  <c r="AV111" i="1" s="1"/>
  <c r="BT111" i="1"/>
  <c r="BW111" i="1"/>
  <c r="O112" i="1"/>
  <c r="BY112" i="1" s="1"/>
  <c r="AB112" i="1"/>
  <c r="AX112" i="1"/>
  <c r="AZ112" i="1"/>
  <c r="BK112" i="1"/>
  <c r="BR112" i="1"/>
  <c r="AV112" i="1" s="1"/>
  <c r="BT112" i="1"/>
  <c r="BW112" i="1"/>
  <c r="O113" i="1"/>
  <c r="BY113" i="1" s="1"/>
  <c r="R113" i="1"/>
  <c r="S113" i="1" s="1"/>
  <c r="W113" i="1"/>
  <c r="Z113" i="1" s="1"/>
  <c r="AB113" i="1"/>
  <c r="AH113" i="1"/>
  <c r="S113" i="5" s="1"/>
  <c r="AW113" i="1"/>
  <c r="AX113" i="1"/>
  <c r="AY113" i="1"/>
  <c r="AZ113" i="1"/>
  <c r="BA113" i="1"/>
  <c r="BG113" i="1"/>
  <c r="BJ113" i="1" s="1"/>
  <c r="BH113" i="1"/>
  <c r="BM113" i="1"/>
  <c r="BR113" i="1"/>
  <c r="AV113" i="1" s="1"/>
  <c r="BT113" i="1"/>
  <c r="BW113" i="1"/>
  <c r="BZ113" i="1"/>
  <c r="CA113" i="1"/>
  <c r="CC113" i="1"/>
  <c r="CD113" i="1"/>
  <c r="CE113" i="1"/>
  <c r="CF113" i="1"/>
  <c r="CG113" i="1"/>
  <c r="CH113" i="1"/>
  <c r="M114" i="1"/>
  <c r="N114" i="1"/>
  <c r="O114" i="1"/>
  <c r="BY114" i="1" s="1"/>
  <c r="R114" i="1"/>
  <c r="W114" i="1"/>
  <c r="K114" i="5" s="1"/>
  <c r="AB114" i="1"/>
  <c r="AN114" i="1"/>
  <c r="I114" i="1" s="1"/>
  <c r="AW114" i="1"/>
  <c r="AX114" i="1"/>
  <c r="AY114" i="1"/>
  <c r="AZ114" i="1"/>
  <c r="BA114" i="1"/>
  <c r="BG114" i="1"/>
  <c r="BJ114" i="1" s="1"/>
  <c r="BH114" i="1"/>
  <c r="BK114" i="1"/>
  <c r="BM114" i="1"/>
  <c r="BR114" i="1"/>
  <c r="AV114" i="1" s="1"/>
  <c r="BT114" i="1"/>
  <c r="BW114" i="1"/>
  <c r="BZ114" i="1"/>
  <c r="CA114" i="1"/>
  <c r="CC114" i="1"/>
  <c r="CD114" i="1"/>
  <c r="CE114" i="1"/>
  <c r="CF114" i="1"/>
  <c r="CG114" i="1"/>
  <c r="CH114" i="1"/>
  <c r="M115" i="1"/>
  <c r="N115" i="1"/>
  <c r="O115" i="1"/>
  <c r="R115" i="1"/>
  <c r="W115" i="1"/>
  <c r="Z115" i="1" s="1"/>
  <c r="AB115" i="1"/>
  <c r="AW115" i="1"/>
  <c r="AX115" i="1"/>
  <c r="AY115" i="1"/>
  <c r="AZ115" i="1"/>
  <c r="BA115" i="1"/>
  <c r="BG115" i="1"/>
  <c r="BJ115" i="1" s="1"/>
  <c r="BH115" i="1"/>
  <c r="AM115" i="1" s="1"/>
  <c r="BK115" i="1"/>
  <c r="BM115" i="1"/>
  <c r="BR115" i="1"/>
  <c r="AV115" i="1" s="1"/>
  <c r="BT115" i="1"/>
  <c r="BW115" i="1"/>
  <c r="BZ115" i="1"/>
  <c r="CA115" i="1"/>
  <c r="CC115" i="1"/>
  <c r="CD115" i="1"/>
  <c r="CE115" i="1"/>
  <c r="CF115" i="1"/>
  <c r="CG115" i="1"/>
  <c r="CH115" i="1"/>
  <c r="M116" i="1"/>
  <c r="N116" i="1"/>
  <c r="O116" i="1"/>
  <c r="BY116" i="1" s="1"/>
  <c r="W116" i="1"/>
  <c r="X116" i="1" s="1"/>
  <c r="AB116" i="1"/>
  <c r="AN116" i="1"/>
  <c r="I116" i="1" s="1"/>
  <c r="AW116" i="1"/>
  <c r="AX116" i="1"/>
  <c r="AZ116" i="1"/>
  <c r="BA116" i="1"/>
  <c r="BG116" i="1"/>
  <c r="BJ116" i="1" s="1"/>
  <c r="BH116" i="1"/>
  <c r="AM116" i="1" s="1"/>
  <c r="BK116" i="1"/>
  <c r="BM116" i="1"/>
  <c r="BR116" i="1"/>
  <c r="AV116" i="1" s="1"/>
  <c r="BT116" i="1"/>
  <c r="BW116" i="1"/>
  <c r="BZ116" i="1"/>
  <c r="CA116" i="1"/>
  <c r="CC116" i="1"/>
  <c r="CD116" i="1"/>
  <c r="CE116" i="1"/>
  <c r="CF116" i="1"/>
  <c r="CG116" i="1"/>
  <c r="CH116" i="1"/>
  <c r="M117" i="1"/>
  <c r="N117" i="1"/>
  <c r="O117" i="1"/>
  <c r="BY117" i="1" s="1"/>
  <c r="R117" i="1"/>
  <c r="T117" i="1" s="1"/>
  <c r="W117" i="1"/>
  <c r="AA117" i="1" s="1"/>
  <c r="AB117" i="1"/>
  <c r="AN117" i="1"/>
  <c r="AW117" i="1"/>
  <c r="AX117" i="1"/>
  <c r="AY117" i="1"/>
  <c r="AZ117" i="1"/>
  <c r="BA117" i="1"/>
  <c r="BG117" i="1"/>
  <c r="BJ117" i="1" s="1"/>
  <c r="BH117" i="1"/>
  <c r="BK117" i="1"/>
  <c r="BM117" i="1"/>
  <c r="BR117" i="1"/>
  <c r="AV117" i="1" s="1"/>
  <c r="BT117" i="1"/>
  <c r="BW117" i="1"/>
  <c r="BZ117" i="1"/>
  <c r="CA117" i="1"/>
  <c r="CC117" i="1"/>
  <c r="CD117" i="1"/>
  <c r="CE117" i="1"/>
  <c r="CF117" i="1"/>
  <c r="CG117" i="1"/>
  <c r="CH117" i="1"/>
  <c r="M118" i="1"/>
  <c r="N118" i="1"/>
  <c r="O118" i="1"/>
  <c r="BY118" i="1" s="1"/>
  <c r="W118" i="1"/>
  <c r="K118" i="5" s="1"/>
  <c r="L118" i="5" s="1"/>
  <c r="AB118" i="1"/>
  <c r="AH118" i="1"/>
  <c r="AN118" i="1"/>
  <c r="I118" i="1" s="1"/>
  <c r="AW118" i="1"/>
  <c r="AX118" i="1"/>
  <c r="AY118" i="1"/>
  <c r="AZ118" i="1"/>
  <c r="BA118" i="1"/>
  <c r="BG118" i="1"/>
  <c r="BJ118" i="1" s="1"/>
  <c r="BH118" i="1"/>
  <c r="BI118" i="1" s="1"/>
  <c r="BM118" i="1"/>
  <c r="BR118" i="1"/>
  <c r="AV118" i="1" s="1"/>
  <c r="BT118" i="1"/>
  <c r="BW118" i="1"/>
  <c r="BZ118" i="1"/>
  <c r="CA118" i="1"/>
  <c r="CC118" i="1"/>
  <c r="CD118" i="1"/>
  <c r="CE118" i="1"/>
  <c r="CF118" i="1"/>
  <c r="CG118" i="1"/>
  <c r="CH118" i="1"/>
  <c r="M119" i="1"/>
  <c r="N119" i="1"/>
  <c r="O119" i="1"/>
  <c r="BY119" i="1" s="1"/>
  <c r="R119" i="1"/>
  <c r="V119" i="1" s="1"/>
  <c r="W119" i="1"/>
  <c r="Z119" i="1" s="1"/>
  <c r="AB119" i="1"/>
  <c r="AH119" i="1"/>
  <c r="AN119" i="1"/>
  <c r="AW119" i="1"/>
  <c r="AX119" i="1"/>
  <c r="AY119" i="1"/>
  <c r="AZ119" i="1"/>
  <c r="BA119" i="1"/>
  <c r="BG119" i="1"/>
  <c r="BJ119" i="1" s="1"/>
  <c r="BH119" i="1"/>
  <c r="BK119" i="1"/>
  <c r="BM119" i="1"/>
  <c r="BR119" i="1"/>
  <c r="AV119" i="1" s="1"/>
  <c r="BT119" i="1"/>
  <c r="BW119" i="1"/>
  <c r="BZ119" i="1"/>
  <c r="CA119" i="1"/>
  <c r="CC119" i="1"/>
  <c r="CD119" i="1"/>
  <c r="CE119" i="1"/>
  <c r="CF119" i="1"/>
  <c r="CG119" i="1"/>
  <c r="CH119" i="1"/>
  <c r="M120" i="1"/>
  <c r="N120" i="1"/>
  <c r="O120" i="1"/>
  <c r="BY120" i="1" s="1"/>
  <c r="R120" i="1"/>
  <c r="W120" i="1"/>
  <c r="Z120" i="1" s="1"/>
  <c r="AB120" i="1"/>
  <c r="AW120" i="1"/>
  <c r="AX120" i="1"/>
  <c r="AY120" i="1"/>
  <c r="AZ120" i="1"/>
  <c r="BA120" i="1"/>
  <c r="BG120" i="1"/>
  <c r="BJ120" i="1" s="1"/>
  <c r="BH120" i="1"/>
  <c r="BK120" i="1"/>
  <c r="BM120" i="1"/>
  <c r="BO120" i="1" s="1"/>
  <c r="BR120" i="1"/>
  <c r="AV120" i="1" s="1"/>
  <c r="BT120" i="1"/>
  <c r="BW120" i="1"/>
  <c r="BZ120" i="1"/>
  <c r="CA120" i="1"/>
  <c r="CC120" i="1"/>
  <c r="CD120" i="1"/>
  <c r="CE120" i="1"/>
  <c r="CF120" i="1"/>
  <c r="CG120" i="1"/>
  <c r="CH120" i="1"/>
  <c r="O121" i="1"/>
  <c r="BY121" i="1" s="1"/>
  <c r="W121" i="1"/>
  <c r="AA121" i="1" s="1"/>
  <c r="AB121" i="1"/>
  <c r="AN121" i="1"/>
  <c r="AX121" i="1"/>
  <c r="AZ121" i="1"/>
  <c r="BK121" i="1"/>
  <c r="BR121" i="1"/>
  <c r="AV121" i="1" s="1"/>
  <c r="BT121" i="1"/>
  <c r="BW121" i="1"/>
  <c r="O122" i="1"/>
  <c r="BY122" i="1" s="1"/>
  <c r="R122" i="1"/>
  <c r="T122" i="1" s="1"/>
  <c r="W122" i="1"/>
  <c r="AB122" i="1"/>
  <c r="AH122" i="1"/>
  <c r="AN122" i="1"/>
  <c r="I122" i="1" s="1"/>
  <c r="AW122" i="1"/>
  <c r="AX122" i="1"/>
  <c r="AZ122" i="1"/>
  <c r="BA122" i="1"/>
  <c r="BG122" i="1"/>
  <c r="BJ122" i="1" s="1"/>
  <c r="BH122" i="1"/>
  <c r="BI122" i="1" s="1"/>
  <c r="BK122" i="1"/>
  <c r="BM122" i="1"/>
  <c r="BR122" i="1"/>
  <c r="AV122" i="1" s="1"/>
  <c r="BT122" i="1"/>
  <c r="BW122" i="1"/>
  <c r="BZ122" i="1"/>
  <c r="CA122" i="1"/>
  <c r="CC122" i="1"/>
  <c r="CD122" i="1"/>
  <c r="CE122" i="1"/>
  <c r="CF122" i="1"/>
  <c r="CG122" i="1"/>
  <c r="CH122" i="1"/>
  <c r="M123" i="1"/>
  <c r="N123" i="1"/>
  <c r="O123" i="1"/>
  <c r="BY123" i="1" s="1"/>
  <c r="R123" i="1"/>
  <c r="V123" i="1" s="1"/>
  <c r="W123" i="1"/>
  <c r="AA123" i="1" s="1"/>
  <c r="AB123" i="1"/>
  <c r="AN123" i="1"/>
  <c r="I123" i="1" s="1"/>
  <c r="AW123" i="1"/>
  <c r="AX123" i="1"/>
  <c r="AY123" i="1"/>
  <c r="AZ123" i="1"/>
  <c r="BA123" i="1"/>
  <c r="BG123" i="1"/>
  <c r="BH123" i="1"/>
  <c r="BK123" i="1"/>
  <c r="BM123" i="1"/>
  <c r="BR123" i="1"/>
  <c r="AV123" i="1" s="1"/>
  <c r="BT123" i="1"/>
  <c r="BW123" i="1"/>
  <c r="BZ123" i="1"/>
  <c r="CA123" i="1"/>
  <c r="CC123" i="1"/>
  <c r="CD123" i="1"/>
  <c r="CE123" i="1"/>
  <c r="CF123" i="1"/>
  <c r="CG123" i="1"/>
  <c r="CH123" i="1"/>
  <c r="O124" i="1"/>
  <c r="BY124" i="1" s="1"/>
  <c r="W124" i="1"/>
  <c r="X124" i="1" s="1"/>
  <c r="AB124" i="1"/>
  <c r="AX124" i="1"/>
  <c r="AZ124" i="1"/>
  <c r="BK124" i="1"/>
  <c r="BR124" i="1"/>
  <c r="AV124" i="1" s="1"/>
  <c r="BT124" i="1"/>
  <c r="BW124" i="1"/>
  <c r="O125" i="1"/>
  <c r="BY125" i="1" s="1"/>
  <c r="W125" i="1"/>
  <c r="K125" i="5" s="1"/>
  <c r="AB125" i="1"/>
  <c r="AN125" i="1"/>
  <c r="AX125" i="1"/>
  <c r="AZ125" i="1"/>
  <c r="BK125" i="1"/>
  <c r="BR125" i="1"/>
  <c r="AV125" i="1" s="1"/>
  <c r="BT125" i="1"/>
  <c r="BW125" i="1"/>
  <c r="O126" i="1"/>
  <c r="BY126" i="1" s="1"/>
  <c r="W126" i="1"/>
  <c r="K126" i="5" s="1"/>
  <c r="AB126" i="1"/>
  <c r="AN126" i="1"/>
  <c r="AX126" i="1"/>
  <c r="AZ126" i="1"/>
  <c r="BK126" i="1"/>
  <c r="BR126" i="1"/>
  <c r="AV126" i="1" s="1"/>
  <c r="BT126" i="1"/>
  <c r="BW126" i="1"/>
  <c r="O127" i="1"/>
  <c r="W127" i="1"/>
  <c r="X127" i="1" s="1"/>
  <c r="AB127" i="1"/>
  <c r="AN127" i="1"/>
  <c r="AX127" i="1"/>
  <c r="AZ127" i="1"/>
  <c r="BK127" i="1"/>
  <c r="BR127" i="1"/>
  <c r="AV127" i="1" s="1"/>
  <c r="BT127" i="1"/>
  <c r="BU127" i="1"/>
  <c r="BW127" i="1"/>
  <c r="M128" i="1"/>
  <c r="N128" i="1"/>
  <c r="O128" i="1"/>
  <c r="BY128" i="1" s="1"/>
  <c r="R128" i="1"/>
  <c r="W128" i="1"/>
  <c r="AB128" i="1"/>
  <c r="AN128" i="1"/>
  <c r="I128" i="1" s="1"/>
  <c r="AW128" i="1"/>
  <c r="AX128" i="1"/>
  <c r="AY128" i="1"/>
  <c r="AZ128" i="1"/>
  <c r="BA128" i="1"/>
  <c r="BG128" i="1"/>
  <c r="BJ128" i="1" s="1"/>
  <c r="BH128" i="1"/>
  <c r="BK128" i="1"/>
  <c r="BM128" i="1"/>
  <c r="BR128" i="1"/>
  <c r="AV128" i="1" s="1"/>
  <c r="BT128" i="1"/>
  <c r="BW128" i="1"/>
  <c r="BZ128" i="1"/>
  <c r="CA128" i="1"/>
  <c r="CC128" i="1"/>
  <c r="CD128" i="1"/>
  <c r="CE128" i="1"/>
  <c r="CF128" i="1"/>
  <c r="CG128" i="1"/>
  <c r="CH128" i="1"/>
  <c r="O129" i="1"/>
  <c r="BY129" i="1" s="1"/>
  <c r="W129" i="1"/>
  <c r="Y129" i="1" s="1"/>
  <c r="AB129" i="1"/>
  <c r="AN129" i="1"/>
  <c r="AX129" i="1"/>
  <c r="AZ129" i="1"/>
  <c r="BK129" i="1"/>
  <c r="BR129" i="1"/>
  <c r="AV129" i="1" s="1"/>
  <c r="BT129" i="1"/>
  <c r="BW129" i="1"/>
  <c r="M130" i="1"/>
  <c r="N130" i="1"/>
  <c r="O130" i="1"/>
  <c r="BY130" i="1" s="1"/>
  <c r="R130" i="1"/>
  <c r="U130" i="1" s="1"/>
  <c r="W130" i="1"/>
  <c r="K130" i="5" s="1"/>
  <c r="L130" i="5" s="1"/>
  <c r="AB130" i="1"/>
  <c r="AH130" i="1"/>
  <c r="AN130" i="1"/>
  <c r="I130" i="1" s="1"/>
  <c r="AW130" i="1"/>
  <c r="AX130" i="1"/>
  <c r="AY130" i="1"/>
  <c r="AZ130" i="1"/>
  <c r="BA130" i="1"/>
  <c r="BG130" i="1"/>
  <c r="BH130" i="1"/>
  <c r="BM130" i="1"/>
  <c r="BR130" i="1"/>
  <c r="AV130" i="1" s="1"/>
  <c r="BT130" i="1"/>
  <c r="BW130" i="1"/>
  <c r="BZ130" i="1"/>
  <c r="CA130" i="1"/>
  <c r="CC130" i="1"/>
  <c r="CD130" i="1"/>
  <c r="CE130" i="1"/>
  <c r="CF130" i="1"/>
  <c r="CG130" i="1"/>
  <c r="CH130" i="1"/>
  <c r="M131" i="1"/>
  <c r="N131" i="1"/>
  <c r="O131" i="1"/>
  <c r="BY131" i="1" s="1"/>
  <c r="R131" i="1"/>
  <c r="S131" i="1" s="1"/>
  <c r="W131" i="1"/>
  <c r="K131" i="5" s="1"/>
  <c r="L131" i="5" s="1"/>
  <c r="AB131" i="1"/>
  <c r="AH131" i="1"/>
  <c r="S131" i="5" s="1"/>
  <c r="AN131" i="1"/>
  <c r="I131" i="1" s="1"/>
  <c r="AW131" i="1"/>
  <c r="AX131" i="1"/>
  <c r="AY131" i="1"/>
  <c r="AZ131" i="1"/>
  <c r="BA131" i="1"/>
  <c r="BG131" i="1"/>
  <c r="BH131" i="1"/>
  <c r="BK131" i="1"/>
  <c r="BM131" i="1"/>
  <c r="BR131" i="1"/>
  <c r="AV131" i="1" s="1"/>
  <c r="BT131" i="1"/>
  <c r="BW131" i="1"/>
  <c r="BZ131" i="1"/>
  <c r="CA131" i="1"/>
  <c r="CC131" i="1"/>
  <c r="CD131" i="1"/>
  <c r="CE131" i="1"/>
  <c r="CF131" i="1"/>
  <c r="CG131" i="1"/>
  <c r="CH131" i="1"/>
  <c r="O132" i="1"/>
  <c r="BY132" i="1" s="1"/>
  <c r="W132" i="1"/>
  <c r="Y132" i="1" s="1"/>
  <c r="AB132" i="1"/>
  <c r="AX132" i="1"/>
  <c r="AZ132" i="1"/>
  <c r="BK132" i="1"/>
  <c r="BR132" i="1"/>
  <c r="AV132" i="1" s="1"/>
  <c r="BT132" i="1"/>
  <c r="BW132" i="1"/>
  <c r="M133" i="1"/>
  <c r="N133" i="1"/>
  <c r="O133" i="1"/>
  <c r="BY133" i="1" s="1"/>
  <c r="R133" i="1"/>
  <c r="V133" i="1" s="1"/>
  <c r="W133" i="1"/>
  <c r="AA133" i="1" s="1"/>
  <c r="AB133" i="1"/>
  <c r="AN133" i="1"/>
  <c r="AW133" i="1"/>
  <c r="AX133" i="1"/>
  <c r="AY133" i="1"/>
  <c r="AZ133" i="1"/>
  <c r="BA133" i="1"/>
  <c r="BG133" i="1"/>
  <c r="BH133" i="1"/>
  <c r="BK133" i="1"/>
  <c r="BM133" i="1"/>
  <c r="BR133" i="1"/>
  <c r="AV133" i="1" s="1"/>
  <c r="BT133" i="1"/>
  <c r="BW133" i="1"/>
  <c r="BZ133" i="1"/>
  <c r="CA133" i="1"/>
  <c r="CC133" i="1"/>
  <c r="CD133" i="1"/>
  <c r="CE133" i="1"/>
  <c r="CF133" i="1"/>
  <c r="CG133" i="1"/>
  <c r="CH133" i="1"/>
  <c r="M134" i="1"/>
  <c r="N134" i="1"/>
  <c r="O134" i="1"/>
  <c r="BY134" i="1" s="1"/>
  <c r="R134" i="1"/>
  <c r="G134" i="5" s="1"/>
  <c r="W134" i="1"/>
  <c r="Z134" i="1" s="1"/>
  <c r="AB134" i="1"/>
  <c r="AN134" i="1"/>
  <c r="AW134" i="1"/>
  <c r="AX134" i="1"/>
  <c r="AY134" i="1"/>
  <c r="AZ134" i="1"/>
  <c r="BA134" i="1"/>
  <c r="BG134" i="1"/>
  <c r="BJ134" i="1" s="1"/>
  <c r="BH134" i="1"/>
  <c r="BI134" i="1" s="1"/>
  <c r="BK134" i="1"/>
  <c r="BM134" i="1"/>
  <c r="BR134" i="1"/>
  <c r="AV134" i="1" s="1"/>
  <c r="BT134" i="1"/>
  <c r="BW134" i="1"/>
  <c r="BZ134" i="1"/>
  <c r="CA134" i="1"/>
  <c r="CC134" i="1"/>
  <c r="CD134" i="1"/>
  <c r="CE134" i="1"/>
  <c r="CF134" i="1"/>
  <c r="CG134" i="1"/>
  <c r="CH134" i="1"/>
  <c r="O135" i="1"/>
  <c r="BY135" i="1" s="1"/>
  <c r="W135" i="1"/>
  <c r="K135" i="5" s="1"/>
  <c r="AB135" i="1"/>
  <c r="AX135" i="1"/>
  <c r="AZ135" i="1"/>
  <c r="BK135" i="1"/>
  <c r="BR135" i="1"/>
  <c r="AV135" i="1" s="1"/>
  <c r="BT135" i="1"/>
  <c r="BW135" i="1"/>
  <c r="M136" i="1"/>
  <c r="N136" i="1"/>
  <c r="O136" i="1"/>
  <c r="BY136" i="1" s="1"/>
  <c r="R136" i="1"/>
  <c r="G136" i="5" s="1"/>
  <c r="H136" i="5" s="1"/>
  <c r="W136" i="1"/>
  <c r="AA136" i="1" s="1"/>
  <c r="AB136" i="1"/>
  <c r="AH136" i="1"/>
  <c r="S136" i="5" s="1"/>
  <c r="AW136" i="1"/>
  <c r="AX136" i="1"/>
  <c r="AY136" i="1"/>
  <c r="AZ136" i="1"/>
  <c r="BA136" i="1"/>
  <c r="BG136" i="1"/>
  <c r="BH136" i="1"/>
  <c r="BM136" i="1"/>
  <c r="BR136" i="1"/>
  <c r="AV136" i="1" s="1"/>
  <c r="BT136" i="1"/>
  <c r="BW136" i="1"/>
  <c r="BZ136" i="1"/>
  <c r="CA136" i="1"/>
  <c r="CC136" i="1"/>
  <c r="CD136" i="1"/>
  <c r="CE136" i="1"/>
  <c r="CF136" i="1"/>
  <c r="CG136" i="1"/>
  <c r="CH136" i="1"/>
  <c r="M137" i="1"/>
  <c r="N137" i="1"/>
  <c r="O137" i="1"/>
  <c r="BY137" i="1" s="1"/>
  <c r="AB137" i="1"/>
  <c r="AH137" i="1"/>
  <c r="AW137" i="1"/>
  <c r="AX137" i="1"/>
  <c r="AY137" i="1"/>
  <c r="AZ137" i="1"/>
  <c r="BA137" i="1"/>
  <c r="BG137" i="1"/>
  <c r="BH137" i="1"/>
  <c r="BI137" i="1" s="1"/>
  <c r="BK137" i="1"/>
  <c r="BM137" i="1"/>
  <c r="BR137" i="1"/>
  <c r="AV137" i="1" s="1"/>
  <c r="BT137" i="1"/>
  <c r="BW137" i="1"/>
  <c r="BZ137" i="1"/>
  <c r="CA137" i="1"/>
  <c r="CC137" i="1"/>
  <c r="CD137" i="1"/>
  <c r="CE137" i="1"/>
  <c r="CF137" i="1"/>
  <c r="CG137" i="1"/>
  <c r="CH137" i="1"/>
  <c r="M138" i="1"/>
  <c r="N138" i="1"/>
  <c r="O138" i="1"/>
  <c r="BY138" i="1" s="1"/>
  <c r="R138" i="1"/>
  <c r="U138" i="1" s="1"/>
  <c r="W138" i="1"/>
  <c r="X138" i="1" s="1"/>
  <c r="AB138" i="1"/>
  <c r="AN138" i="1"/>
  <c r="AW138" i="1"/>
  <c r="AX138" i="1"/>
  <c r="AY138" i="1"/>
  <c r="AZ138" i="1"/>
  <c r="BA138" i="1"/>
  <c r="BG138" i="1"/>
  <c r="BH138" i="1"/>
  <c r="BK138" i="1"/>
  <c r="BM138" i="1"/>
  <c r="BR138" i="1"/>
  <c r="AV138" i="1" s="1"/>
  <c r="BT138" i="1"/>
  <c r="BW138" i="1"/>
  <c r="BZ138" i="1"/>
  <c r="CA138" i="1"/>
  <c r="CC138" i="1"/>
  <c r="CD138" i="1"/>
  <c r="CE138" i="1"/>
  <c r="CF138" i="1"/>
  <c r="CG138" i="1"/>
  <c r="CH138" i="1"/>
  <c r="M139" i="1"/>
  <c r="N139" i="1"/>
  <c r="O139" i="1"/>
  <c r="BY139" i="1" s="1"/>
  <c r="R139" i="1"/>
  <c r="G139" i="5" s="1"/>
  <c r="H139" i="5" s="1"/>
  <c r="W139" i="1"/>
  <c r="Y139" i="1" s="1"/>
  <c r="AB139" i="1"/>
  <c r="AH139" i="1"/>
  <c r="AW139" i="1"/>
  <c r="AX139" i="1"/>
  <c r="AY139" i="1"/>
  <c r="AZ139" i="1"/>
  <c r="BA139" i="1"/>
  <c r="BG139" i="1"/>
  <c r="BJ139" i="1" s="1"/>
  <c r="BH139" i="1"/>
  <c r="BK139" i="1"/>
  <c r="BM139" i="1"/>
  <c r="BR139" i="1"/>
  <c r="AV139" i="1" s="1"/>
  <c r="BT139" i="1"/>
  <c r="BW139" i="1"/>
  <c r="BZ139" i="1"/>
  <c r="CA139" i="1"/>
  <c r="CC139" i="1"/>
  <c r="CD139" i="1"/>
  <c r="CE139" i="1"/>
  <c r="CF139" i="1"/>
  <c r="CG139" i="1"/>
  <c r="CH139" i="1"/>
  <c r="M140" i="1"/>
  <c r="N140" i="1"/>
  <c r="O140" i="1"/>
  <c r="BY140" i="1" s="1"/>
  <c r="R140" i="1"/>
  <c r="W140" i="1"/>
  <c r="AA140" i="1" s="1"/>
  <c r="AB140" i="1"/>
  <c r="AH140" i="1"/>
  <c r="AN140" i="1"/>
  <c r="I140" i="1" s="1"/>
  <c r="AW140" i="1"/>
  <c r="AX140" i="1"/>
  <c r="AY140" i="1"/>
  <c r="AZ140" i="1"/>
  <c r="BA140" i="1"/>
  <c r="BG140" i="1"/>
  <c r="BJ140" i="1" s="1"/>
  <c r="BH140" i="1"/>
  <c r="BK140" i="1"/>
  <c r="BM140" i="1"/>
  <c r="BR140" i="1"/>
  <c r="AV140" i="1" s="1"/>
  <c r="BT140" i="1"/>
  <c r="BW140" i="1"/>
  <c r="BZ140" i="1"/>
  <c r="CA140" i="1"/>
  <c r="CC140" i="1"/>
  <c r="CD140" i="1"/>
  <c r="CE140" i="1"/>
  <c r="CF140" i="1"/>
  <c r="CG140" i="1"/>
  <c r="CH140" i="1"/>
  <c r="M141" i="1"/>
  <c r="N141" i="1"/>
  <c r="O141" i="1"/>
  <c r="BY141" i="1" s="1"/>
  <c r="R141" i="1"/>
  <c r="S141" i="1" s="1"/>
  <c r="W141" i="1"/>
  <c r="X141" i="1" s="1"/>
  <c r="AB141" i="1"/>
  <c r="AH141" i="1"/>
  <c r="AW141" i="1"/>
  <c r="AX141" i="1"/>
  <c r="AY141" i="1"/>
  <c r="AZ141" i="1"/>
  <c r="BA141" i="1"/>
  <c r="BG141" i="1"/>
  <c r="BJ141" i="1" s="1"/>
  <c r="BH141" i="1"/>
  <c r="BK141" i="1"/>
  <c r="BM141" i="1"/>
  <c r="BR141" i="1"/>
  <c r="AV141" i="1" s="1"/>
  <c r="BT141" i="1"/>
  <c r="BW141" i="1"/>
  <c r="BZ141" i="1"/>
  <c r="CA141" i="1"/>
  <c r="CC141" i="1"/>
  <c r="CD141" i="1"/>
  <c r="CE141" i="1"/>
  <c r="CF141" i="1"/>
  <c r="CG141" i="1"/>
  <c r="CH141" i="1"/>
  <c r="M142" i="1"/>
  <c r="N142" i="1"/>
  <c r="O142" i="1"/>
  <c r="BY142" i="1" s="1"/>
  <c r="R142" i="1"/>
  <c r="V142" i="1" s="1"/>
  <c r="W142" i="1"/>
  <c r="Z142" i="1" s="1"/>
  <c r="AB142" i="1"/>
  <c r="AH142" i="1"/>
  <c r="S142" i="5" s="1"/>
  <c r="AW142" i="1"/>
  <c r="AX142" i="1"/>
  <c r="AY142" i="1"/>
  <c r="AZ142" i="1"/>
  <c r="BA142" i="1"/>
  <c r="BG142" i="1"/>
  <c r="BJ142" i="1" s="1"/>
  <c r="BH142" i="1"/>
  <c r="BK142" i="1"/>
  <c r="BM142" i="1"/>
  <c r="BR142" i="1"/>
  <c r="AV142" i="1" s="1"/>
  <c r="BT142" i="1"/>
  <c r="BW142" i="1"/>
  <c r="BZ142" i="1"/>
  <c r="CA142" i="1"/>
  <c r="CC142" i="1"/>
  <c r="CD142" i="1"/>
  <c r="CE142" i="1"/>
  <c r="CF142" i="1"/>
  <c r="CG142" i="1"/>
  <c r="CH142" i="1"/>
  <c r="M143" i="1"/>
  <c r="N143" i="1"/>
  <c r="O143" i="1"/>
  <c r="BY143" i="1" s="1"/>
  <c r="R143" i="1"/>
  <c r="U143" i="1" s="1"/>
  <c r="W143" i="1"/>
  <c r="AB143" i="1"/>
  <c r="AH143" i="1"/>
  <c r="AW143" i="1"/>
  <c r="AX143" i="1"/>
  <c r="AY143" i="1"/>
  <c r="AZ143" i="1"/>
  <c r="BA143" i="1"/>
  <c r="BG143" i="1"/>
  <c r="BJ143" i="1" s="1"/>
  <c r="BH143" i="1"/>
  <c r="BK143" i="1"/>
  <c r="BM143" i="1"/>
  <c r="BR143" i="1"/>
  <c r="AV143" i="1" s="1"/>
  <c r="BT143" i="1"/>
  <c r="BW143" i="1"/>
  <c r="BZ143" i="1"/>
  <c r="CA143" i="1"/>
  <c r="CC143" i="1"/>
  <c r="CD143" i="1"/>
  <c r="CE143" i="1"/>
  <c r="CF143" i="1"/>
  <c r="CG143" i="1"/>
  <c r="CH143" i="1"/>
  <c r="M144" i="1"/>
  <c r="N144" i="1"/>
  <c r="O144" i="1"/>
  <c r="BY144" i="1" s="1"/>
  <c r="R144" i="1"/>
  <c r="S144" i="1" s="1"/>
  <c r="W144" i="1"/>
  <c r="Z144" i="1" s="1"/>
  <c r="AB144" i="1"/>
  <c r="AH144" i="1"/>
  <c r="AW144" i="1"/>
  <c r="AX144" i="1"/>
  <c r="AY144" i="1"/>
  <c r="AZ144" i="1"/>
  <c r="BA144" i="1"/>
  <c r="BG144" i="1"/>
  <c r="BJ144" i="1" s="1"/>
  <c r="BH144" i="1"/>
  <c r="BK144" i="1"/>
  <c r="BM144" i="1"/>
  <c r="BR144" i="1"/>
  <c r="AV144" i="1" s="1"/>
  <c r="BT144" i="1"/>
  <c r="BW144" i="1"/>
  <c r="BZ144" i="1"/>
  <c r="CA144" i="1"/>
  <c r="CC144" i="1"/>
  <c r="CD144" i="1"/>
  <c r="CE144" i="1"/>
  <c r="CF144" i="1"/>
  <c r="CG144" i="1"/>
  <c r="CH144" i="1"/>
  <c r="M145" i="1"/>
  <c r="N145" i="1"/>
  <c r="O145" i="1"/>
  <c r="BY145" i="1" s="1"/>
  <c r="R145" i="1"/>
  <c r="U145" i="1" s="1"/>
  <c r="W145" i="1"/>
  <c r="AB145" i="1"/>
  <c r="AH145" i="1"/>
  <c r="AW145" i="1"/>
  <c r="AX145" i="1"/>
  <c r="AY145" i="1"/>
  <c r="AZ145" i="1"/>
  <c r="BA145" i="1"/>
  <c r="BG145" i="1"/>
  <c r="BJ145" i="1" s="1"/>
  <c r="BH145" i="1"/>
  <c r="BK145" i="1"/>
  <c r="BM145" i="1"/>
  <c r="BR145" i="1"/>
  <c r="AV145" i="1" s="1"/>
  <c r="BT145" i="1"/>
  <c r="BW145" i="1"/>
  <c r="BZ145" i="1"/>
  <c r="CA145" i="1"/>
  <c r="CC145" i="1"/>
  <c r="CD145" i="1"/>
  <c r="CE145" i="1"/>
  <c r="CF145" i="1"/>
  <c r="CG145" i="1"/>
  <c r="CH145" i="1"/>
  <c r="M146" i="1"/>
  <c r="N146" i="1"/>
  <c r="O146" i="1"/>
  <c r="BY146" i="1" s="1"/>
  <c r="R146" i="1"/>
  <c r="S146" i="1" s="1"/>
  <c r="W146" i="1"/>
  <c r="K146" i="5" s="1"/>
  <c r="L146" i="5" s="1"/>
  <c r="AB146" i="1"/>
  <c r="AH146" i="1"/>
  <c r="AW146" i="1"/>
  <c r="AX146" i="1"/>
  <c r="AY146" i="1"/>
  <c r="AZ146" i="1"/>
  <c r="BA146" i="1"/>
  <c r="BG146" i="1"/>
  <c r="BJ146" i="1" s="1"/>
  <c r="BH146" i="1"/>
  <c r="BK146" i="1"/>
  <c r="BM146" i="1"/>
  <c r="BR146" i="1"/>
  <c r="AV146" i="1" s="1"/>
  <c r="BT146" i="1"/>
  <c r="BW146" i="1"/>
  <c r="BZ146" i="1"/>
  <c r="CA146" i="1"/>
  <c r="CC146" i="1"/>
  <c r="CD146" i="1"/>
  <c r="CE146" i="1"/>
  <c r="CF146" i="1"/>
  <c r="CG146" i="1"/>
  <c r="CH146" i="1"/>
  <c r="M147" i="1"/>
  <c r="N147" i="1"/>
  <c r="O147" i="1"/>
  <c r="BY147" i="1" s="1"/>
  <c r="R147" i="1"/>
  <c r="U147" i="1" s="1"/>
  <c r="W147" i="1"/>
  <c r="Y147" i="1" s="1"/>
  <c r="AB147" i="1"/>
  <c r="AH147" i="1"/>
  <c r="S147" i="5" s="1"/>
  <c r="T147" i="5" s="1"/>
  <c r="AW147" i="1"/>
  <c r="AX147" i="1"/>
  <c r="AY147" i="1"/>
  <c r="AZ147" i="1"/>
  <c r="BA147" i="1"/>
  <c r="BG147" i="1"/>
  <c r="BJ147" i="1" s="1"/>
  <c r="BH147" i="1"/>
  <c r="BK147" i="1"/>
  <c r="BM147" i="1"/>
  <c r="BR147" i="1"/>
  <c r="AV147" i="1" s="1"/>
  <c r="BT147" i="1"/>
  <c r="BW147" i="1"/>
  <c r="BZ147" i="1"/>
  <c r="CA147" i="1"/>
  <c r="CC147" i="1"/>
  <c r="CD147" i="1"/>
  <c r="CE147" i="1"/>
  <c r="CF147" i="1"/>
  <c r="CG147" i="1"/>
  <c r="CH147" i="1"/>
  <c r="M148" i="1"/>
  <c r="N148" i="1"/>
  <c r="O148" i="1"/>
  <c r="BY148" i="1" s="1"/>
  <c r="R148" i="1"/>
  <c r="V148" i="1" s="1"/>
  <c r="W148" i="1"/>
  <c r="K148" i="5" s="1"/>
  <c r="AB148" i="1"/>
  <c r="AH148" i="1"/>
  <c r="AW148" i="1"/>
  <c r="AX148" i="1"/>
  <c r="AY148" i="1"/>
  <c r="AZ148" i="1"/>
  <c r="BA148" i="1"/>
  <c r="BG148" i="1"/>
  <c r="BJ148" i="1" s="1"/>
  <c r="BH148" i="1"/>
  <c r="BK148" i="1"/>
  <c r="BM148" i="1"/>
  <c r="BR148" i="1"/>
  <c r="AV148" i="1" s="1"/>
  <c r="BT148" i="1"/>
  <c r="BW148" i="1"/>
  <c r="BZ148" i="1"/>
  <c r="CA148" i="1"/>
  <c r="CC148" i="1"/>
  <c r="CD148" i="1"/>
  <c r="CE148" i="1"/>
  <c r="CF148" i="1"/>
  <c r="CG148" i="1"/>
  <c r="CH148" i="1"/>
  <c r="M149" i="1"/>
  <c r="N149" i="1"/>
  <c r="O149" i="1"/>
  <c r="BY149" i="1" s="1"/>
  <c r="R149" i="1"/>
  <c r="U149" i="1" s="1"/>
  <c r="W149" i="1"/>
  <c r="Y149" i="1" s="1"/>
  <c r="AB149" i="1"/>
  <c r="AH149" i="1"/>
  <c r="AW149" i="1"/>
  <c r="AX149" i="1"/>
  <c r="AY149" i="1"/>
  <c r="AZ149" i="1"/>
  <c r="BA149" i="1"/>
  <c r="BG149" i="1"/>
  <c r="BH149" i="1"/>
  <c r="BK149" i="1"/>
  <c r="BM149" i="1"/>
  <c r="BR149" i="1"/>
  <c r="AV149" i="1" s="1"/>
  <c r="BT149" i="1"/>
  <c r="BW149" i="1"/>
  <c r="BZ149" i="1"/>
  <c r="CA149" i="1"/>
  <c r="CC149" i="1"/>
  <c r="CD149" i="1"/>
  <c r="CE149" i="1"/>
  <c r="CF149" i="1"/>
  <c r="CG149" i="1"/>
  <c r="CH149" i="1"/>
  <c r="M150" i="1"/>
  <c r="N150" i="1"/>
  <c r="O150" i="1"/>
  <c r="BY150" i="1" s="1"/>
  <c r="R150" i="1"/>
  <c r="G150" i="5" s="1"/>
  <c r="W150" i="1"/>
  <c r="AA150" i="1" s="1"/>
  <c r="AB150" i="1"/>
  <c r="AN150" i="1"/>
  <c r="I150" i="1" s="1"/>
  <c r="AW150" i="1"/>
  <c r="AX150" i="1"/>
  <c r="AY150" i="1"/>
  <c r="AZ150" i="1"/>
  <c r="BA150" i="1"/>
  <c r="BG150" i="1"/>
  <c r="BJ150" i="1" s="1"/>
  <c r="BH150" i="1"/>
  <c r="BK150" i="1"/>
  <c r="BM150" i="1"/>
  <c r="BR150" i="1"/>
  <c r="AV150" i="1" s="1"/>
  <c r="BT150" i="1"/>
  <c r="BW150" i="1"/>
  <c r="BZ150" i="1"/>
  <c r="CA150" i="1"/>
  <c r="CC150" i="1"/>
  <c r="CD150" i="1"/>
  <c r="CE150" i="1"/>
  <c r="CF150" i="1"/>
  <c r="CG150" i="1"/>
  <c r="CH150" i="1"/>
  <c r="M151" i="1"/>
  <c r="N151" i="1"/>
  <c r="O151" i="1"/>
  <c r="BY151" i="1" s="1"/>
  <c r="R151" i="1"/>
  <c r="U151" i="1" s="1"/>
  <c r="W151" i="1"/>
  <c r="Z151" i="1" s="1"/>
  <c r="AB151" i="1"/>
  <c r="AW151" i="1"/>
  <c r="AX151" i="1"/>
  <c r="AY151" i="1"/>
  <c r="AZ151" i="1"/>
  <c r="BA151" i="1"/>
  <c r="BG151" i="1"/>
  <c r="BJ151" i="1" s="1"/>
  <c r="BH151" i="1"/>
  <c r="BK151" i="1"/>
  <c r="BM151" i="1"/>
  <c r="BR151" i="1"/>
  <c r="AV151" i="1" s="1"/>
  <c r="BT151" i="1"/>
  <c r="BW151" i="1"/>
  <c r="BZ151" i="1"/>
  <c r="CA151" i="1"/>
  <c r="CC151" i="1"/>
  <c r="CD151" i="1"/>
  <c r="CE151" i="1"/>
  <c r="CF151" i="1"/>
  <c r="CG151" i="1"/>
  <c r="CH151" i="1"/>
  <c r="M152" i="1"/>
  <c r="N152" i="1"/>
  <c r="O152" i="1"/>
  <c r="BY152" i="1" s="1"/>
  <c r="R152" i="1"/>
  <c r="T152" i="1" s="1"/>
  <c r="W152" i="1"/>
  <c r="Y152" i="1" s="1"/>
  <c r="AB152" i="1"/>
  <c r="AW152" i="1"/>
  <c r="AX152" i="1"/>
  <c r="AY152" i="1"/>
  <c r="AZ152" i="1"/>
  <c r="BA152" i="1"/>
  <c r="BG152" i="1"/>
  <c r="BH152" i="1"/>
  <c r="BK152" i="1"/>
  <c r="BM152" i="1"/>
  <c r="BR152" i="1"/>
  <c r="AV152" i="1" s="1"/>
  <c r="BT152" i="1"/>
  <c r="BW152" i="1"/>
  <c r="BZ152" i="1"/>
  <c r="CA152" i="1"/>
  <c r="CC152" i="1"/>
  <c r="CD152" i="1"/>
  <c r="CE152" i="1"/>
  <c r="CF152" i="1"/>
  <c r="CG152" i="1"/>
  <c r="CH152" i="1"/>
  <c r="M153" i="1"/>
  <c r="N153" i="1"/>
  <c r="O153" i="1"/>
  <c r="BY153" i="1" s="1"/>
  <c r="R153" i="1"/>
  <c r="U153" i="1" s="1"/>
  <c r="W153" i="1"/>
  <c r="X153" i="1" s="1"/>
  <c r="AB153" i="1"/>
  <c r="AW153" i="1"/>
  <c r="AX153" i="1"/>
  <c r="AY153" i="1"/>
  <c r="AZ153" i="1"/>
  <c r="BA153" i="1"/>
  <c r="BG153" i="1"/>
  <c r="BJ153" i="1" s="1"/>
  <c r="BH153" i="1"/>
  <c r="BK153" i="1"/>
  <c r="BM153" i="1"/>
  <c r="BR153" i="1"/>
  <c r="AV153" i="1" s="1"/>
  <c r="BT153" i="1"/>
  <c r="BW153" i="1"/>
  <c r="BZ153" i="1"/>
  <c r="CA153" i="1"/>
  <c r="CC153" i="1"/>
  <c r="CD153" i="1"/>
  <c r="CE153" i="1"/>
  <c r="CF153" i="1"/>
  <c r="CG153" i="1"/>
  <c r="CH153" i="1"/>
  <c r="M154" i="1"/>
  <c r="N154" i="1"/>
  <c r="O154" i="1"/>
  <c r="BY154" i="1" s="1"/>
  <c r="R154" i="1"/>
  <c r="W154" i="1"/>
  <c r="X154" i="1" s="1"/>
  <c r="AB154" i="1"/>
  <c r="AW154" i="1"/>
  <c r="AX154" i="1"/>
  <c r="AY154" i="1"/>
  <c r="AZ154" i="1"/>
  <c r="BA154" i="1"/>
  <c r="BG154" i="1"/>
  <c r="BH154" i="1"/>
  <c r="BK154" i="1"/>
  <c r="BM154" i="1"/>
  <c r="BR154" i="1"/>
  <c r="AV154" i="1" s="1"/>
  <c r="BT154" i="1"/>
  <c r="BW154" i="1"/>
  <c r="BZ154" i="1"/>
  <c r="CA154" i="1"/>
  <c r="CC154" i="1"/>
  <c r="CD154" i="1"/>
  <c r="CE154" i="1"/>
  <c r="CF154" i="1"/>
  <c r="CG154" i="1"/>
  <c r="CH154" i="1"/>
  <c r="M155" i="1"/>
  <c r="N155" i="1"/>
  <c r="O155" i="1"/>
  <c r="BY155" i="1" s="1"/>
  <c r="R155" i="1"/>
  <c r="W155" i="1"/>
  <c r="K155" i="5" s="1"/>
  <c r="L155" i="5" s="1"/>
  <c r="AB155" i="1"/>
  <c r="AW155" i="1"/>
  <c r="AX155" i="1"/>
  <c r="AY155" i="1"/>
  <c r="AZ155" i="1"/>
  <c r="BA155" i="1"/>
  <c r="BG155" i="1"/>
  <c r="BH155" i="1"/>
  <c r="BK155" i="1"/>
  <c r="BM155" i="1"/>
  <c r="BR155" i="1"/>
  <c r="AV155" i="1" s="1"/>
  <c r="BT155" i="1"/>
  <c r="BW155" i="1"/>
  <c r="BZ155" i="1"/>
  <c r="CA155" i="1"/>
  <c r="CC155" i="1"/>
  <c r="CD155" i="1"/>
  <c r="CE155" i="1"/>
  <c r="CF155" i="1"/>
  <c r="CG155" i="1"/>
  <c r="CH155" i="1"/>
  <c r="M156" i="1"/>
  <c r="N156" i="1"/>
  <c r="O156" i="1"/>
  <c r="BY156" i="1" s="1"/>
  <c r="R156" i="1"/>
  <c r="T156" i="1" s="1"/>
  <c r="W156" i="1"/>
  <c r="AB156" i="1"/>
  <c r="AW156" i="1"/>
  <c r="AX156" i="1"/>
  <c r="AY156" i="1"/>
  <c r="AZ156" i="1"/>
  <c r="BA156" i="1"/>
  <c r="BG156" i="1"/>
  <c r="BJ156" i="1" s="1"/>
  <c r="BH156" i="1"/>
  <c r="BK156" i="1"/>
  <c r="BM156" i="1"/>
  <c r="BR156" i="1"/>
  <c r="AV156" i="1" s="1"/>
  <c r="BT156" i="1"/>
  <c r="BW156" i="1"/>
  <c r="BZ156" i="1"/>
  <c r="CA156" i="1"/>
  <c r="CC156" i="1"/>
  <c r="CD156" i="1"/>
  <c r="CE156" i="1"/>
  <c r="CF156" i="1"/>
  <c r="CG156" i="1"/>
  <c r="CH156" i="1"/>
  <c r="M157" i="1"/>
  <c r="N157" i="1"/>
  <c r="O157" i="1"/>
  <c r="BY157" i="1" s="1"/>
  <c r="R157" i="1"/>
  <c r="T157" i="1" s="1"/>
  <c r="W157" i="1"/>
  <c r="K157" i="5" s="1"/>
  <c r="L157" i="5" s="1"/>
  <c r="AB157" i="1"/>
  <c r="AW157" i="1"/>
  <c r="AX157" i="1"/>
  <c r="AY157" i="1"/>
  <c r="AZ157" i="1"/>
  <c r="BA157" i="1"/>
  <c r="BG157" i="1"/>
  <c r="BJ157" i="1" s="1"/>
  <c r="BH157" i="1"/>
  <c r="BK157" i="1"/>
  <c r="BM157" i="1"/>
  <c r="BR157" i="1"/>
  <c r="AV157" i="1" s="1"/>
  <c r="BT157" i="1"/>
  <c r="BW157" i="1"/>
  <c r="BZ157" i="1"/>
  <c r="CA157" i="1"/>
  <c r="CC157" i="1"/>
  <c r="CD157" i="1"/>
  <c r="CE157" i="1"/>
  <c r="CF157" i="1"/>
  <c r="CG157" i="1"/>
  <c r="CH157" i="1"/>
  <c r="M158" i="1"/>
  <c r="N158" i="1"/>
  <c r="O158" i="1"/>
  <c r="BY158" i="1" s="1"/>
  <c r="R158" i="1"/>
  <c r="V158" i="1" s="1"/>
  <c r="W158" i="1"/>
  <c r="Z158" i="1" s="1"/>
  <c r="AB158" i="1"/>
  <c r="AN158" i="1"/>
  <c r="I158" i="1" s="1"/>
  <c r="AW158" i="1"/>
  <c r="AX158" i="1"/>
  <c r="AY158" i="1"/>
  <c r="AZ158" i="1"/>
  <c r="BA158" i="1"/>
  <c r="BG158" i="1"/>
  <c r="BJ158" i="1" s="1"/>
  <c r="BH158" i="1"/>
  <c r="BK158" i="1"/>
  <c r="BM158" i="1"/>
  <c r="BR158" i="1"/>
  <c r="AV158" i="1" s="1"/>
  <c r="BT158" i="1"/>
  <c r="BW158" i="1"/>
  <c r="BZ158" i="1"/>
  <c r="CA158" i="1"/>
  <c r="CC158" i="1"/>
  <c r="CD158" i="1"/>
  <c r="CE158" i="1"/>
  <c r="CF158" i="1"/>
  <c r="CG158" i="1"/>
  <c r="CH158" i="1"/>
  <c r="M159" i="1"/>
  <c r="N159" i="1"/>
  <c r="O159" i="1"/>
  <c r="BY159" i="1" s="1"/>
  <c r="R159" i="1"/>
  <c r="S159" i="1" s="1"/>
  <c r="W159" i="1"/>
  <c r="AA159" i="1" s="1"/>
  <c r="AB159" i="1"/>
  <c r="AW159" i="1"/>
  <c r="AX159" i="1"/>
  <c r="AY159" i="1"/>
  <c r="AZ159" i="1"/>
  <c r="BA159" i="1"/>
  <c r="BG159" i="1"/>
  <c r="BH159" i="1"/>
  <c r="BK159" i="1"/>
  <c r="BM159" i="1"/>
  <c r="BR159" i="1"/>
  <c r="AV159" i="1" s="1"/>
  <c r="BT159" i="1"/>
  <c r="BW159" i="1"/>
  <c r="BZ159" i="1"/>
  <c r="CA159" i="1"/>
  <c r="CC159" i="1"/>
  <c r="CD159" i="1"/>
  <c r="CE159" i="1"/>
  <c r="CF159" i="1"/>
  <c r="CG159" i="1"/>
  <c r="CH159" i="1"/>
  <c r="O160" i="1"/>
  <c r="W160" i="1"/>
  <c r="K160" i="5" s="1"/>
  <c r="L160" i="5" s="1"/>
  <c r="AB160" i="1"/>
  <c r="AN160" i="1"/>
  <c r="AX160" i="1"/>
  <c r="AZ160" i="1"/>
  <c r="BK160" i="1"/>
  <c r="BR160" i="1"/>
  <c r="AV160" i="1" s="1"/>
  <c r="BT160" i="1"/>
  <c r="BW160" i="1"/>
  <c r="B3" i="5"/>
  <c r="C3" i="5"/>
  <c r="B4" i="5"/>
  <c r="C4" i="5"/>
  <c r="B5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B31" i="5"/>
  <c r="C31" i="5"/>
  <c r="B32" i="5"/>
  <c r="C32" i="5"/>
  <c r="B33" i="5"/>
  <c r="C33" i="5"/>
  <c r="B34" i="5"/>
  <c r="C34" i="5"/>
  <c r="B35" i="5"/>
  <c r="C35" i="5"/>
  <c r="B36" i="5"/>
  <c r="C36" i="5"/>
  <c r="B37" i="5"/>
  <c r="C37" i="5"/>
  <c r="B38" i="5"/>
  <c r="C38" i="5"/>
  <c r="B39" i="5"/>
  <c r="C39" i="5"/>
  <c r="B40" i="5"/>
  <c r="C40" i="5"/>
  <c r="B41" i="5"/>
  <c r="C41" i="5"/>
  <c r="B42" i="5"/>
  <c r="C42" i="5"/>
  <c r="B43" i="5"/>
  <c r="C43" i="5"/>
  <c r="B44" i="5"/>
  <c r="C44" i="5"/>
  <c r="B45" i="5"/>
  <c r="C45" i="5"/>
  <c r="B46" i="5"/>
  <c r="C46" i="5"/>
  <c r="B47" i="5"/>
  <c r="C47" i="5"/>
  <c r="B48" i="5"/>
  <c r="C48" i="5"/>
  <c r="B49" i="5"/>
  <c r="C49" i="5"/>
  <c r="B50" i="5"/>
  <c r="C50" i="5"/>
  <c r="B51" i="5"/>
  <c r="C51" i="5"/>
  <c r="B52" i="5"/>
  <c r="C52" i="5"/>
  <c r="B53" i="5"/>
  <c r="C53" i="5"/>
  <c r="B54" i="5"/>
  <c r="C54" i="5"/>
  <c r="B55" i="5"/>
  <c r="C55" i="5"/>
  <c r="W55" i="5"/>
  <c r="X55" i="5"/>
  <c r="Y55" i="5"/>
  <c r="B56" i="5"/>
  <c r="C56" i="5"/>
  <c r="B57" i="5"/>
  <c r="C57" i="5"/>
  <c r="X57" i="5"/>
  <c r="Y57" i="5"/>
  <c r="B58" i="5"/>
  <c r="X58" i="5" s="1"/>
  <c r="C58" i="5"/>
  <c r="W58" i="5"/>
  <c r="Y58" i="5"/>
  <c r="AC58" i="5"/>
  <c r="B59" i="5"/>
  <c r="C59" i="5"/>
  <c r="B60" i="5"/>
  <c r="F60" i="5" s="1"/>
  <c r="C60" i="5"/>
  <c r="W60" i="5"/>
  <c r="X60" i="5"/>
  <c r="Y60" i="5"/>
  <c r="AC60" i="5"/>
  <c r="B61" i="5"/>
  <c r="C61" i="5"/>
  <c r="B62" i="5"/>
  <c r="C62" i="5"/>
  <c r="B63" i="5"/>
  <c r="C63" i="5"/>
  <c r="B64" i="5"/>
  <c r="C64" i="5"/>
  <c r="B65" i="5"/>
  <c r="C65" i="5"/>
  <c r="B66" i="5"/>
  <c r="C66" i="5"/>
  <c r="B67" i="5"/>
  <c r="C67" i="5"/>
  <c r="B68" i="5"/>
  <c r="C68" i="5"/>
  <c r="B69" i="5"/>
  <c r="C69" i="5"/>
  <c r="B70" i="5"/>
  <c r="C70" i="5"/>
  <c r="B71" i="5"/>
  <c r="C71" i="5"/>
  <c r="B72" i="5"/>
  <c r="C72" i="5"/>
  <c r="B73" i="5"/>
  <c r="C73" i="5"/>
  <c r="B74" i="5"/>
  <c r="C74" i="5"/>
  <c r="B75" i="5"/>
  <c r="C75" i="5"/>
  <c r="B76" i="5"/>
  <c r="C76" i="5"/>
  <c r="W76" i="5"/>
  <c r="X76" i="5"/>
  <c r="B77" i="5"/>
  <c r="C77" i="5"/>
  <c r="X77" i="5"/>
  <c r="B78" i="5"/>
  <c r="C78" i="5"/>
  <c r="B79" i="5"/>
  <c r="C79" i="5"/>
  <c r="B80" i="5"/>
  <c r="C80" i="5"/>
  <c r="B81" i="5"/>
  <c r="C81" i="5"/>
  <c r="X81" i="5"/>
  <c r="Y81" i="5"/>
  <c r="B82" i="5"/>
  <c r="C82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C89" i="5"/>
  <c r="W89" i="5"/>
  <c r="X89" i="5"/>
  <c r="B90" i="5"/>
  <c r="C90" i="5"/>
  <c r="B91" i="5"/>
  <c r="C91" i="5"/>
  <c r="B92" i="5"/>
  <c r="AC92" i="5" s="1"/>
  <c r="C92" i="5"/>
  <c r="B93" i="5"/>
  <c r="C93" i="5"/>
  <c r="W93" i="5"/>
  <c r="X93" i="5"/>
  <c r="AC93" i="5"/>
  <c r="B94" i="5"/>
  <c r="C94" i="5"/>
  <c r="W94" i="5"/>
  <c r="X94" i="5"/>
  <c r="Y94" i="5"/>
  <c r="AC94" i="5"/>
  <c r="B95" i="5"/>
  <c r="C95" i="5"/>
  <c r="B96" i="5"/>
  <c r="C96" i="5"/>
  <c r="B97" i="5"/>
  <c r="C97" i="5"/>
  <c r="B98" i="5"/>
  <c r="C98" i="5"/>
  <c r="W98" i="5"/>
  <c r="X98" i="5"/>
  <c r="Y98" i="5"/>
  <c r="AC98" i="5"/>
  <c r="B99" i="5"/>
  <c r="C99" i="5"/>
  <c r="W99" i="5"/>
  <c r="X99" i="5"/>
  <c r="Y99" i="5"/>
  <c r="AC99" i="5"/>
  <c r="B100" i="5"/>
  <c r="Y100" i="5" s="1"/>
  <c r="C100" i="5"/>
  <c r="W100" i="5"/>
  <c r="B101" i="5"/>
  <c r="C101" i="5"/>
  <c r="W101" i="5"/>
  <c r="B102" i="5"/>
  <c r="W102" i="5" s="1"/>
  <c r="C102" i="5"/>
  <c r="X102" i="5"/>
  <c r="Y102" i="5"/>
  <c r="A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B114" i="5"/>
  <c r="W114" i="5" s="1"/>
  <c r="C114" i="5"/>
  <c r="X114" i="5"/>
  <c r="B115" i="5"/>
  <c r="C115" i="5"/>
  <c r="AC115" i="5"/>
  <c r="B116" i="5"/>
  <c r="C116" i="5"/>
  <c r="W116" i="5"/>
  <c r="X116" i="5"/>
  <c r="Y116" i="5"/>
  <c r="AC116" i="5"/>
  <c r="B117" i="5"/>
  <c r="W117" i="5" s="1"/>
  <c r="C117" i="5"/>
  <c r="B118" i="5"/>
  <c r="C118" i="5"/>
  <c r="W118" i="5"/>
  <c r="X118" i="5"/>
  <c r="Y118" i="5"/>
  <c r="AC118" i="5"/>
  <c r="B119" i="5"/>
  <c r="W119" i="5" s="1"/>
  <c r="C119" i="5"/>
  <c r="X119" i="5"/>
  <c r="B120" i="5"/>
  <c r="C120" i="5"/>
  <c r="AC120" i="5"/>
  <c r="B121" i="5"/>
  <c r="C121" i="5"/>
  <c r="B122" i="5"/>
  <c r="C122" i="5"/>
  <c r="W122" i="5"/>
  <c r="X122" i="5"/>
  <c r="Y122" i="5"/>
  <c r="B123" i="5"/>
  <c r="C123" i="5"/>
  <c r="X123" i="5"/>
  <c r="AC123" i="5"/>
  <c r="B124" i="5"/>
  <c r="C124" i="5"/>
  <c r="B125" i="5"/>
  <c r="C125" i="5"/>
  <c r="B126" i="5"/>
  <c r="C126" i="5"/>
  <c r="B127" i="5"/>
  <c r="C127" i="5"/>
  <c r="B128" i="5"/>
  <c r="C128" i="5"/>
  <c r="W128" i="5"/>
  <c r="X128" i="5"/>
  <c r="Y128" i="5"/>
  <c r="AC128" i="5"/>
  <c r="B129" i="5"/>
  <c r="C129" i="5"/>
  <c r="B130" i="5"/>
  <c r="Y130" i="5" s="1"/>
  <c r="C130" i="5"/>
  <c r="W130" i="5"/>
  <c r="X130" i="5"/>
  <c r="B131" i="5"/>
  <c r="AC131" i="5" s="1"/>
  <c r="C131" i="5"/>
  <c r="B132" i="5"/>
  <c r="C132" i="5"/>
  <c r="B133" i="5"/>
  <c r="Y133" i="5" s="1"/>
  <c r="C133" i="5"/>
  <c r="W133" i="5"/>
  <c r="X133" i="5"/>
  <c r="B134" i="5"/>
  <c r="AC134" i="5" s="1"/>
  <c r="C134" i="5"/>
  <c r="B135" i="5"/>
  <c r="C135" i="5"/>
  <c r="B136" i="5"/>
  <c r="C136" i="5"/>
  <c r="AC136" i="5"/>
  <c r="B137" i="5"/>
  <c r="C137" i="5"/>
  <c r="B138" i="5"/>
  <c r="Y138" i="5" s="1"/>
  <c r="C138" i="5"/>
  <c r="B139" i="5"/>
  <c r="C139" i="5"/>
  <c r="B140" i="5"/>
  <c r="C140" i="5"/>
  <c r="W140" i="5"/>
  <c r="X140" i="5"/>
  <c r="Y140" i="5"/>
  <c r="AC140" i="5"/>
  <c r="B141" i="5"/>
  <c r="C141" i="5"/>
  <c r="B142" i="5"/>
  <c r="C142" i="5"/>
  <c r="B143" i="5"/>
  <c r="AC143" i="5" s="1"/>
  <c r="C143" i="5"/>
  <c r="B144" i="5"/>
  <c r="C144" i="5"/>
  <c r="AC144" i="5"/>
  <c r="B145" i="5"/>
  <c r="AC145" i="5" s="1"/>
  <c r="C145" i="5"/>
  <c r="B146" i="5"/>
  <c r="C146" i="5"/>
  <c r="B147" i="5"/>
  <c r="C147" i="5"/>
  <c r="B148" i="5"/>
  <c r="C148" i="5"/>
  <c r="B149" i="5"/>
  <c r="C149" i="5"/>
  <c r="AC149" i="5"/>
  <c r="B150" i="5"/>
  <c r="Y150" i="5" s="1"/>
  <c r="C150" i="5"/>
  <c r="B151" i="5"/>
  <c r="C151" i="5"/>
  <c r="AC151" i="5"/>
  <c r="B152" i="5"/>
  <c r="AC152" i="5" s="1"/>
  <c r="C152" i="5"/>
  <c r="B153" i="5"/>
  <c r="C153" i="5"/>
  <c r="AC153" i="5"/>
  <c r="B154" i="5"/>
  <c r="C154" i="5"/>
  <c r="B155" i="5"/>
  <c r="C155" i="5"/>
  <c r="B156" i="5"/>
  <c r="C156" i="5"/>
  <c r="B157" i="5"/>
  <c r="C157" i="5"/>
  <c r="AC157" i="5"/>
  <c r="B158" i="5"/>
  <c r="C158" i="5"/>
  <c r="W158" i="5"/>
  <c r="X158" i="5"/>
  <c r="AC158" i="5"/>
  <c r="B159" i="5"/>
  <c r="AC159" i="5" s="1"/>
  <c r="C159" i="5"/>
  <c r="B160" i="5"/>
  <c r="C160" i="5"/>
  <c r="BF2" i="3"/>
  <c r="E73" i="3"/>
  <c r="E65" i="3"/>
  <c r="W2" i="1"/>
  <c r="K2" i="5" s="1"/>
  <c r="AU76" i="3"/>
  <c r="AU77" i="3"/>
  <c r="AU81" i="3"/>
  <c r="AU92" i="3"/>
  <c r="AU93" i="3"/>
  <c r="AU94" i="3"/>
  <c r="AU98" i="3"/>
  <c r="AU115" i="3"/>
  <c r="AU117" i="3"/>
  <c r="AU118" i="3"/>
  <c r="AU122" i="3"/>
  <c r="AU131" i="3"/>
  <c r="AU136" i="3"/>
  <c r="AV9" i="3"/>
  <c r="AV10" i="3"/>
  <c r="AV12" i="3"/>
  <c r="AV13" i="3"/>
  <c r="AV14" i="3"/>
  <c r="AV15" i="3"/>
  <c r="AV16" i="3"/>
  <c r="AV21" i="3"/>
  <c r="AV22" i="3"/>
  <c r="AV23" i="3"/>
  <c r="AV24" i="3"/>
  <c r="AV25" i="3"/>
  <c r="AV26" i="3"/>
  <c r="AV27" i="3"/>
  <c r="AV29" i="3"/>
  <c r="AV30" i="3"/>
  <c r="AV31" i="3"/>
  <c r="AV32" i="3"/>
  <c r="AV33" i="3"/>
  <c r="AV34" i="3"/>
  <c r="AV35" i="3"/>
  <c r="AV36" i="3"/>
  <c r="AV37" i="3"/>
  <c r="AV38" i="3"/>
  <c r="AV39" i="3"/>
  <c r="AV40" i="3"/>
  <c r="AV41" i="3"/>
  <c r="AV42" i="3"/>
  <c r="AV43" i="3"/>
  <c r="AV44" i="3"/>
  <c r="AV45" i="3"/>
  <c r="AV46" i="3"/>
  <c r="AV47" i="3"/>
  <c r="AV48" i="3"/>
  <c r="AV49" i="3"/>
  <c r="AV50" i="3"/>
  <c r="AV51" i="3"/>
  <c r="AV52" i="3"/>
  <c r="AV53" i="3"/>
  <c r="AV54" i="3"/>
  <c r="AV55" i="3"/>
  <c r="AV56" i="3"/>
  <c r="AV57" i="3"/>
  <c r="AV58" i="3"/>
  <c r="AV59" i="3"/>
  <c r="AV60" i="3"/>
  <c r="AV61" i="3"/>
  <c r="AV62" i="3"/>
  <c r="AV63" i="3"/>
  <c r="AV64" i="3"/>
  <c r="AV65" i="3"/>
  <c r="AV66" i="3"/>
  <c r="AV67" i="3"/>
  <c r="AV68" i="3"/>
  <c r="AV69" i="3"/>
  <c r="AV70" i="3"/>
  <c r="AV71" i="3"/>
  <c r="AV72" i="3"/>
  <c r="AV73" i="3"/>
  <c r="AV76" i="3"/>
  <c r="AV77" i="3"/>
  <c r="AV78" i="3"/>
  <c r="AV79" i="3"/>
  <c r="AV80" i="3"/>
  <c r="AV81" i="3"/>
  <c r="AV82" i="3"/>
  <c r="AV83" i="3"/>
  <c r="AV85" i="3"/>
  <c r="AV86" i="3"/>
  <c r="AV87" i="3"/>
  <c r="AV88" i="3"/>
  <c r="AV89" i="3"/>
  <c r="AV90" i="3"/>
  <c r="AV91" i="3"/>
  <c r="AV92" i="3"/>
  <c r="AV93" i="3"/>
  <c r="AV94" i="3"/>
  <c r="AV95" i="3"/>
  <c r="AV96" i="3"/>
  <c r="AV97" i="3"/>
  <c r="AV98" i="3"/>
  <c r="AV99" i="3"/>
  <c r="AV100" i="3"/>
  <c r="AV101" i="3"/>
  <c r="AV102" i="3"/>
  <c r="AV103" i="3"/>
  <c r="AV104" i="3"/>
  <c r="AV105" i="3"/>
  <c r="AV106" i="3"/>
  <c r="AV107" i="3"/>
  <c r="AV108" i="3"/>
  <c r="AV109" i="3"/>
  <c r="AV110" i="3"/>
  <c r="AV111" i="3"/>
  <c r="AV112" i="3"/>
  <c r="AV113" i="3"/>
  <c r="AV115" i="3"/>
  <c r="AV116" i="3"/>
  <c r="AV117" i="3"/>
  <c r="AV119" i="3"/>
  <c r="AV121" i="3"/>
  <c r="AV122" i="3"/>
  <c r="AV124" i="3"/>
  <c r="AV125" i="3"/>
  <c r="AV126" i="3"/>
  <c r="AV127" i="3"/>
  <c r="AV128" i="3"/>
  <c r="AV129" i="3"/>
  <c r="AV130" i="3"/>
  <c r="AV131" i="3"/>
  <c r="AV133" i="3"/>
  <c r="AV134" i="3"/>
  <c r="AV135" i="3"/>
  <c r="AV136" i="3"/>
  <c r="AV137" i="3"/>
  <c r="AV138" i="3"/>
  <c r="AV139" i="3"/>
  <c r="AV140" i="3"/>
  <c r="AV141" i="3"/>
  <c r="AV142" i="3"/>
  <c r="AV143" i="3"/>
  <c r="AV144" i="3"/>
  <c r="AV145" i="3"/>
  <c r="AV146" i="3"/>
  <c r="AV147" i="3"/>
  <c r="AV148" i="3"/>
  <c r="AV149" i="3"/>
  <c r="AV160" i="3"/>
  <c r="AX4" i="3"/>
  <c r="AX5" i="3"/>
  <c r="AX8" i="3"/>
  <c r="AX10" i="3"/>
  <c r="AX12" i="3"/>
  <c r="AX17" i="3"/>
  <c r="AX18" i="3"/>
  <c r="AX20" i="3"/>
  <c r="AX21" i="3"/>
  <c r="AX22" i="3"/>
  <c r="AX23" i="3"/>
  <c r="AX24" i="3"/>
  <c r="AX27" i="3"/>
  <c r="AX29" i="3"/>
  <c r="AX32" i="3"/>
  <c r="AX33" i="3"/>
  <c r="AX34" i="3"/>
  <c r="AX35" i="3"/>
  <c r="AX36" i="3"/>
  <c r="AX37" i="3"/>
  <c r="AX38" i="3"/>
  <c r="AX40" i="3"/>
  <c r="AX41" i="3"/>
  <c r="AX42" i="3"/>
  <c r="AX44" i="3"/>
  <c r="AX45" i="3"/>
  <c r="AX47" i="3"/>
  <c r="AX48" i="3"/>
  <c r="AX49" i="3"/>
  <c r="AX50" i="3"/>
  <c r="AX53" i="3"/>
  <c r="AX54" i="3"/>
  <c r="AX55" i="3"/>
  <c r="AX56" i="3"/>
  <c r="AX57" i="3"/>
  <c r="AX58" i="3"/>
  <c r="AX59" i="3"/>
  <c r="AX60" i="3"/>
  <c r="AX61" i="3"/>
  <c r="AX62" i="3"/>
  <c r="AX64" i="3"/>
  <c r="AX65" i="3"/>
  <c r="AX66" i="3"/>
  <c r="AX67" i="3"/>
  <c r="AX68" i="3"/>
  <c r="AX69" i="3"/>
  <c r="AX72" i="3"/>
  <c r="AX73" i="3"/>
  <c r="AX76" i="3"/>
  <c r="AX77" i="3"/>
  <c r="AX80" i="3"/>
  <c r="AX81" i="3"/>
  <c r="AX82" i="3"/>
  <c r="AX83" i="3"/>
  <c r="AX84" i="3"/>
  <c r="AX85" i="3"/>
  <c r="AX87" i="3"/>
  <c r="AX88" i="3"/>
  <c r="AX89" i="3"/>
  <c r="AX93" i="3"/>
  <c r="AX94" i="3"/>
  <c r="AX95" i="3"/>
  <c r="AX96" i="3"/>
  <c r="AX97" i="3"/>
  <c r="AX98" i="3"/>
  <c r="AX99" i="3"/>
  <c r="AX100" i="3"/>
  <c r="AX101" i="3"/>
  <c r="AX102" i="3"/>
  <c r="AX103" i="3"/>
  <c r="AX104" i="3"/>
  <c r="AX105" i="3"/>
  <c r="AX106" i="3"/>
  <c r="AX107" i="3"/>
  <c r="AX108" i="3"/>
  <c r="AX109" i="3"/>
  <c r="AX114" i="3"/>
  <c r="AX116" i="3"/>
  <c r="AX117" i="3"/>
  <c r="AX118" i="3"/>
  <c r="AX119" i="3"/>
  <c r="AX121" i="3"/>
  <c r="AX122" i="3"/>
  <c r="AX123" i="3"/>
  <c r="AX125" i="3"/>
  <c r="AX126" i="3"/>
  <c r="AX127" i="3"/>
  <c r="AX128" i="3"/>
  <c r="AX129" i="3"/>
  <c r="AX130" i="3"/>
  <c r="AX131" i="3"/>
  <c r="AX133" i="3"/>
  <c r="AX134" i="3"/>
  <c r="AX138" i="3"/>
  <c r="AX140" i="3"/>
  <c r="AX150" i="3"/>
  <c r="AX158" i="3"/>
  <c r="AX160" i="3"/>
  <c r="I73" i="1" l="1"/>
  <c r="I65" i="1"/>
  <c r="X138" i="5"/>
  <c r="Y134" i="5"/>
  <c r="X117" i="5"/>
  <c r="AC119" i="5"/>
  <c r="E158" i="5"/>
  <c r="W138" i="5"/>
  <c r="X134" i="5"/>
  <c r="AC130" i="5"/>
  <c r="AC114" i="5"/>
  <c r="W134" i="5"/>
  <c r="Y119" i="5"/>
  <c r="Y114" i="5"/>
  <c r="F119" i="5"/>
  <c r="E62" i="5"/>
  <c r="F138" i="5"/>
  <c r="AC138" i="5"/>
  <c r="AC73" i="5"/>
  <c r="BP166" i="1"/>
  <c r="BB134" i="3"/>
  <c r="I134" i="1"/>
  <c r="BC129" i="1"/>
  <c r="BB61" i="1"/>
  <c r="AT162" i="3"/>
  <c r="BB133" i="3"/>
  <c r="BI133" i="3" s="1"/>
  <c r="I133" i="1"/>
  <c r="BB126" i="1"/>
  <c r="AT165" i="3"/>
  <c r="BB32" i="1"/>
  <c r="BB138" i="3"/>
  <c r="BI138" i="3" s="1"/>
  <c r="I138" i="1"/>
  <c r="BB117" i="3"/>
  <c r="I117" i="1"/>
  <c r="BB81" i="3"/>
  <c r="BI81" i="3" s="1"/>
  <c r="I81" i="1"/>
  <c r="BC36" i="1"/>
  <c r="I102" i="1"/>
  <c r="BD102" i="1" s="1"/>
  <c r="BB119" i="3"/>
  <c r="BI119" i="3" s="1"/>
  <c r="I119" i="1"/>
  <c r="BF101" i="1"/>
  <c r="I101" i="1"/>
  <c r="AO98" i="1"/>
  <c r="AB98" i="5" s="1"/>
  <c r="I98" i="1"/>
  <c r="BB85" i="1"/>
  <c r="BK161" i="3"/>
  <c r="S161" i="5"/>
  <c r="AL161" i="1"/>
  <c r="AJ161" i="1"/>
  <c r="AK161" i="1"/>
  <c r="AI161" i="1"/>
  <c r="BI161" i="3"/>
  <c r="BQ161" i="3"/>
  <c r="J161" i="5"/>
  <c r="I161" i="5"/>
  <c r="H161" i="5"/>
  <c r="AG161" i="1"/>
  <c r="O161" i="5"/>
  <c r="AF161" i="1"/>
  <c r="AE161" i="1"/>
  <c r="AD161" i="1"/>
  <c r="G81" i="5"/>
  <c r="H81" i="5" s="1"/>
  <c r="AS163" i="3"/>
  <c r="BP163" i="1" s="1"/>
  <c r="BB163" i="3"/>
  <c r="BI163" i="3" s="1"/>
  <c r="AT163" i="3"/>
  <c r="BO89" i="1"/>
  <c r="BO117" i="1"/>
  <c r="BL117" i="1" s="1"/>
  <c r="BO150" i="1"/>
  <c r="BL150" i="1" s="1"/>
  <c r="BO147" i="1"/>
  <c r="BL147" i="1" s="1"/>
  <c r="BO144" i="1"/>
  <c r="BL144" i="1" s="1"/>
  <c r="BO57" i="1"/>
  <c r="BL57" i="1" s="1"/>
  <c r="BO137" i="1"/>
  <c r="BL137" i="1" s="1"/>
  <c r="G141" i="5"/>
  <c r="J141" i="5" s="1"/>
  <c r="G123" i="5"/>
  <c r="H123" i="5" s="1"/>
  <c r="BX93" i="1"/>
  <c r="G147" i="5"/>
  <c r="H147" i="5" s="1"/>
  <c r="K76" i="5"/>
  <c r="M76" i="5" s="1"/>
  <c r="G130" i="5"/>
  <c r="J130" i="5" s="1"/>
  <c r="BO94" i="1"/>
  <c r="BL94" i="1" s="1"/>
  <c r="G102" i="5"/>
  <c r="H102" i="5" s="1"/>
  <c r="BO157" i="1"/>
  <c r="BL157" i="1" s="1"/>
  <c r="BL120" i="1"/>
  <c r="BO114" i="1"/>
  <c r="BL114" i="1" s="1"/>
  <c r="BI92" i="1"/>
  <c r="BO59" i="1"/>
  <c r="BL59" i="1" s="1"/>
  <c r="BO76" i="1"/>
  <c r="BL76" i="1" s="1"/>
  <c r="G138" i="5"/>
  <c r="H138" i="5" s="1"/>
  <c r="G101" i="5"/>
  <c r="J101" i="5" s="1"/>
  <c r="BO156" i="1"/>
  <c r="BL156" i="1" s="1"/>
  <c r="BO119" i="1"/>
  <c r="BL119" i="1" s="1"/>
  <c r="G148" i="5"/>
  <c r="I148" i="5" s="1"/>
  <c r="G144" i="5"/>
  <c r="J144" i="5" s="1"/>
  <c r="G91" i="5"/>
  <c r="J91" i="5" s="1"/>
  <c r="G55" i="5"/>
  <c r="H55" i="5" s="1"/>
  <c r="BO116" i="1"/>
  <c r="BL116" i="1" s="1"/>
  <c r="BO99" i="1"/>
  <c r="BL99" i="1" s="1"/>
  <c r="BO60" i="1"/>
  <c r="BL60" i="1" s="1"/>
  <c r="BO143" i="1"/>
  <c r="BL143" i="1" s="1"/>
  <c r="BO155" i="1"/>
  <c r="BL155" i="1" s="1"/>
  <c r="BH62" i="3"/>
  <c r="F62" i="5" s="1"/>
  <c r="AP65" i="3"/>
  <c r="BE65" i="3" s="1"/>
  <c r="BH65" i="1"/>
  <c r="AM65" i="1" s="1"/>
  <c r="CF65" i="1"/>
  <c r="CA65" i="1"/>
  <c r="AY65" i="1"/>
  <c r="CC65" i="1"/>
  <c r="M65" i="1"/>
  <c r="CD65" i="1"/>
  <c r="CH65" i="1"/>
  <c r="N65" i="1"/>
  <c r="BM65" i="1"/>
  <c r="BO65" i="1" s="1"/>
  <c r="BL65" i="1" s="1"/>
  <c r="AH65" i="1"/>
  <c r="S65" i="5" s="1"/>
  <c r="BZ65" i="1"/>
  <c r="AW65" i="1"/>
  <c r="CE65" i="1"/>
  <c r="CG65" i="1"/>
  <c r="BA65" i="1"/>
  <c r="BG65" i="1"/>
  <c r="BJ65" i="1" s="1"/>
  <c r="W65" i="5"/>
  <c r="BO158" i="1"/>
  <c r="BL158" i="1" s="1"/>
  <c r="BH73" i="1"/>
  <c r="BI133" i="1"/>
  <c r="AM133" i="1"/>
  <c r="AP73" i="3"/>
  <c r="BE73" i="3" s="1"/>
  <c r="AW73" i="1"/>
  <c r="BZ73" i="1"/>
  <c r="CA73" i="1"/>
  <c r="AP73" i="1" s="1"/>
  <c r="BQ73" i="1" s="1"/>
  <c r="CC73" i="1"/>
  <c r="M73" i="1"/>
  <c r="BG73" i="1"/>
  <c r="BJ73" i="1" s="1"/>
  <c r="CF73" i="1"/>
  <c r="AH73" i="1"/>
  <c r="AI73" i="1" s="1"/>
  <c r="CD73" i="1"/>
  <c r="CE73" i="1"/>
  <c r="CG73" i="1"/>
  <c r="CH73" i="1"/>
  <c r="BA73" i="1"/>
  <c r="BM73" i="1"/>
  <c r="BO73" i="1" s="1"/>
  <c r="BL73" i="1" s="1"/>
  <c r="N73" i="1"/>
  <c r="Y73" i="5"/>
  <c r="X73" i="5"/>
  <c r="AM130" i="1"/>
  <c r="BI130" i="1"/>
  <c r="W73" i="5"/>
  <c r="BO134" i="1"/>
  <c r="BL134" i="1" s="1"/>
  <c r="BO159" i="1"/>
  <c r="BL159" i="1" s="1"/>
  <c r="BO149" i="1"/>
  <c r="BL149" i="1" s="1"/>
  <c r="BO145" i="1"/>
  <c r="BL145" i="1" s="1"/>
  <c r="BO131" i="1"/>
  <c r="BL131" i="1" s="1"/>
  <c r="T131" i="5"/>
  <c r="U131" i="5"/>
  <c r="V131" i="5"/>
  <c r="BO153" i="1"/>
  <c r="BL153" i="1" s="1"/>
  <c r="BO146" i="1"/>
  <c r="BL146" i="1" s="1"/>
  <c r="T136" i="5"/>
  <c r="V136" i="5"/>
  <c r="U136" i="5"/>
  <c r="AO65" i="1"/>
  <c r="AB65" i="5" s="1"/>
  <c r="BX128" i="1"/>
  <c r="V99" i="5"/>
  <c r="T99" i="5"/>
  <c r="U99" i="5"/>
  <c r="BO151" i="1"/>
  <c r="BL151" i="1" s="1"/>
  <c r="BO140" i="1"/>
  <c r="BL140" i="1" s="1"/>
  <c r="BO133" i="1"/>
  <c r="BL133" i="1" s="1"/>
  <c r="BO101" i="1"/>
  <c r="BL101" i="1" s="1"/>
  <c r="P82" i="1"/>
  <c r="Q82" i="1" s="1"/>
  <c r="P106" i="1"/>
  <c r="Q106" i="1" s="1"/>
  <c r="BX116" i="1"/>
  <c r="BO100" i="1"/>
  <c r="BL100" i="1" s="1"/>
  <c r="T92" i="5"/>
  <c r="U92" i="5"/>
  <c r="V92" i="5"/>
  <c r="BI89" i="1"/>
  <c r="T113" i="5"/>
  <c r="U113" i="5"/>
  <c r="V113" i="5"/>
  <c r="BO102" i="1"/>
  <c r="BL102" i="1" s="1"/>
  <c r="BO56" i="1"/>
  <c r="BL56" i="1" s="1"/>
  <c r="BI102" i="1"/>
  <c r="BO93" i="1"/>
  <c r="BL93" i="1" s="1"/>
  <c r="BX89" i="1"/>
  <c r="P108" i="1"/>
  <c r="Q108" i="1" s="1"/>
  <c r="P67" i="1"/>
  <c r="Q67" i="1" s="1"/>
  <c r="T94" i="5"/>
  <c r="U94" i="5"/>
  <c r="V94" i="5"/>
  <c r="T91" i="5"/>
  <c r="U91" i="5"/>
  <c r="V91" i="5"/>
  <c r="P73" i="1"/>
  <c r="Q73" i="1" s="1"/>
  <c r="S55" i="5"/>
  <c r="AL55" i="1"/>
  <c r="T98" i="5"/>
  <c r="U98" i="5"/>
  <c r="V98" i="5"/>
  <c r="BI81" i="1"/>
  <c r="P22" i="1"/>
  <c r="Q22" i="1" s="1"/>
  <c r="BO81" i="1"/>
  <c r="BL81" i="1" s="1"/>
  <c r="P35" i="1"/>
  <c r="Q35" i="1" s="1"/>
  <c r="P72" i="1"/>
  <c r="Q72" i="1" s="1"/>
  <c r="P68" i="1"/>
  <c r="Q68" i="1" s="1"/>
  <c r="P10" i="1"/>
  <c r="Q10" i="1" s="1"/>
  <c r="P5" i="1"/>
  <c r="Q5" i="1" s="1"/>
  <c r="BO55" i="1"/>
  <c r="BL55" i="1" s="1"/>
  <c r="BH150" i="3"/>
  <c r="F150" i="5" s="1"/>
  <c r="E150" i="5"/>
  <c r="P44" i="1"/>
  <c r="Q44" i="1" s="1"/>
  <c r="P42" i="1"/>
  <c r="Q42" i="1" s="1"/>
  <c r="P54" i="1"/>
  <c r="Q54" i="1" s="1"/>
  <c r="P34" i="1"/>
  <c r="Q34" i="1" s="1"/>
  <c r="P17" i="1"/>
  <c r="Q17" i="1" s="1"/>
  <c r="BO98" i="1"/>
  <c r="BL98" i="1" s="1"/>
  <c r="BL93" i="3"/>
  <c r="BL89" i="3"/>
  <c r="BQ89" i="3"/>
  <c r="BL128" i="3"/>
  <c r="BQ128" i="3"/>
  <c r="BQ134" i="3"/>
  <c r="BL134" i="3"/>
  <c r="BI134" i="3"/>
  <c r="BL98" i="3"/>
  <c r="E130" i="5"/>
  <c r="BH130" i="3"/>
  <c r="AQ73" i="3"/>
  <c r="BG73" i="3" s="1"/>
  <c r="BO73" i="3" s="1"/>
  <c r="BL116" i="3"/>
  <c r="BQ116" i="3"/>
  <c r="BL122" i="3"/>
  <c r="E102" i="5"/>
  <c r="BH102" i="3"/>
  <c r="F102" i="5" s="1"/>
  <c r="BL99" i="3"/>
  <c r="BL140" i="3"/>
  <c r="AQ65" i="3"/>
  <c r="AR65" i="3" s="1"/>
  <c r="BQ133" i="3"/>
  <c r="BD65" i="3"/>
  <c r="BQ62" i="3"/>
  <c r="BL55" i="3"/>
  <c r="BD73" i="3"/>
  <c r="BH73" i="3" s="1"/>
  <c r="F73" i="5" s="1"/>
  <c r="BL158" i="3"/>
  <c r="BL62" i="3"/>
  <c r="BC65" i="3"/>
  <c r="BL65" i="3" s="1"/>
  <c r="BB65" i="3"/>
  <c r="BI65" i="3" s="1"/>
  <c r="BM65" i="3" a="1"/>
  <c r="BM65" i="3" s="1"/>
  <c r="BQ65" i="3" s="1"/>
  <c r="BB73" i="3"/>
  <c r="BC73" i="3"/>
  <c r="BM73" i="3" a="1"/>
  <c r="BM73" i="3" s="1"/>
  <c r="BQ73" i="3" s="1"/>
  <c r="BF158" i="1"/>
  <c r="BB158" i="3"/>
  <c r="BI158" i="3" s="1"/>
  <c r="AO150" i="1"/>
  <c r="AB150" i="5" s="1"/>
  <c r="BB150" i="3"/>
  <c r="BI150" i="3" s="1"/>
  <c r="AJ149" i="1"/>
  <c r="S149" i="5"/>
  <c r="U149" i="5" s="1"/>
  <c r="AI148" i="1"/>
  <c r="S148" i="5"/>
  <c r="U148" i="5" s="1"/>
  <c r="V147" i="5"/>
  <c r="U147" i="5"/>
  <c r="AK146" i="1"/>
  <c r="S146" i="5"/>
  <c r="AK145" i="1"/>
  <c r="S145" i="5"/>
  <c r="AI144" i="1"/>
  <c r="S144" i="5"/>
  <c r="AI143" i="1"/>
  <c r="S143" i="5"/>
  <c r="U143" i="5" s="1"/>
  <c r="T142" i="5"/>
  <c r="U142" i="5"/>
  <c r="V142" i="5"/>
  <c r="AK141" i="1"/>
  <c r="S141" i="5"/>
  <c r="V141" i="5" s="1"/>
  <c r="BC140" i="1"/>
  <c r="BB140" i="3"/>
  <c r="BI140" i="3" s="1"/>
  <c r="AI140" i="1"/>
  <c r="S140" i="5"/>
  <c r="AK139" i="1"/>
  <c r="S139" i="5"/>
  <c r="AI137" i="1"/>
  <c r="S137" i="5"/>
  <c r="BD131" i="1"/>
  <c r="BB131" i="3"/>
  <c r="BI131" i="3" s="1"/>
  <c r="J130" i="1"/>
  <c r="BB130" i="3"/>
  <c r="BI130" i="3" s="1"/>
  <c r="AI130" i="1"/>
  <c r="S130" i="5"/>
  <c r="BF128" i="1"/>
  <c r="BB128" i="3"/>
  <c r="BI128" i="3" s="1"/>
  <c r="P123" i="1"/>
  <c r="Q123" i="1" s="1"/>
  <c r="BB123" i="3"/>
  <c r="BI123" i="3" s="1"/>
  <c r="BB122" i="1"/>
  <c r="BB122" i="3"/>
  <c r="BI122" i="3" s="1"/>
  <c r="AI122" i="1"/>
  <c r="S122" i="5"/>
  <c r="AI119" i="1"/>
  <c r="S119" i="5"/>
  <c r="BB118" i="3"/>
  <c r="BI118" i="3" s="1"/>
  <c r="AI118" i="1"/>
  <c r="S118" i="5"/>
  <c r="AO116" i="1"/>
  <c r="AB116" i="5" s="1"/>
  <c r="BB116" i="3"/>
  <c r="BI116" i="3" s="1"/>
  <c r="AP114" i="1"/>
  <c r="BQ114" i="1" s="1"/>
  <c r="BB114" i="3"/>
  <c r="BI114" i="3" s="1"/>
  <c r="AI110" i="1"/>
  <c r="S110" i="5"/>
  <c r="BC109" i="1"/>
  <c r="BB109" i="3"/>
  <c r="BI109" i="3" s="1"/>
  <c r="AJ109" i="1"/>
  <c r="S109" i="5"/>
  <c r="BD100" i="1"/>
  <c r="BB100" i="3"/>
  <c r="BI100" i="3" s="1"/>
  <c r="AJ100" i="1"/>
  <c r="S100" i="5"/>
  <c r="P99" i="1"/>
  <c r="Q99" i="1" s="1"/>
  <c r="BB99" i="3"/>
  <c r="BI99" i="3" s="1"/>
  <c r="BC98" i="1"/>
  <c r="BB98" i="3"/>
  <c r="BI98" i="3" s="1"/>
  <c r="AO94" i="1"/>
  <c r="AB94" i="5" s="1"/>
  <c r="BB94" i="3"/>
  <c r="BI94" i="3" s="1"/>
  <c r="P93" i="1"/>
  <c r="Q93" i="1" s="1"/>
  <c r="BB93" i="3"/>
  <c r="BI93" i="3" s="1"/>
  <c r="AK93" i="1"/>
  <c r="S93" i="5"/>
  <c r="CB89" i="1"/>
  <c r="BB89" i="3"/>
  <c r="BI89" i="3" s="1"/>
  <c r="AI81" i="1"/>
  <c r="S81" i="5"/>
  <c r="U81" i="5" s="1"/>
  <c r="AK79" i="1"/>
  <c r="S79" i="5"/>
  <c r="BB77" i="1"/>
  <c r="BB77" i="3"/>
  <c r="BI77" i="3" s="1"/>
  <c r="AL77" i="1"/>
  <c r="S77" i="5"/>
  <c r="P76" i="1"/>
  <c r="Q76" i="1" s="1"/>
  <c r="BB76" i="3"/>
  <c r="BI76" i="3" s="1"/>
  <c r="AI76" i="1"/>
  <c r="S76" i="5"/>
  <c r="BF62" i="1"/>
  <c r="BB62" i="3"/>
  <c r="BI62" i="3" s="1"/>
  <c r="BB60" i="1"/>
  <c r="BB60" i="3"/>
  <c r="BI60" i="3" s="1"/>
  <c r="V60" i="5"/>
  <c r="U60" i="5"/>
  <c r="BB59" i="1"/>
  <c r="BB59" i="3"/>
  <c r="BI59" i="3" s="1"/>
  <c r="AL59" i="1"/>
  <c r="S59" i="5"/>
  <c r="BF58" i="1"/>
  <c r="BB58" i="3"/>
  <c r="BI58" i="3" s="1"/>
  <c r="AJ58" i="1"/>
  <c r="S58" i="5"/>
  <c r="AO57" i="1"/>
  <c r="AB57" i="5" s="1"/>
  <c r="BB57" i="3"/>
  <c r="BI57" i="3" s="1"/>
  <c r="AL57" i="1"/>
  <c r="S57" i="5"/>
  <c r="U57" i="5" s="1"/>
  <c r="AM56" i="1"/>
  <c r="BB56" i="3"/>
  <c r="BI56" i="3" s="1"/>
  <c r="AJ56" i="1"/>
  <c r="S56" i="5"/>
  <c r="BD55" i="1"/>
  <c r="BB55" i="3"/>
  <c r="BI55" i="3" s="1"/>
  <c r="BH158" i="3"/>
  <c r="F158" i="5" s="1"/>
  <c r="BH140" i="3"/>
  <c r="E140" i="5"/>
  <c r="BL138" i="3"/>
  <c r="E138" i="5"/>
  <c r="BH134" i="3"/>
  <c r="F134" i="5" s="1"/>
  <c r="E134" i="5"/>
  <c r="BH133" i="3"/>
  <c r="F133" i="5" s="1"/>
  <c r="E133" i="5"/>
  <c r="BL131" i="3"/>
  <c r="E131" i="5"/>
  <c r="BL130" i="3"/>
  <c r="BH128" i="3"/>
  <c r="E128" i="5"/>
  <c r="BH123" i="3"/>
  <c r="F123" i="5" s="1"/>
  <c r="E123" i="5"/>
  <c r="E122" i="5"/>
  <c r="BL119" i="3"/>
  <c r="E119" i="5"/>
  <c r="BL118" i="3"/>
  <c r="E118" i="5"/>
  <c r="BI117" i="3"/>
  <c r="BL117" i="3"/>
  <c r="E117" i="5"/>
  <c r="BH117" i="3"/>
  <c r="F117" i="5" s="1"/>
  <c r="BH116" i="3"/>
  <c r="F116" i="5" s="1"/>
  <c r="E116" i="5"/>
  <c r="BL114" i="3"/>
  <c r="BH114" i="3"/>
  <c r="F114" i="5" s="1"/>
  <c r="E114" i="5"/>
  <c r="BH109" i="3"/>
  <c r="F109" i="5" s="1"/>
  <c r="E109" i="5"/>
  <c r="BI102" i="3"/>
  <c r="BL102" i="3"/>
  <c r="BL101" i="3"/>
  <c r="BI101" i="3"/>
  <c r="BH101" i="3"/>
  <c r="F101" i="5" s="1"/>
  <c r="E101" i="5"/>
  <c r="BL100" i="3"/>
  <c r="BH100" i="3"/>
  <c r="F100" i="5" s="1"/>
  <c r="E100" i="5"/>
  <c r="E99" i="5"/>
  <c r="BH98" i="3"/>
  <c r="F98" i="5" s="1"/>
  <c r="E98" i="5"/>
  <c r="BL94" i="3"/>
  <c r="BH94" i="3"/>
  <c r="F94" i="5" s="1"/>
  <c r="E94" i="5"/>
  <c r="BH93" i="3"/>
  <c r="F93" i="5" s="1"/>
  <c r="E93" i="5"/>
  <c r="E89" i="5"/>
  <c r="BL81" i="3"/>
  <c r="E81" i="5"/>
  <c r="BL77" i="3"/>
  <c r="E77" i="5"/>
  <c r="BL76" i="3"/>
  <c r="E76" i="5"/>
  <c r="BL60" i="3"/>
  <c r="E60" i="5"/>
  <c r="BL59" i="3"/>
  <c r="BH59" i="3"/>
  <c r="F59" i="5" s="1"/>
  <c r="E59" i="5"/>
  <c r="E58" i="5"/>
  <c r="BH58" i="3"/>
  <c r="F58" i="5" s="1"/>
  <c r="BL57" i="3"/>
  <c r="E57" i="5"/>
  <c r="E56" i="5"/>
  <c r="BH56" i="3"/>
  <c r="BH55" i="3"/>
  <c r="F55" i="5" s="1"/>
  <c r="E55" i="5"/>
  <c r="BS99" i="3"/>
  <c r="BO56" i="3"/>
  <c r="BS56" i="3" s="1"/>
  <c r="AY117" i="3"/>
  <c r="BK117" i="3" s="1"/>
  <c r="AY93" i="3"/>
  <c r="BK93" i="3" s="1"/>
  <c r="AY99" i="3"/>
  <c r="AY138" i="3"/>
  <c r="AY56" i="3"/>
  <c r="AY109" i="3"/>
  <c r="AR158" i="3"/>
  <c r="AY158" i="3"/>
  <c r="BG158" i="3"/>
  <c r="AR150" i="3"/>
  <c r="BG150" i="3"/>
  <c r="BO150" i="3" s="1"/>
  <c r="BS150" i="3" s="1"/>
  <c r="AR140" i="3"/>
  <c r="BG140" i="3"/>
  <c r="BO138" i="3"/>
  <c r="BS138" i="3" s="1"/>
  <c r="BG137" i="3"/>
  <c r="AR134" i="3"/>
  <c r="BG134" i="3"/>
  <c r="BO134" i="3" s="1"/>
  <c r="BS134" i="3" s="1"/>
  <c r="AR133" i="3"/>
  <c r="AY133" i="3"/>
  <c r="BG133" i="3"/>
  <c r="BO133" i="3" s="1"/>
  <c r="BS133" i="3" s="1"/>
  <c r="AR131" i="3"/>
  <c r="BG131" i="3"/>
  <c r="AY131" i="3"/>
  <c r="AR130" i="3"/>
  <c r="BG130" i="3"/>
  <c r="AY130" i="3"/>
  <c r="AR128" i="3"/>
  <c r="BG128" i="3"/>
  <c r="BO128" i="3" s="1"/>
  <c r="BS128" i="3" s="1"/>
  <c r="AR123" i="3"/>
  <c r="BG123" i="3"/>
  <c r="AR122" i="3"/>
  <c r="BG122" i="3"/>
  <c r="AY119" i="3"/>
  <c r="BG119" i="3"/>
  <c r="BO119" i="3" s="1"/>
  <c r="BS119" i="3" s="1"/>
  <c r="BG118" i="3"/>
  <c r="AY118" i="3"/>
  <c r="BO117" i="3"/>
  <c r="BS117" i="3" s="1"/>
  <c r="AR116" i="3"/>
  <c r="BG116" i="3"/>
  <c r="AY116" i="3"/>
  <c r="AR114" i="3"/>
  <c r="BG114" i="3"/>
  <c r="BO114" i="3" s="1"/>
  <c r="BS114" i="3" s="1"/>
  <c r="AR110" i="3"/>
  <c r="BG110" i="3"/>
  <c r="BO109" i="3"/>
  <c r="BS109" i="3" s="1"/>
  <c r="AR102" i="3"/>
  <c r="BG102" i="3"/>
  <c r="AR101" i="3"/>
  <c r="AY101" i="3"/>
  <c r="BG101" i="3"/>
  <c r="AY100" i="3"/>
  <c r="BG100" i="3"/>
  <c r="AY98" i="3"/>
  <c r="BG98" i="3"/>
  <c r="AR94" i="3"/>
  <c r="BG94" i="3"/>
  <c r="AY94" i="3"/>
  <c r="AR89" i="3"/>
  <c r="BG89" i="3"/>
  <c r="BO89" i="3" s="1"/>
  <c r="BS89" i="3" s="1"/>
  <c r="AR81" i="3"/>
  <c r="BG81" i="3"/>
  <c r="BS79" i="3"/>
  <c r="BO79" i="3"/>
  <c r="AR77" i="3"/>
  <c r="BG77" i="3"/>
  <c r="BO77" i="3" s="1"/>
  <c r="BS77" i="3" s="1"/>
  <c r="AR76" i="3"/>
  <c r="AY76" i="3"/>
  <c r="BG76" i="3"/>
  <c r="BO76" i="3" s="1"/>
  <c r="BS76" i="3" s="1"/>
  <c r="AY65" i="3"/>
  <c r="AR62" i="3"/>
  <c r="BG62" i="3"/>
  <c r="BO62" i="3" s="1"/>
  <c r="BS62" i="3" s="1"/>
  <c r="AY60" i="3"/>
  <c r="BG60" i="3"/>
  <c r="BG59" i="3"/>
  <c r="AY59" i="3"/>
  <c r="AR58" i="3"/>
  <c r="AY58" i="3"/>
  <c r="BG58" i="3"/>
  <c r="AY57" i="3"/>
  <c r="BG57" i="3"/>
  <c r="AY55" i="3"/>
  <c r="BG55" i="3"/>
  <c r="G131" i="5"/>
  <c r="H131" i="5" s="1"/>
  <c r="G56" i="5"/>
  <c r="H56" i="5" s="1"/>
  <c r="AJ79" i="1"/>
  <c r="G149" i="5"/>
  <c r="I149" i="5" s="1"/>
  <c r="BB131" i="1"/>
  <c r="G119" i="5"/>
  <c r="J119" i="5" s="1"/>
  <c r="AL79" i="1"/>
  <c r="G60" i="5"/>
  <c r="H60" i="5" s="1"/>
  <c r="BB72" i="1"/>
  <c r="AO58" i="1"/>
  <c r="AB58" i="5" s="1"/>
  <c r="BF65" i="1"/>
  <c r="BC10" i="1"/>
  <c r="BC72" i="1"/>
  <c r="BE99" i="1"/>
  <c r="G89" i="5"/>
  <c r="H89" i="5" s="1"/>
  <c r="S109" i="1"/>
  <c r="BC114" i="1"/>
  <c r="AP116" i="1"/>
  <c r="BQ116" i="1" s="1"/>
  <c r="BC116" i="1"/>
  <c r="P116" i="1"/>
  <c r="Q116" i="1" s="1"/>
  <c r="AM99" i="1"/>
  <c r="AJ77" i="1"/>
  <c r="BB116" i="1"/>
  <c r="AI77" i="1"/>
  <c r="G145" i="5"/>
  <c r="H145" i="5" s="1"/>
  <c r="BC99" i="1"/>
  <c r="BF94" i="1"/>
  <c r="G99" i="5"/>
  <c r="J99" i="5" s="1"/>
  <c r="AP99" i="1"/>
  <c r="BQ99" i="1" s="1"/>
  <c r="V99" i="1"/>
  <c r="V94" i="1"/>
  <c r="S99" i="1"/>
  <c r="U58" i="1"/>
  <c r="G153" i="5"/>
  <c r="J153" i="5" s="1"/>
  <c r="AP77" i="1"/>
  <c r="BQ77" i="1" s="1"/>
  <c r="BC118" i="1"/>
  <c r="U141" i="1"/>
  <c r="AO128" i="1"/>
  <c r="AB128" i="5" s="1"/>
  <c r="AP118" i="1"/>
  <c r="BQ118" i="1" s="1"/>
  <c r="T94" i="1"/>
  <c r="BI59" i="1"/>
  <c r="BB24" i="1"/>
  <c r="AO158" i="1"/>
  <c r="AB158" i="5" s="1"/>
  <c r="AO102" i="1"/>
  <c r="AB102" i="5" s="1"/>
  <c r="BF57" i="1"/>
  <c r="AP93" i="1"/>
  <c r="BQ93" i="1" s="1"/>
  <c r="U89" i="1"/>
  <c r="AO77" i="1"/>
  <c r="AB77" i="5" s="1"/>
  <c r="U60" i="1"/>
  <c r="AP58" i="1"/>
  <c r="BQ58" i="1" s="1"/>
  <c r="T55" i="1"/>
  <c r="BE118" i="1"/>
  <c r="G98" i="5"/>
  <c r="I98" i="5" s="1"/>
  <c r="G77" i="5"/>
  <c r="H77" i="5" s="1"/>
  <c r="AK77" i="1"/>
  <c r="P128" i="1"/>
  <c r="Q128" i="1" s="1"/>
  <c r="BF122" i="1"/>
  <c r="BB8" i="1"/>
  <c r="BF118" i="1"/>
  <c r="BC122" i="1"/>
  <c r="BI114" i="1"/>
  <c r="BC100" i="1"/>
  <c r="BD94" i="1"/>
  <c r="J59" i="1"/>
  <c r="BD58" i="1"/>
  <c r="BE58" i="1" s="1"/>
  <c r="BN58" i="1" s="1" a="1"/>
  <c r="BN58" i="1" s="1"/>
  <c r="AL140" i="1"/>
  <c r="J57" i="1"/>
  <c r="P47" i="1"/>
  <c r="Q47" i="1" s="1"/>
  <c r="S153" i="1"/>
  <c r="J128" i="1"/>
  <c r="U99" i="1"/>
  <c r="BB20" i="1"/>
  <c r="BB158" i="1"/>
  <c r="S157" i="1"/>
  <c r="BI150" i="1"/>
  <c r="BB140" i="1"/>
  <c r="AP128" i="1"/>
  <c r="BQ128" i="1" s="1"/>
  <c r="BC126" i="1"/>
  <c r="BC101" i="1"/>
  <c r="BF98" i="1"/>
  <c r="BB76" i="1"/>
  <c r="P69" i="1"/>
  <c r="Q69" i="1" s="1"/>
  <c r="BC67" i="1"/>
  <c r="AP60" i="1"/>
  <c r="BQ60" i="1" s="1"/>
  <c r="AP55" i="1"/>
  <c r="BQ55" i="1" s="1"/>
  <c r="BB55" i="1"/>
  <c r="CB140" i="1"/>
  <c r="V149" i="1"/>
  <c r="BB102" i="1"/>
  <c r="AP101" i="1"/>
  <c r="BQ101" i="1" s="1"/>
  <c r="BB67" i="1"/>
  <c r="CB62" i="1"/>
  <c r="AH101" i="1"/>
  <c r="S101" i="5" s="1"/>
  <c r="S152" i="1"/>
  <c r="AP150" i="1"/>
  <c r="BQ150" i="1" s="1"/>
  <c r="T149" i="1"/>
  <c r="U148" i="1"/>
  <c r="AO122" i="1"/>
  <c r="AB122" i="5" s="1"/>
  <c r="AO118" i="1"/>
  <c r="AB118" i="5" s="1"/>
  <c r="P101" i="1"/>
  <c r="Q101" i="1" s="1"/>
  <c r="AO93" i="1"/>
  <c r="AB93" i="5" s="1"/>
  <c r="V91" i="1"/>
  <c r="T76" i="1"/>
  <c r="BB4" i="1"/>
  <c r="BF140" i="1"/>
  <c r="AO140" i="1"/>
  <c r="AB140" i="5" s="1"/>
  <c r="J140" i="1"/>
  <c r="G109" i="5"/>
  <c r="I109" i="5" s="1"/>
  <c r="S149" i="1"/>
  <c r="S148" i="1"/>
  <c r="T147" i="1"/>
  <c r="P98" i="1"/>
  <c r="Q98" i="1" s="1"/>
  <c r="T91" i="1"/>
  <c r="AP59" i="1"/>
  <c r="BQ59" i="1" s="1"/>
  <c r="BF59" i="1"/>
  <c r="BC35" i="1"/>
  <c r="P140" i="1"/>
  <c r="Q140" i="1" s="1"/>
  <c r="BI100" i="1"/>
  <c r="AO62" i="1"/>
  <c r="AB62" i="5" s="1"/>
  <c r="BI56" i="1"/>
  <c r="AO56" i="1"/>
  <c r="AB56" i="5" s="1"/>
  <c r="CB56" i="1"/>
  <c r="V130" i="1"/>
  <c r="P33" i="1"/>
  <c r="Q33" i="1" s="1"/>
  <c r="J158" i="1"/>
  <c r="T130" i="1"/>
  <c r="J98" i="1"/>
  <c r="BC84" i="1"/>
  <c r="BC62" i="1"/>
  <c r="BC56" i="1"/>
  <c r="S130" i="1"/>
  <c r="BB129" i="1"/>
  <c r="AP122" i="1"/>
  <c r="BQ122" i="1" s="1"/>
  <c r="BB84" i="1"/>
  <c r="J76" i="1"/>
  <c r="BB62" i="1"/>
  <c r="CB60" i="1"/>
  <c r="BB56" i="1"/>
  <c r="J55" i="1"/>
  <c r="AK144" i="1"/>
  <c r="S122" i="1"/>
  <c r="V109" i="1"/>
  <c r="AO101" i="1"/>
  <c r="AB101" i="5" s="1"/>
  <c r="AO76" i="1"/>
  <c r="AB76" i="5" s="1"/>
  <c r="AP62" i="1"/>
  <c r="BQ62" i="1" s="1"/>
  <c r="U62" i="1"/>
  <c r="BI60" i="1"/>
  <c r="AO60" i="1"/>
  <c r="AB60" i="5" s="1"/>
  <c r="AP56" i="1"/>
  <c r="BQ56" i="1" s="1"/>
  <c r="BC60" i="1"/>
  <c r="BF55" i="1"/>
  <c r="J122" i="1"/>
  <c r="P80" i="1"/>
  <c r="Q80" i="1" s="1"/>
  <c r="BC76" i="1"/>
  <c r="BC68" i="1"/>
  <c r="K75" i="5"/>
  <c r="N75" i="5" s="1"/>
  <c r="J100" i="5"/>
  <c r="H100" i="5"/>
  <c r="I150" i="5"/>
  <c r="H150" i="5"/>
  <c r="M148" i="5"/>
  <c r="L148" i="5"/>
  <c r="M126" i="5"/>
  <c r="L126" i="5"/>
  <c r="M125" i="5"/>
  <c r="L125" i="5"/>
  <c r="M55" i="5"/>
  <c r="L55" i="5"/>
  <c r="M103" i="5"/>
  <c r="L103" i="5"/>
  <c r="N34" i="5"/>
  <c r="L34" i="5"/>
  <c r="M28" i="5"/>
  <c r="L28" i="5"/>
  <c r="J148" i="5"/>
  <c r="I57" i="5"/>
  <c r="H57" i="5"/>
  <c r="M114" i="5"/>
  <c r="L114" i="5"/>
  <c r="N2" i="5"/>
  <c r="L2" i="5"/>
  <c r="N135" i="5"/>
  <c r="L135" i="5"/>
  <c r="J134" i="5"/>
  <c r="H134" i="5"/>
  <c r="M89" i="5"/>
  <c r="L89" i="5"/>
  <c r="N108" i="5"/>
  <c r="L108" i="5"/>
  <c r="AR60" i="3"/>
  <c r="AR138" i="3"/>
  <c r="AR98" i="3"/>
  <c r="AR57" i="3"/>
  <c r="AR59" i="3"/>
  <c r="AR56" i="3"/>
  <c r="AR93" i="3"/>
  <c r="AR55" i="3"/>
  <c r="AR117" i="3"/>
  <c r="AM122" i="1"/>
  <c r="BI116" i="1"/>
  <c r="AM101" i="1"/>
  <c r="BX60" i="1"/>
  <c r="BX133" i="1"/>
  <c r="AM128" i="1"/>
  <c r="AR118" i="3"/>
  <c r="AR100" i="3"/>
  <c r="AR99" i="3"/>
  <c r="AR109" i="3"/>
  <c r="AR119" i="3"/>
  <c r="K124" i="5"/>
  <c r="K99" i="5"/>
  <c r="K83" i="5"/>
  <c r="M83" i="5" s="1"/>
  <c r="K77" i="5"/>
  <c r="L77" i="5" s="1"/>
  <c r="T59" i="1"/>
  <c r="G59" i="5"/>
  <c r="Z57" i="1"/>
  <c r="K57" i="5"/>
  <c r="L57" i="5" s="1"/>
  <c r="Z8" i="1"/>
  <c r="K8" i="5"/>
  <c r="L8" i="5" s="1"/>
  <c r="G133" i="5"/>
  <c r="H133" i="5" s="1"/>
  <c r="AL143" i="1"/>
  <c r="AI142" i="1"/>
  <c r="G58" i="5"/>
  <c r="AK56" i="1"/>
  <c r="AI56" i="1"/>
  <c r="K17" i="5"/>
  <c r="AJ147" i="1"/>
  <c r="AJ76" i="1"/>
  <c r="AK76" i="1"/>
  <c r="S57" i="1"/>
  <c r="T57" i="1"/>
  <c r="V152" i="1"/>
  <c r="AA30" i="1"/>
  <c r="K30" i="5"/>
  <c r="S120" i="1"/>
  <c r="T120" i="1"/>
  <c r="G120" i="5"/>
  <c r="Y21" i="1"/>
  <c r="K21" i="5"/>
  <c r="M21" i="5" s="1"/>
  <c r="G117" i="5"/>
  <c r="K10" i="5"/>
  <c r="U146" i="1"/>
  <c r="T146" i="1"/>
  <c r="G146" i="5"/>
  <c r="S140" i="1"/>
  <c r="G140" i="5"/>
  <c r="H140" i="5" s="1"/>
  <c r="V128" i="1"/>
  <c r="G128" i="5"/>
  <c r="H128" i="5" s="1"/>
  <c r="S115" i="1"/>
  <c r="G115" i="5"/>
  <c r="AI98" i="1"/>
  <c r="F99" i="5"/>
  <c r="G151" i="5"/>
  <c r="T148" i="1"/>
  <c r="T109" i="1"/>
  <c r="F77" i="5"/>
  <c r="G94" i="5"/>
  <c r="H94" i="5" s="1"/>
  <c r="G93" i="5"/>
  <c r="H93" i="5" s="1"/>
  <c r="K6" i="5"/>
  <c r="P158" i="1"/>
  <c r="Q158" i="1" s="1"/>
  <c r="T153" i="1"/>
  <c r="U94" i="1"/>
  <c r="F131" i="5"/>
  <c r="K60" i="5"/>
  <c r="L60" i="5" s="1"/>
  <c r="G157" i="5"/>
  <c r="G113" i="5"/>
  <c r="H113" i="5" s="1"/>
  <c r="G152" i="5"/>
  <c r="V153" i="1"/>
  <c r="V146" i="1"/>
  <c r="V59" i="1"/>
  <c r="V144" i="1"/>
  <c r="V141" i="1"/>
  <c r="T113" i="1"/>
  <c r="G76" i="5"/>
  <c r="H76" i="5" s="1"/>
  <c r="T141" i="1"/>
  <c r="AK137" i="1"/>
  <c r="AL130" i="1"/>
  <c r="U128" i="1"/>
  <c r="G122" i="5"/>
  <c r="H122" i="5" s="1"/>
  <c r="V159" i="1"/>
  <c r="AL148" i="1"/>
  <c r="S128" i="1"/>
  <c r="U93" i="1"/>
  <c r="G143" i="5"/>
  <c r="H143" i="5" s="1"/>
  <c r="T159" i="1"/>
  <c r="U152" i="1"/>
  <c r="U115" i="1"/>
  <c r="U101" i="1"/>
  <c r="V57" i="1"/>
  <c r="V157" i="1"/>
  <c r="V122" i="1"/>
  <c r="G159" i="5"/>
  <c r="H159" i="5" s="1"/>
  <c r="AL139" i="1"/>
  <c r="U122" i="1"/>
  <c r="AK119" i="1"/>
  <c r="S60" i="1"/>
  <c r="AL56" i="1"/>
  <c r="U157" i="1"/>
  <c r="G62" i="5"/>
  <c r="AL144" i="1"/>
  <c r="AJ119" i="1"/>
  <c r="V76" i="1"/>
  <c r="K133" i="5"/>
  <c r="K66" i="5"/>
  <c r="Z30" i="1"/>
  <c r="K144" i="5"/>
  <c r="K94" i="5"/>
  <c r="L94" i="5" s="1"/>
  <c r="K24" i="5"/>
  <c r="L24" i="5" s="1"/>
  <c r="K140" i="5"/>
  <c r="L140" i="5" s="1"/>
  <c r="K138" i="5"/>
  <c r="K64" i="5"/>
  <c r="L64" i="5" s="1"/>
  <c r="Z124" i="1"/>
  <c r="K134" i="5"/>
  <c r="L134" i="5" s="1"/>
  <c r="Z6" i="1"/>
  <c r="K84" i="5"/>
  <c r="L84" i="5" s="1"/>
  <c r="K147" i="5"/>
  <c r="Y151" i="1"/>
  <c r="K86" i="5"/>
  <c r="L86" i="5" s="1"/>
  <c r="Z94" i="1"/>
  <c r="Y68" i="1"/>
  <c r="X125" i="1"/>
  <c r="Z107" i="1"/>
  <c r="K67" i="5"/>
  <c r="Y159" i="1"/>
  <c r="Y40" i="1"/>
  <c r="X83" i="1"/>
  <c r="K23" i="5"/>
  <c r="L23" i="5" s="1"/>
  <c r="K153" i="5"/>
  <c r="AA153" i="1"/>
  <c r="K109" i="5"/>
  <c r="L109" i="5" s="1"/>
  <c r="K107" i="5"/>
  <c r="K9" i="5"/>
  <c r="L9" i="5" s="1"/>
  <c r="Z153" i="1"/>
  <c r="AA20" i="1"/>
  <c r="AA10" i="1"/>
  <c r="K129" i="5"/>
  <c r="K111" i="5"/>
  <c r="K35" i="5"/>
  <c r="L35" i="5" s="1"/>
  <c r="Y153" i="1"/>
  <c r="Z138" i="1"/>
  <c r="K36" i="5"/>
  <c r="L36" i="5" s="1"/>
  <c r="K14" i="5"/>
  <c r="K154" i="5"/>
  <c r="K68" i="5"/>
  <c r="L68" i="5" s="1"/>
  <c r="K56" i="5"/>
  <c r="L56" i="5" s="1"/>
  <c r="K13" i="5"/>
  <c r="Y124" i="1"/>
  <c r="X69" i="1"/>
  <c r="K152" i="5"/>
  <c r="K136" i="5"/>
  <c r="K121" i="5"/>
  <c r="K7" i="5"/>
  <c r="K105" i="5"/>
  <c r="K81" i="5"/>
  <c r="L81" i="5" s="1"/>
  <c r="K62" i="5"/>
  <c r="Z152" i="1"/>
  <c r="AA107" i="1"/>
  <c r="K151" i="5"/>
  <c r="L151" i="5" s="1"/>
  <c r="K40" i="5"/>
  <c r="K113" i="5"/>
  <c r="K92" i="5"/>
  <c r="K70" i="5"/>
  <c r="L70" i="5" s="1"/>
  <c r="K20" i="5"/>
  <c r="L20" i="5" s="1"/>
  <c r="K5" i="5"/>
  <c r="Z86" i="1"/>
  <c r="X133" i="1"/>
  <c r="Z75" i="1"/>
  <c r="K123" i="5"/>
  <c r="Y140" i="1"/>
  <c r="X109" i="1"/>
  <c r="K115" i="5"/>
  <c r="L115" i="5" s="1"/>
  <c r="K63" i="5"/>
  <c r="Y154" i="1"/>
  <c r="AA99" i="1"/>
  <c r="X65" i="1"/>
  <c r="K141" i="5"/>
  <c r="L141" i="5" s="1"/>
  <c r="K139" i="5"/>
  <c r="L139" i="5" s="1"/>
  <c r="K3" i="5"/>
  <c r="L3" i="5" s="1"/>
  <c r="Y107" i="1"/>
  <c r="Y99" i="1"/>
  <c r="Y60" i="1"/>
  <c r="K142" i="5"/>
  <c r="K117" i="5"/>
  <c r="L117" i="5" s="1"/>
  <c r="K106" i="5"/>
  <c r="AA142" i="1"/>
  <c r="Y123" i="1"/>
  <c r="X105" i="1"/>
  <c r="K11" i="5"/>
  <c r="L11" i="5" s="1"/>
  <c r="K69" i="5"/>
  <c r="L69" i="5" s="1"/>
  <c r="K22" i="5"/>
  <c r="K82" i="5"/>
  <c r="Y142" i="1"/>
  <c r="AA124" i="1"/>
  <c r="X123" i="1"/>
  <c r="Y64" i="1"/>
  <c r="Z22" i="1"/>
  <c r="AA12" i="1"/>
  <c r="P119" i="1"/>
  <c r="Q119" i="1" s="1"/>
  <c r="BF119" i="1"/>
  <c r="J119" i="1"/>
  <c r="AO119" i="1"/>
  <c r="AB119" i="5" s="1"/>
  <c r="AP119" i="1"/>
  <c r="BQ119" i="1" s="1"/>
  <c r="BB119" i="1"/>
  <c r="BC119" i="1"/>
  <c r="V114" i="1"/>
  <c r="S114" i="1"/>
  <c r="G114" i="5"/>
  <c r="V155" i="1"/>
  <c r="S155" i="1"/>
  <c r="T155" i="1"/>
  <c r="U155" i="1"/>
  <c r="G155" i="5"/>
  <c r="AK113" i="1"/>
  <c r="AJ113" i="1"/>
  <c r="AL113" i="1"/>
  <c r="J133" i="1"/>
  <c r="BC133" i="1"/>
  <c r="AO133" i="1"/>
  <c r="AB133" i="5" s="1"/>
  <c r="P133" i="1"/>
  <c r="Q133" i="1" s="1"/>
  <c r="U150" i="1"/>
  <c r="S150" i="1"/>
  <c r="T150" i="1"/>
  <c r="V150" i="1"/>
  <c r="AP123" i="1"/>
  <c r="BQ123" i="1" s="1"/>
  <c r="X160" i="1"/>
  <c r="U159" i="1"/>
  <c r="X158" i="1"/>
  <c r="BO148" i="1"/>
  <c r="BL148" i="1" s="1"/>
  <c r="S147" i="1"/>
  <c r="V145" i="1"/>
  <c r="U144" i="1"/>
  <c r="X140" i="1"/>
  <c r="Y138" i="1"/>
  <c r="BO128" i="1"/>
  <c r="BL128" i="1" s="1"/>
  <c r="T128" i="1"/>
  <c r="BD122" i="1"/>
  <c r="J118" i="1"/>
  <c r="S117" i="1"/>
  <c r="BI110" i="1"/>
  <c r="AK100" i="1"/>
  <c r="AI100" i="1"/>
  <c r="T145" i="1"/>
  <c r="T144" i="1"/>
  <c r="J123" i="1"/>
  <c r="U102" i="1"/>
  <c r="T102" i="1"/>
  <c r="V102" i="1"/>
  <c r="S98" i="1"/>
  <c r="V98" i="1"/>
  <c r="T98" i="1"/>
  <c r="S145" i="1"/>
  <c r="AM140" i="1"/>
  <c r="V138" i="1"/>
  <c r="BI128" i="1"/>
  <c r="BO123" i="1"/>
  <c r="BL123" i="1" s="1"/>
  <c r="Z123" i="1"/>
  <c r="AP133" i="1"/>
  <c r="BQ133" i="1" s="1"/>
  <c r="AM118" i="1"/>
  <c r="X115" i="1"/>
  <c r="Y115" i="1"/>
  <c r="U100" i="1"/>
  <c r="S100" i="1"/>
  <c r="T100" i="1"/>
  <c r="V100" i="1"/>
  <c r="AA72" i="1"/>
  <c r="X72" i="1"/>
  <c r="P150" i="1"/>
  <c r="Q150" i="1" s="1"/>
  <c r="BF131" i="1"/>
  <c r="R116" i="1"/>
  <c r="V116" i="1" s="1"/>
  <c r="AH116" i="1"/>
  <c r="S116" i="5" s="1"/>
  <c r="AM110" i="1"/>
  <c r="BL89" i="1"/>
  <c r="AL149" i="1"/>
  <c r="J131" i="1"/>
  <c r="BF123" i="1"/>
  <c r="P104" i="1"/>
  <c r="Q104" i="1" s="1"/>
  <c r="BC89" i="1"/>
  <c r="AO89" i="1"/>
  <c r="AB89" i="5" s="1"/>
  <c r="BF89" i="1"/>
  <c r="P89" i="1"/>
  <c r="Q89" i="1" s="1"/>
  <c r="AH89" i="1"/>
  <c r="S89" i="5" s="1"/>
  <c r="BC158" i="1"/>
  <c r="AA154" i="1"/>
  <c r="AI149" i="1"/>
  <c r="BO142" i="1"/>
  <c r="BL142" i="1" s="1"/>
  <c r="Z133" i="1"/>
  <c r="BC131" i="1"/>
  <c r="AO131" i="1"/>
  <c r="AB131" i="5" s="1"/>
  <c r="AH128" i="1"/>
  <c r="S128" i="5" s="1"/>
  <c r="U120" i="1"/>
  <c r="X103" i="1"/>
  <c r="Y103" i="1"/>
  <c r="Z103" i="1"/>
  <c r="AA103" i="1"/>
  <c r="AM58" i="1"/>
  <c r="BX58" i="1"/>
  <c r="BI58" i="1"/>
  <c r="V143" i="1"/>
  <c r="P125" i="1"/>
  <c r="Q125" i="1" s="1"/>
  <c r="AM114" i="1"/>
  <c r="P66" i="1"/>
  <c r="Q66" i="1" s="1"/>
  <c r="BB66" i="1"/>
  <c r="AA61" i="1"/>
  <c r="X61" i="1"/>
  <c r="T143" i="1"/>
  <c r="BC123" i="1"/>
  <c r="X117" i="1"/>
  <c r="BI115" i="1"/>
  <c r="BB89" i="1"/>
  <c r="BO152" i="1"/>
  <c r="BL152" i="1" s="1"/>
  <c r="BC150" i="1"/>
  <c r="V147" i="1"/>
  <c r="S143" i="1"/>
  <c r="AA138" i="1"/>
  <c r="BB123" i="1"/>
  <c r="AO123" i="1"/>
  <c r="AB123" i="5" s="1"/>
  <c r="BX114" i="1"/>
  <c r="BF114" i="1"/>
  <c r="U113" i="1"/>
  <c r="V113" i="1"/>
  <c r="Z108" i="1"/>
  <c r="X108" i="1"/>
  <c r="K58" i="5"/>
  <c r="Y58" i="1"/>
  <c r="BI123" i="1"/>
  <c r="BD114" i="1"/>
  <c r="J114" i="1"/>
  <c r="AO114" i="1"/>
  <c r="AB114" i="5" s="1"/>
  <c r="BB114" i="1"/>
  <c r="BC66" i="1"/>
  <c r="AK60" i="1"/>
  <c r="AI60" i="1"/>
  <c r="AJ60" i="1"/>
  <c r="AL60" i="1"/>
  <c r="AA105" i="1"/>
  <c r="BF99" i="1"/>
  <c r="U91" i="1"/>
  <c r="AY76" i="1"/>
  <c r="V58" i="1"/>
  <c r="P37" i="1"/>
  <c r="Q37" i="1" s="1"/>
  <c r="P27" i="1"/>
  <c r="Q27" i="1" s="1"/>
  <c r="V101" i="1"/>
  <c r="AO99" i="1"/>
  <c r="AB99" i="5" s="1"/>
  <c r="V93" i="1"/>
  <c r="BO79" i="1"/>
  <c r="BL79" i="1" s="1"/>
  <c r="X77" i="1"/>
  <c r="Z76" i="1"/>
  <c r="BO62" i="1"/>
  <c r="BL62" i="1" s="1"/>
  <c r="V62" i="1"/>
  <c r="T58" i="1"/>
  <c r="BX56" i="1"/>
  <c r="Y31" i="1"/>
  <c r="X31" i="1"/>
  <c r="Z31" i="1"/>
  <c r="BC23" i="1"/>
  <c r="P18" i="1"/>
  <c r="Q18" i="1" s="1"/>
  <c r="BI99" i="1"/>
  <c r="BO77" i="1"/>
  <c r="BL77" i="1" s="1"/>
  <c r="BC37" i="1"/>
  <c r="T101" i="1"/>
  <c r="T93" i="1"/>
  <c r="AP76" i="1"/>
  <c r="BQ76" i="1" s="1"/>
  <c r="R65" i="1"/>
  <c r="T62" i="1"/>
  <c r="P58" i="1"/>
  <c r="Q58" i="1" s="1"/>
  <c r="BB58" i="1"/>
  <c r="BO115" i="1"/>
  <c r="BL115" i="1" s="1"/>
  <c r="AK98" i="1"/>
  <c r="P94" i="1"/>
  <c r="Q94" i="1" s="1"/>
  <c r="BX81" i="1"/>
  <c r="BF76" i="1"/>
  <c r="U76" i="1"/>
  <c r="AA69" i="1"/>
  <c r="BC58" i="1"/>
  <c r="AL58" i="1"/>
  <c r="P49" i="1"/>
  <c r="Q49" i="1" s="1"/>
  <c r="BB23" i="1"/>
  <c r="AM100" i="1"/>
  <c r="J99" i="1"/>
  <c r="BI93" i="1"/>
  <c r="AL81" i="1"/>
  <c r="AK58" i="1"/>
  <c r="BB68" i="1"/>
  <c r="BC61" i="1"/>
  <c r="AM60" i="1"/>
  <c r="AI58" i="1"/>
  <c r="J58" i="1"/>
  <c r="BF100" i="1"/>
  <c r="AA57" i="1"/>
  <c r="X57" i="1"/>
  <c r="AO100" i="1"/>
  <c r="AB100" i="5" s="1"/>
  <c r="P100" i="1"/>
  <c r="Q100" i="1" s="1"/>
  <c r="BB94" i="1"/>
  <c r="BB93" i="1"/>
  <c r="AM93" i="1"/>
  <c r="AA92" i="1"/>
  <c r="BB65" i="1"/>
  <c r="J65" i="1"/>
  <c r="T56" i="1"/>
  <c r="S56" i="1"/>
  <c r="Y34" i="1"/>
  <c r="X34" i="1"/>
  <c r="J94" i="1"/>
  <c r="J93" i="1"/>
  <c r="BD65" i="1"/>
  <c r="P62" i="1"/>
  <c r="Q62" i="1" s="1"/>
  <c r="J62" i="1"/>
  <c r="AH62" i="1"/>
  <c r="S62" i="5" s="1"/>
  <c r="BO58" i="1"/>
  <c r="BL58" i="1" s="1"/>
  <c r="P45" i="1"/>
  <c r="Q45" i="1" s="1"/>
  <c r="X35" i="1"/>
  <c r="Z35" i="1"/>
  <c r="AA35" i="1"/>
  <c r="X24" i="1"/>
  <c r="X20" i="1"/>
  <c r="BB10" i="1"/>
  <c r="BI55" i="1"/>
  <c r="P41" i="1"/>
  <c r="Q41" i="1" s="1"/>
  <c r="BB35" i="1"/>
  <c r="Z21" i="1"/>
  <c r="X21" i="1"/>
  <c r="X8" i="1"/>
  <c r="P24" i="1"/>
  <c r="Q24" i="1" s="1"/>
  <c r="Z11" i="1"/>
  <c r="AA7" i="1"/>
  <c r="X11" i="1"/>
  <c r="X7" i="1"/>
  <c r="Y3" i="1"/>
  <c r="F76" i="5"/>
  <c r="F128" i="5"/>
  <c r="F122" i="5"/>
  <c r="F89" i="5"/>
  <c r="F140" i="5"/>
  <c r="F130" i="5"/>
  <c r="F118" i="5"/>
  <c r="F56" i="5"/>
  <c r="F57" i="5"/>
  <c r="AA156" i="1"/>
  <c r="X156" i="1"/>
  <c r="K156" i="5"/>
  <c r="Z156" i="1"/>
  <c r="AA131" i="1"/>
  <c r="X131" i="1"/>
  <c r="Y90" i="1"/>
  <c r="K90" i="5"/>
  <c r="Y38" i="1"/>
  <c r="X38" i="1"/>
  <c r="Z38" i="1"/>
  <c r="AA38" i="1"/>
  <c r="X101" i="1"/>
  <c r="Y101" i="1"/>
  <c r="K101" i="5"/>
  <c r="AA101" i="1"/>
  <c r="Y73" i="1"/>
  <c r="K73" i="5"/>
  <c r="X73" i="1"/>
  <c r="Z73" i="1"/>
  <c r="Y37" i="1"/>
  <c r="X37" i="1"/>
  <c r="K37" i="5"/>
  <c r="Y15" i="1"/>
  <c r="X15" i="1"/>
  <c r="Z15" i="1"/>
  <c r="AA15" i="1"/>
  <c r="K15" i="5"/>
  <c r="L15" i="5" s="1"/>
  <c r="Y14" i="1"/>
  <c r="Z14" i="1"/>
  <c r="X14" i="1"/>
  <c r="K102" i="5"/>
  <c r="X150" i="1"/>
  <c r="Y150" i="1"/>
  <c r="X128" i="1"/>
  <c r="K128" i="5"/>
  <c r="L128" i="5" s="1"/>
  <c r="Z128" i="1"/>
  <c r="Z126" i="1"/>
  <c r="AA126" i="1"/>
  <c r="K122" i="5"/>
  <c r="AA122" i="1"/>
  <c r="X121" i="1"/>
  <c r="X111" i="1"/>
  <c r="Z111" i="1"/>
  <c r="AA111" i="1"/>
  <c r="AA82" i="1"/>
  <c r="Z82" i="1"/>
  <c r="AA149" i="1"/>
  <c r="X149" i="1"/>
  <c r="Z149" i="1"/>
  <c r="K149" i="5"/>
  <c r="AA119" i="1"/>
  <c r="X119" i="1"/>
  <c r="Y119" i="1"/>
  <c r="AA102" i="1"/>
  <c r="X102" i="1"/>
  <c r="Y102" i="1"/>
  <c r="Y145" i="1"/>
  <c r="K145" i="5"/>
  <c r="X144" i="1"/>
  <c r="Y144" i="1"/>
  <c r="AA109" i="1"/>
  <c r="Z100" i="1"/>
  <c r="AA91" i="1"/>
  <c r="Y32" i="1"/>
  <c r="AA32" i="1"/>
  <c r="Y18" i="1"/>
  <c r="K18" i="5"/>
  <c r="X18" i="1"/>
  <c r="K32" i="5"/>
  <c r="Y113" i="1"/>
  <c r="X113" i="1"/>
  <c r="Z93" i="1"/>
  <c r="X87" i="1"/>
  <c r="Z87" i="1"/>
  <c r="Z56" i="1"/>
  <c r="K38" i="5"/>
  <c r="X132" i="1"/>
  <c r="K132" i="5"/>
  <c r="L132" i="5" s="1"/>
  <c r="AA132" i="1"/>
  <c r="X120" i="1"/>
  <c r="Y120" i="1"/>
  <c r="AA120" i="1"/>
  <c r="K120" i="5"/>
  <c r="Y158" i="1"/>
  <c r="K158" i="5"/>
  <c r="Y13" i="1"/>
  <c r="X13" i="1"/>
  <c r="K119" i="5"/>
  <c r="K91" i="5"/>
  <c r="L91" i="5" s="1"/>
  <c r="AA33" i="1"/>
  <c r="K33" i="5"/>
  <c r="X33" i="1"/>
  <c r="X4" i="1"/>
  <c r="Y4" i="1"/>
  <c r="Z4" i="1"/>
  <c r="AA129" i="1"/>
  <c r="Z129" i="1"/>
  <c r="Y116" i="1"/>
  <c r="K116" i="5"/>
  <c r="AA100" i="1"/>
  <c r="Y100" i="1"/>
  <c r="X100" i="1"/>
  <c r="K150" i="5"/>
  <c r="L150" i="5" s="1"/>
  <c r="Y156" i="1"/>
  <c r="Z146" i="1"/>
  <c r="Y146" i="1"/>
  <c r="Y134" i="1"/>
  <c r="AA134" i="1"/>
  <c r="X134" i="1"/>
  <c r="Z131" i="1"/>
  <c r="AA127" i="1"/>
  <c r="Z127" i="1"/>
  <c r="K127" i="5"/>
  <c r="Y127" i="1"/>
  <c r="AA110" i="1"/>
  <c r="K110" i="5"/>
  <c r="AA98" i="1"/>
  <c r="X98" i="1"/>
  <c r="K98" i="5"/>
  <c r="Y19" i="1"/>
  <c r="Z19" i="1"/>
  <c r="Y16" i="1"/>
  <c r="AA16" i="1"/>
  <c r="X16" i="1"/>
  <c r="K16" i="5"/>
  <c r="L16" i="5" s="1"/>
  <c r="K39" i="5"/>
  <c r="Z61" i="1"/>
  <c r="AA58" i="1"/>
  <c r="Z40" i="1"/>
  <c r="AA9" i="1"/>
  <c r="Z7" i="1"/>
  <c r="AA3" i="1"/>
  <c r="AA47" i="1"/>
  <c r="AA21" i="1"/>
  <c r="X9" i="1"/>
  <c r="Z3" i="1"/>
  <c r="AA39" i="1"/>
  <c r="K61" i="5"/>
  <c r="Z160" i="1"/>
  <c r="X142" i="1"/>
  <c r="Y39" i="1"/>
  <c r="AA24" i="1"/>
  <c r="Z20" i="1"/>
  <c r="AA17" i="1"/>
  <c r="Y12" i="1"/>
  <c r="Z10" i="1"/>
  <c r="K65" i="5"/>
  <c r="K48" i="5"/>
  <c r="L48" i="5" s="1"/>
  <c r="Y160" i="1"/>
  <c r="Y108" i="1"/>
  <c r="Y48" i="1"/>
  <c r="X39" i="1"/>
  <c r="AA31" i="1"/>
  <c r="Z24" i="1"/>
  <c r="X17" i="1"/>
  <c r="X12" i="1"/>
  <c r="AA11" i="1"/>
  <c r="X10" i="1"/>
  <c r="AA8" i="1"/>
  <c r="Z154" i="1"/>
  <c r="Y133" i="1"/>
  <c r="Z99" i="1"/>
  <c r="Z83" i="1"/>
  <c r="Z77" i="1"/>
  <c r="Z69" i="1"/>
  <c r="Y8" i="1"/>
  <c r="AA6" i="1"/>
  <c r="K12" i="5"/>
  <c r="Y136" i="1"/>
  <c r="X94" i="1"/>
  <c r="Y92" i="1"/>
  <c r="Y76" i="1"/>
  <c r="AA70" i="1"/>
  <c r="AA40" i="1"/>
  <c r="X6" i="1"/>
  <c r="X5" i="1"/>
  <c r="M47" i="5"/>
  <c r="J57" i="5"/>
  <c r="M108" i="5"/>
  <c r="J136" i="5"/>
  <c r="M93" i="5"/>
  <c r="N28" i="5"/>
  <c r="N41" i="5"/>
  <c r="M41" i="5"/>
  <c r="N148" i="5"/>
  <c r="N131" i="5"/>
  <c r="N85" i="5"/>
  <c r="M131" i="5"/>
  <c r="N89" i="5"/>
  <c r="M85" i="5"/>
  <c r="M135" i="5"/>
  <c r="M146" i="5"/>
  <c r="G158" i="5"/>
  <c r="H158" i="5" s="1"/>
  <c r="U158" i="1"/>
  <c r="AA157" i="1"/>
  <c r="AA155" i="1"/>
  <c r="X155" i="1"/>
  <c r="Z155" i="1"/>
  <c r="X148" i="1"/>
  <c r="AA148" i="1"/>
  <c r="Y148" i="1"/>
  <c r="Z148" i="1"/>
  <c r="X143" i="1"/>
  <c r="Y143" i="1"/>
  <c r="AA143" i="1"/>
  <c r="K143" i="5"/>
  <c r="L143" i="5" s="1"/>
  <c r="BX140" i="1"/>
  <c r="AP140" i="1"/>
  <c r="BQ140" i="1" s="1"/>
  <c r="N4" i="5"/>
  <c r="I139" i="5"/>
  <c r="N125" i="5"/>
  <c r="M19" i="5"/>
  <c r="N19" i="5"/>
  <c r="Z159" i="1"/>
  <c r="X159" i="1"/>
  <c r="K159" i="5"/>
  <c r="L159" i="5" s="1"/>
  <c r="BI158" i="1"/>
  <c r="AM158" i="1"/>
  <c r="BX158" i="1"/>
  <c r="AJ146" i="1"/>
  <c r="AI146" i="1"/>
  <c r="AL146" i="1"/>
  <c r="AJ145" i="1"/>
  <c r="AL145" i="1"/>
  <c r="AI145" i="1"/>
  <c r="U142" i="1"/>
  <c r="S142" i="1"/>
  <c r="T142" i="1"/>
  <c r="G142" i="5"/>
  <c r="H142" i="5" s="1"/>
  <c r="AL141" i="1"/>
  <c r="AI141" i="1"/>
  <c r="AJ141" i="1"/>
  <c r="M34" i="5"/>
  <c r="M74" i="5"/>
  <c r="N55" i="5"/>
  <c r="BO154" i="1"/>
  <c r="BL154" i="1" s="1"/>
  <c r="U134" i="1"/>
  <c r="S134" i="1"/>
  <c r="T134" i="1"/>
  <c r="V134" i="1"/>
  <c r="M71" i="5"/>
  <c r="N71" i="5"/>
  <c r="X157" i="1"/>
  <c r="Y157" i="1"/>
  <c r="Z157" i="1"/>
  <c r="N103" i="5"/>
  <c r="X147" i="1"/>
  <c r="AA147" i="1"/>
  <c r="Z147" i="1"/>
  <c r="BX150" i="1"/>
  <c r="BJ159" i="1"/>
  <c r="M155" i="5"/>
  <c r="M87" i="5"/>
  <c r="N87" i="5"/>
  <c r="S156" i="1"/>
  <c r="U156" i="1"/>
  <c r="G156" i="5"/>
  <c r="H156" i="5" s="1"/>
  <c r="V156" i="1"/>
  <c r="N114" i="5"/>
  <c r="M31" i="5"/>
  <c r="N31" i="5"/>
  <c r="AP158" i="1"/>
  <c r="BQ158" i="1" s="1"/>
  <c r="AJ142" i="1"/>
  <c r="AK142" i="1"/>
  <c r="AL142" i="1"/>
  <c r="I134" i="5"/>
  <c r="N72" i="5"/>
  <c r="M4" i="5"/>
  <c r="M160" i="5"/>
  <c r="N160" i="5"/>
  <c r="S154" i="1"/>
  <c r="T154" i="1"/>
  <c r="U154" i="1"/>
  <c r="V154" i="1"/>
  <c r="G154" i="5"/>
  <c r="P138" i="1"/>
  <c r="Q138" i="1" s="1"/>
  <c r="BB138" i="1"/>
  <c r="BC138" i="1"/>
  <c r="BF138" i="1"/>
  <c r="AH138" i="1"/>
  <c r="S138" i="5" s="1"/>
  <c r="J138" i="1"/>
  <c r="AO138" i="1"/>
  <c r="AB138" i="5" s="1"/>
  <c r="AO134" i="1"/>
  <c r="AB134" i="5" s="1"/>
  <c r="BB134" i="1"/>
  <c r="BC134" i="1"/>
  <c r="J134" i="1"/>
  <c r="BF134" i="1"/>
  <c r="P134" i="1"/>
  <c r="Q134" i="1" s="1"/>
  <c r="AH134" i="1"/>
  <c r="S134" i="5" s="1"/>
  <c r="T158" i="1"/>
  <c r="BJ155" i="1"/>
  <c r="BJ149" i="1"/>
  <c r="AJ148" i="1"/>
  <c r="AK148" i="1"/>
  <c r="BJ152" i="1"/>
  <c r="P160" i="1"/>
  <c r="Q160" i="1" s="1"/>
  <c r="S158" i="1"/>
  <c r="Y155" i="1"/>
  <c r="Z143" i="1"/>
  <c r="S139" i="1"/>
  <c r="T139" i="1"/>
  <c r="V139" i="1"/>
  <c r="U139" i="1"/>
  <c r="AA160" i="1"/>
  <c r="AP134" i="1"/>
  <c r="BQ134" i="1" s="1"/>
  <c r="X130" i="1"/>
  <c r="Y130" i="1"/>
  <c r="Z130" i="1"/>
  <c r="AA130" i="1"/>
  <c r="X151" i="1"/>
  <c r="AA151" i="1"/>
  <c r="AJ139" i="1"/>
  <c r="AI139" i="1"/>
  <c r="BX134" i="1"/>
  <c r="BJ154" i="1"/>
  <c r="V151" i="1"/>
  <c r="AL147" i="1"/>
  <c r="S136" i="1"/>
  <c r="T136" i="1"/>
  <c r="U136" i="1"/>
  <c r="V136" i="1"/>
  <c r="X152" i="1"/>
  <c r="AA152" i="1"/>
  <c r="T151" i="1"/>
  <c r="BF150" i="1"/>
  <c r="AK149" i="1"/>
  <c r="AK147" i="1"/>
  <c r="Z145" i="1"/>
  <c r="AA158" i="1"/>
  <c r="S151" i="1"/>
  <c r="Z150" i="1"/>
  <c r="AI147" i="1"/>
  <c r="AA146" i="1"/>
  <c r="X146" i="1"/>
  <c r="BO141" i="1"/>
  <c r="BL141" i="1" s="1"/>
  <c r="Y141" i="1"/>
  <c r="Z141" i="1"/>
  <c r="AA141" i="1"/>
  <c r="BO138" i="1"/>
  <c r="BL138" i="1" s="1"/>
  <c r="BJ136" i="1"/>
  <c r="BB150" i="1"/>
  <c r="J150" i="1"/>
  <c r="X145" i="1"/>
  <c r="AA145" i="1"/>
  <c r="T140" i="1"/>
  <c r="U140" i="1"/>
  <c r="V140" i="1"/>
  <c r="X139" i="1"/>
  <c r="Z139" i="1"/>
  <c r="AA139" i="1"/>
  <c r="N146" i="5"/>
  <c r="AM150" i="1"/>
  <c r="BO139" i="1"/>
  <c r="BL139" i="1" s="1"/>
  <c r="BI138" i="1"/>
  <c r="AM138" i="1"/>
  <c r="BX138" i="1"/>
  <c r="X135" i="1"/>
  <c r="Z135" i="1"/>
  <c r="AA135" i="1"/>
  <c r="Y135" i="1"/>
  <c r="AJ143" i="1"/>
  <c r="AK143" i="1"/>
  <c r="AP138" i="1"/>
  <c r="BQ138" i="1" s="1"/>
  <c r="AI136" i="1"/>
  <c r="AJ136" i="1"/>
  <c r="AK136" i="1"/>
  <c r="AL136" i="1"/>
  <c r="AI131" i="1"/>
  <c r="AJ131" i="1"/>
  <c r="AK131" i="1"/>
  <c r="AL131" i="1"/>
  <c r="BJ138" i="1"/>
  <c r="AM137" i="1"/>
  <c r="AA144" i="1"/>
  <c r="Z140" i="1"/>
  <c r="AL137" i="1"/>
  <c r="Z136" i="1"/>
  <c r="BJ123" i="1"/>
  <c r="AK140" i="1"/>
  <c r="T138" i="1"/>
  <c r="BJ137" i="1"/>
  <c r="AJ137" i="1"/>
  <c r="X136" i="1"/>
  <c r="BJ133" i="1"/>
  <c r="BB133" i="1"/>
  <c r="AH133" i="1"/>
  <c r="S133" i="5" s="1"/>
  <c r="BF133" i="1"/>
  <c r="S133" i="1"/>
  <c r="T133" i="1"/>
  <c r="U133" i="1"/>
  <c r="X118" i="1"/>
  <c r="Y118" i="1"/>
  <c r="Z118" i="1"/>
  <c r="AA118" i="1"/>
  <c r="AJ144" i="1"/>
  <c r="BI140" i="1"/>
  <c r="AJ140" i="1"/>
  <c r="S138" i="1"/>
  <c r="AM131" i="1"/>
  <c r="BI131" i="1"/>
  <c r="BX131" i="1"/>
  <c r="BJ131" i="1"/>
  <c r="BJ130" i="1"/>
  <c r="BB130" i="1"/>
  <c r="AO130" i="1"/>
  <c r="AB130" i="5" s="1"/>
  <c r="P130" i="1"/>
  <c r="Q130" i="1" s="1"/>
  <c r="AO117" i="1"/>
  <c r="AB117" i="5" s="1"/>
  <c r="J117" i="1"/>
  <c r="AH117" i="1"/>
  <c r="S117" i="5" s="1"/>
  <c r="T117" i="5" s="1"/>
  <c r="BF117" i="1"/>
  <c r="P117" i="1"/>
  <c r="Q117" i="1" s="1"/>
  <c r="AP117" i="1"/>
  <c r="BQ117" i="1" s="1"/>
  <c r="BC117" i="1"/>
  <c r="U131" i="1"/>
  <c r="T131" i="1"/>
  <c r="V131" i="1"/>
  <c r="BF130" i="1"/>
  <c r="BB117" i="1"/>
  <c r="AP130" i="1"/>
  <c r="BQ130" i="1" s="1"/>
  <c r="BX130" i="1"/>
  <c r="BC130" i="1"/>
  <c r="AM134" i="1"/>
  <c r="Z132" i="1"/>
  <c r="AP131" i="1"/>
  <c r="BQ131" i="1" s="1"/>
  <c r="AA128" i="1"/>
  <c r="AM119" i="1"/>
  <c r="BX119" i="1"/>
  <c r="X95" i="1"/>
  <c r="Y95" i="1"/>
  <c r="Z95" i="1"/>
  <c r="AA95" i="1"/>
  <c r="BX109" i="1"/>
  <c r="BI109" i="1"/>
  <c r="AM109" i="1"/>
  <c r="Y131" i="1"/>
  <c r="BB128" i="1"/>
  <c r="BC128" i="1"/>
  <c r="Y128" i="1"/>
  <c r="AJ122" i="1"/>
  <c r="AK122" i="1"/>
  <c r="AL122" i="1"/>
  <c r="P121" i="1"/>
  <c r="Q121" i="1" s="1"/>
  <c r="X114" i="1"/>
  <c r="Y114" i="1"/>
  <c r="Z114" i="1"/>
  <c r="AA114" i="1"/>
  <c r="AJ130" i="1"/>
  <c r="AK130" i="1"/>
  <c r="P129" i="1"/>
  <c r="Q129" i="1" s="1"/>
  <c r="AO109" i="1"/>
  <c r="AB109" i="5" s="1"/>
  <c r="BB109" i="1"/>
  <c r="BF109" i="1"/>
  <c r="J109" i="1"/>
  <c r="P109" i="1"/>
  <c r="Q109" i="1" s="1"/>
  <c r="AJ99" i="1"/>
  <c r="AI99" i="1"/>
  <c r="AK99" i="1"/>
  <c r="AL99" i="1"/>
  <c r="U123" i="1"/>
  <c r="S123" i="1"/>
  <c r="T123" i="1"/>
  <c r="X126" i="1"/>
  <c r="Y126" i="1"/>
  <c r="AM123" i="1"/>
  <c r="BX123" i="1"/>
  <c r="BO122" i="1"/>
  <c r="BL122" i="1" s="1"/>
  <c r="AJ118" i="1"/>
  <c r="AK118" i="1"/>
  <c r="AL118" i="1"/>
  <c r="AA125" i="1"/>
  <c r="Y125" i="1"/>
  <c r="Z125" i="1"/>
  <c r="AL119" i="1"/>
  <c r="U119" i="1"/>
  <c r="S119" i="1"/>
  <c r="T119" i="1"/>
  <c r="X129" i="1"/>
  <c r="X122" i="1"/>
  <c r="Y122" i="1"/>
  <c r="Z122" i="1"/>
  <c r="AM117" i="1"/>
  <c r="BX117" i="1"/>
  <c r="BI117" i="1"/>
  <c r="BI119" i="1"/>
  <c r="U117" i="1"/>
  <c r="V117" i="1"/>
  <c r="BX122" i="1"/>
  <c r="Z121" i="1"/>
  <c r="BX118" i="1"/>
  <c r="Z117" i="1"/>
  <c r="X110" i="1"/>
  <c r="Z110" i="1"/>
  <c r="BJ98" i="1"/>
  <c r="P126" i="1"/>
  <c r="Q126" i="1" s="1"/>
  <c r="P122" i="1"/>
  <c r="Q122" i="1" s="1"/>
  <c r="Y121" i="1"/>
  <c r="V120" i="1"/>
  <c r="P118" i="1"/>
  <c r="Q118" i="1" s="1"/>
  <c r="Y117" i="1"/>
  <c r="BO109" i="1"/>
  <c r="BL109" i="1" s="1"/>
  <c r="AI109" i="1"/>
  <c r="AK109" i="1"/>
  <c r="AL109" i="1"/>
  <c r="AM94" i="1"/>
  <c r="BI94" i="1"/>
  <c r="BX94" i="1"/>
  <c r="V115" i="1"/>
  <c r="X106" i="1"/>
  <c r="Y106" i="1"/>
  <c r="Z106" i="1"/>
  <c r="AP94" i="1"/>
  <c r="BQ94" i="1" s="1"/>
  <c r="Z116" i="1"/>
  <c r="AA116" i="1"/>
  <c r="J116" i="1"/>
  <c r="AK110" i="1"/>
  <c r="P131" i="1"/>
  <c r="Q131" i="1" s="1"/>
  <c r="P127" i="1"/>
  <c r="Q127" i="1" s="1"/>
  <c r="T115" i="1"/>
  <c r="AA113" i="1"/>
  <c r="BO110" i="1"/>
  <c r="BL110" i="1" s="1"/>
  <c r="AJ110" i="1"/>
  <c r="AL110" i="1"/>
  <c r="AP109" i="1"/>
  <c r="BQ109" i="1" s="1"/>
  <c r="AA104" i="1"/>
  <c r="X104" i="1"/>
  <c r="Y104" i="1"/>
  <c r="Z104" i="1"/>
  <c r="AJ94" i="1"/>
  <c r="AL94" i="1"/>
  <c r="AI94" i="1"/>
  <c r="AK94" i="1"/>
  <c r="P103" i="1"/>
  <c r="Q103" i="1" s="1"/>
  <c r="AI92" i="1"/>
  <c r="AJ92" i="1"/>
  <c r="AK92" i="1"/>
  <c r="AL92" i="1"/>
  <c r="T114" i="1"/>
  <c r="U114" i="1"/>
  <c r="P107" i="1"/>
  <c r="Q107" i="1" s="1"/>
  <c r="P105" i="1"/>
  <c r="Q105" i="1" s="1"/>
  <c r="AP102" i="1"/>
  <c r="BQ102" i="1" s="1"/>
  <c r="BN118" i="1" a="1"/>
  <c r="BN118" i="1" s="1"/>
  <c r="BB118" i="1"/>
  <c r="BF116" i="1"/>
  <c r="AI113" i="1"/>
  <c r="Y110" i="1"/>
  <c r="BJ102" i="1"/>
  <c r="U92" i="1"/>
  <c r="S92" i="1"/>
  <c r="V92" i="1"/>
  <c r="Z84" i="1"/>
  <c r="X84" i="1"/>
  <c r="AA84" i="1"/>
  <c r="AA90" i="1"/>
  <c r="X90" i="1"/>
  <c r="Z90" i="1"/>
  <c r="Z109" i="1"/>
  <c r="Z105" i="1"/>
  <c r="AH102" i="1"/>
  <c r="S102" i="5" s="1"/>
  <c r="AI91" i="1"/>
  <c r="AJ91" i="1"/>
  <c r="AK91" i="1"/>
  <c r="AL91" i="1"/>
  <c r="P114" i="1"/>
  <c r="Q114" i="1" s="1"/>
  <c r="BB98" i="1"/>
  <c r="AP98" i="1"/>
  <c r="BQ98" i="1" s="1"/>
  <c r="X93" i="1"/>
  <c r="Y93" i="1"/>
  <c r="AA93" i="1"/>
  <c r="BF102" i="1"/>
  <c r="P102" i="1"/>
  <c r="Q102" i="1" s="1"/>
  <c r="P95" i="1"/>
  <c r="Q95" i="1" s="1"/>
  <c r="P97" i="1"/>
  <c r="Q97" i="1" s="1"/>
  <c r="BC85" i="1"/>
  <c r="P85" i="1"/>
  <c r="Q85" i="1" s="1"/>
  <c r="AA115" i="1"/>
  <c r="BC102" i="1"/>
  <c r="BS102" i="1" s="1"/>
  <c r="BB101" i="1"/>
  <c r="Z101" i="1"/>
  <c r="BB100" i="1"/>
  <c r="AP100" i="1"/>
  <c r="BQ100" i="1" s="1"/>
  <c r="AO81" i="1"/>
  <c r="AB81" i="5" s="1"/>
  <c r="BC81" i="1"/>
  <c r="P81" i="1"/>
  <c r="Q81" i="1" s="1"/>
  <c r="AP81" i="1"/>
  <c r="BQ81" i="1" s="1"/>
  <c r="BF81" i="1"/>
  <c r="J81" i="1"/>
  <c r="AJ98" i="1"/>
  <c r="AL98" i="1"/>
  <c r="BB81" i="1"/>
  <c r="BE102" i="1"/>
  <c r="BN102" i="1" s="1" a="1"/>
  <c r="BN102" i="1" s="1"/>
  <c r="CB102" i="1"/>
  <c r="AY102" i="1"/>
  <c r="J101" i="1"/>
  <c r="BX98" i="1"/>
  <c r="X85" i="1"/>
  <c r="Y85" i="1"/>
  <c r="Z85" i="1"/>
  <c r="AA85" i="1"/>
  <c r="AA108" i="1"/>
  <c r="BX100" i="1"/>
  <c r="AL100" i="1"/>
  <c r="AP89" i="1"/>
  <c r="BQ89" i="1" s="1"/>
  <c r="X89" i="1"/>
  <c r="Y89" i="1"/>
  <c r="Z89" i="1"/>
  <c r="AA89" i="1"/>
  <c r="BX102" i="1"/>
  <c r="J102" i="1"/>
  <c r="BX101" i="1"/>
  <c r="J100" i="1"/>
  <c r="BX99" i="1"/>
  <c r="BY99" i="1" s="1"/>
  <c r="AM98" i="1"/>
  <c r="BI98" i="1"/>
  <c r="P96" i="1"/>
  <c r="Q96" i="1" s="1"/>
  <c r="AJ93" i="1"/>
  <c r="AI93" i="1"/>
  <c r="AL93" i="1"/>
  <c r="T92" i="1"/>
  <c r="Y71" i="1"/>
  <c r="AA71" i="1"/>
  <c r="X71" i="1"/>
  <c r="Z71" i="1"/>
  <c r="Y78" i="1"/>
  <c r="X78" i="1"/>
  <c r="Z78" i="1"/>
  <c r="AA78" i="1"/>
  <c r="P83" i="1"/>
  <c r="Q83" i="1" s="1"/>
  <c r="BN99" i="1" a="1"/>
  <c r="BN99" i="1" s="1"/>
  <c r="BB99" i="1"/>
  <c r="Y98" i="1"/>
  <c r="J89" i="1"/>
  <c r="AJ81" i="1"/>
  <c r="AK81" i="1"/>
  <c r="BI77" i="1"/>
  <c r="BX77" i="1"/>
  <c r="AM77" i="1"/>
  <c r="BC94" i="1"/>
  <c r="Z92" i="1"/>
  <c r="V89" i="1"/>
  <c r="P87" i="1"/>
  <c r="Q87" i="1" s="1"/>
  <c r="X74" i="1"/>
  <c r="Y74" i="1"/>
  <c r="Z74" i="1"/>
  <c r="AA74" i="1"/>
  <c r="BC73" i="1"/>
  <c r="J73" i="1"/>
  <c r="BF73" i="1"/>
  <c r="AO73" i="1"/>
  <c r="AB73" i="5" s="1"/>
  <c r="BB73" i="1"/>
  <c r="Z91" i="1"/>
  <c r="T89" i="1"/>
  <c r="BI76" i="1"/>
  <c r="BX76" i="1"/>
  <c r="AM76" i="1"/>
  <c r="BF93" i="1"/>
  <c r="Y91" i="1"/>
  <c r="X81" i="1"/>
  <c r="Y81" i="1"/>
  <c r="AA81" i="1"/>
  <c r="S77" i="1"/>
  <c r="V77" i="1"/>
  <c r="T77" i="1"/>
  <c r="Y94" i="1"/>
  <c r="Y87" i="1"/>
  <c r="AA87" i="1"/>
  <c r="AA86" i="1"/>
  <c r="X86" i="1"/>
  <c r="BB83" i="1"/>
  <c r="BC83" i="1"/>
  <c r="S81" i="1"/>
  <c r="T81" i="1"/>
  <c r="U81" i="1"/>
  <c r="BC93" i="1"/>
  <c r="P64" i="1"/>
  <c r="Q64" i="1" s="1"/>
  <c r="BC64" i="1"/>
  <c r="Y67" i="1"/>
  <c r="AA67" i="1"/>
  <c r="X67" i="1"/>
  <c r="AA83" i="1"/>
  <c r="X82" i="1"/>
  <c r="AI79" i="1"/>
  <c r="BC77" i="1"/>
  <c r="J77" i="1"/>
  <c r="BF77" i="1"/>
  <c r="AA77" i="1"/>
  <c r="AL76" i="1"/>
  <c r="X76" i="1"/>
  <c r="BC69" i="1"/>
  <c r="BB69" i="1"/>
  <c r="BB64" i="1"/>
  <c r="Y75" i="1"/>
  <c r="AA75" i="1"/>
  <c r="X70" i="1"/>
  <c r="Y70" i="1"/>
  <c r="BJ56" i="1"/>
  <c r="P88" i="1"/>
  <c r="Q88" i="1" s="1"/>
  <c r="P84" i="1"/>
  <c r="Q84" i="1" s="1"/>
  <c r="AA73" i="1"/>
  <c r="Y63" i="1"/>
  <c r="Z63" i="1"/>
  <c r="AA63" i="1"/>
  <c r="X55" i="1"/>
  <c r="Y55" i="1"/>
  <c r="AA55" i="1"/>
  <c r="Z55" i="1"/>
  <c r="X66" i="1"/>
  <c r="Y66" i="1"/>
  <c r="Z66" i="1"/>
  <c r="BJ59" i="1"/>
  <c r="Z68" i="1"/>
  <c r="BX62" i="1"/>
  <c r="AM62" i="1"/>
  <c r="Y62" i="1"/>
  <c r="Z62" i="1"/>
  <c r="AA62" i="1"/>
  <c r="P53" i="1"/>
  <c r="Q53" i="1" s="1"/>
  <c r="X68" i="1"/>
  <c r="P40" i="1"/>
  <c r="Q40" i="1" s="1"/>
  <c r="BJ60" i="1"/>
  <c r="Z72" i="1"/>
  <c r="X59" i="1"/>
  <c r="Y59" i="1"/>
  <c r="AA59" i="1"/>
  <c r="Z59" i="1"/>
  <c r="BJ55" i="1"/>
  <c r="AM79" i="1"/>
  <c r="P77" i="1"/>
  <c r="Q77" i="1" s="1"/>
  <c r="Y72" i="1"/>
  <c r="X64" i="1"/>
  <c r="AA64" i="1"/>
  <c r="AM57" i="1"/>
  <c r="BI57" i="1"/>
  <c r="BX57" i="1"/>
  <c r="AJ59" i="1"/>
  <c r="AK59" i="1"/>
  <c r="AI57" i="1"/>
  <c r="AK57" i="1"/>
  <c r="AJ55" i="1"/>
  <c r="AK55" i="1"/>
  <c r="Y41" i="1"/>
  <c r="Z41" i="1"/>
  <c r="X41" i="1"/>
  <c r="AA41" i="1"/>
  <c r="AP57" i="1"/>
  <c r="BQ57" i="1" s="1"/>
  <c r="AA65" i="1"/>
  <c r="Y65" i="1"/>
  <c r="X28" i="1"/>
  <c r="Z28" i="1"/>
  <c r="AA28" i="1"/>
  <c r="Y28" i="1"/>
  <c r="X58" i="1"/>
  <c r="Z58" i="1"/>
  <c r="X60" i="1"/>
  <c r="AA60" i="1"/>
  <c r="U59" i="1"/>
  <c r="S59" i="1"/>
  <c r="X56" i="1"/>
  <c r="AA56" i="1"/>
  <c r="U55" i="1"/>
  <c r="S55" i="1"/>
  <c r="BC65" i="1"/>
  <c r="P65" i="1"/>
  <c r="Q65" i="1" s="1"/>
  <c r="P61" i="1"/>
  <c r="Q61" i="1" s="1"/>
  <c r="AO59" i="1"/>
  <c r="AB59" i="5" s="1"/>
  <c r="BC59" i="1"/>
  <c r="P59" i="1"/>
  <c r="Q59" i="1" s="1"/>
  <c r="BB57" i="1"/>
  <c r="BC57" i="1"/>
  <c r="P48" i="1"/>
  <c r="Q48" i="1" s="1"/>
  <c r="AI59" i="1"/>
  <c r="AJ57" i="1"/>
  <c r="P57" i="1"/>
  <c r="Q57" i="1" s="1"/>
  <c r="AI55" i="1"/>
  <c r="P50" i="1"/>
  <c r="Q50" i="1" s="1"/>
  <c r="Y61" i="1"/>
  <c r="BF60" i="1"/>
  <c r="V60" i="1"/>
  <c r="J60" i="1"/>
  <c r="Y57" i="1"/>
  <c r="BF56" i="1"/>
  <c r="V56" i="1"/>
  <c r="J56" i="1"/>
  <c r="BC55" i="1"/>
  <c r="Y36" i="1"/>
  <c r="P38" i="1"/>
  <c r="Q38" i="1" s="1"/>
  <c r="BB38" i="1"/>
  <c r="BC38" i="1"/>
  <c r="BX59" i="1"/>
  <c r="BX55" i="1"/>
  <c r="BY55" i="1" s="1"/>
  <c r="AO55" i="1"/>
  <c r="AB55" i="5" s="1"/>
  <c r="X47" i="1"/>
  <c r="Y47" i="1"/>
  <c r="Z47" i="1"/>
  <c r="Z36" i="1"/>
  <c r="AA36" i="1"/>
  <c r="P55" i="1"/>
  <c r="Q55" i="1" s="1"/>
  <c r="AM59" i="1"/>
  <c r="U57" i="1"/>
  <c r="AM55" i="1"/>
  <c r="Z48" i="1"/>
  <c r="P60" i="1"/>
  <c r="Q60" i="1" s="1"/>
  <c r="P56" i="1"/>
  <c r="Q56" i="1" s="1"/>
  <c r="X48" i="1"/>
  <c r="BC32" i="1"/>
  <c r="P32" i="1"/>
  <c r="Q32" i="1" s="1"/>
  <c r="BB37" i="1"/>
  <c r="P29" i="1"/>
  <c r="Q29" i="1" s="1"/>
  <c r="BC41" i="1"/>
  <c r="AA34" i="1"/>
  <c r="Z33" i="1"/>
  <c r="BB41" i="1"/>
  <c r="AA37" i="1"/>
  <c r="Z34" i="1"/>
  <c r="Y33" i="1"/>
  <c r="X23" i="1"/>
  <c r="Y23" i="1"/>
  <c r="AA23" i="1"/>
  <c r="BB36" i="1"/>
  <c r="P36" i="1"/>
  <c r="Q36" i="1" s="1"/>
  <c r="X32" i="1"/>
  <c r="Z32" i="1"/>
  <c r="Y30" i="1"/>
  <c r="BC24" i="1"/>
  <c r="X22" i="1"/>
  <c r="X19" i="1"/>
  <c r="X30" i="1"/>
  <c r="P21" i="1"/>
  <c r="Q21" i="1" s="1"/>
  <c r="Z18" i="1"/>
  <c r="AA22" i="1"/>
  <c r="AA19" i="1"/>
  <c r="P23" i="1"/>
  <c r="Q23" i="1" s="1"/>
  <c r="BC20" i="1"/>
  <c r="BC8" i="1"/>
  <c r="BC4" i="1"/>
  <c r="P20" i="1"/>
  <c r="Q20" i="1" s="1"/>
  <c r="P12" i="1"/>
  <c r="Q12" i="1" s="1"/>
  <c r="P8" i="1"/>
  <c r="Q8" i="1" s="1"/>
  <c r="P4" i="1"/>
  <c r="Q4" i="1" s="1"/>
  <c r="AA4" i="1"/>
  <c r="AA5" i="1"/>
  <c r="Z17" i="1"/>
  <c r="Z13" i="1"/>
  <c r="Z9" i="1"/>
  <c r="Z5" i="1"/>
  <c r="AC155" i="5"/>
  <c r="AC147" i="5"/>
  <c r="Y131" i="5"/>
  <c r="N130" i="5"/>
  <c r="N126" i="5"/>
  <c r="W123" i="5"/>
  <c r="Y123" i="5"/>
  <c r="AC117" i="5"/>
  <c r="Y117" i="5"/>
  <c r="X131" i="5"/>
  <c r="M130" i="5"/>
  <c r="Y158" i="5"/>
  <c r="N155" i="5"/>
  <c r="AC150" i="5"/>
  <c r="AC139" i="5"/>
  <c r="AC154" i="5"/>
  <c r="AC146" i="5"/>
  <c r="M118" i="5"/>
  <c r="N118" i="5"/>
  <c r="M104" i="5"/>
  <c r="N104" i="5"/>
  <c r="X150" i="5"/>
  <c r="AC142" i="5"/>
  <c r="I136" i="5"/>
  <c r="AC133" i="5"/>
  <c r="AC122" i="5"/>
  <c r="N157" i="5"/>
  <c r="M157" i="5"/>
  <c r="W150" i="5"/>
  <c r="J150" i="5"/>
  <c r="AC156" i="5"/>
  <c r="AC148" i="5"/>
  <c r="AC141" i="5"/>
  <c r="J139" i="5"/>
  <c r="AC137" i="5"/>
  <c r="W131" i="5"/>
  <c r="M100" i="5"/>
  <c r="N100" i="5"/>
  <c r="X109" i="5"/>
  <c r="Y109" i="5"/>
  <c r="AC109" i="5"/>
  <c r="AC101" i="5"/>
  <c r="AC110" i="5"/>
  <c r="I100" i="5"/>
  <c r="W109" i="5"/>
  <c r="I92" i="5"/>
  <c r="J92" i="5"/>
  <c r="X100" i="5"/>
  <c r="AC100" i="5"/>
  <c r="N93" i="5"/>
  <c r="Y101" i="5"/>
  <c r="AC113" i="5"/>
  <c r="X101" i="5"/>
  <c r="M95" i="5"/>
  <c r="N95" i="5"/>
  <c r="X59" i="5"/>
  <c r="W59" i="5"/>
  <c r="Y59" i="5"/>
  <c r="AC59" i="5"/>
  <c r="Y93" i="5"/>
  <c r="M78" i="5"/>
  <c r="N78" i="5"/>
  <c r="W62" i="5"/>
  <c r="X62" i="5"/>
  <c r="Y62" i="5"/>
  <c r="AC62" i="5"/>
  <c r="AC91" i="5"/>
  <c r="X56" i="5"/>
  <c r="W56" i="5"/>
  <c r="Y56" i="5"/>
  <c r="AC56" i="5"/>
  <c r="AC89" i="5"/>
  <c r="Y89" i="5"/>
  <c r="AC81" i="5"/>
  <c r="W81" i="5"/>
  <c r="F81" i="5"/>
  <c r="W77" i="5"/>
  <c r="AC65" i="5"/>
  <c r="Y76" i="5"/>
  <c r="N74" i="5"/>
  <c r="AC57" i="5"/>
  <c r="N59" i="5"/>
  <c r="M59" i="5"/>
  <c r="AC79" i="5"/>
  <c r="M72" i="5"/>
  <c r="Y77" i="5"/>
  <c r="X65" i="5"/>
  <c r="Y65" i="5"/>
  <c r="AC77" i="5"/>
  <c r="W57" i="5"/>
  <c r="AC76" i="5"/>
  <c r="N47" i="5"/>
  <c r="AC55" i="5"/>
  <c r="R73" i="1" l="1"/>
  <c r="BP161" i="1"/>
  <c r="I130" i="5"/>
  <c r="BU163" i="1"/>
  <c r="BU166" i="1"/>
  <c r="H148" i="5"/>
  <c r="J81" i="5"/>
  <c r="I81" i="5"/>
  <c r="Q161" i="5"/>
  <c r="P161" i="5"/>
  <c r="R161" i="5"/>
  <c r="T161" i="5"/>
  <c r="U161" i="5"/>
  <c r="V161" i="5"/>
  <c r="BI65" i="1"/>
  <c r="BX73" i="1"/>
  <c r="AJ65" i="1"/>
  <c r="BE89" i="1"/>
  <c r="BN89" i="1" s="1" a="1"/>
  <c r="BN89" i="1" s="1"/>
  <c r="AL65" i="1"/>
  <c r="AK65" i="1"/>
  <c r="AI65" i="1"/>
  <c r="BD62" i="1"/>
  <c r="I141" i="5"/>
  <c r="BD89" i="1"/>
  <c r="AP65" i="1"/>
  <c r="BQ65" i="1" s="1"/>
  <c r="BX65" i="1"/>
  <c r="BY65" i="1" s="1"/>
  <c r="H141" i="5"/>
  <c r="BS89" i="1"/>
  <c r="BD60" i="1"/>
  <c r="BE60" i="1" s="1"/>
  <c r="BN60" i="1" s="1" a="1"/>
  <c r="BN60" i="1" s="1"/>
  <c r="BS60" i="1"/>
  <c r="BE114" i="1"/>
  <c r="BN114" i="1" s="1" a="1"/>
  <c r="BN114" i="1" s="1"/>
  <c r="AL73" i="1"/>
  <c r="AK73" i="1"/>
  <c r="BS55" i="1"/>
  <c r="CB55" i="1"/>
  <c r="AJ73" i="1"/>
  <c r="BE55" i="1"/>
  <c r="BN55" i="1" s="1" a="1"/>
  <c r="BN55" i="1" s="1"/>
  <c r="BS131" i="1"/>
  <c r="I101" i="5"/>
  <c r="H101" i="5"/>
  <c r="CB131" i="1"/>
  <c r="BE131" i="1"/>
  <c r="BN131" i="1" s="1" a="1"/>
  <c r="BN131" i="1" s="1"/>
  <c r="BS65" i="1"/>
  <c r="BE65" i="1"/>
  <c r="BN65" i="1" s="1" a="1"/>
  <c r="BN65" i="1" s="1"/>
  <c r="J147" i="5"/>
  <c r="H130" i="5"/>
  <c r="I147" i="5"/>
  <c r="N76" i="5"/>
  <c r="J138" i="5"/>
  <c r="L76" i="5"/>
  <c r="I138" i="5"/>
  <c r="I145" i="5"/>
  <c r="CB118" i="1"/>
  <c r="CB100" i="1"/>
  <c r="BE100" i="1"/>
  <c r="BN100" i="1" s="1" a="1"/>
  <c r="BN100" i="1" s="1"/>
  <c r="H91" i="5"/>
  <c r="BS100" i="1"/>
  <c r="BD118" i="1"/>
  <c r="AJ62" i="1"/>
  <c r="BG65" i="3"/>
  <c r="BO65" i="3" s="1"/>
  <c r="BS65" i="3" s="1"/>
  <c r="CB65" i="1"/>
  <c r="I56" i="5"/>
  <c r="CB99" i="1"/>
  <c r="J56" i="5"/>
  <c r="BS122" i="1"/>
  <c r="J145" i="5"/>
  <c r="CB114" i="1"/>
  <c r="BS118" i="1"/>
  <c r="BS128" i="1"/>
  <c r="I91" i="5"/>
  <c r="I55" i="5"/>
  <c r="J55" i="5"/>
  <c r="AI128" i="1"/>
  <c r="I153" i="5"/>
  <c r="AL101" i="1"/>
  <c r="AJ128" i="1"/>
  <c r="H144" i="5"/>
  <c r="AK101" i="1"/>
  <c r="I102" i="5"/>
  <c r="I144" i="5"/>
  <c r="AI62" i="1"/>
  <c r="AI101" i="1"/>
  <c r="J102" i="5"/>
  <c r="AR73" i="3"/>
  <c r="AJ101" i="1"/>
  <c r="S73" i="5"/>
  <c r="T73" i="5" s="1"/>
  <c r="AY73" i="3"/>
  <c r="AJ116" i="1"/>
  <c r="BS62" i="1"/>
  <c r="J123" i="5"/>
  <c r="I123" i="5"/>
  <c r="AL128" i="1"/>
  <c r="BS114" i="1"/>
  <c r="E73" i="5"/>
  <c r="AK128" i="1"/>
  <c r="BD56" i="1"/>
  <c r="BS56" i="1"/>
  <c r="CB94" i="1"/>
  <c r="BS94" i="1"/>
  <c r="BE56" i="1"/>
  <c r="BN56" i="1" s="1" a="1"/>
  <c r="BN56" i="1" s="1"/>
  <c r="BE94" i="1"/>
  <c r="BN94" i="1" s="1" a="1"/>
  <c r="BN94" i="1" s="1"/>
  <c r="BE62" i="1"/>
  <c r="BN62" i="1" s="1" a="1"/>
  <c r="BN62" i="1" s="1"/>
  <c r="J131" i="5"/>
  <c r="AM73" i="1"/>
  <c r="BS99" i="1"/>
  <c r="AK116" i="1"/>
  <c r="BD99" i="1"/>
  <c r="I131" i="5"/>
  <c r="AL116" i="1"/>
  <c r="BS73" i="3"/>
  <c r="CB58" i="1"/>
  <c r="I119" i="5"/>
  <c r="BI73" i="1"/>
  <c r="BS58" i="1"/>
  <c r="T58" i="5"/>
  <c r="U58" i="5"/>
  <c r="V58" i="5"/>
  <c r="V102" i="5"/>
  <c r="T102" i="5"/>
  <c r="U102" i="5"/>
  <c r="T133" i="5"/>
  <c r="V133" i="5"/>
  <c r="U133" i="5"/>
  <c r="T89" i="5"/>
  <c r="U89" i="5"/>
  <c r="V89" i="5"/>
  <c r="T138" i="5"/>
  <c r="V138" i="5"/>
  <c r="U138" i="5"/>
  <c r="T116" i="5"/>
  <c r="U116" i="5"/>
  <c r="V116" i="5"/>
  <c r="T134" i="5"/>
  <c r="U134" i="5"/>
  <c r="V134" i="5"/>
  <c r="V146" i="5"/>
  <c r="T146" i="5"/>
  <c r="U146" i="5"/>
  <c r="V93" i="5"/>
  <c r="T93" i="5"/>
  <c r="U93" i="5"/>
  <c r="T62" i="5"/>
  <c r="U62" i="5"/>
  <c r="V62" i="5"/>
  <c r="T101" i="5"/>
  <c r="U101" i="5"/>
  <c r="V101" i="5"/>
  <c r="T128" i="5"/>
  <c r="U128" i="5"/>
  <c r="V128" i="5"/>
  <c r="T79" i="5"/>
  <c r="U79" i="5"/>
  <c r="V79" i="5"/>
  <c r="T118" i="5"/>
  <c r="U118" i="5"/>
  <c r="V118" i="5"/>
  <c r="BL73" i="3"/>
  <c r="BI73" i="3"/>
  <c r="V140" i="5"/>
  <c r="T140" i="5"/>
  <c r="U140" i="5"/>
  <c r="T130" i="5"/>
  <c r="U130" i="5"/>
  <c r="V130" i="5"/>
  <c r="T145" i="5"/>
  <c r="V145" i="5"/>
  <c r="U145" i="5"/>
  <c r="T56" i="5"/>
  <c r="U56" i="5"/>
  <c r="V56" i="5"/>
  <c r="T59" i="5"/>
  <c r="U59" i="5"/>
  <c r="V59" i="5"/>
  <c r="T76" i="5"/>
  <c r="U76" i="5"/>
  <c r="V76" i="5"/>
  <c r="T110" i="5"/>
  <c r="U110" i="5"/>
  <c r="V110" i="5"/>
  <c r="T122" i="5"/>
  <c r="U122" i="5"/>
  <c r="V122" i="5"/>
  <c r="T77" i="5"/>
  <c r="U77" i="5"/>
  <c r="V77" i="5"/>
  <c r="E65" i="5"/>
  <c r="BH65" i="3"/>
  <c r="F65" i="5" s="1"/>
  <c r="T55" i="5"/>
  <c r="U55" i="5"/>
  <c r="V55" i="5"/>
  <c r="T100" i="5"/>
  <c r="U100" i="5"/>
  <c r="V100" i="5"/>
  <c r="T109" i="5"/>
  <c r="V109" i="5"/>
  <c r="U109" i="5"/>
  <c r="T137" i="5"/>
  <c r="U137" i="5"/>
  <c r="V137" i="5"/>
  <c r="T119" i="5"/>
  <c r="U119" i="5"/>
  <c r="V119" i="5"/>
  <c r="T139" i="5"/>
  <c r="U139" i="5"/>
  <c r="V139" i="5"/>
  <c r="U65" i="5"/>
  <c r="V65" i="5"/>
  <c r="T65" i="5"/>
  <c r="T144" i="5"/>
  <c r="V144" i="5"/>
  <c r="U144" i="5"/>
  <c r="U117" i="5"/>
  <c r="V117" i="5"/>
  <c r="V57" i="5"/>
  <c r="T57" i="5"/>
  <c r="V81" i="5"/>
  <c r="T81" i="5"/>
  <c r="U141" i="5"/>
  <c r="T141" i="5"/>
  <c r="V143" i="5"/>
  <c r="T143" i="5"/>
  <c r="V148" i="5"/>
  <c r="T148" i="5"/>
  <c r="V149" i="5"/>
  <c r="T149" i="5"/>
  <c r="BO158" i="3"/>
  <c r="BS158" i="3" s="1"/>
  <c r="BO81" i="3"/>
  <c r="BS81" i="3" s="1"/>
  <c r="BK81" i="3"/>
  <c r="BK77" i="3"/>
  <c r="BK76" i="3"/>
  <c r="BO55" i="3"/>
  <c r="BS55" i="3" s="1"/>
  <c r="BO57" i="3"/>
  <c r="BS57" i="3" s="1"/>
  <c r="BO58" i="3"/>
  <c r="BS58" i="3" s="1"/>
  <c r="BO59" i="3"/>
  <c r="BS59" i="3" s="1"/>
  <c r="BO60" i="3"/>
  <c r="BS60" i="3" s="1"/>
  <c r="BK94" i="3"/>
  <c r="BO94" i="3"/>
  <c r="BS94" i="3" s="1"/>
  <c r="BK98" i="3"/>
  <c r="BO98" i="3"/>
  <c r="BS98" i="3" s="1"/>
  <c r="BO100" i="3"/>
  <c r="BS100" i="3" s="1"/>
  <c r="BO101" i="3"/>
  <c r="BS101" i="3"/>
  <c r="BS102" i="3"/>
  <c r="BO102" i="3"/>
  <c r="BS110" i="3"/>
  <c r="BO110" i="3"/>
  <c r="BO116" i="3"/>
  <c r="BS116" i="3"/>
  <c r="BK118" i="3"/>
  <c r="BO118" i="3"/>
  <c r="BS118" i="3" s="1"/>
  <c r="BK122" i="3"/>
  <c r="BO122" i="3"/>
  <c r="BS122" i="3" s="1"/>
  <c r="BO123" i="3"/>
  <c r="BS123" i="3" s="1"/>
  <c r="BO130" i="3"/>
  <c r="BS130" i="3" s="1"/>
  <c r="BK131" i="3"/>
  <c r="BO131" i="3"/>
  <c r="BS131" i="3" s="1"/>
  <c r="BS137" i="3"/>
  <c r="BO137" i="3"/>
  <c r="BO140" i="3"/>
  <c r="BS140" i="3" s="1"/>
  <c r="J98" i="5"/>
  <c r="H98" i="5"/>
  <c r="M75" i="5"/>
  <c r="J109" i="5"/>
  <c r="J89" i="5"/>
  <c r="H119" i="5"/>
  <c r="I89" i="5"/>
  <c r="H153" i="5"/>
  <c r="H149" i="5"/>
  <c r="J149" i="5"/>
  <c r="H109" i="5"/>
  <c r="J60" i="5"/>
  <c r="I60" i="5"/>
  <c r="H99" i="5"/>
  <c r="I99" i="5"/>
  <c r="J77" i="5"/>
  <c r="I77" i="5"/>
  <c r="BS140" i="1"/>
  <c r="BD140" i="1"/>
  <c r="BE140" i="1" s="1"/>
  <c r="BN140" i="1" s="1" a="1"/>
  <c r="BN140" i="1" s="1"/>
  <c r="N77" i="5"/>
  <c r="M77" i="5"/>
  <c r="I140" i="5"/>
  <c r="L75" i="5"/>
  <c r="M57" i="5"/>
  <c r="I58" i="5"/>
  <c r="H58" i="5"/>
  <c r="M158" i="5"/>
  <c r="L158" i="5"/>
  <c r="N123" i="5"/>
  <c r="L123" i="5"/>
  <c r="I157" i="5"/>
  <c r="H157" i="5"/>
  <c r="N21" i="5"/>
  <c r="L21" i="5"/>
  <c r="M30" i="5"/>
  <c r="L30" i="5"/>
  <c r="I59" i="5"/>
  <c r="H59" i="5"/>
  <c r="M12" i="5"/>
  <c r="L12" i="5"/>
  <c r="M82" i="5"/>
  <c r="L82" i="5"/>
  <c r="N62" i="5"/>
  <c r="L62" i="5"/>
  <c r="M154" i="5"/>
  <c r="L154" i="5"/>
  <c r="N107" i="5"/>
  <c r="L107" i="5"/>
  <c r="N17" i="5"/>
  <c r="L17" i="5"/>
  <c r="N122" i="5"/>
  <c r="L122" i="5"/>
  <c r="I146" i="5"/>
  <c r="H146" i="5"/>
  <c r="M98" i="5"/>
  <c r="L98" i="5"/>
  <c r="M120" i="5"/>
  <c r="L120" i="5"/>
  <c r="N22" i="5"/>
  <c r="L22" i="5"/>
  <c r="M14" i="5"/>
  <c r="L14" i="5"/>
  <c r="M144" i="5"/>
  <c r="L144" i="5"/>
  <c r="M6" i="5"/>
  <c r="L6" i="5"/>
  <c r="M10" i="5"/>
  <c r="L10" i="5"/>
  <c r="N142" i="5"/>
  <c r="L142" i="5"/>
  <c r="M138" i="5"/>
  <c r="L138" i="5"/>
  <c r="J117" i="5"/>
  <c r="H117" i="5"/>
  <c r="N145" i="5"/>
  <c r="L145" i="5"/>
  <c r="N37" i="5"/>
  <c r="L37" i="5"/>
  <c r="I155" i="5"/>
  <c r="H155" i="5"/>
  <c r="N105" i="5"/>
  <c r="L105" i="5"/>
  <c r="N13" i="5"/>
  <c r="L13" i="5"/>
  <c r="M101" i="5"/>
  <c r="L101" i="5"/>
  <c r="N32" i="5"/>
  <c r="L32" i="5"/>
  <c r="M5" i="5"/>
  <c r="L5" i="5"/>
  <c r="M7" i="5"/>
  <c r="L7" i="5"/>
  <c r="M153" i="5"/>
  <c r="L153" i="5"/>
  <c r="N147" i="5"/>
  <c r="L147" i="5"/>
  <c r="N66" i="5"/>
  <c r="L66" i="5"/>
  <c r="I115" i="5"/>
  <c r="H115" i="5"/>
  <c r="J120" i="5"/>
  <c r="H120" i="5"/>
  <c r="N110" i="5"/>
  <c r="L110" i="5"/>
  <c r="M121" i="5"/>
  <c r="L121" i="5"/>
  <c r="M133" i="5"/>
  <c r="L133" i="5"/>
  <c r="N83" i="5"/>
  <c r="L83" i="5"/>
  <c r="N33" i="5"/>
  <c r="L33" i="5"/>
  <c r="N18" i="5"/>
  <c r="L18" i="5"/>
  <c r="M102" i="5"/>
  <c r="L102" i="5"/>
  <c r="M90" i="5"/>
  <c r="L90" i="5"/>
  <c r="M136" i="5"/>
  <c r="L136" i="5"/>
  <c r="M99" i="5"/>
  <c r="L99" i="5"/>
  <c r="N65" i="5"/>
  <c r="L65" i="5"/>
  <c r="M156" i="5"/>
  <c r="L156" i="5"/>
  <c r="J154" i="5"/>
  <c r="H154" i="5"/>
  <c r="N61" i="5"/>
  <c r="L61" i="5"/>
  <c r="M39" i="5"/>
  <c r="L39" i="5"/>
  <c r="M92" i="5"/>
  <c r="L92" i="5"/>
  <c r="N152" i="5"/>
  <c r="L152" i="5"/>
  <c r="N111" i="5"/>
  <c r="L111" i="5"/>
  <c r="N124" i="5"/>
  <c r="L124" i="5"/>
  <c r="N116" i="5"/>
  <c r="L116" i="5"/>
  <c r="M127" i="5"/>
  <c r="L127" i="5"/>
  <c r="M73" i="5"/>
  <c r="L73" i="5"/>
  <c r="M58" i="5"/>
  <c r="L58" i="5"/>
  <c r="N106" i="5"/>
  <c r="L106" i="5"/>
  <c r="M63" i="5"/>
  <c r="L63" i="5"/>
  <c r="N113" i="5"/>
  <c r="L113" i="5"/>
  <c r="M129" i="5"/>
  <c r="L129" i="5"/>
  <c r="I62" i="5"/>
  <c r="H62" i="5"/>
  <c r="M149" i="5"/>
  <c r="L149" i="5"/>
  <c r="M119" i="5"/>
  <c r="L119" i="5"/>
  <c r="N38" i="5"/>
  <c r="L38" i="5"/>
  <c r="I114" i="5"/>
  <c r="H114" i="5"/>
  <c r="M40" i="5"/>
  <c r="L40" i="5"/>
  <c r="N67" i="5"/>
  <c r="L67" i="5"/>
  <c r="I152" i="5"/>
  <c r="H152" i="5"/>
  <c r="J151" i="5"/>
  <c r="H151" i="5"/>
  <c r="N57" i="5"/>
  <c r="N56" i="5"/>
  <c r="N99" i="5"/>
  <c r="M124" i="5"/>
  <c r="M56" i="5"/>
  <c r="N8" i="5"/>
  <c r="M8" i="5"/>
  <c r="J94" i="5"/>
  <c r="M140" i="5"/>
  <c r="I113" i="5"/>
  <c r="N140" i="5"/>
  <c r="I94" i="5"/>
  <c r="J113" i="5"/>
  <c r="M24" i="5"/>
  <c r="N138" i="5"/>
  <c r="N151" i="5"/>
  <c r="J76" i="5"/>
  <c r="I143" i="5"/>
  <c r="J143" i="5"/>
  <c r="N64" i="5"/>
  <c r="M64" i="5"/>
  <c r="J152" i="5"/>
  <c r="I76" i="5"/>
  <c r="M111" i="5"/>
  <c r="M151" i="5"/>
  <c r="N30" i="5"/>
  <c r="J114" i="5"/>
  <c r="J115" i="5"/>
  <c r="N10" i="5"/>
  <c r="J62" i="5"/>
  <c r="I120" i="5"/>
  <c r="I133" i="5"/>
  <c r="J133" i="5"/>
  <c r="M152" i="5"/>
  <c r="M13" i="5"/>
  <c r="N6" i="5"/>
  <c r="I117" i="5"/>
  <c r="J59" i="5"/>
  <c r="I151" i="5"/>
  <c r="N60" i="5"/>
  <c r="M60" i="5"/>
  <c r="M3" i="5"/>
  <c r="M105" i="5"/>
  <c r="N81" i="5"/>
  <c r="N36" i="5"/>
  <c r="M81" i="5"/>
  <c r="N139" i="5"/>
  <c r="N86" i="5"/>
  <c r="M109" i="5"/>
  <c r="M139" i="5"/>
  <c r="M86" i="5"/>
  <c r="M36" i="5"/>
  <c r="N3" i="5"/>
  <c r="N14" i="5"/>
  <c r="N69" i="5"/>
  <c r="M69" i="5"/>
  <c r="N109" i="5"/>
  <c r="N58" i="5"/>
  <c r="M23" i="5"/>
  <c r="N133" i="5"/>
  <c r="M62" i="5"/>
  <c r="M17" i="5"/>
  <c r="N144" i="5"/>
  <c r="J159" i="5"/>
  <c r="I159" i="5"/>
  <c r="I122" i="5"/>
  <c r="J140" i="5"/>
  <c r="J146" i="5"/>
  <c r="J122" i="5"/>
  <c r="J93" i="5"/>
  <c r="I93" i="5"/>
  <c r="J58" i="5"/>
  <c r="J128" i="5"/>
  <c r="I128" i="5"/>
  <c r="M66" i="5"/>
  <c r="N11" i="5"/>
  <c r="M11" i="5"/>
  <c r="M9" i="5"/>
  <c r="M123" i="5"/>
  <c r="N82" i="5"/>
  <c r="N149" i="5"/>
  <c r="J157" i="5"/>
  <c r="N24" i="5"/>
  <c r="N9" i="5"/>
  <c r="J155" i="5"/>
  <c r="M134" i="5"/>
  <c r="M106" i="5"/>
  <c r="N136" i="5"/>
  <c r="M70" i="5"/>
  <c r="N70" i="5"/>
  <c r="N35" i="5"/>
  <c r="N92" i="5"/>
  <c r="N134" i="5"/>
  <c r="M35" i="5"/>
  <c r="N84" i="5"/>
  <c r="N23" i="5"/>
  <c r="N20" i="5"/>
  <c r="M20" i="5"/>
  <c r="N15" i="5"/>
  <c r="N121" i="5"/>
  <c r="M15" i="5"/>
  <c r="M84" i="5"/>
  <c r="N7" i="5"/>
  <c r="M141" i="5"/>
  <c r="N153" i="5"/>
  <c r="M147" i="5"/>
  <c r="N5" i="5"/>
  <c r="N141" i="5"/>
  <c r="N94" i="5"/>
  <c r="N154" i="5"/>
  <c r="M107" i="5"/>
  <c r="M22" i="5"/>
  <c r="M94" i="5"/>
  <c r="N115" i="5"/>
  <c r="N40" i="5"/>
  <c r="M142" i="5"/>
  <c r="N129" i="5"/>
  <c r="N117" i="5"/>
  <c r="M113" i="5"/>
  <c r="M67" i="5"/>
  <c r="M115" i="5"/>
  <c r="M117" i="5"/>
  <c r="M68" i="5"/>
  <c r="N63" i="5"/>
  <c r="N68" i="5"/>
  <c r="AL62" i="1"/>
  <c r="AK62" i="1"/>
  <c r="T65" i="1"/>
  <c r="S65" i="1"/>
  <c r="U65" i="1"/>
  <c r="G65" i="5"/>
  <c r="H65" i="5" s="1"/>
  <c r="V65" i="1"/>
  <c r="BS76" i="1"/>
  <c r="BD76" i="1"/>
  <c r="BE76" i="1"/>
  <c r="BN76" i="1" s="1" a="1"/>
  <c r="BN76" i="1" s="1"/>
  <c r="CB76" i="1"/>
  <c r="BD128" i="1"/>
  <c r="BE128" i="1"/>
  <c r="BN128" i="1" s="1" a="1"/>
  <c r="BN128" i="1" s="1"/>
  <c r="CB128" i="1"/>
  <c r="AJ89" i="1"/>
  <c r="AI89" i="1"/>
  <c r="AK89" i="1"/>
  <c r="AL89" i="1"/>
  <c r="AI116" i="1"/>
  <c r="U116" i="1"/>
  <c r="S116" i="1"/>
  <c r="T116" i="1"/>
  <c r="G116" i="5"/>
  <c r="H116" i="5" s="1"/>
  <c r="BS123" i="1"/>
  <c r="BD123" i="1"/>
  <c r="BE123" i="1"/>
  <c r="BN123" i="1" s="1" a="1"/>
  <c r="BN123" i="1" s="1"/>
  <c r="CB123" i="1"/>
  <c r="AY122" i="1"/>
  <c r="BE122" i="1"/>
  <c r="BN122" i="1" s="1" a="1"/>
  <c r="BN122" i="1" s="1"/>
  <c r="CB122" i="1"/>
  <c r="CB119" i="1"/>
  <c r="BS119" i="1"/>
  <c r="BD119" i="1"/>
  <c r="BE119" i="1" s="1"/>
  <c r="BN119" i="1" s="1" a="1"/>
  <c r="BN119" i="1" s="1"/>
  <c r="N101" i="5"/>
  <c r="N156" i="5"/>
  <c r="N98" i="5"/>
  <c r="M145" i="5"/>
  <c r="M122" i="5"/>
  <c r="M38" i="5"/>
  <c r="N12" i="5"/>
  <c r="N73" i="5"/>
  <c r="M65" i="5"/>
  <c r="M91" i="5"/>
  <c r="M37" i="5"/>
  <c r="M33" i="5"/>
  <c r="N39" i="5"/>
  <c r="N90" i="5"/>
  <c r="M18" i="5"/>
  <c r="N102" i="5"/>
  <c r="N91" i="5"/>
  <c r="N127" i="5"/>
  <c r="N132" i="5"/>
  <c r="N120" i="5"/>
  <c r="M16" i="5"/>
  <c r="M61" i="5"/>
  <c r="M110" i="5"/>
  <c r="M132" i="5"/>
  <c r="N48" i="5"/>
  <c r="M32" i="5"/>
  <c r="N16" i="5"/>
  <c r="N158" i="5"/>
  <c r="N150" i="5"/>
  <c r="M150" i="5"/>
  <c r="M48" i="5"/>
  <c r="M128" i="5"/>
  <c r="N119" i="5"/>
  <c r="N128" i="5"/>
  <c r="M116" i="5"/>
  <c r="BE57" i="1"/>
  <c r="BN57" i="1" s="1" a="1"/>
  <c r="BN57" i="1" s="1"/>
  <c r="CB57" i="1"/>
  <c r="BS57" i="1"/>
  <c r="BD57" i="1"/>
  <c r="CB59" i="1"/>
  <c r="BS59" i="1"/>
  <c r="BD59" i="1"/>
  <c r="BE59" i="1" s="1"/>
  <c r="BN59" i="1" s="1" a="1"/>
  <c r="BN59" i="1" s="1"/>
  <c r="BE77" i="1"/>
  <c r="BN77" i="1" s="1" a="1"/>
  <c r="BN77" i="1" s="1"/>
  <c r="BS77" i="1"/>
  <c r="AY77" i="1"/>
  <c r="CB77" i="1"/>
  <c r="BD77" i="1"/>
  <c r="S73" i="1"/>
  <c r="U73" i="1"/>
  <c r="V73" i="1"/>
  <c r="T73" i="1"/>
  <c r="G73" i="5"/>
  <c r="H73" i="5" s="1"/>
  <c r="BE73" i="1"/>
  <c r="BN73" i="1" s="1" a="1"/>
  <c r="BN73" i="1" s="1"/>
  <c r="CB73" i="1"/>
  <c r="BS73" i="1"/>
  <c r="BD73" i="1"/>
  <c r="AY73" i="1"/>
  <c r="BS93" i="1"/>
  <c r="BD93" i="1"/>
  <c r="BE93" i="1" s="1"/>
  <c r="BN93" i="1" s="1" a="1"/>
  <c r="BN93" i="1" s="1"/>
  <c r="CB93" i="1"/>
  <c r="BS101" i="1"/>
  <c r="AY101" i="1"/>
  <c r="BD101" i="1"/>
  <c r="BE101" i="1"/>
  <c r="BN101" i="1" s="1" a="1"/>
  <c r="BN101" i="1" s="1"/>
  <c r="CB101" i="1"/>
  <c r="BS81" i="1"/>
  <c r="BD81" i="1"/>
  <c r="BE81" i="1"/>
  <c r="BN81" i="1" s="1" a="1"/>
  <c r="BN81" i="1" s="1"/>
  <c r="CB81" i="1"/>
  <c r="BE98" i="1"/>
  <c r="BN98" i="1" s="1" a="1"/>
  <c r="BN98" i="1" s="1"/>
  <c r="CB98" i="1"/>
  <c r="BD98" i="1"/>
  <c r="BS98" i="1"/>
  <c r="AK102" i="1"/>
  <c r="AL102" i="1"/>
  <c r="AI102" i="1"/>
  <c r="AJ102" i="1"/>
  <c r="AY116" i="1"/>
  <c r="BD116" i="1"/>
  <c r="BE116" i="1"/>
  <c r="BN116" i="1" s="1" a="1"/>
  <c r="BN116" i="1" s="1"/>
  <c r="BS116" i="1"/>
  <c r="CB116" i="1"/>
  <c r="CB109" i="1"/>
  <c r="BD109" i="1"/>
  <c r="BE109" i="1" s="1"/>
  <c r="BN109" i="1" s="1" a="1"/>
  <c r="BN109" i="1" s="1"/>
  <c r="BS109" i="1"/>
  <c r="AI117" i="1"/>
  <c r="AK117" i="1"/>
  <c r="AL117" i="1"/>
  <c r="AJ117" i="1"/>
  <c r="BE117" i="1"/>
  <c r="BN117" i="1" s="1" a="1"/>
  <c r="BN117" i="1" s="1"/>
  <c r="CB117" i="1"/>
  <c r="BD117" i="1"/>
  <c r="BS117" i="1"/>
  <c r="BS130" i="1"/>
  <c r="BD130" i="1"/>
  <c r="BE130" i="1" s="1"/>
  <c r="BN130" i="1" s="1" a="1"/>
  <c r="BN130" i="1" s="1"/>
  <c r="CB130" i="1"/>
  <c r="AL133" i="1"/>
  <c r="AJ133" i="1"/>
  <c r="AI133" i="1"/>
  <c r="AK133" i="1"/>
  <c r="BD133" i="1"/>
  <c r="BE133" i="1" s="1"/>
  <c r="BN133" i="1" s="1" a="1"/>
  <c r="BN133" i="1" s="1"/>
  <c r="CB133" i="1"/>
  <c r="BS133" i="1"/>
  <c r="CB150" i="1"/>
  <c r="BS150" i="1"/>
  <c r="BD150" i="1"/>
  <c r="BE150" i="1" s="1"/>
  <c r="BN150" i="1" s="1" a="1"/>
  <c r="BN150" i="1" s="1"/>
  <c r="CB158" i="1"/>
  <c r="BD158" i="1"/>
  <c r="BE158" i="1" s="1"/>
  <c r="BN158" i="1" s="1" a="1"/>
  <c r="BN158" i="1" s="1"/>
  <c r="BS158" i="1"/>
  <c r="AI134" i="1"/>
  <c r="AJ134" i="1"/>
  <c r="AK134" i="1"/>
  <c r="AL134" i="1"/>
  <c r="CB134" i="1"/>
  <c r="BS134" i="1"/>
  <c r="BD134" i="1"/>
  <c r="BE134" i="1" s="1"/>
  <c r="BN134" i="1" s="1" a="1"/>
  <c r="BN134" i="1" s="1"/>
  <c r="AJ138" i="1"/>
  <c r="AK138" i="1"/>
  <c r="AL138" i="1"/>
  <c r="AI138" i="1"/>
  <c r="BE138" i="1"/>
  <c r="BN138" i="1" s="1" a="1"/>
  <c r="BN138" i="1" s="1"/>
  <c r="CB138" i="1"/>
  <c r="BD138" i="1"/>
  <c r="BS138" i="1"/>
  <c r="BU138" i="1"/>
  <c r="I154" i="5"/>
  <c r="I156" i="5"/>
  <c r="J156" i="5"/>
  <c r="I142" i="5"/>
  <c r="J142" i="5"/>
  <c r="N159" i="5"/>
  <c r="M159" i="5"/>
  <c r="M143" i="5"/>
  <c r="N143" i="5"/>
  <c r="I158" i="5"/>
  <c r="J158" i="5"/>
  <c r="BU161" i="1" l="1"/>
  <c r="V73" i="5"/>
  <c r="U73" i="5"/>
  <c r="I116" i="5"/>
  <c r="J116" i="5"/>
  <c r="I65" i="5"/>
  <c r="J65" i="5"/>
  <c r="I73" i="5"/>
  <c r="J73" i="5"/>
  <c r="I12" i="17"/>
  <c r="W29" i="3"/>
  <c r="V29" i="3"/>
  <c r="BJ2" i="3"/>
  <c r="E135" i="3"/>
  <c r="M135" i="1" l="1"/>
  <c r="BA135" i="1"/>
  <c r="CA135" i="1"/>
  <c r="N135" i="1"/>
  <c r="BG135" i="1"/>
  <c r="BJ135" i="1" s="1"/>
  <c r="CC135" i="1"/>
  <c r="BH135" i="1"/>
  <c r="CD135" i="1"/>
  <c r="CE135" i="1"/>
  <c r="CF135" i="1"/>
  <c r="AH135" i="1"/>
  <c r="BM135" i="1"/>
  <c r="BO135" i="1" s="1"/>
  <c r="BL135" i="1" s="1"/>
  <c r="CG135" i="1"/>
  <c r="CH135" i="1"/>
  <c r="AW135" i="1"/>
  <c r="AC135" i="5"/>
  <c r="BZ135" i="1"/>
  <c r="AC76" i="1"/>
  <c r="O76" i="5" s="1"/>
  <c r="AC118" i="1"/>
  <c r="O118" i="5" s="1"/>
  <c r="AC98" i="1"/>
  <c r="O98" i="5" s="1"/>
  <c r="AC122" i="1"/>
  <c r="O122" i="5" s="1"/>
  <c r="AC94" i="1"/>
  <c r="O94" i="5" s="1"/>
  <c r="AC116" i="1"/>
  <c r="O116" i="5" s="1"/>
  <c r="AC102" i="1"/>
  <c r="O102" i="5" s="1"/>
  <c r="AC117" i="1"/>
  <c r="O117" i="5" s="1"/>
  <c r="AC137" i="1"/>
  <c r="O137" i="5" s="1"/>
  <c r="AC93" i="1"/>
  <c r="O93" i="5" s="1"/>
  <c r="AC101" i="1"/>
  <c r="O101" i="5" s="1"/>
  <c r="AC81" i="1"/>
  <c r="O81" i="5" s="1"/>
  <c r="AC110" i="1"/>
  <c r="O110" i="5" s="1"/>
  <c r="Q110" i="5" s="1"/>
  <c r="AC131" i="1"/>
  <c r="O131" i="5" s="1"/>
  <c r="R131" i="5" s="1"/>
  <c r="AC79" i="1"/>
  <c r="O79" i="5" s="1"/>
  <c r="AC77" i="1"/>
  <c r="O77" i="5" s="1"/>
  <c r="AU135" i="3"/>
  <c r="V158" i="3"/>
  <c r="BK158" i="3" s="1"/>
  <c r="V150" i="3"/>
  <c r="BK150" i="3" s="1"/>
  <c r="V140" i="3"/>
  <c r="BK140" i="3" s="1"/>
  <c r="V138" i="3"/>
  <c r="BK138" i="3" s="1"/>
  <c r="V137" i="3"/>
  <c r="BK137" i="3" s="1"/>
  <c r="V134" i="3"/>
  <c r="BK134" i="3" s="1"/>
  <c r="V133" i="3"/>
  <c r="BK133" i="3" s="1"/>
  <c r="V123" i="3"/>
  <c r="BK123" i="3" s="1"/>
  <c r="V100" i="3"/>
  <c r="BK100" i="3" s="1"/>
  <c r="V99" i="3"/>
  <c r="BK99" i="3" s="1"/>
  <c r="V89" i="3"/>
  <c r="BK89" i="3" s="1"/>
  <c r="V79" i="3"/>
  <c r="BK79" i="3" s="1"/>
  <c r="V60" i="3"/>
  <c r="BK60" i="3" s="1"/>
  <c r="V59" i="3"/>
  <c r="BK59" i="3" s="1"/>
  <c r="V58" i="3"/>
  <c r="BK58" i="3" s="1"/>
  <c r="V57" i="3"/>
  <c r="BK57" i="3" s="1"/>
  <c r="V56" i="3"/>
  <c r="BK56" i="3" s="1"/>
  <c r="V55" i="3"/>
  <c r="BK55" i="3" s="1"/>
  <c r="V119" i="3"/>
  <c r="BK119" i="3" s="1"/>
  <c r="V116" i="3"/>
  <c r="BK116" i="3" s="1"/>
  <c r="V114" i="3"/>
  <c r="BK114" i="3" s="1"/>
  <c r="V110" i="3"/>
  <c r="BK110" i="3" s="1"/>
  <c r="V109" i="3"/>
  <c r="BK109" i="3" s="1"/>
  <c r="V102" i="3"/>
  <c r="BK102" i="3" s="1"/>
  <c r="V101" i="3"/>
  <c r="BK101" i="3" s="1"/>
  <c r="E51" i="3"/>
  <c r="V40" i="3"/>
  <c r="V130" i="3"/>
  <c r="H36" i="17"/>
  <c r="H39" i="17"/>
  <c r="H38" i="17"/>
  <c r="A29" i="1"/>
  <c r="A30" i="1"/>
  <c r="A31" i="1"/>
  <c r="A32" i="1"/>
  <c r="A33" i="1"/>
  <c r="AS33" i="1" s="1"/>
  <c r="AT33" i="1" s="1"/>
  <c r="A34" i="1"/>
  <c r="AS34" i="1" s="1"/>
  <c r="AT34" i="1" s="1"/>
  <c r="A35" i="1"/>
  <c r="A36" i="1"/>
  <c r="A37" i="1"/>
  <c r="A38" i="1"/>
  <c r="A39" i="1"/>
  <c r="A40" i="1"/>
  <c r="A41" i="1"/>
  <c r="AS41" i="1" s="1"/>
  <c r="AT41" i="1" s="1"/>
  <c r="A42" i="1"/>
  <c r="A43" i="1"/>
  <c r="A44" i="1"/>
  <c r="AS44" i="1" s="1"/>
  <c r="AT44" i="1" s="1"/>
  <c r="A45" i="1"/>
  <c r="A46" i="1"/>
  <c r="A47" i="1"/>
  <c r="AS47" i="1" s="1"/>
  <c r="AT47" i="1" s="1"/>
  <c r="A48" i="1"/>
  <c r="AS48" i="1" s="1"/>
  <c r="AT48" i="1" s="1"/>
  <c r="A49" i="1"/>
  <c r="A50" i="1"/>
  <c r="A51" i="1"/>
  <c r="A52" i="1"/>
  <c r="A53" i="1"/>
  <c r="A54" i="1"/>
  <c r="A55" i="1"/>
  <c r="AS55" i="1" s="1"/>
  <c r="AT55" i="1" s="1"/>
  <c r="A56" i="1"/>
  <c r="A57" i="1"/>
  <c r="A58" i="1"/>
  <c r="A59" i="1"/>
  <c r="A60" i="1"/>
  <c r="A61" i="1"/>
  <c r="AS61" i="1" s="1"/>
  <c r="AT61" i="1" s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S75" i="1" s="1"/>
  <c r="AT75" i="1" s="1"/>
  <c r="A76" i="1"/>
  <c r="A77" i="1"/>
  <c r="AS77" i="1" s="1"/>
  <c r="AT77" i="1" s="1"/>
  <c r="A78" i="1"/>
  <c r="A79" i="1"/>
  <c r="AS79" i="1" s="1"/>
  <c r="AT79" i="1" s="1"/>
  <c r="A80" i="1"/>
  <c r="AS80" i="1" s="1"/>
  <c r="AT80" i="1" s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S95" i="1" s="1"/>
  <c r="AT95" i="1" s="1"/>
  <c r="A96" i="1"/>
  <c r="A97" i="1"/>
  <c r="A98" i="1"/>
  <c r="A99" i="1"/>
  <c r="A100" i="1"/>
  <c r="A101" i="1"/>
  <c r="AS101" i="1" s="1"/>
  <c r="AT101" i="1" s="1"/>
  <c r="A102" i="1"/>
  <c r="AS102" i="1" s="1"/>
  <c r="AT102" i="1" s="1"/>
  <c r="A103" i="1"/>
  <c r="AS103" i="1" s="1"/>
  <c r="AT103" i="1" s="1"/>
  <c r="A104" i="1"/>
  <c r="AS104" i="1" s="1"/>
  <c r="AT104" i="1" s="1"/>
  <c r="A105" i="1"/>
  <c r="AS105" i="1" s="1"/>
  <c r="AT105" i="1" s="1"/>
  <c r="A106" i="1"/>
  <c r="A107" i="1"/>
  <c r="A108" i="1"/>
  <c r="AS108" i="1" s="1"/>
  <c r="AT108" i="1" s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S124" i="1" s="1"/>
  <c r="AT124" i="1" s="1"/>
  <c r="A125" i="1"/>
  <c r="A126" i="1"/>
  <c r="AS126" i="1" s="1"/>
  <c r="AT126" i="1" s="1"/>
  <c r="A127" i="1"/>
  <c r="AS127" i="1" s="1"/>
  <c r="AT127" i="1" s="1"/>
  <c r="A128" i="1"/>
  <c r="A129" i="1"/>
  <c r="A130" i="1"/>
  <c r="A131" i="1"/>
  <c r="A132" i="1"/>
  <c r="A133" i="1"/>
  <c r="A134" i="1"/>
  <c r="A135" i="1"/>
  <c r="A136" i="1"/>
  <c r="A137" i="1"/>
  <c r="A138" i="1"/>
  <c r="AS138" i="1" s="1"/>
  <c r="AT138" i="1" s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S160" i="1" s="1"/>
  <c r="AT160" i="1" s="1"/>
  <c r="E80" i="3"/>
  <c r="I80" i="1" s="1"/>
  <c r="AW80" i="3"/>
  <c r="AL80" i="3"/>
  <c r="F80" i="3"/>
  <c r="AR80" i="1" s="1"/>
  <c r="E111" i="3"/>
  <c r="I22" i="17"/>
  <c r="H22" i="17"/>
  <c r="AW3" i="3"/>
  <c r="AW4" i="3"/>
  <c r="AW5" i="3"/>
  <c r="AW6" i="3"/>
  <c r="AW7" i="3"/>
  <c r="AW8" i="3"/>
  <c r="AW9" i="3"/>
  <c r="AW10" i="3"/>
  <c r="AW11" i="3"/>
  <c r="AW12" i="3"/>
  <c r="AW13" i="3"/>
  <c r="AW14" i="3"/>
  <c r="AW15" i="3"/>
  <c r="AW16" i="3"/>
  <c r="AW17" i="3"/>
  <c r="AW18" i="3"/>
  <c r="AW19" i="3"/>
  <c r="AW20" i="3"/>
  <c r="AW21" i="3"/>
  <c r="AW22" i="3"/>
  <c r="AW23" i="3"/>
  <c r="AW24" i="3"/>
  <c r="AW26" i="3"/>
  <c r="AW27" i="3"/>
  <c r="AW28" i="3"/>
  <c r="AW30" i="3"/>
  <c r="AW31" i="3"/>
  <c r="AW32" i="3"/>
  <c r="AW33" i="3"/>
  <c r="AW34" i="3"/>
  <c r="AW35" i="3"/>
  <c r="AW36" i="3"/>
  <c r="AW37" i="3"/>
  <c r="AW38" i="3"/>
  <c r="AW39" i="3"/>
  <c r="AW40" i="3"/>
  <c r="AW41" i="3"/>
  <c r="AW43" i="3"/>
  <c r="AW44" i="3"/>
  <c r="AW45" i="3"/>
  <c r="AW46" i="3"/>
  <c r="AW47" i="3"/>
  <c r="AW48" i="3"/>
  <c r="AW49" i="3"/>
  <c r="AW50" i="3"/>
  <c r="AW52" i="3"/>
  <c r="AW53" i="3"/>
  <c r="AW55" i="3"/>
  <c r="AW56" i="3"/>
  <c r="AW57" i="3"/>
  <c r="AW58" i="3"/>
  <c r="AW59" i="3"/>
  <c r="AW60" i="3"/>
  <c r="AW61" i="3"/>
  <c r="AW62" i="3"/>
  <c r="AW63" i="3"/>
  <c r="AW64" i="3"/>
  <c r="AW65" i="3"/>
  <c r="AW66" i="3"/>
  <c r="AW67" i="3"/>
  <c r="AW68" i="3"/>
  <c r="AW69" i="3"/>
  <c r="AW70" i="3"/>
  <c r="AW71" i="3"/>
  <c r="AW72" i="3"/>
  <c r="AW73" i="3"/>
  <c r="AW74" i="3"/>
  <c r="AW75" i="3"/>
  <c r="AW76" i="3"/>
  <c r="AW77" i="3"/>
  <c r="AW78" i="3"/>
  <c r="AW79" i="3"/>
  <c r="AW81" i="3"/>
  <c r="AW82" i="3"/>
  <c r="AW83" i="3"/>
  <c r="AW84" i="3"/>
  <c r="AW85" i="3"/>
  <c r="AW86" i="3"/>
  <c r="AW87" i="3"/>
  <c r="AW88" i="3"/>
  <c r="AW89" i="3"/>
  <c r="AW90" i="3"/>
  <c r="AW91" i="3"/>
  <c r="AW92" i="3"/>
  <c r="AW93" i="3"/>
  <c r="AW94" i="3"/>
  <c r="AW95" i="3"/>
  <c r="AW98" i="3"/>
  <c r="AW99" i="3"/>
  <c r="AW100" i="3"/>
  <c r="AW101" i="3"/>
  <c r="AW102" i="3"/>
  <c r="AW103" i="3"/>
  <c r="AW104" i="3"/>
  <c r="AW105" i="3"/>
  <c r="AW106" i="3"/>
  <c r="AW107" i="3"/>
  <c r="AW108" i="3"/>
  <c r="AW109" i="3"/>
  <c r="AW110" i="3"/>
  <c r="AW111" i="3"/>
  <c r="AW113" i="3"/>
  <c r="AW114" i="3"/>
  <c r="AW115" i="3"/>
  <c r="AW116" i="3"/>
  <c r="AW117" i="3"/>
  <c r="AW118" i="3"/>
  <c r="AW119" i="3"/>
  <c r="AW120" i="3"/>
  <c r="AW121" i="3"/>
  <c r="AW122" i="3"/>
  <c r="AW123" i="3"/>
  <c r="AW124" i="3"/>
  <c r="AW125" i="3"/>
  <c r="AW126" i="3"/>
  <c r="AW127" i="3"/>
  <c r="AW128" i="3"/>
  <c r="AW129" i="3"/>
  <c r="AW130" i="3"/>
  <c r="AW131" i="3"/>
  <c r="AW132" i="3"/>
  <c r="AW133" i="3"/>
  <c r="AW134" i="3"/>
  <c r="AW135" i="3"/>
  <c r="AW136" i="3"/>
  <c r="AW138" i="3"/>
  <c r="AW139" i="3"/>
  <c r="AW140" i="3"/>
  <c r="AW141" i="3"/>
  <c r="AW142" i="3"/>
  <c r="AW143" i="3"/>
  <c r="AW144" i="3"/>
  <c r="AW145" i="3"/>
  <c r="AW146" i="3"/>
  <c r="AW147" i="3"/>
  <c r="AW148" i="3"/>
  <c r="AW149" i="3"/>
  <c r="AW150" i="3"/>
  <c r="AW151" i="3"/>
  <c r="AW152" i="3"/>
  <c r="AW153" i="3"/>
  <c r="AW154" i="3"/>
  <c r="AW155" i="3"/>
  <c r="AW156" i="3"/>
  <c r="AW157" i="3"/>
  <c r="AW158" i="3"/>
  <c r="AW159" i="3"/>
  <c r="AW160" i="3"/>
  <c r="K39" i="17"/>
  <c r="K38" i="17"/>
  <c r="AW2" i="3"/>
  <c r="E104" i="3"/>
  <c r="I104" i="1" s="1"/>
  <c r="E105" i="3"/>
  <c r="I105" i="1" s="1"/>
  <c r="E127" i="3"/>
  <c r="I127" i="1" s="1"/>
  <c r="E103" i="3"/>
  <c r="I103" i="1" s="1"/>
  <c r="E108" i="3"/>
  <c r="I108" i="1" s="1"/>
  <c r="E107" i="3"/>
  <c r="I107" i="1" s="1"/>
  <c r="E106" i="3"/>
  <c r="AS122" i="1" l="1"/>
  <c r="AT122" i="1" s="1"/>
  <c r="AT107" i="1"/>
  <c r="AS107" i="1"/>
  <c r="AT106" i="1"/>
  <c r="AS106" i="1"/>
  <c r="AS98" i="1"/>
  <c r="AT98" i="1" s="1"/>
  <c r="AP106" i="3"/>
  <c r="BE106" i="3" s="1"/>
  <c r="AW106" i="1"/>
  <c r="AY106" i="1"/>
  <c r="BZ106" i="1"/>
  <c r="CA106" i="1"/>
  <c r="R106" i="1"/>
  <c r="BG106" i="1"/>
  <c r="BJ106" i="1" s="1"/>
  <c r="CD106" i="1"/>
  <c r="BH106" i="1"/>
  <c r="CE106" i="1"/>
  <c r="CF106" i="1"/>
  <c r="CH106" i="1"/>
  <c r="CG106" i="1"/>
  <c r="BA106" i="1"/>
  <c r="BM106" i="1"/>
  <c r="BO106" i="1" s="1"/>
  <c r="BL106" i="1" s="1"/>
  <c r="W106" i="5"/>
  <c r="CC106" i="1"/>
  <c r="AC106" i="5"/>
  <c r="AH106" i="1"/>
  <c r="X106" i="5"/>
  <c r="Y106" i="5"/>
  <c r="AQ106" i="3"/>
  <c r="BG106" i="3" s="1"/>
  <c r="BD106" i="3"/>
  <c r="BF106" i="1"/>
  <c r="J106" i="1"/>
  <c r="BC106" i="1"/>
  <c r="BB106" i="1"/>
  <c r="AO106" i="1"/>
  <c r="AB106" i="5" s="1"/>
  <c r="AP103" i="3"/>
  <c r="BE103" i="3" s="1"/>
  <c r="AY103" i="3"/>
  <c r="AH103" i="1"/>
  <c r="BM103" i="1"/>
  <c r="BO103" i="1" s="1"/>
  <c r="BL103" i="1" s="1"/>
  <c r="CG103" i="1"/>
  <c r="CH103" i="1"/>
  <c r="AW103" i="1"/>
  <c r="AY103" i="1"/>
  <c r="BZ103" i="1"/>
  <c r="CA103" i="1"/>
  <c r="BA103" i="1"/>
  <c r="CC103" i="1"/>
  <c r="BH103" i="1"/>
  <c r="CE103" i="1"/>
  <c r="CF103" i="1"/>
  <c r="CD103" i="1"/>
  <c r="BG103" i="1"/>
  <c r="BJ103" i="1" s="1"/>
  <c r="W103" i="5"/>
  <c r="R103" i="1"/>
  <c r="X103" i="5"/>
  <c r="AQ103" i="3"/>
  <c r="BG103" i="3" s="1"/>
  <c r="BD103" i="3"/>
  <c r="BB103" i="1"/>
  <c r="J103" i="1"/>
  <c r="BF103" i="1"/>
  <c r="BC103" i="1"/>
  <c r="Y103" i="5"/>
  <c r="AO103" i="1"/>
  <c r="AB103" i="5" s="1"/>
  <c r="AC103" i="5"/>
  <c r="AP107" i="3"/>
  <c r="BE107" i="3" s="1"/>
  <c r="BA107" i="1"/>
  <c r="CA107" i="1"/>
  <c r="R107" i="1"/>
  <c r="BG107" i="1"/>
  <c r="BJ107" i="1" s="1"/>
  <c r="CC107" i="1"/>
  <c r="BH107" i="1"/>
  <c r="CD107" i="1"/>
  <c r="CE107" i="1"/>
  <c r="AH107" i="1"/>
  <c r="CF107" i="1"/>
  <c r="CH107" i="1"/>
  <c r="AW107" i="1"/>
  <c r="AY107" i="1"/>
  <c r="BZ107" i="1"/>
  <c r="CG107" i="1"/>
  <c r="BM107" i="1"/>
  <c r="BO107" i="1" s="1"/>
  <c r="BL107" i="1" s="1"/>
  <c r="X107" i="5"/>
  <c r="AQ107" i="3"/>
  <c r="BG107" i="3" s="1"/>
  <c r="BD107" i="3"/>
  <c r="J107" i="1"/>
  <c r="BF107" i="1"/>
  <c r="BC107" i="1"/>
  <c r="Y107" i="5"/>
  <c r="BB107" i="1"/>
  <c r="W107" i="5"/>
  <c r="AC107" i="5"/>
  <c r="AO107" i="1"/>
  <c r="AB107" i="5" s="1"/>
  <c r="AP108" i="3"/>
  <c r="BE108" i="3" s="1"/>
  <c r="AY108" i="3"/>
  <c r="CE108" i="1"/>
  <c r="AH108" i="1"/>
  <c r="CF108" i="1"/>
  <c r="BM108" i="1"/>
  <c r="BO108" i="1" s="1"/>
  <c r="BL108" i="1" s="1"/>
  <c r="CG108" i="1"/>
  <c r="CH108" i="1"/>
  <c r="AY108" i="1"/>
  <c r="BZ108" i="1"/>
  <c r="R108" i="1"/>
  <c r="BG108" i="1"/>
  <c r="BJ108" i="1" s="1"/>
  <c r="CC108" i="1"/>
  <c r="BH108" i="1"/>
  <c r="CD108" i="1"/>
  <c r="CA108" i="1"/>
  <c r="AW108" i="1"/>
  <c r="BA108" i="1"/>
  <c r="W108" i="5"/>
  <c r="AQ108" i="3"/>
  <c r="BG108" i="3" s="1"/>
  <c r="BD108" i="3"/>
  <c r="BC108" i="1"/>
  <c r="BF108" i="1"/>
  <c r="J108" i="1"/>
  <c r="AO108" i="1"/>
  <c r="AB108" i="5" s="1"/>
  <c r="AC108" i="5"/>
  <c r="BB108" i="1"/>
  <c r="X108" i="5"/>
  <c r="Y108" i="5"/>
  <c r="AU130" i="3"/>
  <c r="AC130" i="1" s="1"/>
  <c r="O130" i="5" s="1"/>
  <c r="P130" i="5" s="1"/>
  <c r="BK130" i="3"/>
  <c r="BI135" i="1"/>
  <c r="AM135" i="1"/>
  <c r="BG111" i="1"/>
  <c r="BJ111" i="1" s="1"/>
  <c r="CC111" i="1"/>
  <c r="BH111" i="1"/>
  <c r="CD111" i="1"/>
  <c r="CE111" i="1"/>
  <c r="AH111" i="1"/>
  <c r="CF111" i="1"/>
  <c r="CG111" i="1"/>
  <c r="AW111" i="1"/>
  <c r="M111" i="1"/>
  <c r="BZ111" i="1"/>
  <c r="N111" i="1"/>
  <c r="BA111" i="1"/>
  <c r="CA111" i="1"/>
  <c r="BM111" i="1"/>
  <c r="BO111" i="1" s="1"/>
  <c r="BL111" i="1" s="1"/>
  <c r="CH111" i="1"/>
  <c r="AC111" i="5"/>
  <c r="AQ51" i="3"/>
  <c r="BG51" i="3" s="1"/>
  <c r="CH51" i="1"/>
  <c r="CA51" i="1"/>
  <c r="BA51" i="1"/>
  <c r="CC51" i="1"/>
  <c r="CE51" i="1"/>
  <c r="BG51" i="1"/>
  <c r="BJ51" i="1" s="1"/>
  <c r="CF51" i="1"/>
  <c r="BH51" i="1"/>
  <c r="BM51" i="1"/>
  <c r="BO51" i="1" s="1"/>
  <c r="BL51" i="1" s="1"/>
  <c r="M51" i="1"/>
  <c r="N51" i="1"/>
  <c r="AH51" i="1"/>
  <c r="BZ51" i="1"/>
  <c r="CD51" i="1"/>
  <c r="CG51" i="1"/>
  <c r="AC51" i="5"/>
  <c r="AW51" i="1"/>
  <c r="AY105" i="3"/>
  <c r="AP105" i="3"/>
  <c r="BE105" i="3" s="1"/>
  <c r="R105" i="1"/>
  <c r="BH105" i="1"/>
  <c r="CE105" i="1"/>
  <c r="CF105" i="1"/>
  <c r="BM105" i="1"/>
  <c r="BO105" i="1" s="1"/>
  <c r="BL105" i="1" s="1"/>
  <c r="CG105" i="1"/>
  <c r="CH105" i="1"/>
  <c r="AW105" i="1"/>
  <c r="AY105" i="1"/>
  <c r="BZ105" i="1"/>
  <c r="BA105" i="1"/>
  <c r="CC105" i="1"/>
  <c r="BG105" i="1"/>
  <c r="BJ105" i="1" s="1"/>
  <c r="CD105" i="1"/>
  <c r="CA105" i="1"/>
  <c r="AC105" i="5"/>
  <c r="AQ105" i="3"/>
  <c r="BG105" i="3" s="1"/>
  <c r="BD105" i="3"/>
  <c r="BB105" i="1"/>
  <c r="BC105" i="1"/>
  <c r="Y105" i="5"/>
  <c r="AO105" i="1"/>
  <c r="AB105" i="5" s="1"/>
  <c r="J105" i="1"/>
  <c r="BF105" i="1"/>
  <c r="W105" i="5"/>
  <c r="X105" i="5"/>
  <c r="AP104" i="3"/>
  <c r="BE104" i="3" s="1"/>
  <c r="AY104" i="1"/>
  <c r="BZ104" i="1"/>
  <c r="CA104" i="1"/>
  <c r="BA104" i="1"/>
  <c r="CC104" i="1"/>
  <c r="BG104" i="1"/>
  <c r="BJ104" i="1" s="1"/>
  <c r="CD104" i="1"/>
  <c r="CF104" i="1"/>
  <c r="BM104" i="1"/>
  <c r="BO104" i="1" s="1"/>
  <c r="BL104" i="1" s="1"/>
  <c r="CG104" i="1"/>
  <c r="CH104" i="1"/>
  <c r="AW104" i="1"/>
  <c r="R104" i="1"/>
  <c r="CE104" i="1"/>
  <c r="BH104" i="1"/>
  <c r="AQ104" i="3"/>
  <c r="BG104" i="3" s="1"/>
  <c r="BD104" i="3"/>
  <c r="J104" i="1"/>
  <c r="AO104" i="1"/>
  <c r="AB104" i="5" s="1"/>
  <c r="BF104" i="1"/>
  <c r="AC104" i="5"/>
  <c r="BC104" i="1"/>
  <c r="X104" i="5"/>
  <c r="Y104" i="5"/>
  <c r="W104" i="5"/>
  <c r="BB104" i="1"/>
  <c r="AP127" i="3"/>
  <c r="BE127" i="3" s="1"/>
  <c r="CA127" i="1"/>
  <c r="R127" i="1"/>
  <c r="BG127" i="1"/>
  <c r="BJ127" i="1" s="1"/>
  <c r="CC127" i="1"/>
  <c r="AW127" i="1"/>
  <c r="AY127" i="1"/>
  <c r="BZ127" i="1"/>
  <c r="CD127" i="1"/>
  <c r="BA127" i="1"/>
  <c r="CE127" i="1"/>
  <c r="CG127" i="1"/>
  <c r="X127" i="5"/>
  <c r="BH127" i="1"/>
  <c r="W127" i="5"/>
  <c r="BM127" i="1"/>
  <c r="BO127" i="1" s="1"/>
  <c r="BL127" i="1" s="1"/>
  <c r="Y127" i="5"/>
  <c r="CF127" i="1"/>
  <c r="AC127" i="5"/>
  <c r="CH127" i="1"/>
  <c r="BC127" i="1"/>
  <c r="BD127" i="3"/>
  <c r="J127" i="1"/>
  <c r="AQ127" i="3"/>
  <c r="BG127" i="3" s="1"/>
  <c r="BF127" i="1"/>
  <c r="AO127" i="1"/>
  <c r="AB127" i="5" s="1"/>
  <c r="BB127" i="1"/>
  <c r="AP80" i="3"/>
  <c r="BE80" i="3" s="1"/>
  <c r="AQ80" i="3"/>
  <c r="BG80" i="3" s="1"/>
  <c r="BG80" i="1"/>
  <c r="BJ80" i="1" s="1"/>
  <c r="CD80" i="1"/>
  <c r="BH80" i="1"/>
  <c r="CE80" i="1"/>
  <c r="CF80" i="1"/>
  <c r="CA80" i="1"/>
  <c r="BM80" i="1"/>
  <c r="BO80" i="1" s="1"/>
  <c r="BL80" i="1" s="1"/>
  <c r="AH80" i="1"/>
  <c r="AW80" i="1"/>
  <c r="CC80" i="1"/>
  <c r="CG80" i="1"/>
  <c r="AY80" i="1"/>
  <c r="CH80" i="1"/>
  <c r="BA80" i="1"/>
  <c r="BZ80" i="1"/>
  <c r="W80" i="5"/>
  <c r="X80" i="5"/>
  <c r="BD80" i="3"/>
  <c r="BB80" i="1"/>
  <c r="J80" i="1"/>
  <c r="BC80" i="1"/>
  <c r="AR80" i="3"/>
  <c r="W80" i="1" s="1"/>
  <c r="BF80" i="1"/>
  <c r="AO80" i="1"/>
  <c r="AB80" i="5" s="1"/>
  <c r="Y80" i="5"/>
  <c r="AC80" i="5"/>
  <c r="AK135" i="1"/>
  <c r="AI135" i="1"/>
  <c r="S135" i="5"/>
  <c r="AJ135" i="1"/>
  <c r="AL135" i="1"/>
  <c r="BB106" i="3"/>
  <c r="BC106" i="3"/>
  <c r="AY106" i="3"/>
  <c r="BM106" i="3" a="1"/>
  <c r="BM106" i="3" s="1"/>
  <c r="BQ106" i="3" s="1"/>
  <c r="BB107" i="3"/>
  <c r="BC107" i="3"/>
  <c r="AY107" i="3"/>
  <c r="BM107" i="3" a="1"/>
  <c r="BM107" i="3" s="1"/>
  <c r="BQ107" i="3" s="1"/>
  <c r="BC108" i="3"/>
  <c r="BB108" i="3"/>
  <c r="BM108" i="3" a="1"/>
  <c r="BM108" i="3" s="1"/>
  <c r="BQ108" i="3" s="1"/>
  <c r="BB103" i="3"/>
  <c r="BC103" i="3"/>
  <c r="BM103" i="3" a="1"/>
  <c r="BM103" i="3" s="1"/>
  <c r="BQ103" i="3" s="1"/>
  <c r="AY127" i="3"/>
  <c r="BB127" i="3"/>
  <c r="BC127" i="3"/>
  <c r="BM127" i="3" a="1"/>
  <c r="BM127" i="3" s="1"/>
  <c r="BQ127" i="3" s="1"/>
  <c r="BB105" i="3"/>
  <c r="BC105" i="3"/>
  <c r="BM105" i="3" a="1"/>
  <c r="BM105" i="3" s="1"/>
  <c r="BQ105" i="3" s="1"/>
  <c r="BM104" i="3" a="1"/>
  <c r="BM104" i="3" s="1"/>
  <c r="BQ104" i="3" s="1"/>
  <c r="BB104" i="3"/>
  <c r="BC104" i="3"/>
  <c r="AY104" i="3"/>
  <c r="AZ80" i="3"/>
  <c r="BB80" i="3"/>
  <c r="BN80" i="3"/>
  <c r="BC80" i="3"/>
  <c r="BM80" i="3" a="1"/>
  <c r="BM80" i="3" s="1"/>
  <c r="BQ80" i="3" s="1"/>
  <c r="R101" i="5"/>
  <c r="P101" i="5"/>
  <c r="Q101" i="5"/>
  <c r="R93" i="5"/>
  <c r="P93" i="5"/>
  <c r="Q93" i="5"/>
  <c r="Q137" i="5"/>
  <c r="R137" i="5"/>
  <c r="P137" i="5"/>
  <c r="P117" i="5"/>
  <c r="R117" i="5"/>
  <c r="Q117" i="5"/>
  <c r="P102" i="5"/>
  <c r="Q102" i="5"/>
  <c r="R102" i="5"/>
  <c r="Q81" i="5"/>
  <c r="R81" i="5"/>
  <c r="P81" i="5"/>
  <c r="R77" i="5"/>
  <c r="Q77" i="5"/>
  <c r="P77" i="5"/>
  <c r="P116" i="5"/>
  <c r="R116" i="5"/>
  <c r="Q116" i="5"/>
  <c r="P94" i="5"/>
  <c r="Q94" i="5"/>
  <c r="R94" i="5"/>
  <c r="P79" i="5"/>
  <c r="Q79" i="5"/>
  <c r="R79" i="5"/>
  <c r="Q122" i="5"/>
  <c r="P122" i="5"/>
  <c r="R122" i="5"/>
  <c r="R98" i="5"/>
  <c r="Q98" i="5"/>
  <c r="P98" i="5"/>
  <c r="P118" i="5"/>
  <c r="Q118" i="5"/>
  <c r="R118" i="5"/>
  <c r="P76" i="5"/>
  <c r="Q76" i="5"/>
  <c r="R76" i="5"/>
  <c r="Q131" i="5"/>
  <c r="P131" i="5"/>
  <c r="P110" i="5"/>
  <c r="R110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U123" i="3"/>
  <c r="AC123" i="1" s="1"/>
  <c r="O123" i="5" s="1"/>
  <c r="AF110" i="1"/>
  <c r="AD110" i="1"/>
  <c r="AE110" i="1"/>
  <c r="AG110" i="1"/>
  <c r="AG117" i="1"/>
  <c r="AD117" i="1"/>
  <c r="AE117" i="1"/>
  <c r="AF117" i="1"/>
  <c r="AD122" i="1"/>
  <c r="AE122" i="1"/>
  <c r="AG122" i="1"/>
  <c r="AF122" i="1"/>
  <c r="AD101" i="1"/>
  <c r="AE101" i="1"/>
  <c r="AF101" i="1"/>
  <c r="AG101" i="1"/>
  <c r="AE81" i="1"/>
  <c r="AF81" i="1"/>
  <c r="AG81" i="1"/>
  <c r="AD81" i="1"/>
  <c r="AF76" i="1"/>
  <c r="AG76" i="1"/>
  <c r="AD76" i="1"/>
  <c r="AE76" i="1"/>
  <c r="AU55" i="3"/>
  <c r="AC55" i="1" s="1"/>
  <c r="O55" i="5" s="1"/>
  <c r="AU137" i="3"/>
  <c r="AE94" i="1"/>
  <c r="AG94" i="1"/>
  <c r="AD94" i="1"/>
  <c r="AF94" i="1"/>
  <c r="AG98" i="1"/>
  <c r="AD98" i="1"/>
  <c r="AF98" i="1"/>
  <c r="AE98" i="1"/>
  <c r="AU150" i="3"/>
  <c r="AC150" i="1" s="1"/>
  <c r="O150" i="5" s="1"/>
  <c r="AU102" i="3"/>
  <c r="AU60" i="3"/>
  <c r="AC60" i="1" s="1"/>
  <c r="O60" i="5" s="1"/>
  <c r="AE79" i="1"/>
  <c r="AD79" i="1"/>
  <c r="AF79" i="1"/>
  <c r="AG79" i="1"/>
  <c r="AD93" i="1"/>
  <c r="AE93" i="1"/>
  <c r="AF93" i="1"/>
  <c r="AG93" i="1"/>
  <c r="AU134" i="3"/>
  <c r="AC134" i="1" s="1"/>
  <c r="O134" i="5" s="1"/>
  <c r="AD116" i="1"/>
  <c r="AF116" i="1"/>
  <c r="AE116" i="1"/>
  <c r="AG116" i="1"/>
  <c r="AG77" i="1"/>
  <c r="AD77" i="1"/>
  <c r="AF77" i="1"/>
  <c r="AE77" i="1"/>
  <c r="AU119" i="3"/>
  <c r="AC119" i="1" s="1"/>
  <c r="O119" i="5" s="1"/>
  <c r="AF131" i="1"/>
  <c r="AG131" i="1"/>
  <c r="AD131" i="1"/>
  <c r="AE131" i="1"/>
  <c r="AG102" i="1"/>
  <c r="AE102" i="1"/>
  <c r="AF102" i="1"/>
  <c r="AD102" i="1"/>
  <c r="AF137" i="1"/>
  <c r="AG137" i="1"/>
  <c r="AE137" i="1"/>
  <c r="AD137" i="1"/>
  <c r="AD118" i="1"/>
  <c r="AE118" i="1"/>
  <c r="AF118" i="1"/>
  <c r="AG118" i="1"/>
  <c r="AU104" i="3"/>
  <c r="AU107" i="3"/>
  <c r="AU106" i="3"/>
  <c r="AU103" i="3"/>
  <c r="AU108" i="3"/>
  <c r="AU127" i="3"/>
  <c r="AU105" i="3"/>
  <c r="AU110" i="3"/>
  <c r="AU158" i="3"/>
  <c r="AC158" i="1" s="1"/>
  <c r="O158" i="5" s="1"/>
  <c r="AU138" i="3"/>
  <c r="AC138" i="1" s="1"/>
  <c r="O138" i="5" s="1"/>
  <c r="AU99" i="3"/>
  <c r="AC99" i="1" s="1"/>
  <c r="O99" i="5" s="1"/>
  <c r="AU59" i="3"/>
  <c r="AC59" i="1" s="1"/>
  <c r="O59" i="5" s="1"/>
  <c r="AU114" i="3"/>
  <c r="AC114" i="1" s="1"/>
  <c r="O114" i="5" s="1"/>
  <c r="AU133" i="3"/>
  <c r="AC133" i="1" s="1"/>
  <c r="O133" i="5" s="1"/>
  <c r="AU116" i="3"/>
  <c r="AU109" i="3"/>
  <c r="AC109" i="1" s="1"/>
  <c r="O109" i="5" s="1"/>
  <c r="AU101" i="3"/>
  <c r="AU56" i="3"/>
  <c r="AC56" i="1" s="1"/>
  <c r="O56" i="5" s="1"/>
  <c r="AU57" i="3"/>
  <c r="AC57" i="1" s="1"/>
  <c r="O57" i="5" s="1"/>
  <c r="AU58" i="3"/>
  <c r="AC58" i="1" s="1"/>
  <c r="O58" i="5" s="1"/>
  <c r="AU79" i="3"/>
  <c r="AU89" i="3"/>
  <c r="AC89" i="1" s="1"/>
  <c r="O89" i="5" s="1"/>
  <c r="AU100" i="3"/>
  <c r="AC100" i="1" s="1"/>
  <c r="O100" i="5" s="1"/>
  <c r="AU140" i="3"/>
  <c r="AC140" i="1" s="1"/>
  <c r="O140" i="5" s="1"/>
  <c r="R140" i="5" s="1"/>
  <c r="M2" i="5"/>
  <c r="AM80" i="3"/>
  <c r="AN80" i="3" s="1"/>
  <c r="I9" i="12"/>
  <c r="AG130" i="1" l="1"/>
  <c r="AH105" i="1"/>
  <c r="AK105" i="1" s="1"/>
  <c r="AH127" i="1"/>
  <c r="AK127" i="1" s="1"/>
  <c r="AD130" i="1"/>
  <c r="R130" i="5"/>
  <c r="Q130" i="5"/>
  <c r="AF130" i="1"/>
  <c r="AE130" i="1"/>
  <c r="AH104" i="1"/>
  <c r="AL104" i="1" s="1"/>
  <c r="R80" i="1"/>
  <c r="G80" i="5" s="1"/>
  <c r="AR104" i="3"/>
  <c r="AR103" i="3"/>
  <c r="AR127" i="3"/>
  <c r="BO127" i="3"/>
  <c r="BS127" i="3" s="1"/>
  <c r="BK127" i="3"/>
  <c r="AP104" i="1"/>
  <c r="BQ104" i="1" s="1"/>
  <c r="CB105" i="1"/>
  <c r="BD105" i="1"/>
  <c r="BS105" i="1"/>
  <c r="BE105" i="1"/>
  <c r="BN105" i="1" s="1" a="1"/>
  <c r="BN105" i="1" s="1"/>
  <c r="CB108" i="1"/>
  <c r="BS108" i="1"/>
  <c r="BD108" i="1"/>
  <c r="BE108" i="1"/>
  <c r="BN108" i="1" s="1" a="1"/>
  <c r="BN108" i="1" s="1"/>
  <c r="V108" i="1"/>
  <c r="G108" i="5"/>
  <c r="T108" i="1"/>
  <c r="U108" i="1"/>
  <c r="S108" i="1"/>
  <c r="BO107" i="3"/>
  <c r="BS107" i="3" s="1"/>
  <c r="BK107" i="3"/>
  <c r="BX107" i="1"/>
  <c r="BY107" i="1" s="1"/>
  <c r="BI107" i="1"/>
  <c r="AM107" i="1"/>
  <c r="BP80" i="3"/>
  <c r="D80" i="5" s="1"/>
  <c r="BH80" i="3"/>
  <c r="F80" i="5" s="1"/>
  <c r="E80" i="5"/>
  <c r="AP80" i="1"/>
  <c r="BQ80" i="1" s="1"/>
  <c r="G104" i="5"/>
  <c r="T104" i="1"/>
  <c r="V104" i="1"/>
  <c r="U104" i="1"/>
  <c r="S104" i="1"/>
  <c r="BS103" i="1"/>
  <c r="CB103" i="1"/>
  <c r="BD103" i="1"/>
  <c r="BE103" i="1"/>
  <c r="BN103" i="1" s="1" a="1"/>
  <c r="BN103" i="1" s="1"/>
  <c r="AI103" i="1"/>
  <c r="S103" i="5"/>
  <c r="AJ103" i="1"/>
  <c r="AL103" i="1"/>
  <c r="AK103" i="1"/>
  <c r="BH106" i="3"/>
  <c r="F106" i="5" s="1"/>
  <c r="E106" i="5"/>
  <c r="T127" i="1"/>
  <c r="G127" i="5"/>
  <c r="V127" i="1"/>
  <c r="S127" i="1"/>
  <c r="U127" i="1"/>
  <c r="S51" i="5"/>
  <c r="AI51" i="1"/>
  <c r="AL51" i="1"/>
  <c r="AK51" i="1"/>
  <c r="AJ51" i="1"/>
  <c r="S111" i="5"/>
  <c r="AK111" i="1"/>
  <c r="AJ111" i="1"/>
  <c r="AI111" i="1"/>
  <c r="AL111" i="1"/>
  <c r="BH108" i="3"/>
  <c r="F108" i="5" s="1"/>
  <c r="E108" i="5"/>
  <c r="BK106" i="3"/>
  <c r="BO106" i="3"/>
  <c r="BS106" i="3" s="1"/>
  <c r="BF80" i="3"/>
  <c r="AM127" i="1"/>
  <c r="BI127" i="1"/>
  <c r="BX127" i="1"/>
  <c r="BY127" i="1" s="1"/>
  <c r="AP127" i="1"/>
  <c r="BQ127" i="1" s="1"/>
  <c r="BI104" i="3"/>
  <c r="BL104" i="3"/>
  <c r="AR105" i="3"/>
  <c r="BO51" i="3"/>
  <c r="BS51" i="3"/>
  <c r="BO108" i="3"/>
  <c r="BS108" i="3" s="1"/>
  <c r="BK108" i="3"/>
  <c r="V107" i="1"/>
  <c r="G107" i="5"/>
  <c r="T107" i="1"/>
  <c r="U107" i="1"/>
  <c r="S107" i="1"/>
  <c r="BX103" i="1"/>
  <c r="BY103" i="1" s="1"/>
  <c r="BI103" i="1"/>
  <c r="AM103" i="1"/>
  <c r="BL103" i="3"/>
  <c r="BI103" i="3"/>
  <c r="AM106" i="1"/>
  <c r="BI106" i="1"/>
  <c r="BX80" i="1"/>
  <c r="BY80" i="1" s="1"/>
  <c r="BI80" i="1"/>
  <c r="AM80" i="1"/>
  <c r="E127" i="5"/>
  <c r="BH127" i="3"/>
  <c r="F127" i="5" s="1"/>
  <c r="BI127" i="3"/>
  <c r="BL127" i="3"/>
  <c r="BH105" i="3"/>
  <c r="F105" i="5" s="1"/>
  <c r="E105" i="5"/>
  <c r="AP107" i="1"/>
  <c r="BQ107" i="1" s="1"/>
  <c r="BH103" i="3"/>
  <c r="F103" i="5" s="1"/>
  <c r="E103" i="5"/>
  <c r="BS104" i="1"/>
  <c r="BD104" i="1"/>
  <c r="BE104" i="1"/>
  <c r="BN104" i="1" s="1" a="1"/>
  <c r="BN104" i="1" s="1"/>
  <c r="CB104" i="1"/>
  <c r="BK105" i="3"/>
  <c r="BO105" i="3"/>
  <c r="BS105" i="3" s="1"/>
  <c r="AM111" i="1"/>
  <c r="BI111" i="1"/>
  <c r="S106" i="5"/>
  <c r="AK106" i="1"/>
  <c r="AJ106" i="1"/>
  <c r="AI106" i="1"/>
  <c r="AL106" i="1"/>
  <c r="CB127" i="1"/>
  <c r="BS127" i="1"/>
  <c r="BE127" i="1"/>
  <c r="BN127" i="1" s="1" a="1"/>
  <c r="BN127" i="1" s="1"/>
  <c r="BD127" i="1"/>
  <c r="AM51" i="1"/>
  <c r="BI51" i="1"/>
  <c r="BD107" i="1"/>
  <c r="BS107" i="1"/>
  <c r="BE107" i="1"/>
  <c r="BN107" i="1" s="1" a="1"/>
  <c r="BN107" i="1" s="1"/>
  <c r="CB107" i="1"/>
  <c r="BI107" i="3"/>
  <c r="BL107" i="3"/>
  <c r="BO103" i="3"/>
  <c r="BS103" i="3" s="1"/>
  <c r="BK103" i="3"/>
  <c r="AP103" i="1"/>
  <c r="BQ103" i="1" s="1"/>
  <c r="AR106" i="3"/>
  <c r="S106" i="1"/>
  <c r="T106" i="1"/>
  <c r="G106" i="5"/>
  <c r="U106" i="1"/>
  <c r="V106" i="1"/>
  <c r="BS80" i="3"/>
  <c r="BO80" i="3"/>
  <c r="AP105" i="1"/>
  <c r="BQ105" i="1" s="1"/>
  <c r="AP108" i="1"/>
  <c r="BQ108" i="1" s="1"/>
  <c r="AL108" i="1"/>
  <c r="S108" i="5"/>
  <c r="AK108" i="1"/>
  <c r="AI108" i="1"/>
  <c r="AJ108" i="1"/>
  <c r="BX106" i="1"/>
  <c r="BY106" i="1" s="1"/>
  <c r="AP106" i="1"/>
  <c r="BQ106" i="1" s="1"/>
  <c r="AY80" i="3"/>
  <c r="BI80" i="3"/>
  <c r="BL80" i="3"/>
  <c r="BS106" i="1"/>
  <c r="BD106" i="1"/>
  <c r="CB106" i="1"/>
  <c r="BE106" i="1"/>
  <c r="BN106" i="1" s="1" a="1"/>
  <c r="BN106" i="1" s="1"/>
  <c r="U135" i="5"/>
  <c r="T135" i="5"/>
  <c r="V135" i="5"/>
  <c r="BD80" i="1"/>
  <c r="CB80" i="1"/>
  <c r="BS80" i="1"/>
  <c r="BU80" i="1"/>
  <c r="BE80" i="1"/>
  <c r="BN80" i="1" s="1" a="1"/>
  <c r="BN80" i="1" s="1"/>
  <c r="BH104" i="3"/>
  <c r="F104" i="5" s="1"/>
  <c r="E104" i="5"/>
  <c r="BI105" i="1"/>
  <c r="BX105" i="1"/>
  <c r="BY105" i="1" s="1"/>
  <c r="AM105" i="1"/>
  <c r="BX108" i="1"/>
  <c r="BY108" i="1" s="1"/>
  <c r="BI108" i="1"/>
  <c r="AM108" i="1"/>
  <c r="AL107" i="1"/>
  <c r="S107" i="5"/>
  <c r="AI107" i="1"/>
  <c r="AJ107" i="1"/>
  <c r="AK107" i="1"/>
  <c r="T103" i="1"/>
  <c r="G103" i="5"/>
  <c r="S103" i="1"/>
  <c r="U103" i="1"/>
  <c r="V103" i="1"/>
  <c r="BK104" i="3"/>
  <c r="BO104" i="3"/>
  <c r="BS104" i="3" s="1"/>
  <c r="V105" i="1"/>
  <c r="T105" i="1"/>
  <c r="U105" i="1"/>
  <c r="G105" i="5"/>
  <c r="S105" i="1"/>
  <c r="AR108" i="3"/>
  <c r="BL108" i="3"/>
  <c r="BI108" i="3"/>
  <c r="AR107" i="3"/>
  <c r="AL80" i="1"/>
  <c r="S80" i="5"/>
  <c r="AK80" i="1"/>
  <c r="AJ80" i="1"/>
  <c r="AI80" i="1"/>
  <c r="BX104" i="1"/>
  <c r="BY104" i="1" s="1"/>
  <c r="AM104" i="1"/>
  <c r="BI104" i="1"/>
  <c r="BI105" i="3"/>
  <c r="BL105" i="3"/>
  <c r="E107" i="5"/>
  <c r="BH107" i="3"/>
  <c r="F107" i="5" s="1"/>
  <c r="BL106" i="3"/>
  <c r="BI106" i="3"/>
  <c r="Q109" i="5"/>
  <c r="R109" i="5"/>
  <c r="P109" i="5"/>
  <c r="P114" i="5"/>
  <c r="R114" i="5"/>
  <c r="Q114" i="5"/>
  <c r="P57" i="5"/>
  <c r="Q57" i="5"/>
  <c r="R57" i="5"/>
  <c r="R59" i="5"/>
  <c r="Q59" i="5"/>
  <c r="P59" i="5"/>
  <c r="P123" i="5"/>
  <c r="R123" i="5"/>
  <c r="Q123" i="5"/>
  <c r="P100" i="5"/>
  <c r="Q100" i="5"/>
  <c r="R100" i="5"/>
  <c r="R89" i="5"/>
  <c r="Q89" i="5"/>
  <c r="P89" i="5"/>
  <c r="P138" i="5"/>
  <c r="Q138" i="5"/>
  <c r="R138" i="5"/>
  <c r="P60" i="5"/>
  <c r="Q60" i="5"/>
  <c r="R60" i="5"/>
  <c r="Q158" i="5"/>
  <c r="R158" i="5"/>
  <c r="P158" i="5"/>
  <c r="P58" i="5"/>
  <c r="Q58" i="5"/>
  <c r="R58" i="5"/>
  <c r="P134" i="5"/>
  <c r="R134" i="5"/>
  <c r="Q134" i="5"/>
  <c r="P55" i="5"/>
  <c r="Q55" i="5"/>
  <c r="R55" i="5"/>
  <c r="R56" i="5"/>
  <c r="P56" i="5"/>
  <c r="Q56" i="5"/>
  <c r="P133" i="5"/>
  <c r="Q133" i="5"/>
  <c r="R133" i="5"/>
  <c r="Q140" i="5"/>
  <c r="P140" i="5"/>
  <c r="Q99" i="5"/>
  <c r="R99" i="5"/>
  <c r="P99" i="5"/>
  <c r="P119" i="5"/>
  <c r="Q119" i="5"/>
  <c r="R119" i="5"/>
  <c r="R150" i="5"/>
  <c r="P150" i="5"/>
  <c r="Q150" i="5"/>
  <c r="AA80" i="5"/>
  <c r="Z80" i="5"/>
  <c r="AE114" i="1"/>
  <c r="AD114" i="1"/>
  <c r="AF114" i="1"/>
  <c r="AG114" i="1"/>
  <c r="AC51" i="1"/>
  <c r="O51" i="5" s="1"/>
  <c r="AF134" i="1"/>
  <c r="AG134" i="1"/>
  <c r="AD134" i="1"/>
  <c r="AE134" i="1"/>
  <c r="AE99" i="1"/>
  <c r="AF99" i="1"/>
  <c r="AG99" i="1"/>
  <c r="AD99" i="1"/>
  <c r="AC104" i="1"/>
  <c r="O104" i="5" s="1"/>
  <c r="AG55" i="1"/>
  <c r="AE55" i="1"/>
  <c r="AD55" i="1"/>
  <c r="AF55" i="1"/>
  <c r="AD133" i="1"/>
  <c r="AF133" i="1"/>
  <c r="AG133" i="1"/>
  <c r="AE133" i="1"/>
  <c r="AG140" i="1"/>
  <c r="AD140" i="1"/>
  <c r="AE140" i="1"/>
  <c r="AF140" i="1"/>
  <c r="AG100" i="1"/>
  <c r="AE100" i="1"/>
  <c r="AF100" i="1"/>
  <c r="AD100" i="1"/>
  <c r="AE89" i="1"/>
  <c r="AD89" i="1"/>
  <c r="AG89" i="1"/>
  <c r="AF89" i="1"/>
  <c r="AG138" i="1"/>
  <c r="AD138" i="1"/>
  <c r="AE138" i="1"/>
  <c r="AF138" i="1"/>
  <c r="AC80" i="1"/>
  <c r="O80" i="5" s="1"/>
  <c r="Q80" i="5" s="1"/>
  <c r="AG158" i="1"/>
  <c r="AE158" i="1"/>
  <c r="AD158" i="1"/>
  <c r="AF158" i="1"/>
  <c r="AF58" i="1"/>
  <c r="AD58" i="1"/>
  <c r="AG58" i="1"/>
  <c r="AE58" i="1"/>
  <c r="AF150" i="1"/>
  <c r="AD150" i="1"/>
  <c r="AG150" i="1"/>
  <c r="AE150" i="1"/>
  <c r="AC108" i="1"/>
  <c r="O108" i="5" s="1"/>
  <c r="AG59" i="1"/>
  <c r="AE59" i="1"/>
  <c r="AD59" i="1"/>
  <c r="AF59" i="1"/>
  <c r="AC103" i="1"/>
  <c r="O103" i="5" s="1"/>
  <c r="AF57" i="1"/>
  <c r="AD57" i="1"/>
  <c r="AE57" i="1"/>
  <c r="AG57" i="1"/>
  <c r="AC127" i="1"/>
  <c r="O127" i="5" s="1"/>
  <c r="AE60" i="1"/>
  <c r="AG60" i="1"/>
  <c r="AD60" i="1"/>
  <c r="AF60" i="1"/>
  <c r="Y80" i="1"/>
  <c r="X80" i="1"/>
  <c r="Z80" i="1"/>
  <c r="AA80" i="1"/>
  <c r="K80" i="5"/>
  <c r="L80" i="5" s="1"/>
  <c r="AC105" i="1"/>
  <c r="O105" i="5" s="1"/>
  <c r="AE56" i="1"/>
  <c r="AG56" i="1"/>
  <c r="AD56" i="1"/>
  <c r="AF56" i="1"/>
  <c r="AC106" i="1"/>
  <c r="O106" i="5" s="1"/>
  <c r="AG119" i="1"/>
  <c r="AD119" i="1"/>
  <c r="AE119" i="1"/>
  <c r="AF119" i="1"/>
  <c r="AC107" i="1"/>
  <c r="O107" i="5" s="1"/>
  <c r="AD109" i="1"/>
  <c r="AG109" i="1"/>
  <c r="AE109" i="1"/>
  <c r="AF109" i="1"/>
  <c r="AG123" i="1"/>
  <c r="AD123" i="1"/>
  <c r="AF123" i="1"/>
  <c r="AE123" i="1"/>
  <c r="V51" i="3"/>
  <c r="BK51" i="3" s="1"/>
  <c r="V80" i="3"/>
  <c r="BK80" i="3" s="1"/>
  <c r="U2" i="3"/>
  <c r="AV2" i="3" s="1"/>
  <c r="AI105" i="1" l="1"/>
  <c r="AJ104" i="1"/>
  <c r="S104" i="5"/>
  <c r="V104" i="5" s="1"/>
  <c r="AL105" i="1"/>
  <c r="AJ105" i="1"/>
  <c r="S105" i="5"/>
  <c r="T105" i="5" s="1"/>
  <c r="AL127" i="1"/>
  <c r="S127" i="5"/>
  <c r="V127" i="5" s="1"/>
  <c r="T80" i="1"/>
  <c r="AJ127" i="1"/>
  <c r="AI127" i="1"/>
  <c r="S80" i="1"/>
  <c r="V80" i="1"/>
  <c r="U80" i="1"/>
  <c r="AK104" i="1"/>
  <c r="AI104" i="1"/>
  <c r="BR80" i="3"/>
  <c r="BJ80" i="3"/>
  <c r="N80" i="5" s="1"/>
  <c r="T108" i="5"/>
  <c r="V108" i="5"/>
  <c r="U108" i="5"/>
  <c r="T80" i="5"/>
  <c r="U80" i="5"/>
  <c r="V80" i="5"/>
  <c r="I106" i="5"/>
  <c r="J106" i="5"/>
  <c r="H106" i="5"/>
  <c r="V51" i="5"/>
  <c r="T51" i="5"/>
  <c r="U51" i="5"/>
  <c r="T107" i="5"/>
  <c r="U107" i="5"/>
  <c r="V107" i="5"/>
  <c r="I107" i="5"/>
  <c r="H107" i="5"/>
  <c r="J107" i="5"/>
  <c r="T111" i="5"/>
  <c r="V111" i="5"/>
  <c r="U111" i="5"/>
  <c r="J103" i="5"/>
  <c r="H103" i="5"/>
  <c r="I103" i="5"/>
  <c r="T106" i="5"/>
  <c r="U106" i="5"/>
  <c r="V106" i="5"/>
  <c r="J104" i="5"/>
  <c r="H104" i="5"/>
  <c r="I104" i="5"/>
  <c r="H80" i="5"/>
  <c r="I80" i="5"/>
  <c r="J80" i="5"/>
  <c r="H127" i="5"/>
  <c r="I127" i="5"/>
  <c r="J127" i="5"/>
  <c r="R105" i="5"/>
  <c r="H105" i="5"/>
  <c r="J105" i="5"/>
  <c r="I105" i="5"/>
  <c r="T103" i="5"/>
  <c r="U103" i="5"/>
  <c r="V103" i="5"/>
  <c r="H108" i="5"/>
  <c r="I108" i="5"/>
  <c r="J108" i="5"/>
  <c r="Q51" i="5"/>
  <c r="R51" i="5"/>
  <c r="P51" i="5"/>
  <c r="R106" i="5"/>
  <c r="P106" i="5"/>
  <c r="Q106" i="5"/>
  <c r="P103" i="5"/>
  <c r="Q103" i="5"/>
  <c r="R103" i="5"/>
  <c r="Q127" i="5"/>
  <c r="R127" i="5"/>
  <c r="P127" i="5"/>
  <c r="P108" i="5"/>
  <c r="Q108" i="5"/>
  <c r="R108" i="5"/>
  <c r="P107" i="5"/>
  <c r="R107" i="5"/>
  <c r="Q107" i="5"/>
  <c r="P105" i="5"/>
  <c r="Q105" i="5"/>
  <c r="R80" i="5"/>
  <c r="P80" i="5"/>
  <c r="R104" i="5"/>
  <c r="P104" i="5"/>
  <c r="Q104" i="5"/>
  <c r="AF106" i="1"/>
  <c r="AE106" i="1"/>
  <c r="AD106" i="1"/>
  <c r="AG106" i="1"/>
  <c r="AE107" i="1"/>
  <c r="AF107" i="1"/>
  <c r="AG107" i="1"/>
  <c r="AD107" i="1"/>
  <c r="AD104" i="1"/>
  <c r="AE104" i="1"/>
  <c r="AG104" i="1"/>
  <c r="AF104" i="1"/>
  <c r="AE51" i="1"/>
  <c r="AF51" i="1"/>
  <c r="AD51" i="1"/>
  <c r="AG51" i="1"/>
  <c r="AD105" i="1"/>
  <c r="AE105" i="1"/>
  <c r="AG105" i="1"/>
  <c r="AF105" i="1"/>
  <c r="AF80" i="1"/>
  <c r="AD80" i="1"/>
  <c r="AE80" i="1"/>
  <c r="AG80" i="1"/>
  <c r="AD103" i="1"/>
  <c r="AF103" i="1"/>
  <c r="AG103" i="1"/>
  <c r="AE103" i="1"/>
  <c r="AF127" i="1"/>
  <c r="AD127" i="1"/>
  <c r="AG127" i="1"/>
  <c r="AE127" i="1"/>
  <c r="AG108" i="1"/>
  <c r="AE108" i="1"/>
  <c r="AD108" i="1"/>
  <c r="AF108" i="1"/>
  <c r="M80" i="5"/>
  <c r="AU51" i="3"/>
  <c r="AU80" i="3"/>
  <c r="AT80" i="3"/>
  <c r="G1" i="5"/>
  <c r="BR2" i="3"/>
  <c r="E160" i="3"/>
  <c r="T104" i="5" l="1"/>
  <c r="V105" i="5"/>
  <c r="U104" i="5"/>
  <c r="T127" i="5"/>
  <c r="U127" i="5"/>
  <c r="U105" i="5"/>
  <c r="AP160" i="3"/>
  <c r="BE160" i="3" s="1"/>
  <c r="BM160" i="1"/>
  <c r="BO160" i="1" s="1"/>
  <c r="BL160" i="1" s="1"/>
  <c r="CC160" i="1"/>
  <c r="AW160" i="1"/>
  <c r="BZ160" i="1"/>
  <c r="CA160" i="1"/>
  <c r="AY160" i="1"/>
  <c r="CD160" i="1"/>
  <c r="CE160" i="1"/>
  <c r="BA160" i="1"/>
  <c r="CF160" i="1"/>
  <c r="BG160" i="1"/>
  <c r="BJ160" i="1" s="1"/>
  <c r="CG160" i="1"/>
  <c r="R160" i="1"/>
  <c r="BH160" i="1"/>
  <c r="CH160" i="1"/>
  <c r="W160" i="5"/>
  <c r="BD160" i="3"/>
  <c r="BB160" i="1"/>
  <c r="AQ160" i="3"/>
  <c r="BG160" i="3" s="1"/>
  <c r="AO160" i="1"/>
  <c r="AB160" i="5" s="1"/>
  <c r="BC160" i="1"/>
  <c r="J160" i="1"/>
  <c r="AH160" i="1"/>
  <c r="AC160" i="5"/>
  <c r="BF160" i="1"/>
  <c r="Y160" i="5"/>
  <c r="X160" i="5"/>
  <c r="BM160" i="3" a="1"/>
  <c r="BM160" i="3" s="1"/>
  <c r="BQ160" i="3" s="1"/>
  <c r="BC160" i="3"/>
  <c r="BB160" i="3"/>
  <c r="AU160" i="3"/>
  <c r="AR160" i="3" l="1"/>
  <c r="BO160" i="3"/>
  <c r="BS160" i="3" s="1"/>
  <c r="E160" i="5"/>
  <c r="BH160" i="3"/>
  <c r="F160" i="5" s="1"/>
  <c r="AP160" i="1"/>
  <c r="BQ160" i="1" s="1"/>
  <c r="AY160" i="3"/>
  <c r="BK160" i="3" s="1"/>
  <c r="S160" i="5"/>
  <c r="AK160" i="1"/>
  <c r="AI160" i="1"/>
  <c r="AL160" i="1"/>
  <c r="AJ160" i="1"/>
  <c r="BI160" i="1"/>
  <c r="BX160" i="1"/>
  <c r="BY160" i="1" s="1"/>
  <c r="AM160" i="1"/>
  <c r="T160" i="1"/>
  <c r="S160" i="1"/>
  <c r="G160" i="5"/>
  <c r="U160" i="1"/>
  <c r="V160" i="1"/>
  <c r="CB160" i="1"/>
  <c r="BD160" i="1"/>
  <c r="BU160" i="1"/>
  <c r="BE160" i="1"/>
  <c r="BN160" i="1" s="1" a="1"/>
  <c r="BN160" i="1" s="1"/>
  <c r="BS160" i="1"/>
  <c r="BL160" i="3"/>
  <c r="BI160" i="3"/>
  <c r="AC160" i="1"/>
  <c r="O160" i="5" s="1"/>
  <c r="J1" i="5"/>
  <c r="T160" i="5" l="1"/>
  <c r="U160" i="5"/>
  <c r="V160" i="5"/>
  <c r="J160" i="5"/>
  <c r="H160" i="5"/>
  <c r="I160" i="5"/>
  <c r="Q160" i="5"/>
  <c r="R160" i="5"/>
  <c r="P160" i="5"/>
  <c r="AG160" i="1"/>
  <c r="AD160" i="1"/>
  <c r="AF160" i="1"/>
  <c r="AE160" i="1"/>
  <c r="E43" i="3"/>
  <c r="C2" i="5"/>
  <c r="AQ43" i="3" l="1"/>
  <c r="BG43" i="3" s="1"/>
  <c r="AH43" i="1"/>
  <c r="M43" i="1"/>
  <c r="BM43" i="1"/>
  <c r="BO43" i="1" s="1"/>
  <c r="BL43" i="1" s="1"/>
  <c r="CH43" i="1"/>
  <c r="N43" i="1"/>
  <c r="AW43" i="1"/>
  <c r="BZ43" i="1"/>
  <c r="CA43" i="1"/>
  <c r="BA43" i="1"/>
  <c r="CG43" i="1"/>
  <c r="BG43" i="1"/>
  <c r="BJ43" i="1" s="1"/>
  <c r="BH43" i="1"/>
  <c r="CE43" i="1"/>
  <c r="CC43" i="1"/>
  <c r="CD43" i="1"/>
  <c r="CF43" i="1"/>
  <c r="AC43" i="5"/>
  <c r="E33" i="3"/>
  <c r="I33" i="1" s="1"/>
  <c r="E126" i="3"/>
  <c r="I126" i="1" s="1"/>
  <c r="AP126" i="3" l="1"/>
  <c r="BE126" i="3" s="1"/>
  <c r="AW126" i="1"/>
  <c r="AY126" i="1"/>
  <c r="CA126" i="1"/>
  <c r="CC126" i="1"/>
  <c r="M126" i="1"/>
  <c r="BA126" i="1"/>
  <c r="CD126" i="1"/>
  <c r="N126" i="1"/>
  <c r="BG126" i="1"/>
  <c r="BJ126" i="1" s="1"/>
  <c r="CE126" i="1"/>
  <c r="BH126" i="1"/>
  <c r="CF126" i="1"/>
  <c r="R126" i="1"/>
  <c r="CG126" i="1"/>
  <c r="BM126" i="1"/>
  <c r="BO126" i="1" s="1"/>
  <c r="BL126" i="1" s="1"/>
  <c r="CH126" i="1"/>
  <c r="AC126" i="5"/>
  <c r="BZ126" i="1"/>
  <c r="AH126" i="1"/>
  <c r="W126" i="5"/>
  <c r="Y126" i="5"/>
  <c r="AQ126" i="3"/>
  <c r="BG126" i="3" s="1"/>
  <c r="BO126" i="3" s="1"/>
  <c r="BS126" i="3" s="1"/>
  <c r="BD126" i="3"/>
  <c r="X126" i="5"/>
  <c r="AO126" i="1"/>
  <c r="AB126" i="5" s="1"/>
  <c r="J126" i="1"/>
  <c r="BF126" i="1"/>
  <c r="AJ43" i="1"/>
  <c r="S43" i="5"/>
  <c r="AI43" i="1"/>
  <c r="AK43" i="1"/>
  <c r="AL43" i="1"/>
  <c r="AM43" i="1"/>
  <c r="BI43" i="1"/>
  <c r="BS43" i="3"/>
  <c r="BO43" i="3"/>
  <c r="AP33" i="3"/>
  <c r="BE33" i="3" s="1"/>
  <c r="AH33" i="1"/>
  <c r="CF33" i="1"/>
  <c r="M33" i="1"/>
  <c r="CA33" i="1"/>
  <c r="N33" i="1"/>
  <c r="BA33" i="1"/>
  <c r="CC33" i="1"/>
  <c r="R33" i="1"/>
  <c r="BH33" i="1"/>
  <c r="CE33" i="1"/>
  <c r="AW33" i="1"/>
  <c r="BZ33" i="1"/>
  <c r="AY33" i="1"/>
  <c r="CG33" i="1"/>
  <c r="BG33" i="1"/>
  <c r="BJ33" i="1" s="1"/>
  <c r="BM33" i="1"/>
  <c r="BO33" i="1" s="1"/>
  <c r="BL33" i="1" s="1"/>
  <c r="CD33" i="1"/>
  <c r="CH33" i="1"/>
  <c r="AQ33" i="3"/>
  <c r="BG33" i="3" s="1"/>
  <c r="BO33" i="3" s="1"/>
  <c r="BS33" i="3" s="1"/>
  <c r="BD33" i="3"/>
  <c r="BC33" i="1"/>
  <c r="BB33" i="1"/>
  <c r="Y33" i="5"/>
  <c r="BF33" i="1"/>
  <c r="W33" i="5"/>
  <c r="X33" i="5"/>
  <c r="AO33" i="1"/>
  <c r="AB33" i="5" s="1"/>
  <c r="J33" i="1"/>
  <c r="AC33" i="5"/>
  <c r="BC126" i="3"/>
  <c r="BB126" i="3"/>
  <c r="BM126" i="3" a="1"/>
  <c r="BM126" i="3" s="1"/>
  <c r="BQ126" i="3" s="1"/>
  <c r="BB33" i="3"/>
  <c r="BC33" i="3"/>
  <c r="BM33" i="3" a="1"/>
  <c r="BM33" i="3" s="1"/>
  <c r="BQ33" i="3" s="1"/>
  <c r="AC43" i="1"/>
  <c r="O43" i="5" s="1"/>
  <c r="AU126" i="3"/>
  <c r="V43" i="3"/>
  <c r="BK43" i="3" s="1"/>
  <c r="E82" i="3"/>
  <c r="I82" i="1" s="1"/>
  <c r="E121" i="3"/>
  <c r="I121" i="1" s="1"/>
  <c r="E61" i="3"/>
  <c r="I61" i="1" s="1"/>
  <c r="E35" i="3"/>
  <c r="I35" i="1" s="1"/>
  <c r="E41" i="3"/>
  <c r="I41" i="1" s="1"/>
  <c r="I46" i="17"/>
  <c r="H46" i="17"/>
  <c r="K33" i="17"/>
  <c r="I33" i="17"/>
  <c r="H33" i="17"/>
  <c r="H32" i="17"/>
  <c r="I32" i="17"/>
  <c r="K32" i="17"/>
  <c r="K10" i="17"/>
  <c r="I10" i="17"/>
  <c r="H10" i="17"/>
  <c r="BK2" i="1"/>
  <c r="AT4" i="3"/>
  <c r="AT5" i="3"/>
  <c r="AT8" i="3"/>
  <c r="AT10" i="3"/>
  <c r="AT12" i="3"/>
  <c r="AT17" i="3"/>
  <c r="AT18" i="3"/>
  <c r="AT20" i="3"/>
  <c r="AT21" i="3"/>
  <c r="AT22" i="3"/>
  <c r="AT23" i="3"/>
  <c r="AT24" i="3"/>
  <c r="AT27" i="3"/>
  <c r="AT29" i="3"/>
  <c r="AT32" i="3"/>
  <c r="AT33" i="3"/>
  <c r="AT34" i="3"/>
  <c r="AT35" i="3"/>
  <c r="AT36" i="3"/>
  <c r="AT37" i="3"/>
  <c r="AT38" i="3"/>
  <c r="AT40" i="3"/>
  <c r="AT41" i="3"/>
  <c r="AT42" i="3"/>
  <c r="AT44" i="3"/>
  <c r="AT45" i="3"/>
  <c r="AT47" i="3"/>
  <c r="AT48" i="3"/>
  <c r="AT49" i="3"/>
  <c r="AT50" i="3"/>
  <c r="AT53" i="3"/>
  <c r="AT54" i="3"/>
  <c r="AT55" i="3"/>
  <c r="AT56" i="3"/>
  <c r="AT57" i="3"/>
  <c r="AT58" i="3"/>
  <c r="AT59" i="3"/>
  <c r="AT60" i="3"/>
  <c r="AT61" i="3"/>
  <c r="AT62" i="3"/>
  <c r="AT64" i="3"/>
  <c r="AT65" i="3"/>
  <c r="AT66" i="3"/>
  <c r="AT67" i="3"/>
  <c r="AT68" i="3"/>
  <c r="AT69" i="3"/>
  <c r="AT72" i="3"/>
  <c r="AT73" i="3"/>
  <c r="AT76" i="3"/>
  <c r="AT77" i="3"/>
  <c r="AT81" i="3"/>
  <c r="AT82" i="3"/>
  <c r="AT83" i="3"/>
  <c r="AT84" i="3"/>
  <c r="AT85" i="3"/>
  <c r="AT87" i="3"/>
  <c r="AT88" i="3"/>
  <c r="AT89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4" i="3"/>
  <c r="AT116" i="3"/>
  <c r="AT117" i="3"/>
  <c r="AT118" i="3"/>
  <c r="AT119" i="3"/>
  <c r="AT121" i="3"/>
  <c r="AT122" i="3"/>
  <c r="AT123" i="3"/>
  <c r="AT125" i="3"/>
  <c r="AT126" i="3"/>
  <c r="AT127" i="3"/>
  <c r="AT128" i="3"/>
  <c r="AT129" i="3"/>
  <c r="AT131" i="3"/>
  <c r="AT133" i="3"/>
  <c r="AT134" i="3"/>
  <c r="AT138" i="3"/>
  <c r="AT140" i="3"/>
  <c r="AK118" i="3"/>
  <c r="E86" i="3"/>
  <c r="E87" i="3"/>
  <c r="I87" i="1" s="1"/>
  <c r="E88" i="3"/>
  <c r="I88" i="1" s="1"/>
  <c r="BW2" i="1"/>
  <c r="BT2" i="1"/>
  <c r="AS55" i="3"/>
  <c r="AZ2" i="1"/>
  <c r="BR2" i="1"/>
  <c r="E39" i="3"/>
  <c r="I44" i="17"/>
  <c r="H44" i="17"/>
  <c r="E95" i="3"/>
  <c r="I95" i="1" s="1"/>
  <c r="E78" i="3"/>
  <c r="E129" i="3"/>
  <c r="I129" i="1" s="1"/>
  <c r="I36" i="17"/>
  <c r="E10" i="3"/>
  <c r="I10" i="1" s="1"/>
  <c r="E9" i="3"/>
  <c r="E75" i="3"/>
  <c r="E72" i="3"/>
  <c r="I72" i="1" s="1"/>
  <c r="E71" i="3"/>
  <c r="E70" i="3"/>
  <c r="E69" i="3"/>
  <c r="I69" i="1" s="1"/>
  <c r="E67" i="3"/>
  <c r="I67" i="1" s="1"/>
  <c r="E68" i="3"/>
  <c r="I68" i="1" s="1"/>
  <c r="E83" i="3"/>
  <c r="I83" i="1" s="1"/>
  <c r="K31" i="17"/>
  <c r="I31" i="17"/>
  <c r="H31" i="17"/>
  <c r="E74" i="3"/>
  <c r="E84" i="3"/>
  <c r="I84" i="1" s="1"/>
  <c r="E85" i="3"/>
  <c r="I85" i="1" s="1"/>
  <c r="E132" i="3"/>
  <c r="K18" i="17"/>
  <c r="I18" i="17"/>
  <c r="H18" i="17"/>
  <c r="E29" i="3"/>
  <c r="I29" i="1" s="1"/>
  <c r="E66" i="3"/>
  <c r="I66" i="1" s="1"/>
  <c r="E112" i="3"/>
  <c r="E40" i="3"/>
  <c r="I40" i="1" s="1"/>
  <c r="E38" i="3"/>
  <c r="I38" i="1" s="1"/>
  <c r="E37" i="3"/>
  <c r="I37" i="1" s="1"/>
  <c r="E36" i="3"/>
  <c r="I36" i="1" s="1"/>
  <c r="E34" i="3"/>
  <c r="I34" i="1" s="1"/>
  <c r="E54" i="3"/>
  <c r="I54" i="1" s="1"/>
  <c r="E97" i="3"/>
  <c r="I97" i="1" s="1"/>
  <c r="E96" i="3"/>
  <c r="I96" i="1" s="1"/>
  <c r="E50" i="3"/>
  <c r="I50" i="1" s="1"/>
  <c r="E52" i="3"/>
  <c r="E53" i="3"/>
  <c r="I53" i="1" s="1"/>
  <c r="E49" i="3"/>
  <c r="I49" i="1" s="1"/>
  <c r="E46" i="3"/>
  <c r="E45" i="3"/>
  <c r="I45" i="1" s="1"/>
  <c r="E44" i="3"/>
  <c r="I44" i="1" s="1"/>
  <c r="E42" i="3"/>
  <c r="I42" i="1" s="1"/>
  <c r="I48" i="17"/>
  <c r="H48" i="17"/>
  <c r="E32" i="3"/>
  <c r="I32" i="1" s="1"/>
  <c r="E90" i="3"/>
  <c r="E124" i="3"/>
  <c r="E6" i="3"/>
  <c r="E31" i="3"/>
  <c r="E30" i="3"/>
  <c r="E28" i="3"/>
  <c r="E27" i="3"/>
  <c r="I27" i="1" s="1"/>
  <c r="E26" i="3"/>
  <c r="E25" i="3"/>
  <c r="E22" i="3"/>
  <c r="I22" i="1" s="1"/>
  <c r="E21" i="3"/>
  <c r="I21" i="1" s="1"/>
  <c r="E20" i="3"/>
  <c r="I20" i="1" s="1"/>
  <c r="E19" i="3"/>
  <c r="E18" i="3"/>
  <c r="I18" i="1" s="1"/>
  <c r="E17" i="3"/>
  <c r="I17" i="1" s="1"/>
  <c r="E16" i="3"/>
  <c r="E15" i="3"/>
  <c r="E14" i="3"/>
  <c r="E47" i="3"/>
  <c r="I47" i="1" s="1"/>
  <c r="E48" i="3"/>
  <c r="I48" i="1" s="1"/>
  <c r="E125" i="3"/>
  <c r="I125" i="1" s="1"/>
  <c r="E13" i="3"/>
  <c r="E12" i="3"/>
  <c r="I12" i="1" s="1"/>
  <c r="I41" i="17"/>
  <c r="H41" i="17"/>
  <c r="V128" i="3"/>
  <c r="BK128" i="3" s="1"/>
  <c r="V62" i="3"/>
  <c r="BK62" i="3" s="1"/>
  <c r="AP45" i="3" l="1"/>
  <c r="BE45" i="3" s="1"/>
  <c r="BF45" i="3" s="1"/>
  <c r="AQ45" i="3"/>
  <c r="BG45" i="3" s="1"/>
  <c r="CF45" i="1"/>
  <c r="CA45" i="1"/>
  <c r="CC45" i="1"/>
  <c r="M45" i="1"/>
  <c r="BG45" i="1"/>
  <c r="BJ45" i="1" s="1"/>
  <c r="CE45" i="1"/>
  <c r="CH45" i="1"/>
  <c r="BM45" i="1"/>
  <c r="BO45" i="1" s="1"/>
  <c r="BL45" i="1" s="1"/>
  <c r="BZ45" i="1"/>
  <c r="CD45" i="1"/>
  <c r="AW45" i="1"/>
  <c r="CG45" i="1"/>
  <c r="BA45" i="1"/>
  <c r="BH45" i="1"/>
  <c r="AH45" i="1"/>
  <c r="N45" i="1"/>
  <c r="Y45" i="5"/>
  <c r="W45" i="5"/>
  <c r="X45" i="5"/>
  <c r="AC45" i="5"/>
  <c r="BF45" i="1"/>
  <c r="AY45" i="3"/>
  <c r="BD45" i="3"/>
  <c r="AY45" i="1"/>
  <c r="AO45" i="1"/>
  <c r="AB45" i="5" s="1"/>
  <c r="J45" i="1"/>
  <c r="BB45" i="1"/>
  <c r="R45" i="1"/>
  <c r="BC45" i="1"/>
  <c r="T43" i="5"/>
  <c r="U43" i="5"/>
  <c r="V43" i="5"/>
  <c r="AP18" i="3"/>
  <c r="BE18" i="3" s="1"/>
  <c r="AY18" i="1"/>
  <c r="BZ18" i="1"/>
  <c r="M18" i="1"/>
  <c r="BA18" i="1"/>
  <c r="CC18" i="1"/>
  <c r="BM18" i="1"/>
  <c r="BO18" i="1" s="1"/>
  <c r="BL18" i="1" s="1"/>
  <c r="R18" i="1"/>
  <c r="CA18" i="1"/>
  <c r="AW18" i="1"/>
  <c r="CD18" i="1"/>
  <c r="CF18" i="1"/>
  <c r="CG18" i="1"/>
  <c r="CH18" i="1"/>
  <c r="BH18" i="1"/>
  <c r="BG18" i="1"/>
  <c r="BJ18" i="1" s="1"/>
  <c r="N18" i="1"/>
  <c r="CE18" i="1"/>
  <c r="X18" i="5"/>
  <c r="AC18" i="5"/>
  <c r="BD18" i="3"/>
  <c r="AQ18" i="3"/>
  <c r="AR18" i="3" s="1"/>
  <c r="AO18" i="1"/>
  <c r="AB18" i="5" s="1"/>
  <c r="BB18" i="1"/>
  <c r="J18" i="1"/>
  <c r="BC18" i="1"/>
  <c r="BF18" i="1"/>
  <c r="W18" i="5"/>
  <c r="Y18" i="5"/>
  <c r="N31" i="1"/>
  <c r="BH31" i="1"/>
  <c r="CD31" i="1"/>
  <c r="CE31" i="1"/>
  <c r="BM31" i="1"/>
  <c r="BO31" i="1" s="1"/>
  <c r="BL31" i="1" s="1"/>
  <c r="CG31" i="1"/>
  <c r="AY31" i="1"/>
  <c r="CC31" i="1"/>
  <c r="CF31" i="1"/>
  <c r="BG31" i="1"/>
  <c r="BJ31" i="1" s="1"/>
  <c r="BA31" i="1"/>
  <c r="M31" i="1"/>
  <c r="R31" i="1"/>
  <c r="BZ31" i="1"/>
  <c r="CA31" i="1"/>
  <c r="AW31" i="1"/>
  <c r="CH31" i="1"/>
  <c r="AC31" i="5"/>
  <c r="AQ46" i="3"/>
  <c r="BG46" i="3" s="1"/>
  <c r="M46" i="1"/>
  <c r="BH46" i="1"/>
  <c r="CF46" i="1"/>
  <c r="BZ46" i="1"/>
  <c r="CC46" i="1"/>
  <c r="BA46" i="1"/>
  <c r="CE46" i="1"/>
  <c r="BG46" i="1"/>
  <c r="BJ46" i="1" s="1"/>
  <c r="CG46" i="1"/>
  <c r="BM46" i="1"/>
  <c r="BO46" i="1" s="1"/>
  <c r="BL46" i="1" s="1"/>
  <c r="CA46" i="1"/>
  <c r="CD46" i="1"/>
  <c r="N46" i="1"/>
  <c r="CH46" i="1"/>
  <c r="AW46" i="1"/>
  <c r="AH46" i="1"/>
  <c r="AC46" i="5"/>
  <c r="AP40" i="3"/>
  <c r="BE40" i="3" s="1"/>
  <c r="BG40" i="1"/>
  <c r="BJ40" i="1" s="1"/>
  <c r="CF40" i="1"/>
  <c r="AW40" i="1"/>
  <c r="CA40" i="1"/>
  <c r="M40" i="1"/>
  <c r="CC40" i="1"/>
  <c r="CE40" i="1"/>
  <c r="AH40" i="1"/>
  <c r="BZ40" i="1"/>
  <c r="CG40" i="1"/>
  <c r="AY40" i="1"/>
  <c r="CH40" i="1"/>
  <c r="BA40" i="1"/>
  <c r="N40" i="1"/>
  <c r="BM40" i="1"/>
  <c r="CD40" i="1"/>
  <c r="BH40" i="1"/>
  <c r="R40" i="1"/>
  <c r="AC40" i="5"/>
  <c r="AQ40" i="3"/>
  <c r="AR40" i="3" s="1"/>
  <c r="BD40" i="3"/>
  <c r="BB40" i="1"/>
  <c r="BF40" i="1"/>
  <c r="AO40" i="1"/>
  <c r="AB40" i="5" s="1"/>
  <c r="BC40" i="1"/>
  <c r="W40" i="5"/>
  <c r="X40" i="5"/>
  <c r="Y40" i="5"/>
  <c r="J40" i="1"/>
  <c r="AQ88" i="3"/>
  <c r="BG88" i="3" s="1"/>
  <c r="AP88" i="3"/>
  <c r="BE88" i="3" s="1"/>
  <c r="N88" i="1"/>
  <c r="BA88" i="1"/>
  <c r="CE88" i="1"/>
  <c r="CF88" i="1"/>
  <c r="M88" i="1"/>
  <c r="BG88" i="1"/>
  <c r="BJ88" i="1" s="1"/>
  <c r="CG88" i="1"/>
  <c r="BH88" i="1"/>
  <c r="CH88" i="1"/>
  <c r="R88" i="1"/>
  <c r="BM88" i="1"/>
  <c r="BZ88" i="1"/>
  <c r="CC88" i="1"/>
  <c r="AY88" i="1"/>
  <c r="CD88" i="1"/>
  <c r="AH88" i="1"/>
  <c r="AW88" i="1"/>
  <c r="CA88" i="1"/>
  <c r="X88" i="5"/>
  <c r="Y88" i="5"/>
  <c r="AC88" i="5"/>
  <c r="BD88" i="3"/>
  <c r="BC88" i="1"/>
  <c r="BF88" i="1"/>
  <c r="BB88" i="1"/>
  <c r="AO88" i="1"/>
  <c r="AB88" i="5" s="1"/>
  <c r="J88" i="1"/>
  <c r="W88" i="5"/>
  <c r="BS33" i="1"/>
  <c r="BE33" i="1"/>
  <c r="BN33" i="1" s="1" a="1"/>
  <c r="BN33" i="1" s="1"/>
  <c r="CB33" i="1"/>
  <c r="BD33" i="1"/>
  <c r="AK33" i="1"/>
  <c r="S33" i="5"/>
  <c r="AI33" i="1"/>
  <c r="AL33" i="1"/>
  <c r="AJ33" i="1"/>
  <c r="M19" i="1"/>
  <c r="AY19" i="1"/>
  <c r="CA19" i="1"/>
  <c r="R19" i="1"/>
  <c r="BH19" i="1"/>
  <c r="CG19" i="1"/>
  <c r="CH19" i="1"/>
  <c r="N19" i="1"/>
  <c r="BM19" i="1"/>
  <c r="BO19" i="1" s="1"/>
  <c r="BL19" i="1" s="1"/>
  <c r="BZ19" i="1"/>
  <c r="BA19" i="1"/>
  <c r="BG19" i="1"/>
  <c r="BJ19" i="1" s="1"/>
  <c r="CF19" i="1"/>
  <c r="CD19" i="1"/>
  <c r="CE19" i="1"/>
  <c r="AW19" i="1"/>
  <c r="CC19" i="1"/>
  <c r="AC19" i="5"/>
  <c r="AP64" i="3"/>
  <c r="BE64" i="3" s="1"/>
  <c r="BG64" i="1"/>
  <c r="BJ64" i="1" s="1"/>
  <c r="CA64" i="1"/>
  <c r="AW64" i="1"/>
  <c r="BZ64" i="1"/>
  <c r="AH64" i="1"/>
  <c r="BM64" i="1"/>
  <c r="BO64" i="1" s="1"/>
  <c r="BL64" i="1" s="1"/>
  <c r="CG64" i="1"/>
  <c r="CC64" i="1"/>
  <c r="CD64" i="1"/>
  <c r="BH64" i="1"/>
  <c r="CF64" i="1"/>
  <c r="CH64" i="1"/>
  <c r="CE64" i="1"/>
  <c r="BA64" i="1"/>
  <c r="BD64" i="3"/>
  <c r="AQ64" i="3"/>
  <c r="BG64" i="3" s="1"/>
  <c r="J64" i="1"/>
  <c r="X64" i="5"/>
  <c r="BF64" i="1"/>
  <c r="AO64" i="1"/>
  <c r="AB64" i="5" s="1"/>
  <c r="AY64" i="1"/>
  <c r="Y64" i="5"/>
  <c r="AC64" i="5"/>
  <c r="W64" i="5"/>
  <c r="AP66" i="3"/>
  <c r="BE66" i="3" s="1"/>
  <c r="AH66" i="1"/>
  <c r="AY66" i="1"/>
  <c r="CA66" i="1"/>
  <c r="CG66" i="1"/>
  <c r="AW66" i="1"/>
  <c r="BZ66" i="1"/>
  <c r="CD66" i="1"/>
  <c r="BA66" i="1"/>
  <c r="CE66" i="1"/>
  <c r="BG66" i="1"/>
  <c r="BJ66" i="1" s="1"/>
  <c r="CF66" i="1"/>
  <c r="M66" i="1"/>
  <c r="N66" i="1"/>
  <c r="BM66" i="1"/>
  <c r="BO66" i="1" s="1"/>
  <c r="BL66" i="1" s="1"/>
  <c r="CC66" i="1"/>
  <c r="CH66" i="1"/>
  <c r="BH66" i="1"/>
  <c r="J66" i="1"/>
  <c r="AQ66" i="3"/>
  <c r="BG66" i="3" s="1"/>
  <c r="BD66" i="3"/>
  <c r="BF66" i="1"/>
  <c r="AO66" i="1"/>
  <c r="AB66" i="5" s="1"/>
  <c r="AC66" i="5"/>
  <c r="Y66" i="5"/>
  <c r="X66" i="5"/>
  <c r="W66" i="5"/>
  <c r="AQ83" i="3"/>
  <c r="BG83" i="3" s="1"/>
  <c r="BO83" i="3" s="1"/>
  <c r="BS83" i="3" s="1"/>
  <c r="AP83" i="3"/>
  <c r="BE83" i="3" s="1"/>
  <c r="BG83" i="1"/>
  <c r="BJ83" i="1" s="1"/>
  <c r="CE83" i="1"/>
  <c r="BH83" i="1"/>
  <c r="CG83" i="1"/>
  <c r="N83" i="1"/>
  <c r="BA83" i="1"/>
  <c r="CH83" i="1"/>
  <c r="R83" i="1"/>
  <c r="BM83" i="1"/>
  <c r="BO83" i="1" s="1"/>
  <c r="BL83" i="1" s="1"/>
  <c r="BZ83" i="1"/>
  <c r="AW83" i="1"/>
  <c r="CA83" i="1"/>
  <c r="AY83" i="1"/>
  <c r="CD83" i="1"/>
  <c r="M83" i="1"/>
  <c r="CF83" i="1"/>
  <c r="CC83" i="1"/>
  <c r="Y83" i="5"/>
  <c r="X83" i="5"/>
  <c r="BD83" i="3"/>
  <c r="AO83" i="1"/>
  <c r="AB83" i="5" s="1"/>
  <c r="J83" i="1"/>
  <c r="BF83" i="1"/>
  <c r="W83" i="5"/>
  <c r="AC83" i="5"/>
  <c r="N78" i="1"/>
  <c r="BG78" i="1"/>
  <c r="BJ78" i="1" s="1"/>
  <c r="CE78" i="1"/>
  <c r="BH78" i="1"/>
  <c r="CF78" i="1"/>
  <c r="R78" i="1"/>
  <c r="CG78" i="1"/>
  <c r="AH78" i="1"/>
  <c r="CC78" i="1"/>
  <c r="BZ78" i="1"/>
  <c r="CA78" i="1"/>
  <c r="CH78" i="1"/>
  <c r="BA78" i="1"/>
  <c r="BM78" i="1"/>
  <c r="BO78" i="1" s="1"/>
  <c r="BL78" i="1" s="1"/>
  <c r="M78" i="1"/>
  <c r="CD78" i="1"/>
  <c r="AW78" i="1"/>
  <c r="AC78" i="5"/>
  <c r="BM86" i="1"/>
  <c r="CH86" i="1"/>
  <c r="M86" i="1"/>
  <c r="AY86" i="1"/>
  <c r="CD86" i="1"/>
  <c r="N86" i="1"/>
  <c r="CE86" i="1"/>
  <c r="BA86" i="1"/>
  <c r="CF86" i="1"/>
  <c r="R86" i="1"/>
  <c r="BG86" i="1"/>
  <c r="BJ86" i="1" s="1"/>
  <c r="CG86" i="1"/>
  <c r="BH86" i="1"/>
  <c r="AH86" i="1"/>
  <c r="AW86" i="1"/>
  <c r="CA86" i="1"/>
  <c r="CC86" i="1"/>
  <c r="BZ86" i="1"/>
  <c r="AC86" i="5"/>
  <c r="AP35" i="3"/>
  <c r="BE35" i="3" s="1"/>
  <c r="CC35" i="1"/>
  <c r="N35" i="1"/>
  <c r="AY35" i="1"/>
  <c r="CA35" i="1"/>
  <c r="CD35" i="1"/>
  <c r="BG35" i="1"/>
  <c r="BJ35" i="1" s="1"/>
  <c r="CF35" i="1"/>
  <c r="BM35" i="1"/>
  <c r="BO35" i="1" s="1"/>
  <c r="BL35" i="1" s="1"/>
  <c r="AH35" i="1"/>
  <c r="BZ35" i="1"/>
  <c r="AW35" i="1"/>
  <c r="CE35" i="1"/>
  <c r="BH35" i="1"/>
  <c r="M35" i="1"/>
  <c r="R35" i="1"/>
  <c r="CG35" i="1"/>
  <c r="CH35" i="1"/>
  <c r="BA35" i="1"/>
  <c r="Y35" i="5"/>
  <c r="W35" i="5"/>
  <c r="AQ35" i="3"/>
  <c r="BG35" i="3" s="1"/>
  <c r="BO35" i="3" s="1"/>
  <c r="BS35" i="3" s="1"/>
  <c r="J35" i="1"/>
  <c r="BD35" i="3"/>
  <c r="BF35" i="1"/>
  <c r="AO35" i="1"/>
  <c r="AB35" i="5" s="1"/>
  <c r="X35" i="5"/>
  <c r="AC35" i="5"/>
  <c r="AR33" i="3"/>
  <c r="BL33" i="3"/>
  <c r="BI33" i="3"/>
  <c r="S126" i="5"/>
  <c r="AI126" i="1"/>
  <c r="AL126" i="1"/>
  <c r="AJ126" i="1"/>
  <c r="AK126" i="1"/>
  <c r="AP17" i="3"/>
  <c r="BE17" i="3" s="1"/>
  <c r="CH17" i="1"/>
  <c r="AW17" i="1"/>
  <c r="AY17" i="1"/>
  <c r="BZ17" i="1"/>
  <c r="BA17" i="1"/>
  <c r="CC17" i="1"/>
  <c r="M17" i="1"/>
  <c r="BG17" i="1"/>
  <c r="BJ17" i="1" s="1"/>
  <c r="CD17" i="1"/>
  <c r="R17" i="1"/>
  <c r="CE17" i="1"/>
  <c r="CF17" i="1"/>
  <c r="BM17" i="1"/>
  <c r="BO17" i="1" s="1"/>
  <c r="BL17" i="1" s="1"/>
  <c r="N17" i="1"/>
  <c r="CG17" i="1"/>
  <c r="BH17" i="1"/>
  <c r="CA17" i="1"/>
  <c r="Y17" i="5"/>
  <c r="AC17" i="5"/>
  <c r="X17" i="5"/>
  <c r="AQ17" i="3"/>
  <c r="BG17" i="3" s="1"/>
  <c r="BD17" i="3"/>
  <c r="BF17" i="1"/>
  <c r="W17" i="5"/>
  <c r="BC17" i="1"/>
  <c r="BB17" i="1"/>
  <c r="J17" i="1"/>
  <c r="AO17" i="1"/>
  <c r="AB17" i="5" s="1"/>
  <c r="AP38" i="3"/>
  <c r="BE38" i="3" s="1"/>
  <c r="M38" i="1"/>
  <c r="AY38" i="1"/>
  <c r="BZ38" i="1"/>
  <c r="R38" i="1"/>
  <c r="BH38" i="1"/>
  <c r="CF38" i="1"/>
  <c r="CG38" i="1"/>
  <c r="AH38" i="1"/>
  <c r="BA38" i="1"/>
  <c r="CE38" i="1"/>
  <c r="BG38" i="1"/>
  <c r="BJ38" i="1" s="1"/>
  <c r="CH38" i="1"/>
  <c r="BM38" i="1"/>
  <c r="BO38" i="1" s="1"/>
  <c r="BL38" i="1" s="1"/>
  <c r="N38" i="1"/>
  <c r="AW38" i="1"/>
  <c r="CA38" i="1"/>
  <c r="CC38" i="1"/>
  <c r="CD38" i="1"/>
  <c r="X38" i="5"/>
  <c r="Y38" i="5"/>
  <c r="AC38" i="5"/>
  <c r="W38" i="5"/>
  <c r="AO38" i="1"/>
  <c r="AB38" i="5" s="1"/>
  <c r="BD38" i="3"/>
  <c r="AQ38" i="3"/>
  <c r="BG38" i="3" s="1"/>
  <c r="BF38" i="1"/>
  <c r="J38" i="1"/>
  <c r="AP20" i="3"/>
  <c r="BE20" i="3" s="1"/>
  <c r="R20" i="1"/>
  <c r="BH20" i="1"/>
  <c r="CF20" i="1"/>
  <c r="AW20" i="1"/>
  <c r="BZ20" i="1"/>
  <c r="CA20" i="1"/>
  <c r="CD20" i="1"/>
  <c r="M20" i="1"/>
  <c r="BG20" i="1"/>
  <c r="BJ20" i="1" s="1"/>
  <c r="N20" i="1"/>
  <c r="CC20" i="1"/>
  <c r="CG20" i="1"/>
  <c r="AY20" i="1"/>
  <c r="CH20" i="1"/>
  <c r="BM20" i="1"/>
  <c r="BO20" i="1" s="1"/>
  <c r="BL20" i="1" s="1"/>
  <c r="CE20" i="1"/>
  <c r="BA20" i="1"/>
  <c r="W20" i="5"/>
  <c r="AQ20" i="3"/>
  <c r="BG20" i="3" s="1"/>
  <c r="BO20" i="3" s="1"/>
  <c r="BS20" i="3" s="1"/>
  <c r="BD20" i="3"/>
  <c r="J20" i="1"/>
  <c r="AO20" i="1"/>
  <c r="AB20" i="5" s="1"/>
  <c r="BF20" i="1"/>
  <c r="Y20" i="5"/>
  <c r="X20" i="5"/>
  <c r="AC20" i="5"/>
  <c r="AP53" i="3"/>
  <c r="BE53" i="3" s="1"/>
  <c r="AQ53" i="3"/>
  <c r="BG53" i="3" s="1"/>
  <c r="CD53" i="1"/>
  <c r="BZ53" i="1"/>
  <c r="M53" i="1"/>
  <c r="BA53" i="1"/>
  <c r="CA53" i="1"/>
  <c r="N53" i="1"/>
  <c r="BH53" i="1"/>
  <c r="CG53" i="1"/>
  <c r="CH53" i="1"/>
  <c r="CE53" i="1"/>
  <c r="AW53" i="1"/>
  <c r="CF53" i="1"/>
  <c r="BG53" i="1"/>
  <c r="BJ53" i="1" s="1"/>
  <c r="CC53" i="1"/>
  <c r="BM53" i="1"/>
  <c r="BO53" i="1" s="1"/>
  <c r="BL53" i="1" s="1"/>
  <c r="AH53" i="1"/>
  <c r="AC53" i="5"/>
  <c r="W53" i="5"/>
  <c r="J53" i="1"/>
  <c r="AO53" i="1"/>
  <c r="AB53" i="5" s="1"/>
  <c r="X53" i="5"/>
  <c r="AY53" i="1"/>
  <c r="BD53" i="3"/>
  <c r="Y53" i="5"/>
  <c r="BB53" i="1"/>
  <c r="BC53" i="1"/>
  <c r="BF53" i="1"/>
  <c r="AP12" i="3"/>
  <c r="BE12" i="3" s="1"/>
  <c r="BH12" i="1"/>
  <c r="CF12" i="1"/>
  <c r="BM12" i="1"/>
  <c r="BO12" i="1" s="1"/>
  <c r="BL12" i="1" s="1"/>
  <c r="AH12" i="1"/>
  <c r="BZ12" i="1"/>
  <c r="AW12" i="1"/>
  <c r="CC12" i="1"/>
  <c r="CD12" i="1"/>
  <c r="CA12" i="1"/>
  <c r="CE12" i="1"/>
  <c r="CH12" i="1"/>
  <c r="M12" i="1"/>
  <c r="N12" i="1"/>
  <c r="BA12" i="1"/>
  <c r="BG12" i="1"/>
  <c r="BJ12" i="1" s="1"/>
  <c r="CG12" i="1"/>
  <c r="BD12" i="3"/>
  <c r="AO12" i="1"/>
  <c r="AB12" i="5" s="1"/>
  <c r="AQ12" i="3"/>
  <c r="BG12" i="3" s="1"/>
  <c r="BO12" i="3" s="1"/>
  <c r="BS12" i="3" s="1"/>
  <c r="BB12" i="1"/>
  <c r="J12" i="1"/>
  <c r="AY12" i="1"/>
  <c r="X12" i="5"/>
  <c r="W12" i="5"/>
  <c r="BF12" i="1"/>
  <c r="AC12" i="5"/>
  <c r="BC12" i="1"/>
  <c r="Y12" i="5"/>
  <c r="AP21" i="3"/>
  <c r="BE21" i="3" s="1"/>
  <c r="CG21" i="1"/>
  <c r="BM21" i="1"/>
  <c r="BO21" i="1" s="1"/>
  <c r="BL21" i="1" s="1"/>
  <c r="CH21" i="1"/>
  <c r="CD21" i="1"/>
  <c r="M21" i="1"/>
  <c r="BA21" i="1"/>
  <c r="CE21" i="1"/>
  <c r="BH21" i="1"/>
  <c r="AH21" i="1"/>
  <c r="BZ21" i="1"/>
  <c r="CA21" i="1"/>
  <c r="CC21" i="1"/>
  <c r="AW21" i="1"/>
  <c r="CF21" i="1"/>
  <c r="BG21" i="1"/>
  <c r="BJ21" i="1" s="1"/>
  <c r="N21" i="1"/>
  <c r="W21" i="5"/>
  <c r="AC21" i="5"/>
  <c r="AQ21" i="3"/>
  <c r="BG21" i="3" s="1"/>
  <c r="BO21" i="3" s="1"/>
  <c r="BS21" i="3" s="1"/>
  <c r="AY21" i="1"/>
  <c r="BD21" i="3"/>
  <c r="AO21" i="1"/>
  <c r="AB21" i="5" s="1"/>
  <c r="J21" i="1"/>
  <c r="Y21" i="5"/>
  <c r="BC21" i="1"/>
  <c r="BB21" i="1"/>
  <c r="X21" i="5"/>
  <c r="BF21" i="1"/>
  <c r="M6" i="1"/>
  <c r="CA6" i="1"/>
  <c r="BH6" i="1"/>
  <c r="CF6" i="1"/>
  <c r="CG6" i="1"/>
  <c r="BM6" i="1"/>
  <c r="BO6" i="1" s="1"/>
  <c r="BL6" i="1" s="1"/>
  <c r="CE6" i="1"/>
  <c r="CH6" i="1"/>
  <c r="N6" i="1"/>
  <c r="BG6" i="1"/>
  <c r="BJ6" i="1" s="1"/>
  <c r="AW6" i="1"/>
  <c r="BA6" i="1"/>
  <c r="CC6" i="1"/>
  <c r="CD6" i="1"/>
  <c r="AH6" i="1"/>
  <c r="BZ6" i="1"/>
  <c r="AC6" i="5"/>
  <c r="AQ52" i="3"/>
  <c r="BG52" i="3" s="1"/>
  <c r="CA52" i="1"/>
  <c r="AH52" i="1"/>
  <c r="CC52" i="1"/>
  <c r="BA52" i="1"/>
  <c r="CD52" i="1"/>
  <c r="N52" i="1"/>
  <c r="CH52" i="1"/>
  <c r="AW52" i="1"/>
  <c r="BZ52" i="1"/>
  <c r="CE52" i="1"/>
  <c r="CF52" i="1"/>
  <c r="BH52" i="1"/>
  <c r="M52" i="1"/>
  <c r="BM52" i="1"/>
  <c r="BO52" i="1" s="1"/>
  <c r="BL52" i="1" s="1"/>
  <c r="CG52" i="1"/>
  <c r="BG52" i="1"/>
  <c r="BJ52" i="1" s="1"/>
  <c r="AC52" i="5"/>
  <c r="AP29" i="3"/>
  <c r="BE29" i="3" s="1"/>
  <c r="AH29" i="1"/>
  <c r="CG29" i="1"/>
  <c r="R29" i="1"/>
  <c r="CH29" i="1"/>
  <c r="BM29" i="1"/>
  <c r="BO29" i="1" s="1"/>
  <c r="BL29" i="1" s="1"/>
  <c r="M29" i="1"/>
  <c r="N29" i="1"/>
  <c r="AW29" i="1"/>
  <c r="BZ29" i="1"/>
  <c r="CA29" i="1"/>
  <c r="CC29" i="1"/>
  <c r="CE29" i="1"/>
  <c r="BA29" i="1"/>
  <c r="CF29" i="1"/>
  <c r="CD29" i="1"/>
  <c r="BG29" i="1"/>
  <c r="BJ29" i="1" s="1"/>
  <c r="BH29" i="1"/>
  <c r="BD29" i="3"/>
  <c r="AQ29" i="3"/>
  <c r="BG29" i="3" s="1"/>
  <c r="AO29" i="1"/>
  <c r="AB29" i="5" s="1"/>
  <c r="X29" i="5"/>
  <c r="BB29" i="1"/>
  <c r="AC29" i="5"/>
  <c r="J29" i="1"/>
  <c r="BF29" i="1"/>
  <c r="BC29" i="1"/>
  <c r="W29" i="5"/>
  <c r="Y29" i="5"/>
  <c r="BN29" i="3"/>
  <c r="AP68" i="3"/>
  <c r="BE68" i="3" s="1"/>
  <c r="CG68" i="1"/>
  <c r="BM68" i="1"/>
  <c r="BO68" i="1" s="1"/>
  <c r="BL68" i="1" s="1"/>
  <c r="AH68" i="1"/>
  <c r="AW68" i="1"/>
  <c r="BZ68" i="1"/>
  <c r="R68" i="1"/>
  <c r="BH68" i="1"/>
  <c r="CF68" i="1"/>
  <c r="CC68" i="1"/>
  <c r="CD68" i="1"/>
  <c r="CE68" i="1"/>
  <c r="CH68" i="1"/>
  <c r="BA68" i="1"/>
  <c r="M68" i="1"/>
  <c r="N68" i="1"/>
  <c r="CA68" i="1"/>
  <c r="Y68" i="5"/>
  <c r="BG68" i="1"/>
  <c r="BJ68" i="1" s="1"/>
  <c r="AQ68" i="3"/>
  <c r="BG68" i="3" s="1"/>
  <c r="BO68" i="3" s="1"/>
  <c r="BS68" i="3" s="1"/>
  <c r="BD68" i="3"/>
  <c r="AY68" i="1"/>
  <c r="BF68" i="1"/>
  <c r="J68" i="1"/>
  <c r="AO68" i="1"/>
  <c r="AB68" i="5" s="1"/>
  <c r="W68" i="5"/>
  <c r="X68" i="5"/>
  <c r="AC68" i="5"/>
  <c r="AP95" i="3"/>
  <c r="BE95" i="3" s="1"/>
  <c r="R95" i="1"/>
  <c r="BG95" i="1"/>
  <c r="BJ95" i="1" s="1"/>
  <c r="CE95" i="1"/>
  <c r="AW95" i="1"/>
  <c r="BZ95" i="1"/>
  <c r="CA95" i="1"/>
  <c r="AY95" i="1"/>
  <c r="CC95" i="1"/>
  <c r="N95" i="1"/>
  <c r="BA95" i="1"/>
  <c r="CF95" i="1"/>
  <c r="BH95" i="1"/>
  <c r="CG95" i="1"/>
  <c r="CH95" i="1"/>
  <c r="AH95" i="1"/>
  <c r="BM95" i="1"/>
  <c r="BO95" i="1" s="1"/>
  <c r="BL95" i="1" s="1"/>
  <c r="M95" i="1"/>
  <c r="X95" i="5"/>
  <c r="W95" i="5"/>
  <c r="CD95" i="1"/>
  <c r="BD95" i="3"/>
  <c r="Y95" i="5"/>
  <c r="AQ95" i="3"/>
  <c r="BG95" i="3" s="1"/>
  <c r="BB95" i="1"/>
  <c r="BF95" i="1"/>
  <c r="AO95" i="1"/>
  <c r="AB95" i="5" s="1"/>
  <c r="BC95" i="1"/>
  <c r="AC95" i="5"/>
  <c r="J95" i="1"/>
  <c r="AP61" i="3"/>
  <c r="BE61" i="3" s="1"/>
  <c r="BH61" i="1"/>
  <c r="CE61" i="1"/>
  <c r="BM61" i="1"/>
  <c r="BO61" i="1" s="1"/>
  <c r="BL61" i="1" s="1"/>
  <c r="CH61" i="1"/>
  <c r="BA61" i="1"/>
  <c r="CF61" i="1"/>
  <c r="R61" i="1"/>
  <c r="BG61" i="1"/>
  <c r="BJ61" i="1" s="1"/>
  <c r="CG61" i="1"/>
  <c r="M61" i="1"/>
  <c r="AY61" i="1"/>
  <c r="CC61" i="1"/>
  <c r="N61" i="1"/>
  <c r="AH61" i="1"/>
  <c r="BZ61" i="1"/>
  <c r="CA61" i="1"/>
  <c r="AW61" i="1"/>
  <c r="CD61" i="1"/>
  <c r="X61" i="5"/>
  <c r="Y61" i="5"/>
  <c r="AC61" i="5"/>
  <c r="W61" i="5"/>
  <c r="J61" i="1"/>
  <c r="AQ61" i="3"/>
  <c r="BG61" i="3" s="1"/>
  <c r="BO61" i="3" s="1"/>
  <c r="BS61" i="3" s="1"/>
  <c r="BD61" i="3"/>
  <c r="AO61" i="1"/>
  <c r="AB61" i="5" s="1"/>
  <c r="BF61" i="1"/>
  <c r="AY33" i="3"/>
  <c r="CF16" i="1"/>
  <c r="BA16" i="1"/>
  <c r="CD16" i="1"/>
  <c r="R16" i="1"/>
  <c r="BG16" i="1"/>
  <c r="BJ16" i="1" s="1"/>
  <c r="CE16" i="1"/>
  <c r="CH16" i="1"/>
  <c r="BZ16" i="1"/>
  <c r="AW16" i="1"/>
  <c r="CA16" i="1"/>
  <c r="AY16" i="1"/>
  <c r="CG16" i="1"/>
  <c r="N16" i="1"/>
  <c r="BH16" i="1"/>
  <c r="M16" i="1"/>
  <c r="AH16" i="1"/>
  <c r="CC16" i="1"/>
  <c r="BM16" i="1"/>
  <c r="BO16" i="1" s="1"/>
  <c r="BL16" i="1" s="1"/>
  <c r="AC16" i="5"/>
  <c r="AP10" i="3"/>
  <c r="BE10" i="3" s="1"/>
  <c r="AH10" i="1"/>
  <c r="CG10" i="1"/>
  <c r="CF10" i="1"/>
  <c r="CH10" i="1"/>
  <c r="AW10" i="1"/>
  <c r="BZ10" i="1"/>
  <c r="CC10" i="1"/>
  <c r="N10" i="1"/>
  <c r="BG10" i="1"/>
  <c r="BJ10" i="1" s="1"/>
  <c r="CE10" i="1"/>
  <c r="BH10" i="1"/>
  <c r="CA10" i="1"/>
  <c r="CD10" i="1"/>
  <c r="BA10" i="1"/>
  <c r="M10" i="1"/>
  <c r="R10" i="1"/>
  <c r="Y10" i="5"/>
  <c r="X10" i="5"/>
  <c r="BM10" i="1"/>
  <c r="BO10" i="1" s="1"/>
  <c r="BL10" i="1" s="1"/>
  <c r="W10" i="5"/>
  <c r="BD10" i="3"/>
  <c r="AQ10" i="3"/>
  <c r="BG10" i="3" s="1"/>
  <c r="J10" i="1"/>
  <c r="BF10" i="1"/>
  <c r="AY10" i="1"/>
  <c r="AO10" i="1"/>
  <c r="AB10" i="5" s="1"/>
  <c r="AC10" i="5"/>
  <c r="M63" i="1"/>
  <c r="CE63" i="1"/>
  <c r="AH63" i="1"/>
  <c r="CF63" i="1"/>
  <c r="CG63" i="1"/>
  <c r="AW63" i="1"/>
  <c r="BG63" i="1"/>
  <c r="BJ63" i="1" s="1"/>
  <c r="CC63" i="1"/>
  <c r="BA63" i="1"/>
  <c r="BH63" i="1"/>
  <c r="N63" i="1"/>
  <c r="BM63" i="1"/>
  <c r="BO63" i="1" s="1"/>
  <c r="BL63" i="1" s="1"/>
  <c r="BZ63" i="1"/>
  <c r="CD63" i="1"/>
  <c r="CH63" i="1"/>
  <c r="CA63" i="1"/>
  <c r="AC63" i="5"/>
  <c r="AP49" i="3"/>
  <c r="BE49" i="3" s="1"/>
  <c r="BF49" i="3" s="1"/>
  <c r="AQ49" i="3"/>
  <c r="BG49" i="3" s="1"/>
  <c r="BZ49" i="1"/>
  <c r="J49" i="1"/>
  <c r="BA49" i="1"/>
  <c r="CC49" i="1"/>
  <c r="AH49" i="1"/>
  <c r="CE49" i="1"/>
  <c r="BC49" i="1"/>
  <c r="CF49" i="1"/>
  <c r="BM49" i="1"/>
  <c r="BO49" i="1" s="1"/>
  <c r="BL49" i="1" s="1"/>
  <c r="BG49" i="1"/>
  <c r="BJ49" i="1" s="1"/>
  <c r="BH49" i="1"/>
  <c r="M49" i="1"/>
  <c r="CA49" i="1"/>
  <c r="AW49" i="1"/>
  <c r="CG49" i="1"/>
  <c r="CH49" i="1"/>
  <c r="W49" i="5"/>
  <c r="N49" i="1"/>
  <c r="X49" i="5"/>
  <c r="Y49" i="5"/>
  <c r="CD49" i="1"/>
  <c r="AC49" i="5"/>
  <c r="BD49" i="3"/>
  <c r="AO49" i="1"/>
  <c r="AB49" i="5" s="1"/>
  <c r="BF49" i="1"/>
  <c r="AY49" i="1"/>
  <c r="BB49" i="1"/>
  <c r="AQ112" i="3"/>
  <c r="BG112" i="3" s="1"/>
  <c r="AH112" i="1"/>
  <c r="BM112" i="1"/>
  <c r="BO112" i="1" s="1"/>
  <c r="BL112" i="1" s="1"/>
  <c r="CH112" i="1"/>
  <c r="AW112" i="1"/>
  <c r="CA112" i="1"/>
  <c r="BA112" i="1"/>
  <c r="CC112" i="1"/>
  <c r="M112" i="1"/>
  <c r="BG112" i="1"/>
  <c r="BJ112" i="1" s="1"/>
  <c r="CD112" i="1"/>
  <c r="CF112" i="1"/>
  <c r="CG112" i="1"/>
  <c r="BH112" i="1"/>
  <c r="BZ112" i="1"/>
  <c r="N112" i="1"/>
  <c r="CE112" i="1"/>
  <c r="AC112" i="5"/>
  <c r="AP129" i="3"/>
  <c r="BE129" i="3" s="1"/>
  <c r="R129" i="1"/>
  <c r="BH129" i="1"/>
  <c r="CE129" i="1"/>
  <c r="CF129" i="1"/>
  <c r="CG129" i="1"/>
  <c r="AH129" i="1"/>
  <c r="BM129" i="1"/>
  <c r="BO129" i="1" s="1"/>
  <c r="BL129" i="1" s="1"/>
  <c r="CH129" i="1"/>
  <c r="AW129" i="1"/>
  <c r="M129" i="1"/>
  <c r="CA129" i="1"/>
  <c r="BA129" i="1"/>
  <c r="BG129" i="1"/>
  <c r="BJ129" i="1" s="1"/>
  <c r="CD129" i="1"/>
  <c r="N129" i="1"/>
  <c r="BZ129" i="1"/>
  <c r="CC129" i="1"/>
  <c r="AQ129" i="3"/>
  <c r="BG129" i="3" s="1"/>
  <c r="BO129" i="3" s="1"/>
  <c r="BS129" i="3" s="1"/>
  <c r="BD129" i="3"/>
  <c r="AO129" i="1"/>
  <c r="AB129" i="5" s="1"/>
  <c r="AY129" i="1"/>
  <c r="J129" i="1"/>
  <c r="BF129" i="1"/>
  <c r="AC129" i="5"/>
  <c r="Y129" i="5"/>
  <c r="X129" i="5"/>
  <c r="W129" i="5"/>
  <c r="AP87" i="3"/>
  <c r="BE87" i="3" s="1"/>
  <c r="AH87" i="1"/>
  <c r="AW87" i="1"/>
  <c r="BZ87" i="1"/>
  <c r="CA87" i="1"/>
  <c r="M87" i="1"/>
  <c r="CD87" i="1"/>
  <c r="N87" i="1"/>
  <c r="BA87" i="1"/>
  <c r="CE87" i="1"/>
  <c r="BG87" i="1"/>
  <c r="BJ87" i="1" s="1"/>
  <c r="CF87" i="1"/>
  <c r="BM87" i="1"/>
  <c r="CH87" i="1"/>
  <c r="AY87" i="1"/>
  <c r="BH87" i="1"/>
  <c r="CG87" i="1"/>
  <c r="W87" i="5"/>
  <c r="CC87" i="1"/>
  <c r="R87" i="1"/>
  <c r="BB87" i="1"/>
  <c r="BD87" i="3"/>
  <c r="AQ87" i="3"/>
  <c r="BG87" i="3" s="1"/>
  <c r="BO87" i="3" s="1"/>
  <c r="BS87" i="3" s="1"/>
  <c r="BF87" i="1"/>
  <c r="AO87" i="1"/>
  <c r="AB87" i="5" s="1"/>
  <c r="J87" i="1"/>
  <c r="BC87" i="1"/>
  <c r="AC87" i="5"/>
  <c r="X87" i="5"/>
  <c r="Y87" i="5"/>
  <c r="BZ13" i="1"/>
  <c r="CA13" i="1"/>
  <c r="N13" i="1"/>
  <c r="BG13" i="1"/>
  <c r="BJ13" i="1" s="1"/>
  <c r="CD13" i="1"/>
  <c r="BM13" i="1"/>
  <c r="BO13" i="1" s="1"/>
  <c r="BL13" i="1" s="1"/>
  <c r="AW13" i="1"/>
  <c r="CC13" i="1"/>
  <c r="CG13" i="1"/>
  <c r="CH13" i="1"/>
  <c r="BA13" i="1"/>
  <c r="M13" i="1"/>
  <c r="AH13" i="1"/>
  <c r="CE13" i="1"/>
  <c r="BH13" i="1"/>
  <c r="CF13" i="1"/>
  <c r="AC13" i="5"/>
  <c r="AP22" i="3"/>
  <c r="BE22" i="3" s="1"/>
  <c r="BZ22" i="1"/>
  <c r="AW22" i="1"/>
  <c r="M22" i="1"/>
  <c r="CC22" i="1"/>
  <c r="CA22" i="1"/>
  <c r="CD22" i="1"/>
  <c r="BG22" i="1"/>
  <c r="BJ22" i="1" s="1"/>
  <c r="CF22" i="1"/>
  <c r="CH22" i="1"/>
  <c r="BM22" i="1"/>
  <c r="BO22" i="1" s="1"/>
  <c r="BL22" i="1" s="1"/>
  <c r="BA22" i="1"/>
  <c r="BH22" i="1"/>
  <c r="CE22" i="1"/>
  <c r="N22" i="1"/>
  <c r="AH22" i="1"/>
  <c r="W22" i="5"/>
  <c r="Y22" i="5"/>
  <c r="X22" i="5"/>
  <c r="CG22" i="1"/>
  <c r="AQ22" i="3"/>
  <c r="BG22" i="3" s="1"/>
  <c r="BO22" i="3" s="1"/>
  <c r="BS22" i="3" s="1"/>
  <c r="BD22" i="3"/>
  <c r="BC22" i="1"/>
  <c r="AO22" i="1"/>
  <c r="AB22" i="5" s="1"/>
  <c r="AY22" i="1"/>
  <c r="BF22" i="1"/>
  <c r="BB22" i="1"/>
  <c r="J22" i="1"/>
  <c r="AC22" i="5"/>
  <c r="BM124" i="1"/>
  <c r="BO124" i="1" s="1"/>
  <c r="BL124" i="1" s="1"/>
  <c r="CH124" i="1"/>
  <c r="N124" i="1"/>
  <c r="BA124" i="1"/>
  <c r="CC124" i="1"/>
  <c r="BG124" i="1"/>
  <c r="BJ124" i="1" s="1"/>
  <c r="CD124" i="1"/>
  <c r="R124" i="1"/>
  <c r="BZ124" i="1"/>
  <c r="AW124" i="1"/>
  <c r="CA124" i="1"/>
  <c r="CE124" i="1"/>
  <c r="AY124" i="1"/>
  <c r="CF124" i="1"/>
  <c r="BH124" i="1"/>
  <c r="AC124" i="5"/>
  <c r="M124" i="1"/>
  <c r="CG124" i="1"/>
  <c r="AQ50" i="3"/>
  <c r="BG50" i="3" s="1"/>
  <c r="AP50" i="3"/>
  <c r="BE50" i="3" s="1"/>
  <c r="M50" i="1"/>
  <c r="CD50" i="1"/>
  <c r="N50" i="1"/>
  <c r="BH50" i="1"/>
  <c r="BM50" i="1"/>
  <c r="BO50" i="1" s="1"/>
  <c r="BL50" i="1" s="1"/>
  <c r="BZ50" i="1"/>
  <c r="AH50" i="1"/>
  <c r="CA50" i="1"/>
  <c r="CC50" i="1"/>
  <c r="CG50" i="1"/>
  <c r="BA50" i="1"/>
  <c r="CH50" i="1"/>
  <c r="CE50" i="1"/>
  <c r="CF50" i="1"/>
  <c r="AW50" i="1"/>
  <c r="BG50" i="1"/>
  <c r="BJ50" i="1" s="1"/>
  <c r="Y50" i="5"/>
  <c r="BD50" i="3"/>
  <c r="BC50" i="1"/>
  <c r="J50" i="1"/>
  <c r="BB50" i="1"/>
  <c r="W50" i="5"/>
  <c r="BF50" i="1"/>
  <c r="X50" i="5"/>
  <c r="AO50" i="1"/>
  <c r="AB50" i="5" s="1"/>
  <c r="AC50" i="5"/>
  <c r="AP67" i="3"/>
  <c r="BE67" i="3" s="1"/>
  <c r="M67" i="1"/>
  <c r="BA67" i="1"/>
  <c r="CD67" i="1"/>
  <c r="CE67" i="1"/>
  <c r="BG67" i="1"/>
  <c r="BJ67" i="1" s="1"/>
  <c r="CF67" i="1"/>
  <c r="N67" i="1"/>
  <c r="BH67" i="1"/>
  <c r="CG67" i="1"/>
  <c r="AW67" i="1"/>
  <c r="CA67" i="1"/>
  <c r="AH67" i="1"/>
  <c r="BZ67" i="1"/>
  <c r="CC67" i="1"/>
  <c r="CH67" i="1"/>
  <c r="BM67" i="1"/>
  <c r="BO67" i="1" s="1"/>
  <c r="BL67" i="1" s="1"/>
  <c r="W67" i="5"/>
  <c r="X67" i="5"/>
  <c r="Y67" i="5"/>
  <c r="AQ67" i="3"/>
  <c r="AR67" i="3" s="1"/>
  <c r="BD67" i="3"/>
  <c r="AY67" i="1"/>
  <c r="BF67" i="1"/>
  <c r="AO67" i="1"/>
  <c r="AB67" i="5" s="1"/>
  <c r="J67" i="1"/>
  <c r="AC67" i="5"/>
  <c r="AP121" i="3"/>
  <c r="BE121" i="3" s="1"/>
  <c r="R121" i="1"/>
  <c r="BG121" i="1"/>
  <c r="BJ121" i="1" s="1"/>
  <c r="CE121" i="1"/>
  <c r="AW121" i="1"/>
  <c r="BZ121" i="1"/>
  <c r="BA121" i="1"/>
  <c r="CD121" i="1"/>
  <c r="M121" i="1"/>
  <c r="BH121" i="1"/>
  <c r="N121" i="1"/>
  <c r="BM121" i="1"/>
  <c r="BO121" i="1" s="1"/>
  <c r="BL121" i="1" s="1"/>
  <c r="AH121" i="1"/>
  <c r="CA121" i="1"/>
  <c r="CF121" i="1"/>
  <c r="CH121" i="1"/>
  <c r="AY121" i="1"/>
  <c r="CG121" i="1"/>
  <c r="X121" i="5"/>
  <c r="CC121" i="1"/>
  <c r="BB121" i="1"/>
  <c r="AQ121" i="3"/>
  <c r="BG121" i="3" s="1"/>
  <c r="BO121" i="3" s="1"/>
  <c r="BS121" i="3" s="1"/>
  <c r="BD121" i="3"/>
  <c r="BC121" i="1"/>
  <c r="AO121" i="1"/>
  <c r="AB121" i="5" s="1"/>
  <c r="J121" i="1"/>
  <c r="BF121" i="1"/>
  <c r="AC121" i="5"/>
  <c r="W121" i="5"/>
  <c r="Y121" i="5"/>
  <c r="AR126" i="3"/>
  <c r="AP41" i="3"/>
  <c r="BE41" i="3" s="1"/>
  <c r="CH41" i="1"/>
  <c r="BH41" i="1"/>
  <c r="CE41" i="1"/>
  <c r="AH41" i="1"/>
  <c r="CF41" i="1"/>
  <c r="BM41" i="1"/>
  <c r="BO41" i="1" s="1"/>
  <c r="BL41" i="1" s="1"/>
  <c r="AW41" i="1"/>
  <c r="M41" i="1"/>
  <c r="BA41" i="1"/>
  <c r="N41" i="1"/>
  <c r="BG41" i="1"/>
  <c r="BJ41" i="1" s="1"/>
  <c r="R41" i="1"/>
  <c r="AY41" i="1"/>
  <c r="CD41" i="1"/>
  <c r="BZ41" i="1"/>
  <c r="CC41" i="1"/>
  <c r="CG41" i="1"/>
  <c r="CA41" i="1"/>
  <c r="X41" i="5"/>
  <c r="Y41" i="5"/>
  <c r="AC41" i="5"/>
  <c r="J41" i="1"/>
  <c r="AO41" i="1"/>
  <c r="AB41" i="5" s="1"/>
  <c r="BD41" i="3"/>
  <c r="AQ41" i="3"/>
  <c r="BG41" i="3" s="1"/>
  <c r="BF41" i="1"/>
  <c r="W41" i="5"/>
  <c r="AP125" i="3"/>
  <c r="BE125" i="3" s="1"/>
  <c r="BM125" i="1"/>
  <c r="BO125" i="1" s="1"/>
  <c r="BL125" i="1" s="1"/>
  <c r="CG125" i="1"/>
  <c r="AH125" i="1"/>
  <c r="CH125" i="1"/>
  <c r="N125" i="1"/>
  <c r="BH125" i="1"/>
  <c r="CF125" i="1"/>
  <c r="AW125" i="1"/>
  <c r="BZ125" i="1"/>
  <c r="CC125" i="1"/>
  <c r="CA125" i="1"/>
  <c r="CD125" i="1"/>
  <c r="W125" i="5"/>
  <c r="CE125" i="1"/>
  <c r="Y125" i="5"/>
  <c r="M125" i="1"/>
  <c r="BA125" i="1"/>
  <c r="BG125" i="1"/>
  <c r="BJ125" i="1" s="1"/>
  <c r="AO125" i="1"/>
  <c r="AB125" i="5" s="1"/>
  <c r="BD125" i="3"/>
  <c r="AQ125" i="3"/>
  <c r="BG125" i="3" s="1"/>
  <c r="BO125" i="3" s="1"/>
  <c r="BS125" i="3" s="1"/>
  <c r="BB125" i="1"/>
  <c r="BC125" i="1"/>
  <c r="AY125" i="1"/>
  <c r="J125" i="1"/>
  <c r="AC125" i="5"/>
  <c r="BF125" i="1"/>
  <c r="X125" i="5"/>
  <c r="AP23" i="3"/>
  <c r="BE23" i="3" s="1"/>
  <c r="BA23" i="1"/>
  <c r="CA23" i="1"/>
  <c r="N23" i="1"/>
  <c r="CC23" i="1"/>
  <c r="BG23" i="1"/>
  <c r="BJ23" i="1" s="1"/>
  <c r="CD23" i="1"/>
  <c r="CF23" i="1"/>
  <c r="BM23" i="1"/>
  <c r="BO23" i="1" s="1"/>
  <c r="BL23" i="1" s="1"/>
  <c r="AH23" i="1"/>
  <c r="AW23" i="1"/>
  <c r="BZ23" i="1"/>
  <c r="M23" i="1"/>
  <c r="R23" i="1"/>
  <c r="CE23" i="1"/>
  <c r="CG23" i="1"/>
  <c r="CH23" i="1"/>
  <c r="BH23" i="1"/>
  <c r="AQ23" i="3"/>
  <c r="BG23" i="3" s="1"/>
  <c r="BD23" i="3"/>
  <c r="AY23" i="1"/>
  <c r="AO23" i="1"/>
  <c r="AB23" i="5" s="1"/>
  <c r="J23" i="1"/>
  <c r="BF23" i="1"/>
  <c r="W23" i="5"/>
  <c r="AC23" i="5"/>
  <c r="Y23" i="5"/>
  <c r="X23" i="5"/>
  <c r="AW90" i="1"/>
  <c r="BZ90" i="1"/>
  <c r="M90" i="1"/>
  <c r="BA90" i="1"/>
  <c r="CA90" i="1"/>
  <c r="N90" i="1"/>
  <c r="BG90" i="1"/>
  <c r="BJ90" i="1" s="1"/>
  <c r="CC90" i="1"/>
  <c r="BH90" i="1"/>
  <c r="CD90" i="1"/>
  <c r="R90" i="1"/>
  <c r="CE90" i="1"/>
  <c r="CG90" i="1"/>
  <c r="BM90" i="1"/>
  <c r="BO90" i="1" s="1"/>
  <c r="BL90" i="1" s="1"/>
  <c r="CH90" i="1"/>
  <c r="AY90" i="1"/>
  <c r="CF90" i="1"/>
  <c r="AC90" i="5"/>
  <c r="AQ96" i="3"/>
  <c r="BG96" i="3" s="1"/>
  <c r="AP96" i="3"/>
  <c r="BE96" i="3" s="1"/>
  <c r="CF96" i="1"/>
  <c r="BM96" i="1"/>
  <c r="BO96" i="1" s="1"/>
  <c r="BL96" i="1" s="1"/>
  <c r="CG96" i="1"/>
  <c r="AH96" i="1"/>
  <c r="CH96" i="1"/>
  <c r="BZ96" i="1"/>
  <c r="BA96" i="1"/>
  <c r="CA96" i="1"/>
  <c r="M96" i="1"/>
  <c r="BH96" i="1"/>
  <c r="CD96" i="1"/>
  <c r="N96" i="1"/>
  <c r="CE96" i="1"/>
  <c r="CC96" i="1"/>
  <c r="AW96" i="1"/>
  <c r="BG96" i="1"/>
  <c r="BJ96" i="1" s="1"/>
  <c r="W96" i="5"/>
  <c r="Y96" i="5"/>
  <c r="BD96" i="3"/>
  <c r="X96" i="5"/>
  <c r="J96" i="1"/>
  <c r="BB96" i="1"/>
  <c r="BC96" i="1"/>
  <c r="AO96" i="1"/>
  <c r="AB96" i="5" s="1"/>
  <c r="BF96" i="1"/>
  <c r="AY96" i="1"/>
  <c r="AC96" i="5"/>
  <c r="AP69" i="3"/>
  <c r="BE69" i="3" s="1"/>
  <c r="BZ69" i="1"/>
  <c r="CA69" i="1"/>
  <c r="M69" i="1"/>
  <c r="BA69" i="1"/>
  <c r="CC69" i="1"/>
  <c r="R69" i="1"/>
  <c r="CF69" i="1"/>
  <c r="CH69" i="1"/>
  <c r="BG69" i="1"/>
  <c r="BJ69" i="1" s="1"/>
  <c r="BH69" i="1"/>
  <c r="N69" i="1"/>
  <c r="BM69" i="1"/>
  <c r="BO69" i="1" s="1"/>
  <c r="BL69" i="1" s="1"/>
  <c r="AH69" i="1"/>
  <c r="AW69" i="1"/>
  <c r="CE69" i="1"/>
  <c r="CG69" i="1"/>
  <c r="CD69" i="1"/>
  <c r="Y69" i="5"/>
  <c r="AO69" i="1"/>
  <c r="AB69" i="5" s="1"/>
  <c r="AQ69" i="3"/>
  <c r="BG69" i="3" s="1"/>
  <c r="BO69" i="3" s="1"/>
  <c r="BS69" i="3" s="1"/>
  <c r="BD69" i="3"/>
  <c r="BF69" i="1"/>
  <c r="J69" i="1"/>
  <c r="W69" i="5"/>
  <c r="AC69" i="5"/>
  <c r="X69" i="5"/>
  <c r="AY69" i="1"/>
  <c r="AP82" i="3"/>
  <c r="BE82" i="3" s="1"/>
  <c r="M82" i="1"/>
  <c r="BZ82" i="1"/>
  <c r="AY82" i="1"/>
  <c r="AW82" i="1"/>
  <c r="CA82" i="1"/>
  <c r="CC82" i="1"/>
  <c r="BA82" i="1"/>
  <c r="CD82" i="1"/>
  <c r="N82" i="1"/>
  <c r="BH82" i="1"/>
  <c r="CF82" i="1"/>
  <c r="CG82" i="1"/>
  <c r="R82" i="1"/>
  <c r="BM82" i="1"/>
  <c r="BO82" i="1" s="1"/>
  <c r="BL82" i="1" s="1"/>
  <c r="CH82" i="1"/>
  <c r="CE82" i="1"/>
  <c r="AC82" i="5"/>
  <c r="BG82" i="1"/>
  <c r="BJ82" i="1" s="1"/>
  <c r="W82" i="5"/>
  <c r="X82" i="5"/>
  <c r="Y82" i="5"/>
  <c r="BD82" i="3"/>
  <c r="AQ82" i="3"/>
  <c r="BG82" i="3" s="1"/>
  <c r="BO82" i="3" s="1"/>
  <c r="BS82" i="3" s="1"/>
  <c r="BB82" i="1"/>
  <c r="BC82" i="1"/>
  <c r="AO82" i="1"/>
  <c r="AB82" i="5" s="1"/>
  <c r="J82" i="1"/>
  <c r="BF82" i="1"/>
  <c r="BI33" i="1"/>
  <c r="AM33" i="1"/>
  <c r="BX33" i="1"/>
  <c r="AP48" i="3"/>
  <c r="BE48" i="3" s="1"/>
  <c r="BM48" i="1"/>
  <c r="BO48" i="1" s="1"/>
  <c r="BL48" i="1" s="1"/>
  <c r="CG48" i="1"/>
  <c r="BH48" i="1"/>
  <c r="CE48" i="1"/>
  <c r="CC48" i="1"/>
  <c r="M48" i="1"/>
  <c r="BA48" i="1"/>
  <c r="CD48" i="1"/>
  <c r="CH48" i="1"/>
  <c r="AH48" i="1"/>
  <c r="CA48" i="1"/>
  <c r="AW48" i="1"/>
  <c r="CF48" i="1"/>
  <c r="N48" i="1"/>
  <c r="BZ48" i="1"/>
  <c r="BG48" i="1"/>
  <c r="BJ48" i="1" s="1"/>
  <c r="AC48" i="5"/>
  <c r="AY48" i="1"/>
  <c r="AQ48" i="3"/>
  <c r="AR48" i="3" s="1"/>
  <c r="BD48" i="3"/>
  <c r="W48" i="5"/>
  <c r="J48" i="1"/>
  <c r="BB48" i="1"/>
  <c r="AO48" i="1"/>
  <c r="AB48" i="5" s="1"/>
  <c r="X48" i="5"/>
  <c r="BC48" i="1"/>
  <c r="Y48" i="5"/>
  <c r="BF48" i="1"/>
  <c r="AP24" i="3"/>
  <c r="BE24" i="3" s="1"/>
  <c r="CF24" i="1"/>
  <c r="BM24" i="1"/>
  <c r="BO24" i="1" s="1"/>
  <c r="BL24" i="1" s="1"/>
  <c r="CH24" i="1"/>
  <c r="AH24" i="1"/>
  <c r="N24" i="1"/>
  <c r="BH24" i="1"/>
  <c r="CG24" i="1"/>
  <c r="R24" i="1"/>
  <c r="AW24" i="1"/>
  <c r="CA24" i="1"/>
  <c r="CC24" i="1"/>
  <c r="BG24" i="1"/>
  <c r="BJ24" i="1" s="1"/>
  <c r="M24" i="1"/>
  <c r="BZ24" i="1"/>
  <c r="CD24" i="1"/>
  <c r="BA24" i="1"/>
  <c r="CE24" i="1"/>
  <c r="Y24" i="5"/>
  <c r="W24" i="5"/>
  <c r="AC24" i="5"/>
  <c r="J24" i="1"/>
  <c r="AQ24" i="3"/>
  <c r="BG24" i="3" s="1"/>
  <c r="BO24" i="3" s="1"/>
  <c r="BS24" i="3" s="1"/>
  <c r="BD24" i="3"/>
  <c r="AO24" i="1"/>
  <c r="AB24" i="5" s="1"/>
  <c r="AY24" i="1"/>
  <c r="BF24" i="1"/>
  <c r="X24" i="5"/>
  <c r="AP97" i="3"/>
  <c r="BE97" i="3" s="1"/>
  <c r="AQ97" i="3"/>
  <c r="BG97" i="3" s="1"/>
  <c r="M97" i="1"/>
  <c r="BG97" i="1"/>
  <c r="BJ97" i="1" s="1"/>
  <c r="CD97" i="1"/>
  <c r="CA97" i="1"/>
  <c r="CC97" i="1"/>
  <c r="BA97" i="1"/>
  <c r="CE97" i="1"/>
  <c r="BH97" i="1"/>
  <c r="CF97" i="1"/>
  <c r="N97" i="1"/>
  <c r="CG97" i="1"/>
  <c r="AH97" i="1"/>
  <c r="AW97" i="1"/>
  <c r="BZ97" i="1"/>
  <c r="CH97" i="1"/>
  <c r="BM97" i="1"/>
  <c r="BO97" i="1" s="1"/>
  <c r="BL97" i="1" s="1"/>
  <c r="AC97" i="5"/>
  <c r="Y97" i="5"/>
  <c r="BD97" i="3"/>
  <c r="BF97" i="1"/>
  <c r="AY97" i="1"/>
  <c r="AO97" i="1"/>
  <c r="AB97" i="5" s="1"/>
  <c r="J97" i="1"/>
  <c r="BB97" i="1"/>
  <c r="BC97" i="1"/>
  <c r="X97" i="5"/>
  <c r="W97" i="5"/>
  <c r="M70" i="1"/>
  <c r="BZ70" i="1"/>
  <c r="BH70" i="1"/>
  <c r="CF70" i="1"/>
  <c r="CG70" i="1"/>
  <c r="AH70" i="1"/>
  <c r="BM70" i="1"/>
  <c r="BO70" i="1" s="1"/>
  <c r="BL70" i="1" s="1"/>
  <c r="CH70" i="1"/>
  <c r="BA70" i="1"/>
  <c r="CD70" i="1"/>
  <c r="BG70" i="1"/>
  <c r="BJ70" i="1" s="1"/>
  <c r="N70" i="1"/>
  <c r="R70" i="1"/>
  <c r="CA70" i="1"/>
  <c r="AW70" i="1"/>
  <c r="CE70" i="1"/>
  <c r="CC70" i="1"/>
  <c r="AC70" i="5"/>
  <c r="BA39" i="1"/>
  <c r="CC39" i="1"/>
  <c r="AW39" i="1"/>
  <c r="AY39" i="1"/>
  <c r="CA39" i="1"/>
  <c r="CD39" i="1"/>
  <c r="M39" i="1"/>
  <c r="BH39" i="1"/>
  <c r="CF39" i="1"/>
  <c r="BM39" i="1"/>
  <c r="BO39" i="1" s="1"/>
  <c r="BL39" i="1" s="1"/>
  <c r="CH39" i="1"/>
  <c r="R39" i="1"/>
  <c r="BZ39" i="1"/>
  <c r="AH39" i="1"/>
  <c r="CE39" i="1"/>
  <c r="N39" i="1"/>
  <c r="BG39" i="1"/>
  <c r="BJ39" i="1" s="1"/>
  <c r="AC39" i="5"/>
  <c r="CG39" i="1"/>
  <c r="BH33" i="3"/>
  <c r="F33" i="5" s="1"/>
  <c r="E33" i="5"/>
  <c r="G33" i="5"/>
  <c r="V33" i="1"/>
  <c r="S33" i="1"/>
  <c r="T33" i="1"/>
  <c r="U33" i="1"/>
  <c r="BD126" i="1"/>
  <c r="BE126" i="1"/>
  <c r="CB126" i="1"/>
  <c r="BS126" i="1"/>
  <c r="AP126" i="1"/>
  <c r="BQ126" i="1" s="1"/>
  <c r="AP44" i="3"/>
  <c r="BE44" i="3" s="1"/>
  <c r="AQ44" i="3"/>
  <c r="BG44" i="3" s="1"/>
  <c r="BZ44" i="1"/>
  <c r="M44" i="1"/>
  <c r="BA44" i="1"/>
  <c r="CD44" i="1"/>
  <c r="BH44" i="1"/>
  <c r="CF44" i="1"/>
  <c r="BG44" i="1"/>
  <c r="BJ44" i="1" s="1"/>
  <c r="CH44" i="1"/>
  <c r="N44" i="1"/>
  <c r="BM44" i="1"/>
  <c r="BO44" i="1" s="1"/>
  <c r="BL44" i="1" s="1"/>
  <c r="AH44" i="1"/>
  <c r="CA44" i="1"/>
  <c r="CC44" i="1"/>
  <c r="CG44" i="1"/>
  <c r="AW44" i="1"/>
  <c r="CE44" i="1"/>
  <c r="AC44" i="5"/>
  <c r="W44" i="5"/>
  <c r="AY44" i="1"/>
  <c r="BF44" i="1"/>
  <c r="BB44" i="1"/>
  <c r="BD44" i="3"/>
  <c r="BC44" i="1"/>
  <c r="J44" i="1"/>
  <c r="Y44" i="5"/>
  <c r="AO44" i="1"/>
  <c r="AB44" i="5" s="1"/>
  <c r="X44" i="5"/>
  <c r="AP37" i="3"/>
  <c r="BE37" i="3" s="1"/>
  <c r="AY37" i="1"/>
  <c r="BZ37" i="1"/>
  <c r="N37" i="1"/>
  <c r="BA37" i="1"/>
  <c r="CC37" i="1"/>
  <c r="M37" i="1"/>
  <c r="BH37" i="1"/>
  <c r="CH37" i="1"/>
  <c r="AH37" i="1"/>
  <c r="AW37" i="1"/>
  <c r="CE37" i="1"/>
  <c r="CF37" i="1"/>
  <c r="CG37" i="1"/>
  <c r="BG37" i="1"/>
  <c r="BJ37" i="1" s="1"/>
  <c r="BM37" i="1"/>
  <c r="BO37" i="1" s="1"/>
  <c r="BL37" i="1" s="1"/>
  <c r="CA37" i="1"/>
  <c r="R37" i="1"/>
  <c r="W37" i="5"/>
  <c r="X37" i="5"/>
  <c r="Y37" i="5"/>
  <c r="AC37" i="5"/>
  <c r="CD37" i="1"/>
  <c r="AQ37" i="3"/>
  <c r="BG37" i="3" s="1"/>
  <c r="BD37" i="3"/>
  <c r="AO37" i="1"/>
  <c r="AB37" i="5" s="1"/>
  <c r="J37" i="1"/>
  <c r="BF37" i="1"/>
  <c r="AP32" i="3"/>
  <c r="BE32" i="3" s="1"/>
  <c r="BG32" i="1"/>
  <c r="BJ32" i="1" s="1"/>
  <c r="CE32" i="1"/>
  <c r="AW32" i="1"/>
  <c r="BZ32" i="1"/>
  <c r="CC32" i="1"/>
  <c r="AY32" i="1"/>
  <c r="CD32" i="1"/>
  <c r="BA32" i="1"/>
  <c r="CG32" i="1"/>
  <c r="N32" i="1"/>
  <c r="BM32" i="1"/>
  <c r="BO32" i="1" s="1"/>
  <c r="BL32" i="1" s="1"/>
  <c r="R32" i="1"/>
  <c r="CA32" i="1"/>
  <c r="CF32" i="1"/>
  <c r="CH32" i="1"/>
  <c r="M32" i="1"/>
  <c r="BH32" i="1"/>
  <c r="AQ32" i="3"/>
  <c r="BG32" i="3" s="1"/>
  <c r="BO32" i="3" s="1"/>
  <c r="BS32" i="3" s="1"/>
  <c r="BD32" i="3"/>
  <c r="AO32" i="1"/>
  <c r="AB32" i="5" s="1"/>
  <c r="W32" i="5"/>
  <c r="BF32" i="1"/>
  <c r="J32" i="1"/>
  <c r="X32" i="5"/>
  <c r="Y32" i="5"/>
  <c r="AC32" i="5"/>
  <c r="AP47" i="3"/>
  <c r="BE47" i="3" s="1"/>
  <c r="BH47" i="1"/>
  <c r="CE47" i="1"/>
  <c r="AW47" i="1"/>
  <c r="CA47" i="1"/>
  <c r="AH47" i="1"/>
  <c r="CD47" i="1"/>
  <c r="CF47" i="1"/>
  <c r="N47" i="1"/>
  <c r="BM47" i="1"/>
  <c r="BO47" i="1" s="1"/>
  <c r="BL47" i="1" s="1"/>
  <c r="BA47" i="1"/>
  <c r="BG47" i="1"/>
  <c r="BJ47" i="1" s="1"/>
  <c r="M47" i="1"/>
  <c r="BZ47" i="1"/>
  <c r="CC47" i="1"/>
  <c r="CH47" i="1"/>
  <c r="CG47" i="1"/>
  <c r="BD47" i="3"/>
  <c r="AQ47" i="3"/>
  <c r="BG47" i="3" s="1"/>
  <c r="BO47" i="3" s="1"/>
  <c r="BS47" i="3" s="1"/>
  <c r="BB47" i="1"/>
  <c r="AO47" i="1"/>
  <c r="AB47" i="5" s="1"/>
  <c r="BC47" i="1"/>
  <c r="AC47" i="5"/>
  <c r="J47" i="1"/>
  <c r="BF47" i="1"/>
  <c r="W47" i="5"/>
  <c r="X47" i="5"/>
  <c r="Y47" i="5"/>
  <c r="CA25" i="1"/>
  <c r="CC25" i="1"/>
  <c r="M25" i="1"/>
  <c r="BG25" i="1"/>
  <c r="BJ25" i="1" s="1"/>
  <c r="CE25" i="1"/>
  <c r="BA25" i="1"/>
  <c r="CH25" i="1"/>
  <c r="BH25" i="1"/>
  <c r="BM25" i="1"/>
  <c r="BO25" i="1" s="1"/>
  <c r="BL25" i="1" s="1"/>
  <c r="AH25" i="1"/>
  <c r="CD25" i="1"/>
  <c r="CF25" i="1"/>
  <c r="CG25" i="1"/>
  <c r="AW25" i="1"/>
  <c r="R25" i="1"/>
  <c r="N25" i="1"/>
  <c r="AC25" i="5"/>
  <c r="BZ25" i="1"/>
  <c r="AQ54" i="3"/>
  <c r="BG54" i="3" s="1"/>
  <c r="AP54" i="3"/>
  <c r="BE54" i="3" s="1"/>
  <c r="AH54" i="1"/>
  <c r="CH54" i="1"/>
  <c r="BA54" i="1"/>
  <c r="CC54" i="1"/>
  <c r="BG54" i="1"/>
  <c r="BJ54" i="1" s="1"/>
  <c r="CD54" i="1"/>
  <c r="BH54" i="1"/>
  <c r="CE54" i="1"/>
  <c r="BM54" i="1"/>
  <c r="BO54" i="1" s="1"/>
  <c r="BL54" i="1" s="1"/>
  <c r="BZ54" i="1"/>
  <c r="M54" i="1"/>
  <c r="N54" i="1"/>
  <c r="CA54" i="1"/>
  <c r="CG54" i="1"/>
  <c r="AW54" i="1"/>
  <c r="CF54" i="1"/>
  <c r="X54" i="5"/>
  <c r="BD54" i="3"/>
  <c r="J54" i="1"/>
  <c r="AO54" i="1"/>
  <c r="AB54" i="5" s="1"/>
  <c r="BC54" i="1"/>
  <c r="BB54" i="1"/>
  <c r="R54" i="1"/>
  <c r="BF54" i="1"/>
  <c r="W54" i="5"/>
  <c r="Y54" i="5"/>
  <c r="AC54" i="5"/>
  <c r="BG132" i="1"/>
  <c r="BJ132" i="1" s="1"/>
  <c r="CE132" i="1"/>
  <c r="R132" i="1"/>
  <c r="BH132" i="1"/>
  <c r="CF132" i="1"/>
  <c r="CG132" i="1"/>
  <c r="BM132" i="1"/>
  <c r="BO132" i="1" s="1"/>
  <c r="BL132" i="1" s="1"/>
  <c r="CH132" i="1"/>
  <c r="AW132" i="1"/>
  <c r="AY132" i="1"/>
  <c r="CA132" i="1"/>
  <c r="M132" i="1"/>
  <c r="N132" i="1"/>
  <c r="BZ132" i="1"/>
  <c r="CC132" i="1"/>
  <c r="CD132" i="1"/>
  <c r="BA132" i="1"/>
  <c r="AC132" i="5"/>
  <c r="BG71" i="1"/>
  <c r="BJ71" i="1" s="1"/>
  <c r="CD71" i="1"/>
  <c r="M71" i="1"/>
  <c r="CC71" i="1"/>
  <c r="BM71" i="1"/>
  <c r="N71" i="1"/>
  <c r="R71" i="1"/>
  <c r="AH71" i="1"/>
  <c r="BZ71" i="1"/>
  <c r="AW71" i="1"/>
  <c r="CA71" i="1"/>
  <c r="CE71" i="1"/>
  <c r="BA71" i="1"/>
  <c r="CG71" i="1"/>
  <c r="BH71" i="1"/>
  <c r="CH71" i="1"/>
  <c r="CF71" i="1"/>
  <c r="AC71" i="5"/>
  <c r="BZ14" i="1"/>
  <c r="BH14" i="1"/>
  <c r="CG14" i="1"/>
  <c r="CH14" i="1"/>
  <c r="N14" i="1"/>
  <c r="BA14" i="1"/>
  <c r="CF14" i="1"/>
  <c r="BG14" i="1"/>
  <c r="BJ14" i="1" s="1"/>
  <c r="BM14" i="1"/>
  <c r="BO14" i="1" s="1"/>
  <c r="BL14" i="1" s="1"/>
  <c r="AH14" i="1"/>
  <c r="M14" i="1"/>
  <c r="CA14" i="1"/>
  <c r="CC14" i="1"/>
  <c r="AY14" i="1"/>
  <c r="AW14" i="1"/>
  <c r="CE14" i="1"/>
  <c r="CD14" i="1"/>
  <c r="R14" i="1"/>
  <c r="AC14" i="5"/>
  <c r="AQ26" i="3"/>
  <c r="BG26" i="3" s="1"/>
  <c r="M26" i="1"/>
  <c r="BA26" i="1"/>
  <c r="CD26" i="1"/>
  <c r="AH26" i="1"/>
  <c r="BH26" i="1"/>
  <c r="CG26" i="1"/>
  <c r="CH26" i="1"/>
  <c r="N26" i="1"/>
  <c r="BM26" i="1"/>
  <c r="BO26" i="1" s="1"/>
  <c r="BL26" i="1" s="1"/>
  <c r="BZ26" i="1"/>
  <c r="AW26" i="1"/>
  <c r="CA26" i="1"/>
  <c r="BG26" i="1"/>
  <c r="BJ26" i="1" s="1"/>
  <c r="AY26" i="1"/>
  <c r="CC26" i="1"/>
  <c r="CF26" i="1"/>
  <c r="CE26" i="1"/>
  <c r="AC26" i="5"/>
  <c r="AP34" i="3"/>
  <c r="BE34" i="3" s="1"/>
  <c r="AW34" i="1"/>
  <c r="CA34" i="1"/>
  <c r="BZ34" i="1"/>
  <c r="CC34" i="1"/>
  <c r="BA34" i="1"/>
  <c r="CE34" i="1"/>
  <c r="BH34" i="1"/>
  <c r="CG34" i="1"/>
  <c r="CH34" i="1"/>
  <c r="BG34" i="1"/>
  <c r="BJ34" i="1" s="1"/>
  <c r="BM34" i="1"/>
  <c r="BO34" i="1" s="1"/>
  <c r="BL34" i="1" s="1"/>
  <c r="CD34" i="1"/>
  <c r="R34" i="1"/>
  <c r="CF34" i="1"/>
  <c r="AH34" i="1"/>
  <c r="Y34" i="5"/>
  <c r="X34" i="5"/>
  <c r="W34" i="5"/>
  <c r="BD34" i="3"/>
  <c r="AQ34" i="3"/>
  <c r="BG34" i="3" s="1"/>
  <c r="J34" i="1"/>
  <c r="BC34" i="1"/>
  <c r="BF34" i="1"/>
  <c r="BB34" i="1"/>
  <c r="AC34" i="5"/>
  <c r="AO34" i="1"/>
  <c r="AB34" i="5" s="1"/>
  <c r="AP85" i="3"/>
  <c r="BE85" i="3" s="1"/>
  <c r="M85" i="1"/>
  <c r="CD85" i="1"/>
  <c r="AW85" i="1"/>
  <c r="BZ85" i="1"/>
  <c r="CA85" i="1"/>
  <c r="CE85" i="1"/>
  <c r="N85" i="1"/>
  <c r="BA85" i="1"/>
  <c r="CF85" i="1"/>
  <c r="BG85" i="1"/>
  <c r="BJ85" i="1" s="1"/>
  <c r="CG85" i="1"/>
  <c r="BM85" i="1"/>
  <c r="BH85" i="1"/>
  <c r="R85" i="1"/>
  <c r="CC85" i="1"/>
  <c r="CH85" i="1"/>
  <c r="AC85" i="5"/>
  <c r="AY85" i="1"/>
  <c r="X85" i="5"/>
  <c r="Y85" i="5"/>
  <c r="W85" i="5"/>
  <c r="AQ85" i="3"/>
  <c r="BG85" i="3" s="1"/>
  <c r="BO85" i="3" s="1"/>
  <c r="BS85" i="3" s="1"/>
  <c r="BD85" i="3"/>
  <c r="BF85" i="1"/>
  <c r="J85" i="1"/>
  <c r="AO85" i="1"/>
  <c r="AB85" i="5" s="1"/>
  <c r="AP72" i="3"/>
  <c r="BE72" i="3" s="1"/>
  <c r="AH72" i="1"/>
  <c r="BM72" i="1"/>
  <c r="BO72" i="1" s="1"/>
  <c r="BL72" i="1" s="1"/>
  <c r="CH72" i="1"/>
  <c r="M72" i="1"/>
  <c r="BG72" i="1"/>
  <c r="BJ72" i="1" s="1"/>
  <c r="CE72" i="1"/>
  <c r="N72" i="1"/>
  <c r="BH72" i="1"/>
  <c r="CF72" i="1"/>
  <c r="CG72" i="1"/>
  <c r="CC72" i="1"/>
  <c r="BZ72" i="1"/>
  <c r="CD72" i="1"/>
  <c r="AW72" i="1"/>
  <c r="BA72" i="1"/>
  <c r="CA72" i="1"/>
  <c r="AC72" i="5"/>
  <c r="W72" i="5"/>
  <c r="Y72" i="5"/>
  <c r="X72" i="5"/>
  <c r="BD72" i="3"/>
  <c r="AQ72" i="3"/>
  <c r="BG72" i="3" s="1"/>
  <c r="BO72" i="3" s="1"/>
  <c r="BS72" i="3" s="1"/>
  <c r="AY72" i="1"/>
  <c r="AO72" i="1"/>
  <c r="AB72" i="5" s="1"/>
  <c r="J72" i="1"/>
  <c r="BF72" i="1"/>
  <c r="AY126" i="3"/>
  <c r="BK126" i="3" s="1"/>
  <c r="S126" i="1"/>
  <c r="G126" i="5"/>
  <c r="V126" i="1"/>
  <c r="T126" i="1"/>
  <c r="U126" i="1"/>
  <c r="BA28" i="1"/>
  <c r="CD28" i="1"/>
  <c r="AW28" i="1"/>
  <c r="BZ28" i="1"/>
  <c r="CA28" i="1"/>
  <c r="CE28" i="1"/>
  <c r="R28" i="1"/>
  <c r="BM28" i="1"/>
  <c r="BO28" i="1" s="1"/>
  <c r="BL28" i="1" s="1"/>
  <c r="CC28" i="1"/>
  <c r="BG28" i="1"/>
  <c r="BJ28" i="1" s="1"/>
  <c r="BH28" i="1"/>
  <c r="CH28" i="1"/>
  <c r="CF28" i="1"/>
  <c r="CG28" i="1"/>
  <c r="AY28" i="1"/>
  <c r="AC28" i="5"/>
  <c r="R74" i="1"/>
  <c r="BH74" i="1"/>
  <c r="CE74" i="1"/>
  <c r="BM74" i="1"/>
  <c r="BO74" i="1" s="1"/>
  <c r="BL74" i="1" s="1"/>
  <c r="CH74" i="1"/>
  <c r="AW74" i="1"/>
  <c r="N74" i="1"/>
  <c r="BG74" i="1"/>
  <c r="BJ74" i="1" s="1"/>
  <c r="CF74" i="1"/>
  <c r="AY74" i="1"/>
  <c r="CG74" i="1"/>
  <c r="BA74" i="1"/>
  <c r="BZ74" i="1"/>
  <c r="CC74" i="1"/>
  <c r="CD74" i="1"/>
  <c r="M74" i="1"/>
  <c r="CA74" i="1"/>
  <c r="AC74" i="5"/>
  <c r="N9" i="1"/>
  <c r="BA9" i="1"/>
  <c r="CD9" i="1"/>
  <c r="BZ9" i="1"/>
  <c r="AW9" i="1"/>
  <c r="CA9" i="1"/>
  <c r="CE9" i="1"/>
  <c r="CF9" i="1"/>
  <c r="CG9" i="1"/>
  <c r="BG9" i="1"/>
  <c r="BJ9" i="1" s="1"/>
  <c r="M9" i="1"/>
  <c r="BM9" i="1"/>
  <c r="BO9" i="1" s="1"/>
  <c r="BL9" i="1" s="1"/>
  <c r="BH9" i="1"/>
  <c r="R9" i="1"/>
  <c r="CC9" i="1"/>
  <c r="AH9" i="1"/>
  <c r="CH9" i="1"/>
  <c r="AC9" i="5"/>
  <c r="BZ30" i="1"/>
  <c r="CA30" i="1"/>
  <c r="N30" i="1"/>
  <c r="BG30" i="1"/>
  <c r="BJ30" i="1" s="1"/>
  <c r="CD30" i="1"/>
  <c r="M30" i="1"/>
  <c r="BH30" i="1"/>
  <c r="CH30" i="1"/>
  <c r="BM30" i="1"/>
  <c r="BO30" i="1" s="1"/>
  <c r="BL30" i="1" s="1"/>
  <c r="AH30" i="1"/>
  <c r="AW30" i="1"/>
  <c r="CG30" i="1"/>
  <c r="BA30" i="1"/>
  <c r="CE30" i="1"/>
  <c r="CC30" i="1"/>
  <c r="CF30" i="1"/>
  <c r="R30" i="1"/>
  <c r="AC30" i="5"/>
  <c r="R15" i="1"/>
  <c r="BG15" i="1"/>
  <c r="BJ15" i="1" s="1"/>
  <c r="CD15" i="1"/>
  <c r="AW15" i="1"/>
  <c r="BZ15" i="1"/>
  <c r="M15" i="1"/>
  <c r="CC15" i="1"/>
  <c r="CG15" i="1"/>
  <c r="BA15" i="1"/>
  <c r="CH15" i="1"/>
  <c r="AH15" i="1"/>
  <c r="CA15" i="1"/>
  <c r="CE15" i="1"/>
  <c r="AY15" i="1"/>
  <c r="CF15" i="1"/>
  <c r="BM15" i="1"/>
  <c r="BO15" i="1" s="1"/>
  <c r="BL15" i="1" s="1"/>
  <c r="N15" i="1"/>
  <c r="BH15" i="1"/>
  <c r="AC15" i="5"/>
  <c r="AP27" i="3"/>
  <c r="BE27" i="3" s="1"/>
  <c r="AQ27" i="3"/>
  <c r="BG27" i="3" s="1"/>
  <c r="BG27" i="1"/>
  <c r="BJ27" i="1" s="1"/>
  <c r="CD27" i="1"/>
  <c r="BH27" i="1"/>
  <c r="CE27" i="1"/>
  <c r="AH27" i="1"/>
  <c r="BM27" i="1"/>
  <c r="BO27" i="1" s="1"/>
  <c r="BL27" i="1" s="1"/>
  <c r="CG27" i="1"/>
  <c r="BA27" i="1"/>
  <c r="BZ27" i="1"/>
  <c r="CA27" i="1"/>
  <c r="AW27" i="1"/>
  <c r="CC27" i="1"/>
  <c r="AY27" i="1"/>
  <c r="CH27" i="1"/>
  <c r="CF27" i="1"/>
  <c r="AR27" i="3"/>
  <c r="BD27" i="3"/>
  <c r="BF27" i="3" s="1"/>
  <c r="J27" i="1"/>
  <c r="BC27" i="1"/>
  <c r="BF27" i="1"/>
  <c r="AO27" i="1"/>
  <c r="AB27" i="5" s="1"/>
  <c r="BB27" i="1"/>
  <c r="AC27" i="5"/>
  <c r="W27" i="5"/>
  <c r="Y27" i="5"/>
  <c r="X27" i="5"/>
  <c r="AP42" i="3"/>
  <c r="BE42" i="3" s="1"/>
  <c r="AQ42" i="3"/>
  <c r="BG42" i="3" s="1"/>
  <c r="CC42" i="1"/>
  <c r="AW42" i="1"/>
  <c r="BZ42" i="1"/>
  <c r="CA42" i="1"/>
  <c r="BA42" i="1"/>
  <c r="CE42" i="1"/>
  <c r="M42" i="1"/>
  <c r="N42" i="1"/>
  <c r="BM42" i="1"/>
  <c r="BO42" i="1" s="1"/>
  <c r="BL42" i="1" s="1"/>
  <c r="CD42" i="1"/>
  <c r="AH42" i="1"/>
  <c r="CF42" i="1"/>
  <c r="CG42" i="1"/>
  <c r="CH42" i="1"/>
  <c r="BG42" i="1"/>
  <c r="BJ42" i="1" s="1"/>
  <c r="BH42" i="1"/>
  <c r="X42" i="5"/>
  <c r="AC42" i="5"/>
  <c r="W42" i="5"/>
  <c r="BD42" i="3"/>
  <c r="BB42" i="1"/>
  <c r="AO42" i="1"/>
  <c r="AB42" i="5" s="1"/>
  <c r="AY42" i="1"/>
  <c r="BF42" i="1"/>
  <c r="J42" i="1"/>
  <c r="Y42" i="5"/>
  <c r="BC42" i="1"/>
  <c r="AP36" i="3"/>
  <c r="BE36" i="3" s="1"/>
  <c r="CG36" i="1"/>
  <c r="CH36" i="1"/>
  <c r="AH36" i="1"/>
  <c r="BM36" i="1"/>
  <c r="BO36" i="1" s="1"/>
  <c r="BL36" i="1" s="1"/>
  <c r="BH36" i="1"/>
  <c r="R36" i="1"/>
  <c r="AW36" i="1"/>
  <c r="BZ36" i="1"/>
  <c r="CA36" i="1"/>
  <c r="CC36" i="1"/>
  <c r="CD36" i="1"/>
  <c r="CF36" i="1"/>
  <c r="BA36" i="1"/>
  <c r="N36" i="1"/>
  <c r="BG36" i="1"/>
  <c r="BJ36" i="1" s="1"/>
  <c r="CE36" i="1"/>
  <c r="AY36" i="1"/>
  <c r="AC36" i="5"/>
  <c r="M36" i="1"/>
  <c r="W36" i="5"/>
  <c r="Y36" i="5"/>
  <c r="AQ36" i="3"/>
  <c r="BG36" i="3" s="1"/>
  <c r="BO36" i="3" s="1"/>
  <c r="BS36" i="3" s="1"/>
  <c r="BD36" i="3"/>
  <c r="X36" i="5"/>
  <c r="J36" i="1"/>
  <c r="AO36" i="1"/>
  <c r="AB36" i="5" s="1"/>
  <c r="BF36" i="1"/>
  <c r="AP84" i="3"/>
  <c r="BE84" i="3" s="1"/>
  <c r="BZ84" i="1"/>
  <c r="AY84" i="1"/>
  <c r="CC84" i="1"/>
  <c r="CD84" i="1"/>
  <c r="M84" i="1"/>
  <c r="BA84" i="1"/>
  <c r="CE84" i="1"/>
  <c r="N84" i="1"/>
  <c r="BG84" i="1"/>
  <c r="BJ84" i="1" s="1"/>
  <c r="CF84" i="1"/>
  <c r="BH84" i="1"/>
  <c r="CG84" i="1"/>
  <c r="BM84" i="1"/>
  <c r="BO84" i="1" s="1"/>
  <c r="BL84" i="1" s="1"/>
  <c r="AW84" i="1"/>
  <c r="CA84" i="1"/>
  <c r="R84" i="1"/>
  <c r="CH84" i="1"/>
  <c r="Y84" i="5"/>
  <c r="AC84" i="5"/>
  <c r="BD84" i="3"/>
  <c r="AQ84" i="3"/>
  <c r="BG84" i="3" s="1"/>
  <c r="BO84" i="3" s="1"/>
  <c r="BS84" i="3" s="1"/>
  <c r="BF84" i="1"/>
  <c r="AO84" i="1"/>
  <c r="AB84" i="5" s="1"/>
  <c r="J84" i="1"/>
  <c r="W84" i="5"/>
  <c r="X84" i="5"/>
  <c r="CH75" i="1"/>
  <c r="AY75" i="1"/>
  <c r="BZ75" i="1"/>
  <c r="CA75" i="1"/>
  <c r="BH75" i="1"/>
  <c r="CE75" i="1"/>
  <c r="BG75" i="1"/>
  <c r="BJ75" i="1" s="1"/>
  <c r="M75" i="1"/>
  <c r="N75" i="1"/>
  <c r="BM75" i="1"/>
  <c r="BO75" i="1" s="1"/>
  <c r="BL75" i="1" s="1"/>
  <c r="R75" i="1"/>
  <c r="AW75" i="1"/>
  <c r="CC75" i="1"/>
  <c r="CF75" i="1"/>
  <c r="BA75" i="1"/>
  <c r="CG75" i="1"/>
  <c r="CD75" i="1"/>
  <c r="AC75" i="5"/>
  <c r="BL126" i="3"/>
  <c r="BI126" i="3"/>
  <c r="AP33" i="1"/>
  <c r="BQ33" i="1" s="1"/>
  <c r="BH126" i="3"/>
  <c r="F126" i="5" s="1"/>
  <c r="E126" i="5"/>
  <c r="BX126" i="1"/>
  <c r="BI126" i="1"/>
  <c r="AM126" i="1"/>
  <c r="BN126" i="1" a="1"/>
  <c r="BN126" i="1" s="1"/>
  <c r="BC12" i="3"/>
  <c r="BB12" i="3"/>
  <c r="BM12" i="3" a="1"/>
  <c r="BM12" i="3" s="1"/>
  <c r="BQ12" i="3" s="1"/>
  <c r="BC125" i="3"/>
  <c r="BB125" i="3"/>
  <c r="BM125" i="3" a="1"/>
  <c r="BM125" i="3" s="1"/>
  <c r="BQ125" i="3" s="1"/>
  <c r="BC48" i="3"/>
  <c r="BB48" i="3"/>
  <c r="BM48" i="3" a="1"/>
  <c r="BM48" i="3" s="1"/>
  <c r="BQ48" i="3" s="1"/>
  <c r="BB47" i="3"/>
  <c r="BC47" i="3"/>
  <c r="BM47" i="3" a="1"/>
  <c r="BM47" i="3" s="1"/>
  <c r="BQ47" i="3" s="1"/>
  <c r="BM14" i="3" a="1"/>
  <c r="BM14" i="3" s="1"/>
  <c r="BQ14" i="3" s="1"/>
  <c r="BM15" i="3" a="1"/>
  <c r="BM15" i="3" s="1"/>
  <c r="BQ15" i="3" s="1"/>
  <c r="BM16" i="3" a="1"/>
  <c r="BM16" i="3" s="1"/>
  <c r="BQ16" i="3" s="1"/>
  <c r="BC17" i="3"/>
  <c r="BB17" i="3"/>
  <c r="BC18" i="3"/>
  <c r="BB18" i="3"/>
  <c r="BB20" i="3"/>
  <c r="BC20" i="3"/>
  <c r="BB21" i="3"/>
  <c r="BC21" i="3"/>
  <c r="BM21" i="3" a="1"/>
  <c r="BM21" i="3" s="1"/>
  <c r="BQ21" i="3" s="1"/>
  <c r="BB22" i="3"/>
  <c r="BC22" i="3"/>
  <c r="BM22" i="3" a="1"/>
  <c r="BM22" i="3" s="1"/>
  <c r="BQ22" i="3" s="1"/>
  <c r="BB23" i="3"/>
  <c r="BC23" i="3"/>
  <c r="BM23" i="3" a="1"/>
  <c r="BM23" i="3" s="1"/>
  <c r="BQ23" i="3" s="1"/>
  <c r="BC24" i="3"/>
  <c r="BB24" i="3"/>
  <c r="BM24" i="3" a="1"/>
  <c r="BM24" i="3" s="1"/>
  <c r="BQ24" i="3" s="1"/>
  <c r="BM25" i="3" a="1"/>
  <c r="BM25" i="3" s="1"/>
  <c r="BQ25" i="3" s="1"/>
  <c r="BN27" i="3"/>
  <c r="BC27" i="3"/>
  <c r="AZ27" i="3"/>
  <c r="BB27" i="3"/>
  <c r="BM27" i="3" a="1"/>
  <c r="BM27" i="3" s="1"/>
  <c r="BQ27" i="3" s="1"/>
  <c r="BM30" i="3" a="1"/>
  <c r="BM30" i="3" s="1"/>
  <c r="BQ30" i="3" s="1"/>
  <c r="BC64" i="3"/>
  <c r="BB64" i="3"/>
  <c r="BM64" i="3" a="1"/>
  <c r="BM64" i="3" s="1"/>
  <c r="BQ64" i="3" s="1"/>
  <c r="BB32" i="3"/>
  <c r="BC32" i="3"/>
  <c r="BM32" i="3" a="1"/>
  <c r="BM32" i="3" s="1"/>
  <c r="BQ32" i="3" s="1"/>
  <c r="BC42" i="3"/>
  <c r="BB42" i="3"/>
  <c r="BM42" i="3" a="1"/>
  <c r="BM42" i="3" s="1"/>
  <c r="BQ42" i="3" s="1"/>
  <c r="BB44" i="3"/>
  <c r="BN44" i="3"/>
  <c r="BC44" i="3"/>
  <c r="AZ44" i="3" s="1"/>
  <c r="BM44" i="3" a="1"/>
  <c r="BM44" i="3" s="1"/>
  <c r="BQ44" i="3" s="1"/>
  <c r="BF44" i="3"/>
  <c r="BB45" i="3"/>
  <c r="BN45" i="3"/>
  <c r="BC45" i="3"/>
  <c r="AZ45" i="3" s="1"/>
  <c r="BM45" i="3" a="1"/>
  <c r="BM45" i="3" s="1"/>
  <c r="BQ45" i="3" s="1"/>
  <c r="BB49" i="3"/>
  <c r="BN49" i="3"/>
  <c r="BC49" i="3"/>
  <c r="AZ49" i="3" s="1"/>
  <c r="BM49" i="3" a="1"/>
  <c r="BM49" i="3" s="1"/>
  <c r="BQ49" i="3" s="1"/>
  <c r="BN53" i="3"/>
  <c r="BC53" i="3"/>
  <c r="AZ53" i="3" s="1"/>
  <c r="BB53" i="3"/>
  <c r="BI53" i="3" s="1"/>
  <c r="BF53" i="3"/>
  <c r="BM53" i="3" a="1"/>
  <c r="BM53" i="3" s="1"/>
  <c r="BQ53" i="3" s="1"/>
  <c r="BC50" i="3"/>
  <c r="AZ50" i="3"/>
  <c r="BB50" i="3"/>
  <c r="BF50" i="3"/>
  <c r="BM50" i="3" a="1"/>
  <c r="BM50" i="3" s="1"/>
  <c r="BQ50" i="3" s="1"/>
  <c r="BC96" i="3"/>
  <c r="BB96" i="3"/>
  <c r="BM96" i="3" a="1"/>
  <c r="BM96" i="3" s="1"/>
  <c r="BQ96" i="3" s="1"/>
  <c r="BB97" i="3"/>
  <c r="BC97" i="3"/>
  <c r="BM97" i="3" a="1"/>
  <c r="BM97" i="3" s="1"/>
  <c r="BQ97" i="3" s="1"/>
  <c r="BC54" i="3"/>
  <c r="BB54" i="3"/>
  <c r="BM54" i="3" a="1"/>
  <c r="BM54" i="3" s="1"/>
  <c r="BQ54" i="3" s="1"/>
  <c r="BB34" i="3"/>
  <c r="BC34" i="3"/>
  <c r="BM34" i="3" a="1"/>
  <c r="BM34" i="3" s="1"/>
  <c r="BQ34" i="3" s="1"/>
  <c r="BC36" i="3"/>
  <c r="BB36" i="3"/>
  <c r="BM36" i="3" a="1"/>
  <c r="BM36" i="3" s="1"/>
  <c r="BQ36" i="3" s="1"/>
  <c r="BB37" i="3"/>
  <c r="BC37" i="3"/>
  <c r="BM37" i="3" a="1"/>
  <c r="BM37" i="3" s="1"/>
  <c r="BQ37" i="3" s="1"/>
  <c r="BC38" i="3"/>
  <c r="BL38" i="3" s="1"/>
  <c r="BB38" i="3"/>
  <c r="BI38" i="3" s="1"/>
  <c r="BM38" i="3" a="1"/>
  <c r="BM38" i="3" s="1"/>
  <c r="BQ38" i="3" s="1"/>
  <c r="BC40" i="3"/>
  <c r="BB40" i="3"/>
  <c r="BM40" i="3" a="1"/>
  <c r="BM40" i="3" s="1"/>
  <c r="BQ40" i="3" s="1"/>
  <c r="BC66" i="3"/>
  <c r="BB66" i="3"/>
  <c r="BM66" i="3" a="1"/>
  <c r="BM66" i="3" s="1"/>
  <c r="BQ66" i="3" s="1"/>
  <c r="BC29" i="3"/>
  <c r="BB29" i="3"/>
  <c r="BM29" i="3" a="1"/>
  <c r="BM29" i="3" s="1"/>
  <c r="BQ29" i="3" s="1"/>
  <c r="BB85" i="3"/>
  <c r="BC85" i="3"/>
  <c r="BM85" i="3" a="1"/>
  <c r="BM85" i="3" s="1"/>
  <c r="BQ85" i="3" s="1"/>
  <c r="BC84" i="3"/>
  <c r="BB84" i="3"/>
  <c r="BB83" i="3"/>
  <c r="BC83" i="3"/>
  <c r="BM83" i="3" a="1"/>
  <c r="BM83" i="3" s="1"/>
  <c r="BQ83" i="3" s="1"/>
  <c r="BB68" i="3"/>
  <c r="BC68" i="3"/>
  <c r="BM68" i="3" a="1"/>
  <c r="BM68" i="3" s="1"/>
  <c r="BQ68" i="3" s="1"/>
  <c r="BB67" i="3"/>
  <c r="BC67" i="3"/>
  <c r="BM67" i="3" a="1"/>
  <c r="BM67" i="3" s="1"/>
  <c r="BQ67" i="3" s="1"/>
  <c r="BB69" i="3"/>
  <c r="BC69" i="3"/>
  <c r="BM69" i="3" a="1"/>
  <c r="BM69" i="3" s="1"/>
  <c r="BQ69" i="3" s="1"/>
  <c r="BM70" i="3" a="1"/>
  <c r="BM70" i="3" s="1"/>
  <c r="BQ70" i="3" s="1"/>
  <c r="BM71" i="3" a="1"/>
  <c r="BM71" i="3" s="1"/>
  <c r="BQ71" i="3" s="1"/>
  <c r="BC72" i="3"/>
  <c r="BB72" i="3"/>
  <c r="BM72" i="3" a="1"/>
  <c r="BM72" i="3" s="1"/>
  <c r="BQ72" i="3" s="1"/>
  <c r="BM9" i="3" a="1"/>
  <c r="BM9" i="3" s="1"/>
  <c r="BQ9" i="3" s="1"/>
  <c r="BM10" i="3" a="1"/>
  <c r="BM10" i="3" s="1"/>
  <c r="BQ10" i="3" s="1"/>
  <c r="BB10" i="3"/>
  <c r="BC10" i="3"/>
  <c r="BM129" i="3" a="1"/>
  <c r="BM129" i="3" s="1"/>
  <c r="BQ129" i="3" s="1"/>
  <c r="BB129" i="3"/>
  <c r="BC129" i="3"/>
  <c r="BM78" i="3" a="1"/>
  <c r="BM78" i="3" s="1"/>
  <c r="BQ78" i="3" s="1"/>
  <c r="BB95" i="3"/>
  <c r="BC95" i="3"/>
  <c r="BM95" i="3" a="1"/>
  <c r="BM95" i="3" s="1"/>
  <c r="BQ95" i="3" s="1"/>
  <c r="BM39" i="3" a="1"/>
  <c r="BM39" i="3" s="1"/>
  <c r="BQ39" i="3" s="1"/>
  <c r="BN88" i="3"/>
  <c r="BC88" i="3"/>
  <c r="AZ88" i="3" s="1"/>
  <c r="BB88" i="3"/>
  <c r="BM88" i="3" a="1"/>
  <c r="BM88" i="3" s="1"/>
  <c r="BQ88" i="3" s="1"/>
  <c r="BF88" i="3"/>
  <c r="BC87" i="3"/>
  <c r="BB87" i="3"/>
  <c r="BM87" i="3" a="1"/>
  <c r="BM87" i="3" s="1"/>
  <c r="BQ87" i="3" s="1"/>
  <c r="BM86" i="3" a="1"/>
  <c r="BM86" i="3" s="1"/>
  <c r="BQ86" i="3" s="1"/>
  <c r="BC41" i="3"/>
  <c r="BB41" i="3"/>
  <c r="BI41" i="3" s="1"/>
  <c r="BM41" i="3" a="1"/>
  <c r="BM41" i="3" s="1"/>
  <c r="BQ41" i="3" s="1"/>
  <c r="BB35" i="3"/>
  <c r="BC35" i="3"/>
  <c r="BM35" i="3" a="1"/>
  <c r="BM35" i="3" s="1"/>
  <c r="BQ35" i="3" s="1"/>
  <c r="BB61" i="3"/>
  <c r="BC61" i="3"/>
  <c r="BM61" i="3" a="1"/>
  <c r="BM61" i="3" s="1"/>
  <c r="BQ61" i="3" s="1"/>
  <c r="BB121" i="3"/>
  <c r="BC121" i="3"/>
  <c r="BM121" i="3" a="1"/>
  <c r="BM121" i="3" s="1"/>
  <c r="BQ121" i="3" s="1"/>
  <c r="BB82" i="3"/>
  <c r="BC82" i="3"/>
  <c r="BM82" i="3" a="1"/>
  <c r="BM82" i="3" s="1"/>
  <c r="BQ82" i="3" s="1"/>
  <c r="P43" i="5"/>
  <c r="Q43" i="5"/>
  <c r="R43" i="5"/>
  <c r="AC126" i="1"/>
  <c r="O126" i="5" s="1"/>
  <c r="AU43" i="3"/>
  <c r="AG43" i="1"/>
  <c r="AE43" i="1"/>
  <c r="AD43" i="1"/>
  <c r="AF43" i="1"/>
  <c r="AU38" i="3"/>
  <c r="AU63" i="3"/>
  <c r="AU64" i="3"/>
  <c r="AU41" i="3"/>
  <c r="AU47" i="3"/>
  <c r="AU70" i="3"/>
  <c r="AU10" i="3"/>
  <c r="AU78" i="3"/>
  <c r="AU40" i="3"/>
  <c r="AU124" i="3"/>
  <c r="AU29" i="3"/>
  <c r="AU95" i="3"/>
  <c r="AU23" i="3"/>
  <c r="AU90" i="3"/>
  <c r="AU67" i="3"/>
  <c r="AU61" i="3"/>
  <c r="AU72" i="3"/>
  <c r="AU48" i="3"/>
  <c r="AU24" i="3"/>
  <c r="AU32" i="3"/>
  <c r="AU34" i="3"/>
  <c r="AU71" i="3"/>
  <c r="AU28" i="3"/>
  <c r="AU37" i="3"/>
  <c r="AU75" i="3"/>
  <c r="AU62" i="3"/>
  <c r="AC62" i="1" s="1"/>
  <c r="O62" i="5" s="1"/>
  <c r="AU128" i="3"/>
  <c r="AC128" i="1" s="1"/>
  <c r="O128" i="5" s="1"/>
  <c r="AT130" i="3"/>
  <c r="AT160" i="3"/>
  <c r="AT158" i="3"/>
  <c r="AT150" i="3"/>
  <c r="AS119" i="3"/>
  <c r="BP119" i="1" s="1"/>
  <c r="AS116" i="3"/>
  <c r="BP116" i="1" s="1"/>
  <c r="AS77" i="3"/>
  <c r="BP77" i="1" s="1"/>
  <c r="AS146" i="3"/>
  <c r="AS134" i="3"/>
  <c r="AS79" i="3"/>
  <c r="AS99" i="3"/>
  <c r="AS93" i="3"/>
  <c r="AS57" i="3"/>
  <c r="BP57" i="1" s="1"/>
  <c r="AS149" i="3"/>
  <c r="AS150" i="3"/>
  <c r="AS131" i="3"/>
  <c r="AS115" i="3"/>
  <c r="AS76" i="3"/>
  <c r="BP76" i="1" s="1"/>
  <c r="AS123" i="3"/>
  <c r="AS109" i="3"/>
  <c r="BP109" i="1" s="1"/>
  <c r="AS59" i="3"/>
  <c r="AS158" i="3"/>
  <c r="AS142" i="3"/>
  <c r="AS137" i="3"/>
  <c r="AS120" i="3"/>
  <c r="AS111" i="3"/>
  <c r="AS89" i="3"/>
  <c r="BP89" i="1" s="1"/>
  <c r="AS151" i="3"/>
  <c r="AS141" i="3"/>
  <c r="AS110" i="3"/>
  <c r="AS62" i="3"/>
  <c r="AS144" i="3"/>
  <c r="AS130" i="3"/>
  <c r="AS126" i="3"/>
  <c r="AS139" i="3"/>
  <c r="AS136" i="3"/>
  <c r="AS117" i="3"/>
  <c r="AS114" i="3"/>
  <c r="AS100" i="3"/>
  <c r="AS157" i="3"/>
  <c r="AS154" i="3"/>
  <c r="AS148" i="3"/>
  <c r="AS128" i="3"/>
  <c r="AS94" i="3"/>
  <c r="AS60" i="3"/>
  <c r="AS58" i="3"/>
  <c r="AS56" i="3"/>
  <c r="BP56" i="1" s="1"/>
  <c r="AS159" i="3"/>
  <c r="AS156" i="3"/>
  <c r="AS153" i="3"/>
  <c r="AS143" i="3"/>
  <c r="AS145" i="3"/>
  <c r="AS138" i="3"/>
  <c r="AS133" i="3"/>
  <c r="AS155" i="3"/>
  <c r="AS152" i="3"/>
  <c r="AS147" i="3"/>
  <c r="AS140" i="3"/>
  <c r="AS118" i="3"/>
  <c r="R27" i="1" l="1"/>
  <c r="R125" i="1"/>
  <c r="AS165" i="3"/>
  <c r="AS162" i="3"/>
  <c r="AY50" i="3"/>
  <c r="BL50" i="3"/>
  <c r="R66" i="1"/>
  <c r="AY85" i="3"/>
  <c r="R67" i="1"/>
  <c r="T67" i="1" s="1"/>
  <c r="BI17" i="3"/>
  <c r="BS45" i="1"/>
  <c r="R44" i="1"/>
  <c r="T44" i="1" s="1"/>
  <c r="AR66" i="3"/>
  <c r="AR61" i="3"/>
  <c r="AY97" i="3"/>
  <c r="AY96" i="3"/>
  <c r="AY88" i="3"/>
  <c r="AY66" i="3"/>
  <c r="AY68" i="3"/>
  <c r="AY64" i="3"/>
  <c r="BK64" i="3" s="1"/>
  <c r="BI50" i="3"/>
  <c r="AR36" i="3"/>
  <c r="AY53" i="3"/>
  <c r="AR83" i="3"/>
  <c r="AR29" i="3"/>
  <c r="AR125" i="3"/>
  <c r="AR85" i="3"/>
  <c r="AY34" i="3"/>
  <c r="AR49" i="3"/>
  <c r="BS48" i="1"/>
  <c r="R42" i="1"/>
  <c r="AR121" i="3"/>
  <c r="AR129" i="3"/>
  <c r="AR10" i="3"/>
  <c r="AY36" i="3"/>
  <c r="AY42" i="3"/>
  <c r="R97" i="1"/>
  <c r="V97" i="1" s="1"/>
  <c r="AR24" i="3"/>
  <c r="AH82" i="1"/>
  <c r="S82" i="5" s="1"/>
  <c r="AR12" i="3"/>
  <c r="AY83" i="3"/>
  <c r="BI125" i="3"/>
  <c r="AY21" i="3"/>
  <c r="AR84" i="3"/>
  <c r="AH85" i="1"/>
  <c r="AI85" i="1" s="1"/>
  <c r="AH32" i="1"/>
  <c r="AK32" i="1" s="1"/>
  <c r="AY121" i="3"/>
  <c r="AR68" i="3"/>
  <c r="AR21" i="3"/>
  <c r="AY32" i="3"/>
  <c r="BK32" i="3" s="1"/>
  <c r="BS44" i="1"/>
  <c r="BS12" i="1"/>
  <c r="AR35" i="3"/>
  <c r="AR54" i="3"/>
  <c r="AR69" i="3"/>
  <c r="R49" i="1"/>
  <c r="AY12" i="3"/>
  <c r="AY38" i="3"/>
  <c r="BK38" i="3" s="1"/>
  <c r="R47" i="1"/>
  <c r="G47" i="5" s="1"/>
  <c r="AR82" i="3"/>
  <c r="AY69" i="3"/>
  <c r="AY129" i="3"/>
  <c r="AR42" i="3"/>
  <c r="AR32" i="3"/>
  <c r="AY82" i="3"/>
  <c r="AY87" i="3"/>
  <c r="AY95" i="3"/>
  <c r="BJ45" i="3"/>
  <c r="BR45" i="3"/>
  <c r="G27" i="5"/>
  <c r="U27" i="1"/>
  <c r="S27" i="1"/>
  <c r="T27" i="1"/>
  <c r="V27" i="1"/>
  <c r="BS27" i="3"/>
  <c r="BO27" i="3"/>
  <c r="AM9" i="1"/>
  <c r="BI9" i="1"/>
  <c r="AK34" i="1"/>
  <c r="S34" i="5"/>
  <c r="AJ34" i="1"/>
  <c r="AL34" i="1"/>
  <c r="AI34" i="1"/>
  <c r="AM26" i="1"/>
  <c r="BI26" i="1"/>
  <c r="AK14" i="1"/>
  <c r="S14" i="5"/>
  <c r="AL14" i="1"/>
  <c r="AJ14" i="1"/>
  <c r="AI14" i="1"/>
  <c r="BS54" i="1"/>
  <c r="BD54" i="1"/>
  <c r="BE54" i="1"/>
  <c r="BN54" i="1" s="1" a="1"/>
  <c r="BN54" i="1" s="1"/>
  <c r="CB54" i="1"/>
  <c r="BI25" i="1"/>
  <c r="AM25" i="1"/>
  <c r="BD47" i="1"/>
  <c r="BE47" i="1"/>
  <c r="CB47" i="1"/>
  <c r="BX32" i="1"/>
  <c r="BY32" i="1" s="1"/>
  <c r="AM32" i="1"/>
  <c r="BI32" i="1"/>
  <c r="E37" i="5"/>
  <c r="BH37" i="3"/>
  <c r="F37" i="5" s="1"/>
  <c r="BO44" i="3"/>
  <c r="BS44" i="3"/>
  <c r="H33" i="5"/>
  <c r="I33" i="5"/>
  <c r="J33" i="5"/>
  <c r="BH97" i="3"/>
  <c r="F97" i="5" s="1"/>
  <c r="E97" i="5"/>
  <c r="BX97" i="1"/>
  <c r="AM97" i="1"/>
  <c r="BI97" i="1"/>
  <c r="S125" i="5"/>
  <c r="AI125" i="1"/>
  <c r="AJ125" i="1"/>
  <c r="AK125" i="1"/>
  <c r="AL125" i="1"/>
  <c r="U41" i="1"/>
  <c r="G41" i="5"/>
  <c r="V41" i="1"/>
  <c r="T41" i="1"/>
  <c r="S41" i="1"/>
  <c r="BL41" i="3"/>
  <c r="BH121" i="3"/>
  <c r="F121" i="5" s="1"/>
  <c r="E121" i="5"/>
  <c r="AI121" i="1"/>
  <c r="AJ121" i="1"/>
  <c r="AK121" i="1"/>
  <c r="AL121" i="1"/>
  <c r="S121" i="5"/>
  <c r="BL121" i="3"/>
  <c r="BI121" i="3"/>
  <c r="BI67" i="1"/>
  <c r="AM67" i="1"/>
  <c r="BH22" i="3"/>
  <c r="F22" i="5" s="1"/>
  <c r="E22" i="5"/>
  <c r="AK87" i="1"/>
  <c r="S87" i="5"/>
  <c r="AL87" i="1"/>
  <c r="AI87" i="1"/>
  <c r="AJ87" i="1"/>
  <c r="AM49" i="1"/>
  <c r="BI49" i="1"/>
  <c r="BX49" i="1"/>
  <c r="BS29" i="1"/>
  <c r="BD29" i="1"/>
  <c r="BE29" i="1"/>
  <c r="BN29" i="1" s="1" a="1"/>
  <c r="BN29" i="1" s="1"/>
  <c r="CB29" i="1"/>
  <c r="E21" i="5"/>
  <c r="BH21" i="3"/>
  <c r="F21" i="5" s="1"/>
  <c r="AP12" i="1"/>
  <c r="BQ12" i="1" s="1"/>
  <c r="BE17" i="1"/>
  <c r="CB17" i="1"/>
  <c r="BD17" i="1"/>
  <c r="T86" i="1"/>
  <c r="G86" i="5"/>
  <c r="U86" i="1"/>
  <c r="S86" i="1"/>
  <c r="V86" i="1"/>
  <c r="BE64" i="1"/>
  <c r="BN64" i="1" s="1" a="1"/>
  <c r="BN64" i="1" s="1"/>
  <c r="BS64" i="1"/>
  <c r="BD64" i="1"/>
  <c r="CB64" i="1"/>
  <c r="V33" i="5"/>
  <c r="T33" i="5"/>
  <c r="U33" i="5"/>
  <c r="S46" i="5"/>
  <c r="AL46" i="1"/>
  <c r="AK46" i="1"/>
  <c r="AI46" i="1"/>
  <c r="AJ46" i="1"/>
  <c r="AP18" i="1"/>
  <c r="BQ18" i="1" s="1"/>
  <c r="AK36" i="1"/>
  <c r="S36" i="5"/>
  <c r="AL36" i="1"/>
  <c r="AI36" i="1"/>
  <c r="AJ36" i="1"/>
  <c r="BI27" i="3"/>
  <c r="BL27" i="3"/>
  <c r="BX72" i="1"/>
  <c r="BI72" i="1"/>
  <c r="AM72" i="1"/>
  <c r="BS85" i="1"/>
  <c r="BE85" i="1"/>
  <c r="BN85" i="1" s="1" a="1"/>
  <c r="BN85" i="1" s="1"/>
  <c r="CB85" i="1"/>
  <c r="BD85" i="1"/>
  <c r="AP85" i="1"/>
  <c r="BQ85" i="1" s="1"/>
  <c r="BE34" i="1"/>
  <c r="BN34" i="1" s="1" a="1"/>
  <c r="BN34" i="1" s="1"/>
  <c r="BD34" i="1"/>
  <c r="CB34" i="1"/>
  <c r="BS34" i="1"/>
  <c r="AP34" i="1"/>
  <c r="BQ34" i="1" s="1"/>
  <c r="S26" i="5"/>
  <c r="AJ26" i="1"/>
  <c r="AL26" i="1"/>
  <c r="AK26" i="1"/>
  <c r="AI26" i="1"/>
  <c r="G54" i="5"/>
  <c r="U54" i="1"/>
  <c r="T54" i="1"/>
  <c r="S54" i="1"/>
  <c r="V54" i="1"/>
  <c r="BO37" i="3"/>
  <c r="BS37" i="3" s="1"/>
  <c r="AY44" i="3"/>
  <c r="S44" i="1"/>
  <c r="BI44" i="3"/>
  <c r="BL44" i="3"/>
  <c r="AM24" i="1"/>
  <c r="BI24" i="1"/>
  <c r="BX24" i="1"/>
  <c r="BD82" i="1"/>
  <c r="BS82" i="1"/>
  <c r="BE82" i="1"/>
  <c r="BN82" i="1" s="1" a="1"/>
  <c r="BN82" i="1" s="1"/>
  <c r="CB82" i="1"/>
  <c r="AP69" i="1"/>
  <c r="BQ69" i="1" s="1"/>
  <c r="BI96" i="3"/>
  <c r="BL96" i="3"/>
  <c r="S125" i="1"/>
  <c r="G125" i="5"/>
  <c r="U125" i="1"/>
  <c r="V125" i="1"/>
  <c r="T125" i="1"/>
  <c r="AM50" i="1"/>
  <c r="BI50" i="1"/>
  <c r="BX50" i="1"/>
  <c r="S13" i="5"/>
  <c r="AK13" i="1"/>
  <c r="AJ13" i="1"/>
  <c r="AI13" i="1"/>
  <c r="AL13" i="1"/>
  <c r="BI87" i="3"/>
  <c r="BL87" i="3"/>
  <c r="BO112" i="3"/>
  <c r="BS112" i="3"/>
  <c r="BS49" i="3"/>
  <c r="BO49" i="3"/>
  <c r="S10" i="5"/>
  <c r="AK10" i="1"/>
  <c r="AJ10" i="1"/>
  <c r="AI10" i="1"/>
  <c r="AL10" i="1"/>
  <c r="AJ61" i="1"/>
  <c r="AL61" i="1"/>
  <c r="AK61" i="1"/>
  <c r="AI61" i="1"/>
  <c r="S61" i="5"/>
  <c r="AI29" i="1"/>
  <c r="S29" i="5"/>
  <c r="AK29" i="1"/>
  <c r="AJ29" i="1"/>
  <c r="AL29" i="1"/>
  <c r="CB21" i="1"/>
  <c r="BD21" i="1"/>
  <c r="BE21" i="1"/>
  <c r="BN21" i="1" s="1" a="1"/>
  <c r="BN21" i="1" s="1"/>
  <c r="S21" i="5"/>
  <c r="AI21" i="1"/>
  <c r="AK21" i="1"/>
  <c r="AJ21" i="1"/>
  <c r="AL21" i="1"/>
  <c r="AP53" i="1"/>
  <c r="BQ53" i="1" s="1"/>
  <c r="BH38" i="3"/>
  <c r="F38" i="5" s="1"/>
  <c r="E38" i="5"/>
  <c r="AY17" i="3"/>
  <c r="BL17" i="3"/>
  <c r="BH83" i="3"/>
  <c r="F83" i="5" s="1"/>
  <c r="E83" i="5"/>
  <c r="S83" i="1"/>
  <c r="U83" i="1"/>
  <c r="V83" i="1"/>
  <c r="G83" i="5"/>
  <c r="T83" i="1"/>
  <c r="CB88" i="1"/>
  <c r="BD88" i="1"/>
  <c r="BE88" i="1"/>
  <c r="BS88" i="1"/>
  <c r="G18" i="5"/>
  <c r="U18" i="1"/>
  <c r="S18" i="1"/>
  <c r="T18" i="1"/>
  <c r="V18" i="1"/>
  <c r="S45" i="1"/>
  <c r="T45" i="1"/>
  <c r="V45" i="1"/>
  <c r="U45" i="1"/>
  <c r="G45" i="5"/>
  <c r="AK42" i="1"/>
  <c r="S42" i="5"/>
  <c r="AL42" i="1"/>
  <c r="AI42" i="1"/>
  <c r="AJ42" i="1"/>
  <c r="BS42" i="3"/>
  <c r="BO42" i="3"/>
  <c r="AP27" i="1"/>
  <c r="BQ27" i="1" s="1"/>
  <c r="AM30" i="1"/>
  <c r="BI30" i="1"/>
  <c r="R72" i="1"/>
  <c r="G34" i="5"/>
  <c r="U34" i="1"/>
  <c r="T34" i="1"/>
  <c r="V34" i="1"/>
  <c r="S34" i="1"/>
  <c r="AP54" i="1"/>
  <c r="BQ54" i="1" s="1"/>
  <c r="AL54" i="1"/>
  <c r="S54" i="5"/>
  <c r="AJ54" i="1"/>
  <c r="AI54" i="1"/>
  <c r="AK54" i="1"/>
  <c r="BH47" i="3"/>
  <c r="F47" i="5" s="1"/>
  <c r="E47" i="5"/>
  <c r="AY37" i="3"/>
  <c r="BK37" i="3" s="1"/>
  <c r="BL37" i="3"/>
  <c r="BI37" i="3"/>
  <c r="BE44" i="1"/>
  <c r="CB44" i="1"/>
  <c r="BD44" i="1"/>
  <c r="BS24" i="1"/>
  <c r="BD24" i="1"/>
  <c r="BE24" i="1" s="1"/>
  <c r="BN24" i="1" s="1" a="1"/>
  <c r="BN24" i="1" s="1"/>
  <c r="CB24" i="1"/>
  <c r="R48" i="1"/>
  <c r="AM48" i="1"/>
  <c r="BI48" i="1"/>
  <c r="AP82" i="1"/>
  <c r="BQ82" i="1" s="1"/>
  <c r="S69" i="5"/>
  <c r="AI69" i="1"/>
  <c r="AJ69" i="1"/>
  <c r="AL69" i="1"/>
  <c r="AK69" i="1"/>
  <c r="BS96" i="3"/>
  <c r="BO96" i="3"/>
  <c r="G23" i="5"/>
  <c r="T23" i="1"/>
  <c r="V23" i="1"/>
  <c r="S23" i="1"/>
  <c r="U23" i="1"/>
  <c r="AP23" i="1"/>
  <c r="BQ23" i="1" s="1"/>
  <c r="R22" i="1"/>
  <c r="BH87" i="3"/>
  <c r="F87" i="5" s="1"/>
  <c r="E87" i="5"/>
  <c r="BH129" i="3"/>
  <c r="F129" i="5" s="1"/>
  <c r="E129" i="5"/>
  <c r="BI49" i="3"/>
  <c r="BL49" i="3"/>
  <c r="AJ63" i="1"/>
  <c r="S63" i="5"/>
  <c r="AI63" i="1"/>
  <c r="AL63" i="1"/>
  <c r="AK63" i="1"/>
  <c r="AY10" i="3"/>
  <c r="BK10" i="3" s="1"/>
  <c r="AP10" i="1"/>
  <c r="BQ10" i="1" s="1"/>
  <c r="BI10" i="3"/>
  <c r="BL10" i="3"/>
  <c r="AL16" i="1"/>
  <c r="S16" i="5"/>
  <c r="AJ16" i="1"/>
  <c r="AI16" i="1"/>
  <c r="AK16" i="1"/>
  <c r="U16" i="1"/>
  <c r="G16" i="5"/>
  <c r="T16" i="1"/>
  <c r="S16" i="1"/>
  <c r="V16" i="1"/>
  <c r="AR95" i="3"/>
  <c r="AL95" i="1"/>
  <c r="S95" i="5"/>
  <c r="AJ95" i="1"/>
  <c r="AI95" i="1"/>
  <c r="AK95" i="1"/>
  <c r="BL68" i="3"/>
  <c r="BI68" i="3"/>
  <c r="BI29" i="3"/>
  <c r="BL29" i="3"/>
  <c r="BI21" i="1"/>
  <c r="AM21" i="1"/>
  <c r="BX21" i="1"/>
  <c r="R53" i="1"/>
  <c r="AI53" i="1"/>
  <c r="AJ53" i="1"/>
  <c r="AL53" i="1"/>
  <c r="AK53" i="1"/>
  <c r="S53" i="5"/>
  <c r="AR20" i="3"/>
  <c r="BD35" i="1"/>
  <c r="BE35" i="1" s="1"/>
  <c r="BN35" i="1" s="1" a="1"/>
  <c r="BN35" i="1" s="1"/>
  <c r="BS35" i="1"/>
  <c r="CB35" i="1"/>
  <c r="AP35" i="1"/>
  <c r="BQ35" i="1" s="1"/>
  <c r="BI66" i="1"/>
  <c r="BX66" i="1"/>
  <c r="AM66" i="1"/>
  <c r="AP64" i="1"/>
  <c r="BQ64" i="1" s="1"/>
  <c r="BH88" i="3"/>
  <c r="F88" i="5" s="1"/>
  <c r="E88" i="5"/>
  <c r="BL88" i="3"/>
  <c r="BI88" i="3"/>
  <c r="E40" i="5"/>
  <c r="BH40" i="3"/>
  <c r="F40" i="5" s="1"/>
  <c r="BL40" i="3"/>
  <c r="BI40" i="3"/>
  <c r="AM46" i="1"/>
  <c r="BI46" i="1"/>
  <c r="BD18" i="1"/>
  <c r="CB18" i="1"/>
  <c r="BE18" i="1"/>
  <c r="BN18" i="1" s="1" a="1"/>
  <c r="BN18" i="1" s="1"/>
  <c r="BS18" i="1"/>
  <c r="BJ53" i="3"/>
  <c r="BR53" i="3"/>
  <c r="U84" i="1"/>
  <c r="G84" i="5"/>
  <c r="T84" i="1"/>
  <c r="S84" i="1"/>
  <c r="V84" i="1"/>
  <c r="BL42" i="3"/>
  <c r="BI42" i="3"/>
  <c r="V74" i="1"/>
  <c r="S74" i="1"/>
  <c r="G74" i="5"/>
  <c r="T74" i="1"/>
  <c r="U74" i="1"/>
  <c r="BO34" i="3"/>
  <c r="BS34" i="3" s="1"/>
  <c r="BK34" i="3"/>
  <c r="BI34" i="3"/>
  <c r="BL34" i="3"/>
  <c r="T132" i="1"/>
  <c r="S132" i="1"/>
  <c r="V132" i="1"/>
  <c r="G132" i="5"/>
  <c r="U132" i="1"/>
  <c r="BI54" i="3"/>
  <c r="BL54" i="3"/>
  <c r="AY47" i="3"/>
  <c r="BK47" i="3" s="1"/>
  <c r="S47" i="5"/>
  <c r="AI47" i="1"/>
  <c r="AL47" i="1"/>
  <c r="AK47" i="1"/>
  <c r="AJ47" i="1"/>
  <c r="S32" i="5"/>
  <c r="AI32" i="1"/>
  <c r="AJ32" i="1"/>
  <c r="AL32" i="1"/>
  <c r="AK24" i="1"/>
  <c r="S24" i="5"/>
  <c r="AJ24" i="1"/>
  <c r="AI24" i="1"/>
  <c r="AL24" i="1"/>
  <c r="BI96" i="1"/>
  <c r="AM96" i="1"/>
  <c r="BX96" i="1"/>
  <c r="AR96" i="3"/>
  <c r="AY125" i="3"/>
  <c r="BL125" i="3"/>
  <c r="BX121" i="1"/>
  <c r="BI121" i="1"/>
  <c r="AM121" i="1"/>
  <c r="S124" i="1"/>
  <c r="T124" i="1"/>
  <c r="G124" i="5"/>
  <c r="U124" i="1"/>
  <c r="V124" i="1"/>
  <c r="BO10" i="3"/>
  <c r="BS10" i="3" s="1"/>
  <c r="AM10" i="1"/>
  <c r="BX10" i="1"/>
  <c r="BI10" i="1"/>
  <c r="AY61" i="3"/>
  <c r="BK61" i="3" s="1"/>
  <c r="BI61" i="1"/>
  <c r="AM61" i="1"/>
  <c r="BK95" i="3"/>
  <c r="BO95" i="3"/>
  <c r="BS95" i="3" s="1"/>
  <c r="S52" i="5"/>
  <c r="AL52" i="1"/>
  <c r="AJ52" i="1"/>
  <c r="AK52" i="1"/>
  <c r="AI52" i="1"/>
  <c r="BS21" i="1"/>
  <c r="BH12" i="3"/>
  <c r="F12" i="5" s="1"/>
  <c r="E12" i="5"/>
  <c r="AM20" i="1"/>
  <c r="BX20" i="1"/>
  <c r="BI20" i="1"/>
  <c r="BH17" i="3"/>
  <c r="F17" i="5" s="1"/>
  <c r="E17" i="5"/>
  <c r="U17" i="1"/>
  <c r="G17" i="5"/>
  <c r="S17" i="1"/>
  <c r="T17" i="1"/>
  <c r="V17" i="1"/>
  <c r="G35" i="5"/>
  <c r="T35" i="1"/>
  <c r="U35" i="1"/>
  <c r="S35" i="1"/>
  <c r="V35" i="1"/>
  <c r="AM64" i="1"/>
  <c r="BX64" i="1"/>
  <c r="BI64" i="1"/>
  <c r="AR88" i="3"/>
  <c r="AP84" i="1"/>
  <c r="BQ84" i="1" s="1"/>
  <c r="BH36" i="3"/>
  <c r="F36" i="5" s="1"/>
  <c r="E36" i="5"/>
  <c r="BL36" i="3"/>
  <c r="BI36" i="3"/>
  <c r="E42" i="5"/>
  <c r="BH42" i="3"/>
  <c r="F42" i="5" s="1"/>
  <c r="BJ27" i="3"/>
  <c r="BR27" i="3"/>
  <c r="BD27" i="1"/>
  <c r="BS27" i="1"/>
  <c r="BE27" i="1"/>
  <c r="BN27" i="1" s="1" a="1"/>
  <c r="BN27" i="1" s="1"/>
  <c r="BU27" i="1"/>
  <c r="CB27" i="1"/>
  <c r="G15" i="5"/>
  <c r="T15" i="1"/>
  <c r="S15" i="1"/>
  <c r="V15" i="1"/>
  <c r="U15" i="1"/>
  <c r="U30" i="1"/>
  <c r="T30" i="1"/>
  <c r="G30" i="5"/>
  <c r="S30" i="1"/>
  <c r="V30" i="1"/>
  <c r="V85" i="1"/>
  <c r="G85" i="5"/>
  <c r="T85" i="1"/>
  <c r="U85" i="1"/>
  <c r="S85" i="1"/>
  <c r="U14" i="1"/>
  <c r="G14" i="5"/>
  <c r="S14" i="1"/>
  <c r="V14" i="1"/>
  <c r="T14" i="1"/>
  <c r="AP47" i="1"/>
  <c r="BQ47" i="1" s="1"/>
  <c r="AP32" i="1"/>
  <c r="BQ32" i="1" s="1"/>
  <c r="AP97" i="1"/>
  <c r="BQ97" i="1" s="1"/>
  <c r="BL69" i="3"/>
  <c r="BI69" i="3"/>
  <c r="BI23" i="3"/>
  <c r="BL23" i="3"/>
  <c r="AP125" i="1"/>
  <c r="BQ125" i="1" s="1"/>
  <c r="BS50" i="1"/>
  <c r="BD50" i="1"/>
  <c r="BE50" i="1"/>
  <c r="BN50" i="1" s="1" a="1"/>
  <c r="BN50" i="1" s="1"/>
  <c r="CB50" i="1"/>
  <c r="T87" i="1"/>
  <c r="G87" i="5"/>
  <c r="U87" i="1"/>
  <c r="V87" i="1"/>
  <c r="S87" i="1"/>
  <c r="AJ129" i="1"/>
  <c r="S129" i="5"/>
  <c r="AI129" i="1"/>
  <c r="AL129" i="1"/>
  <c r="AK129" i="1"/>
  <c r="E10" i="5"/>
  <c r="BH10" i="3"/>
  <c r="F10" i="5" s="1"/>
  <c r="BL61" i="3"/>
  <c r="BI61" i="3"/>
  <c r="BD95" i="1"/>
  <c r="BE95" i="1"/>
  <c r="BN95" i="1" s="1" a="1"/>
  <c r="BN95" i="1" s="1"/>
  <c r="CB95" i="1"/>
  <c r="S95" i="1"/>
  <c r="V95" i="1"/>
  <c r="G95" i="5"/>
  <c r="U95" i="1"/>
  <c r="T95" i="1"/>
  <c r="CB68" i="1"/>
  <c r="BS68" i="1"/>
  <c r="BE68" i="1"/>
  <c r="BN68" i="1" s="1" a="1"/>
  <c r="BN68" i="1" s="1"/>
  <c r="BD68" i="1"/>
  <c r="AY29" i="1"/>
  <c r="AP29" i="1"/>
  <c r="BQ29" i="1" s="1"/>
  <c r="G20" i="5"/>
  <c r="S20" i="1"/>
  <c r="V20" i="1"/>
  <c r="U20" i="1"/>
  <c r="T20" i="1"/>
  <c r="BO17" i="3"/>
  <c r="BS17" i="3" s="1"/>
  <c r="BS66" i="1"/>
  <c r="CB66" i="1"/>
  <c r="BD66" i="1"/>
  <c r="BE66" i="1"/>
  <c r="BN66" i="1" s="1" a="1"/>
  <c r="BN66" i="1" s="1"/>
  <c r="AP66" i="1"/>
  <c r="BQ66" i="1" s="1"/>
  <c r="BL64" i="3"/>
  <c r="BI64" i="3"/>
  <c r="U19" i="1"/>
  <c r="G19" i="5"/>
  <c r="S19" i="1"/>
  <c r="T19" i="1"/>
  <c r="V19" i="1"/>
  <c r="U88" i="1"/>
  <c r="G88" i="5"/>
  <c r="V88" i="1"/>
  <c r="T88" i="1"/>
  <c r="S88" i="1"/>
  <c r="BS88" i="3"/>
  <c r="BO88" i="3"/>
  <c r="AY40" i="3"/>
  <c r="BG40" i="3"/>
  <c r="BR88" i="3"/>
  <c r="BJ88" i="3"/>
  <c r="E27" i="5"/>
  <c r="BH27" i="3"/>
  <c r="F27" i="5" s="1"/>
  <c r="AR72" i="3"/>
  <c r="AP72" i="1"/>
  <c r="BQ72" i="1" s="1"/>
  <c r="E85" i="5"/>
  <c r="BH85" i="3"/>
  <c r="F85" i="5" s="1"/>
  <c r="BX85" i="1"/>
  <c r="AM85" i="1"/>
  <c r="BI85" i="1"/>
  <c r="AR34" i="3"/>
  <c r="BS54" i="3"/>
  <c r="BO54" i="3"/>
  <c r="G25" i="5"/>
  <c r="V25" i="1"/>
  <c r="U25" i="1"/>
  <c r="S25" i="1"/>
  <c r="T25" i="1"/>
  <c r="AY47" i="1"/>
  <c r="T32" i="1"/>
  <c r="U32" i="1"/>
  <c r="G32" i="5"/>
  <c r="V32" i="1"/>
  <c r="S32" i="1"/>
  <c r="BL32" i="3"/>
  <c r="BI32" i="3"/>
  <c r="S37" i="5"/>
  <c r="AL37" i="1"/>
  <c r="AJ37" i="1"/>
  <c r="AI37" i="1"/>
  <c r="AK37" i="1"/>
  <c r="S39" i="5"/>
  <c r="AK39" i="1"/>
  <c r="AL39" i="1"/>
  <c r="AI39" i="1"/>
  <c r="AJ39" i="1"/>
  <c r="S70" i="5"/>
  <c r="AI70" i="1"/>
  <c r="AL70" i="1"/>
  <c r="AJ70" i="1"/>
  <c r="AK70" i="1"/>
  <c r="BH24" i="3"/>
  <c r="F24" i="5" s="1"/>
  <c r="E24" i="5"/>
  <c r="BL48" i="3"/>
  <c r="BI48" i="3"/>
  <c r="BX69" i="1"/>
  <c r="BI69" i="1"/>
  <c r="AM69" i="1"/>
  <c r="BH96" i="3"/>
  <c r="F96" i="5" s="1"/>
  <c r="E96" i="5"/>
  <c r="AP96" i="1"/>
  <c r="BQ96" i="1" s="1"/>
  <c r="AR23" i="3"/>
  <c r="BH125" i="3"/>
  <c r="F125" i="5" s="1"/>
  <c r="E125" i="5"/>
  <c r="AY41" i="3"/>
  <c r="BK41" i="3" s="1"/>
  <c r="AP41" i="1"/>
  <c r="BQ41" i="1" s="1"/>
  <c r="U67" i="1"/>
  <c r="S67" i="1"/>
  <c r="V67" i="1"/>
  <c r="G67" i="5"/>
  <c r="AR22" i="3"/>
  <c r="AP22" i="1"/>
  <c r="BQ22" i="1" s="1"/>
  <c r="BX95" i="1"/>
  <c r="BI95" i="1"/>
  <c r="AM95" i="1"/>
  <c r="BL95" i="3"/>
  <c r="BI95" i="3"/>
  <c r="BH68" i="3"/>
  <c r="F68" i="5" s="1"/>
  <c r="E68" i="5"/>
  <c r="AM52" i="1"/>
  <c r="BI52" i="1"/>
  <c r="AJ12" i="1"/>
  <c r="AL12" i="1"/>
  <c r="AI12" i="1"/>
  <c r="AK12" i="1"/>
  <c r="S12" i="5"/>
  <c r="BH53" i="3"/>
  <c r="F53" i="5" s="1"/>
  <c r="E53" i="5"/>
  <c r="CB20" i="1"/>
  <c r="BD20" i="1"/>
  <c r="BE20" i="1" s="1"/>
  <c r="BN20" i="1" s="1" a="1"/>
  <c r="BN20" i="1" s="1"/>
  <c r="BS20" i="1"/>
  <c r="BL20" i="3"/>
  <c r="BI20" i="3"/>
  <c r="BH35" i="3"/>
  <c r="F35" i="5" s="1"/>
  <c r="E35" i="5"/>
  <c r="AM35" i="1"/>
  <c r="BI35" i="1"/>
  <c r="BX35" i="1"/>
  <c r="BY35" i="1" s="1"/>
  <c r="AI78" i="1"/>
  <c r="S78" i="5"/>
  <c r="AK78" i="1"/>
  <c r="AL78" i="1"/>
  <c r="AJ78" i="1"/>
  <c r="BO46" i="3"/>
  <c r="BS46" i="3"/>
  <c r="AK45" i="1"/>
  <c r="S45" i="5"/>
  <c r="AJ45" i="1"/>
  <c r="AI45" i="1"/>
  <c r="AL45" i="1"/>
  <c r="BJ50" i="3"/>
  <c r="AY27" i="3"/>
  <c r="S15" i="5"/>
  <c r="AL15" i="1"/>
  <c r="AJ15" i="1"/>
  <c r="AI15" i="1"/>
  <c r="AK15" i="1"/>
  <c r="BL85" i="3"/>
  <c r="BI85" i="3"/>
  <c r="BH34" i="3"/>
  <c r="F34" i="5" s="1"/>
  <c r="E34" i="5"/>
  <c r="BS26" i="3"/>
  <c r="BO26" i="3"/>
  <c r="AI71" i="1"/>
  <c r="S71" i="5"/>
  <c r="AL71" i="1"/>
  <c r="AJ71" i="1"/>
  <c r="AK71" i="1"/>
  <c r="AY54" i="3"/>
  <c r="BN44" i="1" a="1"/>
  <c r="BN44" i="1" s="1"/>
  <c r="BI44" i="1"/>
  <c r="AM44" i="1"/>
  <c r="BX44" i="1"/>
  <c r="AY24" i="3"/>
  <c r="BK24" i="3" s="1"/>
  <c r="BY48" i="1"/>
  <c r="AP48" i="1"/>
  <c r="BQ48" i="1" s="1"/>
  <c r="U82" i="1"/>
  <c r="S82" i="1"/>
  <c r="G82" i="5"/>
  <c r="V82" i="1"/>
  <c r="T82" i="1"/>
  <c r="BH69" i="3"/>
  <c r="F69" i="5" s="1"/>
  <c r="E69" i="5"/>
  <c r="AY23" i="3"/>
  <c r="BK23" i="3" s="1"/>
  <c r="AR41" i="3"/>
  <c r="AR50" i="3"/>
  <c r="BD49" i="1"/>
  <c r="BS49" i="1"/>
  <c r="BE49" i="1"/>
  <c r="BN49" i="1" s="1" a="1"/>
  <c r="BN49" i="1" s="1"/>
  <c r="CB49" i="1"/>
  <c r="S49" i="5"/>
  <c r="AI49" i="1"/>
  <c r="AJ49" i="1"/>
  <c r="AK49" i="1"/>
  <c r="AL49" i="1"/>
  <c r="BH95" i="3"/>
  <c r="F95" i="5" s="1"/>
  <c r="E95" i="5"/>
  <c r="AY29" i="3"/>
  <c r="AZ29" i="3" s="1"/>
  <c r="BE53" i="1"/>
  <c r="BN53" i="1" s="1" a="1"/>
  <c r="BN53" i="1" s="1"/>
  <c r="CB53" i="1"/>
  <c r="BS53" i="1"/>
  <c r="BD53" i="1"/>
  <c r="AR53" i="3"/>
  <c r="AY20" i="3"/>
  <c r="S38" i="5"/>
  <c r="AK38" i="1"/>
  <c r="AL38" i="1"/>
  <c r="AI38" i="1"/>
  <c r="AJ38" i="1"/>
  <c r="U126" i="5"/>
  <c r="T126" i="5"/>
  <c r="V126" i="5"/>
  <c r="AY35" i="3"/>
  <c r="BL35" i="3"/>
  <c r="BI35" i="3"/>
  <c r="BX83" i="1"/>
  <c r="BI83" i="1"/>
  <c r="AM83" i="1"/>
  <c r="AJ66" i="1"/>
  <c r="S66" i="5"/>
  <c r="AL66" i="1"/>
  <c r="AK66" i="1"/>
  <c r="AI66" i="1"/>
  <c r="BO64" i="3"/>
  <c r="BS64" i="3" s="1"/>
  <c r="BI88" i="1"/>
  <c r="BX88" i="1"/>
  <c r="AM88" i="1"/>
  <c r="BN88" i="1" a="1"/>
  <c r="BN88" i="1" s="1"/>
  <c r="S40" i="5"/>
  <c r="AL40" i="1"/>
  <c r="AJ40" i="1"/>
  <c r="AI40" i="1"/>
  <c r="AK40" i="1"/>
  <c r="AM18" i="1"/>
  <c r="BI18" i="1"/>
  <c r="BX18" i="1"/>
  <c r="BD45" i="1"/>
  <c r="BE45" i="1"/>
  <c r="BN45" i="1" s="1" a="1"/>
  <c r="BN45" i="1" s="1"/>
  <c r="CB45" i="1"/>
  <c r="AM45" i="1"/>
  <c r="BI45" i="1"/>
  <c r="BX45" i="1"/>
  <c r="AP45" i="1"/>
  <c r="BQ45" i="1" s="1"/>
  <c r="BI84" i="3"/>
  <c r="BL84" i="3"/>
  <c r="AP36" i="1"/>
  <c r="BQ36" i="1" s="1"/>
  <c r="AJ27" i="1"/>
  <c r="S27" i="5"/>
  <c r="AL27" i="1"/>
  <c r="AK27" i="1"/>
  <c r="AI27" i="1"/>
  <c r="AM28" i="1"/>
  <c r="BI28" i="1"/>
  <c r="AY72" i="3"/>
  <c r="BK72" i="3" s="1"/>
  <c r="G71" i="5"/>
  <c r="S71" i="1"/>
  <c r="U71" i="1"/>
  <c r="V71" i="1"/>
  <c r="T71" i="1"/>
  <c r="AY54" i="1"/>
  <c r="BH54" i="3"/>
  <c r="F54" i="5" s="1"/>
  <c r="E54" i="5"/>
  <c r="BS47" i="1"/>
  <c r="BI47" i="1"/>
  <c r="BX47" i="1"/>
  <c r="BY47" i="1" s="1"/>
  <c r="AM47" i="1"/>
  <c r="BN47" i="1" a="1"/>
  <c r="BN47" i="1" s="1"/>
  <c r="CB32" i="1"/>
  <c r="BD32" i="1"/>
  <c r="BE32" i="1"/>
  <c r="BN32" i="1" s="1" a="1"/>
  <c r="BN32" i="1" s="1"/>
  <c r="BS32" i="1"/>
  <c r="AM37" i="1"/>
  <c r="BI37" i="1"/>
  <c r="BX37" i="1"/>
  <c r="S39" i="1"/>
  <c r="G39" i="5"/>
  <c r="U39" i="1"/>
  <c r="V39" i="1"/>
  <c r="T39" i="1"/>
  <c r="BL24" i="3"/>
  <c r="BI24" i="3"/>
  <c r="S48" i="5"/>
  <c r="AI48" i="1"/>
  <c r="AK48" i="1"/>
  <c r="AJ48" i="1"/>
  <c r="AL48" i="1"/>
  <c r="BH82" i="3"/>
  <c r="F82" i="5" s="1"/>
  <c r="E82" i="5"/>
  <c r="BL82" i="3"/>
  <c r="BI82" i="3"/>
  <c r="CB96" i="1"/>
  <c r="BD96" i="1"/>
  <c r="BE96" i="1"/>
  <c r="BN96" i="1" s="1" a="1"/>
  <c r="BN96" i="1" s="1"/>
  <c r="BS96" i="1"/>
  <c r="BD23" i="1"/>
  <c r="BE23" i="1" s="1"/>
  <c r="BN23" i="1" s="1" a="1"/>
  <c r="BN23" i="1" s="1"/>
  <c r="CB23" i="1"/>
  <c r="BS23" i="1"/>
  <c r="AK23" i="1"/>
  <c r="S23" i="5"/>
  <c r="AL23" i="1"/>
  <c r="AJ23" i="1"/>
  <c r="AI23" i="1"/>
  <c r="CB41" i="1"/>
  <c r="BD41" i="1"/>
  <c r="BE41" i="1" s="1"/>
  <c r="BN41" i="1" s="1" a="1"/>
  <c r="BN41" i="1" s="1"/>
  <c r="BS41" i="1"/>
  <c r="BE121" i="1"/>
  <c r="BN121" i="1" s="1" a="1"/>
  <c r="BN121" i="1" s="1"/>
  <c r="CB121" i="1"/>
  <c r="BS121" i="1"/>
  <c r="BD121" i="1"/>
  <c r="BS50" i="3"/>
  <c r="BO50" i="3"/>
  <c r="S22" i="5"/>
  <c r="AI22" i="1"/>
  <c r="AL22" i="1"/>
  <c r="AK22" i="1"/>
  <c r="AJ22" i="1"/>
  <c r="AM63" i="1"/>
  <c r="BI63" i="1"/>
  <c r="BI68" i="1"/>
  <c r="BX68" i="1"/>
  <c r="AM68" i="1"/>
  <c r="BF29" i="3"/>
  <c r="BR29" i="3" s="1"/>
  <c r="BO29" i="3"/>
  <c r="BS29" i="3" s="1"/>
  <c r="BS52" i="3"/>
  <c r="BO52" i="3"/>
  <c r="BO53" i="3"/>
  <c r="BS53" i="3"/>
  <c r="BS38" i="1"/>
  <c r="BD38" i="1"/>
  <c r="BE38" i="1" s="1"/>
  <c r="BN38" i="1" s="1" a="1"/>
  <c r="BN38" i="1" s="1"/>
  <c r="CB38" i="1"/>
  <c r="T78" i="1"/>
  <c r="G78" i="5"/>
  <c r="V78" i="1"/>
  <c r="S78" i="1"/>
  <c r="U78" i="1"/>
  <c r="T66" i="1"/>
  <c r="G66" i="5"/>
  <c r="V66" i="1"/>
  <c r="U66" i="1"/>
  <c r="S66" i="1"/>
  <c r="BI66" i="3"/>
  <c r="BL66" i="3"/>
  <c r="BH64" i="3"/>
  <c r="F64" i="5" s="1"/>
  <c r="E64" i="5"/>
  <c r="E45" i="5"/>
  <c r="BH45" i="3"/>
  <c r="F45" i="5" s="1"/>
  <c r="BS84" i="1"/>
  <c r="BE84" i="1"/>
  <c r="BN84" i="1" s="1" a="1"/>
  <c r="BN84" i="1" s="1"/>
  <c r="BD84" i="1"/>
  <c r="CB84" i="1"/>
  <c r="BI84" i="1"/>
  <c r="BX84" i="1"/>
  <c r="AM84" i="1"/>
  <c r="BS36" i="1"/>
  <c r="BD36" i="1"/>
  <c r="BE36" i="1" s="1"/>
  <c r="BN36" i="1" s="1" a="1"/>
  <c r="BN36" i="1" s="1"/>
  <c r="CB36" i="1"/>
  <c r="S72" i="5"/>
  <c r="AJ72" i="1"/>
  <c r="AL72" i="1"/>
  <c r="AI72" i="1"/>
  <c r="AK72" i="1"/>
  <c r="AY34" i="1"/>
  <c r="BI34" i="1"/>
  <c r="AM34" i="1"/>
  <c r="BX34" i="1"/>
  <c r="AM54" i="1"/>
  <c r="BI54" i="1"/>
  <c r="BX54" i="1"/>
  <c r="BI47" i="3"/>
  <c r="BL47" i="3"/>
  <c r="E32" i="5"/>
  <c r="BH32" i="3"/>
  <c r="F32" i="5" s="1"/>
  <c r="BI70" i="1"/>
  <c r="AM70" i="1"/>
  <c r="S97" i="5"/>
  <c r="AK97" i="1"/>
  <c r="AJ97" i="1"/>
  <c r="AL97" i="1"/>
  <c r="AI97" i="1"/>
  <c r="AR97" i="3"/>
  <c r="BH48" i="3"/>
  <c r="F48" i="5" s="1"/>
  <c r="E48" i="5"/>
  <c r="R96" i="1"/>
  <c r="V90" i="1"/>
  <c r="G90" i="5"/>
  <c r="T90" i="1"/>
  <c r="U90" i="1"/>
  <c r="S90" i="1"/>
  <c r="E23" i="5"/>
  <c r="BH23" i="3"/>
  <c r="F23" i="5" s="1"/>
  <c r="S41" i="5"/>
  <c r="AJ41" i="1"/>
  <c r="AI41" i="1"/>
  <c r="AK41" i="1"/>
  <c r="AL41" i="1"/>
  <c r="S67" i="5"/>
  <c r="AK67" i="1"/>
  <c r="AL67" i="1"/>
  <c r="AI67" i="1"/>
  <c r="AJ67" i="1"/>
  <c r="BI67" i="3"/>
  <c r="BL67" i="3"/>
  <c r="AY22" i="3"/>
  <c r="AM129" i="1"/>
  <c r="BI129" i="1"/>
  <c r="BX129" i="1"/>
  <c r="S68" i="1"/>
  <c r="G68" i="5"/>
  <c r="U68" i="1"/>
  <c r="V68" i="1"/>
  <c r="T68" i="1"/>
  <c r="BH29" i="3"/>
  <c r="F29" i="5" s="1"/>
  <c r="E29" i="5"/>
  <c r="S6" i="5"/>
  <c r="AI6" i="1"/>
  <c r="AK6" i="1"/>
  <c r="AL6" i="1"/>
  <c r="AJ6" i="1"/>
  <c r="AM6" i="1"/>
  <c r="BI6" i="1"/>
  <c r="R21" i="1"/>
  <c r="R12" i="1"/>
  <c r="BI12" i="1"/>
  <c r="AM12" i="1"/>
  <c r="BX12" i="1"/>
  <c r="BL53" i="3"/>
  <c r="E20" i="5"/>
  <c r="BH20" i="3"/>
  <c r="F20" i="5" s="1"/>
  <c r="BS17" i="1"/>
  <c r="AP17" i="1"/>
  <c r="BQ17" i="1" s="1"/>
  <c r="AI86" i="1"/>
  <c r="S86" i="5"/>
  <c r="AK86" i="1"/>
  <c r="AJ86" i="1"/>
  <c r="AL86" i="1"/>
  <c r="AH83" i="1"/>
  <c r="AR64" i="3"/>
  <c r="AP88" i="1"/>
  <c r="BQ88" i="1" s="1"/>
  <c r="BD40" i="1"/>
  <c r="BE40" i="1" s="1"/>
  <c r="BN40" i="1" s="1" a="1"/>
  <c r="BN40" i="1" s="1"/>
  <c r="CB40" i="1"/>
  <c r="BS40" i="1"/>
  <c r="U40" i="1"/>
  <c r="G40" i="5"/>
  <c r="V40" i="1"/>
  <c r="S40" i="1"/>
  <c r="T40" i="1"/>
  <c r="BI31" i="1"/>
  <c r="AM31" i="1"/>
  <c r="BL18" i="3"/>
  <c r="BI18" i="3"/>
  <c r="AR45" i="3"/>
  <c r="BX42" i="1"/>
  <c r="BI42" i="1"/>
  <c r="AM42" i="1"/>
  <c r="AP42" i="1"/>
  <c r="BQ42" i="1" s="1"/>
  <c r="BI27" i="1"/>
  <c r="BX27" i="1"/>
  <c r="BY27" i="1" s="1"/>
  <c r="AM27" i="1"/>
  <c r="AK9" i="1"/>
  <c r="S9" i="5"/>
  <c r="AL9" i="1"/>
  <c r="AI9" i="1"/>
  <c r="AJ9" i="1"/>
  <c r="BS72" i="1"/>
  <c r="BE72" i="1"/>
  <c r="BN72" i="1" s="1" a="1"/>
  <c r="BN72" i="1" s="1"/>
  <c r="CB72" i="1"/>
  <c r="BD72" i="1"/>
  <c r="BL72" i="3"/>
  <c r="BI72" i="3"/>
  <c r="S37" i="1"/>
  <c r="G37" i="5"/>
  <c r="T37" i="1"/>
  <c r="V37" i="1"/>
  <c r="U37" i="1"/>
  <c r="CB97" i="1"/>
  <c r="BE97" i="1"/>
  <c r="BN97" i="1" s="1" a="1"/>
  <c r="BN97" i="1" s="1"/>
  <c r="BD97" i="1"/>
  <c r="BS97" i="1"/>
  <c r="BO97" i="3"/>
  <c r="BS97" i="3"/>
  <c r="AP24" i="1"/>
  <c r="BQ24" i="1" s="1"/>
  <c r="AY48" i="3"/>
  <c r="BG48" i="3"/>
  <c r="BX82" i="1"/>
  <c r="AM82" i="1"/>
  <c r="BI82" i="1"/>
  <c r="BD69" i="1"/>
  <c r="BE69" i="1"/>
  <c r="BN69" i="1" s="1" a="1"/>
  <c r="BN69" i="1" s="1"/>
  <c r="CB69" i="1"/>
  <c r="BS69" i="1"/>
  <c r="S69" i="1"/>
  <c r="G69" i="5"/>
  <c r="T69" i="1"/>
  <c r="U69" i="1"/>
  <c r="V69" i="1"/>
  <c r="S96" i="5"/>
  <c r="AK96" i="1"/>
  <c r="AI96" i="1"/>
  <c r="AJ96" i="1"/>
  <c r="AL96" i="1"/>
  <c r="BO23" i="3"/>
  <c r="BS23" i="3" s="1"/>
  <c r="BX125" i="1"/>
  <c r="AM125" i="1"/>
  <c r="BI125" i="1"/>
  <c r="BO41" i="3"/>
  <c r="BS41" i="3" s="1"/>
  <c r="CB67" i="1"/>
  <c r="BS67" i="1"/>
  <c r="BE67" i="1"/>
  <c r="BN67" i="1" s="1" a="1"/>
  <c r="BN67" i="1" s="1"/>
  <c r="BD67" i="1"/>
  <c r="BX67" i="1"/>
  <c r="AP67" i="1"/>
  <c r="BQ67" i="1" s="1"/>
  <c r="AY50" i="1"/>
  <c r="AP50" i="1"/>
  <c r="BQ50" i="1" s="1"/>
  <c r="CB22" i="1"/>
  <c r="BE22" i="1"/>
  <c r="BN22" i="1" s="1" a="1"/>
  <c r="BN22" i="1" s="1"/>
  <c r="BD22" i="1"/>
  <c r="BS22" i="1"/>
  <c r="AP87" i="1"/>
  <c r="BQ87" i="1" s="1"/>
  <c r="T129" i="1"/>
  <c r="G129" i="5"/>
  <c r="U129" i="1"/>
  <c r="V129" i="1"/>
  <c r="S129" i="1"/>
  <c r="BH49" i="3"/>
  <c r="F49" i="5" s="1"/>
  <c r="E49" i="5"/>
  <c r="AP49" i="1"/>
  <c r="BQ49" i="1" s="1"/>
  <c r="BD10" i="1"/>
  <c r="BS10" i="1"/>
  <c r="BE10" i="1"/>
  <c r="BN10" i="1" s="1" a="1"/>
  <c r="BN10" i="1" s="1"/>
  <c r="CB10" i="1"/>
  <c r="S61" i="1"/>
  <c r="G61" i="5"/>
  <c r="T61" i="1"/>
  <c r="U61" i="1"/>
  <c r="V61" i="1"/>
  <c r="BS95" i="1"/>
  <c r="BI29" i="1"/>
  <c r="BX29" i="1"/>
  <c r="BY29" i="1" s="1"/>
  <c r="AM29" i="1"/>
  <c r="BD12" i="1"/>
  <c r="BE12" i="1"/>
  <c r="BN12" i="1" s="1" a="1"/>
  <c r="BN12" i="1" s="1"/>
  <c r="CB12" i="1"/>
  <c r="BL12" i="3"/>
  <c r="BI12" i="3"/>
  <c r="BI38" i="1"/>
  <c r="BX38" i="1"/>
  <c r="AM38" i="1"/>
  <c r="BX17" i="1"/>
  <c r="AM17" i="1"/>
  <c r="BN17" i="1" a="1"/>
  <c r="BN17" i="1" s="1"/>
  <c r="BI17" i="1"/>
  <c r="AJ35" i="1"/>
  <c r="S35" i="5"/>
  <c r="AI35" i="1"/>
  <c r="AK35" i="1"/>
  <c r="AL35" i="1"/>
  <c r="BI78" i="1"/>
  <c r="AM78" i="1"/>
  <c r="AP83" i="1"/>
  <c r="BQ83" i="1" s="1"/>
  <c r="BI83" i="3"/>
  <c r="BL83" i="3"/>
  <c r="E66" i="5"/>
  <c r="BH66" i="3"/>
  <c r="F66" i="5" s="1"/>
  <c r="BX40" i="1"/>
  <c r="BI40" i="1"/>
  <c r="AM40" i="1"/>
  <c r="G31" i="5"/>
  <c r="T31" i="1"/>
  <c r="V31" i="1"/>
  <c r="S31" i="1"/>
  <c r="U31" i="1"/>
  <c r="BS45" i="3"/>
  <c r="BO45" i="3"/>
  <c r="BJ44" i="3"/>
  <c r="BR44" i="3"/>
  <c r="G75" i="5"/>
  <c r="T75" i="1"/>
  <c r="U75" i="1"/>
  <c r="S75" i="1"/>
  <c r="V75" i="1"/>
  <c r="AY84" i="3"/>
  <c r="S36" i="1"/>
  <c r="V36" i="1"/>
  <c r="G36" i="5"/>
  <c r="U36" i="1"/>
  <c r="T36" i="1"/>
  <c r="BD42" i="1"/>
  <c r="BE42" i="1"/>
  <c r="BN42" i="1" s="1" a="1"/>
  <c r="BN42" i="1" s="1"/>
  <c r="CB42" i="1"/>
  <c r="BS42" i="1"/>
  <c r="H126" i="5"/>
  <c r="I126" i="5"/>
  <c r="J126" i="5"/>
  <c r="AK85" i="1"/>
  <c r="S25" i="5"/>
  <c r="AL25" i="1"/>
  <c r="AK25" i="1"/>
  <c r="AI25" i="1"/>
  <c r="AJ25" i="1"/>
  <c r="AR47" i="3"/>
  <c r="AR37" i="3"/>
  <c r="AP37" i="1"/>
  <c r="BQ37" i="1" s="1"/>
  <c r="BH44" i="3"/>
  <c r="F44" i="5" s="1"/>
  <c r="E44" i="5"/>
  <c r="AP44" i="1"/>
  <c r="BQ44" i="1" s="1"/>
  <c r="T70" i="1"/>
  <c r="S70" i="1"/>
  <c r="G70" i="5"/>
  <c r="V70" i="1"/>
  <c r="U70" i="1"/>
  <c r="BL97" i="3"/>
  <c r="BI97" i="3"/>
  <c r="BI23" i="1"/>
  <c r="BX23" i="1"/>
  <c r="AM23" i="1"/>
  <c r="BE125" i="1"/>
  <c r="BN125" i="1" s="1" a="1"/>
  <c r="BN125" i="1" s="1"/>
  <c r="CB125" i="1"/>
  <c r="BS125" i="1"/>
  <c r="BD125" i="1"/>
  <c r="BH41" i="3"/>
  <c r="F41" i="5" s="1"/>
  <c r="E41" i="5"/>
  <c r="BX41" i="1"/>
  <c r="BY41" i="1" s="1"/>
  <c r="AM41" i="1"/>
  <c r="BI41" i="1"/>
  <c r="E67" i="5"/>
  <c r="BH67" i="3"/>
  <c r="F67" i="5" s="1"/>
  <c r="AK50" i="1"/>
  <c r="S50" i="5"/>
  <c r="AL50" i="1"/>
  <c r="AI50" i="1"/>
  <c r="AJ50" i="1"/>
  <c r="BI22" i="1"/>
  <c r="BX22" i="1"/>
  <c r="AM22" i="1"/>
  <c r="BL22" i="3"/>
  <c r="BI22" i="3"/>
  <c r="AR87" i="3"/>
  <c r="AM87" i="1"/>
  <c r="BX87" i="1"/>
  <c r="BI87" i="1"/>
  <c r="BE129" i="1"/>
  <c r="BN129" i="1" s="1" a="1"/>
  <c r="BN129" i="1" s="1"/>
  <c r="BS129" i="1"/>
  <c r="CB129" i="1"/>
  <c r="BD129" i="1"/>
  <c r="BI129" i="3"/>
  <c r="BL129" i="3"/>
  <c r="AY49" i="3"/>
  <c r="V49" i="1"/>
  <c r="G49" i="5"/>
  <c r="T49" i="1"/>
  <c r="S49" i="1"/>
  <c r="U49" i="1"/>
  <c r="G10" i="5"/>
  <c r="S10" i="1"/>
  <c r="U10" i="1"/>
  <c r="T10" i="1"/>
  <c r="V10" i="1"/>
  <c r="BH61" i="3"/>
  <c r="F61" i="5" s="1"/>
  <c r="E61" i="5"/>
  <c r="AP68" i="1"/>
  <c r="BQ68" i="1" s="1"/>
  <c r="BI21" i="3"/>
  <c r="BL21" i="3"/>
  <c r="AR38" i="3"/>
  <c r="AP38" i="1"/>
  <c r="BQ38" i="1" s="1"/>
  <c r="T38" i="1"/>
  <c r="G38" i="5"/>
  <c r="V38" i="1"/>
  <c r="S38" i="1"/>
  <c r="U38" i="1"/>
  <c r="BO66" i="3"/>
  <c r="BS66" i="3" s="1"/>
  <c r="R64" i="1"/>
  <c r="AK64" i="1"/>
  <c r="S64" i="5"/>
  <c r="AI64" i="1"/>
  <c r="AL64" i="1"/>
  <c r="AJ64" i="1"/>
  <c r="S88" i="5"/>
  <c r="AJ88" i="1"/>
  <c r="AI88" i="1"/>
  <c r="AK88" i="1"/>
  <c r="AL88" i="1"/>
  <c r="AP40" i="1"/>
  <c r="BQ40" i="1" s="1"/>
  <c r="AY18" i="3"/>
  <c r="BG18" i="3"/>
  <c r="BO18" i="3" s="1"/>
  <c r="BS18" i="3" s="1"/>
  <c r="E84" i="5"/>
  <c r="BH84" i="3"/>
  <c r="F84" i="5" s="1"/>
  <c r="AM36" i="1"/>
  <c r="BI36" i="1"/>
  <c r="BX36" i="1"/>
  <c r="T42" i="1"/>
  <c r="U42" i="1"/>
  <c r="V42" i="1"/>
  <c r="S42" i="1"/>
  <c r="G42" i="5"/>
  <c r="S30" i="5"/>
  <c r="AL30" i="1"/>
  <c r="AK30" i="1"/>
  <c r="AI30" i="1"/>
  <c r="AJ30" i="1"/>
  <c r="S9" i="1"/>
  <c r="G9" i="5"/>
  <c r="T9" i="1"/>
  <c r="U9" i="1"/>
  <c r="V9" i="1"/>
  <c r="U28" i="1"/>
  <c r="G28" i="5"/>
  <c r="T28" i="1"/>
  <c r="S28" i="1"/>
  <c r="V28" i="1"/>
  <c r="E72" i="5"/>
  <c r="BH72" i="3"/>
  <c r="F72" i="5" s="1"/>
  <c r="BI71" i="1"/>
  <c r="AM71" i="1"/>
  <c r="CB37" i="1"/>
  <c r="BS37" i="1"/>
  <c r="BD37" i="1"/>
  <c r="BE37" i="1" s="1"/>
  <c r="BN37" i="1" s="1" a="1"/>
  <c r="BN37" i="1" s="1"/>
  <c r="S44" i="5"/>
  <c r="AK44" i="1"/>
  <c r="AL44" i="1"/>
  <c r="AJ44" i="1"/>
  <c r="AI44" i="1"/>
  <c r="AR44" i="3"/>
  <c r="AM39" i="1"/>
  <c r="BI39" i="1"/>
  <c r="U24" i="1"/>
  <c r="G24" i="5"/>
  <c r="S24" i="1"/>
  <c r="V24" i="1"/>
  <c r="T24" i="1"/>
  <c r="BE48" i="1"/>
  <c r="BN48" i="1" s="1" a="1"/>
  <c r="BN48" i="1" s="1"/>
  <c r="BD48" i="1"/>
  <c r="CB48" i="1"/>
  <c r="AP121" i="1"/>
  <c r="BQ121" i="1" s="1"/>
  <c r="G121" i="5"/>
  <c r="U121" i="1"/>
  <c r="V121" i="1"/>
  <c r="T121" i="1"/>
  <c r="S121" i="1"/>
  <c r="AY67" i="3"/>
  <c r="BG67" i="3"/>
  <c r="R50" i="1"/>
  <c r="E50" i="5"/>
  <c r="BH50" i="3"/>
  <c r="F50" i="5" s="1"/>
  <c r="BI13" i="1"/>
  <c r="AM13" i="1"/>
  <c r="BD87" i="1"/>
  <c r="BE87" i="1" s="1"/>
  <c r="BN87" i="1" s="1" a="1"/>
  <c r="BN87" i="1" s="1"/>
  <c r="CB87" i="1"/>
  <c r="BS87" i="1"/>
  <c r="AP129" i="1"/>
  <c r="BQ129" i="1" s="1"/>
  <c r="AM112" i="1"/>
  <c r="BI112" i="1"/>
  <c r="S112" i="5"/>
  <c r="AJ112" i="1"/>
  <c r="AK112" i="1"/>
  <c r="AL112" i="1"/>
  <c r="AI112" i="1"/>
  <c r="BJ49" i="3"/>
  <c r="BR49" i="3"/>
  <c r="CB61" i="1"/>
  <c r="BD61" i="1"/>
  <c r="BE61" i="1" s="1"/>
  <c r="BN61" i="1" s="1" a="1"/>
  <c r="BN61" i="1" s="1"/>
  <c r="BS61" i="1"/>
  <c r="AP61" i="1"/>
  <c r="BQ61" i="1" s="1"/>
  <c r="BY61" i="1"/>
  <c r="AP95" i="1"/>
  <c r="BQ95" i="1" s="1"/>
  <c r="AJ68" i="1"/>
  <c r="S68" i="5"/>
  <c r="AL68" i="1"/>
  <c r="AI68" i="1"/>
  <c r="AK68" i="1"/>
  <c r="S29" i="1"/>
  <c r="G29" i="5"/>
  <c r="T29" i="1"/>
  <c r="U29" i="1"/>
  <c r="V29" i="1"/>
  <c r="AP21" i="1"/>
  <c r="BQ21" i="1" s="1"/>
  <c r="BX53" i="1"/>
  <c r="AM53" i="1"/>
  <c r="BI53" i="1"/>
  <c r="AP20" i="1"/>
  <c r="BQ20" i="1" s="1"/>
  <c r="BO38" i="3"/>
  <c r="BS38" i="3" s="1"/>
  <c r="AR17" i="3"/>
  <c r="CB83" i="1"/>
  <c r="BD83" i="1"/>
  <c r="BE83" i="1" s="1"/>
  <c r="BN83" i="1" s="1" a="1"/>
  <c r="BN83" i="1" s="1"/>
  <c r="BS83" i="1"/>
  <c r="BH18" i="3"/>
  <c r="F18" i="5" s="1"/>
  <c r="E18" i="5"/>
  <c r="BL45" i="3"/>
  <c r="BI45" i="3"/>
  <c r="R62" i="5"/>
  <c r="P62" i="5"/>
  <c r="Q62" i="5"/>
  <c r="P126" i="5"/>
  <c r="Q126" i="5"/>
  <c r="R126" i="5"/>
  <c r="Q128" i="5"/>
  <c r="P128" i="5"/>
  <c r="R128" i="5"/>
  <c r="AC44" i="1"/>
  <c r="O44" i="5" s="1"/>
  <c r="Q44" i="5" s="1"/>
  <c r="AC23" i="1"/>
  <c r="O23" i="5" s="1"/>
  <c r="P23" i="5" s="1"/>
  <c r="AC61" i="1"/>
  <c r="O61" i="5" s="1"/>
  <c r="AC37" i="1"/>
  <c r="O37" i="5" s="1"/>
  <c r="AC27" i="1"/>
  <c r="O27" i="5" s="1"/>
  <c r="AC42" i="1"/>
  <c r="O42" i="5" s="1"/>
  <c r="AC112" i="1"/>
  <c r="O112" i="5" s="1"/>
  <c r="AC46" i="1"/>
  <c r="O46" i="5" s="1"/>
  <c r="AC54" i="1"/>
  <c r="O54" i="5" s="1"/>
  <c r="AC40" i="1"/>
  <c r="O40" i="5" s="1"/>
  <c r="AC53" i="1"/>
  <c r="O53" i="5" s="1"/>
  <c r="AC88" i="1"/>
  <c r="O88" i="5" s="1"/>
  <c r="AF128" i="1"/>
  <c r="AG128" i="1"/>
  <c r="AD128" i="1"/>
  <c r="AE128" i="1"/>
  <c r="AC67" i="1"/>
  <c r="AC72" i="1"/>
  <c r="O72" i="5" s="1"/>
  <c r="AC52" i="1"/>
  <c r="O52" i="5" s="1"/>
  <c r="AC49" i="1"/>
  <c r="O49" i="5" s="1"/>
  <c r="AD62" i="1"/>
  <c r="AE62" i="1"/>
  <c r="AF62" i="1"/>
  <c r="AG62" i="1"/>
  <c r="AC10" i="1"/>
  <c r="O10" i="5" s="1"/>
  <c r="AC96" i="1"/>
  <c r="O96" i="5" s="1"/>
  <c r="R96" i="5" s="1"/>
  <c r="AC64" i="1"/>
  <c r="O64" i="5" s="1"/>
  <c r="AC95" i="1"/>
  <c r="O95" i="5" s="1"/>
  <c r="AC38" i="1"/>
  <c r="O38" i="5" s="1"/>
  <c r="AC47" i="1"/>
  <c r="O47" i="5" s="1"/>
  <c r="P47" i="5" s="1"/>
  <c r="AC32" i="1"/>
  <c r="O32" i="5" s="1"/>
  <c r="P32" i="5" s="1"/>
  <c r="AC45" i="1"/>
  <c r="O45" i="5" s="1"/>
  <c r="AC34" i="1"/>
  <c r="O34" i="5" s="1"/>
  <c r="AC26" i="1"/>
  <c r="O26" i="5" s="1"/>
  <c r="AC97" i="1"/>
  <c r="O97" i="5" s="1"/>
  <c r="AC24" i="1"/>
  <c r="O24" i="5" s="1"/>
  <c r="AC29" i="1"/>
  <c r="O29" i="5" s="1"/>
  <c r="AC41" i="1"/>
  <c r="O41" i="5" s="1"/>
  <c r="AC48" i="1"/>
  <c r="AC50" i="1"/>
  <c r="O50" i="5" s="1"/>
  <c r="AD126" i="1"/>
  <c r="AE126" i="1"/>
  <c r="AG126" i="1"/>
  <c r="AF126" i="1"/>
  <c r="V121" i="3"/>
  <c r="BK121" i="3" s="1"/>
  <c r="V112" i="3"/>
  <c r="BK112" i="3" s="1"/>
  <c r="V27" i="3"/>
  <c r="BK27" i="3" s="1"/>
  <c r="V26" i="3"/>
  <c r="BK26" i="3" s="1"/>
  <c r="V97" i="3"/>
  <c r="BK97" i="3" s="1"/>
  <c r="V96" i="3"/>
  <c r="BK96" i="3" s="1"/>
  <c r="V46" i="3"/>
  <c r="BK46" i="3" s="1"/>
  <c r="V50" i="3"/>
  <c r="BK50" i="3" s="1"/>
  <c r="V18" i="3"/>
  <c r="V83" i="3"/>
  <c r="BK83" i="3" s="1"/>
  <c r="V52" i="3"/>
  <c r="BK52" i="3" s="1"/>
  <c r="V87" i="3"/>
  <c r="BK87" i="3" s="1"/>
  <c r="V53" i="3"/>
  <c r="BK53" i="3" s="1"/>
  <c r="V20" i="3"/>
  <c r="V54" i="3"/>
  <c r="BK54" i="3" s="1"/>
  <c r="V88" i="3"/>
  <c r="BK88" i="3" s="1"/>
  <c r="V49" i="3"/>
  <c r="BK49" i="3" s="1"/>
  <c r="V45" i="3"/>
  <c r="BK45" i="3" s="1"/>
  <c r="V17" i="3"/>
  <c r="V84" i="3"/>
  <c r="V44" i="3"/>
  <c r="BK44" i="3" s="1"/>
  <c r="V85" i="3"/>
  <c r="BK85" i="3" s="1"/>
  <c r="V42" i="3"/>
  <c r="BK42" i="3" s="1"/>
  <c r="V82" i="3"/>
  <c r="BK82" i="3" s="1"/>
  <c r="AS85" i="3"/>
  <c r="AS96" i="3"/>
  <c r="AS45" i="3"/>
  <c r="AS121" i="3"/>
  <c r="AS53" i="3"/>
  <c r="AS74" i="3"/>
  <c r="AS87" i="3"/>
  <c r="AS61" i="3"/>
  <c r="AS9" i="3"/>
  <c r="AS17" i="3"/>
  <c r="AS132" i="3"/>
  <c r="AS52" i="3"/>
  <c r="AS36" i="3"/>
  <c r="AS88" i="3"/>
  <c r="AS86" i="3"/>
  <c r="AS95" i="3"/>
  <c r="AS43" i="3"/>
  <c r="AS68" i="3"/>
  <c r="AS70" i="3"/>
  <c r="AS23" i="3"/>
  <c r="AS13" i="3"/>
  <c r="AS10" i="3"/>
  <c r="AS42" i="3"/>
  <c r="AS46" i="3"/>
  <c r="AS31" i="3"/>
  <c r="AS16" i="3"/>
  <c r="AS37" i="3"/>
  <c r="AS65" i="3"/>
  <c r="AS78" i="3"/>
  <c r="AS41" i="3"/>
  <c r="AS75" i="3"/>
  <c r="AS14" i="3"/>
  <c r="AS33" i="3"/>
  <c r="AS112" i="3"/>
  <c r="AS25" i="3"/>
  <c r="AS48" i="3"/>
  <c r="AS15" i="3"/>
  <c r="AS12" i="3"/>
  <c r="AS72" i="3"/>
  <c r="AS83" i="3"/>
  <c r="AS66" i="3"/>
  <c r="AS40" i="3"/>
  <c r="AS38" i="3"/>
  <c r="AS49" i="3"/>
  <c r="AS18" i="3"/>
  <c r="AS24" i="3"/>
  <c r="AS69" i="3"/>
  <c r="AS47" i="3"/>
  <c r="AS44" i="3"/>
  <c r="AS30" i="3"/>
  <c r="AS73" i="3"/>
  <c r="AS50" i="3"/>
  <c r="AS84" i="3"/>
  <c r="AS67" i="3"/>
  <c r="AS63" i="3"/>
  <c r="AS125" i="3"/>
  <c r="AS29" i="3"/>
  <c r="AS124" i="3"/>
  <c r="AS82" i="3"/>
  <c r="AS32" i="3"/>
  <c r="AS90" i="3"/>
  <c r="AS97" i="3"/>
  <c r="AS129" i="3"/>
  <c r="AS54" i="3"/>
  <c r="AS35" i="3"/>
  <c r="AS71" i="3"/>
  <c r="AS22" i="3"/>
  <c r="AS19" i="3"/>
  <c r="AS20" i="3"/>
  <c r="AS39" i="3"/>
  <c r="AS6" i="3"/>
  <c r="AS21" i="3"/>
  <c r="AS26" i="3"/>
  <c r="AS135" i="3"/>
  <c r="I20" i="17"/>
  <c r="H20" i="17"/>
  <c r="E11" i="3"/>
  <c r="E8" i="3"/>
  <c r="I8" i="1" s="1"/>
  <c r="E7" i="3"/>
  <c r="E5" i="3"/>
  <c r="I5" i="1" s="1"/>
  <c r="I45" i="17"/>
  <c r="H45" i="17"/>
  <c r="E4" i="3"/>
  <c r="I4" i="1" s="1"/>
  <c r="E3" i="3"/>
  <c r="E2" i="3"/>
  <c r="K60" i="17"/>
  <c r="I60" i="17"/>
  <c r="H60" i="17"/>
  <c r="AX2" i="1"/>
  <c r="I38" i="17"/>
  <c r="X2" i="1"/>
  <c r="AB2" i="1"/>
  <c r="I51" i="17"/>
  <c r="H51" i="17"/>
  <c r="I50" i="17"/>
  <c r="H50" i="17"/>
  <c r="W137" i="3"/>
  <c r="W112" i="3"/>
  <c r="W97" i="3"/>
  <c r="W96" i="3"/>
  <c r="W54" i="3"/>
  <c r="W51" i="3"/>
  <c r="W42" i="3"/>
  <c r="W25" i="3"/>
  <c r="I21" i="17"/>
  <c r="H21" i="17"/>
  <c r="I35" i="17"/>
  <c r="H35" i="17"/>
  <c r="I52" i="17"/>
  <c r="H52" i="17"/>
  <c r="A28" i="1"/>
  <c r="AS28" i="1" s="1"/>
  <c r="AT28" i="1" s="1"/>
  <c r="A27" i="1"/>
  <c r="AS27" i="1" s="1"/>
  <c r="AT27" i="1" s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V129" i="3"/>
  <c r="V125" i="3"/>
  <c r="V113" i="3"/>
  <c r="V111" i="3"/>
  <c r="V91" i="3"/>
  <c r="AU91" i="3" s="1"/>
  <c r="V73" i="3"/>
  <c r="V69" i="3"/>
  <c r="V68" i="3"/>
  <c r="AU68" i="3" s="1"/>
  <c r="AC68" i="1" s="1"/>
  <c r="O68" i="5" s="1"/>
  <c r="P68" i="5" s="1"/>
  <c r="V66" i="3"/>
  <c r="V65" i="3"/>
  <c r="V39" i="3"/>
  <c r="V36" i="3"/>
  <c r="AU36" i="3" s="1"/>
  <c r="AC36" i="1" s="1"/>
  <c r="O36" i="5" s="1"/>
  <c r="V35" i="3"/>
  <c r="AU35" i="3" s="1"/>
  <c r="AC35" i="1" s="1"/>
  <c r="O35" i="5" s="1"/>
  <c r="P35" i="5" s="1"/>
  <c r="V33" i="3"/>
  <c r="V25" i="3"/>
  <c r="V22" i="3"/>
  <c r="AU22" i="3" s="1"/>
  <c r="AC22" i="1" s="1"/>
  <c r="O22" i="5" s="1"/>
  <c r="V21" i="3"/>
  <c r="V13" i="3"/>
  <c r="V12" i="3"/>
  <c r="AU12" i="3" s="1"/>
  <c r="AC12" i="1" s="1"/>
  <c r="O12" i="5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V11" i="3" s="1"/>
  <c r="U8" i="3"/>
  <c r="AV8" i="3" s="1"/>
  <c r="U7" i="3"/>
  <c r="AV7" i="3" s="1"/>
  <c r="U6" i="3"/>
  <c r="U5" i="3"/>
  <c r="AV5" i="3" s="1"/>
  <c r="U4" i="3"/>
  <c r="AV4" i="3" s="1"/>
  <c r="U3" i="3"/>
  <c r="AV3" i="3" s="1"/>
  <c r="O2" i="1"/>
  <c r="BY2" i="1" s="1"/>
  <c r="R18" i="16"/>
  <c r="Q38" i="16"/>
  <c r="P40" i="16"/>
  <c r="O33" i="16"/>
  <c r="N15" i="16"/>
  <c r="M32" i="16"/>
  <c r="L35" i="16"/>
  <c r="K38" i="16"/>
  <c r="J40" i="16"/>
  <c r="I48" i="16"/>
  <c r="H39" i="16"/>
  <c r="G36" i="16"/>
  <c r="S5" i="16"/>
  <c r="R17" i="16"/>
  <c r="Q37" i="16"/>
  <c r="P39" i="16"/>
  <c r="N14" i="16"/>
  <c r="O32" i="16"/>
  <c r="M31" i="16"/>
  <c r="L34" i="16"/>
  <c r="K37" i="16"/>
  <c r="J39" i="16"/>
  <c r="I47" i="16"/>
  <c r="H38" i="16"/>
  <c r="G35" i="16"/>
  <c r="F30" i="16"/>
  <c r="F29" i="16"/>
  <c r="I34" i="17"/>
  <c r="H34" i="17"/>
  <c r="I59" i="17"/>
  <c r="H59" i="17"/>
  <c r="I11" i="17"/>
  <c r="H11" i="17"/>
  <c r="I17" i="17"/>
  <c r="H17" i="17"/>
  <c r="AL4" i="3"/>
  <c r="AL5" i="3"/>
  <c r="AL8" i="3"/>
  <c r="AL10" i="3"/>
  <c r="BP10" i="3" s="1"/>
  <c r="D10" i="5" s="1"/>
  <c r="AM10" i="3"/>
  <c r="AL12" i="3"/>
  <c r="BP12" i="3" s="1"/>
  <c r="D12" i="5" s="1"/>
  <c r="AM12" i="3"/>
  <c r="AL17" i="3"/>
  <c r="BP17" i="3" s="1"/>
  <c r="D17" i="5" s="1"/>
  <c r="AL20" i="3"/>
  <c r="BP20" i="3" s="1"/>
  <c r="D20" i="5" s="1"/>
  <c r="AL21" i="3"/>
  <c r="BP21" i="3" s="1"/>
  <c r="D21" i="5" s="1"/>
  <c r="AM21" i="3"/>
  <c r="AL22" i="3"/>
  <c r="BP22" i="3" s="1"/>
  <c r="D22" i="5" s="1"/>
  <c r="AM22" i="3"/>
  <c r="AL23" i="3"/>
  <c r="BP23" i="3" s="1"/>
  <c r="D23" i="5" s="1"/>
  <c r="AM23" i="3"/>
  <c r="AL24" i="3"/>
  <c r="BP24" i="3" s="1"/>
  <c r="D24" i="5" s="1"/>
  <c r="AM24" i="3"/>
  <c r="AL27" i="3"/>
  <c r="BP27" i="3" s="1"/>
  <c r="D27" i="5" s="1"/>
  <c r="AM27" i="3"/>
  <c r="AL29" i="3"/>
  <c r="BP29" i="3" s="1"/>
  <c r="D29" i="5" s="1"/>
  <c r="AM29" i="3"/>
  <c r="AL32" i="3"/>
  <c r="BP32" i="3" s="1"/>
  <c r="D32" i="5" s="1"/>
  <c r="AM32" i="3"/>
  <c r="AL33" i="3"/>
  <c r="BP33" i="3" s="1"/>
  <c r="D33" i="5" s="1"/>
  <c r="AM33" i="3"/>
  <c r="AL34" i="3"/>
  <c r="BP34" i="3" s="1"/>
  <c r="D34" i="5" s="1"/>
  <c r="AM34" i="3"/>
  <c r="AL35" i="3"/>
  <c r="BP35" i="3" s="1"/>
  <c r="D35" i="5" s="1"/>
  <c r="AM35" i="3"/>
  <c r="AL36" i="3"/>
  <c r="BP36" i="3" s="1"/>
  <c r="D36" i="5" s="1"/>
  <c r="AM36" i="3"/>
  <c r="AL37" i="3"/>
  <c r="BP37" i="3" s="1"/>
  <c r="D37" i="5" s="1"/>
  <c r="AM37" i="3"/>
  <c r="AL38" i="3"/>
  <c r="BP38" i="3" s="1"/>
  <c r="D38" i="5" s="1"/>
  <c r="AM38" i="3"/>
  <c r="AL40" i="3"/>
  <c r="BP40" i="3" s="1"/>
  <c r="D40" i="5" s="1"/>
  <c r="AM40" i="3"/>
  <c r="AL41" i="3"/>
  <c r="BP41" i="3" s="1"/>
  <c r="D41" i="5" s="1"/>
  <c r="AM41" i="3"/>
  <c r="AL42" i="3"/>
  <c r="BP42" i="3" s="1"/>
  <c r="D42" i="5" s="1"/>
  <c r="AM42" i="3"/>
  <c r="AL44" i="3"/>
  <c r="BP44" i="3" s="1"/>
  <c r="D44" i="5" s="1"/>
  <c r="AM44" i="3"/>
  <c r="AL45" i="3"/>
  <c r="BP45" i="3" s="1"/>
  <c r="D45" i="5" s="1"/>
  <c r="AM45" i="3"/>
  <c r="AL47" i="3"/>
  <c r="BP47" i="3" s="1"/>
  <c r="D47" i="5" s="1"/>
  <c r="AM47" i="3"/>
  <c r="AL48" i="3"/>
  <c r="BP48" i="3" s="1"/>
  <c r="D48" i="5" s="1"/>
  <c r="AM48" i="3"/>
  <c r="AL49" i="3"/>
  <c r="BP49" i="3" s="1"/>
  <c r="D49" i="5" s="1"/>
  <c r="AM49" i="3"/>
  <c r="AL50" i="3"/>
  <c r="BN50" i="3" s="1"/>
  <c r="BR50" i="3" s="1"/>
  <c r="AM50" i="3"/>
  <c r="AL53" i="3"/>
  <c r="BP53" i="3" s="1"/>
  <c r="D53" i="5" s="1"/>
  <c r="AM53" i="3"/>
  <c r="AL54" i="3"/>
  <c r="BP54" i="3" s="1"/>
  <c r="D54" i="5" s="1"/>
  <c r="AM54" i="3"/>
  <c r="AL55" i="3"/>
  <c r="BP55" i="3" s="1"/>
  <c r="D55" i="5" s="1"/>
  <c r="AL56" i="3"/>
  <c r="BP56" i="3" s="1"/>
  <c r="D56" i="5" s="1"/>
  <c r="AL57" i="3"/>
  <c r="BP57" i="3" s="1"/>
  <c r="D57" i="5" s="1"/>
  <c r="AL58" i="3"/>
  <c r="BP58" i="3" s="1"/>
  <c r="D58" i="5" s="1"/>
  <c r="AL59" i="3"/>
  <c r="BP59" i="3" s="1"/>
  <c r="D59" i="5" s="1"/>
  <c r="AL60" i="3"/>
  <c r="BP60" i="3" s="1"/>
  <c r="D60" i="5" s="1"/>
  <c r="AL61" i="3"/>
  <c r="BP61" i="3" s="1"/>
  <c r="D61" i="5" s="1"/>
  <c r="AM61" i="3"/>
  <c r="AL62" i="3"/>
  <c r="BP62" i="3" s="1"/>
  <c r="D62" i="5" s="1"/>
  <c r="AL64" i="3"/>
  <c r="BP64" i="3" s="1"/>
  <c r="D64" i="5" s="1"/>
  <c r="AM64" i="3"/>
  <c r="AL65" i="3"/>
  <c r="BP65" i="3" s="1"/>
  <c r="D65" i="5" s="1"/>
  <c r="AM65" i="3"/>
  <c r="AL66" i="3"/>
  <c r="BP66" i="3" s="1"/>
  <c r="D66" i="5" s="1"/>
  <c r="AM66" i="3"/>
  <c r="AL67" i="3"/>
  <c r="BP67" i="3" s="1"/>
  <c r="D67" i="5" s="1"/>
  <c r="AM67" i="3"/>
  <c r="AL68" i="3"/>
  <c r="BP68" i="3" s="1"/>
  <c r="D68" i="5" s="1"/>
  <c r="AM68" i="3"/>
  <c r="AL69" i="3"/>
  <c r="BP69" i="3" s="1"/>
  <c r="D69" i="5" s="1"/>
  <c r="AM69" i="3"/>
  <c r="AL72" i="3"/>
  <c r="BP72" i="3" s="1"/>
  <c r="D72" i="5" s="1"/>
  <c r="AM72" i="3"/>
  <c r="AL73" i="3"/>
  <c r="BP73" i="3" s="1"/>
  <c r="D73" i="5" s="1"/>
  <c r="AM73" i="3"/>
  <c r="AL76" i="3"/>
  <c r="BP76" i="3" s="1"/>
  <c r="D76" i="5" s="1"/>
  <c r="AM76" i="3"/>
  <c r="AL77" i="3"/>
  <c r="BP77" i="3" s="1"/>
  <c r="D77" i="5" s="1"/>
  <c r="AM77" i="3"/>
  <c r="AL81" i="3"/>
  <c r="BP81" i="3" s="1"/>
  <c r="D81" i="5" s="1"/>
  <c r="AM81" i="3"/>
  <c r="AL82" i="3"/>
  <c r="BP82" i="3" s="1"/>
  <c r="D82" i="5" s="1"/>
  <c r="AL83" i="3"/>
  <c r="BP83" i="3" s="1"/>
  <c r="D83" i="5" s="1"/>
  <c r="AL84" i="3"/>
  <c r="BP84" i="3" s="1"/>
  <c r="D84" i="5" s="1"/>
  <c r="AL85" i="3"/>
  <c r="BP85" i="3" s="1"/>
  <c r="D85" i="5" s="1"/>
  <c r="AL87" i="3"/>
  <c r="BP87" i="3" s="1"/>
  <c r="D87" i="5" s="1"/>
  <c r="AM87" i="3"/>
  <c r="AL88" i="3"/>
  <c r="BP88" i="3" s="1"/>
  <c r="D88" i="5" s="1"/>
  <c r="AM88" i="3"/>
  <c r="AL89" i="3"/>
  <c r="BP89" i="3" s="1"/>
  <c r="D89" i="5" s="1"/>
  <c r="AM89" i="3"/>
  <c r="AL93" i="3"/>
  <c r="BP93" i="3" s="1"/>
  <c r="D93" i="5" s="1"/>
  <c r="AM93" i="3"/>
  <c r="AL94" i="3"/>
  <c r="BP94" i="3" s="1"/>
  <c r="D94" i="5" s="1"/>
  <c r="AM94" i="3"/>
  <c r="AL95" i="3"/>
  <c r="BP95" i="3" s="1"/>
  <c r="D95" i="5" s="1"/>
  <c r="AM95" i="3"/>
  <c r="AL96" i="3"/>
  <c r="BP96" i="3" s="1"/>
  <c r="D96" i="5" s="1"/>
  <c r="AM96" i="3"/>
  <c r="AL97" i="3"/>
  <c r="BP97" i="3" s="1"/>
  <c r="D97" i="5" s="1"/>
  <c r="AM97" i="3"/>
  <c r="AL98" i="3"/>
  <c r="BP98" i="3" s="1"/>
  <c r="D98" i="5" s="1"/>
  <c r="AM98" i="3"/>
  <c r="AL99" i="3"/>
  <c r="BP99" i="3" s="1"/>
  <c r="D99" i="5" s="1"/>
  <c r="AL100" i="3"/>
  <c r="BP100" i="3" s="1"/>
  <c r="D100" i="5" s="1"/>
  <c r="AL101" i="3"/>
  <c r="BP101" i="3" s="1"/>
  <c r="D101" i="5" s="1"/>
  <c r="AM101" i="3"/>
  <c r="AL102" i="3"/>
  <c r="BP102" i="3" s="1"/>
  <c r="D102" i="5" s="1"/>
  <c r="AM102" i="3"/>
  <c r="AL103" i="3"/>
  <c r="BP103" i="3" s="1"/>
  <c r="D103" i="5" s="1"/>
  <c r="AM103" i="3"/>
  <c r="AL104" i="3"/>
  <c r="BP104" i="3" s="1"/>
  <c r="D104" i="5" s="1"/>
  <c r="AM104" i="3"/>
  <c r="AL105" i="3"/>
  <c r="BP105" i="3" s="1"/>
  <c r="D105" i="5" s="1"/>
  <c r="AM105" i="3"/>
  <c r="AL106" i="3"/>
  <c r="BP106" i="3" s="1"/>
  <c r="D106" i="5" s="1"/>
  <c r="AM106" i="3"/>
  <c r="AL107" i="3"/>
  <c r="BP107" i="3" s="1"/>
  <c r="D107" i="5" s="1"/>
  <c r="AM107" i="3"/>
  <c r="AL108" i="3"/>
  <c r="BP108" i="3" s="1"/>
  <c r="D108" i="5" s="1"/>
  <c r="AM108" i="3"/>
  <c r="AL109" i="3"/>
  <c r="BP109" i="3" s="1"/>
  <c r="D109" i="5" s="1"/>
  <c r="AL114" i="3"/>
  <c r="BP114" i="3" s="1"/>
  <c r="D114" i="5" s="1"/>
  <c r="AL116" i="3"/>
  <c r="BP116" i="3" s="1"/>
  <c r="D116" i="5" s="1"/>
  <c r="AM116" i="3"/>
  <c r="AL117" i="3"/>
  <c r="BP117" i="3" s="1"/>
  <c r="D117" i="5" s="1"/>
  <c r="AM117" i="3"/>
  <c r="AL118" i="3"/>
  <c r="BP118" i="3" s="1"/>
  <c r="D118" i="5" s="1"/>
  <c r="AM118" i="3"/>
  <c r="AL119" i="3"/>
  <c r="BP119" i="3" s="1"/>
  <c r="D119" i="5" s="1"/>
  <c r="AL121" i="3"/>
  <c r="BP121" i="3" s="1"/>
  <c r="D121" i="5" s="1"/>
  <c r="AL122" i="3"/>
  <c r="BP122" i="3" s="1"/>
  <c r="D122" i="5" s="1"/>
  <c r="AM122" i="3"/>
  <c r="AL123" i="3"/>
  <c r="BP123" i="3" s="1"/>
  <c r="D123" i="5" s="1"/>
  <c r="AL125" i="3"/>
  <c r="BP125" i="3" s="1"/>
  <c r="D125" i="5" s="1"/>
  <c r="AM125" i="3"/>
  <c r="AL126" i="3"/>
  <c r="BP126" i="3" s="1"/>
  <c r="D126" i="5" s="1"/>
  <c r="AM126" i="3"/>
  <c r="AL127" i="3"/>
  <c r="BP127" i="3" s="1"/>
  <c r="D127" i="5" s="1"/>
  <c r="AM127" i="3"/>
  <c r="AL128" i="3"/>
  <c r="BP128" i="3" s="1"/>
  <c r="D128" i="5" s="1"/>
  <c r="AL129" i="3"/>
  <c r="BP129" i="3" s="1"/>
  <c r="D129" i="5" s="1"/>
  <c r="AM129" i="3"/>
  <c r="AL130" i="3"/>
  <c r="BP130" i="3" s="1"/>
  <c r="D130" i="5" s="1"/>
  <c r="AM130" i="3"/>
  <c r="AL131" i="3"/>
  <c r="BP131" i="3" s="1"/>
  <c r="D131" i="5" s="1"/>
  <c r="AM131" i="3"/>
  <c r="AL133" i="3"/>
  <c r="BP133" i="3" s="1"/>
  <c r="D133" i="5" s="1"/>
  <c r="AM133" i="3"/>
  <c r="AL134" i="3"/>
  <c r="BP134" i="3" s="1"/>
  <c r="D134" i="5" s="1"/>
  <c r="AM134" i="3"/>
  <c r="AL138" i="3"/>
  <c r="BP138" i="3" s="1"/>
  <c r="D138" i="5" s="1"/>
  <c r="AL140" i="3"/>
  <c r="BP140" i="3" s="1"/>
  <c r="D140" i="5" s="1"/>
  <c r="AL150" i="3"/>
  <c r="BP150" i="3" s="1"/>
  <c r="D150" i="5" s="1"/>
  <c r="AL158" i="3"/>
  <c r="BP158" i="3" s="1"/>
  <c r="D158" i="5" s="1"/>
  <c r="AL160" i="3"/>
  <c r="BP160" i="3" s="1"/>
  <c r="D160" i="5" s="1"/>
  <c r="AM160" i="3"/>
  <c r="AL18" i="3"/>
  <c r="BP18" i="3" s="1"/>
  <c r="D18" i="5" s="1"/>
  <c r="K34" i="17"/>
  <c r="AM82" i="3" s="1"/>
  <c r="K11" i="17"/>
  <c r="AM60" i="3" s="1"/>
  <c r="K17" i="17"/>
  <c r="K59" i="17"/>
  <c r="I19" i="17"/>
  <c r="H19" i="17"/>
  <c r="I58" i="17"/>
  <c r="J58" i="17"/>
  <c r="I15" i="17"/>
  <c r="H15" i="17"/>
  <c r="H53" i="17"/>
  <c r="I53" i="17"/>
  <c r="I29" i="17"/>
  <c r="H29" i="17"/>
  <c r="I54" i="17"/>
  <c r="I13" i="17"/>
  <c r="I2" i="17"/>
  <c r="I14" i="17"/>
  <c r="I49" i="17"/>
  <c r="H49" i="17"/>
  <c r="I47" i="17"/>
  <c r="H47" i="17"/>
  <c r="I42" i="17"/>
  <c r="H42" i="17"/>
  <c r="I40" i="17"/>
  <c r="H40" i="17"/>
  <c r="I39" i="17"/>
  <c r="I37" i="17"/>
  <c r="H37" i="17"/>
  <c r="I28" i="17"/>
  <c r="H28" i="17"/>
  <c r="I27" i="17"/>
  <c r="H27" i="17"/>
  <c r="I26" i="17"/>
  <c r="H26" i="17"/>
  <c r="I23" i="17"/>
  <c r="H23" i="17"/>
  <c r="I16" i="17"/>
  <c r="H16" i="17"/>
  <c r="G119" i="3"/>
  <c r="AS119" i="1" s="1"/>
  <c r="AT119" i="1" s="1"/>
  <c r="F44" i="3"/>
  <c r="AR44" i="1" s="1"/>
  <c r="F41" i="3"/>
  <c r="AR41" i="1" s="1"/>
  <c r="L138" i="3"/>
  <c r="H138" i="1" s="1"/>
  <c r="BP138" i="1" s="1"/>
  <c r="L134" i="3"/>
  <c r="H134" i="1" s="1"/>
  <c r="BP134" i="1" s="1"/>
  <c r="L133" i="3"/>
  <c r="H133" i="1" s="1"/>
  <c r="BP133" i="1" s="1"/>
  <c r="L131" i="3"/>
  <c r="H131" i="1" s="1"/>
  <c r="BP131" i="1" s="1"/>
  <c r="L130" i="3"/>
  <c r="H130" i="1" s="1"/>
  <c r="BP130" i="1" s="1"/>
  <c r="L128" i="3"/>
  <c r="H128" i="1" s="1"/>
  <c r="F160" i="3"/>
  <c r="AR160" i="1" s="1"/>
  <c r="L160" i="3"/>
  <c r="H160" i="1" s="1"/>
  <c r="L158" i="3"/>
  <c r="H158" i="1" s="1"/>
  <c r="L150" i="3"/>
  <c r="H150" i="1" s="1"/>
  <c r="C159" i="3"/>
  <c r="C157" i="3"/>
  <c r="C156" i="3"/>
  <c r="C155" i="3"/>
  <c r="C154" i="3"/>
  <c r="C153" i="3"/>
  <c r="C152" i="3"/>
  <c r="C151" i="3"/>
  <c r="G152" i="3"/>
  <c r="AS152" i="1" s="1"/>
  <c r="AT152" i="1" s="1"/>
  <c r="G153" i="3"/>
  <c r="AS153" i="1" s="1"/>
  <c r="AT153" i="1" s="1"/>
  <c r="G154" i="3"/>
  <c r="AS154" i="1" s="1"/>
  <c r="AT154" i="1" s="1"/>
  <c r="G155" i="3"/>
  <c r="AS155" i="1" s="1"/>
  <c r="AT155" i="1" s="1"/>
  <c r="G156" i="3"/>
  <c r="AS156" i="1" s="1"/>
  <c r="AT156" i="1" s="1"/>
  <c r="G157" i="3"/>
  <c r="AS157" i="1" s="1"/>
  <c r="AT157" i="1" s="1"/>
  <c r="G158" i="3"/>
  <c r="AS158" i="1" s="1"/>
  <c r="AT158" i="1" s="1"/>
  <c r="G159" i="3"/>
  <c r="AS159" i="1" s="1"/>
  <c r="AT159" i="1" s="1"/>
  <c r="G151" i="3"/>
  <c r="AS151" i="1" s="1"/>
  <c r="AT151" i="1" s="1"/>
  <c r="G150" i="3"/>
  <c r="AS150" i="1" s="1"/>
  <c r="AT150" i="1" s="1"/>
  <c r="L140" i="3"/>
  <c r="H140" i="1" s="1"/>
  <c r="BP140" i="1" s="1"/>
  <c r="C149" i="3"/>
  <c r="C148" i="3"/>
  <c r="C147" i="3"/>
  <c r="C146" i="3"/>
  <c r="C145" i="3"/>
  <c r="C144" i="3"/>
  <c r="C143" i="3"/>
  <c r="C142" i="3"/>
  <c r="C141" i="3"/>
  <c r="C139" i="3"/>
  <c r="G141" i="3"/>
  <c r="AS141" i="1" s="1"/>
  <c r="AT141" i="1" s="1"/>
  <c r="G142" i="3"/>
  <c r="AS142" i="1" s="1"/>
  <c r="AT142" i="1" s="1"/>
  <c r="G143" i="3"/>
  <c r="AS143" i="1" s="1"/>
  <c r="AT143" i="1" s="1"/>
  <c r="G144" i="3"/>
  <c r="AS144" i="1" s="1"/>
  <c r="AT144" i="1" s="1"/>
  <c r="G145" i="3"/>
  <c r="AS145" i="1" s="1"/>
  <c r="AT145" i="1" s="1"/>
  <c r="G146" i="3"/>
  <c r="AS146" i="1" s="1"/>
  <c r="AT146" i="1" s="1"/>
  <c r="G147" i="3"/>
  <c r="AS147" i="1" s="1"/>
  <c r="AT147" i="1" s="1"/>
  <c r="G148" i="3"/>
  <c r="AS148" i="1" s="1"/>
  <c r="AT148" i="1" s="1"/>
  <c r="G149" i="3"/>
  <c r="AS149" i="1" s="1"/>
  <c r="AT149" i="1" s="1"/>
  <c r="G140" i="3"/>
  <c r="AS140" i="1" s="1"/>
  <c r="AT140" i="1" s="1"/>
  <c r="G139" i="3"/>
  <c r="AS139" i="1" s="1"/>
  <c r="AT139" i="1" s="1"/>
  <c r="C137" i="3"/>
  <c r="C136" i="3"/>
  <c r="C135" i="3"/>
  <c r="L118" i="3"/>
  <c r="H118" i="1" s="1"/>
  <c r="L117" i="3"/>
  <c r="H117" i="1" s="1"/>
  <c r="BP117" i="1" s="1"/>
  <c r="C124" i="3"/>
  <c r="BX124" i="1" s="1"/>
  <c r="C120" i="3"/>
  <c r="C115" i="3"/>
  <c r="C113" i="3"/>
  <c r="C112" i="3"/>
  <c r="C111" i="3"/>
  <c r="C110" i="3"/>
  <c r="F95" i="3"/>
  <c r="AR95" i="1" s="1"/>
  <c r="L100" i="3"/>
  <c r="H100" i="1" s="1"/>
  <c r="BP100" i="1" s="1"/>
  <c r="L99" i="3"/>
  <c r="H99" i="1" s="1"/>
  <c r="BP99" i="1" s="1"/>
  <c r="L97" i="3"/>
  <c r="H97" i="1" s="1"/>
  <c r="L95" i="3"/>
  <c r="H95" i="1" s="1"/>
  <c r="L94" i="3"/>
  <c r="H94" i="1" s="1"/>
  <c r="BP94" i="1" s="1"/>
  <c r="L93" i="3"/>
  <c r="H93" i="1" s="1"/>
  <c r="BP93" i="1" s="1"/>
  <c r="L82" i="3"/>
  <c r="H82" i="1" s="1"/>
  <c r="L83" i="3"/>
  <c r="H83" i="1" s="1"/>
  <c r="L84" i="3"/>
  <c r="H84" i="1" s="1"/>
  <c r="L85" i="3"/>
  <c r="H85" i="1" s="1"/>
  <c r="L81" i="3"/>
  <c r="H81" i="1" s="1"/>
  <c r="C92" i="3"/>
  <c r="C91" i="3"/>
  <c r="C90" i="3"/>
  <c r="C86" i="3"/>
  <c r="L61" i="3"/>
  <c r="H61" i="1" s="1"/>
  <c r="C79" i="3"/>
  <c r="C78" i="3"/>
  <c r="C75" i="3"/>
  <c r="C74" i="3"/>
  <c r="C71" i="3"/>
  <c r="C70" i="3"/>
  <c r="BX70" i="1" s="1"/>
  <c r="C63" i="3"/>
  <c r="F61" i="3"/>
  <c r="AR61" i="1" s="1"/>
  <c r="L59" i="3"/>
  <c r="H59" i="1" s="1"/>
  <c r="BP59" i="1" s="1"/>
  <c r="L60" i="3"/>
  <c r="H60" i="1" s="1"/>
  <c r="BP60" i="1" s="1"/>
  <c r="L58" i="3"/>
  <c r="H58" i="1" s="1"/>
  <c r="BP58" i="1" s="1"/>
  <c r="L55" i="3"/>
  <c r="H55" i="1" s="1"/>
  <c r="BP55" i="1" s="1"/>
  <c r="G57" i="3"/>
  <c r="AS57" i="1" s="1"/>
  <c r="AT57" i="1" s="1"/>
  <c r="F48" i="3"/>
  <c r="AR48" i="1" s="1"/>
  <c r="F47" i="3"/>
  <c r="AR47" i="1" s="1"/>
  <c r="C52" i="3"/>
  <c r="BX52" i="1" s="1"/>
  <c r="C51" i="3"/>
  <c r="G58" i="3"/>
  <c r="AS58" i="1" s="1"/>
  <c r="AT58" i="1" s="1"/>
  <c r="G59" i="3"/>
  <c r="AS59" i="1" s="1"/>
  <c r="AT59" i="1" s="1"/>
  <c r="G60" i="3"/>
  <c r="AS60" i="1" s="1"/>
  <c r="AT60" i="1" s="1"/>
  <c r="G62" i="3"/>
  <c r="AS62" i="1" s="1"/>
  <c r="AT62" i="1" s="1"/>
  <c r="F63" i="3"/>
  <c r="AR63" i="1" s="1"/>
  <c r="G63" i="3"/>
  <c r="AS63" i="1" s="1"/>
  <c r="AT63" i="1" s="1"/>
  <c r="J63" i="3"/>
  <c r="AU63" i="1" s="1"/>
  <c r="L63" i="3"/>
  <c r="H63" i="1" s="1"/>
  <c r="F64" i="3"/>
  <c r="AR64" i="1" s="1"/>
  <c r="G64" i="3"/>
  <c r="AS64" i="1" s="1"/>
  <c r="AT64" i="1" s="1"/>
  <c r="J64" i="3"/>
  <c r="AU64" i="1" s="1"/>
  <c r="L64" i="3"/>
  <c r="H64" i="1" s="1"/>
  <c r="F65" i="3"/>
  <c r="AR65" i="1" s="1"/>
  <c r="G65" i="3"/>
  <c r="AS65" i="1" s="1"/>
  <c r="AT65" i="1" s="1"/>
  <c r="J65" i="3"/>
  <c r="AU65" i="1" s="1"/>
  <c r="L65" i="3"/>
  <c r="H65" i="1" s="1"/>
  <c r="F66" i="3"/>
  <c r="AR66" i="1" s="1"/>
  <c r="G66" i="3"/>
  <c r="AS66" i="1" s="1"/>
  <c r="AT66" i="1" s="1"/>
  <c r="J66" i="3"/>
  <c r="AU66" i="1" s="1"/>
  <c r="L66" i="3"/>
  <c r="H66" i="1" s="1"/>
  <c r="L44" i="3"/>
  <c r="H44" i="1" s="1"/>
  <c r="L37" i="3"/>
  <c r="H37" i="1" s="1"/>
  <c r="L41" i="3"/>
  <c r="H41" i="1" s="1"/>
  <c r="L40" i="3"/>
  <c r="H40" i="1" s="1"/>
  <c r="BX46" i="1"/>
  <c r="C43" i="3"/>
  <c r="C39" i="3"/>
  <c r="C31" i="3"/>
  <c r="C30" i="3"/>
  <c r="C28" i="3"/>
  <c r="C26" i="3"/>
  <c r="BX25" i="1"/>
  <c r="G23" i="3"/>
  <c r="G16" i="3"/>
  <c r="G15" i="3"/>
  <c r="L20" i="3"/>
  <c r="H20" i="1" s="1"/>
  <c r="C16" i="3"/>
  <c r="BX16" i="1" s="1"/>
  <c r="C15" i="3"/>
  <c r="C14" i="3"/>
  <c r="C13" i="3"/>
  <c r="C11" i="3"/>
  <c r="C9" i="3"/>
  <c r="C6" i="3"/>
  <c r="BX6" i="1" s="1"/>
  <c r="C3" i="3"/>
  <c r="C2" i="3"/>
  <c r="Q31" i="16"/>
  <c r="P32" i="16"/>
  <c r="P35" i="16"/>
  <c r="Q2" i="16"/>
  <c r="Q6" i="16"/>
  <c r="Q32" i="16"/>
  <c r="Q13" i="16"/>
  <c r="Q12" i="16"/>
  <c r="Q8" i="16"/>
  <c r="M25" i="16"/>
  <c r="M24" i="16"/>
  <c r="M18" i="16"/>
  <c r="M17" i="16"/>
  <c r="S4" i="16"/>
  <c r="S3" i="16"/>
  <c r="S2" i="16"/>
  <c r="Q27" i="16"/>
  <c r="Q28" i="16"/>
  <c r="Q19" i="16"/>
  <c r="Q15" i="16"/>
  <c r="Q14" i="16"/>
  <c r="Q7" i="16"/>
  <c r="R15" i="16"/>
  <c r="R8" i="16"/>
  <c r="R12" i="16"/>
  <c r="R10" i="16"/>
  <c r="R11" i="16"/>
  <c r="L9" i="16"/>
  <c r="L3" i="16"/>
  <c r="Q23" i="16"/>
  <c r="Q35" i="16"/>
  <c r="M27" i="16"/>
  <c r="D2" i="16"/>
  <c r="D3" i="16"/>
  <c r="R9" i="16"/>
  <c r="R16" i="16"/>
  <c r="R7" i="16"/>
  <c r="R13" i="16"/>
  <c r="R14" i="16"/>
  <c r="R5" i="16"/>
  <c r="R6" i="16"/>
  <c r="R4" i="16"/>
  <c r="R3" i="16"/>
  <c r="R2" i="16"/>
  <c r="E31" i="16"/>
  <c r="E30" i="16"/>
  <c r="E29" i="16"/>
  <c r="E28" i="16"/>
  <c r="E27" i="16"/>
  <c r="E26" i="16"/>
  <c r="E25" i="16"/>
  <c r="E24" i="16"/>
  <c r="E23" i="16"/>
  <c r="E21" i="16"/>
  <c r="E22" i="16"/>
  <c r="E20" i="16"/>
  <c r="E19" i="16"/>
  <c r="E18" i="16"/>
  <c r="E17" i="16"/>
  <c r="E16" i="16"/>
  <c r="E15" i="16"/>
  <c r="E13" i="16"/>
  <c r="E14" i="16"/>
  <c r="E11" i="16"/>
  <c r="E12" i="16"/>
  <c r="E10" i="16"/>
  <c r="E9" i="16"/>
  <c r="E8" i="16"/>
  <c r="E7" i="16"/>
  <c r="E6" i="16"/>
  <c r="E5" i="16"/>
  <c r="E4" i="16"/>
  <c r="E3" i="16"/>
  <c r="E2" i="16"/>
  <c r="L33" i="16"/>
  <c r="L32" i="16"/>
  <c r="L31" i="16"/>
  <c r="L30" i="16"/>
  <c r="Q29" i="16"/>
  <c r="K36" i="16"/>
  <c r="K35" i="16"/>
  <c r="K34" i="16"/>
  <c r="K33" i="16"/>
  <c r="O31" i="16"/>
  <c r="O30" i="16"/>
  <c r="P30" i="16"/>
  <c r="O29" i="16"/>
  <c r="P29" i="16"/>
  <c r="P28" i="16"/>
  <c r="O28" i="16"/>
  <c r="O27" i="16"/>
  <c r="I37" i="16"/>
  <c r="H37" i="16"/>
  <c r="N13" i="16"/>
  <c r="N12" i="16"/>
  <c r="M30" i="16"/>
  <c r="M29" i="16"/>
  <c r="M28" i="16"/>
  <c r="J38" i="16"/>
  <c r="J36" i="16"/>
  <c r="J37" i="16"/>
  <c r="J35" i="16"/>
  <c r="I36" i="16"/>
  <c r="I35" i="16"/>
  <c r="D18" i="16"/>
  <c r="G113" i="3"/>
  <c r="AS113" i="1" s="1"/>
  <c r="AT113" i="1" s="1"/>
  <c r="H36" i="16"/>
  <c r="H35" i="16"/>
  <c r="G28" i="16"/>
  <c r="G27" i="16"/>
  <c r="F27" i="16"/>
  <c r="F28" i="16"/>
  <c r="C8" i="16"/>
  <c r="D16" i="16"/>
  <c r="D17" i="16"/>
  <c r="D15" i="16"/>
  <c r="C6" i="16"/>
  <c r="C7" i="16"/>
  <c r="C5" i="16"/>
  <c r="B8" i="16"/>
  <c r="B6" i="16"/>
  <c r="B7" i="16"/>
  <c r="B5" i="16"/>
  <c r="Q17" i="16"/>
  <c r="L22" i="16"/>
  <c r="L23" i="16"/>
  <c r="L24" i="16"/>
  <c r="L25" i="16"/>
  <c r="L26" i="16"/>
  <c r="L27" i="16"/>
  <c r="L28" i="16"/>
  <c r="L29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8" i="16"/>
  <c r="L7" i="16"/>
  <c r="L6" i="16"/>
  <c r="L5" i="16"/>
  <c r="L4" i="16"/>
  <c r="L2" i="16"/>
  <c r="Q30" i="16"/>
  <c r="P38" i="16"/>
  <c r="Q36" i="16"/>
  <c r="Q34" i="16"/>
  <c r="Q33" i="16"/>
  <c r="Q26" i="16"/>
  <c r="Q25" i="16"/>
  <c r="Q24" i="16"/>
  <c r="Q22" i="16"/>
  <c r="Q21" i="16"/>
  <c r="Q20" i="16"/>
  <c r="Q18" i="16"/>
  <c r="Q16" i="16"/>
  <c r="Q11" i="16"/>
  <c r="Q10" i="16"/>
  <c r="Q9" i="16"/>
  <c r="Q5" i="16"/>
  <c r="Q4" i="16"/>
  <c r="Q3" i="16"/>
  <c r="K26" i="16"/>
  <c r="K23" i="16"/>
  <c r="K10" i="16"/>
  <c r="K19" i="16"/>
  <c r="K30" i="16"/>
  <c r="K27" i="16"/>
  <c r="K25" i="16"/>
  <c r="K24" i="16"/>
  <c r="K22" i="16"/>
  <c r="K32" i="16"/>
  <c r="K31" i="16"/>
  <c r="K28" i="16"/>
  <c r="K29" i="16"/>
  <c r="K20" i="16"/>
  <c r="K21" i="16"/>
  <c r="K18" i="16"/>
  <c r="K17" i="16"/>
  <c r="K16" i="16"/>
  <c r="K15" i="16"/>
  <c r="K14" i="16"/>
  <c r="K13" i="16"/>
  <c r="K12" i="16"/>
  <c r="K11" i="16"/>
  <c r="K9" i="16"/>
  <c r="K8" i="16"/>
  <c r="K7" i="16"/>
  <c r="K6" i="16"/>
  <c r="K5" i="16"/>
  <c r="K4" i="16"/>
  <c r="K3" i="16"/>
  <c r="K2" i="16"/>
  <c r="P18" i="16"/>
  <c r="O18" i="16"/>
  <c r="P27" i="16"/>
  <c r="P26" i="16"/>
  <c r="P25" i="16"/>
  <c r="P37" i="16"/>
  <c r="P24" i="16"/>
  <c r="P23" i="16"/>
  <c r="P22" i="16"/>
  <c r="P21" i="16"/>
  <c r="P20" i="16"/>
  <c r="P19" i="16"/>
  <c r="P17" i="16"/>
  <c r="P16" i="16"/>
  <c r="P15" i="16"/>
  <c r="P14" i="16"/>
  <c r="P13" i="16"/>
  <c r="P12" i="16"/>
  <c r="P11" i="16"/>
  <c r="P10" i="16"/>
  <c r="P9" i="16"/>
  <c r="P8" i="16"/>
  <c r="P7" i="16"/>
  <c r="P6" i="16"/>
  <c r="P5" i="16"/>
  <c r="P4" i="16"/>
  <c r="P3" i="16"/>
  <c r="O3" i="16"/>
  <c r="P2" i="16"/>
  <c r="O10" i="16"/>
  <c r="O20" i="16"/>
  <c r="O12" i="16"/>
  <c r="O11" i="16"/>
  <c r="O21" i="16"/>
  <c r="O19" i="16"/>
  <c r="O25" i="16"/>
  <c r="O5" i="16"/>
  <c r="O15" i="16"/>
  <c r="O24" i="16"/>
  <c r="O9" i="16"/>
  <c r="O26" i="16"/>
  <c r="O8" i="16"/>
  <c r="O16" i="16"/>
  <c r="O22" i="16"/>
  <c r="O23" i="16"/>
  <c r="O2" i="16"/>
  <c r="O6" i="16"/>
  <c r="O7" i="16"/>
  <c r="P33" i="16"/>
  <c r="P34" i="16"/>
  <c r="O13" i="16"/>
  <c r="O4" i="16"/>
  <c r="N11" i="16"/>
  <c r="N10" i="16"/>
  <c r="N9" i="16"/>
  <c r="N8" i="16"/>
  <c r="N7" i="16"/>
  <c r="N6" i="16"/>
  <c r="N5" i="16"/>
  <c r="N4" i="16"/>
  <c r="N3" i="16"/>
  <c r="N2" i="16"/>
  <c r="M2" i="16"/>
  <c r="M3" i="16"/>
  <c r="M4" i="16"/>
  <c r="M5" i="16"/>
  <c r="M13" i="16"/>
  <c r="M14" i="16"/>
  <c r="M23" i="16"/>
  <c r="M26" i="16"/>
  <c r="M10" i="16"/>
  <c r="M22" i="16"/>
  <c r="M21" i="16"/>
  <c r="M20" i="16"/>
  <c r="M19" i="16"/>
  <c r="M16" i="16"/>
  <c r="M15" i="16"/>
  <c r="M12" i="16"/>
  <c r="M11" i="16"/>
  <c r="M9" i="16"/>
  <c r="M8" i="16"/>
  <c r="M7" i="16"/>
  <c r="M6" i="16"/>
  <c r="H21" i="16"/>
  <c r="I21" i="16"/>
  <c r="J3" i="16"/>
  <c r="J21" i="16"/>
  <c r="J27" i="16"/>
  <c r="J26" i="16"/>
  <c r="J32" i="16"/>
  <c r="J13" i="16"/>
  <c r="J34" i="16"/>
  <c r="J9" i="16"/>
  <c r="J23" i="16"/>
  <c r="J20" i="16"/>
  <c r="J19" i="16"/>
  <c r="P31" i="16"/>
  <c r="J30" i="16"/>
  <c r="J11" i="16"/>
  <c r="J15" i="16"/>
  <c r="J29" i="16"/>
  <c r="J31" i="16"/>
  <c r="J7" i="16"/>
  <c r="J17" i="16"/>
  <c r="J18" i="16"/>
  <c r="J12" i="16"/>
  <c r="J10" i="16"/>
  <c r="O14" i="16"/>
  <c r="J25" i="16"/>
  <c r="J24" i="16"/>
  <c r="J28" i="16"/>
  <c r="J33" i="16"/>
  <c r="J22" i="16"/>
  <c r="O17" i="16"/>
  <c r="J14" i="16"/>
  <c r="J16" i="16"/>
  <c r="I46" i="16"/>
  <c r="J8" i="16"/>
  <c r="P36" i="16"/>
  <c r="J6" i="16"/>
  <c r="J5" i="16"/>
  <c r="J4" i="16"/>
  <c r="J2" i="16"/>
  <c r="G32" i="16"/>
  <c r="I44" i="16"/>
  <c r="I43" i="16"/>
  <c r="I42" i="16"/>
  <c r="I41" i="16"/>
  <c r="I40" i="16"/>
  <c r="I38" i="16"/>
  <c r="I39" i="16"/>
  <c r="I15" i="16"/>
  <c r="I18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0" i="16"/>
  <c r="I19" i="16"/>
  <c r="I17" i="16"/>
  <c r="I16" i="16"/>
  <c r="I14" i="16"/>
  <c r="I11" i="16"/>
  <c r="I45" i="16"/>
  <c r="I13" i="16"/>
  <c r="I12" i="16"/>
  <c r="I10" i="16"/>
  <c r="I9" i="16"/>
  <c r="I8" i="16"/>
  <c r="I7" i="16"/>
  <c r="I6" i="16"/>
  <c r="I5" i="16"/>
  <c r="I4" i="16"/>
  <c r="I3" i="16"/>
  <c r="I2" i="16"/>
  <c r="G34" i="16"/>
  <c r="H7" i="16"/>
  <c r="H11" i="16"/>
  <c r="H33" i="16"/>
  <c r="H18" i="16"/>
  <c r="H15" i="16"/>
  <c r="H12" i="16"/>
  <c r="G29" i="16"/>
  <c r="H34" i="16"/>
  <c r="H32" i="16"/>
  <c r="H31" i="16"/>
  <c r="H30" i="16"/>
  <c r="H29" i="16"/>
  <c r="H28" i="16"/>
  <c r="H27" i="16"/>
  <c r="H26" i="16"/>
  <c r="H24" i="16"/>
  <c r="H23" i="16"/>
  <c r="H22" i="16"/>
  <c r="H20" i="16"/>
  <c r="H19" i="16"/>
  <c r="H17" i="16"/>
  <c r="H16" i="16"/>
  <c r="H9" i="16"/>
  <c r="H14" i="16"/>
  <c r="H13" i="16"/>
  <c r="H10" i="16"/>
  <c r="H8" i="16"/>
  <c r="H25" i="16"/>
  <c r="H6" i="16"/>
  <c r="H5" i="16"/>
  <c r="H4" i="16"/>
  <c r="H3" i="16"/>
  <c r="H2" i="16"/>
  <c r="D10" i="16"/>
  <c r="G33" i="16"/>
  <c r="G31" i="16"/>
  <c r="G30" i="16"/>
  <c r="G24" i="16"/>
  <c r="F24" i="16"/>
  <c r="G26" i="16"/>
  <c r="G25" i="16"/>
  <c r="G23" i="16"/>
  <c r="G20" i="16"/>
  <c r="G22" i="16"/>
  <c r="G21" i="16"/>
  <c r="G19" i="16"/>
  <c r="G18" i="16"/>
  <c r="G10" i="16"/>
  <c r="G8" i="16"/>
  <c r="G17" i="16"/>
  <c r="G16" i="16"/>
  <c r="G15" i="16"/>
  <c r="G14" i="16"/>
  <c r="G13" i="16"/>
  <c r="G12" i="16"/>
  <c r="G11" i="16"/>
  <c r="F9" i="16"/>
  <c r="G9" i="16"/>
  <c r="G7" i="16"/>
  <c r="G6" i="16"/>
  <c r="G5" i="16"/>
  <c r="G4" i="16"/>
  <c r="G3" i="16"/>
  <c r="G2" i="16"/>
  <c r="F20" i="16"/>
  <c r="F25" i="16"/>
  <c r="F26" i="16"/>
  <c r="F15" i="16"/>
  <c r="F18" i="16"/>
  <c r="F10" i="16"/>
  <c r="F4" i="16"/>
  <c r="F2" i="16"/>
  <c r="F6" i="16"/>
  <c r="F3" i="16"/>
  <c r="F19" i="16"/>
  <c r="F11" i="16"/>
  <c r="F13" i="16"/>
  <c r="F14" i="16"/>
  <c r="F16" i="16"/>
  <c r="F5" i="16"/>
  <c r="F12" i="16"/>
  <c r="F17" i="16"/>
  <c r="F7" i="16"/>
  <c r="F8" i="16"/>
  <c r="F23" i="16"/>
  <c r="F22" i="16"/>
  <c r="F21" i="16"/>
  <c r="BP162" i="1" l="1"/>
  <c r="BP165" i="1"/>
  <c r="BU165" i="1" s="1"/>
  <c r="BP62" i="1"/>
  <c r="BP126" i="1"/>
  <c r="BP128" i="1"/>
  <c r="BK20" i="3"/>
  <c r="V44" i="1"/>
  <c r="BK17" i="3"/>
  <c r="AL85" i="1"/>
  <c r="AJ85" i="1"/>
  <c r="G97" i="5"/>
  <c r="J97" i="5" s="1"/>
  <c r="S85" i="5"/>
  <c r="U85" i="5" s="1"/>
  <c r="AM18" i="3"/>
  <c r="AM161" i="3"/>
  <c r="AN161" i="3" s="1"/>
  <c r="Z161" i="5" s="1"/>
  <c r="S47" i="1"/>
  <c r="U97" i="1"/>
  <c r="U47" i="1"/>
  <c r="BU162" i="1"/>
  <c r="G44" i="5"/>
  <c r="J44" i="5" s="1"/>
  <c r="T47" i="1"/>
  <c r="AL82" i="1"/>
  <c r="AJ82" i="1"/>
  <c r="AK82" i="1"/>
  <c r="AI82" i="1"/>
  <c r="V47" i="1"/>
  <c r="S97" i="1"/>
  <c r="U44" i="1"/>
  <c r="T97" i="1"/>
  <c r="BK29" i="3"/>
  <c r="R29" i="5" s="1"/>
  <c r="AS16" i="1"/>
  <c r="AT16" i="1" s="1"/>
  <c r="AS23" i="1"/>
  <c r="AT23" i="1" s="1"/>
  <c r="BX112" i="1"/>
  <c r="AS15" i="1"/>
  <c r="AT15" i="1" s="1"/>
  <c r="BX31" i="1"/>
  <c r="BX15" i="1"/>
  <c r="BX86" i="1"/>
  <c r="BK84" i="3"/>
  <c r="O67" i="5"/>
  <c r="P67" i="5" s="1"/>
  <c r="BX39" i="1"/>
  <c r="BX14" i="1"/>
  <c r="BX71" i="1"/>
  <c r="AO11" i="3"/>
  <c r="BD11" i="3" s="1"/>
  <c r="AN11" i="1"/>
  <c r="I11" i="1" s="1"/>
  <c r="AX11" i="3"/>
  <c r="AO75" i="3"/>
  <c r="BD75" i="3" s="1"/>
  <c r="AN75" i="1"/>
  <c r="AX75" i="3"/>
  <c r="W75" i="5"/>
  <c r="AP75" i="3"/>
  <c r="AQ75" i="3"/>
  <c r="Y75" i="5"/>
  <c r="X75" i="5"/>
  <c r="AO115" i="3"/>
  <c r="BD115" i="3" s="1"/>
  <c r="AP115" i="3"/>
  <c r="AN115" i="1"/>
  <c r="I115" i="1" s="1"/>
  <c r="Y115" i="5"/>
  <c r="AX115" i="3"/>
  <c r="W115" i="5"/>
  <c r="X115" i="5"/>
  <c r="AQ115" i="3"/>
  <c r="BX115" i="1"/>
  <c r="BY115" i="1" s="1"/>
  <c r="AP146" i="3"/>
  <c r="BE146" i="3" s="1"/>
  <c r="AO146" i="3"/>
  <c r="BD146" i="3" s="1"/>
  <c r="AN146" i="1"/>
  <c r="W146" i="5"/>
  <c r="AX146" i="3"/>
  <c r="X146" i="5"/>
  <c r="AQ146" i="3"/>
  <c r="BX146" i="1"/>
  <c r="Y146" i="5"/>
  <c r="AV74" i="3"/>
  <c r="BM74" i="3" a="1"/>
  <c r="BM74" i="3" s="1"/>
  <c r="BM154" i="3" a="1"/>
  <c r="BM154" i="3" s="1"/>
  <c r="AV154" i="3"/>
  <c r="AU13" i="3"/>
  <c r="BK73" i="3"/>
  <c r="AU73" i="3"/>
  <c r="AC73" i="1" s="1"/>
  <c r="O73" i="5" s="1"/>
  <c r="Q73" i="5" s="1"/>
  <c r="AP3" i="3"/>
  <c r="BE3" i="3" s="1"/>
  <c r="M3" i="1"/>
  <c r="BZ3" i="1"/>
  <c r="AW3" i="1"/>
  <c r="CA3" i="1"/>
  <c r="BM3" i="1"/>
  <c r="BO3" i="1" s="1"/>
  <c r="BL3" i="1" s="1"/>
  <c r="AY3" i="1"/>
  <c r="CC3" i="1"/>
  <c r="BG3" i="1"/>
  <c r="BJ3" i="1" s="1"/>
  <c r="CH3" i="1"/>
  <c r="BH3" i="1"/>
  <c r="N3" i="1"/>
  <c r="R3" i="1"/>
  <c r="CF3" i="1"/>
  <c r="CD3" i="1"/>
  <c r="CE3" i="1"/>
  <c r="CG3" i="1"/>
  <c r="BA3" i="1"/>
  <c r="W3" i="5"/>
  <c r="AC3" i="5"/>
  <c r="X3" i="5"/>
  <c r="AQ3" i="3"/>
  <c r="BG3" i="3" s="1"/>
  <c r="BO3" i="3" s="1"/>
  <c r="BS3" i="3" s="1"/>
  <c r="Y3" i="5"/>
  <c r="T30" i="5"/>
  <c r="V30" i="5"/>
  <c r="U30" i="5"/>
  <c r="I75" i="5"/>
  <c r="H75" i="5"/>
  <c r="J75" i="5"/>
  <c r="T96" i="5"/>
  <c r="V96" i="5"/>
  <c r="U96" i="5"/>
  <c r="AO13" i="3"/>
  <c r="BD13" i="3" s="1"/>
  <c r="AN13" i="1"/>
  <c r="AX13" i="3"/>
  <c r="W13" i="5"/>
  <c r="Y13" i="5"/>
  <c r="X13" i="5"/>
  <c r="BM13" i="3" a="1"/>
  <c r="BM13" i="3" s="1"/>
  <c r="AQ13" i="3"/>
  <c r="AP13" i="3"/>
  <c r="AO78" i="3"/>
  <c r="BD78" i="3" s="1"/>
  <c r="AN78" i="1"/>
  <c r="AX78" i="3"/>
  <c r="X78" i="5"/>
  <c r="Y78" i="5"/>
  <c r="AQ78" i="3"/>
  <c r="AP78" i="3"/>
  <c r="BE78" i="3" s="1"/>
  <c r="W78" i="5"/>
  <c r="AP120" i="3"/>
  <c r="AO120" i="3"/>
  <c r="BD120" i="3" s="1"/>
  <c r="AN120" i="1"/>
  <c r="I120" i="1" s="1"/>
  <c r="AX120" i="3"/>
  <c r="AQ120" i="3"/>
  <c r="BX120" i="1"/>
  <c r="X120" i="5"/>
  <c r="Y120" i="5"/>
  <c r="W120" i="5"/>
  <c r="AP147" i="3"/>
  <c r="BE147" i="3" s="1"/>
  <c r="AO147" i="3"/>
  <c r="BD147" i="3" s="1"/>
  <c r="AN147" i="1"/>
  <c r="X147" i="5"/>
  <c r="Y147" i="5"/>
  <c r="AX147" i="3"/>
  <c r="AQ147" i="3"/>
  <c r="BX147" i="1"/>
  <c r="W147" i="5"/>
  <c r="AO151" i="3"/>
  <c r="BD151" i="3" s="1"/>
  <c r="AP151" i="3"/>
  <c r="Y151" i="5"/>
  <c r="AX151" i="3"/>
  <c r="AN151" i="1"/>
  <c r="W151" i="5"/>
  <c r="X151" i="5"/>
  <c r="AQ151" i="3"/>
  <c r="BX151" i="1"/>
  <c r="AV75" i="3"/>
  <c r="BM75" i="3" a="1"/>
  <c r="BM75" i="3" s="1"/>
  <c r="BM155" i="3" a="1"/>
  <c r="BM155" i="3" s="1"/>
  <c r="AV155" i="3"/>
  <c r="BK21" i="3"/>
  <c r="AU21" i="3"/>
  <c r="AC21" i="1" s="1"/>
  <c r="O21" i="5" s="1"/>
  <c r="AP4" i="3"/>
  <c r="BE4" i="3" s="1"/>
  <c r="R4" i="1"/>
  <c r="BH4" i="1"/>
  <c r="CF4" i="1"/>
  <c r="N4" i="1"/>
  <c r="BG4" i="1"/>
  <c r="BJ4" i="1" s="1"/>
  <c r="CG4" i="1"/>
  <c r="CH4" i="1"/>
  <c r="BA4" i="1"/>
  <c r="M4" i="1"/>
  <c r="CA4" i="1"/>
  <c r="AW4" i="1"/>
  <c r="CC4" i="1"/>
  <c r="BM4" i="1"/>
  <c r="BO4" i="1" s="1"/>
  <c r="BL4" i="1" s="1"/>
  <c r="CD4" i="1"/>
  <c r="CE4" i="1"/>
  <c r="AY4" i="1"/>
  <c r="AC4" i="5"/>
  <c r="BZ4" i="1"/>
  <c r="X4" i="5"/>
  <c r="Y4" i="5"/>
  <c r="W4" i="5"/>
  <c r="J4" i="1"/>
  <c r="BD4" i="3"/>
  <c r="AQ4" i="3"/>
  <c r="BG4" i="3" s="1"/>
  <c r="BO4" i="3" s="1"/>
  <c r="BS4" i="3" s="1"/>
  <c r="BF4" i="1"/>
  <c r="AO4" i="1"/>
  <c r="AB4" i="5" s="1"/>
  <c r="H121" i="5"/>
  <c r="I121" i="5"/>
  <c r="J121" i="5"/>
  <c r="H42" i="5"/>
  <c r="I42" i="5"/>
  <c r="J42" i="5"/>
  <c r="V64" i="5"/>
  <c r="T64" i="5"/>
  <c r="U64" i="5"/>
  <c r="H10" i="5"/>
  <c r="I10" i="5"/>
  <c r="J10" i="5"/>
  <c r="AO132" i="3"/>
  <c r="BD132" i="3" s="1"/>
  <c r="AN132" i="1"/>
  <c r="I132" i="1" s="1"/>
  <c r="AX132" i="3"/>
  <c r="AQ132" i="3"/>
  <c r="W132" i="5"/>
  <c r="AP132" i="3"/>
  <c r="Y132" i="5"/>
  <c r="X132" i="5"/>
  <c r="AO26" i="3"/>
  <c r="BD26" i="3" s="1"/>
  <c r="AN26" i="1"/>
  <c r="AX26" i="3"/>
  <c r="BN26" i="3"/>
  <c r="Y26" i="5"/>
  <c r="X26" i="5"/>
  <c r="BM26" i="3" a="1"/>
  <c r="BM26" i="3" s="1"/>
  <c r="AP26" i="3"/>
  <c r="W26" i="5"/>
  <c r="AO90" i="3"/>
  <c r="BD90" i="3" s="1"/>
  <c r="AN90" i="1"/>
  <c r="AX90" i="3"/>
  <c r="Y90" i="5"/>
  <c r="BM90" i="3" a="1"/>
  <c r="BM90" i="3" s="1"/>
  <c r="AQ90" i="3"/>
  <c r="AP90" i="3"/>
  <c r="W90" i="5"/>
  <c r="X90" i="5"/>
  <c r="AO135" i="3"/>
  <c r="BD135" i="3" s="1"/>
  <c r="AN135" i="1"/>
  <c r="AX135" i="3"/>
  <c r="AP135" i="3"/>
  <c r="Y135" i="5"/>
  <c r="BM135" i="3" a="1"/>
  <c r="BM135" i="3" s="1"/>
  <c r="X135" i="5"/>
  <c r="W135" i="5"/>
  <c r="AQ135" i="3"/>
  <c r="BX135" i="1"/>
  <c r="AP155" i="3"/>
  <c r="AO155" i="3"/>
  <c r="BD155" i="3" s="1"/>
  <c r="AN155" i="1"/>
  <c r="AX155" i="3"/>
  <c r="W155" i="5"/>
  <c r="Y155" i="5"/>
  <c r="AQ155" i="3"/>
  <c r="X155" i="5"/>
  <c r="BX155" i="1"/>
  <c r="BM120" i="3" a="1"/>
  <c r="BM120" i="3" s="1"/>
  <c r="AV120" i="3"/>
  <c r="BM159" i="3" a="1"/>
  <c r="BM159" i="3" s="1"/>
  <c r="AV159" i="3"/>
  <c r="BK129" i="3"/>
  <c r="AU129" i="3"/>
  <c r="AC129" i="1" s="1"/>
  <c r="O129" i="5" s="1"/>
  <c r="P129" i="5" s="1"/>
  <c r="AP7" i="3"/>
  <c r="BE7" i="3" s="1"/>
  <c r="BM7" i="1"/>
  <c r="BO7" i="1" s="1"/>
  <c r="BL7" i="1" s="1"/>
  <c r="CG7" i="1"/>
  <c r="AW7" i="1"/>
  <c r="BZ7" i="1"/>
  <c r="CC7" i="1"/>
  <c r="BA7" i="1"/>
  <c r="CH7" i="1"/>
  <c r="BG7" i="1"/>
  <c r="BJ7" i="1" s="1"/>
  <c r="N7" i="1"/>
  <c r="M7" i="1"/>
  <c r="CA7" i="1"/>
  <c r="CE7" i="1"/>
  <c r="CF7" i="1"/>
  <c r="CD7" i="1"/>
  <c r="AH7" i="1"/>
  <c r="BH7" i="1"/>
  <c r="AQ7" i="3"/>
  <c r="BG7" i="3" s="1"/>
  <c r="BO7" i="3" s="1"/>
  <c r="BS7" i="3" s="1"/>
  <c r="W7" i="5"/>
  <c r="AC7" i="5"/>
  <c r="Y7" i="5"/>
  <c r="X7" i="5"/>
  <c r="BK18" i="3"/>
  <c r="H29" i="5"/>
  <c r="J29" i="5"/>
  <c r="I29" i="5"/>
  <c r="I49" i="5"/>
  <c r="H49" i="5"/>
  <c r="J49" i="5"/>
  <c r="J61" i="5"/>
  <c r="H61" i="5"/>
  <c r="I61" i="5"/>
  <c r="T82" i="5"/>
  <c r="U82" i="5"/>
  <c r="V82" i="5"/>
  <c r="H40" i="5"/>
  <c r="I40" i="5"/>
  <c r="J40" i="5"/>
  <c r="T86" i="5"/>
  <c r="U86" i="5"/>
  <c r="V86" i="5"/>
  <c r="U12" i="1"/>
  <c r="S12" i="1"/>
  <c r="T12" i="1"/>
  <c r="V12" i="1"/>
  <c r="G12" i="5"/>
  <c r="V96" i="1"/>
  <c r="S96" i="1"/>
  <c r="T96" i="1"/>
  <c r="G96" i="5"/>
  <c r="U96" i="1"/>
  <c r="V39" i="5"/>
  <c r="T39" i="5"/>
  <c r="U39" i="5"/>
  <c r="T46" i="5"/>
  <c r="U46" i="5"/>
  <c r="V46" i="5"/>
  <c r="BX9" i="1"/>
  <c r="H9" i="5"/>
  <c r="I9" i="5"/>
  <c r="J9" i="5"/>
  <c r="BK36" i="3"/>
  <c r="R36" i="5" s="1"/>
  <c r="T35" i="5"/>
  <c r="U35" i="5"/>
  <c r="V35" i="5"/>
  <c r="V48" i="5"/>
  <c r="T48" i="5"/>
  <c r="U48" i="5"/>
  <c r="I83" i="5"/>
  <c r="H83" i="5"/>
  <c r="J83" i="5"/>
  <c r="T10" i="5"/>
  <c r="U10" i="5"/>
  <c r="V10" i="5"/>
  <c r="T13" i="5"/>
  <c r="U13" i="5"/>
  <c r="V13" i="5"/>
  <c r="T14" i="5"/>
  <c r="U14" i="5"/>
  <c r="V14" i="5"/>
  <c r="AO19" i="3"/>
  <c r="BD19" i="3" s="1"/>
  <c r="AN19" i="1"/>
  <c r="AX19" i="3"/>
  <c r="AP19" i="3"/>
  <c r="Y19" i="5"/>
  <c r="W19" i="5"/>
  <c r="X19" i="5"/>
  <c r="AQ19" i="3"/>
  <c r="AO28" i="3"/>
  <c r="BD28" i="3" s="1"/>
  <c r="AN28" i="1"/>
  <c r="AX28" i="3"/>
  <c r="AQ28" i="3"/>
  <c r="W28" i="5"/>
  <c r="AP28" i="3"/>
  <c r="X28" i="5"/>
  <c r="Y28" i="5"/>
  <c r="AO91" i="3"/>
  <c r="BD91" i="3" s="1"/>
  <c r="AP91" i="3"/>
  <c r="BE91" i="3" s="1"/>
  <c r="AN91" i="1"/>
  <c r="X91" i="5"/>
  <c r="W91" i="5"/>
  <c r="AX91" i="3"/>
  <c r="AQ91" i="3"/>
  <c r="BX91" i="1"/>
  <c r="Y91" i="5"/>
  <c r="AP136" i="3"/>
  <c r="BE136" i="3" s="1"/>
  <c r="AO136" i="3"/>
  <c r="BD136" i="3" s="1"/>
  <c r="AN136" i="1"/>
  <c r="AX136" i="3"/>
  <c r="X136" i="5"/>
  <c r="Y136" i="5"/>
  <c r="AQ136" i="3"/>
  <c r="W136" i="5"/>
  <c r="BX136" i="1"/>
  <c r="AP139" i="3"/>
  <c r="BE139" i="3" s="1"/>
  <c r="AO139" i="3"/>
  <c r="BD139" i="3" s="1"/>
  <c r="AN139" i="1"/>
  <c r="AX139" i="3"/>
  <c r="BX139" i="1"/>
  <c r="W139" i="5"/>
  <c r="AQ139" i="3"/>
  <c r="X139" i="5"/>
  <c r="Y139" i="5"/>
  <c r="AP156" i="3"/>
  <c r="AO156" i="3"/>
  <c r="BD156" i="3" s="1"/>
  <c r="AN156" i="1"/>
  <c r="I156" i="1" s="1"/>
  <c r="AX156" i="3"/>
  <c r="AQ156" i="3"/>
  <c r="BX156" i="1"/>
  <c r="X156" i="5"/>
  <c r="W156" i="5"/>
  <c r="Y156" i="5"/>
  <c r="BM123" i="3" a="1"/>
  <c r="BM123" i="3" s="1"/>
  <c r="BQ123" i="3" s="1"/>
  <c r="AV123" i="3"/>
  <c r="AH123" i="1" s="1"/>
  <c r="AU6" i="3"/>
  <c r="AP8" i="3"/>
  <c r="BE8" i="3" s="1"/>
  <c r="CG8" i="1"/>
  <c r="BM8" i="1"/>
  <c r="BO8" i="1" s="1"/>
  <c r="BL8" i="1" s="1"/>
  <c r="CH8" i="1"/>
  <c r="CC8" i="1"/>
  <c r="CD8" i="1"/>
  <c r="N8" i="1"/>
  <c r="BG8" i="1"/>
  <c r="BJ8" i="1" s="1"/>
  <c r="CF8" i="1"/>
  <c r="BZ8" i="1"/>
  <c r="CA8" i="1"/>
  <c r="AW8" i="1"/>
  <c r="CE8" i="1"/>
  <c r="BA8" i="1"/>
  <c r="M8" i="1"/>
  <c r="AH8" i="1"/>
  <c r="BH8" i="1"/>
  <c r="W8" i="5"/>
  <c r="J8" i="1"/>
  <c r="X8" i="5"/>
  <c r="BD8" i="3"/>
  <c r="AQ8" i="3"/>
  <c r="BG8" i="3" s="1"/>
  <c r="AO8" i="1"/>
  <c r="AB8" i="5" s="1"/>
  <c r="AY8" i="1"/>
  <c r="AC8" i="5"/>
  <c r="BF8" i="1"/>
  <c r="Y8" i="5"/>
  <c r="BK48" i="3"/>
  <c r="BO48" i="3"/>
  <c r="BS48" i="3" s="1"/>
  <c r="U21" i="1"/>
  <c r="S21" i="1"/>
  <c r="G21" i="5"/>
  <c r="V21" i="1"/>
  <c r="T21" i="1"/>
  <c r="T129" i="5"/>
  <c r="V129" i="5"/>
  <c r="U129" i="5"/>
  <c r="BC2" i="3"/>
  <c r="AX2" i="3"/>
  <c r="BA2" i="3"/>
  <c r="AO30" i="3"/>
  <c r="BD30" i="3" s="1"/>
  <c r="AN30" i="1"/>
  <c r="AX30" i="3"/>
  <c r="Y30" i="5"/>
  <c r="W30" i="5"/>
  <c r="AP30" i="3"/>
  <c r="BE30" i="3" s="1"/>
  <c r="X30" i="5"/>
  <c r="AQ30" i="3"/>
  <c r="AO92" i="3"/>
  <c r="BD92" i="3" s="1"/>
  <c r="AP92" i="3"/>
  <c r="BE92" i="3" s="1"/>
  <c r="AN92" i="1"/>
  <c r="AX92" i="3"/>
  <c r="Y92" i="5"/>
  <c r="AQ92" i="3"/>
  <c r="W92" i="5"/>
  <c r="BX92" i="1"/>
  <c r="X92" i="5"/>
  <c r="AO137" i="3"/>
  <c r="BD137" i="3" s="1"/>
  <c r="AP137" i="3"/>
  <c r="AN137" i="1"/>
  <c r="I137" i="1" s="1"/>
  <c r="AX137" i="3"/>
  <c r="X137" i="5"/>
  <c r="BX137" i="1"/>
  <c r="Y137" i="5"/>
  <c r="W137" i="5"/>
  <c r="AP141" i="3"/>
  <c r="BE141" i="3" s="1"/>
  <c r="AO141" i="3"/>
  <c r="BD141" i="3" s="1"/>
  <c r="AN141" i="1"/>
  <c r="AX141" i="3"/>
  <c r="AQ141" i="3"/>
  <c r="BX141" i="1"/>
  <c r="W141" i="5"/>
  <c r="Y141" i="5"/>
  <c r="X141" i="5"/>
  <c r="AO157" i="3"/>
  <c r="BD157" i="3" s="1"/>
  <c r="AP157" i="3"/>
  <c r="AN157" i="1"/>
  <c r="W157" i="5"/>
  <c r="AX157" i="3"/>
  <c r="X157" i="5"/>
  <c r="BX157" i="1"/>
  <c r="AQ157" i="3"/>
  <c r="Y157" i="5"/>
  <c r="AV17" i="3"/>
  <c r="AH17" i="1" s="1"/>
  <c r="BM17" i="3" a="1"/>
  <c r="BM17" i="3" s="1"/>
  <c r="BQ17" i="3" s="1"/>
  <c r="AV132" i="3"/>
  <c r="BM132" i="3" a="1"/>
  <c r="BM132" i="3" s="1"/>
  <c r="AU39" i="3"/>
  <c r="BF97" i="3"/>
  <c r="AP11" i="3"/>
  <c r="BE11" i="3" s="1"/>
  <c r="AW11" i="1"/>
  <c r="BZ11" i="1"/>
  <c r="CA11" i="1"/>
  <c r="M11" i="1"/>
  <c r="BG11" i="1"/>
  <c r="BJ11" i="1" s="1"/>
  <c r="CD11" i="1"/>
  <c r="CE11" i="1"/>
  <c r="BA11" i="1"/>
  <c r="CG11" i="1"/>
  <c r="BH11" i="1"/>
  <c r="CH11" i="1"/>
  <c r="BM11" i="1"/>
  <c r="BO11" i="1" s="1"/>
  <c r="BL11" i="1" s="1"/>
  <c r="CF11" i="1"/>
  <c r="AH11" i="1"/>
  <c r="N11" i="1"/>
  <c r="CC11" i="1"/>
  <c r="W11" i="5"/>
  <c r="Y11" i="5"/>
  <c r="X11" i="5"/>
  <c r="AQ11" i="3"/>
  <c r="BG11" i="3" s="1"/>
  <c r="BO11" i="3" s="1"/>
  <c r="BS11" i="3" s="1"/>
  <c r="AC11" i="5"/>
  <c r="O48" i="5"/>
  <c r="BO67" i="3"/>
  <c r="BS67" i="3" s="1"/>
  <c r="BK67" i="3"/>
  <c r="T25" i="5"/>
  <c r="U25" i="5"/>
  <c r="V25" i="5"/>
  <c r="H129" i="5"/>
  <c r="I129" i="5"/>
  <c r="J129" i="5"/>
  <c r="V66" i="5"/>
  <c r="U66" i="5"/>
  <c r="T66" i="5"/>
  <c r="BJ29" i="3"/>
  <c r="T71" i="5"/>
  <c r="U71" i="5"/>
  <c r="V71" i="5"/>
  <c r="H67" i="5"/>
  <c r="I67" i="5"/>
  <c r="J67" i="5"/>
  <c r="I30" i="5"/>
  <c r="H30" i="5"/>
  <c r="J30" i="5"/>
  <c r="T52" i="5"/>
  <c r="U52" i="5"/>
  <c r="V52" i="5"/>
  <c r="I16" i="5"/>
  <c r="J16" i="5"/>
  <c r="H16" i="5"/>
  <c r="T29" i="5"/>
  <c r="U29" i="5"/>
  <c r="V29" i="5"/>
  <c r="T41" i="5"/>
  <c r="U41" i="5"/>
  <c r="V41" i="5"/>
  <c r="S50" i="1"/>
  <c r="T50" i="1"/>
  <c r="V50" i="1"/>
  <c r="U50" i="1"/>
  <c r="G50" i="5"/>
  <c r="AO3" i="3"/>
  <c r="BD3" i="3" s="1"/>
  <c r="AN3" i="1"/>
  <c r="AX3" i="3"/>
  <c r="AO31" i="3"/>
  <c r="BD31" i="3" s="1"/>
  <c r="AN31" i="1"/>
  <c r="I31" i="1" s="1"/>
  <c r="AX31" i="3"/>
  <c r="AP31" i="3"/>
  <c r="BM31" i="3" a="1"/>
  <c r="BM31" i="3" s="1"/>
  <c r="W31" i="5"/>
  <c r="X31" i="5"/>
  <c r="AQ31" i="3"/>
  <c r="Y31" i="5"/>
  <c r="AO51" i="3"/>
  <c r="BD51" i="3" s="1"/>
  <c r="AN51" i="1"/>
  <c r="I51" i="1" s="1"/>
  <c r="AX51" i="3"/>
  <c r="X51" i="5"/>
  <c r="BM51" i="3" a="1"/>
  <c r="BM51" i="3" s="1"/>
  <c r="AP51" i="3"/>
  <c r="W51" i="5"/>
  <c r="Y51" i="5"/>
  <c r="BX51" i="1"/>
  <c r="AO63" i="3"/>
  <c r="BD63" i="3" s="1"/>
  <c r="AN63" i="1"/>
  <c r="AX63" i="3"/>
  <c r="X63" i="5"/>
  <c r="AQ63" i="3"/>
  <c r="BM63" i="3" a="1"/>
  <c r="BM63" i="3" s="1"/>
  <c r="W63" i="5"/>
  <c r="AP63" i="3"/>
  <c r="Y63" i="5"/>
  <c r="AP110" i="3"/>
  <c r="AO110" i="3"/>
  <c r="BD110" i="3" s="1"/>
  <c r="AN110" i="1"/>
  <c r="AX110" i="3"/>
  <c r="W110" i="5"/>
  <c r="BX110" i="1"/>
  <c r="X110" i="5"/>
  <c r="Y110" i="5"/>
  <c r="AO142" i="3"/>
  <c r="BD142" i="3" s="1"/>
  <c r="AP142" i="3"/>
  <c r="BE142" i="3" s="1"/>
  <c r="AN142" i="1"/>
  <c r="Y142" i="5"/>
  <c r="AX142" i="3"/>
  <c r="W142" i="5"/>
  <c r="X142" i="5"/>
  <c r="AQ142" i="3"/>
  <c r="BX142" i="1"/>
  <c r="AO159" i="3"/>
  <c r="BD159" i="3" s="1"/>
  <c r="AP159" i="3"/>
  <c r="W159" i="5"/>
  <c r="X159" i="5"/>
  <c r="Y159" i="5"/>
  <c r="AN159" i="1"/>
  <c r="AX159" i="3"/>
  <c r="AQ159" i="3"/>
  <c r="BX159" i="1"/>
  <c r="AV18" i="3"/>
  <c r="AH18" i="1" s="1"/>
  <c r="BM18" i="3" a="1"/>
  <c r="BM18" i="3" s="1"/>
  <c r="BQ18" i="3" s="1"/>
  <c r="BM150" i="3" a="1"/>
  <c r="BM150" i="3" s="1"/>
  <c r="BQ150" i="3" s="1"/>
  <c r="AV150" i="3"/>
  <c r="AH150" i="1" s="1"/>
  <c r="BK65" i="3"/>
  <c r="AU65" i="3"/>
  <c r="AC65" i="1" s="1"/>
  <c r="O65" i="5" s="1"/>
  <c r="Q65" i="5" s="1"/>
  <c r="BX90" i="1"/>
  <c r="H37" i="5"/>
  <c r="J37" i="5"/>
  <c r="I37" i="5"/>
  <c r="T9" i="5"/>
  <c r="U9" i="5"/>
  <c r="V9" i="5"/>
  <c r="H68" i="5"/>
  <c r="I68" i="5"/>
  <c r="J68" i="5"/>
  <c r="I78" i="5"/>
  <c r="H78" i="5"/>
  <c r="J78" i="5"/>
  <c r="T40" i="5"/>
  <c r="U40" i="5"/>
  <c r="V40" i="5"/>
  <c r="T15" i="5"/>
  <c r="U15" i="5"/>
  <c r="V15" i="5"/>
  <c r="BX75" i="1"/>
  <c r="H47" i="5"/>
  <c r="J47" i="5"/>
  <c r="I47" i="5"/>
  <c r="BK68" i="3"/>
  <c r="R68" i="5" s="1"/>
  <c r="G22" i="5"/>
  <c r="V22" i="1"/>
  <c r="S22" i="1"/>
  <c r="T22" i="1"/>
  <c r="U22" i="1"/>
  <c r="T61" i="5"/>
  <c r="U61" i="5"/>
  <c r="V61" i="5"/>
  <c r="T26" i="5"/>
  <c r="U26" i="5"/>
  <c r="V26" i="5"/>
  <c r="U36" i="5"/>
  <c r="V36" i="5"/>
  <c r="T36" i="5"/>
  <c r="BX26" i="1"/>
  <c r="T22" i="5"/>
  <c r="U22" i="5"/>
  <c r="V22" i="5"/>
  <c r="T12" i="5"/>
  <c r="U12" i="5"/>
  <c r="V12" i="5"/>
  <c r="T37" i="5"/>
  <c r="U37" i="5"/>
  <c r="V37" i="5"/>
  <c r="H35" i="5"/>
  <c r="I35" i="5"/>
  <c r="J35" i="5"/>
  <c r="T32" i="5"/>
  <c r="U32" i="5"/>
  <c r="V32" i="5"/>
  <c r="J84" i="5"/>
  <c r="I84" i="5"/>
  <c r="H84" i="5"/>
  <c r="V63" i="5"/>
  <c r="T63" i="5"/>
  <c r="U63" i="5"/>
  <c r="J34" i="5"/>
  <c r="H34" i="5"/>
  <c r="I34" i="5"/>
  <c r="T125" i="5"/>
  <c r="U125" i="5"/>
  <c r="V125" i="5"/>
  <c r="BO40" i="3"/>
  <c r="BS40" i="3" s="1"/>
  <c r="Q40" i="5" s="1"/>
  <c r="BK40" i="3"/>
  <c r="R40" i="5" s="1"/>
  <c r="I19" i="5"/>
  <c r="J19" i="5"/>
  <c r="H19" i="5"/>
  <c r="J14" i="5"/>
  <c r="H14" i="5"/>
  <c r="I14" i="5"/>
  <c r="J124" i="5"/>
  <c r="H124" i="5"/>
  <c r="I124" i="5"/>
  <c r="T53" i="5"/>
  <c r="U53" i="5"/>
  <c r="V53" i="5"/>
  <c r="AO6" i="3"/>
  <c r="BD6" i="3" s="1"/>
  <c r="AN6" i="1"/>
  <c r="AX6" i="3"/>
  <c r="AP6" i="3"/>
  <c r="Y6" i="5"/>
  <c r="X6" i="5"/>
  <c r="AQ6" i="3"/>
  <c r="W6" i="5"/>
  <c r="AO39" i="3"/>
  <c r="BD39" i="3" s="1"/>
  <c r="AN39" i="1"/>
  <c r="AX39" i="3"/>
  <c r="Y39" i="5"/>
  <c r="AQ39" i="3"/>
  <c r="AP39" i="3"/>
  <c r="BE39" i="3" s="1"/>
  <c r="X39" i="5"/>
  <c r="W39" i="5"/>
  <c r="AO52" i="3"/>
  <c r="BD52" i="3" s="1"/>
  <c r="AN52" i="1"/>
  <c r="AX52" i="3"/>
  <c r="BM52" i="3" a="1"/>
  <c r="BM52" i="3" s="1"/>
  <c r="AP52" i="3"/>
  <c r="W52" i="5"/>
  <c r="X52" i="5"/>
  <c r="Y52" i="5"/>
  <c r="AO70" i="3"/>
  <c r="BD70" i="3" s="1"/>
  <c r="AN70" i="1"/>
  <c r="I70" i="1" s="1"/>
  <c r="AX70" i="3"/>
  <c r="AP70" i="3"/>
  <c r="BE70" i="3" s="1"/>
  <c r="AQ70" i="3"/>
  <c r="Y70" i="5"/>
  <c r="W70" i="5"/>
  <c r="X70" i="5"/>
  <c r="AO111" i="3"/>
  <c r="BD111" i="3" s="1"/>
  <c r="AN111" i="1"/>
  <c r="AX111" i="3"/>
  <c r="AQ111" i="3"/>
  <c r="AP111" i="3"/>
  <c r="BM111" i="3" a="1"/>
  <c r="BM111" i="3" s="1"/>
  <c r="W111" i="5"/>
  <c r="X111" i="5"/>
  <c r="Y111" i="5"/>
  <c r="BX111" i="1"/>
  <c r="AP143" i="3"/>
  <c r="BE143" i="3" s="1"/>
  <c r="AO143" i="3"/>
  <c r="BD143" i="3" s="1"/>
  <c r="AN143" i="1"/>
  <c r="AX143" i="3"/>
  <c r="X143" i="5"/>
  <c r="BX143" i="1"/>
  <c r="AQ143" i="3"/>
  <c r="Y143" i="5"/>
  <c r="W143" i="5"/>
  <c r="AV19" i="3"/>
  <c r="BM19" i="3" a="1"/>
  <c r="BM19" i="3" s="1"/>
  <c r="BM151" i="3" a="1"/>
  <c r="BM151" i="3" s="1"/>
  <c r="AV151" i="3"/>
  <c r="AU9" i="3"/>
  <c r="BK66" i="3"/>
  <c r="AU66" i="3"/>
  <c r="AC66" i="1" s="1"/>
  <c r="O66" i="5" s="1"/>
  <c r="U44" i="5"/>
  <c r="V44" i="5"/>
  <c r="T44" i="5"/>
  <c r="T88" i="5"/>
  <c r="U88" i="5"/>
  <c r="V88" i="5"/>
  <c r="I38" i="5"/>
  <c r="H38" i="5"/>
  <c r="J38" i="5"/>
  <c r="H31" i="5"/>
  <c r="J31" i="5"/>
  <c r="I31" i="5"/>
  <c r="BX78" i="1"/>
  <c r="AO7" i="3"/>
  <c r="BD7" i="3" s="1"/>
  <c r="AN7" i="1"/>
  <c r="AX7" i="3"/>
  <c r="AO43" i="3"/>
  <c r="BD43" i="3" s="1"/>
  <c r="AN43" i="1"/>
  <c r="AX43" i="3"/>
  <c r="AP43" i="3"/>
  <c r="Y43" i="5"/>
  <c r="BN43" i="3"/>
  <c r="X43" i="5"/>
  <c r="BM43" i="3" a="1"/>
  <c r="BM43" i="3" s="1"/>
  <c r="W43" i="5"/>
  <c r="BX43" i="1"/>
  <c r="AO71" i="3"/>
  <c r="BD71" i="3" s="1"/>
  <c r="AN71" i="1"/>
  <c r="AX71" i="3"/>
  <c r="W71" i="5"/>
  <c r="AQ71" i="3"/>
  <c r="X71" i="5"/>
  <c r="AP71" i="3"/>
  <c r="BE71" i="3" s="1"/>
  <c r="Y71" i="5"/>
  <c r="AO112" i="3"/>
  <c r="BD112" i="3" s="1"/>
  <c r="AN112" i="1"/>
  <c r="AX112" i="3"/>
  <c r="Y112" i="5"/>
  <c r="X112" i="5"/>
  <c r="AP112" i="3"/>
  <c r="BM112" i="3" a="1"/>
  <c r="BM112" i="3" s="1"/>
  <c r="W112" i="5"/>
  <c r="AP144" i="3"/>
  <c r="BE144" i="3" s="1"/>
  <c r="AO144" i="3"/>
  <c r="BD144" i="3" s="1"/>
  <c r="AX144" i="3"/>
  <c r="W144" i="5"/>
  <c r="AN144" i="1"/>
  <c r="X144" i="5"/>
  <c r="AQ144" i="3"/>
  <c r="Y144" i="5"/>
  <c r="BX144" i="1"/>
  <c r="AV20" i="3"/>
  <c r="AH20" i="1" s="1"/>
  <c r="BM20" i="3" a="1"/>
  <c r="BM20" i="3" s="1"/>
  <c r="BQ20" i="3" s="1"/>
  <c r="BM152" i="3" a="1"/>
  <c r="BM152" i="3" s="1"/>
  <c r="AV152" i="3"/>
  <c r="V68" i="5"/>
  <c r="T68" i="5"/>
  <c r="U68" i="5"/>
  <c r="H24" i="5"/>
  <c r="I24" i="5"/>
  <c r="J24" i="5"/>
  <c r="AO9" i="3"/>
  <c r="BD9" i="3" s="1"/>
  <c r="AN9" i="1"/>
  <c r="AX9" i="3"/>
  <c r="W9" i="5"/>
  <c r="X9" i="5"/>
  <c r="Y9" i="5"/>
  <c r="AQ9" i="3"/>
  <c r="AP9" i="3"/>
  <c r="BE9" i="3" s="1"/>
  <c r="AO46" i="3"/>
  <c r="BD46" i="3" s="1"/>
  <c r="AN46" i="1"/>
  <c r="AX46" i="3"/>
  <c r="Y46" i="5"/>
  <c r="AP46" i="3"/>
  <c r="W46" i="5"/>
  <c r="X46" i="5"/>
  <c r="BN46" i="3"/>
  <c r="BM46" i="3" a="1"/>
  <c r="BM46" i="3" s="1"/>
  <c r="AO74" i="3"/>
  <c r="BD74" i="3" s="1"/>
  <c r="AN74" i="1"/>
  <c r="AX74" i="3"/>
  <c r="AQ74" i="3"/>
  <c r="W74" i="5"/>
  <c r="AP74" i="3"/>
  <c r="X74" i="5"/>
  <c r="Y74" i="5"/>
  <c r="AO113" i="3"/>
  <c r="BD113" i="3" s="1"/>
  <c r="AP113" i="3"/>
  <c r="BE113" i="3" s="1"/>
  <c r="AN113" i="1"/>
  <c r="W113" i="5"/>
  <c r="X113" i="5"/>
  <c r="Y113" i="5"/>
  <c r="AX113" i="3"/>
  <c r="AQ113" i="3"/>
  <c r="BX113" i="1"/>
  <c r="AO145" i="3"/>
  <c r="BD145" i="3" s="1"/>
  <c r="AP145" i="3"/>
  <c r="BE145" i="3" s="1"/>
  <c r="AN145" i="1"/>
  <c r="W145" i="5"/>
  <c r="X145" i="5"/>
  <c r="Y145" i="5"/>
  <c r="AX145" i="3"/>
  <c r="AQ145" i="3"/>
  <c r="BX145" i="1"/>
  <c r="AV28" i="3"/>
  <c r="BM28" i="3" a="1"/>
  <c r="BM28" i="3" s="1"/>
  <c r="BM153" i="3" a="1"/>
  <c r="BM153" i="3" s="1"/>
  <c r="AV153" i="3"/>
  <c r="BK69" i="3"/>
  <c r="AU69" i="3"/>
  <c r="AC69" i="1" s="1"/>
  <c r="O69" i="5" s="1"/>
  <c r="P69" i="5" s="1"/>
  <c r="AQ2" i="3"/>
  <c r="BG2" i="3" s="1"/>
  <c r="BO2" i="3" s="1"/>
  <c r="H28" i="5"/>
  <c r="I28" i="5"/>
  <c r="J28" i="5"/>
  <c r="T23" i="5"/>
  <c r="U23" i="5"/>
  <c r="V23" i="5"/>
  <c r="I25" i="5"/>
  <c r="H25" i="5"/>
  <c r="J25" i="5"/>
  <c r="H87" i="5"/>
  <c r="J87" i="5"/>
  <c r="I87" i="5"/>
  <c r="V24" i="5"/>
  <c r="U24" i="5"/>
  <c r="T24" i="5"/>
  <c r="V69" i="5"/>
  <c r="T69" i="5"/>
  <c r="U69" i="5"/>
  <c r="U54" i="5"/>
  <c r="V54" i="5"/>
  <c r="T54" i="5"/>
  <c r="S72" i="1"/>
  <c r="T72" i="1"/>
  <c r="U72" i="1"/>
  <c r="V72" i="1"/>
  <c r="G72" i="5"/>
  <c r="I39" i="5"/>
  <c r="H39" i="5"/>
  <c r="J39" i="5"/>
  <c r="I71" i="5"/>
  <c r="H71" i="5"/>
  <c r="J71" i="5"/>
  <c r="V27" i="5"/>
  <c r="T27" i="5"/>
  <c r="U27" i="5"/>
  <c r="T38" i="5"/>
  <c r="U38" i="5"/>
  <c r="V38" i="5"/>
  <c r="T70" i="5"/>
  <c r="U70" i="5"/>
  <c r="V70" i="5"/>
  <c r="H20" i="5"/>
  <c r="J20" i="5"/>
  <c r="I20" i="5"/>
  <c r="BF54" i="3"/>
  <c r="T16" i="5"/>
  <c r="V16" i="5"/>
  <c r="U16" i="5"/>
  <c r="H18" i="5"/>
  <c r="J18" i="5"/>
  <c r="I18" i="5"/>
  <c r="V21" i="5"/>
  <c r="U21" i="5"/>
  <c r="T21" i="5"/>
  <c r="BK12" i="3"/>
  <c r="R12" i="5" s="1"/>
  <c r="H95" i="5"/>
  <c r="J95" i="5"/>
  <c r="I95" i="5"/>
  <c r="BX19" i="1"/>
  <c r="S53" i="1"/>
  <c r="V53" i="1"/>
  <c r="T53" i="1"/>
  <c r="G53" i="5"/>
  <c r="U53" i="1"/>
  <c r="T95" i="5"/>
  <c r="U95" i="5"/>
  <c r="V95" i="5"/>
  <c r="V42" i="5"/>
  <c r="U42" i="5"/>
  <c r="T42" i="5"/>
  <c r="H125" i="5"/>
  <c r="J125" i="5"/>
  <c r="I125" i="5"/>
  <c r="S83" i="5"/>
  <c r="AI83" i="1"/>
  <c r="AK83" i="1"/>
  <c r="AL83" i="1"/>
  <c r="AJ83" i="1"/>
  <c r="AO14" i="3"/>
  <c r="BD14" i="3" s="1"/>
  <c r="AN14" i="1"/>
  <c r="AX14" i="3"/>
  <c r="AP14" i="3"/>
  <c r="BE14" i="3" s="1"/>
  <c r="AQ14" i="3"/>
  <c r="W14" i="5"/>
  <c r="X14" i="5"/>
  <c r="Y14" i="5"/>
  <c r="AP79" i="3"/>
  <c r="AO79" i="3"/>
  <c r="BD79" i="3" s="1"/>
  <c r="AN79" i="1"/>
  <c r="W79" i="5"/>
  <c r="Y79" i="5"/>
  <c r="AX79" i="3"/>
  <c r="BX79" i="1"/>
  <c r="X79" i="5"/>
  <c r="AO124" i="3"/>
  <c r="BD124" i="3" s="1"/>
  <c r="AN124" i="1"/>
  <c r="AX124" i="3"/>
  <c r="AP124" i="3"/>
  <c r="W124" i="5"/>
  <c r="X124" i="5"/>
  <c r="Y124" i="5"/>
  <c r="AQ124" i="3"/>
  <c r="BM124" i="3" a="1"/>
  <c r="BM124" i="3" s="1"/>
  <c r="AP148" i="3"/>
  <c r="BE148" i="3" s="1"/>
  <c r="AO148" i="3"/>
  <c r="BD148" i="3" s="1"/>
  <c r="AN148" i="1"/>
  <c r="I148" i="1" s="1"/>
  <c r="AX148" i="3"/>
  <c r="W148" i="5"/>
  <c r="AQ148" i="3"/>
  <c r="BX148" i="1"/>
  <c r="X148" i="5"/>
  <c r="Y148" i="5"/>
  <c r="AP152" i="3"/>
  <c r="AO152" i="3"/>
  <c r="BD152" i="3" s="1"/>
  <c r="AN152" i="1"/>
  <c r="AX152" i="3"/>
  <c r="Y152" i="5"/>
  <c r="AQ152" i="3"/>
  <c r="BX152" i="1"/>
  <c r="X152" i="5"/>
  <c r="W152" i="5"/>
  <c r="AV84" i="3"/>
  <c r="AH84" i="1" s="1"/>
  <c r="BM84" i="3" a="1"/>
  <c r="BM84" i="3" s="1"/>
  <c r="BQ84" i="3" s="1"/>
  <c r="BM156" i="3" a="1"/>
  <c r="BM156" i="3" s="1"/>
  <c r="AV156" i="3"/>
  <c r="T6" i="5"/>
  <c r="U6" i="5"/>
  <c r="V6" i="5"/>
  <c r="U97" i="5"/>
  <c r="T97" i="5"/>
  <c r="V97" i="5"/>
  <c r="BX63" i="1"/>
  <c r="BY63" i="1" s="1"/>
  <c r="BX28" i="1"/>
  <c r="J15" i="5"/>
  <c r="I15" i="5"/>
  <c r="H15" i="5"/>
  <c r="J17" i="5"/>
  <c r="H17" i="5"/>
  <c r="I17" i="5"/>
  <c r="J132" i="5"/>
  <c r="I132" i="5"/>
  <c r="H132" i="5"/>
  <c r="J74" i="5"/>
  <c r="H74" i="5"/>
  <c r="I74" i="5"/>
  <c r="BX74" i="1"/>
  <c r="V87" i="5"/>
  <c r="T87" i="5"/>
  <c r="U87" i="5"/>
  <c r="V34" i="5"/>
  <c r="T34" i="5"/>
  <c r="U34" i="5"/>
  <c r="H27" i="5"/>
  <c r="J27" i="5"/>
  <c r="I27" i="5"/>
  <c r="T112" i="5"/>
  <c r="V112" i="5"/>
  <c r="U112" i="5"/>
  <c r="BX13" i="1"/>
  <c r="T50" i="5"/>
  <c r="U50" i="5"/>
  <c r="V50" i="5"/>
  <c r="H45" i="5"/>
  <c r="J45" i="5"/>
  <c r="I45" i="5"/>
  <c r="AO15" i="3"/>
  <c r="BD15" i="3" s="1"/>
  <c r="AN15" i="1"/>
  <c r="I15" i="1" s="1"/>
  <c r="AX15" i="3"/>
  <c r="X15" i="5"/>
  <c r="W15" i="5"/>
  <c r="Y15" i="5"/>
  <c r="AP15" i="3"/>
  <c r="BE15" i="3" s="1"/>
  <c r="AQ15" i="3"/>
  <c r="AP149" i="3"/>
  <c r="BE149" i="3" s="1"/>
  <c r="AO149" i="3"/>
  <c r="BD149" i="3" s="1"/>
  <c r="W149" i="5"/>
  <c r="X149" i="5"/>
  <c r="Y149" i="5"/>
  <c r="AN149" i="1"/>
  <c r="AX149" i="3"/>
  <c r="BX149" i="1"/>
  <c r="AQ149" i="3"/>
  <c r="AP153" i="3"/>
  <c r="AO153" i="3"/>
  <c r="BD153" i="3" s="1"/>
  <c r="AN153" i="1"/>
  <c r="AX153" i="3"/>
  <c r="W153" i="5"/>
  <c r="Y153" i="5"/>
  <c r="X153" i="5"/>
  <c r="AQ153" i="3"/>
  <c r="BX153" i="1"/>
  <c r="AV6" i="3"/>
  <c r="BM6" i="3" a="1"/>
  <c r="BM6" i="3" s="1"/>
  <c r="BM114" i="3" a="1"/>
  <c r="BM114" i="3" s="1"/>
  <c r="BQ114" i="3" s="1"/>
  <c r="AV114" i="3"/>
  <c r="AH114" i="1" s="1"/>
  <c r="BM157" i="3" a="1"/>
  <c r="BM157" i="3" s="1"/>
  <c r="AV157" i="3"/>
  <c r="AU25" i="3"/>
  <c r="BF42" i="3"/>
  <c r="BP50" i="3"/>
  <c r="D50" i="5" s="1"/>
  <c r="G64" i="5"/>
  <c r="V64" i="1"/>
  <c r="S64" i="1"/>
  <c r="U64" i="1"/>
  <c r="T64" i="1"/>
  <c r="H70" i="5"/>
  <c r="I70" i="5"/>
  <c r="J70" i="5"/>
  <c r="I36" i="5"/>
  <c r="H36" i="5"/>
  <c r="J36" i="5"/>
  <c r="T67" i="5"/>
  <c r="U67" i="5"/>
  <c r="V67" i="5"/>
  <c r="J90" i="5"/>
  <c r="H90" i="5"/>
  <c r="I90" i="5"/>
  <c r="U49" i="5"/>
  <c r="V49" i="5"/>
  <c r="T49" i="5"/>
  <c r="I32" i="5"/>
  <c r="J32" i="5"/>
  <c r="H32" i="5"/>
  <c r="H88" i="5"/>
  <c r="J88" i="5"/>
  <c r="I88" i="5"/>
  <c r="J85" i="5"/>
  <c r="I85" i="5"/>
  <c r="H85" i="5"/>
  <c r="T47" i="5"/>
  <c r="U47" i="5"/>
  <c r="V47" i="5"/>
  <c r="AO16" i="3"/>
  <c r="BD16" i="3" s="1"/>
  <c r="AN16" i="1"/>
  <c r="I16" i="1" s="1"/>
  <c r="AX16" i="3"/>
  <c r="Y16" i="5"/>
  <c r="X16" i="5"/>
  <c r="W16" i="5"/>
  <c r="AP16" i="3"/>
  <c r="BE16" i="3" s="1"/>
  <c r="AQ16" i="3"/>
  <c r="AO25" i="3"/>
  <c r="AN25" i="1"/>
  <c r="AX25" i="3"/>
  <c r="AP25" i="3"/>
  <c r="BE25" i="3" s="1"/>
  <c r="AQ25" i="3"/>
  <c r="W25" i="5"/>
  <c r="X25" i="5"/>
  <c r="Y25" i="5"/>
  <c r="AO86" i="3"/>
  <c r="BD86" i="3" s="1"/>
  <c r="AN86" i="1"/>
  <c r="AX86" i="3"/>
  <c r="Y86" i="5"/>
  <c r="AP86" i="3"/>
  <c r="BE86" i="3" s="1"/>
  <c r="AQ86" i="3"/>
  <c r="W86" i="5"/>
  <c r="X86" i="5"/>
  <c r="AO154" i="3"/>
  <c r="BD154" i="3" s="1"/>
  <c r="AP154" i="3"/>
  <c r="AX154" i="3"/>
  <c r="AN154" i="1"/>
  <c r="AQ154" i="3"/>
  <c r="BX154" i="1"/>
  <c r="X154" i="5"/>
  <c r="W154" i="5"/>
  <c r="Y154" i="5"/>
  <c r="BM118" i="3" a="1"/>
  <c r="BM118" i="3" s="1"/>
  <c r="BQ118" i="3" s="1"/>
  <c r="AV118" i="3"/>
  <c r="R118" i="1" s="1"/>
  <c r="BM158" i="3" a="1"/>
  <c r="BM158" i="3" s="1"/>
  <c r="BQ158" i="3" s="1"/>
  <c r="AV158" i="3"/>
  <c r="AH158" i="1" s="1"/>
  <c r="BK33" i="3"/>
  <c r="AU33" i="3"/>
  <c r="AC33" i="1" s="1"/>
  <c r="BK125" i="3"/>
  <c r="AU125" i="3"/>
  <c r="AC125" i="1" s="1"/>
  <c r="O125" i="5" s="1"/>
  <c r="P125" i="5" s="1"/>
  <c r="AP5" i="3"/>
  <c r="BE5" i="3" s="1"/>
  <c r="AW5" i="1"/>
  <c r="BZ5" i="1"/>
  <c r="BA5" i="1"/>
  <c r="CC5" i="1"/>
  <c r="BH5" i="1"/>
  <c r="CG5" i="1"/>
  <c r="M5" i="1"/>
  <c r="CH5" i="1"/>
  <c r="AH5" i="1"/>
  <c r="CA5" i="1"/>
  <c r="CD5" i="1"/>
  <c r="CE5" i="1"/>
  <c r="CF5" i="1"/>
  <c r="BG5" i="1"/>
  <c r="BJ5" i="1" s="1"/>
  <c r="BM5" i="1"/>
  <c r="BO5" i="1" s="1"/>
  <c r="BL5" i="1" s="1"/>
  <c r="N5" i="1"/>
  <c r="Y5" i="5"/>
  <c r="BD5" i="3"/>
  <c r="AQ5" i="3"/>
  <c r="BG5" i="3" s="1"/>
  <c r="BB5" i="1"/>
  <c r="W5" i="5"/>
  <c r="AC5" i="5"/>
  <c r="BF5" i="1"/>
  <c r="X5" i="5"/>
  <c r="J5" i="1"/>
  <c r="AO5" i="1"/>
  <c r="AB5" i="5" s="1"/>
  <c r="BC5" i="1"/>
  <c r="I69" i="5"/>
  <c r="H69" i="5"/>
  <c r="J69" i="5"/>
  <c r="BK22" i="3"/>
  <c r="R22" i="5" s="1"/>
  <c r="V72" i="5"/>
  <c r="U72" i="5"/>
  <c r="T72" i="5"/>
  <c r="H66" i="5"/>
  <c r="J66" i="5"/>
  <c r="I66" i="5"/>
  <c r="BK35" i="3"/>
  <c r="R35" i="5" s="1"/>
  <c r="J82" i="5"/>
  <c r="I82" i="5"/>
  <c r="H82" i="5"/>
  <c r="U45" i="5"/>
  <c r="V45" i="5"/>
  <c r="T45" i="5"/>
  <c r="T78" i="5"/>
  <c r="V78" i="5"/>
  <c r="U78" i="5"/>
  <c r="H23" i="5"/>
  <c r="I23" i="5"/>
  <c r="J23" i="5"/>
  <c r="G48" i="5"/>
  <c r="T48" i="1"/>
  <c r="S48" i="1"/>
  <c r="U48" i="1"/>
  <c r="V48" i="1"/>
  <c r="BX132" i="1"/>
  <c r="BX30" i="1"/>
  <c r="H54" i="5"/>
  <c r="J54" i="5"/>
  <c r="I54" i="5"/>
  <c r="I86" i="5"/>
  <c r="H86" i="5"/>
  <c r="J86" i="5"/>
  <c r="T121" i="5"/>
  <c r="U121" i="5"/>
  <c r="V121" i="5"/>
  <c r="J41" i="5"/>
  <c r="H41" i="5"/>
  <c r="I41" i="5"/>
  <c r="BC3" i="3"/>
  <c r="BA3" i="3"/>
  <c r="BC6" i="3"/>
  <c r="BA6" i="3"/>
  <c r="BC7" i="3"/>
  <c r="BA7" i="3"/>
  <c r="BC9" i="3"/>
  <c r="BA9" i="3"/>
  <c r="BC11" i="3"/>
  <c r="BA11" i="3"/>
  <c r="BC13" i="3"/>
  <c r="BA13" i="3"/>
  <c r="BC14" i="3"/>
  <c r="BA14" i="3"/>
  <c r="BC15" i="3"/>
  <c r="BA15" i="3"/>
  <c r="BC16" i="3"/>
  <c r="BA16" i="3"/>
  <c r="BC132" i="3"/>
  <c r="BA132" i="3"/>
  <c r="BC19" i="3"/>
  <c r="BA19" i="3"/>
  <c r="BC25" i="3"/>
  <c r="BA25" i="3"/>
  <c r="AZ25" i="3" s="1"/>
  <c r="BC26" i="3"/>
  <c r="BA26" i="3"/>
  <c r="BC28" i="3"/>
  <c r="BA28" i="3"/>
  <c r="BC30" i="3"/>
  <c r="BA30" i="3"/>
  <c r="BC31" i="3"/>
  <c r="BA31" i="3"/>
  <c r="BC39" i="3"/>
  <c r="BA39" i="3"/>
  <c r="BC43" i="3"/>
  <c r="BA43" i="3"/>
  <c r="AY43" i="3" s="1"/>
  <c r="BC46" i="3"/>
  <c r="BA46" i="3"/>
  <c r="BC51" i="3"/>
  <c r="BA51" i="3"/>
  <c r="AY51" i="3" s="1"/>
  <c r="BC52" i="3"/>
  <c r="BA52" i="3"/>
  <c r="BC63" i="3"/>
  <c r="BA63" i="3"/>
  <c r="BC70" i="3"/>
  <c r="BA70" i="3"/>
  <c r="BC71" i="3"/>
  <c r="BA71" i="3"/>
  <c r="BC74" i="3"/>
  <c r="BA74" i="3"/>
  <c r="BC75" i="3"/>
  <c r="BA75" i="3"/>
  <c r="BC78" i="3"/>
  <c r="BA78" i="3"/>
  <c r="BN79" i="3"/>
  <c r="BC79" i="3"/>
  <c r="BM79" i="3" a="1"/>
  <c r="BM79" i="3" s="1"/>
  <c r="BA79" i="3"/>
  <c r="AY79" i="3" s="1"/>
  <c r="BC86" i="3"/>
  <c r="BA86" i="3"/>
  <c r="BA90" i="3"/>
  <c r="BC90" i="3"/>
  <c r="BC91" i="3"/>
  <c r="BA91" i="3"/>
  <c r="BC92" i="3"/>
  <c r="BA92" i="3"/>
  <c r="BC110" i="3"/>
  <c r="BM110" i="3" a="1"/>
  <c r="BM110" i="3" s="1"/>
  <c r="BA110" i="3"/>
  <c r="AY110" i="3" s="1"/>
  <c r="BA111" i="3"/>
  <c r="BC111" i="3"/>
  <c r="BC112" i="3"/>
  <c r="BA112" i="3"/>
  <c r="BC113" i="3"/>
  <c r="BA113" i="3"/>
  <c r="BA115" i="3"/>
  <c r="BC115" i="3"/>
  <c r="BM115" i="3" a="1"/>
  <c r="BM115" i="3" s="1"/>
  <c r="BC120" i="3"/>
  <c r="BB120" i="3"/>
  <c r="BA120" i="3"/>
  <c r="BC124" i="3"/>
  <c r="BA124" i="3"/>
  <c r="BC135" i="3"/>
  <c r="BA135" i="3"/>
  <c r="BC136" i="3"/>
  <c r="BA136" i="3"/>
  <c r="BC137" i="3"/>
  <c r="BM137" i="3" a="1"/>
  <c r="BM137" i="3" s="1"/>
  <c r="BA137" i="3"/>
  <c r="AY137" i="3" s="1"/>
  <c r="BA139" i="3"/>
  <c r="BC139" i="3"/>
  <c r="BC141" i="3"/>
  <c r="BA141" i="3"/>
  <c r="BC142" i="3"/>
  <c r="BA142" i="3"/>
  <c r="BA143" i="3"/>
  <c r="BC143" i="3"/>
  <c r="BC144" i="3"/>
  <c r="BA144" i="3"/>
  <c r="BC145" i="3"/>
  <c r="BA145" i="3"/>
  <c r="BC146" i="3"/>
  <c r="BA146" i="3"/>
  <c r="BA147" i="3"/>
  <c r="BC147" i="3"/>
  <c r="BC148" i="3"/>
  <c r="BA148" i="3"/>
  <c r="BC149" i="3"/>
  <c r="BA149" i="3"/>
  <c r="BA151" i="3"/>
  <c r="BC151" i="3"/>
  <c r="BC152" i="3"/>
  <c r="BA152" i="3"/>
  <c r="BC153" i="3"/>
  <c r="BA153" i="3"/>
  <c r="BA154" i="3"/>
  <c r="BC154" i="3"/>
  <c r="BA155" i="3"/>
  <c r="BC155" i="3"/>
  <c r="BC156" i="3"/>
  <c r="BA156" i="3"/>
  <c r="BC157" i="3"/>
  <c r="BA157" i="3"/>
  <c r="BC159" i="3"/>
  <c r="BA159" i="3"/>
  <c r="BN25" i="3"/>
  <c r="BN42" i="3"/>
  <c r="AZ42" i="3"/>
  <c r="BN51" i="3"/>
  <c r="BN54" i="3"/>
  <c r="AZ54" i="3"/>
  <c r="BN96" i="3"/>
  <c r="AZ96" i="3"/>
  <c r="BF96" i="3"/>
  <c r="BN97" i="3"/>
  <c r="AZ97" i="3"/>
  <c r="BN112" i="3"/>
  <c r="BN137" i="3"/>
  <c r="BM2" i="3" a="1"/>
  <c r="BM2" i="3" s="1"/>
  <c r="BM3" i="3" a="1"/>
  <c r="BM3" i="3" s="1"/>
  <c r="BQ3" i="3" s="1"/>
  <c r="BC4" i="3"/>
  <c r="BM4" i="3" a="1"/>
  <c r="BM4" i="3" s="1"/>
  <c r="BQ4" i="3" s="1"/>
  <c r="BB4" i="3"/>
  <c r="BI4" i="3" s="1"/>
  <c r="BC5" i="3"/>
  <c r="BB5" i="3"/>
  <c r="BM5" i="3" a="1"/>
  <c r="BM5" i="3" s="1"/>
  <c r="BM7" i="3" a="1"/>
  <c r="BM7" i="3" s="1"/>
  <c r="BQ7" i="3" s="1"/>
  <c r="BB8" i="3"/>
  <c r="BC8" i="3"/>
  <c r="BM8" i="3" a="1"/>
  <c r="BM8" i="3" s="1"/>
  <c r="BQ8" i="3" s="1"/>
  <c r="BM11" i="3" a="1"/>
  <c r="BM11" i="3" s="1"/>
  <c r="P54" i="5"/>
  <c r="Q54" i="5"/>
  <c r="R54" i="5"/>
  <c r="P27" i="5"/>
  <c r="Q27" i="5"/>
  <c r="R27" i="5"/>
  <c r="R41" i="5"/>
  <c r="Q41" i="5"/>
  <c r="P41" i="5"/>
  <c r="P46" i="5"/>
  <c r="Q46" i="5"/>
  <c r="R46" i="5"/>
  <c r="P29" i="5"/>
  <c r="Q29" i="5"/>
  <c r="P72" i="5"/>
  <c r="Q72" i="5"/>
  <c r="R72" i="5"/>
  <c r="P36" i="5"/>
  <c r="Q36" i="5"/>
  <c r="R38" i="5"/>
  <c r="P38" i="5"/>
  <c r="Q38" i="5"/>
  <c r="R97" i="5"/>
  <c r="P97" i="5"/>
  <c r="Q97" i="5"/>
  <c r="R26" i="5"/>
  <c r="P26" i="5"/>
  <c r="Q26" i="5"/>
  <c r="P34" i="5"/>
  <c r="Q34" i="5"/>
  <c r="R34" i="5"/>
  <c r="P37" i="5"/>
  <c r="Q37" i="5"/>
  <c r="R37" i="5"/>
  <c r="Q64" i="5"/>
  <c r="R64" i="5"/>
  <c r="P64" i="5"/>
  <c r="P10" i="5"/>
  <c r="Q10" i="5"/>
  <c r="R10" i="5"/>
  <c r="P45" i="5"/>
  <c r="Q45" i="5"/>
  <c r="R45" i="5"/>
  <c r="P24" i="5"/>
  <c r="Q24" i="5"/>
  <c r="R24" i="5"/>
  <c r="P12" i="5"/>
  <c r="Q12" i="5"/>
  <c r="P88" i="5"/>
  <c r="Q88" i="5"/>
  <c r="R88" i="5"/>
  <c r="P112" i="5"/>
  <c r="Q112" i="5"/>
  <c r="R112" i="5"/>
  <c r="P22" i="5"/>
  <c r="Q22" i="5"/>
  <c r="P42" i="5"/>
  <c r="Q42" i="5"/>
  <c r="R42" i="5"/>
  <c r="P61" i="5"/>
  <c r="Q61" i="5"/>
  <c r="R61" i="5"/>
  <c r="Q49" i="5"/>
  <c r="R49" i="5"/>
  <c r="P49" i="5"/>
  <c r="R53" i="5"/>
  <c r="P53" i="5"/>
  <c r="Q53" i="5"/>
  <c r="R50" i="5"/>
  <c r="Q50" i="5"/>
  <c r="P50" i="5"/>
  <c r="P52" i="5"/>
  <c r="Q52" i="5"/>
  <c r="R52" i="5"/>
  <c r="P40" i="5"/>
  <c r="Q68" i="5"/>
  <c r="R32" i="5"/>
  <c r="Q32" i="5"/>
  <c r="R47" i="5"/>
  <c r="Q47" i="5"/>
  <c r="R95" i="5"/>
  <c r="P95" i="5"/>
  <c r="Q95" i="5"/>
  <c r="P96" i="5"/>
  <c r="Q96" i="5"/>
  <c r="Q35" i="5"/>
  <c r="Q23" i="5"/>
  <c r="R23" i="5"/>
  <c r="R44" i="5"/>
  <c r="P44" i="5"/>
  <c r="AU18" i="3"/>
  <c r="AC18" i="1" s="1"/>
  <c r="O18" i="5" s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G41" i="1"/>
  <c r="AF41" i="1"/>
  <c r="AD41" i="1"/>
  <c r="AE41" i="1"/>
  <c r="AD52" i="1"/>
  <c r="AG52" i="1"/>
  <c r="AE52" i="1"/>
  <c r="AF52" i="1"/>
  <c r="AU84" i="3"/>
  <c r="AC84" i="1" s="1"/>
  <c r="O84" i="5" s="1"/>
  <c r="AU54" i="3"/>
  <c r="AU27" i="3"/>
  <c r="AG68" i="1"/>
  <c r="AF68" i="1"/>
  <c r="AD68" i="1"/>
  <c r="AE68" i="1"/>
  <c r="AE40" i="1"/>
  <c r="AD40" i="1"/>
  <c r="AG40" i="1"/>
  <c r="AF40" i="1"/>
  <c r="AE22" i="1"/>
  <c r="AG22" i="1"/>
  <c r="AD22" i="1"/>
  <c r="AF22" i="1"/>
  <c r="AD46" i="1"/>
  <c r="AF46" i="1"/>
  <c r="AE46" i="1"/>
  <c r="AG46" i="1"/>
  <c r="AE61" i="1"/>
  <c r="AF61" i="1"/>
  <c r="AG61" i="1"/>
  <c r="AD61" i="1"/>
  <c r="AU52" i="3"/>
  <c r="AE50" i="1"/>
  <c r="AD50" i="1"/>
  <c r="AG50" i="1"/>
  <c r="AF50" i="1"/>
  <c r="AF29" i="1"/>
  <c r="AG29" i="1"/>
  <c r="AD29" i="1"/>
  <c r="AE29" i="1"/>
  <c r="AE88" i="1"/>
  <c r="AF88" i="1"/>
  <c r="AG88" i="1"/>
  <c r="AD88" i="1"/>
  <c r="AG72" i="1"/>
  <c r="AF72" i="1"/>
  <c r="AD72" i="1"/>
  <c r="AE72" i="1"/>
  <c r="AE36" i="1"/>
  <c r="AF36" i="1"/>
  <c r="AG36" i="1"/>
  <c r="AD36" i="1"/>
  <c r="AF49" i="1"/>
  <c r="AG49" i="1"/>
  <c r="AE49" i="1"/>
  <c r="AD49" i="1"/>
  <c r="AU44" i="3"/>
  <c r="AF34" i="1"/>
  <c r="AD34" i="1"/>
  <c r="AE34" i="1"/>
  <c r="AG34" i="1"/>
  <c r="AE32" i="1"/>
  <c r="AD32" i="1"/>
  <c r="AF32" i="1"/>
  <c r="AG32" i="1"/>
  <c r="AF10" i="1"/>
  <c r="AE10" i="1"/>
  <c r="AD10" i="1"/>
  <c r="AG10" i="1"/>
  <c r="AE35" i="1"/>
  <c r="AF35" i="1"/>
  <c r="AD35" i="1"/>
  <c r="AG35" i="1"/>
  <c r="AF37" i="1"/>
  <c r="AG37" i="1"/>
  <c r="AD37" i="1"/>
  <c r="AE37" i="1"/>
  <c r="AE23" i="1"/>
  <c r="AD23" i="1"/>
  <c r="AF23" i="1"/>
  <c r="AG23" i="1"/>
  <c r="AF53" i="1"/>
  <c r="AD53" i="1"/>
  <c r="AE53" i="1"/>
  <c r="AG53" i="1"/>
  <c r="AD95" i="1"/>
  <c r="AE95" i="1"/>
  <c r="AG95" i="1"/>
  <c r="AF95" i="1"/>
  <c r="AD38" i="1"/>
  <c r="AF38" i="1"/>
  <c r="AE38" i="1"/>
  <c r="AG38" i="1"/>
  <c r="AU50" i="3"/>
  <c r="AU46" i="3"/>
  <c r="AF24" i="1"/>
  <c r="AE24" i="1"/>
  <c r="AG24" i="1"/>
  <c r="AD24" i="1"/>
  <c r="AD67" i="1"/>
  <c r="AF67" i="1"/>
  <c r="AE67" i="1"/>
  <c r="AG67" i="1"/>
  <c r="AD112" i="1"/>
  <c r="AE112" i="1"/>
  <c r="AF112" i="1"/>
  <c r="AG112" i="1"/>
  <c r="AG26" i="1"/>
  <c r="AD26" i="1"/>
  <c r="AF26" i="1"/>
  <c r="AE26" i="1"/>
  <c r="AD45" i="1"/>
  <c r="AE45" i="1"/>
  <c r="AF45" i="1"/>
  <c r="AG45" i="1"/>
  <c r="AE47" i="1"/>
  <c r="AF47" i="1"/>
  <c r="AD47" i="1"/>
  <c r="AG47" i="1"/>
  <c r="AU49" i="3"/>
  <c r="AU97" i="3"/>
  <c r="AD64" i="1"/>
  <c r="AF64" i="1"/>
  <c r="AG64" i="1"/>
  <c r="AE64" i="1"/>
  <c r="AD54" i="1"/>
  <c r="AG54" i="1"/>
  <c r="AE54" i="1"/>
  <c r="AF54" i="1"/>
  <c r="AD96" i="1"/>
  <c r="AE96" i="1"/>
  <c r="AG96" i="1"/>
  <c r="AF96" i="1"/>
  <c r="AD48" i="1"/>
  <c r="AF48" i="1"/>
  <c r="AE48" i="1"/>
  <c r="AG48" i="1"/>
  <c r="AE97" i="1"/>
  <c r="AD97" i="1"/>
  <c r="AG97" i="1"/>
  <c r="AF97" i="1"/>
  <c r="AE12" i="1"/>
  <c r="AF12" i="1"/>
  <c r="AD12" i="1"/>
  <c r="AG12" i="1"/>
  <c r="AE42" i="1"/>
  <c r="AD42" i="1"/>
  <c r="AF42" i="1"/>
  <c r="AG42" i="1"/>
  <c r="AF27" i="1"/>
  <c r="AD27" i="1"/>
  <c r="AE27" i="1"/>
  <c r="AG27" i="1"/>
  <c r="AE44" i="1"/>
  <c r="AG44" i="1"/>
  <c r="AD44" i="1"/>
  <c r="AF44" i="1"/>
  <c r="AU111" i="3"/>
  <c r="AU7" i="3"/>
  <c r="AU5" i="3"/>
  <c r="AU121" i="3"/>
  <c r="AC121" i="1" s="1"/>
  <c r="O121" i="5" s="1"/>
  <c r="AU8" i="3"/>
  <c r="AU11" i="3"/>
  <c r="R2" i="1"/>
  <c r="G2" i="5" s="1"/>
  <c r="AU112" i="3"/>
  <c r="AU113" i="3"/>
  <c r="AU85" i="3"/>
  <c r="AC85" i="1" s="1"/>
  <c r="O85" i="5" s="1"/>
  <c r="AU17" i="3"/>
  <c r="AC17" i="1" s="1"/>
  <c r="O17" i="5" s="1"/>
  <c r="AU83" i="3"/>
  <c r="AC83" i="1" s="1"/>
  <c r="O83" i="5" s="1"/>
  <c r="P83" i="5" s="1"/>
  <c r="AU82" i="3"/>
  <c r="AC82" i="1" s="1"/>
  <c r="O82" i="5" s="1"/>
  <c r="AU45" i="3"/>
  <c r="AU53" i="3"/>
  <c r="AU88" i="3"/>
  <c r="AU42" i="3"/>
  <c r="AU20" i="3"/>
  <c r="AC20" i="1" s="1"/>
  <c r="O20" i="5" s="1"/>
  <c r="AU87" i="3"/>
  <c r="AC87" i="1" s="1"/>
  <c r="O87" i="5" s="1"/>
  <c r="AU96" i="3"/>
  <c r="AU26" i="3"/>
  <c r="CH2" i="1"/>
  <c r="CG2" i="1"/>
  <c r="W27" i="1"/>
  <c r="W88" i="1"/>
  <c r="W53" i="1"/>
  <c r="W50" i="1"/>
  <c r="W49" i="1"/>
  <c r="W45" i="1"/>
  <c r="W44" i="1"/>
  <c r="AW25" i="3"/>
  <c r="AW29" i="3"/>
  <c r="W29" i="1" s="1"/>
  <c r="AA29" i="1" s="1"/>
  <c r="AW42" i="3"/>
  <c r="W42" i="1" s="1"/>
  <c r="AW51" i="3"/>
  <c r="AW54" i="3"/>
  <c r="W54" i="1" s="1"/>
  <c r="AW96" i="3"/>
  <c r="W96" i="1" s="1"/>
  <c r="AW97" i="3"/>
  <c r="W97" i="1" s="1"/>
  <c r="AW112" i="3"/>
  <c r="AW137" i="3"/>
  <c r="AO2" i="3"/>
  <c r="BD2" i="3" s="1"/>
  <c r="A39" i="14"/>
  <c r="A75" i="14"/>
  <c r="A87" i="14"/>
  <c r="A99" i="14"/>
  <c r="A103" i="14"/>
  <c r="A94" i="14"/>
  <c r="A60" i="14"/>
  <c r="A72" i="14"/>
  <c r="A96" i="14"/>
  <c r="A112" i="14"/>
  <c r="AM5" i="3"/>
  <c r="AN5" i="3" s="1"/>
  <c r="Z5" i="5" s="1"/>
  <c r="A63" i="14"/>
  <c r="V30" i="3"/>
  <c r="A15" i="14"/>
  <c r="CF2" i="1"/>
  <c r="CE2" i="1"/>
  <c r="CA2" i="1"/>
  <c r="CD2" i="1"/>
  <c r="BZ2" i="1"/>
  <c r="CC2" i="1"/>
  <c r="A10" i="14"/>
  <c r="AL9" i="3"/>
  <c r="A8" i="14"/>
  <c r="A80" i="14"/>
  <c r="A57" i="14"/>
  <c r="A18" i="9"/>
  <c r="A11" i="14"/>
  <c r="A111" i="14"/>
  <c r="A12" i="14"/>
  <c r="A97" i="14"/>
  <c r="A101" i="14"/>
  <c r="V31" i="3"/>
  <c r="A102" i="14"/>
  <c r="A48" i="14"/>
  <c r="A12" i="9"/>
  <c r="A115" i="14"/>
  <c r="A40" i="14"/>
  <c r="AL3" i="3"/>
  <c r="A14" i="9"/>
  <c r="A106" i="14"/>
  <c r="AL7" i="3"/>
  <c r="M2" i="1"/>
  <c r="AY2" i="1"/>
  <c r="AW2" i="1"/>
  <c r="N2" i="1"/>
  <c r="AM4" i="3"/>
  <c r="AN4" i="3" s="1"/>
  <c r="Z4" i="5" s="1"/>
  <c r="AM8" i="3"/>
  <c r="AN8" i="3" s="1"/>
  <c r="Z8" i="5" s="1"/>
  <c r="BM2" i="1"/>
  <c r="BO2" i="1" s="1"/>
  <c r="BH2" i="1"/>
  <c r="BG2" i="1"/>
  <c r="L153" i="3"/>
  <c r="H153" i="1" s="1"/>
  <c r="L139" i="3"/>
  <c r="H139" i="1" s="1"/>
  <c r="L141" i="3"/>
  <c r="H141" i="1" s="1"/>
  <c r="AN2" i="1"/>
  <c r="L144" i="3"/>
  <c r="H144" i="1" s="1"/>
  <c r="L145" i="3"/>
  <c r="H145" i="1" s="1"/>
  <c r="L152" i="3"/>
  <c r="H152" i="1" s="1"/>
  <c r="L147" i="3"/>
  <c r="H147" i="1" s="1"/>
  <c r="AL14" i="3"/>
  <c r="L149" i="3"/>
  <c r="H149" i="1" s="1"/>
  <c r="BA2" i="1"/>
  <c r="A21" i="14"/>
  <c r="A13" i="14"/>
  <c r="A85" i="14"/>
  <c r="A9" i="14"/>
  <c r="A22" i="9"/>
  <c r="A73" i="14"/>
  <c r="A6" i="9"/>
  <c r="A113" i="14"/>
  <c r="A49" i="14"/>
  <c r="L75" i="3"/>
  <c r="H75" i="1" s="1"/>
  <c r="L115" i="3"/>
  <c r="H115" i="1" s="1"/>
  <c r="L31" i="3"/>
  <c r="H31" i="1" s="1"/>
  <c r="L148" i="3"/>
  <c r="H148" i="1" s="1"/>
  <c r="L154" i="3"/>
  <c r="H154" i="1" s="1"/>
  <c r="L39" i="3"/>
  <c r="H39" i="1" s="1"/>
  <c r="L156" i="3"/>
  <c r="H156" i="1" s="1"/>
  <c r="L19" i="3"/>
  <c r="H19" i="1" s="1"/>
  <c r="L159" i="3"/>
  <c r="H159" i="1" s="1"/>
  <c r="L142" i="3"/>
  <c r="H142" i="1" s="1"/>
  <c r="L143" i="3"/>
  <c r="H143" i="1" s="1"/>
  <c r="L151" i="3"/>
  <c r="H151" i="1" s="1"/>
  <c r="L146" i="3"/>
  <c r="H146" i="1" s="1"/>
  <c r="AA2" i="1"/>
  <c r="Z2" i="1"/>
  <c r="Y2" i="1"/>
  <c r="AM121" i="3"/>
  <c r="AN121" i="3" s="1"/>
  <c r="AM59" i="3"/>
  <c r="AN59" i="3" s="1"/>
  <c r="AM158" i="3"/>
  <c r="AN158" i="3" s="1"/>
  <c r="AM99" i="3"/>
  <c r="AN99" i="3" s="1"/>
  <c r="AM83" i="3"/>
  <c r="AN83" i="3" s="1"/>
  <c r="AM123" i="3"/>
  <c r="AN123" i="3" s="1"/>
  <c r="AM150" i="3"/>
  <c r="AN150" i="3" s="1"/>
  <c r="AM114" i="3"/>
  <c r="AN114" i="3" s="1"/>
  <c r="AM62" i="3"/>
  <c r="AN62" i="3" s="1"/>
  <c r="AM20" i="3"/>
  <c r="AN20" i="3" s="1"/>
  <c r="AM109" i="3"/>
  <c r="AN109" i="3" s="1"/>
  <c r="AM138" i="3"/>
  <c r="AN138" i="3" s="1"/>
  <c r="AM128" i="3"/>
  <c r="AN128" i="3" s="1"/>
  <c r="AM17" i="3"/>
  <c r="AN17" i="3" s="1"/>
  <c r="AM85" i="3"/>
  <c r="AN85" i="3" s="1"/>
  <c r="AM100" i="3"/>
  <c r="AN100" i="3" s="1"/>
  <c r="AM84" i="3"/>
  <c r="AN84" i="3" s="1"/>
  <c r="AM58" i="3"/>
  <c r="AN58" i="3" s="1"/>
  <c r="A90" i="14"/>
  <c r="A18" i="14"/>
  <c r="A13" i="9"/>
  <c r="A64" i="14"/>
  <c r="A51" i="14"/>
  <c r="A3" i="14"/>
  <c r="A93" i="14"/>
  <c r="A36" i="14"/>
  <c r="A84" i="14"/>
  <c r="A27" i="14"/>
  <c r="A23" i="14"/>
  <c r="A82" i="14"/>
  <c r="A110" i="14"/>
  <c r="A34" i="14"/>
  <c r="A70" i="14"/>
  <c r="A22" i="14"/>
  <c r="A7" i="9"/>
  <c r="A88" i="14"/>
  <c r="A16" i="14"/>
  <c r="A66" i="14"/>
  <c r="A15" i="9"/>
  <c r="L157" i="3"/>
  <c r="H157" i="1" s="1"/>
  <c r="A4" i="14"/>
  <c r="A28" i="14"/>
  <c r="A52" i="14"/>
  <c r="A76" i="14"/>
  <c r="A26" i="9"/>
  <c r="A104" i="14"/>
  <c r="A116" i="14"/>
  <c r="A2" i="9"/>
  <c r="A29" i="14"/>
  <c r="A53" i="14"/>
  <c r="A77" i="14"/>
  <c r="L155" i="3"/>
  <c r="H155" i="1" s="1"/>
  <c r="A6" i="14"/>
  <c r="A3" i="9"/>
  <c r="A30" i="14"/>
  <c r="A42" i="14"/>
  <c r="A54" i="14"/>
  <c r="A78" i="14"/>
  <c r="A23" i="9"/>
  <c r="A118" i="14"/>
  <c r="A7" i="14"/>
  <c r="A79" i="14"/>
  <c r="A41" i="14"/>
  <c r="A9" i="9"/>
  <c r="A21" i="9"/>
  <c r="A25" i="14"/>
  <c r="A61" i="14"/>
  <c r="A109" i="14"/>
  <c r="A65" i="14"/>
  <c r="A46" i="14"/>
  <c r="A24" i="14"/>
  <c r="A5" i="14"/>
  <c r="A11" i="9"/>
  <c r="A100" i="14"/>
  <c r="A17" i="14"/>
  <c r="A58" i="14"/>
  <c r="A20" i="14"/>
  <c r="A37" i="14"/>
  <c r="A25" i="9"/>
  <c r="A10" i="9"/>
  <c r="A33" i="14"/>
  <c r="A45" i="14"/>
  <c r="A69" i="14"/>
  <c r="A81" i="14"/>
  <c r="A19" i="9"/>
  <c r="A108" i="14"/>
  <c r="A92" i="14"/>
  <c r="A32" i="14"/>
  <c r="A19" i="14"/>
  <c r="A107" i="14"/>
  <c r="A91" i="14"/>
  <c r="A31" i="14"/>
  <c r="A5" i="9"/>
  <c r="A44" i="14"/>
  <c r="A17" i="9"/>
  <c r="A4" i="9"/>
  <c r="A43" i="14"/>
  <c r="A16" i="9"/>
  <c r="A56" i="14"/>
  <c r="A55" i="14"/>
  <c r="A68" i="14"/>
  <c r="A67" i="14"/>
  <c r="A24" i="9"/>
  <c r="A35" i="14"/>
  <c r="A47" i="14"/>
  <c r="A59" i="14"/>
  <c r="A71" i="14"/>
  <c r="A20" i="9"/>
  <c r="A8" i="9"/>
  <c r="A83" i="14"/>
  <c r="A95" i="14"/>
  <c r="A98" i="14"/>
  <c r="A86" i="14"/>
  <c r="A74" i="14"/>
  <c r="A62" i="14"/>
  <c r="A50" i="14"/>
  <c r="A38" i="14"/>
  <c r="A26" i="14"/>
  <c r="A14" i="14"/>
  <c r="A117" i="14"/>
  <c r="A105" i="14"/>
  <c r="A114" i="14"/>
  <c r="A89" i="14"/>
  <c r="AN44" i="3"/>
  <c r="AN36" i="3"/>
  <c r="AN27" i="3"/>
  <c r="AN48" i="3"/>
  <c r="AN33" i="3"/>
  <c r="AN69" i="3"/>
  <c r="AM140" i="3"/>
  <c r="AN140" i="3" s="1"/>
  <c r="AM57" i="3"/>
  <c r="AN57" i="3" s="1"/>
  <c r="AM56" i="3"/>
  <c r="AN56" i="3" s="1"/>
  <c r="AM119" i="3"/>
  <c r="AN119" i="3" s="1"/>
  <c r="AM55" i="3"/>
  <c r="AN55" i="3" s="1"/>
  <c r="AN131" i="3"/>
  <c r="AN125" i="3"/>
  <c r="AN117" i="3"/>
  <c r="AN118" i="3"/>
  <c r="AN107" i="3"/>
  <c r="AN95" i="3"/>
  <c r="AN73" i="3"/>
  <c r="AN65" i="3"/>
  <c r="AN50" i="3"/>
  <c r="AN24" i="3"/>
  <c r="AN12" i="3"/>
  <c r="AN89" i="3"/>
  <c r="AN82" i="3"/>
  <c r="AN49" i="3"/>
  <c r="AN41" i="3"/>
  <c r="AP2" i="3"/>
  <c r="BE2" i="3" s="1"/>
  <c r="AN23" i="3"/>
  <c r="AN61" i="3"/>
  <c r="AM156" i="3"/>
  <c r="AN67" i="3"/>
  <c r="AN60" i="3"/>
  <c r="AN54" i="3"/>
  <c r="AN37" i="3"/>
  <c r="AN29" i="3"/>
  <c r="AL143" i="3"/>
  <c r="AN130" i="3"/>
  <c r="AN116" i="3"/>
  <c r="AN76" i="3"/>
  <c r="AN129" i="3"/>
  <c r="AN122" i="3"/>
  <c r="AN104" i="3"/>
  <c r="AN98" i="3"/>
  <c r="AL90" i="3"/>
  <c r="AN35" i="3"/>
  <c r="AN34" i="3"/>
  <c r="AN10" i="3"/>
  <c r="AN64" i="3"/>
  <c r="AL137" i="3"/>
  <c r="AN22" i="3"/>
  <c r="AN134" i="3"/>
  <c r="AN127" i="3"/>
  <c r="AN88" i="3"/>
  <c r="AN87" i="3"/>
  <c r="AN68" i="3"/>
  <c r="AN47" i="3"/>
  <c r="AN38" i="3"/>
  <c r="AN32" i="3"/>
  <c r="AN101" i="3"/>
  <c r="AL124" i="3"/>
  <c r="AL78" i="3"/>
  <c r="AN18" i="3"/>
  <c r="AM139" i="3"/>
  <c r="AN106" i="3"/>
  <c r="AN94" i="3"/>
  <c r="AN77" i="3"/>
  <c r="AN40" i="3"/>
  <c r="AL139" i="3"/>
  <c r="AM157" i="3"/>
  <c r="AN105" i="3"/>
  <c r="AN93" i="3"/>
  <c r="AL46" i="3"/>
  <c r="AL157" i="3"/>
  <c r="AN66" i="3"/>
  <c r="AN53" i="3"/>
  <c r="AN45" i="3"/>
  <c r="AL30" i="3"/>
  <c r="AN21" i="3"/>
  <c r="AL155" i="3"/>
  <c r="AM113" i="3"/>
  <c r="AL52" i="3"/>
  <c r="BN52" i="3" s="1"/>
  <c r="AL151" i="3"/>
  <c r="AL120" i="3"/>
  <c r="AN103" i="3"/>
  <c r="AN97" i="3"/>
  <c r="AN72" i="3"/>
  <c r="AL28" i="3"/>
  <c r="AN133" i="3"/>
  <c r="AN126" i="3"/>
  <c r="AN81" i="3"/>
  <c r="AN42" i="3"/>
  <c r="AN108" i="3"/>
  <c r="AN102" i="3"/>
  <c r="AN96" i="3"/>
  <c r="AL70" i="3"/>
  <c r="AL145" i="3"/>
  <c r="AL132" i="3"/>
  <c r="AL6" i="3"/>
  <c r="AM144" i="3"/>
  <c r="AM71" i="3"/>
  <c r="AM11" i="3"/>
  <c r="AM2" i="3"/>
  <c r="AL156" i="3"/>
  <c r="AL144" i="3"/>
  <c r="AL113" i="3"/>
  <c r="AL71" i="3"/>
  <c r="AL11" i="3"/>
  <c r="AN160" i="3"/>
  <c r="AM155" i="3"/>
  <c r="AM149" i="3"/>
  <c r="AM143" i="3"/>
  <c r="AM137" i="3"/>
  <c r="AM124" i="3"/>
  <c r="AM112" i="3"/>
  <c r="AM70" i="3"/>
  <c r="AM52" i="3"/>
  <c r="AM46" i="3"/>
  <c r="AM28" i="3"/>
  <c r="AM16" i="3"/>
  <c r="AL149" i="3"/>
  <c r="AL112" i="3"/>
  <c r="AL16" i="3"/>
  <c r="AM154" i="3"/>
  <c r="AM148" i="3"/>
  <c r="AM142" i="3"/>
  <c r="AM136" i="3"/>
  <c r="AM111" i="3"/>
  <c r="AM75" i="3"/>
  <c r="AM63" i="3"/>
  <c r="AM51" i="3"/>
  <c r="AM39" i="3"/>
  <c r="AM15" i="3"/>
  <c r="AM9" i="3"/>
  <c r="AM3" i="3"/>
  <c r="AL154" i="3"/>
  <c r="AL148" i="3"/>
  <c r="AL142" i="3"/>
  <c r="AL136" i="3"/>
  <c r="AL111" i="3"/>
  <c r="AL75" i="3"/>
  <c r="AL63" i="3"/>
  <c r="AL51" i="3"/>
  <c r="AL39" i="3"/>
  <c r="AL15" i="3"/>
  <c r="AM159" i="3"/>
  <c r="AM153" i="3"/>
  <c r="AM147" i="3"/>
  <c r="AM141" i="3"/>
  <c r="AM135" i="3"/>
  <c r="AM110" i="3"/>
  <c r="AM92" i="3"/>
  <c r="AM86" i="3"/>
  <c r="AM74" i="3"/>
  <c r="AM26" i="3"/>
  <c r="AM14" i="3"/>
  <c r="AL159" i="3"/>
  <c r="AL153" i="3"/>
  <c r="AL147" i="3"/>
  <c r="AL141" i="3"/>
  <c r="AL135" i="3"/>
  <c r="AL110" i="3"/>
  <c r="AL92" i="3"/>
  <c r="AL86" i="3"/>
  <c r="AL74" i="3"/>
  <c r="AL26" i="3"/>
  <c r="AM152" i="3"/>
  <c r="AM146" i="3"/>
  <c r="AM115" i="3"/>
  <c r="AM91" i="3"/>
  <c r="AM79" i="3"/>
  <c r="AM43" i="3"/>
  <c r="AM31" i="3"/>
  <c r="AM25" i="3"/>
  <c r="AM19" i="3"/>
  <c r="AM13" i="3"/>
  <c r="AM7" i="3"/>
  <c r="AL152" i="3"/>
  <c r="AL146" i="3"/>
  <c r="AL115" i="3"/>
  <c r="AL91" i="3"/>
  <c r="AL79" i="3"/>
  <c r="AL43" i="3"/>
  <c r="AL31" i="3"/>
  <c r="AL25" i="3"/>
  <c r="AL19" i="3"/>
  <c r="AL13" i="3"/>
  <c r="AM151" i="3"/>
  <c r="AM145" i="3"/>
  <c r="AM120" i="3"/>
  <c r="AM90" i="3"/>
  <c r="AM78" i="3"/>
  <c r="AM30" i="3"/>
  <c r="AM132" i="3"/>
  <c r="AM6" i="3"/>
  <c r="AL2" i="3"/>
  <c r="F28" i="3"/>
  <c r="AR28" i="1" s="1"/>
  <c r="L14" i="3"/>
  <c r="H14" i="1" s="1"/>
  <c r="L15" i="3"/>
  <c r="H15" i="1" s="1"/>
  <c r="L16" i="3"/>
  <c r="H16" i="1" s="1"/>
  <c r="L132" i="3"/>
  <c r="H132" i="1" s="1"/>
  <c r="AA161" i="5" l="1"/>
  <c r="G162" i="1"/>
  <c r="BB156" i="3"/>
  <c r="G163" i="1"/>
  <c r="G166" i="1"/>
  <c r="G161" i="1"/>
  <c r="G165" i="1"/>
  <c r="BP40" i="1"/>
  <c r="BP24" i="1"/>
  <c r="BP22" i="1"/>
  <c r="BP37" i="1"/>
  <c r="BP48" i="1"/>
  <c r="BP12" i="1"/>
  <c r="BP41" i="1"/>
  <c r="BP95" i="1"/>
  <c r="BP23" i="1"/>
  <c r="BP61" i="1"/>
  <c r="BP47" i="1"/>
  <c r="BP38" i="1"/>
  <c r="BB149" i="3"/>
  <c r="I149" i="1"/>
  <c r="BB43" i="3"/>
  <c r="I43" i="1"/>
  <c r="BB52" i="3"/>
  <c r="I52" i="1"/>
  <c r="BB157" i="3"/>
  <c r="I157" i="1"/>
  <c r="BB26" i="3"/>
  <c r="I26" i="1"/>
  <c r="BB145" i="3"/>
  <c r="BI145" i="3" s="1"/>
  <c r="I145" i="1"/>
  <c r="BB142" i="3"/>
  <c r="I142" i="1"/>
  <c r="BB7" i="3"/>
  <c r="BI7" i="3" s="1"/>
  <c r="I7" i="1"/>
  <c r="BB19" i="3"/>
  <c r="I19" i="1"/>
  <c r="BB90" i="3"/>
  <c r="I90" i="1"/>
  <c r="BB136" i="3"/>
  <c r="I136" i="1"/>
  <c r="BB75" i="3"/>
  <c r="I75" i="1"/>
  <c r="BB124" i="3"/>
  <c r="I124" i="1"/>
  <c r="BB115" i="3"/>
  <c r="T85" i="5"/>
  <c r="BB144" i="3"/>
  <c r="BI144" i="3" s="1"/>
  <c r="I144" i="1"/>
  <c r="BB155" i="3"/>
  <c r="I155" i="1"/>
  <c r="BB135" i="3"/>
  <c r="I135" i="1"/>
  <c r="BB146" i="3"/>
  <c r="BI146" i="3" s="1"/>
  <c r="I146" i="1"/>
  <c r="BB79" i="3"/>
  <c r="I79" i="1"/>
  <c r="BB9" i="3"/>
  <c r="BI9" i="3" s="1"/>
  <c r="I9" i="1"/>
  <c r="BB147" i="3"/>
  <c r="BI147" i="3" s="1"/>
  <c r="I147" i="1"/>
  <c r="BB92" i="3"/>
  <c r="BI92" i="3" s="1"/>
  <c r="I92" i="1"/>
  <c r="BB25" i="3"/>
  <c r="I25" i="1"/>
  <c r="V85" i="5"/>
  <c r="H97" i="5"/>
  <c r="BB3" i="3"/>
  <c r="I3" i="1"/>
  <c r="BB28" i="3"/>
  <c r="I28" i="1"/>
  <c r="BB71" i="3"/>
  <c r="BI71" i="3" s="1"/>
  <c r="I71" i="1"/>
  <c r="BB30" i="3"/>
  <c r="BI30" i="3" s="1"/>
  <c r="I30" i="1"/>
  <c r="BB139" i="3"/>
  <c r="I139" i="1"/>
  <c r="BB153" i="3"/>
  <c r="I153" i="1"/>
  <c r="BB46" i="3"/>
  <c r="I46" i="1"/>
  <c r="BB152" i="3"/>
  <c r="I152" i="1"/>
  <c r="I97" i="5"/>
  <c r="BB74" i="3"/>
  <c r="I74" i="1"/>
  <c r="BB143" i="3"/>
  <c r="BI143" i="3" s="1"/>
  <c r="I143" i="1"/>
  <c r="BB111" i="3"/>
  <c r="I111" i="1"/>
  <c r="BB39" i="3"/>
  <c r="BI39" i="3" s="1"/>
  <c r="I39" i="1"/>
  <c r="BB78" i="3"/>
  <c r="BI78" i="3" s="1"/>
  <c r="I78" i="1"/>
  <c r="BB154" i="3"/>
  <c r="I154" i="1"/>
  <c r="BB159" i="3"/>
  <c r="I159" i="1"/>
  <c r="BB6" i="3"/>
  <c r="I6" i="1"/>
  <c r="BB13" i="3"/>
  <c r="I13" i="1"/>
  <c r="BB2" i="3"/>
  <c r="I2" i="1"/>
  <c r="BB63" i="3"/>
  <c r="I63" i="1"/>
  <c r="BB151" i="3"/>
  <c r="I151" i="1"/>
  <c r="BB112" i="3"/>
  <c r="I112" i="1"/>
  <c r="BB14" i="3"/>
  <c r="I14" i="1"/>
  <c r="BB141" i="3"/>
  <c r="BI141" i="3" s="1"/>
  <c r="I141" i="1"/>
  <c r="BB91" i="3"/>
  <c r="BI91" i="3" s="1"/>
  <c r="I91" i="1"/>
  <c r="BB86" i="3"/>
  <c r="BI86" i="3" s="1"/>
  <c r="I86" i="1"/>
  <c r="BB113" i="3"/>
  <c r="BI113" i="3" s="1"/>
  <c r="I113" i="1"/>
  <c r="BB110" i="3"/>
  <c r="I110" i="1"/>
  <c r="AD21" i="1"/>
  <c r="R48" i="5"/>
  <c r="I44" i="5"/>
  <c r="R21" i="5"/>
  <c r="BB11" i="3"/>
  <c r="BI11" i="3" s="1"/>
  <c r="AT164" i="3"/>
  <c r="AS164" i="3"/>
  <c r="BP164" i="1" s="1"/>
  <c r="H44" i="5"/>
  <c r="AG21" i="1"/>
  <c r="AF73" i="1"/>
  <c r="AD73" i="1"/>
  <c r="AG73" i="1"/>
  <c r="AE73" i="1"/>
  <c r="AE129" i="1"/>
  <c r="AD129" i="1"/>
  <c r="AG129" i="1"/>
  <c r="AE21" i="1"/>
  <c r="AF21" i="1"/>
  <c r="AZ51" i="3"/>
  <c r="P48" i="5"/>
  <c r="R67" i="5"/>
  <c r="AF129" i="1"/>
  <c r="Q21" i="5"/>
  <c r="P73" i="5"/>
  <c r="P21" i="5"/>
  <c r="R73" i="5"/>
  <c r="R129" i="5"/>
  <c r="Q67" i="5"/>
  <c r="BQ11" i="3"/>
  <c r="Q48" i="5"/>
  <c r="R8" i="1"/>
  <c r="V8" i="1" s="1"/>
  <c r="AF65" i="1"/>
  <c r="Q125" i="5"/>
  <c r="AE65" i="1"/>
  <c r="R66" i="5"/>
  <c r="AG125" i="1"/>
  <c r="AY4" i="3"/>
  <c r="AE125" i="1"/>
  <c r="AG65" i="1"/>
  <c r="Q129" i="5"/>
  <c r="R5" i="1"/>
  <c r="U5" i="1" s="1"/>
  <c r="AF125" i="1"/>
  <c r="R11" i="1"/>
  <c r="T11" i="1" s="1"/>
  <c r="R65" i="5"/>
  <c r="AA8" i="5"/>
  <c r="R125" i="5"/>
  <c r="BJ97" i="3"/>
  <c r="BR54" i="3"/>
  <c r="BL113" i="3"/>
  <c r="BR97" i="3"/>
  <c r="BJ42" i="3"/>
  <c r="AZ112" i="3"/>
  <c r="AR5" i="3"/>
  <c r="P65" i="5"/>
  <c r="AY5" i="3"/>
  <c r="BK5" i="3" s="1"/>
  <c r="AD125" i="1"/>
  <c r="AD65" i="1"/>
  <c r="R69" i="5"/>
  <c r="AZ137" i="3"/>
  <c r="Y29" i="1"/>
  <c r="Z29" i="1"/>
  <c r="Q66" i="5"/>
  <c r="AG66" i="1"/>
  <c r="P66" i="5"/>
  <c r="AD69" i="1"/>
  <c r="AE66" i="1"/>
  <c r="BL5" i="3"/>
  <c r="AG69" i="1"/>
  <c r="AF66" i="1"/>
  <c r="BQ5" i="3"/>
  <c r="X29" i="1"/>
  <c r="AE69" i="1"/>
  <c r="AD66" i="1"/>
  <c r="Q69" i="5"/>
  <c r="AZ26" i="3"/>
  <c r="AF69" i="1"/>
  <c r="AR11" i="3"/>
  <c r="AR3" i="3"/>
  <c r="AA93" i="5"/>
  <c r="Z93" i="5"/>
  <c r="Z101" i="5"/>
  <c r="AA101" i="5"/>
  <c r="Z10" i="5"/>
  <c r="AA10" i="5"/>
  <c r="Z29" i="5"/>
  <c r="AA29" i="5"/>
  <c r="AA89" i="5"/>
  <c r="Z89" i="5"/>
  <c r="Z55" i="5"/>
  <c r="AA55" i="5"/>
  <c r="Z17" i="5"/>
  <c r="AA17" i="5"/>
  <c r="AA59" i="5"/>
  <c r="Z59" i="5"/>
  <c r="K29" i="5"/>
  <c r="L29" i="5" s="1"/>
  <c r="BH52" i="3"/>
  <c r="F52" i="5" s="1"/>
  <c r="AZ52" i="3"/>
  <c r="AA5" i="5"/>
  <c r="BL25" i="3"/>
  <c r="BI25" i="3"/>
  <c r="BP16" i="3"/>
  <c r="D16" i="5" s="1"/>
  <c r="BH16" i="3"/>
  <c r="F16" i="5" s="1"/>
  <c r="E16" i="5"/>
  <c r="BR42" i="3"/>
  <c r="AY153" i="3"/>
  <c r="AR153" i="3"/>
  <c r="BG153" i="3"/>
  <c r="BO153" i="3" s="1"/>
  <c r="BS153" i="3" s="1"/>
  <c r="BF149" i="1"/>
  <c r="BI149" i="1"/>
  <c r="AO149" i="1"/>
  <c r="AB149" i="5" s="1"/>
  <c r="BB149" i="1"/>
  <c r="P149" i="1"/>
  <c r="Q149" i="1" s="1"/>
  <c r="AP149" i="1"/>
  <c r="BQ149" i="1" s="1"/>
  <c r="J149" i="1"/>
  <c r="AM149" i="1"/>
  <c r="BC149" i="1"/>
  <c r="BB152" i="1"/>
  <c r="BI152" i="1"/>
  <c r="BF152" i="1"/>
  <c r="P152" i="1"/>
  <c r="Q152" i="1" s="1"/>
  <c r="J152" i="1"/>
  <c r="AP152" i="1"/>
  <c r="BQ152" i="1" s="1"/>
  <c r="BC152" i="1"/>
  <c r="AO152" i="1"/>
  <c r="AB152" i="5" s="1"/>
  <c r="AM152" i="1"/>
  <c r="BH148" i="3"/>
  <c r="F148" i="5" s="1"/>
  <c r="BP148" i="3"/>
  <c r="D148" i="5" s="1"/>
  <c r="E148" i="5"/>
  <c r="BP145" i="3"/>
  <c r="D145" i="5" s="1"/>
  <c r="BH145" i="3"/>
  <c r="F145" i="5" s="1"/>
  <c r="E145" i="5"/>
  <c r="BE74" i="3"/>
  <c r="BI74" i="3" s="1"/>
  <c r="AH74" i="1"/>
  <c r="BE46" i="3"/>
  <c r="BQ46" i="3" s="1"/>
  <c r="R46" i="1"/>
  <c r="AR46" i="3"/>
  <c r="W46" i="1" s="1"/>
  <c r="P9" i="1"/>
  <c r="Q9" i="1" s="1"/>
  <c r="BB9" i="1"/>
  <c r="BC9" i="1"/>
  <c r="J9" i="1"/>
  <c r="AO9" i="1"/>
  <c r="AB9" i="5" s="1"/>
  <c r="BF9" i="1"/>
  <c r="AP9" i="1"/>
  <c r="BQ9" i="1" s="1"/>
  <c r="S20" i="5"/>
  <c r="AI20" i="1"/>
  <c r="AJ20" i="1"/>
  <c r="AK20" i="1"/>
  <c r="AL20" i="1"/>
  <c r="BP52" i="3"/>
  <c r="D52" i="5" s="1"/>
  <c r="E52" i="5"/>
  <c r="BF52" i="3"/>
  <c r="BG6" i="3"/>
  <c r="AR6" i="3"/>
  <c r="AY6" i="3"/>
  <c r="S18" i="5"/>
  <c r="AK18" i="1"/>
  <c r="AI18" i="1"/>
  <c r="AJ18" i="1"/>
  <c r="AL18" i="1"/>
  <c r="BG142" i="3"/>
  <c r="BO142" i="3" s="1"/>
  <c r="BS142" i="3" s="1"/>
  <c r="AY142" i="3"/>
  <c r="AR142" i="3"/>
  <c r="AY63" i="3"/>
  <c r="BG63" i="3"/>
  <c r="AR63" i="3"/>
  <c r="BL11" i="3"/>
  <c r="AY157" i="3"/>
  <c r="AR157" i="3"/>
  <c r="BG157" i="3"/>
  <c r="BO157" i="3" s="1"/>
  <c r="BS157" i="3" s="1"/>
  <c r="BL92" i="3"/>
  <c r="BH8" i="3"/>
  <c r="F8" i="5" s="1"/>
  <c r="BP8" i="3"/>
  <c r="D8" i="5" s="1"/>
  <c r="E8" i="5"/>
  <c r="S123" i="5"/>
  <c r="AL123" i="1"/>
  <c r="AI123" i="1"/>
  <c r="AJ123" i="1"/>
  <c r="AK123" i="1"/>
  <c r="AY136" i="3"/>
  <c r="AR136" i="3"/>
  <c r="BG136" i="3"/>
  <c r="BP28" i="3"/>
  <c r="D28" i="5" s="1"/>
  <c r="E28" i="5"/>
  <c r="BH28" i="3"/>
  <c r="F28" i="5" s="1"/>
  <c r="BG90" i="3"/>
  <c r="BO90" i="3" s="1"/>
  <c r="BS90" i="3" s="1"/>
  <c r="AR90" i="3"/>
  <c r="AY90" i="3"/>
  <c r="AR4" i="3"/>
  <c r="E147" i="5"/>
  <c r="BH147" i="3"/>
  <c r="F147" i="5" s="1"/>
  <c r="BP147" i="3"/>
  <c r="D147" i="5" s="1"/>
  <c r="E146" i="5"/>
  <c r="BH146" i="3"/>
  <c r="BP146" i="3"/>
  <c r="D146" i="5" s="1"/>
  <c r="BG25" i="3"/>
  <c r="AY25" i="3"/>
  <c r="J16" i="1"/>
  <c r="BB16" i="1"/>
  <c r="AO16" i="1"/>
  <c r="AB16" i="5" s="1"/>
  <c r="BC16" i="1"/>
  <c r="P16" i="1"/>
  <c r="Q16" i="1" s="1"/>
  <c r="BF16" i="1"/>
  <c r="AM16" i="1"/>
  <c r="AP16" i="1"/>
  <c r="BQ16" i="1" s="1"/>
  <c r="BI16" i="1"/>
  <c r="BC148" i="1"/>
  <c r="J148" i="1"/>
  <c r="AM148" i="1"/>
  <c r="BF148" i="1"/>
  <c r="AO148" i="1"/>
  <c r="AB148" i="5" s="1"/>
  <c r="AP148" i="1"/>
  <c r="BQ148" i="1" s="1"/>
  <c r="P148" i="1"/>
  <c r="Q148" i="1" s="1"/>
  <c r="BB148" i="1"/>
  <c r="BI148" i="1"/>
  <c r="BP124" i="3"/>
  <c r="D124" i="5" s="1"/>
  <c r="BH124" i="3"/>
  <c r="F124" i="5" s="1"/>
  <c r="E124" i="5"/>
  <c r="T83" i="5"/>
  <c r="U83" i="5"/>
  <c r="V83" i="5"/>
  <c r="BL145" i="3"/>
  <c r="BF91" i="1"/>
  <c r="AP91" i="1"/>
  <c r="BQ91" i="1" s="1"/>
  <c r="BI91" i="1"/>
  <c r="BB91" i="1"/>
  <c r="AM91" i="1"/>
  <c r="BC91" i="1"/>
  <c r="J91" i="1"/>
  <c r="P91" i="1"/>
  <c r="Q91" i="1" s="1"/>
  <c r="AO91" i="1"/>
  <c r="AB91" i="5" s="1"/>
  <c r="BG19" i="3"/>
  <c r="BO19" i="3" s="1"/>
  <c r="BS19" i="3" s="1"/>
  <c r="AR19" i="3"/>
  <c r="AY19" i="3"/>
  <c r="BB132" i="1"/>
  <c r="P132" i="1"/>
  <c r="Q132" i="1" s="1"/>
  <c r="BC132" i="1"/>
  <c r="AO132" i="1"/>
  <c r="AB132" i="5" s="1"/>
  <c r="BF132" i="1"/>
  <c r="J132" i="1"/>
  <c r="BI132" i="1"/>
  <c r="AP132" i="1"/>
  <c r="BQ132" i="1" s="1"/>
  <c r="AM132" i="1"/>
  <c r="AP4" i="1"/>
  <c r="BQ4" i="1" s="1"/>
  <c r="BL147" i="3"/>
  <c r="BL78" i="3"/>
  <c r="BL146" i="3"/>
  <c r="BL144" i="3"/>
  <c r="BG143" i="3"/>
  <c r="BO143" i="3" s="1"/>
  <c r="BS143" i="3" s="1"/>
  <c r="AY143" i="3"/>
  <c r="AR143" i="3"/>
  <c r="BG70" i="3"/>
  <c r="BO70" i="3" s="1"/>
  <c r="BS70" i="3" s="1"/>
  <c r="AY70" i="3"/>
  <c r="AR70" i="3"/>
  <c r="Z160" i="5"/>
  <c r="AA160" i="5"/>
  <c r="Z103" i="5"/>
  <c r="AA103" i="5"/>
  <c r="Z64" i="5"/>
  <c r="M64" i="1" s="1"/>
  <c r="AA64" i="5"/>
  <c r="N64" i="1" s="1"/>
  <c r="Z82" i="5"/>
  <c r="AA82" i="5"/>
  <c r="Z131" i="5"/>
  <c r="AA131" i="5"/>
  <c r="Z85" i="5"/>
  <c r="AA85" i="5"/>
  <c r="Z158" i="5"/>
  <c r="AA158" i="5"/>
  <c r="E9" i="5"/>
  <c r="BP9" i="3"/>
  <c r="D9" i="5" s="1"/>
  <c r="BH9" i="3"/>
  <c r="F9" i="5" s="1"/>
  <c r="BE112" i="3"/>
  <c r="BQ112" i="3" s="1"/>
  <c r="R112" i="1"/>
  <c r="AR112" i="3"/>
  <c r="W112" i="1" s="1"/>
  <c r="BE111" i="3"/>
  <c r="BQ111" i="3" s="1"/>
  <c r="R111" i="1"/>
  <c r="BB70" i="1"/>
  <c r="AO70" i="1"/>
  <c r="AB70" i="5" s="1"/>
  <c r="BC70" i="1"/>
  <c r="BF70" i="1"/>
  <c r="P70" i="1"/>
  <c r="Q70" i="1" s="1"/>
  <c r="J70" i="1"/>
  <c r="AP70" i="1"/>
  <c r="BQ70" i="1" s="1"/>
  <c r="P31" i="1"/>
  <c r="Q31" i="1" s="1"/>
  <c r="J31" i="1"/>
  <c r="BC31" i="1"/>
  <c r="BF31" i="1"/>
  <c r="BB31" i="1"/>
  <c r="AO31" i="1"/>
  <c r="AB31" i="5" s="1"/>
  <c r="AP31" i="1"/>
  <c r="BQ31" i="1" s="1"/>
  <c r="BH92" i="3"/>
  <c r="E92" i="5"/>
  <c r="BP92" i="3"/>
  <c r="D92" i="5" s="1"/>
  <c r="Z102" i="5"/>
  <c r="AA102" i="5"/>
  <c r="Z38" i="5"/>
  <c r="AA38" i="5"/>
  <c r="Z35" i="5"/>
  <c r="AA35" i="5"/>
  <c r="Z54" i="5"/>
  <c r="AA54" i="5"/>
  <c r="Z24" i="5"/>
  <c r="AA24" i="5"/>
  <c r="AA56" i="5"/>
  <c r="Z56" i="5"/>
  <c r="Z138" i="5"/>
  <c r="AA138" i="5"/>
  <c r="BD5" i="1"/>
  <c r="BE5" i="1"/>
  <c r="BN5" i="1" s="1" a="1"/>
  <c r="BN5" i="1" s="1"/>
  <c r="CB5" i="1"/>
  <c r="BL86" i="3"/>
  <c r="AO25" i="1"/>
  <c r="AB25" i="5" s="1"/>
  <c r="J25" i="1"/>
  <c r="BF25" i="1"/>
  <c r="P25" i="1"/>
  <c r="Q25" i="1" s="1"/>
  <c r="BC25" i="1"/>
  <c r="BB25" i="1"/>
  <c r="AP25" i="1"/>
  <c r="BQ25" i="1" s="1"/>
  <c r="BH15" i="3"/>
  <c r="F15" i="5" s="1"/>
  <c r="E15" i="5"/>
  <c r="BP15" i="3"/>
  <c r="D15" i="5" s="1"/>
  <c r="BH152" i="3"/>
  <c r="F152" i="5" s="1"/>
  <c r="E152" i="5"/>
  <c r="BP152" i="3"/>
  <c r="D152" i="5" s="1"/>
  <c r="BP132" i="3"/>
  <c r="D132" i="5" s="1"/>
  <c r="BH132" i="3"/>
  <c r="E132" i="5"/>
  <c r="BE151" i="3"/>
  <c r="BQ151" i="3" s="1"/>
  <c r="AH151" i="1"/>
  <c r="S158" i="5"/>
  <c r="AL158" i="1"/>
  <c r="AJ158" i="1"/>
  <c r="AK158" i="1"/>
  <c r="AI158" i="1"/>
  <c r="BE154" i="3"/>
  <c r="AH154" i="1"/>
  <c r="I64" i="5"/>
  <c r="J64" i="5"/>
  <c r="H64" i="5"/>
  <c r="Z97" i="5"/>
  <c r="AA97" i="5"/>
  <c r="Z130" i="5"/>
  <c r="AA130" i="5"/>
  <c r="Z49" i="5"/>
  <c r="AA49" i="5"/>
  <c r="Z125" i="5"/>
  <c r="AA125" i="5"/>
  <c r="Z44" i="5"/>
  <c r="AA44" i="5"/>
  <c r="Z100" i="5"/>
  <c r="AA100" i="5"/>
  <c r="Z99" i="5"/>
  <c r="AA99" i="5"/>
  <c r="BB148" i="3"/>
  <c r="BI148" i="3" s="1"/>
  <c r="BG86" i="3"/>
  <c r="BO86" i="3" s="1"/>
  <c r="BS86" i="3" s="1"/>
  <c r="AR86" i="3"/>
  <c r="AY86" i="3"/>
  <c r="BC15" i="1"/>
  <c r="J15" i="1"/>
  <c r="AO15" i="1"/>
  <c r="AB15" i="5" s="1"/>
  <c r="BB15" i="1"/>
  <c r="P15" i="1"/>
  <c r="Q15" i="1" s="1"/>
  <c r="BF15" i="1"/>
  <c r="AP15" i="1"/>
  <c r="BQ15" i="1" s="1"/>
  <c r="AM15" i="1"/>
  <c r="BI15" i="1"/>
  <c r="BL148" i="3"/>
  <c r="BE152" i="3"/>
  <c r="AH152" i="1"/>
  <c r="BI14" i="3"/>
  <c r="BL14" i="3"/>
  <c r="H72" i="5"/>
  <c r="J72" i="5"/>
  <c r="I72" i="5"/>
  <c r="P46" i="1"/>
  <c r="Q46" i="1" s="1"/>
  <c r="BB46" i="1"/>
  <c r="BF46" i="1"/>
  <c r="BC46" i="1"/>
  <c r="J46" i="1"/>
  <c r="AO46" i="1"/>
  <c r="AB46" i="5" s="1"/>
  <c r="AZ46" i="3"/>
  <c r="AP46" i="1"/>
  <c r="BQ46" i="1" s="1"/>
  <c r="P71" i="1"/>
  <c r="Q71" i="1" s="1"/>
  <c r="BC71" i="1"/>
  <c r="AO71" i="1"/>
  <c r="AB71" i="5" s="1"/>
  <c r="J71" i="1"/>
  <c r="BB71" i="1"/>
  <c r="BF71" i="1"/>
  <c r="AP71" i="1"/>
  <c r="BQ71" i="1" s="1"/>
  <c r="AO143" i="1"/>
  <c r="AB143" i="5" s="1"/>
  <c r="BF143" i="1"/>
  <c r="J143" i="1"/>
  <c r="AM143" i="1"/>
  <c r="P143" i="1"/>
  <c r="Q143" i="1" s="1"/>
  <c r="AP143" i="1"/>
  <c r="BQ143" i="1" s="1"/>
  <c r="BC143" i="1"/>
  <c r="BB143" i="1"/>
  <c r="BI143" i="1"/>
  <c r="BL39" i="3"/>
  <c r="BE6" i="3"/>
  <c r="BQ6" i="3" s="1"/>
  <c r="R6" i="1"/>
  <c r="AR159" i="3"/>
  <c r="AY159" i="3"/>
  <c r="BG159" i="3"/>
  <c r="BO159" i="3" s="1"/>
  <c r="BS159" i="3" s="1"/>
  <c r="AO63" i="1"/>
  <c r="AB63" i="5" s="1"/>
  <c r="BC63" i="1"/>
  <c r="J63" i="1"/>
  <c r="BF63" i="1"/>
  <c r="BB63" i="1"/>
  <c r="P63" i="1"/>
  <c r="Q63" i="1" s="1"/>
  <c r="AY63" i="1"/>
  <c r="AP63" i="1"/>
  <c r="BQ63" i="1" s="1"/>
  <c r="R51" i="1"/>
  <c r="P51" i="1"/>
  <c r="BF51" i="1"/>
  <c r="J51" i="1"/>
  <c r="BC51" i="1"/>
  <c r="AO51" i="1"/>
  <c r="AB51" i="5" s="1"/>
  <c r="BB51" i="1"/>
  <c r="AP51" i="1"/>
  <c r="BQ51" i="1" s="1"/>
  <c r="AY11" i="3"/>
  <c r="BK11" i="3" s="1"/>
  <c r="BE137" i="3"/>
  <c r="BQ137" i="3" s="1"/>
  <c r="AR137" i="3"/>
  <c r="W137" i="1" s="1"/>
  <c r="R137" i="1"/>
  <c r="BG30" i="3"/>
  <c r="BO30" i="3" s="1"/>
  <c r="BS30" i="3" s="1"/>
  <c r="AR30" i="3"/>
  <c r="AY30" i="3"/>
  <c r="BP91" i="3"/>
  <c r="D91" i="5" s="1"/>
  <c r="E91" i="5"/>
  <c r="BH91" i="3"/>
  <c r="F91" i="5" s="1"/>
  <c r="AP7" i="1"/>
  <c r="BQ7" i="1" s="1"/>
  <c r="BJ54" i="3"/>
  <c r="AA4" i="5"/>
  <c r="BH151" i="3"/>
  <c r="F151" i="5" s="1"/>
  <c r="BP151" i="3"/>
  <c r="D151" i="5" s="1"/>
  <c r="E151" i="5"/>
  <c r="AY78" i="3"/>
  <c r="BG78" i="3"/>
  <c r="AR78" i="3"/>
  <c r="AP3" i="1"/>
  <c r="BQ3" i="1" s="1"/>
  <c r="AY75" i="3"/>
  <c r="BG75" i="3"/>
  <c r="AR75" i="3"/>
  <c r="BG71" i="3"/>
  <c r="BO71" i="3" s="1"/>
  <c r="BS71" i="3" s="1"/>
  <c r="AY71" i="3"/>
  <c r="AR71" i="3"/>
  <c r="Z96" i="5"/>
  <c r="AA96" i="5"/>
  <c r="Z105" i="5"/>
  <c r="AA105" i="5"/>
  <c r="Z32" i="5"/>
  <c r="AA32" i="5"/>
  <c r="Z34" i="5"/>
  <c r="AA34" i="5"/>
  <c r="Z37" i="5"/>
  <c r="AA37" i="5"/>
  <c r="Z12" i="5"/>
  <c r="AA12" i="5"/>
  <c r="Z119" i="5"/>
  <c r="AA119" i="5"/>
  <c r="AA128" i="5"/>
  <c r="Z128" i="5"/>
  <c r="Z121" i="5"/>
  <c r="AA121" i="5"/>
  <c r="H48" i="5"/>
  <c r="I48" i="5"/>
  <c r="J48" i="5"/>
  <c r="BD25" i="3"/>
  <c r="AR25" i="3"/>
  <c r="W25" i="1" s="1"/>
  <c r="AY112" i="3"/>
  <c r="Z42" i="5"/>
  <c r="AA42" i="5"/>
  <c r="Z40" i="5"/>
  <c r="AA40" i="5"/>
  <c r="Z68" i="5"/>
  <c r="AA68" i="5"/>
  <c r="Z98" i="5"/>
  <c r="AA98" i="5"/>
  <c r="Z67" i="5"/>
  <c r="AA67" i="5"/>
  <c r="Z65" i="5"/>
  <c r="AA65" i="5"/>
  <c r="Z140" i="5"/>
  <c r="AA140" i="5"/>
  <c r="Z20" i="5"/>
  <c r="AA20" i="5"/>
  <c r="BI5" i="3"/>
  <c r="AY46" i="3"/>
  <c r="BS5" i="1"/>
  <c r="BO5" i="3"/>
  <c r="BS5" i="3" s="1"/>
  <c r="AP5" i="1"/>
  <c r="BQ5" i="1" s="1"/>
  <c r="BB16" i="3"/>
  <c r="BI16" i="3" s="1"/>
  <c r="BH149" i="3"/>
  <c r="F149" i="5" s="1"/>
  <c r="BP149" i="3"/>
  <c r="D149" i="5" s="1"/>
  <c r="E149" i="5"/>
  <c r="BG124" i="3"/>
  <c r="AY124" i="3"/>
  <c r="AR124" i="3"/>
  <c r="E46" i="5"/>
  <c r="BP46" i="3"/>
  <c r="D46" i="5" s="1"/>
  <c r="BH46" i="3"/>
  <c r="F46" i="5" s="1"/>
  <c r="AY144" i="3"/>
  <c r="AR144" i="3"/>
  <c r="BG144" i="3"/>
  <c r="BO144" i="3" s="1"/>
  <c r="BS144" i="3" s="1"/>
  <c r="E71" i="5"/>
  <c r="BP71" i="3"/>
  <c r="D71" i="5" s="1"/>
  <c r="AP43" i="1"/>
  <c r="BQ43" i="1" s="1"/>
  <c r="BB43" i="1"/>
  <c r="P43" i="1"/>
  <c r="AO43" i="1"/>
  <c r="AB43" i="5" s="1"/>
  <c r="BC43" i="1"/>
  <c r="J43" i="1"/>
  <c r="BF43" i="1"/>
  <c r="AZ43" i="3"/>
  <c r="BH143" i="3"/>
  <c r="F143" i="5" s="1"/>
  <c r="E143" i="5"/>
  <c r="BP143" i="3"/>
  <c r="D143" i="5" s="1"/>
  <c r="J111" i="1"/>
  <c r="BC111" i="1"/>
  <c r="P111" i="1"/>
  <c r="Q111" i="1" s="1"/>
  <c r="BF111" i="1"/>
  <c r="BB111" i="1"/>
  <c r="AO111" i="1"/>
  <c r="AB111" i="5" s="1"/>
  <c r="AP111" i="1"/>
  <c r="BQ111" i="1" s="1"/>
  <c r="BG39" i="3"/>
  <c r="AR39" i="3"/>
  <c r="AY39" i="3"/>
  <c r="J110" i="1"/>
  <c r="AP110" i="1"/>
  <c r="BQ110" i="1" s="1"/>
  <c r="BC110" i="1"/>
  <c r="AO110" i="1"/>
  <c r="AB110" i="5" s="1"/>
  <c r="BB110" i="1"/>
  <c r="BF110" i="1"/>
  <c r="P110" i="1"/>
  <c r="E63" i="5"/>
  <c r="BH63" i="3"/>
  <c r="F63" i="5" s="1"/>
  <c r="BP63" i="3"/>
  <c r="D63" i="5" s="1"/>
  <c r="BH51" i="3"/>
  <c r="F51" i="5" s="1"/>
  <c r="E51" i="5"/>
  <c r="BP51" i="3"/>
  <c r="D51" i="5" s="1"/>
  <c r="BC3" i="1"/>
  <c r="BB3" i="1"/>
  <c r="P3" i="1"/>
  <c r="Q3" i="1" s="1"/>
  <c r="AO3" i="1"/>
  <c r="AB3" i="5" s="1"/>
  <c r="BF3" i="1"/>
  <c r="J3" i="1"/>
  <c r="AP141" i="1"/>
  <c r="BQ141" i="1" s="1"/>
  <c r="BB141" i="1"/>
  <c r="AM141" i="1"/>
  <c r="BI141" i="1"/>
  <c r="BF141" i="1"/>
  <c r="BC141" i="1"/>
  <c r="P141" i="1"/>
  <c r="Q141" i="1" s="1"/>
  <c r="AO141" i="1"/>
  <c r="AB141" i="5" s="1"/>
  <c r="J141" i="1"/>
  <c r="E137" i="5"/>
  <c r="BP137" i="3"/>
  <c r="D137" i="5" s="1"/>
  <c r="BH137" i="3"/>
  <c r="F137" i="5" s="1"/>
  <c r="BI8" i="1"/>
  <c r="AM8" i="1"/>
  <c r="BX8" i="1"/>
  <c r="BC136" i="1"/>
  <c r="AP136" i="1"/>
  <c r="BQ136" i="1" s="1"/>
  <c r="BF136" i="1"/>
  <c r="BB136" i="1"/>
  <c r="J136" i="1"/>
  <c r="P136" i="1"/>
  <c r="Q136" i="1" s="1"/>
  <c r="AM136" i="1"/>
  <c r="AO136" i="1"/>
  <c r="AB136" i="5" s="1"/>
  <c r="BI136" i="1"/>
  <c r="R7" i="1"/>
  <c r="P26" i="1"/>
  <c r="Q26" i="1" s="1"/>
  <c r="AO26" i="1"/>
  <c r="AB26" i="5" s="1"/>
  <c r="BC26" i="1"/>
  <c r="BF26" i="1"/>
  <c r="J26" i="1"/>
  <c r="BB26" i="1"/>
  <c r="AP26" i="1"/>
  <c r="BQ26" i="1" s="1"/>
  <c r="AH4" i="1"/>
  <c r="BG115" i="3"/>
  <c r="AR115" i="3"/>
  <c r="AY115" i="3"/>
  <c r="AC115" i="1"/>
  <c r="BE75" i="3"/>
  <c r="BQ75" i="3" s="1"/>
  <c r="AH75" i="1"/>
  <c r="Z133" i="5"/>
  <c r="AA133" i="5"/>
  <c r="Z45" i="5"/>
  <c r="AA45" i="5"/>
  <c r="Z106" i="5"/>
  <c r="AA106" i="5"/>
  <c r="Z127" i="5"/>
  <c r="AA127" i="5"/>
  <c r="Z129" i="5"/>
  <c r="AA129" i="5"/>
  <c r="Z23" i="5"/>
  <c r="AA23" i="5"/>
  <c r="Z107" i="5"/>
  <c r="AA107" i="5"/>
  <c r="Z48" i="5"/>
  <c r="AA48" i="5"/>
  <c r="AA150" i="5"/>
  <c r="Z150" i="5"/>
  <c r="AY14" i="3"/>
  <c r="BG14" i="3"/>
  <c r="AR14" i="3"/>
  <c r="AR113" i="3"/>
  <c r="BG113" i="3"/>
  <c r="AY113" i="3"/>
  <c r="AC113" i="1"/>
  <c r="AY74" i="3"/>
  <c r="BG74" i="3"/>
  <c r="BO74" i="3" s="1"/>
  <c r="BS74" i="3" s="1"/>
  <c r="AR74" i="3"/>
  <c r="BE43" i="3"/>
  <c r="BQ43" i="3" s="1"/>
  <c r="AR43" i="3"/>
  <c r="W43" i="1" s="1"/>
  <c r="R43" i="1"/>
  <c r="BG111" i="3"/>
  <c r="BO111" i="3" s="1"/>
  <c r="BS111" i="3" s="1"/>
  <c r="AY111" i="3"/>
  <c r="AR111" i="3"/>
  <c r="AC111" i="1"/>
  <c r="BH70" i="3"/>
  <c r="F70" i="5" s="1"/>
  <c r="BP70" i="3"/>
  <c r="D70" i="5" s="1"/>
  <c r="E70" i="5"/>
  <c r="H22" i="5"/>
  <c r="J22" i="5"/>
  <c r="I22" i="5"/>
  <c r="BH31" i="3"/>
  <c r="F31" i="5" s="1"/>
  <c r="BP31" i="3"/>
  <c r="D31" i="5" s="1"/>
  <c r="E31" i="5"/>
  <c r="AM11" i="1"/>
  <c r="BX11" i="1"/>
  <c r="BI11" i="1"/>
  <c r="BG141" i="3"/>
  <c r="AY141" i="3"/>
  <c r="AR141" i="3"/>
  <c r="BB137" i="1"/>
  <c r="BF137" i="1"/>
  <c r="J137" i="1"/>
  <c r="AO137" i="1"/>
  <c r="AB137" i="5" s="1"/>
  <c r="BC137" i="1"/>
  <c r="P137" i="1"/>
  <c r="AP137" i="1"/>
  <c r="BQ137" i="1" s="1"/>
  <c r="BG139" i="3"/>
  <c r="AY139" i="3"/>
  <c r="AR139" i="3"/>
  <c r="BL91" i="3"/>
  <c r="BL7" i="3"/>
  <c r="BG155" i="3"/>
  <c r="BO155" i="3" s="1"/>
  <c r="BS155" i="3" s="1"/>
  <c r="AR155" i="3"/>
  <c r="AY155" i="3"/>
  <c r="Z108" i="5"/>
  <c r="AA108" i="5"/>
  <c r="Z47" i="5"/>
  <c r="AA47" i="5"/>
  <c r="Z60" i="5"/>
  <c r="AA60" i="5"/>
  <c r="Z50" i="5"/>
  <c r="AA50" i="5"/>
  <c r="Z57" i="5"/>
  <c r="AA57" i="5"/>
  <c r="Z109" i="5"/>
  <c r="AA109" i="5"/>
  <c r="AU30" i="3"/>
  <c r="AC30" i="1" s="1"/>
  <c r="O30" i="5" s="1"/>
  <c r="Z81" i="5"/>
  <c r="AA81" i="5"/>
  <c r="Z21" i="5"/>
  <c r="AA21" i="5"/>
  <c r="Z77" i="5"/>
  <c r="AA77" i="5"/>
  <c r="Z87" i="5"/>
  <c r="AA87" i="5"/>
  <c r="Z104" i="5"/>
  <c r="AA104" i="5"/>
  <c r="Z73" i="5"/>
  <c r="AA73" i="5"/>
  <c r="Z69" i="5"/>
  <c r="AA69" i="5"/>
  <c r="Z62" i="5"/>
  <c r="AA62" i="5"/>
  <c r="BB153" i="1"/>
  <c r="AP153" i="1"/>
  <c r="BQ153" i="1" s="1"/>
  <c r="P153" i="1"/>
  <c r="Q153" i="1" s="1"/>
  <c r="BF153" i="1"/>
  <c r="BC153" i="1"/>
  <c r="J153" i="1"/>
  <c r="AO153" i="1"/>
  <c r="AB153" i="5" s="1"/>
  <c r="BI153" i="1"/>
  <c r="AM153" i="1"/>
  <c r="BL149" i="3"/>
  <c r="BI149" i="3"/>
  <c r="S84" i="5"/>
  <c r="AJ84" i="1"/>
  <c r="AL84" i="1"/>
  <c r="AI84" i="1"/>
  <c r="AK84" i="1"/>
  <c r="P14" i="1"/>
  <c r="Q14" i="1" s="1"/>
  <c r="BF14" i="1"/>
  <c r="BC14" i="1"/>
  <c r="BB14" i="1"/>
  <c r="AO14" i="1"/>
  <c r="AB14" i="5" s="1"/>
  <c r="J14" i="1"/>
  <c r="BI14" i="1"/>
  <c r="AP14" i="1"/>
  <c r="BQ14" i="1" s="1"/>
  <c r="AM14" i="1"/>
  <c r="AY145" i="3"/>
  <c r="BG145" i="3"/>
  <c r="BO145" i="3" s="1"/>
  <c r="BS145" i="3" s="1"/>
  <c r="AR145" i="3"/>
  <c r="J74" i="1"/>
  <c r="BB74" i="1"/>
  <c r="P74" i="1"/>
  <c r="Q74" i="1" s="1"/>
  <c r="BF74" i="1"/>
  <c r="AO74" i="1"/>
  <c r="AB74" i="5" s="1"/>
  <c r="BC74" i="1"/>
  <c r="BI74" i="1"/>
  <c r="AM74" i="1"/>
  <c r="AP74" i="1"/>
  <c r="BQ74" i="1" s="1"/>
  <c r="BL9" i="3"/>
  <c r="BH43" i="3"/>
  <c r="F43" i="5" s="1"/>
  <c r="BP43" i="3"/>
  <c r="D43" i="5" s="1"/>
  <c r="E43" i="5"/>
  <c r="BL143" i="3"/>
  <c r="BH111" i="3"/>
  <c r="F111" i="5" s="1"/>
  <c r="BP111" i="3"/>
  <c r="D111" i="5" s="1"/>
  <c r="E111" i="5"/>
  <c r="P6" i="1"/>
  <c r="Q6" i="1" s="1"/>
  <c r="BC6" i="1"/>
  <c r="BB6" i="1"/>
  <c r="AO6" i="1"/>
  <c r="AB6" i="5" s="1"/>
  <c r="J6" i="1"/>
  <c r="BF6" i="1"/>
  <c r="AP6" i="1"/>
  <c r="BQ6" i="1" s="1"/>
  <c r="BF159" i="1"/>
  <c r="AM159" i="1"/>
  <c r="BC159" i="1"/>
  <c r="AO159" i="1"/>
  <c r="AB159" i="5" s="1"/>
  <c r="BI159" i="1"/>
  <c r="AP159" i="1"/>
  <c r="BQ159" i="1" s="1"/>
  <c r="P159" i="1"/>
  <c r="Q159" i="1" s="1"/>
  <c r="J159" i="1"/>
  <c r="BB159" i="1"/>
  <c r="BH110" i="3"/>
  <c r="F110" i="5" s="1"/>
  <c r="BP110" i="3"/>
  <c r="D110" i="5" s="1"/>
  <c r="E110" i="5"/>
  <c r="BP3" i="3"/>
  <c r="D3" i="5" s="1"/>
  <c r="BH3" i="3"/>
  <c r="F3" i="5" s="1"/>
  <c r="E3" i="5"/>
  <c r="E141" i="5"/>
  <c r="BP141" i="3"/>
  <c r="D141" i="5" s="1"/>
  <c r="BH141" i="3"/>
  <c r="F141" i="5" s="1"/>
  <c r="BL30" i="3"/>
  <c r="S8" i="5"/>
  <c r="AI8" i="1"/>
  <c r="AJ8" i="1"/>
  <c r="AL8" i="1"/>
  <c r="AK8" i="1"/>
  <c r="BH136" i="3"/>
  <c r="BP136" i="3"/>
  <c r="D136" i="5" s="1"/>
  <c r="E136" i="5"/>
  <c r="BE135" i="3"/>
  <c r="BQ135" i="3" s="1"/>
  <c r="R135" i="1"/>
  <c r="AP90" i="1"/>
  <c r="BQ90" i="1" s="1"/>
  <c r="AO90" i="1"/>
  <c r="AB90" i="5" s="1"/>
  <c r="BC90" i="1"/>
  <c r="BB90" i="1"/>
  <c r="J90" i="1"/>
  <c r="P90" i="1"/>
  <c r="Q90" i="1" s="1"/>
  <c r="BF90" i="1"/>
  <c r="BI90" i="1"/>
  <c r="AM90" i="1"/>
  <c r="BP26" i="3"/>
  <c r="D26" i="5" s="1"/>
  <c r="BH26" i="3"/>
  <c r="F26" i="5" s="1"/>
  <c r="E26" i="5"/>
  <c r="P13" i="1"/>
  <c r="Q13" i="1" s="1"/>
  <c r="BB13" i="1"/>
  <c r="AO13" i="1"/>
  <c r="AB13" i="5" s="1"/>
  <c r="BC13" i="1"/>
  <c r="BF13" i="1"/>
  <c r="J13" i="1"/>
  <c r="AP13" i="1"/>
  <c r="BQ13" i="1" s="1"/>
  <c r="AH3" i="1"/>
  <c r="AK5" i="1"/>
  <c r="AI5" i="1"/>
  <c r="AJ5" i="1"/>
  <c r="S5" i="5"/>
  <c r="AL5" i="1"/>
  <c r="AR154" i="3"/>
  <c r="AY154" i="3"/>
  <c r="BG154" i="3"/>
  <c r="BO154" i="3" s="1"/>
  <c r="BS154" i="3" s="1"/>
  <c r="P86" i="1"/>
  <c r="Q86" i="1" s="1"/>
  <c r="BB86" i="1"/>
  <c r="AO86" i="1"/>
  <c r="AB86" i="5" s="1"/>
  <c r="BC86" i="1"/>
  <c r="J86" i="1"/>
  <c r="BF86" i="1"/>
  <c r="BI86" i="1"/>
  <c r="AM86" i="1"/>
  <c r="AP86" i="1"/>
  <c r="BQ86" i="1" s="1"/>
  <c r="BG16" i="3"/>
  <c r="BO16" i="3" s="1"/>
  <c r="BS16" i="3" s="1"/>
  <c r="AY16" i="3"/>
  <c r="AR16" i="3"/>
  <c r="Z126" i="5"/>
  <c r="AA126" i="5"/>
  <c r="Z94" i="5"/>
  <c r="AA94" i="5"/>
  <c r="Z88" i="5"/>
  <c r="AA88" i="5"/>
  <c r="AA122" i="5"/>
  <c r="Z122" i="5"/>
  <c r="Z61" i="5"/>
  <c r="AA61" i="5"/>
  <c r="Z95" i="5"/>
  <c r="AA95" i="5"/>
  <c r="Z33" i="5"/>
  <c r="AA33" i="5"/>
  <c r="AA114" i="5"/>
  <c r="Z114" i="5"/>
  <c r="BB137" i="3"/>
  <c r="BH71" i="3"/>
  <c r="F71" i="5" s="1"/>
  <c r="AY5" i="1"/>
  <c r="BP5" i="3"/>
  <c r="D5" i="5" s="1"/>
  <c r="E5" i="5"/>
  <c r="BH5" i="3"/>
  <c r="F5" i="5" s="1"/>
  <c r="O33" i="5"/>
  <c r="AD33" i="1"/>
  <c r="AG33" i="1"/>
  <c r="AE33" i="1"/>
  <c r="AF33" i="1"/>
  <c r="P154" i="1"/>
  <c r="Q154" i="1" s="1"/>
  <c r="BC154" i="1"/>
  <c r="AP154" i="1"/>
  <c r="BQ154" i="1" s="1"/>
  <c r="AM154" i="1"/>
  <c r="BB154" i="1"/>
  <c r="BF154" i="1"/>
  <c r="BI154" i="1"/>
  <c r="J154" i="1"/>
  <c r="AO154" i="1"/>
  <c r="AB154" i="5" s="1"/>
  <c r="E86" i="5"/>
  <c r="BH86" i="3"/>
  <c r="F86" i="5" s="1"/>
  <c r="BP86" i="3"/>
  <c r="D86" i="5" s="1"/>
  <c r="BL16" i="3"/>
  <c r="S114" i="5"/>
  <c r="AL114" i="1"/>
  <c r="AI114" i="1"/>
  <c r="AJ114" i="1"/>
  <c r="AK114" i="1"/>
  <c r="BP153" i="3"/>
  <c r="D153" i="5" s="1"/>
  <c r="E153" i="5"/>
  <c r="BH153" i="3"/>
  <c r="F153" i="5" s="1"/>
  <c r="BB15" i="3"/>
  <c r="BI15" i="3" s="1"/>
  <c r="BH14" i="3"/>
  <c r="F14" i="5" s="1"/>
  <c r="BP14" i="3"/>
  <c r="D14" i="5" s="1"/>
  <c r="E14" i="5"/>
  <c r="BP74" i="3"/>
  <c r="D74" i="5" s="1"/>
  <c r="BH74" i="3"/>
  <c r="F74" i="5" s="1"/>
  <c r="E74" i="5"/>
  <c r="BG9" i="3"/>
  <c r="AY9" i="3"/>
  <c r="AR9" i="3"/>
  <c r="BC144" i="1"/>
  <c r="J144" i="1"/>
  <c r="AO144" i="1"/>
  <c r="AB144" i="5" s="1"/>
  <c r="BF144" i="1"/>
  <c r="BI144" i="1"/>
  <c r="AM144" i="1"/>
  <c r="BB144" i="1"/>
  <c r="P144" i="1"/>
  <c r="Q144" i="1" s="1"/>
  <c r="AP144" i="1"/>
  <c r="BQ144" i="1" s="1"/>
  <c r="P112" i="1"/>
  <c r="Q112" i="1" s="1"/>
  <c r="BC112" i="1"/>
  <c r="BF112" i="1"/>
  <c r="AO112" i="1"/>
  <c r="AB112" i="5" s="1"/>
  <c r="BB112" i="1"/>
  <c r="J112" i="1"/>
  <c r="AP112" i="1"/>
  <c r="BQ112" i="1" s="1"/>
  <c r="BE52" i="3"/>
  <c r="BQ52" i="3" s="1"/>
  <c r="AR52" i="3"/>
  <c r="W52" i="1" s="1"/>
  <c r="R52" i="1"/>
  <c r="BH6" i="3"/>
  <c r="F6" i="5" s="1"/>
  <c r="BP6" i="3"/>
  <c r="D6" i="5" s="1"/>
  <c r="E6" i="5"/>
  <c r="AP142" i="1"/>
  <c r="BQ142" i="1" s="1"/>
  <c r="AO142" i="1"/>
  <c r="AB142" i="5" s="1"/>
  <c r="BB142" i="1"/>
  <c r="P142" i="1"/>
  <c r="Q142" i="1" s="1"/>
  <c r="J142" i="1"/>
  <c r="BF142" i="1"/>
  <c r="BI142" i="1"/>
  <c r="AM142" i="1"/>
  <c r="BC142" i="1"/>
  <c r="BE110" i="3"/>
  <c r="BQ110" i="3" s="1"/>
  <c r="R110" i="1"/>
  <c r="BG31" i="3"/>
  <c r="BO31" i="3" s="1"/>
  <c r="BS31" i="3" s="1"/>
  <c r="AR31" i="3"/>
  <c r="AY31" i="3"/>
  <c r="I50" i="5"/>
  <c r="J50" i="5"/>
  <c r="H50" i="5"/>
  <c r="AO157" i="1"/>
  <c r="AB157" i="5" s="1"/>
  <c r="BI157" i="1"/>
  <c r="P157" i="1"/>
  <c r="Q157" i="1" s="1"/>
  <c r="BB157" i="1"/>
  <c r="BC157" i="1"/>
  <c r="AM157" i="1"/>
  <c r="AP157" i="1"/>
  <c r="BQ157" i="1" s="1"/>
  <c r="J157" i="1"/>
  <c r="BF157" i="1"/>
  <c r="BL141" i="3"/>
  <c r="CB8" i="1"/>
  <c r="BD8" i="1"/>
  <c r="BE8" i="1"/>
  <c r="BN8" i="1" s="1" a="1"/>
  <c r="BN8" i="1" s="1"/>
  <c r="BS8" i="1"/>
  <c r="AY156" i="3"/>
  <c r="BG156" i="3"/>
  <c r="BO156" i="3" s="1"/>
  <c r="BS156" i="3" s="1"/>
  <c r="AR156" i="3"/>
  <c r="BI136" i="3"/>
  <c r="BL136" i="3"/>
  <c r="BE19" i="3"/>
  <c r="BQ19" i="3" s="1"/>
  <c r="AH19" i="1"/>
  <c r="AR7" i="3"/>
  <c r="P155" i="1"/>
  <c r="Q155" i="1" s="1"/>
  <c r="AP155" i="1"/>
  <c r="BQ155" i="1"/>
  <c r="BB155" i="1"/>
  <c r="BC155" i="1"/>
  <c r="AO155" i="1"/>
  <c r="AB155" i="5" s="1"/>
  <c r="BF155" i="1"/>
  <c r="J155" i="1"/>
  <c r="BI155" i="1"/>
  <c r="AM155" i="1"/>
  <c r="BP90" i="3"/>
  <c r="D90" i="5" s="1"/>
  <c r="E90" i="5"/>
  <c r="BH90" i="3"/>
  <c r="F90" i="5" s="1"/>
  <c r="BP13" i="3"/>
  <c r="D13" i="5" s="1"/>
  <c r="E13" i="5"/>
  <c r="BH13" i="3"/>
  <c r="F13" i="5" s="1"/>
  <c r="BE153" i="3"/>
  <c r="BQ153" i="3" s="1"/>
  <c r="AH153" i="1"/>
  <c r="BG15" i="3"/>
  <c r="BO15" i="3" s="1"/>
  <c r="BS15" i="3" s="1"/>
  <c r="AY15" i="3"/>
  <c r="AR15" i="3"/>
  <c r="AZ79" i="3"/>
  <c r="BB79" i="1"/>
  <c r="BF79" i="1"/>
  <c r="BC79" i="1"/>
  <c r="P79" i="1"/>
  <c r="AO79" i="1"/>
  <c r="AB79" i="5" s="1"/>
  <c r="AP79" i="1"/>
  <c r="BQ79" i="1" s="1"/>
  <c r="J79" i="1"/>
  <c r="AY2" i="3"/>
  <c r="BC113" i="1"/>
  <c r="BF113" i="1"/>
  <c r="P113" i="1"/>
  <c r="Q113" i="1" s="1"/>
  <c r="AO113" i="1"/>
  <c r="AB113" i="5" s="1"/>
  <c r="BB113" i="1"/>
  <c r="AM113" i="1"/>
  <c r="J113" i="1"/>
  <c r="AP113" i="1"/>
  <c r="BQ113" i="1" s="1"/>
  <c r="BI113" i="1"/>
  <c r="BH112" i="3"/>
  <c r="F112" i="5" s="1"/>
  <c r="E112" i="5"/>
  <c r="BP112" i="3"/>
  <c r="D112" i="5" s="1"/>
  <c r="J7" i="1"/>
  <c r="BF7" i="1"/>
  <c r="BC7" i="1"/>
  <c r="P7" i="1"/>
  <c r="Q7" i="1" s="1"/>
  <c r="AO7" i="1"/>
  <c r="AB7" i="5" s="1"/>
  <c r="BB7" i="1"/>
  <c r="AY52" i="3"/>
  <c r="BL142" i="3"/>
  <c r="BI142" i="3"/>
  <c r="BB51" i="3"/>
  <c r="BE157" i="3"/>
  <c r="AH157" i="1"/>
  <c r="H21" i="5"/>
  <c r="J21" i="5"/>
  <c r="I21" i="5"/>
  <c r="AY8" i="3"/>
  <c r="BK8" i="3" s="1"/>
  <c r="J139" i="1"/>
  <c r="AP139" i="1"/>
  <c r="BQ139" i="1" s="1"/>
  <c r="BC139" i="1"/>
  <c r="P139" i="1"/>
  <c r="Q139" i="1" s="1"/>
  <c r="AM139" i="1"/>
  <c r="BI139" i="1"/>
  <c r="BF139" i="1"/>
  <c r="BB139" i="1"/>
  <c r="AO139" i="1"/>
  <c r="AB139" i="5" s="1"/>
  <c r="BE28" i="3"/>
  <c r="AH28" i="1"/>
  <c r="H96" i="5"/>
  <c r="I96" i="5"/>
  <c r="J96" i="5"/>
  <c r="AY7" i="3"/>
  <c r="BK7" i="3" s="1"/>
  <c r="E155" i="5"/>
  <c r="BH155" i="3"/>
  <c r="F155" i="5" s="1"/>
  <c r="BP155" i="3"/>
  <c r="D155" i="5" s="1"/>
  <c r="BB135" i="1"/>
  <c r="J135" i="1"/>
  <c r="BC135" i="1"/>
  <c r="BF135" i="1"/>
  <c r="P135" i="1"/>
  <c r="Q135" i="1" s="1"/>
  <c r="AO135" i="1"/>
  <c r="AB135" i="5" s="1"/>
  <c r="AP135" i="1"/>
  <c r="BQ135" i="1" s="1"/>
  <c r="AY26" i="3"/>
  <c r="AY147" i="3"/>
  <c r="AR147" i="3"/>
  <c r="BG147" i="3"/>
  <c r="BO147" i="3" s="1"/>
  <c r="BS147" i="3" s="1"/>
  <c r="BG120" i="3"/>
  <c r="BO120" i="3" s="1"/>
  <c r="BS120" i="3" s="1"/>
  <c r="AY120" i="3"/>
  <c r="AR120" i="3"/>
  <c r="V120" i="3"/>
  <c r="BB78" i="1"/>
  <c r="AO78" i="1"/>
  <c r="AB78" i="5" s="1"/>
  <c r="BF78" i="1"/>
  <c r="J78" i="1"/>
  <c r="BC78" i="1"/>
  <c r="P78" i="1"/>
  <c r="Q78" i="1" s="1"/>
  <c r="AP78" i="1"/>
  <c r="BQ78" i="1" s="1"/>
  <c r="AY3" i="3"/>
  <c r="G3" i="5"/>
  <c r="T3" i="1"/>
  <c r="S3" i="1"/>
  <c r="U3" i="1"/>
  <c r="V3" i="1"/>
  <c r="BI3" i="3"/>
  <c r="BL3" i="3"/>
  <c r="BG146" i="3"/>
  <c r="BO146" i="3" s="1"/>
  <c r="BS146" i="3" s="1"/>
  <c r="AY146" i="3"/>
  <c r="AR146" i="3"/>
  <c r="AP75" i="1"/>
  <c r="BQ75" i="1" s="1"/>
  <c r="P75" i="1"/>
  <c r="Q75" i="1" s="1"/>
  <c r="J75" i="1"/>
  <c r="AO75" i="1"/>
  <c r="AB75" i="5" s="1"/>
  <c r="BC75" i="1"/>
  <c r="BF75" i="1"/>
  <c r="BB75" i="1"/>
  <c r="BI75" i="1"/>
  <c r="AM75" i="1"/>
  <c r="F146" i="5"/>
  <c r="F136" i="5"/>
  <c r="E7" i="5"/>
  <c r="BH7" i="3"/>
  <c r="F7" i="5" s="1"/>
  <c r="BP7" i="3"/>
  <c r="D7" i="5" s="1"/>
  <c r="P39" i="1"/>
  <c r="Q39" i="1" s="1"/>
  <c r="AO39" i="1"/>
  <c r="AB39" i="5" s="1"/>
  <c r="J39" i="1"/>
  <c r="BF39" i="1"/>
  <c r="BB39" i="1"/>
  <c r="BC39" i="1"/>
  <c r="AP39" i="1"/>
  <c r="BQ39" i="1" s="1"/>
  <c r="BH142" i="3"/>
  <c r="F142" i="5" s="1"/>
  <c r="BP142" i="3"/>
  <c r="D142" i="5" s="1"/>
  <c r="E142" i="5"/>
  <c r="BE63" i="3"/>
  <c r="R63" i="1"/>
  <c r="BP157" i="3"/>
  <c r="D157" i="5" s="1"/>
  <c r="E157" i="5"/>
  <c r="BH157" i="3"/>
  <c r="F157" i="5" s="1"/>
  <c r="BG92" i="3"/>
  <c r="AY92" i="3"/>
  <c r="AR92" i="3"/>
  <c r="BL8" i="3"/>
  <c r="BI8" i="3"/>
  <c r="E139" i="5"/>
  <c r="BP139" i="3"/>
  <c r="D139" i="5" s="1"/>
  <c r="BH139" i="3"/>
  <c r="F139" i="5" s="1"/>
  <c r="J19" i="1"/>
  <c r="BF19" i="1"/>
  <c r="BC19" i="1"/>
  <c r="AO19" i="1"/>
  <c r="AB19" i="5" s="1"/>
  <c r="BB19" i="1"/>
  <c r="P19" i="1"/>
  <c r="Q19" i="1" s="1"/>
  <c r="BI19" i="1"/>
  <c r="AM19" i="1"/>
  <c r="AP19" i="1"/>
  <c r="BQ19" i="1" s="1"/>
  <c r="BE155" i="3"/>
  <c r="BQ155" i="3" s="1"/>
  <c r="AH155" i="1"/>
  <c r="BP135" i="3"/>
  <c r="D135" i="5" s="1"/>
  <c r="BH135" i="3"/>
  <c r="F135" i="5" s="1"/>
  <c r="E135" i="5"/>
  <c r="BE132" i="3"/>
  <c r="BQ132" i="3" s="1"/>
  <c r="AH132" i="1"/>
  <c r="AY151" i="3"/>
  <c r="AR151" i="3"/>
  <c r="BG151" i="3"/>
  <c r="BO151" i="3" s="1"/>
  <c r="BS151" i="3" s="1"/>
  <c r="BP78" i="3"/>
  <c r="D78" i="5" s="1"/>
  <c r="BH78" i="3"/>
  <c r="F78" i="5" s="1"/>
  <c r="E78" i="5"/>
  <c r="BP75" i="3"/>
  <c r="D75" i="5" s="1"/>
  <c r="BH75" i="3"/>
  <c r="F75" i="5" s="1"/>
  <c r="E75" i="5"/>
  <c r="AY149" i="3"/>
  <c r="BG149" i="3"/>
  <c r="AR149" i="3"/>
  <c r="BL15" i="3"/>
  <c r="BG148" i="3"/>
  <c r="BO148" i="3" s="1"/>
  <c r="BS148" i="3" s="1"/>
  <c r="AR148" i="3"/>
  <c r="AY148" i="3"/>
  <c r="BE124" i="3"/>
  <c r="AH124" i="1"/>
  <c r="E79" i="5"/>
  <c r="BH79" i="3"/>
  <c r="F79" i="5" s="1"/>
  <c r="BP79" i="3"/>
  <c r="D79" i="5" s="1"/>
  <c r="Z72" i="5"/>
  <c r="AA72" i="5"/>
  <c r="Z66" i="5"/>
  <c r="AA66" i="5"/>
  <c r="Z18" i="5"/>
  <c r="AA18" i="5"/>
  <c r="Z22" i="5"/>
  <c r="AA22" i="5"/>
  <c r="Z116" i="5"/>
  <c r="AA116" i="5"/>
  <c r="Z41" i="5"/>
  <c r="AA41" i="5"/>
  <c r="AA117" i="5"/>
  <c r="Z117" i="5"/>
  <c r="Z36" i="5"/>
  <c r="AA36" i="5"/>
  <c r="Z84" i="5"/>
  <c r="AA84" i="5"/>
  <c r="Z83" i="5"/>
  <c r="AA83" i="5"/>
  <c r="BR96" i="3"/>
  <c r="F92" i="5"/>
  <c r="BX5" i="1"/>
  <c r="BI5" i="1"/>
  <c r="AM5" i="1"/>
  <c r="E154" i="5"/>
  <c r="BP154" i="3"/>
  <c r="D154" i="5" s="1"/>
  <c r="BH154" i="3"/>
  <c r="F154" i="5" s="1"/>
  <c r="AR152" i="3"/>
  <c r="AY152" i="3"/>
  <c r="BG152" i="3"/>
  <c r="BO152" i="3" s="1"/>
  <c r="BS152" i="3" s="1"/>
  <c r="BE79" i="3"/>
  <c r="BQ79" i="3" s="1"/>
  <c r="AR79" i="3"/>
  <c r="W79" i="1" s="1"/>
  <c r="R79" i="1"/>
  <c r="BH113" i="3"/>
  <c r="F113" i="5" s="1"/>
  <c r="E113" i="5"/>
  <c r="BP113" i="3"/>
  <c r="D113" i="5" s="1"/>
  <c r="BP144" i="3"/>
  <c r="D144" i="5" s="1"/>
  <c r="BH144" i="3"/>
  <c r="F144" i="5" s="1"/>
  <c r="E144" i="5"/>
  <c r="BL71" i="3"/>
  <c r="BB70" i="3"/>
  <c r="BI70" i="3" s="1"/>
  <c r="BP39" i="3"/>
  <c r="D39" i="5" s="1"/>
  <c r="BH39" i="3"/>
  <c r="F39" i="5" s="1"/>
  <c r="E39" i="5"/>
  <c r="S150" i="5"/>
  <c r="AJ150" i="1"/>
  <c r="AI150" i="1"/>
  <c r="AL150" i="1"/>
  <c r="AK150" i="1"/>
  <c r="BE159" i="3"/>
  <c r="AH159" i="1"/>
  <c r="AP11" i="1"/>
  <c r="BQ11" i="1" s="1"/>
  <c r="P30" i="1"/>
  <c r="Q30" i="1" s="1"/>
  <c r="BF30" i="1"/>
  <c r="J30" i="1"/>
  <c r="AO30" i="1"/>
  <c r="AB30" i="5" s="1"/>
  <c r="BC30" i="1"/>
  <c r="BB30" i="1"/>
  <c r="AP30" i="1"/>
  <c r="BQ30" i="1" s="1"/>
  <c r="AR8" i="3"/>
  <c r="BJ96" i="3"/>
  <c r="P156" i="1"/>
  <c r="Q156" i="1" s="1"/>
  <c r="BI156" i="1"/>
  <c r="AM156" i="1"/>
  <c r="BB156" i="1"/>
  <c r="AP156" i="1"/>
  <c r="BQ156" i="1" s="1"/>
  <c r="AO156" i="1"/>
  <c r="AB156" i="5" s="1"/>
  <c r="BC156" i="1"/>
  <c r="J156" i="1"/>
  <c r="BF156" i="1"/>
  <c r="BL139" i="3"/>
  <c r="BI139" i="3"/>
  <c r="BG91" i="3"/>
  <c r="BO91" i="3" s="1"/>
  <c r="BS91" i="3" s="1"/>
  <c r="AY91" i="3"/>
  <c r="AR91" i="3"/>
  <c r="BG28" i="3"/>
  <c r="AY28" i="3"/>
  <c r="AR28" i="3"/>
  <c r="BH19" i="3"/>
  <c r="F19" i="5" s="1"/>
  <c r="E19" i="5"/>
  <c r="BP19" i="3"/>
  <c r="D19" i="5" s="1"/>
  <c r="BE26" i="3"/>
  <c r="BQ26" i="3" s="1"/>
  <c r="AR26" i="3"/>
  <c r="W26" i="1" s="1"/>
  <c r="R26" i="1"/>
  <c r="BB132" i="3"/>
  <c r="CB4" i="1"/>
  <c r="BD4" i="1"/>
  <c r="BE4" i="1" s="1"/>
  <c r="BN4" i="1" s="1" a="1"/>
  <c r="BN4" i="1" s="1"/>
  <c r="BS4" i="1"/>
  <c r="BI4" i="1"/>
  <c r="AM4" i="1"/>
  <c r="BX4" i="1"/>
  <c r="BY4" i="1" s="1"/>
  <c r="AP120" i="1"/>
  <c r="BQ120" i="1" s="1"/>
  <c r="AM120" i="1"/>
  <c r="BI120" i="1"/>
  <c r="AO120" i="1"/>
  <c r="AB120" i="5" s="1"/>
  <c r="BC120" i="1"/>
  <c r="J120" i="1"/>
  <c r="BF120" i="1"/>
  <c r="P120" i="1"/>
  <c r="Q120" i="1" s="1"/>
  <c r="BB120" i="1"/>
  <c r="BE13" i="3"/>
  <c r="BQ13" i="3" s="1"/>
  <c r="R13" i="1"/>
  <c r="BX3" i="1"/>
  <c r="AM3" i="1"/>
  <c r="BI3" i="1"/>
  <c r="AO115" i="1"/>
  <c r="AB115" i="5" s="1"/>
  <c r="BF115" i="1"/>
  <c r="P115" i="1"/>
  <c r="Q115" i="1" s="1"/>
  <c r="BB115" i="1"/>
  <c r="AP115" i="1"/>
  <c r="BQ115" i="1" s="1"/>
  <c r="BC115" i="1"/>
  <c r="J115" i="1"/>
  <c r="Z53" i="5"/>
  <c r="AA53" i="5"/>
  <c r="AA134" i="5"/>
  <c r="Z134" i="5"/>
  <c r="AA76" i="5"/>
  <c r="Z76" i="5"/>
  <c r="AA118" i="5"/>
  <c r="Z118" i="5"/>
  <c r="Z27" i="5"/>
  <c r="AA27" i="5"/>
  <c r="Z58" i="5"/>
  <c r="AA58" i="5"/>
  <c r="AA123" i="5"/>
  <c r="Z123" i="5"/>
  <c r="E159" i="5"/>
  <c r="BP159" i="3"/>
  <c r="D159" i="5" s="1"/>
  <c r="BH159" i="3"/>
  <c r="F159" i="5" s="1"/>
  <c r="BE51" i="3"/>
  <c r="BQ51" i="3" s="1"/>
  <c r="AR51" i="3"/>
  <c r="W51" i="1" s="1"/>
  <c r="BB31" i="3"/>
  <c r="AI11" i="1"/>
  <c r="S11" i="5"/>
  <c r="AJ11" i="1"/>
  <c r="AK11" i="1"/>
  <c r="AL11" i="1"/>
  <c r="S17" i="5"/>
  <c r="AK17" i="1"/>
  <c r="AL17" i="1"/>
  <c r="AI17" i="1"/>
  <c r="AJ17" i="1"/>
  <c r="E30" i="5"/>
  <c r="BH30" i="3"/>
  <c r="F30" i="5" s="1"/>
  <c r="BP30" i="3"/>
  <c r="D30" i="5" s="1"/>
  <c r="AP8" i="1"/>
  <c r="BQ8" i="1" s="1"/>
  <c r="BP156" i="3"/>
  <c r="D156" i="5" s="1"/>
  <c r="E156" i="5"/>
  <c r="BH156" i="3"/>
  <c r="F156" i="5" s="1"/>
  <c r="BI7" i="1"/>
  <c r="AM7" i="1"/>
  <c r="BX7" i="1"/>
  <c r="V4" i="1"/>
  <c r="G4" i="5"/>
  <c r="U4" i="1"/>
  <c r="S4" i="1"/>
  <c r="T4" i="1"/>
  <c r="BP120" i="3"/>
  <c r="D120" i="5" s="1"/>
  <c r="BH120" i="3"/>
  <c r="F120" i="5" s="1"/>
  <c r="E120" i="5"/>
  <c r="BG13" i="3"/>
  <c r="AY13" i="3"/>
  <c r="AR13" i="3"/>
  <c r="BE115" i="3"/>
  <c r="AH115" i="1"/>
  <c r="BC11" i="1"/>
  <c r="AO11" i="1"/>
  <c r="AB11" i="5" s="1"/>
  <c r="BB11" i="1"/>
  <c r="J11" i="1"/>
  <c r="BF11" i="1"/>
  <c r="P11" i="1"/>
  <c r="Q11" i="1" s="1"/>
  <c r="F132" i="5"/>
  <c r="T118" i="1"/>
  <c r="S118" i="1"/>
  <c r="V118" i="1"/>
  <c r="U118" i="1"/>
  <c r="G118" i="5"/>
  <c r="AO124" i="1"/>
  <c r="AB124" i="5" s="1"/>
  <c r="J124" i="1"/>
  <c r="BF124" i="1"/>
  <c r="P124" i="1"/>
  <c r="Q124" i="1" s="1"/>
  <c r="BB124" i="1"/>
  <c r="BC124" i="1"/>
  <c r="AP124" i="1"/>
  <c r="BQ124" i="1" s="1"/>
  <c r="AM124" i="1"/>
  <c r="BI124" i="1"/>
  <c r="H53" i="5"/>
  <c r="I53" i="5"/>
  <c r="J53" i="5"/>
  <c r="BI145" i="1"/>
  <c r="AP145" i="1"/>
  <c r="BQ145" i="1" s="1"/>
  <c r="AM145" i="1"/>
  <c r="BB145" i="1"/>
  <c r="BC145" i="1"/>
  <c r="P145" i="1"/>
  <c r="Q145" i="1" s="1"/>
  <c r="AO145" i="1"/>
  <c r="AB145" i="5" s="1"/>
  <c r="BF145" i="1"/>
  <c r="J145" i="1"/>
  <c r="BL70" i="3"/>
  <c r="BB52" i="1"/>
  <c r="P52" i="1"/>
  <c r="Q52" i="1" s="1"/>
  <c r="J52" i="1"/>
  <c r="AO52" i="1"/>
  <c r="AB52" i="5" s="1"/>
  <c r="BC52" i="1"/>
  <c r="BF52" i="1"/>
  <c r="AP52" i="1"/>
  <c r="BQ52" i="1" s="1"/>
  <c r="BE31" i="3"/>
  <c r="BQ31" i="3" s="1"/>
  <c r="AH31" i="1"/>
  <c r="BB92" i="1"/>
  <c r="J92" i="1"/>
  <c r="P92" i="1"/>
  <c r="Q92" i="1" s="1"/>
  <c r="AP92" i="1"/>
  <c r="BQ92" i="1" s="1"/>
  <c r="BF92" i="1"/>
  <c r="AO92" i="1"/>
  <c r="AB92" i="5" s="1"/>
  <c r="BC92" i="1"/>
  <c r="BO8" i="3"/>
  <c r="BS8" i="3" s="1"/>
  <c r="BE156" i="3"/>
  <c r="AH156" i="1"/>
  <c r="P28" i="1"/>
  <c r="Q28" i="1" s="1"/>
  <c r="BF28" i="1"/>
  <c r="BC28" i="1"/>
  <c r="J28" i="1"/>
  <c r="BB28" i="1"/>
  <c r="AO28" i="1"/>
  <c r="AB28" i="5" s="1"/>
  <c r="AP28" i="1"/>
  <c r="BQ28" i="1" s="1"/>
  <c r="H12" i="5"/>
  <c r="J12" i="5"/>
  <c r="I12" i="5"/>
  <c r="AI7" i="1"/>
  <c r="S7" i="5"/>
  <c r="AJ7" i="1"/>
  <c r="AK7" i="1"/>
  <c r="AL7" i="1"/>
  <c r="BG135" i="3"/>
  <c r="AR135" i="3"/>
  <c r="AY135" i="3"/>
  <c r="BE90" i="3"/>
  <c r="BQ90" i="3" s="1"/>
  <c r="AH90" i="1"/>
  <c r="BG132" i="3"/>
  <c r="BO132" i="3" s="1"/>
  <c r="BS132" i="3" s="1"/>
  <c r="AY132" i="3"/>
  <c r="AR132" i="3"/>
  <c r="BH4" i="3"/>
  <c r="F4" i="5" s="1"/>
  <c r="BP4" i="3"/>
  <c r="D4" i="5" s="1"/>
  <c r="E4" i="5"/>
  <c r="BL4" i="3"/>
  <c r="AM151" i="1"/>
  <c r="BC151" i="1"/>
  <c r="AO151" i="1"/>
  <c r="AB151" i="5" s="1"/>
  <c r="BF151" i="1"/>
  <c r="BB151" i="1"/>
  <c r="J151" i="1"/>
  <c r="BI151" i="1"/>
  <c r="AP151" i="1"/>
  <c r="BQ151" i="1" s="1"/>
  <c r="P151" i="1"/>
  <c r="Q151" i="1" s="1"/>
  <c r="J147" i="1"/>
  <c r="BC147" i="1"/>
  <c r="AM147" i="1"/>
  <c r="AO147" i="1"/>
  <c r="AB147" i="5" s="1"/>
  <c r="BI147" i="1"/>
  <c r="AP147" i="1"/>
  <c r="BQ147" i="1" s="1"/>
  <c r="P147" i="1"/>
  <c r="Q147" i="1" s="1"/>
  <c r="BB147" i="1"/>
  <c r="BF147" i="1"/>
  <c r="BE120" i="3"/>
  <c r="BQ120" i="3" s="1"/>
  <c r="AH120" i="1"/>
  <c r="AO146" i="1"/>
  <c r="AB146" i="5" s="1"/>
  <c r="BI146" i="1"/>
  <c r="BC146" i="1"/>
  <c r="BF146" i="1"/>
  <c r="J146" i="1"/>
  <c r="P146" i="1"/>
  <c r="Q146" i="1" s="1"/>
  <c r="AM146" i="1"/>
  <c r="BB146" i="1"/>
  <c r="AP146" i="1"/>
  <c r="BQ146" i="1" s="1"/>
  <c r="E115" i="5"/>
  <c r="BH115" i="3"/>
  <c r="F115" i="5" s="1"/>
  <c r="BP115" i="3"/>
  <c r="D115" i="5" s="1"/>
  <c r="BP11" i="3"/>
  <c r="D11" i="5" s="1"/>
  <c r="E11" i="5"/>
  <c r="BH11" i="3"/>
  <c r="F11" i="5" s="1"/>
  <c r="P85" i="5"/>
  <c r="Q85" i="5"/>
  <c r="R85" i="5"/>
  <c r="P84" i="5"/>
  <c r="Q84" i="5"/>
  <c r="R84" i="5"/>
  <c r="P87" i="5"/>
  <c r="Q87" i="5"/>
  <c r="R87" i="5"/>
  <c r="P17" i="5"/>
  <c r="Q17" i="5"/>
  <c r="R17" i="5"/>
  <c r="Q121" i="5"/>
  <c r="R121" i="5"/>
  <c r="P121" i="5"/>
  <c r="P18" i="5"/>
  <c r="Q18" i="5"/>
  <c r="R18" i="5"/>
  <c r="P82" i="5"/>
  <c r="Q82" i="5"/>
  <c r="R82" i="5"/>
  <c r="R20" i="5"/>
  <c r="P20" i="5"/>
  <c r="Q20" i="5"/>
  <c r="R83" i="5"/>
  <c r="Q83" i="5"/>
  <c r="J2" i="5"/>
  <c r="H2" i="5"/>
  <c r="AF18" i="1"/>
  <c r="I2" i="5"/>
  <c r="AG18" i="1"/>
  <c r="AE18" i="1"/>
  <c r="AD18" i="1"/>
  <c r="X54" i="1"/>
  <c r="BP54" i="1" s="1"/>
  <c r="K54" i="5"/>
  <c r="L54" i="5" s="1"/>
  <c r="Y54" i="1"/>
  <c r="Z54" i="1"/>
  <c r="AA54" i="1"/>
  <c r="AC92" i="1"/>
  <c r="AC39" i="1"/>
  <c r="Y96" i="1"/>
  <c r="AA96" i="1"/>
  <c r="K96" i="5"/>
  <c r="L96" i="5" s="1"/>
  <c r="Z96" i="1"/>
  <c r="X96" i="1"/>
  <c r="BP96" i="1" s="1"/>
  <c r="X97" i="1"/>
  <c r="BP97" i="1" s="1"/>
  <c r="Y97" i="1"/>
  <c r="AA97" i="1"/>
  <c r="Z97" i="1"/>
  <c r="K97" i="5"/>
  <c r="L97" i="5" s="1"/>
  <c r="AC6" i="1"/>
  <c r="O6" i="5" s="1"/>
  <c r="AF82" i="1"/>
  <c r="AD82" i="1"/>
  <c r="AE82" i="1"/>
  <c r="AG82" i="1"/>
  <c r="X88" i="1"/>
  <c r="Y88" i="1"/>
  <c r="Z88" i="1"/>
  <c r="AA88" i="1"/>
  <c r="K88" i="5"/>
  <c r="L88" i="5" s="1"/>
  <c r="AC8" i="1"/>
  <c r="O8" i="5" s="1"/>
  <c r="AC135" i="1"/>
  <c r="AC78" i="1"/>
  <c r="AD83" i="1"/>
  <c r="AE83" i="1"/>
  <c r="AF83" i="1"/>
  <c r="AG83" i="1"/>
  <c r="AC28" i="1"/>
  <c r="AC136" i="1"/>
  <c r="AC13" i="1"/>
  <c r="AC91" i="1"/>
  <c r="AC90" i="1"/>
  <c r="O90" i="5" s="1"/>
  <c r="AE17" i="1"/>
  <c r="AF17" i="1"/>
  <c r="AD17" i="1"/>
  <c r="AG17" i="1"/>
  <c r="AG121" i="1"/>
  <c r="AE121" i="1"/>
  <c r="AF121" i="1"/>
  <c r="AD121" i="1"/>
  <c r="AC70" i="1"/>
  <c r="AC9" i="1"/>
  <c r="AE85" i="1"/>
  <c r="AG85" i="1"/>
  <c r="AD85" i="1"/>
  <c r="AF85" i="1"/>
  <c r="Z42" i="1"/>
  <c r="X42" i="1"/>
  <c r="BP42" i="1" s="1"/>
  <c r="Y42" i="1"/>
  <c r="AA42" i="1"/>
  <c r="K42" i="5"/>
  <c r="L42" i="5" s="1"/>
  <c r="X44" i="1"/>
  <c r="BP44" i="1" s="1"/>
  <c r="Z44" i="1"/>
  <c r="Y44" i="1"/>
  <c r="AA44" i="1"/>
  <c r="K44" i="5"/>
  <c r="L44" i="5" s="1"/>
  <c r="AC7" i="1"/>
  <c r="O7" i="5" s="1"/>
  <c r="AC5" i="1"/>
  <c r="O5" i="5" s="1"/>
  <c r="AC25" i="1"/>
  <c r="AD87" i="1"/>
  <c r="AE87" i="1"/>
  <c r="AG87" i="1"/>
  <c r="AF87" i="1"/>
  <c r="AG84" i="1"/>
  <c r="AE84" i="1"/>
  <c r="AF84" i="1"/>
  <c r="AD84" i="1"/>
  <c r="AA49" i="1"/>
  <c r="X49" i="1"/>
  <c r="BP49" i="1" s="1"/>
  <c r="Y49" i="1"/>
  <c r="Z49" i="1"/>
  <c r="K49" i="5"/>
  <c r="L49" i="5" s="1"/>
  <c r="AC71" i="1"/>
  <c r="AC63" i="1"/>
  <c r="O63" i="5" s="1"/>
  <c r="AE20" i="1"/>
  <c r="AG20" i="1"/>
  <c r="AD20" i="1"/>
  <c r="AF20" i="1"/>
  <c r="AC11" i="1"/>
  <c r="O11" i="5" s="1"/>
  <c r="Y45" i="1"/>
  <c r="K45" i="5"/>
  <c r="L45" i="5" s="1"/>
  <c r="Z45" i="1"/>
  <c r="X45" i="1"/>
  <c r="BP45" i="1" s="1"/>
  <c r="AA45" i="1"/>
  <c r="K50" i="5"/>
  <c r="L50" i="5" s="1"/>
  <c r="Y50" i="1"/>
  <c r="X50" i="1"/>
  <c r="BP50" i="1" s="1"/>
  <c r="Z50" i="1"/>
  <c r="AA50" i="1"/>
  <c r="X27" i="1"/>
  <c r="Z27" i="1"/>
  <c r="AA27" i="1"/>
  <c r="Y27" i="1"/>
  <c r="K27" i="5"/>
  <c r="L27" i="5" s="1"/>
  <c r="AC75" i="1"/>
  <c r="AA53" i="1"/>
  <c r="Y53" i="1"/>
  <c r="X53" i="1"/>
  <c r="BP53" i="1" s="1"/>
  <c r="Z53" i="1"/>
  <c r="K53" i="5"/>
  <c r="L53" i="5" s="1"/>
  <c r="AC124" i="1"/>
  <c r="BX2" i="1"/>
  <c r="AH2" i="1"/>
  <c r="P2" i="1"/>
  <c r="AU31" i="3"/>
  <c r="AC31" i="1" s="1"/>
  <c r="V4" i="3"/>
  <c r="BK4" i="3" s="1"/>
  <c r="V156" i="3"/>
  <c r="V151" i="3"/>
  <c r="V145" i="3"/>
  <c r="V152" i="3"/>
  <c r="V146" i="3"/>
  <c r="V74" i="3"/>
  <c r="V144" i="3"/>
  <c r="V143" i="3"/>
  <c r="V19" i="3"/>
  <c r="V142" i="3"/>
  <c r="V132" i="3"/>
  <c r="V141" i="3"/>
  <c r="V16" i="3"/>
  <c r="V153" i="3"/>
  <c r="V147" i="3"/>
  <c r="V3" i="3"/>
  <c r="V159" i="3"/>
  <c r="V139" i="3"/>
  <c r="V15" i="3"/>
  <c r="V157" i="3"/>
  <c r="V86" i="3"/>
  <c r="V14" i="3"/>
  <c r="V155" i="3"/>
  <c r="V149" i="3"/>
  <c r="V154" i="3"/>
  <c r="V148" i="3"/>
  <c r="BL2" i="3"/>
  <c r="BH2" i="3"/>
  <c r="BB2" i="1"/>
  <c r="BC2" i="1"/>
  <c r="AT2" i="3"/>
  <c r="G58" i="1"/>
  <c r="G59" i="1"/>
  <c r="G60" i="1"/>
  <c r="G57" i="1"/>
  <c r="BP2" i="3"/>
  <c r="S2" i="1"/>
  <c r="G119" i="1"/>
  <c r="G140" i="1"/>
  <c r="AN9" i="3"/>
  <c r="AT25" i="3"/>
  <c r="AT3" i="3"/>
  <c r="AT14" i="3"/>
  <c r="AT149" i="3"/>
  <c r="AT11" i="3"/>
  <c r="AT78" i="3"/>
  <c r="AT143" i="3"/>
  <c r="AT137" i="3"/>
  <c r="AT151" i="3"/>
  <c r="AT147" i="3"/>
  <c r="AT30" i="3"/>
  <c r="AT152" i="3"/>
  <c r="AT156" i="3"/>
  <c r="AT91" i="3"/>
  <c r="AT135" i="3"/>
  <c r="AT43" i="3"/>
  <c r="AT74" i="3"/>
  <c r="AT19" i="3"/>
  <c r="AN3" i="3"/>
  <c r="AT157" i="3"/>
  <c r="AT124" i="3"/>
  <c r="AT154" i="3"/>
  <c r="AT7" i="3"/>
  <c r="AT111" i="3"/>
  <c r="AT145" i="3"/>
  <c r="AT9" i="3"/>
  <c r="AT92" i="3"/>
  <c r="AT16" i="3"/>
  <c r="AT159" i="3"/>
  <c r="AT90" i="3"/>
  <c r="AT110" i="3"/>
  <c r="AT141" i="3"/>
  <c r="AT13" i="3"/>
  <c r="AT112" i="3"/>
  <c r="AT155" i="3"/>
  <c r="AT148" i="3"/>
  <c r="AT115" i="3"/>
  <c r="AT146" i="3"/>
  <c r="AT28" i="3"/>
  <c r="AT51" i="3"/>
  <c r="AT31" i="3"/>
  <c r="AT86" i="3"/>
  <c r="AT79" i="3"/>
  <c r="AT144" i="3"/>
  <c r="AT70" i="3"/>
  <c r="AT120" i="3"/>
  <c r="AT153" i="3"/>
  <c r="AT63" i="3"/>
  <c r="AT142" i="3"/>
  <c r="AT136" i="3"/>
  <c r="AT15" i="3"/>
  <c r="AT46" i="3"/>
  <c r="AT75" i="3"/>
  <c r="AT139" i="3"/>
  <c r="AT26" i="3"/>
  <c r="AT71" i="3"/>
  <c r="AT39" i="3"/>
  <c r="AT113" i="3"/>
  <c r="AT6" i="3"/>
  <c r="AT52" i="3"/>
  <c r="AT132" i="3"/>
  <c r="AS3" i="3"/>
  <c r="AS4" i="3"/>
  <c r="J2" i="1"/>
  <c r="AS2" i="3"/>
  <c r="AS5" i="3"/>
  <c r="AS7" i="3"/>
  <c r="AS11" i="3"/>
  <c r="AS8" i="3"/>
  <c r="AN7" i="3"/>
  <c r="V2" i="1"/>
  <c r="T2" i="1"/>
  <c r="U2" i="1"/>
  <c r="BF2" i="1"/>
  <c r="CB2" i="1"/>
  <c r="AO2" i="1"/>
  <c r="AB2" i="5" s="1"/>
  <c r="AP2" i="1"/>
  <c r="AN14" i="3"/>
  <c r="AN155" i="3"/>
  <c r="AN151" i="3"/>
  <c r="AN78" i="3"/>
  <c r="AN46" i="3"/>
  <c r="AN90" i="3"/>
  <c r="AN52" i="3"/>
  <c r="AN145" i="3"/>
  <c r="AN70" i="3"/>
  <c r="AN30" i="3"/>
  <c r="AN6" i="3"/>
  <c r="AN28" i="3"/>
  <c r="AN124" i="3"/>
  <c r="AN156" i="3"/>
  <c r="AN139" i="3"/>
  <c r="AN141" i="3"/>
  <c r="AN113" i="3"/>
  <c r="AN86" i="3"/>
  <c r="AN137" i="3"/>
  <c r="AN120" i="3"/>
  <c r="AN112" i="3"/>
  <c r="AN110" i="3"/>
  <c r="AN135" i="3"/>
  <c r="AN143" i="3"/>
  <c r="AN11" i="3"/>
  <c r="AN132" i="3"/>
  <c r="AN153" i="3"/>
  <c r="AN2" i="3"/>
  <c r="AN157" i="3"/>
  <c r="AN26" i="3"/>
  <c r="AN51" i="3"/>
  <c r="AN13" i="3"/>
  <c r="AN74" i="3"/>
  <c r="AN63" i="3"/>
  <c r="AN19" i="3"/>
  <c r="AN75" i="3"/>
  <c r="AN25" i="3"/>
  <c r="AN92" i="3"/>
  <c r="AN111" i="3"/>
  <c r="AN31" i="3"/>
  <c r="AN136" i="3"/>
  <c r="AN43" i="3"/>
  <c r="AN142" i="3"/>
  <c r="AN79" i="3"/>
  <c r="AN148" i="3"/>
  <c r="AN91" i="3"/>
  <c r="AN147" i="3"/>
  <c r="AN154" i="3"/>
  <c r="AN115" i="3"/>
  <c r="AN149" i="3"/>
  <c r="AN146" i="3"/>
  <c r="AN159" i="3"/>
  <c r="AN71" i="3"/>
  <c r="AN152" i="3"/>
  <c r="AN15" i="3"/>
  <c r="AN144" i="3"/>
  <c r="AN39" i="3"/>
  <c r="AN16" i="3"/>
  <c r="BP150" i="1" l="1"/>
  <c r="BP158" i="1"/>
  <c r="BK143" i="3"/>
  <c r="BP114" i="1"/>
  <c r="Q51" i="1"/>
  <c r="Q110" i="1"/>
  <c r="Q79" i="1"/>
  <c r="Q43" i="1"/>
  <c r="BP118" i="1"/>
  <c r="BP123" i="1"/>
  <c r="BP88" i="1"/>
  <c r="Q137" i="1"/>
  <c r="BP65" i="1"/>
  <c r="BP85" i="1"/>
  <c r="BP125" i="1"/>
  <c r="BP17" i="1"/>
  <c r="BP21" i="1"/>
  <c r="BP84" i="1"/>
  <c r="BP33" i="1"/>
  <c r="BP87" i="1"/>
  <c r="BP66" i="1"/>
  <c r="BP82" i="1"/>
  <c r="BP20" i="1"/>
  <c r="BP18" i="1"/>
  <c r="BP83" i="1"/>
  <c r="BP121" i="1"/>
  <c r="BU164" i="1"/>
  <c r="G164" i="1"/>
  <c r="G11" i="5"/>
  <c r="G5" i="5"/>
  <c r="H5" i="5" s="1"/>
  <c r="S5" i="1"/>
  <c r="O136" i="5"/>
  <c r="BK142" i="3"/>
  <c r="BK157" i="3"/>
  <c r="O75" i="5"/>
  <c r="O25" i="5"/>
  <c r="BK153" i="3"/>
  <c r="U8" i="1"/>
  <c r="N29" i="5"/>
  <c r="M29" i="5"/>
  <c r="T5" i="1"/>
  <c r="V5" i="1"/>
  <c r="G8" i="5"/>
  <c r="T8" i="1"/>
  <c r="S8" i="1"/>
  <c r="AS64" i="3"/>
  <c r="BP64" i="1" s="1"/>
  <c r="S11" i="1"/>
  <c r="V11" i="1"/>
  <c r="U11" i="1"/>
  <c r="BK151" i="3"/>
  <c r="O39" i="5"/>
  <c r="P39" i="5" s="1"/>
  <c r="O91" i="5"/>
  <c r="O92" i="5"/>
  <c r="P92" i="5" s="1"/>
  <c r="BK141" i="3"/>
  <c r="BK156" i="3"/>
  <c r="BK30" i="3"/>
  <c r="O135" i="5"/>
  <c r="P135" i="5" s="1"/>
  <c r="BK147" i="3"/>
  <c r="BK90" i="3"/>
  <c r="R90" i="5" s="1"/>
  <c r="BK91" i="3"/>
  <c r="O70" i="5"/>
  <c r="Q70" i="5" s="1"/>
  <c r="BK86" i="3"/>
  <c r="BK19" i="3"/>
  <c r="BK115" i="3"/>
  <c r="BQ74" i="3"/>
  <c r="BL74" i="3"/>
  <c r="BK70" i="3"/>
  <c r="BK145" i="3"/>
  <c r="BK155" i="3"/>
  <c r="O9" i="5"/>
  <c r="P9" i="5" s="1"/>
  <c r="BK14" i="3"/>
  <c r="BK111" i="3"/>
  <c r="BK144" i="3"/>
  <c r="BK159" i="3"/>
  <c r="BK16" i="3"/>
  <c r="BS43" i="1"/>
  <c r="BK149" i="3"/>
  <c r="O124" i="5"/>
  <c r="P124" i="5" s="1"/>
  <c r="CB157" i="1"/>
  <c r="BD157" i="1"/>
  <c r="BE157" i="1" s="1"/>
  <c r="BN157" i="1" s="1" a="1"/>
  <c r="BN157" i="1" s="1"/>
  <c r="BS157" i="1"/>
  <c r="BI75" i="3"/>
  <c r="BL75" i="3"/>
  <c r="BK71" i="3"/>
  <c r="G137" i="5"/>
  <c r="S137" i="1"/>
  <c r="U137" i="1"/>
  <c r="T137" i="1"/>
  <c r="V137" i="1"/>
  <c r="J5" i="5"/>
  <c r="T111" i="1"/>
  <c r="V111" i="1"/>
  <c r="S111" i="1"/>
  <c r="U111" i="1"/>
  <c r="G111" i="5"/>
  <c r="BO25" i="3"/>
  <c r="BS25" i="3" s="1"/>
  <c r="BK25" i="3"/>
  <c r="BD115" i="1"/>
  <c r="CB115" i="1"/>
  <c r="BE115" i="1"/>
  <c r="BN115" i="1" s="1" a="1"/>
  <c r="BN115" i="1" s="1"/>
  <c r="BS115" i="1"/>
  <c r="Z149" i="5"/>
  <c r="AA149" i="5"/>
  <c r="Z92" i="5"/>
  <c r="AA92" i="5"/>
  <c r="Z132" i="5"/>
  <c r="AA132" i="5"/>
  <c r="AA156" i="5"/>
  <c r="Z156" i="5"/>
  <c r="Z155" i="5"/>
  <c r="AA155" i="5"/>
  <c r="BS11" i="1"/>
  <c r="BD11" i="1"/>
  <c r="BE11" i="1"/>
  <c r="BN11" i="1" s="1" a="1"/>
  <c r="BN11" i="1" s="1"/>
  <c r="CB11" i="1"/>
  <c r="AY11" i="1"/>
  <c r="T17" i="5"/>
  <c r="U17" i="5"/>
  <c r="V17" i="5"/>
  <c r="BI79" i="3"/>
  <c r="BF79" i="3"/>
  <c r="K79" i="5" s="1"/>
  <c r="L79" i="5" s="1"/>
  <c r="BL79" i="3"/>
  <c r="BL111" i="3"/>
  <c r="BI111" i="3"/>
  <c r="BS132" i="1"/>
  <c r="BD132" i="1"/>
  <c r="CB132" i="1"/>
  <c r="BE132" i="1"/>
  <c r="BN132" i="1" s="1" a="1"/>
  <c r="BN132" i="1" s="1"/>
  <c r="BS9" i="1"/>
  <c r="Z39" i="5"/>
  <c r="AA39" i="5"/>
  <c r="Z74" i="5"/>
  <c r="AA74" i="5"/>
  <c r="Z70" i="5"/>
  <c r="AA70" i="5"/>
  <c r="H4" i="5"/>
  <c r="I4" i="5"/>
  <c r="J4" i="5"/>
  <c r="U13" i="1"/>
  <c r="G13" i="5"/>
  <c r="S13" i="1"/>
  <c r="V13" i="1"/>
  <c r="T13" i="1"/>
  <c r="BL157" i="3"/>
  <c r="BI157" i="3"/>
  <c r="BD142" i="1"/>
  <c r="BE142" i="1" s="1"/>
  <c r="BN142" i="1" s="1" a="1"/>
  <c r="BN142" i="1" s="1"/>
  <c r="CB142" i="1"/>
  <c r="Z144" i="5"/>
  <c r="AA144" i="5"/>
  <c r="AA142" i="5"/>
  <c r="Z142" i="5"/>
  <c r="BL115" i="3"/>
  <c r="BI115" i="3"/>
  <c r="AA152" i="5"/>
  <c r="Z152" i="5"/>
  <c r="Z43" i="5"/>
  <c r="AA43" i="5"/>
  <c r="Z26" i="5"/>
  <c r="AA26" i="5"/>
  <c r="Z86" i="5"/>
  <c r="AA86" i="5"/>
  <c r="Z90" i="5"/>
  <c r="AA90" i="5"/>
  <c r="BI63" i="3"/>
  <c r="BL63" i="3"/>
  <c r="CB154" i="1"/>
  <c r="BS154" i="1"/>
  <c r="BD154" i="1"/>
  <c r="BE154" i="1" s="1"/>
  <c r="BN154" i="1" s="1" a="1"/>
  <c r="BN154" i="1" s="1"/>
  <c r="Z78" i="5"/>
  <c r="AA78" i="5"/>
  <c r="BD151" i="1"/>
  <c r="BS151" i="1"/>
  <c r="CB151" i="1"/>
  <c r="BE151" i="1"/>
  <c r="BN151" i="1" s="1" a="1"/>
  <c r="BN151" i="1" s="1"/>
  <c r="H118" i="5"/>
  <c r="J118" i="5"/>
  <c r="I118" i="5"/>
  <c r="BK28" i="3"/>
  <c r="BO28" i="3"/>
  <c r="BS28" i="3" s="1"/>
  <c r="AA146" i="5"/>
  <c r="Z146" i="5"/>
  <c r="Z111" i="5"/>
  <c r="AA111" i="5"/>
  <c r="Z153" i="5"/>
  <c r="AA153" i="5"/>
  <c r="Z139" i="5"/>
  <c r="AA139" i="5"/>
  <c r="Z151" i="5"/>
  <c r="AA151" i="5"/>
  <c r="O28" i="5"/>
  <c r="BS28" i="1"/>
  <c r="BD28" i="1"/>
  <c r="BE28" i="1"/>
  <c r="BN28" i="1" s="1" a="1"/>
  <c r="BN28" i="1" s="1"/>
  <c r="CB28" i="1"/>
  <c r="BE92" i="1"/>
  <c r="BN92" i="1" s="1" a="1"/>
  <c r="BN92" i="1" s="1"/>
  <c r="CB92" i="1"/>
  <c r="AY92" i="1"/>
  <c r="BS92" i="1"/>
  <c r="BD92" i="1"/>
  <c r="BS145" i="1"/>
  <c r="CB145" i="1"/>
  <c r="BD145" i="1"/>
  <c r="BE145" i="1" s="1"/>
  <c r="BN145" i="1" s="1" a="1"/>
  <c r="BN145" i="1" s="1"/>
  <c r="BD7" i="1"/>
  <c r="CB7" i="1"/>
  <c r="BE7" i="1"/>
  <c r="BN7" i="1" s="1" a="1"/>
  <c r="BN7" i="1" s="1"/>
  <c r="AY7" i="1"/>
  <c r="BD155" i="1"/>
  <c r="BE155" i="1" s="1"/>
  <c r="BN155" i="1" s="1" a="1"/>
  <c r="BN155" i="1" s="1"/>
  <c r="BS155" i="1"/>
  <c r="CB155" i="1"/>
  <c r="V114" i="5"/>
  <c r="T114" i="5"/>
  <c r="U114" i="5"/>
  <c r="BS86" i="1"/>
  <c r="BE86" i="1"/>
  <c r="BN86" i="1" s="1" a="1"/>
  <c r="BN86" i="1" s="1"/>
  <c r="BD86" i="1"/>
  <c r="CB86" i="1"/>
  <c r="BS13" i="1"/>
  <c r="BO14" i="3"/>
  <c r="BS14" i="3" s="1"/>
  <c r="BL137" i="3"/>
  <c r="BI137" i="3"/>
  <c r="BF137" i="3"/>
  <c r="T6" i="1"/>
  <c r="V6" i="1"/>
  <c r="G6" i="5"/>
  <c r="S6" i="1"/>
  <c r="U6" i="1"/>
  <c r="BI154" i="3"/>
  <c r="BL154" i="3"/>
  <c r="AL151" i="1"/>
  <c r="AK151" i="1"/>
  <c r="AI151" i="1"/>
  <c r="AJ151" i="1"/>
  <c r="S151" i="5"/>
  <c r="AA112" i="1"/>
  <c r="Y112" i="1"/>
  <c r="X112" i="1"/>
  <c r="Z112" i="1"/>
  <c r="BE91" i="1"/>
  <c r="BN91" i="1" s="1" a="1"/>
  <c r="BN91" i="1" s="1"/>
  <c r="BS91" i="1"/>
  <c r="CB91" i="1"/>
  <c r="BD91" i="1"/>
  <c r="BD148" i="1"/>
  <c r="BE148" i="1" s="1"/>
  <c r="BN148" i="1" s="1" a="1"/>
  <c r="BN148" i="1" s="1"/>
  <c r="CB148" i="1"/>
  <c r="BS148" i="1"/>
  <c r="BK136" i="3"/>
  <c r="BO136" i="3"/>
  <c r="BS136" i="3" s="1"/>
  <c r="H3" i="5"/>
  <c r="I3" i="5"/>
  <c r="J3" i="5"/>
  <c r="BK120" i="3"/>
  <c r="AU120" i="3"/>
  <c r="AC120" i="1" s="1"/>
  <c r="BL28" i="3"/>
  <c r="BI28" i="3"/>
  <c r="Z115" i="5"/>
  <c r="AA115" i="5"/>
  <c r="Z25" i="5"/>
  <c r="AA25" i="5"/>
  <c r="Z11" i="5"/>
  <c r="AA11" i="5"/>
  <c r="Z124" i="5"/>
  <c r="AA124" i="5"/>
  <c r="Z14" i="5"/>
  <c r="AA14" i="5"/>
  <c r="BK15" i="3"/>
  <c r="S120" i="5"/>
  <c r="AJ120" i="1"/>
  <c r="AI120" i="1"/>
  <c r="AL120" i="1"/>
  <c r="AK120" i="1"/>
  <c r="BK31" i="3"/>
  <c r="BS120" i="1"/>
  <c r="S124" i="5"/>
  <c r="AI124" i="1"/>
  <c r="AL124" i="1"/>
  <c r="AJ124" i="1"/>
  <c r="AK124" i="1"/>
  <c r="BS153" i="1"/>
  <c r="CB3" i="1"/>
  <c r="BS3" i="1"/>
  <c r="BD3" i="1"/>
  <c r="BE3" i="1"/>
  <c r="BN3" i="1" s="1" a="1"/>
  <c r="BN3" i="1" s="1"/>
  <c r="AA154" i="5"/>
  <c r="Z154" i="5"/>
  <c r="AA143" i="5"/>
  <c r="Z143" i="5"/>
  <c r="Z28" i="5"/>
  <c r="AA28" i="5"/>
  <c r="BK139" i="3"/>
  <c r="BK74" i="3"/>
  <c r="O71" i="5"/>
  <c r="P71" i="5" s="1"/>
  <c r="BL120" i="3"/>
  <c r="BI120" i="3"/>
  <c r="T26" i="1"/>
  <c r="S26" i="1"/>
  <c r="U26" i="1"/>
  <c r="V26" i="1"/>
  <c r="G26" i="5"/>
  <c r="BI124" i="3"/>
  <c r="BL124" i="3"/>
  <c r="Z19" i="5"/>
  <c r="AA19" i="5"/>
  <c r="Z6" i="5"/>
  <c r="AA6" i="5"/>
  <c r="BK146" i="3"/>
  <c r="BS146" i="1"/>
  <c r="BD146" i="1"/>
  <c r="BE146" i="1" s="1"/>
  <c r="BN146" i="1" s="1" a="1"/>
  <c r="BN146" i="1" s="1"/>
  <c r="CB146" i="1"/>
  <c r="S156" i="5"/>
  <c r="AK156" i="1"/>
  <c r="AJ156" i="1"/>
  <c r="AI156" i="1"/>
  <c r="AL156" i="1"/>
  <c r="S159" i="5"/>
  <c r="AL159" i="1"/>
  <c r="AJ159" i="1"/>
  <c r="AI159" i="1"/>
  <c r="AK159" i="1"/>
  <c r="BL155" i="3"/>
  <c r="BI155" i="3"/>
  <c r="BK92" i="3"/>
  <c r="BO92" i="3"/>
  <c r="BS92" i="3" s="1"/>
  <c r="BD139" i="1"/>
  <c r="BE139" i="1" s="1"/>
  <c r="BN139" i="1" s="1" a="1"/>
  <c r="BN139" i="1" s="1"/>
  <c r="BS139" i="1"/>
  <c r="CB139" i="1"/>
  <c r="BS7" i="1"/>
  <c r="BE113" i="1"/>
  <c r="BN113" i="1" s="1" a="1"/>
  <c r="BN113" i="1" s="1"/>
  <c r="BD113" i="1"/>
  <c r="CB113" i="1"/>
  <c r="BS113" i="1"/>
  <c r="S43" i="1"/>
  <c r="V43" i="1"/>
  <c r="T43" i="1"/>
  <c r="U43" i="1"/>
  <c r="G43" i="5"/>
  <c r="U7" i="1"/>
  <c r="S7" i="1"/>
  <c r="T7" i="1"/>
  <c r="V7" i="1"/>
  <c r="G7" i="5"/>
  <c r="BK75" i="3"/>
  <c r="R75" i="5" s="1"/>
  <c r="BO75" i="3"/>
  <c r="BS75" i="3" s="1"/>
  <c r="CB63" i="1"/>
  <c r="BS63" i="1"/>
  <c r="BD63" i="1"/>
  <c r="BE63" i="1"/>
  <c r="BN63" i="1" s="1" a="1"/>
  <c r="BN63" i="1" s="1"/>
  <c r="BL6" i="3"/>
  <c r="BI6" i="3"/>
  <c r="S152" i="5"/>
  <c r="AJ152" i="1"/>
  <c r="AK152" i="1"/>
  <c r="AI152" i="1"/>
  <c r="AL152" i="1"/>
  <c r="BL151" i="3"/>
  <c r="BI151" i="3"/>
  <c r="S112" i="1"/>
  <c r="G112" i="5"/>
  <c r="T112" i="1"/>
  <c r="U112" i="1"/>
  <c r="BP112" i="1" s="1"/>
  <c r="V112" i="1"/>
  <c r="BD9" i="1"/>
  <c r="BE9" i="1"/>
  <c r="BN9" i="1" s="1" a="1"/>
  <c r="BN9" i="1" s="1"/>
  <c r="CB9" i="1"/>
  <c r="AY9" i="1"/>
  <c r="BI51" i="3"/>
  <c r="BL51" i="3"/>
  <c r="BF51" i="3"/>
  <c r="O115" i="5"/>
  <c r="AF115" i="1"/>
  <c r="AE115" i="1"/>
  <c r="AG115" i="1"/>
  <c r="AD115" i="1"/>
  <c r="S51" i="1"/>
  <c r="G51" i="5"/>
  <c r="T51" i="1"/>
  <c r="U51" i="1"/>
  <c r="V51" i="1"/>
  <c r="S154" i="5"/>
  <c r="AI154" i="1"/>
  <c r="AJ154" i="1"/>
  <c r="AK154" i="1"/>
  <c r="AL154" i="1"/>
  <c r="Z75" i="5"/>
  <c r="AA75" i="5"/>
  <c r="Z9" i="5"/>
  <c r="AA9" i="5"/>
  <c r="T7" i="5"/>
  <c r="U7" i="5"/>
  <c r="V7" i="5"/>
  <c r="S155" i="5"/>
  <c r="AK155" i="1"/>
  <c r="AI155" i="1"/>
  <c r="AJ155" i="1"/>
  <c r="AL155" i="1"/>
  <c r="Z147" i="5"/>
  <c r="AA147" i="5"/>
  <c r="Z135" i="5"/>
  <c r="AA135" i="5"/>
  <c r="Z16" i="5"/>
  <c r="AA16" i="5"/>
  <c r="Z91" i="5"/>
  <c r="AA91" i="5"/>
  <c r="Z63" i="5"/>
  <c r="AA63" i="5"/>
  <c r="AA110" i="5"/>
  <c r="Z110" i="5"/>
  <c r="Z30" i="5"/>
  <c r="AA30" i="5"/>
  <c r="BK3" i="3"/>
  <c r="BK152" i="3"/>
  <c r="O78" i="5"/>
  <c r="P78" i="5" s="1"/>
  <c r="BS147" i="1"/>
  <c r="BD147" i="1"/>
  <c r="BE147" i="1" s="1"/>
  <c r="BN147" i="1" s="1" a="1"/>
  <c r="BN147" i="1" s="1"/>
  <c r="CB147" i="1"/>
  <c r="BL156" i="3"/>
  <c r="BI156" i="3"/>
  <c r="S31" i="5"/>
  <c r="AI31" i="1"/>
  <c r="AJ31" i="1"/>
  <c r="AK31" i="1"/>
  <c r="AL31" i="1"/>
  <c r="T11" i="5"/>
  <c r="U11" i="5"/>
  <c r="V11" i="5"/>
  <c r="BI26" i="3"/>
  <c r="BL26" i="3"/>
  <c r="BF26" i="3"/>
  <c r="K26" i="5" s="1"/>
  <c r="L26" i="5" s="1"/>
  <c r="BL159" i="3"/>
  <c r="BI159" i="3"/>
  <c r="BQ159" i="3"/>
  <c r="S157" i="5"/>
  <c r="AL157" i="1"/>
  <c r="AJ157" i="1"/>
  <c r="AK157" i="1"/>
  <c r="AI157" i="1"/>
  <c r="BQ124" i="3"/>
  <c r="BO115" i="3"/>
  <c r="BS115" i="3" s="1"/>
  <c r="BS111" i="1"/>
  <c r="BE111" i="1"/>
  <c r="BN111" i="1" s="1" a="1"/>
  <c r="BN111" i="1" s="1"/>
  <c r="CB111" i="1"/>
  <c r="BD111" i="1"/>
  <c r="AY111" i="1"/>
  <c r="BD43" i="1"/>
  <c r="CB43" i="1"/>
  <c r="BE43" i="1"/>
  <c r="BN43" i="1" s="1" a="1"/>
  <c r="BN43" i="1" s="1"/>
  <c r="AY43" i="1"/>
  <c r="BE46" i="1"/>
  <c r="BN46" i="1" s="1" a="1"/>
  <c r="BN46" i="1" s="1"/>
  <c r="CB46" i="1"/>
  <c r="BS46" i="1"/>
  <c r="BD46" i="1"/>
  <c r="AY46" i="1"/>
  <c r="BI152" i="3"/>
  <c r="BL152" i="3"/>
  <c r="BS15" i="1"/>
  <c r="BL112" i="3"/>
  <c r="BI112" i="3"/>
  <c r="BF112" i="3"/>
  <c r="K112" i="5" s="1"/>
  <c r="Z112" i="5"/>
  <c r="AA112" i="5"/>
  <c r="BL31" i="3"/>
  <c r="BI31" i="3"/>
  <c r="BQ156" i="3"/>
  <c r="CB15" i="1"/>
  <c r="BD15" i="1"/>
  <c r="BE15" i="1" s="1"/>
  <c r="BN15" i="1" s="1" a="1"/>
  <c r="BN15" i="1" s="1"/>
  <c r="V84" i="5"/>
  <c r="T84" i="5"/>
  <c r="U84" i="5"/>
  <c r="BE137" i="1"/>
  <c r="BN137" i="1" s="1" a="1"/>
  <c r="BN137" i="1" s="1"/>
  <c r="BD137" i="1"/>
  <c r="BS137" i="1"/>
  <c r="CB137" i="1"/>
  <c r="CB141" i="1"/>
  <c r="BD141" i="1"/>
  <c r="BE141" i="1" s="1"/>
  <c r="BN141" i="1" s="1" a="1"/>
  <c r="BN141" i="1" s="1"/>
  <c r="BS141" i="1"/>
  <c r="CB51" i="1"/>
  <c r="BS51" i="1"/>
  <c r="BD51" i="1"/>
  <c r="BE51" i="1"/>
  <c r="BN51" i="1" s="1" a="1"/>
  <c r="BN51" i="1" s="1"/>
  <c r="AY51" i="1"/>
  <c r="Z120" i="5"/>
  <c r="AA120" i="5"/>
  <c r="BK148" i="3"/>
  <c r="S90" i="5"/>
  <c r="AJ90" i="1"/>
  <c r="AL90" i="1"/>
  <c r="AI90" i="1"/>
  <c r="AK90" i="1"/>
  <c r="S115" i="5"/>
  <c r="AI115" i="1"/>
  <c r="AK115" i="1"/>
  <c r="AJ115" i="1"/>
  <c r="AL115" i="1"/>
  <c r="BL13" i="3"/>
  <c r="BI13" i="3"/>
  <c r="BE120" i="1"/>
  <c r="BN120" i="1" s="1" a="1"/>
  <c r="BN120" i="1" s="1"/>
  <c r="BD120" i="1"/>
  <c r="CB120" i="1"/>
  <c r="BS156" i="1"/>
  <c r="CB156" i="1"/>
  <c r="BD156" i="1"/>
  <c r="BE156" i="1" s="1"/>
  <c r="BN156" i="1" s="1" a="1"/>
  <c r="BN156" i="1" s="1"/>
  <c r="CB30" i="1"/>
  <c r="BE30" i="1"/>
  <c r="BN30" i="1" s="1" a="1"/>
  <c r="BN30" i="1" s="1"/>
  <c r="BD30" i="1"/>
  <c r="BS30" i="1"/>
  <c r="AY30" i="1"/>
  <c r="S110" i="1"/>
  <c r="T110" i="1"/>
  <c r="V110" i="1"/>
  <c r="U110" i="1"/>
  <c r="G110" i="5"/>
  <c r="CB13" i="1"/>
  <c r="BE13" i="1"/>
  <c r="BN13" i="1" s="1" a="1"/>
  <c r="BN13" i="1" s="1"/>
  <c r="BD13" i="1"/>
  <c r="AY13" i="1"/>
  <c r="BD153" i="1"/>
  <c r="BE153" i="1" s="1"/>
  <c r="BN153" i="1" s="1" a="1"/>
  <c r="BN153" i="1" s="1"/>
  <c r="CB153" i="1"/>
  <c r="S4" i="5"/>
  <c r="AI4" i="1"/>
  <c r="AJ4" i="1"/>
  <c r="AK4" i="1"/>
  <c r="AL4" i="1"/>
  <c r="BK124" i="3"/>
  <c r="BO124" i="3"/>
  <c r="BS124" i="3" s="1"/>
  <c r="CB143" i="1"/>
  <c r="BS143" i="1"/>
  <c r="BD143" i="1"/>
  <c r="BE143" i="1" s="1"/>
  <c r="BN143" i="1" s="1" a="1"/>
  <c r="BN143" i="1" s="1"/>
  <c r="H11" i="5"/>
  <c r="I11" i="5"/>
  <c r="J11" i="5"/>
  <c r="BS16" i="1"/>
  <c r="T18" i="5"/>
  <c r="U18" i="5"/>
  <c r="V18" i="5"/>
  <c r="T20" i="5"/>
  <c r="V20" i="5"/>
  <c r="U20" i="5"/>
  <c r="G46" i="5"/>
  <c r="T46" i="1"/>
  <c r="S46" i="1"/>
  <c r="U46" i="1"/>
  <c r="V46" i="1"/>
  <c r="Z3" i="5"/>
  <c r="AA3" i="5"/>
  <c r="U63" i="1"/>
  <c r="T63" i="1"/>
  <c r="V63" i="1"/>
  <c r="G63" i="5"/>
  <c r="S63" i="1"/>
  <c r="BE39" i="1"/>
  <c r="BN39" i="1" s="1" a="1"/>
  <c r="BN39" i="1" s="1"/>
  <c r="CB39" i="1"/>
  <c r="BS39" i="1"/>
  <c r="BD39" i="1"/>
  <c r="CB75" i="1"/>
  <c r="BE75" i="1"/>
  <c r="BN75" i="1" s="1" a="1"/>
  <c r="BN75" i="1" s="1"/>
  <c r="BS75" i="1"/>
  <c r="BD75" i="1"/>
  <c r="BL110" i="3"/>
  <c r="BI110" i="3"/>
  <c r="BD144" i="1"/>
  <c r="BE144" i="1" s="1"/>
  <c r="BN144" i="1" s="1" a="1"/>
  <c r="BN144" i="1" s="1"/>
  <c r="CB144" i="1"/>
  <c r="BS144" i="1"/>
  <c r="BD90" i="1"/>
  <c r="BE90" i="1"/>
  <c r="BN90" i="1" s="1" a="1"/>
  <c r="BN90" i="1" s="1"/>
  <c r="BS90" i="1"/>
  <c r="CB90" i="1"/>
  <c r="T8" i="5"/>
  <c r="U8" i="5"/>
  <c r="V8" i="5"/>
  <c r="BQ157" i="3"/>
  <c r="CB110" i="1"/>
  <c r="BE110" i="1"/>
  <c r="BN110" i="1" s="1" a="1"/>
  <c r="BN110" i="1" s="1"/>
  <c r="BS110" i="1"/>
  <c r="BD110" i="1"/>
  <c r="AY110" i="1"/>
  <c r="T158" i="5"/>
  <c r="V158" i="5"/>
  <c r="U158" i="5"/>
  <c r="BS70" i="1"/>
  <c r="BE70" i="1"/>
  <c r="BN70" i="1" s="1" a="1"/>
  <c r="BN70" i="1" s="1"/>
  <c r="CB70" i="1"/>
  <c r="BD70" i="1"/>
  <c r="AY70" i="1"/>
  <c r="BQ152" i="3"/>
  <c r="BF46" i="3"/>
  <c r="K46" i="5" s="1"/>
  <c r="L46" i="5" s="1"/>
  <c r="BI46" i="3"/>
  <c r="BL46" i="3"/>
  <c r="CB149" i="1"/>
  <c r="BD149" i="1"/>
  <c r="BE149" i="1" s="1"/>
  <c r="BN149" i="1" s="1" a="1"/>
  <c r="BN149" i="1" s="1"/>
  <c r="BS149" i="1"/>
  <c r="CB74" i="1"/>
  <c r="BS74" i="1"/>
  <c r="BD74" i="1"/>
  <c r="BE74" i="1"/>
  <c r="BN74" i="1" s="1" a="1"/>
  <c r="BN74" i="1" s="1"/>
  <c r="BO78" i="3"/>
  <c r="BS78" i="3" s="1"/>
  <c r="BK78" i="3"/>
  <c r="S74" i="5"/>
  <c r="AI74" i="1"/>
  <c r="AL74" i="1"/>
  <c r="AJ74" i="1"/>
  <c r="AK74" i="1"/>
  <c r="BD152" i="1"/>
  <c r="BE152" i="1" s="1"/>
  <c r="BN152" i="1" s="1" a="1"/>
  <c r="BN152" i="1" s="1"/>
  <c r="BS152" i="1"/>
  <c r="CB152" i="1"/>
  <c r="BQ28" i="3"/>
  <c r="Z71" i="5"/>
  <c r="AA71" i="5"/>
  <c r="AA136" i="5"/>
  <c r="Z136" i="5"/>
  <c r="Z157" i="5"/>
  <c r="AA157" i="5"/>
  <c r="Z113" i="5"/>
  <c r="AA113" i="5"/>
  <c r="Z46" i="5"/>
  <c r="AA46" i="5"/>
  <c r="Z7" i="5"/>
  <c r="AA7" i="5"/>
  <c r="BK132" i="3"/>
  <c r="O31" i="5"/>
  <c r="Q31" i="5" s="1"/>
  <c r="O13" i="5"/>
  <c r="P13" i="5" s="1"/>
  <c r="BS124" i="1"/>
  <c r="BD124" i="1"/>
  <c r="BE124" i="1"/>
  <c r="BN124" i="1" s="1" a="1"/>
  <c r="BN124" i="1" s="1"/>
  <c r="CB124" i="1"/>
  <c r="BQ63" i="3"/>
  <c r="V150" i="5"/>
  <c r="T150" i="5"/>
  <c r="U150" i="5"/>
  <c r="BO149" i="3"/>
  <c r="BS149" i="3" s="1"/>
  <c r="S132" i="5"/>
  <c r="AI132" i="1"/>
  <c r="AK132" i="1"/>
  <c r="AL132" i="1"/>
  <c r="AJ132" i="1"/>
  <c r="BE78" i="1"/>
  <c r="BN78" i="1" s="1" a="1"/>
  <c r="BN78" i="1" s="1"/>
  <c r="CB78" i="1"/>
  <c r="BD78" i="1"/>
  <c r="BS78" i="1"/>
  <c r="AY78" i="1"/>
  <c r="BS135" i="1"/>
  <c r="CB135" i="1"/>
  <c r="BD135" i="1"/>
  <c r="BE135" i="1"/>
  <c r="BN135" i="1" s="1" a="1"/>
  <c r="BN135" i="1" s="1"/>
  <c r="AY135" i="1"/>
  <c r="S19" i="5"/>
  <c r="AJ19" i="1"/>
  <c r="AL19" i="1"/>
  <c r="AK19" i="1"/>
  <c r="AI19" i="1"/>
  <c r="V52" i="1"/>
  <c r="G52" i="5"/>
  <c r="T52" i="1"/>
  <c r="S52" i="1"/>
  <c r="U52" i="1"/>
  <c r="BE112" i="1"/>
  <c r="BN112" i="1" s="1" a="1"/>
  <c r="BN112" i="1" s="1"/>
  <c r="CB112" i="1"/>
  <c r="BD112" i="1"/>
  <c r="BS112" i="1"/>
  <c r="AY112" i="1"/>
  <c r="BQ115" i="3"/>
  <c r="O113" i="5"/>
  <c r="AE113" i="1"/>
  <c r="AF113" i="1"/>
  <c r="AD113" i="1"/>
  <c r="AG113" i="1"/>
  <c r="BS25" i="1"/>
  <c r="BD25" i="1"/>
  <c r="BE25" i="1"/>
  <c r="BN25" i="1" s="1" a="1"/>
  <c r="BN25" i="1" s="1"/>
  <c r="CB25" i="1"/>
  <c r="AY25" i="1"/>
  <c r="CB16" i="1"/>
  <c r="BD16" i="1"/>
  <c r="BE16" i="1" s="1"/>
  <c r="BN16" i="1" s="1" a="1"/>
  <c r="BN16" i="1" s="1"/>
  <c r="V123" i="5"/>
  <c r="T123" i="5"/>
  <c r="U123" i="5"/>
  <c r="BK63" i="3"/>
  <c r="R63" i="5" s="1"/>
  <c r="BO63" i="3"/>
  <c r="BS63" i="3" s="1"/>
  <c r="Q63" i="5" s="1"/>
  <c r="BO6" i="3"/>
  <c r="BS6" i="3" s="1"/>
  <c r="Q6" i="5" s="1"/>
  <c r="BK6" i="3"/>
  <c r="R6" i="5" s="1"/>
  <c r="Z148" i="5"/>
  <c r="AA148" i="5"/>
  <c r="BL43" i="3"/>
  <c r="BI43" i="3"/>
  <c r="BF43" i="3"/>
  <c r="Z79" i="5"/>
  <c r="AA79" i="5"/>
  <c r="Z13" i="5"/>
  <c r="AA13" i="5"/>
  <c r="Z145" i="5"/>
  <c r="AA145" i="5"/>
  <c r="Z15" i="5"/>
  <c r="AA15" i="5"/>
  <c r="Z51" i="5"/>
  <c r="AA51" i="5"/>
  <c r="Z137" i="5"/>
  <c r="AA137" i="5"/>
  <c r="Z52" i="5"/>
  <c r="AA52" i="5"/>
  <c r="BI90" i="3"/>
  <c r="BL90" i="3"/>
  <c r="H8" i="5"/>
  <c r="I8" i="5"/>
  <c r="J8" i="5"/>
  <c r="BS142" i="1"/>
  <c r="Z159" i="5"/>
  <c r="AA159" i="5"/>
  <c r="Z31" i="5"/>
  <c r="AA31" i="5"/>
  <c r="Z141" i="5"/>
  <c r="AA141" i="5"/>
  <c r="BO135" i="3"/>
  <c r="BS135" i="3" s="1"/>
  <c r="BK135" i="3"/>
  <c r="CB52" i="1"/>
  <c r="BS52" i="1"/>
  <c r="BE52" i="1"/>
  <c r="BN52" i="1" s="1" a="1"/>
  <c r="BN52" i="1" s="1"/>
  <c r="BD52" i="1"/>
  <c r="AY52" i="1"/>
  <c r="BO13" i="3"/>
  <c r="BS13" i="3" s="1"/>
  <c r="BK13" i="3"/>
  <c r="S79" i="1"/>
  <c r="G79" i="5"/>
  <c r="V79" i="1"/>
  <c r="T79" i="1"/>
  <c r="U79" i="1"/>
  <c r="BL132" i="3"/>
  <c r="BI132" i="3"/>
  <c r="BD19" i="1"/>
  <c r="BE19" i="1" s="1"/>
  <c r="BN19" i="1" s="1" a="1"/>
  <c r="BN19" i="1" s="1"/>
  <c r="CB19" i="1"/>
  <c r="BS19" i="1"/>
  <c r="AI153" i="1"/>
  <c r="AK153" i="1"/>
  <c r="AL153" i="1"/>
  <c r="AJ153" i="1"/>
  <c r="S153" i="5"/>
  <c r="BI19" i="3"/>
  <c r="BL19" i="3"/>
  <c r="S3" i="5"/>
  <c r="AI3" i="1"/>
  <c r="AJ3" i="1"/>
  <c r="AK3" i="1"/>
  <c r="AL3" i="1"/>
  <c r="G135" i="5"/>
  <c r="V135" i="1"/>
  <c r="U135" i="1"/>
  <c r="S135" i="1"/>
  <c r="T135" i="1"/>
  <c r="CB159" i="1"/>
  <c r="BS159" i="1"/>
  <c r="BD159" i="1"/>
  <c r="BE159" i="1" s="1"/>
  <c r="BN159" i="1" s="1" a="1"/>
  <c r="BN159" i="1" s="1"/>
  <c r="BO141" i="3"/>
  <c r="BS141" i="3" s="1"/>
  <c r="BD26" i="1"/>
  <c r="BS26" i="1"/>
  <c r="CB26" i="1"/>
  <c r="BE26" i="1"/>
  <c r="BN26" i="1" s="1" a="1"/>
  <c r="BN26" i="1" s="1"/>
  <c r="BO39" i="3"/>
  <c r="BS39" i="3" s="1"/>
  <c r="BK39" i="3"/>
  <c r="BQ154" i="3"/>
  <c r="BR52" i="3"/>
  <c r="K52" i="5" s="1"/>
  <c r="L52" i="5" s="1"/>
  <c r="BJ52" i="3"/>
  <c r="S28" i="5"/>
  <c r="AJ28" i="1"/>
  <c r="AL28" i="1"/>
  <c r="AI28" i="1"/>
  <c r="AK28" i="1"/>
  <c r="CB79" i="1"/>
  <c r="BS79" i="1"/>
  <c r="BE79" i="1"/>
  <c r="BN79" i="1" s="1" a="1"/>
  <c r="BN79" i="1" s="1"/>
  <c r="BD79" i="1"/>
  <c r="BL153" i="3"/>
  <c r="BI153" i="3"/>
  <c r="BI52" i="3"/>
  <c r="BL52" i="3"/>
  <c r="BO9" i="3"/>
  <c r="BS9" i="3" s="1"/>
  <c r="BK9" i="3"/>
  <c r="P33" i="5"/>
  <c r="Q33" i="5"/>
  <c r="R33" i="5"/>
  <c r="T5" i="5"/>
  <c r="V5" i="5"/>
  <c r="U5" i="5"/>
  <c r="BI135" i="3"/>
  <c r="BL135" i="3"/>
  <c r="BS6" i="1"/>
  <c r="BE6" i="1"/>
  <c r="BN6" i="1" s="1" a="1"/>
  <c r="BN6" i="1" s="1"/>
  <c r="CB6" i="1"/>
  <c r="BD6" i="1"/>
  <c r="AY6" i="1"/>
  <c r="CB14" i="1"/>
  <c r="BD14" i="1"/>
  <c r="BE14" i="1" s="1"/>
  <c r="BN14" i="1" s="1" a="1"/>
  <c r="BN14" i="1" s="1"/>
  <c r="BS14" i="1"/>
  <c r="BO139" i="3"/>
  <c r="BS139" i="3" s="1"/>
  <c r="O111" i="5"/>
  <c r="AG111" i="1"/>
  <c r="AE111" i="1"/>
  <c r="AD111" i="1"/>
  <c r="AF111" i="1"/>
  <c r="BO113" i="3"/>
  <c r="BS113" i="3" s="1"/>
  <c r="BK113" i="3"/>
  <c r="AK75" i="1"/>
  <c r="AI75" i="1"/>
  <c r="AJ75" i="1"/>
  <c r="AL75" i="1"/>
  <c r="S75" i="5"/>
  <c r="BE136" i="1"/>
  <c r="BN136" i="1" s="1" a="1"/>
  <c r="BN136" i="1" s="1"/>
  <c r="BS136" i="1"/>
  <c r="CB136" i="1"/>
  <c r="BD136" i="1"/>
  <c r="E25" i="5"/>
  <c r="BP25" i="3"/>
  <c r="D25" i="5" s="1"/>
  <c r="BH25" i="3"/>
  <c r="F25" i="5" s="1"/>
  <c r="BF25" i="3"/>
  <c r="K25" i="5" s="1"/>
  <c r="L25" i="5" s="1"/>
  <c r="BE71" i="1"/>
  <c r="BN71" i="1" s="1" a="1"/>
  <c r="BN71" i="1" s="1"/>
  <c r="CB71" i="1"/>
  <c r="BD71" i="1"/>
  <c r="BS71" i="1"/>
  <c r="AY71" i="1"/>
  <c r="BS31" i="1"/>
  <c r="BD31" i="1"/>
  <c r="BE31" i="1" s="1"/>
  <c r="BN31" i="1" s="1" a="1"/>
  <c r="BN31" i="1" s="1"/>
  <c r="CB31" i="1"/>
  <c r="P30" i="5"/>
  <c r="Q30" i="5"/>
  <c r="R30" i="5"/>
  <c r="P136" i="5"/>
  <c r="P63" i="5"/>
  <c r="P11" i="5"/>
  <c r="Q11" i="5"/>
  <c r="R11" i="5"/>
  <c r="P75" i="5"/>
  <c r="Q75" i="5"/>
  <c r="P25" i="5"/>
  <c r="P6" i="5"/>
  <c r="AU154" i="3"/>
  <c r="AC154" i="1" s="1"/>
  <c r="O154" i="5" s="1"/>
  <c r="Q154" i="5" s="1"/>
  <c r="BK154" i="3"/>
  <c r="P5" i="5"/>
  <c r="Q5" i="5"/>
  <c r="R5" i="5"/>
  <c r="P7" i="5"/>
  <c r="R7" i="5"/>
  <c r="Q7" i="5"/>
  <c r="P8" i="5"/>
  <c r="Q8" i="5"/>
  <c r="R8" i="5"/>
  <c r="Q90" i="5"/>
  <c r="P90" i="5"/>
  <c r="AU159" i="3"/>
  <c r="AC159" i="1" s="1"/>
  <c r="O159" i="5" s="1"/>
  <c r="AI2" i="1"/>
  <c r="AD31" i="1"/>
  <c r="AF31" i="1"/>
  <c r="AE31" i="1"/>
  <c r="AG31" i="1"/>
  <c r="N45" i="5"/>
  <c r="M45" i="5"/>
  <c r="AF78" i="1"/>
  <c r="AG78" i="1"/>
  <c r="AD78" i="1"/>
  <c r="AE78" i="1"/>
  <c r="AG92" i="1"/>
  <c r="AF92" i="1"/>
  <c r="AD92" i="1"/>
  <c r="AE92" i="1"/>
  <c r="M50" i="5"/>
  <c r="N50" i="5"/>
  <c r="AU139" i="3"/>
  <c r="AC139" i="1" s="1"/>
  <c r="O139" i="5" s="1"/>
  <c r="AG28" i="1"/>
  <c r="AD28" i="1"/>
  <c r="AE28" i="1"/>
  <c r="AF28" i="1"/>
  <c r="X25" i="1"/>
  <c r="Y25" i="1"/>
  <c r="AA25" i="1"/>
  <c r="Z25" i="1"/>
  <c r="AU146" i="3"/>
  <c r="AC146" i="1" s="1"/>
  <c r="O146" i="5" s="1"/>
  <c r="M27" i="5"/>
  <c r="N27" i="5"/>
  <c r="AD9" i="1"/>
  <c r="AE9" i="1"/>
  <c r="AF9" i="1"/>
  <c r="AG9" i="1"/>
  <c r="AD135" i="1"/>
  <c r="AE135" i="1"/>
  <c r="AF135" i="1"/>
  <c r="AG135" i="1"/>
  <c r="Z46" i="1"/>
  <c r="AA46" i="1"/>
  <c r="X46" i="1"/>
  <c r="Y46" i="1"/>
  <c r="K137" i="5"/>
  <c r="L137" i="5" s="1"/>
  <c r="Y137" i="1"/>
  <c r="Z137" i="1"/>
  <c r="X137" i="1"/>
  <c r="AA137" i="1"/>
  <c r="AG63" i="1"/>
  <c r="AE63" i="1"/>
  <c r="AD63" i="1"/>
  <c r="AF63" i="1"/>
  <c r="AE13" i="1"/>
  <c r="AF13" i="1"/>
  <c r="AG13" i="1"/>
  <c r="AD13" i="1"/>
  <c r="AG70" i="1"/>
  <c r="AD70" i="1"/>
  <c r="AE70" i="1"/>
  <c r="AF70" i="1"/>
  <c r="Z52" i="1"/>
  <c r="Y52" i="1"/>
  <c r="X52" i="1"/>
  <c r="AA52" i="1"/>
  <c r="AU147" i="3"/>
  <c r="AC147" i="1" s="1"/>
  <c r="O147" i="5" s="1"/>
  <c r="M53" i="5"/>
  <c r="N53" i="5"/>
  <c r="AE11" i="1"/>
  <c r="AD11" i="1"/>
  <c r="AG11" i="1"/>
  <c r="AF11" i="1"/>
  <c r="AE25" i="1"/>
  <c r="AD25" i="1"/>
  <c r="AF25" i="1"/>
  <c r="AG25" i="1"/>
  <c r="AE7" i="1"/>
  <c r="AD7" i="1"/>
  <c r="AG7" i="1"/>
  <c r="AF7" i="1"/>
  <c r="N42" i="5"/>
  <c r="M42" i="5"/>
  <c r="AU143" i="3"/>
  <c r="AC143" i="1" s="1"/>
  <c r="O143" i="5" s="1"/>
  <c r="Z51" i="1"/>
  <c r="X51" i="1"/>
  <c r="Y51" i="1"/>
  <c r="AA51" i="1"/>
  <c r="AU151" i="3"/>
  <c r="AC151" i="1" s="1"/>
  <c r="O151" i="5" s="1"/>
  <c r="AE136" i="1"/>
  <c r="AF136" i="1"/>
  <c r="AD136" i="1"/>
  <c r="AG136" i="1"/>
  <c r="AD91" i="1"/>
  <c r="AE91" i="1"/>
  <c r="AG91" i="1"/>
  <c r="AF91" i="1"/>
  <c r="AF124" i="1"/>
  <c r="AG124" i="1"/>
  <c r="AD124" i="1"/>
  <c r="AE124" i="1"/>
  <c r="AE71" i="1"/>
  <c r="AF71" i="1"/>
  <c r="AG71" i="1"/>
  <c r="AD71" i="1"/>
  <c r="AD90" i="1"/>
  <c r="AE90" i="1"/>
  <c r="AF90" i="1"/>
  <c r="AG90" i="1"/>
  <c r="AE8" i="1"/>
  <c r="AD8" i="1"/>
  <c r="AF8" i="1"/>
  <c r="AG8" i="1"/>
  <c r="M96" i="5"/>
  <c r="N96" i="5"/>
  <c r="Y79" i="1"/>
  <c r="X79" i="1"/>
  <c r="AA79" i="1"/>
  <c r="Z79" i="1"/>
  <c r="AA26" i="1"/>
  <c r="Z26" i="1"/>
  <c r="X26" i="1"/>
  <c r="Y26" i="1"/>
  <c r="AD75" i="1"/>
  <c r="AE75" i="1"/>
  <c r="AF75" i="1"/>
  <c r="AG75" i="1"/>
  <c r="N49" i="5"/>
  <c r="M49" i="5"/>
  <c r="AF6" i="1"/>
  <c r="AD6" i="1"/>
  <c r="AE6" i="1"/>
  <c r="AG6" i="1"/>
  <c r="AD39" i="1"/>
  <c r="AF39" i="1"/>
  <c r="AE39" i="1"/>
  <c r="AG39" i="1"/>
  <c r="AD5" i="1"/>
  <c r="AE5" i="1"/>
  <c r="AF5" i="1"/>
  <c r="AG5" i="1"/>
  <c r="X43" i="1"/>
  <c r="Y43" i="1"/>
  <c r="Z43" i="1"/>
  <c r="AA43" i="1"/>
  <c r="AU155" i="3"/>
  <c r="AC155" i="1" s="1"/>
  <c r="O155" i="5" s="1"/>
  <c r="AU132" i="3"/>
  <c r="AC132" i="1" s="1"/>
  <c r="O132" i="5" s="1"/>
  <c r="M44" i="5"/>
  <c r="N44" i="5"/>
  <c r="M97" i="5"/>
  <c r="N97" i="5"/>
  <c r="AU14" i="3"/>
  <c r="AC14" i="1" s="1"/>
  <c r="O14" i="5" s="1"/>
  <c r="AU142" i="3"/>
  <c r="AC142" i="1" s="1"/>
  <c r="O142" i="5" s="1"/>
  <c r="Q142" i="5" s="1"/>
  <c r="AE30" i="1"/>
  <c r="AF30" i="1"/>
  <c r="AG30" i="1"/>
  <c r="AD30" i="1"/>
  <c r="M54" i="5"/>
  <c r="N54" i="5"/>
  <c r="M88" i="5"/>
  <c r="N88" i="5"/>
  <c r="BU119" i="1"/>
  <c r="BU60" i="1"/>
  <c r="BU58" i="1"/>
  <c r="BU57" i="1"/>
  <c r="BU140" i="1"/>
  <c r="BU59" i="1"/>
  <c r="AU74" i="3"/>
  <c r="AC74" i="1" s="1"/>
  <c r="O74" i="5" s="1"/>
  <c r="AU4" i="3"/>
  <c r="AC4" i="1" s="1"/>
  <c r="O4" i="5" s="1"/>
  <c r="AU3" i="3"/>
  <c r="AC3" i="1" s="1"/>
  <c r="O3" i="5" s="1"/>
  <c r="AU16" i="3"/>
  <c r="AC16" i="1" s="1"/>
  <c r="O16" i="5" s="1"/>
  <c r="AU148" i="3"/>
  <c r="AC148" i="1" s="1"/>
  <c r="O148" i="5" s="1"/>
  <c r="AU149" i="3"/>
  <c r="AC149" i="1" s="1"/>
  <c r="O149" i="5" s="1"/>
  <c r="P149" i="5" s="1"/>
  <c r="AU86" i="3"/>
  <c r="AC86" i="1" s="1"/>
  <c r="O86" i="5" s="1"/>
  <c r="AU157" i="3"/>
  <c r="AC157" i="1" s="1"/>
  <c r="O157" i="5" s="1"/>
  <c r="AU15" i="3"/>
  <c r="AC15" i="1" s="1"/>
  <c r="O15" i="5" s="1"/>
  <c r="AU153" i="3"/>
  <c r="AC153" i="1" s="1"/>
  <c r="O153" i="5" s="1"/>
  <c r="AU141" i="3"/>
  <c r="AC141" i="1" s="1"/>
  <c r="O141" i="5" s="1"/>
  <c r="AU19" i="3"/>
  <c r="AC19" i="1" s="1"/>
  <c r="O19" i="5" s="1"/>
  <c r="AU144" i="3"/>
  <c r="AC144" i="1" s="1"/>
  <c r="O144" i="5" s="1"/>
  <c r="AU152" i="3"/>
  <c r="AC152" i="1" s="1"/>
  <c r="O152" i="5" s="1"/>
  <c r="AU145" i="3"/>
  <c r="AC145" i="1" s="1"/>
  <c r="O145" i="5" s="1"/>
  <c r="R145" i="5" s="1"/>
  <c r="AU156" i="3"/>
  <c r="AC156" i="1" s="1"/>
  <c r="O156" i="5" s="1"/>
  <c r="BQ2" i="3"/>
  <c r="G65" i="1"/>
  <c r="G66" i="1"/>
  <c r="G61" i="1"/>
  <c r="BI2" i="3"/>
  <c r="G23" i="1"/>
  <c r="G158" i="1"/>
  <c r="G150" i="1"/>
  <c r="G62" i="1"/>
  <c r="G64" i="1"/>
  <c r="G48" i="1"/>
  <c r="AJ2" i="1"/>
  <c r="AL2" i="1"/>
  <c r="BE2" i="1"/>
  <c r="BN2" i="1" s="1" a="1"/>
  <c r="BN2" i="1" s="1"/>
  <c r="Q2" i="1"/>
  <c r="BS2" i="1"/>
  <c r="AK2" i="1"/>
  <c r="BD2" i="1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BP43" i="1" l="1"/>
  <c r="BP137" i="1"/>
  <c r="BP110" i="1"/>
  <c r="BP79" i="1"/>
  <c r="BP46" i="1"/>
  <c r="BV164" i="1"/>
  <c r="BV166" i="1"/>
  <c r="BV161" i="1"/>
  <c r="BV165" i="1"/>
  <c r="BV162" i="1"/>
  <c r="BV163" i="1"/>
  <c r="BV3" i="1"/>
  <c r="BV11" i="1"/>
  <c r="BV26" i="1"/>
  <c r="BV33" i="1"/>
  <c r="BV42" i="1"/>
  <c r="BV48" i="1"/>
  <c r="BV90" i="1"/>
  <c r="BV101" i="1"/>
  <c r="BV130" i="1"/>
  <c r="BV136" i="1"/>
  <c r="BV131" i="1"/>
  <c r="BV105" i="1"/>
  <c r="BV18" i="1"/>
  <c r="BV32" i="1"/>
  <c r="BV47" i="1"/>
  <c r="BV53" i="1"/>
  <c r="BV56" i="1"/>
  <c r="BV62" i="1"/>
  <c r="BV69" i="1"/>
  <c r="BV87" i="1"/>
  <c r="BV98" i="1"/>
  <c r="BV102" i="1"/>
  <c r="BV116" i="1"/>
  <c r="BV119" i="1"/>
  <c r="BV126" i="1"/>
  <c r="BV127" i="1"/>
  <c r="BV152" i="1"/>
  <c r="BV156" i="1"/>
  <c r="BV154" i="1"/>
  <c r="BV123" i="1"/>
  <c r="BV128" i="1"/>
  <c r="BV10" i="1"/>
  <c r="BV17" i="1"/>
  <c r="BV31" i="1"/>
  <c r="BV41" i="1"/>
  <c r="BV46" i="1"/>
  <c r="BV68" i="1"/>
  <c r="BV75" i="1"/>
  <c r="BV77" i="1"/>
  <c r="BV79" i="1"/>
  <c r="BV111" i="1"/>
  <c r="BV125" i="1"/>
  <c r="BV137" i="1"/>
  <c r="BV15" i="1"/>
  <c r="BV39" i="1"/>
  <c r="BV45" i="1"/>
  <c r="BV91" i="1"/>
  <c r="BV21" i="1"/>
  <c r="BV106" i="1"/>
  <c r="BV9" i="1"/>
  <c r="BV16" i="1"/>
  <c r="BV25" i="1"/>
  <c r="BV40" i="1"/>
  <c r="BV52" i="1"/>
  <c r="BV67" i="1"/>
  <c r="BV81" i="1"/>
  <c r="BV86" i="1"/>
  <c r="BV94" i="1"/>
  <c r="BV124" i="1"/>
  <c r="BV140" i="1"/>
  <c r="BV143" i="1"/>
  <c r="BV146" i="1"/>
  <c r="BV149" i="1"/>
  <c r="BV92" i="1"/>
  <c r="BV117" i="1"/>
  <c r="BV135" i="1"/>
  <c r="BV158" i="1"/>
  <c r="BV36" i="1"/>
  <c r="BV43" i="1"/>
  <c r="BV30" i="1"/>
  <c r="BV59" i="1"/>
  <c r="BV61" i="1"/>
  <c r="BV66" i="1"/>
  <c r="BV74" i="1"/>
  <c r="BV113" i="1"/>
  <c r="BV120" i="1"/>
  <c r="BV129" i="1"/>
  <c r="BV153" i="1"/>
  <c r="BV157" i="1"/>
  <c r="BV8" i="1"/>
  <c r="BV122" i="1"/>
  <c r="BV7" i="1"/>
  <c r="BV24" i="1"/>
  <c r="BV29" i="1"/>
  <c r="BV51" i="1"/>
  <c r="BV57" i="1"/>
  <c r="BV64" i="1"/>
  <c r="BV73" i="1"/>
  <c r="BV85" i="1"/>
  <c r="BV89" i="1"/>
  <c r="BV97" i="1"/>
  <c r="BV99" i="1"/>
  <c r="BV109" i="1"/>
  <c r="BV138" i="1"/>
  <c r="BV160" i="1"/>
  <c r="BV144" i="1"/>
  <c r="BV147" i="1"/>
  <c r="BV83" i="1"/>
  <c r="BV14" i="1"/>
  <c r="BV23" i="1"/>
  <c r="BV38" i="1"/>
  <c r="BV44" i="1"/>
  <c r="BV63" i="1"/>
  <c r="BV72" i="1"/>
  <c r="BV133" i="1"/>
  <c r="BV141" i="1"/>
  <c r="BV150" i="1"/>
  <c r="BV13" i="1"/>
  <c r="BV107" i="1"/>
  <c r="BV6" i="1"/>
  <c r="BV22" i="1"/>
  <c r="BV28" i="1"/>
  <c r="BV37" i="1"/>
  <c r="BV55" i="1"/>
  <c r="BV71" i="1"/>
  <c r="BV78" i="1"/>
  <c r="BV80" i="1"/>
  <c r="BV84" i="1"/>
  <c r="BV96" i="1"/>
  <c r="BV110" i="1"/>
  <c r="BV114" i="1"/>
  <c r="BV118" i="1"/>
  <c r="BV60" i="1"/>
  <c r="BV104" i="1"/>
  <c r="BV5" i="1"/>
  <c r="BV20" i="1"/>
  <c r="BV27" i="1"/>
  <c r="BV35" i="1"/>
  <c r="BV76" i="1"/>
  <c r="BV82" i="1"/>
  <c r="BV88" i="1"/>
  <c r="BV93" i="1"/>
  <c r="BV95" i="1"/>
  <c r="BV139" i="1"/>
  <c r="BV151" i="1"/>
  <c r="BV155" i="1"/>
  <c r="BV159" i="1"/>
  <c r="BV50" i="1"/>
  <c r="BV103" i="1"/>
  <c r="BV108" i="1"/>
  <c r="BV4" i="1"/>
  <c r="BV12" i="1"/>
  <c r="BV19" i="1"/>
  <c r="BV34" i="1"/>
  <c r="BV49" i="1"/>
  <c r="BV54" i="1"/>
  <c r="BV58" i="1"/>
  <c r="BV70" i="1"/>
  <c r="BV100" i="1"/>
  <c r="BV112" i="1"/>
  <c r="BV115" i="1"/>
  <c r="BV121" i="1"/>
  <c r="BV132" i="1"/>
  <c r="BV134" i="1"/>
  <c r="BV142" i="1"/>
  <c r="BV145" i="1"/>
  <c r="BV148" i="1"/>
  <c r="BV65" i="1"/>
  <c r="BP26" i="1"/>
  <c r="R91" i="5"/>
  <c r="BP75" i="1"/>
  <c r="BP124" i="1"/>
  <c r="BP136" i="1"/>
  <c r="BP39" i="1"/>
  <c r="BP111" i="1"/>
  <c r="G111" i="1" s="1"/>
  <c r="BP25" i="1"/>
  <c r="BP135" i="1"/>
  <c r="BP78" i="1"/>
  <c r="BP115" i="1"/>
  <c r="BP63" i="1"/>
  <c r="BP8" i="1"/>
  <c r="BP90" i="1"/>
  <c r="BP13" i="1"/>
  <c r="BP9" i="1"/>
  <c r="BP31" i="1"/>
  <c r="I5" i="5"/>
  <c r="R25" i="5"/>
  <c r="Q25" i="5"/>
  <c r="R136" i="5"/>
  <c r="Q136" i="5"/>
  <c r="R159" i="5"/>
  <c r="R92" i="5"/>
  <c r="R39" i="5"/>
  <c r="Q91" i="5"/>
  <c r="P91" i="5"/>
  <c r="R135" i="5"/>
  <c r="Q39" i="5"/>
  <c r="Q28" i="5"/>
  <c r="R71" i="5"/>
  <c r="R9" i="5"/>
  <c r="P70" i="5"/>
  <c r="R28" i="5"/>
  <c r="Q92" i="5"/>
  <c r="Q135" i="5"/>
  <c r="R124" i="5"/>
  <c r="P31" i="5"/>
  <c r="Q9" i="5"/>
  <c r="P28" i="5"/>
  <c r="R70" i="5"/>
  <c r="Q124" i="5"/>
  <c r="AE154" i="1"/>
  <c r="R31" i="5"/>
  <c r="Q13" i="5"/>
  <c r="Q71" i="5"/>
  <c r="R78" i="5"/>
  <c r="R13" i="5"/>
  <c r="Q78" i="5"/>
  <c r="U90" i="5"/>
  <c r="V90" i="5"/>
  <c r="T90" i="5"/>
  <c r="BR51" i="3"/>
  <c r="BJ51" i="3"/>
  <c r="T124" i="5"/>
  <c r="V124" i="5"/>
  <c r="U124" i="5"/>
  <c r="L112" i="5"/>
  <c r="T4" i="5"/>
  <c r="U4" i="5"/>
  <c r="V4" i="5"/>
  <c r="BR79" i="3"/>
  <c r="M79" i="5" s="1"/>
  <c r="BJ79" i="3"/>
  <c r="N79" i="5" s="1"/>
  <c r="Q113" i="5"/>
  <c r="R113" i="5"/>
  <c r="P113" i="5"/>
  <c r="H135" i="5"/>
  <c r="J135" i="5"/>
  <c r="I135" i="5"/>
  <c r="BJ43" i="3"/>
  <c r="BR43" i="3"/>
  <c r="T155" i="5"/>
  <c r="V155" i="5"/>
  <c r="U155" i="5"/>
  <c r="T154" i="5"/>
  <c r="V154" i="5"/>
  <c r="U154" i="5"/>
  <c r="H6" i="5"/>
  <c r="J6" i="5"/>
  <c r="I6" i="5"/>
  <c r="K43" i="5"/>
  <c r="L43" i="5" s="1"/>
  <c r="K51" i="5"/>
  <c r="L51" i="5" s="1"/>
  <c r="T19" i="5"/>
  <c r="V19" i="5"/>
  <c r="U19" i="5"/>
  <c r="H7" i="5"/>
  <c r="I7" i="5"/>
  <c r="J7" i="5"/>
  <c r="T74" i="5"/>
  <c r="U74" i="5"/>
  <c r="V74" i="5"/>
  <c r="BJ46" i="3"/>
  <c r="N46" i="5" s="1"/>
  <c r="BR46" i="3"/>
  <c r="H46" i="5"/>
  <c r="J46" i="5"/>
  <c r="I46" i="5"/>
  <c r="BR112" i="3"/>
  <c r="M112" i="5" s="1"/>
  <c r="BJ112" i="3"/>
  <c r="N112" i="5" s="1"/>
  <c r="T151" i="5"/>
  <c r="V151" i="5"/>
  <c r="U151" i="5"/>
  <c r="BR137" i="3"/>
  <c r="BJ137" i="3"/>
  <c r="N137" i="5" s="1"/>
  <c r="H111" i="5"/>
  <c r="I111" i="5"/>
  <c r="J111" i="5"/>
  <c r="H137" i="5"/>
  <c r="J137" i="5"/>
  <c r="I137" i="5"/>
  <c r="H51" i="5"/>
  <c r="J51" i="5"/>
  <c r="I51" i="5"/>
  <c r="T159" i="5"/>
  <c r="V159" i="5"/>
  <c r="U159" i="5"/>
  <c r="H13" i="5"/>
  <c r="J13" i="5"/>
  <c r="I13" i="5"/>
  <c r="V28" i="5"/>
  <c r="T28" i="5"/>
  <c r="U28" i="5"/>
  <c r="BR25" i="3"/>
  <c r="M25" i="5" s="1"/>
  <c r="BJ25" i="3"/>
  <c r="N25" i="5" s="1"/>
  <c r="Q111" i="5"/>
  <c r="P111" i="5"/>
  <c r="R111" i="5"/>
  <c r="U132" i="5"/>
  <c r="V132" i="5"/>
  <c r="T132" i="5"/>
  <c r="H63" i="5"/>
  <c r="J63" i="5"/>
  <c r="I63" i="5"/>
  <c r="T115" i="5"/>
  <c r="U115" i="5"/>
  <c r="V115" i="5"/>
  <c r="U157" i="5"/>
  <c r="V157" i="5"/>
  <c r="T157" i="5"/>
  <c r="T120" i="5"/>
  <c r="V120" i="5"/>
  <c r="U120" i="5"/>
  <c r="V75" i="5"/>
  <c r="T75" i="5"/>
  <c r="U75" i="5"/>
  <c r="T153" i="5"/>
  <c r="V153" i="5"/>
  <c r="U153" i="5"/>
  <c r="H43" i="5"/>
  <c r="I43" i="5"/>
  <c r="J43" i="5"/>
  <c r="T3" i="5"/>
  <c r="U3" i="5"/>
  <c r="V3" i="5"/>
  <c r="T152" i="5"/>
  <c r="V152" i="5"/>
  <c r="U152" i="5"/>
  <c r="AD154" i="1"/>
  <c r="H79" i="5"/>
  <c r="J79" i="5"/>
  <c r="I79" i="5"/>
  <c r="H52" i="5"/>
  <c r="J52" i="5"/>
  <c r="I52" i="5"/>
  <c r="H110" i="5"/>
  <c r="I110" i="5"/>
  <c r="J110" i="5"/>
  <c r="T31" i="5"/>
  <c r="U31" i="5"/>
  <c r="V31" i="5"/>
  <c r="O120" i="5"/>
  <c r="AD120" i="1"/>
  <c r="AE120" i="1"/>
  <c r="AF120" i="1"/>
  <c r="AG120" i="1"/>
  <c r="H112" i="5"/>
  <c r="I112" i="5"/>
  <c r="J112" i="5"/>
  <c r="U156" i="5"/>
  <c r="V156" i="5"/>
  <c r="T156" i="5"/>
  <c r="H26" i="5"/>
  <c r="I26" i="5"/>
  <c r="J26" i="5"/>
  <c r="BR26" i="3"/>
  <c r="BJ26" i="3"/>
  <c r="N26" i="5" s="1"/>
  <c r="Q115" i="5"/>
  <c r="R115" i="5"/>
  <c r="P115" i="5"/>
  <c r="P154" i="5"/>
  <c r="P3" i="5"/>
  <c r="R3" i="5"/>
  <c r="Q3" i="5"/>
  <c r="P132" i="5"/>
  <c r="R132" i="5"/>
  <c r="Q132" i="5"/>
  <c r="Q139" i="5"/>
  <c r="R139" i="5"/>
  <c r="P139" i="5"/>
  <c r="AG154" i="1"/>
  <c r="R154" i="5"/>
  <c r="P4" i="5"/>
  <c r="Q4" i="5"/>
  <c r="R4" i="5"/>
  <c r="P144" i="5"/>
  <c r="R144" i="5"/>
  <c r="Q144" i="5"/>
  <c r="R74" i="5"/>
  <c r="P74" i="5"/>
  <c r="Q74" i="5"/>
  <c r="Q146" i="5"/>
  <c r="P146" i="5"/>
  <c r="R146" i="5"/>
  <c r="AF154" i="1"/>
  <c r="P19" i="5"/>
  <c r="R19" i="5"/>
  <c r="Q19" i="5"/>
  <c r="P15" i="5"/>
  <c r="R15" i="5"/>
  <c r="Q15" i="5"/>
  <c r="P14" i="5"/>
  <c r="R14" i="5"/>
  <c r="Q14" i="5"/>
  <c r="P141" i="5"/>
  <c r="Q141" i="5"/>
  <c r="R141" i="5"/>
  <c r="R86" i="5"/>
  <c r="Q86" i="5"/>
  <c r="P86" i="5"/>
  <c r="R156" i="5"/>
  <c r="Q156" i="5"/>
  <c r="P156" i="5"/>
  <c r="P16" i="5"/>
  <c r="Q16" i="5"/>
  <c r="R16" i="5"/>
  <c r="P145" i="5"/>
  <c r="Q145" i="5"/>
  <c r="R152" i="5"/>
  <c r="P152" i="5"/>
  <c r="Q152" i="5"/>
  <c r="R153" i="5"/>
  <c r="P153" i="5"/>
  <c r="Q153" i="5"/>
  <c r="R157" i="5"/>
  <c r="P157" i="5"/>
  <c r="Q157" i="5"/>
  <c r="R149" i="5"/>
  <c r="Q149" i="5"/>
  <c r="Q148" i="5"/>
  <c r="R148" i="5"/>
  <c r="P148" i="5"/>
  <c r="P142" i="5"/>
  <c r="R142" i="5"/>
  <c r="R155" i="5"/>
  <c r="P155" i="5"/>
  <c r="Q155" i="5"/>
  <c r="Q151" i="5"/>
  <c r="R151" i="5"/>
  <c r="P151" i="5"/>
  <c r="P143" i="5"/>
  <c r="Q143" i="5"/>
  <c r="R143" i="5"/>
  <c r="R147" i="5"/>
  <c r="P147" i="5"/>
  <c r="Q147" i="5"/>
  <c r="Q159" i="5"/>
  <c r="P159" i="5"/>
  <c r="AG159" i="1"/>
  <c r="AF159" i="1"/>
  <c r="AE159" i="1"/>
  <c r="AD159" i="1"/>
  <c r="AF149" i="1"/>
  <c r="AD149" i="1"/>
  <c r="AG149" i="1"/>
  <c r="AE149" i="1"/>
  <c r="AF147" i="1"/>
  <c r="AE147" i="1"/>
  <c r="AD147" i="1"/>
  <c r="AG147" i="1"/>
  <c r="M137" i="5"/>
  <c r="AD139" i="1"/>
  <c r="AF139" i="1"/>
  <c r="AG139" i="1"/>
  <c r="AE139" i="1"/>
  <c r="AE86" i="1"/>
  <c r="AD86" i="1"/>
  <c r="AF86" i="1"/>
  <c r="AG86" i="1"/>
  <c r="AF152" i="1"/>
  <c r="AD152" i="1"/>
  <c r="AG152" i="1"/>
  <c r="AE152" i="1"/>
  <c r="N52" i="5"/>
  <c r="M52" i="5"/>
  <c r="AD145" i="1"/>
  <c r="AE145" i="1"/>
  <c r="AG145" i="1"/>
  <c r="AF145" i="1"/>
  <c r="AG151" i="1"/>
  <c r="AD151" i="1"/>
  <c r="AF151" i="1"/>
  <c r="AE151" i="1"/>
  <c r="AE148" i="1"/>
  <c r="AF148" i="1"/>
  <c r="AG148" i="1"/>
  <c r="AD148" i="1"/>
  <c r="AE16" i="1"/>
  <c r="AD16" i="1"/>
  <c r="AF16" i="1"/>
  <c r="AG16" i="1"/>
  <c r="AG19" i="1"/>
  <c r="AF19" i="1"/>
  <c r="AD19" i="1"/>
  <c r="AE19" i="1"/>
  <c r="AE3" i="1"/>
  <c r="AF3" i="1"/>
  <c r="AG3" i="1"/>
  <c r="AD3" i="1"/>
  <c r="AE144" i="1"/>
  <c r="AF144" i="1"/>
  <c r="AG144" i="1"/>
  <c r="AD144" i="1"/>
  <c r="AG4" i="1"/>
  <c r="AD4" i="1"/>
  <c r="AE4" i="1"/>
  <c r="AF4" i="1"/>
  <c r="AD141" i="1"/>
  <c r="AE141" i="1"/>
  <c r="AG141" i="1"/>
  <c r="AF141" i="1"/>
  <c r="AE74" i="1"/>
  <c r="AG74" i="1"/>
  <c r="AD74" i="1"/>
  <c r="AF74" i="1"/>
  <c r="AG142" i="1"/>
  <c r="AD142" i="1"/>
  <c r="AF142" i="1"/>
  <c r="AE142" i="1"/>
  <c r="AD132" i="1"/>
  <c r="AE132" i="1"/>
  <c r="AF132" i="1"/>
  <c r="AG132" i="1"/>
  <c r="M46" i="5"/>
  <c r="AG153" i="1"/>
  <c r="AE153" i="1"/>
  <c r="AF153" i="1"/>
  <c r="AD153" i="1"/>
  <c r="AF14" i="1"/>
  <c r="AD14" i="1"/>
  <c r="AE14" i="1"/>
  <c r="AG14" i="1"/>
  <c r="AD155" i="1"/>
  <c r="AF155" i="1"/>
  <c r="AG155" i="1"/>
  <c r="AE155" i="1"/>
  <c r="M26" i="5"/>
  <c r="AE156" i="1"/>
  <c r="AG156" i="1"/>
  <c r="AD156" i="1"/>
  <c r="AF156" i="1"/>
  <c r="AE15" i="1"/>
  <c r="AD15" i="1"/>
  <c r="AG15" i="1"/>
  <c r="AF15" i="1"/>
  <c r="AG157" i="1"/>
  <c r="AF157" i="1"/>
  <c r="AD157" i="1"/>
  <c r="AE157" i="1"/>
  <c r="AG143" i="1"/>
  <c r="AD143" i="1"/>
  <c r="AE143" i="1"/>
  <c r="AF143" i="1"/>
  <c r="AE146" i="1"/>
  <c r="AD146" i="1"/>
  <c r="AG146" i="1"/>
  <c r="AF146" i="1"/>
  <c r="BU48" i="1"/>
  <c r="BU62" i="1"/>
  <c r="BU150" i="1"/>
  <c r="BU158" i="1"/>
  <c r="BU64" i="1"/>
  <c r="BU23" i="1"/>
  <c r="BU61" i="1"/>
  <c r="BU66" i="1"/>
  <c r="BU65" i="1"/>
  <c r="G63" i="1"/>
  <c r="G135" i="1"/>
  <c r="AS51" i="3"/>
  <c r="BP51" i="1" s="1"/>
  <c r="G13" i="1"/>
  <c r="G78" i="1"/>
  <c r="BV2" i="1"/>
  <c r="AV2" i="1"/>
  <c r="BI2" i="1" s="1"/>
  <c r="K1" i="5"/>
  <c r="H2" i="9"/>
  <c r="G21" i="1"/>
  <c r="G22" i="1"/>
  <c r="G33" i="1"/>
  <c r="G38" i="1"/>
  <c r="G45" i="1"/>
  <c r="G47" i="1"/>
  <c r="G49" i="1"/>
  <c r="G50" i="1"/>
  <c r="G53" i="1"/>
  <c r="G56" i="1"/>
  <c r="G76" i="1"/>
  <c r="G77" i="1"/>
  <c r="BK87" i="1"/>
  <c r="BK88" i="1"/>
  <c r="G89" i="1"/>
  <c r="BK91" i="1"/>
  <c r="G109" i="1"/>
  <c r="BK113" i="1"/>
  <c r="BO113" i="1" s="1"/>
  <c r="BL113" i="1" s="1"/>
  <c r="G114" i="1"/>
  <c r="G116" i="1"/>
  <c r="G121" i="1"/>
  <c r="G123" i="1"/>
  <c r="G125" i="1"/>
  <c r="G126" i="1"/>
  <c r="BK136" i="1"/>
  <c r="BO136" i="1" s="1"/>
  <c r="BL136" i="1" s="1"/>
  <c r="L92" i="3"/>
  <c r="H92" i="1" s="1"/>
  <c r="L86" i="3"/>
  <c r="H86" i="1" s="1"/>
  <c r="L52" i="3"/>
  <c r="H52" i="1" s="1"/>
  <c r="BP52" i="1" s="1"/>
  <c r="L51" i="3"/>
  <c r="H51" i="1" s="1"/>
  <c r="L35" i="3"/>
  <c r="H35" i="1" s="1"/>
  <c r="BP35" i="1" s="1"/>
  <c r="L36" i="3"/>
  <c r="H36" i="1" s="1"/>
  <c r="BP36" i="1" s="1"/>
  <c r="L29" i="3"/>
  <c r="H29" i="1" s="1"/>
  <c r="BP29" i="1" s="1"/>
  <c r="L122" i="3"/>
  <c r="H122" i="1" s="1"/>
  <c r="L34" i="3"/>
  <c r="H34" i="1" s="1"/>
  <c r="L32" i="3"/>
  <c r="H32" i="1" s="1"/>
  <c r="BP32" i="1" s="1"/>
  <c r="L30" i="3"/>
  <c r="H30" i="1" s="1"/>
  <c r="BP30" i="1" s="1"/>
  <c r="L73" i="3"/>
  <c r="H73" i="1" s="1"/>
  <c r="BP73" i="1" s="1"/>
  <c r="L72" i="3"/>
  <c r="H72" i="1" s="1"/>
  <c r="BP72" i="1" s="1"/>
  <c r="L67" i="3"/>
  <c r="H67" i="1" s="1"/>
  <c r="BP67" i="1" s="1"/>
  <c r="L129" i="3"/>
  <c r="H129" i="1" s="1"/>
  <c r="BP129" i="1" s="1"/>
  <c r="L71" i="3"/>
  <c r="H71" i="1" s="1"/>
  <c r="BP71" i="1" s="1"/>
  <c r="L70" i="3"/>
  <c r="H70" i="1" s="1"/>
  <c r="BP70" i="1" s="1"/>
  <c r="L69" i="3"/>
  <c r="H69" i="1" s="1"/>
  <c r="BP69" i="1" s="1"/>
  <c r="L68" i="3"/>
  <c r="H68" i="1" s="1"/>
  <c r="BP68" i="1" s="1"/>
  <c r="L10" i="3"/>
  <c r="H10" i="1" s="1"/>
  <c r="BP10" i="1" s="1"/>
  <c r="L11" i="3"/>
  <c r="H11" i="1" s="1"/>
  <c r="BP11" i="1" s="1"/>
  <c r="L8" i="3"/>
  <c r="H8" i="1" s="1"/>
  <c r="L9" i="3"/>
  <c r="H9" i="1" s="1"/>
  <c r="L5" i="3"/>
  <c r="H5" i="1" s="1"/>
  <c r="BP5" i="1" s="1"/>
  <c r="G18" i="3"/>
  <c r="F136" i="3"/>
  <c r="AR136" i="1" s="1"/>
  <c r="G136" i="3"/>
  <c r="AS136" i="1" s="1"/>
  <c r="AT136" i="1" s="1"/>
  <c r="G135" i="3"/>
  <c r="AS135" i="1" s="1"/>
  <c r="AT135" i="1" s="1"/>
  <c r="G134" i="3"/>
  <c r="AS134" i="1" s="1"/>
  <c r="AT134" i="1" s="1"/>
  <c r="G133" i="3"/>
  <c r="AS133" i="1" s="1"/>
  <c r="AT133" i="1" s="1"/>
  <c r="G131" i="3"/>
  <c r="AS131" i="1" s="1"/>
  <c r="AT131" i="1" s="1"/>
  <c r="G129" i="3"/>
  <c r="AS129" i="1" s="1"/>
  <c r="AT129" i="1" s="1"/>
  <c r="G128" i="3"/>
  <c r="AS128" i="1" s="1"/>
  <c r="AT128" i="1" s="1"/>
  <c r="F126" i="3"/>
  <c r="AR126" i="1" s="1"/>
  <c r="J127" i="3"/>
  <c r="AU127" i="1" s="1"/>
  <c r="F127" i="3"/>
  <c r="AR127" i="1" s="1"/>
  <c r="J126" i="3"/>
  <c r="AU126" i="1" s="1"/>
  <c r="J129" i="3"/>
  <c r="AU129" i="1" s="1"/>
  <c r="F129" i="3"/>
  <c r="AR129" i="1" s="1"/>
  <c r="J124" i="3"/>
  <c r="AU124" i="1" s="1"/>
  <c r="F124" i="3"/>
  <c r="AR124" i="1" s="1"/>
  <c r="F122" i="3"/>
  <c r="AR122" i="1" s="1"/>
  <c r="J122" i="3"/>
  <c r="AU122" i="1" s="1"/>
  <c r="J118" i="3"/>
  <c r="AU118" i="1" s="1"/>
  <c r="F118" i="3"/>
  <c r="AR118" i="1" s="1"/>
  <c r="F113" i="3"/>
  <c r="AR113" i="1" s="1"/>
  <c r="J113" i="3"/>
  <c r="AU113" i="1" s="1"/>
  <c r="F91" i="3"/>
  <c r="AR91" i="1" s="1"/>
  <c r="F92" i="3"/>
  <c r="AR92" i="1" s="1"/>
  <c r="F90" i="3"/>
  <c r="AR90" i="1" s="1"/>
  <c r="J90" i="3"/>
  <c r="AU90" i="1" s="1"/>
  <c r="J91" i="3"/>
  <c r="AU91" i="1" s="1"/>
  <c r="J92" i="3"/>
  <c r="AU92" i="1" s="1"/>
  <c r="J103" i="3"/>
  <c r="AU103" i="1" s="1"/>
  <c r="J104" i="3"/>
  <c r="AU104" i="1" s="1"/>
  <c r="J105" i="3"/>
  <c r="AU105" i="1" s="1"/>
  <c r="J106" i="3"/>
  <c r="AU106" i="1" s="1"/>
  <c r="J107" i="3"/>
  <c r="AU107" i="1" s="1"/>
  <c r="J108" i="3"/>
  <c r="AU108" i="1" s="1"/>
  <c r="F103" i="3"/>
  <c r="AR103" i="1" s="1"/>
  <c r="F104" i="3"/>
  <c r="AR104" i="1" s="1"/>
  <c r="F105" i="3"/>
  <c r="AR105" i="1" s="1"/>
  <c r="F106" i="3"/>
  <c r="AR106" i="1" s="1"/>
  <c r="F107" i="3"/>
  <c r="AR107" i="1" s="1"/>
  <c r="F108" i="3"/>
  <c r="AR108" i="1" s="1"/>
  <c r="I32" i="9"/>
  <c r="H32" i="9"/>
  <c r="G32" i="9"/>
  <c r="C32" i="9" s="1"/>
  <c r="H31" i="9"/>
  <c r="D31" i="9" s="1"/>
  <c r="G121" i="3"/>
  <c r="AS121" i="1" s="1"/>
  <c r="AT121" i="1" s="1"/>
  <c r="G120" i="3"/>
  <c r="AS120" i="1" s="1"/>
  <c r="AT120" i="1" s="1"/>
  <c r="G118" i="3"/>
  <c r="AS118" i="1" s="1"/>
  <c r="AT118" i="1" s="1"/>
  <c r="G117" i="3"/>
  <c r="AS117" i="1" s="1"/>
  <c r="AT117" i="1" s="1"/>
  <c r="G116" i="3"/>
  <c r="AS116" i="1" s="1"/>
  <c r="AT116" i="1" s="1"/>
  <c r="G115" i="3"/>
  <c r="AS115" i="1" s="1"/>
  <c r="AT115" i="1" s="1"/>
  <c r="G114" i="3"/>
  <c r="AS114" i="1" s="1"/>
  <c r="AT114" i="1" s="1"/>
  <c r="C29" i="9"/>
  <c r="G112" i="3"/>
  <c r="AS112" i="1" s="1"/>
  <c r="AT112" i="1" s="1"/>
  <c r="G111" i="3"/>
  <c r="AS111" i="1" s="1"/>
  <c r="AT111" i="1" s="1"/>
  <c r="G110" i="3"/>
  <c r="AS110" i="1" s="1"/>
  <c r="AT110" i="1" s="1"/>
  <c r="G109" i="3"/>
  <c r="AS109" i="1" s="1"/>
  <c r="AT109" i="1" s="1"/>
  <c r="G100" i="3"/>
  <c r="AS100" i="1" s="1"/>
  <c r="AT100" i="1" s="1"/>
  <c r="G99" i="3"/>
  <c r="AS99" i="1" s="1"/>
  <c r="AT99" i="1" s="1"/>
  <c r="G97" i="3"/>
  <c r="AS97" i="1" s="1"/>
  <c r="AT97" i="1" s="1"/>
  <c r="G96" i="3"/>
  <c r="AS96" i="1" s="1"/>
  <c r="AT96" i="1" s="1"/>
  <c r="G94" i="3"/>
  <c r="AS94" i="1" s="1"/>
  <c r="AT94" i="1" s="1"/>
  <c r="G93" i="3"/>
  <c r="AS93" i="1" s="1"/>
  <c r="AT93" i="1" s="1"/>
  <c r="G92" i="3"/>
  <c r="AS92" i="1" s="1"/>
  <c r="AT92" i="1" s="1"/>
  <c r="G91" i="3"/>
  <c r="AS91" i="1" s="1"/>
  <c r="AT91" i="1" s="1"/>
  <c r="G90" i="3"/>
  <c r="AS90" i="1" s="1"/>
  <c r="AT90" i="1" s="1"/>
  <c r="G89" i="3"/>
  <c r="AS89" i="1" s="1"/>
  <c r="AT89" i="1" s="1"/>
  <c r="F6" i="3"/>
  <c r="AR6" i="1" s="1"/>
  <c r="F7" i="3"/>
  <c r="AR7" i="1" s="1"/>
  <c r="F8" i="3"/>
  <c r="AR8" i="1" s="1"/>
  <c r="F9" i="3"/>
  <c r="AR9" i="1" s="1"/>
  <c r="F10" i="3"/>
  <c r="AR10" i="1" s="1"/>
  <c r="F11" i="3"/>
  <c r="AR11" i="1" s="1"/>
  <c r="F5" i="3"/>
  <c r="AR5" i="1" s="1"/>
  <c r="J5" i="3"/>
  <c r="AU5" i="1" s="1"/>
  <c r="J6" i="3"/>
  <c r="AU6" i="1" s="1"/>
  <c r="J7" i="3"/>
  <c r="AU7" i="1" s="1"/>
  <c r="J8" i="3"/>
  <c r="AU8" i="1" s="1"/>
  <c r="J9" i="3"/>
  <c r="AU9" i="1" s="1"/>
  <c r="J10" i="3"/>
  <c r="AU10" i="1" s="1"/>
  <c r="J11" i="3"/>
  <c r="AU11" i="1" s="1"/>
  <c r="F32" i="3"/>
  <c r="AR32" i="1" s="1"/>
  <c r="F33" i="3"/>
  <c r="AR33" i="1" s="1"/>
  <c r="F34" i="3"/>
  <c r="AR34" i="1" s="1"/>
  <c r="J32" i="3"/>
  <c r="AU32" i="1" s="1"/>
  <c r="J33" i="3"/>
  <c r="AU33" i="1" s="1"/>
  <c r="J34" i="3"/>
  <c r="AU34" i="1" s="1"/>
  <c r="J67" i="3"/>
  <c r="AU67" i="1" s="1"/>
  <c r="J68" i="3"/>
  <c r="AU68" i="1" s="1"/>
  <c r="J69" i="3"/>
  <c r="AU69" i="1" s="1"/>
  <c r="J70" i="3"/>
  <c r="AU70" i="1" s="1"/>
  <c r="J71" i="3"/>
  <c r="AU71" i="1" s="1"/>
  <c r="J72" i="3"/>
  <c r="AU72" i="1" s="1"/>
  <c r="J73" i="3"/>
  <c r="AU73" i="1" s="1"/>
  <c r="F67" i="3"/>
  <c r="AR67" i="1" s="1"/>
  <c r="F68" i="3"/>
  <c r="AR68" i="1" s="1"/>
  <c r="F69" i="3"/>
  <c r="AR69" i="1" s="1"/>
  <c r="F70" i="3"/>
  <c r="AR70" i="1" s="1"/>
  <c r="F71" i="3"/>
  <c r="AR71" i="1" s="1"/>
  <c r="F72" i="3"/>
  <c r="AR72" i="1" s="1"/>
  <c r="F73" i="3"/>
  <c r="AR73" i="1" s="1"/>
  <c r="G88" i="3"/>
  <c r="AS88" i="1" s="1"/>
  <c r="AT88" i="1" s="1"/>
  <c r="G87" i="3"/>
  <c r="AS87" i="1" s="1"/>
  <c r="AT87" i="1" s="1"/>
  <c r="G86" i="3"/>
  <c r="AS86" i="1" s="1"/>
  <c r="AT86" i="1" s="1"/>
  <c r="G137" i="3"/>
  <c r="AS137" i="1" s="1"/>
  <c r="AT137" i="1" s="1"/>
  <c r="G85" i="3"/>
  <c r="AS85" i="1" s="1"/>
  <c r="AT85" i="1" s="1"/>
  <c r="G84" i="3"/>
  <c r="AS84" i="1" s="1"/>
  <c r="AT84" i="1" s="1"/>
  <c r="G83" i="3"/>
  <c r="AS83" i="1" s="1"/>
  <c r="AT83" i="1" s="1"/>
  <c r="G82" i="3"/>
  <c r="AS82" i="1" s="1"/>
  <c r="AT82" i="1" s="1"/>
  <c r="G81" i="3"/>
  <c r="AS81" i="1" s="1"/>
  <c r="AT81" i="1" s="1"/>
  <c r="F79" i="3"/>
  <c r="AR79" i="1" s="1"/>
  <c r="G78" i="3"/>
  <c r="AS78" i="1" s="1"/>
  <c r="AT78" i="1" s="1"/>
  <c r="G76" i="3"/>
  <c r="AS76" i="1" s="1"/>
  <c r="AT76" i="1" s="1"/>
  <c r="G73" i="3"/>
  <c r="AS73" i="1" s="1"/>
  <c r="AT73" i="1" s="1"/>
  <c r="G72" i="3"/>
  <c r="AS72" i="1" s="1"/>
  <c r="AT72" i="1" s="1"/>
  <c r="G71" i="3"/>
  <c r="AS71" i="1" s="1"/>
  <c r="AT71" i="1" s="1"/>
  <c r="G70" i="3"/>
  <c r="AS70" i="1" s="1"/>
  <c r="AT70" i="1" s="1"/>
  <c r="G69" i="3"/>
  <c r="AS69" i="1" s="1"/>
  <c r="AT69" i="1" s="1"/>
  <c r="G68" i="3"/>
  <c r="AS68" i="1" s="1"/>
  <c r="AT68" i="1" s="1"/>
  <c r="G67" i="3"/>
  <c r="AS67" i="1" s="1"/>
  <c r="AT67" i="1" s="1"/>
  <c r="H14" i="9"/>
  <c r="F27" i="3"/>
  <c r="AR27" i="1" s="1"/>
  <c r="G56" i="3"/>
  <c r="AS56" i="1" s="1"/>
  <c r="AT56" i="1" s="1"/>
  <c r="G53" i="3"/>
  <c r="AS53" i="1" s="1"/>
  <c r="AT53" i="1" s="1"/>
  <c r="G54" i="3"/>
  <c r="AS54" i="1" s="1"/>
  <c r="AT54" i="1" s="1"/>
  <c r="G51" i="3"/>
  <c r="AS51" i="1" s="1"/>
  <c r="AT51" i="1" s="1"/>
  <c r="G52" i="3"/>
  <c r="AS52" i="1" s="1"/>
  <c r="AT52" i="1" s="1"/>
  <c r="G50" i="3"/>
  <c r="AS50" i="1" s="1"/>
  <c r="AT50" i="1" s="1"/>
  <c r="G49" i="3"/>
  <c r="AS49" i="1" s="1"/>
  <c r="AT49" i="1" s="1"/>
  <c r="G46" i="3"/>
  <c r="AS46" i="1" s="1"/>
  <c r="AT46" i="1" s="1"/>
  <c r="G45" i="3"/>
  <c r="AS45" i="1" s="1"/>
  <c r="AT45" i="1" s="1"/>
  <c r="G43" i="3"/>
  <c r="AS43" i="1" s="1"/>
  <c r="AT43" i="1" s="1"/>
  <c r="G42" i="3"/>
  <c r="AS42" i="1" s="1"/>
  <c r="AT42" i="1" s="1"/>
  <c r="H130" i="3"/>
  <c r="AQ130" i="1" s="1"/>
  <c r="G130" i="3"/>
  <c r="AS130" i="1" s="1"/>
  <c r="AT130" i="1" s="1"/>
  <c r="G40" i="3"/>
  <c r="AS40" i="1" s="1"/>
  <c r="AT40" i="1" s="1"/>
  <c r="H40" i="3"/>
  <c r="AQ40" i="1" s="1"/>
  <c r="G39" i="3"/>
  <c r="AS39" i="1" s="1"/>
  <c r="AT39" i="1" s="1"/>
  <c r="G38" i="3"/>
  <c r="AS38" i="1" s="1"/>
  <c r="AT38" i="1" s="1"/>
  <c r="G132" i="3"/>
  <c r="AS132" i="1" s="1"/>
  <c r="AT132" i="1" s="1"/>
  <c r="G123" i="3"/>
  <c r="AS123" i="1" s="1"/>
  <c r="AT123" i="1" s="1"/>
  <c r="G74" i="3"/>
  <c r="AS74" i="1" s="1"/>
  <c r="AT74" i="1" s="1"/>
  <c r="G37" i="3"/>
  <c r="G36" i="3"/>
  <c r="G35" i="3"/>
  <c r="G32" i="3"/>
  <c r="G30" i="3"/>
  <c r="G31" i="3"/>
  <c r="G29" i="3"/>
  <c r="G11" i="3"/>
  <c r="F26" i="3"/>
  <c r="AR26" i="1" s="1"/>
  <c r="G26" i="3"/>
  <c r="AR25" i="1"/>
  <c r="G24" i="3"/>
  <c r="G22" i="3"/>
  <c r="G21" i="3"/>
  <c r="G20" i="3"/>
  <c r="G19" i="3"/>
  <c r="G17" i="3"/>
  <c r="G14" i="3"/>
  <c r="G13" i="3"/>
  <c r="F125" i="3"/>
  <c r="AR125" i="1" s="1"/>
  <c r="G125" i="3"/>
  <c r="AS125" i="1" s="1"/>
  <c r="AT125" i="1" s="1"/>
  <c r="H125" i="3"/>
  <c r="AQ125" i="1" s="1"/>
  <c r="G12" i="3"/>
  <c r="F12" i="3"/>
  <c r="AR12" i="1" s="1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96" i="1" l="1"/>
  <c r="K96" i="1"/>
  <c r="L116" i="1"/>
  <c r="K116" i="1"/>
  <c r="L162" i="1"/>
  <c r="K162" i="1"/>
  <c r="L134" i="1"/>
  <c r="K134" i="1"/>
  <c r="L12" i="1"/>
  <c r="K12" i="1"/>
  <c r="L82" i="1"/>
  <c r="K82" i="1"/>
  <c r="L84" i="1"/>
  <c r="K84" i="1"/>
  <c r="L141" i="1"/>
  <c r="K141" i="1"/>
  <c r="L138" i="1"/>
  <c r="K138" i="1"/>
  <c r="L7" i="1"/>
  <c r="K7" i="1"/>
  <c r="L30" i="1"/>
  <c r="K30" i="1"/>
  <c r="L94" i="1"/>
  <c r="K94" i="1"/>
  <c r="L45" i="1"/>
  <c r="K45" i="1"/>
  <c r="L31" i="1"/>
  <c r="K31" i="1"/>
  <c r="L102" i="1"/>
  <c r="K102" i="1"/>
  <c r="L136" i="1"/>
  <c r="K136" i="1"/>
  <c r="L165" i="1"/>
  <c r="K165" i="1"/>
  <c r="L19" i="1"/>
  <c r="K19" i="1"/>
  <c r="L41" i="1"/>
  <c r="K41" i="1"/>
  <c r="L131" i="1"/>
  <c r="K131" i="1"/>
  <c r="L132" i="1"/>
  <c r="K132" i="1"/>
  <c r="L4" i="1"/>
  <c r="K4" i="1"/>
  <c r="K76" i="1"/>
  <c r="L76" i="1"/>
  <c r="L80" i="1"/>
  <c r="K80" i="1"/>
  <c r="L133" i="1"/>
  <c r="K133" i="1"/>
  <c r="L109" i="1"/>
  <c r="K109" i="1"/>
  <c r="L122" i="1"/>
  <c r="K122" i="1"/>
  <c r="L43" i="1"/>
  <c r="K43" i="1"/>
  <c r="L86" i="1"/>
  <c r="K86" i="1"/>
  <c r="L39" i="1"/>
  <c r="K39" i="1"/>
  <c r="L17" i="1"/>
  <c r="K17" i="1"/>
  <c r="L98" i="1"/>
  <c r="K98" i="1"/>
  <c r="L130" i="1"/>
  <c r="K130" i="1"/>
  <c r="L161" i="1"/>
  <c r="K161" i="1"/>
  <c r="L124" i="1"/>
  <c r="K124" i="1"/>
  <c r="L78" i="1"/>
  <c r="K78" i="1"/>
  <c r="L15" i="1"/>
  <c r="K15" i="1"/>
  <c r="L115" i="1"/>
  <c r="K115" i="1"/>
  <c r="L103" i="1"/>
  <c r="K103" i="1"/>
  <c r="L27" i="1"/>
  <c r="K27" i="1"/>
  <c r="L71" i="1"/>
  <c r="K71" i="1"/>
  <c r="L63" i="1"/>
  <c r="K63" i="1"/>
  <c r="L97" i="1"/>
  <c r="K97" i="1"/>
  <c r="L157" i="1"/>
  <c r="K157" i="1"/>
  <c r="L158" i="1"/>
  <c r="K158" i="1"/>
  <c r="L67" i="1"/>
  <c r="K67" i="1"/>
  <c r="L137" i="1"/>
  <c r="K137" i="1"/>
  <c r="L128" i="1"/>
  <c r="K128" i="1"/>
  <c r="L69" i="1"/>
  <c r="K69" i="1"/>
  <c r="L90" i="1"/>
  <c r="K90" i="1"/>
  <c r="L164" i="1"/>
  <c r="K164" i="1"/>
  <c r="L59" i="1"/>
  <c r="K59" i="1"/>
  <c r="L99" i="1"/>
  <c r="K99" i="1"/>
  <c r="L87" i="1"/>
  <c r="K87" i="1"/>
  <c r="L112" i="1"/>
  <c r="K112" i="1"/>
  <c r="L50" i="1"/>
  <c r="K50" i="1"/>
  <c r="L20" i="1"/>
  <c r="K20" i="1"/>
  <c r="L55" i="1"/>
  <c r="K55" i="1"/>
  <c r="L44" i="1"/>
  <c r="K44" i="1"/>
  <c r="L89" i="1"/>
  <c r="K89" i="1"/>
  <c r="L153" i="1"/>
  <c r="K153" i="1"/>
  <c r="L135" i="1"/>
  <c r="K135" i="1"/>
  <c r="L52" i="1"/>
  <c r="K52" i="1"/>
  <c r="L125" i="1"/>
  <c r="K125" i="1"/>
  <c r="L123" i="1"/>
  <c r="K123" i="1"/>
  <c r="L62" i="1"/>
  <c r="K62" i="1"/>
  <c r="L48" i="1"/>
  <c r="K48" i="1"/>
  <c r="L150" i="1"/>
  <c r="K150" i="1"/>
  <c r="L121" i="1"/>
  <c r="K121" i="1"/>
  <c r="L36" i="1"/>
  <c r="K36" i="1"/>
  <c r="L166" i="1"/>
  <c r="K166" i="1"/>
  <c r="L100" i="1"/>
  <c r="K100" i="1"/>
  <c r="L159" i="1"/>
  <c r="K159" i="1"/>
  <c r="L5" i="1"/>
  <c r="K5" i="1"/>
  <c r="L37" i="1"/>
  <c r="K37" i="1"/>
  <c r="L38" i="1"/>
  <c r="K38" i="1"/>
  <c r="L85" i="1"/>
  <c r="K85" i="1"/>
  <c r="L129" i="1"/>
  <c r="K129" i="1"/>
  <c r="L117" i="1"/>
  <c r="K117" i="1"/>
  <c r="L40" i="1"/>
  <c r="K40" i="1"/>
  <c r="L111" i="1"/>
  <c r="K111" i="1"/>
  <c r="L154" i="1"/>
  <c r="K154" i="1"/>
  <c r="L56" i="1"/>
  <c r="K56" i="1"/>
  <c r="L42" i="1"/>
  <c r="K42" i="1"/>
  <c r="L160" i="1"/>
  <c r="K160" i="1"/>
  <c r="L108" i="1"/>
  <c r="K108" i="1"/>
  <c r="L81" i="1"/>
  <c r="K81" i="1"/>
  <c r="L10" i="1"/>
  <c r="K10" i="1"/>
  <c r="L70" i="1"/>
  <c r="K70" i="1"/>
  <c r="L155" i="1"/>
  <c r="K155" i="1"/>
  <c r="L104" i="1"/>
  <c r="K104" i="1"/>
  <c r="L28" i="1"/>
  <c r="K28" i="1"/>
  <c r="L23" i="1"/>
  <c r="K23" i="1"/>
  <c r="L73" i="1"/>
  <c r="K73" i="1"/>
  <c r="L120" i="1"/>
  <c r="K120" i="1"/>
  <c r="L92" i="1"/>
  <c r="K92" i="1"/>
  <c r="L25" i="1"/>
  <c r="K25" i="1"/>
  <c r="L79" i="1"/>
  <c r="K79" i="1"/>
  <c r="L156" i="1"/>
  <c r="K156" i="1"/>
  <c r="L53" i="1"/>
  <c r="K53" i="1"/>
  <c r="L33" i="1"/>
  <c r="K33" i="1"/>
  <c r="L24" i="1"/>
  <c r="K24" i="1"/>
  <c r="L8" i="1"/>
  <c r="K8" i="1"/>
  <c r="L101" i="1"/>
  <c r="K101" i="1"/>
  <c r="K58" i="1"/>
  <c r="L58" i="1"/>
  <c r="L151" i="1"/>
  <c r="K151" i="1"/>
  <c r="L60" i="1"/>
  <c r="K60" i="1"/>
  <c r="L22" i="1"/>
  <c r="K22" i="1"/>
  <c r="L14" i="1"/>
  <c r="K14" i="1"/>
  <c r="L64" i="1"/>
  <c r="K64" i="1"/>
  <c r="L113" i="1"/>
  <c r="K113" i="1"/>
  <c r="L149" i="1"/>
  <c r="K149" i="1"/>
  <c r="L16" i="1"/>
  <c r="K16" i="1"/>
  <c r="K77" i="1"/>
  <c r="L77" i="1"/>
  <c r="L152" i="1"/>
  <c r="K152" i="1"/>
  <c r="L47" i="1"/>
  <c r="K47" i="1"/>
  <c r="L26" i="1"/>
  <c r="K26" i="1"/>
  <c r="L88" i="1"/>
  <c r="K88" i="1"/>
  <c r="L72" i="1"/>
  <c r="K72" i="1"/>
  <c r="L65" i="1"/>
  <c r="K65" i="1"/>
  <c r="L54" i="1"/>
  <c r="K54" i="1"/>
  <c r="L139" i="1"/>
  <c r="K139" i="1"/>
  <c r="L118" i="1"/>
  <c r="K118" i="1"/>
  <c r="L6" i="1"/>
  <c r="K6" i="1"/>
  <c r="L83" i="1"/>
  <c r="K83" i="1"/>
  <c r="L57" i="1"/>
  <c r="K57" i="1"/>
  <c r="L74" i="1"/>
  <c r="K74" i="1"/>
  <c r="L146" i="1"/>
  <c r="K146" i="1"/>
  <c r="L9" i="1"/>
  <c r="K9" i="1"/>
  <c r="L75" i="1"/>
  <c r="K75" i="1"/>
  <c r="L127" i="1"/>
  <c r="K127" i="1"/>
  <c r="L32" i="1"/>
  <c r="K32" i="1"/>
  <c r="L11" i="1"/>
  <c r="K11" i="1"/>
  <c r="K91" i="1"/>
  <c r="L91" i="1"/>
  <c r="L35" i="1"/>
  <c r="K35" i="1"/>
  <c r="L148" i="1"/>
  <c r="K148" i="1"/>
  <c r="L49" i="1"/>
  <c r="K49" i="1"/>
  <c r="L95" i="1"/>
  <c r="K95" i="1"/>
  <c r="L114" i="1"/>
  <c r="K114" i="1"/>
  <c r="L107" i="1"/>
  <c r="K107" i="1"/>
  <c r="L147" i="1"/>
  <c r="K147" i="1"/>
  <c r="L51" i="1"/>
  <c r="K51" i="1"/>
  <c r="L66" i="1"/>
  <c r="K66" i="1"/>
  <c r="L143" i="1"/>
  <c r="K143" i="1"/>
  <c r="L106" i="1"/>
  <c r="K106" i="1"/>
  <c r="L68" i="1"/>
  <c r="K68" i="1"/>
  <c r="L126" i="1"/>
  <c r="K126" i="1"/>
  <c r="L18" i="1"/>
  <c r="K18" i="1"/>
  <c r="L3" i="1"/>
  <c r="K3" i="1"/>
  <c r="L142" i="1"/>
  <c r="K142" i="1"/>
  <c r="L145" i="1"/>
  <c r="K145" i="1"/>
  <c r="L34" i="1"/>
  <c r="K34" i="1"/>
  <c r="K93" i="1"/>
  <c r="L93" i="1"/>
  <c r="L110" i="1"/>
  <c r="K110" i="1"/>
  <c r="L13" i="1"/>
  <c r="K13" i="1"/>
  <c r="L144" i="1"/>
  <c r="K144" i="1"/>
  <c r="L29" i="1"/>
  <c r="K29" i="1"/>
  <c r="L61" i="1"/>
  <c r="K61" i="1"/>
  <c r="L140" i="1"/>
  <c r="K140" i="1"/>
  <c r="L21" i="1"/>
  <c r="K21" i="1"/>
  <c r="L46" i="1"/>
  <c r="K46" i="1"/>
  <c r="L119" i="1"/>
  <c r="K119" i="1"/>
  <c r="L105" i="1"/>
  <c r="K105" i="1"/>
  <c r="L163" i="1"/>
  <c r="K163" i="1"/>
  <c r="BP145" i="1"/>
  <c r="BP148" i="1"/>
  <c r="BP146" i="1"/>
  <c r="G146" i="1" s="1"/>
  <c r="BP132" i="1"/>
  <c r="BU132" i="1" s="1"/>
  <c r="BP141" i="1"/>
  <c r="BP14" i="1"/>
  <c r="BP19" i="1"/>
  <c r="BP120" i="1"/>
  <c r="BU120" i="1" s="1"/>
  <c r="BP152" i="1"/>
  <c r="G152" i="1" s="1"/>
  <c r="BP15" i="1"/>
  <c r="G15" i="1" s="1"/>
  <c r="BP151" i="1"/>
  <c r="BU151" i="1" s="1"/>
  <c r="BP143" i="1"/>
  <c r="BP156" i="1"/>
  <c r="BP153" i="1"/>
  <c r="BP154" i="1"/>
  <c r="G154" i="1" s="1"/>
  <c r="BP139" i="1"/>
  <c r="BP147" i="1"/>
  <c r="G147" i="1" s="1"/>
  <c r="BP142" i="1"/>
  <c r="BP144" i="1"/>
  <c r="BP86" i="1"/>
  <c r="BP3" i="1"/>
  <c r="BP4" i="1"/>
  <c r="BP74" i="1"/>
  <c r="BP159" i="1"/>
  <c r="BU159" i="1" s="1"/>
  <c r="BP155" i="1"/>
  <c r="G155" i="1" s="1"/>
  <c r="BP157" i="1"/>
  <c r="BP16" i="1"/>
  <c r="BP149" i="1"/>
  <c r="N43" i="5"/>
  <c r="M43" i="5"/>
  <c r="N51" i="5"/>
  <c r="M51" i="5"/>
  <c r="AS10" i="1"/>
  <c r="AT10" i="1" s="1"/>
  <c r="AS20" i="1"/>
  <c r="AT20" i="1" s="1"/>
  <c r="AS9" i="1"/>
  <c r="AT9" i="1" s="1"/>
  <c r="AS8" i="1"/>
  <c r="AT8" i="1" s="1"/>
  <c r="AS24" i="1"/>
  <c r="AT24" i="1" s="1"/>
  <c r="AS21" i="1"/>
  <c r="AT21" i="1" s="1"/>
  <c r="AS12" i="1"/>
  <c r="AT12" i="1" s="1"/>
  <c r="AS25" i="1"/>
  <c r="AT25" i="1" s="1"/>
  <c r="AS26" i="1"/>
  <c r="AT26" i="1" s="1"/>
  <c r="AS22" i="1"/>
  <c r="AT22" i="1" s="1"/>
  <c r="AS4" i="1"/>
  <c r="AT4" i="1" s="1"/>
  <c r="AS19" i="1"/>
  <c r="AT19" i="1" s="1"/>
  <c r="AS3" i="1"/>
  <c r="AT3" i="1" s="1"/>
  <c r="AS5" i="1"/>
  <c r="AT5" i="1" s="1"/>
  <c r="AS13" i="1"/>
  <c r="AT13" i="1" s="1"/>
  <c r="AS11" i="1"/>
  <c r="AT11" i="1" s="1"/>
  <c r="AS18" i="1"/>
  <c r="AT18" i="1" s="1"/>
  <c r="AS6" i="1"/>
  <c r="AT6" i="1" s="1"/>
  <c r="AS14" i="1"/>
  <c r="AT14" i="1" s="1"/>
  <c r="AS7" i="1"/>
  <c r="AT7" i="1" s="1"/>
  <c r="AS17" i="1"/>
  <c r="AT17" i="1" s="1"/>
  <c r="AS29" i="1"/>
  <c r="AT29" i="1" s="1"/>
  <c r="AS31" i="1"/>
  <c r="AT31" i="1" s="1"/>
  <c r="AS30" i="1"/>
  <c r="AT30" i="1" s="1"/>
  <c r="AS32" i="1"/>
  <c r="AT32" i="1" s="1"/>
  <c r="AS35" i="1"/>
  <c r="AT35" i="1" s="1"/>
  <c r="AS36" i="1"/>
  <c r="AT36" i="1" s="1"/>
  <c r="AS37" i="1"/>
  <c r="AT37" i="1" s="1"/>
  <c r="BU45" i="1"/>
  <c r="BU77" i="1"/>
  <c r="BU114" i="1"/>
  <c r="BU38" i="1"/>
  <c r="BU33" i="1"/>
  <c r="BU76" i="1"/>
  <c r="BU116" i="1"/>
  <c r="BU53" i="1"/>
  <c r="BU123" i="1"/>
  <c r="BU50" i="1"/>
  <c r="BU121" i="1"/>
  <c r="BU89" i="1"/>
  <c r="BU49" i="1"/>
  <c r="BU22" i="1"/>
  <c r="BU125" i="1"/>
  <c r="BU47" i="1"/>
  <c r="BU21" i="1"/>
  <c r="BU56" i="1"/>
  <c r="G88" i="1"/>
  <c r="G136" i="1"/>
  <c r="BO91" i="1"/>
  <c r="BL91" i="1" s="1"/>
  <c r="G112" i="1"/>
  <c r="G54" i="1"/>
  <c r="BU126" i="1"/>
  <c r="BU109" i="1"/>
  <c r="G96" i="1"/>
  <c r="BO88" i="1"/>
  <c r="BL88" i="1" s="1"/>
  <c r="BO87" i="1"/>
  <c r="BL87" i="1" s="1"/>
  <c r="P120" i="5"/>
  <c r="R120" i="5"/>
  <c r="Q120" i="5"/>
  <c r="G43" i="1"/>
  <c r="G25" i="1"/>
  <c r="G87" i="1"/>
  <c r="G156" i="1"/>
  <c r="G141" i="1"/>
  <c r="G145" i="1"/>
  <c r="G144" i="1"/>
  <c r="BU13" i="1"/>
  <c r="BU111" i="1"/>
  <c r="BU135" i="1"/>
  <c r="BU63" i="1"/>
  <c r="BU78" i="1"/>
  <c r="G137" i="1"/>
  <c r="G79" i="1"/>
  <c r="L2" i="1"/>
  <c r="K2" i="1"/>
  <c r="L7" i="3"/>
  <c r="H7" i="1" s="1"/>
  <c r="BP7" i="1" s="1"/>
  <c r="L6" i="3"/>
  <c r="H6" i="1" s="1"/>
  <c r="BP6" i="1" s="1"/>
  <c r="G29" i="1"/>
  <c r="G36" i="1"/>
  <c r="G35" i="1"/>
  <c r="G72" i="1"/>
  <c r="G68" i="1"/>
  <c r="G67" i="1"/>
  <c r="G30" i="1"/>
  <c r="G51" i="1"/>
  <c r="BK86" i="1"/>
  <c r="BO86" i="1" s="1"/>
  <c r="BL86" i="1" s="1"/>
  <c r="G52" i="1"/>
  <c r="G117" i="1"/>
  <c r="G134" i="1"/>
  <c r="G129" i="1"/>
  <c r="G94" i="1"/>
  <c r="G138" i="1"/>
  <c r="G95" i="1"/>
  <c r="G37" i="1"/>
  <c r="G97" i="1"/>
  <c r="G84" i="1"/>
  <c r="G128" i="1"/>
  <c r="BK92" i="1"/>
  <c r="G73" i="1"/>
  <c r="BK71" i="1"/>
  <c r="G70" i="1"/>
  <c r="G32" i="1"/>
  <c r="G69" i="1"/>
  <c r="G133" i="1"/>
  <c r="G93" i="1"/>
  <c r="G83" i="1"/>
  <c r="G41" i="1"/>
  <c r="G131" i="1"/>
  <c r="G24" i="1"/>
  <c r="G20" i="1"/>
  <c r="G82" i="1"/>
  <c r="G100" i="1"/>
  <c r="G99" i="1"/>
  <c r="G55" i="1"/>
  <c r="G44" i="1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G14" i="1" l="1"/>
  <c r="G153" i="1"/>
  <c r="G151" i="1"/>
  <c r="G143" i="1"/>
  <c r="G149" i="1"/>
  <c r="G159" i="1"/>
  <c r="G139" i="1"/>
  <c r="G132" i="1"/>
  <c r="G120" i="1"/>
  <c r="BU157" i="1"/>
  <c r="G157" i="1"/>
  <c r="BU4" i="1"/>
  <c r="G4" i="1"/>
  <c r="BU16" i="1"/>
  <c r="G16" i="1"/>
  <c r="BU142" i="1"/>
  <c r="G142" i="1"/>
  <c r="BU148" i="1"/>
  <c r="G148" i="1"/>
  <c r="BU3" i="1"/>
  <c r="G3" i="1"/>
  <c r="BU42" i="1"/>
  <c r="G42" i="1"/>
  <c r="BU90" i="1"/>
  <c r="G90" i="1"/>
  <c r="BU26" i="1"/>
  <c r="G26" i="1"/>
  <c r="BU110" i="1"/>
  <c r="G110" i="1"/>
  <c r="BU124" i="1"/>
  <c r="G124" i="1"/>
  <c r="BU46" i="1"/>
  <c r="G46" i="1"/>
  <c r="BU12" i="1"/>
  <c r="G12" i="1"/>
  <c r="BU17" i="1"/>
  <c r="G17" i="1"/>
  <c r="BU18" i="1"/>
  <c r="G18" i="1"/>
  <c r="BU74" i="1"/>
  <c r="G74" i="1"/>
  <c r="BU146" i="1"/>
  <c r="BU152" i="1"/>
  <c r="BU139" i="1"/>
  <c r="BU155" i="1"/>
  <c r="BU154" i="1"/>
  <c r="BU147" i="1"/>
  <c r="BU14" i="1"/>
  <c r="BU136" i="1"/>
  <c r="BU15" i="1"/>
  <c r="BU143" i="1"/>
  <c r="BU25" i="1"/>
  <c r="BU156" i="1"/>
  <c r="BU153" i="1"/>
  <c r="BU141" i="1"/>
  <c r="BU149" i="1"/>
  <c r="BU54" i="1"/>
  <c r="BU43" i="1"/>
  <c r="BU112" i="1"/>
  <c r="G10" i="1"/>
  <c r="G8" i="1"/>
  <c r="G9" i="1"/>
  <c r="BU96" i="1"/>
  <c r="BU29" i="1"/>
  <c r="BU52" i="1"/>
  <c r="BU30" i="1"/>
  <c r="BU97" i="1"/>
  <c r="BU70" i="1"/>
  <c r="BU95" i="1"/>
  <c r="BU129" i="1"/>
  <c r="BK85" i="1"/>
  <c r="G85" i="1"/>
  <c r="BU55" i="1"/>
  <c r="BO71" i="1"/>
  <c r="BL71" i="1" s="1"/>
  <c r="BK130" i="1"/>
  <c r="G130" i="1"/>
  <c r="BU41" i="1"/>
  <c r="BU128" i="1"/>
  <c r="BU117" i="1"/>
  <c r="BU36" i="1"/>
  <c r="G71" i="1"/>
  <c r="BU24" i="1"/>
  <c r="BU73" i="1"/>
  <c r="BU35" i="1"/>
  <c r="BU134" i="1"/>
  <c r="BU84" i="1"/>
  <c r="BU87" i="1"/>
  <c r="BU69" i="1"/>
  <c r="BU20" i="1"/>
  <c r="BU94" i="1"/>
  <c r="BO92" i="1"/>
  <c r="BL92" i="1" s="1"/>
  <c r="BU83" i="1"/>
  <c r="BU44" i="1"/>
  <c r="BU93" i="1"/>
  <c r="BK118" i="1"/>
  <c r="G118" i="1"/>
  <c r="BU133" i="1"/>
  <c r="BU99" i="1"/>
  <c r="BK40" i="1"/>
  <c r="BO40" i="1" s="1"/>
  <c r="BL40" i="1" s="1"/>
  <c r="G40" i="1"/>
  <c r="G86" i="1"/>
  <c r="BU88" i="1"/>
  <c r="BU100" i="1"/>
  <c r="BU82" i="1"/>
  <c r="BU32" i="1"/>
  <c r="BU67" i="1"/>
  <c r="BU68" i="1"/>
  <c r="BU37" i="1"/>
  <c r="BU131" i="1"/>
  <c r="BU72" i="1"/>
  <c r="BU145" i="1"/>
  <c r="BU144" i="1"/>
  <c r="BU137" i="1"/>
  <c r="BU79" i="1"/>
  <c r="BU51" i="1"/>
  <c r="BJ2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G115" i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BU5" i="1" l="1"/>
  <c r="G5" i="1"/>
  <c r="BU11" i="1"/>
  <c r="G11" i="1"/>
  <c r="BU10" i="1"/>
  <c r="BU8" i="1"/>
  <c r="BU9" i="1"/>
  <c r="BU85" i="1"/>
  <c r="BO85" i="1"/>
  <c r="BL85" i="1" s="1"/>
  <c r="BU118" i="1"/>
  <c r="BO118" i="1"/>
  <c r="BL118" i="1" s="1"/>
  <c r="BU130" i="1"/>
  <c r="BO130" i="1"/>
  <c r="BL130" i="1" s="1"/>
  <c r="BU115" i="1"/>
  <c r="BU71" i="1"/>
  <c r="BU86" i="1"/>
  <c r="BU40" i="1"/>
  <c r="O29" i="12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G75" i="1" l="1"/>
  <c r="BU75" i="1" l="1"/>
  <c r="G31" i="1"/>
  <c r="BU31" i="1" l="1"/>
  <c r="B2" i="5"/>
  <c r="X2" i="5" l="1"/>
  <c r="Y2" i="5"/>
  <c r="E2" i="5"/>
  <c r="S2" i="5"/>
  <c r="D2" i="5"/>
  <c r="F2" i="5"/>
  <c r="AC2" i="5"/>
  <c r="W2" i="5"/>
  <c r="Z2" i="5"/>
  <c r="AA2" i="5"/>
  <c r="T2" i="5" l="1"/>
  <c r="V2" i="5"/>
  <c r="U2" i="5"/>
  <c r="V1" i="5"/>
  <c r="O1" i="5"/>
  <c r="R1" i="5"/>
  <c r="S1" i="5"/>
  <c r="F1" i="5" l="1"/>
  <c r="D1" i="5"/>
  <c r="B1" i="5"/>
  <c r="A1" i="5"/>
  <c r="M80" i="1" l="1"/>
  <c r="N80" i="1"/>
  <c r="N105" i="1"/>
  <c r="N101" i="1"/>
  <c r="N103" i="1"/>
  <c r="M102" i="1"/>
  <c r="M101" i="1"/>
  <c r="N160" i="1"/>
  <c r="N107" i="1"/>
  <c r="N27" i="1"/>
  <c r="M104" i="1"/>
  <c r="M160" i="1"/>
  <c r="AS160" i="3" s="1"/>
  <c r="M122" i="1"/>
  <c r="M107" i="1"/>
  <c r="M98" i="1"/>
  <c r="N108" i="1"/>
  <c r="M81" i="1"/>
  <c r="M34" i="1"/>
  <c r="N127" i="1"/>
  <c r="N98" i="1"/>
  <c r="M103" i="1"/>
  <c r="N34" i="1"/>
  <c r="M27" i="1"/>
  <c r="N104" i="1"/>
  <c r="N122" i="1"/>
  <c r="N106" i="1"/>
  <c r="M106" i="1"/>
  <c r="N81" i="1"/>
  <c r="M108" i="1"/>
  <c r="M105" i="1"/>
  <c r="M127" i="1"/>
  <c r="N102" i="1"/>
  <c r="AS102" i="3" s="1"/>
  <c r="M113" i="1"/>
  <c r="N113" i="1"/>
  <c r="N28" i="1"/>
  <c r="M28" i="1"/>
  <c r="N91" i="1"/>
  <c r="N92" i="1"/>
  <c r="M92" i="1"/>
  <c r="M91" i="1"/>
  <c r="AS98" i="3"/>
  <c r="AS34" i="3"/>
  <c r="AS105" i="3"/>
  <c r="AS107" i="3" l="1"/>
  <c r="BP107" i="1"/>
  <c r="G107" i="1" s="1"/>
  <c r="BP105" i="1"/>
  <c r="G105" i="1" s="1"/>
  <c r="G160" i="1"/>
  <c r="BP160" i="1"/>
  <c r="G34" i="1"/>
  <c r="BP34" i="1"/>
  <c r="BP98" i="1"/>
  <c r="G98" i="1" s="1"/>
  <c r="BP102" i="1"/>
  <c r="G102" i="1" s="1"/>
  <c r="BU102" i="1"/>
  <c r="BU34" i="1"/>
  <c r="BU98" i="1"/>
  <c r="AS80" i="3"/>
  <c r="AS122" i="3"/>
  <c r="AS81" i="3"/>
  <c r="AS106" i="3"/>
  <c r="AS92" i="3"/>
  <c r="AS91" i="3"/>
  <c r="AS127" i="3"/>
  <c r="AS103" i="3"/>
  <c r="AS101" i="3"/>
  <c r="AS108" i="3"/>
  <c r="AS28" i="3"/>
  <c r="AS104" i="3"/>
  <c r="AS113" i="3"/>
  <c r="AS27" i="3"/>
  <c r="BP103" i="1" l="1"/>
  <c r="G103" i="1" s="1"/>
  <c r="BP101" i="1"/>
  <c r="G101" i="1" s="1"/>
  <c r="BP127" i="1"/>
  <c r="G127" i="1" s="1"/>
  <c r="G92" i="1"/>
  <c r="BP92" i="1"/>
  <c r="G108" i="1"/>
  <c r="BP108" i="1"/>
  <c r="BP106" i="1"/>
  <c r="G106" i="1" s="1"/>
  <c r="G104" i="1"/>
  <c r="BP104" i="1"/>
  <c r="BP91" i="1"/>
  <c r="G91" i="1" s="1"/>
  <c r="BP81" i="1"/>
  <c r="G81" i="1" s="1"/>
  <c r="BP122" i="1"/>
  <c r="G122" i="1" s="1"/>
  <c r="BP28" i="1"/>
  <c r="G28" i="1" s="1"/>
  <c r="BP27" i="1"/>
  <c r="G27" i="1" s="1"/>
  <c r="BP113" i="1"/>
  <c r="G113" i="1" s="1"/>
  <c r="BP80" i="1"/>
  <c r="G80" i="1" s="1"/>
  <c r="BU92" i="1"/>
  <c r="BU81" i="1"/>
  <c r="BU122" i="1"/>
  <c r="BU113" i="1"/>
  <c r="BU28" i="1"/>
  <c r="BU101" i="1"/>
  <c r="AM2" i="1"/>
  <c r="BQ2" i="1"/>
  <c r="G19" i="1"/>
  <c r="G39" i="1"/>
  <c r="BU91" i="1" l="1"/>
  <c r="G7" i="1"/>
  <c r="BU7" i="1"/>
  <c r="BU39" i="1"/>
  <c r="BU19" i="1"/>
  <c r="BL2" i="1"/>
  <c r="A2" i="1"/>
  <c r="BU6" i="1" l="1"/>
  <c r="G6" i="1"/>
  <c r="B36" i="9"/>
  <c r="F36" i="9"/>
  <c r="B35" i="9"/>
  <c r="F35" i="9"/>
  <c r="B34" i="9"/>
  <c r="F34" i="9"/>
  <c r="D24" i="14"/>
  <c r="E24" i="14" s="1"/>
  <c r="AS2" i="1"/>
  <c r="AT2" i="1" s="1"/>
  <c r="C12" i="14"/>
  <c r="G12" i="14" s="1"/>
  <c r="C105" i="14"/>
  <c r="G105" i="14" s="1"/>
  <c r="C80" i="14"/>
  <c r="G80" i="14" s="1"/>
  <c r="C35" i="14"/>
  <c r="G35" i="14" s="1"/>
  <c r="C111" i="14"/>
  <c r="G111" i="14" s="1"/>
  <c r="B87" i="14"/>
  <c r="F87" i="14" s="1"/>
  <c r="D56" i="14"/>
  <c r="E56" i="14" s="1"/>
  <c r="F2" i="9"/>
  <c r="C73" i="14"/>
  <c r="G73" i="14" s="1"/>
  <c r="C116" i="14"/>
  <c r="G116" i="14" s="1"/>
  <c r="F13" i="9"/>
  <c r="D115" i="14"/>
  <c r="E115" i="14" s="1"/>
  <c r="B24" i="9"/>
  <c r="F32" i="9"/>
  <c r="F18" i="9"/>
  <c r="B8" i="9"/>
  <c r="B89" i="14"/>
  <c r="F89" i="14" s="1"/>
  <c r="D10" i="14"/>
  <c r="E10" i="14" s="1"/>
  <c r="C34" i="14"/>
  <c r="G34" i="14" s="1"/>
  <c r="C14" i="14"/>
  <c r="G14" i="14" s="1"/>
  <c r="D52" i="14"/>
  <c r="E52" i="14" s="1"/>
  <c r="B106" i="14"/>
  <c r="F106" i="14" s="1"/>
  <c r="C74" i="14"/>
  <c r="G74" i="14" s="1"/>
  <c r="B103" i="14"/>
  <c r="F103" i="14" s="1"/>
  <c r="F31" i="9"/>
  <c r="B12" i="9"/>
  <c r="B13" i="9"/>
  <c r="B3" i="9"/>
  <c r="B16" i="9"/>
  <c r="B43" i="14"/>
  <c r="F43" i="14" s="1"/>
  <c r="C106" i="14"/>
  <c r="G106" i="14" s="1"/>
  <c r="B95" i="14"/>
  <c r="F95" i="14" s="1"/>
  <c r="D98" i="14"/>
  <c r="E98" i="14" s="1"/>
  <c r="B118" i="14"/>
  <c r="F118" i="14" s="1"/>
  <c r="D107" i="14"/>
  <c r="E107" i="14" s="1"/>
  <c r="B88" i="14"/>
  <c r="F88" i="14" s="1"/>
  <c r="D69" i="14"/>
  <c r="E69" i="14" s="1"/>
  <c r="C87" i="14"/>
  <c r="G87" i="14" s="1"/>
  <c r="D73" i="14"/>
  <c r="E73" i="14" s="1"/>
  <c r="D66" i="14"/>
  <c r="E66" i="14" s="1"/>
  <c r="C89" i="14"/>
  <c r="G89" i="14" s="1"/>
  <c r="C83" i="14"/>
  <c r="G83" i="14" s="1"/>
  <c r="D76" i="14"/>
  <c r="E76" i="14" s="1"/>
  <c r="F21" i="9"/>
  <c r="F17" i="9"/>
  <c r="B11" i="9"/>
  <c r="B114" i="14"/>
  <c r="F114" i="14" s="1"/>
  <c r="B117" i="14"/>
  <c r="F117" i="14" s="1"/>
  <c r="D112" i="14"/>
  <c r="E112" i="14" s="1"/>
  <c r="B99" i="14"/>
  <c r="F99" i="14" s="1"/>
  <c r="D48" i="14"/>
  <c r="E48" i="14" s="1"/>
  <c r="C95" i="14"/>
  <c r="G95" i="14" s="1"/>
  <c r="D80" i="14"/>
  <c r="E80" i="14" s="1"/>
  <c r="C118" i="14"/>
  <c r="G118" i="14" s="1"/>
  <c r="D35" i="14"/>
  <c r="E35" i="14" s="1"/>
  <c r="C88" i="14"/>
  <c r="G88" i="14" s="1"/>
  <c r="C61" i="14"/>
  <c r="G61" i="14" s="1"/>
  <c r="C59" i="14"/>
  <c r="G59" i="14" s="1"/>
  <c r="D111" i="14"/>
  <c r="E111" i="14" s="1"/>
  <c r="B100" i="14"/>
  <c r="F100" i="14" s="1"/>
  <c r="C17" i="14"/>
  <c r="G17" i="14" s="1"/>
  <c r="D89" i="14"/>
  <c r="E89" i="14" s="1"/>
  <c r="C38" i="14"/>
  <c r="G38" i="14" s="1"/>
  <c r="C72" i="14"/>
  <c r="G72" i="14" s="1"/>
  <c r="C23" i="14"/>
  <c r="G23" i="14" s="1"/>
  <c r="D47" i="14"/>
  <c r="E47" i="14" s="1"/>
  <c r="D78" i="14"/>
  <c r="E78" i="14" s="1"/>
  <c r="D39" i="14"/>
  <c r="E39" i="14" s="1"/>
  <c r="B25" i="9"/>
  <c r="F11" i="9"/>
  <c r="F10" i="9"/>
  <c r="F5" i="9"/>
  <c r="B2" i="9"/>
  <c r="A2" i="14"/>
  <c r="C114" i="14"/>
  <c r="G114" i="14" s="1"/>
  <c r="D116" i="14"/>
  <c r="E116" i="14" s="1"/>
  <c r="C117" i="14"/>
  <c r="G117" i="14" s="1"/>
  <c r="D12" i="14"/>
  <c r="E12" i="14" s="1"/>
  <c r="B27" i="14"/>
  <c r="F27" i="14" s="1"/>
  <c r="D106" i="14"/>
  <c r="E106" i="14" s="1"/>
  <c r="B21" i="14"/>
  <c r="F21" i="14" s="1"/>
  <c r="B41" i="14"/>
  <c r="F41" i="14" s="1"/>
  <c r="C100" i="14"/>
  <c r="G100" i="14" s="1"/>
  <c r="D87" i="14"/>
  <c r="E87" i="14" s="1"/>
  <c r="C32" i="14"/>
  <c r="G32" i="14" s="1"/>
  <c r="B26" i="14"/>
  <c r="F26" i="14" s="1"/>
  <c r="B96" i="14"/>
  <c r="F96" i="14" s="1"/>
  <c r="B29" i="9"/>
  <c r="B28" i="9"/>
  <c r="F25" i="9"/>
  <c r="F24" i="9"/>
  <c r="F23" i="9"/>
  <c r="B21" i="9"/>
  <c r="C27" i="14"/>
  <c r="G27" i="14" s="1"/>
  <c r="B108" i="14"/>
  <c r="F108" i="14" s="1"/>
  <c r="C21" i="14"/>
  <c r="G21" i="14" s="1"/>
  <c r="B11" i="14"/>
  <c r="F11" i="14" s="1"/>
  <c r="D118" i="14"/>
  <c r="E118" i="14" s="1"/>
  <c r="B65" i="14"/>
  <c r="F65" i="14" s="1"/>
  <c r="D88" i="14"/>
  <c r="E88" i="14" s="1"/>
  <c r="D61" i="14"/>
  <c r="E61" i="14" s="1"/>
  <c r="D59" i="14"/>
  <c r="E59" i="14" s="1"/>
  <c r="C41" i="14"/>
  <c r="G41" i="14" s="1"/>
  <c r="D100" i="14"/>
  <c r="E100" i="14" s="1"/>
  <c r="D17" i="14"/>
  <c r="E17" i="14" s="1"/>
  <c r="C26" i="14"/>
  <c r="G26" i="14" s="1"/>
  <c r="B81" i="14"/>
  <c r="F81" i="14" s="1"/>
  <c r="B50" i="14"/>
  <c r="F50" i="14" s="1"/>
  <c r="B68" i="14"/>
  <c r="F68" i="14" s="1"/>
  <c r="B49" i="14"/>
  <c r="F49" i="14" s="1"/>
  <c r="C5" i="14"/>
  <c r="G5" i="14" s="1"/>
  <c r="B32" i="9"/>
  <c r="B18" i="9"/>
  <c r="B15" i="9"/>
  <c r="F9" i="9"/>
  <c r="B9" i="14"/>
  <c r="F9" i="14" s="1"/>
  <c r="D99" i="14"/>
  <c r="E99" i="14" s="1"/>
  <c r="B75" i="14"/>
  <c r="F75" i="14" s="1"/>
  <c r="C108" i="14"/>
  <c r="G108" i="14" s="1"/>
  <c r="B30" i="14"/>
  <c r="F30" i="14" s="1"/>
  <c r="D95" i="14"/>
  <c r="E95" i="14" s="1"/>
  <c r="C11" i="14"/>
  <c r="G11" i="14" s="1"/>
  <c r="C65" i="14"/>
  <c r="G65" i="14" s="1"/>
  <c r="B58" i="14"/>
  <c r="F58" i="14" s="1"/>
  <c r="C37" i="14"/>
  <c r="G37" i="14" s="1"/>
  <c r="D32" i="14"/>
  <c r="E32" i="14" s="1"/>
  <c r="D26" i="14"/>
  <c r="E26" i="14" s="1"/>
  <c r="C33" i="14"/>
  <c r="G33" i="14" s="1"/>
  <c r="C81" i="14"/>
  <c r="G81" i="14" s="1"/>
  <c r="C50" i="14"/>
  <c r="G50" i="14" s="1"/>
  <c r="C68" i="14"/>
  <c r="G68" i="14" s="1"/>
  <c r="C49" i="14"/>
  <c r="G49" i="14" s="1"/>
  <c r="B29" i="14"/>
  <c r="F29" i="14" s="1"/>
  <c r="B13" i="14"/>
  <c r="F13" i="14" s="1"/>
  <c r="B8" i="14"/>
  <c r="F8" i="14" s="1"/>
  <c r="B31" i="14"/>
  <c r="F31" i="14" s="1"/>
  <c r="F3" i="9"/>
  <c r="C9" i="14"/>
  <c r="G9" i="14" s="1"/>
  <c r="B57" i="14"/>
  <c r="F57" i="14" s="1"/>
  <c r="C30" i="14"/>
  <c r="G30" i="14" s="1"/>
  <c r="B101" i="14"/>
  <c r="F101" i="14" s="1"/>
  <c r="B85" i="14"/>
  <c r="F85" i="14" s="1"/>
  <c r="C58" i="14"/>
  <c r="G58" i="14" s="1"/>
  <c r="C84" i="14"/>
  <c r="G84" i="14" s="1"/>
  <c r="B94" i="14"/>
  <c r="F94" i="14" s="1"/>
  <c r="D81" i="14"/>
  <c r="E81" i="14" s="1"/>
  <c r="D50" i="14"/>
  <c r="E50" i="14" s="1"/>
  <c r="D68" i="14"/>
  <c r="E68" i="14" s="1"/>
  <c r="D49" i="14"/>
  <c r="E49" i="14" s="1"/>
  <c r="C45" i="14"/>
  <c r="G45" i="14" s="1"/>
  <c r="C29" i="14"/>
  <c r="G29" i="14" s="1"/>
  <c r="C13" i="14"/>
  <c r="G13" i="14" s="1"/>
  <c r="C8" i="14"/>
  <c r="G8" i="14" s="1"/>
  <c r="C31" i="14"/>
  <c r="G31" i="14" s="1"/>
  <c r="F28" i="9"/>
  <c r="D117" i="14"/>
  <c r="E117" i="14" s="1"/>
  <c r="D21" i="14"/>
  <c r="E21" i="14" s="1"/>
  <c r="B22" i="14"/>
  <c r="F22" i="14" s="1"/>
  <c r="D41" i="14"/>
  <c r="E41" i="14" s="1"/>
  <c r="B31" i="9"/>
  <c r="B27" i="9"/>
  <c r="B5" i="9"/>
  <c r="F4" i="9"/>
  <c r="B9" i="9"/>
  <c r="F26" i="9"/>
  <c r="C110" i="14"/>
  <c r="G110" i="14" s="1"/>
  <c r="D108" i="14"/>
  <c r="E108" i="14" s="1"/>
  <c r="B109" i="14"/>
  <c r="F109" i="14" s="1"/>
  <c r="C22" i="14"/>
  <c r="G22" i="14" s="1"/>
  <c r="C101" i="14"/>
  <c r="G101" i="14" s="1"/>
  <c r="B28" i="14"/>
  <c r="F28" i="14" s="1"/>
  <c r="C85" i="14"/>
  <c r="G85" i="14" s="1"/>
  <c r="D58" i="14"/>
  <c r="E58" i="14" s="1"/>
  <c r="D37" i="14"/>
  <c r="E37" i="14" s="1"/>
  <c r="C94" i="14"/>
  <c r="G94" i="14" s="1"/>
  <c r="D33" i="14"/>
  <c r="E33" i="14" s="1"/>
  <c r="F29" i="9"/>
  <c r="B110" i="14"/>
  <c r="F110" i="14" s="1"/>
  <c r="F33" i="9"/>
  <c r="B22" i="9"/>
  <c r="B14" i="9"/>
  <c r="B7" i="9"/>
  <c r="B23" i="9"/>
  <c r="F22" i="9"/>
  <c r="B56" i="14"/>
  <c r="F56" i="14" s="1"/>
  <c r="B93" i="14"/>
  <c r="F93" i="14" s="1"/>
  <c r="D30" i="14"/>
  <c r="E30" i="14" s="1"/>
  <c r="C109" i="14"/>
  <c r="G109" i="14" s="1"/>
  <c r="B51" i="14"/>
  <c r="F51" i="14" s="1"/>
  <c r="D11" i="14"/>
  <c r="E11" i="14" s="1"/>
  <c r="D65" i="14"/>
  <c r="E65" i="14" s="1"/>
  <c r="C28" i="14"/>
  <c r="G28" i="14" s="1"/>
  <c r="B36" i="14"/>
  <c r="F36" i="14" s="1"/>
  <c r="C55" i="14"/>
  <c r="G55" i="14" s="1"/>
  <c r="D84" i="14"/>
  <c r="E84" i="14" s="1"/>
  <c r="B4" i="14"/>
  <c r="F4" i="14" s="1"/>
  <c r="D94" i="14"/>
  <c r="E94" i="14" s="1"/>
  <c r="C64" i="14"/>
  <c r="G64" i="14" s="1"/>
  <c r="B24" i="14"/>
  <c r="F24" i="14" s="1"/>
  <c r="D90" i="14"/>
  <c r="E90" i="14" s="1"/>
  <c r="D70" i="14"/>
  <c r="E70" i="14" s="1"/>
  <c r="D16" i="14"/>
  <c r="E16" i="14" s="1"/>
  <c r="F30" i="9"/>
  <c r="F20" i="9"/>
  <c r="F15" i="9"/>
  <c r="B10" i="9"/>
  <c r="F14" i="9"/>
  <c r="B26" i="9"/>
  <c r="C56" i="14"/>
  <c r="G56" i="14" s="1"/>
  <c r="D9" i="14"/>
  <c r="E9" i="14" s="1"/>
  <c r="B79" i="14"/>
  <c r="F79" i="14" s="1"/>
  <c r="D57" i="14"/>
  <c r="E57" i="14" s="1"/>
  <c r="B52" i="14"/>
  <c r="F52" i="14" s="1"/>
  <c r="C51" i="14"/>
  <c r="G51" i="14" s="1"/>
  <c r="D22" i="14"/>
  <c r="E22" i="14" s="1"/>
  <c r="D101" i="14"/>
  <c r="E101" i="14" s="1"/>
  <c r="C36" i="14"/>
  <c r="G36" i="14" s="1"/>
  <c r="D85" i="14"/>
  <c r="E85" i="14" s="1"/>
  <c r="C82" i="14"/>
  <c r="G82" i="14" s="1"/>
  <c r="B115" i="14"/>
  <c r="F115" i="14" s="1"/>
  <c r="C4" i="14"/>
  <c r="G4" i="14" s="1"/>
  <c r="B113" i="14"/>
  <c r="F113" i="14" s="1"/>
  <c r="D60" i="14"/>
  <c r="E60" i="14" s="1"/>
  <c r="D63" i="14"/>
  <c r="E63" i="14" s="1"/>
  <c r="D97" i="14"/>
  <c r="E97" i="14" s="1"/>
  <c r="D44" i="14"/>
  <c r="E44" i="14" s="1"/>
  <c r="C24" i="14"/>
  <c r="G24" i="14" s="1"/>
  <c r="H24" i="14" s="1"/>
  <c r="D114" i="14"/>
  <c r="E114" i="14" s="1"/>
  <c r="B19" i="9"/>
  <c r="F6" i="9"/>
  <c r="F19" i="9"/>
  <c r="A2" i="5"/>
  <c r="C79" i="14"/>
  <c r="G79" i="14" s="1"/>
  <c r="C52" i="14"/>
  <c r="G52" i="14" s="1"/>
  <c r="B48" i="14"/>
  <c r="F48" i="14" s="1"/>
  <c r="D109" i="14"/>
  <c r="E109" i="14" s="1"/>
  <c r="B98" i="14"/>
  <c r="F98" i="14" s="1"/>
  <c r="B107" i="14"/>
  <c r="F107" i="14" s="1"/>
  <c r="D36" i="14"/>
  <c r="E36" i="14" s="1"/>
  <c r="D55" i="14"/>
  <c r="E55" i="14" s="1"/>
  <c r="C115" i="14"/>
  <c r="G115" i="14" s="1"/>
  <c r="D4" i="14"/>
  <c r="E4" i="14" s="1"/>
  <c r="D64" i="14"/>
  <c r="E64" i="14" s="1"/>
  <c r="D113" i="14"/>
  <c r="E113" i="14" s="1"/>
  <c r="D102" i="14"/>
  <c r="E102" i="14" s="1"/>
  <c r="C6" i="14"/>
  <c r="G6" i="14" s="1"/>
  <c r="D71" i="14"/>
  <c r="E71" i="14" s="1"/>
  <c r="C53" i="14"/>
  <c r="G53" i="14" s="1"/>
  <c r="D43" i="14"/>
  <c r="E43" i="14" s="1"/>
  <c r="C57" i="14"/>
  <c r="G57" i="14" s="1"/>
  <c r="D79" i="14"/>
  <c r="E79" i="14" s="1"/>
  <c r="C99" i="14"/>
  <c r="G99" i="14" s="1"/>
  <c r="D27" i="14"/>
  <c r="E27" i="14" s="1"/>
  <c r="C93" i="14"/>
  <c r="G93" i="14" s="1"/>
  <c r="B6" i="14"/>
  <c r="F6" i="14" s="1"/>
  <c r="B53" i="14"/>
  <c r="F53" i="14" s="1"/>
  <c r="D18" i="14"/>
  <c r="E18" i="14" s="1"/>
  <c r="C39" i="14"/>
  <c r="G39" i="14" s="1"/>
  <c r="D3" i="14"/>
  <c r="E3" i="14" s="1"/>
  <c r="C16" i="14"/>
  <c r="G16" i="14" s="1"/>
  <c r="D15" i="14"/>
  <c r="E15" i="14" s="1"/>
  <c r="C78" i="14"/>
  <c r="G78" i="14" s="1"/>
  <c r="D92" i="14"/>
  <c r="E92" i="14" s="1"/>
  <c r="C70" i="14"/>
  <c r="G70" i="14" s="1"/>
  <c r="D62" i="14"/>
  <c r="E62" i="14" s="1"/>
  <c r="C47" i="14"/>
  <c r="G47" i="14" s="1"/>
  <c r="D67" i="14"/>
  <c r="E67" i="14" s="1"/>
  <c r="C90" i="14"/>
  <c r="G90" i="14" s="1"/>
  <c r="D42" i="14"/>
  <c r="E42" i="14" s="1"/>
  <c r="C10" i="14"/>
  <c r="G10" i="14" s="1"/>
  <c r="H10" i="14" s="1"/>
  <c r="D96" i="14"/>
  <c r="E96" i="14" s="1"/>
  <c r="C76" i="14"/>
  <c r="G76" i="14" s="1"/>
  <c r="C44" i="14"/>
  <c r="G44" i="14" s="1"/>
  <c r="D54" i="14"/>
  <c r="E54" i="14" s="1"/>
  <c r="C97" i="14"/>
  <c r="G97" i="14" s="1"/>
  <c r="D77" i="14"/>
  <c r="E77" i="14" s="1"/>
  <c r="C63" i="14"/>
  <c r="G63" i="14" s="1"/>
  <c r="D40" i="14"/>
  <c r="E40" i="14" s="1"/>
  <c r="C60" i="14"/>
  <c r="G60" i="14" s="1"/>
  <c r="B39" i="14"/>
  <c r="F39" i="14" s="1"/>
  <c r="B16" i="14"/>
  <c r="F16" i="14" s="1"/>
  <c r="B78" i="14"/>
  <c r="F78" i="14" s="1"/>
  <c r="B70" i="14"/>
  <c r="F70" i="14" s="1"/>
  <c r="B47" i="14"/>
  <c r="F47" i="14" s="1"/>
  <c r="B90" i="14"/>
  <c r="F90" i="14" s="1"/>
  <c r="B10" i="14"/>
  <c r="F10" i="14" s="1"/>
  <c r="B76" i="14"/>
  <c r="F76" i="14" s="1"/>
  <c r="B44" i="14"/>
  <c r="F44" i="14" s="1"/>
  <c r="B97" i="14"/>
  <c r="F97" i="14" s="1"/>
  <c r="B63" i="14"/>
  <c r="F63" i="14" s="1"/>
  <c r="B60" i="14"/>
  <c r="F60" i="14" s="1"/>
  <c r="B33" i="14"/>
  <c r="F33" i="14" s="1"/>
  <c r="B66" i="14"/>
  <c r="F66" i="14" s="1"/>
  <c r="B32" i="14"/>
  <c r="F32" i="14" s="1"/>
  <c r="B84" i="14"/>
  <c r="F84" i="14" s="1"/>
  <c r="B82" i="14"/>
  <c r="F82" i="14" s="1"/>
  <c r="B111" i="14"/>
  <c r="F111" i="14" s="1"/>
  <c r="B61" i="14"/>
  <c r="F61" i="14" s="1"/>
  <c r="D7" i="14"/>
  <c r="E7" i="14" s="1"/>
  <c r="C102" i="14"/>
  <c r="G102" i="14" s="1"/>
  <c r="D104" i="14"/>
  <c r="E104" i="14" s="1"/>
  <c r="C71" i="14"/>
  <c r="G71" i="14" s="1"/>
  <c r="C43" i="14"/>
  <c r="G43" i="14" s="1"/>
  <c r="D75" i="14"/>
  <c r="E75" i="14" s="1"/>
  <c r="B102" i="14"/>
  <c r="F102" i="14" s="1"/>
  <c r="B71" i="14"/>
  <c r="F71" i="14" s="1"/>
  <c r="D91" i="14"/>
  <c r="E91" i="14" s="1"/>
  <c r="C18" i="14"/>
  <c r="G18" i="14" s="1"/>
  <c r="D19" i="14"/>
  <c r="E19" i="14" s="1"/>
  <c r="C3" i="14"/>
  <c r="G3" i="14" s="1"/>
  <c r="D20" i="14"/>
  <c r="E20" i="14" s="1"/>
  <c r="C15" i="14"/>
  <c r="G15" i="14" s="1"/>
  <c r="D46" i="14"/>
  <c r="E46" i="14" s="1"/>
  <c r="C92" i="14"/>
  <c r="G92" i="14" s="1"/>
  <c r="D25" i="14"/>
  <c r="E25" i="14" s="1"/>
  <c r="C62" i="14"/>
  <c r="G62" i="14" s="1"/>
  <c r="D86" i="14"/>
  <c r="E86" i="14" s="1"/>
  <c r="C67" i="14"/>
  <c r="G67" i="14" s="1"/>
  <c r="D5" i="14"/>
  <c r="E5" i="14" s="1"/>
  <c r="C42" i="14"/>
  <c r="G42" i="14" s="1"/>
  <c r="D45" i="14"/>
  <c r="E45" i="14" s="1"/>
  <c r="C96" i="14"/>
  <c r="G96" i="14" s="1"/>
  <c r="D23" i="14"/>
  <c r="E23" i="14" s="1"/>
  <c r="C54" i="14"/>
  <c r="G54" i="14" s="1"/>
  <c r="D72" i="14"/>
  <c r="E72" i="14" s="1"/>
  <c r="C77" i="14"/>
  <c r="G77" i="14" s="1"/>
  <c r="D38" i="14"/>
  <c r="E38" i="14" s="1"/>
  <c r="C40" i="14"/>
  <c r="G40" i="14" s="1"/>
  <c r="D83" i="14"/>
  <c r="E83" i="14" s="1"/>
  <c r="C113" i="14"/>
  <c r="G113" i="14" s="1"/>
  <c r="B18" i="14"/>
  <c r="F18" i="14" s="1"/>
  <c r="B3" i="14"/>
  <c r="F3" i="14" s="1"/>
  <c r="B15" i="14"/>
  <c r="F15" i="14" s="1"/>
  <c r="B92" i="14"/>
  <c r="F92" i="14" s="1"/>
  <c r="B62" i="14"/>
  <c r="F62" i="14" s="1"/>
  <c r="B67" i="14"/>
  <c r="F67" i="14" s="1"/>
  <c r="B42" i="14"/>
  <c r="F42" i="14" s="1"/>
  <c r="C7" i="14"/>
  <c r="G7" i="14" s="1"/>
  <c r="D103" i="14"/>
  <c r="E103" i="14" s="1"/>
  <c r="C104" i="14"/>
  <c r="G104" i="14" s="1"/>
  <c r="D105" i="14"/>
  <c r="E105" i="14" s="1"/>
  <c r="C75" i="14"/>
  <c r="G75" i="14" s="1"/>
  <c r="D110" i="14"/>
  <c r="E110" i="14" s="1"/>
  <c r="C112" i="14"/>
  <c r="G112" i="14" s="1"/>
  <c r="B7" i="14"/>
  <c r="F7" i="14" s="1"/>
  <c r="B104" i="14"/>
  <c r="F104" i="14" s="1"/>
  <c r="D31" i="14"/>
  <c r="E31" i="14" s="1"/>
  <c r="C91" i="14"/>
  <c r="G91" i="14" s="1"/>
  <c r="D74" i="14"/>
  <c r="E74" i="14" s="1"/>
  <c r="C19" i="14"/>
  <c r="G19" i="14" s="1"/>
  <c r="D8" i="14"/>
  <c r="E8" i="14" s="1"/>
  <c r="C20" i="14"/>
  <c r="G20" i="14" s="1"/>
  <c r="D14" i="14"/>
  <c r="E14" i="14" s="1"/>
  <c r="C46" i="14"/>
  <c r="G46" i="14" s="1"/>
  <c r="D13" i="14"/>
  <c r="E13" i="14" s="1"/>
  <c r="C25" i="14"/>
  <c r="G25" i="14" s="1"/>
  <c r="D34" i="14"/>
  <c r="E34" i="14" s="1"/>
  <c r="C86" i="14"/>
  <c r="G86" i="14" s="1"/>
  <c r="D29" i="14"/>
  <c r="E29" i="14" s="1"/>
  <c r="B91" i="14"/>
  <c r="F91" i="14" s="1"/>
  <c r="B19" i="14"/>
  <c r="F19" i="14" s="1"/>
  <c r="B20" i="14"/>
  <c r="F20" i="14" s="1"/>
  <c r="B46" i="14"/>
  <c r="F46" i="14" s="1"/>
  <c r="B25" i="14"/>
  <c r="F25" i="14" s="1"/>
  <c r="B86" i="14"/>
  <c r="F86" i="14" s="1"/>
  <c r="B5" i="14"/>
  <c r="F5" i="14" s="1"/>
  <c r="B45" i="14"/>
  <c r="F45" i="14" s="1"/>
  <c r="B23" i="14"/>
  <c r="F23" i="14" s="1"/>
  <c r="B72" i="14"/>
  <c r="F72" i="14" s="1"/>
  <c r="B38" i="14"/>
  <c r="F38" i="14" s="1"/>
  <c r="B83" i="14"/>
  <c r="F83" i="14" s="1"/>
  <c r="B64" i="14"/>
  <c r="F64" i="14" s="1"/>
  <c r="B17" i="14"/>
  <c r="F17" i="14" s="1"/>
  <c r="B37" i="14"/>
  <c r="F37" i="14" s="1"/>
  <c r="B55" i="14"/>
  <c r="F55" i="14" s="1"/>
  <c r="B69" i="14"/>
  <c r="F69" i="14" s="1"/>
  <c r="B59" i="14"/>
  <c r="F59" i="14" s="1"/>
  <c r="D6" i="14"/>
  <c r="E6" i="14" s="1"/>
  <c r="C103" i="14"/>
  <c r="G103" i="14" s="1"/>
  <c r="D53" i="14"/>
  <c r="E53" i="14" s="1"/>
  <c r="B17" i="9"/>
  <c r="B30" i="9"/>
  <c r="B20" i="9"/>
  <c r="B33" i="9"/>
  <c r="B6" i="9"/>
  <c r="F12" i="9"/>
  <c r="F27" i="9"/>
  <c r="F16" i="9"/>
  <c r="F7" i="9"/>
  <c r="B4" i="9"/>
  <c r="F8" i="9"/>
  <c r="B116" i="14"/>
  <c r="F116" i="14" s="1"/>
  <c r="B12" i="14"/>
  <c r="F12" i="14" s="1"/>
  <c r="D93" i="14"/>
  <c r="E93" i="14" s="1"/>
  <c r="B112" i="14"/>
  <c r="F112" i="14" s="1"/>
  <c r="B105" i="14"/>
  <c r="F105" i="14" s="1"/>
  <c r="C48" i="14"/>
  <c r="G48" i="14" s="1"/>
  <c r="D51" i="14"/>
  <c r="E51" i="14" s="1"/>
  <c r="C98" i="14"/>
  <c r="G98" i="14" s="1"/>
  <c r="B80" i="14"/>
  <c r="F80" i="14" s="1"/>
  <c r="C107" i="14"/>
  <c r="G107" i="14" s="1"/>
  <c r="B35" i="14"/>
  <c r="F35" i="14" s="1"/>
  <c r="D28" i="14"/>
  <c r="E28" i="14" s="1"/>
  <c r="C69" i="14"/>
  <c r="G69" i="14" s="1"/>
  <c r="D82" i="14"/>
  <c r="E82" i="14" s="1"/>
  <c r="B73" i="14"/>
  <c r="F73" i="14" s="1"/>
  <c r="C66" i="14"/>
  <c r="G66" i="14" s="1"/>
  <c r="B40" i="14"/>
  <c r="F40" i="14" s="1"/>
  <c r="B77" i="14"/>
  <c r="F77" i="14" s="1"/>
  <c r="B54" i="14"/>
  <c r="F54" i="14" s="1"/>
  <c r="B34" i="14"/>
  <c r="F34" i="14" s="1"/>
  <c r="B14" i="14"/>
  <c r="F14" i="14" s="1"/>
  <c r="B74" i="14"/>
  <c r="F74" i="14" s="1"/>
  <c r="H80" i="14" l="1"/>
  <c r="H12" i="14"/>
  <c r="H105" i="14"/>
  <c r="H66" i="14"/>
  <c r="I66" i="14" s="1"/>
  <c r="J66" i="14" s="1"/>
  <c r="H69" i="14"/>
  <c r="I69" i="14" s="1"/>
  <c r="J69" i="14" s="1"/>
  <c r="H35" i="14"/>
  <c r="I35" i="14" s="1"/>
  <c r="J35" i="14" s="1"/>
  <c r="H34" i="14"/>
  <c r="I34" i="14" s="1"/>
  <c r="J34" i="14" s="1"/>
  <c r="H102" i="14"/>
  <c r="I102" i="14" s="1"/>
  <c r="J102" i="14" s="1"/>
  <c r="H47" i="14"/>
  <c r="I47" i="14" s="1"/>
  <c r="J47" i="14" s="1"/>
  <c r="H14" i="14"/>
  <c r="I14" i="14" s="1"/>
  <c r="J14" i="14" s="1"/>
  <c r="H56" i="14"/>
  <c r="I56" i="14" s="1"/>
  <c r="J56" i="14" s="1"/>
  <c r="H25" i="14"/>
  <c r="I25" i="14" s="1"/>
  <c r="J25" i="14" s="1"/>
  <c r="H48" i="14"/>
  <c r="I48" i="14" s="1"/>
  <c r="J48" i="14" s="1"/>
  <c r="H111" i="14"/>
  <c r="I111" i="14" s="1"/>
  <c r="J111" i="14" s="1"/>
  <c r="H39" i="14"/>
  <c r="I39" i="14" s="1"/>
  <c r="J39" i="14" s="1"/>
  <c r="H76" i="14"/>
  <c r="I76" i="14" s="1"/>
  <c r="J76" i="14" s="1"/>
  <c r="H73" i="14"/>
  <c r="I73" i="14" s="1"/>
  <c r="J73" i="14" s="1"/>
  <c r="H18" i="14"/>
  <c r="I18" i="14" s="1"/>
  <c r="J18" i="14" s="1"/>
  <c r="H52" i="14"/>
  <c r="I52" i="14" s="1"/>
  <c r="J52" i="14" s="1"/>
  <c r="H98" i="14"/>
  <c r="I98" i="14" s="1"/>
  <c r="J98" i="14" s="1"/>
  <c r="H42" i="14"/>
  <c r="I42" i="14" s="1"/>
  <c r="J42" i="14" s="1"/>
  <c r="H58" i="14"/>
  <c r="I58" i="14" s="1"/>
  <c r="J58" i="14" s="1"/>
  <c r="H40" i="14"/>
  <c r="I40" i="14" s="1"/>
  <c r="J40" i="14" s="1"/>
  <c r="H86" i="14"/>
  <c r="I86" i="14" s="1"/>
  <c r="J86" i="14" s="1"/>
  <c r="H78" i="14"/>
  <c r="I78" i="14" s="1"/>
  <c r="J78" i="14" s="1"/>
  <c r="H62" i="14"/>
  <c r="I62" i="14" s="1"/>
  <c r="J62" i="14" s="1"/>
  <c r="H46" i="14"/>
  <c r="I46" i="14" s="1"/>
  <c r="J46" i="14" s="1"/>
  <c r="H104" i="14"/>
  <c r="I104" i="14" s="1"/>
  <c r="J104" i="14" s="1"/>
  <c r="H115" i="14"/>
  <c r="I115" i="14" s="1"/>
  <c r="J115" i="14" s="1"/>
  <c r="H67" i="14"/>
  <c r="I67" i="14" s="1"/>
  <c r="J67" i="14" s="1"/>
  <c r="H107" i="14"/>
  <c r="I107" i="14" s="1"/>
  <c r="J107" i="14" s="1"/>
  <c r="H113" i="14"/>
  <c r="I113" i="14" s="1"/>
  <c r="J113" i="14" s="1"/>
  <c r="H54" i="14"/>
  <c r="I54" i="14" s="1"/>
  <c r="J54" i="14" s="1"/>
  <c r="H75" i="14"/>
  <c r="I75" i="14" s="1"/>
  <c r="J75" i="14" s="1"/>
  <c r="H116" i="14"/>
  <c r="I116" i="14" s="1"/>
  <c r="J116" i="14" s="1"/>
  <c r="H68" i="14"/>
  <c r="I68" i="14" s="1"/>
  <c r="J68" i="14" s="1"/>
  <c r="H103" i="14"/>
  <c r="I103" i="14" s="1"/>
  <c r="J103" i="14" s="1"/>
  <c r="H61" i="14"/>
  <c r="I61" i="14" s="1"/>
  <c r="J61" i="14" s="1"/>
  <c r="H64" i="14"/>
  <c r="I64" i="14" s="1"/>
  <c r="J64" i="14" s="1"/>
  <c r="H50" i="14"/>
  <c r="I50" i="14" s="1"/>
  <c r="J50" i="14" s="1"/>
  <c r="H60" i="14"/>
  <c r="I60" i="14" s="1"/>
  <c r="J60" i="14" s="1"/>
  <c r="H71" i="14"/>
  <c r="I71" i="14" s="1"/>
  <c r="J71" i="14" s="1"/>
  <c r="H91" i="14"/>
  <c r="I91" i="14" s="1"/>
  <c r="J91" i="14" s="1"/>
  <c r="H15" i="14"/>
  <c r="I15" i="14" s="1"/>
  <c r="J15" i="14" s="1"/>
  <c r="H70" i="14"/>
  <c r="I70" i="14" s="1"/>
  <c r="J70" i="14" s="1"/>
  <c r="H99" i="14"/>
  <c r="I99" i="14" s="1"/>
  <c r="J99" i="14" s="1"/>
  <c r="H28" i="14"/>
  <c r="I28" i="14" s="1"/>
  <c r="J28" i="14" s="1"/>
  <c r="H49" i="14"/>
  <c r="I49" i="14" s="1"/>
  <c r="J49" i="14" s="1"/>
  <c r="H21" i="14"/>
  <c r="I21" i="14" s="1"/>
  <c r="J21" i="14" s="1"/>
  <c r="H32" i="14"/>
  <c r="I32" i="14" s="1"/>
  <c r="J32" i="14" s="1"/>
  <c r="H17" i="14"/>
  <c r="I17" i="14" s="1"/>
  <c r="J17" i="14" s="1"/>
  <c r="H97" i="14"/>
  <c r="I97" i="14" s="1"/>
  <c r="J97" i="14" s="1"/>
  <c r="H108" i="14"/>
  <c r="I108" i="14" s="1"/>
  <c r="J108" i="14" s="1"/>
  <c r="H96" i="14"/>
  <c r="I96" i="14" s="1"/>
  <c r="J96" i="14" s="1"/>
  <c r="H3" i="14"/>
  <c r="I3" i="14" s="1"/>
  <c r="J3" i="14" s="1"/>
  <c r="I10" i="14"/>
  <c r="J10" i="14" s="1"/>
  <c r="H57" i="14"/>
  <c r="I57" i="14" s="1"/>
  <c r="J57" i="14" s="1"/>
  <c r="H51" i="14"/>
  <c r="I51" i="14" s="1"/>
  <c r="J51" i="14" s="1"/>
  <c r="H110" i="14"/>
  <c r="I110" i="14" s="1"/>
  <c r="J110" i="14" s="1"/>
  <c r="H26" i="14"/>
  <c r="I26" i="14" s="1"/>
  <c r="J26" i="14" s="1"/>
  <c r="H112" i="14"/>
  <c r="I112" i="14" s="1"/>
  <c r="J112" i="14" s="1"/>
  <c r="H44" i="14"/>
  <c r="I44" i="14" s="1"/>
  <c r="J44" i="14" s="1"/>
  <c r="H31" i="14"/>
  <c r="I31" i="14" s="1"/>
  <c r="J31" i="14" s="1"/>
  <c r="H16" i="14"/>
  <c r="I16" i="14" s="1"/>
  <c r="J16" i="14" s="1"/>
  <c r="H53" i="14"/>
  <c r="I53" i="14" s="1"/>
  <c r="J53" i="14" s="1"/>
  <c r="H109" i="14"/>
  <c r="I109" i="14" s="1"/>
  <c r="J109" i="14" s="1"/>
  <c r="H8" i="14"/>
  <c r="I8" i="14" s="1"/>
  <c r="J8" i="14" s="1"/>
  <c r="H27" i="14"/>
  <c r="I27" i="14" s="1"/>
  <c r="J27" i="14" s="1"/>
  <c r="H100" i="14"/>
  <c r="I100" i="14" s="1"/>
  <c r="J100" i="14" s="1"/>
  <c r="H74" i="14"/>
  <c r="I74" i="14" s="1"/>
  <c r="J74" i="14" s="1"/>
  <c r="I80" i="14"/>
  <c r="J80" i="14" s="1"/>
  <c r="I24" i="14"/>
  <c r="J24" i="14" s="1"/>
  <c r="H94" i="14"/>
  <c r="I94" i="14" s="1"/>
  <c r="J94" i="14" s="1"/>
  <c r="H13" i="14"/>
  <c r="I13" i="14" s="1"/>
  <c r="J13" i="14" s="1"/>
  <c r="H30" i="14"/>
  <c r="I30" i="14" s="1"/>
  <c r="J30" i="14" s="1"/>
  <c r="H81" i="14"/>
  <c r="I81" i="14" s="1"/>
  <c r="J81" i="14" s="1"/>
  <c r="H59" i="14"/>
  <c r="I59" i="14" s="1"/>
  <c r="J59" i="14" s="1"/>
  <c r="H6" i="14"/>
  <c r="I6" i="14" s="1"/>
  <c r="J6" i="14" s="1"/>
  <c r="H29" i="14"/>
  <c r="I29" i="14" s="1"/>
  <c r="J29" i="14" s="1"/>
  <c r="H33" i="14"/>
  <c r="I33" i="14" s="1"/>
  <c r="J33" i="14" s="1"/>
  <c r="H20" i="14"/>
  <c r="I20" i="14" s="1"/>
  <c r="J20" i="14" s="1"/>
  <c r="H79" i="14"/>
  <c r="I79" i="14" s="1"/>
  <c r="J79" i="14" s="1"/>
  <c r="H4" i="14"/>
  <c r="I4" i="14" s="1"/>
  <c r="J4" i="14" s="1"/>
  <c r="H45" i="14"/>
  <c r="I45" i="14" s="1"/>
  <c r="J45" i="14" s="1"/>
  <c r="H9" i="14"/>
  <c r="I9" i="14" s="1"/>
  <c r="J9" i="14" s="1"/>
  <c r="H41" i="14"/>
  <c r="I41" i="14" s="1"/>
  <c r="J41" i="14" s="1"/>
  <c r="H88" i="14"/>
  <c r="I88" i="14" s="1"/>
  <c r="J88" i="14" s="1"/>
  <c r="H90" i="14"/>
  <c r="I90" i="14" s="1"/>
  <c r="J90" i="14" s="1"/>
  <c r="H85" i="14"/>
  <c r="I85" i="14" s="1"/>
  <c r="J85" i="14" s="1"/>
  <c r="H106" i="14"/>
  <c r="I106" i="14" s="1"/>
  <c r="J106" i="14" s="1"/>
  <c r="I105" i="14"/>
  <c r="J105" i="14" s="1"/>
  <c r="H19" i="14"/>
  <c r="I19" i="14" s="1"/>
  <c r="J19" i="14" s="1"/>
  <c r="H7" i="14"/>
  <c r="I7" i="14" s="1"/>
  <c r="J7" i="14" s="1"/>
  <c r="H43" i="14"/>
  <c r="I43" i="14" s="1"/>
  <c r="J43" i="14" s="1"/>
  <c r="H82" i="14"/>
  <c r="I82" i="14" s="1"/>
  <c r="J82" i="14" s="1"/>
  <c r="H37" i="14"/>
  <c r="I37" i="14" s="1"/>
  <c r="J37" i="14" s="1"/>
  <c r="H118" i="14"/>
  <c r="I118" i="14" s="1"/>
  <c r="J118" i="14" s="1"/>
  <c r="H83" i="14"/>
  <c r="I83" i="14" s="1"/>
  <c r="J83" i="14" s="1"/>
  <c r="H77" i="14"/>
  <c r="I77" i="14" s="1"/>
  <c r="J77" i="14" s="1"/>
  <c r="H92" i="14"/>
  <c r="I92" i="14" s="1"/>
  <c r="J92" i="14" s="1"/>
  <c r="H93" i="14"/>
  <c r="I93" i="14" s="1"/>
  <c r="J93" i="14" s="1"/>
  <c r="H55" i="14"/>
  <c r="I55" i="14" s="1"/>
  <c r="J55" i="14" s="1"/>
  <c r="H101" i="14"/>
  <c r="I101" i="14" s="1"/>
  <c r="J101" i="14" s="1"/>
  <c r="H117" i="14"/>
  <c r="I117" i="14" s="1"/>
  <c r="J117" i="14" s="1"/>
  <c r="H23" i="14"/>
  <c r="I23" i="14" s="1"/>
  <c r="J23" i="14" s="1"/>
  <c r="H89" i="14"/>
  <c r="I89" i="14" s="1"/>
  <c r="J89" i="14" s="1"/>
  <c r="I12" i="14"/>
  <c r="J12" i="14" s="1"/>
  <c r="H63" i="14"/>
  <c r="I63" i="14" s="1"/>
  <c r="J63" i="14" s="1"/>
  <c r="H36" i="14"/>
  <c r="I36" i="14" s="1"/>
  <c r="J36" i="14" s="1"/>
  <c r="H22" i="14"/>
  <c r="I22" i="14" s="1"/>
  <c r="J22" i="14" s="1"/>
  <c r="H65" i="14"/>
  <c r="I65" i="14" s="1"/>
  <c r="J65" i="14" s="1"/>
  <c r="H5" i="14"/>
  <c r="I5" i="14" s="1"/>
  <c r="J5" i="14" s="1"/>
  <c r="H72" i="14"/>
  <c r="I72" i="14" s="1"/>
  <c r="J72" i="14" s="1"/>
  <c r="H95" i="14"/>
  <c r="I95" i="14" s="1"/>
  <c r="J95" i="14" s="1"/>
  <c r="H11" i="14"/>
  <c r="I11" i="14" s="1"/>
  <c r="J11" i="14" s="1"/>
  <c r="H114" i="14"/>
  <c r="I114" i="14" s="1"/>
  <c r="J114" i="14" s="1"/>
  <c r="H38" i="14"/>
  <c r="I38" i="14" s="1"/>
  <c r="J38" i="14" s="1"/>
  <c r="H84" i="14"/>
  <c r="I84" i="14" s="1"/>
  <c r="J84" i="14" s="1"/>
  <c r="Q4" i="9"/>
  <c r="T4" i="9" s="1"/>
  <c r="U4" i="9" s="1"/>
  <c r="L4" i="9"/>
  <c r="N4" i="9" s="1"/>
  <c r="L2" i="9"/>
  <c r="N2" i="9" s="1"/>
  <c r="L6" i="9"/>
  <c r="N6" i="9" s="1"/>
  <c r="D2" i="14"/>
  <c r="E2" i="14" s="1"/>
  <c r="L3" i="9"/>
  <c r="N3" i="9" s="1"/>
  <c r="Q2" i="9"/>
  <c r="T2" i="9" s="1"/>
  <c r="U2" i="9" s="1"/>
  <c r="C2" i="14"/>
  <c r="G2" i="14" s="1"/>
  <c r="L5" i="9"/>
  <c r="N5" i="9" s="1"/>
  <c r="B2" i="14"/>
  <c r="F2" i="14" s="1"/>
  <c r="L7" i="9"/>
  <c r="N7" i="9" s="1"/>
  <c r="Q8" i="9"/>
  <c r="T8" i="9" s="1"/>
  <c r="U8" i="9" s="1"/>
  <c r="Q3" i="9"/>
  <c r="T3" i="9" s="1"/>
  <c r="U3" i="9" s="1"/>
  <c r="Q6" i="9"/>
  <c r="T6" i="9" s="1"/>
  <c r="U6" i="9" s="1"/>
  <c r="L8" i="9"/>
  <c r="N8" i="9" s="1"/>
  <c r="Q5" i="9"/>
  <c r="T5" i="9" s="1"/>
  <c r="U5" i="9" s="1"/>
  <c r="Q7" i="9"/>
  <c r="T7" i="9" s="1"/>
  <c r="U7" i="9" s="1"/>
  <c r="L9" i="9"/>
  <c r="N9" i="9" s="1"/>
  <c r="Q10" i="9"/>
  <c r="T10" i="9" s="1"/>
  <c r="U10" i="9" s="1"/>
  <c r="Q9" i="9"/>
  <c r="T9" i="9" s="1"/>
  <c r="U9" i="9" s="1"/>
  <c r="H87" i="14"/>
  <c r="I87" i="14" s="1"/>
  <c r="J87" i="14" s="1"/>
  <c r="H2" i="14" l="1"/>
  <c r="I2" i="14" s="1"/>
  <c r="J2" i="14" s="1"/>
  <c r="BS2" i="3" l="1"/>
  <c r="V2" i="3"/>
  <c r="AU2" i="3" s="1"/>
  <c r="AC2" i="1" s="1"/>
  <c r="AR2" i="3"/>
  <c r="O2" i="5" l="1"/>
  <c r="P2" i="5" s="1"/>
  <c r="BK2" i="3"/>
  <c r="AD2" i="1"/>
  <c r="AG2" i="1"/>
  <c r="AF2" i="1"/>
  <c r="AE2" i="1"/>
  <c r="BP2" i="1" l="1"/>
  <c r="R2" i="5"/>
  <c r="Q2" i="5"/>
  <c r="G2" i="1"/>
  <c r="BU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E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0FE79557-CCD2-44BF-A9B9-46AFD1F639B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B3DBB5ED-6A4D-4E7F-BEA9-24606BC59836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2969CC0F-CCC6-4341-850D-F3120162A47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7898DB6F-470B-458A-A25F-907F8643831F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3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3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4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4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5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5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EC909246-4388-427A-BCE1-58A701F9141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0" authorId="0" shapeId="0" xr:uid="{4D14F203-882D-4BB9-B5C8-84A595BAC9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0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1" authorId="0" shapeId="0" xr:uid="{09B6D4F7-29B7-4A15-926C-0C73164ECA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1" authorId="0" shapeId="0" xr:uid="{FBA24E56-83F0-426E-86AE-772F93A4DB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1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1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2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3" authorId="0" shapeId="0" xr:uid="{222C965C-436E-4A86-A9BD-86542048F8E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3" authorId="0" shapeId="0" xr:uid="{59325584-21F2-47D9-8EC1-6F409D7C872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3" authorId="0" shapeId="0" xr:uid="{F85A9C12-4F91-447F-AFED-700E6583AA4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3" authorId="0" shapeId="0" xr:uid="{F8B0A9B1-9C93-4090-A740-B60FC0F9239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4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4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4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4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5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5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5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5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6" authorId="0" shapeId="0" xr:uid="{0D72574B-E156-4CFF-9E05-24DFF0A168D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6" authorId="0" shapeId="0" xr:uid="{65FABB62-DAEC-48ED-997A-BD2D931A81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6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6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7" authorId="0" shapeId="0" xr:uid="{839663E8-D2C5-4FDB-90AC-DFD4EAD37ED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7" authorId="0" shapeId="0" xr:uid="{FF066E7D-C2E8-4766-BBCA-017B758EB4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7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7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8" authorId="0" shapeId="0" xr:uid="{B60ABBB6-C380-4C90-8F70-C183EF2F2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8" authorId="0" shapeId="0" xr:uid="{627CA6C1-49B3-4250-BA1B-5DB36450BD4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8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9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19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19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0" authorId="0" shapeId="0" xr:uid="{3CEB69DF-B7FD-4353-940E-B43A4B661C5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0" authorId="0" shapeId="0" xr:uid="{9963D3C5-0D04-456F-AA75-35BE37EF2A6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0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1" authorId="0" shapeId="0" xr:uid="{647017E7-9694-4AA4-90A8-42037A122F7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1" authorId="0" shapeId="0" xr:uid="{C9811092-D718-464C-BE44-2F3BD9896B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1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36BD77C3-9562-48DA-9E49-57E032DC4FA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2" authorId="0" shapeId="0" xr:uid="{C2E4AE3B-5D95-44DB-87CA-8E7382424D1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2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47F0087C-4802-46CE-B1BD-F8FA20EBB2B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3" authorId="0" shapeId="0" xr:uid="{5898E87B-BD2C-4107-8514-F70F4FCC014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3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4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4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5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5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6A04206D-FECE-4252-8597-E9D0C2600D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6" authorId="0" shapeId="0" xr:uid="{8232B0BE-BEA9-4DFC-BD36-339CF62A81C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6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994BE11C-AB31-4FDC-A80C-9C69713DFF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7" authorId="0" shapeId="0" xr:uid="{18843488-02AB-4330-B6DC-0EC6F350AD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7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619E95D7-473A-47AB-B16A-1C406E64F2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8" authorId="0" shapeId="0" xr:uid="{A39AB514-C4B2-4536-A727-913AD89BD28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8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29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29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29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0" authorId="0" shapeId="0" xr:uid="{85F87E6C-65E3-465D-820E-27E29A26CF1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30" authorId="0" shapeId="0" xr:uid="{C090543F-3D2E-4FCF-8B85-0A16BA9D716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30" authorId="0" shapeId="0" xr:uid="{5E2C9E3D-97A2-4A76-A97A-20A8E3AFFE2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9B1D865A-6326-45B6-B406-29DCF04E239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1" authorId="0" shapeId="0" xr:uid="{3978F222-DFA3-4B7B-80CF-21BD34E5A88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1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1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2" authorId="0" shapeId="0" xr:uid="{D48F650D-E42D-45B9-BD9E-9B6A6AFCC1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2" authorId="0" shapeId="0" xr:uid="{63566ED2-ED39-4D4C-8A17-631B10C324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2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2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3" authorId="0" shapeId="0" xr:uid="{5C4CBD6A-B8B2-446E-B0C5-4704115ED39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3" authorId="0" shapeId="0" xr:uid="{717DD64B-CFF3-45EB-BFF4-AC0E66EF111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3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3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4" authorId="0" shapeId="0" xr:uid="{443AA8AC-F833-4881-AADD-04339C37AFA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4" authorId="0" shapeId="0" xr:uid="{474204EB-76E1-43BA-BCF1-08F62DF5BC7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4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6DDC0AD9-8DB1-464E-801A-4DFA80BF0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5" authorId="0" shapeId="0" xr:uid="{FF664A12-9240-4121-B986-5C0D2142C8C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5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6" authorId="0" shapeId="0" xr:uid="{9F88B2E8-5348-479B-A13A-3960D4673A4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6" authorId="0" shapeId="0" xr:uid="{D657D065-0AB3-4E32-9D91-7CAA712378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6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37" authorId="0" shapeId="0" xr:uid="{8651C8EE-A3B3-47B2-B389-D0873965B5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7" authorId="0" shapeId="0" xr:uid="{1D10CC56-1DB2-4CE2-8A95-8365B6BFCF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7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867416C9-4D23-4F17-B567-4F89773B26D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8" authorId="0" shapeId="0" xr:uid="{9952E722-4F08-4B3F-B1F4-37337BE523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8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9" authorId="0" shapeId="0" xr:uid="{48F7589A-3BE3-4719-BCDB-32E83A0AD6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9" authorId="0" shapeId="0" xr:uid="{4BAC5599-9F42-4E9B-8DC4-9B632E7D457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9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0" authorId="0" shapeId="0" xr:uid="{6FF6E265-7CE6-4B58-B750-99E734D76CD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0" authorId="0" shapeId="0" xr:uid="{81BE2032-FC03-4DD9-8F60-6AC007A6243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0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1" authorId="0" shapeId="0" xr:uid="{F71733A0-C48C-409F-92AC-B74F8F7E95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1" authorId="0" shapeId="0" xr:uid="{8455C2E1-4D8A-4A5D-9764-66CBC255600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1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2" authorId="0" shapeId="0" xr:uid="{47B483E5-2500-46CD-8F37-79CA81DD084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2" authorId="0" shapeId="0" xr:uid="{85A0ADB0-CF56-4A00-954D-0C957AF8171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2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BC99FB25-C3B0-4BC0-AE9A-B2011820EAD7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3" authorId="0" shapeId="0" xr:uid="{5B387879-8C80-4630-8C61-EC864C3C477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3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AC4F9FDF-9044-4D8E-9EBC-24826F2D049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4" authorId="0" shapeId="0" xr:uid="{32B52ED5-81E3-4D11-B4E1-167C1018932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4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D5D8378C-EF95-4BAB-9180-47D5C058B9F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5" authorId="0" shapeId="0" xr:uid="{AFE9C259-7E4E-46D1-8547-EF1767B4010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5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C9787CFA-0286-4FBC-BD2A-61FC1FE8E3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6" authorId="0" shapeId="0" xr:uid="{DD457F15-C158-4E57-B1F7-4B6711A47F4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6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949F6839-37F7-4452-A33D-40F81280DA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7" authorId="0" shapeId="0" xr:uid="{A2393C7A-0B22-42D3-9F79-589535272C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7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6E751C45-1388-4CD4-B586-125FC556C46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8" authorId="0" shapeId="0" xr:uid="{84531A56-688F-4738-9765-BCCDDD0E2E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8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347E5058-E5DC-47E9-89C8-024C8E99FB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9" authorId="0" shapeId="0" xr:uid="{DCBA4E4D-5764-4E5C-9F63-846F99C0F0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9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F4655DAC-F578-4045-AB4A-D334E856DF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0" authorId="0" shapeId="0" xr:uid="{F9797EE1-F385-45E5-8D22-1710B20342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0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7A8889B9-7079-49D0-9A88-07086D6A2A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1" authorId="0" shapeId="0" xr:uid="{B74FD7B2-09EE-46C4-AC50-ED8EE4B397E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1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3CCD5A43-1F55-4B2E-871A-86CCCD75FB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2" authorId="0" shapeId="0" xr:uid="{96C84B37-5F9D-4C53-88EE-B60DFA4D9AB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2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3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3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4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4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4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4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5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55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55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9DAF1A09-0613-46FA-8AC4-452229DAFE2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56" authorId="0" shapeId="0" xr:uid="{300A219B-C7EC-4910-9746-B6390E3450B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56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7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57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57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8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58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58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58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59" authorId="0" shapeId="0" xr:uid="{BCDEB8DF-456F-497D-998F-21CE09BA738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9" authorId="0" shapeId="0" xr:uid="{EF1818A5-8385-4299-ADE9-AE457017FE4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9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59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0" authorId="0" shapeId="0" xr:uid="{5E570711-7E67-4C0C-A734-328D3E431B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0" authorId="0" shapeId="0" xr:uid="{BB4F5C09-08A5-4432-ADE8-A1E964C4BC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0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0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Z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G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I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J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M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Q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A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B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C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M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O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K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68" authorId="0" shapeId="0" xr:uid="{886477DE-48F5-40E1-90A9-4B018364594E}">
      <text>
        <r>
          <rPr>
            <b/>
            <sz val="9"/>
            <color indexed="81"/>
            <rFont val="Tahoma"/>
            <family val="2"/>
            <charset val="204"/>
          </rPr>
          <t>https://www.bto.org/learn/about-birds/birdfacts/mute-swan#biometrics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C69" authorId="0" shapeId="0" xr:uid="{0A9EA520-CB49-4AE9-89E3-81C91D5556A0}">
      <text>
        <r>
          <rPr>
            <b/>
            <sz val="9"/>
            <color indexed="81"/>
            <rFont val="Tahoma"/>
            <family val="2"/>
            <charset val="204"/>
          </rPr>
          <t>https://www.bto.org/learn/about-birds/birdfacts/grey-heron#biometrics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C70" authorId="0" shapeId="0" xr:uid="{5965B471-0A01-438A-99CC-9CF3F8AA8990}">
      <text>
        <r>
          <rPr>
            <b/>
            <sz val="9"/>
            <color indexed="81"/>
            <rFont val="Tahoma"/>
            <family val="2"/>
            <charset val="204"/>
          </rPr>
          <t>https://web.archive.org/web/20090226145743/http://en.tourduvalat.org/content/download/7378/73859/version/2/file/All+About+Greater+Flamingo.pdf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71" authorId="0" shapeId="0" xr:uid="{74B5B9C9-D118-4528-8BAC-991F14CD86F7}">
      <text>
        <r>
          <rPr>
            <b/>
            <sz val="9"/>
            <color indexed="81"/>
            <rFont val="Tahoma"/>
            <family val="2"/>
            <charset val="204"/>
          </rPr>
          <t xml:space="preserve">Marchant, S; Higgins PJ (1990). Handbook of Australian, New Zealand and Antarctic Birds, Vol. 1A. 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K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C72" authorId="0" shapeId="0" xr:uid="{6A7EE385-B194-4ECB-923B-91D3322C212F}">
      <text>
        <r>
          <rPr>
            <b/>
            <sz val="9"/>
            <color indexed="81"/>
            <rFont val="Tahoma"/>
            <family val="2"/>
            <charset val="204"/>
          </rPr>
          <t>https://www.bto.org/learn/about-birds/birdfacts/indian-peafowl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C73" authorId="0" shapeId="0" xr:uid="{AAC63E79-AA69-4E20-9579-734CDC46C87A}">
      <text>
        <r>
          <rPr>
            <b/>
            <sz val="9"/>
            <color indexed="81"/>
            <rFont val="Tahoma"/>
            <family val="2"/>
            <charset val="204"/>
          </rPr>
          <t>https://worldspecies.org/ntaxa/907754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C76" authorId="0" shapeId="0" xr:uid="{FF68697D-4870-412B-AD67-9E10E84939E6}">
      <text>
        <r>
          <rPr>
            <b/>
            <sz val="9"/>
            <color indexed="81"/>
            <rFont val="Tahoma"/>
            <family val="2"/>
            <charset val="204"/>
          </rPr>
          <t>https://web.archive.org/web/20130730061210/http://www.seaworld.org/animal-info/animal-bytes/animalia/eumetazoa/coelomates/deuterostomes/chordata/craniata/amphibia/anura/north-american-bullfrog.htm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78" authorId="0" shapeId="0" xr:uid="{8034653B-10F3-4B60-99A7-5A9A1995563E}">
      <text>
        <r>
          <rPr>
            <b/>
            <sz val="9"/>
            <color indexed="81"/>
            <rFont val="Tahoma"/>
            <family val="2"/>
            <charset val="204"/>
          </rPr>
          <t>https://www.jzar.org/jzar/article/view/905/524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C79" authorId="0" shapeId="0" xr:uid="{3F5AF19B-DF01-4E83-8010-160DFF7C931F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https://www.app.pan.pl/archive/published/app61/app001362014.pdf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81" authorId="0" shapeId="0" xr:uid="{ABE7E6D8-BD0C-46E6-9CDA-00592206873A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C82" authorId="0" shapeId="0" xr:uid="{8326824D-CAF7-405B-AA35-BE0EF256C27D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83" authorId="0" shapeId="0" xr:uid="{7865F458-AD65-4E3F-849F-4D37EA3274BB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84" authorId="0" shapeId="0" xr:uid="{912E1997-2B8B-481D-8EFE-777AAF271614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C85" authorId="0" shapeId="0" xr:uid="{600B7B87-2768-4DD3-A114-B5AD6F93D5D8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C86" authorId="0" shapeId="0" xr:uid="{6579A4F6-DF9F-4689-B7CD-21E22978B735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https://en.wikipedia.org/wiki/California_sea_lion</t>
        </r>
      </text>
    </comment>
    <comment ref="AK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C87" authorId="0" shapeId="0" xr:uid="{4D63F559-910D-4A25-B1E2-DED2823D68A4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AK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C88" authorId="0" shapeId="0" xr:uid="{B545EA1B-4A49-4295-A900-00648E623334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K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C89" authorId="0" shapeId="0" xr:uid="{D70B1DAC-A3F4-4265-B40A-FC7B529A080B}">
      <text>
        <r>
          <rPr>
            <b/>
            <sz val="9"/>
            <color indexed="81"/>
            <rFont val="Tahoma"/>
            <family val="2"/>
            <charset val="204"/>
          </rPr>
          <t>Rothman et al. (2008) https://doi.org/10.1007/s00442-007-0901-1</t>
        </r>
      </text>
    </comment>
    <comment ref="C90" authorId="0" shapeId="0" xr:uid="{2504DAAD-9B05-498C-9C2A-3CF150032A2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https://en.wikipedia.org/wiki/Komodo_dragon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C91" authorId="0" shapeId="0" xr:uid="{24B7216F-8B42-4A8C-ADDB-06C363CEF942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K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C92" authorId="0" shapeId="0" xr:uid="{BE6D6132-F95C-4C9F-80E8-BE1C27FF8311}">
      <text>
        <r>
          <rPr>
            <b/>
            <sz val="9"/>
            <color indexed="81"/>
            <rFont val="Tahoma"/>
            <family val="2"/>
            <charset val="204"/>
          </rPr>
          <t>https://www.euroturtle.org/green_diagnostic.htm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C93" authorId="0" shapeId="0" xr:uid="{10A07CED-2EC8-4932-A5A7-70F89BCB21D7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C94" authorId="0" shapeId="0" xr:uid="{9D77806D-B40A-48CB-ABEB-BFA5736D0570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https://www.sciencedirect.com/science/article/abs/pii/S0305049196002568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95" authorId="0" shapeId="0" xr:uid="{BDD42076-D4B6-4995-B1A8-689C8B1B28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C96" authorId="0" shapeId="0" xr:uid="{68835012-A7D3-499A-9582-C5F82B29A86D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C99" authorId="0" shapeId="0" xr:uid="{DE08CC1E-D0E8-4FC8-9E5D-95B461FAAA6D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C100" authorId="0" shapeId="0" xr:uid="{52BB189A-669E-42AC-A508-E59EED4EB8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https://www.researchgate.net/publication/232685584_New_body_mass_estimates_for_Canis_dirus_the_extinct_Pleistocene_dire_wolf</t>
        </r>
      </text>
    </comment>
    <comment ref="C101" authorId="0" shapeId="0" xr:uid="{A8BC0ABD-FC06-4861-83A9-13F1274269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2" authorId="0" shapeId="0" xr:uid="{77CDCF02-757A-4EDC-AB05-3246F9CD4F0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3" authorId="0" shapeId="0" xr:uid="{D0D47ED6-34C3-4139-8850-33565D5676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4" authorId="0" shapeId="0" xr:uid="{3BE18313-9EC1-4878-A87E-9189BE8A38F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5" authorId="0" shapeId="0" xr:uid="{A02F33A8-4BA5-4B98-ADDE-1436089E3E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6" authorId="0" shapeId="0" xr:uid="{905A6147-AA0D-4997-B20F-DAA6564B63E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7" authorId="0" shapeId="0" xr:uid="{699FF5D5-E2D7-403D-BB61-4FF174E3C5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8" authorId="0" shapeId="0" xr:uid="{594FCAB2-E8E4-4896-B434-F318EAEDC5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9" authorId="0" shapeId="0" xr:uid="{DBCE35A6-3E6A-4187-978A-6673F62E8C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https://genomics.senescence.info/species/entry.php?species=Canis_latrans</t>
        </r>
      </text>
    </comment>
    <comment ref="C110" authorId="0" shapeId="0" xr:uid="{EAC650DB-3F8C-431A-B965-E47A2130C639}">
      <text>
        <r>
          <rPr>
            <b/>
            <sz val="9"/>
            <color indexed="81"/>
            <rFont val="Tahoma"/>
            <family val="2"/>
            <charset val="204"/>
          </rPr>
          <t>Sklenar (2011) https://www.ibg.uu.se/digitalAssets/174/c_174490-l_3-k_sklenar-mia-report.pdf</t>
        </r>
      </text>
    </comment>
    <comment ref="C111" authorId="0" shapeId="0" xr:uid="{01EC2336-86EF-4D5D-A441-7D96BAF5C17C}">
      <text>
        <r>
          <rPr>
            <b/>
            <sz val="9"/>
            <color indexed="81"/>
            <rFont val="Tahoma"/>
            <family val="2"/>
            <charset val="204"/>
          </rPr>
          <t>Sklenar (2011) https://www.ibg.uu.se/digitalAssets/174/c_174490-l_3-k_sklenar-mia-report.pdf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C112" authorId="0" shapeId="0" xr:uid="{919B22D9-C675-4AA0-87EC-6E56990D80B0}">
      <text>
        <r>
          <rPr>
            <b/>
            <sz val="9"/>
            <color indexed="81"/>
            <rFont val="Tahoma"/>
            <family val="2"/>
            <charset val="204"/>
          </rPr>
          <t>Sklenar (2011) https://www.ibg.uu.se/digitalAssets/174/c_174490-l_3-k_sklenar-mia-report.pdf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C113" authorId="0" shapeId="0" xr:uid="{8BCEA0ED-22F1-4425-A66D-F5802181D32C}">
      <text>
        <r>
          <rPr>
            <b/>
            <sz val="9"/>
            <color indexed="81"/>
            <rFont val="Tahoma"/>
            <family val="2"/>
            <charset val="204"/>
          </rPr>
          <t>https://doi.org/10.1111/j.1365-2028.1987.tb01113.x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K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C114" authorId="0" shapeId="0" xr:uid="{54A44C19-3216-47E1-B315-A9091EE7B391}">
      <text>
        <r>
          <rPr>
            <b/>
            <sz val="9"/>
            <color indexed="81"/>
            <rFont val="Tahoma"/>
            <family val="2"/>
            <charset val="204"/>
          </rPr>
          <t>https://wildfact.com/forum/topic-modern-weights-and-morphometric-measurements-of-the-cheetah-acinonyx-jubatus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C115" authorId="0" shapeId="0" xr:uid="{6C743E18-8E4C-43F9-A746-D231D7A66BC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https://genomics.senescence.info/species/entry.php?species=Vombatus_ursinus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16" authorId="0" shapeId="0" xr:uid="{2668E199-A6D7-46E0-BDB6-A8A9FB381E1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https://genomics.senescence.info/species/entry.php?species=Macropus_rufus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17" authorId="0" shapeId="0" xr:uid="{D4A2A3C9-9E89-4FFB-BDFD-BC20395514D0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https://genomics.senescence.info/species/entry.php?species=Phascolarctos_cinereus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18" authorId="0" shapeId="0" xr:uid="{44342369-6409-46C8-8D84-7DBA242B4E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K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C119" authorId="0" shapeId="0" xr:uid="{66F7216F-DCE4-4E55-8EBE-49FA943C1BA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https://genomics.senescence.info/species/entry.php?species=Canis_latrans</t>
        </r>
      </text>
    </comment>
    <comment ref="C120" authorId="0" shapeId="0" xr:uid="{1F5E52F5-1A3A-435F-8ED7-18EF9CB17162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https://genomics.senescence.info/species/entry.php?species=Ursus_americanus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C121" authorId="0" shapeId="0" xr:uid="{DEE6FBC7-7167-4A7F-8574-004C1011856D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C122" authorId="0" shapeId="0" xr:uid="{9964A1FB-5534-4925-9645-73D7DCFB4E4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https://genomics.senescence.info/species/entry.php?species=Centrochelys_sulcata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C124" authorId="0" shapeId="0" xr:uid="{8E949FA2-CC04-49F9-9F71-8ABFE11A58A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https://genomics.senescence.info/species/entry.php?species=Heloderma_horridum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25" authorId="0" shapeId="0" xr:uid="{24DD954F-298C-4F3F-A1AC-6C12554BD0CA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C126" authorId="0" shapeId="0" xr:uid="{34E31B97-23EF-4324-AFC6-E0E46202F81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https://genomics.senescence.info/species/entry.php?species=Crotalus_adamanteus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28" authorId="0" shapeId="0" xr:uid="{E945A459-BD7B-4CED-A849-A9B6FA39680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https://genomics.senescence.info/species/entry.php?species=Ailurus_fulgens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29" authorId="0" shapeId="0" xr:uid="{30703709-CA5D-4929-81B1-7F97640A6DF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C130" authorId="0" shapeId="0" xr:uid="{3D801C19-5087-4645-A0D9-4B20C37A0F8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https://genomics.senescence.info/species/entry.php?species=Castor_fiber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K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C131" authorId="0" shapeId="0" xr:uid="{E2668BFF-AFDD-4F1E-9D9D-BE216CEEBB22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https://genomics.senescence.info/species/entry.php?species=Erinaceus_europaeus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C133" authorId="0" shapeId="0" xr:uid="{F2CF2993-0A97-4AEB-9494-E373A0B120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https://genomics.senescence.info/species/entry.php?species=Lemur_catta</t>
        </r>
      </text>
    </comment>
    <comment ref="C134" authorId="0" shapeId="0" xr:uid="{78000E53-54FB-4A7D-98AB-B16D722F5A19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C135" authorId="0" shapeId="0" xr:uid="{547F25F3-DBC7-4A84-92B1-88764713F772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36" authorId="0" shapeId="0" xr:uid="{E5E90817-645E-49EE-89A4-20871963F3B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https://genomics.senescence.info/species/entry.php?species=Eunectes_murinus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C137" authorId="0" shapeId="0" xr:uid="{95D2A242-E7E8-44DB-A736-B83C8F7957B6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https://www.app.pan.pl/archive/published/app61/app001362014.pdf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C138" authorId="0" shapeId="0" xr:uid="{641D98CF-F7E8-4F3F-8BCD-CC720C0BBC59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39" authorId="0" shapeId="0" xr:uid="{A0E21649-FC0D-4609-8390-6945CC304A37}">
      <text>
        <r>
          <rPr>
            <b/>
            <sz val="9"/>
            <color indexed="81"/>
            <rFont val="Tahoma"/>
            <family val="2"/>
            <charset val="204"/>
          </rPr>
          <t>https://en.wikipedia.org/wiki/Beagle</t>
        </r>
      </text>
    </comment>
    <comment ref="C140" authorId="0" shapeId="0" xr:uid="{67E925F7-F0E4-47E3-90B3-C0705A3DBCC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https://en.wikipedia.org/wiki/Chihuahua_(dog_breed)</t>
        </r>
      </text>
    </comment>
    <comment ref="C141" authorId="0" shapeId="0" xr:uid="{996B150B-37BC-434A-9753-68F581081E5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https://en.wikipedia.org/wiki/Welsh_Corgi</t>
        </r>
      </text>
    </comment>
    <comment ref="C142" authorId="0" shapeId="0" xr:uid="{AA267B8C-DE0F-4B7E-A169-894F4D445C02}">
      <text>
        <r>
          <rPr>
            <b/>
            <sz val="9"/>
            <color indexed="81"/>
            <rFont val="Tahoma"/>
            <family val="2"/>
            <charset val="204"/>
          </rPr>
          <t>https://en.wikipedia.org/wiki/French_Bulldog</t>
        </r>
      </text>
    </comment>
    <comment ref="C143" authorId="0" shapeId="0" xr:uid="{1145EB2E-DA3A-4E3B-B310-36A1C7D3154A}">
      <text>
        <r>
          <rPr>
            <b/>
            <sz val="9"/>
            <color indexed="81"/>
            <rFont val="Tahoma"/>
            <family val="2"/>
            <charset val="204"/>
          </rPr>
          <t>https://en.wikipedia.org/wiki/German_Shepherd and https://ru.wikipedia.org/wiki/Восточноевропейская_овчарка</t>
        </r>
      </text>
    </comment>
    <comment ref="C144" authorId="0" shapeId="0" xr:uid="{D55E09F9-E430-431B-B8D8-709BF3B68A17}">
      <text>
        <r>
          <rPr>
            <b/>
            <sz val="9"/>
            <color indexed="81"/>
            <rFont val="Tahoma"/>
            <family val="2"/>
            <charset val="204"/>
          </rPr>
          <t>https://ru.wikipedia.org/wiki/Немецкий_дог</t>
        </r>
      </text>
    </comment>
    <comment ref="C145" authorId="0" shapeId="0" xr:uid="{5FBCF013-20FC-464B-BAF4-3FF043BD7E9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https://en.wikipedia.org/wiki/Poodle</t>
        </r>
      </text>
    </comment>
    <comment ref="C146" authorId="0" shapeId="0" xr:uid="{AEF0B278-DB08-4DA3-B8EF-F9D9D4E80509}">
      <text>
        <r>
          <rPr>
            <b/>
            <sz val="9"/>
            <color indexed="81"/>
            <rFont val="Tahoma"/>
            <family val="2"/>
            <charset val="204"/>
          </rPr>
          <t>https://en.wikipedia.org/wiki/Pug</t>
        </r>
      </text>
    </comment>
    <comment ref="C147" authorId="0" shapeId="0" xr:uid="{376D00BB-8F6B-4718-B011-275E27B1E933}">
      <text>
        <r>
          <rPr>
            <b/>
            <sz val="9"/>
            <color indexed="81"/>
            <rFont val="Tahoma"/>
            <family val="2"/>
            <charset val="204"/>
          </rPr>
          <t>https://en.wikipedia.org/wiki/Rottweiler</t>
        </r>
      </text>
    </comment>
    <comment ref="C148" authorId="0" shapeId="0" xr:uid="{40168306-3A0B-4C5C-B707-2FF1EFCC5526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https://en.wikipedia.org/wiki/Shih_Tzu</t>
        </r>
      </text>
    </comment>
    <comment ref="C149" authorId="0" shapeId="0" xr:uid="{0DF5B81D-720A-4089-946B-FEA235848253}">
      <text>
        <r>
          <rPr>
            <b/>
            <sz val="9"/>
            <color indexed="81"/>
            <rFont val="Tahoma"/>
            <family val="2"/>
            <charset val="204"/>
          </rPr>
          <t>https://ru.wikipedia.org/wiki/Эрдельтерьер</t>
        </r>
      </text>
    </comment>
    <comment ref="C150" authorId="0" shapeId="0" xr:uid="{242DB4B2-6A13-43BE-886B-6B3EF2DB95BD}">
      <text>
        <r>
          <rPr>
            <b/>
            <sz val="9"/>
            <color indexed="81"/>
            <rFont val="Tahoma"/>
            <family val="2"/>
            <charset val="204"/>
          </rPr>
          <t>https://en.wikipedia.org/wiki/Abyssinian_cat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C151" authorId="0" shapeId="0" xr:uid="{6464FA0F-A6F5-4F28-B9D2-24FD6AF9EE75}">
      <text>
        <r>
          <rPr>
            <b/>
            <sz val="9"/>
            <color indexed="81"/>
            <rFont val="Tahoma"/>
            <family val="2"/>
            <charset val="204"/>
          </rPr>
          <t>https://ru.wikipedia.org/wiki/Бенгальская_кошка_(домашняя)</t>
        </r>
      </text>
    </comment>
    <comment ref="C152" authorId="0" shapeId="0" xr:uid="{2DF5A5F5-FDDA-4766-A9BA-3E3DE7132782}">
      <text>
        <r>
          <rPr>
            <b/>
            <sz val="9"/>
            <color indexed="81"/>
            <rFont val="Tahoma"/>
            <family val="2"/>
            <charset val="204"/>
          </rPr>
          <t>https://en.wikipedia.org/wiki/British_Shorthair</t>
        </r>
      </text>
    </comment>
    <comment ref="C153" authorId="0" shapeId="0" xr:uid="{436E075E-454D-4256-9909-6D9A753779FD}">
      <text>
        <r>
          <rPr>
            <b/>
            <sz val="9"/>
            <color indexed="81"/>
            <rFont val="Tahoma"/>
            <family val="2"/>
            <charset val="204"/>
          </rPr>
          <t>https://en.wikipedia.org/wiki/Maine_Coon</t>
        </r>
      </text>
    </comment>
    <comment ref="C154" authorId="0" shapeId="0" xr:uid="{0FE3AE1A-7A7A-4D06-8179-166674D4D756}">
      <text>
        <r>
          <rPr>
            <b/>
            <sz val="9"/>
            <color indexed="81"/>
            <rFont val="Tahoma"/>
            <family val="2"/>
            <charset val="204"/>
          </rPr>
          <t>https://en.wikipedia.org/wiki/Munchkin_cat</t>
        </r>
      </text>
    </comment>
    <comment ref="C155" authorId="0" shapeId="0" xr:uid="{C52295A0-D5CA-464E-94F7-EE3F84AB7E44}">
      <text>
        <r>
          <rPr>
            <b/>
            <sz val="9"/>
            <color indexed="81"/>
            <rFont val="Tahoma"/>
            <family val="2"/>
            <charset val="204"/>
          </rPr>
          <t>https://en.wikipedia.org/wiki/Norwegian_Forest_Cat</t>
        </r>
      </text>
    </comment>
    <comment ref="C156" authorId="0" shapeId="0" xr:uid="{3ECCE8BD-DD43-4D59-B49E-948ABC83FDEE}">
      <text>
        <r>
          <rPr>
            <b/>
            <sz val="9"/>
            <color indexed="81"/>
            <rFont val="Tahoma"/>
            <family val="2"/>
            <charset val="204"/>
          </rPr>
          <t>https://www.11pets.com/en/news/persian-weight-chart</t>
        </r>
      </text>
    </comment>
    <comment ref="C157" authorId="0" shapeId="0" xr:uid="{0BEE6656-F0BC-4B47-B1B1-6767C79D8A75}">
      <text>
        <r>
          <rPr>
            <b/>
            <sz val="9"/>
            <color indexed="81"/>
            <rFont val="Tahoma"/>
            <family val="2"/>
            <charset val="204"/>
          </rPr>
          <t>https://www.11pets.com/en/news/siamese-cat-weight-chart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P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Q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R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S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W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X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C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H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  <comment ref="Z1" authorId="0" shapeId="0" xr:uid="{B9EC20C2-F26D-4A91-A00E-E129E99E49CA}">
      <text>
        <r>
          <rPr>
            <b/>
            <sz val="9"/>
            <color indexed="81"/>
            <rFont val="Tahoma"/>
            <family val="2"/>
            <charset val="204"/>
          </rPr>
          <t>Mammals: Annaidha et al. (2011) https://doi.org/10.1016/j.jmbbm.2011.08.016
Shadwick et al. (1992) http://www.jstor.org/stable/57137
Sherman et al. (2015) https://doi.org/10.1016/j.jmbbm.2015.05.023
Birds: Sherman et al. (2015) https://doi.org/10.1016/j.jmbbm.2015.05.023
Osteoderms: Chen et al. (2014) https://doi.org/10.1016/j.msec.2013.11.024
Turtle: https://pdfs.semanticscholar.org/f80e/fe1af2dab9c9935f84661ce7ae493d4b744d.pdf
https://doi.org/10.1016/0010-4361(95)93675-A</t>
        </r>
      </text>
    </comment>
    <comment ref="AA1" authorId="0" shapeId="0" xr:uid="{CF77FACF-3759-416A-818C-83A0391A882B}">
      <text>
        <r>
          <rPr>
            <b/>
            <sz val="9"/>
            <color indexed="81"/>
            <rFont val="Tahoma"/>
            <family val="2"/>
            <charset val="204"/>
          </rPr>
          <t>Mammals: Annaidha et al. (2011) https://doi.org/10.1016/j.jmbbm.2011.08.016
Shadwick et al. (1992) http://www.jstor.org/stable/57137
Sherman et al. (2015) https://doi.org/10.1016/j.jmbbm.2015.05.023
Thrumbo (=strongest tendon): Lewis &amp; Shaw (1997) https://doi.org/10.1016/s1067-2516(97)80096-8
Birds: Sherman et al. (2015) https://doi.org/10.1016/j.jmbbm.2015.05.023
Osteoderms: Chen et al. (2014) https://doi.org/10.1016/j.msec.2013.11.024
Turtle: https://pdfs.semanticscholar.org/f80e/fe1af2dab9c9935f84661ce7ae493d4b744d.pdf
https://doi.org/10.1016/0010-4361(95)93675-A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<sst xmlns="http://schemas.openxmlformats.org/spreadsheetml/2006/main" count="4866" uniqueCount="1211">
  <si>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</si>
  <si>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</si>
  <si>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</si>
  <si>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</si>
  <si>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</si>
  <si>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</si>
  <si>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</si>
  <si>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</si>
  <si>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</si>
  <si>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</si>
  <si>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</si>
  <si>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</si>
  <si>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</si>
  <si>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</si>
  <si>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</si>
  <si>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</si>
  <si>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</si>
  <si>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</si>
  <si>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</si>
  <si>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</si>
  <si>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</si>
  <si>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</si>
  <si>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</si>
  <si>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</si>
  <si>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</si>
  <si>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</si>
  <si>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</si>
  <si>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</si>
  <si>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</si>
  <si>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</si>
  <si>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</si>
  <si>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</si>
  <si>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</si>
  <si>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</si>
  <si>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</si>
  <si>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</si>
  <si>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</si>
  <si>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</si>
  <si>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</si>
  <si>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</si>
  <si>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</si>
  <si>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</si>
  <si>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</si>
  <si>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</si>
  <si>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</si>
  <si>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</si>
  <si>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</si>
  <si>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</si>
  <si>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</si>
  <si>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</si>
  <si>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</si>
  <si>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</si>
  <si>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</si>
  <si>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</si>
  <si>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</si>
  <si>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</si>
  <si>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</si>
  <si>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</si>
  <si>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</si>
  <si>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</si>
  <si>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</si>
  <si>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</si>
  <si>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</si>
  <si>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</si>
  <si>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</si>
  <si>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</si>
  <si>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</si>
  <si>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</si>
  <si>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</si>
  <si>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</si>
  <si>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</si>
  <si>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</si>
  <si>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Elephantlike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</si>
  <si>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</si>
  <si>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</si>
  <si>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</si>
  <si>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</si>
  <si>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</si>
  <si>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</si>
  <si>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</si>
  <si>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</si>
  <si>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</si>
  <si>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</si>
  <si>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</si>
  <si>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</si>
  <si>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</si>
  <si>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</si>
  <si>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</si>
  <si>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</si>
  <si>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Horselike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</si>
  <si>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</si>
  <si>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</si>
  <si>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</si>
  <si>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</si>
  <si>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</si>
  <si>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</si>
  <si>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</si>
  <si>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</si>
  <si>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</si>
  <si>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</si>
  <si>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</si>
  <si>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</si>
  <si>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</si>
  <si>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</si>
  <si>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</si>
  <si>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</si>
  <si>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</si>
  <si>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</si>
  <si>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</si>
  <si>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Piglike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</si>
  <si>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</si>
  <si>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</si>
  <si>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</si>
  <si>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</si>
  <si>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</si>
  <si>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</si>
  <si>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</si>
  <si>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</si>
  <si>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</si>
  <si>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Rhinolike</t>
  </si>
  <si>
    <t>Rhinoceros</t>
  </si>
  <si>
    <t>Capybara</t>
  </si>
  <si>
    <t>Hydrochaeris hydrochaeris</t>
  </si>
  <si>
    <t>Rodentlike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</si>
  <si>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</si>
  <si>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</si>
  <si>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</si>
  <si>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</si>
  <si>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</si>
  <si>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</si>
  <si>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</si>
  <si>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</si>
  <si>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</si>
  <si>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</si>
  <si>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</si>
  <si>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</si>
  <si>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</si>
  <si>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</si>
  <si>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</si>
  <si>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</si>
  <si>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</si>
  <si>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</si>
  <si>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</si>
  <si>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</si>
  <si>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</si>
  <si>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</si>
  <si>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</si>
  <si>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</si>
  <si>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</si>
  <si>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</si>
  <si>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</si>
  <si>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</si>
  <si>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</si>
  <si>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</si>
  <si>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</si>
  <si>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</si>
  <si>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</si>
  <si>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</si>
  <si>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</si>
  <si>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</si>
  <si>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</si>
  <si>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</si>
  <si>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</si>
  <si>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</si>
  <si>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</si>
  <si>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</si>
  <si>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</si>
  <si>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</si>
  <si>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</si>
  <si>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</si>
  <si>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</si>
  <si>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Slothlike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</si>
  <si>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</si>
  <si>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</si>
  <si>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</si>
  <si>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</si>
  <si>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</si>
  <si>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</si>
  <si>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</si>
  <si>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</si>
  <si>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</si>
  <si>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Ursid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</si>
  <si>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</si>
  <si>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</si>
  <si>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</si>
  <si>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</si>
  <si>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</si>
  <si>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</si>
  <si>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</si>
  <si>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</si>
  <si>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</si>
  <si>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</si>
  <si>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</si>
  <si>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</si>
  <si>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</si>
  <si>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Crocodilian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</si>
  <si>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</si>
  <si>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</si>
  <si>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</si>
  <si>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</si>
  <si>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</si>
  <si>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</si>
  <si>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</si>
  <si>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</si>
  <si>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</si>
  <si>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</si>
  <si>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</si>
  <si>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</si>
  <si>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</si>
  <si>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</si>
  <si>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</si>
  <si>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</si>
  <si>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</si>
  <si>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</si>
  <si>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</si>
  <si>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</si>
  <si>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</si>
  <si>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</si>
  <si>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</si>
  <si>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</si>
  <si>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</si>
  <si>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</si>
  <si>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</si>
  <si>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</si>
  <si>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</si>
  <si>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</si>
  <si>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</si>
  <si>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</si>
  <si>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</si>
  <si>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</si>
  <si>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</si>
  <si>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</si>
  <si>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</si>
  <si>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</si>
  <si>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</si>
  <si>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Dasypus novemcinctus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</si>
  <si>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</si>
  <si>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</si>
  <si>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</si>
  <si>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</si>
  <si>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</si>
  <si>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</si>
  <si>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</si>
  <si>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</si>
  <si>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</si>
  <si>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</si>
  <si>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</si>
  <si>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</si>
  <si>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</si>
  <si>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</si>
  <si>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</si>
  <si>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</si>
  <si>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</si>
  <si>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</si>
  <si>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</si>
  <si>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</si>
  <si>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</si>
  <si>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</si>
  <si>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</si>
  <si>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</si>
  <si>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</si>
  <si>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</si>
  <si>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</si>
  <si>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</si>
  <si>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</si>
  <si>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</si>
  <si>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</si>
  <si>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</si>
  <si>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</si>
  <si>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</si>
  <si>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</si>
  <si>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</si>
  <si>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</si>
  <si>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</si>
  <si>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</si>
  <si>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</si>
  <si>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</si>
  <si>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</si>
  <si>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</si>
  <si>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</si>
  <si>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</si>
  <si>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</si>
  <si>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</si>
  <si>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</si>
  <si>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</si>
  <si>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</si>
  <si>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</si>
  <si>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</si>
  <si>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</si>
  <si>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</si>
  <si>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</si>
  <si>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</si>
  <si>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</si>
  <si>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</si>
  <si>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</si>
  <si>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</si>
  <si>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</si>
  <si>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</si>
  <si>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</si>
  <si>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</si>
  <si>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</si>
  <si>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</si>
  <si>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</si>
  <si>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</si>
  <si>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</si>
  <si>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</si>
  <si>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</si>
  <si>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</si>
  <si>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</si>
  <si>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</si>
  <si>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</si>
  <si>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</si>
  <si>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</si>
  <si>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</si>
  <si>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</si>
  <si>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</si>
  <si>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</si>
  <si>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</si>
  <si>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</si>
  <si>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</si>
  <si>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</si>
  <si>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</si>
  <si>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</si>
  <si>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</si>
  <si>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</si>
  <si>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</si>
  <si>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</si>
  <si>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</si>
  <si>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</si>
  <si>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</si>
  <si>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</si>
  <si>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</si>
  <si>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</si>
  <si>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</si>
  <si>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</si>
  <si>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</si>
  <si>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</si>
  <si>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</si>
  <si>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</si>
  <si>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</si>
  <si>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</si>
  <si>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</si>
  <si>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</si>
  <si>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</si>
  <si>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</si>
  <si>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</si>
  <si>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</si>
  <si>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</si>
  <si>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</si>
  <si>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</si>
  <si>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</si>
  <si>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</si>
  <si>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</si>
  <si>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</si>
  <si>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</si>
  <si>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</si>
  <si>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</si>
  <si>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</si>
  <si>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</si>
  <si>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</si>
  <si>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</si>
  <si>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</si>
  <si>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</si>
  <si>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</si>
  <si>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</si>
  <si>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</si>
  <si>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</si>
  <si>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</si>
  <si>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</si>
  <si>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</si>
  <si>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</si>
  <si>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</si>
  <si>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</si>
  <si>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</si>
  <si>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</si>
  <si>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</si>
  <si>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</si>
  <si>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</si>
  <si>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</si>
  <si>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</si>
  <si>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</si>
  <si>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</si>
  <si>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</si>
  <si>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</si>
  <si>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</si>
  <si>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</si>
  <si>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</si>
  <si>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</si>
  <si>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</si>
  <si>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</si>
  <si>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</si>
  <si>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</si>
  <si>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</si>
  <si>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</si>
  <si>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</si>
  <si>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</si>
  <si>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</si>
  <si>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</si>
  <si>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</si>
  <si>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</si>
  <si>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</si>
  <si>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</si>
  <si>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</si>
  <si>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</si>
  <si>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</si>
  <si>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</si>
  <si>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</si>
  <si>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</si>
  <si>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</si>
  <si>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</si>
  <si>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</si>
  <si>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</si>
  <si>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</si>
  <si>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</si>
  <si>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</si>
  <si>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</si>
  <si>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</si>
  <si>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</si>
  <si>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</si>
  <si>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</si>
  <si>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</si>
  <si>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</si>
  <si>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</si>
  <si>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</si>
  <si>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</si>
  <si>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</si>
  <si>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</si>
  <si>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</si>
  <si>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</si>
  <si>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</si>
  <si>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</si>
  <si>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ClawedBeetle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</si>
  <si>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</si>
  <si>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</si>
  <si>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</si>
  <si>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</si>
  <si>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</si>
  <si>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</si>
  <si>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</si>
  <si>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</si>
  <si>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</si>
  <si>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</si>
  <si>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</si>
  <si>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</si>
  <si>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</si>
  <si>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</si>
  <si>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</si>
  <si>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</si>
  <si>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</si>
  <si>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</si>
  <si>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</si>
  <si>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</si>
  <si>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</si>
  <si>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</si>
  <si>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</si>
  <si>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</si>
  <si>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</si>
  <si>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</si>
  <si>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</si>
  <si>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</si>
  <si>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</si>
  <si>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</si>
  <si>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</si>
  <si>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</si>
  <si>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</si>
  <si>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</si>
  <si>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</si>
  <si>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</si>
  <si>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</si>
  <si>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</si>
  <si>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</si>
  <si>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</si>
  <si>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</si>
  <si>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</si>
  <si>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</si>
  <si>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</si>
  <si>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</si>
  <si>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</si>
  <si>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</si>
  <si>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</si>
  <si>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</si>
  <si>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</si>
  <si>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</si>
  <si>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</si>
  <si>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</si>
  <si>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</si>
  <si>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</si>
  <si>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</si>
  <si>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</si>
  <si>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</si>
  <si>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</si>
  <si>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</si>
  <si>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</si>
  <si>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</si>
  <si>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</si>
  <si>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</si>
  <si>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</si>
  <si>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</si>
  <si>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</si>
  <si>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</si>
  <si>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</si>
  <si>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</si>
  <si>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</si>
  <si>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</si>
  <si>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</si>
  <si>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</si>
  <si>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</si>
  <si>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</si>
  <si>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</si>
  <si>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</si>
  <si>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</si>
  <si>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</si>
  <si>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</si>
  <si>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</si>
  <si>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</si>
  <si>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</si>
  <si>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</si>
  <si>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</si>
  <si>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</si>
  <si>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</si>
  <si>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</si>
  <si>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</si>
  <si>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</si>
  <si>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</si>
  <si>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</si>
  <si>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</si>
  <si>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</si>
  <si>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</si>
  <si>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</si>
  <si>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</si>
  <si>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</si>
  <si>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</si>
  <si>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</si>
  <si>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</si>
  <si>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</si>
  <si>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</si>
  <si>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</si>
  <si>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</si>
  <si>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</si>
  <si>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</si>
  <si>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</si>
  <si>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</si>
  <si>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</si>
  <si>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</si>
  <si>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</si>
  <si>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</si>
  <si>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</si>
  <si>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</si>
  <si>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</si>
  <si>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</si>
  <si>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</si>
  <si>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</si>
  <si>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</si>
  <si>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</si>
  <si>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</si>
  <si>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</si>
  <si>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</si>
  <si>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</si>
  <si>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</si>
  <si>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</si>
  <si>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</si>
  <si>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</si>
  <si>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</si>
  <si>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</si>
  <si>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</si>
  <si>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</si>
  <si>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</si>
  <si>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</si>
  <si>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</si>
  <si>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</si>
  <si>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</si>
  <si>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</si>
  <si>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</si>
  <si>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</si>
  <si>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</si>
  <si>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</si>
  <si>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https://genomics.senescence.info/species/entry.php?species=Dasypus_novemcinctus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</si>
  <si>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</si>
  <si>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</si>
  <si>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</si>
  <si>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</si>
  <si>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</si>
  <si>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</si>
  <si>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</si>
  <si>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</si>
  <si>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</si>
  <si>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</si>
  <si>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</si>
  <si>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</si>
  <si>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</si>
  <si>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</si>
  <si>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</si>
  <si>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</si>
  <si>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</si>
  <si>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</si>
  <si>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</si>
  <si>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</si>
  <si>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</si>
  <si>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</si>
  <si>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</si>
  <si>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</si>
  <si>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</si>
  <si>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</si>
  <si>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</si>
  <si>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</si>
  <si>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</si>
  <si>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</si>
  <si>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</si>
  <si>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</si>
  <si>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</si>
  <si>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</si>
  <si>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</si>
  <si>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</si>
  <si>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</si>
  <si>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</si>
  <si>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</si>
  <si>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</si>
  <si>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</si>
  <si>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</si>
  <si>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</si>
  <si>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</si>
  <si>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</si>
  <si>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</si>
  <si>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</si>
  <si>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</si>
  <si>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</si>
  <si>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</si>
  <si>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</si>
  <si>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</si>
  <si>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</si>
  <si>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</si>
  <si>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</si>
  <si>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</si>
  <si>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</si>
  <si>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</si>
  <si>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</si>
  <si>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</si>
  <si>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</si>
  <si>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</si>
  <si>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</si>
  <si>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</si>
  <si>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</si>
  <si>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</si>
  <si>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</si>
  <si>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</si>
  <si>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</si>
  <si>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</si>
  <si>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</si>
  <si>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</si>
  <si>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</si>
  <si>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</si>
  <si>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</si>
  <si>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</si>
  <si>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</si>
  <si>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</si>
  <si>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</si>
  <si>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</si>
  <si>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</si>
  <si>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</si>
  <si>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</si>
  <si>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</si>
  <si>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</si>
  <si>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</si>
  <si>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</si>
  <si>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</si>
  <si>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</si>
  <si>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</si>
  <si>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</si>
  <si>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</si>
  <si>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</si>
  <si>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</si>
  <si>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</si>
  <si>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</si>
  <si>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</si>
  <si>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</si>
  <si>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</si>
  <si>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</si>
  <si>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</si>
  <si>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</si>
  <si>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</si>
  <si>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</si>
  <si>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</si>
  <si>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</si>
  <si>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</si>
  <si>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</si>
  <si>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</si>
  <si>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</si>
  <si>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</si>
  <si>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</si>
  <si>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</si>
  <si>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</si>
  <si>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</si>
  <si>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</si>
  <si>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</si>
  <si>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</si>
  <si>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</si>
  <si>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</si>
  <si>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</si>
  <si>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</si>
  <si>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</si>
  <si>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</si>
  <si>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</si>
  <si>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</si>
  <si>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</si>
  <si>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</si>
  <si>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</si>
  <si>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</si>
  <si>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</si>
  <si>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</si>
  <si>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</si>
  <si>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</si>
  <si>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</si>
  <si>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</si>
  <si>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</si>
  <si>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</si>
  <si>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</si>
  <si>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</si>
  <si>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</si>
  <si>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</si>
  <si>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</si>
  <si>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</si>
  <si>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</si>
  <si>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</si>
  <si>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</si>
  <si>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</si>
  <si>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</si>
  <si>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</si>
  <si>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</si>
  <si>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</si>
  <si>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</si>
  <si>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</si>
  <si>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</si>
  <si>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</si>
  <si>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</si>
  <si>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</si>
  <si>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</si>
  <si>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</si>
  <si>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</si>
  <si>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</si>
  <si>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</si>
  <si>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</si>
  <si>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</si>
  <si>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</si>
  <si>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</si>
  <si>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</si>
  <si>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</si>
  <si>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</si>
  <si>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</si>
  <si>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</si>
  <si>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</si>
  <si>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</si>
  <si>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</si>
  <si>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</si>
  <si>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</si>
  <si>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</si>
  <si>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</si>
  <si>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</si>
  <si>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</si>
  <si>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</si>
  <si>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</si>
  <si>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</si>
  <si>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</si>
  <si>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</si>
  <si>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</si>
  <si>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</si>
  <si>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</si>
  <si>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</si>
  <si>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</si>
  <si>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</si>
  <si>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</si>
  <si>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</si>
  <si>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</si>
  <si>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</si>
  <si>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</si>
  <si>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</si>
  <si>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</si>
  <si>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</si>
  <si>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</si>
  <si>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</si>
  <si>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</si>
  <si>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</si>
  <si>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</si>
  <si>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</si>
  <si>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</si>
  <si>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</si>
  <si>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</si>
  <si>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</si>
  <si>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</si>
  <si>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</si>
  <si>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</si>
  <si>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</si>
  <si>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</si>
  <si>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</si>
  <si>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</si>
  <si>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</si>
  <si>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</si>
  <si>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</si>
  <si>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</si>
  <si>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</si>
  <si>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</si>
  <si>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</si>
  <si>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</si>
  <si>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</si>
  <si>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</si>
  <si>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</si>
  <si>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</si>
  <si>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</si>
  <si>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</si>
  <si>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</si>
  <si>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</si>
  <si>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</si>
  <si>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</si>
  <si>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</si>
  <si>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</si>
  <si>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</si>
  <si>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</si>
  <si>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</si>
  <si>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</si>
  <si>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</si>
  <si>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</si>
  <si>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</si>
  <si>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</si>
  <si>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</si>
  <si>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</si>
  <si>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</si>
  <si>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</si>
  <si>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</si>
  <si>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</si>
  <si>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</si>
  <si>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</si>
  <si>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</si>
  <si>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</si>
  <si>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</si>
  <si>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</si>
  <si>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</si>
  <si>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</si>
  <si>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</si>
  <si>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</si>
  <si>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</si>
  <si>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</si>
  <si>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</si>
  <si>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</si>
  <si>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</si>
  <si>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</si>
  <si>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</si>
  <si>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</si>
  <si>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</si>
  <si>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</si>
  <si>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</si>
  <si>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</si>
  <si>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</si>
  <si>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</si>
  <si>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</si>
  <si>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</si>
  <si>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</si>
  <si>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</si>
  <si>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</si>
  <si>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</si>
  <si>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</si>
  <si>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</si>
  <si>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</si>
  <si>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</si>
  <si>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</si>
  <si>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</si>
  <si>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</si>
  <si>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</si>
  <si>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</si>
  <si>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</si>
  <si>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</si>
  <si>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</si>
  <si>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</si>
  <si>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</si>
  <si>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</si>
  <si>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</si>
  <si>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</si>
  <si>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</si>
  <si>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</si>
  <si>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</si>
  <si>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</si>
  <si>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</si>
  <si>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</si>
  <si>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</si>
  <si>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</si>
  <si>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</si>
  <si>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</si>
  <si>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</si>
  <si>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</si>
  <si>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</si>
  <si>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</si>
  <si>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</si>
  <si>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</si>
  <si>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</si>
  <si>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</si>
  <si>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</si>
  <si>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</si>
  <si>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</si>
  <si>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</si>
  <si>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</si>
  <si>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</si>
  <si>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</si>
  <si>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</si>
  <si>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</si>
  <si>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</si>
  <si>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</si>
  <si>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</si>
  <si>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</si>
  <si>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</si>
  <si>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</si>
  <si>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</si>
  <si>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</si>
  <si>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</si>
  <si>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</si>
  <si>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</si>
  <si>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</si>
  <si>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</si>
  <si>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</si>
  <si>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</si>
  <si>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</si>
  <si>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</si>
  <si>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</si>
  <si>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</si>
  <si>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</si>
  <si>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</si>
  <si>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</si>
  <si>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</si>
  <si>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</si>
  <si>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</si>
  <si>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</si>
  <si>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</si>
  <si>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</si>
  <si>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MarsupialHopper</t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</si>
  <si>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</si>
  <si>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</si>
  <si>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</si>
  <si>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</si>
  <si>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</si>
  <si>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</si>
  <si>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</si>
  <si>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</si>
  <si>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</si>
  <si>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</si>
  <si>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</si>
  <si>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</si>
  <si>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</si>
  <si>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</si>
  <si>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</si>
  <si>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</si>
  <si>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</si>
  <si>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</si>
  <si>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</si>
  <si>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</si>
  <si>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</si>
  <si>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</si>
  <si>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</si>
  <si>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</si>
  <si>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</si>
  <si>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</si>
  <si>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</si>
  <si>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</si>
  <si>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</si>
  <si>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</si>
  <si>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</si>
  <si>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TuskedPiglike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</si>
  <si>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</si>
  <si>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</si>
  <si>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</si>
  <si>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</si>
  <si>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</si>
  <si>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</si>
  <si>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</si>
  <si>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</si>
  <si>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</si>
  <si>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</si>
  <si>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</si>
  <si>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</si>
  <si>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</si>
  <si>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</si>
  <si>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</si>
  <si>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</si>
  <si>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</si>
  <si>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</si>
  <si>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</si>
  <si>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</si>
  <si>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</si>
  <si>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</si>
  <si>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</si>
  <si>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</si>
  <si>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</si>
  <si>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</si>
  <si>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</si>
  <si>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</si>
  <si>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</si>
  <si>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</si>
  <si>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</si>
  <si>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</si>
  <si>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</si>
  <si>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</si>
  <si>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</si>
  <si>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TuskedPinniped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</si>
  <si>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</si>
  <si>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</si>
  <si>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</si>
  <si>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</si>
  <si>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</si>
  <si>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</si>
  <si>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</si>
  <si>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</si>
  <si>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FrontRightPaw, FrontRightPaw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</si>
  <si>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</si>
  <si>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</si>
  <si>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</si>
  <si>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</si>
  <si>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</si>
  <si>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</si>
  <si>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</si>
  <si>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</si>
  <si>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</si>
  <si>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</si>
  <si>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</si>
  <si>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</si>
  <si>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</si>
  <si>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</si>
  <si>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</si>
  <si>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</si>
  <si>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</si>
  <si>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</si>
  <si>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Procyonid</t>
  </si>
  <si>
    <t>QuadrupedAnimalWithPaws</t>
  </si>
  <si>
    <t>Rodentlike (tailless)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</si>
  <si>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</si>
  <si>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</si>
  <si>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</si>
  <si>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</si>
  <si>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</si>
  <si>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</si>
  <si>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</si>
  <si>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Primate (tailless)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</si>
  <si>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</si>
  <si>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</si>
  <si>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</si>
  <si>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</si>
  <si>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</si>
  <si>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</si>
  <si>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</si>
  <si>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Camelid (humped)</t>
  </si>
  <si>
    <t>Camelid</t>
  </si>
  <si>
    <t>Lizardlike (iguana)</t>
  </si>
  <si>
    <t>Lizardlike (monitor lizard)</t>
  </si>
  <si>
    <t>Bird (aggressive)</t>
  </si>
  <si>
    <t>Bird (strong beak)</t>
  </si>
  <si>
    <t>IgnoreAgressionSizeLimit</t>
  </si>
  <si>
    <t>Ruminant (bovid)</t>
  </si>
  <si>
    <t>manhunterOnTameFailChance adjuster</t>
  </si>
  <si>
    <t>manhunterOnDamageChance adjuster</t>
  </si>
  <si>
    <t>Ruminant  (bovid, blunt horns)</t>
  </si>
  <si>
    <t>Ruminant (cervid)</t>
  </si>
  <si>
    <t>Ruminant (bovid, harmless)</t>
  </si>
  <si>
    <t>Advanced</t>
  </si>
  <si>
    <t>Trainability</t>
  </si>
  <si>
    <t>Intermediate</t>
  </si>
  <si>
    <t>Bird (strong beak, smart)</t>
  </si>
  <si>
    <t>baseManhunterOnTameFailChance</t>
  </si>
  <si>
    <t>baseManhunterOnDamageChance</t>
  </si>
  <si>
    <t>teethScalinngFormula</t>
  </si>
  <si>
    <t>petnessFactor</t>
  </si>
  <si>
    <t>isFertile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</si>
  <si>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</si>
  <si>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</si>
  <si>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</si>
  <si>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</si>
  <si>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</si>
  <si>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</si>
  <si>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</si>
  <si>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Mustelid (semi-aquatic)</t>
  </si>
  <si>
    <t>Felid (can fish)</t>
  </si>
  <si>
    <t>Bird (water)</t>
  </si>
  <si>
    <t>Mustelid (can fish)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</si>
  <si>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</si>
  <si>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</si>
  <si>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</si>
  <si>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</si>
  <si>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</si>
  <si>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</si>
  <si>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</si>
  <si>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</si>
  <si>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</si>
  <si>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</si>
  <si>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</si>
  <si>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</si>
  <si>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Hippolike</t>
  </si>
  <si>
    <t>Rodentlike (tailless, semi-aquatic)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</si>
  <si>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</si>
  <si>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</si>
  <si>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</si>
  <si>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</si>
  <si>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</si>
  <si>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</si>
  <si>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</si>
  <si>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</si>
  <si>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</si>
  <si>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</si>
  <si>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Hyenid</t>
  </si>
  <si>
    <t>ScavengerTier</t>
  </si>
  <si>
    <t>Mustelid (scavenger)</t>
  </si>
  <si>
    <t>Rodentlike (scavenger)</t>
  </si>
  <si>
    <t>teethDamageAdjuster</t>
  </si>
  <si>
    <t>clawDamageAdjuster</t>
  </si>
  <si>
    <t>tuskDamageAdjuster</t>
  </si>
  <si>
    <t>Bite</t>
  </si>
  <si>
    <t>ToxicBite</t>
  </si>
  <si>
    <t>Snake (venomous)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</si>
  <si>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</si>
  <si>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</si>
  <si>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</si>
  <si>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</si>
  <si>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</si>
  <si>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</si>
  <si>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</si>
  <si>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</si>
  <si>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</si>
  <si>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</si>
  <si>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</si>
  <si>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</si>
  <si>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</si>
  <si>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</si>
  <si>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</si>
  <si>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</si>
  <si>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</si>
  <si>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</si>
  <si>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</si>
  <si>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</si>
  <si>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</si>
  <si>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</si>
  <si>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</si>
  <si>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</si>
  <si>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</si>
  <si>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BeetleLike (Scorpion)</t>
  </si>
  <si>
    <t>isTeethless</t>
  </si>
  <si>
    <t>Horn/Tusk attack type</t>
  </si>
  <si>
    <t>Predicted horn/tusk attack force (N)</t>
  </si>
  <si>
    <t>generalDamageAdjuster</t>
  </si>
  <si>
    <t>IsRare</t>
  </si>
  <si>
    <t>Horselike (wild)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</si>
  <si>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</si>
  <si>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</si>
  <si>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</si>
  <si>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</si>
  <si>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</si>
  <si>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</si>
  <si>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</si>
  <si>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</si>
  <si>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</si>
  <si>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</si>
  <si>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</si>
  <si>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</si>
  <si>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Bird (strong beak, smart, scavenger)</t>
  </si>
  <si>
    <t>Bird (scavenger)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</si>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</sst>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Dasypus novemcinctus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</sheetData>
      <sheetData sheetId="3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L60"/>
  <sheetViews>
    <sheetView topLeftCell="A49" zoomScale="85" zoomScaleNormal="85" workbookViewId="0">
      <pane xSplit="1" topLeftCell="B1" activePane="topRight" state="frozen"/>
      <selection pane="topRight" activeCell="Z19" sqref="Z19"/>
    </sheetView>
  </sheetViews>
  <sheetFormatPr defaultRowHeight="15" x14ac:dyDescent="0.25"/>
  <cols>
    <col min="1" max="1" width="33.285156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8554687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20.425781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8.285156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20" bestFit="1" customWidth="1"/>
    <col min="50" max="50" width="17.28515625" bestFit="1" customWidth="1"/>
    <col min="51" max="51" width="13.5703125" bestFit="1" customWidth="1"/>
    <col min="52" max="52" width="13.5703125" style="16" customWidth="1"/>
    <col min="53" max="53" width="21.5703125" style="16" bestFit="1" customWidth="1"/>
    <col min="54" max="54" width="9.7109375" style="16" bestFit="1" customWidth="1"/>
    <col min="55" max="55" width="13.85546875" bestFit="1" customWidth="1"/>
    <col min="56" max="56" width="7.5703125" style="16" bestFit="1" customWidth="1"/>
    <col min="57" max="57" width="14.140625" bestFit="1" customWidth="1"/>
    <col min="58" max="58" width="28.42578125" style="39" bestFit="1" customWidth="1"/>
    <col min="59" max="59" width="25.85546875" style="39" bestFit="1" customWidth="1"/>
    <col min="60" max="60" width="27.28515625" bestFit="1" customWidth="1"/>
    <col min="61" max="61" width="15.140625" style="16" bestFit="1" customWidth="1"/>
    <col min="62" max="64" width="18.28515625" style="16" bestFit="1" customWidth="1"/>
  </cols>
  <sheetData>
    <row r="1" spans="1:64" x14ac:dyDescent="0.25">
      <c r="A1" t="s">
        <v>309</v>
      </c>
      <c r="B1" s="39" t="s">
        <v>1069</v>
      </c>
      <c r="C1" s="39" t="s">
        <v>1068</v>
      </c>
      <c r="D1" s="39" t="s">
        <v>931</v>
      </c>
      <c r="E1" s="39" t="s">
        <v>1067</v>
      </c>
      <c r="F1" s="39" t="s">
        <v>1070</v>
      </c>
      <c r="G1" s="39" t="s">
        <v>1071</v>
      </c>
      <c r="H1" s="29" t="s">
        <v>935</v>
      </c>
      <c r="I1" s="29" t="s">
        <v>936</v>
      </c>
      <c r="J1" s="29" t="s">
        <v>937</v>
      </c>
      <c r="K1" s="29" t="s">
        <v>943</v>
      </c>
      <c r="L1" s="29" t="s">
        <v>944</v>
      </c>
      <c r="M1" s="29" t="s">
        <v>949</v>
      </c>
      <c r="N1" s="4" t="s">
        <v>950</v>
      </c>
      <c r="O1" s="29" t="s">
        <v>1137</v>
      </c>
      <c r="P1" s="4" t="s">
        <v>960</v>
      </c>
      <c r="Q1" s="4" t="s">
        <v>9</v>
      </c>
      <c r="R1" s="4" t="s">
        <v>961</v>
      </c>
      <c r="S1" s="4" t="s">
        <v>963</v>
      </c>
      <c r="T1" s="4" t="s">
        <v>964</v>
      </c>
      <c r="U1" s="4" t="s">
        <v>1138</v>
      </c>
      <c r="V1" s="4" t="s">
        <v>976</v>
      </c>
      <c r="W1" s="4" t="s">
        <v>978</v>
      </c>
      <c r="X1" s="4" t="s">
        <v>979</v>
      </c>
      <c r="Y1" s="4" t="s">
        <v>980</v>
      </c>
      <c r="Z1" s="4" t="s">
        <v>11</v>
      </c>
      <c r="AA1" s="4" t="s">
        <v>987</v>
      </c>
      <c r="AB1" s="4" t="s">
        <v>988</v>
      </c>
      <c r="AC1" s="4" t="s">
        <v>989</v>
      </c>
      <c r="AD1" s="39" t="s">
        <v>1002</v>
      </c>
      <c r="AE1" s="4" t="s">
        <v>1003</v>
      </c>
      <c r="AF1" s="4" t="s">
        <v>1004</v>
      </c>
      <c r="AG1" s="4" t="s">
        <v>1006</v>
      </c>
      <c r="AH1" s="4" t="s">
        <v>1005</v>
      </c>
      <c r="AI1" s="43" t="s">
        <v>1014</v>
      </c>
      <c r="AJ1" s="43" t="s">
        <v>1015</v>
      </c>
      <c r="AK1" s="43" t="s">
        <v>1021</v>
      </c>
      <c r="AL1" s="4" t="s">
        <v>676</v>
      </c>
      <c r="AM1" s="43" t="s">
        <v>1063</v>
      </c>
      <c r="AN1" s="43" t="s">
        <v>1061</v>
      </c>
      <c r="AO1" s="43" t="s">
        <v>1062</v>
      </c>
      <c r="AP1" s="43" t="s">
        <v>1064</v>
      </c>
      <c r="AQ1" s="43" t="s">
        <v>1065</v>
      </c>
      <c r="AR1" s="43" t="s">
        <v>1058</v>
      </c>
      <c r="AS1" s="43" t="s">
        <v>1066</v>
      </c>
      <c r="AT1" s="43" t="s">
        <v>1072</v>
      </c>
      <c r="AU1" s="43" t="s">
        <v>1077</v>
      </c>
      <c r="AV1" s="43" t="s">
        <v>1091</v>
      </c>
      <c r="AW1" s="43" t="s">
        <v>1097</v>
      </c>
      <c r="AX1" s="43" t="s">
        <v>1098</v>
      </c>
      <c r="AY1" s="43" t="s">
        <v>1102</v>
      </c>
      <c r="AZ1" s="43" t="s">
        <v>1145</v>
      </c>
      <c r="BA1" s="43" t="s">
        <v>1144</v>
      </c>
      <c r="BB1" s="43" t="s">
        <v>1111</v>
      </c>
      <c r="BC1" s="43" t="s">
        <v>1113</v>
      </c>
      <c r="BD1" s="43" t="s">
        <v>1115</v>
      </c>
      <c r="BE1" s="43" t="s">
        <v>1121</v>
      </c>
      <c r="BF1" s="39" t="s">
        <v>1122</v>
      </c>
      <c r="BG1" s="39" t="s">
        <v>1123</v>
      </c>
      <c r="BH1" s="39" t="s">
        <v>1124</v>
      </c>
      <c r="BI1" s="39" t="s">
        <v>1126</v>
      </c>
      <c r="BJ1" s="39" t="s">
        <v>1152</v>
      </c>
      <c r="BK1" s="39" t="s">
        <v>1153</v>
      </c>
      <c r="BL1" s="39" t="s">
        <v>1154</v>
      </c>
    </row>
    <row r="2" spans="1:64" x14ac:dyDescent="0.25">
      <c r="A2" t="s">
        <v>429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H2/1000/AVERAGE(9.5,4.6)</f>
        <v>1.3475177304964539E-2</v>
      </c>
      <c r="J2" s="39">
        <v>1.2</v>
      </c>
      <c r="K2" s="39">
        <v>0.32</v>
      </c>
      <c r="L2" s="39">
        <v>1</v>
      </c>
      <c r="M2" s="39">
        <v>1</v>
      </c>
      <c r="N2" s="4" t="s">
        <v>951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992</v>
      </c>
      <c r="AB2" s="4" t="s">
        <v>994</v>
      </c>
      <c r="AC2" s="4" t="s">
        <v>1108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1019</v>
      </c>
      <c r="AK2" s="4">
        <v>0</v>
      </c>
      <c r="AL2" s="4" t="s">
        <v>1040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1057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2</v>
      </c>
      <c r="AZ2" s="4">
        <v>0</v>
      </c>
      <c r="BA2" s="4">
        <v>0</v>
      </c>
      <c r="BB2" s="4">
        <v>1</v>
      </c>
      <c r="BC2" s="4">
        <v>0</v>
      </c>
      <c r="BD2" s="4">
        <v>0</v>
      </c>
      <c r="BE2" s="4">
        <v>0</v>
      </c>
      <c r="BF2" s="39">
        <v>0.25</v>
      </c>
      <c r="BG2" s="39">
        <v>0.1</v>
      </c>
      <c r="BH2" s="39">
        <v>2.5000000000000001E-2</v>
      </c>
      <c r="BI2" s="39" t="s">
        <v>1127</v>
      </c>
      <c r="BJ2" s="39">
        <v>0</v>
      </c>
      <c r="BK2" s="39">
        <v>0</v>
      </c>
      <c r="BL2" s="39">
        <v>0</v>
      </c>
    </row>
    <row r="3" spans="1:64" s="16" customFormat="1" x14ac:dyDescent="0.25">
      <c r="A3" s="16" t="s">
        <v>1060</v>
      </c>
      <c r="B3" s="39">
        <v>1</v>
      </c>
      <c r="C3" s="39">
        <v>1.25</v>
      </c>
      <c r="D3" s="39">
        <v>0</v>
      </c>
      <c r="E3" s="39">
        <v>11</v>
      </c>
      <c r="F3" s="39">
        <v>0</v>
      </c>
      <c r="G3" s="39">
        <v>0</v>
      </c>
      <c r="H3" s="40">
        <v>1</v>
      </c>
      <c r="I3" s="41">
        <v>1</v>
      </c>
      <c r="J3" s="39">
        <v>1.0900000000000001</v>
      </c>
      <c r="K3" s="39" t="s">
        <v>942</v>
      </c>
      <c r="L3" s="39">
        <v>0</v>
      </c>
      <c r="M3" s="39">
        <v>0</v>
      </c>
      <c r="N3" s="4" t="s">
        <v>957</v>
      </c>
      <c r="O3" s="4">
        <v>1</v>
      </c>
      <c r="P3" s="4">
        <v>1</v>
      </c>
      <c r="Q3" s="4">
        <v>1</v>
      </c>
      <c r="R3" s="4" t="s">
        <v>967</v>
      </c>
      <c r="S3" s="4" t="s">
        <v>965</v>
      </c>
      <c r="T3" s="4" t="s">
        <v>966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0.8</v>
      </c>
      <c r="AA3" s="4" t="s">
        <v>990</v>
      </c>
      <c r="AB3" s="4" t="s">
        <v>995</v>
      </c>
      <c r="AC3" s="4" t="s">
        <v>969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41</v>
      </c>
      <c r="AK3" s="4">
        <v>0</v>
      </c>
      <c r="AL3" s="4" t="s">
        <v>41</v>
      </c>
      <c r="AM3" s="4">
        <v>0</v>
      </c>
      <c r="AN3" s="4">
        <v>0</v>
      </c>
      <c r="AO3" s="4">
        <v>0</v>
      </c>
      <c r="AP3" s="4" t="s">
        <v>45</v>
      </c>
      <c r="AQ3" s="4">
        <v>0</v>
      </c>
      <c r="AR3" s="4" t="s">
        <v>1057</v>
      </c>
      <c r="AS3" s="4">
        <v>0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0</v>
      </c>
      <c r="BA3" s="4">
        <v>1</v>
      </c>
      <c r="BB3" s="4">
        <v>0</v>
      </c>
      <c r="BC3" s="4">
        <v>0</v>
      </c>
      <c r="BD3" s="4">
        <v>1</v>
      </c>
      <c r="BE3" s="4">
        <v>1</v>
      </c>
      <c r="BF3" s="39">
        <v>1</v>
      </c>
      <c r="BG3" s="39">
        <v>0.1</v>
      </c>
      <c r="BH3" s="39">
        <v>2.5000000000000001E-2</v>
      </c>
      <c r="BI3" s="39" t="s">
        <v>1128</v>
      </c>
      <c r="BJ3" s="39">
        <v>0</v>
      </c>
      <c r="BK3" s="39">
        <v>0</v>
      </c>
      <c r="BL3" s="39">
        <v>0</v>
      </c>
    </row>
    <row r="4" spans="1:64" s="16" customFormat="1" x14ac:dyDescent="0.25">
      <c r="A4" s="16" t="s">
        <v>1155</v>
      </c>
      <c r="B4" s="39">
        <v>1</v>
      </c>
      <c r="C4" s="39">
        <v>1.25</v>
      </c>
      <c r="D4" s="39">
        <v>0</v>
      </c>
      <c r="E4" s="39">
        <v>11</v>
      </c>
      <c r="F4" s="39">
        <v>0</v>
      </c>
      <c r="G4" s="39">
        <v>0</v>
      </c>
      <c r="H4" s="40">
        <v>1</v>
      </c>
      <c r="I4" s="41">
        <v>1</v>
      </c>
      <c r="J4" s="39">
        <v>1.0900000000000001</v>
      </c>
      <c r="K4" s="39" t="s">
        <v>942</v>
      </c>
      <c r="L4" s="39">
        <v>0</v>
      </c>
      <c r="M4" s="39">
        <v>0</v>
      </c>
      <c r="N4" s="4" t="s">
        <v>957</v>
      </c>
      <c r="O4" s="4">
        <v>1</v>
      </c>
      <c r="P4" s="4">
        <v>1</v>
      </c>
      <c r="Q4" s="4">
        <v>1</v>
      </c>
      <c r="R4" s="4" t="s">
        <v>967</v>
      </c>
      <c r="S4" s="4" t="s">
        <v>965</v>
      </c>
      <c r="T4" s="4" t="s">
        <v>966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0.8</v>
      </c>
      <c r="AA4" s="4" t="s">
        <v>990</v>
      </c>
      <c r="AB4" s="4" t="s">
        <v>995</v>
      </c>
      <c r="AC4" s="4" t="s">
        <v>969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41</v>
      </c>
      <c r="AK4" s="4">
        <v>0</v>
      </c>
      <c r="AL4" s="4" t="s">
        <v>41</v>
      </c>
      <c r="AM4" s="4">
        <v>0</v>
      </c>
      <c r="AN4" s="4">
        <v>0</v>
      </c>
      <c r="AO4" s="4">
        <v>0</v>
      </c>
      <c r="AP4" s="4" t="s">
        <v>45</v>
      </c>
      <c r="AQ4" s="4">
        <v>0</v>
      </c>
      <c r="AR4" s="4" t="s">
        <v>1057</v>
      </c>
      <c r="AS4" s="4">
        <v>0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1</v>
      </c>
      <c r="AZ4" s="4">
        <v>0</v>
      </c>
      <c r="BA4" s="4">
        <v>1</v>
      </c>
      <c r="BB4" s="4">
        <v>0</v>
      </c>
      <c r="BC4" s="4">
        <v>0</v>
      </c>
      <c r="BD4" s="4">
        <v>1</v>
      </c>
      <c r="BE4" s="4">
        <v>1</v>
      </c>
      <c r="BF4" s="39">
        <v>1</v>
      </c>
      <c r="BG4" s="39">
        <v>0.1</v>
      </c>
      <c r="BH4" s="39">
        <v>2.5000000000000001E-2</v>
      </c>
      <c r="BI4" s="39" t="s">
        <v>1128</v>
      </c>
      <c r="BJ4" s="39">
        <v>0</v>
      </c>
      <c r="BK4" s="39">
        <v>0</v>
      </c>
      <c r="BL4" s="39">
        <v>0</v>
      </c>
    </row>
    <row r="5" spans="1:64" s="16" customFormat="1" x14ac:dyDescent="0.25">
      <c r="A5" s="16" t="s">
        <v>1049</v>
      </c>
      <c r="B5" s="39">
        <v>0</v>
      </c>
      <c r="C5" s="39">
        <v>1.25</v>
      </c>
      <c r="D5" s="39">
        <v>0</v>
      </c>
      <c r="E5" s="39">
        <v>11</v>
      </c>
      <c r="F5" s="39">
        <v>0</v>
      </c>
      <c r="G5" s="39">
        <v>0</v>
      </c>
      <c r="H5" s="40">
        <v>1</v>
      </c>
      <c r="I5" s="41">
        <v>1</v>
      </c>
      <c r="J5" s="39">
        <v>1.0900000000000001</v>
      </c>
      <c r="K5" s="39" t="s">
        <v>942</v>
      </c>
      <c r="L5" s="39">
        <v>0</v>
      </c>
      <c r="M5" s="39">
        <v>0</v>
      </c>
      <c r="N5" s="4" t="s">
        <v>957</v>
      </c>
      <c r="O5" s="4">
        <v>1</v>
      </c>
      <c r="P5" s="4">
        <v>1</v>
      </c>
      <c r="Q5" s="4">
        <v>1</v>
      </c>
      <c r="R5" s="4" t="s">
        <v>967</v>
      </c>
      <c r="S5" s="4" t="s">
        <v>965</v>
      </c>
      <c r="T5" s="4" t="s">
        <v>966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0.8</v>
      </c>
      <c r="AA5" s="4" t="s">
        <v>990</v>
      </c>
      <c r="AB5" s="4" t="s">
        <v>995</v>
      </c>
      <c r="AC5" s="4" t="s">
        <v>969</v>
      </c>
      <c r="AD5" s="39">
        <v>0</v>
      </c>
      <c r="AE5" s="4" t="s">
        <v>45</v>
      </c>
      <c r="AF5" s="4" t="s">
        <v>45</v>
      </c>
      <c r="AG5" s="4" t="s">
        <v>45</v>
      </c>
      <c r="AH5" s="4" t="s">
        <v>45</v>
      </c>
      <c r="AI5" s="4">
        <v>1</v>
      </c>
      <c r="AJ5" s="4" t="s">
        <v>41</v>
      </c>
      <c r="AK5" s="4">
        <v>0</v>
      </c>
      <c r="AL5" s="4" t="s">
        <v>41</v>
      </c>
      <c r="AM5" s="4">
        <v>0</v>
      </c>
      <c r="AN5" s="4">
        <v>0</v>
      </c>
      <c r="AO5" s="4">
        <v>0</v>
      </c>
      <c r="AP5" s="4" t="s">
        <v>45</v>
      </c>
      <c r="AQ5" s="4">
        <v>0</v>
      </c>
      <c r="AR5" s="4" t="s">
        <v>1059</v>
      </c>
      <c r="AS5" s="4">
        <v>0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0</v>
      </c>
      <c r="BA5" s="4">
        <v>1</v>
      </c>
      <c r="BB5" s="4">
        <v>0</v>
      </c>
      <c r="BC5" s="4">
        <v>0</v>
      </c>
      <c r="BD5" s="4">
        <v>1</v>
      </c>
      <c r="BE5" s="4">
        <v>1</v>
      </c>
      <c r="BF5" s="39">
        <v>1</v>
      </c>
      <c r="BG5" s="39">
        <v>0</v>
      </c>
      <c r="BH5" s="39">
        <v>0</v>
      </c>
      <c r="BI5" s="39" t="s">
        <v>1128</v>
      </c>
      <c r="BJ5" s="39">
        <v>0</v>
      </c>
      <c r="BK5" s="39">
        <v>0</v>
      </c>
      <c r="BL5" s="39">
        <v>0</v>
      </c>
    </row>
    <row r="6" spans="1:64" s="16" customFormat="1" x14ac:dyDescent="0.25">
      <c r="A6" s="16" t="s">
        <v>1075</v>
      </c>
      <c r="B6" s="39">
        <v>1</v>
      </c>
      <c r="C6" s="39">
        <v>1.25</v>
      </c>
      <c r="D6" s="39">
        <v>1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942</v>
      </c>
      <c r="L6" s="39">
        <v>0</v>
      </c>
      <c r="M6" s="39">
        <v>0</v>
      </c>
      <c r="N6" s="4" t="s">
        <v>41</v>
      </c>
      <c r="O6" s="4">
        <v>1</v>
      </c>
      <c r="P6" s="4">
        <v>0</v>
      </c>
      <c r="Q6" s="4" t="s">
        <v>45</v>
      </c>
      <c r="R6" s="4" t="s">
        <v>45</v>
      </c>
      <c r="S6" s="4" t="s">
        <v>45</v>
      </c>
      <c r="T6" s="4" t="s">
        <v>45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990</v>
      </c>
      <c r="AB6" s="4" t="s">
        <v>995</v>
      </c>
      <c r="AC6" s="4" t="s">
        <v>969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1</v>
      </c>
      <c r="AR6" s="4" t="s">
        <v>685</v>
      </c>
      <c r="AS6" s="4">
        <v>0</v>
      </c>
      <c r="AT6" s="4">
        <v>1</v>
      </c>
      <c r="AU6" s="4">
        <v>1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1</v>
      </c>
      <c r="BB6" s="4">
        <v>0</v>
      </c>
      <c r="BC6" s="4">
        <v>0</v>
      </c>
      <c r="BD6" s="4">
        <v>1</v>
      </c>
      <c r="BE6" s="4">
        <v>2</v>
      </c>
      <c r="BF6" s="39">
        <v>1</v>
      </c>
      <c r="BG6" s="39">
        <v>0</v>
      </c>
      <c r="BH6" s="39">
        <v>0</v>
      </c>
      <c r="BI6" s="39" t="s">
        <v>1128</v>
      </c>
      <c r="BJ6" s="39">
        <v>0</v>
      </c>
      <c r="BK6" s="39">
        <v>0</v>
      </c>
      <c r="BL6" s="39">
        <v>0</v>
      </c>
    </row>
    <row r="7" spans="1:64" s="16" customFormat="1" x14ac:dyDescent="0.25">
      <c r="A7" s="16" t="s">
        <v>1048</v>
      </c>
      <c r="B7" s="39">
        <v>1</v>
      </c>
      <c r="C7" s="39">
        <v>1.5</v>
      </c>
      <c r="D7" s="39">
        <v>1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942</v>
      </c>
      <c r="L7" s="39">
        <v>0</v>
      </c>
      <c r="M7" s="39">
        <v>0</v>
      </c>
      <c r="N7" s="4" t="s">
        <v>41</v>
      </c>
      <c r="O7" s="4">
        <v>1</v>
      </c>
      <c r="P7" s="4">
        <v>1</v>
      </c>
      <c r="Q7" s="4">
        <v>0.9</v>
      </c>
      <c r="R7" s="4" t="s">
        <v>967</v>
      </c>
      <c r="S7" s="4" t="s">
        <v>965</v>
      </c>
      <c r="T7" s="4" t="s">
        <v>966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1</v>
      </c>
      <c r="AA7" s="4" t="s">
        <v>990</v>
      </c>
      <c r="AB7" s="4" t="s">
        <v>995</v>
      </c>
      <c r="AC7" s="4" t="s">
        <v>969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2.5000000000000001E-2</v>
      </c>
      <c r="AO7" s="4">
        <v>0.1</v>
      </c>
      <c r="AP7" s="4" t="s">
        <v>45</v>
      </c>
      <c r="AQ7" s="4">
        <v>0</v>
      </c>
      <c r="AR7" s="4" t="s">
        <v>685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0</v>
      </c>
      <c r="BA7" s="4">
        <v>1</v>
      </c>
      <c r="BB7" s="4">
        <v>0</v>
      </c>
      <c r="BC7" s="4">
        <v>0</v>
      </c>
      <c r="BD7" s="4">
        <v>1</v>
      </c>
      <c r="BE7" s="4">
        <v>2</v>
      </c>
      <c r="BF7" s="39">
        <v>1</v>
      </c>
      <c r="BG7" s="39">
        <v>0</v>
      </c>
      <c r="BH7" s="39">
        <v>0</v>
      </c>
      <c r="BI7" s="39" t="s">
        <v>1128</v>
      </c>
      <c r="BJ7" s="39">
        <v>0</v>
      </c>
      <c r="BK7" s="39">
        <v>0</v>
      </c>
      <c r="BL7" s="39">
        <v>0</v>
      </c>
    </row>
    <row r="8" spans="1:64" s="16" customFormat="1" x14ac:dyDescent="0.25">
      <c r="A8" s="16" t="s">
        <v>1156</v>
      </c>
      <c r="B8" s="39">
        <v>1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942</v>
      </c>
      <c r="L8" s="39">
        <v>0</v>
      </c>
      <c r="M8" s="39">
        <v>0</v>
      </c>
      <c r="N8" s="4" t="s">
        <v>41</v>
      </c>
      <c r="O8" s="4">
        <v>1</v>
      </c>
      <c r="P8" s="4">
        <v>1</v>
      </c>
      <c r="Q8" s="4">
        <v>1</v>
      </c>
      <c r="R8" s="4" t="s">
        <v>967</v>
      </c>
      <c r="S8" s="4" t="s">
        <v>965</v>
      </c>
      <c r="T8" s="4" t="s">
        <v>966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1</v>
      </c>
      <c r="AA8" s="4" t="s">
        <v>990</v>
      </c>
      <c r="AB8" s="4" t="s">
        <v>995</v>
      </c>
      <c r="AC8" s="4" t="s">
        <v>969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1</v>
      </c>
      <c r="AR8" s="4" t="s">
        <v>685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1</v>
      </c>
      <c r="AZ8" s="4">
        <v>0</v>
      </c>
      <c r="BA8" s="4">
        <v>1</v>
      </c>
      <c r="BB8" s="4">
        <v>0</v>
      </c>
      <c r="BC8" s="4">
        <v>0</v>
      </c>
      <c r="BD8" s="4">
        <v>1</v>
      </c>
      <c r="BE8" s="4">
        <v>2</v>
      </c>
      <c r="BF8" s="39">
        <v>1</v>
      </c>
      <c r="BG8" s="39">
        <v>0.1</v>
      </c>
      <c r="BH8" s="39">
        <v>2.5000000000000001E-2</v>
      </c>
      <c r="BI8" s="39" t="s">
        <v>1128</v>
      </c>
      <c r="BJ8" s="39">
        <v>0</v>
      </c>
      <c r="BK8" s="39">
        <v>0</v>
      </c>
      <c r="BL8" s="39">
        <v>0</v>
      </c>
    </row>
    <row r="9" spans="1:64" x14ac:dyDescent="0.25">
      <c r="A9" t="s">
        <v>41</v>
      </c>
      <c r="B9" s="39">
        <v>0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942</v>
      </c>
      <c r="L9" s="39">
        <v>0</v>
      </c>
      <c r="M9" s="39">
        <v>0</v>
      </c>
      <c r="N9" s="4" t="s">
        <v>41</v>
      </c>
      <c r="O9" s="4">
        <v>1</v>
      </c>
      <c r="P9" s="4">
        <v>1</v>
      </c>
      <c r="Q9" s="4">
        <v>1</v>
      </c>
      <c r="R9" s="4" t="s">
        <v>967</v>
      </c>
      <c r="S9" s="4" t="s">
        <v>965</v>
      </c>
      <c r="T9" s="4" t="s">
        <v>966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1</v>
      </c>
      <c r="AA9" s="4" t="s">
        <v>990</v>
      </c>
      <c r="AB9" s="4" t="s">
        <v>995</v>
      </c>
      <c r="AC9" s="4" t="s">
        <v>969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1</v>
      </c>
      <c r="AR9" s="4" t="s">
        <v>685</v>
      </c>
      <c r="AS9" s="4">
        <v>0</v>
      </c>
      <c r="AT9" s="4">
        <v>0</v>
      </c>
      <c r="AU9" s="4">
        <v>0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1</v>
      </c>
      <c r="BB9" s="4">
        <v>0</v>
      </c>
      <c r="BC9" s="4">
        <v>0</v>
      </c>
      <c r="BD9" s="4">
        <v>1</v>
      </c>
      <c r="BE9" s="4">
        <v>2</v>
      </c>
      <c r="BF9" s="39">
        <v>1</v>
      </c>
      <c r="BG9" s="39">
        <v>0</v>
      </c>
      <c r="BH9" s="39">
        <v>0</v>
      </c>
      <c r="BI9" s="39" t="s">
        <v>1128</v>
      </c>
      <c r="BJ9" s="39">
        <v>0</v>
      </c>
      <c r="BK9" s="39">
        <v>0</v>
      </c>
      <c r="BL9" s="39">
        <v>0</v>
      </c>
    </row>
    <row r="10" spans="1:64" s="16" customFormat="1" x14ac:dyDescent="0.25">
      <c r="A10" s="16" t="s">
        <v>1101</v>
      </c>
      <c r="B10" s="39">
        <v>0</v>
      </c>
      <c r="C10" s="39">
        <v>1.25</v>
      </c>
      <c r="D10" s="39">
        <v>0</v>
      </c>
      <c r="E10" s="39">
        <v>1</v>
      </c>
      <c r="F10" s="39">
        <v>1</v>
      </c>
      <c r="G10" s="39">
        <v>0</v>
      </c>
      <c r="H10" s="40">
        <f>MAX(21.6,12,10,13.1)</f>
        <v>21.6</v>
      </c>
      <c r="I10" s="41">
        <f>MAX(0.54,1.5,1.5,0.86)</f>
        <v>1.5</v>
      </c>
      <c r="J10" s="39">
        <v>1.0900000000000001</v>
      </c>
      <c r="K10" s="42">
        <f>AVERAGE(0.13,0.106,0.134,0.129)</f>
        <v>0.12475</v>
      </c>
      <c r="L10" s="39">
        <v>0</v>
      </c>
      <c r="M10" s="39">
        <v>0</v>
      </c>
      <c r="N10" s="4" t="s">
        <v>55</v>
      </c>
      <c r="O10" s="4">
        <v>0</v>
      </c>
      <c r="P10" s="4">
        <v>0</v>
      </c>
      <c r="Q10" s="4" t="s">
        <v>45</v>
      </c>
      <c r="R10" s="4" t="s">
        <v>45</v>
      </c>
      <c r="S10" s="4" t="s">
        <v>45</v>
      </c>
      <c r="T10" s="4" t="s">
        <v>45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0.8</v>
      </c>
      <c r="AA10" s="4" t="s">
        <v>993</v>
      </c>
      <c r="AB10" s="4" t="s">
        <v>997</v>
      </c>
      <c r="AC10" s="4" t="s">
        <v>1108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1.2</v>
      </c>
      <c r="AJ10" s="4" t="s">
        <v>1016</v>
      </c>
      <c r="AK10" s="4">
        <v>0</v>
      </c>
      <c r="AL10" s="4" t="s">
        <v>1029</v>
      </c>
      <c r="AM10" s="4">
        <v>1</v>
      </c>
      <c r="AN10" s="4">
        <v>0.1</v>
      </c>
      <c r="AO10" s="4">
        <v>0.3</v>
      </c>
      <c r="AP10" s="4">
        <v>1</v>
      </c>
      <c r="AQ10" s="4">
        <v>0</v>
      </c>
      <c r="AR10" s="4" t="s">
        <v>1057</v>
      </c>
      <c r="AS10" s="4">
        <v>1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2</v>
      </c>
      <c r="AZ10" s="4">
        <v>0</v>
      </c>
      <c r="BA10" s="4">
        <v>1</v>
      </c>
      <c r="BB10" s="4">
        <v>0</v>
      </c>
      <c r="BC10" s="4">
        <v>0</v>
      </c>
      <c r="BD10" s="4">
        <v>0</v>
      </c>
      <c r="BE10" s="4">
        <v>0</v>
      </c>
      <c r="BF10" s="39">
        <v>1</v>
      </c>
      <c r="BG10" s="39">
        <v>0.2</v>
      </c>
      <c r="BH10" s="39">
        <v>2.5000000000000001E-2</v>
      </c>
      <c r="BI10" s="39" t="s">
        <v>1125</v>
      </c>
      <c r="BJ10" s="39">
        <v>0</v>
      </c>
      <c r="BK10" s="39">
        <v>0</v>
      </c>
      <c r="BL10" s="39">
        <v>0</v>
      </c>
    </row>
    <row r="11" spans="1:64" x14ac:dyDescent="0.25">
      <c r="A11" t="s">
        <v>55</v>
      </c>
      <c r="B11" s="39">
        <v>0</v>
      </c>
      <c r="C11" s="39">
        <v>1.25</v>
      </c>
      <c r="D11" s="39">
        <v>0</v>
      </c>
      <c r="E11" s="39">
        <v>1</v>
      </c>
      <c r="F11" s="39">
        <v>1</v>
      </c>
      <c r="G11" s="39">
        <v>0</v>
      </c>
      <c r="H11" s="40">
        <f>MAX(21.6,12,10,13.1)</f>
        <v>21.6</v>
      </c>
      <c r="I11" s="41">
        <f>MAX(0.54,1.5,1.5,0.86)</f>
        <v>1.5</v>
      </c>
      <c r="J11" s="39">
        <v>1.0900000000000001</v>
      </c>
      <c r="K11" s="42">
        <f>AVERAGE(0.13,0.106,0.134,0.129)</f>
        <v>0.12475</v>
      </c>
      <c r="L11" s="39">
        <v>0</v>
      </c>
      <c r="M11" s="39">
        <v>0</v>
      </c>
      <c r="N11" s="4" t="s">
        <v>55</v>
      </c>
      <c r="O11" s="4">
        <v>0</v>
      </c>
      <c r="P11" s="4">
        <v>0</v>
      </c>
      <c r="Q11" s="4" t="s">
        <v>45</v>
      </c>
      <c r="R11" s="4" t="s">
        <v>45</v>
      </c>
      <c r="S11" s="4" t="s">
        <v>45</v>
      </c>
      <c r="T11" s="4" t="s">
        <v>45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993</v>
      </c>
      <c r="AB11" s="4" t="s">
        <v>997</v>
      </c>
      <c r="AC11" s="4" t="s">
        <v>1108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1.2</v>
      </c>
      <c r="AJ11" s="4" t="s">
        <v>1016</v>
      </c>
      <c r="AK11" s="4">
        <v>0</v>
      </c>
      <c r="AL11" s="4" t="s">
        <v>1029</v>
      </c>
      <c r="AM11" s="4">
        <v>1</v>
      </c>
      <c r="AN11" s="4">
        <v>0.1</v>
      </c>
      <c r="AO11" s="4">
        <v>0.3</v>
      </c>
      <c r="AP11" s="4">
        <v>1</v>
      </c>
      <c r="AQ11" s="4">
        <v>0</v>
      </c>
      <c r="AR11" s="4" t="s">
        <v>1057</v>
      </c>
      <c r="AS11" s="4">
        <v>1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1</v>
      </c>
      <c r="BB11" s="4">
        <v>0</v>
      </c>
      <c r="BC11" s="4">
        <v>0</v>
      </c>
      <c r="BD11" s="4">
        <v>0</v>
      </c>
      <c r="BE11" s="4">
        <v>0</v>
      </c>
      <c r="BF11" s="39">
        <v>1</v>
      </c>
      <c r="BG11" s="39">
        <v>0.2</v>
      </c>
      <c r="BH11" s="39">
        <v>2.5000000000000001E-2</v>
      </c>
      <c r="BI11" s="39" t="s">
        <v>1125</v>
      </c>
      <c r="BJ11" s="39">
        <v>0</v>
      </c>
      <c r="BK11" s="39">
        <v>0</v>
      </c>
      <c r="BL11" s="39">
        <v>0</v>
      </c>
    </row>
    <row r="12" spans="1:64" s="16" customFormat="1" x14ac:dyDescent="0.25">
      <c r="A12" s="16" t="s">
        <v>1136</v>
      </c>
      <c r="B12" s="39">
        <v>1</v>
      </c>
      <c r="C12" s="39">
        <v>1.1000000000000001</v>
      </c>
      <c r="D12" s="39">
        <v>0</v>
      </c>
      <c r="E12" s="39">
        <v>1</v>
      </c>
      <c r="F12" s="39">
        <v>0</v>
      </c>
      <c r="G12" s="39">
        <v>2</v>
      </c>
      <c r="H12" s="40">
        <v>95</v>
      </c>
      <c r="I12" s="41">
        <f>H12/1000/AVERAGE(9.5,4.6)</f>
        <v>1.3475177304964539E-2</v>
      </c>
      <c r="J12" s="39">
        <v>1.2</v>
      </c>
      <c r="K12" s="39">
        <v>0.32</v>
      </c>
      <c r="L12" s="39">
        <v>1</v>
      </c>
      <c r="M12" s="39">
        <v>1</v>
      </c>
      <c r="N12" s="4" t="s">
        <v>951</v>
      </c>
      <c r="O12" s="4">
        <v>0</v>
      </c>
      <c r="P12" s="4">
        <v>0</v>
      </c>
      <c r="Q12" s="4" t="s">
        <v>45</v>
      </c>
      <c r="R12" s="4" t="s">
        <v>45</v>
      </c>
      <c r="S12" s="4" t="s">
        <v>45</v>
      </c>
      <c r="T12" s="4" t="s">
        <v>45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1.2</v>
      </c>
      <c r="AA12" s="4" t="s">
        <v>992</v>
      </c>
      <c r="AB12" s="4" t="s">
        <v>994</v>
      </c>
      <c r="AC12" s="4" t="s">
        <v>1108</v>
      </c>
      <c r="AD12" s="39">
        <v>1</v>
      </c>
      <c r="AE12" s="4">
        <v>1.1000000000000001</v>
      </c>
      <c r="AF12" s="4" t="s">
        <v>983</v>
      </c>
      <c r="AG12" s="4" t="s">
        <v>986</v>
      </c>
      <c r="AH12" s="4" t="s">
        <v>975</v>
      </c>
      <c r="AI12" s="4">
        <v>1</v>
      </c>
      <c r="AJ12" s="4" t="s">
        <v>1019</v>
      </c>
      <c r="AK12" s="4">
        <v>0</v>
      </c>
      <c r="AL12" s="4" t="s">
        <v>1040</v>
      </c>
      <c r="AM12" s="4">
        <v>0</v>
      </c>
      <c r="AN12" s="4">
        <v>1</v>
      </c>
      <c r="AO12" s="4">
        <v>1</v>
      </c>
      <c r="AP12" s="4" t="s">
        <v>45</v>
      </c>
      <c r="AQ12" s="4">
        <v>0</v>
      </c>
      <c r="AR12" s="4" t="s">
        <v>1057</v>
      </c>
      <c r="AS12" s="4">
        <v>1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2</v>
      </c>
      <c r="AZ12" s="4">
        <v>0</v>
      </c>
      <c r="BA12" s="4">
        <v>0</v>
      </c>
      <c r="BB12" s="4">
        <v>1</v>
      </c>
      <c r="BC12" s="4">
        <v>0</v>
      </c>
      <c r="BD12" s="4">
        <v>0</v>
      </c>
      <c r="BE12" s="4">
        <v>0</v>
      </c>
      <c r="BF12" s="39">
        <v>0.25</v>
      </c>
      <c r="BG12" s="39">
        <v>0.1</v>
      </c>
      <c r="BH12" s="39">
        <v>2.5000000000000001E-2</v>
      </c>
      <c r="BI12" s="39" t="s">
        <v>1127</v>
      </c>
      <c r="BJ12" s="39">
        <v>1</v>
      </c>
      <c r="BK12" s="39">
        <v>0</v>
      </c>
      <c r="BL12" s="39">
        <v>0</v>
      </c>
    </row>
    <row r="13" spans="1:64" x14ac:dyDescent="0.25">
      <c r="A13" t="s">
        <v>431</v>
      </c>
      <c r="B13" s="39">
        <v>1</v>
      </c>
      <c r="C13" s="39">
        <v>1.1000000000000001</v>
      </c>
      <c r="D13" s="39">
        <v>0</v>
      </c>
      <c r="E13" s="39">
        <v>1</v>
      </c>
      <c r="F13" s="39">
        <v>0</v>
      </c>
      <c r="G13" s="39">
        <v>2</v>
      </c>
      <c r="H13" s="40">
        <v>95</v>
      </c>
      <c r="I13" s="41">
        <f>H13/1000/AVERAGE(9.5,4.6)</f>
        <v>1.3475177304964539E-2</v>
      </c>
      <c r="J13" s="39">
        <v>1.2</v>
      </c>
      <c r="K13" s="39">
        <v>0.32</v>
      </c>
      <c r="L13" s="39">
        <v>1</v>
      </c>
      <c r="M13" s="39">
        <v>1</v>
      </c>
      <c r="N13" s="4" t="s">
        <v>951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1.2</v>
      </c>
      <c r="AA13" s="4" t="s">
        <v>992</v>
      </c>
      <c r="AB13" s="4" t="s">
        <v>994</v>
      </c>
      <c r="AC13" s="4" t="s">
        <v>1108</v>
      </c>
      <c r="AD13" s="39">
        <v>1</v>
      </c>
      <c r="AE13" s="4">
        <v>1.1000000000000001</v>
      </c>
      <c r="AF13" s="4" t="s">
        <v>1010</v>
      </c>
      <c r="AG13" s="4" t="s">
        <v>1012</v>
      </c>
      <c r="AH13" s="4" t="s">
        <v>966</v>
      </c>
      <c r="AI13" s="4">
        <v>1</v>
      </c>
      <c r="AJ13" s="4" t="s">
        <v>1019</v>
      </c>
      <c r="AK13" s="4">
        <v>0</v>
      </c>
      <c r="AL13" s="4" t="s">
        <v>1134</v>
      </c>
      <c r="AM13" s="4">
        <v>0</v>
      </c>
      <c r="AN13" s="4">
        <v>1</v>
      </c>
      <c r="AO13" s="4">
        <v>1</v>
      </c>
      <c r="AP13" s="4" t="s">
        <v>45</v>
      </c>
      <c r="AQ13" s="4">
        <v>0</v>
      </c>
      <c r="AR13" s="4" t="s">
        <v>1057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2</v>
      </c>
      <c r="AZ13" s="4">
        <v>0</v>
      </c>
      <c r="BA13" s="4">
        <v>0</v>
      </c>
      <c r="BB13" s="4">
        <v>1</v>
      </c>
      <c r="BC13" s="4">
        <v>0</v>
      </c>
      <c r="BD13" s="4">
        <v>0</v>
      </c>
      <c r="BE13" s="4">
        <v>0</v>
      </c>
      <c r="BF13" s="39">
        <v>0.25</v>
      </c>
      <c r="BG13" s="39">
        <v>0.1</v>
      </c>
      <c r="BH13" s="39">
        <v>2.5000000000000001E-2</v>
      </c>
      <c r="BI13" s="39" t="s">
        <v>1127</v>
      </c>
      <c r="BJ13" s="39">
        <v>1</v>
      </c>
      <c r="BK13" s="39">
        <v>0</v>
      </c>
      <c r="BL13" s="39">
        <v>0</v>
      </c>
    </row>
    <row r="14" spans="1:64" x14ac:dyDescent="0.25">
      <c r="A14" t="s">
        <v>430</v>
      </c>
      <c r="B14" s="39">
        <v>0</v>
      </c>
      <c r="C14" s="39">
        <v>1.5</v>
      </c>
      <c r="D14" s="39">
        <v>1</v>
      </c>
      <c r="E14" s="39">
        <v>1</v>
      </c>
      <c r="F14" s="39">
        <v>0</v>
      </c>
      <c r="G14" s="39">
        <v>0</v>
      </c>
      <c r="H14" s="40">
        <v>32</v>
      </c>
      <c r="I14" s="41">
        <f>H14/1000/13</f>
        <v>2.4615384615384616E-3</v>
      </c>
      <c r="J14" s="39">
        <v>1.9</v>
      </c>
      <c r="K14" s="39">
        <v>0.32</v>
      </c>
      <c r="L14" s="39">
        <v>1</v>
      </c>
      <c r="M14" s="39">
        <v>1</v>
      </c>
      <c r="N14" s="4" t="s">
        <v>45</v>
      </c>
      <c r="O14" s="4">
        <v>1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 t="s">
        <v>45</v>
      </c>
      <c r="AA14" s="4" t="s">
        <v>993</v>
      </c>
      <c r="AB14" s="4" t="s">
        <v>994</v>
      </c>
      <c r="AC14" s="4" t="s">
        <v>1108</v>
      </c>
      <c r="AD14" s="39">
        <v>1</v>
      </c>
      <c r="AE14" s="4">
        <v>1.1000000000000001</v>
      </c>
      <c r="AF14" s="4" t="s">
        <v>1009</v>
      </c>
      <c r="AG14" s="4" t="s">
        <v>1013</v>
      </c>
      <c r="AH14" s="4" t="s">
        <v>966</v>
      </c>
      <c r="AI14" s="4">
        <v>1</v>
      </c>
      <c r="AJ14" s="4" t="s">
        <v>1019</v>
      </c>
      <c r="AK14" s="4">
        <v>0</v>
      </c>
      <c r="AL14" s="4" t="s">
        <v>430</v>
      </c>
      <c r="AM14" s="4">
        <v>0</v>
      </c>
      <c r="AN14" s="4">
        <v>0</v>
      </c>
      <c r="AO14" s="4">
        <v>0</v>
      </c>
      <c r="AP14" s="4" t="s">
        <v>45</v>
      </c>
      <c r="AQ14" s="4">
        <v>0</v>
      </c>
      <c r="AR14" s="4" t="s">
        <v>685</v>
      </c>
      <c r="AS14" s="4">
        <v>0</v>
      </c>
      <c r="AT14" s="4">
        <v>0</v>
      </c>
      <c r="AU14" s="4">
        <v>1</v>
      </c>
      <c r="AV14" s="4" t="s">
        <v>45</v>
      </c>
      <c r="AW14" s="4">
        <v>0</v>
      </c>
      <c r="AX14" s="4">
        <v>0</v>
      </c>
      <c r="AY14" s="4">
        <v>1</v>
      </c>
      <c r="AZ14" s="4">
        <v>0</v>
      </c>
      <c r="BA14" s="4">
        <v>0</v>
      </c>
      <c r="BB14" s="4">
        <v>1</v>
      </c>
      <c r="BC14" s="4">
        <v>0</v>
      </c>
      <c r="BD14" s="4">
        <v>0</v>
      </c>
      <c r="BE14" s="4">
        <v>1</v>
      </c>
      <c r="BF14" s="39">
        <v>0.25</v>
      </c>
      <c r="BG14" s="39">
        <v>0</v>
      </c>
      <c r="BH14" s="39">
        <v>0</v>
      </c>
      <c r="BI14" s="39" t="s">
        <v>1127</v>
      </c>
      <c r="BJ14" s="39">
        <v>0</v>
      </c>
      <c r="BK14" s="39">
        <v>0</v>
      </c>
      <c r="BL14" s="39">
        <v>0</v>
      </c>
    </row>
    <row r="15" spans="1:64" x14ac:dyDescent="0.25">
      <c r="A15" t="s">
        <v>195</v>
      </c>
      <c r="B15" s="39">
        <v>2</v>
      </c>
      <c r="C15" s="39">
        <v>1.1000000000000001</v>
      </c>
      <c r="D15" s="39">
        <v>0</v>
      </c>
      <c r="E15" s="39">
        <v>1</v>
      </c>
      <c r="F15" s="39">
        <v>0</v>
      </c>
      <c r="G15" s="39">
        <v>0</v>
      </c>
      <c r="H15" s="40">
        <f>AVERAGE(65.2,57.2,43.4)</f>
        <v>55.266666666666673</v>
      </c>
      <c r="I15" s="41">
        <f>AVERAGE(31.29%,20.98%,15.21%)</f>
        <v>0.22493333333333335</v>
      </c>
      <c r="J15" s="39">
        <v>1.86</v>
      </c>
      <c r="K15" s="39">
        <v>0.2</v>
      </c>
      <c r="L15" s="39">
        <v>1</v>
      </c>
      <c r="M15" s="39">
        <v>0</v>
      </c>
      <c r="N15" s="4" t="s">
        <v>468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0.95</v>
      </c>
      <c r="AA15" s="4" t="s">
        <v>993</v>
      </c>
      <c r="AB15" s="4" t="s">
        <v>996</v>
      </c>
      <c r="AC15" s="4" t="s">
        <v>1108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1017</v>
      </c>
      <c r="AK15" s="4">
        <v>0</v>
      </c>
      <c r="AL15" s="4" t="s">
        <v>1038</v>
      </c>
      <c r="AM15" s="4">
        <v>0</v>
      </c>
      <c r="AN15" s="4">
        <v>0.1</v>
      </c>
      <c r="AO15" s="4">
        <v>0.3</v>
      </c>
      <c r="AP15" s="4" t="s">
        <v>45</v>
      </c>
      <c r="AQ15" s="4">
        <v>0</v>
      </c>
      <c r="AR15" s="4" t="s">
        <v>685</v>
      </c>
      <c r="AS15" s="4">
        <v>1</v>
      </c>
      <c r="AT15" s="4">
        <v>1</v>
      </c>
      <c r="AU15" s="4">
        <v>1</v>
      </c>
      <c r="AV15" s="4" t="s">
        <v>45</v>
      </c>
      <c r="AW15" s="4">
        <v>0</v>
      </c>
      <c r="AX15" s="4">
        <v>0</v>
      </c>
      <c r="AY15" s="4">
        <v>2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1</v>
      </c>
      <c r="BF15" s="39">
        <v>0.25</v>
      </c>
      <c r="BG15" s="39">
        <v>0.1</v>
      </c>
      <c r="BH15" s="39">
        <v>2.5000000000000001E-2</v>
      </c>
      <c r="BI15" s="39" t="s">
        <v>1127</v>
      </c>
      <c r="BJ15" s="39">
        <v>0</v>
      </c>
      <c r="BK15" s="39">
        <v>0</v>
      </c>
      <c r="BL15" s="39">
        <v>0</v>
      </c>
    </row>
    <row r="16" spans="1:64" x14ac:dyDescent="0.25">
      <c r="A16" t="s">
        <v>72</v>
      </c>
      <c r="B16" s="39">
        <v>2</v>
      </c>
      <c r="C16" s="39">
        <v>1</v>
      </c>
      <c r="D16" s="39">
        <v>0</v>
      </c>
      <c r="E16" s="39">
        <v>5</v>
      </c>
      <c r="F16" s="39">
        <v>0</v>
      </c>
      <c r="G16" s="39">
        <v>0</v>
      </c>
      <c r="H16" s="40">
        <f>AVERAGE(21.6,12,10,13.1)</f>
        <v>14.175000000000001</v>
      </c>
      <c r="I16" s="41">
        <f>AVERAGE(0.54,1.5,1.5,0.86)</f>
        <v>1.1000000000000001</v>
      </c>
      <c r="J16" s="39">
        <v>1.0900000000000001</v>
      </c>
      <c r="K16" s="42">
        <v>0.08</v>
      </c>
      <c r="L16" s="39">
        <v>0</v>
      </c>
      <c r="M16" s="39">
        <v>0</v>
      </c>
      <c r="N16" s="4" t="s">
        <v>45</v>
      </c>
      <c r="O16" s="4">
        <v>0</v>
      </c>
      <c r="P16" s="4">
        <v>1</v>
      </c>
      <c r="Q16" s="4">
        <v>0.9</v>
      </c>
      <c r="R16" s="4" t="s">
        <v>968</v>
      </c>
      <c r="S16" s="4" t="s">
        <v>970</v>
      </c>
      <c r="T16" s="4" t="s">
        <v>969</v>
      </c>
      <c r="U16" s="4">
        <v>3</v>
      </c>
      <c r="V16" s="4">
        <v>0.7</v>
      </c>
      <c r="W16" s="4" t="s">
        <v>981</v>
      </c>
      <c r="X16" s="4" t="s">
        <v>982</v>
      </c>
      <c r="Y16" s="4" t="s">
        <v>966</v>
      </c>
      <c r="Z16" s="4" t="s">
        <v>45</v>
      </c>
      <c r="AA16" s="4" t="s">
        <v>993</v>
      </c>
      <c r="AB16" s="4" t="s">
        <v>996</v>
      </c>
      <c r="AC16" s="4" t="s">
        <v>1108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</v>
      </c>
      <c r="AJ16" s="4" t="s">
        <v>1016</v>
      </c>
      <c r="AK16" s="4">
        <v>1</v>
      </c>
      <c r="AL16" s="4" t="s">
        <v>1035</v>
      </c>
      <c r="AM16" s="4">
        <v>0</v>
      </c>
      <c r="AN16" s="4">
        <v>2.5000000000000001E-2</v>
      </c>
      <c r="AO16" s="4">
        <v>0.3</v>
      </c>
      <c r="AP16" s="4" t="s">
        <v>45</v>
      </c>
      <c r="AQ16" s="4">
        <v>0</v>
      </c>
      <c r="AR16" s="4" t="s">
        <v>1057</v>
      </c>
      <c r="AS16" s="4">
        <v>0</v>
      </c>
      <c r="AT16" s="4">
        <v>0</v>
      </c>
      <c r="AU16" s="4">
        <v>0</v>
      </c>
      <c r="AV16" s="4" t="s">
        <v>45</v>
      </c>
      <c r="AW16" s="4">
        <v>0</v>
      </c>
      <c r="AX16" s="4">
        <v>0</v>
      </c>
      <c r="AY16" s="4">
        <v>0</v>
      </c>
      <c r="AZ16" s="4">
        <v>0</v>
      </c>
      <c r="BA16" s="4">
        <v>1</v>
      </c>
      <c r="BB16" s="4">
        <v>1</v>
      </c>
      <c r="BC16" s="4">
        <v>0</v>
      </c>
      <c r="BD16" s="4">
        <v>0</v>
      </c>
      <c r="BE16" s="4">
        <v>0</v>
      </c>
      <c r="BF16" s="39">
        <v>0.25</v>
      </c>
      <c r="BG16" s="39">
        <v>0.1</v>
      </c>
      <c r="BH16" s="39">
        <v>0.05</v>
      </c>
      <c r="BI16" s="39" t="s">
        <v>1125</v>
      </c>
      <c r="BJ16" s="39">
        <v>0</v>
      </c>
      <c r="BK16" s="39">
        <v>0</v>
      </c>
      <c r="BL16" s="39">
        <v>0</v>
      </c>
    </row>
    <row r="17" spans="1:64" x14ac:dyDescent="0.25">
      <c r="A17" t="s">
        <v>75</v>
      </c>
      <c r="B17" s="39">
        <v>2</v>
      </c>
      <c r="C17" s="39">
        <v>1.25</v>
      </c>
      <c r="D17" s="39">
        <v>0</v>
      </c>
      <c r="E17" s="39">
        <v>1</v>
      </c>
      <c r="F17" s="39">
        <v>1</v>
      </c>
      <c r="G17" s="39">
        <v>1</v>
      </c>
      <c r="H17" s="40">
        <f>MAX(21.6,12,10,13.1)</f>
        <v>21.6</v>
      </c>
      <c r="I17" s="41">
        <f>MAX(0.54,1.5,1.5,0.86)</f>
        <v>1.5</v>
      </c>
      <c r="J17" s="39">
        <v>1.0900000000000001</v>
      </c>
      <c r="K17" s="42">
        <f>AVERAGE(0.13,0.106,0.134,0.129)</f>
        <v>0.12475</v>
      </c>
      <c r="L17" s="39">
        <v>0</v>
      </c>
      <c r="M17" s="39">
        <v>0</v>
      </c>
      <c r="N17" s="4" t="s">
        <v>75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0.7</v>
      </c>
      <c r="AA17" s="4" t="s">
        <v>993</v>
      </c>
      <c r="AB17" s="4" t="s">
        <v>997</v>
      </c>
      <c r="AC17" s="4" t="s">
        <v>1108</v>
      </c>
      <c r="AD17" s="39">
        <v>1</v>
      </c>
      <c r="AE17" s="4">
        <v>0.65</v>
      </c>
      <c r="AF17" s="4" t="s">
        <v>1007</v>
      </c>
      <c r="AG17" s="4" t="s">
        <v>1013</v>
      </c>
      <c r="AH17" s="4" t="s">
        <v>966</v>
      </c>
      <c r="AI17" s="4">
        <v>1.2</v>
      </c>
      <c r="AJ17" s="4" t="s">
        <v>1016</v>
      </c>
      <c r="AK17" s="4">
        <v>0</v>
      </c>
      <c r="AL17" s="4" t="s">
        <v>1029</v>
      </c>
      <c r="AM17" s="4">
        <v>1</v>
      </c>
      <c r="AN17" s="4">
        <v>0.1</v>
      </c>
      <c r="AO17" s="4">
        <v>0.3</v>
      </c>
      <c r="AP17" s="4">
        <v>1</v>
      </c>
      <c r="AQ17" s="4">
        <v>0</v>
      </c>
      <c r="AR17" s="4" t="s">
        <v>1059</v>
      </c>
      <c r="AS17" s="4">
        <v>1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0</v>
      </c>
      <c r="BA17" s="4">
        <v>1</v>
      </c>
      <c r="BB17" s="4">
        <v>0</v>
      </c>
      <c r="BC17" s="4">
        <v>0</v>
      </c>
      <c r="BD17" s="4">
        <v>0</v>
      </c>
      <c r="BE17" s="4">
        <v>0</v>
      </c>
      <c r="BF17" s="39">
        <v>1.25</v>
      </c>
      <c r="BG17" s="39">
        <v>0.25</v>
      </c>
      <c r="BH17" s="39">
        <v>2.5000000000000001E-2</v>
      </c>
      <c r="BI17" s="39" t="s">
        <v>1125</v>
      </c>
      <c r="BJ17" s="39">
        <v>0</v>
      </c>
      <c r="BK17" s="39">
        <v>0</v>
      </c>
      <c r="BL17" s="39">
        <v>0</v>
      </c>
    </row>
    <row r="18" spans="1:64" s="16" customFormat="1" x14ac:dyDescent="0.25">
      <c r="A18" s="16" t="s">
        <v>1074</v>
      </c>
      <c r="B18" s="39">
        <v>2</v>
      </c>
      <c r="C18" s="39">
        <v>1.25</v>
      </c>
      <c r="D18" s="39">
        <v>0</v>
      </c>
      <c r="E18" s="39">
        <v>1</v>
      </c>
      <c r="F18" s="39">
        <v>1</v>
      </c>
      <c r="G18" s="39">
        <v>1</v>
      </c>
      <c r="H18" s="40">
        <f>MAX(21.6,12,10,13.1)</f>
        <v>21.6</v>
      </c>
      <c r="I18" s="41">
        <f>MAX(0.54,1.5,1.5,0.86)</f>
        <v>1.5</v>
      </c>
      <c r="J18" s="39">
        <v>1.0900000000000001</v>
      </c>
      <c r="K18" s="42">
        <f>AVERAGE(0.13,0.106,0.134,0.129)</f>
        <v>0.12475</v>
      </c>
      <c r="L18" s="39">
        <v>0</v>
      </c>
      <c r="M18" s="39">
        <v>0</v>
      </c>
      <c r="N18" s="4" t="s">
        <v>75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0.7</v>
      </c>
      <c r="AA18" s="4" t="s">
        <v>993</v>
      </c>
      <c r="AB18" s="4" t="s">
        <v>997</v>
      </c>
      <c r="AC18" s="4" t="s">
        <v>1108</v>
      </c>
      <c r="AD18" s="39">
        <v>1</v>
      </c>
      <c r="AE18" s="4">
        <v>0.65</v>
      </c>
      <c r="AF18" s="4" t="s">
        <v>1007</v>
      </c>
      <c r="AG18" s="4" t="s">
        <v>1013</v>
      </c>
      <c r="AH18" s="4" t="s">
        <v>966</v>
      </c>
      <c r="AI18" s="4">
        <v>1.2</v>
      </c>
      <c r="AJ18" s="4" t="s">
        <v>1016</v>
      </c>
      <c r="AK18" s="4">
        <v>0</v>
      </c>
      <c r="AL18" s="4" t="s">
        <v>1029</v>
      </c>
      <c r="AM18" s="4">
        <v>1</v>
      </c>
      <c r="AN18" s="4">
        <v>0.1</v>
      </c>
      <c r="AO18" s="4">
        <v>0.3</v>
      </c>
      <c r="AP18" s="4">
        <v>1</v>
      </c>
      <c r="AQ18" s="4">
        <v>0</v>
      </c>
      <c r="AR18" s="4" t="s">
        <v>1059</v>
      </c>
      <c r="AS18" s="4">
        <v>1</v>
      </c>
      <c r="AT18" s="4">
        <v>1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1</v>
      </c>
      <c r="BB18" s="4">
        <v>0</v>
      </c>
      <c r="BC18" s="4">
        <v>0</v>
      </c>
      <c r="BD18" s="4">
        <v>0</v>
      </c>
      <c r="BE18" s="4">
        <v>0</v>
      </c>
      <c r="BF18" s="39">
        <v>1.25</v>
      </c>
      <c r="BG18" s="39">
        <v>0.25</v>
      </c>
      <c r="BH18" s="39">
        <v>2.5000000000000001E-2</v>
      </c>
      <c r="BI18" s="39" t="s">
        <v>1125</v>
      </c>
      <c r="BJ18" s="39">
        <v>0</v>
      </c>
      <c r="BK18" s="39">
        <v>0</v>
      </c>
      <c r="BL18" s="39">
        <v>0</v>
      </c>
    </row>
    <row r="19" spans="1:64" x14ac:dyDescent="0.25">
      <c r="A19" t="s">
        <v>291</v>
      </c>
      <c r="B19" s="39">
        <v>0</v>
      </c>
      <c r="C19" s="39">
        <v>1</v>
      </c>
      <c r="D19" s="39">
        <v>1</v>
      </c>
      <c r="E19" s="39">
        <v>1</v>
      </c>
      <c r="F19" s="39">
        <v>0</v>
      </c>
      <c r="G19" s="39">
        <v>0</v>
      </c>
      <c r="H19" s="40">
        <f>AVERAGE(AVERAGE(14.84,16.45,15.67,11.41,11.56,11.45),11.5)</f>
        <v>12.531666666666666</v>
      </c>
      <c r="I19" s="41">
        <f>AVERAGE(63%,61.11%,59.19%,126.33%,114.23%,101.98%)</f>
        <v>0.87639999999999996</v>
      </c>
      <c r="J19" s="39">
        <v>1.0900000000000001</v>
      </c>
      <c r="K19" s="39" t="s">
        <v>942</v>
      </c>
      <c r="L19" s="39">
        <v>0</v>
      </c>
      <c r="M19" s="39">
        <v>0</v>
      </c>
      <c r="N19" s="4" t="s">
        <v>956</v>
      </c>
      <c r="O19" s="4">
        <v>1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1</v>
      </c>
      <c r="AA19" s="4" t="s">
        <v>993</v>
      </c>
      <c r="AB19" s="4" t="s">
        <v>996</v>
      </c>
      <c r="AC19" s="4" t="s">
        <v>1108</v>
      </c>
      <c r="AD19" s="39">
        <v>0</v>
      </c>
      <c r="AE19" s="4" t="s">
        <v>45</v>
      </c>
      <c r="AF19" s="4" t="s">
        <v>45</v>
      </c>
      <c r="AG19" s="4" t="s">
        <v>45</v>
      </c>
      <c r="AH19" s="4" t="s">
        <v>45</v>
      </c>
      <c r="AI19" s="4">
        <v>1</v>
      </c>
      <c r="AJ19" s="4" t="s">
        <v>1018</v>
      </c>
      <c r="AK19" s="4">
        <v>0</v>
      </c>
      <c r="AL19" s="4" t="s">
        <v>1027</v>
      </c>
      <c r="AM19" s="4">
        <v>0</v>
      </c>
      <c r="AN19" s="4">
        <v>0</v>
      </c>
      <c r="AO19" s="4">
        <v>0</v>
      </c>
      <c r="AP19" s="4" t="s">
        <v>45</v>
      </c>
      <c r="AQ19" s="4">
        <v>0</v>
      </c>
      <c r="AR19" s="4" t="s">
        <v>685</v>
      </c>
      <c r="AS19" s="4">
        <v>1</v>
      </c>
      <c r="AT19" s="4">
        <v>1</v>
      </c>
      <c r="AU19" s="4">
        <v>1</v>
      </c>
      <c r="AV19" s="4" t="s">
        <v>45</v>
      </c>
      <c r="AW19" s="4">
        <v>0</v>
      </c>
      <c r="AX19" s="4">
        <v>0</v>
      </c>
      <c r="AY19" s="4">
        <v>0</v>
      </c>
      <c r="AZ19" s="4">
        <v>1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39">
        <v>0.5</v>
      </c>
      <c r="BG19" s="39">
        <v>0</v>
      </c>
      <c r="BH19" s="39">
        <v>0</v>
      </c>
      <c r="BI19" s="39" t="s">
        <v>1127</v>
      </c>
      <c r="BJ19" s="39">
        <v>0</v>
      </c>
      <c r="BK19" s="39">
        <v>0</v>
      </c>
      <c r="BL19" s="39">
        <v>0</v>
      </c>
    </row>
    <row r="20" spans="1:64" s="16" customFormat="1" x14ac:dyDescent="0.25">
      <c r="A20" s="16" t="s">
        <v>1045</v>
      </c>
      <c r="B20" s="39">
        <v>0</v>
      </c>
      <c r="C20" s="39">
        <v>0.7</v>
      </c>
      <c r="D20" s="39">
        <v>1</v>
      </c>
      <c r="E20" s="39">
        <v>5</v>
      </c>
      <c r="F20" s="39">
        <v>1</v>
      </c>
      <c r="G20" s="39">
        <v>0</v>
      </c>
      <c r="H20" s="40">
        <f>AVERAGE(21.6,12,10,13.1)</f>
        <v>14.175000000000001</v>
      </c>
      <c r="I20" s="41">
        <f>AVERAGE(0.54,1.5,1.5,0.86)</f>
        <v>1.1000000000000001</v>
      </c>
      <c r="J20" s="39">
        <v>1.0900000000000001</v>
      </c>
      <c r="K20" s="39" t="s">
        <v>942</v>
      </c>
      <c r="L20" s="39">
        <v>0</v>
      </c>
      <c r="M20" s="39">
        <v>0</v>
      </c>
      <c r="N20" s="4" t="s">
        <v>955</v>
      </c>
      <c r="O20" s="4">
        <v>0</v>
      </c>
      <c r="P20" s="4">
        <v>1</v>
      </c>
      <c r="Q20" s="4">
        <v>0.95</v>
      </c>
      <c r="R20" s="4" t="s">
        <v>968</v>
      </c>
      <c r="S20" s="4" t="s">
        <v>971</v>
      </c>
      <c r="T20" s="4" t="s">
        <v>969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1</v>
      </c>
      <c r="AA20" s="4" t="s">
        <v>993</v>
      </c>
      <c r="AB20" s="4" t="s">
        <v>996</v>
      </c>
      <c r="AC20" s="4" t="s">
        <v>1108</v>
      </c>
      <c r="AD20" s="39">
        <v>0</v>
      </c>
      <c r="AE20" s="4" t="s">
        <v>45</v>
      </c>
      <c r="AF20" s="4" t="s">
        <v>45</v>
      </c>
      <c r="AG20" s="4" t="s">
        <v>45</v>
      </c>
      <c r="AH20" s="4" t="s">
        <v>45</v>
      </c>
      <c r="AI20" s="4">
        <v>1</v>
      </c>
      <c r="AJ20" s="4" t="s">
        <v>1016</v>
      </c>
      <c r="AK20" s="4">
        <v>1</v>
      </c>
      <c r="AL20" s="4" t="s">
        <v>1031</v>
      </c>
      <c r="AM20" s="4">
        <v>0</v>
      </c>
      <c r="AN20" s="4">
        <v>0</v>
      </c>
      <c r="AO20" s="4">
        <v>0</v>
      </c>
      <c r="AP20" s="4" t="s">
        <v>45</v>
      </c>
      <c r="AQ20" s="4">
        <v>0</v>
      </c>
      <c r="AR20" s="4" t="s">
        <v>685</v>
      </c>
      <c r="AS20" s="4">
        <v>0</v>
      </c>
      <c r="AT20" s="4">
        <v>0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1</v>
      </c>
      <c r="BB20" s="4">
        <v>0</v>
      </c>
      <c r="BC20" s="4">
        <v>0</v>
      </c>
      <c r="BD20" s="4">
        <v>0</v>
      </c>
      <c r="BE20" s="4">
        <v>1</v>
      </c>
      <c r="BF20" s="39">
        <v>0.5</v>
      </c>
      <c r="BG20" s="39">
        <v>0</v>
      </c>
      <c r="BH20" s="39">
        <v>0</v>
      </c>
      <c r="BI20" s="39" t="s">
        <v>1125</v>
      </c>
      <c r="BJ20" s="39">
        <v>0</v>
      </c>
      <c r="BK20" s="39">
        <v>0</v>
      </c>
      <c r="BL20" s="39">
        <v>0</v>
      </c>
    </row>
    <row r="21" spans="1:64" s="16" customFormat="1" x14ac:dyDescent="0.25">
      <c r="A21" s="16" t="s">
        <v>1044</v>
      </c>
      <c r="B21" s="39">
        <v>0</v>
      </c>
      <c r="C21" s="39">
        <v>0.7</v>
      </c>
      <c r="D21" s="39">
        <v>1</v>
      </c>
      <c r="E21" s="39">
        <v>5</v>
      </c>
      <c r="F21" s="39">
        <v>1</v>
      </c>
      <c r="G21" s="39">
        <v>0</v>
      </c>
      <c r="H21" s="40">
        <f>AVERAGE(21.6,12,10,13.1)</f>
        <v>14.175000000000001</v>
      </c>
      <c r="I21" s="41">
        <f>AVERAGE(0.54,1.5,1.5,0.86)</f>
        <v>1.1000000000000001</v>
      </c>
      <c r="J21" s="39">
        <v>1.0900000000000001</v>
      </c>
      <c r="K21" s="39" t="s">
        <v>942</v>
      </c>
      <c r="L21" s="39">
        <v>0</v>
      </c>
      <c r="M21" s="39">
        <v>0</v>
      </c>
      <c r="N21" s="4" t="s">
        <v>955</v>
      </c>
      <c r="O21" s="4">
        <v>0</v>
      </c>
      <c r="P21" s="4">
        <v>1</v>
      </c>
      <c r="Q21" s="4">
        <v>0.95</v>
      </c>
      <c r="R21" s="4" t="s">
        <v>968</v>
      </c>
      <c r="S21" s="4" t="s">
        <v>971</v>
      </c>
      <c r="T21" s="4" t="s">
        <v>969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993</v>
      </c>
      <c r="AB21" s="4" t="s">
        <v>996</v>
      </c>
      <c r="AC21" s="4" t="s">
        <v>1108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1016</v>
      </c>
      <c r="AK21" s="4">
        <v>1</v>
      </c>
      <c r="AL21" s="4" t="s">
        <v>1030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685</v>
      </c>
      <c r="AS21" s="4">
        <v>0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1</v>
      </c>
      <c r="BB21" s="4">
        <v>0</v>
      </c>
      <c r="BC21" s="4">
        <v>0</v>
      </c>
      <c r="BD21" s="4">
        <v>0</v>
      </c>
      <c r="BE21" s="4">
        <v>1</v>
      </c>
      <c r="BF21" s="39">
        <v>0.5</v>
      </c>
      <c r="BG21" s="39">
        <v>0</v>
      </c>
      <c r="BH21" s="39">
        <v>0</v>
      </c>
      <c r="BI21" s="39" t="s">
        <v>1125</v>
      </c>
      <c r="BJ21" s="39">
        <v>0</v>
      </c>
      <c r="BK21" s="39">
        <v>0</v>
      </c>
      <c r="BL21" s="39">
        <v>0</v>
      </c>
    </row>
    <row r="22" spans="1:64" s="16" customFormat="1" x14ac:dyDescent="0.25">
      <c r="A22" s="16" t="s">
        <v>1142</v>
      </c>
      <c r="B22" s="39">
        <v>0</v>
      </c>
      <c r="C22" s="39">
        <v>1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AVERAGE(21.6,12,10,13.1)</f>
        <v>14.175000000000001</v>
      </c>
      <c r="I22" s="41">
        <f>AVERAGE(0.54,1.5,1.5,0.86)</f>
        <v>1.1000000000000001</v>
      </c>
      <c r="J22" s="39">
        <v>1.0900000000000001</v>
      </c>
      <c r="K22" s="39" t="s">
        <v>942</v>
      </c>
      <c r="L22" s="39">
        <v>0</v>
      </c>
      <c r="M22" s="39">
        <v>0</v>
      </c>
      <c r="N22" s="4" t="s">
        <v>955</v>
      </c>
      <c r="O22" s="4">
        <v>0</v>
      </c>
      <c r="P22" s="4">
        <v>1</v>
      </c>
      <c r="Q22" s="4">
        <v>0.85</v>
      </c>
      <c r="R22" s="4" t="s">
        <v>968</v>
      </c>
      <c r="S22" s="4" t="s">
        <v>971</v>
      </c>
      <c r="T22" s="4" t="s">
        <v>969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993</v>
      </c>
      <c r="AB22" s="4" t="s">
        <v>996</v>
      </c>
      <c r="AC22" s="4" t="s">
        <v>1108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1016</v>
      </c>
      <c r="AK22" s="4">
        <v>1</v>
      </c>
      <c r="AL22" s="4" t="s">
        <v>1031</v>
      </c>
      <c r="AM22" s="4">
        <v>0</v>
      </c>
      <c r="AN22" s="4">
        <v>0</v>
      </c>
      <c r="AO22" s="4">
        <v>0</v>
      </c>
      <c r="AP22" s="4">
        <v>0.2</v>
      </c>
      <c r="AQ22" s="4">
        <v>0</v>
      </c>
      <c r="AR22" s="4" t="s">
        <v>685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1</v>
      </c>
      <c r="BB22" s="4">
        <v>0</v>
      </c>
      <c r="BC22" s="4">
        <v>0</v>
      </c>
      <c r="BD22" s="4">
        <v>0</v>
      </c>
      <c r="BE22" s="4">
        <v>1</v>
      </c>
      <c r="BF22" s="39">
        <v>0.7</v>
      </c>
      <c r="BG22" s="39">
        <v>0</v>
      </c>
      <c r="BH22" s="39">
        <v>0</v>
      </c>
      <c r="BI22" s="39" t="s">
        <v>1125</v>
      </c>
      <c r="BJ22" s="39">
        <v>0</v>
      </c>
      <c r="BK22" s="39">
        <v>0</v>
      </c>
      <c r="BL22" s="39">
        <v>0</v>
      </c>
    </row>
    <row r="23" spans="1:64" x14ac:dyDescent="0.25">
      <c r="A23" t="s">
        <v>89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AVERAGE(21.6,12,10,13.1)</f>
        <v>14.175000000000001</v>
      </c>
      <c r="I23" s="41">
        <f>AVERAGE(0.54,1.5,1.5,0.86)</f>
        <v>1.1000000000000001</v>
      </c>
      <c r="J23" s="39">
        <v>1.0900000000000001</v>
      </c>
      <c r="K23" s="39" t="s">
        <v>942</v>
      </c>
      <c r="L23" s="39">
        <v>0</v>
      </c>
      <c r="M23" s="39">
        <v>0</v>
      </c>
      <c r="N23" s="4" t="s">
        <v>955</v>
      </c>
      <c r="O23" s="4">
        <v>0</v>
      </c>
      <c r="P23" s="4">
        <v>1</v>
      </c>
      <c r="Q23" s="4">
        <v>0.85</v>
      </c>
      <c r="R23" s="4" t="s">
        <v>968</v>
      </c>
      <c r="S23" s="4" t="s">
        <v>971</v>
      </c>
      <c r="T23" s="4" t="s">
        <v>969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993</v>
      </c>
      <c r="AB23" s="4" t="s">
        <v>996</v>
      </c>
      <c r="AC23" s="4" t="s">
        <v>1108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1016</v>
      </c>
      <c r="AK23" s="4">
        <v>1</v>
      </c>
      <c r="AL23" s="4" t="s">
        <v>1031</v>
      </c>
      <c r="AM23" s="4">
        <v>0</v>
      </c>
      <c r="AN23" s="4">
        <v>0</v>
      </c>
      <c r="AO23" s="4">
        <v>0</v>
      </c>
      <c r="AP23" s="4">
        <v>0.2</v>
      </c>
      <c r="AQ23" s="4">
        <v>0</v>
      </c>
      <c r="AR23" s="4" t="s">
        <v>685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1</v>
      </c>
      <c r="BB23" s="4">
        <v>0</v>
      </c>
      <c r="BC23" s="4">
        <v>0</v>
      </c>
      <c r="BD23" s="4">
        <v>0</v>
      </c>
      <c r="BE23" s="4">
        <v>1</v>
      </c>
      <c r="BF23" s="39">
        <v>0.7</v>
      </c>
      <c r="BG23" s="39">
        <v>0</v>
      </c>
      <c r="BH23" s="39">
        <v>0</v>
      </c>
      <c r="BI23" s="39" t="s">
        <v>1125</v>
      </c>
      <c r="BJ23" s="39">
        <v>0</v>
      </c>
      <c r="BK23" s="39">
        <v>0</v>
      </c>
      <c r="BL23" s="39">
        <v>0</v>
      </c>
    </row>
    <row r="24" spans="1:64" s="16" customFormat="1" x14ac:dyDescent="0.25">
      <c r="A24" s="16" t="s">
        <v>1046</v>
      </c>
      <c r="B24" s="39">
        <v>1</v>
      </c>
      <c r="C24" s="39">
        <v>1.3</v>
      </c>
      <c r="D24" s="39">
        <v>0</v>
      </c>
      <c r="E24" s="39">
        <v>1</v>
      </c>
      <c r="F24" s="39">
        <v>0</v>
      </c>
      <c r="G24" s="39">
        <v>0</v>
      </c>
      <c r="H24" s="40">
        <v>21</v>
      </c>
      <c r="I24" s="41">
        <v>0.85</v>
      </c>
      <c r="J24" s="39">
        <v>1.0900000000000001</v>
      </c>
      <c r="K24" s="39" t="s">
        <v>942</v>
      </c>
      <c r="L24" s="39">
        <v>0</v>
      </c>
      <c r="M24" s="39">
        <v>0</v>
      </c>
      <c r="N24" s="4" t="s">
        <v>954</v>
      </c>
      <c r="O24" s="4">
        <v>0</v>
      </c>
      <c r="P24" s="4">
        <v>0</v>
      </c>
      <c r="Q24" s="4" t="s">
        <v>45</v>
      </c>
      <c r="R24" s="4" t="s">
        <v>45</v>
      </c>
      <c r="S24" s="4" t="s">
        <v>45</v>
      </c>
      <c r="T24" s="4" t="s">
        <v>45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0.9</v>
      </c>
      <c r="AA24" s="4" t="s">
        <v>993</v>
      </c>
      <c r="AB24" s="4" t="s">
        <v>996</v>
      </c>
      <c r="AC24" s="4" t="s">
        <v>1108</v>
      </c>
      <c r="AD24" s="39">
        <v>1</v>
      </c>
      <c r="AE24" s="4">
        <v>0.7</v>
      </c>
      <c r="AF24" s="4" t="s">
        <v>1009</v>
      </c>
      <c r="AG24" s="4" t="s">
        <v>1013</v>
      </c>
      <c r="AH24" s="4" t="s">
        <v>966</v>
      </c>
      <c r="AI24" s="4">
        <v>1.2</v>
      </c>
      <c r="AJ24" s="4" t="s">
        <v>1017</v>
      </c>
      <c r="AK24" s="4">
        <v>0</v>
      </c>
      <c r="AL24" s="4" t="s">
        <v>1038</v>
      </c>
      <c r="AM24" s="4">
        <v>0</v>
      </c>
      <c r="AN24" s="4">
        <v>0</v>
      </c>
      <c r="AO24" s="4">
        <v>0</v>
      </c>
      <c r="AP24" s="4" t="s">
        <v>45</v>
      </c>
      <c r="AQ24" s="4">
        <v>0</v>
      </c>
      <c r="AR24" s="4" t="s">
        <v>685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39">
        <v>0.5</v>
      </c>
      <c r="BG24" s="39">
        <v>0</v>
      </c>
      <c r="BH24" s="39">
        <v>0</v>
      </c>
      <c r="BI24" s="39" t="s">
        <v>1127</v>
      </c>
      <c r="BJ24" s="39">
        <v>0</v>
      </c>
      <c r="BK24" s="39">
        <v>0</v>
      </c>
      <c r="BL24" s="39">
        <v>0</v>
      </c>
    </row>
    <row r="25" spans="1:64" x14ac:dyDescent="0.25">
      <c r="A25" t="s">
        <v>1047</v>
      </c>
      <c r="B25" s="39">
        <v>1</v>
      </c>
      <c r="C25" s="39">
        <v>1.3</v>
      </c>
      <c r="D25" s="39">
        <v>0</v>
      </c>
      <c r="E25" s="39">
        <v>1</v>
      </c>
      <c r="F25" s="39">
        <v>0</v>
      </c>
      <c r="G25" s="39">
        <v>0</v>
      </c>
      <c r="H25" s="40">
        <v>21</v>
      </c>
      <c r="I25" s="41">
        <v>0.85</v>
      </c>
      <c r="J25" s="39">
        <v>1.0900000000000001</v>
      </c>
      <c r="K25" s="39" t="s">
        <v>942</v>
      </c>
      <c r="L25" s="39">
        <v>0</v>
      </c>
      <c r="M25" s="39">
        <v>0</v>
      </c>
      <c r="N25" s="4" t="s">
        <v>954</v>
      </c>
      <c r="O25" s="4">
        <v>0</v>
      </c>
      <c r="P25" s="4">
        <v>0</v>
      </c>
      <c r="Q25" s="4" t="s">
        <v>45</v>
      </c>
      <c r="R25" s="4" t="s">
        <v>45</v>
      </c>
      <c r="S25" s="4" t="s">
        <v>45</v>
      </c>
      <c r="T25" s="4" t="s">
        <v>45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0.85</v>
      </c>
      <c r="AA25" s="4" t="s">
        <v>993</v>
      </c>
      <c r="AB25" s="4" t="s">
        <v>996</v>
      </c>
      <c r="AC25" s="4" t="s">
        <v>1109</v>
      </c>
      <c r="AD25" s="39">
        <v>1</v>
      </c>
      <c r="AE25" s="4">
        <v>0.7</v>
      </c>
      <c r="AF25" s="4" t="s">
        <v>1009</v>
      </c>
      <c r="AG25" s="4" t="s">
        <v>1013</v>
      </c>
      <c r="AH25" s="4" t="s">
        <v>966</v>
      </c>
      <c r="AI25" s="4">
        <v>1.2</v>
      </c>
      <c r="AJ25" s="4" t="s">
        <v>1017</v>
      </c>
      <c r="AK25" s="4">
        <v>0</v>
      </c>
      <c r="AL25" s="4" t="s">
        <v>1038</v>
      </c>
      <c r="AM25" s="4">
        <v>0</v>
      </c>
      <c r="AN25" s="4">
        <v>0.1</v>
      </c>
      <c r="AO25" s="4">
        <v>0.3</v>
      </c>
      <c r="AP25" s="4" t="s">
        <v>45</v>
      </c>
      <c r="AQ25" s="4">
        <v>0</v>
      </c>
      <c r="AR25" s="4" t="s">
        <v>1059</v>
      </c>
      <c r="AS25" s="4">
        <v>1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1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39">
        <v>0.5</v>
      </c>
      <c r="BG25" s="39">
        <v>0.2</v>
      </c>
      <c r="BH25" s="39">
        <v>2.5000000000000001E-2</v>
      </c>
      <c r="BI25" s="39" t="s">
        <v>1127</v>
      </c>
      <c r="BJ25" s="39">
        <v>0</v>
      </c>
      <c r="BK25" s="39">
        <v>0</v>
      </c>
      <c r="BL25" s="39">
        <v>0</v>
      </c>
    </row>
    <row r="26" spans="1:64" x14ac:dyDescent="0.25">
      <c r="A26" t="s">
        <v>635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1</v>
      </c>
      <c r="H26" s="40">
        <f>AVERAGE(21.6,12,10,13.1)</f>
        <v>14.175000000000001</v>
      </c>
      <c r="I26" s="41">
        <f>AVERAGE(0.54,1.5,1.5,0.86)</f>
        <v>1.1000000000000001</v>
      </c>
      <c r="J26" s="39">
        <v>1.0900000000000001</v>
      </c>
      <c r="K26" s="39" t="s">
        <v>942</v>
      </c>
      <c r="L26" s="39">
        <v>0</v>
      </c>
      <c r="M26" s="39">
        <v>0</v>
      </c>
      <c r="N26" s="4" t="s">
        <v>952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0.95</v>
      </c>
      <c r="AA26" s="4" t="s">
        <v>993</v>
      </c>
      <c r="AB26" s="4" t="s">
        <v>996</v>
      </c>
      <c r="AC26" s="4" t="s">
        <v>1108</v>
      </c>
      <c r="AD26" s="39">
        <v>1</v>
      </c>
      <c r="AE26" s="4">
        <v>0.7</v>
      </c>
      <c r="AF26" s="4" t="s">
        <v>1007</v>
      </c>
      <c r="AG26" s="4" t="s">
        <v>1013</v>
      </c>
      <c r="AH26" s="4" t="s">
        <v>966</v>
      </c>
      <c r="AI26" s="4">
        <v>1</v>
      </c>
      <c r="AJ26" s="4" t="s">
        <v>1016</v>
      </c>
      <c r="AK26" s="4">
        <v>0</v>
      </c>
      <c r="AL26" s="4" t="s">
        <v>1027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685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1</v>
      </c>
      <c r="BB26" s="4">
        <v>0</v>
      </c>
      <c r="BC26" s="4">
        <v>0</v>
      </c>
      <c r="BD26" s="4">
        <v>0</v>
      </c>
      <c r="BE26" s="4">
        <v>0</v>
      </c>
      <c r="BF26" s="39">
        <v>0.5</v>
      </c>
      <c r="BG26" s="39">
        <v>0</v>
      </c>
      <c r="BH26" s="39">
        <v>0</v>
      </c>
      <c r="BI26" s="39" t="s">
        <v>1125</v>
      </c>
      <c r="BJ26" s="39">
        <v>0</v>
      </c>
      <c r="BK26" s="39">
        <v>0</v>
      </c>
      <c r="BL26" s="39">
        <v>0</v>
      </c>
    </row>
    <row r="27" spans="1:64" x14ac:dyDescent="0.25">
      <c r="A27" s="16" t="s">
        <v>930</v>
      </c>
      <c r="B27" s="39">
        <v>1</v>
      </c>
      <c r="C27" s="39">
        <v>1.3</v>
      </c>
      <c r="D27" s="39">
        <v>1</v>
      </c>
      <c r="E27" s="39">
        <v>5</v>
      </c>
      <c r="F27" s="39">
        <v>0</v>
      </c>
      <c r="G27" s="39">
        <v>1</v>
      </c>
      <c r="H27" s="40">
        <f>AVERAGE(21.6,12,10,13.1)</f>
        <v>14.175000000000001</v>
      </c>
      <c r="I27" s="41">
        <f>AVERAGE(0.54,1.5,1.5,0.86)</f>
        <v>1.1000000000000001</v>
      </c>
      <c r="J27" s="39">
        <v>1.0900000000000001</v>
      </c>
      <c r="K27" s="39" t="s">
        <v>942</v>
      </c>
      <c r="L27" s="39">
        <v>0</v>
      </c>
      <c r="M27" s="39">
        <v>0</v>
      </c>
      <c r="N27" s="4" t="s">
        <v>45</v>
      </c>
      <c r="O27" s="4">
        <v>0</v>
      </c>
      <c r="P27" s="4">
        <v>1</v>
      </c>
      <c r="Q27" s="4">
        <v>1</v>
      </c>
      <c r="R27" s="43" t="s">
        <v>1135</v>
      </c>
      <c r="S27" s="43" t="s">
        <v>972</v>
      </c>
      <c r="T27" s="4" t="s">
        <v>966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 t="s">
        <v>45</v>
      </c>
      <c r="AA27" s="4" t="s">
        <v>993</v>
      </c>
      <c r="AB27" s="4" t="s">
        <v>996</v>
      </c>
      <c r="AC27" s="4" t="s">
        <v>1108</v>
      </c>
      <c r="AD27" s="39">
        <v>1</v>
      </c>
      <c r="AE27" s="4">
        <v>0.7</v>
      </c>
      <c r="AF27" s="4" t="s">
        <v>1007</v>
      </c>
      <c r="AG27" s="4" t="s">
        <v>1013</v>
      </c>
      <c r="AH27" s="4" t="s">
        <v>966</v>
      </c>
      <c r="AI27" s="4">
        <v>1</v>
      </c>
      <c r="AJ27" s="4" t="s">
        <v>1016</v>
      </c>
      <c r="AK27" s="4">
        <v>1</v>
      </c>
      <c r="AL27" s="4" t="s">
        <v>1043</v>
      </c>
      <c r="AM27" s="4">
        <v>0</v>
      </c>
      <c r="AN27" s="4">
        <v>0</v>
      </c>
      <c r="AO27" s="4">
        <v>0</v>
      </c>
      <c r="AP27" s="4" t="s">
        <v>45</v>
      </c>
      <c r="AQ27" s="4">
        <v>0</v>
      </c>
      <c r="AR27" s="4" t="s">
        <v>685</v>
      </c>
      <c r="AS27" s="4">
        <v>0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1</v>
      </c>
      <c r="BB27" s="4">
        <v>0</v>
      </c>
      <c r="BC27" s="4">
        <v>0</v>
      </c>
      <c r="BD27" s="4">
        <v>1</v>
      </c>
      <c r="BE27" s="4">
        <v>0</v>
      </c>
      <c r="BF27" s="39">
        <v>0.7</v>
      </c>
      <c r="BG27" s="39">
        <v>0</v>
      </c>
      <c r="BH27" s="39">
        <v>0</v>
      </c>
      <c r="BI27" s="39" t="s">
        <v>1129</v>
      </c>
      <c r="BJ27" s="39">
        <v>0</v>
      </c>
      <c r="BK27" s="39">
        <v>0</v>
      </c>
      <c r="BL27" s="39">
        <v>0</v>
      </c>
    </row>
    <row r="28" spans="1:64" x14ac:dyDescent="0.25">
      <c r="A28" t="s">
        <v>636</v>
      </c>
      <c r="B28" s="39">
        <v>0</v>
      </c>
      <c r="C28" s="39">
        <v>1.2</v>
      </c>
      <c r="D28" s="39">
        <v>0</v>
      </c>
      <c r="E28" s="39">
        <v>1</v>
      </c>
      <c r="F28" s="39">
        <v>0</v>
      </c>
      <c r="G28" s="39">
        <v>0</v>
      </c>
      <c r="H28" s="40">
        <f>AVERAGE(21.6,12,10,13.1)</f>
        <v>14.175000000000001</v>
      </c>
      <c r="I28" s="41">
        <f>AVERAGE(0.54,1.5,1.5,0.86)</f>
        <v>1.1000000000000001</v>
      </c>
      <c r="J28" s="39">
        <v>1.0900000000000001</v>
      </c>
      <c r="K28" s="39" t="s">
        <v>942</v>
      </c>
      <c r="L28" s="39">
        <v>0</v>
      </c>
      <c r="M28" s="39">
        <v>0</v>
      </c>
      <c r="N28" s="4" t="s">
        <v>953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0.85</v>
      </c>
      <c r="AA28" s="4" t="s">
        <v>993</v>
      </c>
      <c r="AB28" s="4" t="s">
        <v>996</v>
      </c>
      <c r="AC28" s="4" t="s">
        <v>1108</v>
      </c>
      <c r="AD28" s="39">
        <v>0</v>
      </c>
      <c r="AE28" s="4" t="s">
        <v>45</v>
      </c>
      <c r="AF28" s="4" t="s">
        <v>45</v>
      </c>
      <c r="AG28" s="4" t="s">
        <v>45</v>
      </c>
      <c r="AH28" s="4" t="s">
        <v>45</v>
      </c>
      <c r="AI28" s="4">
        <v>1</v>
      </c>
      <c r="AJ28" s="4" t="s">
        <v>1016</v>
      </c>
      <c r="AK28" s="4">
        <v>0</v>
      </c>
      <c r="AL28" s="4" t="s">
        <v>1027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685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1</v>
      </c>
      <c r="BB28" s="4">
        <v>0</v>
      </c>
      <c r="BC28" s="4">
        <v>0</v>
      </c>
      <c r="BD28" s="4">
        <v>0</v>
      </c>
      <c r="BE28" s="4">
        <v>0</v>
      </c>
      <c r="BF28" s="39">
        <v>0.7</v>
      </c>
      <c r="BG28" s="39">
        <v>0</v>
      </c>
      <c r="BH28" s="39">
        <v>0</v>
      </c>
      <c r="BI28" s="39" t="s">
        <v>1125</v>
      </c>
      <c r="BJ28" s="39">
        <v>0</v>
      </c>
      <c r="BK28" s="39">
        <v>0</v>
      </c>
      <c r="BL28" s="39">
        <v>0</v>
      </c>
    </row>
    <row r="29" spans="1:64" s="16" customFormat="1" x14ac:dyDescent="0.25">
      <c r="A29" s="16" t="s">
        <v>938</v>
      </c>
      <c r="B29" s="39">
        <v>1</v>
      </c>
      <c r="C29" s="39">
        <v>1.2</v>
      </c>
      <c r="D29" s="39">
        <v>0</v>
      </c>
      <c r="E29" s="39">
        <v>1</v>
      </c>
      <c r="F29" s="39">
        <v>0</v>
      </c>
      <c r="G29" s="39">
        <v>0</v>
      </c>
      <c r="H29" s="40">
        <f>AVERAGE(65.5,108.7)</f>
        <v>87.1</v>
      </c>
      <c r="I29" s="41">
        <f>AVERAGE(16.8%,11.9%)</f>
        <v>0.14350000000000002</v>
      </c>
      <c r="J29" s="39">
        <v>0.96</v>
      </c>
      <c r="K29" s="39">
        <v>0.32</v>
      </c>
      <c r="L29" s="39">
        <v>1</v>
      </c>
      <c r="M29" s="39">
        <v>0</v>
      </c>
      <c r="N29" s="4" t="s">
        <v>953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0.85</v>
      </c>
      <c r="AA29" s="4" t="s">
        <v>993</v>
      </c>
      <c r="AB29" s="4" t="s">
        <v>996</v>
      </c>
      <c r="AC29" s="4" t="s">
        <v>1108</v>
      </c>
      <c r="AD29" s="39">
        <v>0</v>
      </c>
      <c r="AE29" s="4" t="s">
        <v>45</v>
      </c>
      <c r="AF29" s="4" t="s">
        <v>45</v>
      </c>
      <c r="AG29" s="4" t="s">
        <v>45</v>
      </c>
      <c r="AH29" s="4" t="s">
        <v>45</v>
      </c>
      <c r="AI29" s="4">
        <v>1</v>
      </c>
      <c r="AJ29" s="4" t="s">
        <v>1016</v>
      </c>
      <c r="AK29" s="4">
        <v>0</v>
      </c>
      <c r="AL29" s="4" t="s">
        <v>1029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685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1</v>
      </c>
      <c r="BB29" s="4">
        <v>0</v>
      </c>
      <c r="BC29" s="4">
        <v>0</v>
      </c>
      <c r="BD29" s="4">
        <v>0</v>
      </c>
      <c r="BE29" s="4">
        <v>0</v>
      </c>
      <c r="BF29" s="39">
        <v>0.5</v>
      </c>
      <c r="BG29" s="39">
        <v>0</v>
      </c>
      <c r="BH29" s="39">
        <v>0</v>
      </c>
      <c r="BI29" s="39" t="s">
        <v>1125</v>
      </c>
      <c r="BJ29" s="39">
        <v>0</v>
      </c>
      <c r="BK29" s="39">
        <v>0</v>
      </c>
      <c r="BL29" s="39">
        <v>0</v>
      </c>
    </row>
    <row r="30" spans="1:64" x14ac:dyDescent="0.25">
      <c r="A30" t="s">
        <v>463</v>
      </c>
      <c r="B30" s="39">
        <v>2</v>
      </c>
      <c r="C30" s="39">
        <v>2</v>
      </c>
      <c r="D30" s="39">
        <v>0</v>
      </c>
      <c r="E30" s="39">
        <v>1</v>
      </c>
      <c r="F30" s="39">
        <v>0</v>
      </c>
      <c r="G30" s="39">
        <v>0</v>
      </c>
      <c r="H30" s="40">
        <v>200</v>
      </c>
      <c r="I30" s="41">
        <v>0.2</v>
      </c>
      <c r="J30" s="39">
        <v>1.0900000000000001</v>
      </c>
      <c r="K30" s="39" t="s">
        <v>942</v>
      </c>
      <c r="L30" s="39">
        <v>1</v>
      </c>
      <c r="M30" s="39">
        <v>0</v>
      </c>
      <c r="N30" s="4" t="s">
        <v>953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</v>
      </c>
      <c r="AA30" s="4" t="s">
        <v>993</v>
      </c>
      <c r="AB30" s="4" t="s">
        <v>996</v>
      </c>
      <c r="AC30" s="4" t="s">
        <v>1108</v>
      </c>
      <c r="AD30" s="39">
        <v>1</v>
      </c>
      <c r="AE30" s="4">
        <v>0.65</v>
      </c>
      <c r="AF30" s="4" t="s">
        <v>1007</v>
      </c>
      <c r="AG30" s="4" t="s">
        <v>1013</v>
      </c>
      <c r="AH30" s="4" t="s">
        <v>966</v>
      </c>
      <c r="AI30" s="4">
        <v>1.5</v>
      </c>
      <c r="AJ30" s="4" t="s">
        <v>41</v>
      </c>
      <c r="AK30" s="4">
        <v>0</v>
      </c>
      <c r="AL30" s="4" t="s">
        <v>1029</v>
      </c>
      <c r="AM30" s="4">
        <v>0</v>
      </c>
      <c r="AN30" s="4">
        <v>1</v>
      </c>
      <c r="AO30" s="4">
        <v>1</v>
      </c>
      <c r="AP30" s="4" t="s">
        <v>45</v>
      </c>
      <c r="AQ30" s="4">
        <v>0</v>
      </c>
      <c r="AR30" s="4" t="s">
        <v>1057</v>
      </c>
      <c r="AS30" s="4">
        <v>1</v>
      </c>
      <c r="AT30" s="4">
        <v>0</v>
      </c>
      <c r="AU30" s="4">
        <v>0</v>
      </c>
      <c r="AV30" s="4" t="s">
        <v>45</v>
      </c>
      <c r="AW30" s="4">
        <v>1</v>
      </c>
      <c r="AX30" s="4">
        <v>1</v>
      </c>
      <c r="AY30" s="4">
        <v>0</v>
      </c>
      <c r="AZ30" s="4">
        <v>0</v>
      </c>
      <c r="BA30" s="4">
        <v>1</v>
      </c>
      <c r="BB30" s="4">
        <v>0</v>
      </c>
      <c r="BC30" s="4">
        <v>0</v>
      </c>
      <c r="BD30" s="4">
        <v>0</v>
      </c>
      <c r="BE30" s="4">
        <v>0</v>
      </c>
      <c r="BF30" s="39">
        <v>1</v>
      </c>
      <c r="BG30" s="39">
        <v>0.25</v>
      </c>
      <c r="BH30" s="39">
        <v>0.05</v>
      </c>
      <c r="BI30" s="39" t="s">
        <v>1125</v>
      </c>
      <c r="BJ30" s="39">
        <v>1</v>
      </c>
      <c r="BK30" s="39">
        <v>0</v>
      </c>
      <c r="BL30" s="39">
        <v>1</v>
      </c>
    </row>
    <row r="31" spans="1:64" s="16" customFormat="1" x14ac:dyDescent="0.25">
      <c r="A31" s="16" t="s">
        <v>1076</v>
      </c>
      <c r="B31" s="39">
        <v>1</v>
      </c>
      <c r="C31" s="39">
        <v>1.5</v>
      </c>
      <c r="D31" s="39">
        <v>0</v>
      </c>
      <c r="E31" s="39">
        <v>1</v>
      </c>
      <c r="F31" s="39">
        <v>1</v>
      </c>
      <c r="G31" s="39">
        <v>0</v>
      </c>
      <c r="H31" s="40">
        <f>MAX(21.6,12,10,13.1)</f>
        <v>21.6</v>
      </c>
      <c r="I31" s="41">
        <f>MAX(0.54,1.5,1.5,0.86)</f>
        <v>1.5</v>
      </c>
      <c r="J31" s="39">
        <v>1.0900000000000001</v>
      </c>
      <c r="K31" s="42">
        <f>AVERAGE(0.13,0.106,0.134,0.129)</f>
        <v>0.12475</v>
      </c>
      <c r="L31" s="39">
        <v>0</v>
      </c>
      <c r="M31" s="39">
        <v>0</v>
      </c>
      <c r="N31" s="4" t="s">
        <v>953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</v>
      </c>
      <c r="AA31" s="4" t="s">
        <v>993</v>
      </c>
      <c r="AB31" s="4" t="s">
        <v>997</v>
      </c>
      <c r="AC31" s="4" t="s">
        <v>1108</v>
      </c>
      <c r="AD31" s="39">
        <v>1</v>
      </c>
      <c r="AE31" s="4">
        <v>0.65</v>
      </c>
      <c r="AF31" s="4" t="s">
        <v>1007</v>
      </c>
      <c r="AG31" s="4" t="s">
        <v>1013</v>
      </c>
      <c r="AH31" s="4" t="s">
        <v>966</v>
      </c>
      <c r="AI31" s="4">
        <v>1.2</v>
      </c>
      <c r="AJ31" s="4" t="s">
        <v>1016</v>
      </c>
      <c r="AK31" s="4">
        <v>0</v>
      </c>
      <c r="AL31" s="4" t="s">
        <v>1029</v>
      </c>
      <c r="AM31" s="4">
        <v>1</v>
      </c>
      <c r="AN31" s="4">
        <v>0.1</v>
      </c>
      <c r="AO31" s="4">
        <v>0.3</v>
      </c>
      <c r="AP31" s="4">
        <v>0.5</v>
      </c>
      <c r="AQ31" s="4">
        <v>0</v>
      </c>
      <c r="AR31" s="4" t="s">
        <v>1059</v>
      </c>
      <c r="AS31" s="4">
        <v>1</v>
      </c>
      <c r="AT31" s="4">
        <v>1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1</v>
      </c>
      <c r="BB31" s="4">
        <v>0</v>
      </c>
      <c r="BC31" s="4">
        <v>0</v>
      </c>
      <c r="BD31" s="4">
        <v>0</v>
      </c>
      <c r="BE31" s="4">
        <v>0</v>
      </c>
      <c r="BF31" s="39">
        <v>1.1000000000000001</v>
      </c>
      <c r="BG31" s="39">
        <v>0.2</v>
      </c>
      <c r="BH31" s="39">
        <v>2.5000000000000001E-2</v>
      </c>
      <c r="BI31" s="39" t="s">
        <v>1127</v>
      </c>
      <c r="BJ31" s="39">
        <v>0</v>
      </c>
      <c r="BK31" s="39">
        <v>0</v>
      </c>
      <c r="BL31" s="39">
        <v>0</v>
      </c>
    </row>
    <row r="32" spans="1:64" s="16" customFormat="1" x14ac:dyDescent="0.25">
      <c r="A32" s="16" t="s">
        <v>1073</v>
      </c>
      <c r="B32" s="39">
        <v>1</v>
      </c>
      <c r="C32" s="39">
        <v>1.5</v>
      </c>
      <c r="D32" s="39">
        <v>0</v>
      </c>
      <c r="E32" s="39">
        <v>1</v>
      </c>
      <c r="F32" s="39">
        <v>1</v>
      </c>
      <c r="G32" s="39">
        <v>0</v>
      </c>
      <c r="H32" s="40">
        <f>MAX(21.6,12,10,13.1)</f>
        <v>21.6</v>
      </c>
      <c r="I32" s="41">
        <f>MAX(0.54,1.5,1.5,0.86)</f>
        <v>1.5</v>
      </c>
      <c r="J32" s="39">
        <v>1.0900000000000001</v>
      </c>
      <c r="K32" s="42">
        <f>AVERAGE(0.13,0.106,0.134,0.129)</f>
        <v>0.12475</v>
      </c>
      <c r="L32" s="39">
        <v>0</v>
      </c>
      <c r="M32" s="39">
        <v>0</v>
      </c>
      <c r="N32" s="4" t="s">
        <v>953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</v>
      </c>
      <c r="AA32" s="4" t="s">
        <v>993</v>
      </c>
      <c r="AB32" s="4" t="s">
        <v>997</v>
      </c>
      <c r="AC32" s="4" t="s">
        <v>1108</v>
      </c>
      <c r="AD32" s="39">
        <v>1</v>
      </c>
      <c r="AE32" s="4">
        <v>0.65</v>
      </c>
      <c r="AF32" s="4" t="s">
        <v>1007</v>
      </c>
      <c r="AG32" s="4" t="s">
        <v>1013</v>
      </c>
      <c r="AH32" s="4" t="s">
        <v>966</v>
      </c>
      <c r="AI32" s="4">
        <v>1.2</v>
      </c>
      <c r="AJ32" s="4" t="s">
        <v>1016</v>
      </c>
      <c r="AK32" s="4">
        <v>0</v>
      </c>
      <c r="AL32" s="4" t="s">
        <v>1029</v>
      </c>
      <c r="AM32" s="4">
        <v>1</v>
      </c>
      <c r="AN32" s="4">
        <v>0.1</v>
      </c>
      <c r="AO32" s="4">
        <v>0.3</v>
      </c>
      <c r="AP32" s="4">
        <v>0.5</v>
      </c>
      <c r="AQ32" s="4">
        <v>0</v>
      </c>
      <c r="AR32" s="4" t="s">
        <v>1059</v>
      </c>
      <c r="AS32" s="4">
        <v>1</v>
      </c>
      <c r="AT32" s="4">
        <v>1</v>
      </c>
      <c r="AU32" s="4">
        <v>1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1</v>
      </c>
      <c r="BB32" s="4">
        <v>0</v>
      </c>
      <c r="BC32" s="4">
        <v>0</v>
      </c>
      <c r="BD32" s="4">
        <v>0</v>
      </c>
      <c r="BE32" s="4">
        <v>0</v>
      </c>
      <c r="BF32" s="39">
        <v>1.1000000000000001</v>
      </c>
      <c r="BG32" s="39">
        <v>0.2</v>
      </c>
      <c r="BH32" s="39">
        <v>2.5000000000000001E-2</v>
      </c>
      <c r="BI32" s="39" t="s">
        <v>1127</v>
      </c>
      <c r="BJ32" s="39">
        <v>0</v>
      </c>
      <c r="BK32" s="39">
        <v>0</v>
      </c>
      <c r="BL32" s="39">
        <v>0</v>
      </c>
    </row>
    <row r="33" spans="1:64" s="16" customFormat="1" x14ac:dyDescent="0.25">
      <c r="A33" s="16" t="s">
        <v>1103</v>
      </c>
      <c r="B33" s="39">
        <v>1</v>
      </c>
      <c r="C33" s="39">
        <v>1.5</v>
      </c>
      <c r="D33" s="39">
        <v>0</v>
      </c>
      <c r="E33" s="39">
        <v>1</v>
      </c>
      <c r="F33" s="39">
        <v>1</v>
      </c>
      <c r="G33" s="39">
        <v>0</v>
      </c>
      <c r="H33" s="40">
        <f>MAX(21.6,12,10,13.1)</f>
        <v>21.6</v>
      </c>
      <c r="I33" s="41">
        <f>MAX(0.54,1.5,1.5,0.86)</f>
        <v>1.5</v>
      </c>
      <c r="J33" s="39">
        <v>1.0900000000000001</v>
      </c>
      <c r="K33" s="42">
        <f>AVERAGE(0.13,0.106,0.134,0.129)</f>
        <v>0.12475</v>
      </c>
      <c r="L33" s="39">
        <v>0</v>
      </c>
      <c r="M33" s="39">
        <v>0</v>
      </c>
      <c r="N33" s="4" t="s">
        <v>953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993</v>
      </c>
      <c r="AB33" s="4" t="s">
        <v>997</v>
      </c>
      <c r="AC33" s="4" t="s">
        <v>1108</v>
      </c>
      <c r="AD33" s="39">
        <v>1</v>
      </c>
      <c r="AE33" s="4">
        <v>0.65</v>
      </c>
      <c r="AF33" s="4" t="s">
        <v>1007</v>
      </c>
      <c r="AG33" s="4" t="s">
        <v>1013</v>
      </c>
      <c r="AH33" s="4" t="s">
        <v>966</v>
      </c>
      <c r="AI33" s="4">
        <v>1.2</v>
      </c>
      <c r="AJ33" s="4" t="s">
        <v>1016</v>
      </c>
      <c r="AK33" s="4">
        <v>0</v>
      </c>
      <c r="AL33" s="4" t="s">
        <v>1029</v>
      </c>
      <c r="AM33" s="4">
        <v>1</v>
      </c>
      <c r="AN33" s="4">
        <v>0.1</v>
      </c>
      <c r="AO33" s="4">
        <v>0.3</v>
      </c>
      <c r="AP33" s="4">
        <v>0.5</v>
      </c>
      <c r="AQ33" s="4">
        <v>0</v>
      </c>
      <c r="AR33" s="4" t="s">
        <v>1059</v>
      </c>
      <c r="AS33" s="4">
        <v>1</v>
      </c>
      <c r="AT33" s="4">
        <v>0</v>
      </c>
      <c r="AU33" s="4">
        <v>0</v>
      </c>
      <c r="AV33" s="4" t="s">
        <v>45</v>
      </c>
      <c r="AW33" s="4">
        <v>0</v>
      </c>
      <c r="AX33" s="4">
        <v>0</v>
      </c>
      <c r="AY33" s="4">
        <v>2</v>
      </c>
      <c r="AZ33" s="4">
        <v>0</v>
      </c>
      <c r="BA33" s="4">
        <v>1</v>
      </c>
      <c r="BB33" s="4">
        <v>0</v>
      </c>
      <c r="BC33" s="4">
        <v>0</v>
      </c>
      <c r="BD33" s="4">
        <v>0</v>
      </c>
      <c r="BE33" s="4">
        <v>0</v>
      </c>
      <c r="BF33" s="39">
        <v>1.1000000000000001</v>
      </c>
      <c r="BG33" s="39">
        <v>0.2</v>
      </c>
      <c r="BH33" s="39">
        <v>2.5000000000000001E-2</v>
      </c>
      <c r="BI33" s="39" t="s">
        <v>1127</v>
      </c>
      <c r="BJ33" s="39">
        <v>0</v>
      </c>
      <c r="BK33" s="39">
        <v>0</v>
      </c>
      <c r="BL33" s="39">
        <v>0</v>
      </c>
    </row>
    <row r="34" spans="1:64" x14ac:dyDescent="0.25">
      <c r="A34" t="s">
        <v>104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>MAX(21.6,12,10,13.1)</f>
        <v>21.6</v>
      </c>
      <c r="I34" s="41">
        <f>MAX(0.54,1.5,1.5,0.86)</f>
        <v>1.5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953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993</v>
      </c>
      <c r="AB34" s="4" t="s">
        <v>997</v>
      </c>
      <c r="AC34" s="4" t="s">
        <v>1108</v>
      </c>
      <c r="AD34" s="39">
        <v>1</v>
      </c>
      <c r="AE34" s="4">
        <v>0.65</v>
      </c>
      <c r="AF34" s="4" t="s">
        <v>1007</v>
      </c>
      <c r="AG34" s="4" t="s">
        <v>1013</v>
      </c>
      <c r="AH34" s="4" t="s">
        <v>966</v>
      </c>
      <c r="AI34" s="4">
        <v>1.2</v>
      </c>
      <c r="AJ34" s="4" t="s">
        <v>1016</v>
      </c>
      <c r="AK34" s="4">
        <v>0</v>
      </c>
      <c r="AL34" s="4" t="s">
        <v>1029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1059</v>
      </c>
      <c r="AS34" s="4">
        <v>1</v>
      </c>
      <c r="AT34" s="4">
        <v>0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1</v>
      </c>
      <c r="BB34" s="4">
        <v>0</v>
      </c>
      <c r="BC34" s="4">
        <v>0</v>
      </c>
      <c r="BD34" s="4">
        <v>0</v>
      </c>
      <c r="BE34" s="4">
        <v>0</v>
      </c>
      <c r="BF34" s="39">
        <v>1.1000000000000001</v>
      </c>
      <c r="BG34" s="39">
        <v>0.2</v>
      </c>
      <c r="BH34" s="39">
        <v>2.5000000000000001E-2</v>
      </c>
      <c r="BI34" s="39" t="s">
        <v>1127</v>
      </c>
      <c r="BJ34" s="39">
        <v>0</v>
      </c>
      <c r="BK34" s="39">
        <v>0</v>
      </c>
      <c r="BL34" s="39">
        <v>0</v>
      </c>
    </row>
    <row r="35" spans="1:64" s="16" customFormat="1" x14ac:dyDescent="0.25">
      <c r="A35" s="16" t="s">
        <v>962</v>
      </c>
      <c r="B35" s="39">
        <v>0</v>
      </c>
      <c r="C35" s="39">
        <v>1</v>
      </c>
      <c r="D35" s="39">
        <v>1</v>
      </c>
      <c r="E35" s="39">
        <v>5</v>
      </c>
      <c r="F35" s="39">
        <v>0</v>
      </c>
      <c r="G35" s="39">
        <v>0</v>
      </c>
      <c r="H35" s="40">
        <f t="shared" ref="H35:H42" si="0">AVERAGE(21.6,12,10,13.1)</f>
        <v>14.175000000000001</v>
      </c>
      <c r="I35" s="41">
        <f t="shared" ref="I35:I42" si="1">AVERAGE(0.54,1.5,1.5,0.86)</f>
        <v>1.1000000000000001</v>
      </c>
      <c r="J35" s="39">
        <v>1.0900000000000001</v>
      </c>
      <c r="K35" s="39" t="s">
        <v>942</v>
      </c>
      <c r="L35" s="39">
        <v>0</v>
      </c>
      <c r="M35" s="39">
        <v>0</v>
      </c>
      <c r="N35" s="4" t="s">
        <v>110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>
        <v>1</v>
      </c>
      <c r="V35" s="4">
        <v>0.8</v>
      </c>
      <c r="W35" s="4" t="s">
        <v>981</v>
      </c>
      <c r="X35" s="4" t="s">
        <v>982</v>
      </c>
      <c r="Y35" s="4" t="s">
        <v>966</v>
      </c>
      <c r="Z35" s="4">
        <v>0.95</v>
      </c>
      <c r="AA35" s="4" t="s">
        <v>993</v>
      </c>
      <c r="AB35" s="4" t="s">
        <v>996</v>
      </c>
      <c r="AC35" s="4" t="s">
        <v>1108</v>
      </c>
      <c r="AD35" s="39">
        <v>0</v>
      </c>
      <c r="AE35" s="4" t="s">
        <v>45</v>
      </c>
      <c r="AF35" s="4" t="s">
        <v>45</v>
      </c>
      <c r="AG35" s="4" t="s">
        <v>45</v>
      </c>
      <c r="AH35" s="4" t="s">
        <v>45</v>
      </c>
      <c r="AI35" s="4">
        <v>1</v>
      </c>
      <c r="AJ35" s="4" t="s">
        <v>1016</v>
      </c>
      <c r="AK35" s="4">
        <v>1</v>
      </c>
      <c r="AL35" s="4" t="s">
        <v>1042</v>
      </c>
      <c r="AM35" s="4">
        <v>0</v>
      </c>
      <c r="AN35" s="4">
        <v>2.5000000000000001E-2</v>
      </c>
      <c r="AO35" s="4">
        <v>0.1</v>
      </c>
      <c r="AP35" s="4" t="s">
        <v>45</v>
      </c>
      <c r="AQ35" s="4">
        <v>1</v>
      </c>
      <c r="AR35" s="4" t="s">
        <v>685</v>
      </c>
      <c r="AS35" s="4">
        <v>0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2</v>
      </c>
      <c r="AZ35" s="4">
        <v>0</v>
      </c>
      <c r="BA35" s="4">
        <v>1</v>
      </c>
      <c r="BB35" s="4">
        <v>0</v>
      </c>
      <c r="BC35" s="4">
        <v>0</v>
      </c>
      <c r="BD35" s="4">
        <v>0</v>
      </c>
      <c r="BE35" s="4">
        <v>0</v>
      </c>
      <c r="BF35" s="39">
        <v>0.5</v>
      </c>
      <c r="BG35" s="39">
        <v>0.1</v>
      </c>
      <c r="BH35" s="39">
        <v>2.5000000000000001E-2</v>
      </c>
      <c r="BI35" s="39" t="s">
        <v>1125</v>
      </c>
      <c r="BJ35" s="39">
        <v>0</v>
      </c>
      <c r="BK35" s="39">
        <v>0</v>
      </c>
      <c r="BL35" s="39">
        <v>0</v>
      </c>
    </row>
    <row r="36" spans="1:64" s="16" customFormat="1" x14ac:dyDescent="0.25">
      <c r="A36" s="16" t="s">
        <v>1089</v>
      </c>
      <c r="B36" s="39">
        <v>0</v>
      </c>
      <c r="C36" s="39">
        <v>1</v>
      </c>
      <c r="D36" s="39">
        <v>1</v>
      </c>
      <c r="E36" s="39">
        <v>5</v>
      </c>
      <c r="F36" s="39">
        <v>0</v>
      </c>
      <c r="G36" s="39">
        <v>0</v>
      </c>
      <c r="H36" s="40">
        <f>MAX(21.6,12,10,13.1)</f>
        <v>21.6</v>
      </c>
      <c r="I36" s="41">
        <f t="shared" si="1"/>
        <v>1.1000000000000001</v>
      </c>
      <c r="J36" s="39">
        <v>1.0900000000000001</v>
      </c>
      <c r="K36" s="42">
        <v>0.18</v>
      </c>
      <c r="L36" s="39">
        <v>0</v>
      </c>
      <c r="M36" s="39">
        <v>0</v>
      </c>
      <c r="N36" s="4" t="s">
        <v>110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0.85</v>
      </c>
      <c r="AA36" s="4" t="s">
        <v>993</v>
      </c>
      <c r="AB36" s="4" t="s">
        <v>996</v>
      </c>
      <c r="AC36" s="4" t="s">
        <v>1108</v>
      </c>
      <c r="AD36" s="39">
        <v>0</v>
      </c>
      <c r="AE36" s="4" t="s">
        <v>45</v>
      </c>
      <c r="AF36" s="4" t="s">
        <v>45</v>
      </c>
      <c r="AG36" s="4" t="s">
        <v>45</v>
      </c>
      <c r="AH36" s="4" t="s">
        <v>45</v>
      </c>
      <c r="AI36" s="4">
        <v>1.2</v>
      </c>
      <c r="AJ36" s="4" t="s">
        <v>1016</v>
      </c>
      <c r="AK36" s="4">
        <v>1</v>
      </c>
      <c r="AL36" s="4" t="s">
        <v>1031</v>
      </c>
      <c r="AM36" s="4">
        <v>0</v>
      </c>
      <c r="AN36" s="4">
        <v>0</v>
      </c>
      <c r="AO36" s="4">
        <v>0</v>
      </c>
      <c r="AP36" s="4" t="s">
        <v>45</v>
      </c>
      <c r="AQ36" s="4">
        <v>1</v>
      </c>
      <c r="AR36" s="4" t="s">
        <v>685</v>
      </c>
      <c r="AS36" s="4">
        <v>0</v>
      </c>
      <c r="AT36" s="4">
        <v>0</v>
      </c>
      <c r="AU36" s="4">
        <v>1</v>
      </c>
      <c r="AV36" s="4" t="s">
        <v>45</v>
      </c>
      <c r="AW36" s="4">
        <v>0</v>
      </c>
      <c r="AX36" s="4">
        <v>0</v>
      </c>
      <c r="AY36" s="4">
        <v>0</v>
      </c>
      <c r="AZ36" s="4">
        <v>0</v>
      </c>
      <c r="BA36" s="4">
        <v>1</v>
      </c>
      <c r="BB36" s="4">
        <v>0</v>
      </c>
      <c r="BC36" s="4">
        <v>0</v>
      </c>
      <c r="BD36" s="4">
        <v>0</v>
      </c>
      <c r="BE36" s="4">
        <v>1</v>
      </c>
      <c r="BF36" s="39">
        <v>0.25</v>
      </c>
      <c r="BG36" s="39">
        <v>0.1</v>
      </c>
      <c r="BH36" s="39">
        <v>2.5000000000000001E-2</v>
      </c>
      <c r="BI36" s="39" t="s">
        <v>1125</v>
      </c>
      <c r="BJ36" s="39">
        <v>0</v>
      </c>
      <c r="BK36" s="39">
        <v>0</v>
      </c>
      <c r="BL36" s="39">
        <v>0</v>
      </c>
    </row>
    <row r="37" spans="1:64" x14ac:dyDescent="0.25">
      <c r="A37" t="s">
        <v>109</v>
      </c>
      <c r="B37" s="39">
        <v>0</v>
      </c>
      <c r="C37" s="39">
        <v>1</v>
      </c>
      <c r="D37" s="39">
        <v>1</v>
      </c>
      <c r="E37" s="39">
        <v>5</v>
      </c>
      <c r="F37" s="39">
        <v>0</v>
      </c>
      <c r="G37" s="39">
        <v>0</v>
      </c>
      <c r="H37" s="40">
        <f t="shared" si="0"/>
        <v>14.175000000000001</v>
      </c>
      <c r="I37" s="41">
        <f t="shared" si="1"/>
        <v>1.1000000000000001</v>
      </c>
      <c r="J37" s="39">
        <v>1.0900000000000001</v>
      </c>
      <c r="K37" s="39" t="s">
        <v>942</v>
      </c>
      <c r="L37" s="39">
        <v>0</v>
      </c>
      <c r="M37" s="39">
        <v>0</v>
      </c>
      <c r="N37" s="4" t="s">
        <v>110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1.1000000000000001</v>
      </c>
      <c r="AA37" s="4" t="s">
        <v>993</v>
      </c>
      <c r="AB37" s="4" t="s">
        <v>996</v>
      </c>
      <c r="AC37" s="4" t="s">
        <v>1108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1016</v>
      </c>
      <c r="AK37" s="4">
        <v>1</v>
      </c>
      <c r="AL37" s="4" t="s">
        <v>1031</v>
      </c>
      <c r="AM37" s="4">
        <v>0</v>
      </c>
      <c r="AN37" s="4">
        <v>0</v>
      </c>
      <c r="AO37" s="4">
        <v>0</v>
      </c>
      <c r="AP37" s="4" t="s">
        <v>45</v>
      </c>
      <c r="AQ37" s="4">
        <v>1</v>
      </c>
      <c r="AR37" s="4" t="s">
        <v>685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2</v>
      </c>
      <c r="AZ37" s="4">
        <v>0</v>
      </c>
      <c r="BA37" s="4">
        <v>1</v>
      </c>
      <c r="BB37" s="4">
        <v>0</v>
      </c>
      <c r="BC37" s="4">
        <v>0</v>
      </c>
      <c r="BD37" s="4">
        <v>0</v>
      </c>
      <c r="BE37" s="4">
        <v>1</v>
      </c>
      <c r="BF37" s="39">
        <v>0.5</v>
      </c>
      <c r="BG37" s="39">
        <v>0</v>
      </c>
      <c r="BH37" s="39">
        <v>0</v>
      </c>
      <c r="BI37" s="39" t="s">
        <v>1125</v>
      </c>
      <c r="BJ37" s="39">
        <v>0</v>
      </c>
      <c r="BK37" s="39">
        <v>0</v>
      </c>
      <c r="BL37" s="39">
        <v>0</v>
      </c>
    </row>
    <row r="38" spans="1:64" s="16" customFormat="1" x14ac:dyDescent="0.25">
      <c r="A38" s="16" t="s">
        <v>998</v>
      </c>
      <c r="B38" s="39">
        <v>0</v>
      </c>
      <c r="C38" s="39">
        <v>1</v>
      </c>
      <c r="D38" s="39">
        <v>0</v>
      </c>
      <c r="E38" s="39">
        <v>1</v>
      </c>
      <c r="F38" s="39">
        <v>0</v>
      </c>
      <c r="G38" s="39">
        <v>0</v>
      </c>
      <c r="H38" s="40">
        <f>MAX(21.6,12,10,13.1)</f>
        <v>21.6</v>
      </c>
      <c r="I38" s="41">
        <f t="shared" si="1"/>
        <v>1.1000000000000001</v>
      </c>
      <c r="J38" s="39">
        <v>1.0900000000000001</v>
      </c>
      <c r="K38" s="42">
        <f>AVERAGE(0.13,0.106,0.134,0.129)</f>
        <v>0.12475</v>
      </c>
      <c r="L38" s="39">
        <v>0</v>
      </c>
      <c r="M38" s="39">
        <v>0</v>
      </c>
      <c r="N38" s="4" t="s">
        <v>45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>
        <v>3</v>
      </c>
      <c r="V38" s="4">
        <v>0.75</v>
      </c>
      <c r="W38" s="4" t="s">
        <v>981</v>
      </c>
      <c r="X38" s="4" t="s">
        <v>982</v>
      </c>
      <c r="Y38" s="4" t="s">
        <v>966</v>
      </c>
      <c r="Z38" s="4" t="s">
        <v>45</v>
      </c>
      <c r="AA38" s="4" t="s">
        <v>45</v>
      </c>
      <c r="AB38" s="4" t="s">
        <v>45</v>
      </c>
      <c r="AC38" s="4" t="s">
        <v>1108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1.2</v>
      </c>
      <c r="AJ38" s="4" t="s">
        <v>1016</v>
      </c>
      <c r="AK38" s="4">
        <v>0</v>
      </c>
      <c r="AL38" s="4" t="s">
        <v>1039</v>
      </c>
      <c r="AM38" s="4">
        <v>0</v>
      </c>
      <c r="AN38" s="4">
        <v>0</v>
      </c>
      <c r="AO38" s="4">
        <v>0</v>
      </c>
      <c r="AP38" s="4" t="s">
        <v>45</v>
      </c>
      <c r="AQ38" s="4">
        <v>0</v>
      </c>
      <c r="AR38" s="4" t="s">
        <v>1059</v>
      </c>
      <c r="AS38" s="4">
        <v>0</v>
      </c>
      <c r="AT38" s="4">
        <v>1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1</v>
      </c>
      <c r="BB38" s="4">
        <v>0</v>
      </c>
      <c r="BC38" s="4">
        <v>0</v>
      </c>
      <c r="BD38" s="4">
        <v>0</v>
      </c>
      <c r="BE38" s="4">
        <v>1</v>
      </c>
      <c r="BF38" s="39">
        <v>0.7</v>
      </c>
      <c r="BG38" s="39">
        <v>0.1</v>
      </c>
      <c r="BH38" s="39">
        <v>2.5000000000000001E-2</v>
      </c>
      <c r="BI38" s="39" t="s">
        <v>1127</v>
      </c>
      <c r="BJ38" s="39">
        <v>0</v>
      </c>
      <c r="BK38" s="39">
        <v>0</v>
      </c>
      <c r="BL38" s="39">
        <v>0</v>
      </c>
    </row>
    <row r="39" spans="1:64" x14ac:dyDescent="0.25">
      <c r="A39" t="s">
        <v>682</v>
      </c>
      <c r="B39" s="39">
        <v>0</v>
      </c>
      <c r="C39" s="39">
        <v>1</v>
      </c>
      <c r="D39" s="39">
        <v>0</v>
      </c>
      <c r="E39" s="39">
        <v>1</v>
      </c>
      <c r="F39" s="39">
        <v>0</v>
      </c>
      <c r="G39" s="39">
        <v>0</v>
      </c>
      <c r="H39" s="40">
        <f>MAX(21.6,12,10,13.1)</f>
        <v>21.6</v>
      </c>
      <c r="I39" s="41">
        <f t="shared" si="1"/>
        <v>1.1000000000000001</v>
      </c>
      <c r="J39" s="39">
        <v>1.0900000000000001</v>
      </c>
      <c r="K39" s="42">
        <f>AVERAGE(0.13,0.106,0.134,0.129)</f>
        <v>0.12475</v>
      </c>
      <c r="L39" s="39">
        <v>0</v>
      </c>
      <c r="M39" s="39">
        <v>0</v>
      </c>
      <c r="N39" s="4" t="s">
        <v>953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0.85</v>
      </c>
      <c r="AA39" s="4" t="s">
        <v>993</v>
      </c>
      <c r="AB39" s="4" t="s">
        <v>997</v>
      </c>
      <c r="AC39" s="4" t="s">
        <v>1108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1.2</v>
      </c>
      <c r="AJ39" s="4" t="s">
        <v>1016</v>
      </c>
      <c r="AK39" s="4">
        <v>0</v>
      </c>
      <c r="AL39" s="4" t="s">
        <v>682</v>
      </c>
      <c r="AM39" s="4">
        <v>1</v>
      </c>
      <c r="AN39" s="4">
        <v>0</v>
      </c>
      <c r="AO39" s="4">
        <v>0</v>
      </c>
      <c r="AP39" s="4">
        <v>0.5</v>
      </c>
      <c r="AQ39" s="4">
        <v>0</v>
      </c>
      <c r="AR39" s="4" t="s">
        <v>1059</v>
      </c>
      <c r="AS39" s="4">
        <v>1</v>
      </c>
      <c r="AT39" s="4">
        <v>1</v>
      </c>
      <c r="AU39" s="4">
        <v>1</v>
      </c>
      <c r="AV39" s="4" t="s">
        <v>45</v>
      </c>
      <c r="AW39" s="4">
        <v>0</v>
      </c>
      <c r="AX39" s="4">
        <v>0</v>
      </c>
      <c r="AY39" s="4">
        <v>0</v>
      </c>
      <c r="AZ39" s="4">
        <v>0</v>
      </c>
      <c r="BA39" s="4">
        <v>1</v>
      </c>
      <c r="BB39" s="4">
        <v>0</v>
      </c>
      <c r="BC39" s="4">
        <v>0</v>
      </c>
      <c r="BD39" s="4">
        <v>0</v>
      </c>
      <c r="BE39" s="4">
        <v>0</v>
      </c>
      <c r="BF39" s="39">
        <v>0.7</v>
      </c>
      <c r="BG39" s="39">
        <v>0.1</v>
      </c>
      <c r="BH39" s="39">
        <v>2.5000000000000001E-2</v>
      </c>
      <c r="BI39" s="39" t="s">
        <v>1127</v>
      </c>
      <c r="BJ39" s="39">
        <v>0</v>
      </c>
      <c r="BK39" s="39">
        <v>0</v>
      </c>
      <c r="BL39" s="39">
        <v>0</v>
      </c>
    </row>
    <row r="40" spans="1:64" x14ac:dyDescent="0.25">
      <c r="A40" t="s">
        <v>475</v>
      </c>
      <c r="B40" s="39">
        <v>2</v>
      </c>
      <c r="C40" s="39">
        <v>1.5</v>
      </c>
      <c r="D40" s="39">
        <v>0</v>
      </c>
      <c r="E40" s="39">
        <v>1</v>
      </c>
      <c r="F40" s="39">
        <v>0</v>
      </c>
      <c r="G40" s="39">
        <v>0</v>
      </c>
      <c r="H40" s="40">
        <f t="shared" si="0"/>
        <v>14.175000000000001</v>
      </c>
      <c r="I40" s="41">
        <f t="shared" si="1"/>
        <v>1.1000000000000001</v>
      </c>
      <c r="J40" s="39">
        <v>1.0900000000000001</v>
      </c>
      <c r="K40" s="39" t="s">
        <v>942</v>
      </c>
      <c r="L40" s="39">
        <v>0</v>
      </c>
      <c r="M40" s="39">
        <v>0</v>
      </c>
      <c r="N40" s="4" t="s">
        <v>41</v>
      </c>
      <c r="O40" s="4">
        <v>1</v>
      </c>
      <c r="P40" s="4">
        <v>1</v>
      </c>
      <c r="Q40" s="4">
        <v>0.9</v>
      </c>
      <c r="R40" s="4" t="s">
        <v>974</v>
      </c>
      <c r="S40" s="4" t="s">
        <v>973</v>
      </c>
      <c r="T40" s="4" t="s">
        <v>975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0.9</v>
      </c>
      <c r="AA40" s="4" t="s">
        <v>993</v>
      </c>
      <c r="AB40" s="4" t="s">
        <v>995</v>
      </c>
      <c r="AC40" s="4" t="s">
        <v>1108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</v>
      </c>
      <c r="AJ40" s="4" t="s">
        <v>1020</v>
      </c>
      <c r="AK40" s="4">
        <v>0</v>
      </c>
      <c r="AL40" s="4" t="s">
        <v>1041</v>
      </c>
      <c r="AM40" s="4">
        <v>0</v>
      </c>
      <c r="AN40" s="4">
        <v>0</v>
      </c>
      <c r="AO40" s="4">
        <v>0</v>
      </c>
      <c r="AP40" s="4" t="s">
        <v>45</v>
      </c>
      <c r="AQ40" s="4">
        <v>0</v>
      </c>
      <c r="AR40" s="4" t="s">
        <v>685</v>
      </c>
      <c r="AS40" s="4">
        <v>0</v>
      </c>
      <c r="AT40" s="4">
        <v>1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1</v>
      </c>
      <c r="BB40" s="4">
        <v>0</v>
      </c>
      <c r="BC40" s="4">
        <v>0</v>
      </c>
      <c r="BD40" s="4">
        <v>0</v>
      </c>
      <c r="BE40" s="4">
        <v>2</v>
      </c>
      <c r="BF40" s="39">
        <v>0.5</v>
      </c>
      <c r="BG40" s="39">
        <v>0</v>
      </c>
      <c r="BH40" s="39">
        <v>0</v>
      </c>
      <c r="BI40" s="39" t="s">
        <v>1127</v>
      </c>
      <c r="BJ40" s="39">
        <v>0</v>
      </c>
      <c r="BK40" s="39">
        <v>0</v>
      </c>
      <c r="BL40" s="39">
        <v>0</v>
      </c>
    </row>
    <row r="41" spans="1:64" s="16" customFormat="1" ht="14.25" customHeight="1" x14ac:dyDescent="0.25">
      <c r="A41" s="16" t="s">
        <v>1036</v>
      </c>
      <c r="B41" s="39">
        <v>2</v>
      </c>
      <c r="C41" s="39">
        <v>1.3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14.175000000000001</v>
      </c>
      <c r="I41" s="41">
        <f t="shared" si="1"/>
        <v>1.1000000000000001</v>
      </c>
      <c r="J41" s="39">
        <v>1.0900000000000001</v>
      </c>
      <c r="K41" s="39" t="s">
        <v>942</v>
      </c>
      <c r="L41" s="39">
        <v>0</v>
      </c>
      <c r="M41" s="39">
        <v>0</v>
      </c>
      <c r="N41" s="4" t="s">
        <v>113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0.85</v>
      </c>
      <c r="AA41" s="4" t="s">
        <v>993</v>
      </c>
      <c r="AB41" s="4" t="s">
        <v>997</v>
      </c>
      <c r="AC41" s="4" t="s">
        <v>1108</v>
      </c>
      <c r="AD41" s="39">
        <v>1</v>
      </c>
      <c r="AE41" s="4">
        <v>0.65</v>
      </c>
      <c r="AF41" s="4" t="s">
        <v>1008</v>
      </c>
      <c r="AG41" s="4" t="s">
        <v>1011</v>
      </c>
      <c r="AH41" s="4" t="s">
        <v>969</v>
      </c>
      <c r="AI41" s="4">
        <v>1</v>
      </c>
      <c r="AJ41" s="4" t="s">
        <v>1016</v>
      </c>
      <c r="AK41" s="4">
        <v>0</v>
      </c>
      <c r="AL41" s="4" t="s">
        <v>1037</v>
      </c>
      <c r="AM41" s="4">
        <v>2</v>
      </c>
      <c r="AN41" s="4">
        <v>2.5000000000000001E-2</v>
      </c>
      <c r="AO41" s="4">
        <v>0.1</v>
      </c>
      <c r="AP41" s="4" t="s">
        <v>45</v>
      </c>
      <c r="AQ41" s="4">
        <v>0</v>
      </c>
      <c r="AR41" s="4" t="s">
        <v>1057</v>
      </c>
      <c r="AS41" s="4">
        <v>0</v>
      </c>
      <c r="AT41" s="4">
        <v>0</v>
      </c>
      <c r="AU41" s="4">
        <v>0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1</v>
      </c>
      <c r="BB41" s="4">
        <v>0</v>
      </c>
      <c r="BC41" s="4">
        <v>0</v>
      </c>
      <c r="BD41" s="4">
        <v>0</v>
      </c>
      <c r="BE41" s="4">
        <v>0</v>
      </c>
      <c r="BF41" s="39">
        <v>1</v>
      </c>
      <c r="BG41" s="39">
        <v>0.1</v>
      </c>
      <c r="BH41" s="39">
        <v>0.05</v>
      </c>
      <c r="BI41" s="39" t="s">
        <v>1130</v>
      </c>
      <c r="BJ41" s="39">
        <v>0</v>
      </c>
      <c r="BK41" s="39">
        <v>0</v>
      </c>
      <c r="BL41" s="39">
        <v>0</v>
      </c>
    </row>
    <row r="42" spans="1:64" ht="14.25" customHeight="1" x14ac:dyDescent="0.25">
      <c r="A42" t="s">
        <v>113</v>
      </c>
      <c r="B42" s="39">
        <v>2</v>
      </c>
      <c r="C42" s="39">
        <v>1.3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14.175000000000001</v>
      </c>
      <c r="I42" s="41">
        <f t="shared" si="1"/>
        <v>1.1000000000000001</v>
      </c>
      <c r="J42" s="39">
        <v>1.0900000000000001</v>
      </c>
      <c r="K42" s="39" t="s">
        <v>942</v>
      </c>
      <c r="L42" s="39">
        <v>0</v>
      </c>
      <c r="M42" s="39">
        <v>0</v>
      </c>
      <c r="N42" s="4" t="s">
        <v>113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993</v>
      </c>
      <c r="AB42" s="4" t="s">
        <v>997</v>
      </c>
      <c r="AC42" s="4" t="s">
        <v>1108</v>
      </c>
      <c r="AD42" s="39">
        <v>1</v>
      </c>
      <c r="AE42" s="4">
        <v>0.65</v>
      </c>
      <c r="AF42" s="4" t="s">
        <v>1008</v>
      </c>
      <c r="AG42" s="4" t="s">
        <v>1011</v>
      </c>
      <c r="AH42" s="4" t="s">
        <v>969</v>
      </c>
      <c r="AI42" s="4">
        <v>1</v>
      </c>
      <c r="AJ42" s="4" t="s">
        <v>1016</v>
      </c>
      <c r="AK42" s="4">
        <v>0</v>
      </c>
      <c r="AL42" s="4" t="s">
        <v>116</v>
      </c>
      <c r="AM42" s="4">
        <v>2</v>
      </c>
      <c r="AN42" s="4">
        <v>0</v>
      </c>
      <c r="AO42" s="4">
        <v>0</v>
      </c>
      <c r="AP42" s="4">
        <v>0.5</v>
      </c>
      <c r="AQ42" s="4">
        <v>0</v>
      </c>
      <c r="AR42" s="4" t="s">
        <v>1057</v>
      </c>
      <c r="AS42" s="4">
        <v>0</v>
      </c>
      <c r="AT42" s="4">
        <v>0</v>
      </c>
      <c r="AU42" s="4">
        <v>0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1</v>
      </c>
      <c r="BB42" s="4">
        <v>0</v>
      </c>
      <c r="BC42" s="4">
        <v>0</v>
      </c>
      <c r="BD42" s="4">
        <v>0</v>
      </c>
      <c r="BE42" s="4">
        <v>0</v>
      </c>
      <c r="BF42" s="39">
        <v>1</v>
      </c>
      <c r="BG42" s="39">
        <v>0.1</v>
      </c>
      <c r="BH42" s="39">
        <v>0.05</v>
      </c>
      <c r="BI42" s="39" t="s">
        <v>1125</v>
      </c>
      <c r="BJ42" s="39">
        <v>0</v>
      </c>
      <c r="BK42" s="39">
        <v>0</v>
      </c>
      <c r="BL42" s="39">
        <v>0</v>
      </c>
    </row>
    <row r="43" spans="1:64" x14ac:dyDescent="0.25">
      <c r="A43" t="s">
        <v>119</v>
      </c>
      <c r="B43" s="39">
        <v>2</v>
      </c>
      <c r="C43" s="39">
        <v>1</v>
      </c>
      <c r="D43" s="39">
        <v>1</v>
      </c>
      <c r="E43" s="39">
        <v>5</v>
      </c>
      <c r="F43" s="39">
        <v>0</v>
      </c>
      <c r="G43" s="39">
        <v>0</v>
      </c>
      <c r="H43" s="40">
        <v>30.5</v>
      </c>
      <c r="I43" s="41">
        <v>0.24</v>
      </c>
      <c r="J43" s="39">
        <v>1.0900000000000001</v>
      </c>
      <c r="K43" s="39" t="s">
        <v>942</v>
      </c>
      <c r="L43" s="39">
        <v>0</v>
      </c>
      <c r="M43" s="39">
        <v>0</v>
      </c>
      <c r="N43" s="4" t="s">
        <v>955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>
        <v>2</v>
      </c>
      <c r="V43" s="4">
        <v>0.7</v>
      </c>
      <c r="W43" s="4" t="s">
        <v>983</v>
      </c>
      <c r="X43" s="4" t="s">
        <v>984</v>
      </c>
      <c r="Y43" s="4" t="s">
        <v>966</v>
      </c>
      <c r="Z43" s="4">
        <v>1</v>
      </c>
      <c r="AA43" s="4" t="s">
        <v>993</v>
      </c>
      <c r="AB43" s="4" t="s">
        <v>996</v>
      </c>
      <c r="AC43" s="4" t="s">
        <v>1108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1.2</v>
      </c>
      <c r="AJ43" s="4" t="s">
        <v>1016</v>
      </c>
      <c r="AK43" s="4">
        <v>0</v>
      </c>
      <c r="AL43" s="4" t="s">
        <v>1034</v>
      </c>
      <c r="AM43" s="4">
        <v>0</v>
      </c>
      <c r="AN43" s="4">
        <v>0.05</v>
      </c>
      <c r="AO43" s="4">
        <v>0.3</v>
      </c>
      <c r="AP43" s="4" t="s">
        <v>45</v>
      </c>
      <c r="AQ43" s="4">
        <v>0</v>
      </c>
      <c r="AR43" s="4" t="s">
        <v>685</v>
      </c>
      <c r="AS43" s="4">
        <v>0</v>
      </c>
      <c r="AT43" s="4">
        <v>0</v>
      </c>
      <c r="AU43" s="4">
        <v>0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1</v>
      </c>
      <c r="BB43" s="4">
        <v>0</v>
      </c>
      <c r="BC43" s="4">
        <v>0</v>
      </c>
      <c r="BD43" s="4">
        <v>0</v>
      </c>
      <c r="BE43" s="4">
        <v>0</v>
      </c>
      <c r="BF43" s="39">
        <v>0.5</v>
      </c>
      <c r="BG43" s="39">
        <v>0.15</v>
      </c>
      <c r="BH43" s="39">
        <v>2.5000000000000001E-2</v>
      </c>
      <c r="BI43" s="39" t="s">
        <v>1125</v>
      </c>
      <c r="BJ43" s="39">
        <v>0</v>
      </c>
      <c r="BK43" s="39">
        <v>0</v>
      </c>
      <c r="BL43" s="39">
        <v>0</v>
      </c>
    </row>
    <row r="44" spans="1:64" s="16" customFormat="1" x14ac:dyDescent="0.25">
      <c r="A44" s="16" t="s">
        <v>1090</v>
      </c>
      <c r="B44" s="39">
        <v>1</v>
      </c>
      <c r="C44" s="39">
        <v>1.25</v>
      </c>
      <c r="D44" s="39">
        <v>0</v>
      </c>
      <c r="E44" s="39">
        <v>1</v>
      </c>
      <c r="F44" s="39">
        <v>0</v>
      </c>
      <c r="G44" s="39">
        <v>0</v>
      </c>
      <c r="H44" s="40">
        <f t="shared" ref="H44:H52" si="2">AVERAGE(21.6,12,10,13.1)</f>
        <v>14.175000000000001</v>
      </c>
      <c r="I44" s="41">
        <f t="shared" ref="I44:I52" si="3">AVERAGE(0.54,1.5,1.5,0.86)</f>
        <v>1.1000000000000001</v>
      </c>
      <c r="J44" s="39">
        <v>1.0900000000000001</v>
      </c>
      <c r="K44" s="39" t="s">
        <v>942</v>
      </c>
      <c r="L44" s="39">
        <v>0</v>
      </c>
      <c r="M44" s="39">
        <v>0</v>
      </c>
      <c r="N44" s="4" t="s">
        <v>952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0.95</v>
      </c>
      <c r="AA44" s="4" t="s">
        <v>993</v>
      </c>
      <c r="AB44" s="4" t="s">
        <v>999</v>
      </c>
      <c r="AC44" s="4" t="s">
        <v>1108</v>
      </c>
      <c r="AD44" s="39">
        <v>0</v>
      </c>
      <c r="AE44" s="4" t="s">
        <v>45</v>
      </c>
      <c r="AF44" s="4" t="s">
        <v>45</v>
      </c>
      <c r="AG44" s="4" t="s">
        <v>45</v>
      </c>
      <c r="AH44" s="4" t="s">
        <v>45</v>
      </c>
      <c r="AI44" s="4">
        <v>1</v>
      </c>
      <c r="AJ44" s="4" t="s">
        <v>1016</v>
      </c>
      <c r="AK44" s="4">
        <v>0</v>
      </c>
      <c r="AL44" s="4" t="s">
        <v>1027</v>
      </c>
      <c r="AM44" s="4">
        <v>0</v>
      </c>
      <c r="AN44" s="4">
        <v>0</v>
      </c>
      <c r="AO44" s="4">
        <v>0</v>
      </c>
      <c r="AP44" s="4">
        <v>0.5</v>
      </c>
      <c r="AQ44" s="4">
        <v>1</v>
      </c>
      <c r="AR44" s="4" t="s">
        <v>685</v>
      </c>
      <c r="AS44" s="4">
        <v>0</v>
      </c>
      <c r="AT44" s="4">
        <v>0</v>
      </c>
      <c r="AU44" s="4">
        <v>1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1</v>
      </c>
      <c r="BB44" s="4">
        <v>0</v>
      </c>
      <c r="BC44" s="4">
        <v>0</v>
      </c>
      <c r="BD44" s="4">
        <v>0</v>
      </c>
      <c r="BE44" s="4">
        <v>0</v>
      </c>
      <c r="BF44" s="39">
        <v>0.7</v>
      </c>
      <c r="BG44" s="39">
        <v>0</v>
      </c>
      <c r="BH44" s="39">
        <v>0</v>
      </c>
      <c r="BI44" s="39" t="s">
        <v>1125</v>
      </c>
      <c r="BJ44" s="39">
        <v>0</v>
      </c>
      <c r="BK44" s="39">
        <v>0</v>
      </c>
      <c r="BL44" s="39">
        <v>0</v>
      </c>
    </row>
    <row r="45" spans="1:64" s="16" customFormat="1" x14ac:dyDescent="0.25">
      <c r="A45" s="16" t="s">
        <v>1028</v>
      </c>
      <c r="B45" s="39">
        <v>0</v>
      </c>
      <c r="C45" s="39">
        <v>1.25</v>
      </c>
      <c r="D45" s="39">
        <v>0</v>
      </c>
      <c r="E45" s="39">
        <v>1</v>
      </c>
      <c r="F45" s="39">
        <v>0</v>
      </c>
      <c r="G45" s="39">
        <v>0</v>
      </c>
      <c r="H45" s="40">
        <f t="shared" si="2"/>
        <v>14.175000000000001</v>
      </c>
      <c r="I45" s="41">
        <f t="shared" si="3"/>
        <v>1.1000000000000001</v>
      </c>
      <c r="J45" s="39">
        <v>1.0900000000000001</v>
      </c>
      <c r="K45" s="39" t="s">
        <v>942</v>
      </c>
      <c r="L45" s="39">
        <v>0</v>
      </c>
      <c r="M45" s="39">
        <v>0</v>
      </c>
      <c r="N45" s="4" t="s">
        <v>952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1</v>
      </c>
      <c r="AA45" s="4" t="s">
        <v>993</v>
      </c>
      <c r="AB45" s="4" t="s">
        <v>999</v>
      </c>
      <c r="AC45" s="4" t="s">
        <v>1108</v>
      </c>
      <c r="AD45" s="39">
        <v>0</v>
      </c>
      <c r="AE45" s="4" t="s">
        <v>45</v>
      </c>
      <c r="AF45" s="4" t="s">
        <v>45</v>
      </c>
      <c r="AG45" s="4" t="s">
        <v>45</v>
      </c>
      <c r="AH45" s="4" t="s">
        <v>45</v>
      </c>
      <c r="AI45" s="4">
        <v>1</v>
      </c>
      <c r="AJ45" s="4" t="s">
        <v>1016</v>
      </c>
      <c r="AK45" s="4">
        <v>0</v>
      </c>
      <c r="AL45" s="4" t="s">
        <v>1027</v>
      </c>
      <c r="AM45" s="4">
        <v>0</v>
      </c>
      <c r="AN45" s="4">
        <v>0</v>
      </c>
      <c r="AO45" s="4">
        <v>0</v>
      </c>
      <c r="AP45" s="4">
        <v>0.5</v>
      </c>
      <c r="AQ45" s="4">
        <v>1</v>
      </c>
      <c r="AR45" s="4" t="s">
        <v>685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1</v>
      </c>
      <c r="BB45" s="4">
        <v>0</v>
      </c>
      <c r="BC45" s="4">
        <v>0</v>
      </c>
      <c r="BD45" s="4">
        <v>0</v>
      </c>
      <c r="BE45" s="4">
        <v>0</v>
      </c>
      <c r="BF45" s="39">
        <v>0.7</v>
      </c>
      <c r="BG45" s="39">
        <v>0</v>
      </c>
      <c r="BH45" s="39">
        <v>0</v>
      </c>
      <c r="BI45" s="39" t="s">
        <v>1127</v>
      </c>
      <c r="BJ45" s="39">
        <v>0</v>
      </c>
      <c r="BK45" s="39">
        <v>0</v>
      </c>
      <c r="BL45" s="39">
        <v>0</v>
      </c>
    </row>
    <row r="46" spans="1:64" s="16" customFormat="1" x14ac:dyDescent="0.25">
      <c r="A46" s="16" t="s">
        <v>1104</v>
      </c>
      <c r="B46" s="39">
        <v>0</v>
      </c>
      <c r="C46" s="39">
        <v>1.25</v>
      </c>
      <c r="D46" s="39">
        <v>0</v>
      </c>
      <c r="E46" s="39">
        <v>1</v>
      </c>
      <c r="F46" s="39">
        <v>0</v>
      </c>
      <c r="G46" s="39">
        <v>0</v>
      </c>
      <c r="H46" s="40">
        <f t="shared" si="2"/>
        <v>14.175000000000001</v>
      </c>
      <c r="I46" s="41">
        <f t="shared" si="3"/>
        <v>1.1000000000000001</v>
      </c>
      <c r="J46" s="39">
        <v>1.0900000000000001</v>
      </c>
      <c r="K46" s="39" t="s">
        <v>942</v>
      </c>
      <c r="L46" s="39">
        <v>0</v>
      </c>
      <c r="M46" s="39">
        <v>0</v>
      </c>
      <c r="N46" s="4" t="s">
        <v>952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 t="s">
        <v>45</v>
      </c>
      <c r="V46" s="4" t="s">
        <v>45</v>
      </c>
      <c r="W46" s="4" t="s">
        <v>45</v>
      </c>
      <c r="X46" s="4" t="s">
        <v>45</v>
      </c>
      <c r="Y46" s="4" t="s">
        <v>45</v>
      </c>
      <c r="Z46" s="4">
        <v>0.9</v>
      </c>
      <c r="AA46" s="4" t="s">
        <v>993</v>
      </c>
      <c r="AB46" s="4" t="s">
        <v>999</v>
      </c>
      <c r="AC46" s="4" t="s">
        <v>1108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</v>
      </c>
      <c r="AJ46" s="4" t="s">
        <v>1016</v>
      </c>
      <c r="AK46" s="4">
        <v>0</v>
      </c>
      <c r="AL46" s="4" t="s">
        <v>1029</v>
      </c>
      <c r="AM46" s="4">
        <v>0</v>
      </c>
      <c r="AN46" s="4">
        <v>0</v>
      </c>
      <c r="AO46" s="4">
        <v>0</v>
      </c>
      <c r="AP46" s="4">
        <v>0.5</v>
      </c>
      <c r="AQ46" s="4">
        <v>1</v>
      </c>
      <c r="AR46" s="4" t="s">
        <v>685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2</v>
      </c>
      <c r="AZ46" s="4">
        <v>0</v>
      </c>
      <c r="BA46" s="4">
        <v>1</v>
      </c>
      <c r="BB46" s="4">
        <v>0</v>
      </c>
      <c r="BC46" s="4">
        <v>0</v>
      </c>
      <c r="BD46" s="4">
        <v>0</v>
      </c>
      <c r="BE46" s="4">
        <v>0</v>
      </c>
      <c r="BF46" s="39">
        <v>0.7</v>
      </c>
      <c r="BG46" s="39">
        <v>0.1</v>
      </c>
      <c r="BH46" s="39">
        <v>2.5000000000000001E-2</v>
      </c>
      <c r="BI46" s="39" t="s">
        <v>1127</v>
      </c>
      <c r="BJ46" s="39">
        <v>0</v>
      </c>
      <c r="BK46" s="39">
        <v>0</v>
      </c>
      <c r="BL46" s="39">
        <v>0</v>
      </c>
    </row>
    <row r="47" spans="1:64" x14ac:dyDescent="0.25">
      <c r="A47" t="s">
        <v>123</v>
      </c>
      <c r="B47" s="39">
        <v>0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si="2"/>
        <v>14.175000000000001</v>
      </c>
      <c r="I47" s="41">
        <f t="shared" si="3"/>
        <v>1.1000000000000001</v>
      </c>
      <c r="J47" s="39">
        <v>1.0900000000000001</v>
      </c>
      <c r="K47" s="39" t="s">
        <v>942</v>
      </c>
      <c r="L47" s="39">
        <v>0</v>
      </c>
      <c r="M47" s="39">
        <v>0</v>
      </c>
      <c r="N47" s="4" t="s">
        <v>952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993</v>
      </c>
      <c r="AB47" s="4" t="s">
        <v>999</v>
      </c>
      <c r="AC47" s="4" t="s">
        <v>1108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1016</v>
      </c>
      <c r="AK47" s="4">
        <v>0</v>
      </c>
      <c r="AL47" s="4" t="s">
        <v>1029</v>
      </c>
      <c r="AM47" s="4">
        <v>0</v>
      </c>
      <c r="AN47" s="4">
        <v>0</v>
      </c>
      <c r="AO47" s="4">
        <v>0</v>
      </c>
      <c r="AP47" s="4">
        <v>0.5</v>
      </c>
      <c r="AQ47" s="4">
        <v>1</v>
      </c>
      <c r="AR47" s="4" t="s">
        <v>685</v>
      </c>
      <c r="AS47" s="4">
        <v>0</v>
      </c>
      <c r="AT47" s="4">
        <v>0</v>
      </c>
      <c r="AU47" s="4">
        <v>0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1</v>
      </c>
      <c r="BB47" s="4">
        <v>0</v>
      </c>
      <c r="BC47" s="4">
        <v>0</v>
      </c>
      <c r="BD47" s="4">
        <v>0</v>
      </c>
      <c r="BE47" s="4">
        <v>0</v>
      </c>
      <c r="BF47" s="39">
        <v>0.7</v>
      </c>
      <c r="BG47" s="39">
        <v>0</v>
      </c>
      <c r="BH47" s="39">
        <v>0</v>
      </c>
      <c r="BI47" s="39" t="s">
        <v>1127</v>
      </c>
      <c r="BJ47" s="39">
        <v>0</v>
      </c>
      <c r="BK47" s="39">
        <v>0</v>
      </c>
      <c r="BL47" s="39">
        <v>0</v>
      </c>
    </row>
    <row r="48" spans="1:64" s="16" customFormat="1" x14ac:dyDescent="0.25">
      <c r="A48" s="16" t="s">
        <v>1051</v>
      </c>
      <c r="B48" s="39">
        <v>0</v>
      </c>
      <c r="C48" s="39">
        <v>0.85</v>
      </c>
      <c r="D48" s="39">
        <v>1</v>
      </c>
      <c r="E48" s="39">
        <v>5</v>
      </c>
      <c r="F48" s="39">
        <v>1</v>
      </c>
      <c r="G48" s="39">
        <v>0</v>
      </c>
      <c r="H48" s="40">
        <f t="shared" si="2"/>
        <v>14.175000000000001</v>
      </c>
      <c r="I48" s="41">
        <f t="shared" si="3"/>
        <v>1.1000000000000001</v>
      </c>
      <c r="J48" s="39">
        <v>1.0900000000000001</v>
      </c>
      <c r="K48" s="39" t="s">
        <v>942</v>
      </c>
      <c r="L48" s="39">
        <v>0</v>
      </c>
      <c r="M48" s="39">
        <v>0</v>
      </c>
      <c r="N48" s="4" t="s">
        <v>45</v>
      </c>
      <c r="O48" s="4">
        <v>0</v>
      </c>
      <c r="P48" s="4">
        <v>1</v>
      </c>
      <c r="Q48" s="4">
        <v>1</v>
      </c>
      <c r="R48" s="4" t="s">
        <v>968</v>
      </c>
      <c r="S48" s="4" t="s">
        <v>971</v>
      </c>
      <c r="T48" s="4" t="s">
        <v>969</v>
      </c>
      <c r="U48" s="4">
        <v>3</v>
      </c>
      <c r="V48" s="4">
        <v>0.85</v>
      </c>
      <c r="W48" s="4" t="s">
        <v>983</v>
      </c>
      <c r="X48" s="4" t="s">
        <v>984</v>
      </c>
      <c r="Y48" s="4" t="s">
        <v>966</v>
      </c>
      <c r="Z48" s="4" t="s">
        <v>45</v>
      </c>
      <c r="AA48" s="4" t="s">
        <v>993</v>
      </c>
      <c r="AB48" s="4" t="s">
        <v>996</v>
      </c>
      <c r="AC48" s="4" t="s">
        <v>1108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1016</v>
      </c>
      <c r="AK48" s="4">
        <v>0</v>
      </c>
      <c r="AL48" s="4" t="s">
        <v>1031</v>
      </c>
      <c r="AM48" s="4">
        <v>0</v>
      </c>
      <c r="AN48" s="4">
        <v>2.5000000000000001E-2</v>
      </c>
      <c r="AO48" s="4">
        <v>0.1</v>
      </c>
      <c r="AP48" s="4" t="s">
        <v>45</v>
      </c>
      <c r="AQ48" s="4">
        <v>0</v>
      </c>
      <c r="AR48" s="4" t="s">
        <v>685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1</v>
      </c>
      <c r="BB48" s="4">
        <v>0</v>
      </c>
      <c r="BC48" s="4">
        <v>0</v>
      </c>
      <c r="BD48" s="4">
        <v>0</v>
      </c>
      <c r="BE48" s="4">
        <v>1</v>
      </c>
      <c r="BF48" s="39">
        <v>0.5</v>
      </c>
      <c r="BG48" s="39">
        <v>0</v>
      </c>
      <c r="BH48" s="39">
        <v>0</v>
      </c>
      <c r="BI48" s="39" t="s">
        <v>1125</v>
      </c>
      <c r="BJ48" s="39">
        <v>0</v>
      </c>
      <c r="BK48" s="39">
        <v>0</v>
      </c>
      <c r="BL48" s="39">
        <v>0</v>
      </c>
    </row>
    <row r="49" spans="1:64" x14ac:dyDescent="0.25">
      <c r="A49" t="s">
        <v>1056</v>
      </c>
      <c r="B49" s="39">
        <v>0</v>
      </c>
      <c r="C49" s="39">
        <v>0.85</v>
      </c>
      <c r="D49" s="39">
        <v>1</v>
      </c>
      <c r="E49" s="39">
        <v>5</v>
      </c>
      <c r="F49" s="39">
        <v>1</v>
      </c>
      <c r="G49" s="39">
        <v>0</v>
      </c>
      <c r="H49" s="40">
        <f t="shared" si="2"/>
        <v>14.175000000000001</v>
      </c>
      <c r="I49" s="41">
        <f t="shared" si="3"/>
        <v>1.1000000000000001</v>
      </c>
      <c r="J49" s="39">
        <v>1.0900000000000001</v>
      </c>
      <c r="K49" s="39" t="s">
        <v>942</v>
      </c>
      <c r="L49" s="39">
        <v>0</v>
      </c>
      <c r="M49" s="39">
        <v>0</v>
      </c>
      <c r="N49" s="4" t="s">
        <v>45</v>
      </c>
      <c r="O49" s="4">
        <v>0</v>
      </c>
      <c r="P49" s="4">
        <v>1</v>
      </c>
      <c r="Q49" s="4">
        <v>1</v>
      </c>
      <c r="R49" s="4" t="s">
        <v>968</v>
      </c>
      <c r="S49" s="4" t="s">
        <v>971</v>
      </c>
      <c r="T49" s="4" t="s">
        <v>969</v>
      </c>
      <c r="U49" s="4">
        <v>3</v>
      </c>
      <c r="V49" s="4">
        <v>0.85</v>
      </c>
      <c r="W49" s="4" t="s">
        <v>983</v>
      </c>
      <c r="X49" s="4" t="s">
        <v>984</v>
      </c>
      <c r="Y49" s="4" t="s">
        <v>966</v>
      </c>
      <c r="Z49" s="4" t="s">
        <v>45</v>
      </c>
      <c r="AA49" s="4" t="s">
        <v>993</v>
      </c>
      <c r="AB49" s="4" t="s">
        <v>996</v>
      </c>
      <c r="AC49" s="4" t="s">
        <v>1108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1016</v>
      </c>
      <c r="AK49" s="4">
        <v>0</v>
      </c>
      <c r="AL49" s="4" t="s">
        <v>1031</v>
      </c>
      <c r="AM49" s="4">
        <v>0</v>
      </c>
      <c r="AN49" s="4">
        <v>0</v>
      </c>
      <c r="AO49" s="4">
        <v>0</v>
      </c>
      <c r="AP49" s="4" t="s">
        <v>45</v>
      </c>
      <c r="AQ49" s="4">
        <v>0</v>
      </c>
      <c r="AR49" s="4" t="s">
        <v>685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0</v>
      </c>
      <c r="BA49" s="4">
        <v>1</v>
      </c>
      <c r="BB49" s="4">
        <v>0</v>
      </c>
      <c r="BC49" s="4">
        <v>0</v>
      </c>
      <c r="BD49" s="4">
        <v>0</v>
      </c>
      <c r="BE49" s="4">
        <v>1</v>
      </c>
      <c r="BF49" s="39">
        <v>0.5</v>
      </c>
      <c r="BG49" s="39">
        <v>0</v>
      </c>
      <c r="BH49" s="39">
        <v>0</v>
      </c>
      <c r="BI49" s="39" t="s">
        <v>1125</v>
      </c>
      <c r="BJ49" s="39">
        <v>0</v>
      </c>
      <c r="BK49" s="39">
        <v>0</v>
      </c>
      <c r="BL49" s="39">
        <v>0</v>
      </c>
    </row>
    <row r="50" spans="1:64" s="16" customFormat="1" x14ac:dyDescent="0.25">
      <c r="A50" s="16" t="s">
        <v>1054</v>
      </c>
      <c r="B50" s="39">
        <v>0</v>
      </c>
      <c r="C50" s="39">
        <v>0.85</v>
      </c>
      <c r="D50" s="39">
        <v>1</v>
      </c>
      <c r="E50" s="39">
        <v>5</v>
      </c>
      <c r="F50" s="39">
        <v>1</v>
      </c>
      <c r="G50" s="39">
        <v>0</v>
      </c>
      <c r="H50" s="40">
        <f t="shared" si="2"/>
        <v>14.175000000000001</v>
      </c>
      <c r="I50" s="41">
        <f t="shared" si="3"/>
        <v>1.1000000000000001</v>
      </c>
      <c r="J50" s="39">
        <v>1.0900000000000001</v>
      </c>
      <c r="K50" s="39" t="s">
        <v>942</v>
      </c>
      <c r="L50" s="39">
        <v>0</v>
      </c>
      <c r="M50" s="39">
        <v>0</v>
      </c>
      <c r="N50" s="4" t="s">
        <v>45</v>
      </c>
      <c r="O50" s="4">
        <v>0</v>
      </c>
      <c r="P50" s="4">
        <v>1</v>
      </c>
      <c r="Q50" s="4">
        <v>1</v>
      </c>
      <c r="R50" s="4" t="s">
        <v>968</v>
      </c>
      <c r="S50" s="4" t="s">
        <v>971</v>
      </c>
      <c r="T50" s="4" t="s">
        <v>969</v>
      </c>
      <c r="U50" s="4">
        <v>3</v>
      </c>
      <c r="V50" s="4">
        <v>0.85</v>
      </c>
      <c r="W50" s="4" t="s">
        <v>983</v>
      </c>
      <c r="X50" s="4" t="s">
        <v>984</v>
      </c>
      <c r="Y50" s="4" t="s">
        <v>969</v>
      </c>
      <c r="Z50" s="4" t="s">
        <v>45</v>
      </c>
      <c r="AA50" s="4" t="s">
        <v>993</v>
      </c>
      <c r="AB50" s="4" t="s">
        <v>996</v>
      </c>
      <c r="AC50" s="4" t="s">
        <v>1108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1016</v>
      </c>
      <c r="AK50" s="4">
        <v>1</v>
      </c>
      <c r="AL50" s="4" t="s">
        <v>1031</v>
      </c>
      <c r="AM50" s="4">
        <v>0</v>
      </c>
      <c r="AN50" s="4">
        <v>0</v>
      </c>
      <c r="AO50" s="4">
        <v>0</v>
      </c>
      <c r="AP50" s="4" t="s">
        <v>45</v>
      </c>
      <c r="AQ50" s="4">
        <v>0</v>
      </c>
      <c r="AR50" s="4" t="s">
        <v>685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1</v>
      </c>
      <c r="BB50" s="4">
        <v>0</v>
      </c>
      <c r="BC50" s="4">
        <v>1</v>
      </c>
      <c r="BD50" s="4">
        <v>0</v>
      </c>
      <c r="BE50" s="4">
        <v>1</v>
      </c>
      <c r="BF50" s="39">
        <v>0.5</v>
      </c>
      <c r="BG50" s="39">
        <v>0</v>
      </c>
      <c r="BH50" s="39">
        <v>0</v>
      </c>
      <c r="BI50" s="39" t="s">
        <v>1125</v>
      </c>
      <c r="BJ50" s="39">
        <v>0</v>
      </c>
      <c r="BK50" s="39">
        <v>0</v>
      </c>
      <c r="BL50" s="39">
        <v>0</v>
      </c>
    </row>
    <row r="51" spans="1:64" s="16" customFormat="1" x14ac:dyDescent="0.25">
      <c r="A51" s="16" t="s">
        <v>1055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14.175000000000001</v>
      </c>
      <c r="I51" s="41">
        <f t="shared" si="3"/>
        <v>1.1000000000000001</v>
      </c>
      <c r="J51" s="39">
        <v>1.0900000000000001</v>
      </c>
      <c r="K51" s="39" t="s">
        <v>942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968</v>
      </c>
      <c r="S51" s="4" t="s">
        <v>971</v>
      </c>
      <c r="T51" s="4" t="s">
        <v>969</v>
      </c>
      <c r="U51" s="4">
        <v>3</v>
      </c>
      <c r="V51" s="4">
        <v>0.85</v>
      </c>
      <c r="W51" s="4" t="s">
        <v>983</v>
      </c>
      <c r="X51" s="4" t="s">
        <v>985</v>
      </c>
      <c r="Y51" s="4" t="s">
        <v>966</v>
      </c>
      <c r="Z51" s="4" t="s">
        <v>45</v>
      </c>
      <c r="AA51" s="4" t="s">
        <v>993</v>
      </c>
      <c r="AB51" s="4" t="s">
        <v>996</v>
      </c>
      <c r="AC51" s="4" t="s">
        <v>1108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1016</v>
      </c>
      <c r="AK51" s="4">
        <v>1</v>
      </c>
      <c r="AL51" s="4" t="s">
        <v>1031</v>
      </c>
      <c r="AM51" s="4">
        <v>0</v>
      </c>
      <c r="AN51" s="4">
        <v>0</v>
      </c>
      <c r="AO51" s="4">
        <v>0</v>
      </c>
      <c r="AP51" s="4" t="s">
        <v>45</v>
      </c>
      <c r="AQ51" s="4">
        <v>0</v>
      </c>
      <c r="AR51" s="4" t="s">
        <v>685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1</v>
      </c>
      <c r="BB51" s="4">
        <v>0</v>
      </c>
      <c r="BC51" s="4">
        <v>0</v>
      </c>
      <c r="BD51" s="4">
        <v>0</v>
      </c>
      <c r="BE51" s="4">
        <v>1</v>
      </c>
      <c r="BF51" s="39">
        <v>0.5</v>
      </c>
      <c r="BG51" s="39">
        <v>0</v>
      </c>
      <c r="BH51" s="39">
        <v>0</v>
      </c>
      <c r="BI51" s="39" t="s">
        <v>1125</v>
      </c>
      <c r="BJ51" s="39">
        <v>0</v>
      </c>
      <c r="BK51" s="39">
        <v>0</v>
      </c>
      <c r="BL51" s="39">
        <v>0</v>
      </c>
    </row>
    <row r="52" spans="1:64" s="16" customFormat="1" x14ac:dyDescent="0.25">
      <c r="A52" s="16" t="s">
        <v>140</v>
      </c>
      <c r="B52" s="39">
        <v>1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14.175000000000001</v>
      </c>
      <c r="I52" s="41">
        <f t="shared" si="3"/>
        <v>1.1000000000000001</v>
      </c>
      <c r="J52" s="39">
        <v>1.0900000000000001</v>
      </c>
      <c r="K52" s="39" t="s">
        <v>942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968</v>
      </c>
      <c r="S52" s="4" t="s">
        <v>971</v>
      </c>
      <c r="T52" s="4" t="s">
        <v>969</v>
      </c>
      <c r="U52" s="4" t="s">
        <v>45</v>
      </c>
      <c r="V52" s="4" t="s">
        <v>45</v>
      </c>
      <c r="W52" s="4" t="s">
        <v>45</v>
      </c>
      <c r="X52" s="4" t="s">
        <v>45</v>
      </c>
      <c r="Y52" s="4" t="s">
        <v>45</v>
      </c>
      <c r="Z52" s="4" t="s">
        <v>45</v>
      </c>
      <c r="AA52" s="4" t="s">
        <v>993</v>
      </c>
      <c r="AB52" s="4" t="s">
        <v>996</v>
      </c>
      <c r="AC52" s="4" t="s">
        <v>1108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1016</v>
      </c>
      <c r="AK52" s="4">
        <v>1</v>
      </c>
      <c r="AL52" s="4" t="s">
        <v>1031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685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1</v>
      </c>
      <c r="BB52" s="4">
        <v>0</v>
      </c>
      <c r="BC52" s="4">
        <v>0</v>
      </c>
      <c r="BD52" s="4">
        <v>0</v>
      </c>
      <c r="BE52" s="4">
        <v>1</v>
      </c>
      <c r="BF52" s="39">
        <v>0.5</v>
      </c>
      <c r="BG52" s="39">
        <v>0</v>
      </c>
      <c r="BH52" s="39">
        <v>0</v>
      </c>
      <c r="BI52" s="39" t="s">
        <v>1131</v>
      </c>
      <c r="BJ52" s="39">
        <v>0</v>
      </c>
      <c r="BK52" s="39">
        <v>0</v>
      </c>
      <c r="BL52" s="39">
        <v>0</v>
      </c>
    </row>
    <row r="53" spans="1:64" x14ac:dyDescent="0.25">
      <c r="A53" t="s">
        <v>171</v>
      </c>
      <c r="B53" s="39">
        <v>1</v>
      </c>
      <c r="C53" s="39">
        <v>1</v>
      </c>
      <c r="D53" s="39">
        <v>0</v>
      </c>
      <c r="E53" s="39">
        <v>5</v>
      </c>
      <c r="F53" s="39">
        <v>0</v>
      </c>
      <c r="G53" s="39">
        <v>0</v>
      </c>
      <c r="H53" s="40">
        <f>AVERAGE(65.2,57.2,43.4)</f>
        <v>55.266666666666673</v>
      </c>
      <c r="I53" s="41">
        <f>AVERAGE(31.29%,20.98%,15.21%)</f>
        <v>0.22493333333333335</v>
      </c>
      <c r="J53" s="39">
        <v>1.86</v>
      </c>
      <c r="K53" s="39" t="s">
        <v>942</v>
      </c>
      <c r="L53" s="39">
        <v>1</v>
      </c>
      <c r="M53" s="39">
        <v>0</v>
      </c>
      <c r="N53" s="4" t="s">
        <v>955</v>
      </c>
      <c r="O53" s="4">
        <v>0</v>
      </c>
      <c r="P53" s="4">
        <v>0</v>
      </c>
      <c r="Q53" s="4" t="s">
        <v>45</v>
      </c>
      <c r="R53" s="4" t="s">
        <v>45</v>
      </c>
      <c r="S53" s="4" t="s">
        <v>45</v>
      </c>
      <c r="T53" s="4" t="s">
        <v>45</v>
      </c>
      <c r="U53" s="4" t="s">
        <v>45</v>
      </c>
      <c r="V53" s="4" t="s">
        <v>45</v>
      </c>
      <c r="W53" s="4" t="s">
        <v>45</v>
      </c>
      <c r="X53" s="4" t="s">
        <v>45</v>
      </c>
      <c r="Y53" s="4" t="s">
        <v>45</v>
      </c>
      <c r="Z53" s="4">
        <v>0.85</v>
      </c>
      <c r="AA53" s="4" t="s">
        <v>993</v>
      </c>
      <c r="AB53" s="4" t="s">
        <v>996</v>
      </c>
      <c r="AC53" s="4" t="s">
        <v>1108</v>
      </c>
      <c r="AD53" s="39">
        <v>1</v>
      </c>
      <c r="AE53" s="4">
        <v>0.65</v>
      </c>
      <c r="AF53" s="4" t="s">
        <v>1007</v>
      </c>
      <c r="AG53" s="4" t="s">
        <v>1013</v>
      </c>
      <c r="AH53" s="4" t="s">
        <v>966</v>
      </c>
      <c r="AI53" s="4">
        <v>1.2</v>
      </c>
      <c r="AJ53" s="4" t="s">
        <v>1016</v>
      </c>
      <c r="AK53" s="4">
        <v>0</v>
      </c>
      <c r="AL53" s="4" t="s">
        <v>1029</v>
      </c>
      <c r="AM53" s="4">
        <v>0</v>
      </c>
      <c r="AN53" s="4">
        <v>0.05</v>
      </c>
      <c r="AO53" s="4">
        <v>0.3</v>
      </c>
      <c r="AP53" s="4" t="s">
        <v>45</v>
      </c>
      <c r="AQ53" s="4">
        <v>0</v>
      </c>
      <c r="AR53" s="4" t="s">
        <v>1059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1</v>
      </c>
      <c r="BB53" s="4">
        <v>1</v>
      </c>
      <c r="BC53" s="4">
        <v>0</v>
      </c>
      <c r="BD53" s="4">
        <v>0</v>
      </c>
      <c r="BE53" s="4">
        <v>1</v>
      </c>
      <c r="BF53" s="39">
        <v>0.25</v>
      </c>
      <c r="BG53" s="39">
        <v>0.1</v>
      </c>
      <c r="BH53" s="39">
        <v>2.5000000000000001E-2</v>
      </c>
      <c r="BI53" s="39" t="s">
        <v>1125</v>
      </c>
      <c r="BJ53" s="39">
        <v>0</v>
      </c>
      <c r="BK53" s="39">
        <v>0</v>
      </c>
      <c r="BL53" s="39">
        <v>0</v>
      </c>
    </row>
    <row r="54" spans="1:64" x14ac:dyDescent="0.25">
      <c r="A54" t="s">
        <v>672</v>
      </c>
      <c r="B54" s="39">
        <v>0</v>
      </c>
      <c r="C54" s="39">
        <v>1</v>
      </c>
      <c r="D54" s="39">
        <v>0</v>
      </c>
      <c r="E54" s="39">
        <v>11</v>
      </c>
      <c r="F54" s="39">
        <v>0</v>
      </c>
      <c r="G54" s="39">
        <v>0</v>
      </c>
      <c r="H54" s="40">
        <v>267</v>
      </c>
      <c r="I54" s="41">
        <f>H54/1000/54</f>
        <v>4.9444444444444449E-3</v>
      </c>
      <c r="J54" s="39">
        <v>2.7</v>
      </c>
      <c r="K54" s="39">
        <v>0.32</v>
      </c>
      <c r="L54" s="39">
        <v>1</v>
      </c>
      <c r="M54" s="39">
        <v>0</v>
      </c>
      <c r="N54" s="4" t="s">
        <v>956</v>
      </c>
      <c r="O54" s="4">
        <v>0</v>
      </c>
      <c r="P54" s="4">
        <v>0</v>
      </c>
      <c r="Q54" s="4" t="s">
        <v>45</v>
      </c>
      <c r="R54" s="4" t="s">
        <v>45</v>
      </c>
      <c r="S54" s="4" t="s">
        <v>45</v>
      </c>
      <c r="T54" s="4" t="s">
        <v>45</v>
      </c>
      <c r="U54" s="4" t="s">
        <v>45</v>
      </c>
      <c r="V54" s="4" t="s">
        <v>45</v>
      </c>
      <c r="W54" s="4" t="s">
        <v>45</v>
      </c>
      <c r="X54" s="4" t="s">
        <v>45</v>
      </c>
      <c r="Y54" s="4" t="s">
        <v>45</v>
      </c>
      <c r="Z54" s="4">
        <v>1</v>
      </c>
      <c r="AA54" s="4" t="s">
        <v>992</v>
      </c>
      <c r="AB54" s="4" t="s">
        <v>1000</v>
      </c>
      <c r="AC54" s="4" t="s">
        <v>1108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1019</v>
      </c>
      <c r="AK54" s="4">
        <v>0</v>
      </c>
      <c r="AL54" s="4" t="s">
        <v>672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685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39">
        <v>0.25</v>
      </c>
      <c r="BG54" s="39">
        <v>0</v>
      </c>
      <c r="BH54" s="39">
        <v>0</v>
      </c>
      <c r="BI54" s="39" t="s">
        <v>1127</v>
      </c>
      <c r="BJ54" s="39">
        <v>0</v>
      </c>
      <c r="BK54" s="39">
        <v>0</v>
      </c>
      <c r="BL54" s="39">
        <v>0</v>
      </c>
    </row>
    <row r="55" spans="1:64" s="16" customFormat="1" x14ac:dyDescent="0.25">
      <c r="A55" s="16" t="s">
        <v>1110</v>
      </c>
      <c r="B55" s="39">
        <v>2</v>
      </c>
      <c r="C55" s="39">
        <v>1.5</v>
      </c>
      <c r="D55" s="39">
        <v>0</v>
      </c>
      <c r="E55" s="39">
        <v>1</v>
      </c>
      <c r="F55" s="39">
        <v>0</v>
      </c>
      <c r="G55" s="39">
        <v>0</v>
      </c>
      <c r="H55" s="40">
        <v>21</v>
      </c>
      <c r="I55" s="41">
        <v>0.85</v>
      </c>
      <c r="J55" s="39">
        <v>1.0900000000000001</v>
      </c>
      <c r="K55" s="39" t="s">
        <v>942</v>
      </c>
      <c r="L55" s="39">
        <v>0</v>
      </c>
      <c r="M55" s="39">
        <v>0</v>
      </c>
      <c r="N55" s="4" t="s">
        <v>174</v>
      </c>
      <c r="O55" s="4">
        <v>0</v>
      </c>
      <c r="P55" s="4">
        <v>0</v>
      </c>
      <c r="Q55" s="4" t="s">
        <v>45</v>
      </c>
      <c r="R55" s="4" t="s">
        <v>45</v>
      </c>
      <c r="S55" s="4" t="s">
        <v>45</v>
      </c>
      <c r="T55" s="4" t="s">
        <v>45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>
        <v>0.8</v>
      </c>
      <c r="AA55" s="4" t="s">
        <v>992</v>
      </c>
      <c r="AB55" s="4" t="s">
        <v>1001</v>
      </c>
      <c r="AC55" s="4" t="s">
        <v>1109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1017</v>
      </c>
      <c r="AK55" s="4">
        <v>0</v>
      </c>
      <c r="AL55" s="4" t="s">
        <v>174</v>
      </c>
      <c r="AM55" s="4">
        <v>0</v>
      </c>
      <c r="AN55" s="4">
        <v>0.1</v>
      </c>
      <c r="AO55" s="4">
        <v>0.3</v>
      </c>
      <c r="AP55" s="4" t="s">
        <v>45</v>
      </c>
      <c r="AQ55" s="4">
        <v>0</v>
      </c>
      <c r="AR55" s="4" t="s">
        <v>685</v>
      </c>
      <c r="AS55" s="4">
        <v>1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1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39">
        <v>0.5</v>
      </c>
      <c r="BG55" s="39">
        <v>0.1</v>
      </c>
      <c r="BH55" s="39">
        <v>2.5000000000000001E-2</v>
      </c>
      <c r="BI55" s="39" t="s">
        <v>1132</v>
      </c>
      <c r="BJ55" s="39">
        <v>0</v>
      </c>
      <c r="BK55" s="39">
        <v>0</v>
      </c>
      <c r="BL55" s="39">
        <v>0</v>
      </c>
    </row>
    <row r="56" spans="1:64" x14ac:dyDescent="0.25">
      <c r="A56" t="s">
        <v>174</v>
      </c>
      <c r="B56" s="39">
        <v>2</v>
      </c>
      <c r="C56" s="39">
        <v>1.5</v>
      </c>
      <c r="D56" s="39">
        <v>0</v>
      </c>
      <c r="E56" s="39">
        <v>1</v>
      </c>
      <c r="F56" s="39">
        <v>0</v>
      </c>
      <c r="G56" s="39">
        <v>0</v>
      </c>
      <c r="H56" s="40">
        <v>21</v>
      </c>
      <c r="I56" s="41">
        <v>0.85</v>
      </c>
      <c r="J56" s="39">
        <v>1.0900000000000001</v>
      </c>
      <c r="K56" s="39" t="s">
        <v>942</v>
      </c>
      <c r="L56" s="39">
        <v>0</v>
      </c>
      <c r="M56" s="39">
        <v>0</v>
      </c>
      <c r="N56" s="4" t="s">
        <v>174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</v>
      </c>
      <c r="AA56" s="4" t="s">
        <v>992</v>
      </c>
      <c r="AB56" s="4" t="s">
        <v>1001</v>
      </c>
      <c r="AC56" s="4" t="s">
        <v>1108</v>
      </c>
      <c r="AD56" s="39">
        <v>0</v>
      </c>
      <c r="AE56" s="4" t="s">
        <v>45</v>
      </c>
      <c r="AF56" s="4" t="s">
        <v>45</v>
      </c>
      <c r="AG56" s="4" t="s">
        <v>45</v>
      </c>
      <c r="AH56" s="4" t="s">
        <v>45</v>
      </c>
      <c r="AI56" s="4">
        <v>1</v>
      </c>
      <c r="AJ56" s="4" t="s">
        <v>1017</v>
      </c>
      <c r="AK56" s="4">
        <v>0</v>
      </c>
      <c r="AL56" s="4" t="s">
        <v>174</v>
      </c>
      <c r="AM56" s="4">
        <v>0</v>
      </c>
      <c r="AN56" s="4">
        <v>0.1</v>
      </c>
      <c r="AO56" s="4">
        <v>0.3</v>
      </c>
      <c r="AP56" s="4" t="s">
        <v>45</v>
      </c>
      <c r="AQ56" s="4">
        <v>0</v>
      </c>
      <c r="AR56" s="4" t="s">
        <v>685</v>
      </c>
      <c r="AS56" s="4">
        <v>1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1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39">
        <v>0.5</v>
      </c>
      <c r="BG56" s="39">
        <v>0.1</v>
      </c>
      <c r="BH56" s="39">
        <v>2.5000000000000001E-2</v>
      </c>
      <c r="BI56" s="39" t="s">
        <v>1132</v>
      </c>
      <c r="BJ56" s="39">
        <v>0</v>
      </c>
      <c r="BK56" s="39">
        <v>0</v>
      </c>
      <c r="BL56" s="39">
        <v>0</v>
      </c>
    </row>
    <row r="57" spans="1:64" x14ac:dyDescent="0.25">
      <c r="A57" t="s">
        <v>117</v>
      </c>
      <c r="B57" s="39">
        <v>2</v>
      </c>
      <c r="C57" s="39">
        <v>2</v>
      </c>
      <c r="D57" s="39">
        <v>0</v>
      </c>
      <c r="E57" s="39">
        <v>5</v>
      </c>
      <c r="F57" s="39">
        <v>2</v>
      </c>
      <c r="G57" s="39">
        <v>0</v>
      </c>
      <c r="H57" s="40">
        <v>200</v>
      </c>
      <c r="I57" s="41">
        <v>0.2</v>
      </c>
      <c r="J57" s="39">
        <v>1.0900000000000001</v>
      </c>
      <c r="K57" s="39" t="s">
        <v>942</v>
      </c>
      <c r="L57" s="39">
        <v>1</v>
      </c>
      <c r="M57" s="39">
        <v>0</v>
      </c>
      <c r="N57" s="4" t="s">
        <v>45</v>
      </c>
      <c r="O57" s="4">
        <v>0</v>
      </c>
      <c r="P57" s="4">
        <v>1</v>
      </c>
      <c r="Q57" s="4">
        <v>0.9</v>
      </c>
      <c r="R57" s="4" t="s">
        <v>968</v>
      </c>
      <c r="S57" s="4" t="s">
        <v>970</v>
      </c>
      <c r="T57" s="4" t="s">
        <v>969</v>
      </c>
      <c r="U57" s="4">
        <v>2</v>
      </c>
      <c r="V57" s="4">
        <v>0.6</v>
      </c>
      <c r="W57" s="4" t="s">
        <v>983</v>
      </c>
      <c r="X57" s="4" t="s">
        <v>984</v>
      </c>
      <c r="Y57" s="4" t="s">
        <v>966</v>
      </c>
      <c r="Z57" s="4" t="s">
        <v>45</v>
      </c>
      <c r="AA57" s="4" t="s">
        <v>993</v>
      </c>
      <c r="AB57" s="4" t="s">
        <v>996</v>
      </c>
      <c r="AC57" s="4" t="s">
        <v>1108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1.5</v>
      </c>
      <c r="AJ57" s="4" t="s">
        <v>1016</v>
      </c>
      <c r="AK57" s="4">
        <v>0</v>
      </c>
      <c r="AL57" s="4" t="s">
        <v>1034</v>
      </c>
      <c r="AM57" s="4">
        <v>0</v>
      </c>
      <c r="AN57" s="4">
        <v>0</v>
      </c>
      <c r="AO57" s="4">
        <v>1</v>
      </c>
      <c r="AP57" s="4" t="s">
        <v>45</v>
      </c>
      <c r="AQ57" s="4">
        <v>0</v>
      </c>
      <c r="AR57" s="4" t="s">
        <v>1057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1</v>
      </c>
      <c r="BB57" s="4">
        <v>1</v>
      </c>
      <c r="BC57" s="4">
        <v>0</v>
      </c>
      <c r="BD57" s="4">
        <v>0</v>
      </c>
      <c r="BE57" s="4">
        <v>0</v>
      </c>
      <c r="BF57" s="39">
        <v>0.7</v>
      </c>
      <c r="BG57" s="39">
        <v>0.15</v>
      </c>
      <c r="BH57" s="39">
        <v>0.05</v>
      </c>
      <c r="BI57" s="39" t="s">
        <v>1131</v>
      </c>
      <c r="BJ57" s="39">
        <v>0</v>
      </c>
      <c r="BK57" s="39">
        <v>1</v>
      </c>
      <c r="BL57" s="39">
        <v>0</v>
      </c>
    </row>
    <row r="58" spans="1:64" x14ac:dyDescent="0.25">
      <c r="A58" t="s">
        <v>177</v>
      </c>
      <c r="B58" s="39">
        <v>1</v>
      </c>
      <c r="C58" s="39">
        <v>1.3</v>
      </c>
      <c r="D58" s="39">
        <v>1</v>
      </c>
      <c r="E58" s="39">
        <v>1</v>
      </c>
      <c r="F58" s="39">
        <v>0</v>
      </c>
      <c r="G58" s="39">
        <v>0</v>
      </c>
      <c r="H58" s="40">
        <v>165.1</v>
      </c>
      <c r="I58" s="41">
        <f>H58/AVERAGE(985,530,315,500,256,230)</f>
        <v>0.35177556818181821</v>
      </c>
      <c r="J58" s="39">
        <f>AVERAGE(1.52,1.47,1)</f>
        <v>1.33</v>
      </c>
      <c r="K58" s="39">
        <v>0.32</v>
      </c>
      <c r="L58" s="39">
        <v>1</v>
      </c>
      <c r="M58" s="39">
        <v>0</v>
      </c>
      <c r="N58" s="4" t="s">
        <v>956</v>
      </c>
      <c r="O58" s="4">
        <v>1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1</v>
      </c>
      <c r="AA58" s="4" t="s">
        <v>991</v>
      </c>
      <c r="AB58" s="4" t="s">
        <v>995</v>
      </c>
      <c r="AC58" s="4" t="s">
        <v>1108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1017</v>
      </c>
      <c r="AK58" s="4">
        <v>0</v>
      </c>
      <c r="AL58" s="4" t="s">
        <v>1133</v>
      </c>
      <c r="AM58" s="4">
        <v>0</v>
      </c>
      <c r="AN58" s="4">
        <v>0</v>
      </c>
      <c r="AO58" s="4">
        <v>0</v>
      </c>
      <c r="AP58" s="4" t="s">
        <v>45</v>
      </c>
      <c r="AQ58" s="4">
        <v>0</v>
      </c>
      <c r="AR58" s="4" t="s">
        <v>685</v>
      </c>
      <c r="AS58" s="4">
        <v>0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1</v>
      </c>
      <c r="BC58" s="4">
        <v>0</v>
      </c>
      <c r="BD58" s="4">
        <v>0</v>
      </c>
      <c r="BE58" s="4">
        <v>1</v>
      </c>
      <c r="BF58" s="39">
        <v>0.25</v>
      </c>
      <c r="BG58" s="39">
        <v>0</v>
      </c>
      <c r="BH58" s="39">
        <v>0</v>
      </c>
      <c r="BI58" s="39" t="s">
        <v>1127</v>
      </c>
      <c r="BJ58" s="39">
        <v>0</v>
      </c>
      <c r="BK58" s="39">
        <v>0</v>
      </c>
      <c r="BL58" s="39">
        <v>0</v>
      </c>
    </row>
    <row r="59" spans="1:64" x14ac:dyDescent="0.25">
      <c r="A59" t="s">
        <v>181</v>
      </c>
      <c r="B59" s="39">
        <v>1</v>
      </c>
      <c r="C59" s="39">
        <v>1.1000000000000001</v>
      </c>
      <c r="D59" s="39">
        <v>0</v>
      </c>
      <c r="E59" s="39">
        <v>1</v>
      </c>
      <c r="F59" s="39">
        <v>1</v>
      </c>
      <c r="G59" s="39">
        <v>0</v>
      </c>
      <c r="H59" s="40">
        <f>MAX(21.6,12,10,13.1)</f>
        <v>21.6</v>
      </c>
      <c r="I59" s="41">
        <f>MAX(0.54,1.5,1.5,0.86)</f>
        <v>1.5</v>
      </c>
      <c r="J59" s="39">
        <v>1.0900000000000001</v>
      </c>
      <c r="K59" s="42">
        <f>AVERAGE(0.13,0.106,0.134,0.129)</f>
        <v>0.12475</v>
      </c>
      <c r="L59" s="39">
        <v>0</v>
      </c>
      <c r="M59" s="39">
        <v>0</v>
      </c>
      <c r="N59" s="4" t="s">
        <v>953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0.85</v>
      </c>
      <c r="AA59" s="4" t="s">
        <v>993</v>
      </c>
      <c r="AB59" s="4" t="s">
        <v>997</v>
      </c>
      <c r="AC59" s="4" t="s">
        <v>1108</v>
      </c>
      <c r="AD59" s="39">
        <v>1</v>
      </c>
      <c r="AE59" s="4">
        <v>0.65</v>
      </c>
      <c r="AF59" s="4" t="s">
        <v>1007</v>
      </c>
      <c r="AG59" s="4" t="s">
        <v>1013</v>
      </c>
      <c r="AH59" s="4" t="s">
        <v>966</v>
      </c>
      <c r="AI59" s="4">
        <v>1.2</v>
      </c>
      <c r="AJ59" s="4" t="s">
        <v>1016</v>
      </c>
      <c r="AK59" s="4">
        <v>0</v>
      </c>
      <c r="AL59" s="4" t="s">
        <v>1027</v>
      </c>
      <c r="AM59" s="4">
        <v>1</v>
      </c>
      <c r="AN59" s="4">
        <v>0.1</v>
      </c>
      <c r="AO59" s="4">
        <v>0.3</v>
      </c>
      <c r="AP59" s="4">
        <v>0.5</v>
      </c>
      <c r="AQ59" s="4">
        <v>0</v>
      </c>
      <c r="AR59" s="4" t="s">
        <v>1057</v>
      </c>
      <c r="AS59" s="4">
        <v>1</v>
      </c>
      <c r="AT59" s="4">
        <v>1</v>
      </c>
      <c r="AU59" s="4">
        <v>0</v>
      </c>
      <c r="AV59" s="4" t="s">
        <v>45</v>
      </c>
      <c r="AW59" s="4">
        <v>0</v>
      </c>
      <c r="AX59" s="4">
        <v>0</v>
      </c>
      <c r="AY59" s="4">
        <v>2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39">
        <v>0.7</v>
      </c>
      <c r="BG59" s="39">
        <v>0.15</v>
      </c>
      <c r="BH59" s="39">
        <v>2.5000000000000001E-2</v>
      </c>
      <c r="BI59" s="39" t="s">
        <v>1125</v>
      </c>
      <c r="BJ59" s="39">
        <v>0</v>
      </c>
      <c r="BK59" s="39">
        <v>0</v>
      </c>
      <c r="BL59" s="39">
        <v>0</v>
      </c>
    </row>
    <row r="60" spans="1:64" s="16" customFormat="1" x14ac:dyDescent="0.25">
      <c r="A60" s="16" t="s">
        <v>1026</v>
      </c>
      <c r="B60" s="39">
        <v>1</v>
      </c>
      <c r="C60" s="39">
        <v>1.1000000000000001</v>
      </c>
      <c r="D60" s="39">
        <v>0</v>
      </c>
      <c r="E60" s="39">
        <v>1</v>
      </c>
      <c r="F60" s="39">
        <v>1</v>
      </c>
      <c r="G60" s="39">
        <v>0</v>
      </c>
      <c r="H60" s="40">
        <f>MAX(21.6,12,10,13.1)</f>
        <v>21.6</v>
      </c>
      <c r="I60" s="41">
        <f>MAX(0.54,1.5,1.5,0.86)</f>
        <v>1.5</v>
      </c>
      <c r="J60" s="39">
        <v>1.0900000000000001</v>
      </c>
      <c r="K60" s="42">
        <f>AVERAGE(0.13,0.106,0.134,0.129)</f>
        <v>0.12475</v>
      </c>
      <c r="L60" s="39">
        <v>0</v>
      </c>
      <c r="M60" s="39">
        <v>0</v>
      </c>
      <c r="N60" s="4" t="s">
        <v>953</v>
      </c>
      <c r="O60" s="4">
        <v>0</v>
      </c>
      <c r="P60" s="4">
        <v>0</v>
      </c>
      <c r="Q60" s="4" t="s">
        <v>45</v>
      </c>
      <c r="R60" s="4" t="s">
        <v>45</v>
      </c>
      <c r="S60" s="4" t="s">
        <v>45</v>
      </c>
      <c r="T60" s="4" t="s">
        <v>45</v>
      </c>
      <c r="U60" s="4" t="s">
        <v>45</v>
      </c>
      <c r="V60" s="4" t="s">
        <v>45</v>
      </c>
      <c r="W60" s="4" t="s">
        <v>45</v>
      </c>
      <c r="X60" s="4" t="s">
        <v>45</v>
      </c>
      <c r="Y60" s="4" t="s">
        <v>45</v>
      </c>
      <c r="Z60" s="4">
        <v>0.85</v>
      </c>
      <c r="AA60" s="4" t="s">
        <v>993</v>
      </c>
      <c r="AB60" s="4" t="s">
        <v>997</v>
      </c>
      <c r="AC60" s="4" t="s">
        <v>1108</v>
      </c>
      <c r="AD60" s="39">
        <v>1</v>
      </c>
      <c r="AE60" s="4">
        <v>0.65</v>
      </c>
      <c r="AF60" s="4" t="s">
        <v>1007</v>
      </c>
      <c r="AG60" s="4" t="s">
        <v>1013</v>
      </c>
      <c r="AH60" s="4" t="s">
        <v>966</v>
      </c>
      <c r="AI60" s="4">
        <v>1.2</v>
      </c>
      <c r="AJ60" s="4" t="s">
        <v>1016</v>
      </c>
      <c r="AK60" s="4">
        <v>0</v>
      </c>
      <c r="AL60" s="4" t="s">
        <v>1029</v>
      </c>
      <c r="AM60" s="4">
        <v>1</v>
      </c>
      <c r="AN60" s="4">
        <v>0</v>
      </c>
      <c r="AO60" s="4">
        <v>0</v>
      </c>
      <c r="AP60" s="4">
        <v>0.5</v>
      </c>
      <c r="AQ60" s="4">
        <v>0</v>
      </c>
      <c r="AR60" s="4" t="s">
        <v>1057</v>
      </c>
      <c r="AS60" s="4">
        <v>0</v>
      </c>
      <c r="AT60" s="4">
        <v>1</v>
      </c>
      <c r="AU60" s="4">
        <v>0</v>
      </c>
      <c r="AV60" s="4" t="s">
        <v>45</v>
      </c>
      <c r="AW60" s="4">
        <v>0</v>
      </c>
      <c r="AX60" s="4">
        <v>0</v>
      </c>
      <c r="AY60" s="4">
        <v>1</v>
      </c>
      <c r="AZ60" s="4">
        <v>0</v>
      </c>
      <c r="BA60" s="4">
        <v>1</v>
      </c>
      <c r="BB60" s="4">
        <v>0</v>
      </c>
      <c r="BC60" s="4">
        <v>0</v>
      </c>
      <c r="BD60" s="4">
        <v>0</v>
      </c>
      <c r="BE60" s="4">
        <v>0</v>
      </c>
      <c r="BF60" s="39">
        <v>0.7</v>
      </c>
      <c r="BG60" s="39">
        <v>0.1</v>
      </c>
      <c r="BH60" s="39">
        <v>2.5000000000000001E-2</v>
      </c>
      <c r="BI60" s="39" t="s">
        <v>1125</v>
      </c>
      <c r="BJ60" s="39">
        <v>0</v>
      </c>
      <c r="BK60" s="39">
        <v>0</v>
      </c>
      <c r="BL60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U166"/>
  <sheetViews>
    <sheetView topLeftCell="A97" zoomScaleNormal="100" workbookViewId="0">
      <pane xSplit="1" topLeftCell="B1" activePane="topRight" state="frozen"/>
      <selection pane="topRight" activeCell="C123" sqref="C123"/>
    </sheetView>
  </sheetViews>
  <sheetFormatPr defaultColWidth="12.85546875" defaultRowHeight="15" x14ac:dyDescent="0.25"/>
  <cols>
    <col min="1" max="1" width="20" style="5" bestFit="1" customWidth="1"/>
    <col min="2" max="2" width="33.140625" style="12" bestFit="1" customWidth="1"/>
    <col min="3" max="3" width="14.28515625" style="7" bestFit="1" customWidth="1"/>
    <col min="4" max="4" width="16.140625" style="7" customWidth="1"/>
    <col min="5" max="5" width="33.28515625" style="7" bestFit="1" customWidth="1"/>
    <col min="6" max="6" width="15.710937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9.5703125" style="7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570312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23.85546875" style="4" bestFit="1" customWidth="1"/>
    <col min="27" max="27" width="36.42578125" style="4" bestFit="1" customWidth="1"/>
    <col min="28" max="28" width="35.5703125" style="4" bestFit="1" customWidth="1"/>
    <col min="29" max="29" width="16.7109375" style="4" bestFit="1" customWidth="1"/>
    <col min="30" max="30" width="14.5703125" style="4" bestFit="1" customWidth="1"/>
    <col min="31" max="31" width="22.28515625" style="4" bestFit="1" customWidth="1"/>
    <col min="32" max="32" width="12.7109375" bestFit="1" customWidth="1"/>
    <col min="33" max="33" width="8.85546875" style="16" bestFit="1" customWidth="1"/>
    <col min="34" max="34" width="10.85546875" style="16" bestFit="1" customWidth="1"/>
    <col min="35" max="35" width="15.5703125" bestFit="1" customWidth="1"/>
    <col min="36" max="36" width="6.42578125" style="16" bestFit="1" customWidth="1"/>
    <col min="37" max="37" width="23.28515625" style="7" bestFit="1" customWidth="1"/>
    <col min="38" max="38" width="23.42578125" style="4" bestFit="1" customWidth="1"/>
    <col min="39" max="39" width="13.5703125" style="2" bestFit="1" customWidth="1"/>
    <col min="40" max="40" width="19" style="2" bestFit="1" customWidth="1"/>
    <col min="41" max="41" width="26.7109375" style="2" bestFit="1" customWidth="1"/>
    <col min="42" max="42" width="28.5703125" style="2" bestFit="1" customWidth="1"/>
    <col min="43" max="43" width="22.28515625" style="2" bestFit="1" customWidth="1"/>
    <col min="44" max="44" width="33.42578125" style="2" bestFit="1" customWidth="1"/>
    <col min="45" max="45" width="14" style="46" bestFit="1" customWidth="1"/>
    <col min="46" max="46" width="25" style="2" bestFit="1" customWidth="1"/>
    <col min="47" max="47" width="20.85546875" style="2" bestFit="1" customWidth="1"/>
    <col min="48" max="48" width="20" style="2" bestFit="1" customWidth="1"/>
    <col min="49" max="49" width="19.7109375" style="2" bestFit="1" customWidth="1"/>
    <col min="50" max="50" width="22.85546875" style="2" bestFit="1" customWidth="1"/>
    <col min="51" max="51" width="11.85546875" style="2" bestFit="1" customWidth="1"/>
    <col min="52" max="52" width="12.42578125" style="2" bestFit="1" customWidth="1"/>
    <col min="53" max="53" width="12.7109375" style="2" bestFit="1" customWidth="1"/>
    <col min="54" max="54" width="12.5703125" style="2" bestFit="1" customWidth="1"/>
    <col min="55" max="55" width="14.7109375" style="2" bestFit="1" customWidth="1"/>
    <col min="56" max="56" width="18.5703125" style="2" bestFit="1" customWidth="1"/>
    <col min="57" max="57" width="15.5703125" style="2" bestFit="1" customWidth="1"/>
    <col min="58" max="58" width="19.42578125" style="2" bestFit="1" customWidth="1"/>
    <col min="59" max="59" width="13.7109375" style="2" bestFit="1" customWidth="1"/>
    <col min="60" max="60" width="14.5703125" style="2" bestFit="1" customWidth="1"/>
    <col min="61" max="61" width="18.140625" style="2" bestFit="1" customWidth="1"/>
    <col min="62" max="62" width="19.42578125" style="2" bestFit="1" customWidth="1"/>
    <col min="63" max="63" width="13.7109375" style="2" bestFit="1" customWidth="1"/>
    <col min="64" max="64" width="20.140625" style="2" bestFit="1" customWidth="1"/>
    <col min="65" max="65" width="29.85546875" style="2" bestFit="1" customWidth="1"/>
    <col min="66" max="66" width="30" style="2" bestFit="1" customWidth="1"/>
    <col min="67" max="67" width="24.140625" style="2" bestFit="1" customWidth="1"/>
    <col min="68" max="68" width="22.85546875" style="2" bestFit="1" customWidth="1"/>
    <col min="69" max="69" width="25.140625" style="2" bestFit="1" customWidth="1"/>
    <col min="70" max="70" width="25.28515625" style="2" bestFit="1" customWidth="1"/>
    <col min="71" max="71" width="18" style="2" bestFit="1" customWidth="1"/>
    <col min="72" max="72" width="20.85546875" style="4" bestFit="1" customWidth="1"/>
    <col min="73" max="73" width="23.140625" style="4" bestFit="1" customWidth="1"/>
  </cols>
  <sheetData>
    <row r="1" spans="1:73" x14ac:dyDescent="0.25">
      <c r="A1" s="36" t="s">
        <v>0</v>
      </c>
      <c r="B1" s="32" t="s">
        <v>241</v>
      </c>
      <c r="C1" s="38" t="s">
        <v>240</v>
      </c>
      <c r="D1" s="38" t="s">
        <v>242</v>
      </c>
      <c r="E1" s="38" t="s">
        <v>36</v>
      </c>
      <c r="F1" s="38" t="s">
        <v>507</v>
      </c>
      <c r="G1" s="38" t="s">
        <v>508</v>
      </c>
      <c r="H1" s="38" t="s">
        <v>21</v>
      </c>
      <c r="I1" s="29" t="s">
        <v>1157</v>
      </c>
      <c r="J1" s="38" t="s">
        <v>22</v>
      </c>
      <c r="K1" s="38" t="s">
        <v>242</v>
      </c>
      <c r="L1" s="38" t="s">
        <v>637</v>
      </c>
      <c r="M1" s="38" t="s">
        <v>242</v>
      </c>
      <c r="N1" s="29" t="s">
        <v>1096</v>
      </c>
      <c r="O1" s="29" t="s">
        <v>1095</v>
      </c>
      <c r="P1" s="29" t="s">
        <v>933</v>
      </c>
      <c r="Q1" s="29" t="s">
        <v>934</v>
      </c>
      <c r="R1" s="29" t="s">
        <v>946</v>
      </c>
      <c r="S1" s="29" t="s">
        <v>958</v>
      </c>
      <c r="T1" s="29" t="s">
        <v>1033</v>
      </c>
      <c r="U1" s="29" t="s">
        <v>259</v>
      </c>
      <c r="V1" s="29" t="s">
        <v>258</v>
      </c>
      <c r="W1" s="29" t="s">
        <v>260</v>
      </c>
      <c r="X1" s="29" t="s">
        <v>664</v>
      </c>
      <c r="Y1" s="43" t="s">
        <v>37</v>
      </c>
      <c r="Z1" s="29" t="s">
        <v>1050</v>
      </c>
      <c r="AA1" s="29" t="s">
        <v>1052</v>
      </c>
      <c r="AB1" s="29" t="s">
        <v>1053</v>
      </c>
      <c r="AC1" s="4" t="s">
        <v>1081</v>
      </c>
      <c r="AD1" s="29" t="s">
        <v>319</v>
      </c>
      <c r="AE1" s="29" t="s">
        <v>674</v>
      </c>
      <c r="AF1" s="29" t="s">
        <v>1093</v>
      </c>
      <c r="AG1" s="29" t="s">
        <v>1092</v>
      </c>
      <c r="AH1" s="29" t="s">
        <v>1094</v>
      </c>
      <c r="AI1" s="29" t="s">
        <v>932</v>
      </c>
      <c r="AJ1" s="29" t="s">
        <v>1141</v>
      </c>
      <c r="AK1" s="38" t="s">
        <v>634</v>
      </c>
      <c r="AL1" s="30" t="s">
        <v>250</v>
      </c>
      <c r="AM1" s="30" t="s">
        <v>304</v>
      </c>
      <c r="AN1" s="30" t="s">
        <v>305</v>
      </c>
      <c r="AO1" s="30" t="s">
        <v>33</v>
      </c>
      <c r="AP1" s="30" t="s">
        <v>34</v>
      </c>
      <c r="AQ1" s="30" t="s">
        <v>35</v>
      </c>
      <c r="AR1" s="30" t="s">
        <v>1139</v>
      </c>
      <c r="AS1" s="45" t="s">
        <v>1099</v>
      </c>
      <c r="AT1" s="30" t="s">
        <v>1100</v>
      </c>
      <c r="AU1" s="30" t="s">
        <v>1105</v>
      </c>
      <c r="AV1" s="30" t="s">
        <v>1106</v>
      </c>
      <c r="AW1" s="30" t="s">
        <v>1107</v>
      </c>
      <c r="AX1" s="30" t="s">
        <v>1140</v>
      </c>
      <c r="AY1" s="30" t="s">
        <v>1147</v>
      </c>
      <c r="AZ1" s="30" t="s">
        <v>1151</v>
      </c>
      <c r="BA1" s="30" t="s">
        <v>1146</v>
      </c>
      <c r="BB1" s="30" t="s">
        <v>1117</v>
      </c>
      <c r="BC1" s="30" t="s">
        <v>1120</v>
      </c>
      <c r="BD1" s="30" t="s">
        <v>252</v>
      </c>
      <c r="BE1" s="30" t="s">
        <v>243</v>
      </c>
      <c r="BF1" s="30" t="s">
        <v>277</v>
      </c>
      <c r="BG1" s="30" t="s">
        <v>251</v>
      </c>
      <c r="BH1" s="30" t="s">
        <v>1112</v>
      </c>
      <c r="BI1" s="30" t="s">
        <v>1116</v>
      </c>
      <c r="BJ1" s="30" t="s">
        <v>1114</v>
      </c>
      <c r="BK1" s="30" t="s">
        <v>1118</v>
      </c>
      <c r="BL1" s="30" t="s">
        <v>1119</v>
      </c>
      <c r="BM1" s="30" t="s">
        <v>265</v>
      </c>
      <c r="BN1" s="30" t="s">
        <v>261</v>
      </c>
      <c r="BO1" s="30" t="s">
        <v>270</v>
      </c>
      <c r="BP1" s="30" t="s">
        <v>264</v>
      </c>
      <c r="BQ1" s="30" t="s">
        <v>266</v>
      </c>
      <c r="BR1" s="30" t="s">
        <v>263</v>
      </c>
      <c r="BS1" s="30" t="s">
        <v>262</v>
      </c>
      <c r="BT1" s="29" t="s">
        <v>1159</v>
      </c>
      <c r="BU1" s="29" t="s">
        <v>1158</v>
      </c>
    </row>
    <row r="2" spans="1:73" x14ac:dyDescent="0.25">
      <c r="A2" s="26" t="s">
        <v>178</v>
      </c>
      <c r="B2" s="6" t="s">
        <v>179</v>
      </c>
      <c r="C2" s="7">
        <f>AVERAGE(407.1,226.7)</f>
        <v>316.89999999999998</v>
      </c>
      <c r="D2" s="7" t="s">
        <v>939</v>
      </c>
      <c r="E2" s="7" t="str">
        <f>Groups!A59</f>
        <v>Ursid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509</v>
      </c>
      <c r="L2" s="7">
        <v>40</v>
      </c>
      <c r="M2" s="7" t="s">
        <v>638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_xlfn.XLOOKUP(B2,[1]TeethAdjusters!$A:$A,[1]BiteAdjusters!$C:$C)</f>
        <v>0.92926025227234477</v>
      </c>
      <c r="T2" s="7">
        <f>_xlfn.XLOOKUP(B2,[1]TeethAdjusters!$A:$A,[1]TeethAdjusters!$B:$B)</f>
        <v>0.83672459442041081</v>
      </c>
      <c r="U2" s="7">
        <f>MROUND(9.525,0.05)</f>
        <v>9.5500000000000007</v>
      </c>
      <c r="V2" s="7">
        <f>IF(AQ2="No","No",IF(_xlfn.XLOOKUP(E2,Groups!A:A,Groups!AM:AM)=1,MROUND(EXP(0.3582*LN(C2)-0.2221)*T2,0.05),IF(_xlfn.XLOOKUP(E2,Groups!A:A,Groups!AM:AM)=2,MROUND(EXP(0.3582*LN(C2)-0.2221)*T2,0.05),"Need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945</v>
      </c>
      <c r="Y2" s="4" t="s">
        <v>56</v>
      </c>
      <c r="Z2" s="4">
        <v>0</v>
      </c>
      <c r="AA2" s="4">
        <v>0</v>
      </c>
      <c r="AB2" s="4">
        <v>0</v>
      </c>
      <c r="AC2" s="4" t="s">
        <v>45</v>
      </c>
      <c r="AD2" s="4" t="s">
        <v>45</v>
      </c>
      <c r="AE2" s="28" t="s">
        <v>383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4" t="s">
        <v>40</v>
      </c>
      <c r="AL2" s="8">
        <f t="shared" ref="AL2:AL33" si="0">(0.111*C2^0.65)*10000</f>
        <v>46872.965874759968</v>
      </c>
      <c r="AM2" s="8">
        <f>IFERROR(C2*_xlfn.XLOOKUP(E2,Groups!A:A,Groups!K:K),0.106*C2^0.94)</f>
        <v>39.533274999999996</v>
      </c>
      <c r="AN2" s="8">
        <f>AM2*10000/(_xlfn.XLOOKUP(E2,Groups!A:A,Groups!J:J)*AL2)</f>
        <v>7.7377351648570594</v>
      </c>
      <c r="AO2" s="8">
        <f t="shared" ref="AO2:AO33" si="1">EXP(0.8447*LN(C2)+3.996)</f>
        <v>7046.440110974886</v>
      </c>
      <c r="AP2" s="8">
        <f>IF(_xlfn.XLOOKUP(E2,Groups!A:A,Groups!M:M)=1,EXP(0.7444*LN('Base stats'!C2)+6.5696),EXP(0.7927*LN('Base stats'!C2)+4.28))</f>
        <v>6938.4336807431037</v>
      </c>
      <c r="AQ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"No")))))))))))))))</f>
        <v>4713.6189296743614</v>
      </c>
      <c r="AR2" s="8">
        <f>IF(_xlfn.XLOOKUP(E2,Groups!A:A,Groups!U:U)=3,AP2,IF(_xlfn.XLOOKUP(E2,Groups!A:A,Groups!U:U)=2,AO2,AQ2))</f>
        <v>4713.6189296743614</v>
      </c>
      <c r="AS2" s="46">
        <f>IFERROR(AVERAGE(_xlfn.XLOOKUP(B2,Animals!B:B,Animals!M:M),_xlfn.XLOOKUP(B2,Animals!B:B,Animals!N:N)),0)</f>
        <v>0</v>
      </c>
      <c r="AT2" s="8">
        <f>MROUND(40*Animals!AN2*_xlfn.XLOOKUP(Animals!AZ2,Leathers!$A$2:$A$100,Leathers!$B$2:$B$100,0)+(140*_xlfn.XLOOKUP(B2,Animals!B:B,Animals!AN:AN)*2),5)</f>
        <v>990</v>
      </c>
      <c r="AU2" s="8">
        <f>IFERROR(ROUND(SQRT(V2-1)*IF(_xlfn.XLOOKUP(E2,Groups!A:A,Groups!BE:BE)=0,2,1)*IF(_xlfn.XLOOKUP('Base stats'!E2,Groups!A:A,Groups!O:O)=0,1,0.1),1),0)</f>
        <v>4.0999999999999996</v>
      </c>
      <c r="AV2" s="8">
        <f t="shared" ref="AV2:AV33" si="2">IFERROR(ROUND(SQRT(U2-1),1),0)</f>
        <v>2.9</v>
      </c>
      <c r="AW2" s="8">
        <f t="shared" ref="AW2:AW33" si="3">IFERROR(ROUND(SQRT(W2),1),0)</f>
        <v>0</v>
      </c>
      <c r="AX2" s="8">
        <f t="shared" ref="AX2:AX33" si="4">ROUND(
  EXP(0.3582*LN(C2)-0.2221) *
  (0.75 + 0.25*(C2^4/(C2^4+10^4))),
1)</f>
        <v>6.3</v>
      </c>
      <c r="AY2" s="8">
        <f>IF(_xlfn.XLOOKUP(E2,Groups!A:A,Groups!N:N)="Insect",BA2*2.5,IFERROR(AVERAGE(BA2,AQ2/9.81/IF(OR(_xlfn.XLOOKUP(E2,Groups!A:A,Groups!N:N)="Pig",_xlfn.XLOOKUP(E2,Groups!A:A,Groups!N:N)="StrongBitingHerbivore"),20,25))*C2^-0.135,BA2))</f>
        <v>5.4953225832400276</v>
      </c>
      <c r="AZ2" s="8" t="str">
        <f>IF(W2="No","No",IF(_xlfn.XLOOKUP(E2,Groups!A:A,Groups!U:U)=1,'Base stats'!AY2,IF(OR(_xlfn.XLOOKUP(E2,Groups!A:A,Groups!BC:BC)=1,_xlfn.XLOOKUP(E2,Groups!A:A,Groups!U:U)=2),BA2,IF(_xlfn.XLOOKUP(B2,Animals!B:B,Animals!AN:AN)&gt;4,AVERAGE(BA2,BC2),BC2))))</f>
        <v>No</v>
      </c>
      <c r="BA2" s="8">
        <f>(0.0392*C2^IF(OR(Y2="Herbivore",Y2="Dendrovore",Y2="OmnivoreRough"),0.889,0.966))*C2^-0.135</f>
        <v>4.6941011943922941</v>
      </c>
      <c r="BB2" s="8">
        <f>IF(_xlfn.XLOOKUP(E2,Groups!A:A,Groups!BD:BD)=1,(0.048*C2^1.01)+(0.071*C2^1.03),0.071*C2^1.03)/IF(_xlfn.XLOOKUP(E2,Groups!A:A,Groups!M:M)=1,0.85,IF(OR(_xlfn.XLOOKUP(B2,Animals!B:B,Animals!AN:AN)&gt;4,_xlfn.XLOOKUP(E2,Groups!A:A,Groups!BB:BB)=1),1.7,1))*C2^-0.25</f>
        <v>6.3383715749628555</v>
      </c>
      <c r="BC2" s="8">
        <f>(0.048*C2^1.01)/IF(_xlfn.XLOOKUP(E2,Groups!A:A,Groups!M:M)=1,0.25,0.8)*C2^-0.25</f>
        <v>4.7736673497838202</v>
      </c>
      <c r="BD2" s="8">
        <f>EXP(1.076*LN(AO2)-4.5397)*IF(_xlfn.XLOOKUP(E2,Groups!A:A,Groups!BB:BB)=1,1.25,IF(_xlfn.XLOOKUP(E2,Groups!A:A,Groups!BC:BC)=1,3.5,2.5))</f>
        <v>368.79822015740808</v>
      </c>
      <c r="BE2" s="8">
        <f>EXP(1.076*LN(AP2)-4.5397)*IF(_xlfn.XLOOKUP(E2,Groups!A:A,Groups!M:M)=1,0.8,IF(_xlfn.XLOOKUP(E2,Groups!A:A,Groups!BB:BB)=1,1.3,3))</f>
        <v>435.26315562346088</v>
      </c>
      <c r="BF2" s="8" t="str">
        <f>IF(W2="No","No",IF(_xlfn.XLOOKUP(E2,Groups!A:A,Groups!U:U)=1,'Base stats'!BG2,IF(OR(_xlfn.XLOOKUP(E2,Groups!A:A,Groups!BC:BC)=1,_xlfn.XLOOKUP(E2,Groups!A:A,Groups!U:U)=2),BD2,BE2))*1.2)</f>
        <v>No</v>
      </c>
      <c r="BG2" s="8">
        <f>IFERROR(EXP(1.076*LN(AQ2)-4.5397)*IF(_xlfn.XLOOKUP(E2,Groups!A:A,Groups!N:N)="Insect",1,IF(OR(_xlfn.XLOOKUP(E2,Groups!A:A,Groups!N:N)="Pig",_xlfn.XLOOKUP(E2,Groups!A:A,Groups!N:N)="StrongBitingHerbivore"),3.5,3.75)),"No")</f>
        <v>358.91699017833798</v>
      </c>
      <c r="BH2" s="8">
        <f>ROUNDDOWN(SQRT((2*BD2)/BA2),0)</f>
        <v>12</v>
      </c>
      <c r="BI2" s="8">
        <f>ROUNDDOWN(SQRT((2*BE2)/BB2),0)</f>
        <v>11</v>
      </c>
      <c r="BJ2" s="8" t="str">
        <f>IF(W2="No","No",ROUNDDOWN(SQRT((2*BF2)/AZ2),0))</f>
        <v>No</v>
      </c>
      <c r="BK2" s="8">
        <f>IF(V2="No","No",ROUNDDOWN(SQRT((2*BG2)/AY2),0))</f>
        <v>11</v>
      </c>
      <c r="BL2" s="8">
        <f>ROUNDDOWN(SQRT((2*BE2)/BC2),0)</f>
        <v>13</v>
      </c>
      <c r="BM2" s="8" cm="1">
        <f t="array" ref="BM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stats'!E2,Groups!A:A,Groups!P:P=0)),"No",IF(U2="No",AVERAGE(EXP(-0.57+0.99*LN(C2)),EXP(0.32+0.67*LN(C2)))/IF(_xlfn.XLOOKUP(E2,Groups!A:A,Groups!AD:AD)=1,10,2),(0.7354*C2^0.4078)*2/IF(_xlfn.XLOOKUP(E2,Groups!A:A,Groups!BJ:BJ)=1,1000,100)))</f>
        <v>0.15396773123122506</v>
      </c>
      <c r="BN2" s="8" t="str">
        <f>IF(W2="No","No",IF(_xlfn.XLOOKUP(E2,Groups!A:A,Groups!BC:BC)=1,(AL2*5%),EXP(0.7354*LN(C2)^0.4078)*2/IF(_xlfn.XLOOKUP(E2,Groups!A:A,Groups!BK:BK)=1,1000,100)))</f>
        <v>No</v>
      </c>
      <c r="BO2" s="8">
        <f>IF(BG2="No","No",IF(_xlfn.XLOOKUP(E2,Groups!A:A,Groups!BE:BE)=1,(0.0315*C2+2.1825)*2,(0.7354*C2^0.4078)*2)/IF(_xlfn.XLOOKUP(E2,Groups!A:A,Groups!BL:BL)=1,1000,100))</f>
        <v>0.15396773123122506</v>
      </c>
      <c r="BP2" s="8">
        <f>BD2/(AL2*5%)</f>
        <v>0.15736073588464672</v>
      </c>
      <c r="BQ2" s="8">
        <f>IF(BM2="No","No",BE2/BM2)</f>
        <v>2826.9764848960012</v>
      </c>
      <c r="BR2" s="8" t="str">
        <f>IF(W2="No","No",BF2/BN2)</f>
        <v>No</v>
      </c>
      <c r="BS2" s="8">
        <f>IF(BG2="No","No",BG2/BO2)</f>
        <v>2331.1182629516375</v>
      </c>
      <c r="BT2" s="4">
        <v>0</v>
      </c>
      <c r="BU2" s="4">
        <v>1</v>
      </c>
    </row>
    <row r="3" spans="1:73" x14ac:dyDescent="0.25">
      <c r="A3" s="26" t="s">
        <v>182</v>
      </c>
      <c r="B3" s="6" t="s">
        <v>183</v>
      </c>
      <c r="C3" s="7">
        <f>AVERAGE(AVERAGE(268.7,174.9),AVERAGE(199.127,378.75))</f>
        <v>255.36924999999999</v>
      </c>
      <c r="D3" s="7" t="s">
        <v>940</v>
      </c>
      <c r="E3" s="7" t="str">
        <f>Groups!A59</f>
        <v>Ursid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510</v>
      </c>
      <c r="L3" s="7">
        <v>48</v>
      </c>
      <c r="M3" s="7" t="s">
        <v>638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_xlfn.XLOOKUP(B3,[1]TeethAdjusters!$A:$A,[1]BiteAdjusters!$C:$C)</f>
        <v>0.99503981156163335</v>
      </c>
      <c r="T3" s="7">
        <f>_xlfn.XLOOKUP(B3,[1]TeethAdjusters!$A:$A,[1]TeethAdjusters!$B:$B)</f>
        <v>0.79656342827100557</v>
      </c>
      <c r="U3" s="7">
        <f>MROUND(7.62,0.05)</f>
        <v>7.6000000000000005</v>
      </c>
      <c r="V3" s="7">
        <f>IF(AQ3="No","No",IF(_xlfn.XLOOKUP(E3,Groups!A:A,Groups!AM:AM)=1,MROUND(EXP(0.3582*LN(C3)-0.2221)*T3,0.05),IF(_xlfn.XLOOKUP(E3,Groups!A:A,Groups!AM:AM)=2,MROUND(EXP(0.3582*LN(C3)-0.2221)*T3,0.05),"Need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945</v>
      </c>
      <c r="Y3" s="4" t="s">
        <v>53</v>
      </c>
      <c r="Z3" s="4">
        <v>0</v>
      </c>
      <c r="AA3" s="4">
        <v>0</v>
      </c>
      <c r="AB3" s="4">
        <v>0</v>
      </c>
      <c r="AC3" s="4" t="s">
        <v>45</v>
      </c>
      <c r="AD3" s="4" t="s">
        <v>45</v>
      </c>
      <c r="AE3" s="28" t="s">
        <v>383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4" t="s">
        <v>40</v>
      </c>
      <c r="AL3" s="8">
        <f t="shared" si="0"/>
        <v>40736.392777747897</v>
      </c>
      <c r="AM3" s="8">
        <f>IFERROR(C3*_xlfn.XLOOKUP(E3,Groups!A:A,Groups!K:K),0.106*C3^0.94)</f>
        <v>31.857313937499999</v>
      </c>
      <c r="AN3" s="8">
        <f>AM3*10000/(_xlfn.XLOOKUP(E3,Groups!A:A,Groups!J:J)*AL3)</f>
        <v>7.1746395612640699</v>
      </c>
      <c r="AO3" s="8">
        <f t="shared" si="1"/>
        <v>5871.8650646906135</v>
      </c>
      <c r="AP3" s="8">
        <f>IF(_xlfn.XLOOKUP(E3,Groups!A:A,Groups!M:M)=1,EXP(0.7444*LN('Base stats'!C3)+6.5696),EXP(0.7927*LN('Base stats'!C3)+4.28))</f>
        <v>5847.1324622769125</v>
      </c>
      <c r="AQ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"No")))))))))))))))</f>
        <v>4294.1142156389687</v>
      </c>
      <c r="AR3" s="8">
        <f>IF(_xlfn.XLOOKUP(E3,Groups!A:A,Groups!U:U)=3,AP3,IF(_xlfn.XLOOKUP(E3,Groups!A:A,Groups!U:U)=2,AO3,AQ3))</f>
        <v>4294.1142156389687</v>
      </c>
      <c r="AS3" s="46">
        <f>IFERROR(AVERAGE(_xlfn.XLOOKUP(B3,Animals!B:B,Animals!M:M),_xlfn.XLOOKUP(B3,Animals!B:B,Animals!N:N)),0)</f>
        <v>0</v>
      </c>
      <c r="AT3" s="8">
        <f>MROUND(40*Animals!AN3*_xlfn.XLOOKUP(Animals!AZ3,Leathers!$A$2:$A$100,Leathers!$B$2:$B$100,0)+(140*_xlfn.XLOOKUP(B3,Animals!B:B,Animals!AN:AN)*2),5)</f>
        <v>880</v>
      </c>
      <c r="AU3" s="8">
        <f>IFERROR(ROUND(SQRT(V3-1)*IF(_xlfn.XLOOKUP(E3,Groups!A:A,Groups!BE:BE)=0,2,1)*IF(_xlfn.XLOOKUP('Base stats'!E3,Groups!A:A,Groups!O:O)=0,1,0.1),1),0)</f>
        <v>3.8</v>
      </c>
      <c r="AV3" s="8">
        <f t="shared" si="2"/>
        <v>2.6</v>
      </c>
      <c r="AW3" s="8">
        <f t="shared" si="3"/>
        <v>0</v>
      </c>
      <c r="AX3" s="8">
        <f t="shared" si="4"/>
        <v>5.8</v>
      </c>
      <c r="AY3" s="8">
        <f>IF(_xlfn.XLOOKUP(E3,Groups!A:A,Groups!N:N)="Insect",BA3*2.5,IFERROR(AVERAGE(BA3,AQ3/9.81/IF(OR(_xlfn.XLOOKUP(E3,Groups!A:A,Groups!N:N)="Pig",_xlfn.XLOOKUP(E3,Groups!A:A,Groups!N:N)="StrongBitingHerbivore"),20,25))*C3^-0.135,BA3))</f>
        <v>5.0707492684384547</v>
      </c>
      <c r="AZ3" s="8" t="str">
        <f>IF(W3="No","No",IF(_xlfn.XLOOKUP(E3,Groups!A:A,Groups!U:U)=1,'Base stats'!AY3,IF(OR(_xlfn.XLOOKUP(E3,Groups!A:A,Groups!BC:BC)=1,_xlfn.XLOOKUP(E3,Groups!A:A,Groups!U:U)=2),BA3,IF(_xlfn.XLOOKUP(B3,Animals!B:B,Animals!AN:AN)&gt;4,AVERAGE(BA3,BC3),BC3))))</f>
        <v>No</v>
      </c>
      <c r="BA3" s="8">
        <f>(0.0392*C3^IF(OR(Y3="Herbivore",Y3="Dendrovore",Y3="OmnivoreRough"),0.889,0.966))*C3^-0.135</f>
        <v>3.9232246249126477</v>
      </c>
      <c r="BB3" s="8">
        <f>IF(_xlfn.XLOOKUP(E3,Groups!A:A,Groups!BD:BD)=1,(0.048*C3^1.01)+(0.071*C3^1.03),0.071*C3^1.03)/IF(_xlfn.XLOOKUP(E3,Groups!A:A,Groups!M:M)=1,0.85,IF(OR(_xlfn.XLOOKUP(B3,Animals!B:B,Animals!AN:AN)&gt;4,_xlfn.XLOOKUP(E3,Groups!A:A,Groups!BB:BB)=1),1.7,1))*C3^-0.25</f>
        <v>5.3561145610936389</v>
      </c>
      <c r="BC3" s="8">
        <f>(0.048*C3^1.01)/IF(_xlfn.XLOOKUP(E3,Groups!A:A,Groups!M:M)=1,0.25,0.8)*C3^-0.25</f>
        <v>4.0513464851855776</v>
      </c>
      <c r="BD3" s="8">
        <f>EXP(1.076*LN(AO3)-4.5397)*IF(_xlfn.XLOOKUP(E3,Groups!A:A,Groups!BB:BB)=1,1.25,IF(_xlfn.XLOOKUP(E3,Groups!A:A,Groups!BC:BC)=1,3.5,2.5))</f>
        <v>303.09334256608031</v>
      </c>
      <c r="BE3" s="8">
        <f>EXP(1.076*LN(AP3)-4.5397)*IF(_xlfn.XLOOKUP(E3,Groups!A:A,Groups!M:M)=1,0.8,IF(_xlfn.XLOOKUP(E3,Groups!A:A,Groups!BB:BB)=1,1.3,3))</f>
        <v>362.06387124720493</v>
      </c>
      <c r="BF3" s="8" t="str">
        <f>IF(W3="No","No",IF(_xlfn.XLOOKUP(E3,Groups!A:A,Groups!U:U)=1,'Base stats'!BG3,IF(OR(_xlfn.XLOOKUP(E3,Groups!A:A,Groups!BC:BC)=1,_xlfn.XLOOKUP(E3,Groups!A:A,Groups!U:U)=2),BD3,BE3))*1.2)</f>
        <v>No</v>
      </c>
      <c r="BG3" s="8">
        <f>IFERROR(EXP(1.076*LN(AQ3)-4.5397)*IF(_xlfn.XLOOKUP(E3,Groups!A:A,Groups!N:N)="Insect",1,IF(OR(_xlfn.XLOOKUP(E3,Groups!A:A,Groups!N:N)="Pig",_xlfn.XLOOKUP(E3,Groups!A:A,Groups!N:N)="StrongBitingHerbivore"),3.5,3.75)),"No")</f>
        <v>324.66583741526347</v>
      </c>
      <c r="BH3" s="8">
        <f t="shared" ref="BH3:BH66" si="5">ROUNDDOWN(SQRT((2*BD3)/BA3),0)</f>
        <v>12</v>
      </c>
      <c r="BI3" s="8">
        <f t="shared" ref="BI3:BI66" si="6">ROUNDDOWN(SQRT((2*BE3)/BB3),0)</f>
        <v>11</v>
      </c>
      <c r="BJ3" s="8" t="str">
        <f>IF(W3="No","No",ROUNDDOWN(SQRT((2*BF3)/AZ3),0))</f>
        <v>No</v>
      </c>
      <c r="BK3" s="8">
        <f>IF(V3="No","No",ROUNDDOWN(SQRT((2*BG3)/AY3),0))</f>
        <v>11</v>
      </c>
      <c r="BL3" s="8">
        <f t="shared" ref="BL3:BL66" si="7">ROUNDDOWN(SQRT((2*BE3)/BC3),0)</f>
        <v>13</v>
      </c>
      <c r="BM3" s="8" cm="1">
        <f t="array" ref="BM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stats'!E3,Groups!A:A,Groups!P:P=0)),"No",IF(U3="No",AVERAGE(EXP(-0.57+0.99*LN(C3)),EXP(0.32+0.67*LN(C3)))/IF(_xlfn.XLOOKUP(E3,Groups!A:A,Groups!AD:AD)=1,10,2),(0.7354*C3^0.4078)*2/IF(_xlfn.XLOOKUP(E3,Groups!A:A,Groups!BJ:BJ)=1,1000,100)))</f>
        <v>0.14099281341876332</v>
      </c>
      <c r="BN3" s="8" t="str">
        <f>IF(W3="No","No",IF(_xlfn.XLOOKUP(E3,Groups!A:A,Groups!BC:BC)=1,(AL3*5%),EXP(0.7354*LN(C3)^0.4078)*2/IF(_xlfn.XLOOKUP(E3,Groups!A:A,Groups!BK:BK)=1,1000,100)))</f>
        <v>No</v>
      </c>
      <c r="BO3" s="8">
        <f>IF(BG3="No","No",IF(_xlfn.XLOOKUP(E3,Groups!A:A,Groups!BE:BE)=1,(0.0315*C3+2.1825)*2,(0.7354*C3^0.4078)*2)/IF(_xlfn.XLOOKUP(E3,Groups!A:A,Groups!BL:BL)=1,1000,100))</f>
        <v>0.14099281341876332</v>
      </c>
      <c r="BP3" s="8">
        <f>BD3/(AL3*5%)</f>
        <v>0.14880715836559977</v>
      </c>
      <c r="BQ3" s="8">
        <f t="shared" ref="BQ3:BQ66" si="8">IF(BM3="No","No",BE3/BM3)</f>
        <v>2567.9597595647488</v>
      </c>
      <c r="BR3" s="8" t="str">
        <f>IF(W3="No","No",BF3/BN3)</f>
        <v>No</v>
      </c>
      <c r="BS3" s="8">
        <f t="shared" ref="BS3:BS66" si="9">IF(BG3="No","No",BG3/BO3)</f>
        <v>2302.7119577433509</v>
      </c>
      <c r="BT3" s="4">
        <v>0</v>
      </c>
      <c r="BU3" s="4">
        <v>1</v>
      </c>
    </row>
    <row r="4" spans="1:73" x14ac:dyDescent="0.25">
      <c r="A4" s="26" t="s">
        <v>184</v>
      </c>
      <c r="B4" s="6" t="s">
        <v>185</v>
      </c>
      <c r="C4" s="7">
        <v>6</v>
      </c>
      <c r="D4" s="7" t="s">
        <v>511</v>
      </c>
      <c r="E4" s="7" t="str">
        <f>Groups!A60</f>
        <v>Procyonid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511</v>
      </c>
      <c r="L4" s="7">
        <v>24</v>
      </c>
      <c r="M4" s="7" t="s">
        <v>638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_xlfn.XLOOKUP(B4,[1]TeethAdjusters!$A:$A,[1]BiteAdjusters!$C:$C)</f>
        <v>0.693033347467086</v>
      </c>
      <c r="T4" s="7">
        <f>_xlfn.XLOOKUP(B4,[1]TeethAdjusters!$A:$A,[1]TeethAdjusters!$B:$B)</f>
        <v>1.1605024511758444</v>
      </c>
      <c r="U4" s="7">
        <f>MROUND(1.27,0.05)</f>
        <v>1.25</v>
      </c>
      <c r="V4" s="7">
        <f>IF(AQ4="No","No",IF(_xlfn.XLOOKUP(E4,Groups!A:A,Groups!AM:AM)=1,MROUND(EXP(0.3582*LN(C4)-0.2221)*T4,0.05),IF(_xlfn.XLOOKUP(E4,Groups!A:A,Groups!AM:AM)=2,MROUND(EXP(0.3582*LN(C4)-0.2221)*T4,0.05),"Need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945</v>
      </c>
      <c r="Y4" s="4" t="s">
        <v>53</v>
      </c>
      <c r="Z4" s="4">
        <v>0</v>
      </c>
      <c r="AA4" s="4">
        <v>0</v>
      </c>
      <c r="AB4" s="4">
        <v>0</v>
      </c>
      <c r="AC4" s="4" t="s">
        <v>45</v>
      </c>
      <c r="AD4" s="4" t="s">
        <v>45</v>
      </c>
      <c r="AE4" s="28" t="s">
        <v>394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4" t="s">
        <v>40</v>
      </c>
      <c r="AL4" s="8">
        <f t="shared" si="0"/>
        <v>3557.3065460643379</v>
      </c>
      <c r="AM4" s="8">
        <f>IFERROR(C4*_xlfn.XLOOKUP(E4,Groups!A:A,Groups!K:K),0.106*C4^0.94)</f>
        <v>0.74849999999999994</v>
      </c>
      <c r="AN4" s="8">
        <f>AM4*10000/(_xlfn.XLOOKUP(E4,Groups!A:A,Groups!J:J)*AL4)</f>
        <v>1.9303853598621024</v>
      </c>
      <c r="AO4" s="8">
        <f t="shared" si="1"/>
        <v>247.02739061475725</v>
      </c>
      <c r="AP4" s="8">
        <f>IF(_xlfn.XLOOKUP(E4,Groups!A:A,Groups!M:M)=1,EXP(0.7444*LN('Base stats'!C4)+6.5696),EXP(0.7927*LN('Base stats'!C4)+4.28))</f>
        <v>298.96536520817432</v>
      </c>
      <c r="AQ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"No")))))))))))))))</f>
        <v>180.4283918773483</v>
      </c>
      <c r="AR4" s="8">
        <f>IF(_xlfn.XLOOKUP(E4,Groups!A:A,Groups!U:U)=3,AP4,IF(_xlfn.XLOOKUP(E4,Groups!A:A,Groups!U:U)=2,AO4,AQ4))</f>
        <v>180.4283918773483</v>
      </c>
      <c r="AS4" s="46">
        <f>IFERROR(AVERAGE(_xlfn.XLOOKUP(B4,Animals!B:B,Animals!M:M),_xlfn.XLOOKUP(B4,Animals!B:B,Animals!N:N)),0)</f>
        <v>0</v>
      </c>
      <c r="AT4" s="8">
        <f>MROUND(40*Animals!AN4*_xlfn.XLOOKUP(Animals!AZ4,Leathers!$A$2:$A$100,Leathers!$B$2:$B$100,0)+(140*_xlfn.XLOOKUP(B4,Animals!B:B,Animals!AN:AN)*2),5)</f>
        <v>125</v>
      </c>
      <c r="AU4" s="8">
        <f>IFERROR(ROUND(SQRT(V4-1)*IF(_xlfn.XLOOKUP(E4,Groups!A:A,Groups!BE:BE)=0,2,1)*IF(_xlfn.XLOOKUP('Base stats'!E4,Groups!A:A,Groups!O:O)=0,1,0.1),1),0)</f>
        <v>1.7</v>
      </c>
      <c r="AV4" s="8">
        <f t="shared" si="2"/>
        <v>0.5</v>
      </c>
      <c r="AW4" s="8">
        <f t="shared" si="3"/>
        <v>0</v>
      </c>
      <c r="AX4" s="8">
        <f t="shared" si="4"/>
        <v>1.2</v>
      </c>
      <c r="AY4" s="8">
        <f>IF(_xlfn.XLOOKUP(E4,Groups!A:A,Groups!N:N)="Insect",BA4*2.5,IFERROR(AVERAGE(BA4,AQ4/9.81/IF(OR(_xlfn.XLOOKUP(E4,Groups!A:A,Groups!N:N)="Pig",_xlfn.XLOOKUP(E4,Groups!A:A,Groups!N:N)="StrongBitingHerbivore"),20,25))*C4^-0.135,BA4))</f>
        <v>0.35702234514254111</v>
      </c>
      <c r="AZ4" s="8" t="str">
        <f>IF(W4="No","No",IF(_xlfn.XLOOKUP(E4,Groups!A:A,Groups!U:U)=1,'Base stats'!AY4,IF(OR(_xlfn.XLOOKUP(E4,Groups!A:A,Groups!BC:BC)=1,_xlfn.XLOOKUP(E4,Groups!A:A,Groups!U:U)=2),BA4,IF(_xlfn.XLOOKUP(B4,Animals!B:B,Animals!AN:AN)&gt;4,AVERAGE(BA4,BC4),BC4))))</f>
        <v>No</v>
      </c>
      <c r="BA4" s="8">
        <f>(0.0392*C4^IF(OR(Y4="Herbivore",Y4="Dendrovore",Y4="OmnivoreRough"),0.889,0.966))*C4^-0.135</f>
        <v>0.17375197750865831</v>
      </c>
      <c r="BB4" s="8">
        <f>IF(_xlfn.XLOOKUP(E4,Groups!A:A,Groups!BD:BD)=1,(0.048*C4^1.01)+(0.071*C4^1.03),0.071*C4^1.03)/IF(_xlfn.XLOOKUP(E4,Groups!A:A,Groups!M:M)=1,0.85,IF(OR(_xlfn.XLOOKUP(B4,Animals!B:B,Animals!AN:AN)&gt;4,_xlfn.XLOOKUP(E4,Groups!A:A,Groups!BB:BB)=1),1.7,1))*C4^-0.25</f>
        <v>0.28722108868268298</v>
      </c>
      <c r="BC4" s="8">
        <f>(0.048*C4^1.01)/IF(_xlfn.XLOOKUP(E4,Groups!A:A,Groups!M:M)=1,0.25,0.8)*C4^-0.25</f>
        <v>0.23417805828463806</v>
      </c>
      <c r="BD4" s="8">
        <f>EXP(1.076*LN(AO4)-4.5397)*IF(_xlfn.XLOOKUP(E4,Groups!A:A,Groups!BB:BB)=1,1.25,IF(_xlfn.XLOOKUP(E4,Groups!A:A,Groups!BC:BC)=1,3.5,2.5))</f>
        <v>10.022292847033164</v>
      </c>
      <c r="BE4" s="8">
        <f>EXP(1.076*LN(AP4)-4.5397)*IF(_xlfn.XLOOKUP(E4,Groups!A:A,Groups!M:M)=1,0.8,IF(_xlfn.XLOOKUP(E4,Groups!A:A,Groups!BB:BB)=1,1.3,3))</f>
        <v>14.768033224201108</v>
      </c>
      <c r="BF4" s="8" t="str">
        <f>IF(W4="No","No",IF(_xlfn.XLOOKUP(E4,Groups!A:A,Groups!U:U)=1,'Base stats'!BG4,IF(OR(_xlfn.XLOOKUP(E4,Groups!A:A,Groups!BC:BC)=1,_xlfn.XLOOKUP(E4,Groups!A:A,Groups!U:U)=2),BD4,BE4))*1.2)</f>
        <v>No</v>
      </c>
      <c r="BG4" s="8">
        <f>IFERROR(EXP(1.076*LN(AQ4)-4.5397)*IF(_xlfn.XLOOKUP(E4,Groups!A:A,Groups!N:N)="Insect",1,IF(OR(_xlfn.XLOOKUP(E4,Groups!A:A,Groups!N:N)="Pig",_xlfn.XLOOKUP(E4,Groups!A:A,Groups!N:N)="StrongBitingHerbivore"),3.5,3.75)),"No")</f>
        <v>10.721329843129723</v>
      </c>
      <c r="BH4" s="8">
        <f t="shared" si="5"/>
        <v>10</v>
      </c>
      <c r="BI4" s="8">
        <f t="shared" si="6"/>
        <v>10</v>
      </c>
      <c r="BJ4" s="8" t="str">
        <f>IF(W4="No","No",ROUNDDOWN(SQRT((2*BF4)/AZ4),0))</f>
        <v>No</v>
      </c>
      <c r="BK4" s="8">
        <f>IF(V4="No","No",ROUNDDOWN(SQRT((2*BG4)/AY4),0))</f>
        <v>7</v>
      </c>
      <c r="BL4" s="8">
        <f t="shared" si="7"/>
        <v>11</v>
      </c>
      <c r="BM4" s="8" cm="1">
        <f t="array" ref="BM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stats'!E4,Groups!A:A,Groups!P:P=0)),"No",IF(U4="No",AVERAGE(EXP(-0.57+0.99*LN(C4)),EXP(0.32+0.67*LN(C4)))/IF(_xlfn.XLOOKUP(E4,Groups!A:A,Groups!AD:AD)=1,10,2),(0.7354*C4^0.4078)*2/IF(_xlfn.XLOOKUP(E4,Groups!A:A,Groups!BJ:BJ)=1,1000,100)))</f>
        <v>3.0541031512019721E-2</v>
      </c>
      <c r="BN4" s="8" t="str">
        <f>IF(W4="No","No",IF(_xlfn.XLOOKUP(E4,Groups!A:A,Groups!BC:BC)=1,(AL4*5%),EXP(0.7354*LN(C4)^0.4078)*2/IF(_xlfn.XLOOKUP(E4,Groups!A:A,Groups!BK:BK)=1,1000,100)))</f>
        <v>No</v>
      </c>
      <c r="BO4" s="8">
        <f>IF(BG4="No","No",IF(_xlfn.XLOOKUP(E4,Groups!A:A,Groups!BE:BE)=1,(0.0315*C4+2.1825)*2,(0.7354*C4^0.4078)*2)/IF(_xlfn.XLOOKUP(E4,Groups!A:A,Groups!BL:BL)=1,1000,100))</f>
        <v>3.0541031512019721E-2</v>
      </c>
      <c r="BP4" s="8">
        <f>BD4/(AL4*5%)</f>
        <v>5.6347647959220322E-2</v>
      </c>
      <c r="BQ4" s="8">
        <f t="shared" si="8"/>
        <v>483.54729663891686</v>
      </c>
      <c r="BR4" s="8" t="str">
        <f>IF(W4="No","No",BF4/BN4)</f>
        <v>No</v>
      </c>
      <c r="BS4" s="8">
        <f t="shared" si="9"/>
        <v>351.04674964597183</v>
      </c>
      <c r="BT4" s="4">
        <v>0</v>
      </c>
      <c r="BU4" s="4">
        <v>1</v>
      </c>
    </row>
    <row r="5" spans="1:73" x14ac:dyDescent="0.25">
      <c r="A5" s="26" t="s">
        <v>38</v>
      </c>
      <c r="B5" s="6" t="s">
        <v>39</v>
      </c>
      <c r="C5" s="7">
        <v>111</v>
      </c>
      <c r="D5" s="7" t="s">
        <v>947</v>
      </c>
      <c r="E5" s="7" t="str">
        <f>Groups!A9</f>
        <v>Bird</v>
      </c>
      <c r="F5" s="7" t="str">
        <f t="shared" ref="F5:F11" si="10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1">"Lay eggs"</f>
        <v>Lay eggs</v>
      </c>
      <c r="K5" s="7" t="s">
        <v>512</v>
      </c>
      <c r="L5" s="7">
        <f>11.3*(2.3/1.95)*3.6</f>
        <v>47.981538461538463</v>
      </c>
      <c r="M5" s="7" t="s">
        <v>639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_xlfn.XLOOKUP(B5,[1]TeethAdjusters!$A:$A,[1]BiteAdjusters!$C:$C)</f>
        <v>1</v>
      </c>
      <c r="T5" s="7">
        <f>_xlfn.XLOOKUP(B5,[1]TeethAdjusters!$A:$A,[1]TeethAdjusters!$B:$B)</f>
        <v>1</v>
      </c>
      <c r="U5" s="7">
        <f>MROUND(5.378,0.05)</f>
        <v>5.4</v>
      </c>
      <c r="V5" s="7">
        <v>6.3</v>
      </c>
      <c r="W5" s="7" t="s">
        <v>45</v>
      </c>
      <c r="X5" s="7" t="s">
        <v>945</v>
      </c>
      <c r="Y5" s="4" t="s">
        <v>42</v>
      </c>
      <c r="Z5" s="4">
        <v>0</v>
      </c>
      <c r="AA5" s="4">
        <v>0</v>
      </c>
      <c r="AB5" s="4">
        <v>0</v>
      </c>
      <c r="AC5" s="4" t="s">
        <v>45</v>
      </c>
      <c r="AD5" s="4" t="s">
        <v>320</v>
      </c>
      <c r="AE5" s="28" t="s">
        <v>384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4" t="s">
        <v>40</v>
      </c>
      <c r="AL5" s="8">
        <f t="shared" si="0"/>
        <v>23701.886548539122</v>
      </c>
      <c r="AM5" s="8">
        <f>IFERROR(C5*_xlfn.XLOOKUP(E5,Groups!A:A,Groups!K:K),0.106*C5^0.94)</f>
        <v>8.8697109140438197</v>
      </c>
      <c r="AN5" s="8">
        <f>AM5*10000/(_xlfn.XLOOKUP(E5,Groups!A:A,Groups!J:J)*AL5)</f>
        <v>3.4332074983824747</v>
      </c>
      <c r="AO5" s="8">
        <f t="shared" si="1"/>
        <v>2904.8590869878603</v>
      </c>
      <c r="AP5" s="8">
        <f>IF(_xlfn.XLOOKUP(E5,Groups!A:A,Groups!M:M)=1,EXP(0.7444*LN('Base stats'!C5)+6.5696),EXP(0.7927*LN('Base stats'!C5)+4.28))</f>
        <v>3020.7021718557112</v>
      </c>
      <c r="AQ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"No")))))))))))))))</f>
        <v>365.80152242272635</v>
      </c>
      <c r="AR5" s="8">
        <f>IF(_xlfn.XLOOKUP(E5,Groups!A:A,Groups!U:U)=3,AP5,IF(_xlfn.XLOOKUP(E5,Groups!A:A,Groups!U:U)=2,AO5,AQ5))</f>
        <v>365.80152242272635</v>
      </c>
      <c r="AS5" s="46">
        <f>IFERROR(AVERAGE(_xlfn.XLOOKUP(B5,Animals!B:B,Animals!M:M),_xlfn.XLOOKUP(B5,Animals!B:B,Animals!N:N)),0)</f>
        <v>0</v>
      </c>
      <c r="AT5" s="8">
        <f>MROUND(40*Animals!AN5*_xlfn.XLOOKUP(Animals!AZ5,Leathers!$A$2:$A$100,Leathers!$B$2:$B$100,0)+(140*_xlfn.XLOOKUP(B5,Animals!B:B,Animals!AN:AN)*2),5)</f>
        <v>460</v>
      </c>
      <c r="AU5" s="8">
        <f>IFERROR(ROUND(SQRT(V5-1)*IF(_xlfn.XLOOKUP(E5,Groups!A:A,Groups!BE:BE)=0,2,1)*IF(_xlfn.XLOOKUP('Base stats'!E5,Groups!A:A,Groups!O:O)=0,1,0.1),1),0)</f>
        <v>0.2</v>
      </c>
      <c r="AV5" s="8">
        <f t="shared" si="2"/>
        <v>2.1</v>
      </c>
      <c r="AW5" s="8">
        <f t="shared" si="3"/>
        <v>0</v>
      </c>
      <c r="AX5" s="8">
        <f t="shared" si="4"/>
        <v>4.3</v>
      </c>
      <c r="AY5" s="8">
        <f>IF(_xlfn.XLOOKUP(E5,Groups!A:A,Groups!N:N)="Insect",BA5*2.5,IFERROR(AVERAGE(BA5,AQ5/9.81/IF(OR(_xlfn.XLOOKUP(E5,Groups!A:A,Groups!N:N)="Pig",_xlfn.XLOOKUP(E5,Groups!A:A,Groups!N:N)="StrongBitingHerbivore"),20,25))*C5^-0.135,BA5))</f>
        <v>0.75656945039250134</v>
      </c>
      <c r="AZ5" s="8" t="str">
        <f>IF(W5="No","No",IF(_xlfn.XLOOKUP(E5,Groups!A:A,Groups!U:U)=1,'Base stats'!AY5,IF(OR(_xlfn.XLOOKUP(E5,Groups!A:A,Groups!BC:BC)=1,_xlfn.XLOOKUP(E5,Groups!A:A,Groups!U:U)=2),BA5,IF(_xlfn.XLOOKUP(B5,Animals!B:B,Animals!AN:AN)&gt;4,AVERAGE(BA5,BC5),BC5))))</f>
        <v>No</v>
      </c>
      <c r="BA5" s="8">
        <f>(0.0392*C5^IF(OR(Y5="Herbivore",Y5="Dendrovore",Y5="OmnivoreRough"),0.889,0.966))*C5^-0.135</f>
        <v>1.3660279738562071</v>
      </c>
      <c r="BB5" s="8">
        <f>IF(_xlfn.XLOOKUP(E5,Groups!A:A,Groups!BD:BD)=1,(0.048*C5^1.01)+(0.071*C5^1.03),0.071*C5^1.03)/IF(_xlfn.XLOOKUP(E5,Groups!A:A,Groups!M:M)=1,0.85,IF(OR(_xlfn.XLOOKUP(B5,Animals!B:B,Animals!AN:AN)&gt;4,_xlfn.XLOOKUP(E5,Groups!A:A,Groups!BB:BB)=1),1.7,1))*C5^-0.25</f>
        <v>4.5170975643389459</v>
      </c>
      <c r="BC5" s="8">
        <f>(0.048*C5^1.01)/IF(_xlfn.XLOOKUP(E5,Groups!A:A,Groups!M:M)=1,0.25,0.8)*C5^-0.25</f>
        <v>2.1507835900693246</v>
      </c>
      <c r="BD5" s="8">
        <f>EXP(1.076*LN(AO5)-4.5397)*IF(_xlfn.XLOOKUP(E5,Groups!A:A,Groups!BB:BB)=1,1.25,IF(_xlfn.XLOOKUP(E5,Groups!A:A,Groups!BC:BC)=1,3.5,2.5))</f>
        <v>142.13332778712689</v>
      </c>
      <c r="BE5" s="8">
        <f>EXP(1.076*LN(AP5)-4.5397)*IF(_xlfn.XLOOKUP(E5,Groups!A:A,Groups!M:M)=1,0.8,IF(_xlfn.XLOOKUP(E5,Groups!A:A,Groups!BB:BB)=1,1.3,3))</f>
        <v>177.88965958918951</v>
      </c>
      <c r="BF5" s="8" t="str">
        <f>IF(W5="No","No",IF(_xlfn.XLOOKUP(E5,Groups!A:A,Groups!U:U)=1,'Base stats'!BG5,IF(OR(_xlfn.XLOOKUP(E5,Groups!A:A,Groups!BC:BC)=1,_xlfn.XLOOKUP(E5,Groups!A:A,Groups!U:U)=2),BD5,BE5))*1.2)</f>
        <v>No</v>
      </c>
      <c r="BG5" s="8">
        <f>IFERROR(EXP(1.076*LN(AQ5)-4.5397)*IF(_xlfn.XLOOKUP(E5,Groups!A:A,Groups!N:N)="Insect",1,IF(OR(_xlfn.XLOOKUP(E5,Groups!A:A,Groups!N:N)="Pig",_xlfn.XLOOKUP(E5,Groups!A:A,Groups!N:N)="StrongBitingHerbivore"),3.5,3.75)),"No")</f>
        <v>22.93595223548451</v>
      </c>
      <c r="BH5" s="8">
        <f t="shared" si="5"/>
        <v>14</v>
      </c>
      <c r="BI5" s="8">
        <f t="shared" si="6"/>
        <v>8</v>
      </c>
      <c r="BJ5" s="8" t="str">
        <f>IF(W5="No","No",ROUNDDOWN(SQRT((2*BF5)/AZ5),0))</f>
        <v>No</v>
      </c>
      <c r="BK5" s="8">
        <f>IF(V5="No","No",ROUNDDOWN(SQRT((2*BG5)/AY5),0))</f>
        <v>7</v>
      </c>
      <c r="BL5" s="8">
        <f t="shared" si="7"/>
        <v>12</v>
      </c>
      <c r="BM5" s="8" cm="1">
        <f t="array" ref="BM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stats'!E5,Groups!A:A,Groups!P:P=0)),"No",IF(U5="No",AVERAGE(EXP(-0.57+0.99*LN(C5)),EXP(0.32+0.67*LN(C5)))/IF(_xlfn.XLOOKUP(E5,Groups!A:A,Groups!AD:AD)=1,10,2),(0.7354*C5^0.4078)*2/IF(_xlfn.XLOOKUP(E5,Groups!A:A,Groups!BJ:BJ)=1,1000,100)))</f>
        <v>0.10037749006033786</v>
      </c>
      <c r="BN5" s="8" t="str">
        <f>IF(W5="No","No",IF(_xlfn.XLOOKUP(E5,Groups!A:A,Groups!BC:BC)=1,(AL5*5%),EXP(0.7354*LN(C5)^0.4078)*2/IF(_xlfn.XLOOKUP(E5,Groups!A:A,Groups!BK:BK)=1,1000,100)))</f>
        <v>No</v>
      </c>
      <c r="BO5" s="8">
        <f>IF(BG5="No","No",IF(_xlfn.XLOOKUP(E5,Groups!A:A,Groups!BE:BE)=1,(0.0315*C5+2.1825)*2,(0.7354*C5^0.4078)*2)/IF(_xlfn.XLOOKUP(E5,Groups!A:A,Groups!BL:BL)=1,1000,100))</f>
        <v>0.10037749006033786</v>
      </c>
      <c r="BP5" s="8">
        <f>BD5/(AL5*5%)</f>
        <v>0.11993418962330435</v>
      </c>
      <c r="BQ5" s="8">
        <f t="shared" si="8"/>
        <v>1772.2066917817765</v>
      </c>
      <c r="BR5" s="8" t="str">
        <f>IF(W5="No","No",BF5/BN5)</f>
        <v>No</v>
      </c>
      <c r="BS5" s="8">
        <f t="shared" si="9"/>
        <v>228.49696900866411</v>
      </c>
      <c r="BT5" s="4">
        <v>0</v>
      </c>
      <c r="BU5" s="4">
        <v>1</v>
      </c>
    </row>
    <row r="6" spans="1:73" x14ac:dyDescent="0.25">
      <c r="A6" s="26" t="s">
        <v>43</v>
      </c>
      <c r="B6" s="6" t="s">
        <v>44</v>
      </c>
      <c r="C6" s="7">
        <f>44</f>
        <v>44</v>
      </c>
      <c r="D6" s="7" t="s">
        <v>513</v>
      </c>
      <c r="E6" s="7" t="str">
        <f>Groups!A7</f>
        <v>Bird (aggressive)</v>
      </c>
      <c r="F6" s="7" t="str">
        <f t="shared" si="10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1"/>
        <v>Lay eggs</v>
      </c>
      <c r="K6" s="7" t="s">
        <v>513</v>
      </c>
      <c r="L6" s="7">
        <f>$L$5*(C6/C5)^0.165</f>
        <v>41.187513001127201</v>
      </c>
      <c r="M6" s="7" t="s">
        <v>638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_xlfn.XLOOKUP(B6,[1]TeethAdjusters!$A:$A,[1]BiteAdjusters!$C:$C)</f>
        <v>1</v>
      </c>
      <c r="T6" s="7">
        <f>_xlfn.XLOOKUP(B6,[1]TeethAdjusters!$A:$A,[1]TeethAdjusters!$B:$B)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945</v>
      </c>
      <c r="Y6" s="4" t="s">
        <v>42</v>
      </c>
      <c r="Z6" s="4">
        <v>0</v>
      </c>
      <c r="AA6" s="4">
        <v>0</v>
      </c>
      <c r="AB6" s="4">
        <v>0</v>
      </c>
      <c r="AC6" s="4" t="s">
        <v>45</v>
      </c>
      <c r="AD6" s="4" t="s">
        <v>45</v>
      </c>
      <c r="AE6" s="28" t="s">
        <v>384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4" t="s">
        <v>40</v>
      </c>
      <c r="AL6" s="8">
        <f t="shared" si="0"/>
        <v>12988.745833032934</v>
      </c>
      <c r="AM6" s="8">
        <f>IFERROR(C6*_xlfn.XLOOKUP(E6,Groups!A:A,Groups!K:K),0.106*C6^0.94)</f>
        <v>3.7166475696464318</v>
      </c>
      <c r="AN6" s="8">
        <f>AM6*10000/(_xlfn.XLOOKUP(E6,Groups!A:A,Groups!J:J)*AL6)</f>
        <v>2.6251714032681663</v>
      </c>
      <c r="AO6" s="8">
        <f t="shared" si="1"/>
        <v>1329.429236703344</v>
      </c>
      <c r="AP6" s="8">
        <f>IF(_xlfn.XLOOKUP(E6,Groups!A:A,Groups!M:M)=1,EXP(0.7444*LN('Base stats'!C6)+6.5696),EXP(0.7927*LN('Base stats'!C6)+4.28))</f>
        <v>1450.5921375918902</v>
      </c>
      <c r="AQ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"No")))))))))))))))</f>
        <v>192.81963633688059</v>
      </c>
      <c r="AR6" s="8">
        <f>IF(_xlfn.XLOOKUP(E6,Groups!A:A,Groups!U:U)=3,AP6,IF(_xlfn.XLOOKUP(E6,Groups!A:A,Groups!U:U)=2,AO6,AQ6))</f>
        <v>192.81963633688059</v>
      </c>
      <c r="AS6" s="46">
        <f>IFERROR(AVERAGE(_xlfn.XLOOKUP(B6,Animals!B:B,Animals!M:M),_xlfn.XLOOKUP(B6,Animals!B:B,Animals!N:N)),0)</f>
        <v>0</v>
      </c>
      <c r="AT6" s="8">
        <f>MROUND(40*Animals!AN6*_xlfn.XLOOKUP(Animals!AZ6,Leathers!$A$2:$A$100,Leathers!$B$2:$B$100,0)+(140*_xlfn.XLOOKUP(B6,Animals!B:B,Animals!AN:AN)*2),5)</f>
        <v>280</v>
      </c>
      <c r="AU6" s="8">
        <f>IFERROR(ROUND(SQRT(V6-1)*IF(_xlfn.XLOOKUP(E6,Groups!A:A,Groups!BE:BE)=0,2,1)*IF(_xlfn.XLOOKUP('Base stats'!E6,Groups!A:A,Groups!O:O)=0,1,0.1),1),0)</f>
        <v>0.4</v>
      </c>
      <c r="AV6" s="8">
        <f t="shared" si="2"/>
        <v>3.4</v>
      </c>
      <c r="AW6" s="8">
        <f t="shared" si="3"/>
        <v>0</v>
      </c>
      <c r="AX6" s="8">
        <f t="shared" si="4"/>
        <v>3.1</v>
      </c>
      <c r="AY6" s="8">
        <f>IF(_xlfn.XLOOKUP(E6,Groups!A:A,Groups!N:N)="Insect",BA6*2.5,IFERROR(AVERAGE(BA6,AQ6/9.81/IF(OR(_xlfn.XLOOKUP(E6,Groups!A:A,Groups!N:N)="Pig",_xlfn.XLOOKUP(E6,Groups!A:A,Groups!N:N)="StrongBitingHerbivore"),20,25))*C6^-0.135,BA6))</f>
        <v>0.43981945581240772</v>
      </c>
      <c r="AZ6" s="8" t="str">
        <f>IF(W6="No","No",IF(_xlfn.XLOOKUP(E6,Groups!A:A,Groups!U:U)=1,'Base stats'!AY6,IF(OR(_xlfn.XLOOKUP(E6,Groups!A:A,Groups!BC:BC)=1,_xlfn.XLOOKUP(E6,Groups!A:A,Groups!U:U)=2),BA6,IF(_xlfn.XLOOKUP(B6,Animals!B:B,Animals!AN:AN)&gt;4,AVERAGE(BA6,BC6),BC6))))</f>
        <v>No</v>
      </c>
      <c r="BA6" s="8">
        <f>(0.0392*C6^IF(OR(Y6="Herbivore",Y6="Dendrovore",Y6="OmnivoreRough"),0.889,0.966))*C6^-0.135</f>
        <v>0.67990680055587938</v>
      </c>
      <c r="BB6" s="8">
        <f>IF(_xlfn.XLOOKUP(E6,Groups!A:A,Groups!BD:BD)=1,(0.048*C6^1.01)+(0.071*C6^1.03),0.071*C6^1.03)/IF(_xlfn.XLOOKUP(E6,Groups!A:A,Groups!M:M)=1,0.85,IF(OR(_xlfn.XLOOKUP(B6,Animals!B:B,Animals!AN:AN)&gt;4,_xlfn.XLOOKUP(E6,Groups!A:A,Groups!BB:BB)=1),1.7,1))*C6^-0.25</f>
        <v>2.2104452472979568</v>
      </c>
      <c r="BC6" s="8">
        <f>(0.048*C6^1.01)/IF(_xlfn.XLOOKUP(E6,Groups!A:A,Groups!M:M)=1,0.25,0.8)*C6^-0.25</f>
        <v>1.0645726010205852</v>
      </c>
      <c r="BD6" s="8">
        <f>EXP(1.076*LN(AO6)-4.5397)*IF(_xlfn.XLOOKUP(E6,Groups!A:A,Groups!BB:BB)=1,1.25,IF(_xlfn.XLOOKUP(E6,Groups!A:A,Groups!BC:BC)=1,3.5,2.5))</f>
        <v>61.296705303612796</v>
      </c>
      <c r="BE6" s="8">
        <f>EXP(1.076*LN(AP6)-4.5397)*IF(_xlfn.XLOOKUP(E6,Groups!A:A,Groups!M:M)=1,0.8,IF(_xlfn.XLOOKUP(E6,Groups!A:A,Groups!BB:BB)=1,1.3,3))</f>
        <v>80.7936741959725</v>
      </c>
      <c r="BF6" s="8" t="str">
        <f>IF(W6="No","No",IF(_xlfn.XLOOKUP(E6,Groups!A:A,Groups!U:U)=1,'Base stats'!BG6,IF(OR(_xlfn.XLOOKUP(E6,Groups!A:A,Groups!BC:BC)=1,_xlfn.XLOOKUP(E6,Groups!A:A,Groups!U:U)=2),BD6,BE6))*1.2)</f>
        <v>No</v>
      </c>
      <c r="BG6" s="8">
        <f>IFERROR(EXP(1.076*LN(AQ6)-4.5397)*IF(_xlfn.XLOOKUP(E6,Groups!A:A,Groups!N:N)="Insect",1,IF(OR(_xlfn.XLOOKUP(E6,Groups!A:A,Groups!N:N)="Pig",_xlfn.XLOOKUP(E6,Groups!A:A,Groups!N:N)="StrongBitingHerbivore"),3.5,3.75)),"No")</f>
        <v>11.515621009597833</v>
      </c>
      <c r="BH6" s="8">
        <f t="shared" si="5"/>
        <v>13</v>
      </c>
      <c r="BI6" s="8">
        <f t="shared" si="6"/>
        <v>8</v>
      </c>
      <c r="BJ6" s="8" t="str">
        <f>IF(W6="No","No",ROUNDDOWN(SQRT((2*BF6)/AZ6),0))</f>
        <v>No</v>
      </c>
      <c r="BK6" s="8">
        <f>IF(V6="No","No",ROUNDDOWN(SQRT((2*BG6)/AY6),0))</f>
        <v>7</v>
      </c>
      <c r="BL6" s="8">
        <f t="shared" si="7"/>
        <v>12</v>
      </c>
      <c r="BM6" s="8" cm="1">
        <f t="array" ref="BM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stats'!E6,Groups!A:A,Groups!P:P=0)),"No",IF(U6="No",AVERAGE(EXP(-0.57+0.99*LN(C6)),EXP(0.32+0.67*LN(C6)))/IF(_xlfn.XLOOKUP(E6,Groups!A:A,Groups!AD:AD)=1,10,2),(0.7354*C6^0.4078)*2/IF(_xlfn.XLOOKUP(E6,Groups!A:A,Groups!BJ:BJ)=1,1000,100)))</f>
        <v>6.8826173140535019E-2</v>
      </c>
      <c r="BN6" s="8" t="str">
        <f>IF(W6="No","No",IF(_xlfn.XLOOKUP(E6,Groups!A:A,Groups!BC:BC)=1,(AL6*5%),EXP(0.7354*LN(C6)^0.4078)*2/IF(_xlfn.XLOOKUP(E6,Groups!A:A,Groups!BK:BK)=1,1000,100)))</f>
        <v>No</v>
      </c>
      <c r="BO6" s="8">
        <f>IF(BG6="No","No",IF(_xlfn.XLOOKUP(E6,Groups!A:A,Groups!BE:BE)=1,(0.0315*C6+2.1825)*2,(0.7354*C6^0.4078)*2)/IF(_xlfn.XLOOKUP(E6,Groups!A:A,Groups!BL:BL)=1,1000,100))</f>
        <v>6.8826173140535019E-2</v>
      </c>
      <c r="BP6" s="8">
        <f>BD6/(AL6*5%)</f>
        <v>9.4384332546908756E-2</v>
      </c>
      <c r="BQ6" s="8">
        <f t="shared" si="8"/>
        <v>1173.8800881897246</v>
      </c>
      <c r="BR6" s="8" t="str">
        <f>IF(W6="No","No",BF6/BN6)</f>
        <v>No</v>
      </c>
      <c r="BS6" s="8">
        <f t="shared" si="9"/>
        <v>167.31456194846513</v>
      </c>
      <c r="BT6" s="4">
        <v>0</v>
      </c>
      <c r="BU6" s="4">
        <v>1</v>
      </c>
    </row>
    <row r="7" spans="1:73" x14ac:dyDescent="0.25">
      <c r="A7" s="26" t="s">
        <v>46</v>
      </c>
      <c r="B7" s="6" t="s">
        <v>47</v>
      </c>
      <c r="C7" s="7">
        <v>38.924999999999997</v>
      </c>
      <c r="D7" s="7" t="s">
        <v>514</v>
      </c>
      <c r="E7" s="7" t="str">
        <f>Groups!A9</f>
        <v>Bird</v>
      </c>
      <c r="F7" s="7" t="str">
        <f t="shared" si="10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1"/>
        <v>Lay eggs</v>
      </c>
      <c r="K7" s="7" t="s">
        <v>514</v>
      </c>
      <c r="L7" s="7">
        <f>$L$5*(C7/C5)^0.165</f>
        <v>40.363015055534014</v>
      </c>
      <c r="M7" s="7" t="s">
        <v>638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_xlfn.XLOOKUP(B7,[1]TeethAdjusters!$A:$A,[1]BiteAdjusters!$C:$C)</f>
        <v>1</v>
      </c>
      <c r="T7" s="7">
        <f>_xlfn.XLOOKUP(B7,[1]TeethAdjusters!$A:$A,[1]TeethAdjusters!$B:$B)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945</v>
      </c>
      <c r="Y7" s="4" t="s">
        <v>42</v>
      </c>
      <c r="Z7" s="4">
        <v>0</v>
      </c>
      <c r="AA7" s="4">
        <v>0</v>
      </c>
      <c r="AB7" s="4">
        <v>0</v>
      </c>
      <c r="AC7" s="4" t="s">
        <v>45</v>
      </c>
      <c r="AD7" s="4" t="s">
        <v>320</v>
      </c>
      <c r="AE7" s="28" t="s">
        <v>384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4" t="s">
        <v>40</v>
      </c>
      <c r="AL7" s="8">
        <f t="shared" si="0"/>
        <v>11994.208182815728</v>
      </c>
      <c r="AM7" s="8">
        <f>IFERROR(C7*_xlfn.XLOOKUP(E7,Groups!A:A,Groups!K:K),0.106*C7^0.94)</f>
        <v>3.3122321570258504</v>
      </c>
      <c r="AN7" s="8">
        <f>AM7*10000/(_xlfn.XLOOKUP(E7,Groups!A:A,Groups!J:J)*AL7)</f>
        <v>2.5335103842390416</v>
      </c>
      <c r="AO7" s="8">
        <f t="shared" si="1"/>
        <v>1198.6899552298667</v>
      </c>
      <c r="AP7" s="8">
        <f>IF(_xlfn.XLOOKUP(E7,Groups!A:A,Groups!M:M)=1,EXP(0.7444*LN('Base stats'!C7)+6.5696),EXP(0.7927*LN('Base stats'!C7)+4.28))</f>
        <v>1316.2991795574835</v>
      </c>
      <c r="AQ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"No")))))))))))))))</f>
        <v>177.14145730489139</v>
      </c>
      <c r="AR7" s="8">
        <f>IF(_xlfn.XLOOKUP(E7,Groups!A:A,Groups!U:U)=3,AP7,IF(_xlfn.XLOOKUP(E7,Groups!A:A,Groups!U:U)=2,AO7,AQ7))</f>
        <v>177.14145730489139</v>
      </c>
      <c r="AS7" s="46">
        <f>IFERROR(AVERAGE(_xlfn.XLOOKUP(B7,Animals!B:B,Animals!M:M),_xlfn.XLOOKUP(B7,Animals!B:B,Animals!N:N)),0)</f>
        <v>0</v>
      </c>
      <c r="AT7" s="8">
        <f>MROUND(40*Animals!AN7*_xlfn.XLOOKUP(Animals!AZ7,Leathers!$A$2:$A$100,Leathers!$B$2:$B$100,0)+(140*_xlfn.XLOOKUP(B7,Animals!B:B,Animals!AN:AN)*2),5)</f>
        <v>265</v>
      </c>
      <c r="AU7" s="8">
        <f>IFERROR(ROUND(SQRT(V7-1)*IF(_xlfn.XLOOKUP(E7,Groups!A:A,Groups!BE:BE)=0,2,1)*IF(_xlfn.XLOOKUP('Base stats'!E7,Groups!A:A,Groups!O:O)=0,1,0.1),1),0)</f>
        <v>0.2</v>
      </c>
      <c r="AV7" s="8">
        <f t="shared" si="2"/>
        <v>1.2</v>
      </c>
      <c r="AW7" s="8">
        <f t="shared" si="3"/>
        <v>0</v>
      </c>
      <c r="AX7" s="8">
        <f t="shared" si="4"/>
        <v>3</v>
      </c>
      <c r="AY7" s="8">
        <f>IF(_xlfn.XLOOKUP(E7,Groups!A:A,Groups!N:N)="Insect",BA7*2.5,IFERROR(AVERAGE(BA7,AQ7/9.81/IF(OR(_xlfn.XLOOKUP(E7,Groups!A:A,Groups!N:N)="Pig",_xlfn.XLOOKUP(E7,Groups!A:A,Groups!N:N)="StrongBitingHerbivore"),20,25))*C7^-0.135,BA7))</f>
        <v>0.40935627162584132</v>
      </c>
      <c r="AZ7" s="8" t="str">
        <f>IF(W7="No","No",IF(_xlfn.XLOOKUP(E7,Groups!A:A,Groups!U:U)=1,'Base stats'!AY7,IF(OR(_xlfn.XLOOKUP(E7,Groups!A:A,Groups!BC:BC)=1,_xlfn.XLOOKUP(E7,Groups!A:A,Groups!U:U)=2),BA7,IF(_xlfn.XLOOKUP(B7,Animals!B:B,Animals!AN:AN)&gt;4,AVERAGE(BA7,BC7),BC7))))</f>
        <v>No</v>
      </c>
      <c r="BA7" s="8">
        <f>(0.0392*C7^IF(OR(Y7="Herbivore",Y7="Dendrovore",Y7="OmnivoreRough"),0.889,0.966))*C7^-0.135</f>
        <v>0.61989544824565768</v>
      </c>
      <c r="BB7" s="8">
        <f>IF(_xlfn.XLOOKUP(E7,Groups!A:A,Groups!BD:BD)=1,(0.048*C7^1.01)+(0.071*C7^1.03),0.071*C7^1.03)/IF(_xlfn.XLOOKUP(E7,Groups!A:A,Groups!M:M)=1,0.85,IF(OR(_xlfn.XLOOKUP(B7,Animals!B:B,Animals!AN:AN)&gt;4,_xlfn.XLOOKUP(E7,Groups!A:A,Groups!BB:BB)=1),1.7,1))*C7^-0.25</f>
        <v>2.0108303876739249</v>
      </c>
      <c r="BC7" s="8">
        <f>(0.048*C7^1.01)/IF(_xlfn.XLOOKUP(E7,Groups!A:A,Groups!M:M)=1,0.25,0.8)*C7^-0.25</f>
        <v>0.96989562992157141</v>
      </c>
      <c r="BD7" s="8">
        <f>EXP(1.076*LN(AO7)-4.5397)*IF(_xlfn.XLOOKUP(E7,Groups!A:A,Groups!BB:BB)=1,1.25,IF(_xlfn.XLOOKUP(E7,Groups!A:A,Groups!BC:BC)=1,3.5,2.5))</f>
        <v>54.835516318642945</v>
      </c>
      <c r="BE7" s="8">
        <f>EXP(1.076*LN(AP7)-4.5397)*IF(_xlfn.XLOOKUP(E7,Groups!A:A,Groups!M:M)=1,0.8,IF(_xlfn.XLOOKUP(E7,Groups!A:A,Groups!BB:BB)=1,1.3,3))</f>
        <v>72.774655160809999</v>
      </c>
      <c r="BF7" s="8" t="str">
        <f>IF(W7="No","No",IF(_xlfn.XLOOKUP(E7,Groups!A:A,Groups!U:U)=1,'Base stats'!BG7,IF(OR(_xlfn.XLOOKUP(E7,Groups!A:A,Groups!BC:BC)=1,_xlfn.XLOOKUP(E7,Groups!A:A,Groups!U:U)=2),BD7,BE7))*1.2)</f>
        <v>No</v>
      </c>
      <c r="BG7" s="8">
        <f>IFERROR(EXP(1.076*LN(AQ7)-4.5397)*IF(_xlfn.XLOOKUP(E7,Groups!A:A,Groups!N:N)="Insect",1,IF(OR(_xlfn.XLOOKUP(E7,Groups!A:A,Groups!N:N)="Pig",_xlfn.XLOOKUP(E7,Groups!A:A,Groups!N:N)="StrongBitingHerbivore"),3.5,3.75)),"No")</f>
        <v>10.511317578789491</v>
      </c>
      <c r="BH7" s="8">
        <f t="shared" si="5"/>
        <v>13</v>
      </c>
      <c r="BI7" s="8">
        <f t="shared" si="6"/>
        <v>8</v>
      </c>
      <c r="BJ7" s="8" t="str">
        <f>IF(W7="No","No",ROUNDDOWN(SQRT((2*BF7)/AZ7),0))</f>
        <v>No</v>
      </c>
      <c r="BK7" s="8">
        <f>IF(V7="No","No",ROUNDDOWN(SQRT((2*BG7)/AY7),0))</f>
        <v>7</v>
      </c>
      <c r="BL7" s="8">
        <f t="shared" si="7"/>
        <v>12</v>
      </c>
      <c r="BM7" s="8" cm="1">
        <f t="array" ref="BM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stats'!E7,Groups!A:A,Groups!P:P=0)),"No",IF(U7="No",AVERAGE(EXP(-0.57+0.99*LN(C7)),EXP(0.32+0.67*LN(C7)))/IF(_xlfn.XLOOKUP(E7,Groups!A:A,Groups!AD:AD)=1,10,2),(0.7354*C7^0.4078)*2/IF(_xlfn.XLOOKUP(E7,Groups!A:A,Groups!BJ:BJ)=1,1000,100)))</f>
        <v>6.5470981695459313E-2</v>
      </c>
      <c r="BN7" s="8" t="str">
        <f>IF(W7="No","No",IF(_xlfn.XLOOKUP(E7,Groups!A:A,Groups!BC:BC)=1,(AL7*5%),EXP(0.7354*LN(C7)^0.4078)*2/IF(_xlfn.XLOOKUP(E7,Groups!A:A,Groups!BK:BK)=1,1000,100)))</f>
        <v>No</v>
      </c>
      <c r="BO7" s="8">
        <f>IF(BG7="No","No",IF(_xlfn.XLOOKUP(E7,Groups!A:A,Groups!BE:BE)=1,(0.0315*C7+2.1825)*2,(0.7354*C7^0.4078)*2)/IF(_xlfn.XLOOKUP(E7,Groups!A:A,Groups!BL:BL)=1,1000,100))</f>
        <v>6.5470981695459313E-2</v>
      </c>
      <c r="BP7" s="8">
        <f>BD7/(AL7*5%)</f>
        <v>9.1436659232256065E-2</v>
      </c>
      <c r="BQ7" s="8">
        <f t="shared" si="8"/>
        <v>1111.5558874513902</v>
      </c>
      <c r="BR7" s="8" t="str">
        <f>IF(W7="No","No",BF7/BN7)</f>
        <v>No</v>
      </c>
      <c r="BS7" s="8">
        <f t="shared" si="9"/>
        <v>160.54925871866826</v>
      </c>
      <c r="BT7" s="4">
        <v>0</v>
      </c>
      <c r="BU7" s="4">
        <v>1</v>
      </c>
    </row>
    <row r="8" spans="1:73" x14ac:dyDescent="0.25">
      <c r="A8" s="26" t="s">
        <v>48</v>
      </c>
      <c r="B8" s="27" t="s">
        <v>927</v>
      </c>
      <c r="C8" s="7">
        <v>6.05</v>
      </c>
      <c r="D8" s="7" t="s">
        <v>515</v>
      </c>
      <c r="E8" s="7" t="str">
        <f>Groups!A9</f>
        <v>Bird</v>
      </c>
      <c r="F8" s="7" t="str">
        <f t="shared" si="10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1"/>
        <v>Lay eggs</v>
      </c>
      <c r="K8" s="7" t="s">
        <v>515</v>
      </c>
      <c r="L8" s="7">
        <f>10*1.60934</f>
        <v>16.093399999999999</v>
      </c>
      <c r="M8" s="7" t="s">
        <v>640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_xlfn.XLOOKUP(B8,[1]TeethAdjusters!$A:$A,[1]BiteAdjusters!$C:$C)</f>
        <v>1</v>
      </c>
      <c r="T8" s="7">
        <f>_xlfn.XLOOKUP(B8,[1]TeethAdjusters!$A:$A,[1]TeethAdjusters!$B:$B)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945</v>
      </c>
      <c r="Y8" s="4" t="s">
        <v>42</v>
      </c>
      <c r="Z8" s="4">
        <v>0</v>
      </c>
      <c r="AA8" s="4">
        <v>0</v>
      </c>
      <c r="AB8" s="4">
        <v>0</v>
      </c>
      <c r="AC8" s="4" t="s">
        <v>45</v>
      </c>
      <c r="AD8" s="4" t="s">
        <v>407</v>
      </c>
      <c r="AE8" s="28" t="s">
        <v>45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4" t="s">
        <v>40</v>
      </c>
      <c r="AL8" s="8">
        <f t="shared" si="0"/>
        <v>3576.5472944670596</v>
      </c>
      <c r="AM8" s="8">
        <f>IFERROR(C8*_xlfn.XLOOKUP(E8,Groups!A:A,Groups!K:K),0.106*C8^0.94)</f>
        <v>0.57564656494124489</v>
      </c>
      <c r="AN8" s="8">
        <f>AM8*10000/(_xlfn.XLOOKUP(E8,Groups!A:A,Groups!J:J)*AL8)</f>
        <v>1.4766087825596328</v>
      </c>
      <c r="AO8" s="8">
        <f t="shared" si="1"/>
        <v>248.76513599148771</v>
      </c>
      <c r="AP8" s="8">
        <f>IF(_xlfn.XLOOKUP(E8,Groups!A:A,Groups!M:M)=1,EXP(0.7444*LN('Base stats'!C8)+6.5696),EXP(0.7927*LN('Base stats'!C8)+4.28))</f>
        <v>300.93858044455749</v>
      </c>
      <c r="AQ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"No")))))))))))))))</f>
        <v>48.849117987211052</v>
      </c>
      <c r="AR8" s="8">
        <f>IF(_xlfn.XLOOKUP(E8,Groups!A:A,Groups!U:U)=3,AP8,IF(_xlfn.XLOOKUP(E8,Groups!A:A,Groups!U:U)=2,AO8,AQ8))</f>
        <v>48.849117987211052</v>
      </c>
      <c r="AS8" s="46">
        <f>IFERROR(AVERAGE(_xlfn.XLOOKUP(B8,Animals!B:B,Animals!M:M),_xlfn.XLOOKUP(B8,Animals!B:B,Animals!N:N)),0)</f>
        <v>0</v>
      </c>
      <c r="AT8" s="8">
        <f>MROUND(40*Animals!AN8*_xlfn.XLOOKUP(Animals!AZ8,Leathers!$A$2:$A$100,Leathers!$B$2:$B$100,0)+(140*_xlfn.XLOOKUP(B8,Animals!B:B,Animals!AN:AN)*2),5)</f>
        <v>100</v>
      </c>
      <c r="AU8" s="8">
        <f>IFERROR(ROUND(SQRT(V8-1)*IF(_xlfn.XLOOKUP(E8,Groups!A:A,Groups!BE:BE)=0,2,1)*IF(_xlfn.XLOOKUP('Base stats'!E8,Groups!A:A,Groups!O:O)=0,1,0.1),1),0)</f>
        <v>0.2</v>
      </c>
      <c r="AV8" s="8">
        <f t="shared" si="2"/>
        <v>1.7</v>
      </c>
      <c r="AW8" s="8">
        <f t="shared" si="3"/>
        <v>0</v>
      </c>
      <c r="AX8" s="8">
        <f t="shared" si="4"/>
        <v>1.2</v>
      </c>
      <c r="AY8" s="8">
        <f>IF(_xlfn.XLOOKUP(E8,Groups!A:A,Groups!N:N)="Insect",BA8*2.5,IFERROR(AVERAGE(BA8,AQ8/9.81/IF(OR(_xlfn.XLOOKUP(E8,Groups!A:A,Groups!N:N)="Pig",_xlfn.XLOOKUP(E8,Groups!A:A,Groups!N:N)="StrongBitingHerbivore"),20,25))*C8^-0.135,BA8))</f>
        <v>0.13783123466243782</v>
      </c>
      <c r="AZ8" s="8" t="str">
        <f>IF(W8="No","No",IF(_xlfn.XLOOKUP(E8,Groups!A:A,Groups!U:U)=1,'Base stats'!AY8,IF(OR(_xlfn.XLOOKUP(E8,Groups!A:A,Groups!BC:BC)=1,_xlfn.XLOOKUP(E8,Groups!A:A,Groups!U:U)=2),BA8,IF(_xlfn.XLOOKUP(B8,Animals!B:B,Animals!AN:AN)&gt;4,AVERAGE(BA8,BC8),BC8))))</f>
        <v>No</v>
      </c>
      <c r="BA8" s="8">
        <f>(0.0392*C8^IF(OR(Y8="Herbivore",Y8="Dendrovore",Y8="OmnivoreRough"),0.889,0.966))*C8^-0.135</f>
        <v>0.15231042133409653</v>
      </c>
      <c r="BB8" s="8">
        <f>IF(_xlfn.XLOOKUP(E8,Groups!A:A,Groups!BD:BD)=1,(0.048*C8^1.01)+(0.071*C8^1.03),0.071*C8^1.03)/IF(_xlfn.XLOOKUP(E8,Groups!A:A,Groups!M:M)=1,0.85,IF(OR(_xlfn.XLOOKUP(B8,Animals!B:B,Animals!AN:AN)&gt;4,_xlfn.XLOOKUP(E8,Groups!A:A,Groups!BB:BB)=1),1.7,1))*C8^-0.25</f>
        <v>0.47761408652845422</v>
      </c>
      <c r="BC8" s="8">
        <f>(0.048*C8^1.01)/IF(_xlfn.XLOOKUP(E8,Groups!A:A,Groups!M:M)=1,0.25,0.8)*C8^-0.25</f>
        <v>0.23565970794424401</v>
      </c>
      <c r="BD8" s="8">
        <f>EXP(1.076*LN(AO8)-4.5397)*IF(_xlfn.XLOOKUP(E8,Groups!A:A,Groups!BB:BB)=1,1.25,IF(_xlfn.XLOOKUP(E8,Groups!A:A,Groups!BC:BC)=1,3.5,2.5))</f>
        <v>10.098174401377193</v>
      </c>
      <c r="BE8" s="8">
        <f>EXP(1.076*LN(AP8)-4.5397)*IF(_xlfn.XLOOKUP(E8,Groups!A:A,Groups!M:M)=1,0.8,IF(_xlfn.XLOOKUP(E8,Groups!A:A,Groups!BB:BB)=1,1.3,3))</f>
        <v>14.872938469288957</v>
      </c>
      <c r="BF8" s="8" t="str">
        <f>IF(W8="No","No",IF(_xlfn.XLOOKUP(E8,Groups!A:A,Groups!U:U)=1,'Base stats'!BG8,IF(OR(_xlfn.XLOOKUP(E8,Groups!A:A,Groups!BC:BC)=1,_xlfn.XLOOKUP(E8,Groups!A:A,Groups!U:U)=2),BD8,BE8))*1.2)</f>
        <v>No</v>
      </c>
      <c r="BG8" s="8">
        <f>IFERROR(EXP(1.076*LN(AQ8)-4.5397)*IF(_xlfn.XLOOKUP(E8,Groups!A:A,Groups!N:N)="Insect",1,IF(OR(_xlfn.XLOOKUP(E8,Groups!A:A,Groups!N:N)="Pig",_xlfn.XLOOKUP(E8,Groups!A:A,Groups!N:N)="StrongBitingHerbivore"),3.5,3.75)),"No")</f>
        <v>2.6282970404018968</v>
      </c>
      <c r="BH8" s="8">
        <f t="shared" si="5"/>
        <v>11</v>
      </c>
      <c r="BI8" s="8">
        <f t="shared" si="6"/>
        <v>7</v>
      </c>
      <c r="BJ8" s="8" t="str">
        <f>IF(W8="No","No",ROUNDDOWN(SQRT((2*BF8)/AZ8),0))</f>
        <v>No</v>
      </c>
      <c r="BK8" s="8">
        <f>IF(V8="No","No",ROUNDDOWN(SQRT((2*BG8)/AY8),0))</f>
        <v>6</v>
      </c>
      <c r="BL8" s="8">
        <f t="shared" si="7"/>
        <v>11</v>
      </c>
      <c r="BM8" s="8" cm="1">
        <f t="array" ref="BM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stats'!E8,Groups!A:A,Groups!P:P=0)),"No",IF(U8="No",AVERAGE(EXP(-0.57+0.99*LN(C8)),EXP(0.32+0.67*LN(C8)))/IF(_xlfn.XLOOKUP(E8,Groups!A:A,Groups!AD:AD)=1,10,2),(0.7354*C8^0.4078)*2/IF(_xlfn.XLOOKUP(E8,Groups!A:A,Groups!BJ:BJ)=1,1000,100)))</f>
        <v>3.0644565145643288E-2</v>
      </c>
      <c r="BN8" s="8" t="str">
        <f>IF(W8="No","No",IF(_xlfn.XLOOKUP(E8,Groups!A:A,Groups!BC:BC)=1,(AL8*5%),EXP(0.7354*LN(C8)^0.4078)*2/IF(_xlfn.XLOOKUP(E8,Groups!A:A,Groups!BK:BK)=1,1000,100)))</f>
        <v>No</v>
      </c>
      <c r="BO8" s="8">
        <f>IF(BG8="No","No",IF(_xlfn.XLOOKUP(E8,Groups!A:A,Groups!BE:BE)=1,(0.0315*C8+2.1825)*2,(0.7354*C8^0.4078)*2)/IF(_xlfn.XLOOKUP(E8,Groups!A:A,Groups!BL:BL)=1,1000,100))</f>
        <v>3.0644565145643288E-2</v>
      </c>
      <c r="BP8" s="8">
        <f>BD8/(AL8*5%)</f>
        <v>5.6468843104628477E-2</v>
      </c>
      <c r="BQ8" s="8">
        <f t="shared" si="8"/>
        <v>485.33690716780922</v>
      </c>
      <c r="BR8" s="8" t="str">
        <f>IF(W8="No","No",BF8/BN8)</f>
        <v>No</v>
      </c>
      <c r="BS8" s="8">
        <f t="shared" si="9"/>
        <v>85.767150811587214</v>
      </c>
      <c r="BT8" s="4">
        <v>0</v>
      </c>
      <c r="BU8" s="4">
        <v>1</v>
      </c>
    </row>
    <row r="9" spans="1:73" x14ac:dyDescent="0.25">
      <c r="A9" s="26" t="s">
        <v>49</v>
      </c>
      <c r="B9" s="27" t="s">
        <v>929</v>
      </c>
      <c r="C9" s="7">
        <f>AVERAGE(AVERAGE(7,9),AVERAGE(5,7))</f>
        <v>7</v>
      </c>
      <c r="D9" s="7" t="s">
        <v>948</v>
      </c>
      <c r="E9" s="7" t="str">
        <f>Groups!A6</f>
        <v>Bird (water)</v>
      </c>
      <c r="F9" s="7" t="str">
        <f t="shared" si="10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1"/>
        <v>Lay eggs</v>
      </c>
      <c r="K9" s="7" t="s">
        <v>524</v>
      </c>
      <c r="L9" s="7">
        <f>8.2*1.60934</f>
        <v>13.196587999999998</v>
      </c>
      <c r="M9" s="7" t="s">
        <v>640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_xlfn.XLOOKUP(B9,[1]TeethAdjusters!$A:$A,[1]BiteAdjusters!$C:$C)</f>
        <v>1</v>
      </c>
      <c r="T9" s="7">
        <f>_xlfn.XLOOKUP(B9,[1]TeethAdjusters!$A:$A,[1]TeethAdjusters!$B:$B)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945</v>
      </c>
      <c r="Y9" s="4" t="s">
        <v>42</v>
      </c>
      <c r="Z9" s="4">
        <v>0</v>
      </c>
      <c r="AA9" s="4">
        <v>0</v>
      </c>
      <c r="AB9" s="4">
        <v>0</v>
      </c>
      <c r="AC9" s="4" t="s">
        <v>45</v>
      </c>
      <c r="AD9" s="4" t="s">
        <v>407</v>
      </c>
      <c r="AE9" s="28" t="s">
        <v>45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4" t="s">
        <v>40</v>
      </c>
      <c r="AL9" s="8">
        <f t="shared" si="0"/>
        <v>3932.2100134345378</v>
      </c>
      <c r="AM9" s="8">
        <f>IFERROR(C9*_xlfn.XLOOKUP(E9,Groups!A:A,Groups!K:K),0.106*C9^0.94)</f>
        <v>0.66023420902049956</v>
      </c>
      <c r="AN9" s="8">
        <f>AM9*10000/(_xlfn.XLOOKUP(E9,Groups!A:A,Groups!J:J)*AL9)</f>
        <v>1.5404046471259409</v>
      </c>
      <c r="AO9" s="8">
        <f t="shared" si="1"/>
        <v>281.38119135361171</v>
      </c>
      <c r="AP9" s="8">
        <f>IF(_xlfn.XLOOKUP(E9,Groups!A:A,Groups!M:M)=1,EXP(0.7444*LN('Base stats'!C9)+6.5696),EXP(0.7927*LN('Base stats'!C9)+4.28))</f>
        <v>337.82329913378123</v>
      </c>
      <c r="AQ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"No")))))))))))))))</f>
        <v>54.036828409463233</v>
      </c>
      <c r="AR9" s="8">
        <f>IF(_xlfn.XLOOKUP(E9,Groups!A:A,Groups!U:U)=3,AP9,IF(_xlfn.XLOOKUP(E9,Groups!A:A,Groups!U:U)=2,AO9,AQ9))</f>
        <v>54.036828409463233</v>
      </c>
      <c r="AS9" s="46">
        <f>IFERROR(AVERAGE(_xlfn.XLOOKUP(B9,Animals!B:B,Animals!M:M),_xlfn.XLOOKUP(B9,Animals!B:B,Animals!N:N)),0)</f>
        <v>0</v>
      </c>
      <c r="AT9" s="8">
        <f>MROUND(40*Animals!AN9*_xlfn.XLOOKUP(Animals!AZ9,Leathers!$A$2:$A$100,Leathers!$B$2:$B$100,0)+(140*_xlfn.XLOOKUP(B9,Animals!B:B,Animals!AN:AN)*2),5)</f>
        <v>100</v>
      </c>
      <c r="AU9" s="8">
        <f>IFERROR(ROUND(SQRT(V9-1)*IF(_xlfn.XLOOKUP(E9,Groups!A:A,Groups!BE:BE)=0,2,1)*IF(_xlfn.XLOOKUP('Base stats'!E9,Groups!A:A,Groups!O:O)=0,1,0.1),1),0)</f>
        <v>0.2</v>
      </c>
      <c r="AV9" s="8">
        <f t="shared" si="2"/>
        <v>0</v>
      </c>
      <c r="AW9" s="8">
        <f t="shared" si="3"/>
        <v>0</v>
      </c>
      <c r="AX9" s="8">
        <f t="shared" si="4"/>
        <v>1.3</v>
      </c>
      <c r="AY9" s="8">
        <f>IF(_xlfn.XLOOKUP(E9,Groups!A:A,Groups!N:N)="Insect",BA9*2.5,IFERROR(AVERAGE(BA9,AQ9/9.81/IF(OR(_xlfn.XLOOKUP(E9,Groups!A:A,Groups!N:N)="Pig",_xlfn.XLOOKUP(E9,Groups!A:A,Groups!N:N)="StrongBitingHerbivore"),20,25))*C9^-0.135,BA9))</f>
        <v>0.15008443392714035</v>
      </c>
      <c r="AZ9" s="8" t="str">
        <f>IF(W9="No","No",IF(_xlfn.XLOOKUP(E9,Groups!A:A,Groups!U:U)=1,'Base stats'!AY9,IF(OR(_xlfn.XLOOKUP(E9,Groups!A:A,Groups!BC:BC)=1,_xlfn.XLOOKUP(E9,Groups!A:A,Groups!U:U)=2),BA9,IF(_xlfn.XLOOKUP(B9,Animals!B:B,Animals!AN:AN)&gt;4,AVERAGE(BA9,BC9),BC9))))</f>
        <v>No</v>
      </c>
      <c r="BA9" s="8">
        <f>(0.0392*C9^IF(OR(Y9="Herbivore",Y9="Dendrovore",Y9="OmnivoreRough"),0.889,0.966))*C9^-0.135</f>
        <v>0.17001607632285015</v>
      </c>
      <c r="BB9" s="8">
        <f>IF(_xlfn.XLOOKUP(E9,Groups!A:A,Groups!BD:BD)=1,(0.048*C9^1.01)+(0.071*C9^1.03),0.071*C9^1.03)/IF(_xlfn.XLOOKUP(E9,Groups!A:A,Groups!M:M)=1,0.85,IF(OR(_xlfn.XLOOKUP(B9,Animals!B:B,Animals!AN:AN)&gt;4,_xlfn.XLOOKUP(E9,Groups!A:A,Groups!BB:BB)=1),1.7,1))*C9^-0.25</f>
        <v>0.53454563159771051</v>
      </c>
      <c r="BC9" s="8">
        <f>(0.048*C9^1.01)/IF(_xlfn.XLOOKUP(E9,Groups!A:A,Groups!M:M)=1,0.25,0.8)*C9^-0.25</f>
        <v>0.26328478406986983</v>
      </c>
      <c r="BD9" s="8">
        <f>EXP(1.076*LN(AO9)-4.5397)*IF(_xlfn.XLOOKUP(E9,Groups!A:A,Groups!BB:BB)=1,1.25,IF(_xlfn.XLOOKUP(E9,Groups!A:A,Groups!BC:BC)=1,3.5,2.5))</f>
        <v>11.529615867397807</v>
      </c>
      <c r="BE9" s="8">
        <f>EXP(1.076*LN(AP9)-4.5397)*IF(_xlfn.XLOOKUP(E9,Groups!A:A,Groups!M:M)=1,0.8,IF(_xlfn.XLOOKUP(E9,Groups!A:A,Groups!BB:BB)=1,1.3,3))</f>
        <v>16.843199922878384</v>
      </c>
      <c r="BF9" s="8" t="str">
        <f>IF(W9="No","No",IF(_xlfn.XLOOKUP(E9,Groups!A:A,Groups!U:U)=1,'Base stats'!BG9,IF(OR(_xlfn.XLOOKUP(E9,Groups!A:A,Groups!BC:BC)=1,_xlfn.XLOOKUP(E9,Groups!A:A,Groups!U:U)=2),BD9,BE9))*1.2)</f>
        <v>No</v>
      </c>
      <c r="BG9" s="8">
        <f>IFERROR(EXP(1.076*LN(AQ9)-4.5397)*IF(_xlfn.XLOOKUP(E9,Groups!A:A,Groups!N:N)="Insect",1,IF(OR(_xlfn.XLOOKUP(E9,Groups!A:A,Groups!N:N)="Pig",_xlfn.XLOOKUP(E9,Groups!A:A,Groups!N:N)="StrongBitingHerbivore"),3.5,3.75)),"No")</f>
        <v>2.9298061607967276</v>
      </c>
      <c r="BH9" s="8">
        <f t="shared" si="5"/>
        <v>11</v>
      </c>
      <c r="BI9" s="8">
        <f t="shared" si="6"/>
        <v>7</v>
      </c>
      <c r="BJ9" s="8" t="str">
        <f>IF(W9="No","No",ROUNDDOWN(SQRT((2*BF9)/AZ9),0))</f>
        <v>No</v>
      </c>
      <c r="BK9" s="8">
        <f>IF(V9="No","No",ROUNDDOWN(SQRT((2*BG9)/AY9),0))</f>
        <v>6</v>
      </c>
      <c r="BL9" s="8">
        <f t="shared" si="7"/>
        <v>11</v>
      </c>
      <c r="BM9" s="8" t="str" cm="1">
        <f t="array" ref="BM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stats'!E9,Groups!A:A,Groups!P:P=0)),"No",IF(U9="No",AVERAGE(EXP(-0.57+0.99*LN(C9)),EXP(0.32+0.67*LN(C9)))/IF(_xlfn.XLOOKUP(E9,Groups!A:A,Groups!AD:AD)=1,10,2),(0.7354*C9^0.4078)*2/IF(_xlfn.XLOOKUP(E9,Groups!A:A,Groups!BJ:BJ)=1,1000,100)))</f>
        <v>No</v>
      </c>
      <c r="BN9" s="8" t="str">
        <f>IF(W9="No","No",IF(_xlfn.XLOOKUP(E9,Groups!A:A,Groups!BC:BC)=1,(AL9*5%),EXP(0.7354*LN(C9)^0.4078)*2/IF(_xlfn.XLOOKUP(E9,Groups!A:A,Groups!BK:BK)=1,1000,100)))</f>
        <v>No</v>
      </c>
      <c r="BO9" s="8">
        <f>IF(BG9="No","No",IF(_xlfn.XLOOKUP(E9,Groups!A:A,Groups!BE:BE)=1,(0.0315*C9+2.1825)*2,(0.7354*C9^0.4078)*2)/IF(_xlfn.XLOOKUP(E9,Groups!A:A,Groups!BL:BL)=1,1000,100))</f>
        <v>3.2522550888977909E-2</v>
      </c>
      <c r="BP9" s="8">
        <f>BD9/(AL9*5%)</f>
        <v>5.8641912959920536E-2</v>
      </c>
      <c r="BQ9" s="8" t="str">
        <f t="shared" si="8"/>
        <v>No</v>
      </c>
      <c r="BR9" s="8" t="str">
        <f>IF(W9="No","No",BF9/BN9)</f>
        <v>No</v>
      </c>
      <c r="BS9" s="8">
        <f t="shared" si="9"/>
        <v>90.085374016269327</v>
      </c>
      <c r="BT9" s="4">
        <v>0</v>
      </c>
      <c r="BU9" s="4">
        <v>1</v>
      </c>
    </row>
    <row r="10" spans="1:73" x14ac:dyDescent="0.25">
      <c r="A10" s="26" t="s">
        <v>50</v>
      </c>
      <c r="B10" s="27" t="s">
        <v>928</v>
      </c>
      <c r="C10" s="7">
        <v>1.048</v>
      </c>
      <c r="D10" s="7" t="s">
        <v>516</v>
      </c>
      <c r="E10" s="7" t="str">
        <f>Groups!A6</f>
        <v>Bird (water)</v>
      </c>
      <c r="F10" s="7" t="str">
        <f t="shared" si="10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1"/>
        <v>Lay eggs</v>
      </c>
      <c r="K10" s="7" t="s">
        <v>516</v>
      </c>
      <c r="L10" s="7">
        <f>8.2*1.60934</f>
        <v>13.196587999999998</v>
      </c>
      <c r="M10" s="7" t="s">
        <v>640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_xlfn.XLOOKUP(B10,[1]TeethAdjusters!$A:$A,[1]BiteAdjusters!$C:$C)</f>
        <v>1</v>
      </c>
      <c r="T10" s="7">
        <f>_xlfn.XLOOKUP(B10,[1]TeethAdjusters!$A:$A,[1]TeethAdjusters!$B:$B)</f>
        <v>1</v>
      </c>
      <c r="U10" s="7" t="s">
        <v>45</v>
      </c>
      <c r="V10" s="7">
        <v>2</v>
      </c>
      <c r="W10" s="7" t="s">
        <v>45</v>
      </c>
      <c r="X10" s="7" t="s">
        <v>945</v>
      </c>
      <c r="Y10" s="4" t="s">
        <v>42</v>
      </c>
      <c r="Z10" s="4">
        <v>0</v>
      </c>
      <c r="AA10" s="4">
        <v>0</v>
      </c>
      <c r="AB10" s="4">
        <v>0</v>
      </c>
      <c r="AC10" s="4" t="s">
        <v>45</v>
      </c>
      <c r="AD10" s="4" t="s">
        <v>407</v>
      </c>
      <c r="AE10" s="28" t="s">
        <v>45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4" t="s">
        <v>40</v>
      </c>
      <c r="AL10" s="8">
        <f t="shared" si="0"/>
        <v>1144.3472031391052</v>
      </c>
      <c r="AM10" s="8">
        <f>IFERROR(C10*_xlfn.XLOOKUP(E10,Groups!A:A,Groups!K:K),0.106*C10^0.94)</f>
        <v>0.1107759468834274</v>
      </c>
      <c r="AN10" s="8">
        <f>AM10*10000/(_xlfn.XLOOKUP(E10,Groups!A:A,Groups!J:J)*AL10)</f>
        <v>0.8880985490118829</v>
      </c>
      <c r="AO10" s="8">
        <f t="shared" si="1"/>
        <v>56.577001290545205</v>
      </c>
      <c r="AP10" s="8">
        <f>IF(_xlfn.XLOOKUP(E10,Groups!A:A,Groups!M:M)=1,EXP(0.7444*LN('Base stats'!C10)+6.5696),EXP(0.7927*LN('Base stats'!C10)+4.28))</f>
        <v>74.975741799342956</v>
      </c>
      <c r="AQ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"No")))))))))))))))</f>
        <v>14.520180493209054</v>
      </c>
      <c r="AR10" s="8">
        <f>IF(_xlfn.XLOOKUP(E10,Groups!A:A,Groups!U:U)=3,AP10,IF(_xlfn.XLOOKUP(E10,Groups!A:A,Groups!U:U)=2,AO10,AQ10))</f>
        <v>14.520180493209054</v>
      </c>
      <c r="AS10" s="46">
        <f>IFERROR(AVERAGE(_xlfn.XLOOKUP(B10,Animals!B:B,Animals!M:M),_xlfn.XLOOKUP(B10,Animals!B:B,Animals!N:N)),0)</f>
        <v>0</v>
      </c>
      <c r="AT10" s="8">
        <f>MROUND(40*Animals!AN10*_xlfn.XLOOKUP(Animals!AZ10,Leathers!$A$2:$A$100,Leathers!$B$2:$B$100,0)+(140*_xlfn.XLOOKUP(B10,Animals!B:B,Animals!AN:AN)*2),5)</f>
        <v>40</v>
      </c>
      <c r="AU10" s="8">
        <f>IFERROR(ROUND(SQRT(V10-1)*IF(_xlfn.XLOOKUP(E10,Groups!A:A,Groups!BE:BE)=0,2,1)*IF(_xlfn.XLOOKUP('Base stats'!E10,Groups!A:A,Groups!O:O)=0,1,0.1),1),0)</f>
        <v>0.1</v>
      </c>
      <c r="AV10" s="8">
        <f t="shared" si="2"/>
        <v>0</v>
      </c>
      <c r="AW10" s="8">
        <f t="shared" si="3"/>
        <v>0</v>
      </c>
      <c r="AX10" s="8">
        <f t="shared" si="4"/>
        <v>0.6</v>
      </c>
      <c r="AY10" s="8">
        <f>IF(_xlfn.XLOOKUP(E10,Groups!A:A,Groups!N:N)="Insect",BA10*2.5,IFERROR(AVERAGE(BA10,AQ10/9.81/IF(OR(_xlfn.XLOOKUP(E10,Groups!A:A,Groups!N:N)="Pig",_xlfn.XLOOKUP(E10,Groups!A:A,Groups!N:N)="StrongBitingHerbivore"),20,25))*C10^-0.135,BA10))</f>
        <v>4.9593186081444286E-2</v>
      </c>
      <c r="AZ10" s="8" t="str">
        <f>IF(W10="No","No",IF(_xlfn.XLOOKUP(E10,Groups!A:A,Groups!U:U)=1,'Base stats'!AY10,IF(OR(_xlfn.XLOOKUP(E10,Groups!A:A,Groups!BC:BC)=1,_xlfn.XLOOKUP(E10,Groups!A:A,Groups!U:U)=2),BA10,IF(_xlfn.XLOOKUP(B10,Animals!B:B,Animals!AN:AN)&gt;4,AVERAGE(BA10,BC10),BC10))))</f>
        <v>No</v>
      </c>
      <c r="BA10" s="8">
        <f>(0.0392*C10^IF(OR(Y10="Herbivore",Y10="Dendrovore",Y10="OmnivoreRough"),0.889,0.966))*C10^-0.135</f>
        <v>4.0610512861484392E-2</v>
      </c>
      <c r="BB10" s="8">
        <f>IF(_xlfn.XLOOKUP(E10,Groups!A:A,Groups!BD:BD)=1,(0.048*C10^1.01)+(0.071*C10^1.03),0.071*C10^1.03)/IF(_xlfn.XLOOKUP(E10,Groups!A:A,Groups!M:M)=1,0.85,IF(OR(_xlfn.XLOOKUP(B10,Animals!B:B,Animals!AN:AN)&gt;4,_xlfn.XLOOKUP(E10,Groups!A:A,Groups!BB:BB)=1),1.7,1))*C10^-0.25</f>
        <v>0.12338562028414318</v>
      </c>
      <c r="BC10" s="8">
        <f>(0.048*C10^1.01)/IF(_xlfn.XLOOKUP(E10,Groups!A:A,Groups!M:M)=1,0.25,0.8)*C10^-0.25</f>
        <v>6.2176436123280387E-2</v>
      </c>
      <c r="BD10" s="8">
        <f>EXP(1.076*LN(AO10)-4.5397)*IF(_xlfn.XLOOKUP(E10,Groups!A:A,Groups!BB:BB)=1,1.25,IF(_xlfn.XLOOKUP(E10,Groups!A:A,Groups!BC:BC)=1,3.5,2.5))</f>
        <v>2.0521727128529421</v>
      </c>
      <c r="BE10" s="8">
        <f>EXP(1.076*LN(AP10)-4.5397)*IF(_xlfn.XLOOKUP(E10,Groups!A:A,Groups!M:M)=1,0.8,IF(_xlfn.XLOOKUP(E10,Groups!A:A,Groups!BB:BB)=1,1.3,3))</f>
        <v>3.3340287855159279</v>
      </c>
      <c r="BF10" s="8" t="str">
        <f>IF(W10="No","No",IF(_xlfn.XLOOKUP(E10,Groups!A:A,Groups!U:U)=1,'Base stats'!BG10,IF(OR(_xlfn.XLOOKUP(E10,Groups!A:A,Groups!BC:BC)=1,_xlfn.XLOOKUP(E10,Groups!A:A,Groups!U:U)=2),BD10,BE10))*1.2)</f>
        <v>No</v>
      </c>
      <c r="BG10" s="8">
        <f>IFERROR(EXP(1.076*LN(AQ10)-4.5397)*IF(_xlfn.XLOOKUP(E10,Groups!A:A,Groups!N:N)="Insect",1,IF(OR(_xlfn.XLOOKUP(E10,Groups!A:A,Groups!N:N)="Pig",_xlfn.XLOOKUP(E10,Groups!A:A,Groups!N:N)="StrongBitingHerbivore"),3.5,3.75)),"No")</f>
        <v>0.71243704930306051</v>
      </c>
      <c r="BH10" s="8">
        <f t="shared" si="5"/>
        <v>10</v>
      </c>
      <c r="BI10" s="8">
        <f t="shared" si="6"/>
        <v>7</v>
      </c>
      <c r="BJ10" s="8" t="str">
        <f>IF(W10="No","No",ROUNDDOWN(SQRT((2*BF10)/AZ10),0))</f>
        <v>No</v>
      </c>
      <c r="BK10" s="8">
        <f>IF(V10="No","No",ROUNDDOWN(SQRT((2*BG10)/AY10),0))</f>
        <v>5</v>
      </c>
      <c r="BL10" s="8">
        <f t="shared" si="7"/>
        <v>10</v>
      </c>
      <c r="BM10" s="8" t="str" cm="1">
        <f t="array" ref="BM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stats'!E10,Groups!A:A,Groups!P:P=0)),"No",IF(U10="No",AVERAGE(EXP(-0.57+0.99*LN(C10)),EXP(0.32+0.67*LN(C10)))/IF(_xlfn.XLOOKUP(E10,Groups!A:A,Groups!AD:AD)=1,10,2),(0.7354*C10^0.4078)*2/IF(_xlfn.XLOOKUP(E10,Groups!A:A,Groups!BJ:BJ)=1,1000,100)))</f>
        <v>No</v>
      </c>
      <c r="BN10" s="8" t="str">
        <f>IF(W10="No","No",IF(_xlfn.XLOOKUP(E10,Groups!A:A,Groups!BC:BC)=1,(AL10*5%),EXP(0.7354*LN(C10)^0.4078)*2/IF(_xlfn.XLOOKUP(E10,Groups!A:A,Groups!BK:BK)=1,1000,100)))</f>
        <v>No</v>
      </c>
      <c r="BO10" s="8">
        <f>IF(BG10="No","No",IF(_xlfn.XLOOKUP(E10,Groups!A:A,Groups!BE:BE)=1,(0.0315*C10+2.1825)*2,(0.7354*C10^0.4078)*2)/IF(_xlfn.XLOOKUP(E10,Groups!A:A,Groups!BL:BL)=1,1000,100))</f>
        <v>1.4991909512646557E-2</v>
      </c>
      <c r="BP10" s="8">
        <f>BD10/(AL10*5%)</f>
        <v>3.586625994669352E-2</v>
      </c>
      <c r="BQ10" s="8" t="str">
        <f t="shared" si="8"/>
        <v>No</v>
      </c>
      <c r="BR10" s="8" t="str">
        <f>IF(W10="No","No",BF10/BN10)</f>
        <v>No</v>
      </c>
      <c r="BS10" s="8">
        <f t="shared" si="9"/>
        <v>47.521434724647854</v>
      </c>
      <c r="BT10" s="4">
        <v>0</v>
      </c>
      <c r="BU10" s="4">
        <v>1</v>
      </c>
    </row>
    <row r="11" spans="1:73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948</v>
      </c>
      <c r="E11" s="7" t="str">
        <f>Groups!A9</f>
        <v>Bird</v>
      </c>
      <c r="F11" s="7" t="str">
        <f t="shared" si="10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2">"Lay eggs"</f>
        <v>Lay eggs</v>
      </c>
      <c r="K11" s="7" t="s">
        <v>525</v>
      </c>
      <c r="L11" s="7">
        <f>10*1.60934</f>
        <v>16.093399999999999</v>
      </c>
      <c r="M11" s="7" t="s">
        <v>640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_xlfn.XLOOKUP(B11,[1]TeethAdjusters!$A:$A,[1]BiteAdjusters!$C:$C)</f>
        <v>1</v>
      </c>
      <c r="T11" s="7">
        <f>_xlfn.XLOOKUP(B11,[1]TeethAdjusters!$A:$A,[1]TeethAdjusters!$B:$B)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945</v>
      </c>
      <c r="Y11" s="4" t="s">
        <v>1023</v>
      </c>
      <c r="Z11" s="4">
        <v>0</v>
      </c>
      <c r="AA11" s="4">
        <v>0</v>
      </c>
      <c r="AB11" s="4">
        <v>0</v>
      </c>
      <c r="AC11" s="4" t="s">
        <v>45</v>
      </c>
      <c r="AD11" s="4" t="s">
        <v>407</v>
      </c>
      <c r="AE11" s="28" t="s">
        <v>45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4" t="s">
        <v>40</v>
      </c>
      <c r="AL11" s="8">
        <f t="shared" si="0"/>
        <v>1947.6204584070247</v>
      </c>
      <c r="AM11" s="8">
        <f>IFERROR(C11*_xlfn.XLOOKUP(E11,Groups!A:A,Groups!K:K),0.106*C11^0.94)</f>
        <v>0.23901747952605451</v>
      </c>
      <c r="AN11" s="8">
        <f>AM11*10000/(_xlfn.XLOOKUP(E11,Groups!A:A,Groups!J:J)*AL11)</f>
        <v>1.1258974527699281</v>
      </c>
      <c r="AO11" s="8">
        <f t="shared" si="1"/>
        <v>112.91816303911712</v>
      </c>
      <c r="AP11" s="8">
        <f>IF(_xlfn.XLOOKUP(E11,Groups!A:A,Groups!M:M)=1,EXP(0.7444*LN('Base stats'!C11)+6.5696),EXP(0.7927*LN('Base stats'!C11)+4.28))</f>
        <v>143.40653066072181</v>
      </c>
      <c r="AQ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"No")))))))))))))))</f>
        <v>25.576506755668081</v>
      </c>
      <c r="AR11" s="8">
        <f>IF(_xlfn.XLOOKUP(E11,Groups!A:A,Groups!U:U)=3,AP11,IF(_xlfn.XLOOKUP(E11,Groups!A:A,Groups!U:U)=2,AO11,AQ11))</f>
        <v>25.576506755668081</v>
      </c>
      <c r="AS11" s="46">
        <f>IFERROR(AVERAGE(_xlfn.XLOOKUP(B11,Animals!B:B,Animals!M:M),_xlfn.XLOOKUP(B11,Animals!B:B,Animals!N:N)),0)</f>
        <v>0</v>
      </c>
      <c r="AT11" s="8">
        <f>MROUND(40*Animals!AN11*_xlfn.XLOOKUP(Animals!AZ11,Leathers!$A$2:$A$100,Leathers!$B$2:$B$100,0)+(140*_xlfn.XLOOKUP(B11,Animals!B:B,Animals!AN:AN)*2),5)</f>
        <v>55</v>
      </c>
      <c r="AU11" s="8">
        <f>IFERROR(ROUND(SQRT(V11-1)*IF(_xlfn.XLOOKUP(E11,Groups!A:A,Groups!BE:BE)=0,2,1)*IF(_xlfn.XLOOKUP('Base stats'!E11,Groups!A:A,Groups!O:O)=0,1,0.1),1),0)</f>
        <v>0.1</v>
      </c>
      <c r="AV11" s="8">
        <f t="shared" si="2"/>
        <v>1</v>
      </c>
      <c r="AW11" s="8">
        <f t="shared" si="3"/>
        <v>0</v>
      </c>
      <c r="AX11" s="8">
        <f t="shared" si="4"/>
        <v>0.8</v>
      </c>
      <c r="AY11" s="8">
        <f>IF(_xlfn.XLOOKUP(E11,Groups!A:A,Groups!N:N)="Insect",BA11*2.5,IFERROR(AVERAGE(BA11,AQ11/9.81/IF(OR(_xlfn.XLOOKUP(E11,Groups!A:A,Groups!N:N)="Pig",_xlfn.XLOOKUP(E11,Groups!A:A,Groups!N:N)="StrongBitingHerbivore"),20,25))*C11^-0.135,BA11))</f>
        <v>7.9877250620426374E-2</v>
      </c>
      <c r="AZ11" s="8" t="str">
        <f>IF(W11="No","No",IF(_xlfn.XLOOKUP(E11,Groups!A:A,Groups!U:U)=1,'Base stats'!AY11,IF(OR(_xlfn.XLOOKUP(E11,Groups!A:A,Groups!BC:BC)=1,_xlfn.XLOOKUP(E11,Groups!A:A,Groups!U:U)=2),BA11,IF(_xlfn.XLOOKUP(B11,Animals!B:B,Animals!AN:AN)&gt;4,AVERAGE(BA11,BC11),BC11))))</f>
        <v>No</v>
      </c>
      <c r="BA11" s="8">
        <f>(0.0392*C11^IF(OR(Y11="Herbivore",Y11="Dendrovore",Y11="OmnivoreRough"),0.889,0.966))*C11^-0.135</f>
        <v>7.5255185733858032E-2</v>
      </c>
      <c r="BB11" s="8">
        <f>IF(_xlfn.XLOOKUP(E11,Groups!A:A,Groups!BD:BD)=1,(0.048*C11^1.01)+(0.071*C11^1.03),0.071*C11^1.03)/IF(_xlfn.XLOOKUP(E11,Groups!A:A,Groups!M:M)=1,0.85,IF(OR(_xlfn.XLOOKUP(B11,Animals!B:B,Animals!AN:AN)&gt;4,_xlfn.XLOOKUP(E11,Groups!A:A,Groups!BB:BB)=1),1.7,1))*C11^-0.25</f>
        <v>0.23203293823126289</v>
      </c>
      <c r="BC11" s="8">
        <f>(0.048*C11^1.01)/IF(_xlfn.XLOOKUP(E11,Groups!A:A,Groups!M:M)=1,0.25,0.8)*C11^-0.25</f>
        <v>0.11578587900160472</v>
      </c>
      <c r="BD11" s="8">
        <f>EXP(1.076*LN(AO11)-4.5397)*IF(_xlfn.XLOOKUP(E11,Groups!A:A,Groups!BB:BB)=1,1.25,IF(_xlfn.XLOOKUP(E11,Groups!A:A,Groups!BC:BC)=1,3.5,2.5))</f>
        <v>4.3166536361177759</v>
      </c>
      <c r="BE11" s="8">
        <f>EXP(1.076*LN(AP11)-4.5397)*IF(_xlfn.XLOOKUP(E11,Groups!A:A,Groups!M:M)=1,0.8,IF(_xlfn.XLOOKUP(E11,Groups!A:A,Groups!BB:BB)=1,1.3,3))</f>
        <v>6.699197217835331</v>
      </c>
      <c r="BF11" s="8" t="str">
        <f>IF(W11="No","No",IF(_xlfn.XLOOKUP(E11,Groups!A:A,Groups!U:U)=1,'Base stats'!BG11,IF(OR(_xlfn.XLOOKUP(E11,Groups!A:A,Groups!BC:BC)=1,_xlfn.XLOOKUP(E11,Groups!A:A,Groups!U:U)=2),BD11,BE11))*1.2)</f>
        <v>No</v>
      </c>
      <c r="BG11" s="8">
        <f>IFERROR(EXP(1.076*LN(AQ11)-4.5397)*IF(_xlfn.XLOOKUP(E11,Groups!A:A,Groups!N:N)="Insect",1,IF(OR(_xlfn.XLOOKUP(E11,Groups!A:A,Groups!N:N)="Pig",_xlfn.XLOOKUP(E11,Groups!A:A,Groups!N:N)="StrongBitingHerbivore"),3.5,3.75)),"No")</f>
        <v>1.3100919248383684</v>
      </c>
      <c r="BH11" s="8">
        <f t="shared" si="5"/>
        <v>10</v>
      </c>
      <c r="BI11" s="8">
        <f t="shared" si="6"/>
        <v>7</v>
      </c>
      <c r="BJ11" s="8" t="str">
        <f>IF(W11="No","No",ROUNDDOWN(SQRT((2*BF11)/AZ11),0))</f>
        <v>No</v>
      </c>
      <c r="BK11" s="8">
        <f>IF(V11="No","No",ROUNDDOWN(SQRT((2*BG11)/AY11),0))</f>
        <v>5</v>
      </c>
      <c r="BL11" s="8">
        <f t="shared" si="7"/>
        <v>10</v>
      </c>
      <c r="BM11" s="8" cm="1">
        <f t="array" ref="BM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stats'!E11,Groups!A:A,Groups!P:P=0)),"No",IF(U11="No",AVERAGE(EXP(-0.57+0.99*LN(C11)),EXP(0.32+0.67*LN(C11)))/IF(_xlfn.XLOOKUP(E11,Groups!A:A,Groups!AD:AD)=1,10,2),(0.7354*C11^0.4078)*2/IF(_xlfn.XLOOKUP(E11,Groups!A:A,Groups!BJ:BJ)=1,1000,100)))</f>
        <v>2.0929036865173018E-2</v>
      </c>
      <c r="BN11" s="8" t="str">
        <f>IF(W11="No","No",IF(_xlfn.XLOOKUP(E11,Groups!A:A,Groups!BC:BC)=1,(AL11*5%),EXP(0.7354*LN(C11)^0.4078)*2/IF(_xlfn.XLOOKUP(E11,Groups!A:A,Groups!BK:BK)=1,1000,100)))</f>
        <v>No</v>
      </c>
      <c r="BO11" s="8">
        <f>IF(BG11="No","No",IF(_xlfn.XLOOKUP(E11,Groups!A:A,Groups!BE:BE)=1,(0.0315*C11+2.1825)*2,(0.7354*C11^0.4078)*2)/IF(_xlfn.XLOOKUP(E11,Groups!A:A,Groups!BL:BL)=1,1000,100))</f>
        <v>2.0929036865173018E-2</v>
      </c>
      <c r="BP11" s="8">
        <f>BD11/(AL11*5%)</f>
        <v>4.4327462442537734E-2</v>
      </c>
      <c r="BQ11" s="8">
        <f t="shared" si="8"/>
        <v>320.09104198115949</v>
      </c>
      <c r="BR11" s="8" t="str">
        <f>IF(W11="No","No",BF11/BN11)</f>
        <v>No</v>
      </c>
      <c r="BS11" s="8">
        <f t="shared" si="9"/>
        <v>62.596856858636819</v>
      </c>
      <c r="BT11" s="4">
        <v>0</v>
      </c>
      <c r="BU11" s="4">
        <v>1</v>
      </c>
    </row>
    <row r="12" spans="1:73" x14ac:dyDescent="0.25">
      <c r="A12" s="26" t="s">
        <v>90</v>
      </c>
      <c r="B12" s="6" t="s">
        <v>91</v>
      </c>
      <c r="C12" s="7">
        <v>434</v>
      </c>
      <c r="D12" s="7" t="s">
        <v>1181</v>
      </c>
      <c r="E12" s="7" t="str">
        <f>Groups!A21</f>
        <v>Camelid (humped)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526</v>
      </c>
      <c r="L12" s="7">
        <v>40</v>
      </c>
      <c r="M12" s="7" t="s">
        <v>641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_xlfn.XLOOKUP(B12,[1]TeethAdjusters!$A:$A,[1]BiteAdjusters!$C:$C)</f>
        <v>1</v>
      </c>
      <c r="T12" s="7">
        <f>_xlfn.XLOOKUP(B12,[1]TeethAdjusters!$A:$A,[1]TeethAdjusters!$B:$B)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945</v>
      </c>
      <c r="Y12" s="4" t="s">
        <v>42</v>
      </c>
      <c r="Z12" s="4">
        <v>0</v>
      </c>
      <c r="AA12" s="4">
        <v>0</v>
      </c>
      <c r="AB12" s="4">
        <v>0</v>
      </c>
      <c r="AC12" s="4" t="s">
        <v>45</v>
      </c>
      <c r="AD12" s="4" t="s">
        <v>407</v>
      </c>
      <c r="AE12" s="28" t="s">
        <v>386</v>
      </c>
      <c r="AF12" s="4">
        <v>1</v>
      </c>
      <c r="AG12" s="4">
        <v>0</v>
      </c>
      <c r="AH12" s="4">
        <v>0</v>
      </c>
      <c r="AI12" s="4">
        <v>0</v>
      </c>
      <c r="AJ12" s="4">
        <v>0</v>
      </c>
      <c r="AK12" s="44" t="s">
        <v>40</v>
      </c>
      <c r="AL12" s="8">
        <f t="shared" si="0"/>
        <v>57503.1059283387</v>
      </c>
      <c r="AM12" s="8">
        <f>IFERROR(C12*_xlfn.XLOOKUP(E12,Groups!A:A,Groups!K:K),0.106*C12^0.94)</f>
        <v>31.955543689617564</v>
      </c>
      <c r="AN12" s="8">
        <f>AM12*10000/(_xlfn.XLOOKUP(E12,Groups!A:A,Groups!J:J)*AL12)</f>
        <v>5.0983354874461044</v>
      </c>
      <c r="AO12" s="8">
        <f t="shared" si="1"/>
        <v>9190.271132938391</v>
      </c>
      <c r="AP12" s="8">
        <f>IF(_xlfn.XLOOKUP(E12,Groups!A:A,Groups!M:M)=1,EXP(0.7444*LN('Base stats'!C12)+6.5696),EXP(0.7927*LN('Base stats'!C12)+4.28))</f>
        <v>8902.6334230295633</v>
      </c>
      <c r="AQ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"No")))))))))))))))</f>
        <v>4993.5714774520839</v>
      </c>
      <c r="AR12" s="8">
        <f>IF(_xlfn.XLOOKUP(E12,Groups!A:A,Groups!U:U)=3,AP12,IF(_xlfn.XLOOKUP(E12,Groups!A:A,Groups!U:U)=2,AO12,AQ12))</f>
        <v>4993.5714774520839</v>
      </c>
      <c r="AS12" s="46">
        <f>IFERROR(AVERAGE(_xlfn.XLOOKUP(B12,Animals!B:B,Animals!M:M),_xlfn.XLOOKUP(B12,Animals!B:B,Animals!N:N)),0)</f>
        <v>0</v>
      </c>
      <c r="AT12" s="8">
        <f>MROUND(40*Animals!AN12*_xlfn.XLOOKUP(Animals!AZ12,Leathers!$A$2:$A$100,Leathers!$B$2:$B$100,0)+(140*_xlfn.XLOOKUP(B12,Animals!B:B,Animals!AN:AN)*2),5)</f>
        <v>1025</v>
      </c>
      <c r="AU12" s="8">
        <f>IFERROR(ROUND(SQRT(V12-1)*IF(_xlfn.XLOOKUP(E12,Groups!A:A,Groups!BE:BE)=0,2,1)*IF(_xlfn.XLOOKUP('Base stats'!E12,Groups!A:A,Groups!O:O)=0,1,0.1),1),0)</f>
        <v>1.9</v>
      </c>
      <c r="AV12" s="8">
        <f t="shared" si="2"/>
        <v>0</v>
      </c>
      <c r="AW12" s="8">
        <f t="shared" si="3"/>
        <v>0</v>
      </c>
      <c r="AX12" s="8">
        <f t="shared" si="4"/>
        <v>7.1</v>
      </c>
      <c r="AY12" s="8">
        <f>IF(_xlfn.XLOOKUP(E12,Groups!A:A,Groups!N:N)="Insect",BA12*2.5,IFERROR(AVERAGE(BA12,AQ12/9.81/IF(OR(_xlfn.XLOOKUP(E12,Groups!A:A,Groups!N:N)="Pig",_xlfn.XLOOKUP(E12,Groups!A:A,Groups!N:N)="StrongBitingHerbivore"),20,25))*C12^-0.135,BA12))</f>
        <v>6.4467160294158043</v>
      </c>
      <c r="AZ12" s="8" t="str">
        <f>IF(W12="No","No",IF(_xlfn.XLOOKUP(E12,Groups!A:A,Groups!U:U)=1,'Base stats'!AY12,IF(OR(_xlfn.XLOOKUP(E12,Groups!A:A,Groups!BC:BC)=1,_xlfn.XLOOKUP(E12,Groups!A:A,Groups!U:U)=2),BA12,IF(_xlfn.XLOOKUP(B12,Animals!B:B,Animals!AN:AN)&gt;4,AVERAGE(BA12,BC12),BC12))))</f>
        <v>No</v>
      </c>
      <c r="BA12" s="8">
        <f>(0.0392*C12^IF(OR(Y12="Herbivore",Y12="Dendrovore",Y12="OmnivoreRough"),0.889,0.966))*C12^-0.135</f>
        <v>3.81903222593724</v>
      </c>
      <c r="BB12" s="8">
        <f>IF(_xlfn.XLOOKUP(E12,Groups!A:A,Groups!BD:BD)=1,(0.048*C12^1.01)+(0.071*C12^1.03),0.071*C12^1.03)/IF(_xlfn.XLOOKUP(E12,Groups!A:A,Groups!M:M)=1,0.85,IF(OR(_xlfn.XLOOKUP(B12,Animals!B:B,Animals!AN:AN)&gt;4,_xlfn.XLOOKUP(E12,Groups!A:A,Groups!BB:BB)=1),1.7,1))*C12^-0.25</f>
        <v>8.1002857161697239</v>
      </c>
      <c r="BC12" s="8">
        <f>(0.048*C12^1.01)/IF(_xlfn.XLOOKUP(E12,Groups!A:A,Groups!M:M)=1,0.25,0.8)*C12^-0.25</f>
        <v>6.0623840430207787</v>
      </c>
      <c r="BD12" s="8">
        <f>EXP(1.076*LN(AO12)-4.5397)*IF(_xlfn.XLOOKUP(E12,Groups!A:A,Groups!BB:BB)=1,1.25,IF(_xlfn.XLOOKUP(E12,Groups!A:A,Groups!BC:BC)=1,3.5,2.5))</f>
        <v>490.81138254794962</v>
      </c>
      <c r="BE12" s="8">
        <f>EXP(1.076*LN(AP12)-4.5397)*IF(_xlfn.XLOOKUP(E12,Groups!A:A,Groups!M:M)=1,0.8,IF(_xlfn.XLOOKUP(E12,Groups!A:A,Groups!BB:BB)=1,1.3,3))</f>
        <v>569.16277963499192</v>
      </c>
      <c r="BF12" s="8" t="str">
        <f>IF(W12="No","No",IF(_xlfn.XLOOKUP(E12,Groups!A:A,Groups!U:U)=1,'Base stats'!BG12,IF(OR(_xlfn.XLOOKUP(E12,Groups!A:A,Groups!BC:BC)=1,_xlfn.XLOOKUP(E12,Groups!A:A,Groups!U:U)=2),BD12,BE12))*1.2)</f>
        <v>No</v>
      </c>
      <c r="BG12" s="8">
        <f>IFERROR(EXP(1.076*LN(AQ12)-4.5397)*IF(_xlfn.XLOOKUP(E12,Groups!A:A,Groups!N:N)="Insect",1,IF(OR(_xlfn.XLOOKUP(E12,Groups!A:A,Groups!N:N)="Pig",_xlfn.XLOOKUP(E12,Groups!A:A,Groups!N:N)="StrongBitingHerbivore"),3.5,3.75)),"No")</f>
        <v>356.44449529492431</v>
      </c>
      <c r="BH12" s="8">
        <f t="shared" si="5"/>
        <v>16</v>
      </c>
      <c r="BI12" s="8">
        <f t="shared" si="6"/>
        <v>11</v>
      </c>
      <c r="BJ12" s="8" t="str">
        <f>IF(W12="No","No",ROUNDDOWN(SQRT((2*BF12)/AZ12),0))</f>
        <v>No</v>
      </c>
      <c r="BK12" s="8">
        <f>IF(V12="No","No",ROUNDDOWN(SQRT((2*BG12)/AY12),0))</f>
        <v>10</v>
      </c>
      <c r="BL12" s="8">
        <f t="shared" si="7"/>
        <v>13</v>
      </c>
      <c r="BM12" s="8" cm="1">
        <f t="array" ref="BM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stats'!E12,Groups!A:A,Groups!P:P=0)),"No",IF(U12="No",AVERAGE(EXP(-0.57+0.99*LN(C12)),EXP(0.32+0.67*LN(C12)))/IF(_xlfn.XLOOKUP(E12,Groups!A:A,Groups!AD:AD)=1,10,2),(0.7354*C12^0.4078)*2/IF(_xlfn.XLOOKUP(E12,Groups!A:A,Groups!BJ:BJ)=1,1000,100)))</f>
        <v>77.882759243738633</v>
      </c>
      <c r="BN12" s="8" t="str">
        <f>IF(W12="No","No",IF(_xlfn.XLOOKUP(E12,Groups!A:A,Groups!BC:BC)=1,(AL12*5%),EXP(0.7354*LN(C12)^0.4078)*2/IF(_xlfn.XLOOKUP(E12,Groups!A:A,Groups!BK:BK)=1,1000,100)))</f>
        <v>No</v>
      </c>
      <c r="BO12" s="8">
        <f>IF(BG12="No","No",IF(_xlfn.XLOOKUP(E12,Groups!A:A,Groups!BE:BE)=1,(0.0315*C12+2.1825)*2,(0.7354*C12^0.4078)*2)/IF(_xlfn.XLOOKUP(E12,Groups!A:A,Groups!BL:BL)=1,1000,100))</f>
        <v>0.31707000000000002</v>
      </c>
      <c r="BP12" s="8">
        <f>BD12/(AL12*5%)</f>
        <v>0.17070778164908404</v>
      </c>
      <c r="BQ12" s="8">
        <f t="shared" si="8"/>
        <v>7.3079431848808003</v>
      </c>
      <c r="BR12" s="8" t="str">
        <f>IF(W12="No","No",BF12/BN12)</f>
        <v>No</v>
      </c>
      <c r="BS12" s="8">
        <f t="shared" si="9"/>
        <v>1124.1823423689541</v>
      </c>
      <c r="BT12" s="4">
        <v>0</v>
      </c>
      <c r="BU12" s="4">
        <v>1</v>
      </c>
    </row>
    <row r="13" spans="1:73" x14ac:dyDescent="0.25">
      <c r="A13" s="26" t="s">
        <v>100</v>
      </c>
      <c r="B13" s="6" t="s">
        <v>101</v>
      </c>
      <c r="C13" s="7">
        <f>AVERAGE(70,85)</f>
        <v>77.5</v>
      </c>
      <c r="D13" s="7" t="s">
        <v>1032</v>
      </c>
      <c r="E13" s="7" t="str">
        <f>Groups!A20</f>
        <v>Camelid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528</v>
      </c>
      <c r="L13" s="7">
        <v>56</v>
      </c>
      <c r="M13" s="7" t="s">
        <v>638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_xlfn.XLOOKUP(B13,[1]TeethAdjusters!$A:$A,[1]BiteAdjusters!$C:$C)</f>
        <v>1</v>
      </c>
      <c r="T13" s="7">
        <f>_xlfn.XLOOKUP(B13,[1]TeethAdjusters!$A:$A,[1]TeethAdjusters!$B:$B)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945</v>
      </c>
      <c r="Y13" s="4" t="s">
        <v>42</v>
      </c>
      <c r="Z13" s="4">
        <v>0</v>
      </c>
      <c r="AA13" s="4">
        <v>0</v>
      </c>
      <c r="AB13" s="4">
        <v>0</v>
      </c>
      <c r="AC13" s="4" t="s">
        <v>45</v>
      </c>
      <c r="AD13" s="4" t="s">
        <v>408</v>
      </c>
      <c r="AE13" s="28" t="s">
        <v>386</v>
      </c>
      <c r="AF13" s="4">
        <v>1</v>
      </c>
      <c r="AG13" s="4">
        <v>0</v>
      </c>
      <c r="AH13" s="4">
        <v>0</v>
      </c>
      <c r="AI13" s="4">
        <v>0</v>
      </c>
      <c r="AJ13" s="4">
        <v>0</v>
      </c>
      <c r="AK13" s="44" t="s">
        <v>40</v>
      </c>
      <c r="AL13" s="8">
        <f t="shared" si="0"/>
        <v>18765.886505262843</v>
      </c>
      <c r="AM13" s="8">
        <f>IFERROR(C13*_xlfn.XLOOKUP(E13,Groups!A:A,Groups!K:K),0.106*C13^0.94)</f>
        <v>6.3277522310129504</v>
      </c>
      <c r="AN13" s="8">
        <f>AM13*10000/(_xlfn.XLOOKUP(E13,Groups!A:A,Groups!J:J)*AL13)</f>
        <v>3.0935267963656261</v>
      </c>
      <c r="AO13" s="8">
        <f t="shared" si="1"/>
        <v>2144.5387490756016</v>
      </c>
      <c r="AP13" s="8">
        <f>IF(_xlfn.XLOOKUP(E13,Groups!A:A,Groups!M:M)=1,EXP(0.7444*LN('Base stats'!C13)+6.5696),EXP(0.7927*LN('Base stats'!C13)+4.28))</f>
        <v>2272.1125583746043</v>
      </c>
      <c r="AQ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"No")))))))))))))))</f>
        <v>1583.5043206490773</v>
      </c>
      <c r="AR13" s="8">
        <f>IF(_xlfn.XLOOKUP(E13,Groups!A:A,Groups!U:U)=3,AP13,IF(_xlfn.XLOOKUP(E13,Groups!A:A,Groups!U:U)=2,AO13,AQ13))</f>
        <v>1583.5043206490773</v>
      </c>
      <c r="AS13" s="46">
        <f>IFERROR(AVERAGE(_xlfn.XLOOKUP(B13,Animals!B:B,Animals!M:M),_xlfn.XLOOKUP(B13,Animals!B:B,Animals!N:N)),0)</f>
        <v>0</v>
      </c>
      <c r="AT13" s="8">
        <f>MROUND(40*Animals!AN13*_xlfn.XLOOKUP(Animals!AZ13,Leathers!$A$2:$A$100,Leathers!$B$2:$B$100,0)+(140*_xlfn.XLOOKUP(B13,Animals!B:B,Animals!AN:AN)*2),5)</f>
        <v>390</v>
      </c>
      <c r="AU13" s="8">
        <f>IFERROR(ROUND(SQRT(V13-1)*IF(_xlfn.XLOOKUP(E13,Groups!A:A,Groups!BE:BE)=0,2,1)*IF(_xlfn.XLOOKUP('Base stats'!E13,Groups!A:A,Groups!O:O)=0,1,0.1),1),0)</f>
        <v>1.2</v>
      </c>
      <c r="AV13" s="8">
        <f t="shared" si="2"/>
        <v>0</v>
      </c>
      <c r="AW13" s="8">
        <f t="shared" si="3"/>
        <v>0</v>
      </c>
      <c r="AX13" s="8">
        <f t="shared" si="4"/>
        <v>3.8</v>
      </c>
      <c r="AY13" s="8">
        <f>IF(_xlfn.XLOOKUP(E13,Groups!A:A,Groups!N:N)="Insect",BA13*2.5,IFERROR(AVERAGE(BA13,AQ13/9.81/IF(OR(_xlfn.XLOOKUP(E13,Groups!A:A,Groups!N:N)="Pig",_xlfn.XLOOKUP(E13,Groups!A:A,Groups!N:N)="StrongBitingHerbivore"),20,25))*C13^-0.135,BA13))</f>
        <v>2.5325839556204608</v>
      </c>
      <c r="AZ13" s="8" t="str">
        <f>IF(W13="No","No",IF(_xlfn.XLOOKUP(E13,Groups!A:A,Groups!U:U)=1,'Base stats'!AY13,IF(OR(_xlfn.XLOOKUP(E13,Groups!A:A,Groups!BC:BC)=1,_xlfn.XLOOKUP(E13,Groups!A:A,Groups!U:U)=2),BA13,IF(_xlfn.XLOOKUP(B13,Animals!B:B,Animals!AN:AN)&gt;4,AVERAGE(BA13,BC13),BC13))))</f>
        <v>No</v>
      </c>
      <c r="BA13" s="8">
        <f>(0.0392*C13^IF(OR(Y13="Herbivore",Y13="Dendrovore",Y13="OmnivoreRough"),0.889,0.966))*C13^-0.135</f>
        <v>1.041884436623707</v>
      </c>
      <c r="BB13" s="8">
        <f>IF(_xlfn.XLOOKUP(E13,Groups!A:A,Groups!BD:BD)=1,(0.048*C13^1.01)+(0.071*C13^1.03),0.071*C13^1.03)/IF(_xlfn.XLOOKUP(E13,Groups!A:A,Groups!M:M)=1,0.85,IF(OR(_xlfn.XLOOKUP(B13,Animals!B:B,Animals!AN:AN)&gt;4,_xlfn.XLOOKUP(E13,Groups!A:A,Groups!BB:BB)=1),1.7,1))*C13^-0.25</f>
        <v>2.1130689901230411</v>
      </c>
      <c r="BC13" s="8">
        <f>(0.048*C13^1.01)/IF(_xlfn.XLOOKUP(E13,Groups!A:A,Groups!M:M)=1,0.25,0.8)*C13^-0.25</f>
        <v>1.6368939528194573</v>
      </c>
      <c r="BD13" s="8">
        <f>EXP(1.076*LN(AO13)-4.5397)*IF(_xlfn.XLOOKUP(E13,Groups!A:A,Groups!BB:BB)=1,1.25,IF(_xlfn.XLOOKUP(E13,Groups!A:A,Groups!BC:BC)=1,3.5,2.5))</f>
        <v>102.538892686501</v>
      </c>
      <c r="BE13" s="8">
        <f>EXP(1.076*LN(AP13)-4.5397)*IF(_xlfn.XLOOKUP(E13,Groups!A:A,Groups!M:M)=1,0.8,IF(_xlfn.XLOOKUP(E13,Groups!A:A,Groups!BB:BB)=1,1.3,3))</f>
        <v>130.94023178217128</v>
      </c>
      <c r="BF13" s="8" t="str">
        <f>IF(W13="No","No",IF(_xlfn.XLOOKUP(E13,Groups!A:A,Groups!U:U)=1,'Base stats'!BG13,IF(OR(_xlfn.XLOOKUP(E13,Groups!A:A,Groups!BC:BC)=1,_xlfn.XLOOKUP(E13,Groups!A:A,Groups!U:U)=2),BD13,BE13))*1.2)</f>
        <v>No</v>
      </c>
      <c r="BG13" s="8">
        <f>IFERROR(EXP(1.076*LN(AQ13)-4.5397)*IF(_xlfn.XLOOKUP(E13,Groups!A:A,Groups!N:N)="Insect",1,IF(OR(_xlfn.XLOOKUP(E13,Groups!A:A,Groups!N:N)="Pig",_xlfn.XLOOKUP(E13,Groups!A:A,Groups!N:N)="StrongBitingHerbivore"),3.5,3.75)),"No")</f>
        <v>103.58376698325958</v>
      </c>
      <c r="BH13" s="8">
        <f t="shared" si="5"/>
        <v>14</v>
      </c>
      <c r="BI13" s="8">
        <f t="shared" si="6"/>
        <v>11</v>
      </c>
      <c r="BJ13" s="8" t="str">
        <f>IF(W13="No","No",ROUNDDOWN(SQRT((2*BF13)/AZ13),0))</f>
        <v>No</v>
      </c>
      <c r="BK13" s="8">
        <f>IF(V13="No","No",ROUNDDOWN(SQRT((2*BG13)/AY13),0))</f>
        <v>9</v>
      </c>
      <c r="BL13" s="8">
        <f t="shared" si="7"/>
        <v>12</v>
      </c>
      <c r="BM13" s="8" cm="1">
        <f t="array" ref="BM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stats'!E13,Groups!A:A,Groups!P:P=0)),"No",IF(U13="No",AVERAGE(EXP(-0.57+0.99*LN(C13)),EXP(0.32+0.67*LN(C13)))/IF(_xlfn.XLOOKUP(E13,Groups!A:A,Groups!AD:AD)=1,10,2),(0.7354*C13^0.4078)*2/IF(_xlfn.XLOOKUP(E13,Groups!A:A,Groups!BJ:BJ)=1,1000,100)))</f>
        <v>16.840212593316842</v>
      </c>
      <c r="BN13" s="8" t="str">
        <f>IF(W13="No","No",IF(_xlfn.XLOOKUP(E13,Groups!A:A,Groups!BC:BC)=1,(AL13*5%),EXP(0.7354*LN(C13)^0.4078)*2/IF(_xlfn.XLOOKUP(E13,Groups!A:A,Groups!BK:BK)=1,1000,100)))</f>
        <v>No</v>
      </c>
      <c r="BO13" s="8">
        <f>IF(BG13="No","No",IF(_xlfn.XLOOKUP(E13,Groups!A:A,Groups!BE:BE)=1,(0.0315*C13+2.1825)*2,(0.7354*C13^0.4078)*2)/IF(_xlfn.XLOOKUP(E13,Groups!A:A,Groups!BL:BL)=1,1000,100))</f>
        <v>9.2475000000000002E-2</v>
      </c>
      <c r="BP13" s="8">
        <f>BD13/(AL13*5%)</f>
        <v>0.10928222619032066</v>
      </c>
      <c r="BQ13" s="8">
        <f t="shared" si="8"/>
        <v>7.7754500459296958</v>
      </c>
      <c r="BR13" s="8" t="str">
        <f>IF(W13="No","No",BF13/BN13)</f>
        <v>No</v>
      </c>
      <c r="BS13" s="8">
        <f t="shared" si="9"/>
        <v>1120.1272450203794</v>
      </c>
      <c r="BT13" s="4">
        <v>0</v>
      </c>
      <c r="BU13" s="4">
        <v>1</v>
      </c>
    </row>
    <row r="14" spans="1:73" x14ac:dyDescent="0.25">
      <c r="A14" s="26" t="s">
        <v>69</v>
      </c>
      <c r="B14" s="6" t="s">
        <v>886</v>
      </c>
      <c r="C14" s="7">
        <f>AVERAGE(1.36,3.17 )</f>
        <v>2.2650000000000001</v>
      </c>
      <c r="D14" s="7" t="s">
        <v>1078</v>
      </c>
      <c r="E14" s="7" t="str">
        <f>Groups!A11</f>
        <v>Canid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517</v>
      </c>
      <c r="L14" s="7">
        <f>MIN(37.5*C14^0.089,79.3*C14^-0.072)</f>
        <v>40.330382234883444</v>
      </c>
      <c r="M14" s="7" t="s">
        <v>638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_xlfn.XLOOKUP(B14,[1]TeethAdjusters!$A:$A,[1]BiteAdjusters!$C:$C)</f>
        <v>0.71417487730106877</v>
      </c>
      <c r="T14" s="7">
        <f>_xlfn.XLOOKUP(B14,[1]TeethAdjusters!$A:$A,[1]TeethAdjusters!$B:$B)</f>
        <v>0.95359131166584876</v>
      </c>
      <c r="U14" s="7" t="s">
        <v>45</v>
      </c>
      <c r="V14" s="7">
        <f>IF(AQ14="No","No",IF(_xlfn.XLOOKUP(E14,Groups!A:A,Groups!AM:AM)=1,MROUND(EXP(0.3582*LN(C14)-0.2221)*T14,0.05),IF(_xlfn.XLOOKUP(E14,Groups!A:A,Groups!AM:AM)=2,MROUND(EXP(0.3582*LN(C14)-0.2221)*T14,0.05),"Need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945</v>
      </c>
      <c r="Y14" s="4" t="s">
        <v>53</v>
      </c>
      <c r="Z14" s="4">
        <v>0</v>
      </c>
      <c r="AA14" s="4">
        <v>0</v>
      </c>
      <c r="AB14" s="4">
        <v>0</v>
      </c>
      <c r="AC14" s="4" t="s">
        <v>45</v>
      </c>
      <c r="AD14" s="4" t="s">
        <v>320</v>
      </c>
      <c r="AE14" s="28" t="s">
        <v>388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4" t="s">
        <v>40</v>
      </c>
      <c r="AL14" s="8">
        <f t="shared" si="0"/>
        <v>1888.501407804788</v>
      </c>
      <c r="AM14" s="8">
        <f>IFERROR(C14*_xlfn.XLOOKUP(E14,Groups!A:A,Groups!K:K),0.106*C14^0.94)</f>
        <v>0.28255875000000003</v>
      </c>
      <c r="AN14" s="8">
        <f>AM14*10000/(_xlfn.XLOOKUP(E14,Groups!A:A,Groups!J:J)*AL14)</f>
        <v>1.372666231212947</v>
      </c>
      <c r="AO14" s="8">
        <f t="shared" si="1"/>
        <v>108.48429314626905</v>
      </c>
      <c r="AP14" s="8">
        <f>IF(_xlfn.XLOOKUP(E14,Groups!A:A,Groups!M:M)=1,EXP(0.7444*LN('Base stats'!C14)+6.5696),EXP(0.7927*LN('Base stats'!C14)+4.28))</f>
        <v>138.1156684708528</v>
      </c>
      <c r="AQ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"No")))))))))))))))</f>
        <v>185.62664665026728</v>
      </c>
      <c r="AR14" s="8">
        <f>IF(_xlfn.XLOOKUP(E14,Groups!A:A,Groups!U:U)=3,AP14,IF(_xlfn.XLOOKUP(E14,Groups!A:A,Groups!U:U)=2,AO14,AQ14))</f>
        <v>185.62664665026728</v>
      </c>
      <c r="AS14" s="46">
        <f>IFERROR(AVERAGE(_xlfn.XLOOKUP(B14,Animals!B:B,Animals!M:M),_xlfn.XLOOKUP(B14,Animals!B:B,Animals!N:N)),0)</f>
        <v>0</v>
      </c>
      <c r="AT14" s="8">
        <f>MROUND(40*Animals!AN14*_xlfn.XLOOKUP(Animals!AZ14,Leathers!$A$2:$A$100,Leathers!$B$2:$B$100,0)+(140*_xlfn.XLOOKUP(B14,Animals!B:B,Animals!AN:AN)*2),5)</f>
        <v>70</v>
      </c>
      <c r="AU14" s="8">
        <f>IFERROR(ROUND(SQRT(V14-1)*IF(_xlfn.XLOOKUP(E14,Groups!A:A,Groups!BE:BE)=0,2,1)*IF(_xlfn.XLOOKUP('Base stats'!E14,Groups!A:A,Groups!O:O)=0,1,0.1),1),0)</f>
        <v>0</v>
      </c>
      <c r="AV14" s="8">
        <f t="shared" si="2"/>
        <v>0</v>
      </c>
      <c r="AW14" s="8">
        <f t="shared" si="3"/>
        <v>0</v>
      </c>
      <c r="AX14" s="8">
        <f t="shared" si="4"/>
        <v>0.8</v>
      </c>
      <c r="AY14" s="8">
        <f>IF(_xlfn.XLOOKUP(E14,Groups!A:A,Groups!N:N)="Insect",BA14*2.5,IFERROR(AVERAGE(BA14,AQ14/9.81/IF(OR(_xlfn.XLOOKUP(E14,Groups!A:A,Groups!N:N)="Pig",_xlfn.XLOOKUP(E14,Groups!A:A,Groups!N:N)="StrongBitingHerbivore"),20,25))*C14^-0.135,BA14))</f>
        <v>0.3735210150679838</v>
      </c>
      <c r="AZ14" s="8" t="str">
        <f>IF(W14="No","No",IF(_xlfn.XLOOKUP(E14,Groups!A:A,Groups!U:U)=1,'Base stats'!AY14,IF(OR(_xlfn.XLOOKUP(E14,Groups!A:A,Groups!BC:BC)=1,_xlfn.XLOOKUP(E14,Groups!A:A,Groups!U:U)=2),BA14,IF(_xlfn.XLOOKUP(B14,Animals!B:B,Animals!AN:AN)&gt;4,AVERAGE(BA14,BC14),BC14))))</f>
        <v>No</v>
      </c>
      <c r="BA14" s="8">
        <f>(0.0392*C14^IF(OR(Y14="Herbivore",Y14="Dendrovore",Y14="OmnivoreRough"),0.889,0.966))*C14^-0.135</f>
        <v>7.7329953049139977E-2</v>
      </c>
      <c r="BB14" s="8">
        <f>IF(_xlfn.XLOOKUP(E14,Groups!A:A,Groups!BD:BD)=1,(0.048*C14^1.01)+(0.071*C14^1.03),0.071*C14^1.03)/IF(_xlfn.XLOOKUP(E14,Groups!A:A,Groups!M:M)=1,0.85,IF(OR(_xlfn.XLOOKUP(B14,Animals!B:B,Animals!AN:AN)&gt;4,_xlfn.XLOOKUP(E14,Groups!A:A,Groups!BB:BB)=1),1.7,1))*C14^-0.25</f>
        <v>0.1343419196210672</v>
      </c>
      <c r="BC14" s="8">
        <f>(0.048*C14^1.01)/IF(_xlfn.XLOOKUP(E14,Groups!A:A,Groups!M:M)=1,0.25,0.8)*C14^-0.25</f>
        <v>0.11168711870991857</v>
      </c>
      <c r="BD14" s="8">
        <f>EXP(1.076*LN(AO14)-4.5397)*IF(_xlfn.XLOOKUP(E14,Groups!A:A,Groups!BB:BB)=1,1.25,IF(_xlfn.XLOOKUP(E14,Groups!A:A,Groups!BC:BC)=1,3.5,2.5))</f>
        <v>4.1345485346873936</v>
      </c>
      <c r="BE14" s="8">
        <f>EXP(1.076*LN(AP14)-4.5397)*IF(_xlfn.XLOOKUP(E14,Groups!A:A,Groups!M:M)=1,0.8,IF(_xlfn.XLOOKUP(E14,Groups!A:A,Groups!BB:BB)=1,1.3,3))</f>
        <v>6.4336289369953583</v>
      </c>
      <c r="BF14" s="8" t="str">
        <f>IF(W14="No","No",IF(_xlfn.XLOOKUP(E14,Groups!A:A,Groups!U:U)=1,'Base stats'!BG14,IF(OR(_xlfn.XLOOKUP(E14,Groups!A:A,Groups!BC:BC)=1,_xlfn.XLOOKUP(E14,Groups!A:A,Groups!U:U)=2),BD14,BE14))*1.2)</f>
        <v>No</v>
      </c>
      <c r="BG14" s="8">
        <f>IFERROR(EXP(1.076*LN(AQ14)-4.5397)*IF(_xlfn.XLOOKUP(E14,Groups!A:A,Groups!N:N)="Insect",1,IF(OR(_xlfn.XLOOKUP(E14,Groups!A:A,Groups!N:N)="Pig",_xlfn.XLOOKUP(E14,Groups!A:A,Groups!N:N)="StrongBitingHerbivore"),3.5,3.75)),"No")</f>
        <v>11.05405425139074</v>
      </c>
      <c r="BH14" s="8">
        <f t="shared" si="5"/>
        <v>10</v>
      </c>
      <c r="BI14" s="8">
        <f t="shared" si="6"/>
        <v>9</v>
      </c>
      <c r="BJ14" s="8" t="str">
        <f>IF(W14="No","No",ROUNDDOWN(SQRT((2*BF14)/AZ14),0))</f>
        <v>No</v>
      </c>
      <c r="BK14" s="8">
        <f>IF(V14="No","No",ROUNDDOWN(SQRT((2*BG14)/AY14),0))</f>
        <v>7</v>
      </c>
      <c r="BL14" s="8">
        <f t="shared" si="7"/>
        <v>10</v>
      </c>
      <c r="BM14" s="8" t="str" cm="1">
        <f t="array" ref="BM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stats'!E14,Groups!A:A,Groups!P:P=0)),"No",IF(U14="No",AVERAGE(EXP(-0.57+0.99*LN(C14)),EXP(0.32+0.67*LN(C14)))/IF(_xlfn.XLOOKUP(E14,Groups!A:A,Groups!AD:AD)=1,10,2),(0.7354*C14^0.4078)*2/IF(_xlfn.XLOOKUP(E14,Groups!A:A,Groups!BJ:BJ)=1,1000,100)))</f>
        <v>No</v>
      </c>
      <c r="BN14" s="8" t="str">
        <f>IF(W14="No","No",IF(_xlfn.XLOOKUP(E14,Groups!A:A,Groups!BC:BC)=1,(AL14*5%),EXP(0.7354*LN(C14)^0.4078)*2/IF(_xlfn.XLOOKUP(E14,Groups!A:A,Groups!BK:BK)=1,1000,100)))</f>
        <v>No</v>
      </c>
      <c r="BO14" s="8">
        <f>IF(BG14="No","No",IF(_xlfn.XLOOKUP(E14,Groups!A:A,Groups!BE:BE)=1,(0.0315*C14+2.1825)*2,(0.7354*C14^0.4078)*2)/IF(_xlfn.XLOOKUP(E14,Groups!A:A,Groups!BL:BL)=1,1000,100))</f>
        <v>2.0528179461886172E-2</v>
      </c>
      <c r="BP14" s="8">
        <f>BD14/(AL14*5%)</f>
        <v>4.3786554964694809E-2</v>
      </c>
      <c r="BQ14" s="8" t="str">
        <f t="shared" si="8"/>
        <v>No</v>
      </c>
      <c r="BR14" s="8" t="str">
        <f>IF(W14="No","No",BF14/BN14)</f>
        <v>No</v>
      </c>
      <c r="BS14" s="8">
        <f t="shared" si="9"/>
        <v>538.48195705392914</v>
      </c>
      <c r="BT14" s="4">
        <v>0</v>
      </c>
      <c r="BU14" s="4">
        <v>1</v>
      </c>
    </row>
    <row r="15" spans="1:73" s="16" customFormat="1" x14ac:dyDescent="0.25">
      <c r="A15" s="26" t="s">
        <v>63</v>
      </c>
      <c r="B15" s="6" t="s">
        <v>887</v>
      </c>
      <c r="C15" s="7">
        <f>AVERAGE(AVERAGE(29,36),AVERAGE(25,32))</f>
        <v>30.5</v>
      </c>
      <c r="D15" s="7" t="s">
        <v>1079</v>
      </c>
      <c r="E15" s="7" t="str">
        <f>Groups!A11</f>
        <v>Canid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517</v>
      </c>
      <c r="L15" s="7">
        <f>MIN(37.5*C15^0.089,79.3*C15^-0.072)</f>
        <v>50.831620301159781</v>
      </c>
      <c r="M15" s="7" t="s">
        <v>638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_xlfn.XLOOKUP(B15,[1]TeethAdjusters!$A:$A,[1]BiteAdjusters!$C:$C)</f>
        <v>0.71417487730106877</v>
      </c>
      <c r="T15" s="7">
        <f>_xlfn.XLOOKUP(B15,[1]TeethAdjusters!$A:$A,[1]TeethAdjusters!$B:$B)</f>
        <v>0.95359131166584876</v>
      </c>
      <c r="U15" s="7" t="s">
        <v>45</v>
      </c>
      <c r="V15" s="7">
        <f>IF(AQ15="No","No",IF(_xlfn.XLOOKUP(E15,Groups!A:A,Groups!AM:AM)=1,MROUND(EXP(0.3582*LN(C15)-0.2221)*T15,0.05),IF(_xlfn.XLOOKUP(E15,Groups!A:A,Groups!AM:AM)=2,MROUND(EXP(0.3582*LN(C15)-0.2221)*T15,0.05),"Need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945</v>
      </c>
      <c r="Y15" s="4" t="s">
        <v>53</v>
      </c>
      <c r="Z15" s="4">
        <v>0</v>
      </c>
      <c r="AA15" s="4">
        <v>0</v>
      </c>
      <c r="AB15" s="4">
        <v>0</v>
      </c>
      <c r="AC15" s="4" t="s">
        <v>45</v>
      </c>
      <c r="AD15" s="4" t="s">
        <v>320</v>
      </c>
      <c r="AE15" s="28" t="s">
        <v>388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4" t="s">
        <v>40</v>
      </c>
      <c r="AL15" s="8">
        <f t="shared" si="0"/>
        <v>10235.707678092651</v>
      </c>
      <c r="AM15" s="8">
        <f>IFERROR(C15*_xlfn.XLOOKUP(E15,Groups!A:A,Groups!K:K),0.106*C15^0.94)</f>
        <v>3.804875</v>
      </c>
      <c r="AN15" s="8">
        <f>AM15*10000/(_xlfn.XLOOKUP(E15,Groups!A:A,Groups!J:J)*AL15)</f>
        <v>3.4103269836881278</v>
      </c>
      <c r="AO15" s="8">
        <f t="shared" si="1"/>
        <v>975.50348213642621</v>
      </c>
      <c r="AP15" s="8">
        <f>IF(_xlfn.XLOOKUP(E15,Groups!A:A,Groups!M:M)=1,EXP(0.7444*LN('Base stats'!C15)+6.5696),EXP(0.7927*LN('Base stats'!C15)+4.28))</f>
        <v>1084.8878993878791</v>
      </c>
      <c r="AQ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"No")))))))))))))))</f>
        <v>1634.8142948339298</v>
      </c>
      <c r="AR15" s="8">
        <f>IF(_xlfn.XLOOKUP(E15,Groups!A:A,Groups!U:U)=3,AP15,IF(_xlfn.XLOOKUP(E15,Groups!A:A,Groups!U:U)=2,AO15,AQ15))</f>
        <v>1634.8142948339298</v>
      </c>
      <c r="AS15" s="46">
        <f>IFERROR(AVERAGE(_xlfn.XLOOKUP(B15,Animals!B:B,Animals!M:M),_xlfn.XLOOKUP(B15,Animals!B:B,Animals!N:N)),0)</f>
        <v>0</v>
      </c>
      <c r="AT15" s="8">
        <f>MROUND(40*Animals!AN15*_xlfn.XLOOKUP(Animals!AZ15,Leathers!$A$2:$A$100,Leathers!$B$2:$B$100,0)+(140*_xlfn.XLOOKUP(B15,Animals!B:B,Animals!AN:AN)*2),5)</f>
        <v>250</v>
      </c>
      <c r="AU15" s="8">
        <f>IFERROR(ROUND(SQRT(V15-1)*IF(_xlfn.XLOOKUP(E15,Groups!A:A,Groups!BE:BE)=0,2,1)*IF(_xlfn.XLOOKUP('Base stats'!E15,Groups!A:A,Groups!O:O)=0,1,0.1),1),0)</f>
        <v>2.5</v>
      </c>
      <c r="AV15" s="8">
        <f t="shared" si="2"/>
        <v>0</v>
      </c>
      <c r="AW15" s="8">
        <f t="shared" si="3"/>
        <v>0</v>
      </c>
      <c r="AX15" s="8">
        <f t="shared" si="4"/>
        <v>2.7</v>
      </c>
      <c r="AY15" s="8">
        <f>IF(_xlfn.XLOOKUP(E15,Groups!A:A,Groups!N:N)="Insect",BA15*2.5,IFERROR(AVERAGE(BA15,AQ15/9.81/IF(OR(_xlfn.XLOOKUP(E15,Groups!A:A,Groups!N:N)="Pig",_xlfn.XLOOKUP(E15,Groups!A:A,Groups!N:N)="StrongBitingHerbivore"),20,25))*C15^-0.135,BA15))</f>
        <v>2.3126196650372473</v>
      </c>
      <c r="AZ15" s="8" t="str">
        <f>IF(W15="No","No",IF(_xlfn.XLOOKUP(E15,Groups!A:A,Groups!U:U)=1,'Base stats'!AY15,IF(OR(_xlfn.XLOOKUP(E15,Groups!A:A,Groups!BC:BC)=1,_xlfn.XLOOKUP(E15,Groups!A:A,Groups!U:U)=2),BA15,IF(_xlfn.XLOOKUP(B15,Animals!B:B,Animals!AN:AN)&gt;4,AVERAGE(BA15,BC15),BC15))))</f>
        <v>No</v>
      </c>
      <c r="BA15" s="8">
        <f>(0.0392*C15^IF(OR(Y15="Herbivore",Y15="Dendrovore",Y15="OmnivoreRough"),0.889,0.966))*C15^-0.135</f>
        <v>0.67102582319877924</v>
      </c>
      <c r="BB15" s="8">
        <f>IF(_xlfn.XLOOKUP(E15,Groups!A:A,Groups!BD:BD)=1,(0.048*C15^1.01)+(0.071*C15^1.03),0.071*C15^1.03)/IF(_xlfn.XLOOKUP(E15,Groups!A:A,Groups!M:M)=1,0.85,IF(OR(_xlfn.XLOOKUP(B15,Animals!B:B,Animals!AN:AN)&gt;4,_xlfn.XLOOKUP(E15,Groups!A:A,Groups!BB:BB)=1),1.7,1))*C15^-0.25</f>
        <v>1.0209682189037141</v>
      </c>
      <c r="BC15" s="8">
        <f>(0.048*C15^1.01)/IF(_xlfn.XLOOKUP(E15,Groups!A:A,Groups!M:M)=1,0.25,0.8)*C15^-0.25</f>
        <v>0.80578490671043002</v>
      </c>
      <c r="BD15" s="8">
        <f>EXP(1.076*LN(AO15)-4.5397)*IF(_xlfn.XLOOKUP(E15,Groups!A:A,Groups!BB:BB)=1,1.25,IF(_xlfn.XLOOKUP(E15,Groups!A:A,Groups!BC:BC)=1,3.5,2.5))</f>
        <v>43.932261881608525</v>
      </c>
      <c r="BE15" s="8">
        <f>EXP(1.076*LN(AP15)-4.5397)*IF(_xlfn.XLOOKUP(E15,Groups!A:A,Groups!M:M)=1,0.8,IF(_xlfn.XLOOKUP(E15,Groups!A:A,Groups!BB:BB)=1,1.3,3))</f>
        <v>59.105610863125953</v>
      </c>
      <c r="BF15" s="8" t="str">
        <f>IF(W15="No","No",IF(_xlfn.XLOOKUP(E15,Groups!A:A,Groups!U:U)=1,'Base stats'!BG15,IF(OR(_xlfn.XLOOKUP(E15,Groups!A:A,Groups!BC:BC)=1,_xlfn.XLOOKUP(E15,Groups!A:A,Groups!U:U)=2),BD15,BE15))*1.2)</f>
        <v>No</v>
      </c>
      <c r="BG15" s="8">
        <f>IFERROR(EXP(1.076*LN(AQ15)-4.5397)*IF(_xlfn.XLOOKUP(E15,Groups!A:A,Groups!N:N)="Insect",1,IF(OR(_xlfn.XLOOKUP(E15,Groups!A:A,Groups!N:N)="Pig",_xlfn.XLOOKUP(E15,Groups!A:A,Groups!N:N)="StrongBitingHerbivore"),3.5,3.75)),"No")</f>
        <v>114.85677959605066</v>
      </c>
      <c r="BH15" s="8">
        <f t="shared" si="5"/>
        <v>11</v>
      </c>
      <c r="BI15" s="8">
        <f t="shared" si="6"/>
        <v>10</v>
      </c>
      <c r="BJ15" s="8" t="str">
        <f>IF(W15="No","No",ROUNDDOWN(SQRT((2*BF15)/AZ15),0))</f>
        <v>No</v>
      </c>
      <c r="BK15" s="8">
        <f>IF(V15="No","No",ROUNDDOWN(SQRT((2*BG15)/AY15),0))</f>
        <v>9</v>
      </c>
      <c r="BL15" s="8">
        <f t="shared" si="7"/>
        <v>12</v>
      </c>
      <c r="BM15" s="8" t="str" cm="1">
        <f t="array" ref="BM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stats'!E15,Groups!A:A,Groups!P:P=0)),"No",IF(U15="No",AVERAGE(EXP(-0.57+0.99*LN(C15)),EXP(0.32+0.67*LN(C15)))/IF(_xlfn.XLOOKUP(E15,Groups!A:A,Groups!AD:AD)=1,10,2),(0.7354*C15^0.4078)*2/IF(_xlfn.XLOOKUP(E15,Groups!A:A,Groups!BJ:BJ)=1,1000,100)))</f>
        <v>No</v>
      </c>
      <c r="BN15" s="8" t="str">
        <f>IF(W15="No","No",IF(_xlfn.XLOOKUP(E15,Groups!A:A,Groups!BC:BC)=1,(AL15*5%),EXP(0.7354*LN(C15)^0.4078)*2/IF(_xlfn.XLOOKUP(E15,Groups!A:A,Groups!BK:BK)=1,1000,100)))</f>
        <v>No</v>
      </c>
      <c r="BO15" s="8">
        <f>IF(BG15="No","No",IF(_xlfn.XLOOKUP(E15,Groups!A:A,Groups!BE:BE)=1,(0.0315*C15+2.1825)*2,(0.7354*C15^0.4078)*2)/IF(_xlfn.XLOOKUP(E15,Groups!A:A,Groups!BL:BL)=1,1000,100))</f>
        <v>5.9272206616755349E-2</v>
      </c>
      <c r="BP15" s="8">
        <f>BD15/(AL15*5%)</f>
        <v>8.5841181212386833E-2</v>
      </c>
      <c r="BQ15" s="8" t="str">
        <f t="shared" si="8"/>
        <v>No</v>
      </c>
      <c r="BR15" s="8" t="str">
        <f>IF(W15="No","No",BF15/BN15)</f>
        <v>No</v>
      </c>
      <c r="BS15" s="8">
        <f t="shared" si="9"/>
        <v>1937.7847755643097</v>
      </c>
      <c r="BT15" s="4">
        <v>0</v>
      </c>
      <c r="BU15" s="4">
        <v>1</v>
      </c>
    </row>
    <row r="16" spans="1:73" x14ac:dyDescent="0.25">
      <c r="A16" s="26" t="s">
        <v>62</v>
      </c>
      <c r="B16" s="6" t="s">
        <v>888</v>
      </c>
      <c r="C16" s="7">
        <f>AVERAGE(38,34)</f>
        <v>36</v>
      </c>
      <c r="D16" s="7" t="s">
        <v>1080</v>
      </c>
      <c r="E16" s="7" t="str">
        <f>Groups!A11</f>
        <v>Canid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517</v>
      </c>
      <c r="L16" s="7">
        <f>MIN(37.5*C16^0.089,79.3*C16^-0.072)</f>
        <v>51.58722779516075</v>
      </c>
      <c r="M16" s="7" t="s">
        <v>638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_xlfn.XLOOKUP(B16,[1]TeethAdjusters!$A:$A,[1]BiteAdjusters!$C:$C)</f>
        <v>0.71417487730106877</v>
      </c>
      <c r="T16" s="7">
        <f>_xlfn.XLOOKUP(B16,[1]TeethAdjusters!$A:$A,[1]TeethAdjusters!$B:$B)</f>
        <v>0.95359131166584876</v>
      </c>
      <c r="U16" s="7" t="s">
        <v>45</v>
      </c>
      <c r="V16" s="7">
        <f>IF(AQ16="No","No",IF(_xlfn.XLOOKUP(E16,Groups!A:A,Groups!AM:AM)=1,MROUND(EXP(0.3582*LN(C16)-0.2221)*T16,0.05),IF(_xlfn.XLOOKUP(E16,Groups!A:A,Groups!AM:AM)=2,MROUND(EXP(0.3582*LN(C16)-0.2221)*T16,0.05),"Need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945</v>
      </c>
      <c r="Y16" s="4" t="s">
        <v>53</v>
      </c>
      <c r="Z16" s="4">
        <v>0</v>
      </c>
      <c r="AA16" s="4">
        <v>0</v>
      </c>
      <c r="AB16" s="4">
        <v>0</v>
      </c>
      <c r="AC16" s="4" t="s">
        <v>45</v>
      </c>
      <c r="AD16" s="4" t="s">
        <v>320</v>
      </c>
      <c r="AE16" s="28" t="s">
        <v>388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4" t="s">
        <v>40</v>
      </c>
      <c r="AL16" s="8">
        <f t="shared" si="0"/>
        <v>11400.387263668637</v>
      </c>
      <c r="AM16" s="8">
        <f>IFERROR(C16*_xlfn.XLOOKUP(E16,Groups!A:A,Groups!K:K),0.106*C16^0.94)</f>
        <v>4.4909999999999997</v>
      </c>
      <c r="AN16" s="8">
        <f>AM16*10000/(_xlfn.XLOOKUP(E16,Groups!A:A,Groups!J:J)*AL16)</f>
        <v>3.6140732686940842</v>
      </c>
      <c r="AO16" s="8">
        <f t="shared" si="1"/>
        <v>1122.1462748355216</v>
      </c>
      <c r="AP16" s="8">
        <f>IF(_xlfn.XLOOKUP(E16,Groups!A:A,Groups!M:M)=1,EXP(0.7444*LN('Base stats'!C16)+6.5696),EXP(0.7927*LN('Base stats'!C16)+4.28))</f>
        <v>1237.2611460422108</v>
      </c>
      <c r="AQ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"No")))))))))))))))</f>
        <v>1878.0755264115469</v>
      </c>
      <c r="AR16" s="8">
        <f>IF(_xlfn.XLOOKUP(E16,Groups!A:A,Groups!U:U)=3,AP16,IF(_xlfn.XLOOKUP(E16,Groups!A:A,Groups!U:U)=2,AO16,AQ16))</f>
        <v>1878.0755264115469</v>
      </c>
      <c r="AS16" s="46">
        <f>IFERROR(AVERAGE(_xlfn.XLOOKUP(B16,Animals!B:B,Animals!M:M),_xlfn.XLOOKUP(B16,Animals!B:B,Animals!N:N)),0)</f>
        <v>0</v>
      </c>
      <c r="AT16" s="8">
        <f>MROUND(40*Animals!AN16*_xlfn.XLOOKUP(Animals!AZ16,Leathers!$A$2:$A$100,Leathers!$B$2:$B$100,0)+(140*_xlfn.XLOOKUP(B16,Animals!B:B,Animals!AN:AN)*2),5)</f>
        <v>270</v>
      </c>
      <c r="AU16" s="8">
        <f>IFERROR(ROUND(SQRT(V16-1)*IF(_xlfn.XLOOKUP(E16,Groups!A:A,Groups!BE:BE)=0,2,1)*IF(_xlfn.XLOOKUP('Base stats'!E16,Groups!A:A,Groups!O:O)=0,1,0.1),1),0)</f>
        <v>2.6</v>
      </c>
      <c r="AV16" s="8">
        <f t="shared" si="2"/>
        <v>0</v>
      </c>
      <c r="AW16" s="8">
        <f t="shared" si="3"/>
        <v>0</v>
      </c>
      <c r="AX16" s="8">
        <f t="shared" si="4"/>
        <v>2.9</v>
      </c>
      <c r="AY16" s="8">
        <f>IF(_xlfn.XLOOKUP(E16,Groups!A:A,Groups!N:N)="Insect",BA16*2.5,IFERROR(AVERAGE(BA16,AQ16/9.81/IF(OR(_xlfn.XLOOKUP(E16,Groups!A:A,Groups!N:N)="Pig",_xlfn.XLOOKUP(E16,Groups!A:A,Groups!N:N)="StrongBitingHerbivore"),20,25))*C16^-0.135,BA16))</f>
        <v>2.5977117688032751</v>
      </c>
      <c r="AZ16" s="8" t="str">
        <f>IF(W16="No","No",IF(_xlfn.XLOOKUP(E16,Groups!A:A,Groups!U:U)=1,'Base stats'!AY16,IF(OR(_xlfn.XLOOKUP(E16,Groups!A:A,Groups!BC:BC)=1,_xlfn.XLOOKUP(E16,Groups!A:A,Groups!U:U)=2),BA16,IF(_xlfn.XLOOKUP(B16,Animals!B:B,Animals!AN:AN)&gt;4,AVERAGE(BA16,BC16),BC16))))</f>
        <v>No</v>
      </c>
      <c r="BA16" s="8">
        <f>(0.0392*C16^IF(OR(Y16="Herbivore",Y16="Dendrovore",Y16="OmnivoreRough"),0.889,0.966))*C16^-0.135</f>
        <v>0.77014667571860451</v>
      </c>
      <c r="BB16" s="8">
        <f>IF(_xlfn.XLOOKUP(E16,Groups!A:A,Groups!BD:BD)=1,(0.048*C16^1.01)+(0.071*C16^1.03),0.071*C16^1.03)/IF(_xlfn.XLOOKUP(E16,Groups!A:A,Groups!M:M)=1,0.85,IF(OR(_xlfn.XLOOKUP(B16,Animals!B:B,Animals!AN:AN)&gt;4,_xlfn.XLOOKUP(E16,Groups!A:A,Groups!BB:BB)=1),1.7,1))*C16^-0.25</f>
        <v>1.1619148420290941</v>
      </c>
      <c r="BC16" s="8">
        <f>(0.048*C16^1.01)/IF(_xlfn.XLOOKUP(E16,Groups!A:A,Groups!M:M)=1,0.25,0.8)*C16^-0.25</f>
        <v>0.91398938303272259</v>
      </c>
      <c r="BD16" s="8">
        <f>EXP(1.076*LN(AO16)-4.5397)*IF(_xlfn.XLOOKUP(E16,Groups!A:A,Groups!BB:BB)=1,1.25,IF(_xlfn.XLOOKUP(E16,Groups!A:A,Groups!BC:BC)=1,3.5,2.5))</f>
        <v>51.077141133404595</v>
      </c>
      <c r="BE16" s="8">
        <f>EXP(1.076*LN(AP16)-4.5397)*IF(_xlfn.XLOOKUP(E16,Groups!A:A,Groups!M:M)=1,0.8,IF(_xlfn.XLOOKUP(E16,Groups!A:A,Groups!BB:BB)=1,1.3,3))</f>
        <v>68.083682006769152</v>
      </c>
      <c r="BF16" s="8" t="str">
        <f>IF(W16="No","No",IF(_xlfn.XLOOKUP(E16,Groups!A:A,Groups!U:U)=1,'Base stats'!BG16,IF(OR(_xlfn.XLOOKUP(E16,Groups!A:A,Groups!BC:BC)=1,_xlfn.XLOOKUP(E16,Groups!A:A,Groups!U:U)=2),BD16,BE16))*1.2)</f>
        <v>No</v>
      </c>
      <c r="BG16" s="8">
        <f>IFERROR(EXP(1.076*LN(AQ16)-4.5397)*IF(_xlfn.XLOOKUP(E16,Groups!A:A,Groups!N:N)="Insect",1,IF(OR(_xlfn.XLOOKUP(E16,Groups!A:A,Groups!N:N)="Pig",_xlfn.XLOOKUP(E16,Groups!A:A,Groups!N:N)="StrongBitingHerbivore"),3.5,3.75)),"No")</f>
        <v>133.34595732243451</v>
      </c>
      <c r="BH16" s="8">
        <f t="shared" si="5"/>
        <v>11</v>
      </c>
      <c r="BI16" s="8">
        <f t="shared" si="6"/>
        <v>10</v>
      </c>
      <c r="BJ16" s="8" t="str">
        <f>IF(W16="No","No",ROUNDDOWN(SQRT((2*BF16)/AZ16),0))</f>
        <v>No</v>
      </c>
      <c r="BK16" s="8">
        <f>IF(V16="No","No",ROUNDDOWN(SQRT((2*BG16)/AY16),0))</f>
        <v>10</v>
      </c>
      <c r="BL16" s="8">
        <f t="shared" si="7"/>
        <v>12</v>
      </c>
      <c r="BM16" s="8" t="str" cm="1">
        <f t="array" ref="BM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stats'!E16,Groups!A:A,Groups!P:P=0)),"No",IF(U16="No",AVERAGE(EXP(-0.57+0.99*LN(C16)),EXP(0.32+0.67*LN(C16)))/IF(_xlfn.XLOOKUP(E16,Groups!A:A,Groups!AD:AD)=1,10,2),(0.7354*C16^0.4078)*2/IF(_xlfn.XLOOKUP(E16,Groups!A:A,Groups!BJ:BJ)=1,1000,100)))</f>
        <v>No</v>
      </c>
      <c r="BN16" s="8" t="str">
        <f>IF(W16="No","No",IF(_xlfn.XLOOKUP(E16,Groups!A:A,Groups!BC:BC)=1,(AL16*5%),EXP(0.7354*LN(C16)^0.4078)*2/IF(_xlfn.XLOOKUP(E16,Groups!A:A,Groups!BK:BK)=1,1000,100)))</f>
        <v>No</v>
      </c>
      <c r="BO16" s="8">
        <f>IF(BG16="No","No",IF(_xlfn.XLOOKUP(E16,Groups!A:A,Groups!BE:BE)=1,(0.0315*C16+2.1825)*2,(0.7354*C16^0.4078)*2)/IF(_xlfn.XLOOKUP(E16,Groups!A:A,Groups!BL:BL)=1,1000,100))</f>
        <v>6.3418180977575608E-2</v>
      </c>
      <c r="BP16" s="8">
        <f>BD16/(AL16*5%)</f>
        <v>8.960597557274208E-2</v>
      </c>
      <c r="BQ16" s="8" t="str">
        <f t="shared" si="8"/>
        <v>No</v>
      </c>
      <c r="BR16" s="8" t="str">
        <f>IF(W16="No","No",BF16/BN16)</f>
        <v>No</v>
      </c>
      <c r="BS16" s="8">
        <f t="shared" si="9"/>
        <v>2102.645570512107</v>
      </c>
      <c r="BT16" s="4">
        <v>0</v>
      </c>
      <c r="BU16" s="4">
        <v>1</v>
      </c>
    </row>
    <row r="17" spans="1:73" x14ac:dyDescent="0.25">
      <c r="A17" s="26" t="s">
        <v>80</v>
      </c>
      <c r="B17" s="6" t="s">
        <v>81</v>
      </c>
      <c r="C17" s="7">
        <v>63</v>
      </c>
      <c r="D17" s="7" t="s">
        <v>518</v>
      </c>
      <c r="E17" s="7" t="str">
        <f>Groups!A17</f>
        <v>Felid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518</v>
      </c>
      <c r="L17" s="7">
        <v>60</v>
      </c>
      <c r="M17" s="7" t="s">
        <v>638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_xlfn.XLOOKUP(B17,[1]TeethAdjusters!$A:$A,[1]BiteAdjusters!$C:$C)</f>
        <v>0.85422409643679775</v>
      </c>
      <c r="T17" s="7">
        <f>_xlfn.XLOOKUP(B17,[1]TeethAdjusters!$A:$A,[1]TeethAdjusters!$B:$B)</f>
        <v>1.0393594726837676</v>
      </c>
      <c r="U17" s="7">
        <f>MROUND(5.715,0.05)</f>
        <v>5.7</v>
      </c>
      <c r="V17" s="7">
        <f>IF(AQ17="No","No",IF(_xlfn.XLOOKUP(E17,Groups!A:A,Groups!AM:AM)=1,MROUND(EXP(0.3582*LN(C17)-0.2221)*T17,0.05),IF(_xlfn.XLOOKUP(E17,Groups!A:A,Groups!AM:AM)=2,MROUND(EXP(0.3582*LN(C17)-0.2221)*T17,0.05),"Need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945</v>
      </c>
      <c r="Y17" s="4" t="s">
        <v>56</v>
      </c>
      <c r="Z17" s="4">
        <v>0</v>
      </c>
      <c r="AA17" s="4">
        <v>0</v>
      </c>
      <c r="AB17" s="4">
        <v>0</v>
      </c>
      <c r="AC17" s="4" t="s">
        <v>45</v>
      </c>
      <c r="AD17" s="4" t="s">
        <v>45</v>
      </c>
      <c r="AE17" s="28" t="s">
        <v>398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4" t="s">
        <v>40</v>
      </c>
      <c r="AL17" s="8">
        <f t="shared" si="0"/>
        <v>16401.906654261467</v>
      </c>
      <c r="AM17" s="8">
        <f>IFERROR(C17*_xlfn.XLOOKUP(E17,Groups!A:A,Groups!K:K),0.106*C17^0.94)</f>
        <v>7.8592500000000003</v>
      </c>
      <c r="AN17" s="8">
        <f>AM17*10000/(_xlfn.XLOOKUP(E17,Groups!A:A,Groups!J:J)*AL17)</f>
        <v>4.3960261772640186</v>
      </c>
      <c r="AO17" s="8">
        <f t="shared" si="1"/>
        <v>1800.2951512933766</v>
      </c>
      <c r="AP17" s="8">
        <f>IF(_xlfn.XLOOKUP(E17,Groups!A:A,Groups!M:M)=1,EXP(0.7444*LN('Base stats'!C17)+6.5696),EXP(0.7927*LN('Base stats'!C17)+4.28))</f>
        <v>1928.0470870394572</v>
      </c>
      <c r="AQ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"No")))))))))))))))</f>
        <v>2438.6474828618393</v>
      </c>
      <c r="AR17" s="8">
        <f>IF(_xlfn.XLOOKUP(E17,Groups!A:A,Groups!U:U)=3,AP17,IF(_xlfn.XLOOKUP(E17,Groups!A:A,Groups!U:U)=2,AO17,AQ17))</f>
        <v>2438.6474828618393</v>
      </c>
      <c r="AS17" s="46">
        <f>IFERROR(AVERAGE(_xlfn.XLOOKUP(B17,Animals!B:B,Animals!M:M),_xlfn.XLOOKUP(B17,Animals!B:B,Animals!N:N)),0)</f>
        <v>0</v>
      </c>
      <c r="AT17" s="8">
        <f>MROUND(40*Animals!AN17*_xlfn.XLOOKUP(Animals!AZ17,Leathers!$A$2:$A$100,Leathers!$B$2:$B$100,0)+(140*_xlfn.XLOOKUP(B17,Animals!B:B,Animals!AN:AN)*2),5)</f>
        <v>425</v>
      </c>
      <c r="AU17" s="8">
        <f>IFERROR(ROUND(SQRT(V17-1)*IF(_xlfn.XLOOKUP(E17,Groups!A:A,Groups!BE:BE)=0,2,1)*IF(_xlfn.XLOOKUP('Base stats'!E17,Groups!A:A,Groups!O:O)=0,1,0.1),1),0)</f>
        <v>3.3</v>
      </c>
      <c r="AV17" s="8">
        <f t="shared" si="2"/>
        <v>2.2000000000000002</v>
      </c>
      <c r="AW17" s="8">
        <f t="shared" si="3"/>
        <v>0</v>
      </c>
      <c r="AX17" s="8">
        <f t="shared" si="4"/>
        <v>3.5</v>
      </c>
      <c r="AY17" s="8">
        <f>IF(_xlfn.XLOOKUP(E17,Groups!A:A,Groups!N:N)="Insect",BA17*2.5,IFERROR(AVERAGE(BA17,AQ17/9.81/IF(OR(_xlfn.XLOOKUP(E17,Groups!A:A,Groups!N:N)="Pig",_xlfn.XLOOKUP(E17,Groups!A:A,Groups!N:N)="StrongBitingHerbivore"),20,25))*C17^-0.135,BA17))</f>
        <v>3.1922628081541204</v>
      </c>
      <c r="AZ17" s="8" t="str">
        <f>IF(W17="No","No",IF(_xlfn.XLOOKUP(E17,Groups!A:A,Groups!U:U)=1,'Base stats'!AY17,IF(OR(_xlfn.XLOOKUP(E17,Groups!A:A,Groups!BC:BC)=1,_xlfn.XLOOKUP(E17,Groups!A:A,Groups!U:U)=2),BA17,IF(_xlfn.XLOOKUP(B17,Animals!B:B,Animals!AN:AN)&gt;4,AVERAGE(BA17,BC17),BC17))))</f>
        <v>No</v>
      </c>
      <c r="BA17" s="8">
        <f>(0.0392*C17^IF(OR(Y17="Herbivore",Y17="Dendrovore",Y17="OmnivoreRough"),0.889,0.966))*C17^-0.135</f>
        <v>1.2261343621662715</v>
      </c>
      <c r="BB17" s="8">
        <f>IF(_xlfn.XLOOKUP(E17,Groups!A:A,Groups!BD:BD)=1,(0.048*C17^1.01)+(0.071*C17^1.03),0.071*C17^1.03)/IF(_xlfn.XLOOKUP(E17,Groups!A:A,Groups!M:M)=1,0.85,IF(OR(_xlfn.XLOOKUP(B17,Animals!B:B,Animals!AN:AN)&gt;4,_xlfn.XLOOKUP(E17,Groups!A:A,Groups!BB:BB)=1),1.7,1))*C17^-0.25</f>
        <v>1.7978107679327162</v>
      </c>
      <c r="BC17" s="8">
        <f>(0.048*C17^1.01)/IF(_xlfn.XLOOKUP(E17,Groups!A:A,Groups!M:M)=1,0.25,0.8)*C17^-0.25</f>
        <v>1.3984600617005443</v>
      </c>
      <c r="BD17" s="8">
        <f>EXP(1.076*LN(AO17)-4.5397)*IF(_xlfn.XLOOKUP(E17,Groups!A:A,Groups!BB:BB)=1,1.25,IF(_xlfn.XLOOKUP(E17,Groups!A:A,Groups!BC:BC)=1,3.5,2.5))</f>
        <v>84.942137034811097</v>
      </c>
      <c r="BE17" s="8">
        <f>EXP(1.076*LN(AP17)-4.5397)*IF(_xlfn.XLOOKUP(E17,Groups!A:A,Groups!M:M)=1,0.8,IF(_xlfn.XLOOKUP(E17,Groups!A:A,Groups!BB:BB)=1,1.3,3))</f>
        <v>109.73399023878679</v>
      </c>
      <c r="BF17" s="8" t="str">
        <f>IF(W17="No","No",IF(_xlfn.XLOOKUP(E17,Groups!A:A,Groups!U:U)=1,'Base stats'!BG17,IF(OR(_xlfn.XLOOKUP(E17,Groups!A:A,Groups!BC:BC)=1,_xlfn.XLOOKUP(E17,Groups!A:A,Groups!U:U)=2),BD17,BE17))*1.2)</f>
        <v>No</v>
      </c>
      <c r="BG17" s="8">
        <f>IFERROR(EXP(1.076*LN(AQ17)-4.5397)*IF(_xlfn.XLOOKUP(E17,Groups!A:A,Groups!N:N)="Insect",1,IF(OR(_xlfn.XLOOKUP(E17,Groups!A:A,Groups!N:N)="Pig",_xlfn.XLOOKUP(E17,Groups!A:A,Groups!N:N)="StrongBitingHerbivore"),3.5,3.75)),"No")</f>
        <v>176.61881226386217</v>
      </c>
      <c r="BH17" s="8">
        <f t="shared" si="5"/>
        <v>11</v>
      </c>
      <c r="BI17" s="8">
        <f t="shared" si="6"/>
        <v>11</v>
      </c>
      <c r="BJ17" s="8" t="str">
        <f>IF(W17="No","No",ROUNDDOWN(SQRT((2*BF17)/AZ17),0))</f>
        <v>No</v>
      </c>
      <c r="BK17" s="8">
        <f>IF(V17="No","No",ROUNDDOWN(SQRT((2*BG17)/AY17),0))</f>
        <v>10</v>
      </c>
      <c r="BL17" s="8">
        <f t="shared" si="7"/>
        <v>12</v>
      </c>
      <c r="BM17" s="8" cm="1">
        <f t="array" ref="BM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stats'!E17,Groups!A:A,Groups!P:P=0)),"No",IF(U17="No",AVERAGE(EXP(-0.57+0.99*LN(C17)),EXP(0.32+0.67*LN(C17)))/IF(_xlfn.XLOOKUP(E17,Groups!A:A,Groups!AD:AD)=1,10,2),(0.7354*C17^0.4078)*2/IF(_xlfn.XLOOKUP(E17,Groups!A:A,Groups!BJ:BJ)=1,1000,100)))</f>
        <v>7.9675481601621551E-2</v>
      </c>
      <c r="BN17" s="8" t="str">
        <f>IF(W17="No","No",IF(_xlfn.XLOOKUP(E17,Groups!A:A,Groups!BC:BC)=1,(AL17*5%),EXP(0.7354*LN(C17)^0.4078)*2/IF(_xlfn.XLOOKUP(E17,Groups!A:A,Groups!BK:BK)=1,1000,100)))</f>
        <v>No</v>
      </c>
      <c r="BO17" s="8">
        <f>IF(BG17="No","No",IF(_xlfn.XLOOKUP(E17,Groups!A:A,Groups!BE:BE)=1,(0.0315*C17+2.1825)*2,(0.7354*C17^0.4078)*2)/IF(_xlfn.XLOOKUP(E17,Groups!A:A,Groups!BL:BL)=1,1000,100))</f>
        <v>7.9675481601621551E-2</v>
      </c>
      <c r="BP17" s="8">
        <f>BD17/(AL17*5%)</f>
        <v>0.10357593031751808</v>
      </c>
      <c r="BQ17" s="8">
        <f t="shared" si="8"/>
        <v>1377.2617125486379</v>
      </c>
      <c r="BR17" s="8" t="str">
        <f>IF(W17="No","No",BF17/BN17)</f>
        <v>No</v>
      </c>
      <c r="BS17" s="8">
        <f t="shared" si="9"/>
        <v>2216.7272630614088</v>
      </c>
      <c r="BT17" s="4">
        <v>0</v>
      </c>
      <c r="BU17" s="4">
        <v>1</v>
      </c>
    </row>
    <row r="18" spans="1:73" x14ac:dyDescent="0.25">
      <c r="A18" s="26" t="s">
        <v>244</v>
      </c>
      <c r="B18" s="6" t="s">
        <v>82</v>
      </c>
      <c r="C18" s="7">
        <v>53.75</v>
      </c>
      <c r="D18" s="7" t="s">
        <v>592</v>
      </c>
      <c r="E18" s="7" t="str">
        <f>Groups!A17</f>
        <v>Felid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592</v>
      </c>
      <c r="L18" s="7">
        <v>60</v>
      </c>
      <c r="M18" s="7" t="s">
        <v>638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_xlfn.XLOOKUP(B18,[1]TeethAdjusters!$A:$A,[1]BiteAdjusters!$C:$C)</f>
        <v>1.2846517022095629</v>
      </c>
      <c r="T18" s="7">
        <f>_xlfn.XLOOKUP(B18,[1]TeethAdjusters!$A:$A,[1]TeethAdjusters!$B:$B)</f>
        <v>1.0623284440172567</v>
      </c>
      <c r="U18" s="7">
        <f>MROUND(5.5,0.05)</f>
        <v>5.5</v>
      </c>
      <c r="V18" s="7">
        <f>IF(AQ18="No","No",IF(_xlfn.XLOOKUP(E18,Groups!A:A,Groups!AM:AM)=1,MROUND(EXP(0.3582*LN(C18)-0.2221)*T18,0.05),IF(_xlfn.XLOOKUP(E18,Groups!A:A,Groups!AM:AM)=2,MROUND(EXP(0.3582*LN(C18)-0.2221)*T18,0.05),"Need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945</v>
      </c>
      <c r="Y18" s="4" t="s">
        <v>56</v>
      </c>
      <c r="Z18" s="4">
        <v>0</v>
      </c>
      <c r="AA18" s="4">
        <v>0</v>
      </c>
      <c r="AB18" s="4">
        <v>0</v>
      </c>
      <c r="AC18" s="4" t="s">
        <v>45</v>
      </c>
      <c r="AD18" s="4" t="s">
        <v>45</v>
      </c>
      <c r="AE18" s="28" t="s">
        <v>398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4" t="s">
        <v>40</v>
      </c>
      <c r="AL18" s="8">
        <f t="shared" si="0"/>
        <v>14793.43348517449</v>
      </c>
      <c r="AM18" s="8">
        <f>IFERROR(C18*_xlfn.XLOOKUP(E18,Groups!A:A,Groups!K:K),0.106*C18^0.94)</f>
        <v>6.7053124999999998</v>
      </c>
      <c r="AN18" s="8">
        <f>AM18*10000/(_xlfn.XLOOKUP(E18,Groups!A:A,Groups!J:J)*AL18)</f>
        <v>4.1583739503082215</v>
      </c>
      <c r="AO18" s="8">
        <f t="shared" si="1"/>
        <v>1574.3143065176428</v>
      </c>
      <c r="AP18" s="8">
        <f>IF(_xlfn.XLOOKUP(E18,Groups!A:A,Groups!M:M)=1,EXP(0.7444*LN('Base stats'!C18)+6.5696),EXP(0.7927*LN('Base stats'!C18)+4.28))</f>
        <v>1700.0096811752469</v>
      </c>
      <c r="AQ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"No")))))))))))))))</f>
        <v>3237.991051926494</v>
      </c>
      <c r="AR18" s="8">
        <f>IF(_xlfn.XLOOKUP(E18,Groups!A:A,Groups!U:U)=3,AP18,IF(_xlfn.XLOOKUP(E18,Groups!A:A,Groups!U:U)=2,AO18,AQ18))</f>
        <v>3237.991051926494</v>
      </c>
      <c r="AS18" s="46">
        <f>IFERROR(AVERAGE(_xlfn.XLOOKUP(B18,Animals!B:B,Animals!M:M),_xlfn.XLOOKUP(B18,Animals!B:B,Animals!N:N)),0)</f>
        <v>0</v>
      </c>
      <c r="AT18" s="8">
        <f>MROUND(40*Animals!AN18*_xlfn.XLOOKUP(Animals!AZ18,Leathers!$A$2:$A$100,Leathers!$B$2:$B$100,0)+(140*_xlfn.XLOOKUP(B18,Animals!B:B,Animals!AN:AN)*2),5)</f>
        <v>405</v>
      </c>
      <c r="AU18" s="8">
        <f>IFERROR(ROUND(SQRT(V18-1)*IF(_xlfn.XLOOKUP(E18,Groups!A:A,Groups!BE:BE)=0,2,1)*IF(_xlfn.XLOOKUP('Base stats'!E18,Groups!A:A,Groups!O:O)=0,1,0.1),1),0)</f>
        <v>3.2</v>
      </c>
      <c r="AV18" s="8">
        <f t="shared" si="2"/>
        <v>2.1</v>
      </c>
      <c r="AW18" s="8">
        <f t="shared" si="3"/>
        <v>0</v>
      </c>
      <c r="AX18" s="8">
        <f t="shared" si="4"/>
        <v>3.3</v>
      </c>
      <c r="AY18" s="8">
        <f>IF(_xlfn.XLOOKUP(E18,Groups!A:A,Groups!N:N)="Insect",BA18*2.5,IFERROR(AVERAGE(BA18,AQ18/9.81/IF(OR(_xlfn.XLOOKUP(E18,Groups!A:A,Groups!N:N)="Pig",_xlfn.XLOOKUP(E18,Groups!A:A,Groups!N:N)="StrongBitingHerbivore"),20,25))*C18^-0.135,BA18))</f>
        <v>4.1688604144045547</v>
      </c>
      <c r="AZ18" s="8" t="str">
        <f>IF(W18="No","No",IF(_xlfn.XLOOKUP(E18,Groups!A:A,Groups!U:U)=1,'Base stats'!AY18,IF(OR(_xlfn.XLOOKUP(E18,Groups!A:A,Groups!BC:BC)=1,_xlfn.XLOOKUP(E18,Groups!A:A,Groups!U:U)=2),BA18,IF(_xlfn.XLOOKUP(B18,Animals!B:B,Animals!AN:AN)&gt;4,AVERAGE(BA18,BC18),BC18))))</f>
        <v>No</v>
      </c>
      <c r="BA18" s="8">
        <f>(0.0392*C18^IF(OR(Y18="Herbivore",Y18="Dendrovore",Y18="OmnivoreRough"),0.889,0.966))*C18^-0.135</f>
        <v>1.0745597632000488</v>
      </c>
      <c r="BB18" s="8">
        <f>IF(_xlfn.XLOOKUP(E18,Groups!A:A,Groups!BD:BD)=1,(0.048*C18^1.01)+(0.071*C18^1.03),0.071*C18^1.03)/IF(_xlfn.XLOOKUP(E18,Groups!A:A,Groups!M:M)=1,0.85,IF(OR(_xlfn.XLOOKUP(B18,Animals!B:B,Animals!AN:AN)&gt;4,_xlfn.XLOOKUP(E18,Groups!A:A,Groups!BB:BB)=1),1.7,1))*C18^-0.25</f>
        <v>1.5883768699674763</v>
      </c>
      <c r="BC18" s="8">
        <f>(0.048*C18^1.01)/IF(_xlfn.XLOOKUP(E18,Groups!A:A,Groups!M:M)=1,0.25,0.8)*C18^-0.25</f>
        <v>1.2394781821074123</v>
      </c>
      <c r="BD18" s="8">
        <f>EXP(1.076*LN(AO18)-4.5397)*IF(_xlfn.XLOOKUP(E18,Groups!A:A,Groups!BB:BB)=1,1.25,IF(_xlfn.XLOOKUP(E18,Groups!A:A,Groups!BC:BC)=1,3.5,2.5))</f>
        <v>73.526474206851105</v>
      </c>
      <c r="BE18" s="8">
        <f>EXP(1.076*LN(AP18)-4.5397)*IF(_xlfn.XLOOKUP(E18,Groups!A:A,Groups!M:M)=1,0.8,IF(_xlfn.XLOOKUP(E18,Groups!A:A,Groups!BB:BB)=1,1.3,3))</f>
        <v>95.834150126565405</v>
      </c>
      <c r="BF18" s="8" t="str">
        <f>IF(W18="No","No",IF(_xlfn.XLOOKUP(E18,Groups!A:A,Groups!U:U)=1,'Base stats'!BG18,IF(OR(_xlfn.XLOOKUP(E18,Groups!A:A,Groups!BC:BC)=1,_xlfn.XLOOKUP(E18,Groups!A:A,Groups!U:U)=2),BD18,BE18))*1.2)</f>
        <v>No</v>
      </c>
      <c r="BG18" s="8">
        <f>IFERROR(EXP(1.076*LN(AQ18)-4.5397)*IF(_xlfn.XLOOKUP(E18,Groups!A:A,Groups!N:N)="Insect",1,IF(OR(_xlfn.XLOOKUP(E18,Groups!A:A,Groups!N:N)="Pig",_xlfn.XLOOKUP(E18,Groups!A:A,Groups!N:N)="StrongBitingHerbivore"),3.5,3.75)),"No")</f>
        <v>239.61897244609523</v>
      </c>
      <c r="BH18" s="8">
        <f t="shared" si="5"/>
        <v>11</v>
      </c>
      <c r="BI18" s="8">
        <f t="shared" si="6"/>
        <v>10</v>
      </c>
      <c r="BJ18" s="8" t="str">
        <f>IF(W18="No","No",ROUNDDOWN(SQRT((2*BF18)/AZ18),0))</f>
        <v>No</v>
      </c>
      <c r="BK18" s="8">
        <f>IF(V18="No","No",ROUNDDOWN(SQRT((2*BG18)/AY18),0))</f>
        <v>10</v>
      </c>
      <c r="BL18" s="8">
        <f t="shared" si="7"/>
        <v>12</v>
      </c>
      <c r="BM18" s="8" cm="1">
        <f t="array" ref="BM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stats'!E18,Groups!A:A,Groups!P:P=0)),"No",IF(U18="No",AVERAGE(EXP(-0.57+0.99*LN(C18)),EXP(0.32+0.67*LN(C18)))/IF(_xlfn.XLOOKUP(E18,Groups!A:A,Groups!AD:AD)=1,10,2),(0.7354*C18^0.4078)*2/IF(_xlfn.XLOOKUP(E18,Groups!A:A,Groups!BJ:BJ)=1,1000,100)))</f>
        <v>7.4679596144442667E-2</v>
      </c>
      <c r="BN18" s="8" t="str">
        <f>IF(W18="No","No",IF(_xlfn.XLOOKUP(E18,Groups!A:A,Groups!BC:BC)=1,(AL18*5%),EXP(0.7354*LN(C18)^0.4078)*2/IF(_xlfn.XLOOKUP(E18,Groups!A:A,Groups!BK:BK)=1,1000,100)))</f>
        <v>No</v>
      </c>
      <c r="BO18" s="8">
        <f>IF(BG18="No","No",IF(_xlfn.XLOOKUP(E18,Groups!A:A,Groups!BE:BE)=1,(0.0315*C18+2.1825)*2,(0.7354*C18^0.4078)*2)/IF(_xlfn.XLOOKUP(E18,Groups!A:A,Groups!BL:BL)=1,1000,100))</f>
        <v>7.4679596144442667E-2</v>
      </c>
      <c r="BP18" s="8">
        <f>BD18/(AL18*5%)</f>
        <v>9.9404204278252237E-2</v>
      </c>
      <c r="BQ18" s="8">
        <f t="shared" si="8"/>
        <v>1283.2708674696946</v>
      </c>
      <c r="BR18" s="8" t="str">
        <f>IF(W18="No","No",BF18/BN18)</f>
        <v>No</v>
      </c>
      <c r="BS18" s="8">
        <f t="shared" si="9"/>
        <v>3208.6270523294284</v>
      </c>
      <c r="BT18" s="4">
        <v>0</v>
      </c>
      <c r="BU18" s="4">
        <v>1</v>
      </c>
    </row>
    <row r="19" spans="1:73" x14ac:dyDescent="0.25">
      <c r="A19" s="26" t="s">
        <v>83</v>
      </c>
      <c r="B19" s="6" t="s">
        <v>84</v>
      </c>
      <c r="C19" s="7">
        <v>23</v>
      </c>
      <c r="D19" s="7" t="s">
        <v>519</v>
      </c>
      <c r="E19" s="7" t="str">
        <f>Groups!A17</f>
        <v>Felid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519</v>
      </c>
      <c r="L19" s="7">
        <f>MIN(37.5*C19^0.089,79.3*C19^-0.072)</f>
        <v>49.570699247361198</v>
      </c>
      <c r="M19" s="7" t="s">
        <v>638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_xlfn.XLOOKUP(B19,[1]TeethAdjusters!$A:$A,[1]BiteAdjusters!$C:$C)</f>
        <v>0.77942794130455306</v>
      </c>
      <c r="T19" s="7">
        <f>_xlfn.XLOOKUP(B19,[1]TeethAdjusters!$A:$A,[1]TeethAdjusters!$B:$B)</f>
        <v>1.057158398386151</v>
      </c>
      <c r="U19" s="7">
        <f>MROUND(3.81,0.05)</f>
        <v>3.8000000000000003</v>
      </c>
      <c r="V19" s="7">
        <f>IF(AQ19="No","No",IF(_xlfn.XLOOKUP(E19,Groups!A:A,Groups!AM:AM)=1,MROUND(EXP(0.3582*LN(C19)-0.2221)*T19,0.05),IF(_xlfn.XLOOKUP(E19,Groups!A:A,Groups!AM:AM)=2,MROUND(EXP(0.3582*LN(C19)-0.2221)*T19,0.05),"Need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945</v>
      </c>
      <c r="Y19" s="4" t="s">
        <v>56</v>
      </c>
      <c r="Z19" s="4">
        <v>0</v>
      </c>
      <c r="AA19" s="4">
        <v>0</v>
      </c>
      <c r="AB19" s="4">
        <v>0</v>
      </c>
      <c r="AC19" s="4" t="s">
        <v>45</v>
      </c>
      <c r="AD19" s="4" t="s">
        <v>45</v>
      </c>
      <c r="AE19" s="28" t="s">
        <v>398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4" t="s">
        <v>40</v>
      </c>
      <c r="AL19" s="8">
        <f t="shared" si="0"/>
        <v>8520.1270753585995</v>
      </c>
      <c r="AM19" s="8">
        <f>IFERROR(C19*_xlfn.XLOOKUP(E19,Groups!A:A,Groups!K:K),0.106*C19^0.94)</f>
        <v>2.8692500000000001</v>
      </c>
      <c r="AN19" s="8">
        <f>AM19*10000/(_xlfn.XLOOKUP(E19,Groups!A:A,Groups!J:J)*AL19)</f>
        <v>3.0895542123478164</v>
      </c>
      <c r="AO19" s="8">
        <f t="shared" si="1"/>
        <v>768.58561660384407</v>
      </c>
      <c r="AP19" s="8">
        <f>IF(_xlfn.XLOOKUP(E19,Groups!A:A,Groups!M:M)=1,EXP(0.7444*LN('Base stats'!C19)+6.5696),EXP(0.7927*LN('Base stats'!C19)+4.28))</f>
        <v>867.40523353073831</v>
      </c>
      <c r="AQ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"No")))))))))))))))</f>
        <v>1009.563235891782</v>
      </c>
      <c r="AR19" s="8">
        <f>IF(_xlfn.XLOOKUP(E19,Groups!A:A,Groups!U:U)=3,AP19,IF(_xlfn.XLOOKUP(E19,Groups!A:A,Groups!U:U)=2,AO19,AQ19))</f>
        <v>1009.563235891782</v>
      </c>
      <c r="AS19" s="46">
        <f>IFERROR(AVERAGE(_xlfn.XLOOKUP(B19,Animals!B:B,Animals!M:M),_xlfn.XLOOKUP(B19,Animals!B:B,Animals!N:N)),0)</f>
        <v>0</v>
      </c>
      <c r="AT19" s="8">
        <f>MROUND(40*Animals!AN19*_xlfn.XLOOKUP(Animals!AZ19,Leathers!$A$2:$A$100,Leathers!$B$2:$B$100,0)+(140*_xlfn.XLOOKUP(B19,Animals!B:B,Animals!AN:AN)*2),5)</f>
        <v>270</v>
      </c>
      <c r="AU19" s="8">
        <f>IFERROR(ROUND(SQRT(V19-1)*IF(_xlfn.XLOOKUP(E19,Groups!A:A,Groups!BE:BE)=0,2,1)*IF(_xlfn.XLOOKUP('Base stats'!E19,Groups!A:A,Groups!O:O)=0,1,0.1),1),0)</f>
        <v>2.5</v>
      </c>
      <c r="AV19" s="8">
        <f t="shared" si="2"/>
        <v>1.7</v>
      </c>
      <c r="AW19" s="8">
        <f t="shared" si="3"/>
        <v>0</v>
      </c>
      <c r="AX19" s="8">
        <f t="shared" si="4"/>
        <v>2.4</v>
      </c>
      <c r="AY19" s="8">
        <f>IF(_xlfn.XLOOKUP(E19,Groups!A:A,Groups!N:N)="Insect",BA19*2.5,IFERROR(AVERAGE(BA19,AQ19/9.81/IF(OR(_xlfn.XLOOKUP(E19,Groups!A:A,Groups!N:N)="Pig",_xlfn.XLOOKUP(E19,Groups!A:A,Groups!N:N)="StrongBitingHerbivore"),20,25))*C19^-0.135,BA19))</f>
        <v>1.5216986676287889</v>
      </c>
      <c r="AZ19" s="8" t="str">
        <f>IF(W19="No","No",IF(_xlfn.XLOOKUP(E19,Groups!A:A,Groups!U:U)=1,'Base stats'!AY19,IF(OR(_xlfn.XLOOKUP(E19,Groups!A:A,Groups!BC:BC)=1,_xlfn.XLOOKUP(E19,Groups!A:A,Groups!U:U)=2),BA19,IF(_xlfn.XLOOKUP(B19,Animals!B:B,Animals!AN:AN)&gt;4,AVERAGE(BA19,BC19),BC19))))</f>
        <v>No</v>
      </c>
      <c r="BA19" s="8">
        <f>(0.0392*C19^IF(OR(Y19="Herbivore",Y19="Dendrovore",Y19="OmnivoreRough"),0.889,0.966))*C19^-0.135</f>
        <v>0.53074009611173534</v>
      </c>
      <c r="BB19" s="8">
        <f>IF(_xlfn.XLOOKUP(E19,Groups!A:A,Groups!BD:BD)=1,(0.048*C19^1.01)+(0.071*C19^1.03),0.071*C19^1.03)/IF(_xlfn.XLOOKUP(E19,Groups!A:A,Groups!M:M)=1,0.85,IF(OR(_xlfn.XLOOKUP(B19,Animals!B:B,Animals!AN:AN)&gt;4,_xlfn.XLOOKUP(E19,Groups!A:A,Groups!BB:BB)=1),1.7,1))*C19^-0.25</f>
        <v>0.819230402043443</v>
      </c>
      <c r="BC19" s="8">
        <f>(0.048*C19^1.01)/IF(_xlfn.XLOOKUP(E19,Groups!A:A,Groups!M:M)=1,0.25,0.8)*C19^-0.25</f>
        <v>0.65022611155398025</v>
      </c>
      <c r="BD19" s="8">
        <f>EXP(1.076*LN(AO19)-4.5397)*IF(_xlfn.XLOOKUP(E19,Groups!A:A,Groups!BB:BB)=1,1.25,IF(_xlfn.XLOOKUP(E19,Groups!A:A,Groups!BC:BC)=1,3.5,2.5))</f>
        <v>33.992117018879853</v>
      </c>
      <c r="BE19" s="8">
        <f>EXP(1.076*LN(AP19)-4.5397)*IF(_xlfn.XLOOKUP(E19,Groups!A:A,Groups!M:M)=1,0.8,IF(_xlfn.XLOOKUP(E19,Groups!A:A,Groups!BB:BB)=1,1.3,3))</f>
        <v>46.460246351568529</v>
      </c>
      <c r="BF19" s="8" t="str">
        <f>IF(W19="No","No",IF(_xlfn.XLOOKUP(E19,Groups!A:A,Groups!U:U)=1,'Base stats'!BG19,IF(OR(_xlfn.XLOOKUP(E19,Groups!A:A,Groups!BC:BC)=1,_xlfn.XLOOKUP(E19,Groups!A:A,Groups!U:U)=2),BD19,BE19))*1.2)</f>
        <v>No</v>
      </c>
      <c r="BG19" s="8">
        <f>IFERROR(EXP(1.076*LN(AQ19)-4.5397)*IF(_xlfn.XLOOKUP(E19,Groups!A:A,Groups!N:N)="Insect",1,IF(OR(_xlfn.XLOOKUP(E19,Groups!A:A,Groups!N:N)="Pig",_xlfn.XLOOKUP(E19,Groups!A:A,Groups!N:N)="StrongBitingHerbivore"),3.5,3.75)),"No")</f>
        <v>68.377352800748639</v>
      </c>
      <c r="BH19" s="8">
        <f t="shared" si="5"/>
        <v>11</v>
      </c>
      <c r="BI19" s="8">
        <f t="shared" si="6"/>
        <v>10</v>
      </c>
      <c r="BJ19" s="8" t="str">
        <f>IF(W19="No","No",ROUNDDOWN(SQRT((2*BF19)/AZ19),0))</f>
        <v>No</v>
      </c>
      <c r="BK19" s="8">
        <f>IF(V19="No","No",ROUNDDOWN(SQRT((2*BG19)/AY19),0))</f>
        <v>9</v>
      </c>
      <c r="BL19" s="8">
        <f t="shared" si="7"/>
        <v>11</v>
      </c>
      <c r="BM19" s="8" cm="1">
        <f t="array" ref="BM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stats'!E19,Groups!A:A,Groups!P:P=0)),"No",IF(U19="No",AVERAGE(EXP(-0.57+0.99*LN(C19)),EXP(0.32+0.67*LN(C19)))/IF(_xlfn.XLOOKUP(E19,Groups!A:A,Groups!AD:AD)=1,10,2),(0.7354*C19^0.4078)*2/IF(_xlfn.XLOOKUP(E19,Groups!A:A,Groups!BJ:BJ)=1,1000,100)))</f>
        <v>5.2828251013544915E-2</v>
      </c>
      <c r="BN19" s="8" t="str">
        <f>IF(W19="No","No",IF(_xlfn.XLOOKUP(E19,Groups!A:A,Groups!BC:BC)=1,(AL19*5%),EXP(0.7354*LN(C19)^0.4078)*2/IF(_xlfn.XLOOKUP(E19,Groups!A:A,Groups!BK:BK)=1,1000,100)))</f>
        <v>No</v>
      </c>
      <c r="BO19" s="8">
        <f>IF(BG19="No","No",IF(_xlfn.XLOOKUP(E19,Groups!A:A,Groups!BE:BE)=1,(0.0315*C19+2.1825)*2,(0.7354*C19^0.4078)*2)/IF(_xlfn.XLOOKUP(E19,Groups!A:A,Groups!BL:BL)=1,1000,100))</f>
        <v>5.2828251013544915E-2</v>
      </c>
      <c r="BP19" s="8">
        <f>BD19/(AL19*5%)</f>
        <v>7.9792511821073206E-2</v>
      </c>
      <c r="BQ19" s="8">
        <f t="shared" si="8"/>
        <v>879.45834776275933</v>
      </c>
      <c r="BR19" s="8" t="str">
        <f>IF(W19="No","No",BF19/BN19)</f>
        <v>No</v>
      </c>
      <c r="BS19" s="8">
        <f t="shared" si="9"/>
        <v>1294.3330791552612</v>
      </c>
      <c r="BT19" s="4">
        <v>0</v>
      </c>
      <c r="BU19" s="4">
        <v>1</v>
      </c>
    </row>
    <row r="20" spans="1:73" x14ac:dyDescent="0.25">
      <c r="A20" s="26" t="s">
        <v>85</v>
      </c>
      <c r="B20" s="6" t="s">
        <v>86</v>
      </c>
      <c r="C20" s="7">
        <v>3.9</v>
      </c>
      <c r="D20" s="7" t="s">
        <v>520</v>
      </c>
      <c r="E20" s="7" t="str">
        <f>Groups!A17</f>
        <v>Felid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520</v>
      </c>
      <c r="L20" s="7">
        <f>MIN(37.5*C20^0.089,79.3*C20^-0.072)</f>
        <v>42.328805958342251</v>
      </c>
      <c r="M20" s="7" t="s">
        <v>638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_xlfn.XLOOKUP(B20,[1]TeethAdjusters!$A:$A,[1]BiteAdjusters!$C:$C)</f>
        <v>0.9224429531163798</v>
      </c>
      <c r="T20" s="7">
        <f>_xlfn.XLOOKUP(B20,[1]TeethAdjusters!$A:$A,[1]TeethAdjusters!$B:$B)</f>
        <v>0.89529411549459281</v>
      </c>
      <c r="U20" s="7">
        <f>MROUND(1.2,0.05)</f>
        <v>1.2000000000000002</v>
      </c>
      <c r="V20" s="7">
        <f>IF(AQ20="No","No",IF(_xlfn.XLOOKUP(E20,Groups!A:A,Groups!AM:AM)=1,MROUND(EXP(0.3582*LN(C20)-0.2221)*T20,0.05),IF(_xlfn.XLOOKUP(E20,Groups!A:A,Groups!AM:AM)=2,MROUND(EXP(0.3582*LN(C20)-0.2221)*T20,0.05),"Need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945</v>
      </c>
      <c r="Y20" s="4" t="s">
        <v>56</v>
      </c>
      <c r="Z20" s="4">
        <v>0</v>
      </c>
      <c r="AA20" s="4">
        <v>0</v>
      </c>
      <c r="AB20" s="4">
        <v>0</v>
      </c>
      <c r="AC20" s="4" t="s">
        <v>45</v>
      </c>
      <c r="AD20" s="4" t="s">
        <v>45</v>
      </c>
      <c r="AE20" s="28" t="s">
        <v>394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4" t="s">
        <v>40</v>
      </c>
      <c r="AL20" s="8">
        <f t="shared" si="0"/>
        <v>2688.5305350669883</v>
      </c>
      <c r="AM20" s="8">
        <f>IFERROR(C20*_xlfn.XLOOKUP(E20,Groups!A:A,Groups!K:K),0.106*C20^0.94)</f>
        <v>0.48652499999999999</v>
      </c>
      <c r="AN20" s="8">
        <f>AM20*10000/(_xlfn.XLOOKUP(E20,Groups!A:A,Groups!J:J)*AL20)</f>
        <v>1.6602125405953509</v>
      </c>
      <c r="AO20" s="8">
        <f t="shared" si="1"/>
        <v>171.67735881815588</v>
      </c>
      <c r="AP20" s="8">
        <f>IF(_xlfn.XLOOKUP(E20,Groups!A:A,Groups!M:M)=1,EXP(0.7444*LN('Base stats'!C20)+6.5696),EXP(0.7927*LN('Base stats'!C20)+4.28))</f>
        <v>212.47962760416459</v>
      </c>
      <c r="AQ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"No")))))))))))))))</f>
        <v>297.07486157149879</v>
      </c>
      <c r="AR20" s="8">
        <f>IF(_xlfn.XLOOKUP(E20,Groups!A:A,Groups!U:U)=3,AP20,IF(_xlfn.XLOOKUP(E20,Groups!A:A,Groups!U:U)=2,AO20,AQ20))</f>
        <v>297.07486157149879</v>
      </c>
      <c r="AS20" s="46">
        <f>IFERROR(AVERAGE(_xlfn.XLOOKUP(B20,Animals!B:B,Animals!M:M),_xlfn.XLOOKUP(B20,Animals!B:B,Animals!N:N)),0)</f>
        <v>0</v>
      </c>
      <c r="AT20" s="8">
        <f>MROUND(40*Animals!AN20*_xlfn.XLOOKUP(Animals!AZ20,Leathers!$A$2:$A$100,Leathers!$B$2:$B$100,0)+(140*_xlfn.XLOOKUP(B20,Animals!B:B,Animals!AN:AN)*2),5)</f>
        <v>105</v>
      </c>
      <c r="AU20" s="8">
        <f>IFERROR(ROUND(SQRT(V20-1)*IF(_xlfn.XLOOKUP(E20,Groups!A:A,Groups!BE:BE)=0,2,1)*IF(_xlfn.XLOOKUP('Base stats'!E20,Groups!A:A,Groups!O:O)=0,1,0.1),1),0)</f>
        <v>0.8</v>
      </c>
      <c r="AV20" s="8">
        <f t="shared" si="2"/>
        <v>0.4</v>
      </c>
      <c r="AW20" s="8">
        <f t="shared" si="3"/>
        <v>0</v>
      </c>
      <c r="AX20" s="8">
        <f t="shared" si="4"/>
        <v>1</v>
      </c>
      <c r="AY20" s="8">
        <f>IF(_xlfn.XLOOKUP(E20,Groups!A:A,Groups!N:N)="Insect",BA20*2.5,IFERROR(AVERAGE(BA20,AQ20/9.81/IF(OR(_xlfn.XLOOKUP(E20,Groups!A:A,Groups!N:N)="Pig",_xlfn.XLOOKUP(E20,Groups!A:A,Groups!N:N)="StrongBitingHerbivore"),20,25))*C20^-0.135,BA20))</f>
        <v>0.55454326548305766</v>
      </c>
      <c r="AZ20" s="8" t="str">
        <f>IF(W20="No","No",IF(_xlfn.XLOOKUP(E20,Groups!A:A,Groups!U:U)=1,'Base stats'!AY20,IF(OR(_xlfn.XLOOKUP(E20,Groups!A:A,Groups!BC:BC)=1,_xlfn.XLOOKUP(E20,Groups!A:A,Groups!U:U)=2),BA20,IF(_xlfn.XLOOKUP(B20,Animals!B:B,Animals!AN:AN)&gt;4,AVERAGE(BA20,BC20),BC20))))</f>
        <v>No</v>
      </c>
      <c r="BA20" s="8">
        <f>(0.0392*C20^IF(OR(Y20="Herbivore",Y20="Dendrovore",Y20="OmnivoreRough"),0.889,0.966))*C20^-0.135</f>
        <v>0.12146768525814348</v>
      </c>
      <c r="BB20" s="8">
        <f>IF(_xlfn.XLOOKUP(E20,Groups!A:A,Groups!BD:BD)=1,(0.048*C20^1.01)+(0.071*C20^1.03),0.071*C20^1.03)/IF(_xlfn.XLOOKUP(E20,Groups!A:A,Groups!M:M)=1,0.85,IF(OR(_xlfn.XLOOKUP(B20,Animals!B:B,Animals!AN:AN)&gt;4,_xlfn.XLOOKUP(E20,Groups!A:A,Groups!BB:BB)=1),1.7,1))*C20^-0.25</f>
        <v>0.20525263545864039</v>
      </c>
      <c r="BC20" s="8">
        <f>(0.048*C20^1.01)/IF(_xlfn.XLOOKUP(E20,Groups!A:A,Groups!M:M)=1,0.25,0.8)*C20^-0.25</f>
        <v>0.16879530074824195</v>
      </c>
      <c r="BD20" s="8">
        <f>EXP(1.076*LN(AO20)-4.5397)*IF(_xlfn.XLOOKUP(E20,Groups!A:A,Groups!BB:BB)=1,1.25,IF(_xlfn.XLOOKUP(E20,Groups!A:A,Groups!BC:BC)=1,3.5,2.5))</f>
        <v>6.7752381015249945</v>
      </c>
      <c r="BE20" s="8">
        <f>EXP(1.076*LN(AP20)-4.5397)*IF(_xlfn.XLOOKUP(E20,Groups!A:A,Groups!M:M)=1,0.8,IF(_xlfn.XLOOKUP(E20,Groups!A:A,Groups!BB:BB)=1,1.3,3))</f>
        <v>10.226994121049504</v>
      </c>
      <c r="BF20" s="8" t="str">
        <f>IF(W20="No","No",IF(_xlfn.XLOOKUP(E20,Groups!A:A,Groups!U:U)=1,'Base stats'!BG20,IF(OR(_xlfn.XLOOKUP(E20,Groups!A:A,Groups!BC:BC)=1,_xlfn.XLOOKUP(E20,Groups!A:A,Groups!U:U)=2),BD20,BE20))*1.2)</f>
        <v>No</v>
      </c>
      <c r="BG20" s="8">
        <f>IFERROR(EXP(1.076*LN(AQ20)-4.5397)*IF(_xlfn.XLOOKUP(E20,Groups!A:A,Groups!N:N)="Insect",1,IF(OR(_xlfn.XLOOKUP(E20,Groups!A:A,Groups!N:N)="Pig",_xlfn.XLOOKUP(E20,Groups!A:A,Groups!N:N)="StrongBitingHerbivore"),3.5,3.75)),"No")</f>
        <v>18.3344683164527</v>
      </c>
      <c r="BH20" s="8">
        <f t="shared" si="5"/>
        <v>10</v>
      </c>
      <c r="BI20" s="8">
        <f t="shared" si="6"/>
        <v>9</v>
      </c>
      <c r="BJ20" s="8" t="str">
        <f>IF(W20="No","No",ROUNDDOWN(SQRT((2*BF20)/AZ20),0))</f>
        <v>No</v>
      </c>
      <c r="BK20" s="8">
        <f>IF(V20="No","No",ROUNDDOWN(SQRT((2*BG20)/AY20),0))</f>
        <v>8</v>
      </c>
      <c r="BL20" s="8">
        <f t="shared" si="7"/>
        <v>11</v>
      </c>
      <c r="BM20" s="8" cm="1">
        <f t="array" ref="BM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stats'!E20,Groups!A:A,Groups!P:P=0)),"No",IF(U20="No",AVERAGE(EXP(-0.57+0.99*LN(C20)),EXP(0.32+0.67*LN(C20)))/IF(_xlfn.XLOOKUP(E20,Groups!A:A,Groups!AD:AD)=1,10,2),(0.7354*C20^0.4078)*2/IF(_xlfn.XLOOKUP(E20,Groups!A:A,Groups!BJ:BJ)=1,1000,100)))</f>
        <v>2.5620627834481265E-2</v>
      </c>
      <c r="BN20" s="8" t="str">
        <f>IF(W20="No","No",IF(_xlfn.XLOOKUP(E20,Groups!A:A,Groups!BC:BC)=1,(AL20*5%),EXP(0.7354*LN(C20)^0.4078)*2/IF(_xlfn.XLOOKUP(E20,Groups!A:A,Groups!BK:BK)=1,1000,100)))</f>
        <v>No</v>
      </c>
      <c r="BO20" s="8">
        <f>IF(BG20="No","No",IF(_xlfn.XLOOKUP(E20,Groups!A:A,Groups!BE:BE)=1,(0.0315*C20+2.1825)*2,(0.7354*C20^0.4078)*2)/IF(_xlfn.XLOOKUP(E20,Groups!A:A,Groups!BL:BL)=1,1000,100))</f>
        <v>2.5620627834481265E-2</v>
      </c>
      <c r="BP20" s="8">
        <f>BD20/(AL20*5%)</f>
        <v>5.0401050039449752E-2</v>
      </c>
      <c r="BQ20" s="8">
        <f t="shared" si="8"/>
        <v>399.17031647778771</v>
      </c>
      <c r="BR20" s="8" t="str">
        <f>IF(W20="No","No",BF20/BN20)</f>
        <v>No</v>
      </c>
      <c r="BS20" s="8">
        <f t="shared" si="9"/>
        <v>715.61354526126945</v>
      </c>
      <c r="BT20" s="4">
        <v>0</v>
      </c>
      <c r="BU20" s="4">
        <v>1</v>
      </c>
    </row>
    <row r="21" spans="1:73" x14ac:dyDescent="0.25">
      <c r="A21" s="26" t="s">
        <v>92</v>
      </c>
      <c r="B21" s="6" t="s">
        <v>93</v>
      </c>
      <c r="C21" s="7">
        <v>410.3</v>
      </c>
      <c r="D21" s="7" t="s">
        <v>1182</v>
      </c>
      <c r="E21" s="7" t="str">
        <f>Groups!A23</f>
        <v>Horselike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521</v>
      </c>
      <c r="L21" s="7">
        <v>70</v>
      </c>
      <c r="M21" s="7" t="s">
        <v>638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_xlfn.XLOOKUP(B21,[1]TeethAdjusters!$A:$A,[1]BiteAdjusters!$C:$C)</f>
        <v>1</v>
      </c>
      <c r="T21" s="7">
        <f>_xlfn.XLOOKUP(B21,[1]TeethAdjusters!$A:$A,[1]TeethAdjusters!$B:$B)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945</v>
      </c>
      <c r="Y21" s="4" t="s">
        <v>42</v>
      </c>
      <c r="Z21" s="4">
        <v>0</v>
      </c>
      <c r="AA21" s="4">
        <v>0</v>
      </c>
      <c r="AB21" s="4">
        <v>0</v>
      </c>
      <c r="AC21" s="4" t="s">
        <v>45</v>
      </c>
      <c r="AD21" s="4" t="s">
        <v>407</v>
      </c>
      <c r="AE21" s="28" t="s">
        <v>401</v>
      </c>
      <c r="AF21" s="4">
        <v>1</v>
      </c>
      <c r="AG21" s="4">
        <v>0</v>
      </c>
      <c r="AH21" s="4">
        <v>0</v>
      </c>
      <c r="AI21" s="4">
        <v>0</v>
      </c>
      <c r="AJ21" s="4">
        <v>0</v>
      </c>
      <c r="AK21" s="44" t="s">
        <v>40</v>
      </c>
      <c r="AL21" s="8">
        <f t="shared" si="0"/>
        <v>55442.009741077098</v>
      </c>
      <c r="AM21" s="8">
        <f>IFERROR(C21*_xlfn.XLOOKUP(E21,Groups!A:A,Groups!K:K),0.106*C21^0.94)</f>
        <v>30.312467563019712</v>
      </c>
      <c r="AN21" s="8">
        <f>AM21*10000/(_xlfn.XLOOKUP(E21,Groups!A:A,Groups!J:J)*AL21)</f>
        <v>5.015980372771593</v>
      </c>
      <c r="AO21" s="8">
        <f t="shared" si="1"/>
        <v>8764.509196517929</v>
      </c>
      <c r="AP21" s="8">
        <f>IF(_xlfn.XLOOKUP(E21,Groups!A:A,Groups!M:M)=1,EXP(0.7444*LN('Base stats'!C21)+6.5696),EXP(0.7927*LN('Base stats'!C21)+4.28))</f>
        <v>8515.025542362484</v>
      </c>
      <c r="AQ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"No")))))))))))))))</f>
        <v>4810.0818034589474</v>
      </c>
      <c r="AR21" s="8">
        <f>IF(_xlfn.XLOOKUP(E21,Groups!A:A,Groups!U:U)=3,AP21,IF(_xlfn.XLOOKUP(E21,Groups!A:A,Groups!U:U)=2,AO21,AQ21))</f>
        <v>4810.0818034589474</v>
      </c>
      <c r="AS21" s="46">
        <f>IFERROR(AVERAGE(_xlfn.XLOOKUP(B21,Animals!B:B,Animals!M:M),_xlfn.XLOOKUP(B21,Animals!B:B,Animals!N:N)),0)</f>
        <v>0</v>
      </c>
      <c r="AT21" s="8">
        <f>MROUND(40*Animals!AN21*_xlfn.XLOOKUP(Animals!AZ21,Leathers!$A$2:$A$100,Leathers!$B$2:$B$100,0)+(140*_xlfn.XLOOKUP(B21,Animals!B:B,Animals!AN:AN)*2),5)</f>
        <v>1000</v>
      </c>
      <c r="AU21" s="8">
        <f>IFERROR(ROUND(SQRT(V21-1)*IF(_xlfn.XLOOKUP(E21,Groups!A:A,Groups!BE:BE)=0,2,1)*IF(_xlfn.XLOOKUP('Base stats'!E21,Groups!A:A,Groups!O:O)=0,1,0.1),1),0)</f>
        <v>0.7</v>
      </c>
      <c r="AV21" s="8">
        <f t="shared" si="2"/>
        <v>0</v>
      </c>
      <c r="AW21" s="8">
        <f t="shared" si="3"/>
        <v>0</v>
      </c>
      <c r="AX21" s="8">
        <f t="shared" si="4"/>
        <v>6.9</v>
      </c>
      <c r="AY21" s="8">
        <f>IF(_xlfn.XLOOKUP(E21,Groups!A:A,Groups!N:N)="Insect",BA21*2.5,IFERROR(AVERAGE(BA21,AQ21/9.81/IF(OR(_xlfn.XLOOKUP(E21,Groups!A:A,Groups!N:N)="Pig",_xlfn.XLOOKUP(E21,Groups!A:A,Groups!N:N)="StrongBitingHerbivore"),20,25))*C21^-0.135,BA21))</f>
        <v>6.253092249493359</v>
      </c>
      <c r="AZ21" s="8" t="str">
        <f>IF(W21="No","No",IF(_xlfn.XLOOKUP(E21,Groups!A:A,Groups!U:U)=1,'Base stats'!AY21,IF(OR(_xlfn.XLOOKUP(E21,Groups!A:A,Groups!BC:BC)=1,_xlfn.XLOOKUP(E21,Groups!A:A,Groups!U:U)=2),BA21,IF(_xlfn.XLOOKUP(B21,Animals!B:B,Animals!AN:AN)&gt;4,AVERAGE(BA21,BC21),BC21))))</f>
        <v>No</v>
      </c>
      <c r="BA21" s="8">
        <f>(0.0392*C21^IF(OR(Y21="Herbivore",Y21="Dendrovore",Y21="OmnivoreRough"),0.889,0.966))*C21^-0.135</f>
        <v>3.660703974942348</v>
      </c>
      <c r="BB21" s="8">
        <f>IF(_xlfn.XLOOKUP(E21,Groups!A:A,Groups!BD:BD)=1,(0.048*C21^1.01)+(0.071*C21^1.03),0.071*C21^1.03)/IF(_xlfn.XLOOKUP(E21,Groups!A:A,Groups!M:M)=1,0.85,IF(OR(_xlfn.XLOOKUP(B21,Animals!B:B,Animals!AN:AN)&gt;4,_xlfn.XLOOKUP(E21,Groups!A:A,Groups!BB:BB)=1),1.7,1))*C21^-0.25</f>
        <v>7.7531383177922644</v>
      </c>
      <c r="BC21" s="8">
        <f>(0.048*C21^1.01)/IF(_xlfn.XLOOKUP(E21,Groups!A:A,Groups!M:M)=1,0.25,0.8)*C21^-0.25</f>
        <v>5.8090939892775522</v>
      </c>
      <c r="BD21" s="8">
        <f>EXP(1.076*LN(AO21)-4.5397)*IF(_xlfn.XLOOKUP(E21,Groups!A:A,Groups!BB:BB)=1,1.25,IF(_xlfn.XLOOKUP(E21,Groups!A:A,Groups!BC:BC)=1,3.5,2.5))</f>
        <v>466.3889453261533</v>
      </c>
      <c r="BE21" s="8">
        <f>EXP(1.076*LN(AP21)-4.5397)*IF(_xlfn.XLOOKUP(E21,Groups!A:A,Groups!M:M)=1,0.8,IF(_xlfn.XLOOKUP(E21,Groups!A:A,Groups!BB:BB)=1,1.3,3))</f>
        <v>542.54364755574011</v>
      </c>
      <c r="BF21" s="8" t="str">
        <f>IF(W21="No","No",IF(_xlfn.XLOOKUP(E21,Groups!A:A,Groups!U:U)=1,'Base stats'!BG21,IF(OR(_xlfn.XLOOKUP(E21,Groups!A:A,Groups!BC:BC)=1,_xlfn.XLOOKUP(E21,Groups!A:A,Groups!U:U)=2),BD21,BE21))*1.2)</f>
        <v>No</v>
      </c>
      <c r="BG21" s="8">
        <f>IFERROR(EXP(1.076*LN(AQ21)-4.5397)*IF(_xlfn.XLOOKUP(E21,Groups!A:A,Groups!N:N)="Insect",1,IF(OR(_xlfn.XLOOKUP(E21,Groups!A:A,Groups!N:N)="Pig",_xlfn.XLOOKUP(E21,Groups!A:A,Groups!N:N)="StrongBitingHerbivore"),3.5,3.75)),"No")</f>
        <v>342.37136500224858</v>
      </c>
      <c r="BH21" s="8">
        <f t="shared" si="5"/>
        <v>15</v>
      </c>
      <c r="BI21" s="8">
        <f t="shared" si="6"/>
        <v>11</v>
      </c>
      <c r="BJ21" s="8" t="str">
        <f>IF(W21="No","No",ROUNDDOWN(SQRT((2*BF21)/AZ21),0))</f>
        <v>No</v>
      </c>
      <c r="BK21" s="8">
        <f>IF(V21="No","No",ROUNDDOWN(SQRT((2*BG21)/AY21),0))</f>
        <v>10</v>
      </c>
      <c r="BL21" s="8">
        <f t="shared" si="7"/>
        <v>13</v>
      </c>
      <c r="BM21" s="8" cm="1">
        <f t="array" ref="BM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stats'!E21,Groups!A:A,Groups!P:P=0)),"No",IF(U21="No",AVERAGE(EXP(-0.57+0.99*LN(C21)),EXP(0.32+0.67*LN(C21)))/IF(_xlfn.XLOOKUP(E21,Groups!A:A,Groups!AD:AD)=1,10,2),(0.7354*C21^0.4078)*2/IF(_xlfn.XLOOKUP(E21,Groups!A:A,Groups!BJ:BJ)=1,1000,100)))</f>
        <v>74.016488967869634</v>
      </c>
      <c r="BN21" s="8" t="str">
        <f>IF(W21="No","No",IF(_xlfn.XLOOKUP(E21,Groups!A:A,Groups!BC:BC)=1,(AL21*5%),EXP(0.7354*LN(C21)^0.4078)*2/IF(_xlfn.XLOOKUP(E21,Groups!A:A,Groups!BK:BK)=1,1000,100)))</f>
        <v>No</v>
      </c>
      <c r="BO21" s="8">
        <f>IF(BG21="No","No",IF(_xlfn.XLOOKUP(E21,Groups!A:A,Groups!BE:BE)=1,(0.0315*C21+2.1825)*2,(0.7354*C21^0.4078)*2)/IF(_xlfn.XLOOKUP(E21,Groups!A:A,Groups!BL:BL)=1,1000,100))</f>
        <v>0.30213900000000005</v>
      </c>
      <c r="BP21" s="8">
        <f>BD21/(AL21*5%)</f>
        <v>0.16824388131103579</v>
      </c>
      <c r="BQ21" s="8">
        <f t="shared" si="8"/>
        <v>7.3300376054213663</v>
      </c>
      <c r="BR21" s="8" t="str">
        <f>IF(W21="No","No",BF21/BN21)</f>
        <v>No</v>
      </c>
      <c r="BS21" s="8">
        <f t="shared" si="9"/>
        <v>1133.1584634961011</v>
      </c>
      <c r="BT21" s="4">
        <v>0</v>
      </c>
      <c r="BU21" s="4">
        <v>1</v>
      </c>
    </row>
    <row r="22" spans="1:73" x14ac:dyDescent="0.25">
      <c r="A22" s="26" t="s">
        <v>98</v>
      </c>
      <c r="B22" s="6" t="s">
        <v>99</v>
      </c>
      <c r="C22" s="7">
        <v>164.99799999999999</v>
      </c>
      <c r="D22" s="7" t="s">
        <v>534</v>
      </c>
      <c r="E22" s="7" t="str">
        <f>Groups!A23</f>
        <v>Horselike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534</v>
      </c>
      <c r="L22" s="7">
        <v>64</v>
      </c>
      <c r="M22" s="7" t="s">
        <v>638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_xlfn.XLOOKUP(B22,[1]TeethAdjusters!$A:$A,[1]BiteAdjusters!$C:$C)</f>
        <v>1</v>
      </c>
      <c r="T22" s="7">
        <f>_xlfn.XLOOKUP(B22,[1]TeethAdjusters!$A:$A,[1]TeethAdjusters!$B:$B)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945</v>
      </c>
      <c r="Y22" s="4" t="s">
        <v>42</v>
      </c>
      <c r="Z22" s="4">
        <v>0</v>
      </c>
      <c r="AA22" s="4">
        <v>0</v>
      </c>
      <c r="AB22" s="4">
        <v>0</v>
      </c>
      <c r="AC22" s="4" t="s">
        <v>45</v>
      </c>
      <c r="AD22" s="4" t="s">
        <v>407</v>
      </c>
      <c r="AE22" s="28" t="s">
        <v>401</v>
      </c>
      <c r="AF22" s="4">
        <v>1</v>
      </c>
      <c r="AG22" s="4">
        <v>0</v>
      </c>
      <c r="AH22" s="4">
        <v>0</v>
      </c>
      <c r="AI22" s="4">
        <v>0</v>
      </c>
      <c r="AJ22" s="4">
        <v>0</v>
      </c>
      <c r="AK22" s="44" t="s">
        <v>40</v>
      </c>
      <c r="AL22" s="8">
        <f t="shared" si="0"/>
        <v>30667.905813421588</v>
      </c>
      <c r="AM22" s="8">
        <f>IFERROR(C22*_xlfn.XLOOKUP(E22,Groups!A:A,Groups!K:K),0.106*C22^0.94)</f>
        <v>12.874661649938103</v>
      </c>
      <c r="AN22" s="8">
        <f>AM22*10000/(_xlfn.XLOOKUP(E22,Groups!A:A,Groups!J:J)*AL22)</f>
        <v>3.8514583501278699</v>
      </c>
      <c r="AO22" s="8">
        <f t="shared" si="1"/>
        <v>4060.1772243218525</v>
      </c>
      <c r="AP22" s="8">
        <f>IF(_xlfn.XLOOKUP(E22,Groups!A:A,Groups!M:M)=1,EXP(0.7444*LN('Base stats'!C22)+6.5696),EXP(0.7927*LN('Base stats'!C22)+4.28))</f>
        <v>4135.9543075014035</v>
      </c>
      <c r="AQ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"No")))))))))))))))</f>
        <v>2620.6191143384308</v>
      </c>
      <c r="AR22" s="8">
        <f>IF(_xlfn.XLOOKUP(E22,Groups!A:A,Groups!U:U)=3,AP22,IF(_xlfn.XLOOKUP(E22,Groups!A:A,Groups!U:U)=2,AO22,AQ22))</f>
        <v>2620.6191143384308</v>
      </c>
      <c r="AS22" s="46">
        <f>IFERROR(AVERAGE(_xlfn.XLOOKUP(B22,Animals!B:B,Animals!M:M),_xlfn.XLOOKUP(B22,Animals!B:B,Animals!N:N)),0)</f>
        <v>0</v>
      </c>
      <c r="AT22" s="8">
        <f>MROUND(40*Animals!AN22*_xlfn.XLOOKUP(Animals!AZ22,Leathers!$A$2:$A$100,Leathers!$B$2:$B$100,0)+(140*_xlfn.XLOOKUP(B22,Animals!B:B,Animals!AN:AN)*2),5)</f>
        <v>580</v>
      </c>
      <c r="AU22" s="8">
        <f>IFERROR(ROUND(SQRT(V22-1)*IF(_xlfn.XLOOKUP(E22,Groups!A:A,Groups!BE:BE)=0,2,1)*IF(_xlfn.XLOOKUP('Base stats'!E22,Groups!A:A,Groups!O:O)=0,1,0.1),1),0)</f>
        <v>0.7</v>
      </c>
      <c r="AV22" s="8">
        <f t="shared" si="2"/>
        <v>0</v>
      </c>
      <c r="AW22" s="8">
        <f t="shared" si="3"/>
        <v>0</v>
      </c>
      <c r="AX22" s="8">
        <f t="shared" si="4"/>
        <v>5</v>
      </c>
      <c r="AY22" s="8">
        <f>IF(_xlfn.XLOOKUP(E22,Groups!A:A,Groups!N:N)="Insect",BA22*2.5,IFERROR(AVERAGE(BA22,AQ22/9.81/IF(OR(_xlfn.XLOOKUP(E22,Groups!A:A,Groups!N:N)="Pig",_xlfn.XLOOKUP(E22,Groups!A:A,Groups!N:N)="StrongBitingHerbivore"),20,25))*C22^-0.135,BA22))</f>
        <v>3.8143353710262082</v>
      </c>
      <c r="AZ22" s="8" t="str">
        <f>IF(W22="No","No",IF(_xlfn.XLOOKUP(E22,Groups!A:A,Groups!U:U)=1,'Base stats'!AY22,IF(OR(_xlfn.XLOOKUP(E22,Groups!A:A,Groups!BC:BC)=1,_xlfn.XLOOKUP(E22,Groups!A:A,Groups!U:U)=2),BA22,IF(_xlfn.XLOOKUP(B22,Animals!B:B,Animals!AN:AN)&gt;4,AVERAGE(BA22,BC22),BC22))))</f>
        <v>No</v>
      </c>
      <c r="BA22" s="8">
        <f>(0.0392*C22^IF(OR(Y22="Herbivore",Y22="Dendrovore",Y22="OmnivoreRough"),0.889,0.966))*C22^-0.135</f>
        <v>1.8418955207681615</v>
      </c>
      <c r="BB22" s="8">
        <f>IF(_xlfn.XLOOKUP(E22,Groups!A:A,Groups!BD:BD)=1,(0.048*C22^1.01)+(0.071*C22^1.03),0.071*C22^1.03)/IF(_xlfn.XLOOKUP(E22,Groups!A:A,Groups!M:M)=1,0.85,IF(OR(_xlfn.XLOOKUP(B22,Animals!B:B,Animals!AN:AN)&gt;4,_xlfn.XLOOKUP(E22,Groups!A:A,Groups!BB:BB)=1),1.7,1))*C22^-0.25</f>
        <v>3.8097082564590394</v>
      </c>
      <c r="BC22" s="8">
        <f>(0.048*C22^1.01)/IF(_xlfn.XLOOKUP(E22,Groups!A:A,Groups!M:M)=1,0.25,0.8)*C22^-0.25</f>
        <v>2.9069331678226105</v>
      </c>
      <c r="BD22" s="8">
        <f>EXP(1.076*LN(AO22)-4.5397)*IF(_xlfn.XLOOKUP(E22,Groups!A:A,Groups!BB:BB)=1,1.25,IF(_xlfn.XLOOKUP(E22,Groups!A:A,Groups!BC:BC)=1,3.5,2.5))</f>
        <v>203.78290977632054</v>
      </c>
      <c r="BE22" s="8">
        <f>EXP(1.076*LN(AP22)-4.5397)*IF(_xlfn.XLOOKUP(E22,Groups!A:A,Groups!M:M)=1,0.8,IF(_xlfn.XLOOKUP(E22,Groups!A:A,Groups!BB:BB)=1,1.3,3))</f>
        <v>249.45377645062257</v>
      </c>
      <c r="BF22" s="8" t="str">
        <f>IF(W22="No","No",IF(_xlfn.XLOOKUP(E22,Groups!A:A,Groups!U:U)=1,'Base stats'!BG22,IF(OR(_xlfn.XLOOKUP(E22,Groups!A:A,Groups!BC:BC)=1,_xlfn.XLOOKUP(E22,Groups!A:A,Groups!U:U)=2),BD22,BE22))*1.2)</f>
        <v>No</v>
      </c>
      <c r="BG22" s="8">
        <f>IFERROR(EXP(1.076*LN(AQ22)-4.5397)*IF(_xlfn.XLOOKUP(E22,Groups!A:A,Groups!N:N)="Insect",1,IF(OR(_xlfn.XLOOKUP(E22,Groups!A:A,Groups!N:N)="Pig",_xlfn.XLOOKUP(E22,Groups!A:A,Groups!N:N)="StrongBitingHerbivore"),3.5,3.75)),"No")</f>
        <v>178.11643163989177</v>
      </c>
      <c r="BH22" s="8">
        <f t="shared" si="5"/>
        <v>14</v>
      </c>
      <c r="BI22" s="8">
        <f t="shared" si="6"/>
        <v>11</v>
      </c>
      <c r="BJ22" s="8" t="str">
        <f>IF(W22="No","No",ROUNDDOWN(SQRT((2*BF22)/AZ22),0))</f>
        <v>No</v>
      </c>
      <c r="BK22" s="8">
        <f>IF(V22="No","No",ROUNDDOWN(SQRT((2*BG22)/AY22),0))</f>
        <v>9</v>
      </c>
      <c r="BL22" s="8">
        <f t="shared" si="7"/>
        <v>13</v>
      </c>
      <c r="BM22" s="8" cm="1">
        <f t="array" ref="BM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stats'!E22,Groups!A:A,Groups!P:P=0)),"No",IF(U22="No",AVERAGE(EXP(-0.57+0.99*LN(C22)),EXP(0.32+0.67*LN(C22)))/IF(_xlfn.XLOOKUP(E22,Groups!A:A,Groups!AD:AD)=1,10,2),(0.7354*C22^0.4078)*2/IF(_xlfn.XLOOKUP(E22,Groups!A:A,Groups!BJ:BJ)=1,1000,100)))</f>
        <v>32.701212556481011</v>
      </c>
      <c r="BN22" s="8" t="str">
        <f>IF(W22="No","No",IF(_xlfn.XLOOKUP(E22,Groups!A:A,Groups!BC:BC)=1,(AL22*5%),EXP(0.7354*LN(C22)^0.4078)*2/IF(_xlfn.XLOOKUP(E22,Groups!A:A,Groups!BK:BK)=1,1000,100)))</f>
        <v>No</v>
      </c>
      <c r="BO22" s="8">
        <f>IF(BG22="No","No",IF(_xlfn.XLOOKUP(E22,Groups!A:A,Groups!BE:BE)=1,(0.0315*C22+2.1825)*2,(0.7354*C22^0.4078)*2)/IF(_xlfn.XLOOKUP(E22,Groups!A:A,Groups!BL:BL)=1,1000,100))</f>
        <v>0.14759874000000001</v>
      </c>
      <c r="BP22" s="8">
        <f>BD22/(AL22*5%)</f>
        <v>0.13289652773560848</v>
      </c>
      <c r="BQ22" s="8">
        <f t="shared" si="8"/>
        <v>7.6282729889532384</v>
      </c>
      <c r="BR22" s="8" t="str">
        <f>IF(W22="No","No",BF22/BN22)</f>
        <v>No</v>
      </c>
      <c r="BS22" s="8">
        <f t="shared" si="9"/>
        <v>1206.7611934891297</v>
      </c>
      <c r="BT22" s="4">
        <v>0</v>
      </c>
      <c r="BU22" s="4">
        <v>1</v>
      </c>
    </row>
    <row r="23" spans="1:73" x14ac:dyDescent="0.25">
      <c r="A23" s="26" t="s">
        <v>130</v>
      </c>
      <c r="B23" s="37" t="s">
        <v>889</v>
      </c>
      <c r="C23" s="7">
        <v>4.1749999999999998</v>
      </c>
      <c r="D23" s="7" t="s">
        <v>890</v>
      </c>
      <c r="E23" s="7" t="str">
        <f>Groups!A45</f>
        <v>Rodentlike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890</v>
      </c>
      <c r="L23" s="7">
        <v>72</v>
      </c>
      <c r="M23" s="7" t="s">
        <v>638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_xlfn.XLOOKUP(B23,[1]TeethAdjusters!$A:$A,[1]BiteAdjusters!$C:$C)</f>
        <v>1</v>
      </c>
      <c r="T23" s="7">
        <f>_xlfn.XLOOKUP(B23,[1]TeethAdjusters!$A:$A,[1]TeethAdjusters!$B:$B)</f>
        <v>1</v>
      </c>
      <c r="U23" s="7" t="s">
        <v>45</v>
      </c>
      <c r="V23" s="7">
        <v>0.64</v>
      </c>
      <c r="W23" s="7" t="s">
        <v>45</v>
      </c>
      <c r="X23" s="7" t="s">
        <v>945</v>
      </c>
      <c r="Y23" s="4" t="s">
        <v>42</v>
      </c>
      <c r="Z23" s="4">
        <v>0</v>
      </c>
      <c r="AA23" s="4">
        <v>0</v>
      </c>
      <c r="AB23" s="4">
        <v>0</v>
      </c>
      <c r="AC23" s="4" t="s">
        <v>45</v>
      </c>
      <c r="AD23" s="4" t="s">
        <v>45</v>
      </c>
      <c r="AE23" s="28" t="s">
        <v>394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4" t="s">
        <v>40</v>
      </c>
      <c r="AL23" s="8">
        <f t="shared" si="0"/>
        <v>2810.2806343124535</v>
      </c>
      <c r="AM23" s="8">
        <f>IFERROR(C23*_xlfn.XLOOKUP(E23,Groups!A:A,Groups!K:K),0.106*C23^0.94)</f>
        <v>0.40618413485698385</v>
      </c>
      <c r="AN23" s="8">
        <f>AM23*10000/(_xlfn.XLOOKUP(E23,Groups!A:A,Groups!J:J)*AL23)</f>
        <v>1.3260099035369324</v>
      </c>
      <c r="AO23" s="8">
        <f t="shared" si="1"/>
        <v>181.84831371738611</v>
      </c>
      <c r="AP23" s="8">
        <f>IF(_xlfn.XLOOKUP(E23,Groups!A:A,Groups!M:M)=1,EXP(0.7444*LN('Base stats'!C23)+6.5696),EXP(0.7927*LN('Base stats'!C23)+4.28))</f>
        <v>224.27185442642471</v>
      </c>
      <c r="AQ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"No")))))))))))))))</f>
        <v>164.75785104561999</v>
      </c>
      <c r="AR23" s="8">
        <f>IF(_xlfn.XLOOKUP(E23,Groups!A:A,Groups!U:U)=3,AP23,IF(_xlfn.XLOOKUP(E23,Groups!A:A,Groups!U:U)=2,AO23,AQ23))</f>
        <v>164.75785104561999</v>
      </c>
      <c r="AS23" s="46">
        <f>IFERROR(AVERAGE(_xlfn.XLOOKUP(B23,Animals!B:B,Animals!M:M),_xlfn.XLOOKUP(B23,Animals!B:B,Animals!N:N)),0)</f>
        <v>0</v>
      </c>
      <c r="AT23" s="8">
        <f>MROUND(40*Animals!AN23*_xlfn.XLOOKUP(Animals!AZ23,Leathers!$A$2:$A$100,Leathers!$B$2:$B$100,0)+(140*_xlfn.XLOOKUP(B23,Animals!B:B,Animals!AN:AN)*2),5)</f>
        <v>105</v>
      </c>
      <c r="AU23" s="8">
        <f>IFERROR(ROUND(SQRT(V23-1)*IF(_xlfn.XLOOKUP(E23,Groups!A:A,Groups!BE:BE)=0,2,1)*IF(_xlfn.XLOOKUP('Base stats'!E23,Groups!A:A,Groups!O:O)=0,1,0.1),1),0)</f>
        <v>0</v>
      </c>
      <c r="AV23" s="8">
        <f t="shared" si="2"/>
        <v>0</v>
      </c>
      <c r="AW23" s="8">
        <f t="shared" si="3"/>
        <v>0</v>
      </c>
      <c r="AX23" s="8">
        <f t="shared" si="4"/>
        <v>1</v>
      </c>
      <c r="AY23" s="8">
        <f>IF(_xlfn.XLOOKUP(E23,Groups!A:A,Groups!N:N)="Insect",BA23*2.5,IFERROR(AVERAGE(BA23,AQ23/9.81/IF(OR(_xlfn.XLOOKUP(E23,Groups!A:A,Groups!N:N)="Pig",_xlfn.XLOOKUP(E23,Groups!A:A,Groups!N:N)="StrongBitingHerbivore"),20,25))*C23^-0.135,BA23))</f>
        <v>0.32443344904655447</v>
      </c>
      <c r="AZ23" s="8" t="str">
        <f>IF(W23="No","No",IF(_xlfn.XLOOKUP(E23,Groups!A:A,Groups!U:U)=1,'Base stats'!AY23,IF(OR(_xlfn.XLOOKUP(E23,Groups!A:A,Groups!BC:BC)=1,_xlfn.XLOOKUP(E23,Groups!A:A,Groups!U:U)=2),BA23,IF(_xlfn.XLOOKUP(B23,Animals!B:B,Animals!AN:AN)&gt;4,AVERAGE(BA23,BC23),BC23))))</f>
        <v>No</v>
      </c>
      <c r="BA23" s="8">
        <f>(0.0392*C23^IF(OR(Y23="Herbivore",Y23="Dendrovore",Y23="OmnivoreRough"),0.889,0.966))*C23^-0.135</f>
        <v>0.11514923387390767</v>
      </c>
      <c r="BB23" s="8">
        <f>IF(_xlfn.XLOOKUP(E23,Groups!A:A,Groups!BD:BD)=1,(0.048*C23^1.01)+(0.071*C23^1.03),0.071*C23^1.03)/IF(_xlfn.XLOOKUP(E23,Groups!A:A,Groups!M:M)=1,0.85,IF(OR(_xlfn.XLOOKUP(B23,Animals!B:B,Animals!AN:AN)&gt;4,_xlfn.XLOOKUP(E23,Groups!A:A,Groups!BB:BB)=1),1.7,1))*C23^-0.25</f>
        <v>0.21645638593836108</v>
      </c>
      <c r="BC23" s="8">
        <f>(0.048*C23^1.01)/IF(_xlfn.XLOOKUP(E23,Groups!A:A,Groups!M:M)=1,0.25,0.8)*C23^-0.25</f>
        <v>0.1777666036650683</v>
      </c>
      <c r="BD23" s="8">
        <f>EXP(1.076*LN(AO23)-4.5397)*IF(_xlfn.XLOOKUP(E23,Groups!A:A,Groups!BB:BB)=1,1.25,IF(_xlfn.XLOOKUP(E23,Groups!A:A,Groups!BC:BC)=1,3.5,2.5))</f>
        <v>7.2080955088625318</v>
      </c>
      <c r="BE23" s="8">
        <f>EXP(1.076*LN(AP23)-4.5397)*IF(_xlfn.XLOOKUP(E23,Groups!A:A,Groups!M:M)=1,0.8,IF(_xlfn.XLOOKUP(E23,Groups!A:A,Groups!BB:BB)=1,1.3,3))</f>
        <v>10.838975937446341</v>
      </c>
      <c r="BF23" s="8" t="str">
        <f>IF(W23="No","No",IF(_xlfn.XLOOKUP(E23,Groups!A:A,Groups!U:U)=1,'Base stats'!BG23,IF(OR(_xlfn.XLOOKUP(E23,Groups!A:A,Groups!BC:BC)=1,_xlfn.XLOOKUP(E23,Groups!A:A,Groups!U:U)=2),BD23,BE23))*1.2)</f>
        <v>No</v>
      </c>
      <c r="BG23" s="8">
        <f>IFERROR(EXP(1.076*LN(AQ23)-4.5397)*IF(_xlfn.XLOOKUP(E23,Groups!A:A,Groups!N:N)="Insect",1,IF(OR(_xlfn.XLOOKUP(E23,Groups!A:A,Groups!N:N)="Pig",_xlfn.XLOOKUP(E23,Groups!A:A,Groups!N:N)="StrongBitingHerbivore"),3.5,3.75)),"No")</f>
        <v>9.7227928295555888</v>
      </c>
      <c r="BH23" s="8">
        <f t="shared" si="5"/>
        <v>11</v>
      </c>
      <c r="BI23" s="8">
        <f t="shared" si="6"/>
        <v>10</v>
      </c>
      <c r="BJ23" s="8" t="str">
        <f>IF(W23="No","No",ROUNDDOWN(SQRT((2*BF23)/AZ23),0))</f>
        <v>No</v>
      </c>
      <c r="BK23" s="8">
        <f>IF(V23="No","No",ROUNDDOWN(SQRT((2*BG23)/AY23),0))</f>
        <v>7</v>
      </c>
      <c r="BL23" s="8">
        <f t="shared" si="7"/>
        <v>11</v>
      </c>
      <c r="BM23" s="8" t="str" cm="1">
        <f t="array" ref="BM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stats'!E23,Groups!A:A,Groups!P:P=0)),"No",IF(U23="No",AVERAGE(EXP(-0.57+0.99*LN(C23)),EXP(0.32+0.67*LN(C23)))/IF(_xlfn.XLOOKUP(E23,Groups!A:A,Groups!AD:AD)=1,10,2),(0.7354*C23^0.4078)*2/IF(_xlfn.XLOOKUP(E23,Groups!A:A,Groups!BJ:BJ)=1,1000,100)))</f>
        <v>No</v>
      </c>
      <c r="BN23" s="8" t="str">
        <f>IF(W23="No","No",IF(_xlfn.XLOOKUP(E23,Groups!A:A,Groups!BC:BC)=1,(AL23*5%),EXP(0.7354*LN(C23)^0.4078)*2/IF(_xlfn.XLOOKUP(E23,Groups!A:A,Groups!BK:BK)=1,1000,100)))</f>
        <v>No</v>
      </c>
      <c r="BO23" s="8">
        <f>IF(BG23="No","No",IF(_xlfn.XLOOKUP(E23,Groups!A:A,Groups!BE:BE)=1,(0.0315*C23+2.1825)*2,(0.7354*C23^0.4078)*2)/IF(_xlfn.XLOOKUP(E23,Groups!A:A,Groups!BL:BL)=1,1000,100))</f>
        <v>2.6342520922891119E-2</v>
      </c>
      <c r="BP23" s="8">
        <f>BD23/(AL23*5%)</f>
        <v>5.1298047752629666E-2</v>
      </c>
      <c r="BQ23" s="8" t="str">
        <f t="shared" si="8"/>
        <v>No</v>
      </c>
      <c r="BR23" s="8" t="str">
        <f>IF(W23="No","No",BF23/BN23)</f>
        <v>No</v>
      </c>
      <c r="BS23" s="8">
        <f t="shared" si="9"/>
        <v>369.09120649522492</v>
      </c>
      <c r="BT23" s="4">
        <v>0</v>
      </c>
      <c r="BU23" s="4">
        <v>1</v>
      </c>
    </row>
    <row r="24" spans="1:73" x14ac:dyDescent="0.25">
      <c r="A24" s="26" t="s">
        <v>130</v>
      </c>
      <c r="B24" s="6" t="s">
        <v>131</v>
      </c>
      <c r="C24" s="7">
        <v>4.1749999999999998</v>
      </c>
      <c r="D24" s="7" t="s">
        <v>522</v>
      </c>
      <c r="E24" s="7" t="str">
        <f>Groups!A45</f>
        <v>Rodentlike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522</v>
      </c>
      <c r="L24" s="7">
        <v>72</v>
      </c>
      <c r="M24" s="7" t="s">
        <v>638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_xlfn.XLOOKUP(B24,[1]TeethAdjusters!$A:$A,[1]BiteAdjusters!$C:$C)</f>
        <v>1</v>
      </c>
      <c r="T24" s="7">
        <f>_xlfn.XLOOKUP(B24,[1]TeethAdjusters!$A:$A,[1]TeethAdjusters!$B:$B)</f>
        <v>1</v>
      </c>
      <c r="U24" s="7" t="s">
        <v>45</v>
      </c>
      <c r="V24" s="7">
        <v>0.64</v>
      </c>
      <c r="W24" s="7" t="s">
        <v>45</v>
      </c>
      <c r="X24" s="7" t="s">
        <v>945</v>
      </c>
      <c r="Y24" s="4" t="s">
        <v>42</v>
      </c>
      <c r="Z24" s="4">
        <v>0</v>
      </c>
      <c r="AA24" s="4">
        <v>0</v>
      </c>
      <c r="AB24" s="4">
        <v>0</v>
      </c>
      <c r="AC24" s="4" t="s">
        <v>45</v>
      </c>
      <c r="AD24" s="4" t="s">
        <v>45</v>
      </c>
      <c r="AE24" s="28" t="s">
        <v>394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4" t="s">
        <v>40</v>
      </c>
      <c r="AL24" s="8">
        <f t="shared" si="0"/>
        <v>2810.2806343124535</v>
      </c>
      <c r="AM24" s="8">
        <f>IFERROR(C24*_xlfn.XLOOKUP(E24,Groups!A:A,Groups!K:K),0.106*C24^0.94)</f>
        <v>0.40618413485698385</v>
      </c>
      <c r="AN24" s="8">
        <f>AM24*10000/(_xlfn.XLOOKUP(E24,Groups!A:A,Groups!J:J)*AL24)</f>
        <v>1.3260099035369324</v>
      </c>
      <c r="AO24" s="8">
        <f t="shared" si="1"/>
        <v>181.84831371738611</v>
      </c>
      <c r="AP24" s="8">
        <f>IF(_xlfn.XLOOKUP(E24,Groups!A:A,Groups!M:M)=1,EXP(0.7444*LN('Base stats'!C24)+6.5696),EXP(0.7927*LN('Base stats'!C24)+4.28))</f>
        <v>224.27185442642471</v>
      </c>
      <c r="AQ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"No")))))))))))))))</f>
        <v>164.75785104561999</v>
      </c>
      <c r="AR24" s="8">
        <f>IF(_xlfn.XLOOKUP(E24,Groups!A:A,Groups!U:U)=3,AP24,IF(_xlfn.XLOOKUP(E24,Groups!A:A,Groups!U:U)=2,AO24,AQ24))</f>
        <v>164.75785104561999</v>
      </c>
      <c r="AS24" s="46">
        <f>IFERROR(AVERAGE(_xlfn.XLOOKUP(B24,Animals!B:B,Animals!M:M),_xlfn.XLOOKUP(B24,Animals!B:B,Animals!N:N)),0)</f>
        <v>0</v>
      </c>
      <c r="AT24" s="8">
        <f>MROUND(40*Animals!AN24*_xlfn.XLOOKUP(Animals!AZ24,Leathers!$A$2:$A$100,Leathers!$B$2:$B$100,0)+(140*_xlfn.XLOOKUP(B24,Animals!B:B,Animals!AN:AN)*2),5)</f>
        <v>105</v>
      </c>
      <c r="AU24" s="8">
        <f>IFERROR(ROUND(SQRT(V24-1)*IF(_xlfn.XLOOKUP(E24,Groups!A:A,Groups!BE:BE)=0,2,1)*IF(_xlfn.XLOOKUP('Base stats'!E24,Groups!A:A,Groups!O:O)=0,1,0.1),1),0)</f>
        <v>0</v>
      </c>
      <c r="AV24" s="8">
        <f t="shared" si="2"/>
        <v>0</v>
      </c>
      <c r="AW24" s="8">
        <f t="shared" si="3"/>
        <v>0</v>
      </c>
      <c r="AX24" s="8">
        <f t="shared" si="4"/>
        <v>1</v>
      </c>
      <c r="AY24" s="8">
        <f>IF(_xlfn.XLOOKUP(E24,Groups!A:A,Groups!N:N)="Insect",BA24*2.5,IFERROR(AVERAGE(BA24,AQ24/9.81/IF(OR(_xlfn.XLOOKUP(E24,Groups!A:A,Groups!N:N)="Pig",_xlfn.XLOOKUP(E24,Groups!A:A,Groups!N:N)="StrongBitingHerbivore"),20,25))*C24^-0.135,BA24))</f>
        <v>0.32443344904655447</v>
      </c>
      <c r="AZ24" s="8" t="str">
        <f>IF(W24="No","No",IF(_xlfn.XLOOKUP(E24,Groups!A:A,Groups!U:U)=1,'Base stats'!AY24,IF(OR(_xlfn.XLOOKUP(E24,Groups!A:A,Groups!BC:BC)=1,_xlfn.XLOOKUP(E24,Groups!A:A,Groups!U:U)=2),BA24,IF(_xlfn.XLOOKUP(B24,Animals!B:B,Animals!AN:AN)&gt;4,AVERAGE(BA24,BC24),BC24))))</f>
        <v>No</v>
      </c>
      <c r="BA24" s="8">
        <f>(0.0392*C24^IF(OR(Y24="Herbivore",Y24="Dendrovore",Y24="OmnivoreRough"),0.889,0.966))*C24^-0.135</f>
        <v>0.11514923387390767</v>
      </c>
      <c r="BB24" s="8">
        <f>IF(_xlfn.XLOOKUP(E24,Groups!A:A,Groups!BD:BD)=1,(0.048*C24^1.01)+(0.071*C24^1.03),0.071*C24^1.03)/IF(_xlfn.XLOOKUP(E24,Groups!A:A,Groups!M:M)=1,0.85,IF(OR(_xlfn.XLOOKUP(B24,Animals!B:B,Animals!AN:AN)&gt;4,_xlfn.XLOOKUP(E24,Groups!A:A,Groups!BB:BB)=1),1.7,1))*C24^-0.25</f>
        <v>0.21645638593836108</v>
      </c>
      <c r="BC24" s="8">
        <f>(0.048*C24^1.01)/IF(_xlfn.XLOOKUP(E24,Groups!A:A,Groups!M:M)=1,0.25,0.8)*C24^-0.25</f>
        <v>0.1777666036650683</v>
      </c>
      <c r="BD24" s="8">
        <f>EXP(1.076*LN(AO24)-4.5397)*IF(_xlfn.XLOOKUP(E24,Groups!A:A,Groups!BB:BB)=1,1.25,IF(_xlfn.XLOOKUP(E24,Groups!A:A,Groups!BC:BC)=1,3.5,2.5))</f>
        <v>7.2080955088625318</v>
      </c>
      <c r="BE24" s="8">
        <f>EXP(1.076*LN(AP24)-4.5397)*IF(_xlfn.XLOOKUP(E24,Groups!A:A,Groups!M:M)=1,0.8,IF(_xlfn.XLOOKUP(E24,Groups!A:A,Groups!BB:BB)=1,1.3,3))</f>
        <v>10.838975937446341</v>
      </c>
      <c r="BF24" s="8" t="str">
        <f>IF(W24="No","No",IF(_xlfn.XLOOKUP(E24,Groups!A:A,Groups!U:U)=1,'Base stats'!BG24,IF(OR(_xlfn.XLOOKUP(E24,Groups!A:A,Groups!BC:BC)=1,_xlfn.XLOOKUP(E24,Groups!A:A,Groups!U:U)=2),BD24,BE24))*1.2)</f>
        <v>No</v>
      </c>
      <c r="BG24" s="8">
        <f>IFERROR(EXP(1.076*LN(AQ24)-4.5397)*IF(_xlfn.XLOOKUP(E24,Groups!A:A,Groups!N:N)="Insect",1,IF(OR(_xlfn.XLOOKUP(E24,Groups!A:A,Groups!N:N)="Pig",_xlfn.XLOOKUP(E24,Groups!A:A,Groups!N:N)="StrongBitingHerbivore"),3.5,3.75)),"No")</f>
        <v>9.7227928295555888</v>
      </c>
      <c r="BH24" s="8">
        <f t="shared" si="5"/>
        <v>11</v>
      </c>
      <c r="BI24" s="8">
        <f t="shared" si="6"/>
        <v>10</v>
      </c>
      <c r="BJ24" s="8" t="str">
        <f>IF(W24="No","No",ROUNDDOWN(SQRT((2*BF24)/AZ24),0))</f>
        <v>No</v>
      </c>
      <c r="BK24" s="8">
        <f>IF(V24="No","No",ROUNDDOWN(SQRT((2*BG24)/AY24),0))</f>
        <v>7</v>
      </c>
      <c r="BL24" s="8">
        <f t="shared" si="7"/>
        <v>11</v>
      </c>
      <c r="BM24" s="8" t="str" cm="1">
        <f t="array" ref="BM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stats'!E24,Groups!A:A,Groups!P:P=0)),"No",IF(U24="No",AVERAGE(EXP(-0.57+0.99*LN(C24)),EXP(0.32+0.67*LN(C24)))/IF(_xlfn.XLOOKUP(E24,Groups!A:A,Groups!AD:AD)=1,10,2),(0.7354*C24^0.4078)*2/IF(_xlfn.XLOOKUP(E24,Groups!A:A,Groups!BJ:BJ)=1,1000,100)))</f>
        <v>No</v>
      </c>
      <c r="BN24" s="8" t="str">
        <f>IF(W24="No","No",IF(_xlfn.XLOOKUP(E24,Groups!A:A,Groups!BC:BC)=1,(AL24*5%),EXP(0.7354*LN(C24)^0.4078)*2/IF(_xlfn.XLOOKUP(E24,Groups!A:A,Groups!BK:BK)=1,1000,100)))</f>
        <v>No</v>
      </c>
      <c r="BO24" s="8">
        <f>IF(BG24="No","No",IF(_xlfn.XLOOKUP(E24,Groups!A:A,Groups!BE:BE)=1,(0.0315*C24+2.1825)*2,(0.7354*C24^0.4078)*2)/IF(_xlfn.XLOOKUP(E24,Groups!A:A,Groups!BL:BL)=1,1000,100))</f>
        <v>2.6342520922891119E-2</v>
      </c>
      <c r="BP24" s="8">
        <f>BD24/(AL24*5%)</f>
        <v>5.1298047752629666E-2</v>
      </c>
      <c r="BQ24" s="8" t="str">
        <f t="shared" si="8"/>
        <v>No</v>
      </c>
      <c r="BR24" s="8" t="str">
        <f>IF(W24="No","No",BF24/BN24)</f>
        <v>No</v>
      </c>
      <c r="BS24" s="8">
        <f t="shared" si="9"/>
        <v>369.09120649522492</v>
      </c>
      <c r="BT24" s="4">
        <v>0</v>
      </c>
      <c r="BU24" s="4">
        <v>1</v>
      </c>
    </row>
    <row r="25" spans="1:73" x14ac:dyDescent="0.25">
      <c r="A25" s="26" t="s">
        <v>120</v>
      </c>
      <c r="B25" s="6" t="s">
        <v>1183</v>
      </c>
      <c r="C25" s="7">
        <v>2175</v>
      </c>
      <c r="D25" s="7" t="s">
        <v>1184</v>
      </c>
      <c r="E25" s="7" t="str">
        <f>Groups!A43</f>
        <v>Rhinolike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1184</v>
      </c>
      <c r="L25" s="7">
        <f>7.5*3.6</f>
        <v>27</v>
      </c>
      <c r="M25" s="7" t="s">
        <v>1186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_xlfn.XLOOKUP(B25,[1]TeethAdjusters!$A:$A,[1]BiteAdjusters!$C:$C)</f>
        <v>1</v>
      </c>
      <c r="T25" s="7">
        <f>_xlfn.XLOOKUP(B25,[1]TeethAdjusters!$A:$A,[1]TeethAdjusters!$B:$B)</f>
        <v>1</v>
      </c>
      <c r="U25" s="7" t="s">
        <v>45</v>
      </c>
      <c r="V25" s="7">
        <f>MROUND(22.7/10,0.05)</f>
        <v>2.25</v>
      </c>
      <c r="W25" s="7">
        <f>MROUND(48.26,0.05)</f>
        <v>48.25</v>
      </c>
      <c r="X25" s="7" t="s">
        <v>945</v>
      </c>
      <c r="Y25" s="4" t="s">
        <v>42</v>
      </c>
      <c r="Z25" s="4">
        <v>0</v>
      </c>
      <c r="AA25" s="4">
        <v>0</v>
      </c>
      <c r="AB25" s="4">
        <v>0</v>
      </c>
      <c r="AC25" s="4" t="s">
        <v>45</v>
      </c>
      <c r="AD25" s="4" t="s">
        <v>45</v>
      </c>
      <c r="AE25" s="28" t="s">
        <v>402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4" t="s">
        <v>40</v>
      </c>
      <c r="AL25" s="8">
        <f t="shared" si="0"/>
        <v>163934.92964195029</v>
      </c>
      <c r="AM25" s="8">
        <f>IFERROR(C25*_xlfn.XLOOKUP(E25,Groups!A:A,Groups!K:K),0.106*C25^0.94)</f>
        <v>145.38432046483609</v>
      </c>
      <c r="AN25" s="8">
        <f>AM25*10000/(_xlfn.XLOOKUP(E25,Groups!A:A,Groups!J:J)*AL25)</f>
        <v>8.1361617569552305</v>
      </c>
      <c r="AO25" s="8">
        <f t="shared" si="1"/>
        <v>35858.538732427318</v>
      </c>
      <c r="AP25" s="8">
        <f>IF(_xlfn.XLOOKUP(E25,Groups!A:A,Groups!M:M)=1,EXP(0.7444*LN('Base stats'!C25)+6.5696),EXP(0.7927*LN('Base stats'!C25)+4.28))</f>
        <v>31943.635306616237</v>
      </c>
      <c r="AQ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"No")))))))))))))))</f>
        <v>14623.711991937456</v>
      </c>
      <c r="AR25" s="8">
        <f>IF(_xlfn.XLOOKUP(E25,Groups!A:A,Groups!U:U)=3,AP25,IF(_xlfn.XLOOKUP(E25,Groups!A:A,Groups!U:U)=2,AO25,AQ25))</f>
        <v>35858.538732427318</v>
      </c>
      <c r="AS25" s="46">
        <f>IFERROR(AVERAGE(_xlfn.XLOOKUP(B25,Animals!B:B,Animals!M:M),_xlfn.XLOOKUP(B25,Animals!B:B,Animals!N:N)),0)</f>
        <v>0</v>
      </c>
      <c r="AT25" s="8">
        <f>MROUND(40*Animals!AN25*_xlfn.XLOOKUP(Animals!AZ25,Leathers!$A$2:$A$100,Leathers!$B$2:$B$100,0)+(140*_xlfn.XLOOKUP(B25,Animals!B:B,Animals!AN:AN)*2),5)</f>
        <v>1680</v>
      </c>
      <c r="AU25" s="8">
        <f>IFERROR(ROUND(SQRT(V25-1)*IF(_xlfn.XLOOKUP(E25,Groups!A:A,Groups!BE:BE)=0,2,1)*IF(_xlfn.XLOOKUP('Base stats'!E25,Groups!A:A,Groups!O:O)=0,1,0.1),1),0)</f>
        <v>2.2000000000000002</v>
      </c>
      <c r="AV25" s="8">
        <f t="shared" si="2"/>
        <v>0</v>
      </c>
      <c r="AW25" s="8">
        <f t="shared" si="3"/>
        <v>6.9</v>
      </c>
      <c r="AX25" s="8">
        <f t="shared" si="4"/>
        <v>12.6</v>
      </c>
      <c r="AY25" s="8">
        <f>IF(_xlfn.XLOOKUP(E25,Groups!A:A,Groups!N:N)="Insect",BA25*2.5,IFERROR(AVERAGE(BA25,AQ25/9.81/IF(OR(_xlfn.XLOOKUP(E25,Groups!A:A,Groups!N:N)="Pig",_xlfn.XLOOKUP(E25,Groups!A:A,Groups!N:N)="StrongBitingHerbivore"),20,25))*C25^-0.135,BA25))</f>
        <v>15.487105037980371</v>
      </c>
      <c r="AZ25" s="8">
        <f>IF(W25="No","No",IF(_xlfn.XLOOKUP(E25,Groups!A:A,Groups!U:U)=1,'Base stats'!AY25,IF(OR(_xlfn.XLOOKUP(E25,Groups!A:A,Groups!BC:BC)=1,_xlfn.XLOOKUP(E25,Groups!A:A,Groups!U:U)=2),BA25,IF(_xlfn.XLOOKUP(B25,Animals!B:B,Animals!AN:AN)&gt;4,AVERAGE(BA25,BC25),BC25))))</f>
        <v>12.87449936124731</v>
      </c>
      <c r="BA25" s="8">
        <f>(0.0392*C25^IF(OR(Y25="Herbivore",Y25="Dendrovore",Y25="OmnivoreRough"),0.889,0.966))*C25^-0.135</f>
        <v>12.87449936124731</v>
      </c>
      <c r="BB25" s="8">
        <f>IF(_xlfn.XLOOKUP(E25,Groups!A:A,Groups!BD:BD)=1,(0.048*C25^1.01)+(0.071*C25^1.03),0.071*C25^1.03)/IF(_xlfn.XLOOKUP(E25,Groups!A:A,Groups!M:M)=1,0.85,IF(OR(_xlfn.XLOOKUP(B25,Animals!B:B,Animals!AN:AN)&gt;4,_xlfn.XLOOKUP(E25,Groups!A:A,Groups!BB:BB)=1),1.7,1))*C25^-0.25</f>
        <v>28.475841866528434</v>
      </c>
      <c r="BC25" s="8">
        <f>(0.048*C25^1.01)/IF(_xlfn.XLOOKUP(E25,Groups!A:A,Groups!M:M)=1,0.25,0.8)*C25^-0.25</f>
        <v>20.635751480804579</v>
      </c>
      <c r="BD25" s="8">
        <f>EXP(1.076*LN(AO25)-4.5397)*IF(_xlfn.XLOOKUP(E25,Groups!A:A,Groups!BB:BB)=1,1.25,IF(_xlfn.XLOOKUP(E25,Groups!A:A,Groups!BC:BC)=1,3.5,2.5))</f>
        <v>2123.8066364122428</v>
      </c>
      <c r="BE25" s="8">
        <f>EXP(1.076*LN(AP25)-4.5397)*IF(_xlfn.XLOOKUP(E25,Groups!A:A,Groups!M:M)=1,0.8,IF(_xlfn.XLOOKUP(E25,Groups!A:A,Groups!BB:BB)=1,1.3,3))</f>
        <v>2250.4643829685419</v>
      </c>
      <c r="BF25" s="8">
        <f>IF(W25="No","No",IF(_xlfn.XLOOKUP(E25,Groups!A:A,Groups!U:U)=1,'Base stats'!BG25,IF(OR(_xlfn.XLOOKUP(E25,Groups!A:A,Groups!BC:BC)=1,_xlfn.XLOOKUP(E25,Groups!A:A,Groups!U:U)=2),BD25,BE25))*1.2)</f>
        <v>2548.5679636946911</v>
      </c>
      <c r="BG25" s="8">
        <f>IFERROR(EXP(1.076*LN(AQ25)-4.5397)*IF(_xlfn.XLOOKUP(E25,Groups!A:A,Groups!N:N)="Insect",1,IF(OR(_xlfn.XLOOKUP(E25,Groups!A:A,Groups!N:N)="Pig",_xlfn.XLOOKUP(E25,Groups!A:A,Groups!N:N)="StrongBitingHerbivore"),3.5,3.75)),"No")</f>
        <v>1132.6699783310287</v>
      </c>
      <c r="BH25" s="8">
        <f t="shared" si="5"/>
        <v>18</v>
      </c>
      <c r="BI25" s="8">
        <f t="shared" si="6"/>
        <v>12</v>
      </c>
      <c r="BJ25" s="8">
        <f>IF(W25="No","No",ROUNDDOWN(SQRT((2*BF25)/AZ25),0))</f>
        <v>19</v>
      </c>
      <c r="BK25" s="8">
        <f>IF(V25="No","No",ROUNDDOWN(SQRT((2*BG25)/AY25),0))</f>
        <v>12</v>
      </c>
      <c r="BL25" s="8">
        <f t="shared" si="7"/>
        <v>14</v>
      </c>
      <c r="BM25" s="8" t="str" cm="1">
        <f t="array" ref="BM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stats'!E25,Groups!A:A,Groups!P:P=0)),"No",IF(U25="No",AVERAGE(EXP(-0.57+0.99*LN(C25)),EXP(0.32+0.67*LN(C25)))/IF(_xlfn.XLOOKUP(E25,Groups!A:A,Groups!AD:AD)=1,10,2),(0.7354*C25^0.4078)*2/IF(_xlfn.XLOOKUP(E25,Groups!A:A,Groups!BJ:BJ)=1,1000,100)))</f>
        <v>No</v>
      </c>
      <c r="BN25" s="8">
        <f>IF(W25="No","No",IF(_xlfn.XLOOKUP(E25,Groups!A:A,Groups!BC:BC)=1,(AL25*5%),EXP(0.7354*LN(C25)^0.4078)*2/IF(_xlfn.XLOOKUP(E25,Groups!A:A,Groups!BK:BK)=1,1000,100)))</f>
        <v>0.10830426171036688</v>
      </c>
      <c r="BO25" s="8">
        <f>IF(BG25="No","No",IF(_xlfn.XLOOKUP(E25,Groups!A:A,Groups!BE:BE)=1,(0.0315*C25+2.1825)*2,(0.7354*C25^0.4078)*2)/IF(_xlfn.XLOOKUP(E25,Groups!A:A,Groups!BL:BL)=1,1000,100))</f>
        <v>0.33772989730193315</v>
      </c>
      <c r="BP25" s="8">
        <f>BD25/(AL25*5%)</f>
        <v>0.25910361398279691</v>
      </c>
      <c r="BQ25" s="8" t="str">
        <f t="shared" si="8"/>
        <v>No</v>
      </c>
      <c r="BR25" s="8">
        <f>IF(W25="No","No",BF25/BN25)</f>
        <v>23531.557516270317</v>
      </c>
      <c r="BS25" s="8">
        <f t="shared" si="9"/>
        <v>3353.7746802392594</v>
      </c>
      <c r="BT25" s="4">
        <v>0</v>
      </c>
      <c r="BU25" s="4">
        <v>1</v>
      </c>
    </row>
    <row r="26" spans="1:73" x14ac:dyDescent="0.25">
      <c r="A26" s="26" t="s">
        <v>70</v>
      </c>
      <c r="B26" s="6" t="s">
        <v>71</v>
      </c>
      <c r="C26" s="7">
        <f>AVERAGE(6000,3000)</f>
        <v>4500</v>
      </c>
      <c r="D26" s="7" t="s">
        <v>1185</v>
      </c>
      <c r="E26" s="7" t="str">
        <f>Groups!A16</f>
        <v>Elephantlike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523</v>
      </c>
      <c r="L26" s="7">
        <v>26</v>
      </c>
      <c r="M26" s="7" t="s">
        <v>638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_xlfn.XLOOKUP(B26,[1]TeethAdjusters!$A:$A,[1]BiteAdjusters!$C:$C)</f>
        <v>1</v>
      </c>
      <c r="T26" s="7">
        <f>_xlfn.XLOOKUP(B26,[1]TeethAdjusters!$A:$A,[1]TeethAdjusters!$B:$B)</f>
        <v>1</v>
      </c>
      <c r="U26" s="7" t="s">
        <v>45</v>
      </c>
      <c r="V26" s="7" t="str">
        <f>IF(AQ26="No","No",IF(_xlfn.XLOOKUP(E26,Groups!A:A,Groups!AM:AM)=1,MROUND(EXP(0.3582*LN(C26)-0.2221)*T26,0.05),IF(_xlfn.XLOOKUP(E26,Groups!A:A,Groups!AM:AM)=2,MROUND(EXP(0.3582*LN(C26)-0.2221)*T26,0.05),"Need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945</v>
      </c>
      <c r="Y26" s="4" t="s">
        <v>42</v>
      </c>
      <c r="Z26" s="4">
        <v>0</v>
      </c>
      <c r="AA26" s="4">
        <v>0</v>
      </c>
      <c r="AB26" s="4">
        <v>0</v>
      </c>
      <c r="AC26" s="4" t="s">
        <v>1082</v>
      </c>
      <c r="AD26" s="4" t="s">
        <v>407</v>
      </c>
      <c r="AE26" s="28" t="s">
        <v>389</v>
      </c>
      <c r="AF26" s="4">
        <v>1</v>
      </c>
      <c r="AG26" s="4">
        <v>0</v>
      </c>
      <c r="AH26" s="4">
        <v>0</v>
      </c>
      <c r="AI26" s="4">
        <v>0</v>
      </c>
      <c r="AJ26" s="4">
        <v>0</v>
      </c>
      <c r="AK26" s="44" t="s">
        <v>40</v>
      </c>
      <c r="AL26" s="8">
        <f t="shared" si="0"/>
        <v>262972.97087744245</v>
      </c>
      <c r="AM26" s="8">
        <f>IFERROR(C26*_xlfn.XLOOKUP(E26,Groups!A:A,Groups!K:K),0.106*C26^0.94)</f>
        <v>360</v>
      </c>
      <c r="AN26" s="8">
        <f>AM26*10000/(_xlfn.XLOOKUP(E26,Groups!A:A,Groups!J:J)*AL26)</f>
        <v>12.559284258598639</v>
      </c>
      <c r="AO26" s="8">
        <f t="shared" si="1"/>
        <v>66268.838703367117</v>
      </c>
      <c r="AP26" s="8">
        <f>IF(_xlfn.XLOOKUP(E26,Groups!A:A,Groups!M:M)=1,EXP(0.7444*LN('Base stats'!C26)+6.5696),EXP(0.7927*LN('Base stats'!C26)+4.28))</f>
        <v>56843.648100459453</v>
      </c>
      <c r="AQ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"No")))))))))))))))</f>
        <v>No</v>
      </c>
      <c r="AR26" s="8">
        <f>IF(_xlfn.XLOOKUP(E26,Groups!A:A,Groups!U:U)=3,AP26,IF(_xlfn.XLOOKUP(E26,Groups!A:A,Groups!U:U)=2,AO26,AQ26))</f>
        <v>56843.648100459453</v>
      </c>
      <c r="AS26" s="46">
        <f>IFERROR(AVERAGE(_xlfn.XLOOKUP(B26,Animals!B:B,Animals!M:M),_xlfn.XLOOKUP(B26,Animals!B:B,Animals!N:N)),0)</f>
        <v>0</v>
      </c>
      <c r="AT26" s="8">
        <f>MROUND(40*Animals!AN26*_xlfn.XLOOKUP(Animals!AZ26,Leathers!$A$2:$A$100,Leathers!$B$2:$B$100,0)+(140*_xlfn.XLOOKUP(B26,Animals!B:B,Animals!AN:AN)*2),5)</f>
        <v>2000</v>
      </c>
      <c r="AU26" s="8">
        <f>IFERROR(ROUND(SQRT(V26-1)*IF(_xlfn.XLOOKUP(E26,Groups!A:A,Groups!BE:BE)=0,2,1)*IF(_xlfn.XLOOKUP('Base stats'!E26,Groups!A:A,Groups!O:O)=0,1,0.1),1),0)</f>
        <v>0</v>
      </c>
      <c r="AV26" s="8">
        <f t="shared" si="2"/>
        <v>0</v>
      </c>
      <c r="AW26" s="8">
        <f t="shared" si="3"/>
        <v>12.6</v>
      </c>
      <c r="AX26" s="8">
        <f t="shared" si="4"/>
        <v>16.3</v>
      </c>
      <c r="AY26" s="8">
        <f>IF(_xlfn.XLOOKUP(E26,Groups!A:A,Groups!N:N)="Insect",BA26*2.5,IFERROR(AVERAGE(BA26,AQ26/9.81/IF(OR(_xlfn.XLOOKUP(E26,Groups!A:A,Groups!N:N)="Pig",_xlfn.XLOOKUP(E26,Groups!A:A,Groups!N:N)="StrongBitingHerbivore"),20,25))*C26^-0.135,BA26))</f>
        <v>22.274517350066827</v>
      </c>
      <c r="AZ26" s="8">
        <f>IF(W26="No","No",IF(_xlfn.XLOOKUP(E26,Groups!A:A,Groups!U:U)=1,'Base stats'!AY26,IF(OR(_xlfn.XLOOKUP(E26,Groups!A:A,Groups!BC:BC)=1,_xlfn.XLOOKUP(E26,Groups!A:A,Groups!U:U)=2),BA26,IF(_xlfn.XLOOKUP(B26,Animals!B:B,Animals!AN:AN)&gt;4,AVERAGE(BA26,BC26),BC26))))</f>
        <v>29.066535189734225</v>
      </c>
      <c r="BA26" s="8">
        <f>(0.0392*C26^IF(OR(Y26="Herbivore",Y26="Dendrovore",Y26="OmnivoreRough"),0.889,0.966))*C26^-0.135</f>
        <v>22.274517350066827</v>
      </c>
      <c r="BB26" s="8">
        <f>IF(_xlfn.XLOOKUP(E26,Groups!A:A,Groups!BD:BD)=1,(0.048*C26^1.01)+(0.071*C26^1.03),0.071*C26^1.03)/IF(_xlfn.XLOOKUP(E26,Groups!A:A,Groups!M:M)=1,0.85,IF(OR(_xlfn.XLOOKUP(B26,Animals!B:B,Animals!AN:AN)&gt;4,_xlfn.XLOOKUP(E26,Groups!A:A,Groups!BB:BB)=1),1.7,1))*C26^-0.25</f>
        <v>29.533518364547621</v>
      </c>
      <c r="BC26" s="8">
        <f>(0.048*C26^1.01)/IF(_xlfn.XLOOKUP(E26,Groups!A:A,Groups!M:M)=1,0.25,0.8)*C26^-0.25</f>
        <v>35.858553029401619</v>
      </c>
      <c r="BD26" s="8">
        <f>EXP(1.076*LN(AO26)-4.5397)*IF(_xlfn.XLOOKUP(E26,Groups!A:A,Groups!BB:BB)=1,1.25,IF(_xlfn.XLOOKUP(E26,Groups!A:A,Groups!BC:BC)=1,3.5,2.5))</f>
        <v>2056.2325274309005</v>
      </c>
      <c r="BE26" s="8">
        <f>EXP(1.076*LN(AP26)-4.5397)*IF(_xlfn.XLOOKUP(E26,Groups!A:A,Groups!M:M)=1,0.8,IF(_xlfn.XLOOKUP(E26,Groups!A:A,Groups!BB:BB)=1,1.3,3))</f>
        <v>1813.0695438509977</v>
      </c>
      <c r="BF26" s="8">
        <f>IF(W26="No","No",IF(_xlfn.XLOOKUP(E26,Groups!A:A,Groups!U:U)=1,'Base stats'!BG26,IF(OR(_xlfn.XLOOKUP(E26,Groups!A:A,Groups!BC:BC)=1,_xlfn.XLOOKUP(E26,Groups!A:A,Groups!U:U)=2),BD26,BE26))*1.2)</f>
        <v>2175.6834526211969</v>
      </c>
      <c r="BG26" s="8" t="str">
        <f>IFERROR(EXP(1.076*LN(AQ26)-4.5397)*IF(_xlfn.XLOOKUP(E26,Groups!A:A,Groups!N:N)="Insect",1,IF(OR(_xlfn.XLOOKUP(E26,Groups!A:A,Groups!N:N)="Pig",_xlfn.XLOOKUP(E26,Groups!A:A,Groups!N:N)="StrongBitingHerbivore"),3.5,3.75)),"No")</f>
        <v>No</v>
      </c>
      <c r="BH26" s="8">
        <f t="shared" si="5"/>
        <v>13</v>
      </c>
      <c r="BI26" s="8">
        <f t="shared" si="6"/>
        <v>11</v>
      </c>
      <c r="BJ26" s="8">
        <f>IF(W26="No","No",ROUNDDOWN(SQRT((2*BF26)/AZ26),0))</f>
        <v>12</v>
      </c>
      <c r="BK26" s="8" t="str">
        <f>IF(V26="No","No",ROUNDDOWN(SQRT((2*BG26)/AY26),0))</f>
        <v>No</v>
      </c>
      <c r="BL26" s="8">
        <f t="shared" si="7"/>
        <v>10</v>
      </c>
      <c r="BM26" s="8" cm="1">
        <f t="array" ref="BM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stats'!E26,Groups!A:A,Groups!P:P=0)),"No",IF(U26="No",AVERAGE(EXP(-0.57+0.99*LN(C26)),EXP(0.32+0.67*LN(C26)))/IF(_xlfn.XLOOKUP(E26,Groups!A:A,Groups!AD:AD)=1,10,2),(0.7354*C26^0.4078)*2/IF(_xlfn.XLOOKUP(E26,Groups!A:A,Groups!BJ:BJ)=1,1000,100)))</f>
        <v>681.39650893914984</v>
      </c>
      <c r="BN26" s="8">
        <f>IF(W26="No","No",IF(_xlfn.XLOOKUP(E26,Groups!A:A,Groups!BC:BC)=1,(AL26*5%),EXP(0.7354*LN(C26)^0.4078)*2/IF(_xlfn.XLOOKUP(E26,Groups!A:A,Groups!BK:BK)=1,1000,100)))</f>
        <v>0.11539690490306942</v>
      </c>
      <c r="BO26" s="8" t="str">
        <f>IF(BG26="No","No",IF(_xlfn.XLOOKUP(E26,Groups!A:A,Groups!BE:BE)=1,(0.0315*C26+2.1825)*2,(0.7354*C26^0.4078)*2)/IF(_xlfn.XLOOKUP(E26,Groups!A:A,Groups!BL:BL)=1,1000,100))</f>
        <v>No</v>
      </c>
      <c r="BP26" s="8">
        <f>BD26/(AL26*5%)</f>
        <v>0.15638356448345406</v>
      </c>
      <c r="BQ26" s="8">
        <f t="shared" si="8"/>
        <v>2.6608142543520259</v>
      </c>
      <c r="BR26" s="8">
        <f>IF(W26="No","No",BF26/BN26)</f>
        <v>18853.91514138718</v>
      </c>
      <c r="BS26" s="8" t="str">
        <f t="shared" si="9"/>
        <v>No</v>
      </c>
      <c r="BT26" s="4">
        <v>0</v>
      </c>
      <c r="BU26" s="4">
        <v>1</v>
      </c>
    </row>
    <row r="27" spans="1:73" x14ac:dyDescent="0.25">
      <c r="A27" s="26" t="s">
        <v>117</v>
      </c>
      <c r="B27" s="6" t="s">
        <v>118</v>
      </c>
      <c r="C27" s="7">
        <v>6000</v>
      </c>
      <c r="D27" s="7" t="s">
        <v>538</v>
      </c>
      <c r="E27" s="7" t="str">
        <f>Groups!A57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538</v>
      </c>
      <c r="L27" s="7">
        <v>35</v>
      </c>
      <c r="M27" s="7" t="s">
        <v>638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_xlfn.XLOOKUP(B27,[1]TeethAdjusters!$A:$A,[1]BiteAdjusters!$C:$C)</f>
        <v>1</v>
      </c>
      <c r="T27" s="7">
        <f>_xlfn.XLOOKUP(B27,[1]TeethAdjusters!$A:$A,[1]TeethAdjusters!$B:$B)</f>
        <v>1</v>
      </c>
      <c r="U27" s="7" t="s">
        <v>45</v>
      </c>
      <c r="V27" s="7" t="str">
        <f>IF(AQ27="No","No",IF(_xlfn.XLOOKUP(E27,Groups!A:A,Groups!AM:AM)=1,MROUND(EXP(0.3582*LN(C27)-0.2221)*T27,0.05),IF(_xlfn.XLOOKUP(E27,Groups!A:A,Groups!AM:AM)=2,MROUND(EXP(0.3582*LN(C27)-0.2221)*T27,0.05),"Need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945</v>
      </c>
      <c r="Y27" s="4" t="s">
        <v>1022</v>
      </c>
      <c r="Z27" s="4">
        <v>0</v>
      </c>
      <c r="AA27" s="4">
        <v>0</v>
      </c>
      <c r="AB27" s="4">
        <v>0</v>
      </c>
      <c r="AC27" s="4" t="s">
        <v>1088</v>
      </c>
      <c r="AD27" s="4" t="s">
        <v>409</v>
      </c>
      <c r="AE27" s="28" t="s">
        <v>404</v>
      </c>
      <c r="AF27" s="4">
        <v>0</v>
      </c>
      <c r="AG27" s="4">
        <v>0</v>
      </c>
      <c r="AH27" s="4">
        <v>0</v>
      </c>
      <c r="AI27" s="4">
        <v>0</v>
      </c>
      <c r="AJ27" s="4">
        <v>1</v>
      </c>
      <c r="AK27" s="44" t="s">
        <v>40</v>
      </c>
      <c r="AL27" s="8">
        <f t="shared" si="0"/>
        <v>317045.27964091528</v>
      </c>
      <c r="AM27" s="8">
        <f>IFERROR(C27*_xlfn.XLOOKUP(E27,Groups!A:A,Groups!K:K),0.106*C27^0.94)</f>
        <v>377.37058112331027</v>
      </c>
      <c r="AN27" s="8">
        <f>AM27*10000/(_xlfn.XLOOKUP(E27,Groups!A:A,Groups!J:J)*AL27)</f>
        <v>10.919939975358783</v>
      </c>
      <c r="AO27" s="8">
        <f t="shared" si="1"/>
        <v>84497.743412668031</v>
      </c>
      <c r="AP27" s="8">
        <f>IF(_xlfn.XLOOKUP(E27,Groups!A:A,Groups!M:M)=1,EXP(0.7444*LN('Base stats'!C27)+6.5696),EXP(0.7927*LN('Base stats'!C27)+4.28))</f>
        <v>71403.726647358781</v>
      </c>
      <c r="AQ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"No")))))))))))))))</f>
        <v>No</v>
      </c>
      <c r="AR27" s="8">
        <f>IF(_xlfn.XLOOKUP(E27,Groups!A:A,Groups!U:U)=3,AP27,IF(_xlfn.XLOOKUP(E27,Groups!A:A,Groups!U:U)=2,AO27,AQ27))</f>
        <v>84497.743412668031</v>
      </c>
      <c r="AS27" s="46">
        <f>IFERROR(AVERAGE(_xlfn.XLOOKUP(B27,Animals!B:B,Animals!M:M),_xlfn.XLOOKUP(B27,Animals!B:B,Animals!N:N)),0)</f>
        <v>1.1500000000000001</v>
      </c>
      <c r="AT27" s="8">
        <f>MROUND(40*Animals!AN27*_xlfn.XLOOKUP(Animals!AZ27,Leathers!$A$2:$A$100,Leathers!$B$2:$B$100,0)+(140*_xlfn.XLOOKUP(B27,Animals!B:B,Animals!AN:AN)*2),5)</f>
        <v>4620</v>
      </c>
      <c r="AU27" s="8">
        <f>IFERROR(ROUND(SQRT(V27-1)*IF(_xlfn.XLOOKUP(E27,Groups!A:A,Groups!BE:BE)=0,2,1)*IF(_xlfn.XLOOKUP('Base stats'!E27,Groups!A:A,Groups!O:O)=0,1,0.1),1),0)</f>
        <v>0</v>
      </c>
      <c r="AV27" s="8">
        <f t="shared" si="2"/>
        <v>0</v>
      </c>
      <c r="AW27" s="8">
        <f t="shared" si="3"/>
        <v>8.9</v>
      </c>
      <c r="AX27" s="8">
        <f t="shared" si="4"/>
        <v>18.100000000000001</v>
      </c>
      <c r="AY27" s="8">
        <f>IF(_xlfn.XLOOKUP(E27,Groups!A:A,Groups!N:N)="Insect",BA27*2.5,IFERROR(AVERAGE(BA27,AQ27/9.81/IF(OR(_xlfn.XLOOKUP(E27,Groups!A:A,Groups!N:N)="Pig",_xlfn.XLOOKUP(E27,Groups!A:A,Groups!N:N)="StrongBitingHerbivore"),20,25))*C27^-0.135,BA27))</f>
        <v>27.670187995209911</v>
      </c>
      <c r="AZ27" s="8">
        <f>IF(W27="No","No",IF(_xlfn.XLOOKUP(E27,Groups!A:A,Groups!U:U)=1,'Base stats'!AY27,IF(OR(_xlfn.XLOOKUP(E27,Groups!A:A,Groups!BC:BC)=1,_xlfn.XLOOKUP(E27,Groups!A:A,Groups!U:U)=2),BA27,IF(_xlfn.XLOOKUP(B27,Animals!B:B,Animals!AN:AN)&gt;4,AVERAGE(BA27,BC27),BC27))))</f>
        <v>27.670187995209911</v>
      </c>
      <c r="BA27" s="8">
        <f>(0.0392*C27^IF(OR(Y27="Herbivore",Y27="Dendrovore",Y27="OmnivoreRough"),0.889,0.966))*C27^-0.135</f>
        <v>27.670187995209911</v>
      </c>
      <c r="BB27" s="8">
        <f>IF(_xlfn.XLOOKUP(E27,Groups!A:A,Groups!BD:BD)=1,(0.048*C27^1.01)+(0.071*C27^1.03),0.071*C27^1.03)/IF(_xlfn.XLOOKUP(E27,Groups!A:A,Groups!M:M)=1,0.85,IF(OR(_xlfn.XLOOKUP(B27,Animals!B:B,Animals!AN:AN)&gt;4,_xlfn.XLOOKUP(E27,Groups!A:A,Groups!BB:BB)=1),1.7,1))*C27^-0.25</f>
        <v>36.963016200528486</v>
      </c>
      <c r="BC27" s="8">
        <f>(0.048*C27^1.01)/IF(_xlfn.XLOOKUP(E27,Groups!A:A,Groups!M:M)=1,0.25,0.8)*C27^-0.25</f>
        <v>44.621709107028508</v>
      </c>
      <c r="BD27" s="8">
        <f>EXP(1.076*LN(AO27)-4.5397)*IF(_xlfn.XLOOKUP(E27,Groups!A:A,Groups!BB:BB)=1,1.25,IF(_xlfn.XLOOKUP(E27,Groups!A:A,Groups!BC:BC)=1,3.5,2.5))</f>
        <v>2670.7220547406591</v>
      </c>
      <c r="BE27" s="8">
        <f>EXP(1.076*LN(AP27)-4.5397)*IF(_xlfn.XLOOKUP(E27,Groups!A:A,Groups!M:M)=1,0.8,IF(_xlfn.XLOOKUP(E27,Groups!A:A,Groups!BB:BB)=1,1.3,3))</f>
        <v>2317.2898443594122</v>
      </c>
      <c r="BF27" s="8">
        <f>IF(W27="No","No",IF(_xlfn.XLOOKUP(E27,Groups!A:A,Groups!U:U)=1,'Base stats'!BG27,IF(OR(_xlfn.XLOOKUP(E27,Groups!A:A,Groups!BC:BC)=1,_xlfn.XLOOKUP(E27,Groups!A:A,Groups!U:U)=2),BD27,BE27))*1.2)</f>
        <v>3204.8664656887909</v>
      </c>
      <c r="BG27" s="8" t="str">
        <f>IFERROR(EXP(1.076*LN(AQ27)-4.5397)*IF(_xlfn.XLOOKUP(E27,Groups!A:A,Groups!N:N)="Insect",1,IF(OR(_xlfn.XLOOKUP(E27,Groups!A:A,Groups!N:N)="Pig",_xlfn.XLOOKUP(E27,Groups!A:A,Groups!N:N)="StrongBitingHerbivore"),3.5,3.75)),"No")</f>
        <v>No</v>
      </c>
      <c r="BH27" s="8">
        <f t="shared" si="5"/>
        <v>13</v>
      </c>
      <c r="BI27" s="8">
        <f t="shared" si="6"/>
        <v>11</v>
      </c>
      <c r="BJ27" s="8">
        <f>IF(W27="No","No",ROUNDDOWN(SQRT((2*BF27)/AZ27),0))</f>
        <v>15</v>
      </c>
      <c r="BK27" s="8" t="str">
        <f>IF(V27="No","No",ROUNDDOWN(SQRT((2*BG27)/AY27),0))</f>
        <v>No</v>
      </c>
      <c r="BL27" s="8">
        <f t="shared" si="7"/>
        <v>10</v>
      </c>
      <c r="BM27" s="8" cm="1">
        <f t="array" ref="BM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stats'!E27,Groups!A:A,Groups!P:P=0)),"No",IF(U27="No",AVERAGE(EXP(-0.57+0.99*LN(C27)),EXP(0.32+0.67*LN(C27)))/IF(_xlfn.XLOOKUP(E27,Groups!A:A,Groups!AD:AD)=1,10,2),(0.7354*C27^0.4078)*2/IF(_xlfn.XLOOKUP(E27,Groups!A:A,Groups!BJ:BJ)=1,1000,100)))</f>
        <v>894.63427132503762</v>
      </c>
      <c r="BN27" s="8">
        <f>IF(W27="No","No",IF(_xlfn.XLOOKUP(E27,Groups!A:A,Groups!BC:BC)=1,(AL27*5%),EXP(0.7354*LN(C27)^0.4078)*2/IF(_xlfn.XLOOKUP(E27,Groups!A:A,Groups!BK:BK)=1,1000,100)))</f>
        <v>1.1822361841876084E-2</v>
      </c>
      <c r="BO27" s="8" t="str">
        <f>IF(BG27="No","No",IF(_xlfn.XLOOKUP(E27,Groups!A:A,Groups!BE:BE)=1,(0.0315*C27+2.1825)*2,(0.7354*C27^0.4078)*2)/IF(_xlfn.XLOOKUP(E27,Groups!A:A,Groups!BL:BL)=1,1000,100))</f>
        <v>No</v>
      </c>
      <c r="BP27" s="8">
        <f>BD27/(AL27*5%)</f>
        <v>0.16847574944282484</v>
      </c>
      <c r="BQ27" s="8">
        <f t="shared" si="8"/>
        <v>2.5902091152033417</v>
      </c>
      <c r="BR27" s="8">
        <f>IF(W27="No","No",BF27/BN27)</f>
        <v>271085.12736742728</v>
      </c>
      <c r="BS27" s="8" t="str">
        <f t="shared" si="9"/>
        <v>No</v>
      </c>
      <c r="BT27" s="4">
        <v>0</v>
      </c>
      <c r="BU27" s="4">
        <v>1</v>
      </c>
    </row>
    <row r="28" spans="1:73" x14ac:dyDescent="0.25">
      <c r="A28" s="26" t="s">
        <v>169</v>
      </c>
      <c r="B28" s="6" t="s">
        <v>170</v>
      </c>
      <c r="C28" s="7">
        <f>3705.7</f>
        <v>3705.7</v>
      </c>
      <c r="D28" s="7" t="s">
        <v>1187</v>
      </c>
      <c r="E28" s="7" t="str">
        <f>Groups!A53</f>
        <v>Slothlike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538</v>
      </c>
      <c r="L28" s="7">
        <v>26</v>
      </c>
      <c r="M28" s="7" t="s">
        <v>638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_xlfn.XLOOKUP(B28,[1]TeethAdjusters!$A:$A,[1]BiteAdjusters!$C:$C)</f>
        <v>1</v>
      </c>
      <c r="T28" s="7">
        <f>_xlfn.XLOOKUP(B28,[1]TeethAdjusters!$A:$A,[1]TeethAdjusters!$B:$B)</f>
        <v>1</v>
      </c>
      <c r="U28" s="7">
        <f>MROUND(17.78,0.05)</f>
        <v>17.8</v>
      </c>
      <c r="V28" s="7">
        <v>2</v>
      </c>
      <c r="W28" s="7" t="s">
        <v>45</v>
      </c>
      <c r="X28" s="7" t="s">
        <v>945</v>
      </c>
      <c r="Y28" s="4" t="s">
        <v>42</v>
      </c>
      <c r="Z28" s="4">
        <v>0</v>
      </c>
      <c r="AA28" s="4">
        <v>0</v>
      </c>
      <c r="AB28" s="4">
        <v>0</v>
      </c>
      <c r="AC28" s="4" t="s">
        <v>1083</v>
      </c>
      <c r="AD28" s="4" t="s">
        <v>45</v>
      </c>
      <c r="AE28" s="28" t="s">
        <v>391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4" t="s">
        <v>40</v>
      </c>
      <c r="AL28" s="8">
        <f t="shared" si="0"/>
        <v>231786.77140336935</v>
      </c>
      <c r="AM28" s="8">
        <f>IFERROR(C28*_xlfn.XLOOKUP(E28,Groups!A:A,Groups!K:K),0.106*C28^0.94)</f>
        <v>239.90754540941262</v>
      </c>
      <c r="AN28" s="8">
        <f>AM28*10000/(_xlfn.XLOOKUP(E28,Groups!A:A,Groups!J:J)*AL28)</f>
        <v>5.564707188182016</v>
      </c>
      <c r="AO28" s="8">
        <f t="shared" si="1"/>
        <v>56242.608680039491</v>
      </c>
      <c r="AP28" s="8">
        <f>IF(_xlfn.XLOOKUP(E28,Groups!A:A,Groups!M:M)=1,EXP(0.7444*LN('Base stats'!C28)+6.5696),EXP(0.7927*LN('Base stats'!C28)+4.28))</f>
        <v>48733.077238581551</v>
      </c>
      <c r="AQ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"No")))))))))))))))</f>
        <v>20860.831862547027</v>
      </c>
      <c r="AR28" s="8">
        <f>IF(_xlfn.XLOOKUP(E28,Groups!A:A,Groups!U:U)=3,AP28,IF(_xlfn.XLOOKUP(E28,Groups!A:A,Groups!U:U)=2,AO28,AQ28))</f>
        <v>20860.831862547027</v>
      </c>
      <c r="AS28" s="46">
        <f>IFERROR(AVERAGE(_xlfn.XLOOKUP(B28,Animals!B:B,Animals!M:M),_xlfn.XLOOKUP(B28,Animals!B:B,Animals!N:N)),0)</f>
        <v>0.2</v>
      </c>
      <c r="AT28" s="8">
        <f>MROUND(40*Animals!AN28*_xlfn.XLOOKUP(Animals!AZ28,Leathers!$A$2:$A$100,Leathers!$B$2:$B$100,0)+(140*_xlfn.XLOOKUP(B28,Animals!B:B,Animals!AN:AN)*2),5)</f>
        <v>1955</v>
      </c>
      <c r="AU28" s="8">
        <f>IFERROR(ROUND(SQRT(V28-1)*IF(_xlfn.XLOOKUP(E28,Groups!A:A,Groups!BE:BE)=0,2,1)*IF(_xlfn.XLOOKUP('Base stats'!E28,Groups!A:A,Groups!O:O)=0,1,0.1),1),0)</f>
        <v>1</v>
      </c>
      <c r="AV28" s="8">
        <f t="shared" si="2"/>
        <v>4.0999999999999996</v>
      </c>
      <c r="AW28" s="8">
        <f t="shared" si="3"/>
        <v>0</v>
      </c>
      <c r="AX28" s="8">
        <f t="shared" si="4"/>
        <v>15.2</v>
      </c>
      <c r="AY28" s="8">
        <f>IF(_xlfn.XLOOKUP(E28,Groups!A:A,Groups!N:N)="Insect",BA28*2.5,IFERROR(AVERAGE(BA28,AQ28/9.81/IF(OR(_xlfn.XLOOKUP(E28,Groups!A:A,Groups!N:N)="Pig",_xlfn.XLOOKUP(E28,Groups!A:A,Groups!N:N)="StrongBitingHerbivore"),20,25))*C28^-0.135,BA28))</f>
        <v>20.703328788011245</v>
      </c>
      <c r="AZ28" s="8" t="str">
        <f>IF(W28="No","No",IF(_xlfn.XLOOKUP(E28,Groups!A:A,Groups!U:U)=1,'Base stats'!AY28,IF(OR(_xlfn.XLOOKUP(E28,Groups!A:A,Groups!BC:BC)=1,_xlfn.XLOOKUP(E28,Groups!A:A,Groups!U:U)=2),BA28,IF(_xlfn.XLOOKUP(B28,Animals!B:B,Animals!AN:AN)&gt;4,AVERAGE(BA28,BC28),BC28))))</f>
        <v>No</v>
      </c>
      <c r="BA28" s="8">
        <f>(0.0392*C28^IF(OR(Y28="Herbivore",Y28="Dendrovore",Y28="OmnivoreRough"),0.889,0.966))*C28^-0.135</f>
        <v>19.240406405231251</v>
      </c>
      <c r="BB28" s="8">
        <f>IF(_xlfn.XLOOKUP(E28,Groups!A:A,Groups!BD:BD)=1,(0.048*C28^1.01)+(0.071*C28^1.03),0.071*C28^1.03)/IF(_xlfn.XLOOKUP(E28,Groups!A:A,Groups!M:M)=1,0.85,IF(OR(_xlfn.XLOOKUP(B28,Animals!B:B,Animals!AN:AN)&gt;4,_xlfn.XLOOKUP(E28,Groups!A:A,Groups!BB:BB)=1),1.7,1))*C28^-0.25</f>
        <v>25.382139589706725</v>
      </c>
      <c r="BC28" s="8">
        <f>(0.048*C28^1.01)/IF(_xlfn.XLOOKUP(E28,Groups!A:A,Groups!M:M)=1,0.25,0.8)*C28^-0.25</f>
        <v>30.938029276063094</v>
      </c>
      <c r="BD28" s="8">
        <f>EXP(1.076*LN(AO28)-4.5397)*IF(_xlfn.XLOOKUP(E28,Groups!A:A,Groups!BB:BB)=1,1.25,IF(_xlfn.XLOOKUP(E28,Groups!A:A,Groups!BC:BC)=1,3.5,2.5))</f>
        <v>1723.5099079485713</v>
      </c>
      <c r="BE28" s="8">
        <f>EXP(1.076*LN(AP28)-4.5397)*IF(_xlfn.XLOOKUP(E28,Groups!A:A,Groups!M:M)=1,0.8,IF(_xlfn.XLOOKUP(E28,Groups!A:A,Groups!BB:BB)=1,1.3,3))</f>
        <v>1536.2968496689477</v>
      </c>
      <c r="BF28" s="8" t="str">
        <f>IF(W28="No","No",IF(_xlfn.XLOOKUP(E28,Groups!A:A,Groups!U:U)=1,'Base stats'!BG28,IF(OR(_xlfn.XLOOKUP(E28,Groups!A:A,Groups!BC:BC)=1,_xlfn.XLOOKUP(E28,Groups!A:A,Groups!U:U)=2),BD28,BE28))*1.2)</f>
        <v>No</v>
      </c>
      <c r="BG28" s="8">
        <f>IFERROR(EXP(1.076*LN(AQ28)-4.5397)*IF(_xlfn.XLOOKUP(E28,Groups!A:A,Groups!N:N)="Insect",1,IF(OR(_xlfn.XLOOKUP(E28,Groups!A:A,Groups!N:N)="Pig",_xlfn.XLOOKUP(E28,Groups!A:A,Groups!N:N)="StrongBitingHerbivore"),3.5,3.75)),"No")</f>
        <v>1659.9775359153502</v>
      </c>
      <c r="BH28" s="8">
        <f t="shared" si="5"/>
        <v>13</v>
      </c>
      <c r="BI28" s="8">
        <f t="shared" si="6"/>
        <v>11</v>
      </c>
      <c r="BJ28" s="8" t="str">
        <f>IF(W28="No","No",ROUNDDOWN(SQRT((2*BF28)/AZ28),0))</f>
        <v>No</v>
      </c>
      <c r="BK28" s="8">
        <f>IF(V28="No","No",ROUNDDOWN(SQRT((2*BG28)/AY28),0))</f>
        <v>12</v>
      </c>
      <c r="BL28" s="8">
        <f t="shared" si="7"/>
        <v>9</v>
      </c>
      <c r="BM28" s="8" cm="1">
        <f t="array" ref="BM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stats'!E28,Groups!A:A,Groups!P:P=0)),"No",IF(U28="No",AVERAGE(EXP(-0.57+0.99*LN(C28)),EXP(0.32+0.67*LN(C28)))/IF(_xlfn.XLOOKUP(E28,Groups!A:A,Groups!AD:AD)=1,10,2),(0.7354*C28^0.4078)*2/IF(_xlfn.XLOOKUP(E28,Groups!A:A,Groups!BJ:BJ)=1,1000,100)))</f>
        <v>0.41969994491094548</v>
      </c>
      <c r="BN28" s="8" t="str">
        <f>IF(W28="No","No",IF(_xlfn.XLOOKUP(E28,Groups!A:A,Groups!BC:BC)=1,(AL28*5%),EXP(0.7354*LN(C28)^0.4078)*2/IF(_xlfn.XLOOKUP(E28,Groups!A:A,Groups!BK:BK)=1,1000,100)))</f>
        <v>No</v>
      </c>
      <c r="BO28" s="8">
        <f>IF(BG28="No","No",IF(_xlfn.XLOOKUP(E28,Groups!A:A,Groups!BE:BE)=1,(0.0315*C28+2.1825)*2,(0.7354*C28^0.4078)*2)/IF(_xlfn.XLOOKUP(E28,Groups!A:A,Groups!BL:BL)=1,1000,100))</f>
        <v>2.378241</v>
      </c>
      <c r="BP28" s="8">
        <f>BD28/(AL28*5%)</f>
        <v>0.14871512274091045</v>
      </c>
      <c r="BQ28" s="8">
        <f t="shared" si="8"/>
        <v>3660.4647398629722</v>
      </c>
      <c r="BR28" s="8" t="str">
        <f>IF(W28="No","No",BF28/BN28)</f>
        <v>No</v>
      </c>
      <c r="BS28" s="8">
        <f t="shared" si="9"/>
        <v>697.98541691752439</v>
      </c>
      <c r="BT28" s="4">
        <v>0</v>
      </c>
      <c r="BU28" s="4">
        <v>1</v>
      </c>
    </row>
    <row r="29" spans="1:73" x14ac:dyDescent="0.25">
      <c r="A29" s="26" t="s">
        <v>107</v>
      </c>
      <c r="B29" s="6" t="s">
        <v>108</v>
      </c>
      <c r="C29" s="7">
        <v>150</v>
      </c>
      <c r="D29" s="7" t="s">
        <v>1195</v>
      </c>
      <c r="E29" s="7" t="str">
        <f>Groups!A35</f>
        <v>TuskedPiglike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529</v>
      </c>
      <c r="L29" s="7">
        <f>AVERAGE(5.83,4.56)*3.6*(23.3/11)</f>
        <v>39.614236363636365</v>
      </c>
      <c r="M29" s="7" t="s">
        <v>642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_xlfn.XLOOKUP(B29,[1]TeethAdjusters!$A:$A,[1]BiteAdjusters!$C:$C)</f>
        <v>1.1263193361005157</v>
      </c>
      <c r="T29" s="7">
        <f>_xlfn.XLOOKUP(B29,[1]TeethAdjusters!$A:$A,[1]TeethAdjusters!$B:$B)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977</v>
      </c>
      <c r="Y29" s="4" t="s">
        <v>1023</v>
      </c>
      <c r="Z29" s="4">
        <v>0</v>
      </c>
      <c r="AA29" s="4">
        <v>0</v>
      </c>
      <c r="AB29" s="4">
        <v>0</v>
      </c>
      <c r="AC29" s="4" t="s">
        <v>45</v>
      </c>
      <c r="AD29" s="4" t="s">
        <v>407</v>
      </c>
      <c r="AE29" s="28" t="s">
        <v>400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4" t="s">
        <v>40</v>
      </c>
      <c r="AL29" s="8">
        <f t="shared" si="0"/>
        <v>28825.861601687579</v>
      </c>
      <c r="AM29" s="8">
        <f>IFERROR(C29*_xlfn.XLOOKUP(E29,Groups!A:A,Groups!K:K),0.106*C29^0.94)</f>
        <v>11.771495712556113</v>
      </c>
      <c r="AN29" s="8">
        <f>AM29*10000/(_xlfn.XLOOKUP(E29,Groups!A:A,Groups!J:J)*AL29)</f>
        <v>3.7464751271603496</v>
      </c>
      <c r="AO29" s="8">
        <f t="shared" si="1"/>
        <v>3746.1489061563307</v>
      </c>
      <c r="AP29" s="8">
        <f>IF(_xlfn.XLOOKUP(E29,Groups!A:A,Groups!M:M)=1,EXP(0.7444*LN('Base stats'!C29)+6.5696),EXP(0.7927*LN('Base stats'!C29)+4.28))</f>
        <v>3835.0225645496203</v>
      </c>
      <c r="AQ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"No")))))))))))))))</f>
        <v>5967.077582533263</v>
      </c>
      <c r="AR29" s="8">
        <f>IF(_xlfn.XLOOKUP(E29,Groups!A:A,Groups!U:U)=3,AP29,IF(_xlfn.XLOOKUP(E29,Groups!A:A,Groups!U:U)=2,AO29,AQ29))</f>
        <v>5967.077582533263</v>
      </c>
      <c r="AS29" s="46">
        <f>IFERROR(AVERAGE(_xlfn.XLOOKUP(B29,Animals!B:B,Animals!M:M),_xlfn.XLOOKUP(B29,Animals!B:B,Animals!N:N)),0)</f>
        <v>0</v>
      </c>
      <c r="AT29" s="8">
        <f>MROUND(40*Animals!AN29*_xlfn.XLOOKUP(Animals!AZ29,Leathers!$A$2:$A$100,Leathers!$B$2:$B$100,0)+(140*_xlfn.XLOOKUP(B29,Animals!B:B,Animals!AN:AN)*2),5)</f>
        <v>535</v>
      </c>
      <c r="AU29" s="8">
        <f>IFERROR(ROUND(SQRT(V29-1)*IF(_xlfn.XLOOKUP(E29,Groups!A:A,Groups!BE:BE)=0,2,1)*IF(_xlfn.XLOOKUP('Base stats'!E29,Groups!A:A,Groups!O:O)=0,1,0.1),1),0)</f>
        <v>5.9</v>
      </c>
      <c r="AV29" s="8">
        <f t="shared" si="2"/>
        <v>0</v>
      </c>
      <c r="AW29" s="8">
        <f t="shared" si="3"/>
        <v>4.0999999999999996</v>
      </c>
      <c r="AX29" s="8">
        <f t="shared" si="4"/>
        <v>4.8</v>
      </c>
      <c r="AY29" s="8">
        <f>IF(_xlfn.XLOOKUP(E29,Groups!A:A,Groups!N:N)="Insect",BA29*2.5,IFERROR(AVERAGE(BA29,AQ29/9.81/IF(OR(_xlfn.XLOOKUP(E29,Groups!A:A,Groups!N:N)="Pig",_xlfn.XLOOKUP(E29,Groups!A:A,Groups!N:N)="StrongBitingHerbivore"),20,25))*C29^-0.135,BA29))</f>
        <v>8.1672088007480177</v>
      </c>
      <c r="AZ29" s="8">
        <f>IF(W29="No","No",IF(_xlfn.XLOOKUP(E29,Groups!A:A,Groups!U:U)=1,'Base stats'!AY29,IF(OR(_xlfn.XLOOKUP(E29,Groups!A:A,Groups!BC:BC)=1,_xlfn.XLOOKUP(E29,Groups!A:A,Groups!U:U)=2),BA29,IF(_xlfn.XLOOKUP(B29,Animals!B:B,Animals!AN:AN)&gt;4,AVERAGE(BA29,BC29),BC29))))</f>
        <v>8.1672088007480177</v>
      </c>
      <c r="BA29" s="8">
        <f>(0.0392*C29^IF(OR(Y29="Herbivore",Y29="Dendrovore",Y29="OmnivoreRough"),0.889,0.966))*C29^-0.135</f>
        <v>1.7141896806845596</v>
      </c>
      <c r="BB29" s="8">
        <f>IF(_xlfn.XLOOKUP(E29,Groups!A:A,Groups!BD:BD)=1,(0.048*C29^1.01)+(0.071*C29^1.03),0.071*C29^1.03)/IF(_xlfn.XLOOKUP(E29,Groups!A:A,Groups!M:M)=1,0.85,IF(OR(_xlfn.XLOOKUP(B29,Animals!B:B,Animals!AN:AN)&gt;4,_xlfn.XLOOKUP(E29,Groups!A:A,Groups!BB:BB)=1),1.7,1))*C29^-0.25</f>
        <v>3.5367920914565221</v>
      </c>
      <c r="BC29" s="8">
        <f>(0.048*C29^1.01)/IF(_xlfn.XLOOKUP(E29,Groups!A:A,Groups!M:M)=1,0.25,0.8)*C29^-0.25</f>
        <v>2.7038376258152188</v>
      </c>
      <c r="BD29" s="8">
        <f>EXP(1.076*LN(AO29)-4.5397)*IF(_xlfn.XLOOKUP(E29,Groups!A:A,Groups!BB:BB)=1,1.25,IF(_xlfn.XLOOKUP(E29,Groups!A:A,Groups!BC:BC)=1,3.5,2.5))</f>
        <v>186.87484615605439</v>
      </c>
      <c r="BE29" s="8">
        <f>EXP(1.076*LN(AP29)-4.5397)*IF(_xlfn.XLOOKUP(E29,Groups!A:A,Groups!M:M)=1,0.8,IF(_xlfn.XLOOKUP(E29,Groups!A:A,Groups!BB:BB)=1,1.3,3))</f>
        <v>229.97937056804284</v>
      </c>
      <c r="BF29" s="8">
        <f>IF(W29="No","No",IF(_xlfn.XLOOKUP(E29,Groups!A:A,Groups!U:U)=1,'Base stats'!BG29,IF(OR(_xlfn.XLOOKUP(E29,Groups!A:A,Groups!BC:BC)=1,_xlfn.XLOOKUP(E29,Groups!A:A,Groups!U:U)=2),BD29,BE29))*1.2)</f>
        <v>518.08641358132127</v>
      </c>
      <c r="BG29" s="8">
        <f>IFERROR(EXP(1.076*LN(AQ29)-4.5397)*IF(_xlfn.XLOOKUP(E29,Groups!A:A,Groups!N:N)="Insect",1,IF(OR(_xlfn.XLOOKUP(E29,Groups!A:A,Groups!N:N)="Pig",_xlfn.XLOOKUP(E29,Groups!A:A,Groups!N:N)="StrongBitingHerbivore"),3.5,3.75)),"No")</f>
        <v>431.73867798443439</v>
      </c>
      <c r="BH29" s="8">
        <f t="shared" si="5"/>
        <v>14</v>
      </c>
      <c r="BI29" s="8">
        <f t="shared" si="6"/>
        <v>11</v>
      </c>
      <c r="BJ29" s="8">
        <f>IF(W29="No","No",ROUNDDOWN(SQRT((2*BF29)/AZ29),0))</f>
        <v>11</v>
      </c>
      <c r="BK29" s="8">
        <f>IF(V29="No","No",ROUNDDOWN(SQRT((2*BG29)/AY29),0))</f>
        <v>10</v>
      </c>
      <c r="BL29" s="8">
        <f t="shared" si="7"/>
        <v>13</v>
      </c>
      <c r="BM29" s="8" t="str" cm="1">
        <f t="array" ref="BM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stats'!E29,Groups!A:A,Groups!P:P=0)),"No",IF(U29="No",AVERAGE(EXP(-0.57+0.99*LN(C29)),EXP(0.32+0.67*LN(C29)))/IF(_xlfn.XLOOKUP(E29,Groups!A:A,Groups!AD:AD)=1,10,2),(0.7354*C29^0.4078)*2/IF(_xlfn.XLOOKUP(E29,Groups!A:A,Groups!BJ:BJ)=1,1000,100)))</f>
        <v>No</v>
      </c>
      <c r="BN29" s="8">
        <f>IF(W29="No","No",IF(_xlfn.XLOOKUP(E29,Groups!A:A,Groups!BC:BC)=1,(AL29*5%),EXP(0.7354*LN(C29)^0.4078)*2/IF(_xlfn.XLOOKUP(E29,Groups!A:A,Groups!BK:BK)=1,1000,100)))</f>
        <v>8.2648233730893056E-2</v>
      </c>
      <c r="BO29" s="8">
        <f>IF(BG29="No","No",IF(_xlfn.XLOOKUP(E29,Groups!A:A,Groups!BE:BE)=1,(0.0315*C29+2.1825)*2,(0.7354*C29^0.4078)*2)/IF(_xlfn.XLOOKUP(E29,Groups!A:A,Groups!BL:BL)=1,1000,100))</f>
        <v>0.11349157855001941</v>
      </c>
      <c r="BP29" s="8">
        <f>BD29/(AL29*5%)</f>
        <v>0.12965776963635597</v>
      </c>
      <c r="BQ29" s="8" t="str">
        <f t="shared" si="8"/>
        <v>No</v>
      </c>
      <c r="BR29" s="8">
        <f>IF(W29="No","No",BF29/BN29)</f>
        <v>6268.5721181681574</v>
      </c>
      <c r="BS29" s="8">
        <f t="shared" si="9"/>
        <v>3804.1472636152748</v>
      </c>
      <c r="BT29" s="4">
        <v>0</v>
      </c>
      <c r="BU29" s="4">
        <v>1</v>
      </c>
    </row>
    <row r="30" spans="1:73" x14ac:dyDescent="0.25">
      <c r="A30" s="26" t="s">
        <v>110</v>
      </c>
      <c r="B30" s="6" t="s">
        <v>543</v>
      </c>
      <c r="C30" s="7">
        <f>AVERAGE(323,244)</f>
        <v>283.5</v>
      </c>
      <c r="D30" s="7" t="s">
        <v>1196</v>
      </c>
      <c r="E30" s="7" t="str">
        <f>Groups!A37</f>
        <v>Piglike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544</v>
      </c>
      <c r="L30" s="7">
        <f>AVERAGE(5.83,4.56)*3.6*(23.3/11)</f>
        <v>39.614236363636365</v>
      </c>
      <c r="M30" s="7" t="s">
        <v>642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_xlfn.XLOOKUP(B30,[1]TeethAdjusters!$A:$A,[1]BiteAdjusters!$C:$C)</f>
        <v>0.97083004636870796</v>
      </c>
      <c r="T30" s="7">
        <f>_xlfn.XLOOKUP(B30,[1]TeethAdjusters!$A:$A,[1]TeethAdjusters!$B:$B)</f>
        <v>1</v>
      </c>
      <c r="U30" s="7" t="s">
        <v>45</v>
      </c>
      <c r="V30" s="7">
        <f>V29/2</f>
        <v>4.875</v>
      </c>
      <c r="W30" s="7" t="s">
        <v>45</v>
      </c>
      <c r="X30" s="7" t="s">
        <v>945</v>
      </c>
      <c r="Y30" s="4" t="s">
        <v>1023</v>
      </c>
      <c r="Z30" s="4">
        <v>0</v>
      </c>
      <c r="AA30" s="4">
        <v>0</v>
      </c>
      <c r="AB30" s="4">
        <v>0</v>
      </c>
      <c r="AC30" s="4" t="s">
        <v>45</v>
      </c>
      <c r="AD30" s="4" t="s">
        <v>407</v>
      </c>
      <c r="AE30" s="28" t="s">
        <v>400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4" t="s">
        <v>40</v>
      </c>
      <c r="AL30" s="8">
        <f t="shared" si="0"/>
        <v>43599.596485102418</v>
      </c>
      <c r="AM30" s="8">
        <f>IFERROR(C30*_xlfn.XLOOKUP(E30,Groups!A:A,Groups!K:K),0.106*C30^0.94)</f>
        <v>21.414391819217006</v>
      </c>
      <c r="AN30" s="8">
        <f>AM30*10000/(_xlfn.XLOOKUP(E30,Groups!A:A,Groups!J:J)*AL30)</f>
        <v>4.5060579937976097</v>
      </c>
      <c r="AO30" s="8">
        <f t="shared" si="1"/>
        <v>6413.7543497019997</v>
      </c>
      <c r="AP30" s="8">
        <f>IF(_xlfn.XLOOKUP(E30,Groups!A:A,Groups!M:M)=1,EXP(0.7444*LN('Base stats'!C30)+6.5696),EXP(0.7927*LN('Base stats'!C30)+4.28))</f>
        <v>6352.1273405073698</v>
      </c>
      <c r="AQ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"No")))))))))))))))</f>
        <v>6402.0427215268337</v>
      </c>
      <c r="AR30" s="8">
        <f>IF(_xlfn.XLOOKUP(E30,Groups!A:A,Groups!U:U)=3,AP30,IF(_xlfn.XLOOKUP(E30,Groups!A:A,Groups!U:U)=2,AO30,AQ30))</f>
        <v>6402.0427215268337</v>
      </c>
      <c r="AS30" s="46">
        <f>IFERROR(AVERAGE(_xlfn.XLOOKUP(B30,Animals!B:B,Animals!M:M),_xlfn.XLOOKUP(B30,Animals!B:B,Animals!N:N)),0)</f>
        <v>0</v>
      </c>
      <c r="AT30" s="8">
        <f>MROUND(40*Animals!AN30*_xlfn.XLOOKUP(Animals!AZ30,Leathers!$A$2:$A$100,Leathers!$B$2:$B$100,0)+(140*_xlfn.XLOOKUP(B30,Animals!B:B,Animals!AN:AN)*2),5)</f>
        <v>800</v>
      </c>
      <c r="AU30" s="8">
        <f>IFERROR(ROUND(SQRT(V30-1)*IF(_xlfn.XLOOKUP(E30,Groups!A:A,Groups!BE:BE)=0,2,1)*IF(_xlfn.XLOOKUP('Base stats'!E30,Groups!A:A,Groups!O:O)=0,1,0.1),1),0)</f>
        <v>2</v>
      </c>
      <c r="AV30" s="8">
        <f t="shared" si="2"/>
        <v>0</v>
      </c>
      <c r="AW30" s="8">
        <f t="shared" si="3"/>
        <v>0</v>
      </c>
      <c r="AX30" s="8">
        <f t="shared" si="4"/>
        <v>6.1</v>
      </c>
      <c r="AY30" s="8">
        <f>IF(_xlfn.XLOOKUP(E30,Groups!A:A,Groups!N:N)="Insect",BA30*2.5,IFERROR(AVERAGE(BA30,AQ30/9.81/IF(OR(_xlfn.XLOOKUP(E30,Groups!A:A,Groups!N:N)="Pig",_xlfn.XLOOKUP(E30,Groups!A:A,Groups!N:N)="StrongBitingHerbivore"),20,25))*C30^-0.135,BA30))</f>
        <v>8.2581610620129826</v>
      </c>
      <c r="AZ30" s="8" t="str">
        <f>IF(W30="No","No",IF(_xlfn.XLOOKUP(E30,Groups!A:A,Groups!U:U)=1,'Base stats'!AY30,IF(OR(_xlfn.XLOOKUP(E30,Groups!A:A,Groups!BC:BC)=1,_xlfn.XLOOKUP(E30,Groups!A:A,Groups!U:U)=2),BA30,IF(_xlfn.XLOOKUP(B30,Animals!B:B,Animals!AN:AN)&gt;4,AVERAGE(BA30,BC30),BC30))))</f>
        <v>No</v>
      </c>
      <c r="BA30" s="8">
        <f>(0.0392*C30^IF(OR(Y30="Herbivore",Y30="Dendrovore",Y30="OmnivoreRough"),0.889,0.966))*C30^-0.135</f>
        <v>2.7701996922971297</v>
      </c>
      <c r="BB30" s="8">
        <f>IF(_xlfn.XLOOKUP(E30,Groups!A:A,Groups!BD:BD)=1,(0.048*C30^1.01)+(0.071*C30^1.03),0.071*C30^1.03)/IF(_xlfn.XLOOKUP(E30,Groups!A:A,Groups!M:M)=1,0.85,IF(OR(_xlfn.XLOOKUP(B30,Animals!B:B,Animals!AN:AN)&gt;4,_xlfn.XLOOKUP(E30,Groups!A:A,Groups!BB:BB)=1),1.7,1))*C30^-0.25</f>
        <v>5.8109847812265114</v>
      </c>
      <c r="BC30" s="8">
        <f>(0.048*C30^1.01)/IF(_xlfn.XLOOKUP(E30,Groups!A:A,Groups!M:M)=1,0.25,0.8)*C30^-0.25</f>
        <v>4.3862317924166936</v>
      </c>
      <c r="BD30" s="8">
        <f>EXP(1.076*LN(AO30)-4.5397)*IF(_xlfn.XLOOKUP(E30,Groups!A:A,Groups!BB:BB)=1,1.25,IF(_xlfn.XLOOKUP(E30,Groups!A:A,Groups!BC:BC)=1,3.5,2.5))</f>
        <v>333.29301181006872</v>
      </c>
      <c r="BE30" s="8">
        <f>EXP(1.076*LN(AP30)-4.5397)*IF(_xlfn.XLOOKUP(E30,Groups!A:A,Groups!M:M)=1,0.8,IF(_xlfn.XLOOKUP(E30,Groups!A:A,Groups!BB:BB)=1,1.3,3))</f>
        <v>395.81810008560649</v>
      </c>
      <c r="BF30" s="8" t="str">
        <f>IF(W30="No","No",IF(_xlfn.XLOOKUP(E30,Groups!A:A,Groups!U:U)=1,'Base stats'!BG30,IF(OR(_xlfn.XLOOKUP(E30,Groups!A:A,Groups!BC:BC)=1,_xlfn.XLOOKUP(E30,Groups!A:A,Groups!U:U)=2),BD30,BE30))*1.2)</f>
        <v>No</v>
      </c>
      <c r="BG30" s="8">
        <f>IFERROR(EXP(1.076*LN(AQ30)-4.5397)*IF(_xlfn.XLOOKUP(E30,Groups!A:A,Groups!N:N)="Insect",1,IF(OR(_xlfn.XLOOKUP(E30,Groups!A:A,Groups!N:N)="Pig",_xlfn.XLOOKUP(E30,Groups!A:A,Groups!N:N)="StrongBitingHerbivore"),3.5,3.75)),"No")</f>
        <v>465.69348680539872</v>
      </c>
      <c r="BH30" s="8">
        <f t="shared" si="5"/>
        <v>15</v>
      </c>
      <c r="BI30" s="8">
        <f t="shared" si="6"/>
        <v>11</v>
      </c>
      <c r="BJ30" s="8" t="str">
        <f>IF(W30="No","No",ROUNDDOWN(SQRT((2*BF30)/AZ30),0))</f>
        <v>No</v>
      </c>
      <c r="BK30" s="8">
        <f>IF(V30="No","No",ROUNDDOWN(SQRT((2*BG30)/AY30),0))</f>
        <v>10</v>
      </c>
      <c r="BL30" s="8">
        <f t="shared" si="7"/>
        <v>13</v>
      </c>
      <c r="BM30" s="8" t="str" cm="1">
        <f t="array" ref="BM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stats'!E30,Groups!A:A,Groups!P:P=0)),"No",IF(U30="No",AVERAGE(EXP(-0.57+0.99*LN(C30)),EXP(0.32+0.67*LN(C30)))/IF(_xlfn.XLOOKUP(E30,Groups!A:A,Groups!AD:AD)=1,10,2),(0.7354*C30^0.4078)*2/IF(_xlfn.XLOOKUP(E30,Groups!A:A,Groups!BJ:BJ)=1,1000,100)))</f>
        <v>No</v>
      </c>
      <c r="BN30" s="8" t="str">
        <f>IF(W30="No","No",IF(_xlfn.XLOOKUP(E30,Groups!A:A,Groups!BC:BC)=1,(AL30*5%),EXP(0.7354*LN(C30)^0.4078)*2/IF(_xlfn.XLOOKUP(E30,Groups!A:A,Groups!BK:BK)=1,1000,100)))</f>
        <v>No</v>
      </c>
      <c r="BO30" s="8">
        <f>IF(BG30="No","No",IF(_xlfn.XLOOKUP(E30,Groups!A:A,Groups!BE:BE)=1,(0.0315*C30+2.1825)*2,(0.7354*C30^0.4078)*2)/IF(_xlfn.XLOOKUP(E30,Groups!A:A,Groups!BL:BL)=1,1000,100))</f>
        <v>0.22225500000000004</v>
      </c>
      <c r="BP30" s="8">
        <f>BD30/(AL30*5%)</f>
        <v>0.15288811763381888</v>
      </c>
      <c r="BQ30" s="8" t="str">
        <f t="shared" si="8"/>
        <v>No</v>
      </c>
      <c r="BR30" s="8" t="str">
        <f>IF(W30="No","No",BF30/BN30)</f>
        <v>No</v>
      </c>
      <c r="BS30" s="8">
        <f t="shared" si="9"/>
        <v>2095.3116321585503</v>
      </c>
      <c r="BT30" s="4">
        <v>0</v>
      </c>
      <c r="BU30" s="4">
        <v>0.75</v>
      </c>
    </row>
    <row r="31" spans="1:73" x14ac:dyDescent="0.25">
      <c r="A31" s="26" t="s">
        <v>116</v>
      </c>
      <c r="B31" s="6" t="s">
        <v>271</v>
      </c>
      <c r="C31" s="7">
        <f>AVERAGE(7.7,5.34)</f>
        <v>6.52</v>
      </c>
      <c r="D31" s="7" t="s">
        <v>1197</v>
      </c>
      <c r="E31" s="7" t="str">
        <f>Groups!A42</f>
        <v>Primate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530</v>
      </c>
      <c r="L31" s="7">
        <f>MIN(23.6*C31^0.165,23.3*C31^0.225)</f>
        <v>32.156061919515352</v>
      </c>
      <c r="M31" s="7" t="s">
        <v>638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_xlfn.XLOOKUP(B31,[1]TeethAdjusters!$A:$A,[1]BiteAdjusters!$C:$C)</f>
        <v>2.3599119779468505</v>
      </c>
      <c r="T31" s="7">
        <f>_xlfn.XLOOKUP(B31,[1]TeethAdjusters!$A:$A,[1]TeethAdjusters!$B:$B)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945</v>
      </c>
      <c r="Y31" s="4" t="s">
        <v>1023</v>
      </c>
      <c r="Z31" s="4">
        <v>0</v>
      </c>
      <c r="AA31" s="4">
        <v>0</v>
      </c>
      <c r="AB31" s="4">
        <v>0</v>
      </c>
      <c r="AC31" s="4" t="s">
        <v>45</v>
      </c>
      <c r="AD31" s="4" t="s">
        <v>410</v>
      </c>
      <c r="AE31" s="28" t="s">
        <v>394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4" t="s">
        <v>40</v>
      </c>
      <c r="AL31" s="8">
        <f t="shared" si="0"/>
        <v>3754.7749863702252</v>
      </c>
      <c r="AM31" s="8">
        <f>IFERROR(C31*_xlfn.XLOOKUP(E31,Groups!A:A,Groups!K:K),0.106*C31^0.94)</f>
        <v>0.61758765354825385</v>
      </c>
      <c r="AN31" s="8">
        <f>AM31*10000/(_xlfn.XLOOKUP(E31,Groups!A:A,Groups!J:J)*AL31)</f>
        <v>1.5089963569692815</v>
      </c>
      <c r="AO31" s="8">
        <f t="shared" si="1"/>
        <v>264.99378830560971</v>
      </c>
      <c r="AP31" s="8">
        <f>IF(_xlfn.XLOOKUP(E31,Groups!A:A,Groups!M:M)=1,EXP(0.7444*LN('Base stats'!C31)+6.5696),EXP(0.7927*LN('Base stats'!C31)+4.28))</f>
        <v>319.32612558354168</v>
      </c>
      <c r="AQ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"No")))))))))))))))</f>
        <v>337.9636156425434</v>
      </c>
      <c r="AR31" s="8">
        <f>IF(_xlfn.XLOOKUP(E31,Groups!A:A,Groups!U:U)=3,AP31,IF(_xlfn.XLOOKUP(E31,Groups!A:A,Groups!U:U)=2,AO31,AQ31))</f>
        <v>337.9636156425434</v>
      </c>
      <c r="AS31" s="46">
        <f>IFERROR(AVERAGE(_xlfn.XLOOKUP(B31,Animals!B:B,Animals!M:M),_xlfn.XLOOKUP(B31,Animals!B:B,Animals!N:N)),0)</f>
        <v>0</v>
      </c>
      <c r="AT31" s="8">
        <f>MROUND(40*Animals!AN31*_xlfn.XLOOKUP(Animals!AZ31,Leathers!$A$2:$A$100,Leathers!$B$2:$B$100,0)+(140*_xlfn.XLOOKUP(B31,Animals!B:B,Animals!AN:AN)*2),5)</f>
        <v>125</v>
      </c>
      <c r="AU31" s="8">
        <f>IFERROR(ROUND(SQRT(V31-1)*IF(_xlfn.XLOOKUP(E31,Groups!A:A,Groups!BE:BE)=0,2,1)*IF(_xlfn.XLOOKUP('Base stats'!E31,Groups!A:A,Groups!O:O)=0,1,0.1),1),0)</f>
        <v>1.7</v>
      </c>
      <c r="AV31" s="8">
        <f t="shared" si="2"/>
        <v>0</v>
      </c>
      <c r="AW31" s="8">
        <f t="shared" si="3"/>
        <v>0</v>
      </c>
      <c r="AX31" s="8">
        <f t="shared" si="4"/>
        <v>1.2</v>
      </c>
      <c r="AY31" s="8">
        <f>IF(_xlfn.XLOOKUP(E31,Groups!A:A,Groups!N:N)="Insect",BA31*2.5,IFERROR(AVERAGE(BA31,AQ31/9.81/IF(OR(_xlfn.XLOOKUP(E31,Groups!A:A,Groups!N:N)="Pig",_xlfn.XLOOKUP(E31,Groups!A:A,Groups!N:N)="StrongBitingHerbivore"),20,25))*C31^-0.135,BA31))</f>
        <v>0.59749991840360062</v>
      </c>
      <c r="AZ31" s="8" t="str">
        <f>IF(W31="No","No",IF(_xlfn.XLOOKUP(E31,Groups!A:A,Groups!U:U)=1,'Base stats'!AY31,IF(OR(_xlfn.XLOOKUP(E31,Groups!A:A,Groups!BC:BC)=1,_xlfn.XLOOKUP(E31,Groups!A:A,Groups!U:U)=2),BA31,IF(_xlfn.XLOOKUP(B31,Animals!B:B,Animals!AN:AN)&gt;4,AVERAGE(BA31,BC31),BC31))))</f>
        <v>No</v>
      </c>
      <c r="BA31" s="8">
        <f>(0.0392*C31^IF(OR(Y31="Herbivore",Y31="Dendrovore",Y31="OmnivoreRough"),0.889,0.966))*C31^-0.135</f>
        <v>0.16114942276054864</v>
      </c>
      <c r="BB31" s="8">
        <f>IF(_xlfn.XLOOKUP(E31,Groups!A:A,Groups!BD:BD)=1,(0.048*C31^1.01)+(0.071*C31^1.03),0.071*C31^1.03)/IF(_xlfn.XLOOKUP(E31,Groups!A:A,Groups!M:M)=1,0.85,IF(OR(_xlfn.XLOOKUP(B31,Animals!B:B,Animals!AN:AN)&gt;4,_xlfn.XLOOKUP(E31,Groups!A:A,Groups!BB:BB)=1),1.7,1))*C31^-0.25</f>
        <v>0.30645836017473316</v>
      </c>
      <c r="BC31" s="8">
        <f>(0.048*C31^1.01)/IF(_xlfn.XLOOKUP(E31,Groups!A:A,Groups!M:M)=1,0.25,0.8)*C31^-0.25</f>
        <v>0.24944765359163026</v>
      </c>
      <c r="BD31" s="8">
        <f>EXP(1.076*LN(AO31)-4.5397)*IF(_xlfn.XLOOKUP(E31,Groups!A:A,Groups!BB:BB)=1,1.25,IF(_xlfn.XLOOKUP(E31,Groups!A:A,Groups!BC:BC)=1,3.5,2.5))</f>
        <v>10.808737150824603</v>
      </c>
      <c r="BE31" s="8">
        <f>EXP(1.076*LN(AP31)-4.5397)*IF(_xlfn.XLOOKUP(E31,Groups!A:A,Groups!M:M)=1,0.8,IF(_xlfn.XLOOKUP(E31,Groups!A:A,Groups!BB:BB)=1,1.3,3))</f>
        <v>15.852978303072906</v>
      </c>
      <c r="BF31" s="8" t="str">
        <f>IF(W31="No","No",IF(_xlfn.XLOOKUP(E31,Groups!A:A,Groups!U:U)=1,'Base stats'!BG31,IF(OR(_xlfn.XLOOKUP(E31,Groups!A:A,Groups!BC:BC)=1,_xlfn.XLOOKUP(E31,Groups!A:A,Groups!U:U)=2),BD31,BE31))*1.2)</f>
        <v>No</v>
      </c>
      <c r="BG31" s="8">
        <f>IFERROR(EXP(1.076*LN(AQ31)-4.5397)*IF(_xlfn.XLOOKUP(E31,Groups!A:A,Groups!N:N)="Insect",1,IF(OR(_xlfn.XLOOKUP(E31,Groups!A:A,Groups!N:N)="Pig",_xlfn.XLOOKUP(E31,Groups!A:A,Groups!N:N)="StrongBitingHerbivore"),3.5,3.75)),"No")</f>
        <v>21.063409541539592</v>
      </c>
      <c r="BH31" s="8">
        <f t="shared" si="5"/>
        <v>11</v>
      </c>
      <c r="BI31" s="8">
        <f t="shared" si="6"/>
        <v>10</v>
      </c>
      <c r="BJ31" s="8" t="str">
        <f>IF(W31="No","No",ROUNDDOWN(SQRT((2*BF31)/AZ31),0))</f>
        <v>No</v>
      </c>
      <c r="BK31" s="8">
        <f>IF(V31="No","No",ROUNDDOWN(SQRT((2*BG31)/AY31),0))</f>
        <v>8</v>
      </c>
      <c r="BL31" s="8">
        <f t="shared" si="7"/>
        <v>11</v>
      </c>
      <c r="BM31" s="8" cm="1">
        <f t="array" ref="BM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stats'!E31,Groups!A:A,Groups!P:P=0)),"No",IF(U31="No",AVERAGE(EXP(-0.57+0.99*LN(C31)),EXP(0.32+0.67*LN(C31)))/IF(_xlfn.XLOOKUP(E31,Groups!A:A,Groups!AD:AD)=1,10,2),(0.7354*C31^0.4078)*2/IF(_xlfn.XLOOKUP(E31,Groups!A:A,Groups!BJ:BJ)=1,1000,100)))</f>
        <v>0.42275578847366735</v>
      </c>
      <c r="BN31" s="8" t="str">
        <f>IF(W31="No","No",IF(_xlfn.XLOOKUP(E31,Groups!A:A,Groups!BC:BC)=1,(AL31*5%),EXP(0.7354*LN(C31)^0.4078)*2/IF(_xlfn.XLOOKUP(E31,Groups!A:A,Groups!BK:BK)=1,1000,100)))</f>
        <v>No</v>
      </c>
      <c r="BO31" s="8">
        <f>IF(BG31="No","No",IF(_xlfn.XLOOKUP(E31,Groups!A:A,Groups!BE:BE)=1,(0.0315*C31+2.1825)*2,(0.7354*C31^0.4078)*2)/IF(_xlfn.XLOOKUP(E31,Groups!A:A,Groups!BL:BL)=1,1000,100))</f>
        <v>3.1593940123103695E-2</v>
      </c>
      <c r="BP31" s="8">
        <f>BD31/(AL31*5%)</f>
        <v>5.7573288359809308E-2</v>
      </c>
      <c r="BQ31" s="8">
        <f t="shared" si="8"/>
        <v>37.49913953942314</v>
      </c>
      <c r="BR31" s="8" t="str">
        <f>IF(W31="No","No",BF31/BN31)</f>
        <v>No</v>
      </c>
      <c r="BS31" s="8">
        <f t="shared" si="9"/>
        <v>666.69144334221733</v>
      </c>
      <c r="BT31" s="4">
        <v>0</v>
      </c>
      <c r="BU31" s="4">
        <v>1</v>
      </c>
    </row>
    <row r="32" spans="1:73" x14ac:dyDescent="0.25">
      <c r="A32" s="26" t="s">
        <v>102</v>
      </c>
      <c r="B32" s="6" t="s">
        <v>103</v>
      </c>
      <c r="C32" s="7">
        <v>1.53</v>
      </c>
      <c r="D32" s="7" t="s">
        <v>531</v>
      </c>
      <c r="E32" s="7" t="str">
        <f>Groups!A24</f>
        <v>Lizardlike (iguana)</v>
      </c>
      <c r="F32" s="7" t="str">
        <f t="shared" ref="F32:F34" si="13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4">"Lay eggs"</f>
        <v>Lay eggs</v>
      </c>
      <c r="K32" s="7" t="s">
        <v>531</v>
      </c>
      <c r="L32" s="7">
        <f>164.31*1.5/33.3*3.6</f>
        <v>26.644864864864868</v>
      </c>
      <c r="M32" s="7" t="s">
        <v>644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_xlfn.XLOOKUP(B32,[1]TeethAdjusters!$A:$A,[1]BiteAdjusters!$C:$C)</f>
        <v>1</v>
      </c>
      <c r="T32" s="7">
        <f>_xlfn.XLOOKUP(B32,[1]TeethAdjusters!$A:$A,[1]TeethAdjusters!$B:$B)</f>
        <v>1</v>
      </c>
      <c r="U32" s="7">
        <v>1</v>
      </c>
      <c r="V32" s="7">
        <v>0.75</v>
      </c>
      <c r="W32" s="7" t="s">
        <v>45</v>
      </c>
      <c r="X32" s="7" t="s">
        <v>945</v>
      </c>
      <c r="Y32" s="4" t="s">
        <v>42</v>
      </c>
      <c r="Z32" s="4">
        <v>0</v>
      </c>
      <c r="AA32" s="4">
        <v>0</v>
      </c>
      <c r="AB32" s="4">
        <v>0</v>
      </c>
      <c r="AC32" s="4" t="s">
        <v>45</v>
      </c>
      <c r="AD32" s="4" t="s">
        <v>45</v>
      </c>
      <c r="AE32" s="28" t="s">
        <v>395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4" t="s">
        <v>40</v>
      </c>
      <c r="AL32" s="8">
        <f t="shared" si="0"/>
        <v>1463.4315334916339</v>
      </c>
      <c r="AM32" s="8">
        <f>IFERROR(C32*_xlfn.XLOOKUP(E32,Groups!A:A,Groups!K:K),0.106*C32^0.94)</f>
        <v>0.15809415375613439</v>
      </c>
      <c r="AN32" s="8">
        <f>AM32*10000/(_xlfn.XLOOKUP(E32,Groups!A:A,Groups!J:J)*AL32)</f>
        <v>0.99109869313185717</v>
      </c>
      <c r="AO32" s="8">
        <f t="shared" si="1"/>
        <v>77.884242674668926</v>
      </c>
      <c r="AP32" s="8">
        <f>IF(_xlfn.XLOOKUP(E32,Groups!A:A,Groups!M:M)=1,EXP(0.7444*LN('Base stats'!C32)+6.5696),EXP(0.7927*LN('Base stats'!C32)+4.28))</f>
        <v>101.20111087866492</v>
      </c>
      <c r="AQ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"No")))))))))))))))</f>
        <v>350.42949816794163</v>
      </c>
      <c r="AR32" s="8">
        <f>IF(_xlfn.XLOOKUP(E32,Groups!A:A,Groups!U:U)=3,AP32,IF(_xlfn.XLOOKUP(E32,Groups!A:A,Groups!U:U)=2,AO32,AQ32))</f>
        <v>350.42949816794163</v>
      </c>
      <c r="AS32" s="46">
        <f>IFERROR(AVERAGE(_xlfn.XLOOKUP(B32,Animals!B:B,Animals!M:M),_xlfn.XLOOKUP(B32,Animals!B:B,Animals!N:N)),0)</f>
        <v>0</v>
      </c>
      <c r="AT32" s="8">
        <f>MROUND(40*Animals!AN32*_xlfn.XLOOKUP(Animals!AZ32,Leathers!$A$2:$A$100,Leathers!$B$2:$B$100,0)+(140*_xlfn.XLOOKUP(B32,Animals!B:B,Animals!AN:AN)*2),5)</f>
        <v>90</v>
      </c>
      <c r="AU32" s="8">
        <f>IFERROR(ROUND(SQRT(V32-1)*IF(_xlfn.XLOOKUP(E32,Groups!A:A,Groups!BE:BE)=0,2,1)*IF(_xlfn.XLOOKUP('Base stats'!E32,Groups!A:A,Groups!O:O)=0,1,0.1),1),0)</f>
        <v>0</v>
      </c>
      <c r="AV32" s="8">
        <f t="shared" si="2"/>
        <v>0</v>
      </c>
      <c r="AW32" s="8">
        <f t="shared" si="3"/>
        <v>0</v>
      </c>
      <c r="AX32" s="8">
        <f t="shared" si="4"/>
        <v>0.7</v>
      </c>
      <c r="AY32" s="8">
        <f>IF(_xlfn.XLOOKUP(E32,Groups!A:A,Groups!N:N)="Insect",BA32*2.5,IFERROR(AVERAGE(BA32,AQ32/9.81/IF(OR(_xlfn.XLOOKUP(E32,Groups!A:A,Groups!N:N)="Pig",_xlfn.XLOOKUP(E32,Groups!A:A,Groups!N:N)="StrongBitingHerbivore"),20,25))*C32^-0.135,BA32))</f>
        <v>0.70007432845739126</v>
      </c>
      <c r="AZ32" s="8" t="str">
        <f>IF(W32="No","No",IF(_xlfn.XLOOKUP(E32,Groups!A:A,Groups!U:U)=1,'Base stats'!AY32,IF(OR(_xlfn.XLOOKUP(E32,Groups!A:A,Groups!BC:BC)=1,_xlfn.XLOOKUP(E32,Groups!A:A,Groups!U:U)=2),BA32,IF(_xlfn.XLOOKUP(B32,Animals!B:B,Animals!AN:AN)&gt;4,AVERAGE(BA32,BC32),BC32))))</f>
        <v>No</v>
      </c>
      <c r="BA32" s="8">
        <f>(0.0392*C32^IF(OR(Y32="Herbivore",Y32="Dendrovore",Y32="OmnivoreRough"),0.889,0.966))*C32^-0.135</f>
        <v>5.4018610133347036E-2</v>
      </c>
      <c r="BB32" s="8">
        <f>IF(_xlfn.XLOOKUP(E32,Groups!A:A,Groups!BD:BD)=1,(0.048*C32^1.01)+(0.071*C32^1.03),0.071*C32^1.03)/IF(_xlfn.XLOOKUP(E32,Groups!A:A,Groups!M:M)=1,0.85,IF(OR(_xlfn.XLOOKUP(B32,Animals!B:B,Animals!AN:AN)&gt;4,_xlfn.XLOOKUP(E32,Groups!A:A,Groups!BB:BB)=1),1.7,1))*C32^-0.25</f>
        <v>9.8927643646205904E-2</v>
      </c>
      <c r="BC32" s="8">
        <f>(0.048*C32^1.01)/IF(_xlfn.XLOOKUP(E32,Groups!A:A,Groups!M:M)=1,0.25,0.8)*C32^-0.25</f>
        <v>8.2892786271995381E-2</v>
      </c>
      <c r="BD32" s="8">
        <f>EXP(1.076*LN(AO32)-4.5397)*IF(_xlfn.XLOOKUP(E32,Groups!A:A,Groups!BB:BB)=1,1.25,IF(_xlfn.XLOOKUP(E32,Groups!A:A,Groups!BC:BC)=1,3.5,2.5))</f>
        <v>2.894497109254401</v>
      </c>
      <c r="BE32" s="8">
        <f>EXP(1.076*LN(AP32)-4.5397)*IF(_xlfn.XLOOKUP(E32,Groups!A:A,Groups!M:M)=1,0.8,IF(_xlfn.XLOOKUP(E32,Groups!A:A,Groups!BB:BB)=1,1.3,3))</f>
        <v>4.603985596116086</v>
      </c>
      <c r="BF32" s="8" t="str">
        <f>IF(W32="No","No",IF(_xlfn.XLOOKUP(E32,Groups!A:A,Groups!U:U)=1,'Base stats'!BG32,IF(OR(_xlfn.XLOOKUP(E32,Groups!A:A,Groups!BC:BC)=1,_xlfn.XLOOKUP(E32,Groups!A:A,Groups!U:U)=2),BD32,BE32))*1.2)</f>
        <v>No</v>
      </c>
      <c r="BG32" s="8">
        <f>IFERROR(EXP(1.076*LN(AQ32)-4.5397)*IF(_xlfn.XLOOKUP(E32,Groups!A:A,Groups!N:N)="Insect",1,IF(OR(_xlfn.XLOOKUP(E32,Groups!A:A,Groups!N:N)="Pig",_xlfn.XLOOKUP(E32,Groups!A:A,Groups!N:N)="StrongBitingHerbivore"),3.5,3.75)),"No")</f>
        <v>21.900544615357333</v>
      </c>
      <c r="BH32" s="8">
        <f t="shared" si="5"/>
        <v>10</v>
      </c>
      <c r="BI32" s="8">
        <f t="shared" si="6"/>
        <v>9</v>
      </c>
      <c r="BJ32" s="8" t="str">
        <f>IF(W32="No","No",ROUNDDOWN(SQRT((2*BF32)/AZ32),0))</f>
        <v>No</v>
      </c>
      <c r="BK32" s="8">
        <f>IF(V32="No","No",ROUNDDOWN(SQRT((2*BG32)/AY32),0))</f>
        <v>7</v>
      </c>
      <c r="BL32" s="8">
        <f t="shared" si="7"/>
        <v>10</v>
      </c>
      <c r="BM32" s="8" cm="1">
        <f t="array" ref="BM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stats'!E32,Groups!A:A,Groups!P:P=0)),"No",IF(U32="No",AVERAGE(EXP(-0.57+0.99*LN(C32)),EXP(0.32+0.67*LN(C32)))/IF(_xlfn.XLOOKUP(E32,Groups!A:A,Groups!AD:AD)=1,10,2),(0.7354*C32^0.4078)*2/IF(_xlfn.XLOOKUP(E32,Groups!A:A,Groups!BJ:BJ)=1,1000,100)))</f>
        <v>1.7493261435342175E-2</v>
      </c>
      <c r="BN32" s="8" t="str">
        <f>IF(W32="No","No",IF(_xlfn.XLOOKUP(E32,Groups!A:A,Groups!BC:BC)=1,(AL32*5%),EXP(0.7354*LN(C32)^0.4078)*2/IF(_xlfn.XLOOKUP(E32,Groups!A:A,Groups!BK:BK)=1,1000,100)))</f>
        <v>No</v>
      </c>
      <c r="BO32" s="8">
        <f>IF(BG32="No","No",IF(_xlfn.XLOOKUP(E32,Groups!A:A,Groups!BE:BE)=1,(0.0315*C32+2.1825)*2,(0.7354*C32^0.4078)*2)/IF(_xlfn.XLOOKUP(E32,Groups!A:A,Groups!BL:BL)=1,1000,100))</f>
        <v>1.7493261435342175E-2</v>
      </c>
      <c r="BP32" s="8">
        <f>BD32/(AL32*5%)</f>
        <v>3.9557670352344476E-2</v>
      </c>
      <c r="BQ32" s="8">
        <f t="shared" si="8"/>
        <v>263.18623391830823</v>
      </c>
      <c r="BR32" s="8" t="str">
        <f>IF(W32="No","No",BF32/BN32)</f>
        <v>No</v>
      </c>
      <c r="BS32" s="8">
        <f t="shared" si="9"/>
        <v>1251.9417660511829</v>
      </c>
      <c r="BT32" s="4">
        <v>0</v>
      </c>
      <c r="BU32" s="4">
        <v>1</v>
      </c>
    </row>
    <row r="33" spans="1:73" x14ac:dyDescent="0.25">
      <c r="A33" s="26" t="s">
        <v>172</v>
      </c>
      <c r="B33" s="6" t="s">
        <v>173</v>
      </c>
      <c r="C33" s="7">
        <v>8</v>
      </c>
      <c r="D33" s="7" t="s">
        <v>532</v>
      </c>
      <c r="E33" s="7" t="str">
        <f>Groups!A55</f>
        <v>Snake (venomous)</v>
      </c>
      <c r="F33" s="7" t="str">
        <f t="shared" si="13"/>
        <v>Lay eggs</v>
      </c>
      <c r="G33" s="7">
        <v>5</v>
      </c>
      <c r="H33" s="7">
        <v>22.5</v>
      </c>
      <c r="I33" s="4">
        <v>0</v>
      </c>
      <c r="J33" s="7" t="str">
        <f t="shared" si="14"/>
        <v>Lay eggs</v>
      </c>
      <c r="K33" s="7" t="s">
        <v>532</v>
      </c>
      <c r="L33" s="7">
        <v>19</v>
      </c>
      <c r="M33" s="7" t="s">
        <v>643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_xlfn.XLOOKUP(B33,[1]TeethAdjusters!$A:$A,[1]BiteAdjusters!$C:$C)</f>
        <v>1</v>
      </c>
      <c r="T33" s="7">
        <f>_xlfn.XLOOKUP(B33,[1]TeethAdjusters!$A:$A,[1]TeethAdjusters!$B:$B)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945</v>
      </c>
      <c r="Y33" s="4" t="s">
        <v>56</v>
      </c>
      <c r="Z33" s="4">
        <v>1</v>
      </c>
      <c r="AA33" s="4">
        <v>0</v>
      </c>
      <c r="AB33" s="4">
        <v>0</v>
      </c>
      <c r="AC33" s="4" t="s">
        <v>45</v>
      </c>
      <c r="AD33" s="4" t="s">
        <v>45</v>
      </c>
      <c r="AE33" s="28" t="s">
        <v>395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4" t="s">
        <v>40</v>
      </c>
      <c r="AL33" s="8">
        <f t="shared" si="0"/>
        <v>4288.757300426314</v>
      </c>
      <c r="AM33" s="8">
        <f>IFERROR(C33*_xlfn.XLOOKUP(E33,Groups!A:A,Groups!K:K),0.106*C33^0.94)</f>
        <v>0.74853214085447506</v>
      </c>
      <c r="AN33" s="8">
        <f>AM33*10000/(_xlfn.XLOOKUP(E33,Groups!A:A,Groups!J:J)*AL33)</f>
        <v>1.6012254520921798</v>
      </c>
      <c r="AO33" s="8">
        <f t="shared" si="1"/>
        <v>314.9784646370465</v>
      </c>
      <c r="AP33" s="8">
        <f>IF(_xlfn.XLOOKUP(E33,Groups!A:A,Groups!M:M)=1,EXP(0.7444*LN('Base stats'!C33)+6.5696),EXP(0.7927*LN('Base stats'!C33)+4.28))</f>
        <v>375.54312447761004</v>
      </c>
      <c r="AQ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"No")))))))))))))))</f>
        <v>199.99999999999994</v>
      </c>
      <c r="AR33" s="8">
        <f>IF(_xlfn.XLOOKUP(E33,Groups!A:A,Groups!U:U)=3,AP33,IF(_xlfn.XLOOKUP(E33,Groups!A:A,Groups!U:U)=2,AO33,AQ33))</f>
        <v>199.99999999999994</v>
      </c>
      <c r="AS33" s="46">
        <f>IFERROR(AVERAGE(_xlfn.XLOOKUP(B33,Animals!B:B,Animals!M:M),_xlfn.XLOOKUP(B33,Animals!B:B,Animals!N:N)),0)</f>
        <v>0</v>
      </c>
      <c r="AT33" s="8">
        <f>MROUND(40*Animals!AN33*_xlfn.XLOOKUP(Animals!AZ33,Leathers!$A$2:$A$100,Leathers!$B$2:$B$100,0)+(140*_xlfn.XLOOKUP(B33,Animals!B:B,Animals!AN:AN)*2),5)</f>
        <v>180</v>
      </c>
      <c r="AU33" s="8">
        <f>IFERROR(ROUND(SQRT(V33-1)*IF(_xlfn.XLOOKUP(E33,Groups!A:A,Groups!BE:BE)=0,2,1)*IF(_xlfn.XLOOKUP('Base stats'!E33,Groups!A:A,Groups!O:O)=0,1,0.1),1),0)</f>
        <v>1</v>
      </c>
      <c r="AV33" s="8">
        <f t="shared" si="2"/>
        <v>0</v>
      </c>
      <c r="AW33" s="8">
        <f t="shared" si="3"/>
        <v>0</v>
      </c>
      <c r="AX33" s="8">
        <f t="shared" si="4"/>
        <v>1.4</v>
      </c>
      <c r="AY33" s="8">
        <f>IF(_xlfn.XLOOKUP(E33,Groups!A:A,Groups!N:N)="Insect",BA33*2.5,IFERROR(AVERAGE(BA33,AQ33/9.81/IF(OR(_xlfn.XLOOKUP(E33,Groups!A:A,Groups!N:N)="Pig",_xlfn.XLOOKUP(E33,Groups!A:A,Groups!N:N)="StrongBitingHerbivore"),20,25))*C33^-0.135,BA33))</f>
        <v>0.39127650212614778</v>
      </c>
      <c r="AZ33" s="8" t="str">
        <f>IF(W33="No","No",IF(_xlfn.XLOOKUP(E33,Groups!A:A,Groups!U:U)=1,'Base stats'!AY33,IF(OR(_xlfn.XLOOKUP(E33,Groups!A:A,Groups!BC:BC)=1,_xlfn.XLOOKUP(E33,Groups!A:A,Groups!U:U)=2),BA33,IF(_xlfn.XLOOKUP(B33,Animals!B:B,Animals!AN:AN)&gt;4,AVERAGE(BA33,BC33),BC33))))</f>
        <v>No</v>
      </c>
      <c r="BA33" s="8">
        <f>(0.0392*C33^IF(OR(Y33="Herbivore",Y33="Dendrovore",Y33="OmnivoreRough"),0.889,0.966))*C33^-0.135</f>
        <v>0.22067536125102225</v>
      </c>
      <c r="BB33" s="8">
        <f>IF(_xlfn.XLOOKUP(E33,Groups!A:A,Groups!BD:BD)=1,(0.048*C33^1.01)+(0.071*C33^1.03),0.071*C33^1.03)/IF(_xlfn.XLOOKUP(E33,Groups!A:A,Groups!M:M)=1,0.85,IF(OR(_xlfn.XLOOKUP(B33,Animals!B:B,Animals!AN:AN)&gt;4,_xlfn.XLOOKUP(E33,Groups!A:A,Groups!BB:BB)=1),1.7,1))*C33^-0.25</f>
        <v>0.3594748726875594</v>
      </c>
      <c r="BC33" s="8">
        <f>(0.048*C33^1.01)/IF(_xlfn.XLOOKUP(E33,Groups!A:A,Groups!M:M)=1,0.25,0.8)*C33^-0.25</f>
        <v>0.29140677225481115</v>
      </c>
      <c r="BD33" s="8">
        <f>EXP(1.076*LN(AO33)-4.5397)*IF(_xlfn.XLOOKUP(E33,Groups!A:A,Groups!BB:BB)=1,1.25,IF(_xlfn.XLOOKUP(E33,Groups!A:A,Groups!BC:BC)=1,3.5,2.5))</f>
        <v>13.017379206175637</v>
      </c>
      <c r="BE33" s="8">
        <f>EXP(1.076*LN(AP33)-4.5397)*IF(_xlfn.XLOOKUP(E33,Groups!A:A,Groups!M:M)=1,0.8,IF(_xlfn.XLOOKUP(E33,Groups!A:A,Groups!BB:BB)=1,1.3,3))</f>
        <v>18.875069369328124</v>
      </c>
      <c r="BF33" s="8" t="str">
        <f>IF(W33="No","No",IF(_xlfn.XLOOKUP(E33,Groups!A:A,Groups!U:U)=1,'Base stats'!BG33,IF(OR(_xlfn.XLOOKUP(E33,Groups!A:A,Groups!BC:BC)=1,_xlfn.XLOOKUP(E33,Groups!A:A,Groups!U:U)=2),BD33,BE33))*1.2)</f>
        <v>No</v>
      </c>
      <c r="BG33" s="8">
        <f>IFERROR(EXP(1.076*LN(AQ33)-4.5397)*IF(_xlfn.XLOOKUP(E33,Groups!A:A,Groups!N:N)="Insect",1,IF(OR(_xlfn.XLOOKUP(E33,Groups!A:A,Groups!N:N)="Pig",_xlfn.XLOOKUP(E33,Groups!A:A,Groups!N:N)="StrongBitingHerbivore"),3.5,3.75)),"No")</f>
        <v>11.977684893457671</v>
      </c>
      <c r="BH33" s="8">
        <f t="shared" si="5"/>
        <v>10</v>
      </c>
      <c r="BI33" s="8">
        <f t="shared" si="6"/>
        <v>10</v>
      </c>
      <c r="BJ33" s="8" t="str">
        <f>IF(W33="No","No",ROUNDDOWN(SQRT((2*BF33)/AZ33),0))</f>
        <v>No</v>
      </c>
      <c r="BK33" s="8">
        <f>IF(V33="No","No",ROUNDDOWN(SQRT((2*BG33)/AY33),0))</f>
        <v>7</v>
      </c>
      <c r="BL33" s="8">
        <f t="shared" si="7"/>
        <v>11</v>
      </c>
      <c r="BM33" s="8" t="str" cm="1">
        <f t="array" ref="BM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stats'!E33,Groups!A:A,Groups!P:P=0)),"No",IF(U33="No",AVERAGE(EXP(-0.57+0.99*LN(C33)),EXP(0.32+0.67*LN(C33)))/IF(_xlfn.XLOOKUP(E33,Groups!A:A,Groups!AD:AD)=1,10,2),(0.7354*C33^0.4078)*2/IF(_xlfn.XLOOKUP(E33,Groups!A:A,Groups!BJ:BJ)=1,1000,100)))</f>
        <v>No</v>
      </c>
      <c r="BN33" s="8" t="str">
        <f>IF(W33="No","No",IF(_xlfn.XLOOKUP(E33,Groups!A:A,Groups!BC:BC)=1,(AL33*5%),EXP(0.7354*LN(C33)^0.4078)*2/IF(_xlfn.XLOOKUP(E33,Groups!A:A,Groups!BK:BK)=1,1000,100)))</f>
        <v>No</v>
      </c>
      <c r="BO33" s="8">
        <f>IF(BG33="No","No",IF(_xlfn.XLOOKUP(E33,Groups!A:A,Groups!BE:BE)=1,(0.0315*C33+2.1825)*2,(0.7354*C33^0.4078)*2)/IF(_xlfn.XLOOKUP(E33,Groups!A:A,Groups!BL:BL)=1,1000,100))</f>
        <v>3.434264320573633E-2</v>
      </c>
      <c r="BP33" s="8">
        <f>BD33/(AL33*5%)</f>
        <v>6.07046670833142E-2</v>
      </c>
      <c r="BQ33" s="8" t="str">
        <f t="shared" si="8"/>
        <v>No</v>
      </c>
      <c r="BR33" s="8" t="str">
        <f>IF(W33="No","No",BF33/BN33)</f>
        <v>No</v>
      </c>
      <c r="BS33" s="8">
        <f t="shared" si="9"/>
        <v>348.77003559985184</v>
      </c>
      <c r="BT33" s="4">
        <v>0</v>
      </c>
      <c r="BU33" s="4">
        <v>1</v>
      </c>
    </row>
    <row r="34" spans="1:73" x14ac:dyDescent="0.25">
      <c r="A34" s="26" t="s">
        <v>175</v>
      </c>
      <c r="B34" s="6" t="s">
        <v>176</v>
      </c>
      <c r="C34" s="7">
        <v>26</v>
      </c>
      <c r="D34" s="7" t="s">
        <v>1198</v>
      </c>
      <c r="E34" s="7" t="str">
        <f>Groups!A58</f>
        <v>Turtle</v>
      </c>
      <c r="F34" s="7" t="str">
        <f t="shared" si="13"/>
        <v>Lay eggs</v>
      </c>
      <c r="G34" s="7">
        <v>15</v>
      </c>
      <c r="H34" s="7">
        <v>100</v>
      </c>
      <c r="I34" s="4">
        <v>1</v>
      </c>
      <c r="J34" s="7" t="str">
        <f t="shared" ref="J34" si="15">"Lay eggs"</f>
        <v>Lay eggs</v>
      </c>
      <c r="K34" s="7" t="s">
        <v>545</v>
      </c>
      <c r="L34" s="7">
        <f>0.28*3.6*5</f>
        <v>5.0400000000000009</v>
      </c>
      <c r="M34" s="7" t="s">
        <v>645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_xlfn.XLOOKUP(B34,[1]TeethAdjusters!$A:$A,[1]BiteAdjusters!$C:$C)</f>
        <v>1</v>
      </c>
      <c r="T34" s="7">
        <f>_xlfn.XLOOKUP(B34,[1]TeethAdjusters!$A:$A,[1]TeethAdjusters!$B:$B)</f>
        <v>1</v>
      </c>
      <c r="U34" s="7" t="s">
        <v>45</v>
      </c>
      <c r="V34" s="7">
        <v>5</v>
      </c>
      <c r="W34" s="7" t="s">
        <v>45</v>
      </c>
      <c r="X34" s="7" t="s">
        <v>945</v>
      </c>
      <c r="Y34" s="4" t="s">
        <v>42</v>
      </c>
      <c r="Z34" s="4">
        <v>0</v>
      </c>
      <c r="AA34" s="4">
        <v>0</v>
      </c>
      <c r="AB34" s="4">
        <v>0</v>
      </c>
      <c r="AC34" s="4" t="s">
        <v>45</v>
      </c>
      <c r="AD34" s="4" t="s">
        <v>45</v>
      </c>
      <c r="AE34" s="28" t="s">
        <v>395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4" t="s">
        <v>40</v>
      </c>
      <c r="AL34" s="8">
        <f t="shared" ref="AL34:AL65" si="16">(0.111*C34^0.65)*10000</f>
        <v>9226.8966253474555</v>
      </c>
      <c r="AM34" s="8">
        <f>IFERROR(C34*_xlfn.XLOOKUP(E34,Groups!A:A,Groups!K:K),0.106*C34^0.94)</f>
        <v>8.32</v>
      </c>
      <c r="AN34" s="8">
        <f>AM34*10000/(_xlfn.XLOOKUP(E34,Groups!A:A,Groups!J:J)*AL34)</f>
        <v>6.7797866950837253</v>
      </c>
      <c r="AO34" s="8">
        <f t="shared" ref="AO34:AO65" si="17">EXP(0.8447*LN(C34)+3.996)</f>
        <v>852.44964986092737</v>
      </c>
      <c r="AP34" s="8">
        <f>IF(_xlfn.XLOOKUP(E34,Groups!A:A,Groups!M:M)=1,EXP(0.7444*LN('Base stats'!C34)+6.5696),EXP(0.7927*LN('Base stats'!C34)+4.28))</f>
        <v>955.93806528846119</v>
      </c>
      <c r="AQ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"No")))))))))))))))</f>
        <v>521.5952571436178</v>
      </c>
      <c r="AR34" s="8">
        <f>IF(_xlfn.XLOOKUP(E34,Groups!A:A,Groups!U:U)=3,AP34,IF(_xlfn.XLOOKUP(E34,Groups!A:A,Groups!U:U)=2,AO34,AQ34))</f>
        <v>521.5952571436178</v>
      </c>
      <c r="AS34" s="46">
        <f>IFERROR(AVERAGE(_xlfn.XLOOKUP(B34,Animals!B:B,Animals!M:M),_xlfn.XLOOKUP(B34,Animals!B:B,Animals!N:N)),0)</f>
        <v>0.82500000000000007</v>
      </c>
      <c r="AT34" s="8">
        <f>MROUND(40*Animals!AN34*_xlfn.XLOOKUP(Animals!AZ34,Leathers!$A$2:$A$100,Leathers!$B$2:$B$100,0)+(140*_xlfn.XLOOKUP(B34,Animals!B:B,Animals!AN:AN)*2),5)</f>
        <v>295</v>
      </c>
      <c r="AU34" s="8">
        <f>IFERROR(ROUND(SQRT(V34-1)*IF(_xlfn.XLOOKUP(E34,Groups!A:A,Groups!BE:BE)=0,2,1)*IF(_xlfn.XLOOKUP('Base stats'!E34,Groups!A:A,Groups!O:O)=0,1,0.1),1),0)</f>
        <v>0.2</v>
      </c>
      <c r="AV34" s="8">
        <f t="shared" ref="AV34:AV65" si="18">IFERROR(ROUND(SQRT(U34-1),1),0)</f>
        <v>0</v>
      </c>
      <c r="AW34" s="8">
        <f t="shared" ref="AW34:AW65" si="19">IFERROR(ROUND(SQRT(W34),1),0)</f>
        <v>0</v>
      </c>
      <c r="AX34" s="8">
        <f t="shared" ref="AX34:AX65" si="20">ROUND(
  EXP(0.3582*LN(C34)-0.2221) *
  (0.75 + 0.25*(C34^4/(C34^4+10^4))),
1)</f>
        <v>2.6</v>
      </c>
      <c r="AY34" s="8">
        <f>IF(_xlfn.XLOOKUP(E34,Groups!A:A,Groups!N:N)="Insect",BA34*2.5,IFERROR(AVERAGE(BA34,AQ34/9.81/IF(OR(_xlfn.XLOOKUP(E34,Groups!A:A,Groups!N:N)="Pig",_xlfn.XLOOKUP(E34,Groups!A:A,Groups!N:N)="StrongBitingHerbivore"),20,25))*C34^-0.135,BA34))</f>
        <v>0.83224612092977912</v>
      </c>
      <c r="AZ34" s="8" t="str">
        <f>IF(W34="No","No",IF(_xlfn.XLOOKUP(E34,Groups!A:A,Groups!U:U)=1,'Base stats'!AY34,IF(OR(_xlfn.XLOOKUP(E34,Groups!A:A,Groups!BC:BC)=1,_xlfn.XLOOKUP(E34,Groups!A:A,Groups!U:U)=2),BA34,IF(_xlfn.XLOOKUP(B34,Animals!B:B,Animals!AN:AN)&gt;4,AVERAGE(BA34,BC34),BC34))))</f>
        <v>No</v>
      </c>
      <c r="BA34" s="8">
        <f>(0.0392*C34^IF(OR(Y34="Herbivore",Y34="Dendrovore",Y34="OmnivoreRough"),0.889,0.966))*C34^-0.135</f>
        <v>0.4572734342942808</v>
      </c>
      <c r="BB34" s="8">
        <f>IF(_xlfn.XLOOKUP(E34,Groups!A:A,Groups!BD:BD)=1,(0.048*C34^1.01)+(0.071*C34^1.03),0.071*C34^1.03)/IF(_xlfn.XLOOKUP(E34,Groups!A:A,Groups!M:M)=1,0.85,IF(OR(_xlfn.XLOOKUP(B34,Animals!B:B,Animals!AN:AN)&gt;4,_xlfn.XLOOKUP(E34,Groups!A:A,Groups!BB:BB)=1),1.7,1))*C34^-0.25</f>
        <v>0.53025972073343663</v>
      </c>
      <c r="BC34" s="8">
        <f>(0.048*C34^1.01)/IF(_xlfn.XLOOKUP(E34,Groups!A:A,Groups!M:M)=1,0.25,0.8)*C34^-0.25</f>
        <v>0.71372514062620962</v>
      </c>
      <c r="BD34" s="8">
        <f>EXP(1.076*LN(AO34)-4.5397)*IF(_xlfn.XLOOKUP(E34,Groups!A:A,Groups!BB:BB)=1,1.25,IF(_xlfn.XLOOKUP(E34,Groups!A:A,Groups!BC:BC)=1,3.5,2.5))</f>
        <v>18.999532470570877</v>
      </c>
      <c r="BE34" s="8">
        <f>EXP(1.076*LN(AP34)-4.5397)*IF(_xlfn.XLOOKUP(E34,Groups!A:A,Groups!M:M)=1,0.8,IF(_xlfn.XLOOKUP(E34,Groups!A:A,Groups!BB:BB)=1,1.3,3))</f>
        <v>22.352140040075696</v>
      </c>
      <c r="BF34" s="8" t="str">
        <f>IF(W34="No","No",IF(_xlfn.XLOOKUP(E34,Groups!A:A,Groups!U:U)=1,'Base stats'!BG34,IF(OR(_xlfn.XLOOKUP(E34,Groups!A:A,Groups!BC:BC)=1,_xlfn.XLOOKUP(E34,Groups!A:A,Groups!U:U)=2),BD34,BE34))*1.2)</f>
        <v>No</v>
      </c>
      <c r="BG34" s="8">
        <f>IFERROR(EXP(1.076*LN(AQ34)-4.5397)*IF(_xlfn.XLOOKUP(E34,Groups!A:A,Groups!N:N)="Insect",1,IF(OR(_xlfn.XLOOKUP(E34,Groups!A:A,Groups!N:N)="Pig",_xlfn.XLOOKUP(E34,Groups!A:A,Groups!N:N)="StrongBitingHerbivore"),3.5,3.75)),"No")</f>
        <v>33.598168057916546</v>
      </c>
      <c r="BH34" s="8">
        <f t="shared" si="5"/>
        <v>9</v>
      </c>
      <c r="BI34" s="8">
        <f t="shared" si="6"/>
        <v>9</v>
      </c>
      <c r="BJ34" s="8" t="str">
        <f>IF(W34="No","No",ROUNDDOWN(SQRT((2*BF34)/AZ34),0))</f>
        <v>No</v>
      </c>
      <c r="BK34" s="8">
        <f>IF(V34="No","No",ROUNDDOWN(SQRT((2*BG34)/AY34),0))</f>
        <v>8</v>
      </c>
      <c r="BL34" s="8">
        <f t="shared" si="7"/>
        <v>7</v>
      </c>
      <c r="BM34" s="8" t="str" cm="1">
        <f t="array" ref="BM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stats'!E34,Groups!A:A,Groups!P:P=0)),"No",IF(U34="No",AVERAGE(EXP(-0.57+0.99*LN(C34)),EXP(0.32+0.67*LN(C34)))/IF(_xlfn.XLOOKUP(E34,Groups!A:A,Groups!AD:AD)=1,10,2),(0.7354*C34^0.4078)*2/IF(_xlfn.XLOOKUP(E34,Groups!A:A,Groups!BJ:BJ)=1,1000,100)))</f>
        <v>No</v>
      </c>
      <c r="BN34" s="8" t="str">
        <f>IF(W34="No","No",IF(_xlfn.XLOOKUP(E34,Groups!A:A,Groups!BC:BC)=1,(AL34*5%),EXP(0.7354*LN(C34)^0.4078)*2/IF(_xlfn.XLOOKUP(E34,Groups!A:A,Groups!BK:BK)=1,1000,100)))</f>
        <v>No</v>
      </c>
      <c r="BO34" s="8">
        <f>IF(BG34="No","No",IF(_xlfn.XLOOKUP(E34,Groups!A:A,Groups!BE:BE)=1,(0.0315*C34+2.1825)*2,(0.7354*C34^0.4078)*2)/IF(_xlfn.XLOOKUP(E34,Groups!A:A,Groups!BL:BL)=1,1000,100))</f>
        <v>6.003E-2</v>
      </c>
      <c r="BP34" s="8">
        <f>BD34/(AL34*5%)</f>
        <v>4.1182931254213365E-2</v>
      </c>
      <c r="BQ34" s="8" t="str">
        <f t="shared" si="8"/>
        <v>No</v>
      </c>
      <c r="BR34" s="8" t="str">
        <f>IF(W34="No","No",BF34/BN34)</f>
        <v>No</v>
      </c>
      <c r="BS34" s="8">
        <f t="shared" si="9"/>
        <v>559.68962282053212</v>
      </c>
      <c r="BT34" s="4">
        <v>0</v>
      </c>
      <c r="BU34" s="4">
        <v>1</v>
      </c>
    </row>
    <row r="35" spans="1:73" x14ac:dyDescent="0.25">
      <c r="A35" s="26" t="s">
        <v>138</v>
      </c>
      <c r="B35" s="6" t="s">
        <v>139</v>
      </c>
      <c r="C35" s="7">
        <v>0.3</v>
      </c>
      <c r="D35" s="7" t="s">
        <v>533</v>
      </c>
      <c r="E35" s="7" t="str">
        <f>Groups!A46</f>
        <v>Rodentlike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533</v>
      </c>
      <c r="L35" s="7">
        <f>AVERAGE(1.22,1.85)*3.6*(23.3/11)</f>
        <v>11.705072727272729</v>
      </c>
      <c r="M35" s="7" t="s">
        <v>642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_xlfn.XLOOKUP(B35,[1]TeethAdjusters!$A:$A,[1]BiteAdjusters!$C:$C)</f>
        <v>1.2301255004119624</v>
      </c>
      <c r="T35" s="7">
        <f>_xlfn.XLOOKUP(B35,[1]TeethAdjusters!$A:$A,[1]TeethAdjusters!$B:$B)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945</v>
      </c>
      <c r="Y35" s="4" t="s">
        <v>53</v>
      </c>
      <c r="Z35" s="4">
        <v>0</v>
      </c>
      <c r="AA35" s="4">
        <v>0</v>
      </c>
      <c r="AB35" s="4">
        <v>0</v>
      </c>
      <c r="AC35" s="4" t="s">
        <v>45</v>
      </c>
      <c r="AD35" s="4" t="s">
        <v>409</v>
      </c>
      <c r="AE35" s="28" t="s">
        <v>394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4" t="s">
        <v>40</v>
      </c>
      <c r="AL35" s="8">
        <f t="shared" si="16"/>
        <v>507.51840257727082</v>
      </c>
      <c r="AM35" s="8">
        <f>IFERROR(C35*_xlfn.XLOOKUP(E35,Groups!A:A,Groups!K:K),0.106*C35^0.94)</f>
        <v>3.4182186918603891E-2</v>
      </c>
      <c r="AN35" s="8">
        <f>AM35*10000/(_xlfn.XLOOKUP(E35,Groups!A:A,Groups!J:J)*AL35)</f>
        <v>0.61790477652100573</v>
      </c>
      <c r="AO35" s="8">
        <f t="shared" si="17"/>
        <v>19.668220728047135</v>
      </c>
      <c r="AP35" s="8">
        <f>IF(_xlfn.XLOOKUP(E35,Groups!A:A,Groups!M:M)=1,EXP(0.7444*LN('Base stats'!C35)+6.5696),EXP(0.7927*LN('Base stats'!C35)+4.28))</f>
        <v>27.81598228970504</v>
      </c>
      <c r="AQ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"No")))))))))))))))</f>
        <v>46.084722438052424</v>
      </c>
      <c r="AR35" s="8">
        <f>IF(_xlfn.XLOOKUP(E35,Groups!A:A,Groups!U:U)=3,AP35,IF(_xlfn.XLOOKUP(E35,Groups!A:A,Groups!U:U)=2,AO35,AQ35))</f>
        <v>46.084722438052424</v>
      </c>
      <c r="AS35" s="46">
        <f>IFERROR(AVERAGE(_xlfn.XLOOKUP(B35,Animals!B:B,Animals!M:M),_xlfn.XLOOKUP(B35,Animals!B:B,Animals!N:N)),0)</f>
        <v>0</v>
      </c>
      <c r="AT35" s="8">
        <f>MROUND(40*Animals!AN35*_xlfn.XLOOKUP(Animals!AZ35,Leathers!$A$2:$A$100,Leathers!$B$2:$B$100,0)+(140*_xlfn.XLOOKUP(B35,Animals!B:B,Animals!AN:AN)*2),5)</f>
        <v>35</v>
      </c>
      <c r="AU35" s="8">
        <f>IFERROR(ROUND(SQRT(V35-1)*IF(_xlfn.XLOOKUP(E35,Groups!A:A,Groups!BE:BE)=0,2,1)*IF(_xlfn.XLOOKUP('Base stats'!E35,Groups!A:A,Groups!O:O)=0,1,0.1),1),0)</f>
        <v>0</v>
      </c>
      <c r="AV35" s="8">
        <f t="shared" si="18"/>
        <v>0</v>
      </c>
      <c r="AW35" s="8">
        <f t="shared" si="19"/>
        <v>0</v>
      </c>
      <c r="AX35" s="8">
        <f t="shared" si="20"/>
        <v>0.4</v>
      </c>
      <c r="AY35" s="8">
        <f>IF(_xlfn.XLOOKUP(E35,Groups!A:A,Groups!N:N)="Insect",BA35*2.5,IFERROR(AVERAGE(BA35,AQ35/9.81/IF(OR(_xlfn.XLOOKUP(E35,Groups!A:A,Groups!N:N)="Pig",_xlfn.XLOOKUP(E35,Groups!A:A,Groups!N:N)="StrongBitingHerbivore"),20,25))*C35^-0.135,BA35))</f>
        <v>0.119015487883916</v>
      </c>
      <c r="AZ35" s="8" t="str">
        <f>IF(W35="No","No",IF(_xlfn.XLOOKUP(E35,Groups!A:A,Groups!U:U)=1,'Base stats'!AY35,IF(OR(_xlfn.XLOOKUP(E35,Groups!A:A,Groups!BC:BC)=1,_xlfn.XLOOKUP(E35,Groups!A:A,Groups!U:U)=2),BA35,IF(_xlfn.XLOOKUP(B35,Animals!B:B,Animals!AN:AN)&gt;4,AVERAGE(BA35,BC35),BC35))))</f>
        <v>No</v>
      </c>
      <c r="BA35" s="8">
        <f>(0.0392*C35^IF(OR(Y35="Herbivore",Y35="Dendrovore",Y35="OmnivoreRough"),0.889,0.966))*C35^-0.135</f>
        <v>1.4413645274373655E-2</v>
      </c>
      <c r="BB35" s="8">
        <f>IF(_xlfn.XLOOKUP(E35,Groups!A:A,Groups!BD:BD)=1,(0.048*C35^1.01)+(0.071*C35^1.03),0.071*C35^1.03)/IF(_xlfn.XLOOKUP(E35,Groups!A:A,Groups!M:M)=1,0.85,IF(OR(_xlfn.XLOOKUP(B35,Animals!B:B,Animals!AN:AN)&gt;4,_xlfn.XLOOKUP(E35,Groups!A:A,Groups!BB:BB)=1),1.7,1))*C35^-0.25</f>
        <v>2.7759582326972801E-2</v>
      </c>
      <c r="BC35" s="8">
        <f>(0.048*C35^1.01)/IF(_xlfn.XLOOKUP(E35,Groups!A:A,Groups!M:M)=1,0.25,0.8)*C35^-0.25</f>
        <v>2.4030533019811343E-2</v>
      </c>
      <c r="BD35" s="8">
        <f>EXP(1.076*LN(AO35)-4.5397)*IF(_xlfn.XLOOKUP(E35,Groups!A:A,Groups!BB:BB)=1,1.25,IF(_xlfn.XLOOKUP(E35,Groups!A:A,Groups!BC:BC)=1,3.5,2.5))</f>
        <v>0.6583617156570799</v>
      </c>
      <c r="BE35" s="8">
        <f>EXP(1.076*LN(AP35)-4.5397)*IF(_xlfn.XLOOKUP(E35,Groups!A:A,Groups!M:M)=1,0.8,IF(_xlfn.XLOOKUP(E35,Groups!A:A,Groups!BB:BB)=1,1.3,3))</f>
        <v>1.1471372193905376</v>
      </c>
      <c r="BF35" s="8" t="str">
        <f>IF(W35="No","No",IF(_xlfn.XLOOKUP(E35,Groups!A:A,Groups!U:U)=1,'Base stats'!BG35,IF(OR(_xlfn.XLOOKUP(E35,Groups!A:A,Groups!BC:BC)=1,_xlfn.XLOOKUP(E35,Groups!A:A,Groups!U:U)=2),BD35,BE35))*1.2)</f>
        <v>No</v>
      </c>
      <c r="BG35" s="8">
        <f>IFERROR(EXP(1.076*LN(AQ35)-4.5397)*IF(_xlfn.XLOOKUP(E35,Groups!A:A,Groups!N:N)="Insect",1,IF(OR(_xlfn.XLOOKUP(E35,Groups!A:A,Groups!N:N)="Pig",_xlfn.XLOOKUP(E35,Groups!A:A,Groups!N:N)="StrongBitingHerbivore"),3.5,3.75)),"No")</f>
        <v>2.4686067635920321</v>
      </c>
      <c r="BH35" s="8">
        <f t="shared" si="5"/>
        <v>9</v>
      </c>
      <c r="BI35" s="8">
        <f t="shared" si="6"/>
        <v>9</v>
      </c>
      <c r="BJ35" s="8" t="str">
        <f>IF(W35="No","No",ROUNDDOWN(SQRT((2*BF35)/AZ35),0))</f>
        <v>No</v>
      </c>
      <c r="BK35" s="8">
        <f>IF(V35="No","No",ROUNDDOWN(SQRT((2*BG35)/AY35),0))</f>
        <v>6</v>
      </c>
      <c r="BL35" s="8">
        <f t="shared" si="7"/>
        <v>9</v>
      </c>
      <c r="BM35" s="8" t="str" cm="1">
        <f t="array" ref="BM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stats'!E35,Groups!A:A,Groups!P:P=0)),"No",IF(U35="No",AVERAGE(EXP(-0.57+0.99*LN(C35)),EXP(0.32+0.67*LN(C35)))/IF(_xlfn.XLOOKUP(E35,Groups!A:A,Groups!AD:AD)=1,10,2),(0.7354*C35^0.4078)*2/IF(_xlfn.XLOOKUP(E35,Groups!A:A,Groups!BJ:BJ)=1,1000,100)))</f>
        <v>No</v>
      </c>
      <c r="BN35" s="8" t="str">
        <f>IF(W35="No","No",IF(_xlfn.XLOOKUP(E35,Groups!A:A,Groups!BC:BC)=1,(AL35*5%),EXP(0.7354*LN(C35)^0.4078)*2/IF(_xlfn.XLOOKUP(E35,Groups!A:A,Groups!BK:BK)=1,1000,100)))</f>
        <v>No</v>
      </c>
      <c r="BO35" s="8">
        <f>IF(BG35="No","No",IF(_xlfn.XLOOKUP(E35,Groups!A:A,Groups!BE:BE)=1,(0.0315*C35+2.1825)*2,(0.7354*C35^0.4078)*2)/IF(_xlfn.XLOOKUP(E35,Groups!A:A,Groups!BL:BL)=1,1000,100))</f>
        <v>9.0016820456507111E-3</v>
      </c>
      <c r="BP35" s="8">
        <f>BD35/(AL35*5%)</f>
        <v>2.5944348512834187E-2</v>
      </c>
      <c r="BQ35" s="8" t="str">
        <f t="shared" si="8"/>
        <v>No</v>
      </c>
      <c r="BR35" s="8" t="str">
        <f>IF(W35="No","No",BF35/BN35)</f>
        <v>No</v>
      </c>
      <c r="BS35" s="8">
        <f t="shared" si="9"/>
        <v>274.2383869006764</v>
      </c>
      <c r="BT35" s="4">
        <v>0</v>
      </c>
      <c r="BU35" s="4">
        <v>1</v>
      </c>
    </row>
    <row r="36" spans="1:73" x14ac:dyDescent="0.25">
      <c r="A36" s="26" t="s">
        <v>136</v>
      </c>
      <c r="B36" s="6" t="s">
        <v>137</v>
      </c>
      <c r="C36" s="7">
        <v>0.6</v>
      </c>
      <c r="D36" s="7" t="s">
        <v>535</v>
      </c>
      <c r="E36" s="7" t="str">
        <f>Groups!A47</f>
        <v>Rodentlike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535</v>
      </c>
      <c r="L36" s="7">
        <f>MAX(27,20)</f>
        <v>27</v>
      </c>
      <c r="M36" s="7" t="s">
        <v>638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_xlfn.XLOOKUP(B36,[1]TeethAdjusters!$A:$A,[1]BiteAdjusters!$C:$C)</f>
        <v>1.333594210519996</v>
      </c>
      <c r="T36" s="7">
        <f>_xlfn.XLOOKUP(B36,[1]TeethAdjusters!$A:$A,[1]TeethAdjusters!$B:$B)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945</v>
      </c>
      <c r="Y36" s="4" t="s">
        <v>42</v>
      </c>
      <c r="Z36" s="4">
        <v>0</v>
      </c>
      <c r="AA36" s="4">
        <v>0</v>
      </c>
      <c r="AB36" s="4">
        <v>0</v>
      </c>
      <c r="AC36" s="4" t="s">
        <v>45</v>
      </c>
      <c r="AD36" s="4" t="s">
        <v>45</v>
      </c>
      <c r="AE36" s="28" t="s">
        <v>374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4" t="s">
        <v>40</v>
      </c>
      <c r="AL36" s="8">
        <f t="shared" si="16"/>
        <v>796.38173610417607</v>
      </c>
      <c r="AM36" s="8">
        <f>IFERROR(C36*_xlfn.XLOOKUP(E36,Groups!A:A,Groups!K:K),0.106*C36^0.94)</f>
        <v>6.5579490862172282E-2</v>
      </c>
      <c r="AN36" s="8">
        <f>AM36*10000/(_xlfn.XLOOKUP(E36,Groups!A:A,Groups!J:J)*AL36)</f>
        <v>0.75547526755289796</v>
      </c>
      <c r="AO36" s="8">
        <f t="shared" si="17"/>
        <v>35.321985741595455</v>
      </c>
      <c r="AP36" s="8">
        <f>IF(_xlfn.XLOOKUP(E36,Groups!A:A,Groups!M:M)=1,EXP(0.7444*LN('Base stats'!C36)+6.5696),EXP(0.7927*LN('Base stats'!C36)+4.28))</f>
        <v>48.186000270146096</v>
      </c>
      <c r="AQ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"No")))))))))))))))</f>
        <v>73.783733780539208</v>
      </c>
      <c r="AR36" s="8">
        <f>IF(_xlfn.XLOOKUP(E36,Groups!A:A,Groups!U:U)=3,AP36,IF(_xlfn.XLOOKUP(E36,Groups!A:A,Groups!U:U)=2,AO36,AQ36))</f>
        <v>73.783733780539208</v>
      </c>
      <c r="AS36" s="46">
        <f>IFERROR(AVERAGE(_xlfn.XLOOKUP(B36,Animals!B:B,Animals!M:M),_xlfn.XLOOKUP(B36,Animals!B:B,Animals!N:N)),0)</f>
        <v>0</v>
      </c>
      <c r="AT36" s="8">
        <f>MROUND(40*Animals!AN36*_xlfn.XLOOKUP(Animals!AZ36,Leathers!$A$2:$A$100,Leathers!$B$2:$B$100,0)+(140*_xlfn.XLOOKUP(B36,Animals!B:B,Animals!AN:AN)*2),5)</f>
        <v>65</v>
      </c>
      <c r="AU36" s="8">
        <f>IFERROR(ROUND(SQRT(V36-1)*IF(_xlfn.XLOOKUP(E36,Groups!A:A,Groups!BE:BE)=0,2,1)*IF(_xlfn.XLOOKUP('Base stats'!E36,Groups!A:A,Groups!O:O)=0,1,0.1),1),0)</f>
        <v>0</v>
      </c>
      <c r="AV36" s="8">
        <f t="shared" si="18"/>
        <v>0</v>
      </c>
      <c r="AW36" s="8">
        <f t="shared" si="19"/>
        <v>0</v>
      </c>
      <c r="AX36" s="8">
        <f t="shared" si="20"/>
        <v>0.5</v>
      </c>
      <c r="AY36" s="8">
        <f>IF(_xlfn.XLOOKUP(E36,Groups!A:A,Groups!N:N)="Insect",BA36*2.5,IFERROR(AVERAGE(BA36,AQ36/9.81/IF(OR(_xlfn.XLOOKUP(E36,Groups!A:A,Groups!N:N)="Pig",_xlfn.XLOOKUP(E36,Groups!A:A,Groups!N:N)="StrongBitingHerbivore"),20,25))*C36^-0.135,BA36))</f>
        <v>0.17545186522291994</v>
      </c>
      <c r="AZ36" s="8" t="str">
        <f>IF(W36="No","No",IF(_xlfn.XLOOKUP(E36,Groups!A:A,Groups!U:U)=1,'Base stats'!AY36,IF(OR(_xlfn.XLOOKUP(E36,Groups!A:A,Groups!BC:BC)=1,_xlfn.XLOOKUP(E36,Groups!A:A,Groups!U:U)=2),BA36,IF(_xlfn.XLOOKUP(B36,Animals!B:B,Animals!AN:AN)&gt;4,AVERAGE(BA36,BC36),BC36))))</f>
        <v>No</v>
      </c>
      <c r="BA36" s="8">
        <f>(0.0392*C36^IF(OR(Y36="Herbivore",Y36="Dendrovore",Y36="OmnivoreRough"),0.889,0.966))*C36^-0.135</f>
        <v>2.6669330278914886E-2</v>
      </c>
      <c r="BB36" s="8">
        <f>IF(_xlfn.XLOOKUP(E36,Groups!A:A,Groups!BD:BD)=1,(0.048*C36^1.01)+(0.071*C36^1.03),0.071*C36^1.03)/IF(_xlfn.XLOOKUP(E36,Groups!A:A,Groups!M:M)=1,0.85,IF(OR(_xlfn.XLOOKUP(B36,Animals!B:B,Animals!AN:AN)&gt;4,_xlfn.XLOOKUP(E36,Groups!A:A,Groups!BB:BB)=1),1.7,1))*C36^-0.25</f>
        <v>4.7666835831774321E-2</v>
      </c>
      <c r="BC36" s="8">
        <f>(0.048*C36^1.01)/IF(_xlfn.XLOOKUP(E36,Groups!A:A,Groups!M:M)=1,0.25,0.8)*C36^-0.25</f>
        <v>4.0695482376196364E-2</v>
      </c>
      <c r="BD36" s="8">
        <f>EXP(1.076*LN(AO36)-4.5397)*IF(_xlfn.XLOOKUP(E36,Groups!A:A,Groups!BB:BB)=1,1.25,IF(_xlfn.XLOOKUP(E36,Groups!A:A,Groups!BC:BC)=1,3.5,2.5))</f>
        <v>1.2361463432878259</v>
      </c>
      <c r="BE36" s="8">
        <f>EXP(1.076*LN(AP36)-4.5397)*IF(_xlfn.XLOOKUP(E36,Groups!A:A,Groups!M:M)=1,0.8,IF(_xlfn.XLOOKUP(E36,Groups!A:A,Groups!BB:BB)=1,1.3,3))</f>
        <v>2.071941364146892</v>
      </c>
      <c r="BF36" s="8" t="str">
        <f>IF(W36="No","No",IF(_xlfn.XLOOKUP(E36,Groups!A:A,Groups!U:U)=1,'Base stats'!BG36,IF(OR(_xlfn.XLOOKUP(E36,Groups!A:A,Groups!BC:BC)=1,_xlfn.XLOOKUP(E36,Groups!A:A,Groups!U:U)=2),BD36,BE36))*1.2)</f>
        <v>No</v>
      </c>
      <c r="BG36" s="8">
        <f>IFERROR(EXP(1.076*LN(AQ36)-4.5397)*IF(_xlfn.XLOOKUP(E36,Groups!A:A,Groups!N:N)="Insect",1,IF(OR(_xlfn.XLOOKUP(E36,Groups!A:A,Groups!N:N)="Pig",_xlfn.XLOOKUP(E36,Groups!A:A,Groups!N:N)="StrongBitingHerbivore"),3.5,3.75)),"No")</f>
        <v>4.0962857498574889</v>
      </c>
      <c r="BH36" s="8">
        <f t="shared" si="5"/>
        <v>9</v>
      </c>
      <c r="BI36" s="8">
        <f t="shared" si="6"/>
        <v>9</v>
      </c>
      <c r="BJ36" s="8" t="str">
        <f>IF(W36="No","No",ROUNDDOWN(SQRT((2*BF36)/AZ36),0))</f>
        <v>No</v>
      </c>
      <c r="BK36" s="8">
        <f>IF(V36="No","No",ROUNDDOWN(SQRT((2*BG36)/AY36),0))</f>
        <v>6</v>
      </c>
      <c r="BL36" s="8">
        <f t="shared" si="7"/>
        <v>10</v>
      </c>
      <c r="BM36" s="8" t="str" cm="1">
        <f t="array" ref="BM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stats'!E36,Groups!A:A,Groups!P:P=0)),"No",IF(U36="No",AVERAGE(EXP(-0.57+0.99*LN(C36)),EXP(0.32+0.67*LN(C36)))/IF(_xlfn.XLOOKUP(E36,Groups!A:A,Groups!AD:AD)=1,10,2),(0.7354*C36^0.4078)*2/IF(_xlfn.XLOOKUP(E36,Groups!A:A,Groups!BJ:BJ)=1,1000,100)))</f>
        <v>No</v>
      </c>
      <c r="BN36" s="8" t="str">
        <f>IF(W36="No","No",IF(_xlfn.XLOOKUP(E36,Groups!A:A,Groups!BC:BC)=1,(AL36*5%),EXP(0.7354*LN(C36)^0.4078)*2/IF(_xlfn.XLOOKUP(E36,Groups!A:A,Groups!BK:BK)=1,1000,100)))</f>
        <v>No</v>
      </c>
      <c r="BO36" s="8">
        <f>IF(BG36="No","No",IF(_xlfn.XLOOKUP(E36,Groups!A:A,Groups!BE:BE)=1,(0.0315*C36+2.1825)*2,(0.7354*C36^0.4078)*2)/IF(_xlfn.XLOOKUP(E36,Groups!A:A,Groups!BL:BL)=1,1000,100))</f>
        <v>1.1942182426698152E-2</v>
      </c>
      <c r="BP36" s="8">
        <f>BD36/(AL36*5%)</f>
        <v>3.1044065609413307E-2</v>
      </c>
      <c r="BQ36" s="8" t="str">
        <f t="shared" si="8"/>
        <v>No</v>
      </c>
      <c r="BR36" s="8" t="str">
        <f>IF(W36="No","No",BF36/BN36)</f>
        <v>No</v>
      </c>
      <c r="BS36" s="8">
        <f t="shared" si="9"/>
        <v>343.00981206749623</v>
      </c>
      <c r="BT36" s="4">
        <v>0</v>
      </c>
      <c r="BU36" s="4">
        <v>1</v>
      </c>
    </row>
    <row r="37" spans="1:73" x14ac:dyDescent="0.25">
      <c r="A37" s="26" t="s">
        <v>132</v>
      </c>
      <c r="B37" s="6" t="s">
        <v>133</v>
      </c>
      <c r="C37" s="7">
        <v>0.72799999999999998</v>
      </c>
      <c r="D37" s="7" t="s">
        <v>536</v>
      </c>
      <c r="E37" s="7" t="str">
        <f>Groups!A45</f>
        <v>Rodentlike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536</v>
      </c>
      <c r="L37" s="7">
        <f>MIN(20*C37^0.183,19.9*C37^0.142)</f>
        <v>18.871222625770422</v>
      </c>
      <c r="M37" s="7" t="s">
        <v>638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_xlfn.XLOOKUP(B37,[1]TeethAdjusters!$A:$A,[1]BiteAdjusters!$C:$C)</f>
        <v>1</v>
      </c>
      <c r="T37" s="7">
        <f>_xlfn.XLOOKUP(B37,[1]TeethAdjusters!$A:$A,[1]TeethAdjusters!$B:$B)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945</v>
      </c>
      <c r="Y37" s="4" t="s">
        <v>42</v>
      </c>
      <c r="Z37" s="4">
        <v>0</v>
      </c>
      <c r="AA37" s="4">
        <v>0</v>
      </c>
      <c r="AB37" s="4">
        <v>0</v>
      </c>
      <c r="AC37" s="4" t="s">
        <v>45</v>
      </c>
      <c r="AD37" s="4" t="s">
        <v>408</v>
      </c>
      <c r="AE37" s="28" t="s">
        <v>394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4" t="s">
        <v>40</v>
      </c>
      <c r="AL37" s="8">
        <f t="shared" si="16"/>
        <v>903.04288528192444</v>
      </c>
      <c r="AM37" s="8">
        <f>IFERROR(C37*_xlfn.XLOOKUP(E37,Groups!A:A,Groups!K:K),0.106*C37^0.94)</f>
        <v>7.8651925978783996E-2</v>
      </c>
      <c r="AN37" s="8">
        <f>AM37*10000/(_xlfn.XLOOKUP(E37,Groups!A:A,Groups!J:J)*AL37)</f>
        <v>0.79905098010088327</v>
      </c>
      <c r="AO37" s="8">
        <f t="shared" si="17"/>
        <v>41.589445089156456</v>
      </c>
      <c r="AP37" s="8">
        <f>IF(_xlfn.XLOOKUP(E37,Groups!A:A,Groups!M:M)=1,EXP(0.7444*LN('Base stats'!C37)+6.5696),EXP(0.7927*LN('Base stats'!C37)+4.28))</f>
        <v>56.168383715329448</v>
      </c>
      <c r="AQ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"No")))))))))))))))</f>
        <v>61.684457523507398</v>
      </c>
      <c r="AR37" s="8">
        <f>IF(_xlfn.XLOOKUP(E37,Groups!A:A,Groups!U:U)=3,AP37,IF(_xlfn.XLOOKUP(E37,Groups!A:A,Groups!U:U)=2,AO37,AQ37))</f>
        <v>61.684457523507398</v>
      </c>
      <c r="AS37" s="46">
        <f>IFERROR(AVERAGE(_xlfn.XLOOKUP(B37,Animals!B:B,Animals!M:M),_xlfn.XLOOKUP(B37,Animals!B:B,Animals!N:N)),0)</f>
        <v>0</v>
      </c>
      <c r="AT37" s="8">
        <f>MROUND(40*Animals!AN37*_xlfn.XLOOKUP(Animals!AZ37,Leathers!$A$2:$A$100,Leathers!$B$2:$B$100,0)+(140*_xlfn.XLOOKUP(B37,Animals!B:B,Animals!AN:AN)*2),5)</f>
        <v>55</v>
      </c>
      <c r="AU37" s="8">
        <f>IFERROR(ROUND(SQRT(V37-1)*IF(_xlfn.XLOOKUP(E37,Groups!A:A,Groups!BE:BE)=0,2,1)*IF(_xlfn.XLOOKUP('Base stats'!E37,Groups!A:A,Groups!O:O)=0,1,0.1),1),0)</f>
        <v>0</v>
      </c>
      <c r="AV37" s="8">
        <f t="shared" si="18"/>
        <v>0</v>
      </c>
      <c r="AW37" s="8">
        <f t="shared" si="19"/>
        <v>0</v>
      </c>
      <c r="AX37" s="8">
        <f t="shared" si="20"/>
        <v>0.5</v>
      </c>
      <c r="AY37" s="8">
        <f>IF(_xlfn.XLOOKUP(E37,Groups!A:A,Groups!N:N)="Insect",BA37*2.5,IFERROR(AVERAGE(BA37,AQ37/9.81/IF(OR(_xlfn.XLOOKUP(E37,Groups!A:A,Groups!N:N)="Pig",_xlfn.XLOOKUP(E37,Groups!A:A,Groups!N:N)="StrongBitingHerbivore"),20,25))*C37^-0.135,BA37))</f>
        <v>0.14736833676824174</v>
      </c>
      <c r="AZ37" s="8" t="str">
        <f>IF(W37="No","No",IF(_xlfn.XLOOKUP(E37,Groups!A:A,Groups!U:U)=1,'Base stats'!AY37,IF(OR(_xlfn.XLOOKUP(E37,Groups!A:A,Groups!BC:BC)=1,_xlfn.XLOOKUP(E37,Groups!A:A,Groups!U:U)=2),BA37,IF(_xlfn.XLOOKUP(B37,Animals!B:B,Animals!AN:AN)&gt;4,AVERAGE(BA37,BC37),BC37))))</f>
        <v>No</v>
      </c>
      <c r="BA37" s="8">
        <f>(0.0392*C37^IF(OR(Y37="Herbivore",Y37="Dendrovore",Y37="OmnivoreRough"),0.889,0.966))*C37^-0.135</f>
        <v>3.085553827051429E-2</v>
      </c>
      <c r="BB37" s="8">
        <f>IF(_xlfn.XLOOKUP(E37,Groups!A:A,Groups!BD:BD)=1,(0.048*C37^1.01)+(0.071*C37^1.03),0.071*C37^1.03)/IF(_xlfn.XLOOKUP(E37,Groups!A:A,Groups!M:M)=1,0.85,IF(OR(_xlfn.XLOOKUP(B37,Animals!B:B,Animals!AN:AN)&gt;4,_xlfn.XLOOKUP(E37,Groups!A:A,Groups!BB:BB)=1),1.7,1))*C37^-0.25</f>
        <v>5.5426930016697393E-2</v>
      </c>
      <c r="BC37" s="8">
        <f>(0.048*C37^1.01)/IF(_xlfn.XLOOKUP(E37,Groups!A:A,Groups!M:M)=1,0.25,0.8)*C37^-0.25</f>
        <v>4.7137994203485821E-2</v>
      </c>
      <c r="BD37" s="8">
        <f>EXP(1.076*LN(AO37)-4.5397)*IF(_xlfn.XLOOKUP(E37,Groups!A:A,Groups!BB:BB)=1,1.25,IF(_xlfn.XLOOKUP(E37,Groups!A:A,Groups!BC:BC)=1,3.5,2.5))</f>
        <v>1.473666437082841</v>
      </c>
      <c r="BE37" s="8">
        <f>EXP(1.076*LN(AP37)-4.5397)*IF(_xlfn.XLOOKUP(E37,Groups!A:A,Groups!M:M)=1,0.8,IF(_xlfn.XLOOKUP(E37,Groups!A:A,Groups!BB:BB)=1,1.3,3))</f>
        <v>2.4434750485028198</v>
      </c>
      <c r="BF37" s="8" t="str">
        <f>IF(W37="No","No",IF(_xlfn.XLOOKUP(E37,Groups!A:A,Groups!U:U)=1,'Base stats'!BG37,IF(OR(_xlfn.XLOOKUP(E37,Groups!A:A,Groups!BC:BC)=1,_xlfn.XLOOKUP(E37,Groups!A:A,Groups!U:U)=2),BD37,BE37))*1.2)</f>
        <v>No</v>
      </c>
      <c r="BG37" s="8">
        <f>IFERROR(EXP(1.076*LN(AQ37)-4.5397)*IF(_xlfn.XLOOKUP(E37,Groups!A:A,Groups!N:N)="Insect",1,IF(OR(_xlfn.XLOOKUP(E37,Groups!A:A,Groups!N:N)="Pig",_xlfn.XLOOKUP(E37,Groups!A:A,Groups!N:N)="StrongBitingHerbivore"),3.5,3.75)),"No")</f>
        <v>3.3782650091365118</v>
      </c>
      <c r="BH37" s="8">
        <f t="shared" si="5"/>
        <v>9</v>
      </c>
      <c r="BI37" s="8">
        <f t="shared" si="6"/>
        <v>9</v>
      </c>
      <c r="BJ37" s="8" t="str">
        <f>IF(W37="No","No",ROUNDDOWN(SQRT((2*BF37)/AZ37),0))</f>
        <v>No</v>
      </c>
      <c r="BK37" s="8">
        <f>IF(V37="No","No",ROUNDDOWN(SQRT((2*BG37)/AY37),0))</f>
        <v>6</v>
      </c>
      <c r="BL37" s="8">
        <f t="shared" si="7"/>
        <v>10</v>
      </c>
      <c r="BM37" s="8" t="str" cm="1">
        <f t="array" ref="BM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stats'!E37,Groups!A:A,Groups!P:P=0)),"No",IF(U37="No",AVERAGE(EXP(-0.57+0.99*LN(C37)),EXP(0.32+0.67*LN(C37)))/IF(_xlfn.XLOOKUP(E37,Groups!A:A,Groups!AD:AD)=1,10,2),(0.7354*C37^0.4078)*2/IF(_xlfn.XLOOKUP(E37,Groups!A:A,Groups!BJ:BJ)=1,1000,100)))</f>
        <v>No</v>
      </c>
      <c r="BN37" s="8" t="str">
        <f>IF(W37="No","No",IF(_xlfn.XLOOKUP(E37,Groups!A:A,Groups!BC:BC)=1,(AL37*5%),EXP(0.7354*LN(C37)^0.4078)*2/IF(_xlfn.XLOOKUP(E37,Groups!A:A,Groups!BK:BK)=1,1000,100)))</f>
        <v>No</v>
      </c>
      <c r="BO37" s="8">
        <f>IF(BG37="No","No",IF(_xlfn.XLOOKUP(E37,Groups!A:A,Groups!BE:BE)=1,(0.0315*C37+2.1825)*2,(0.7354*C37^0.4078)*2)/IF(_xlfn.XLOOKUP(E37,Groups!A:A,Groups!BL:BL)=1,1000,100))</f>
        <v>1.2922031568339123E-2</v>
      </c>
      <c r="BP37" s="8">
        <f>BD37/(AL37*5%)</f>
        <v>3.2637795194472324E-2</v>
      </c>
      <c r="BQ37" s="8" t="str">
        <f t="shared" si="8"/>
        <v>No</v>
      </c>
      <c r="BR37" s="8" t="str">
        <f>IF(W37="No","No",BF37/BN37)</f>
        <v>No</v>
      </c>
      <c r="BS37" s="8">
        <f t="shared" si="9"/>
        <v>261.43451138238646</v>
      </c>
      <c r="BT37" s="4">
        <v>0</v>
      </c>
      <c r="BU37" s="4">
        <v>1</v>
      </c>
    </row>
    <row r="38" spans="1:73" x14ac:dyDescent="0.25">
      <c r="A38" s="26" t="s">
        <v>134</v>
      </c>
      <c r="B38" s="6" t="s">
        <v>135</v>
      </c>
      <c r="C38" s="7">
        <v>0.64249999999999996</v>
      </c>
      <c r="D38" s="7" t="s">
        <v>537</v>
      </c>
      <c r="E38" s="7" t="str">
        <f>Groups!A47</f>
        <v>Rodentlike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537</v>
      </c>
      <c r="L38" s="7">
        <v>24</v>
      </c>
      <c r="M38" s="7" t="s">
        <v>646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_xlfn.XLOOKUP(B38,[1]TeethAdjusters!$A:$A,[1]BiteAdjusters!$C:$C)</f>
        <v>1</v>
      </c>
      <c r="T38" s="7">
        <f>_xlfn.XLOOKUP(B38,[1]TeethAdjusters!$A:$A,[1]TeethAdjusters!$B:$B)</f>
        <v>1</v>
      </c>
      <c r="U38" s="7" t="s">
        <v>45</v>
      </c>
      <c r="V38" s="7">
        <v>0.8</v>
      </c>
      <c r="W38" s="7" t="s">
        <v>45</v>
      </c>
      <c r="X38" s="7" t="s">
        <v>945</v>
      </c>
      <c r="Y38" s="4" t="s">
        <v>42</v>
      </c>
      <c r="Z38" s="4">
        <v>0</v>
      </c>
      <c r="AA38" s="4">
        <v>0</v>
      </c>
      <c r="AB38" s="4">
        <v>0</v>
      </c>
      <c r="AC38" s="4" t="s">
        <v>45</v>
      </c>
      <c r="AD38" s="4" t="s">
        <v>410</v>
      </c>
      <c r="AE38" s="28" t="s">
        <v>387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4" t="s">
        <v>40</v>
      </c>
      <c r="AL38" s="8">
        <f t="shared" si="16"/>
        <v>832.60787568991088</v>
      </c>
      <c r="AM38" s="8">
        <f>IFERROR(C38*_xlfn.XLOOKUP(E38,Groups!A:A,Groups!K:K),0.106*C38^0.94)</f>
        <v>6.9936937254361425E-2</v>
      </c>
      <c r="AN38" s="8">
        <f>AM38*10000/(_xlfn.XLOOKUP(E38,Groups!A:A,Groups!J:J)*AL38)</f>
        <v>0.77061879462921312</v>
      </c>
      <c r="AO38" s="8">
        <f t="shared" si="17"/>
        <v>37.424084433394206</v>
      </c>
      <c r="AP38" s="8">
        <f>IF(_xlfn.XLOOKUP(E38,Groups!A:A,Groups!M:M)=1,EXP(0.7444*LN('Base stats'!C38)+6.5696),EXP(0.7927*LN('Base stats'!C38)+4.28))</f>
        <v>50.872304827912998</v>
      </c>
      <c r="AQ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"No")))))))))))))))</f>
        <v>57.498363699898839</v>
      </c>
      <c r="AR38" s="8">
        <f>IF(_xlfn.XLOOKUP(E38,Groups!A:A,Groups!U:U)=3,AP38,IF(_xlfn.XLOOKUP(E38,Groups!A:A,Groups!U:U)=2,AO38,AQ38))</f>
        <v>57.498363699898839</v>
      </c>
      <c r="AS38" s="46">
        <f>IFERROR(AVERAGE(_xlfn.XLOOKUP(B38,Animals!B:B,Animals!M:M),_xlfn.XLOOKUP(B38,Animals!B:B,Animals!N:N)),0)</f>
        <v>0</v>
      </c>
      <c r="AT38" s="8">
        <f>MROUND(40*Animals!AN38*_xlfn.XLOOKUP(Animals!AZ38,Leathers!$A$2:$A$100,Leathers!$B$2:$B$100,0)+(140*_xlfn.XLOOKUP(B38,Animals!B:B,Animals!AN:AN)*2),5)</f>
        <v>80</v>
      </c>
      <c r="AU38" s="8">
        <f>IFERROR(ROUND(SQRT(V38-1)*IF(_xlfn.XLOOKUP(E38,Groups!A:A,Groups!BE:BE)=0,2,1)*IF(_xlfn.XLOOKUP('Base stats'!E38,Groups!A:A,Groups!O:O)=0,1,0.1),1),0)</f>
        <v>0</v>
      </c>
      <c r="AV38" s="8">
        <f t="shared" si="18"/>
        <v>0</v>
      </c>
      <c r="AW38" s="8">
        <f t="shared" si="19"/>
        <v>0</v>
      </c>
      <c r="AX38" s="8">
        <f t="shared" si="20"/>
        <v>0.5</v>
      </c>
      <c r="AY38" s="8">
        <f>IF(_xlfn.XLOOKUP(E38,Groups!A:A,Groups!N:N)="Insect",BA38*2.5,IFERROR(AVERAGE(BA38,AQ38/9.81/IF(OR(_xlfn.XLOOKUP(E38,Groups!A:A,Groups!N:N)="Pig",_xlfn.XLOOKUP(E38,Groups!A:A,Groups!N:N)="StrongBitingHerbivore"),20,25))*C38^-0.135,BA38))</f>
        <v>0.13934308206062856</v>
      </c>
      <c r="AZ38" s="8" t="str">
        <f>IF(W38="No","No",IF(_xlfn.XLOOKUP(E38,Groups!A:A,Groups!U:U)=1,'Base stats'!AY38,IF(OR(_xlfn.XLOOKUP(E38,Groups!A:A,Groups!BC:BC)=1,_xlfn.XLOOKUP(E38,Groups!A:A,Groups!U:U)=2),BA38,IF(_xlfn.XLOOKUP(B38,Animals!B:B,Animals!AN:AN)&gt;4,AVERAGE(BA38,BC38),BC38))))</f>
        <v>No</v>
      </c>
      <c r="BA38" s="8">
        <f>(0.0392*C38^IF(OR(Y38="Herbivore",Y38="Dendrovore",Y38="OmnivoreRough"),0.889,0.966))*C38^-0.135</f>
        <v>2.8081636188688721E-2</v>
      </c>
      <c r="BB38" s="8">
        <f>IF(_xlfn.XLOOKUP(E38,Groups!A:A,Groups!BD:BD)=1,(0.048*C38^1.01)+(0.071*C38^1.03),0.071*C38^1.03)/IF(_xlfn.XLOOKUP(E38,Groups!A:A,Groups!M:M)=1,0.85,IF(OR(_xlfn.XLOOKUP(B38,Animals!B:B,Animals!AN:AN)&gt;4,_xlfn.XLOOKUP(E38,Groups!A:A,Groups!BB:BB)=1),1.7,1))*C38^-0.25</f>
        <v>5.0280477299913279E-2</v>
      </c>
      <c r="BC38" s="8">
        <f>(0.048*C38^1.01)/IF(_xlfn.XLOOKUP(E38,Groups!A:A,Groups!M:M)=1,0.25,0.8)*C38^-0.25</f>
        <v>4.2868158787209225E-2</v>
      </c>
      <c r="BD38" s="8">
        <f>EXP(1.076*LN(AO38)-4.5397)*IF(_xlfn.XLOOKUP(E38,Groups!A:A,Groups!BB:BB)=1,1.25,IF(_xlfn.XLOOKUP(E38,Groups!A:A,Groups!BC:BC)=1,3.5,2.5))</f>
        <v>1.3154793149228825</v>
      </c>
      <c r="BE38" s="8">
        <f>EXP(1.076*LN(AP38)-4.5397)*IF(_xlfn.XLOOKUP(E38,Groups!A:A,Groups!M:M)=1,0.8,IF(_xlfn.XLOOKUP(E38,Groups!A:A,Groups!BB:BB)=1,1.3,3))</f>
        <v>2.1964867965589372</v>
      </c>
      <c r="BF38" s="8" t="str">
        <f>IF(W38="No","No",IF(_xlfn.XLOOKUP(E38,Groups!A:A,Groups!U:U)=1,'Base stats'!BG38,IF(OR(_xlfn.XLOOKUP(E38,Groups!A:A,Groups!BC:BC)=1,_xlfn.XLOOKUP(E38,Groups!A:A,Groups!U:U)=2),BD38,BE38))*1.2)</f>
        <v>No</v>
      </c>
      <c r="BG38" s="8">
        <f>IFERROR(EXP(1.076*LN(AQ38)-4.5397)*IF(_xlfn.XLOOKUP(E38,Groups!A:A,Groups!N:N)="Insect",1,IF(OR(_xlfn.XLOOKUP(E38,Groups!A:A,Groups!N:N)="Pig",_xlfn.XLOOKUP(E38,Groups!A:A,Groups!N:N)="StrongBitingHerbivore"),3.5,3.75)),"No")</f>
        <v>3.1322319178376836</v>
      </c>
      <c r="BH38" s="8">
        <f t="shared" si="5"/>
        <v>9</v>
      </c>
      <c r="BI38" s="8">
        <f t="shared" si="6"/>
        <v>9</v>
      </c>
      <c r="BJ38" s="8" t="str">
        <f>IF(W38="No","No",ROUNDDOWN(SQRT((2*BF38)/AZ38),0))</f>
        <v>No</v>
      </c>
      <c r="BK38" s="8">
        <f>IF(V38="No","No",ROUNDDOWN(SQRT((2*BG38)/AY38),0))</f>
        <v>6</v>
      </c>
      <c r="BL38" s="8">
        <f t="shared" si="7"/>
        <v>10</v>
      </c>
      <c r="BM38" s="8" t="str" cm="1">
        <f t="array" ref="BM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stats'!E38,Groups!A:A,Groups!P:P=0)),"No",IF(U38="No",AVERAGE(EXP(-0.57+0.99*LN(C38)),EXP(0.32+0.67*LN(C38)))/IF(_xlfn.XLOOKUP(E38,Groups!A:A,Groups!AD:AD)=1,10,2),(0.7354*C38^0.4078)*2/IF(_xlfn.XLOOKUP(E38,Groups!A:A,Groups!BJ:BJ)=1,1000,100)))</f>
        <v>No</v>
      </c>
      <c r="BN38" s="8" t="str">
        <f>IF(W38="No","No",IF(_xlfn.XLOOKUP(E38,Groups!A:A,Groups!BC:BC)=1,(AL38*5%),EXP(0.7354*LN(C38)^0.4078)*2/IF(_xlfn.XLOOKUP(E38,Groups!A:A,Groups!BK:BK)=1,1000,100)))</f>
        <v>No</v>
      </c>
      <c r="BO38" s="8">
        <f>IF(BG38="No","No",IF(_xlfn.XLOOKUP(E38,Groups!A:A,Groups!BE:BE)=1,(0.0315*C38+2.1825)*2,(0.7354*C38^0.4078)*2)/IF(_xlfn.XLOOKUP(E38,Groups!A:A,Groups!BL:BL)=1,1000,100))</f>
        <v>1.2280167326328261E-2</v>
      </c>
      <c r="BP38" s="8">
        <f>BD38/(AL38*5%)</f>
        <v>3.1599012051930386E-2</v>
      </c>
      <c r="BQ38" s="8" t="str">
        <f t="shared" si="8"/>
        <v>No</v>
      </c>
      <c r="BR38" s="8" t="str">
        <f>IF(W38="No","No",BF38/BN38)</f>
        <v>No</v>
      </c>
      <c r="BS38" s="8">
        <f t="shared" si="9"/>
        <v>255.064270266276</v>
      </c>
      <c r="BT38" s="4">
        <v>0</v>
      </c>
      <c r="BU38" s="4">
        <v>1</v>
      </c>
    </row>
    <row r="39" spans="1:73" x14ac:dyDescent="0.25">
      <c r="A39" s="26" t="s">
        <v>121</v>
      </c>
      <c r="B39" s="6" t="s">
        <v>122</v>
      </c>
      <c r="C39" s="7">
        <f>AVERAGE(61.2,54.2)</f>
        <v>57.7</v>
      </c>
      <c r="D39" s="7" t="s">
        <v>1199</v>
      </c>
      <c r="E39" s="7" t="str">
        <f>Groups!A44</f>
        <v>Rodentlike (tailless, semi-aquatic)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557</v>
      </c>
      <c r="L39" s="7">
        <f>MIN(20*C39^0.183,19.9*C39^0.142)</f>
        <v>35.394847205186537</v>
      </c>
      <c r="M39" s="7" t="s">
        <v>638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_xlfn.XLOOKUP(B39,[1]TeethAdjusters!$A:$A,[1]BiteAdjusters!$C:$C)</f>
        <v>1</v>
      </c>
      <c r="T39" s="7">
        <f>_xlfn.XLOOKUP(B39,[1]TeethAdjusters!$A:$A,[1]TeethAdjusters!$B:$B)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945</v>
      </c>
      <c r="Y39" s="4" t="s">
        <v>42</v>
      </c>
      <c r="Z39" s="4">
        <v>0</v>
      </c>
      <c r="AA39" s="4">
        <v>0</v>
      </c>
      <c r="AB39" s="4">
        <v>0</v>
      </c>
      <c r="AC39" s="4" t="s">
        <v>45</v>
      </c>
      <c r="AD39" s="4" t="s">
        <v>410</v>
      </c>
      <c r="AE39" s="28" t="s">
        <v>394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4" t="s">
        <v>40</v>
      </c>
      <c r="AL39" s="8">
        <f t="shared" si="16"/>
        <v>15491.278344543136</v>
      </c>
      <c r="AM39" s="8">
        <f>IFERROR(C39*_xlfn.XLOOKUP(E39,Groups!A:A,Groups!K:K),0.106*C39^0.94)</f>
        <v>4.795248626705237</v>
      </c>
      <c r="AN39" s="8">
        <f>AM39*10000/(_xlfn.XLOOKUP(E39,Groups!A:A,Groups!J:J)*AL39)</f>
        <v>2.8398629014704433</v>
      </c>
      <c r="AO39" s="8">
        <f t="shared" si="17"/>
        <v>1671.4983763176706</v>
      </c>
      <c r="AP39" s="8">
        <f>IF(_xlfn.XLOOKUP(E39,Groups!A:A,Groups!M:M)=1,EXP(0.7444*LN('Base stats'!C39)+6.5696),EXP(0.7927*LN('Base stats'!C39)+4.28))</f>
        <v>1798.3095458934615</v>
      </c>
      <c r="AQ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"No")))))))))))))))</f>
        <v>721.75241177395685</v>
      </c>
      <c r="AR39" s="8">
        <f>IF(_xlfn.XLOOKUP(E39,Groups!A:A,Groups!U:U)=3,AP39,IF(_xlfn.XLOOKUP(E39,Groups!A:A,Groups!U:U)=2,AO39,AQ39))</f>
        <v>721.75241177395685</v>
      </c>
      <c r="AS39" s="46">
        <f>IFERROR(AVERAGE(_xlfn.XLOOKUP(B39,Animals!B:B,Animals!M:M),_xlfn.XLOOKUP(B39,Animals!B:B,Animals!N:N)),0)</f>
        <v>0</v>
      </c>
      <c r="AT39" s="8">
        <f>MROUND(40*Animals!AN39*_xlfn.XLOOKUP(Animals!AZ39,Leathers!$A$2:$A$100,Leathers!$B$2:$B$100,0)+(140*_xlfn.XLOOKUP(B39,Animals!B:B,Animals!AN:AN)*2),5)</f>
        <v>320</v>
      </c>
      <c r="AU39" s="8">
        <f>IFERROR(ROUND(SQRT(V39-1)*IF(_xlfn.XLOOKUP(E39,Groups!A:A,Groups!BE:BE)=0,2,1)*IF(_xlfn.XLOOKUP('Base stats'!E39,Groups!A:A,Groups!O:O)=0,1,0.1),1),0)</f>
        <v>5.0999999999999996</v>
      </c>
      <c r="AV39" s="8">
        <f t="shared" si="18"/>
        <v>0</v>
      </c>
      <c r="AW39" s="8">
        <f t="shared" si="19"/>
        <v>0</v>
      </c>
      <c r="AX39" s="8">
        <f t="shared" si="20"/>
        <v>3.4</v>
      </c>
      <c r="AY39" s="8">
        <f>IF(_xlfn.XLOOKUP(E39,Groups!A:A,Groups!N:N)="Insect",BA39*2.5,IFERROR(AVERAGE(BA39,AQ39/9.81/IF(OR(_xlfn.XLOOKUP(E39,Groups!A:A,Groups!N:N)="Pig",_xlfn.XLOOKUP(E39,Groups!A:A,Groups!N:N)="StrongBitingHerbivore"),20,25))*C39^-0.135,BA39))</f>
        <v>1.0923452949768868</v>
      </c>
      <c r="AZ39" s="8" t="str">
        <f>IF(W39="No","No",IF(_xlfn.XLOOKUP(E39,Groups!A:A,Groups!U:U)=1,'Base stats'!AY39,IF(OR(_xlfn.XLOOKUP(E39,Groups!A:A,Groups!BC:BC)=1,_xlfn.XLOOKUP(E39,Groups!A:A,Groups!U:U)=2),BA39,IF(_xlfn.XLOOKUP(B39,Animals!B:B,Animals!AN:AN)&gt;4,AVERAGE(BA39,BC39),BC39))))</f>
        <v>No</v>
      </c>
      <c r="BA39" s="8">
        <f>(0.0392*C39^IF(OR(Y39="Herbivore",Y39="Dendrovore",Y39="OmnivoreRough"),0.889,0.966))*C39^-0.135</f>
        <v>0.83408945402193257</v>
      </c>
      <c r="BB39" s="8">
        <f>IF(_xlfn.XLOOKUP(E39,Groups!A:A,Groups!BD:BD)=1,(0.048*C39^1.01)+(0.071*C39^1.03),0.071*C39^1.03)/IF(_xlfn.XLOOKUP(E39,Groups!A:A,Groups!M:M)=1,0.85,IF(OR(_xlfn.XLOOKUP(B39,Animals!B:B,Animals!AN:AN)&gt;4,_xlfn.XLOOKUP(E39,Groups!A:A,Groups!BB:BB)=1),1.7,1))*C39^-0.25</f>
        <v>1.6787092480742718</v>
      </c>
      <c r="BC39" s="8">
        <f>(0.048*C39^1.01)/IF(_xlfn.XLOOKUP(E39,Groups!A:A,Groups!M:M)=1,0.25,0.8)*C39^-0.25</f>
        <v>1.3081118153339701</v>
      </c>
      <c r="BD39" s="8">
        <f>EXP(1.076*LN(AO39)-4.5397)*IF(_xlfn.XLOOKUP(E39,Groups!A:A,Groups!BB:BB)=1,1.25,IF(_xlfn.XLOOKUP(E39,Groups!A:A,Groups!BC:BC)=1,3.5,2.5))</f>
        <v>78.421539030877653</v>
      </c>
      <c r="BE39" s="8">
        <f>EXP(1.076*LN(AP39)-4.5397)*IF(_xlfn.XLOOKUP(E39,Groups!A:A,Groups!M:M)=1,0.8,IF(_xlfn.XLOOKUP(E39,Groups!A:A,Groups!BB:BB)=1,1.3,3))</f>
        <v>101.80960278533206</v>
      </c>
      <c r="BF39" s="8" t="str">
        <f>IF(W39="No","No",IF(_xlfn.XLOOKUP(E39,Groups!A:A,Groups!U:U)=1,'Base stats'!BG39,IF(OR(_xlfn.XLOOKUP(E39,Groups!A:A,Groups!BC:BC)=1,_xlfn.XLOOKUP(E39,Groups!A:A,Groups!U:U)=2),BD39,BE39))*1.2)</f>
        <v>No</v>
      </c>
      <c r="BG39" s="8">
        <f>IFERROR(EXP(1.076*LN(AQ39)-4.5397)*IF(_xlfn.XLOOKUP(E39,Groups!A:A,Groups!N:N)="Insect",1,IF(OR(_xlfn.XLOOKUP(E39,Groups!A:A,Groups!N:N)="Pig",_xlfn.XLOOKUP(E39,Groups!A:A,Groups!N:N)="StrongBitingHerbivore"),3.5,3.75)),"No")</f>
        <v>47.653012249525908</v>
      </c>
      <c r="BH39" s="8">
        <f t="shared" si="5"/>
        <v>13</v>
      </c>
      <c r="BI39" s="8">
        <f t="shared" si="6"/>
        <v>11</v>
      </c>
      <c r="BJ39" s="8" t="str">
        <f>IF(W39="No","No",ROUNDDOWN(SQRT((2*BF39)/AZ39),0))</f>
        <v>No</v>
      </c>
      <c r="BK39" s="8">
        <f>IF(V39="No","No",ROUNDDOWN(SQRT((2*BG39)/AY39),0))</f>
        <v>9</v>
      </c>
      <c r="BL39" s="8">
        <f t="shared" si="7"/>
        <v>12</v>
      </c>
      <c r="BM39" s="8" t="str" cm="1">
        <f t="array" ref="BM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stats'!E39,Groups!A:A,Groups!P:P=0)),"No",IF(U39="No",AVERAGE(EXP(-0.57+0.99*LN(C39)),EXP(0.32+0.67*LN(C39)))/IF(_xlfn.XLOOKUP(E39,Groups!A:A,Groups!AD:AD)=1,10,2),(0.7354*C39^0.4078)*2/IF(_xlfn.XLOOKUP(E39,Groups!A:A,Groups!BJ:BJ)=1,1000,100)))</f>
        <v>No</v>
      </c>
      <c r="BN39" s="8" t="str">
        <f>IF(W39="No","No",IF(_xlfn.XLOOKUP(E39,Groups!A:A,Groups!BC:BC)=1,(AL39*5%),EXP(0.7354*LN(C39)^0.4078)*2/IF(_xlfn.XLOOKUP(E39,Groups!A:A,Groups!BK:BK)=1,1000,100)))</f>
        <v>No</v>
      </c>
      <c r="BO39" s="8">
        <f>IF(BG39="No","No",IF(_xlfn.XLOOKUP(E39,Groups!A:A,Groups!BE:BE)=1,(0.0315*C39+2.1825)*2,(0.7354*C39^0.4078)*2)/IF(_xlfn.XLOOKUP(E39,Groups!A:A,Groups!BL:BL)=1,1000,100))</f>
        <v>7.687074990410124E-2</v>
      </c>
      <c r="BP39" s="8">
        <f>BD39/(AL39*5%)</f>
        <v>0.10124605250347457</v>
      </c>
      <c r="BQ39" s="8" t="str">
        <f t="shared" si="8"/>
        <v>No</v>
      </c>
      <c r="BR39" s="8" t="str">
        <f>IF(W39="No","No",BF39/BN39)</f>
        <v>No</v>
      </c>
      <c r="BS39" s="8">
        <f t="shared" si="9"/>
        <v>619.91085437535855</v>
      </c>
      <c r="BT39" s="4">
        <v>0</v>
      </c>
      <c r="BU39" s="4">
        <v>1</v>
      </c>
    </row>
    <row r="40" spans="1:73" x14ac:dyDescent="0.25">
      <c r="A40" s="26" t="s">
        <v>124</v>
      </c>
      <c r="B40" s="6" t="s">
        <v>125</v>
      </c>
      <c r="C40" s="7">
        <v>35</v>
      </c>
      <c r="D40" s="7" t="s">
        <v>538</v>
      </c>
      <c r="E40" s="7" t="str">
        <f>Groups!A47</f>
        <v>Rodentlike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558</v>
      </c>
      <c r="L40" s="7">
        <f>MIN(20*C40^0.183,19.9*C40^0.142,13.7*C40^0.004)</f>
        <v>13.896225063401149</v>
      </c>
      <c r="M40" s="7" t="s">
        <v>638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_xlfn.XLOOKUP(B40,[1]TeethAdjusters!$A:$A,[1]BiteAdjusters!$C:$C)</f>
        <v>1.5835439013324151</v>
      </c>
      <c r="T40" s="7">
        <f>_xlfn.XLOOKUP(B40,[1]TeethAdjusters!$A:$A,[1]TeethAdjusters!$B:$B)</f>
        <v>1</v>
      </c>
      <c r="U40" s="7" t="s">
        <v>45</v>
      </c>
      <c r="V40" s="7">
        <f>MAX(20,25)/10</f>
        <v>2.5</v>
      </c>
      <c r="W40" s="7" t="s">
        <v>45</v>
      </c>
      <c r="X40" s="7" t="s">
        <v>945</v>
      </c>
      <c r="Y40" s="4" t="s">
        <v>1022</v>
      </c>
      <c r="Z40" s="4">
        <v>0</v>
      </c>
      <c r="AA40" s="4">
        <v>0</v>
      </c>
      <c r="AB40" s="4">
        <v>0</v>
      </c>
      <c r="AC40" s="4" t="s">
        <v>45</v>
      </c>
      <c r="AD40" s="4" t="s">
        <v>407</v>
      </c>
      <c r="AE40" s="28" t="s">
        <v>394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4">
        <v>10</v>
      </c>
      <c r="AL40" s="8">
        <f t="shared" si="16"/>
        <v>11193.533609727016</v>
      </c>
      <c r="AM40" s="8">
        <f>IFERROR(C40*_xlfn.XLOOKUP(E40,Groups!A:A,Groups!K:K),0.106*C40^0.94)</f>
        <v>2.9972973309206234</v>
      </c>
      <c r="AN40" s="8">
        <f>AM40*10000/(_xlfn.XLOOKUP(E40,Groups!A:A,Groups!J:J)*AL40)</f>
        <v>2.4566094684124091</v>
      </c>
      <c r="AO40" s="8">
        <f t="shared" si="17"/>
        <v>1095.7589503868378</v>
      </c>
      <c r="AP40" s="8">
        <f>IF(_xlfn.XLOOKUP(E40,Groups!A:A,Groups!M:M)=1,EXP(0.7444*LN('Base stats'!C40)+6.5696),EXP(0.7927*LN('Base stats'!C40)+4.28))</f>
        <v>1209.9380129875831</v>
      </c>
      <c r="AQ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"No")))))))))))))))</f>
        <v>862.77039000933701</v>
      </c>
      <c r="AR40" s="8">
        <f>IF(_xlfn.XLOOKUP(E40,Groups!A:A,Groups!U:U)=3,AP40,IF(_xlfn.XLOOKUP(E40,Groups!A:A,Groups!U:U)=2,AO40,AQ40))</f>
        <v>862.77039000933701</v>
      </c>
      <c r="AS40" s="46">
        <f>IFERROR(AVERAGE(_xlfn.XLOOKUP(B40,Animals!B:B,Animals!M:M),_xlfn.XLOOKUP(B40,Animals!B:B,Animals!N:N)),0)</f>
        <v>0</v>
      </c>
      <c r="AT40" s="8">
        <f>MROUND(40*Animals!AN40*_xlfn.XLOOKUP(Animals!AZ40,Leathers!$A$2:$A$100,Leathers!$B$2:$B$100,0)+(140*_xlfn.XLOOKUP(B40,Animals!B:B,Animals!AN:AN)*2),5)</f>
        <v>265</v>
      </c>
      <c r="AU40" s="8">
        <f>IFERROR(ROUND(SQRT(V40-1)*IF(_xlfn.XLOOKUP(E40,Groups!A:A,Groups!BE:BE)=0,2,1)*IF(_xlfn.XLOOKUP('Base stats'!E40,Groups!A:A,Groups!O:O)=0,1,0.1),1),0)</f>
        <v>2.4</v>
      </c>
      <c r="AV40" s="8">
        <f t="shared" si="18"/>
        <v>0</v>
      </c>
      <c r="AW40" s="8">
        <f t="shared" si="19"/>
        <v>0</v>
      </c>
      <c r="AX40" s="8">
        <f t="shared" si="20"/>
        <v>2.9</v>
      </c>
      <c r="AY40" s="8">
        <f>IF(_xlfn.XLOOKUP(E40,Groups!A:A,Groups!N:N)="Insect",BA40*2.5,IFERROR(AVERAGE(BA40,AQ40/9.81/IF(OR(_xlfn.XLOOKUP(E40,Groups!A:A,Groups!N:N)="Pig",_xlfn.XLOOKUP(E40,Groups!A:A,Groups!N:N)="StrongBitingHerbivore"),20,25))*C40^-0.135,BA40))</f>
        <v>1.265471199012334</v>
      </c>
      <c r="AZ40" s="8" t="str">
        <f>IF(W40="No","No",IF(_xlfn.XLOOKUP(E40,Groups!A:A,Groups!U:U)=1,'Base stats'!AY40,IF(OR(_xlfn.XLOOKUP(E40,Groups!A:A,Groups!BC:BC)=1,_xlfn.XLOOKUP(E40,Groups!A:A,Groups!U:U)=2),BA40,IF(_xlfn.XLOOKUP(B40,Animals!B:B,Animals!AN:AN)&gt;4,AVERAGE(BA40,BC40),BC40))))</f>
        <v>No</v>
      </c>
      <c r="BA40" s="8">
        <f>(0.0392*C40^IF(OR(Y40="Herbivore",Y40="Dendrovore",Y40="OmnivoreRough"),0.889,0.966))*C40^-0.135</f>
        <v>0.57215457172317086</v>
      </c>
      <c r="BB40" s="8">
        <f>IF(_xlfn.XLOOKUP(E40,Groups!A:A,Groups!BD:BD)=1,(0.048*C40^1.01)+(0.071*C40^1.03),0.071*C40^1.03)/IF(_xlfn.XLOOKUP(E40,Groups!A:A,Groups!M:M)=1,0.85,IF(OR(_xlfn.XLOOKUP(B40,Animals!B:B,Animals!AN:AN)&gt;4,_xlfn.XLOOKUP(E40,Groups!A:A,Groups!BB:BB)=1),1.7,1))*C40^-0.25</f>
        <v>1.1366622147994494</v>
      </c>
      <c r="BC40" s="8">
        <f>(0.048*C40^1.01)/IF(_xlfn.XLOOKUP(E40,Groups!A:A,Groups!M:M)=1,0.25,0.8)*C40^-0.25</f>
        <v>0.89462898368032151</v>
      </c>
      <c r="BD40" s="8">
        <f>EXP(1.076*LN(AO40)-4.5397)*IF(_xlfn.XLOOKUP(E40,Groups!A:A,Groups!BB:BB)=1,1.25,IF(_xlfn.XLOOKUP(E40,Groups!A:A,Groups!BC:BC)=1,3.5,2.5))</f>
        <v>49.785940753579851</v>
      </c>
      <c r="BE40" s="8">
        <f>EXP(1.076*LN(AP40)-4.5397)*IF(_xlfn.XLOOKUP(E40,Groups!A:A,Groups!M:M)=1,0.8,IF(_xlfn.XLOOKUP(E40,Groups!A:A,Groups!BB:BB)=1,1.3,3))</f>
        <v>66.46725045827219</v>
      </c>
      <c r="BF40" s="8" t="str">
        <f>IF(W40="No","No",IF(_xlfn.XLOOKUP(E40,Groups!A:A,Groups!U:U)=1,'Base stats'!BG40,IF(OR(_xlfn.XLOOKUP(E40,Groups!A:A,Groups!BC:BC)=1,_xlfn.XLOOKUP(E40,Groups!A:A,Groups!U:U)=2),BD40,BE40))*1.2)</f>
        <v>No</v>
      </c>
      <c r="BG40" s="8">
        <f>IFERROR(EXP(1.076*LN(AQ40)-4.5397)*IF(_xlfn.XLOOKUP(E40,Groups!A:A,Groups!N:N)="Insect",1,IF(OR(_xlfn.XLOOKUP(E40,Groups!A:A,Groups!N:N)="Pig",_xlfn.XLOOKUP(E40,Groups!A:A,Groups!N:N)="StrongBitingHerbivore"),3.5,3.75)),"No")</f>
        <v>57.741475532213684</v>
      </c>
      <c r="BH40" s="8">
        <f t="shared" si="5"/>
        <v>13</v>
      </c>
      <c r="BI40" s="8">
        <f t="shared" si="6"/>
        <v>10</v>
      </c>
      <c r="BJ40" s="8" t="str">
        <f>IF(W40="No","No",ROUNDDOWN(SQRT((2*BF40)/AZ40),0))</f>
        <v>No</v>
      </c>
      <c r="BK40" s="8">
        <f>IF(V40="No","No",ROUNDDOWN(SQRT((2*BG40)/AY40),0))</f>
        <v>9</v>
      </c>
      <c r="BL40" s="8">
        <f t="shared" si="7"/>
        <v>12</v>
      </c>
      <c r="BM40" s="8" t="str" cm="1">
        <f t="array" ref="BM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stats'!E40,Groups!A:A,Groups!P:P=0)),"No",IF(U40="No",AVERAGE(EXP(-0.57+0.99*LN(C40)),EXP(0.32+0.67*LN(C40)))/IF(_xlfn.XLOOKUP(E40,Groups!A:A,Groups!AD:AD)=1,10,2),(0.7354*C40^0.4078)*2/IF(_xlfn.XLOOKUP(E40,Groups!A:A,Groups!BJ:BJ)=1,1000,100)))</f>
        <v>No</v>
      </c>
      <c r="BN40" s="8" t="str">
        <f>IF(W40="No","No",IF(_xlfn.XLOOKUP(E40,Groups!A:A,Groups!BC:BC)=1,(AL40*5%),EXP(0.7354*LN(C40)^0.4078)*2/IF(_xlfn.XLOOKUP(E40,Groups!A:A,Groups!BK:BK)=1,1000,100)))</f>
        <v>No</v>
      </c>
      <c r="BO40" s="8">
        <f>IF(BG40="No","No",IF(_xlfn.XLOOKUP(E40,Groups!A:A,Groups!BE:BE)=1,(0.0315*C40+2.1825)*2,(0.7354*C40^0.4078)*2)/IF(_xlfn.XLOOKUP(E40,Groups!A:A,Groups!BL:BL)=1,1000,100))</f>
        <v>6.2693796472684152E-2</v>
      </c>
      <c r="BP40" s="8">
        <f>BD40/(AL40*5%)</f>
        <v>8.8954824257313339E-2</v>
      </c>
      <c r="BQ40" s="8" t="str">
        <f t="shared" si="8"/>
        <v>No</v>
      </c>
      <c r="BR40" s="8" t="str">
        <f>IF(W40="No","No",BF40/BN40)</f>
        <v>No</v>
      </c>
      <c r="BS40" s="8">
        <f t="shared" si="9"/>
        <v>921.00779950966592</v>
      </c>
      <c r="BT40" s="4">
        <v>0</v>
      </c>
      <c r="BU40" s="4">
        <v>1</v>
      </c>
    </row>
    <row r="41" spans="1:73" x14ac:dyDescent="0.25">
      <c r="A41" s="26" t="s">
        <v>126</v>
      </c>
      <c r="B41" s="6" t="s">
        <v>127</v>
      </c>
      <c r="C41" s="7">
        <v>10</v>
      </c>
      <c r="D41" s="7" t="s">
        <v>538</v>
      </c>
      <c r="E41" s="7" t="str">
        <f>Groups!A46</f>
        <v>Rodentlike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538</v>
      </c>
      <c r="L41" s="7">
        <f>MIN(20*C41^0.183,19.9*C41^0.142)</f>
        <v>27.596440994550576</v>
      </c>
      <c r="M41" s="7" t="s">
        <v>638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_xlfn.XLOOKUP(B41,[1]TeethAdjusters!$A:$A,[1]BiteAdjusters!$C:$C)</f>
        <v>1</v>
      </c>
      <c r="T41" s="7">
        <f>_xlfn.XLOOKUP(B41,[1]TeethAdjusters!$A:$A,[1]TeethAdjusters!$B:$B)</f>
        <v>1</v>
      </c>
      <c r="U41" s="7" t="s">
        <v>45</v>
      </c>
      <c r="V41" s="7">
        <v>4.5</v>
      </c>
      <c r="W41" s="7" t="s">
        <v>45</v>
      </c>
      <c r="X41" s="7" t="s">
        <v>945</v>
      </c>
      <c r="Y41" s="4" t="s">
        <v>1023</v>
      </c>
      <c r="Z41" s="4">
        <v>0</v>
      </c>
      <c r="AA41" s="4">
        <v>0.1</v>
      </c>
      <c r="AB41" s="4">
        <v>0.3</v>
      </c>
      <c r="AC41" s="4" t="s">
        <v>45</v>
      </c>
      <c r="AD41" s="4" t="s">
        <v>45</v>
      </c>
      <c r="AE41" s="28" t="s">
        <v>394</v>
      </c>
      <c r="AF41" s="4">
        <v>0</v>
      </c>
      <c r="AG41" s="4">
        <v>0</v>
      </c>
      <c r="AH41" s="4">
        <v>1</v>
      </c>
      <c r="AI41" s="4">
        <v>0</v>
      </c>
      <c r="AJ41" s="4">
        <v>0</v>
      </c>
      <c r="AK41" s="44" t="s">
        <v>40</v>
      </c>
      <c r="AL41" s="8">
        <f t="shared" si="16"/>
        <v>4958.187872875691</v>
      </c>
      <c r="AM41" s="8">
        <f>IFERROR(C41*_xlfn.XLOOKUP(E41,Groups!A:A,Groups!K:K),0.106*C41^0.94)</f>
        <v>0.92322140535344532</v>
      </c>
      <c r="AN41" s="8">
        <f>AM41*10000/(_xlfn.XLOOKUP(E41,Groups!A:A,Groups!J:J)*AL41)</f>
        <v>1.7082695063588127</v>
      </c>
      <c r="AO41" s="8">
        <f t="shared" si="17"/>
        <v>380.31263115847975</v>
      </c>
      <c r="AP41" s="8">
        <f>IF(_xlfn.XLOOKUP(E41,Groups!A:A,Groups!M:M)=1,EXP(0.7444*LN('Base stats'!C41)+6.5696),EXP(0.7927*LN('Base stats'!C41)+4.28))</f>
        <v>448.20880356342906</v>
      </c>
      <c r="AQ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"No")))))))))))))))</f>
        <v>269.29410643172787</v>
      </c>
      <c r="AR41" s="8">
        <f>IF(_xlfn.XLOOKUP(E41,Groups!A:A,Groups!U:U)=3,AP41,IF(_xlfn.XLOOKUP(E41,Groups!A:A,Groups!U:U)=2,AO41,AQ41))</f>
        <v>269.29410643172787</v>
      </c>
      <c r="AS41" s="46">
        <f>IFERROR(AVERAGE(_xlfn.XLOOKUP(B41,Animals!B:B,Animals!M:M),_xlfn.XLOOKUP(B41,Animals!B:B,Animals!N:N)),0)</f>
        <v>0</v>
      </c>
      <c r="AT41" s="8">
        <f>MROUND(40*Animals!AN41*_xlfn.XLOOKUP(Animals!AZ41,Leathers!$A$2:$A$100,Leathers!$B$2:$B$100,0)+(140*_xlfn.XLOOKUP(B41,Animals!B:B,Animals!AN:AN)*2),5)</f>
        <v>140</v>
      </c>
      <c r="AU41" s="8">
        <f>IFERROR(ROUND(SQRT(V41-1)*IF(_xlfn.XLOOKUP(E41,Groups!A:A,Groups!BE:BE)=0,2,1)*IF(_xlfn.XLOOKUP('Base stats'!E41,Groups!A:A,Groups!O:O)=0,1,0.1),1),0)</f>
        <v>3.7</v>
      </c>
      <c r="AV41" s="8">
        <f t="shared" si="18"/>
        <v>0</v>
      </c>
      <c r="AW41" s="8">
        <f t="shared" si="19"/>
        <v>0</v>
      </c>
      <c r="AX41" s="8">
        <f t="shared" si="20"/>
        <v>1.6</v>
      </c>
      <c r="AY41" s="8">
        <f>IF(_xlfn.XLOOKUP(E41,Groups!A:A,Groups!N:N)="Insect",BA41*2.5,IFERROR(AVERAGE(BA41,AQ41/9.81/IF(OR(_xlfn.XLOOKUP(E41,Groups!A:A,Groups!N:N)="Pig",_xlfn.XLOOKUP(E41,Groups!A:A,Groups!N:N)="StrongBitingHerbivore"),20,25))*C41^-0.135,BA41))</f>
        <v>0.48385350070247429</v>
      </c>
      <c r="AZ41" s="8" t="str">
        <f>IF(W41="No","No",IF(_xlfn.XLOOKUP(E41,Groups!A:A,Groups!U:U)=1,'Base stats'!AY41,IF(OR(_xlfn.XLOOKUP(E41,Groups!A:A,Groups!BC:BC)=1,_xlfn.XLOOKUP(E41,Groups!A:A,Groups!U:U)=2),BA41,IF(_xlfn.XLOOKUP(B41,Animals!B:B,Animals!AN:AN)&gt;4,AVERAGE(BA41,BC41),BC41))))</f>
        <v>No</v>
      </c>
      <c r="BA41" s="8">
        <f>(0.0392*C41^IF(OR(Y41="Herbivore",Y41="Dendrovore",Y41="OmnivoreRough"),0.889,0.966))*C41^-0.135</f>
        <v>0.22247748532015049</v>
      </c>
      <c r="BB41" s="8">
        <f>IF(_xlfn.XLOOKUP(E41,Groups!A:A,Groups!BD:BD)=1,(0.048*C41^1.01)+(0.071*C41^1.03),0.071*C41^1.03)/IF(_xlfn.XLOOKUP(E41,Groups!A:A,Groups!M:M)=1,0.85,IF(OR(_xlfn.XLOOKUP(B41,Animals!B:B,Animals!AN:AN)&gt;4,_xlfn.XLOOKUP(E41,Groups!A:A,Groups!BB:BB)=1),1.7,1))*C41^-0.25</f>
        <v>0.42781730611279417</v>
      </c>
      <c r="BC41" s="8">
        <f>(0.048*C41^1.01)/IF(_xlfn.XLOOKUP(E41,Groups!A:A,Groups!M:M)=1,0.25,0.8)*C41^-0.25</f>
        <v>0.34526396240229418</v>
      </c>
      <c r="BD41" s="8">
        <f>EXP(1.076*LN(AO41)-4.5397)*IF(_xlfn.XLOOKUP(E41,Groups!A:A,Groups!BB:BB)=1,1.25,IF(_xlfn.XLOOKUP(E41,Groups!A:A,Groups!BC:BC)=1,3.5,2.5))</f>
        <v>15.944275717953127</v>
      </c>
      <c r="BE41" s="8">
        <f>EXP(1.076*LN(AP41)-4.5397)*IF(_xlfn.XLOOKUP(E41,Groups!A:A,Groups!M:M)=1,0.8,IF(_xlfn.XLOOKUP(E41,Groups!A:A,Groups!BB:BB)=1,1.3,3))</f>
        <v>22.832185638487289</v>
      </c>
      <c r="BF41" s="8" t="str">
        <f>IF(W41="No","No",IF(_xlfn.XLOOKUP(E41,Groups!A:A,Groups!U:U)=1,'Base stats'!BG41,IF(OR(_xlfn.XLOOKUP(E41,Groups!A:A,Groups!BC:BC)=1,_xlfn.XLOOKUP(E41,Groups!A:A,Groups!U:U)=2),BD41,BE41))*1.2)</f>
        <v>No</v>
      </c>
      <c r="BG41" s="8">
        <f>IFERROR(EXP(1.076*LN(AQ41)-4.5397)*IF(_xlfn.XLOOKUP(E41,Groups!A:A,Groups!N:N)="Insect",1,IF(OR(_xlfn.XLOOKUP(E41,Groups!A:A,Groups!N:N)="Pig",_xlfn.XLOOKUP(E41,Groups!A:A,Groups!N:N)="StrongBitingHerbivore"),3.5,3.75)),"No")</f>
        <v>16.496381725854601</v>
      </c>
      <c r="BH41" s="8">
        <f t="shared" si="5"/>
        <v>11</v>
      </c>
      <c r="BI41" s="8">
        <f t="shared" si="6"/>
        <v>10</v>
      </c>
      <c r="BJ41" s="8" t="str">
        <f>IF(W41="No","No",ROUNDDOWN(SQRT((2*BF41)/AZ41),0))</f>
        <v>No</v>
      </c>
      <c r="BK41" s="8">
        <f>IF(V41="No","No",ROUNDDOWN(SQRT((2*BG41)/AY41),0))</f>
        <v>8</v>
      </c>
      <c r="BL41" s="8">
        <f t="shared" si="7"/>
        <v>11</v>
      </c>
      <c r="BM41" s="8" t="str" cm="1">
        <f t="array" ref="BM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stats'!E41,Groups!A:A,Groups!P:P=0)),"No",IF(U41="No",AVERAGE(EXP(-0.57+0.99*LN(C41)),EXP(0.32+0.67*LN(C41)))/IF(_xlfn.XLOOKUP(E41,Groups!A:A,Groups!AD:AD)=1,10,2),(0.7354*C41^0.4078)*2/IF(_xlfn.XLOOKUP(E41,Groups!A:A,Groups!BJ:BJ)=1,1000,100)))</f>
        <v>No</v>
      </c>
      <c r="BN41" s="8" t="str">
        <f>IF(W41="No","No",IF(_xlfn.XLOOKUP(E41,Groups!A:A,Groups!BC:BC)=1,(AL41*5%),EXP(0.7354*LN(C41)^0.4078)*2/IF(_xlfn.XLOOKUP(E41,Groups!A:A,Groups!BK:BK)=1,1000,100)))</f>
        <v>No</v>
      </c>
      <c r="BO41" s="8">
        <f>IF(BG41="No","No",IF(_xlfn.XLOOKUP(E41,Groups!A:A,Groups!BE:BE)=1,(0.0315*C41+2.1825)*2,(0.7354*C41^0.4078)*2)/IF(_xlfn.XLOOKUP(E41,Groups!A:A,Groups!BL:BL)=1,1000,100))</f>
        <v>3.7614355184740135E-2</v>
      </c>
      <c r="BP41" s="8">
        <f>BD41/(AL41*5%)</f>
        <v>6.4314931691790186E-2</v>
      </c>
      <c r="BQ41" s="8" t="str">
        <f t="shared" si="8"/>
        <v>No</v>
      </c>
      <c r="BR41" s="8" t="str">
        <f>IF(W41="No","No",BF41/BN41)</f>
        <v>No</v>
      </c>
      <c r="BS41" s="8">
        <f t="shared" si="9"/>
        <v>438.56611777162834</v>
      </c>
      <c r="BT41" s="4">
        <v>0</v>
      </c>
      <c r="BU41" s="4">
        <v>1</v>
      </c>
    </row>
    <row r="42" spans="1:73" x14ac:dyDescent="0.25">
      <c r="A42" s="26" t="s">
        <v>142</v>
      </c>
      <c r="B42" s="6" t="s">
        <v>143</v>
      </c>
      <c r="C42" s="7">
        <v>630</v>
      </c>
      <c r="D42" s="7" t="s">
        <v>539</v>
      </c>
      <c r="E42" s="7" t="str">
        <f>Groups!A48</f>
        <v>Ruminant (bovid)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539</v>
      </c>
      <c r="L42" s="7">
        <v>56</v>
      </c>
      <c r="M42" s="7" t="s">
        <v>638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_xlfn.XLOOKUP(B42,[1]TeethAdjusters!$A:$A,[1]BiteAdjusters!$C:$C)</f>
        <v>1</v>
      </c>
      <c r="T42" s="7">
        <f>_xlfn.XLOOKUP(B42,[1]TeethAdjusters!$A:$A,[1]TeethAdjusters!$B:$B)</f>
        <v>1</v>
      </c>
      <c r="U42" s="7" t="s">
        <v>45</v>
      </c>
      <c r="V42" s="7" t="str">
        <f>IF(AQ42="No","No",IF(_xlfn.XLOOKUP(E42,Groups!A:A,Groups!AM:AM)=1,MROUND(EXP(0.3582*LN(C42)-0.2221)*T42,0.05),IF(_xlfn.XLOOKUP(E42,Groups!A:A,Groups!AM:AM)=2,MROUND(EXP(0.3582*LN(C42)-0.2221)*T42,0.05),"Need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945</v>
      </c>
      <c r="Y42" s="4" t="s">
        <v>42</v>
      </c>
      <c r="Z42" s="4">
        <v>0</v>
      </c>
      <c r="AA42" s="4">
        <v>0</v>
      </c>
      <c r="AB42" s="4">
        <v>0</v>
      </c>
      <c r="AC42" s="4" t="s">
        <v>45</v>
      </c>
      <c r="AD42" s="4" t="s">
        <v>410</v>
      </c>
      <c r="AE42" s="28" t="s">
        <v>401</v>
      </c>
      <c r="AF42" s="4">
        <v>1</v>
      </c>
      <c r="AG42" s="4">
        <v>0</v>
      </c>
      <c r="AH42" s="4">
        <v>0</v>
      </c>
      <c r="AI42" s="4">
        <v>0</v>
      </c>
      <c r="AJ42" s="4">
        <v>0</v>
      </c>
      <c r="AK42" s="44" t="s">
        <v>40</v>
      </c>
      <c r="AL42" s="8">
        <f t="shared" si="16"/>
        <v>73264.625824503019</v>
      </c>
      <c r="AM42" s="8">
        <f>IFERROR(C42*_xlfn.XLOOKUP(E42,Groups!A:A,Groups!K:K),0.106*C42^0.94)</f>
        <v>45.361351110037234</v>
      </c>
      <c r="AN42" s="8">
        <f>AM42*10000/(_xlfn.XLOOKUP(E42,Groups!A:A,Groups!J:J)*AL42)</f>
        <v>5.6802198852774577</v>
      </c>
      <c r="AO42" s="8">
        <f t="shared" si="17"/>
        <v>12590.521292145075</v>
      </c>
      <c r="AP42" s="8">
        <f>IF(_xlfn.XLOOKUP(E42,Groups!A:A,Groups!M:M)=1,EXP(0.7444*LN('Base stats'!C42)+6.5696),EXP(0.7927*LN('Base stats'!C42)+4.28))</f>
        <v>11962.381153939259</v>
      </c>
      <c r="AQ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"No")))))))))))))))</f>
        <v>No</v>
      </c>
      <c r="AR42" s="8">
        <f>IF(_xlfn.XLOOKUP(E42,Groups!A:A,Groups!U:U)=3,AP42,IF(_xlfn.XLOOKUP(E42,Groups!A:A,Groups!U:U)=2,AO42,AQ42))</f>
        <v>11962.381153939259</v>
      </c>
      <c r="AS42" s="46">
        <f>IFERROR(AVERAGE(_xlfn.XLOOKUP(B42,Animals!B:B,Animals!M:M),_xlfn.XLOOKUP(B42,Animals!B:B,Animals!N:N)),0)</f>
        <v>0</v>
      </c>
      <c r="AT42" s="8">
        <f>MROUND(40*Animals!AN42*_xlfn.XLOOKUP(Animals!AZ42,Leathers!$A$2:$A$100,Leathers!$B$2:$B$100,0)+(140*_xlfn.XLOOKUP(B42,Animals!B:B,Animals!AN:AN)*2),5)</f>
        <v>1090</v>
      </c>
      <c r="AU42" s="8">
        <f>IFERROR(ROUND(SQRT(V42-1)*IF(_xlfn.XLOOKUP(E42,Groups!A:A,Groups!BE:BE)=0,2,1)*IF(_xlfn.XLOOKUP('Base stats'!E42,Groups!A:A,Groups!O:O)=0,1,0.1),1),0)</f>
        <v>0</v>
      </c>
      <c r="AV42" s="8">
        <f t="shared" si="18"/>
        <v>0</v>
      </c>
      <c r="AW42" s="8">
        <f t="shared" si="19"/>
        <v>6.5</v>
      </c>
      <c r="AX42" s="8">
        <f t="shared" si="20"/>
        <v>8.1</v>
      </c>
      <c r="AY42" s="8">
        <f>IF(_xlfn.XLOOKUP(E42,Groups!A:A,Groups!N:N)="Insect",BA42*2.5,IFERROR(AVERAGE(BA42,AQ42/9.81/IF(OR(_xlfn.XLOOKUP(E42,Groups!A:A,Groups!N:N)="Pig",_xlfn.XLOOKUP(E42,Groups!A:A,Groups!N:N)="StrongBitingHerbivore"),20,25))*C42^-0.135,BA42))</f>
        <v>5.0581166559376269</v>
      </c>
      <c r="AZ42" s="8">
        <f>IF(W42="No","No",IF(_xlfn.XLOOKUP(E42,Groups!A:A,Groups!U:U)=1,'Base stats'!AY42,IF(OR(_xlfn.XLOOKUP(E42,Groups!A:A,Groups!BC:BC)=1,_xlfn.XLOOKUP(E42,Groups!A:A,Groups!U:U)=2),BA42,IF(_xlfn.XLOOKUP(B42,Animals!B:B,Animals!AN:AN)&gt;4,AVERAGE(BA42,BC42),BC42))))</f>
        <v>8.0472977027347774</v>
      </c>
      <c r="BA42" s="8">
        <f>(0.0392*C42^IF(OR(Y42="Herbivore",Y42="Dendrovore",Y42="OmnivoreRough"),0.889,0.966))*C42^-0.135</f>
        <v>5.0581166559376269</v>
      </c>
      <c r="BB42" s="8">
        <f>IF(_xlfn.XLOOKUP(E42,Groups!A:A,Groups!BD:BD)=1,(0.048*C42^1.01)+(0.071*C42^1.03),0.071*C42^1.03)/IF(_xlfn.XLOOKUP(E42,Groups!A:A,Groups!M:M)=1,0.85,IF(OR(_xlfn.XLOOKUP(B42,Animals!B:B,Animals!AN:AN)&gt;4,_xlfn.XLOOKUP(E42,Groups!A:A,Groups!BB:BB)=1),1.7,1))*C42^-0.25</f>
        <v>10.832881121655616</v>
      </c>
      <c r="BC42" s="8">
        <f>(0.048*C42^1.01)/IF(_xlfn.XLOOKUP(E42,Groups!A:A,Groups!M:M)=1,0.25,0.8)*C42^-0.25</f>
        <v>8.0472977027347774</v>
      </c>
      <c r="BD42" s="8">
        <f>EXP(1.076*LN(AO42)-4.5397)*IF(_xlfn.XLOOKUP(E42,Groups!A:A,Groups!BB:BB)=1,1.25,IF(_xlfn.XLOOKUP(E42,Groups!A:A,Groups!BC:BC)=1,3.5,2.5))</f>
        <v>688.684618158901</v>
      </c>
      <c r="BE42" s="8">
        <f>EXP(1.076*LN(AP42)-4.5397)*IF(_xlfn.XLOOKUP(E42,Groups!A:A,Groups!M:M)=1,0.8,IF(_xlfn.XLOOKUP(E42,Groups!A:A,Groups!BB:BB)=1,1.3,3))</f>
        <v>782.14337611712108</v>
      </c>
      <c r="BF42" s="8">
        <f>IF(W42="No","No",IF(_xlfn.XLOOKUP(E42,Groups!A:A,Groups!U:U)=1,'Base stats'!BG42,IF(OR(_xlfn.XLOOKUP(E42,Groups!A:A,Groups!BC:BC)=1,_xlfn.XLOOKUP(E42,Groups!A:A,Groups!U:U)=2),BD42,BE42))*1.2)</f>
        <v>938.57205134054527</v>
      </c>
      <c r="BG42" s="8" t="str">
        <f>IFERROR(EXP(1.076*LN(AQ42)-4.5397)*IF(_xlfn.XLOOKUP(E42,Groups!A:A,Groups!N:N)="Insect",1,IF(OR(_xlfn.XLOOKUP(E42,Groups!A:A,Groups!N:N)="Pig",_xlfn.XLOOKUP(E42,Groups!A:A,Groups!N:N)="StrongBitingHerbivore"),3.5,3.75)),"No")</f>
        <v>No</v>
      </c>
      <c r="BH42" s="8">
        <f t="shared" si="5"/>
        <v>16</v>
      </c>
      <c r="BI42" s="8">
        <f t="shared" si="6"/>
        <v>12</v>
      </c>
      <c r="BJ42" s="8">
        <f>IF(W42="No","No",ROUNDDOWN(SQRT((2*BF42)/AZ42),0))</f>
        <v>15</v>
      </c>
      <c r="BK42" s="8" t="str">
        <f>IF(V42="No","No",ROUNDDOWN(SQRT((2*BG42)/AY42),0))</f>
        <v>No</v>
      </c>
      <c r="BL42" s="8">
        <f t="shared" si="7"/>
        <v>13</v>
      </c>
      <c r="BM42" s="8" cm="1">
        <f t="array" ref="BM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stats'!E42,Groups!A:A,Groups!P:P=0)),"No",IF(U42="No",AVERAGE(EXP(-0.57+0.99*LN(C42)),EXP(0.32+0.67*LN(C42)))/IF(_xlfn.XLOOKUP(E42,Groups!A:A,Groups!AD:AD)=1,10,2),(0.7354*C42^0.4078)*2/IF(_xlfn.XLOOKUP(E42,Groups!A:A,Groups!BJ:BJ)=1,1000,100)))</f>
        <v>109.36086272547681</v>
      </c>
      <c r="BN42" s="8">
        <f>IF(W42="No","No",IF(_xlfn.XLOOKUP(E42,Groups!A:A,Groups!BC:BC)=1,(AL42*5%),EXP(0.7354*LN(C42)^0.4078)*2/IF(_xlfn.XLOOKUP(E42,Groups!A:A,Groups!BK:BK)=1,1000,100)))</f>
        <v>9.6357497870625142E-2</v>
      </c>
      <c r="BO42" s="8" t="str">
        <f>IF(BG42="No","No",IF(_xlfn.XLOOKUP(E42,Groups!A:A,Groups!BE:BE)=1,(0.0315*C42+2.1825)*2,(0.7354*C42^0.4078)*2)/IF(_xlfn.XLOOKUP(E42,Groups!A:A,Groups!BL:BL)=1,1000,100))</f>
        <v>No</v>
      </c>
      <c r="BP42" s="8">
        <f>BD42/(AL42*5%)</f>
        <v>0.18799921801513483</v>
      </c>
      <c r="BQ42" s="8">
        <f t="shared" si="8"/>
        <v>7.1519495788954872</v>
      </c>
      <c r="BR42" s="8">
        <f>IF(W42="No","No",BF42/BN42)</f>
        <v>9740.5191301327013</v>
      </c>
      <c r="BS42" s="8" t="str">
        <f t="shared" si="9"/>
        <v>No</v>
      </c>
      <c r="BT42" s="4">
        <v>0</v>
      </c>
      <c r="BU42" s="4">
        <v>1</v>
      </c>
    </row>
    <row r="43" spans="1:73" x14ac:dyDescent="0.25">
      <c r="A43" s="26" t="s">
        <v>144</v>
      </c>
      <c r="B43" s="6" t="s">
        <v>145</v>
      </c>
      <c r="C43" s="7">
        <f>AVERAGE(480,550,800,950)</f>
        <v>695</v>
      </c>
      <c r="D43" s="7" t="s">
        <v>1200</v>
      </c>
      <c r="E43" s="7" t="str">
        <f>Groups!A49</f>
        <v>Ruminant (bovid, harmless)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540</v>
      </c>
      <c r="L43" s="7">
        <v>29</v>
      </c>
      <c r="M43" s="7" t="s">
        <v>638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_xlfn.XLOOKUP(B43,[1]TeethAdjusters!$A:$A,[1]BiteAdjusters!$C:$C)</f>
        <v>1</v>
      </c>
      <c r="T43" s="7">
        <f>_xlfn.XLOOKUP(B43,[1]TeethAdjusters!$A:$A,[1]TeethAdjusters!$B:$B)</f>
        <v>1</v>
      </c>
      <c r="U43" s="7" t="s">
        <v>45</v>
      </c>
      <c r="V43" s="7" t="str">
        <f>IF(AQ43="No","No",IF(_xlfn.XLOOKUP(E43,Groups!A:A,Groups!AM:AM)=1,MROUND(EXP(0.3582*LN(C43)-0.2221)*T43,0.05),IF(_xlfn.XLOOKUP(E43,Groups!A:A,Groups!AM:AM)=2,MROUND(EXP(0.3582*LN(C43)-0.2221)*T43,0.05),"Need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977</v>
      </c>
      <c r="Y43" s="4" t="s">
        <v>42</v>
      </c>
      <c r="Z43" s="4">
        <v>0</v>
      </c>
      <c r="AA43" s="4">
        <v>0</v>
      </c>
      <c r="AB43" s="4">
        <v>0</v>
      </c>
      <c r="AC43" s="4" t="s">
        <v>45</v>
      </c>
      <c r="AD43" s="4" t="s">
        <v>407</v>
      </c>
      <c r="AE43" s="28" t="s">
        <v>401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4" t="s">
        <v>40</v>
      </c>
      <c r="AL43" s="8">
        <f t="shared" si="16"/>
        <v>78093.178895164005</v>
      </c>
      <c r="AM43" s="8">
        <f>IFERROR(C43*_xlfn.XLOOKUP(E43,Groups!A:A,Groups!K:K),0.106*C43^0.94)</f>
        <v>49.747536757205133</v>
      </c>
      <c r="AN43" s="8">
        <f>AM43*10000/(_xlfn.XLOOKUP(E43,Groups!A:A,Groups!J:J)*AL43)</f>
        <v>5.8442930131396622</v>
      </c>
      <c r="AO43" s="8">
        <f t="shared" si="17"/>
        <v>13679.345356145675</v>
      </c>
      <c r="AP43" s="8">
        <f>IF(_xlfn.XLOOKUP(E43,Groups!A:A,Groups!M:M)=1,EXP(0.7444*LN('Base stats'!C43)+6.5696),EXP(0.7927*LN('Base stats'!C43)+4.28))</f>
        <v>12930.69110386705</v>
      </c>
      <c r="AQ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"No")))))))))))))))</f>
        <v>No</v>
      </c>
      <c r="AR43" s="8">
        <f>IF(_xlfn.XLOOKUP(E43,Groups!A:A,Groups!U:U)=3,AP43,IF(_xlfn.XLOOKUP(E43,Groups!A:A,Groups!U:U)=2,AO43,AQ43))</f>
        <v>12930.69110386705</v>
      </c>
      <c r="AS43" s="46">
        <f>IFERROR(AVERAGE(_xlfn.XLOOKUP(B43,Animals!B:B,Animals!M:M),_xlfn.XLOOKUP(B43,Animals!B:B,Animals!N:N)),0)</f>
        <v>0</v>
      </c>
      <c r="AT43" s="8">
        <f>MROUND(40*Animals!AN43*_xlfn.XLOOKUP(Animals!AZ43,Leathers!$A$2:$A$100,Leathers!$B$2:$B$100,0)+(140*_xlfn.XLOOKUP(B43,Animals!B:B,Animals!AN:AN)*2),5)</f>
        <v>1090</v>
      </c>
      <c r="AU43" s="8">
        <f>IFERROR(ROUND(SQRT(V43-1)*IF(_xlfn.XLOOKUP(E43,Groups!A:A,Groups!BE:BE)=0,2,1)*IF(_xlfn.XLOOKUP('Base stats'!E43,Groups!A:A,Groups!O:O)=0,1,0.1),1),0)</f>
        <v>0</v>
      </c>
      <c r="AV43" s="8">
        <f t="shared" si="18"/>
        <v>0</v>
      </c>
      <c r="AW43" s="8">
        <f t="shared" si="19"/>
        <v>3.4</v>
      </c>
      <c r="AX43" s="8">
        <f t="shared" si="20"/>
        <v>8.3000000000000007</v>
      </c>
      <c r="AY43" s="8">
        <f>IF(_xlfn.XLOOKUP(E43,Groups!A:A,Groups!N:N)="Insect",BA43*2.5,IFERROR(AVERAGE(BA43,AQ43/9.81/IF(OR(_xlfn.XLOOKUP(E43,Groups!A:A,Groups!N:N)="Pig",_xlfn.XLOOKUP(E43,Groups!A:A,Groups!N:N)="StrongBitingHerbivore"),20,25))*C43^-0.135,BA43))</f>
        <v>5.446814810424093</v>
      </c>
      <c r="AZ43" s="8">
        <f>IF(W43="No","No",IF(_xlfn.XLOOKUP(E43,Groups!A:A,Groups!U:U)=1,'Base stats'!AY43,IF(OR(_xlfn.XLOOKUP(E43,Groups!A:A,Groups!BC:BC)=1,_xlfn.XLOOKUP(E43,Groups!A:A,Groups!U:U)=2),BA43,IF(_xlfn.XLOOKUP(B43,Animals!B:B,Animals!AN:AN)&gt;4,AVERAGE(BA43,BC43),BC43))))</f>
        <v>8.6708106402103056</v>
      </c>
      <c r="BA43" s="8">
        <f>(0.0392*C43^IF(OR(Y43="Herbivore",Y43="Dendrovore",Y43="OmnivoreRough"),0.889,0.966))*C43^-0.135</f>
        <v>5.446814810424093</v>
      </c>
      <c r="BB43" s="8">
        <f>IF(_xlfn.XLOOKUP(E43,Groups!A:A,Groups!BD:BD)=1,(0.048*C43^1.01)+(0.071*C43^1.03),0.071*C43^1.03)/IF(_xlfn.XLOOKUP(E43,Groups!A:A,Groups!M:M)=1,0.85,IF(OR(_xlfn.XLOOKUP(B43,Animals!B:B,Animals!AN:AN)&gt;4,_xlfn.XLOOKUP(E43,Groups!A:A,Groups!BB:BB)=1),1.7,1))*C43^-0.25</f>
        <v>11.695168848524869</v>
      </c>
      <c r="BC43" s="8">
        <f>(0.048*C43^1.01)/IF(_xlfn.XLOOKUP(E43,Groups!A:A,Groups!M:M)=1,0.25,0.8)*C43^-0.25</f>
        <v>8.6708106402103056</v>
      </c>
      <c r="BD43" s="8">
        <f>EXP(1.076*LN(AO43)-4.5397)*IF(_xlfn.XLOOKUP(E43,Groups!A:A,Groups!BB:BB)=1,1.25,IF(_xlfn.XLOOKUP(E43,Groups!A:A,Groups!BC:BC)=1,3.5,2.5))</f>
        <v>752.97338760914101</v>
      </c>
      <c r="BE43" s="8">
        <f>EXP(1.076*LN(AP43)-4.5397)*IF(_xlfn.XLOOKUP(E43,Groups!A:A,Groups!M:M)=1,0.8,IF(_xlfn.XLOOKUP(E43,Groups!A:A,Groups!BB:BB)=1,1.3,3))</f>
        <v>850.47114704714193</v>
      </c>
      <c r="BF43" s="8">
        <f>IF(W43="No","No",IF(_xlfn.XLOOKUP(E43,Groups!A:A,Groups!U:U)=1,'Base stats'!BG43,IF(OR(_xlfn.XLOOKUP(E43,Groups!A:A,Groups!BC:BC)=1,_xlfn.XLOOKUP(E43,Groups!A:A,Groups!U:U)=2),BD43,BE43))*1.2)</f>
        <v>1020.5653764565702</v>
      </c>
      <c r="BG43" s="8" t="str">
        <f>IFERROR(EXP(1.076*LN(AQ43)-4.5397)*IF(_xlfn.XLOOKUP(E43,Groups!A:A,Groups!N:N)="Insect",1,IF(OR(_xlfn.XLOOKUP(E43,Groups!A:A,Groups!N:N)="Pig",_xlfn.XLOOKUP(E43,Groups!A:A,Groups!N:N)="StrongBitingHerbivore"),3.5,3.75)),"No")</f>
        <v>No</v>
      </c>
      <c r="BH43" s="8">
        <f t="shared" si="5"/>
        <v>16</v>
      </c>
      <c r="BI43" s="8">
        <f t="shared" si="6"/>
        <v>12</v>
      </c>
      <c r="BJ43" s="8">
        <f>IF(W43="No","No",ROUNDDOWN(SQRT((2*BF43)/AZ43),0))</f>
        <v>15</v>
      </c>
      <c r="BK43" s="8" t="str">
        <f>IF(V43="No","No",ROUNDDOWN(SQRT((2*BG43)/AY43),0))</f>
        <v>No</v>
      </c>
      <c r="BL43" s="8">
        <f t="shared" si="7"/>
        <v>14</v>
      </c>
      <c r="BM43" s="8" cm="1">
        <f t="array" ref="BM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stats'!E43,Groups!A:A,Groups!P:P=0)),"No",IF(U43="No",AVERAGE(EXP(-0.57+0.99*LN(C43)),EXP(0.32+0.67*LN(C43)))/IF(_xlfn.XLOOKUP(E43,Groups!A:A,Groups!AD:AD)=1,10,2),(0.7354*C43^0.4078)*2/IF(_xlfn.XLOOKUP(E43,Groups!A:A,Groups!BJ:BJ)=1,1000,100)))</f>
        <v>119.64444705974928</v>
      </c>
      <c r="BN43" s="8">
        <f>IF(W43="No","No",IF(_xlfn.XLOOKUP(E43,Groups!A:A,Groups!BC:BC)=1,(AL43*5%),EXP(0.7354*LN(C43)^0.4078)*2/IF(_xlfn.XLOOKUP(E43,Groups!A:A,Groups!BK:BK)=1,1000,100)))</f>
        <v>9.7299057154114882E-2</v>
      </c>
      <c r="BO43" s="8" t="str">
        <f>IF(BG43="No","No",IF(_xlfn.XLOOKUP(E43,Groups!A:A,Groups!BE:BE)=1,(0.0315*C43+2.1825)*2,(0.7354*C43^0.4078)*2)/IF(_xlfn.XLOOKUP(E43,Groups!A:A,Groups!BL:BL)=1,1000,100))</f>
        <v>No</v>
      </c>
      <c r="BP43" s="8">
        <f>BD43/(AL43*5%)</f>
        <v>0.19283973280687375</v>
      </c>
      <c r="BQ43" s="8">
        <f t="shared" si="8"/>
        <v>7.1083210959420864</v>
      </c>
      <c r="BR43" s="8">
        <f>IF(W43="No","No",BF43/BN43)</f>
        <v>10488.954428819041</v>
      </c>
      <c r="BS43" s="8" t="str">
        <f t="shared" si="9"/>
        <v>No</v>
      </c>
      <c r="BT43" s="4">
        <v>0.25</v>
      </c>
      <c r="BU43" s="4">
        <v>0.75</v>
      </c>
    </row>
    <row r="44" spans="1:73" x14ac:dyDescent="0.25">
      <c r="A44" s="26" t="s">
        <v>148</v>
      </c>
      <c r="B44" s="6" t="s">
        <v>149</v>
      </c>
      <c r="C44" s="7">
        <v>350</v>
      </c>
      <c r="D44" s="7" t="s">
        <v>538</v>
      </c>
      <c r="E44" s="7" t="str">
        <f>Groups!A48</f>
        <v>Ruminant (bovid)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538</v>
      </c>
      <c r="L44" s="7">
        <f>MIN(114.4*C44^-0.13,97.8*C44^-0.094)</f>
        <v>53.41917526465727</v>
      </c>
      <c r="M44" s="7" t="s">
        <v>638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_xlfn.XLOOKUP(B44,[1]TeethAdjusters!$A:$A,[1]BiteAdjusters!$C:$C)</f>
        <v>1</v>
      </c>
      <c r="T44" s="7">
        <f>_xlfn.XLOOKUP(B44,[1]TeethAdjusters!$A:$A,[1]TeethAdjusters!$B:$B)</f>
        <v>1</v>
      </c>
      <c r="U44" s="7" t="s">
        <v>45</v>
      </c>
      <c r="V44" s="7" t="str">
        <f>IF(AQ44="No","No",IF(_xlfn.XLOOKUP(E44,Groups!A:A,Groups!AM:AM)=1,MROUND(EXP(0.3582*LN(C44)-0.2221)*T44,0.05),IF(_xlfn.XLOOKUP(E44,Groups!A:A,Groups!AM:AM)=2,MROUND(EXP(0.3582*LN(C44)-0.2221)*T44,0.05),"Need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945</v>
      </c>
      <c r="Y44" s="4" t="s">
        <v>42</v>
      </c>
      <c r="Z44" s="4">
        <v>0</v>
      </c>
      <c r="AA44" s="4">
        <v>0</v>
      </c>
      <c r="AB44" s="4">
        <v>0</v>
      </c>
      <c r="AC44" s="4" t="s">
        <v>45</v>
      </c>
      <c r="AD44" s="4" t="s">
        <v>407</v>
      </c>
      <c r="AE44" s="28" t="s">
        <v>385</v>
      </c>
      <c r="AF44" s="4">
        <v>1</v>
      </c>
      <c r="AG44" s="4">
        <v>0</v>
      </c>
      <c r="AH44" s="4">
        <v>0</v>
      </c>
      <c r="AI44" s="4">
        <v>0</v>
      </c>
      <c r="AJ44" s="4">
        <v>0</v>
      </c>
      <c r="AK44" s="44" t="s">
        <v>40</v>
      </c>
      <c r="AL44" s="8">
        <f t="shared" si="16"/>
        <v>49999.678016554004</v>
      </c>
      <c r="AM44" s="8">
        <f>IFERROR(C44*_xlfn.XLOOKUP(E44,Groups!A:A,Groups!K:K),0.106*C44^0.94)</f>
        <v>26.105368435044046</v>
      </c>
      <c r="AN44" s="8">
        <f>AM44*10000/(_xlfn.XLOOKUP(E44,Groups!A:A,Groups!J:J)*AL44)</f>
        <v>4.7900067056984179</v>
      </c>
      <c r="AO44" s="8">
        <f t="shared" si="17"/>
        <v>7663.2858706487614</v>
      </c>
      <c r="AP44" s="8">
        <f>IF(_xlfn.XLOOKUP(E44,Groups!A:A,Groups!M:M)=1,EXP(0.7444*LN('Base stats'!C44)+6.5696),EXP(0.7927*LN('Base stats'!C44)+4.28))</f>
        <v>7506.9430520091801</v>
      </c>
      <c r="AQ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"No")))))))))))))))</f>
        <v>No</v>
      </c>
      <c r="AR44" s="8">
        <f>IF(_xlfn.XLOOKUP(E44,Groups!A:A,Groups!U:U)=3,AP44,IF(_xlfn.XLOOKUP(E44,Groups!A:A,Groups!U:U)=2,AO44,AQ44))</f>
        <v>7506.9430520091801</v>
      </c>
      <c r="AS44" s="46">
        <f>IFERROR(AVERAGE(_xlfn.XLOOKUP(B44,Animals!B:B,Animals!M:M),_xlfn.XLOOKUP(B44,Animals!B:B,Animals!N:N)),0)</f>
        <v>0</v>
      </c>
      <c r="AT44" s="8">
        <f>MROUND(40*Animals!AN44*_xlfn.XLOOKUP(Animals!AZ44,Leathers!$A$2:$A$100,Leathers!$B$2:$B$100,0)+(140*_xlfn.XLOOKUP(B44,Animals!B:B,Animals!AN:AN)*2),5)</f>
        <v>930</v>
      </c>
      <c r="AU44" s="8">
        <f>IFERROR(ROUND(SQRT(V44-1)*IF(_xlfn.XLOOKUP(E44,Groups!A:A,Groups!BE:BE)=0,2,1)*IF(_xlfn.XLOOKUP('Base stats'!E44,Groups!A:A,Groups!O:O)=0,1,0.1),1),0)</f>
        <v>0</v>
      </c>
      <c r="AV44" s="8">
        <f t="shared" si="18"/>
        <v>0</v>
      </c>
      <c r="AW44" s="8">
        <f t="shared" si="19"/>
        <v>5.5</v>
      </c>
      <c r="AX44" s="8">
        <f t="shared" si="20"/>
        <v>6.5</v>
      </c>
      <c r="AY44" s="8">
        <f>IF(_xlfn.XLOOKUP(E44,Groups!A:A,Groups!N:N)="Insect",BA44*2.5,IFERROR(AVERAGE(BA44,AQ44/9.81/IF(OR(_xlfn.XLOOKUP(E44,Groups!A:A,Groups!N:N)="Pig",_xlfn.XLOOKUP(E44,Groups!A:A,Groups!N:N)="StrongBitingHerbivore"),20,25))*C44^-0.135,BA44))</f>
        <v>3.2472324064132327</v>
      </c>
      <c r="AZ44" s="8">
        <f>IF(W44="No","No",IF(_xlfn.XLOOKUP(E44,Groups!A:A,Groups!U:U)=1,'Base stats'!AY44,IF(OR(_xlfn.XLOOKUP(E44,Groups!A:A,Groups!BC:BC)=1,_xlfn.XLOOKUP(E44,Groups!A:A,Groups!U:U)=2),BA44,IF(_xlfn.XLOOKUP(B44,Animals!B:B,Animals!AN:AN)&gt;4,AVERAGE(BA44,BC44),BC44))))</f>
        <v>5.1480524630900852</v>
      </c>
      <c r="BA44" s="8">
        <f>(0.0392*C44^IF(OR(Y44="Herbivore",Y44="Dendrovore",Y44="OmnivoreRough"),0.889,0.966))*C44^-0.135</f>
        <v>3.2472324064132327</v>
      </c>
      <c r="BB44" s="8">
        <f>IF(_xlfn.XLOOKUP(E44,Groups!A:A,Groups!BD:BD)=1,(0.048*C44^1.01)+(0.071*C44^1.03),0.071*C44^1.03)/IF(_xlfn.XLOOKUP(E44,Groups!A:A,Groups!M:M)=1,0.85,IF(OR(_xlfn.XLOOKUP(B44,Animals!B:B,Animals!AN:AN)&gt;4,_xlfn.XLOOKUP(E44,Groups!A:A,Groups!BB:BB)=1),1.7,1))*C44^-0.25</f>
        <v>6.8490671365591904</v>
      </c>
      <c r="BC44" s="8">
        <f>(0.048*C44^1.01)/IF(_xlfn.XLOOKUP(E44,Groups!A:A,Groups!M:M)=1,0.25,0.8)*C44^-0.25</f>
        <v>5.1480524630900852</v>
      </c>
      <c r="BD44" s="8">
        <f>EXP(1.076*LN(AO44)-4.5397)*IF(_xlfn.XLOOKUP(E44,Groups!A:A,Groups!BB:BB)=1,1.25,IF(_xlfn.XLOOKUP(E44,Groups!A:A,Groups!BC:BC)=1,3.5,2.5))</f>
        <v>403.64903444222597</v>
      </c>
      <c r="BE44" s="8">
        <f>EXP(1.076*LN(AP44)-4.5397)*IF(_xlfn.XLOOKUP(E44,Groups!A:A,Groups!M:M)=1,0.8,IF(_xlfn.XLOOKUP(E44,Groups!A:A,Groups!BB:BB)=1,1.3,3))</f>
        <v>473.75402609099581</v>
      </c>
      <c r="BF44" s="8">
        <f>IF(W44="No","No",IF(_xlfn.XLOOKUP(E44,Groups!A:A,Groups!U:U)=1,'Base stats'!BG44,IF(OR(_xlfn.XLOOKUP(E44,Groups!A:A,Groups!BC:BC)=1,_xlfn.XLOOKUP(E44,Groups!A:A,Groups!U:U)=2),BD44,BE44))*1.2)</f>
        <v>568.50483130919497</v>
      </c>
      <c r="BG44" s="8" t="str">
        <f>IFERROR(EXP(1.076*LN(AQ44)-4.5397)*IF(_xlfn.XLOOKUP(E44,Groups!A:A,Groups!N:N)="Insect",1,IF(OR(_xlfn.XLOOKUP(E44,Groups!A:A,Groups!N:N)="Pig",_xlfn.XLOOKUP(E44,Groups!A:A,Groups!N:N)="StrongBitingHerbivore"),3.5,3.75)),"No")</f>
        <v>No</v>
      </c>
      <c r="BH44" s="8">
        <f t="shared" si="5"/>
        <v>15</v>
      </c>
      <c r="BI44" s="8">
        <f t="shared" si="6"/>
        <v>11</v>
      </c>
      <c r="BJ44" s="8">
        <f>IF(W44="No","No",ROUNDDOWN(SQRT((2*BF44)/AZ44),0))</f>
        <v>14</v>
      </c>
      <c r="BK44" s="8" t="str">
        <f>IF(V44="No","No",ROUNDDOWN(SQRT((2*BG44)/AY44),0))</f>
        <v>No</v>
      </c>
      <c r="BL44" s="8">
        <f t="shared" si="7"/>
        <v>13</v>
      </c>
      <c r="BM44" s="8" cm="1">
        <f t="array" ref="BM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stats'!E44,Groups!A:A,Groups!P:P=0)),"No",IF(U44="No",AVERAGE(EXP(-0.57+0.99*LN(C44)),EXP(0.32+0.67*LN(C44)))/IF(_xlfn.XLOOKUP(E44,Groups!A:A,Groups!AD:AD)=1,10,2),(0.7354*C44^0.4078)*2/IF(_xlfn.XLOOKUP(E44,Groups!A:A,Groups!BJ:BJ)=1,1000,100)))</f>
        <v>64.103753174089817</v>
      </c>
      <c r="BN44" s="8">
        <f>IF(W44="No","No",IF(_xlfn.XLOOKUP(E44,Groups!A:A,Groups!BC:BC)=1,(AL44*5%),EXP(0.7354*LN(C44)^0.4078)*2/IF(_xlfn.XLOOKUP(E44,Groups!A:A,Groups!BK:BK)=1,1000,100)))</f>
        <v>9.0734189120175002E-2</v>
      </c>
      <c r="BO44" s="8" t="str">
        <f>IF(BG44="No","No",IF(_xlfn.XLOOKUP(E44,Groups!A:A,Groups!BE:BE)=1,(0.0315*C44+2.1825)*2,(0.7354*C44^0.4078)*2)/IF(_xlfn.XLOOKUP(E44,Groups!A:A,Groups!BL:BL)=1,1000,100))</f>
        <v>No</v>
      </c>
      <c r="BP44" s="8">
        <f>BD44/(AL44*5%)</f>
        <v>0.16146065353004271</v>
      </c>
      <c r="BQ44" s="8">
        <f t="shared" si="8"/>
        <v>7.3904257182008974</v>
      </c>
      <c r="BR44" s="8">
        <f>IF(W44="No","No",BF44/BN44)</f>
        <v>6265.6076702931196</v>
      </c>
      <c r="BS44" s="8" t="str">
        <f t="shared" si="9"/>
        <v>No</v>
      </c>
      <c r="BT44" s="4">
        <v>0</v>
      </c>
      <c r="BU44" s="4">
        <v>1</v>
      </c>
    </row>
    <row r="45" spans="1:73" x14ac:dyDescent="0.25">
      <c r="A45" s="26" t="s">
        <v>150</v>
      </c>
      <c r="B45" s="6" t="s">
        <v>151</v>
      </c>
      <c r="C45" s="7">
        <v>667</v>
      </c>
      <c r="D45" s="7" t="s">
        <v>541</v>
      </c>
      <c r="E45" s="7" t="str">
        <f>Groups!A48</f>
        <v>Ruminant (bovid)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541</v>
      </c>
      <c r="L45" s="7">
        <v>29</v>
      </c>
      <c r="M45" s="7" t="s">
        <v>638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_xlfn.XLOOKUP(B45,[1]TeethAdjusters!$A:$A,[1]BiteAdjusters!$C:$C)</f>
        <v>1</v>
      </c>
      <c r="T45" s="7">
        <f>_xlfn.XLOOKUP(B45,[1]TeethAdjusters!$A:$A,[1]TeethAdjusters!$B:$B)</f>
        <v>1</v>
      </c>
      <c r="U45" s="7" t="s">
        <v>45</v>
      </c>
      <c r="V45" s="7" t="str">
        <f>IF(AQ45="No","No",IF(_xlfn.XLOOKUP(E45,Groups!A:A,Groups!AM:AM)=1,MROUND(EXP(0.3582*LN(C45)-0.2221)*T45,0.05),IF(_xlfn.XLOOKUP(E45,Groups!A:A,Groups!AM:AM)=2,MROUND(EXP(0.3582*LN(C45)-0.2221)*T45,0.05),"Need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977</v>
      </c>
      <c r="Y45" s="4" t="s">
        <v>42</v>
      </c>
      <c r="Z45" s="4">
        <v>0</v>
      </c>
      <c r="AA45" s="4">
        <v>0</v>
      </c>
      <c r="AB45" s="4">
        <v>0</v>
      </c>
      <c r="AC45" s="4" t="s">
        <v>45</v>
      </c>
      <c r="AD45" s="4" t="s">
        <v>407</v>
      </c>
      <c r="AE45" s="28" t="s">
        <v>401</v>
      </c>
      <c r="AF45" s="4">
        <v>1</v>
      </c>
      <c r="AG45" s="4">
        <v>0</v>
      </c>
      <c r="AH45" s="4">
        <v>0</v>
      </c>
      <c r="AI45" s="4">
        <v>0</v>
      </c>
      <c r="AJ45" s="4">
        <v>0</v>
      </c>
      <c r="AK45" s="44" t="s">
        <v>40</v>
      </c>
      <c r="AL45" s="8">
        <f t="shared" si="16"/>
        <v>76033.462935846605</v>
      </c>
      <c r="AM45" s="8">
        <f>IFERROR(C45*_xlfn.XLOOKUP(E45,Groups!A:A,Groups!K:K),0.106*C45^0.94)</f>
        <v>47.86126236293304</v>
      </c>
      <c r="AN45" s="8">
        <f>AM45*10000/(_xlfn.XLOOKUP(E45,Groups!A:A,Groups!J:J)*AL45)</f>
        <v>5.7750118587803678</v>
      </c>
      <c r="AO45" s="8">
        <f t="shared" si="17"/>
        <v>13212.343057657132</v>
      </c>
      <c r="AP45" s="8">
        <f>IF(_xlfn.XLOOKUP(E45,Groups!A:A,Groups!M:M)=1,EXP(0.7444*LN('Base stats'!C45)+6.5696),EXP(0.7927*LN('Base stats'!C45)+4.28))</f>
        <v>12515.982034653402</v>
      </c>
      <c r="AQ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"No")))))))))))))))</f>
        <v>No</v>
      </c>
      <c r="AR45" s="8">
        <f>IF(_xlfn.XLOOKUP(E45,Groups!A:A,Groups!U:U)=3,AP45,IF(_xlfn.XLOOKUP(E45,Groups!A:A,Groups!U:U)=2,AO45,AQ45))</f>
        <v>12515.982034653402</v>
      </c>
      <c r="AS45" s="46">
        <f>IFERROR(AVERAGE(_xlfn.XLOOKUP(B45,Animals!B:B,Animals!M:M),_xlfn.XLOOKUP(B45,Animals!B:B,Animals!N:N)),0)</f>
        <v>0</v>
      </c>
      <c r="AT45" s="8">
        <f>MROUND(40*Animals!AN45*_xlfn.XLOOKUP(Animals!AZ45,Leathers!$A$2:$A$100,Leathers!$B$2:$B$100,0)+(140*_xlfn.XLOOKUP(B45,Animals!B:B,Animals!AN:AN)*2),5)</f>
        <v>1090</v>
      </c>
      <c r="AU45" s="8">
        <f>IFERROR(ROUND(SQRT(V45-1)*IF(_xlfn.XLOOKUP(E45,Groups!A:A,Groups!BE:BE)=0,2,1)*IF(_xlfn.XLOOKUP('Base stats'!E45,Groups!A:A,Groups!O:O)=0,1,0.1),1),0)</f>
        <v>0</v>
      </c>
      <c r="AV45" s="8">
        <f t="shared" si="18"/>
        <v>0</v>
      </c>
      <c r="AW45" s="8">
        <f t="shared" si="19"/>
        <v>6.5</v>
      </c>
      <c r="AX45" s="8">
        <f t="shared" si="20"/>
        <v>8.1999999999999993</v>
      </c>
      <c r="AY45" s="8">
        <f>IF(_xlfn.XLOOKUP(E45,Groups!A:A,Groups!N:N)="Insect",BA45*2.5,IFERROR(AVERAGE(BA45,AQ45/9.81/IF(OR(_xlfn.XLOOKUP(E45,Groups!A:A,Groups!N:N)="Pig",_xlfn.XLOOKUP(E45,Groups!A:A,Groups!N:N)="StrongBitingHerbivore"),20,25))*C45^-0.135,BA45))</f>
        <v>5.2805230876124014</v>
      </c>
      <c r="AZ45" s="8">
        <f>IF(W45="No","No",IF(_xlfn.XLOOKUP(E45,Groups!A:A,Groups!U:U)=1,'Base stats'!AY45,IF(OR(_xlfn.XLOOKUP(E45,Groups!A:A,Groups!BC:BC)=1,_xlfn.XLOOKUP(E45,Groups!A:A,Groups!U:U)=2),BA45,IF(_xlfn.XLOOKUP(B45,Animals!B:B,Animals!AN:AN)&gt;4,AVERAGE(BA45,BC45),BC45))))</f>
        <v>8.4040162630422426</v>
      </c>
      <c r="BA45" s="8">
        <f>(0.0392*C45^IF(OR(Y45="Herbivore",Y45="Dendrovore",Y45="OmnivoreRough"),0.889,0.966))*C45^-0.135</f>
        <v>5.2805230876124014</v>
      </c>
      <c r="BB45" s="8">
        <f>IF(_xlfn.XLOOKUP(E45,Groups!A:A,Groups!BD:BD)=1,(0.048*C45^1.01)+(0.071*C45^1.03),0.071*C45^1.03)/IF(_xlfn.XLOOKUP(E45,Groups!A:A,Groups!M:M)=1,0.85,IF(OR(_xlfn.XLOOKUP(B45,Animals!B:B,Animals!AN:AN)&gt;4,_xlfn.XLOOKUP(E45,Groups!A:A,Groups!BB:BB)=1),1.7,1))*C45^-0.25</f>
        <v>11.325998484374614</v>
      </c>
      <c r="BC45" s="8">
        <f>(0.048*C45^1.01)/IF(_xlfn.XLOOKUP(E45,Groups!A:A,Groups!M:M)=1,0.25,0.8)*C45^-0.25</f>
        <v>8.4040162630422426</v>
      </c>
      <c r="BD45" s="8">
        <f>EXP(1.076*LN(AO45)-4.5397)*IF(_xlfn.XLOOKUP(E45,Groups!A:A,Groups!BB:BB)=1,1.25,IF(_xlfn.XLOOKUP(E45,Groups!A:A,Groups!BC:BC)=1,3.5,2.5))</f>
        <v>725.35007239706135</v>
      </c>
      <c r="BE45" s="8">
        <f>EXP(1.076*LN(AP45)-4.5397)*IF(_xlfn.XLOOKUP(E45,Groups!A:A,Groups!M:M)=1,0.8,IF(_xlfn.XLOOKUP(E45,Groups!A:A,Groups!BB:BB)=1,1.3,3))</f>
        <v>821.15825108479567</v>
      </c>
      <c r="BF45" s="8">
        <f>IF(W45="No","No",IF(_xlfn.XLOOKUP(E45,Groups!A:A,Groups!U:U)=1,'Base stats'!BG45,IF(OR(_xlfn.XLOOKUP(E45,Groups!A:A,Groups!BC:BC)=1,_xlfn.XLOOKUP(E45,Groups!A:A,Groups!U:U)=2),BD45,BE45))*1.2)</f>
        <v>985.38990130175478</v>
      </c>
      <c r="BG45" s="8" t="str">
        <f>IFERROR(EXP(1.076*LN(AQ45)-4.5397)*IF(_xlfn.XLOOKUP(E45,Groups!A:A,Groups!N:N)="Insect",1,IF(OR(_xlfn.XLOOKUP(E45,Groups!A:A,Groups!N:N)="Pig",_xlfn.XLOOKUP(E45,Groups!A:A,Groups!N:N)="StrongBitingHerbivore"),3.5,3.75)),"No")</f>
        <v>No</v>
      </c>
      <c r="BH45" s="8">
        <f t="shared" si="5"/>
        <v>16</v>
      </c>
      <c r="BI45" s="8">
        <f t="shared" si="6"/>
        <v>12</v>
      </c>
      <c r="BJ45" s="8">
        <f>IF(W45="No","No",ROUNDDOWN(SQRT((2*BF45)/AZ45),0))</f>
        <v>15</v>
      </c>
      <c r="BK45" s="8" t="str">
        <f>IF(V45="No","No",ROUNDDOWN(SQRT((2*BG45)/AY45),0))</f>
        <v>No</v>
      </c>
      <c r="BL45" s="8">
        <f t="shared" si="7"/>
        <v>13</v>
      </c>
      <c r="BM45" s="8" cm="1">
        <f t="array" ref="BM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stats'!E45,Groups!A:A,Groups!P:P=0)),"No",IF(U45="No",AVERAGE(EXP(-0.57+0.99*LN(C45)),EXP(0.32+0.67*LN(C45)))/IF(_xlfn.XLOOKUP(E45,Groups!A:A,Groups!AD:AD)=1,10,2),(0.7354*C45^0.4078)*2/IF(_xlfn.XLOOKUP(E45,Groups!A:A,Groups!BJ:BJ)=1,1000,100)))</f>
        <v>115.22257916414355</v>
      </c>
      <c r="BN45" s="8">
        <f>IF(W45="No","No",IF(_xlfn.XLOOKUP(E45,Groups!A:A,Groups!BC:BC)=1,(AL45*5%),EXP(0.7354*LN(C45)^0.4078)*2/IF(_xlfn.XLOOKUP(E45,Groups!A:A,Groups!BK:BK)=1,1000,100)))</f>
        <v>9.6904653441537092E-2</v>
      </c>
      <c r="BO45" s="8" t="str">
        <f>IF(BG45="No","No",IF(_xlfn.XLOOKUP(E45,Groups!A:A,Groups!BE:BE)=1,(0.0315*C45+2.1825)*2,(0.7354*C45^0.4078)*2)/IF(_xlfn.XLOOKUP(E45,Groups!A:A,Groups!BL:BL)=1,1000,100))</f>
        <v>No</v>
      </c>
      <c r="BP45" s="8">
        <f>BD45/(AL45*5%)</f>
        <v>0.19079758947953665</v>
      </c>
      <c r="BQ45" s="8">
        <f t="shared" si="8"/>
        <v>7.1267129849175799</v>
      </c>
      <c r="BR45" s="8">
        <f>IF(W45="No","No",BF45/BN45)</f>
        <v>10168.65409767183</v>
      </c>
      <c r="BS45" s="8" t="str">
        <f t="shared" si="9"/>
        <v>No</v>
      </c>
      <c r="BT45" s="4">
        <v>0</v>
      </c>
      <c r="BU45" s="4">
        <v>1</v>
      </c>
    </row>
    <row r="46" spans="1:73" x14ac:dyDescent="0.25">
      <c r="A46" s="26" t="s">
        <v>154</v>
      </c>
      <c r="B46" s="6" t="s">
        <v>155</v>
      </c>
      <c r="C46" s="7">
        <v>200</v>
      </c>
      <c r="D46" s="7" t="s">
        <v>542</v>
      </c>
      <c r="E46" s="7" t="str">
        <f>Groups!A51</f>
        <v>Ruminant (cervid)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542</v>
      </c>
      <c r="L46" s="7">
        <v>72</v>
      </c>
      <c r="M46" s="7" t="s">
        <v>638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_xlfn.XLOOKUP(B46,[1]TeethAdjusters!$A:$A,[1]BiteAdjusters!$C:$C)</f>
        <v>1</v>
      </c>
      <c r="T46" s="7">
        <f>_xlfn.XLOOKUP(B46,[1]TeethAdjusters!$A:$A,[1]TeethAdjusters!$B:$B)</f>
        <v>1</v>
      </c>
      <c r="U46" s="7" t="s">
        <v>45</v>
      </c>
      <c r="V46" s="7" t="str">
        <f>IF(AQ46="No","No",IF(_xlfn.XLOOKUP(E46,Groups!A:A,Groups!AM:AM)=1,MROUND(EXP(0.3582*LN(C46)-0.2221)*T46,0.05),IF(_xlfn.XLOOKUP(E46,Groups!A:A,Groups!AM:AM)=2,MROUND(EXP(0.3582*LN(C46)-0.2221)*T46,0.05),"Need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945</v>
      </c>
      <c r="Y46" s="4" t="s">
        <v>42</v>
      </c>
      <c r="Z46" s="4">
        <v>0</v>
      </c>
      <c r="AA46" s="4">
        <v>0</v>
      </c>
      <c r="AB46" s="4">
        <v>0</v>
      </c>
      <c r="AC46" s="4" t="s">
        <v>45</v>
      </c>
      <c r="AD46" s="4" t="s">
        <v>407</v>
      </c>
      <c r="AE46" s="28" t="s">
        <v>401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4" t="s">
        <v>40</v>
      </c>
      <c r="AL46" s="8">
        <f t="shared" si="16"/>
        <v>34753.014052750754</v>
      </c>
      <c r="AM46" s="8">
        <f>IFERROR(C46*_xlfn.XLOOKUP(E46,Groups!A:A,Groups!K:K),0.106*C46^0.94)</f>
        <v>15.426736488345595</v>
      </c>
      <c r="AN46" s="8">
        <f>AM46*10000/(_xlfn.XLOOKUP(E46,Groups!A:A,Groups!J:J)*AL46)</f>
        <v>4.0724436832674371</v>
      </c>
      <c r="AO46" s="8">
        <f t="shared" si="17"/>
        <v>4776.6210371506204</v>
      </c>
      <c r="AP46" s="8">
        <f>IF(_xlfn.XLOOKUP(E46,Groups!A:A,Groups!M:M)=1,EXP(0.7444*LN('Base stats'!C46)+6.5696),EXP(0.7927*LN('Base stats'!C46)+4.28))</f>
        <v>4817.3351295400244</v>
      </c>
      <c r="AQ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"No")))))))))))))))</f>
        <v>No</v>
      </c>
      <c r="AR46" s="8">
        <f>IF(_xlfn.XLOOKUP(E46,Groups!A:A,Groups!U:U)=3,AP46,IF(_xlfn.XLOOKUP(E46,Groups!A:A,Groups!U:U)=2,AO46,AQ46))</f>
        <v>4817.3351295400244</v>
      </c>
      <c r="AS46" s="46">
        <f>IFERROR(AVERAGE(_xlfn.XLOOKUP(B46,Animals!B:B,Animals!M:M),_xlfn.XLOOKUP(B46,Animals!B:B,Animals!N:N)),0)</f>
        <v>0</v>
      </c>
      <c r="AT46" s="8">
        <f>MROUND(40*Animals!AN46*_xlfn.XLOOKUP(Animals!AZ46,Leathers!$A$2:$A$100,Leathers!$B$2:$B$100,0)+(140*_xlfn.XLOOKUP(B46,Animals!B:B,Animals!AN:AN)*2),5)</f>
        <v>655</v>
      </c>
      <c r="AU46" s="8">
        <f>IFERROR(ROUND(SQRT(V46-1)*IF(_xlfn.XLOOKUP(E46,Groups!A:A,Groups!BE:BE)=0,2,1)*IF(_xlfn.XLOOKUP('Base stats'!E46,Groups!A:A,Groups!O:O)=0,1,0.1),1),0)</f>
        <v>0</v>
      </c>
      <c r="AV46" s="8">
        <f t="shared" si="18"/>
        <v>0</v>
      </c>
      <c r="AW46" s="8">
        <f t="shared" si="19"/>
        <v>7.4</v>
      </c>
      <c r="AX46" s="8">
        <f t="shared" si="20"/>
        <v>5.3</v>
      </c>
      <c r="AY46" s="8">
        <f>IF(_xlfn.XLOOKUP(E46,Groups!A:A,Groups!N:N)="Insect",BA46*2.5,IFERROR(AVERAGE(BA46,AQ46/9.81/IF(OR(_xlfn.XLOOKUP(E46,Groups!A:A,Groups!N:N)="Pig",_xlfn.XLOOKUP(E46,Groups!A:A,Groups!N:N)="StrongBitingHerbivore"),20,25))*C46^-0.135,BA46))</f>
        <v>2.1294266438436793</v>
      </c>
      <c r="AZ46" s="8">
        <f>IF(W46="No","No",IF(_xlfn.XLOOKUP(E46,Groups!A:A,Groups!U:U)=1,'Base stats'!AY46,IF(OR(_xlfn.XLOOKUP(E46,Groups!A:A,Groups!BC:BC)=1,_xlfn.XLOOKUP(E46,Groups!A:A,Groups!U:U)=2),BA46,IF(_xlfn.XLOOKUP(B46,Animals!B:B,Animals!AN:AN)&gt;4,AVERAGE(BA46,BC46),BC46))))</f>
        <v>3.3646046987127658</v>
      </c>
      <c r="BA46" s="8">
        <f>(0.0392*C46^IF(OR(Y46="Herbivore",Y46="Dendrovore",Y46="OmnivoreRough"),0.889,0.966))*C46^-0.135</f>
        <v>2.1294266438436793</v>
      </c>
      <c r="BB46" s="8">
        <f>IF(_xlfn.XLOOKUP(E46,Groups!A:A,Groups!BD:BD)=1,(0.048*C46^1.01)+(0.071*C46^1.03),0.071*C46^1.03)/IF(_xlfn.XLOOKUP(E46,Groups!A:A,Groups!M:M)=1,0.85,IF(OR(_xlfn.XLOOKUP(B46,Animals!B:B,Animals!AN:AN)&gt;4,_xlfn.XLOOKUP(E46,Groups!A:A,Groups!BB:BB)=1),1.7,1))*C46^-0.25</f>
        <v>4.4265130134762103</v>
      </c>
      <c r="BC46" s="8">
        <f>(0.048*C46^1.01)/IF(_xlfn.XLOOKUP(E46,Groups!A:A,Groups!M:M)=1,0.25,0.8)*C46^-0.25</f>
        <v>3.3646046987127658</v>
      </c>
      <c r="BD46" s="8">
        <f>EXP(1.076*LN(AO46)-4.5397)*IF(_xlfn.XLOOKUP(E46,Groups!A:A,Groups!BB:BB)=1,1.25,IF(_xlfn.XLOOKUP(E46,Groups!A:A,Groups!BC:BC)=1,3.5,2.5))</f>
        <v>242.72097948417178</v>
      </c>
      <c r="BE46" s="8">
        <f>EXP(1.076*LN(AP46)-4.5397)*IF(_xlfn.XLOOKUP(E46,Groups!A:A,Groups!M:M)=1,0.8,IF(_xlfn.XLOOKUP(E46,Groups!A:A,Groups!BB:BB)=1,1.3,3))</f>
        <v>293.93735151357987</v>
      </c>
      <c r="BF46" s="8">
        <f>IF(W46="No","No",IF(_xlfn.XLOOKUP(E46,Groups!A:A,Groups!U:U)=1,'Base stats'!BG46,IF(OR(_xlfn.XLOOKUP(E46,Groups!A:A,Groups!BC:BC)=1,_xlfn.XLOOKUP(E46,Groups!A:A,Groups!U:U)=2),BD46,BE46))*1.2)</f>
        <v>352.72482181629584</v>
      </c>
      <c r="BG46" s="8" t="str">
        <f>IFERROR(EXP(1.076*LN(AQ46)-4.5397)*IF(_xlfn.XLOOKUP(E46,Groups!A:A,Groups!N:N)="Insect",1,IF(OR(_xlfn.XLOOKUP(E46,Groups!A:A,Groups!N:N)="Pig",_xlfn.XLOOKUP(E46,Groups!A:A,Groups!N:N)="StrongBitingHerbivore"),3.5,3.75)),"No")</f>
        <v>No</v>
      </c>
      <c r="BH46" s="8">
        <f t="shared" si="5"/>
        <v>15</v>
      </c>
      <c r="BI46" s="8">
        <f t="shared" si="6"/>
        <v>11</v>
      </c>
      <c r="BJ46" s="8">
        <f>IF(W46="No","No",ROUNDDOWN(SQRT((2*BF46)/AZ46),0))</f>
        <v>14</v>
      </c>
      <c r="BK46" s="8" t="str">
        <f>IF(V46="No","No",ROUNDDOWN(SQRT((2*BG46)/AY46),0))</f>
        <v>No</v>
      </c>
      <c r="BL46" s="8">
        <f t="shared" si="7"/>
        <v>13</v>
      </c>
      <c r="BM46" s="8" cm="1">
        <f t="array" ref="BM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stats'!E46,Groups!A:A,Groups!P:P=0)),"No",IF(U46="No",AVERAGE(EXP(-0.57+0.99*LN(C46)),EXP(0.32+0.67*LN(C46)))/IF(_xlfn.XLOOKUP(E46,Groups!A:A,Groups!AD:AD)=1,10,2),(0.7354*C46^0.4078)*2/IF(_xlfn.XLOOKUP(E46,Groups!A:A,Groups!BJ:BJ)=1,1000,100)))</f>
        <v>38.80117243933605</v>
      </c>
      <c r="BN46" s="8">
        <f>IF(W46="No","No",IF(_xlfn.XLOOKUP(E46,Groups!A:A,Groups!BC:BC)=1,(AL46*5%),EXP(0.7354*LN(C46)^0.4078)*2/IF(_xlfn.XLOOKUP(E46,Groups!A:A,Groups!BK:BK)=1,1000,100)))</f>
        <v>8.5393147695734722E-2</v>
      </c>
      <c r="BO46" s="8" t="str">
        <f>IF(BG46="No","No",IF(_xlfn.XLOOKUP(E46,Groups!A:A,Groups!BE:BE)=1,(0.0315*C46+2.1825)*2,(0.7354*C46^0.4078)*2)/IF(_xlfn.XLOOKUP(E46,Groups!A:A,Groups!BL:BL)=1,1000,100))</f>
        <v>No</v>
      </c>
      <c r="BP46" s="8">
        <f>BD46/(AL46*5%)</f>
        <v>0.13968341227368164</v>
      </c>
      <c r="BQ46" s="8">
        <f t="shared" si="8"/>
        <v>7.5754760239046428</v>
      </c>
      <c r="BR46" s="8">
        <f>IF(W46="No","No",BF46/BN46)</f>
        <v>4130.5986643459219</v>
      </c>
      <c r="BS46" s="8" t="str">
        <f t="shared" si="9"/>
        <v>No</v>
      </c>
      <c r="BT46" s="4">
        <v>0</v>
      </c>
      <c r="BU46" s="4">
        <v>1</v>
      </c>
    </row>
    <row r="47" spans="1:73" x14ac:dyDescent="0.25">
      <c r="A47" s="26" t="s">
        <v>156</v>
      </c>
      <c r="B47" s="6" t="s">
        <v>157</v>
      </c>
      <c r="C47" s="7">
        <v>150</v>
      </c>
      <c r="D47" s="7" t="s">
        <v>538</v>
      </c>
      <c r="E47" s="7" t="str">
        <f>Groups!A21</f>
        <v>Camelid (humped)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538</v>
      </c>
      <c r="L47" s="7">
        <v>29</v>
      </c>
      <c r="M47" s="7" t="s">
        <v>638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_xlfn.XLOOKUP(B47,[1]TeethAdjusters!$A:$A,[1]BiteAdjusters!$C:$C)</f>
        <v>1</v>
      </c>
      <c r="T47" s="7">
        <f>_xlfn.XLOOKUP(B47,[1]TeethAdjusters!$A:$A,[1]TeethAdjusters!$B:$B)</f>
        <v>1</v>
      </c>
      <c r="U47" s="7" t="s">
        <v>45</v>
      </c>
      <c r="V47" s="7">
        <v>1.25</v>
      </c>
      <c r="W47" s="7" t="s">
        <v>45</v>
      </c>
      <c r="X47" s="7" t="s">
        <v>945</v>
      </c>
      <c r="Y47" s="4" t="s">
        <v>42</v>
      </c>
      <c r="Z47" s="4">
        <v>0</v>
      </c>
      <c r="AA47" s="4">
        <v>0.1</v>
      </c>
      <c r="AB47" s="4">
        <v>0.3</v>
      </c>
      <c r="AC47" s="4" t="s">
        <v>45</v>
      </c>
      <c r="AD47" s="4" t="s">
        <v>320</v>
      </c>
      <c r="AE47" s="28" t="s">
        <v>401</v>
      </c>
      <c r="AF47" s="4">
        <v>0</v>
      </c>
      <c r="AG47" s="4">
        <v>0</v>
      </c>
      <c r="AH47" s="4">
        <v>1</v>
      </c>
      <c r="AI47" s="4">
        <v>0</v>
      </c>
      <c r="AJ47" s="4">
        <v>0</v>
      </c>
      <c r="AK47" s="44" t="s">
        <v>40</v>
      </c>
      <c r="AL47" s="8">
        <f t="shared" si="16"/>
        <v>28825.861601687579</v>
      </c>
      <c r="AM47" s="8">
        <f>IFERROR(C47*_xlfn.XLOOKUP(E47,Groups!A:A,Groups!K:K),0.106*C47^0.94)</f>
        <v>11.771495712556113</v>
      </c>
      <c r="AN47" s="8">
        <f>AM47*10000/(_xlfn.XLOOKUP(E47,Groups!A:A,Groups!J:J)*AL47)</f>
        <v>3.7464751271603496</v>
      </c>
      <c r="AO47" s="8">
        <f t="shared" si="17"/>
        <v>3746.1489061563307</v>
      </c>
      <c r="AP47" s="8">
        <f>IF(_xlfn.XLOOKUP(E47,Groups!A:A,Groups!M:M)=1,EXP(0.7444*LN('Base stats'!C47)+6.5696),EXP(0.7927*LN('Base stats'!C47)+4.28))</f>
        <v>3835.0225645496203</v>
      </c>
      <c r="AQ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"No")))))))))))))))</f>
        <v>2459.3044204039425</v>
      </c>
      <c r="AR47" s="8">
        <f>IF(_xlfn.XLOOKUP(E47,Groups!A:A,Groups!U:U)=3,AP47,IF(_xlfn.XLOOKUP(E47,Groups!A:A,Groups!U:U)=2,AO47,AQ47))</f>
        <v>2459.3044204039425</v>
      </c>
      <c r="AS47" s="46">
        <f>IFERROR(AVERAGE(_xlfn.XLOOKUP(B47,Animals!B:B,Animals!M:M),_xlfn.XLOOKUP(B47,Animals!B:B,Animals!N:N)),0)</f>
        <v>0</v>
      </c>
      <c r="AT47" s="8">
        <f>MROUND(40*Animals!AN47*_xlfn.XLOOKUP(Animals!AZ47,Leathers!$A$2:$A$100,Leathers!$B$2:$B$100,0)+(140*_xlfn.XLOOKUP(B47,Animals!B:B,Animals!AN:AN)*2),5)</f>
        <v>545</v>
      </c>
      <c r="AU47" s="8">
        <f>IFERROR(ROUND(SQRT(V47-1)*IF(_xlfn.XLOOKUP(E47,Groups!A:A,Groups!BE:BE)=0,2,1)*IF(_xlfn.XLOOKUP('Base stats'!E47,Groups!A:A,Groups!O:O)=0,1,0.1),1),0)</f>
        <v>0.5</v>
      </c>
      <c r="AV47" s="8">
        <f t="shared" si="18"/>
        <v>0</v>
      </c>
      <c r="AW47" s="8">
        <f t="shared" si="19"/>
        <v>0</v>
      </c>
      <c r="AX47" s="8">
        <f t="shared" si="20"/>
        <v>4.8</v>
      </c>
      <c r="AY47" s="8">
        <f>IF(_xlfn.XLOOKUP(E47,Groups!A:A,Groups!N:N)="Insect",BA47*2.5,IFERROR(AVERAGE(BA47,AQ47/9.81/IF(OR(_xlfn.XLOOKUP(E47,Groups!A:A,Groups!N:N)="Pig",_xlfn.XLOOKUP(E47,Groups!A:A,Groups!N:N)="StrongBitingHerbivore"),20,25))*C47^-0.135,BA47))</f>
        <v>3.6222475768924149</v>
      </c>
      <c r="AZ47" s="8" t="str">
        <f>IF(W47="No","No",IF(_xlfn.XLOOKUP(E47,Groups!A:A,Groups!U:U)=1,'Base stats'!AY47,IF(OR(_xlfn.XLOOKUP(E47,Groups!A:A,Groups!BC:BC)=1,_xlfn.XLOOKUP(E47,Groups!A:A,Groups!U:U)=2),BA47,IF(_xlfn.XLOOKUP(B47,Animals!B:B,Animals!AN:AN)&gt;4,AVERAGE(BA47,BC47),BC47))))</f>
        <v>No</v>
      </c>
      <c r="BA47" s="8">
        <f>(0.0392*C47^IF(OR(Y47="Herbivore",Y47="Dendrovore",Y47="OmnivoreRough"),0.889,0.966))*C47^-0.135</f>
        <v>1.7141896806845596</v>
      </c>
      <c r="BB47" s="8">
        <f>IF(_xlfn.XLOOKUP(E47,Groups!A:A,Groups!BD:BD)=1,(0.048*C47^1.01)+(0.071*C47^1.03),0.071*C47^1.03)/IF(_xlfn.XLOOKUP(E47,Groups!A:A,Groups!M:M)=1,0.85,IF(OR(_xlfn.XLOOKUP(B47,Animals!B:B,Animals!AN:AN)&gt;4,_xlfn.XLOOKUP(E47,Groups!A:A,Groups!BB:BB)=1),1.7,1))*C47^-0.25</f>
        <v>3.5367920914565221</v>
      </c>
      <c r="BC47" s="8">
        <f>(0.048*C47^1.01)/IF(_xlfn.XLOOKUP(E47,Groups!A:A,Groups!M:M)=1,0.25,0.8)*C47^-0.25</f>
        <v>2.7038376258152188</v>
      </c>
      <c r="BD47" s="8">
        <f>EXP(1.076*LN(AO47)-4.5397)*IF(_xlfn.XLOOKUP(E47,Groups!A:A,Groups!BB:BB)=1,1.25,IF(_xlfn.XLOOKUP(E47,Groups!A:A,Groups!BC:BC)=1,3.5,2.5))</f>
        <v>186.87484615605439</v>
      </c>
      <c r="BE47" s="8">
        <f>EXP(1.076*LN(AP47)-4.5397)*IF(_xlfn.XLOOKUP(E47,Groups!A:A,Groups!M:M)=1,0.8,IF(_xlfn.XLOOKUP(E47,Groups!A:A,Groups!BB:BB)=1,1.3,3))</f>
        <v>229.97937056804284</v>
      </c>
      <c r="BF47" s="8" t="str">
        <f>IF(W47="No","No",IF(_xlfn.XLOOKUP(E47,Groups!A:A,Groups!U:U)=1,'Base stats'!BG47,IF(OR(_xlfn.XLOOKUP(E47,Groups!A:A,Groups!BC:BC)=1,_xlfn.XLOOKUP(E47,Groups!A:A,Groups!U:U)=2),BD47,BE47))*1.2)</f>
        <v>No</v>
      </c>
      <c r="BG47" s="8">
        <f>IFERROR(EXP(1.076*LN(AQ47)-4.5397)*IF(_xlfn.XLOOKUP(E47,Groups!A:A,Groups!N:N)="Insect",1,IF(OR(_xlfn.XLOOKUP(E47,Groups!A:A,Groups!N:N)="Pig",_xlfn.XLOOKUP(E47,Groups!A:A,Groups!N:N)="StrongBitingHerbivore"),3.5,3.75)),"No")</f>
        <v>166.3471671417945</v>
      </c>
      <c r="BH47" s="8">
        <f t="shared" si="5"/>
        <v>14</v>
      </c>
      <c r="BI47" s="8">
        <f t="shared" si="6"/>
        <v>11</v>
      </c>
      <c r="BJ47" s="8" t="str">
        <f>IF(W47="No","No",ROUNDDOWN(SQRT((2*BF47)/AZ47),0))</f>
        <v>No</v>
      </c>
      <c r="BK47" s="8">
        <f>IF(V47="No","No",ROUNDDOWN(SQRT((2*BG47)/AY47),0))</f>
        <v>9</v>
      </c>
      <c r="BL47" s="8">
        <f t="shared" si="7"/>
        <v>13</v>
      </c>
      <c r="BM47" s="8" cm="1">
        <f t="array" ref="BM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stats'!E47,Groups!A:A,Groups!P:P=0)),"No",IF(U47="No",AVERAGE(EXP(-0.57+0.99*LN(C47)),EXP(0.32+0.67*LN(C47)))/IF(_xlfn.XLOOKUP(E47,Groups!A:A,Groups!AD:AD)=1,10,2),(0.7354*C47^0.4078)*2/IF(_xlfn.XLOOKUP(E47,Groups!A:A,Groups!BJ:BJ)=1,1000,100)))</f>
        <v>30.053921065685302</v>
      </c>
      <c r="BN47" s="8" t="str">
        <f>IF(W47="No","No",IF(_xlfn.XLOOKUP(E47,Groups!A:A,Groups!BC:BC)=1,(AL47*5%),EXP(0.7354*LN(C47)^0.4078)*2/IF(_xlfn.XLOOKUP(E47,Groups!A:A,Groups!BK:BK)=1,1000,100)))</f>
        <v>No</v>
      </c>
      <c r="BO47" s="8">
        <f>IF(BG47="No","No",IF(_xlfn.XLOOKUP(E47,Groups!A:A,Groups!BE:BE)=1,(0.0315*C47+2.1825)*2,(0.7354*C47^0.4078)*2)/IF(_xlfn.XLOOKUP(E47,Groups!A:A,Groups!BL:BL)=1,1000,100))</f>
        <v>0.13815</v>
      </c>
      <c r="BP47" s="8">
        <f>BD47/(AL47*5%)</f>
        <v>0.12965776963635597</v>
      </c>
      <c r="BQ47" s="8">
        <f t="shared" si="8"/>
        <v>7.6522251477737004</v>
      </c>
      <c r="BR47" s="8" t="str">
        <f>IF(W47="No","No",BF47/BN47)</f>
        <v>No</v>
      </c>
      <c r="BS47" s="8">
        <f t="shared" si="9"/>
        <v>1204.1054443850489</v>
      </c>
      <c r="BT47" s="4">
        <v>0</v>
      </c>
      <c r="BU47" s="4">
        <v>1</v>
      </c>
    </row>
    <row r="48" spans="1:73" s="16" customFormat="1" x14ac:dyDescent="0.25">
      <c r="A48" s="26" t="s">
        <v>466</v>
      </c>
      <c r="B48" s="6" t="s">
        <v>891</v>
      </c>
      <c r="C48" s="7">
        <v>150</v>
      </c>
      <c r="D48" s="7" t="s">
        <v>538</v>
      </c>
      <c r="E48" s="7" t="str">
        <f>Groups!A21</f>
        <v>Camelid (humped)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538</v>
      </c>
      <c r="L48" s="7">
        <v>29</v>
      </c>
      <c r="M48" s="7" t="s">
        <v>638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_xlfn.XLOOKUP(B48,[1]TeethAdjusters!$A:$A,[1]BiteAdjusters!$C:$C)</f>
        <v>1</v>
      </c>
      <c r="T48" s="7">
        <f>_xlfn.XLOOKUP(B48,[1]TeethAdjusters!$A:$A,[1]TeethAdjusters!$B:$B)</f>
        <v>1</v>
      </c>
      <c r="U48" s="7" t="s">
        <v>45</v>
      </c>
      <c r="V48" s="7">
        <v>1.25</v>
      </c>
      <c r="W48" s="7" t="s">
        <v>45</v>
      </c>
      <c r="X48" s="7" t="s">
        <v>945</v>
      </c>
      <c r="Y48" s="4" t="s">
        <v>42</v>
      </c>
      <c r="Z48" s="4">
        <v>0</v>
      </c>
      <c r="AA48" s="4">
        <v>0.1</v>
      </c>
      <c r="AB48" s="4">
        <v>0.3</v>
      </c>
      <c r="AC48" s="4" t="s">
        <v>45</v>
      </c>
      <c r="AD48" s="4" t="s">
        <v>320</v>
      </c>
      <c r="AE48" s="28" t="s">
        <v>401</v>
      </c>
      <c r="AF48" s="4">
        <v>0</v>
      </c>
      <c r="AG48" s="4">
        <v>0</v>
      </c>
      <c r="AH48" s="4">
        <v>1</v>
      </c>
      <c r="AI48" s="4">
        <v>0</v>
      </c>
      <c r="AJ48" s="4">
        <v>0</v>
      </c>
      <c r="AK48" s="44" t="s">
        <v>40</v>
      </c>
      <c r="AL48" s="8">
        <f t="shared" si="16"/>
        <v>28825.861601687579</v>
      </c>
      <c r="AM48" s="8">
        <f>IFERROR(C48*_xlfn.XLOOKUP(E48,Groups!A:A,Groups!K:K),0.106*C48^0.94)</f>
        <v>11.771495712556113</v>
      </c>
      <c r="AN48" s="8">
        <f>AM48*10000/(_xlfn.XLOOKUP(E48,Groups!A:A,Groups!J:J)*AL48)</f>
        <v>3.7464751271603496</v>
      </c>
      <c r="AO48" s="8">
        <f t="shared" si="17"/>
        <v>3746.1489061563307</v>
      </c>
      <c r="AP48" s="8">
        <f>IF(_xlfn.XLOOKUP(E48,Groups!A:A,Groups!M:M)=1,EXP(0.7444*LN('Base stats'!C48)+6.5696),EXP(0.7927*LN('Base stats'!C48)+4.28))</f>
        <v>3835.0225645496203</v>
      </c>
      <c r="AQ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"No")))))))))))))))</f>
        <v>2459.3044204039425</v>
      </c>
      <c r="AR48" s="8">
        <f>IF(_xlfn.XLOOKUP(E48,Groups!A:A,Groups!U:U)=3,AP48,IF(_xlfn.XLOOKUP(E48,Groups!A:A,Groups!U:U)=2,AO48,AQ48))</f>
        <v>2459.3044204039425</v>
      </c>
      <c r="AS48" s="46">
        <f>IFERROR(AVERAGE(_xlfn.XLOOKUP(B48,Animals!B:B,Animals!M:M),_xlfn.XLOOKUP(B48,Animals!B:B,Animals!N:N)),0)</f>
        <v>0</v>
      </c>
      <c r="AT48" s="8">
        <f>MROUND(40*Animals!AN48*_xlfn.XLOOKUP(Animals!AZ48,Leathers!$A$2:$A$100,Leathers!$B$2:$B$100,0)+(140*_xlfn.XLOOKUP(B48,Animals!B:B,Animals!AN:AN)*2),5)</f>
        <v>545</v>
      </c>
      <c r="AU48" s="8">
        <f>IFERROR(ROUND(SQRT(V48-1)*IF(_xlfn.XLOOKUP(E48,Groups!A:A,Groups!BE:BE)=0,2,1)*IF(_xlfn.XLOOKUP('Base stats'!E48,Groups!A:A,Groups!O:O)=0,1,0.1),1),0)</f>
        <v>0.5</v>
      </c>
      <c r="AV48" s="8">
        <f t="shared" si="18"/>
        <v>0</v>
      </c>
      <c r="AW48" s="8">
        <f t="shared" si="19"/>
        <v>0</v>
      </c>
      <c r="AX48" s="8">
        <f t="shared" si="20"/>
        <v>4.8</v>
      </c>
      <c r="AY48" s="8">
        <f>IF(_xlfn.XLOOKUP(E48,Groups!A:A,Groups!N:N)="Insect",BA48*2.5,IFERROR(AVERAGE(BA48,AQ48/9.81/IF(OR(_xlfn.XLOOKUP(E48,Groups!A:A,Groups!N:N)="Pig",_xlfn.XLOOKUP(E48,Groups!A:A,Groups!N:N)="StrongBitingHerbivore"),20,25))*C48^-0.135,BA48))</f>
        <v>3.6222475768924149</v>
      </c>
      <c r="AZ48" s="8" t="str">
        <f>IF(W48="No","No",IF(_xlfn.XLOOKUP(E48,Groups!A:A,Groups!U:U)=1,'Base stats'!AY48,IF(OR(_xlfn.XLOOKUP(E48,Groups!A:A,Groups!BC:BC)=1,_xlfn.XLOOKUP(E48,Groups!A:A,Groups!U:U)=2),BA48,IF(_xlfn.XLOOKUP(B48,Animals!B:B,Animals!AN:AN)&gt;4,AVERAGE(BA48,BC48),BC48))))</f>
        <v>No</v>
      </c>
      <c r="BA48" s="8">
        <f>(0.0392*C48^IF(OR(Y48="Herbivore",Y48="Dendrovore",Y48="OmnivoreRough"),0.889,0.966))*C48^-0.135</f>
        <v>1.7141896806845596</v>
      </c>
      <c r="BB48" s="8">
        <f>IF(_xlfn.XLOOKUP(E48,Groups!A:A,Groups!BD:BD)=1,(0.048*C48^1.01)+(0.071*C48^1.03),0.071*C48^1.03)/IF(_xlfn.XLOOKUP(E48,Groups!A:A,Groups!M:M)=1,0.85,IF(OR(_xlfn.XLOOKUP(B48,Animals!B:B,Animals!AN:AN)&gt;4,_xlfn.XLOOKUP(E48,Groups!A:A,Groups!BB:BB)=1),1.7,1))*C48^-0.25</f>
        <v>3.5367920914565221</v>
      </c>
      <c r="BC48" s="8">
        <f>(0.048*C48^1.01)/IF(_xlfn.XLOOKUP(E48,Groups!A:A,Groups!M:M)=1,0.25,0.8)*C48^-0.25</f>
        <v>2.7038376258152188</v>
      </c>
      <c r="BD48" s="8">
        <f>EXP(1.076*LN(AO48)-4.5397)*IF(_xlfn.XLOOKUP(E48,Groups!A:A,Groups!BB:BB)=1,1.25,IF(_xlfn.XLOOKUP(E48,Groups!A:A,Groups!BC:BC)=1,3.5,2.5))</f>
        <v>186.87484615605439</v>
      </c>
      <c r="BE48" s="8">
        <f>EXP(1.076*LN(AP48)-4.5397)*IF(_xlfn.XLOOKUP(E48,Groups!A:A,Groups!M:M)=1,0.8,IF(_xlfn.XLOOKUP(E48,Groups!A:A,Groups!BB:BB)=1,1.3,3))</f>
        <v>229.97937056804284</v>
      </c>
      <c r="BF48" s="8" t="str">
        <f>IF(W48="No","No",IF(_xlfn.XLOOKUP(E48,Groups!A:A,Groups!U:U)=1,'Base stats'!BG48,IF(OR(_xlfn.XLOOKUP(E48,Groups!A:A,Groups!BC:BC)=1,_xlfn.XLOOKUP(E48,Groups!A:A,Groups!U:U)=2),BD48,BE48))*1.2)</f>
        <v>No</v>
      </c>
      <c r="BG48" s="8">
        <f>IFERROR(EXP(1.076*LN(AQ48)-4.5397)*IF(_xlfn.XLOOKUP(E48,Groups!A:A,Groups!N:N)="Insect",1,IF(OR(_xlfn.XLOOKUP(E48,Groups!A:A,Groups!N:N)="Pig",_xlfn.XLOOKUP(E48,Groups!A:A,Groups!N:N)="StrongBitingHerbivore"),3.5,3.75)),"No")</f>
        <v>166.3471671417945</v>
      </c>
      <c r="BH48" s="8">
        <f t="shared" si="5"/>
        <v>14</v>
      </c>
      <c r="BI48" s="8">
        <f t="shared" si="6"/>
        <v>11</v>
      </c>
      <c r="BJ48" s="8" t="str">
        <f>IF(W48="No","No",ROUNDDOWN(SQRT((2*BF48)/AZ48),0))</f>
        <v>No</v>
      </c>
      <c r="BK48" s="8">
        <f>IF(V48="No","No",ROUNDDOWN(SQRT((2*BG48)/AY48),0))</f>
        <v>9</v>
      </c>
      <c r="BL48" s="8">
        <f t="shared" si="7"/>
        <v>13</v>
      </c>
      <c r="BM48" s="8" cm="1">
        <f t="array" ref="BM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stats'!E48,Groups!A:A,Groups!P:P=0)),"No",IF(U48="No",AVERAGE(EXP(-0.57+0.99*LN(C48)),EXP(0.32+0.67*LN(C48)))/IF(_xlfn.XLOOKUP(E48,Groups!A:A,Groups!AD:AD)=1,10,2),(0.7354*C48^0.4078)*2/IF(_xlfn.XLOOKUP(E48,Groups!A:A,Groups!BJ:BJ)=1,1000,100)))</f>
        <v>30.053921065685302</v>
      </c>
      <c r="BN48" s="8" t="str">
        <f>IF(W48="No","No",IF(_xlfn.XLOOKUP(E48,Groups!A:A,Groups!BC:BC)=1,(AL48*5%),EXP(0.7354*LN(C48)^0.4078)*2/IF(_xlfn.XLOOKUP(E48,Groups!A:A,Groups!BK:BK)=1,1000,100)))</f>
        <v>No</v>
      </c>
      <c r="BO48" s="8">
        <f>IF(BG48="No","No",IF(_xlfn.XLOOKUP(E48,Groups!A:A,Groups!BE:BE)=1,(0.0315*C48+2.1825)*2,(0.7354*C48^0.4078)*2)/IF(_xlfn.XLOOKUP(E48,Groups!A:A,Groups!BL:BL)=1,1000,100))</f>
        <v>0.13815</v>
      </c>
      <c r="BP48" s="8">
        <f>BD48/(AL48*5%)</f>
        <v>0.12965776963635597</v>
      </c>
      <c r="BQ48" s="8">
        <f t="shared" si="8"/>
        <v>7.6522251477737004</v>
      </c>
      <c r="BR48" s="8" t="str">
        <f>IF(W48="No","No",BF48/BN48)</f>
        <v>No</v>
      </c>
      <c r="BS48" s="8">
        <f t="shared" si="9"/>
        <v>1204.1054443850489</v>
      </c>
      <c r="BT48" s="4">
        <v>0</v>
      </c>
      <c r="BU48" s="4">
        <v>1</v>
      </c>
    </row>
    <row r="49" spans="1:73" x14ac:dyDescent="0.25">
      <c r="A49" s="26" t="s">
        <v>158</v>
      </c>
      <c r="B49" s="6" t="s">
        <v>159</v>
      </c>
      <c r="C49" s="7">
        <v>115.52</v>
      </c>
      <c r="D49" s="7" t="s">
        <v>1201</v>
      </c>
      <c r="E49" s="7" t="str">
        <f>Groups!A51</f>
        <v>Ruminant (cervid)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546</v>
      </c>
      <c r="L49" s="7">
        <v>80</v>
      </c>
      <c r="M49" s="7" t="s">
        <v>638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_xlfn.XLOOKUP(B49,[1]TeethAdjusters!$A:$A,[1]BiteAdjusters!$C:$C)</f>
        <v>1</v>
      </c>
      <c r="T49" s="7">
        <f>_xlfn.XLOOKUP(B49,[1]TeethAdjusters!$A:$A,[1]TeethAdjusters!$B:$B)</f>
        <v>1</v>
      </c>
      <c r="U49" s="7" t="s">
        <v>45</v>
      </c>
      <c r="V49" s="7" t="str">
        <f>IF(AQ49="No","No",IF(_xlfn.XLOOKUP(E49,Groups!A:A,Groups!AM:AM)=1,MROUND(EXP(0.3582*LN(C49)-0.2221)*T49,0.05),IF(_xlfn.XLOOKUP(E49,Groups!A:A,Groups!AM:AM)=2,MROUND(EXP(0.3582*LN(C49)-0.2221)*T49,0.05),"Need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945</v>
      </c>
      <c r="Y49" s="4" t="s">
        <v>42</v>
      </c>
      <c r="Z49" s="4">
        <v>0</v>
      </c>
      <c r="AA49" s="4">
        <v>0</v>
      </c>
      <c r="AB49" s="4">
        <v>0</v>
      </c>
      <c r="AC49" s="4" t="s">
        <v>45</v>
      </c>
      <c r="AD49" s="4" t="s">
        <v>410</v>
      </c>
      <c r="AE49" s="28" t="s">
        <v>401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4" t="s">
        <v>40</v>
      </c>
      <c r="AL49" s="8">
        <f t="shared" si="16"/>
        <v>24324.848604008996</v>
      </c>
      <c r="AM49" s="8">
        <f>IFERROR(C49*_xlfn.XLOOKUP(E49,Groups!A:A,Groups!K:K),0.106*C49^0.94)</f>
        <v>9.2088121661870801</v>
      </c>
      <c r="AN49" s="8">
        <f>AM49*10000/(_xlfn.XLOOKUP(E49,Groups!A:A,Groups!J:J)*AL49)</f>
        <v>3.4731774352008111</v>
      </c>
      <c r="AO49" s="8">
        <f t="shared" si="17"/>
        <v>3004.465834884817</v>
      </c>
      <c r="AP49" s="8">
        <f>IF(_xlfn.XLOOKUP(E49,Groups!A:A,Groups!M:M)=1,EXP(0.7444*LN('Base stats'!C49)+6.5696),EXP(0.7927*LN('Base stats'!C49)+4.28))</f>
        <v>3117.8034215020261</v>
      </c>
      <c r="AQ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"No")))))))))))))))</f>
        <v>No</v>
      </c>
      <c r="AR49" s="8">
        <f>IF(_xlfn.XLOOKUP(E49,Groups!A:A,Groups!U:U)=3,AP49,IF(_xlfn.XLOOKUP(E49,Groups!A:A,Groups!U:U)=2,AO49,AQ49))</f>
        <v>3117.8034215020261</v>
      </c>
      <c r="AS49" s="46">
        <f>IFERROR(AVERAGE(_xlfn.XLOOKUP(B49,Animals!B:B,Animals!M:M),_xlfn.XLOOKUP(B49,Animals!B:B,Animals!N:N)),0)</f>
        <v>0</v>
      </c>
      <c r="AT49" s="8">
        <f>MROUND(40*Animals!AN49*_xlfn.XLOOKUP(Animals!AZ49,Leathers!$A$2:$A$100,Leathers!$B$2:$B$100,0)+(140*_xlfn.XLOOKUP(B49,Animals!B:B,Animals!AN:AN)*2),5)</f>
        <v>475</v>
      </c>
      <c r="AU49" s="8">
        <f>IFERROR(ROUND(SQRT(V49-1)*IF(_xlfn.XLOOKUP(E49,Groups!A:A,Groups!BE:BE)=0,2,1)*IF(_xlfn.XLOOKUP('Base stats'!E49,Groups!A:A,Groups!O:O)=0,1,0.1),1),0)</f>
        <v>0</v>
      </c>
      <c r="AV49" s="8">
        <f t="shared" si="18"/>
        <v>0</v>
      </c>
      <c r="AW49" s="8">
        <f t="shared" si="19"/>
        <v>7.1</v>
      </c>
      <c r="AX49" s="8">
        <f t="shared" si="20"/>
        <v>4.4000000000000004</v>
      </c>
      <c r="AY49" s="8">
        <f>IF(_xlfn.XLOOKUP(E49,Groups!A:A,Groups!N:N)="Insect",BA49*2.5,IFERROR(AVERAGE(BA49,AQ49/9.81/IF(OR(_xlfn.XLOOKUP(E49,Groups!A:A,Groups!N:N)="Pig",_xlfn.XLOOKUP(E49,Groups!A:A,Groups!N:N)="StrongBitingHerbivore"),20,25))*C49^-0.135,BA49))</f>
        <v>1.4077631114513092</v>
      </c>
      <c r="AZ49" s="8">
        <f>IF(W49="No","No",IF(_xlfn.XLOOKUP(E49,Groups!A:A,Groups!U:U)=1,'Base stats'!AY49,IF(OR(_xlfn.XLOOKUP(E49,Groups!A:A,Groups!BC:BC)=1,_xlfn.XLOOKUP(E49,Groups!A:A,Groups!U:U)=2),BA49,IF(_xlfn.XLOOKUP(B49,Animals!B:B,Animals!AN:AN)&gt;4,AVERAGE(BA49,BC49),BC49))))</f>
        <v>2.2170255969992998</v>
      </c>
      <c r="BA49" s="8">
        <f>(0.0392*C49^IF(OR(Y49="Herbivore",Y49="Dendrovore",Y49="OmnivoreRough"),0.889,0.966))*C49^-0.135</f>
        <v>1.4077631114513092</v>
      </c>
      <c r="BB49" s="8">
        <f>IF(_xlfn.XLOOKUP(E49,Groups!A:A,Groups!BD:BD)=1,(0.048*C49^1.01)+(0.071*C49^1.03),0.071*C49^1.03)/IF(_xlfn.XLOOKUP(E49,Groups!A:A,Groups!M:M)=1,0.85,IF(OR(_xlfn.XLOOKUP(B49,Animals!B:B,Animals!AN:AN)&gt;4,_xlfn.XLOOKUP(E49,Groups!A:A,Groups!BB:BB)=1),1.7,1))*C49^-0.25</f>
        <v>2.8849012328843213</v>
      </c>
      <c r="BC49" s="8">
        <f>(0.048*C49^1.01)/IF(_xlfn.XLOOKUP(E49,Groups!A:A,Groups!M:M)=1,0.25,0.8)*C49^-0.25</f>
        <v>2.2170255969992998</v>
      </c>
      <c r="BD49" s="8">
        <f>EXP(1.076*LN(AO49)-4.5397)*IF(_xlfn.XLOOKUP(E49,Groups!A:A,Groups!BB:BB)=1,1.25,IF(_xlfn.XLOOKUP(E49,Groups!A:A,Groups!BC:BC)=1,3.5,2.5))</f>
        <v>147.38420104304186</v>
      </c>
      <c r="BE49" s="8">
        <f>EXP(1.076*LN(AP49)-4.5397)*IF(_xlfn.XLOOKUP(E49,Groups!A:A,Groups!M:M)=1,0.8,IF(_xlfn.XLOOKUP(E49,Groups!A:A,Groups!BB:BB)=1,1.3,3))</f>
        <v>184.05000261865484</v>
      </c>
      <c r="BF49" s="8">
        <f>IF(W49="No","No",IF(_xlfn.XLOOKUP(E49,Groups!A:A,Groups!U:U)=1,'Base stats'!BG49,IF(OR(_xlfn.XLOOKUP(E49,Groups!A:A,Groups!BC:BC)=1,_xlfn.XLOOKUP(E49,Groups!A:A,Groups!U:U)=2),BD49,BE49))*1.2)</f>
        <v>220.86000314238581</v>
      </c>
      <c r="BG49" s="8" t="str">
        <f>IFERROR(EXP(1.076*LN(AQ49)-4.5397)*IF(_xlfn.XLOOKUP(E49,Groups!A:A,Groups!N:N)="Insect",1,IF(OR(_xlfn.XLOOKUP(E49,Groups!A:A,Groups!N:N)="Pig",_xlfn.XLOOKUP(E49,Groups!A:A,Groups!N:N)="StrongBitingHerbivore"),3.5,3.75)),"No")</f>
        <v>No</v>
      </c>
      <c r="BH49" s="8">
        <f t="shared" si="5"/>
        <v>14</v>
      </c>
      <c r="BI49" s="8">
        <f t="shared" si="6"/>
        <v>11</v>
      </c>
      <c r="BJ49" s="8">
        <f>IF(W49="No","No",ROUNDDOWN(SQRT((2*BF49)/AZ49),0))</f>
        <v>14</v>
      </c>
      <c r="BK49" s="8" t="str">
        <f>IF(V49="No","No",ROUNDDOWN(SQRT((2*BG49)/AY49),0))</f>
        <v>No</v>
      </c>
      <c r="BL49" s="8">
        <f t="shared" si="7"/>
        <v>12</v>
      </c>
      <c r="BM49" s="8" cm="1">
        <f t="array" ref="BM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stats'!E49,Groups!A:A,Groups!P:P=0)),"No",IF(U49="No",AVERAGE(EXP(-0.57+0.99*LN(C49)),EXP(0.32+0.67*LN(C49)))/IF(_xlfn.XLOOKUP(E49,Groups!A:A,Groups!AD:AD)=1,10,2),(0.7354*C49^0.4078)*2/IF(_xlfn.XLOOKUP(E49,Groups!A:A,Groups!BJ:BJ)=1,1000,100)))</f>
        <v>23.871303230813687</v>
      </c>
      <c r="BN49" s="8">
        <f>IF(W49="No","No",IF(_xlfn.XLOOKUP(E49,Groups!A:A,Groups!BC:BC)=1,(AL49*5%),EXP(0.7354*LN(C49)^0.4078)*2/IF(_xlfn.XLOOKUP(E49,Groups!A:A,Groups!BK:BK)=1,1000,100)))</f>
        <v>8.0154260662742907E-2</v>
      </c>
      <c r="BO49" s="8" t="str">
        <f>IF(BG49="No","No",IF(_xlfn.XLOOKUP(E49,Groups!A:A,Groups!BE:BE)=1,(0.0315*C49+2.1825)*2,(0.7354*C49^0.4078)*2)/IF(_xlfn.XLOOKUP(E49,Groups!A:A,Groups!BL:BL)=1,1000,100))</f>
        <v>No</v>
      </c>
      <c r="BP49" s="8">
        <f>BD49/(AL49*5%)</f>
        <v>0.12117995342322611</v>
      </c>
      <c r="BQ49" s="8">
        <f t="shared" si="8"/>
        <v>7.7100944527016191</v>
      </c>
      <c r="BR49" s="8">
        <f>IF(W49="No","No",BF49/BN49)</f>
        <v>2755.4368453559373</v>
      </c>
      <c r="BS49" s="8" t="str">
        <f t="shared" si="9"/>
        <v>No</v>
      </c>
      <c r="BT49" s="4">
        <v>0</v>
      </c>
      <c r="BU49" s="4">
        <v>1</v>
      </c>
    </row>
    <row r="50" spans="1:73" x14ac:dyDescent="0.25">
      <c r="A50" s="26" t="s">
        <v>160</v>
      </c>
      <c r="B50" s="6" t="s">
        <v>161</v>
      </c>
      <c r="C50" s="7">
        <v>82.5</v>
      </c>
      <c r="D50" s="7" t="s">
        <v>547</v>
      </c>
      <c r="E50" s="7" t="str">
        <f>Groups!A50</f>
        <v>Ruminant  (bovid, 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547</v>
      </c>
      <c r="L50" s="7">
        <v>45</v>
      </c>
      <c r="M50" s="7" t="s">
        <v>638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_xlfn.XLOOKUP(B50,[1]TeethAdjusters!$A:$A,[1]BiteAdjusters!$C:$C)</f>
        <v>1</v>
      </c>
      <c r="T50" s="7">
        <f>_xlfn.XLOOKUP(B50,[1]TeethAdjusters!$A:$A,[1]TeethAdjusters!$B:$B)</f>
        <v>1</v>
      </c>
      <c r="U50" s="7" t="s">
        <v>45</v>
      </c>
      <c r="V50" s="7" t="str">
        <f>IF(AQ50="No","No",IF(_xlfn.XLOOKUP(E50,Groups!A:A,Groups!AM:AM)=1,MROUND(EXP(0.3582*LN(C50)-0.2221)*T50,0.05),IF(_xlfn.XLOOKUP(E50,Groups!A:A,Groups!AM:AM)=2,MROUND(EXP(0.3582*LN(C50)-0.2221)*T50,0.05),"Need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945</v>
      </c>
      <c r="Y50" s="4" t="s">
        <v>42</v>
      </c>
      <c r="Z50" s="4">
        <v>0</v>
      </c>
      <c r="AA50" s="4">
        <v>0</v>
      </c>
      <c r="AB50" s="4">
        <v>0</v>
      </c>
      <c r="AC50" s="4" t="s">
        <v>45</v>
      </c>
      <c r="AD50" s="4" t="s">
        <v>407</v>
      </c>
      <c r="AE50" s="28" t="s">
        <v>401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4" t="s">
        <v>40</v>
      </c>
      <c r="AL50" s="8">
        <f t="shared" si="16"/>
        <v>19544.206621046193</v>
      </c>
      <c r="AM50" s="8">
        <f>IFERROR(C50*_xlfn.XLOOKUP(E50,Groups!A:A,Groups!K:K),0.106*C50^0.94)</f>
        <v>6.7107734384110129</v>
      </c>
      <c r="AN50" s="8">
        <f>AM50*10000/(_xlfn.XLOOKUP(E50,Groups!A:A,Groups!J:J)*AL50)</f>
        <v>3.1501267862397344</v>
      </c>
      <c r="AO50" s="8">
        <f t="shared" si="17"/>
        <v>2260.8377702679973</v>
      </c>
      <c r="AP50" s="8">
        <f>IF(_xlfn.XLOOKUP(E50,Groups!A:A,Groups!M:M)=1,EXP(0.7444*LN('Base stats'!C50)+6.5696),EXP(0.7927*LN('Base stats'!C50)+4.28))</f>
        <v>2387.5552349171853</v>
      </c>
      <c r="AQ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"No")))))))))))))))</f>
        <v>No</v>
      </c>
      <c r="AR50" s="8">
        <f>IF(_xlfn.XLOOKUP(E50,Groups!A:A,Groups!U:U)=3,AP50,IF(_xlfn.XLOOKUP(E50,Groups!A:A,Groups!U:U)=2,AO50,AQ50))</f>
        <v>2387.5552349171853</v>
      </c>
      <c r="AS50" s="46">
        <f>IFERROR(AVERAGE(_xlfn.XLOOKUP(B50,Animals!B:B,Animals!M:M),_xlfn.XLOOKUP(B50,Animals!B:B,Animals!N:N)),0)</f>
        <v>0</v>
      </c>
      <c r="AT50" s="8">
        <f>MROUND(40*Animals!AN50*_xlfn.XLOOKUP(Animals!AZ50,Leathers!$A$2:$A$100,Leathers!$B$2:$B$100,0)+(140*_xlfn.XLOOKUP(B50,Animals!B:B,Animals!AN:AN)*2),5)</f>
        <v>400</v>
      </c>
      <c r="AU50" s="8">
        <f>IFERROR(ROUND(SQRT(V50-1)*IF(_xlfn.XLOOKUP(E50,Groups!A:A,Groups!BE:BE)=0,2,1)*IF(_xlfn.XLOOKUP('Base stats'!E50,Groups!A:A,Groups!O:O)=0,1,0.1),1),0)</f>
        <v>0</v>
      </c>
      <c r="AV50" s="8">
        <f t="shared" si="18"/>
        <v>0</v>
      </c>
      <c r="AW50" s="8">
        <f t="shared" si="19"/>
        <v>7.5</v>
      </c>
      <c r="AX50" s="8">
        <f t="shared" si="20"/>
        <v>3.9</v>
      </c>
      <c r="AY50" s="8">
        <f>IF(_xlfn.XLOOKUP(E50,Groups!A:A,Groups!N:N)="Insect",BA50*2.5,IFERROR(AVERAGE(BA50,AQ50/9.81/IF(OR(_xlfn.XLOOKUP(E50,Groups!A:A,Groups!N:N)="Pig",_xlfn.XLOOKUP(E50,Groups!A:A,Groups!N:N)="StrongBitingHerbivore"),20,25))*C50^-0.135,BA50))</f>
        <v>1.0921752840745751</v>
      </c>
      <c r="AZ50" s="8">
        <f>IF(W50="No","No",IF(_xlfn.XLOOKUP(E50,Groups!A:A,Groups!U:U)=1,'Base stats'!AY50,IF(OR(_xlfn.XLOOKUP(E50,Groups!A:A,Groups!BC:BC)=1,_xlfn.XLOOKUP(E50,Groups!A:A,Groups!U:U)=2),BA50,IF(_xlfn.XLOOKUP(B50,Animals!B:B,Animals!AN:AN)&gt;4,AVERAGE(BA50,BC50),BC50))))</f>
        <v>1.0921752840745751</v>
      </c>
      <c r="BA50" s="8">
        <f>(0.0392*C50^IF(OR(Y50="Herbivore",Y50="Dendrovore",Y50="OmnivoreRough"),0.889,0.966))*C50^-0.135</f>
        <v>1.0921752840745751</v>
      </c>
      <c r="BB50" s="8">
        <f>IF(_xlfn.XLOOKUP(E50,Groups!A:A,Groups!BD:BD)=1,(0.048*C50^1.01)+(0.071*C50^1.03),0.071*C50^1.03)/IF(_xlfn.XLOOKUP(E50,Groups!A:A,Groups!M:M)=1,0.85,IF(OR(_xlfn.XLOOKUP(B50,Animals!B:B,Animals!AN:AN)&gt;4,_xlfn.XLOOKUP(E50,Groups!A:A,Groups!BB:BB)=1),1.7,1))*C50^-0.25</f>
        <v>2.2186685570027009</v>
      </c>
      <c r="BC50" s="8">
        <f>(0.048*C50^1.01)/IF(_xlfn.XLOOKUP(E50,Groups!A:A,Groups!M:M)=1,0.25,0.8)*C50^-0.25</f>
        <v>1.7165491823144341</v>
      </c>
      <c r="BD50" s="8">
        <f>EXP(1.076*LN(AO50)-4.5397)*IF(_xlfn.XLOOKUP(E50,Groups!A:A,Groups!BB:BB)=1,1.25,IF(_xlfn.XLOOKUP(E50,Groups!A:A,Groups!BC:BC)=1,3.5,2.5))</f>
        <v>151.94809488026397</v>
      </c>
      <c r="BE50" s="8">
        <f>EXP(1.076*LN(AP50)-4.5397)*IF(_xlfn.XLOOKUP(E50,Groups!A:A,Groups!M:M)=1,0.8,IF(_xlfn.XLOOKUP(E50,Groups!A:A,Groups!BB:BB)=1,1.3,3))</f>
        <v>138.11233994177937</v>
      </c>
      <c r="BF50" s="8">
        <f>IF(W50="No","No",IF(_xlfn.XLOOKUP(E50,Groups!A:A,Groups!U:U)=1,'Base stats'!BG50,IF(OR(_xlfn.XLOOKUP(E50,Groups!A:A,Groups!BC:BC)=1,_xlfn.XLOOKUP(E50,Groups!A:A,Groups!U:U)=2),BD50,BE50))*1.2)</f>
        <v>182.33771385631675</v>
      </c>
      <c r="BG50" s="8" t="str">
        <f>IFERROR(EXP(1.076*LN(AQ50)-4.5397)*IF(_xlfn.XLOOKUP(E50,Groups!A:A,Groups!N:N)="Insect",1,IF(OR(_xlfn.XLOOKUP(E50,Groups!A:A,Groups!N:N)="Pig",_xlfn.XLOOKUP(E50,Groups!A:A,Groups!N:N)="StrongBitingHerbivore"),3.5,3.75)),"No")</f>
        <v>No</v>
      </c>
      <c r="BH50" s="8">
        <f t="shared" si="5"/>
        <v>16</v>
      </c>
      <c r="BI50" s="8">
        <f t="shared" si="6"/>
        <v>11</v>
      </c>
      <c r="BJ50" s="8">
        <f>IF(W50="No","No",ROUNDDOWN(SQRT((2*BF50)/AZ50),0))</f>
        <v>18</v>
      </c>
      <c r="BK50" s="8" t="str">
        <f>IF(V50="No","No",ROUNDDOWN(SQRT((2*BG50)/AY50),0))</f>
        <v>No</v>
      </c>
      <c r="BL50" s="8">
        <f t="shared" si="7"/>
        <v>12</v>
      </c>
      <c r="BM50" s="8" cm="1">
        <f t="array" ref="BM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stats'!E50,Groups!A:A,Groups!P:P=0)),"No",IF(U50="No",AVERAGE(EXP(-0.57+0.99*LN(C50)),EXP(0.32+0.67*LN(C50)))/IF(_xlfn.XLOOKUP(E50,Groups!A:A,Groups!AD:AD)=1,10,2),(0.7354*C50^0.4078)*2/IF(_xlfn.XLOOKUP(E50,Groups!A:A,Groups!BJ:BJ)=1,1000,100)))</f>
        <v>17.78167196742708</v>
      </c>
      <c r="BN50" s="8">
        <f>IF(W50="No","No",IF(_xlfn.XLOOKUP(E50,Groups!A:A,Groups!BC:BC)=1,(AL50*5%),EXP(0.7354*LN(C50)^0.4078)*2/IF(_xlfn.XLOOKUP(E50,Groups!A:A,Groups!BK:BK)=1,1000,100)))</f>
        <v>977.2103310523097</v>
      </c>
      <c r="BO50" s="8" t="str">
        <f>IF(BG50="No","No",IF(_xlfn.XLOOKUP(E50,Groups!A:A,Groups!BE:BE)=1,(0.0315*C50+2.1825)*2,(0.7354*C50^0.4078)*2)/IF(_xlfn.XLOOKUP(E50,Groups!A:A,Groups!BL:BL)=1,1000,100))</f>
        <v>No</v>
      </c>
      <c r="BP50" s="8">
        <f>BD50/(AL50*5%)</f>
        <v>0.15549169922982553</v>
      </c>
      <c r="BQ50" s="8">
        <f t="shared" si="8"/>
        <v>7.7671177488133329</v>
      </c>
      <c r="BR50" s="8">
        <f>IF(W50="No","No",BF50/BN50)</f>
        <v>0.18659003907579061</v>
      </c>
      <c r="BS50" s="8" t="str">
        <f t="shared" si="9"/>
        <v>No</v>
      </c>
      <c r="BT50" s="4">
        <v>0</v>
      </c>
      <c r="BU50" s="4">
        <v>1</v>
      </c>
    </row>
    <row r="51" spans="1:73" x14ac:dyDescent="0.25">
      <c r="A51" s="26" t="s">
        <v>162</v>
      </c>
      <c r="B51" s="6" t="s">
        <v>163</v>
      </c>
      <c r="C51" s="7">
        <f>AVERAGE(48.5,80.5)</f>
        <v>64.5</v>
      </c>
      <c r="D51" s="7" t="s">
        <v>1202</v>
      </c>
      <c r="E51" s="7" t="str">
        <f>Groups!A49</f>
        <v>Ruminant (bovid, harmless)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548</v>
      </c>
      <c r="L51" s="7">
        <f>MAX(3.1,3.8,3.1,3.7)*3.6*(23.3/11)</f>
        <v>28.97672727272727</v>
      </c>
      <c r="M51" s="7" t="s">
        <v>647</v>
      </c>
      <c r="N51" s="4">
        <v>0</v>
      </c>
      <c r="O51" s="4">
        <v>2</v>
      </c>
      <c r="P51" s="4">
        <v>10</v>
      </c>
      <c r="Q51" s="4">
        <v>0</v>
      </c>
      <c r="R51" s="4" t="s">
        <v>40</v>
      </c>
      <c r="S51" s="7">
        <f>_xlfn.XLOOKUP(B51,[1]TeethAdjusters!$A:$A,[1]BiteAdjusters!$C:$C)</f>
        <v>1</v>
      </c>
      <c r="T51" s="7">
        <f>_xlfn.XLOOKUP(B51,[1]TeethAdjusters!$A:$A,[1]TeethAdjusters!$B:$B)</f>
        <v>1</v>
      </c>
      <c r="U51" s="7" t="s">
        <v>45</v>
      </c>
      <c r="V51" s="7" t="str">
        <f>IF(AQ51="No","No",IF(_xlfn.XLOOKUP(E51,Groups!A:A,Groups!AM:AM)=1,MROUND(EXP(0.3582*LN(C51)-0.2221)*T51,0.05),IF(_xlfn.XLOOKUP(E51,Groups!A:A,Groups!AM:AM)=2,MROUND(EXP(0.3582*LN(C51)-0.2221)*T51,0.05),"Need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977</v>
      </c>
      <c r="Y51" s="4" t="s">
        <v>42</v>
      </c>
      <c r="Z51" s="4">
        <v>0</v>
      </c>
      <c r="AA51" s="4">
        <v>0</v>
      </c>
      <c r="AB51" s="4">
        <v>0</v>
      </c>
      <c r="AC51" s="4" t="s">
        <v>45</v>
      </c>
      <c r="AD51" s="4" t="s">
        <v>407</v>
      </c>
      <c r="AE51" s="28" t="s">
        <v>401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4" t="s">
        <v>40</v>
      </c>
      <c r="AL51" s="8">
        <f t="shared" si="16"/>
        <v>16654.699199254992</v>
      </c>
      <c r="AM51" s="8">
        <f>IFERROR(C51*_xlfn.XLOOKUP(E51,Groups!A:A,Groups!K:K),0.106*C51^0.94)</f>
        <v>5.3246614148252096</v>
      </c>
      <c r="AN51" s="8">
        <f>AM51*10000/(_xlfn.XLOOKUP(E51,Groups!A:A,Groups!J:J)*AL51)</f>
        <v>2.9331123990130212</v>
      </c>
      <c r="AO51" s="8">
        <f t="shared" si="17"/>
        <v>1836.4361814218746</v>
      </c>
      <c r="AP51" s="8">
        <f>IF(_xlfn.XLOOKUP(E51,Groups!A:A,Groups!M:M)=1,EXP(0.7444*LN('Base stats'!C51)+6.5696),EXP(0.7927*LN('Base stats'!C51)+4.28))</f>
        <v>1964.3477255413904</v>
      </c>
      <c r="AQ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"No")))))))))))))))</f>
        <v>No</v>
      </c>
      <c r="AR51" s="8">
        <f>IF(_xlfn.XLOOKUP(E51,Groups!A:A,Groups!U:U)=3,AP51,IF(_xlfn.XLOOKUP(E51,Groups!A:A,Groups!U:U)=2,AO51,AQ51))</f>
        <v>1964.3477255413904</v>
      </c>
      <c r="AS51" s="46">
        <f>IFERROR(AVERAGE(_xlfn.XLOOKUP(B51,Animals!B:B,Animals!M:M),_xlfn.XLOOKUP(B51,Animals!B:B,Animals!N:N)),0)</f>
        <v>0</v>
      </c>
      <c r="AT51" s="8">
        <f>MROUND(40*Animals!AN51*_xlfn.XLOOKUP(Animals!AZ51,Leathers!$A$2:$A$100,Leathers!$B$2:$B$100,0)+(140*_xlfn.XLOOKUP(B51,Animals!B:B,Animals!AN:AN)*2),5)</f>
        <v>345</v>
      </c>
      <c r="AU51" s="8">
        <f>IFERROR(ROUND(SQRT(V51-1)*IF(_xlfn.XLOOKUP(E51,Groups!A:A,Groups!BE:BE)=0,2,1)*IF(_xlfn.XLOOKUP('Base stats'!E51,Groups!A:A,Groups!O:O)=0,1,0.1),1),0)</f>
        <v>0</v>
      </c>
      <c r="AV51" s="8">
        <f t="shared" si="18"/>
        <v>0</v>
      </c>
      <c r="AW51" s="8">
        <f t="shared" si="19"/>
        <v>5.0999999999999996</v>
      </c>
      <c r="AX51" s="8">
        <f t="shared" si="20"/>
        <v>3.6</v>
      </c>
      <c r="AY51" s="8">
        <f>IF(_xlfn.XLOOKUP(E51,Groups!A:A,Groups!N:N)="Insect",BA51*2.5,IFERROR(AVERAGE(BA51,AQ51/9.81/IF(OR(_xlfn.XLOOKUP(E51,Groups!A:A,Groups!N:N)="Pig",_xlfn.XLOOKUP(E51,Groups!A:A,Groups!N:N)="StrongBitingHerbivore"),20,25))*C51^-0.135,BA51))</f>
        <v>0.9071813051316151</v>
      </c>
      <c r="AZ51" s="8">
        <f>IF(W51="No","No",IF(_xlfn.XLOOKUP(E51,Groups!A:A,Groups!U:U)=1,'Base stats'!AY51,IF(OR(_xlfn.XLOOKUP(E51,Groups!A:A,Groups!BC:BC)=1,_xlfn.XLOOKUP(E51,Groups!A:A,Groups!U:U)=2),BA51,IF(_xlfn.XLOOKUP(B51,Animals!B:B,Animals!AN:AN)&gt;4,AVERAGE(BA51,BC51),BC51))))</f>
        <v>1.4236939303409302</v>
      </c>
      <c r="BA51" s="8">
        <f>(0.0392*C51^IF(OR(Y51="Herbivore",Y51="Dendrovore",Y51="OmnivoreRough"),0.889,0.966))*C51^-0.135</f>
        <v>0.9071813051316151</v>
      </c>
      <c r="BB51" s="8">
        <f>IF(_xlfn.XLOOKUP(E51,Groups!A:A,Groups!BD:BD)=1,(0.048*C51^1.01)+(0.071*C51^1.03),0.071*C51^1.03)/IF(_xlfn.XLOOKUP(E51,Groups!A:A,Groups!M:M)=1,0.85,IF(OR(_xlfn.XLOOKUP(B51,Animals!B:B,Animals!AN:AN)&gt;4,_xlfn.XLOOKUP(E51,Groups!A:A,Groups!BB:BB)=1),1.7,1))*C51^-0.25</f>
        <v>1.8311120733225663</v>
      </c>
      <c r="BC51" s="8">
        <f>(0.048*C51^1.01)/IF(_xlfn.XLOOKUP(E51,Groups!A:A,Groups!M:M)=1,0.25,0.8)*C51^-0.25</f>
        <v>1.4236939303409302</v>
      </c>
      <c r="BD51" s="8">
        <f>EXP(1.076*LN(AO51)-4.5397)*IF(_xlfn.XLOOKUP(E51,Groups!A:A,Groups!BB:BB)=1,1.25,IF(_xlfn.XLOOKUP(E51,Groups!A:A,Groups!BC:BC)=1,3.5,2.5))</f>
        <v>86.778343103991844</v>
      </c>
      <c r="BE51" s="8">
        <f>EXP(1.076*LN(AP51)-4.5397)*IF(_xlfn.XLOOKUP(E51,Groups!A:A,Groups!M:M)=1,0.8,IF(_xlfn.XLOOKUP(E51,Groups!A:A,Groups!BB:BB)=1,1.3,3))</f>
        <v>111.95862588634577</v>
      </c>
      <c r="BF51" s="8">
        <f>IF(W51="No","No",IF(_xlfn.XLOOKUP(E51,Groups!A:A,Groups!U:U)=1,'Base stats'!BG51,IF(OR(_xlfn.XLOOKUP(E51,Groups!A:A,Groups!BC:BC)=1,_xlfn.XLOOKUP(E51,Groups!A:A,Groups!U:U)=2),BD51,BE51))*1.2)</f>
        <v>134.35035106361491</v>
      </c>
      <c r="BG51" s="8" t="str">
        <f>IFERROR(EXP(1.076*LN(AQ51)-4.5397)*IF(_xlfn.XLOOKUP(E51,Groups!A:A,Groups!N:N)="Insect",1,IF(OR(_xlfn.XLOOKUP(E51,Groups!A:A,Groups!N:N)="Pig",_xlfn.XLOOKUP(E51,Groups!A:A,Groups!N:N)="StrongBitingHerbivore"),3.5,3.75)),"No")</f>
        <v>No</v>
      </c>
      <c r="BH51" s="8">
        <f t="shared" si="5"/>
        <v>13</v>
      </c>
      <c r="BI51" s="8">
        <f t="shared" si="6"/>
        <v>11</v>
      </c>
      <c r="BJ51" s="8">
        <f>IF(W51="No","No",ROUNDDOWN(SQRT((2*BF51)/AZ51),0))</f>
        <v>13</v>
      </c>
      <c r="BK51" s="8" t="str">
        <f>IF(V51="No","No",ROUNDDOWN(SQRT((2*BG51)/AY51),0))</f>
        <v>No</v>
      </c>
      <c r="BL51" s="8">
        <f t="shared" si="7"/>
        <v>12</v>
      </c>
      <c r="BM51" s="8" cm="1">
        <f t="array" ref="BM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stats'!E51,Groups!A:A,Groups!P:P=0)),"No",IF(U51="No",AVERAGE(EXP(-0.57+0.99*LN(C51)),EXP(0.32+0.67*LN(C51)))/IF(_xlfn.XLOOKUP(E51,Groups!A:A,Groups!AD:AD)=1,10,2),(0.7354*C51^0.4078)*2/IF(_xlfn.XLOOKUP(E51,Groups!A:A,Groups!BJ:BJ)=1,1000,100)))</f>
        <v>14.361548061144951</v>
      </c>
      <c r="BN51" s="8">
        <f>IF(W51="No","No",IF(_xlfn.XLOOKUP(E51,Groups!A:A,Groups!BC:BC)=1,(AL51*5%),EXP(0.7354*LN(C51)^0.4078)*2/IF(_xlfn.XLOOKUP(E51,Groups!A:A,Groups!BK:BK)=1,1000,100)))</f>
        <v>7.4573513388254783E-2</v>
      </c>
      <c r="BO51" s="8" t="str">
        <f>IF(BG51="No","No",IF(_xlfn.XLOOKUP(E51,Groups!A:A,Groups!BE:BE)=1,(0.0315*C51+2.1825)*2,(0.7354*C51^0.4078)*2)/IF(_xlfn.XLOOKUP(E51,Groups!A:A,Groups!BL:BL)=1,1000,100))</f>
        <v>No</v>
      </c>
      <c r="BP51" s="8">
        <f>BD51/(AL51*5%)</f>
        <v>0.1042088386776432</v>
      </c>
      <c r="BQ51" s="8">
        <f t="shared" si="8"/>
        <v>7.795721283644129</v>
      </c>
      <c r="BR51" s="8">
        <f>IF(W51="No","No",BF51/BN51)</f>
        <v>1801.5826928274362</v>
      </c>
      <c r="BS51" s="8" t="str">
        <f t="shared" si="9"/>
        <v>No</v>
      </c>
      <c r="BT51" s="4">
        <v>0</v>
      </c>
      <c r="BU51" s="4">
        <v>1</v>
      </c>
    </row>
    <row r="52" spans="1:73" x14ac:dyDescent="0.25">
      <c r="A52" s="26" t="s">
        <v>164</v>
      </c>
      <c r="B52" s="6" t="s">
        <v>165</v>
      </c>
      <c r="C52" s="7">
        <f>AVERAGE(53.76,76.2)</f>
        <v>64.98</v>
      </c>
      <c r="D52" s="7" t="s">
        <v>1203</v>
      </c>
      <c r="E52" s="7" t="str">
        <f>Groups!A50</f>
        <v>Ruminant  (bovid, 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549</v>
      </c>
      <c r="L52" s="7">
        <f>MAX(3.1,4.3)*3.6*(23.3/11)</f>
        <v>32.789454545454547</v>
      </c>
      <c r="M52" s="7" t="s">
        <v>647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_xlfn.XLOOKUP(B52,[1]TeethAdjusters!$A:$A,[1]BiteAdjusters!$C:$C)</f>
        <v>1</v>
      </c>
      <c r="T52" s="7">
        <f>_xlfn.XLOOKUP(B52,[1]TeethAdjusters!$A:$A,[1]TeethAdjusters!$B:$B)</f>
        <v>1</v>
      </c>
      <c r="U52" s="7" t="s">
        <v>45</v>
      </c>
      <c r="V52" s="7" t="str">
        <f>IF(AQ52="No","No",IF(_xlfn.XLOOKUP(E52,Groups!A:A,Groups!AM:AM)=1,MROUND(EXP(0.3582*LN(C52)-0.2221)*T52,0.05),IF(_xlfn.XLOOKUP(E52,Groups!A:A,Groups!AM:AM)=2,MROUND(EXP(0.3582*LN(C52)-0.2221)*T52,0.05),"Need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977</v>
      </c>
      <c r="Y52" s="4" t="s">
        <v>42</v>
      </c>
      <c r="Z52" s="4">
        <v>0</v>
      </c>
      <c r="AA52" s="4">
        <v>0</v>
      </c>
      <c r="AB52" s="4">
        <v>0</v>
      </c>
      <c r="AC52" s="4" t="s">
        <v>45</v>
      </c>
      <c r="AD52" s="4" t="s">
        <v>407</v>
      </c>
      <c r="AE52" s="28" t="s">
        <v>401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4" t="s">
        <v>40</v>
      </c>
      <c r="AL52" s="8">
        <f t="shared" si="16"/>
        <v>16735.15689667506</v>
      </c>
      <c r="AM52" s="8">
        <f>IFERROR(C52*_xlfn.XLOOKUP(E52,Groups!A:A,Groups!K:K),0.106*C52^0.94)</f>
        <v>5.3619009848423609</v>
      </c>
      <c r="AN52" s="8">
        <f>AM52*10000/(_xlfn.XLOOKUP(E52,Groups!A:A,Groups!J:J)*AL52)</f>
        <v>2.939425812272515</v>
      </c>
      <c r="AO52" s="8">
        <f t="shared" si="17"/>
        <v>1847.9736236711231</v>
      </c>
      <c r="AP52" s="8">
        <f>IF(_xlfn.XLOOKUP(E52,Groups!A:A,Groups!M:M)=1,EXP(0.7444*LN('Base stats'!C52)+6.5696),EXP(0.7927*LN('Base stats'!C52)+4.28))</f>
        <v>1975.9268208159335</v>
      </c>
      <c r="AQ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"No")))))))))))))))</f>
        <v>No</v>
      </c>
      <c r="AR52" s="8">
        <f>IF(_xlfn.XLOOKUP(E52,Groups!A:A,Groups!U:U)=3,AP52,IF(_xlfn.XLOOKUP(E52,Groups!A:A,Groups!U:U)=2,AO52,AQ52))</f>
        <v>1975.9268208159335</v>
      </c>
      <c r="AS52" s="46">
        <f>IFERROR(AVERAGE(_xlfn.XLOOKUP(B52,Animals!B:B,Animals!M:M),_xlfn.XLOOKUP(B52,Animals!B:B,Animals!N:N)),0)</f>
        <v>0</v>
      </c>
      <c r="AT52" s="8">
        <f>MROUND(40*Animals!AN52*_xlfn.XLOOKUP(Animals!AZ52,Leathers!$A$2:$A$100,Leathers!$B$2:$B$100,0)+(140*_xlfn.XLOOKUP(B52,Animals!B:B,Animals!AN:AN)*2),5)</f>
        <v>345</v>
      </c>
      <c r="AU52" s="8">
        <f>IFERROR(ROUND(SQRT(V52-1)*IF(_xlfn.XLOOKUP(E52,Groups!A:A,Groups!BE:BE)=0,2,1)*IF(_xlfn.XLOOKUP('Base stats'!E52,Groups!A:A,Groups!O:O)=0,1,0.1),1),0)</f>
        <v>0</v>
      </c>
      <c r="AV52" s="8">
        <f t="shared" si="18"/>
        <v>0</v>
      </c>
      <c r="AW52" s="8">
        <f t="shared" si="19"/>
        <v>5.9</v>
      </c>
      <c r="AX52" s="8">
        <f t="shared" si="20"/>
        <v>3.6</v>
      </c>
      <c r="AY52" s="8">
        <f>IF(_xlfn.XLOOKUP(E52,Groups!A:A,Groups!N:N)="Insect",BA52*2.5,IFERROR(AVERAGE(BA52,AQ52/9.81/IF(OR(_xlfn.XLOOKUP(E52,Groups!A:A,Groups!N:N)="Pig",_xlfn.XLOOKUP(E52,Groups!A:A,Groups!N:N)="StrongBitingHerbivore"),20,25))*C52^-0.135,BA52))</f>
        <v>0.91226700201851907</v>
      </c>
      <c r="AZ52" s="8">
        <f>IF(W52="No","No",IF(_xlfn.XLOOKUP(E52,Groups!A:A,Groups!U:U)=1,'Base stats'!AY52,IF(OR(_xlfn.XLOOKUP(E52,Groups!A:A,Groups!BC:BC)=1,_xlfn.XLOOKUP(E52,Groups!A:A,Groups!U:U)=2),BA52,IF(_xlfn.XLOOKUP(B52,Animals!B:B,Animals!AN:AN)&gt;4,AVERAGE(BA52,BC52),BC52))))</f>
        <v>0.91226700201851907</v>
      </c>
      <c r="BA52" s="8">
        <f>(0.0392*C52^IF(OR(Y52="Herbivore",Y52="Dendrovore",Y52="OmnivoreRough"),0.889,0.966))*C52^-0.135</f>
        <v>0.91226700201851907</v>
      </c>
      <c r="BB52" s="8">
        <f>IF(_xlfn.XLOOKUP(E52,Groups!A:A,Groups!BD:BD)=1,(0.048*C52^1.01)+(0.071*C52^1.03),0.071*C52^1.03)/IF(_xlfn.XLOOKUP(E52,Groups!A:A,Groups!M:M)=1,0.85,IF(OR(_xlfn.XLOOKUP(B52,Animals!B:B,Animals!AN:AN)&gt;4,_xlfn.XLOOKUP(E52,Groups!A:A,Groups!BB:BB)=1),1.7,1))*C52^-0.25</f>
        <v>1.8417323654503506</v>
      </c>
      <c r="BC52" s="8">
        <f>(0.048*C52^1.01)/IF(_xlfn.XLOOKUP(E52,Groups!A:A,Groups!M:M)=1,0.25,0.8)*C52^-0.25</f>
        <v>1.431738909609034</v>
      </c>
      <c r="BD52" s="8">
        <f>EXP(1.076*LN(AO52)-4.5397)*IF(_xlfn.XLOOKUP(E52,Groups!A:A,Groups!BB:BB)=1,1.25,IF(_xlfn.XLOOKUP(E52,Groups!A:A,Groups!BC:BC)=1,3.5,2.5))</f>
        <v>122.31114490149619</v>
      </c>
      <c r="BE52" s="8">
        <f>EXP(1.076*LN(AP52)-4.5397)*IF(_xlfn.XLOOKUP(E52,Groups!A:A,Groups!M:M)=1,0.8,IF(_xlfn.XLOOKUP(E52,Groups!A:A,Groups!BB:BB)=1,1.3,3))</f>
        <v>112.6688954145712</v>
      </c>
      <c r="BF52" s="8">
        <f>IF(W52="No","No",IF(_xlfn.XLOOKUP(E52,Groups!A:A,Groups!U:U)=1,'Base stats'!BG52,IF(OR(_xlfn.XLOOKUP(E52,Groups!A:A,Groups!BC:BC)=1,_xlfn.XLOOKUP(E52,Groups!A:A,Groups!U:U)=2),BD52,BE52))*1.2)</f>
        <v>146.77337388179544</v>
      </c>
      <c r="BG52" s="8" t="str">
        <f>IFERROR(EXP(1.076*LN(AQ52)-4.5397)*IF(_xlfn.XLOOKUP(E52,Groups!A:A,Groups!N:N)="Insect",1,IF(OR(_xlfn.XLOOKUP(E52,Groups!A:A,Groups!N:N)="Pig",_xlfn.XLOOKUP(E52,Groups!A:A,Groups!N:N)="StrongBitingHerbivore"),3.5,3.75)),"No")</f>
        <v>No</v>
      </c>
      <c r="BH52" s="8">
        <f t="shared" si="5"/>
        <v>16</v>
      </c>
      <c r="BI52" s="8">
        <f t="shared" si="6"/>
        <v>11</v>
      </c>
      <c r="BJ52" s="8">
        <f>IF(W52="No","No",ROUNDDOWN(SQRT((2*BF52)/AZ52),0))</f>
        <v>17</v>
      </c>
      <c r="BK52" s="8" t="str">
        <f>IF(V52="No","No",ROUNDDOWN(SQRT((2*BG52)/AY52),0))</f>
        <v>No</v>
      </c>
      <c r="BL52" s="8">
        <f t="shared" si="7"/>
        <v>12</v>
      </c>
      <c r="BM52" s="8" cm="1">
        <f t="array" ref="BM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stats'!E52,Groups!A:A,Groups!P:P=0)),"No",IF(U52="No",AVERAGE(EXP(-0.57+0.99*LN(C52)),EXP(0.32+0.67*LN(C52)))/IF(_xlfn.XLOOKUP(E52,Groups!A:A,Groups!AD:AD)=1,10,2),(0.7354*C52^0.4078)*2/IF(_xlfn.XLOOKUP(E52,Groups!A:A,Groups!BJ:BJ)=1,1000,100)))</f>
        <v>14.453948682111122</v>
      </c>
      <c r="BN52" s="8">
        <f>IF(W52="No","No",IF(_xlfn.XLOOKUP(E52,Groups!A:A,Groups!BC:BC)=1,(AL52*5%),EXP(0.7354*LN(C52)^0.4078)*2/IF(_xlfn.XLOOKUP(E52,Groups!A:A,Groups!BK:BK)=1,1000,100)))</f>
        <v>836.7578448337531</v>
      </c>
      <c r="BO52" s="8" t="str">
        <f>IF(BG52="No","No",IF(_xlfn.XLOOKUP(E52,Groups!A:A,Groups!BE:BE)=1,(0.0315*C52+2.1825)*2,(0.7354*C52^0.4078)*2)/IF(_xlfn.XLOOKUP(E52,Groups!A:A,Groups!BL:BL)=1,1000,100))</f>
        <v>No</v>
      </c>
      <c r="BP52" s="8">
        <f>BD52/(AL52*5%)</f>
        <v>0.14617268981302106</v>
      </c>
      <c r="BQ52" s="8">
        <f t="shared" si="8"/>
        <v>7.7950252828844935</v>
      </c>
      <c r="BR52" s="8">
        <f>IF(W52="No","No",BF52/BN52)</f>
        <v>0.17540722777562526</v>
      </c>
      <c r="BS52" s="8" t="str">
        <f t="shared" si="9"/>
        <v>No</v>
      </c>
      <c r="BT52" s="4">
        <v>0</v>
      </c>
      <c r="BU52" s="4">
        <v>1</v>
      </c>
    </row>
    <row r="53" spans="1:73" x14ac:dyDescent="0.25">
      <c r="A53" s="26" t="s">
        <v>166</v>
      </c>
      <c r="B53" s="6" t="s">
        <v>238</v>
      </c>
      <c r="C53" s="7">
        <v>57</v>
      </c>
      <c r="D53" s="7" t="s">
        <v>550</v>
      </c>
      <c r="E53" s="7" t="str">
        <f>Groups!A51</f>
        <v>Ruminant (cervid)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550</v>
      </c>
      <c r="L53" s="7">
        <v>61</v>
      </c>
      <c r="M53" s="7" t="s">
        <v>638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_xlfn.XLOOKUP(B53,[1]TeethAdjusters!$A:$A,[1]BiteAdjusters!$C:$C)</f>
        <v>1</v>
      </c>
      <c r="T53" s="7">
        <f>_xlfn.XLOOKUP(B53,[1]TeethAdjusters!$A:$A,[1]TeethAdjusters!$B:$B)</f>
        <v>1</v>
      </c>
      <c r="U53" s="7" t="s">
        <v>45</v>
      </c>
      <c r="V53" s="7" t="str">
        <f>IF(AQ53="No","No",IF(_xlfn.XLOOKUP(E53,Groups!A:A,Groups!AM:AM)=1,MROUND(EXP(0.3582*LN(C53)-0.2221)*T53,0.05),IF(_xlfn.XLOOKUP(E53,Groups!A:A,Groups!AM:AM)=2,MROUND(EXP(0.3582*LN(C53)-0.2221)*T53,0.05),"Need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977</v>
      </c>
      <c r="Y53" s="4" t="s">
        <v>42</v>
      </c>
      <c r="Z53" s="4">
        <v>0</v>
      </c>
      <c r="AA53" s="4">
        <v>0</v>
      </c>
      <c r="AB53" s="4">
        <v>0</v>
      </c>
      <c r="AC53" s="4" t="s">
        <v>45</v>
      </c>
      <c r="AD53" s="4" t="s">
        <v>407</v>
      </c>
      <c r="AE53" s="28" t="s">
        <v>401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4" t="s">
        <v>40</v>
      </c>
      <c r="AL53" s="8">
        <f t="shared" si="16"/>
        <v>15368.859309613912</v>
      </c>
      <c r="AM53" s="8">
        <f>IFERROR(C53*_xlfn.XLOOKUP(E53,Groups!A:A,Groups!K:K),0.106*C53^0.94)</f>
        <v>4.7405445207026515</v>
      </c>
      <c r="AN53" s="8">
        <f>AM53*10000/(_xlfn.XLOOKUP(E53,Groups!A:A,Groups!J:J)*AL53)</f>
        <v>2.8298283729932376</v>
      </c>
      <c r="AO53" s="8">
        <f t="shared" si="17"/>
        <v>1654.3532169190937</v>
      </c>
      <c r="AP53" s="8">
        <f>IF(_xlfn.XLOOKUP(E53,Groups!A:A,Groups!M:M)=1,EXP(0.7444*LN('Base stats'!C53)+6.5696),EXP(0.7927*LN('Base stats'!C53)+4.28))</f>
        <v>1780.9936894344617</v>
      </c>
      <c r="AQ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"No")))))))))))))))</f>
        <v>No</v>
      </c>
      <c r="AR53" s="8">
        <f>IF(_xlfn.XLOOKUP(E53,Groups!A:A,Groups!U:U)=3,AP53,IF(_xlfn.XLOOKUP(E53,Groups!A:A,Groups!U:U)=2,AO53,AQ53))</f>
        <v>1780.9936894344617</v>
      </c>
      <c r="AS53" s="46">
        <f>IFERROR(AVERAGE(_xlfn.XLOOKUP(B53,Animals!B:B,Animals!M:M),_xlfn.XLOOKUP(B53,Animals!B:B,Animals!N:N)),0)</f>
        <v>0</v>
      </c>
      <c r="AT53" s="8">
        <f>MROUND(40*Animals!AN53*_xlfn.XLOOKUP(Animals!AZ53,Leathers!$A$2:$A$100,Leathers!$B$2:$B$100,0)+(140*_xlfn.XLOOKUP(B53,Animals!B:B,Animals!AN:AN)*2),5)</f>
        <v>330</v>
      </c>
      <c r="AU53" s="8">
        <f>IFERROR(ROUND(SQRT(V53-1)*IF(_xlfn.XLOOKUP(E53,Groups!A:A,Groups!BE:BE)=0,2,1)*IF(_xlfn.XLOOKUP('Base stats'!E53,Groups!A:A,Groups!O:O)=0,1,0.1),1),0)</f>
        <v>0</v>
      </c>
      <c r="AV53" s="8">
        <f t="shared" si="18"/>
        <v>0</v>
      </c>
      <c r="AW53" s="8">
        <f t="shared" si="19"/>
        <v>6.4</v>
      </c>
      <c r="AX53" s="8">
        <f t="shared" si="20"/>
        <v>3.4</v>
      </c>
      <c r="AY53" s="8">
        <f>IF(_xlfn.XLOOKUP(E53,Groups!A:A,Groups!N:N)="Insect",BA53*2.5,IFERROR(AVERAGE(BA53,AQ53/9.81/IF(OR(_xlfn.XLOOKUP(E53,Groups!A:A,Groups!N:N)="Pig",_xlfn.XLOOKUP(E53,Groups!A:A,Groups!N:N)="StrongBitingHerbivore"),20,25))*C53^-0.135,BA53))</f>
        <v>0.82644833336633383</v>
      </c>
      <c r="AZ53" s="8">
        <f>IF(W53="No","No",IF(_xlfn.XLOOKUP(E53,Groups!A:A,Groups!U:U)=1,'Base stats'!AY53,IF(OR(_xlfn.XLOOKUP(E53,Groups!A:A,Groups!BC:BC)=1,_xlfn.XLOOKUP(E53,Groups!A:A,Groups!U:U)=2),BA53,IF(_xlfn.XLOOKUP(B53,Animals!B:B,Animals!AN:AN)&gt;4,AVERAGE(BA53,BC53),BC53))))</f>
        <v>1.2960332413542242</v>
      </c>
      <c r="BA53" s="8">
        <f>(0.0392*C53^IF(OR(Y53="Herbivore",Y53="Dendrovore",Y53="OmnivoreRough"),0.889,0.966))*C53^-0.135</f>
        <v>0.82644833336633383</v>
      </c>
      <c r="BB53" s="8">
        <f>IF(_xlfn.XLOOKUP(E53,Groups!A:A,Groups!BD:BD)=1,(0.048*C53^1.01)+(0.071*C53^1.03),0.071*C53^1.03)/IF(_xlfn.XLOOKUP(E53,Groups!A:A,Groups!M:M)=1,0.85,IF(OR(_xlfn.XLOOKUP(B53,Animals!B:B,Animals!AN:AN)&gt;4,_xlfn.XLOOKUP(E53,Groups!A:A,Groups!BB:BB)=1),1.7,1))*C53^-0.25</f>
        <v>1.6628027578787719</v>
      </c>
      <c r="BC53" s="8">
        <f>(0.048*C53^1.01)/IF(_xlfn.XLOOKUP(E53,Groups!A:A,Groups!M:M)=1,0.25,0.8)*C53^-0.25</f>
        <v>1.2960332413542242</v>
      </c>
      <c r="BD53" s="8">
        <f>EXP(1.076*LN(AO53)-4.5397)*IF(_xlfn.XLOOKUP(E53,Groups!A:A,Groups!BB:BB)=1,1.25,IF(_xlfn.XLOOKUP(E53,Groups!A:A,Groups!BC:BC)=1,3.5,2.5))</f>
        <v>77.556345326356166</v>
      </c>
      <c r="BE53" s="8">
        <f>EXP(1.076*LN(AP53)-4.5397)*IF(_xlfn.XLOOKUP(E53,Groups!A:A,Groups!M:M)=1,0.8,IF(_xlfn.XLOOKUP(E53,Groups!A:A,Groups!BB:BB)=1,1.3,3))</f>
        <v>100.75516458690971</v>
      </c>
      <c r="BF53" s="8">
        <f>IF(W53="No","No",IF(_xlfn.XLOOKUP(E53,Groups!A:A,Groups!U:U)=1,'Base stats'!BG53,IF(OR(_xlfn.XLOOKUP(E53,Groups!A:A,Groups!BC:BC)=1,_xlfn.XLOOKUP(E53,Groups!A:A,Groups!U:U)=2),BD53,BE53))*1.2)</f>
        <v>120.90619750429165</v>
      </c>
      <c r="BG53" s="8" t="str">
        <f>IFERROR(EXP(1.076*LN(AQ53)-4.5397)*IF(_xlfn.XLOOKUP(E53,Groups!A:A,Groups!N:N)="Insect",1,IF(OR(_xlfn.XLOOKUP(E53,Groups!A:A,Groups!N:N)="Pig",_xlfn.XLOOKUP(E53,Groups!A:A,Groups!N:N)="StrongBitingHerbivore"),3.5,3.75)),"No")</f>
        <v>No</v>
      </c>
      <c r="BH53" s="8">
        <f t="shared" si="5"/>
        <v>13</v>
      </c>
      <c r="BI53" s="8">
        <f t="shared" si="6"/>
        <v>11</v>
      </c>
      <c r="BJ53" s="8">
        <f>IF(W53="No","No",ROUNDDOWN(SQRT((2*BF53)/AZ53),0))</f>
        <v>13</v>
      </c>
      <c r="BK53" s="8" t="str">
        <f>IF(V53="No","No",ROUNDDOWN(SQRT((2*BG53)/AY53),0))</f>
        <v>No</v>
      </c>
      <c r="BL53" s="8">
        <f t="shared" si="7"/>
        <v>12</v>
      </c>
      <c r="BM53" s="8" cm="1">
        <f t="array" ref="BM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stats'!E53,Groups!A:A,Groups!P:P=0)),"No",IF(U53="No",AVERAGE(EXP(-0.57+0.99*LN(C53)),EXP(0.32+0.67*LN(C53)))/IF(_xlfn.XLOOKUP(E53,Groups!A:A,Groups!AD:AD)=1,10,2),(0.7354*C53^0.4078)*2/IF(_xlfn.XLOOKUP(E53,Groups!A:A,Groups!BJ:BJ)=1,1000,100)))</f>
        <v>12.907749158916566</v>
      </c>
      <c r="BN53" s="8">
        <f>IF(W53="No","No",IF(_xlfn.XLOOKUP(E53,Groups!A:A,Groups!BC:BC)=1,(AL53*5%),EXP(0.7354*LN(C53)^0.4078)*2/IF(_xlfn.XLOOKUP(E53,Groups!A:A,Groups!BK:BK)=1,1000,100)))</f>
        <v>7.3385121619685356E-2</v>
      </c>
      <c r="BO53" s="8" t="str">
        <f>IF(BG53="No","No",IF(_xlfn.XLOOKUP(E53,Groups!A:A,Groups!BE:BE)=1,(0.0315*C53+2.1825)*2,(0.7354*C53^0.4078)*2)/IF(_xlfn.XLOOKUP(E53,Groups!A:A,Groups!BL:BL)=1,1000,100))</f>
        <v>No</v>
      </c>
      <c r="BP53" s="8">
        <f>BD53/(AL53*5%)</f>
        <v>0.10092661239711029</v>
      </c>
      <c r="BQ53" s="8">
        <f t="shared" si="8"/>
        <v>7.8057888595788896</v>
      </c>
      <c r="BR53" s="8">
        <f>IF(W53="No","No",BF53/BN53)</f>
        <v>1647.5573636149552</v>
      </c>
      <c r="BS53" s="8" t="str">
        <f t="shared" si="9"/>
        <v>No</v>
      </c>
      <c r="BT53" s="4">
        <v>0</v>
      </c>
      <c r="BU53" s="4">
        <v>1</v>
      </c>
    </row>
    <row r="54" spans="1:73" x14ac:dyDescent="0.25">
      <c r="A54" s="26" t="s">
        <v>167</v>
      </c>
      <c r="B54" s="6" t="s">
        <v>168</v>
      </c>
      <c r="C54" s="7">
        <v>23.25</v>
      </c>
      <c r="D54" s="7" t="s">
        <v>551</v>
      </c>
      <c r="E54" s="7" t="str">
        <f>Groups!A49</f>
        <v>Ruminant (bovid, harmless)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551</v>
      </c>
      <c r="L54" s="7">
        <v>81</v>
      </c>
      <c r="M54" s="7" t="s">
        <v>638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_xlfn.XLOOKUP(B54,[1]TeethAdjusters!$A:$A,[1]BiteAdjusters!$C:$C)</f>
        <v>1</v>
      </c>
      <c r="T54" s="7">
        <f>_xlfn.XLOOKUP(B54,[1]TeethAdjusters!$A:$A,[1]TeethAdjusters!$B:$B)</f>
        <v>1</v>
      </c>
      <c r="U54" s="7" t="s">
        <v>45</v>
      </c>
      <c r="V54" s="7" t="str">
        <f>IF(AQ54="No","No",IF(_xlfn.XLOOKUP(E54,Groups!A:A,Groups!AM:AM)=1,MROUND(EXP(0.3582*LN(C54)-0.2221)*T54,0.05),IF(_xlfn.XLOOKUP(E54,Groups!A:A,Groups!AM:AM)=2,MROUND(EXP(0.3582*LN(C54)-0.2221)*T54,0.05),"Need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945</v>
      </c>
      <c r="Y54" s="4" t="s">
        <v>42</v>
      </c>
      <c r="Z54" s="4">
        <v>0</v>
      </c>
      <c r="AA54" s="4">
        <v>0</v>
      </c>
      <c r="AB54" s="4">
        <v>0</v>
      </c>
      <c r="AC54" s="4" t="s">
        <v>45</v>
      </c>
      <c r="AD54" s="4" t="s">
        <v>410</v>
      </c>
      <c r="AE54" s="28" t="s">
        <v>401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4" t="s">
        <v>40</v>
      </c>
      <c r="AL54" s="8">
        <f t="shared" si="16"/>
        <v>8580.2096775651935</v>
      </c>
      <c r="AM54" s="8">
        <f>IFERROR(C54*_xlfn.XLOOKUP(E54,Groups!A:A,Groups!K:K),0.106*C54^0.94)</f>
        <v>2.0405321654254487</v>
      </c>
      <c r="AN54" s="8">
        <f>AM54*10000/(_xlfn.XLOOKUP(E54,Groups!A:A,Groups!J:J)*AL54)</f>
        <v>2.1818206413805448</v>
      </c>
      <c r="AO54" s="8">
        <f t="shared" si="17"/>
        <v>775.63647085701734</v>
      </c>
      <c r="AP54" s="8">
        <f>IF(_xlfn.XLOOKUP(E54,Groups!A:A,Groups!M:M)=1,EXP(0.7444*LN('Base stats'!C54)+6.5696),EXP(0.7927*LN('Base stats'!C54)+4.28))</f>
        <v>874.87067738728706</v>
      </c>
      <c r="AQ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"No")))))))))))))))</f>
        <v>No</v>
      </c>
      <c r="AR54" s="8">
        <f>IF(_xlfn.XLOOKUP(E54,Groups!A:A,Groups!U:U)=3,AP54,IF(_xlfn.XLOOKUP(E54,Groups!A:A,Groups!U:U)=2,AO54,AQ54))</f>
        <v>874.87067738728706</v>
      </c>
      <c r="AS54" s="46">
        <f>IFERROR(AVERAGE(_xlfn.XLOOKUP(B54,Animals!B:B,Animals!M:M),_xlfn.XLOOKUP(B54,Animals!B:B,Animals!N:N)),0)</f>
        <v>0</v>
      </c>
      <c r="AT54" s="8">
        <f>MROUND(40*Animals!AN54*_xlfn.XLOOKUP(Animals!AZ54,Leathers!$A$2:$A$100,Leathers!$B$2:$B$100,0)+(140*_xlfn.XLOOKUP(B54,Animals!B:B,Animals!AN:AN)*2),5)</f>
        <v>220</v>
      </c>
      <c r="AU54" s="8">
        <f>IFERROR(ROUND(SQRT(V54-1)*IF(_xlfn.XLOOKUP(E54,Groups!A:A,Groups!BE:BE)=0,2,1)*IF(_xlfn.XLOOKUP('Base stats'!E54,Groups!A:A,Groups!O:O)=0,1,0.1),1),0)</f>
        <v>0</v>
      </c>
      <c r="AV54" s="8">
        <f t="shared" si="18"/>
        <v>0</v>
      </c>
      <c r="AW54" s="8">
        <f t="shared" si="19"/>
        <v>5.0999999999999996</v>
      </c>
      <c r="AX54" s="8">
        <f t="shared" si="20"/>
        <v>2.5</v>
      </c>
      <c r="AY54" s="8">
        <f>IF(_xlfn.XLOOKUP(E54,Groups!A:A,Groups!N:N)="Insect",BA54*2.5,IFERROR(AVERAGE(BA54,AQ54/9.81/IF(OR(_xlfn.XLOOKUP(E54,Groups!A:A,Groups!N:N)="Pig",_xlfn.XLOOKUP(E54,Groups!A:A,Groups!N:N)="StrongBitingHerbivore"),20,25))*C54^-0.135,BA54))</f>
        <v>0.42030927794687478</v>
      </c>
      <c r="AZ54" s="8">
        <f>IF(W54="No","No",IF(_xlfn.XLOOKUP(E54,Groups!A:A,Groups!U:U)=1,'Base stats'!AY54,IF(OR(_xlfn.XLOOKUP(E54,Groups!A:A,Groups!BC:BC)=1,_xlfn.XLOOKUP(E54,Groups!A:A,Groups!U:U)=2),BA54,IF(_xlfn.XLOOKUP(B54,Animals!B:B,Animals!AN:AN)&gt;4,AVERAGE(BA54,BC54),BC54))))</f>
        <v>0.65559056971929131</v>
      </c>
      <c r="BA54" s="8">
        <f>(0.0392*C54^IF(OR(Y54="Herbivore",Y54="Dendrovore",Y54="OmnivoreRough"),0.889,0.966))*C54^-0.135</f>
        <v>0.42030927794687478</v>
      </c>
      <c r="BB54" s="8">
        <f>IF(_xlfn.XLOOKUP(E54,Groups!A:A,Groups!BD:BD)=1,(0.048*C54^1.01)+(0.071*C54^1.03),0.071*C54^1.03)/IF(_xlfn.XLOOKUP(E54,Groups!A:A,Groups!M:M)=1,0.85,IF(OR(_xlfn.XLOOKUP(B54,Animals!B:B,Animals!AN:AN)&gt;4,_xlfn.XLOOKUP(E54,Groups!A:A,Groups!BB:BB)=1),1.7,1))*C54^-0.25</f>
        <v>0.8261677830125892</v>
      </c>
      <c r="BC54" s="8">
        <f>(0.048*C54^1.01)/IF(_xlfn.XLOOKUP(E54,Groups!A:A,Groups!M:M)=1,0.25,0.8)*C54^-0.25</f>
        <v>0.65559056971929131</v>
      </c>
      <c r="BD54" s="8">
        <f>EXP(1.076*LN(AO54)-4.5397)*IF(_xlfn.XLOOKUP(E54,Groups!A:A,Groups!BB:BB)=1,1.25,IF(_xlfn.XLOOKUP(E54,Groups!A:A,Groups!BC:BC)=1,3.5,2.5))</f>
        <v>34.327770313345525</v>
      </c>
      <c r="BE54" s="8">
        <f>EXP(1.076*LN(AP54)-4.5397)*IF(_xlfn.XLOOKUP(E54,Groups!A:A,Groups!M:M)=1,0.8,IF(_xlfn.XLOOKUP(E54,Groups!A:A,Groups!BB:BB)=1,1.3,3))</f>
        <v>46.890643132169352</v>
      </c>
      <c r="BF54" s="8">
        <f>IF(W54="No","No",IF(_xlfn.XLOOKUP(E54,Groups!A:A,Groups!U:U)=1,'Base stats'!BG54,IF(OR(_xlfn.XLOOKUP(E54,Groups!A:A,Groups!BC:BC)=1,_xlfn.XLOOKUP(E54,Groups!A:A,Groups!U:U)=2),BD54,BE54))*1.2)</f>
        <v>56.268771758603222</v>
      </c>
      <c r="BG54" s="8" t="str">
        <f>IFERROR(EXP(1.076*LN(AQ54)-4.5397)*IF(_xlfn.XLOOKUP(E54,Groups!A:A,Groups!N:N)="Insect",1,IF(OR(_xlfn.XLOOKUP(E54,Groups!A:A,Groups!N:N)="Pig",_xlfn.XLOOKUP(E54,Groups!A:A,Groups!N:N)="StrongBitingHerbivore"),3.5,3.75)),"No")</f>
        <v>No</v>
      </c>
      <c r="BH54" s="8">
        <f t="shared" si="5"/>
        <v>12</v>
      </c>
      <c r="BI54" s="8">
        <f t="shared" si="6"/>
        <v>10</v>
      </c>
      <c r="BJ54" s="8">
        <f>IF(W54="No","No",ROUNDDOWN(SQRT((2*BF54)/AZ54),0))</f>
        <v>13</v>
      </c>
      <c r="BK54" s="8" t="str">
        <f>IF(V54="No","No",ROUNDDOWN(SQRT((2*BG54)/AY54),0))</f>
        <v>No</v>
      </c>
      <c r="BL54" s="8">
        <f t="shared" si="7"/>
        <v>11</v>
      </c>
      <c r="BM54" s="8" cm="1">
        <f t="array" ref="BM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stats'!E54,Groups!A:A,Groups!P:P=0)),"No",IF(U54="No",AVERAGE(EXP(-0.57+0.99*LN(C54)),EXP(0.32+0.67*LN(C54)))/IF(_xlfn.XLOOKUP(E54,Groups!A:A,Groups!AD:AD)=1,10,2),(0.7354*C54^0.4078)*2/IF(_xlfn.XLOOKUP(E54,Groups!A:A,Groups!BJ:BJ)=1,1000,100)))</f>
        <v>6.0194199760738947</v>
      </c>
      <c r="BN54" s="8">
        <f>IF(W54="No","No",IF(_xlfn.XLOOKUP(E54,Groups!A:A,Groups!BC:BC)=1,(AL54*5%),EXP(0.7354*LN(C54)^0.4078)*2/IF(_xlfn.XLOOKUP(E54,Groups!A:A,Groups!BK:BK)=1,1000,100)))</f>
        <v>6.4673426428061231E-2</v>
      </c>
      <c r="BO54" s="8" t="str">
        <f>IF(BG54="No","No",IF(_xlfn.XLOOKUP(E54,Groups!A:A,Groups!BE:BE)=1,(0.0315*C54+2.1825)*2,(0.7354*C54^0.4078)*2)/IF(_xlfn.XLOOKUP(E54,Groups!A:A,Groups!BL:BL)=1,1000,100))</f>
        <v>No</v>
      </c>
      <c r="BP54" s="8">
        <f>BD54/(AL54*5%)</f>
        <v>8.0016157188099665E-2</v>
      </c>
      <c r="BQ54" s="8">
        <f t="shared" si="8"/>
        <v>7.7898939297392733</v>
      </c>
      <c r="BR54" s="8">
        <f>IF(W54="No","No",BF54/BN54)</f>
        <v>870.04469789756956</v>
      </c>
      <c r="BS54" s="8" t="str">
        <f t="shared" si="9"/>
        <v>No</v>
      </c>
      <c r="BT54" s="4">
        <v>0</v>
      </c>
      <c r="BU54" s="4">
        <v>1</v>
      </c>
    </row>
    <row r="55" spans="1:73" x14ac:dyDescent="0.25">
      <c r="A55" s="26" t="s">
        <v>54</v>
      </c>
      <c r="B55" s="6" t="s">
        <v>272</v>
      </c>
      <c r="C55" s="7">
        <v>200</v>
      </c>
      <c r="D55" s="7" t="s">
        <v>538</v>
      </c>
      <c r="E55" s="7" t="str">
        <f>Groups!A11</f>
        <v>Canid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538</v>
      </c>
      <c r="L55" s="7">
        <f>MIN(37.5*C55^0.089,79.3*C55^-0.072)</f>
        <v>54.150070655093025</v>
      </c>
      <c r="M55" s="7" t="s">
        <v>638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_xlfn.XLOOKUP(B55,[1]TeethAdjusters!$A:$A,[1]BiteAdjusters!$C:$C)</f>
        <v>1.0425371059413748</v>
      </c>
      <c r="T55" s="7">
        <f>_xlfn.XLOOKUP(B55,[1]TeethAdjusters!$A:$A,[1]TeethAdjusters!$B:$B)</f>
        <v>1.038364019968949</v>
      </c>
      <c r="U55" s="7" t="s">
        <v>45</v>
      </c>
      <c r="V55" s="7">
        <f>IF(AQ55="No","No",IF(_xlfn.XLOOKUP(E55,Groups!A:A,Groups!AM:AM)=1,MROUND(EXP(0.3582*LN(C55)-0.2221)*T55,0.05),IF(_xlfn.XLOOKUP(E55,Groups!A:A,Groups!AM:AM)=2,MROUND(EXP(0.3582*LN(C55)-0.2221)*T55,0.05),"Need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945</v>
      </c>
      <c r="Y55" s="4" t="s">
        <v>56</v>
      </c>
      <c r="Z55" s="4">
        <v>0</v>
      </c>
      <c r="AA55" s="4">
        <v>0</v>
      </c>
      <c r="AB55" s="4">
        <v>0</v>
      </c>
      <c r="AC55" s="4" t="s">
        <v>45</v>
      </c>
      <c r="AD55" s="4" t="s">
        <v>45</v>
      </c>
      <c r="AE55" s="28" t="s">
        <v>405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4" t="s">
        <v>40</v>
      </c>
      <c r="AL55" s="8">
        <f t="shared" si="16"/>
        <v>34753.014052750754</v>
      </c>
      <c r="AM55" s="8">
        <f>IFERROR(C55*_xlfn.XLOOKUP(E55,Groups!A:A,Groups!K:K),0.106*C55^0.94)</f>
        <v>24.95</v>
      </c>
      <c r="AN55" s="8">
        <f>AM55*10000/(_xlfn.XLOOKUP(E55,Groups!A:A,Groups!J:J)*AL55)</f>
        <v>6.5864526806615098</v>
      </c>
      <c r="AO55" s="8">
        <f t="shared" si="17"/>
        <v>4776.6210371506204</v>
      </c>
      <c r="AP55" s="8">
        <f>IF(_xlfn.XLOOKUP(E55,Groups!A:A,Groups!M:M)=1,EXP(0.7444*LN('Base stats'!C55)+6.5696),EXP(0.7927*LN('Base stats'!C55)+4.28))</f>
        <v>4817.3351295400244</v>
      </c>
      <c r="AQ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"No")))))))))))))))</f>
        <v>11511.011844390108</v>
      </c>
      <c r="AR55" s="8">
        <f>IF(_xlfn.XLOOKUP(E55,Groups!A:A,Groups!U:U)=3,AP55,IF(_xlfn.XLOOKUP(E55,Groups!A:A,Groups!U:U)=2,AO55,AQ55))</f>
        <v>11511.011844390108</v>
      </c>
      <c r="AS55" s="46">
        <f>IFERROR(AVERAGE(_xlfn.XLOOKUP(B55,Animals!B:B,Animals!M:M),_xlfn.XLOOKUP(B55,Animals!B:B,Animals!N:N)),0)</f>
        <v>0</v>
      </c>
      <c r="AT55" s="8">
        <f>MROUND(40*Animals!AN55*_xlfn.XLOOKUP(Animals!AZ55,Leathers!$A$2:$A$100,Leathers!$B$2:$B$100,0)+(140*_xlfn.XLOOKUP(B55,Animals!B:B,Animals!AN:AN)*2),5)</f>
        <v>720</v>
      </c>
      <c r="AU55" s="8">
        <f>IFERROR(ROUND(SQRT(V55-1)*IF(_xlfn.XLOOKUP(E55,Groups!A:A,Groups!BE:BE)=0,2,1)*IF(_xlfn.XLOOKUP('Base stats'!E55,Groups!A:A,Groups!O:O)=0,1,0.1),1),0)</f>
        <v>4.3</v>
      </c>
      <c r="AV55" s="8">
        <f t="shared" si="18"/>
        <v>0</v>
      </c>
      <c r="AW55" s="8">
        <f t="shared" si="19"/>
        <v>0</v>
      </c>
      <c r="AX55" s="8">
        <f t="shared" si="20"/>
        <v>5.3</v>
      </c>
      <c r="AY55" s="8">
        <f>IF(_xlfn.XLOOKUP(E55,Groups!A:A,Groups!N:N)="Insect",BA55*2.5,IFERROR(AVERAGE(BA55,AQ55/9.81/IF(OR(_xlfn.XLOOKUP(E55,Groups!A:A,Groups!N:N)="Pig",_xlfn.XLOOKUP(E55,Groups!A:A,Groups!N:N)="StrongBitingHerbivore"),20,25))*C55^-0.135,BA55))</f>
        <v>12.260206690429241</v>
      </c>
      <c r="AZ55" s="8" t="str">
        <f>IF(W55="No","No",IF(_xlfn.XLOOKUP(E55,Groups!A:A,Groups!U:U)=1,'Base stats'!AY55,IF(OR(_xlfn.XLOOKUP(E55,Groups!A:A,Groups!BC:BC)=1,_xlfn.XLOOKUP(E55,Groups!A:A,Groups!U:U)=2),BA55,IF(_xlfn.XLOOKUP(B55,Animals!B:B,Animals!AN:AN)&gt;4,AVERAGE(BA55,BC55),BC55))))</f>
        <v>No</v>
      </c>
      <c r="BA55" s="8">
        <f>(0.0392*C55^IF(OR(Y55="Herbivore",Y55="Dendrovore",Y55="OmnivoreRough"),0.889,0.966))*C55^-0.135</f>
        <v>3.2021523702866714</v>
      </c>
      <c r="BB55" s="8">
        <f>IF(_xlfn.XLOOKUP(E55,Groups!A:A,Groups!BD:BD)=1,(0.048*C55^1.01)+(0.071*C55^1.03),0.071*C55^1.03)/IF(_xlfn.XLOOKUP(E55,Groups!A:A,Groups!M:M)=1,0.85,IF(OR(_xlfn.XLOOKUP(B55,Animals!B:B,Animals!AN:AN)&gt;4,_xlfn.XLOOKUP(E55,Groups!A:A,Groups!BB:BB)=1),1.7,1))*C55^-0.25</f>
        <v>4.4265130134762103</v>
      </c>
      <c r="BC55" s="8">
        <f>(0.048*C55^1.01)/IF(_xlfn.XLOOKUP(E55,Groups!A:A,Groups!M:M)=1,0.25,0.8)*C55^-0.25</f>
        <v>3.3646046987127658</v>
      </c>
      <c r="BD55" s="8">
        <f>EXP(1.076*LN(AO55)-4.5397)*IF(_xlfn.XLOOKUP(E55,Groups!A:A,Groups!BB:BB)=1,1.25,IF(_xlfn.XLOOKUP(E55,Groups!A:A,Groups!BC:BC)=1,3.5,2.5))</f>
        <v>242.72097948417178</v>
      </c>
      <c r="BE55" s="8">
        <f>EXP(1.076*LN(AP55)-4.5397)*IF(_xlfn.XLOOKUP(E55,Groups!A:A,Groups!M:M)=1,0.8,IF(_xlfn.XLOOKUP(E55,Groups!A:A,Groups!BB:BB)=1,1.3,3))</f>
        <v>293.93735151357987</v>
      </c>
      <c r="BF55" s="8" t="str">
        <f>IF(W55="No","No",IF(_xlfn.XLOOKUP(E55,Groups!A:A,Groups!U:U)=1,'Base stats'!BG55,IF(OR(_xlfn.XLOOKUP(E55,Groups!A:A,Groups!BC:BC)=1,_xlfn.XLOOKUP(E55,Groups!A:A,Groups!U:U)=2),BD55,BE55))*1.2)</f>
        <v>No</v>
      </c>
      <c r="BG55" s="8">
        <f>IFERROR(EXP(1.076*LN(AQ55)-4.5397)*IF(_xlfn.XLOOKUP(E55,Groups!A:A,Groups!N:N)="Insect",1,IF(OR(_xlfn.XLOOKUP(E55,Groups!A:A,Groups!N:N)="Pig",_xlfn.XLOOKUP(E55,Groups!A:A,Groups!N:N)="StrongBitingHerbivore"),3.5,3.75)),"No")</f>
        <v>938.04297437761738</v>
      </c>
      <c r="BH55" s="8">
        <f t="shared" si="5"/>
        <v>12</v>
      </c>
      <c r="BI55" s="8">
        <f t="shared" si="6"/>
        <v>11</v>
      </c>
      <c r="BJ55" s="8" t="str">
        <f>IF(W55="No","No",ROUNDDOWN(SQRT((2*BF55)/AZ55),0))</f>
        <v>No</v>
      </c>
      <c r="BK55" s="8">
        <f>IF(V55="No","No",ROUNDDOWN(SQRT((2*BG55)/AY55),0))</f>
        <v>12</v>
      </c>
      <c r="BL55" s="8">
        <f t="shared" si="7"/>
        <v>13</v>
      </c>
      <c r="BM55" s="8" t="str" cm="1">
        <f t="array" ref="BM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stats'!E55,Groups!A:A,Groups!P:P=0)),"No",IF(U55="No",AVERAGE(EXP(-0.57+0.99*LN(C55)),EXP(0.32+0.67*LN(C55)))/IF(_xlfn.XLOOKUP(E55,Groups!A:A,Groups!AD:AD)=1,10,2),(0.7354*C55^0.4078)*2/IF(_xlfn.XLOOKUP(E55,Groups!A:A,Groups!BJ:BJ)=1,1000,100)))</f>
        <v>No</v>
      </c>
      <c r="BN55" s="8" t="str">
        <f>IF(W55="No","No",IF(_xlfn.XLOOKUP(E55,Groups!A:A,Groups!BC:BC)=1,(AL55*5%),EXP(0.7354*LN(C55)^0.4078)*2/IF(_xlfn.XLOOKUP(E55,Groups!A:A,Groups!BK:BK)=1,1000,100)))</f>
        <v>No</v>
      </c>
      <c r="BO55" s="8">
        <f>IF(BG55="No","No",IF(_xlfn.XLOOKUP(E55,Groups!A:A,Groups!BE:BE)=1,(0.0315*C55+2.1825)*2,(0.7354*C55^0.4078)*2)/IF(_xlfn.XLOOKUP(E55,Groups!A:A,Groups!BL:BL)=1,1000,100))</f>
        <v>0.12761850520553555</v>
      </c>
      <c r="BP55" s="8">
        <f>BD55/(AL55*5%)</f>
        <v>0.13968341227368164</v>
      </c>
      <c r="BQ55" s="8" t="str">
        <f t="shared" si="8"/>
        <v>No</v>
      </c>
      <c r="BR55" s="8" t="str">
        <f>IF(W55="No","No",BF55/BN55)</f>
        <v>No</v>
      </c>
      <c r="BS55" s="8">
        <f t="shared" si="9"/>
        <v>7350.3679804653366</v>
      </c>
      <c r="BT55" s="4">
        <v>0</v>
      </c>
      <c r="BU55" s="4">
        <v>1</v>
      </c>
    </row>
    <row r="56" spans="1:73" x14ac:dyDescent="0.25">
      <c r="A56" s="26" t="s">
        <v>59</v>
      </c>
      <c r="B56" s="6" t="s">
        <v>893</v>
      </c>
      <c r="C56" s="7">
        <v>40</v>
      </c>
      <c r="D56" s="7" t="s">
        <v>1204</v>
      </c>
      <c r="E56" s="7" t="str">
        <f>Groups!A11</f>
        <v>Canid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552</v>
      </c>
      <c r="L56" s="7">
        <v>64</v>
      </c>
      <c r="M56" s="7" t="s">
        <v>638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_xlfn.XLOOKUP(B56,[1]TeethAdjusters!$A:$A,[1]BiteAdjusters!$C:$C)</f>
        <v>0.92071733882611773</v>
      </c>
      <c r="T56" s="7">
        <f>_xlfn.XLOOKUP(B56,[1]TeethAdjusters!$A:$A,[1]TeethAdjusters!$B:$B)</f>
        <v>1.0836264905293682</v>
      </c>
      <c r="U56" s="7" t="s">
        <v>45</v>
      </c>
      <c r="V56" s="7">
        <f>IF(AQ56="No","No",IF(_xlfn.XLOOKUP(E56,Groups!A:A,Groups!AM:AM)=1,MROUND(EXP(0.3582*LN(C56)-0.2221)*T56,0.05),IF(_xlfn.XLOOKUP(E56,Groups!A:A,Groups!AM:AM)=2,MROUND(EXP(0.3582*LN(C56)-0.2221)*T56,0.05),"Need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945</v>
      </c>
      <c r="Y56" s="4" t="s">
        <v>56</v>
      </c>
      <c r="Z56" s="4">
        <v>0</v>
      </c>
      <c r="AA56" s="4">
        <v>0</v>
      </c>
      <c r="AB56" s="4">
        <v>0</v>
      </c>
      <c r="AC56" s="4" t="s">
        <v>45</v>
      </c>
      <c r="AD56" s="4" t="s">
        <v>320</v>
      </c>
      <c r="AE56" s="28" t="s">
        <v>405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4" t="s">
        <v>40</v>
      </c>
      <c r="AL56" s="8">
        <f t="shared" si="16"/>
        <v>12208.490600010842</v>
      </c>
      <c r="AM56" s="8">
        <f>IFERROR(C56*_xlfn.XLOOKUP(E56,Groups!A:A,Groups!K:K),0.106*C56^0.94)</f>
        <v>4.99</v>
      </c>
      <c r="AN56" s="8">
        <f>AM56*10000/(_xlfn.XLOOKUP(E56,Groups!A:A,Groups!J:J)*AL56)</f>
        <v>3.7498342762962693</v>
      </c>
      <c r="AO56" s="8">
        <f t="shared" si="17"/>
        <v>1226.5939672257964</v>
      </c>
      <c r="AP56" s="8">
        <f>IF(_xlfn.XLOOKUP(E56,Groups!A:A,Groups!M:M)=1,EXP(0.7444*LN('Base stats'!C56)+6.5696),EXP(0.7927*LN('Base stats'!C56)+4.28))</f>
        <v>1345.0342323536652</v>
      </c>
      <c r="AQ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"No")))))))))))))))</f>
        <v>2644.3570742086185</v>
      </c>
      <c r="AR56" s="8">
        <f>IF(_xlfn.XLOOKUP(E56,Groups!A:A,Groups!U:U)=3,AP56,IF(_xlfn.XLOOKUP(E56,Groups!A:A,Groups!U:U)=2,AO56,AQ56))</f>
        <v>2644.3570742086185</v>
      </c>
      <c r="AS56" s="46">
        <f>IFERROR(AVERAGE(_xlfn.XLOOKUP(B56,Animals!B:B,Animals!M:M),_xlfn.XLOOKUP(B56,Animals!B:B,Animals!N:N)),0)</f>
        <v>0</v>
      </c>
      <c r="AT56" s="8">
        <f>MROUND(40*Animals!AN56*_xlfn.XLOOKUP(Animals!AZ56,Leathers!$A$2:$A$100,Leathers!$B$2:$B$100,0)+(140*_xlfn.XLOOKUP(B56,Animals!B:B,Animals!AN:AN)*2),5)</f>
        <v>320</v>
      </c>
      <c r="AU56" s="8">
        <f>IFERROR(ROUND(SQRT(V56-1)*IF(_xlfn.XLOOKUP(E56,Groups!A:A,Groups!BE:BE)=0,2,1)*IF(_xlfn.XLOOKUP('Base stats'!E56,Groups!A:A,Groups!O:O)=0,1,0.1),1),0)</f>
        <v>3</v>
      </c>
      <c r="AV56" s="8">
        <f t="shared" si="18"/>
        <v>0</v>
      </c>
      <c r="AW56" s="8">
        <f t="shared" si="19"/>
        <v>0</v>
      </c>
      <c r="AX56" s="8">
        <f t="shared" si="20"/>
        <v>3</v>
      </c>
      <c r="AY56" s="8">
        <f>IF(_xlfn.XLOOKUP(E56,Groups!A:A,Groups!N:N)="Insect",BA56*2.5,IFERROR(AVERAGE(BA56,AQ56/9.81/IF(OR(_xlfn.XLOOKUP(E56,Groups!A:A,Groups!N:N)="Pig",_xlfn.XLOOKUP(E56,Groups!A:A,Groups!N:N)="StrongBitingHerbivore"),20,25))*C56^-0.135,BA56))</f>
        <v>3.5318863409400256</v>
      </c>
      <c r="AZ56" s="8" t="str">
        <f>IF(W56="No","No",IF(_xlfn.XLOOKUP(E56,Groups!A:A,Groups!U:U)=1,'Base stats'!AY56,IF(OR(_xlfn.XLOOKUP(E56,Groups!A:A,Groups!BC:BC)=1,_xlfn.XLOOKUP(E56,Groups!A:A,Groups!U:U)=2),BA56,IF(_xlfn.XLOOKUP(B56,Animals!B:B,Animals!AN:AN)&gt;4,AVERAGE(BA56,BC56),BC56))))</f>
        <v>No</v>
      </c>
      <c r="BA56" s="8">
        <f>(0.0392*C56^IF(OR(Y56="Herbivore",Y56="Dendrovore",Y56="OmnivoreRough"),0.889,0.966))*C56^-0.135</f>
        <v>0.84061651845168284</v>
      </c>
      <c r="BB56" s="8">
        <f>IF(_xlfn.XLOOKUP(E56,Groups!A:A,Groups!BD:BD)=1,(0.048*C56^1.01)+(0.071*C56^1.03),0.071*C56^1.03)/IF(_xlfn.XLOOKUP(E56,Groups!A:A,Groups!M:M)=1,0.85,IF(OR(_xlfn.XLOOKUP(B56,Animals!B:B,Animals!AN:AN)&gt;4,_xlfn.XLOOKUP(E56,Groups!A:A,Groups!BB:BB)=1),1.7,1))*C56^-0.25</f>
        <v>1.2614357700529921</v>
      </c>
      <c r="BC56" s="8">
        <f>(0.048*C56^1.01)/IF(_xlfn.XLOOKUP(E56,Groups!A:A,Groups!M:M)=1,0.25,0.8)*C56^-0.25</f>
        <v>0.99018614167501795</v>
      </c>
      <c r="BD56" s="8">
        <f>EXP(1.076*LN(AO56)-4.5397)*IF(_xlfn.XLOOKUP(E56,Groups!A:A,Groups!BB:BB)=1,1.25,IF(_xlfn.XLOOKUP(E56,Groups!A:A,Groups!BC:BC)=1,3.5,2.5))</f>
        <v>56.210239558641248</v>
      </c>
      <c r="BE56" s="8">
        <f>EXP(1.076*LN(AP56)-4.5397)*IF(_xlfn.XLOOKUP(E56,Groups!A:A,Groups!M:M)=1,0.8,IF(_xlfn.XLOOKUP(E56,Groups!A:A,Groups!BB:BB)=1,1.3,3))</f>
        <v>74.485487848676939</v>
      </c>
      <c r="BF56" s="8" t="str">
        <f>IF(W56="No","No",IF(_xlfn.XLOOKUP(E56,Groups!A:A,Groups!U:U)=1,'Base stats'!BG56,IF(OR(_xlfn.XLOOKUP(E56,Groups!A:A,Groups!BC:BC)=1,_xlfn.XLOOKUP(E56,Groups!A:A,Groups!U:U)=2),BD56,BE56))*1.2)</f>
        <v>No</v>
      </c>
      <c r="BG56" s="8">
        <f>IFERROR(EXP(1.076*LN(AQ56)-4.5397)*IF(_xlfn.XLOOKUP(E56,Groups!A:A,Groups!N:N)="Insect",1,IF(OR(_xlfn.XLOOKUP(E56,Groups!A:A,Groups!N:N)="Pig",_xlfn.XLOOKUP(E56,Groups!A:A,Groups!N:N)="StrongBitingHerbivore"),3.5,3.75)),"No")</f>
        <v>192.69969815751932</v>
      </c>
      <c r="BH56" s="8">
        <f t="shared" si="5"/>
        <v>11</v>
      </c>
      <c r="BI56" s="8">
        <f t="shared" si="6"/>
        <v>10</v>
      </c>
      <c r="BJ56" s="8" t="str">
        <f>IF(W56="No","No",ROUNDDOWN(SQRT((2*BF56)/AZ56),0))</f>
        <v>No</v>
      </c>
      <c r="BK56" s="8">
        <f>IF(V56="No","No",ROUNDDOWN(SQRT((2*BG56)/AY56),0))</f>
        <v>10</v>
      </c>
      <c r="BL56" s="8">
        <f t="shared" si="7"/>
        <v>12</v>
      </c>
      <c r="BM56" s="8" t="str" cm="1">
        <f t="array" ref="BM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stats'!E56,Groups!A:A,Groups!P:P=0)),"No",IF(U56="No",AVERAGE(EXP(-0.57+0.99*LN(C56)),EXP(0.32+0.67*LN(C56)))/IF(_xlfn.XLOOKUP(E56,Groups!A:A,Groups!AD:AD)=1,10,2),(0.7354*C56^0.4078)*2/IF(_xlfn.XLOOKUP(E56,Groups!A:A,Groups!BJ:BJ)=1,1000,100)))</f>
        <v>No</v>
      </c>
      <c r="BN56" s="8" t="str">
        <f>IF(W56="No","No",IF(_xlfn.XLOOKUP(E56,Groups!A:A,Groups!BC:BC)=1,(AL56*5%),EXP(0.7354*LN(C56)^0.4078)*2/IF(_xlfn.XLOOKUP(E56,Groups!A:A,Groups!BK:BK)=1,1000,100)))</f>
        <v>No</v>
      </c>
      <c r="BO56" s="8">
        <f>IF(BG56="No","No",IF(_xlfn.XLOOKUP(E56,Groups!A:A,Groups!BE:BE)=1,(0.0315*C56+2.1825)*2,(0.7354*C56^0.4078)*2)/IF(_xlfn.XLOOKUP(E56,Groups!A:A,Groups!BL:BL)=1,1000,100))</f>
        <v>6.6202392635939605E-2</v>
      </c>
      <c r="BP56" s="8">
        <f>BD56/(AL56*5%)</f>
        <v>9.2083847873202812E-2</v>
      </c>
      <c r="BQ56" s="8" t="str">
        <f t="shared" si="8"/>
        <v>No</v>
      </c>
      <c r="BR56" s="8" t="str">
        <f>IF(W56="No","No",BF56/BN56)</f>
        <v>No</v>
      </c>
      <c r="BS56" s="8">
        <f t="shared" si="9"/>
        <v>2910.766370895597</v>
      </c>
      <c r="BT56" s="4">
        <v>0</v>
      </c>
      <c r="BU56" s="4">
        <v>1</v>
      </c>
    </row>
    <row r="57" spans="1:73" s="16" customFormat="1" x14ac:dyDescent="0.25">
      <c r="A57" s="26" t="s">
        <v>1025</v>
      </c>
      <c r="B57" s="6" t="s">
        <v>892</v>
      </c>
      <c r="C57" s="7">
        <v>40</v>
      </c>
      <c r="D57" s="7" t="s">
        <v>1204</v>
      </c>
      <c r="E57" s="7" t="str">
        <f>Groups!A11</f>
        <v>Canid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552</v>
      </c>
      <c r="L57" s="7">
        <v>64</v>
      </c>
      <c r="M57" s="7" t="s">
        <v>638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_xlfn.XLOOKUP(B57,[1]TeethAdjusters!$A:$A,[1]BiteAdjusters!$C:$C)</f>
        <v>0.92071733882611773</v>
      </c>
      <c r="T57" s="7">
        <f>_xlfn.XLOOKUP(B57,[1]TeethAdjusters!$A:$A,[1]TeethAdjusters!$B:$B)</f>
        <v>1.0836264905293682</v>
      </c>
      <c r="U57" s="7" t="s">
        <v>45</v>
      </c>
      <c r="V57" s="7">
        <f>IF(AQ57="No","No",IF(_xlfn.XLOOKUP(E57,Groups!A:A,Groups!AM:AM)=1,MROUND(EXP(0.3582*LN(C57)-0.2221)*T57,0.05),IF(_xlfn.XLOOKUP(E57,Groups!A:A,Groups!AM:AM)=2,MROUND(EXP(0.3582*LN(C57)-0.2221)*T57,0.05),"Need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945</v>
      </c>
      <c r="Y57" s="4" t="s">
        <v>56</v>
      </c>
      <c r="Z57" s="4">
        <v>0</v>
      </c>
      <c r="AA57" s="4">
        <v>0</v>
      </c>
      <c r="AB57" s="4">
        <v>0</v>
      </c>
      <c r="AC57" s="4" t="s">
        <v>45</v>
      </c>
      <c r="AD57" s="4" t="s">
        <v>320</v>
      </c>
      <c r="AE57" s="28" t="s">
        <v>405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4" t="s">
        <v>40</v>
      </c>
      <c r="AL57" s="8">
        <f t="shared" si="16"/>
        <v>12208.490600010842</v>
      </c>
      <c r="AM57" s="8">
        <f>IFERROR(C57*_xlfn.XLOOKUP(E57,Groups!A:A,Groups!K:K),0.106*C57^0.94)</f>
        <v>4.99</v>
      </c>
      <c r="AN57" s="8">
        <f>AM57*10000/(_xlfn.XLOOKUP(E57,Groups!A:A,Groups!J:J)*AL57)</f>
        <v>3.7498342762962693</v>
      </c>
      <c r="AO57" s="8">
        <f t="shared" si="17"/>
        <v>1226.5939672257964</v>
      </c>
      <c r="AP57" s="8">
        <f>IF(_xlfn.XLOOKUP(E57,Groups!A:A,Groups!M:M)=1,EXP(0.7444*LN('Base stats'!C57)+6.5696),EXP(0.7927*LN('Base stats'!C57)+4.28))</f>
        <v>1345.0342323536652</v>
      </c>
      <c r="AQ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"No")))))))))))))))</f>
        <v>2644.3570742086185</v>
      </c>
      <c r="AR57" s="8">
        <f>IF(_xlfn.XLOOKUP(E57,Groups!A:A,Groups!U:U)=3,AP57,IF(_xlfn.XLOOKUP(E57,Groups!A:A,Groups!U:U)=2,AO57,AQ57))</f>
        <v>2644.3570742086185</v>
      </c>
      <c r="AS57" s="46">
        <f>IFERROR(AVERAGE(_xlfn.XLOOKUP(B57,Animals!B:B,Animals!M:M),_xlfn.XLOOKUP(B57,Animals!B:B,Animals!N:N)),0)</f>
        <v>0</v>
      </c>
      <c r="AT57" s="8">
        <f>MROUND(40*Animals!AN57*_xlfn.XLOOKUP(Animals!AZ57,Leathers!$A$2:$A$100,Leathers!$B$2:$B$100,0)+(140*_xlfn.XLOOKUP(B57,Animals!B:B,Animals!AN:AN)*2),5)</f>
        <v>320</v>
      </c>
      <c r="AU57" s="8">
        <f>IFERROR(ROUND(SQRT(V57-1)*IF(_xlfn.XLOOKUP(E57,Groups!A:A,Groups!BE:BE)=0,2,1)*IF(_xlfn.XLOOKUP('Base stats'!E57,Groups!A:A,Groups!O:O)=0,1,0.1),1),0)</f>
        <v>3</v>
      </c>
      <c r="AV57" s="8">
        <f t="shared" si="18"/>
        <v>0</v>
      </c>
      <c r="AW57" s="8">
        <f t="shared" si="19"/>
        <v>0</v>
      </c>
      <c r="AX57" s="8">
        <f t="shared" si="20"/>
        <v>3</v>
      </c>
      <c r="AY57" s="8">
        <f>IF(_xlfn.XLOOKUP(E57,Groups!A:A,Groups!N:N)="Insect",BA57*2.5,IFERROR(AVERAGE(BA57,AQ57/9.81/IF(OR(_xlfn.XLOOKUP(E57,Groups!A:A,Groups!N:N)="Pig",_xlfn.XLOOKUP(E57,Groups!A:A,Groups!N:N)="StrongBitingHerbivore"),20,25))*C57^-0.135,BA57))</f>
        <v>3.5318863409400256</v>
      </c>
      <c r="AZ57" s="8" t="str">
        <f>IF(W57="No","No",IF(_xlfn.XLOOKUP(E57,Groups!A:A,Groups!U:U)=1,'Base stats'!AY57,IF(OR(_xlfn.XLOOKUP(E57,Groups!A:A,Groups!BC:BC)=1,_xlfn.XLOOKUP(E57,Groups!A:A,Groups!U:U)=2),BA57,IF(_xlfn.XLOOKUP(B57,Animals!B:B,Animals!AN:AN)&gt;4,AVERAGE(BA57,BC57),BC57))))</f>
        <v>No</v>
      </c>
      <c r="BA57" s="8">
        <f>(0.0392*C57^IF(OR(Y57="Herbivore",Y57="Dendrovore",Y57="OmnivoreRough"),0.889,0.966))*C57^-0.135</f>
        <v>0.84061651845168284</v>
      </c>
      <c r="BB57" s="8">
        <f>IF(_xlfn.XLOOKUP(E57,Groups!A:A,Groups!BD:BD)=1,(0.048*C57^1.01)+(0.071*C57^1.03),0.071*C57^1.03)/IF(_xlfn.XLOOKUP(E57,Groups!A:A,Groups!M:M)=1,0.85,IF(OR(_xlfn.XLOOKUP(B57,Animals!B:B,Animals!AN:AN)&gt;4,_xlfn.XLOOKUP(E57,Groups!A:A,Groups!BB:BB)=1),1.7,1))*C57^-0.25</f>
        <v>1.2614357700529921</v>
      </c>
      <c r="BC57" s="8">
        <f>(0.048*C57^1.01)/IF(_xlfn.XLOOKUP(E57,Groups!A:A,Groups!M:M)=1,0.25,0.8)*C57^-0.25</f>
        <v>0.99018614167501795</v>
      </c>
      <c r="BD57" s="8">
        <f>EXP(1.076*LN(AO57)-4.5397)*IF(_xlfn.XLOOKUP(E57,Groups!A:A,Groups!BB:BB)=1,1.25,IF(_xlfn.XLOOKUP(E57,Groups!A:A,Groups!BC:BC)=1,3.5,2.5))</f>
        <v>56.210239558641248</v>
      </c>
      <c r="BE57" s="8">
        <f>EXP(1.076*LN(AP57)-4.5397)*IF(_xlfn.XLOOKUP(E57,Groups!A:A,Groups!M:M)=1,0.8,IF(_xlfn.XLOOKUP(E57,Groups!A:A,Groups!BB:BB)=1,1.3,3))</f>
        <v>74.485487848676939</v>
      </c>
      <c r="BF57" s="8" t="str">
        <f>IF(W57="No","No",IF(_xlfn.XLOOKUP(E57,Groups!A:A,Groups!U:U)=1,'Base stats'!BG57,IF(OR(_xlfn.XLOOKUP(E57,Groups!A:A,Groups!BC:BC)=1,_xlfn.XLOOKUP(E57,Groups!A:A,Groups!U:U)=2),BD57,BE57))*1.2)</f>
        <v>No</v>
      </c>
      <c r="BG57" s="8">
        <f>IFERROR(EXP(1.076*LN(AQ57)-4.5397)*IF(_xlfn.XLOOKUP(E57,Groups!A:A,Groups!N:N)="Insect",1,IF(OR(_xlfn.XLOOKUP(E57,Groups!A:A,Groups!N:N)="Pig",_xlfn.XLOOKUP(E57,Groups!A:A,Groups!N:N)="StrongBitingHerbivore"),3.5,3.75)),"No")</f>
        <v>192.69969815751932</v>
      </c>
      <c r="BH57" s="8">
        <f t="shared" si="5"/>
        <v>11</v>
      </c>
      <c r="BI57" s="8">
        <f t="shared" si="6"/>
        <v>10</v>
      </c>
      <c r="BJ57" s="8" t="str">
        <f>IF(W57="No","No",ROUNDDOWN(SQRT((2*BF57)/AZ57),0))</f>
        <v>No</v>
      </c>
      <c r="BK57" s="8">
        <f>IF(V57="No","No",ROUNDDOWN(SQRT((2*BG57)/AY57),0))</f>
        <v>10</v>
      </c>
      <c r="BL57" s="8">
        <f t="shared" si="7"/>
        <v>12</v>
      </c>
      <c r="BM57" s="8" t="str" cm="1">
        <f t="array" ref="BM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stats'!E57,Groups!A:A,Groups!P:P=0)),"No",IF(U57="No",AVERAGE(EXP(-0.57+0.99*LN(C57)),EXP(0.32+0.67*LN(C57)))/IF(_xlfn.XLOOKUP(E57,Groups!A:A,Groups!AD:AD)=1,10,2),(0.7354*C57^0.4078)*2/IF(_xlfn.XLOOKUP(E57,Groups!A:A,Groups!BJ:BJ)=1,1000,100)))</f>
        <v>No</v>
      </c>
      <c r="BN57" s="8" t="str">
        <f>IF(W57="No","No",IF(_xlfn.XLOOKUP(E57,Groups!A:A,Groups!BC:BC)=1,(AL57*5%),EXP(0.7354*LN(C57)^0.4078)*2/IF(_xlfn.XLOOKUP(E57,Groups!A:A,Groups!BK:BK)=1,1000,100)))</f>
        <v>No</v>
      </c>
      <c r="BO57" s="8">
        <f>IF(BG57="No","No",IF(_xlfn.XLOOKUP(E57,Groups!A:A,Groups!BE:BE)=1,(0.0315*C57+2.1825)*2,(0.7354*C57^0.4078)*2)/IF(_xlfn.XLOOKUP(E57,Groups!A:A,Groups!BL:BL)=1,1000,100))</f>
        <v>6.6202392635939605E-2</v>
      </c>
      <c r="BP57" s="8">
        <f>BD57/(AL57*5%)</f>
        <v>9.2083847873202812E-2</v>
      </c>
      <c r="BQ57" s="8" t="str">
        <f t="shared" si="8"/>
        <v>No</v>
      </c>
      <c r="BR57" s="8" t="str">
        <f>IF(W57="No","No",BF57/BN57)</f>
        <v>No</v>
      </c>
      <c r="BS57" s="8">
        <f t="shared" si="9"/>
        <v>2910.766370895597</v>
      </c>
      <c r="BT57" s="4">
        <v>0</v>
      </c>
      <c r="BU57" s="4">
        <v>1</v>
      </c>
    </row>
    <row r="58" spans="1:73" x14ac:dyDescent="0.25">
      <c r="A58" s="26" t="s">
        <v>65</v>
      </c>
      <c r="B58" s="6" t="s">
        <v>66</v>
      </c>
      <c r="C58" s="7">
        <v>6.3333000000000004</v>
      </c>
      <c r="D58" s="7" t="s">
        <v>941</v>
      </c>
      <c r="E58" s="7" t="str">
        <f>Groups!A11</f>
        <v>Canid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553</v>
      </c>
      <c r="L58" s="7">
        <f>MIN(37.5*C58^0.089,79.3*C58^-0.072)</f>
        <v>44.195326138007871</v>
      </c>
      <c r="M58" s="7" t="s">
        <v>638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_xlfn.XLOOKUP(B58,[1]TeethAdjusters!$A:$A,[1]BiteAdjusters!$C:$C)</f>
        <v>1.149951989577956</v>
      </c>
      <c r="T58" s="7">
        <f>_xlfn.XLOOKUP(B58,[1]TeethAdjusters!$A:$A,[1]TeethAdjusters!$B:$B)</f>
        <v>1.4047564678154916</v>
      </c>
      <c r="U58" s="7" t="s">
        <v>45</v>
      </c>
      <c r="V58" s="7">
        <f>IF(AQ58="No","No",IF(_xlfn.XLOOKUP(E58,Groups!A:A,Groups!AM:AM)=1,MROUND(EXP(0.3582*LN(C58)-0.2221)*T58,0.05),IF(_xlfn.XLOOKUP(E58,Groups!A:A,Groups!AM:AM)=2,MROUND(EXP(0.3582*LN(C58)-0.2221)*T58,0.05),"Need a formula")))</f>
        <v>2.2000000000000002</v>
      </c>
      <c r="W58" s="7" t="s">
        <v>45</v>
      </c>
      <c r="X58" s="7" t="s">
        <v>945</v>
      </c>
      <c r="Y58" s="4" t="s">
        <v>56</v>
      </c>
      <c r="Z58" s="4">
        <v>0</v>
      </c>
      <c r="AA58" s="4">
        <v>0</v>
      </c>
      <c r="AB58" s="4">
        <v>0</v>
      </c>
      <c r="AC58" s="4" t="s">
        <v>45</v>
      </c>
      <c r="AD58" s="4" t="s">
        <v>45</v>
      </c>
      <c r="AE58" s="28" t="s">
        <v>390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4" t="s">
        <v>40</v>
      </c>
      <c r="AL58" s="8">
        <f t="shared" si="16"/>
        <v>3684.533572807044</v>
      </c>
      <c r="AM58" s="8">
        <f>IFERROR(C58*_xlfn.XLOOKUP(E58,Groups!A:A,Groups!K:K),0.106*C58^0.94)</f>
        <v>0.79007917500000002</v>
      </c>
      <c r="AN58" s="8">
        <f>AM58*10000/(_xlfn.XLOOKUP(E58,Groups!A:A,Groups!J:J)*AL58)</f>
        <v>1.9672592622471217</v>
      </c>
      <c r="AO58" s="8">
        <f t="shared" si="17"/>
        <v>258.56971798699504</v>
      </c>
      <c r="AP58" s="8">
        <f>IF(_xlfn.XLOOKUP(E58,Groups!A:A,Groups!M:M)=1,EXP(0.7444*LN('Base stats'!C58)+6.5696),EXP(0.7927*LN('Base stats'!C58)+4.28))</f>
        <v>312.05599580556532</v>
      </c>
      <c r="AQ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"No")))))))))))))))</f>
        <v>706.56767140812713</v>
      </c>
      <c r="AR58" s="8">
        <f>IF(_xlfn.XLOOKUP(E58,Groups!A:A,Groups!U:U)=3,AP58,IF(_xlfn.XLOOKUP(E58,Groups!A:A,Groups!U:U)=2,AO58,AQ58))</f>
        <v>706.56767140812713</v>
      </c>
      <c r="AS58" s="46">
        <f>IFERROR(AVERAGE(_xlfn.XLOOKUP(B58,Animals!B:B,Animals!M:M),_xlfn.XLOOKUP(B58,Animals!B:B,Animals!N:N)),0)</f>
        <v>0</v>
      </c>
      <c r="AT58" s="8">
        <f>MROUND(40*Animals!AN58*_xlfn.XLOOKUP(Animals!AZ58,Leathers!$A$2:$A$100,Leathers!$B$2:$B$100,0)+(140*_xlfn.XLOOKUP(B58,Animals!B:B,Animals!AN:AN)*2),5)</f>
        <v>160</v>
      </c>
      <c r="AU58" s="8">
        <f>IFERROR(ROUND(SQRT(V58-1)*IF(_xlfn.XLOOKUP(E58,Groups!A:A,Groups!BE:BE)=0,2,1)*IF(_xlfn.XLOOKUP('Base stats'!E58,Groups!A:A,Groups!O:O)=0,1,0.1),1),0)</f>
        <v>2.2000000000000002</v>
      </c>
      <c r="AV58" s="8">
        <f t="shared" si="18"/>
        <v>0</v>
      </c>
      <c r="AW58" s="8">
        <f t="shared" si="19"/>
        <v>0</v>
      </c>
      <c r="AX58" s="8">
        <f t="shared" si="20"/>
        <v>1.2</v>
      </c>
      <c r="AY58" s="8">
        <f>IF(_xlfn.XLOOKUP(E58,Groups!A:A,Groups!N:N)="Insect",BA58*2.5,IFERROR(AVERAGE(BA58,AQ58/9.81/IF(OR(_xlfn.XLOOKUP(E58,Groups!A:A,Groups!N:N)="Pig",_xlfn.XLOOKUP(E58,Groups!A:A,Groups!N:N)="StrongBitingHerbivore"),20,25))*C58^-0.135,BA58))</f>
        <v>1.1936057181351558</v>
      </c>
      <c r="AZ58" s="8" t="str">
        <f>IF(W58="No","No",IF(_xlfn.XLOOKUP(E58,Groups!A:A,Groups!U:U)=1,'Base stats'!AY58,IF(OR(_xlfn.XLOOKUP(E58,Groups!A:A,Groups!BC:BC)=1,_xlfn.XLOOKUP(E58,Groups!A:A,Groups!U:U)=2),BA58,IF(_xlfn.XLOOKUP(B58,Animals!B:B,Animals!AN:AN)&gt;4,AVERAGE(BA58,BC58),BC58))))</f>
        <v>No</v>
      </c>
      <c r="BA58" s="8">
        <f>(0.0392*C58^IF(OR(Y58="Herbivore",Y58="Dendrovore",Y58="OmnivoreRough"),0.889,0.966))*C58^-0.135</f>
        <v>0.18173586703179376</v>
      </c>
      <c r="BB58" s="8">
        <f>IF(_xlfn.XLOOKUP(E58,Groups!A:A,Groups!BD:BD)=1,(0.048*C58^1.01)+(0.071*C58^1.03),0.071*C58^1.03)/IF(_xlfn.XLOOKUP(E58,Groups!A:A,Groups!M:M)=1,0.85,IF(OR(_xlfn.XLOOKUP(B58,Animals!B:B,Animals!AN:AN)&gt;4,_xlfn.XLOOKUP(E58,Groups!A:A,Groups!BB:BB)=1),1.7,1))*C58^-0.25</f>
        <v>0.2995917127930291</v>
      </c>
      <c r="BC58" s="8">
        <f>(0.048*C58^1.01)/IF(_xlfn.XLOOKUP(E58,Groups!A:A,Groups!M:M)=1,0.25,0.8)*C58^-0.25</f>
        <v>0.24400015169414049</v>
      </c>
      <c r="BD58" s="8">
        <f>EXP(1.076*LN(AO58)-4.5397)*IF(_xlfn.XLOOKUP(E58,Groups!A:A,Groups!BB:BB)=1,1.25,IF(_xlfn.XLOOKUP(E58,Groups!A:A,Groups!BC:BC)=1,3.5,2.5))</f>
        <v>10.527055515355739</v>
      </c>
      <c r="BE58" s="8">
        <f>EXP(1.076*LN(AP58)-4.5397)*IF(_xlfn.XLOOKUP(E58,Groups!A:A,Groups!M:M)=1,0.8,IF(_xlfn.XLOOKUP(E58,Groups!A:A,Groups!BB:BB)=1,1.3,3))</f>
        <v>15.464959930645772</v>
      </c>
      <c r="BF58" s="8" t="str">
        <f>IF(W58="No","No",IF(_xlfn.XLOOKUP(E58,Groups!A:A,Groups!U:U)=1,'Base stats'!BG58,IF(OR(_xlfn.XLOOKUP(E58,Groups!A:A,Groups!BC:BC)=1,_xlfn.XLOOKUP(E58,Groups!A:A,Groups!U:U)=2),BD58,BE58))*1.2)</f>
        <v>No</v>
      </c>
      <c r="BG58" s="8">
        <f>IFERROR(EXP(1.076*LN(AQ58)-4.5397)*IF(_xlfn.XLOOKUP(E58,Groups!A:A,Groups!N:N)="Insect",1,IF(OR(_xlfn.XLOOKUP(E58,Groups!A:A,Groups!N:N)="Pig",_xlfn.XLOOKUP(E58,Groups!A:A,Groups!N:N)="StrongBitingHerbivore"),3.5,3.75)),"No")</f>
        <v>46.57512797186186</v>
      </c>
      <c r="BH58" s="8">
        <f t="shared" si="5"/>
        <v>10</v>
      </c>
      <c r="BI58" s="8">
        <f t="shared" si="6"/>
        <v>10</v>
      </c>
      <c r="BJ58" s="8" t="str">
        <f>IF(W58="No","No",ROUNDDOWN(SQRT((2*BF58)/AZ58),0))</f>
        <v>No</v>
      </c>
      <c r="BK58" s="8">
        <f>IF(V58="No","No",ROUNDDOWN(SQRT((2*BG58)/AY58),0))</f>
        <v>8</v>
      </c>
      <c r="BL58" s="8">
        <f t="shared" si="7"/>
        <v>11</v>
      </c>
      <c r="BM58" s="8" t="str" cm="1">
        <f t="array" ref="BM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stats'!E58,Groups!A:A,Groups!P:P=0)),"No",IF(U58="No",AVERAGE(EXP(-0.57+0.99*LN(C58)),EXP(0.32+0.67*LN(C58)))/IF(_xlfn.XLOOKUP(E58,Groups!A:A,Groups!AD:AD)=1,10,2),(0.7354*C58^0.4078)*2/IF(_xlfn.XLOOKUP(E58,Groups!A:A,Groups!BJ:BJ)=1,1000,100)))</f>
        <v>No</v>
      </c>
      <c r="BN58" s="8" t="str">
        <f>IF(W58="No","No",IF(_xlfn.XLOOKUP(E58,Groups!A:A,Groups!BC:BC)=1,(AL58*5%),EXP(0.7354*LN(C58)^0.4078)*2/IF(_xlfn.XLOOKUP(E58,Groups!A:A,Groups!BK:BK)=1,1000,100)))</f>
        <v>No</v>
      </c>
      <c r="BO58" s="8">
        <f>IF(BG58="No","No",IF(_xlfn.XLOOKUP(E58,Groups!A:A,Groups!BE:BE)=1,(0.0315*C58+2.1825)*2,(0.7354*C58^0.4078)*2)/IF(_xlfn.XLOOKUP(E58,Groups!A:A,Groups!BL:BL)=1,1000,100))</f>
        <v>3.1221830370346076E-2</v>
      </c>
      <c r="BP58" s="8">
        <f>BD58/(AL58*5%)</f>
        <v>5.7141862367864123E-2</v>
      </c>
      <c r="BQ58" s="8" t="str">
        <f t="shared" si="8"/>
        <v>No</v>
      </c>
      <c r="BR58" s="8" t="str">
        <f>IF(W58="No","No",BF58/BN58)</f>
        <v>No</v>
      </c>
      <c r="BS58" s="8">
        <f t="shared" si="9"/>
        <v>1491.7487994585374</v>
      </c>
      <c r="BT58" s="4">
        <v>0</v>
      </c>
      <c r="BU58" s="4">
        <v>1</v>
      </c>
    </row>
    <row r="59" spans="1:73" x14ac:dyDescent="0.25">
      <c r="A59" s="26" t="s">
        <v>67</v>
      </c>
      <c r="B59" s="6" t="s">
        <v>68</v>
      </c>
      <c r="C59" s="7">
        <v>3.45</v>
      </c>
      <c r="D59" s="7" t="s">
        <v>941</v>
      </c>
      <c r="E59" s="7" t="str">
        <f>Groups!A11</f>
        <v>Canid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559</v>
      </c>
      <c r="L59" s="7">
        <f>MIN(37.5*C59^0.089,79.3*C59^-0.072)</f>
        <v>41.86944143733259</v>
      </c>
      <c r="M59" s="7" t="s">
        <v>638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_xlfn.XLOOKUP(B59,[1]TeethAdjusters!$A:$A,[1]BiteAdjusters!$C:$C)</f>
        <v>1.0316269082575813</v>
      </c>
      <c r="T59" s="7">
        <f>_xlfn.XLOOKUP(B59,[1]TeethAdjusters!$A:$A,[1]TeethAdjusters!$B:$B)</f>
        <v>1.1469133122883668</v>
      </c>
      <c r="U59" s="7" t="s">
        <v>45</v>
      </c>
      <c r="V59" s="7">
        <f>IF(AQ59="No","No",IF(_xlfn.XLOOKUP(E59,Groups!A:A,Groups!AM:AM)=1,MROUND(EXP(0.3582*LN(C59)-0.2221)*T59,0.05),IF(_xlfn.XLOOKUP(E59,Groups!A:A,Groups!AM:AM)=2,MROUND(EXP(0.3582*LN(C59)-0.2221)*T59,0.05),"Need a formula")))</f>
        <v>1.4500000000000002</v>
      </c>
      <c r="W59" s="7" t="s">
        <v>45</v>
      </c>
      <c r="X59" s="7" t="s">
        <v>945</v>
      </c>
      <c r="Y59" s="4" t="s">
        <v>56</v>
      </c>
      <c r="Z59" s="4">
        <v>0</v>
      </c>
      <c r="AA59" s="4">
        <v>0</v>
      </c>
      <c r="AB59" s="4">
        <v>0</v>
      </c>
      <c r="AC59" s="4" t="s">
        <v>45</v>
      </c>
      <c r="AD59" s="4" t="s">
        <v>45</v>
      </c>
      <c r="AE59" s="28" t="s">
        <v>390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4" t="s">
        <v>40</v>
      </c>
      <c r="AL59" s="8">
        <f t="shared" si="16"/>
        <v>2482.5922230260171</v>
      </c>
      <c r="AM59" s="8">
        <f>IFERROR(C59*_xlfn.XLOOKUP(E59,Groups!A:A,Groups!K:K),0.106*C59^0.94)</f>
        <v>0.43038750000000003</v>
      </c>
      <c r="AN59" s="8">
        <f>AM59*10000/(_xlfn.XLOOKUP(E59,Groups!A:A,Groups!J:J)*AL59)</f>
        <v>1.5904783466610202</v>
      </c>
      <c r="AO59" s="8">
        <f t="shared" si="17"/>
        <v>154.7877328657456</v>
      </c>
      <c r="AP59" s="8">
        <f>IF(_xlfn.XLOOKUP(E59,Groups!A:A,Groups!M:M)=1,EXP(0.7444*LN('Base stats'!C59)+6.5696),EXP(0.7927*LN('Base stats'!C59)+4.28))</f>
        <v>192.80113188807815</v>
      </c>
      <c r="AQ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"No")))))))))))))))</f>
        <v>381.29936358731965</v>
      </c>
      <c r="AR59" s="8">
        <f>IF(_xlfn.XLOOKUP(E59,Groups!A:A,Groups!U:U)=3,AP59,IF(_xlfn.XLOOKUP(E59,Groups!A:A,Groups!U:U)=2,AO59,AQ59))</f>
        <v>381.29936358731965</v>
      </c>
      <c r="AS59" s="46">
        <f>IFERROR(AVERAGE(_xlfn.XLOOKUP(B59,Animals!B:B,Animals!M:M),_xlfn.XLOOKUP(B59,Animals!B:B,Animals!N:N)),0)</f>
        <v>0</v>
      </c>
      <c r="AT59" s="8">
        <f>MROUND(40*Animals!AN59*_xlfn.XLOOKUP(Animals!AZ59,Leathers!$A$2:$A$100,Leathers!$B$2:$B$100,0)+(140*_xlfn.XLOOKUP(B59,Animals!B:B,Animals!AN:AN)*2),5)</f>
        <v>115</v>
      </c>
      <c r="AU59" s="8">
        <f>IFERROR(ROUND(SQRT(V59-1)*IF(_xlfn.XLOOKUP(E59,Groups!A:A,Groups!BE:BE)=0,2,1)*IF(_xlfn.XLOOKUP('Base stats'!E59,Groups!A:A,Groups!O:O)=0,1,0.1),1),0)</f>
        <v>1.3</v>
      </c>
      <c r="AV59" s="8">
        <f t="shared" si="18"/>
        <v>0</v>
      </c>
      <c r="AW59" s="8">
        <f t="shared" si="19"/>
        <v>0</v>
      </c>
      <c r="AX59" s="8">
        <f t="shared" si="20"/>
        <v>0.9</v>
      </c>
      <c r="AY59" s="8">
        <f>IF(_xlfn.XLOOKUP(E59,Groups!A:A,Groups!N:N)="Insect",BA59*2.5,IFERROR(AVERAGE(BA59,AQ59/9.81/IF(OR(_xlfn.XLOOKUP(E59,Groups!A:A,Groups!N:N)="Pig",_xlfn.XLOOKUP(E59,Groups!A:A,Groups!N:N)="StrongBitingHerbivore"),20,25))*C59^-0.135,BA59))</f>
        <v>0.70409681222747555</v>
      </c>
      <c r="AZ59" s="8" t="str">
        <f>IF(W59="No","No",IF(_xlfn.XLOOKUP(E59,Groups!A:A,Groups!U:U)=1,'Base stats'!AY59,IF(OR(_xlfn.XLOOKUP(E59,Groups!A:A,Groups!BC:BC)=1,_xlfn.XLOOKUP(E59,Groups!A:A,Groups!U:U)=2),BA59,IF(_xlfn.XLOOKUP(B59,Animals!B:B,Animals!AN:AN)&gt;4,AVERAGE(BA59,BC59),BC59))))</f>
        <v>No</v>
      </c>
      <c r="BA59" s="8">
        <f>(0.0392*C59^IF(OR(Y59="Herbivore",Y59="Dendrovore",Y59="OmnivoreRough"),0.889,0.966))*C59^-0.135</f>
        <v>0.1097017953113776</v>
      </c>
      <c r="BB59" s="8">
        <f>IF(_xlfn.XLOOKUP(E59,Groups!A:A,Groups!BD:BD)=1,(0.048*C59^1.01)+(0.071*C59^1.03),0.071*C59^1.03)/IF(_xlfn.XLOOKUP(E59,Groups!A:A,Groups!M:M)=1,0.85,IF(OR(_xlfn.XLOOKUP(B59,Animals!B:B,Animals!AN:AN)&gt;4,_xlfn.XLOOKUP(E59,Groups!A:A,Groups!BB:BB)=1),1.7,1))*C59^-0.25</f>
        <v>0.18653367340850413</v>
      </c>
      <c r="BC59" s="8">
        <f>(0.048*C59^1.01)/IF(_xlfn.XLOOKUP(E59,Groups!A:A,Groups!M:M)=1,0.25,0.8)*C59^-0.25</f>
        <v>0.15377784220661878</v>
      </c>
      <c r="BD59" s="8">
        <f>EXP(1.076*LN(AO59)-4.5397)*IF(_xlfn.XLOOKUP(E59,Groups!A:A,Groups!BB:BB)=1,1.25,IF(_xlfn.XLOOKUP(E59,Groups!A:A,Groups!BC:BC)=1,3.5,2.5))</f>
        <v>6.0607987784578112</v>
      </c>
      <c r="BE59" s="8">
        <f>EXP(1.076*LN(AP59)-4.5397)*IF(_xlfn.XLOOKUP(E59,Groups!A:A,Groups!M:M)=1,0.8,IF(_xlfn.XLOOKUP(E59,Groups!A:A,Groups!BB:BB)=1,1.3,3))</f>
        <v>9.2115455176779086</v>
      </c>
      <c r="BF59" s="8" t="str">
        <f>IF(W59="No","No",IF(_xlfn.XLOOKUP(E59,Groups!A:A,Groups!U:U)=1,'Base stats'!BG59,IF(OR(_xlfn.XLOOKUP(E59,Groups!A:A,Groups!BC:BC)=1,_xlfn.XLOOKUP(E59,Groups!A:A,Groups!U:U)=2),BD59,BE59))*1.2)</f>
        <v>No</v>
      </c>
      <c r="BG59" s="8">
        <f>IFERROR(EXP(1.076*LN(AQ59)-4.5397)*IF(_xlfn.XLOOKUP(E59,Groups!A:A,Groups!N:N)="Insect",1,IF(OR(_xlfn.XLOOKUP(E59,Groups!A:A,Groups!N:N)="Pig",_xlfn.XLOOKUP(E59,Groups!A:A,Groups!N:N)="StrongBitingHerbivore"),3.5,3.75)),"No")</f>
        <v>23.983187940855935</v>
      </c>
      <c r="BH59" s="8">
        <f t="shared" si="5"/>
        <v>10</v>
      </c>
      <c r="BI59" s="8">
        <f t="shared" si="6"/>
        <v>9</v>
      </c>
      <c r="BJ59" s="8" t="str">
        <f>IF(W59="No","No",ROUNDDOWN(SQRT((2*BF59)/AZ59),0))</f>
        <v>No</v>
      </c>
      <c r="BK59" s="8">
        <f>IF(V59="No","No",ROUNDDOWN(SQRT((2*BG59)/AY59),0))</f>
        <v>8</v>
      </c>
      <c r="BL59" s="8">
        <f t="shared" si="7"/>
        <v>10</v>
      </c>
      <c r="BM59" s="8" t="str" cm="1">
        <f t="array" ref="BM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stats'!E59,Groups!A:A,Groups!P:P=0)),"No",IF(U59="No",AVERAGE(EXP(-0.57+0.99*LN(C59)),EXP(0.32+0.67*LN(C59)))/IF(_xlfn.XLOOKUP(E59,Groups!A:A,Groups!AD:AD)=1,10,2),(0.7354*C59^0.4078)*2/IF(_xlfn.XLOOKUP(E59,Groups!A:A,Groups!BJ:BJ)=1,1000,100)))</f>
        <v>No</v>
      </c>
      <c r="BN59" s="8" t="str">
        <f>IF(W59="No","No",IF(_xlfn.XLOOKUP(E59,Groups!A:A,Groups!BC:BC)=1,(AL59*5%),EXP(0.7354*LN(C59)^0.4078)*2/IF(_xlfn.XLOOKUP(E59,Groups!A:A,Groups!BK:BK)=1,1000,100)))</f>
        <v>No</v>
      </c>
      <c r="BO59" s="8">
        <f>IF(BG59="No","No",IF(_xlfn.XLOOKUP(E59,Groups!A:A,Groups!BE:BE)=1,(0.0315*C59+2.1825)*2,(0.7354*C59^0.4078)*2)/IF(_xlfn.XLOOKUP(E59,Groups!A:A,Groups!BL:BL)=1,1000,100))</f>
        <v>2.437116265271768E-2</v>
      </c>
      <c r="BP59" s="8">
        <f>BD59/(AL59*5%)</f>
        <v>4.8826373677029716E-2</v>
      </c>
      <c r="BQ59" s="8" t="str">
        <f t="shared" si="8"/>
        <v>No</v>
      </c>
      <c r="BR59" s="8" t="str">
        <f>IF(W59="No","No",BF59/BN59)</f>
        <v>No</v>
      </c>
      <c r="BS59" s="8">
        <f t="shared" si="9"/>
        <v>984.08058255610217</v>
      </c>
      <c r="BT59" s="4">
        <v>0</v>
      </c>
      <c r="BU59" s="4">
        <v>1</v>
      </c>
    </row>
    <row r="60" spans="1:73" x14ac:dyDescent="0.25">
      <c r="A60" s="26" t="s">
        <v>496</v>
      </c>
      <c r="B60" s="6" t="s">
        <v>497</v>
      </c>
      <c r="C60" s="7">
        <v>2.4</v>
      </c>
      <c r="D60" s="7" t="s">
        <v>941</v>
      </c>
      <c r="E60" s="7" t="str">
        <f>Groups!A11</f>
        <v>Canid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560</v>
      </c>
      <c r="L60" s="7">
        <f>MIN(37.5*C60^0.089,79.3*C60^-0.072)</f>
        <v>40.538723398352381</v>
      </c>
      <c r="M60" s="7" t="s">
        <v>638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_xlfn.XLOOKUP(B60,[1]TeethAdjusters!$A:$A,[1]BiteAdjusters!$C:$C)</f>
        <v>0.5275430710799015</v>
      </c>
      <c r="T60" s="7">
        <f>_xlfn.XLOOKUP(B60,[1]TeethAdjusters!$A:$A,[1]TeethAdjusters!$B:$B)</f>
        <v>1.2266423062576042</v>
      </c>
      <c r="U60" s="7" t="s">
        <v>45</v>
      </c>
      <c r="V60" s="7">
        <f>IF(AQ60="No","No",IF(_xlfn.XLOOKUP(E60,Groups!A:A,Groups!AM:AM)=1,MROUND(EXP(0.3582*LN(C60)-0.2221)*T60,0.05),IF(_xlfn.XLOOKUP(E60,Groups!A:A,Groups!AM:AM)=2,MROUND(EXP(0.3582*LN(C60)-0.2221)*T60,0.05),"Need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945</v>
      </c>
      <c r="Y60" s="4" t="s">
        <v>56</v>
      </c>
      <c r="Z60" s="4">
        <v>0</v>
      </c>
      <c r="AA60" s="4">
        <v>0</v>
      </c>
      <c r="AB60" s="4">
        <v>0</v>
      </c>
      <c r="AC60" s="4" t="s">
        <v>45</v>
      </c>
      <c r="AD60" s="4" t="s">
        <v>45</v>
      </c>
      <c r="AE60" s="28" t="s">
        <v>390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4" t="s">
        <v>40</v>
      </c>
      <c r="AL60" s="8">
        <f t="shared" si="16"/>
        <v>1960.9218505891636</v>
      </c>
      <c r="AM60" s="8">
        <f>IFERROR(C60*_xlfn.XLOOKUP(E60,Groups!A:A,Groups!K:K),0.106*C60^0.94)</f>
        <v>0.2994</v>
      </c>
      <c r="AN60" s="8">
        <f>AM60*10000/(_xlfn.XLOOKUP(E60,Groups!A:A,Groups!J:J)*AL60)</f>
        <v>1.4007641304014278</v>
      </c>
      <c r="AO60" s="8">
        <f t="shared" si="17"/>
        <v>113.92136645343858</v>
      </c>
      <c r="AP60" s="8">
        <f>IF(_xlfn.XLOOKUP(E60,Groups!A:A,Groups!M:M)=1,EXP(0.7444*LN('Base stats'!C60)+6.5696),EXP(0.7927*LN('Base stats'!C60)+4.28))</f>
        <v>144.6018448729055</v>
      </c>
      <c r="AQ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"No")))))))))))))))</f>
        <v>143.92321481621084</v>
      </c>
      <c r="AR60" s="8">
        <f>IF(_xlfn.XLOOKUP(E60,Groups!A:A,Groups!U:U)=3,AP60,IF(_xlfn.XLOOKUP(E60,Groups!A:A,Groups!U:U)=2,AO60,AQ60))</f>
        <v>143.92321481621084</v>
      </c>
      <c r="AS60" s="46">
        <f>IFERROR(AVERAGE(_xlfn.XLOOKUP(B60,Animals!B:B,Animals!M:M),_xlfn.XLOOKUP(B60,Animals!B:B,Animals!N:N)),0)</f>
        <v>0</v>
      </c>
      <c r="AT60" s="8">
        <f>MROUND(40*Animals!AN60*_xlfn.XLOOKUP(Animals!AZ60,Leathers!$A$2:$A$100,Leathers!$B$2:$B$100,0)+(140*_xlfn.XLOOKUP(B60,Animals!B:B,Animals!AN:AN)*2),5)</f>
        <v>95</v>
      </c>
      <c r="AU60" s="8">
        <f>IFERROR(ROUND(SQRT(V60-1)*IF(_xlfn.XLOOKUP(E60,Groups!A:A,Groups!BE:BE)=0,2,1)*IF(_xlfn.XLOOKUP('Base stats'!E60,Groups!A:A,Groups!O:O)=0,1,0.1),1),0)</f>
        <v>1.2</v>
      </c>
      <c r="AV60" s="8">
        <f t="shared" si="18"/>
        <v>0</v>
      </c>
      <c r="AW60" s="8">
        <f t="shared" si="19"/>
        <v>0</v>
      </c>
      <c r="AX60" s="8">
        <f t="shared" si="20"/>
        <v>0.8</v>
      </c>
      <c r="AY60" s="8">
        <f>IF(_xlfn.XLOOKUP(E60,Groups!A:A,Groups!N:N)="Insect",BA60*2.5,IFERROR(AVERAGE(BA60,AQ60/9.81/IF(OR(_xlfn.XLOOKUP(E60,Groups!A:A,Groups!N:N)="Pig",_xlfn.XLOOKUP(E60,Groups!A:A,Groups!N:N)="StrongBitingHerbivore"),20,25))*C60^-0.135,BA60))</f>
        <v>0.29676154060589027</v>
      </c>
      <c r="AZ60" s="8" t="str">
        <f>IF(W60="No","No",IF(_xlfn.XLOOKUP(E60,Groups!A:A,Groups!U:U)=1,'Base stats'!AY60,IF(OR(_xlfn.XLOOKUP(E60,Groups!A:A,Groups!BC:BC)=1,_xlfn.XLOOKUP(E60,Groups!A:A,Groups!U:U)=2),BA60,IF(_xlfn.XLOOKUP(B60,Animals!B:B,Animals!AN:AN)&gt;4,AVERAGE(BA60,BC60),BC60))))</f>
        <v>No</v>
      </c>
      <c r="BA60" s="8">
        <f>(0.0392*C60^IF(OR(Y60="Herbivore",Y60="Dendrovore",Y60="OmnivoreRough"),0.889,0.966))*C60^-0.135</f>
        <v>8.1141234129247383E-2</v>
      </c>
      <c r="BB60" s="8">
        <f>IF(_xlfn.XLOOKUP(E60,Groups!A:A,Groups!BD:BD)=1,(0.048*C60^1.01)+(0.071*C60^1.03),0.071*C60^1.03)/IF(_xlfn.XLOOKUP(E60,Groups!A:A,Groups!M:M)=1,0.85,IF(OR(_xlfn.XLOOKUP(B60,Animals!B:B,Animals!AN:AN)&gt;4,_xlfn.XLOOKUP(E60,Groups!A:A,Groups!BB:BB)=1),1.7,1))*C60^-0.25</f>
        <v>0.14054749750490667</v>
      </c>
      <c r="BC60" s="8">
        <f>(0.048*C60^1.01)/IF(_xlfn.XLOOKUP(E60,Groups!A:A,Groups!M:M)=1,0.25,0.8)*C60^-0.25</f>
        <v>0.11671100104776476</v>
      </c>
      <c r="BD60" s="8">
        <f>EXP(1.076*LN(AO60)-4.5397)*IF(_xlfn.XLOOKUP(E60,Groups!A:A,Groups!BB:BB)=1,1.25,IF(_xlfn.XLOOKUP(E60,Groups!A:A,Groups!BC:BC)=1,3.5,2.5))</f>
        <v>4.357932797631479</v>
      </c>
      <c r="BE60" s="8">
        <f>EXP(1.076*LN(AP60)-4.5397)*IF(_xlfn.XLOOKUP(E60,Groups!A:A,Groups!M:M)=1,0.8,IF(_xlfn.XLOOKUP(E60,Groups!A:A,Groups!BB:BB)=1,1.3,3))</f>
        <v>6.7592987261888648</v>
      </c>
      <c r="BF60" s="8" t="str">
        <f>IF(W60="No","No",IF(_xlfn.XLOOKUP(E60,Groups!A:A,Groups!U:U)=1,'Base stats'!BG60,IF(OR(_xlfn.XLOOKUP(E60,Groups!A:A,Groups!BC:BC)=1,_xlfn.XLOOKUP(E60,Groups!A:A,Groups!U:U)=2),BD60,BE60))*1.2)</f>
        <v>No</v>
      </c>
      <c r="BG60" s="8">
        <f>IFERROR(EXP(1.076*LN(AQ60)-4.5397)*IF(_xlfn.XLOOKUP(E60,Groups!A:A,Groups!N:N)="Insect",1,IF(OR(_xlfn.XLOOKUP(E60,Groups!A:A,Groups!N:N)="Pig",_xlfn.XLOOKUP(E60,Groups!A:A,Groups!N:N)="StrongBitingHerbivore"),3.5,3.75)),"No")</f>
        <v>8.4064649046685958</v>
      </c>
      <c r="BH60" s="8">
        <f t="shared" si="5"/>
        <v>10</v>
      </c>
      <c r="BI60" s="8">
        <f t="shared" si="6"/>
        <v>9</v>
      </c>
      <c r="BJ60" s="8" t="str">
        <f>IF(W60="No","No",ROUNDDOWN(SQRT((2*BF60)/AZ60),0))</f>
        <v>No</v>
      </c>
      <c r="BK60" s="8">
        <f>IF(V60="No","No",ROUNDDOWN(SQRT((2*BG60)/AY60),0))</f>
        <v>7</v>
      </c>
      <c r="BL60" s="8">
        <f t="shared" si="7"/>
        <v>10</v>
      </c>
      <c r="BM60" s="8" t="str" cm="1">
        <f t="array" ref="BM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stats'!E60,Groups!A:A,Groups!P:P=0)),"No",IF(U60="No",AVERAGE(EXP(-0.57+0.99*LN(C60)),EXP(0.32+0.67*LN(C60)))/IF(_xlfn.XLOOKUP(E60,Groups!A:A,Groups!AD:AD)=1,10,2),(0.7354*C60^0.4078)*2/IF(_xlfn.XLOOKUP(E60,Groups!A:A,Groups!BJ:BJ)=1,1000,100)))</f>
        <v>No</v>
      </c>
      <c r="BN60" s="8" t="str">
        <f>IF(W60="No","No",IF(_xlfn.XLOOKUP(E60,Groups!A:A,Groups!BC:BC)=1,(AL60*5%),EXP(0.7354*LN(C60)^0.4078)*2/IF(_xlfn.XLOOKUP(E60,Groups!A:A,Groups!BK:BK)=1,1000,100)))</f>
        <v>No</v>
      </c>
      <c r="BO60" s="8">
        <f>IF(BG60="No","No",IF(_xlfn.XLOOKUP(E60,Groups!A:A,Groups!BE:BE)=1,(0.0315*C60+2.1825)*2,(0.7354*C60^0.4078)*2)/IF(_xlfn.XLOOKUP(E60,Groups!A:A,Groups!BL:BL)=1,1000,100))</f>
        <v>2.1018599044415626E-2</v>
      </c>
      <c r="BP60" s="8">
        <f>BD60/(AL60*5%)</f>
        <v>4.444779679845097E-2</v>
      </c>
      <c r="BQ60" s="8" t="str">
        <f t="shared" si="8"/>
        <v>No</v>
      </c>
      <c r="BR60" s="8" t="str">
        <f>IF(W60="No","No",BF60/BN60)</f>
        <v>No</v>
      </c>
      <c r="BS60" s="8">
        <f t="shared" si="9"/>
        <v>399.95362616244807</v>
      </c>
      <c r="BT60" s="4">
        <v>0</v>
      </c>
      <c r="BU60" s="4">
        <v>1</v>
      </c>
    </row>
    <row r="61" spans="1:73" x14ac:dyDescent="0.25">
      <c r="A61" s="26" t="s">
        <v>128</v>
      </c>
      <c r="B61" s="6" t="s">
        <v>129</v>
      </c>
      <c r="C61" s="7">
        <v>10</v>
      </c>
      <c r="D61" s="7" t="s">
        <v>538</v>
      </c>
      <c r="E61" s="7" t="str">
        <f>Groups!A46</f>
        <v>Rodentlike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538</v>
      </c>
      <c r="L61" s="7">
        <f>MIN(20*C61^0.183,19.9*C61^0.142)</f>
        <v>27.596440994550576</v>
      </c>
      <c r="M61" s="7" t="s">
        <v>638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_xlfn.XLOOKUP(B61,[1]TeethAdjusters!$A:$A,[1]BiteAdjusters!$C:$C)</f>
        <v>0.89112849882177569</v>
      </c>
      <c r="T61" s="7">
        <f>_xlfn.XLOOKUP(B61,[1]TeethAdjusters!$A:$A,[1]TeethAdjusters!$B:$B)</f>
        <v>1</v>
      </c>
      <c r="U61" s="7" t="s">
        <v>45</v>
      </c>
      <c r="V61" s="7">
        <v>5</v>
      </c>
      <c r="W61" s="7" t="s">
        <v>45</v>
      </c>
      <c r="X61" s="7" t="s">
        <v>945</v>
      </c>
      <c r="Y61" s="4" t="s">
        <v>53</v>
      </c>
      <c r="Z61" s="4">
        <v>0</v>
      </c>
      <c r="AA61" s="4">
        <v>0.1</v>
      </c>
      <c r="AB61" s="4">
        <v>0.3</v>
      </c>
      <c r="AC61" s="4" t="s">
        <v>45</v>
      </c>
      <c r="AD61" s="4" t="s">
        <v>409</v>
      </c>
      <c r="AE61" s="28" t="s">
        <v>394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4" t="s">
        <v>40</v>
      </c>
      <c r="AL61" s="8">
        <f t="shared" si="16"/>
        <v>4958.187872875691</v>
      </c>
      <c r="AM61" s="8">
        <f>IFERROR(C61*_xlfn.XLOOKUP(E61,Groups!A:A,Groups!K:K),0.106*C61^0.94)</f>
        <v>0.92322140535344532</v>
      </c>
      <c r="AN61" s="8">
        <f>AM61*10000/(_xlfn.XLOOKUP(E61,Groups!A:A,Groups!J:J)*AL61)</f>
        <v>1.7082695063588127</v>
      </c>
      <c r="AO61" s="8">
        <f t="shared" si="17"/>
        <v>380.31263115847975</v>
      </c>
      <c r="AP61" s="8">
        <f>IF(_xlfn.XLOOKUP(E61,Groups!A:A,Groups!M:M)=1,EXP(0.7444*LN('Base stats'!C61)+6.5696),EXP(0.7927*LN('Base stats'!C61)+4.28))</f>
        <v>448.20880356342906</v>
      </c>
      <c r="AQ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"No")))))))))))))))</f>
        <v>239.97565280605716</v>
      </c>
      <c r="AR61" s="8">
        <f>IF(_xlfn.XLOOKUP(E61,Groups!A:A,Groups!U:U)=3,AP61,IF(_xlfn.XLOOKUP(E61,Groups!A:A,Groups!U:U)=2,AO61,AQ61))</f>
        <v>239.97565280605716</v>
      </c>
      <c r="AS61" s="46">
        <f>IFERROR(AVERAGE(_xlfn.XLOOKUP(B61,Animals!B:B,Animals!M:M),_xlfn.XLOOKUP(B61,Animals!B:B,Animals!N:N)),0)</f>
        <v>0</v>
      </c>
      <c r="AT61" s="8">
        <f>MROUND(40*Animals!AN61*_xlfn.XLOOKUP(Animals!AZ61,Leathers!$A$2:$A$100,Leathers!$B$2:$B$100,0)+(140*_xlfn.XLOOKUP(B61,Animals!B:B,Animals!AN:AN)*2),5)</f>
        <v>140</v>
      </c>
      <c r="AU61" s="8">
        <f>IFERROR(ROUND(SQRT(V61-1)*IF(_xlfn.XLOOKUP(E61,Groups!A:A,Groups!BE:BE)=0,2,1)*IF(_xlfn.XLOOKUP('Base stats'!E61,Groups!A:A,Groups!O:O)=0,1,0.1),1),0)</f>
        <v>4</v>
      </c>
      <c r="AV61" s="8">
        <f t="shared" si="18"/>
        <v>0</v>
      </c>
      <c r="AW61" s="8">
        <f t="shared" si="19"/>
        <v>0</v>
      </c>
      <c r="AX61" s="8">
        <f t="shared" si="20"/>
        <v>1.6</v>
      </c>
      <c r="AY61" s="8">
        <f>IF(_xlfn.XLOOKUP(E61,Groups!A:A,Groups!N:N)="Insect",BA61*2.5,IFERROR(AVERAGE(BA61,AQ61/9.81/IF(OR(_xlfn.XLOOKUP(E61,Groups!A:A,Groups!N:N)="Pig",_xlfn.XLOOKUP(E61,Groups!A:A,Groups!N:N)="StrongBitingHerbivore"),20,25))*C61^-0.135,BA61))</f>
        <v>0.45586429833209985</v>
      </c>
      <c r="AZ61" s="8" t="str">
        <f>IF(W61="No","No",IF(_xlfn.XLOOKUP(E61,Groups!A:A,Groups!U:U)=1,'Base stats'!AY61,IF(OR(_xlfn.XLOOKUP(E61,Groups!A:A,Groups!BC:BC)=1,_xlfn.XLOOKUP(E61,Groups!A:A,Groups!U:U)=2),BA61,IF(_xlfn.XLOOKUP(B61,Animals!B:B,Animals!AN:AN)&gt;4,AVERAGE(BA61,BC61),BC61))))</f>
        <v>No</v>
      </c>
      <c r="BA61" s="8">
        <f>(0.0392*C61^IF(OR(Y61="Herbivore",Y61="Dendrovore",Y61="OmnivoreRough"),0.889,0.966))*C61^-0.135</f>
        <v>0.26563547098338458</v>
      </c>
      <c r="BB61" s="8">
        <f>IF(_xlfn.XLOOKUP(E61,Groups!A:A,Groups!BD:BD)=1,(0.048*C61^1.01)+(0.071*C61^1.03),0.071*C61^1.03)/IF(_xlfn.XLOOKUP(E61,Groups!A:A,Groups!M:M)=1,0.85,IF(OR(_xlfn.XLOOKUP(B61,Animals!B:B,Animals!AN:AN)&gt;4,_xlfn.XLOOKUP(E61,Groups!A:A,Groups!BB:BB)=1),1.7,1))*C61^-0.25</f>
        <v>0.42781730611279417</v>
      </c>
      <c r="BC61" s="8">
        <f>(0.048*C61^1.01)/IF(_xlfn.XLOOKUP(E61,Groups!A:A,Groups!M:M)=1,0.25,0.8)*C61^-0.25</f>
        <v>0.34526396240229418</v>
      </c>
      <c r="BD61" s="8">
        <f>EXP(1.076*LN(AO61)-4.5397)*IF(_xlfn.XLOOKUP(E61,Groups!A:A,Groups!BB:BB)=1,1.25,IF(_xlfn.XLOOKUP(E61,Groups!A:A,Groups!BC:BC)=1,3.5,2.5))</f>
        <v>15.944275717953127</v>
      </c>
      <c r="BE61" s="8">
        <f>EXP(1.076*LN(AP61)-4.5397)*IF(_xlfn.XLOOKUP(E61,Groups!A:A,Groups!M:M)=1,0.8,IF(_xlfn.XLOOKUP(E61,Groups!A:A,Groups!BB:BB)=1,1.3,3))</f>
        <v>22.832185638487289</v>
      </c>
      <c r="BF61" s="8" t="str">
        <f>IF(W61="No","No",IF(_xlfn.XLOOKUP(E61,Groups!A:A,Groups!U:U)=1,'Base stats'!BG61,IF(OR(_xlfn.XLOOKUP(E61,Groups!A:A,Groups!BC:BC)=1,_xlfn.XLOOKUP(E61,Groups!A:A,Groups!U:U)=2),BD61,BE61))*1.2)</f>
        <v>No</v>
      </c>
      <c r="BG61" s="8">
        <f>IFERROR(EXP(1.076*LN(AQ61)-4.5397)*IF(_xlfn.XLOOKUP(E61,Groups!A:A,Groups!N:N)="Insect",1,IF(OR(_xlfn.XLOOKUP(E61,Groups!A:A,Groups!N:N)="Pig",_xlfn.XLOOKUP(E61,Groups!A:A,Groups!N:N)="StrongBitingHerbivore"),3.5,3.75)),"No")</f>
        <v>14.572178948590638</v>
      </c>
      <c r="BH61" s="8">
        <f t="shared" si="5"/>
        <v>10</v>
      </c>
      <c r="BI61" s="8">
        <f t="shared" si="6"/>
        <v>10</v>
      </c>
      <c r="BJ61" s="8" t="str">
        <f>IF(W61="No","No",ROUNDDOWN(SQRT((2*BF61)/AZ61),0))</f>
        <v>No</v>
      </c>
      <c r="BK61" s="8">
        <f>IF(V61="No","No",ROUNDDOWN(SQRT((2*BG61)/AY61),0))</f>
        <v>7</v>
      </c>
      <c r="BL61" s="8">
        <f t="shared" si="7"/>
        <v>11</v>
      </c>
      <c r="BM61" s="8" t="str" cm="1">
        <f t="array" ref="BM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stats'!E61,Groups!A:A,Groups!P:P=0)),"No",IF(U61="No",AVERAGE(EXP(-0.57+0.99*LN(C61)),EXP(0.32+0.67*LN(C61)))/IF(_xlfn.XLOOKUP(E61,Groups!A:A,Groups!AD:AD)=1,10,2),(0.7354*C61^0.4078)*2/IF(_xlfn.XLOOKUP(E61,Groups!A:A,Groups!BJ:BJ)=1,1000,100)))</f>
        <v>No</v>
      </c>
      <c r="BN61" s="8" t="str">
        <f>IF(W61="No","No",IF(_xlfn.XLOOKUP(E61,Groups!A:A,Groups!BC:BC)=1,(AL61*5%),EXP(0.7354*LN(C61)^0.4078)*2/IF(_xlfn.XLOOKUP(E61,Groups!A:A,Groups!BK:BK)=1,1000,100)))</f>
        <v>No</v>
      </c>
      <c r="BO61" s="8">
        <f>IF(BG61="No","No",IF(_xlfn.XLOOKUP(E61,Groups!A:A,Groups!BE:BE)=1,(0.0315*C61+2.1825)*2,(0.7354*C61^0.4078)*2)/IF(_xlfn.XLOOKUP(E61,Groups!A:A,Groups!BL:BL)=1,1000,100))</f>
        <v>3.7614355184740135E-2</v>
      </c>
      <c r="BP61" s="8">
        <f>BD61/(AL61*5%)</f>
        <v>6.4314931691790186E-2</v>
      </c>
      <c r="BQ61" s="8" t="str">
        <f t="shared" si="8"/>
        <v>No</v>
      </c>
      <c r="BR61" s="8" t="str">
        <f>IF(W61="No","No",BF61/BN61)</f>
        <v>No</v>
      </c>
      <c r="BS61" s="8">
        <f t="shared" si="9"/>
        <v>387.41004270897253</v>
      </c>
      <c r="BT61" s="4">
        <v>0</v>
      </c>
      <c r="BU61" s="4">
        <v>1</v>
      </c>
    </row>
    <row r="62" spans="1:73" x14ac:dyDescent="0.25">
      <c r="A62" s="26" t="s">
        <v>196</v>
      </c>
      <c r="B62" s="6" t="s">
        <v>197</v>
      </c>
      <c r="C62" s="7">
        <v>117.5</v>
      </c>
      <c r="D62" s="7" t="s">
        <v>561</v>
      </c>
      <c r="E62" s="7" t="str">
        <f>Groups!A59</f>
        <v>Ursid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561</v>
      </c>
      <c r="L62" s="7">
        <v>40</v>
      </c>
      <c r="M62" s="7" t="s">
        <v>638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_xlfn.XLOOKUP(B62,[1]TeethAdjusters!$A:$A,[1]BiteAdjusters!$C:$C)</f>
        <v>1.5795312099353875</v>
      </c>
      <c r="T62" s="7">
        <f>_xlfn.XLOOKUP(B62,[1]TeethAdjusters!$A:$A,[1]TeethAdjusters!$B:$B)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945</v>
      </c>
      <c r="Y62" s="4" t="s">
        <v>42</v>
      </c>
      <c r="Z62" s="4">
        <v>0</v>
      </c>
      <c r="AA62" s="4">
        <v>-7.4999999999999997E-2</v>
      </c>
      <c r="AB62" s="4">
        <v>-0.2</v>
      </c>
      <c r="AC62" s="4" t="s">
        <v>45</v>
      </c>
      <c r="AD62" s="4" t="s">
        <v>45</v>
      </c>
      <c r="AE62" s="28" t="s">
        <v>383</v>
      </c>
      <c r="AF62" s="4">
        <v>0</v>
      </c>
      <c r="AG62" s="4">
        <v>0</v>
      </c>
      <c r="AH62" s="4">
        <v>0</v>
      </c>
      <c r="AI62" s="4">
        <v>0</v>
      </c>
      <c r="AJ62" s="4">
        <v>1</v>
      </c>
      <c r="AK62" s="44" t="s">
        <v>40</v>
      </c>
      <c r="AL62" s="8">
        <f t="shared" si="16"/>
        <v>24595.043334132937</v>
      </c>
      <c r="AM62" s="8">
        <f>IFERROR(C62*_xlfn.XLOOKUP(E62,Groups!A:A,Groups!K:K),0.106*C62^0.94)</f>
        <v>14.658125</v>
      </c>
      <c r="AN62" s="8">
        <f>AM62*10000/(_xlfn.XLOOKUP(E62,Groups!A:A,Groups!J:J)*AL62)</f>
        <v>5.4676956320929024</v>
      </c>
      <c r="AO62" s="8">
        <f t="shared" si="17"/>
        <v>3047.90717022124</v>
      </c>
      <c r="AP62" s="8">
        <f>IF(_xlfn.XLOOKUP(E62,Groups!A:A,Groups!M:M)=1,EXP(0.7444*LN('Base stats'!C62)+6.5696),EXP(0.7927*LN('Base stats'!C62)+4.28))</f>
        <v>3160.0896202967747</v>
      </c>
      <c r="AQ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"No")))))))))))))))</f>
        <v>3812.2842797819953</v>
      </c>
      <c r="AR62" s="8">
        <f>IF(_xlfn.XLOOKUP(E62,Groups!A:A,Groups!U:U)=3,AP62,IF(_xlfn.XLOOKUP(E62,Groups!A:A,Groups!U:U)=2,AO62,AQ62))</f>
        <v>3812.2842797819953</v>
      </c>
      <c r="AS62" s="46">
        <f>IFERROR(AVERAGE(_xlfn.XLOOKUP(B62,Animals!B:B,Animals!M:M),_xlfn.XLOOKUP(B62,Animals!B:B,Animals!N:N)),0)</f>
        <v>0</v>
      </c>
      <c r="AT62" s="8">
        <f>MROUND(40*Animals!AN62*_xlfn.XLOOKUP(Animals!AZ62,Leathers!$A$2:$A$100,Leathers!$B$2:$B$100,0)+(140*_xlfn.XLOOKUP(B62,Animals!B:B,Animals!AN:AN)*2),5)</f>
        <v>570</v>
      </c>
      <c r="AU62" s="8">
        <f>IFERROR(ROUND(SQRT(V62-1)*IF(_xlfn.XLOOKUP(E62,Groups!A:A,Groups!BE:BE)=0,2,1)*IF(_xlfn.XLOOKUP('Base stats'!E62,Groups!A:A,Groups!O:O)=0,1,0.1),1),0)</f>
        <v>3.7</v>
      </c>
      <c r="AV62" s="8">
        <f t="shared" si="18"/>
        <v>2</v>
      </c>
      <c r="AW62" s="8">
        <f t="shared" si="19"/>
        <v>0</v>
      </c>
      <c r="AX62" s="8">
        <f t="shared" si="20"/>
        <v>4.4000000000000004</v>
      </c>
      <c r="AY62" s="8">
        <f>IF(_xlfn.XLOOKUP(E62,Groups!A:A,Groups!N:N)="Insect",BA62*2.5,IFERROR(AVERAGE(BA62,AQ62/9.81/IF(OR(_xlfn.XLOOKUP(E62,Groups!A:A,Groups!N:N)="Pig",_xlfn.XLOOKUP(E62,Groups!A:A,Groups!N:N)="StrongBitingHerbivore"),20,25))*C62^-0.135,BA62))</f>
        <v>4.4586869818980146</v>
      </c>
      <c r="AZ62" s="8" t="str">
        <f>IF(W62="No","No",IF(_xlfn.XLOOKUP(E62,Groups!A:A,Groups!U:U)=1,'Base stats'!AY62,IF(OR(_xlfn.XLOOKUP(E62,Groups!A:A,Groups!BC:BC)=1,_xlfn.XLOOKUP(E62,Groups!A:A,Groups!U:U)=2),BA62,IF(_xlfn.XLOOKUP(B62,Animals!B:B,Animals!AN:AN)&gt;4,AVERAGE(BA62,BC62),BC62))))</f>
        <v>No</v>
      </c>
      <c r="BA62" s="8">
        <f>(0.0392*C62^IF(OR(Y62="Herbivore",Y62="Dendrovore",Y62="OmnivoreRough"),0.889,0.966))*C62^-0.135</f>
        <v>1.4259182203105851</v>
      </c>
      <c r="BB62" s="8">
        <f>IF(_xlfn.XLOOKUP(E62,Groups!A:A,Groups!BD:BD)=1,(0.048*C62^1.01)+(0.071*C62^1.03),0.071*C62^1.03)/IF(_xlfn.XLOOKUP(E62,Groups!A:A,Groups!M:M)=1,0.85,IF(OR(_xlfn.XLOOKUP(B62,Animals!B:B,Animals!AN:AN)&gt;4,_xlfn.XLOOKUP(E62,Groups!A:A,Groups!BB:BB)=1),1.7,1))*C62^-0.25</f>
        <v>2.9233975904815339</v>
      </c>
      <c r="BC62" s="8">
        <f>(0.048*C62^1.01)/IF(_xlfn.XLOOKUP(E62,Groups!A:A,Groups!M:M)=1,0.25,0.8)*C62^-0.25</f>
        <v>2.2458462900255478</v>
      </c>
      <c r="BD62" s="8">
        <f>EXP(1.076*LN(AO62)-4.5397)*IF(_xlfn.XLOOKUP(E62,Groups!A:A,Groups!BB:BB)=1,1.25,IF(_xlfn.XLOOKUP(E62,Groups!A:A,Groups!BC:BC)=1,3.5,2.5))</f>
        <v>149.67842915790638</v>
      </c>
      <c r="BE62" s="8">
        <f>EXP(1.076*LN(AP62)-4.5397)*IF(_xlfn.XLOOKUP(E62,Groups!A:A,Groups!M:M)=1,0.8,IF(_xlfn.XLOOKUP(E62,Groups!A:A,Groups!BB:BB)=1,1.3,3))</f>
        <v>186.73733175450468</v>
      </c>
      <c r="BF62" s="8" t="str">
        <f>IF(W62="No","No",IF(_xlfn.XLOOKUP(E62,Groups!A:A,Groups!U:U)=1,'Base stats'!BG62,IF(OR(_xlfn.XLOOKUP(E62,Groups!A:A,Groups!BC:BC)=1,_xlfn.XLOOKUP(E62,Groups!A:A,Groups!U:U)=2),BD62,BE62))*1.2)</f>
        <v>No</v>
      </c>
      <c r="BG62" s="8">
        <f>IFERROR(EXP(1.076*LN(AQ62)-4.5397)*IF(_xlfn.XLOOKUP(E62,Groups!A:A,Groups!N:N)="Insect",1,IF(OR(_xlfn.XLOOKUP(E62,Groups!A:A,Groups!N:N)="Pig",_xlfn.XLOOKUP(E62,Groups!A:A,Groups!N:N)="StrongBitingHerbivore"),3.5,3.75)),"No")</f>
        <v>285.64062037451401</v>
      </c>
      <c r="BH62" s="8">
        <f t="shared" si="5"/>
        <v>14</v>
      </c>
      <c r="BI62" s="8">
        <f t="shared" si="6"/>
        <v>11</v>
      </c>
      <c r="BJ62" s="8" t="str">
        <f>IF(W62="No","No",ROUNDDOWN(SQRT((2*BF62)/AZ62),0))</f>
        <v>No</v>
      </c>
      <c r="BK62" s="8">
        <f>IF(V62="No","No",ROUNDDOWN(SQRT((2*BG62)/AY62),0))</f>
        <v>11</v>
      </c>
      <c r="BL62" s="8">
        <f t="shared" si="7"/>
        <v>12</v>
      </c>
      <c r="BM62" s="8" cm="1">
        <f t="array" ref="BM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stats'!E62,Groups!A:A,Groups!P:P=0)),"No",IF(U62="No",AVERAGE(EXP(-0.57+0.99*LN(C62)),EXP(0.32+0.67*LN(C62)))/IF(_xlfn.XLOOKUP(E62,Groups!A:A,Groups!AD:AD)=1,10,2),(0.7354*C62^0.4078)*2/IF(_xlfn.XLOOKUP(E62,Groups!A:A,Groups!BJ:BJ)=1,1000,100)))</f>
        <v>0.10273420468589994</v>
      </c>
      <c r="BN62" s="8" t="str">
        <f>IF(W62="No","No",IF(_xlfn.XLOOKUP(E62,Groups!A:A,Groups!BC:BC)=1,(AL62*5%),EXP(0.7354*LN(C62)^0.4078)*2/IF(_xlfn.XLOOKUP(E62,Groups!A:A,Groups!BK:BK)=1,1000,100)))</f>
        <v>No</v>
      </c>
      <c r="BO62" s="8">
        <f>IF(BG62="No","No",IF(_xlfn.XLOOKUP(E62,Groups!A:A,Groups!BE:BE)=1,(0.0315*C62+2.1825)*2,(0.7354*C62^0.4078)*2)/IF(_xlfn.XLOOKUP(E62,Groups!A:A,Groups!BL:BL)=1,1000,100))</f>
        <v>0.10273420468589994</v>
      </c>
      <c r="BP62" s="8">
        <f>BD62/(AL62*5%)</f>
        <v>0.12171430407701948</v>
      </c>
      <c r="BQ62" s="8">
        <f t="shared" si="8"/>
        <v>1817.6743794867182</v>
      </c>
      <c r="BR62" s="8" t="str">
        <f>IF(W62="No","No",BF62/BN62)</f>
        <v>No</v>
      </c>
      <c r="BS62" s="8">
        <f t="shared" si="9"/>
        <v>2780.3847924635525</v>
      </c>
      <c r="BT62" s="4">
        <v>0</v>
      </c>
      <c r="BU62" s="4">
        <v>1</v>
      </c>
    </row>
    <row r="63" spans="1:73" x14ac:dyDescent="0.25">
      <c r="A63" s="26" t="s">
        <v>202</v>
      </c>
      <c r="B63" s="6" t="s">
        <v>223</v>
      </c>
      <c r="C63" s="7">
        <f>27.3/1000</f>
        <v>2.7300000000000001E-2</v>
      </c>
      <c r="D63" s="7" t="s">
        <v>1205</v>
      </c>
      <c r="E63" s="7" t="str">
        <f>Groups!A5</f>
        <v>Bird (strong beak)</v>
      </c>
      <c r="F63" s="7" t="str">
        <f t="shared" ref="F63:F72" si="2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22">"Lay eggs"</f>
        <v>Lay eggs</v>
      </c>
      <c r="K63" s="7" t="s">
        <v>572</v>
      </c>
      <c r="L63" s="7">
        <f>10*1.60934</f>
        <v>16.093399999999999</v>
      </c>
      <c r="M63" s="7" t="s">
        <v>640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_xlfn.XLOOKUP(B63,[1]TeethAdjusters!$A:$A,[1]BiteAdjusters!$C:$C)</f>
        <v>1</v>
      </c>
      <c r="T63" s="7">
        <f>_xlfn.XLOOKUP(B63,[1]TeethAdjusters!$A:$A,[1]TeethAdjusters!$B:$B)</f>
        <v>1</v>
      </c>
      <c r="U63" s="7">
        <v>0.1</v>
      </c>
      <c r="V63" s="7">
        <v>0.1</v>
      </c>
      <c r="W63" s="7" t="s">
        <v>45</v>
      </c>
      <c r="X63" s="7" t="s">
        <v>945</v>
      </c>
      <c r="Y63" s="4" t="s">
        <v>42</v>
      </c>
      <c r="Z63" s="4">
        <v>0</v>
      </c>
      <c r="AA63" s="4">
        <v>0</v>
      </c>
      <c r="AB63" s="4">
        <v>0</v>
      </c>
      <c r="AC63" s="4" t="s">
        <v>45</v>
      </c>
      <c r="AD63" s="4" t="s">
        <v>408</v>
      </c>
      <c r="AE63" s="28" t="s">
        <v>45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4" t="s">
        <v>40</v>
      </c>
      <c r="AL63" s="8">
        <f t="shared" si="16"/>
        <v>106.86332904673682</v>
      </c>
      <c r="AM63" s="8">
        <f>IFERROR(C63*_xlfn.XLOOKUP(E63,Groups!A:A,Groups!K:K),0.106*C63^0.94)</f>
        <v>3.5916892389496915E-3</v>
      </c>
      <c r="AN63" s="8">
        <f>AM63*10000/(_xlfn.XLOOKUP(E63,Groups!A:A,Groups!J:J)*AL63)</f>
        <v>0.30834971842534981</v>
      </c>
      <c r="AO63" s="8">
        <f t="shared" si="17"/>
        <v>2.5969724213149155</v>
      </c>
      <c r="AP63" s="8">
        <f>IF(_xlfn.XLOOKUP(E63,Groups!A:A,Groups!M:M)=1,EXP(0.7444*LN('Base stats'!C63)+6.5696),EXP(0.7927*LN('Base stats'!C63)+4.28))</f>
        <v>4.1603178565451566</v>
      </c>
      <c r="AQ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"No")))))))))))))))</f>
        <v>3.8681873149249473</v>
      </c>
      <c r="AR63" s="8">
        <f>IF(_xlfn.XLOOKUP(E63,Groups!A:A,Groups!U:U)=3,AP63,IF(_xlfn.XLOOKUP(E63,Groups!A:A,Groups!U:U)=2,AO63,AQ63))</f>
        <v>3.8681873149249473</v>
      </c>
      <c r="AS63" s="46">
        <f>IFERROR(AVERAGE(_xlfn.XLOOKUP(B63,Animals!B:B,Animals!M:M),_xlfn.XLOOKUP(B63,Animals!B:B,Animals!N:N)),0)</f>
        <v>0</v>
      </c>
      <c r="AT63" s="8">
        <f>MROUND(40*Animals!AN63*_xlfn.XLOOKUP(Animals!AZ63,Leathers!$A$2:$A$100,Leathers!$B$2:$B$100,0)+(140*_xlfn.XLOOKUP(B63,Animals!B:B,Animals!AN:AN)*2),5)</f>
        <v>15</v>
      </c>
      <c r="AU63" s="8">
        <f>IFERROR(ROUND(SQRT(V63-1)*IF(_xlfn.XLOOKUP(E63,Groups!A:A,Groups!BE:BE)=0,2,1)*IF(_xlfn.XLOOKUP('Base stats'!E63,Groups!A:A,Groups!O:O)=0,1,0.1),1),0)</f>
        <v>0</v>
      </c>
      <c r="AV63" s="8">
        <f t="shared" si="18"/>
        <v>0</v>
      </c>
      <c r="AW63" s="8">
        <f t="shared" si="19"/>
        <v>0</v>
      </c>
      <c r="AX63" s="8">
        <f t="shared" si="20"/>
        <v>0.2</v>
      </c>
      <c r="AY63" s="8">
        <f>IF(_xlfn.XLOOKUP(E63,Groups!A:A,Groups!N:N)="Insect",BA63*2.5,IFERROR(AVERAGE(BA63,AQ63/9.81/IF(OR(_xlfn.XLOOKUP(E63,Groups!A:A,Groups!N:N)="Pig",_xlfn.XLOOKUP(E63,Groups!A:A,Groups!N:N)="StrongBitingHerbivore"),20,25))*C63^-0.135,BA63))</f>
        <v>1.4932705414487229E-2</v>
      </c>
      <c r="AZ63" s="8" t="str">
        <f>IF(W63="No","No",IF(_xlfn.XLOOKUP(E63,Groups!A:A,Groups!U:U)=1,'Base stats'!AY63,IF(OR(_xlfn.XLOOKUP(E63,Groups!A:A,Groups!BC:BC)=1,_xlfn.XLOOKUP(E63,Groups!A:A,Groups!U:U)=2),BA63,IF(_xlfn.XLOOKUP(B63,Animals!B:B,Animals!AN:AN)&gt;4,AVERAGE(BA63,BC63),BC63))))</f>
        <v>No</v>
      </c>
      <c r="BA63" s="8">
        <f>(0.0392*C63^IF(OR(Y63="Herbivore",Y63="Dendrovore",Y63="OmnivoreRough"),0.889,0.966))*C63^-0.135</f>
        <v>2.5950916655253192E-3</v>
      </c>
      <c r="BB63" s="8">
        <f>IF(_xlfn.XLOOKUP(E63,Groups!A:A,Groups!BD:BD)=1,(0.048*C63^1.01)+(0.071*C63^1.03),0.071*C63^1.03)/IF(_xlfn.XLOOKUP(E63,Groups!A:A,Groups!M:M)=1,0.85,IF(OR(_xlfn.XLOOKUP(B63,Animals!B:B,Animals!AN:AN)&gt;4,_xlfn.XLOOKUP(E63,Groups!A:A,Groups!BB:BB)=1),1.7,1))*C63^-0.25</f>
        <v>7.3899568489121693E-3</v>
      </c>
      <c r="BC63" s="8">
        <f>(0.048*C63^1.01)/IF(_xlfn.XLOOKUP(E63,Groups!A:A,Groups!M:M)=1,0.25,0.8)*C63^-0.25</f>
        <v>3.8871818847231341E-3</v>
      </c>
      <c r="BD63" s="8">
        <f>EXP(1.076*LN(AO63)-4.5397)*IF(_xlfn.XLOOKUP(E63,Groups!A:A,Groups!BB:BB)=1,1.25,IF(_xlfn.XLOOKUP(E63,Groups!A:A,Groups!BC:BC)=1,3.5,2.5))</f>
        <v>7.4531558807462206E-2</v>
      </c>
      <c r="BE63" s="8">
        <f>EXP(1.076*LN(AP63)-4.5397)*IF(_xlfn.XLOOKUP(E63,Groups!A:A,Groups!M:M)=1,0.8,IF(_xlfn.XLOOKUP(E63,Groups!A:A,Groups!BB:BB)=1,1.3,3))</f>
        <v>0.14850282761580455</v>
      </c>
      <c r="BF63" s="8" t="str">
        <f>IF(W63="No","No",IF(_xlfn.XLOOKUP(E63,Groups!A:A,Groups!U:U)=1,'Base stats'!BG63,IF(OR(_xlfn.XLOOKUP(E63,Groups!A:A,Groups!BC:BC)=1,_xlfn.XLOOKUP(E63,Groups!A:A,Groups!U:U)=2),BD63,BE63))*1.2)</f>
        <v>No</v>
      </c>
      <c r="BG63" s="8">
        <f>IFERROR(EXP(1.076*LN(AQ63)-4.5397)*IF(_xlfn.XLOOKUP(E63,Groups!A:A,Groups!N:N)="Insect",1,IF(OR(_xlfn.XLOOKUP(E63,Groups!A:A,Groups!N:N)="Pig",_xlfn.XLOOKUP(E63,Groups!A:A,Groups!N:N)="StrongBitingHerbivore"),3.5,3.75)),"No")</f>
        <v>0.17164164746383376</v>
      </c>
      <c r="BH63" s="8">
        <f t="shared" si="5"/>
        <v>7</v>
      </c>
      <c r="BI63" s="8">
        <f t="shared" si="6"/>
        <v>6</v>
      </c>
      <c r="BJ63" s="8" t="str">
        <f>IF(W63="No","No",ROUNDDOWN(SQRT((2*BF63)/AZ63),0))</f>
        <v>No</v>
      </c>
      <c r="BK63" s="8">
        <f>IF(V63="No","No",ROUNDDOWN(SQRT((2*BG63)/AY63),0))</f>
        <v>4</v>
      </c>
      <c r="BL63" s="8">
        <f t="shared" si="7"/>
        <v>8</v>
      </c>
      <c r="BM63" s="8" cm="1">
        <f t="array" ref="BM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stats'!E63,Groups!A:A,Groups!P:P=0)),"No",IF(U63="No",AVERAGE(EXP(-0.57+0.99*LN(C63)),EXP(0.32+0.67*LN(C63)))/IF(_xlfn.XLOOKUP(E63,Groups!A:A,Groups!AD:AD)=1,10,2),(0.7354*C63^0.4078)*2/IF(_xlfn.XLOOKUP(E63,Groups!A:A,Groups!BJ:BJ)=1,1000,100)))</f>
        <v>3.3870432996438906E-3</v>
      </c>
      <c r="BN63" s="8" t="str">
        <f>IF(W63="No","No",IF(_xlfn.XLOOKUP(E63,Groups!A:A,Groups!BC:BC)=1,(AL63*5%),EXP(0.7354*LN(C63)^0.4078)*2/IF(_xlfn.XLOOKUP(E63,Groups!A:A,Groups!BK:BK)=1,1000,100)))</f>
        <v>No</v>
      </c>
      <c r="BO63" s="8">
        <f>IF(BG63="No","No",IF(_xlfn.XLOOKUP(E63,Groups!A:A,Groups!BE:BE)=1,(0.0315*C63+2.1825)*2,(0.7354*C63^0.4078)*2)/IF(_xlfn.XLOOKUP(E63,Groups!A:A,Groups!BL:BL)=1,1000,100))</f>
        <v>4.3667199000000004E-2</v>
      </c>
      <c r="BP63" s="8">
        <f>BD63/(AL63*5%)</f>
        <v>1.394894946139395E-2</v>
      </c>
      <c r="BQ63" s="8">
        <f t="shared" si="8"/>
        <v>43.8443841658056</v>
      </c>
      <c r="BR63" s="8" t="str">
        <f>IF(W63="No","No",BF63/BN63)</f>
        <v>No</v>
      </c>
      <c r="BS63" s="8">
        <f t="shared" si="9"/>
        <v>3.9306768328290014</v>
      </c>
      <c r="BT63" s="4">
        <v>0</v>
      </c>
      <c r="BU63" s="4">
        <v>1</v>
      </c>
    </row>
    <row r="64" spans="1:73" x14ac:dyDescent="0.25">
      <c r="A64" s="26" t="s">
        <v>204</v>
      </c>
      <c r="B64" s="6" t="s">
        <v>562</v>
      </c>
      <c r="C64" s="7">
        <v>3.5000000000000003E-2</v>
      </c>
      <c r="D64" s="7" t="s">
        <v>563</v>
      </c>
      <c r="E64" s="7" t="str">
        <f>Groups!A5</f>
        <v>Bird (strong beak)</v>
      </c>
      <c r="F64" s="7" t="str">
        <f t="shared" si="2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22"/>
        <v>Lay eggs</v>
      </c>
      <c r="K64" s="7" t="s">
        <v>563</v>
      </c>
      <c r="L64" s="7">
        <f>10*1.60934</f>
        <v>16.093399999999999</v>
      </c>
      <c r="M64" s="7" t="s">
        <v>640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_xlfn.XLOOKUP(B64,[1]TeethAdjusters!$A:$A,[1]BiteAdjusters!$C:$C)</f>
        <v>1</v>
      </c>
      <c r="T64" s="7">
        <f>_xlfn.XLOOKUP(B64,[1]TeethAdjusters!$A:$A,[1]TeethAdjusters!$B:$B)</f>
        <v>1</v>
      </c>
      <c r="U64" s="7">
        <v>0.1</v>
      </c>
      <c r="V64" s="7">
        <v>0.1</v>
      </c>
      <c r="W64" s="7" t="s">
        <v>45</v>
      </c>
      <c r="X64" s="7" t="s">
        <v>945</v>
      </c>
      <c r="Y64" s="4" t="s">
        <v>42</v>
      </c>
      <c r="Z64" s="4">
        <v>0</v>
      </c>
      <c r="AA64" s="4">
        <v>0</v>
      </c>
      <c r="AB64" s="4">
        <v>0</v>
      </c>
      <c r="AC64" s="4" t="s">
        <v>45</v>
      </c>
      <c r="AD64" s="4" t="s">
        <v>45</v>
      </c>
      <c r="AE64" s="28" t="s">
        <v>45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4" t="s">
        <v>40</v>
      </c>
      <c r="AL64" s="8">
        <f t="shared" si="16"/>
        <v>125.59351278962983</v>
      </c>
      <c r="AM64" s="8">
        <f>IFERROR(C64*_xlfn.XLOOKUP(E64,Groups!A:A,Groups!K:K),0.106*C64^0.94)</f>
        <v>4.5365930901227368E-3</v>
      </c>
      <c r="AN64" s="8">
        <f>AM64*10000/(_xlfn.XLOOKUP(E64,Groups!A:A,Groups!J:J)*AL64)</f>
        <v>0.3313874989911556</v>
      </c>
      <c r="AO64" s="8">
        <f t="shared" si="17"/>
        <v>3.2034284387320637</v>
      </c>
      <c r="AP64" s="8">
        <f>IF(_xlfn.XLOOKUP(E64,Groups!A:A,Groups!M:M)=1,EXP(0.7444*LN('Base stats'!C64)+6.5696),EXP(0.7927*LN('Base stats'!C64)+4.28))</f>
        <v>5.0659759219369223</v>
      </c>
      <c r="AQ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"No")))))))))))))))</f>
        <v>5.4434898529499449</v>
      </c>
      <c r="AR64" s="8">
        <f>IF(_xlfn.XLOOKUP(E64,Groups!A:A,Groups!U:U)=3,AP64,IF(_xlfn.XLOOKUP(E64,Groups!A:A,Groups!U:U)=2,AO64,AQ64))</f>
        <v>5.4434898529499449</v>
      </c>
      <c r="AS64" s="46">
        <f>IFERROR(AVERAGE(_xlfn.XLOOKUP(B64,Animals!B:B,Animals!M:M),_xlfn.XLOOKUP(B64,Animals!B:B,Animals!N:N)),0)</f>
        <v>0</v>
      </c>
      <c r="AT64" s="8">
        <f>MROUND(40*Animals!AN64*_xlfn.XLOOKUP(Animals!AZ64,Leathers!$A$2:$A$100,Leathers!$B$2:$B$100,0)+(140*_xlfn.XLOOKUP(B64,Animals!B:B,Animals!AN:AN)*2),5)</f>
        <v>15</v>
      </c>
      <c r="AU64" s="8">
        <f>IFERROR(ROUND(SQRT(V64-1)*IF(_xlfn.XLOOKUP(E64,Groups!A:A,Groups!BE:BE)=0,2,1)*IF(_xlfn.XLOOKUP('Base stats'!E64,Groups!A:A,Groups!O:O)=0,1,0.1),1),0)</f>
        <v>0</v>
      </c>
      <c r="AV64" s="8">
        <f t="shared" si="18"/>
        <v>0</v>
      </c>
      <c r="AW64" s="8">
        <f t="shared" si="19"/>
        <v>0</v>
      </c>
      <c r="AX64" s="8">
        <f t="shared" si="20"/>
        <v>0.2</v>
      </c>
      <c r="AY64" s="8">
        <f>IF(_xlfn.XLOOKUP(E64,Groups!A:A,Groups!N:N)="Insect",BA64*2.5,IFERROR(AVERAGE(BA64,AQ64/9.81/IF(OR(_xlfn.XLOOKUP(E64,Groups!A:A,Groups!N:N)="Pig",_xlfn.XLOOKUP(E64,Groups!A:A,Groups!N:N)="StrongBitingHerbivore"),20,25))*C64^-0.135,BA64))</f>
        <v>1.9910311740927729E-2</v>
      </c>
      <c r="AZ64" s="8" t="str">
        <f>IF(W64="No","No",IF(_xlfn.XLOOKUP(E64,Groups!A:A,Groups!U:U)=1,'Base stats'!AY64,IF(OR(_xlfn.XLOOKUP(E64,Groups!A:A,Groups!BC:BC)=1,_xlfn.XLOOKUP(E64,Groups!A:A,Groups!U:U)=2),BA64,IF(_xlfn.XLOOKUP(B64,Animals!B:B,Animals!AN:AN)&gt;4,AVERAGE(BA64,BC64),BC64))))</f>
        <v>No</v>
      </c>
      <c r="BA64" s="8">
        <f>(0.0392*C64^IF(OR(Y64="Herbivore",Y64="Dendrovore",Y64="OmnivoreRough"),0.889,0.966))*C64^-0.135</f>
        <v>3.1297768397533835E-3</v>
      </c>
      <c r="BB64" s="8">
        <f>IF(_xlfn.XLOOKUP(E64,Groups!A:A,Groups!BD:BD)=1,(0.048*C64^1.01)+(0.071*C64^1.03),0.071*C64^1.03)/IF(_xlfn.XLOOKUP(E64,Groups!A:A,Groups!M:M)=1,0.85,IF(OR(_xlfn.XLOOKUP(B64,Animals!B:B,Animals!AN:AN)&gt;4,_xlfn.XLOOKUP(E64,Groups!A:A,Groups!BB:BB)=1),1.7,1))*C64^-0.25</f>
        <v>8.9516124579919823E-3</v>
      </c>
      <c r="BC64" s="8">
        <f>(0.048*C64^1.01)/IF(_xlfn.XLOOKUP(E64,Groups!A:A,Groups!M:M)=1,0.25,0.8)*C64^-0.25</f>
        <v>4.6950796479110464E-3</v>
      </c>
      <c r="BD64" s="8">
        <f>EXP(1.076*LN(AO64)-4.5397)*IF(_xlfn.XLOOKUP(E64,Groups!A:A,Groups!BB:BB)=1,1.25,IF(_xlfn.XLOOKUP(E64,Groups!A:A,Groups!BC:BC)=1,3.5,2.5))</f>
        <v>9.3414677317642594E-2</v>
      </c>
      <c r="BE64" s="8">
        <f>EXP(1.076*LN(AP64)-4.5397)*IF(_xlfn.XLOOKUP(E64,Groups!A:A,Groups!M:M)=1,0.8,IF(_xlfn.XLOOKUP(E64,Groups!A:A,Groups!BB:BB)=1,1.3,3))</f>
        <v>0.18355749139767674</v>
      </c>
      <c r="BF64" s="8" t="str">
        <f>IF(W64="No","No",IF(_xlfn.XLOOKUP(E64,Groups!A:A,Groups!U:U)=1,'Base stats'!BG64,IF(OR(_xlfn.XLOOKUP(E64,Groups!A:A,Groups!BC:BC)=1,_xlfn.XLOOKUP(E64,Groups!A:A,Groups!U:U)=2),BD64,BE64))*1.2)</f>
        <v>No</v>
      </c>
      <c r="BG64" s="8">
        <f>IFERROR(EXP(1.076*LN(AQ64)-4.5397)*IF(_xlfn.XLOOKUP(E64,Groups!A:A,Groups!N:N)="Insect",1,IF(OR(_xlfn.XLOOKUP(E64,Groups!A:A,Groups!N:N)="Pig",_xlfn.XLOOKUP(E64,Groups!A:A,Groups!N:N)="StrongBitingHerbivore"),3.5,3.75)),"No")</f>
        <v>0.24789553796062558</v>
      </c>
      <c r="BH64" s="8">
        <f t="shared" si="5"/>
        <v>7</v>
      </c>
      <c r="BI64" s="8">
        <f t="shared" si="6"/>
        <v>6</v>
      </c>
      <c r="BJ64" s="8" t="str">
        <f>IF(W64="No","No",ROUNDDOWN(SQRT((2*BF64)/AZ64),0))</f>
        <v>No</v>
      </c>
      <c r="BK64" s="8">
        <f>IF(V64="No","No",ROUNDDOWN(SQRT((2*BG64)/AY64),0))</f>
        <v>4</v>
      </c>
      <c r="BL64" s="8">
        <f t="shared" si="7"/>
        <v>8</v>
      </c>
      <c r="BM64" s="8" cm="1">
        <f t="array" ref="BM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stats'!E64,Groups!A:A,Groups!P:P=0)),"No",IF(U64="No",AVERAGE(EXP(-0.57+0.99*LN(C64)),EXP(0.32+0.67*LN(C64)))/IF(_xlfn.XLOOKUP(E64,Groups!A:A,Groups!AD:AD)=1,10,2),(0.7354*C64^0.4078)*2/IF(_xlfn.XLOOKUP(E64,Groups!A:A,Groups!BJ:BJ)=1,1000,100)))</f>
        <v>3.7482156502671444E-3</v>
      </c>
      <c r="BN64" s="8" t="str">
        <f>IF(W64="No","No",IF(_xlfn.XLOOKUP(E64,Groups!A:A,Groups!BC:BC)=1,(AL64*5%),EXP(0.7354*LN(C64)^0.4078)*2/IF(_xlfn.XLOOKUP(E64,Groups!A:A,Groups!BK:BK)=1,1000,100)))</f>
        <v>No</v>
      </c>
      <c r="BO64" s="8">
        <f>IF(BG64="No","No",IF(_xlfn.XLOOKUP(E64,Groups!A:A,Groups!BE:BE)=1,(0.0315*C64+2.1825)*2,(0.7354*C64^0.4078)*2)/IF(_xlfn.XLOOKUP(E64,Groups!A:A,Groups!BL:BL)=1,1000,100))</f>
        <v>4.3672050000000004E-2</v>
      </c>
      <c r="BP64" s="8">
        <f>BD64/(AL64*5%)</f>
        <v>1.487571694472993E-2</v>
      </c>
      <c r="BQ64" s="8">
        <f t="shared" si="8"/>
        <v>48.971966536822436</v>
      </c>
      <c r="BR64" s="8" t="str">
        <f>IF(W64="No","No",BF64/BN64)</f>
        <v>No</v>
      </c>
      <c r="BS64" s="8">
        <f t="shared" si="9"/>
        <v>5.6762972647408478</v>
      </c>
      <c r="BT64" s="4">
        <v>0</v>
      </c>
      <c r="BU64" s="4">
        <v>1</v>
      </c>
    </row>
    <row r="65" spans="1:73" x14ac:dyDescent="0.25">
      <c r="A65" s="26" t="s">
        <v>203</v>
      </c>
      <c r="B65" s="6" t="s">
        <v>299</v>
      </c>
      <c r="C65" s="7">
        <v>0.47270000000000001</v>
      </c>
      <c r="D65" s="7" t="s">
        <v>1206</v>
      </c>
      <c r="E65" s="7" t="str">
        <f>Groups!A4</f>
        <v>Bird (strong beak, smart, scavenger)</v>
      </c>
      <c r="F65" s="7" t="str">
        <f t="shared" si="21"/>
        <v>Lay eggs</v>
      </c>
      <c r="G65" s="7">
        <f t="shared" ref="G65:G68" si="23">1095/365</f>
        <v>3</v>
      </c>
      <c r="H65" s="7">
        <v>19.2</v>
      </c>
      <c r="I65" s="4">
        <v>0</v>
      </c>
      <c r="J65" s="7" t="str">
        <f t="shared" si="22"/>
        <v>Lay eggs</v>
      </c>
      <c r="K65" s="7" t="s">
        <v>564</v>
      </c>
      <c r="L65" s="7">
        <f>10*1.60934</f>
        <v>16.093399999999999</v>
      </c>
      <c r="M65" s="7" t="s">
        <v>640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_xlfn.XLOOKUP(B65,[1]TeethAdjusters!$A:$A,[1]BiteAdjusters!$C:$C)</f>
        <v>1</v>
      </c>
      <c r="T65" s="7">
        <f>_xlfn.XLOOKUP(B65,[1]TeethAdjusters!$A:$A,[1]TeethAdjusters!$B:$B)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945</v>
      </c>
      <c r="Y65" s="4" t="s">
        <v>53</v>
      </c>
      <c r="Z65" s="4">
        <v>0</v>
      </c>
      <c r="AA65" s="4">
        <v>0</v>
      </c>
      <c r="AB65" s="4">
        <v>0</v>
      </c>
      <c r="AC65" s="4" t="s">
        <v>45</v>
      </c>
      <c r="AD65" s="4" t="s">
        <v>408</v>
      </c>
      <c r="AE65" s="28" t="s">
        <v>45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4" t="s">
        <v>40</v>
      </c>
      <c r="AL65" s="8">
        <f t="shared" si="16"/>
        <v>682.0302232909728</v>
      </c>
      <c r="AM65" s="8">
        <f>IFERROR(C65*_xlfn.XLOOKUP(E65,Groups!A:A,Groups!K:K),0.106*C65^0.94)</f>
        <v>5.241026208136873E-2</v>
      </c>
      <c r="AN65" s="8">
        <f>AM65*10000/(_xlfn.XLOOKUP(E65,Groups!A:A,Groups!J:J)*AL65)</f>
        <v>0.70499528623453223</v>
      </c>
      <c r="AO65" s="8">
        <f t="shared" si="17"/>
        <v>28.877740401049877</v>
      </c>
      <c r="AP65" s="8">
        <f>IF(_xlfn.XLOOKUP(E65,Groups!A:A,Groups!M:M)=1,EXP(0.7444*LN('Base stats'!C65)+6.5696),EXP(0.7927*LN('Base stats'!C65)+4.28))</f>
        <v>39.886358601212059</v>
      </c>
      <c r="AQ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"No")))))))))))))))</f>
        <v>195.13674655864344</v>
      </c>
      <c r="AR65" s="8">
        <f>IF(_xlfn.XLOOKUP(E65,Groups!A:A,Groups!U:U)=3,AP65,IF(_xlfn.XLOOKUP(E65,Groups!A:A,Groups!U:U)=2,AO65,AQ65))</f>
        <v>195.13674655864344</v>
      </c>
      <c r="AS65" s="46">
        <f>IFERROR(AVERAGE(_xlfn.XLOOKUP(B65,Animals!B:B,Animals!M:M),_xlfn.XLOOKUP(B65,Animals!B:B,Animals!N:N)),0)</f>
        <v>0</v>
      </c>
      <c r="AT65" s="8">
        <f>MROUND(40*Animals!AN65*_xlfn.XLOOKUP(Animals!AZ65,Leathers!$A$2:$A$100,Leathers!$B$2:$B$100,0)+(140*_xlfn.XLOOKUP(B65,Animals!B:B,Animals!AN:AN)*2),5)</f>
        <v>30</v>
      </c>
      <c r="AU65" s="8">
        <f>IFERROR(ROUND(SQRT(V65-1)*IF(_xlfn.XLOOKUP(E65,Groups!A:A,Groups!BE:BE)=0,2,1)*IF(_xlfn.XLOOKUP('Base stats'!E65,Groups!A:A,Groups!O:O)=0,1,0.1),1),0)</f>
        <v>0.2</v>
      </c>
      <c r="AV65" s="8">
        <f t="shared" si="18"/>
        <v>0</v>
      </c>
      <c r="AW65" s="8">
        <f t="shared" si="19"/>
        <v>0</v>
      </c>
      <c r="AX65" s="8">
        <f t="shared" si="20"/>
        <v>0.5</v>
      </c>
      <c r="AY65" s="8">
        <f>IF(_xlfn.XLOOKUP(E65,Groups!A:A,Groups!N:N)="Insect",BA65*2.5,IFERROR(AVERAGE(BA65,AQ65/9.81/IF(OR(_xlfn.XLOOKUP(E65,Groups!A:A,Groups!N:N)="Pig",_xlfn.XLOOKUP(E65,Groups!A:A,Groups!N:N)="StrongBitingHerbivore"),20,25))*C65^-0.135,BA65))</f>
        <v>0.45181572890864724</v>
      </c>
      <c r="AZ65" s="8" t="str">
        <f>IF(W65="No","No",IF(_xlfn.XLOOKUP(E65,Groups!A:A,Groups!U:U)=1,'Base stats'!AY65,IF(OR(_xlfn.XLOOKUP(E65,Groups!A:A,Groups!BC:BC)=1,_xlfn.XLOOKUP(E65,Groups!A:A,Groups!U:U)=2),BA65,IF(_xlfn.XLOOKUP(B65,Animals!B:B,Animals!AN:AN)&gt;4,AVERAGE(BA65,BC65),BC65))))</f>
        <v>No</v>
      </c>
      <c r="BA65" s="8">
        <f>(0.0392*C65^IF(OR(Y65="Herbivore",Y65="Dendrovore",Y65="OmnivoreRough"),0.889,0.966))*C65^-0.135</f>
        <v>2.1031328287467725E-2</v>
      </c>
      <c r="BB65" s="8">
        <f>IF(_xlfn.XLOOKUP(E65,Groups!A:A,Groups!BD:BD)=1,(0.048*C65^1.01)+(0.071*C65^1.03),0.071*C65^1.03)/IF(_xlfn.XLOOKUP(E65,Groups!A:A,Groups!M:M)=1,0.85,IF(OR(_xlfn.XLOOKUP(B65,Animals!B:B,Animals!AN:AN)&gt;4,_xlfn.XLOOKUP(E65,Groups!A:A,Groups!BB:BB)=1),1.7,1))*C65^-0.25</f>
        <v>6.6736076499101585E-2</v>
      </c>
      <c r="BC65" s="8">
        <f>(0.048*C65^1.01)/IF(_xlfn.XLOOKUP(E65,Groups!A:A,Groups!M:M)=1,0.25,0.8)*C65^-0.25</f>
        <v>3.3949728703862175E-2</v>
      </c>
      <c r="BD65" s="8">
        <f>EXP(1.076*LN(AO65)-4.5397)*IF(_xlfn.XLOOKUP(E65,Groups!A:A,Groups!BB:BB)=1,1.25,IF(_xlfn.XLOOKUP(E65,Groups!A:A,Groups!BC:BC)=1,3.5,2.5))</f>
        <v>0.99526644196323455</v>
      </c>
      <c r="BE65" s="8">
        <f>EXP(1.076*LN(AP65)-4.5397)*IF(_xlfn.XLOOKUP(E65,Groups!A:A,Groups!M:M)=1,0.8,IF(_xlfn.XLOOKUP(E65,Groups!A:A,Groups!BB:BB)=1,1.3,3))</f>
        <v>1.6906030117326418</v>
      </c>
      <c r="BF65" s="8" t="str">
        <f>IF(W65="No","No",IF(_xlfn.XLOOKUP(E65,Groups!A:A,Groups!U:U)=1,'Base stats'!BG65,IF(OR(_xlfn.XLOOKUP(E65,Groups!A:A,Groups!BC:BC)=1,_xlfn.XLOOKUP(E65,Groups!A:A,Groups!U:U)=2),BD65,BE65))*1.2)</f>
        <v>No</v>
      </c>
      <c r="BG65" s="8">
        <f>IFERROR(EXP(1.076*LN(AQ65)-4.5397)*IF(_xlfn.XLOOKUP(E65,Groups!A:A,Groups!N:N)="Insect",1,IF(OR(_xlfn.XLOOKUP(E65,Groups!A:A,Groups!N:N)="Pig",_xlfn.XLOOKUP(E65,Groups!A:A,Groups!N:N)="StrongBitingHerbivore"),3.5,3.75)),"No")</f>
        <v>11.664588880990914</v>
      </c>
      <c r="BH65" s="8">
        <f t="shared" si="5"/>
        <v>9</v>
      </c>
      <c r="BI65" s="8">
        <f t="shared" si="6"/>
        <v>7</v>
      </c>
      <c r="BJ65" s="8" t="str">
        <f>IF(W65="No","No",ROUNDDOWN(SQRT((2*BF65)/AZ65),0))</f>
        <v>No</v>
      </c>
      <c r="BK65" s="8">
        <f>IF(V65="No","No",ROUNDDOWN(SQRT((2*BG65)/AY65),0))</f>
        <v>7</v>
      </c>
      <c r="BL65" s="8">
        <f t="shared" si="7"/>
        <v>9</v>
      </c>
      <c r="BM65" s="8" cm="1">
        <f t="array" ref="BM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stats'!E65,Groups!A:A,Groups!P:P=0)),"No",IF(U65="No",AVERAGE(EXP(-0.57+0.99*LN(C65)),EXP(0.32+0.67*LN(C65)))/IF(_xlfn.XLOOKUP(E65,Groups!A:A,Groups!AD:AD)=1,10,2),(0.7354*C65^0.4078)*2/IF(_xlfn.XLOOKUP(E65,Groups!A:A,Groups!BJ:BJ)=1,1000,100)))</f>
        <v>1.0835516799744658E-2</v>
      </c>
      <c r="BN65" s="8" t="str">
        <f>IF(W65="No","No",IF(_xlfn.XLOOKUP(E65,Groups!A:A,Groups!BC:BC)=1,(AL65*5%),EXP(0.7354*LN(C65)^0.4078)*2/IF(_xlfn.XLOOKUP(E65,Groups!A:A,Groups!BK:BK)=1,1000,100)))</f>
        <v>No</v>
      </c>
      <c r="BO65" s="8">
        <f>IF(BG65="No","No",IF(_xlfn.XLOOKUP(E65,Groups!A:A,Groups!BE:BE)=1,(0.0315*C65+2.1825)*2,(0.7354*C65^0.4078)*2)/IF(_xlfn.XLOOKUP(E65,Groups!A:A,Groups!BL:BL)=1,1000,100))</f>
        <v>4.3947801000000002E-2</v>
      </c>
      <c r="BP65" s="8">
        <f>BD65/(AL65*5%)</f>
        <v>2.9185405806822336E-2</v>
      </c>
      <c r="BQ65" s="8">
        <f t="shared" si="8"/>
        <v>156.02421582443409</v>
      </c>
      <c r="BR65" s="8" t="str">
        <f>IF(W65="No","No",BF65/BN65)</f>
        <v>No</v>
      </c>
      <c r="BS65" s="8">
        <f t="shared" si="9"/>
        <v>265.41917036965998</v>
      </c>
      <c r="BT65" s="4">
        <v>0</v>
      </c>
      <c r="BU65" s="4">
        <v>1</v>
      </c>
    </row>
    <row r="66" spans="1:73" x14ac:dyDescent="0.25">
      <c r="A66" s="26" t="s">
        <v>213</v>
      </c>
      <c r="B66" s="6" t="s">
        <v>231</v>
      </c>
      <c r="C66" s="7">
        <v>1</v>
      </c>
      <c r="D66" s="7" t="s">
        <v>1207</v>
      </c>
      <c r="E66" s="7" t="str">
        <f>Groups!A3</f>
        <v>Bird (strong beak, smart)</v>
      </c>
      <c r="F66" s="7" t="str">
        <f t="shared" si="21"/>
        <v>Lay eggs</v>
      </c>
      <c r="G66" s="7">
        <f t="shared" si="23"/>
        <v>3</v>
      </c>
      <c r="H66" s="7">
        <v>33</v>
      </c>
      <c r="I66" s="4">
        <v>0</v>
      </c>
      <c r="J66" s="7" t="str">
        <f t="shared" si="22"/>
        <v>Lay eggs</v>
      </c>
      <c r="K66" s="7" t="s">
        <v>573</v>
      </c>
      <c r="L66" s="7">
        <f>10*1.60934</f>
        <v>16.093399999999999</v>
      </c>
      <c r="M66" s="7" t="s">
        <v>640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_xlfn.XLOOKUP(B66,[1]TeethAdjusters!$A:$A,[1]BiteAdjusters!$C:$C)</f>
        <v>1</v>
      </c>
      <c r="T66" s="7">
        <f>_xlfn.XLOOKUP(B66,[1]TeethAdjusters!$A:$A,[1]TeethAdjusters!$B:$B)</f>
        <v>1</v>
      </c>
      <c r="U66" s="7">
        <v>1</v>
      </c>
      <c r="V66" s="7">
        <f>MROUND(9*0.5,0.05)</f>
        <v>4.5</v>
      </c>
      <c r="W66" s="7" t="s">
        <v>45</v>
      </c>
      <c r="X66" s="7" t="s">
        <v>945</v>
      </c>
      <c r="Y66" s="4" t="s">
        <v>42</v>
      </c>
      <c r="Z66" s="4">
        <v>0</v>
      </c>
      <c r="AA66" s="4">
        <v>0</v>
      </c>
      <c r="AB66" s="4">
        <v>0</v>
      </c>
      <c r="AC66" s="4" t="s">
        <v>45</v>
      </c>
      <c r="AD66" s="4" t="s">
        <v>408</v>
      </c>
      <c r="AE66" s="28" t="s">
        <v>45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4" t="s">
        <v>40</v>
      </c>
      <c r="AL66" s="8">
        <f t="shared" ref="AL66:AL97" si="24">(0.111*C66^0.65)*10000</f>
        <v>1110</v>
      </c>
      <c r="AM66" s="8">
        <f>IFERROR(C66*_xlfn.XLOOKUP(E66,Groups!A:A,Groups!K:K),0.106*C66^0.94)</f>
        <v>0.106</v>
      </c>
      <c r="AN66" s="8">
        <f>AM66*10000/(_xlfn.XLOOKUP(E66,Groups!A:A,Groups!J:J)*AL66)</f>
        <v>0.87610546326142646</v>
      </c>
      <c r="AO66" s="8">
        <f t="shared" ref="AO66:AO97" si="25">EXP(0.8447*LN(C66)+3.996)</f>
        <v>54.380193636413573</v>
      </c>
      <c r="AP66" s="8">
        <f>IF(_xlfn.XLOOKUP(E66,Groups!A:A,Groups!M:M)=1,EXP(0.7444*LN('Base stats'!C66)+6.5696),EXP(0.7927*LN('Base stats'!C66)+4.28))</f>
        <v>72.240440007325375</v>
      </c>
      <c r="AQ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"No")))))))))))))))</f>
        <v>546.74378718696266</v>
      </c>
      <c r="AR66" s="8">
        <f>IF(_xlfn.XLOOKUP(E66,Groups!A:A,Groups!U:U)=3,AP66,IF(_xlfn.XLOOKUP(E66,Groups!A:A,Groups!U:U)=2,AO66,AQ66))</f>
        <v>546.74378718696266</v>
      </c>
      <c r="AS66" s="46">
        <f>IFERROR(AVERAGE(_xlfn.XLOOKUP(B66,Animals!B:B,Animals!M:M),_xlfn.XLOOKUP(B66,Animals!B:B,Animals!N:N)),0)</f>
        <v>0</v>
      </c>
      <c r="AT66" s="8">
        <f>MROUND(40*Animals!AN66*_xlfn.XLOOKUP(Animals!AZ66,Leathers!$A$2:$A$100,Leathers!$B$2:$B$100,0)+(140*_xlfn.XLOOKUP(B66,Animals!B:B,Animals!AN:AN)*2),5)</f>
        <v>40</v>
      </c>
      <c r="AU66" s="8">
        <f>IFERROR(ROUND(SQRT(V66-1)*IF(_xlfn.XLOOKUP(E66,Groups!A:A,Groups!BE:BE)=0,2,1)*IF(_xlfn.XLOOKUP('Base stats'!E66,Groups!A:A,Groups!O:O)=0,1,0.1),1),0)</f>
        <v>0.2</v>
      </c>
      <c r="AV66" s="8">
        <f t="shared" ref="AV66:AV97" si="26">IFERROR(ROUND(SQRT(U66-1),1),0)</f>
        <v>0</v>
      </c>
      <c r="AW66" s="8">
        <f t="shared" ref="AW66:AW97" si="27">IFERROR(ROUND(SQRT(W66),1),0)</f>
        <v>0</v>
      </c>
      <c r="AX66" s="8">
        <f t="shared" ref="AX66:AX97" si="28">ROUND(
  EXP(0.3582*LN(C66)-0.2221) *
  (0.75 + 0.25*(C66^4/(C66^4+10^4))),
1)</f>
        <v>0.6</v>
      </c>
      <c r="AY66" s="8">
        <f>IF(_xlfn.XLOOKUP(E66,Groups!A:A,Groups!N:N)="Insect",BA66*2.5,IFERROR(AVERAGE(BA66,AQ66/9.81/IF(OR(_xlfn.XLOOKUP(E66,Groups!A:A,Groups!N:N)="Pig",_xlfn.XLOOKUP(E66,Groups!A:A,Groups!N:N)="StrongBitingHerbivore"),20,25))*C66^-0.135,BA66))</f>
        <v>1.1342662327970696</v>
      </c>
      <c r="AZ66" s="8" t="str">
        <f>IF(W66="No","No",IF(_xlfn.XLOOKUP(E66,Groups!A:A,Groups!U:U)=1,'Base stats'!AY66,IF(OR(_xlfn.XLOOKUP(E66,Groups!A:A,Groups!BC:BC)=1,_xlfn.XLOOKUP(E66,Groups!A:A,Groups!U:U)=2),BA66,IF(_xlfn.XLOOKUP(B66,Animals!B:B,Animals!AN:AN)&gt;4,AVERAGE(BA66,BC66),BC66))))</f>
        <v>No</v>
      </c>
      <c r="BA66" s="8">
        <f>(0.0392*C66^IF(OR(Y66="Herbivore",Y66="Dendrovore",Y66="OmnivoreRough"),0.889,0.966))*C66^-0.135</f>
        <v>3.9199999999999999E-2</v>
      </c>
      <c r="BB66" s="8">
        <f>IF(_xlfn.XLOOKUP(E66,Groups!A:A,Groups!BD:BD)=1,(0.048*C66^1.01)+(0.071*C66^1.03),0.071*C66^1.03)/IF(_xlfn.XLOOKUP(E66,Groups!A:A,Groups!M:M)=1,0.85,IF(OR(_xlfn.XLOOKUP(B66,Animals!B:B,Animals!AN:AN)&gt;4,_xlfn.XLOOKUP(E66,Groups!A:A,Groups!BB:BB)=1),1.7,1))*C66^-0.25</f>
        <v>0.11899999999999999</v>
      </c>
      <c r="BC66" s="8">
        <f>(0.048*C66^1.01)/IF(_xlfn.XLOOKUP(E66,Groups!A:A,Groups!M:M)=1,0.25,0.8)*C66^-0.25</f>
        <v>0.06</v>
      </c>
      <c r="BD66" s="8">
        <f>EXP(1.076*LN(AO66)-4.5397)*IF(_xlfn.XLOOKUP(E66,Groups!A:A,Groups!BB:BB)=1,1.25,IF(_xlfn.XLOOKUP(E66,Groups!A:A,Groups!BC:BC)=1,3.5,2.5))</f>
        <v>1.9665617864035057</v>
      </c>
      <c r="BE66" s="8">
        <f>EXP(1.076*LN(AP66)-4.5397)*IF(_xlfn.XLOOKUP(E66,Groups!A:A,Groups!M:M)=1,0.8,IF(_xlfn.XLOOKUP(E66,Groups!A:A,Groups!BB:BB)=1,1.3,3))</f>
        <v>3.2033344684475749</v>
      </c>
      <c r="BF66" s="8" t="str">
        <f>IF(W66="No","No",IF(_xlfn.XLOOKUP(E66,Groups!A:A,Groups!U:U)=1,'Base stats'!BG66,IF(OR(_xlfn.XLOOKUP(E66,Groups!A:A,Groups!BC:BC)=1,_xlfn.XLOOKUP(E66,Groups!A:A,Groups!U:U)=2),BD66,BE66))*1.2)</f>
        <v>No</v>
      </c>
      <c r="BG66" s="8">
        <f>IFERROR(EXP(1.076*LN(AQ66)-4.5397)*IF(_xlfn.XLOOKUP(E66,Groups!A:A,Groups!N:N)="Insect",1,IF(OR(_xlfn.XLOOKUP(E66,Groups!A:A,Groups!N:N)="Pig",_xlfn.XLOOKUP(E66,Groups!A:A,Groups!N:N)="StrongBitingHerbivore"),3.5,3.75)),"No")</f>
        <v>35.344353164232253</v>
      </c>
      <c r="BH66" s="8">
        <f t="shared" si="5"/>
        <v>10</v>
      </c>
      <c r="BI66" s="8">
        <f t="shared" si="6"/>
        <v>7</v>
      </c>
      <c r="BJ66" s="8" t="str">
        <f>IF(W66="No","No",ROUNDDOWN(SQRT((2*BF66)/AZ66),0))</f>
        <v>No</v>
      </c>
      <c r="BK66" s="8">
        <f>IF(V66="No","No",ROUNDDOWN(SQRT((2*BG66)/AY66),0))</f>
        <v>7</v>
      </c>
      <c r="BL66" s="8">
        <f t="shared" si="7"/>
        <v>10</v>
      </c>
      <c r="BM66" s="8" cm="1">
        <f t="array" ref="BM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stats'!E66,Groups!A:A,Groups!P:P=0)),"No",IF(U66="No",AVERAGE(EXP(-0.57+0.99*LN(C66)),EXP(0.32+0.67*LN(C66)))/IF(_xlfn.XLOOKUP(E66,Groups!A:A,Groups!AD:AD)=1,10,2),(0.7354*C66^0.4078)*2/IF(_xlfn.XLOOKUP(E66,Groups!A:A,Groups!BJ:BJ)=1,1000,100)))</f>
        <v>1.4708000000000001E-2</v>
      </c>
      <c r="BN66" s="8" t="str">
        <f>IF(W66="No","No",IF(_xlfn.XLOOKUP(E66,Groups!A:A,Groups!BC:BC)=1,(AL66*5%),EXP(0.7354*LN(C66)^0.4078)*2/IF(_xlfn.XLOOKUP(E66,Groups!A:A,Groups!BK:BK)=1,1000,100)))</f>
        <v>No</v>
      </c>
      <c r="BO66" s="8">
        <f>IF(BG66="No","No",IF(_xlfn.XLOOKUP(E66,Groups!A:A,Groups!BE:BE)=1,(0.0315*C66+2.1825)*2,(0.7354*C66^0.4078)*2)/IF(_xlfn.XLOOKUP(E66,Groups!A:A,Groups!BL:BL)=1,1000,100))</f>
        <v>4.428E-2</v>
      </c>
      <c r="BP66" s="8">
        <f>BD66/(AL66*5%)</f>
        <v>3.5433545700964068E-2</v>
      </c>
      <c r="BQ66" s="8">
        <f t="shared" si="8"/>
        <v>217.79538131952506</v>
      </c>
      <c r="BR66" s="8" t="str">
        <f>IF(W66="No","No",BF66/BN66)</f>
        <v>No</v>
      </c>
      <c r="BS66" s="8">
        <f t="shared" si="9"/>
        <v>798.20129097182144</v>
      </c>
      <c r="BT66" s="4">
        <v>0</v>
      </c>
      <c r="BU66" s="4">
        <v>1</v>
      </c>
    </row>
    <row r="67" spans="1:73" x14ac:dyDescent="0.25">
      <c r="A67" s="26" t="s">
        <v>205</v>
      </c>
      <c r="B67" s="6" t="s">
        <v>224</v>
      </c>
      <c r="C67" s="7">
        <v>0.1038</v>
      </c>
      <c r="E67" s="7" t="str">
        <f>Groups!A9</f>
        <v>Bird</v>
      </c>
      <c r="F67" s="7" t="str">
        <f t="shared" si="2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22"/>
        <v>Lay eggs</v>
      </c>
      <c r="K67" s="7" t="s">
        <v>565</v>
      </c>
      <c r="L67" s="7">
        <f>10*1.60934</f>
        <v>16.093399999999999</v>
      </c>
      <c r="M67" s="7" t="s">
        <v>640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_xlfn.XLOOKUP(B67,[1]TeethAdjusters!$A:$A,[1]BiteAdjusters!$C:$C)</f>
        <v>1</v>
      </c>
      <c r="T67" s="7">
        <f>_xlfn.XLOOKUP(B67,[1]TeethAdjusters!$A:$A,[1]TeethAdjusters!$B:$B)</f>
        <v>1</v>
      </c>
      <c r="U67" s="7">
        <v>0.5</v>
      </c>
      <c r="V67" s="7">
        <v>0.75</v>
      </c>
      <c r="W67" s="7" t="s">
        <v>45</v>
      </c>
      <c r="X67" s="7" t="s">
        <v>945</v>
      </c>
      <c r="Y67" s="4" t="s">
        <v>42</v>
      </c>
      <c r="Z67" s="4">
        <v>0</v>
      </c>
      <c r="AA67" s="4">
        <v>0</v>
      </c>
      <c r="AB67" s="4">
        <v>0</v>
      </c>
      <c r="AC67" s="4" t="s">
        <v>45</v>
      </c>
      <c r="AD67" s="4" t="s">
        <v>408</v>
      </c>
      <c r="AE67" s="28" t="s">
        <v>45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4" t="s">
        <v>40</v>
      </c>
      <c r="AL67" s="8">
        <f t="shared" si="24"/>
        <v>254.59581385547506</v>
      </c>
      <c r="AM67" s="8">
        <f>IFERROR(C67*_xlfn.XLOOKUP(E67,Groups!A:A,Groups!K:K),0.106*C67^0.94)</f>
        <v>1.2604667027148941E-2</v>
      </c>
      <c r="AN67" s="8">
        <f>AM67*10000/(_xlfn.XLOOKUP(E67,Groups!A:A,Groups!J:J)*AL67)</f>
        <v>0.45420678874047743</v>
      </c>
      <c r="AO67" s="8">
        <f t="shared" si="25"/>
        <v>8.024586340408117</v>
      </c>
      <c r="AP67" s="8">
        <f>IF(_xlfn.XLOOKUP(E67,Groups!A:A,Groups!M:M)=1,EXP(0.7444*LN('Base stats'!C67)+6.5696),EXP(0.7927*LN('Base stats'!C67)+4.28))</f>
        <v>11.992784357009409</v>
      </c>
      <c r="AQ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"No")))))))))))))))</f>
        <v>2.9315045725801085</v>
      </c>
      <c r="AR67" s="8">
        <f>IF(_xlfn.XLOOKUP(E67,Groups!A:A,Groups!U:U)=3,AP67,IF(_xlfn.XLOOKUP(E67,Groups!A:A,Groups!U:U)=2,AO67,AQ67))</f>
        <v>2.9315045725801085</v>
      </c>
      <c r="AS67" s="46">
        <f>IFERROR(AVERAGE(_xlfn.XLOOKUP(B67,Animals!B:B,Animals!M:M),_xlfn.XLOOKUP(B67,Animals!B:B,Animals!N:N)),0)</f>
        <v>0</v>
      </c>
      <c r="AT67" s="8">
        <f>MROUND(40*Animals!AN67*_xlfn.XLOOKUP(Animals!AZ67,Leathers!$A$2:$A$100,Leathers!$B$2:$B$100,0)+(140*_xlfn.XLOOKUP(B67,Animals!B:B,Animals!AN:AN)*2),5)</f>
        <v>30</v>
      </c>
      <c r="AU67" s="8">
        <f>IFERROR(ROUND(SQRT(V67-1)*IF(_xlfn.XLOOKUP(E67,Groups!A:A,Groups!BE:BE)=0,2,1)*IF(_xlfn.XLOOKUP('Base stats'!E67,Groups!A:A,Groups!O:O)=0,1,0.1),1),0)</f>
        <v>0</v>
      </c>
      <c r="AV67" s="8">
        <f t="shared" si="26"/>
        <v>0</v>
      </c>
      <c r="AW67" s="8">
        <f t="shared" si="27"/>
        <v>0</v>
      </c>
      <c r="AX67" s="8">
        <f t="shared" si="28"/>
        <v>0.3</v>
      </c>
      <c r="AY67" s="8">
        <f>IF(_xlfn.XLOOKUP(E67,Groups!A:A,Groups!N:N)="Insect",BA67*2.5,IFERROR(AVERAGE(BA67,AQ67/9.81/IF(OR(_xlfn.XLOOKUP(E67,Groups!A:A,Groups!N:N)="Pig",_xlfn.XLOOKUP(E67,Groups!A:A,Groups!N:N)="StrongBitingHerbivore"),20,25))*C67^-0.135,BA67))</f>
        <v>1.2937169993522639E-2</v>
      </c>
      <c r="AZ67" s="8" t="str">
        <f>IF(W67="No","No",IF(_xlfn.XLOOKUP(E67,Groups!A:A,Groups!U:U)=1,'Base stats'!AY67,IF(OR(_xlfn.XLOOKUP(E67,Groups!A:A,Groups!BC:BC)=1,_xlfn.XLOOKUP(E67,Groups!A:A,Groups!U:U)=2),BA67,IF(_xlfn.XLOOKUP(B67,Animals!B:B,Animals!AN:AN)&gt;4,AVERAGE(BA67,BC67),BC67))))</f>
        <v>No</v>
      </c>
      <c r="BA67" s="8">
        <f>(0.0392*C67^IF(OR(Y67="Herbivore",Y67="Dendrovore",Y67="OmnivoreRough"),0.889,0.966))*C67^-0.135</f>
        <v>7.1039332417934887E-3</v>
      </c>
      <c r="BB67" s="8">
        <f>IF(_xlfn.XLOOKUP(E67,Groups!A:A,Groups!BD:BD)=1,(0.048*C67^1.01)+(0.071*C67^1.03),0.071*C67^1.03)/IF(_xlfn.XLOOKUP(E67,Groups!A:A,Groups!M:M)=1,0.85,IF(OR(_xlfn.XLOOKUP(B67,Animals!B:B,Animals!AN:AN)&gt;4,_xlfn.XLOOKUP(E67,Groups!A:A,Groups!BB:BB)=1),1.7,1))*C67^-0.25</f>
        <v>2.0712142647360623E-2</v>
      </c>
      <c r="BC67" s="8">
        <f>(0.048*C67^1.01)/IF(_xlfn.XLOOKUP(E67,Groups!A:A,Groups!M:M)=1,0.25,0.8)*C67^-0.25</f>
        <v>1.0726579084388448E-2</v>
      </c>
      <c r="BD67" s="8">
        <f>EXP(1.076*LN(AO67)-4.5397)*IF(_xlfn.XLOOKUP(E67,Groups!A:A,Groups!BB:BB)=1,1.25,IF(_xlfn.XLOOKUP(E67,Groups!A:A,Groups!BC:BC)=1,3.5,2.5))</f>
        <v>0.2509181778679993</v>
      </c>
      <c r="BE67" s="8">
        <f>EXP(1.076*LN(AP67)-4.5397)*IF(_xlfn.XLOOKUP(E67,Groups!A:A,Groups!M:M)=1,0.8,IF(_xlfn.XLOOKUP(E67,Groups!A:A,Groups!BB:BB)=1,1.3,3))</f>
        <v>0.46395145576956359</v>
      </c>
      <c r="BF67" s="8" t="str">
        <f>IF(W67="No","No",IF(_xlfn.XLOOKUP(E67,Groups!A:A,Groups!U:U)=1,'Base stats'!BG67,IF(OR(_xlfn.XLOOKUP(E67,Groups!A:A,Groups!BC:BC)=1,_xlfn.XLOOKUP(E67,Groups!A:A,Groups!U:U)=2),BD67,BE67))*1.2)</f>
        <v>No</v>
      </c>
      <c r="BG67" s="8">
        <f>IFERROR(EXP(1.076*LN(AQ67)-4.5397)*IF(_xlfn.XLOOKUP(E67,Groups!A:A,Groups!N:N)="Insect",1,IF(OR(_xlfn.XLOOKUP(E67,Groups!A:A,Groups!N:N)="Pig",_xlfn.XLOOKUP(E67,Groups!A:A,Groups!N:N)="StrongBitingHerbivore"),3.5,3.75)),"No")</f>
        <v>0.12736616369657991</v>
      </c>
      <c r="BH67" s="8">
        <f t="shared" ref="BH67:BH130" si="29">ROUNDDOWN(SQRT((2*BD67)/BA67),0)</f>
        <v>8</v>
      </c>
      <c r="BI67" s="8">
        <f t="shared" ref="BI67:BI130" si="30">ROUNDDOWN(SQRT((2*BE67)/BB67),0)</f>
        <v>6</v>
      </c>
      <c r="BJ67" s="8" t="str">
        <f>IF(W67="No","No",ROUNDDOWN(SQRT((2*BF67)/AZ67),0))</f>
        <v>No</v>
      </c>
      <c r="BK67" s="8">
        <f>IF(V67="No","No",ROUNDDOWN(SQRT((2*BG67)/AY67),0))</f>
        <v>4</v>
      </c>
      <c r="BL67" s="8">
        <f t="shared" ref="BL67:BL130" si="31">ROUNDDOWN(SQRT((2*BE67)/BC67),0)</f>
        <v>9</v>
      </c>
      <c r="BM67" s="8" cm="1">
        <f t="array" ref="BM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stats'!E67,Groups!A:A,Groups!P:P=0)),"No",IF(U67="No",AVERAGE(EXP(-0.57+0.99*LN(C67)),EXP(0.32+0.67*LN(C67)))/IF(_xlfn.XLOOKUP(E67,Groups!A:A,Groups!AD:AD)=1,10,2),(0.7354*C67^0.4078)*2/IF(_xlfn.XLOOKUP(E67,Groups!A:A,Groups!BJ:BJ)=1,1000,100)))</f>
        <v>5.8392746393459375E-3</v>
      </c>
      <c r="BN67" s="8" t="str">
        <f>IF(W67="No","No",IF(_xlfn.XLOOKUP(E67,Groups!A:A,Groups!BC:BC)=1,(AL67*5%),EXP(0.7354*LN(C67)^0.4078)*2/IF(_xlfn.XLOOKUP(E67,Groups!A:A,Groups!BK:BK)=1,1000,100)))</f>
        <v>No</v>
      </c>
      <c r="BO67" s="8">
        <f>IF(BG67="No","No",IF(_xlfn.XLOOKUP(E67,Groups!A:A,Groups!BE:BE)=1,(0.0315*C67+2.1825)*2,(0.7354*C67^0.4078)*2)/IF(_xlfn.XLOOKUP(E67,Groups!A:A,Groups!BL:BL)=1,1000,100))</f>
        <v>5.8392746393459375E-3</v>
      </c>
      <c r="BP67" s="8">
        <f>BD67/(AL67*5%)</f>
        <v>1.9711100042708207E-2</v>
      </c>
      <c r="BQ67" s="8">
        <f t="shared" ref="BQ67:BQ130" si="32">IF(BM67="No","No",BE67/BM67)</f>
        <v>79.453611009043271</v>
      </c>
      <c r="BR67" s="8" t="str">
        <f>IF(W67="No","No",BF67/BN67)</f>
        <v>No</v>
      </c>
      <c r="BS67" s="8">
        <f t="shared" ref="BS67:BS130" si="33">IF(BG67="No","No",BG67/BO67)</f>
        <v>21.811983775924318</v>
      </c>
      <c r="BT67" s="4">
        <v>0</v>
      </c>
      <c r="BU67" s="4">
        <v>1</v>
      </c>
    </row>
    <row r="68" spans="1:73" x14ac:dyDescent="0.25">
      <c r="A68" s="26" t="s">
        <v>201</v>
      </c>
      <c r="B68" s="6" t="s">
        <v>222</v>
      </c>
      <c r="C68" s="7">
        <v>9.42</v>
      </c>
      <c r="E68" s="7" t="str">
        <f>Groups!A6</f>
        <v>Bird (water)</v>
      </c>
      <c r="F68" s="7" t="str">
        <f t="shared" si="21"/>
        <v>Lay eggs</v>
      </c>
      <c r="G68" s="7">
        <f t="shared" si="23"/>
        <v>3</v>
      </c>
      <c r="H68" s="7">
        <v>40</v>
      </c>
      <c r="I68" s="4">
        <v>0</v>
      </c>
      <c r="J68" s="7" t="str">
        <f t="shared" si="22"/>
        <v>Lay eggs</v>
      </c>
      <c r="K68" s="7" t="s">
        <v>566</v>
      </c>
      <c r="L68" s="7">
        <f>8.2*1.60934</f>
        <v>13.196587999999998</v>
      </c>
      <c r="M68" s="7" t="s">
        <v>640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_xlfn.XLOOKUP(B68,[1]TeethAdjusters!$A:$A,[1]BiteAdjusters!$C:$C)</f>
        <v>1</v>
      </c>
      <c r="T68" s="7">
        <f>_xlfn.XLOOKUP(B68,[1]TeethAdjusters!$A:$A,[1]TeethAdjusters!$B:$B)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945</v>
      </c>
      <c r="Y68" s="4" t="s">
        <v>42</v>
      </c>
      <c r="Z68" s="4">
        <v>0</v>
      </c>
      <c r="AA68" s="4">
        <v>0</v>
      </c>
      <c r="AB68" s="4">
        <v>0</v>
      </c>
      <c r="AC68" s="4" t="s">
        <v>45</v>
      </c>
      <c r="AD68" s="4" t="s">
        <v>45</v>
      </c>
      <c r="AE68" s="28" t="s">
        <v>45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4" t="s">
        <v>40</v>
      </c>
      <c r="AL68" s="8">
        <f t="shared" si="24"/>
        <v>4769.3156399882255</v>
      </c>
      <c r="AM68" s="8">
        <f>IFERROR(C68*_xlfn.XLOOKUP(E68,Groups!A:A,Groups!K:K),0.106*C68^0.94)</f>
        <v>0.87279794269602773</v>
      </c>
      <c r="AN68" s="8">
        <f>AM68*10000/(_xlfn.XLOOKUP(E68,Groups!A:A,Groups!J:J)*AL68)</f>
        <v>1.6789244368847609</v>
      </c>
      <c r="AO68" s="8">
        <f t="shared" si="25"/>
        <v>361.59427621109876</v>
      </c>
      <c r="AP68" s="8">
        <f>IF(_xlfn.XLOOKUP(E68,Groups!A:A,Groups!M:M)=1,EXP(0.7444*LN('Base stats'!C68)+6.5696),EXP(0.7927*LN('Base stats'!C68)+4.28))</f>
        <v>427.47481515526169</v>
      </c>
      <c r="AQ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"No")))))))))))))))</f>
        <v>66.362881050086855</v>
      </c>
      <c r="AR68" s="8">
        <f>IF(_xlfn.XLOOKUP(E68,Groups!A:A,Groups!U:U)=3,AP68,IF(_xlfn.XLOOKUP(E68,Groups!A:A,Groups!U:U)=2,AO68,AQ68))</f>
        <v>66.362881050086855</v>
      </c>
      <c r="AS68" s="46">
        <f>IFERROR(AVERAGE(_xlfn.XLOOKUP(B68,Animals!B:B,Animals!M:M),_xlfn.XLOOKUP(B68,Animals!B:B,Animals!N:N)),0)</f>
        <v>0</v>
      </c>
      <c r="AT68" s="8">
        <f>MROUND(40*Animals!AN68*_xlfn.XLOOKUP(Animals!AZ68,Leathers!$A$2:$A$100,Leathers!$B$2:$B$100,0)+(140*_xlfn.XLOOKUP(B68,Animals!B:B,Animals!AN:AN)*2),5)</f>
        <v>110</v>
      </c>
      <c r="AU68" s="8">
        <f>IFERROR(ROUND(SQRT(V68-1)*IF(_xlfn.XLOOKUP(E68,Groups!A:A,Groups!BE:BE)=0,2,1)*IF(_xlfn.XLOOKUP('Base stats'!E68,Groups!A:A,Groups!O:O)=0,1,0.1),1),0)</f>
        <v>0.2</v>
      </c>
      <c r="AV68" s="8">
        <f t="shared" si="26"/>
        <v>0</v>
      </c>
      <c r="AW68" s="8">
        <f t="shared" si="27"/>
        <v>0</v>
      </c>
      <c r="AX68" s="8">
        <f t="shared" si="28"/>
        <v>1.5</v>
      </c>
      <c r="AY68" s="8">
        <f>IF(_xlfn.XLOOKUP(E68,Groups!A:A,Groups!N:N)="Insect",BA68*2.5,IFERROR(AVERAGE(BA68,AQ68/9.81/IF(OR(_xlfn.XLOOKUP(E68,Groups!A:A,Groups!N:N)="Pig",_xlfn.XLOOKUP(E68,Groups!A:A,Groups!N:N)="StrongBitingHerbivore"),20,25))*C68^-0.135,BA68))</f>
        <v>0.17851007939995989</v>
      </c>
      <c r="AZ68" s="8" t="str">
        <f>IF(W68="No","No",IF(_xlfn.XLOOKUP(E68,Groups!A:A,Groups!U:U)=1,'Base stats'!AY68,IF(OR(_xlfn.XLOOKUP(E68,Groups!A:A,Groups!BC:BC)=1,_xlfn.XLOOKUP(E68,Groups!A:A,Groups!U:U)=2),BA68,IF(_xlfn.XLOOKUP(B68,Animals!B:B,Animals!AN:AN)&gt;4,AVERAGE(BA68,BC68),BC68))))</f>
        <v>No</v>
      </c>
      <c r="BA68" s="8">
        <f>(0.0392*C68^IF(OR(Y68="Herbivore",Y68="Dendrovore",Y68="OmnivoreRough"),0.889,0.966))*C68^-0.135</f>
        <v>0.21267696187850707</v>
      </c>
      <c r="BB68" s="8">
        <f>IF(_xlfn.XLOOKUP(E68,Groups!A:A,Groups!BD:BD)=1,(0.048*C68^1.01)+(0.071*C68^1.03),0.071*C68^1.03)/IF(_xlfn.XLOOKUP(E68,Groups!A:A,Groups!M:M)=1,0.85,IF(OR(_xlfn.XLOOKUP(B68,Animals!B:B,Animals!AN:AN)&gt;4,_xlfn.XLOOKUP(E68,Groups!A:A,Groups!BB:BB)=1),1.7,1))*C68^-0.25</f>
        <v>0.67228530060320457</v>
      </c>
      <c r="BC68" s="8">
        <f>(0.048*C68^1.01)/IF(_xlfn.XLOOKUP(E68,Groups!A:A,Groups!M:M)=1,0.25,0.8)*C68^-0.25</f>
        <v>0.32993617595203761</v>
      </c>
      <c r="BD68" s="8">
        <f>EXP(1.076*LN(AO68)-4.5397)*IF(_xlfn.XLOOKUP(E68,Groups!A:A,Groups!BB:BB)=1,1.25,IF(_xlfn.XLOOKUP(E68,Groups!A:A,Groups!BC:BC)=1,3.5,2.5))</f>
        <v>15.101487727291271</v>
      </c>
      <c r="BE68" s="8">
        <f>EXP(1.076*LN(AP68)-4.5397)*IF(_xlfn.XLOOKUP(E68,Groups!A:A,Groups!M:M)=1,0.8,IF(_xlfn.XLOOKUP(E68,Groups!A:A,Groups!BB:BB)=1,1.3,3))</f>
        <v>21.697731412335632</v>
      </c>
      <c r="BF68" s="8" t="str">
        <f>IF(W68="No","No",IF(_xlfn.XLOOKUP(E68,Groups!A:A,Groups!U:U)=1,'Base stats'!BG68,IF(OR(_xlfn.XLOOKUP(E68,Groups!A:A,Groups!BC:BC)=1,_xlfn.XLOOKUP(E68,Groups!A:A,Groups!U:U)=2),BD68,BE68))*1.2)</f>
        <v>No</v>
      </c>
      <c r="BG68" s="8">
        <f>IFERROR(EXP(1.076*LN(AQ68)-4.5397)*IF(_xlfn.XLOOKUP(E68,Groups!A:A,Groups!N:N)="Insect",1,IF(OR(_xlfn.XLOOKUP(E68,Groups!A:A,Groups!N:N)="Pig",_xlfn.XLOOKUP(E68,Groups!A:A,Groups!N:N)="StrongBitingHerbivore"),3.5,3.75)),"No")</f>
        <v>3.654737235014808</v>
      </c>
      <c r="BH68" s="8">
        <f t="shared" si="29"/>
        <v>11</v>
      </c>
      <c r="BI68" s="8">
        <f t="shared" si="30"/>
        <v>8</v>
      </c>
      <c r="BJ68" s="8" t="str">
        <f>IF(W68="No","No",ROUNDDOWN(SQRT((2*BF68)/AZ68),0))</f>
        <v>No</v>
      </c>
      <c r="BK68" s="8">
        <f>IF(V68="No","No",ROUNDDOWN(SQRT((2*BG68)/AY68),0))</f>
        <v>6</v>
      </c>
      <c r="BL68" s="8">
        <f t="shared" si="31"/>
        <v>11</v>
      </c>
      <c r="BM68" s="8" t="str" cm="1">
        <f t="array" ref="BM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stats'!E68,Groups!A:A,Groups!P:P=0)),"No",IF(U68="No",AVERAGE(EXP(-0.57+0.99*LN(C68)),EXP(0.32+0.67*LN(C68)))/IF(_xlfn.XLOOKUP(E68,Groups!A:A,Groups!AD:AD)=1,10,2),(0.7354*C68^0.4078)*2/IF(_xlfn.XLOOKUP(E68,Groups!A:A,Groups!BJ:BJ)=1,1000,100)))</f>
        <v>No</v>
      </c>
      <c r="BN68" s="8" t="str">
        <f>IF(W68="No","No",IF(_xlfn.XLOOKUP(E68,Groups!A:A,Groups!BC:BC)=1,(AL68*5%),EXP(0.7354*LN(C68)^0.4078)*2/IF(_xlfn.XLOOKUP(E68,Groups!A:A,Groups!BK:BK)=1,1000,100)))</f>
        <v>No</v>
      </c>
      <c r="BO68" s="8">
        <f>IF(BG68="No","No",IF(_xlfn.XLOOKUP(E68,Groups!A:A,Groups!BE:BE)=1,(0.0315*C68+2.1825)*2,(0.7354*C68^0.4078)*2)/IF(_xlfn.XLOOKUP(E68,Groups!A:A,Groups!BL:BL)=1,1000,100))</f>
        <v>3.6708917623684029E-2</v>
      </c>
      <c r="BP68" s="8">
        <f>BD68/(AL68*5%)</f>
        <v>6.3327692554768944E-2</v>
      </c>
      <c r="BQ68" s="8" t="str">
        <f t="shared" si="32"/>
        <v>No</v>
      </c>
      <c r="BR68" s="8" t="str">
        <f>IF(W68="No","No",BF68/BN68)</f>
        <v>No</v>
      </c>
      <c r="BS68" s="8">
        <f t="shared" si="33"/>
        <v>99.559929074477196</v>
      </c>
      <c r="BT68" s="4">
        <v>0</v>
      </c>
      <c r="BU68" s="4">
        <v>1</v>
      </c>
    </row>
    <row r="69" spans="1:73" x14ac:dyDescent="0.25">
      <c r="A69" s="26" t="s">
        <v>209</v>
      </c>
      <c r="B69" s="6" t="s">
        <v>228</v>
      </c>
      <c r="C69" s="7">
        <v>1.5</v>
      </c>
      <c r="E69" s="7" t="str">
        <f>Groups!A6</f>
        <v>Bird (water)</v>
      </c>
      <c r="F69" s="7" t="str">
        <f t="shared" si="2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22"/>
        <v>Lay eggs</v>
      </c>
      <c r="K69" s="7" t="s">
        <v>567</v>
      </c>
      <c r="L69" s="7">
        <f>8.2*1.60934</f>
        <v>13.196587999999998</v>
      </c>
      <c r="M69" s="7" t="s">
        <v>640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_xlfn.XLOOKUP(B69,[1]TeethAdjusters!$A:$A,[1]BiteAdjusters!$C:$C)</f>
        <v>1</v>
      </c>
      <c r="T69" s="7">
        <f>_xlfn.XLOOKUP(B69,[1]TeethAdjusters!$A:$A,[1]TeethAdjusters!$B:$B)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945</v>
      </c>
      <c r="Y69" s="4" t="s">
        <v>56</v>
      </c>
      <c r="Z69" s="4">
        <v>0</v>
      </c>
      <c r="AA69" s="4">
        <v>0</v>
      </c>
      <c r="AB69" s="4">
        <v>0</v>
      </c>
      <c r="AC69" s="4" t="s">
        <v>45</v>
      </c>
      <c r="AD69" s="4" t="s">
        <v>45</v>
      </c>
      <c r="AE69" s="28" t="s">
        <v>45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4" t="s">
        <v>40</v>
      </c>
      <c r="AL69" s="8">
        <f t="shared" si="24"/>
        <v>1444.7153833072407</v>
      </c>
      <c r="AM69" s="8">
        <f>IFERROR(C69*_xlfn.XLOOKUP(E69,Groups!A:A,Groups!K:K),0.106*C69^0.94)</f>
        <v>0.15517853545964969</v>
      </c>
      <c r="AN69" s="8">
        <f>AM69*10000/(_xlfn.XLOOKUP(E69,Groups!A:A,Groups!J:J)*AL69)</f>
        <v>0.98542336094020611</v>
      </c>
      <c r="AO69" s="8">
        <f t="shared" si="25"/>
        <v>76.592286773914608</v>
      </c>
      <c r="AP69" s="8">
        <f>IF(_xlfn.XLOOKUP(E69,Groups!A:A,Groups!M:M)=1,EXP(0.7444*LN('Base stats'!C69)+6.5696),EXP(0.7927*LN('Base stats'!C69)+4.28))</f>
        <v>99.624905763458273</v>
      </c>
      <c r="AQ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"No")))))))))))))))</f>
        <v>18.609605150158721</v>
      </c>
      <c r="AR69" s="8">
        <f>IF(_xlfn.XLOOKUP(E69,Groups!A:A,Groups!U:U)=3,AP69,IF(_xlfn.XLOOKUP(E69,Groups!A:A,Groups!U:U)=2,AO69,AQ69))</f>
        <v>18.609605150158721</v>
      </c>
      <c r="AS69" s="46">
        <f>IFERROR(AVERAGE(_xlfn.XLOOKUP(B69,Animals!B:B,Animals!M:M),_xlfn.XLOOKUP(B69,Animals!B:B,Animals!N:N)),0)</f>
        <v>0</v>
      </c>
      <c r="AT69" s="8">
        <f>MROUND(40*Animals!AN69*_xlfn.XLOOKUP(Animals!AZ69,Leathers!$A$2:$A$100,Leathers!$B$2:$B$100,0)+(140*_xlfn.XLOOKUP(B69,Animals!B:B,Animals!AN:AN)*2),5)</f>
        <v>55</v>
      </c>
      <c r="AU69" s="8">
        <f>IFERROR(ROUND(SQRT(V69-1)*IF(_xlfn.XLOOKUP(E69,Groups!A:A,Groups!BE:BE)=0,2,1)*IF(_xlfn.XLOOKUP('Base stats'!E69,Groups!A:A,Groups!O:O)=0,1,0.1),1),0)</f>
        <v>0.3</v>
      </c>
      <c r="AV69" s="8">
        <f t="shared" si="26"/>
        <v>0</v>
      </c>
      <c r="AW69" s="8">
        <f t="shared" si="27"/>
        <v>0</v>
      </c>
      <c r="AX69" s="8">
        <f t="shared" si="28"/>
        <v>0.7</v>
      </c>
      <c r="AY69" s="8">
        <f>IF(_xlfn.XLOOKUP(E69,Groups!A:A,Groups!N:N)="Insect",BA69*2.5,IFERROR(AVERAGE(BA69,AQ69/9.81/IF(OR(_xlfn.XLOOKUP(E69,Groups!A:A,Groups!N:N)="Pig",_xlfn.XLOOKUP(E69,Groups!A:A,Groups!N:N)="StrongBitingHerbivore"),20,25))*C69^-0.135,BA69))</f>
        <v>6.1909688520735806E-2</v>
      </c>
      <c r="AZ69" s="8" t="str">
        <f>IF(W69="No","No",IF(_xlfn.XLOOKUP(E69,Groups!A:A,Groups!U:U)=1,'Base stats'!AY69,IF(OR(_xlfn.XLOOKUP(E69,Groups!A:A,Groups!BC:BC)=1,_xlfn.XLOOKUP(E69,Groups!A:A,Groups!U:U)=2),BA69,IF(_xlfn.XLOOKUP(B69,Animals!B:B,Animals!AN:AN)&gt;4,AVERAGE(BA69,BC69),BC69))))</f>
        <v>No</v>
      </c>
      <c r="BA69" s="8">
        <f>(0.0392*C69^IF(OR(Y69="Herbivore",Y69="Dendrovore",Y69="OmnivoreRough"),0.889,0.966))*C69^-0.135</f>
        <v>5.4905759483311625E-2</v>
      </c>
      <c r="BB69" s="8">
        <f>IF(_xlfn.XLOOKUP(E69,Groups!A:A,Groups!BD:BD)=1,(0.048*C69^1.01)+(0.071*C69^1.03),0.071*C69^1.03)/IF(_xlfn.XLOOKUP(E69,Groups!A:A,Groups!M:M)=1,0.85,IF(OR(_xlfn.XLOOKUP(B69,Animals!B:B,Animals!AN:AN)&gt;4,_xlfn.XLOOKUP(E69,Groups!A:A,Groups!BB:BB)=1),1.7,1))*C69^-0.25</f>
        <v>0.16273501567843682</v>
      </c>
      <c r="BC69" s="8">
        <f>(0.048*C69^1.01)/IF(_xlfn.XLOOKUP(E69,Groups!A:A,Groups!M:M)=1,0.25,0.8)*C69^-0.25</f>
        <v>8.165459089768376E-2</v>
      </c>
      <c r="BD69" s="8">
        <f>EXP(1.076*LN(AO69)-4.5397)*IF(_xlfn.XLOOKUP(E69,Groups!A:A,Groups!BB:BB)=1,1.25,IF(_xlfn.XLOOKUP(E69,Groups!A:A,Groups!BC:BC)=1,3.5,2.5))</f>
        <v>2.8428663840234449</v>
      </c>
      <c r="BE69" s="8">
        <f>EXP(1.076*LN(AP69)-4.5397)*IF(_xlfn.XLOOKUP(E69,Groups!A:A,Groups!M:M)=1,0.8,IF(_xlfn.XLOOKUP(E69,Groups!A:A,Groups!BB:BB)=1,1.3,3))</f>
        <v>4.5268747755982712</v>
      </c>
      <c r="BF69" s="8" t="str">
        <f>IF(W69="No","No",IF(_xlfn.XLOOKUP(E69,Groups!A:A,Groups!U:U)=1,'Base stats'!BG69,IF(OR(_xlfn.XLOOKUP(E69,Groups!A:A,Groups!BC:BC)=1,_xlfn.XLOOKUP(E69,Groups!A:A,Groups!U:U)=2),BD69,BE69))*1.2)</f>
        <v>No</v>
      </c>
      <c r="BG69" s="8">
        <f>IFERROR(EXP(1.076*LN(AQ69)-4.5397)*IF(_xlfn.XLOOKUP(E69,Groups!A:A,Groups!N:N)="Insect",1,IF(OR(_xlfn.XLOOKUP(E69,Groups!A:A,Groups!N:N)="Pig",_xlfn.XLOOKUP(E69,Groups!A:A,Groups!N:N)="StrongBitingHerbivore"),3.5,3.75)),"No")</f>
        <v>0.93046874790207179</v>
      </c>
      <c r="BH69" s="8">
        <f t="shared" si="29"/>
        <v>10</v>
      </c>
      <c r="BI69" s="8">
        <f t="shared" si="30"/>
        <v>7</v>
      </c>
      <c r="BJ69" s="8" t="str">
        <f>IF(W69="No","No",ROUNDDOWN(SQRT((2*BF69)/AZ69),0))</f>
        <v>No</v>
      </c>
      <c r="BK69" s="8">
        <f>IF(V69="No","No",ROUNDDOWN(SQRT((2*BG69)/AY69),0))</f>
        <v>5</v>
      </c>
      <c r="BL69" s="8">
        <f t="shared" si="31"/>
        <v>10</v>
      </c>
      <c r="BM69" s="8" t="str" cm="1">
        <f t="array" ref="BM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stats'!E69,Groups!A:A,Groups!P:P=0)),"No",IF(U69="No",AVERAGE(EXP(-0.57+0.99*LN(C69)),EXP(0.32+0.67*LN(C69)))/IF(_xlfn.XLOOKUP(E69,Groups!A:A,Groups!AD:AD)=1,10,2),(0.7354*C69^0.4078)*2/IF(_xlfn.XLOOKUP(E69,Groups!A:A,Groups!BJ:BJ)=1,1000,100)))</f>
        <v>No</v>
      </c>
      <c r="BN69" s="8" t="str">
        <f>IF(W69="No","No",IF(_xlfn.XLOOKUP(E69,Groups!A:A,Groups!BC:BC)=1,(AL69*5%),EXP(0.7354*LN(C69)^0.4078)*2/IF(_xlfn.XLOOKUP(E69,Groups!A:A,Groups!BK:BK)=1,1000,100)))</f>
        <v>No</v>
      </c>
      <c r="BO69" s="8">
        <f>IF(BG69="No","No",IF(_xlfn.XLOOKUP(E69,Groups!A:A,Groups!BE:BE)=1,(0.0315*C69+2.1825)*2,(0.7354*C69^0.4078)*2)/IF(_xlfn.XLOOKUP(E69,Groups!A:A,Groups!BL:BL)=1,1000,100))</f>
        <v>1.7352563272430833E-2</v>
      </c>
      <c r="BP69" s="8">
        <f>BD69/(AL69*5%)</f>
        <v>3.9355383307618119E-2</v>
      </c>
      <c r="BQ69" s="8" t="str">
        <f t="shared" si="32"/>
        <v>No</v>
      </c>
      <c r="BR69" s="8" t="str">
        <f>IF(W69="No","No",BF69/BN69)</f>
        <v>No</v>
      </c>
      <c r="BS69" s="8">
        <f t="shared" si="33"/>
        <v>53.621400671125585</v>
      </c>
      <c r="BT69" s="4">
        <v>0</v>
      </c>
      <c r="BU69" s="4">
        <v>1</v>
      </c>
    </row>
    <row r="70" spans="1:73" x14ac:dyDescent="0.25">
      <c r="A70" s="26" t="s">
        <v>216</v>
      </c>
      <c r="B70" s="6" t="s">
        <v>246</v>
      </c>
      <c r="C70" s="7">
        <f>(2+4.5)/2</f>
        <v>3.25</v>
      </c>
      <c r="E70" s="7" t="str">
        <f>Groups!A6</f>
        <v>Bird (water)</v>
      </c>
      <c r="F70" s="7" t="str">
        <f t="shared" si="2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22"/>
        <v>Lay eggs</v>
      </c>
      <c r="K70" s="7" t="s">
        <v>568</v>
      </c>
      <c r="L70" s="7">
        <f>8.2*1.60934</f>
        <v>13.196587999999998</v>
      </c>
      <c r="M70" s="7" t="s">
        <v>640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_xlfn.XLOOKUP(B70,[1]TeethAdjusters!$A:$A,[1]BiteAdjusters!$C:$C)</f>
        <v>1</v>
      </c>
      <c r="T70" s="7">
        <f>_xlfn.XLOOKUP(B70,[1]TeethAdjusters!$A:$A,[1]TeethAdjusters!$B:$B)</f>
        <v>1</v>
      </c>
      <c r="U70" s="7" t="s">
        <v>45</v>
      </c>
      <c r="V70" s="7">
        <v>10</v>
      </c>
      <c r="W70" s="7" t="s">
        <v>45</v>
      </c>
      <c r="X70" s="7" t="s">
        <v>945</v>
      </c>
      <c r="Y70" s="4" t="s">
        <v>53</v>
      </c>
      <c r="Z70" s="4">
        <v>0</v>
      </c>
      <c r="AA70" s="4">
        <v>0</v>
      </c>
      <c r="AB70" s="4">
        <v>0</v>
      </c>
      <c r="AC70" s="4" t="s">
        <v>45</v>
      </c>
      <c r="AD70" s="4" t="s">
        <v>410</v>
      </c>
      <c r="AE70" s="28" t="s">
        <v>45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4" t="s">
        <v>40</v>
      </c>
      <c r="AL70" s="8">
        <f t="shared" si="24"/>
        <v>2388.0706080331493</v>
      </c>
      <c r="AM70" s="8">
        <f>IFERROR(C70*_xlfn.XLOOKUP(E70,Groups!A:A,Groups!K:K),0.106*C70^0.94)</f>
        <v>0.32097870798755029</v>
      </c>
      <c r="AN70" s="8">
        <f>AM70*10000/(_xlfn.XLOOKUP(E70,Groups!A:A,Groups!J:J)*AL70)</f>
        <v>1.23311211107864</v>
      </c>
      <c r="AO70" s="8">
        <f t="shared" si="25"/>
        <v>147.17316334038017</v>
      </c>
      <c r="AP70" s="8">
        <f>IF(_xlfn.XLOOKUP(E70,Groups!A:A,Groups!M:M)=1,EXP(0.7444*LN('Base stats'!C70)+6.5696),EXP(0.7927*LN('Base stats'!C70)+4.28))</f>
        <v>183.88670156656516</v>
      </c>
      <c r="AQ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"No")))))))))))))))</f>
        <v>31.776443854869786</v>
      </c>
      <c r="AR70" s="8">
        <f>IF(_xlfn.XLOOKUP(E70,Groups!A:A,Groups!U:U)=3,AP70,IF(_xlfn.XLOOKUP(E70,Groups!A:A,Groups!U:U)=2,AO70,AQ70))</f>
        <v>31.776443854869786</v>
      </c>
      <c r="AS70" s="46">
        <f>IFERROR(AVERAGE(_xlfn.XLOOKUP(B70,Animals!B:B,Animals!M:M),_xlfn.XLOOKUP(B70,Animals!B:B,Animals!N:N)),0)</f>
        <v>0</v>
      </c>
      <c r="AT70" s="8">
        <f>MROUND(40*Animals!AN70*_xlfn.XLOOKUP(Animals!AZ70,Leathers!$A$2:$A$100,Leathers!$B$2:$B$100,0)+(140*_xlfn.XLOOKUP(B70,Animals!B:B,Animals!AN:AN)*2),5)</f>
        <v>70</v>
      </c>
      <c r="AU70" s="8">
        <f>IFERROR(ROUND(SQRT(V70-1)*IF(_xlfn.XLOOKUP(E70,Groups!A:A,Groups!BE:BE)=0,2,1)*IF(_xlfn.XLOOKUP('Base stats'!E70,Groups!A:A,Groups!O:O)=0,1,0.1),1),0)</f>
        <v>0.3</v>
      </c>
      <c r="AV70" s="8">
        <f t="shared" si="26"/>
        <v>0</v>
      </c>
      <c r="AW70" s="8">
        <f t="shared" si="27"/>
        <v>0</v>
      </c>
      <c r="AX70" s="8">
        <f t="shared" si="28"/>
        <v>0.9</v>
      </c>
      <c r="AY70" s="8">
        <f>IF(_xlfn.XLOOKUP(E70,Groups!A:A,Groups!N:N)="Insect",BA70*2.5,IFERROR(AVERAGE(BA70,AQ70/9.81/IF(OR(_xlfn.XLOOKUP(E70,Groups!A:A,Groups!N:N)="Pig",_xlfn.XLOOKUP(E70,Groups!A:A,Groups!N:N)="StrongBitingHerbivore"),20,25))*C70^-0.135,BA70))</f>
        <v>9.9770886873501538E-2</v>
      </c>
      <c r="AZ70" s="8" t="str">
        <f>IF(W70="No","No",IF(_xlfn.XLOOKUP(E70,Groups!A:A,Groups!U:U)=1,'Base stats'!AY70,IF(OR(_xlfn.XLOOKUP(E70,Groups!A:A,Groups!BC:BC)=1,_xlfn.XLOOKUP(E70,Groups!A:A,Groups!U:U)=2),BA70,IF(_xlfn.XLOOKUP(B70,Animals!B:B,Animals!AN:AN)&gt;4,AVERAGE(BA70,BC70),BC70))))</f>
        <v>No</v>
      </c>
      <c r="BA70" s="8">
        <f>(0.0392*C70^IF(OR(Y70="Herbivore",Y70="Dendrovore",Y70="OmnivoreRough"),0.889,0.966))*C70^-0.135</f>
        <v>0.10439053900204885</v>
      </c>
      <c r="BB70" s="8">
        <f>IF(_xlfn.XLOOKUP(E70,Groups!A:A,Groups!BD:BD)=1,(0.048*C70^1.01)+(0.071*C70^1.03),0.071*C70^1.03)/IF(_xlfn.XLOOKUP(E70,Groups!A:A,Groups!M:M)=1,0.85,IF(OR(_xlfn.XLOOKUP(B70,Animals!B:B,Animals!AN:AN)&gt;4,_xlfn.XLOOKUP(E70,Groups!A:A,Groups!BB:BB)=1),1.7,1))*C70^-0.25</f>
        <v>0.29560753421709091</v>
      </c>
      <c r="BC70" s="8">
        <f>(0.048*C70^1.01)/IF(_xlfn.XLOOKUP(E70,Groups!A:A,Groups!M:M)=1,0.25,0.8)*C70^-0.25</f>
        <v>0.14695440365444534</v>
      </c>
      <c r="BD70" s="8">
        <f>EXP(1.076*LN(AO70)-4.5397)*IF(_xlfn.XLOOKUP(E70,Groups!A:A,Groups!BB:BB)=1,1.25,IF(_xlfn.XLOOKUP(E70,Groups!A:A,Groups!BC:BC)=1,3.5,2.5))</f>
        <v>5.7405955414483669</v>
      </c>
      <c r="BE70" s="8">
        <f>EXP(1.076*LN(AP70)-4.5397)*IF(_xlfn.XLOOKUP(E70,Groups!A:A,Groups!M:M)=1,0.8,IF(_xlfn.XLOOKUP(E70,Groups!A:A,Groups!BB:BB)=1,1.3,3))</f>
        <v>8.7540846645893815</v>
      </c>
      <c r="BF70" s="8" t="str">
        <f>IF(W70="No","No",IF(_xlfn.XLOOKUP(E70,Groups!A:A,Groups!U:U)=1,'Base stats'!BG70,IF(OR(_xlfn.XLOOKUP(E70,Groups!A:A,Groups!BC:BC)=1,_xlfn.XLOOKUP(E70,Groups!A:A,Groups!U:U)=2),BD70,BE70))*1.2)</f>
        <v>No</v>
      </c>
      <c r="BG70" s="8">
        <f>IFERROR(EXP(1.076*LN(AQ70)-4.5397)*IF(_xlfn.XLOOKUP(E70,Groups!A:A,Groups!N:N)="Insect",1,IF(OR(_xlfn.XLOOKUP(E70,Groups!A:A,Groups!N:N)="Pig",_xlfn.XLOOKUP(E70,Groups!A:A,Groups!N:N)="StrongBitingHerbivore"),3.5,3.75)),"No")</f>
        <v>1.6547405272942206</v>
      </c>
      <c r="BH70" s="8">
        <f t="shared" si="29"/>
        <v>10</v>
      </c>
      <c r="BI70" s="8">
        <f t="shared" si="30"/>
        <v>7</v>
      </c>
      <c r="BJ70" s="8" t="str">
        <f>IF(W70="No","No",ROUNDDOWN(SQRT((2*BF70)/AZ70),0))</f>
        <v>No</v>
      </c>
      <c r="BK70" s="8">
        <f>IF(V70="No","No",ROUNDDOWN(SQRT((2*BG70)/AY70),0))</f>
        <v>5</v>
      </c>
      <c r="BL70" s="8">
        <f t="shared" si="31"/>
        <v>10</v>
      </c>
      <c r="BM70" s="8" t="str" cm="1">
        <f t="array" ref="BM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stats'!E70,Groups!A:A,Groups!P:P=0)),"No",IF(U70="No",AVERAGE(EXP(-0.57+0.99*LN(C70)),EXP(0.32+0.67*LN(C70)))/IF(_xlfn.XLOOKUP(E70,Groups!A:A,Groups!AD:AD)=1,10,2),(0.7354*C70^0.4078)*2/IF(_xlfn.XLOOKUP(E70,Groups!A:A,Groups!BJ:BJ)=1,1000,100)))</f>
        <v>No</v>
      </c>
      <c r="BN70" s="8" t="str">
        <f>IF(W70="No","No",IF(_xlfn.XLOOKUP(E70,Groups!A:A,Groups!BC:BC)=1,(AL70*5%),EXP(0.7354*LN(C70)^0.4078)*2/IF(_xlfn.XLOOKUP(E70,Groups!A:A,Groups!BK:BK)=1,1000,100)))</f>
        <v>No</v>
      </c>
      <c r="BO70" s="8">
        <f>IF(BG70="No","No",IF(_xlfn.XLOOKUP(E70,Groups!A:A,Groups!BE:BE)=1,(0.0315*C70+2.1825)*2,(0.7354*C70^0.4078)*2)/IF(_xlfn.XLOOKUP(E70,Groups!A:A,Groups!BL:BL)=1,1000,100))</f>
        <v>2.3784808318953549E-2</v>
      </c>
      <c r="BP70" s="8">
        <f>BD70/(AL70*5%)</f>
        <v>4.8077268085271629E-2</v>
      </c>
      <c r="BQ70" s="8" t="str">
        <f t="shared" si="32"/>
        <v>No</v>
      </c>
      <c r="BR70" s="8" t="str">
        <f>IF(W70="No","No",BF70/BN70)</f>
        <v>No</v>
      </c>
      <c r="BS70" s="8">
        <f t="shared" si="33"/>
        <v>69.571320697825314</v>
      </c>
      <c r="BT70" s="4">
        <v>0</v>
      </c>
      <c r="BU70" s="4">
        <v>1</v>
      </c>
    </row>
    <row r="71" spans="1:73" x14ac:dyDescent="0.25">
      <c r="A71" s="26" t="s">
        <v>187</v>
      </c>
      <c r="B71" s="6" t="s">
        <v>188</v>
      </c>
      <c r="C71" s="7">
        <f>AVERAGE(38,29.5)</f>
        <v>33.75</v>
      </c>
      <c r="E71" s="7" t="str">
        <f>Groups!A6</f>
        <v>Bird (water)</v>
      </c>
      <c r="F71" s="7" t="str">
        <f t="shared" si="21"/>
        <v>Lay eggs</v>
      </c>
      <c r="G71" s="7">
        <f>1825/365</f>
        <v>5</v>
      </c>
      <c r="H71" s="7">
        <v>40</v>
      </c>
      <c r="I71" s="4">
        <v>0</v>
      </c>
      <c r="J71" s="7" t="str">
        <f t="shared" si="22"/>
        <v>Lay eggs</v>
      </c>
      <c r="K71" s="7" t="s">
        <v>569</v>
      </c>
      <c r="L71" s="7">
        <f>8.2*1.60934</f>
        <v>13.196587999999998</v>
      </c>
      <c r="M71" s="7" t="s">
        <v>640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_xlfn.XLOOKUP(B71,[1]TeethAdjusters!$A:$A,[1]BiteAdjusters!$C:$C)</f>
        <v>1</v>
      </c>
      <c r="T71" s="7">
        <f>_xlfn.XLOOKUP(B71,[1]TeethAdjusters!$A:$A,[1]TeethAdjusters!$B:$B)</f>
        <v>1</v>
      </c>
      <c r="U71" s="7" t="s">
        <v>45</v>
      </c>
      <c r="V71" s="7">
        <v>8</v>
      </c>
      <c r="W71" s="7" t="s">
        <v>45</v>
      </c>
      <c r="X71" s="7" t="s">
        <v>945</v>
      </c>
      <c r="Y71" s="4" t="s">
        <v>56</v>
      </c>
      <c r="Z71" s="4">
        <v>0</v>
      </c>
      <c r="AA71" s="4">
        <v>0</v>
      </c>
      <c r="AB71" s="4">
        <v>0</v>
      </c>
      <c r="AC71" s="4" t="s">
        <v>45</v>
      </c>
      <c r="AD71" s="4" t="s">
        <v>410</v>
      </c>
      <c r="AE71" s="28" t="s">
        <v>45</v>
      </c>
      <c r="AF71" s="4">
        <v>0</v>
      </c>
      <c r="AG71" s="4">
        <v>1</v>
      </c>
      <c r="AH71" s="4">
        <v>0</v>
      </c>
      <c r="AI71" s="4">
        <v>0</v>
      </c>
      <c r="AJ71" s="4">
        <v>0</v>
      </c>
      <c r="AK71" s="44">
        <v>11</v>
      </c>
      <c r="AL71" s="8">
        <f t="shared" si="24"/>
        <v>10932.032998460934</v>
      </c>
      <c r="AM71" s="8">
        <f>IFERROR(C71*_xlfn.XLOOKUP(E71,Groups!A:A,Groups!K:K),0.106*C71^0.94)</f>
        <v>2.8965645806634082</v>
      </c>
      <c r="AN71" s="8">
        <f>AM71*10000/(_xlfn.XLOOKUP(E71,Groups!A:A,Groups!J:J)*AL71)</f>
        <v>2.4308366963678756</v>
      </c>
      <c r="AO71" s="8">
        <f t="shared" si="25"/>
        <v>1062.6092919379601</v>
      </c>
      <c r="AP71" s="8">
        <f>IF(_xlfn.XLOOKUP(E71,Groups!A:A,Groups!M:M)=1,EXP(0.7444*LN('Base stats'!C71)+6.5696),EXP(0.7927*LN('Base stats'!C71)+4.28))</f>
        <v>1175.5551426209729</v>
      </c>
      <c r="AQ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"No")))))))))))))))</f>
        <v>160.48980933647343</v>
      </c>
      <c r="AR71" s="8">
        <f>IF(_xlfn.XLOOKUP(E71,Groups!A:A,Groups!U:U)=3,AP71,IF(_xlfn.XLOOKUP(E71,Groups!A:A,Groups!U:U)=2,AO71,AQ71))</f>
        <v>160.48980933647343</v>
      </c>
      <c r="AS71" s="46">
        <f>IFERROR(AVERAGE(_xlfn.XLOOKUP(B71,Animals!B:B,Animals!M:M),_xlfn.XLOOKUP(B71,Animals!B:B,Animals!N:N)),0)</f>
        <v>0</v>
      </c>
      <c r="AT71" s="8">
        <f>MROUND(40*Animals!AN71*_xlfn.XLOOKUP(Animals!AZ71,Leathers!$A$2:$A$100,Leathers!$B$2:$B$100,0)+(140*_xlfn.XLOOKUP(B71,Animals!B:B,Animals!AN:AN)*2),5)</f>
        <v>195</v>
      </c>
      <c r="AU71" s="8">
        <f>IFERROR(ROUND(SQRT(V71-1)*IF(_xlfn.XLOOKUP(E71,Groups!A:A,Groups!BE:BE)=0,2,1)*IF(_xlfn.XLOOKUP('Base stats'!E71,Groups!A:A,Groups!O:O)=0,1,0.1),1),0)</f>
        <v>0.3</v>
      </c>
      <c r="AV71" s="8">
        <f t="shared" si="26"/>
        <v>0</v>
      </c>
      <c r="AW71" s="8">
        <f t="shared" si="27"/>
        <v>0</v>
      </c>
      <c r="AX71" s="8">
        <f t="shared" si="28"/>
        <v>2.8</v>
      </c>
      <c r="AY71" s="8">
        <f>IF(_xlfn.XLOOKUP(E71,Groups!A:A,Groups!N:N)="Insect",BA71*2.5,IFERROR(AVERAGE(BA71,AQ71/9.81/IF(OR(_xlfn.XLOOKUP(E71,Groups!A:A,Groups!N:N)="Pig",_xlfn.XLOOKUP(E71,Groups!A:A,Groups!N:N)="StrongBitingHerbivore"),20,25))*C71^-0.135,BA71))</f>
        <v>0.43041814905514297</v>
      </c>
      <c r="AZ71" s="8" t="str">
        <f>IF(W71="No","No",IF(_xlfn.XLOOKUP(E71,Groups!A:A,Groups!U:U)=1,'Base stats'!AY71,IF(OR(_xlfn.XLOOKUP(E71,Groups!A:A,Groups!BC:BC)=1,_xlfn.XLOOKUP(E71,Groups!A:A,Groups!U:U)=2),BA71,IF(_xlfn.XLOOKUP(B71,Animals!B:B,Animals!AN:AN)&gt;4,AVERAGE(BA71,BC71),BC71))))</f>
        <v>No</v>
      </c>
      <c r="BA71" s="8">
        <f>(0.0392*C71^IF(OR(Y71="Herbivore",Y71="Dendrovore",Y71="OmnivoreRough"),0.889,0.966))*C71^-0.135</f>
        <v>0.72993060909357177</v>
      </c>
      <c r="BB71" s="8">
        <f>IF(_xlfn.XLOOKUP(E71,Groups!A:A,Groups!BD:BD)=1,(0.048*C71^1.01)+(0.071*C71^1.03),0.071*C71^1.03)/IF(_xlfn.XLOOKUP(E71,Groups!A:A,Groups!M:M)=1,0.85,IF(OR(_xlfn.XLOOKUP(B71,Animals!B:B,Animals!AN:AN)&gt;4,_xlfn.XLOOKUP(E71,Groups!A:A,Groups!BB:BB)=1),1.7,1))*C71^-0.25</f>
        <v>1.8010642629818943</v>
      </c>
      <c r="BC71" s="8">
        <f>(0.048*C71^1.01)/IF(_xlfn.XLOOKUP(E71,Groups!A:A,Groups!M:M)=1,0.25,0.8)*C71^-0.25</f>
        <v>0.87024056018196994</v>
      </c>
      <c r="BD71" s="8">
        <f>EXP(1.076*LN(AO71)-4.5397)*IF(_xlfn.XLOOKUP(E71,Groups!A:A,Groups!BB:BB)=1,1.25,IF(_xlfn.XLOOKUP(E71,Groups!A:A,Groups!BC:BC)=1,3.5,2.5))</f>
        <v>48.167194631398388</v>
      </c>
      <c r="BE71" s="8">
        <f>EXP(1.076*LN(AP71)-4.5397)*IF(_xlfn.XLOOKUP(E71,Groups!A:A,Groups!M:M)=1,0.8,IF(_xlfn.XLOOKUP(E71,Groups!A:A,Groups!BB:BB)=1,1.3,3))</f>
        <v>64.437112263767617</v>
      </c>
      <c r="BF71" s="8" t="str">
        <f>IF(W71="No","No",IF(_xlfn.XLOOKUP(E71,Groups!A:A,Groups!U:U)=1,'Base stats'!BG71,IF(OR(_xlfn.XLOOKUP(E71,Groups!A:A,Groups!BC:BC)=1,_xlfn.XLOOKUP(E71,Groups!A:A,Groups!U:U)=2),BD71,BE71))*1.2)</f>
        <v>No</v>
      </c>
      <c r="BG71" s="8">
        <f>IFERROR(EXP(1.076*LN(AQ71)-4.5397)*IF(_xlfn.XLOOKUP(E71,Groups!A:A,Groups!N:N)="Insect",1,IF(OR(_xlfn.XLOOKUP(E71,Groups!A:A,Groups!N:N)="Pig",_xlfn.XLOOKUP(E71,Groups!A:A,Groups!N:N)="StrongBitingHerbivore"),3.5,3.75)),"No")</f>
        <v>9.4520514377145624</v>
      </c>
      <c r="BH71" s="8">
        <f t="shared" si="29"/>
        <v>11</v>
      </c>
      <c r="BI71" s="8">
        <f t="shared" si="30"/>
        <v>8</v>
      </c>
      <c r="BJ71" s="8" t="str">
        <f>IF(W71="No","No",ROUNDDOWN(SQRT((2*BF71)/AZ71),0))</f>
        <v>No</v>
      </c>
      <c r="BK71" s="8">
        <f>IF(V71="No","No",ROUNDDOWN(SQRT((2*BG71)/AY71),0))</f>
        <v>6</v>
      </c>
      <c r="BL71" s="8">
        <f t="shared" si="31"/>
        <v>12</v>
      </c>
      <c r="BM71" s="8" t="str" cm="1">
        <f t="array" ref="BM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stats'!E71,Groups!A:A,Groups!P:P=0)),"No",IF(U71="No",AVERAGE(EXP(-0.57+0.99*LN(C71)),EXP(0.32+0.67*LN(C71)))/IF(_xlfn.XLOOKUP(E71,Groups!A:A,Groups!AD:AD)=1,10,2),(0.7354*C71^0.4078)*2/IF(_xlfn.XLOOKUP(E71,Groups!A:A,Groups!BJ:BJ)=1,1000,100)))</f>
        <v>No</v>
      </c>
      <c r="BN71" s="8" t="str">
        <f>IF(W71="No","No",IF(_xlfn.XLOOKUP(E71,Groups!A:A,Groups!BC:BC)=1,(AL71*5%),EXP(0.7354*LN(C71)^0.4078)*2/IF(_xlfn.XLOOKUP(E71,Groups!A:A,Groups!BK:BK)=1,1000,100)))</f>
        <v>No</v>
      </c>
      <c r="BO71" s="8">
        <f>IF(BG71="No","No",IF(_xlfn.XLOOKUP(E71,Groups!A:A,Groups!BE:BE)=1,(0.0315*C71+2.1825)*2,(0.7354*C71^0.4078)*2)/IF(_xlfn.XLOOKUP(E71,Groups!A:A,Groups!BL:BL)=1,1000,100))</f>
        <v>6.1770862804056123E-2</v>
      </c>
      <c r="BP71" s="8">
        <f>BD71/(AL71*5%)</f>
        <v>8.8121202411627561E-2</v>
      </c>
      <c r="BQ71" s="8" t="str">
        <f t="shared" si="32"/>
        <v>No</v>
      </c>
      <c r="BR71" s="8" t="str">
        <f>IF(W71="No","No",BF71/BN71)</f>
        <v>No</v>
      </c>
      <c r="BS71" s="8">
        <f t="shared" si="33"/>
        <v>153.01796038850057</v>
      </c>
      <c r="BT71" s="4">
        <v>0</v>
      </c>
      <c r="BU71" s="4">
        <v>1</v>
      </c>
    </row>
    <row r="72" spans="1:73" x14ac:dyDescent="0.25">
      <c r="A72" s="26" t="s">
        <v>214</v>
      </c>
      <c r="B72" s="6" t="s">
        <v>232</v>
      </c>
      <c r="C72" s="7">
        <v>4.2</v>
      </c>
      <c r="E72" s="7" t="str">
        <f>Groups!A9</f>
        <v>Bird</v>
      </c>
      <c r="F72" s="7" t="str">
        <f t="shared" si="2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22"/>
        <v>Lay eggs</v>
      </c>
      <c r="K72" s="7" t="s">
        <v>570</v>
      </c>
      <c r="L72" s="7">
        <f>10*1.60934</f>
        <v>16.093399999999999</v>
      </c>
      <c r="M72" s="7" t="s">
        <v>640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_xlfn.XLOOKUP(B72,[1]TeethAdjusters!$A:$A,[1]BiteAdjusters!$C:$C)</f>
        <v>1</v>
      </c>
      <c r="T72" s="7">
        <f>_xlfn.XLOOKUP(B72,[1]TeethAdjusters!$A:$A,[1]TeethAdjusters!$B:$B)</f>
        <v>1</v>
      </c>
      <c r="U72" s="7">
        <v>1.75</v>
      </c>
      <c r="V72" s="7">
        <v>1.35</v>
      </c>
      <c r="W72" s="7" t="s">
        <v>45</v>
      </c>
      <c r="X72" s="7" t="s">
        <v>945</v>
      </c>
      <c r="Y72" s="4" t="s">
        <v>42</v>
      </c>
      <c r="Z72" s="4">
        <v>0</v>
      </c>
      <c r="AA72" s="4">
        <v>0</v>
      </c>
      <c r="AB72" s="4">
        <v>0</v>
      </c>
      <c r="AC72" s="4" t="s">
        <v>45</v>
      </c>
      <c r="AD72" s="4" t="s">
        <v>320</v>
      </c>
      <c r="AE72" s="28" t="s">
        <v>45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4" t="s">
        <v>40</v>
      </c>
      <c r="AL72" s="8">
        <f t="shared" si="24"/>
        <v>2821.2074209236243</v>
      </c>
      <c r="AM72" s="8">
        <f>IFERROR(C72*_xlfn.XLOOKUP(E72,Groups!A:A,Groups!K:K),0.106*C72^0.94)</f>
        <v>0.40847003091842837</v>
      </c>
      <c r="AN72" s="8">
        <f>AM72*10000/(_xlfn.XLOOKUP(E72,Groups!A:A,Groups!J:J)*AL72)</f>
        <v>1.3283076772458648</v>
      </c>
      <c r="AO72" s="8">
        <f t="shared" si="25"/>
        <v>182.76769103466722</v>
      </c>
      <c r="AP72" s="8">
        <f>IF(_xlfn.XLOOKUP(E72,Groups!A:A,Groups!M:M)=1,EXP(0.7444*LN('Base stats'!C72)+6.5696),EXP(0.7927*LN('Base stats'!C72)+4.28))</f>
        <v>225.3357479781595</v>
      </c>
      <c r="AQ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"No")))))))))))))))</f>
        <v>37.946394397497905</v>
      </c>
      <c r="AR72" s="8">
        <f>IF(_xlfn.XLOOKUP(E72,Groups!A:A,Groups!U:U)=3,AP72,IF(_xlfn.XLOOKUP(E72,Groups!A:A,Groups!U:U)=2,AO72,AQ72))</f>
        <v>37.946394397497905</v>
      </c>
      <c r="AS72" s="46">
        <f>IFERROR(AVERAGE(_xlfn.XLOOKUP(B72,Animals!B:B,Animals!M:M),_xlfn.XLOOKUP(B72,Animals!B:B,Animals!N:N)),0)</f>
        <v>0</v>
      </c>
      <c r="AT72" s="8">
        <f>MROUND(40*Animals!AN72*_xlfn.XLOOKUP(Animals!AZ72,Leathers!$A$2:$A$100,Leathers!$B$2:$B$100,0)+(140*_xlfn.XLOOKUP(B72,Animals!B:B,Animals!AN:AN)*2),5)</f>
        <v>85</v>
      </c>
      <c r="AU72" s="8">
        <f>IFERROR(ROUND(SQRT(V72-1)*IF(_xlfn.XLOOKUP(E72,Groups!A:A,Groups!BE:BE)=0,2,1)*IF(_xlfn.XLOOKUP('Base stats'!E72,Groups!A:A,Groups!O:O)=0,1,0.1),1),0)</f>
        <v>0.1</v>
      </c>
      <c r="AV72" s="8">
        <f t="shared" si="26"/>
        <v>0.9</v>
      </c>
      <c r="AW72" s="8">
        <f t="shared" si="27"/>
        <v>0</v>
      </c>
      <c r="AX72" s="8">
        <f t="shared" si="28"/>
        <v>1</v>
      </c>
      <c r="AY72" s="8">
        <f>IF(_xlfn.XLOOKUP(E72,Groups!A:A,Groups!N:N)="Insect",BA72*2.5,IFERROR(AVERAGE(BA72,AQ72/9.81/IF(OR(_xlfn.XLOOKUP(E72,Groups!A:A,Groups!N:N)="Pig",_xlfn.XLOOKUP(E72,Groups!A:A,Groups!N:N)="StrongBitingHerbivore"),20,25))*C72^-0.135,BA72))</f>
        <v>0.11138547773966104</v>
      </c>
      <c r="AZ72" s="8" t="str">
        <f>IF(W72="No","No",IF(_xlfn.XLOOKUP(E72,Groups!A:A,Groups!U:U)=1,'Base stats'!AY72,IF(OR(_xlfn.XLOOKUP(E72,Groups!A:A,Groups!BC:BC)=1,_xlfn.XLOOKUP(E72,Groups!A:A,Groups!U:U)=2),BA72,IF(_xlfn.XLOOKUP(B72,Animals!B:B,Animals!AN:AN)&gt;4,AVERAGE(BA72,BC72),BC72))))</f>
        <v>No</v>
      </c>
      <c r="BA72" s="8">
        <f>(0.0392*C72^IF(OR(Y72="Herbivore",Y72="Dendrovore",Y72="OmnivoreRough"),0.889,0.966))*C72^-0.135</f>
        <v>0.11566874724947172</v>
      </c>
      <c r="BB72" s="8">
        <f>IF(_xlfn.XLOOKUP(E72,Groups!A:A,Groups!BD:BD)=1,(0.048*C72^1.01)+(0.071*C72^1.03),0.071*C72^1.03)/IF(_xlfn.XLOOKUP(E72,Groups!A:A,Groups!M:M)=1,0.85,IF(OR(_xlfn.XLOOKUP(B72,Animals!B:B,Animals!AN:AN)&gt;4,_xlfn.XLOOKUP(E72,Groups!A:A,Groups!BB:BB)=1),1.7,1))*C72^-0.25</f>
        <v>0.36032673272935495</v>
      </c>
      <c r="BC72" s="8">
        <f>(0.048*C72^1.01)/IF(_xlfn.XLOOKUP(E72,Groups!A:A,Groups!M:M)=1,0.25,0.8)*C72^-0.25</f>
        <v>0.17857502150060089</v>
      </c>
      <c r="BD72" s="8">
        <f>EXP(1.076*LN(AO72)-4.5397)*IF(_xlfn.XLOOKUP(E72,Groups!A:A,Groups!BB:BB)=1,1.25,IF(_xlfn.XLOOKUP(E72,Groups!A:A,Groups!BC:BC)=1,3.5,2.5))</f>
        <v>7.2473148784519097</v>
      </c>
      <c r="BE72" s="8">
        <f>EXP(1.076*LN(AP72)-4.5397)*IF(_xlfn.XLOOKUP(E72,Groups!A:A,Groups!M:M)=1,0.8,IF(_xlfn.XLOOKUP(E72,Groups!A:A,Groups!BB:BB)=1,1.3,3))</f>
        <v>10.894311214938487</v>
      </c>
      <c r="BF72" s="8" t="str">
        <f>IF(W72="No","No",IF(_xlfn.XLOOKUP(E72,Groups!A:A,Groups!U:U)=1,'Base stats'!BG72,IF(OR(_xlfn.XLOOKUP(E72,Groups!A:A,Groups!BC:BC)=1,_xlfn.XLOOKUP(E72,Groups!A:A,Groups!U:U)=2),BD72,BE72))*1.2)</f>
        <v>No</v>
      </c>
      <c r="BG72" s="8">
        <f>IFERROR(EXP(1.076*LN(AQ72)-4.5397)*IF(_xlfn.XLOOKUP(E72,Groups!A:A,Groups!N:N)="Insect",1,IF(OR(_xlfn.XLOOKUP(E72,Groups!A:A,Groups!N:N)="Pig",_xlfn.XLOOKUP(E72,Groups!A:A,Groups!N:N)="StrongBitingHerbivore"),3.5,3.75)),"No")</f>
        <v>2.0028668741899427</v>
      </c>
      <c r="BH72" s="8">
        <f t="shared" si="29"/>
        <v>11</v>
      </c>
      <c r="BI72" s="8">
        <f t="shared" si="30"/>
        <v>7</v>
      </c>
      <c r="BJ72" s="8" t="str">
        <f>IF(W72="No","No",ROUNDDOWN(SQRT((2*BF72)/AZ72),0))</f>
        <v>No</v>
      </c>
      <c r="BK72" s="8">
        <f>IF(V72="No","No",ROUNDDOWN(SQRT((2*BG72)/AY72),0))</f>
        <v>5</v>
      </c>
      <c r="BL72" s="8">
        <f t="shared" si="31"/>
        <v>11</v>
      </c>
      <c r="BM72" s="8" cm="1">
        <f t="array" ref="BM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stats'!E72,Groups!A:A,Groups!P:P=0)),"No",IF(U72="No",AVERAGE(EXP(-0.57+0.99*LN(C72)),EXP(0.32+0.67*LN(C72)))/IF(_xlfn.XLOOKUP(E72,Groups!A:A,Groups!AD:AD)=1,10,2),(0.7354*C72^0.4078)*2/IF(_xlfn.XLOOKUP(E72,Groups!A:A,Groups!BJ:BJ)=1,1000,100)))</f>
        <v>2.6406733457828967E-2</v>
      </c>
      <c r="BN72" s="8" t="str">
        <f>IF(W72="No","No",IF(_xlfn.XLOOKUP(E72,Groups!A:A,Groups!BC:BC)=1,(AL72*5%),EXP(0.7354*LN(C72)^0.4078)*2/IF(_xlfn.XLOOKUP(E72,Groups!A:A,Groups!BK:BK)=1,1000,100)))</f>
        <v>No</v>
      </c>
      <c r="BO72" s="8">
        <f>IF(BG72="No","No",IF(_xlfn.XLOOKUP(E72,Groups!A:A,Groups!BE:BE)=1,(0.0315*C72+2.1825)*2,(0.7354*C72^0.4078)*2)/IF(_xlfn.XLOOKUP(E72,Groups!A:A,Groups!BL:BL)=1,1000,100))</f>
        <v>2.6406733457828967E-2</v>
      </c>
      <c r="BP72" s="8">
        <f>BD72/(AL72*5%)</f>
        <v>5.1377398377034179E-2</v>
      </c>
      <c r="BQ72" s="8">
        <f t="shared" si="32"/>
        <v>412.55807850435144</v>
      </c>
      <c r="BR72" s="8" t="str">
        <f>IF(W72="No","No",BF72/BN72)</f>
        <v>No</v>
      </c>
      <c r="BS72" s="8">
        <f t="shared" si="33"/>
        <v>75.846824348361054</v>
      </c>
      <c r="BT72" s="4">
        <v>0</v>
      </c>
      <c r="BU72" s="4">
        <v>1</v>
      </c>
    </row>
    <row r="73" spans="1:73" x14ac:dyDescent="0.25">
      <c r="A73" s="26" t="s">
        <v>220</v>
      </c>
      <c r="B73" s="6" t="s">
        <v>234</v>
      </c>
      <c r="C73" s="7">
        <v>5.4329999999999998</v>
      </c>
      <c r="E73" s="7" t="str">
        <f>Groups!A8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22"/>
        <v>Lay eggs</v>
      </c>
      <c r="K73" s="7" t="s">
        <v>571</v>
      </c>
      <c r="L73" s="7">
        <f>10*1.60934</f>
        <v>16.093399999999999</v>
      </c>
      <c r="M73" s="7" t="s">
        <v>640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_xlfn.XLOOKUP(B73,[1]TeethAdjusters!$A:$A,[1]BiteAdjusters!$C:$C)</f>
        <v>1</v>
      </c>
      <c r="T73" s="7">
        <f>_xlfn.XLOOKUP(B73,[1]TeethAdjusters!$A:$A,[1]TeethAdjusters!$B:$B)</f>
        <v>1</v>
      </c>
      <c r="U73" s="7">
        <v>2</v>
      </c>
      <c r="V73" s="7">
        <f>MROUND(12.8*0.3,0.05)</f>
        <v>3.85</v>
      </c>
      <c r="W73" s="7" t="s">
        <v>45</v>
      </c>
      <c r="X73" s="7" t="s">
        <v>945</v>
      </c>
      <c r="Y73" s="4" t="s">
        <v>56</v>
      </c>
      <c r="Z73" s="4">
        <v>0</v>
      </c>
      <c r="AA73" s="4">
        <v>0</v>
      </c>
      <c r="AB73" s="4">
        <v>0</v>
      </c>
      <c r="AC73" s="4" t="s">
        <v>45</v>
      </c>
      <c r="AD73" s="4" t="s">
        <v>45</v>
      </c>
      <c r="AE73" s="28" t="s">
        <v>45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4" t="s">
        <v>40</v>
      </c>
      <c r="AL73" s="8">
        <f t="shared" si="24"/>
        <v>3335.0226443158595</v>
      </c>
      <c r="AM73" s="8">
        <f>IFERROR(C73*_xlfn.XLOOKUP(E73,Groups!A:A,Groups!K:K),0.106*C73^0.94)</f>
        <v>0.52028725557982192</v>
      </c>
      <c r="AN73" s="8">
        <f>AM73*10000/(_xlfn.XLOOKUP(E73,Groups!A:A,Groups!J:J)*AL73)</f>
        <v>1.4312579203209541</v>
      </c>
      <c r="AO73" s="8">
        <f t="shared" si="25"/>
        <v>227.15839344988919</v>
      </c>
      <c r="AP73" s="8">
        <f>IF(_xlfn.XLOOKUP(E73,Groups!A:A,Groups!M:M)=1,EXP(0.7444*LN('Base stats'!C73)+6.5696),EXP(0.7927*LN('Base stats'!C73)+4.28))</f>
        <v>276.34165658415714</v>
      </c>
      <c r="AQ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"No")))))))))))))))</f>
        <v>45.345008035028158</v>
      </c>
      <c r="AR73" s="8">
        <f>IF(_xlfn.XLOOKUP(E73,Groups!A:A,Groups!U:U)=3,AP73,IF(_xlfn.XLOOKUP(E73,Groups!A:A,Groups!U:U)=2,AO73,AQ73))</f>
        <v>45.345008035028158</v>
      </c>
      <c r="AS73" s="46">
        <f>IFERROR(AVERAGE(_xlfn.XLOOKUP(B73,Animals!B:B,Animals!M:M),_xlfn.XLOOKUP(B73,Animals!B:B,Animals!N:N)),0)</f>
        <v>0</v>
      </c>
      <c r="AT73" s="8">
        <f>MROUND(40*Animals!AN73*_xlfn.XLOOKUP(Animals!AZ73,Leathers!$A$2:$A$100,Leathers!$B$2:$B$100,0)+(140*_xlfn.XLOOKUP(B73,Animals!B:B,Animals!AN:AN)*2),5)</f>
        <v>85</v>
      </c>
      <c r="AU73" s="8">
        <f>IFERROR(ROUND(SQRT(V73-1)*IF(_xlfn.XLOOKUP(E73,Groups!A:A,Groups!BE:BE)=0,2,1)*IF(_xlfn.XLOOKUP('Base stats'!E73,Groups!A:A,Groups!O:O)=0,1,0.1),1),0)</f>
        <v>0.2</v>
      </c>
      <c r="AV73" s="8">
        <f t="shared" si="26"/>
        <v>1</v>
      </c>
      <c r="AW73" s="8">
        <f t="shared" si="27"/>
        <v>0</v>
      </c>
      <c r="AX73" s="8">
        <f t="shared" si="28"/>
        <v>1.1000000000000001</v>
      </c>
      <c r="AY73" s="8">
        <f>IF(_xlfn.XLOOKUP(E73,Groups!A:A,Groups!N:N)="Insect",BA73*2.5,IFERROR(AVERAGE(BA73,AQ73/9.81/IF(OR(_xlfn.XLOOKUP(E73,Groups!A:A,Groups!N:N)="Pig",_xlfn.XLOOKUP(E73,Groups!A:A,Groups!N:N)="StrongBitingHerbivore"),20,25))*C73^-0.135,BA73))</f>
        <v>0.13721975426422997</v>
      </c>
      <c r="AZ73" s="8" t="str">
        <f>IF(W73="No","No",IF(_xlfn.XLOOKUP(E73,Groups!A:A,Groups!U:U)=1,'Base stats'!AY73,IF(OR(_xlfn.XLOOKUP(E73,Groups!A:A,Groups!BC:BC)=1,_xlfn.XLOOKUP(E73,Groups!A:A,Groups!U:U)=2),BA73,IF(_xlfn.XLOOKUP(B73,Animals!B:B,Animals!AN:AN)&gt;4,AVERAGE(BA73,BC73),BC73))))</f>
        <v>No</v>
      </c>
      <c r="BA73" s="8">
        <f>(0.0392*C73^IF(OR(Y73="Herbivore",Y73="Dendrovore",Y73="OmnivoreRough"),0.889,0.966))*C73^-0.135</f>
        <v>0.15999413468554857</v>
      </c>
      <c r="BB73" s="8">
        <f>IF(_xlfn.XLOOKUP(E73,Groups!A:A,Groups!BD:BD)=1,(0.048*C73^1.01)+(0.071*C73^1.03),0.071*C73^1.03)/IF(_xlfn.XLOOKUP(E73,Groups!A:A,Groups!M:M)=1,0.85,IF(OR(_xlfn.XLOOKUP(B73,Animals!B:B,Animals!AN:AN)&gt;4,_xlfn.XLOOKUP(E73,Groups!A:A,Groups!BB:BB)=1),1.7,1))*C73^-0.25</f>
        <v>0.43954965641884286</v>
      </c>
      <c r="BC73" s="8">
        <f>(0.048*C73^1.01)/IF(_xlfn.XLOOKUP(E73,Groups!A:A,Groups!M:M)=1,0.25,0.8)*C73^-0.25</f>
        <v>0.21716079666108293</v>
      </c>
      <c r="BD73" s="8">
        <f>EXP(1.076*LN(AO73)-4.5397)*IF(_xlfn.XLOOKUP(E73,Groups!A:A,Groups!BB:BB)=1,1.25,IF(_xlfn.XLOOKUP(E73,Groups!A:A,Groups!BC:BC)=1,3.5,2.5))</f>
        <v>9.1576306976978312</v>
      </c>
      <c r="BE73" s="8">
        <f>EXP(1.076*LN(AP73)-4.5397)*IF(_xlfn.XLOOKUP(E73,Groups!A:A,Groups!M:M)=1,0.8,IF(_xlfn.XLOOKUP(E73,Groups!A:A,Groups!BB:BB)=1,1.3,3))</f>
        <v>13.569094750060124</v>
      </c>
      <c r="BF73" s="8" t="str">
        <f>IF(W73="No","No",IF(_xlfn.XLOOKUP(E73,Groups!A:A,Groups!U:U)=1,'Base stats'!BG73,IF(OR(_xlfn.XLOOKUP(E73,Groups!A:A,Groups!BC:BC)=1,_xlfn.XLOOKUP(E73,Groups!A:A,Groups!U:U)=2),BD73,BE73))*1.2)</f>
        <v>No</v>
      </c>
      <c r="BG73" s="8">
        <f>IFERROR(EXP(1.076*LN(AQ73)-4.5397)*IF(_xlfn.XLOOKUP(E73,Groups!A:A,Groups!N:N)="Insect",1,IF(OR(_xlfn.XLOOKUP(E73,Groups!A:A,Groups!N:N)="Pig",_xlfn.XLOOKUP(E73,Groups!A:A,Groups!N:N)="StrongBitingHerbivore"),3.5,3.75)),"No")</f>
        <v>2.4259974059014913</v>
      </c>
      <c r="BH73" s="8">
        <f t="shared" si="29"/>
        <v>10</v>
      </c>
      <c r="BI73" s="8">
        <f t="shared" si="30"/>
        <v>7</v>
      </c>
      <c r="BJ73" s="8" t="str">
        <f>IF(W73="No","No",ROUNDDOWN(SQRT((2*BF73)/AZ73),0))</f>
        <v>No</v>
      </c>
      <c r="BK73" s="8">
        <f>IF(V73="No","No",ROUNDDOWN(SQRT((2*BG73)/AY73),0))</f>
        <v>5</v>
      </c>
      <c r="BL73" s="8">
        <f t="shared" si="31"/>
        <v>11</v>
      </c>
      <c r="BM73" s="8" cm="1">
        <f t="array" ref="BM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stats'!E73,Groups!A:A,Groups!P:P=0)),"No",IF(U73="No",AVERAGE(EXP(-0.57+0.99*LN(C73)),EXP(0.32+0.67*LN(C73)))/IF(_xlfn.XLOOKUP(E73,Groups!A:A,Groups!AD:AD)=1,10,2),(0.7354*C73^0.4078)*2/IF(_xlfn.XLOOKUP(E73,Groups!A:A,Groups!BJ:BJ)=1,1000,100)))</f>
        <v>2.9329375304767199E-2</v>
      </c>
      <c r="BN73" s="8" t="str">
        <f>IF(W73="No","No",IF(_xlfn.XLOOKUP(E73,Groups!A:A,Groups!BC:BC)=1,(AL73*5%),EXP(0.7354*LN(C73)^0.4078)*2/IF(_xlfn.XLOOKUP(E73,Groups!A:A,Groups!BK:BK)=1,1000,100)))</f>
        <v>No</v>
      </c>
      <c r="BO73" s="8">
        <f>IF(BG73="No","No",IF(_xlfn.XLOOKUP(E73,Groups!A:A,Groups!BE:BE)=1,(0.0315*C73+2.1825)*2,(0.7354*C73^0.4078)*2)/IF(_xlfn.XLOOKUP(E73,Groups!A:A,Groups!BL:BL)=1,1000,100))</f>
        <v>2.9329375304767199E-2</v>
      </c>
      <c r="BP73" s="8">
        <f>BD73/(AL73*5%)</f>
        <v>5.4917952136282484E-2</v>
      </c>
      <c r="BQ73" s="8">
        <f t="shared" si="32"/>
        <v>462.64520157899858</v>
      </c>
      <c r="BR73" s="8" t="str">
        <f>IF(W73="No","No",BF73/BN73)</f>
        <v>No</v>
      </c>
      <c r="BS73" s="8">
        <f t="shared" si="33"/>
        <v>82.715618068659296</v>
      </c>
      <c r="BT73" s="4">
        <v>0</v>
      </c>
      <c r="BU73" s="4">
        <v>1</v>
      </c>
    </row>
    <row r="74" spans="1:73" x14ac:dyDescent="0.25">
      <c r="A74" s="26" t="s">
        <v>73</v>
      </c>
      <c r="B74" s="6" t="s">
        <v>74</v>
      </c>
      <c r="C74" s="7">
        <f>AVERAGE(221.2,139.7)</f>
        <v>180.45</v>
      </c>
      <c r="D74" s="7" t="s">
        <v>1208</v>
      </c>
      <c r="E74" s="7" t="str">
        <f>Groups!A18</f>
        <v>Felid (can fish)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554</v>
      </c>
      <c r="L74" s="7">
        <v>56</v>
      </c>
      <c r="M74" s="7" t="s">
        <v>638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_xlfn.XLOOKUP(B74,[1]TeethAdjusters!$A:$A,[1]BiteAdjusters!$C:$C)</f>
        <v>1.2883872486194152</v>
      </c>
      <c r="T74" s="7">
        <f>_xlfn.XLOOKUP(B74,[1]TeethAdjusters!$A:$A,[1]TeethAdjusters!$B:$B)</f>
        <v>1.2604512005623816</v>
      </c>
      <c r="U74" s="7">
        <f>MROUND(8.255,0.05)</f>
        <v>8.25</v>
      </c>
      <c r="V74" s="7">
        <f>IF(AQ74="No","No",IF(_xlfn.XLOOKUP(E74,Groups!A:A,Groups!AM:AM)=1,MROUND(EXP(0.3582*LN(C74)-0.2221)*T74,0.05),IF(_xlfn.XLOOKUP(E74,Groups!A:A,Groups!AM:AM)=2,MROUND(EXP(0.3582*LN(C74)-0.2221)*T74,0.05),"Need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945</v>
      </c>
      <c r="Y74" s="4" t="s">
        <v>56</v>
      </c>
      <c r="Z74" s="4">
        <v>0</v>
      </c>
      <c r="AA74" s="4">
        <v>0</v>
      </c>
      <c r="AB74" s="4">
        <v>0</v>
      </c>
      <c r="AC74" s="4" t="s">
        <v>45</v>
      </c>
      <c r="AD74" s="4" t="s">
        <v>45</v>
      </c>
      <c r="AE74" s="28" t="s">
        <v>398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4" t="s">
        <v>40</v>
      </c>
      <c r="AL74" s="8">
        <f t="shared" si="24"/>
        <v>32505.358105511663</v>
      </c>
      <c r="AM74" s="8">
        <f>IFERROR(C74*_xlfn.XLOOKUP(E74,Groups!A:A,Groups!K:K),0.106*C74^0.94)</f>
        <v>22.5111375</v>
      </c>
      <c r="AN74" s="8">
        <f>AM74*10000/(_xlfn.XLOOKUP(E74,Groups!A:A,Groups!J:J)*AL74)</f>
        <v>6.3535432090098345</v>
      </c>
      <c r="AO74" s="8">
        <f t="shared" si="25"/>
        <v>4379.1055345118002</v>
      </c>
      <c r="AP74" s="8">
        <f>IF(_xlfn.XLOOKUP(E74,Groups!A:A,Groups!M:M)=1,EXP(0.7444*LN('Base stats'!C74)+6.5696),EXP(0.7927*LN('Base stats'!C74)+4.28))</f>
        <v>4440.1177379637465</v>
      </c>
      <c r="AQ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"No")))))))))))))))</f>
        <v>8395.7894453321987</v>
      </c>
      <c r="AR74" s="8">
        <f>IF(_xlfn.XLOOKUP(E74,Groups!A:A,Groups!U:U)=3,AP74,IF(_xlfn.XLOOKUP(E74,Groups!A:A,Groups!U:U)=2,AO74,AQ74))</f>
        <v>8395.7894453321987</v>
      </c>
      <c r="AS74" s="46">
        <f>IFERROR(AVERAGE(_xlfn.XLOOKUP(B74,Animals!B:B,Animals!M:M),_xlfn.XLOOKUP(B74,Animals!B:B,Animals!N:N)),0)</f>
        <v>0</v>
      </c>
      <c r="AT74" s="8">
        <f>MROUND(40*Animals!AN74*_xlfn.XLOOKUP(Animals!AZ74,Leathers!$A$2:$A$100,Leathers!$B$2:$B$100,0)+(140*_xlfn.XLOOKUP(B74,Animals!B:B,Animals!AN:AN)*2),5)</f>
        <v>760</v>
      </c>
      <c r="AU74" s="8">
        <f>IFERROR(ROUND(SQRT(V74-1)*IF(_xlfn.XLOOKUP(E74,Groups!A:A,Groups!BE:BE)=0,2,1)*IF(_xlfn.XLOOKUP('Base stats'!E74,Groups!A:A,Groups!O:O)=0,1,0.1),1),0)</f>
        <v>4.7</v>
      </c>
      <c r="AV74" s="8">
        <f t="shared" si="26"/>
        <v>2.7</v>
      </c>
      <c r="AW74" s="8">
        <f t="shared" si="27"/>
        <v>0</v>
      </c>
      <c r="AX74" s="8">
        <f t="shared" si="28"/>
        <v>5.0999999999999996</v>
      </c>
      <c r="AY74" s="8">
        <f>IF(_xlfn.XLOOKUP(E74,Groups!A:A,Groups!N:N)="Insect",BA74*2.5,IFERROR(AVERAGE(BA74,AQ74/9.81/IF(OR(_xlfn.XLOOKUP(E74,Groups!A:A,Groups!N:N)="Pig",_xlfn.XLOOKUP(E74,Groups!A:A,Groups!N:N)="StrongBitingHerbivore"),20,25))*C74^-0.135,BA74))</f>
        <v>9.2170964405414058</v>
      </c>
      <c r="AZ74" s="8" t="str">
        <f>IF(W74="No","No",IF(_xlfn.XLOOKUP(E74,Groups!A:A,Groups!U:U)=1,'Base stats'!AY74,IF(OR(_xlfn.XLOOKUP(E74,Groups!A:A,Groups!BC:BC)=1,_xlfn.XLOOKUP(E74,Groups!A:A,Groups!U:U)=2),BA74,IF(_xlfn.XLOOKUP(B74,Animals!B:B,Animals!AN:AN)&gt;4,AVERAGE(BA74,BC74),BC74))))</f>
        <v>No</v>
      </c>
      <c r="BA74" s="8">
        <f>(0.0392*C74^IF(OR(Y74="Herbivore",Y74="Dendrovore",Y74="OmnivoreRough"),0.889,0.966))*C74^-0.135</f>
        <v>2.9398057811909384</v>
      </c>
      <c r="BB74" s="8">
        <f>IF(_xlfn.XLOOKUP(E74,Groups!A:A,Groups!BD:BD)=1,(0.048*C74^1.01)+(0.071*C74^1.03),0.071*C74^1.03)/IF(_xlfn.XLOOKUP(E74,Groups!A:A,Groups!M:M)=1,0.85,IF(OR(_xlfn.XLOOKUP(B74,Animals!B:B,Animals!AN:AN)&gt;4,_xlfn.XLOOKUP(E74,Groups!A:A,Groups!BB:BB)=1),1.7,1))*C74^-0.25</f>
        <v>4.0852319528706742</v>
      </c>
      <c r="BC74" s="8">
        <f>(0.048*C74^1.01)/IF(_xlfn.XLOOKUP(E74,Groups!A:A,Groups!M:M)=1,0.25,0.8)*C74^-0.25</f>
        <v>3.1115908379600836</v>
      </c>
      <c r="BD74" s="8">
        <f>EXP(1.076*LN(AO74)-4.5397)*IF(_xlfn.XLOOKUP(E74,Groups!A:A,Groups!BB:BB)=1,1.25,IF(_xlfn.XLOOKUP(E74,Groups!A:A,Groups!BC:BC)=1,3.5,2.5))</f>
        <v>221.05688813983673</v>
      </c>
      <c r="BE74" s="8">
        <f>EXP(1.076*LN(AP74)-4.5397)*IF(_xlfn.XLOOKUP(E74,Groups!A:A,Groups!M:M)=1,0.8,IF(_xlfn.XLOOKUP(E74,Groups!A:A,Groups!BB:BB)=1,1.3,3))</f>
        <v>269.24711752883059</v>
      </c>
      <c r="BF74" s="8" t="str">
        <f>IF(W74="No","No",IF(_xlfn.XLOOKUP(E74,Groups!A:A,Groups!U:U)=1,'Base stats'!BG74,IF(OR(_xlfn.XLOOKUP(E74,Groups!A:A,Groups!BC:BC)=1,_xlfn.XLOOKUP(E74,Groups!A:A,Groups!U:U)=2),BD74,BE74))*1.2)</f>
        <v>No</v>
      </c>
      <c r="BG74" s="8">
        <f>IFERROR(EXP(1.076*LN(AQ74)-4.5397)*IF(_xlfn.XLOOKUP(E74,Groups!A:A,Groups!N:N)="Insect",1,IF(OR(_xlfn.XLOOKUP(E74,Groups!A:A,Groups!N:N)="Pig",_xlfn.XLOOKUP(E74,Groups!A:A,Groups!N:N)="StrongBitingHerbivore"),3.5,3.75)),"No")</f>
        <v>667.9667176620485</v>
      </c>
      <c r="BH74" s="8">
        <f t="shared" si="29"/>
        <v>12</v>
      </c>
      <c r="BI74" s="8">
        <f t="shared" si="30"/>
        <v>11</v>
      </c>
      <c r="BJ74" s="8" t="str">
        <f>IF(W74="No","No",ROUNDDOWN(SQRT((2*BF74)/AZ74),0))</f>
        <v>No</v>
      </c>
      <c r="BK74" s="8">
        <f>IF(V74="No","No",ROUNDDOWN(SQRT((2*BG74)/AY74),0))</f>
        <v>12</v>
      </c>
      <c r="BL74" s="8">
        <f t="shared" si="31"/>
        <v>13</v>
      </c>
      <c r="BM74" s="8" cm="1">
        <f t="array" ref="BM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stats'!E74,Groups!A:A,Groups!P:P=0)),"No",IF(U74="No",AVERAGE(EXP(-0.57+0.99*LN(C74)),EXP(0.32+0.67*LN(C74)))/IF(_xlfn.XLOOKUP(E74,Groups!A:A,Groups!AD:AD)=1,10,2),(0.7354*C74^0.4078)*2/IF(_xlfn.XLOOKUP(E74,Groups!A:A,Groups!BJ:BJ)=1,1000,100)))</f>
        <v>0.12237591709715004</v>
      </c>
      <c r="BN74" s="8" t="str">
        <f>IF(W74="No","No",IF(_xlfn.XLOOKUP(E74,Groups!A:A,Groups!BC:BC)=1,(AL74*5%),EXP(0.7354*LN(C74)^0.4078)*2/IF(_xlfn.XLOOKUP(E74,Groups!A:A,Groups!BK:BK)=1,1000,100)))</f>
        <v>No</v>
      </c>
      <c r="BO74" s="8">
        <f>IF(BG74="No","No",IF(_xlfn.XLOOKUP(E74,Groups!A:A,Groups!BE:BE)=1,(0.0315*C74+2.1825)*2,(0.7354*C74^0.4078)*2)/IF(_xlfn.XLOOKUP(E74,Groups!A:A,Groups!BL:BL)=1,1000,100))</f>
        <v>0.12237591709715004</v>
      </c>
      <c r="BP74" s="8">
        <f>BD74/(AL74*5%)</f>
        <v>0.13601258440057237</v>
      </c>
      <c r="BQ74" s="8">
        <f t="shared" si="32"/>
        <v>2200.1642473092525</v>
      </c>
      <c r="BR74" s="8" t="str">
        <f>IF(W74="No","No",BF74/BN74)</f>
        <v>No</v>
      </c>
      <c r="BS74" s="8">
        <f t="shared" si="33"/>
        <v>5458.3183808279255</v>
      </c>
      <c r="BT74" s="4">
        <v>0</v>
      </c>
      <c r="BU74" s="4">
        <v>1</v>
      </c>
    </row>
    <row r="75" spans="1:73" x14ac:dyDescent="0.25">
      <c r="A75" s="26" t="s">
        <v>280</v>
      </c>
      <c r="B75" s="6" t="s">
        <v>281</v>
      </c>
      <c r="C75" s="7">
        <f>AVERAGE(258,185,252,171)</f>
        <v>216.5</v>
      </c>
      <c r="D75" s="7" t="s">
        <v>1178</v>
      </c>
      <c r="E75" s="7" t="str">
        <f>Groups!A17</f>
        <v>Felid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538</v>
      </c>
      <c r="L75" s="7">
        <f>MIN(37.5*C75^0.089,79.3*C75^-0.072)</f>
        <v>53.841880334989163</v>
      </c>
      <c r="M75" s="7" t="s">
        <v>638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_xlfn.XLOOKUP(B75,[1]TeethAdjusters!$A:$A,[1]BiteAdjusters!$C:$C)</f>
        <v>1</v>
      </c>
      <c r="T75" s="7">
        <f>_xlfn.XLOOKUP(B75,[1]TeethAdjusters!$A:$A,[1]TeethAdjusters!$B:$B)</f>
        <v>1</v>
      </c>
      <c r="U75" s="7">
        <f>MROUND(8.255,0.05)</f>
        <v>8.25</v>
      </c>
      <c r="V75" s="7">
        <v>10</v>
      </c>
      <c r="W75" s="7" t="s">
        <v>45</v>
      </c>
      <c r="X75" s="7" t="s">
        <v>945</v>
      </c>
      <c r="Y75" s="4" t="s">
        <v>56</v>
      </c>
      <c r="Z75" s="4">
        <v>0</v>
      </c>
      <c r="AA75" s="4">
        <v>0</v>
      </c>
      <c r="AB75" s="4">
        <v>0</v>
      </c>
      <c r="AC75" s="4" t="s">
        <v>45</v>
      </c>
      <c r="AD75" s="4" t="s">
        <v>462</v>
      </c>
      <c r="AE75" s="28" t="s">
        <v>398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4" t="s">
        <v>40</v>
      </c>
      <c r="AL75" s="8">
        <f t="shared" si="24"/>
        <v>36590.691269595045</v>
      </c>
      <c r="AM75" s="8">
        <f>IFERROR(C75*_xlfn.XLOOKUP(E75,Groups!A:A,Groups!K:K),0.106*C75^0.94)</f>
        <v>27.008375000000001</v>
      </c>
      <c r="AN75" s="8">
        <f>AM75*10000/(_xlfn.XLOOKUP(E75,Groups!A:A,Groups!J:J)*AL75)</f>
        <v>6.7717566485722251</v>
      </c>
      <c r="AO75" s="8">
        <f t="shared" si="25"/>
        <v>5107.4254756471973</v>
      </c>
      <c r="AP75" s="8">
        <f>IF(_xlfn.XLOOKUP(E75,Groups!A:A,Groups!M:M)=1,EXP(0.7444*LN('Base stats'!C75)+6.5696),EXP(0.7927*LN('Base stats'!C75)+4.28))</f>
        <v>5129.7696106810972</v>
      </c>
      <c r="AQ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"No")))))))))))))))</f>
        <v>7517.1643623678765</v>
      </c>
      <c r="AR75" s="8">
        <f>IF(_xlfn.XLOOKUP(E75,Groups!A:A,Groups!U:U)=3,AP75,IF(_xlfn.XLOOKUP(E75,Groups!A:A,Groups!U:U)=2,AO75,AQ75))</f>
        <v>7517.1643623678765</v>
      </c>
      <c r="AS75" s="46">
        <f>IFERROR(AVERAGE(_xlfn.XLOOKUP(B75,Animals!B:B,Animals!M:M),_xlfn.XLOOKUP(B75,Animals!B:B,Animals!N:N)),0)</f>
        <v>0</v>
      </c>
      <c r="AT75" s="8">
        <f>MROUND(40*Animals!AN75*_xlfn.XLOOKUP(Animals!AZ75,Leathers!$A$2:$A$100,Leathers!$B$2:$B$100,0)+(140*_xlfn.XLOOKUP(B75,Animals!B:B,Animals!AN:AN)*2),5)</f>
        <v>850</v>
      </c>
      <c r="AU75" s="8">
        <f>IFERROR(ROUND(SQRT(V75-1)*IF(_xlfn.XLOOKUP(E75,Groups!A:A,Groups!BE:BE)=0,2,1)*IF(_xlfn.XLOOKUP('Base stats'!E75,Groups!A:A,Groups!O:O)=0,1,0.1),1),0)</f>
        <v>6</v>
      </c>
      <c r="AV75" s="8">
        <f t="shared" si="26"/>
        <v>2.7</v>
      </c>
      <c r="AW75" s="8">
        <f t="shared" si="27"/>
        <v>0</v>
      </c>
      <c r="AX75" s="8">
        <f t="shared" si="28"/>
        <v>5.5</v>
      </c>
      <c r="AY75" s="8">
        <f>IF(_xlfn.XLOOKUP(E75,Groups!A:A,Groups!N:N)="Insect",BA75*2.5,IFERROR(AVERAGE(BA75,AQ75/9.81/IF(OR(_xlfn.XLOOKUP(E75,Groups!A:A,Groups!N:N)="Pig",_xlfn.XLOOKUP(E75,Groups!A:A,Groups!N:N)="StrongBitingHerbivore"),20,25))*C75^-0.135,BA75))</f>
        <v>8.2427280073251143</v>
      </c>
      <c r="AZ75" s="8" t="str">
        <f>IF(W75="No","No",IF(_xlfn.XLOOKUP(E75,Groups!A:A,Groups!U:U)=1,'Base stats'!AY75,IF(OR(_xlfn.XLOOKUP(E75,Groups!A:A,Groups!BC:BC)=1,_xlfn.XLOOKUP(E75,Groups!A:A,Groups!U:U)=2),BA75,IF(_xlfn.XLOOKUP(B75,Animals!B:B,Animals!AN:AN)&gt;4,AVERAGE(BA75,BC75),BC75))))</f>
        <v>No</v>
      </c>
      <c r="BA75" s="8">
        <f>(0.0392*C75^IF(OR(Y75="Herbivore",Y75="Dendrovore",Y75="OmnivoreRough"),0.889,0.966))*C75^-0.135</f>
        <v>3.4202006287772089</v>
      </c>
      <c r="BB75" s="8">
        <f>IF(_xlfn.XLOOKUP(E75,Groups!A:A,Groups!BD:BD)=1,(0.048*C75^1.01)+(0.071*C75^1.03),0.071*C75^1.03)/IF(_xlfn.XLOOKUP(E75,Groups!A:A,Groups!M:M)=1,0.85,IF(OR(_xlfn.XLOOKUP(B75,Animals!B:B,Animals!AN:AN)&gt;4,_xlfn.XLOOKUP(E75,Groups!A:A,Groups!BB:BB)=1),1.7,1))*C75^-0.25</f>
        <v>4.7088571019262853</v>
      </c>
      <c r="BC75" s="8">
        <f>(0.048*C75^1.01)/IF(_xlfn.XLOOKUP(E75,Groups!A:A,Groups!M:M)=1,0.25,0.8)*C75^-0.25</f>
        <v>3.5735449964316421</v>
      </c>
      <c r="BD75" s="8">
        <f>EXP(1.076*LN(AO75)-4.5397)*IF(_xlfn.XLOOKUP(E75,Groups!A:A,Groups!BB:BB)=1,1.25,IF(_xlfn.XLOOKUP(E75,Groups!A:A,Groups!BC:BC)=1,3.5,2.5))</f>
        <v>260.85474587575175</v>
      </c>
      <c r="BE75" s="8">
        <f>EXP(1.076*LN(AP75)-4.5397)*IF(_xlfn.XLOOKUP(E75,Groups!A:A,Groups!M:M)=1,0.8,IF(_xlfn.XLOOKUP(E75,Groups!A:A,Groups!BB:BB)=1,1.3,3))</f>
        <v>314.49945199495397</v>
      </c>
      <c r="BF75" s="8" t="str">
        <f>IF(W75="No","No",IF(_xlfn.XLOOKUP(E75,Groups!A:A,Groups!U:U)=1,'Base stats'!BG75,IF(OR(_xlfn.XLOOKUP(E75,Groups!A:A,Groups!BC:BC)=1,_xlfn.XLOOKUP(E75,Groups!A:A,Groups!U:U)=2),BD75,BE75))*1.2)</f>
        <v>No</v>
      </c>
      <c r="BG75" s="8">
        <f>IFERROR(EXP(1.076*LN(AQ75)-4.5397)*IF(_xlfn.XLOOKUP(E75,Groups!A:A,Groups!N:N)="Insect",1,IF(OR(_xlfn.XLOOKUP(E75,Groups!A:A,Groups!N:N)="Pig",_xlfn.XLOOKUP(E75,Groups!A:A,Groups!N:N)="StrongBitingHerbivore"),3.5,3.75)),"No")</f>
        <v>593.06017570414861</v>
      </c>
      <c r="BH75" s="8">
        <f t="shared" si="29"/>
        <v>12</v>
      </c>
      <c r="BI75" s="8">
        <f t="shared" si="30"/>
        <v>11</v>
      </c>
      <c r="BJ75" s="8" t="str">
        <f>IF(W75="No","No",ROUNDDOWN(SQRT((2*BF75)/AZ75),0))</f>
        <v>No</v>
      </c>
      <c r="BK75" s="8">
        <f>IF(V75="No","No",ROUNDDOWN(SQRT((2*BG75)/AY75),0))</f>
        <v>11</v>
      </c>
      <c r="BL75" s="8">
        <f t="shared" si="31"/>
        <v>13</v>
      </c>
      <c r="BM75" s="8" cm="1">
        <f t="array" ref="BM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stats'!E75,Groups!A:A,Groups!P:P=0)),"No",IF(U75="No",AVERAGE(EXP(-0.57+0.99*LN(C75)),EXP(0.32+0.67*LN(C75)))/IF(_xlfn.XLOOKUP(E75,Groups!A:A,Groups!AD:AD)=1,10,2),(0.7354*C75^0.4078)*2/IF(_xlfn.XLOOKUP(E75,Groups!A:A,Groups!BJ:BJ)=1,1000,100)))</f>
        <v>0.13181151542323583</v>
      </c>
      <c r="BN75" s="8" t="str">
        <f>IF(W75="No","No",IF(_xlfn.XLOOKUP(E75,Groups!A:A,Groups!BC:BC)=1,(AL75*5%),EXP(0.7354*LN(C75)^0.4078)*2/IF(_xlfn.XLOOKUP(E75,Groups!A:A,Groups!BK:BK)=1,1000,100)))</f>
        <v>No</v>
      </c>
      <c r="BO75" s="8">
        <f>IF(BG75="No","No",IF(_xlfn.XLOOKUP(E75,Groups!A:A,Groups!BE:BE)=1,(0.0315*C75+2.1825)*2,(0.7354*C75^0.4078)*2)/IF(_xlfn.XLOOKUP(E75,Groups!A:A,Groups!BL:BL)=1,1000,100))</f>
        <v>0.13181151542323583</v>
      </c>
      <c r="BP75" s="8">
        <f>BD75/(AL75*5%)</f>
        <v>0.14257984029534224</v>
      </c>
      <c r="BQ75" s="8">
        <f t="shared" si="32"/>
        <v>2385.9785769484733</v>
      </c>
      <c r="BR75" s="8" t="str">
        <f>IF(W75="No","No",BF75/BN75)</f>
        <v>No</v>
      </c>
      <c r="BS75" s="8">
        <f t="shared" si="33"/>
        <v>4499.3047367665995</v>
      </c>
      <c r="BT75" s="4">
        <v>0</v>
      </c>
      <c r="BU75" s="4">
        <v>1</v>
      </c>
    </row>
    <row r="76" spans="1:73" x14ac:dyDescent="0.25">
      <c r="A76" s="26" t="s">
        <v>210</v>
      </c>
      <c r="B76" s="6" t="s">
        <v>229</v>
      </c>
      <c r="C76" s="7">
        <v>0.5</v>
      </c>
      <c r="E76" s="7" t="s">
        <v>291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574</v>
      </c>
      <c r="L76" s="7">
        <v>10</v>
      </c>
      <c r="M76" s="7" t="s">
        <v>538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_xlfn.XLOOKUP(B76,[1]TeethAdjusters!$A:$A,[1]BiteAdjusters!$C:$C)</f>
        <v>1</v>
      </c>
      <c r="T76" s="7">
        <f>_xlfn.XLOOKUP(B76,[1]TeethAdjusters!$A:$A,[1]TeethAdjusters!$B:$B)</f>
        <v>1</v>
      </c>
      <c r="U76" s="7" t="s">
        <v>45</v>
      </c>
      <c r="V76" s="7">
        <v>2.5</v>
      </c>
      <c r="W76" s="7" t="s">
        <v>45</v>
      </c>
      <c r="X76" s="7" t="s">
        <v>945</v>
      </c>
      <c r="Y76" s="4" t="s">
        <v>56</v>
      </c>
      <c r="Z76" s="4">
        <v>0</v>
      </c>
      <c r="AA76" s="4">
        <v>0</v>
      </c>
      <c r="AB76" s="4">
        <v>0</v>
      </c>
      <c r="AC76" s="4" t="s">
        <v>45</v>
      </c>
      <c r="AD76" s="4" t="s">
        <v>45</v>
      </c>
      <c r="AE76" s="28" t="s">
        <v>45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4" t="s">
        <v>40</v>
      </c>
      <c r="AL76" s="8">
        <f t="shared" si="24"/>
        <v>707.38114816219058</v>
      </c>
      <c r="AM76" s="8">
        <f>IFERROR(C76*_xlfn.XLOOKUP(E76,Groups!A:A,Groups!K:K),0.106*C76^0.94)</f>
        <v>5.5250685324579434E-2</v>
      </c>
      <c r="AN76" s="8">
        <f>AM76*10000/(_xlfn.XLOOKUP(E76,Groups!A:A,Groups!J:J)*AL76)</f>
        <v>0.71656846191523915</v>
      </c>
      <c r="AO76" s="8">
        <f t="shared" si="25"/>
        <v>30.280337563677854</v>
      </c>
      <c r="AP76" s="8">
        <f>IF(_xlfn.XLOOKUP(E76,Groups!A:A,Groups!M:M)=1,EXP(0.7444*LN('Base stats'!C76)+6.5696),EXP(0.7927*LN('Base stats'!C76)+4.28))</f>
        <v>41.701713953818683</v>
      </c>
      <c r="AQ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"No")))))))))))))))</f>
        <v>37.439617627529138</v>
      </c>
      <c r="AR76" s="8">
        <f>IF(_xlfn.XLOOKUP(E76,Groups!A:A,Groups!U:U)=3,AP76,IF(_xlfn.XLOOKUP(E76,Groups!A:A,Groups!U:U)=2,AO76,AQ76))</f>
        <v>37.439617627529138</v>
      </c>
      <c r="AS76" s="46">
        <f>IFERROR(AVERAGE(_xlfn.XLOOKUP(B76,Animals!B:B,Animals!M:M),_xlfn.XLOOKUP(B76,Animals!B:B,Animals!N:N)),0)</f>
        <v>0</v>
      </c>
      <c r="AT76" s="8">
        <f>MROUND(40*Animals!AN76*_xlfn.XLOOKUP(Animals!AZ76,Leathers!$A$2:$A$100,Leathers!$B$2:$B$100,0)+(140*_xlfn.XLOOKUP(B76,Animals!B:B,Animals!AN:AN)*2),5)</f>
        <v>30</v>
      </c>
      <c r="AU76" s="8">
        <f>IFERROR(ROUND(SQRT(V76-1)*IF(_xlfn.XLOOKUP(E76,Groups!A:A,Groups!BE:BE)=0,2,1)*IF(_xlfn.XLOOKUP('Base stats'!E76,Groups!A:A,Groups!O:O)=0,1,0.1),1),0)</f>
        <v>0.2</v>
      </c>
      <c r="AV76" s="8">
        <f t="shared" si="26"/>
        <v>0</v>
      </c>
      <c r="AW76" s="8">
        <f t="shared" si="27"/>
        <v>0</v>
      </c>
      <c r="AX76" s="8">
        <f t="shared" si="28"/>
        <v>0.5</v>
      </c>
      <c r="AY76" s="8">
        <f>IF(_xlfn.XLOOKUP(E76,Groups!A:A,Groups!N:N)="Insect",BA76*2.5,IFERROR(AVERAGE(BA76,AQ76/9.81/IF(OR(_xlfn.XLOOKUP(E76,Groups!A:A,Groups!N:N)="Pig",_xlfn.XLOOKUP(E76,Groups!A:A,Groups!N:N)="StrongBitingHerbivore"),20,25))*C76^-0.135,BA76))</f>
        <v>9.5915584225894496E-2</v>
      </c>
      <c r="AZ76" s="8" t="str">
        <f>IF(W76="No","No",IF(_xlfn.XLOOKUP(E76,Groups!A:A,Groups!U:U)=1,'Base stats'!AY76,IF(OR(_xlfn.XLOOKUP(E76,Groups!A:A,Groups!BC:BC)=1,_xlfn.XLOOKUP(E76,Groups!A:A,Groups!U:U)=2),BA76,IF(_xlfn.XLOOKUP(B76,Animals!B:B,Animals!AN:AN)&gt;4,AVERAGE(BA76,BC76),BC76))))</f>
        <v>No</v>
      </c>
      <c r="BA76" s="8">
        <f>(0.0392*C76^IF(OR(Y76="Herbivore",Y76="Dendrovore",Y76="OmnivoreRough"),0.889,0.966))*C76^-0.135</f>
        <v>2.2035866906060905E-2</v>
      </c>
      <c r="BB76" s="8">
        <f>IF(_xlfn.XLOOKUP(E76,Groups!A:A,Groups!BD:BD)=1,(0.048*C76^1.01)+(0.071*C76^1.03),0.071*C76^1.03)/IF(_xlfn.XLOOKUP(E76,Groups!A:A,Groups!M:M)=1,0.85,IF(OR(_xlfn.XLOOKUP(B76,Animals!B:B,Animals!AN:AN)&gt;4,_xlfn.XLOOKUP(E76,Groups!A:A,Groups!BB:BB)=1),1.7,1))*C76^-0.25</f>
        <v>4.1348042319630178E-2</v>
      </c>
      <c r="BC76" s="8">
        <f>(0.048*C76^1.01)/IF(_xlfn.XLOOKUP(E76,Groups!A:A,Groups!M:M)=1,0.25,0.8)*C76^-0.25</f>
        <v>3.5429779842885908E-2</v>
      </c>
      <c r="BD76" s="8">
        <f>EXP(1.076*LN(AO76)-4.5397)*IF(_xlfn.XLOOKUP(E76,Groups!A:A,Groups!BB:BB)=1,1.25,IF(_xlfn.XLOOKUP(E76,Groups!A:A,Groups!BC:BC)=1,3.5,2.5))</f>
        <v>1.0473751742036277</v>
      </c>
      <c r="BE76" s="8">
        <f>EXP(1.076*LN(AP76)-4.5397)*IF(_xlfn.XLOOKUP(E76,Groups!A:A,Groups!M:M)=1,0.8,IF(_xlfn.XLOOKUP(E76,Groups!A:A,Groups!BB:BB)=1,1.3,3))</f>
        <v>1.7735367701517157</v>
      </c>
      <c r="BF76" s="8" t="str">
        <f>IF(W76="No","No",IF(_xlfn.XLOOKUP(E76,Groups!A:A,Groups!U:U)=1,'Base stats'!BG76,IF(OR(_xlfn.XLOOKUP(E76,Groups!A:A,Groups!BC:BC)=1,_xlfn.XLOOKUP(E76,Groups!A:A,Groups!U:U)=2),BD76,BE76))*1.2)</f>
        <v>No</v>
      </c>
      <c r="BG76" s="8">
        <f>IFERROR(EXP(1.076*LN(AQ76)-4.5397)*IF(_xlfn.XLOOKUP(E76,Groups!A:A,Groups!N:N)="Insect",1,IF(OR(_xlfn.XLOOKUP(E76,Groups!A:A,Groups!N:N)="Pig",_xlfn.XLOOKUP(E76,Groups!A:A,Groups!N:N)="StrongBitingHerbivore"),3.5,3.75)),"No")</f>
        <v>1.9741002322431316</v>
      </c>
      <c r="BH76" s="8">
        <f t="shared" si="29"/>
        <v>9</v>
      </c>
      <c r="BI76" s="8">
        <f t="shared" si="30"/>
        <v>9</v>
      </c>
      <c r="BJ76" s="8" t="str">
        <f>IF(W76="No","No",ROUNDDOWN(SQRT((2*BF76)/AZ76),0))</f>
        <v>No</v>
      </c>
      <c r="BK76" s="8">
        <f>IF(V76="No","No",ROUNDDOWN(SQRT((2*BG76)/AY76),0))</f>
        <v>6</v>
      </c>
      <c r="BL76" s="8">
        <f t="shared" si="31"/>
        <v>10</v>
      </c>
      <c r="BM76" s="8" t="str" cm="1">
        <f t="array" ref="BM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stats'!E76,Groups!A:A,Groups!P:P=0)),"No",IF(U76="No",AVERAGE(EXP(-0.57+0.99*LN(C76)),EXP(0.32+0.67*LN(C76)))/IF(_xlfn.XLOOKUP(E76,Groups!A:A,Groups!AD:AD)=1,10,2),(0.7354*C76^0.4078)*2/IF(_xlfn.XLOOKUP(E76,Groups!A:A,Groups!BJ:BJ)=1,1000,100)))</f>
        <v>No</v>
      </c>
      <c r="BN76" s="8" t="str">
        <f>IF(W76="No","No",IF(_xlfn.XLOOKUP(E76,Groups!A:A,Groups!BC:BC)=1,(AL76*5%),EXP(0.7354*LN(C76)^0.4078)*2/IF(_xlfn.XLOOKUP(E76,Groups!A:A,Groups!BK:BK)=1,1000,100)))</f>
        <v>No</v>
      </c>
      <c r="BO76" s="8">
        <f>IF(BG76="No","No",IF(_xlfn.XLOOKUP(E76,Groups!A:A,Groups!BE:BE)=1,(0.0315*C76+2.1825)*2,(0.7354*C76^0.4078)*2)/IF(_xlfn.XLOOKUP(E76,Groups!A:A,Groups!BL:BL)=1,1000,100))</f>
        <v>1.1086477730522874E-2</v>
      </c>
      <c r="BP76" s="8">
        <f>BD76/(AL76*5%)</f>
        <v>2.9612753377009197E-2</v>
      </c>
      <c r="BQ76" s="8" t="str">
        <f t="shared" si="32"/>
        <v>No</v>
      </c>
      <c r="BR76" s="8" t="str">
        <f>IF(W76="No","No",BF76/BN76)</f>
        <v>No</v>
      </c>
      <c r="BS76" s="8">
        <f t="shared" si="33"/>
        <v>178.06378907956608</v>
      </c>
      <c r="BT76" s="4">
        <v>0</v>
      </c>
      <c r="BU76" s="4">
        <v>1</v>
      </c>
    </row>
    <row r="77" spans="1:73" x14ac:dyDescent="0.25">
      <c r="A77" s="26" t="s">
        <v>218</v>
      </c>
      <c r="B77" s="6" t="s">
        <v>310</v>
      </c>
      <c r="C77" s="7">
        <v>55</v>
      </c>
      <c r="E77" s="7" t="s">
        <v>291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538</v>
      </c>
      <c r="L77" s="7">
        <v>20</v>
      </c>
      <c r="M77" s="7" t="s">
        <v>538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_xlfn.XLOOKUP(B77,[1]TeethAdjusters!$A:$A,[1]BiteAdjusters!$C:$C)</f>
        <v>1</v>
      </c>
      <c r="T77" s="7">
        <f>_xlfn.XLOOKUP(B77,[1]TeethAdjusters!$A:$A,[1]TeethAdjusters!$B:$B)</f>
        <v>1</v>
      </c>
      <c r="U77" s="7" t="s">
        <v>45</v>
      </c>
      <c r="V77" s="7">
        <v>15</v>
      </c>
      <c r="W77" s="7" t="s">
        <v>45</v>
      </c>
      <c r="X77" s="7" t="s">
        <v>945</v>
      </c>
      <c r="Y77" s="4" t="s">
        <v>56</v>
      </c>
      <c r="Z77" s="4">
        <v>0</v>
      </c>
      <c r="AA77" s="4">
        <v>0</v>
      </c>
      <c r="AB77" s="4">
        <v>0</v>
      </c>
      <c r="AC77" s="4" t="s">
        <v>45</v>
      </c>
      <c r="AD77" s="4" t="s">
        <v>45</v>
      </c>
      <c r="AE77" s="28" t="s">
        <v>45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4" t="s">
        <v>40</v>
      </c>
      <c r="AL77" s="8">
        <f t="shared" si="24"/>
        <v>15016.154461994613</v>
      </c>
      <c r="AM77" s="8">
        <f>IFERROR(C77*_xlfn.XLOOKUP(E77,Groups!A:A,Groups!K:K),0.106*C77^0.94)</f>
        <v>4.5840230568262754</v>
      </c>
      <c r="AN77" s="8">
        <f>AM77*10000/(_xlfn.XLOOKUP(E77,Groups!A:A,Groups!J:J)*AL77)</f>
        <v>2.8006676082426014</v>
      </c>
      <c r="AO77" s="8">
        <f t="shared" si="25"/>
        <v>1605.1850768028401</v>
      </c>
      <c r="AP77" s="8">
        <f>IF(_xlfn.XLOOKUP(E77,Groups!A:A,Groups!M:M)=1,EXP(0.7444*LN('Base stats'!C77)+6.5696),EXP(0.7927*LN('Base stats'!C77)+4.28))</f>
        <v>1731.2743173050442</v>
      </c>
      <c r="AQ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"No")))))))))))))))</f>
        <v>859.52766860068562</v>
      </c>
      <c r="AR77" s="8">
        <f>IF(_xlfn.XLOOKUP(E77,Groups!A:A,Groups!U:U)=3,AP77,IF(_xlfn.XLOOKUP(E77,Groups!A:A,Groups!U:U)=2,AO77,AQ77))</f>
        <v>859.52766860068562</v>
      </c>
      <c r="AS77" s="46">
        <f>IFERROR(AVERAGE(_xlfn.XLOOKUP(B77,Animals!B:B,Animals!M:M),_xlfn.XLOOKUP(B77,Animals!B:B,Animals!N:N)),0)</f>
        <v>0</v>
      </c>
      <c r="AT77" s="8">
        <f>MROUND(40*Animals!AN77*_xlfn.XLOOKUP(Animals!AZ77,Leathers!$A$2:$A$100,Leathers!$B$2:$B$100,0)+(140*_xlfn.XLOOKUP(B77,Animals!B:B,Animals!AN:AN)*2),5)</f>
        <v>250</v>
      </c>
      <c r="AU77" s="8">
        <f>IFERROR(ROUND(SQRT(V77-1)*IF(_xlfn.XLOOKUP(E77,Groups!A:A,Groups!BE:BE)=0,2,1)*IF(_xlfn.XLOOKUP('Base stats'!E77,Groups!A:A,Groups!O:O)=0,1,0.1),1),0)</f>
        <v>0.7</v>
      </c>
      <c r="AV77" s="8">
        <f t="shared" si="26"/>
        <v>0</v>
      </c>
      <c r="AW77" s="8">
        <f t="shared" si="27"/>
        <v>0</v>
      </c>
      <c r="AX77" s="8">
        <f t="shared" si="28"/>
        <v>3.4</v>
      </c>
      <c r="AY77" s="8">
        <f>IF(_xlfn.XLOOKUP(E77,Groups!A:A,Groups!N:N)="Insect",BA77*2.5,IFERROR(AVERAGE(BA77,AQ77/9.81/IF(OR(_xlfn.XLOOKUP(E77,Groups!A:A,Groups!N:N)="Pig",_xlfn.XLOOKUP(E77,Groups!A:A,Groups!N:N)="StrongBitingHerbivore"),20,25))*C77^-0.135,BA77))</f>
        <v>1.3389906085500163</v>
      </c>
      <c r="AZ77" s="8" t="str">
        <f>IF(W77="No","No",IF(_xlfn.XLOOKUP(E77,Groups!A:A,Groups!U:U)=1,'Base stats'!AY77,IF(OR(_xlfn.XLOOKUP(E77,Groups!A:A,Groups!BC:BC)=1,_xlfn.XLOOKUP(E77,Groups!A:A,Groups!U:U)=2),BA77,IF(_xlfn.XLOOKUP(B77,Animals!B:B,Animals!AN:AN)&gt;4,AVERAGE(BA77,BC77),BC77))))</f>
        <v>No</v>
      </c>
      <c r="BA77" s="8">
        <f>(0.0392*C77^IF(OR(Y77="Herbivore",Y77="Dendrovore",Y77="OmnivoreRough"),0.889,0.966))*C77^-0.135</f>
        <v>1.0952858120082261</v>
      </c>
      <c r="BB77" s="8">
        <f>IF(_xlfn.XLOOKUP(E77,Groups!A:A,Groups!BD:BD)=1,(0.048*C77^1.01)+(0.071*C77^1.03),0.071*C77^1.03)/IF(_xlfn.XLOOKUP(E77,Groups!A:A,Groups!M:M)=1,0.85,IF(OR(_xlfn.XLOOKUP(B77,Animals!B:B,Animals!AN:AN)&gt;4,_xlfn.XLOOKUP(E77,Groups!A:A,Groups!BB:BB)=1),1.7,1))*C77^-0.25</f>
        <v>1.6171162696258883</v>
      </c>
      <c r="BC77" s="8">
        <f>(0.048*C77^1.01)/IF(_xlfn.XLOOKUP(E77,Groups!A:A,Groups!M:M)=1,0.25,0.8)*C77^-0.25</f>
        <v>1.2613246825021767</v>
      </c>
      <c r="BD77" s="8">
        <f>EXP(1.076*LN(AO77)-4.5397)*IF(_xlfn.XLOOKUP(E77,Groups!A:A,Groups!BB:BB)=1,1.25,IF(_xlfn.XLOOKUP(E77,Groups!A:A,Groups!BC:BC)=1,3.5,2.5))</f>
        <v>75.078981297499624</v>
      </c>
      <c r="BE77" s="8">
        <f>EXP(1.076*LN(AP77)-4.5397)*IF(_xlfn.XLOOKUP(E77,Groups!A:A,Groups!M:M)=1,0.8,IF(_xlfn.XLOOKUP(E77,Groups!A:A,Groups!BB:BB)=1,1.3,3))</f>
        <v>97.731888109270812</v>
      </c>
      <c r="BF77" s="8" t="str">
        <f>IF(W77="No","No",IF(_xlfn.XLOOKUP(E77,Groups!A:A,Groups!U:U)=1,'Base stats'!BG77,IF(OR(_xlfn.XLOOKUP(E77,Groups!A:A,Groups!BC:BC)=1,_xlfn.XLOOKUP(E77,Groups!A:A,Groups!U:U)=2),BD77,BE77))*1.2)</f>
        <v>No</v>
      </c>
      <c r="BG77" s="8">
        <f>IFERROR(EXP(1.076*LN(AQ77)-4.5397)*IF(_xlfn.XLOOKUP(E77,Groups!A:A,Groups!N:N)="Insect",1,IF(OR(_xlfn.XLOOKUP(E77,Groups!A:A,Groups!N:N)="Pig",_xlfn.XLOOKUP(E77,Groups!A:A,Groups!N:N)="StrongBitingHerbivore"),3.5,3.75)),"No")</f>
        <v>57.507994044239602</v>
      </c>
      <c r="BH77" s="8">
        <f t="shared" si="29"/>
        <v>11</v>
      </c>
      <c r="BI77" s="8">
        <f t="shared" si="30"/>
        <v>10</v>
      </c>
      <c r="BJ77" s="8" t="str">
        <f>IF(W77="No","No",ROUNDDOWN(SQRT((2*BF77)/AZ77),0))</f>
        <v>No</v>
      </c>
      <c r="BK77" s="8">
        <f>IF(V77="No","No",ROUNDDOWN(SQRT((2*BG77)/AY77),0))</f>
        <v>9</v>
      </c>
      <c r="BL77" s="8">
        <f t="shared" si="31"/>
        <v>12</v>
      </c>
      <c r="BM77" s="8" t="str" cm="1">
        <f t="array" ref="BM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stats'!E77,Groups!A:A,Groups!P:P=0)),"No",IF(U77="No",AVERAGE(EXP(-0.57+0.99*LN(C77)),EXP(0.32+0.67*LN(C77)))/IF(_xlfn.XLOOKUP(E77,Groups!A:A,Groups!AD:AD)=1,10,2),(0.7354*C77^0.4078)*2/IF(_xlfn.XLOOKUP(E77,Groups!A:A,Groups!BJ:BJ)=1,1000,100)))</f>
        <v>No</v>
      </c>
      <c r="BN77" s="8" t="str">
        <f>IF(W77="No","No",IF(_xlfn.XLOOKUP(E77,Groups!A:A,Groups!BC:BC)=1,(AL77*5%),EXP(0.7354*LN(C77)^0.4078)*2/IF(_xlfn.XLOOKUP(E77,Groups!A:A,Groups!BK:BK)=1,1000,100)))</f>
        <v>No</v>
      </c>
      <c r="BO77" s="8">
        <f>IF(BG77="No","No",IF(_xlfn.XLOOKUP(E77,Groups!A:A,Groups!BE:BE)=1,(0.0315*C77+2.1825)*2,(0.7354*C77^0.4078)*2)/IF(_xlfn.XLOOKUP(E77,Groups!A:A,Groups!BL:BL)=1,1000,100))</f>
        <v>7.5383018919233477E-2</v>
      </c>
      <c r="BP77" s="8">
        <f>BD77/(AL77*5%)</f>
        <v>9.9997614552410241E-2</v>
      </c>
      <c r="BQ77" s="8" t="str">
        <f t="shared" si="32"/>
        <v>No</v>
      </c>
      <c r="BR77" s="8" t="str">
        <f>IF(W77="No","No",BF77/BN77)</f>
        <v>No</v>
      </c>
      <c r="BS77" s="8">
        <f t="shared" si="33"/>
        <v>762.8773013966786</v>
      </c>
      <c r="BT77" s="4">
        <v>0</v>
      </c>
      <c r="BU77" s="4">
        <v>1</v>
      </c>
    </row>
    <row r="78" spans="1:73" x14ac:dyDescent="0.25">
      <c r="A78" s="26" t="s">
        <v>217</v>
      </c>
      <c r="B78" s="6" t="s">
        <v>186</v>
      </c>
      <c r="C78" s="7">
        <f>AVERAGE(1316,1354)</f>
        <v>1335</v>
      </c>
      <c r="E78" s="7" t="str">
        <f>Groups!A36</f>
        <v>Hippolike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575</v>
      </c>
      <c r="L78" s="7">
        <v>25</v>
      </c>
      <c r="M78" s="7" t="s">
        <v>638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_xlfn.XLOOKUP(B78,[1]TeethAdjusters!$A:$A,[1]BiteAdjusters!$C:$C)</f>
        <v>1</v>
      </c>
      <c r="T78" s="7">
        <f>_xlfn.XLOOKUP(B78,[1]TeethAdjusters!$A:$A,[1]TeethAdjusters!$B:$B)</f>
        <v>1</v>
      </c>
      <c r="U78" s="7" t="s">
        <v>45</v>
      </c>
      <c r="V78" s="7">
        <v>50</v>
      </c>
      <c r="W78" s="7" t="s">
        <v>45</v>
      </c>
      <c r="X78" s="7" t="s">
        <v>945</v>
      </c>
      <c r="Y78" s="4" t="s">
        <v>42</v>
      </c>
      <c r="Z78" s="4">
        <v>0</v>
      </c>
      <c r="AA78" s="4">
        <v>0.1</v>
      </c>
      <c r="AB78" s="4">
        <v>0.3</v>
      </c>
      <c r="AC78" s="4" t="s">
        <v>45</v>
      </c>
      <c r="AD78" s="4" t="s">
        <v>410</v>
      </c>
      <c r="AE78" s="28" t="s">
        <v>392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4" t="s">
        <v>40</v>
      </c>
      <c r="AL78" s="8">
        <f t="shared" si="24"/>
        <v>119367.41844391671</v>
      </c>
      <c r="AM78" s="8">
        <f>IFERROR(C78*_xlfn.XLOOKUP(E78,Groups!A:A,Groups!K:K),0.106*C78^0.94)</f>
        <v>240.29999999999998</v>
      </c>
      <c r="AN78" s="8">
        <f>AM78*10000/(_xlfn.XLOOKUP(E78,Groups!A:A,Groups!J:J)*AL78)</f>
        <v>18.468918777858132</v>
      </c>
      <c r="AO78" s="8">
        <f t="shared" si="25"/>
        <v>23742.955296876786</v>
      </c>
      <c r="AP78" s="8">
        <f>IF(_xlfn.XLOOKUP(E78,Groups!A:A,Groups!M:M)=1,EXP(0.7444*LN('Base stats'!C78)+6.5696),EXP(0.7927*LN('Base stats'!C78)+4.28))</f>
        <v>21694.486842690934</v>
      </c>
      <c r="AQ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"No")))))))))))))))</f>
        <v>11235.576674661184</v>
      </c>
      <c r="AR78" s="8">
        <f>IF(_xlfn.XLOOKUP(E78,Groups!A:A,Groups!U:U)=3,AP78,IF(_xlfn.XLOOKUP(E78,Groups!A:A,Groups!U:U)=2,AO78,AQ78))</f>
        <v>11235.576674661184</v>
      </c>
      <c r="AS78" s="46">
        <f>IFERROR(AVERAGE(_xlfn.XLOOKUP(B78,Animals!B:B,Animals!M:M),_xlfn.XLOOKUP(B78,Animals!B:B,Animals!N:N)),0)</f>
        <v>0</v>
      </c>
      <c r="AT78" s="8">
        <f>MROUND(40*Animals!AN78*_xlfn.XLOOKUP(Animals!AZ78,Leathers!$A$2:$A$100,Leathers!$B$2:$B$100,0)+(140*_xlfn.XLOOKUP(B78,Animals!B:B,Animals!AN:AN)*2),5)</f>
        <v>1605</v>
      </c>
      <c r="AU78" s="8">
        <f>IFERROR(ROUND(SQRT(V78-1)*IF(_xlfn.XLOOKUP(E78,Groups!A:A,Groups!BE:BE)=0,2,1)*IF(_xlfn.XLOOKUP('Base stats'!E78,Groups!A:A,Groups!O:O)=0,1,0.1),1),0)</f>
        <v>7</v>
      </c>
      <c r="AV78" s="8">
        <f t="shared" si="26"/>
        <v>0</v>
      </c>
      <c r="AW78" s="8">
        <f t="shared" si="27"/>
        <v>0</v>
      </c>
      <c r="AX78" s="8">
        <f t="shared" si="28"/>
        <v>10.5</v>
      </c>
      <c r="AY78" s="8">
        <f>IF(_xlfn.XLOOKUP(E78,Groups!A:A,Groups!N:N)="Insect",BA78*2.5,IFERROR(AVERAGE(BA78,AQ78/9.81/IF(OR(_xlfn.XLOOKUP(E78,Groups!A:A,Groups!N:N)="Pig",_xlfn.XLOOKUP(E78,Groups!A:A,Groups!N:N)="StrongBitingHerbivore"),20,25))*C78^-0.135,BA78))</f>
        <v>12.52370954490711</v>
      </c>
      <c r="AZ78" s="8" t="str">
        <f>IF(W78="No","No",IF(_xlfn.XLOOKUP(E78,Groups!A:A,Groups!U:U)=1,'Base stats'!AY78,IF(OR(_xlfn.XLOOKUP(E78,Groups!A:A,Groups!BC:BC)=1,_xlfn.XLOOKUP(E78,Groups!A:A,Groups!U:U)=2),BA78,IF(_xlfn.XLOOKUP(B78,Animals!B:B,Animals!AN:AN)&gt;4,AVERAGE(BA78,BC78),BC78))))</f>
        <v>No</v>
      </c>
      <c r="BA78" s="8">
        <f>(0.0392*C78^IF(OR(Y78="Herbivore",Y78="Dendrovore",Y78="OmnivoreRough"),0.889,0.966))*C78^-0.135</f>
        <v>8.9104357162526373</v>
      </c>
      <c r="BB78" s="8">
        <f>IF(_xlfn.XLOOKUP(E78,Groups!A:A,Groups!BD:BD)=1,(0.048*C78^1.01)+(0.071*C78^1.03),0.071*C78^1.03)/IF(_xlfn.XLOOKUP(E78,Groups!A:A,Groups!M:M)=1,0.85,IF(OR(_xlfn.XLOOKUP(B78,Animals!B:B,Animals!AN:AN)&gt;4,_xlfn.XLOOKUP(E78,Groups!A:A,Groups!BB:BB)=1),1.7,1))*C78^-0.25</f>
        <v>19.459592250176009</v>
      </c>
      <c r="BC78" s="8">
        <f>(0.048*C78^1.01)/IF(_xlfn.XLOOKUP(E78,Groups!A:A,Groups!M:M)=1,0.25,0.8)*C78^-0.25</f>
        <v>14.240230278186942</v>
      </c>
      <c r="BD78" s="8">
        <f>EXP(1.076*LN(AO78)-4.5397)*IF(_xlfn.XLOOKUP(E78,Groups!A:A,Groups!BB:BB)=1,1.25,IF(_xlfn.XLOOKUP(E78,Groups!A:A,Groups!BC:BC)=1,3.5,2.5))</f>
        <v>1362.8522229463938</v>
      </c>
      <c r="BE78" s="8">
        <f>EXP(1.076*LN(AP78)-4.5397)*IF(_xlfn.XLOOKUP(E78,Groups!A:A,Groups!M:M)=1,0.8,IF(_xlfn.XLOOKUP(E78,Groups!A:A,Groups!BB:BB)=1,1.3,3))</f>
        <v>1484.111499243088</v>
      </c>
      <c r="BF78" s="8" t="str">
        <f>IF(W78="No","No",IF(_xlfn.XLOOKUP(E78,Groups!A:A,Groups!U:U)=1,'Base stats'!BG78,IF(OR(_xlfn.XLOOKUP(E78,Groups!A:A,Groups!BC:BC)=1,_xlfn.XLOOKUP(E78,Groups!A:A,Groups!U:U)=2),BD78,BE78))*1.2)</f>
        <v>No</v>
      </c>
      <c r="BG78" s="8">
        <f>IFERROR(EXP(1.076*LN(AQ78)-4.5397)*IF(_xlfn.XLOOKUP(E78,Groups!A:A,Groups!N:N)="Insect",1,IF(OR(_xlfn.XLOOKUP(E78,Groups!A:A,Groups!N:N)="Pig",_xlfn.XLOOKUP(E78,Groups!A:A,Groups!N:N)="StrongBitingHerbivore"),3.5,3.75)),"No")</f>
        <v>852.98619140962069</v>
      </c>
      <c r="BH78" s="8">
        <f t="shared" si="29"/>
        <v>17</v>
      </c>
      <c r="BI78" s="8">
        <f t="shared" si="30"/>
        <v>12</v>
      </c>
      <c r="BJ78" s="8" t="str">
        <f>IF(W78="No","No",ROUNDDOWN(SQRT((2*BF78)/AZ78),0))</f>
        <v>No</v>
      </c>
      <c r="BK78" s="8">
        <f>IF(V78="No","No",ROUNDDOWN(SQRT((2*BG78)/AY78),0))</f>
        <v>11</v>
      </c>
      <c r="BL78" s="8">
        <f t="shared" si="31"/>
        <v>14</v>
      </c>
      <c r="BM78" s="8" t="str" cm="1">
        <f t="array" ref="BM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stats'!E78,Groups!A:A,Groups!P:P=0)),"No",IF(U78="No",AVERAGE(EXP(-0.57+0.99*LN(C78)),EXP(0.32+0.67*LN(C78)))/IF(_xlfn.XLOOKUP(E78,Groups!A:A,Groups!AD:AD)=1,10,2),(0.7354*C78^0.4078)*2/IF(_xlfn.XLOOKUP(E78,Groups!A:A,Groups!BJ:BJ)=1,1000,100)))</f>
        <v>No</v>
      </c>
      <c r="BN78" s="8" t="str">
        <f>IF(W78="No","No",IF(_xlfn.XLOOKUP(E78,Groups!A:A,Groups!BC:BC)=1,(AL78*5%),EXP(0.7354*LN(C78)^0.4078)*2/IF(_xlfn.XLOOKUP(E78,Groups!A:A,Groups!BK:BK)=1,1000,100)))</f>
        <v>No</v>
      </c>
      <c r="BO78" s="8">
        <f>IF(BG78="No","No",IF(_xlfn.XLOOKUP(E78,Groups!A:A,Groups!BE:BE)=1,(0.0315*C78+2.1825)*2,(0.7354*C78^0.4078)*2)/IF(_xlfn.XLOOKUP(E78,Groups!A:A,Groups!BL:BL)=1,1000,100))</f>
        <v>0.88470000000000004</v>
      </c>
      <c r="BP78" s="8">
        <f>BD78/(AL78*5%)</f>
        <v>0.22834576481801233</v>
      </c>
      <c r="BQ78" s="8" t="str">
        <f t="shared" si="32"/>
        <v>No</v>
      </c>
      <c r="BR78" s="8" t="str">
        <f>IF(W78="No","No",BF78/BN78)</f>
        <v>No</v>
      </c>
      <c r="BS78" s="8">
        <f t="shared" si="33"/>
        <v>964.15303652042576</v>
      </c>
      <c r="BT78" s="4">
        <v>0</v>
      </c>
      <c r="BU78" s="4">
        <v>1</v>
      </c>
    </row>
    <row r="79" spans="1:73" x14ac:dyDescent="0.25">
      <c r="A79" s="26" t="s">
        <v>286</v>
      </c>
      <c r="B79" s="6" t="s">
        <v>287</v>
      </c>
      <c r="C79" s="7">
        <f>AVERAGE(8000,4000)</f>
        <v>6000</v>
      </c>
      <c r="E79" s="7" t="s">
        <v>72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538</v>
      </c>
      <c r="L79" s="7">
        <v>26</v>
      </c>
      <c r="M79" s="7" t="s">
        <v>638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_xlfn.XLOOKUP(B79,[1]TeethAdjusters!$A:$A,[1]BiteAdjusters!$C:$C)</f>
        <v>1</v>
      </c>
      <c r="T79" s="7">
        <f>_xlfn.XLOOKUP(B79,[1]TeethAdjusters!$A:$A,[1]TeethAdjusters!$B:$B)</f>
        <v>1</v>
      </c>
      <c r="U79" s="7" t="s">
        <v>45</v>
      </c>
      <c r="V79" s="7" t="str">
        <f>IF(AQ79="No","No",IF(_xlfn.XLOOKUP(E79,Groups!A:A,Groups!AM:AM)=1,MROUND(EXP(0.3582*LN(C79)-0.2221)*T79,0.05),IF(_xlfn.XLOOKUP(E79,Groups!A:A,Groups!AM:AM)=2,MROUND(EXP(0.3582*LN(C79)-0.2221)*T79,0.05),"Need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945</v>
      </c>
      <c r="Y79" s="4" t="s">
        <v>42</v>
      </c>
      <c r="Z79" s="4">
        <v>0</v>
      </c>
      <c r="AA79" s="4">
        <v>0</v>
      </c>
      <c r="AB79" s="4">
        <v>0</v>
      </c>
      <c r="AC79" s="4" t="s">
        <v>1082</v>
      </c>
      <c r="AD79" s="4" t="s">
        <v>407</v>
      </c>
      <c r="AE79" s="28" t="s">
        <v>396</v>
      </c>
      <c r="AF79" s="4">
        <v>1</v>
      </c>
      <c r="AG79" s="4">
        <v>0</v>
      </c>
      <c r="AH79" s="4">
        <v>0</v>
      </c>
      <c r="AI79" s="4">
        <v>0</v>
      </c>
      <c r="AJ79" s="4">
        <v>0</v>
      </c>
      <c r="AK79" s="44" t="s">
        <v>40</v>
      </c>
      <c r="AL79" s="8">
        <f t="shared" si="24"/>
        <v>317045.27964091528</v>
      </c>
      <c r="AM79" s="8">
        <f>IFERROR(C79*_xlfn.XLOOKUP(E79,Groups!A:A,Groups!K:K),0.106*C79^0.94)</f>
        <v>480</v>
      </c>
      <c r="AN79" s="8">
        <f>AM79*10000/(_xlfn.XLOOKUP(E79,Groups!A:A,Groups!J:J)*AL79)</f>
        <v>13.889718622394339</v>
      </c>
      <c r="AO79" s="8">
        <f t="shared" si="25"/>
        <v>84497.743412668031</v>
      </c>
      <c r="AP79" s="8">
        <f>IF(_xlfn.XLOOKUP(E79,Groups!A:A,Groups!M:M)=1,EXP(0.7444*LN('Base stats'!C79)+6.5696),EXP(0.7927*LN('Base stats'!C79)+4.28))</f>
        <v>71403.726647358781</v>
      </c>
      <c r="AQ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"No")))))))))))))))</f>
        <v>No</v>
      </c>
      <c r="AR79" s="8">
        <f>IF(_xlfn.XLOOKUP(E79,Groups!A:A,Groups!U:U)=3,AP79,IF(_xlfn.XLOOKUP(E79,Groups!A:A,Groups!U:U)=2,AO79,AQ79))</f>
        <v>71403.726647358781</v>
      </c>
      <c r="AS79" s="46">
        <f>IFERROR(AVERAGE(_xlfn.XLOOKUP(B79,Animals!B:B,Animals!M:M),_xlfn.XLOOKUP(B79,Animals!B:B,Animals!N:N)),0)</f>
        <v>0</v>
      </c>
      <c r="AT79" s="8">
        <f>MROUND(40*Animals!AN79*_xlfn.XLOOKUP(Animals!AZ79,Leathers!$A$2:$A$100,Leathers!$B$2:$B$100,0)+(140*_xlfn.XLOOKUP(B79,Animals!B:B,Animals!AN:AN)*2),5)</f>
        <v>2200</v>
      </c>
      <c r="AU79" s="8">
        <f>IFERROR(ROUND(SQRT(V79-1)*IF(_xlfn.XLOOKUP(E79,Groups!A:A,Groups!BE:BE)=0,2,1)*IF(_xlfn.XLOOKUP('Base stats'!E79,Groups!A:A,Groups!O:O)=0,1,0.1),1),0)</f>
        <v>0</v>
      </c>
      <c r="AV79" s="8">
        <f t="shared" si="26"/>
        <v>0</v>
      </c>
      <c r="AW79" s="8">
        <f t="shared" si="27"/>
        <v>11.8</v>
      </c>
      <c r="AX79" s="8">
        <f t="shared" si="28"/>
        <v>18.100000000000001</v>
      </c>
      <c r="AY79" s="8">
        <f>IF(_xlfn.XLOOKUP(E79,Groups!A:A,Groups!N:N)="Insect",BA79*2.5,IFERROR(AVERAGE(BA79,AQ79/9.81/IF(OR(_xlfn.XLOOKUP(E79,Groups!A:A,Groups!N:N)="Pig",_xlfn.XLOOKUP(E79,Groups!A:A,Groups!N:N)="StrongBitingHerbivore"),20,25))*C79^-0.135,BA79))</f>
        <v>27.670187995209911</v>
      </c>
      <c r="AZ79" s="8">
        <f>IF(W79="No","No",IF(_xlfn.XLOOKUP(E79,Groups!A:A,Groups!U:U)=1,'Base stats'!AY79,IF(OR(_xlfn.XLOOKUP(E79,Groups!A:A,Groups!BC:BC)=1,_xlfn.XLOOKUP(E79,Groups!A:A,Groups!U:U)=2),BA79,IF(_xlfn.XLOOKUP(B79,Animals!B:B,Animals!AN:AN)&gt;4,AVERAGE(BA79,BC79),BC79))))</f>
        <v>36.145948551119211</v>
      </c>
      <c r="BA79" s="8">
        <f>(0.0392*C79^IF(OR(Y79="Herbivore",Y79="Dendrovore",Y79="OmnivoreRough"),0.889,0.966))*C79^-0.135</f>
        <v>27.670187995209911</v>
      </c>
      <c r="BB79" s="8">
        <f>IF(_xlfn.XLOOKUP(E79,Groups!A:A,Groups!BD:BD)=1,(0.048*C79^1.01)+(0.071*C79^1.03),0.071*C79^1.03)/IF(_xlfn.XLOOKUP(E79,Groups!A:A,Groups!M:M)=1,0.85,IF(OR(_xlfn.XLOOKUP(B79,Animals!B:B,Animals!AN:AN)&gt;4,_xlfn.XLOOKUP(E79,Groups!A:A,Groups!BB:BB)=1),1.7,1))*C79^-0.25</f>
        <v>36.963016200528486</v>
      </c>
      <c r="BC79" s="8">
        <f>(0.048*C79^1.01)/IF(_xlfn.XLOOKUP(E79,Groups!A:A,Groups!M:M)=1,0.25,0.8)*C79^-0.25</f>
        <v>44.621709107028508</v>
      </c>
      <c r="BD79" s="8">
        <f>EXP(1.076*LN(AO79)-4.5397)*IF(_xlfn.XLOOKUP(E79,Groups!A:A,Groups!BB:BB)=1,1.25,IF(_xlfn.XLOOKUP(E79,Groups!A:A,Groups!BC:BC)=1,3.5,2.5))</f>
        <v>2670.7220547406591</v>
      </c>
      <c r="BE79" s="8">
        <f>EXP(1.076*LN(AP79)-4.5397)*IF(_xlfn.XLOOKUP(E79,Groups!A:A,Groups!M:M)=1,0.8,IF(_xlfn.XLOOKUP(E79,Groups!A:A,Groups!BB:BB)=1,1.3,3))</f>
        <v>2317.2898443594122</v>
      </c>
      <c r="BF79" s="8">
        <f>IF(W79="No","No",IF(_xlfn.XLOOKUP(E79,Groups!A:A,Groups!U:U)=1,'Base stats'!BG79,IF(OR(_xlfn.XLOOKUP(E79,Groups!A:A,Groups!BC:BC)=1,_xlfn.XLOOKUP(E79,Groups!A:A,Groups!U:U)=2),BD79,BE79))*1.2)</f>
        <v>2780.7478132312945</v>
      </c>
      <c r="BG79" s="8" t="str">
        <f>IFERROR(EXP(1.076*LN(AQ79)-4.5397)*IF(_xlfn.XLOOKUP(E79,Groups!A:A,Groups!N:N)="Insect",1,IF(OR(_xlfn.XLOOKUP(E79,Groups!A:A,Groups!N:N)="Pig",_xlfn.XLOOKUP(E79,Groups!A:A,Groups!N:N)="StrongBitingHerbivore"),3.5,3.75)),"No")</f>
        <v>No</v>
      </c>
      <c r="BH79" s="8">
        <f t="shared" si="29"/>
        <v>13</v>
      </c>
      <c r="BI79" s="8">
        <f t="shared" si="30"/>
        <v>11</v>
      </c>
      <c r="BJ79" s="8">
        <f>IF(W79="No","No",ROUNDDOWN(SQRT((2*BF79)/AZ79),0))</f>
        <v>12</v>
      </c>
      <c r="BK79" s="8" t="str">
        <f>IF(V79="No","No",ROUNDDOWN(SQRT((2*BG79)/AY79),0))</f>
        <v>No</v>
      </c>
      <c r="BL79" s="8">
        <f t="shared" si="31"/>
        <v>10</v>
      </c>
      <c r="BM79" s="8" cm="1">
        <f t="array" ref="BM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stats'!E79,Groups!A:A,Groups!P:P=0)),"No",IF(U79="No",AVERAGE(EXP(-0.57+0.99*LN(C79)),EXP(0.32+0.67*LN(C79)))/IF(_xlfn.XLOOKUP(E79,Groups!A:A,Groups!AD:AD)=1,10,2),(0.7354*C79^0.4078)*2/IF(_xlfn.XLOOKUP(E79,Groups!A:A,Groups!BJ:BJ)=1,1000,100)))</f>
        <v>894.63427132503762</v>
      </c>
      <c r="BN79" s="8">
        <f>IF(W79="No","No",IF(_xlfn.XLOOKUP(E79,Groups!A:A,Groups!BC:BC)=1,(AL79*5%),EXP(0.7354*LN(C79)^0.4078)*2/IF(_xlfn.XLOOKUP(E79,Groups!A:A,Groups!BK:BK)=1,1000,100)))</f>
        <v>0.11822361841876085</v>
      </c>
      <c r="BO79" s="8" t="str">
        <f>IF(BG79="No","No",IF(_xlfn.XLOOKUP(E79,Groups!A:A,Groups!BE:BE)=1,(0.0315*C79+2.1825)*2,(0.7354*C79^0.4078)*2)/IF(_xlfn.XLOOKUP(E79,Groups!A:A,Groups!BL:BL)=1,1000,100))</f>
        <v>No</v>
      </c>
      <c r="BP79" s="8">
        <f>BD79/(AL79*5%)</f>
        <v>0.16847574944282484</v>
      </c>
      <c r="BQ79" s="8">
        <f t="shared" si="32"/>
        <v>2.5902091152033417</v>
      </c>
      <c r="BR79" s="8">
        <f>IF(W79="No","No",BF79/BN79)</f>
        <v>23521.085299399183</v>
      </c>
      <c r="BS79" s="8" t="str">
        <f t="shared" si="33"/>
        <v>No</v>
      </c>
      <c r="BT79" s="4">
        <v>0</v>
      </c>
      <c r="BU79" s="4">
        <v>1</v>
      </c>
    </row>
    <row r="80" spans="1:73" s="16" customFormat="1" x14ac:dyDescent="0.25">
      <c r="A80" s="26" t="s">
        <v>289</v>
      </c>
      <c r="B80" s="6" t="s">
        <v>1143</v>
      </c>
      <c r="C80" s="7">
        <v>7000</v>
      </c>
      <c r="D80" s="7"/>
      <c r="E80" s="7" t="str">
        <f>Groups!A57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538</v>
      </c>
      <c r="L80" s="7">
        <v>35</v>
      </c>
      <c r="M80" s="7" t="s">
        <v>638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_xlfn.XLOOKUP(B80,[1]TeethAdjusters!$A:$A,[1]BiteAdjusters!$C:$C)</f>
        <v>1</v>
      </c>
      <c r="T80" s="7">
        <f>_xlfn.XLOOKUP(B80,[1]TeethAdjusters!$A:$A,[1]TeethAdjusters!$B:$B)</f>
        <v>1</v>
      </c>
      <c r="U80" s="7" t="s">
        <v>45</v>
      </c>
      <c r="V80" s="7" t="str">
        <f>IF(AQ80="No","No",IF(_xlfn.XLOOKUP(E80,Groups!A:A,Groups!AM:AM)=1,MROUND(EXP(0.3582*LN(C80)-0.2221)*T80,0.05),IF(_xlfn.XLOOKUP(E80,Groups!A:A,Groups!AM:AM)=2,MROUND(EXP(0.3582*LN(C80)-0.2221)*T80,0.05),"Need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945</v>
      </c>
      <c r="Y80" s="4" t="s">
        <v>1022</v>
      </c>
      <c r="Z80" s="4">
        <v>0</v>
      </c>
      <c r="AA80" s="4">
        <v>0</v>
      </c>
      <c r="AB80" s="4">
        <v>0</v>
      </c>
      <c r="AC80" s="4" t="s">
        <v>1088</v>
      </c>
      <c r="AD80" s="4" t="s">
        <v>409</v>
      </c>
      <c r="AE80" s="28" t="s">
        <v>381</v>
      </c>
      <c r="AF80" s="4">
        <v>0</v>
      </c>
      <c r="AG80" s="4">
        <v>0</v>
      </c>
      <c r="AH80" s="4">
        <v>0</v>
      </c>
      <c r="AI80" s="4">
        <v>0</v>
      </c>
      <c r="AJ80" s="4">
        <v>1</v>
      </c>
      <c r="AK80" s="44" t="s">
        <v>40</v>
      </c>
      <c r="AL80" s="8">
        <f t="shared" si="24"/>
        <v>350458.58634124394</v>
      </c>
      <c r="AM80" s="8">
        <f>IFERROR(C80*_xlfn.XLOOKUP(E80,Groups!A:A,Groups!K:K),0.106*C80^0.94)</f>
        <v>436.21241605032162</v>
      </c>
      <c r="AN80" s="8">
        <f>AM80*10000/(_xlfn.XLOOKUP(E80,Groups!A:A,Groups!J:J)*AL80)</f>
        <v>11.419177406619859</v>
      </c>
      <c r="AO80" s="8">
        <f t="shared" si="25"/>
        <v>96248.742493610582</v>
      </c>
      <c r="AP80" s="8">
        <f>IF(_xlfn.XLOOKUP(E80,Groups!A:A,Groups!M:M)=1,EXP(0.7444*LN('Base stats'!C80)+6.5696),EXP(0.7927*LN('Base stats'!C80)+4.28))</f>
        <v>80684.404662262488</v>
      </c>
      <c r="AQ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"No")))))))))))))))</f>
        <v>No</v>
      </c>
      <c r="AR80" s="8">
        <f>IF(_xlfn.XLOOKUP(E80,Groups!A:A,Groups!U:U)=3,AP80,IF(_xlfn.XLOOKUP(E80,Groups!A:A,Groups!U:U)=2,AO80,AQ80))</f>
        <v>96248.742493610582</v>
      </c>
      <c r="AS80" s="46">
        <f>IFERROR(AVERAGE(_xlfn.XLOOKUP(B80,Animals!B:B,Animals!M:M),_xlfn.XLOOKUP(B80,Animals!B:B,Animals!N:N)),0)</f>
        <v>1.2000000000000002</v>
      </c>
      <c r="AT80" s="8">
        <f>MROUND(40*Animals!AN80*_xlfn.XLOOKUP(Animals!AZ80,Leathers!$A$2:$A$100,Leathers!$B$2:$B$100,0)+(140*_xlfn.XLOOKUP(B80,Animals!B:B,Animals!AN:AN)*2),5)</f>
        <v>6480</v>
      </c>
      <c r="AU80" s="8">
        <f>IFERROR(ROUND(SQRT(V80-1)*IF(_xlfn.XLOOKUP(E80,Groups!A:A,Groups!BE:BE)=0,2,1)*IF(_xlfn.XLOOKUP('Base stats'!E80,Groups!A:A,Groups!O:O)=0,1,0.1),1),0)</f>
        <v>0</v>
      </c>
      <c r="AV80" s="8">
        <f t="shared" si="26"/>
        <v>0</v>
      </c>
      <c r="AW80" s="8">
        <f t="shared" si="27"/>
        <v>8.9</v>
      </c>
      <c r="AX80" s="8">
        <f t="shared" si="28"/>
        <v>19.100000000000001</v>
      </c>
      <c r="AY80" s="8">
        <f>IF(_xlfn.XLOOKUP(E80,Groups!A:A,Groups!N:N)="Insect",BA80*2.5,IFERROR(AVERAGE(BA80,AQ80/9.81/IF(OR(_xlfn.XLOOKUP(E80,Groups!A:A,Groups!N:N)="Pig",_xlfn.XLOOKUP(E80,Groups!A:A,Groups!N:N)="StrongBitingHerbivore"),20,25))*C80^-0.135,BA80))</f>
        <v>31.080642587354337</v>
      </c>
      <c r="AZ80" s="8">
        <f>IF(W80="No","No",IF(_xlfn.XLOOKUP(E80,Groups!A:A,Groups!U:U)=1,'Base stats'!AY80,IF(OR(_xlfn.XLOOKUP(E80,Groups!A:A,Groups!BC:BC)=1,_xlfn.XLOOKUP(E80,Groups!A:A,Groups!U:U)=2),BA80,IF(_xlfn.XLOOKUP(B80,Animals!B:B,Animals!AN:AN)&gt;4,AVERAGE(BA80,BC80),BC80))))</f>
        <v>31.080642587354337</v>
      </c>
      <c r="BA80" s="8">
        <f>(0.0392*C80^IF(OR(Y80="Herbivore",Y80="Dendrovore",Y80="OmnivoreRough"),0.889,0.966))*C80^-0.135</f>
        <v>31.080642587354337</v>
      </c>
      <c r="BB80" s="8">
        <f>IF(_xlfn.XLOOKUP(E80,Groups!A:A,Groups!BD:BD)=1,(0.048*C80^1.01)+(0.071*C80^1.03),0.071*C80^1.03)/IF(_xlfn.XLOOKUP(E80,Groups!A:A,Groups!M:M)=1,0.85,IF(OR(_xlfn.XLOOKUP(B80,Animals!B:B,Animals!AN:AN)&gt;4,_xlfn.XLOOKUP(E80,Groups!A:A,Groups!BB:BB)=1),1.7,1))*C80^-0.25</f>
        <v>41.685584803118928</v>
      </c>
      <c r="BC80" s="8">
        <f>(0.048*C80^1.01)/IF(_xlfn.XLOOKUP(E80,Groups!A:A,Groups!M:M)=1,0.25,0.8)*C80^-0.25</f>
        <v>50.167881368257298</v>
      </c>
      <c r="BD80" s="8">
        <f>EXP(1.076*LN(AO80)-4.5397)*IF(_xlfn.XLOOKUP(E80,Groups!A:A,Groups!BB:BB)=1,1.25,IF(_xlfn.XLOOKUP(E80,Groups!A:A,Groups!BC:BC)=1,3.5,2.5))</f>
        <v>3072.3907043748436</v>
      </c>
      <c r="BE80" s="8">
        <f>EXP(1.076*LN(AP80)-4.5397)*IF(_xlfn.XLOOKUP(E80,Groups!A:A,Groups!M:M)=1,0.8,IF(_xlfn.XLOOKUP(E80,Groups!A:A,Groups!BB:BB)=1,1.3,3))</f>
        <v>2642.9095557450332</v>
      </c>
      <c r="BF80" s="8">
        <f>IF(W80="No","No",IF(_xlfn.XLOOKUP(E80,Groups!A:A,Groups!U:U)=1,'Base stats'!BG80,IF(OR(_xlfn.XLOOKUP(E80,Groups!A:A,Groups!BC:BC)=1,_xlfn.XLOOKUP(E80,Groups!A:A,Groups!U:U)=2),BD80,BE80))*1.2)</f>
        <v>3686.8688452498122</v>
      </c>
      <c r="BG80" s="8" t="str">
        <f>IFERROR(EXP(1.076*LN(AQ80)-4.5397)*IF(_xlfn.XLOOKUP(E80,Groups!A:A,Groups!N:N)="Insect",1,IF(OR(_xlfn.XLOOKUP(E80,Groups!A:A,Groups!N:N)="Pig",_xlfn.XLOOKUP(E80,Groups!A:A,Groups!N:N)="StrongBitingHerbivore"),3.5,3.75)),"No")</f>
        <v>No</v>
      </c>
      <c r="BH80" s="8">
        <f t="shared" si="29"/>
        <v>14</v>
      </c>
      <c r="BI80" s="8">
        <f t="shared" si="30"/>
        <v>11</v>
      </c>
      <c r="BJ80" s="8">
        <f>IF(W80="No","No",ROUNDDOWN(SQRT((2*BF80)/AZ80),0))</f>
        <v>15</v>
      </c>
      <c r="BK80" s="8" t="str">
        <f>IF(V80="No","No",ROUNDDOWN(SQRT((2*BG80)/AY80),0))</f>
        <v>No</v>
      </c>
      <c r="BL80" s="8">
        <f t="shared" si="31"/>
        <v>10</v>
      </c>
      <c r="BM80" s="8" cm="1">
        <f t="array" ref="BM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stats'!E80,Groups!A:A,Groups!P:P=0)),"No",IF(U80="No",AVERAGE(EXP(-0.57+0.99*LN(C80)),EXP(0.32+0.67*LN(C80)))/IF(_xlfn.XLOOKUP(E80,Groups!A:A,Groups!AD:AD)=1,10,2),(0.7354*C80^0.4078)*2/IF(_xlfn.XLOOKUP(E80,Groups!A:A,Groups!BJ:BJ)=1,1000,100)))</f>
        <v>1035.5711267477873</v>
      </c>
      <c r="BN80" s="8">
        <f>IF(W80="No","No",IF(_xlfn.XLOOKUP(E80,Groups!A:A,Groups!BC:BC)=1,(AL80*5%),EXP(0.7354*LN(C80)^0.4078)*2/IF(_xlfn.XLOOKUP(E80,Groups!A:A,Groups!BK:BK)=1,1000,100)))</f>
        <v>1.1974334259305537E-2</v>
      </c>
      <c r="BO80" s="8" t="str">
        <f>IF(BG80="No","No",IF(_xlfn.XLOOKUP(E80,Groups!A:A,Groups!BE:BE)=1,(0.0315*C80+2.1825)*2,(0.7354*C80^0.4078)*2)/IF(_xlfn.XLOOKUP(E80,Groups!A:A,Groups!BL:BL)=1,1000,100))</f>
        <v>No</v>
      </c>
      <c r="BP80" s="8">
        <f>BD80/(AL80*5%)</f>
        <v>0.17533545041371795</v>
      </c>
      <c r="BQ80" s="8">
        <f t="shared" si="32"/>
        <v>2.5521275047954406</v>
      </c>
      <c r="BR80" s="8">
        <f>IF(W80="No","No",BF80/BN80)</f>
        <v>307897.60544596956</v>
      </c>
      <c r="BS80" s="8" t="str">
        <f t="shared" si="33"/>
        <v>No</v>
      </c>
      <c r="BT80" s="4">
        <v>0</v>
      </c>
      <c r="BU80" s="4">
        <v>1</v>
      </c>
    </row>
    <row r="81" spans="1:73" x14ac:dyDescent="0.25">
      <c r="A81" s="26" t="s">
        <v>221</v>
      </c>
      <c r="B81" s="6" t="s">
        <v>235</v>
      </c>
      <c r="C81" s="7">
        <v>4.2038000000000002</v>
      </c>
      <c r="E81" s="7" t="s">
        <v>938</v>
      </c>
      <c r="F81" s="7">
        <v>133</v>
      </c>
      <c r="G81" s="7">
        <f>365/365</f>
        <v>1</v>
      </c>
      <c r="H81" s="7">
        <v>22.3</v>
      </c>
      <c r="I81" s="4">
        <v>0</v>
      </c>
      <c r="J81" s="7">
        <v>4</v>
      </c>
      <c r="K81" s="7" t="s">
        <v>576</v>
      </c>
      <c r="L81" s="7">
        <f>MIN(20*C81^0.183,19.9*C81^0.142)</f>
        <v>24.401147318089233</v>
      </c>
      <c r="M81" s="7" t="s">
        <v>638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_xlfn.XLOOKUP(B81,[1]TeethAdjusters!$A:$A,[1]BiteAdjusters!$C:$C)</f>
        <v>1</v>
      </c>
      <c r="T81" s="7">
        <f>_xlfn.XLOOKUP(B81,[1]TeethAdjusters!$A:$A,[1]TeethAdjusters!$B:$B)</f>
        <v>1</v>
      </c>
      <c r="U81" s="7">
        <v>2</v>
      </c>
      <c r="V81" s="7">
        <v>1.5</v>
      </c>
      <c r="W81" s="7" t="s">
        <v>45</v>
      </c>
      <c r="X81" s="7" t="s">
        <v>945</v>
      </c>
      <c r="Y81" s="4" t="s">
        <v>53</v>
      </c>
      <c r="Z81" s="4">
        <v>0</v>
      </c>
      <c r="AA81" s="4">
        <v>0</v>
      </c>
      <c r="AB81" s="4">
        <v>0</v>
      </c>
      <c r="AC81" s="4" t="s">
        <v>45</v>
      </c>
      <c r="AD81" s="4" t="s">
        <v>45</v>
      </c>
      <c r="AE81" s="28" t="s">
        <v>382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4" t="s">
        <v>40</v>
      </c>
      <c r="AL81" s="8">
        <f t="shared" si="24"/>
        <v>2822.8662969834941</v>
      </c>
      <c r="AM81" s="8">
        <f>IFERROR(C81*_xlfn.XLOOKUP(E81,Groups!A:A,Groups!K:K),0.106*C81^0.94)</f>
        <v>1.3452160000000002</v>
      </c>
      <c r="AN81" s="8">
        <f>AM81*10000/(_xlfn.XLOOKUP(E81,Groups!A:A,Groups!J:J)*AL81)</f>
        <v>4.9639852520257728</v>
      </c>
      <c r="AO81" s="8">
        <f t="shared" si="25"/>
        <v>182.90736186788891</v>
      </c>
      <c r="AP81" s="8">
        <f>IF(_xlfn.XLOOKUP(E81,Groups!A:A,Groups!M:M)=1,EXP(0.7444*LN('Base stats'!C81)+6.5696),EXP(0.7927*LN('Base stats'!C81)+4.28))</f>
        <v>225.49734469942206</v>
      </c>
      <c r="AQ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"No")))))))))))))))</f>
        <v>199.47347581416869</v>
      </c>
      <c r="AR81" s="8">
        <f>IF(_xlfn.XLOOKUP(E81,Groups!A:A,Groups!U:U)=3,AP81,IF(_xlfn.XLOOKUP(E81,Groups!A:A,Groups!U:U)=2,AO81,AQ81))</f>
        <v>199.47347581416869</v>
      </c>
      <c r="AS81" s="46">
        <f>IFERROR(AVERAGE(_xlfn.XLOOKUP(B81,Animals!B:B,Animals!M:M),_xlfn.XLOOKUP(B81,Animals!B:B,Animals!N:N)),0)</f>
        <v>0.22500000000000001</v>
      </c>
      <c r="AT81" s="8">
        <f>MROUND(40*Animals!AN81*_xlfn.XLOOKUP(Animals!AZ81,Leathers!$A$2:$A$100,Leathers!$B$2:$B$100,0)+(140*_xlfn.XLOOKUP(B81,Animals!B:B,Animals!AN:AN)*2),5)</f>
        <v>120</v>
      </c>
      <c r="AU81" s="8">
        <f>IFERROR(ROUND(SQRT(V81-1)*IF(_xlfn.XLOOKUP(E81,Groups!A:A,Groups!BE:BE)=0,2,1)*IF(_xlfn.XLOOKUP('Base stats'!E81,Groups!A:A,Groups!O:O)=0,1,0.1),1),0)</f>
        <v>1.4</v>
      </c>
      <c r="AV81" s="8">
        <f t="shared" si="26"/>
        <v>1</v>
      </c>
      <c r="AW81" s="8">
        <f t="shared" si="27"/>
        <v>0</v>
      </c>
      <c r="AX81" s="8">
        <f t="shared" si="28"/>
        <v>1</v>
      </c>
      <c r="AY81" s="8">
        <f>IF(_xlfn.XLOOKUP(E81,Groups!A:A,Groups!N:N)="Insect",BA81*2.5,IFERROR(AVERAGE(BA81,AQ81/9.81/IF(OR(_xlfn.XLOOKUP(E81,Groups!A:A,Groups!N:N)="Pig",_xlfn.XLOOKUP(E81,Groups!A:A,Groups!N:N)="StrongBitingHerbivore"),20,25))*C81^-0.135,BA81))</f>
        <v>0.38825638786948652</v>
      </c>
      <c r="AZ81" s="8" t="str">
        <f>IF(W81="No","No",IF(_xlfn.XLOOKUP(E81,Groups!A:A,Groups!U:U)=1,'Base stats'!AY81,IF(OR(_xlfn.XLOOKUP(E81,Groups!A:A,Groups!BC:BC)=1,_xlfn.XLOOKUP(E81,Groups!A:A,Groups!U:U)=2),BA81,IF(_xlfn.XLOOKUP(B81,Animals!B:B,Animals!AN:AN)&gt;4,AVERAGE(BA81,BC81),BC81))))</f>
        <v>No</v>
      </c>
      <c r="BA81" s="8">
        <f>(0.0392*C81^IF(OR(Y81="Herbivore",Y81="Dendrovore",Y81="OmnivoreRough"),0.889,0.966))*C81^-0.135</f>
        <v>0.12928037617445992</v>
      </c>
      <c r="BB81" s="8">
        <f>IF(_xlfn.XLOOKUP(E81,Groups!A:A,Groups!BD:BD)=1,(0.048*C81^1.01)+(0.071*C81^1.03),0.071*C81^1.03)/IF(_xlfn.XLOOKUP(E81,Groups!A:A,Groups!M:M)=1,0.85,IF(OR(_xlfn.XLOOKUP(B81,Animals!B:B,Animals!AN:AN)&gt;4,_xlfn.XLOOKUP(E81,Groups!A:A,Groups!BB:BB)=1),1.7,1))*C81^-0.25</f>
        <v>0.21762016962845121</v>
      </c>
      <c r="BC81" s="8">
        <f>(0.048*C81^1.01)/IF(_xlfn.XLOOKUP(E81,Groups!A:A,Groups!M:M)=1,0.25,0.8)*C81^-0.25</f>
        <v>0.17869779976013878</v>
      </c>
      <c r="BD81" s="8">
        <f>EXP(1.076*LN(AO81)-4.5397)*IF(_xlfn.XLOOKUP(E81,Groups!A:A,Groups!BB:BB)=1,1.25,IF(_xlfn.XLOOKUP(E81,Groups!A:A,Groups!BC:BC)=1,3.5,2.5))</f>
        <v>7.2532743576664149</v>
      </c>
      <c r="BE81" s="8">
        <f>EXP(1.076*LN(AP81)-4.5397)*IF(_xlfn.XLOOKUP(E81,Groups!A:A,Groups!M:M)=1,0.8,IF(_xlfn.XLOOKUP(E81,Groups!A:A,Groups!BB:BB)=1,1.3,3))</f>
        <v>10.902717930063712</v>
      </c>
      <c r="BF81" s="8" t="str">
        <f>IF(W81="No","No",IF(_xlfn.XLOOKUP(E81,Groups!A:A,Groups!U:U)=1,'Base stats'!BG81,IF(OR(_xlfn.XLOOKUP(E81,Groups!A:A,Groups!BC:BC)=1,_xlfn.XLOOKUP(E81,Groups!A:A,Groups!U:U)=2),BD81,BE81))*1.2)</f>
        <v>No</v>
      </c>
      <c r="BG81" s="8">
        <f>IFERROR(EXP(1.076*LN(AQ81)-4.5397)*IF(_xlfn.XLOOKUP(E81,Groups!A:A,Groups!N:N)="Insect",1,IF(OR(_xlfn.XLOOKUP(E81,Groups!A:A,Groups!N:N)="Pig",_xlfn.XLOOKUP(E81,Groups!A:A,Groups!N:N)="StrongBitingHerbivore"),3.5,3.75)),"No")</f>
        <v>11.943759101043481</v>
      </c>
      <c r="BH81" s="8">
        <f t="shared" si="29"/>
        <v>10</v>
      </c>
      <c r="BI81" s="8">
        <f t="shared" si="30"/>
        <v>10</v>
      </c>
      <c r="BJ81" s="8" t="str">
        <f>IF(W81="No","No",ROUNDDOWN(SQRT((2*BF81)/AZ81),0))</f>
        <v>No</v>
      </c>
      <c r="BK81" s="8">
        <f>IF(V81="No","No",ROUNDDOWN(SQRT((2*BG81)/AY81),0))</f>
        <v>7</v>
      </c>
      <c r="BL81" s="8">
        <f t="shared" si="31"/>
        <v>11</v>
      </c>
      <c r="BM81" s="8" t="str" cm="1">
        <f t="array" ref="BM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stats'!E81,Groups!A:A,Groups!P:P=0)),"No",IF(U81="No",AVERAGE(EXP(-0.57+0.99*LN(C81)),EXP(0.32+0.67*LN(C81)))/IF(_xlfn.XLOOKUP(E81,Groups!A:A,Groups!AD:AD)=1,10,2),(0.7354*C81^0.4078)*2/IF(_xlfn.XLOOKUP(E81,Groups!A:A,Groups!BJ:BJ)=1,1000,100)))</f>
        <v>No</v>
      </c>
      <c r="BN81" s="8" t="str">
        <f>IF(W81="No","No",IF(_xlfn.XLOOKUP(E81,Groups!A:A,Groups!BC:BC)=1,(AL81*5%),EXP(0.7354*LN(C81)^0.4078)*2/IF(_xlfn.XLOOKUP(E81,Groups!A:A,Groups!BK:BK)=1,1000,100)))</f>
        <v>No</v>
      </c>
      <c r="BO81" s="8">
        <f>IF(BG81="No","No",IF(_xlfn.XLOOKUP(E81,Groups!A:A,Groups!BE:BE)=1,(0.0315*C81+2.1825)*2,(0.7354*C81^0.4078)*2)/IF(_xlfn.XLOOKUP(E81,Groups!A:A,Groups!BL:BL)=1,1000,100))</f>
        <v>2.6416473927585966E-2</v>
      </c>
      <c r="BP81" s="8">
        <f>BD81/(AL81*5%)</f>
        <v>5.1389429002834747E-2</v>
      </c>
      <c r="BQ81" s="8" t="str">
        <f t="shared" si="32"/>
        <v>No</v>
      </c>
      <c r="BR81" s="8" t="str">
        <f>IF(W81="No","No",BF81/BN81)</f>
        <v>No</v>
      </c>
      <c r="BS81" s="8">
        <f t="shared" si="33"/>
        <v>452.13298087338433</v>
      </c>
      <c r="BT81" s="4">
        <v>0</v>
      </c>
      <c r="BU81" s="4">
        <v>1</v>
      </c>
    </row>
    <row r="82" spans="1:73" x14ac:dyDescent="0.25">
      <c r="A82" s="26" t="s">
        <v>199</v>
      </c>
      <c r="B82" s="6" t="s">
        <v>254</v>
      </c>
      <c r="C82" s="7">
        <v>19.5</v>
      </c>
      <c r="E82" s="7" t="str">
        <f>Groups!A33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577</v>
      </c>
      <c r="L82" s="7">
        <f>MIN(20*C82^0.183,19.9*C82^0.142)</f>
        <v>30.34156594609226</v>
      </c>
      <c r="M82" s="7" t="s">
        <v>638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_xlfn.XLOOKUP(B82,[1]TeethAdjusters!$A:$A,[1]BiteAdjusters!$C:$C)</f>
        <v>2.1970451716078339</v>
      </c>
      <c r="T82" s="7">
        <f>_xlfn.XLOOKUP(B82,[1]TeethAdjusters!$A:$A,[1]TeethAdjusters!$B:$B)</f>
        <v>1.1999813567066198</v>
      </c>
      <c r="U82" s="7">
        <v>4</v>
      </c>
      <c r="V82" s="7">
        <f>IF(AQ82="No","No",IF(_xlfn.XLOOKUP(E82,Groups!A:A,Groups!AM:AM)=1,MROUND(EXP(0.3582*LN(C82)-0.2221)*T82,0.05),IF(_xlfn.XLOOKUP(E82,Groups!A:A,Groups!AM:AM)=2,MROUND(EXP(0.3582*LN(C82)-0.2221)*T82,0.05),"Need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945</v>
      </c>
      <c r="Y82" s="4" t="s">
        <v>56</v>
      </c>
      <c r="Z82" s="4">
        <v>0</v>
      </c>
      <c r="AA82" s="4">
        <v>0</v>
      </c>
      <c r="AB82" s="4">
        <v>0</v>
      </c>
      <c r="AC82" s="4" t="s">
        <v>45</v>
      </c>
      <c r="AD82" s="4" t="s">
        <v>45</v>
      </c>
      <c r="AE82" s="28" t="s">
        <v>394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4" t="s">
        <v>40</v>
      </c>
      <c r="AL82" s="8">
        <f t="shared" si="24"/>
        <v>7653.2425283064531</v>
      </c>
      <c r="AM82" s="8">
        <f>IFERROR(C82*_xlfn.XLOOKUP(E82,Groups!A:A,Groups!K:K),0.106*C82^0.94)</f>
        <v>2.4326249999999998</v>
      </c>
      <c r="AN82" s="8">
        <f>AM82*10000/(_xlfn.XLOOKUP(E82,Groups!A:A,Groups!J:J)*AL82)</f>
        <v>2.9161052283282691</v>
      </c>
      <c r="AO82" s="8">
        <f t="shared" si="25"/>
        <v>668.54860340455468</v>
      </c>
      <c r="AP82" s="8">
        <f>IF(_xlfn.XLOOKUP(E82,Groups!A:A,Groups!M:M)=1,EXP(0.7444*LN('Base stats'!C82)+6.5696),EXP(0.7927*LN('Base stats'!C82)+4.28))</f>
        <v>761.01079790211725</v>
      </c>
      <c r="AQ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"No")))))))))))))))</f>
        <v>1382.2468726417935</v>
      </c>
      <c r="AR82" s="8">
        <f>IF(_xlfn.XLOOKUP(E82,Groups!A:A,Groups!U:U)=3,AP82,IF(_xlfn.XLOOKUP(E82,Groups!A:A,Groups!U:U)=2,AO82,AQ82))</f>
        <v>1382.2468726417935</v>
      </c>
      <c r="AS82" s="46">
        <f>IFERROR(AVERAGE(_xlfn.XLOOKUP(B82,Animals!B:B,Animals!M:M),_xlfn.XLOOKUP(B82,Animals!B:B,Animals!N:N)),0)</f>
        <v>0</v>
      </c>
      <c r="AT82" s="8">
        <f>MROUND(40*Animals!AN82*_xlfn.XLOOKUP(Animals!AZ82,Leathers!$A$2:$A$100,Leathers!$B$2:$B$100,0)+(140*_xlfn.XLOOKUP(B82,Animals!B:B,Animals!AN:AN)*2),5)</f>
        <v>195</v>
      </c>
      <c r="AU82" s="8">
        <f>IFERROR(ROUND(SQRT(V82-1)*IF(_xlfn.XLOOKUP(E82,Groups!A:A,Groups!BE:BE)=0,2,1)*IF(_xlfn.XLOOKUP('Base stats'!E82,Groups!A:A,Groups!O:O)=0,1,0.1),1),0)</f>
        <v>2.7</v>
      </c>
      <c r="AV82" s="8">
        <f t="shared" si="26"/>
        <v>1.7</v>
      </c>
      <c r="AW82" s="8">
        <f t="shared" si="27"/>
        <v>0</v>
      </c>
      <c r="AX82" s="8">
        <f t="shared" si="28"/>
        <v>2.2999999999999998</v>
      </c>
      <c r="AY82" s="8">
        <f>IF(_xlfn.XLOOKUP(E82,Groups!A:A,Groups!N:N)="Insect",BA82*2.5,IFERROR(AVERAGE(BA82,AQ82/9.81/IF(OR(_xlfn.XLOOKUP(E82,Groups!A:A,Groups!N:N)="Pig",_xlfn.XLOOKUP(E82,Groups!A:A,Groups!N:N)="StrongBitingHerbivore"),20,25))*C82^-0.135,BA82))</f>
        <v>2.0420115594351516</v>
      </c>
      <c r="AZ82" s="8" t="str">
        <f>IF(W82="No","No",IF(_xlfn.XLOOKUP(E82,Groups!A:A,Groups!U:U)=1,'Base stats'!AY82,IF(OR(_xlfn.XLOOKUP(E82,Groups!A:A,Groups!BC:BC)=1,_xlfn.XLOOKUP(E82,Groups!A:A,Groups!U:U)=2),BA82,IF(_xlfn.XLOOKUP(B82,Animals!B:B,Animals!AN:AN)&gt;4,AVERAGE(BA82,BC82),BC82))))</f>
        <v>No</v>
      </c>
      <c r="BA82" s="8">
        <f>(0.0392*C82^IF(OR(Y82="Herbivore",Y82="Dendrovore",Y82="OmnivoreRough"),0.889,0.966))*C82^-0.135</f>
        <v>0.4627056781836914</v>
      </c>
      <c r="BB82" s="8">
        <f>IF(_xlfn.XLOOKUP(E82,Groups!A:A,Groups!BD:BD)=1,(0.048*C82^1.01)+(0.071*C82^1.03),0.071*C82^1.03)/IF(_xlfn.XLOOKUP(E82,Groups!A:A,Groups!M:M)=1,0.85,IF(OR(_xlfn.XLOOKUP(B82,Animals!B:B,Animals!AN:AN)&gt;4,_xlfn.XLOOKUP(E82,Groups!A:A,Groups!BB:BB)=1),1.7,1))*C82^-0.25</f>
        <v>0.7202534472839569</v>
      </c>
      <c r="BC82" s="8">
        <f>(0.048*C82^1.01)/IF(_xlfn.XLOOKUP(E82,Groups!A:A,Groups!M:M)=1,0.25,0.8)*C82^-0.25</f>
        <v>0.5735582817362489</v>
      </c>
      <c r="BD82" s="8">
        <f>EXP(1.076*LN(AO82)-4.5397)*IF(_xlfn.XLOOKUP(E82,Groups!A:A,Groups!BB:BB)=1,1.25,IF(_xlfn.XLOOKUP(E82,Groups!A:A,Groups!BC:BC)=1,3.5,2.5))</f>
        <v>29.256100688292047</v>
      </c>
      <c r="BE82" s="8">
        <f>EXP(1.076*LN(AP82)-4.5397)*IF(_xlfn.XLOOKUP(E82,Groups!A:A,Groups!M:M)=1,0.8,IF(_xlfn.XLOOKUP(E82,Groups!A:A,Groups!BB:BB)=1,1.3,3))</f>
        <v>40.358137574306554</v>
      </c>
      <c r="BF82" s="8" t="str">
        <f>IF(W82="No","No",IF(_xlfn.XLOOKUP(E82,Groups!A:A,Groups!U:U)=1,'Base stats'!BG82,IF(OR(_xlfn.XLOOKUP(E82,Groups!A:A,Groups!BC:BC)=1,_xlfn.XLOOKUP(E82,Groups!A:A,Groups!U:U)=2),BD82,BE82))*1.2)</f>
        <v>No</v>
      </c>
      <c r="BG82" s="8">
        <f>IFERROR(EXP(1.076*LN(AQ82)-4.5397)*IF(_xlfn.XLOOKUP(E82,Groups!A:A,Groups!N:N)="Insect",1,IF(OR(_xlfn.XLOOKUP(E82,Groups!A:A,Groups!N:N)="Pig",_xlfn.XLOOKUP(E82,Groups!A:A,Groups!N:N)="StrongBitingHerbivore"),3.5,3.75)),"No")</f>
        <v>95.881480441229712</v>
      </c>
      <c r="BH82" s="8">
        <f t="shared" si="29"/>
        <v>11</v>
      </c>
      <c r="BI82" s="8">
        <f t="shared" si="30"/>
        <v>10</v>
      </c>
      <c r="BJ82" s="8" t="str">
        <f>IF(W82="No","No",ROUNDDOWN(SQRT((2*BF82)/AZ82),0))</f>
        <v>No</v>
      </c>
      <c r="BK82" s="8">
        <f>IF(V82="No","No",ROUNDDOWN(SQRT((2*BG82)/AY82),0))</f>
        <v>9</v>
      </c>
      <c r="BL82" s="8">
        <f t="shared" si="31"/>
        <v>11</v>
      </c>
      <c r="BM82" s="8" cm="1">
        <f t="array" ref="BM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stats'!E82,Groups!A:A,Groups!P:P=0)),"No",IF(U82="No",AVERAGE(EXP(-0.57+0.99*LN(C82)),EXP(0.32+0.67*LN(C82)))/IF(_xlfn.XLOOKUP(E82,Groups!A:A,Groups!AD:AD)=1,10,2),(0.7354*C82^0.4078)*2/IF(_xlfn.XLOOKUP(E82,Groups!A:A,Groups!BJ:BJ)=1,1000,100)))</f>
        <v>4.9388943457744701E-2</v>
      </c>
      <c r="BN82" s="8" t="str">
        <f>IF(W82="No","No",IF(_xlfn.XLOOKUP(E82,Groups!A:A,Groups!BC:BC)=1,(AL82*5%),EXP(0.7354*LN(C82)^0.4078)*2/IF(_xlfn.XLOOKUP(E82,Groups!A:A,Groups!BK:BK)=1,1000,100)))</f>
        <v>No</v>
      </c>
      <c r="BO82" s="8">
        <f>IF(BG82="No","No",IF(_xlfn.XLOOKUP(E82,Groups!A:A,Groups!BE:BE)=1,(0.0315*C82+2.1825)*2,(0.7354*C82^0.4078)*2)/IF(_xlfn.XLOOKUP(E82,Groups!A:A,Groups!BL:BL)=1,1000,100))</f>
        <v>4.9388943457744701E-2</v>
      </c>
      <c r="BP82" s="8">
        <f>BD82/(AL82*5%)</f>
        <v>7.6454131905750483E-2</v>
      </c>
      <c r="BQ82" s="8">
        <f t="shared" si="32"/>
        <v>817.14923925909534</v>
      </c>
      <c r="BR82" s="8" t="str">
        <f>IF(W82="No","No",BF82/BN82)</f>
        <v>No</v>
      </c>
      <c r="BS82" s="8">
        <f t="shared" si="33"/>
        <v>1941.3551643043802</v>
      </c>
      <c r="BT82" s="4">
        <v>0</v>
      </c>
      <c r="BU82" s="4">
        <v>1</v>
      </c>
    </row>
    <row r="83" spans="1:73" x14ac:dyDescent="0.25">
      <c r="A83" s="26" t="s">
        <v>200</v>
      </c>
      <c r="B83" s="6" t="s">
        <v>290</v>
      </c>
      <c r="C83" s="7">
        <v>0.94499999999999995</v>
      </c>
      <c r="E83" s="7" t="str">
        <f>Groups!A31</f>
        <v>Mustelid (can fish)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590</v>
      </c>
      <c r="L83" s="7">
        <f>MIN(20*C83^0.183,19.9*C83^0.142)</f>
        <v>19.740783847805943</v>
      </c>
      <c r="M83" s="7" t="s">
        <v>638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_xlfn.XLOOKUP(B83,[1]TeethAdjusters!$A:$A,[1]BiteAdjusters!$C:$C)</f>
        <v>1.1315200874177178</v>
      </c>
      <c r="T83" s="7">
        <f>_xlfn.XLOOKUP(B83,[1]TeethAdjusters!$A:$A,[1]TeethAdjusters!$B:$B)</f>
        <v>1.2697912324530132</v>
      </c>
      <c r="U83" s="7">
        <v>1</v>
      </c>
      <c r="V83" s="7">
        <f>IF(AQ83="No","No",IF(_xlfn.XLOOKUP(E83,Groups!A:A,Groups!AM:AM)=1,MROUND(EXP(0.3582*LN(C83)-0.2221)*T83,0.05),IF(_xlfn.XLOOKUP(E83,Groups!A:A,Groups!AM:AM)=2,MROUND(EXP(0.3582*LN(C83)-0.2221)*T83,0.05),"Need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945</v>
      </c>
      <c r="Y83" s="4" t="s">
        <v>56</v>
      </c>
      <c r="Z83" s="4">
        <v>0</v>
      </c>
      <c r="AA83" s="4">
        <v>0</v>
      </c>
      <c r="AB83" s="4">
        <v>0</v>
      </c>
      <c r="AC83" s="4" t="s">
        <v>45</v>
      </c>
      <c r="AD83" s="4" t="s">
        <v>45</v>
      </c>
      <c r="AE83" s="28" t="s">
        <v>397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4" t="s">
        <v>40</v>
      </c>
      <c r="AL83" s="8">
        <f t="shared" si="24"/>
        <v>1069.9257856436234</v>
      </c>
      <c r="AM83" s="8">
        <f>IFERROR(C83*_xlfn.XLOOKUP(E83,Groups!A:A,Groups!K:K),0.106*C83^0.94)</f>
        <v>0.11788875</v>
      </c>
      <c r="AN83" s="8">
        <f>AM83*10000/(_xlfn.XLOOKUP(E83,Groups!A:A,Groups!J:J)*AL83)</f>
        <v>1.0108627903448459</v>
      </c>
      <c r="AO83" s="8">
        <f t="shared" si="25"/>
        <v>51.842746143999378</v>
      </c>
      <c r="AP83" s="8">
        <f>IF(_xlfn.XLOOKUP(E83,Groups!A:A,Groups!M:M)=1,EXP(0.7444*LN('Base stats'!C83)+6.5696),EXP(0.7927*LN('Base stats'!C83)+4.28))</f>
        <v>69.072500329128502</v>
      </c>
      <c r="AQ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"No")))))))))))))))</f>
        <v>73.840943941527698</v>
      </c>
      <c r="AR83" s="8">
        <f>IF(_xlfn.XLOOKUP(E83,Groups!A:A,Groups!U:U)=3,AP83,IF(_xlfn.XLOOKUP(E83,Groups!A:A,Groups!U:U)=2,AO83,AQ83))</f>
        <v>73.840943941527698</v>
      </c>
      <c r="AS83" s="46">
        <f>IFERROR(AVERAGE(_xlfn.XLOOKUP(B83,Animals!B:B,Animals!M:M),_xlfn.XLOOKUP(B83,Animals!B:B,Animals!N:N)),0)</f>
        <v>0</v>
      </c>
      <c r="AT83" s="8">
        <f>MROUND(40*Animals!AN83*_xlfn.XLOOKUP(Animals!AZ83,Leathers!$A$2:$A$100,Leathers!$B$2:$B$100,0)+(140*_xlfn.XLOOKUP(B83,Animals!B:B,Animals!AN:AN)*2),5)</f>
        <v>75</v>
      </c>
      <c r="AU83" s="8">
        <f>IFERROR(ROUND(SQRT(V83-1)*IF(_xlfn.XLOOKUP(E83,Groups!A:A,Groups!BE:BE)=0,2,1)*IF(_xlfn.XLOOKUP('Base stats'!E83,Groups!A:A,Groups!O:O)=0,1,0.1),1),0)</f>
        <v>0</v>
      </c>
      <c r="AV83" s="8">
        <f t="shared" si="26"/>
        <v>0</v>
      </c>
      <c r="AW83" s="8">
        <f t="shared" si="27"/>
        <v>0</v>
      </c>
      <c r="AX83" s="8">
        <f t="shared" si="28"/>
        <v>0.6</v>
      </c>
      <c r="AY83" s="8">
        <f>IF(_xlfn.XLOOKUP(E83,Groups!A:A,Groups!N:N)="Insect",BA83*2.5,IFERROR(AVERAGE(BA83,AQ83/9.81/IF(OR(_xlfn.XLOOKUP(E83,Groups!A:A,Groups!N:N)="Pig",_xlfn.XLOOKUP(E83,Groups!A:A,Groups!N:N)="StrongBitingHerbivore"),20,25))*C83^-0.135,BA83))</f>
        <v>0.17053956579837354</v>
      </c>
      <c r="AZ83" s="8" t="str">
        <f>IF(W83="No","No",IF(_xlfn.XLOOKUP(E83,Groups!A:A,Groups!U:U)=1,'Base stats'!AY83,IF(OR(_xlfn.XLOOKUP(E83,Groups!A:A,Groups!BC:BC)=1,_xlfn.XLOOKUP(E83,Groups!A:A,Groups!U:U)=2),BA83,IF(_xlfn.XLOOKUP(B83,Animals!B:B,Animals!AN:AN)&gt;4,AVERAGE(BA83,BC83),BC83))))</f>
        <v>No</v>
      </c>
      <c r="BA83" s="8">
        <f>(0.0392*C83^IF(OR(Y83="Herbivore",Y83="Dendrovore",Y83="OmnivoreRough"),0.889,0.966))*C83^-0.135</f>
        <v>3.7399853403098704E-2</v>
      </c>
      <c r="BB83" s="8">
        <f>IF(_xlfn.XLOOKUP(E83,Groups!A:A,Groups!BD:BD)=1,(0.048*C83^1.01)+(0.071*C83^1.03),0.071*C83^1.03)/IF(_xlfn.XLOOKUP(E83,Groups!A:A,Groups!M:M)=1,0.85,IF(OR(_xlfn.XLOOKUP(B83,Animals!B:B,Animals!AN:AN)&gt;4,_xlfn.XLOOKUP(E83,Groups!A:A,Groups!BB:BB)=1),1.7,1))*C83^-0.25</f>
        <v>6.7935247093908607E-2</v>
      </c>
      <c r="BC83" s="8">
        <f>(0.048*C83^1.01)/IF(_xlfn.XLOOKUP(E83,Groups!A:A,Groups!M:M)=1,0.25,0.8)*C83^-0.25</f>
        <v>5.7475058879815466E-2</v>
      </c>
      <c r="BD83" s="8">
        <f>EXP(1.076*LN(AO83)-4.5397)*IF(_xlfn.XLOOKUP(E83,Groups!A:A,Groups!BB:BB)=1,1.25,IF(_xlfn.XLOOKUP(E83,Groups!A:A,Groups!BC:BC)=1,3.5,2.5))</f>
        <v>1.8680032839406988</v>
      </c>
      <c r="BE83" s="8">
        <f>EXP(1.076*LN(AP83)-4.5397)*IF(_xlfn.XLOOKUP(E83,Groups!A:A,Groups!M:M)=1,0.8,IF(_xlfn.XLOOKUP(E83,Groups!A:A,Groups!BB:BB)=1,1.3,3))</f>
        <v>3.0524388037913885</v>
      </c>
      <c r="BF83" s="8" t="str">
        <f>IF(W83="No","No",IF(_xlfn.XLOOKUP(E83,Groups!A:A,Groups!U:U)=1,'Base stats'!BG83,IF(OR(_xlfn.XLOOKUP(E83,Groups!A:A,Groups!BC:BC)=1,_xlfn.XLOOKUP(E83,Groups!A:A,Groups!U:U)=2),BD83,BE83))*1.2)</f>
        <v>No</v>
      </c>
      <c r="BG83" s="8">
        <f>IFERROR(EXP(1.076*LN(AQ83)-4.5397)*IF(_xlfn.XLOOKUP(E83,Groups!A:A,Groups!N:N)="Insect",1,IF(OR(_xlfn.XLOOKUP(E83,Groups!A:A,Groups!N:N)="Pig",_xlfn.XLOOKUP(E83,Groups!A:A,Groups!N:N)="StrongBitingHerbivore"),3.5,3.75)),"No")</f>
        <v>4.0997034019459191</v>
      </c>
      <c r="BH83" s="8">
        <f t="shared" si="29"/>
        <v>9</v>
      </c>
      <c r="BI83" s="8">
        <f t="shared" si="30"/>
        <v>9</v>
      </c>
      <c r="BJ83" s="8" t="str">
        <f>IF(W83="No","No",ROUNDDOWN(SQRT((2*BF83)/AZ83),0))</f>
        <v>No</v>
      </c>
      <c r="BK83" s="8">
        <f>IF(V83="No","No",ROUNDDOWN(SQRT((2*BG83)/AY83),0))</f>
        <v>6</v>
      </c>
      <c r="BL83" s="8">
        <f t="shared" si="31"/>
        <v>10</v>
      </c>
      <c r="BM83" s="8" cm="1">
        <f t="array" ref="BM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stats'!E83,Groups!A:A,Groups!P:P=0)),"No",IF(U83="No",AVERAGE(EXP(-0.57+0.99*LN(C83)),EXP(0.32+0.67*LN(C83)))/IF(_xlfn.XLOOKUP(E83,Groups!A:A,Groups!AD:AD)=1,10,2),(0.7354*C83^0.4078)*2/IF(_xlfn.XLOOKUP(E83,Groups!A:A,Groups!BJ:BJ)=1,1000,100)))</f>
        <v>1.4372579272989176E-2</v>
      </c>
      <c r="BN83" s="8" t="str">
        <f>IF(W83="No","No",IF(_xlfn.XLOOKUP(E83,Groups!A:A,Groups!BC:BC)=1,(AL83*5%),EXP(0.7354*LN(C83)^0.4078)*2/IF(_xlfn.XLOOKUP(E83,Groups!A:A,Groups!BK:BK)=1,1000,100)))</f>
        <v>No</v>
      </c>
      <c r="BO83" s="8">
        <f>IF(BG83="No","No",IF(_xlfn.XLOOKUP(E83,Groups!A:A,Groups!BE:BE)=1,(0.0315*C83+2.1825)*2,(0.7354*C83^0.4078)*2)/IF(_xlfn.XLOOKUP(E83,Groups!A:A,Groups!BL:BL)=1,1000,100))</f>
        <v>1.4372579272989176E-2</v>
      </c>
      <c r="BP83" s="8">
        <f>BD83/(AL83*5%)</f>
        <v>3.491837114322812E-2</v>
      </c>
      <c r="BQ83" s="8">
        <f t="shared" si="32"/>
        <v>212.37933329948154</v>
      </c>
      <c r="BR83" s="8" t="str">
        <f>IF(W83="No","No",BF83/BN83)</f>
        <v>No</v>
      </c>
      <c r="BS83" s="8">
        <f t="shared" si="33"/>
        <v>285.24479316322964</v>
      </c>
      <c r="BT83" s="4">
        <v>0</v>
      </c>
      <c r="BU83" s="4">
        <v>1</v>
      </c>
    </row>
    <row r="84" spans="1:73" x14ac:dyDescent="0.25">
      <c r="A84" s="26" t="s">
        <v>105</v>
      </c>
      <c r="B84" s="6" t="s">
        <v>106</v>
      </c>
      <c r="C84" s="7">
        <v>13</v>
      </c>
      <c r="E84" s="7" t="str">
        <f>Groups!A34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578</v>
      </c>
      <c r="L84" s="7">
        <f>MIN(20*C84^0.183,19.9*C84^0.142)</f>
        <v>28.643958275612917</v>
      </c>
      <c r="M84" s="7" t="s">
        <v>638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_xlfn.XLOOKUP(B84,[1]TeethAdjusters!$A:$A,[1]BiteAdjusters!$C:$C)</f>
        <v>1</v>
      </c>
      <c r="T84" s="7">
        <f>_xlfn.XLOOKUP(B84,[1]TeethAdjusters!$A:$A,[1]TeethAdjusters!$B:$B)</f>
        <v>0.99946268287890638</v>
      </c>
      <c r="U84" s="7">
        <f>MROUND(AVERAGE(3.81,3.175),0.05)</f>
        <v>3.5</v>
      </c>
      <c r="V84" s="7">
        <f>IF(AQ84="No","No",IF(_xlfn.XLOOKUP(E84,Groups!A:A,Groups!AM:AM)=1,MROUND(EXP(0.3582*LN(C84)-0.2221)*T84,0.05),IF(_xlfn.XLOOKUP(E84,Groups!A:A,Groups!AM:AM)=2,MROUND(EXP(0.3582*LN(C84)-0.2221)*T84,0.05),"Need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945</v>
      </c>
      <c r="Y84" s="4" t="s">
        <v>1023</v>
      </c>
      <c r="Z84" s="4">
        <v>0</v>
      </c>
      <c r="AA84" s="4">
        <v>0</v>
      </c>
      <c r="AB84" s="4">
        <v>0</v>
      </c>
      <c r="AC84" s="4" t="s">
        <v>45</v>
      </c>
      <c r="AD84" s="4" t="s">
        <v>45</v>
      </c>
      <c r="AE84" s="28" t="s">
        <v>394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4" t="s">
        <v>40</v>
      </c>
      <c r="AL84" s="8">
        <f t="shared" si="24"/>
        <v>5880.1195755064182</v>
      </c>
      <c r="AM84" s="8">
        <f>IFERROR(C84*_xlfn.XLOOKUP(E84,Groups!A:A,Groups!K:K),0.106*C84^0.94)</f>
        <v>1.62175</v>
      </c>
      <c r="AN84" s="8">
        <f>AM84*10000/(_xlfn.XLOOKUP(E84,Groups!A:A,Groups!J:J)*AL84)</f>
        <v>2.5302955451702847</v>
      </c>
      <c r="AO84" s="8">
        <f t="shared" si="25"/>
        <v>474.66662819206232</v>
      </c>
      <c r="AP84" s="8">
        <f>IF(_xlfn.XLOOKUP(E84,Groups!A:A,Groups!M:M)=1,EXP(0.7444*LN('Base stats'!C84)+6.5696),EXP(0.7927*LN('Base stats'!C84)+4.28))</f>
        <v>551.82742176243494</v>
      </c>
      <c r="AQ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"No")))))))))))))))</f>
        <v>464.43475661202478</v>
      </c>
      <c r="AR84" s="8">
        <f>IF(_xlfn.XLOOKUP(E84,Groups!A:A,Groups!U:U)=3,AP84,IF(_xlfn.XLOOKUP(E84,Groups!A:A,Groups!U:U)=2,AO84,AQ84))</f>
        <v>464.43475661202478</v>
      </c>
      <c r="AS84" s="46">
        <f>IFERROR(AVERAGE(_xlfn.XLOOKUP(B84,Animals!B:B,Animals!M:M),_xlfn.XLOOKUP(B84,Animals!B:B,Animals!N:N)),0)</f>
        <v>0</v>
      </c>
      <c r="AT84" s="8">
        <f>MROUND(40*Animals!AN84*_xlfn.XLOOKUP(Animals!AZ84,Leathers!$A$2:$A$100,Leathers!$B$2:$B$100,0)+(140*_xlfn.XLOOKUP(B84,Animals!B:B,Animals!AN:AN)*2),5)</f>
        <v>160</v>
      </c>
      <c r="AU84" s="8">
        <f>IFERROR(ROUND(SQRT(V84-1)*IF(_xlfn.XLOOKUP(E84,Groups!A:A,Groups!BE:BE)=0,2,1)*IF(_xlfn.XLOOKUP('Base stats'!E84,Groups!A:A,Groups!O:O)=0,1,0.1),1),0)</f>
        <v>2</v>
      </c>
      <c r="AV84" s="8">
        <f t="shared" si="26"/>
        <v>1.6</v>
      </c>
      <c r="AW84" s="8">
        <f t="shared" si="27"/>
        <v>0</v>
      </c>
      <c r="AX84" s="8">
        <f t="shared" si="28"/>
        <v>1.9</v>
      </c>
      <c r="AY84" s="8">
        <f>IF(_xlfn.XLOOKUP(E84,Groups!A:A,Groups!N:N)="Insect",BA84*2.5,IFERROR(AVERAGE(BA84,AQ84/9.81/IF(OR(_xlfn.XLOOKUP(E84,Groups!A:A,Groups!N:N)="Pig",_xlfn.XLOOKUP(E84,Groups!A:A,Groups!N:N)="StrongBitingHerbivore"),20,25))*C84^-0.135,BA84))</f>
        <v>0.76562856738155183</v>
      </c>
      <c r="AZ84" s="8" t="str">
        <f>IF(W84="No","No",IF(_xlfn.XLOOKUP(E84,Groups!A:A,Groups!U:U)=1,'Base stats'!AY84,IF(OR(_xlfn.XLOOKUP(E84,Groups!A:A,Groups!BC:BC)=1,_xlfn.XLOOKUP(E84,Groups!A:A,Groups!U:U)=2),BA84,IF(_xlfn.XLOOKUP(B84,Animals!B:B,Animals!AN:AN)&gt;4,AVERAGE(BA84,BC84),BC84))))</f>
        <v>No</v>
      </c>
      <c r="BA84" s="8">
        <f>(0.0392*C84^IF(OR(Y84="Herbivore",Y84="Dendrovore",Y84="OmnivoreRough"),0.889,0.966))*C84^-0.135</f>
        <v>0.27114359796251353</v>
      </c>
      <c r="BB84" s="8">
        <f>IF(_xlfn.XLOOKUP(E84,Groups!A:A,Groups!BD:BD)=1,(0.048*C84^1.01)+(0.071*C84^1.03),0.071*C84^1.03)/IF(_xlfn.XLOOKUP(E84,Groups!A:A,Groups!M:M)=1,0.85,IF(OR(_xlfn.XLOOKUP(B84,Animals!B:B,Animals!AN:AN)&gt;4,_xlfn.XLOOKUP(E84,Groups!A:A,Groups!BB:BB)=1),1.7,1))*C84^-0.25</f>
        <v>0.52496961034617473</v>
      </c>
      <c r="BC84" s="8">
        <f>(0.048*C84^1.01)/IF(_xlfn.XLOOKUP(E84,Groups!A:A,Groups!M:M)=1,0.25,0.8)*C84^-0.25</f>
        <v>0.42145207667865642</v>
      </c>
      <c r="BD84" s="8">
        <f>EXP(1.076*LN(AO84)-4.5397)*IF(_xlfn.XLOOKUP(E84,Groups!A:A,Groups!BB:BB)=1,1.25,IF(_xlfn.XLOOKUP(E84,Groups!A:A,Groups!BC:BC)=1,3.5,2.5))</f>
        <v>20.237999913081378</v>
      </c>
      <c r="BE84" s="8">
        <f>EXP(1.076*LN(AP84)-4.5397)*IF(_xlfn.XLOOKUP(E84,Groups!A:A,Groups!M:M)=1,0.8,IF(_xlfn.XLOOKUP(E84,Groups!A:A,Groups!BB:BB)=1,1.3,3))</f>
        <v>28.55846905043661</v>
      </c>
      <c r="BF84" s="8" t="str">
        <f>IF(W84="No","No",IF(_xlfn.XLOOKUP(E84,Groups!A:A,Groups!U:U)=1,'Base stats'!BG84,IF(OR(_xlfn.XLOOKUP(E84,Groups!A:A,Groups!BC:BC)=1,_xlfn.XLOOKUP(E84,Groups!A:A,Groups!U:U)=2),BD84,BE84))*1.2)</f>
        <v>No</v>
      </c>
      <c r="BG84" s="8">
        <f>IFERROR(EXP(1.076*LN(AQ84)-4.5397)*IF(_xlfn.XLOOKUP(E84,Groups!A:A,Groups!N:N)="Insect",1,IF(OR(_xlfn.XLOOKUP(E84,Groups!A:A,Groups!N:N)="Pig",_xlfn.XLOOKUP(E84,Groups!A:A,Groups!N:N)="StrongBitingHerbivore"),3.5,3.75)),"No")</f>
        <v>29.653475370398347</v>
      </c>
      <c r="BH84" s="8">
        <f t="shared" si="29"/>
        <v>12</v>
      </c>
      <c r="BI84" s="8">
        <f t="shared" si="30"/>
        <v>10</v>
      </c>
      <c r="BJ84" s="8" t="str">
        <f>IF(W84="No","No",ROUNDDOWN(SQRT((2*BF84)/AZ84),0))</f>
        <v>No</v>
      </c>
      <c r="BK84" s="8">
        <f>IF(V84="No","No",ROUNDDOWN(SQRT((2*BG84)/AY84),0))</f>
        <v>8</v>
      </c>
      <c r="BL84" s="8">
        <f t="shared" si="31"/>
        <v>11</v>
      </c>
      <c r="BM84" s="8" cm="1">
        <f t="array" ref="BM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stats'!E84,Groups!A:A,Groups!P:P=0)),"No",IF(U84="No",AVERAGE(EXP(-0.57+0.99*LN(C84)),EXP(0.32+0.67*LN(C84)))/IF(_xlfn.XLOOKUP(E84,Groups!A:A,Groups!AD:AD)=1,10,2),(0.7354*C84^0.4078)*2/IF(_xlfn.XLOOKUP(E84,Groups!A:A,Groups!BJ:BJ)=1,1000,100)))</f>
        <v>4.1861975603950628E-2</v>
      </c>
      <c r="BN84" s="8" t="str">
        <f>IF(W84="No","No",IF(_xlfn.XLOOKUP(E84,Groups!A:A,Groups!BC:BC)=1,(AL84*5%),EXP(0.7354*LN(C84)^0.4078)*2/IF(_xlfn.XLOOKUP(E84,Groups!A:A,Groups!BK:BK)=1,1000,100)))</f>
        <v>No</v>
      </c>
      <c r="BO84" s="8">
        <f>IF(BG84="No","No",IF(_xlfn.XLOOKUP(E84,Groups!A:A,Groups!BE:BE)=1,(0.0315*C84+2.1825)*2,(0.7354*C84^0.4078)*2)/IF(_xlfn.XLOOKUP(E84,Groups!A:A,Groups!BL:BL)=1,1000,100))</f>
        <v>4.1861975603950628E-2</v>
      </c>
      <c r="BP84" s="8">
        <f>BD84/(AL84*5%)</f>
        <v>6.8835334564904344E-2</v>
      </c>
      <c r="BQ84" s="8">
        <f t="shared" si="32"/>
        <v>682.20547736742435</v>
      </c>
      <c r="BR84" s="8" t="str">
        <f>IF(W84="No","No",BF84/BN84)</f>
        <v>No</v>
      </c>
      <c r="BS84" s="8">
        <f t="shared" si="33"/>
        <v>708.3630178122761</v>
      </c>
      <c r="BT84" s="4">
        <v>0</v>
      </c>
      <c r="BU84" s="4">
        <v>1</v>
      </c>
    </row>
    <row r="85" spans="1:73" x14ac:dyDescent="0.25">
      <c r="A85" s="26" t="s">
        <v>208</v>
      </c>
      <c r="B85" s="6" t="s">
        <v>227</v>
      </c>
      <c r="C85" s="7">
        <v>10.9999</v>
      </c>
      <c r="E85" s="7" t="str">
        <f>Groups!A32</f>
        <v>Mustelid (semi-aquatic)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579</v>
      </c>
      <c r="L85" s="7">
        <f>MIN(20*C85^0.183,19.9*C85^0.142)</f>
        <v>27.972435239628787</v>
      </c>
      <c r="M85" s="7" t="s">
        <v>638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_xlfn.XLOOKUP(B85,[1]TeethAdjusters!$A:$A,[1]BiteAdjusters!$C:$C)</f>
        <v>1</v>
      </c>
      <c r="T85" s="7">
        <f>_xlfn.XLOOKUP(B85,[1]TeethAdjusters!$A:$A,[1]TeethAdjusters!$B:$B)</f>
        <v>0.7468055548243242</v>
      </c>
      <c r="U85" s="7">
        <v>1</v>
      </c>
      <c r="V85" s="7">
        <f>IF(AQ85="No","No",IF(_xlfn.XLOOKUP(E85,Groups!A:A,Groups!AM:AM)=1,MROUND(EXP(0.3582*LN(C85)-0.2221)*T85,0.05),IF(_xlfn.XLOOKUP(E85,Groups!A:A,Groups!AM:AM)=2,MROUND(EXP(0.3582*LN(C85)-0.2221)*T85,0.05),"Need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945</v>
      </c>
      <c r="Y85" s="4" t="s">
        <v>56</v>
      </c>
      <c r="Z85" s="4">
        <v>0</v>
      </c>
      <c r="AA85" s="4">
        <v>0</v>
      </c>
      <c r="AB85" s="4">
        <v>0</v>
      </c>
      <c r="AC85" s="4" t="s">
        <v>45</v>
      </c>
      <c r="AD85" s="4" t="s">
        <v>45</v>
      </c>
      <c r="AE85" s="28" t="s">
        <v>394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4">
        <v>13</v>
      </c>
      <c r="AL85" s="8">
        <f t="shared" si="24"/>
        <v>5275.0387933539723</v>
      </c>
      <c r="AM85" s="8">
        <f>IFERROR(C85*_xlfn.XLOOKUP(E85,Groups!A:A,Groups!K:K),0.106*C85^0.94)</f>
        <v>1.3722375250000001</v>
      </c>
      <c r="AN85" s="8">
        <f>AM85*10000/(_xlfn.XLOOKUP(E85,Groups!A:A,Groups!J:J)*AL85)</f>
        <v>2.386586257451687</v>
      </c>
      <c r="AO85" s="8">
        <f t="shared" si="25"/>
        <v>412.1941424119421</v>
      </c>
      <c r="AP85" s="8">
        <f>IF(_xlfn.XLOOKUP(E85,Groups!A:A,Groups!M:M)=1,EXP(0.7444*LN('Base stats'!C85)+6.5696),EXP(0.7927*LN('Base stats'!C85)+4.28))</f>
        <v>483.38061995508809</v>
      </c>
      <c r="AQ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"No")))))))))))))))</f>
        <v>409.83621149771199</v>
      </c>
      <c r="AR85" s="8">
        <f>IF(_xlfn.XLOOKUP(E85,Groups!A:A,Groups!U:U)=3,AP85,IF(_xlfn.XLOOKUP(E85,Groups!A:A,Groups!U:U)=2,AO85,AQ85))</f>
        <v>409.83621149771199</v>
      </c>
      <c r="AS85" s="46">
        <f>IFERROR(AVERAGE(_xlfn.XLOOKUP(B85,Animals!B:B,Animals!M:M),_xlfn.XLOOKUP(B85,Animals!B:B,Animals!N:N)),0)</f>
        <v>0</v>
      </c>
      <c r="AT85" s="8">
        <f>MROUND(40*Animals!AN85*_xlfn.XLOOKUP(Animals!AZ85,Leathers!$A$2:$A$100,Leathers!$B$2:$B$100,0)+(140*_xlfn.XLOOKUP(B85,Animals!B:B,Animals!AN:AN)*2),5)</f>
        <v>160</v>
      </c>
      <c r="AU85" s="8">
        <f>IFERROR(ROUND(SQRT(V85-1)*IF(_xlfn.XLOOKUP(E85,Groups!A:A,Groups!BE:BE)=0,2,1)*IF(_xlfn.XLOOKUP('Base stats'!E85,Groups!A:A,Groups!O:O)=0,1,0.1),1),0)</f>
        <v>1.3</v>
      </c>
      <c r="AV85" s="8">
        <f t="shared" si="26"/>
        <v>0</v>
      </c>
      <c r="AW85" s="8">
        <f t="shared" si="27"/>
        <v>0</v>
      </c>
      <c r="AX85" s="8">
        <f t="shared" si="28"/>
        <v>1.7</v>
      </c>
      <c r="AY85" s="8">
        <f>IF(_xlfn.XLOOKUP(E85,Groups!A:A,Groups!N:N)="Insect",BA85*2.5,IFERROR(AVERAGE(BA85,AQ85/9.81/IF(OR(_xlfn.XLOOKUP(E85,Groups!A:A,Groups!N:N)="Pig",_xlfn.XLOOKUP(E85,Groups!A:A,Groups!N:N)="StrongBitingHerbivore"),20,25))*C85^-0.135,BA85))</f>
        <v>0.70848966072269592</v>
      </c>
      <c r="AZ85" s="8" t="str">
        <f>IF(W85="No","No",IF(_xlfn.XLOOKUP(E85,Groups!A:A,Groups!U:U)=1,'Base stats'!AY85,IF(OR(_xlfn.XLOOKUP(E85,Groups!A:A,Groups!BC:BC)=1,_xlfn.XLOOKUP(E85,Groups!A:A,Groups!U:U)=2),BA85,IF(_xlfn.XLOOKUP(B85,Animals!B:B,Animals!AN:AN)&gt;4,AVERAGE(BA85,BC85),BC85))))</f>
        <v>No</v>
      </c>
      <c r="BA85" s="8">
        <f>(0.0392*C85^IF(OR(Y85="Herbivore",Y85="Dendrovore",Y85="OmnivoreRough"),0.889,0.966))*C85^-0.135</f>
        <v>0.28752797616753567</v>
      </c>
      <c r="BB85" s="8">
        <f>IF(_xlfn.XLOOKUP(E85,Groups!A:A,Groups!BD:BD)=1,(0.048*C85^1.01)+(0.071*C85^1.03),0.071*C85^1.03)/IF(_xlfn.XLOOKUP(E85,Groups!A:A,Groups!M:M)=1,0.85,IF(OR(_xlfn.XLOOKUP(B85,Animals!B:B,Animals!AN:AN)&gt;4,_xlfn.XLOOKUP(E85,Groups!A:A,Groups!BB:BB)=1),1.7,1))*C85^-0.25</f>
        <v>0.46083086979604393</v>
      </c>
      <c r="BC85" s="8">
        <f>(0.048*C85^1.01)/IF(_xlfn.XLOOKUP(E85,Groups!A:A,Groups!M:M)=1,0.25,0.8)*C85^-0.25</f>
        <v>0.3711989084933881</v>
      </c>
      <c r="BD85" s="8">
        <f>EXP(1.076*LN(AO85)-4.5397)*IF(_xlfn.XLOOKUP(E85,Groups!A:A,Groups!BB:BB)=1,1.25,IF(_xlfn.XLOOKUP(E85,Groups!A:A,Groups!BC:BC)=1,3.5,2.5))</f>
        <v>17.386929894519422</v>
      </c>
      <c r="BE85" s="8">
        <f>EXP(1.076*LN(AP85)-4.5397)*IF(_xlfn.XLOOKUP(E85,Groups!A:A,Groups!M:M)=1,0.8,IF(_xlfn.XLOOKUP(E85,Groups!A:A,Groups!BB:BB)=1,1.3,3))</f>
        <v>24.765654586765486</v>
      </c>
      <c r="BF85" s="8" t="str">
        <f>IF(W85="No","No",IF(_xlfn.XLOOKUP(E85,Groups!A:A,Groups!U:U)=1,'Base stats'!BG85,IF(OR(_xlfn.XLOOKUP(E85,Groups!A:A,Groups!BC:BC)=1,_xlfn.XLOOKUP(E85,Groups!A:A,Groups!U:U)=2),BD85,BE85))*1.2)</f>
        <v>No</v>
      </c>
      <c r="BG85" s="8">
        <f>IFERROR(EXP(1.076*LN(AQ85)-4.5397)*IF(_xlfn.XLOOKUP(E85,Groups!A:A,Groups!N:N)="Insect",1,IF(OR(_xlfn.XLOOKUP(E85,Groups!A:A,Groups!N:N)="Pig",_xlfn.XLOOKUP(E85,Groups!A:A,Groups!N:N)="StrongBitingHerbivore"),3.5,3.75)),"No")</f>
        <v>25.91989998800803</v>
      </c>
      <c r="BH85" s="8">
        <f t="shared" si="29"/>
        <v>10</v>
      </c>
      <c r="BI85" s="8">
        <f t="shared" si="30"/>
        <v>10</v>
      </c>
      <c r="BJ85" s="8" t="str">
        <f>IF(W85="No","No",ROUNDDOWN(SQRT((2*BF85)/AZ85),0))</f>
        <v>No</v>
      </c>
      <c r="BK85" s="8">
        <f>IF(V85="No","No",ROUNDDOWN(SQRT((2*BG85)/AY85),0))</f>
        <v>8</v>
      </c>
      <c r="BL85" s="8">
        <f t="shared" si="31"/>
        <v>11</v>
      </c>
      <c r="BM85" s="8" cm="1">
        <f t="array" ref="BM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stats'!E85,Groups!A:A,Groups!P:P=0)),"No",IF(U85="No",AVERAGE(EXP(-0.57+0.99*LN(C85)),EXP(0.32+0.67*LN(C85)))/IF(_xlfn.XLOOKUP(E85,Groups!A:A,Groups!AD:AD)=1,10,2),(0.7354*C85^0.4078)*2/IF(_xlfn.XLOOKUP(E85,Groups!A:A,Groups!BJ:BJ)=1,1000,100)))</f>
        <v>3.9104969198687008E-2</v>
      </c>
      <c r="BN85" s="8" t="str">
        <f>IF(W85="No","No",IF(_xlfn.XLOOKUP(E85,Groups!A:A,Groups!BC:BC)=1,(AL85*5%),EXP(0.7354*LN(C85)^0.4078)*2/IF(_xlfn.XLOOKUP(E85,Groups!A:A,Groups!BK:BK)=1,1000,100)))</f>
        <v>No</v>
      </c>
      <c r="BO85" s="8">
        <f>IF(BG85="No","No",IF(_xlfn.XLOOKUP(E85,Groups!A:A,Groups!BE:BE)=1,(0.0315*C85+2.1825)*2,(0.7354*C85^0.4078)*2)/IF(_xlfn.XLOOKUP(E85,Groups!A:A,Groups!BL:BL)=1,1000,100))</f>
        <v>3.9104969198687008E-2</v>
      </c>
      <c r="BP85" s="8">
        <f>BD85/(AL85*5%)</f>
        <v>6.5921524279310459E-2</v>
      </c>
      <c r="BQ85" s="8">
        <f t="shared" si="32"/>
        <v>633.31221310863532</v>
      </c>
      <c r="BR85" s="8" t="str">
        <f>IF(W85="No","No",BF85/BN85)</f>
        <v>No</v>
      </c>
      <c r="BS85" s="8">
        <f t="shared" si="33"/>
        <v>662.82880460313265</v>
      </c>
      <c r="BT85" s="4">
        <v>0</v>
      </c>
      <c r="BU85" s="4">
        <v>1</v>
      </c>
    </row>
    <row r="86" spans="1:73" x14ac:dyDescent="0.25">
      <c r="A86" s="26" t="s">
        <v>206</v>
      </c>
      <c r="B86" s="6" t="s">
        <v>225</v>
      </c>
      <c r="C86" s="7">
        <f>(350+100)/2</f>
        <v>225</v>
      </c>
      <c r="E86" s="7" t="str">
        <f>Groups!A39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580</v>
      </c>
      <c r="L86" s="7">
        <f>6.7*3.6</f>
        <v>24.12</v>
      </c>
      <c r="M86" s="7" t="s">
        <v>648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_xlfn.XLOOKUP(B86,[1]TeethAdjusters!$A:$A,[1]BiteAdjusters!$C:$C)</f>
        <v>1</v>
      </c>
      <c r="T86" s="7">
        <f>_xlfn.XLOOKUP(B86,[1]TeethAdjusters!$A:$A,[1]TeethAdjusters!$B:$B)</f>
        <v>1</v>
      </c>
      <c r="U86" s="7" t="s">
        <v>45</v>
      </c>
      <c r="V86" s="7">
        <f>IF(AQ86="No","No",IF(_xlfn.XLOOKUP(E86,Groups!A:A,Groups!AM:AM)=1,MROUND(EXP(0.3582*LN(C86)-0.2221)*T86,0.05),IF(_xlfn.XLOOKUP(E86,Groups!A:A,Groups!AM:AM)=2,MROUND(EXP(0.3582*LN(C86)-0.2221)*T86,0.05),"Need a formula")))</f>
        <v>5.5500000000000007</v>
      </c>
      <c r="W86" s="7" t="s">
        <v>45</v>
      </c>
      <c r="X86" s="7" t="s">
        <v>945</v>
      </c>
      <c r="Y86" s="4" t="s">
        <v>56</v>
      </c>
      <c r="Z86" s="4">
        <v>0</v>
      </c>
      <c r="AA86" s="4">
        <v>0</v>
      </c>
      <c r="AB86" s="4">
        <v>0</v>
      </c>
      <c r="AC86" s="4" t="s">
        <v>45</v>
      </c>
      <c r="AD86" s="4" t="s">
        <v>410</v>
      </c>
      <c r="AE86" s="28" t="s">
        <v>403</v>
      </c>
      <c r="AF86" s="4">
        <v>0</v>
      </c>
      <c r="AG86" s="4">
        <v>1</v>
      </c>
      <c r="AH86" s="4">
        <v>0</v>
      </c>
      <c r="AI86" s="4">
        <v>0</v>
      </c>
      <c r="AJ86" s="4">
        <v>0</v>
      </c>
      <c r="AK86" s="44">
        <v>20</v>
      </c>
      <c r="AL86" s="8">
        <f t="shared" si="24"/>
        <v>37518.167291030215</v>
      </c>
      <c r="AM86" s="8">
        <f>IFERROR(C86*_xlfn.XLOOKUP(E86,Groups!A:A,Groups!K:K),0.106*C86^0.94)</f>
        <v>28.068750000000001</v>
      </c>
      <c r="AN86" s="8">
        <f>AM86*10000/(_xlfn.XLOOKUP(E86,Groups!A:A,Groups!J:J)*AL86)</f>
        <v>6.863647306980095</v>
      </c>
      <c r="AO86" s="8">
        <f t="shared" si="25"/>
        <v>5276.2980808141829</v>
      </c>
      <c r="AP86" s="8">
        <f>IF(_xlfn.XLOOKUP(E86,Groups!A:A,Groups!M:M)=1,EXP(0.7444*LN('Base stats'!C86)+6.5696),EXP(0.7927*LN('Base stats'!C86)+4.28))</f>
        <v>5288.7795472348907</v>
      </c>
      <c r="AQ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"No")))))))))))))))</f>
        <v>3925.2791986090501</v>
      </c>
      <c r="AR86" s="8">
        <f>IF(_xlfn.XLOOKUP(E86,Groups!A:A,Groups!U:U)=3,AP86,IF(_xlfn.XLOOKUP(E86,Groups!A:A,Groups!U:U)=2,AO86,AQ86))</f>
        <v>3925.2791986090501</v>
      </c>
      <c r="AS86" s="46">
        <f>IFERROR(AVERAGE(_xlfn.XLOOKUP(B86,Animals!B:B,Animals!M:M),_xlfn.XLOOKUP(B86,Animals!B:B,Animals!N:N)),0)</f>
        <v>0</v>
      </c>
      <c r="AT86" s="8">
        <f>MROUND(40*Animals!AN86*_xlfn.XLOOKUP(Animals!AZ86,Leathers!$A$2:$A$100,Leathers!$B$2:$B$100,0)+(140*_xlfn.XLOOKUP(B86,Animals!B:B,Animals!AN:AN)*2),5)</f>
        <v>880</v>
      </c>
      <c r="AU86" s="8">
        <f>IFERROR(ROUND(SQRT(V86-1)*IF(_xlfn.XLOOKUP(E86,Groups!A:A,Groups!BE:BE)=0,2,1)*IF(_xlfn.XLOOKUP('Base stats'!E86,Groups!A:A,Groups!O:O)=0,1,0.1),1),0)</f>
        <v>4.3</v>
      </c>
      <c r="AV86" s="8">
        <f t="shared" si="26"/>
        <v>0</v>
      </c>
      <c r="AW86" s="8">
        <f t="shared" si="27"/>
        <v>0</v>
      </c>
      <c r="AX86" s="8">
        <f t="shared" si="28"/>
        <v>5.6</v>
      </c>
      <c r="AY86" s="8">
        <f>IF(_xlfn.XLOOKUP(E86,Groups!A:A,Groups!N:N)="Insect",BA86*2.5,IFERROR(AVERAGE(BA86,AQ86/9.81/IF(OR(_xlfn.XLOOKUP(E86,Groups!A:A,Groups!N:N)="Pig",_xlfn.XLOOKUP(E86,Groups!A:A,Groups!N:N)="StrongBitingHerbivore"),20,25))*C86^-0.135,BA86))</f>
        <v>4.7019197597097095</v>
      </c>
      <c r="AZ86" s="8" t="str">
        <f>IF(W86="No","No",IF(_xlfn.XLOOKUP(E86,Groups!A:A,Groups!U:U)=1,'Base stats'!AY86,IF(OR(_xlfn.XLOOKUP(E86,Groups!A:A,Groups!BC:BC)=1,_xlfn.XLOOKUP(E86,Groups!A:A,Groups!U:U)=2),BA86,IF(_xlfn.XLOOKUP(B86,Animals!B:B,Animals!AN:AN)&gt;4,AVERAGE(BA86,BC86),BC86))))</f>
        <v>No</v>
      </c>
      <c r="BA86" s="8">
        <f>(0.0392*C86^IF(OR(Y86="Herbivore",Y86="Dendrovore",Y86="OmnivoreRough"),0.889,0.966))*C86^-0.135</f>
        <v>3.5314229865209938</v>
      </c>
      <c r="BB86" s="8">
        <f>IF(_xlfn.XLOOKUP(E86,Groups!A:A,Groups!BD:BD)=1,(0.048*C86^1.01)+(0.071*C86^1.03),0.071*C86^1.03)/IF(_xlfn.XLOOKUP(E86,Groups!A:A,Groups!M:M)=1,0.85,IF(OR(_xlfn.XLOOKUP(B86,Animals!B:B,Animals!AN:AN)&gt;4,_xlfn.XLOOKUP(E86,Groups!A:A,Groups!BB:BB)=1),1.7,1))*C86^-0.25</f>
        <v>4.8524460197198902</v>
      </c>
      <c r="BC86" s="8">
        <f>(0.048*C86^1.01)/IF(_xlfn.XLOOKUP(E86,Groups!A:A,Groups!M:M)=1,0.25,0.8)*C86^-0.25</f>
        <v>3.6796792531617739</v>
      </c>
      <c r="BD86" s="8">
        <f>EXP(1.076*LN(AO86)-4.5397)*IF(_xlfn.XLOOKUP(E86,Groups!A:A,Groups!BB:BB)=1,1.25,IF(_xlfn.XLOOKUP(E86,Groups!A:A,Groups!BC:BC)=1,3.5,2.5))</f>
        <v>270.14672095717975</v>
      </c>
      <c r="BE86" s="8">
        <f>EXP(1.076*LN(AP86)-4.5397)*IF(_xlfn.XLOOKUP(E86,Groups!A:A,Groups!M:M)=1,0.8,IF(_xlfn.XLOOKUP(E86,Groups!A:A,Groups!BB:BB)=1,1.3,3))</f>
        <v>325.00128281545972</v>
      </c>
      <c r="BF86" s="8" t="str">
        <f>IF(W86="No","No",IF(_xlfn.XLOOKUP(E86,Groups!A:A,Groups!U:U)=1,'Base stats'!BG86,IF(OR(_xlfn.XLOOKUP(E86,Groups!A:A,Groups!BC:BC)=1,_xlfn.XLOOKUP(E86,Groups!A:A,Groups!U:U)=2),BD86,BE86))*1.2)</f>
        <v>No</v>
      </c>
      <c r="BG86" s="8">
        <f>IFERROR(EXP(1.076*LN(AQ86)-4.5397)*IF(_xlfn.XLOOKUP(E86,Groups!A:A,Groups!N:N)="Insect",1,IF(OR(_xlfn.XLOOKUP(E86,Groups!A:A,Groups!N:N)="Pig",_xlfn.XLOOKUP(E86,Groups!A:A,Groups!N:N)="StrongBitingHerbivore"),3.5,3.75)),"No")</f>
        <v>294.76052615196483</v>
      </c>
      <c r="BH86" s="8">
        <f t="shared" si="29"/>
        <v>12</v>
      </c>
      <c r="BI86" s="8">
        <f t="shared" si="30"/>
        <v>11</v>
      </c>
      <c r="BJ86" s="8" t="str">
        <f>IF(W86="No","No",ROUNDDOWN(SQRT((2*BF86)/AZ86),0))</f>
        <v>No</v>
      </c>
      <c r="BK86" s="8">
        <f>IF(V86="No","No",ROUNDDOWN(SQRT((2*BG86)/AY86),0))</f>
        <v>11</v>
      </c>
      <c r="BL86" s="8">
        <f t="shared" si="31"/>
        <v>13</v>
      </c>
      <c r="BM86" s="8" t="str" cm="1">
        <f t="array" ref="BM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stats'!E86,Groups!A:A,Groups!P:P=0)),"No",IF(U86="No",AVERAGE(EXP(-0.57+0.99*LN(C86)),EXP(0.32+0.67*LN(C86)))/IF(_xlfn.XLOOKUP(E86,Groups!A:A,Groups!AD:AD)=1,10,2),(0.7354*C86^0.4078)*2/IF(_xlfn.XLOOKUP(E86,Groups!A:A,Groups!BJ:BJ)=1,1000,100)))</f>
        <v>No</v>
      </c>
      <c r="BN86" s="8" t="str">
        <f>IF(W86="No","No",IF(_xlfn.XLOOKUP(E86,Groups!A:A,Groups!BC:BC)=1,(AL86*5%),EXP(0.7354*LN(C86)^0.4078)*2/IF(_xlfn.XLOOKUP(E86,Groups!A:A,Groups!BK:BK)=1,1000,100)))</f>
        <v>No</v>
      </c>
      <c r="BO86" s="8">
        <f>IF(BG86="No","No",IF(_xlfn.XLOOKUP(E86,Groups!A:A,Groups!BE:BE)=1,(0.0315*C86+2.1825)*2,(0.7354*C86^0.4078)*2)/IF(_xlfn.XLOOKUP(E86,Groups!A:A,Groups!BL:BL)=1,1000,100))</f>
        <v>0.13389786494950129</v>
      </c>
      <c r="BP86" s="8">
        <f>BD86/(AL86*5%)</f>
        <v>0.14400848466911442</v>
      </c>
      <c r="BQ86" s="8" t="str">
        <f t="shared" si="32"/>
        <v>No</v>
      </c>
      <c r="BR86" s="8" t="str">
        <f>IF(W86="No","No",BF86/BN86)</f>
        <v>No</v>
      </c>
      <c r="BS86" s="8">
        <f t="shared" si="33"/>
        <v>2201.3833175243822</v>
      </c>
      <c r="BT86" s="4">
        <v>0</v>
      </c>
      <c r="BU86" s="4">
        <v>1</v>
      </c>
    </row>
    <row r="87" spans="1:73" x14ac:dyDescent="0.25">
      <c r="A87" s="26" t="s">
        <v>189</v>
      </c>
      <c r="B87" s="6" t="s">
        <v>190</v>
      </c>
      <c r="C87" s="7">
        <v>100</v>
      </c>
      <c r="E87" s="7" t="str">
        <f>Groups!A39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581</v>
      </c>
      <c r="L87" s="7">
        <v>18</v>
      </c>
      <c r="M87" s="7" t="s">
        <v>538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_xlfn.XLOOKUP(B87,[1]TeethAdjusters!$A:$A,[1]BiteAdjusters!$C:$C)</f>
        <v>1</v>
      </c>
      <c r="T87" s="7">
        <f>_xlfn.XLOOKUP(B87,[1]TeethAdjusters!$A:$A,[1]TeethAdjusters!$B:$B)</f>
        <v>1</v>
      </c>
      <c r="U87" s="7" t="s">
        <v>45</v>
      </c>
      <c r="V87" s="7">
        <f>IF(AQ87="No","No",IF(_xlfn.XLOOKUP(E87,Groups!A:A,Groups!AM:AM)=1,MROUND(EXP(0.3582*LN(C87)-0.2221)*T87,0.05),IF(_xlfn.XLOOKUP(E87,Groups!A:A,Groups!AM:AM)=2,MROUND(EXP(0.3582*LN(C87)-0.2221)*T87,0.05),"Need a formula")))</f>
        <v>4.1500000000000004</v>
      </c>
      <c r="W87" s="7" t="s">
        <v>45</v>
      </c>
      <c r="X87" s="7" t="s">
        <v>945</v>
      </c>
      <c r="Y87" s="4" t="s">
        <v>56</v>
      </c>
      <c r="Z87" s="4">
        <v>0</v>
      </c>
      <c r="AA87" s="4">
        <v>0</v>
      </c>
      <c r="AB87" s="4">
        <v>0</v>
      </c>
      <c r="AC87" s="4" t="s">
        <v>45</v>
      </c>
      <c r="AD87" s="4" t="s">
        <v>410</v>
      </c>
      <c r="AE87" s="28" t="s">
        <v>403</v>
      </c>
      <c r="AF87" s="4">
        <v>0</v>
      </c>
      <c r="AG87" s="4">
        <v>1</v>
      </c>
      <c r="AH87" s="4">
        <v>0</v>
      </c>
      <c r="AI87" s="4">
        <v>0</v>
      </c>
      <c r="AJ87" s="4">
        <v>0</v>
      </c>
      <c r="AK87" s="44">
        <v>20</v>
      </c>
      <c r="AL87" s="8">
        <f t="shared" si="24"/>
        <v>22147.411696154573</v>
      </c>
      <c r="AM87" s="8">
        <f>IFERROR(C87*_xlfn.XLOOKUP(E87,Groups!A:A,Groups!K:K),0.106*C87^0.94)</f>
        <v>12.475</v>
      </c>
      <c r="AN87" s="8">
        <f>AM87*10000/(_xlfn.XLOOKUP(E87,Groups!A:A,Groups!J:J)*AL87)</f>
        <v>5.1676260347964442</v>
      </c>
      <c r="AO87" s="8">
        <f t="shared" si="25"/>
        <v>2659.7495843014949</v>
      </c>
      <c r="AP87" s="8">
        <f>IF(_xlfn.XLOOKUP(E87,Groups!A:A,Groups!M:M)=1,EXP(0.7444*LN('Base stats'!C87)+6.5696),EXP(0.7927*LN('Base stats'!C87)+4.28))</f>
        <v>2780.8680507952254</v>
      </c>
      <c r="AQ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"No")))))))))))))))</f>
        <v>2139.0784859450714</v>
      </c>
      <c r="AR87" s="8">
        <f>IF(_xlfn.XLOOKUP(E87,Groups!A:A,Groups!U:U)=3,AP87,IF(_xlfn.XLOOKUP(E87,Groups!A:A,Groups!U:U)=2,AO87,AQ87))</f>
        <v>2139.0784859450714</v>
      </c>
      <c r="AS87" s="46">
        <f>IFERROR(AVERAGE(_xlfn.XLOOKUP(B87,Animals!B:B,Animals!M:M),_xlfn.XLOOKUP(B87,Animals!B:B,Animals!N:N)),0)</f>
        <v>0</v>
      </c>
      <c r="AT87" s="8">
        <f>MROUND(40*Animals!AN87*_xlfn.XLOOKUP(Animals!AZ87,Leathers!$A$2:$A$100,Leathers!$B$2:$B$100,0)+(140*_xlfn.XLOOKUP(B87,Animals!B:B,Animals!AN:AN)*2),5)</f>
        <v>550</v>
      </c>
      <c r="AU87" s="8">
        <f>IFERROR(ROUND(SQRT(V87-1)*IF(_xlfn.XLOOKUP(E87,Groups!A:A,Groups!BE:BE)=0,2,1)*IF(_xlfn.XLOOKUP('Base stats'!E87,Groups!A:A,Groups!O:O)=0,1,0.1),1),0)</f>
        <v>3.5</v>
      </c>
      <c r="AV87" s="8">
        <f t="shared" si="26"/>
        <v>0</v>
      </c>
      <c r="AW87" s="8">
        <f t="shared" si="27"/>
        <v>0</v>
      </c>
      <c r="AX87" s="8">
        <f t="shared" si="28"/>
        <v>4.2</v>
      </c>
      <c r="AY87" s="8">
        <f>IF(_xlfn.XLOOKUP(E87,Groups!A:A,Groups!N:N)="Insect",BA87*2.5,IFERROR(AVERAGE(BA87,AQ87/9.81/IF(OR(_xlfn.XLOOKUP(E87,Groups!A:A,Groups!N:N)="Pig",_xlfn.XLOOKUP(E87,Groups!A:A,Groups!N:N)="StrongBitingHerbivore"),20,25))*C87^-0.135,BA87))</f>
        <v>2.8253481176087192</v>
      </c>
      <c r="AZ87" s="8" t="str">
        <f>IF(W87="No","No",IF(_xlfn.XLOOKUP(E87,Groups!A:A,Groups!U:U)=1,'Base stats'!AY87,IF(OR(_xlfn.XLOOKUP(E87,Groups!A:A,Groups!BC:BC)=1,_xlfn.XLOOKUP(E87,Groups!A:A,Groups!U:U)=2),BA87,IF(_xlfn.XLOOKUP(B87,Animals!B:B,Animals!AN:AN)&gt;4,AVERAGE(BA87,BC87),BC87))))</f>
        <v>No</v>
      </c>
      <c r="BA87" s="8">
        <f>(0.0392*C87^IF(OR(Y87="Herbivore",Y87="Dendrovore",Y87="OmnivoreRough"),0.889,0.966))*C87^-0.135</f>
        <v>1.8000562103205242</v>
      </c>
      <c r="BB87" s="8">
        <f>IF(_xlfn.XLOOKUP(E87,Groups!A:A,Groups!BD:BD)=1,(0.048*C87^1.01)+(0.071*C87^1.03),0.071*C87^1.03)/IF(_xlfn.XLOOKUP(E87,Groups!A:A,Groups!M:M)=1,0.85,IF(OR(_xlfn.XLOOKUP(B87,Animals!B:B,Animals!AN:AN)&gt;4,_xlfn.XLOOKUP(E87,Groups!A:A,Groups!BB:BB)=1),1.7,1))*C87^-0.25</f>
        <v>2.5778541888677213</v>
      </c>
      <c r="BC87" s="8">
        <f>(0.048*C87^1.01)/IF(_xlfn.XLOOKUP(E87,Groups!A:A,Groups!M:M)=1,0.25,0.8)*C87^-0.25</f>
        <v>1.986786728895547</v>
      </c>
      <c r="BD87" s="8">
        <f>EXP(1.076*LN(AO87)-4.5397)*IF(_xlfn.XLOOKUP(E87,Groups!A:A,Groups!BB:BB)=1,1.25,IF(_xlfn.XLOOKUP(E87,Groups!A:A,Groups!BC:BC)=1,3.5,2.5))</f>
        <v>129.27126415643053</v>
      </c>
      <c r="BE87" s="8">
        <f>EXP(1.076*LN(AP87)-4.5397)*IF(_xlfn.XLOOKUP(E87,Groups!A:A,Groups!M:M)=1,0.8,IF(_xlfn.XLOOKUP(E87,Groups!A:A,Groups!BB:BB)=1,1.3,3))</f>
        <v>162.73939114543509</v>
      </c>
      <c r="BF87" s="8" t="str">
        <f>IF(W87="No","No",IF(_xlfn.XLOOKUP(E87,Groups!A:A,Groups!U:U)=1,'Base stats'!BG87,IF(OR(_xlfn.XLOOKUP(E87,Groups!A:A,Groups!BC:BC)=1,_xlfn.XLOOKUP(E87,Groups!A:A,Groups!U:U)=2),BD87,BE87))*1.2)</f>
        <v>No</v>
      </c>
      <c r="BG87" s="8">
        <f>IFERROR(EXP(1.076*LN(AQ87)-4.5397)*IF(_xlfn.XLOOKUP(E87,Groups!A:A,Groups!N:N)="Insect",1,IF(OR(_xlfn.XLOOKUP(E87,Groups!A:A,Groups!N:N)="Pig",_xlfn.XLOOKUP(E87,Groups!A:A,Groups!N:N)="StrongBitingHerbivore"),3.5,3.75)),"No")</f>
        <v>153.38700186015782</v>
      </c>
      <c r="BH87" s="8">
        <f t="shared" si="29"/>
        <v>11</v>
      </c>
      <c r="BI87" s="8">
        <f t="shared" si="30"/>
        <v>11</v>
      </c>
      <c r="BJ87" s="8" t="str">
        <f>IF(W87="No","No",ROUNDDOWN(SQRT((2*BF87)/AZ87),0))</f>
        <v>No</v>
      </c>
      <c r="BK87" s="8">
        <f>IF(V87="No","No",ROUNDDOWN(SQRT((2*BG87)/AY87),0))</f>
        <v>10</v>
      </c>
      <c r="BL87" s="8">
        <f t="shared" si="31"/>
        <v>12</v>
      </c>
      <c r="BM87" s="8" t="str" cm="1">
        <f t="array" ref="BM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stats'!E87,Groups!A:A,Groups!P:P=0)),"No",IF(U87="No",AVERAGE(EXP(-0.57+0.99*LN(C87)),EXP(0.32+0.67*LN(C87)))/IF(_xlfn.XLOOKUP(E87,Groups!A:A,Groups!AD:AD)=1,10,2),(0.7354*C87^0.4078)*2/IF(_xlfn.XLOOKUP(E87,Groups!A:A,Groups!BJ:BJ)=1,1000,100)))</f>
        <v>No</v>
      </c>
      <c r="BN87" s="8" t="str">
        <f>IF(W87="No","No",IF(_xlfn.XLOOKUP(E87,Groups!A:A,Groups!BC:BC)=1,(AL87*5%),EXP(0.7354*LN(C87)^0.4078)*2/IF(_xlfn.XLOOKUP(E87,Groups!A:A,Groups!BK:BK)=1,1000,100)))</f>
        <v>No</v>
      </c>
      <c r="BO87" s="8">
        <f>IF(BG87="No","No",IF(_xlfn.XLOOKUP(E87,Groups!A:A,Groups!BE:BE)=1,(0.0315*C87+2.1825)*2,(0.7354*C87^0.4078)*2)/IF(_xlfn.XLOOKUP(E87,Groups!A:A,Groups!BL:BL)=1,1000,100))</f>
        <v>9.6195248569743513E-2</v>
      </c>
      <c r="BP87" s="8">
        <f>BD87/(AL87*5%)</f>
        <v>0.11673713021632748</v>
      </c>
      <c r="BQ87" s="8" t="str">
        <f t="shared" si="32"/>
        <v>No</v>
      </c>
      <c r="BR87" s="8" t="str">
        <f>IF(W87="No","No",BF87/BN87)</f>
        <v>No</v>
      </c>
      <c r="BS87" s="8">
        <f t="shared" si="33"/>
        <v>1594.5382348999194</v>
      </c>
      <c r="BT87" s="4">
        <v>0</v>
      </c>
      <c r="BU87" s="4">
        <v>1</v>
      </c>
    </row>
    <row r="88" spans="1:73" x14ac:dyDescent="0.25">
      <c r="A88" s="26" t="s">
        <v>191</v>
      </c>
      <c r="B88" s="6" t="s">
        <v>192</v>
      </c>
      <c r="C88" s="7">
        <v>825</v>
      </c>
      <c r="E88" s="7" t="str">
        <f>Groups!A38</f>
        <v>TuskedPinniped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582</v>
      </c>
      <c r="L88" s="7">
        <v>12</v>
      </c>
      <c r="M88" s="7" t="s">
        <v>538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_xlfn.XLOOKUP(B88,[1]TeethAdjusters!$A:$A,[1]BiteAdjusters!$C:$C)</f>
        <v>1</v>
      </c>
      <c r="T88" s="7">
        <f>_xlfn.XLOOKUP(B88,[1]TeethAdjusters!$A:$A,[1]TeethAdjusters!$B:$B)</f>
        <v>1</v>
      </c>
      <c r="U88" s="7" t="s">
        <v>45</v>
      </c>
      <c r="V88" s="7" t="str">
        <f>IF(AQ88="No","No",IF(_xlfn.XLOOKUP(E88,Groups!A:A,Groups!AM:AM)=1,MROUND(EXP(0.3582*LN(C88)-0.2221)*T88,0.05),IF(_xlfn.XLOOKUP(E88,Groups!A:A,Groups!AM:AM)=2,MROUND(EXP(0.3582*LN(C88)-0.2221)*T88,0.05),"Need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945</v>
      </c>
      <c r="Y88" s="4" t="s">
        <v>56</v>
      </c>
      <c r="Z88" s="4">
        <v>0</v>
      </c>
      <c r="AA88" s="4">
        <v>0</v>
      </c>
      <c r="AB88" s="4">
        <v>0</v>
      </c>
      <c r="AC88" s="4" t="s">
        <v>45</v>
      </c>
      <c r="AD88" s="4" t="s">
        <v>410</v>
      </c>
      <c r="AE88" s="28" t="s">
        <v>403</v>
      </c>
      <c r="AF88" s="4">
        <v>0</v>
      </c>
      <c r="AG88" s="4">
        <v>1</v>
      </c>
      <c r="AH88" s="4">
        <v>0</v>
      </c>
      <c r="AI88" s="4">
        <v>0</v>
      </c>
      <c r="AJ88" s="4">
        <v>0</v>
      </c>
      <c r="AK88" s="44">
        <v>13</v>
      </c>
      <c r="AL88" s="8">
        <f t="shared" si="24"/>
        <v>87300.76419229545</v>
      </c>
      <c r="AM88" s="8">
        <f>IFERROR(C88*_xlfn.XLOOKUP(E88,Groups!A:A,Groups!K:K),0.106*C88^0.94)</f>
        <v>102.91875</v>
      </c>
      <c r="AN88" s="8">
        <f>AM88*10000/(_xlfn.XLOOKUP(E88,Groups!A:A,Groups!J:J)*AL88)</f>
        <v>10.815583624406113</v>
      </c>
      <c r="AO88" s="8">
        <f t="shared" si="25"/>
        <v>15811.366299684243</v>
      </c>
      <c r="AP88" s="8">
        <f>IF(_xlfn.XLOOKUP(E88,Groups!A:A,Groups!M:M)=1,EXP(0.7444*LN('Base stats'!C88)+6.5696),EXP(0.7927*LN('Base stats'!C88)+4.28))</f>
        <v>14813.354890630786</v>
      </c>
      <c r="AQ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"No")))))))))))))))</f>
        <v>No</v>
      </c>
      <c r="AR88" s="8">
        <f>IF(_xlfn.XLOOKUP(E88,Groups!A:A,Groups!U:U)=3,AP88,IF(_xlfn.XLOOKUP(E88,Groups!A:A,Groups!U:U)=2,AO88,AQ88))</f>
        <v>14813.354890630786</v>
      </c>
      <c r="AS88" s="46">
        <f>IFERROR(AVERAGE(_xlfn.XLOOKUP(B88,Animals!B:B,Animals!M:M),_xlfn.XLOOKUP(B88,Animals!B:B,Animals!N:N)),0)</f>
        <v>0</v>
      </c>
      <c r="AT88" s="8">
        <f>MROUND(40*Animals!AN88*_xlfn.XLOOKUP(Animals!AZ88,Leathers!$A$2:$A$100,Leathers!$B$2:$B$100,0)+(140*_xlfn.XLOOKUP(B88,Animals!B:B,Animals!AN:AN)*2),5)</f>
        <v>1430</v>
      </c>
      <c r="AU88" s="8">
        <f>IFERROR(ROUND(SQRT(V88-1)*IF(_xlfn.XLOOKUP(E88,Groups!A:A,Groups!BE:BE)=0,2,1)*IF(_xlfn.XLOOKUP('Base stats'!E88,Groups!A:A,Groups!O:O)=0,1,0.1),1),0)</f>
        <v>0</v>
      </c>
      <c r="AV88" s="8">
        <f t="shared" si="26"/>
        <v>0</v>
      </c>
      <c r="AW88" s="8">
        <f t="shared" si="27"/>
        <v>7.1</v>
      </c>
      <c r="AX88" s="8">
        <f t="shared" si="28"/>
        <v>8.9</v>
      </c>
      <c r="AY88" s="8">
        <f>IF(_xlfn.XLOOKUP(E88,Groups!A:A,Groups!N:N)="Insect",BA88*2.5,IFERROR(AVERAGE(BA88,AQ88/9.81/IF(OR(_xlfn.XLOOKUP(E88,Groups!A:A,Groups!N:N)="Pig",_xlfn.XLOOKUP(E88,Groups!A:A,Groups!N:N)="StrongBitingHerbivore"),20,25))*C88^-0.135,BA88))</f>
        <v>10.395833094382729</v>
      </c>
      <c r="AZ88" s="8">
        <f>IF(W88="No","No",IF(_xlfn.XLOOKUP(E88,Groups!A:A,Groups!U:U)=1,'Base stats'!AY88,IF(OR(_xlfn.XLOOKUP(E88,Groups!A:A,Groups!BC:BC)=1,_xlfn.XLOOKUP(E88,Groups!A:A,Groups!U:U)=2),BA88,IF(_xlfn.XLOOKUP(B88,Animals!B:B,Animals!AN:AN)&gt;4,AVERAGE(BA88,BC88),BC88))))</f>
        <v>9.8777095390716578</v>
      </c>
      <c r="BA88" s="8">
        <f>(0.0392*C88^IF(OR(Y88="Herbivore",Y88="Dendrovore",Y88="OmnivoreRough"),0.889,0.966))*C88^-0.135</f>
        <v>10.395833094382729</v>
      </c>
      <c r="BB88" s="8">
        <f>IF(_xlfn.XLOOKUP(E88,Groups!A:A,Groups!BD:BD)=1,(0.048*C88^1.01)+(0.071*C88^1.03),0.071*C88^1.03)/IF(_xlfn.XLOOKUP(E88,Groups!A:A,Groups!M:M)=1,0.85,IF(OR(_xlfn.XLOOKUP(B88,Animals!B:B,Animals!AN:AN)&gt;4,_xlfn.XLOOKUP(E88,Groups!A:A,Groups!BB:BB)=1),1.7,1))*C88^-0.25</f>
        <v>13.368800073437409</v>
      </c>
      <c r="BC88" s="8">
        <f>(0.048*C88^1.01)/IF(_xlfn.XLOOKUP(E88,Groups!A:A,Groups!M:M)=1,0.25,0.8)*C88^-0.25</f>
        <v>9.8777095390716578</v>
      </c>
      <c r="BD88" s="8">
        <f>EXP(1.076*LN(AO88)-4.5397)*IF(_xlfn.XLOOKUP(E88,Groups!A:A,Groups!BB:BB)=1,1.25,IF(_xlfn.XLOOKUP(E88,Groups!A:A,Groups!BC:BC)=1,3.5,2.5))</f>
        <v>879.96302420469704</v>
      </c>
      <c r="BE88" s="8">
        <f>EXP(1.076*LN(AP88)-4.5397)*IF(_xlfn.XLOOKUP(E88,Groups!A:A,Groups!M:M)=1,0.8,IF(_xlfn.XLOOKUP(E88,Groups!A:A,Groups!BB:BB)=1,1.3,3))</f>
        <v>984.41377744884551</v>
      </c>
      <c r="BF88" s="8">
        <f>IF(W88="No","No",IF(_xlfn.XLOOKUP(E88,Groups!A:A,Groups!U:U)=1,'Base stats'!BG88,IF(OR(_xlfn.XLOOKUP(E88,Groups!A:A,Groups!BC:BC)=1,_xlfn.XLOOKUP(E88,Groups!A:A,Groups!U:U)=2),BD88,BE88))*1.2)</f>
        <v>1181.2965329386145</v>
      </c>
      <c r="BG88" s="8" t="str">
        <f>IFERROR(EXP(1.076*LN(AQ88)-4.5397)*IF(_xlfn.XLOOKUP(E88,Groups!A:A,Groups!N:N)="Insect",1,IF(OR(_xlfn.XLOOKUP(E88,Groups!A:A,Groups!N:N)="Pig",_xlfn.XLOOKUP(E88,Groups!A:A,Groups!N:N)="StrongBitingHerbivore"),3.5,3.75)),"No")</f>
        <v>No</v>
      </c>
      <c r="BH88" s="8">
        <f t="shared" si="29"/>
        <v>13</v>
      </c>
      <c r="BI88" s="8">
        <f t="shared" si="30"/>
        <v>12</v>
      </c>
      <c r="BJ88" s="8">
        <f>IF(W88="No","No",ROUNDDOWN(SQRT((2*BF88)/AZ88),0))</f>
        <v>15</v>
      </c>
      <c r="BK88" s="8" t="str">
        <f>IF(V88="No","No",ROUNDDOWN(SQRT((2*BG88)/AY88),0))</f>
        <v>No</v>
      </c>
      <c r="BL88" s="8">
        <f t="shared" si="31"/>
        <v>14</v>
      </c>
      <c r="BM88" s="8" t="str" cm="1">
        <f t="array" ref="BM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stats'!E88,Groups!A:A,Groups!P:P=0)),"No",IF(U88="No",AVERAGE(EXP(-0.57+0.99*LN(C88)),EXP(0.32+0.67*LN(C88)))/IF(_xlfn.XLOOKUP(E88,Groups!A:A,Groups!AD:AD)=1,10,2),(0.7354*C88^0.4078)*2/IF(_xlfn.XLOOKUP(E88,Groups!A:A,Groups!BJ:BJ)=1,1000,100)))</f>
        <v>No</v>
      </c>
      <c r="BN88" s="8">
        <f>IF(W88="No","No",IF(_xlfn.XLOOKUP(E88,Groups!A:A,Groups!BC:BC)=1,(AL88*5%),EXP(0.7354*LN(C88)^0.4078)*2/IF(_xlfn.XLOOKUP(E88,Groups!A:A,Groups!BK:BK)=1,1000,100)))</f>
        <v>9.8945111807899319E-2</v>
      </c>
      <c r="BO88" s="8" t="str">
        <f>IF(BG88="No","No",IF(_xlfn.XLOOKUP(E88,Groups!A:A,Groups!BE:BE)=1,(0.0315*C88+2.1825)*2,(0.7354*C88^0.4078)*2)/IF(_xlfn.XLOOKUP(E88,Groups!A:A,Groups!BL:BL)=1,1000,100))</f>
        <v>No</v>
      </c>
      <c r="BP88" s="8">
        <f>BD88/(AL88*5%)</f>
        <v>0.20159342987340229</v>
      </c>
      <c r="BQ88" s="8" t="str">
        <f t="shared" si="32"/>
        <v>No</v>
      </c>
      <c r="BR88" s="8">
        <f>IF(W88="No","No",BF88/BN88)</f>
        <v>11938.907454388316</v>
      </c>
      <c r="BS88" s="8" t="str">
        <f t="shared" si="33"/>
        <v>No</v>
      </c>
      <c r="BT88" s="4">
        <v>0</v>
      </c>
      <c r="BU88" s="4">
        <v>1</v>
      </c>
    </row>
    <row r="89" spans="1:73" x14ac:dyDescent="0.25">
      <c r="A89" s="26" t="s">
        <v>111</v>
      </c>
      <c r="B89" s="6" t="s">
        <v>112</v>
      </c>
      <c r="C89" s="7">
        <v>150</v>
      </c>
      <c r="E89" s="7" t="s">
        <v>1036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583</v>
      </c>
      <c r="L89" s="7">
        <v>32</v>
      </c>
      <c r="M89" s="7" t="s">
        <v>638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_xlfn.XLOOKUP(B89,[1]TeethAdjusters!$A:$A,[1]BiteAdjusters!$C:$C)</f>
        <v>1.1676825028331534</v>
      </c>
      <c r="T89" s="7">
        <f>_xlfn.XLOOKUP(B89,[1]TeethAdjusters!$A:$A,[1]TeethAdjusters!$B:$B)</f>
        <v>0.6787493024042468</v>
      </c>
      <c r="U89" s="7" t="s">
        <v>45</v>
      </c>
      <c r="V89" s="7">
        <f>IF(AQ89="No","No",IF(_xlfn.XLOOKUP(E89,Groups!A:A,Groups!AM:AM)=1,MROUND(EXP(0.3582*LN(C89)-0.2221)*T89,0.05),IF(_xlfn.XLOOKUP(E89,Groups!A:A,Groups!AM:AM)=2,MROUND(EXP(0.3582*LN(C89)-0.2221)*T89,0.05),"Need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945</v>
      </c>
      <c r="Y89" s="4" t="s">
        <v>42</v>
      </c>
      <c r="Z89" s="4">
        <v>0</v>
      </c>
      <c r="AA89" s="4">
        <v>0</v>
      </c>
      <c r="AB89" s="4">
        <v>0</v>
      </c>
      <c r="AC89" s="4" t="s">
        <v>45</v>
      </c>
      <c r="AD89" s="4" t="s">
        <v>407</v>
      </c>
      <c r="AE89" s="28" t="s">
        <v>394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4" t="s">
        <v>40</v>
      </c>
      <c r="AL89" s="8">
        <f t="shared" si="24"/>
        <v>28825.861601687579</v>
      </c>
      <c r="AM89" s="8">
        <f>IFERROR(C89*_xlfn.XLOOKUP(E89,Groups!A:A,Groups!K:K),0.106*C89^0.94)</f>
        <v>11.771495712556113</v>
      </c>
      <c r="AN89" s="8">
        <f>AM89*10000/(_xlfn.XLOOKUP(E89,Groups!A:A,Groups!J:J)*AL89)</f>
        <v>3.7464751271603496</v>
      </c>
      <c r="AO89" s="8">
        <f t="shared" si="25"/>
        <v>3746.1489061563307</v>
      </c>
      <c r="AP89" s="8">
        <f>IF(_xlfn.XLOOKUP(E89,Groups!A:A,Groups!M:M)=1,EXP(0.7444*LN('Base stats'!C89)+6.5696),EXP(0.7927*LN('Base stats'!C89)+4.28))</f>
        <v>3835.0225645496203</v>
      </c>
      <c r="AQ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"No")))))))))))))))</f>
        <v>1958.5634169804396</v>
      </c>
      <c r="AR89" s="8">
        <f>IF(_xlfn.XLOOKUP(E89,Groups!A:A,Groups!U:U)=3,AP89,IF(_xlfn.XLOOKUP(E89,Groups!A:A,Groups!U:U)=2,AO89,AQ89))</f>
        <v>1958.5634169804396</v>
      </c>
      <c r="AS89" s="46">
        <f>IFERROR(AVERAGE(_xlfn.XLOOKUP(B89,Animals!B:B,Animals!M:M),_xlfn.XLOOKUP(B89,Animals!B:B,Animals!N:N)),0)</f>
        <v>0</v>
      </c>
      <c r="AT89" s="8">
        <f>MROUND(40*Animals!AN89*_xlfn.XLOOKUP(Animals!AZ89,Leathers!$A$2:$A$100,Leathers!$B$2:$B$100,0)+(140*_xlfn.XLOOKUP(B89,Animals!B:B,Animals!AN:AN)*2),5)</f>
        <v>535</v>
      </c>
      <c r="AU89" s="8">
        <f>IFERROR(ROUND(SQRT(V89-1)*IF(_xlfn.XLOOKUP(E89,Groups!A:A,Groups!BE:BE)=0,2,1)*IF(_xlfn.XLOOKUP('Base stats'!E89,Groups!A:A,Groups!O:O)=0,1,0.1),1),0)</f>
        <v>3</v>
      </c>
      <c r="AV89" s="8">
        <f t="shared" si="26"/>
        <v>0</v>
      </c>
      <c r="AW89" s="8">
        <f t="shared" si="27"/>
        <v>0</v>
      </c>
      <c r="AX89" s="8">
        <f t="shared" si="28"/>
        <v>4.8</v>
      </c>
      <c r="AY89" s="8">
        <f>IF(_xlfn.XLOOKUP(E89,Groups!A:A,Groups!N:N)="Insect",BA89*2.5,IFERROR(AVERAGE(BA89,AQ89/9.81/IF(OR(_xlfn.XLOOKUP(E89,Groups!A:A,Groups!N:N)="Pig",_xlfn.XLOOKUP(E89,Groups!A:A,Groups!N:N)="StrongBitingHerbivore"),20,25))*C89^-0.135,BA89))</f>
        <v>2.4659107178066355</v>
      </c>
      <c r="AZ89" s="8" t="str">
        <f>IF(W89="No","No",IF(_xlfn.XLOOKUP(E89,Groups!A:A,Groups!U:U)=1,'Base stats'!AY89,IF(OR(_xlfn.XLOOKUP(E89,Groups!A:A,Groups!BC:BC)=1,_xlfn.XLOOKUP(E89,Groups!A:A,Groups!U:U)=2),BA89,IF(_xlfn.XLOOKUP(B89,Animals!B:B,Animals!AN:AN)&gt;4,AVERAGE(BA89,BC89),BC89))))</f>
        <v>No</v>
      </c>
      <c r="BA89" s="8">
        <f>(0.0392*C89^IF(OR(Y89="Herbivore",Y89="Dendrovore",Y89="OmnivoreRough"),0.889,0.966))*C89^-0.135</f>
        <v>1.7141896806845596</v>
      </c>
      <c r="BB89" s="8">
        <f>IF(_xlfn.XLOOKUP(E89,Groups!A:A,Groups!BD:BD)=1,(0.048*C89^1.01)+(0.071*C89^1.03),0.071*C89^1.03)/IF(_xlfn.XLOOKUP(E89,Groups!A:A,Groups!M:M)=1,0.85,IF(OR(_xlfn.XLOOKUP(B89,Animals!B:B,Animals!AN:AN)&gt;4,_xlfn.XLOOKUP(E89,Groups!A:A,Groups!BB:BB)=1),1.7,1))*C89^-0.25</f>
        <v>3.5367920914565221</v>
      </c>
      <c r="BC89" s="8">
        <f>(0.048*C89^1.01)/IF(_xlfn.XLOOKUP(E89,Groups!A:A,Groups!M:M)=1,0.25,0.8)*C89^-0.25</f>
        <v>2.7038376258152188</v>
      </c>
      <c r="BD89" s="8">
        <f>EXP(1.076*LN(AO89)-4.5397)*IF(_xlfn.XLOOKUP(E89,Groups!A:A,Groups!BB:BB)=1,1.25,IF(_xlfn.XLOOKUP(E89,Groups!A:A,Groups!BC:BC)=1,3.5,2.5))</f>
        <v>186.87484615605439</v>
      </c>
      <c r="BE89" s="8">
        <f>EXP(1.076*LN(AP89)-4.5397)*IF(_xlfn.XLOOKUP(E89,Groups!A:A,Groups!M:M)=1,0.8,IF(_xlfn.XLOOKUP(E89,Groups!A:A,Groups!BB:BB)=1,1.3,3))</f>
        <v>229.97937056804284</v>
      </c>
      <c r="BF89" s="8" t="str">
        <f>IF(W89="No","No",IF(_xlfn.XLOOKUP(E89,Groups!A:A,Groups!U:U)=1,'Base stats'!BG89,IF(OR(_xlfn.XLOOKUP(E89,Groups!A:A,Groups!BC:BC)=1,_xlfn.XLOOKUP(E89,Groups!A:A,Groups!U:U)=2),BD89,BE89))*1.2)</f>
        <v>No</v>
      </c>
      <c r="BG89" s="8">
        <f>IFERROR(EXP(1.076*LN(AQ89)-4.5397)*IF(_xlfn.XLOOKUP(E89,Groups!A:A,Groups!N:N)="Insect",1,IF(OR(_xlfn.XLOOKUP(E89,Groups!A:A,Groups!N:N)="Pig",_xlfn.XLOOKUP(E89,Groups!A:A,Groups!N:N)="StrongBitingHerbivore"),3.5,3.75)),"No")</f>
        <v>139.504914419214</v>
      </c>
      <c r="BH89" s="8">
        <f t="shared" si="29"/>
        <v>14</v>
      </c>
      <c r="BI89" s="8">
        <f t="shared" si="30"/>
        <v>11</v>
      </c>
      <c r="BJ89" s="8" t="str">
        <f>IF(W89="No","No",ROUNDDOWN(SQRT((2*BF89)/AZ89),0))</f>
        <v>No</v>
      </c>
      <c r="BK89" s="8">
        <f>IF(V89="No","No",ROUNDDOWN(SQRT((2*BG89)/AY89),0))</f>
        <v>10</v>
      </c>
      <c r="BL89" s="8">
        <f t="shared" si="31"/>
        <v>13</v>
      </c>
      <c r="BM89" s="8" cm="1">
        <f t="array" ref="BM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stats'!E89,Groups!A:A,Groups!P:P=0)),"No",IF(U89="No",AVERAGE(EXP(-0.57+0.99*LN(C89)),EXP(0.32+0.67*LN(C89)))/IF(_xlfn.XLOOKUP(E89,Groups!A:A,Groups!AD:AD)=1,10,2),(0.7354*C89^0.4078)*2/IF(_xlfn.XLOOKUP(E89,Groups!A:A,Groups!BJ:BJ)=1,1000,100)))</f>
        <v>6.0107842131370601</v>
      </c>
      <c r="BN89" s="8" t="str">
        <f>IF(W89="No","No",IF(_xlfn.XLOOKUP(E89,Groups!A:A,Groups!BC:BC)=1,(AL89*5%),EXP(0.7354*LN(C89)^0.4078)*2/IF(_xlfn.XLOOKUP(E89,Groups!A:A,Groups!BK:BK)=1,1000,100)))</f>
        <v>No</v>
      </c>
      <c r="BO89" s="8">
        <f>IF(BG89="No","No",IF(_xlfn.XLOOKUP(E89,Groups!A:A,Groups!BE:BE)=1,(0.0315*C89+2.1825)*2,(0.7354*C89^0.4078)*2)/IF(_xlfn.XLOOKUP(E89,Groups!A:A,Groups!BL:BL)=1,1000,100))</f>
        <v>0.11349157855001941</v>
      </c>
      <c r="BP89" s="8">
        <f>BD89/(AL89*5%)</f>
        <v>0.12965776963635597</v>
      </c>
      <c r="BQ89" s="8">
        <f t="shared" si="32"/>
        <v>38.2611257388685</v>
      </c>
      <c r="BR89" s="8" t="str">
        <f>IF(W89="No","No",BF89/BN89)</f>
        <v>No</v>
      </c>
      <c r="BS89" s="8">
        <f t="shared" si="33"/>
        <v>1229.2093933448082</v>
      </c>
      <c r="BT89" s="4">
        <v>0</v>
      </c>
      <c r="BU89" s="4">
        <v>1</v>
      </c>
    </row>
    <row r="90" spans="1:73" x14ac:dyDescent="0.25">
      <c r="A90" s="26" t="s">
        <v>219</v>
      </c>
      <c r="B90" s="6" t="s">
        <v>268</v>
      </c>
      <c r="C90" s="7">
        <f>AVERAGE(79,91,68,73)</f>
        <v>77.75</v>
      </c>
      <c r="E90" s="7" t="str">
        <f>Groups!A25</f>
        <v>Lizardlike (monitor lizard)</v>
      </c>
      <c r="F90" s="7" t="str">
        <f t="shared" ref="F90:F92" si="34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35">"Lay eggs"</f>
        <v>Lay eggs</v>
      </c>
      <c r="K90" s="7" t="s">
        <v>584</v>
      </c>
      <c r="L90" s="7">
        <v>20</v>
      </c>
      <c r="M90" s="7" t="s">
        <v>649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_xlfn.XLOOKUP(B90,[1]TeethAdjusters!$A:$A,[1]BiteAdjusters!$C:$C)</f>
        <v>0.36515827447155735</v>
      </c>
      <c r="T90" s="7">
        <f>_xlfn.XLOOKUP(B90,[1]TeethAdjusters!$A:$A,[1]TeethAdjusters!$B:$B)</f>
        <v>1</v>
      </c>
      <c r="U90" s="7">
        <v>2</v>
      </c>
      <c r="V90" s="7">
        <v>2.5</v>
      </c>
      <c r="W90" s="7" t="s">
        <v>45</v>
      </c>
      <c r="X90" s="7" t="s">
        <v>945</v>
      </c>
      <c r="Y90" s="4" t="s">
        <v>56</v>
      </c>
      <c r="Z90" s="4">
        <v>0</v>
      </c>
      <c r="AA90" s="4">
        <v>0</v>
      </c>
      <c r="AB90" s="4">
        <v>0</v>
      </c>
      <c r="AC90" s="4" t="s">
        <v>45</v>
      </c>
      <c r="AD90" s="4" t="s">
        <v>45</v>
      </c>
      <c r="AE90" s="28" t="s">
        <v>395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4" t="s">
        <v>40</v>
      </c>
      <c r="AL90" s="8">
        <f t="shared" si="24"/>
        <v>18805.212151506359</v>
      </c>
      <c r="AM90" s="8">
        <f>IFERROR(C90*_xlfn.XLOOKUP(E90,Groups!A:A,Groups!K:K),0.106*C90^0.94)</f>
        <v>6.3469377540155847</v>
      </c>
      <c r="AN90" s="8">
        <f>AM90*10000/(_xlfn.XLOOKUP(E90,Groups!A:A,Groups!J:J)*AL90)</f>
        <v>3.096417432835163</v>
      </c>
      <c r="AO90" s="8">
        <f t="shared" si="25"/>
        <v>2150.3808093805756</v>
      </c>
      <c r="AP90" s="8">
        <f>IF(_xlfn.XLOOKUP(E90,Groups!A:A,Groups!M:M)=1,EXP(0.7444*LN('Base stats'!C90)+6.5696),EXP(0.7927*LN('Base stats'!C90)+4.28))</f>
        <v>2277.9206299800617</v>
      </c>
      <c r="AQ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"No")))))))))))))))</f>
        <v>2668.9383186</v>
      </c>
      <c r="AR90" s="8">
        <f>IF(_xlfn.XLOOKUP(E90,Groups!A:A,Groups!U:U)=3,AP90,IF(_xlfn.XLOOKUP(E90,Groups!A:A,Groups!U:U)=2,AO90,AQ90))</f>
        <v>2668.9383186</v>
      </c>
      <c r="AS90" s="46">
        <f>IFERROR(AVERAGE(_xlfn.XLOOKUP(B90,Animals!B:B,Animals!M:M),_xlfn.XLOOKUP(B90,Animals!B:B,Animals!N:N)),0)</f>
        <v>0</v>
      </c>
      <c r="AT90" s="8">
        <f>MROUND(40*Animals!AN90*_xlfn.XLOOKUP(Animals!AZ90,Leathers!$A$2:$A$100,Leathers!$B$2:$B$100,0)+(140*_xlfn.XLOOKUP(B90,Animals!B:B,Animals!AN:AN)*2),5)</f>
        <v>480</v>
      </c>
      <c r="AU90" s="8">
        <f>IFERROR(ROUND(SQRT(V90-1)*IF(_xlfn.XLOOKUP(E90,Groups!A:A,Groups!BE:BE)=0,2,1)*IF(_xlfn.XLOOKUP('Base stats'!E90,Groups!A:A,Groups!O:O)=0,1,0.1),1),0)</f>
        <v>2.4</v>
      </c>
      <c r="AV90" s="8">
        <f t="shared" si="26"/>
        <v>1</v>
      </c>
      <c r="AW90" s="8">
        <f t="shared" si="27"/>
        <v>0</v>
      </c>
      <c r="AX90" s="8">
        <f t="shared" si="28"/>
        <v>3.8</v>
      </c>
      <c r="AY90" s="8">
        <f>IF(_xlfn.XLOOKUP(E90,Groups!A:A,Groups!N:N)="Insect",BA90*2.5,IFERROR(AVERAGE(BA90,AQ90/9.81/IF(OR(_xlfn.XLOOKUP(E90,Groups!A:A,Groups!N:N)="Pig",_xlfn.XLOOKUP(E90,Groups!A:A,Groups!N:N)="StrongBitingHerbivore"),20,25))*C90^-0.135,BA90))</f>
        <v>3.4287970660637512</v>
      </c>
      <c r="AZ90" s="8" t="str">
        <f>IF(W90="No","No",IF(_xlfn.XLOOKUP(E90,Groups!A:A,Groups!U:U)=1,'Base stats'!AY90,IF(OR(_xlfn.XLOOKUP(E90,Groups!A:A,Groups!BC:BC)=1,_xlfn.XLOOKUP(E90,Groups!A:A,Groups!U:U)=2),BA90,IF(_xlfn.XLOOKUP(B90,Animals!B:B,Animals!AN:AN)&gt;4,AVERAGE(BA90,BC90),BC90))))</f>
        <v>No</v>
      </c>
      <c r="BA90" s="8">
        <f>(0.0392*C90^IF(OR(Y90="Herbivore",Y90="Dendrovore",Y90="OmnivoreRough"),0.889,0.966))*C90^-0.135</f>
        <v>1.4603538417867086</v>
      </c>
      <c r="BB90" s="8">
        <f>IF(_xlfn.XLOOKUP(E90,Groups!A:A,Groups!BD:BD)=1,(0.048*C90^1.01)+(0.071*C90^1.03),0.071*C90^1.03)/IF(_xlfn.XLOOKUP(E90,Groups!A:A,Groups!M:M)=1,0.85,IF(OR(_xlfn.XLOOKUP(B90,Animals!B:B,Animals!AN:AN)&gt;4,_xlfn.XLOOKUP(E90,Groups!A:A,Groups!BB:BB)=1),1.7,1))*C90^-0.25</f>
        <v>2.1183838602365022</v>
      </c>
      <c r="BC90" s="8">
        <f>(0.048*C90^1.01)/IF(_xlfn.XLOOKUP(E90,Groups!A:A,Groups!M:M)=1,0.25,0.8)*C90^-0.25</f>
        <v>1.6409054317918101</v>
      </c>
      <c r="BD90" s="8">
        <f>EXP(1.076*LN(AO90)-4.5397)*IF(_xlfn.XLOOKUP(E90,Groups!A:A,Groups!BB:BB)=1,1.25,IF(_xlfn.XLOOKUP(E90,Groups!A:A,Groups!BC:BC)=1,3.5,2.5))</f>
        <v>102.83948505450229</v>
      </c>
      <c r="BE90" s="8">
        <f>EXP(1.076*LN(AP90)-4.5397)*IF(_xlfn.XLOOKUP(E90,Groups!A:A,Groups!M:M)=1,0.8,IF(_xlfn.XLOOKUP(E90,Groups!A:A,Groups!BB:BB)=1,1.3,3))</f>
        <v>131.30042012028181</v>
      </c>
      <c r="BF90" s="8" t="str">
        <f>IF(W90="No","No",IF(_xlfn.XLOOKUP(E90,Groups!A:A,Groups!U:U)=1,'Base stats'!BG90,IF(OR(_xlfn.XLOOKUP(E90,Groups!A:A,Groups!BC:BC)=1,_xlfn.XLOOKUP(E90,Groups!A:A,Groups!U:U)=2),BD90,BE90))*1.2)</f>
        <v>No</v>
      </c>
      <c r="BG90" s="8">
        <f>IFERROR(EXP(1.076*LN(AQ90)-4.5397)*IF(_xlfn.XLOOKUP(E90,Groups!A:A,Groups!N:N)="Insect",1,IF(OR(_xlfn.XLOOKUP(E90,Groups!A:A,Groups!N:N)="Pig",_xlfn.XLOOKUP(E90,Groups!A:A,Groups!N:N)="StrongBitingHerbivore"),3.5,3.75)),"No")</f>
        <v>194.62780020942813</v>
      </c>
      <c r="BH90" s="8">
        <f t="shared" si="29"/>
        <v>11</v>
      </c>
      <c r="BI90" s="8">
        <f t="shared" si="30"/>
        <v>11</v>
      </c>
      <c r="BJ90" s="8" t="str">
        <f>IF(W90="No","No",ROUNDDOWN(SQRT((2*BF90)/AZ90),0))</f>
        <v>No</v>
      </c>
      <c r="BK90" s="8">
        <f>IF(V90="No","No",ROUNDDOWN(SQRT((2*BG90)/AY90),0))</f>
        <v>10</v>
      </c>
      <c r="BL90" s="8">
        <f t="shared" si="31"/>
        <v>12</v>
      </c>
      <c r="BM90" s="8" cm="1">
        <f t="array" ref="BM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stats'!E90,Groups!A:A,Groups!P:P=0)),"No",IF(U90="No",AVERAGE(EXP(-0.57+0.99*LN(C90)),EXP(0.32+0.67*LN(C90)))/IF(_xlfn.XLOOKUP(E90,Groups!A:A,Groups!AD:AD)=1,10,2),(0.7354*C90^0.4078)*2/IF(_xlfn.XLOOKUP(E90,Groups!A:A,Groups!BJ:BJ)=1,1000,100)))</f>
        <v>8.6812296168522887E-2</v>
      </c>
      <c r="BN90" s="8" t="str">
        <f>IF(W90="No","No",IF(_xlfn.XLOOKUP(E90,Groups!A:A,Groups!BC:BC)=1,(AL90*5%),EXP(0.7354*LN(C90)^0.4078)*2/IF(_xlfn.XLOOKUP(E90,Groups!A:A,Groups!BK:BK)=1,1000,100)))</f>
        <v>No</v>
      </c>
      <c r="BO90" s="8">
        <f>IF(BG90="No","No",IF(_xlfn.XLOOKUP(E90,Groups!A:A,Groups!BE:BE)=1,(0.0315*C90+2.1825)*2,(0.7354*C90^0.4078)*2)/IF(_xlfn.XLOOKUP(E90,Groups!A:A,Groups!BL:BL)=1,1000,100))</f>
        <v>8.6812296168522887E-2</v>
      </c>
      <c r="BP90" s="8">
        <f>BD90/(AL90*5%)</f>
        <v>0.10937338459780631</v>
      </c>
      <c r="BQ90" s="8">
        <f t="shared" si="32"/>
        <v>1512.4633941878133</v>
      </c>
      <c r="BR90" s="8" t="str">
        <f>IF(W90="No","No",BF90/BN90)</f>
        <v>No</v>
      </c>
      <c r="BS90" s="8">
        <f t="shared" si="33"/>
        <v>2241.93816774078</v>
      </c>
      <c r="BT90" s="4">
        <v>0</v>
      </c>
      <c r="BU90" s="4">
        <v>1</v>
      </c>
    </row>
    <row r="91" spans="1:73" x14ac:dyDescent="0.25">
      <c r="A91" s="26" t="s">
        <v>193</v>
      </c>
      <c r="B91" s="6" t="s">
        <v>194</v>
      </c>
      <c r="C91" s="7">
        <f>1.35-0.0378*(AVERAGE(278,379))+4.6*10^-6*(AVERAGE(278,379))^3</f>
        <v>151.99890097499997</v>
      </c>
      <c r="E91" s="7" t="s">
        <v>195</v>
      </c>
      <c r="F91" s="7" t="str">
        <f t="shared" si="34"/>
        <v>Lay eggs</v>
      </c>
      <c r="G91" s="7">
        <f>4380/365</f>
        <v>12</v>
      </c>
      <c r="H91" s="7">
        <v>77</v>
      </c>
      <c r="I91" s="4">
        <v>0</v>
      </c>
      <c r="J91" s="7" t="str">
        <f t="shared" si="35"/>
        <v>Lay eggs</v>
      </c>
      <c r="K91" s="7" t="s">
        <v>585</v>
      </c>
      <c r="L91" s="7">
        <v>12</v>
      </c>
      <c r="M91" s="7" t="s">
        <v>538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_xlfn.XLOOKUP(B91,[1]TeethAdjusters!$A:$A,[1]BiteAdjusters!$C:$C)</f>
        <v>1.5742707783403749</v>
      </c>
      <c r="T91" s="7">
        <f>_xlfn.XLOOKUP(B91,[1]TeethAdjusters!$A:$A,[1]TeethAdjusters!$B:$B)</f>
        <v>1</v>
      </c>
      <c r="U91" s="7" t="s">
        <v>45</v>
      </c>
      <c r="V91" s="7">
        <f>MROUND(6/2,0.05)</f>
        <v>3</v>
      </c>
      <c r="W91" s="7" t="s">
        <v>45</v>
      </c>
      <c r="X91" s="7" t="s">
        <v>945</v>
      </c>
      <c r="Y91" s="4" t="s">
        <v>56</v>
      </c>
      <c r="Z91" s="4">
        <v>0</v>
      </c>
      <c r="AA91" s="4">
        <v>0</v>
      </c>
      <c r="AB91" s="4">
        <v>0</v>
      </c>
      <c r="AC91" s="4" t="s">
        <v>45</v>
      </c>
      <c r="AD91" s="4" t="s">
        <v>45</v>
      </c>
      <c r="AE91" s="28" t="s">
        <v>395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4">
        <v>15</v>
      </c>
      <c r="AL91" s="8">
        <f t="shared" si="24"/>
        <v>29074.969636256101</v>
      </c>
      <c r="AM91" s="8">
        <f>IFERROR(C91*_xlfn.XLOOKUP(E91,Groups!A:A,Groups!K:K),0.106*C91^0.94)</f>
        <v>30.399780194999995</v>
      </c>
      <c r="AN91" s="8">
        <f>AM91*10000/(_xlfn.XLOOKUP(E91,Groups!A:A,Groups!J:J)*AL91)</f>
        <v>5.621318973414672</v>
      </c>
      <c r="AO91" s="8">
        <f t="shared" si="25"/>
        <v>3788.2739356721245</v>
      </c>
      <c r="AP91" s="8">
        <f>IF(_xlfn.XLOOKUP(E91,Groups!A:A,Groups!M:M)=1,EXP(0.7444*LN('Base stats'!C91)+6.5696),EXP(0.7927*LN('Base stats'!C91)+4.28))</f>
        <v>3875.4782646004551</v>
      </c>
      <c r="AQ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"No")))))))))))))))</f>
        <v>10015.596078910863</v>
      </c>
      <c r="AR91" s="8">
        <f>IF(_xlfn.XLOOKUP(E91,Groups!A:A,Groups!U:U)=3,AP91,IF(_xlfn.XLOOKUP(E91,Groups!A:A,Groups!U:U)=2,AO91,AQ91))</f>
        <v>10015.596078910863</v>
      </c>
      <c r="AS91" s="46">
        <f>IFERROR(AVERAGE(_xlfn.XLOOKUP(B91,Animals!B:B,Animals!M:M),_xlfn.XLOOKUP(B91,Animals!B:B,Animals!N:N)),0)</f>
        <v>0.2</v>
      </c>
      <c r="AT91" s="8">
        <f>MROUND(40*Animals!AN91*_xlfn.XLOOKUP(Animals!AZ91,Leathers!$A$2:$A$100,Leathers!$B$2:$B$100,0)+(140*_xlfn.XLOOKUP(B91,Animals!B:B,Animals!AN:AN)*2),5)</f>
        <v>730</v>
      </c>
      <c r="AU91" s="8">
        <f>IFERROR(ROUND(SQRT(V91-1)*IF(_xlfn.XLOOKUP(E91,Groups!A:A,Groups!BE:BE)=0,2,1)*IF(_xlfn.XLOOKUP('Base stats'!E91,Groups!A:A,Groups!O:O)=0,1,0.1),1),0)</f>
        <v>1.4</v>
      </c>
      <c r="AV91" s="8">
        <f t="shared" si="26"/>
        <v>0</v>
      </c>
      <c r="AW91" s="8">
        <f t="shared" si="27"/>
        <v>0</v>
      </c>
      <c r="AX91" s="8">
        <f t="shared" si="28"/>
        <v>4.8</v>
      </c>
      <c r="AY91" s="8">
        <f>IF(_xlfn.XLOOKUP(E91,Groups!A:A,Groups!N:N)="Insect",BA91*2.5,IFERROR(AVERAGE(BA91,AQ91/9.81/IF(OR(_xlfn.XLOOKUP(E91,Groups!A:A,Groups!N:N)="Pig",_xlfn.XLOOKUP(E91,Groups!A:A,Groups!N:N)="StrongBitingHerbivore"),20,25))*C91^-0.135,BA91))</f>
        <v>11.009961436947849</v>
      </c>
      <c r="AZ91" s="8" t="str">
        <f>IF(W91="No","No",IF(_xlfn.XLOOKUP(E91,Groups!A:A,Groups!U:U)=1,'Base stats'!AY91,IF(OR(_xlfn.XLOOKUP(E91,Groups!A:A,Groups!BC:BC)=1,_xlfn.XLOOKUP(E91,Groups!A:A,Groups!U:U)=2),BA91,IF(_xlfn.XLOOKUP(B91,Animals!B:B,Animals!AN:AN)&gt;4,AVERAGE(BA91,BC91),BC91))))</f>
        <v>No</v>
      </c>
      <c r="BA91" s="8">
        <f>(0.0392*C91^IF(OR(Y91="Herbivore",Y91="Dendrovore",Y91="OmnivoreRough"),0.889,0.966))*C91^-0.135</f>
        <v>2.5491505145749231</v>
      </c>
      <c r="BB91" s="8">
        <f>IF(_xlfn.XLOOKUP(E91,Groups!A:A,Groups!BD:BD)=1,(0.048*C91^1.01)+(0.071*C91^1.03),0.071*C91^1.03)/IF(_xlfn.XLOOKUP(E91,Groups!A:A,Groups!M:M)=1,0.85,IF(OR(_xlfn.XLOOKUP(B91,Animals!B:B,Animals!AN:AN)&gt;4,_xlfn.XLOOKUP(E91,Groups!A:A,Groups!BB:BB)=1),1.7,1))*C91^-0.25</f>
        <v>3.5735009179873685</v>
      </c>
      <c r="BC91" s="8">
        <f>(0.048*C91^1.01)/IF(_xlfn.XLOOKUP(E91,Groups!A:A,Groups!M:M)=1,0.25,0.8)*C91^-0.25</f>
        <v>2.7311779070854358</v>
      </c>
      <c r="BD91" s="8">
        <f>EXP(1.076*LN(AO91)-4.5397)*IF(_xlfn.XLOOKUP(E91,Groups!A:A,Groups!BB:BB)=1,1.25,IF(_xlfn.XLOOKUP(E91,Groups!A:A,Groups!BC:BC)=1,3.5,2.5))</f>
        <v>189.13690135976577</v>
      </c>
      <c r="BE91" s="8">
        <f>EXP(1.076*LN(AP91)-4.5397)*IF(_xlfn.XLOOKUP(E91,Groups!A:A,Groups!M:M)=1,0.8,IF(_xlfn.XLOOKUP(E91,Groups!A:A,Groups!BB:BB)=1,1.3,3))</f>
        <v>232.59084900566722</v>
      </c>
      <c r="BF91" s="8" t="str">
        <f>IF(W91="No","No",IF(_xlfn.XLOOKUP(E91,Groups!A:A,Groups!U:U)=1,'Base stats'!BG91,IF(OR(_xlfn.XLOOKUP(E91,Groups!A:A,Groups!BC:BC)=1,_xlfn.XLOOKUP(E91,Groups!A:A,Groups!U:U)=2),BD91,BE91))*1.2)</f>
        <v>No</v>
      </c>
      <c r="BG91" s="8">
        <f>IFERROR(EXP(1.076*LN(AQ91)-4.5397)*IF(_xlfn.XLOOKUP(E91,Groups!A:A,Groups!N:N)="Insect",1,IF(OR(_xlfn.XLOOKUP(E91,Groups!A:A,Groups!N:N)="Pig",_xlfn.XLOOKUP(E91,Groups!A:A,Groups!N:N)="StrongBitingHerbivore"),3.5,3.75)),"No")</f>
        <v>807.59355910972317</v>
      </c>
      <c r="BH91" s="8">
        <f t="shared" si="29"/>
        <v>12</v>
      </c>
      <c r="BI91" s="8">
        <f t="shared" si="30"/>
        <v>11</v>
      </c>
      <c r="BJ91" s="8" t="str">
        <f>IF(W91="No","No",ROUNDDOWN(SQRT((2*BF91)/AZ91),0))</f>
        <v>No</v>
      </c>
      <c r="BK91" s="8">
        <f>IF(V91="No","No",ROUNDDOWN(SQRT((2*BG91)/AY91),0))</f>
        <v>12</v>
      </c>
      <c r="BL91" s="8">
        <f t="shared" si="31"/>
        <v>13</v>
      </c>
      <c r="BM91" s="8" t="str" cm="1">
        <f t="array" ref="BM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stats'!E91,Groups!A:A,Groups!P:P=0)),"No",IF(U91="No",AVERAGE(EXP(-0.57+0.99*LN(C91)),EXP(0.32+0.67*LN(C91)))/IF(_xlfn.XLOOKUP(E91,Groups!A:A,Groups!AD:AD)=1,10,2),(0.7354*C91^0.4078)*2/IF(_xlfn.XLOOKUP(E91,Groups!A:A,Groups!BJ:BJ)=1,1000,100)))</f>
        <v>No</v>
      </c>
      <c r="BN91" s="8" t="str">
        <f>IF(W91="No","No",IF(_xlfn.XLOOKUP(E91,Groups!A:A,Groups!BC:BC)=1,(AL91*5%),EXP(0.7354*LN(C91)^0.4078)*2/IF(_xlfn.XLOOKUP(E91,Groups!A:A,Groups!BK:BK)=1,1000,100)))</f>
        <v>No</v>
      </c>
      <c r="BO91" s="8">
        <f>IF(BG91="No","No",IF(_xlfn.XLOOKUP(E91,Groups!A:A,Groups!BE:BE)=1,(0.0315*C91+2.1825)*2,(0.7354*C91^0.4078)*2)/IF(_xlfn.XLOOKUP(E91,Groups!A:A,Groups!BL:BL)=1,1000,100))</f>
        <v>0.13940930761424997</v>
      </c>
      <c r="BP91" s="8">
        <f>BD91/(AL91*5%)</f>
        <v>0.1301029055066765</v>
      </c>
      <c r="BQ91" s="8" t="str">
        <f t="shared" si="32"/>
        <v>No</v>
      </c>
      <c r="BR91" s="8" t="str">
        <f>IF(W91="No","No",BF91/BN91)</f>
        <v>No</v>
      </c>
      <c r="BS91" s="8">
        <f t="shared" si="33"/>
        <v>5792.9672912827345</v>
      </c>
      <c r="BT91" s="4">
        <v>0</v>
      </c>
      <c r="BU91" s="4">
        <v>1</v>
      </c>
    </row>
    <row r="92" spans="1:73" x14ac:dyDescent="0.25">
      <c r="A92" s="26" t="s">
        <v>215</v>
      </c>
      <c r="B92" s="6" t="s">
        <v>233</v>
      </c>
      <c r="C92" s="7">
        <f>(186+89.9+235)/3</f>
        <v>170.29999999999998</v>
      </c>
      <c r="E92" s="7" t="s">
        <v>177</v>
      </c>
      <c r="F92" s="7" t="str">
        <f t="shared" si="34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586</v>
      </c>
      <c r="L92" s="7">
        <f>0.28*3.6*5</f>
        <v>5.0400000000000009</v>
      </c>
      <c r="M92" s="7" t="s">
        <v>645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_xlfn.XLOOKUP(B92,[1]TeethAdjusters!$A:$A,[1]BiteAdjusters!$C:$C)</f>
        <v>1</v>
      </c>
      <c r="T92" s="7">
        <f>_xlfn.XLOOKUP(B92,[1]TeethAdjusters!$A:$A,[1]TeethAdjusters!$B:$B)</f>
        <v>1</v>
      </c>
      <c r="U92" s="7" t="s">
        <v>45</v>
      </c>
      <c r="V92" s="7">
        <v>5</v>
      </c>
      <c r="W92" s="7" t="s">
        <v>45</v>
      </c>
      <c r="X92" s="7" t="s">
        <v>945</v>
      </c>
      <c r="Y92" s="4" t="s">
        <v>42</v>
      </c>
      <c r="Z92" s="4">
        <v>0</v>
      </c>
      <c r="AA92" s="4">
        <v>0</v>
      </c>
      <c r="AB92" s="4">
        <v>0</v>
      </c>
      <c r="AC92" s="4" t="s">
        <v>45</v>
      </c>
      <c r="AD92" s="4" t="s">
        <v>45</v>
      </c>
      <c r="AE92" s="28" t="s">
        <v>395</v>
      </c>
      <c r="AF92" s="4">
        <v>0</v>
      </c>
      <c r="AG92" s="4">
        <v>1</v>
      </c>
      <c r="AH92" s="4">
        <v>0</v>
      </c>
      <c r="AI92" s="4">
        <v>0</v>
      </c>
      <c r="AJ92" s="4">
        <v>0</v>
      </c>
      <c r="AK92" s="44">
        <v>10</v>
      </c>
      <c r="AL92" s="8">
        <f t="shared" si="24"/>
        <v>31304.912913104359</v>
      </c>
      <c r="AM92" s="8">
        <f>IFERROR(C92*_xlfn.XLOOKUP(E92,Groups!A:A,Groups!K:K),0.106*C92^0.94)</f>
        <v>54.495999999999995</v>
      </c>
      <c r="AN92" s="8">
        <f>AM92*10000/(_xlfn.XLOOKUP(E92,Groups!A:A,Groups!J:J)*AL92)</f>
        <v>13.088819701866509</v>
      </c>
      <c r="AO92" s="8">
        <f t="shared" si="25"/>
        <v>4170.1124176715539</v>
      </c>
      <c r="AP92" s="8">
        <f>IF(_xlfn.XLOOKUP(E92,Groups!A:A,Groups!M:M)=1,EXP(0.7444*LN('Base stats'!C92)+6.5696),EXP(0.7927*LN('Base stats'!C92)+4.28))</f>
        <v>4240.9605634226791</v>
      </c>
      <c r="AQ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"No")))))))))))))))</f>
        <v>1825.9736259604097</v>
      </c>
      <c r="AR92" s="8">
        <f>IF(_xlfn.XLOOKUP(E92,Groups!A:A,Groups!U:U)=3,AP92,IF(_xlfn.XLOOKUP(E92,Groups!A:A,Groups!U:U)=2,AO92,AQ92))</f>
        <v>1825.9736259604097</v>
      </c>
      <c r="AS92" s="46">
        <f>IFERROR(AVERAGE(_xlfn.XLOOKUP(B92,Animals!B:B,Animals!M:M),_xlfn.XLOOKUP(B92,Animals!B:B,Animals!N:N)),0)</f>
        <v>1.5500000000000003</v>
      </c>
      <c r="AT92" s="8">
        <f>MROUND(40*Animals!AN92*_xlfn.XLOOKUP(Animals!AZ92,Leathers!$A$2:$A$100,Leathers!$B$2:$B$100,0)+(140*_xlfn.XLOOKUP(B92,Animals!B:B,Animals!AN:AN)*2),5)</f>
        <v>775</v>
      </c>
      <c r="AU92" s="8">
        <f>IFERROR(ROUND(SQRT(V92-1)*IF(_xlfn.XLOOKUP(E92,Groups!A:A,Groups!BE:BE)=0,2,1)*IF(_xlfn.XLOOKUP('Base stats'!E92,Groups!A:A,Groups!O:O)=0,1,0.1),1),0)</f>
        <v>0.2</v>
      </c>
      <c r="AV92" s="8">
        <f t="shared" si="26"/>
        <v>0</v>
      </c>
      <c r="AW92" s="8">
        <f t="shared" si="27"/>
        <v>0</v>
      </c>
      <c r="AX92" s="8">
        <f t="shared" si="28"/>
        <v>5</v>
      </c>
      <c r="AY92" s="8">
        <f>IF(_xlfn.XLOOKUP(E92,Groups!A:A,Groups!N:N)="Insect",BA92*2.5,IFERROR(AVERAGE(BA92,AQ92/9.81/IF(OR(_xlfn.XLOOKUP(E92,Groups!A:A,Groups!N:N)="Pig",_xlfn.XLOOKUP(E92,Groups!A:A,Groups!N:N)="StrongBitingHerbivore"),20,25))*C92^-0.135,BA92))</f>
        <v>2.3319380751030536</v>
      </c>
      <c r="AZ92" s="8" t="str">
        <f>IF(W92="No","No",IF(_xlfn.XLOOKUP(E92,Groups!A:A,Groups!U:U)=1,'Base stats'!AY92,IF(OR(_xlfn.XLOOKUP(E92,Groups!A:A,Groups!BC:BC)=1,_xlfn.XLOOKUP(E92,Groups!A:A,Groups!U:U)=2),BA92,IF(_xlfn.XLOOKUP(B92,Animals!B:B,Animals!AN:AN)&gt;4,AVERAGE(BA92,BC92),BC92))))</f>
        <v>No</v>
      </c>
      <c r="BA92" s="8">
        <f>(0.0392*C92^IF(OR(Y92="Herbivore",Y92="Dendrovore",Y92="OmnivoreRough"),0.889,0.966))*C92^-0.135</f>
        <v>1.8863484154287324</v>
      </c>
      <c r="BB92" s="8">
        <f>IF(_xlfn.XLOOKUP(E92,Groups!A:A,Groups!BD:BD)=1,(0.048*C92^1.01)+(0.071*C92^1.03),0.071*C92^1.03)/IF(_xlfn.XLOOKUP(E92,Groups!A:A,Groups!M:M)=1,0.85,IF(OR(_xlfn.XLOOKUP(B92,Animals!B:B,Animals!AN:AN)&gt;4,_xlfn.XLOOKUP(E92,Groups!A:A,Groups!BB:BB)=1),1.7,1))*C92^-0.25</f>
        <v>2.2969780905641271</v>
      </c>
      <c r="BC92" s="8">
        <f>(0.048*C92^1.01)/IF(_xlfn.XLOOKUP(E92,Groups!A:A,Groups!M:M)=1,0.25,0.8)*C92^-0.25</f>
        <v>2.9776550353771003</v>
      </c>
      <c r="BD92" s="8">
        <f>EXP(1.076*LN(AO92)-4.5397)*IF(_xlfn.XLOOKUP(E92,Groups!A:A,Groups!BB:BB)=1,1.25,IF(_xlfn.XLOOKUP(E92,Groups!A:A,Groups!BC:BC)=1,3.5,2.5))</f>
        <v>104.86301644922904</v>
      </c>
      <c r="BE92" s="8">
        <f>EXP(1.076*LN(AP92)-4.5397)*IF(_xlfn.XLOOKUP(E92,Groups!A:A,Groups!M:M)=1,0.8,IF(_xlfn.XLOOKUP(E92,Groups!A:A,Groups!BB:BB)=1,1.3,3))</f>
        <v>111.0524664515993</v>
      </c>
      <c r="BF92" s="8" t="str">
        <f>IF(W92="No","No",IF(_xlfn.XLOOKUP(E92,Groups!A:A,Groups!U:U)=1,'Base stats'!BG92,IF(OR(_xlfn.XLOOKUP(E92,Groups!A:A,Groups!BC:BC)=1,_xlfn.XLOOKUP(E92,Groups!A:A,Groups!U:U)=2),BD92,BE92))*1.2)</f>
        <v>No</v>
      </c>
      <c r="BG92" s="8">
        <f>IFERROR(EXP(1.076*LN(AQ92)-4.5397)*IF(_xlfn.XLOOKUP(E92,Groups!A:A,Groups!N:N)="Insect",1,IF(OR(_xlfn.XLOOKUP(E92,Groups!A:A,Groups!N:N)="Pig",_xlfn.XLOOKUP(E92,Groups!A:A,Groups!N:N)="StrongBitingHerbivore"),3.5,3.75)),"No")</f>
        <v>129.36973562155501</v>
      </c>
      <c r="BH92" s="8">
        <f t="shared" si="29"/>
        <v>10</v>
      </c>
      <c r="BI92" s="8">
        <f t="shared" si="30"/>
        <v>9</v>
      </c>
      <c r="BJ92" s="8" t="str">
        <f>IF(W92="No","No",ROUNDDOWN(SQRT((2*BF92)/AZ92),0))</f>
        <v>No</v>
      </c>
      <c r="BK92" s="8">
        <f>IF(V92="No","No",ROUNDDOWN(SQRT((2*BG92)/AY92),0))</f>
        <v>10</v>
      </c>
      <c r="BL92" s="8">
        <f t="shared" si="31"/>
        <v>8</v>
      </c>
      <c r="BM92" s="8" t="str" cm="1">
        <f t="array" ref="BM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stats'!E92,Groups!A:A,Groups!P:P=0)),"No",IF(U92="No",AVERAGE(EXP(-0.57+0.99*LN(C92)),EXP(0.32+0.67*LN(C92)))/IF(_xlfn.XLOOKUP(E92,Groups!A:A,Groups!AD:AD)=1,10,2),(0.7354*C92^0.4078)*2/IF(_xlfn.XLOOKUP(E92,Groups!A:A,Groups!BJ:BJ)=1,1000,100)))</f>
        <v>No</v>
      </c>
      <c r="BN92" s="8" t="str">
        <f>IF(W92="No","No",IF(_xlfn.XLOOKUP(E92,Groups!A:A,Groups!BC:BC)=1,(AL92*5%),EXP(0.7354*LN(C92)^0.4078)*2/IF(_xlfn.XLOOKUP(E92,Groups!A:A,Groups!BK:BK)=1,1000,100)))</f>
        <v>No</v>
      </c>
      <c r="BO92" s="8">
        <f>IF(BG92="No","No",IF(_xlfn.XLOOKUP(E92,Groups!A:A,Groups!BE:BE)=1,(0.0315*C92+2.1825)*2,(0.7354*C92^0.4078)*2)/IF(_xlfn.XLOOKUP(E92,Groups!A:A,Groups!BL:BL)=1,1000,100))</f>
        <v>0.15093899999999999</v>
      </c>
      <c r="BP92" s="8">
        <f>BD92/(AL92*5%)</f>
        <v>6.6994606718955574E-2</v>
      </c>
      <c r="BQ92" s="8" t="str">
        <f t="shared" si="32"/>
        <v>No</v>
      </c>
      <c r="BR92" s="8" t="str">
        <f>IF(W92="No","No",BF92/BN92)</f>
        <v>No</v>
      </c>
      <c r="BS92" s="8">
        <f t="shared" si="33"/>
        <v>857.09946151461861</v>
      </c>
      <c r="BT92" s="4">
        <v>0</v>
      </c>
      <c r="BU92" s="4">
        <v>1</v>
      </c>
    </row>
    <row r="93" spans="1:73" x14ac:dyDescent="0.25">
      <c r="A93" s="26" t="s">
        <v>278</v>
      </c>
      <c r="B93" s="6" t="s">
        <v>279</v>
      </c>
      <c r="C93" s="7">
        <v>1.3640000000000001</v>
      </c>
      <c r="E93" s="7" t="s">
        <v>123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587</v>
      </c>
      <c r="L93" s="7">
        <f>MIN(20*C93^0.183,19.9*C93^0.142)</f>
        <v>20.796809659083788</v>
      </c>
      <c r="M93" s="7" t="s">
        <v>638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_xlfn.XLOOKUP(B93,[1]TeethAdjusters!$A:$A,[1]BiteAdjusters!$C:$C)</f>
        <v>1</v>
      </c>
      <c r="T93" s="7">
        <f>_xlfn.XLOOKUP(B93,[1]TeethAdjusters!$A:$A,[1]TeethAdjusters!$B:$B)</f>
        <v>1</v>
      </c>
      <c r="U93" s="7" t="s">
        <v>45</v>
      </c>
      <c r="V93" s="7">
        <v>0.34</v>
      </c>
      <c r="W93" s="7" t="s">
        <v>45</v>
      </c>
      <c r="X93" s="7" t="s">
        <v>945</v>
      </c>
      <c r="Y93" s="4" t="s">
        <v>42</v>
      </c>
      <c r="Z93" s="4">
        <v>0</v>
      </c>
      <c r="AA93" s="4">
        <v>0</v>
      </c>
      <c r="AB93" s="4">
        <v>0</v>
      </c>
      <c r="AC93" s="4" t="s">
        <v>45</v>
      </c>
      <c r="AD93" s="4" t="s">
        <v>410</v>
      </c>
      <c r="AE93" s="28" t="s">
        <v>394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4" t="s">
        <v>40</v>
      </c>
      <c r="AL93" s="8">
        <f t="shared" si="24"/>
        <v>1358.164327685713</v>
      </c>
      <c r="AM93" s="8">
        <f>IFERROR(C93*_xlfn.XLOOKUP(E93,Groups!A:A,Groups!K:K),0.106*C93^0.94)</f>
        <v>0.14191600378871602</v>
      </c>
      <c r="AN93" s="8">
        <f>AM93*10000/(_xlfn.XLOOKUP(E93,Groups!A:A,Groups!J:J)*AL93)</f>
        <v>0.95863339920991886</v>
      </c>
      <c r="AO93" s="8">
        <f t="shared" si="25"/>
        <v>70.683565457120736</v>
      </c>
      <c r="AP93" s="8">
        <f>IF(_xlfn.XLOOKUP(E93,Groups!A:A,Groups!M:M)=1,EXP(0.7444*LN('Base stats'!C93)+6.5696),EXP(0.7927*LN('Base stats'!C93)+4.28))</f>
        <v>92.394843439009023</v>
      </c>
      <c r="AQ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"No")))))))))))))))</f>
        <v>87.813226005700656</v>
      </c>
      <c r="AR93" s="8">
        <f>IF(_xlfn.XLOOKUP(E93,Groups!A:A,Groups!U:U)=3,AP93,IF(_xlfn.XLOOKUP(E93,Groups!A:A,Groups!U:U)=2,AO93,AQ93))</f>
        <v>87.813226005700656</v>
      </c>
      <c r="AS93" s="46">
        <f>IFERROR(AVERAGE(_xlfn.XLOOKUP(B93,Animals!B:B,Animals!M:M),_xlfn.XLOOKUP(B93,Animals!B:B,Animals!N:N)),0)</f>
        <v>0</v>
      </c>
      <c r="AT93" s="8">
        <f>MROUND(40*Animals!AN93*_xlfn.XLOOKUP(Animals!AZ93,Leathers!$A$2:$A$100,Leathers!$B$2:$B$100,0)+(140*_xlfn.XLOOKUP(B93,Animals!B:B,Animals!AN:AN)*2),5)</f>
        <v>55</v>
      </c>
      <c r="AU93" s="8">
        <f>IFERROR(ROUND(SQRT(V93-1)*IF(_xlfn.XLOOKUP(E93,Groups!A:A,Groups!BE:BE)=0,2,1)*IF(_xlfn.XLOOKUP('Base stats'!E93,Groups!A:A,Groups!O:O)=0,1,0.1),1),0)</f>
        <v>0</v>
      </c>
      <c r="AV93" s="8">
        <f t="shared" si="26"/>
        <v>0</v>
      </c>
      <c r="AW93" s="8">
        <f t="shared" si="27"/>
        <v>0</v>
      </c>
      <c r="AX93" s="8">
        <f t="shared" si="28"/>
        <v>0.7</v>
      </c>
      <c r="AY93" s="8">
        <f>IF(_xlfn.XLOOKUP(E93,Groups!A:A,Groups!N:N)="Insect",BA93*2.5,IFERROR(AVERAGE(BA93,AQ93/9.81/IF(OR(_xlfn.XLOOKUP(E93,Groups!A:A,Groups!N:N)="Pig",_xlfn.XLOOKUP(E93,Groups!A:A,Groups!N:N)="StrongBitingHerbivore"),20,25))*C93^-0.135,BA93))</f>
        <v>0.19543283151678256</v>
      </c>
      <c r="AZ93" s="8" t="str">
        <f>IF(W93="No","No",IF(_xlfn.XLOOKUP(E93,Groups!A:A,Groups!U:U)=1,'Base stats'!AY93,IF(OR(_xlfn.XLOOKUP(E93,Groups!A:A,Groups!BC:BC)=1,_xlfn.XLOOKUP(E93,Groups!A:A,Groups!U:U)=2),BA93,IF(_xlfn.XLOOKUP(B93,Animals!B:B,Animals!AN:AN)&gt;4,AVERAGE(BA93,BC93),BC93))))</f>
        <v>No</v>
      </c>
      <c r="BA93" s="8">
        <f>(0.0392*C93^IF(OR(Y93="Herbivore",Y93="Dendrovore",Y93="OmnivoreRough"),0.889,0.966))*C93^-0.135</f>
        <v>4.9537730056820647E-2</v>
      </c>
      <c r="BB93" s="8">
        <f>IF(_xlfn.XLOOKUP(E93,Groups!A:A,Groups!BD:BD)=1,(0.048*C93^1.01)+(0.071*C93^1.03),0.071*C93^1.03)/IF(_xlfn.XLOOKUP(E93,Groups!A:A,Groups!M:M)=1,0.85,IF(OR(_xlfn.XLOOKUP(B93,Animals!B:B,Animals!AN:AN)&gt;4,_xlfn.XLOOKUP(E93,Groups!A:A,Groups!BB:BB)=1),1.7,1))*C93^-0.25</f>
        <v>9.0451038512032927E-2</v>
      </c>
      <c r="BC93" s="8">
        <f>(0.048*C93^1.01)/IF(_xlfn.XLOOKUP(E93,Groups!A:A,Groups!M:M)=1,0.25,0.8)*C93^-0.25</f>
        <v>7.5964410474882268E-2</v>
      </c>
      <c r="BD93" s="8">
        <f>EXP(1.076*LN(AO93)-4.5397)*IF(_xlfn.XLOOKUP(E93,Groups!A:A,Groups!BB:BB)=1,1.25,IF(_xlfn.XLOOKUP(E93,Groups!A:A,Groups!BC:BC)=1,3.5,2.5))</f>
        <v>2.607594158939607</v>
      </c>
      <c r="BE93" s="8">
        <f>EXP(1.076*LN(AP93)-4.5397)*IF(_xlfn.XLOOKUP(E93,Groups!A:A,Groups!M:M)=1,0.8,IF(_xlfn.XLOOKUP(E93,Groups!A:A,Groups!BB:BB)=1,1.3,3))</f>
        <v>4.1743759236024252</v>
      </c>
      <c r="BF93" s="8" t="str">
        <f>IF(W93="No","No",IF(_xlfn.XLOOKUP(E93,Groups!A:A,Groups!U:U)=1,'Base stats'!BG93,IF(OR(_xlfn.XLOOKUP(E93,Groups!A:A,Groups!BC:BC)=1,_xlfn.XLOOKUP(E93,Groups!A:A,Groups!U:U)=2),BD93,BE93))*1.2)</f>
        <v>No</v>
      </c>
      <c r="BG93" s="8">
        <f>IFERROR(EXP(1.076*LN(AQ93)-4.5397)*IF(_xlfn.XLOOKUP(E93,Groups!A:A,Groups!N:N)="Insect",1,IF(OR(_xlfn.XLOOKUP(E93,Groups!A:A,Groups!N:N)="Pig",_xlfn.XLOOKUP(E93,Groups!A:A,Groups!N:N)="StrongBitingHerbivore"),3.5,3.75)),"No")</f>
        <v>4.9400926635228002</v>
      </c>
      <c r="BH93" s="8">
        <f t="shared" si="29"/>
        <v>10</v>
      </c>
      <c r="BI93" s="8">
        <f t="shared" si="30"/>
        <v>9</v>
      </c>
      <c r="BJ93" s="8" t="str">
        <f>IF(W93="No","No",ROUNDDOWN(SQRT((2*BF93)/AZ93),0))</f>
        <v>No</v>
      </c>
      <c r="BK93" s="8">
        <f>IF(V93="No","No",ROUNDDOWN(SQRT((2*BG93)/AY93),0))</f>
        <v>7</v>
      </c>
      <c r="BL93" s="8">
        <f t="shared" si="31"/>
        <v>10</v>
      </c>
      <c r="BM93" s="8" t="str" cm="1">
        <f t="array" ref="BM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stats'!E93,Groups!A:A,Groups!P:P=0)),"No",IF(U93="No",AVERAGE(EXP(-0.57+0.99*LN(C93)),EXP(0.32+0.67*LN(C93)))/IF(_xlfn.XLOOKUP(E93,Groups!A:A,Groups!AD:AD)=1,10,2),(0.7354*C93^0.4078)*2/IF(_xlfn.XLOOKUP(E93,Groups!A:A,Groups!BJ:BJ)=1,1000,100)))</f>
        <v>No</v>
      </c>
      <c r="BN93" s="8" t="str">
        <f>IF(W93="No","No",IF(_xlfn.XLOOKUP(E93,Groups!A:A,Groups!BC:BC)=1,(AL93*5%),EXP(0.7354*LN(C93)^0.4078)*2/IF(_xlfn.XLOOKUP(E93,Groups!A:A,Groups!BK:BK)=1,1000,100)))</f>
        <v>No</v>
      </c>
      <c r="BO93" s="8">
        <f>IF(BG93="No","No",IF(_xlfn.XLOOKUP(E93,Groups!A:A,Groups!BE:BE)=1,(0.0315*C93+2.1825)*2,(0.7354*C93^0.4078)*2)/IF(_xlfn.XLOOKUP(E93,Groups!A:A,Groups!BL:BL)=1,1000,100))</f>
        <v>1.6692866548307692E-2</v>
      </c>
      <c r="BP93" s="8">
        <f>BD93/(AL93*5%)</f>
        <v>3.8398802056344675E-2</v>
      </c>
      <c r="BQ93" s="8" t="str">
        <f t="shared" si="32"/>
        <v>No</v>
      </c>
      <c r="BR93" s="8" t="str">
        <f>IF(W93="No","No",BF93/BN93)</f>
        <v>No</v>
      </c>
      <c r="BS93" s="8">
        <f t="shared" si="33"/>
        <v>295.94034369271481</v>
      </c>
      <c r="BT93" s="4">
        <v>0</v>
      </c>
      <c r="BU93" s="4">
        <v>1</v>
      </c>
    </row>
    <row r="94" spans="1:73" x14ac:dyDescent="0.25">
      <c r="A94" s="26" t="s">
        <v>198</v>
      </c>
      <c r="B94" s="6" t="s">
        <v>269</v>
      </c>
      <c r="C94" s="7">
        <v>15</v>
      </c>
      <c r="E94" s="7" t="s">
        <v>123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596</v>
      </c>
      <c r="L94" s="7">
        <f>MIN(20*C94^0.183,19.9*C94^0.142,13.7*C94^0.004)</f>
        <v>13.84920781657746</v>
      </c>
      <c r="M94" s="7" t="s">
        <v>638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_xlfn.XLOOKUP(B94,[1]TeethAdjusters!$A:$A,[1]BiteAdjusters!$C:$C)</f>
        <v>1</v>
      </c>
      <c r="T94" s="7">
        <f>_xlfn.XLOOKUP(B94,[1]TeethAdjusters!$A:$A,[1]TeethAdjusters!$B:$B)</f>
        <v>1</v>
      </c>
      <c r="U94" s="7" t="s">
        <v>45</v>
      </c>
      <c r="V94" s="7">
        <v>3</v>
      </c>
      <c r="W94" s="7" t="s">
        <v>45</v>
      </c>
      <c r="X94" s="7" t="s">
        <v>945</v>
      </c>
      <c r="Y94" s="4" t="s">
        <v>42</v>
      </c>
      <c r="Z94" s="4">
        <v>1</v>
      </c>
      <c r="AA94" s="4">
        <v>0.1</v>
      </c>
      <c r="AB94" s="4">
        <v>0.3</v>
      </c>
      <c r="AC94" s="4" t="s">
        <v>45</v>
      </c>
      <c r="AD94" s="4" t="s">
        <v>45</v>
      </c>
      <c r="AE94" s="28" t="s">
        <v>394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4" t="s">
        <v>40</v>
      </c>
      <c r="AL94" s="8">
        <f t="shared" si="24"/>
        <v>6453.306570514339</v>
      </c>
      <c r="AM94" s="8">
        <f>IFERROR(C94*_xlfn.XLOOKUP(E94,Groups!A:A,Groups!K:K),0.106*C94^0.94)</f>
        <v>1.3515485432806338</v>
      </c>
      <c r="AN94" s="8">
        <f>AM94*10000/(_xlfn.XLOOKUP(E94,Groups!A:A,Groups!J:J)*AL94)</f>
        <v>1.9214224188046829</v>
      </c>
      <c r="AO94" s="8">
        <f t="shared" si="25"/>
        <v>535.65484345622485</v>
      </c>
      <c r="AP94" s="8">
        <f>IF(_xlfn.XLOOKUP(E94,Groups!A:A,Groups!M:M)=1,EXP(0.7444*LN('Base stats'!C94)+6.5696),EXP(0.7927*LN('Base stats'!C94)+4.28))</f>
        <v>618.11306538043016</v>
      </c>
      <c r="AQ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"No")))))))))))))))</f>
        <v>338.28144892601927</v>
      </c>
      <c r="AR94" s="8">
        <f>IF(_xlfn.XLOOKUP(E94,Groups!A:A,Groups!U:U)=3,AP94,IF(_xlfn.XLOOKUP(E94,Groups!A:A,Groups!U:U)=2,AO94,AQ94))</f>
        <v>338.28144892601927</v>
      </c>
      <c r="AS94" s="46">
        <f>IFERROR(AVERAGE(_xlfn.XLOOKUP(B94,Animals!B:B,Animals!M:M),_xlfn.XLOOKUP(B94,Animals!B:B,Animals!N:N)),0)</f>
        <v>0</v>
      </c>
      <c r="AT94" s="8">
        <f>MROUND(40*Animals!AN94*_xlfn.XLOOKUP(Animals!AZ94,Leathers!$A$2:$A$100,Leathers!$B$2:$B$100,0)+(140*_xlfn.XLOOKUP(B94,Animals!B:B,Animals!AN:AN)*2),5)</f>
        <v>180</v>
      </c>
      <c r="AU94" s="8">
        <f>IFERROR(ROUND(SQRT(V94-1)*IF(_xlfn.XLOOKUP(E94,Groups!A:A,Groups!BE:BE)=0,2,1)*IF(_xlfn.XLOOKUP('Base stats'!E94,Groups!A:A,Groups!O:O)=0,1,0.1),1),0)</f>
        <v>2.8</v>
      </c>
      <c r="AV94" s="8">
        <f t="shared" si="26"/>
        <v>0</v>
      </c>
      <c r="AW94" s="8">
        <f t="shared" si="27"/>
        <v>0</v>
      </c>
      <c r="AX94" s="8">
        <f t="shared" si="28"/>
        <v>2</v>
      </c>
      <c r="AY94" s="8">
        <f>IF(_xlfn.XLOOKUP(E94,Groups!A:A,Groups!N:N)="Insect",BA94*2.5,IFERROR(AVERAGE(BA94,AQ94/9.81/IF(OR(_xlfn.XLOOKUP(E94,Groups!A:A,Groups!N:N)="Pig",_xlfn.XLOOKUP(E94,Groups!A:A,Groups!N:N)="StrongBitingHerbivore"),20,25))*C94^-0.135,BA94))</f>
        <v>0.58325810494026309</v>
      </c>
      <c r="AZ94" s="8" t="str">
        <f>IF(W94="No","No",IF(_xlfn.XLOOKUP(E94,Groups!A:A,Groups!U:U)=1,'Base stats'!AY94,IF(OR(_xlfn.XLOOKUP(E94,Groups!A:A,Groups!BC:BC)=1,_xlfn.XLOOKUP(E94,Groups!A:A,Groups!U:U)=2),BA94,IF(_xlfn.XLOOKUP(B94,Animals!B:B,Animals!AN:AN)&gt;4,AVERAGE(BA94,BC94),BC94))))</f>
        <v>No</v>
      </c>
      <c r="BA94" s="8">
        <f>(0.0392*C94^IF(OR(Y94="Herbivore",Y94="Dendrovore",Y94="OmnivoreRough"),0.889,0.966))*C94^-0.135</f>
        <v>0.30203611563721933</v>
      </c>
      <c r="BB94" s="8">
        <f>IF(_xlfn.XLOOKUP(E94,Groups!A:A,Groups!BD:BD)=1,(0.048*C94^1.01)+(0.071*C94^1.03),0.071*C94^1.03)/IF(_xlfn.XLOOKUP(E94,Groups!A:A,Groups!M:M)=1,0.85,IF(OR(_xlfn.XLOOKUP(B94,Animals!B:B,Animals!AN:AN)&gt;4,_xlfn.XLOOKUP(E94,Groups!A:A,Groups!BB:BB)=1),1.7,1))*C94^-0.25</f>
        <v>0.58696138493099548</v>
      </c>
      <c r="BC94" s="8">
        <f>(0.048*C94^1.01)/IF(_xlfn.XLOOKUP(E94,Groups!A:A,Groups!M:M)=1,0.25,0.8)*C94^-0.25</f>
        <v>0.46987312669454345</v>
      </c>
      <c r="BD94" s="8">
        <f>EXP(1.076*LN(AO94)-4.5397)*IF(_xlfn.XLOOKUP(E94,Groups!A:A,Groups!BB:BB)=1,1.25,IF(_xlfn.XLOOKUP(E94,Groups!A:A,Groups!BC:BC)=1,3.5,2.5))</f>
        <v>23.049082805105311</v>
      </c>
      <c r="BE94" s="8">
        <f>EXP(1.076*LN(AP94)-4.5397)*IF(_xlfn.XLOOKUP(E94,Groups!A:A,Groups!M:M)=1,0.8,IF(_xlfn.XLOOKUP(E94,Groups!A:A,Groups!BB:BB)=1,1.3,3))</f>
        <v>32.265892387046144</v>
      </c>
      <c r="BF94" s="8" t="str">
        <f>IF(W94="No","No",IF(_xlfn.XLOOKUP(E94,Groups!A:A,Groups!U:U)=1,'Base stats'!BG94,IF(OR(_xlfn.XLOOKUP(E94,Groups!A:A,Groups!BC:BC)=1,_xlfn.XLOOKUP(E94,Groups!A:A,Groups!U:U)=2),BD94,BE94))*1.2)</f>
        <v>No</v>
      </c>
      <c r="BG94" s="8">
        <f>IFERROR(EXP(1.076*LN(AQ94)-4.5397)*IF(_xlfn.XLOOKUP(E94,Groups!A:A,Groups!N:N)="Insect",1,IF(OR(_xlfn.XLOOKUP(E94,Groups!A:A,Groups!N:N)="Pig",_xlfn.XLOOKUP(E94,Groups!A:A,Groups!N:N)="StrongBitingHerbivore"),3.5,3.75)),"No")</f>
        <v>21.084724568463173</v>
      </c>
      <c r="BH94" s="8">
        <f t="shared" si="29"/>
        <v>12</v>
      </c>
      <c r="BI94" s="8">
        <f t="shared" si="30"/>
        <v>10</v>
      </c>
      <c r="BJ94" s="8" t="str">
        <f>IF(W94="No","No",ROUNDDOWN(SQRT((2*BF94)/AZ94),0))</f>
        <v>No</v>
      </c>
      <c r="BK94" s="8">
        <f>IF(V94="No","No",ROUNDDOWN(SQRT((2*BG94)/AY94),0))</f>
        <v>8</v>
      </c>
      <c r="BL94" s="8">
        <f t="shared" si="31"/>
        <v>11</v>
      </c>
      <c r="BM94" s="8" t="str" cm="1">
        <f t="array" ref="BM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stats'!E94,Groups!A:A,Groups!P:P=0)),"No",IF(U94="No",AVERAGE(EXP(-0.57+0.99*LN(C94)),EXP(0.32+0.67*LN(C94)))/IF(_xlfn.XLOOKUP(E94,Groups!A:A,Groups!AD:AD)=1,10,2),(0.7354*C94^0.4078)*2/IF(_xlfn.XLOOKUP(E94,Groups!A:A,Groups!BJ:BJ)=1,1000,100)))</f>
        <v>No</v>
      </c>
      <c r="BN94" s="8" t="str">
        <f>IF(W94="No","No",IF(_xlfn.XLOOKUP(E94,Groups!A:A,Groups!BC:BC)=1,(AL94*5%),EXP(0.7354*LN(C94)^0.4078)*2/IF(_xlfn.XLOOKUP(E94,Groups!A:A,Groups!BK:BK)=1,1000,100)))</f>
        <v>No</v>
      </c>
      <c r="BO94" s="8">
        <f>IF(BG94="No","No",IF(_xlfn.XLOOKUP(E94,Groups!A:A,Groups!BE:BE)=1,(0.0315*C94+2.1825)*2,(0.7354*C94^0.4078)*2)/IF(_xlfn.XLOOKUP(E94,Groups!A:A,Groups!BL:BL)=1,1000,100))</f>
        <v>4.4377582152222601E-2</v>
      </c>
      <c r="BP94" s="8">
        <f>BD94/(AL94*5%)</f>
        <v>7.1433404110749568E-2</v>
      </c>
      <c r="BQ94" s="8" t="str">
        <f t="shared" si="32"/>
        <v>No</v>
      </c>
      <c r="BR94" s="8" t="str">
        <f>IF(W94="No","No",BF94/BN94)</f>
        <v>No</v>
      </c>
      <c r="BS94" s="8">
        <f t="shared" si="33"/>
        <v>475.12107568499351</v>
      </c>
      <c r="BT94" s="4">
        <v>0</v>
      </c>
      <c r="BU94" s="4">
        <v>1</v>
      </c>
    </row>
    <row r="95" spans="1:73" x14ac:dyDescent="0.25">
      <c r="A95" s="26" t="s">
        <v>282</v>
      </c>
      <c r="B95" s="6" t="s">
        <v>283</v>
      </c>
      <c r="C95" s="7">
        <v>60</v>
      </c>
      <c r="E95" s="7" t="str">
        <f>Groups!A47</f>
        <v>Rodentlike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538</v>
      </c>
      <c r="L95" s="7">
        <f>MIN(20*C95^0.183,19.9*C95^0.142)</f>
        <v>35.591849306006409</v>
      </c>
      <c r="M95" s="7" t="s">
        <v>638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_xlfn.XLOOKUP(B95,[1]TeethAdjusters!$A:$A,[1]BiteAdjusters!$C:$C)</f>
        <v>1</v>
      </c>
      <c r="T95" s="7">
        <f>_xlfn.XLOOKUP(B95,[1]TeethAdjusters!$A:$A,[1]TeethAdjusters!$B:$B)</f>
        <v>1</v>
      </c>
      <c r="U95" s="7" t="s">
        <v>45</v>
      </c>
      <c r="V95" s="7">
        <v>10</v>
      </c>
      <c r="W95" s="7" t="s">
        <v>45</v>
      </c>
      <c r="X95" s="7" t="s">
        <v>945</v>
      </c>
      <c r="Y95" s="4" t="s">
        <v>42</v>
      </c>
      <c r="Z95" s="4">
        <v>0</v>
      </c>
      <c r="AA95" s="4">
        <v>0</v>
      </c>
      <c r="AB95" s="4">
        <v>0</v>
      </c>
      <c r="AC95" s="4" t="s">
        <v>1083</v>
      </c>
      <c r="AD95" s="4" t="s">
        <v>45</v>
      </c>
      <c r="AE95" s="28" t="s">
        <v>394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4" t="s">
        <v>40</v>
      </c>
      <c r="AL95" s="8">
        <f t="shared" si="24"/>
        <v>15889.904663781534</v>
      </c>
      <c r="AM95" s="8">
        <f>IFERROR(C95*_xlfn.XLOOKUP(E95,Groups!A:A,Groups!K:K),0.106*C95^0.94)</f>
        <v>4.9747131149875132</v>
      </c>
      <c r="AN95" s="8">
        <f>AM95*10000/(_xlfn.XLOOKUP(E95,Groups!A:A,Groups!J:J)*AL95)</f>
        <v>2.8722368590605059</v>
      </c>
      <c r="AO95" s="8">
        <f t="shared" si="25"/>
        <v>1727.6076198081698</v>
      </c>
      <c r="AP95" s="8">
        <f>IF(_xlfn.XLOOKUP(E95,Groups!A:A,Groups!M:M)=1,EXP(0.7444*LN('Base stats'!C95)+6.5696),EXP(0.7927*LN('Base stats'!C95)+4.28))</f>
        <v>1854.9016123555098</v>
      </c>
      <c r="AQ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"No")))))))))))))))</f>
        <v>737.79707174206249</v>
      </c>
      <c r="AR95" s="8">
        <f>IF(_xlfn.XLOOKUP(E95,Groups!A:A,Groups!U:U)=3,AP95,IF(_xlfn.XLOOKUP(E95,Groups!A:A,Groups!U:U)=2,AO95,AQ95))</f>
        <v>737.79707174206249</v>
      </c>
      <c r="AS95" s="46">
        <f>IFERROR(AVERAGE(_xlfn.XLOOKUP(B95,Animals!B:B,Animals!M:M),_xlfn.XLOOKUP(B95,Animals!B:B,Animals!N:N)),0)</f>
        <v>0</v>
      </c>
      <c r="AT95" s="8">
        <f>MROUND(40*Animals!AN95*_xlfn.XLOOKUP(Animals!AZ95,Leathers!$A$2:$A$100,Leathers!$B$2:$B$100,0)+(140*_xlfn.XLOOKUP(B95,Animals!B:B,Animals!AN:AN)*2),5)</f>
        <v>340</v>
      </c>
      <c r="AU95" s="8">
        <f>IFERROR(ROUND(SQRT(V95-1)*IF(_xlfn.XLOOKUP(E95,Groups!A:A,Groups!BE:BE)=0,2,1)*IF(_xlfn.XLOOKUP('Base stats'!E95,Groups!A:A,Groups!O:O)=0,1,0.1),1),0)</f>
        <v>6</v>
      </c>
      <c r="AV95" s="8">
        <f t="shared" si="26"/>
        <v>0</v>
      </c>
      <c r="AW95" s="8">
        <f t="shared" si="27"/>
        <v>0</v>
      </c>
      <c r="AX95" s="8">
        <f t="shared" si="28"/>
        <v>3.5</v>
      </c>
      <c r="AY95" s="8">
        <f>IF(_xlfn.XLOOKUP(E95,Groups!A:A,Groups!N:N)="Insect",BA95*2.5,IFERROR(AVERAGE(BA95,AQ95/9.81/IF(OR(_xlfn.XLOOKUP(E95,Groups!A:A,Groups!N:N)="Pig",_xlfn.XLOOKUP(E95,Groups!A:A,Groups!N:N)="StrongBitingHerbivore"),20,25))*C95^-0.135,BA95))</f>
        <v>1.1125945320343182</v>
      </c>
      <c r="AZ95" s="8" t="str">
        <f>IF(W95="No","No",IF(_xlfn.XLOOKUP(E95,Groups!A:A,Groups!U:U)=1,'Base stats'!AY95,IF(OR(_xlfn.XLOOKUP(E95,Groups!A:A,Groups!BC:BC)=1,_xlfn.XLOOKUP(E95,Groups!A:A,Groups!U:U)=2),BA95,IF(_xlfn.XLOOKUP(B95,Animals!B:B,Animals!AN:AN)&gt;4,AVERAGE(BA95,BC95),BC95))))</f>
        <v>No</v>
      </c>
      <c r="BA95" s="8">
        <f>(0.0392*C95^IF(OR(Y95="Herbivore",Y95="Dendrovore",Y95="OmnivoreRough"),0.889,0.966))*C95^-0.135</f>
        <v>0.85903747445843048</v>
      </c>
      <c r="BB95" s="8">
        <f>IF(_xlfn.XLOOKUP(E95,Groups!A:A,Groups!BD:BD)=1,(0.048*C95^1.01)+(0.071*C95^1.03),0.071*C95^1.03)/IF(_xlfn.XLOOKUP(E95,Groups!A:A,Groups!M:M)=1,0.85,IF(OR(_xlfn.XLOOKUP(B95,Animals!B:B,Animals!AN:AN)&gt;4,_xlfn.XLOOKUP(E95,Groups!A:A,Groups!BB:BB)=1),1.7,1))*C95^-0.25</f>
        <v>1.7306782030846384</v>
      </c>
      <c r="BC95" s="8">
        <f>(0.048*C95^1.01)/IF(_xlfn.XLOOKUP(E95,Groups!A:A,Groups!M:M)=1,0.25,0.8)*C95^-0.25</f>
        <v>1.3475540718504924</v>
      </c>
      <c r="BD95" s="8">
        <f>EXP(1.076*LN(AO95)-4.5397)*IF(_xlfn.XLOOKUP(E95,Groups!A:A,Groups!BB:BB)=1,1.25,IF(_xlfn.XLOOKUP(E95,Groups!A:A,Groups!BC:BC)=1,3.5,2.5))</f>
        <v>81.257655662784387</v>
      </c>
      <c r="BE95" s="8">
        <f>EXP(1.076*LN(AP95)-4.5397)*IF(_xlfn.XLOOKUP(E95,Groups!A:A,Groups!M:M)=1,0.8,IF(_xlfn.XLOOKUP(E95,Groups!A:A,Groups!BB:BB)=1,1.3,3))</f>
        <v>105.26108947147097</v>
      </c>
      <c r="BF95" s="8" t="str">
        <f>IF(W95="No","No",IF(_xlfn.XLOOKUP(E95,Groups!A:A,Groups!U:U)=1,'Base stats'!BG95,IF(OR(_xlfn.XLOOKUP(E95,Groups!A:A,Groups!BC:BC)=1,_xlfn.XLOOKUP(E95,Groups!A:A,Groups!U:U)=2),BD95,BE95))*1.2)</f>
        <v>No</v>
      </c>
      <c r="BG95" s="8">
        <f>IFERROR(EXP(1.076*LN(AQ95)-4.5397)*IF(_xlfn.XLOOKUP(E95,Groups!A:A,Groups!N:N)="Insect",1,IF(OR(_xlfn.XLOOKUP(E95,Groups!A:A,Groups!N:N)="Pig",_xlfn.XLOOKUP(E95,Groups!A:A,Groups!N:N)="StrongBitingHerbivore"),3.5,3.75)),"No")</f>
        <v>48.793811254774489</v>
      </c>
      <c r="BH95" s="8">
        <f t="shared" si="29"/>
        <v>13</v>
      </c>
      <c r="BI95" s="8">
        <f t="shared" si="30"/>
        <v>11</v>
      </c>
      <c r="BJ95" s="8" t="str">
        <f>IF(W95="No","No",ROUNDDOWN(SQRT((2*BF95)/AZ95),0))</f>
        <v>No</v>
      </c>
      <c r="BK95" s="8">
        <f>IF(V95="No","No",ROUNDDOWN(SQRT((2*BG95)/AY95),0))</f>
        <v>9</v>
      </c>
      <c r="BL95" s="8">
        <f t="shared" si="31"/>
        <v>12</v>
      </c>
      <c r="BM95" s="8" t="str" cm="1">
        <f t="array" ref="BM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stats'!E95,Groups!A:A,Groups!P:P=0)),"No",IF(U95="No",AVERAGE(EXP(-0.57+0.99*LN(C95)),EXP(0.32+0.67*LN(C95)))/IF(_xlfn.XLOOKUP(E95,Groups!A:A,Groups!AD:AD)=1,10,2),(0.7354*C95^0.4078)*2/IF(_xlfn.XLOOKUP(E95,Groups!A:A,Groups!BJ:BJ)=1,1000,100)))</f>
        <v>No</v>
      </c>
      <c r="BN95" s="8" t="str">
        <f>IF(W95="No","No",IF(_xlfn.XLOOKUP(E95,Groups!A:A,Groups!BC:BC)=1,(AL95*5%),EXP(0.7354*LN(C95)^0.4078)*2/IF(_xlfn.XLOOKUP(E95,Groups!A:A,Groups!BK:BK)=1,1000,100)))</f>
        <v>No</v>
      </c>
      <c r="BO95" s="8">
        <f>IF(BG95="No","No",IF(_xlfn.XLOOKUP(E95,Groups!A:A,Groups!BE:BE)=1,(0.0315*C95+2.1825)*2,(0.7354*C95^0.4078)*2)/IF(_xlfn.XLOOKUP(E95,Groups!A:A,Groups!BL:BL)=1,1000,100))</f>
        <v>7.8105874830123129E-2</v>
      </c>
      <c r="BP95" s="8">
        <f>BD95/(AL95*5%)</f>
        <v>0.10227582528924552</v>
      </c>
      <c r="BQ95" s="8" t="str">
        <f t="shared" si="32"/>
        <v>No</v>
      </c>
      <c r="BR95" s="8" t="str">
        <f>IF(W95="No","No",BF95/BN95)</f>
        <v>No</v>
      </c>
      <c r="BS95" s="8">
        <f t="shared" si="33"/>
        <v>624.7137153370204</v>
      </c>
      <c r="BT95" s="4">
        <v>0</v>
      </c>
      <c r="BU95" s="4">
        <v>1</v>
      </c>
    </row>
    <row r="96" spans="1:73" x14ac:dyDescent="0.25">
      <c r="A96" s="26" t="s">
        <v>146</v>
      </c>
      <c r="B96" s="6" t="s">
        <v>147</v>
      </c>
      <c r="C96" s="7">
        <v>358.99630000000002</v>
      </c>
      <c r="E96" s="7" t="str">
        <f>Groups!A51</f>
        <v>Ruminant (cervid)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588</v>
      </c>
      <c r="L96" s="7">
        <v>56</v>
      </c>
      <c r="M96" s="7" t="s">
        <v>638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_xlfn.XLOOKUP(B96,[1]TeethAdjusters!$A:$A,[1]BiteAdjusters!$C:$C)</f>
        <v>1</v>
      </c>
      <c r="T96" s="7">
        <f>_xlfn.XLOOKUP(B96,[1]TeethAdjusters!$A:$A,[1]TeethAdjusters!$B:$B)</f>
        <v>1</v>
      </c>
      <c r="U96" s="7" t="s">
        <v>45</v>
      </c>
      <c r="V96" s="7" t="str">
        <f>IF(AQ96="No","No",IF(_xlfn.XLOOKUP(E96,Groups!A:A,Groups!AM:AM)=1,MROUND(EXP(0.3582*LN(C96)-0.2221)*T96,0.05),IF(_xlfn.XLOOKUP(E96,Groups!A:A,Groups!AM:AM)=2,MROUND(EXP(0.3582*LN(C96)-0.2221)*T96,0.05),"Need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945</v>
      </c>
      <c r="Y96" s="4" t="s">
        <v>42</v>
      </c>
      <c r="Z96" s="4">
        <v>0</v>
      </c>
      <c r="AA96" s="4">
        <v>2.5000000000000001E-2</v>
      </c>
      <c r="AB96" s="4">
        <v>0.05</v>
      </c>
      <c r="AC96" s="4" t="s">
        <v>45</v>
      </c>
      <c r="AD96" s="4" t="s">
        <v>45</v>
      </c>
      <c r="AE96" s="28" t="s">
        <v>401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4" t="s">
        <v>40</v>
      </c>
      <c r="AL96" s="8">
        <f t="shared" si="24"/>
        <v>50831.328570422396</v>
      </c>
      <c r="AM96" s="8">
        <f>IFERROR(C96*_xlfn.XLOOKUP(E96,Groups!A:A,Groups!K:K),0.106*C96^0.94)</f>
        <v>26.735631056003324</v>
      </c>
      <c r="AN96" s="8">
        <f>AM96*10000/(_xlfn.XLOOKUP(E96,Groups!A:A,Groups!J:J)*AL96)</f>
        <v>4.8253906746230379</v>
      </c>
      <c r="AO96" s="8">
        <f t="shared" si="25"/>
        <v>7829.3417337687861</v>
      </c>
      <c r="AP96" s="8">
        <f>IF(_xlfn.XLOOKUP(E96,Groups!A:A,Groups!M:M)=1,EXP(0.7444*LN('Base stats'!C96)+6.5696),EXP(0.7927*LN('Base stats'!C96)+4.28))</f>
        <v>7659.4961776900645</v>
      </c>
      <c r="AQ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"No")))))))))))))))</f>
        <v>No</v>
      </c>
      <c r="AR96" s="8">
        <f>IF(_xlfn.XLOOKUP(E96,Groups!A:A,Groups!U:U)=3,AP96,IF(_xlfn.XLOOKUP(E96,Groups!A:A,Groups!U:U)=2,AO96,AQ96))</f>
        <v>7659.4961776900645</v>
      </c>
      <c r="AS96" s="46">
        <f>IFERROR(AVERAGE(_xlfn.XLOOKUP(B96,Animals!B:B,Animals!M:M),_xlfn.XLOOKUP(B96,Animals!B:B,Animals!N:N)),0)</f>
        <v>0</v>
      </c>
      <c r="AT96" s="8">
        <f>MROUND(40*Animals!AN96*_xlfn.XLOOKUP(Animals!AZ96,Leathers!$A$2:$A$100,Leathers!$B$2:$B$100,0)+(140*_xlfn.XLOOKUP(B96,Animals!B:B,Animals!AN:AN)*2),5)</f>
        <v>910</v>
      </c>
      <c r="AU96" s="8">
        <f>IFERROR(ROUND(SQRT(V96-1)*IF(_xlfn.XLOOKUP(E96,Groups!A:A,Groups!BE:BE)=0,2,1)*IF(_xlfn.XLOOKUP('Base stats'!E96,Groups!A:A,Groups!O:O)=0,1,0.1),1),0)</f>
        <v>0</v>
      </c>
      <c r="AV96" s="8">
        <f t="shared" si="26"/>
        <v>0</v>
      </c>
      <c r="AW96" s="8">
        <f t="shared" si="27"/>
        <v>9</v>
      </c>
      <c r="AX96" s="8">
        <f t="shared" si="28"/>
        <v>6.6</v>
      </c>
      <c r="AY96" s="8">
        <f>IF(_xlfn.XLOOKUP(E96,Groups!A:A,Groups!N:N)="Insect",BA96*2.5,IFERROR(AVERAGE(BA96,AQ96/9.81/IF(OR(_xlfn.XLOOKUP(E96,Groups!A:A,Groups!N:N)="Pig",_xlfn.XLOOKUP(E96,Groups!A:A,Groups!N:N)="StrongBitingHerbivore"),20,25))*C96^-0.135,BA96))</f>
        <v>3.3099688473361324</v>
      </c>
      <c r="AZ96" s="8">
        <f>IF(W96="No","No",IF(_xlfn.XLOOKUP(E96,Groups!A:A,Groups!U:U)=1,'Base stats'!AY96,IF(OR(_xlfn.XLOOKUP(E96,Groups!A:A,Groups!BC:BC)=1,_xlfn.XLOOKUP(E96,Groups!A:A,Groups!U:U)=2),BA96,IF(_xlfn.XLOOKUP(B96,Animals!B:B,Animals!AN:AN)&gt;4,AVERAGE(BA96,BC96),BC96))))</f>
        <v>5.2483118136191331</v>
      </c>
      <c r="BA96" s="8">
        <f>(0.0392*C96^IF(OR(Y96="Herbivore",Y96="Dendrovore",Y96="OmnivoreRough"),0.889,0.966))*C96^-0.135</f>
        <v>3.3099688473361324</v>
      </c>
      <c r="BB96" s="8">
        <f>IF(_xlfn.XLOOKUP(E96,Groups!A:A,Groups!BD:BD)=1,(0.048*C96^1.01)+(0.071*C96^1.03),0.071*C96^1.03)/IF(_xlfn.XLOOKUP(E96,Groups!A:A,Groups!M:M)=1,0.85,IF(OR(_xlfn.XLOOKUP(B96,Animals!B:B,Animals!AN:AN)&gt;4,_xlfn.XLOOKUP(E96,Groups!A:A,Groups!BB:BB)=1),1.7,1))*C96^-0.25</f>
        <v>6.98599913133814</v>
      </c>
      <c r="BC96" s="8">
        <f>(0.048*C96^1.01)/IF(_xlfn.XLOOKUP(E96,Groups!A:A,Groups!M:M)=1,0.25,0.8)*C96^-0.25</f>
        <v>5.2483118136191331</v>
      </c>
      <c r="BD96" s="8">
        <f>EXP(1.076*LN(AO96)-4.5397)*IF(_xlfn.XLOOKUP(E96,Groups!A:A,Groups!BB:BB)=1,1.25,IF(_xlfn.XLOOKUP(E96,Groups!A:A,Groups!BC:BC)=1,3.5,2.5))</f>
        <v>413.06815764235705</v>
      </c>
      <c r="BE96" s="8">
        <f>EXP(1.076*LN(AP96)-4.5397)*IF(_xlfn.XLOOKUP(E96,Groups!A:A,Groups!M:M)=1,0.8,IF(_xlfn.XLOOKUP(E96,Groups!A:A,Groups!BB:BB)=1,1.3,3))</f>
        <v>484.12110343946824</v>
      </c>
      <c r="BF96" s="8">
        <f>IF(W96="No","No",IF(_xlfn.XLOOKUP(E96,Groups!A:A,Groups!U:U)=1,'Base stats'!BG96,IF(OR(_xlfn.XLOOKUP(E96,Groups!A:A,Groups!BC:BC)=1,_xlfn.XLOOKUP(E96,Groups!A:A,Groups!U:U)=2),BD96,BE96))*1.2)</f>
        <v>580.94532412736191</v>
      </c>
      <c r="BG96" s="8" t="str">
        <f>IFERROR(EXP(1.076*LN(AQ96)-4.5397)*IF(_xlfn.XLOOKUP(E96,Groups!A:A,Groups!N:N)="Insect",1,IF(OR(_xlfn.XLOOKUP(E96,Groups!A:A,Groups!N:N)="Pig",_xlfn.XLOOKUP(E96,Groups!A:A,Groups!N:N)="StrongBitingHerbivore"),3.5,3.75)),"No")</f>
        <v>No</v>
      </c>
      <c r="BH96" s="8">
        <f t="shared" si="29"/>
        <v>15</v>
      </c>
      <c r="BI96" s="8">
        <f t="shared" si="30"/>
        <v>11</v>
      </c>
      <c r="BJ96" s="8">
        <f>IF(W96="No","No",ROUNDDOWN(SQRT((2*BF96)/AZ96),0))</f>
        <v>14</v>
      </c>
      <c r="BK96" s="8" t="str">
        <f>IF(V96="No","No",ROUNDDOWN(SQRT((2*BG96)/AY96),0))</f>
        <v>No</v>
      </c>
      <c r="BL96" s="8">
        <f t="shared" si="31"/>
        <v>13</v>
      </c>
      <c r="BM96" s="8" cm="1">
        <f t="array" ref="BM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stats'!E96,Groups!A:A,Groups!P:P=0)),"No",IF(U96="No",AVERAGE(EXP(-0.57+0.99*LN(C96)),EXP(0.32+0.67*LN(C96)))/IF(_xlfn.XLOOKUP(E96,Groups!A:A,Groups!AD:AD)=1,10,2),(0.7354*C96^0.4078)*2/IF(_xlfn.XLOOKUP(E96,Groups!A:A,Groups!BJ:BJ)=1,1000,100)))</f>
        <v>65.590158122930703</v>
      </c>
      <c r="BN96" s="8">
        <f>IF(W96="No","No",IF(_xlfn.XLOOKUP(E96,Groups!A:A,Groups!BC:BC)=1,(AL96*5%),EXP(0.7354*LN(C96)^0.4078)*2/IF(_xlfn.XLOOKUP(E96,Groups!A:A,Groups!BK:BK)=1,1000,100)))</f>
        <v>9.0976615663237476E-2</v>
      </c>
      <c r="BO96" s="8" t="str">
        <f>IF(BG96="No","No",IF(_xlfn.XLOOKUP(E96,Groups!A:A,Groups!BE:BE)=1,(0.0315*C96+2.1825)*2,(0.7354*C96^0.4078)*2)/IF(_xlfn.XLOOKUP(E96,Groups!A:A,Groups!BL:BL)=1,1000,100))</f>
        <v>No</v>
      </c>
      <c r="BP96" s="8">
        <f>BD96/(AL96*5%)</f>
        <v>0.16252502905568833</v>
      </c>
      <c r="BQ96" s="8">
        <f t="shared" si="32"/>
        <v>7.3810022310377184</v>
      </c>
      <c r="BR96" s="8">
        <f>IF(W96="No","No",BF96/BN96)</f>
        <v>6385.6554774230272</v>
      </c>
      <c r="BS96" s="8" t="str">
        <f t="shared" si="33"/>
        <v>No</v>
      </c>
      <c r="BT96" s="4">
        <v>0</v>
      </c>
      <c r="BU96" s="4">
        <v>1</v>
      </c>
    </row>
    <row r="97" spans="1:73" x14ac:dyDescent="0.25">
      <c r="A97" s="26" t="s">
        <v>212</v>
      </c>
      <c r="B97" s="6" t="s">
        <v>230</v>
      </c>
      <c r="C97" s="7">
        <v>312.5</v>
      </c>
      <c r="E97" s="7" t="str">
        <f>Groups!A50</f>
        <v>Ruminant  (bovid, 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589</v>
      </c>
      <c r="L97" s="7">
        <f>MIN(114.4*C97^-0.13,97.8*C97^-0.094)</f>
        <v>54.212011482047998</v>
      </c>
      <c r="M97" s="7" t="s">
        <v>638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_xlfn.XLOOKUP(B97,[1]TeethAdjusters!$A:$A,[1]BiteAdjusters!$C:$C)</f>
        <v>1</v>
      </c>
      <c r="T97" s="7">
        <f>_xlfn.XLOOKUP(B97,[1]TeethAdjusters!$A:$A,[1]TeethAdjusters!$B:$B)</f>
        <v>1</v>
      </c>
      <c r="U97" s="7" t="s">
        <v>45</v>
      </c>
      <c r="V97" s="7" t="str">
        <f>IF(AQ97="No","No",IF(_xlfn.XLOOKUP(E97,Groups!A:A,Groups!AM:AM)=1,MROUND(EXP(0.3582*LN(C97)-0.2221)*T97,0.05),IF(_xlfn.XLOOKUP(E97,Groups!A:A,Groups!AM:AM)=2,MROUND(EXP(0.3582*LN(C97)-0.2221)*T97,0.05),"Need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945</v>
      </c>
      <c r="Y97" s="4" t="s">
        <v>42</v>
      </c>
      <c r="Z97" s="4">
        <v>0</v>
      </c>
      <c r="AA97" s="4">
        <v>2.5000000000000001E-2</v>
      </c>
      <c r="AB97" s="4">
        <v>0.05</v>
      </c>
      <c r="AC97" s="4" t="s">
        <v>45</v>
      </c>
      <c r="AD97" s="4" t="s">
        <v>407</v>
      </c>
      <c r="AE97" s="28" t="s">
        <v>401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4" t="s">
        <v>40</v>
      </c>
      <c r="AL97" s="8">
        <f t="shared" si="24"/>
        <v>46448.906348976372</v>
      </c>
      <c r="AM97" s="8">
        <f>IFERROR(C97*_xlfn.XLOOKUP(E97,Groups!A:A,Groups!K:K),0.106*C97^0.94)</f>
        <v>23.467395122258775</v>
      </c>
      <c r="AN97" s="8">
        <f>AM97*10000/(_xlfn.XLOOKUP(E97,Groups!A:A,Groups!J:J)*AL97)</f>
        <v>4.6351404129722242</v>
      </c>
      <c r="AO97" s="8">
        <f t="shared" si="25"/>
        <v>6963.7081742994369</v>
      </c>
      <c r="AP97" s="8">
        <f>IF(_xlfn.XLOOKUP(E97,Groups!A:A,Groups!M:M)=1,EXP(0.7444*LN('Base stats'!C97)+6.5696),EXP(0.7927*LN('Base stats'!C97)+4.28))</f>
        <v>6861.9570391958669</v>
      </c>
      <c r="AQ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"No")))))))))))))))</f>
        <v>No</v>
      </c>
      <c r="AR97" s="8">
        <f>IF(_xlfn.XLOOKUP(E97,Groups!A:A,Groups!U:U)=3,AP97,IF(_xlfn.XLOOKUP(E97,Groups!A:A,Groups!U:U)=2,AO97,AQ97))</f>
        <v>6861.9570391958669</v>
      </c>
      <c r="AS97" s="46">
        <f>IFERROR(AVERAGE(_xlfn.XLOOKUP(B97,Animals!B:B,Animals!M:M),_xlfn.XLOOKUP(B97,Animals!B:B,Animals!N:N)),0)</f>
        <v>0</v>
      </c>
      <c r="AT97" s="8">
        <f>MROUND(40*Animals!AN97*_xlfn.XLOOKUP(Animals!AZ97,Leathers!$A$2:$A$100,Leathers!$B$2:$B$100,0)+(140*_xlfn.XLOOKUP(B97,Animals!B:B,Animals!AN:AN)*2),5)</f>
        <v>820</v>
      </c>
      <c r="AU97" s="8">
        <f>IFERROR(ROUND(SQRT(V97-1)*IF(_xlfn.XLOOKUP(E97,Groups!A:A,Groups!BE:BE)=0,2,1)*IF(_xlfn.XLOOKUP('Base stats'!E97,Groups!A:A,Groups!O:O)=0,1,0.1),1),0)</f>
        <v>0</v>
      </c>
      <c r="AV97" s="8">
        <f t="shared" si="26"/>
        <v>0</v>
      </c>
      <c r="AW97" s="8">
        <f t="shared" si="27"/>
        <v>7.5</v>
      </c>
      <c r="AX97" s="8">
        <f t="shared" si="28"/>
        <v>6.3</v>
      </c>
      <c r="AY97" s="8">
        <f>IF(_xlfn.XLOOKUP(E97,Groups!A:A,Groups!N:N)="Insect",BA97*2.5,IFERROR(AVERAGE(BA97,AQ97/9.81/IF(OR(_xlfn.XLOOKUP(E97,Groups!A:A,Groups!N:N)="Pig",_xlfn.XLOOKUP(E97,Groups!A:A,Groups!N:N)="StrongBitingHerbivore"),20,25))*C97^-0.135,BA97))</f>
        <v>2.9812814878867484</v>
      </c>
      <c r="AZ97" s="8">
        <f>IF(W97="No","No",IF(_xlfn.XLOOKUP(E97,Groups!A:A,Groups!U:U)=1,'Base stats'!AY97,IF(OR(_xlfn.XLOOKUP(E97,Groups!A:A,Groups!BC:BC)=1,_xlfn.XLOOKUP(E97,Groups!A:A,Groups!U:U)=2),BA97,IF(_xlfn.XLOOKUP(B97,Animals!B:B,Animals!AN:AN)&gt;4,AVERAGE(BA97,BC97),BC97))))</f>
        <v>2.9812814878867484</v>
      </c>
      <c r="BA97" s="8">
        <f>(0.0392*C97^IF(OR(Y97="Herbivore",Y97="Dendrovore",Y97="OmnivoreRough"),0.889,0.966))*C97^-0.135</f>
        <v>2.9812814878867484</v>
      </c>
      <c r="BB97" s="8">
        <f>IF(_xlfn.XLOOKUP(E97,Groups!A:A,Groups!BD:BD)=1,(0.048*C97^1.01)+(0.071*C97^1.03),0.071*C97^1.03)/IF(_xlfn.XLOOKUP(E97,Groups!A:A,Groups!M:M)=1,0.85,IF(OR(_xlfn.XLOOKUP(B97,Animals!B:B,Animals!AN:AN)&gt;4,_xlfn.XLOOKUP(E97,Groups!A:A,Groups!BB:BB)=1),1.7,1))*C97^-0.25</f>
        <v>6.2696221145501587</v>
      </c>
      <c r="BC97" s="8">
        <f>(0.048*C97^1.01)/IF(_xlfn.XLOOKUP(E97,Groups!A:A,Groups!M:M)=1,0.25,0.8)*C97^-0.25</f>
        <v>4.7232101257492243</v>
      </c>
      <c r="BD97" s="8">
        <f>EXP(1.076*LN(AO97)-4.5397)*IF(_xlfn.XLOOKUP(E97,Groups!A:A,Groups!BB:BB)=1,1.25,IF(_xlfn.XLOOKUP(E97,Groups!A:A,Groups!BC:BC)=1,3.5,2.5))</f>
        <v>509.79765171128349</v>
      </c>
      <c r="BE97" s="8">
        <f>EXP(1.076*LN(AP97)-4.5397)*IF(_xlfn.XLOOKUP(E97,Groups!A:A,Groups!M:M)=1,0.8,IF(_xlfn.XLOOKUP(E97,Groups!A:A,Groups!BB:BB)=1,1.3,3))</f>
        <v>430.10316415455657</v>
      </c>
      <c r="BF97" s="8">
        <f>IF(W97="No","No",IF(_xlfn.XLOOKUP(E97,Groups!A:A,Groups!U:U)=1,'Base stats'!BG97,IF(OR(_xlfn.XLOOKUP(E97,Groups!A:A,Groups!BC:BC)=1,_xlfn.XLOOKUP(E97,Groups!A:A,Groups!U:U)=2),BD97,BE97))*1.2)</f>
        <v>611.75718205354019</v>
      </c>
      <c r="BG97" s="8" t="str">
        <f>IFERROR(EXP(1.076*LN(AQ97)-4.5397)*IF(_xlfn.XLOOKUP(E97,Groups!A:A,Groups!N:N)="Insect",1,IF(OR(_xlfn.XLOOKUP(E97,Groups!A:A,Groups!N:N)="Pig",_xlfn.XLOOKUP(E97,Groups!A:A,Groups!N:N)="StrongBitingHerbivore"),3.5,3.75)),"No")</f>
        <v>No</v>
      </c>
      <c r="BH97" s="8">
        <f t="shared" si="29"/>
        <v>18</v>
      </c>
      <c r="BI97" s="8">
        <f t="shared" si="30"/>
        <v>11</v>
      </c>
      <c r="BJ97" s="8">
        <f>IF(W97="No","No",ROUNDDOWN(SQRT((2*BF97)/AZ97),0))</f>
        <v>20</v>
      </c>
      <c r="BK97" s="8" t="str">
        <f>IF(V97="No","No",ROUNDDOWN(SQRT((2*BG97)/AY97),0))</f>
        <v>No</v>
      </c>
      <c r="BL97" s="8">
        <f t="shared" si="31"/>
        <v>13</v>
      </c>
      <c r="BM97" s="8" cm="1">
        <f t="array" ref="BM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stats'!E97,Groups!A:A,Groups!P:P=0)),"No",IF(U97="No",AVERAGE(EXP(-0.57+0.99*LN(C97)),EXP(0.32+0.67*LN(C97)))/IF(_xlfn.XLOOKUP(E97,Groups!A:A,Groups!AD:AD)=1,10,2),(0.7354*C97^0.4078)*2/IF(_xlfn.XLOOKUP(E97,Groups!A:A,Groups!BJ:BJ)=1,1000,100)))</f>
        <v>57.875970674364481</v>
      </c>
      <c r="BN97" s="8">
        <f>IF(W97="No","No",IF(_xlfn.XLOOKUP(E97,Groups!A:A,Groups!BC:BC)=1,(AL97*5%),EXP(0.7354*LN(C97)^0.4078)*2/IF(_xlfn.XLOOKUP(E97,Groups!A:A,Groups!BK:BK)=1,1000,100)))</f>
        <v>2322.4453174488185</v>
      </c>
      <c r="BO97" s="8" t="str">
        <f>IF(BG97="No","No",IF(_xlfn.XLOOKUP(E97,Groups!A:A,Groups!BE:BE)=1,(0.0315*C97+2.1825)*2,(0.7354*C97^0.4078)*2)/IF(_xlfn.XLOOKUP(E97,Groups!A:A,Groups!BL:BL)=1,1000,100))</f>
        <v>No</v>
      </c>
      <c r="BP97" s="8">
        <f>BD97/(AL97*5%)</f>
        <v>0.21950900108653185</v>
      </c>
      <c r="BQ97" s="8">
        <f t="shared" si="32"/>
        <v>7.4314635096922181</v>
      </c>
      <c r="BR97" s="8">
        <f>IF(W97="No","No",BF97/BN97)</f>
        <v>0.2634108013038382</v>
      </c>
      <c r="BS97" s="8" t="str">
        <f t="shared" si="33"/>
        <v>No</v>
      </c>
      <c r="BT97" s="4">
        <v>0</v>
      </c>
      <c r="BU97" s="4">
        <v>1</v>
      </c>
    </row>
    <row r="98" spans="1:73" x14ac:dyDescent="0.25">
      <c r="A98" s="26" t="s">
        <v>292</v>
      </c>
      <c r="B98" s="6" t="s">
        <v>293</v>
      </c>
      <c r="C98" s="7">
        <v>50</v>
      </c>
      <c r="E98" s="7" t="s">
        <v>672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538</v>
      </c>
      <c r="L98" s="7">
        <v>5</v>
      </c>
      <c r="M98" s="7" t="s">
        <v>538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_xlfn.XLOOKUP(B98,[1]TeethAdjusters!$A:$A,[1]BiteAdjusters!$C:$C)</f>
        <v>1</v>
      </c>
      <c r="T98" s="7">
        <f>_xlfn.XLOOKUP(B98,[1]TeethAdjusters!$A:$A,[1]TeethAdjusters!$B:$B)</f>
        <v>1</v>
      </c>
      <c r="U98" s="7" t="s">
        <v>45</v>
      </c>
      <c r="V98" s="7">
        <v>1</v>
      </c>
      <c r="W98" s="7" t="s">
        <v>45</v>
      </c>
      <c r="X98" s="7" t="s">
        <v>945</v>
      </c>
      <c r="Y98" s="4" t="s">
        <v>42</v>
      </c>
      <c r="Z98" s="4">
        <v>0</v>
      </c>
      <c r="AA98" s="4">
        <v>0</v>
      </c>
      <c r="AB98" s="4">
        <v>0</v>
      </c>
      <c r="AC98" s="4" t="s">
        <v>45</v>
      </c>
      <c r="AD98" s="4" t="s">
        <v>45</v>
      </c>
      <c r="AE98" s="28" t="s">
        <v>45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4" t="s">
        <v>40</v>
      </c>
      <c r="AL98" s="8">
        <f t="shared" ref="AL98:AL129" si="36">(0.111*C98^0.65)*10000</f>
        <v>14114.109472474363</v>
      </c>
      <c r="AM98" s="8">
        <f>IFERROR(C98*_xlfn.XLOOKUP(E98,Groups!A:A,Groups!K:K),0.106*C98^0.94)</f>
        <v>16</v>
      </c>
      <c r="AN98" s="8">
        <f>AM98*10000/(_xlfn.XLOOKUP(E98,Groups!A:A,Groups!J:J)*AL98)</f>
        <v>4.1985829410511464</v>
      </c>
      <c r="AO98" s="8">
        <f t="shared" ref="AO98:AO129" si="37">EXP(0.8447*LN(C98)+3.996)</f>
        <v>1481.019280401604</v>
      </c>
      <c r="AP98" s="8">
        <f>IF(_xlfn.XLOOKUP(E98,Groups!A:A,Groups!M:M)=1,EXP(0.7444*LN('Base stats'!C98)+6.5696),EXP(0.7927*LN('Base stats'!C98)+4.28))</f>
        <v>1605.2914958133745</v>
      </c>
      <c r="AQ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"No")))))))))))))))</f>
        <v>806.61210998277977</v>
      </c>
      <c r="AR98" s="8">
        <f>IF(_xlfn.XLOOKUP(E98,Groups!A:A,Groups!U:U)=3,AP98,IF(_xlfn.XLOOKUP(E98,Groups!A:A,Groups!U:U)=2,AO98,AQ98))</f>
        <v>806.61210998277977</v>
      </c>
      <c r="AS98" s="46">
        <f>IFERROR(AVERAGE(_xlfn.XLOOKUP(B98,Animals!B:B,Animals!M:M),_xlfn.XLOOKUP(B98,Animals!B:B,Animals!N:N)),0)</f>
        <v>0.32500000000000007</v>
      </c>
      <c r="AT98" s="8">
        <f>MROUND(40*Animals!AN98*_xlfn.XLOOKUP(Animals!AZ98,Leathers!$A$2:$A$100,Leathers!$B$2:$B$100,0)+(140*_xlfn.XLOOKUP(B98,Animals!B:B,Animals!AN:AN)*2),5)</f>
        <v>240</v>
      </c>
      <c r="AU98" s="8">
        <f>IFERROR(ROUND(SQRT(V98-1)*IF(_xlfn.XLOOKUP(E98,Groups!A:A,Groups!BE:BE)=0,2,1)*IF(_xlfn.XLOOKUP('Base stats'!E98,Groups!A:A,Groups!O:O)=0,1,0.1),1),0)</f>
        <v>0</v>
      </c>
      <c r="AV98" s="8">
        <f t="shared" ref="AV98:AV129" si="38">IFERROR(ROUND(SQRT(U98-1),1),0)</f>
        <v>0</v>
      </c>
      <c r="AW98" s="8">
        <f t="shared" ref="AW98:AW129" si="39">IFERROR(ROUND(SQRT(W98),1),0)</f>
        <v>0</v>
      </c>
      <c r="AX98" s="8">
        <f t="shared" ref="AX98:AX129" si="40">ROUND(
  EXP(0.3582*LN(C98)-0.2221) *
  (0.75 + 0.25*(C98^4/(C98^4+10^4))),
1)</f>
        <v>3.3</v>
      </c>
      <c r="AY98" s="8">
        <f>IF(_xlfn.XLOOKUP(E98,Groups!A:A,Groups!N:N)="Insect",BA98*2.5,IFERROR(AVERAGE(BA98,AQ98/9.81/IF(OR(_xlfn.XLOOKUP(E98,Groups!A:A,Groups!N:N)="Pig",_xlfn.XLOOKUP(E98,Groups!A:A,Groups!N:N)="StrongBitingHerbivore"),20,25))*C98^-0.135,BA98))</f>
        <v>1.1905201802188443</v>
      </c>
      <c r="AZ98" s="8" t="str">
        <f>IF(W98="No","No",IF(_xlfn.XLOOKUP(E98,Groups!A:A,Groups!U:U)=1,'Base stats'!AY98,IF(OR(_xlfn.XLOOKUP(E98,Groups!A:A,Groups!BC:BC)=1,_xlfn.XLOOKUP(E98,Groups!A:A,Groups!U:U)=2),BA98,IF(_xlfn.XLOOKUP(B98,Animals!B:B,Animals!AN:AN)&gt;4,AVERAGE(BA98,BC98),BC98))))</f>
        <v>No</v>
      </c>
      <c r="BA98" s="8">
        <f>(0.0392*C98^IF(OR(Y98="Herbivore",Y98="Dendrovore",Y98="OmnivoreRough"),0.889,0.966))*C98^-0.135</f>
        <v>0.74870278790389155</v>
      </c>
      <c r="BB98" s="8">
        <f>IF(_xlfn.XLOOKUP(E98,Groups!A:A,Groups!BD:BD)=1,(0.048*C98^1.01)+(0.071*C98^1.03),0.071*C98^1.03)/IF(_xlfn.XLOOKUP(E98,Groups!A:A,Groups!M:M)=1,0.85,IF(OR(_xlfn.XLOOKUP(B98,Animals!B:B,Animals!AN:AN)&gt;4,_xlfn.XLOOKUP(E98,Groups!A:A,Groups!BB:BB)=1),1.7,1))*C98^-0.25</f>
        <v>0.88309216317430306</v>
      </c>
      <c r="BC98" s="8">
        <f>(0.048*C98^1.01)/IF(_xlfn.XLOOKUP(E98,Groups!A:A,Groups!M:M)=1,0.25,0.8)*C98^-0.25</f>
        <v>1.1731902733256112</v>
      </c>
      <c r="BD98" s="8">
        <f>EXP(1.076*LN(AO98)-4.5397)*IF(_xlfn.XLOOKUP(E98,Groups!A:A,Groups!BB:BB)=1,1.25,IF(_xlfn.XLOOKUP(E98,Groups!A:A,Groups!BC:BC)=1,3.5,2.5))</f>
        <v>34.42442382219248</v>
      </c>
      <c r="BE98" s="8">
        <f>EXP(1.076*LN(AP98)-4.5397)*IF(_xlfn.XLOOKUP(E98,Groups!A:A,Groups!M:M)=1,0.8,IF(_xlfn.XLOOKUP(E98,Groups!A:A,Groups!BB:BB)=1,1.3,3))</f>
        <v>39.043855300247856</v>
      </c>
      <c r="BF98" s="8" t="str">
        <f>IF(W98="No","No",IF(_xlfn.XLOOKUP(E98,Groups!A:A,Groups!U:U)=1,'Base stats'!BG98,IF(OR(_xlfn.XLOOKUP(E98,Groups!A:A,Groups!BC:BC)=1,_xlfn.XLOOKUP(E98,Groups!A:A,Groups!U:U)=2),BD98,BE98))*1.2)</f>
        <v>No</v>
      </c>
      <c r="BG98" s="8">
        <f>IFERROR(EXP(1.076*LN(AQ98)-4.5397)*IF(_xlfn.XLOOKUP(E98,Groups!A:A,Groups!N:N)="Insect",1,IF(OR(_xlfn.XLOOKUP(E98,Groups!A:A,Groups!N:N)="Pig",_xlfn.XLOOKUP(E98,Groups!A:A,Groups!N:N)="StrongBitingHerbivore"),3.5,3.75)),"No")</f>
        <v>53.707614904612583</v>
      </c>
      <c r="BH98" s="8">
        <f t="shared" si="29"/>
        <v>9</v>
      </c>
      <c r="BI98" s="8">
        <f t="shared" si="30"/>
        <v>9</v>
      </c>
      <c r="BJ98" s="8" t="str">
        <f>IF(W98="No","No",ROUNDDOWN(SQRT((2*BF98)/AZ98),0))</f>
        <v>No</v>
      </c>
      <c r="BK98" s="8">
        <f>IF(V98="No","No",ROUNDDOWN(SQRT((2*BG98)/AY98),0))</f>
        <v>9</v>
      </c>
      <c r="BL98" s="8">
        <f t="shared" si="31"/>
        <v>8</v>
      </c>
      <c r="BM98" s="8" t="str" cm="1">
        <f t="array" ref="BM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stats'!E98,Groups!A:A,Groups!P:P=0)),"No",IF(U98="No",AVERAGE(EXP(-0.57+0.99*LN(C98)),EXP(0.32+0.67*LN(C98)))/IF(_xlfn.XLOOKUP(E98,Groups!A:A,Groups!AD:AD)=1,10,2),(0.7354*C98^0.4078)*2/IF(_xlfn.XLOOKUP(E98,Groups!A:A,Groups!BJ:BJ)=1,1000,100)))</f>
        <v>No</v>
      </c>
      <c r="BN98" s="8" t="str">
        <f>IF(W98="No","No",IF(_xlfn.XLOOKUP(E98,Groups!A:A,Groups!BC:BC)=1,(AL98*5%),EXP(0.7354*LN(C98)^0.4078)*2/IF(_xlfn.XLOOKUP(E98,Groups!A:A,Groups!BK:BK)=1,1000,100)))</f>
        <v>No</v>
      </c>
      <c r="BO98" s="8">
        <f>IF(BG98="No","No",IF(_xlfn.XLOOKUP(E98,Groups!A:A,Groups!BE:BE)=1,(0.0315*C98+2.1825)*2,(0.7354*C98^0.4078)*2)/IF(_xlfn.XLOOKUP(E98,Groups!A:A,Groups!BL:BL)=1,1000,100))</f>
        <v>7.2509279375208957E-2</v>
      </c>
      <c r="BP98" s="8">
        <f>BD98/(AL98*5%)</f>
        <v>4.8780157032688065E-2</v>
      </c>
      <c r="BQ98" s="8" t="str">
        <f t="shared" si="32"/>
        <v>No</v>
      </c>
      <c r="BR98" s="8" t="str">
        <f>IF(W98="No","No",BF98/BN98)</f>
        <v>No</v>
      </c>
      <c r="BS98" s="8">
        <f t="shared" si="33"/>
        <v>740.69988513739531</v>
      </c>
      <c r="BT98" s="4">
        <v>0</v>
      </c>
      <c r="BU98" s="4">
        <v>1</v>
      </c>
    </row>
    <row r="99" spans="1:73" x14ac:dyDescent="0.25">
      <c r="A99" s="26" t="s">
        <v>284</v>
      </c>
      <c r="B99" s="6" t="s">
        <v>285</v>
      </c>
      <c r="C99" s="7">
        <v>45</v>
      </c>
      <c r="E99" s="7" t="s">
        <v>55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538</v>
      </c>
      <c r="L99" s="7">
        <f>MIN(37.5*C99^0.089,79.3*C99^-0.072)</f>
        <v>52.621979546581734</v>
      </c>
      <c r="M99" s="7" t="s">
        <v>638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_xlfn.XLOOKUP(B99,[1]TeethAdjusters!$A:$A,[1]BiteAdjusters!$C:$C)</f>
        <v>1.0425371059413748</v>
      </c>
      <c r="T99" s="7">
        <f>_xlfn.XLOOKUP(B99,[1]TeethAdjusters!$A:$A,[1]TeethAdjusters!$B:$B)</f>
        <v>1.038364019968949</v>
      </c>
      <c r="U99" s="7" t="s">
        <v>45</v>
      </c>
      <c r="V99" s="7">
        <f>IF(AQ99="No","No",IF(_xlfn.XLOOKUP(E99,Groups!A:A,Groups!AM:AM)=1,MROUND(EXP(0.3582*LN(C99)-0.2221)*T99,0.05),IF(_xlfn.XLOOKUP(E99,Groups!A:A,Groups!AM:AM)=2,MROUND(EXP(0.3582*LN(C99)-0.2221)*T99,0.05),"Need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945</v>
      </c>
      <c r="Y99" s="4" t="s">
        <v>53</v>
      </c>
      <c r="Z99" s="4">
        <v>0</v>
      </c>
      <c r="AA99" s="4">
        <v>0</v>
      </c>
      <c r="AB99" s="4">
        <v>0</v>
      </c>
      <c r="AC99" s="4" t="s">
        <v>45</v>
      </c>
      <c r="AD99" s="4" t="s">
        <v>408</v>
      </c>
      <c r="AE99" s="28" t="s">
        <v>388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4" t="s">
        <v>40</v>
      </c>
      <c r="AL99" s="8">
        <f t="shared" si="36"/>
        <v>13179.869579281049</v>
      </c>
      <c r="AM99" s="8">
        <f>IFERROR(C99*_xlfn.XLOOKUP(E99,Groups!A:A,Groups!K:K),0.106*C99^0.94)</f>
        <v>5.6137499999999996</v>
      </c>
      <c r="AN99" s="8">
        <f>AM99*10000/(_xlfn.XLOOKUP(E99,Groups!A:A,Groups!J:J)*AL99)</f>
        <v>3.9076481954680351</v>
      </c>
      <c r="AO99" s="8">
        <f t="shared" si="37"/>
        <v>1354.9066055012743</v>
      </c>
      <c r="AP99" s="8">
        <f>IF(_xlfn.XLOOKUP(E99,Groups!A:A,Groups!M:M)=1,EXP(0.7444*LN('Base stats'!C99)+6.5696),EXP(0.7927*LN('Base stats'!C99)+4.28))</f>
        <v>1476.6648670095913</v>
      </c>
      <c r="AQ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"No")))))))))))))))</f>
        <v>3304.3391328153939</v>
      </c>
      <c r="AR99" s="8">
        <f>IF(_xlfn.XLOOKUP(E99,Groups!A:A,Groups!U:U)=3,AP99,IF(_xlfn.XLOOKUP(E99,Groups!A:A,Groups!U:U)=2,AO99,AQ99))</f>
        <v>3304.3391328153939</v>
      </c>
      <c r="AS99" s="46">
        <f>IFERROR(AVERAGE(_xlfn.XLOOKUP(B99,Animals!B:B,Animals!M:M),_xlfn.XLOOKUP(B99,Animals!B:B,Animals!N:N)),0)</f>
        <v>0</v>
      </c>
      <c r="AT99" s="8">
        <f>MROUND(40*Animals!AN99*_xlfn.XLOOKUP(Animals!AZ99,Leathers!$A$2:$A$100,Leathers!$B$2:$B$100,0)+(140*_xlfn.XLOOKUP(B99,Animals!B:B,Animals!AN:AN)*2),5)</f>
        <v>290</v>
      </c>
      <c r="AU99" s="8">
        <f>IFERROR(ROUND(SQRT(V99-1)*IF(_xlfn.XLOOKUP(E99,Groups!A:A,Groups!BE:BE)=0,2,1)*IF(_xlfn.XLOOKUP('Base stats'!E99,Groups!A:A,Groups!O:O)=0,1,0.1),1),0)</f>
        <v>3</v>
      </c>
      <c r="AV99" s="8">
        <f t="shared" si="38"/>
        <v>0</v>
      </c>
      <c r="AW99" s="8">
        <f t="shared" si="39"/>
        <v>0</v>
      </c>
      <c r="AX99" s="8">
        <f t="shared" si="40"/>
        <v>3.1</v>
      </c>
      <c r="AY99" s="8">
        <f>IF(_xlfn.XLOOKUP(E99,Groups!A:A,Groups!N:N)="Insect",BA99*2.5,IFERROR(AVERAGE(BA99,AQ99/9.81/IF(OR(_xlfn.XLOOKUP(E99,Groups!A:A,Groups!N:N)="Pig",_xlfn.XLOOKUP(E99,Groups!A:A,Groups!N:N)="StrongBitingHerbivore"),20,25))*C99^-0.135,BA99))</f>
        <v>4.306862806069268</v>
      </c>
      <c r="AZ99" s="8" t="str">
        <f>IF(W99="No","No",IF(_xlfn.XLOOKUP(E99,Groups!A:A,Groups!U:U)=1,'Base stats'!AY99,IF(OR(_xlfn.XLOOKUP(E99,Groups!A:A,Groups!BC:BC)=1,_xlfn.XLOOKUP(E99,Groups!A:A,Groups!U:U)=2),BA99,IF(_xlfn.XLOOKUP(B99,Animals!B:B,Animals!AN:AN)&gt;4,AVERAGE(BA99,BC99),BC99))))</f>
        <v>No</v>
      </c>
      <c r="BA99" s="8">
        <f>(0.0392*C99^IF(OR(Y99="Herbivore",Y99="Dendrovore",Y99="OmnivoreRough"),0.889,0.966))*C99^-0.135</f>
        <v>0.92705535303548403</v>
      </c>
      <c r="BB99" s="8">
        <f>IF(_xlfn.XLOOKUP(E99,Groups!A:A,Groups!BD:BD)=1,(0.048*C99^1.01)+(0.071*C99^1.03),0.071*C99^1.03)/IF(_xlfn.XLOOKUP(E99,Groups!A:A,Groups!M:M)=1,0.85,IF(OR(_xlfn.XLOOKUP(B99,Animals!B:B,Animals!AN:AN)&gt;4,_xlfn.XLOOKUP(E99,Groups!A:A,Groups!BB:BB)=1),1.7,1))*C99^-0.25</f>
        <v>1.3828150878334322</v>
      </c>
      <c r="BC99" s="8">
        <f>(0.048*C99^1.01)/IF(_xlfn.XLOOKUP(E99,Groups!A:A,Groups!M:M)=1,0.25,0.8)*C99^-0.25</f>
        <v>1.0829109891226825</v>
      </c>
      <c r="BD99" s="8">
        <f>EXP(1.076*LN(AO99)-4.5397)*IF(_xlfn.XLOOKUP(E99,Groups!A:A,Groups!BB:BB)=1,1.25,IF(_xlfn.XLOOKUP(E99,Groups!A:A,Groups!BC:BC)=1,3.5,2.5))</f>
        <v>62.561596172096557</v>
      </c>
      <c r="BE99" s="8">
        <f>EXP(1.076*LN(AP99)-4.5397)*IF(_xlfn.XLOOKUP(E99,Groups!A:A,Groups!M:M)=1,0.8,IF(_xlfn.XLOOKUP(E99,Groups!A:A,Groups!BB:BB)=1,1.3,3))</f>
        <v>82.35727435557628</v>
      </c>
      <c r="BF99" s="8" t="str">
        <f>IF(W99="No","No",IF(_xlfn.XLOOKUP(E99,Groups!A:A,Groups!U:U)=1,'Base stats'!BG99,IF(OR(_xlfn.XLOOKUP(E99,Groups!A:A,Groups!BC:BC)=1,_xlfn.XLOOKUP(E99,Groups!A:A,Groups!U:U)=2),BD99,BE99))*1.2)</f>
        <v>No</v>
      </c>
      <c r="BG99" s="8">
        <f>IFERROR(EXP(1.076*LN(AQ99)-4.5397)*IF(_xlfn.XLOOKUP(E99,Groups!A:A,Groups!N:N)="Insect",1,IF(OR(_xlfn.XLOOKUP(E99,Groups!A:A,Groups!N:N)="Pig",_xlfn.XLOOKUP(E99,Groups!A:A,Groups!N:N)="StrongBitingHerbivore"),3.5,3.75)),"No")</f>
        <v>244.9061282607627</v>
      </c>
      <c r="BH99" s="8">
        <f t="shared" si="29"/>
        <v>11</v>
      </c>
      <c r="BI99" s="8">
        <f t="shared" si="30"/>
        <v>10</v>
      </c>
      <c r="BJ99" s="8" t="str">
        <f>IF(W99="No","No",ROUNDDOWN(SQRT((2*BF99)/AZ99),0))</f>
        <v>No</v>
      </c>
      <c r="BK99" s="8">
        <f>IF(V99="No","No",ROUNDDOWN(SQRT((2*BG99)/AY99),0))</f>
        <v>10</v>
      </c>
      <c r="BL99" s="8">
        <f t="shared" si="31"/>
        <v>12</v>
      </c>
      <c r="BM99" s="8" t="str" cm="1">
        <f t="array" ref="BM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stats'!E99,Groups!A:A,Groups!P:P=0)),"No",IF(U99="No",AVERAGE(EXP(-0.57+0.99*LN(C99)),EXP(0.32+0.67*LN(C99)))/IF(_xlfn.XLOOKUP(E99,Groups!A:A,Groups!AD:AD)=1,10,2),(0.7354*C99^0.4078)*2/IF(_xlfn.XLOOKUP(E99,Groups!A:A,Groups!BJ:BJ)=1,1000,100)))</f>
        <v>No</v>
      </c>
      <c r="BN99" s="8" t="str">
        <f>IF(W99="No","No",IF(_xlfn.XLOOKUP(E99,Groups!A:A,Groups!BC:BC)=1,(AL99*5%),EXP(0.7354*LN(C99)^0.4078)*2/IF(_xlfn.XLOOKUP(E99,Groups!A:A,Groups!BK:BK)=1,1000,100)))</f>
        <v>No</v>
      </c>
      <c r="BO99" s="8">
        <f>IF(BG99="No","No",IF(_xlfn.XLOOKUP(E99,Groups!A:A,Groups!BE:BE)=1,(0.0315*C99+2.1825)*2,(0.7354*C99^0.4078)*2)/IF(_xlfn.XLOOKUP(E99,Groups!A:A,Groups!BL:BL)=1,1000,100))</f>
        <v>6.9459824922917246E-2</v>
      </c>
      <c r="BP99" s="8">
        <f>BD99/(AL99*5%)</f>
        <v>9.4935076247559105E-2</v>
      </c>
      <c r="BQ99" s="8" t="str">
        <f t="shared" si="32"/>
        <v>No</v>
      </c>
      <c r="BR99" s="8" t="str">
        <f>IF(W99="No","No",BF99/BN99)</f>
        <v>No</v>
      </c>
      <c r="BS99" s="8">
        <f t="shared" si="33"/>
        <v>3525.867341769811</v>
      </c>
      <c r="BT99" s="4">
        <v>0</v>
      </c>
      <c r="BU99" s="4">
        <v>1</v>
      </c>
    </row>
    <row r="100" spans="1:73" x14ac:dyDescent="0.25">
      <c r="A100" s="26" t="s">
        <v>211</v>
      </c>
      <c r="B100" s="6" t="s">
        <v>288</v>
      </c>
      <c r="C100" s="7">
        <v>68</v>
      </c>
      <c r="E100" s="7" t="s">
        <v>55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538</v>
      </c>
      <c r="L100" s="7">
        <f>MIN(37.5*C100^0.089,79.3*C100^-0.072)</f>
        <v>54.591441355706628</v>
      </c>
      <c r="M100" s="7" t="s">
        <v>638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_xlfn.XLOOKUP(B100,[1]TeethAdjusters!$A:$A,[1]BiteAdjusters!$C:$C)</f>
        <v>1</v>
      </c>
      <c r="T100" s="7">
        <f>_xlfn.XLOOKUP(B100,[1]TeethAdjusters!$A:$A,[1]TeethAdjusters!$B:$B)</f>
        <v>1</v>
      </c>
      <c r="U100" s="7" t="s">
        <v>45</v>
      </c>
      <c r="V100" s="7">
        <f>IF(AQ100="No","No",IF(_xlfn.XLOOKUP(E100,Groups!A:A,Groups!AM:AM)=1,MROUND(EXP(0.3582*LN(C100)-0.2221)*T100,0.05),IF(_xlfn.XLOOKUP(E100,Groups!A:A,Groups!AM:AM)=2,MROUND(EXP(0.3582*LN(C100)-0.2221)*T100,0.05),"Need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945</v>
      </c>
      <c r="Y100" s="4" t="s">
        <v>56</v>
      </c>
      <c r="Z100" s="4">
        <v>0</v>
      </c>
      <c r="AA100" s="4">
        <v>0</v>
      </c>
      <c r="AB100" s="4">
        <v>0</v>
      </c>
      <c r="AC100" s="4" t="s">
        <v>45</v>
      </c>
      <c r="AD100" s="4" t="s">
        <v>320</v>
      </c>
      <c r="AE100" s="28" t="s">
        <v>405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4" t="s">
        <v>40</v>
      </c>
      <c r="AL100" s="8">
        <f t="shared" si="36"/>
        <v>17236.686074279878</v>
      </c>
      <c r="AM100" s="8">
        <f>IFERROR(C100*_xlfn.XLOOKUP(E100,Groups!A:A,Groups!K:K),0.106*C100^0.94)</f>
        <v>8.4830000000000005</v>
      </c>
      <c r="AN100" s="8">
        <f>AM100*10000/(_xlfn.XLOOKUP(E100,Groups!A:A,Groups!J:J)*AL100)</f>
        <v>4.5151189583665916</v>
      </c>
      <c r="AO100" s="8">
        <f t="shared" si="37"/>
        <v>1920.264389799592</v>
      </c>
      <c r="AP100" s="8">
        <f>IF(_xlfn.XLOOKUP(E100,Groups!A:A,Groups!M:M)=1,EXP(0.7444*LN('Base stats'!C100)+6.5696),EXP(0.7927*LN('Base stats'!C100)+4.28))</f>
        <v>2048.3784474727427</v>
      </c>
      <c r="AQ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"No")))))))))))))))</f>
        <v>4477.240146810359</v>
      </c>
      <c r="AR100" s="8">
        <f>IF(_xlfn.XLOOKUP(E100,Groups!A:A,Groups!U:U)=3,AP100,IF(_xlfn.XLOOKUP(E100,Groups!A:A,Groups!U:U)=2,AO100,AQ100))</f>
        <v>4477.240146810359</v>
      </c>
      <c r="AS100" s="46">
        <f>IFERROR(AVERAGE(_xlfn.XLOOKUP(B100,Animals!B:B,Animals!M:M),_xlfn.XLOOKUP(B100,Animals!B:B,Animals!N:N)),0)</f>
        <v>0</v>
      </c>
      <c r="AT100" s="8">
        <f>MROUND(40*Animals!AN100*_xlfn.XLOOKUP(Animals!AZ100,Leathers!$A$2:$A$100,Leathers!$B$2:$B$100,0)+(140*_xlfn.XLOOKUP(B100,Animals!B:B,Animals!AN:AN)*2),5)</f>
        <v>400</v>
      </c>
      <c r="AU100" s="8">
        <f>IFERROR(ROUND(SQRT(V100-1)*IF(_xlfn.XLOOKUP(E100,Groups!A:A,Groups!BE:BE)=0,2,1)*IF(_xlfn.XLOOKUP('Base stats'!E100,Groups!A:A,Groups!O:O)=0,1,0.1),1),0)</f>
        <v>3.3</v>
      </c>
      <c r="AV100" s="8">
        <f t="shared" si="38"/>
        <v>0</v>
      </c>
      <c r="AW100" s="8">
        <f t="shared" si="39"/>
        <v>0</v>
      </c>
      <c r="AX100" s="8">
        <f t="shared" si="40"/>
        <v>3.6</v>
      </c>
      <c r="AY100" s="8">
        <f>IF(_xlfn.XLOOKUP(E100,Groups!A:A,Groups!N:N)="Insect",BA100*2.5,IFERROR(AVERAGE(BA100,AQ100/9.81/IF(OR(_xlfn.XLOOKUP(E100,Groups!A:A,Groups!N:N)="Pig",_xlfn.XLOOKUP(E100,Groups!A:A,Groups!N:N)="StrongBitingHerbivore"),20,25))*C100^-0.135,BA100))</f>
        <v>5.5335153960244625</v>
      </c>
      <c r="AZ100" s="8" t="str">
        <f>IF(W100="No","No",IF(_xlfn.XLOOKUP(E100,Groups!A:A,Groups!U:U)=1,'Base stats'!AY100,IF(OR(_xlfn.XLOOKUP(E100,Groups!A:A,Groups!BC:BC)=1,_xlfn.XLOOKUP(E100,Groups!A:A,Groups!U:U)=2),BA100,IF(_xlfn.XLOOKUP(B100,Animals!B:B,Animals!AN:AN)&gt;4,AVERAGE(BA100,BC100),BC100))))</f>
        <v>No</v>
      </c>
      <c r="BA100" s="8">
        <f>(0.0392*C100^IF(OR(Y100="Herbivore",Y100="Dendrovore",Y100="OmnivoreRough"),0.889,0.966))*C100^-0.135</f>
        <v>1.3064746082064107</v>
      </c>
      <c r="BB100" s="8">
        <f>IF(_xlfn.XLOOKUP(E100,Groups!A:A,Groups!BD:BD)=1,(0.048*C100^1.01)+(0.071*C100^1.03),0.071*C100^1.03)/IF(_xlfn.XLOOKUP(E100,Groups!A:A,Groups!M:M)=1,0.85,IF(OR(_xlfn.XLOOKUP(B100,Animals!B:B,Animals!AN:AN)&gt;4,_xlfn.XLOOKUP(E100,Groups!A:A,Groups!BB:BB)=1),1.7,1))*C100^-0.25</f>
        <v>1.9081622538129484</v>
      </c>
      <c r="BC100" s="8">
        <f>(0.048*C100^1.01)/IF(_xlfn.XLOOKUP(E100,Groups!A:A,Groups!M:M)=1,0.25,0.8)*C100^-0.25</f>
        <v>1.4820335118073542</v>
      </c>
      <c r="BD100" s="8">
        <f>EXP(1.076*LN(AO100)-4.5397)*IF(_xlfn.XLOOKUP(E100,Groups!A:A,Groups!BB:BB)=1,1.25,IF(_xlfn.XLOOKUP(E100,Groups!A:A,Groups!BC:BC)=1,3.5,2.5))</f>
        <v>91.047875310537293</v>
      </c>
      <c r="BE100" s="8">
        <f>EXP(1.076*LN(AP100)-4.5397)*IF(_xlfn.XLOOKUP(E100,Groups!A:A,Groups!M:M)=1,0.8,IF(_xlfn.XLOOKUP(E100,Groups!A:A,Groups!BB:BB)=1,1.3,3))</f>
        <v>117.12024383801356</v>
      </c>
      <c r="BF100" s="8" t="str">
        <f>IF(W100="No","No",IF(_xlfn.XLOOKUP(E100,Groups!A:A,Groups!U:U)=1,'Base stats'!BG100,IF(OR(_xlfn.XLOOKUP(E100,Groups!A:A,Groups!BC:BC)=1,_xlfn.XLOOKUP(E100,Groups!A:A,Groups!U:U)=2),BD100,BE100))*1.2)</f>
        <v>No</v>
      </c>
      <c r="BG100" s="8">
        <f>IFERROR(EXP(1.076*LN(AQ100)-4.5397)*IF(_xlfn.XLOOKUP(E100,Groups!A:A,Groups!N:N)="Insect",1,IF(OR(_xlfn.XLOOKUP(E100,Groups!A:A,Groups!N:N)="Pig",_xlfn.XLOOKUP(E100,Groups!A:A,Groups!N:N)="StrongBitingHerbivore"),3.5,3.75)),"No")</f>
        <v>339.58757148956568</v>
      </c>
      <c r="BH100" s="8">
        <f t="shared" si="29"/>
        <v>11</v>
      </c>
      <c r="BI100" s="8">
        <f t="shared" si="30"/>
        <v>11</v>
      </c>
      <c r="BJ100" s="8" t="str">
        <f>IF(W100="No","No",ROUNDDOWN(SQRT((2*BF100)/AZ100),0))</f>
        <v>No</v>
      </c>
      <c r="BK100" s="8">
        <f>IF(V100="No","No",ROUNDDOWN(SQRT((2*BG100)/AY100),0))</f>
        <v>11</v>
      </c>
      <c r="BL100" s="8">
        <f t="shared" si="31"/>
        <v>12</v>
      </c>
      <c r="BM100" s="8" t="str" cm="1">
        <f t="array" ref="BM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stats'!E100,Groups!A:A,Groups!P:P=0)),"No",IF(U100="No",AVERAGE(EXP(-0.57+0.99*LN(C100)),EXP(0.32+0.67*LN(C100)))/IF(_xlfn.XLOOKUP(E100,Groups!A:A,Groups!AD:AD)=1,10,2),(0.7354*C100^0.4078)*2/IF(_xlfn.XLOOKUP(E100,Groups!A:A,Groups!BJ:BJ)=1,1000,100)))</f>
        <v>No</v>
      </c>
      <c r="BN100" s="8" t="str">
        <f>IF(W100="No","No",IF(_xlfn.XLOOKUP(E100,Groups!A:A,Groups!BC:BC)=1,(AL100*5%),EXP(0.7354*LN(C100)^0.4078)*2/IF(_xlfn.XLOOKUP(E100,Groups!A:A,Groups!BK:BK)=1,1000,100)))</f>
        <v>No</v>
      </c>
      <c r="BO100" s="8">
        <f>IF(BG100="No","No",IF(_xlfn.XLOOKUP(E100,Groups!A:A,Groups!BE:BE)=1,(0.0315*C100+2.1825)*2,(0.7354*C100^0.4078)*2)/IF(_xlfn.XLOOKUP(E100,Groups!A:A,Groups!BL:BL)=1,1000,100))</f>
        <v>8.2196013688283359E-2</v>
      </c>
      <c r="BP100" s="8">
        <f>BD100/(AL100*5%)</f>
        <v>0.10564429254924645</v>
      </c>
      <c r="BQ100" s="8" t="str">
        <f t="shared" si="32"/>
        <v>No</v>
      </c>
      <c r="BR100" s="8" t="str">
        <f>IF(W100="No","No",BF100/BN100)</f>
        <v>No</v>
      </c>
      <c r="BS100" s="8">
        <f t="shared" si="33"/>
        <v>4131.4360180215435</v>
      </c>
      <c r="BT100" s="4">
        <v>0</v>
      </c>
      <c r="BU100" s="4">
        <v>1</v>
      </c>
    </row>
    <row r="101" spans="1:73" x14ac:dyDescent="0.25">
      <c r="A101" s="26" t="s">
        <v>207</v>
      </c>
      <c r="B101" s="6" t="s">
        <v>226</v>
      </c>
      <c r="C101" s="7">
        <v>0.3</v>
      </c>
      <c r="E101" s="7" t="s">
        <v>430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598</v>
      </c>
      <c r="L101" s="7">
        <v>3</v>
      </c>
      <c r="M101" s="7" t="s">
        <v>538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_xlfn.XLOOKUP(B101,[1]TeethAdjusters!$A:$A,[1]BiteAdjusters!$C:$C)</f>
        <v>1</v>
      </c>
      <c r="T101" s="7">
        <f>_xlfn.XLOOKUP(B101,[1]TeethAdjusters!$A:$A,[1]TeethAdjusters!$B:$B)</f>
        <v>1</v>
      </c>
      <c r="U101" s="7">
        <v>1.5</v>
      </c>
      <c r="V101" s="7" t="str">
        <f>IF(AQ101="No","No",IF(_xlfn.XLOOKUP(E101,Groups!A:A,Groups!AM:AM)=1,MROUND(EXP(0.3582*LN(C101)-0.2221)*T101,0.05),IF(_xlfn.XLOOKUP(E101,Groups!A:A,Groups!AM:AM)=2,MROUND(EXP(0.3582*LN(C101)-0.2221)*T101,0.05),"Need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945</v>
      </c>
      <c r="Y101" s="4" t="s">
        <v>1023</v>
      </c>
      <c r="Z101" s="4">
        <v>0</v>
      </c>
      <c r="AA101" s="4">
        <v>0</v>
      </c>
      <c r="AB101" s="4">
        <v>0</v>
      </c>
      <c r="AC101" s="4" t="s">
        <v>45</v>
      </c>
      <c r="AD101" s="4" t="s">
        <v>45</v>
      </c>
      <c r="AE101" s="28" t="s">
        <v>45</v>
      </c>
      <c r="AF101" s="4">
        <v>0</v>
      </c>
      <c r="AG101" s="4">
        <v>1</v>
      </c>
      <c r="AH101" s="4">
        <v>0</v>
      </c>
      <c r="AI101" s="4">
        <v>0</v>
      </c>
      <c r="AJ101" s="4">
        <v>0</v>
      </c>
      <c r="AK101" s="44" t="s">
        <v>40</v>
      </c>
      <c r="AL101" s="8">
        <f t="shared" si="36"/>
        <v>507.51840257727082</v>
      </c>
      <c r="AM101" s="8">
        <f>IFERROR(C101*_xlfn.XLOOKUP(E101,Groups!A:A,Groups!K:K),0.106*C101^0.94)</f>
        <v>9.6000000000000002E-2</v>
      </c>
      <c r="AN101" s="8">
        <f>AM101*10000/(_xlfn.XLOOKUP(E101,Groups!A:A,Groups!J:J)*AL101)</f>
        <v>0.9955563292462275</v>
      </c>
      <c r="AO101" s="8">
        <f t="shared" si="37"/>
        <v>19.668220728047135</v>
      </c>
      <c r="AP101" s="8">
        <f>IF(_xlfn.XLOOKUP(E101,Groups!A:A,Groups!M:M)=1,EXP(0.7444*LN('Base stats'!C101)+6.5696),EXP(0.7927*LN('Base stats'!C101)+4.28))</f>
        <v>291.01145901650079</v>
      </c>
      <c r="AQ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"No")))))))))))))))</f>
        <v>No</v>
      </c>
      <c r="AR101" s="8" t="str">
        <f>IF(_xlfn.XLOOKUP(E101,Groups!A:A,Groups!U:U)=3,AP101,IF(_xlfn.XLOOKUP(E101,Groups!A:A,Groups!U:U)=2,AO101,AQ101))</f>
        <v>No</v>
      </c>
      <c r="AS101" s="46">
        <f>IFERROR(AVERAGE(_xlfn.XLOOKUP(B101,Animals!B:B,Animals!M:M),_xlfn.XLOOKUP(B101,Animals!B:B,Animals!N:N)),0)</f>
        <v>0.05</v>
      </c>
      <c r="AT101" s="8">
        <f>MROUND(40*Animals!AN101*_xlfn.XLOOKUP(Animals!AZ101,Leathers!$A$2:$A$100,Leathers!$B$2:$B$100,0)+(140*_xlfn.XLOOKUP(B101,Animals!B:B,Animals!AN:AN)*2),5)</f>
        <v>30</v>
      </c>
      <c r="AU101" s="8">
        <f>IFERROR(ROUND(SQRT(V101-1)*IF(_xlfn.XLOOKUP(E101,Groups!A:A,Groups!BE:BE)=0,2,1)*IF(_xlfn.XLOOKUP('Base stats'!E101,Groups!A:A,Groups!O:O)=0,1,0.1),1),0)</f>
        <v>0</v>
      </c>
      <c r="AV101" s="8">
        <f t="shared" si="38"/>
        <v>0.7</v>
      </c>
      <c r="AW101" s="8">
        <f t="shared" si="39"/>
        <v>0</v>
      </c>
      <c r="AX101" s="8">
        <f t="shared" si="40"/>
        <v>0.4</v>
      </c>
      <c r="AY101" s="8">
        <f>IF(_xlfn.XLOOKUP(E101,Groups!A:A,Groups!N:N)="Insect",BA101*2.5,IFERROR(AVERAGE(BA101,AQ101/9.81/IF(OR(_xlfn.XLOOKUP(E101,Groups!A:A,Groups!N:N)="Pig",_xlfn.XLOOKUP(E101,Groups!A:A,Groups!N:N)="StrongBitingHerbivore"),20,25))*C101^-0.135,BA101))</f>
        <v>1.581377273367229E-2</v>
      </c>
      <c r="AZ101" s="8" t="str">
        <f>IF(W101="No","No",IF(_xlfn.XLOOKUP(E101,Groups!A:A,Groups!U:U)=1,'Base stats'!AY101,IF(OR(_xlfn.XLOOKUP(E101,Groups!A:A,Groups!BC:BC)=1,_xlfn.XLOOKUP(E101,Groups!A:A,Groups!U:U)=2),BA101,IF(_xlfn.XLOOKUP(B101,Animals!B:B,Animals!AN:AN)&gt;4,AVERAGE(BA101,BC101),BC101))))</f>
        <v>No</v>
      </c>
      <c r="BA101" s="8">
        <f>(0.0392*C101^IF(OR(Y101="Herbivore",Y101="Dendrovore",Y101="OmnivoreRough"),0.889,0.966))*C101^-0.135</f>
        <v>1.581377273367229E-2</v>
      </c>
      <c r="BB101" s="8">
        <f>IF(_xlfn.XLOOKUP(E101,Groups!A:A,Groups!BD:BD)=1,(0.048*C101^1.01)+(0.071*C101^1.03),0.071*C101^1.03)/IF(_xlfn.XLOOKUP(E101,Groups!A:A,Groups!M:M)=1,0.85,IF(OR(_xlfn.XLOOKUP(B101,Animals!B:B,Animals!AN:AN)&gt;4,_xlfn.XLOOKUP(E101,Groups!A:A,Groups!BB:BB)=1),1.7,1))*C101^-0.25</f>
        <v>3.2658332149379764E-2</v>
      </c>
      <c r="BC101" s="8">
        <f>(0.048*C101^1.01)/IF(_xlfn.XLOOKUP(E101,Groups!A:A,Groups!M:M)=1,0.25,0.8)*C101^-0.25</f>
        <v>7.6897705663396307E-2</v>
      </c>
      <c r="BD101" s="8">
        <f>EXP(1.076*LN(AO101)-4.5397)*IF(_xlfn.XLOOKUP(E101,Groups!A:A,Groups!BB:BB)=1,1.25,IF(_xlfn.XLOOKUP(E101,Groups!A:A,Groups!BC:BC)=1,3.5,2.5))</f>
        <v>0.32918085782853995</v>
      </c>
      <c r="BE101" s="8">
        <f>EXP(1.076*LN(AP101)-4.5397)*IF(_xlfn.XLOOKUP(E101,Groups!A:A,Groups!M:M)=1,0.8,IF(_xlfn.XLOOKUP(E101,Groups!A:A,Groups!BB:BB)=1,1.3,3))</f>
        <v>3.8255209501584542</v>
      </c>
      <c r="BF101" s="8" t="str">
        <f>IF(W101="No","No",IF(_xlfn.XLOOKUP(E101,Groups!A:A,Groups!U:U)=1,'Base stats'!BG101,IF(OR(_xlfn.XLOOKUP(E101,Groups!A:A,Groups!BC:BC)=1,_xlfn.XLOOKUP(E101,Groups!A:A,Groups!U:U)=2),BD101,BE101))*1.2)</f>
        <v>No</v>
      </c>
      <c r="BG101" s="8" t="str">
        <f>IFERROR(EXP(1.076*LN(AQ101)-4.5397)*IF(_xlfn.XLOOKUP(E101,Groups!A:A,Groups!N:N)="Insect",1,IF(OR(_xlfn.XLOOKUP(E101,Groups!A:A,Groups!N:N)="Pig",_xlfn.XLOOKUP(E101,Groups!A:A,Groups!N:N)="StrongBitingHerbivore"),3.5,3.75)),"No")</f>
        <v>No</v>
      </c>
      <c r="BH101" s="8">
        <f t="shared" si="29"/>
        <v>6</v>
      </c>
      <c r="BI101" s="8">
        <f t="shared" si="30"/>
        <v>15</v>
      </c>
      <c r="BJ101" s="8" t="str">
        <f>IF(W101="No","No",ROUNDDOWN(SQRT((2*BF101)/AZ101),0))</f>
        <v>No</v>
      </c>
      <c r="BK101" s="8" t="str">
        <f>IF(V101="No","No",ROUNDDOWN(SQRT((2*BG101)/AY101),0))</f>
        <v>No</v>
      </c>
      <c r="BL101" s="8">
        <f t="shared" si="31"/>
        <v>9</v>
      </c>
      <c r="BM101" s="8" cm="1">
        <f t="array" ref="BM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stats'!E101,Groups!A:A,Groups!P:P=0)),"No",IF(U101="No",AVERAGE(EXP(-0.57+0.99*LN(C101)),EXP(0.32+0.67*LN(C101)))/IF(_xlfn.XLOOKUP(E101,Groups!A:A,Groups!AD:AD)=1,10,2),(0.7354*C101^0.4078)*2/IF(_xlfn.XLOOKUP(E101,Groups!A:A,Groups!BJ:BJ)=1,1000,100)))</f>
        <v>9.0016820456507111E-3</v>
      </c>
      <c r="BN101" s="8" t="str">
        <f>IF(W101="No","No",IF(_xlfn.XLOOKUP(E101,Groups!A:A,Groups!BC:BC)=1,(AL101*5%),EXP(0.7354*LN(C101)^0.4078)*2/IF(_xlfn.XLOOKUP(E101,Groups!A:A,Groups!BK:BK)=1,1000,100)))</f>
        <v>No</v>
      </c>
      <c r="BO101" s="8" t="str">
        <f>IF(BG101="No","No",IF(_xlfn.XLOOKUP(E101,Groups!A:A,Groups!BE:BE)=1,(0.0315*C101+2.1825)*2,(0.7354*C101^0.4078)*2)/IF(_xlfn.XLOOKUP(E101,Groups!A:A,Groups!BL:BL)=1,1000,100))</f>
        <v>No</v>
      </c>
      <c r="BP101" s="8">
        <f>BD101/(AL101*5%)</f>
        <v>1.2972174256417094E-2</v>
      </c>
      <c r="BQ101" s="8">
        <f t="shared" si="32"/>
        <v>424.97845744360723</v>
      </c>
      <c r="BR101" s="8" t="str">
        <f>IF(W101="No","No",BF101/BN101)</f>
        <v>No</v>
      </c>
      <c r="BS101" s="8" t="str">
        <f t="shared" si="33"/>
        <v>No</v>
      </c>
      <c r="BT101" s="4">
        <v>0</v>
      </c>
      <c r="BU101" s="4">
        <v>1</v>
      </c>
    </row>
    <row r="102" spans="1:73" x14ac:dyDescent="0.25">
      <c r="A102" s="26" t="s">
        <v>294</v>
      </c>
      <c r="B102" s="6" t="s">
        <v>295</v>
      </c>
      <c r="C102" s="7">
        <v>0.3</v>
      </c>
      <c r="E102" s="7" t="s">
        <v>430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599</v>
      </c>
      <c r="L102" s="7">
        <v>3</v>
      </c>
      <c r="M102" s="7" t="s">
        <v>538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_xlfn.XLOOKUP(B102,[1]TeethAdjusters!$A:$A,[1]BiteAdjusters!$C:$C)</f>
        <v>1</v>
      </c>
      <c r="T102" s="7">
        <f>_xlfn.XLOOKUP(B102,[1]TeethAdjusters!$A:$A,[1]TeethAdjusters!$B:$B)</f>
        <v>1</v>
      </c>
      <c r="U102" s="7">
        <v>1.5</v>
      </c>
      <c r="V102" s="7" t="str">
        <f>IF(AQ102="No","No",IF(_xlfn.XLOOKUP(E102,Groups!A:A,Groups!AM:AM)=1,MROUND(EXP(0.3582*LN(C102)-0.2221)*T102,0.05),IF(_xlfn.XLOOKUP(E102,Groups!A:A,Groups!AM:AM)=2,MROUND(EXP(0.3582*LN(C102)-0.2221)*T102,0.05),"Need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945</v>
      </c>
      <c r="Y102" s="4" t="s">
        <v>1023</v>
      </c>
      <c r="Z102" s="4">
        <v>0</v>
      </c>
      <c r="AA102" s="4">
        <v>0</v>
      </c>
      <c r="AB102" s="4">
        <v>0</v>
      </c>
      <c r="AC102" s="4" t="s">
        <v>45</v>
      </c>
      <c r="AD102" s="4" t="s">
        <v>45</v>
      </c>
      <c r="AE102" s="28" t="s">
        <v>45</v>
      </c>
      <c r="AF102" s="4">
        <v>0</v>
      </c>
      <c r="AG102" s="4">
        <v>1</v>
      </c>
      <c r="AH102" s="4">
        <v>0</v>
      </c>
      <c r="AI102" s="4">
        <v>0</v>
      </c>
      <c r="AJ102" s="4">
        <v>0</v>
      </c>
      <c r="AK102" s="44" t="s">
        <v>40</v>
      </c>
      <c r="AL102" s="8">
        <f t="shared" si="36"/>
        <v>507.51840257727082</v>
      </c>
      <c r="AM102" s="8">
        <f>IFERROR(C102*_xlfn.XLOOKUP(E102,Groups!A:A,Groups!K:K),0.106*C102^0.94)</f>
        <v>9.6000000000000002E-2</v>
      </c>
      <c r="AN102" s="8">
        <f>AM102*10000/(_xlfn.XLOOKUP(E102,Groups!A:A,Groups!J:J)*AL102)</f>
        <v>0.9955563292462275</v>
      </c>
      <c r="AO102" s="8">
        <f t="shared" si="37"/>
        <v>19.668220728047135</v>
      </c>
      <c r="AP102" s="8">
        <f>IF(_xlfn.XLOOKUP(E102,Groups!A:A,Groups!M:M)=1,EXP(0.7444*LN('Base stats'!C102)+6.5696),EXP(0.7927*LN('Base stats'!C102)+4.28))</f>
        <v>291.01145901650079</v>
      </c>
      <c r="AQ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"No")))))))))))))))</f>
        <v>No</v>
      </c>
      <c r="AR102" s="8" t="str">
        <f>IF(_xlfn.XLOOKUP(E102,Groups!A:A,Groups!U:U)=3,AP102,IF(_xlfn.XLOOKUP(E102,Groups!A:A,Groups!U:U)=2,AO102,AQ102))</f>
        <v>No</v>
      </c>
      <c r="AS102" s="46">
        <f>IFERROR(AVERAGE(_xlfn.XLOOKUP(B102,Animals!B:B,Animals!M:M),_xlfn.XLOOKUP(B102,Animals!B:B,Animals!N:N)),0)</f>
        <v>0.05</v>
      </c>
      <c r="AT102" s="8">
        <f>MROUND(40*Animals!AN102*_xlfn.XLOOKUP(Animals!AZ102,Leathers!$A$2:$A$100,Leathers!$B$2:$B$100,0)+(140*_xlfn.XLOOKUP(B102,Animals!B:B,Animals!AN:AN)*2),5)</f>
        <v>30</v>
      </c>
      <c r="AU102" s="8">
        <f>IFERROR(ROUND(SQRT(V102-1)*IF(_xlfn.XLOOKUP(E102,Groups!A:A,Groups!BE:BE)=0,2,1)*IF(_xlfn.XLOOKUP('Base stats'!E102,Groups!A:A,Groups!O:O)=0,1,0.1),1),0)</f>
        <v>0</v>
      </c>
      <c r="AV102" s="8">
        <f t="shared" si="38"/>
        <v>0.7</v>
      </c>
      <c r="AW102" s="8">
        <f t="shared" si="39"/>
        <v>0</v>
      </c>
      <c r="AX102" s="8">
        <f t="shared" si="40"/>
        <v>0.4</v>
      </c>
      <c r="AY102" s="8">
        <f>IF(_xlfn.XLOOKUP(E102,Groups!A:A,Groups!N:N)="Insect",BA102*2.5,IFERROR(AVERAGE(BA102,AQ102/9.81/IF(OR(_xlfn.XLOOKUP(E102,Groups!A:A,Groups!N:N)="Pig",_xlfn.XLOOKUP(E102,Groups!A:A,Groups!N:N)="StrongBitingHerbivore"),20,25))*C102^-0.135,BA102))</f>
        <v>1.581377273367229E-2</v>
      </c>
      <c r="AZ102" s="8" t="str">
        <f>IF(W102="No","No",IF(_xlfn.XLOOKUP(E102,Groups!A:A,Groups!U:U)=1,'Base stats'!AY102,IF(OR(_xlfn.XLOOKUP(E102,Groups!A:A,Groups!BC:BC)=1,_xlfn.XLOOKUP(E102,Groups!A:A,Groups!U:U)=2),BA102,IF(_xlfn.XLOOKUP(B102,Animals!B:B,Animals!AN:AN)&gt;4,AVERAGE(BA102,BC102),BC102))))</f>
        <v>No</v>
      </c>
      <c r="BA102" s="8">
        <f>(0.0392*C102^IF(OR(Y102="Herbivore",Y102="Dendrovore",Y102="OmnivoreRough"),0.889,0.966))*C102^-0.135</f>
        <v>1.581377273367229E-2</v>
      </c>
      <c r="BB102" s="8">
        <f>IF(_xlfn.XLOOKUP(E102,Groups!A:A,Groups!BD:BD)=1,(0.048*C102^1.01)+(0.071*C102^1.03),0.071*C102^1.03)/IF(_xlfn.XLOOKUP(E102,Groups!A:A,Groups!M:M)=1,0.85,IF(OR(_xlfn.XLOOKUP(B102,Animals!B:B,Animals!AN:AN)&gt;4,_xlfn.XLOOKUP(E102,Groups!A:A,Groups!BB:BB)=1),1.7,1))*C102^-0.25</f>
        <v>3.2658332149379764E-2</v>
      </c>
      <c r="BC102" s="8">
        <f>(0.048*C102^1.01)/IF(_xlfn.XLOOKUP(E102,Groups!A:A,Groups!M:M)=1,0.25,0.8)*C102^-0.25</f>
        <v>7.6897705663396307E-2</v>
      </c>
      <c r="BD102" s="8">
        <f>EXP(1.076*LN(AO102)-4.5397)*IF(_xlfn.XLOOKUP(E102,Groups!A:A,Groups!BB:BB)=1,1.25,IF(_xlfn.XLOOKUP(E102,Groups!A:A,Groups!BC:BC)=1,3.5,2.5))</f>
        <v>0.32918085782853995</v>
      </c>
      <c r="BE102" s="8">
        <f>EXP(1.076*LN(AP102)-4.5397)*IF(_xlfn.XLOOKUP(E102,Groups!A:A,Groups!M:M)=1,0.8,IF(_xlfn.XLOOKUP(E102,Groups!A:A,Groups!BB:BB)=1,1.3,3))</f>
        <v>3.8255209501584542</v>
      </c>
      <c r="BF102" s="8" t="str">
        <f>IF(W102="No","No",IF(_xlfn.XLOOKUP(E102,Groups!A:A,Groups!U:U)=1,'Base stats'!BG102,IF(OR(_xlfn.XLOOKUP(E102,Groups!A:A,Groups!BC:BC)=1,_xlfn.XLOOKUP(E102,Groups!A:A,Groups!U:U)=2),BD102,BE102))*1.2)</f>
        <v>No</v>
      </c>
      <c r="BG102" s="8" t="str">
        <f>IFERROR(EXP(1.076*LN(AQ102)-4.5397)*IF(_xlfn.XLOOKUP(E102,Groups!A:A,Groups!N:N)="Insect",1,IF(OR(_xlfn.XLOOKUP(E102,Groups!A:A,Groups!N:N)="Pig",_xlfn.XLOOKUP(E102,Groups!A:A,Groups!N:N)="StrongBitingHerbivore"),3.5,3.75)),"No")</f>
        <v>No</v>
      </c>
      <c r="BH102" s="8">
        <f t="shared" si="29"/>
        <v>6</v>
      </c>
      <c r="BI102" s="8">
        <f t="shared" si="30"/>
        <v>15</v>
      </c>
      <c r="BJ102" s="8" t="str">
        <f>IF(W102="No","No",ROUNDDOWN(SQRT((2*BF102)/AZ102),0))</f>
        <v>No</v>
      </c>
      <c r="BK102" s="8" t="str">
        <f>IF(V102="No","No",ROUNDDOWN(SQRT((2*BG102)/AY102),0))</f>
        <v>No</v>
      </c>
      <c r="BL102" s="8">
        <f t="shared" si="31"/>
        <v>9</v>
      </c>
      <c r="BM102" s="8" cm="1">
        <f t="array" ref="BM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stats'!E102,Groups!A:A,Groups!P:P=0)),"No",IF(U102="No",AVERAGE(EXP(-0.57+0.99*LN(C102)),EXP(0.32+0.67*LN(C102)))/IF(_xlfn.XLOOKUP(E102,Groups!A:A,Groups!AD:AD)=1,10,2),(0.7354*C102^0.4078)*2/IF(_xlfn.XLOOKUP(E102,Groups!A:A,Groups!BJ:BJ)=1,1000,100)))</f>
        <v>9.0016820456507111E-3</v>
      </c>
      <c r="BN102" s="8" t="str">
        <f>IF(W102="No","No",IF(_xlfn.XLOOKUP(E102,Groups!A:A,Groups!BC:BC)=1,(AL102*5%),EXP(0.7354*LN(C102)^0.4078)*2/IF(_xlfn.XLOOKUP(E102,Groups!A:A,Groups!BK:BK)=1,1000,100)))</f>
        <v>No</v>
      </c>
      <c r="BO102" s="8" t="str">
        <f>IF(BG102="No","No",IF(_xlfn.XLOOKUP(E102,Groups!A:A,Groups!BE:BE)=1,(0.0315*C102+2.1825)*2,(0.7354*C102^0.4078)*2)/IF(_xlfn.XLOOKUP(E102,Groups!A:A,Groups!BL:BL)=1,1000,100))</f>
        <v>No</v>
      </c>
      <c r="BP102" s="8">
        <f>BD102/(AL102*5%)</f>
        <v>1.2972174256417094E-2</v>
      </c>
      <c r="BQ102" s="8">
        <f t="shared" si="32"/>
        <v>424.97845744360723</v>
      </c>
      <c r="BR102" s="8" t="str">
        <f>IF(W102="No","No",BF102/BN102)</f>
        <v>No</v>
      </c>
      <c r="BS102" s="8" t="str">
        <f t="shared" si="33"/>
        <v>No</v>
      </c>
      <c r="BT102" s="4">
        <v>0</v>
      </c>
      <c r="BU102" s="4">
        <v>1</v>
      </c>
    </row>
    <row r="103" spans="1:73" x14ac:dyDescent="0.25">
      <c r="A103" s="26" t="s">
        <v>247</v>
      </c>
      <c r="B103" s="6" t="s">
        <v>432</v>
      </c>
      <c r="C103" s="7">
        <v>25</v>
      </c>
      <c r="E103" s="7" t="str">
        <f>Groups!A2</f>
        <v>Beetle</v>
      </c>
      <c r="F103" s="7" t="str">
        <f t="shared" ref="F103:F108" si="4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42">"Lay eggs"</f>
        <v>Lay eggs</v>
      </c>
      <c r="K103" s="7" t="s">
        <v>538</v>
      </c>
      <c r="L103" s="7">
        <v>25</v>
      </c>
      <c r="M103" s="7" t="s">
        <v>538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_xlfn.XLOOKUP(B103,[1]TeethAdjusters!$A:$A,[1]BiteAdjusters!$C:$C)</f>
        <v>1</v>
      </c>
      <c r="T103" s="7">
        <f>_xlfn.XLOOKUP(B103,[1]TeethAdjusters!$A:$A,[1]TeethAdjusters!$B:$B)</f>
        <v>1</v>
      </c>
      <c r="U103" s="7" t="s">
        <v>45</v>
      </c>
      <c r="V103" s="7">
        <v>8</v>
      </c>
      <c r="W103" s="7" t="s">
        <v>45</v>
      </c>
      <c r="X103" s="7" t="s">
        <v>945</v>
      </c>
      <c r="Y103" s="4" t="s">
        <v>53</v>
      </c>
      <c r="Z103" s="4">
        <v>0</v>
      </c>
      <c r="AA103" s="4">
        <v>0</v>
      </c>
      <c r="AB103" s="4">
        <v>0</v>
      </c>
      <c r="AC103" s="4" t="s">
        <v>1085</v>
      </c>
      <c r="AD103" s="4" t="s">
        <v>45</v>
      </c>
      <c r="AE103" s="28" t="s">
        <v>45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4" t="s">
        <v>40</v>
      </c>
      <c r="AL103" s="8">
        <f t="shared" si="36"/>
        <v>8994.6441116448314</v>
      </c>
      <c r="AM103" s="8">
        <f>IFERROR(C103*_xlfn.XLOOKUP(E103,Groups!A:A,Groups!K:K),0.106*C103^0.94)</f>
        <v>8</v>
      </c>
      <c r="AN103" s="8">
        <f>AM103*10000/(_xlfn.XLOOKUP(E103,Groups!A:A,Groups!J:J)*AL103)</f>
        <v>7.4118181708109265</v>
      </c>
      <c r="AO103" s="8">
        <f t="shared" si="37"/>
        <v>824.67090957260996</v>
      </c>
      <c r="AP103" s="8">
        <f>IF(_xlfn.XLOOKUP(E103,Groups!A:A,Groups!M:M)=1,EXP(0.7444*LN('Base stats'!C103)+6.5696),EXP(0.7927*LN('Base stats'!C103)+4.28))</f>
        <v>7830.104727318685</v>
      </c>
      <c r="AQ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"No")))))))))))))))</f>
        <v>7830.104727318685</v>
      </c>
      <c r="AR103" s="8">
        <f>IF(_xlfn.XLOOKUP(E103,Groups!A:A,Groups!U:U)=3,AP103,IF(_xlfn.XLOOKUP(E103,Groups!A:A,Groups!U:U)=2,AO103,AQ103))</f>
        <v>7830.104727318685</v>
      </c>
      <c r="AS103" s="46">
        <f>IFERROR(AVERAGE(_xlfn.XLOOKUP(B103,Animals!B:B,Animals!M:M),_xlfn.XLOOKUP(B103,Animals!B:B,Animals!N:N)),0)</f>
        <v>0.22500000000000001</v>
      </c>
      <c r="AT103" s="8">
        <f>MROUND(40*Animals!AN103*_xlfn.XLOOKUP(Animals!AZ103,Leathers!$A$2:$A$100,Leathers!$B$2:$B$100,0)+(140*_xlfn.XLOOKUP(B103,Animals!B:B,Animals!AN:AN)*2),5)</f>
        <v>180</v>
      </c>
      <c r="AU103" s="8">
        <f>IFERROR(ROUND(SQRT(V103-1)*IF(_xlfn.XLOOKUP(E103,Groups!A:A,Groups!BE:BE)=0,2,1)*IF(_xlfn.XLOOKUP('Base stats'!E103,Groups!A:A,Groups!O:O)=0,1,0.1),1),0)</f>
        <v>5.3</v>
      </c>
      <c r="AV103" s="8">
        <f t="shared" si="38"/>
        <v>0</v>
      </c>
      <c r="AW103" s="8">
        <f t="shared" si="39"/>
        <v>0</v>
      </c>
      <c r="AX103" s="8">
        <f t="shared" si="40"/>
        <v>2.5</v>
      </c>
      <c r="AY103" s="8">
        <f>IF(_xlfn.XLOOKUP(E103,Groups!A:A,Groups!N:N)="Insect",BA103*2.5,IFERROR(AVERAGE(BA103,AQ103/9.81/IF(OR(_xlfn.XLOOKUP(E103,Groups!A:A,Groups!N:N)="Pig",_xlfn.XLOOKUP(E103,Groups!A:A,Groups!N:N)="StrongBitingHerbivore"),20,25))*C103^-0.135,BA103))</f>
        <v>1.4220478920214752</v>
      </c>
      <c r="AZ103" s="8" t="str">
        <f>IF(W103="No","No",IF(_xlfn.XLOOKUP(E103,Groups!A:A,Groups!U:U)=1,'Base stats'!AY103,IF(OR(_xlfn.XLOOKUP(E103,Groups!A:A,Groups!BC:BC)=1,_xlfn.XLOOKUP(E103,Groups!A:A,Groups!U:U)=2),BA103,IF(_xlfn.XLOOKUP(B103,Animals!B:B,Animals!AN:AN)&gt;4,AVERAGE(BA103,BC103),BC103))))</f>
        <v>No</v>
      </c>
      <c r="BA103" s="8">
        <f>(0.0392*C103^IF(OR(Y103="Herbivore",Y103="Dendrovore",Y103="OmnivoreRough"),0.889,0.966))*C103^-0.135</f>
        <v>0.56881915680859008</v>
      </c>
      <c r="BB103" s="8">
        <f>IF(_xlfn.XLOOKUP(E103,Groups!A:A,Groups!BD:BD)=1,(0.048*C103^1.01)+(0.071*C103^1.03),0.071*C103^1.03)/IF(_xlfn.XLOOKUP(E103,Groups!A:A,Groups!M:M)=1,0.85,IF(OR(_xlfn.XLOOKUP(B103,Animals!B:B,Animals!AN:AN)&gt;4,_xlfn.XLOOKUP(E103,Groups!A:A,Groups!BB:BB)=1),1.7,1))*C103^-0.25</f>
        <v>1.0285671023961926</v>
      </c>
      <c r="BC103" s="8">
        <f>(0.048*C103^1.01)/IF(_xlfn.XLOOKUP(E103,Groups!A:A,Groups!M:M)=1,0.25,0.8)*C103^-0.25</f>
        <v>2.216846565212883</v>
      </c>
      <c r="BD103" s="8">
        <f>EXP(1.076*LN(AO103)-4.5397)*IF(_xlfn.XLOOKUP(E103,Groups!A:A,Groups!BB:BB)=1,1.25,IF(_xlfn.XLOOKUP(E103,Groups!A:A,Groups!BC:BC)=1,3.5,2.5))</f>
        <v>18.334174469833012</v>
      </c>
      <c r="BE103" s="8">
        <f>EXP(1.076*LN(AP103)-4.5397)*IF(_xlfn.XLOOKUP(E103,Groups!A:A,Groups!M:M)=1,0.8,IF(_xlfn.XLOOKUP(E103,Groups!A:A,Groups!BB:BB)=1,1.3,3))</f>
        <v>132.1956710188129</v>
      </c>
      <c r="BF103" s="8" t="str">
        <f>IF(W103="No","No",IF(_xlfn.XLOOKUP(E103,Groups!A:A,Groups!U:U)=1,'Base stats'!BG103,IF(OR(_xlfn.XLOOKUP(E103,Groups!A:A,Groups!BC:BC)=1,_xlfn.XLOOKUP(E103,Groups!A:A,Groups!U:U)=2),BD103,BE103))*1.2)</f>
        <v>No</v>
      </c>
      <c r="BG103" s="8">
        <f>IFERROR(EXP(1.076*LN(AQ103)-4.5397)*IF(_xlfn.XLOOKUP(E103,Groups!A:A,Groups!N:N)="Insect",1,IF(OR(_xlfn.XLOOKUP(E103,Groups!A:A,Groups!N:N)="Pig",_xlfn.XLOOKUP(E103,Groups!A:A,Groups!N:N)="StrongBitingHerbivore"),3.5,3.75)),"No")</f>
        <v>165.24458877351611</v>
      </c>
      <c r="BH103" s="8">
        <f t="shared" si="29"/>
        <v>8</v>
      </c>
      <c r="BI103" s="8">
        <f t="shared" si="30"/>
        <v>16</v>
      </c>
      <c r="BJ103" s="8" t="str">
        <f>IF(W103="No","No",ROUNDDOWN(SQRT((2*BF103)/AZ103),0))</f>
        <v>No</v>
      </c>
      <c r="BK103" s="8">
        <f>IF(V103="No","No",ROUNDDOWN(SQRT((2*BG103)/AY103),0))</f>
        <v>15</v>
      </c>
      <c r="BL103" s="8">
        <f t="shared" si="31"/>
        <v>10</v>
      </c>
      <c r="BM103" s="8" t="str" cm="1">
        <f t="array" ref="BM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stats'!E103,Groups!A:A,Groups!P:P=0)),"No",IF(U103="No",AVERAGE(EXP(-0.57+0.99*LN(C103)),EXP(0.32+0.67*LN(C103)))/IF(_xlfn.XLOOKUP(E103,Groups!A:A,Groups!AD:AD)=1,10,2),(0.7354*C103^0.4078)*2/IF(_xlfn.XLOOKUP(E103,Groups!A:A,Groups!BJ:BJ)=1,1000,100)))</f>
        <v>No</v>
      </c>
      <c r="BN103" s="8" t="str">
        <f>IF(W103="No","No",IF(_xlfn.XLOOKUP(E103,Groups!A:A,Groups!BC:BC)=1,(AL103*5%),EXP(0.7354*LN(C103)^0.4078)*2/IF(_xlfn.XLOOKUP(E103,Groups!A:A,Groups!BK:BK)=1,1000,100)))</f>
        <v>No</v>
      </c>
      <c r="BO103" s="8">
        <f>IF(BG103="No","No",IF(_xlfn.XLOOKUP(E103,Groups!A:A,Groups!BE:BE)=1,(0.0315*C103+2.1825)*2,(0.7354*C103^0.4078)*2)/IF(_xlfn.XLOOKUP(E103,Groups!A:A,Groups!BL:BL)=1,1000,100))</f>
        <v>5.4655460365074494E-2</v>
      </c>
      <c r="BP103" s="8">
        <f>BD103/(AL103*5%)</f>
        <v>4.0766870244697828E-2</v>
      </c>
      <c r="BQ103" s="8" t="str">
        <f t="shared" si="32"/>
        <v>No</v>
      </c>
      <c r="BR103" s="8" t="str">
        <f>IF(W103="No","No",BF103/BN103)</f>
        <v>No</v>
      </c>
      <c r="BS103" s="8">
        <f t="shared" si="33"/>
        <v>3023.3866418790503</v>
      </c>
      <c r="BT103" s="4">
        <v>0</v>
      </c>
      <c r="BU103" s="4">
        <v>1</v>
      </c>
    </row>
    <row r="104" spans="1:73" x14ac:dyDescent="0.25">
      <c r="A104" s="26" t="s">
        <v>249</v>
      </c>
      <c r="B104" s="6" t="s">
        <v>433</v>
      </c>
      <c r="C104" s="7">
        <v>150</v>
      </c>
      <c r="E104" s="7" t="str">
        <f>Groups!A13</f>
        <v>ClawedBeetle</v>
      </c>
      <c r="F104" s="7" t="str">
        <f t="shared" si="41"/>
        <v>Lay eggs</v>
      </c>
      <c r="G104" s="7">
        <v>1.5</v>
      </c>
      <c r="H104" s="7">
        <v>15</v>
      </c>
      <c r="I104" s="4">
        <v>0</v>
      </c>
      <c r="J104" s="7" t="str">
        <f t="shared" si="42"/>
        <v>Lay eggs</v>
      </c>
      <c r="K104" s="7" t="s">
        <v>538</v>
      </c>
      <c r="L104" s="7">
        <v>27</v>
      </c>
      <c r="M104" s="7" t="s">
        <v>538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_xlfn.XLOOKUP(B104,[1]TeethAdjusters!$A:$A,[1]BiteAdjusters!$C:$C)</f>
        <v>1</v>
      </c>
      <c r="T104" s="7">
        <f>_xlfn.XLOOKUP(B104,[1]TeethAdjusters!$A:$A,[1]TeethAdjusters!$B:$B)</f>
        <v>1</v>
      </c>
      <c r="U104" s="7">
        <v>6</v>
      </c>
      <c r="V104" s="7">
        <v>14</v>
      </c>
      <c r="W104" s="7" t="s">
        <v>45</v>
      </c>
      <c r="X104" s="7" t="s">
        <v>945</v>
      </c>
      <c r="Y104" s="4" t="s">
        <v>53</v>
      </c>
      <c r="Z104" s="4">
        <v>0</v>
      </c>
      <c r="AA104" s="4">
        <v>0</v>
      </c>
      <c r="AB104" s="4">
        <v>0</v>
      </c>
      <c r="AC104" s="4" t="s">
        <v>1083</v>
      </c>
      <c r="AD104" s="4" t="s">
        <v>45</v>
      </c>
      <c r="AE104" s="28" t="s">
        <v>45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4" t="s">
        <v>40</v>
      </c>
      <c r="AL104" s="8">
        <f t="shared" si="36"/>
        <v>28825.861601687579</v>
      </c>
      <c r="AM104" s="8">
        <f>IFERROR(C104*_xlfn.XLOOKUP(E104,Groups!A:A,Groups!K:K),0.106*C104^0.94)</f>
        <v>48</v>
      </c>
      <c r="AN104" s="8">
        <f>AM104*10000/(_xlfn.XLOOKUP(E104,Groups!A:A,Groups!J:J)*AL104)</f>
        <v>13.876428240971729</v>
      </c>
      <c r="AO104" s="8">
        <f t="shared" si="37"/>
        <v>3746.1489061563307</v>
      </c>
      <c r="AP104" s="8">
        <f>IF(_xlfn.XLOOKUP(E104,Groups!A:A,Groups!M:M)=1,EXP(0.7444*LN('Base stats'!C104)+6.5696),EXP(0.7927*LN('Base stats'!C104)+4.28))</f>
        <v>29718.25887786362</v>
      </c>
      <c r="AQ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"No")))))))))))))))</f>
        <v>29718.25887786362</v>
      </c>
      <c r="AR104" s="8">
        <f>IF(_xlfn.XLOOKUP(E104,Groups!A:A,Groups!U:U)=3,AP104,IF(_xlfn.XLOOKUP(E104,Groups!A:A,Groups!U:U)=2,AO104,AQ104))</f>
        <v>29718.25887786362</v>
      </c>
      <c r="AS104" s="46">
        <f>IFERROR(AVERAGE(_xlfn.XLOOKUP(B104,Animals!B:B,Animals!M:M),_xlfn.XLOOKUP(B104,Animals!B:B,Animals!N:N)),0)</f>
        <v>0.4</v>
      </c>
      <c r="AT104" s="8">
        <f>MROUND(40*Animals!AN104*_xlfn.XLOOKUP(Animals!AZ104,Leathers!$A$2:$A$100,Leathers!$B$2:$B$100,0)+(140*_xlfn.XLOOKUP(B104,Animals!B:B,Animals!AN:AN)*2),5)</f>
        <v>420</v>
      </c>
      <c r="AU104" s="8">
        <f>IFERROR(ROUND(SQRT(V104-1)*IF(_xlfn.XLOOKUP(E104,Groups!A:A,Groups!BE:BE)=0,2,1)*IF(_xlfn.XLOOKUP('Base stats'!E104,Groups!A:A,Groups!O:O)=0,1,0.1),1),0)</f>
        <v>7.2</v>
      </c>
      <c r="AV104" s="8">
        <f t="shared" si="38"/>
        <v>2.2000000000000002</v>
      </c>
      <c r="AW104" s="8">
        <f t="shared" si="39"/>
        <v>0</v>
      </c>
      <c r="AX104" s="8">
        <f t="shared" si="40"/>
        <v>4.8</v>
      </c>
      <c r="AY104" s="8">
        <f>IF(_xlfn.XLOOKUP(E104,Groups!A:A,Groups!N:N)="Insect",BA104*2.5,IFERROR(AVERAGE(BA104,AQ104/9.81/IF(OR(_xlfn.XLOOKUP(E104,Groups!A:A,Groups!N:N)="Pig",_xlfn.XLOOKUP(E104,Groups!A:A,Groups!N:N)="StrongBitingHerbivore"),20,25))*C104^-0.135,BA104))</f>
        <v>6.3031539120089342</v>
      </c>
      <c r="AZ104" s="8" t="str">
        <f>IF(W104="No","No",IF(_xlfn.XLOOKUP(E104,Groups!A:A,Groups!U:U)=1,'Base stats'!AY104,IF(OR(_xlfn.XLOOKUP(E104,Groups!A:A,Groups!BC:BC)=1,_xlfn.XLOOKUP(E104,Groups!A:A,Groups!U:U)=2),BA104,IF(_xlfn.XLOOKUP(B104,Animals!B:B,Animals!AN:AN)&gt;4,AVERAGE(BA104,BC104),BC104))))</f>
        <v>No</v>
      </c>
      <c r="BA104" s="8">
        <f>(0.0392*C104^IF(OR(Y104="Herbivore",Y104="Dendrovore",Y104="OmnivoreRough"),0.889,0.966))*C104^-0.135</f>
        <v>2.5212615648035737</v>
      </c>
      <c r="BB104" s="8">
        <f>IF(_xlfn.XLOOKUP(E104,Groups!A:A,Groups!BD:BD)=1,(0.048*C104^1.01)+(0.071*C104^1.03),0.071*C104^1.03)/IF(_xlfn.XLOOKUP(E104,Groups!A:A,Groups!M:M)=1,0.85,IF(OR(_xlfn.XLOOKUP(B104,Animals!B:B,Animals!AN:AN)&gt;4,_xlfn.XLOOKUP(E104,Groups!A:A,Groups!BB:BB)=1),1.7,1))*C104^-0.25</f>
        <v>4.1609318723017914</v>
      </c>
      <c r="BC104" s="8">
        <f>(0.048*C104^1.01)/IF(_xlfn.XLOOKUP(E104,Groups!A:A,Groups!M:M)=1,0.25,0.8)*C104^-0.25</f>
        <v>8.6522804026087012</v>
      </c>
      <c r="BD104" s="8">
        <f>EXP(1.076*LN(AO104)-4.5397)*IF(_xlfn.XLOOKUP(E104,Groups!A:A,Groups!BB:BB)=1,1.25,IF(_xlfn.XLOOKUP(E104,Groups!A:A,Groups!BC:BC)=1,3.5,2.5))</f>
        <v>93.437423078027194</v>
      </c>
      <c r="BE104" s="8">
        <f>EXP(1.076*LN(AP104)-4.5397)*IF(_xlfn.XLOOKUP(E104,Groups!A:A,Groups!M:M)=1,0.8,IF(_xlfn.XLOOKUP(E104,Groups!A:A,Groups!BB:BB)=1,1.3,3))</f>
        <v>555.26009687930457</v>
      </c>
      <c r="BF104" s="8" t="str">
        <f>IF(W104="No","No",IF(_xlfn.XLOOKUP(E104,Groups!A:A,Groups!U:U)=1,'Base stats'!BG104,IF(OR(_xlfn.XLOOKUP(E104,Groups!A:A,Groups!BC:BC)=1,_xlfn.XLOOKUP(E104,Groups!A:A,Groups!U:U)=2),BD104,BE104))*1.2)</f>
        <v>No</v>
      </c>
      <c r="BG104" s="8">
        <f>IFERROR(EXP(1.076*LN(AQ104)-4.5397)*IF(_xlfn.XLOOKUP(E104,Groups!A:A,Groups!N:N)="Insect",1,IF(OR(_xlfn.XLOOKUP(E104,Groups!A:A,Groups!N:N)="Pig",_xlfn.XLOOKUP(E104,Groups!A:A,Groups!N:N)="StrongBitingHerbivore"),3.5,3.75)),"No")</f>
        <v>694.07512109913068</v>
      </c>
      <c r="BH104" s="8">
        <f t="shared" si="29"/>
        <v>8</v>
      </c>
      <c r="BI104" s="8">
        <f t="shared" si="30"/>
        <v>16</v>
      </c>
      <c r="BJ104" s="8" t="str">
        <f>IF(W104="No","No",ROUNDDOWN(SQRT((2*BF104)/AZ104),0))</f>
        <v>No</v>
      </c>
      <c r="BK104" s="8">
        <f>IF(V104="No","No",ROUNDDOWN(SQRT((2*BG104)/AY104),0))</f>
        <v>14</v>
      </c>
      <c r="BL104" s="8">
        <f t="shared" si="31"/>
        <v>11</v>
      </c>
      <c r="BM104" s="8" cm="1">
        <f t="array" ref="BM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stats'!E104,Groups!A:A,Groups!P:P=0)),"No",IF(U104="No",AVERAGE(EXP(-0.57+0.99*LN(C104)),EXP(0.32+0.67*LN(C104)))/IF(_xlfn.XLOOKUP(E104,Groups!A:A,Groups!AD:AD)=1,10,2),(0.7354*C104^0.4078)*2/IF(_xlfn.XLOOKUP(E104,Groups!A:A,Groups!BJ:BJ)=1,1000,100)))</f>
        <v>1.1349157855001941E-2</v>
      </c>
      <c r="BN104" s="8" t="str">
        <f>IF(W104="No","No",IF(_xlfn.XLOOKUP(E104,Groups!A:A,Groups!BC:BC)=1,(AL104*5%),EXP(0.7354*LN(C104)^0.4078)*2/IF(_xlfn.XLOOKUP(E104,Groups!A:A,Groups!BK:BK)=1,1000,100)))</f>
        <v>No</v>
      </c>
      <c r="BO104" s="8">
        <f>IF(BG104="No","No",IF(_xlfn.XLOOKUP(E104,Groups!A:A,Groups!BE:BE)=1,(0.0315*C104+2.1825)*2,(0.7354*C104^0.4078)*2)/IF(_xlfn.XLOOKUP(E104,Groups!A:A,Groups!BL:BL)=1,1000,100))</f>
        <v>0.11349157855001941</v>
      </c>
      <c r="BP104" s="8">
        <f>BD104/(AL104*5%)</f>
        <v>6.4828884818177987E-2</v>
      </c>
      <c r="BQ104" s="8">
        <f t="shared" si="32"/>
        <v>48925.2245825961</v>
      </c>
      <c r="BR104" s="8" t="str">
        <f>IF(W104="No","No",BF104/BN104)</f>
        <v>No</v>
      </c>
      <c r="BS104" s="8">
        <f t="shared" si="33"/>
        <v>6115.6530728245116</v>
      </c>
      <c r="BT104" s="4">
        <v>0</v>
      </c>
      <c r="BU104" s="4">
        <v>1</v>
      </c>
    </row>
    <row r="105" spans="1:73" x14ac:dyDescent="0.25">
      <c r="A105" s="26" t="s">
        <v>248</v>
      </c>
      <c r="B105" s="6" t="s">
        <v>434</v>
      </c>
      <c r="C105" s="7">
        <v>300</v>
      </c>
      <c r="E105" s="7" t="str">
        <f>Groups!A13</f>
        <v>ClawedBeetle</v>
      </c>
      <c r="F105" s="7" t="str">
        <f t="shared" si="41"/>
        <v>Lay eggs</v>
      </c>
      <c r="G105" s="7">
        <v>2</v>
      </c>
      <c r="H105" s="7">
        <v>20</v>
      </c>
      <c r="I105" s="4">
        <v>0</v>
      </c>
      <c r="J105" s="7" t="str">
        <f t="shared" si="42"/>
        <v>Lay eggs</v>
      </c>
      <c r="K105" s="7" t="s">
        <v>538</v>
      </c>
      <c r="L105" s="7">
        <v>20</v>
      </c>
      <c r="M105" s="7" t="s">
        <v>538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_xlfn.XLOOKUP(B105,[1]TeethAdjusters!$A:$A,[1]BiteAdjusters!$C:$C)</f>
        <v>1</v>
      </c>
      <c r="T105" s="7">
        <f>_xlfn.XLOOKUP(B105,[1]TeethAdjusters!$A:$A,[1]TeethAdjusters!$B:$B)</f>
        <v>1</v>
      </c>
      <c r="U105" s="7">
        <v>8</v>
      </c>
      <c r="V105" s="7">
        <v>20</v>
      </c>
      <c r="W105" s="7" t="s">
        <v>45</v>
      </c>
      <c r="X105" s="7" t="s">
        <v>945</v>
      </c>
      <c r="Y105" s="4" t="s">
        <v>53</v>
      </c>
      <c r="Z105" s="4">
        <v>0</v>
      </c>
      <c r="AA105" s="4">
        <v>0</v>
      </c>
      <c r="AB105" s="4">
        <v>0</v>
      </c>
      <c r="AC105" s="4" t="s">
        <v>1084</v>
      </c>
      <c r="AD105" s="4" t="s">
        <v>45</v>
      </c>
      <c r="AE105" s="28" t="s">
        <v>45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4" t="s">
        <v>40</v>
      </c>
      <c r="AL105" s="8">
        <f t="shared" si="36"/>
        <v>45232.625241713278</v>
      </c>
      <c r="AM105" s="8">
        <f>IFERROR(C105*_xlfn.XLOOKUP(E105,Groups!A:A,Groups!K:K),0.106*C105^0.94)</f>
        <v>96</v>
      </c>
      <c r="AN105" s="8">
        <f>AM105*10000/(_xlfn.XLOOKUP(E105,Groups!A:A,Groups!J:J)*AL105)</f>
        <v>17.686349083763645</v>
      </c>
      <c r="AO105" s="8">
        <f t="shared" si="37"/>
        <v>6727.6760861471967</v>
      </c>
      <c r="AP105" s="8">
        <f>IF(_xlfn.XLOOKUP(E105,Groups!A:A,Groups!M:M)=1,EXP(0.7444*LN('Base stats'!C105)+6.5696),EXP(0.7927*LN('Base stats'!C105)+4.28))</f>
        <v>49786.327351106935</v>
      </c>
      <c r="AQ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"No")))))))))))))))</f>
        <v>49786.327351106935</v>
      </c>
      <c r="AR105" s="8">
        <f>IF(_xlfn.XLOOKUP(E105,Groups!A:A,Groups!U:U)=3,AP105,IF(_xlfn.XLOOKUP(E105,Groups!A:A,Groups!U:U)=2,AO105,AQ105))</f>
        <v>49786.327351106935</v>
      </c>
      <c r="AS105" s="46">
        <f>IFERROR(AVERAGE(_xlfn.XLOOKUP(B105,Animals!B:B,Animals!M:M),_xlfn.XLOOKUP(B105,Animals!B:B,Animals!N:N)),0)</f>
        <v>0.5</v>
      </c>
      <c r="AT105" s="8">
        <f>MROUND(40*Animals!AN105*_xlfn.XLOOKUP(Animals!AZ105,Leathers!$A$2:$A$100,Leathers!$B$2:$B$100,0)+(140*_xlfn.XLOOKUP(B105,Animals!B:B,Animals!AN:AN)*2),5)</f>
        <v>630</v>
      </c>
      <c r="AU105" s="8">
        <f>IFERROR(ROUND(SQRT(V105-1)*IF(_xlfn.XLOOKUP(E105,Groups!A:A,Groups!BE:BE)=0,2,1)*IF(_xlfn.XLOOKUP('Base stats'!E105,Groups!A:A,Groups!O:O)=0,1,0.1),1),0)</f>
        <v>8.6999999999999993</v>
      </c>
      <c r="AV105" s="8">
        <f t="shared" si="38"/>
        <v>2.6</v>
      </c>
      <c r="AW105" s="8">
        <f t="shared" si="39"/>
        <v>0</v>
      </c>
      <c r="AX105" s="8">
        <f t="shared" si="40"/>
        <v>6.2</v>
      </c>
      <c r="AY105" s="8">
        <f>IF(_xlfn.XLOOKUP(E105,Groups!A:A,Groups!N:N)="Insect",BA105*2.5,IFERROR(AVERAGE(BA105,AQ105/9.81/IF(OR(_xlfn.XLOOKUP(E105,Groups!A:A,Groups!N:N)="Pig",_xlfn.XLOOKUP(E105,Groups!A:A,Groups!N:N)="StrongBitingHerbivore"),20,25))*C105^-0.135,BA105))</f>
        <v>11.212793869379865</v>
      </c>
      <c r="AZ105" s="8" t="str">
        <f>IF(W105="No","No",IF(_xlfn.XLOOKUP(E105,Groups!A:A,Groups!U:U)=1,'Base stats'!AY105,IF(OR(_xlfn.XLOOKUP(E105,Groups!A:A,Groups!BC:BC)=1,_xlfn.XLOOKUP(E105,Groups!A:A,Groups!U:U)=2),BA105,IF(_xlfn.XLOOKUP(B105,Animals!B:B,Animals!AN:AN)&gt;4,AVERAGE(BA105,BC105),BC105))))</f>
        <v>No</v>
      </c>
      <c r="BA105" s="8">
        <f>(0.0392*C105^IF(OR(Y105="Herbivore",Y105="Dendrovore",Y105="OmnivoreRough"),0.889,0.966))*C105^-0.135</f>
        <v>4.4851175477519458</v>
      </c>
      <c r="BB105" s="8">
        <f>IF(_xlfn.XLOOKUP(E105,Groups!A:A,Groups!BD:BD)=1,(0.048*C105^1.01)+(0.071*C105^1.03),0.071*C105^1.03)/IF(_xlfn.XLOOKUP(E105,Groups!A:A,Groups!M:M)=1,0.85,IF(OR(_xlfn.XLOOKUP(B105,Animals!B:B,Animals!AN:AN)&gt;4,_xlfn.XLOOKUP(E105,Groups!A:A,Groups!BB:BB)=1),1.7,1))*C105^-0.25</f>
        <v>7.1448645778610942</v>
      </c>
      <c r="BC105" s="8">
        <f>(0.048*C105^1.01)/IF(_xlfn.XLOOKUP(E105,Groups!A:A,Groups!M:M)=1,0.25,0.8)*C105^-0.25</f>
        <v>14.652555744310158</v>
      </c>
      <c r="BD105" s="8">
        <f>EXP(1.076*LN(AO105)-4.5397)*IF(_xlfn.XLOOKUP(E105,Groups!A:A,Groups!BB:BB)=1,1.25,IF(_xlfn.XLOOKUP(E105,Groups!A:A,Groups!BC:BC)=1,3.5,2.5))</f>
        <v>175.43901189464424</v>
      </c>
      <c r="BE105" s="8">
        <f>EXP(1.076*LN(AP105)-4.5397)*IF(_xlfn.XLOOKUP(E105,Groups!A:A,Groups!M:M)=1,0.8,IF(_xlfn.XLOOKUP(E105,Groups!A:A,Groups!BB:BB)=1,1.3,3))</f>
        <v>967.41715569980647</v>
      </c>
      <c r="BF105" s="8" t="str">
        <f>IF(W105="No","No",IF(_xlfn.XLOOKUP(E105,Groups!A:A,Groups!U:U)=1,'Base stats'!BG105,IF(OR(_xlfn.XLOOKUP(E105,Groups!A:A,Groups!BC:BC)=1,_xlfn.XLOOKUP(E105,Groups!A:A,Groups!U:U)=2),BD105,BE105))*1.2)</f>
        <v>No</v>
      </c>
      <c r="BG105" s="8">
        <f>IFERROR(EXP(1.076*LN(AQ105)-4.5397)*IF(_xlfn.XLOOKUP(E105,Groups!A:A,Groups!N:N)="Insect",1,IF(OR(_xlfn.XLOOKUP(E105,Groups!A:A,Groups!N:N)="Pig",_xlfn.XLOOKUP(E105,Groups!A:A,Groups!N:N)="StrongBitingHerbivore"),3.5,3.75)),"No")</f>
        <v>1209.271444624758</v>
      </c>
      <c r="BH105" s="8">
        <f t="shared" si="29"/>
        <v>8</v>
      </c>
      <c r="BI105" s="8">
        <f t="shared" si="30"/>
        <v>16</v>
      </c>
      <c r="BJ105" s="8" t="str">
        <f>IF(W105="No","No",ROUNDDOWN(SQRT((2*BF105)/AZ105),0))</f>
        <v>No</v>
      </c>
      <c r="BK105" s="8">
        <f>IF(V105="No","No",ROUNDDOWN(SQRT((2*BG105)/AY105),0))</f>
        <v>14</v>
      </c>
      <c r="BL105" s="8">
        <f t="shared" si="31"/>
        <v>11</v>
      </c>
      <c r="BM105" s="8" cm="1">
        <f t="array" ref="BM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stats'!E105,Groups!A:A,Groups!P:P=0)),"No",IF(U105="No",AVERAGE(EXP(-0.57+0.99*LN(C105)),EXP(0.32+0.67*LN(C105)))/IF(_xlfn.XLOOKUP(E105,Groups!A:A,Groups!AD:AD)=1,10,2),(0.7354*C105^0.4078)*2/IF(_xlfn.XLOOKUP(E105,Groups!A:A,Groups!BJ:BJ)=1,1000,100)))</f>
        <v>1.5056487532717558E-2</v>
      </c>
      <c r="BN105" s="8" t="str">
        <f>IF(W105="No","No",IF(_xlfn.XLOOKUP(E105,Groups!A:A,Groups!BC:BC)=1,(AL105*5%),EXP(0.7354*LN(C105)^0.4078)*2/IF(_xlfn.XLOOKUP(E105,Groups!A:A,Groups!BK:BK)=1,1000,100)))</f>
        <v>No</v>
      </c>
      <c r="BO105" s="8">
        <f>IF(BG105="No","No",IF(_xlfn.XLOOKUP(E105,Groups!A:A,Groups!BE:BE)=1,(0.0315*C105+2.1825)*2,(0.7354*C105^0.4078)*2)/IF(_xlfn.XLOOKUP(E105,Groups!A:A,Groups!BL:BL)=1,1000,100))</f>
        <v>0.15056487532717558</v>
      </c>
      <c r="BP105" s="8">
        <f>BD105/(AL105*5%)</f>
        <v>7.7571890181981018E-2</v>
      </c>
      <c r="BQ105" s="8">
        <f t="shared" si="32"/>
        <v>64252.512652610458</v>
      </c>
      <c r="BR105" s="8" t="str">
        <f>IF(W105="No","No",BF105/BN105)</f>
        <v>No</v>
      </c>
      <c r="BS105" s="8">
        <f t="shared" si="33"/>
        <v>8031.5640815763063</v>
      </c>
      <c r="BT105" s="4">
        <v>0</v>
      </c>
      <c r="BU105" s="4">
        <v>1</v>
      </c>
    </row>
    <row r="106" spans="1:73" x14ac:dyDescent="0.25">
      <c r="A106" s="26" t="s">
        <v>296</v>
      </c>
      <c r="B106" s="6" t="s">
        <v>435</v>
      </c>
      <c r="C106" s="7">
        <v>6500</v>
      </c>
      <c r="E106" s="7" t="str">
        <f>Groups!A2</f>
        <v>Beetle</v>
      </c>
      <c r="F106" s="7" t="str">
        <f t="shared" si="41"/>
        <v>Lay eggs</v>
      </c>
      <c r="G106" s="7">
        <v>10</v>
      </c>
      <c r="H106" s="7">
        <v>100</v>
      </c>
      <c r="I106" s="4">
        <v>0</v>
      </c>
      <c r="J106" s="7" t="str">
        <f t="shared" si="42"/>
        <v>Lay eggs</v>
      </c>
      <c r="K106" s="7" t="s">
        <v>538</v>
      </c>
      <c r="L106" s="7">
        <v>15</v>
      </c>
      <c r="M106" s="7" t="s">
        <v>538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_xlfn.XLOOKUP(B106,[1]TeethAdjusters!$A:$A,[1]BiteAdjusters!$C:$C)</f>
        <v>1</v>
      </c>
      <c r="T106" s="7">
        <f>_xlfn.XLOOKUP(B106,[1]TeethAdjusters!$A:$A,[1]TeethAdjusters!$B:$B)</f>
        <v>1</v>
      </c>
      <c r="U106" s="7" t="s">
        <v>45</v>
      </c>
      <c r="V106" s="7">
        <v>28</v>
      </c>
      <c r="W106" s="7" t="s">
        <v>45</v>
      </c>
      <c r="X106" s="7" t="s">
        <v>945</v>
      </c>
      <c r="Y106" s="4" t="s">
        <v>53</v>
      </c>
      <c r="Z106" s="4">
        <v>0</v>
      </c>
      <c r="AA106" s="4">
        <v>0</v>
      </c>
      <c r="AB106" s="4">
        <v>0</v>
      </c>
      <c r="AC106" s="4" t="s">
        <v>1086</v>
      </c>
      <c r="AD106" s="4" t="s">
        <v>45</v>
      </c>
      <c r="AE106" s="28" t="s">
        <v>45</v>
      </c>
      <c r="AF106" s="4">
        <v>0</v>
      </c>
      <c r="AG106" s="4">
        <v>0</v>
      </c>
      <c r="AH106" s="4">
        <v>0</v>
      </c>
      <c r="AI106" s="4">
        <v>1</v>
      </c>
      <c r="AJ106" s="4">
        <v>1</v>
      </c>
      <c r="AK106" s="44" t="s">
        <v>40</v>
      </c>
      <c r="AL106" s="8">
        <f t="shared" si="36"/>
        <v>333977.07792303176</v>
      </c>
      <c r="AM106" s="8">
        <f>IFERROR(C106*_xlfn.XLOOKUP(E106,Groups!A:A,Groups!K:K),0.106*C106^0.94)</f>
        <v>2080</v>
      </c>
      <c r="AN106" s="8">
        <f>AM106*10000/(_xlfn.XLOOKUP(E106,Groups!A:A,Groups!J:J)*AL106)</f>
        <v>51.899769412701936</v>
      </c>
      <c r="AO106" s="8">
        <f t="shared" si="37"/>
        <v>90408.374736964019</v>
      </c>
      <c r="AP106" s="8">
        <f>IF(_xlfn.XLOOKUP(E106,Groups!A:A,Groups!M:M)=1,EXP(0.7444*LN('Base stats'!C106)+6.5696),EXP(0.7927*LN('Base stats'!C106)+4.28))</f>
        <v>491443.65353680309</v>
      </c>
      <c r="AQ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"No")))))))))))))))</f>
        <v>491443.65353680309</v>
      </c>
      <c r="AR106" s="8">
        <f>IF(_xlfn.XLOOKUP(E106,Groups!A:A,Groups!U:U)=3,AP106,IF(_xlfn.XLOOKUP(E106,Groups!A:A,Groups!U:U)=2,AO106,AQ106))</f>
        <v>491443.65353680309</v>
      </c>
      <c r="AS106" s="46">
        <f>IFERROR(AVERAGE(_xlfn.XLOOKUP(B106,Animals!B:B,Animals!M:M),_xlfn.XLOOKUP(B106,Animals!B:B,Animals!N:N)),0)</f>
        <v>1.1000000000000001</v>
      </c>
      <c r="AT106" s="8">
        <f>MROUND(40*Animals!AN106*_xlfn.XLOOKUP(Animals!AZ106,Leathers!$A$2:$A$100,Leathers!$B$2:$B$100,0)+(140*_xlfn.XLOOKUP(B106,Animals!B:B,Animals!AN:AN)*2),5)</f>
        <v>1540</v>
      </c>
      <c r="AU106" s="8">
        <f>IFERROR(ROUND(SQRT(V106-1)*IF(_xlfn.XLOOKUP(E106,Groups!A:A,Groups!BE:BE)=0,2,1)*IF(_xlfn.XLOOKUP('Base stats'!E106,Groups!A:A,Groups!O:O)=0,1,0.1),1),0)</f>
        <v>10.4</v>
      </c>
      <c r="AV106" s="8">
        <f t="shared" si="38"/>
        <v>0</v>
      </c>
      <c r="AW106" s="8">
        <f t="shared" si="39"/>
        <v>0</v>
      </c>
      <c r="AX106" s="8">
        <f t="shared" si="40"/>
        <v>18.600000000000001</v>
      </c>
      <c r="AY106" s="8">
        <f>IF(_xlfn.XLOOKUP(E106,Groups!A:A,Groups!N:N)="Insect",BA106*2.5,IFERROR(AVERAGE(BA106,AQ106/9.81/IF(OR(_xlfn.XLOOKUP(E106,Groups!A:A,Groups!N:N)="Pig",_xlfn.XLOOKUP(E106,Groups!A:A,Groups!N:N)="StrongBitingHerbivore"),20,25))*C106^-0.135,BA106))</f>
        <v>144.46314823737697</v>
      </c>
      <c r="AZ106" s="8" t="str">
        <f>IF(W106="No","No",IF(_xlfn.XLOOKUP(E106,Groups!A:A,Groups!U:U)=1,'Base stats'!AY106,IF(OR(_xlfn.XLOOKUP(E106,Groups!A:A,Groups!BC:BC)=1,_xlfn.XLOOKUP(E106,Groups!A:A,Groups!U:U)=2),BA106,IF(_xlfn.XLOOKUP(B106,Animals!B:B,Animals!AN:AN)&gt;4,AVERAGE(BA106,BC106),BC106))))</f>
        <v>No</v>
      </c>
      <c r="BA106" s="8">
        <f>(0.0392*C106^IF(OR(Y106="Herbivore",Y106="Dendrovore",Y106="OmnivoreRough"),0.889,0.966))*C106^-0.135</f>
        <v>57.785259294950791</v>
      </c>
      <c r="BB106" s="8">
        <f>IF(_xlfn.XLOOKUP(E106,Groups!A:A,Groups!BD:BD)=1,(0.048*C106^1.01)+(0.071*C106^1.03),0.071*C106^1.03)/IF(_xlfn.XLOOKUP(E106,Groups!A:A,Groups!M:M)=1,0.85,IF(OR(_xlfn.XLOOKUP(B106,Animals!B:B,Animals!AN:AN)&gt;4,_xlfn.XLOOKUP(E106,Groups!A:A,Groups!BB:BB)=1),1.7,1))*C106^-0.25</f>
        <v>78.688604098945561</v>
      </c>
      <c r="BC106" s="8">
        <f>(0.048*C106^1.01)/IF(_xlfn.XLOOKUP(E106,Groups!A:A,Groups!M:M)=1,0.25,0.8)*C106^-0.25</f>
        <v>151.74534583478444</v>
      </c>
      <c r="BD106" s="8">
        <f>EXP(1.076*LN(AO106)-4.5397)*IF(_xlfn.XLOOKUP(E106,Groups!A:A,Groups!BB:BB)=1,1.25,IF(_xlfn.XLOOKUP(E106,Groups!A:A,Groups!BC:BC)=1,3.5,2.5))</f>
        <v>2872.2608182712406</v>
      </c>
      <c r="BE106" s="8">
        <f>EXP(1.076*LN(AP106)-4.5397)*IF(_xlfn.XLOOKUP(E106,Groups!A:A,Groups!M:M)=1,0.8,IF(_xlfn.XLOOKUP(E106,Groups!A:A,Groups!BB:BB)=1,1.3,3))</f>
        <v>11364.466742743723</v>
      </c>
      <c r="BF106" s="8" t="str">
        <f>IF(W106="No","No",IF(_xlfn.XLOOKUP(E106,Groups!A:A,Groups!U:U)=1,'Base stats'!BG106,IF(OR(_xlfn.XLOOKUP(E106,Groups!A:A,Groups!BC:BC)=1,_xlfn.XLOOKUP(E106,Groups!A:A,Groups!U:U)=2),BD106,BE106))*1.2)</f>
        <v>No</v>
      </c>
      <c r="BG106" s="8">
        <f>IFERROR(EXP(1.076*LN(AQ106)-4.5397)*IF(_xlfn.XLOOKUP(E106,Groups!A:A,Groups!N:N)="Insect",1,IF(OR(_xlfn.XLOOKUP(E106,Groups!A:A,Groups!N:N)="Pig",_xlfn.XLOOKUP(E106,Groups!A:A,Groups!N:N)="StrongBitingHerbivore"),3.5,3.75)),"No")</f>
        <v>14205.583428429652</v>
      </c>
      <c r="BH106" s="8">
        <f t="shared" si="29"/>
        <v>9</v>
      </c>
      <c r="BI106" s="8">
        <f t="shared" si="30"/>
        <v>16</v>
      </c>
      <c r="BJ106" s="8" t="str">
        <f>IF(W106="No","No",ROUNDDOWN(SQRT((2*BF106)/AZ106),0))</f>
        <v>No</v>
      </c>
      <c r="BK106" s="8">
        <f>IF(V106="No","No",ROUNDDOWN(SQRT((2*BG106)/AY106),0))</f>
        <v>14</v>
      </c>
      <c r="BL106" s="8">
        <f t="shared" si="31"/>
        <v>12</v>
      </c>
      <c r="BM106" s="8" t="str" cm="1">
        <f t="array" ref="BM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stats'!E106,Groups!A:A,Groups!P:P=0)),"No",IF(U106="No",AVERAGE(EXP(-0.57+0.99*LN(C106)),EXP(0.32+0.67*LN(C106)))/IF(_xlfn.XLOOKUP(E106,Groups!A:A,Groups!AD:AD)=1,10,2),(0.7354*C106^0.4078)*2/IF(_xlfn.XLOOKUP(E106,Groups!A:A,Groups!BJ:BJ)=1,1000,100)))</f>
        <v>No</v>
      </c>
      <c r="BN106" s="8" t="str">
        <f>IF(W106="No","No",IF(_xlfn.XLOOKUP(E106,Groups!A:A,Groups!BC:BC)=1,(AL106*5%),EXP(0.7354*LN(C106)^0.4078)*2/IF(_xlfn.XLOOKUP(E106,Groups!A:A,Groups!BK:BK)=1,1000,100)))</f>
        <v>No</v>
      </c>
      <c r="BO106" s="8">
        <f>IF(BG106="No","No",IF(_xlfn.XLOOKUP(E106,Groups!A:A,Groups!BE:BE)=1,(0.0315*C106+2.1825)*2,(0.7354*C106^0.4078)*2)/IF(_xlfn.XLOOKUP(E106,Groups!A:A,Groups!BL:BL)=1,1000,100))</f>
        <v>0.52778821429382305</v>
      </c>
      <c r="BP106" s="8">
        <f>BD106/(AL106*5%)</f>
        <v>0.17200347018624917</v>
      </c>
      <c r="BQ106" s="8" t="str">
        <f t="shared" si="32"/>
        <v>No</v>
      </c>
      <c r="BR106" s="8" t="str">
        <f>IF(W106="No","No",BF106/BN106)</f>
        <v>No</v>
      </c>
      <c r="BS106" s="8">
        <f t="shared" si="33"/>
        <v>26915.310049953699</v>
      </c>
      <c r="BT106" s="4">
        <v>0</v>
      </c>
      <c r="BU106" s="4">
        <v>1</v>
      </c>
    </row>
    <row r="107" spans="1:73" x14ac:dyDescent="0.25">
      <c r="A107" s="26" t="s">
        <v>298</v>
      </c>
      <c r="B107" s="6" t="s">
        <v>436</v>
      </c>
      <c r="C107" s="7">
        <v>15</v>
      </c>
      <c r="E107" s="7" t="str">
        <f>Groups!A2</f>
        <v>Beetle</v>
      </c>
      <c r="F107" s="7" t="str">
        <f t="shared" si="41"/>
        <v>Lay eggs</v>
      </c>
      <c r="G107" s="7">
        <v>1</v>
      </c>
      <c r="H107" s="7">
        <v>1</v>
      </c>
      <c r="I107" s="4">
        <v>0</v>
      </c>
      <c r="J107" s="7" t="str">
        <f t="shared" si="42"/>
        <v>Lay eggs</v>
      </c>
      <c r="K107" s="7" t="s">
        <v>538</v>
      </c>
      <c r="L107" s="7">
        <v>15</v>
      </c>
      <c r="M107" s="7" t="s">
        <v>538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_xlfn.XLOOKUP(B107,[1]TeethAdjusters!$A:$A,[1]BiteAdjusters!$C:$C)</f>
        <v>1</v>
      </c>
      <c r="T107" s="7">
        <f>_xlfn.XLOOKUP(B107,[1]TeethAdjusters!$A:$A,[1]TeethAdjusters!$B:$B)</f>
        <v>1</v>
      </c>
      <c r="U107" s="7" t="s">
        <v>45</v>
      </c>
      <c r="V107" s="7">
        <v>6</v>
      </c>
      <c r="W107" s="7" t="s">
        <v>45</v>
      </c>
      <c r="X107" s="7" t="s">
        <v>945</v>
      </c>
      <c r="Y107" s="4" t="s">
        <v>53</v>
      </c>
      <c r="Z107" s="4">
        <v>0</v>
      </c>
      <c r="AA107" s="4">
        <v>0</v>
      </c>
      <c r="AB107" s="4">
        <v>0</v>
      </c>
      <c r="AC107" s="4" t="s">
        <v>1087</v>
      </c>
      <c r="AD107" s="4" t="s">
        <v>45</v>
      </c>
      <c r="AE107" s="28" t="s">
        <v>45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4" t="s">
        <v>40</v>
      </c>
      <c r="AL107" s="8">
        <f t="shared" si="36"/>
        <v>6453.306570514339</v>
      </c>
      <c r="AM107" s="8">
        <f>IFERROR(C107*_xlfn.XLOOKUP(E107,Groups!A:A,Groups!K:K),0.106*C107^0.94)</f>
        <v>4.8</v>
      </c>
      <c r="AN107" s="8">
        <f>AM107*10000/(_xlfn.XLOOKUP(E107,Groups!A:A,Groups!J:J)*AL107)</f>
        <v>6.1983728129023223</v>
      </c>
      <c r="AO107" s="8">
        <f t="shared" si="37"/>
        <v>535.65484345622485</v>
      </c>
      <c r="AP107" s="8">
        <f>IF(_xlfn.XLOOKUP(E107,Groups!A:A,Groups!M:M)=1,EXP(0.7444*LN('Base stats'!C107)+6.5696),EXP(0.7927*LN('Base stats'!C107)+4.28))</f>
        <v>5353.3219353913164</v>
      </c>
      <c r="AQ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"No")))))))))))))))</f>
        <v>5353.3219353913164</v>
      </c>
      <c r="AR107" s="8">
        <f>IF(_xlfn.XLOOKUP(E107,Groups!A:A,Groups!U:U)=3,AP107,IF(_xlfn.XLOOKUP(E107,Groups!A:A,Groups!U:U)=2,AO107,AQ107))</f>
        <v>5353.3219353913164</v>
      </c>
      <c r="AS107" s="46">
        <f>IFERROR(AVERAGE(_xlfn.XLOOKUP(B107,Animals!B:B,Animals!M:M),_xlfn.XLOOKUP(B107,Animals!B:B,Animals!N:N)),0)</f>
        <v>0.2</v>
      </c>
      <c r="AT107" s="8">
        <f>MROUND(40*Animals!AN107*_xlfn.XLOOKUP(Animals!AZ107,Leathers!$A$2:$A$100,Leathers!$B$2:$B$100,0)+(140*_xlfn.XLOOKUP(B107,Animals!B:B,Animals!AN:AN)*2),5)</f>
        <v>140</v>
      </c>
      <c r="AU107" s="8">
        <f>IFERROR(ROUND(SQRT(V107-1)*IF(_xlfn.XLOOKUP(E107,Groups!A:A,Groups!BE:BE)=0,2,1)*IF(_xlfn.XLOOKUP('Base stats'!E107,Groups!A:A,Groups!O:O)=0,1,0.1),1),0)</f>
        <v>4.5</v>
      </c>
      <c r="AV107" s="8">
        <f t="shared" si="38"/>
        <v>0</v>
      </c>
      <c r="AW107" s="8">
        <f t="shared" si="39"/>
        <v>0</v>
      </c>
      <c r="AX107" s="8">
        <f t="shared" si="40"/>
        <v>2</v>
      </c>
      <c r="AY107" s="8">
        <f>IF(_xlfn.XLOOKUP(E107,Groups!A:A,Groups!N:N)="Insect",BA107*2.5,IFERROR(AVERAGE(BA107,AQ107/9.81/IF(OR(_xlfn.XLOOKUP(E107,Groups!A:A,Groups!N:N)="Pig",_xlfn.XLOOKUP(E107,Groups!A:A,Groups!N:N)="StrongBitingHerbivore"),20,25))*C107^-0.135,BA107))</f>
        <v>0.93016054081951027</v>
      </c>
      <c r="AZ107" s="8" t="str">
        <f>IF(W107="No","No",IF(_xlfn.XLOOKUP(E107,Groups!A:A,Groups!U:U)=1,'Base stats'!AY107,IF(OR(_xlfn.XLOOKUP(E107,Groups!A:A,Groups!BC:BC)=1,_xlfn.XLOOKUP(E107,Groups!A:A,Groups!U:U)=2),BA107,IF(_xlfn.XLOOKUP(B107,Animals!B:B,Animals!AN:AN)&gt;4,AVERAGE(BA107,BC107),BC107))))</f>
        <v>No</v>
      </c>
      <c r="BA107" s="8">
        <f>(0.0392*C107^IF(OR(Y107="Herbivore",Y107="Dendrovore",Y107="OmnivoreRough"),0.889,0.966))*C107^-0.135</f>
        <v>0.37206421632780412</v>
      </c>
      <c r="BB107" s="8">
        <f>IF(_xlfn.XLOOKUP(E107,Groups!A:A,Groups!BD:BD)=1,(0.048*C107^1.01)+(0.071*C107^1.03),0.071*C107^1.03)/IF(_xlfn.XLOOKUP(E107,Groups!A:A,Groups!M:M)=1,0.85,IF(OR(_xlfn.XLOOKUP(B107,Animals!B:B,Animals!AN:AN)&gt;4,_xlfn.XLOOKUP(E107,Groups!A:A,Groups!BB:BB)=1),1.7,1))*C107^-0.25</f>
        <v>0.69054280580117122</v>
      </c>
      <c r="BC107" s="8">
        <f>(0.048*C107^1.01)/IF(_xlfn.XLOOKUP(E107,Groups!A:A,Groups!M:M)=1,0.25,0.8)*C107^-0.25</f>
        <v>1.503594005422539</v>
      </c>
      <c r="BD107" s="8">
        <f>EXP(1.076*LN(AO107)-4.5397)*IF(_xlfn.XLOOKUP(E107,Groups!A:A,Groups!BB:BB)=1,1.25,IF(_xlfn.XLOOKUP(E107,Groups!A:A,Groups!BC:BC)=1,3.5,2.5))</f>
        <v>11.524541402552655</v>
      </c>
      <c r="BE107" s="8">
        <f>EXP(1.076*LN(AP107)-4.5397)*IF(_xlfn.XLOOKUP(E107,Groups!A:A,Groups!M:M)=1,0.8,IF(_xlfn.XLOOKUP(E107,Groups!A:A,Groups!BB:BB)=1,1.3,3))</f>
        <v>87.805569597772788</v>
      </c>
      <c r="BF107" s="8" t="str">
        <f>IF(W107="No","No",IF(_xlfn.XLOOKUP(E107,Groups!A:A,Groups!U:U)=1,'Base stats'!BG107,IF(OR(_xlfn.XLOOKUP(E107,Groups!A:A,Groups!BC:BC)=1,_xlfn.XLOOKUP(E107,Groups!A:A,Groups!U:U)=2),BD107,BE107))*1.2)</f>
        <v>No</v>
      </c>
      <c r="BG107" s="8">
        <f>IFERROR(EXP(1.076*LN(AQ107)-4.5397)*IF(_xlfn.XLOOKUP(E107,Groups!A:A,Groups!N:N)="Insect",1,IF(OR(_xlfn.XLOOKUP(E107,Groups!A:A,Groups!N:N)="Pig",_xlfn.XLOOKUP(E107,Groups!A:A,Groups!N:N)="StrongBitingHerbivore"),3.5,3.75)),"No")</f>
        <v>109.75696199721598</v>
      </c>
      <c r="BH107" s="8">
        <f t="shared" si="29"/>
        <v>7</v>
      </c>
      <c r="BI107" s="8">
        <f t="shared" si="30"/>
        <v>15</v>
      </c>
      <c r="BJ107" s="8" t="str">
        <f>IF(W107="No","No",ROUNDDOWN(SQRT((2*BF107)/AZ107),0))</f>
        <v>No</v>
      </c>
      <c r="BK107" s="8">
        <f>IF(V107="No","No",ROUNDDOWN(SQRT((2*BG107)/AY107),0))</f>
        <v>15</v>
      </c>
      <c r="BL107" s="8">
        <f t="shared" si="31"/>
        <v>10</v>
      </c>
      <c r="BM107" s="8" t="str" cm="1">
        <f t="array" ref="BM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stats'!E107,Groups!A:A,Groups!P:P=0)),"No",IF(U107="No",AVERAGE(EXP(-0.57+0.99*LN(C107)),EXP(0.32+0.67*LN(C107)))/IF(_xlfn.XLOOKUP(E107,Groups!A:A,Groups!AD:AD)=1,10,2),(0.7354*C107^0.4078)*2/IF(_xlfn.XLOOKUP(E107,Groups!A:A,Groups!BJ:BJ)=1,1000,100)))</f>
        <v>No</v>
      </c>
      <c r="BN107" s="8" t="str">
        <f>IF(W107="No","No",IF(_xlfn.XLOOKUP(E107,Groups!A:A,Groups!BC:BC)=1,(AL107*5%),EXP(0.7354*LN(C107)^0.4078)*2/IF(_xlfn.XLOOKUP(E107,Groups!A:A,Groups!BK:BK)=1,1000,100)))</f>
        <v>No</v>
      </c>
      <c r="BO107" s="8">
        <f>IF(BG107="No","No",IF(_xlfn.XLOOKUP(E107,Groups!A:A,Groups!BE:BE)=1,(0.0315*C107+2.1825)*2,(0.7354*C107^0.4078)*2)/IF(_xlfn.XLOOKUP(E107,Groups!A:A,Groups!BL:BL)=1,1000,100))</f>
        <v>4.4377582152222601E-2</v>
      </c>
      <c r="BP107" s="8">
        <f>BD107/(AL107*5%)</f>
        <v>3.5716702055374784E-2</v>
      </c>
      <c r="BQ107" s="8" t="str">
        <f t="shared" si="32"/>
        <v>No</v>
      </c>
      <c r="BR107" s="8" t="str">
        <f>IF(W107="No","No",BF107/BN107)</f>
        <v>No</v>
      </c>
      <c r="BS107" s="8">
        <f t="shared" si="33"/>
        <v>2473.2524097579508</v>
      </c>
      <c r="BT107" s="4">
        <v>0</v>
      </c>
      <c r="BU107" s="4">
        <v>1</v>
      </c>
    </row>
    <row r="108" spans="1:73" x14ac:dyDescent="0.25">
      <c r="A108" s="26" t="s">
        <v>297</v>
      </c>
      <c r="B108" s="6" t="s">
        <v>437</v>
      </c>
      <c r="C108" s="7">
        <v>30</v>
      </c>
      <c r="E108" s="7" t="str">
        <f>Groups!A2</f>
        <v>Beetle</v>
      </c>
      <c r="F108" s="7" t="str">
        <f t="shared" si="41"/>
        <v>Lay eggs</v>
      </c>
      <c r="G108" s="7">
        <v>1.25</v>
      </c>
      <c r="H108" s="7">
        <v>12.5</v>
      </c>
      <c r="I108" s="4">
        <v>0</v>
      </c>
      <c r="J108" s="7" t="str">
        <f t="shared" si="42"/>
        <v>Lay eggs</v>
      </c>
      <c r="K108" s="7" t="s">
        <v>538</v>
      </c>
      <c r="L108" s="7">
        <v>30</v>
      </c>
      <c r="M108" s="7" t="s">
        <v>538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_xlfn.XLOOKUP(B108,[1]TeethAdjusters!$A:$A,[1]BiteAdjusters!$C:$C)</f>
        <v>1</v>
      </c>
      <c r="T108" s="7">
        <f>_xlfn.XLOOKUP(B108,[1]TeethAdjusters!$A:$A,[1]TeethAdjusters!$B:$B)</f>
        <v>1</v>
      </c>
      <c r="U108" s="7" t="s">
        <v>45</v>
      </c>
      <c r="V108" s="7">
        <v>9</v>
      </c>
      <c r="W108" s="7" t="s">
        <v>45</v>
      </c>
      <c r="X108" s="7" t="s">
        <v>945</v>
      </c>
      <c r="Y108" s="4" t="s">
        <v>53</v>
      </c>
      <c r="Z108" s="4">
        <v>0</v>
      </c>
      <c r="AA108" s="4">
        <v>0</v>
      </c>
      <c r="AB108" s="4">
        <v>0</v>
      </c>
      <c r="AC108" s="4" t="s">
        <v>1085</v>
      </c>
      <c r="AD108" s="4" t="s">
        <v>45</v>
      </c>
      <c r="AE108" s="28" t="s">
        <v>45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4" t="s">
        <v>40</v>
      </c>
      <c r="AL108" s="8">
        <f t="shared" si="36"/>
        <v>10126.323428156336</v>
      </c>
      <c r="AM108" s="8">
        <f>IFERROR(C108*_xlfn.XLOOKUP(E108,Groups!A:A,Groups!K:K),0.106*C108^0.94)</f>
        <v>9.6</v>
      </c>
      <c r="AN108" s="8">
        <f>AM108*10000/(_xlfn.XLOOKUP(E108,Groups!A:A,Groups!J:J)*AL108)</f>
        <v>7.9002019407714403</v>
      </c>
      <c r="AO108" s="8">
        <f t="shared" si="37"/>
        <v>961.97785272953513</v>
      </c>
      <c r="AP108" s="8">
        <f>IF(_xlfn.XLOOKUP(E108,Groups!A:A,Groups!M:M)=1,EXP(0.7444*LN('Base stats'!C108)+6.5696),EXP(0.7927*LN('Base stats'!C108)+4.28))</f>
        <v>8968.2992326908861</v>
      </c>
      <c r="AQ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"No")))))))))))))))</f>
        <v>8968.2992326908861</v>
      </c>
      <c r="AR108" s="8">
        <f>IF(_xlfn.XLOOKUP(E108,Groups!A:A,Groups!U:U)=3,AP108,IF(_xlfn.XLOOKUP(E108,Groups!A:A,Groups!U:U)=2,AO108,AQ108))</f>
        <v>8968.2992326908861</v>
      </c>
      <c r="AS108" s="46">
        <f>IFERROR(AVERAGE(_xlfn.XLOOKUP(B108,Animals!B:B,Animals!M:M),_xlfn.XLOOKUP(B108,Animals!B:B,Animals!N:N)),0)</f>
        <v>0.27500000000000002</v>
      </c>
      <c r="AT108" s="8">
        <f>MROUND(40*Animals!AN108*_xlfn.XLOOKUP(Animals!AZ108,Leathers!$A$2:$A$100,Leathers!$B$2:$B$100,0)+(140*_xlfn.XLOOKUP(B108,Animals!B:B,Animals!AN:AN)*2),5)</f>
        <v>195</v>
      </c>
      <c r="AU108" s="8">
        <f>IFERROR(ROUND(SQRT(V108-1)*IF(_xlfn.XLOOKUP(E108,Groups!A:A,Groups!BE:BE)=0,2,1)*IF(_xlfn.XLOOKUP('Base stats'!E108,Groups!A:A,Groups!O:O)=0,1,0.1),1),0)</f>
        <v>5.7</v>
      </c>
      <c r="AV108" s="8">
        <f t="shared" si="38"/>
        <v>0</v>
      </c>
      <c r="AW108" s="8">
        <f t="shared" si="39"/>
        <v>0</v>
      </c>
      <c r="AX108" s="8">
        <f t="shared" si="40"/>
        <v>2.7</v>
      </c>
      <c r="AY108" s="8">
        <f>IF(_xlfn.XLOOKUP(E108,Groups!A:A,Groups!N:N)="Insect",BA108*2.5,IFERROR(AVERAGE(BA108,AQ108/9.81/IF(OR(_xlfn.XLOOKUP(E108,Groups!A:A,Groups!N:N)="Pig",_xlfn.XLOOKUP(E108,Groups!A:A,Groups!N:N)="StrongBitingHerbivore"),20,25))*C108^-0.135,BA108))</f>
        <v>1.6546793169319762</v>
      </c>
      <c r="AZ108" s="8" t="str">
        <f>IF(W108="No","No",IF(_xlfn.XLOOKUP(E108,Groups!A:A,Groups!U:U)=1,'Base stats'!AY108,IF(OR(_xlfn.XLOOKUP(E108,Groups!A:A,Groups!BC:BC)=1,_xlfn.XLOOKUP(E108,Groups!A:A,Groups!U:U)=2),BA108,IF(_xlfn.XLOOKUP(B108,Animals!B:B,Animals!AN:AN)&gt;4,AVERAGE(BA108,BC108),BC108))))</f>
        <v>No</v>
      </c>
      <c r="BA108" s="8">
        <f>(0.0392*C108^IF(OR(Y108="Herbivore",Y108="Dendrovore",Y108="OmnivoreRough"),0.889,0.966))*C108^-0.135</f>
        <v>0.66187172677279049</v>
      </c>
      <c r="BB108" s="8">
        <f>IF(_xlfn.XLOOKUP(E108,Groups!A:A,Groups!BD:BD)=1,(0.048*C108^1.01)+(0.071*C108^1.03),0.071*C108^1.03)/IF(_xlfn.XLOOKUP(E108,Groups!A:A,Groups!M:M)=1,0.85,IF(OR(_xlfn.XLOOKUP(B108,Animals!B:B,Animals!AN:AN)&gt;4,_xlfn.XLOOKUP(E108,Groups!A:A,Groups!BB:BB)=1),1.7,1))*C108^-0.25</f>
        <v>1.1857523708832671</v>
      </c>
      <c r="BC108" s="8">
        <f>(0.048*C108^1.01)/IF(_xlfn.XLOOKUP(E108,Groups!A:A,Groups!M:M)=1,0.25,0.8)*C108^-0.25</f>
        <v>2.5463223515758622</v>
      </c>
      <c r="BD108" s="8">
        <f>EXP(1.076*LN(AO108)-4.5397)*IF(_xlfn.XLOOKUP(E108,Groups!A:A,Groups!BB:BB)=1,1.25,IF(_xlfn.XLOOKUP(E108,Groups!A:A,Groups!BC:BC)=1,3.5,2.5))</f>
        <v>21.638590723059181</v>
      </c>
      <c r="BE108" s="8">
        <f>EXP(1.076*LN(AP108)-4.5397)*IF(_xlfn.XLOOKUP(E108,Groups!A:A,Groups!M:M)=1,0.8,IF(_xlfn.XLOOKUP(E108,Groups!A:A,Groups!BB:BB)=1,1.3,3))</f>
        <v>152.98166547945354</v>
      </c>
      <c r="BF108" s="8" t="str">
        <f>IF(W108="No","No",IF(_xlfn.XLOOKUP(E108,Groups!A:A,Groups!U:U)=1,'Base stats'!BG108,IF(OR(_xlfn.XLOOKUP(E108,Groups!A:A,Groups!BC:BC)=1,_xlfn.XLOOKUP(E108,Groups!A:A,Groups!U:U)=2),BD108,BE108))*1.2)</f>
        <v>No</v>
      </c>
      <c r="BG108" s="8">
        <f>IFERROR(EXP(1.076*LN(AQ108)-4.5397)*IF(_xlfn.XLOOKUP(E108,Groups!A:A,Groups!N:N)="Insect",1,IF(OR(_xlfn.XLOOKUP(E108,Groups!A:A,Groups!N:N)="Pig",_xlfn.XLOOKUP(E108,Groups!A:A,Groups!N:N)="StrongBitingHerbivore"),3.5,3.75)),"No")</f>
        <v>191.22708184931693</v>
      </c>
      <c r="BH108" s="8">
        <f t="shared" si="29"/>
        <v>8</v>
      </c>
      <c r="BI108" s="8">
        <f t="shared" si="30"/>
        <v>16</v>
      </c>
      <c r="BJ108" s="8" t="str">
        <f>IF(W108="No","No",ROUNDDOWN(SQRT((2*BF108)/AZ108),0))</f>
        <v>No</v>
      </c>
      <c r="BK108" s="8">
        <f>IF(V108="No","No",ROUNDDOWN(SQRT((2*BG108)/AY108),0))</f>
        <v>15</v>
      </c>
      <c r="BL108" s="8">
        <f t="shared" si="31"/>
        <v>10</v>
      </c>
      <c r="BM108" s="8" t="str" cm="1">
        <f t="array" ref="BM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stats'!E108,Groups!A:A,Groups!P:P=0)),"No",IF(U108="No",AVERAGE(EXP(-0.57+0.99*LN(C108)),EXP(0.32+0.67*LN(C108)))/IF(_xlfn.XLOOKUP(E108,Groups!A:A,Groups!AD:AD)=1,10,2),(0.7354*C108^0.4078)*2/IF(_xlfn.XLOOKUP(E108,Groups!A:A,Groups!BJ:BJ)=1,1000,100)))</f>
        <v>No</v>
      </c>
      <c r="BN108" s="8" t="str">
        <f>IF(W108="No","No",IF(_xlfn.XLOOKUP(E108,Groups!A:A,Groups!BC:BC)=1,(AL108*5%),EXP(0.7354*LN(C108)^0.4078)*2/IF(_xlfn.XLOOKUP(E108,Groups!A:A,Groups!BK:BK)=1,1000,100)))</f>
        <v>No</v>
      </c>
      <c r="BO108" s="8">
        <f>IF(BG108="No","No",IF(_xlfn.XLOOKUP(E108,Groups!A:A,Groups!BE:BE)=1,(0.0315*C108+2.1825)*2,(0.7354*C108^0.4078)*2)/IF(_xlfn.XLOOKUP(E108,Groups!A:A,Groups!BL:BL)=1,1000,100))</f>
        <v>5.8874016992600434E-2</v>
      </c>
      <c r="BP108" s="8">
        <f>BD108/(AL108*5%)</f>
        <v>4.2737309106467759E-2</v>
      </c>
      <c r="BQ108" s="8" t="str">
        <f t="shared" si="32"/>
        <v>No</v>
      </c>
      <c r="BR108" s="8" t="str">
        <f>IF(W108="No","No",BF108/BN108)</f>
        <v>No</v>
      </c>
      <c r="BS108" s="8">
        <f t="shared" si="33"/>
        <v>3248.0726068573044</v>
      </c>
      <c r="BT108" s="4">
        <v>0</v>
      </c>
      <c r="BU108" s="4">
        <v>1</v>
      </c>
    </row>
    <row r="109" spans="1:73" x14ac:dyDescent="0.25">
      <c r="A109" s="26" t="s">
        <v>64</v>
      </c>
      <c r="B109" s="6" t="s">
        <v>926</v>
      </c>
      <c r="C109" s="7">
        <v>13.25</v>
      </c>
      <c r="E109" s="7" t="s">
        <v>55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593</v>
      </c>
      <c r="L109" s="7">
        <v>65</v>
      </c>
      <c r="M109" s="7" t="s">
        <v>638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_xlfn.XLOOKUP(B109,[1]TeethAdjusters!$A:$A,[1]BiteAdjusters!$C:$C)</f>
        <v>0.71451147426394657</v>
      </c>
      <c r="T109" s="7">
        <f>_xlfn.XLOOKUP(B109,[1]TeethAdjusters!$A:$A,[1]TeethAdjusters!$B:$B)</f>
        <v>1.1410682230934119</v>
      </c>
      <c r="U109" s="7" t="s">
        <v>45</v>
      </c>
      <c r="V109" s="7">
        <f>IF(AQ109="No","No",IF(_xlfn.XLOOKUP(E109,Groups!A:A,Groups!AM:AM)=1,MROUND(EXP(0.3582*LN(C109)-0.2221)*T109,0.05),IF(_xlfn.XLOOKUP(E109,Groups!A:A,Groups!AM:AM)=2,MROUND(EXP(0.3582*LN(C109)-0.2221)*T109,0.05),"Need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945</v>
      </c>
      <c r="Y109" s="4" t="s">
        <v>56</v>
      </c>
      <c r="Z109" s="4">
        <v>0</v>
      </c>
      <c r="AA109" s="4">
        <v>0</v>
      </c>
      <c r="AB109" s="4">
        <v>0</v>
      </c>
      <c r="AC109" s="4" t="s">
        <v>45</v>
      </c>
      <c r="AD109" s="4" t="s">
        <v>320</v>
      </c>
      <c r="AE109" s="28" t="s">
        <v>405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4" t="s">
        <v>40</v>
      </c>
      <c r="AL109" s="8">
        <f t="shared" si="36"/>
        <v>5953.3758261455168</v>
      </c>
      <c r="AM109" s="8">
        <f>IFERROR(C109*_xlfn.XLOOKUP(E109,Groups!A:A,Groups!K:K),0.106*C109^0.94)</f>
        <v>1.6529374999999999</v>
      </c>
      <c r="AN109" s="8">
        <f>AM109*10000/(_xlfn.XLOOKUP(E109,Groups!A:A,Groups!J:J)*AL109)</f>
        <v>2.5472210495405099</v>
      </c>
      <c r="AO109" s="8">
        <f t="shared" si="37"/>
        <v>482.36579284271642</v>
      </c>
      <c r="AP109" s="8">
        <f>IF(_xlfn.XLOOKUP(E109,Groups!A:A,Groups!M:M)=1,EXP(0.7444*LN('Base stats'!C109)+6.5696),EXP(0.7927*LN('Base stats'!C109)+4.28))</f>
        <v>560.22296698291473</v>
      </c>
      <c r="AQ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"No")))))))))))))))</f>
        <v>814.17434778069526</v>
      </c>
      <c r="AR109" s="8">
        <f>IF(_xlfn.XLOOKUP(E109,Groups!A:A,Groups!U:U)=3,AP109,IF(_xlfn.XLOOKUP(E109,Groups!A:A,Groups!U:U)=2,AO109,AQ109))</f>
        <v>814.17434778069526</v>
      </c>
      <c r="AS109" s="46">
        <f>IFERROR(AVERAGE(_xlfn.XLOOKUP(B109,Animals!B:B,Animals!M:M),_xlfn.XLOOKUP(B109,Animals!B:B,Animals!N:N)),0)</f>
        <v>0</v>
      </c>
      <c r="AT109" s="8">
        <f>MROUND(40*Animals!AN109*_xlfn.XLOOKUP(Animals!AZ109,Leathers!$A$2:$A$100,Leathers!$B$2:$B$100,0)+(140*_xlfn.XLOOKUP(B109,Animals!B:B,Animals!AN:AN)*2),5)</f>
        <v>200</v>
      </c>
      <c r="AU109" s="8">
        <f>IFERROR(ROUND(SQRT(V109-1)*IF(_xlfn.XLOOKUP(E109,Groups!A:A,Groups!BE:BE)=0,2,1)*IF(_xlfn.XLOOKUP('Base stats'!E109,Groups!A:A,Groups!O:O)=0,1,0.1),1),0)</f>
        <v>2.2999999999999998</v>
      </c>
      <c r="AV109" s="8">
        <f t="shared" si="38"/>
        <v>0</v>
      </c>
      <c r="AW109" s="8">
        <f t="shared" si="39"/>
        <v>0</v>
      </c>
      <c r="AX109" s="8">
        <f t="shared" si="40"/>
        <v>1.9</v>
      </c>
      <c r="AY109" s="8">
        <f>IF(_xlfn.XLOOKUP(E109,Groups!A:A,Groups!N:N)="Insect",BA109*2.5,IFERROR(AVERAGE(BA109,AQ109/9.81/IF(OR(_xlfn.XLOOKUP(E109,Groups!A:A,Groups!N:N)="Pig",_xlfn.XLOOKUP(E109,Groups!A:A,Groups!N:N)="StrongBitingHerbivore"),20,25))*C109^-0.135,BA109))</f>
        <v>1.2894512039154595</v>
      </c>
      <c r="AZ109" s="8" t="str">
        <f>IF(W109="No","No",IF(_xlfn.XLOOKUP(E109,Groups!A:A,Groups!U:U)=1,'Base stats'!AY109,IF(OR(_xlfn.XLOOKUP(E109,Groups!A:A,Groups!BC:BC)=1,_xlfn.XLOOKUP(E109,Groups!A:A,Groups!U:U)=2),BA109,IF(_xlfn.XLOOKUP(B109,Animals!B:B,Animals!AN:AN)&gt;4,AVERAGE(BA109,BC109),BC109))))</f>
        <v>No</v>
      </c>
      <c r="BA109" s="8">
        <f>(0.0392*C109^IF(OR(Y109="Herbivore",Y109="Dendrovore",Y109="OmnivoreRough"),0.889,0.966))*C109^-0.135</f>
        <v>0.33561971314389133</v>
      </c>
      <c r="BB109" s="8">
        <f>IF(_xlfn.XLOOKUP(E109,Groups!A:A,Groups!BD:BD)=1,(0.048*C109^1.01)+(0.071*C109^1.03),0.071*C109^1.03)/IF(_xlfn.XLOOKUP(E109,Groups!A:A,Groups!M:M)=1,0.85,IF(OR(_xlfn.XLOOKUP(B109,Animals!B:B,Animals!AN:AN)&gt;4,_xlfn.XLOOKUP(E109,Groups!A:A,Groups!BB:BB)=1),1.7,1))*C109^-0.25</f>
        <v>0.53282762571007336</v>
      </c>
      <c r="BC109" s="8">
        <f>(0.048*C109^1.01)/IF(_xlfn.XLOOKUP(E109,Groups!A:A,Groups!M:M)=1,0.25,0.8)*C109^-0.25</f>
        <v>0.42759765800687999</v>
      </c>
      <c r="BD109" s="8">
        <f>EXP(1.076*LN(AO109)-4.5397)*IF(_xlfn.XLOOKUP(E109,Groups!A:A,Groups!BB:BB)=1,1.25,IF(_xlfn.XLOOKUP(E109,Groups!A:A,Groups!BC:BC)=1,3.5,2.5))</f>
        <v>20.591427987572672</v>
      </c>
      <c r="BE109" s="8">
        <f>EXP(1.076*LN(AP109)-4.5397)*IF(_xlfn.XLOOKUP(E109,Groups!A:A,Groups!M:M)=1,0.8,IF(_xlfn.XLOOKUP(E109,Groups!A:A,Groups!BB:BB)=1,1.3,3))</f>
        <v>29.026250140724073</v>
      </c>
      <c r="BF109" s="8" t="str">
        <f>IF(W109="No","No",IF(_xlfn.XLOOKUP(E109,Groups!A:A,Groups!U:U)=1,'Base stats'!BG109,IF(OR(_xlfn.XLOOKUP(E109,Groups!A:A,Groups!BC:BC)=1,_xlfn.XLOOKUP(E109,Groups!A:A,Groups!U:U)=2),BD109,BE109))*1.2)</f>
        <v>No</v>
      </c>
      <c r="BG109" s="8">
        <f>IFERROR(EXP(1.076*LN(AQ109)-4.5397)*IF(_xlfn.XLOOKUP(E109,Groups!A:A,Groups!N:N)="Insect",1,IF(OR(_xlfn.XLOOKUP(E109,Groups!A:A,Groups!N:N)="Pig",_xlfn.XLOOKUP(E109,Groups!A:A,Groups!N:N)="StrongBitingHerbivore"),3.5,3.75)),"No")</f>
        <v>54.249600793987327</v>
      </c>
      <c r="BH109" s="8">
        <f t="shared" si="29"/>
        <v>11</v>
      </c>
      <c r="BI109" s="8">
        <f t="shared" si="30"/>
        <v>10</v>
      </c>
      <c r="BJ109" s="8" t="str">
        <f>IF(W109="No","No",ROUNDDOWN(SQRT((2*BF109)/AZ109),0))</f>
        <v>No</v>
      </c>
      <c r="BK109" s="8">
        <f>IF(V109="No","No",ROUNDDOWN(SQRT((2*BG109)/AY109),0))</f>
        <v>9</v>
      </c>
      <c r="BL109" s="8">
        <f t="shared" si="31"/>
        <v>11</v>
      </c>
      <c r="BM109" s="8" t="str" cm="1">
        <f t="array" ref="BM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stats'!E109,Groups!A:A,Groups!P:P=0)),"No",IF(U109="No",AVERAGE(EXP(-0.57+0.99*LN(C109)),EXP(0.32+0.67*LN(C109)))/IF(_xlfn.XLOOKUP(E109,Groups!A:A,Groups!AD:AD)=1,10,2),(0.7354*C109^0.4078)*2/IF(_xlfn.XLOOKUP(E109,Groups!A:A,Groups!BJ:BJ)=1,1000,100)))</f>
        <v>No</v>
      </c>
      <c r="BN109" s="8" t="str">
        <f>IF(W109="No","No",IF(_xlfn.XLOOKUP(E109,Groups!A:A,Groups!BC:BC)=1,(AL109*5%),EXP(0.7354*LN(C109)^0.4078)*2/IF(_xlfn.XLOOKUP(E109,Groups!A:A,Groups!BK:BK)=1,1000,100)))</f>
        <v>No</v>
      </c>
      <c r="BO109" s="8">
        <f>IF(BG109="No","No",IF(_xlfn.XLOOKUP(E109,Groups!A:A,Groups!BE:BE)=1,(0.0315*C109+2.1825)*2,(0.7354*C109^0.4078)*2)/IF(_xlfn.XLOOKUP(E109,Groups!A:A,Groups!BL:BL)=1,1000,100))</f>
        <v>4.2188419557802559E-2</v>
      </c>
      <c r="BP109" s="8">
        <f>BD109/(AL109*5%)</f>
        <v>6.9175636105958685E-2</v>
      </c>
      <c r="BQ109" s="8" t="str">
        <f t="shared" si="32"/>
        <v>No</v>
      </c>
      <c r="BR109" s="8" t="str">
        <f>IF(W109="No","No",BF109/BN109)</f>
        <v>No</v>
      </c>
      <c r="BS109" s="8">
        <f t="shared" si="33"/>
        <v>1285.8884348502243</v>
      </c>
      <c r="BT109" s="4">
        <v>0</v>
      </c>
      <c r="BU109" s="4">
        <v>1</v>
      </c>
    </row>
    <row r="110" spans="1:73" x14ac:dyDescent="0.25">
      <c r="A110" s="26" t="s">
        <v>140</v>
      </c>
      <c r="B110" s="6" t="s">
        <v>141</v>
      </c>
      <c r="C110" s="7">
        <f>AVERAGE(828,1192)</f>
        <v>1010</v>
      </c>
      <c r="E110" s="7" t="s">
        <v>140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594</v>
      </c>
      <c r="L110" s="7">
        <v>60</v>
      </c>
      <c r="M110" s="7" t="s">
        <v>638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_xlfn.XLOOKUP(B110,[1]TeethAdjusters!$A:$A,[1]BiteAdjusters!$C:$C)</f>
        <v>1</v>
      </c>
      <c r="T110" s="7">
        <f>_xlfn.XLOOKUP(B110,[1]TeethAdjusters!$A:$A,[1]TeethAdjusters!$B:$B)</f>
        <v>1</v>
      </c>
      <c r="U110" s="7" t="s">
        <v>45</v>
      </c>
      <c r="V110" s="7" t="str">
        <f>IF(AQ110="No","No",IF(_xlfn.XLOOKUP(E110,Groups!A:A,Groups!AM:AM)=1,MROUND(EXP(0.3582*LN(C110)-0.2221)*T110,0.05),IF(_xlfn.XLOOKUP(E110,Groups!A:A,Groups!AM:AM)=2,MROUND(EXP(0.3582*LN(C110)-0.2221)*T110,0.05),"Need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945</v>
      </c>
      <c r="Y110" s="4" t="s">
        <v>42</v>
      </c>
      <c r="Z110" s="4">
        <v>0</v>
      </c>
      <c r="AA110" s="4">
        <v>0</v>
      </c>
      <c r="AB110" s="4">
        <v>0</v>
      </c>
      <c r="AC110" s="4" t="s">
        <v>45</v>
      </c>
      <c r="AD110" s="4" t="s">
        <v>407</v>
      </c>
      <c r="AE110" s="28" t="s">
        <v>401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4" t="s">
        <v>40</v>
      </c>
      <c r="AL110" s="8">
        <f t="shared" si="36"/>
        <v>99570.771403361592</v>
      </c>
      <c r="AM110" s="8">
        <f>IFERROR(C110*_xlfn.XLOOKUP(E110,Groups!A:A,Groups!K:K),0.106*C110^0.94)</f>
        <v>70.691623640156394</v>
      </c>
      <c r="AN110" s="8">
        <f>AM110*10000/(_xlfn.XLOOKUP(E110,Groups!A:A,Groups!J:J)*AL110)</f>
        <v>6.5134275524061964</v>
      </c>
      <c r="AO110" s="8">
        <f t="shared" si="37"/>
        <v>18758.193612802883</v>
      </c>
      <c r="AP110" s="8">
        <f>IF(_xlfn.XLOOKUP(E110,Groups!A:A,Groups!M:M)=1,EXP(0.7444*LN('Base stats'!C110)+6.5696),EXP(0.7927*LN('Base stats'!C110)+4.28))</f>
        <v>17390.254410050497</v>
      </c>
      <c r="AQ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"No")))))))))))))))</f>
        <v>No</v>
      </c>
      <c r="AR110" s="8" t="str">
        <f>IF(_xlfn.XLOOKUP(E110,Groups!A:A,Groups!U:U)=3,AP110,IF(_xlfn.XLOOKUP(E110,Groups!A:A,Groups!U:U)=2,AO110,AQ110))</f>
        <v>No</v>
      </c>
      <c r="AS110" s="46">
        <f>IFERROR(AVERAGE(_xlfn.XLOOKUP(B110,Animals!B:B,Animals!M:M),_xlfn.XLOOKUP(B110,Animals!B:B,Animals!N:N)),0)</f>
        <v>0</v>
      </c>
      <c r="AT110" s="8">
        <f>MROUND(40*Animals!AN110*_xlfn.XLOOKUP(Animals!AZ110,Leathers!$A$2:$A$100,Leathers!$B$2:$B$100,0)+(140*_xlfn.XLOOKUP(B110,Animals!B:B,Animals!AN:AN)*2),5)</f>
        <v>1275</v>
      </c>
      <c r="AU110" s="8">
        <f>IFERROR(ROUND(SQRT(V110-1)*IF(_xlfn.XLOOKUP(E110,Groups!A:A,Groups!BE:BE)=0,2,1)*IF(_xlfn.XLOOKUP('Base stats'!E110,Groups!A:A,Groups!O:O)=0,1,0.1),1),0)</f>
        <v>0</v>
      </c>
      <c r="AV110" s="8">
        <f t="shared" si="38"/>
        <v>0</v>
      </c>
      <c r="AW110" s="8">
        <f t="shared" si="39"/>
        <v>0</v>
      </c>
      <c r="AX110" s="8">
        <f t="shared" si="40"/>
        <v>9.5</v>
      </c>
      <c r="AY110" s="8">
        <f>IF(_xlfn.XLOOKUP(E110,Groups!A:A,Groups!N:N)="Insect",BA110*2.5,IFERROR(AVERAGE(BA110,AQ110/9.81/IF(OR(_xlfn.XLOOKUP(E110,Groups!A:A,Groups!N:N)="Pig",_xlfn.XLOOKUP(E110,Groups!A:A,Groups!N:N)="StrongBitingHerbivore"),20,25))*C110^-0.135,BA110))</f>
        <v>7.2201194539052933</v>
      </c>
      <c r="AZ110" s="8" t="str">
        <f>IF(W110="No","No",IF(_xlfn.XLOOKUP(E110,Groups!A:A,Groups!U:U)=1,'Base stats'!AY110,IF(OR(_xlfn.XLOOKUP(E110,Groups!A:A,Groups!BC:BC)=1,_xlfn.XLOOKUP(E110,Groups!A:A,Groups!U:U)=2),BA110,IF(_xlfn.XLOOKUP(B110,Animals!B:B,Animals!AN:AN)&gt;4,AVERAGE(BA110,BC110),BC110))))</f>
        <v>No</v>
      </c>
      <c r="BA110" s="8">
        <f>(0.0392*C110^IF(OR(Y110="Herbivore",Y110="Dendrovore",Y110="OmnivoreRough"),0.889,0.966))*C110^-0.135</f>
        <v>7.2201194539052933</v>
      </c>
      <c r="BB110" s="8">
        <f>IF(_xlfn.XLOOKUP(E110,Groups!A:A,Groups!BD:BD)=1,(0.048*C110^1.01)+(0.071*C110^1.03),0.071*C110^1.03)/IF(_xlfn.XLOOKUP(E110,Groups!A:A,Groups!M:M)=1,0.85,IF(OR(_xlfn.XLOOKUP(B110,Animals!B:B,Animals!AN:AN)&gt;4,_xlfn.XLOOKUP(E110,Groups!A:A,Groups!BB:BB)=1),1.7,1))*C110^-0.25</f>
        <v>15.654133033705964</v>
      </c>
      <c r="BC110" s="8">
        <f>(0.048*C110^1.01)/IF(_xlfn.XLOOKUP(E110,Groups!A:A,Groups!M:M)=1,0.25,0.8)*C110^-0.25</f>
        <v>11.519549478279703</v>
      </c>
      <c r="BD110" s="8">
        <f>EXP(1.076*LN(AO110)-4.5397)*IF(_xlfn.XLOOKUP(E110,Groups!A:A,Groups!BB:BB)=1,1.25,IF(_xlfn.XLOOKUP(E110,Groups!A:A,Groups!BC:BC)=1,3.5,2.5))</f>
        <v>1057.6132433293185</v>
      </c>
      <c r="BE110" s="8">
        <f>EXP(1.076*LN(AP110)-4.5397)*IF(_xlfn.XLOOKUP(E110,Groups!A:A,Groups!M:M)=1,0.8,IF(_xlfn.XLOOKUP(E110,Groups!A:A,Groups!BB:BB)=1,1.3,3))</f>
        <v>1169.832767236893</v>
      </c>
      <c r="BF110" s="8" t="str">
        <f>IF(W110="No","No",IF(_xlfn.XLOOKUP(E110,Groups!A:A,Groups!U:U)=1,'Base stats'!BG110,IF(OR(_xlfn.XLOOKUP(E110,Groups!A:A,Groups!BC:BC)=1,_xlfn.XLOOKUP(E110,Groups!A:A,Groups!U:U)=2),BD110,BE110))*1.2)</f>
        <v>No</v>
      </c>
      <c r="BG110" s="8" t="str">
        <f>IFERROR(EXP(1.076*LN(AQ110)-4.5397)*IF(_xlfn.XLOOKUP(E110,Groups!A:A,Groups!N:N)="Insect",1,IF(OR(_xlfn.XLOOKUP(E110,Groups!A:A,Groups!N:N)="Pig",_xlfn.XLOOKUP(E110,Groups!A:A,Groups!N:N)="StrongBitingHerbivore"),3.5,3.75)),"No")</f>
        <v>No</v>
      </c>
      <c r="BH110" s="8">
        <f t="shared" si="29"/>
        <v>17</v>
      </c>
      <c r="BI110" s="8">
        <f t="shared" si="30"/>
        <v>12</v>
      </c>
      <c r="BJ110" s="8" t="str">
        <f>IF(W110="No","No",ROUNDDOWN(SQRT((2*BF110)/AZ110),0))</f>
        <v>No</v>
      </c>
      <c r="BK110" s="8" t="str">
        <f>IF(V110="No","No",ROUNDDOWN(SQRT((2*BG110)/AY110),0))</f>
        <v>No</v>
      </c>
      <c r="BL110" s="8">
        <f t="shared" si="31"/>
        <v>14</v>
      </c>
      <c r="BM110" s="8" cm="1">
        <f t="array" ref="BM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stats'!E110,Groups!A:A,Groups!P:P=0)),"No",IF(U110="No",AVERAGE(EXP(-0.57+0.99*LN(C110)),EXP(0.32+0.67*LN(C110)))/IF(_xlfn.XLOOKUP(E110,Groups!A:A,Groups!AD:AD)=1,10,2),(0.7354*C110^0.4078)*2/IF(_xlfn.XLOOKUP(E110,Groups!A:A,Groups!BJ:BJ)=1,1000,100)))</f>
        <v>168.71673390375884</v>
      </c>
      <c r="BN110" s="8" t="str">
        <f>IF(W110="No","No",IF(_xlfn.XLOOKUP(E110,Groups!A:A,Groups!BC:BC)=1,(AL110*5%),EXP(0.7354*LN(C110)^0.4078)*2/IF(_xlfn.XLOOKUP(E110,Groups!A:A,Groups!BK:BK)=1,1000,100)))</f>
        <v>No</v>
      </c>
      <c r="BO110" s="8" t="str">
        <f>IF(BG110="No","No",IF(_xlfn.XLOOKUP(E110,Groups!A:A,Groups!BE:BE)=1,(0.0315*C110+2.1825)*2,(0.7354*C110^0.4078)*2)/IF(_xlfn.XLOOKUP(E110,Groups!A:A,Groups!BL:BL)=1,1000,100))</f>
        <v>No</v>
      </c>
      <c r="BP110" s="8">
        <f>BD110/(AL110*5%)</f>
        <v>0.21243447819539793</v>
      </c>
      <c r="BQ110" s="8">
        <f t="shared" si="32"/>
        <v>6.9337091832526889</v>
      </c>
      <c r="BR110" s="8" t="str">
        <f>IF(W110="No","No",BF110/BN110)</f>
        <v>No</v>
      </c>
      <c r="BS110" s="8" t="str">
        <f t="shared" si="33"/>
        <v>No</v>
      </c>
      <c r="BT110" s="4">
        <v>0.25</v>
      </c>
      <c r="BU110" s="4">
        <v>1</v>
      </c>
    </row>
    <row r="111" spans="1:73" x14ac:dyDescent="0.25">
      <c r="A111" s="26" t="s">
        <v>94</v>
      </c>
      <c r="B111" s="6" t="s">
        <v>95</v>
      </c>
      <c r="C111" s="7">
        <f>AVERAGE(313,302)</f>
        <v>307.5</v>
      </c>
      <c r="E111" s="7" t="str">
        <f>Groups!A22</f>
        <v>Horselike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607</v>
      </c>
      <c r="L111" s="7">
        <v>70</v>
      </c>
      <c r="M111" s="7" t="s">
        <v>638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_xlfn.XLOOKUP(B111,[1]TeethAdjusters!$A:$A,[1]BiteAdjusters!$C:$C)</f>
        <v>1</v>
      </c>
      <c r="T111" s="7">
        <f>_xlfn.XLOOKUP(B111,[1]TeethAdjusters!$A:$A,[1]TeethAdjusters!$B:$B)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945</v>
      </c>
      <c r="Y111" s="4" t="s">
        <v>42</v>
      </c>
      <c r="Z111" s="4">
        <v>0</v>
      </c>
      <c r="AA111" s="4">
        <v>0</v>
      </c>
      <c r="AB111" s="4">
        <v>0</v>
      </c>
      <c r="AC111" s="4" t="s">
        <v>45</v>
      </c>
      <c r="AD111" s="4" t="s">
        <v>410</v>
      </c>
      <c r="AE111" s="28" t="s">
        <v>401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4" t="s">
        <v>40</v>
      </c>
      <c r="AL111" s="8">
        <f t="shared" si="36"/>
        <v>45964.475299594313</v>
      </c>
      <c r="AM111" s="8">
        <f>IFERROR(C111*_xlfn.XLOOKUP(E111,Groups!A:A,Groups!K:K),0.106*C111^0.94)</f>
        <v>23.114275118066921</v>
      </c>
      <c r="AN111" s="8">
        <f>AM111*10000/(_xlfn.XLOOKUP(E111,Groups!A:A,Groups!J:J)*AL111)</f>
        <v>4.6135100750816971</v>
      </c>
      <c r="AO111" s="8">
        <f t="shared" si="37"/>
        <v>6869.4746092289315</v>
      </c>
      <c r="AP111" s="8">
        <f>IF(_xlfn.XLOOKUP(E111,Groups!A:A,Groups!M:M)=1,EXP(0.7444*LN('Base stats'!C111)+6.5696),EXP(0.7927*LN('Base stats'!C111)+4.28))</f>
        <v>6774.7801948725964</v>
      </c>
      <c r="AQ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"No")))))))))))))))</f>
        <v>3968.6993291858662</v>
      </c>
      <c r="AR111" s="8">
        <f>IF(_xlfn.XLOOKUP(E111,Groups!A:A,Groups!U:U)=3,AP111,IF(_xlfn.XLOOKUP(E111,Groups!A:A,Groups!U:U)=2,AO111,AQ111))</f>
        <v>3968.6993291858662</v>
      </c>
      <c r="AS111" s="46">
        <f>IFERROR(AVERAGE(_xlfn.XLOOKUP(B111,Animals!B:B,Animals!M:M),_xlfn.XLOOKUP(B111,Animals!B:B,Animals!N:N)),0)</f>
        <v>0</v>
      </c>
      <c r="AT111" s="8">
        <f>MROUND(40*Animals!AN111*_xlfn.XLOOKUP(Animals!AZ111,Leathers!$A$2:$A$100,Leathers!$B$2:$B$100,0)+(140*_xlfn.XLOOKUP(B111,Animals!B:B,Animals!AN:AN)*2),5)</f>
        <v>820</v>
      </c>
      <c r="AU111" s="8">
        <f>IFERROR(ROUND(SQRT(V111-1)*IF(_xlfn.XLOOKUP(E111,Groups!A:A,Groups!BE:BE)=0,2,1)*IF(_xlfn.XLOOKUP('Base stats'!E111,Groups!A:A,Groups!O:O)=0,1,0.1),1),0)</f>
        <v>0.7</v>
      </c>
      <c r="AV111" s="8">
        <f t="shared" si="38"/>
        <v>0</v>
      </c>
      <c r="AW111" s="8">
        <f t="shared" si="39"/>
        <v>0</v>
      </c>
      <c r="AX111" s="8">
        <f t="shared" si="40"/>
        <v>6.2</v>
      </c>
      <c r="AY111" s="8">
        <f>IF(_xlfn.XLOOKUP(E111,Groups!A:A,Groups!N:N)="Insect",BA111*2.5,IFERROR(AVERAGE(BA111,AQ111/9.81/IF(OR(_xlfn.XLOOKUP(E111,Groups!A:A,Groups!N:N)="Pig",_xlfn.XLOOKUP(E111,Groups!A:A,Groups!N:N)="StrongBitingHerbivore"),20,25))*C111^-0.135,BA111))</f>
        <v>5.3468065944260559</v>
      </c>
      <c r="AZ111" s="8" t="str">
        <f>IF(W111="No","No",IF(_xlfn.XLOOKUP(E111,Groups!A:A,Groups!U:U)=1,'Base stats'!AY111,IF(OR(_xlfn.XLOOKUP(E111,Groups!A:A,Groups!BC:BC)=1,_xlfn.XLOOKUP(E111,Groups!A:A,Groups!U:U)=2),BA111,IF(_xlfn.XLOOKUP(B111,Animals!B:B,Animals!AN:AN)&gt;4,AVERAGE(BA111,BC111),BC111))))</f>
        <v>No</v>
      </c>
      <c r="BA111" s="8">
        <f>(0.0392*C111^IF(OR(Y111="Herbivore",Y111="Dendrovore",Y111="OmnivoreRough"),0.889,0.966))*C111^-0.135</f>
        <v>2.9452440519384546</v>
      </c>
      <c r="BB111" s="8">
        <f>IF(_xlfn.XLOOKUP(E111,Groups!A:A,Groups!BD:BD)=1,(0.048*C111^1.01)+(0.071*C111^1.03),0.071*C111^1.03)/IF(_xlfn.XLOOKUP(E111,Groups!A:A,Groups!M:M)=1,0.85,IF(OR(_xlfn.XLOOKUP(B111,Animals!B:B,Animals!AN:AN)&gt;4,_xlfn.XLOOKUP(E111,Groups!A:A,Groups!BB:BB)=1),1.7,1))*C111^-0.25</f>
        <v>6.1912386154854469</v>
      </c>
      <c r="BC111" s="8">
        <f>(0.048*C111^1.01)/IF(_xlfn.XLOOKUP(E111,Groups!A:A,Groups!M:M)=1,0.25,0.8)*C111^-0.25</f>
        <v>4.6656648810088752</v>
      </c>
      <c r="BD111" s="8">
        <f>EXP(1.076*LN(AO111)-4.5397)*IF(_xlfn.XLOOKUP(E111,Groups!A:A,Groups!BB:BB)=1,1.25,IF(_xlfn.XLOOKUP(E111,Groups!A:A,Groups!BC:BC)=1,3.5,2.5))</f>
        <v>358.84182730808686</v>
      </c>
      <c r="BE111" s="8">
        <f>EXP(1.076*LN(AP111)-4.5397)*IF(_xlfn.XLOOKUP(E111,Groups!A:A,Groups!M:M)=1,0.8,IF(_xlfn.XLOOKUP(E111,Groups!A:A,Groups!BB:BB)=1,1.3,3))</f>
        <v>424.22654536784819</v>
      </c>
      <c r="BF111" s="8" t="str">
        <f>IF(W111="No","No",IF(_xlfn.XLOOKUP(E111,Groups!A:A,Groups!U:U)=1,'Base stats'!BG111,IF(OR(_xlfn.XLOOKUP(E111,Groups!A:A,Groups!BC:BC)=1,_xlfn.XLOOKUP(E111,Groups!A:A,Groups!U:U)=2),BD111,BE111))*1.2)</f>
        <v>No</v>
      </c>
      <c r="BG111" s="8">
        <f>IFERROR(EXP(1.076*LN(AQ111)-4.5397)*IF(_xlfn.XLOOKUP(E111,Groups!A:A,Groups!N:N)="Insect",1,IF(OR(_xlfn.XLOOKUP(E111,Groups!A:A,Groups!N:N)="Pig",_xlfn.XLOOKUP(E111,Groups!A:A,Groups!N:N)="StrongBitingHerbivore"),3.5,3.75)),"No")</f>
        <v>278.38565051291096</v>
      </c>
      <c r="BH111" s="8">
        <f t="shared" si="29"/>
        <v>15</v>
      </c>
      <c r="BI111" s="8">
        <f t="shared" si="30"/>
        <v>11</v>
      </c>
      <c r="BJ111" s="8" t="str">
        <f>IF(W111="No","No",ROUNDDOWN(SQRT((2*BF111)/AZ111),0))</f>
        <v>No</v>
      </c>
      <c r="BK111" s="8">
        <f>IF(V111="No","No",ROUNDDOWN(SQRT((2*BG111)/AY111),0))</f>
        <v>10</v>
      </c>
      <c r="BL111" s="8">
        <f t="shared" si="31"/>
        <v>13</v>
      </c>
      <c r="BM111" s="8" cm="1">
        <f t="array" ref="BM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stats'!E111,Groups!A:A,Groups!P:P=0)),"No",IF(U111="No",AVERAGE(EXP(-0.57+0.99*LN(C111)),EXP(0.32+0.67*LN(C111)))/IF(_xlfn.XLOOKUP(E111,Groups!A:A,Groups!AD:AD)=1,10,2),(0.7354*C111^0.4078)*2/IF(_xlfn.XLOOKUP(E111,Groups!A:A,Groups!BJ:BJ)=1,1000,100)))</f>
        <v>57.041444978891874</v>
      </c>
      <c r="BN111" s="8" t="str">
        <f>IF(W111="No","No",IF(_xlfn.XLOOKUP(E111,Groups!A:A,Groups!BC:BC)=1,(AL111*5%),EXP(0.7354*LN(C111)^0.4078)*2/IF(_xlfn.XLOOKUP(E111,Groups!A:A,Groups!BK:BK)=1,1000,100)))</f>
        <v>No</v>
      </c>
      <c r="BO111" s="8">
        <f>IF(BG111="No","No",IF(_xlfn.XLOOKUP(E111,Groups!A:A,Groups!BE:BE)=1,(0.0315*C111+2.1825)*2,(0.7354*C111^0.4078)*2)/IF(_xlfn.XLOOKUP(E111,Groups!A:A,Groups!BL:BL)=1,1000,100))</f>
        <v>0.23737499999999997</v>
      </c>
      <c r="BP111" s="8">
        <f>BD111/(AL111*5%)</f>
        <v>0.15613876802429377</v>
      </c>
      <c r="BQ111" s="8">
        <f t="shared" si="32"/>
        <v>7.4371633734880449</v>
      </c>
      <c r="BR111" s="8" t="str">
        <f>IF(W111="No","No",BF111/BN111)</f>
        <v>No</v>
      </c>
      <c r="BS111" s="8">
        <f t="shared" si="33"/>
        <v>1172.7673533982559</v>
      </c>
      <c r="BT111" s="4">
        <v>0</v>
      </c>
      <c r="BU111" s="4">
        <v>1</v>
      </c>
    </row>
    <row r="112" spans="1:73" x14ac:dyDescent="0.25">
      <c r="A112" s="26" t="s">
        <v>152</v>
      </c>
      <c r="B112" s="6" t="s">
        <v>153</v>
      </c>
      <c r="C112" s="7">
        <f>AVERAGE(250,200)</f>
        <v>225</v>
      </c>
      <c r="E112" s="7" t="str">
        <f>Groups!A49</f>
        <v>Ruminant (bovid, harmless)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595</v>
      </c>
      <c r="L112" s="7">
        <v>80</v>
      </c>
      <c r="M112" s="7" t="s">
        <v>638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_xlfn.XLOOKUP(B112,[1]TeethAdjusters!$A:$A,[1]BiteAdjusters!$C:$C)</f>
        <v>1</v>
      </c>
      <c r="T112" s="7">
        <f>_xlfn.XLOOKUP(B112,[1]TeethAdjusters!$A:$A,[1]TeethAdjusters!$B:$B)</f>
        <v>1</v>
      </c>
      <c r="U112" s="7" t="s">
        <v>45</v>
      </c>
      <c r="V112" s="7" t="str">
        <f>IF(AQ112="No","No",IF(_xlfn.XLOOKUP(E112,Groups!A:A,Groups!AM:AM)=1,MROUND(EXP(0.3582*LN(C112)-0.2221)*T112,0.05),IF(_xlfn.XLOOKUP(E112,Groups!A:A,Groups!AM:AM)=2,MROUND(EXP(0.3582*LN(C112)-0.2221)*T112,0.05),"Need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945</v>
      </c>
      <c r="Y112" s="4" t="s">
        <v>42</v>
      </c>
      <c r="Z112" s="4">
        <v>0</v>
      </c>
      <c r="AA112" s="4">
        <v>0</v>
      </c>
      <c r="AB112" s="4">
        <v>0</v>
      </c>
      <c r="AC112" s="4" t="s">
        <v>45</v>
      </c>
      <c r="AD112" s="4" t="s">
        <v>410</v>
      </c>
      <c r="AE112" s="28" t="s">
        <v>401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4" t="s">
        <v>40</v>
      </c>
      <c r="AL112" s="8">
        <f t="shared" si="36"/>
        <v>37518.167291030215</v>
      </c>
      <c r="AM112" s="8">
        <f>IFERROR(C112*_xlfn.XLOOKUP(E112,Groups!A:A,Groups!K:K),0.106*C112^0.94)</f>
        <v>17.232862875886827</v>
      </c>
      <c r="AN112" s="8">
        <f>AM112*10000/(_xlfn.XLOOKUP(E112,Groups!A:A,Groups!J:J)*AL112)</f>
        <v>4.213949423099991</v>
      </c>
      <c r="AO112" s="8">
        <f t="shared" si="37"/>
        <v>5276.2980808141829</v>
      </c>
      <c r="AP112" s="8">
        <f>IF(_xlfn.XLOOKUP(E112,Groups!A:A,Groups!M:M)=1,EXP(0.7444*LN('Base stats'!C112)+6.5696),EXP(0.7927*LN('Base stats'!C112)+4.28))</f>
        <v>5288.7795472348907</v>
      </c>
      <c r="AQ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"No")))))))))))))))</f>
        <v>No</v>
      </c>
      <c r="AR112" s="8">
        <f>IF(_xlfn.XLOOKUP(E112,Groups!A:A,Groups!U:U)=3,AP112,IF(_xlfn.XLOOKUP(E112,Groups!A:A,Groups!U:U)=2,AO112,AQ112))</f>
        <v>5288.7795472348907</v>
      </c>
      <c r="AS112" s="46">
        <f>IFERROR(AVERAGE(_xlfn.XLOOKUP(B112,Animals!B:B,Animals!M:M),_xlfn.XLOOKUP(B112,Animals!B:B,Animals!N:N)),0)</f>
        <v>0</v>
      </c>
      <c r="AT112" s="8">
        <f>MROUND(40*Animals!AN112*_xlfn.XLOOKUP(Animals!AZ112,Leathers!$A$2:$A$100,Leathers!$B$2:$B$100,0)+(140*_xlfn.XLOOKUP(B112,Animals!B:B,Animals!AN:AN)*2),5)</f>
        <v>730</v>
      </c>
      <c r="AU112" s="8">
        <f>IFERROR(ROUND(SQRT(V112-1)*IF(_xlfn.XLOOKUP(E112,Groups!A:A,Groups!BE:BE)=0,2,1)*IF(_xlfn.XLOOKUP('Base stats'!E112,Groups!A:A,Groups!O:O)=0,1,0.1),1),0)</f>
        <v>0</v>
      </c>
      <c r="AV112" s="8">
        <f t="shared" si="38"/>
        <v>0</v>
      </c>
      <c r="AW112" s="8">
        <f t="shared" si="39"/>
        <v>6.7</v>
      </c>
      <c r="AX112" s="8">
        <f t="shared" si="40"/>
        <v>5.6</v>
      </c>
      <c r="AY112" s="8">
        <f>IF(_xlfn.XLOOKUP(E112,Groups!A:A,Groups!N:N)="Insect",BA112*2.5,IFERROR(AVERAGE(BA112,AQ112/9.81/IF(OR(_xlfn.XLOOKUP(E112,Groups!A:A,Groups!N:N)="Pig",_xlfn.XLOOKUP(E112,Groups!A:A,Groups!N:N)="StrongBitingHerbivore"),20,25))*C112^-0.135,BA112))</f>
        <v>2.3271891619698901</v>
      </c>
      <c r="AZ112" s="8">
        <f>IF(W112="No","No",IF(_xlfn.XLOOKUP(E112,Groups!A:A,Groups!U:U)=1,'Base stats'!AY112,IF(OR(_xlfn.XLOOKUP(E112,Groups!A:A,Groups!BC:BC)=1,_xlfn.XLOOKUP(E112,Groups!A:A,Groups!U:U)=2),BA112,IF(_xlfn.XLOOKUP(B112,Animals!B:B,Animals!AN:AN)&gt;4,AVERAGE(BA112,BC112),BC112))))</f>
        <v>3.6796792531617739</v>
      </c>
      <c r="BA112" s="8">
        <f>(0.0392*C112^IF(OR(Y112="Herbivore",Y112="Dendrovore",Y112="OmnivoreRough"),0.889,0.966))*C112^-0.135</f>
        <v>2.3271891619698901</v>
      </c>
      <c r="BB112" s="8">
        <f>IF(_xlfn.XLOOKUP(E112,Groups!A:A,Groups!BD:BD)=1,(0.048*C112^1.01)+(0.071*C112^1.03),0.071*C112^1.03)/IF(_xlfn.XLOOKUP(E112,Groups!A:A,Groups!M:M)=1,0.85,IF(OR(_xlfn.XLOOKUP(B112,Animals!B:B,Animals!AN:AN)&gt;4,_xlfn.XLOOKUP(E112,Groups!A:A,Groups!BB:BB)=1),1.7,1))*C112^-0.25</f>
        <v>4.8524460197198902</v>
      </c>
      <c r="BC112" s="8">
        <f>(0.048*C112^1.01)/IF(_xlfn.XLOOKUP(E112,Groups!A:A,Groups!M:M)=1,0.25,0.8)*C112^-0.25</f>
        <v>3.6796792531617739</v>
      </c>
      <c r="BD112" s="8">
        <f>EXP(1.076*LN(AO112)-4.5397)*IF(_xlfn.XLOOKUP(E112,Groups!A:A,Groups!BB:BB)=1,1.25,IF(_xlfn.XLOOKUP(E112,Groups!A:A,Groups!BC:BC)=1,3.5,2.5))</f>
        <v>270.14672095717975</v>
      </c>
      <c r="BE112" s="8">
        <f>EXP(1.076*LN(AP112)-4.5397)*IF(_xlfn.XLOOKUP(E112,Groups!A:A,Groups!M:M)=1,0.8,IF(_xlfn.XLOOKUP(E112,Groups!A:A,Groups!BB:BB)=1,1.3,3))</f>
        <v>325.00128281545972</v>
      </c>
      <c r="BF112" s="8">
        <f>IF(W112="No","No",IF(_xlfn.XLOOKUP(E112,Groups!A:A,Groups!U:U)=1,'Base stats'!BG112,IF(OR(_xlfn.XLOOKUP(E112,Groups!A:A,Groups!BC:BC)=1,_xlfn.XLOOKUP(E112,Groups!A:A,Groups!U:U)=2),BD112,BE112))*1.2)</f>
        <v>390.00153937855163</v>
      </c>
      <c r="BG112" s="8" t="str">
        <f>IFERROR(EXP(1.076*LN(AQ112)-4.5397)*IF(_xlfn.XLOOKUP(E112,Groups!A:A,Groups!N:N)="Insect",1,IF(OR(_xlfn.XLOOKUP(E112,Groups!A:A,Groups!N:N)="Pig",_xlfn.XLOOKUP(E112,Groups!A:A,Groups!N:N)="StrongBitingHerbivore"),3.5,3.75)),"No")</f>
        <v>No</v>
      </c>
      <c r="BH112" s="8">
        <f t="shared" si="29"/>
        <v>15</v>
      </c>
      <c r="BI112" s="8">
        <f t="shared" si="30"/>
        <v>11</v>
      </c>
      <c r="BJ112" s="8">
        <f>IF(W112="No","No",ROUNDDOWN(SQRT((2*BF112)/AZ112),0))</f>
        <v>14</v>
      </c>
      <c r="BK112" s="8" t="str">
        <f>IF(V112="No","No",ROUNDDOWN(SQRT((2*BG112)/AY112),0))</f>
        <v>No</v>
      </c>
      <c r="BL112" s="8">
        <f t="shared" si="31"/>
        <v>13</v>
      </c>
      <c r="BM112" s="8" cm="1">
        <f t="array" ref="BM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stats'!E112,Groups!A:A,Groups!P:P=0)),"No",IF(U112="No",AVERAGE(EXP(-0.57+0.99*LN(C112)),EXP(0.32+0.67*LN(C112)))/IF(_xlfn.XLOOKUP(E112,Groups!A:A,Groups!AD:AD)=1,10,2),(0.7354*C112^0.4078)*2/IF(_xlfn.XLOOKUP(E112,Groups!A:A,Groups!BJ:BJ)=1,1000,100)))</f>
        <v>43.101832178457833</v>
      </c>
      <c r="BN112" s="8">
        <f>IF(W112="No","No",IF(_xlfn.XLOOKUP(E112,Groups!A:A,Groups!BC:BC)=1,(AL112*5%),EXP(0.7354*LN(C112)^0.4078)*2/IF(_xlfn.XLOOKUP(E112,Groups!A:A,Groups!BK:BK)=1,1000,100)))</f>
        <v>8.6516845033286174E-2</v>
      </c>
      <c r="BO112" s="8" t="str">
        <f>IF(BG112="No","No",IF(_xlfn.XLOOKUP(E112,Groups!A:A,Groups!BE:BE)=1,(0.0315*C112+2.1825)*2,(0.7354*C112^0.4078)*2)/IF(_xlfn.XLOOKUP(E112,Groups!A:A,Groups!BL:BL)=1,1000,100))</f>
        <v>No</v>
      </c>
      <c r="BP112" s="8">
        <f>BD112/(AL112*5%)</f>
        <v>0.14400848466911442</v>
      </c>
      <c r="BQ112" s="8">
        <f t="shared" si="32"/>
        <v>7.5403124737211149</v>
      </c>
      <c r="BR112" s="8">
        <f>IF(W112="No","No",BF112/BN112)</f>
        <v>4507.8104642917096</v>
      </c>
      <c r="BS112" s="8" t="str">
        <f t="shared" si="33"/>
        <v>No</v>
      </c>
      <c r="BT112" s="4">
        <v>0</v>
      </c>
      <c r="BU112" s="4">
        <v>1</v>
      </c>
    </row>
    <row r="113" spans="1:73" x14ac:dyDescent="0.25">
      <c r="A113" s="26" t="s">
        <v>468</v>
      </c>
      <c r="B113" s="6" t="s">
        <v>255</v>
      </c>
      <c r="C113" s="7">
        <f>EXP(3.189*LN((((450*10-84.981)/1.799)/10)*10)-11.893)/1000</f>
        <v>441.90746147008002</v>
      </c>
      <c r="E113" s="7" t="s">
        <v>195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880</v>
      </c>
      <c r="L113" s="7">
        <v>12</v>
      </c>
      <c r="M113" s="7" t="s">
        <v>538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_xlfn.XLOOKUP(B113,[1]TeethAdjusters!$A:$A,[1]BiteAdjusters!$C:$C)</f>
        <v>0.93326681947193157</v>
      </c>
      <c r="T113" s="7">
        <f>_xlfn.XLOOKUP(B113,[1]TeethAdjusters!$A:$A,[1]TeethAdjusters!$B:$B)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945</v>
      </c>
      <c r="Y113" s="4" t="s">
        <v>56</v>
      </c>
      <c r="Z113" s="4">
        <v>0</v>
      </c>
      <c r="AA113" s="4">
        <v>0</v>
      </c>
      <c r="AB113" s="4">
        <v>0</v>
      </c>
      <c r="AC113" s="4" t="s">
        <v>45</v>
      </c>
      <c r="AD113" s="4" t="s">
        <v>45</v>
      </c>
      <c r="AE113" s="28" t="s">
        <v>395</v>
      </c>
      <c r="AF113" s="4">
        <v>0</v>
      </c>
      <c r="AG113" s="4">
        <v>1</v>
      </c>
      <c r="AH113" s="4">
        <v>0</v>
      </c>
      <c r="AI113" s="4">
        <v>0</v>
      </c>
      <c r="AJ113" s="4">
        <v>0</v>
      </c>
      <c r="AK113" s="44">
        <v>15</v>
      </c>
      <c r="AL113" s="8">
        <f t="shared" si="36"/>
        <v>58181.959842982193</v>
      </c>
      <c r="AM113" s="8">
        <f>IFERROR(C113*_xlfn.XLOOKUP(E113,Groups!A:A,Groups!K:K),0.106*C113^0.94)</f>
        <v>88.381492294016013</v>
      </c>
      <c r="AN113" s="8">
        <f>AM113*10000/(_xlfn.XLOOKUP(E113,Groups!A:A,Groups!J:J)*AL113)</f>
        <v>8.1669526893051607</v>
      </c>
      <c r="AO113" s="8">
        <f t="shared" si="37"/>
        <v>9331.5143440749944</v>
      </c>
      <c r="AP113" s="8">
        <f>IF(_xlfn.XLOOKUP(E113,Groups!A:A,Groups!M:M)=1,EXP(0.7444*LN('Base stats'!C113)+6.5696),EXP(0.7927*LN('Base stats'!C113)+4.28))</f>
        <v>9030.9727417374725</v>
      </c>
      <c r="AQ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"No")))))))))))))))</f>
        <v>14137.575419285498</v>
      </c>
      <c r="AR113" s="8">
        <f>IF(_xlfn.XLOOKUP(E113,Groups!A:A,Groups!U:U)=3,AP113,IF(_xlfn.XLOOKUP(E113,Groups!A:A,Groups!U:U)=2,AO113,AQ113))</f>
        <v>14137.575419285498</v>
      </c>
      <c r="AS113" s="46">
        <f>IFERROR(AVERAGE(_xlfn.XLOOKUP(B113,Animals!B:B,Animals!M:M),_xlfn.XLOOKUP(B113,Animals!B:B,Animals!N:N)),0)</f>
        <v>0.30000000000000004</v>
      </c>
      <c r="AT113" s="8">
        <f>MROUND(40*Animals!AN113*_xlfn.XLOOKUP(Animals!AZ113,Leathers!$A$2:$A$100,Leathers!$B$2:$B$100,0)+(140*_xlfn.XLOOKUP(B113,Animals!B:B,Animals!AN:AN)*2),5)</f>
        <v>1255</v>
      </c>
      <c r="AU113" s="8">
        <f>IFERROR(ROUND(SQRT(V113-1)*IF(_xlfn.XLOOKUP(E113,Groups!A:A,Groups!BE:BE)=0,2,1)*IF(_xlfn.XLOOKUP('Base stats'!E113,Groups!A:A,Groups!O:O)=0,1,0.1),1),0)</f>
        <v>2.2000000000000002</v>
      </c>
      <c r="AV113" s="8">
        <f t="shared" si="38"/>
        <v>0</v>
      </c>
      <c r="AW113" s="8">
        <f t="shared" si="39"/>
        <v>0</v>
      </c>
      <c r="AX113" s="8">
        <f t="shared" si="40"/>
        <v>7.1</v>
      </c>
      <c r="AY113" s="8">
        <f>IF(_xlfn.XLOOKUP(E113,Groups!A:A,Groups!N:N)="Insect",BA113*2.5,IFERROR(AVERAGE(BA113,AQ113/9.81/IF(OR(_xlfn.XLOOKUP(E113,Groups!A:A,Groups!N:N)="Pig",_xlfn.XLOOKUP(E113,Groups!A:A,Groups!N:N)="StrongBitingHerbivore"),20,25))*C113^-0.135,BA113))</f>
        <v>14.024906740700176</v>
      </c>
      <c r="AZ113" s="8" t="str">
        <f>IF(W113="No","No",IF(_xlfn.XLOOKUP(E113,Groups!A:A,Groups!U:U)=1,'Base stats'!AY113,IF(OR(_xlfn.XLOOKUP(E113,Groups!A:A,Groups!BC:BC)=1,_xlfn.XLOOKUP(E113,Groups!A:A,Groups!U:U)=2),BA113,IF(_xlfn.XLOOKUP(B113,Animals!B:B,Animals!AN:AN)&gt;4,AVERAGE(BA113,BC113),BC113))))</f>
        <v>No</v>
      </c>
      <c r="BA113" s="8">
        <f>(0.0392*C113^IF(OR(Y113="Herbivore",Y113="Dendrovore",Y113="OmnivoreRough"),0.889,0.966))*C113^-0.135</f>
        <v>6.1880869301551282</v>
      </c>
      <c r="BB113" s="8">
        <f>IF(_xlfn.XLOOKUP(E113,Groups!A:A,Groups!BD:BD)=1,(0.048*C113^1.01)+(0.071*C113^1.03),0.071*C113^1.03)/IF(_xlfn.XLOOKUP(E113,Groups!A:A,Groups!M:M)=1,0.85,IF(OR(_xlfn.XLOOKUP(B113,Animals!B:B,Animals!AN:AN)&gt;4,_xlfn.XLOOKUP(E113,Groups!A:A,Groups!BB:BB)=1),1.7,1))*C113^-0.25</f>
        <v>8.2151744408479512</v>
      </c>
      <c r="BC113" s="8">
        <f>(0.048*C113^1.01)/IF(_xlfn.XLOOKUP(E113,Groups!A:A,Groups!M:M)=1,0.25,0.8)*C113^-0.25</f>
        <v>6.1461487179599832</v>
      </c>
      <c r="BD113" s="8">
        <f>EXP(1.076*LN(AO113)-4.5397)*IF(_xlfn.XLOOKUP(E113,Groups!A:A,Groups!BB:BB)=1,1.25,IF(_xlfn.XLOOKUP(E113,Groups!A:A,Groups!BC:BC)=1,3.5,2.5))</f>
        <v>498.93255110401276</v>
      </c>
      <c r="BE113" s="8">
        <f>EXP(1.076*LN(AP113)-4.5397)*IF(_xlfn.XLOOKUP(E113,Groups!A:A,Groups!M:M)=1,0.8,IF(_xlfn.XLOOKUP(E113,Groups!A:A,Groups!BB:BB)=1,1.3,3))</f>
        <v>577.99615723899592</v>
      </c>
      <c r="BF113" s="8" t="str">
        <f>IF(W113="No","No",IF(_xlfn.XLOOKUP(E113,Groups!A:A,Groups!U:U)=1,'Base stats'!BG113,IF(OR(_xlfn.XLOOKUP(E113,Groups!A:A,Groups!BC:BC)=1,_xlfn.XLOOKUP(E113,Groups!A:A,Groups!U:U)=2),BD113,BE113))*1.2)</f>
        <v>No</v>
      </c>
      <c r="BG113" s="8">
        <f>IFERROR(EXP(1.076*LN(AQ113)-4.5397)*IF(_xlfn.XLOOKUP(E113,Groups!A:A,Groups!N:N)="Insect",1,IF(OR(_xlfn.XLOOKUP(E113,Groups!A:A,Groups!N:N)="Pig",_xlfn.XLOOKUP(E113,Groups!A:A,Groups!N:N)="StrongBitingHerbivore"),3.5,3.75)),"No")</f>
        <v>1170.2214058733036</v>
      </c>
      <c r="BH113" s="8">
        <f t="shared" si="29"/>
        <v>12</v>
      </c>
      <c r="BI113" s="8">
        <f t="shared" si="30"/>
        <v>11</v>
      </c>
      <c r="BJ113" s="8" t="str">
        <f>IF(W113="No","No",ROUNDDOWN(SQRT((2*BF113)/AZ113),0))</f>
        <v>No</v>
      </c>
      <c r="BK113" s="8">
        <f>IF(V113="No","No",ROUNDDOWN(SQRT((2*BG113)/AY113),0))</f>
        <v>12</v>
      </c>
      <c r="BL113" s="8">
        <f t="shared" si="31"/>
        <v>13</v>
      </c>
      <c r="BM113" s="8" t="str" cm="1">
        <f t="array" ref="BM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stats'!E113,Groups!A:A,Groups!P:P=0)),"No",IF(U113="No",AVERAGE(EXP(-0.57+0.99*LN(C113)),EXP(0.32+0.67*LN(C113)))/IF(_xlfn.XLOOKUP(E113,Groups!A:A,Groups!AD:AD)=1,10,2),(0.7354*C113^0.4078)*2/IF(_xlfn.XLOOKUP(E113,Groups!A:A,Groups!BJ:BJ)=1,1000,100)))</f>
        <v>No</v>
      </c>
      <c r="BN113" s="8" t="str">
        <f>IF(W113="No","No",IF(_xlfn.XLOOKUP(E113,Groups!A:A,Groups!BC:BC)=1,(AL113*5%),EXP(0.7354*LN(C113)^0.4078)*2/IF(_xlfn.XLOOKUP(E113,Groups!A:A,Groups!BK:BK)=1,1000,100)))</f>
        <v>No</v>
      </c>
      <c r="BO113" s="8">
        <f>IF(BG113="No","No",IF(_xlfn.XLOOKUP(E113,Groups!A:A,Groups!BE:BE)=1,(0.0315*C113+2.1825)*2,(0.7354*C113^0.4078)*2)/IF(_xlfn.XLOOKUP(E113,Groups!A:A,Groups!BL:BL)=1,1000,100))</f>
        <v>0.32205170072615041</v>
      </c>
      <c r="BP113" s="8">
        <f>BD113/(AL113*5%)</f>
        <v>0.17150764685497033</v>
      </c>
      <c r="BQ113" s="8" t="str">
        <f t="shared" si="32"/>
        <v>No</v>
      </c>
      <c r="BR113" s="8" t="str">
        <f>IF(W113="No","No",BF113/BN113)</f>
        <v>No</v>
      </c>
      <c r="BS113" s="8">
        <f t="shared" si="33"/>
        <v>3633.6445459990778</v>
      </c>
      <c r="BT113" s="4">
        <v>0</v>
      </c>
      <c r="BU113" s="4">
        <v>1</v>
      </c>
    </row>
    <row r="114" spans="1:73" x14ac:dyDescent="0.25">
      <c r="A114" s="26" t="s">
        <v>469</v>
      </c>
      <c r="B114" s="6" t="s">
        <v>236</v>
      </c>
      <c r="C114" s="7">
        <v>41</v>
      </c>
      <c r="E114" s="7" t="s">
        <v>75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597</v>
      </c>
      <c r="L114" s="7">
        <v>110</v>
      </c>
      <c r="M114" s="7" t="s">
        <v>638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_xlfn.XLOOKUP(B114,[1]TeethAdjusters!$A:$A,[1]BiteAdjusters!$C:$C)</f>
        <v>0.69716878329164778</v>
      </c>
      <c r="T114" s="7">
        <f>_xlfn.XLOOKUP(B114,[1]TeethAdjusters!$A:$A,[1]TeethAdjusters!$B:$B)</f>
        <v>1.1807275346262045</v>
      </c>
      <c r="U114" s="7">
        <f>MROUND(2.54,0.05)</f>
        <v>2.5500000000000003</v>
      </c>
      <c r="V114" s="7">
        <f>IF(AQ114="No","No",IF(_xlfn.XLOOKUP(E114,Groups!A:A,Groups!AM:AM)=1,MROUND(EXP(0.3582*LN(C114)-0.2221)*T114,0.05),IF(_xlfn.XLOOKUP(E114,Groups!A:A,Groups!AM:AM)=2,MROUND(EXP(0.3582*LN(C114)-0.2221)*T114,0.05),"Need a formula")))</f>
        <v>3.6</v>
      </c>
      <c r="W114" s="7" t="s">
        <v>45</v>
      </c>
      <c r="X114" s="7" t="s">
        <v>945</v>
      </c>
      <c r="Y114" s="4" t="s">
        <v>56</v>
      </c>
      <c r="Z114" s="4">
        <v>0</v>
      </c>
      <c r="AA114" s="4">
        <v>0</v>
      </c>
      <c r="AB114" s="4">
        <v>0</v>
      </c>
      <c r="AC114" s="4" t="s">
        <v>45</v>
      </c>
      <c r="AD114" s="4" t="s">
        <v>45</v>
      </c>
      <c r="AE114" s="28" t="s">
        <v>395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4" t="s">
        <v>40</v>
      </c>
      <c r="AL114" s="8">
        <f t="shared" si="36"/>
        <v>12406.020248235161</v>
      </c>
      <c r="AM114" s="8">
        <f>IFERROR(C114*_xlfn.XLOOKUP(E114,Groups!A:A,Groups!K:K),0.106*C114^0.94)</f>
        <v>5.1147499999999999</v>
      </c>
      <c r="AN114" s="8">
        <f>AM114*10000/(_xlfn.XLOOKUP(E114,Groups!A:A,Groups!J:J)*AL114)</f>
        <v>3.7823823424180527</v>
      </c>
      <c r="AO114" s="8">
        <f t="shared" si="37"/>
        <v>1252.4467595936865</v>
      </c>
      <c r="AP114" s="8">
        <f>IF(_xlfn.XLOOKUP(E114,Groups!A:A,Groups!M:M)=1,EXP(0.7444*LN('Base stats'!C114)+6.5696),EXP(0.7927*LN('Base stats'!C114)+4.28))</f>
        <v>1371.6210633946346</v>
      </c>
      <c r="AQ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"No")))))))))))))))</f>
        <v>1421.0152091654434</v>
      </c>
      <c r="AR114" s="8">
        <f>IF(_xlfn.XLOOKUP(E114,Groups!A:A,Groups!U:U)=3,AP114,IF(_xlfn.XLOOKUP(E114,Groups!A:A,Groups!U:U)=2,AO114,AQ114))</f>
        <v>1421.0152091654434</v>
      </c>
      <c r="AS114" s="46">
        <f>IFERROR(AVERAGE(_xlfn.XLOOKUP(B114,Animals!B:B,Animals!M:M),_xlfn.XLOOKUP(B114,Animals!B:B,Animals!N:N)),0)</f>
        <v>0</v>
      </c>
      <c r="AT114" s="8">
        <f>MROUND(40*Animals!AN114*_xlfn.XLOOKUP(Animals!AZ114,Leathers!$A$2:$A$100,Leathers!$B$2:$B$100,0)+(140*_xlfn.XLOOKUP(B114,Animals!B:B,Animals!AN:AN)*2),5)</f>
        <v>365</v>
      </c>
      <c r="AU114" s="8">
        <f>IFERROR(ROUND(SQRT(V114-1)*IF(_xlfn.XLOOKUP(E114,Groups!A:A,Groups!BE:BE)=0,2,1)*IF(_xlfn.XLOOKUP('Base stats'!E114,Groups!A:A,Groups!O:O)=0,1,0.1),1),0)</f>
        <v>3.2</v>
      </c>
      <c r="AV114" s="8">
        <f t="shared" si="38"/>
        <v>1.2</v>
      </c>
      <c r="AW114" s="8">
        <f t="shared" si="39"/>
        <v>0</v>
      </c>
      <c r="AX114" s="8">
        <f t="shared" si="40"/>
        <v>3</v>
      </c>
      <c r="AY114" s="8">
        <f>IF(_xlfn.XLOOKUP(E114,Groups!A:A,Groups!N:N)="Insect",BA114*2.5,IFERROR(AVERAGE(BA114,AQ114/9.81/IF(OR(_xlfn.XLOOKUP(E114,Groups!A:A,Groups!N:N)="Pig",_xlfn.XLOOKUP(E114,Groups!A:A,Groups!N:N)="StrongBitingHerbivore"),20,25))*C114^-0.135,BA114))</f>
        <v>2.0146938245837811</v>
      </c>
      <c r="AZ114" s="8" t="str">
        <f>IF(W114="No","No",IF(_xlfn.XLOOKUP(E114,Groups!A:A,Groups!U:U)=1,'Base stats'!AY114,IF(OR(_xlfn.XLOOKUP(E114,Groups!A:A,Groups!BC:BC)=1,_xlfn.XLOOKUP(E114,Groups!A:A,Groups!U:U)=2),BA114,IF(_xlfn.XLOOKUP(B114,Animals!B:B,Animals!AN:AN)&gt;4,AVERAGE(BA114,BC114),BC114))))</f>
        <v>No</v>
      </c>
      <c r="BA114" s="8">
        <f>(0.0392*C114^IF(OR(Y114="Herbivore",Y114="Dendrovore",Y114="OmnivoreRough"),0.889,0.966))*C114^-0.135</f>
        <v>0.85804378892406097</v>
      </c>
      <c r="BB114" s="8">
        <f>IF(_xlfn.XLOOKUP(E114,Groups!A:A,Groups!BD:BD)=1,(0.048*C114^1.01)+(0.071*C114^1.03),0.071*C114^1.03)/IF(_xlfn.XLOOKUP(E114,Groups!A:A,Groups!M:M)=1,0.85,IF(OR(_xlfn.XLOOKUP(B114,Animals!B:B,Animals!AN:AN)&gt;4,_xlfn.XLOOKUP(E114,Groups!A:A,Groups!BB:BB)=1),1.7,1))*C114^-0.25</f>
        <v>1.2859668014037453</v>
      </c>
      <c r="BC114" s="8">
        <f>(0.048*C114^1.01)/IF(_xlfn.XLOOKUP(E114,Groups!A:A,Groups!M:M)=1,0.25,0.8)*C114^-0.25</f>
        <v>1.0089438129413106</v>
      </c>
      <c r="BD114" s="8">
        <f>EXP(1.076*LN(AO114)-4.5397)*IF(_xlfn.XLOOKUP(E114,Groups!A:A,Groups!BB:BB)=1,1.25,IF(_xlfn.XLOOKUP(E114,Groups!A:A,Groups!BC:BC)=1,3.5,2.5))</f>
        <v>57.486031353052454</v>
      </c>
      <c r="BE114" s="8">
        <f>EXP(1.076*LN(AP114)-4.5397)*IF(_xlfn.XLOOKUP(E114,Groups!A:A,Groups!M:M)=1,0.8,IF(_xlfn.XLOOKUP(E114,Groups!A:A,Groups!BB:BB)=1,1.3,3))</f>
        <v>76.070896779942416</v>
      </c>
      <c r="BF114" s="8" t="str">
        <f>IF(W114="No","No",IF(_xlfn.XLOOKUP(E114,Groups!A:A,Groups!U:U)=1,'Base stats'!BG114,IF(OR(_xlfn.XLOOKUP(E114,Groups!A:A,Groups!BC:BC)=1,_xlfn.XLOOKUP(E114,Groups!A:A,Groups!U:U)=2),BD114,BE114))*1.2)</f>
        <v>No</v>
      </c>
      <c r="BG114" s="8">
        <f>IFERROR(EXP(1.076*LN(AQ114)-4.5397)*IF(_xlfn.XLOOKUP(E114,Groups!A:A,Groups!N:N)="Insect",1,IF(OR(_xlfn.XLOOKUP(E114,Groups!A:A,Groups!N:N)="Pig",_xlfn.XLOOKUP(E114,Groups!A:A,Groups!N:N)="StrongBitingHerbivore"),3.5,3.75)),"No")</f>
        <v>98.778138530366988</v>
      </c>
      <c r="BH114" s="8">
        <f t="shared" si="29"/>
        <v>11</v>
      </c>
      <c r="BI114" s="8">
        <f t="shared" si="30"/>
        <v>10</v>
      </c>
      <c r="BJ114" s="8" t="str">
        <f>IF(W114="No","No",ROUNDDOWN(SQRT((2*BF114)/AZ114),0))</f>
        <v>No</v>
      </c>
      <c r="BK114" s="8">
        <f>IF(V114="No","No",ROUNDDOWN(SQRT((2*BG114)/AY114),0))</f>
        <v>9</v>
      </c>
      <c r="BL114" s="8">
        <f t="shared" si="31"/>
        <v>12</v>
      </c>
      <c r="BM114" s="8" cm="1">
        <f t="array" ref="BM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stats'!E114,Groups!A:A,Groups!P:P=0)),"No",IF(U114="No",AVERAGE(EXP(-0.57+0.99*LN(C114)),EXP(0.32+0.67*LN(C114)))/IF(_xlfn.XLOOKUP(E114,Groups!A:A,Groups!AD:AD)=1,10,2),(0.7354*C114^0.4078)*2/IF(_xlfn.XLOOKUP(E114,Groups!A:A,Groups!BJ:BJ)=1,1000,100)))</f>
        <v>6.6872395070523505E-2</v>
      </c>
      <c r="BN114" s="8" t="str">
        <f>IF(W114="No","No",IF(_xlfn.XLOOKUP(E114,Groups!A:A,Groups!BC:BC)=1,(AL114*5%),EXP(0.7354*LN(C114)^0.4078)*2/IF(_xlfn.XLOOKUP(E114,Groups!A:A,Groups!BK:BK)=1,1000,100)))</f>
        <v>No</v>
      </c>
      <c r="BO114" s="8">
        <f>IF(BG114="No","No",IF(_xlfn.XLOOKUP(E114,Groups!A:A,Groups!BE:BE)=1,(0.0315*C114+2.1825)*2,(0.7354*C114^0.4078)*2)/IF(_xlfn.XLOOKUP(E114,Groups!A:A,Groups!BL:BL)=1,1000,100))</f>
        <v>6.6872395070523505E-2</v>
      </c>
      <c r="BP114" s="8">
        <f>BD114/(AL114*5%)</f>
        <v>9.2674411620810013E-2</v>
      </c>
      <c r="BQ114" s="8">
        <f t="shared" si="32"/>
        <v>1137.5530471088734</v>
      </c>
      <c r="BR114" s="8" t="str">
        <f>IF(W114="No","No",BF114/BN114)</f>
        <v>No</v>
      </c>
      <c r="BS114" s="8">
        <f t="shared" si="33"/>
        <v>1477.1138139466329</v>
      </c>
      <c r="BT114" s="4">
        <v>0</v>
      </c>
      <c r="BU114" s="4">
        <v>1</v>
      </c>
    </row>
    <row r="115" spans="1:73" x14ac:dyDescent="0.25">
      <c r="A115" s="26" t="s">
        <v>470</v>
      </c>
      <c r="B115" s="6" t="s">
        <v>471</v>
      </c>
      <c r="C115" s="7">
        <f>25.5</f>
        <v>25.5</v>
      </c>
      <c r="E115" s="7" t="s">
        <v>635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610</v>
      </c>
      <c r="L115" s="7">
        <f>MIN(20*C115^0.183,19.9*C115^0.142,13.7*C115^0.004)</f>
        <v>13.878634158115689</v>
      </c>
      <c r="M115" s="7" t="s">
        <v>638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_xlfn.XLOOKUP(B115,[1]TeethAdjusters!$A:$A,[1]BiteAdjusters!$C:$C)</f>
        <v>1</v>
      </c>
      <c r="T115" s="7">
        <f>_xlfn.XLOOKUP(B115,[1]TeethAdjusters!$A:$A,[1]TeethAdjusters!$B:$B)</f>
        <v>1</v>
      </c>
      <c r="U115" s="7">
        <v>3</v>
      </c>
      <c r="V115" s="7">
        <v>2</v>
      </c>
      <c r="W115" s="7" t="s">
        <v>45</v>
      </c>
      <c r="X115" s="7" t="s">
        <v>945</v>
      </c>
      <c r="Y115" s="4" t="s">
        <v>42</v>
      </c>
      <c r="Z115" s="4">
        <v>0</v>
      </c>
      <c r="AA115" s="4">
        <v>0</v>
      </c>
      <c r="AB115" s="4">
        <v>0</v>
      </c>
      <c r="AC115" s="4" t="s">
        <v>45</v>
      </c>
      <c r="AD115" s="4" t="s">
        <v>45</v>
      </c>
      <c r="AE115" s="28" t="s">
        <v>394</v>
      </c>
      <c r="AF115" s="4">
        <v>0</v>
      </c>
      <c r="AG115" s="4">
        <v>0</v>
      </c>
      <c r="AH115" s="4">
        <v>1</v>
      </c>
      <c r="AI115" s="4">
        <v>0</v>
      </c>
      <c r="AJ115" s="4">
        <v>0</v>
      </c>
      <c r="AK115" s="44" t="s">
        <v>40</v>
      </c>
      <c r="AL115" s="8">
        <f t="shared" si="36"/>
        <v>9111.1688693887008</v>
      </c>
      <c r="AM115" s="8">
        <f>IFERROR(C115*_xlfn.XLOOKUP(E115,Groups!A:A,Groups!K:K),0.106*C115^0.94)</f>
        <v>2.2256334242614968</v>
      </c>
      <c r="AN115" s="8">
        <f>AM115*10000/(_xlfn.XLOOKUP(E115,Groups!A:A,Groups!J:J)*AL115)</f>
        <v>2.2410577129193365</v>
      </c>
      <c r="AO115" s="8">
        <f t="shared" si="37"/>
        <v>838.58142840785149</v>
      </c>
      <c r="AP115" s="8">
        <f>IF(_xlfn.XLOOKUP(E115,Groups!A:A,Groups!M:M)=1,EXP(0.7444*LN('Base stats'!C115)+6.5696),EXP(0.7927*LN('Base stats'!C115)+4.28))</f>
        <v>941.33625061050907</v>
      </c>
      <c r="AQ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"No")))))))))))))))</f>
        <v>455.93790606968065</v>
      </c>
      <c r="AR115" s="8">
        <f>IF(_xlfn.XLOOKUP(E115,Groups!A:A,Groups!U:U)=3,AP115,IF(_xlfn.XLOOKUP(E115,Groups!A:A,Groups!U:U)=2,AO115,AQ115))</f>
        <v>455.93790606968065</v>
      </c>
      <c r="AS115" s="46">
        <f>IFERROR(AVERAGE(_xlfn.XLOOKUP(B115,Animals!B:B,Animals!M:M),_xlfn.XLOOKUP(B115,Animals!B:B,Animals!N:N)),0)</f>
        <v>0</v>
      </c>
      <c r="AT115" s="8">
        <f>MROUND(40*Animals!AN115*_xlfn.XLOOKUP(Animals!AZ115,Leathers!$A$2:$A$100,Leathers!$B$2:$B$100,0)+(140*_xlfn.XLOOKUP(B115,Animals!B:B,Animals!AN:AN)*2),5)</f>
        <v>230</v>
      </c>
      <c r="AU115" s="8">
        <f>IFERROR(ROUND(SQRT(V115-1)*IF(_xlfn.XLOOKUP(E115,Groups!A:A,Groups!BE:BE)=0,2,1)*IF(_xlfn.XLOOKUP('Base stats'!E115,Groups!A:A,Groups!O:O)=0,1,0.1),1),0)</f>
        <v>2</v>
      </c>
      <c r="AV115" s="8">
        <f t="shared" si="38"/>
        <v>1.4</v>
      </c>
      <c r="AW115" s="8">
        <f t="shared" si="39"/>
        <v>0</v>
      </c>
      <c r="AX115" s="8">
        <f t="shared" si="40"/>
        <v>2.5</v>
      </c>
      <c r="AY115" s="8">
        <f>IF(_xlfn.XLOOKUP(E115,Groups!A:A,Groups!N:N)="Insect",BA115*2.5,IFERROR(AVERAGE(BA115,AQ115/9.81/IF(OR(_xlfn.XLOOKUP(E115,Groups!A:A,Groups!N:N)="Pig",_xlfn.XLOOKUP(E115,Groups!A:A,Groups!N:N)="StrongBitingHerbivore"),20,25))*C115^-0.135,BA115))</f>
        <v>0.74583520324545427</v>
      </c>
      <c r="AZ115" s="8" t="str">
        <f>IF(W115="No","No",IF(_xlfn.XLOOKUP(E115,Groups!A:A,Groups!U:U)=1,'Base stats'!AY115,IF(OR(_xlfn.XLOOKUP(E115,Groups!A:A,Groups!BC:BC)=1,_xlfn.XLOOKUP(E115,Groups!A:A,Groups!U:U)=2),BA115,IF(_xlfn.XLOOKUP(B115,Animals!B:B,Animals!AN:AN)&gt;4,AVERAGE(BA115,BC115),BC115))))</f>
        <v>No</v>
      </c>
      <c r="BA115" s="8">
        <f>(0.0392*C115^IF(OR(Y115="Herbivore",Y115="Dendrovore",Y115="OmnivoreRough"),0.889,0.966))*C115^-0.135</f>
        <v>0.45062715926009461</v>
      </c>
      <c r="BB115" s="8">
        <f>IF(_xlfn.XLOOKUP(E115,Groups!A:A,Groups!BD:BD)=1,(0.048*C115^1.01)+(0.071*C115^1.03),0.071*C115^1.03)/IF(_xlfn.XLOOKUP(E115,Groups!A:A,Groups!M:M)=1,0.85,IF(OR(_xlfn.XLOOKUP(B115,Animals!B:B,Animals!AN:AN)&gt;4,_xlfn.XLOOKUP(E115,Groups!A:A,Groups!BB:BB)=1),1.7,1))*C115^-0.25</f>
        <v>0.88789107282414026</v>
      </c>
      <c r="BC115" s="8">
        <f>(0.048*C115^1.01)/IF(_xlfn.XLOOKUP(E115,Groups!A:A,Groups!M:M)=1,0.25,0.8)*C115^-0.25</f>
        <v>0.70326950736861127</v>
      </c>
      <c r="BD115" s="8">
        <f>EXP(1.076*LN(AO115)-4.5397)*IF(_xlfn.XLOOKUP(E115,Groups!A:A,Groups!BB:BB)=1,1.25,IF(_xlfn.XLOOKUP(E115,Groups!A:A,Groups!BC:BC)=1,3.5,2.5))</f>
        <v>37.334301254349668</v>
      </c>
      <c r="BE115" s="8">
        <f>EXP(1.076*LN(AP115)-4.5397)*IF(_xlfn.XLOOKUP(E115,Groups!A:A,Groups!M:M)=1,0.8,IF(_xlfn.XLOOKUP(E115,Groups!A:A,Groups!BB:BB)=1,1.3,3))</f>
        <v>50.734569822503651</v>
      </c>
      <c r="BF115" s="8" t="str">
        <f>IF(W115="No","No",IF(_xlfn.XLOOKUP(E115,Groups!A:A,Groups!U:U)=1,'Base stats'!BG115,IF(OR(_xlfn.XLOOKUP(E115,Groups!A:A,Groups!BC:BC)=1,_xlfn.XLOOKUP(E115,Groups!A:A,Groups!U:U)=2),BD115,BE115))*1.2)</f>
        <v>No</v>
      </c>
      <c r="BG115" s="8">
        <f>IFERROR(EXP(1.076*LN(AQ115)-4.5397)*IF(_xlfn.XLOOKUP(E115,Groups!A:A,Groups!N:N)="Insect",1,IF(OR(_xlfn.XLOOKUP(E115,Groups!A:A,Groups!N:N)="Pig",_xlfn.XLOOKUP(E115,Groups!A:A,Groups!N:N)="StrongBitingHerbivore"),3.5,3.75)),"No")</f>
        <v>29.070141239380789</v>
      </c>
      <c r="BH115" s="8">
        <f t="shared" si="29"/>
        <v>12</v>
      </c>
      <c r="BI115" s="8">
        <f t="shared" si="30"/>
        <v>10</v>
      </c>
      <c r="BJ115" s="8" t="str">
        <f>IF(W115="No","No",ROUNDDOWN(SQRT((2*BF115)/AZ115),0))</f>
        <v>No</v>
      </c>
      <c r="BK115" s="8">
        <f>IF(V115="No","No",ROUNDDOWN(SQRT((2*BG115)/AY115),0))</f>
        <v>8</v>
      </c>
      <c r="BL115" s="8">
        <f t="shared" si="31"/>
        <v>12</v>
      </c>
      <c r="BM115" s="8" cm="1">
        <f t="array" ref="BM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stats'!E115,Groups!A:A,Groups!P:P=0)),"No",IF(U115="No",AVERAGE(EXP(-0.57+0.99*LN(C115)),EXP(0.32+0.67*LN(C115)))/IF(_xlfn.XLOOKUP(E115,Groups!A:A,Groups!AD:AD)=1,10,2),(0.7354*C115^0.4078)*2/IF(_xlfn.XLOOKUP(E115,Groups!A:A,Groups!BJ:BJ)=1,1000,100)))</f>
        <v>5.509861811333968E-2</v>
      </c>
      <c r="BN115" s="8" t="str">
        <f>IF(W115="No","No",IF(_xlfn.XLOOKUP(E115,Groups!A:A,Groups!BC:BC)=1,(AL115*5%),EXP(0.7354*LN(C115)^0.4078)*2/IF(_xlfn.XLOOKUP(E115,Groups!A:A,Groups!BK:BK)=1,1000,100)))</f>
        <v>No</v>
      </c>
      <c r="BO115" s="8">
        <f>IF(BG115="No","No",IF(_xlfn.XLOOKUP(E115,Groups!A:A,Groups!BE:BE)=1,(0.0315*C115+2.1825)*2,(0.7354*C115^0.4078)*2)/IF(_xlfn.XLOOKUP(E115,Groups!A:A,Groups!BL:BL)=1,1000,100))</f>
        <v>5.509861811333968E-2</v>
      </c>
      <c r="BP115" s="8">
        <f>BD115/(AL115*5%)</f>
        <v>8.195282469142634E-2</v>
      </c>
      <c r="BQ115" s="8">
        <f t="shared" si="32"/>
        <v>920.79568525912873</v>
      </c>
      <c r="BR115" s="8" t="str">
        <f>IF(W115="No","No",BF115/BN115)</f>
        <v>No</v>
      </c>
      <c r="BS115" s="8">
        <f t="shared" si="33"/>
        <v>527.60200227857888</v>
      </c>
      <c r="BT115" s="4">
        <v>0</v>
      </c>
      <c r="BU115" s="4">
        <v>1</v>
      </c>
    </row>
    <row r="116" spans="1:73" x14ac:dyDescent="0.25">
      <c r="A116" s="26" t="s">
        <v>472</v>
      </c>
      <c r="B116" s="6" t="s">
        <v>611</v>
      </c>
      <c r="C116" s="7">
        <v>55</v>
      </c>
      <c r="E116" s="7" t="s">
        <v>930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612</v>
      </c>
      <c r="L116" s="7">
        <v>65</v>
      </c>
      <c r="M116" s="7" t="s">
        <v>638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_xlfn.XLOOKUP(B116,[1]TeethAdjusters!$A:$A,[1]BiteAdjusters!$C:$C)</f>
        <v>1</v>
      </c>
      <c r="T116" s="7">
        <f>_xlfn.XLOOKUP(B116,[1]TeethAdjusters!$A:$A,[1]TeethAdjusters!$B:$B)</f>
        <v>1</v>
      </c>
      <c r="U116" s="7">
        <v>5</v>
      </c>
      <c r="V116" s="7" t="str">
        <f>IF(AQ116="No","No",IF(_xlfn.XLOOKUP(E116,Groups!A:A,Groups!AM:AM)=1,MROUND(EXP(0.3582*LN(C116)-0.2221)*T116,0.05),IF(_xlfn.XLOOKUP(E116,Groups!A:A,Groups!AM:AM)=2,MROUND(EXP(0.3582*LN(C116)-0.2221)*T116,0.05),"Need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945</v>
      </c>
      <c r="Y116" s="4" t="s">
        <v>42</v>
      </c>
      <c r="Z116" s="4">
        <v>0</v>
      </c>
      <c r="AA116" s="4">
        <v>0</v>
      </c>
      <c r="AB116" s="4">
        <v>0</v>
      </c>
      <c r="AC116" s="4" t="s">
        <v>45</v>
      </c>
      <c r="AD116" s="4" t="s">
        <v>407</v>
      </c>
      <c r="AE116" s="28" t="s">
        <v>401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4" t="s">
        <v>40</v>
      </c>
      <c r="AL116" s="8">
        <f t="shared" si="36"/>
        <v>15016.154461994613</v>
      </c>
      <c r="AM116" s="8">
        <f>IFERROR(C116*_xlfn.XLOOKUP(E116,Groups!A:A,Groups!K:K),0.106*C116^0.94)</f>
        <v>4.5840230568262754</v>
      </c>
      <c r="AN116" s="8">
        <f>AM116*10000/(_xlfn.XLOOKUP(E116,Groups!A:A,Groups!J:J)*AL116)</f>
        <v>2.8006676082426014</v>
      </c>
      <c r="AO116" s="8">
        <f t="shared" si="37"/>
        <v>1605.1850768028401</v>
      </c>
      <c r="AP116" s="8">
        <f>IF(_xlfn.XLOOKUP(E116,Groups!A:A,Groups!M:M)=1,EXP(0.7444*LN('Base stats'!C116)+6.5696),EXP(0.7927*LN('Base stats'!C116)+4.28))</f>
        <v>1731.2743173050442</v>
      </c>
      <c r="AQ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"No")))))))))))))))</f>
        <v>No</v>
      </c>
      <c r="AR116" s="8" t="str">
        <f>IF(_xlfn.XLOOKUP(E116,Groups!A:A,Groups!U:U)=3,AP116,IF(_xlfn.XLOOKUP(E116,Groups!A:A,Groups!U:U)=2,AO116,AQ116))</f>
        <v>No</v>
      </c>
      <c r="AS116" s="46">
        <f>IFERROR(AVERAGE(_xlfn.XLOOKUP(B116,Animals!B:B,Animals!M:M),_xlfn.XLOOKUP(B116,Animals!B:B,Animals!N:N)),0)</f>
        <v>0</v>
      </c>
      <c r="AT116" s="8">
        <f>MROUND(40*Animals!AN116*_xlfn.XLOOKUP(Animals!AZ116,Leathers!$A$2:$A$100,Leathers!$B$2:$B$100,0)+(140*_xlfn.XLOOKUP(B116,Animals!B:B,Animals!AN:AN)*2),5)</f>
        <v>330</v>
      </c>
      <c r="AU116" s="8">
        <f>IFERROR(ROUND(SQRT(V116-1)*IF(_xlfn.XLOOKUP(E116,Groups!A:A,Groups!BE:BE)=0,2,1)*IF(_xlfn.XLOOKUP('Base stats'!E116,Groups!A:A,Groups!O:O)=0,1,0.1),1),0)</f>
        <v>0</v>
      </c>
      <c r="AV116" s="8">
        <f t="shared" si="38"/>
        <v>2</v>
      </c>
      <c r="AW116" s="8">
        <f t="shared" si="39"/>
        <v>0</v>
      </c>
      <c r="AX116" s="8">
        <f t="shared" si="40"/>
        <v>3.4</v>
      </c>
      <c r="AY116" s="8">
        <f>IF(_xlfn.XLOOKUP(E116,Groups!A:A,Groups!N:N)="Insect",BA116*2.5,IFERROR(AVERAGE(BA116,AQ116/9.81/IF(OR(_xlfn.XLOOKUP(E116,Groups!A:A,Groups!N:N)="Pig",_xlfn.XLOOKUP(E116,Groups!A:A,Groups!N:N)="StrongBitingHerbivore"),20,25))*C116^-0.135,BA116))</f>
        <v>0.80448793422302267</v>
      </c>
      <c r="AZ116" s="8" t="str">
        <f>IF(W116="No","No",IF(_xlfn.XLOOKUP(E116,Groups!A:A,Groups!U:U)=1,'Base stats'!AY116,IF(OR(_xlfn.XLOOKUP(E116,Groups!A:A,Groups!BC:BC)=1,_xlfn.XLOOKUP(E116,Groups!A:A,Groups!U:U)=2),BA116,IF(_xlfn.XLOOKUP(B116,Animals!B:B,Animals!AN:AN)&gt;4,AVERAGE(BA116,BC116),BC116))))</f>
        <v>No</v>
      </c>
      <c r="BA116" s="8">
        <f>(0.0392*C116^IF(OR(Y116="Herbivore",Y116="Dendrovore",Y116="OmnivoreRough"),0.889,0.966))*C116^-0.135</f>
        <v>0.80448793422302267</v>
      </c>
      <c r="BB116" s="8">
        <f>IF(_xlfn.XLOOKUP(E116,Groups!A:A,Groups!BD:BD)=1,(0.048*C116^1.01)+(0.071*C116^1.03),0.071*C116^1.03)/IF(_xlfn.XLOOKUP(E116,Groups!A:A,Groups!M:M)=1,0.85,IF(OR(_xlfn.XLOOKUP(B116,Animals!B:B,Animals!AN:AN)&gt;4,_xlfn.XLOOKUP(E116,Groups!A:A,Groups!BB:BB)=1),1.7,1))*C116^-0.25</f>
        <v>2.6261760156276299</v>
      </c>
      <c r="BC116" s="8">
        <f>(0.048*C116^1.01)/IF(_xlfn.XLOOKUP(E116,Groups!A:A,Groups!M:M)=1,0.25,0.8)*C116^-0.25</f>
        <v>1.2613246825021767</v>
      </c>
      <c r="BD116" s="8">
        <f>EXP(1.076*LN(AO116)-4.5397)*IF(_xlfn.XLOOKUP(E116,Groups!A:A,Groups!BB:BB)=1,1.25,IF(_xlfn.XLOOKUP(E116,Groups!A:A,Groups!BC:BC)=1,3.5,2.5))</f>
        <v>75.078981297499624</v>
      </c>
      <c r="BE116" s="8">
        <f>EXP(1.076*LN(AP116)-4.5397)*IF(_xlfn.XLOOKUP(E116,Groups!A:A,Groups!M:M)=1,0.8,IF(_xlfn.XLOOKUP(E116,Groups!A:A,Groups!BB:BB)=1,1.3,3))</f>
        <v>97.731888109270812</v>
      </c>
      <c r="BF116" s="8" t="str">
        <f>IF(W116="No","No",IF(_xlfn.XLOOKUP(E116,Groups!A:A,Groups!U:U)=1,'Base stats'!BG116,IF(OR(_xlfn.XLOOKUP(E116,Groups!A:A,Groups!BC:BC)=1,_xlfn.XLOOKUP(E116,Groups!A:A,Groups!U:U)=2),BD116,BE116))*1.2)</f>
        <v>No</v>
      </c>
      <c r="BG116" s="8" t="str">
        <f>IFERROR(EXP(1.076*LN(AQ116)-4.5397)*IF(_xlfn.XLOOKUP(E116,Groups!A:A,Groups!N:N)="Insect",1,IF(OR(_xlfn.XLOOKUP(E116,Groups!A:A,Groups!N:N)="Pig",_xlfn.XLOOKUP(E116,Groups!A:A,Groups!N:N)="StrongBitingHerbivore"),3.5,3.75)),"No")</f>
        <v>No</v>
      </c>
      <c r="BH116" s="8">
        <f t="shared" si="29"/>
        <v>13</v>
      </c>
      <c r="BI116" s="8">
        <f t="shared" si="30"/>
        <v>8</v>
      </c>
      <c r="BJ116" s="8" t="str">
        <f>IF(W116="No","No",ROUNDDOWN(SQRT((2*BF116)/AZ116),0))</f>
        <v>No</v>
      </c>
      <c r="BK116" s="8" t="str">
        <f>IF(V116="No","No",ROUNDDOWN(SQRT((2*BG116)/AY116),0))</f>
        <v>No</v>
      </c>
      <c r="BL116" s="8">
        <f t="shared" si="31"/>
        <v>12</v>
      </c>
      <c r="BM116" s="8" cm="1">
        <f t="array" ref="BM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stats'!E116,Groups!A:A,Groups!P:P=0)),"No",IF(U116="No",AVERAGE(EXP(-0.57+0.99*LN(C116)),EXP(0.32+0.67*LN(C116)))/IF(_xlfn.XLOOKUP(E116,Groups!A:A,Groups!AD:AD)=1,10,2),(0.7354*C116^0.4078)*2/IF(_xlfn.XLOOKUP(E116,Groups!A:A,Groups!BJ:BJ)=1,1000,100)))</f>
        <v>7.5383018919233477E-2</v>
      </c>
      <c r="BN116" s="8" t="str">
        <f>IF(W116="No","No",IF(_xlfn.XLOOKUP(E116,Groups!A:A,Groups!BC:BC)=1,(AL116*5%),EXP(0.7354*LN(C116)^0.4078)*2/IF(_xlfn.XLOOKUP(E116,Groups!A:A,Groups!BK:BK)=1,1000,100)))</f>
        <v>No</v>
      </c>
      <c r="BO116" s="8" t="str">
        <f>IF(BG116="No","No",IF(_xlfn.XLOOKUP(E116,Groups!A:A,Groups!BE:BE)=1,(0.0315*C116+2.1825)*2,(0.7354*C116^0.4078)*2)/IF(_xlfn.XLOOKUP(E116,Groups!A:A,Groups!BL:BL)=1,1000,100))</f>
        <v>No</v>
      </c>
      <c r="BP116" s="8">
        <f>BD116/(AL116*5%)</f>
        <v>9.9997614552410241E-2</v>
      </c>
      <c r="BQ116" s="8">
        <f t="shared" si="32"/>
        <v>1296.4708698385011</v>
      </c>
      <c r="BR116" s="8" t="str">
        <f>IF(W116="No","No",BF116/BN116)</f>
        <v>No</v>
      </c>
      <c r="BS116" s="8" t="str">
        <f t="shared" si="33"/>
        <v>No</v>
      </c>
      <c r="BT116" s="4">
        <v>0</v>
      </c>
      <c r="BU116" s="4">
        <v>1</v>
      </c>
    </row>
    <row r="117" spans="1:73" x14ac:dyDescent="0.25">
      <c r="A117" s="26" t="s">
        <v>474</v>
      </c>
      <c r="B117" s="6" t="s">
        <v>473</v>
      </c>
      <c r="C117" s="7">
        <v>9.3000000000000007</v>
      </c>
      <c r="E117" s="7" t="s">
        <v>635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600</v>
      </c>
      <c r="L117" s="7">
        <f>MIN(20*C117^0.183,19.9*C117^0.142,13.7*C117^0.004)</f>
        <v>13.822751450214948</v>
      </c>
      <c r="M117" s="7" t="s">
        <v>638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_xlfn.XLOOKUP(B117,[1]TeethAdjusters!$A:$A,[1]BiteAdjusters!$C:$C)</f>
        <v>1</v>
      </c>
      <c r="T117" s="7">
        <f>_xlfn.XLOOKUP(B117,[1]TeethAdjusters!$A:$A,[1]TeethAdjusters!$B:$B)</f>
        <v>1</v>
      </c>
      <c r="U117" s="7">
        <v>2.5</v>
      </c>
      <c r="V117" s="7">
        <v>0.5</v>
      </c>
      <c r="W117" s="7" t="s">
        <v>45</v>
      </c>
      <c r="X117" s="7" t="s">
        <v>945</v>
      </c>
      <c r="Y117" s="4" t="s">
        <v>42</v>
      </c>
      <c r="Z117" s="4">
        <v>0</v>
      </c>
      <c r="AA117" s="4">
        <v>0</v>
      </c>
      <c r="AB117" s="4">
        <v>0</v>
      </c>
      <c r="AC117" s="4" t="s">
        <v>45</v>
      </c>
      <c r="AD117" s="4" t="s">
        <v>45</v>
      </c>
      <c r="AE117" s="28" t="s">
        <v>394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4" t="s">
        <v>40</v>
      </c>
      <c r="AL117" s="8">
        <f t="shared" si="36"/>
        <v>4729.7359453007584</v>
      </c>
      <c r="AM117" s="8">
        <f>IFERROR(C117*_xlfn.XLOOKUP(E117,Groups!A:A,Groups!K:K),0.106*C117^0.94)</f>
        <v>0.86234259203511221</v>
      </c>
      <c r="AN117" s="8">
        <f>AM117*10000/(_xlfn.XLOOKUP(E117,Groups!A:A,Groups!J:J)*AL117)</f>
        <v>1.6726937863810405</v>
      </c>
      <c r="AO117" s="8">
        <f t="shared" si="37"/>
        <v>357.69946972785391</v>
      </c>
      <c r="AP117" s="8">
        <f>IF(_xlfn.XLOOKUP(E117,Groups!A:A,Groups!M:M)=1,EXP(0.7444*LN('Base stats'!C117)+6.5696),EXP(0.7927*LN('Base stats'!C117)+4.28))</f>
        <v>423.15240726068942</v>
      </c>
      <c r="AQ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"No")))))))))))))))</f>
        <v>258.52259547494447</v>
      </c>
      <c r="AR117" s="8">
        <f>IF(_xlfn.XLOOKUP(E117,Groups!A:A,Groups!U:U)=3,AP117,IF(_xlfn.XLOOKUP(E117,Groups!A:A,Groups!U:U)=2,AO117,AQ117))</f>
        <v>258.52259547494447</v>
      </c>
      <c r="AS117" s="46">
        <f>IFERROR(AVERAGE(_xlfn.XLOOKUP(B117,Animals!B:B,Animals!M:M),_xlfn.XLOOKUP(B117,Animals!B:B,Animals!N:N)),0)</f>
        <v>0</v>
      </c>
      <c r="AT117" s="8">
        <f>MROUND(40*Animals!AN117*_xlfn.XLOOKUP(Animals!AZ117,Leathers!$A$2:$A$100,Leathers!$B$2:$B$100,0)+(140*_xlfn.XLOOKUP(B117,Animals!B:B,Animals!AN:AN)*2),5)</f>
        <v>140</v>
      </c>
      <c r="AU117" s="8">
        <f>IFERROR(ROUND(SQRT(V117-1)*IF(_xlfn.XLOOKUP(E117,Groups!A:A,Groups!BE:BE)=0,2,1)*IF(_xlfn.XLOOKUP('Base stats'!E117,Groups!A:A,Groups!O:O)=0,1,0.1),1),0)</f>
        <v>0</v>
      </c>
      <c r="AV117" s="8">
        <f t="shared" si="38"/>
        <v>1.2</v>
      </c>
      <c r="AW117" s="8">
        <f t="shared" si="39"/>
        <v>0</v>
      </c>
      <c r="AX117" s="8">
        <f t="shared" si="40"/>
        <v>1.5</v>
      </c>
      <c r="AY117" s="8">
        <f>IF(_xlfn.XLOOKUP(E117,Groups!A:A,Groups!N:N)="Insect",BA117*2.5,IFERROR(AVERAGE(BA117,AQ117/9.81/IF(OR(_xlfn.XLOOKUP(E117,Groups!A:A,Groups!N:N)="Pig",_xlfn.XLOOKUP(E117,Groups!A:A,Groups!N:N)="StrongBitingHerbivore"),20,25))*C117^-0.135,BA117))</f>
        <v>0.46798222308023507</v>
      </c>
      <c r="AZ117" s="8" t="str">
        <f>IF(W117="No","No",IF(_xlfn.XLOOKUP(E117,Groups!A:A,Groups!U:U)=1,'Base stats'!AY117,IF(OR(_xlfn.XLOOKUP(E117,Groups!A:A,Groups!BC:BC)=1,_xlfn.XLOOKUP(E117,Groups!A:A,Groups!U:U)=2),BA117,IF(_xlfn.XLOOKUP(B117,Animals!B:B,Animals!AN:AN)&gt;4,AVERAGE(BA117,BC117),BC117))))</f>
        <v>No</v>
      </c>
      <c r="BA117" s="8">
        <f>(0.0392*C117^IF(OR(Y117="Herbivore",Y117="Dendrovore",Y117="OmnivoreRough"),0.889,0.966))*C117^-0.135</f>
        <v>0.21063096149006141</v>
      </c>
      <c r="BB117" s="8">
        <f>IF(_xlfn.XLOOKUP(E117,Groups!A:A,Groups!BD:BD)=1,(0.048*C117^1.01)+(0.071*C117^1.03),0.071*C117^1.03)/IF(_xlfn.XLOOKUP(E117,Groups!A:A,Groups!M:M)=1,0.85,IF(OR(_xlfn.XLOOKUP(B117,Animals!B:B,Animals!AN:AN)&gt;4,_xlfn.XLOOKUP(E117,Groups!A:A,Groups!BB:BB)=1),1.7,1))*C117^-0.25</f>
        <v>0.40427328979968796</v>
      </c>
      <c r="BC117" s="8">
        <f>(0.048*C117^1.01)/IF(_xlfn.XLOOKUP(E117,Groups!A:A,Groups!M:M)=1,0.25,0.8)*C117^-0.25</f>
        <v>0.32673698052620759</v>
      </c>
      <c r="BD117" s="8">
        <f>EXP(1.076*LN(AO117)-4.5397)*IF(_xlfn.XLOOKUP(E117,Groups!A:A,Groups!BB:BB)=1,1.25,IF(_xlfn.XLOOKUP(E117,Groups!A:A,Groups!BC:BC)=1,3.5,2.5))</f>
        <v>14.926536113178264</v>
      </c>
      <c r="BE117" s="8">
        <f>EXP(1.076*LN(AP117)-4.5397)*IF(_xlfn.XLOOKUP(E117,Groups!A:A,Groups!M:M)=1,0.8,IF(_xlfn.XLOOKUP(E117,Groups!A:A,Groups!BB:BB)=1,1.3,3))</f>
        <v>21.461751851563431</v>
      </c>
      <c r="BF117" s="8" t="str">
        <f>IF(W117="No","No",IF(_xlfn.XLOOKUP(E117,Groups!A:A,Groups!U:U)=1,'Base stats'!BG117,IF(OR(_xlfn.XLOOKUP(E117,Groups!A:A,Groups!BC:BC)=1,_xlfn.XLOOKUP(E117,Groups!A:A,Groups!U:U)=2),BD117,BE117))*1.2)</f>
        <v>No</v>
      </c>
      <c r="BG117" s="8">
        <f>IFERROR(EXP(1.076*LN(AQ117)-4.5397)*IF(_xlfn.XLOOKUP(E117,Groups!A:A,Groups!N:N)="Insect",1,IF(OR(_xlfn.XLOOKUP(E117,Groups!A:A,Groups!N:N)="Pig",_xlfn.XLOOKUP(E117,Groups!A:A,Groups!N:N)="StrongBitingHerbivore"),3.5,3.75)),"No")</f>
        <v>15.787486864838188</v>
      </c>
      <c r="BH117" s="8">
        <f t="shared" si="29"/>
        <v>11</v>
      </c>
      <c r="BI117" s="8">
        <f t="shared" si="30"/>
        <v>10</v>
      </c>
      <c r="BJ117" s="8" t="str">
        <f>IF(W117="No","No",ROUNDDOWN(SQRT((2*BF117)/AZ117),0))</f>
        <v>No</v>
      </c>
      <c r="BK117" s="8">
        <f>IF(V117="No","No",ROUNDDOWN(SQRT((2*BG117)/AY117),0))</f>
        <v>8</v>
      </c>
      <c r="BL117" s="8">
        <f t="shared" si="31"/>
        <v>11</v>
      </c>
      <c r="BM117" s="8" cm="1">
        <f t="array" ref="BM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stats'!E117,Groups!A:A,Groups!P:P=0)),"No",IF(U117="No",AVERAGE(EXP(-0.57+0.99*LN(C117)),EXP(0.32+0.67*LN(C117)))/IF(_xlfn.XLOOKUP(E117,Groups!A:A,Groups!AD:AD)=1,10,2),(0.7354*C117^0.4078)*2/IF(_xlfn.XLOOKUP(E117,Groups!A:A,Groups!BJ:BJ)=1,1000,100)))</f>
        <v>3.6517494087127893E-2</v>
      </c>
      <c r="BN117" s="8" t="str">
        <f>IF(W117="No","No",IF(_xlfn.XLOOKUP(E117,Groups!A:A,Groups!BC:BC)=1,(AL117*5%),EXP(0.7354*LN(C117)^0.4078)*2/IF(_xlfn.XLOOKUP(E117,Groups!A:A,Groups!BK:BK)=1,1000,100)))</f>
        <v>No</v>
      </c>
      <c r="BO117" s="8">
        <f>IF(BG117="No","No",IF(_xlfn.XLOOKUP(E117,Groups!A:A,Groups!BE:BE)=1,(0.0315*C117+2.1825)*2,(0.7354*C117^0.4078)*2)/IF(_xlfn.XLOOKUP(E117,Groups!A:A,Groups!BL:BL)=1,1000,100))</f>
        <v>3.6517494087127893E-2</v>
      </c>
      <c r="BP117" s="8">
        <f>BD117/(AL117*5%)</f>
        <v>6.3117841189458207E-2</v>
      </c>
      <c r="BQ117" s="8">
        <f t="shared" si="32"/>
        <v>587.71151712539108</v>
      </c>
      <c r="BR117" s="8" t="str">
        <f>IF(W117="No","No",BF117/BN117)</f>
        <v>No</v>
      </c>
      <c r="BS117" s="8">
        <f t="shared" si="33"/>
        <v>432.32667682975386</v>
      </c>
      <c r="BT117" s="4">
        <v>0</v>
      </c>
      <c r="BU117" s="4">
        <v>1</v>
      </c>
    </row>
    <row r="118" spans="1:73" x14ac:dyDescent="0.25">
      <c r="A118" s="26" t="s">
        <v>475</v>
      </c>
      <c r="B118" s="6" t="s">
        <v>476</v>
      </c>
      <c r="C118" s="7">
        <v>1.25</v>
      </c>
      <c r="E118" s="7" t="s">
        <v>475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601</v>
      </c>
      <c r="L118" s="7">
        <f>MIN(20*C118^0.183,19.9*C118^0.142,13.7*C118^0.004)</f>
        <v>13.712233725553745</v>
      </c>
      <c r="M118" s="7" t="s">
        <v>638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_xlfn.XLOOKUP(B118,[1]TeethAdjusters!$A:$A,[1]BiteAdjusters!$C:$C)</f>
        <v>1</v>
      </c>
      <c r="T118" s="7">
        <f>_xlfn.XLOOKUP(B118,[1]TeethAdjusters!$A:$A,[1]TeethAdjusters!$B:$B)</f>
        <v>1</v>
      </c>
      <c r="U118" s="7">
        <f>MROUND(1.8,0.05)</f>
        <v>1.8</v>
      </c>
      <c r="V118" s="7">
        <v>5</v>
      </c>
      <c r="W118" s="7" t="s">
        <v>45</v>
      </c>
      <c r="X118" s="7" t="s">
        <v>945</v>
      </c>
      <c r="Y118" s="4" t="s">
        <v>56</v>
      </c>
      <c r="Z118" s="4">
        <v>0</v>
      </c>
      <c r="AA118" s="4">
        <v>0</v>
      </c>
      <c r="AB118" s="4">
        <v>0</v>
      </c>
      <c r="AC118" s="4" t="s">
        <v>45</v>
      </c>
      <c r="AD118" s="4" t="s">
        <v>45</v>
      </c>
      <c r="AE118" s="28" t="s">
        <v>394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4">
        <f>3.6*(23.3/11)</f>
        <v>7.6254545454545459</v>
      </c>
      <c r="AL118" s="8">
        <f t="shared" si="36"/>
        <v>1283.2594976509731</v>
      </c>
      <c r="AM118" s="8">
        <f>IFERROR(C118*_xlfn.XLOOKUP(E118,Groups!A:A,Groups!K:K),0.106*C118^0.94)</f>
        <v>0.13073783158563235</v>
      </c>
      <c r="AN118" s="8">
        <f>AM118*10000/(_xlfn.XLOOKUP(E118,Groups!A:A,Groups!J:J)*AL118)</f>
        <v>0.9346742804321212</v>
      </c>
      <c r="AO118" s="8">
        <f t="shared" si="37"/>
        <v>65.659963606094692</v>
      </c>
      <c r="AP118" s="8">
        <f>IF(_xlfn.XLOOKUP(E118,Groups!A:A,Groups!M:M)=1,EXP(0.7444*LN('Base stats'!C118)+6.5696),EXP(0.7927*LN('Base stats'!C118)+4.28))</f>
        <v>86.218596678127668</v>
      </c>
      <c r="AQ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"No")))))))))))))))</f>
        <v>16.403772453800375</v>
      </c>
      <c r="AR118" s="8">
        <f>IF(_xlfn.XLOOKUP(E118,Groups!A:A,Groups!U:U)=3,AP118,IF(_xlfn.XLOOKUP(E118,Groups!A:A,Groups!U:U)=2,AO118,AQ118))</f>
        <v>16.403772453800375</v>
      </c>
      <c r="AS118" s="46">
        <f>IFERROR(AVERAGE(_xlfn.XLOOKUP(B118,Animals!B:B,Animals!M:M),_xlfn.XLOOKUP(B118,Animals!B:B,Animals!N:N)),0)</f>
        <v>0</v>
      </c>
      <c r="AT118" s="8">
        <f>MROUND(40*Animals!AN118*_xlfn.XLOOKUP(Animals!AZ118,Leathers!$A$2:$A$100,Leathers!$B$2:$B$100,0)+(140*_xlfn.XLOOKUP(B118,Animals!B:B,Animals!AN:AN)*2),5)</f>
        <v>55</v>
      </c>
      <c r="AU118" s="8">
        <f>IFERROR(ROUND(SQRT(V118-1)*IF(_xlfn.XLOOKUP(E118,Groups!A:A,Groups!BE:BE)=0,2,1)*IF(_xlfn.XLOOKUP('Base stats'!E118,Groups!A:A,Groups!O:O)=0,1,0.1),1),0)</f>
        <v>0.2</v>
      </c>
      <c r="AV118" s="8">
        <f t="shared" si="38"/>
        <v>0.9</v>
      </c>
      <c r="AW118" s="8">
        <f t="shared" si="39"/>
        <v>0</v>
      </c>
      <c r="AX118" s="8">
        <f t="shared" si="40"/>
        <v>0.7</v>
      </c>
      <c r="AY118" s="8">
        <f>IF(_xlfn.XLOOKUP(E118,Groups!A:A,Groups!N:N)="Insect",BA118*2.5,IFERROR(AVERAGE(BA118,AQ118/9.81/IF(OR(_xlfn.XLOOKUP(E118,Groups!A:A,Groups!N:N)="Pig",_xlfn.XLOOKUP(E118,Groups!A:A,Groups!N:N)="StrongBitingHerbivore"),20,25))*C118^-0.135,BA118))</f>
        <v>5.534367988556204E-2</v>
      </c>
      <c r="AZ118" s="8" t="str">
        <f>IF(W118="No","No",IF(_xlfn.XLOOKUP(E118,Groups!A:A,Groups!U:U)=1,'Base stats'!AY118,IF(OR(_xlfn.XLOOKUP(E118,Groups!A:A,Groups!BC:BC)=1,_xlfn.XLOOKUP(E118,Groups!A:A,Groups!U:U)=2),BA118,IF(_xlfn.XLOOKUP(B118,Animals!B:B,Animals!AN:AN)&gt;4,AVERAGE(BA118,BC118),BC118))))</f>
        <v>No</v>
      </c>
      <c r="BA118" s="8">
        <f>(0.0392*C118^IF(OR(Y118="Herbivore",Y118="Dendrovore",Y118="OmnivoreRough"),0.889,0.966))*C118^-0.135</f>
        <v>4.7186556775152606E-2</v>
      </c>
      <c r="BB118" s="8">
        <f>IF(_xlfn.XLOOKUP(E118,Groups!A:A,Groups!BD:BD)=1,(0.048*C118^1.01)+(0.071*C118^1.03),0.071*C118^1.03)/IF(_xlfn.XLOOKUP(E118,Groups!A:A,Groups!M:M)=1,0.85,IF(OR(_xlfn.XLOOKUP(B118,Animals!B:B,Animals!AN:AN)&gt;4,_xlfn.XLOOKUP(E118,Groups!A:A,Groups!BB:BB)=1),1.7,1))*C118^-0.25</f>
        <v>8.4498336439801938E-2</v>
      </c>
      <c r="BC118" s="8">
        <f>(0.048*C118^1.01)/IF(_xlfn.XLOOKUP(E118,Groups!A:A,Groups!M:M)=1,0.25,0.8)*C118^-0.25</f>
        <v>7.1089074505184646E-2</v>
      </c>
      <c r="BD118" s="8">
        <f>EXP(1.076*LN(AO118)-4.5397)*IF(_xlfn.XLOOKUP(E118,Groups!A:A,Groups!BB:BB)=1,1.25,IF(_xlfn.XLOOKUP(E118,Groups!A:A,Groups!BC:BC)=1,3.5,2.5))</f>
        <v>2.4087339580560458</v>
      </c>
      <c r="BE118" s="8">
        <f>EXP(1.076*LN(AP118)-4.5397)*IF(_xlfn.XLOOKUP(E118,Groups!A:A,Groups!M:M)=1,0.8,IF(_xlfn.XLOOKUP(E118,Groups!A:A,Groups!BB:BB)=1,1.3,3))</f>
        <v>3.8749064077407116</v>
      </c>
      <c r="BF118" s="8" t="str">
        <f>IF(W118="No","No",IF(_xlfn.XLOOKUP(E118,Groups!A:A,Groups!U:U)=1,'Base stats'!BG118,IF(OR(_xlfn.XLOOKUP(E118,Groups!A:A,Groups!BC:BC)=1,_xlfn.XLOOKUP(E118,Groups!A:A,Groups!U:U)=2),BD118,BE118))*1.2)</f>
        <v>No</v>
      </c>
      <c r="BG118" s="8">
        <f>IFERROR(EXP(1.076*LN(AQ118)-4.5397)*IF(_xlfn.XLOOKUP(E118,Groups!A:A,Groups!N:N)="Insect",1,IF(OR(_xlfn.XLOOKUP(E118,Groups!A:A,Groups!N:N)="Pig",_xlfn.XLOOKUP(E118,Groups!A:A,Groups!N:N)="StrongBitingHerbivore"),3.5,3.75)),"No")</f>
        <v>0.81235165295276968</v>
      </c>
      <c r="BH118" s="8">
        <f t="shared" si="29"/>
        <v>10</v>
      </c>
      <c r="BI118" s="8">
        <f t="shared" si="30"/>
        <v>9</v>
      </c>
      <c r="BJ118" s="8" t="str">
        <f>IF(W118="No","No",ROUNDDOWN(SQRT((2*BF118)/AZ118),0))</f>
        <v>No</v>
      </c>
      <c r="BK118" s="8">
        <f>IF(V118="No","No",ROUNDDOWN(SQRT((2*BG118)/AY118),0))</f>
        <v>5</v>
      </c>
      <c r="BL118" s="8">
        <f t="shared" si="31"/>
        <v>10</v>
      </c>
      <c r="BM118" s="8" cm="1">
        <f t="array" ref="BM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stats'!E118,Groups!A:A,Groups!P:P=0)),"No",IF(U118="No",AVERAGE(EXP(-0.57+0.99*LN(C118)),EXP(0.32+0.67*LN(C118)))/IF(_xlfn.XLOOKUP(E118,Groups!A:A,Groups!AD:AD)=1,10,2),(0.7354*C118^0.4078)*2/IF(_xlfn.XLOOKUP(E118,Groups!A:A,Groups!BJ:BJ)=1,1000,100)))</f>
        <v>1.6109183348029264E-2</v>
      </c>
      <c r="BN118" s="8" t="str">
        <f>IF(W118="No","No",IF(_xlfn.XLOOKUP(E118,Groups!A:A,Groups!BC:BC)=1,(AL118*5%),EXP(0.7354*LN(C118)^0.4078)*2/IF(_xlfn.XLOOKUP(E118,Groups!A:A,Groups!BK:BK)=1,1000,100)))</f>
        <v>No</v>
      </c>
      <c r="BO118" s="8">
        <f>IF(BG118="No","No",IF(_xlfn.XLOOKUP(E118,Groups!A:A,Groups!BE:BE)=1,(0.0315*C118+2.1825)*2,(0.7354*C118^0.4078)*2)/IF(_xlfn.XLOOKUP(E118,Groups!A:A,Groups!BL:BL)=1,1000,100))</f>
        <v>1.6109183348029264E-2</v>
      </c>
      <c r="BP118" s="8">
        <f>BD118/(AL118*5%)</f>
        <v>3.7540870922292358E-2</v>
      </c>
      <c r="BQ118" s="8">
        <f t="shared" si="32"/>
        <v>240.54021386594701</v>
      </c>
      <c r="BR118" s="8" t="str">
        <f>IF(W118="No","No",BF118/BN118)</f>
        <v>No</v>
      </c>
      <c r="BS118" s="8">
        <f t="shared" si="33"/>
        <v>50.427860643360901</v>
      </c>
      <c r="BT118" s="4">
        <v>0</v>
      </c>
      <c r="BU118" s="4">
        <v>1</v>
      </c>
    </row>
    <row r="119" spans="1:73" s="16" customFormat="1" x14ac:dyDescent="0.25">
      <c r="A119" s="26" t="s">
        <v>1024</v>
      </c>
      <c r="B119" s="6" t="s">
        <v>925</v>
      </c>
      <c r="C119" s="7">
        <v>13.25</v>
      </c>
      <c r="D119" s="7"/>
      <c r="E119" s="7" t="s">
        <v>55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593</v>
      </c>
      <c r="L119" s="7">
        <v>65</v>
      </c>
      <c r="M119" s="7" t="s">
        <v>638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_xlfn.XLOOKUP(B119,[1]TeethAdjusters!$A:$A,[1]BiteAdjusters!$C:$C)</f>
        <v>0.71451147426394657</v>
      </c>
      <c r="T119" s="7">
        <f>_xlfn.XLOOKUP(B119,[1]TeethAdjusters!$A:$A,[1]TeethAdjusters!$B:$B)</f>
        <v>1.1410682230934119</v>
      </c>
      <c r="U119" s="7" t="s">
        <v>45</v>
      </c>
      <c r="V119" s="7">
        <f>IF(AQ119="No","No",IF(_xlfn.XLOOKUP(E119,Groups!A:A,Groups!AM:AM)=1,MROUND(EXP(0.3582*LN(C119)-0.2221)*T119,0.05),IF(_xlfn.XLOOKUP(E119,Groups!A:A,Groups!AM:AM)=2,MROUND(EXP(0.3582*LN(C119)-0.2221)*T119,0.05),"Need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945</v>
      </c>
      <c r="Y119" s="4" t="s">
        <v>56</v>
      </c>
      <c r="Z119" s="4">
        <v>0</v>
      </c>
      <c r="AA119" s="4">
        <v>0</v>
      </c>
      <c r="AB119" s="4">
        <v>0</v>
      </c>
      <c r="AC119" s="4" t="s">
        <v>45</v>
      </c>
      <c r="AD119" s="4" t="s">
        <v>320</v>
      </c>
      <c r="AE119" s="28" t="s">
        <v>405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4" t="s">
        <v>40</v>
      </c>
      <c r="AL119" s="8">
        <f t="shared" si="36"/>
        <v>5953.3758261455168</v>
      </c>
      <c r="AM119" s="8">
        <f>IFERROR(C119*_xlfn.XLOOKUP(E119,Groups!A:A,Groups!K:K),0.106*C119^0.94)</f>
        <v>1.6529374999999999</v>
      </c>
      <c r="AN119" s="8">
        <f>AM119*10000/(_xlfn.XLOOKUP(E119,Groups!A:A,Groups!J:J)*AL119)</f>
        <v>2.5472210495405099</v>
      </c>
      <c r="AO119" s="8">
        <f t="shared" si="37"/>
        <v>482.36579284271642</v>
      </c>
      <c r="AP119" s="8">
        <f>IF(_xlfn.XLOOKUP(E119,Groups!A:A,Groups!M:M)=1,EXP(0.7444*LN('Base stats'!C119)+6.5696),EXP(0.7927*LN('Base stats'!C119)+4.28))</f>
        <v>560.22296698291473</v>
      </c>
      <c r="AQ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"No")))))))))))))))</f>
        <v>814.17434778069526</v>
      </c>
      <c r="AR119" s="8">
        <f>IF(_xlfn.XLOOKUP(E119,Groups!A:A,Groups!U:U)=3,AP119,IF(_xlfn.XLOOKUP(E119,Groups!A:A,Groups!U:U)=2,AO119,AQ119))</f>
        <v>814.17434778069526</v>
      </c>
      <c r="AS119" s="46">
        <f>IFERROR(AVERAGE(_xlfn.XLOOKUP(B119,Animals!B:B,Animals!M:M),_xlfn.XLOOKUP(B119,Animals!B:B,Animals!N:N)),0)</f>
        <v>0</v>
      </c>
      <c r="AT119" s="8">
        <f>MROUND(40*Animals!AN119*_xlfn.XLOOKUP(Animals!AZ119,Leathers!$A$2:$A$100,Leathers!$B$2:$B$100,0)+(140*_xlfn.XLOOKUP(B119,Animals!B:B,Animals!AN:AN)*2),5)</f>
        <v>200</v>
      </c>
      <c r="AU119" s="8">
        <f>IFERROR(ROUND(SQRT(V119-1)*IF(_xlfn.XLOOKUP(E119,Groups!A:A,Groups!BE:BE)=0,2,1)*IF(_xlfn.XLOOKUP('Base stats'!E119,Groups!A:A,Groups!O:O)=0,1,0.1),1),0)</f>
        <v>2.2999999999999998</v>
      </c>
      <c r="AV119" s="8">
        <f t="shared" si="38"/>
        <v>0</v>
      </c>
      <c r="AW119" s="8">
        <f t="shared" si="39"/>
        <v>0</v>
      </c>
      <c r="AX119" s="8">
        <f t="shared" si="40"/>
        <v>1.9</v>
      </c>
      <c r="AY119" s="8">
        <f>IF(_xlfn.XLOOKUP(E119,Groups!A:A,Groups!N:N)="Insect",BA119*2.5,IFERROR(AVERAGE(BA119,AQ119/9.81/IF(OR(_xlfn.XLOOKUP(E119,Groups!A:A,Groups!N:N)="Pig",_xlfn.XLOOKUP(E119,Groups!A:A,Groups!N:N)="StrongBitingHerbivore"),20,25))*C119^-0.135,BA119))</f>
        <v>1.2894512039154595</v>
      </c>
      <c r="AZ119" s="8" t="str">
        <f>IF(W119="No","No",IF(_xlfn.XLOOKUP(E119,Groups!A:A,Groups!U:U)=1,'Base stats'!AY119,IF(OR(_xlfn.XLOOKUP(E119,Groups!A:A,Groups!BC:BC)=1,_xlfn.XLOOKUP(E119,Groups!A:A,Groups!U:U)=2),BA119,IF(_xlfn.XLOOKUP(B119,Animals!B:B,Animals!AN:AN)&gt;4,AVERAGE(BA119,BC119),BC119))))</f>
        <v>No</v>
      </c>
      <c r="BA119" s="8">
        <f>(0.0392*C119^IF(OR(Y119="Herbivore",Y119="Dendrovore",Y119="OmnivoreRough"),0.889,0.966))*C119^-0.135</f>
        <v>0.33561971314389133</v>
      </c>
      <c r="BB119" s="8">
        <f>IF(_xlfn.XLOOKUP(E119,Groups!A:A,Groups!BD:BD)=1,(0.048*C119^1.01)+(0.071*C119^1.03),0.071*C119^1.03)/IF(_xlfn.XLOOKUP(E119,Groups!A:A,Groups!M:M)=1,0.85,IF(OR(_xlfn.XLOOKUP(B119,Animals!B:B,Animals!AN:AN)&gt;4,_xlfn.XLOOKUP(E119,Groups!A:A,Groups!BB:BB)=1),1.7,1))*C119^-0.25</f>
        <v>0.53282762571007336</v>
      </c>
      <c r="BC119" s="8">
        <f>(0.048*C119^1.01)/IF(_xlfn.XLOOKUP(E119,Groups!A:A,Groups!M:M)=1,0.25,0.8)*C119^-0.25</f>
        <v>0.42759765800687999</v>
      </c>
      <c r="BD119" s="8">
        <f>EXP(1.076*LN(AO119)-4.5397)*IF(_xlfn.XLOOKUP(E119,Groups!A:A,Groups!BB:BB)=1,1.25,IF(_xlfn.XLOOKUP(E119,Groups!A:A,Groups!BC:BC)=1,3.5,2.5))</f>
        <v>20.591427987572672</v>
      </c>
      <c r="BE119" s="8">
        <f>EXP(1.076*LN(AP119)-4.5397)*IF(_xlfn.XLOOKUP(E119,Groups!A:A,Groups!M:M)=1,0.8,IF(_xlfn.XLOOKUP(E119,Groups!A:A,Groups!BB:BB)=1,1.3,3))</f>
        <v>29.026250140724073</v>
      </c>
      <c r="BF119" s="8" t="str">
        <f>IF(W119="No","No",IF(_xlfn.XLOOKUP(E119,Groups!A:A,Groups!U:U)=1,'Base stats'!BG119,IF(OR(_xlfn.XLOOKUP(E119,Groups!A:A,Groups!BC:BC)=1,_xlfn.XLOOKUP(E119,Groups!A:A,Groups!U:U)=2),BD119,BE119))*1.2)</f>
        <v>No</v>
      </c>
      <c r="BG119" s="8">
        <f>IFERROR(EXP(1.076*LN(AQ119)-4.5397)*IF(_xlfn.XLOOKUP(E119,Groups!A:A,Groups!N:N)="Insect",1,IF(OR(_xlfn.XLOOKUP(E119,Groups!A:A,Groups!N:N)="Pig",_xlfn.XLOOKUP(E119,Groups!A:A,Groups!N:N)="StrongBitingHerbivore"),3.5,3.75)),"No")</f>
        <v>54.249600793987327</v>
      </c>
      <c r="BH119" s="8">
        <f t="shared" si="29"/>
        <v>11</v>
      </c>
      <c r="BI119" s="8">
        <f t="shared" si="30"/>
        <v>10</v>
      </c>
      <c r="BJ119" s="8" t="str">
        <f>IF(W119="No","No",ROUNDDOWN(SQRT((2*BF119)/AZ119),0))</f>
        <v>No</v>
      </c>
      <c r="BK119" s="8">
        <f>IF(V119="No","No",ROUNDDOWN(SQRT((2*BG119)/AY119),0))</f>
        <v>9</v>
      </c>
      <c r="BL119" s="8">
        <f t="shared" si="31"/>
        <v>11</v>
      </c>
      <c r="BM119" s="8" t="str" cm="1">
        <f t="array" ref="BM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stats'!E119,Groups!A:A,Groups!P:P=0)),"No",IF(U119="No",AVERAGE(EXP(-0.57+0.99*LN(C119)),EXP(0.32+0.67*LN(C119)))/IF(_xlfn.XLOOKUP(E119,Groups!A:A,Groups!AD:AD)=1,10,2),(0.7354*C119^0.4078)*2/IF(_xlfn.XLOOKUP(E119,Groups!A:A,Groups!BJ:BJ)=1,1000,100)))</f>
        <v>No</v>
      </c>
      <c r="BN119" s="8" t="str">
        <f>IF(W119="No","No",IF(_xlfn.XLOOKUP(E119,Groups!A:A,Groups!BC:BC)=1,(AL119*5%),EXP(0.7354*LN(C119)^0.4078)*2/IF(_xlfn.XLOOKUP(E119,Groups!A:A,Groups!BK:BK)=1,1000,100)))</f>
        <v>No</v>
      </c>
      <c r="BO119" s="8">
        <f>IF(BG119="No","No",IF(_xlfn.XLOOKUP(E119,Groups!A:A,Groups!BE:BE)=1,(0.0315*C119+2.1825)*2,(0.7354*C119^0.4078)*2)/IF(_xlfn.XLOOKUP(E119,Groups!A:A,Groups!BL:BL)=1,1000,100))</f>
        <v>4.2188419557802559E-2</v>
      </c>
      <c r="BP119" s="8">
        <f>BD119/(AL119*5%)</f>
        <v>6.9175636105958685E-2</v>
      </c>
      <c r="BQ119" s="8" t="str">
        <f t="shared" si="32"/>
        <v>No</v>
      </c>
      <c r="BR119" s="8" t="str">
        <f>IF(W119="No","No",BF119/BN119)</f>
        <v>No</v>
      </c>
      <c r="BS119" s="8">
        <f t="shared" si="33"/>
        <v>1285.8884348502243</v>
      </c>
      <c r="BT119" s="4">
        <v>0</v>
      </c>
      <c r="BU119" s="4">
        <v>1</v>
      </c>
    </row>
    <row r="120" spans="1:73" x14ac:dyDescent="0.25">
      <c r="A120" s="26" t="s">
        <v>477</v>
      </c>
      <c r="B120" s="6" t="s">
        <v>237</v>
      </c>
      <c r="C120" s="7">
        <f>154.25</f>
        <v>154.25</v>
      </c>
      <c r="E120" s="7" t="s">
        <v>181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602</v>
      </c>
      <c r="L120" s="7">
        <v>48</v>
      </c>
      <c r="M120" s="7" t="s">
        <v>638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_xlfn.XLOOKUP(B120,[1]TeethAdjusters!$A:$A,[1]BiteAdjusters!$C:$C)</f>
        <v>1.0792286509064426</v>
      </c>
      <c r="T120" s="7">
        <f>_xlfn.XLOOKUP(B120,[1]TeethAdjusters!$A:$A,[1]TeethAdjusters!$B:$B)</f>
        <v>0.646574871368368</v>
      </c>
      <c r="U120" s="7">
        <f>MROUND(4.445,0.05)</f>
        <v>4.45</v>
      </c>
      <c r="V120" s="7">
        <f>IF(AQ120="No","No",IF(_xlfn.XLOOKUP(E120,Groups!A:A,Groups!AM:AM)=1,MROUND(EXP(0.3582*LN(C120)-0.2221)*T120,0.05),IF(_xlfn.XLOOKUP(E120,Groups!A:A,Groups!AM:AM)=2,MROUND(EXP(0.3582*LN(C120)-0.2221)*T120,0.05),"Need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945</v>
      </c>
      <c r="Y120" s="4" t="s">
        <v>53</v>
      </c>
      <c r="Z120" s="4">
        <v>0</v>
      </c>
      <c r="AA120" s="4">
        <v>0</v>
      </c>
      <c r="AB120" s="4">
        <v>0</v>
      </c>
      <c r="AC120" s="4" t="s">
        <v>45</v>
      </c>
      <c r="AD120" s="4" t="s">
        <v>45</v>
      </c>
      <c r="AE120" s="28" t="s">
        <v>383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4" t="s">
        <v>40</v>
      </c>
      <c r="AL120" s="8">
        <f t="shared" si="36"/>
        <v>29354.138637678661</v>
      </c>
      <c r="AM120" s="8">
        <f>IFERROR(C120*_xlfn.XLOOKUP(E120,Groups!A:A,Groups!K:K),0.106*C120^0.94)</f>
        <v>19.242687499999999</v>
      </c>
      <c r="AN120" s="8">
        <f>AM120*10000/(_xlfn.XLOOKUP(E120,Groups!A:A,Groups!J:J)*AL120)</f>
        <v>6.0140895159699834</v>
      </c>
      <c r="AO120" s="8">
        <f t="shared" si="37"/>
        <v>3835.6109789427369</v>
      </c>
      <c r="AP120" s="8">
        <f>IF(_xlfn.XLOOKUP(E120,Groups!A:A,Groups!M:M)=1,EXP(0.7444*LN('Base stats'!C120)+6.5696),EXP(0.7927*LN('Base stats'!C120)+4.28))</f>
        <v>3920.9064182087723</v>
      </c>
      <c r="AQ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"No")))))))))))))))</f>
        <v>3193.342862592418</v>
      </c>
      <c r="AR120" s="8">
        <f>IF(_xlfn.XLOOKUP(E120,Groups!A:A,Groups!U:U)=3,AP120,IF(_xlfn.XLOOKUP(E120,Groups!A:A,Groups!U:U)=2,AO120,AQ120))</f>
        <v>3193.342862592418</v>
      </c>
      <c r="AS120" s="46">
        <f>IFERROR(AVERAGE(_xlfn.XLOOKUP(B120,Animals!B:B,Animals!M:M),_xlfn.XLOOKUP(B120,Animals!B:B,Animals!N:N)),0)</f>
        <v>0</v>
      </c>
      <c r="AT120" s="8">
        <f>MROUND(40*Animals!AN120*_xlfn.XLOOKUP(Animals!AZ120,Leathers!$A$2:$A$100,Leathers!$B$2:$B$100,0)+(140*_xlfn.XLOOKUP(B120,Animals!B:B,Animals!AN:AN)*2),5)</f>
        <v>705</v>
      </c>
      <c r="AU120" s="8">
        <f>IFERROR(ROUND(SQRT(V120-1)*IF(_xlfn.XLOOKUP(E120,Groups!A:A,Groups!BE:BE)=0,2,1)*IF(_xlfn.XLOOKUP('Base stats'!E120,Groups!A:A,Groups!O:O)=0,1,0.1),1),0)</f>
        <v>2.9</v>
      </c>
      <c r="AV120" s="8">
        <f t="shared" si="38"/>
        <v>1.9</v>
      </c>
      <c r="AW120" s="8">
        <f t="shared" si="39"/>
        <v>0</v>
      </c>
      <c r="AX120" s="8">
        <f t="shared" si="40"/>
        <v>4.9000000000000004</v>
      </c>
      <c r="AY120" s="8">
        <f>IF(_xlfn.XLOOKUP(E120,Groups!A:A,Groups!N:N)="Insect",BA120*2.5,IFERROR(AVERAGE(BA120,AQ120/9.81/IF(OR(_xlfn.XLOOKUP(E120,Groups!A:A,Groups!N:N)="Pig",_xlfn.XLOOKUP(E120,Groups!A:A,Groups!N:N)="StrongBitingHerbivore"),20,25))*C120^-0.135,BA120))</f>
        <v>3.951108945397857</v>
      </c>
      <c r="AZ120" s="8" t="str">
        <f>IF(W120="No","No",IF(_xlfn.XLOOKUP(E120,Groups!A:A,Groups!U:U)=1,'Base stats'!AY120,IF(OR(_xlfn.XLOOKUP(E120,Groups!A:A,Groups!BC:BC)=1,_xlfn.XLOOKUP(E120,Groups!A:A,Groups!U:U)=2),BA120,IF(_xlfn.XLOOKUP(B120,Animals!B:B,Animals!AN:AN)&gt;4,AVERAGE(BA120,BC120),BC120))))</f>
        <v>No</v>
      </c>
      <c r="BA120" s="8">
        <f>(0.0392*C120^IF(OR(Y120="Herbivore",Y120="Dendrovore",Y120="OmnivoreRough"),0.889,0.966))*C120^-0.135</f>
        <v>2.5804840886405951</v>
      </c>
      <c r="BB120" s="8">
        <f>IF(_xlfn.XLOOKUP(E120,Groups!A:A,Groups!BD:BD)=1,(0.048*C120^1.01)+(0.071*C120^1.03),0.071*C120^1.03)/IF(_xlfn.XLOOKUP(E120,Groups!A:A,Groups!M:M)=1,0.85,IF(OR(_xlfn.XLOOKUP(B120,Animals!B:B,Animals!AN:AN)&gt;4,_xlfn.XLOOKUP(E120,Groups!A:A,Groups!BB:BB)=1),1.7,1))*C120^-0.25</f>
        <v>3.6147143518936029</v>
      </c>
      <c r="BC120" s="8">
        <f>(0.048*C120^1.01)/IF(_xlfn.XLOOKUP(E120,Groups!A:A,Groups!M:M)=1,0.25,0.8)*C120^-0.25</f>
        <v>2.7618645879002224</v>
      </c>
      <c r="BD120" s="8">
        <f>EXP(1.076*LN(AO120)-4.5397)*IF(_xlfn.XLOOKUP(E120,Groups!A:A,Groups!BB:BB)=1,1.25,IF(_xlfn.XLOOKUP(E120,Groups!A:A,Groups!BC:BC)=1,3.5,2.5))</f>
        <v>191.68111557006529</v>
      </c>
      <c r="BE120" s="8">
        <f>EXP(1.076*LN(AP120)-4.5397)*IF(_xlfn.XLOOKUP(E120,Groups!A:A,Groups!M:M)=1,0.8,IF(_xlfn.XLOOKUP(E120,Groups!A:A,Groups!BB:BB)=1,1.3,3))</f>
        <v>235.52577657381272</v>
      </c>
      <c r="BF120" s="8" t="str">
        <f>IF(W120="No","No",IF(_xlfn.XLOOKUP(E120,Groups!A:A,Groups!U:U)=1,'Base stats'!BG120,IF(OR(_xlfn.XLOOKUP(E120,Groups!A:A,Groups!BC:BC)=1,_xlfn.XLOOKUP(E120,Groups!A:A,Groups!U:U)=2),BD120,BE120))*1.2)</f>
        <v>No</v>
      </c>
      <c r="BG120" s="8">
        <f>IFERROR(EXP(1.076*LN(AQ120)-4.5397)*IF(_xlfn.XLOOKUP(E120,Groups!A:A,Groups!N:N)="Insect",1,IF(OR(_xlfn.XLOOKUP(E120,Groups!A:A,Groups!N:N)="Pig",_xlfn.XLOOKUP(E120,Groups!A:A,Groups!N:N)="StrongBitingHerbivore"),3.5,3.75)),"No")</f>
        <v>236.06566254080752</v>
      </c>
      <c r="BH120" s="8">
        <f t="shared" si="29"/>
        <v>12</v>
      </c>
      <c r="BI120" s="8">
        <f t="shared" si="30"/>
        <v>11</v>
      </c>
      <c r="BJ120" s="8" t="str">
        <f>IF(W120="No","No",ROUNDDOWN(SQRT((2*BF120)/AZ120),0))</f>
        <v>No</v>
      </c>
      <c r="BK120" s="8">
        <f>IF(V120="No","No",ROUNDDOWN(SQRT((2*BG120)/AY120),0))</f>
        <v>10</v>
      </c>
      <c r="BL120" s="8">
        <f t="shared" si="31"/>
        <v>13</v>
      </c>
      <c r="BM120" s="8" cm="1">
        <f t="array" ref="BM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stats'!E120,Groups!A:A,Groups!P:P=0)),"No",IF(U120="No",AVERAGE(EXP(-0.57+0.99*LN(C120)),EXP(0.32+0.67*LN(C120)))/IF(_xlfn.XLOOKUP(E120,Groups!A:A,Groups!AD:AD)=1,10,2),(0.7354*C120^0.4078)*2/IF(_xlfn.XLOOKUP(E120,Groups!A:A,Groups!BJ:BJ)=1,1000,100)))</f>
        <v>0.11479205921855015</v>
      </c>
      <c r="BN120" s="8" t="str">
        <f>IF(W120="No","No",IF(_xlfn.XLOOKUP(E120,Groups!A:A,Groups!BC:BC)=1,(AL120*5%),EXP(0.7354*LN(C120)^0.4078)*2/IF(_xlfn.XLOOKUP(E120,Groups!A:A,Groups!BK:BK)=1,1000,100)))</f>
        <v>No</v>
      </c>
      <c r="BO120" s="8">
        <f>IF(BG120="No","No",IF(_xlfn.XLOOKUP(E120,Groups!A:A,Groups!BE:BE)=1,(0.0315*C120+2.1825)*2,(0.7354*C120^0.4078)*2)/IF(_xlfn.XLOOKUP(E120,Groups!A:A,Groups!BL:BL)=1,1000,100))</f>
        <v>0.11479205921855015</v>
      </c>
      <c r="BP120" s="8">
        <f>BD120/(AL120*5%)</f>
        <v>0.13059903949899959</v>
      </c>
      <c r="BQ120" s="8">
        <f t="shared" si="32"/>
        <v>2051.760184259786</v>
      </c>
      <c r="BR120" s="8" t="str">
        <f>IF(W120="No","No",BF120/BN120)</f>
        <v>No</v>
      </c>
      <c r="BS120" s="8">
        <f t="shared" si="33"/>
        <v>2056.4633490141259</v>
      </c>
      <c r="BT120" s="4">
        <v>0</v>
      </c>
      <c r="BU120" s="4">
        <v>1</v>
      </c>
    </row>
    <row r="121" spans="1:73" x14ac:dyDescent="0.25">
      <c r="A121" s="26" t="s">
        <v>57</v>
      </c>
      <c r="B121" s="6" t="s">
        <v>58</v>
      </c>
      <c r="C121" s="7">
        <v>62.999899999999997</v>
      </c>
      <c r="E121" s="7" t="str">
        <f>Groups!A10</f>
        <v>Hyenid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603</v>
      </c>
      <c r="L121" s="7">
        <v>65</v>
      </c>
      <c r="M121" s="7" t="s">
        <v>638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_xlfn.XLOOKUP(B121,[1]TeethAdjusters!$A:$A,[1]BiteAdjusters!$C:$C)</f>
        <v>1.3094980210581604</v>
      </c>
      <c r="T121" s="7">
        <f>_xlfn.XLOOKUP(B121,[1]TeethAdjusters!$A:$A,[1]TeethAdjusters!$B:$B)</f>
        <v>0.82546980223782873</v>
      </c>
      <c r="U121" s="7" t="s">
        <v>45</v>
      </c>
      <c r="V121" s="7">
        <f>IF(AQ121="No","No",IF(_xlfn.XLOOKUP(E121,Groups!A:A,Groups!AM:AM)=1,MROUND(EXP(0.3582*LN(C121)-0.2221)*T121,0.05),IF(_xlfn.XLOOKUP(E121,Groups!A:A,Groups!AM:AM)=2,MROUND(EXP(0.3582*LN(C121)-0.2221)*T121,0.05),"Need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945</v>
      </c>
      <c r="Y121" s="4" t="s">
        <v>56</v>
      </c>
      <c r="Z121" s="4">
        <v>0</v>
      </c>
      <c r="AA121" s="4">
        <v>0</v>
      </c>
      <c r="AB121" s="4">
        <v>0</v>
      </c>
      <c r="AC121" s="4" t="s">
        <v>45</v>
      </c>
      <c r="AD121" s="4" t="s">
        <v>320</v>
      </c>
      <c r="AE121" s="28" t="s">
        <v>405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4" t="s">
        <v>40</v>
      </c>
      <c r="AL121" s="8">
        <f t="shared" si="36"/>
        <v>16401.889731654668</v>
      </c>
      <c r="AM121" s="8">
        <f>IFERROR(C121*_xlfn.XLOOKUP(E121,Groups!A:A,Groups!K:K),0.106*C121^0.94)</f>
        <v>7.8592375249999993</v>
      </c>
      <c r="AN121" s="8">
        <f>AM121*10000/(_xlfn.XLOOKUP(E121,Groups!A:A,Groups!J:J)*AL121)</f>
        <v>4.3960237350259925</v>
      </c>
      <c r="AO121" s="8">
        <f t="shared" si="37"/>
        <v>1800.2927374687702</v>
      </c>
      <c r="AP121" s="8">
        <f>IF(_xlfn.XLOOKUP(E121,Groups!A:A,Groups!M:M)=1,EXP(0.7444*LN('Base stats'!C121)+6.5696),EXP(0.7927*LN('Base stats'!C121)+4.28))</f>
        <v>1928.0446610661597</v>
      </c>
      <c r="AQ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"No")))))))))))))))</f>
        <v>5500</v>
      </c>
      <c r="AR121" s="8">
        <f>IF(_xlfn.XLOOKUP(E121,Groups!A:A,Groups!U:U)=3,AP121,IF(_xlfn.XLOOKUP(E121,Groups!A:A,Groups!U:U)=2,AO121,AQ121))</f>
        <v>5500</v>
      </c>
      <c r="AS121" s="46">
        <f>IFERROR(AVERAGE(_xlfn.XLOOKUP(B121,Animals!B:B,Animals!M:M),_xlfn.XLOOKUP(B121,Animals!B:B,Animals!N:N)),0)</f>
        <v>0</v>
      </c>
      <c r="AT121" s="8">
        <f>MROUND(40*Animals!AN121*_xlfn.XLOOKUP(Animals!AZ121,Leathers!$A$2:$A$100,Leathers!$B$2:$B$100,0)+(140*_xlfn.XLOOKUP(B121,Animals!B:B,Animals!AN:AN)*2),5)</f>
        <v>380</v>
      </c>
      <c r="AU121" s="8">
        <f>IFERROR(ROUND(SQRT(V121-1)*IF(_xlfn.XLOOKUP(E121,Groups!A:A,Groups!BE:BE)=0,2,1)*IF(_xlfn.XLOOKUP('Base stats'!E121,Groups!A:A,Groups!O:O)=0,1,0.1),1),0)</f>
        <v>2.8</v>
      </c>
      <c r="AV121" s="8">
        <f t="shared" si="38"/>
        <v>0</v>
      </c>
      <c r="AW121" s="8">
        <f t="shared" si="39"/>
        <v>0</v>
      </c>
      <c r="AX121" s="8">
        <f t="shared" si="40"/>
        <v>3.5</v>
      </c>
      <c r="AY121" s="8">
        <f>IF(_xlfn.XLOOKUP(E121,Groups!A:A,Groups!N:N)="Insect",BA121*2.5,IFERROR(AVERAGE(BA121,AQ121/9.81/IF(OR(_xlfn.XLOOKUP(E121,Groups!A:A,Groups!N:N)="Pig",_xlfn.XLOOKUP(E121,Groups!A:A,Groups!N:N)="StrongBitingHerbivore"),20,25))*C121^-0.135,BA121))</f>
        <v>6.7597586534006018</v>
      </c>
      <c r="AZ121" s="8" t="str">
        <f>IF(W121="No","No",IF(_xlfn.XLOOKUP(E121,Groups!A:A,Groups!U:U)=1,'Base stats'!AY121,IF(OR(_xlfn.XLOOKUP(E121,Groups!A:A,Groups!BC:BC)=1,_xlfn.XLOOKUP(E121,Groups!A:A,Groups!U:U)=2),BA121,IF(_xlfn.XLOOKUP(B121,Animals!B:B,Animals!AN:AN)&gt;4,AVERAGE(BA121,BC121),BC121))))</f>
        <v>No</v>
      </c>
      <c r="BA121" s="8">
        <f>(0.0392*C121^IF(OR(Y121="Herbivore",Y121="Dendrovore",Y121="OmnivoreRough"),0.889,0.966))*C121^-0.135</f>
        <v>1.2261327448364443</v>
      </c>
      <c r="BB121" s="8">
        <f>IF(_xlfn.XLOOKUP(E121,Groups!A:A,Groups!BD:BD)=1,(0.048*C121^1.01)+(0.071*C121^1.03),0.071*C121^1.03)/IF(_xlfn.XLOOKUP(E121,Groups!A:A,Groups!M:M)=1,0.85,IF(OR(_xlfn.XLOOKUP(B121,Animals!B:B,Animals!AN:AN)&gt;4,_xlfn.XLOOKUP(E121,Groups!A:A,Groups!BB:BB)=1),1.7,1))*C121^-0.25</f>
        <v>1.7978085420713761</v>
      </c>
      <c r="BC121" s="8">
        <f>(0.048*C121^1.01)/IF(_xlfn.XLOOKUP(E121,Groups!A:A,Groups!M:M)=1,0.25,0.8)*C121^-0.25</f>
        <v>1.3984583746690362</v>
      </c>
      <c r="BD121" s="8">
        <f>EXP(1.076*LN(AO121)-4.5397)*IF(_xlfn.XLOOKUP(E121,Groups!A:A,Groups!BB:BB)=1,1.25,IF(_xlfn.XLOOKUP(E121,Groups!A:A,Groups!BC:BC)=1,3.5,2.5))</f>
        <v>84.942014489293456</v>
      </c>
      <c r="BE121" s="8">
        <f>EXP(1.076*LN(AP121)-4.5397)*IF(_xlfn.XLOOKUP(E121,Groups!A:A,Groups!M:M)=1,0.8,IF(_xlfn.XLOOKUP(E121,Groups!A:A,Groups!BB:BB)=1,1.3,3))</f>
        <v>109.73384167197534</v>
      </c>
      <c r="BF121" s="8" t="str">
        <f>IF(W121="No","No",IF(_xlfn.XLOOKUP(E121,Groups!A:A,Groups!U:U)=1,'Base stats'!BG121,IF(OR(_xlfn.XLOOKUP(E121,Groups!A:A,Groups!BC:BC)=1,_xlfn.XLOOKUP(E121,Groups!A:A,Groups!U:U)=2),BD121,BE121))*1.2)</f>
        <v>No</v>
      </c>
      <c r="BG121" s="8">
        <f>IFERROR(EXP(1.076*LN(AQ121)-4.5397)*IF(_xlfn.XLOOKUP(E121,Groups!A:A,Groups!N:N)="Insect",1,IF(OR(_xlfn.XLOOKUP(E121,Groups!A:A,Groups!N:N)="Pig",_xlfn.XLOOKUP(E121,Groups!A:A,Groups!N:N)="StrongBitingHerbivore"),3.5,3.75)),"No")</f>
        <v>423.73551169320569</v>
      </c>
      <c r="BH121" s="8">
        <f t="shared" si="29"/>
        <v>11</v>
      </c>
      <c r="BI121" s="8">
        <f t="shared" si="30"/>
        <v>11</v>
      </c>
      <c r="BJ121" s="8" t="str">
        <f>IF(W121="No","No",ROUNDDOWN(SQRT((2*BF121)/AZ121),0))</f>
        <v>No</v>
      </c>
      <c r="BK121" s="8">
        <f>IF(V121="No","No",ROUNDDOWN(SQRT((2*BG121)/AY121),0))</f>
        <v>11</v>
      </c>
      <c r="BL121" s="8">
        <f t="shared" si="31"/>
        <v>12</v>
      </c>
      <c r="BM121" s="8" t="str" cm="1">
        <f t="array" ref="BM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stats'!E121,Groups!A:A,Groups!P:P=0)),"No",IF(U121="No",AVERAGE(EXP(-0.57+0.99*LN(C121)),EXP(0.32+0.67*LN(C121)))/IF(_xlfn.XLOOKUP(E121,Groups!A:A,Groups!AD:AD)=1,10,2),(0.7354*C121^0.4078)*2/IF(_xlfn.XLOOKUP(E121,Groups!A:A,Groups!BJ:BJ)=1,1000,100)))</f>
        <v>No</v>
      </c>
      <c r="BN121" s="8" t="str">
        <f>IF(W121="No","No",IF(_xlfn.XLOOKUP(E121,Groups!A:A,Groups!BC:BC)=1,(AL121*5%),EXP(0.7354*LN(C121)^0.4078)*2/IF(_xlfn.XLOOKUP(E121,Groups!A:A,Groups!BK:BK)=1,1000,100)))</f>
        <v>No</v>
      </c>
      <c r="BO121" s="8">
        <f>IF(BG121="No","No",IF(_xlfn.XLOOKUP(E121,Groups!A:A,Groups!BE:BE)=1,(0.0315*C121+2.1825)*2,(0.7354*C121^0.4078)*2)/IF(_xlfn.XLOOKUP(E121,Groups!A:A,Groups!BL:BL)=1,1000,100))</f>
        <v>7.967543002753158E-2</v>
      </c>
      <c r="BP121" s="8">
        <f>BD121/(AL121*5%)</f>
        <v>0.10357588775317814</v>
      </c>
      <c r="BQ121" s="8" t="str">
        <f t="shared" si="32"/>
        <v>No</v>
      </c>
      <c r="BR121" s="8" t="str">
        <f>IF(W121="No","No",BF121/BN121)</f>
        <v>No</v>
      </c>
      <c r="BS121" s="8">
        <f t="shared" si="33"/>
        <v>5318.2707836880863</v>
      </c>
      <c r="BT121" s="4">
        <v>0</v>
      </c>
      <c r="BU121" s="4">
        <v>1</v>
      </c>
    </row>
    <row r="122" spans="1:73" x14ac:dyDescent="0.25">
      <c r="A122" s="26" t="s">
        <v>480</v>
      </c>
      <c r="B122" s="6" t="s">
        <v>478</v>
      </c>
      <c r="C122" s="7">
        <v>43</v>
      </c>
      <c r="E122" s="7" t="s">
        <v>177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604</v>
      </c>
      <c r="L122" s="7">
        <f>0.28*3.6*5</f>
        <v>5.0400000000000009</v>
      </c>
      <c r="M122" s="7" t="s">
        <v>645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_xlfn.XLOOKUP(B122,[1]TeethAdjusters!$A:$A,[1]BiteAdjusters!$C:$C)</f>
        <v>1</v>
      </c>
      <c r="T122" s="7">
        <f>_xlfn.XLOOKUP(B122,[1]TeethAdjusters!$A:$A,[1]TeethAdjusters!$B:$B)</f>
        <v>1</v>
      </c>
      <c r="U122" s="7" t="s">
        <v>45</v>
      </c>
      <c r="V122" s="7">
        <v>5</v>
      </c>
      <c r="W122" s="7" t="s">
        <v>45</v>
      </c>
      <c r="X122" s="7" t="s">
        <v>945</v>
      </c>
      <c r="Y122" s="4" t="s">
        <v>42</v>
      </c>
      <c r="Z122" s="4">
        <v>0</v>
      </c>
      <c r="AA122" s="4">
        <v>0</v>
      </c>
      <c r="AB122" s="4">
        <v>0</v>
      </c>
      <c r="AC122" s="4" t="s">
        <v>45</v>
      </c>
      <c r="AD122" s="4" t="s">
        <v>45</v>
      </c>
      <c r="AE122" s="28" t="s">
        <v>395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4" t="s">
        <v>40</v>
      </c>
      <c r="AL122" s="8">
        <f t="shared" si="36"/>
        <v>12796.095566486785</v>
      </c>
      <c r="AM122" s="8">
        <f>IFERROR(C122*_xlfn.XLOOKUP(E122,Groups!A:A,Groups!K:K),0.106*C122^0.94)</f>
        <v>13.76</v>
      </c>
      <c r="AN122" s="8">
        <f>AM122*10000/(_xlfn.XLOOKUP(E122,Groups!A:A,Groups!J:J)*AL122)</f>
        <v>8.0851730185183595</v>
      </c>
      <c r="AO122" s="8">
        <f t="shared" si="37"/>
        <v>1303.8617771189106</v>
      </c>
      <c r="AP122" s="8">
        <f>IF(_xlfn.XLOOKUP(E122,Groups!A:A,Groups!M:M)=1,EXP(0.7444*LN('Base stats'!C122)+6.5696),EXP(0.7927*LN('Base stats'!C122)+4.28))</f>
        <v>1424.3962685137005</v>
      </c>
      <c r="AQ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"No")))))))))))))))</f>
        <v>729.45253649785354</v>
      </c>
      <c r="AR122" s="8">
        <f>IF(_xlfn.XLOOKUP(E122,Groups!A:A,Groups!U:U)=3,AP122,IF(_xlfn.XLOOKUP(E122,Groups!A:A,Groups!U:U)=2,AO122,AQ122))</f>
        <v>729.45253649785354</v>
      </c>
      <c r="AS122" s="46">
        <f>IFERROR(AVERAGE(_xlfn.XLOOKUP(B122,Animals!B:B,Animals!M:M),_xlfn.XLOOKUP(B122,Animals!B:B,Animals!N:N)),0)</f>
        <v>0.95000000000000018</v>
      </c>
      <c r="AT122" s="8">
        <f>MROUND(40*Animals!AN122*_xlfn.XLOOKUP(Animals!AZ122,Leathers!$A$2:$A$100,Leathers!$B$2:$B$100,0)+(140*_xlfn.XLOOKUP(B122,Animals!B:B,Animals!AN:AN)*2),5)</f>
        <v>365</v>
      </c>
      <c r="AU122" s="8">
        <f>IFERROR(ROUND(SQRT(V122-1)*IF(_xlfn.XLOOKUP(E122,Groups!A:A,Groups!BE:BE)=0,2,1)*IF(_xlfn.XLOOKUP('Base stats'!E122,Groups!A:A,Groups!O:O)=0,1,0.1),1),0)</f>
        <v>0.2</v>
      </c>
      <c r="AV122" s="8">
        <f t="shared" si="38"/>
        <v>0</v>
      </c>
      <c r="AW122" s="8">
        <f t="shared" si="39"/>
        <v>0</v>
      </c>
      <c r="AX122" s="8">
        <f t="shared" si="40"/>
        <v>3.1</v>
      </c>
      <c r="AY122" s="8">
        <f>IF(_xlfn.XLOOKUP(E122,Groups!A:A,Groups!N:N)="Insect",BA122*2.5,IFERROR(AVERAGE(BA122,AQ122/9.81/IF(OR(_xlfn.XLOOKUP(E122,Groups!A:A,Groups!N:N)="Pig",_xlfn.XLOOKUP(E122,Groups!A:A,Groups!N:N)="StrongBitingHerbivore"),20,25))*C122^-0.135,BA122))</f>
        <v>1.0961164499854326</v>
      </c>
      <c r="AZ122" s="8" t="str">
        <f>IF(W122="No","No",IF(_xlfn.XLOOKUP(E122,Groups!A:A,Groups!U:U)=1,'Base stats'!AY122,IF(OR(_xlfn.XLOOKUP(E122,Groups!A:A,Groups!BC:BC)=1,_xlfn.XLOOKUP(E122,Groups!A:A,Groups!U:U)=2),BA122,IF(_xlfn.XLOOKUP(B122,Animals!B:B,Animals!AN:AN)&gt;4,AVERAGE(BA122,BC122),BC122))))</f>
        <v>No</v>
      </c>
      <c r="BA122" s="8">
        <f>(0.0392*C122^IF(OR(Y122="Herbivore",Y122="Dendrovore",Y122="OmnivoreRough"),0.889,0.966))*C122^-0.135</f>
        <v>0.66822278875269436</v>
      </c>
      <c r="BB122" s="8">
        <f>IF(_xlfn.XLOOKUP(E122,Groups!A:A,Groups!BD:BD)=1,(0.048*C122^1.01)+(0.071*C122^1.03),0.071*C122^1.03)/IF(_xlfn.XLOOKUP(E122,Groups!A:A,Groups!M:M)=1,0.85,IF(OR(_xlfn.XLOOKUP(B122,Animals!B:B,Animals!AN:AN)&gt;4,_xlfn.XLOOKUP(E122,Groups!A:A,Groups!BB:BB)=1),1.7,1))*C122^-0.25</f>
        <v>0.78508164301890593</v>
      </c>
      <c r="BC122" s="8">
        <f>(0.048*C122^1.01)/IF(_xlfn.XLOOKUP(E122,Groups!A:A,Groups!M:M)=1,0.25,0.8)*C122^-0.25</f>
        <v>1.0461339023483969</v>
      </c>
      <c r="BD122" s="8">
        <f>EXP(1.076*LN(AO122)-4.5397)*IF(_xlfn.XLOOKUP(E122,Groups!A:A,Groups!BB:BB)=1,1.25,IF(_xlfn.XLOOKUP(E122,Groups!A:A,Groups!BC:BC)=1,3.5,2.5))</f>
        <v>30.014596253060365</v>
      </c>
      <c r="BE122" s="8">
        <f>EXP(1.076*LN(AP122)-4.5397)*IF(_xlfn.XLOOKUP(E122,Groups!A:A,Groups!M:M)=1,0.8,IF(_xlfn.XLOOKUP(E122,Groups!A:A,Groups!BB:BB)=1,1.3,3))</f>
        <v>34.330763573542072</v>
      </c>
      <c r="BF122" s="8" t="str">
        <f>IF(W122="No","No",IF(_xlfn.XLOOKUP(E122,Groups!A:A,Groups!U:U)=1,'Base stats'!BG122,IF(OR(_xlfn.XLOOKUP(E122,Groups!A:A,Groups!BC:BC)=1,_xlfn.XLOOKUP(E122,Groups!A:A,Groups!U:U)=2),BD122,BE122))*1.2)</f>
        <v>No</v>
      </c>
      <c r="BG122" s="8">
        <f>IFERROR(EXP(1.076*LN(AQ122)-4.5397)*IF(_xlfn.XLOOKUP(E122,Groups!A:A,Groups!N:N)="Insect",1,IF(OR(_xlfn.XLOOKUP(E122,Groups!A:A,Groups!N:N)="Pig",_xlfn.XLOOKUP(E122,Groups!A:A,Groups!N:N)="StrongBitingHerbivore"),3.5,3.75)),"No")</f>
        <v>48.20026455721522</v>
      </c>
      <c r="BH122" s="8">
        <f t="shared" si="29"/>
        <v>9</v>
      </c>
      <c r="BI122" s="8">
        <f t="shared" si="30"/>
        <v>9</v>
      </c>
      <c r="BJ122" s="8" t="str">
        <f>IF(W122="No","No",ROUNDDOWN(SQRT((2*BF122)/AZ122),0))</f>
        <v>No</v>
      </c>
      <c r="BK122" s="8">
        <f>IF(V122="No","No",ROUNDDOWN(SQRT((2*BG122)/AY122),0))</f>
        <v>9</v>
      </c>
      <c r="BL122" s="8">
        <f t="shared" si="31"/>
        <v>8</v>
      </c>
      <c r="BM122" s="8" t="str" cm="1">
        <f t="array" ref="BM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stats'!E122,Groups!A:A,Groups!P:P=0)),"No",IF(U122="No",AVERAGE(EXP(-0.57+0.99*LN(C122)),EXP(0.32+0.67*LN(C122)))/IF(_xlfn.XLOOKUP(E122,Groups!A:A,Groups!AD:AD)=1,10,2),(0.7354*C122^0.4078)*2/IF(_xlfn.XLOOKUP(E122,Groups!A:A,Groups!BJ:BJ)=1,1000,100)))</f>
        <v>No</v>
      </c>
      <c r="BN122" s="8" t="str">
        <f>IF(W122="No","No",IF(_xlfn.XLOOKUP(E122,Groups!A:A,Groups!BC:BC)=1,(AL122*5%),EXP(0.7354*LN(C122)^0.4078)*2/IF(_xlfn.XLOOKUP(E122,Groups!A:A,Groups!BK:BK)=1,1000,100)))</f>
        <v>No</v>
      </c>
      <c r="BO122" s="8">
        <f>IF(BG122="No","No",IF(_xlfn.XLOOKUP(E122,Groups!A:A,Groups!BE:BE)=1,(0.0315*C122+2.1825)*2,(0.7354*C122^0.4078)*2)/IF(_xlfn.XLOOKUP(E122,Groups!A:A,Groups!BL:BL)=1,1000,100))</f>
        <v>7.0739999999999997E-2</v>
      </c>
      <c r="BP122" s="8">
        <f>BD122/(AL122*5%)</f>
        <v>4.6912116429747769E-2</v>
      </c>
      <c r="BQ122" s="8" t="str">
        <f t="shared" si="32"/>
        <v>No</v>
      </c>
      <c r="BR122" s="8" t="str">
        <f>IF(W122="No","No",BF122/BN122)</f>
        <v>No</v>
      </c>
      <c r="BS122" s="8">
        <f t="shared" si="33"/>
        <v>681.37213114525332</v>
      </c>
      <c r="BT122" s="4">
        <v>0</v>
      </c>
      <c r="BU122" s="4">
        <v>1</v>
      </c>
    </row>
    <row r="123" spans="1:73" x14ac:dyDescent="0.25">
      <c r="A123" s="26" t="s">
        <v>76</v>
      </c>
      <c r="B123" s="6" t="s">
        <v>77</v>
      </c>
      <c r="C123" s="7">
        <f>AVERAGE(199,143)</f>
        <v>171</v>
      </c>
      <c r="D123" s="7" t="s">
        <v>1210</v>
      </c>
      <c r="E123" s="7" t="s">
        <v>75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555</v>
      </c>
      <c r="L123" s="7">
        <v>59</v>
      </c>
      <c r="M123" s="7" t="s">
        <v>638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_xlfn.XLOOKUP(B123,[1]TeethAdjusters!$A:$A,[1]BiteAdjusters!$C:$C)</f>
        <v>1.0500914910482129</v>
      </c>
      <c r="T123" s="7">
        <f>_xlfn.XLOOKUP(B123,[1]TeethAdjusters!$A:$A,[1]TeethAdjusters!$B:$B)</f>
        <v>1.1181010203336941</v>
      </c>
      <c r="U123" s="7">
        <f>MROUND(6.985,0.05)</f>
        <v>7</v>
      </c>
      <c r="V123" s="7">
        <f>IF(AQ123="No","No",IF(_xlfn.XLOOKUP(E123,Groups!A:A,Groups!AM:AM)=1,MROUND(EXP(0.3582*LN(C123)-0.2221)*T123,0.05),IF(_xlfn.XLOOKUP(E123,Groups!A:A,Groups!AM:AM)=2,MROUND(EXP(0.3582*LN(C123)-0.2221)*T123,0.05),"Need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945</v>
      </c>
      <c r="Y123" s="4" t="s">
        <v>56</v>
      </c>
      <c r="Z123" s="4">
        <v>0</v>
      </c>
      <c r="AA123" s="4">
        <v>0</v>
      </c>
      <c r="AB123" s="4">
        <v>0</v>
      </c>
      <c r="AC123" s="4" t="s">
        <v>45</v>
      </c>
      <c r="AD123" s="4" t="s">
        <v>320</v>
      </c>
      <c r="AE123" s="28" t="s">
        <v>398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4" t="s">
        <v>40</v>
      </c>
      <c r="AL123" s="8">
        <f t="shared" si="36"/>
        <v>31388.491941254008</v>
      </c>
      <c r="AM123" s="8">
        <f>IFERROR(C123*_xlfn.XLOOKUP(E123,Groups!A:A,Groups!K:K),0.106*C123^0.94)</f>
        <v>21.332249999999998</v>
      </c>
      <c r="AN123" s="8">
        <f>AM123*10000/(_xlfn.XLOOKUP(E123,Groups!A:A,Groups!J:J)*AL123)</f>
        <v>6.2350467796482301</v>
      </c>
      <c r="AO123" s="8">
        <f t="shared" si="37"/>
        <v>4184.5866397344453</v>
      </c>
      <c r="AP123" s="8">
        <f>IF(_xlfn.XLOOKUP(E123,Groups!A:A,Groups!M:M)=1,EXP(0.7444*LN('Base stats'!C123)+6.5696),EXP(0.7927*LN('Base stats'!C123)+4.28))</f>
        <v>4254.7730453408494</v>
      </c>
      <c r="AQ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"No")))))))))))))))</f>
        <v>6560.2502040372219</v>
      </c>
      <c r="AR123" s="8">
        <f>IF(_xlfn.XLOOKUP(E123,Groups!A:A,Groups!U:U)=3,AP123,IF(_xlfn.XLOOKUP(E123,Groups!A:A,Groups!U:U)=2,AO123,AQ123))</f>
        <v>6560.2502040372219</v>
      </c>
      <c r="AS123" s="46">
        <f>IFERROR(AVERAGE(_xlfn.XLOOKUP(B123,Animals!B:B,Animals!M:M),_xlfn.XLOOKUP(B123,Animals!B:B,Animals!N:N)),0)</f>
        <v>0</v>
      </c>
      <c r="AT123" s="8">
        <f>MROUND(40*Animals!AN123*_xlfn.XLOOKUP(Animals!AZ123,Leathers!$A$2:$A$100,Leathers!$B$2:$B$100,0)+(140*_xlfn.XLOOKUP(B123,Animals!B:B,Animals!AN:AN)*2),5)</f>
        <v>760</v>
      </c>
      <c r="AU123" s="8">
        <f>IFERROR(ROUND(SQRT(V123-1)*IF(_xlfn.XLOOKUP(E123,Groups!A:A,Groups!BE:BE)=0,2,1)*IF(_xlfn.XLOOKUP('Base stats'!E123,Groups!A:A,Groups!O:O)=0,1,0.1),1),0)</f>
        <v>4.3</v>
      </c>
      <c r="AV123" s="8">
        <f t="shared" si="38"/>
        <v>2.4</v>
      </c>
      <c r="AW123" s="8">
        <f t="shared" si="39"/>
        <v>0</v>
      </c>
      <c r="AX123" s="8">
        <f t="shared" si="40"/>
        <v>5.0999999999999996</v>
      </c>
      <c r="AY123" s="8">
        <f>IF(_xlfn.XLOOKUP(E123,Groups!A:A,Groups!N:N)="Insect",BA123*2.5,IFERROR(AVERAGE(BA123,AQ123/9.81/IF(OR(_xlfn.XLOOKUP(E123,Groups!A:A,Groups!N:N)="Pig",_xlfn.XLOOKUP(E123,Groups!A:A,Groups!N:N)="StrongBitingHerbivore"),20,25))*C123^-0.135,BA123))</f>
        <v>7.3829122961559701</v>
      </c>
      <c r="AZ123" s="8" t="str">
        <f>IF(W123="No","No",IF(_xlfn.XLOOKUP(E123,Groups!A:A,Groups!U:U)=1,'Base stats'!AY123,IF(OR(_xlfn.XLOOKUP(E123,Groups!A:A,Groups!BC:BC)=1,_xlfn.XLOOKUP(E123,Groups!A:A,Groups!U:U)=2),BA123,IF(_xlfn.XLOOKUP(B123,Animals!B:B,Animals!AN:AN)&gt;4,AVERAGE(BA123,BC123),BC123))))</f>
        <v>No</v>
      </c>
      <c r="BA123" s="8">
        <f>(0.0392*C123^IF(OR(Y123="Herbivore",Y123="Dendrovore",Y123="OmnivoreRough"),0.889,0.966))*C123^-0.135</f>
        <v>2.8112912103500221</v>
      </c>
      <c r="BB123" s="8">
        <f>IF(_xlfn.XLOOKUP(E123,Groups!A:A,Groups!BD:BD)=1,(0.048*C123^1.01)+(0.071*C123^1.03),0.071*C123^1.03)/IF(_xlfn.XLOOKUP(E123,Groups!A:A,Groups!M:M)=1,0.85,IF(OR(_xlfn.XLOOKUP(B123,Animals!B:B,Animals!AN:AN)&gt;4,_xlfn.XLOOKUP(E123,Groups!A:A,Groups!BB:BB)=1),1.7,1))*C123^-0.25</f>
        <v>3.9173765101363967</v>
      </c>
      <c r="BC123" s="8">
        <f>(0.048*C123^1.01)/IF(_xlfn.XLOOKUP(E123,Groups!A:A,Groups!M:M)=1,0.25,0.8)*C123^-0.25</f>
        <v>2.986952348613809</v>
      </c>
      <c r="BD123" s="8">
        <f>EXP(1.076*LN(AO123)-4.5397)*IF(_xlfn.XLOOKUP(E123,Groups!A:A,Groups!BB:BB)=1,1.25,IF(_xlfn.XLOOKUP(E123,Groups!A:A,Groups!BC:BC)=1,3.5,2.5))</f>
        <v>210.50940716029061</v>
      </c>
      <c r="BE123" s="8">
        <f>EXP(1.076*LN(AP123)-4.5397)*IF(_xlfn.XLOOKUP(E123,Groups!A:A,Groups!M:M)=1,0.8,IF(_xlfn.XLOOKUP(E123,Groups!A:A,Groups!BB:BB)=1,1.3,3))</f>
        <v>257.17313604990335</v>
      </c>
      <c r="BF123" s="8" t="str">
        <f>IF(W123="No","No",IF(_xlfn.XLOOKUP(E123,Groups!A:A,Groups!U:U)=1,'Base stats'!BG123,IF(OR(_xlfn.XLOOKUP(E123,Groups!A:A,Groups!BC:BC)=1,_xlfn.XLOOKUP(E123,Groups!A:A,Groups!U:U)=2),BD123,BE123))*1.2)</f>
        <v>No</v>
      </c>
      <c r="BG123" s="8">
        <f>IFERROR(EXP(1.076*LN(AQ123)-4.5397)*IF(_xlfn.XLOOKUP(E123,Groups!A:A,Groups!N:N)="Insect",1,IF(OR(_xlfn.XLOOKUP(E123,Groups!A:A,Groups!N:N)="Pig",_xlfn.XLOOKUP(E123,Groups!A:A,Groups!N:N)="StrongBitingHerbivore"),3.5,3.75)),"No")</f>
        <v>512.23702006231645</v>
      </c>
      <c r="BH123" s="8">
        <f t="shared" si="29"/>
        <v>12</v>
      </c>
      <c r="BI123" s="8">
        <f t="shared" si="30"/>
        <v>11</v>
      </c>
      <c r="BJ123" s="8" t="str">
        <f>IF(W123="No","No",ROUNDDOWN(SQRT((2*BF123)/AZ123),0))</f>
        <v>No</v>
      </c>
      <c r="BK123" s="8">
        <f>IF(V123="No","No",ROUNDDOWN(SQRT((2*BG123)/AY123),0))</f>
        <v>11</v>
      </c>
      <c r="BL123" s="8">
        <f t="shared" si="31"/>
        <v>13</v>
      </c>
      <c r="BM123" s="8" cm="1">
        <f t="array" ref="BM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stats'!E123,Groups!A:A,Groups!P:P=0)),"No",IF(U123="No",AVERAGE(EXP(-0.57+0.99*LN(C123)),EXP(0.32+0.67*LN(C123)))/IF(_xlfn.XLOOKUP(E123,Groups!A:A,Groups!AD:AD)=1,10,2),(0.7354*C123^0.4078)*2/IF(_xlfn.XLOOKUP(E123,Groups!A:A,Groups!BJ:BJ)=1,1000,100)))</f>
        <v>0.11972075169985437</v>
      </c>
      <c r="BN123" s="8" t="str">
        <f>IF(W123="No","No",IF(_xlfn.XLOOKUP(E123,Groups!A:A,Groups!BC:BC)=1,(AL123*5%),EXP(0.7354*LN(C123)^0.4078)*2/IF(_xlfn.XLOOKUP(E123,Groups!A:A,Groups!BK:BK)=1,1000,100)))</f>
        <v>No</v>
      </c>
      <c r="BO123" s="8">
        <f>IF(BG123="No","No",IF(_xlfn.XLOOKUP(E123,Groups!A:A,Groups!BE:BE)=1,(0.0315*C123+2.1825)*2,(0.7354*C123^0.4078)*2)/IF(_xlfn.XLOOKUP(E123,Groups!A:A,Groups!BL:BL)=1,1000,100))</f>
        <v>0.11972075169985437</v>
      </c>
      <c r="BP123" s="8">
        <f>BD123/(AL123*5%)</f>
        <v>0.13413158399216837</v>
      </c>
      <c r="BQ123" s="8">
        <f t="shared" si="32"/>
        <v>2148.1082635920015</v>
      </c>
      <c r="BR123" s="8" t="str">
        <f>IF(W123="No","No",BF123/BN123)</f>
        <v>No</v>
      </c>
      <c r="BS123" s="8">
        <f t="shared" si="33"/>
        <v>4278.5984283369608</v>
      </c>
      <c r="BT123" s="4">
        <v>0</v>
      </c>
      <c r="BU123" s="4">
        <v>1</v>
      </c>
    </row>
    <row r="124" spans="1:73" x14ac:dyDescent="0.25">
      <c r="A124" s="26" t="s">
        <v>481</v>
      </c>
      <c r="B124" s="6" t="s">
        <v>614</v>
      </c>
      <c r="C124" s="7">
        <f>1.244</f>
        <v>1.244</v>
      </c>
      <c r="E124" s="7" t="str">
        <f>Groups!A25</f>
        <v>Lizardlike (monitor lizard)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615</v>
      </c>
      <c r="L124" s="7">
        <v>12</v>
      </c>
      <c r="M124" s="7" t="s">
        <v>538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_xlfn.XLOOKUP(B124,[1]TeethAdjusters!$A:$A,[1]BiteAdjusters!$C:$C)</f>
        <v>1</v>
      </c>
      <c r="T124" s="7">
        <f>_xlfn.XLOOKUP(B124,[1]TeethAdjusters!$A:$A,[1]TeethAdjusters!$B:$B)</f>
        <v>1</v>
      </c>
      <c r="U124" s="7">
        <v>0.5</v>
      </c>
      <c r="V124" s="7">
        <v>0.5</v>
      </c>
      <c r="W124" s="7" t="s">
        <v>45</v>
      </c>
      <c r="X124" s="7" t="s">
        <v>945</v>
      </c>
      <c r="Y124" s="4" t="s">
        <v>56</v>
      </c>
      <c r="Z124" s="4">
        <v>0</v>
      </c>
      <c r="AA124" s="4">
        <v>0</v>
      </c>
      <c r="AB124" s="4">
        <v>0</v>
      </c>
      <c r="AC124" s="4" t="s">
        <v>45</v>
      </c>
      <c r="AD124" s="4" t="s">
        <v>45</v>
      </c>
      <c r="AE124" s="28" t="s">
        <v>395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4" t="s">
        <v>40</v>
      </c>
      <c r="AL124" s="8">
        <f t="shared" si="36"/>
        <v>1279.2523575668195</v>
      </c>
      <c r="AM124" s="8">
        <f>IFERROR(C124*_xlfn.XLOOKUP(E124,Groups!A:A,Groups!K:K),0.106*C124^0.94)</f>
        <v>0.13014785740106588</v>
      </c>
      <c r="AN124" s="8">
        <f>AM124*10000/(_xlfn.XLOOKUP(E124,Groups!A:A,Groups!J:J)*AL124)</f>
        <v>0.93337099073071961</v>
      </c>
      <c r="AO124" s="8">
        <f t="shared" si="37"/>
        <v>65.39364193380068</v>
      </c>
      <c r="AP124" s="8">
        <f>IF(_xlfn.XLOOKUP(E124,Groups!A:A,Groups!M:M)=1,EXP(0.7444*LN('Base stats'!C124)+6.5696),EXP(0.7927*LN('Base stats'!C124)+4.28))</f>
        <v>85.89037483482214</v>
      </c>
      <c r="AQ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"No")))))))))))))))</f>
        <v>298.60933023129661</v>
      </c>
      <c r="AR124" s="8">
        <f>IF(_xlfn.XLOOKUP(E124,Groups!A:A,Groups!U:U)=3,AP124,IF(_xlfn.XLOOKUP(E124,Groups!A:A,Groups!U:U)=2,AO124,AQ124))</f>
        <v>298.60933023129661</v>
      </c>
      <c r="AS124" s="46">
        <f>IFERROR(AVERAGE(_xlfn.XLOOKUP(B124,Animals!B:B,Animals!M:M),_xlfn.XLOOKUP(B124,Animals!B:B,Animals!N:N)),0)</f>
        <v>0</v>
      </c>
      <c r="AT124" s="8">
        <f>MROUND(40*Animals!AN124*_xlfn.XLOOKUP(Animals!AZ124,Leathers!$A$2:$A$100,Leathers!$B$2:$B$100,0)+(140*_xlfn.XLOOKUP(B124,Animals!B:B,Animals!AN:AN)*2),5)</f>
        <v>70</v>
      </c>
      <c r="AU124" s="8">
        <f>IFERROR(ROUND(SQRT(V124-1)*IF(_xlfn.XLOOKUP(E124,Groups!A:A,Groups!BE:BE)=0,2,1)*IF(_xlfn.XLOOKUP('Base stats'!E124,Groups!A:A,Groups!O:O)=0,1,0.1),1),0)</f>
        <v>0</v>
      </c>
      <c r="AV124" s="8">
        <f t="shared" si="38"/>
        <v>0</v>
      </c>
      <c r="AW124" s="8">
        <f t="shared" si="39"/>
        <v>0</v>
      </c>
      <c r="AX124" s="8">
        <f t="shared" si="40"/>
        <v>0.6</v>
      </c>
      <c r="AY124" s="8">
        <f>IF(_xlfn.XLOOKUP(E124,Groups!A:A,Groups!N:N)="Insect",BA124*2.5,IFERROR(AVERAGE(BA124,AQ124/9.81/IF(OR(_xlfn.XLOOKUP(E124,Groups!A:A,Groups!N:N)="Pig",_xlfn.XLOOKUP(E124,Groups!A:A,Groups!N:N)="StrongBitingHerbivore"),20,25))*C124^-0.135,BA124))</f>
        <v>0.61392021484233994</v>
      </c>
      <c r="AZ124" s="8" t="str">
        <f>IF(W124="No","No",IF(_xlfn.XLOOKUP(E124,Groups!A:A,Groups!U:U)=1,'Base stats'!AY124,IF(OR(_xlfn.XLOOKUP(E124,Groups!A:A,Groups!BC:BC)=1,_xlfn.XLOOKUP(E124,Groups!A:A,Groups!U:U)=2),BA124,IF(_xlfn.XLOOKUP(B124,Animals!B:B,Animals!AN:AN)&gt;4,AVERAGE(BA124,BC124),BC124))))</f>
        <v>No</v>
      </c>
      <c r="BA124" s="8">
        <f>(0.0392*C124^IF(OR(Y124="Herbivore",Y124="Dendrovore",Y124="OmnivoreRough"),0.889,0.966))*C124^-0.135</f>
        <v>4.6998262553212274E-2</v>
      </c>
      <c r="BB124" s="8">
        <f>IF(_xlfn.XLOOKUP(E124,Groups!A:A,Groups!BD:BD)=1,(0.048*C124^1.01)+(0.071*C124^1.03),0.071*C124^1.03)/IF(_xlfn.XLOOKUP(E124,Groups!A:A,Groups!M:M)=1,0.85,IF(OR(_xlfn.XLOOKUP(B124,Animals!B:B,Animals!AN:AN)&gt;4,_xlfn.XLOOKUP(E124,Groups!A:A,Groups!BB:BB)=1),1.7,1))*C124^-0.25</f>
        <v>8.4181807302224423E-2</v>
      </c>
      <c r="BC124" s="8">
        <f>(0.048*C124^1.01)/IF(_xlfn.XLOOKUP(E124,Groups!A:A,Groups!M:M)=1,0.25,0.8)*C124^-0.25</f>
        <v>7.0829591888453447E-2</v>
      </c>
      <c r="BD124" s="8">
        <f>EXP(1.076*LN(AO124)-4.5397)*IF(_xlfn.XLOOKUP(E124,Groups!A:A,Groups!BB:BB)=1,1.25,IF(_xlfn.XLOOKUP(E124,Groups!A:A,Groups!BC:BC)=1,3.5,2.5))</f>
        <v>2.398223056923853</v>
      </c>
      <c r="BE124" s="8">
        <f>EXP(1.076*LN(AP124)-4.5397)*IF(_xlfn.XLOOKUP(E124,Groups!A:A,Groups!M:M)=1,0.8,IF(_xlfn.XLOOKUP(E124,Groups!A:A,Groups!BB:BB)=1,1.3,3))</f>
        <v>3.8590364008518856</v>
      </c>
      <c r="BF124" s="8" t="str">
        <f>IF(W124="No","No",IF(_xlfn.XLOOKUP(E124,Groups!A:A,Groups!U:U)=1,'Base stats'!BG124,IF(OR(_xlfn.XLOOKUP(E124,Groups!A:A,Groups!BC:BC)=1,_xlfn.XLOOKUP(E124,Groups!A:A,Groups!U:U)=2),BD124,BE124))*1.2)</f>
        <v>No</v>
      </c>
      <c r="BG124" s="8">
        <f>IFERROR(EXP(1.076*LN(AQ124)-4.5397)*IF(_xlfn.XLOOKUP(E124,Groups!A:A,Groups!N:N)="Insect",1,IF(OR(_xlfn.XLOOKUP(E124,Groups!A:A,Groups!N:N)="Pig",_xlfn.XLOOKUP(E124,Groups!A:A,Groups!N:N)="StrongBitingHerbivore"),3.5,3.75)),"No")</f>
        <v>18.436387939942605</v>
      </c>
      <c r="BH124" s="8">
        <f t="shared" si="29"/>
        <v>10</v>
      </c>
      <c r="BI124" s="8">
        <f t="shared" si="30"/>
        <v>9</v>
      </c>
      <c r="BJ124" s="8" t="str">
        <f>IF(W124="No","No",ROUNDDOWN(SQRT((2*BF124)/AZ124),0))</f>
        <v>No</v>
      </c>
      <c r="BK124" s="8">
        <f>IF(V124="No","No",ROUNDDOWN(SQRT((2*BG124)/AY124),0))</f>
        <v>7</v>
      </c>
      <c r="BL124" s="8">
        <f t="shared" si="31"/>
        <v>10</v>
      </c>
      <c r="BM124" s="8" cm="1">
        <f t="array" ref="BM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stats'!E124,Groups!A:A,Groups!P:P=0)),"No",IF(U124="No",AVERAGE(EXP(-0.57+0.99*LN(C124)),EXP(0.32+0.67*LN(C124)))/IF(_xlfn.XLOOKUP(E124,Groups!A:A,Groups!AD:AD)=1,10,2),(0.7354*C124^0.4078)*2/IF(_xlfn.XLOOKUP(E124,Groups!A:A,Groups!BJ:BJ)=1,1000,100)))</f>
        <v>1.6077605656767299E-2</v>
      </c>
      <c r="BN124" s="8" t="str">
        <f>IF(W124="No","No",IF(_xlfn.XLOOKUP(E124,Groups!A:A,Groups!BC:BC)=1,(AL124*5%),EXP(0.7354*LN(C124)^0.4078)*2/IF(_xlfn.XLOOKUP(E124,Groups!A:A,Groups!BK:BK)=1,1000,100)))</f>
        <v>No</v>
      </c>
      <c r="BO124" s="8">
        <f>IF(BG124="No","No",IF(_xlfn.XLOOKUP(E124,Groups!A:A,Groups!BE:BE)=1,(0.0315*C124+2.1825)*2,(0.7354*C124^0.4078)*2)/IF(_xlfn.XLOOKUP(E124,Groups!A:A,Groups!BL:BL)=1,1000,100))</f>
        <v>1.6077605656767299E-2</v>
      </c>
      <c r="BP124" s="8">
        <f>BD124/(AL124*5%)</f>
        <v>3.7494135425872543E-2</v>
      </c>
      <c r="BQ124" s="8">
        <f t="shared" si="32"/>
        <v>240.0255661966408</v>
      </c>
      <c r="BR124" s="8" t="str">
        <f>IF(W124="No","No",BF124/BN124)</f>
        <v>No</v>
      </c>
      <c r="BS124" s="8">
        <f t="shared" si="33"/>
        <v>1146.7122862403619</v>
      </c>
      <c r="BT124" s="4">
        <v>0</v>
      </c>
      <c r="BU124" s="4">
        <v>1</v>
      </c>
    </row>
    <row r="125" spans="1:73" x14ac:dyDescent="0.25">
      <c r="A125" s="26" t="s">
        <v>87</v>
      </c>
      <c r="B125" s="6" t="s">
        <v>88</v>
      </c>
      <c r="C125" s="7">
        <v>690</v>
      </c>
      <c r="E125" s="7" t="str">
        <f>Groups!A21</f>
        <v>Camelid (humped)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527</v>
      </c>
      <c r="L125" s="7">
        <v>40</v>
      </c>
      <c r="M125" s="7" t="s">
        <v>641</v>
      </c>
      <c r="N125" s="4">
        <v>0</v>
      </c>
      <c r="O125" s="4">
        <v>1</v>
      </c>
      <c r="P125" s="4">
        <v>0</v>
      </c>
      <c r="Q125" s="4">
        <v>0</v>
      </c>
      <c r="R125" s="4" t="s">
        <v>40</v>
      </c>
      <c r="S125" s="7">
        <f>_xlfn.XLOOKUP(B125,[1]TeethAdjusters!$A:$A,[1]BiteAdjusters!$C:$C)</f>
        <v>1</v>
      </c>
      <c r="T125" s="7">
        <f>_xlfn.XLOOKUP(B125,[1]TeethAdjusters!$A:$A,[1]TeethAdjusters!$B:$B)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945</v>
      </c>
      <c r="Y125" s="4" t="s">
        <v>42</v>
      </c>
      <c r="Z125" s="4">
        <v>0</v>
      </c>
      <c r="AA125" s="4">
        <v>0</v>
      </c>
      <c r="AB125" s="4">
        <v>0</v>
      </c>
      <c r="AC125" s="4" t="s">
        <v>45</v>
      </c>
      <c r="AD125" s="4" t="s">
        <v>407</v>
      </c>
      <c r="AE125" s="28" t="s">
        <v>386</v>
      </c>
      <c r="AF125" s="4">
        <v>1</v>
      </c>
      <c r="AG125" s="4">
        <v>0</v>
      </c>
      <c r="AH125" s="4">
        <v>0</v>
      </c>
      <c r="AI125" s="4">
        <v>0</v>
      </c>
      <c r="AJ125" s="4">
        <v>0</v>
      </c>
      <c r="AK125" s="44" t="s">
        <v>40</v>
      </c>
      <c r="AL125" s="8">
        <f t="shared" si="36"/>
        <v>77727.533706371993</v>
      </c>
      <c r="AM125" s="8">
        <f>IFERROR(C125*_xlfn.XLOOKUP(E125,Groups!A:A,Groups!K:K),0.106*C125^0.94)</f>
        <v>49.411041771822433</v>
      </c>
      <c r="AN125" s="8">
        <f>AM125*10000/(_xlfn.XLOOKUP(E125,Groups!A:A,Groups!J:J)*AL125)</f>
        <v>5.8320686147806002</v>
      </c>
      <c r="AO125" s="8">
        <f t="shared" si="37"/>
        <v>13596.169701835819</v>
      </c>
      <c r="AP125" s="8">
        <f>IF(_xlfn.XLOOKUP(E125,Groups!A:A,Groups!M:M)=1,EXP(0.7444*LN('Base stats'!C125)+6.5696),EXP(0.7927*LN('Base stats'!C125)+4.28))</f>
        <v>12856.893805814812</v>
      </c>
      <c r="AQ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"No")))))))))))))))</f>
        <v>6802.222676907063</v>
      </c>
      <c r="AR125" s="8">
        <f>IF(_xlfn.XLOOKUP(E125,Groups!A:A,Groups!U:U)=3,AP125,IF(_xlfn.XLOOKUP(E125,Groups!A:A,Groups!U:U)=2,AO125,AQ125))</f>
        <v>6802.222676907063</v>
      </c>
      <c r="AS125" s="46">
        <f>IFERROR(AVERAGE(_xlfn.XLOOKUP(B125,Animals!B:B,Animals!M:M),_xlfn.XLOOKUP(B125,Animals!B:B,Animals!N:N)),0)</f>
        <v>0</v>
      </c>
      <c r="AT125" s="8">
        <f>MROUND(40*Animals!AN125*_xlfn.XLOOKUP(Animals!AZ125,Leathers!$A$2:$A$100,Leathers!$B$2:$B$100,0)+(140*_xlfn.XLOOKUP(B125,Animals!B:B,Animals!AN:AN)*2),5)</f>
        <v>1115</v>
      </c>
      <c r="AU125" s="8">
        <f>IFERROR(ROUND(SQRT(V125-1)*IF(_xlfn.XLOOKUP(E125,Groups!A:A,Groups!BE:BE)=0,2,1)*IF(_xlfn.XLOOKUP('Base stats'!E125,Groups!A:A,Groups!O:O)=0,1,0.1),1),0)</f>
        <v>1.9</v>
      </c>
      <c r="AV125" s="8">
        <f t="shared" si="38"/>
        <v>0</v>
      </c>
      <c r="AW125" s="8">
        <f t="shared" si="39"/>
        <v>0</v>
      </c>
      <c r="AX125" s="8">
        <f t="shared" si="40"/>
        <v>8.3000000000000007</v>
      </c>
      <c r="AY125" s="8">
        <f>IF(_xlfn.XLOOKUP(E125,Groups!A:A,Groups!N:N)="Insect",BA125*2.5,IFERROR(AVERAGE(BA125,AQ125/9.81/IF(OR(_xlfn.XLOOKUP(E125,Groups!A:A,Groups!N:N)="Pig",_xlfn.XLOOKUP(E125,Groups!A:A,Groups!N:N)="StrongBitingHerbivore"),20,25))*C125^-0.135,BA125))</f>
        <v>8.2933468925767713</v>
      </c>
      <c r="AZ125" s="8" t="str">
        <f>IF(W125="No","No",IF(_xlfn.XLOOKUP(E125,Groups!A:A,Groups!U:U)=1,'Base stats'!AY125,IF(OR(_xlfn.XLOOKUP(E125,Groups!A:A,Groups!BC:BC)=1,_xlfn.XLOOKUP(E125,Groups!A:A,Groups!U:U)=2),BA125,IF(_xlfn.XLOOKUP(B125,Animals!B:B,Animals!AN:AN)&gt;4,AVERAGE(BA125,BC125),BC125))))</f>
        <v>No</v>
      </c>
      <c r="BA125" s="8">
        <f>(0.0392*C125^IF(OR(Y125="Herbivore",Y125="Dendrovore",Y125="OmnivoreRough"),0.889,0.966))*C125^-0.135</f>
        <v>5.4172425555182926</v>
      </c>
      <c r="BB125" s="8">
        <f>IF(_xlfn.XLOOKUP(E125,Groups!A:A,Groups!BD:BD)=1,(0.048*C125^1.01)+(0.071*C125^1.03),0.071*C125^1.03)/IF(_xlfn.XLOOKUP(E125,Groups!A:A,Groups!M:M)=1,0.85,IF(OR(_xlfn.XLOOKUP(B125,Animals!B:B,Animals!AN:AN)&gt;4,_xlfn.XLOOKUP(E125,Groups!A:A,Groups!BB:BB)=1),1.7,1))*C125^-0.25</f>
        <v>11.629489194285423</v>
      </c>
      <c r="BC125" s="8">
        <f>(0.048*C125^1.01)/IF(_xlfn.XLOOKUP(E125,Groups!A:A,Groups!M:M)=1,0.25,0.8)*C125^-0.25</f>
        <v>8.6233608407716602</v>
      </c>
      <c r="BD125" s="8">
        <f>EXP(1.076*LN(AO125)-4.5397)*IF(_xlfn.XLOOKUP(E125,Groups!A:A,Groups!BB:BB)=1,1.25,IF(_xlfn.XLOOKUP(E125,Groups!A:A,Groups!BC:BC)=1,3.5,2.5))</f>
        <v>748.04820582530556</v>
      </c>
      <c r="BE125" s="8">
        <f>EXP(1.076*LN(AP125)-4.5397)*IF(_xlfn.XLOOKUP(E125,Groups!A:A,Groups!M:M)=1,0.8,IF(_xlfn.XLOOKUP(E125,Groups!A:A,Groups!BB:BB)=1,1.3,3))</f>
        <v>845.24963580378835</v>
      </c>
      <c r="BF125" s="8" t="str">
        <f>IF(W125="No","No",IF(_xlfn.XLOOKUP(E125,Groups!A:A,Groups!U:U)=1,'Base stats'!BG125,IF(OR(_xlfn.XLOOKUP(E125,Groups!A:A,Groups!BC:BC)=1,_xlfn.XLOOKUP(E125,Groups!A:A,Groups!U:U)=2),BD125,BE125))*1.2)</f>
        <v>No</v>
      </c>
      <c r="BG125" s="8">
        <f>IFERROR(EXP(1.076*LN(AQ125)-4.5397)*IF(_xlfn.XLOOKUP(E125,Groups!A:A,Groups!N:N)="Insect",1,IF(OR(_xlfn.XLOOKUP(E125,Groups!A:A,Groups!N:N)="Pig",_xlfn.XLOOKUP(E125,Groups!A:A,Groups!N:N)="StrongBitingHerbivore"),3.5,3.75)),"No")</f>
        <v>497.08847474782669</v>
      </c>
      <c r="BH125" s="8">
        <f t="shared" si="29"/>
        <v>16</v>
      </c>
      <c r="BI125" s="8">
        <f t="shared" si="30"/>
        <v>12</v>
      </c>
      <c r="BJ125" s="8" t="str">
        <f>IF(W125="No","No",ROUNDDOWN(SQRT((2*BF125)/AZ125),0))</f>
        <v>No</v>
      </c>
      <c r="BK125" s="8">
        <f>IF(V125="No","No",ROUNDDOWN(SQRT((2*BG125)/AY125),0))</f>
        <v>10</v>
      </c>
      <c r="BL125" s="8">
        <f t="shared" si="31"/>
        <v>14</v>
      </c>
      <c r="BM125" s="8" cm="1">
        <f t="array" ref="BM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stats'!E125,Groups!A:A,Groups!P:P=0)),"No",IF(U125="No",AVERAGE(EXP(-0.57+0.99*LN(C125)),EXP(0.32+0.67*LN(C125)))/IF(_xlfn.XLOOKUP(E125,Groups!A:A,Groups!AD:AD)=1,10,2),(0.7354*C125^0.4078)*2/IF(_xlfn.XLOOKUP(E125,Groups!A:A,Groups!BJ:BJ)=1,1000,100)))</f>
        <v>118.85568036375295</v>
      </c>
      <c r="BN125" s="8" t="str">
        <f>IF(W125="No","No",IF(_xlfn.XLOOKUP(E125,Groups!A:A,Groups!BC:BC)=1,(AL125*5%),EXP(0.7354*LN(C125)^0.4078)*2/IF(_xlfn.XLOOKUP(E125,Groups!A:A,Groups!BK:BK)=1,1000,100)))</f>
        <v>No</v>
      </c>
      <c r="BO125" s="8">
        <f>IF(BG125="No","No",IF(_xlfn.XLOOKUP(E125,Groups!A:A,Groups!BE:BE)=1,(0.0315*C125+2.1825)*2,(0.7354*C125^0.4078)*2)/IF(_xlfn.XLOOKUP(E125,Groups!A:A,Groups!BL:BL)=1,1000,100))</f>
        <v>0.47835</v>
      </c>
      <c r="BP125" s="8">
        <f>BD125/(AL125*5%)</f>
        <v>0.19247959382094265</v>
      </c>
      <c r="BQ125" s="8">
        <f t="shared" si="32"/>
        <v>7.1115628063962646</v>
      </c>
      <c r="BR125" s="8" t="str">
        <f>IF(W125="No","No",BF125/BN125)</f>
        <v>No</v>
      </c>
      <c r="BS125" s="8">
        <f t="shared" si="33"/>
        <v>1039.1731467499251</v>
      </c>
      <c r="BT125" s="4">
        <v>0</v>
      </c>
      <c r="BU125" s="4">
        <v>1</v>
      </c>
    </row>
    <row r="126" spans="1:73" x14ac:dyDescent="0.25">
      <c r="A126" s="26" t="s">
        <v>483</v>
      </c>
      <c r="B126" s="6" t="s">
        <v>482</v>
      </c>
      <c r="C126" s="7">
        <v>5.6749999999999998</v>
      </c>
      <c r="E126" s="7" t="str">
        <f>Groups!A55</f>
        <v>Snake (venomous)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616</v>
      </c>
      <c r="L126" s="7">
        <v>15</v>
      </c>
      <c r="M126" s="7" t="s">
        <v>538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_xlfn.XLOOKUP(B126,[1]TeethAdjusters!$A:$A,[1]BiteAdjusters!$C:$C)</f>
        <v>1</v>
      </c>
      <c r="T126" s="7">
        <f>_xlfn.XLOOKUP(B126,[1]TeethAdjusters!$A:$A,[1]TeethAdjusters!$B:$B)</f>
        <v>1</v>
      </c>
      <c r="U126" s="7" t="s">
        <v>45</v>
      </c>
      <c r="V126" s="7">
        <v>2.5</v>
      </c>
      <c r="W126" s="7" t="s">
        <v>45</v>
      </c>
      <c r="X126" s="7" t="s">
        <v>945</v>
      </c>
      <c r="Y126" s="4" t="s">
        <v>56</v>
      </c>
      <c r="Z126" s="4">
        <v>0</v>
      </c>
      <c r="AA126" s="4">
        <v>0</v>
      </c>
      <c r="AB126" s="4">
        <v>0</v>
      </c>
      <c r="AC126" s="4" t="s">
        <v>45</v>
      </c>
      <c r="AD126" s="4" t="s">
        <v>45</v>
      </c>
      <c r="AE126" s="28" t="s">
        <v>395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4" t="s">
        <v>40</v>
      </c>
      <c r="AL126" s="8">
        <f t="shared" si="36"/>
        <v>3430.8425812232035</v>
      </c>
      <c r="AM126" s="8">
        <f>IFERROR(C126*_xlfn.XLOOKUP(E126,Groups!A:A,Groups!K:K),0.106*C126^0.94)</f>
        <v>0.54204304856239272</v>
      </c>
      <c r="AN126" s="8">
        <f>AM126*10000/(_xlfn.XLOOKUP(E126,Groups!A:A,Groups!J:J)*AL126)</f>
        <v>1.4494608503391548</v>
      </c>
      <c r="AO126" s="8">
        <f t="shared" si="37"/>
        <v>235.67619430830914</v>
      </c>
      <c r="AP126" s="8">
        <f>IF(_xlfn.XLOOKUP(E126,Groups!A:A,Groups!M:M)=1,EXP(0.7444*LN('Base stats'!C126)+6.5696),EXP(0.7927*LN('Base stats'!C126)+4.28))</f>
        <v>286.05472411667233</v>
      </c>
      <c r="AQ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"No")))))))))))))))</f>
        <v>159.07938924007357</v>
      </c>
      <c r="AR126" s="8">
        <f>IF(_xlfn.XLOOKUP(E126,Groups!A:A,Groups!U:U)=3,AP126,IF(_xlfn.XLOOKUP(E126,Groups!A:A,Groups!U:U)=2,AO126,AQ126))</f>
        <v>159.07938924007357</v>
      </c>
      <c r="AS126" s="46">
        <f>IFERROR(AVERAGE(_xlfn.XLOOKUP(B126,Animals!B:B,Animals!M:M),_xlfn.XLOOKUP(B126,Animals!B:B,Animals!N:N)),0)</f>
        <v>0</v>
      </c>
      <c r="AT126" s="8">
        <f>MROUND(40*Animals!AN126*_xlfn.XLOOKUP(Animals!AZ126,Leathers!$A$2:$A$100,Leathers!$B$2:$B$100,0)+(140*_xlfn.XLOOKUP(B126,Animals!B:B,Animals!AN:AN)*2),5)</f>
        <v>160</v>
      </c>
      <c r="AU126" s="8">
        <f>IFERROR(ROUND(SQRT(V126-1)*IF(_xlfn.XLOOKUP(E126,Groups!A:A,Groups!BE:BE)=0,2,1)*IF(_xlfn.XLOOKUP('Base stats'!E126,Groups!A:A,Groups!O:O)=0,1,0.1),1),0)</f>
        <v>2.4</v>
      </c>
      <c r="AV126" s="8">
        <f t="shared" si="38"/>
        <v>0</v>
      </c>
      <c r="AW126" s="8">
        <f t="shared" si="39"/>
        <v>0</v>
      </c>
      <c r="AX126" s="8">
        <f t="shared" si="40"/>
        <v>1.2</v>
      </c>
      <c r="AY126" s="8">
        <f>IF(_xlfn.XLOOKUP(E126,Groups!A:A,Groups!N:N)="Insect",BA126*2.5,IFERROR(AVERAGE(BA126,AQ126/9.81/IF(OR(_xlfn.XLOOKUP(E126,Groups!A:A,Groups!N:N)="Pig",_xlfn.XLOOKUP(E126,Groups!A:A,Groups!N:N)="StrongBitingHerbivore"),20,25))*C126^-0.135,BA126))</f>
        <v>0.32217732485608386</v>
      </c>
      <c r="AZ126" s="8" t="str">
        <f>IF(W126="No","No",IF(_xlfn.XLOOKUP(E126,Groups!A:A,Groups!U:U)=1,'Base stats'!AY126,IF(OR(_xlfn.XLOOKUP(E126,Groups!A:A,Groups!BC:BC)=1,_xlfn.XLOOKUP(E126,Groups!A:A,Groups!U:U)=2),BA126,IF(_xlfn.XLOOKUP(B126,Animals!B:B,Animals!AN:AN)&gt;4,AVERAGE(BA126,BC126),BC126))))</f>
        <v>No</v>
      </c>
      <c r="BA126" s="8">
        <f>(0.0392*C126^IF(OR(Y126="Herbivore",Y126="Dendrovore",Y126="OmnivoreRough"),0.889,0.966))*C126^-0.135</f>
        <v>0.16589439064394862</v>
      </c>
      <c r="BB126" s="8">
        <f>IF(_xlfn.XLOOKUP(E126,Groups!A:A,Groups!BD:BD)=1,(0.048*C126^1.01)+(0.071*C126^1.03),0.071*C126^1.03)/IF(_xlfn.XLOOKUP(E126,Groups!A:A,Groups!M:M)=1,0.85,IF(OR(_xlfn.XLOOKUP(B126,Animals!B:B,Animals!AN:AN)&gt;4,_xlfn.XLOOKUP(E126,Groups!A:A,Groups!BB:BB)=1),1.7,1))*C126^-0.25</f>
        <v>0.27501205043439197</v>
      </c>
      <c r="BC126" s="8">
        <f>(0.048*C126^1.01)/IF(_xlfn.XLOOKUP(E126,Groups!A:A,Groups!M:M)=1,0.25,0.8)*C126^-0.25</f>
        <v>0.22447361902832436</v>
      </c>
      <c r="BD126" s="8">
        <f>EXP(1.076*LN(AO126)-4.5397)*IF(_xlfn.XLOOKUP(E126,Groups!A:A,Groups!BB:BB)=1,1.25,IF(_xlfn.XLOOKUP(E126,Groups!A:A,Groups!BC:BC)=1,3.5,2.5))</f>
        <v>9.5276338828511484</v>
      </c>
      <c r="BE126" s="8">
        <f>EXP(1.076*LN(AP126)-4.5397)*IF(_xlfn.XLOOKUP(E126,Groups!A:A,Groups!M:M)=1,0.8,IF(_xlfn.XLOOKUP(E126,Groups!A:A,Groups!BB:BB)=1,1.3,3))</f>
        <v>14.082956995340533</v>
      </c>
      <c r="BF126" s="8" t="str">
        <f>IF(W126="No","No",IF(_xlfn.XLOOKUP(E126,Groups!A:A,Groups!U:U)=1,'Base stats'!BG126,IF(OR(_xlfn.XLOOKUP(E126,Groups!A:A,Groups!BC:BC)=1,_xlfn.XLOOKUP(E126,Groups!A:A,Groups!U:U)=2),BD126,BE126))*1.2)</f>
        <v>No</v>
      </c>
      <c r="BG126" s="8">
        <f>IFERROR(EXP(1.076*LN(AQ126)-4.5397)*IF(_xlfn.XLOOKUP(E126,Groups!A:A,Groups!N:N)="Insect",1,IF(OR(_xlfn.XLOOKUP(E126,Groups!A:A,Groups!N:N)="Pig",_xlfn.XLOOKUP(E126,Groups!A:A,Groups!N:N)="StrongBitingHerbivore"),3.5,3.75)),"No")</f>
        <v>9.3627015683865995</v>
      </c>
      <c r="BH126" s="8">
        <f t="shared" si="29"/>
        <v>10</v>
      </c>
      <c r="BI126" s="8">
        <f t="shared" si="30"/>
        <v>10</v>
      </c>
      <c r="BJ126" s="8" t="str">
        <f>IF(W126="No","No",ROUNDDOWN(SQRT((2*BF126)/AZ126),0))</f>
        <v>No</v>
      </c>
      <c r="BK126" s="8">
        <f>IF(V126="No","No",ROUNDDOWN(SQRT((2*BG126)/AY126),0))</f>
        <v>7</v>
      </c>
      <c r="BL126" s="8">
        <f t="shared" si="31"/>
        <v>11</v>
      </c>
      <c r="BM126" s="8" t="str" cm="1">
        <f t="array" ref="BM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stats'!E126,Groups!A:A,Groups!P:P=0)),"No",IF(U126="No",AVERAGE(EXP(-0.57+0.99*LN(C126)),EXP(0.32+0.67*LN(C126)))/IF(_xlfn.XLOOKUP(E126,Groups!A:A,Groups!AD:AD)=1,10,2),(0.7354*C126^0.4078)*2/IF(_xlfn.XLOOKUP(E126,Groups!A:A,Groups!BJ:BJ)=1,1000,100)))</f>
        <v>No</v>
      </c>
      <c r="BN126" s="8" t="str">
        <f>IF(W126="No","No",IF(_xlfn.XLOOKUP(E126,Groups!A:A,Groups!BC:BC)=1,(AL126*5%),EXP(0.7354*LN(C126)^0.4078)*2/IF(_xlfn.XLOOKUP(E126,Groups!A:A,Groups!BK:BK)=1,1000,100)))</f>
        <v>No</v>
      </c>
      <c r="BO126" s="8">
        <f>IF(BG126="No","No",IF(_xlfn.XLOOKUP(E126,Groups!A:A,Groups!BE:BE)=1,(0.0315*C126+2.1825)*2,(0.7354*C126^0.4078)*2)/IF(_xlfn.XLOOKUP(E126,Groups!A:A,Groups!BL:BL)=1,1000,100))</f>
        <v>2.9855262999266791E-2</v>
      </c>
      <c r="BP126" s="8">
        <f>BD126/(AL126*5%)</f>
        <v>5.5541072825639505E-2</v>
      </c>
      <c r="BQ126" s="8" t="str">
        <f t="shared" si="32"/>
        <v>No</v>
      </c>
      <c r="BR126" s="8" t="str">
        <f>IF(W126="No","No",BF126/BN126)</f>
        <v>No</v>
      </c>
      <c r="BS126" s="8">
        <f t="shared" si="33"/>
        <v>313.60305111418836</v>
      </c>
      <c r="BT126" s="4">
        <v>0</v>
      </c>
      <c r="BU126" s="4">
        <v>1</v>
      </c>
    </row>
    <row r="127" spans="1:73" x14ac:dyDescent="0.25">
      <c r="A127" s="26" t="s">
        <v>484</v>
      </c>
      <c r="B127" s="6" t="s">
        <v>495</v>
      </c>
      <c r="C127" s="7">
        <v>400</v>
      </c>
      <c r="E127" s="7" t="str">
        <f>Groups!A12</f>
        <v>BeetleLike (Scorpion)</v>
      </c>
      <c r="F127" s="7" t="str">
        <f t="shared" ref="F127" si="43">"Lay eggs"</f>
        <v>Lay eggs</v>
      </c>
      <c r="G127" s="7">
        <v>2</v>
      </c>
      <c r="H127" s="7">
        <v>20</v>
      </c>
      <c r="I127" s="4">
        <v>0</v>
      </c>
      <c r="J127" s="7" t="str">
        <f t="shared" ref="J127" si="44">"Lay eggs"</f>
        <v>Lay eggs</v>
      </c>
      <c r="K127" s="7" t="s">
        <v>538</v>
      </c>
      <c r="L127" s="7">
        <v>15</v>
      </c>
      <c r="M127" s="7" t="s">
        <v>538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_xlfn.XLOOKUP(B127,[1]TeethAdjusters!$A:$A,[1]BiteAdjusters!$C:$C)</f>
        <v>1</v>
      </c>
      <c r="T127" s="7">
        <f>_xlfn.XLOOKUP(B127,[1]TeethAdjusters!$A:$A,[1]TeethAdjusters!$B:$B)</f>
        <v>1</v>
      </c>
      <c r="U127" s="7">
        <v>10</v>
      </c>
      <c r="V127" s="7">
        <v>23</v>
      </c>
      <c r="W127" s="7" t="s">
        <v>45</v>
      </c>
      <c r="X127" s="7" t="s">
        <v>945</v>
      </c>
      <c r="Y127" s="4" t="s">
        <v>53</v>
      </c>
      <c r="Z127" s="4">
        <v>0</v>
      </c>
      <c r="AA127" s="4">
        <v>0</v>
      </c>
      <c r="AB127" s="4">
        <v>0</v>
      </c>
      <c r="AC127" s="4" t="s">
        <v>1084</v>
      </c>
      <c r="AD127" s="4" t="s">
        <v>45</v>
      </c>
      <c r="AE127" s="28" t="s">
        <v>45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4" t="s">
        <v>40</v>
      </c>
      <c r="AL127" s="8">
        <f t="shared" si="36"/>
        <v>54533.324359541104</v>
      </c>
      <c r="AM127" s="8">
        <f>IFERROR(C127*_xlfn.XLOOKUP(E127,Groups!A:A,Groups!K:K),0.106*C127^0.94)</f>
        <v>128</v>
      </c>
      <c r="AN127" s="8">
        <f>AM127*10000/(_xlfn.XLOOKUP(E127,Groups!A:A,Groups!J:J)*AL127)</f>
        <v>19.559905419190599</v>
      </c>
      <c r="AO127" s="8">
        <f t="shared" si="37"/>
        <v>8578.2919817776201</v>
      </c>
      <c r="AP127" s="8">
        <f>IF(_xlfn.XLOOKUP(E127,Groups!A:A,Groups!M:M)=1,EXP(0.7444*LN('Base stats'!C127)+6.5696),EXP(0.7927*LN('Base stats'!C127)+4.28))</f>
        <v>61675.756600829809</v>
      </c>
      <c r="AQ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"No")))))))))))))))</f>
        <v>61675.756600829809</v>
      </c>
      <c r="AR127" s="8">
        <f>IF(_xlfn.XLOOKUP(E127,Groups!A:A,Groups!U:U)=3,AP127,IF(_xlfn.XLOOKUP(E127,Groups!A:A,Groups!U:U)=2,AO127,AQ127))</f>
        <v>61675.756600829809</v>
      </c>
      <c r="AS127" s="46">
        <f>IFERROR(AVERAGE(_xlfn.XLOOKUP(B127,Animals!B:B,Animals!M:M),_xlfn.XLOOKUP(B127,Animals!B:B,Animals!N:N)),0)</f>
        <v>0.55000000000000004</v>
      </c>
      <c r="AT127" s="8">
        <f>MROUND(40*Animals!AN127*_xlfn.XLOOKUP(Animals!AZ127,Leathers!$A$2:$A$100,Leathers!$B$2:$B$100,0)+(140*_xlfn.XLOOKUP(B127,Animals!B:B,Animals!AN:AN)*2),5)</f>
        <v>770</v>
      </c>
      <c r="AU127" s="8">
        <f>IFERROR(ROUND(SQRT(V127-1)*IF(_xlfn.XLOOKUP(E127,Groups!A:A,Groups!BE:BE)=0,2,1)*IF(_xlfn.XLOOKUP('Base stats'!E127,Groups!A:A,Groups!O:O)=0,1,0.1),1),0)</f>
        <v>9.4</v>
      </c>
      <c r="AV127" s="8">
        <f t="shared" si="38"/>
        <v>3</v>
      </c>
      <c r="AW127" s="8">
        <f t="shared" si="39"/>
        <v>0</v>
      </c>
      <c r="AX127" s="8">
        <f t="shared" si="40"/>
        <v>6.8</v>
      </c>
      <c r="AY127" s="8">
        <f>IF(_xlfn.XLOOKUP(E127,Groups!A:A,Groups!N:N)="Insect",BA127*2.5,IFERROR(AVERAGE(BA127,AQ127/9.81/IF(OR(_xlfn.XLOOKUP(E127,Groups!A:A,Groups!N:N)="Pig",_xlfn.XLOOKUP(E127,Groups!A:A,Groups!N:N)="StrongBitingHerbivore"),20,25))*C127^-0.135,BA127))</f>
        <v>14.24091612215088</v>
      </c>
      <c r="AZ127" s="8" t="str">
        <f>IF(W127="No","No",IF(_xlfn.XLOOKUP(E127,Groups!A:A,Groups!U:U)=1,'Base stats'!AY127,IF(OR(_xlfn.XLOOKUP(E127,Groups!A:A,Groups!BC:BC)=1,_xlfn.XLOOKUP(E127,Groups!A:A,Groups!U:U)=2),BA127,IF(_xlfn.XLOOKUP(B127,Animals!B:B,Animals!AN:AN)&gt;4,AVERAGE(BA127,BC127),BC127))))</f>
        <v>No</v>
      </c>
      <c r="BA127" s="8">
        <f>(0.0392*C127^IF(OR(Y127="Herbivore",Y127="Dendrovore",Y127="OmnivoreRough"),0.889,0.966))*C127^-0.135</f>
        <v>5.6963664488603518</v>
      </c>
      <c r="BB127" s="8">
        <f>IF(_xlfn.XLOOKUP(E127,Groups!A:A,Groups!BD:BD)=1,(0.048*C127^1.01)+(0.071*C127^1.03),0.071*C127^1.03)/IF(_xlfn.XLOOKUP(E127,Groups!A:A,Groups!M:M)=1,0.85,IF(OR(_xlfn.XLOOKUP(B127,Animals!B:B,Animals!AN:AN)&gt;4,_xlfn.XLOOKUP(E127,Groups!A:A,Groups!BB:BB)=1),1.7,1))*C127^-0.25</f>
        <v>8.9422378289708213</v>
      </c>
      <c r="BC127" s="8">
        <f>(0.048*C127^1.01)/IF(_xlfn.XLOOKUP(E127,Groups!A:A,Groups!M:M)=1,0.25,0.8)*C127^-0.25</f>
        <v>18.233364842162999</v>
      </c>
      <c r="BD127" s="8">
        <f>EXP(1.076*LN(AO127)-4.5397)*IF(_xlfn.XLOOKUP(E127,Groups!A:A,Groups!BB:BB)=1,1.25,IF(_xlfn.XLOOKUP(E127,Groups!A:A,Groups!BC:BC)=1,3.5,2.5))</f>
        <v>227.86763271095117</v>
      </c>
      <c r="BE127" s="8">
        <f>EXP(1.076*LN(AP127)-4.5397)*IF(_xlfn.XLOOKUP(E127,Groups!A:A,Groups!M:M)=1,0.8,IF(_xlfn.XLOOKUP(E127,Groups!A:A,Groups!BB:BB)=1,1.3,3))</f>
        <v>1218.1100161375859</v>
      </c>
      <c r="BF127" s="8" t="str">
        <f>IF(W127="No","No",IF(_xlfn.XLOOKUP(E127,Groups!A:A,Groups!U:U)=1,'Base stats'!BG127,IF(OR(_xlfn.XLOOKUP(E127,Groups!A:A,Groups!BC:BC)=1,_xlfn.XLOOKUP(E127,Groups!A:A,Groups!U:U)=2),BD127,BE127))*1.2)</f>
        <v>No</v>
      </c>
      <c r="BG127" s="8">
        <f>IFERROR(EXP(1.076*LN(AQ127)-4.5397)*IF(_xlfn.XLOOKUP(E127,Groups!A:A,Groups!N:N)="Insect",1,IF(OR(_xlfn.XLOOKUP(E127,Groups!A:A,Groups!N:N)="Pig",_xlfn.XLOOKUP(E127,Groups!A:A,Groups!N:N)="StrongBitingHerbivore"),3.5,3.75)),"No")</f>
        <v>1522.6375201719823</v>
      </c>
      <c r="BH127" s="8">
        <f t="shared" si="29"/>
        <v>8</v>
      </c>
      <c r="BI127" s="8">
        <f t="shared" si="30"/>
        <v>16</v>
      </c>
      <c r="BJ127" s="8" t="str">
        <f>IF(W127="No","No",ROUNDDOWN(SQRT((2*BF127)/AZ127),0))</f>
        <v>No</v>
      </c>
      <c r="BK127" s="8">
        <f>IF(V127="No","No",ROUNDDOWN(SQRT((2*BG127)/AY127),0))</f>
        <v>14</v>
      </c>
      <c r="BL127" s="8">
        <f t="shared" si="31"/>
        <v>11</v>
      </c>
      <c r="BM127" s="8" cm="1">
        <f t="array" ref="BM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stats'!E127,Groups!A:A,Groups!P:P=0)),"No",IF(U127="No",AVERAGE(EXP(-0.57+0.99*LN(C127)),EXP(0.32+0.67*LN(C127)))/IF(_xlfn.XLOOKUP(E127,Groups!A:A,Groups!AD:AD)=1,10,2),(0.7354*C127^0.4078)*2/IF(_xlfn.XLOOKUP(E127,Groups!A:A,Groups!BJ:BJ)=1,1000,100)))</f>
        <v>1.6930652098775201E-2</v>
      </c>
      <c r="BN127" s="8" t="str">
        <f>IF(W127="No","No",IF(_xlfn.XLOOKUP(E127,Groups!A:A,Groups!BC:BC)=1,(AL127*5%),EXP(0.7354*LN(C127)^0.4078)*2/IF(_xlfn.XLOOKUP(E127,Groups!A:A,Groups!BK:BK)=1,1000,100)))</f>
        <v>No</v>
      </c>
      <c r="BO127" s="8">
        <f>IF(BG127="No","No",IF(_xlfn.XLOOKUP(E127,Groups!A:A,Groups!BE:BE)=1,(0.0315*C127+2.1825)*2,(0.7354*C127^0.4078)*2)/IF(_xlfn.XLOOKUP(E127,Groups!A:A,Groups!BL:BL)=1,1000,100))</f>
        <v>0.16930652098775201</v>
      </c>
      <c r="BP127" s="8">
        <f>BD127/(AL127*5%)</f>
        <v>8.3570050198519985E-2</v>
      </c>
      <c r="BQ127" s="8">
        <f t="shared" si="32"/>
        <v>71947.023010750228</v>
      </c>
      <c r="BR127" s="8" t="str">
        <f>IF(W127="No","No",BF127/BN127)</f>
        <v>No</v>
      </c>
      <c r="BS127" s="8">
        <f t="shared" si="33"/>
        <v>8993.3778763437767</v>
      </c>
      <c r="BT127" s="4">
        <v>0</v>
      </c>
      <c r="BU127" s="4">
        <v>1</v>
      </c>
    </row>
    <row r="128" spans="1:73" x14ac:dyDescent="0.25">
      <c r="A128" s="26" t="s">
        <v>485</v>
      </c>
      <c r="B128" s="6" t="s">
        <v>253</v>
      </c>
      <c r="C128" s="7">
        <v>4.3250000000000002</v>
      </c>
      <c r="E128" s="7" t="s">
        <v>104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605</v>
      </c>
      <c r="L128" s="7">
        <f>MIN(20*C128^0.183,19.9*C128^0.142)</f>
        <v>24.499831884376434</v>
      </c>
      <c r="M128" s="7" t="s">
        <v>638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_xlfn.XLOOKUP(B128,[1]TeethAdjusters!$A:$A,[1]BiteAdjusters!$C:$C)</f>
        <v>1.4697924181385804</v>
      </c>
      <c r="T128" s="7">
        <f>_xlfn.XLOOKUP(B128,[1]TeethAdjusters!$A:$A,[1]TeethAdjusters!$B:$B)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945</v>
      </c>
      <c r="Y128" s="4" t="s">
        <v>42</v>
      </c>
      <c r="Z128" s="4">
        <v>0</v>
      </c>
      <c r="AA128" s="4">
        <v>0</v>
      </c>
      <c r="AB128" s="4">
        <v>0</v>
      </c>
      <c r="AC128" s="4" t="s">
        <v>45</v>
      </c>
      <c r="AD128" s="4" t="s">
        <v>45</v>
      </c>
      <c r="AE128" s="28" t="s">
        <v>394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4" t="s">
        <v>40</v>
      </c>
      <c r="AL128" s="8">
        <f t="shared" si="36"/>
        <v>2875.5038370757079</v>
      </c>
      <c r="AM128" s="8">
        <f>IFERROR(C128*_xlfn.XLOOKUP(E128,Groups!A:A,Groups!K:K),0.106*C128^0.94)</f>
        <v>0.53954374999999999</v>
      </c>
      <c r="AN128" s="8">
        <f>AM128*10000/(_xlfn.XLOOKUP(E128,Groups!A:A,Groups!J:J)*AL128)</f>
        <v>1.721417511855726</v>
      </c>
      <c r="AO128" s="8">
        <f t="shared" si="37"/>
        <v>187.35195027541494</v>
      </c>
      <c r="AP128" s="8">
        <f>IF(_xlfn.XLOOKUP(E128,Groups!A:A,Groups!M:M)=1,EXP(0.7444*LN('Base stats'!C128)+6.5696),EXP(0.7927*LN('Base stats'!C128)+4.28))</f>
        <v>230.63572174889438</v>
      </c>
      <c r="AQ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"No")))))))))))))))</f>
        <v>299.48972415292968</v>
      </c>
      <c r="AR128" s="8">
        <f>IF(_xlfn.XLOOKUP(E128,Groups!A:A,Groups!U:U)=3,AP128,IF(_xlfn.XLOOKUP(E128,Groups!A:A,Groups!U:U)=2,AO128,AQ128))</f>
        <v>299.48972415292968</v>
      </c>
      <c r="AS128" s="46">
        <f>IFERROR(AVERAGE(_xlfn.XLOOKUP(B128,Animals!B:B,Animals!M:M),_xlfn.XLOOKUP(B128,Animals!B:B,Animals!N:N)),0)</f>
        <v>0</v>
      </c>
      <c r="AT128" s="8">
        <f>MROUND(40*Animals!AN128*_xlfn.XLOOKUP(Animals!AZ128,Leathers!$A$2:$A$100,Leathers!$B$2:$B$100,0)+(140*_xlfn.XLOOKUP(B128,Animals!B:B,Animals!AN:AN)*2),5)</f>
        <v>105</v>
      </c>
      <c r="AU128" s="8">
        <f>IFERROR(ROUND(SQRT(V128-1)*IF(_xlfn.XLOOKUP(E128,Groups!A:A,Groups!BE:BE)=0,2,1)*IF(_xlfn.XLOOKUP('Base stats'!E128,Groups!A:A,Groups!O:O)=0,1,0.1),1),0)</f>
        <v>0.6</v>
      </c>
      <c r="AV128" s="8">
        <f t="shared" si="38"/>
        <v>0</v>
      </c>
      <c r="AW128" s="8">
        <f t="shared" si="39"/>
        <v>0</v>
      </c>
      <c r="AX128" s="8">
        <f t="shared" si="40"/>
        <v>1</v>
      </c>
      <c r="AY128" s="8">
        <f>IF(_xlfn.XLOOKUP(E128,Groups!A:A,Groups!N:N)="Insect",BA128*2.5,IFERROR(AVERAGE(BA128,AQ128/9.81/IF(OR(_xlfn.XLOOKUP(E128,Groups!A:A,Groups!N:N)="Pig",_xlfn.XLOOKUP(E128,Groups!A:A,Groups!N:N)="StrongBitingHerbivore"),20,25))*C128^-0.135,BA128))</f>
        <v>0.54957548822267965</v>
      </c>
      <c r="AZ128" s="8" t="str">
        <f>IF(W128="No","No",IF(_xlfn.XLOOKUP(E128,Groups!A:A,Groups!U:U)=1,'Base stats'!AY128,IF(OR(_xlfn.XLOOKUP(E128,Groups!A:A,Groups!BC:BC)=1,_xlfn.XLOOKUP(E128,Groups!A:A,Groups!U:U)=2),BA128,IF(_xlfn.XLOOKUP(B128,Animals!B:B,Animals!AN:AN)&gt;4,AVERAGE(BA128,BC128),BC128))))</f>
        <v>No</v>
      </c>
      <c r="BA128" s="8">
        <f>(0.0392*C128^IF(OR(Y128="Herbivore",Y128="Dendrovore",Y128="OmnivoreRough"),0.889,0.966))*C128^-0.135</f>
        <v>0.11825502257128764</v>
      </c>
      <c r="BB128" s="8">
        <f>IF(_xlfn.XLOOKUP(E128,Groups!A:A,Groups!BD:BD)=1,(0.048*C128^1.01)+(0.071*C128^1.03),0.071*C128^1.03)/IF(_xlfn.XLOOKUP(E128,Groups!A:A,Groups!M:M)=1,0.85,IF(OR(_xlfn.XLOOKUP(B128,Animals!B:B,Animals!AN:AN)&gt;4,_xlfn.XLOOKUP(E128,Groups!A:A,Groups!BB:BB)=1),1.7,1))*C128^-0.25</f>
        <v>0.22249871950159261</v>
      </c>
      <c r="BC128" s="8">
        <f>(0.048*C128^1.01)/IF(_xlfn.XLOOKUP(E128,Groups!A:A,Groups!M:M)=1,0.25,0.8)*C128^-0.25</f>
        <v>0.18259996726949212</v>
      </c>
      <c r="BD128" s="8">
        <f>EXP(1.076*LN(AO128)-4.5397)*IF(_xlfn.XLOOKUP(E128,Groups!A:A,Groups!BB:BB)=1,1.25,IF(_xlfn.XLOOKUP(E128,Groups!A:A,Groups!BC:BC)=1,3.5,2.5))</f>
        <v>7.443095513187691</v>
      </c>
      <c r="BE128" s="8">
        <f>EXP(1.076*LN(AP128)-4.5397)*IF(_xlfn.XLOOKUP(E128,Groups!A:A,Groups!M:M)=1,0.8,IF(_xlfn.XLOOKUP(E128,Groups!A:A,Groups!BB:BB)=1,1.3,3))</f>
        <v>11.170267877115775</v>
      </c>
      <c r="BF128" s="8" t="str">
        <f>IF(W128="No","No",IF(_xlfn.XLOOKUP(E128,Groups!A:A,Groups!U:U)=1,'Base stats'!BG128,IF(OR(_xlfn.XLOOKUP(E128,Groups!A:A,Groups!BC:BC)=1,_xlfn.XLOOKUP(E128,Groups!A:A,Groups!U:U)=2),BD128,BE128))*1.2)</f>
        <v>No</v>
      </c>
      <c r="BG128" s="8">
        <f>IFERROR(EXP(1.076*LN(AQ128)-4.5397)*IF(_xlfn.XLOOKUP(E128,Groups!A:A,Groups!N:N)="Insect",1,IF(OR(_xlfn.XLOOKUP(E128,Groups!A:A,Groups!N:N)="Pig",_xlfn.XLOOKUP(E128,Groups!A:A,Groups!N:N)="StrongBitingHerbivore"),3.5,3.75)),"No")</f>
        <v>18.494881813385437</v>
      </c>
      <c r="BH128" s="8">
        <f t="shared" si="29"/>
        <v>11</v>
      </c>
      <c r="BI128" s="8">
        <f t="shared" si="30"/>
        <v>10</v>
      </c>
      <c r="BJ128" s="8" t="str">
        <f>IF(W128="No","No",ROUNDDOWN(SQRT((2*BF128)/AZ128),0))</f>
        <v>No</v>
      </c>
      <c r="BK128" s="8">
        <f>IF(V128="No","No",ROUNDDOWN(SQRT((2*BG128)/AY128),0))</f>
        <v>8</v>
      </c>
      <c r="BL128" s="8">
        <f t="shared" si="31"/>
        <v>11</v>
      </c>
      <c r="BM128" s="8" cm="1">
        <f t="array" ref="BM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stats'!E128,Groups!A:A,Groups!P:P=0)),"No",IF(U128="No",AVERAGE(EXP(-0.57+0.99*LN(C128)),EXP(0.32+0.67*LN(C128)))/IF(_xlfn.XLOOKUP(E128,Groups!A:A,Groups!AD:AD)=1,10,2),(0.7354*C128^0.4078)*2/IF(_xlfn.XLOOKUP(E128,Groups!A:A,Groups!BJ:BJ)=1,1000,100)))</f>
        <v>2.6724448866068496E-2</v>
      </c>
      <c r="BN128" s="8" t="str">
        <f>IF(W128="No","No",IF(_xlfn.XLOOKUP(E128,Groups!A:A,Groups!BC:BC)=1,(AL128*5%),EXP(0.7354*LN(C128)^0.4078)*2/IF(_xlfn.XLOOKUP(E128,Groups!A:A,Groups!BK:BK)=1,1000,100)))</f>
        <v>No</v>
      </c>
      <c r="BO128" s="8">
        <f>IF(BG128="No","No",IF(_xlfn.XLOOKUP(E128,Groups!A:A,Groups!BE:BE)=1,(0.0315*C128+2.1825)*2,(0.7354*C128^0.4078)*2)/IF(_xlfn.XLOOKUP(E128,Groups!A:A,Groups!BL:BL)=1,1000,100))</f>
        <v>2.6724448866068496E-2</v>
      </c>
      <c r="BP128" s="8">
        <f>BD128/(AL128*5%)</f>
        <v>5.1768983349763653E-2</v>
      </c>
      <c r="BQ128" s="8">
        <f t="shared" si="32"/>
        <v>417.97935415231115</v>
      </c>
      <c r="BR128" s="8" t="str">
        <f>IF(W128="No","No",BF128/BN128)</f>
        <v>No</v>
      </c>
      <c r="BS128" s="8">
        <f t="shared" si="33"/>
        <v>692.05849318254877</v>
      </c>
      <c r="BT128" s="4">
        <v>0</v>
      </c>
      <c r="BU128" s="4">
        <v>1</v>
      </c>
    </row>
    <row r="129" spans="1:73" x14ac:dyDescent="0.25">
      <c r="A129" s="26" t="s">
        <v>650</v>
      </c>
      <c r="B129" s="6" t="s">
        <v>490</v>
      </c>
      <c r="C129" s="7">
        <v>3.2</v>
      </c>
      <c r="E129" s="7" t="str">
        <f>Groups!A6</f>
        <v>Bird (water)</v>
      </c>
      <c r="F129" s="7" t="str">
        <f t="shared" ref="F129" si="4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46">"Lay eggs"</f>
        <v>Lay eggs</v>
      </c>
      <c r="K129" s="7" t="s">
        <v>606</v>
      </c>
      <c r="L129" s="7">
        <f>8.2*1.60934</f>
        <v>13.196587999999998</v>
      </c>
      <c r="M129" s="7" t="s">
        <v>640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_xlfn.XLOOKUP(B129,[1]TeethAdjusters!$A:$A,[1]BiteAdjusters!$C:$C)</f>
        <v>1</v>
      </c>
      <c r="T129" s="7">
        <f>_xlfn.XLOOKUP(B129,[1]TeethAdjusters!$A:$A,[1]TeethAdjusters!$B:$B)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945</v>
      </c>
      <c r="Y129" s="4" t="s">
        <v>42</v>
      </c>
      <c r="Z129" s="4">
        <v>0</v>
      </c>
      <c r="AA129" s="4">
        <v>0</v>
      </c>
      <c r="AB129" s="4">
        <v>0</v>
      </c>
      <c r="AC129" s="4" t="s">
        <v>45</v>
      </c>
      <c r="AD129" s="4" t="s">
        <v>408</v>
      </c>
      <c r="AE129" s="28" t="s">
        <v>45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4" t="s">
        <v>40</v>
      </c>
      <c r="AL129" s="8">
        <f t="shared" si="36"/>
        <v>2364.1251585653067</v>
      </c>
      <c r="AM129" s="8">
        <f>IFERROR(C129*_xlfn.XLOOKUP(E129,Groups!A:A,Groups!K:K),0.106*C129^0.94)</f>
        <v>0.31633470792726048</v>
      </c>
      <c r="AN129" s="8">
        <f>AM129*10000/(_xlfn.XLOOKUP(E129,Groups!A:A,Groups!J:J)*AL129)</f>
        <v>1.2275802206248401</v>
      </c>
      <c r="AO129" s="8">
        <f t="shared" si="37"/>
        <v>145.25829304013558</v>
      </c>
      <c r="AP129" s="8">
        <f>IF(_xlfn.XLOOKUP(E129,Groups!A:A,Groups!M:M)=1,EXP(0.7444*LN('Base stats'!C129)+6.5696),EXP(0.7927*LN('Base stats'!C129)+4.28))</f>
        <v>181.64053415011705</v>
      </c>
      <c r="AQ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"No")))))))))))))))</f>
        <v>31.437340017004843</v>
      </c>
      <c r="AR129" s="8">
        <f>IF(_xlfn.XLOOKUP(E129,Groups!A:A,Groups!U:U)=3,AP129,IF(_xlfn.XLOOKUP(E129,Groups!A:A,Groups!U:U)=2,AO129,AQ129))</f>
        <v>31.437340017004843</v>
      </c>
      <c r="AS129" s="46">
        <f>IFERROR(AVERAGE(_xlfn.XLOOKUP(B129,Animals!B:B,Animals!M:M),_xlfn.XLOOKUP(B129,Animals!B:B,Animals!N:N)),0)</f>
        <v>0</v>
      </c>
      <c r="AT129" s="8">
        <f>MROUND(40*Animals!AN129*_xlfn.XLOOKUP(Animals!AZ129,Leathers!$A$2:$A$100,Leathers!$B$2:$B$100,0)+(140*_xlfn.XLOOKUP(B129,Animals!B:B,Animals!AN:AN)*2),5)</f>
        <v>70</v>
      </c>
      <c r="AU129" s="8">
        <f>IFERROR(ROUND(SQRT(V129-1)*IF(_xlfn.XLOOKUP(E129,Groups!A:A,Groups!BE:BE)=0,2,1)*IF(_xlfn.XLOOKUP('Base stats'!E129,Groups!A:A,Groups!O:O)=0,1,0.1),1),0)</f>
        <v>0.2</v>
      </c>
      <c r="AV129" s="8">
        <f t="shared" si="38"/>
        <v>0</v>
      </c>
      <c r="AW129" s="8">
        <f t="shared" si="39"/>
        <v>0</v>
      </c>
      <c r="AX129" s="8">
        <f t="shared" si="40"/>
        <v>0.9</v>
      </c>
      <c r="AY129" s="8">
        <f>IF(_xlfn.XLOOKUP(E129,Groups!A:A,Groups!N:N)="Insect",BA129*2.5,IFERROR(AVERAGE(BA129,AQ129/9.81/IF(OR(_xlfn.XLOOKUP(E129,Groups!A:A,Groups!N:N)="Pig",_xlfn.XLOOKUP(E129,Groups!A:A,Groups!N:N)="StrongBitingHerbivore"),20,25))*C129^-0.135,BA129))</f>
        <v>9.504517870410395E-2</v>
      </c>
      <c r="AZ129" s="8" t="str">
        <f>IF(W129="No","No",IF(_xlfn.XLOOKUP(E129,Groups!A:A,Groups!U:U)=1,'Base stats'!AY129,IF(OR(_xlfn.XLOOKUP(E129,Groups!A:A,Groups!BC:BC)=1,_xlfn.XLOOKUP(E129,Groups!A:A,Groups!U:U)=2),BA129,IF(_xlfn.XLOOKUP(B129,Animals!B:B,Animals!AN:AN)&gt;4,AVERAGE(BA129,BC129),BC129))))</f>
        <v>No</v>
      </c>
      <c r="BA129" s="8">
        <f>(0.0392*C129^IF(OR(Y129="Herbivore",Y129="Dendrovore",Y129="OmnivoreRough"),0.889,0.966))*C129^-0.135</f>
        <v>9.4225651873108052E-2</v>
      </c>
      <c r="BB129" s="8">
        <f>IF(_xlfn.XLOOKUP(E129,Groups!A:A,Groups!BD:BD)=1,(0.048*C129^1.01)+(0.071*C129^1.03),0.071*C129^1.03)/IF(_xlfn.XLOOKUP(E129,Groups!A:A,Groups!M:M)=1,0.85,IF(OR(_xlfn.XLOOKUP(B129,Animals!B:B,Animals!AN:AN)&gt;4,_xlfn.XLOOKUP(E129,Groups!A:A,Groups!BB:BB)=1),1.7,1))*C129^-0.25</f>
        <v>0.29209022473883256</v>
      </c>
      <c r="BC129" s="8">
        <f>(0.048*C129^1.01)/IF(_xlfn.XLOOKUP(E129,Groups!A:A,Groups!M:M)=1,0.25,0.8)*C129^-0.25</f>
        <v>0.14523297507496707</v>
      </c>
      <c r="BD129" s="8">
        <f>EXP(1.076*LN(AO129)-4.5397)*IF(_xlfn.XLOOKUP(E129,Groups!A:A,Groups!BB:BB)=1,1.25,IF(_xlfn.XLOOKUP(E129,Groups!A:A,Groups!BC:BC)=1,3.5,2.5))</f>
        <v>5.6602680292456213</v>
      </c>
      <c r="BE129" s="8">
        <f>EXP(1.076*LN(AP129)-4.5397)*IF(_xlfn.XLOOKUP(E129,Groups!A:A,Groups!M:M)=1,0.8,IF(_xlfn.XLOOKUP(E129,Groups!A:A,Groups!BB:BB)=1,1.3,3))</f>
        <v>8.6390808043247489</v>
      </c>
      <c r="BF129" s="8" t="str">
        <f>IF(W129="No","No",IF(_xlfn.XLOOKUP(E129,Groups!A:A,Groups!U:U)=1,'Base stats'!BG129,IF(OR(_xlfn.XLOOKUP(E129,Groups!A:A,Groups!BC:BC)=1,_xlfn.XLOOKUP(E129,Groups!A:A,Groups!U:U)=2),BD129,BE129))*1.2)</f>
        <v>No</v>
      </c>
      <c r="BG129" s="8">
        <f>IFERROR(EXP(1.076*LN(AQ129)-4.5397)*IF(_xlfn.XLOOKUP(E129,Groups!A:A,Groups!N:N)="Insect",1,IF(OR(_xlfn.XLOOKUP(E129,Groups!A:A,Groups!N:N)="Pig",_xlfn.XLOOKUP(E129,Groups!A:A,Groups!N:N)="StrongBitingHerbivore"),3.5,3.75)),"No")</f>
        <v>1.6357475585101351</v>
      </c>
      <c r="BH129" s="8">
        <f t="shared" si="29"/>
        <v>10</v>
      </c>
      <c r="BI129" s="8">
        <f t="shared" si="30"/>
        <v>7</v>
      </c>
      <c r="BJ129" s="8" t="str">
        <f>IF(W129="No","No",ROUNDDOWN(SQRT((2*BF129)/AZ129),0))</f>
        <v>No</v>
      </c>
      <c r="BK129" s="8">
        <f>IF(V129="No","No",ROUNDDOWN(SQRT((2*BG129)/AY129),0))</f>
        <v>5</v>
      </c>
      <c r="BL129" s="8">
        <f t="shared" si="31"/>
        <v>10</v>
      </c>
      <c r="BM129" s="8" t="str" cm="1">
        <f t="array" ref="BM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stats'!E129,Groups!A:A,Groups!P:P=0)),"No",IF(U129="No",AVERAGE(EXP(-0.57+0.99*LN(C129)),EXP(0.32+0.67*LN(C129)))/IF(_xlfn.XLOOKUP(E129,Groups!A:A,Groups!AD:AD)=1,10,2),(0.7354*C129^0.4078)*2/IF(_xlfn.XLOOKUP(E129,Groups!A:A,Groups!BJ:BJ)=1,1000,100)))</f>
        <v>No</v>
      </c>
      <c r="BN129" s="8" t="str">
        <f>IF(W129="No","No",IF(_xlfn.XLOOKUP(E129,Groups!A:A,Groups!BC:BC)=1,(AL129*5%),EXP(0.7354*LN(C129)^0.4078)*2/IF(_xlfn.XLOOKUP(E129,Groups!A:A,Groups!BK:BK)=1,1000,100)))</f>
        <v>No</v>
      </c>
      <c r="BO129" s="8">
        <f>IF(BG129="No","No",IF(_xlfn.XLOOKUP(E129,Groups!A:A,Groups!BE:BE)=1,(0.0315*C129+2.1825)*2,(0.7354*C129^0.4078)*2)/IF(_xlfn.XLOOKUP(E129,Groups!A:A,Groups!BL:BL)=1,1000,100))</f>
        <v>2.3634900719797604E-2</v>
      </c>
      <c r="BP129" s="8">
        <f>BD129/(AL129*5%)</f>
        <v>4.7884673184397833E-2</v>
      </c>
      <c r="BQ129" s="8" t="str">
        <f t="shared" si="32"/>
        <v>No</v>
      </c>
      <c r="BR129" s="8" t="str">
        <f>IF(W129="No","No",BF129/BN129)</f>
        <v>No</v>
      </c>
      <c r="BS129" s="8">
        <f t="shared" si="33"/>
        <v>69.208987924369112</v>
      </c>
      <c r="BT129" s="4">
        <v>0</v>
      </c>
      <c r="BU129" s="4">
        <v>1</v>
      </c>
    </row>
    <row r="130" spans="1:73" x14ac:dyDescent="0.25">
      <c r="A130" s="26" t="s">
        <v>486</v>
      </c>
      <c r="B130" s="6" t="s">
        <v>491</v>
      </c>
      <c r="C130" s="7">
        <v>25</v>
      </c>
      <c r="E130" s="7" t="s">
        <v>123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558</v>
      </c>
      <c r="L130" s="7">
        <f>MIN(20*C130^0.183,19.9*C130^0.142,13.7*C130^0.004)</f>
        <v>13.877534867975477</v>
      </c>
      <c r="M130" s="7" t="s">
        <v>638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_xlfn.XLOOKUP(B130,[1]TeethAdjusters!$A:$A,[1]BiteAdjusters!$C:$C)</f>
        <v>1.5835439013324151</v>
      </c>
      <c r="T130" s="7">
        <f>_xlfn.XLOOKUP(B130,[1]TeethAdjusters!$A:$A,[1]TeethAdjusters!$B:$B)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945</v>
      </c>
      <c r="Y130" s="4" t="s">
        <v>42</v>
      </c>
      <c r="Z130" s="4">
        <v>0</v>
      </c>
      <c r="AA130" s="4">
        <v>0</v>
      </c>
      <c r="AB130" s="4">
        <v>0</v>
      </c>
      <c r="AC130" s="4" t="s">
        <v>45</v>
      </c>
      <c r="AD130" s="4" t="s">
        <v>408</v>
      </c>
      <c r="AE130" s="28" t="s">
        <v>394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4">
        <v>10</v>
      </c>
      <c r="AL130" s="8">
        <f t="shared" ref="AL130:AL166" si="47">(0.111*C130^0.65)*10000</f>
        <v>8994.6441116448314</v>
      </c>
      <c r="AM130" s="8">
        <f>IFERROR(C130*_xlfn.XLOOKUP(E130,Groups!A:A,Groups!K:K),0.106*C130^0.94)</f>
        <v>2.1845876462939295</v>
      </c>
      <c r="AN130" s="8">
        <f>AM130*10000/(_xlfn.XLOOKUP(E130,Groups!A:A,Groups!J:J)*AL130)</f>
        <v>2.2282247356693241</v>
      </c>
      <c r="AO130" s="8">
        <f t="shared" ref="AO130:AO166" si="48">EXP(0.8447*LN(C130)+3.996)</f>
        <v>824.67090957260996</v>
      </c>
      <c r="AP130" s="8">
        <f>IF(_xlfn.XLOOKUP(E130,Groups!A:A,Groups!M:M)=1,EXP(0.7444*LN('Base stats'!C130)+6.5696),EXP(0.7927*LN('Base stats'!C130)+4.28))</f>
        <v>926.67495884741118</v>
      </c>
      <c r="AQ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"No")))))))))))))))</f>
        <v>714</v>
      </c>
      <c r="AR130" s="8">
        <f>IF(_xlfn.XLOOKUP(E130,Groups!A:A,Groups!U:U)=3,AP130,IF(_xlfn.XLOOKUP(E130,Groups!A:A,Groups!U:U)=2,AO130,AQ130))</f>
        <v>714</v>
      </c>
      <c r="AS130" s="46">
        <f>IFERROR(AVERAGE(_xlfn.XLOOKUP(B130,Animals!B:B,Animals!M:M),_xlfn.XLOOKUP(B130,Animals!B:B,Animals!N:N)),0)</f>
        <v>0</v>
      </c>
      <c r="AT130" s="8">
        <f>MROUND(40*Animals!AN130*_xlfn.XLOOKUP(Animals!AZ130,Leathers!$A$2:$A$100,Leathers!$B$2:$B$100,0)+(140*_xlfn.XLOOKUP(B130,Animals!B:B,Animals!AN:AN)*2),5)</f>
        <v>230</v>
      </c>
      <c r="AU130" s="8">
        <f>IFERROR(ROUND(SQRT(V130-1)*IF(_xlfn.XLOOKUP(E130,Groups!A:A,Groups!BE:BE)=0,2,1)*IF(_xlfn.XLOOKUP('Base stats'!E130,Groups!A:A,Groups!O:O)=0,1,0.1),1),0)</f>
        <v>2.2000000000000002</v>
      </c>
      <c r="AV130" s="8">
        <f t="shared" ref="AV130:AV166" si="49">IFERROR(ROUND(SQRT(U130-1),1),0)</f>
        <v>0</v>
      </c>
      <c r="AW130" s="8">
        <f t="shared" ref="AW130:AW166" si="50">IFERROR(ROUND(SQRT(W130),1),0)</f>
        <v>0</v>
      </c>
      <c r="AX130" s="8">
        <f t="shared" ref="AX130:AX166" si="51">ROUND(
  EXP(0.3582*LN(C130)-0.2221) *
  (0.75 + 0.25*(C130^4/(C130^4+10^4))),
1)</f>
        <v>2.5</v>
      </c>
      <c r="AY130" s="8">
        <f>IF(_xlfn.XLOOKUP(E130,Groups!A:A,Groups!N:N)="Insect",BA130*2.5,IFERROR(AVERAGE(BA130,AQ130/9.81/IF(OR(_xlfn.XLOOKUP(E130,Groups!A:A,Groups!N:N)="Pig",_xlfn.XLOOKUP(E130,Groups!A:A,Groups!N:N)="StrongBitingHerbivore"),20,25))*C130^-0.135,BA130))</f>
        <v>1.086362499034718</v>
      </c>
      <c r="AZ130" s="8" t="str">
        <f>IF(W130="No","No",IF(_xlfn.XLOOKUP(E130,Groups!A:A,Groups!U:U)=1,'Base stats'!AY130,IF(OR(_xlfn.XLOOKUP(E130,Groups!A:A,Groups!BC:BC)=1,_xlfn.XLOOKUP(E130,Groups!A:A,Groups!U:U)=2),BA130,IF(_xlfn.XLOOKUP(B130,Animals!B:B,Animals!AN:AN)&gt;4,AVERAGE(BA130,BC130),BC130))))</f>
        <v>No</v>
      </c>
      <c r="BA130" s="8">
        <f>(0.0392*C130^IF(OR(Y130="Herbivore",Y130="Dendrovore",Y130="OmnivoreRough"),0.889,0.966))*C130^-0.135</f>
        <v>0.44394874596231243</v>
      </c>
      <c r="BB130" s="8">
        <f>IF(_xlfn.XLOOKUP(E130,Groups!A:A,Groups!BD:BD)=1,(0.048*C130^1.01)+(0.071*C130^1.03),0.071*C130^1.03)/IF(_xlfn.XLOOKUP(E130,Groups!A:A,Groups!M:M)=1,0.85,IF(OR(_xlfn.XLOOKUP(B130,Animals!B:B,Animals!AN:AN)&gt;4,_xlfn.XLOOKUP(E130,Groups!A:A,Groups!BB:BB)=1),1.7,1))*C130^-0.25</f>
        <v>0.87428203703676388</v>
      </c>
      <c r="BC130" s="8">
        <f>(0.048*C130^1.01)/IF(_xlfn.XLOOKUP(E130,Groups!A:A,Groups!M:M)=1,0.25,0.8)*C130^-0.25</f>
        <v>0.69276455162902584</v>
      </c>
      <c r="BD130" s="8">
        <f>EXP(1.076*LN(AO130)-4.5397)*IF(_xlfn.XLOOKUP(E130,Groups!A:A,Groups!BB:BB)=1,1.25,IF(_xlfn.XLOOKUP(E130,Groups!A:A,Groups!BC:BC)=1,3.5,2.5))</f>
        <v>36.668348939666025</v>
      </c>
      <c r="BE130" s="8">
        <f>EXP(1.076*LN(AP130)-4.5397)*IF(_xlfn.XLOOKUP(E130,Groups!A:A,Groups!M:M)=1,0.8,IF(_xlfn.XLOOKUP(E130,Groups!A:A,Groups!BB:BB)=1,1.3,3))</f>
        <v>49.884831215386384</v>
      </c>
      <c r="BF130" s="8" t="str">
        <f>IF(W130="No","No",IF(_xlfn.XLOOKUP(E130,Groups!A:A,Groups!U:U)=1,'Base stats'!BG130,IF(OR(_xlfn.XLOOKUP(E130,Groups!A:A,Groups!BC:BC)=1,_xlfn.XLOOKUP(E130,Groups!A:A,Groups!U:U)=2),BD130,BE130))*1.2)</f>
        <v>No</v>
      </c>
      <c r="BG130" s="8">
        <f>IFERROR(EXP(1.076*LN(AQ130)-4.5397)*IF(_xlfn.XLOOKUP(E130,Groups!A:A,Groups!N:N)="Insect",1,IF(OR(_xlfn.XLOOKUP(E130,Groups!A:A,Groups!N:N)="Pig",_xlfn.XLOOKUP(E130,Groups!A:A,Groups!N:N)="StrongBitingHerbivore"),3.5,3.75)),"No")</f>
        <v>47.10249195911851</v>
      </c>
      <c r="BH130" s="8">
        <f t="shared" si="29"/>
        <v>12</v>
      </c>
      <c r="BI130" s="8">
        <f t="shared" si="30"/>
        <v>10</v>
      </c>
      <c r="BJ130" s="8" t="str">
        <f>IF(W130="No","No",ROUNDDOWN(SQRT((2*BF130)/AZ130),0))</f>
        <v>No</v>
      </c>
      <c r="BK130" s="8">
        <f>IF(V130="No","No",ROUNDDOWN(SQRT((2*BG130)/AY130),0))</f>
        <v>9</v>
      </c>
      <c r="BL130" s="8">
        <f t="shared" si="31"/>
        <v>12</v>
      </c>
      <c r="BM130" s="8" t="str" cm="1">
        <f t="array" ref="BM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stats'!E130,Groups!A:A,Groups!P:P=0)),"No",IF(U130="No",AVERAGE(EXP(-0.57+0.99*LN(C130)),EXP(0.32+0.67*LN(C130)))/IF(_xlfn.XLOOKUP(E130,Groups!A:A,Groups!AD:AD)=1,10,2),(0.7354*C130^0.4078)*2/IF(_xlfn.XLOOKUP(E130,Groups!A:A,Groups!BJ:BJ)=1,1000,100)))</f>
        <v>No</v>
      </c>
      <c r="BN130" s="8" t="str">
        <f>IF(W130="No","No",IF(_xlfn.XLOOKUP(E130,Groups!A:A,Groups!BC:BC)=1,(AL130*5%),EXP(0.7354*LN(C130)^0.4078)*2/IF(_xlfn.XLOOKUP(E130,Groups!A:A,Groups!BK:BK)=1,1000,100)))</f>
        <v>No</v>
      </c>
      <c r="BO130" s="8">
        <f>IF(BG130="No","No",IF(_xlfn.XLOOKUP(E130,Groups!A:A,Groups!BE:BE)=1,(0.0315*C130+2.1825)*2,(0.7354*C130^0.4078)*2)/IF(_xlfn.XLOOKUP(E130,Groups!A:A,Groups!BL:BL)=1,1000,100))</f>
        <v>5.4655460365074494E-2</v>
      </c>
      <c r="BP130" s="8">
        <f>BD130/(AL130*5%)</f>
        <v>8.1533740489395656E-2</v>
      </c>
      <c r="BQ130" s="8" t="str">
        <f t="shared" si="32"/>
        <v>No</v>
      </c>
      <c r="BR130" s="8" t="str">
        <f>IF(W130="No","No",BF130/BN130)</f>
        <v>No</v>
      </c>
      <c r="BS130" s="8">
        <f t="shared" si="33"/>
        <v>861.80761527749519</v>
      </c>
      <c r="BT130" s="4">
        <v>0</v>
      </c>
      <c r="BU130" s="4">
        <v>1</v>
      </c>
    </row>
    <row r="131" spans="1:73" x14ac:dyDescent="0.25">
      <c r="A131" s="26" t="s">
        <v>487</v>
      </c>
      <c r="B131" s="6" t="s">
        <v>492</v>
      </c>
      <c r="C131" s="7">
        <v>1.2135</v>
      </c>
      <c r="E131" s="7" t="s">
        <v>636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608</v>
      </c>
      <c r="L131" s="7">
        <f>MIN(20*C131^0.183,19.9*C131^0.142,13.7*C131^0.004)</f>
        <v>13.710608384391588</v>
      </c>
      <c r="M131" s="7" t="s">
        <v>638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_xlfn.XLOOKUP(B131,[1]TeethAdjusters!$A:$A,[1]BiteAdjusters!$C:$C)</f>
        <v>1</v>
      </c>
      <c r="T131" s="7">
        <f>_xlfn.XLOOKUP(B131,[1]TeethAdjusters!$A:$A,[1]TeethAdjusters!$B:$B)</f>
        <v>1</v>
      </c>
      <c r="U131" s="7" t="s">
        <v>45</v>
      </c>
      <c r="V131" s="7">
        <v>0.5</v>
      </c>
      <c r="W131" s="7" t="s">
        <v>45</v>
      </c>
      <c r="X131" s="7" t="s">
        <v>945</v>
      </c>
      <c r="Y131" s="4" t="s">
        <v>56</v>
      </c>
      <c r="Z131" s="4">
        <v>0</v>
      </c>
      <c r="AA131" s="4">
        <v>0</v>
      </c>
      <c r="AB131" s="4">
        <v>0</v>
      </c>
      <c r="AC131" s="4" t="s">
        <v>45</v>
      </c>
      <c r="AD131" s="4" t="s">
        <v>45</v>
      </c>
      <c r="AE131" s="28" t="s">
        <v>394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4" t="s">
        <v>40</v>
      </c>
      <c r="AL131" s="8">
        <f t="shared" si="47"/>
        <v>1258.7771078426365</v>
      </c>
      <c r="AM131" s="8">
        <f>IFERROR(C131*_xlfn.XLOOKUP(E131,Groups!A:A,Groups!K:K),0.106*C131^0.94)</f>
        <v>0.12714616313592822</v>
      </c>
      <c r="AN131" s="8">
        <f>AM131*10000/(_xlfn.XLOOKUP(E131,Groups!A:A,Groups!J:J)*AL131)</f>
        <v>0.92667602041099417</v>
      </c>
      <c r="AO131" s="8">
        <f t="shared" si="48"/>
        <v>64.03673082694479</v>
      </c>
      <c r="AP131" s="8">
        <f>IF(_xlfn.XLOOKUP(E131,Groups!A:A,Groups!M:M)=1,EXP(0.7444*LN('Base stats'!C131)+6.5696),EXP(0.7927*LN('Base stats'!C131)+4.28))</f>
        <v>84.216796363015334</v>
      </c>
      <c r="AQ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"No")))))))))))))))</f>
        <v>78.693506885939101</v>
      </c>
      <c r="AR131" s="8">
        <f>IF(_xlfn.XLOOKUP(E131,Groups!A:A,Groups!U:U)=3,AP131,IF(_xlfn.XLOOKUP(E131,Groups!A:A,Groups!U:U)=2,AO131,AQ131))</f>
        <v>78.693506885939101</v>
      </c>
      <c r="AS131" s="46">
        <f>IFERROR(AVERAGE(_xlfn.XLOOKUP(B131,Animals!B:B,Animals!M:M),_xlfn.XLOOKUP(B131,Animals!B:B,Animals!N:N)),0)</f>
        <v>0</v>
      </c>
      <c r="AT131" s="8">
        <f>MROUND(40*Animals!AN131*_xlfn.XLOOKUP(Animals!AZ131,Leathers!$A$2:$A$100,Leathers!$B$2:$B$100,0)+(140*_xlfn.XLOOKUP(B131,Animals!B:B,Animals!AN:AN)*2),5)</f>
        <v>55</v>
      </c>
      <c r="AU131" s="8">
        <f>IFERROR(ROUND(SQRT(V131-1)*IF(_xlfn.XLOOKUP(E131,Groups!A:A,Groups!BE:BE)=0,2,1)*IF(_xlfn.XLOOKUP('Base stats'!E131,Groups!A:A,Groups!O:O)=0,1,0.1),1),0)</f>
        <v>0</v>
      </c>
      <c r="AV131" s="8">
        <f t="shared" si="49"/>
        <v>0</v>
      </c>
      <c r="AW131" s="8">
        <f t="shared" si="50"/>
        <v>0</v>
      </c>
      <c r="AX131" s="8">
        <f t="shared" si="51"/>
        <v>0.6</v>
      </c>
      <c r="AY131" s="8">
        <f>IF(_xlfn.XLOOKUP(E131,Groups!A:A,Groups!N:N)="Insect",BA131*2.5,IFERROR(AVERAGE(BA131,AQ131/9.81/IF(OR(_xlfn.XLOOKUP(E131,Groups!A:A,Groups!N:N)="Pig",_xlfn.XLOOKUP(E131,Groups!A:A,Groups!N:N)="StrongBitingHerbivore"),20,25))*C131^-0.135,BA131))</f>
        <v>0.17872418508078849</v>
      </c>
      <c r="AZ131" s="8" t="str">
        <f>IF(W131="No","No",IF(_xlfn.XLOOKUP(E131,Groups!A:A,Groups!U:U)=1,'Base stats'!AY131,IF(OR(_xlfn.XLOOKUP(E131,Groups!A:A,Groups!BC:BC)=1,_xlfn.XLOOKUP(E131,Groups!A:A,Groups!U:U)=2),BA131,IF(_xlfn.XLOOKUP(B131,Animals!B:B,Animals!AN:AN)&gt;4,AVERAGE(BA131,BC131),BC131))))</f>
        <v>No</v>
      </c>
      <c r="BA131" s="8">
        <f>(0.0392*C131^IF(OR(Y131="Herbivore",Y131="Dendrovore",Y131="OmnivoreRough"),0.889,0.966))*C131^-0.135</f>
        <v>4.6038707722392644E-2</v>
      </c>
      <c r="BB131" s="8">
        <f>IF(_xlfn.XLOOKUP(E131,Groups!A:A,Groups!BD:BD)=1,(0.048*C131^1.01)+(0.071*C131^1.03),0.071*C131^1.03)/IF(_xlfn.XLOOKUP(E131,Groups!A:A,Groups!M:M)=1,0.85,IF(OR(_xlfn.XLOOKUP(B131,Animals!B:B,Animals!AN:AN)&gt;4,_xlfn.XLOOKUP(E131,Groups!A:A,Groups!BB:BB)=1),1.7,1))*C131^-0.25</f>
        <v>8.2567546108570741E-2</v>
      </c>
      <c r="BC131" s="8">
        <f>(0.048*C131^1.01)/IF(_xlfn.XLOOKUP(E131,Groups!A:A,Groups!M:M)=1,0.25,0.8)*C131^-0.25</f>
        <v>6.9505869992112154E-2</v>
      </c>
      <c r="BD131" s="8">
        <f>EXP(1.076*LN(AO131)-4.5397)*IF(_xlfn.XLOOKUP(E131,Groups!A:A,Groups!BB:BB)=1,1.25,IF(_xlfn.XLOOKUP(E131,Groups!A:A,Groups!BC:BC)=1,3.5,2.5))</f>
        <v>2.3447206979592634</v>
      </c>
      <c r="BE131" s="8">
        <f>EXP(1.076*LN(AP131)-4.5397)*IF(_xlfn.XLOOKUP(E131,Groups!A:A,Groups!M:M)=1,0.8,IF(_xlfn.XLOOKUP(E131,Groups!A:A,Groups!BB:BB)=1,1.3,3))</f>
        <v>3.778188435490045</v>
      </c>
      <c r="BF131" s="8" t="str">
        <f>IF(W131="No","No",IF(_xlfn.XLOOKUP(E131,Groups!A:A,Groups!U:U)=1,'Base stats'!BG131,IF(OR(_xlfn.XLOOKUP(E131,Groups!A:A,Groups!BC:BC)=1,_xlfn.XLOOKUP(E131,Groups!A:A,Groups!U:U)=2),BD131,BE131))*1.2)</f>
        <v>No</v>
      </c>
      <c r="BG131" s="8">
        <f>IFERROR(EXP(1.076*LN(AQ131)-4.5397)*IF(_xlfn.XLOOKUP(E131,Groups!A:A,Groups!N:N)="Insect",1,IF(OR(_xlfn.XLOOKUP(E131,Groups!A:A,Groups!N:N)="Pig",_xlfn.XLOOKUP(E131,Groups!A:A,Groups!N:N)="StrongBitingHerbivore"),3.5,3.75)),"No")</f>
        <v>4.3903067377807092</v>
      </c>
      <c r="BH131" s="8">
        <f t="shared" ref="BH131:BH166" si="52">ROUNDDOWN(SQRT((2*BD131)/BA131),0)</f>
        <v>10</v>
      </c>
      <c r="BI131" s="8">
        <f t="shared" ref="BI131:BI166" si="53">ROUNDDOWN(SQRT((2*BE131)/BB131),0)</f>
        <v>9</v>
      </c>
      <c r="BJ131" s="8" t="str">
        <f>IF(W131="No","No",ROUNDDOWN(SQRT((2*BF131)/AZ131),0))</f>
        <v>No</v>
      </c>
      <c r="BK131" s="8">
        <f>IF(V131="No","No",ROUNDDOWN(SQRT((2*BG131)/AY131),0))</f>
        <v>7</v>
      </c>
      <c r="BL131" s="8">
        <f t="shared" ref="BL131:BL166" si="54">ROUNDDOWN(SQRT((2*BE131)/BC131),0)</f>
        <v>10</v>
      </c>
      <c r="BM131" s="8" t="str" cm="1">
        <f t="array" ref="BM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stats'!E131,Groups!A:A,Groups!P:P=0)),"No",IF(U131="No",AVERAGE(EXP(-0.57+0.99*LN(C131)),EXP(0.32+0.67*LN(C131)))/IF(_xlfn.XLOOKUP(E131,Groups!A:A,Groups!AD:AD)=1,10,2),(0.7354*C131^0.4078)*2/IF(_xlfn.XLOOKUP(E131,Groups!A:A,Groups!BJ:BJ)=1,1000,100)))</f>
        <v>No</v>
      </c>
      <c r="BN131" s="8" t="str">
        <f>IF(W131="No","No",IF(_xlfn.XLOOKUP(E131,Groups!A:A,Groups!BC:BC)=1,(AL131*5%),EXP(0.7354*LN(C131)^0.4078)*2/IF(_xlfn.XLOOKUP(E131,Groups!A:A,Groups!BK:BK)=1,1000,100)))</f>
        <v>No</v>
      </c>
      <c r="BO131" s="8">
        <f>IF(BG131="No","No",IF(_xlfn.XLOOKUP(E131,Groups!A:A,Groups!BE:BE)=1,(0.0315*C131+2.1825)*2,(0.7354*C131^0.4078)*2)/IF(_xlfn.XLOOKUP(E131,Groups!A:A,Groups!BL:BL)=1,1000,100))</f>
        <v>1.5915674323270582E-2</v>
      </c>
      <c r="BP131" s="8">
        <f>BD131/(AL131*5%)</f>
        <v>3.725394564853151E-2</v>
      </c>
      <c r="BQ131" s="8" t="str">
        <f t="shared" ref="BQ131:BQ166" si="55">IF(BM131="No","No",BE131/BM131)</f>
        <v>No</v>
      </c>
      <c r="BR131" s="8" t="str">
        <f>IF(W131="No","No",BF131/BN131)</f>
        <v>No</v>
      </c>
      <c r="BS131" s="8">
        <f t="shared" ref="BS131:BS166" si="56">IF(BG131="No","No",BG131/BO131)</f>
        <v>275.84798787705563</v>
      </c>
      <c r="BT131" s="4">
        <v>0</v>
      </c>
      <c r="BU131" s="4">
        <v>1</v>
      </c>
    </row>
    <row r="132" spans="1:73" x14ac:dyDescent="0.25">
      <c r="A132" s="26" t="s">
        <v>78</v>
      </c>
      <c r="B132" s="6" t="s">
        <v>79</v>
      </c>
      <c r="C132" s="7">
        <f>AVERAGE(104.5,76.7)</f>
        <v>90.6</v>
      </c>
      <c r="D132" s="7" t="s">
        <v>1209</v>
      </c>
      <c r="E132" s="7" t="str">
        <f>Groups!A18</f>
        <v>Felid (can fish)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556</v>
      </c>
      <c r="L132" s="7">
        <f>MIN(37.5*C132^0.089,79.3*C132^-0.072)</f>
        <v>56.003565476844742</v>
      </c>
      <c r="M132" s="7" t="s">
        <v>638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_xlfn.XLOOKUP(B132,[1]TeethAdjusters!$A:$A,[1]BiteAdjusters!$C:$C)</f>
        <v>1.7207631063976647</v>
      </c>
      <c r="T132" s="7">
        <f>_xlfn.XLOOKUP(B132,[1]TeethAdjusters!$A:$A,[1]TeethAdjusters!$B:$B)</f>
        <v>1.1539667792284651</v>
      </c>
      <c r="U132" s="7">
        <f>MROUND(5.5,0.05)</f>
        <v>5.5</v>
      </c>
      <c r="V132" s="7">
        <f>IF(AQ132="No","No",IF(_xlfn.XLOOKUP(E132,Groups!A:A,Groups!AM:AM)=1,MROUND(EXP(0.3582*LN(C132)-0.2221)*T132,0.05),IF(_xlfn.XLOOKUP(E132,Groups!A:A,Groups!AM:AM)=2,MROUND(EXP(0.3582*LN(C132)-0.2221)*T132,0.05),"Need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945</v>
      </c>
      <c r="Y132" s="4" t="s">
        <v>56</v>
      </c>
      <c r="Z132" s="4">
        <v>0</v>
      </c>
      <c r="AA132" s="4">
        <v>0</v>
      </c>
      <c r="AB132" s="4">
        <v>0</v>
      </c>
      <c r="AC132" s="4" t="s">
        <v>45</v>
      </c>
      <c r="AD132" s="4" t="s">
        <v>45</v>
      </c>
      <c r="AE132" s="28" t="s">
        <v>398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4" t="s">
        <v>40</v>
      </c>
      <c r="AL132" s="8">
        <f t="shared" si="47"/>
        <v>20770.947464227022</v>
      </c>
      <c r="AM132" s="8">
        <f>IFERROR(C132*_xlfn.XLOOKUP(E132,Groups!A:A,Groups!K:K),0.106*C132^0.94)</f>
        <v>11.302349999999999</v>
      </c>
      <c r="AN132" s="8">
        <f>AM132*10000/(_xlfn.XLOOKUP(E132,Groups!A:A,Groups!J:J)*AL132)</f>
        <v>4.9921306951574111</v>
      </c>
      <c r="AO132" s="8">
        <f t="shared" si="48"/>
        <v>2446.9603841731432</v>
      </c>
      <c r="AP132" s="8">
        <f>IF(_xlfn.XLOOKUP(E132,Groups!A:A,Groups!M:M)=1,EXP(0.7444*LN('Base stats'!C132)+6.5696),EXP(0.7927*LN('Base stats'!C132)+4.28))</f>
        <v>2571.5555179186249</v>
      </c>
      <c r="AQ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"No")))))))))))))))</f>
        <v>6532.0747536068466</v>
      </c>
      <c r="AR132" s="8">
        <f>IF(_xlfn.XLOOKUP(E132,Groups!A:A,Groups!U:U)=3,AP132,IF(_xlfn.XLOOKUP(E132,Groups!A:A,Groups!U:U)=2,AO132,AQ132))</f>
        <v>6532.0747536068466</v>
      </c>
      <c r="AS132" s="46">
        <f>IFERROR(AVERAGE(_xlfn.XLOOKUP(B132,Animals!B:B,Animals!M:M),_xlfn.XLOOKUP(B132,Animals!B:B,Animals!N:N)),0)</f>
        <v>0</v>
      </c>
      <c r="AT132" s="8">
        <f>MROUND(40*Animals!AN132*_xlfn.XLOOKUP(Animals!AZ132,Leathers!$A$2:$A$100,Leathers!$B$2:$B$100,0)+(140*_xlfn.XLOOKUP(B132,Animals!B:B,Animals!AN:AN)*2),5)</f>
        <v>515</v>
      </c>
      <c r="AU132" s="8">
        <f>IFERROR(ROUND(SQRT(V132-1)*IF(_xlfn.XLOOKUP(E132,Groups!A:A,Groups!BE:BE)=0,2,1)*IF(_xlfn.XLOOKUP('Base stats'!E132,Groups!A:A,Groups!O:O)=0,1,0.1),1),0)</f>
        <v>3.8</v>
      </c>
      <c r="AV132" s="8">
        <f t="shared" si="49"/>
        <v>2.1</v>
      </c>
      <c r="AW132" s="8">
        <f t="shared" si="50"/>
        <v>0</v>
      </c>
      <c r="AX132" s="8">
        <f t="shared" si="51"/>
        <v>4</v>
      </c>
      <c r="AY132" s="8">
        <f>IF(_xlfn.XLOOKUP(E132,Groups!A:A,Groups!N:N)="Insect",BA132*2.5,IFERROR(AVERAGE(BA132,AQ132/9.81/IF(OR(_xlfn.XLOOKUP(E132,Groups!A:A,Groups!N:N)="Pig",_xlfn.XLOOKUP(E132,Groups!A:A,Groups!N:N)="StrongBitingHerbivore"),20,25))*C132^-0.135,BA132))</f>
        <v>7.6989437312914362</v>
      </c>
      <c r="AZ132" s="8" t="str">
        <f>IF(W132="No","No",IF(_xlfn.XLOOKUP(E132,Groups!A:A,Groups!U:U)=1,'Base stats'!AY132,IF(OR(_xlfn.XLOOKUP(E132,Groups!A:A,Groups!BC:BC)=1,_xlfn.XLOOKUP(E132,Groups!A:A,Groups!U:U)=2),BA132,IF(_xlfn.XLOOKUP(B132,Animals!B:B,Animals!AN:AN)&gt;4,AVERAGE(BA132,BC132),BC132))))</f>
        <v>No</v>
      </c>
      <c r="BA132" s="8">
        <f>(0.0392*C132^IF(OR(Y132="Herbivore",Y132="Dendrovore",Y132="OmnivoreRough"),0.889,0.966))*C132^-0.135</f>
        <v>1.6582866302091877</v>
      </c>
      <c r="BB132" s="8">
        <f>IF(_xlfn.XLOOKUP(E132,Groups!A:A,Groups!BD:BD)=1,(0.048*C132^1.01)+(0.071*C132^1.03),0.071*C132^1.03)/IF(_xlfn.XLOOKUP(E132,Groups!A:A,Groups!M:M)=1,0.85,IF(OR(_xlfn.XLOOKUP(B132,Animals!B:B,Animals!AN:AN)&gt;4,_xlfn.XLOOKUP(E132,Groups!A:A,Groups!BB:BB)=1),1.7,1))*C132^-0.25</f>
        <v>2.3868127158816637</v>
      </c>
      <c r="BC132" s="8">
        <f>(0.048*C132^1.01)/IF(_xlfn.XLOOKUP(E132,Groups!A:A,Groups!M:M)=1,0.25,0.8)*C132^-0.25</f>
        <v>1.8431839525028992</v>
      </c>
      <c r="BD132" s="8">
        <f>EXP(1.076*LN(AO132)-4.5397)*IF(_xlfn.XLOOKUP(E132,Groups!A:A,Groups!BB:BB)=1,1.25,IF(_xlfn.XLOOKUP(E132,Groups!A:A,Groups!BC:BC)=1,3.5,2.5))</f>
        <v>118.17780921423952</v>
      </c>
      <c r="BE132" s="8">
        <f>EXP(1.076*LN(AP132)-4.5397)*IF(_xlfn.XLOOKUP(E132,Groups!A:A,Groups!M:M)=1,0.8,IF(_xlfn.XLOOKUP(E132,Groups!A:A,Groups!BB:BB)=1,1.3,3))</f>
        <v>149.59786270514047</v>
      </c>
      <c r="BF132" s="8" t="str">
        <f>IF(W132="No","No",IF(_xlfn.XLOOKUP(E132,Groups!A:A,Groups!U:U)=1,'Base stats'!BG132,IF(OR(_xlfn.XLOOKUP(E132,Groups!A:A,Groups!BC:BC)=1,_xlfn.XLOOKUP(E132,Groups!A:A,Groups!U:U)=2),BD132,BE132))*1.2)</f>
        <v>No</v>
      </c>
      <c r="BG132" s="8">
        <f>IFERROR(EXP(1.076*LN(AQ132)-4.5397)*IF(_xlfn.XLOOKUP(E132,Groups!A:A,Groups!N:N)="Insect",1,IF(OR(_xlfn.XLOOKUP(E132,Groups!A:A,Groups!N:N)="Pig",_xlfn.XLOOKUP(E132,Groups!A:A,Groups!N:N)="StrongBitingHerbivore"),3.5,3.75)),"No")</f>
        <v>509.87021374925024</v>
      </c>
      <c r="BH132" s="8">
        <f t="shared" si="52"/>
        <v>11</v>
      </c>
      <c r="BI132" s="8">
        <f t="shared" si="53"/>
        <v>11</v>
      </c>
      <c r="BJ132" s="8" t="str">
        <f>IF(W132="No","No",ROUNDDOWN(SQRT((2*BF132)/AZ132),0))</f>
        <v>No</v>
      </c>
      <c r="BK132" s="8">
        <f>IF(V132="No","No",ROUNDDOWN(SQRT((2*BG132)/AY132),0))</f>
        <v>11</v>
      </c>
      <c r="BL132" s="8">
        <f t="shared" si="54"/>
        <v>12</v>
      </c>
      <c r="BM132" s="8" cm="1">
        <f t="array" ref="BM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stats'!E132,Groups!A:A,Groups!P:P=0)),"No",IF(U132="No",AVERAGE(EXP(-0.57+0.99*LN(C132)),EXP(0.32+0.67*LN(C132)))/IF(_xlfn.XLOOKUP(E132,Groups!A:A,Groups!AD:AD)=1,10,2),(0.7354*C132^0.4078)*2/IF(_xlfn.XLOOKUP(E132,Groups!A:A,Groups!BJ:BJ)=1,1000,100)))</f>
        <v>9.2399687029971422E-2</v>
      </c>
      <c r="BN132" s="8" t="str">
        <f>IF(W132="No","No",IF(_xlfn.XLOOKUP(E132,Groups!A:A,Groups!BC:BC)=1,(AL132*5%),EXP(0.7354*LN(C132)^0.4078)*2/IF(_xlfn.XLOOKUP(E132,Groups!A:A,Groups!BK:BK)=1,1000,100)))</f>
        <v>No</v>
      </c>
      <c r="BO132" s="8">
        <f>IF(BG132="No","No",IF(_xlfn.XLOOKUP(E132,Groups!A:A,Groups!BE:BE)=1,(0.0315*C132+2.1825)*2,(0.7354*C132^0.4078)*2)/IF(_xlfn.XLOOKUP(E132,Groups!A:A,Groups!BL:BL)=1,1000,100))</f>
        <v>9.2399687029971422E-2</v>
      </c>
      <c r="BP132" s="8">
        <f>BD132/(AL132*5%)</f>
        <v>0.11379144780734962</v>
      </c>
      <c r="BQ132" s="8">
        <f t="shared" si="55"/>
        <v>1619.0299720021328</v>
      </c>
      <c r="BR132" s="8" t="str">
        <f>IF(W132="No","No",BF132/BN132)</f>
        <v>No</v>
      </c>
      <c r="BS132" s="8">
        <f t="shared" si="56"/>
        <v>5518.094596834133</v>
      </c>
      <c r="BT132" s="4">
        <v>0</v>
      </c>
      <c r="BU132" s="4">
        <v>1</v>
      </c>
    </row>
    <row r="133" spans="1:73" x14ac:dyDescent="0.25">
      <c r="A133" s="26" t="s">
        <v>245</v>
      </c>
      <c r="B133" s="6" t="s">
        <v>256</v>
      </c>
      <c r="C133" s="7">
        <v>2.5550000000000002</v>
      </c>
      <c r="E133" s="7" t="s">
        <v>113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609</v>
      </c>
      <c r="L133" s="7">
        <f>MIN(23.6*C133^0.165,23.3*C133^0.225)</f>
        <v>27.550627963558679</v>
      </c>
      <c r="M133" s="7" t="s">
        <v>638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_xlfn.XLOOKUP(B133,[1]TeethAdjusters!$A:$A,[1]BiteAdjusters!$C:$C)</f>
        <v>0.9222456923748853</v>
      </c>
      <c r="T133" s="7">
        <f>_xlfn.XLOOKUP(B133,[1]TeethAdjusters!$A:$A,[1]TeethAdjusters!$B:$B)</f>
        <v>0.95146295544256565</v>
      </c>
      <c r="U133" s="7" t="s">
        <v>45</v>
      </c>
      <c r="V133" s="7">
        <f>IF(AQ133="No","No",IF(_xlfn.XLOOKUP(E133,Groups!A:A,Groups!AM:AM)=1,MROUND(EXP(0.3582*LN(C133)-0.2221)*T133,0.05),IF(_xlfn.XLOOKUP(E133,Groups!A:A,Groups!AM:AM)=2,MROUND(EXP(0.3582*LN(C133)-0.2221)*T133,0.05),"Need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945</v>
      </c>
      <c r="Y133" s="4" t="s">
        <v>1023</v>
      </c>
      <c r="Z133" s="4">
        <v>0</v>
      </c>
      <c r="AA133" s="4">
        <v>0</v>
      </c>
      <c r="AB133" s="4">
        <v>0</v>
      </c>
      <c r="AC133" s="4" t="s">
        <v>45</v>
      </c>
      <c r="AD133" s="4" t="s">
        <v>407</v>
      </c>
      <c r="AE133" s="28" t="s">
        <v>394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4" t="s">
        <v>40</v>
      </c>
      <c r="AL133" s="8">
        <f t="shared" si="47"/>
        <v>2042.3354075792172</v>
      </c>
      <c r="AM133" s="8">
        <f>IFERROR(C133*_xlfn.XLOOKUP(E133,Groups!A:A,Groups!K:K),0.106*C133^0.94)</f>
        <v>0.25600786952737459</v>
      </c>
      <c r="AN133" s="8">
        <f>AM133*10000/(_xlfn.XLOOKUP(E133,Groups!A:A,Groups!J:J)*AL133)</f>
        <v>1.1500050589113424</v>
      </c>
      <c r="AO133" s="8">
        <f t="shared" si="48"/>
        <v>120.10576304501073</v>
      </c>
      <c r="AP133" s="8">
        <f>IF(_xlfn.XLOOKUP(E133,Groups!A:A,Groups!M:M)=1,EXP(0.7444*LN('Base stats'!C133)+6.5696),EXP(0.7927*LN('Base stats'!C133)+4.28))</f>
        <v>151.95645471919045</v>
      </c>
      <c r="AQ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"No")))))))))))))))</f>
        <v>63.322832467971779</v>
      </c>
      <c r="AR133" s="8">
        <f>IF(_xlfn.XLOOKUP(E133,Groups!A:A,Groups!U:U)=3,AP133,IF(_xlfn.XLOOKUP(E133,Groups!A:A,Groups!U:U)=2,AO133,AQ133))</f>
        <v>63.322832467971779</v>
      </c>
      <c r="AS133" s="46">
        <f>IFERROR(AVERAGE(_xlfn.XLOOKUP(B133,Animals!B:B,Animals!M:M),_xlfn.XLOOKUP(B133,Animals!B:B,Animals!N:N)),0)</f>
        <v>0</v>
      </c>
      <c r="AT133" s="8">
        <f>MROUND(40*Animals!AN133*_xlfn.XLOOKUP(Animals!AZ133,Leathers!$A$2:$A$100,Leathers!$B$2:$B$100,0)+(140*_xlfn.XLOOKUP(B133,Animals!B:B,Animals!AN:AN)*2),5)</f>
        <v>90</v>
      </c>
      <c r="AU133" s="8">
        <f>IFERROR(ROUND(SQRT(V133-1)*IF(_xlfn.XLOOKUP(E133,Groups!A:A,Groups!BE:BE)=0,2,1)*IF(_xlfn.XLOOKUP('Base stats'!E133,Groups!A:A,Groups!O:O)=0,1,0.1),1),0)</f>
        <v>0.4</v>
      </c>
      <c r="AV133" s="8">
        <f t="shared" si="49"/>
        <v>0</v>
      </c>
      <c r="AW133" s="8">
        <f t="shared" si="50"/>
        <v>0</v>
      </c>
      <c r="AX133" s="8">
        <f t="shared" si="51"/>
        <v>0.8</v>
      </c>
      <c r="AY133" s="8">
        <f>IF(_xlfn.XLOOKUP(E133,Groups!A:A,Groups!N:N)="Insect",BA133*2.5,IFERROR(AVERAGE(BA133,AQ133/9.81/IF(OR(_xlfn.XLOOKUP(E133,Groups!A:A,Groups!N:N)="Pig",_xlfn.XLOOKUP(E133,Groups!A:A,Groups!N:N)="StrongBitingHerbivore"),20,25))*C133^-0.135,BA133))</f>
        <v>0.14877197046602339</v>
      </c>
      <c r="AZ133" s="8" t="str">
        <f>IF(W133="No","No",IF(_xlfn.XLOOKUP(E133,Groups!A:A,Groups!U:U)=1,'Base stats'!AY133,IF(OR(_xlfn.XLOOKUP(E133,Groups!A:A,Groups!BC:BC)=1,_xlfn.XLOOKUP(E133,Groups!A:A,Groups!U:U)=2),BA133,IF(_xlfn.XLOOKUP(B133,Animals!B:B,Animals!AN:AN)&gt;4,AVERAGE(BA133,BC133),BC133))))</f>
        <v>No</v>
      </c>
      <c r="BA133" s="8">
        <f>(0.0392*C133^IF(OR(Y133="Herbivore",Y133="Dendrovore",Y133="OmnivoreRough"),0.889,0.966))*C133^-0.135</f>
        <v>7.9516784362456086E-2</v>
      </c>
      <c r="BB133" s="8">
        <f>IF(_xlfn.XLOOKUP(E133,Groups!A:A,Groups!BD:BD)=1,(0.048*C133^1.01)+(0.071*C133^1.03),0.071*C133^1.03)/IF(_xlfn.XLOOKUP(E133,Groups!A:A,Groups!M:M)=1,0.85,IF(OR(_xlfn.XLOOKUP(B133,Animals!B:B,Animals!AN:AN)&gt;4,_xlfn.XLOOKUP(E133,Groups!A:A,Groups!BB:BB)=1),1.7,1))*C133^-0.25</f>
        <v>0.14757855517858257</v>
      </c>
      <c r="BC133" s="8">
        <f>(0.048*C133^1.01)/IF(_xlfn.XLOOKUP(E133,Groups!A:A,Groups!M:M)=1,0.25,0.8)*C133^-0.25</f>
        <v>0.1223963136272683</v>
      </c>
      <c r="BD133" s="8">
        <f>EXP(1.076*LN(AO133)-4.5397)*IF(_xlfn.XLOOKUP(E133,Groups!A:A,Groups!BB:BB)=1,1.25,IF(_xlfn.XLOOKUP(E133,Groups!A:A,Groups!BC:BC)=1,3.5,2.5))</f>
        <v>4.6130063052043973</v>
      </c>
      <c r="BE133" s="8">
        <f>EXP(1.076*LN(AP133)-4.5397)*IF(_xlfn.XLOOKUP(E133,Groups!A:A,Groups!M:M)=1,0.8,IF(_xlfn.XLOOKUP(E133,Groups!A:A,Groups!BB:BB)=1,1.3,3))</f>
        <v>7.1299158362536685</v>
      </c>
      <c r="BF133" s="8" t="str">
        <f>IF(W133="No","No",IF(_xlfn.XLOOKUP(E133,Groups!A:A,Groups!U:U)=1,'Base stats'!BG133,IF(OR(_xlfn.XLOOKUP(E133,Groups!A:A,Groups!BC:BC)=1,_xlfn.XLOOKUP(E133,Groups!A:A,Groups!U:U)=2),BD133,BE133))*1.2)</f>
        <v>No</v>
      </c>
      <c r="BG133" s="8">
        <f>IFERROR(EXP(1.076*LN(AQ133)-4.5397)*IF(_xlfn.XLOOKUP(E133,Groups!A:A,Groups!N:N)="Insect",1,IF(OR(_xlfn.XLOOKUP(E133,Groups!A:A,Groups!N:N)="Pig",_xlfn.XLOOKUP(E133,Groups!A:A,Groups!N:N)="StrongBitingHerbivore"),3.5,3.75)),"No")</f>
        <v>3.4749097242728064</v>
      </c>
      <c r="BH133" s="8">
        <f t="shared" si="52"/>
        <v>10</v>
      </c>
      <c r="BI133" s="8">
        <f t="shared" si="53"/>
        <v>9</v>
      </c>
      <c r="BJ133" s="8" t="str">
        <f>IF(W133="No","No",ROUNDDOWN(SQRT((2*BF133)/AZ133),0))</f>
        <v>No</v>
      </c>
      <c r="BK133" s="8">
        <f>IF(V133="No","No",ROUNDDOWN(SQRT((2*BG133)/AY133),0))</f>
        <v>6</v>
      </c>
      <c r="BL133" s="8">
        <f t="shared" si="54"/>
        <v>10</v>
      </c>
      <c r="BM133" s="8" cm="1">
        <f t="array" ref="BM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stats'!E133,Groups!A:A,Groups!P:P=0)),"No",IF(U133="No",AVERAGE(EXP(-0.57+0.99*LN(C133)),EXP(0.32+0.67*LN(C133)))/IF(_xlfn.XLOOKUP(E133,Groups!A:A,Groups!AD:AD)=1,10,2),(0.7354*C133^0.4078)*2/IF(_xlfn.XLOOKUP(E133,Groups!A:A,Groups!BJ:BJ)=1,1000,100)))</f>
        <v>0.20066239279957276</v>
      </c>
      <c r="BN133" s="8" t="str">
        <f>IF(W133="No","No",IF(_xlfn.XLOOKUP(E133,Groups!A:A,Groups!BC:BC)=1,(AL133*5%),EXP(0.7354*LN(C133)^0.4078)*2/IF(_xlfn.XLOOKUP(E133,Groups!A:A,Groups!BK:BK)=1,1000,100)))</f>
        <v>No</v>
      </c>
      <c r="BO133" s="8">
        <f>IF(BG133="No","No",IF(_xlfn.XLOOKUP(E133,Groups!A:A,Groups!BE:BE)=1,(0.0315*C133+2.1825)*2,(0.7354*C133^0.4078)*2)/IF(_xlfn.XLOOKUP(E133,Groups!A:A,Groups!BL:BL)=1,1000,100))</f>
        <v>2.1561930012640517E-2</v>
      </c>
      <c r="BP133" s="8">
        <f>BD133/(AL133*5%)</f>
        <v>4.5173836658614262E-2</v>
      </c>
      <c r="BQ133" s="8">
        <f t="shared" si="55"/>
        <v>35.531898811628487</v>
      </c>
      <c r="BR133" s="8" t="str">
        <f>IF(W133="No","No",BF133/BN133)</f>
        <v>No</v>
      </c>
      <c r="BS133" s="8">
        <f t="shared" si="56"/>
        <v>161.15949371116903</v>
      </c>
      <c r="BT133" s="4">
        <v>0</v>
      </c>
      <c r="BU133" s="4">
        <v>1</v>
      </c>
    </row>
    <row r="134" spans="1:73" x14ac:dyDescent="0.25">
      <c r="A134" s="26" t="s">
        <v>114</v>
      </c>
      <c r="B134" s="6" t="s">
        <v>115</v>
      </c>
      <c r="C134" s="7">
        <v>18.2499</v>
      </c>
      <c r="E134" s="7" t="s">
        <v>113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613</v>
      </c>
      <c r="L134" s="7">
        <f>MIN(23.6*C134^0.165,23.3*C134^0.225)</f>
        <v>38.108335819833258</v>
      </c>
      <c r="M134" s="7" t="s">
        <v>638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_xlfn.XLOOKUP(B134,[1]TeethAdjusters!$A:$A,[1]BiteAdjusters!$C:$C)</f>
        <v>1</v>
      </c>
      <c r="T134" s="7">
        <f>_xlfn.XLOOKUP(B134,[1]TeethAdjusters!$A:$A,[1]TeethAdjusters!$B:$B)</f>
        <v>2.0388052907867817</v>
      </c>
      <c r="U134" s="7" t="s">
        <v>45</v>
      </c>
      <c r="V134" s="7">
        <f>IF(AQ134="No","No",IF(_xlfn.XLOOKUP(E134,Groups!A:A,Groups!AM:AM)=1,MROUND(EXP(0.3582*LN(C134)-0.2221)*T134,0.05),IF(_xlfn.XLOOKUP(E134,Groups!A:A,Groups!AM:AM)=2,MROUND(EXP(0.3582*LN(C134)-0.2221)*T134,0.05),"Need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945</v>
      </c>
      <c r="Y134" s="4" t="s">
        <v>1023</v>
      </c>
      <c r="Z134" s="4">
        <v>0</v>
      </c>
      <c r="AA134" s="4">
        <v>0</v>
      </c>
      <c r="AB134" s="4">
        <v>0</v>
      </c>
      <c r="AC134" s="4" t="s">
        <v>45</v>
      </c>
      <c r="AD134" s="4" t="s">
        <v>407</v>
      </c>
      <c r="AE134" s="28" t="s">
        <v>394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4" t="s">
        <v>40</v>
      </c>
      <c r="AL134" s="8">
        <f t="shared" si="47"/>
        <v>7330.6468262026883</v>
      </c>
      <c r="AM134" s="8">
        <f>IFERROR(C134*_xlfn.XLOOKUP(E134,Groups!A:A,Groups!K:K),0.106*C134^0.94)</f>
        <v>1.6251397948112214</v>
      </c>
      <c r="AN134" s="8">
        <f>AM134*10000/(_xlfn.XLOOKUP(E134,Groups!A:A,Groups!J:J)*AL134)</f>
        <v>2.0338640989557843</v>
      </c>
      <c r="AO134" s="8">
        <f t="shared" si="48"/>
        <v>632.16068774693792</v>
      </c>
      <c r="AP134" s="8">
        <f>IF(_xlfn.XLOOKUP(E134,Groups!A:A,Groups!M:M)=1,EXP(0.7444*LN('Base stats'!C134)+6.5696),EXP(0.7927*LN('Base stats'!C134)+4.28))</f>
        <v>722.07377518192425</v>
      </c>
      <c r="AQ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"No")))))))))))))))</f>
        <v>321.17753492958173</v>
      </c>
      <c r="AR134" s="8">
        <f>IF(_xlfn.XLOOKUP(E134,Groups!A:A,Groups!U:U)=3,AP134,IF(_xlfn.XLOOKUP(E134,Groups!A:A,Groups!U:U)=2,AO134,AQ134))</f>
        <v>321.17753492958173</v>
      </c>
      <c r="AS134" s="46">
        <f>IFERROR(AVERAGE(_xlfn.XLOOKUP(B134,Animals!B:B,Animals!M:M),_xlfn.XLOOKUP(B134,Animals!B:B,Animals!N:N)),0)</f>
        <v>0</v>
      </c>
      <c r="AT134" s="8">
        <f>MROUND(40*Animals!AN134*_xlfn.XLOOKUP(Animals!AZ134,Leathers!$A$2:$A$100,Leathers!$B$2:$B$100,0)+(140*_xlfn.XLOOKUP(B134,Animals!B:B,Animals!AN:AN)*2),5)</f>
        <v>195</v>
      </c>
      <c r="AU134" s="8">
        <f>IFERROR(ROUND(SQRT(V134-1)*IF(_xlfn.XLOOKUP(E134,Groups!A:A,Groups!BE:BE)=0,2,1)*IF(_xlfn.XLOOKUP('Base stats'!E134,Groups!A:A,Groups!O:O)=0,1,0.1),1),0)</f>
        <v>3.8</v>
      </c>
      <c r="AV134" s="8">
        <f t="shared" si="49"/>
        <v>0</v>
      </c>
      <c r="AW134" s="8">
        <f t="shared" si="50"/>
        <v>0</v>
      </c>
      <c r="AX134" s="8">
        <f t="shared" si="51"/>
        <v>2.2000000000000002</v>
      </c>
      <c r="AY134" s="8">
        <f>IF(_xlfn.XLOOKUP(E134,Groups!A:A,Groups!N:N)="Insect",BA134*2.5,IFERROR(AVERAGE(BA134,AQ134/9.81/IF(OR(_xlfn.XLOOKUP(E134,Groups!A:A,Groups!N:N)="Pig",_xlfn.XLOOKUP(E134,Groups!A:A,Groups!N:N)="StrongBitingHerbivore"),20,25))*C134^-0.135,BA134))</f>
        <v>0.56071895798608451</v>
      </c>
      <c r="AZ134" s="8" t="str">
        <f>IF(W134="No","No",IF(_xlfn.XLOOKUP(E134,Groups!A:A,Groups!U:U)=1,'Base stats'!AY134,IF(OR(_xlfn.XLOOKUP(E134,Groups!A:A,Groups!BC:BC)=1,_xlfn.XLOOKUP(E134,Groups!A:A,Groups!U:U)=2),BA134,IF(_xlfn.XLOOKUP(B134,Animals!B:B,Animals!AN:AN)&gt;4,AVERAGE(BA134,BC134),BC134))))</f>
        <v>No</v>
      </c>
      <c r="BA134" s="8">
        <f>(0.0392*C134^IF(OR(Y134="Herbivore",Y134="Dendrovore",Y134="OmnivoreRough"),0.889,0.966))*C134^-0.135</f>
        <v>0.35016801621257826</v>
      </c>
      <c r="BB134" s="8">
        <f>IF(_xlfn.XLOOKUP(E134,Groups!A:A,Groups!BD:BD)=1,(0.048*C134^1.01)+(0.071*C134^1.03),0.071*C134^1.03)/IF(_xlfn.XLOOKUP(E134,Groups!A:A,Groups!M:M)=1,0.85,IF(OR(_xlfn.XLOOKUP(B134,Animals!B:B,Animals!AN:AN)&gt;4,_xlfn.XLOOKUP(E134,Groups!A:A,Groups!BB:BB)=1),1.7,1))*C134^-0.25</f>
        <v>0.68397705071897208</v>
      </c>
      <c r="BC134" s="8">
        <f>(0.048*C134^1.01)/IF(_xlfn.XLOOKUP(E134,Groups!A:A,Groups!M:M)=1,0.25,0.8)*C134^-0.25</f>
        <v>0.54539257619515014</v>
      </c>
      <c r="BD134" s="8">
        <f>EXP(1.076*LN(AO134)-4.5397)*IF(_xlfn.XLOOKUP(E134,Groups!A:A,Groups!BB:BB)=1,1.25,IF(_xlfn.XLOOKUP(E134,Groups!A:A,Groups!BC:BC)=1,3.5,2.5))</f>
        <v>27.54632853435314</v>
      </c>
      <c r="BE134" s="8">
        <f>EXP(1.076*LN(AP134)-4.5397)*IF(_xlfn.XLOOKUP(E134,Groups!A:A,Groups!M:M)=1,0.8,IF(_xlfn.XLOOKUP(E134,Groups!A:A,Groups!BB:BB)=1,1.3,3))</f>
        <v>38.140674314624789</v>
      </c>
      <c r="BF134" s="8" t="str">
        <f>IF(W134="No","No",IF(_xlfn.XLOOKUP(E134,Groups!A:A,Groups!U:U)=1,'Base stats'!BG134,IF(OR(_xlfn.XLOOKUP(E134,Groups!A:A,Groups!BC:BC)=1,_xlfn.XLOOKUP(E134,Groups!A:A,Groups!U:U)=2),BD134,BE134))*1.2)</f>
        <v>No</v>
      </c>
      <c r="BG134" s="8">
        <f>IFERROR(EXP(1.076*LN(AQ134)-4.5397)*IF(_xlfn.XLOOKUP(E134,Groups!A:A,Groups!N:N)="Insect",1,IF(OR(_xlfn.XLOOKUP(E134,Groups!A:A,Groups!N:N)="Pig",_xlfn.XLOOKUP(E134,Groups!A:A,Groups!N:N)="StrongBitingHerbivore"),3.5,3.75)),"No")</f>
        <v>19.939873599539972</v>
      </c>
      <c r="BH134" s="8">
        <f t="shared" si="52"/>
        <v>12</v>
      </c>
      <c r="BI134" s="8">
        <f t="shared" si="53"/>
        <v>10</v>
      </c>
      <c r="BJ134" s="8" t="str">
        <f>IF(W134="No","No",ROUNDDOWN(SQRT((2*BF134)/AZ134),0))</f>
        <v>No</v>
      </c>
      <c r="BK134" s="8">
        <f>IF(V134="No","No",ROUNDDOWN(SQRT((2*BG134)/AY134),0))</f>
        <v>8</v>
      </c>
      <c r="BL134" s="8">
        <f t="shared" si="54"/>
        <v>11</v>
      </c>
      <c r="BM134" s="8" cm="1">
        <f t="array" ref="BM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stats'!E134,Groups!A:A,Groups!P:P=0)),"No",IF(U134="No",AVERAGE(EXP(-0.57+0.99*LN(C134)),EXP(0.32+0.67*LN(C134)))/IF(_xlfn.XLOOKUP(E134,Groups!A:A,Groups!AD:AD)=1,10,2),(0.7354*C134^0.4078)*2/IF(_xlfn.XLOOKUP(E134,Groups!A:A,Groups!BJ:BJ)=1,1000,100)))</f>
        <v>0.98320339243405641</v>
      </c>
      <c r="BN134" s="8" t="str">
        <f>IF(W134="No","No",IF(_xlfn.XLOOKUP(E134,Groups!A:A,Groups!BC:BC)=1,(AL134*5%),EXP(0.7354*LN(C134)^0.4078)*2/IF(_xlfn.XLOOKUP(E134,Groups!A:A,Groups!BK:BK)=1,1000,100)))</f>
        <v>No</v>
      </c>
      <c r="BO134" s="8">
        <f>IF(BG134="No","No",IF(_xlfn.XLOOKUP(E134,Groups!A:A,Groups!BE:BE)=1,(0.0315*C134+2.1825)*2,(0.7354*C134^0.4078)*2)/IF(_xlfn.XLOOKUP(E134,Groups!A:A,Groups!BL:BL)=1,1000,100))</f>
        <v>4.807238272753759E-2</v>
      </c>
      <c r="BP134" s="8">
        <f>BD134/(AL134*5%)</f>
        <v>7.5153882562972341E-2</v>
      </c>
      <c r="BQ134" s="8">
        <f t="shared" si="55"/>
        <v>38.792252557430928</v>
      </c>
      <c r="BR134" s="8" t="str">
        <f>IF(W134="No","No",BF134/BN134)</f>
        <v>No</v>
      </c>
      <c r="BS134" s="8">
        <f t="shared" si="56"/>
        <v>414.78854319650139</v>
      </c>
      <c r="BT134" s="4">
        <v>0</v>
      </c>
      <c r="BU134" s="4">
        <v>1</v>
      </c>
    </row>
    <row r="135" spans="1:73" x14ac:dyDescent="0.25">
      <c r="A135" s="26" t="s">
        <v>96</v>
      </c>
      <c r="B135" s="6" t="s">
        <v>97</v>
      </c>
      <c r="C135" s="7">
        <f>299.9991</f>
        <v>299.9991</v>
      </c>
      <c r="E135" s="7" t="str">
        <f>Groups!A22</f>
        <v>Horselike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618</v>
      </c>
      <c r="L135" s="7">
        <v>40</v>
      </c>
      <c r="M135" s="7" t="s">
        <v>638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_xlfn.XLOOKUP(B135,[1]TeethAdjusters!$A:$A,[1]BiteAdjusters!$C:$C)</f>
        <v>1</v>
      </c>
      <c r="T135" s="7">
        <f>_xlfn.XLOOKUP(B135,[1]TeethAdjusters!$A:$A,[1]TeethAdjusters!$B:$B)</f>
        <v>1</v>
      </c>
      <c r="U135" s="7" t="s">
        <v>45</v>
      </c>
      <c r="V135" s="7">
        <v>1.5</v>
      </c>
      <c r="W135" s="7" t="s">
        <v>45</v>
      </c>
      <c r="X135" s="7" t="s">
        <v>945</v>
      </c>
      <c r="Y135" s="4" t="s">
        <v>42</v>
      </c>
      <c r="Z135" s="4">
        <v>0</v>
      </c>
      <c r="AA135" s="4">
        <v>0</v>
      </c>
      <c r="AB135" s="4">
        <v>0</v>
      </c>
      <c r="AC135" s="4" t="s">
        <v>45</v>
      </c>
      <c r="AD135" s="4" t="s">
        <v>45</v>
      </c>
      <c r="AE135" s="28" t="s">
        <v>401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4" t="s">
        <v>40</v>
      </c>
      <c r="AL135" s="8">
        <f t="shared" si="47"/>
        <v>45232.537038047747</v>
      </c>
      <c r="AM135" s="8">
        <f>IFERROR(C135*_xlfn.XLOOKUP(E135,Groups!A:A,Groups!K:K),0.106*C135^0.94)</f>
        <v>22.583883248956447</v>
      </c>
      <c r="AN135" s="8">
        <f>AM135*10000/(_xlfn.XLOOKUP(E135,Groups!A:A,Groups!J:J)*AL135)</f>
        <v>4.5805874047190045</v>
      </c>
      <c r="AO135" s="8">
        <f t="shared" si="48"/>
        <v>6727.6590375392534</v>
      </c>
      <c r="AP135" s="8">
        <f>IF(_xlfn.XLOOKUP(E135,Groups!A:A,Groups!M:M)=1,EXP(0.7444*LN('Base stats'!C135)+6.5696),EXP(0.7927*LN('Base stats'!C135)+4.28))</f>
        <v>6643.4453742121968</v>
      </c>
      <c r="AQ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"No")))))))))))))))</f>
        <v>3903.8946162505104</v>
      </c>
      <c r="AR135" s="8">
        <f>IF(_xlfn.XLOOKUP(E135,Groups!A:A,Groups!U:U)=3,AP135,IF(_xlfn.XLOOKUP(E135,Groups!A:A,Groups!U:U)=2,AO135,AQ135))</f>
        <v>3903.8946162505104</v>
      </c>
      <c r="AS135" s="46">
        <f>IFERROR(AVERAGE(_xlfn.XLOOKUP(B135,Animals!B:B,Animals!M:M),_xlfn.XLOOKUP(B135,Animals!B:B,Animals!N:N)),0)</f>
        <v>0</v>
      </c>
      <c r="AT135" s="8">
        <f>MROUND(40*Animals!AN135*_xlfn.XLOOKUP(Animals!AZ135,Leathers!$A$2:$A$100,Leathers!$B$2:$B$100,0)+(140*_xlfn.XLOOKUP(B135,Animals!B:B,Animals!AN:AN)*2),5)</f>
        <v>820</v>
      </c>
      <c r="AU135" s="8">
        <f>IFERROR(ROUND(SQRT(V135-1)*IF(_xlfn.XLOOKUP(E135,Groups!A:A,Groups!BE:BE)=0,2,1)*IF(_xlfn.XLOOKUP('Base stats'!E135,Groups!A:A,Groups!O:O)=0,1,0.1),1),0)</f>
        <v>0.7</v>
      </c>
      <c r="AV135" s="8">
        <f t="shared" si="49"/>
        <v>0</v>
      </c>
      <c r="AW135" s="8">
        <f t="shared" si="50"/>
        <v>0</v>
      </c>
      <c r="AX135" s="8">
        <f t="shared" si="51"/>
        <v>6.2</v>
      </c>
      <c r="AY135" s="8">
        <f>IF(_xlfn.XLOOKUP(E135,Groups!A:A,Groups!N:N)="Insect",BA135*2.5,IFERROR(AVERAGE(BA135,AQ135/9.81/IF(OR(_xlfn.XLOOKUP(E135,Groups!A:A,Groups!N:N)="Pig",_xlfn.XLOOKUP(E135,Groups!A:A,Groups!N:N)="StrongBitingHerbivore"),20,25))*C135^-0.135,BA135))</f>
        <v>5.2756177964333748</v>
      </c>
      <c r="AZ135" s="8" t="str">
        <f>IF(W135="No","No",IF(_xlfn.XLOOKUP(E135,Groups!A:A,Groups!U:U)=1,'Base stats'!AY135,IF(OR(_xlfn.XLOOKUP(E135,Groups!A:A,Groups!BC:BC)=1,_xlfn.XLOOKUP(E135,Groups!A:A,Groups!U:U)=2),BA135,IF(_xlfn.XLOOKUP(B135,Animals!B:B,Animals!AN:AN)&gt;4,AVERAGE(BA135,BC135),BC135))))</f>
        <v>No</v>
      </c>
      <c r="BA135" s="8">
        <f>(0.0392*C135^IF(OR(Y135="Herbivore",Y135="Dendrovore",Y135="OmnivoreRough"),0.889,0.966))*C135^-0.135</f>
        <v>2.8909095959911428</v>
      </c>
      <c r="BB135" s="8">
        <f>IF(_xlfn.XLOOKUP(E135,Groups!A:A,Groups!BD:BD)=1,(0.048*C135^1.01)+(0.071*C135^1.03),0.071*C135^1.03)/IF(_xlfn.XLOOKUP(E135,Groups!A:A,Groups!M:M)=1,0.85,IF(OR(_xlfn.XLOOKUP(B135,Animals!B:B,Animals!AN:AN)&gt;4,_xlfn.XLOOKUP(E135,Groups!A:A,Groups!BB:BB)=1),1.7,1))*C135^-0.25</f>
        <v>6.0731206800415984</v>
      </c>
      <c r="BC135" s="8">
        <f>(0.048*C135^1.01)/IF(_xlfn.XLOOKUP(E135,Groups!A:A,Groups!M:M)=1,0.25,0.8)*C135^-0.25</f>
        <v>4.5789132301471973</v>
      </c>
      <c r="BD135" s="8">
        <f>EXP(1.076*LN(AO135)-4.5397)*IF(_xlfn.XLOOKUP(E135,Groups!A:A,Groups!BB:BB)=1,1.25,IF(_xlfn.XLOOKUP(E135,Groups!A:A,Groups!BC:BC)=1,3.5,2.5))</f>
        <v>350.87706705299746</v>
      </c>
      <c r="BE135" s="8">
        <f>EXP(1.076*LN(AP135)-4.5397)*IF(_xlfn.XLOOKUP(E135,Groups!A:A,Groups!M:M)=1,0.8,IF(_xlfn.XLOOKUP(E135,Groups!A:A,Groups!BB:BB)=1,1.3,3))</f>
        <v>415.38409131078117</v>
      </c>
      <c r="BF135" s="8" t="str">
        <f>IF(W135="No","No",IF(_xlfn.XLOOKUP(E135,Groups!A:A,Groups!U:U)=1,'Base stats'!BG135,IF(OR(_xlfn.XLOOKUP(E135,Groups!A:A,Groups!BC:BC)=1,_xlfn.XLOOKUP(E135,Groups!A:A,Groups!U:U)=2),BD135,BE135))*1.2)</f>
        <v>No</v>
      </c>
      <c r="BG135" s="8">
        <f>IFERROR(EXP(1.076*LN(AQ135)-4.5397)*IF(_xlfn.XLOOKUP(E135,Groups!A:A,Groups!N:N)="Insect",1,IF(OR(_xlfn.XLOOKUP(E135,Groups!A:A,Groups!N:N)="Pig",_xlfn.XLOOKUP(E135,Groups!A:A,Groups!N:N)="StrongBitingHerbivore"),3.5,3.75)),"No")</f>
        <v>273.49747737634067</v>
      </c>
      <c r="BH135" s="8">
        <f t="shared" si="52"/>
        <v>15</v>
      </c>
      <c r="BI135" s="8">
        <f t="shared" si="53"/>
        <v>11</v>
      </c>
      <c r="BJ135" s="8" t="str">
        <f>IF(W135="No","No",ROUNDDOWN(SQRT((2*BF135)/AZ135),0))</f>
        <v>No</v>
      </c>
      <c r="BK135" s="8">
        <f>IF(V135="No","No",ROUNDDOWN(SQRT((2*BG135)/AY135),0))</f>
        <v>10</v>
      </c>
      <c r="BL135" s="8">
        <f t="shared" si="54"/>
        <v>13</v>
      </c>
      <c r="BM135" s="8" cm="1">
        <f t="array" ref="BM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stats'!E135,Groups!A:A,Groups!P:P=0)),"No",IF(U135="No",AVERAGE(EXP(-0.57+0.99*LN(C135)),EXP(0.32+0.67*LN(C135)))/IF(_xlfn.XLOOKUP(E135,Groups!A:A,Groups!AD:AD)=1,10,2),(0.7354*C135^0.4078)*2/IF(_xlfn.XLOOKUP(E135,Groups!A:A,Groups!BJ:BJ)=1,1000,100)))</f>
        <v>55.787544953852205</v>
      </c>
      <c r="BN135" s="8" t="str">
        <f>IF(W135="No","No",IF(_xlfn.XLOOKUP(E135,Groups!A:A,Groups!BC:BC)=1,(AL135*5%),EXP(0.7354*LN(C135)^0.4078)*2/IF(_xlfn.XLOOKUP(E135,Groups!A:A,Groups!BK:BK)=1,1000,100)))</f>
        <v>No</v>
      </c>
      <c r="BO135" s="8">
        <f>IF(BG135="No","No",IF(_xlfn.XLOOKUP(E135,Groups!A:A,Groups!BE:BE)=1,(0.0315*C135+2.1825)*2,(0.7354*C135^0.4078)*2)/IF(_xlfn.XLOOKUP(E135,Groups!A:A,Groups!BL:BL)=1,1000,100))</f>
        <v>0.23264943299999999</v>
      </c>
      <c r="BP135" s="8">
        <f>BD135/(AL135*5%)</f>
        <v>0.15514365986495698</v>
      </c>
      <c r="BQ135" s="8">
        <f t="shared" si="55"/>
        <v>7.4458213146749763</v>
      </c>
      <c r="BR135" s="8" t="str">
        <f>IF(W135="No","No",BF135/BN135)</f>
        <v>No</v>
      </c>
      <c r="BS135" s="8">
        <f t="shared" si="56"/>
        <v>1175.5776657162139</v>
      </c>
      <c r="BT135" s="4">
        <v>0</v>
      </c>
      <c r="BU135" s="4">
        <v>1</v>
      </c>
    </row>
    <row r="136" spans="1:73" x14ac:dyDescent="0.25">
      <c r="A136" s="26" t="s">
        <v>488</v>
      </c>
      <c r="B136" s="6" t="s">
        <v>493</v>
      </c>
      <c r="C136" s="7">
        <f>97.5</f>
        <v>97.5</v>
      </c>
      <c r="E136" s="7" t="s">
        <v>174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617</v>
      </c>
      <c r="L136" s="7">
        <v>10</v>
      </c>
      <c r="M136" s="7" t="s">
        <v>538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_xlfn.XLOOKUP(B136,[1]TeethAdjusters!$A:$A,[1]BiteAdjusters!$C:$C)</f>
        <v>1</v>
      </c>
      <c r="T136" s="7">
        <f>_xlfn.XLOOKUP(B136,[1]TeethAdjusters!$A:$A,[1]TeethAdjusters!$B:$B)</f>
        <v>1</v>
      </c>
      <c r="U136" s="7" t="s">
        <v>45</v>
      </c>
      <c r="V136" s="7">
        <v>2.5</v>
      </c>
      <c r="W136" s="7" t="s">
        <v>45</v>
      </c>
      <c r="X136" s="7" t="s">
        <v>945</v>
      </c>
      <c r="Y136" s="4" t="s">
        <v>56</v>
      </c>
      <c r="Z136" s="4">
        <v>0</v>
      </c>
      <c r="AA136" s="4">
        <v>0</v>
      </c>
      <c r="AB136" s="4">
        <v>0</v>
      </c>
      <c r="AC136" s="4" t="s">
        <v>45</v>
      </c>
      <c r="AD136" s="4" t="s">
        <v>45</v>
      </c>
      <c r="AE136" s="28" t="s">
        <v>395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4">
        <v>15</v>
      </c>
      <c r="AL136" s="8">
        <f t="shared" si="47"/>
        <v>21785.923735331184</v>
      </c>
      <c r="AM136" s="8">
        <f>IFERROR(C136*_xlfn.XLOOKUP(E136,Groups!A:A,Groups!K:K),0.106*C136^0.94)</f>
        <v>7.8518176318743418</v>
      </c>
      <c r="AN136" s="8">
        <f>AM136*10000/(_xlfn.XLOOKUP(E136,Groups!A:A,Groups!J:J)*AL136)</f>
        <v>3.3064939095886858</v>
      </c>
      <c r="AO136" s="8">
        <f t="shared" si="48"/>
        <v>2603.4722236588386</v>
      </c>
      <c r="AP136" s="8">
        <f>IF(_xlfn.XLOOKUP(E136,Groups!A:A,Groups!M:M)=1,EXP(0.7444*LN('Base stats'!C136)+6.5696),EXP(0.7927*LN('Base stats'!C136)+4.28))</f>
        <v>2725.6139379277884</v>
      </c>
      <c r="AQ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"No")))))))))))))))</f>
        <v>1059.1880723255072</v>
      </c>
      <c r="AR136" s="8">
        <f>IF(_xlfn.XLOOKUP(E136,Groups!A:A,Groups!U:U)=3,AP136,IF(_xlfn.XLOOKUP(E136,Groups!A:A,Groups!U:U)=2,AO136,AQ136))</f>
        <v>1059.1880723255072</v>
      </c>
      <c r="AS136" s="46">
        <f>IFERROR(AVERAGE(_xlfn.XLOOKUP(B136,Animals!B:B,Animals!M:M),_xlfn.XLOOKUP(B136,Animals!B:B,Animals!N:N)),0)</f>
        <v>0</v>
      </c>
      <c r="AT136" s="8">
        <f>MROUND(40*Animals!AN136*_xlfn.XLOOKUP(Animals!AZ136,Leathers!$A$2:$A$100,Leathers!$B$2:$B$100,0)+(140*_xlfn.XLOOKUP(B136,Animals!B:B,Animals!AN:AN)*2),5)</f>
        <v>545</v>
      </c>
      <c r="AU136" s="8">
        <f>IFERROR(ROUND(SQRT(V136-1)*IF(_xlfn.XLOOKUP(E136,Groups!A:A,Groups!BE:BE)=0,2,1)*IF(_xlfn.XLOOKUP('Base stats'!E136,Groups!A:A,Groups!O:O)=0,1,0.1),1),0)</f>
        <v>2.4</v>
      </c>
      <c r="AV136" s="8">
        <f t="shared" si="49"/>
        <v>0</v>
      </c>
      <c r="AW136" s="8">
        <f t="shared" si="50"/>
        <v>0</v>
      </c>
      <c r="AX136" s="8">
        <f t="shared" si="51"/>
        <v>4.0999999999999996</v>
      </c>
      <c r="AY136" s="8">
        <f>IF(_xlfn.XLOOKUP(E136,Groups!A:A,Groups!N:N)="Insect",BA136*2.5,IFERROR(AVERAGE(BA136,AQ136/9.81/IF(OR(_xlfn.XLOOKUP(E136,Groups!A:A,Groups!N:N)="Pig",_xlfn.XLOOKUP(E136,Groups!A:A,Groups!N:N)="StrongBitingHerbivore"),20,25))*C136^-0.135,BA136))</f>
        <v>1.6385406959415951</v>
      </c>
      <c r="AZ136" s="8" t="str">
        <f>IF(W136="No","No",IF(_xlfn.XLOOKUP(E136,Groups!A:A,Groups!U:U)=1,'Base stats'!AY136,IF(OR(_xlfn.XLOOKUP(E136,Groups!A:A,Groups!BC:BC)=1,_xlfn.XLOOKUP(E136,Groups!A:A,Groups!U:U)=2),BA136,IF(_xlfn.XLOOKUP(B136,Animals!B:B,Animals!AN:AN)&gt;4,AVERAGE(BA136,BC136),BC136))))</f>
        <v>No</v>
      </c>
      <c r="BA136" s="8">
        <f>(0.0392*C136^IF(OR(Y136="Herbivore",Y136="Dendrovore",Y136="OmnivoreRough"),0.889,0.966))*C136^-0.135</f>
        <v>1.762580262959909</v>
      </c>
      <c r="BB136" s="8">
        <f>IF(_xlfn.XLOOKUP(E136,Groups!A:A,Groups!BD:BD)=1,(0.048*C136^1.01)+(0.071*C136^1.03),0.071*C136^1.03)/IF(_xlfn.XLOOKUP(E136,Groups!A:A,Groups!M:M)=1,0.85,IF(OR(_xlfn.XLOOKUP(B136,Animals!B:B,Animals!AN:AN)&gt;4,_xlfn.XLOOKUP(E136,Groups!A:A,Groups!BB:BB)=1),1.7,1))*C136^-0.25</f>
        <v>2.5274463695203462</v>
      </c>
      <c r="BC136" s="8">
        <f>(0.048*C136^1.01)/IF(_xlfn.XLOOKUP(E136,Groups!A:A,Groups!M:M)=1,0.25,0.8)*C136^-0.25</f>
        <v>1.9489233473323746</v>
      </c>
      <c r="BD136" s="8">
        <f>EXP(1.076*LN(AO136)-4.5397)*IF(_xlfn.XLOOKUP(E136,Groups!A:A,Groups!BB:BB)=1,1.25,IF(_xlfn.XLOOKUP(E136,Groups!A:A,Groups!BC:BC)=1,3.5,2.5))</f>
        <v>126.33053106883851</v>
      </c>
      <c r="BE136" s="8">
        <f>EXP(1.076*LN(AP136)-4.5397)*IF(_xlfn.XLOOKUP(E136,Groups!A:A,Groups!M:M)=1,0.8,IF(_xlfn.XLOOKUP(E136,Groups!A:A,Groups!BB:BB)=1,1.3,3))</f>
        <v>159.26275591713232</v>
      </c>
      <c r="BF136" s="8" t="str">
        <f>IF(W136="No","No",IF(_xlfn.XLOOKUP(E136,Groups!A:A,Groups!U:U)=1,'Base stats'!BG136,IF(OR(_xlfn.XLOOKUP(E136,Groups!A:A,Groups!BC:BC)=1,_xlfn.XLOOKUP(E136,Groups!A:A,Groups!U:U)=2),BD136,BE136))*1.2)</f>
        <v>No</v>
      </c>
      <c r="BG136" s="8">
        <f>IFERROR(EXP(1.076*LN(AQ136)-4.5397)*IF(_xlfn.XLOOKUP(E136,Groups!A:A,Groups!N:N)="Insect",1,IF(OR(_xlfn.XLOOKUP(E136,Groups!A:A,Groups!N:N)="Pig",_xlfn.XLOOKUP(E136,Groups!A:A,Groups!N:N)="StrongBitingHerbivore"),3.5,3.75)),"No")</f>
        <v>72.000521807131562</v>
      </c>
      <c r="BH136" s="8">
        <f t="shared" si="52"/>
        <v>11</v>
      </c>
      <c r="BI136" s="8">
        <f t="shared" si="53"/>
        <v>11</v>
      </c>
      <c r="BJ136" s="8" t="str">
        <f>IF(W136="No","No",ROUNDDOWN(SQRT((2*BF136)/AZ136),0))</f>
        <v>No</v>
      </c>
      <c r="BK136" s="8">
        <f>IF(V136="No","No",ROUNDDOWN(SQRT((2*BG136)/AY136),0))</f>
        <v>9</v>
      </c>
      <c r="BL136" s="8">
        <f t="shared" si="54"/>
        <v>12</v>
      </c>
      <c r="BM136" s="8" t="str" cm="1">
        <f t="array" ref="BM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stats'!E136,Groups!A:A,Groups!P:P=0)),"No",IF(U136="No",AVERAGE(EXP(-0.57+0.99*LN(C136)),EXP(0.32+0.67*LN(C136)))/IF(_xlfn.XLOOKUP(E136,Groups!A:A,Groups!AD:AD)=1,10,2),(0.7354*C136^0.4078)*2/IF(_xlfn.XLOOKUP(E136,Groups!A:A,Groups!BJ:BJ)=1,1000,100)))</f>
        <v>No</v>
      </c>
      <c r="BN136" s="8" t="str">
        <f>IF(W136="No","No",IF(_xlfn.XLOOKUP(E136,Groups!A:A,Groups!BC:BC)=1,(AL136*5%),EXP(0.7354*LN(C136)^0.4078)*2/IF(_xlfn.XLOOKUP(E136,Groups!A:A,Groups!BK:BK)=1,1000,100)))</f>
        <v>No</v>
      </c>
      <c r="BO136" s="8">
        <f>IF(BG136="No","No",IF(_xlfn.XLOOKUP(E136,Groups!A:A,Groups!BE:BE)=1,(0.0315*C136+2.1825)*2,(0.7354*C136^0.4078)*2)/IF(_xlfn.XLOOKUP(E136,Groups!A:A,Groups!BL:BL)=1,1000,100))</f>
        <v>9.5207180387259671E-2</v>
      </c>
      <c r="BP136" s="8">
        <f>BD136/(AL136*5%)</f>
        <v>0.11597445451804531</v>
      </c>
      <c r="BQ136" s="8" t="str">
        <f t="shared" si="55"/>
        <v>No</v>
      </c>
      <c r="BR136" s="8" t="str">
        <f>IF(W136="No","No",BF136/BN136)</f>
        <v>No</v>
      </c>
      <c r="BS136" s="8">
        <f t="shared" si="56"/>
        <v>756.25096252473884</v>
      </c>
      <c r="BT136" s="4">
        <v>0</v>
      </c>
      <c r="BU136" s="4">
        <v>1</v>
      </c>
    </row>
    <row r="137" spans="1:73" x14ac:dyDescent="0.25">
      <c r="A137" s="26" t="s">
        <v>467</v>
      </c>
      <c r="B137" s="6" t="s">
        <v>239</v>
      </c>
      <c r="C137" s="7">
        <f>AVERAGE(4000,2700)</f>
        <v>3350</v>
      </c>
      <c r="E137" s="7" t="s">
        <v>72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591</v>
      </c>
      <c r="L137" s="7">
        <v>26</v>
      </c>
      <c r="M137" s="7" t="s">
        <v>638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_xlfn.XLOOKUP(B137,[1]TeethAdjusters!$A:$A,[1]BiteAdjusters!$C:$C)</f>
        <v>1</v>
      </c>
      <c r="T137" s="7">
        <f>_xlfn.XLOOKUP(B137,[1]TeethAdjusters!$A:$A,[1]TeethAdjusters!$B:$B)</f>
        <v>1</v>
      </c>
      <c r="U137" s="7" t="s">
        <v>45</v>
      </c>
      <c r="V137" s="7" t="str">
        <f>IF(AQ137="No","No",IF(_xlfn.XLOOKUP(E137,Groups!A:A,Groups!AM:AM)=1,MROUND(EXP(0.3582*LN(C137)-0.2221)*T137,0.05),IF(_xlfn.XLOOKUP(E137,Groups!A:A,Groups!AM:AM)=2,MROUND(EXP(0.3582*LN(C137)-0.2221)*T137,0.05),"Need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977</v>
      </c>
      <c r="Y137" s="4" t="s">
        <v>42</v>
      </c>
      <c r="Z137" s="4">
        <v>0</v>
      </c>
      <c r="AA137" s="4">
        <v>0</v>
      </c>
      <c r="AB137" s="4">
        <v>0</v>
      </c>
      <c r="AC137" s="4" t="s">
        <v>45</v>
      </c>
      <c r="AD137" s="4" t="s">
        <v>407</v>
      </c>
      <c r="AE137" s="28" t="s">
        <v>389</v>
      </c>
      <c r="AF137" s="4">
        <v>1</v>
      </c>
      <c r="AG137" s="4">
        <v>0</v>
      </c>
      <c r="AH137" s="4">
        <v>0</v>
      </c>
      <c r="AI137" s="4">
        <v>0</v>
      </c>
      <c r="AJ137" s="4">
        <v>0</v>
      </c>
      <c r="AK137" s="44" t="s">
        <v>40</v>
      </c>
      <c r="AL137" s="8">
        <f t="shared" si="47"/>
        <v>217071.14814899839</v>
      </c>
      <c r="AM137" s="8">
        <f>IFERROR(C137*_xlfn.XLOOKUP(E137,Groups!A:A,Groups!K:K),0.106*C137^0.94)</f>
        <v>268</v>
      </c>
      <c r="AN137" s="8">
        <f>AM137*10000/(_xlfn.XLOOKUP(E137,Groups!A:A,Groups!J:J)*AL137)</f>
        <v>11.326772891266987</v>
      </c>
      <c r="AO137" s="8">
        <f t="shared" si="48"/>
        <v>51647.118719880513</v>
      </c>
      <c r="AP137" s="8">
        <f>IF(_xlfn.XLOOKUP(E137,Groups!A:A,Groups!M:M)=1,EXP(0.7444*LN('Base stats'!C137)+6.5696),EXP(0.7927*LN('Base stats'!C137)+4.28))</f>
        <v>44986.623805297131</v>
      </c>
      <c r="AQ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"No")))))))))))))))</f>
        <v>No</v>
      </c>
      <c r="AR137" s="8">
        <f>IF(_xlfn.XLOOKUP(E137,Groups!A:A,Groups!U:U)=3,AP137,IF(_xlfn.XLOOKUP(E137,Groups!A:A,Groups!U:U)=2,AO137,AQ137))</f>
        <v>44986.623805297131</v>
      </c>
      <c r="AS137" s="46">
        <f>IFERROR(AVERAGE(_xlfn.XLOOKUP(B137,Animals!B:B,Animals!M:M),_xlfn.XLOOKUP(B137,Animals!B:B,Animals!N:N)),0)</f>
        <v>0</v>
      </c>
      <c r="AT137" s="8">
        <f>MROUND(40*Animals!AN137*_xlfn.XLOOKUP(Animals!AZ137,Leathers!$A$2:$A$100,Leathers!$B$2:$B$100,0)+(140*_xlfn.XLOOKUP(B137,Animals!B:B,Animals!AN:AN)*2),5)</f>
        <v>1800</v>
      </c>
      <c r="AU137" s="8">
        <f>IFERROR(ROUND(SQRT(V137-1)*IF(_xlfn.XLOOKUP(E137,Groups!A:A,Groups!BE:BE)=0,2,1)*IF(_xlfn.XLOOKUP('Base stats'!E137,Groups!A:A,Groups!O:O)=0,1,0.1),1),0)</f>
        <v>0</v>
      </c>
      <c r="AV137" s="8">
        <f t="shared" si="49"/>
        <v>0</v>
      </c>
      <c r="AW137" s="8">
        <f t="shared" si="50"/>
        <v>11.7</v>
      </c>
      <c r="AX137" s="8">
        <f t="shared" si="51"/>
        <v>14.7</v>
      </c>
      <c r="AY137" s="8">
        <f>IF(_xlfn.XLOOKUP(E137,Groups!A:A,Groups!N:N)="Insect",BA137*2.5,IFERROR(AVERAGE(BA137,AQ137/9.81/IF(OR(_xlfn.XLOOKUP(E137,Groups!A:A,Groups!N:N)="Pig",_xlfn.XLOOKUP(E137,Groups!A:A,Groups!N:N)="StrongBitingHerbivore"),20,25))*C137^-0.135,BA137))</f>
        <v>17.830759878243917</v>
      </c>
      <c r="AZ137" s="8">
        <f>IF(W137="No","No",IF(_xlfn.XLOOKUP(E137,Groups!A:A,Groups!U:U)=1,'Base stats'!AY137,IF(OR(_xlfn.XLOOKUP(E137,Groups!A:A,Groups!BC:BC)=1,_xlfn.XLOOKUP(E137,Groups!A:A,Groups!U:U)=2),BA137,IF(_xlfn.XLOOKUP(B137,Animals!B:B,Animals!AN:AN)&gt;4,AVERAGE(BA137,BC137),BC137))))</f>
        <v>23.2423814954828</v>
      </c>
      <c r="BA137" s="8">
        <f>(0.0392*C137^IF(OR(Y137="Herbivore",Y137="Dendrovore",Y137="OmnivoreRough"),0.889,0.966))*C137^-0.135</f>
        <v>17.830759878243917</v>
      </c>
      <c r="BB137" s="8">
        <f>IF(_xlfn.XLOOKUP(E137,Groups!A:A,Groups!BD:BD)=1,(0.048*C137^1.01)+(0.071*C137^1.03),0.071*C137^1.03)/IF(_xlfn.XLOOKUP(E137,Groups!A:A,Groups!M:M)=1,0.85,IF(OR(_xlfn.XLOOKUP(B137,Animals!B:B,Animals!AN:AN)&gt;4,_xlfn.XLOOKUP(E137,Groups!A:A,Groups!BB:BB)=1),1.7,1))*C137^-0.25</f>
        <v>23.460884250587643</v>
      </c>
      <c r="BC137" s="8">
        <f>(0.048*C137^1.01)/IF(_xlfn.XLOOKUP(E137,Groups!A:A,Groups!M:M)=1,0.25,0.8)*C137^-0.25</f>
        <v>28.654003112721682</v>
      </c>
      <c r="BD137" s="8">
        <f>EXP(1.076*LN(AO137)-4.5397)*IF(_xlfn.XLOOKUP(E137,Groups!A:A,Groups!BB:BB)=1,1.25,IF(_xlfn.XLOOKUP(E137,Groups!A:A,Groups!BC:BC)=1,3.5,2.5))</f>
        <v>1572.4648822747822</v>
      </c>
      <c r="BE137" s="8">
        <f>EXP(1.076*LN(AP137)-4.5397)*IF(_xlfn.XLOOKUP(E137,Groups!A:A,Groups!M:M)=1,0.8,IF(_xlfn.XLOOKUP(E137,Groups!A:A,Groups!BB:BB)=1,1.3,3))</f>
        <v>1409.5952654999082</v>
      </c>
      <c r="BF137" s="8">
        <f>IF(W137="No","No",IF(_xlfn.XLOOKUP(E137,Groups!A:A,Groups!U:U)=1,'Base stats'!BG137,IF(OR(_xlfn.XLOOKUP(E137,Groups!A:A,Groups!BC:BC)=1,_xlfn.XLOOKUP(E137,Groups!A:A,Groups!U:U)=2),BD137,BE137))*1.2)</f>
        <v>1691.5143185998897</v>
      </c>
      <c r="BG137" s="8" t="str">
        <f>IFERROR(EXP(1.076*LN(AQ137)-4.5397)*IF(_xlfn.XLOOKUP(E137,Groups!A:A,Groups!N:N)="Insect",1,IF(OR(_xlfn.XLOOKUP(E137,Groups!A:A,Groups!N:N)="Pig",_xlfn.XLOOKUP(E137,Groups!A:A,Groups!N:N)="StrongBitingHerbivore"),3.5,3.75)),"No")</f>
        <v>No</v>
      </c>
      <c r="BH137" s="8">
        <f t="shared" si="52"/>
        <v>13</v>
      </c>
      <c r="BI137" s="8">
        <f t="shared" si="53"/>
        <v>10</v>
      </c>
      <c r="BJ137" s="8">
        <f>IF(W137="No","No",ROUNDDOWN(SQRT((2*BF137)/AZ137),0))</f>
        <v>12</v>
      </c>
      <c r="BK137" s="8" t="str">
        <f>IF(V137="No","No",ROUNDDOWN(SQRT((2*BG137)/AY137),0))</f>
        <v>No</v>
      </c>
      <c r="BL137" s="8">
        <f t="shared" si="54"/>
        <v>9</v>
      </c>
      <c r="BM137" s="8" cm="1">
        <f t="array" ref="BM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stats'!E137,Groups!A:A,Groups!P:P=0)),"No",IF(U137="No",AVERAGE(EXP(-0.57+0.99*LN(C137)),EXP(0.32+0.67*LN(C137)))/IF(_xlfn.XLOOKUP(E137,Groups!A:A,Groups!AD:AD)=1,10,2),(0.7354*C137^0.4078)*2/IF(_xlfn.XLOOKUP(E137,Groups!A:A,Groups!BJ:BJ)=1,1000,100)))</f>
        <v>515.8977012888156</v>
      </c>
      <c r="BN137" s="8">
        <f>IF(W137="No","No",IF(_xlfn.XLOOKUP(E137,Groups!A:A,Groups!BC:BC)=1,(AL137*5%),EXP(0.7354*LN(C137)^0.4078)*2/IF(_xlfn.XLOOKUP(E137,Groups!A:A,Groups!BK:BK)=1,1000,100)))</f>
        <v>0.11250940885033911</v>
      </c>
      <c r="BO137" s="8" t="str">
        <f>IF(BG137="No","No",IF(_xlfn.XLOOKUP(E137,Groups!A:A,Groups!BE:BE)=1,(0.0315*C137+2.1825)*2,(0.7354*C137^0.4078)*2)/IF(_xlfn.XLOOKUP(E137,Groups!A:A,Groups!BL:BL)=1,1000,100))</f>
        <v>No</v>
      </c>
      <c r="BP137" s="8">
        <f>BD137/(AL137*5%)</f>
        <v>0.14488013682918716</v>
      </c>
      <c r="BQ137" s="8">
        <f t="shared" si="55"/>
        <v>2.7323154609498306</v>
      </c>
      <c r="BR137" s="8">
        <f>IF(W137="No","No",BF137/BN137)</f>
        <v>15034.425439475513</v>
      </c>
      <c r="BS137" s="8" t="str">
        <f t="shared" si="56"/>
        <v>No</v>
      </c>
      <c r="BT137" s="4">
        <v>0</v>
      </c>
      <c r="BU137" s="4">
        <v>1</v>
      </c>
    </row>
    <row r="138" spans="1:73" x14ac:dyDescent="0.25">
      <c r="A138" s="26" t="s">
        <v>489</v>
      </c>
      <c r="B138" s="6" t="s">
        <v>494</v>
      </c>
      <c r="C138" s="7">
        <v>500</v>
      </c>
      <c r="E138" s="7" t="s">
        <v>104</v>
      </c>
      <c r="F138" s="7">
        <v>78</v>
      </c>
      <c r="G138" s="7">
        <v>5</v>
      </c>
      <c r="H138" s="7">
        <v>30</v>
      </c>
      <c r="I138" s="4">
        <v>0</v>
      </c>
      <c r="J138" s="7">
        <v>3</v>
      </c>
      <c r="K138" s="7" t="s">
        <v>538</v>
      </c>
      <c r="L138" s="7">
        <f>MIN(20*C138^0.183,19.9*C138^0.142)</f>
        <v>48.095762797645982</v>
      </c>
      <c r="M138" s="7" t="s">
        <v>638</v>
      </c>
      <c r="N138" s="4">
        <v>0</v>
      </c>
      <c r="O138" s="4">
        <v>0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_xlfn.XLOOKUP(B138,[1]TeethAdjusters!$A:$A,[1]BiteAdjusters!$C:$C)</f>
        <v>2.1970451716078339</v>
      </c>
      <c r="T138" s="7">
        <f>_xlfn.XLOOKUP(B138,[1]TeethAdjusters!$A:$A,[1]TeethAdjusters!$B:$B)</f>
        <v>1.1999813567066198</v>
      </c>
      <c r="U138" s="7">
        <v>10</v>
      </c>
      <c r="V138" s="7">
        <f>IF(AQ138="No","No",IF(_xlfn.XLOOKUP(E138,Groups!A:A,Groups!AM:AM)=1,MROUND(EXP(0.3582*LN(C138)-0.2221)*T138,0.05),IF(_xlfn.XLOOKUP(E138,Groups!A:A,Groups!AM:AM)=2,MROUND(EXP(0.3582*LN(C138)-0.2221)*T138,0.05),"Need a formula")))</f>
        <v>8.9</v>
      </c>
      <c r="W138" s="7" t="s">
        <v>45</v>
      </c>
      <c r="X138" s="7" t="s">
        <v>945</v>
      </c>
      <c r="Y138" s="4" t="s">
        <v>56</v>
      </c>
      <c r="Z138" s="4">
        <v>0</v>
      </c>
      <c r="AA138" s="4">
        <v>0</v>
      </c>
      <c r="AB138" s="4">
        <v>0</v>
      </c>
      <c r="AC138" s="4" t="s">
        <v>45</v>
      </c>
      <c r="AD138" s="4" t="s">
        <v>45</v>
      </c>
      <c r="AE138" s="28" t="s">
        <v>391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4" t="s">
        <v>40</v>
      </c>
      <c r="AL138" s="8">
        <f t="shared" si="47"/>
        <v>63045.411191767809</v>
      </c>
      <c r="AM138" s="8">
        <f>IFERROR(C138*_xlfn.XLOOKUP(E138,Groups!A:A,Groups!K:K),0.106*C138^0.94)</f>
        <v>62.375</v>
      </c>
      <c r="AN138" s="8">
        <f>AM138*10000/(_xlfn.XLOOKUP(E138,Groups!A:A,Groups!J:J)*AL138)</f>
        <v>9.0767542887679653</v>
      </c>
      <c r="AO138" s="8">
        <f t="shared" si="48"/>
        <v>10357.637618796818</v>
      </c>
      <c r="AP138" s="8">
        <f>IF(_xlfn.XLOOKUP(E138,Groups!A:A,Groups!M:M)=1,EXP(0.7444*LN('Base stats'!C138)+6.5696),EXP(0.7927*LN('Base stats'!C138)+4.28))</f>
        <v>9959.8753916241294</v>
      </c>
      <c r="AQ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"No")))))))))))))))</f>
        <v>15678.866100276233</v>
      </c>
      <c r="AR138" s="8">
        <f>IF(_xlfn.XLOOKUP(E138,Groups!A:A,Groups!U:U)=3,AP138,IF(_xlfn.XLOOKUP(E138,Groups!A:A,Groups!U:U)=2,AO138,AQ138))</f>
        <v>15678.866100276233</v>
      </c>
      <c r="AS138" s="46">
        <f>IFERROR(AVERAGE(_xlfn.XLOOKUP(B138,Animals!B:B,Animals!M:M),_xlfn.XLOOKUP(B138,Animals!B:B,Animals!N:N)),0)</f>
        <v>0</v>
      </c>
      <c r="AT138" s="8">
        <f>MROUND(40*Animals!AN138*_xlfn.XLOOKUP(Animals!AZ138,Leathers!$A$2:$A$100,Leathers!$B$2:$B$100,0)+(140*_xlfn.XLOOKUP(B138,Animals!B:B,Animals!AN:AN)*2),5)</f>
        <v>1135</v>
      </c>
      <c r="AU138" s="8">
        <f>IFERROR(ROUND(SQRT(V138-1)*IF(_xlfn.XLOOKUP(E138,Groups!A:A,Groups!BE:BE)=0,2,1)*IF(_xlfn.XLOOKUP('Base stats'!E138,Groups!A:A,Groups!O:O)=0,1,0.1),1),0)</f>
        <v>5.6</v>
      </c>
      <c r="AV138" s="8">
        <f t="shared" si="49"/>
        <v>3</v>
      </c>
      <c r="AW138" s="8">
        <f t="shared" si="50"/>
        <v>0</v>
      </c>
      <c r="AX138" s="8">
        <f t="shared" si="51"/>
        <v>7.4</v>
      </c>
      <c r="AY138" s="8">
        <f>IF(_xlfn.XLOOKUP(E138,Groups!A:A,Groups!N:N)="Insect",BA138*2.5,IFERROR(AVERAGE(BA138,AQ138/9.81/IF(OR(_xlfn.XLOOKUP(E138,Groups!A:A,Groups!N:N)="Pig",_xlfn.XLOOKUP(E138,Groups!A:A,Groups!N:N)="StrongBitingHerbivore"),20,25))*C138^-0.135,BA138))</f>
        <v>15.295476566855196</v>
      </c>
      <c r="AZ138" s="8" t="str">
        <f>IF(W138="No","No",IF(_xlfn.XLOOKUP(E138,Groups!A:A,Groups!U:U)=1,'Base stats'!AY138,IF(OR(_xlfn.XLOOKUP(E138,Groups!A:A,Groups!BC:BC)=1,_xlfn.XLOOKUP(E138,Groups!A:A,Groups!U:U)=2),BA138,IF(_xlfn.XLOOKUP(B138,Animals!B:B,Animals!AN:AN)&gt;4,AVERAGE(BA138,BC138),BC138))))</f>
        <v>No</v>
      </c>
      <c r="BA138" s="8">
        <f>(0.0392*C138^IF(OR(Y138="Herbivore",Y138="Dendrovore",Y138="OmnivoreRough"),0.889,0.966))*C138^-0.135</f>
        <v>6.8569367053883514</v>
      </c>
      <c r="BB138" s="8">
        <f>IF(_xlfn.XLOOKUP(E138,Groups!A:A,Groups!BD:BD)=1,(0.048*C138^1.01)+(0.071*C138^1.03),0.071*C138^1.03)/IF(_xlfn.XLOOKUP(E138,Groups!A:A,Groups!M:M)=1,0.85,IF(OR(_xlfn.XLOOKUP(B138,Animals!B:B,Animals!AN:AN)&gt;4,_xlfn.XLOOKUP(E138,Groups!A:A,Groups!BB:BB)=1),1.7,1))*C138^-0.25</f>
        <v>9.0459660212328927</v>
      </c>
      <c r="BC138" s="8">
        <f>(0.048*C138^1.01)/IF(_xlfn.XLOOKUP(E138,Groups!A:A,Groups!M:M)=1,0.25,0.8)*C138^-0.25</f>
        <v>6.7510053736705169</v>
      </c>
      <c r="BD138" s="8">
        <f>EXP(1.076*LN(AO138)-4.5397)*IF(_xlfn.XLOOKUP(E138,Groups!A:A,Groups!BB:BB)=1,1.25,IF(_xlfn.XLOOKUP(E138,Groups!A:A,Groups!BC:BC)=1,3.5,2.5))</f>
        <v>558.20519715935461</v>
      </c>
      <c r="BE138" s="8">
        <f>EXP(1.076*LN(AP138)-4.5397)*IF(_xlfn.XLOOKUP(E138,Groups!A:A,Groups!M:M)=1,0.8,IF(_xlfn.XLOOKUP(E138,Groups!A:A,Groups!BB:BB)=1,1.3,3))</f>
        <v>642.20812673473438</v>
      </c>
      <c r="BF138" s="8" t="str">
        <f>IF(W138="No","No",IF(_xlfn.XLOOKUP(E138,Groups!A:A,Groups!U:U)=1,'Base stats'!BG138,IF(OR(_xlfn.XLOOKUP(E138,Groups!A:A,Groups!BC:BC)=1,_xlfn.XLOOKUP(E138,Groups!A:A,Groups!U:U)=2),BD138,BE138))*1.2)</f>
        <v>No</v>
      </c>
      <c r="BG138" s="8">
        <f>IFERROR(EXP(1.076*LN(AQ138)-4.5397)*IF(_xlfn.XLOOKUP(E138,Groups!A:A,Groups!N:N)="Insect",1,IF(OR(_xlfn.XLOOKUP(E138,Groups!A:A,Groups!N:N)="Pig",_xlfn.XLOOKUP(E138,Groups!A:A,Groups!N:N)="StrongBitingHerbivore"),3.5,3.75)),"No")</f>
        <v>1308.0464693785887</v>
      </c>
      <c r="BH138" s="8">
        <f t="shared" si="52"/>
        <v>12</v>
      </c>
      <c r="BI138" s="8">
        <f t="shared" si="53"/>
        <v>11</v>
      </c>
      <c r="BJ138" s="8" t="str">
        <f>IF(W138="No","No",ROUNDDOWN(SQRT((2*BF138)/AZ138),0))</f>
        <v>No</v>
      </c>
      <c r="BK138" s="8">
        <f>IF(V138="No","No",ROUNDDOWN(SQRT((2*BG138)/AY138),0))</f>
        <v>13</v>
      </c>
      <c r="BL138" s="8">
        <f t="shared" si="54"/>
        <v>13</v>
      </c>
      <c r="BM138" s="8" cm="1">
        <f t="array" ref="BM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stats'!E138,Groups!A:A,Groups!P:P=0)),"No",IF(U138="No",AVERAGE(EXP(-0.57+0.99*LN(C138)),EXP(0.32+0.67*LN(C138)))/IF(_xlfn.XLOOKUP(E138,Groups!A:A,Groups!AD:AD)=1,10,2),(0.7354*C138^0.4078)*2/IF(_xlfn.XLOOKUP(E138,Groups!A:A,Groups!BJ:BJ)=1,1000,100)))</f>
        <v>0.18543580286977573</v>
      </c>
      <c r="BN138" s="8" t="str">
        <f>IF(W138="No","No",IF(_xlfn.XLOOKUP(E138,Groups!A:A,Groups!BC:BC)=1,(AL138*5%),EXP(0.7354*LN(C138)^0.4078)*2/IF(_xlfn.XLOOKUP(E138,Groups!A:A,Groups!BK:BK)=1,1000,100)))</f>
        <v>No</v>
      </c>
      <c r="BO138" s="8">
        <f>IF(BG138="No","No",IF(_xlfn.XLOOKUP(E138,Groups!A:A,Groups!BE:BE)=1,(0.0315*C138+2.1825)*2,(0.7354*C138^0.4078)*2)/IF(_xlfn.XLOOKUP(E138,Groups!A:A,Groups!BL:BL)=1,1000,100))</f>
        <v>0.18543580286977573</v>
      </c>
      <c r="BP138" s="8">
        <f>BD138/(AL138*5%)</f>
        <v>0.17708035735112868</v>
      </c>
      <c r="BQ138" s="8">
        <f t="shared" si="55"/>
        <v>3463.2369628519464</v>
      </c>
      <c r="BR138" s="8" t="str">
        <f>IF(W138="No","No",BF138/BN138)</f>
        <v>No</v>
      </c>
      <c r="BS138" s="8">
        <f t="shared" si="56"/>
        <v>7053.904635110719</v>
      </c>
      <c r="BT138" s="4">
        <v>0</v>
      </c>
      <c r="BU138" s="4">
        <v>1</v>
      </c>
    </row>
    <row r="139" spans="1:73" s="16" customFormat="1" x14ac:dyDescent="0.25">
      <c r="A139" s="26" t="s">
        <v>498</v>
      </c>
      <c r="B139" s="6" t="s">
        <v>904</v>
      </c>
      <c r="C139" s="7">
        <f>AVERAGE(10,11.3,9.1,10.4)</f>
        <v>10.199999999999999</v>
      </c>
      <c r="D139" s="7"/>
      <c r="E139" s="7" t="s">
        <v>55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517</v>
      </c>
      <c r="L139" s="7">
        <f t="shared" ref="L139:L160" si="57">MIN(37.5*C139^0.089,79.3*C139^-0.072)</f>
        <v>46.110165713347499</v>
      </c>
      <c r="M139" s="7" t="s">
        <v>638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_xlfn.XLOOKUP(B139,[1]TeethAdjusters!$A:$A,[1]BiteAdjusters!$C:$C)</f>
        <v>0.71417487730106877</v>
      </c>
      <c r="T139" s="7">
        <f>_xlfn.XLOOKUP(B139,[1]TeethAdjusters!$A:$A,[1]TeethAdjusters!$B:$B)</f>
        <v>0.95359131166584876</v>
      </c>
      <c r="U139" s="7" t="s">
        <v>45</v>
      </c>
      <c r="V139" s="7">
        <f>IF(AQ139="No","No",IF(_xlfn.XLOOKUP(E139,Groups!A:A,Groups!AM:AM)=1,MROUND(EXP(0.3582*LN(C139)-0.2221)*T139,0.05),IF(_xlfn.XLOOKUP(E139,Groups!A:A,Groups!AM:AM)=2,MROUND(EXP(0.3582*LN(C139)-0.2221)*T139,0.05),"Need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945</v>
      </c>
      <c r="Y139" s="4" t="s">
        <v>53</v>
      </c>
      <c r="Z139" s="4">
        <v>0</v>
      </c>
      <c r="AA139" s="4">
        <v>0</v>
      </c>
      <c r="AB139" s="4">
        <v>0</v>
      </c>
      <c r="AC139" s="4" t="s">
        <v>45</v>
      </c>
      <c r="AD139" s="4" t="s">
        <v>506</v>
      </c>
      <c r="AE139" s="28" t="s">
        <v>388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4" t="s">
        <v>40</v>
      </c>
      <c r="AL139" s="8">
        <f t="shared" si="47"/>
        <v>5022.4207245109683</v>
      </c>
      <c r="AM139" s="8">
        <f>IFERROR(C139*_xlfn.XLOOKUP(E139,Groups!A:A,Groups!K:K),0.106*C139^0.94)</f>
        <v>1.2724499999999999</v>
      </c>
      <c r="AN139" s="8">
        <f>AM139*10000/(_xlfn.XLOOKUP(E139,Groups!A:A,Groups!J:J)*AL139)</f>
        <v>2.3243479292838121</v>
      </c>
      <c r="AO139" s="8">
        <f t="shared" si="48"/>
        <v>386.72773075469576</v>
      </c>
      <c r="AP139" s="8">
        <f>IF(_xlfn.XLOOKUP(E139,Groups!A:A,Groups!M:M)=1,EXP(0.7444*LN('Base stats'!C139)+6.5696),EXP(0.7927*LN('Base stats'!C139)+4.28))</f>
        <v>455.30009266873242</v>
      </c>
      <c r="AQ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"No")))))))))))))))</f>
        <v>653.80842808330351</v>
      </c>
      <c r="AR139" s="8">
        <f>IF(_xlfn.XLOOKUP(E139,Groups!A:A,Groups!U:U)=3,AP139,IF(_xlfn.XLOOKUP(E139,Groups!A:A,Groups!U:U)=2,AO139,AQ139))</f>
        <v>653.80842808330351</v>
      </c>
      <c r="AS139" s="46">
        <f>IFERROR(AVERAGE(_xlfn.XLOOKUP(B139,Animals!B:B,Animals!M:M),_xlfn.XLOOKUP(B139,Animals!B:B,Animals!N:N)),0)</f>
        <v>0</v>
      </c>
      <c r="AT139" s="8">
        <f>MROUND(40*Animals!AN139*_xlfn.XLOOKUP(Animals!AZ139,Leathers!$A$2:$A$100,Leathers!$B$2:$B$100,0)+(140*_xlfn.XLOOKUP(B139,Animals!B:B,Animals!AN:AN)*2),5)</f>
        <v>145</v>
      </c>
      <c r="AU139" s="8">
        <f>IFERROR(ROUND(SQRT(V139-1)*IF(_xlfn.XLOOKUP(E139,Groups!A:A,Groups!BE:BE)=0,2,1)*IF(_xlfn.XLOOKUP('Base stats'!E139,Groups!A:A,Groups!O:O)=0,1,0.1),1),0)</f>
        <v>1.7</v>
      </c>
      <c r="AV139" s="8">
        <f t="shared" si="49"/>
        <v>0</v>
      </c>
      <c r="AW139" s="8">
        <f t="shared" si="50"/>
        <v>0</v>
      </c>
      <c r="AX139" s="8">
        <f t="shared" si="51"/>
        <v>1.6</v>
      </c>
      <c r="AY139" s="8">
        <f>IF(_xlfn.XLOOKUP(E139,Groups!A:A,Groups!N:N)="Insect",BA139*2.5,IFERROR(AVERAGE(BA139,AQ139/9.81/IF(OR(_xlfn.XLOOKUP(E139,Groups!A:A,Groups!N:N)="Pig",_xlfn.XLOOKUP(E139,Groups!A:A,Groups!N:N)="StrongBitingHerbivore"),20,25))*C139^-0.135,BA139))</f>
        <v>1.0728881560144221</v>
      </c>
      <c r="AZ139" s="8" t="str">
        <f>IF(W139="No","No",IF(_xlfn.XLOOKUP(E139,Groups!A:A,Groups!U:U)=1,'Base stats'!AY139,IF(OR(_xlfn.XLOOKUP(E139,Groups!A:A,Groups!BC:BC)=1,_xlfn.XLOOKUP(E139,Groups!A:A,Groups!U:U)=2),BA139,IF(_xlfn.XLOOKUP(B139,Animals!B:B,Animals!AN:AN)&gt;4,AVERAGE(BA139,BC139),BC139))))</f>
        <v>No</v>
      </c>
      <c r="BA139" s="8">
        <f>(0.0392*C139^IF(OR(Y139="Herbivore",Y139="Dendrovore",Y139="OmnivoreRough"),0.889,0.966))*C139^-0.135</f>
        <v>0.27004292891939063</v>
      </c>
      <c r="BB139" s="8">
        <f>IF(_xlfn.XLOOKUP(E139,Groups!A:A,Groups!BD:BD)=1,(0.048*C139^1.01)+(0.071*C139^1.03),0.071*C139^1.03)/IF(_xlfn.XLOOKUP(E139,Groups!A:A,Groups!M:M)=1,0.85,IF(OR(_xlfn.XLOOKUP(B139,Animals!B:B,Animals!AN:AN)&gt;4,_xlfn.XLOOKUP(E139,Groups!A:A,Groups!BB:BB)=1),1.7,1))*C139^-0.25</f>
        <v>0.43447669150870244</v>
      </c>
      <c r="BC139" s="8">
        <f>(0.048*C139^1.01)/IF(_xlfn.XLOOKUP(E139,Groups!A:A,Groups!M:M)=1,0.25,0.8)*C139^-0.25</f>
        <v>0.35049948237077561</v>
      </c>
      <c r="BD139" s="8">
        <f>EXP(1.076*LN(AO139)-4.5397)*IF(_xlfn.XLOOKUP(E139,Groups!A:A,Groups!BB:BB)=1,1.25,IF(_xlfn.XLOOKUP(E139,Groups!A:A,Groups!BC:BC)=1,3.5,2.5))</f>
        <v>16.233847722893834</v>
      </c>
      <c r="BE139" s="8">
        <f>EXP(1.076*LN(AP139)-4.5397)*IF(_xlfn.XLOOKUP(E139,Groups!A:A,Groups!M:M)=1,0.8,IF(_xlfn.XLOOKUP(E139,Groups!A:A,Groups!BB:BB)=1,1.3,3))</f>
        <v>23.221109268159807</v>
      </c>
      <c r="BF139" s="8" t="str">
        <f>IF(W139="No","No",IF(_xlfn.XLOOKUP(E139,Groups!A:A,Groups!U:U)=1,'Base stats'!BG139,IF(OR(_xlfn.XLOOKUP(E139,Groups!A:A,Groups!BC:BC)=1,_xlfn.XLOOKUP(E139,Groups!A:A,Groups!U:U)=2),BD139,BE139))*1.2)</f>
        <v>No</v>
      </c>
      <c r="BG139" s="8">
        <f>IFERROR(EXP(1.076*LN(AQ139)-4.5397)*IF(_xlfn.XLOOKUP(E139,Groups!A:A,Groups!N:N)="Insect",1,IF(OR(_xlfn.XLOOKUP(E139,Groups!A:A,Groups!N:N)="Pig",_xlfn.XLOOKUP(E139,Groups!A:A,Groups!N:N)="StrongBitingHerbivore"),3.5,3.75)),"No")</f>
        <v>42.843936011518259</v>
      </c>
      <c r="BH139" s="8">
        <f t="shared" si="52"/>
        <v>10</v>
      </c>
      <c r="BI139" s="8">
        <f t="shared" si="53"/>
        <v>10</v>
      </c>
      <c r="BJ139" s="8" t="str">
        <f>IF(W139="No","No",ROUNDDOWN(SQRT((2*BF139)/AZ139),0))</f>
        <v>No</v>
      </c>
      <c r="BK139" s="8">
        <f>IF(V139="No","No",ROUNDDOWN(SQRT((2*BG139)/AY139),0))</f>
        <v>8</v>
      </c>
      <c r="BL139" s="8">
        <f t="shared" si="54"/>
        <v>11</v>
      </c>
      <c r="BM139" s="8" t="str" cm="1">
        <f t="array" ref="BM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stats'!E139,Groups!A:A,Groups!P:P=0)),"No",IF(U139="No",AVERAGE(EXP(-0.57+0.99*LN(C139)),EXP(0.32+0.67*LN(C139)))/IF(_xlfn.XLOOKUP(E139,Groups!A:A,Groups!AD:AD)=1,10,2),(0.7354*C139^0.4078)*2/IF(_xlfn.XLOOKUP(E139,Groups!A:A,Groups!BJ:BJ)=1,1000,100)))</f>
        <v>No</v>
      </c>
      <c r="BN139" s="8" t="str">
        <f>IF(W139="No","No",IF(_xlfn.XLOOKUP(E139,Groups!A:A,Groups!BC:BC)=1,(AL139*5%),EXP(0.7354*LN(C139)^0.4078)*2/IF(_xlfn.XLOOKUP(E139,Groups!A:A,Groups!BK:BK)=1,1000,100)))</f>
        <v>No</v>
      </c>
      <c r="BO139" s="8">
        <f>IF(BG139="No","No",IF(_xlfn.XLOOKUP(E139,Groups!A:A,Groups!BE:BE)=1,(0.0315*C139+2.1825)*2,(0.7354*C139^0.4078)*2)/IF(_xlfn.XLOOKUP(E139,Groups!A:A,Groups!BL:BL)=1,1000,100))</f>
        <v>3.7919340136559655E-2</v>
      </c>
      <c r="BP139" s="8">
        <f>BD139/(AL139*5%)</f>
        <v>6.4645511052738497E-2</v>
      </c>
      <c r="BQ139" s="8" t="str">
        <f t="shared" si="55"/>
        <v>No</v>
      </c>
      <c r="BR139" s="8" t="str">
        <f>IF(W139="No","No",BF139/BN139)</f>
        <v>No</v>
      </c>
      <c r="BS139" s="8">
        <f t="shared" si="56"/>
        <v>1129.8702946101794</v>
      </c>
      <c r="BT139" s="4">
        <v>0</v>
      </c>
      <c r="BU139" s="4">
        <v>1</v>
      </c>
    </row>
    <row r="140" spans="1:73" x14ac:dyDescent="0.25">
      <c r="A140" s="26" t="s">
        <v>499</v>
      </c>
      <c r="B140" s="6" t="s">
        <v>905</v>
      </c>
      <c r="C140" s="7">
        <v>2</v>
      </c>
      <c r="E140" s="7" t="s">
        <v>55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517</v>
      </c>
      <c r="L140" s="7">
        <f t="shared" si="57"/>
        <v>39.886225233494422</v>
      </c>
      <c r="M140" s="7" t="s">
        <v>638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_xlfn.XLOOKUP(B140,[1]TeethAdjusters!$A:$A,[1]BiteAdjusters!$C:$C)</f>
        <v>0.71417487730106877</v>
      </c>
      <c r="T140" s="7">
        <f>_xlfn.XLOOKUP(B140,[1]TeethAdjusters!$A:$A,[1]TeethAdjusters!$B:$B)</f>
        <v>0.95359131166584876</v>
      </c>
      <c r="U140" s="7" t="s">
        <v>45</v>
      </c>
      <c r="V140" s="7">
        <f>IF(AQ140="No","No",IF(_xlfn.XLOOKUP(E140,Groups!A:A,Groups!AM:AM)=1,MROUND(EXP(0.3582*LN(C140)-0.2221)*T140,0.05),IF(_xlfn.XLOOKUP(E140,Groups!A:A,Groups!AM:AM)=2,MROUND(EXP(0.3582*LN(C140)-0.2221)*T140,0.05),"Need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945</v>
      </c>
      <c r="Y140" s="4" t="s">
        <v>53</v>
      </c>
      <c r="Z140" s="4">
        <v>0</v>
      </c>
      <c r="AA140" s="4">
        <v>0</v>
      </c>
      <c r="AB140" s="4">
        <v>0</v>
      </c>
      <c r="AC140" s="4" t="s">
        <v>45</v>
      </c>
      <c r="AD140" s="4" t="s">
        <v>506</v>
      </c>
      <c r="AE140" s="28" t="s">
        <v>388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4" t="s">
        <v>40</v>
      </c>
      <c r="AL140" s="8">
        <f t="shared" si="47"/>
        <v>1741.7766973307866</v>
      </c>
      <c r="AM140" s="8">
        <f>IFERROR(C140*_xlfn.XLOOKUP(E140,Groups!A:A,Groups!K:K),0.106*C140^0.94)</f>
        <v>0.2495</v>
      </c>
      <c r="AN140" s="8">
        <f>AM140*10000/(_xlfn.XLOOKUP(E140,Groups!A:A,Groups!J:J)*AL140)</f>
        <v>1.3141700823049669</v>
      </c>
      <c r="AO140" s="8">
        <f t="shared" si="48"/>
        <v>97.660914569231494</v>
      </c>
      <c r="AP140" s="8">
        <f>IF(_xlfn.XLOOKUP(E140,Groups!A:A,Groups!M:M)=1,EXP(0.7444*LN('Base stats'!C140)+6.5696),EXP(0.7927*LN('Base stats'!C140)+4.28))</f>
        <v>125.14308592282921</v>
      </c>
      <c r="AQ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"No")))))))))))))))</f>
        <v>167.27327053022097</v>
      </c>
      <c r="AR140" s="8">
        <f>IF(_xlfn.XLOOKUP(E140,Groups!A:A,Groups!U:U)=3,AP140,IF(_xlfn.XLOOKUP(E140,Groups!A:A,Groups!U:U)=2,AO140,AQ140))</f>
        <v>167.27327053022097</v>
      </c>
      <c r="AS140" s="46">
        <f>IFERROR(AVERAGE(_xlfn.XLOOKUP(B140,Animals!B:B,Animals!M:M),_xlfn.XLOOKUP(B140,Animals!B:B,Animals!N:N)),0)</f>
        <v>0</v>
      </c>
      <c r="AT140" s="8">
        <f>MROUND(40*Animals!AN140*_xlfn.XLOOKUP(Animals!AZ140,Leathers!$A$2:$A$100,Leathers!$B$2:$B$100,0)+(140*_xlfn.XLOOKUP(B140,Animals!B:B,Animals!AN:AN)*2),5)</f>
        <v>70</v>
      </c>
      <c r="AU140" s="8">
        <f>IFERROR(ROUND(SQRT(V140-1)*IF(_xlfn.XLOOKUP(E140,Groups!A:A,Groups!BE:BE)=0,2,1)*IF(_xlfn.XLOOKUP('Base stats'!E140,Groups!A:A,Groups!O:O)=0,1,0.1),1),0)</f>
        <v>0</v>
      </c>
      <c r="AV140" s="8">
        <f t="shared" si="49"/>
        <v>0</v>
      </c>
      <c r="AW140" s="8">
        <f t="shared" si="50"/>
        <v>0</v>
      </c>
      <c r="AX140" s="8">
        <f t="shared" si="51"/>
        <v>0.8</v>
      </c>
      <c r="AY140" s="8">
        <f>IF(_xlfn.XLOOKUP(E140,Groups!A:A,Groups!N:N)="Insect",BA140*2.5,IFERROR(AVERAGE(BA140,AQ140/9.81/IF(OR(_xlfn.XLOOKUP(E140,Groups!A:A,Groups!N:N)="Pig",_xlfn.XLOOKUP(E140,Groups!A:A,Groups!N:N)="StrongBitingHerbivore"),20,25))*C140^-0.135,BA140))</f>
        <v>0.34231425938379167</v>
      </c>
      <c r="AZ140" s="8" t="str">
        <f>IF(W140="No","No",IF(_xlfn.XLOOKUP(E140,Groups!A:A,Groups!U:U)=1,'Base stats'!AY140,IF(OR(_xlfn.XLOOKUP(E140,Groups!A:A,Groups!BC:BC)=1,_xlfn.XLOOKUP(E140,Groups!A:A,Groups!U:U)=2),BA140,IF(_xlfn.XLOOKUP(B140,Animals!B:B,Animals!AN:AN)&gt;4,AVERAGE(BA140,BC140),BC140))))</f>
        <v>No</v>
      </c>
      <c r="BA140" s="8">
        <f>(0.0392*C140^IF(OR(Y140="Herbivore",Y140="Dendrovore",Y140="OmnivoreRough"),0.889,0.966))*C140^-0.135</f>
        <v>6.9733585093371159E-2</v>
      </c>
      <c r="BB140" s="8">
        <f>IF(_xlfn.XLOOKUP(E140,Groups!A:A,Groups!BD:BD)=1,(0.048*C140^1.01)+(0.071*C140^1.03),0.071*C140^1.03)/IF(_xlfn.XLOOKUP(E140,Groups!A:A,Groups!M:M)=1,0.85,IF(OR(_xlfn.XLOOKUP(B140,Animals!B:B,Animals!AN:AN)&gt;4,_xlfn.XLOOKUP(E140,Groups!A:A,Groups!BB:BB)=1),1.7,1))*C140^-0.25</f>
        <v>0.12191629197416104</v>
      </c>
      <c r="BC140" s="8">
        <f>(0.048*C140^1.01)/IF(_xlfn.XLOOKUP(E140,Groups!A:A,Groups!M:M)=1,0.25,0.8)*C140^-0.25</f>
        <v>0.10160943748350326</v>
      </c>
      <c r="BD140" s="8">
        <f>EXP(1.076*LN(AO140)-4.5397)*IF(_xlfn.XLOOKUP(E140,Groups!A:A,Groups!BB:BB)=1,1.25,IF(_xlfn.XLOOKUP(E140,Groups!A:A,Groups!BC:BC)=1,3.5,2.5))</f>
        <v>3.6924354853866963</v>
      </c>
      <c r="BE140" s="8">
        <f>EXP(1.076*LN(AP140)-4.5397)*IF(_xlfn.XLOOKUP(E140,Groups!A:A,Groups!M:M)=1,0.8,IF(_xlfn.XLOOKUP(E140,Groups!A:A,Groups!BB:BB)=1,1.3,3))</f>
        <v>5.7858127834961763</v>
      </c>
      <c r="BF140" s="8" t="str">
        <f>IF(W140="No","No",IF(_xlfn.XLOOKUP(E140,Groups!A:A,Groups!U:U)=1,'Base stats'!BG140,IF(OR(_xlfn.XLOOKUP(E140,Groups!A:A,Groups!BC:BC)=1,_xlfn.XLOOKUP(E140,Groups!A:A,Groups!U:U)=2),BD140,BE140))*1.2)</f>
        <v>No</v>
      </c>
      <c r="BG140" s="8">
        <f>IFERROR(EXP(1.076*LN(AQ140)-4.5397)*IF(_xlfn.XLOOKUP(E140,Groups!A:A,Groups!N:N)="Insect",1,IF(OR(_xlfn.XLOOKUP(E140,Groups!A:A,Groups!N:N)="Pig",_xlfn.XLOOKUP(E140,Groups!A:A,Groups!N:N)="StrongBitingHerbivore"),3.5,3.75)),"No")</f>
        <v>9.8826081158196732</v>
      </c>
      <c r="BH140" s="8">
        <f t="shared" si="52"/>
        <v>10</v>
      </c>
      <c r="BI140" s="8">
        <f t="shared" si="53"/>
        <v>9</v>
      </c>
      <c r="BJ140" s="8" t="str">
        <f>IF(W140="No","No",ROUNDDOWN(SQRT((2*BF140)/AZ140),0))</f>
        <v>No</v>
      </c>
      <c r="BK140" s="8">
        <f>IF(V140="No","No",ROUNDDOWN(SQRT((2*BG140)/AY140),0))</f>
        <v>7</v>
      </c>
      <c r="BL140" s="8">
        <f t="shared" si="54"/>
        <v>10</v>
      </c>
      <c r="BM140" s="8" t="str" cm="1">
        <f t="array" ref="BM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stats'!E140,Groups!A:A,Groups!P:P=0)),"No",IF(U140="No",AVERAGE(EXP(-0.57+0.99*LN(C140)),EXP(0.32+0.67*LN(C140)))/IF(_xlfn.XLOOKUP(E140,Groups!A:A,Groups!AD:AD)=1,10,2),(0.7354*C140^0.4078)*2/IF(_xlfn.XLOOKUP(E140,Groups!A:A,Groups!BJ:BJ)=1,1000,100)))</f>
        <v>No</v>
      </c>
      <c r="BN140" s="8" t="str">
        <f>IF(W140="No","No",IF(_xlfn.XLOOKUP(E140,Groups!A:A,Groups!BC:BC)=1,(AL140*5%),EXP(0.7354*LN(C140)^0.4078)*2/IF(_xlfn.XLOOKUP(E140,Groups!A:A,Groups!BK:BK)=1,1000,100)))</f>
        <v>No</v>
      </c>
      <c r="BO140" s="8">
        <f>IF(BG140="No","No",IF(_xlfn.XLOOKUP(E140,Groups!A:A,Groups!BE:BE)=1,(0.0315*C140+2.1825)*2,(0.7354*C140^0.4078)*2)/IF(_xlfn.XLOOKUP(E140,Groups!A:A,Groups!BL:BL)=1,1000,100))</f>
        <v>1.9512533128932502E-2</v>
      </c>
      <c r="BP140" s="8">
        <f>BD140/(AL140*5%)</f>
        <v>4.2398494491805147E-2</v>
      </c>
      <c r="BQ140" s="8" t="str">
        <f t="shared" si="55"/>
        <v>No</v>
      </c>
      <c r="BR140" s="8" t="str">
        <f>IF(W140="No","No",BF140/BN140)</f>
        <v>No</v>
      </c>
      <c r="BS140" s="8">
        <f t="shared" si="56"/>
        <v>506.47489234322359</v>
      </c>
      <c r="BT140" s="4">
        <v>0</v>
      </c>
      <c r="BU140" s="4">
        <v>1</v>
      </c>
    </row>
    <row r="141" spans="1:73" x14ac:dyDescent="0.25">
      <c r="A141" s="26" t="s">
        <v>500</v>
      </c>
      <c r="B141" s="6" t="s">
        <v>906</v>
      </c>
      <c r="C141" s="7">
        <f>AVERAGE(14,17)</f>
        <v>15.5</v>
      </c>
      <c r="E141" s="7" t="s">
        <v>55</v>
      </c>
      <c r="F141" s="7">
        <v>63</v>
      </c>
      <c r="G141" s="7">
        <f t="shared" ref="G141:G149" si="58">510/365</f>
        <v>1.3972602739726028</v>
      </c>
      <c r="H141" s="7">
        <v>27</v>
      </c>
      <c r="I141" s="4">
        <v>0</v>
      </c>
      <c r="J141" s="7">
        <v>6</v>
      </c>
      <c r="K141" s="7" t="s">
        <v>517</v>
      </c>
      <c r="L141" s="7">
        <f t="shared" si="57"/>
        <v>47.85979002071614</v>
      </c>
      <c r="M141" s="7" t="s">
        <v>638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_xlfn.XLOOKUP(B141,[1]TeethAdjusters!$A:$A,[1]BiteAdjusters!$C:$C)</f>
        <v>0.71417487730106877</v>
      </c>
      <c r="T141" s="7">
        <f>_xlfn.XLOOKUP(B141,[1]TeethAdjusters!$A:$A,[1]TeethAdjusters!$B:$B)</f>
        <v>0.95359131166584876</v>
      </c>
      <c r="U141" s="7" t="s">
        <v>45</v>
      </c>
      <c r="V141" s="7">
        <f>IF(AQ141="No","No",IF(_xlfn.XLOOKUP(E141,Groups!A:A,Groups!AM:AM)=1,MROUND(EXP(0.3582*LN(C141)-0.2221)*T141,0.05),IF(_xlfn.XLOOKUP(E141,Groups!A:A,Groups!AM:AM)=2,MROUND(EXP(0.3582*LN(C141)-0.2221)*T141,0.05),"Need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945</v>
      </c>
      <c r="Y141" s="4" t="s">
        <v>53</v>
      </c>
      <c r="Z141" s="4">
        <v>0</v>
      </c>
      <c r="AA141" s="4">
        <v>0</v>
      </c>
      <c r="AB141" s="4">
        <v>0</v>
      </c>
      <c r="AC141" s="4" t="s">
        <v>45</v>
      </c>
      <c r="AD141" s="4" t="s">
        <v>506</v>
      </c>
      <c r="AE141" s="28" t="s">
        <v>388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4" t="s">
        <v>40</v>
      </c>
      <c r="AL141" s="8">
        <f t="shared" si="47"/>
        <v>6592.3245866566185</v>
      </c>
      <c r="AM141" s="8">
        <f>IFERROR(C141*_xlfn.XLOOKUP(E141,Groups!A:A,Groups!K:K),0.106*C141^0.94)</f>
        <v>1.9336249999999999</v>
      </c>
      <c r="AN141" s="8">
        <f>AM141*10000/(_xlfn.XLOOKUP(E141,Groups!A:A,Groups!J:J)*AL141)</f>
        <v>2.6909595645501239</v>
      </c>
      <c r="AO141" s="8">
        <f t="shared" si="48"/>
        <v>550.69855272991003</v>
      </c>
      <c r="AP141" s="8">
        <f>IF(_xlfn.XLOOKUP(E141,Groups!A:A,Groups!M:M)=1,EXP(0.7444*LN('Base stats'!C141)+6.5696),EXP(0.7927*LN('Base stats'!C141)+4.28))</f>
        <v>634.38998711852321</v>
      </c>
      <c r="AQ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"No")))))))))))))))</f>
        <v>927.90877725080361</v>
      </c>
      <c r="AR141" s="8">
        <f>IF(_xlfn.XLOOKUP(E141,Groups!A:A,Groups!U:U)=3,AP141,IF(_xlfn.XLOOKUP(E141,Groups!A:A,Groups!U:U)=2,AO141,AQ141))</f>
        <v>927.90877725080361</v>
      </c>
      <c r="AS141" s="46">
        <f>IFERROR(AVERAGE(_xlfn.XLOOKUP(B141,Animals!B:B,Animals!M:M),_xlfn.XLOOKUP(B141,Animals!B:B,Animals!N:N)),0)</f>
        <v>0</v>
      </c>
      <c r="AT141" s="8">
        <f>MROUND(40*Animals!AN141*_xlfn.XLOOKUP(Animals!AZ141,Leathers!$A$2:$A$100,Leathers!$B$2:$B$100,0)+(140*_xlfn.XLOOKUP(B141,Animals!B:B,Animals!AN:AN)*2),5)</f>
        <v>180</v>
      </c>
      <c r="AU141" s="8">
        <f>IFERROR(ROUND(SQRT(V141-1)*IF(_xlfn.XLOOKUP(E141,Groups!A:A,Groups!BE:BE)=0,2,1)*IF(_xlfn.XLOOKUP('Base stats'!E141,Groups!A:A,Groups!O:O)=0,1,0.1),1),0)</f>
        <v>2</v>
      </c>
      <c r="AV141" s="8">
        <f t="shared" si="49"/>
        <v>0</v>
      </c>
      <c r="AW141" s="8">
        <f t="shared" si="50"/>
        <v>0</v>
      </c>
      <c r="AX141" s="8">
        <f t="shared" si="51"/>
        <v>2.1</v>
      </c>
      <c r="AY141" s="8">
        <f>IF(_xlfn.XLOOKUP(E141,Groups!A:A,Groups!N:N)="Insect",BA141*2.5,IFERROR(AVERAGE(BA141,AQ141/9.81/IF(OR(_xlfn.XLOOKUP(E141,Groups!A:A,Groups!N:N)="Pig",_xlfn.XLOOKUP(E141,Groups!A:A,Groups!N:N)="StrongBitingHerbivore"),20,25))*C141^-0.135,BA141))</f>
        <v>1.4387332754594828</v>
      </c>
      <c r="AZ141" s="8" t="str">
        <f>IF(W141="No","No",IF(_xlfn.XLOOKUP(E141,Groups!A:A,Groups!U:U)=1,'Base stats'!AY141,IF(OR(_xlfn.XLOOKUP(E141,Groups!A:A,Groups!BC:BC)=1,_xlfn.XLOOKUP(E141,Groups!A:A,Groups!U:U)=2),BA141,IF(_xlfn.XLOOKUP(B141,Animals!B:B,Animals!AN:AN)&gt;4,AVERAGE(BA141,BC141),BC141))))</f>
        <v>No</v>
      </c>
      <c r="BA141" s="8">
        <f>(0.0392*C141^IF(OR(Y141="Herbivore",Y141="Dendrovore",Y141="OmnivoreRough"),0.889,0.966))*C141^-0.135</f>
        <v>0.38234173643064095</v>
      </c>
      <c r="BB141" s="8">
        <f>IF(_xlfn.XLOOKUP(E141,Groups!A:A,Groups!BD:BD)=1,(0.048*C141^1.01)+(0.071*C141^1.03),0.071*C141^1.03)/IF(_xlfn.XLOOKUP(E141,Groups!A:A,Groups!M:M)=1,0.85,IF(OR(_xlfn.XLOOKUP(B141,Animals!B:B,Animals!AN:AN)&gt;4,_xlfn.XLOOKUP(E141,Groups!A:A,Groups!BB:BB)=1),1.7,1))*C141^-0.25</f>
        <v>0.60216716874343879</v>
      </c>
      <c r="BC141" s="8">
        <f>(0.048*C141^1.01)/IF(_xlfn.XLOOKUP(E141,Groups!A:A,Groups!M:M)=1,0.25,0.8)*C141^-0.25</f>
        <v>0.48172960945265425</v>
      </c>
      <c r="BD141" s="8">
        <f>EXP(1.076*LN(AO141)-4.5397)*IF(_xlfn.XLOOKUP(E141,Groups!A:A,Groups!BB:BB)=1,1.25,IF(_xlfn.XLOOKUP(E141,Groups!A:A,Groups!BC:BC)=1,3.5,2.5))</f>
        <v>23.746343370214902</v>
      </c>
      <c r="BE141" s="8">
        <f>EXP(1.076*LN(AP141)-4.5397)*IF(_xlfn.XLOOKUP(E141,Groups!A:A,Groups!M:M)=1,0.8,IF(_xlfn.XLOOKUP(E141,Groups!A:A,Groups!BB:BB)=1,1.3,3))</f>
        <v>33.181040085894857</v>
      </c>
      <c r="BF141" s="8" t="str">
        <f>IF(W141="No","No",IF(_xlfn.XLOOKUP(E141,Groups!A:A,Groups!U:U)=1,'Base stats'!BG141,IF(OR(_xlfn.XLOOKUP(E141,Groups!A:A,Groups!BC:BC)=1,_xlfn.XLOOKUP(E141,Groups!A:A,Groups!U:U)=2),BD141,BE141))*1.2)</f>
        <v>No</v>
      </c>
      <c r="BG141" s="8">
        <f>IFERROR(EXP(1.076*LN(AQ141)-4.5397)*IF(_xlfn.XLOOKUP(E141,Groups!A:A,Groups!N:N)="Insect",1,IF(OR(_xlfn.XLOOKUP(E141,Groups!A:A,Groups!N:N)="Pig",_xlfn.XLOOKUP(E141,Groups!A:A,Groups!N:N)="StrongBitingHerbivore"),3.5,3.75)),"No")</f>
        <v>62.445377090340372</v>
      </c>
      <c r="BH141" s="8">
        <f t="shared" si="52"/>
        <v>11</v>
      </c>
      <c r="BI141" s="8">
        <f t="shared" si="53"/>
        <v>10</v>
      </c>
      <c r="BJ141" s="8" t="str">
        <f>IF(W141="No","No",ROUNDDOWN(SQRT((2*BF141)/AZ141),0))</f>
        <v>No</v>
      </c>
      <c r="BK141" s="8">
        <f>IF(V141="No","No",ROUNDDOWN(SQRT((2*BG141)/AY141),0))</f>
        <v>9</v>
      </c>
      <c r="BL141" s="8">
        <f t="shared" si="54"/>
        <v>11</v>
      </c>
      <c r="BM141" s="8" t="str" cm="1">
        <f t="array" ref="BM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stats'!E141,Groups!A:A,Groups!P:P=0)),"No",IF(U141="No",AVERAGE(EXP(-0.57+0.99*LN(C141)),EXP(0.32+0.67*LN(C141)))/IF(_xlfn.XLOOKUP(E141,Groups!A:A,Groups!AD:AD)=1,10,2),(0.7354*C141^0.4078)*2/IF(_xlfn.XLOOKUP(E141,Groups!A:A,Groups!BJ:BJ)=1,1000,100)))</f>
        <v>No</v>
      </c>
      <c r="BN141" s="8" t="str">
        <f>IF(W141="No","No",IF(_xlfn.XLOOKUP(E141,Groups!A:A,Groups!BC:BC)=1,(AL141*5%),EXP(0.7354*LN(C141)^0.4078)*2/IF(_xlfn.XLOOKUP(E141,Groups!A:A,Groups!BK:BK)=1,1000,100)))</f>
        <v>No</v>
      </c>
      <c r="BO141" s="8">
        <f>IF(BG141="No","No",IF(_xlfn.XLOOKUP(E141,Groups!A:A,Groups!BE:BE)=1,(0.0315*C141+2.1825)*2,(0.7354*C141^0.4078)*2)/IF(_xlfn.XLOOKUP(E141,Groups!A:A,Groups!BL:BL)=1,1000,100))</f>
        <v>4.4974970557536319E-2</v>
      </c>
      <c r="BP141" s="8">
        <f>BD141/(AL141*5%)</f>
        <v>7.2042397360953261E-2</v>
      </c>
      <c r="BQ141" s="8" t="str">
        <f t="shared" si="55"/>
        <v>No</v>
      </c>
      <c r="BR141" s="8" t="str">
        <f>IF(W141="No","No",BF141/BN141)</f>
        <v>No</v>
      </c>
      <c r="BS141" s="8">
        <f t="shared" si="56"/>
        <v>1388.447314500278</v>
      </c>
      <c r="BT141" s="4">
        <v>0</v>
      </c>
      <c r="BU141" s="4">
        <v>1</v>
      </c>
    </row>
    <row r="142" spans="1:73" x14ac:dyDescent="0.25">
      <c r="A142" s="26" t="s">
        <v>505</v>
      </c>
      <c r="B142" s="6" t="s">
        <v>907</v>
      </c>
      <c r="C142" s="7">
        <f>AVERAGE(9,14,8,13)</f>
        <v>11</v>
      </c>
      <c r="E142" s="7" t="s">
        <v>55</v>
      </c>
      <c r="F142" s="7">
        <v>63</v>
      </c>
      <c r="G142" s="7">
        <f t="shared" si="58"/>
        <v>1.3972602739726028</v>
      </c>
      <c r="H142" s="7">
        <v>27</v>
      </c>
      <c r="I142" s="4">
        <v>0</v>
      </c>
      <c r="J142" s="7">
        <v>6</v>
      </c>
      <c r="K142" s="7" t="s">
        <v>517</v>
      </c>
      <c r="L142" s="7">
        <f t="shared" si="57"/>
        <v>46.421077486116715</v>
      </c>
      <c r="M142" s="7" t="s">
        <v>638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_xlfn.XLOOKUP(B142,[1]TeethAdjusters!$A:$A,[1]BiteAdjusters!$C:$C)</f>
        <v>0.71417487730106877</v>
      </c>
      <c r="T142" s="7">
        <f>_xlfn.XLOOKUP(B142,[1]TeethAdjusters!$A:$A,[1]TeethAdjusters!$B:$B)</f>
        <v>0.95359131166584876</v>
      </c>
      <c r="U142" s="7" t="s">
        <v>45</v>
      </c>
      <c r="V142" s="7">
        <f>IF(AQ142="No","No",IF(_xlfn.XLOOKUP(E142,Groups!A:A,Groups!AM:AM)=1,MROUND(EXP(0.3582*LN(C142)-0.2221)*T142,0.05),IF(_xlfn.XLOOKUP(E142,Groups!A:A,Groups!AM:AM)=2,MROUND(EXP(0.3582*LN(C142)-0.2221)*T142,0.05),"Need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945</v>
      </c>
      <c r="Y142" s="4" t="s">
        <v>53</v>
      </c>
      <c r="Z142" s="4">
        <v>0</v>
      </c>
      <c r="AA142" s="4">
        <v>0</v>
      </c>
      <c r="AB142" s="4">
        <v>0</v>
      </c>
      <c r="AC142" s="4" t="s">
        <v>45</v>
      </c>
      <c r="AD142" s="4" t="s">
        <v>506</v>
      </c>
      <c r="AE142" s="28" t="s">
        <v>388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4" t="s">
        <v>40</v>
      </c>
      <c r="AL142" s="8">
        <f t="shared" si="47"/>
        <v>5275.0699642715344</v>
      </c>
      <c r="AM142" s="8">
        <f>IFERROR(C142*_xlfn.XLOOKUP(E142,Groups!A:A,Groups!K:K),0.106*C142^0.94)</f>
        <v>1.37225</v>
      </c>
      <c r="AN142" s="8">
        <f>AM142*10000/(_xlfn.XLOOKUP(E142,Groups!A:A,Groups!J:J)*AL142)</f>
        <v>2.3865938511818303</v>
      </c>
      <c r="AO142" s="8">
        <f t="shared" si="48"/>
        <v>412.19730771477458</v>
      </c>
      <c r="AP142" s="8">
        <f>IF(_xlfn.XLOOKUP(E142,Groups!A:A,Groups!M:M)=1,EXP(0.7444*LN('Base stats'!C142)+6.5696),EXP(0.7927*LN('Base stats'!C142)+4.28))</f>
        <v>483.38410339999547</v>
      </c>
      <c r="AQ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"No")))))))))))))))</f>
        <v>696.44690162359393</v>
      </c>
      <c r="AR142" s="8">
        <f>IF(_xlfn.XLOOKUP(E142,Groups!A:A,Groups!U:U)=3,AP142,IF(_xlfn.XLOOKUP(E142,Groups!A:A,Groups!U:U)=2,AO142,AQ142))</f>
        <v>696.44690162359393</v>
      </c>
      <c r="AS142" s="46">
        <f>IFERROR(AVERAGE(_xlfn.XLOOKUP(B142,Animals!B:B,Animals!M:M),_xlfn.XLOOKUP(B142,Animals!B:B,Animals!N:N)),0)</f>
        <v>0</v>
      </c>
      <c r="AT142" s="8">
        <f>MROUND(40*Animals!AN142*_xlfn.XLOOKUP(Animals!AZ142,Leathers!$A$2:$A$100,Leathers!$B$2:$B$100,0)+(140*_xlfn.XLOOKUP(B142,Animals!B:B,Animals!AN:AN)*2),5)</f>
        <v>160</v>
      </c>
      <c r="AU142" s="8">
        <f>IFERROR(ROUND(SQRT(V142-1)*IF(_xlfn.XLOOKUP(E142,Groups!A:A,Groups!BE:BE)=0,2,1)*IF(_xlfn.XLOOKUP('Base stats'!E142,Groups!A:A,Groups!O:O)=0,1,0.1),1),0)</f>
        <v>1.8</v>
      </c>
      <c r="AV142" s="8">
        <f t="shared" si="49"/>
        <v>0</v>
      </c>
      <c r="AW142" s="8">
        <f t="shared" si="50"/>
        <v>0</v>
      </c>
      <c r="AX142" s="8">
        <f t="shared" si="51"/>
        <v>1.7</v>
      </c>
      <c r="AY142" s="8">
        <f>IF(_xlfn.XLOOKUP(E142,Groups!A:A,Groups!N:N)="Insect",BA142*2.5,IFERROR(AVERAGE(BA142,AQ142/9.81/IF(OR(_xlfn.XLOOKUP(E142,Groups!A:A,Groups!N:N)="Pig",_xlfn.XLOOKUP(E142,Groups!A:A,Groups!N:N)="StrongBitingHerbivore"),20,25))*C142^-0.135,BA142))</f>
        <v>1.1312218069669866</v>
      </c>
      <c r="AZ142" s="8" t="str">
        <f>IF(W142="No","No",IF(_xlfn.XLOOKUP(E142,Groups!A:A,Groups!U:U)=1,'Base stats'!AY142,IF(OR(_xlfn.XLOOKUP(E142,Groups!A:A,Groups!BC:BC)=1,_xlfn.XLOOKUP(E142,Groups!A:A,Groups!U:U)=2),BA142,IF(_xlfn.XLOOKUP(B142,Animals!B:B,Animals!AN:AN)&gt;4,AVERAGE(BA142,BC142),BC142))))</f>
        <v>No</v>
      </c>
      <c r="BA142" s="8">
        <f>(0.0392*C142^IF(OR(Y142="Herbivore",Y142="Dendrovore",Y142="OmnivoreRough"),0.889,0.966))*C142^-0.135</f>
        <v>0.28753014832877943</v>
      </c>
      <c r="BB142" s="8">
        <f>IF(_xlfn.XLOOKUP(E142,Groups!A:A,Groups!BD:BD)=1,(0.048*C142^1.01)+(0.071*C142^1.03),0.071*C142^1.03)/IF(_xlfn.XLOOKUP(E142,Groups!A:A,Groups!M:M)=1,0.85,IF(OR(_xlfn.XLOOKUP(B142,Animals!B:B,Animals!AN:AN)&gt;4,_xlfn.XLOOKUP(E142,Groups!A:A,Groups!BB:BB)=1),1.7,1))*C142^-0.25</f>
        <v>0.46083413753228697</v>
      </c>
      <c r="BC142" s="8">
        <f>(0.048*C142^1.01)/IF(_xlfn.XLOOKUP(E142,Groups!A:A,Groups!M:M)=1,0.25,0.8)*C142^-0.25</f>
        <v>0.37120147316090957</v>
      </c>
      <c r="BD142" s="8">
        <f>EXP(1.076*LN(AO142)-4.5397)*IF(_xlfn.XLOOKUP(E142,Groups!A:A,Groups!BB:BB)=1,1.25,IF(_xlfn.XLOOKUP(E142,Groups!A:A,Groups!BC:BC)=1,3.5,2.5))</f>
        <v>17.387073558783207</v>
      </c>
      <c r="BE142" s="8">
        <f>EXP(1.076*LN(AP142)-4.5397)*IF(_xlfn.XLOOKUP(E142,Groups!A:A,Groups!M:M)=1,0.8,IF(_xlfn.XLOOKUP(E142,Groups!A:A,Groups!BB:BB)=1,1.3,3))</f>
        <v>24.765846622439327</v>
      </c>
      <c r="BF142" s="8" t="str">
        <f>IF(W142="No","No",IF(_xlfn.XLOOKUP(E142,Groups!A:A,Groups!U:U)=1,'Base stats'!BG142,IF(OR(_xlfn.XLOOKUP(E142,Groups!A:A,Groups!BC:BC)=1,_xlfn.XLOOKUP(E142,Groups!A:A,Groups!U:U)=2),BD142,BE142))*1.2)</f>
        <v>No</v>
      </c>
      <c r="BG142" s="8">
        <f>IFERROR(EXP(1.076*LN(AQ142)-4.5397)*IF(_xlfn.XLOOKUP(E142,Groups!A:A,Groups!N:N)="Insect",1,IF(OR(_xlfn.XLOOKUP(E142,Groups!A:A,Groups!N:N)="Pig",_xlfn.XLOOKUP(E142,Groups!A:A,Groups!N:N)="StrongBitingHerbivore"),3.5,3.75)),"No")</f>
        <v>45.85768298159568</v>
      </c>
      <c r="BH142" s="8">
        <f t="shared" si="52"/>
        <v>10</v>
      </c>
      <c r="BI142" s="8">
        <f t="shared" si="53"/>
        <v>10</v>
      </c>
      <c r="BJ142" s="8" t="str">
        <f>IF(W142="No","No",ROUNDDOWN(SQRT((2*BF142)/AZ142),0))</f>
        <v>No</v>
      </c>
      <c r="BK142" s="8">
        <f>IF(V142="No","No",ROUNDDOWN(SQRT((2*BG142)/AY142),0))</f>
        <v>9</v>
      </c>
      <c r="BL142" s="8">
        <f t="shared" si="54"/>
        <v>11</v>
      </c>
      <c r="BM142" s="8" t="str" cm="1">
        <f t="array" ref="BM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stats'!E142,Groups!A:A,Groups!P:P=0)),"No",IF(U142="No",AVERAGE(EXP(-0.57+0.99*LN(C142)),EXP(0.32+0.67*LN(C142)))/IF(_xlfn.XLOOKUP(E142,Groups!A:A,Groups!AD:AD)=1,10,2),(0.7354*C142^0.4078)*2/IF(_xlfn.XLOOKUP(E142,Groups!A:A,Groups!BJ:BJ)=1,1000,100)))</f>
        <v>No</v>
      </c>
      <c r="BN142" s="8" t="str">
        <f>IF(W142="No","No",IF(_xlfn.XLOOKUP(E142,Groups!A:A,Groups!BC:BC)=1,(AL142*5%),EXP(0.7354*LN(C142)^0.4078)*2/IF(_xlfn.XLOOKUP(E142,Groups!A:A,Groups!BK:BK)=1,1000,100)))</f>
        <v>No</v>
      </c>
      <c r="BO142" s="8">
        <f>IF(BG142="No","No",IF(_xlfn.XLOOKUP(E142,Groups!A:A,Groups!BE:BE)=1,(0.0315*C142+2.1825)*2,(0.7354*C142^0.4078)*2)/IF(_xlfn.XLOOKUP(E142,Groups!A:A,Groups!BL:BL)=1,1000,100))</f>
        <v>3.9105114172400528E-2</v>
      </c>
      <c r="BP142" s="8">
        <f>BD142/(AL142*5%)</f>
        <v>6.592167943381691E-2</v>
      </c>
      <c r="BQ142" s="8" t="str">
        <f t="shared" si="55"/>
        <v>No</v>
      </c>
      <c r="BR142" s="8" t="str">
        <f>IF(W142="No","No",BF142/BN142)</f>
        <v>No</v>
      </c>
      <c r="BS142" s="8">
        <f t="shared" si="56"/>
        <v>1172.6773838180213</v>
      </c>
      <c r="BT142" s="4">
        <v>0</v>
      </c>
      <c r="BU142" s="4">
        <v>1</v>
      </c>
    </row>
    <row r="143" spans="1:73" x14ac:dyDescent="0.25">
      <c r="A143" s="26" t="s">
        <v>61</v>
      </c>
      <c r="B143" s="6" t="s">
        <v>908</v>
      </c>
      <c r="C143" s="7">
        <f>AVERAGE(AVERAGE(AVERAGE(30,40),AVERAGE(22,32)),AVERAGE(AVERAGE(35,60),AVERAGE(30,50)))</f>
        <v>37.375</v>
      </c>
      <c r="E143" s="7" t="s">
        <v>55</v>
      </c>
      <c r="F143" s="7">
        <v>63</v>
      </c>
      <c r="G143" s="7">
        <f t="shared" si="58"/>
        <v>1.3972602739726028</v>
      </c>
      <c r="H143" s="7">
        <v>27</v>
      </c>
      <c r="I143" s="4">
        <v>0</v>
      </c>
      <c r="J143" s="7">
        <v>6</v>
      </c>
      <c r="K143" s="7" t="s">
        <v>517</v>
      </c>
      <c r="L143" s="7">
        <f t="shared" si="57"/>
        <v>51.759609917715728</v>
      </c>
      <c r="M143" s="7" t="s">
        <v>638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_xlfn.XLOOKUP(B143,[1]TeethAdjusters!$A:$A,[1]BiteAdjusters!$C:$C)</f>
        <v>0.71417487730106877</v>
      </c>
      <c r="T143" s="7">
        <f>_xlfn.XLOOKUP(B143,[1]TeethAdjusters!$A:$A,[1]TeethAdjusters!$B:$B)</f>
        <v>0.95359131166584876</v>
      </c>
      <c r="U143" s="7" t="s">
        <v>45</v>
      </c>
      <c r="V143" s="7">
        <f>IF(AQ143="No","No",IF(_xlfn.XLOOKUP(E143,Groups!A:A,Groups!AM:AM)=1,MROUND(EXP(0.3582*LN(C143)-0.2221)*T143,0.05),IF(_xlfn.XLOOKUP(E143,Groups!A:A,Groups!AM:AM)=2,MROUND(EXP(0.3582*LN(C143)-0.2221)*T143,0.05),"Need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945</v>
      </c>
      <c r="Y143" s="4" t="s">
        <v>53</v>
      </c>
      <c r="Z143" s="4">
        <v>0</v>
      </c>
      <c r="AA143" s="4">
        <v>0</v>
      </c>
      <c r="AB143" s="4">
        <v>0</v>
      </c>
      <c r="AC143" s="4" t="s">
        <v>45</v>
      </c>
      <c r="AD143" s="4" t="s">
        <v>506</v>
      </c>
      <c r="AE143" s="28" t="s">
        <v>388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4" t="s">
        <v>40</v>
      </c>
      <c r="AL143" s="8">
        <f t="shared" si="47"/>
        <v>11681.557731569081</v>
      </c>
      <c r="AM143" s="8">
        <f>IFERROR(C143*_xlfn.XLOOKUP(E143,Groups!A:A,Groups!K:K),0.106*C143^0.94)</f>
        <v>4.6625312499999998</v>
      </c>
      <c r="AN143" s="8">
        <f>AM143*10000/(_xlfn.XLOOKUP(E143,Groups!A:A,Groups!J:J)*AL143)</f>
        <v>3.6617989687664894</v>
      </c>
      <c r="AO143" s="8">
        <f t="shared" si="48"/>
        <v>1158.2440835460063</v>
      </c>
      <c r="AP143" s="8">
        <f>IF(_xlfn.XLOOKUP(E143,Groups!A:A,Groups!M:M)=1,EXP(0.7444*LN('Base stats'!C143)+6.5696),EXP(0.7927*LN('Base stats'!C143)+4.28))</f>
        <v>1274.5753082507779</v>
      </c>
      <c r="AQ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"No")))))))))))))))</f>
        <v>1937.9092786102117</v>
      </c>
      <c r="AR143" s="8">
        <f>IF(_xlfn.XLOOKUP(E143,Groups!A:A,Groups!U:U)=3,AP143,IF(_xlfn.XLOOKUP(E143,Groups!A:A,Groups!U:U)=2,AO143,AQ143))</f>
        <v>1937.9092786102117</v>
      </c>
      <c r="AS143" s="46">
        <f>IFERROR(AVERAGE(_xlfn.XLOOKUP(B143,Animals!B:B,Animals!M:M),_xlfn.XLOOKUP(B143,Animals!B:B,Animals!N:N)),0)</f>
        <v>0</v>
      </c>
      <c r="AT143" s="8">
        <f>MROUND(40*Animals!AN143*_xlfn.XLOOKUP(Animals!AZ143,Leathers!$A$2:$A$100,Leathers!$B$2:$B$100,0)+(140*_xlfn.XLOOKUP(B143,Animals!B:B,Animals!AN:AN)*2),5)</f>
        <v>270</v>
      </c>
      <c r="AU143" s="8">
        <f>IFERROR(ROUND(SQRT(V143-1)*IF(_xlfn.XLOOKUP(E143,Groups!A:A,Groups!BE:BE)=0,2,1)*IF(_xlfn.XLOOKUP('Base stats'!E143,Groups!A:A,Groups!O:O)=0,1,0.1),1),0)</f>
        <v>2.7</v>
      </c>
      <c r="AV143" s="8">
        <f t="shared" si="49"/>
        <v>0</v>
      </c>
      <c r="AW143" s="8">
        <f t="shared" si="50"/>
        <v>0</v>
      </c>
      <c r="AX143" s="8">
        <f t="shared" si="51"/>
        <v>2.9</v>
      </c>
      <c r="AY143" s="8">
        <f>IF(_xlfn.XLOOKUP(E143,Groups!A:A,Groups!N:N)="Insect",BA143*2.5,IFERROR(AVERAGE(BA143,AQ143/9.81/IF(OR(_xlfn.XLOOKUP(E143,Groups!A:A,Groups!N:N)="Pig",_xlfn.XLOOKUP(E143,Groups!A:A,Groups!N:N)="StrongBitingHerbivore"),20,25))*C143^-0.135,BA143))</f>
        <v>2.6668908903033577</v>
      </c>
      <c r="AZ143" s="8" t="str">
        <f>IF(W143="No","No",IF(_xlfn.XLOOKUP(E143,Groups!A:A,Groups!U:U)=1,'Base stats'!AY143,IF(OR(_xlfn.XLOOKUP(E143,Groups!A:A,Groups!BC:BC)=1,_xlfn.XLOOKUP(E143,Groups!A:A,Groups!U:U)=2),BA143,IF(_xlfn.XLOOKUP(B143,Animals!B:B,Animals!AN:AN)&gt;4,AVERAGE(BA143,BC143),BC143))))</f>
        <v>No</v>
      </c>
      <c r="BA143" s="8">
        <f>(0.0392*C143^IF(OR(Y143="Herbivore",Y143="Dendrovore",Y143="OmnivoreRough"),0.889,0.966))*C143^-0.135</f>
        <v>0.79451306897413454</v>
      </c>
      <c r="BB143" s="8">
        <f>IF(_xlfn.XLOOKUP(E143,Groups!A:A,Groups!BD:BD)=1,(0.048*C143^1.01)+(0.071*C143^1.03),0.071*C143^1.03)/IF(_xlfn.XLOOKUP(E143,Groups!A:A,Groups!M:M)=1,0.85,IF(OR(_xlfn.XLOOKUP(B143,Animals!B:B,Animals!AN:AN)&gt;4,_xlfn.XLOOKUP(E143,Groups!A:A,Groups!BB:BB)=1),1.7,1))*C143^-0.25</f>
        <v>1.1963870012085274</v>
      </c>
      <c r="BC143" s="8">
        <f>(0.048*C143^1.01)/IF(_xlfn.XLOOKUP(E143,Groups!A:A,Groups!M:M)=1,0.25,0.8)*C143^-0.25</f>
        <v>0.94040074259320261</v>
      </c>
      <c r="BD143" s="8">
        <f>EXP(1.076*LN(AO143)-4.5397)*IF(_xlfn.XLOOKUP(E143,Groups!A:A,Groups!BB:BB)=1,1.25,IF(_xlfn.XLOOKUP(E143,Groups!A:A,Groups!BC:BC)=1,3.5,2.5))</f>
        <v>52.847232179206785</v>
      </c>
      <c r="BE143" s="8">
        <f>EXP(1.076*LN(AP143)-4.5397)*IF(_xlfn.XLOOKUP(E143,Groups!A:A,Groups!M:M)=1,0.8,IF(_xlfn.XLOOKUP(E143,Groups!A:A,Groups!BB:BB)=1,1.3,3))</f>
        <v>70.29555661729259</v>
      </c>
      <c r="BF143" s="8" t="str">
        <f>IF(W143="No","No",IF(_xlfn.XLOOKUP(E143,Groups!A:A,Groups!U:U)=1,'Base stats'!BG143,IF(OR(_xlfn.XLOOKUP(E143,Groups!A:A,Groups!BC:BC)=1,_xlfn.XLOOKUP(E143,Groups!A:A,Groups!U:U)=2),BD143,BE143))*1.2)</f>
        <v>No</v>
      </c>
      <c r="BG143" s="8">
        <f>IFERROR(EXP(1.076*LN(AQ143)-4.5397)*IF(_xlfn.XLOOKUP(E143,Groups!A:A,Groups!N:N)="Insect",1,IF(OR(_xlfn.XLOOKUP(E143,Groups!A:A,Groups!N:N)="Pig",_xlfn.XLOOKUP(E143,Groups!A:A,Groups!N:N)="StrongBitingHerbivore"),3.5,3.75)),"No")</f>
        <v>137.92258616226633</v>
      </c>
      <c r="BH143" s="8">
        <f t="shared" si="52"/>
        <v>11</v>
      </c>
      <c r="BI143" s="8">
        <f t="shared" si="53"/>
        <v>10</v>
      </c>
      <c r="BJ143" s="8" t="str">
        <f>IF(W143="No","No",ROUNDDOWN(SQRT((2*BF143)/AZ143),0))</f>
        <v>No</v>
      </c>
      <c r="BK143" s="8">
        <f>IF(V143="No","No",ROUNDDOWN(SQRT((2*BG143)/AY143),0))</f>
        <v>10</v>
      </c>
      <c r="BL143" s="8">
        <f t="shared" si="54"/>
        <v>12</v>
      </c>
      <c r="BM143" s="8" t="str" cm="1">
        <f t="array" ref="BM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stats'!E143,Groups!A:A,Groups!P:P=0)),"No",IF(U143="No",AVERAGE(EXP(-0.57+0.99*LN(C143)),EXP(0.32+0.67*LN(C143)))/IF(_xlfn.XLOOKUP(E143,Groups!A:A,Groups!AD:AD)=1,10,2),(0.7354*C143^0.4078)*2/IF(_xlfn.XLOOKUP(E143,Groups!A:A,Groups!BJ:BJ)=1,1000,100)))</f>
        <v>No</v>
      </c>
      <c r="BN143" s="8" t="str">
        <f>IF(W143="No","No",IF(_xlfn.XLOOKUP(E143,Groups!A:A,Groups!BC:BC)=1,(AL143*5%),EXP(0.7354*LN(C143)^0.4078)*2/IF(_xlfn.XLOOKUP(E143,Groups!A:A,Groups!BK:BK)=1,1000,100)))</f>
        <v>No</v>
      </c>
      <c r="BO143" s="8">
        <f>IF(BG143="No","No",IF(_xlfn.XLOOKUP(E143,Groups!A:A,Groups!BE:BE)=1,(0.0315*C143+2.1825)*2,(0.7354*C143^0.4078)*2)/IF(_xlfn.XLOOKUP(E143,Groups!A:A,Groups!BL:BL)=1,1000,100))</f>
        <v>6.4395012983712543E-2</v>
      </c>
      <c r="BP143" s="8">
        <f>BD143/(AL143*5%)</f>
        <v>9.0479768869161398E-2</v>
      </c>
      <c r="BQ143" s="8" t="str">
        <f t="shared" si="55"/>
        <v>No</v>
      </c>
      <c r="BR143" s="8" t="str">
        <f>IF(W143="No","No",BF143/BN143)</f>
        <v>No</v>
      </c>
      <c r="BS143" s="8">
        <f t="shared" si="56"/>
        <v>2141.8209232623517</v>
      </c>
      <c r="BT143" s="4">
        <v>0</v>
      </c>
      <c r="BU143" s="4">
        <v>1</v>
      </c>
    </row>
    <row r="144" spans="1:73" x14ac:dyDescent="0.25">
      <c r="A144" s="26" t="s">
        <v>504</v>
      </c>
      <c r="B144" s="6" t="s">
        <v>909</v>
      </c>
      <c r="C144" s="7">
        <f>AVERAGE(63,79,50,63)</f>
        <v>63.75</v>
      </c>
      <c r="E144" s="7" t="s">
        <v>55</v>
      </c>
      <c r="F144" s="7">
        <v>63</v>
      </c>
      <c r="G144" s="7">
        <f t="shared" si="58"/>
        <v>1.3972602739726028</v>
      </c>
      <c r="H144" s="7">
        <v>27</v>
      </c>
      <c r="I144" s="4">
        <v>0</v>
      </c>
      <c r="J144" s="7">
        <v>6</v>
      </c>
      <c r="K144" s="7" t="s">
        <v>517</v>
      </c>
      <c r="L144" s="7">
        <f t="shared" si="57"/>
        <v>54.278770864438485</v>
      </c>
      <c r="M144" s="7" t="s">
        <v>638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_xlfn.XLOOKUP(B144,[1]TeethAdjusters!$A:$A,[1]BiteAdjusters!$C:$C)</f>
        <v>0.71417487730106877</v>
      </c>
      <c r="T144" s="7">
        <f>_xlfn.XLOOKUP(B144,[1]TeethAdjusters!$A:$A,[1]TeethAdjusters!$B:$B)</f>
        <v>0.95359131166584876</v>
      </c>
      <c r="U144" s="7" t="s">
        <v>45</v>
      </c>
      <c r="V144" s="7">
        <f>IF(AQ144="No","No",IF(_xlfn.XLOOKUP(E144,Groups!A:A,Groups!AM:AM)=1,MROUND(EXP(0.3582*LN(C144)-0.2221)*T144,0.05),IF(_xlfn.XLOOKUP(E144,Groups!A:A,Groups!AM:AM)=2,MROUND(EXP(0.3582*LN(C144)-0.2221)*T144,0.05),"Need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945</v>
      </c>
      <c r="Y144" s="4" t="s">
        <v>53</v>
      </c>
      <c r="Z144" s="4">
        <v>0</v>
      </c>
      <c r="AA144" s="4">
        <v>0</v>
      </c>
      <c r="AB144" s="4">
        <v>0</v>
      </c>
      <c r="AC144" s="4" t="s">
        <v>45</v>
      </c>
      <c r="AD144" s="4" t="s">
        <v>506</v>
      </c>
      <c r="AE144" s="28" t="s">
        <v>388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4" t="s">
        <v>40</v>
      </c>
      <c r="AL144" s="8">
        <f t="shared" si="47"/>
        <v>16528.563161064278</v>
      </c>
      <c r="AM144" s="8">
        <f>IFERROR(C144*_xlfn.XLOOKUP(E144,Groups!A:A,Groups!K:K),0.106*C144^0.94)</f>
        <v>7.9528125000000003</v>
      </c>
      <c r="AN144" s="8">
        <f>AM144*10000/(_xlfn.XLOOKUP(E144,Groups!A:A,Groups!J:J)*AL144)</f>
        <v>4.4142725449166829</v>
      </c>
      <c r="AO144" s="8">
        <f t="shared" si="48"/>
        <v>1818.3821747104298</v>
      </c>
      <c r="AP144" s="8">
        <f>IF(_xlfn.XLOOKUP(E144,Groups!A:A,Groups!M:M)=1,EXP(0.7444*LN('Base stats'!C144)+6.5696),EXP(0.7927*LN('Base stats'!C144)+4.28))</f>
        <v>1946.2195395557933</v>
      </c>
      <c r="AQ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"No")))))))))))))))</f>
        <v>3029.4467644574979</v>
      </c>
      <c r="AR144" s="8">
        <f>IF(_xlfn.XLOOKUP(E144,Groups!A:A,Groups!U:U)=3,AP144,IF(_xlfn.XLOOKUP(E144,Groups!A:A,Groups!U:U)=2,AO144,AQ144))</f>
        <v>3029.4467644574979</v>
      </c>
      <c r="AS144" s="46">
        <f>IFERROR(AVERAGE(_xlfn.XLOOKUP(B144,Animals!B:B,Animals!M:M),_xlfn.XLOOKUP(B144,Animals!B:B,Animals!N:N)),0)</f>
        <v>0</v>
      </c>
      <c r="AT144" s="8">
        <f>MROUND(40*Animals!AN144*_xlfn.XLOOKUP(Animals!AZ144,Leathers!$A$2:$A$100,Leathers!$B$2:$B$100,0)+(140*_xlfn.XLOOKUP(B144,Animals!B:B,Animals!AN:AN)*2),5)</f>
        <v>340</v>
      </c>
      <c r="AU144" s="8">
        <f>IFERROR(ROUND(SQRT(V144-1)*IF(_xlfn.XLOOKUP(E144,Groups!A:A,Groups!BE:BE)=0,2,1)*IF(_xlfn.XLOOKUP('Base stats'!E144,Groups!A:A,Groups!O:O)=0,1,0.1),1),0)</f>
        <v>3.1</v>
      </c>
      <c r="AV144" s="8">
        <f t="shared" si="49"/>
        <v>0</v>
      </c>
      <c r="AW144" s="8">
        <f t="shared" si="50"/>
        <v>0</v>
      </c>
      <c r="AX144" s="8">
        <f t="shared" si="51"/>
        <v>3.5</v>
      </c>
      <c r="AY144" s="8">
        <f>IF(_xlfn.XLOOKUP(E144,Groups!A:A,Groups!N:N)="Insect",BA144*2.5,IFERROR(AVERAGE(BA144,AQ144/9.81/IF(OR(_xlfn.XLOOKUP(E144,Groups!A:A,Groups!N:N)="Pig",_xlfn.XLOOKUP(E144,Groups!A:A,Groups!N:N)="StrongBitingHerbivore"),20,25))*C144^-0.135,BA144))</f>
        <v>3.8780032568791114</v>
      </c>
      <c r="AZ144" s="8" t="str">
        <f>IF(W144="No","No",IF(_xlfn.XLOOKUP(E144,Groups!A:A,Groups!U:U)=1,'Base stats'!AY144,IF(OR(_xlfn.XLOOKUP(E144,Groups!A:A,Groups!BC:BC)=1,_xlfn.XLOOKUP(E144,Groups!A:A,Groups!U:U)=2),BA144,IF(_xlfn.XLOOKUP(B144,Animals!B:B,Animals!AN:AN)&gt;4,AVERAGE(BA144,BC144),BC144))))</f>
        <v>No</v>
      </c>
      <c r="BA144" s="8">
        <f>(0.0392*C144^IF(OR(Y144="Herbivore",Y144="Dendrovore",Y144="OmnivoreRough"),0.889,0.966))*C144^-0.135</f>
        <v>1.2382521883166966</v>
      </c>
      <c r="BB144" s="8">
        <f>IF(_xlfn.XLOOKUP(E144,Groups!A:A,Groups!BD:BD)=1,(0.048*C144^1.01)+(0.071*C144^1.03),0.071*C144^1.03)/IF(_xlfn.XLOOKUP(E144,Groups!A:A,Groups!M:M)=1,0.85,IF(OR(_xlfn.XLOOKUP(B144,Animals!B:B,Animals!AN:AN)&gt;4,_xlfn.XLOOKUP(E144,Groups!A:A,Groups!BB:BB)=1),1.7,1))*C144^-0.25</f>
        <v>1.8144829690708788</v>
      </c>
      <c r="BC144" s="8">
        <f>(0.048*C144^1.01)/IF(_xlfn.XLOOKUP(E144,Groups!A:A,Groups!M:M)=1,0.25,0.8)*C144^-0.25</f>
        <v>1.4110948086116992</v>
      </c>
      <c r="BD144" s="8">
        <f>EXP(1.076*LN(AO144)-4.5397)*IF(_xlfn.XLOOKUP(E144,Groups!A:A,Groups!BB:BB)=1,1.25,IF(_xlfn.XLOOKUP(E144,Groups!A:A,Groups!BC:BC)=1,3.5,2.5))</f>
        <v>85.860732091557921</v>
      </c>
      <c r="BE144" s="8">
        <f>EXP(1.076*LN(AP144)-4.5397)*IF(_xlfn.XLOOKUP(E144,Groups!A:A,Groups!M:M)=1,0.8,IF(_xlfn.XLOOKUP(E144,Groups!A:A,Groups!BB:BB)=1,1.3,3))</f>
        <v>110.84727027247962</v>
      </c>
      <c r="BF144" s="8" t="str">
        <f>IF(W144="No","No",IF(_xlfn.XLOOKUP(E144,Groups!A:A,Groups!U:U)=1,'Base stats'!BG144,IF(OR(_xlfn.XLOOKUP(E144,Groups!A:A,Groups!BC:BC)=1,_xlfn.XLOOKUP(E144,Groups!A:A,Groups!U:U)=2),BD144,BE144))*1.2)</f>
        <v>No</v>
      </c>
      <c r="BG144" s="8">
        <f>IFERROR(EXP(1.076*LN(AQ144)-4.5397)*IF(_xlfn.XLOOKUP(E144,Groups!A:A,Groups!N:N)="Insect",1,IF(OR(_xlfn.XLOOKUP(E144,Groups!A:A,Groups!N:N)="Pig",_xlfn.XLOOKUP(E144,Groups!A:A,Groups!N:N)="StrongBitingHerbivore"),3.5,3.75)),"No")</f>
        <v>223.05478597657822</v>
      </c>
      <c r="BH144" s="8">
        <f t="shared" si="52"/>
        <v>11</v>
      </c>
      <c r="BI144" s="8">
        <f t="shared" si="53"/>
        <v>11</v>
      </c>
      <c r="BJ144" s="8" t="str">
        <f>IF(W144="No","No",ROUNDDOWN(SQRT((2*BF144)/AZ144),0))</f>
        <v>No</v>
      </c>
      <c r="BK144" s="8">
        <f>IF(V144="No","No",ROUNDDOWN(SQRT((2*BG144)/AY144),0))</f>
        <v>10</v>
      </c>
      <c r="BL144" s="8">
        <f t="shared" si="54"/>
        <v>12</v>
      </c>
      <c r="BM144" s="8" t="str" cm="1">
        <f t="array" ref="BM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stats'!E144,Groups!A:A,Groups!P:P=0)),"No",IF(U144="No",AVERAGE(EXP(-0.57+0.99*LN(C144)),EXP(0.32+0.67*LN(C144)))/IF(_xlfn.XLOOKUP(E144,Groups!A:A,Groups!AD:AD)=1,10,2),(0.7354*C144^0.4078)*2/IF(_xlfn.XLOOKUP(E144,Groups!A:A,Groups!BJ:BJ)=1,1000,100)))</f>
        <v>No</v>
      </c>
      <c r="BN144" s="8" t="str">
        <f>IF(W144="No","No",IF(_xlfn.XLOOKUP(E144,Groups!A:A,Groups!BC:BC)=1,(AL144*5%),EXP(0.7354*LN(C144)^0.4078)*2/IF(_xlfn.XLOOKUP(E144,Groups!A:A,Groups!BK:BK)=1,1000,100)))</f>
        <v>No</v>
      </c>
      <c r="BO144" s="8">
        <f>IF(BG144="No","No",IF(_xlfn.XLOOKUP(E144,Groups!A:A,Groups!BE:BE)=1,(0.0315*C144+2.1825)*2,(0.7354*C144^0.4078)*2)/IF(_xlfn.XLOOKUP(E144,Groups!A:A,Groups!BL:BL)=1,1000,100))</f>
        <v>8.0060932154055159E-2</v>
      </c>
      <c r="BP144" s="8">
        <f>BD144/(AL144*5%)</f>
        <v>0.10389376409174737</v>
      </c>
      <c r="BQ144" s="8" t="str">
        <f t="shared" si="55"/>
        <v>No</v>
      </c>
      <c r="BR144" s="8" t="str">
        <f>IF(W144="No","No",BF144/BN144)</f>
        <v>No</v>
      </c>
      <c r="BS144" s="8">
        <f t="shared" si="56"/>
        <v>2786.062814599396</v>
      </c>
      <c r="BT144" s="4">
        <v>0</v>
      </c>
      <c r="BU144" s="4">
        <v>1</v>
      </c>
    </row>
    <row r="145" spans="1:73" x14ac:dyDescent="0.25">
      <c r="A145" s="26" t="s">
        <v>501</v>
      </c>
      <c r="B145" s="6" t="s">
        <v>910</v>
      </c>
      <c r="C145" s="7">
        <f>AVERAGE(20,32)</f>
        <v>26</v>
      </c>
      <c r="E145" s="7" t="s">
        <v>55</v>
      </c>
      <c r="F145" s="7">
        <v>63</v>
      </c>
      <c r="G145" s="7">
        <f t="shared" si="58"/>
        <v>1.3972602739726028</v>
      </c>
      <c r="H145" s="7">
        <v>27</v>
      </c>
      <c r="I145" s="4">
        <v>0</v>
      </c>
      <c r="J145" s="7">
        <v>6</v>
      </c>
      <c r="K145" s="7" t="s">
        <v>517</v>
      </c>
      <c r="L145" s="7">
        <f t="shared" si="57"/>
        <v>50.114557004574422</v>
      </c>
      <c r="M145" s="7" t="s">
        <v>638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_xlfn.XLOOKUP(B145,[1]TeethAdjusters!$A:$A,[1]BiteAdjusters!$C:$C)</f>
        <v>0.71417487730106877</v>
      </c>
      <c r="T145" s="7">
        <f>_xlfn.XLOOKUP(B145,[1]TeethAdjusters!$A:$A,[1]TeethAdjusters!$B:$B)</f>
        <v>0.95359131166584876</v>
      </c>
      <c r="U145" s="7" t="s">
        <v>45</v>
      </c>
      <c r="V145" s="7">
        <f>IF(AQ145="No","No",IF(_xlfn.XLOOKUP(E145,Groups!A:A,Groups!AM:AM)=1,MROUND(EXP(0.3582*LN(C145)-0.2221)*T145,0.05),IF(_xlfn.XLOOKUP(E145,Groups!A:A,Groups!AM:AM)=2,MROUND(EXP(0.3582*LN(C145)-0.2221)*T145,0.05),"Need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945</v>
      </c>
      <c r="Y145" s="4" t="s">
        <v>53</v>
      </c>
      <c r="Z145" s="4">
        <v>0</v>
      </c>
      <c r="AA145" s="4">
        <v>0</v>
      </c>
      <c r="AB145" s="4">
        <v>0</v>
      </c>
      <c r="AC145" s="4" t="s">
        <v>45</v>
      </c>
      <c r="AD145" s="4" t="s">
        <v>506</v>
      </c>
      <c r="AE145" s="28" t="s">
        <v>388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4" t="s">
        <v>40</v>
      </c>
      <c r="AL145" s="8">
        <f t="shared" si="47"/>
        <v>9226.8966253474555</v>
      </c>
      <c r="AM145" s="8">
        <f>IFERROR(C145*_xlfn.XLOOKUP(E145,Groups!A:A,Groups!K:K),0.106*C145^0.94)</f>
        <v>3.2435</v>
      </c>
      <c r="AN145" s="8">
        <f>AM145*10000/(_xlfn.XLOOKUP(E145,Groups!A:A,Groups!J:J)*AL145)</f>
        <v>3.2250150773553727</v>
      </c>
      <c r="AO145" s="8">
        <f t="shared" si="48"/>
        <v>852.44964986092737</v>
      </c>
      <c r="AP145" s="8">
        <f>IF(_xlfn.XLOOKUP(E145,Groups!A:A,Groups!M:M)=1,EXP(0.7444*LN('Base stats'!C145)+6.5696),EXP(0.7927*LN('Base stats'!C145)+4.28))</f>
        <v>955.93806528846119</v>
      </c>
      <c r="AQ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"No")))))))))))))))</f>
        <v>1430.4179494916264</v>
      </c>
      <c r="AR145" s="8">
        <f>IF(_xlfn.XLOOKUP(E145,Groups!A:A,Groups!U:U)=3,AP145,IF(_xlfn.XLOOKUP(E145,Groups!A:A,Groups!U:U)=2,AO145,AQ145))</f>
        <v>1430.4179494916264</v>
      </c>
      <c r="AS145" s="46">
        <f>IFERROR(AVERAGE(_xlfn.XLOOKUP(B145,Animals!B:B,Animals!M:M),_xlfn.XLOOKUP(B145,Animals!B:B,Animals!N:N)),0)</f>
        <v>0</v>
      </c>
      <c r="AT145" s="8">
        <f>MROUND(40*Animals!AN145*_xlfn.XLOOKUP(Animals!AZ145,Leathers!$A$2:$A$100,Leathers!$B$2:$B$100,0)+(140*_xlfn.XLOOKUP(B145,Animals!B:B,Animals!AN:AN)*2),5)</f>
        <v>235</v>
      </c>
      <c r="AU145" s="8">
        <f>IFERROR(ROUND(SQRT(V145-1)*IF(_xlfn.XLOOKUP(E145,Groups!A:A,Groups!BE:BE)=0,2,1)*IF(_xlfn.XLOOKUP('Base stats'!E145,Groups!A:A,Groups!O:O)=0,1,0.1),1),0)</f>
        <v>2.4</v>
      </c>
      <c r="AV145" s="8">
        <f t="shared" si="49"/>
        <v>0</v>
      </c>
      <c r="AW145" s="8">
        <f t="shared" si="50"/>
        <v>0</v>
      </c>
      <c r="AX145" s="8">
        <f t="shared" si="51"/>
        <v>2.6</v>
      </c>
      <c r="AY145" s="8">
        <f>IF(_xlfn.XLOOKUP(E145,Groups!A:A,Groups!N:N)="Insect",BA145*2.5,IFERROR(AVERAGE(BA145,AQ145/9.81/IF(OR(_xlfn.XLOOKUP(E145,Groups!A:A,Groups!N:N)="Pig",_xlfn.XLOOKUP(E145,Groups!A:A,Groups!N:N)="StrongBitingHerbivore"),20,25))*C145^-0.135,BA145))</f>
        <v>2.0677306773689037</v>
      </c>
      <c r="AZ145" s="8" t="str">
        <f>IF(W145="No","No",IF(_xlfn.XLOOKUP(E145,Groups!A:A,Groups!U:U)=1,'Base stats'!AY145,IF(OR(_xlfn.XLOOKUP(E145,Groups!A:A,Groups!BC:BC)=1,_xlfn.XLOOKUP(E145,Groups!A:A,Groups!U:U)=2),BA145,IF(_xlfn.XLOOKUP(B145,Animals!B:B,Animals!AN:AN)&gt;4,AVERAGE(BA145,BC145),BC145))))</f>
        <v>No</v>
      </c>
      <c r="BA145" s="8">
        <f>(0.0392*C145^IF(OR(Y145="Herbivore",Y145="Dendrovore",Y145="OmnivoreRough"),0.889,0.966))*C145^-0.135</f>
        <v>0.58766377309862416</v>
      </c>
      <c r="BB145" s="8">
        <f>IF(_xlfn.XLOOKUP(E145,Groups!A:A,Groups!BD:BD)=1,(0.048*C145^1.01)+(0.071*C145^1.03),0.071*C145^1.03)/IF(_xlfn.XLOOKUP(E145,Groups!A:A,Groups!M:M)=1,0.85,IF(OR(_xlfn.XLOOKUP(B145,Animals!B:B,Animals!AN:AN)&gt;4,_xlfn.XLOOKUP(E145,Groups!A:A,Groups!BB:BB)=1),1.7,1))*C145^-0.25</f>
        <v>0.90144152524684229</v>
      </c>
      <c r="BC145" s="8">
        <f>(0.048*C145^1.01)/IF(_xlfn.XLOOKUP(E145,Groups!A:A,Groups!M:M)=1,0.25,0.8)*C145^-0.25</f>
        <v>0.71372514062620962</v>
      </c>
      <c r="BD145" s="8">
        <f>EXP(1.076*LN(AO145)-4.5397)*IF(_xlfn.XLOOKUP(E145,Groups!A:A,Groups!BB:BB)=1,1.25,IF(_xlfn.XLOOKUP(E145,Groups!A:A,Groups!BC:BC)=1,3.5,2.5))</f>
        <v>37.999064941141754</v>
      </c>
      <c r="BE145" s="8">
        <f>EXP(1.076*LN(AP145)-4.5397)*IF(_xlfn.XLOOKUP(E145,Groups!A:A,Groups!M:M)=1,0.8,IF(_xlfn.XLOOKUP(E145,Groups!A:A,Groups!BB:BB)=1,1.3,3))</f>
        <v>51.581861630943912</v>
      </c>
      <c r="BF145" s="8" t="str">
        <f>IF(W145="No","No",IF(_xlfn.XLOOKUP(E145,Groups!A:A,Groups!U:U)=1,'Base stats'!BG145,IF(OR(_xlfn.XLOOKUP(E145,Groups!A:A,Groups!BC:BC)=1,_xlfn.XLOOKUP(E145,Groups!A:A,Groups!U:U)=2),BD145,BE145))*1.2)</f>
        <v>No</v>
      </c>
      <c r="BG145" s="8">
        <f>IFERROR(EXP(1.076*LN(AQ145)-4.5397)*IF(_xlfn.XLOOKUP(E145,Groups!A:A,Groups!N:N)="Insect",1,IF(OR(_xlfn.XLOOKUP(E145,Groups!A:A,Groups!N:N)="Pig",_xlfn.XLOOKUP(E145,Groups!A:A,Groups!N:N)="StrongBitingHerbivore"),3.5,3.75)),"No")</f>
        <v>99.481595909926881</v>
      </c>
      <c r="BH145" s="8">
        <f t="shared" si="52"/>
        <v>11</v>
      </c>
      <c r="BI145" s="8">
        <f t="shared" si="53"/>
        <v>10</v>
      </c>
      <c r="BJ145" s="8" t="str">
        <f>IF(W145="No","No",ROUNDDOWN(SQRT((2*BF145)/AZ145),0))</f>
        <v>No</v>
      </c>
      <c r="BK145" s="8">
        <f>IF(V145="No","No",ROUNDDOWN(SQRT((2*BG145)/AY145),0))</f>
        <v>9</v>
      </c>
      <c r="BL145" s="8">
        <f t="shared" si="54"/>
        <v>12</v>
      </c>
      <c r="BM145" s="8" t="str" cm="1">
        <f t="array" ref="BM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stats'!E145,Groups!A:A,Groups!P:P=0)),"No",IF(U145="No",AVERAGE(EXP(-0.57+0.99*LN(C145)),EXP(0.32+0.67*LN(C145)))/IF(_xlfn.XLOOKUP(E145,Groups!A:A,Groups!AD:AD)=1,10,2),(0.7354*C145^0.4078)*2/IF(_xlfn.XLOOKUP(E145,Groups!A:A,Groups!BJ:BJ)=1,1000,100)))</f>
        <v>No</v>
      </c>
      <c r="BN145" s="8" t="str">
        <f>IF(W145="No","No",IF(_xlfn.XLOOKUP(E145,Groups!A:A,Groups!BC:BC)=1,(AL145*5%),EXP(0.7354*LN(C145)^0.4078)*2/IF(_xlfn.XLOOKUP(E145,Groups!A:A,Groups!BK:BK)=1,1000,100)))</f>
        <v>No</v>
      </c>
      <c r="BO145" s="8">
        <f>IF(BG145="No","No",IF(_xlfn.XLOOKUP(E145,Groups!A:A,Groups!BE:BE)=1,(0.0315*C145+2.1825)*2,(0.7354*C145^0.4078)*2)/IF(_xlfn.XLOOKUP(E145,Groups!A:A,Groups!BL:BL)=1,1000,100))</f>
        <v>5.5536659356448935E-2</v>
      </c>
      <c r="BP145" s="8">
        <f>BD145/(AL145*5%)</f>
        <v>8.2365862508426729E-2</v>
      </c>
      <c r="BQ145" s="8" t="str">
        <f t="shared" si="55"/>
        <v>No</v>
      </c>
      <c r="BR145" s="8" t="str">
        <f>IF(W145="No","No",BF145/BN145)</f>
        <v>No</v>
      </c>
      <c r="BS145" s="8">
        <f t="shared" si="56"/>
        <v>1791.2779966009073</v>
      </c>
      <c r="BT145" s="4">
        <v>0</v>
      </c>
      <c r="BU145" s="4">
        <v>1</v>
      </c>
    </row>
    <row r="146" spans="1:73" x14ac:dyDescent="0.25">
      <c r="A146" s="26" t="s">
        <v>502</v>
      </c>
      <c r="B146" s="6" t="s">
        <v>911</v>
      </c>
      <c r="C146" s="7">
        <f>AVERAGE(6.35,8.16)</f>
        <v>7.2549999999999999</v>
      </c>
      <c r="E146" s="7" t="s">
        <v>55</v>
      </c>
      <c r="F146" s="7">
        <v>63</v>
      </c>
      <c r="G146" s="7">
        <f t="shared" si="58"/>
        <v>1.3972602739726028</v>
      </c>
      <c r="H146" s="7">
        <v>27</v>
      </c>
      <c r="I146" s="4">
        <v>0</v>
      </c>
      <c r="J146" s="7">
        <v>6</v>
      </c>
      <c r="K146" s="7" t="s">
        <v>517</v>
      </c>
      <c r="L146" s="7">
        <f t="shared" si="57"/>
        <v>44.73299720791843</v>
      </c>
      <c r="M146" s="7" t="s">
        <v>638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_xlfn.XLOOKUP(B146,[1]TeethAdjusters!$A:$A,[1]BiteAdjusters!$C:$C)</f>
        <v>0.71417487730106877</v>
      </c>
      <c r="T146" s="7">
        <f>_xlfn.XLOOKUP(B146,[1]TeethAdjusters!$A:$A,[1]TeethAdjusters!$B:$B)</f>
        <v>0.95359131166584876</v>
      </c>
      <c r="U146" s="7" t="s">
        <v>45</v>
      </c>
      <c r="V146" s="7">
        <f>IF(AQ146="No","No",IF(_xlfn.XLOOKUP(E146,Groups!A:A,Groups!AM:AM)=1,MROUND(EXP(0.3582*LN(C146)-0.2221)*T146,0.05),IF(_xlfn.XLOOKUP(E146,Groups!A:A,Groups!AM:AM)=2,MROUND(EXP(0.3582*LN(C146)-0.2221)*T146,0.05),"Need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945</v>
      </c>
      <c r="Y146" s="4" t="s">
        <v>53</v>
      </c>
      <c r="Z146" s="4">
        <v>0</v>
      </c>
      <c r="AA146" s="4">
        <v>0</v>
      </c>
      <c r="AB146" s="4">
        <v>0</v>
      </c>
      <c r="AC146" s="4" t="s">
        <v>45</v>
      </c>
      <c r="AD146" s="4" t="s">
        <v>506</v>
      </c>
      <c r="AE146" s="28" t="s">
        <v>388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4" t="s">
        <v>40</v>
      </c>
      <c r="AL146" s="8">
        <f t="shared" si="47"/>
        <v>4024.7350855215182</v>
      </c>
      <c r="AM146" s="8">
        <f>IFERROR(C146*_xlfn.XLOOKUP(E146,Groups!A:A,Groups!K:K),0.106*C146^0.94)</f>
        <v>0.90506125000000004</v>
      </c>
      <c r="AN146" s="8">
        <f>AM146*10000/(_xlfn.XLOOKUP(E146,Groups!A:A,Groups!J:J)*AL146)</f>
        <v>2.0630709956671738</v>
      </c>
      <c r="AO146" s="8">
        <f t="shared" si="48"/>
        <v>290.01547733821099</v>
      </c>
      <c r="AP146" s="8">
        <f>IF(_xlfn.XLOOKUP(E146,Groups!A:A,Groups!M:M)=1,EXP(0.7444*LN('Base stats'!C146)+6.5696),EXP(0.7927*LN('Base stats'!C146)+4.28))</f>
        <v>347.54229352987414</v>
      </c>
      <c r="AQ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"No")))))))))))))))</f>
        <v>491.64324621650781</v>
      </c>
      <c r="AR146" s="8">
        <f>IF(_xlfn.XLOOKUP(E146,Groups!A:A,Groups!U:U)=3,AP146,IF(_xlfn.XLOOKUP(E146,Groups!A:A,Groups!U:U)=2,AO146,AQ146))</f>
        <v>491.64324621650781</v>
      </c>
      <c r="AS146" s="46">
        <f>IFERROR(AVERAGE(_xlfn.XLOOKUP(B146,Animals!B:B,Animals!M:M),_xlfn.XLOOKUP(B146,Animals!B:B,Animals!N:N)),0)</f>
        <v>0</v>
      </c>
      <c r="AT146" s="8">
        <f>MROUND(40*Animals!AN146*_xlfn.XLOOKUP(Animals!AZ146,Leathers!$A$2:$A$100,Leathers!$B$2:$B$100,0)+(140*_xlfn.XLOOKUP(B146,Animals!B:B,Animals!AN:AN)*2),5)</f>
        <v>125</v>
      </c>
      <c r="AU146" s="8">
        <f>IFERROR(ROUND(SQRT(V146-1)*IF(_xlfn.XLOOKUP(E146,Groups!A:A,Groups!BE:BE)=0,2,1)*IF(_xlfn.XLOOKUP('Base stats'!E146,Groups!A:A,Groups!O:O)=0,1,0.1),1),0)</f>
        <v>1.5</v>
      </c>
      <c r="AV146" s="8">
        <f t="shared" si="49"/>
        <v>0</v>
      </c>
      <c r="AW146" s="8">
        <f t="shared" si="50"/>
        <v>0</v>
      </c>
      <c r="AX146" s="8">
        <f t="shared" si="51"/>
        <v>1.3</v>
      </c>
      <c r="AY146" s="8">
        <f>IF(_xlfn.XLOOKUP(E146,Groups!A:A,Groups!N:N)="Insect",BA146*2.5,IFERROR(AVERAGE(BA146,AQ146/9.81/IF(OR(_xlfn.XLOOKUP(E146,Groups!A:A,Groups!N:N)="Pig",_xlfn.XLOOKUP(E146,Groups!A:A,Groups!N:N)="StrongBitingHerbivore"),20,25))*C146^-0.135,BA146))</f>
        <v>0.84490256382363227</v>
      </c>
      <c r="AZ146" s="8" t="str">
        <f>IF(W146="No","No",IF(_xlfn.XLOOKUP(E146,Groups!A:A,Groups!U:U)=1,'Base stats'!AY146,IF(OR(_xlfn.XLOOKUP(E146,Groups!A:A,Groups!BC:BC)=1,_xlfn.XLOOKUP(E146,Groups!A:A,Groups!U:U)=2),BA146,IF(_xlfn.XLOOKUP(B146,Animals!B:B,Animals!AN:AN)&gt;4,AVERAGE(BA146,BC146),BC146))))</f>
        <v>No</v>
      </c>
      <c r="BA146" s="8">
        <f>(0.0392*C146^IF(OR(Y146="Herbivore",Y146="Dendrovore",Y146="OmnivoreRough"),0.889,0.966))*C146^-0.135</f>
        <v>0.20345846347103066</v>
      </c>
      <c r="BB146" s="8">
        <f>IF(_xlfn.XLOOKUP(E146,Groups!A:A,Groups!BD:BD)=1,(0.048*C146^1.01)+(0.071*C146^1.03),0.071*C146^1.03)/IF(_xlfn.XLOOKUP(E146,Groups!A:A,Groups!M:M)=1,0.85,IF(OR(_xlfn.XLOOKUP(B146,Animals!B:B,Animals!AN:AN)&gt;4,_xlfn.XLOOKUP(E146,Groups!A:A,Groups!BB:BB)=1),1.7,1))*C146^-0.25</f>
        <v>0.33308535164464653</v>
      </c>
      <c r="BC146" s="8">
        <f>(0.048*C146^1.01)/IF(_xlfn.XLOOKUP(E146,Groups!A:A,Groups!M:M)=1,0.25,0.8)*C146^-0.25</f>
        <v>0.27054261726437773</v>
      </c>
      <c r="BD146" s="8">
        <f>EXP(1.076*LN(AO146)-4.5397)*IF(_xlfn.XLOOKUP(E146,Groups!A:A,Groups!BB:BB)=1,1.25,IF(_xlfn.XLOOKUP(E146,Groups!A:A,Groups!BC:BC)=1,3.5,2.5))</f>
        <v>11.910734230819106</v>
      </c>
      <c r="BE146" s="8">
        <f>EXP(1.076*LN(AP146)-4.5397)*IF(_xlfn.XLOOKUP(E146,Groups!A:A,Groups!M:M)=1,0.8,IF(_xlfn.XLOOKUP(E146,Groups!A:A,Groups!BB:BB)=1,1.3,3))</f>
        <v>17.365162048439693</v>
      </c>
      <c r="BF146" s="8" t="str">
        <f>IF(W146="No","No",IF(_xlfn.XLOOKUP(E146,Groups!A:A,Groups!U:U)=1,'Base stats'!BG146,IF(OR(_xlfn.XLOOKUP(E146,Groups!A:A,Groups!BC:BC)=1,_xlfn.XLOOKUP(E146,Groups!A:A,Groups!U:U)=2),BD146,BE146))*1.2)</f>
        <v>No</v>
      </c>
      <c r="BG146" s="8">
        <f>IFERROR(EXP(1.076*LN(AQ146)-4.5397)*IF(_xlfn.XLOOKUP(E146,Groups!A:A,Groups!N:N)="Insect",1,IF(OR(_xlfn.XLOOKUP(E146,Groups!A:A,Groups!N:N)="Pig",_xlfn.XLOOKUP(E146,Groups!A:A,Groups!N:N)="StrongBitingHerbivore"),3.5,3.75)),"No")</f>
        <v>31.52681451913573</v>
      </c>
      <c r="BH146" s="8">
        <f t="shared" si="52"/>
        <v>10</v>
      </c>
      <c r="BI146" s="8">
        <f t="shared" si="53"/>
        <v>10</v>
      </c>
      <c r="BJ146" s="8" t="str">
        <f>IF(W146="No","No",ROUNDDOWN(SQRT((2*BF146)/AZ146),0))</f>
        <v>No</v>
      </c>
      <c r="BK146" s="8">
        <f>IF(V146="No","No",ROUNDDOWN(SQRT((2*BG146)/AY146),0))</f>
        <v>8</v>
      </c>
      <c r="BL146" s="8">
        <f t="shared" si="54"/>
        <v>11</v>
      </c>
      <c r="BM146" s="8" t="str" cm="1">
        <f t="array" ref="BM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stats'!E146,Groups!A:A,Groups!P:P=0)),"No",IF(U146="No",AVERAGE(EXP(-0.57+0.99*LN(C146)),EXP(0.32+0.67*LN(C146)))/IF(_xlfn.XLOOKUP(E146,Groups!A:A,Groups!AD:AD)=1,10,2),(0.7354*C146^0.4078)*2/IF(_xlfn.XLOOKUP(E146,Groups!A:A,Groups!BJ:BJ)=1,1000,100)))</f>
        <v>No</v>
      </c>
      <c r="BN146" s="8" t="str">
        <f>IF(W146="No","No",IF(_xlfn.XLOOKUP(E146,Groups!A:A,Groups!BC:BC)=1,(AL146*5%),EXP(0.7354*LN(C146)^0.4078)*2/IF(_xlfn.XLOOKUP(E146,Groups!A:A,Groups!BK:BK)=1,1000,100)))</f>
        <v>No</v>
      </c>
      <c r="BO146" s="8">
        <f>IF(BG146="No","No",IF(_xlfn.XLOOKUP(E146,Groups!A:A,Groups!BE:BE)=1,(0.0315*C146+2.1825)*2,(0.7354*C146^0.4078)*2)/IF(_xlfn.XLOOKUP(E146,Groups!A:A,Groups!BL:BL)=1,1000,100))</f>
        <v>3.3000579003953534E-2</v>
      </c>
      <c r="BP146" s="8">
        <f>BD146/(AL146*5%)</f>
        <v>5.9187668145744471E-2</v>
      </c>
      <c r="BQ146" s="8" t="str">
        <f t="shared" si="55"/>
        <v>No</v>
      </c>
      <c r="BR146" s="8" t="str">
        <f>IF(W146="No","No",BF146/BN146)</f>
        <v>No</v>
      </c>
      <c r="BS146" s="8">
        <f t="shared" si="56"/>
        <v>955.34125372038943</v>
      </c>
      <c r="BT146" s="4">
        <v>0</v>
      </c>
      <c r="BU146" s="4">
        <v>1</v>
      </c>
    </row>
    <row r="147" spans="1:73" x14ac:dyDescent="0.25">
      <c r="A147" s="26" t="s">
        <v>60</v>
      </c>
      <c r="B147" s="6" t="s">
        <v>912</v>
      </c>
      <c r="C147" s="7">
        <f>AVERAGE(AVERAGE(50,60),AVERAGE(35,48))</f>
        <v>48.25</v>
      </c>
      <c r="E147" s="7" t="s">
        <v>55</v>
      </c>
      <c r="F147" s="7">
        <v>63</v>
      </c>
      <c r="G147" s="7">
        <f t="shared" si="58"/>
        <v>1.3972602739726028</v>
      </c>
      <c r="H147" s="7">
        <v>27</v>
      </c>
      <c r="I147" s="4">
        <v>0</v>
      </c>
      <c r="J147" s="7">
        <v>6</v>
      </c>
      <c r="K147" s="7" t="s">
        <v>517</v>
      </c>
      <c r="L147" s="7">
        <f t="shared" si="57"/>
        <v>52.949581146072717</v>
      </c>
      <c r="M147" s="7" t="s">
        <v>638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_xlfn.XLOOKUP(B147,[1]TeethAdjusters!$A:$A,[1]BiteAdjusters!$C:$C)</f>
        <v>0.71417487730106877</v>
      </c>
      <c r="T147" s="7">
        <f>_xlfn.XLOOKUP(B147,[1]TeethAdjusters!$A:$A,[1]TeethAdjusters!$B:$B)</f>
        <v>0.95359131166584876</v>
      </c>
      <c r="U147" s="7" t="s">
        <v>45</v>
      </c>
      <c r="V147" s="7">
        <f>IF(AQ147="No","No",IF(_xlfn.XLOOKUP(E147,Groups!A:A,Groups!AM:AM)=1,MROUND(EXP(0.3582*LN(C147)-0.2221)*T147,0.05),IF(_xlfn.XLOOKUP(E147,Groups!A:A,Groups!AM:AM)=2,MROUND(EXP(0.3582*LN(C147)-0.2221)*T147,0.05),"Need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945</v>
      </c>
      <c r="Y147" s="4" t="s">
        <v>53</v>
      </c>
      <c r="Z147" s="4">
        <v>0</v>
      </c>
      <c r="AA147" s="4">
        <v>0</v>
      </c>
      <c r="AB147" s="4">
        <v>0</v>
      </c>
      <c r="AC147" s="4" t="s">
        <v>45</v>
      </c>
      <c r="AD147" s="4" t="s">
        <v>506</v>
      </c>
      <c r="AE147" s="28" t="s">
        <v>388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4" t="s">
        <v>40</v>
      </c>
      <c r="AL147" s="8">
        <f t="shared" si="47"/>
        <v>13791.015141040867</v>
      </c>
      <c r="AM147" s="8">
        <f>IFERROR(C147*_xlfn.XLOOKUP(E147,Groups!A:A,Groups!K:K),0.106*C147^0.94)</f>
        <v>6.0191875000000001</v>
      </c>
      <c r="AN147" s="8">
        <f>AM147*10000/(_xlfn.XLOOKUP(E147,Groups!A:A,Groups!J:J)*AL147)</f>
        <v>4.0041942601737244</v>
      </c>
      <c r="AO147" s="8">
        <f t="shared" si="48"/>
        <v>1437.1130527352805</v>
      </c>
      <c r="AP147" s="8">
        <f>IF(_xlfn.XLOOKUP(E147,Groups!A:A,Groups!M:M)=1,EXP(0.7444*LN('Base stats'!C147)+6.5696),EXP(0.7927*LN('Base stats'!C147)+4.28))</f>
        <v>1560.5895923972128</v>
      </c>
      <c r="AQ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"No")))))))))))))))</f>
        <v>2399.589520702521</v>
      </c>
      <c r="AR147" s="8">
        <f>IF(_xlfn.XLOOKUP(E147,Groups!A:A,Groups!U:U)=3,AP147,IF(_xlfn.XLOOKUP(E147,Groups!A:A,Groups!U:U)=2,AO147,AQ147))</f>
        <v>2399.589520702521</v>
      </c>
      <c r="AS147" s="46">
        <f>IFERROR(AVERAGE(_xlfn.XLOOKUP(B147,Animals!B:B,Animals!M:M),_xlfn.XLOOKUP(B147,Animals!B:B,Animals!N:N)),0)</f>
        <v>0</v>
      </c>
      <c r="AT147" s="8">
        <f>MROUND(40*Animals!AN147*_xlfn.XLOOKUP(Animals!AZ147,Leathers!$A$2:$A$100,Leathers!$B$2:$B$100,0)+(140*_xlfn.XLOOKUP(B147,Animals!B:B,Animals!AN:AN)*2),5)</f>
        <v>305</v>
      </c>
      <c r="AU147" s="8">
        <f>IFERROR(ROUND(SQRT(V147-1)*IF(_xlfn.XLOOKUP(E147,Groups!A:A,Groups!BE:BE)=0,2,1)*IF(_xlfn.XLOOKUP('Base stats'!E147,Groups!A:A,Groups!O:O)=0,1,0.1),1),0)</f>
        <v>2.9</v>
      </c>
      <c r="AV147" s="8">
        <f t="shared" si="49"/>
        <v>0</v>
      </c>
      <c r="AW147" s="8">
        <f t="shared" si="50"/>
        <v>0</v>
      </c>
      <c r="AX147" s="8">
        <f t="shared" si="51"/>
        <v>3.2</v>
      </c>
      <c r="AY147" s="8">
        <f>IF(_xlfn.XLOOKUP(E147,Groups!A:A,Groups!N:N)="Insect",BA147*2.5,IFERROR(AVERAGE(BA147,AQ147/9.81/IF(OR(_xlfn.XLOOKUP(E147,Groups!A:A,Groups!N:N)="Pig",_xlfn.XLOOKUP(E147,Groups!A:A,Groups!N:N)="StrongBitingHerbivore"),20,25))*C147^-0.135,BA147))</f>
        <v>3.1899021670776677</v>
      </c>
      <c r="AZ147" s="8" t="str">
        <f>IF(W147="No","No",IF(_xlfn.XLOOKUP(E147,Groups!A:A,Groups!U:U)=1,'Base stats'!AY147,IF(OR(_xlfn.XLOOKUP(E147,Groups!A:A,Groups!BC:BC)=1,_xlfn.XLOOKUP(E147,Groups!A:A,Groups!U:U)=2),BA147,IF(_xlfn.XLOOKUP(B147,Animals!B:B,Animals!AN:AN)&gt;4,AVERAGE(BA147,BC147),BC147))))</f>
        <v>No</v>
      </c>
      <c r="BA147" s="8">
        <f>(0.0392*C147^IF(OR(Y147="Herbivore",Y147="Dendrovore",Y147="OmnivoreRough"),0.889,0.966))*C147^-0.135</f>
        <v>0.98236377200852176</v>
      </c>
      <c r="BB147" s="8">
        <f>IF(_xlfn.XLOOKUP(E147,Groups!A:A,Groups!BD:BD)=1,(0.048*C147^1.01)+(0.071*C147^1.03),0.071*C147^1.03)/IF(_xlfn.XLOOKUP(E147,Groups!A:A,Groups!M:M)=1,0.85,IF(OR(_xlfn.XLOOKUP(B147,Animals!B:B,Animals!AN:AN)&gt;4,_xlfn.XLOOKUP(E147,Groups!A:A,Groups!BB:BB)=1),1.7,1))*C147^-0.25</f>
        <v>1.4601122900143402</v>
      </c>
      <c r="BC147" s="8">
        <f>(0.048*C147^1.01)/IF(_xlfn.XLOOKUP(E147,Groups!A:A,Groups!M:M)=1,0.25,0.8)*C147^-0.25</f>
        <v>1.1418504090805055</v>
      </c>
      <c r="BD147" s="8">
        <f>EXP(1.076*LN(AO147)-4.5397)*IF(_xlfn.XLOOKUP(E147,Groups!A:A,Groups!BB:BB)=1,1.25,IF(_xlfn.XLOOKUP(E147,Groups!A:A,Groups!BC:BC)=1,3.5,2.5))</f>
        <v>66.65513219525819</v>
      </c>
      <c r="BE147" s="8">
        <f>EXP(1.076*LN(AP147)-4.5397)*IF(_xlfn.XLOOKUP(E147,Groups!A:A,Groups!M:M)=1,0.8,IF(_xlfn.XLOOKUP(E147,Groups!A:A,Groups!BB:BB)=1,1.3,3))</f>
        <v>87.404389392044067</v>
      </c>
      <c r="BF147" s="8" t="str">
        <f>IF(W147="No","No",IF(_xlfn.XLOOKUP(E147,Groups!A:A,Groups!U:U)=1,'Base stats'!BG147,IF(OR(_xlfn.XLOOKUP(E147,Groups!A:A,Groups!BC:BC)=1,_xlfn.XLOOKUP(E147,Groups!A:A,Groups!U:U)=2),BD147,BE147))*1.2)</f>
        <v>No</v>
      </c>
      <c r="BG147" s="8">
        <f>IFERROR(EXP(1.076*LN(AQ147)-4.5397)*IF(_xlfn.XLOOKUP(E147,Groups!A:A,Groups!N:N)="Insect",1,IF(OR(_xlfn.XLOOKUP(E147,Groups!A:A,Groups!N:N)="Pig",_xlfn.XLOOKUP(E147,Groups!A:A,Groups!N:N)="StrongBitingHerbivore"),3.5,3.75)),"No")</f>
        <v>173.57691829716006</v>
      </c>
      <c r="BH147" s="8">
        <f t="shared" si="52"/>
        <v>11</v>
      </c>
      <c r="BI147" s="8">
        <f t="shared" si="53"/>
        <v>10</v>
      </c>
      <c r="BJ147" s="8" t="str">
        <f>IF(W147="No","No",ROUNDDOWN(SQRT((2*BF147)/AZ147),0))</f>
        <v>No</v>
      </c>
      <c r="BK147" s="8">
        <f>IF(V147="No","No",ROUNDDOWN(SQRT((2*BG147)/AY147),0))</f>
        <v>10</v>
      </c>
      <c r="BL147" s="8">
        <f t="shared" si="54"/>
        <v>12</v>
      </c>
      <c r="BM147" s="8" t="str" cm="1">
        <f t="array" ref="BM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stats'!E147,Groups!A:A,Groups!P:P=0)),"No",IF(U147="No",AVERAGE(EXP(-0.57+0.99*LN(C147)),EXP(0.32+0.67*LN(C147)))/IF(_xlfn.XLOOKUP(E147,Groups!A:A,Groups!AD:AD)=1,10,2),(0.7354*C147^0.4078)*2/IF(_xlfn.XLOOKUP(E147,Groups!A:A,Groups!BJ:BJ)=1,1000,100)))</f>
        <v>No</v>
      </c>
      <c r="BN147" s="8" t="str">
        <f>IF(W147="No","No",IF(_xlfn.XLOOKUP(E147,Groups!A:A,Groups!BC:BC)=1,(AL147*5%),EXP(0.7354*LN(C147)^0.4078)*2/IF(_xlfn.XLOOKUP(E147,Groups!A:A,Groups!BK:BK)=1,1000,100)))</f>
        <v>No</v>
      </c>
      <c r="BO147" s="8">
        <f>IF(BG147="No","No",IF(_xlfn.XLOOKUP(E147,Groups!A:A,Groups!BE:BE)=1,(0.0315*C147+2.1825)*2,(0.7354*C147^0.4078)*2)/IF(_xlfn.XLOOKUP(E147,Groups!A:A,Groups!BL:BL)=1,1000,100))</f>
        <v>7.1463425118040241E-2</v>
      </c>
      <c r="BP147" s="8">
        <f>BD147/(AL147*5%)</f>
        <v>9.6664576919937212E-2</v>
      </c>
      <c r="BQ147" s="8" t="str">
        <f t="shared" si="55"/>
        <v>No</v>
      </c>
      <c r="BR147" s="8" t="str">
        <f>IF(W147="No","No",BF147/BN147)</f>
        <v>No</v>
      </c>
      <c r="BS147" s="8">
        <f t="shared" si="56"/>
        <v>2428.8916744537937</v>
      </c>
      <c r="BT147" s="4">
        <v>0</v>
      </c>
      <c r="BU147" s="4">
        <v>1</v>
      </c>
    </row>
    <row r="148" spans="1:73" x14ac:dyDescent="0.25">
      <c r="A148" s="26" t="s">
        <v>503</v>
      </c>
      <c r="B148" s="6" t="s">
        <v>913</v>
      </c>
      <c r="C148" s="7">
        <f>AVERAGE(4,7.5)</f>
        <v>5.75</v>
      </c>
      <c r="E148" s="7" t="s">
        <v>55</v>
      </c>
      <c r="F148" s="7">
        <v>63</v>
      </c>
      <c r="G148" s="7">
        <f t="shared" si="58"/>
        <v>1.3972602739726028</v>
      </c>
      <c r="H148" s="7">
        <v>27</v>
      </c>
      <c r="I148" s="4">
        <v>0</v>
      </c>
      <c r="J148" s="7">
        <v>6</v>
      </c>
      <c r="K148" s="7" t="s">
        <v>517</v>
      </c>
      <c r="L148" s="7">
        <f t="shared" si="57"/>
        <v>43.816905798819768</v>
      </c>
      <c r="M148" s="7" t="s">
        <v>638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_xlfn.XLOOKUP(B148,[1]TeethAdjusters!$A:$A,[1]BiteAdjusters!$C:$C)</f>
        <v>0.71417487730106877</v>
      </c>
      <c r="T148" s="7">
        <f>_xlfn.XLOOKUP(B148,[1]TeethAdjusters!$A:$A,[1]TeethAdjusters!$B:$B)</f>
        <v>0.95359131166584876</v>
      </c>
      <c r="U148" s="7" t="s">
        <v>45</v>
      </c>
      <c r="V148" s="7">
        <f>IF(AQ148="No","No",IF(_xlfn.XLOOKUP(E148,Groups!A:A,Groups!AM:AM)=1,MROUND(EXP(0.3582*LN(C148)-0.2221)*T148,0.05),IF(_xlfn.XLOOKUP(E148,Groups!A:A,Groups!AM:AM)=2,MROUND(EXP(0.3582*LN(C148)-0.2221)*T148,0.05),"Need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945</v>
      </c>
      <c r="Y148" s="4" t="s">
        <v>53</v>
      </c>
      <c r="Z148" s="4">
        <v>0</v>
      </c>
      <c r="AA148" s="4">
        <v>0</v>
      </c>
      <c r="AB148" s="4">
        <v>0</v>
      </c>
      <c r="AC148" s="4" t="s">
        <v>45</v>
      </c>
      <c r="AD148" s="4" t="s">
        <v>506</v>
      </c>
      <c r="AE148" s="28" t="s">
        <v>388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4" t="s">
        <v>40</v>
      </c>
      <c r="AL148" s="8">
        <f t="shared" si="47"/>
        <v>3460.2468171098335</v>
      </c>
      <c r="AM148" s="8">
        <f>IFERROR(C148*_xlfn.XLOOKUP(E148,Groups!A:A,Groups!K:K),0.106*C148^0.94)</f>
        <v>0.71731250000000002</v>
      </c>
      <c r="AN148" s="8">
        <f>AM148*10000/(_xlfn.XLOOKUP(E148,Groups!A:A,Groups!J:J)*AL148)</f>
        <v>1.9018437041291336</v>
      </c>
      <c r="AO148" s="8">
        <f t="shared" si="48"/>
        <v>238.30446417592884</v>
      </c>
      <c r="AP148" s="8">
        <f>IF(_xlfn.XLOOKUP(E148,Groups!A:A,Groups!M:M)=1,EXP(0.7444*LN('Base stats'!C148)+6.5696),EXP(0.7927*LN('Base stats'!C148)+4.28))</f>
        <v>289.04741052214547</v>
      </c>
      <c r="AQ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"No")))))))))))))))</f>
        <v>404.73320545809173</v>
      </c>
      <c r="AR148" s="8">
        <f>IF(_xlfn.XLOOKUP(E148,Groups!A:A,Groups!U:U)=3,AP148,IF(_xlfn.XLOOKUP(E148,Groups!A:A,Groups!U:U)=2,AO148,AQ148))</f>
        <v>404.73320545809173</v>
      </c>
      <c r="AS148" s="46">
        <f>IFERROR(AVERAGE(_xlfn.XLOOKUP(B148,Animals!B:B,Animals!M:M),_xlfn.XLOOKUP(B148,Animals!B:B,Animals!N:N)),0)</f>
        <v>0</v>
      </c>
      <c r="AT148" s="8">
        <f>MROUND(40*Animals!AN148*_xlfn.XLOOKUP(Animals!AZ148,Leathers!$A$2:$A$100,Leathers!$B$2:$B$100,0)+(140*_xlfn.XLOOKUP(B148,Animals!B:B,Animals!AN:AN)*2),5)</f>
        <v>125</v>
      </c>
      <c r="AU148" s="8">
        <f>IFERROR(ROUND(SQRT(V148-1)*IF(_xlfn.XLOOKUP(E148,Groups!A:A,Groups!BE:BE)=0,2,1)*IF(_xlfn.XLOOKUP('Base stats'!E148,Groups!A:A,Groups!O:O)=0,1,0.1),1),0)</f>
        <v>1.3</v>
      </c>
      <c r="AV148" s="8">
        <f t="shared" si="49"/>
        <v>0</v>
      </c>
      <c r="AW148" s="8">
        <f t="shared" si="50"/>
        <v>0</v>
      </c>
      <c r="AX148" s="8">
        <f t="shared" si="51"/>
        <v>1.2</v>
      </c>
      <c r="AY148" s="8">
        <f>IF(_xlfn.XLOOKUP(E148,Groups!A:A,Groups!N:N)="Insect",BA148*2.5,IFERROR(AVERAGE(BA148,AQ148/9.81/IF(OR(_xlfn.XLOOKUP(E148,Groups!A:A,Groups!N:N)="Pig",_xlfn.XLOOKUP(E148,Groups!A:A,Groups!N:N)="StrongBitingHerbivore"),20,25))*C148^-0.135,BA148))</f>
        <v>0.71780972967466561</v>
      </c>
      <c r="AZ148" s="8" t="str">
        <f>IF(W148="No","No",IF(_xlfn.XLOOKUP(E148,Groups!A:A,Groups!U:U)=1,'Base stats'!AY148,IF(OR(_xlfn.XLOOKUP(E148,Groups!A:A,Groups!BC:BC)=1,_xlfn.XLOOKUP(E148,Groups!A:A,Groups!U:U)=2),BA148,IF(_xlfn.XLOOKUP(B148,Animals!B:B,Animals!AN:AN)&gt;4,AVERAGE(BA148,BC148),BC148))))</f>
        <v>No</v>
      </c>
      <c r="BA148" s="8">
        <f>(0.0392*C148^IF(OR(Y148="Herbivore",Y148="Dendrovore",Y148="OmnivoreRough"),0.889,0.966))*C148^-0.135</f>
        <v>0.16771428148959355</v>
      </c>
      <c r="BB148" s="8">
        <f>IF(_xlfn.XLOOKUP(E148,Groups!A:A,Groups!BD:BD)=1,(0.048*C148^1.01)+(0.071*C148^1.03),0.071*C148^1.03)/IF(_xlfn.XLOOKUP(E148,Groups!A:A,Groups!M:M)=1,0.85,IF(OR(_xlfn.XLOOKUP(B148,Animals!B:B,Animals!AN:AN)&gt;4,_xlfn.XLOOKUP(E148,Groups!A:A,Groups!BB:BB)=1),1.7,1))*C148^-0.25</f>
        <v>0.27784287714720768</v>
      </c>
      <c r="BC148" s="8">
        <f>(0.048*C148^1.01)/IF(_xlfn.XLOOKUP(E148,Groups!A:A,Groups!M:M)=1,0.25,0.8)*C148^-0.25</f>
        <v>0.22672468769639151</v>
      </c>
      <c r="BD148" s="8">
        <f>EXP(1.076*LN(AO148)-4.5397)*IF(_xlfn.XLOOKUP(E148,Groups!A:A,Groups!BB:BB)=1,1.25,IF(_xlfn.XLOOKUP(E148,Groups!A:A,Groups!BC:BC)=1,3.5,2.5))</f>
        <v>9.6420098943098669</v>
      </c>
      <c r="BE148" s="8">
        <f>EXP(1.076*LN(AP148)-4.5397)*IF(_xlfn.XLOOKUP(E148,Groups!A:A,Groups!M:M)=1,0.8,IF(_xlfn.XLOOKUP(E148,Groups!A:A,Groups!BB:BB)=1,1.3,3))</f>
        <v>14.241552282827737</v>
      </c>
      <c r="BF148" s="8" t="str">
        <f>IF(W148="No","No",IF(_xlfn.XLOOKUP(E148,Groups!A:A,Groups!U:U)=1,'Base stats'!BG148,IF(OR(_xlfn.XLOOKUP(E148,Groups!A:A,Groups!BC:BC)=1,_xlfn.XLOOKUP(E148,Groups!A:A,Groups!U:U)=2),BD148,BE148))*1.2)</f>
        <v>No</v>
      </c>
      <c r="BG148" s="8">
        <f>IFERROR(EXP(1.076*LN(AQ148)-4.5397)*IF(_xlfn.XLOOKUP(E148,Groups!A:A,Groups!N:N)="Insect",1,IF(OR(_xlfn.XLOOKUP(E148,Groups!A:A,Groups!N:N)="Pig",_xlfn.XLOOKUP(E148,Groups!A:A,Groups!N:N)="StrongBitingHerbivore"),3.5,3.75)),"No")</f>
        <v>25.572799664558062</v>
      </c>
      <c r="BH148" s="8">
        <f t="shared" si="52"/>
        <v>10</v>
      </c>
      <c r="BI148" s="8">
        <f t="shared" si="53"/>
        <v>10</v>
      </c>
      <c r="BJ148" s="8" t="str">
        <f>IF(W148="No","No",ROUNDDOWN(SQRT((2*BF148)/AZ148),0))</f>
        <v>No</v>
      </c>
      <c r="BK148" s="8">
        <f>IF(V148="No","No",ROUNDDOWN(SQRT((2*BG148)/AY148),0))</f>
        <v>8</v>
      </c>
      <c r="BL148" s="8">
        <f t="shared" si="54"/>
        <v>11</v>
      </c>
      <c r="BM148" s="8" t="str" cm="1">
        <f t="array" ref="BM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stats'!E148,Groups!A:A,Groups!P:P=0)),"No",IF(U148="No",AVERAGE(EXP(-0.57+0.99*LN(C148)),EXP(0.32+0.67*LN(C148)))/IF(_xlfn.XLOOKUP(E148,Groups!A:A,Groups!AD:AD)=1,10,2),(0.7354*C148^0.4078)*2/IF(_xlfn.XLOOKUP(E148,Groups!A:A,Groups!BJ:BJ)=1,1000,100)))</f>
        <v>No</v>
      </c>
      <c r="BN148" s="8" t="str">
        <f>IF(W148="No","No",IF(_xlfn.XLOOKUP(E148,Groups!A:A,Groups!BC:BC)=1,(AL148*5%),EXP(0.7354*LN(C148)^0.4078)*2/IF(_xlfn.XLOOKUP(E148,Groups!A:A,Groups!BK:BK)=1,1000,100)))</f>
        <v>No</v>
      </c>
      <c r="BO148" s="8">
        <f>IF(BG148="No","No",IF(_xlfn.XLOOKUP(E148,Groups!A:A,Groups!BE:BE)=1,(0.0315*C148+2.1825)*2,(0.7354*C148^0.4078)*2)/IF(_xlfn.XLOOKUP(E148,Groups!A:A,Groups!BL:BL)=1,1000,100))</f>
        <v>3.0015540500772476E-2</v>
      </c>
      <c r="BP148" s="8">
        <f>BD148/(AL148*5%)</f>
        <v>5.5730185758039896E-2</v>
      </c>
      <c r="BQ148" s="8" t="str">
        <f t="shared" si="55"/>
        <v>No</v>
      </c>
      <c r="BR148" s="8" t="str">
        <f>IF(W148="No","No",BF148/BN148)</f>
        <v>No</v>
      </c>
      <c r="BS148" s="8">
        <f t="shared" si="56"/>
        <v>851.98531287150809</v>
      </c>
      <c r="BT148" s="4">
        <v>0</v>
      </c>
      <c r="BU148" s="4">
        <v>1</v>
      </c>
    </row>
    <row r="149" spans="1:73" x14ac:dyDescent="0.25">
      <c r="A149" s="26" t="s">
        <v>678</v>
      </c>
      <c r="B149" s="6" t="s">
        <v>914</v>
      </c>
      <c r="C149" s="7">
        <f>AVERAGE(AVERAGE(18,20),AVERAGE(23,29))</f>
        <v>22.5</v>
      </c>
      <c r="E149" s="7" t="s">
        <v>55</v>
      </c>
      <c r="F149" s="7">
        <v>63</v>
      </c>
      <c r="G149" s="7">
        <f t="shared" si="58"/>
        <v>1.3972602739726028</v>
      </c>
      <c r="H149" s="7">
        <v>27</v>
      </c>
      <c r="I149" s="4">
        <v>0</v>
      </c>
      <c r="J149" s="7">
        <v>6</v>
      </c>
      <c r="K149" s="7" t="s">
        <v>517</v>
      </c>
      <c r="L149" s="7">
        <f t="shared" si="57"/>
        <v>49.473827654659033</v>
      </c>
      <c r="M149" s="7" t="s">
        <v>638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_xlfn.XLOOKUP(B149,[1]TeethAdjusters!$A:$A,[1]BiteAdjusters!$C:$C)</f>
        <v>0.71417487730106877</v>
      </c>
      <c r="T149" s="7">
        <f>_xlfn.XLOOKUP(B149,[1]TeethAdjusters!$A:$A,[1]TeethAdjusters!$B:$B)</f>
        <v>0.95359131166584876</v>
      </c>
      <c r="U149" s="7" t="s">
        <v>45</v>
      </c>
      <c r="V149" s="7">
        <f>IF(AQ149="No","No",IF(_xlfn.XLOOKUP(E149,Groups!A:A,Groups!AM:AM)=1,MROUND(EXP(0.3582*LN(C149)-0.2221)*T149,0.05),IF(_xlfn.XLOOKUP(E149,Groups!A:A,Groups!AM:AM)=2,MROUND(EXP(0.3582*LN(C149)-0.2221)*T149,0.05),"Need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945</v>
      </c>
      <c r="Y149" s="4" t="s">
        <v>53</v>
      </c>
      <c r="Z149" s="4">
        <v>0</v>
      </c>
      <c r="AA149" s="4">
        <v>0</v>
      </c>
      <c r="AB149" s="4">
        <v>0</v>
      </c>
      <c r="AC149" s="4" t="s">
        <v>45</v>
      </c>
      <c r="AD149" s="4" t="s">
        <v>506</v>
      </c>
      <c r="AE149" s="28" t="s">
        <v>388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4" t="s">
        <v>40</v>
      </c>
      <c r="AL149" s="8">
        <f t="shared" si="47"/>
        <v>8399.2714194772561</v>
      </c>
      <c r="AM149" s="8">
        <f>IFERROR(C149*_xlfn.XLOOKUP(E149,Groups!A:A,Groups!K:K),0.106*C149^0.94)</f>
        <v>2.8068749999999998</v>
      </c>
      <c r="AN149" s="8">
        <f>AM149*10000/(_xlfn.XLOOKUP(E149,Groups!A:A,Groups!J:J)*AL149)</f>
        <v>3.0658786343391542</v>
      </c>
      <c r="AO149" s="8">
        <f t="shared" si="48"/>
        <v>754.44801936790702</v>
      </c>
      <c r="AP149" s="8">
        <f>IF(_xlfn.XLOOKUP(E149,Groups!A:A,Groups!M:M)=1,EXP(0.7444*LN('Base stats'!C149)+6.5696),EXP(0.7927*LN('Base stats'!C149)+4.28))</f>
        <v>852.42359935021648</v>
      </c>
      <c r="AQ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"No")))))))))))))))</f>
        <v>1267.4354900882233</v>
      </c>
      <c r="AR149" s="8">
        <f>IF(_xlfn.XLOOKUP(E149,Groups!A:A,Groups!U:U)=3,AP149,IF(_xlfn.XLOOKUP(E149,Groups!A:A,Groups!U:U)=2,AO149,AQ149))</f>
        <v>1267.4354900882233</v>
      </c>
      <c r="AS149" s="46">
        <f>IFERROR(AVERAGE(_xlfn.XLOOKUP(B149,Animals!B:B,Animals!M:M),_xlfn.XLOOKUP(B149,Animals!B:B,Animals!N:N)),0)</f>
        <v>0</v>
      </c>
      <c r="AT149" s="8">
        <f>MROUND(40*Animals!AN149*_xlfn.XLOOKUP(Animals!AZ149,Leathers!$A$2:$A$100,Leathers!$B$2:$B$100,0)+(140*_xlfn.XLOOKUP(B149,Animals!B:B,Animals!AN:AN)*2),5)</f>
        <v>215</v>
      </c>
      <c r="AU149" s="8">
        <f>IFERROR(ROUND(SQRT(V149-1)*IF(_xlfn.XLOOKUP(E149,Groups!A:A,Groups!BE:BE)=0,2,1)*IF(_xlfn.XLOOKUP('Base stats'!E149,Groups!A:A,Groups!O:O)=0,1,0.1),1),0)</f>
        <v>2.2999999999999998</v>
      </c>
      <c r="AV149" s="8">
        <f t="shared" si="49"/>
        <v>0</v>
      </c>
      <c r="AW149" s="8">
        <f t="shared" si="50"/>
        <v>0</v>
      </c>
      <c r="AX149" s="8">
        <f t="shared" si="51"/>
        <v>2.4</v>
      </c>
      <c r="AY149" s="8">
        <f>IF(_xlfn.XLOOKUP(E149,Groups!A:A,Groups!N:N)="Insect",BA149*2.5,IFERROR(AVERAGE(BA149,AQ149/9.81/IF(OR(_xlfn.XLOOKUP(E149,Groups!A:A,Groups!N:N)="Pig",_xlfn.XLOOKUP(E149,Groups!A:A,Groups!N:N)="StrongBitingHerbivore"),20,25))*C149^-0.135,BA149))</f>
        <v>1.8683852017303559</v>
      </c>
      <c r="AZ149" s="8" t="str">
        <f>IF(W149="No","No",IF(_xlfn.XLOOKUP(E149,Groups!A:A,Groups!U:U)=1,'Base stats'!AY149,IF(OR(_xlfn.XLOOKUP(E149,Groups!A:A,Groups!BC:BC)=1,_xlfn.XLOOKUP(E149,Groups!A:A,Groups!U:U)=2),BA149,IF(_xlfn.XLOOKUP(B149,Animals!B:B,Animals!AN:AN)&gt;4,AVERAGE(BA149,BC149),BC149))))</f>
        <v>No</v>
      </c>
      <c r="BA149" s="8">
        <f>(0.0392*C149^IF(OR(Y149="Herbivore",Y149="Dendrovore",Y149="OmnivoreRough"),0.889,0.966))*C149^-0.135</f>
        <v>0.5211343972969702</v>
      </c>
      <c r="BB149" s="8">
        <f>IF(_xlfn.XLOOKUP(E149,Groups!A:A,Groups!BD:BD)=1,(0.048*C149^1.01)+(0.071*C149^1.03),0.071*C149^1.03)/IF(_xlfn.XLOOKUP(E149,Groups!A:A,Groups!M:M)=1,0.85,IF(OR(_xlfn.XLOOKUP(B149,Animals!B:B,Animals!AN:AN)&gt;4,_xlfn.XLOOKUP(E149,Groups!A:A,Groups!BB:BB)=1),1.7,1))*C149^-0.25</f>
        <v>0.80530558833746313</v>
      </c>
      <c r="BC149" s="8">
        <f>(0.048*C149^1.01)/IF(_xlfn.XLOOKUP(E149,Groups!A:A,Groups!M:M)=1,0.25,0.8)*C149^-0.25</f>
        <v>0.63945496556764092</v>
      </c>
      <c r="BD149" s="8">
        <f>EXP(1.076*LN(AO149)-4.5397)*IF(_xlfn.XLOOKUP(E149,Groups!A:A,Groups!BB:BB)=1,1.25,IF(_xlfn.XLOOKUP(E149,Groups!A:A,Groups!BC:BC)=1,3.5,2.5))</f>
        <v>33.319808786196916</v>
      </c>
      <c r="BE149" s="8">
        <f>EXP(1.076*LN(AP149)-4.5397)*IF(_xlfn.XLOOKUP(E149,Groups!A:A,Groups!M:M)=1,0.8,IF(_xlfn.XLOOKUP(E149,Groups!A:A,Groups!BB:BB)=1,1.3,3))</f>
        <v>45.597378543450688</v>
      </c>
      <c r="BF149" s="8" t="str">
        <f>IF(W149="No","No",IF(_xlfn.XLOOKUP(E149,Groups!A:A,Groups!U:U)=1,'Base stats'!BG149,IF(OR(_xlfn.XLOOKUP(E149,Groups!A:A,Groups!BC:BC)=1,_xlfn.XLOOKUP(E149,Groups!A:A,Groups!U:U)=2),BD149,BE149))*1.2)</f>
        <v>No</v>
      </c>
      <c r="BG149" s="8">
        <f>IFERROR(EXP(1.076*LN(AQ149)-4.5397)*IF(_xlfn.XLOOKUP(E149,Groups!A:A,Groups!N:N)="Insect",1,IF(OR(_xlfn.XLOOKUP(E149,Groups!A:A,Groups!N:N)="Pig",_xlfn.XLOOKUP(E149,Groups!A:A,Groups!N:N)="StrongBitingHerbivore"),3.5,3.75)),"No")</f>
        <v>87.339929643126638</v>
      </c>
      <c r="BH149" s="8">
        <f t="shared" si="52"/>
        <v>11</v>
      </c>
      <c r="BI149" s="8">
        <f t="shared" si="53"/>
        <v>10</v>
      </c>
      <c r="BJ149" s="8" t="str">
        <f>IF(W149="No","No",ROUNDDOWN(SQRT((2*BF149)/AZ149),0))</f>
        <v>No</v>
      </c>
      <c r="BK149" s="8">
        <f>IF(V149="No","No",ROUNDDOWN(SQRT((2*BG149)/AY149),0))</f>
        <v>9</v>
      </c>
      <c r="BL149" s="8">
        <f t="shared" si="54"/>
        <v>11</v>
      </c>
      <c r="BM149" s="8" t="str" cm="1">
        <f t="array" ref="BM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stats'!E149,Groups!A:A,Groups!P:P=0)),"No",IF(U149="No",AVERAGE(EXP(-0.57+0.99*LN(C149)),EXP(0.32+0.67*LN(C149)))/IF(_xlfn.XLOOKUP(E149,Groups!A:A,Groups!AD:AD)=1,10,2),(0.7354*C149^0.4078)*2/IF(_xlfn.XLOOKUP(E149,Groups!A:A,Groups!BJ:BJ)=1,1000,100)))</f>
        <v>No</v>
      </c>
      <c r="BN149" s="8" t="str">
        <f>IF(W149="No","No",IF(_xlfn.XLOOKUP(E149,Groups!A:A,Groups!BC:BC)=1,(AL149*5%),EXP(0.7354*LN(C149)^0.4078)*2/IF(_xlfn.XLOOKUP(E149,Groups!A:A,Groups!BK:BK)=1,1000,100)))</f>
        <v>No</v>
      </c>
      <c r="BO149" s="8">
        <f>IF(BG149="No","No",IF(_xlfn.XLOOKUP(E149,Groups!A:A,Groups!BE:BE)=1,(0.0315*C149+2.1825)*2,(0.7354*C149^0.4078)*2)/IF(_xlfn.XLOOKUP(E149,Groups!A:A,Groups!BL:BL)=1,1000,100))</f>
        <v>5.2356867158957016E-2</v>
      </c>
      <c r="BP149" s="8">
        <f>BD149/(AL149*5%)</f>
        <v>7.9339759658036232E-2</v>
      </c>
      <c r="BQ149" s="8" t="str">
        <f t="shared" si="55"/>
        <v>No</v>
      </c>
      <c r="BR149" s="8" t="str">
        <f>IF(W149="No","No",BF149/BN149)</f>
        <v>No</v>
      </c>
      <c r="BS149" s="8">
        <f t="shared" si="56"/>
        <v>1668.1656940618695</v>
      </c>
      <c r="BT149" s="4">
        <v>0</v>
      </c>
      <c r="BU149" s="4">
        <v>1</v>
      </c>
    </row>
    <row r="150" spans="1:73" x14ac:dyDescent="0.25">
      <c r="A150" s="26" t="s">
        <v>895</v>
      </c>
      <c r="B150" s="6" t="s">
        <v>915</v>
      </c>
      <c r="C150" s="7">
        <v>4.5</v>
      </c>
      <c r="E150" s="7" t="s">
        <v>75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520</v>
      </c>
      <c r="L150" s="7">
        <f t="shared" si="57"/>
        <v>42.871352170257147</v>
      </c>
      <c r="M150" s="7" t="s">
        <v>638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_xlfn.XLOOKUP(B150,[1]TeethAdjusters!$A:$A,[1]BiteAdjusters!$C:$C)</f>
        <v>0.9224429531163798</v>
      </c>
      <c r="T150" s="7">
        <f>_xlfn.XLOOKUP(B150,[1]TeethAdjusters!$A:$A,[1]TeethAdjusters!$B:$B)</f>
        <v>0.89529411549459281</v>
      </c>
      <c r="U150" s="7">
        <f>MROUND(1.2,0.05)</f>
        <v>1.2000000000000002</v>
      </c>
      <c r="V150" s="7">
        <f>IF(AQ150="No","No",IF(_xlfn.XLOOKUP(E150,Groups!A:A,Groups!AM:AM)=1,MROUND(EXP(0.3582*LN(C150)-0.2221)*T150,0.05),IF(_xlfn.XLOOKUP(E150,Groups!A:A,Groups!AM:AM)=2,MROUND(EXP(0.3582*LN(C150)-0.2221)*T150,0.05),"Need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945</v>
      </c>
      <c r="Y150" s="4" t="s">
        <v>56</v>
      </c>
      <c r="Z150" s="4">
        <v>0</v>
      </c>
      <c r="AA150" s="4">
        <v>0</v>
      </c>
      <c r="AB150" s="4">
        <v>0</v>
      </c>
      <c r="AC150" s="4" t="s">
        <v>45</v>
      </c>
      <c r="AD150" s="4" t="s">
        <v>45</v>
      </c>
      <c r="AE150" s="28" t="s">
        <v>394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4" t="s">
        <v>40</v>
      </c>
      <c r="AL150" s="8">
        <f t="shared" si="47"/>
        <v>2950.6052630710305</v>
      </c>
      <c r="AM150" s="8">
        <f>IFERROR(C150*_xlfn.XLOOKUP(E150,Groups!A:A,Groups!K:K),0.106*C150^0.94)</f>
        <v>0.56137499999999996</v>
      </c>
      <c r="AN150" s="8">
        <f>AM150*10000/(_xlfn.XLOOKUP(E150,Groups!A:A,Groups!J:J)*AL150)</f>
        <v>1.7454823328138902</v>
      </c>
      <c r="AO150" s="8">
        <f t="shared" si="48"/>
        <v>193.73556787208551</v>
      </c>
      <c r="AP150" s="8">
        <f>IF(_xlfn.XLOOKUP(E150,Groups!A:A,Groups!M:M)=1,EXP(0.7444*LN('Base stats'!C150)+6.5696),EXP(0.7927*LN('Base stats'!C150)+4.28))</f>
        <v>238.00273195891231</v>
      </c>
      <c r="AQ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"No")))))))))))))))</f>
        <v>332.35981357102617</v>
      </c>
      <c r="AR150" s="8">
        <f>IF(_xlfn.XLOOKUP(E150,Groups!A:A,Groups!U:U)=3,AP150,IF(_xlfn.XLOOKUP(E150,Groups!A:A,Groups!U:U)=2,AO150,AQ150))</f>
        <v>332.35981357102617</v>
      </c>
      <c r="AS150" s="46">
        <f>IFERROR(AVERAGE(_xlfn.XLOOKUP(B150,Animals!B:B,Animals!M:M),_xlfn.XLOOKUP(B150,Animals!B:B,Animals!N:N)),0)</f>
        <v>0</v>
      </c>
      <c r="AT150" s="8">
        <f>MROUND(40*Animals!AN150*_xlfn.XLOOKUP(Animals!AZ150,Leathers!$A$2:$A$100,Leathers!$B$2:$B$100,0)+(140*_xlfn.XLOOKUP(B150,Animals!B:B,Animals!AN:AN)*2),5)</f>
        <v>105</v>
      </c>
      <c r="AU150" s="8">
        <f>IFERROR(ROUND(SQRT(V150-1)*IF(_xlfn.XLOOKUP(E150,Groups!A:A,Groups!BE:BE)=0,2,1)*IF(_xlfn.XLOOKUP('Base stats'!E150,Groups!A:A,Groups!O:O)=0,1,0.1),1),0)</f>
        <v>1</v>
      </c>
      <c r="AV150" s="8">
        <f t="shared" si="49"/>
        <v>0.4</v>
      </c>
      <c r="AW150" s="8">
        <f t="shared" si="50"/>
        <v>0</v>
      </c>
      <c r="AX150" s="8">
        <f t="shared" si="51"/>
        <v>1</v>
      </c>
      <c r="AY150" s="8">
        <f>IF(_xlfn.XLOOKUP(E150,Groups!A:A,Groups!N:N)="Insect",BA150*2.5,IFERROR(AVERAGE(BA150,AQ150/9.81/IF(OR(_xlfn.XLOOKUP(E150,Groups!A:A,Groups!N:N)="Pig",_xlfn.XLOOKUP(E150,Groups!A:A,Groups!N:N)="StrongBitingHerbivore"),20,25))*C150^-0.135,BA150))</f>
        <v>0.60891039454806106</v>
      </c>
      <c r="AZ150" s="8" t="str">
        <f>IF(W150="No","No",IF(_xlfn.XLOOKUP(E150,Groups!A:A,Groups!U:U)=1,'Base stats'!AY150,IF(OR(_xlfn.XLOOKUP(E150,Groups!A:A,Groups!BC:BC)=1,_xlfn.XLOOKUP(E150,Groups!A:A,Groups!U:U)=2),BA150,IF(_xlfn.XLOOKUP(B150,Animals!B:B,Animals!AN:AN)&gt;4,AVERAGE(BA150,BC150),BC150))))</f>
        <v>No</v>
      </c>
      <c r="BA150" s="8">
        <f>(0.0392*C150^IF(OR(Y150="Herbivore",Y150="Dendrovore",Y150="OmnivoreRough"),0.889,0.966))*C150^-0.135</f>
        <v>0.1368061641182855</v>
      </c>
      <c r="BB150" s="8">
        <f>IF(_xlfn.XLOOKUP(E150,Groups!A:A,Groups!BD:BD)=1,(0.048*C150^1.01)+(0.071*C150^1.03),0.071*C150^1.03)/IF(_xlfn.XLOOKUP(E150,Groups!A:A,Groups!M:M)=1,0.85,IF(OR(_xlfn.XLOOKUP(B150,Animals!B:B,Animals!AN:AN)&gt;4,_xlfn.XLOOKUP(E150,Groups!A:A,Groups!BB:BB)=1),1.7,1))*C150^-0.25</f>
        <v>0.22949018151754852</v>
      </c>
      <c r="BC150" s="8">
        <f>(0.048*C150^1.01)/IF(_xlfn.XLOOKUP(E150,Groups!A:A,Groups!M:M)=1,0.25,0.8)*C150^-0.25</f>
        <v>0.18818836143592041</v>
      </c>
      <c r="BD150" s="8">
        <f>EXP(1.076*LN(AO150)-4.5397)*IF(_xlfn.XLOOKUP(E150,Groups!A:A,Groups!BB:BB)=1,1.25,IF(_xlfn.XLOOKUP(E150,Groups!A:A,Groups!BC:BC)=1,3.5,2.5))</f>
        <v>7.716326944216144</v>
      </c>
      <c r="BE150" s="8">
        <f>EXP(1.076*LN(AP150)-4.5397)*IF(_xlfn.XLOOKUP(E150,Groups!A:A,Groups!M:M)=1,0.8,IF(_xlfn.XLOOKUP(E150,Groups!A:A,Groups!BB:BB)=1,1.3,3))</f>
        <v>11.55464920650892</v>
      </c>
      <c r="BF150" s="8" t="str">
        <f>IF(W150="No","No",IF(_xlfn.XLOOKUP(E150,Groups!A:A,Groups!U:U)=1,'Base stats'!BG150,IF(OR(_xlfn.XLOOKUP(E150,Groups!A:A,Groups!BC:BC)=1,_xlfn.XLOOKUP(E150,Groups!A:A,Groups!U:U)=2),BD150,BE150))*1.2)</f>
        <v>No</v>
      </c>
      <c r="BG150" s="8">
        <f>IFERROR(EXP(1.076*LN(AQ150)-4.5397)*IF(_xlfn.XLOOKUP(E150,Groups!A:A,Groups!N:N)="Insect",1,IF(OR(_xlfn.XLOOKUP(E150,Groups!A:A,Groups!N:N)="Pig",_xlfn.XLOOKUP(E150,Groups!A:A,Groups!N:N)="StrongBitingHerbivore"),3.5,3.75)),"No")</f>
        <v>20.687850133006499</v>
      </c>
      <c r="BH150" s="8">
        <f t="shared" si="52"/>
        <v>10</v>
      </c>
      <c r="BI150" s="8">
        <f t="shared" si="53"/>
        <v>10</v>
      </c>
      <c r="BJ150" s="8" t="str">
        <f>IF(W150="No","No",ROUNDDOWN(SQRT((2*BF150)/AZ150),0))</f>
        <v>No</v>
      </c>
      <c r="BK150" s="8">
        <f>IF(V150="No","No",ROUNDDOWN(SQRT((2*BG150)/AY150),0))</f>
        <v>8</v>
      </c>
      <c r="BL150" s="8">
        <f t="shared" si="54"/>
        <v>11</v>
      </c>
      <c r="BM150" s="8" cm="1">
        <f t="array" ref="BM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stats'!E150,Groups!A:A,Groups!P:P=0)),"No",IF(U150="No",AVERAGE(EXP(-0.57+0.99*LN(C150)),EXP(0.32+0.67*LN(C150)))/IF(_xlfn.XLOOKUP(E150,Groups!A:A,Groups!AD:AD)=1,10,2),(0.7354*C150^0.4078)*2/IF(_xlfn.XLOOKUP(E150,Groups!A:A,Groups!BJ:BJ)=1,1000,100)))</f>
        <v>2.7160245069965436E-2</v>
      </c>
      <c r="BN150" s="8" t="str">
        <f>IF(W150="No","No",IF(_xlfn.XLOOKUP(E150,Groups!A:A,Groups!BC:BC)=1,(AL150*5%),EXP(0.7354*LN(C150)^0.4078)*2/IF(_xlfn.XLOOKUP(E150,Groups!A:A,Groups!BK:BK)=1,1000,100)))</f>
        <v>No</v>
      </c>
      <c r="BO150" s="8">
        <f>IF(BG150="No","No",IF(_xlfn.XLOOKUP(E150,Groups!A:A,Groups!BE:BE)=1,(0.0315*C150+2.1825)*2,(0.7354*C150^0.4078)*2)/IF(_xlfn.XLOOKUP(E150,Groups!A:A,Groups!BL:BL)=1,1000,100))</f>
        <v>2.7160245069965436E-2</v>
      </c>
      <c r="BP150" s="8">
        <f>BD150/(AL150*5%)</f>
        <v>5.2303349694325998E-2</v>
      </c>
      <c r="BQ150" s="8">
        <f t="shared" si="55"/>
        <v>425.4250717084426</v>
      </c>
      <c r="BR150" s="8" t="str">
        <f>IF(W150="No","No",BF150/BN150)</f>
        <v>No</v>
      </c>
      <c r="BS150" s="8">
        <f t="shared" si="56"/>
        <v>761.69600383627267</v>
      </c>
      <c r="BT150" s="4">
        <v>0</v>
      </c>
      <c r="BU150" s="4">
        <v>1</v>
      </c>
    </row>
    <row r="151" spans="1:73" x14ac:dyDescent="0.25">
      <c r="A151" s="26" t="s">
        <v>894</v>
      </c>
      <c r="B151" s="6" t="s">
        <v>916</v>
      </c>
      <c r="C151" s="7">
        <f>AVERAGE(5,6)</f>
        <v>5.5</v>
      </c>
      <c r="E151" s="7" t="s">
        <v>75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520</v>
      </c>
      <c r="L151" s="7">
        <f t="shared" si="57"/>
        <v>43.643899505124125</v>
      </c>
      <c r="M151" s="7" t="s">
        <v>638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_xlfn.XLOOKUP(B151,[1]TeethAdjusters!$A:$A,[1]BiteAdjusters!$C:$C)</f>
        <v>0.9224429531163798</v>
      </c>
      <c r="T151" s="7">
        <f>_xlfn.XLOOKUP(B151,[1]TeethAdjusters!$A:$A,[1]TeethAdjusters!$B:$B)</f>
        <v>0.89529411549459281</v>
      </c>
      <c r="U151" s="7">
        <f>MROUND(1.2,0.05)</f>
        <v>1.2000000000000002</v>
      </c>
      <c r="V151" s="7">
        <f>IF(AQ151="No","No",IF(_xlfn.XLOOKUP(E151,Groups!A:A,Groups!AM:AM)=1,MROUND(EXP(0.3582*LN(C151)-0.2221)*T151,0.05),IF(_xlfn.XLOOKUP(E151,Groups!A:A,Groups!AM:AM)=2,MROUND(EXP(0.3582*LN(C151)-0.2221)*T151,0.05),"Need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945</v>
      </c>
      <c r="Y151" s="4" t="s">
        <v>56</v>
      </c>
      <c r="Z151" s="4">
        <v>0</v>
      </c>
      <c r="AA151" s="4">
        <v>0</v>
      </c>
      <c r="AB151" s="4">
        <v>0</v>
      </c>
      <c r="AC151" s="4" t="s">
        <v>45</v>
      </c>
      <c r="AD151" s="4" t="s">
        <v>45</v>
      </c>
      <c r="AE151" s="28" t="s">
        <v>394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4" t="s">
        <v>40</v>
      </c>
      <c r="AL151" s="8">
        <f t="shared" si="47"/>
        <v>3361.6982414074623</v>
      </c>
      <c r="AM151" s="8">
        <f>IFERROR(C151*_xlfn.XLOOKUP(E151,Groups!A:A,Groups!K:K),0.106*C151^0.94)</f>
        <v>0.68612499999999998</v>
      </c>
      <c r="AN151" s="8">
        <f>AM151*10000/(_xlfn.XLOOKUP(E151,Groups!A:A,Groups!J:J)*AL151)</f>
        <v>1.8724835837754288</v>
      </c>
      <c r="AO151" s="8">
        <f t="shared" si="48"/>
        <v>229.52241957602808</v>
      </c>
      <c r="AP151" s="8">
        <f>IF(_xlfn.XLOOKUP(E151,Groups!A:A,Groups!M:M)=1,EXP(0.7444*LN('Base stats'!C151)+6.5696),EXP(0.7927*LN('Base stats'!C151)+4.28))</f>
        <v>279.03962943422897</v>
      </c>
      <c r="AQ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"No")))))))))))))))</f>
        <v>389.00966315400001</v>
      </c>
      <c r="AR151" s="8">
        <f>IF(_xlfn.XLOOKUP(E151,Groups!A:A,Groups!U:U)=3,AP151,IF(_xlfn.XLOOKUP(E151,Groups!A:A,Groups!U:U)=2,AO151,AQ151))</f>
        <v>389.00966315400001</v>
      </c>
      <c r="AS151" s="46">
        <f>IFERROR(AVERAGE(_xlfn.XLOOKUP(B151,Animals!B:B,Animals!M:M),_xlfn.XLOOKUP(B151,Animals!B:B,Animals!N:N)),0)</f>
        <v>0</v>
      </c>
      <c r="AT151" s="8">
        <f>MROUND(40*Animals!AN151*_xlfn.XLOOKUP(Animals!AZ151,Leathers!$A$2:$A$100,Leathers!$B$2:$B$100,0)+(140*_xlfn.XLOOKUP(B151,Animals!B:B,Animals!AN:AN)*2),5)</f>
        <v>105</v>
      </c>
      <c r="AU151" s="8">
        <f>IFERROR(ROUND(SQRT(V151-1)*IF(_xlfn.XLOOKUP(E151,Groups!A:A,Groups!BE:BE)=0,2,1)*IF(_xlfn.XLOOKUP('Base stats'!E151,Groups!A:A,Groups!O:O)=0,1,0.1),1),0)</f>
        <v>1.1000000000000001</v>
      </c>
      <c r="AV151" s="8">
        <f t="shared" si="49"/>
        <v>0.4</v>
      </c>
      <c r="AW151" s="8">
        <f t="shared" si="50"/>
        <v>0</v>
      </c>
      <c r="AX151" s="8">
        <f t="shared" si="51"/>
        <v>1.1000000000000001</v>
      </c>
      <c r="AY151" s="8">
        <f>IF(_xlfn.XLOOKUP(E151,Groups!A:A,Groups!N:N)="Insect",BA151*2.5,IFERROR(AVERAGE(BA151,AQ151/9.81/IF(OR(_xlfn.XLOOKUP(E151,Groups!A:A,Groups!N:N)="Pig",_xlfn.XLOOKUP(E151,Groups!A:A,Groups!N:N)="StrongBitingHerbivore"),20,25))*C151^-0.135,BA151))</f>
        <v>0.69424821835844897</v>
      </c>
      <c r="AZ151" s="8" t="str">
        <f>IF(W151="No","No",IF(_xlfn.XLOOKUP(E151,Groups!A:A,Groups!U:U)=1,'Base stats'!AY151,IF(OR(_xlfn.XLOOKUP(E151,Groups!A:A,Groups!BC:BC)=1,_xlfn.XLOOKUP(E151,Groups!A:A,Groups!U:U)=2),BA151,IF(_xlfn.XLOOKUP(B151,Animals!B:B,Animals!AN:AN)&gt;4,AVERAGE(BA151,BC151),BC151))))</f>
        <v>No</v>
      </c>
      <c r="BA151" s="8">
        <f>(0.0392*C151^IF(OR(Y151="Herbivore",Y151="Dendrovore",Y151="OmnivoreRough"),0.889,0.966))*C151^-0.135</f>
        <v>0.16163204285849328</v>
      </c>
      <c r="BB151" s="8">
        <f>IF(_xlfn.XLOOKUP(E151,Groups!A:A,Groups!BD:BD)=1,(0.048*C151^1.01)+(0.071*C151^1.03),0.071*C151^1.03)/IF(_xlfn.XLOOKUP(E151,Groups!A:A,Groups!M:M)=1,0.85,IF(OR(_xlfn.XLOOKUP(B151,Animals!B:B,Animals!AN:AN)&gt;4,_xlfn.XLOOKUP(E151,Groups!A:A,Groups!BB:BB)=1),1.7,1))*C151^-0.25</f>
        <v>0.26837449888753917</v>
      </c>
      <c r="BC151" s="8">
        <f>(0.048*C151^1.01)/IF(_xlfn.XLOOKUP(E151,Groups!A:A,Groups!M:M)=1,0.25,0.8)*C151^-0.25</f>
        <v>0.21919310785743251</v>
      </c>
      <c r="BD151" s="8">
        <f>EXP(1.076*LN(AO151)-4.5397)*IF(_xlfn.XLOOKUP(E151,Groups!A:A,Groups!BB:BB)=1,1.25,IF(_xlfn.XLOOKUP(E151,Groups!A:A,Groups!BC:BC)=1,3.5,2.5))</f>
        <v>9.260217158407297</v>
      </c>
      <c r="BE151" s="8">
        <f>EXP(1.076*LN(AP151)-4.5397)*IF(_xlfn.XLOOKUP(E151,Groups!A:A,Groups!M:M)=1,0.8,IF(_xlfn.XLOOKUP(E151,Groups!A:A,Groups!BB:BB)=1,1.3,3))</f>
        <v>13.711693256346145</v>
      </c>
      <c r="BF151" s="8" t="str">
        <f>IF(W151="No","No",IF(_xlfn.XLOOKUP(E151,Groups!A:A,Groups!U:U)=1,'Base stats'!BG151,IF(OR(_xlfn.XLOOKUP(E151,Groups!A:A,Groups!BC:BC)=1,_xlfn.XLOOKUP(E151,Groups!A:A,Groups!U:U)=2),BD151,BE151))*1.2)</f>
        <v>No</v>
      </c>
      <c r="BG151" s="8">
        <f>IFERROR(EXP(1.076*LN(AQ151)-4.5397)*IF(_xlfn.XLOOKUP(E151,Groups!A:A,Groups!N:N)="Insect",1,IF(OR(_xlfn.XLOOKUP(E151,Groups!A:A,Groups!N:N)="Pig",_xlfn.XLOOKUP(E151,Groups!A:A,Groups!N:N)="StrongBitingHerbivore"),3.5,3.75)),"No")</f>
        <v>24.505410804089706</v>
      </c>
      <c r="BH151" s="8">
        <f t="shared" si="52"/>
        <v>10</v>
      </c>
      <c r="BI151" s="8">
        <f t="shared" si="53"/>
        <v>10</v>
      </c>
      <c r="BJ151" s="8" t="str">
        <f>IF(W151="No","No",ROUNDDOWN(SQRT((2*BF151)/AZ151),0))</f>
        <v>No</v>
      </c>
      <c r="BK151" s="8">
        <f>IF(V151="No","No",ROUNDDOWN(SQRT((2*BG151)/AY151),0))</f>
        <v>8</v>
      </c>
      <c r="BL151" s="8">
        <f t="shared" si="54"/>
        <v>11</v>
      </c>
      <c r="BM151" s="8" cm="1">
        <f t="array" ref="BM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stats'!E151,Groups!A:A,Groups!P:P=0)),"No",IF(U151="No",AVERAGE(EXP(-0.57+0.99*LN(C151)),EXP(0.32+0.67*LN(C151)))/IF(_xlfn.XLOOKUP(E151,Groups!A:A,Groups!AD:AD)=1,10,2),(0.7354*C151^0.4078)*2/IF(_xlfn.XLOOKUP(E151,Groups!A:A,Groups!BJ:BJ)=1,1000,100)))</f>
        <v>2.9476337872033787E-2</v>
      </c>
      <c r="BN151" s="8" t="str">
        <f>IF(W151="No","No",IF(_xlfn.XLOOKUP(E151,Groups!A:A,Groups!BC:BC)=1,(AL151*5%),EXP(0.7354*LN(C151)^0.4078)*2/IF(_xlfn.XLOOKUP(E151,Groups!A:A,Groups!BK:BK)=1,1000,100)))</f>
        <v>No</v>
      </c>
      <c r="BO151" s="8">
        <f>IF(BG151="No","No",IF(_xlfn.XLOOKUP(E151,Groups!A:A,Groups!BE:BE)=1,(0.0315*C151+2.1825)*2,(0.7354*C151^0.4078)*2)/IF(_xlfn.XLOOKUP(E151,Groups!A:A,Groups!BL:BL)=1,1000,100))</f>
        <v>2.9476337872033787E-2</v>
      </c>
      <c r="BP151" s="8">
        <f>BD151/(AL151*5%)</f>
        <v>5.5092494884551362E-2</v>
      </c>
      <c r="BQ151" s="8">
        <f t="shared" si="55"/>
        <v>465.17628193410565</v>
      </c>
      <c r="BR151" s="8" t="str">
        <f>IF(W151="No","No",BF151/BN151)</f>
        <v>No</v>
      </c>
      <c r="BS151" s="8">
        <f t="shared" si="56"/>
        <v>831.35872951638476</v>
      </c>
      <c r="BT151" s="4">
        <v>0</v>
      </c>
      <c r="BU151" s="4">
        <v>1</v>
      </c>
    </row>
    <row r="152" spans="1:73" x14ac:dyDescent="0.25">
      <c r="A152" s="26" t="s">
        <v>896</v>
      </c>
      <c r="B152" s="6" t="s">
        <v>917</v>
      </c>
      <c r="C152" s="7">
        <f>AVERAGE(AVERAGE(4,8),AVERAGE(3,5))</f>
        <v>5</v>
      </c>
      <c r="E152" s="7" t="s">
        <v>75</v>
      </c>
      <c r="F152" s="7">
        <v>65</v>
      </c>
      <c r="G152" s="7">
        <f t="shared" ref="G152:G159" si="59">289/365</f>
        <v>0.79178082191780819</v>
      </c>
      <c r="H152" s="7">
        <v>30</v>
      </c>
      <c r="I152" s="4">
        <v>0</v>
      </c>
      <c r="J152" s="7">
        <v>4</v>
      </c>
      <c r="K152" s="7" t="s">
        <v>520</v>
      </c>
      <c r="L152" s="7">
        <f t="shared" si="57"/>
        <v>43.275251260603888</v>
      </c>
      <c r="M152" s="7" t="s">
        <v>638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_xlfn.XLOOKUP(B152,[1]TeethAdjusters!$A:$A,[1]BiteAdjusters!$C:$C)</f>
        <v>0.9224429531163798</v>
      </c>
      <c r="T152" s="7">
        <f>_xlfn.XLOOKUP(B152,[1]TeethAdjusters!$A:$A,[1]TeethAdjusters!$B:$B)</f>
        <v>0.89529411549459281</v>
      </c>
      <c r="U152" s="7">
        <f>MROUND(1.2,0.05)</f>
        <v>1.2000000000000002</v>
      </c>
      <c r="V152" s="7">
        <f>IF(AQ152="No","No",IF(_xlfn.XLOOKUP(E152,Groups!A:A,Groups!AM:AM)=1,MROUND(EXP(0.3582*LN(C152)-0.2221)*T152,0.05),IF(_xlfn.XLOOKUP(E152,Groups!A:A,Groups!AM:AM)=2,MROUND(EXP(0.3582*LN(C152)-0.2221)*T152,0.05),"Need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945</v>
      </c>
      <c r="Y152" s="4" t="s">
        <v>56</v>
      </c>
      <c r="Z152" s="4">
        <v>0</v>
      </c>
      <c r="AA152" s="4">
        <v>0</v>
      </c>
      <c r="AB152" s="4">
        <v>0</v>
      </c>
      <c r="AC152" s="4" t="s">
        <v>45</v>
      </c>
      <c r="AD152" s="4" t="s">
        <v>45</v>
      </c>
      <c r="AE152" s="28" t="s">
        <v>394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4" t="s">
        <v>40</v>
      </c>
      <c r="AL152" s="8">
        <f t="shared" si="47"/>
        <v>3159.7555228095994</v>
      </c>
      <c r="AM152" s="8">
        <f>IFERROR(C152*_xlfn.XLOOKUP(E152,Groups!A:A,Groups!K:K),0.106*C152^0.94)</f>
        <v>0.62375000000000003</v>
      </c>
      <c r="AN152" s="8">
        <f>AM152*10000/(_xlfn.XLOOKUP(E152,Groups!A:A,Groups!J:J)*AL152)</f>
        <v>1.8110505774610868</v>
      </c>
      <c r="AO152" s="8">
        <f t="shared" si="48"/>
        <v>211.76818398634828</v>
      </c>
      <c r="AP152" s="8">
        <f>IF(_xlfn.XLOOKUP(E152,Groups!A:A,Groups!M:M)=1,EXP(0.7444*LN('Base stats'!C152)+6.5696),EXP(0.7927*LN('Base stats'!C152)+4.28))</f>
        <v>258.73423965704086</v>
      </c>
      <c r="AQ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"No")))))))))))))))</f>
        <v>360.99077727874845</v>
      </c>
      <c r="AR152" s="8">
        <f>IF(_xlfn.XLOOKUP(E152,Groups!A:A,Groups!U:U)=3,AP152,IF(_xlfn.XLOOKUP(E152,Groups!A:A,Groups!U:U)=2,AO152,AQ152))</f>
        <v>360.99077727874845</v>
      </c>
      <c r="AS152" s="46">
        <f>IFERROR(AVERAGE(_xlfn.XLOOKUP(B152,Animals!B:B,Animals!M:M),_xlfn.XLOOKUP(B152,Animals!B:B,Animals!N:N)),0)</f>
        <v>0</v>
      </c>
      <c r="AT152" s="8">
        <f>MROUND(40*Animals!AN152*_xlfn.XLOOKUP(Animals!AZ152,Leathers!$A$2:$A$100,Leathers!$B$2:$B$100,0)+(140*_xlfn.XLOOKUP(B152,Animals!B:B,Animals!AN:AN)*2),5)</f>
        <v>105</v>
      </c>
      <c r="AU152" s="8">
        <f>IFERROR(ROUND(SQRT(V152-1)*IF(_xlfn.XLOOKUP(E152,Groups!A:A,Groups!BE:BE)=0,2,1)*IF(_xlfn.XLOOKUP('Base stats'!E152,Groups!A:A,Groups!O:O)=0,1,0.1),1),0)</f>
        <v>1.1000000000000001</v>
      </c>
      <c r="AV152" s="8">
        <f t="shared" si="49"/>
        <v>0.4</v>
      </c>
      <c r="AW152" s="8">
        <f t="shared" si="50"/>
        <v>0</v>
      </c>
      <c r="AX152" s="8">
        <f t="shared" si="51"/>
        <v>1.1000000000000001</v>
      </c>
      <c r="AY152" s="8">
        <f>IF(_xlfn.XLOOKUP(E152,Groups!A:A,Groups!N:N)="Insect",BA152*2.5,IFERROR(AVERAGE(BA152,AQ152/9.81/IF(OR(_xlfn.XLOOKUP(E152,Groups!A:A,Groups!N:N)="Pig",_xlfn.XLOOKUP(E152,Groups!A:A,Groups!N:N)="StrongBitingHerbivore"),20,25))*C152^-0.135,BA152))</f>
        <v>0.65231911130315001</v>
      </c>
      <c r="AZ152" s="8" t="str">
        <f>IF(W152="No","No",IF(_xlfn.XLOOKUP(E152,Groups!A:A,Groups!U:U)=1,'Base stats'!AY152,IF(OR(_xlfn.XLOOKUP(E152,Groups!A:A,Groups!BC:BC)=1,_xlfn.XLOOKUP(E152,Groups!A:A,Groups!U:U)=2),BA152,IF(_xlfn.XLOOKUP(B152,Animals!B:B,Animals!AN:AN)&gt;4,AVERAGE(BA152,BC152),BC152))))</f>
        <v>No</v>
      </c>
      <c r="BA152" s="8">
        <f>(0.0392*C152^IF(OR(Y152="Herbivore",Y152="Dendrovore",Y152="OmnivoreRough"),0.889,0.966))*C152^-0.135</f>
        <v>0.1493241807173129</v>
      </c>
      <c r="BB152" s="8">
        <f>IF(_xlfn.XLOOKUP(E152,Groups!A:A,Groups!BD:BD)=1,(0.048*C152^1.01)+(0.071*C152^1.03),0.071*C152^1.03)/IF(_xlfn.XLOOKUP(E152,Groups!A:A,Groups!M:M)=1,0.85,IF(OR(_xlfn.XLOOKUP(B152,Animals!B:B,Animals!AN:AN)&gt;4,_xlfn.XLOOKUP(E152,Groups!A:A,Groups!BB:BB)=1),1.7,1))*C152^-0.25</f>
        <v>0.24914659265101385</v>
      </c>
      <c r="BC152" s="8">
        <f>(0.048*C152^1.01)/IF(_xlfn.XLOOKUP(E152,Groups!A:A,Groups!M:M)=1,0.25,0.8)*C152^-0.25</f>
        <v>0.20387710292659536</v>
      </c>
      <c r="BD152" s="8">
        <f>EXP(1.076*LN(AO152)-4.5397)*IF(_xlfn.XLOOKUP(E152,Groups!A:A,Groups!BB:BB)=1,1.25,IF(_xlfn.XLOOKUP(E152,Groups!A:A,Groups!BC:BC)=1,3.5,2.5))</f>
        <v>8.4917944979407451</v>
      </c>
      <c r="BE152" s="8">
        <f>EXP(1.076*LN(AP152)-4.5397)*IF(_xlfn.XLOOKUP(E152,Groups!A:A,Groups!M:M)=1,0.8,IF(_xlfn.XLOOKUP(E152,Groups!A:A,Groups!BB:BB)=1,1.3,3))</f>
        <v>12.641115428827339</v>
      </c>
      <c r="BF152" s="8" t="str">
        <f>IF(W152="No","No",IF(_xlfn.XLOOKUP(E152,Groups!A:A,Groups!U:U)=1,'Base stats'!BG152,IF(OR(_xlfn.XLOOKUP(E152,Groups!A:A,Groups!BC:BC)=1,_xlfn.XLOOKUP(E152,Groups!A:A,Groups!U:U)=2),BD152,BE152))*1.2)</f>
        <v>No</v>
      </c>
      <c r="BG152" s="8">
        <f>IFERROR(EXP(1.076*LN(AQ152)-4.5397)*IF(_xlfn.XLOOKUP(E152,Groups!A:A,Groups!N:N)="Insect",1,IF(OR(_xlfn.XLOOKUP(E152,Groups!A:A,Groups!N:N)="Pig",_xlfn.XLOOKUP(E152,Groups!A:A,Groups!N:N)="StrongBitingHerbivore"),3.5,3.75)),"No")</f>
        <v>22.611554427117202</v>
      </c>
      <c r="BH152" s="8">
        <f t="shared" si="52"/>
        <v>10</v>
      </c>
      <c r="BI152" s="8">
        <f t="shared" si="53"/>
        <v>10</v>
      </c>
      <c r="BJ152" s="8" t="str">
        <f>IF(W152="No","No",ROUNDDOWN(SQRT((2*BF152)/AZ152),0))</f>
        <v>No</v>
      </c>
      <c r="BK152" s="8">
        <f>IF(V152="No","No",ROUNDDOWN(SQRT((2*BG152)/AY152),0))</f>
        <v>8</v>
      </c>
      <c r="BL152" s="8">
        <f t="shared" si="54"/>
        <v>11</v>
      </c>
      <c r="BM152" s="8" cm="1">
        <f t="array" ref="BM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stats'!E152,Groups!A:A,Groups!P:P=0)),"No",IF(U152="No",AVERAGE(EXP(-0.57+0.99*LN(C152)),EXP(0.32+0.67*LN(C152)))/IF(_xlfn.XLOOKUP(E152,Groups!A:A,Groups!AD:AD)=1,10,2),(0.7354*C152^0.4078)*2/IF(_xlfn.XLOOKUP(E152,Groups!A:A,Groups!BJ:BJ)=1,1000,100)))</f>
        <v>2.8352645574082073E-2</v>
      </c>
      <c r="BN152" s="8" t="str">
        <f>IF(W152="No","No",IF(_xlfn.XLOOKUP(E152,Groups!A:A,Groups!BC:BC)=1,(AL152*5%),EXP(0.7354*LN(C152)^0.4078)*2/IF(_xlfn.XLOOKUP(E152,Groups!A:A,Groups!BK:BK)=1,1000,100)))</f>
        <v>No</v>
      </c>
      <c r="BO152" s="8">
        <f>IF(BG152="No","No",IF(_xlfn.XLOOKUP(E152,Groups!A:A,Groups!BE:BE)=1,(0.0315*C152+2.1825)*2,(0.7354*C152^0.4078)*2)/IF(_xlfn.XLOOKUP(E152,Groups!A:A,Groups!BL:BL)=1,1000,100))</f>
        <v>2.8352645574082073E-2</v>
      </c>
      <c r="BP152" s="8">
        <f>BD152/(AL152*5%)</f>
        <v>5.3749693206580677E-2</v>
      </c>
      <c r="BQ152" s="8">
        <f t="shared" si="55"/>
        <v>445.85311786152778</v>
      </c>
      <c r="BR152" s="8" t="str">
        <f>IF(W152="No","No",BF152/BN152)</f>
        <v>No</v>
      </c>
      <c r="BS152" s="8">
        <f t="shared" si="56"/>
        <v>797.51127167431036</v>
      </c>
      <c r="BT152" s="4">
        <v>0</v>
      </c>
      <c r="BU152" s="4">
        <v>1</v>
      </c>
    </row>
    <row r="153" spans="1:73" x14ac:dyDescent="0.25">
      <c r="A153" s="26" t="s">
        <v>898</v>
      </c>
      <c r="B153" s="6" t="s">
        <v>918</v>
      </c>
      <c r="C153" s="7">
        <f>AVERAGE(AVERAGE(8.2,10),AVERAGE(5.4,6.8))</f>
        <v>7.6</v>
      </c>
      <c r="E153" s="7" t="s">
        <v>75</v>
      </c>
      <c r="F153" s="7">
        <v>65</v>
      </c>
      <c r="G153" s="7">
        <f t="shared" si="59"/>
        <v>0.79178082191780819</v>
      </c>
      <c r="H153" s="7">
        <v>30</v>
      </c>
      <c r="I153" s="4">
        <v>0</v>
      </c>
      <c r="J153" s="7">
        <v>4</v>
      </c>
      <c r="K153" s="7" t="s">
        <v>520</v>
      </c>
      <c r="L153" s="7">
        <f t="shared" si="57"/>
        <v>44.918337861164062</v>
      </c>
      <c r="M153" s="7" t="s">
        <v>638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_xlfn.XLOOKUP(B153,[1]TeethAdjusters!$A:$A,[1]BiteAdjusters!$C:$C)</f>
        <v>0.9224429531163798</v>
      </c>
      <c r="T153" s="7">
        <f>_xlfn.XLOOKUP(B153,[1]TeethAdjusters!$A:$A,[1]TeethAdjusters!$B:$B)</f>
        <v>0.89529411549459281</v>
      </c>
      <c r="U153" s="7">
        <f>MROUND(1.5,0.05)</f>
        <v>1.5</v>
      </c>
      <c r="V153" s="7">
        <f>IF(AQ153="No","No",IF(_xlfn.XLOOKUP(E153,Groups!A:A,Groups!AM:AM)=1,MROUND(EXP(0.3582*LN(C153)-0.2221)*T153,0.05),IF(_xlfn.XLOOKUP(E153,Groups!A:A,Groups!AM:AM)=2,MROUND(EXP(0.3582*LN(C153)-0.2221)*T153,0.05),"Need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945</v>
      </c>
      <c r="Y153" s="4" t="s">
        <v>56</v>
      </c>
      <c r="Z153" s="4">
        <v>0</v>
      </c>
      <c r="AA153" s="4">
        <v>0</v>
      </c>
      <c r="AB153" s="4">
        <v>0</v>
      </c>
      <c r="AC153" s="4" t="s">
        <v>45</v>
      </c>
      <c r="AD153" s="4" t="s">
        <v>45</v>
      </c>
      <c r="AE153" s="28" t="s">
        <v>394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4" t="s">
        <v>40</v>
      </c>
      <c r="AL153" s="8">
        <f t="shared" si="47"/>
        <v>4148.1247973482359</v>
      </c>
      <c r="AM153" s="8">
        <f>IFERROR(C153*_xlfn.XLOOKUP(E153,Groups!A:A,Groups!K:K),0.106*C153^0.94)</f>
        <v>0.94809999999999994</v>
      </c>
      <c r="AN153" s="8">
        <f>AM153*10000/(_xlfn.XLOOKUP(E153,Groups!A:A,Groups!J:J)*AL153)</f>
        <v>2.0968908995156408</v>
      </c>
      <c r="AO153" s="8">
        <f t="shared" si="48"/>
        <v>301.62267766010126</v>
      </c>
      <c r="AP153" s="8">
        <f>IF(_xlfn.XLOOKUP(E153,Groups!A:A,Groups!M:M)=1,EXP(0.7444*LN('Base stats'!C153)+6.5696),EXP(0.7927*LN('Base stats'!C153)+4.28))</f>
        <v>360.57973660164913</v>
      </c>
      <c r="AQ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"No")))))))))))))))</f>
        <v>501.32115613959508</v>
      </c>
      <c r="AR153" s="8">
        <f>IF(_xlfn.XLOOKUP(E153,Groups!A:A,Groups!U:U)=3,AP153,IF(_xlfn.XLOOKUP(E153,Groups!A:A,Groups!U:U)=2,AO153,AQ153))</f>
        <v>501.32115613959508</v>
      </c>
      <c r="AS153" s="46">
        <f>IFERROR(AVERAGE(_xlfn.XLOOKUP(B153,Animals!B:B,Animals!M:M),_xlfn.XLOOKUP(B153,Animals!B:B,Animals!N:N)),0)</f>
        <v>0</v>
      </c>
      <c r="AT153" s="8">
        <f>MROUND(40*Animals!AN153*_xlfn.XLOOKUP(Animals!AZ153,Leathers!$A$2:$A$100,Leathers!$B$2:$B$100,0)+(140*_xlfn.XLOOKUP(B153,Animals!B:B,Animals!AN:AN)*2),5)</f>
        <v>125</v>
      </c>
      <c r="AU153" s="8">
        <f>IFERROR(ROUND(SQRT(V153-1)*IF(_xlfn.XLOOKUP(E153,Groups!A:A,Groups!BE:BE)=0,2,1)*IF(_xlfn.XLOOKUP('Base stats'!E153,Groups!A:A,Groups!O:O)=0,1,0.1),1),0)</f>
        <v>1.4</v>
      </c>
      <c r="AV153" s="8">
        <f t="shared" si="49"/>
        <v>0.7</v>
      </c>
      <c r="AW153" s="8">
        <f t="shared" si="50"/>
        <v>0</v>
      </c>
      <c r="AX153" s="8">
        <f t="shared" si="51"/>
        <v>1.3</v>
      </c>
      <c r="AY153" s="8">
        <f>IF(_xlfn.XLOOKUP(E153,Groups!A:A,Groups!N:N)="Insect",BA153*2.5,IFERROR(AVERAGE(BA153,AQ153/9.81/IF(OR(_xlfn.XLOOKUP(E153,Groups!A:A,Groups!N:N)="Pig",_xlfn.XLOOKUP(E153,Groups!A:A,Groups!N:N)="StrongBitingHerbivore"),20,25))*C153^-0.135,BA153))</f>
        <v>0.85767012150522703</v>
      </c>
      <c r="AZ153" s="8" t="str">
        <f>IF(W153="No","No",IF(_xlfn.XLOOKUP(E153,Groups!A:A,Groups!U:U)=1,'Base stats'!AY153,IF(OR(_xlfn.XLOOKUP(E153,Groups!A:A,Groups!BC:BC)=1,_xlfn.XLOOKUP(E153,Groups!A:A,Groups!U:U)=2),BA153,IF(_xlfn.XLOOKUP(B153,Animals!B:B,Animals!AN:AN)&gt;4,AVERAGE(BA153,BC153),BC153))))</f>
        <v>No</v>
      </c>
      <c r="BA153" s="8">
        <f>(0.0392*C153^IF(OR(Y153="Herbivore",Y153="Dendrovore",Y153="OmnivoreRough"),0.889,0.966))*C153^-0.135</f>
        <v>0.21146678480123707</v>
      </c>
      <c r="BB153" s="8">
        <f>IF(_xlfn.XLOOKUP(E153,Groups!A:A,Groups!BD:BD)=1,(0.048*C153^1.01)+(0.071*C153^1.03),0.071*C153^1.03)/IF(_xlfn.XLOOKUP(E153,Groups!A:A,Groups!M:M)=1,0.85,IF(OR(_xlfn.XLOOKUP(B153,Animals!B:B,Animals!AN:AN)&gt;4,_xlfn.XLOOKUP(E153,Groups!A:A,Groups!BB:BB)=1),1.7,1))*C153^-0.25</f>
        <v>0.34537663248293771</v>
      </c>
      <c r="BC153" s="8">
        <f>(0.048*C153^1.01)/IF(_xlfn.XLOOKUP(E153,Groups!A:A,Groups!M:M)=1,0.25,0.8)*C153^-0.25</f>
        <v>0.28026546131788677</v>
      </c>
      <c r="BD153" s="8">
        <f>EXP(1.076*LN(AO153)-4.5397)*IF(_xlfn.XLOOKUP(E153,Groups!A:A,Groups!BB:BB)=1,1.25,IF(_xlfn.XLOOKUP(E153,Groups!A:A,Groups!BC:BC)=1,3.5,2.5))</f>
        <v>12.424433719180858</v>
      </c>
      <c r="BE153" s="8">
        <f>EXP(1.076*LN(AP153)-4.5397)*IF(_xlfn.XLOOKUP(E153,Groups!A:A,Groups!M:M)=1,0.8,IF(_xlfn.XLOOKUP(E153,Groups!A:A,Groups!BB:BB)=1,1.3,3))</f>
        <v>18.067081867050479</v>
      </c>
      <c r="BF153" s="8" t="str">
        <f>IF(W153="No","No",IF(_xlfn.XLOOKUP(E153,Groups!A:A,Groups!U:U)=1,'Base stats'!BG153,IF(OR(_xlfn.XLOOKUP(E153,Groups!A:A,Groups!BC:BC)=1,_xlfn.XLOOKUP(E153,Groups!A:A,Groups!U:U)=2),BD153,BE153))*1.2)</f>
        <v>No</v>
      </c>
      <c r="BG153" s="8">
        <f>IFERROR(EXP(1.076*LN(AQ153)-4.5397)*IF(_xlfn.XLOOKUP(E153,Groups!A:A,Groups!N:N)="Insect",1,IF(OR(_xlfn.XLOOKUP(E153,Groups!A:A,Groups!N:N)="Pig",_xlfn.XLOOKUP(E153,Groups!A:A,Groups!N:N)="StrongBitingHerbivore"),3.5,3.75)),"No")</f>
        <v>32.195076343916185</v>
      </c>
      <c r="BH153" s="8">
        <f t="shared" si="52"/>
        <v>10</v>
      </c>
      <c r="BI153" s="8">
        <f t="shared" si="53"/>
        <v>10</v>
      </c>
      <c r="BJ153" s="8" t="str">
        <f>IF(W153="No","No",ROUNDDOWN(SQRT((2*BF153)/AZ153),0))</f>
        <v>No</v>
      </c>
      <c r="BK153" s="8">
        <f>IF(V153="No","No",ROUNDDOWN(SQRT((2*BG153)/AY153),0))</f>
        <v>8</v>
      </c>
      <c r="BL153" s="8">
        <f t="shared" si="54"/>
        <v>11</v>
      </c>
      <c r="BM153" s="8" cm="1">
        <f t="array" ref="BM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stats'!E153,Groups!A:A,Groups!P:P=0)),"No",IF(U153="No",AVERAGE(EXP(-0.57+0.99*LN(C153)),EXP(0.32+0.67*LN(C153)))/IF(_xlfn.XLOOKUP(E153,Groups!A:A,Groups!AD:AD)=1,10,2),(0.7354*C153^0.4078)*2/IF(_xlfn.XLOOKUP(E153,Groups!A:A,Groups!BJ:BJ)=1,1000,100)))</f>
        <v>3.3631745204606232E-2</v>
      </c>
      <c r="BN153" s="8" t="str">
        <f>IF(W153="No","No",IF(_xlfn.XLOOKUP(E153,Groups!A:A,Groups!BC:BC)=1,(AL153*5%),EXP(0.7354*LN(C153)^0.4078)*2/IF(_xlfn.XLOOKUP(E153,Groups!A:A,Groups!BK:BK)=1,1000,100)))</f>
        <v>No</v>
      </c>
      <c r="BO153" s="8">
        <f>IF(BG153="No","No",IF(_xlfn.XLOOKUP(E153,Groups!A:A,Groups!BE:BE)=1,(0.0315*C153+2.1825)*2,(0.7354*C153^0.4078)*2)/IF(_xlfn.XLOOKUP(E153,Groups!A:A,Groups!BL:BL)=1,1000,100))</f>
        <v>3.3631745204606232E-2</v>
      </c>
      <c r="BP153" s="8">
        <f>BD153/(AL153*5%)</f>
        <v>5.9903856928911113E-2</v>
      </c>
      <c r="BQ153" s="8">
        <f t="shared" si="55"/>
        <v>537.20322145447267</v>
      </c>
      <c r="BR153" s="8" t="str">
        <f>IF(W153="No","No",BF153/BN153)</f>
        <v>No</v>
      </c>
      <c r="BS153" s="8">
        <f t="shared" si="56"/>
        <v>957.28235772631626</v>
      </c>
      <c r="BT153" s="4">
        <v>0</v>
      </c>
      <c r="BU153" s="4">
        <v>1</v>
      </c>
    </row>
    <row r="154" spans="1:73" x14ac:dyDescent="0.25">
      <c r="A154" s="26" t="s">
        <v>897</v>
      </c>
      <c r="B154" s="6" t="s">
        <v>919</v>
      </c>
      <c r="C154" s="7">
        <f>AVERAGE(2.7,4.1)</f>
        <v>3.4</v>
      </c>
      <c r="E154" s="7" t="s">
        <v>75</v>
      </c>
      <c r="F154" s="7">
        <v>65</v>
      </c>
      <c r="G154" s="7">
        <f t="shared" si="59"/>
        <v>0.79178082191780819</v>
      </c>
      <c r="H154" s="7">
        <v>30</v>
      </c>
      <c r="I154" s="4">
        <v>0</v>
      </c>
      <c r="J154" s="7">
        <v>4</v>
      </c>
      <c r="K154" s="7" t="s">
        <v>520</v>
      </c>
      <c r="L154" s="7">
        <f t="shared" si="57"/>
        <v>41.815076084855392</v>
      </c>
      <c r="M154" s="7" t="s">
        <v>638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_xlfn.XLOOKUP(B154,[1]TeethAdjusters!$A:$A,[1]BiteAdjusters!$C:$C)</f>
        <v>0.9224429531163798</v>
      </c>
      <c r="T154" s="7">
        <f>_xlfn.XLOOKUP(B154,[1]TeethAdjusters!$A:$A,[1]TeethAdjusters!$B:$B)</f>
        <v>0.89529411549459281</v>
      </c>
      <c r="U154" s="7">
        <f>MROUND(1.2,0.05)</f>
        <v>1.2000000000000002</v>
      </c>
      <c r="V154" s="7">
        <f>IF(AQ154="No","No",IF(_xlfn.XLOOKUP(E154,Groups!A:A,Groups!AM:AM)=1,MROUND(EXP(0.3582*LN(C154)-0.2221)*T154,0.05),IF(_xlfn.XLOOKUP(E154,Groups!A:A,Groups!AM:AM)=2,MROUND(EXP(0.3582*LN(C154)-0.2221)*T154,0.05),"Need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945</v>
      </c>
      <c r="Y154" s="4" t="s">
        <v>56</v>
      </c>
      <c r="Z154" s="4">
        <v>0</v>
      </c>
      <c r="AA154" s="4">
        <v>0</v>
      </c>
      <c r="AB154" s="4">
        <v>0</v>
      </c>
      <c r="AC154" s="4" t="s">
        <v>45</v>
      </c>
      <c r="AD154" s="4" t="s">
        <v>45</v>
      </c>
      <c r="AE154" s="28" t="s">
        <v>394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4" t="s">
        <v>40</v>
      </c>
      <c r="AL154" s="8">
        <f t="shared" si="47"/>
        <v>2459.1457803440585</v>
      </c>
      <c r="AM154" s="8">
        <f>IFERROR(C154*_xlfn.XLOOKUP(E154,Groups!A:A,Groups!K:K),0.106*C154^0.94)</f>
        <v>0.42414999999999997</v>
      </c>
      <c r="AN154" s="8">
        <f>AM154*10000/(_xlfn.XLOOKUP(E154,Groups!A:A,Groups!J:J)*AL154)</f>
        <v>1.5823723972660524</v>
      </c>
      <c r="AO154" s="8">
        <f t="shared" si="48"/>
        <v>152.89067249099983</v>
      </c>
      <c r="AP154" s="8">
        <f>IF(_xlfn.XLOOKUP(E154,Groups!A:A,Groups!M:M)=1,EXP(0.7444*LN('Base stats'!C154)+6.5696),EXP(0.7927*LN('Base stats'!C154)+4.28))</f>
        <v>190.58280740259272</v>
      </c>
      <c r="AQ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"No")))))))))))))))</f>
        <v>266.76745573602432</v>
      </c>
      <c r="AR154" s="8">
        <f>IF(_xlfn.XLOOKUP(E154,Groups!A:A,Groups!U:U)=3,AP154,IF(_xlfn.XLOOKUP(E154,Groups!A:A,Groups!U:U)=2,AO154,AQ154))</f>
        <v>266.76745573602432</v>
      </c>
      <c r="AS154" s="46">
        <f>IFERROR(AVERAGE(_xlfn.XLOOKUP(B154,Animals!B:B,Animals!M:M),_xlfn.XLOOKUP(B154,Animals!B:B,Animals!N:N)),0)</f>
        <v>0</v>
      </c>
      <c r="AT154" s="8">
        <f>MROUND(40*Animals!AN154*_xlfn.XLOOKUP(Animals!AZ154,Leathers!$A$2:$A$100,Leathers!$B$2:$B$100,0)+(140*_xlfn.XLOOKUP(B154,Animals!B:B,Animals!AN:AN)*2),5)</f>
        <v>90</v>
      </c>
      <c r="AU154" s="8">
        <f>IFERROR(ROUND(SQRT(V154-1)*IF(_xlfn.XLOOKUP(E154,Groups!A:A,Groups!BE:BE)=0,2,1)*IF(_xlfn.XLOOKUP('Base stats'!E154,Groups!A:A,Groups!O:O)=0,1,0.1),1),0)</f>
        <v>0.6</v>
      </c>
      <c r="AV154" s="8">
        <f t="shared" si="49"/>
        <v>0.4</v>
      </c>
      <c r="AW154" s="8">
        <f t="shared" si="50"/>
        <v>0</v>
      </c>
      <c r="AX154" s="8">
        <f t="shared" si="51"/>
        <v>0.9</v>
      </c>
      <c r="AY154" s="8">
        <f>IF(_xlfn.XLOOKUP(E154,Groups!A:A,Groups!N:N)="Insect",BA154*2.5,IFERROR(AVERAGE(BA154,AQ154/9.81/IF(OR(_xlfn.XLOOKUP(E154,Groups!A:A,Groups!N:N)="Pig",_xlfn.XLOOKUP(E154,Groups!A:A,Groups!N:N)="StrongBitingHerbivore"),20,25))*C154^-0.135,BA154))</f>
        <v>0.50698321083803377</v>
      </c>
      <c r="AZ154" s="8" t="str">
        <f>IF(W154="No","No",IF(_xlfn.XLOOKUP(E154,Groups!A:A,Groups!U:U)=1,'Base stats'!AY154,IF(OR(_xlfn.XLOOKUP(E154,Groups!A:A,Groups!BC:BC)=1,_xlfn.XLOOKUP(E154,Groups!A:A,Groups!U:U)=2),BA154,IF(_xlfn.XLOOKUP(B154,Animals!B:B,Animals!AN:AN)&gt;4,AVERAGE(BA154,BC154),BC154))))</f>
        <v>No</v>
      </c>
      <c r="BA154" s="8">
        <f>(0.0392*C154^IF(OR(Y154="Herbivore",Y154="Dendrovore",Y154="OmnivoreRough"),0.889,0.966))*C154^-0.135</f>
        <v>0.10837897693409064</v>
      </c>
      <c r="BB154" s="8">
        <f>IF(_xlfn.XLOOKUP(E154,Groups!A:A,Groups!BD:BD)=1,(0.048*C154^1.01)+(0.071*C154^1.03),0.071*C154^1.03)/IF(_xlfn.XLOOKUP(E154,Groups!A:A,Groups!M:M)=1,0.85,IF(OR(_xlfn.XLOOKUP(B154,Animals!B:B,Animals!AN:AN)&gt;4,_xlfn.XLOOKUP(E154,Groups!A:A,Groups!BB:BB)=1),1.7,1))*C154^-0.25</f>
        <v>0.18442165030737906</v>
      </c>
      <c r="BC154" s="8">
        <f>(0.048*C154^1.01)/IF(_xlfn.XLOOKUP(E154,Groups!A:A,Groups!M:M)=1,0.25,0.8)*C154^-0.25</f>
        <v>0.15208109377465895</v>
      </c>
      <c r="BD154" s="8">
        <f>EXP(1.076*LN(AO154)-4.5397)*IF(_xlfn.XLOOKUP(E154,Groups!A:A,Groups!BB:BB)=1,1.25,IF(_xlfn.XLOOKUP(E154,Groups!A:A,Groups!BC:BC)=1,3.5,2.5))</f>
        <v>5.9809103875987466</v>
      </c>
      <c r="BE154" s="8">
        <f>EXP(1.076*LN(AP154)-4.5397)*IF(_xlfn.XLOOKUP(E154,Groups!A:A,Groups!M:M)=1,0.8,IF(_xlfn.XLOOKUP(E154,Groups!A:A,Groups!BB:BB)=1,1.3,3))</f>
        <v>9.0975547529585494</v>
      </c>
      <c r="BF154" s="8" t="str">
        <f>IF(W154="No","No",IF(_xlfn.XLOOKUP(E154,Groups!A:A,Groups!U:U)=1,'Base stats'!BG154,IF(OR(_xlfn.XLOOKUP(E154,Groups!A:A,Groups!BC:BC)=1,_xlfn.XLOOKUP(E154,Groups!A:A,Groups!U:U)=2),BD154,BE154))*1.2)</f>
        <v>No</v>
      </c>
      <c r="BG154" s="8">
        <f>IFERROR(EXP(1.076*LN(AQ154)-4.5397)*IF(_xlfn.XLOOKUP(E154,Groups!A:A,Groups!N:N)="Insect",1,IF(OR(_xlfn.XLOOKUP(E154,Groups!A:A,Groups!N:N)="Pig",_xlfn.XLOOKUP(E154,Groups!A:A,Groups!N:N)="StrongBitingHerbivore"),3.5,3.75)),"No")</f>
        <v>16.329900982088557</v>
      </c>
      <c r="BH154" s="8">
        <f t="shared" si="52"/>
        <v>10</v>
      </c>
      <c r="BI154" s="8">
        <f t="shared" si="53"/>
        <v>9</v>
      </c>
      <c r="BJ154" s="8" t="str">
        <f>IF(W154="No","No",ROUNDDOWN(SQRT((2*BF154)/AZ154),0))</f>
        <v>No</v>
      </c>
      <c r="BK154" s="8">
        <f>IF(V154="No","No",ROUNDDOWN(SQRT((2*BG154)/AY154),0))</f>
        <v>8</v>
      </c>
      <c r="BL154" s="8">
        <f t="shared" si="54"/>
        <v>10</v>
      </c>
      <c r="BM154" s="8" cm="1">
        <f t="array" ref="BM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stats'!E154,Groups!A:A,Groups!P:P=0)),"No",IF(U154="No",AVERAGE(EXP(-0.57+0.99*LN(C154)),EXP(0.32+0.67*LN(C154)))/IF(_xlfn.XLOOKUP(E154,Groups!A:A,Groups!AD:AD)=1,10,2),(0.7354*C154^0.4078)*2/IF(_xlfn.XLOOKUP(E154,Groups!A:A,Groups!BJ:BJ)=1,1000,100)))</f>
        <v>2.4226502642868641E-2</v>
      </c>
      <c r="BN154" s="8" t="str">
        <f>IF(W154="No","No",IF(_xlfn.XLOOKUP(E154,Groups!A:A,Groups!BC:BC)=1,(AL154*5%),EXP(0.7354*LN(C154)^0.4078)*2/IF(_xlfn.XLOOKUP(E154,Groups!A:A,Groups!BK:BK)=1,1000,100)))</f>
        <v>No</v>
      </c>
      <c r="BO154" s="8">
        <f>IF(BG154="No","No",IF(_xlfn.XLOOKUP(E154,Groups!A:A,Groups!BE:BE)=1,(0.0315*C154+2.1825)*2,(0.7354*C154^0.4078)*2)/IF(_xlfn.XLOOKUP(E154,Groups!A:A,Groups!BL:BL)=1,1000,100))</f>
        <v>2.4226502642868641E-2</v>
      </c>
      <c r="BP154" s="8">
        <f>BD154/(AL154*5%)</f>
        <v>4.8642178397101443E-2</v>
      </c>
      <c r="BQ154" s="8">
        <f t="shared" si="55"/>
        <v>375.52076282197186</v>
      </c>
      <c r="BR154" s="8" t="str">
        <f>IF(W154="No","No",BF154/BN154)</f>
        <v>No</v>
      </c>
      <c r="BS154" s="8">
        <f t="shared" si="56"/>
        <v>674.05110934967979</v>
      </c>
      <c r="BT154" s="4">
        <v>0</v>
      </c>
      <c r="BU154" s="4">
        <v>1</v>
      </c>
    </row>
    <row r="155" spans="1:73" x14ac:dyDescent="0.25">
      <c r="A155" s="26" t="s">
        <v>899</v>
      </c>
      <c r="B155" s="6" t="s">
        <v>920</v>
      </c>
      <c r="C155" s="7">
        <f>AVERAGE(AVERAGE(3.6,8),AVERAGE(4.5,9))</f>
        <v>6.2750000000000004</v>
      </c>
      <c r="E155" s="7" t="s">
        <v>75</v>
      </c>
      <c r="F155" s="7">
        <v>65</v>
      </c>
      <c r="G155" s="7">
        <f t="shared" si="59"/>
        <v>0.79178082191780819</v>
      </c>
      <c r="H155" s="7">
        <v>30</v>
      </c>
      <c r="I155" s="4">
        <v>0</v>
      </c>
      <c r="J155" s="7">
        <v>4</v>
      </c>
      <c r="K155" s="7" t="s">
        <v>520</v>
      </c>
      <c r="L155" s="7">
        <f t="shared" si="57"/>
        <v>44.158965395168693</v>
      </c>
      <c r="M155" s="7" t="s">
        <v>638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_xlfn.XLOOKUP(B155,[1]TeethAdjusters!$A:$A,[1]BiteAdjusters!$C:$C)</f>
        <v>0.9224429531163798</v>
      </c>
      <c r="T155" s="7">
        <f>_xlfn.XLOOKUP(B155,[1]TeethAdjusters!$A:$A,[1]TeethAdjusters!$B:$B)</f>
        <v>0.89529411549459281</v>
      </c>
      <c r="U155" s="7">
        <f>MROUND(1.5,0.05)</f>
        <v>1.5</v>
      </c>
      <c r="V155" s="7">
        <f>IF(AQ155="No","No",IF(_xlfn.XLOOKUP(E155,Groups!A:A,Groups!AM:AM)=1,MROUND(EXP(0.3582*LN(C155)-0.2221)*T155,0.05),IF(_xlfn.XLOOKUP(E155,Groups!A:A,Groups!AM:AM)=2,MROUND(EXP(0.3582*LN(C155)-0.2221)*T155,0.05),"Need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945</v>
      </c>
      <c r="Y155" s="4" t="s">
        <v>56</v>
      </c>
      <c r="Z155" s="4">
        <v>0</v>
      </c>
      <c r="AA155" s="4">
        <v>0</v>
      </c>
      <c r="AB155" s="4">
        <v>0</v>
      </c>
      <c r="AC155" s="4" t="s">
        <v>45</v>
      </c>
      <c r="AD155" s="4" t="s">
        <v>45</v>
      </c>
      <c r="AE155" s="28" t="s">
        <v>394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4" t="s">
        <v>40</v>
      </c>
      <c r="AL155" s="8">
        <f t="shared" si="47"/>
        <v>3662.4516781825096</v>
      </c>
      <c r="AM155" s="8">
        <f>IFERROR(C155*_xlfn.XLOOKUP(E155,Groups!A:A,Groups!K:K),0.106*C155^0.94)</f>
        <v>0.78280625000000004</v>
      </c>
      <c r="AN155" s="8">
        <f>AM155*10000/(_xlfn.XLOOKUP(E155,Groups!A:A,Groups!J:J)*AL155)</f>
        <v>1.9609019713156324</v>
      </c>
      <c r="AO155" s="8">
        <f t="shared" si="48"/>
        <v>256.55770826486224</v>
      </c>
      <c r="AP155" s="8">
        <f>IF(_xlfn.XLOOKUP(E155,Groups!A:A,Groups!M:M)=1,EXP(0.7444*LN('Base stats'!C155)+6.5696),EXP(0.7927*LN('Base stats'!C155)+4.28))</f>
        <v>309.77672671268465</v>
      </c>
      <c r="AQ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"No")))))))))))))))</f>
        <v>431.382358656593</v>
      </c>
      <c r="AR155" s="8">
        <f>IF(_xlfn.XLOOKUP(E155,Groups!A:A,Groups!U:U)=3,AP155,IF(_xlfn.XLOOKUP(E155,Groups!A:A,Groups!U:U)=2,AO155,AQ155))</f>
        <v>431.382358656593</v>
      </c>
      <c r="AS155" s="46">
        <f>IFERROR(AVERAGE(_xlfn.XLOOKUP(B155,Animals!B:B,Animals!M:M),_xlfn.XLOOKUP(B155,Animals!B:B,Animals!N:N)),0)</f>
        <v>0</v>
      </c>
      <c r="AT155" s="8">
        <f>MROUND(40*Animals!AN155*_xlfn.XLOOKUP(Animals!AZ155,Leathers!$A$2:$A$100,Leathers!$B$2:$B$100,0)+(140*_xlfn.XLOOKUP(B155,Animals!B:B,Animals!AN:AN)*2),5)</f>
        <v>125</v>
      </c>
      <c r="AU155" s="8">
        <f>IFERROR(ROUND(SQRT(V155-1)*IF(_xlfn.XLOOKUP(E155,Groups!A:A,Groups!BE:BE)=0,2,1)*IF(_xlfn.XLOOKUP('Base stats'!E155,Groups!A:A,Groups!O:O)=0,1,0.1),1),0)</f>
        <v>1.3</v>
      </c>
      <c r="AV155" s="8">
        <f t="shared" si="49"/>
        <v>0.7</v>
      </c>
      <c r="AW155" s="8">
        <f t="shared" si="50"/>
        <v>0</v>
      </c>
      <c r="AX155" s="8">
        <f t="shared" si="51"/>
        <v>1.2</v>
      </c>
      <c r="AY155" s="8">
        <f>IF(_xlfn.XLOOKUP(E155,Groups!A:A,Groups!N:N)="Insect",BA155*2.5,IFERROR(AVERAGE(BA155,AQ155/9.81/IF(OR(_xlfn.XLOOKUP(E155,Groups!A:A,Groups!N:N)="Pig",_xlfn.XLOOKUP(E155,Groups!A:A,Groups!N:N)="StrongBitingHerbivore"),20,25))*C155^-0.135,BA155))</f>
        <v>0.75672105008977442</v>
      </c>
      <c r="AZ155" s="8" t="str">
        <f>IF(W155="No","No",IF(_xlfn.XLOOKUP(E155,Groups!A:A,Groups!U:U)=1,'Base stats'!AY155,IF(OR(_xlfn.XLOOKUP(E155,Groups!A:A,Groups!BC:BC)=1,_xlfn.XLOOKUP(E155,Groups!A:A,Groups!U:U)=2),BA155,IF(_xlfn.XLOOKUP(B155,Animals!B:B,Animals!AN:AN)&gt;4,AVERAGE(BA155,BC155),BC155))))</f>
        <v>No</v>
      </c>
      <c r="BA155" s="8">
        <f>(0.0392*C155^IF(OR(Y155="Herbivore",Y155="Dendrovore",Y155="OmnivoreRough"),0.889,0.966))*C155^-0.135</f>
        <v>0.18034457253799871</v>
      </c>
      <c r="BB155" s="8">
        <f>IF(_xlfn.XLOOKUP(E155,Groups!A:A,Groups!BD:BD)=1,(0.048*C155^1.01)+(0.071*C155^1.03),0.071*C155^1.03)/IF(_xlfn.XLOOKUP(E155,Groups!A:A,Groups!M:M)=1,0.85,IF(OR(_xlfn.XLOOKUP(B155,Animals!B:B,Animals!AN:AN)&gt;4,_xlfn.XLOOKUP(E155,Groups!A:A,Groups!BB:BB)=1),1.7,1))*C155^-0.25</f>
        <v>0.29743841506011542</v>
      </c>
      <c r="BC155" s="8">
        <f>(0.048*C155^1.01)/IF(_xlfn.XLOOKUP(E155,Groups!A:A,Groups!M:M)=1,0.25,0.8)*C155^-0.25</f>
        <v>0.24229122478300158</v>
      </c>
      <c r="BD155" s="8">
        <f>EXP(1.076*LN(AO155)-4.5397)*IF(_xlfn.XLOOKUP(E155,Groups!A:A,Groups!BB:BB)=1,1.25,IF(_xlfn.XLOOKUP(E155,Groups!A:A,Groups!BC:BC)=1,3.5,2.5))</f>
        <v>10.438941934006483</v>
      </c>
      <c r="BE155" s="8">
        <f>EXP(1.076*LN(AP155)-4.5397)*IF(_xlfn.XLOOKUP(E155,Groups!A:A,Groups!M:M)=1,0.8,IF(_xlfn.XLOOKUP(E155,Groups!A:A,Groups!BB:BB)=1,1.3,3))</f>
        <v>15.343452367379893</v>
      </c>
      <c r="BF155" s="8" t="str">
        <f>IF(W155="No","No",IF(_xlfn.XLOOKUP(E155,Groups!A:A,Groups!U:U)=1,'Base stats'!BG155,IF(OR(_xlfn.XLOOKUP(E155,Groups!A:A,Groups!BC:BC)=1,_xlfn.XLOOKUP(E155,Groups!A:A,Groups!U:U)=2),BD155,BE155))*1.2)</f>
        <v>No</v>
      </c>
      <c r="BG155" s="8">
        <f>IFERROR(EXP(1.076*LN(AQ155)-4.5397)*IF(_xlfn.XLOOKUP(E155,Groups!A:A,Groups!N:N)="Insect",1,IF(OR(_xlfn.XLOOKUP(E155,Groups!A:A,Groups!N:N)="Pig",_xlfn.XLOOKUP(E155,Groups!A:A,Groups!N:N)="StrongBitingHerbivore"),3.5,3.75)),"No")</f>
        <v>27.389022315454682</v>
      </c>
      <c r="BH155" s="8">
        <f t="shared" si="52"/>
        <v>10</v>
      </c>
      <c r="BI155" s="8">
        <f t="shared" si="53"/>
        <v>10</v>
      </c>
      <c r="BJ155" s="8" t="str">
        <f>IF(W155="No","No",ROUNDDOWN(SQRT((2*BF155)/AZ155),0))</f>
        <v>No</v>
      </c>
      <c r="BK155" s="8">
        <f>IF(V155="No","No",ROUNDDOWN(SQRT((2*BG155)/AY155),0))</f>
        <v>8</v>
      </c>
      <c r="BL155" s="8">
        <f t="shared" si="54"/>
        <v>11</v>
      </c>
      <c r="BM155" s="8" cm="1">
        <f t="array" ref="BM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stats'!E155,Groups!A:A,Groups!P:P=0)),"No",IF(U155="No",AVERAGE(EXP(-0.57+0.99*LN(C155)),EXP(0.32+0.67*LN(C155)))/IF(_xlfn.XLOOKUP(E155,Groups!A:A,Groups!AD:AD)=1,10,2),(0.7354*C155^0.4078)*2/IF(_xlfn.XLOOKUP(E155,Groups!A:A,Groups!BJ:BJ)=1,1000,100)))</f>
        <v>3.1104304893828406E-2</v>
      </c>
      <c r="BN155" s="8" t="str">
        <f>IF(W155="No","No",IF(_xlfn.XLOOKUP(E155,Groups!A:A,Groups!BC:BC)=1,(AL155*5%),EXP(0.7354*LN(C155)^0.4078)*2/IF(_xlfn.XLOOKUP(E155,Groups!A:A,Groups!BK:BK)=1,1000,100)))</f>
        <v>No</v>
      </c>
      <c r="BO155" s="8">
        <f>IF(BG155="No","No",IF(_xlfn.XLOOKUP(E155,Groups!A:A,Groups!BE:BE)=1,(0.0315*C155+2.1825)*2,(0.7354*C155^0.4078)*2)/IF(_xlfn.XLOOKUP(E155,Groups!A:A,Groups!BL:BL)=1,1000,100))</f>
        <v>3.1104304893828406E-2</v>
      </c>
      <c r="BP155" s="8">
        <f>BD155/(AL155*5%)</f>
        <v>5.700521318106129E-2</v>
      </c>
      <c r="BQ155" s="8">
        <f t="shared" si="55"/>
        <v>493.29031527157775</v>
      </c>
      <c r="BR155" s="8" t="str">
        <f>IF(W155="No","No",BF155/BN155)</f>
        <v>No</v>
      </c>
      <c r="BS155" s="8">
        <f t="shared" si="56"/>
        <v>880.55407150053702</v>
      </c>
      <c r="BT155" s="4">
        <v>0</v>
      </c>
      <c r="BU155" s="4">
        <v>1</v>
      </c>
    </row>
    <row r="156" spans="1:73" x14ac:dyDescent="0.25">
      <c r="A156" s="26" t="s">
        <v>900</v>
      </c>
      <c r="B156" s="6" t="s">
        <v>921</v>
      </c>
      <c r="C156" s="7">
        <f>AVERAGE(AVERAGE(2.4,3.8),AVERAGE(3.3,4.7))</f>
        <v>3.55</v>
      </c>
      <c r="E156" s="7" t="s">
        <v>75</v>
      </c>
      <c r="F156" s="7">
        <v>65</v>
      </c>
      <c r="G156" s="7">
        <f t="shared" si="59"/>
        <v>0.79178082191780819</v>
      </c>
      <c r="H156" s="7">
        <v>30</v>
      </c>
      <c r="I156" s="4">
        <v>0</v>
      </c>
      <c r="J156" s="7">
        <v>4</v>
      </c>
      <c r="K156" s="7" t="s">
        <v>520</v>
      </c>
      <c r="L156" s="7">
        <f t="shared" si="57"/>
        <v>41.976052188890897</v>
      </c>
      <c r="M156" s="7" t="s">
        <v>638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_xlfn.XLOOKUP(B156,[1]TeethAdjusters!$A:$A,[1]BiteAdjusters!$C:$C)</f>
        <v>0.9224429531163798</v>
      </c>
      <c r="T156" s="7">
        <f>_xlfn.XLOOKUP(B156,[1]TeethAdjusters!$A:$A,[1]TeethAdjusters!$B:$B)</f>
        <v>0.89529411549459281</v>
      </c>
      <c r="U156" s="7">
        <f>MROUND(1.2,0.05)</f>
        <v>1.2000000000000002</v>
      </c>
      <c r="V156" s="7">
        <f>IF(AQ156="No","No",IF(_xlfn.XLOOKUP(E156,Groups!A:A,Groups!AM:AM)=1,MROUND(EXP(0.3582*LN(C156)-0.2221)*T156,0.05),IF(_xlfn.XLOOKUP(E156,Groups!A:A,Groups!AM:AM)=2,MROUND(EXP(0.3582*LN(C156)-0.2221)*T156,0.05),"Need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945</v>
      </c>
      <c r="Y156" s="4" t="s">
        <v>56</v>
      </c>
      <c r="Z156" s="4">
        <v>0</v>
      </c>
      <c r="AA156" s="4">
        <v>0</v>
      </c>
      <c r="AB156" s="4">
        <v>0</v>
      </c>
      <c r="AC156" s="4" t="s">
        <v>45</v>
      </c>
      <c r="AD156" s="4" t="s">
        <v>45</v>
      </c>
      <c r="AE156" s="28" t="s">
        <v>394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4" t="s">
        <v>40</v>
      </c>
      <c r="AL156" s="8">
        <f t="shared" si="47"/>
        <v>2529.1314858830706</v>
      </c>
      <c r="AM156" s="8">
        <f>IFERROR(C156*_xlfn.XLOOKUP(E156,Groups!A:A,Groups!K:K),0.106*C156^0.94)</f>
        <v>0.44286249999999999</v>
      </c>
      <c r="AN156" s="8">
        <f>AM156*10000/(_xlfn.XLOOKUP(E156,Groups!A:A,Groups!J:J)*AL156)</f>
        <v>1.6064640127548404</v>
      </c>
      <c r="AO156" s="8">
        <f t="shared" si="48"/>
        <v>158.56912857529332</v>
      </c>
      <c r="AP156" s="8">
        <f>IF(_xlfn.XLOOKUP(E156,Groups!A:A,Groups!M:M)=1,EXP(0.7444*LN('Base stats'!C156)+6.5696),EXP(0.7927*LN('Base stats'!C156)+4.28))</f>
        <v>197.21793085360119</v>
      </c>
      <c r="AQ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"No")))))))))))))))</f>
        <v>275.95484879033961</v>
      </c>
      <c r="AR156" s="8">
        <f>IF(_xlfn.XLOOKUP(E156,Groups!A:A,Groups!U:U)=3,AP156,IF(_xlfn.XLOOKUP(E156,Groups!A:A,Groups!U:U)=2,AO156,AQ156))</f>
        <v>275.95484879033961</v>
      </c>
      <c r="AS156" s="46">
        <f>IFERROR(AVERAGE(_xlfn.XLOOKUP(B156,Animals!B:B,Animals!M:M),_xlfn.XLOOKUP(B156,Animals!B:B,Animals!N:N)),0)</f>
        <v>0</v>
      </c>
      <c r="AT156" s="8">
        <f>MROUND(40*Animals!AN156*_xlfn.XLOOKUP(Animals!AZ156,Leathers!$A$2:$A$100,Leathers!$B$2:$B$100,0)+(140*_xlfn.XLOOKUP(B156,Animals!B:B,Animals!AN:AN)*2),5)</f>
        <v>90</v>
      </c>
      <c r="AU156" s="8">
        <f>IFERROR(ROUND(SQRT(V156-1)*IF(_xlfn.XLOOKUP(E156,Groups!A:A,Groups!BE:BE)=0,2,1)*IF(_xlfn.XLOOKUP('Base stats'!E156,Groups!A:A,Groups!O:O)=0,1,0.1),1),0)</f>
        <v>0.8</v>
      </c>
      <c r="AV156" s="8">
        <f t="shared" si="49"/>
        <v>0.4</v>
      </c>
      <c r="AW156" s="8">
        <f t="shared" si="50"/>
        <v>0</v>
      </c>
      <c r="AX156" s="8">
        <f t="shared" si="51"/>
        <v>1</v>
      </c>
      <c r="AY156" s="8">
        <f>IF(_xlfn.XLOOKUP(E156,Groups!A:A,Groups!N:N)="Insect",BA156*2.5,IFERROR(AVERAGE(BA156,AQ156/9.81/IF(OR(_xlfn.XLOOKUP(E156,Groups!A:A,Groups!N:N)="Pig",_xlfn.XLOOKUP(E156,Groups!A:A,Groups!N:N)="StrongBitingHerbivore"),20,25))*C156^-0.135,BA156))</f>
        <v>0.5214912145242121</v>
      </c>
      <c r="AZ156" s="8" t="str">
        <f>IF(W156="No","No",IF(_xlfn.XLOOKUP(E156,Groups!A:A,Groups!U:U)=1,'Base stats'!AY156,IF(OR(_xlfn.XLOOKUP(E156,Groups!A:A,Groups!BC:BC)=1,_xlfn.XLOOKUP(E156,Groups!A:A,Groups!U:U)=2),BA156,IF(_xlfn.XLOOKUP(B156,Animals!B:B,Animals!AN:AN)&gt;4,AVERAGE(BA156,BC156),BC156))))</f>
        <v>No</v>
      </c>
      <c r="BA156" s="8">
        <f>(0.0392*C156^IF(OR(Y156="Herbivore",Y156="Dendrovore",Y156="OmnivoreRough"),0.889,0.966))*C156^-0.135</f>
        <v>0.11233777773345578</v>
      </c>
      <c r="BB156" s="8">
        <f>IF(_xlfn.XLOOKUP(E156,Groups!A:A,Groups!BD:BD)=1,(0.048*C156^1.01)+(0.071*C156^1.03),0.071*C156^1.03)/IF(_xlfn.XLOOKUP(E156,Groups!A:A,Groups!M:M)=1,0.85,IF(OR(_xlfn.XLOOKUP(B156,Animals!B:B,Animals!AN:AN)&gt;4,_xlfn.XLOOKUP(E156,Groups!A:A,Groups!BB:BB)=1),1.7,1))*C156^-0.25</f>
        <v>0.19073766604537726</v>
      </c>
      <c r="BC156" s="8">
        <f>(0.048*C156^1.01)/IF(_xlfn.XLOOKUP(E156,Groups!A:A,Groups!M:M)=1,0.25,0.8)*C156^-0.25</f>
        <v>0.15715376812955539</v>
      </c>
      <c r="BD156" s="8">
        <f>EXP(1.076*LN(AO156)-4.5397)*IF(_xlfn.XLOOKUP(E156,Groups!A:A,Groups!BB:BB)=1,1.25,IF(_xlfn.XLOOKUP(E156,Groups!A:A,Groups!BC:BC)=1,3.5,2.5))</f>
        <v>6.2202609623361447</v>
      </c>
      <c r="BE156" s="8">
        <f>EXP(1.076*LN(AP156)-4.5397)*IF(_xlfn.XLOOKUP(E156,Groups!A:A,Groups!M:M)=1,0.8,IF(_xlfn.XLOOKUP(E156,Groups!A:A,Groups!BB:BB)=1,1.3,3))</f>
        <v>9.438802947558786</v>
      </c>
      <c r="BF156" s="8" t="str">
        <f>IF(W156="No","No",IF(_xlfn.XLOOKUP(E156,Groups!A:A,Groups!U:U)=1,'Base stats'!BG156,IF(OR(_xlfn.XLOOKUP(E156,Groups!A:A,Groups!BC:BC)=1,_xlfn.XLOOKUP(E156,Groups!A:A,Groups!U:U)=2),BD156,BE156))*1.2)</f>
        <v>No</v>
      </c>
      <c r="BG156" s="8">
        <f>IFERROR(EXP(1.076*LN(AQ156)-4.5397)*IF(_xlfn.XLOOKUP(E156,Groups!A:A,Groups!N:N)="Insect",1,IF(OR(_xlfn.XLOOKUP(E156,Groups!A:A,Groups!N:N)="Pig",_xlfn.XLOOKUP(E156,Groups!A:A,Groups!N:N)="StrongBitingHerbivore"),3.5,3.75)),"No")</f>
        <v>16.935823849252799</v>
      </c>
      <c r="BH156" s="8">
        <f t="shared" si="52"/>
        <v>10</v>
      </c>
      <c r="BI156" s="8">
        <f t="shared" si="53"/>
        <v>9</v>
      </c>
      <c r="BJ156" s="8" t="str">
        <f>IF(W156="No","No",ROUNDDOWN(SQRT((2*BF156)/AZ156),0))</f>
        <v>No</v>
      </c>
      <c r="BK156" s="8">
        <f>IF(V156="No","No",ROUNDDOWN(SQRT((2*BG156)/AY156),0))</f>
        <v>8</v>
      </c>
      <c r="BL156" s="8">
        <f t="shared" si="54"/>
        <v>10</v>
      </c>
      <c r="BM156" s="8" cm="1">
        <f t="array" ref="BM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stats'!E156,Groups!A:A,Groups!P:P=0)),"No",IF(U156="No",AVERAGE(EXP(-0.57+0.99*LN(C156)),EXP(0.32+0.67*LN(C156)))/IF(_xlfn.XLOOKUP(E156,Groups!A:A,Groups!AD:AD)=1,10,2),(0.7354*C156^0.4078)*2/IF(_xlfn.XLOOKUP(E156,Groups!A:A,Groups!BJ:BJ)=1,1000,100)))</f>
        <v>2.4656801766078776E-2</v>
      </c>
      <c r="BN156" s="8" t="str">
        <f>IF(W156="No","No",IF(_xlfn.XLOOKUP(E156,Groups!A:A,Groups!BC:BC)=1,(AL156*5%),EXP(0.7354*LN(C156)^0.4078)*2/IF(_xlfn.XLOOKUP(E156,Groups!A:A,Groups!BK:BK)=1,1000,100)))</f>
        <v>No</v>
      </c>
      <c r="BO156" s="8">
        <f>IF(BG156="No","No",IF(_xlfn.XLOOKUP(E156,Groups!A:A,Groups!BE:BE)=1,(0.0315*C156+2.1825)*2,(0.7354*C156^0.4078)*2)/IF(_xlfn.XLOOKUP(E156,Groups!A:A,Groups!BL:BL)=1,1000,100))</f>
        <v>2.4656801766078776E-2</v>
      </c>
      <c r="BP156" s="8">
        <f>BD156/(AL156*5%)</f>
        <v>4.9188909292031374E-2</v>
      </c>
      <c r="BQ156" s="8">
        <f t="shared" si="55"/>
        <v>382.80726904914638</v>
      </c>
      <c r="BR156" s="8" t="str">
        <f>IF(W156="No","No",BF156/BN156)</f>
        <v>No</v>
      </c>
      <c r="BS156" s="8">
        <f t="shared" si="56"/>
        <v>686.86214902988775</v>
      </c>
      <c r="BT156" s="4">
        <v>0</v>
      </c>
      <c r="BU156" s="4">
        <v>1</v>
      </c>
    </row>
    <row r="157" spans="1:73" x14ac:dyDescent="0.25">
      <c r="A157" s="26" t="s">
        <v>901</v>
      </c>
      <c r="B157" s="6" t="s">
        <v>922</v>
      </c>
      <c r="C157" s="7">
        <f>AVERAGE(AVERAGE(3.5,4.8),AVERAGE(4.5,5.5))</f>
        <v>4.5750000000000002</v>
      </c>
      <c r="E157" s="7" t="s">
        <v>75</v>
      </c>
      <c r="F157" s="7">
        <v>65</v>
      </c>
      <c r="G157" s="7">
        <f t="shared" si="59"/>
        <v>0.79178082191780819</v>
      </c>
      <c r="H157" s="7">
        <v>30</v>
      </c>
      <c r="I157" s="4">
        <v>0</v>
      </c>
      <c r="J157" s="7">
        <v>4</v>
      </c>
      <c r="K157" s="7" t="s">
        <v>520</v>
      </c>
      <c r="L157" s="7">
        <f t="shared" si="57"/>
        <v>42.934466966943809</v>
      </c>
      <c r="M157" s="7" t="s">
        <v>638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_xlfn.XLOOKUP(B157,[1]TeethAdjusters!$A:$A,[1]BiteAdjusters!$C:$C)</f>
        <v>0.9224429531163798</v>
      </c>
      <c r="T157" s="7">
        <f>_xlfn.XLOOKUP(B157,[1]TeethAdjusters!$A:$A,[1]TeethAdjusters!$B:$B)</f>
        <v>0.89529411549459281</v>
      </c>
      <c r="U157" s="7">
        <f>MROUND(1.2,0.05)</f>
        <v>1.2000000000000002</v>
      </c>
      <c r="V157" s="7">
        <f>IF(AQ157="No","No",IF(_xlfn.XLOOKUP(E157,Groups!A:A,Groups!AM:AM)=1,MROUND(EXP(0.3582*LN(C157)-0.2221)*T157,0.05),IF(_xlfn.XLOOKUP(E157,Groups!A:A,Groups!AM:AM)=2,MROUND(EXP(0.3582*LN(C157)-0.2221)*T157,0.05),"Need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945</v>
      </c>
      <c r="Y157" s="4" t="s">
        <v>56</v>
      </c>
      <c r="Z157" s="4">
        <v>0</v>
      </c>
      <c r="AA157" s="4">
        <v>0</v>
      </c>
      <c r="AB157" s="4">
        <v>0</v>
      </c>
      <c r="AC157" s="4" t="s">
        <v>45</v>
      </c>
      <c r="AD157" s="4" t="s">
        <v>45</v>
      </c>
      <c r="AE157" s="28" t="s">
        <v>394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4" t="s">
        <v>40</v>
      </c>
      <c r="AL157" s="8">
        <f t="shared" si="47"/>
        <v>2982.4776149516515</v>
      </c>
      <c r="AM157" s="8">
        <f>IFERROR(C157*_xlfn.XLOOKUP(E157,Groups!A:A,Groups!K:K),0.106*C157^0.94)</f>
        <v>0.57073125000000002</v>
      </c>
      <c r="AN157" s="8">
        <f>AM157*10000/(_xlfn.XLOOKUP(E157,Groups!A:A,Groups!J:J)*AL157)</f>
        <v>1.755609660743874</v>
      </c>
      <c r="AO157" s="8">
        <f t="shared" si="48"/>
        <v>196.45953442343205</v>
      </c>
      <c r="AP157" s="8">
        <f>IF(_xlfn.XLOOKUP(E157,Groups!A:A,Groups!M:M)=1,EXP(0.7444*LN('Base stats'!C157)+6.5696),EXP(0.7927*LN('Base stats'!C157)+4.28))</f>
        <v>241.14174884817575</v>
      </c>
      <c r="AQ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"No")))))))))))))))</f>
        <v>336.69655329553518</v>
      </c>
      <c r="AR157" s="8">
        <f>IF(_xlfn.XLOOKUP(E157,Groups!A:A,Groups!U:U)=3,AP157,IF(_xlfn.XLOOKUP(E157,Groups!A:A,Groups!U:U)=2,AO157,AQ157))</f>
        <v>336.69655329553518</v>
      </c>
      <c r="AS157" s="46">
        <f>IFERROR(AVERAGE(_xlfn.XLOOKUP(B157,Animals!B:B,Animals!M:M),_xlfn.XLOOKUP(B157,Animals!B:B,Animals!N:N)),0)</f>
        <v>0</v>
      </c>
      <c r="AT157" s="8">
        <f>MROUND(40*Animals!AN157*_xlfn.XLOOKUP(Animals!AZ157,Leathers!$A$2:$A$100,Leathers!$B$2:$B$100,0)+(140*_xlfn.XLOOKUP(B157,Animals!B:B,Animals!AN:AN)*2),5)</f>
        <v>105</v>
      </c>
      <c r="AU157" s="8">
        <f>IFERROR(ROUND(SQRT(V157-1)*IF(_xlfn.XLOOKUP(E157,Groups!A:A,Groups!BE:BE)=0,2,1)*IF(_xlfn.XLOOKUP('Base stats'!E157,Groups!A:A,Groups!O:O)=0,1,0.1),1),0)</f>
        <v>1</v>
      </c>
      <c r="AV157" s="8">
        <f t="shared" si="49"/>
        <v>0.4</v>
      </c>
      <c r="AW157" s="8">
        <f t="shared" si="50"/>
        <v>0</v>
      </c>
      <c r="AX157" s="8">
        <f t="shared" si="51"/>
        <v>1.1000000000000001</v>
      </c>
      <c r="AY157" s="8">
        <f>IF(_xlfn.XLOOKUP(E157,Groups!A:A,Groups!N:N)="Insect",BA157*2.5,IFERROR(AVERAGE(BA157,AQ157/9.81/IF(OR(_xlfn.XLOOKUP(E157,Groups!A:A,Groups!N:N)="Pig",_xlfn.XLOOKUP(E157,Groups!A:A,Groups!N:N)="StrongBitingHerbivore"),20,25))*C157^-0.135,BA157))</f>
        <v>0.61552428586446339</v>
      </c>
      <c r="AZ157" s="8" t="str">
        <f>IF(W157="No","No",IF(_xlfn.XLOOKUP(E157,Groups!A:A,Groups!U:U)=1,'Base stats'!AY157,IF(OR(_xlfn.XLOOKUP(E157,Groups!A:A,Groups!BC:BC)=1,_xlfn.XLOOKUP(E157,Groups!A:A,Groups!U:U)=2),BA157,IF(_xlfn.XLOOKUP(B157,Animals!B:B,Animals!AN:AN)&gt;4,AVERAGE(BA157,BC157),BC157))))</f>
        <v>No</v>
      </c>
      <c r="BA157" s="8">
        <f>(0.0392*C157^IF(OR(Y157="Herbivore",Y157="Dendrovore",Y157="OmnivoreRough"),0.889,0.966))*C157^-0.135</f>
        <v>0.13869827820527736</v>
      </c>
      <c r="BB157" s="8">
        <f>IF(_xlfn.XLOOKUP(E157,Groups!A:A,Groups!BD:BD)=1,(0.048*C157^1.01)+(0.071*C157^1.03),0.071*C157^1.03)/IF(_xlfn.XLOOKUP(E157,Groups!A:A,Groups!M:M)=1,0.85,IF(OR(_xlfn.XLOOKUP(B157,Animals!B:B,Animals!AN:AN)&gt;4,_xlfn.XLOOKUP(E157,Groups!A:A,Groups!BB:BB)=1),1.7,1))*C157^-0.25</f>
        <v>0.23246812109317738</v>
      </c>
      <c r="BC157" s="8">
        <f>(0.048*C157^1.01)/IF(_xlfn.XLOOKUP(E157,Groups!A:A,Groups!M:M)=1,0.25,0.8)*C157^-0.25</f>
        <v>0.19056734578138307</v>
      </c>
      <c r="BD157" s="8">
        <f>EXP(1.076*LN(AO157)-4.5397)*IF(_xlfn.XLOOKUP(E157,Groups!A:A,Groups!BB:BB)=1,1.25,IF(_xlfn.XLOOKUP(E157,Groups!A:A,Groups!BC:BC)=1,3.5,2.5))</f>
        <v>7.8331278690013058</v>
      </c>
      <c r="BE157" s="8">
        <f>EXP(1.076*LN(AP157)-4.5397)*IF(_xlfn.XLOOKUP(E157,Groups!A:A,Groups!M:M)=1,0.8,IF(_xlfn.XLOOKUP(E157,Groups!A:A,Groups!BB:BB)=1,1.3,3))</f>
        <v>11.718707229744618</v>
      </c>
      <c r="BF157" s="8" t="str">
        <f>IF(W157="No","No",IF(_xlfn.XLOOKUP(E157,Groups!A:A,Groups!U:U)=1,'Base stats'!BG157,IF(OR(_xlfn.XLOOKUP(E157,Groups!A:A,Groups!BC:BC)=1,_xlfn.XLOOKUP(E157,Groups!A:A,Groups!U:U)=2),BD157,BE157))*1.2)</f>
        <v>No</v>
      </c>
      <c r="BG157" s="8">
        <f>IFERROR(EXP(1.076*LN(AQ157)-4.5397)*IF(_xlfn.XLOOKUP(E157,Groups!A:A,Groups!N:N)="Insect",1,IF(OR(_xlfn.XLOOKUP(E157,Groups!A:A,Groups!N:N)="Pig",_xlfn.XLOOKUP(E157,Groups!A:A,Groups!N:N)="StrongBitingHerbivore"),3.5,3.75)),"No")</f>
        <v>20.978451003083897</v>
      </c>
      <c r="BH157" s="8">
        <f t="shared" si="52"/>
        <v>10</v>
      </c>
      <c r="BI157" s="8">
        <f t="shared" si="53"/>
        <v>10</v>
      </c>
      <c r="BJ157" s="8" t="str">
        <f>IF(W157="No","No",ROUNDDOWN(SQRT((2*BF157)/AZ157),0))</f>
        <v>No</v>
      </c>
      <c r="BK157" s="8">
        <f>IF(V157="No","No",ROUNDDOWN(SQRT((2*BG157)/AY157),0))</f>
        <v>8</v>
      </c>
      <c r="BL157" s="8">
        <f t="shared" si="54"/>
        <v>11</v>
      </c>
      <c r="BM157" s="8" cm="1">
        <f t="array" ref="BM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stats'!E157,Groups!A:A,Groups!P:P=0)),"No",IF(U157="No",AVERAGE(EXP(-0.57+0.99*LN(C157)),EXP(0.32+0.67*LN(C157)))/IF(_xlfn.XLOOKUP(E157,Groups!A:A,Groups!AD:AD)=1,10,2),(0.7354*C157^0.4078)*2/IF(_xlfn.XLOOKUP(E157,Groups!A:A,Groups!BJ:BJ)=1,1000,100)))</f>
        <v>2.7343941177838019E-2</v>
      </c>
      <c r="BN157" s="8" t="str">
        <f>IF(W157="No","No",IF(_xlfn.XLOOKUP(E157,Groups!A:A,Groups!BC:BC)=1,(AL157*5%),EXP(0.7354*LN(C157)^0.4078)*2/IF(_xlfn.XLOOKUP(E157,Groups!A:A,Groups!BK:BK)=1,1000,100)))</f>
        <v>No</v>
      </c>
      <c r="BO157" s="8">
        <f>IF(BG157="No","No",IF(_xlfn.XLOOKUP(E157,Groups!A:A,Groups!BE:BE)=1,(0.0315*C157+2.1825)*2,(0.7354*C157^0.4078)*2)/IF(_xlfn.XLOOKUP(E157,Groups!A:A,Groups!BL:BL)=1,1000,100))</f>
        <v>2.7343941177838019E-2</v>
      </c>
      <c r="BP157" s="8">
        <f>BD157/(AL157*5%)</f>
        <v>5.2527655729803606E-2</v>
      </c>
      <c r="BQ157" s="8">
        <f t="shared" si="55"/>
        <v>428.56686801398291</v>
      </c>
      <c r="BR157" s="8" t="str">
        <f>IF(W157="No","No",BF157/BN157)</f>
        <v>No</v>
      </c>
      <c r="BS157" s="8">
        <f t="shared" si="56"/>
        <v>767.20655836133506</v>
      </c>
      <c r="BT157" s="4">
        <v>0</v>
      </c>
      <c r="BU157" s="4">
        <v>1</v>
      </c>
    </row>
    <row r="158" spans="1:73" x14ac:dyDescent="0.25">
      <c r="A158" s="26" t="s">
        <v>902</v>
      </c>
      <c r="B158" s="6" t="s">
        <v>923</v>
      </c>
      <c r="C158" s="7">
        <v>4.5</v>
      </c>
      <c r="D158" s="7" t="s">
        <v>1180</v>
      </c>
      <c r="E158" s="7" t="s">
        <v>75</v>
      </c>
      <c r="F158" s="7">
        <v>65</v>
      </c>
      <c r="G158" s="7">
        <f t="shared" si="59"/>
        <v>0.79178082191780819</v>
      </c>
      <c r="H158" s="7">
        <v>30</v>
      </c>
      <c r="I158" s="4">
        <v>0</v>
      </c>
      <c r="J158" s="7">
        <v>4</v>
      </c>
      <c r="K158" s="7" t="s">
        <v>520</v>
      </c>
      <c r="L158" s="7">
        <f t="shared" si="57"/>
        <v>42.871352170257147</v>
      </c>
      <c r="M158" s="7" t="s">
        <v>638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_xlfn.XLOOKUP(B158,[1]TeethAdjusters!$A:$A,[1]BiteAdjusters!$C:$C)</f>
        <v>0.9224429531163798</v>
      </c>
      <c r="T158" s="7">
        <f>_xlfn.XLOOKUP(B158,[1]TeethAdjusters!$A:$A,[1]TeethAdjusters!$B:$B)</f>
        <v>0.89529411549459281</v>
      </c>
      <c r="U158" s="7">
        <f>MROUND(1.2,0.05)</f>
        <v>1.2000000000000002</v>
      </c>
      <c r="V158" s="7">
        <f>IF(AQ158="No","No",IF(_xlfn.XLOOKUP(E158,Groups!A:A,Groups!AM:AM)=1,MROUND(EXP(0.3582*LN(C158)-0.2221)*T158,0.05),IF(_xlfn.XLOOKUP(E158,Groups!A:A,Groups!AM:AM)=2,MROUND(EXP(0.3582*LN(C158)-0.2221)*T158,0.05),"Need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945</v>
      </c>
      <c r="Y158" s="4" t="s">
        <v>56</v>
      </c>
      <c r="Z158" s="4">
        <v>0</v>
      </c>
      <c r="AA158" s="4">
        <v>0</v>
      </c>
      <c r="AB158" s="4">
        <v>0</v>
      </c>
      <c r="AC158" s="4" t="s">
        <v>45</v>
      </c>
      <c r="AD158" s="4" t="s">
        <v>45</v>
      </c>
      <c r="AE158" s="28" t="s">
        <v>394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4" t="s">
        <v>40</v>
      </c>
      <c r="AL158" s="8">
        <f t="shared" si="47"/>
        <v>2950.6052630710305</v>
      </c>
      <c r="AM158" s="8">
        <f>IFERROR(C158*_xlfn.XLOOKUP(E158,Groups!A:A,Groups!K:K),0.106*C158^0.94)</f>
        <v>0.56137499999999996</v>
      </c>
      <c r="AN158" s="8">
        <f>AM158*10000/(_xlfn.XLOOKUP(E158,Groups!A:A,Groups!J:J)*AL158)</f>
        <v>1.7454823328138902</v>
      </c>
      <c r="AO158" s="8">
        <f t="shared" si="48"/>
        <v>193.73556787208551</v>
      </c>
      <c r="AP158" s="8">
        <f>IF(_xlfn.XLOOKUP(E158,Groups!A:A,Groups!M:M)=1,EXP(0.7444*LN('Base stats'!C158)+6.5696),EXP(0.7927*LN('Base stats'!C158)+4.28))</f>
        <v>238.00273195891231</v>
      </c>
      <c r="AQ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"No")))))))))))))))</f>
        <v>332.35981357102617</v>
      </c>
      <c r="AR158" s="8">
        <f>IF(_xlfn.XLOOKUP(E158,Groups!A:A,Groups!U:U)=3,AP158,IF(_xlfn.XLOOKUP(E158,Groups!A:A,Groups!U:U)=2,AO158,AQ158))</f>
        <v>332.35981357102617</v>
      </c>
      <c r="AS158" s="46">
        <f>IFERROR(AVERAGE(_xlfn.XLOOKUP(B158,Animals!B:B,Animals!M:M),_xlfn.XLOOKUP(B158,Animals!B:B,Animals!N:N)),0)</f>
        <v>0</v>
      </c>
      <c r="AT158" s="8">
        <f>MROUND(40*Animals!AN158*_xlfn.XLOOKUP(Animals!AZ158,Leathers!$A$2:$A$100,Leathers!$B$2:$B$100,0)+(140*_xlfn.XLOOKUP(B158,Animals!B:B,Animals!AN:AN)*2),5)</f>
        <v>105</v>
      </c>
      <c r="AU158" s="8">
        <f>IFERROR(ROUND(SQRT(V158-1)*IF(_xlfn.XLOOKUP(E158,Groups!A:A,Groups!BE:BE)=0,2,1)*IF(_xlfn.XLOOKUP('Base stats'!E158,Groups!A:A,Groups!O:O)=0,1,0.1),1),0)</f>
        <v>1</v>
      </c>
      <c r="AV158" s="8">
        <f t="shared" si="49"/>
        <v>0.4</v>
      </c>
      <c r="AW158" s="8">
        <f t="shared" si="50"/>
        <v>0</v>
      </c>
      <c r="AX158" s="8">
        <f t="shared" si="51"/>
        <v>1</v>
      </c>
      <c r="AY158" s="8">
        <f>IF(_xlfn.XLOOKUP(E158,Groups!A:A,Groups!N:N)="Insect",BA158*2.5,IFERROR(AVERAGE(BA158,AQ158/9.81/IF(OR(_xlfn.XLOOKUP(E158,Groups!A:A,Groups!N:N)="Pig",_xlfn.XLOOKUP(E158,Groups!A:A,Groups!N:N)="StrongBitingHerbivore"),20,25))*C158^-0.135,BA158))</f>
        <v>0.60891039454806106</v>
      </c>
      <c r="AZ158" s="8" t="str">
        <f>IF(W158="No","No",IF(_xlfn.XLOOKUP(E158,Groups!A:A,Groups!U:U)=1,'Base stats'!AY158,IF(OR(_xlfn.XLOOKUP(E158,Groups!A:A,Groups!BC:BC)=1,_xlfn.XLOOKUP(E158,Groups!A:A,Groups!U:U)=2),BA158,IF(_xlfn.XLOOKUP(B158,Animals!B:B,Animals!AN:AN)&gt;4,AVERAGE(BA158,BC158),BC158))))</f>
        <v>No</v>
      </c>
      <c r="BA158" s="8">
        <f>(0.0392*C158^IF(OR(Y158="Herbivore",Y158="Dendrovore",Y158="OmnivoreRough"),0.889,0.966))*C158^-0.135</f>
        <v>0.1368061641182855</v>
      </c>
      <c r="BB158" s="8">
        <f>IF(_xlfn.XLOOKUP(E158,Groups!A:A,Groups!BD:BD)=1,(0.048*C158^1.01)+(0.071*C158^1.03),0.071*C158^1.03)/IF(_xlfn.XLOOKUP(E158,Groups!A:A,Groups!M:M)=1,0.85,IF(OR(_xlfn.XLOOKUP(B158,Animals!B:B,Animals!AN:AN)&gt;4,_xlfn.XLOOKUP(E158,Groups!A:A,Groups!BB:BB)=1),1.7,1))*C158^-0.25</f>
        <v>0.22949018151754852</v>
      </c>
      <c r="BC158" s="8">
        <f>(0.048*C158^1.01)/IF(_xlfn.XLOOKUP(E158,Groups!A:A,Groups!M:M)=1,0.25,0.8)*C158^-0.25</f>
        <v>0.18818836143592041</v>
      </c>
      <c r="BD158" s="8">
        <f>EXP(1.076*LN(AO158)-4.5397)*IF(_xlfn.XLOOKUP(E158,Groups!A:A,Groups!BB:BB)=1,1.25,IF(_xlfn.XLOOKUP(E158,Groups!A:A,Groups!BC:BC)=1,3.5,2.5))</f>
        <v>7.716326944216144</v>
      </c>
      <c r="BE158" s="8">
        <f>EXP(1.076*LN(AP158)-4.5397)*IF(_xlfn.XLOOKUP(E158,Groups!A:A,Groups!M:M)=1,0.8,IF(_xlfn.XLOOKUP(E158,Groups!A:A,Groups!BB:BB)=1,1.3,3))</f>
        <v>11.55464920650892</v>
      </c>
      <c r="BF158" s="8" t="str">
        <f>IF(W158="No","No",IF(_xlfn.XLOOKUP(E158,Groups!A:A,Groups!U:U)=1,'Base stats'!BG158,IF(OR(_xlfn.XLOOKUP(E158,Groups!A:A,Groups!BC:BC)=1,_xlfn.XLOOKUP(E158,Groups!A:A,Groups!U:U)=2),BD158,BE158))*1.2)</f>
        <v>No</v>
      </c>
      <c r="BG158" s="8">
        <f>IFERROR(EXP(1.076*LN(AQ158)-4.5397)*IF(_xlfn.XLOOKUP(E158,Groups!A:A,Groups!N:N)="Insect",1,IF(OR(_xlfn.XLOOKUP(E158,Groups!A:A,Groups!N:N)="Pig",_xlfn.XLOOKUP(E158,Groups!A:A,Groups!N:N)="StrongBitingHerbivore"),3.5,3.75)),"No")</f>
        <v>20.687850133006499</v>
      </c>
      <c r="BH158" s="8">
        <f t="shared" si="52"/>
        <v>10</v>
      </c>
      <c r="BI158" s="8">
        <f t="shared" si="53"/>
        <v>10</v>
      </c>
      <c r="BJ158" s="8" t="str">
        <f>IF(W158="No","No",ROUNDDOWN(SQRT((2*BF158)/AZ158),0))</f>
        <v>No</v>
      </c>
      <c r="BK158" s="8">
        <f>IF(V158="No","No",ROUNDDOWN(SQRT((2*BG158)/AY158),0))</f>
        <v>8</v>
      </c>
      <c r="BL158" s="8">
        <f t="shared" si="54"/>
        <v>11</v>
      </c>
      <c r="BM158" s="8" cm="1">
        <f t="array" ref="BM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stats'!E158,Groups!A:A,Groups!P:P=0)),"No",IF(U158="No",AVERAGE(EXP(-0.57+0.99*LN(C158)),EXP(0.32+0.67*LN(C158)))/IF(_xlfn.XLOOKUP(E158,Groups!A:A,Groups!AD:AD)=1,10,2),(0.7354*C158^0.4078)*2/IF(_xlfn.XLOOKUP(E158,Groups!A:A,Groups!BJ:BJ)=1,1000,100)))</f>
        <v>2.7160245069965436E-2</v>
      </c>
      <c r="BN158" s="8" t="str">
        <f>IF(W158="No","No",IF(_xlfn.XLOOKUP(E158,Groups!A:A,Groups!BC:BC)=1,(AL158*5%),EXP(0.7354*LN(C158)^0.4078)*2/IF(_xlfn.XLOOKUP(E158,Groups!A:A,Groups!BK:BK)=1,1000,100)))</f>
        <v>No</v>
      </c>
      <c r="BO158" s="8">
        <f>IF(BG158="No","No",IF(_xlfn.XLOOKUP(E158,Groups!A:A,Groups!BE:BE)=1,(0.0315*C158+2.1825)*2,(0.7354*C158^0.4078)*2)/IF(_xlfn.XLOOKUP(E158,Groups!A:A,Groups!BL:BL)=1,1000,100))</f>
        <v>2.7160245069965436E-2</v>
      </c>
      <c r="BP158" s="8">
        <f>BD158/(AL158*5%)</f>
        <v>5.2303349694325998E-2</v>
      </c>
      <c r="BQ158" s="8">
        <f t="shared" si="55"/>
        <v>425.4250717084426</v>
      </c>
      <c r="BR158" s="8" t="str">
        <f>IF(W158="No","No",BF158/BN158)</f>
        <v>No</v>
      </c>
      <c r="BS158" s="8">
        <f t="shared" si="56"/>
        <v>761.69600383627267</v>
      </c>
      <c r="BT158" s="4">
        <v>0</v>
      </c>
      <c r="BU158" s="4">
        <v>1</v>
      </c>
    </row>
    <row r="159" spans="1:73" x14ac:dyDescent="0.25">
      <c r="A159" s="26" t="s">
        <v>903</v>
      </c>
      <c r="B159" s="6" t="s">
        <v>924</v>
      </c>
      <c r="C159" s="7">
        <f>AVERAGE(3.5,7)</f>
        <v>5.25</v>
      </c>
      <c r="D159" s="7" t="s">
        <v>1179</v>
      </c>
      <c r="E159" s="7" t="s">
        <v>75</v>
      </c>
      <c r="F159" s="7">
        <v>65</v>
      </c>
      <c r="G159" s="7">
        <f t="shared" si="59"/>
        <v>0.79178082191780819</v>
      </c>
      <c r="H159" s="7">
        <v>30</v>
      </c>
      <c r="I159" s="4">
        <v>0</v>
      </c>
      <c r="J159" s="7">
        <v>4</v>
      </c>
      <c r="K159" s="7" t="s">
        <v>520</v>
      </c>
      <c r="L159" s="7">
        <f t="shared" si="57"/>
        <v>43.463575034767231</v>
      </c>
      <c r="M159" s="7" t="s">
        <v>638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_xlfn.XLOOKUP(B159,[1]TeethAdjusters!$A:$A,[1]BiteAdjusters!$C:$C)</f>
        <v>0.9224429531163798</v>
      </c>
      <c r="T159" s="7">
        <f>_xlfn.XLOOKUP(B159,[1]TeethAdjusters!$A:$A,[1]TeethAdjusters!$B:$B)</f>
        <v>0.89529411549459281</v>
      </c>
      <c r="U159" s="7">
        <f>MROUND(1.2,0.05)</f>
        <v>1.2000000000000002</v>
      </c>
      <c r="V159" s="7">
        <f>IF(AQ159="No","No",IF(_xlfn.XLOOKUP(E159,Groups!A:A,Groups!AM:AM)=1,MROUND(EXP(0.3582*LN(C159)-0.2221)*T159,0.05),IF(_xlfn.XLOOKUP(E159,Groups!A:A,Groups!AM:AM)=2,MROUND(EXP(0.3582*LN(C159)-0.2221)*T159,0.05),"Need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945</v>
      </c>
      <c r="Y159" s="4" t="s">
        <v>56</v>
      </c>
      <c r="Z159" s="4">
        <v>0</v>
      </c>
      <c r="AA159" s="4">
        <v>0</v>
      </c>
      <c r="AB159" s="4">
        <v>0</v>
      </c>
      <c r="AC159" s="4" t="s">
        <v>45</v>
      </c>
      <c r="AD159" s="4" t="s">
        <v>45</v>
      </c>
      <c r="AE159" s="28" t="s">
        <v>394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4" t="s">
        <v>40</v>
      </c>
      <c r="AL159" s="8">
        <f t="shared" si="47"/>
        <v>3261.5686646339173</v>
      </c>
      <c r="AM159" s="8">
        <f>IFERROR(C159*_xlfn.XLOOKUP(E159,Groups!A:A,Groups!K:K),0.106*C159^0.94)</f>
        <v>0.65493749999999995</v>
      </c>
      <c r="AN159" s="8">
        <f>AM159*10000/(_xlfn.XLOOKUP(E159,Groups!A:A,Groups!J:J)*AL159)</f>
        <v>1.8422426553774867</v>
      </c>
      <c r="AO159" s="8">
        <f t="shared" si="48"/>
        <v>220.67813921262933</v>
      </c>
      <c r="AP159" s="8">
        <f>IF(_xlfn.XLOOKUP(E159,Groups!A:A,Groups!M:M)=1,EXP(0.7444*LN('Base stats'!C159)+6.5696),EXP(0.7927*LN('Base stats'!C159)+4.28))</f>
        <v>268.93706586121436</v>
      </c>
      <c r="AQ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"No")))))))))))))))</f>
        <v>375.07219823293701</v>
      </c>
      <c r="AR159" s="8">
        <f>IF(_xlfn.XLOOKUP(E159,Groups!A:A,Groups!U:U)=3,AP159,IF(_xlfn.XLOOKUP(E159,Groups!A:A,Groups!U:U)=2,AO159,AQ159))</f>
        <v>375.07219823293701</v>
      </c>
      <c r="AS159" s="46">
        <f>IFERROR(AVERAGE(_xlfn.XLOOKUP(B159,Animals!B:B,Animals!M:M),_xlfn.XLOOKUP(B159,Animals!B:B,Animals!N:N)),0)</f>
        <v>0</v>
      </c>
      <c r="AT159" s="8">
        <f>MROUND(40*Animals!AN159*_xlfn.XLOOKUP(Animals!AZ159,Leathers!$A$2:$A$100,Leathers!$B$2:$B$100,0)+(140*_xlfn.XLOOKUP(B159,Animals!B:B,Animals!AN:AN)*2),5)</f>
        <v>105</v>
      </c>
      <c r="AU159" s="8">
        <f>IFERROR(ROUND(SQRT(V159-1)*IF(_xlfn.XLOOKUP(E159,Groups!A:A,Groups!BE:BE)=0,2,1)*IF(_xlfn.XLOOKUP('Base stats'!E159,Groups!A:A,Groups!O:O)=0,1,0.1),1),0)</f>
        <v>1.1000000000000001</v>
      </c>
      <c r="AV159" s="8">
        <f t="shared" si="49"/>
        <v>0.4</v>
      </c>
      <c r="AW159" s="8">
        <f t="shared" si="50"/>
        <v>0</v>
      </c>
      <c r="AX159" s="8">
        <f t="shared" si="51"/>
        <v>1.1000000000000001</v>
      </c>
      <c r="AY159" s="8">
        <f>IF(_xlfn.XLOOKUP(E159,Groups!A:A,Groups!N:N)="Insect",BA159*2.5,IFERROR(AVERAGE(BA159,AQ159/9.81/IF(OR(_xlfn.XLOOKUP(E159,Groups!A:A,Groups!N:N)="Pig",_xlfn.XLOOKUP(E159,Groups!A:A,Groups!N:N)="StrongBitingHerbivore"),20,25))*C159^-0.135,BA159))</f>
        <v>0.67345650068859608</v>
      </c>
      <c r="AZ159" s="8" t="str">
        <f>IF(W159="No","No",IF(_xlfn.XLOOKUP(E159,Groups!A:A,Groups!U:U)=1,'Base stats'!AY159,IF(OR(_xlfn.XLOOKUP(E159,Groups!A:A,Groups!BC:BC)=1,_xlfn.XLOOKUP(E159,Groups!A:A,Groups!U:U)=2),BA159,IF(_xlfn.XLOOKUP(B159,Animals!B:B,Animals!AN:AN)&gt;4,AVERAGE(BA159,BC159),BC159))))</f>
        <v>No</v>
      </c>
      <c r="BA159" s="8">
        <f>(0.0392*C159^IF(OR(Y159="Herbivore",Y159="Dendrovore",Y159="OmnivoreRough"),0.889,0.966))*C159^-0.135</f>
        <v>0.15550288405953519</v>
      </c>
      <c r="BB159" s="8">
        <f>IF(_xlfn.XLOOKUP(E159,Groups!A:A,Groups!BD:BD)=1,(0.048*C159^1.01)+(0.071*C159^1.03),0.071*C159^1.03)/IF(_xlfn.XLOOKUP(E159,Groups!A:A,Groups!M:M)=1,0.85,IF(OR(_xlfn.XLOOKUP(B159,Animals!B:B,Animals!AN:AN)&gt;4,_xlfn.XLOOKUP(E159,Groups!A:A,Groups!BB:BB)=1),1.7,1))*C159^-0.25</f>
        <v>0.25881092525658478</v>
      </c>
      <c r="BC159" s="8">
        <f>(0.048*C159^1.01)/IF(_xlfn.XLOOKUP(E159,Groups!A:A,Groups!M:M)=1,0.25,0.8)*C159^-0.25</f>
        <v>0.21157888347035275</v>
      </c>
      <c r="BD159" s="8">
        <f>EXP(1.076*LN(AO159)-4.5397)*IF(_xlfn.XLOOKUP(E159,Groups!A:A,Groups!BB:BB)=1,1.25,IF(_xlfn.XLOOKUP(E159,Groups!A:A,Groups!BC:BC)=1,3.5,2.5))</f>
        <v>8.8768395547731256</v>
      </c>
      <c r="BE159" s="8">
        <f>EXP(1.076*LN(AP159)-4.5397)*IF(_xlfn.XLOOKUP(E159,Groups!A:A,Groups!M:M)=1,0.8,IF(_xlfn.XLOOKUP(E159,Groups!A:A,Groups!BB:BB)=1,1.3,3))</f>
        <v>13.178279305671431</v>
      </c>
      <c r="BF159" s="8" t="str">
        <f>IF(W159="No","No",IF(_xlfn.XLOOKUP(E159,Groups!A:A,Groups!U:U)=1,'Base stats'!BG159,IF(OR(_xlfn.XLOOKUP(E159,Groups!A:A,Groups!BC:BC)=1,_xlfn.XLOOKUP(E159,Groups!A:A,Groups!U:U)=2),BD159,BE159))*1.2)</f>
        <v>No</v>
      </c>
      <c r="BG159" s="8">
        <f>IFERROR(EXP(1.076*LN(AQ159)-4.5397)*IF(_xlfn.XLOOKUP(E159,Groups!A:A,Groups!N:N)="Insect",1,IF(OR(_xlfn.XLOOKUP(E159,Groups!A:A,Groups!N:N)="Pig",_xlfn.XLOOKUP(E159,Groups!A:A,Groups!N:N)="StrongBitingHerbivore"),3.5,3.75)),"No")</f>
        <v>23.562003297721184</v>
      </c>
      <c r="BH159" s="8">
        <f t="shared" si="52"/>
        <v>10</v>
      </c>
      <c r="BI159" s="8">
        <f t="shared" si="53"/>
        <v>10</v>
      </c>
      <c r="BJ159" s="8" t="str">
        <f>IF(W159="No","No",ROUNDDOWN(SQRT((2*BF159)/AZ159),0))</f>
        <v>No</v>
      </c>
      <c r="BK159" s="8">
        <f>IF(V159="No","No",ROUNDDOWN(SQRT((2*BG159)/AY159),0))</f>
        <v>8</v>
      </c>
      <c r="BL159" s="8">
        <f t="shared" si="54"/>
        <v>11</v>
      </c>
      <c r="BM159" s="8" cm="1">
        <f t="array" ref="BM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stats'!E159,Groups!A:A,Groups!P:P=0)),"No",IF(U159="No",AVERAGE(EXP(-0.57+0.99*LN(C159)),EXP(0.32+0.67*LN(C159)))/IF(_xlfn.XLOOKUP(E159,Groups!A:A,Groups!AD:AD)=1,10,2),(0.7354*C159^0.4078)*2/IF(_xlfn.XLOOKUP(E159,Groups!A:A,Groups!BJ:BJ)=1,1000,100)))</f>
        <v>2.8922417112775739E-2</v>
      </c>
      <c r="BN159" s="8" t="str">
        <f>IF(W159="No","No",IF(_xlfn.XLOOKUP(E159,Groups!A:A,Groups!BC:BC)=1,(AL159*5%),EXP(0.7354*LN(C159)^0.4078)*2/IF(_xlfn.XLOOKUP(E159,Groups!A:A,Groups!BK:BK)=1,1000,100)))</f>
        <v>No</v>
      </c>
      <c r="BO159" s="8">
        <f>IF(BG159="No","No",IF(_xlfn.XLOOKUP(E159,Groups!A:A,Groups!BE:BE)=1,(0.0315*C159+2.1825)*2,(0.7354*C159^0.4078)*2)/IF(_xlfn.XLOOKUP(E159,Groups!A:A,Groups!BL:BL)=1,1000,100))</f>
        <v>2.8922417112775739E-2</v>
      </c>
      <c r="BP159" s="8">
        <f>BD159/(AL159*5%)</f>
        <v>5.4432946030093611E-2</v>
      </c>
      <c r="BQ159" s="8">
        <f t="shared" si="55"/>
        <v>455.64239165371356</v>
      </c>
      <c r="BR159" s="8" t="str">
        <f>IF(W159="No","No",BF159/BN159)</f>
        <v>No</v>
      </c>
      <c r="BS159" s="8">
        <f t="shared" si="56"/>
        <v>814.66231559578989</v>
      </c>
      <c r="BT159" s="4">
        <v>0</v>
      </c>
      <c r="BU159" s="4">
        <v>1</v>
      </c>
    </row>
    <row r="160" spans="1:73" x14ac:dyDescent="0.25">
      <c r="A160" s="26" t="s">
        <v>463</v>
      </c>
      <c r="B160" s="6" t="s">
        <v>464</v>
      </c>
      <c r="C160" s="7">
        <v>10000</v>
      </c>
      <c r="D160" s="7" t="s">
        <v>538</v>
      </c>
      <c r="E160" s="7" t="str">
        <f>Groups!A30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538</v>
      </c>
      <c r="L160" s="7">
        <f t="shared" si="57"/>
        <v>40.857631515333281</v>
      </c>
      <c r="M160" s="7" t="s">
        <v>638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_xlfn.XLOOKUP(B160,[1]TeethAdjusters!$A:$A,[1]BiteAdjusters!$C:$C)</f>
        <v>1</v>
      </c>
      <c r="T160" s="7">
        <f>_xlfn.XLOOKUP(B160,[1]TeethAdjusters!$A:$A,[1]TeethAdjusters!$B:$B)</f>
        <v>1</v>
      </c>
      <c r="U160" s="7">
        <v>10</v>
      </c>
      <c r="V160" s="7">
        <v>5</v>
      </c>
      <c r="W160" s="7" t="s">
        <v>45</v>
      </c>
      <c r="X160" s="7" t="s">
        <v>945</v>
      </c>
      <c r="Y160" s="4" t="s">
        <v>56</v>
      </c>
      <c r="Z160" s="4">
        <v>0</v>
      </c>
      <c r="AA160" s="4">
        <v>0</v>
      </c>
      <c r="AB160" s="4">
        <v>0</v>
      </c>
      <c r="AC160" s="4" t="s">
        <v>45</v>
      </c>
      <c r="AD160" s="4" t="s">
        <v>45</v>
      </c>
      <c r="AE160" s="28" t="s">
        <v>465</v>
      </c>
      <c r="AF160" s="4">
        <v>0</v>
      </c>
      <c r="AG160" s="4">
        <v>0</v>
      </c>
      <c r="AH160" s="4">
        <v>0</v>
      </c>
      <c r="AI160" s="4">
        <v>1</v>
      </c>
      <c r="AJ160" s="4">
        <v>1</v>
      </c>
      <c r="AK160" s="44" t="s">
        <v>40</v>
      </c>
      <c r="AL160" s="8">
        <f t="shared" si="47"/>
        <v>441898.95931438234</v>
      </c>
      <c r="AM160" s="8">
        <f>IFERROR(C160*_xlfn.XLOOKUP(E160,Groups!A:A,Groups!K:K),0.106*C160^0.94)</f>
        <v>609.96633357738608</v>
      </c>
      <c r="AN160" s="8">
        <f>AM160*10000/(_xlfn.XLOOKUP(E160,Groups!A:A,Groups!J:J)*AL160)</f>
        <v>12.663576799658493</v>
      </c>
      <c r="AO160" s="8">
        <f t="shared" si="48"/>
        <v>130089.05224741565</v>
      </c>
      <c r="AP160" s="8">
        <f>IF(_xlfn.XLOOKUP(E160,Groups!A:A,Groups!M:M)=1,EXP(0.7444*LN('Base stats'!C160)+6.5696),EXP(0.7927*LN('Base stats'!C160)+4.28))</f>
        <v>107048.44980386966</v>
      </c>
      <c r="AQ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"No")))))))))))))))</f>
        <v>67208.889531771376</v>
      </c>
      <c r="AR160" s="8">
        <f>IF(_xlfn.XLOOKUP(E160,Groups!A:A,Groups!U:U)=3,AP160,IF(_xlfn.XLOOKUP(E160,Groups!A:A,Groups!U:U)=2,AO160,AQ160))</f>
        <v>67208.889531771376</v>
      </c>
      <c r="AS160" s="46">
        <f>IFERROR(AVERAGE(_xlfn.XLOOKUP(B160,Animals!B:B,Animals!M:M),_xlfn.XLOOKUP(B160,Animals!B:B,Animals!N:N)),0)</f>
        <v>1.3</v>
      </c>
      <c r="AT160" s="8">
        <f>MROUND(40*Animals!AN160*_xlfn.XLOOKUP(Animals!AZ160,Leathers!$A$2:$A$100,Leathers!$B$2:$B$100,0)+(140*_xlfn.XLOOKUP(B160,Animals!B:B,Animals!AN:AN)*2),5)</f>
        <v>7280</v>
      </c>
      <c r="AU160" s="8">
        <f>IFERROR(ROUND(SQRT(V160-1)*IF(_xlfn.XLOOKUP(E160,Groups!A:A,Groups!BE:BE)=0,2,1)*IF(_xlfn.XLOOKUP('Base stats'!E160,Groups!A:A,Groups!O:O)=0,1,0.1),1),0)</f>
        <v>4</v>
      </c>
      <c r="AV160" s="8">
        <f t="shared" si="49"/>
        <v>3</v>
      </c>
      <c r="AW160" s="8">
        <f t="shared" si="50"/>
        <v>0</v>
      </c>
      <c r="AX160" s="8">
        <f t="shared" si="51"/>
        <v>21.7</v>
      </c>
      <c r="AY160" s="8">
        <f>IF(_xlfn.XLOOKUP(E160,Groups!A:A,Groups!N:N)="Insect",BA160*2.5,IFERROR(AVERAGE(BA160,AQ160/9.81/IF(OR(_xlfn.XLOOKUP(E160,Groups!A:A,Groups!N:N)="Pig",_xlfn.XLOOKUP(E160,Groups!A:A,Groups!N:N)="StrongBitingHerbivore"),20,25))*C160^-0.135,BA160))</f>
        <v>51.436786432766141</v>
      </c>
      <c r="AZ160" s="8" t="str">
        <f>IF(W160="No","No",IF(_xlfn.XLOOKUP(E160,Groups!A:A,Groups!U:U)=1,'Base stats'!AY160,IF(OR(_xlfn.XLOOKUP(E160,Groups!A:A,Groups!BC:BC)=1,_xlfn.XLOOKUP(E160,Groups!A:A,Groups!U:U)=2),BA160,IF(_xlfn.XLOOKUP(B160,Animals!B:B,Animals!AN:AN)&gt;4,AVERAGE(BA160,BC160),BC160))))</f>
        <v>No</v>
      </c>
      <c r="BA160" s="8">
        <f>(0.0392*C160^IF(OR(Y160="Herbivore",Y160="Dendrovore",Y160="OmnivoreRough"),0.889,0.966))*C160^-0.135</f>
        <v>82.658223477384908</v>
      </c>
      <c r="BB160" s="8">
        <f>IF(_xlfn.XLOOKUP(E160,Groups!A:A,Groups!BD:BD)=1,(0.048*C160^1.01)+(0.071*C160^1.03),0.071*C160^1.03)/IF(_xlfn.XLOOKUP(E160,Groups!A:A,Groups!M:M)=1,0.85,IF(OR(_xlfn.XLOOKUP(B160,Animals!B:B,Animals!AN:AN)&gt;4,_xlfn.XLOOKUP(E160,Groups!A:A,Groups!BB:BB)=1),1.7,1))*C160^-0.25</f>
        <v>55.05660496323825</v>
      </c>
      <c r="BC160" s="8">
        <f>(0.048*C160^1.01)/IF(_xlfn.XLOOKUP(E160,Groups!A:A,Groups!M:M)=1,0.25,0.8)*C160^-0.25</f>
        <v>65.788691768591107</v>
      </c>
      <c r="BD160" s="8">
        <f>EXP(1.076*LN(AO160)-4.5397)*IF(_xlfn.XLOOKUP(E160,Groups!A:A,Groups!BB:BB)=1,1.25,IF(_xlfn.XLOOKUP(E160,Groups!A:A,Groups!BC:BC)=1,3.5,2.5))</f>
        <v>8497.6021867907875</v>
      </c>
      <c r="BE160" s="8">
        <f>EXP(1.076*LN(AP160)-4.5397)*IF(_xlfn.XLOOKUP(E160,Groups!A:A,Groups!M:M)=1,0.8,IF(_xlfn.XLOOKUP(E160,Groups!A:A,Groups!BB:BB)=1,1.3,3))</f>
        <v>8267.6691089400374</v>
      </c>
      <c r="BF160" s="8" t="str">
        <f>IF(W160="No","No",IF(_xlfn.XLOOKUP(E160,Groups!A:A,Groups!U:U)=1,'Base stats'!BG160,IF(OR(_xlfn.XLOOKUP(E160,Groups!A:A,Groups!BC:BC)=1,_xlfn.XLOOKUP(E160,Groups!A:A,Groups!U:U)=2),BD160,BE160))*1.2)</f>
        <v>No</v>
      </c>
      <c r="BG160" s="8">
        <f>IFERROR(EXP(1.076*LN(AQ160)-4.5397)*IF(_xlfn.XLOOKUP(E160,Groups!A:A,Groups!N:N)="Insect",1,IF(OR(_xlfn.XLOOKUP(E160,Groups!A:A,Groups!N:N)="Pig",_xlfn.XLOOKUP(E160,Groups!A:A,Groups!N:N)="StrongBitingHerbivore"),3.5,3.75)),"No")</f>
        <v>6262.9040572450376</v>
      </c>
      <c r="BH160" s="8">
        <f t="shared" si="52"/>
        <v>14</v>
      </c>
      <c r="BI160" s="8">
        <f t="shared" si="53"/>
        <v>17</v>
      </c>
      <c r="BJ160" s="8" t="str">
        <f>IF(W160="No","No",ROUNDDOWN(SQRT((2*BF160)/AZ160),0))</f>
        <v>No</v>
      </c>
      <c r="BK160" s="8">
        <f>IF(V160="No","No",ROUNDDOWN(SQRT((2*BG160)/AY160),0))</f>
        <v>15</v>
      </c>
      <c r="BL160" s="8">
        <f t="shared" si="54"/>
        <v>15</v>
      </c>
      <c r="BM160" s="8" cm="1">
        <f t="array" ref="BM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stats'!E160,Groups!A:A,Groups!P:P=0)),"No",IF(U160="No",AVERAGE(EXP(-0.57+0.99*LN(C160)),EXP(0.32+0.67*LN(C160)))/IF(_xlfn.XLOOKUP(E160,Groups!A:A,Groups!AD:AD)=1,10,2),(0.7354*C160^0.4078)*2/IF(_xlfn.XLOOKUP(E160,Groups!A:A,Groups!BJ:BJ)=1,1000,100)))</f>
        <v>6.2914916014378153E-2</v>
      </c>
      <c r="BN160" s="8" t="str">
        <f>IF(W160="No","No",IF(_xlfn.XLOOKUP(E160,Groups!A:A,Groups!BC:BC)=1,(AL160*5%),EXP(0.7354*LN(C160)^0.4078)*2/IF(_xlfn.XLOOKUP(E160,Groups!A:A,Groups!BK:BK)=1,1000,100)))</f>
        <v>No</v>
      </c>
      <c r="BO160" s="8">
        <f>IF(BG160="No","No",IF(_xlfn.XLOOKUP(E160,Groups!A:A,Groups!BE:BE)=1,(0.0315*C160+2.1825)*2,(0.7354*C160^0.4078)*2)/IF(_xlfn.XLOOKUP(E160,Groups!A:A,Groups!BL:BL)=1,1000,100))</f>
        <v>6.2914916014378153E-2</v>
      </c>
      <c r="BP160" s="8">
        <f>BD160/(AL160*5%)</f>
        <v>0.38459480420479092</v>
      </c>
      <c r="BQ160" s="8">
        <f t="shared" si="55"/>
        <v>131410.31781796546</v>
      </c>
      <c r="BR160" s="8" t="str">
        <f>IF(W160="No","No",BF160/BN160)</f>
        <v>No</v>
      </c>
      <c r="BS160" s="8">
        <f t="shared" si="56"/>
        <v>99545.615793459147</v>
      </c>
      <c r="BT160" s="4">
        <v>0</v>
      </c>
      <c r="BU160" s="4">
        <v>1</v>
      </c>
    </row>
    <row r="161" spans="1:73" x14ac:dyDescent="0.25">
      <c r="A161" s="26" t="s">
        <v>1160</v>
      </c>
      <c r="B161" s="6" t="s">
        <v>1161</v>
      </c>
      <c r="C161" s="7">
        <f>MIN(369,440,389,462)</f>
        <v>369</v>
      </c>
      <c r="D161" s="7" t="s">
        <v>1178</v>
      </c>
      <c r="E161" s="7" t="str">
        <f>Groups!A17</f>
        <v>Felid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538</v>
      </c>
      <c r="L161" s="7">
        <f>MIN(37.5*C161^0.089,79.3*C161^-0.072)</f>
        <v>51.814020065006822</v>
      </c>
      <c r="M161" s="7" t="s">
        <v>638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_xlfn.XLOOKUP(B161,[1]TeethAdjusters!$A:$A,[1]BiteAdjusters!$C:$C)</f>
        <v>0.61235096575252035</v>
      </c>
      <c r="T161" s="7">
        <f>_xlfn.XLOOKUP(B161,[1]TeethAdjusters!$A:$A,[1]TeethAdjusters!$B:$B)</f>
        <v>1</v>
      </c>
      <c r="U161" s="7">
        <v>12</v>
      </c>
      <c r="V161" s="7">
        <v>18</v>
      </c>
      <c r="W161" s="7" t="s">
        <v>45</v>
      </c>
      <c r="X161" s="7" t="s">
        <v>945</v>
      </c>
      <c r="Y161" s="4" t="s">
        <v>56</v>
      </c>
      <c r="Z161" s="4">
        <v>0</v>
      </c>
      <c r="AA161" s="4">
        <v>0</v>
      </c>
      <c r="AB161" s="4">
        <v>0</v>
      </c>
      <c r="AC161" s="4" t="s">
        <v>45</v>
      </c>
      <c r="AD161" s="4" t="s">
        <v>45</v>
      </c>
      <c r="AE161" s="28" t="s">
        <v>398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4" t="s">
        <v>40</v>
      </c>
      <c r="AL161" s="8">
        <f t="shared" si="47"/>
        <v>51747.588599598166</v>
      </c>
      <c r="AM161" s="8">
        <f>IFERROR(C161*_xlfn.XLOOKUP(E161,Groups!A:A,Groups!K:K),0.106*C161^0.94)</f>
        <v>46.03275</v>
      </c>
      <c r="AN161" s="8">
        <f>AM161*10000/(_xlfn.XLOOKUP(E161,Groups!A:A,Groups!J:J)*AL161)</f>
        <v>8.161130185353775</v>
      </c>
      <c r="AO161" s="8">
        <f t="shared" si="48"/>
        <v>8013.2357735170845</v>
      </c>
      <c r="AP161" s="8">
        <f>IF(_xlfn.XLOOKUP(E161,Groups!A:A,Groups!M:M)=1,EXP(0.7444*LN('Base stats'!C161)+6.5696),EXP(0.7927*LN('Base stats'!C161)+4.28))</f>
        <v>7828.2048709515466</v>
      </c>
      <c r="AQ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"No")))))))))))))))</f>
        <v>6993.1621893135707</v>
      </c>
      <c r="AR161" s="8">
        <f>IF(_xlfn.XLOOKUP(E161,Groups!A:A,Groups!U:U)=3,AP161,IF(_xlfn.XLOOKUP(E161,Groups!A:A,Groups!U:U)=2,AO161,AQ161))</f>
        <v>6993.1621893135707</v>
      </c>
      <c r="AS161" s="46">
        <f>IFERROR(AVERAGE(_xlfn.XLOOKUP(B161,Animals!B:B,Animals!M:M),_xlfn.XLOOKUP(B161,Animals!B:B,Animals!N:N)),0)</f>
        <v>0</v>
      </c>
      <c r="AT161" s="8">
        <f>MROUND(40*Animals!AN161*_xlfn.XLOOKUP(Animals!AZ161,Leathers!$A$2:$A$100,Leathers!$B$2:$B$100,0)+(140*_xlfn.XLOOKUP(B161,Animals!B:B,Animals!AN:AN)*2),5)</f>
        <v>1120</v>
      </c>
      <c r="AU161" s="8">
        <f>IFERROR(ROUND(SQRT(V161-1)*IF(_xlfn.XLOOKUP(E161,Groups!A:A,Groups!BE:BE)=0,2,1)*IF(_xlfn.XLOOKUP('Base stats'!E161,Groups!A:A,Groups!O:O)=0,1,0.1),1),0)</f>
        <v>8.1999999999999993</v>
      </c>
      <c r="AV161" s="8">
        <f t="shared" si="49"/>
        <v>3.3</v>
      </c>
      <c r="AW161" s="8">
        <f t="shared" si="50"/>
        <v>0</v>
      </c>
      <c r="AX161" s="8">
        <f t="shared" si="51"/>
        <v>6.7</v>
      </c>
      <c r="AY161" s="8">
        <f>IF(_xlfn.XLOOKUP(E161,Groups!A:A,Groups!N:N)="Insect",BA161*2.5,IFERROR(AVERAGE(BA161,AQ161/9.81/IF(OR(_xlfn.XLOOKUP(E161,Groups!A:A,Groups!N:N)="Pig",_xlfn.XLOOKUP(E161,Groups!A:A,Groups!N:N)="StrongBitingHerbivore"),20,25))*C161^-0.135,BA161))</f>
        <v>7.6185165902802199</v>
      </c>
      <c r="AZ161" s="8" t="str">
        <f>IF(W161="No","No",IF(_xlfn.XLOOKUP(E161,Groups!A:A,Groups!U:U)=1,'Base stats'!AY161,IF(OR(_xlfn.XLOOKUP(E161,Groups!A:A,Groups!BC:BC)=1,_xlfn.XLOOKUP(E161,Groups!A:A,Groups!U:U)=2),BA161,IF(_xlfn.XLOOKUP(B161,Animals!B:B,Animals!AN:AN)&gt;4,AVERAGE(BA161,BC161),BC161))))</f>
        <v>No</v>
      </c>
      <c r="BA161" s="8">
        <f>(0.0392*C161^IF(OR(Y161="Herbivore",Y161="Dendrovore",Y161="OmnivoreRough"),0.889,0.966))*C161^-0.135</f>
        <v>5.3270279725611278</v>
      </c>
      <c r="BB161" s="8">
        <f>IF(_xlfn.XLOOKUP(E161,Groups!A:A,Groups!BD:BD)=1,(0.048*C161^1.01)+(0.071*C161^1.03),0.071*C161^1.03)/IF(_xlfn.XLOOKUP(E161,Groups!A:A,Groups!M:M)=1,0.85,IF(OR(_xlfn.XLOOKUP(B161,Animals!B:B,Animals!AN:AN)&gt;4,_xlfn.XLOOKUP(E161,Groups!A:A,Groups!BB:BB)=1),1.7,1))*C161^-0.25</f>
        <v>7.1373815572298245</v>
      </c>
      <c r="BC161" s="8">
        <f>(0.048*C161^1.01)/IF(_xlfn.XLOOKUP(E161,Groups!A:A,Groups!M:M)=1,0.25,0.8)*C161^-0.25</f>
        <v>5.3590929376452232</v>
      </c>
      <c r="BD161" s="8">
        <f>EXP(1.076*LN(AO161)-4.5397)*IF(_xlfn.XLOOKUP(E161,Groups!A:A,Groups!BB:BB)=1,1.25,IF(_xlfn.XLOOKUP(E161,Groups!A:A,Groups!BC:BC)=1,3.5,2.5))</f>
        <v>423.51682908933856</v>
      </c>
      <c r="BE161" s="8">
        <f>EXP(1.076*LN(AP161)-4.5397)*IF(_xlfn.XLOOKUP(E161,Groups!A:A,Groups!M:M)=1,0.8,IF(_xlfn.XLOOKUP(E161,Groups!A:A,Groups!BB:BB)=1,1.3,3))</f>
        <v>495.60434376649175</v>
      </c>
      <c r="BF161" s="8" t="str">
        <f>IF(W161="No","No",IF(_xlfn.XLOOKUP(E161,Groups!A:A,Groups!U:U)=1,'Base stats'!BG161,IF(OR(_xlfn.XLOOKUP(E161,Groups!A:A,Groups!BC:BC)=1,_xlfn.XLOOKUP(E161,Groups!A:A,Groups!U:U)=2),BD161,BE161))*1.2)</f>
        <v>No</v>
      </c>
      <c r="BG161" s="8">
        <f>IFERROR(EXP(1.076*LN(AQ161)-4.5397)*IF(_xlfn.XLOOKUP(E161,Groups!A:A,Groups!N:N)="Insect",1,IF(OR(_xlfn.XLOOKUP(E161,Groups!A:A,Groups!N:N)="Pig",_xlfn.XLOOKUP(E161,Groups!A:A,Groups!N:N)="StrongBitingHerbivore"),3.5,3.75)),"No")</f>
        <v>548.69803215002526</v>
      </c>
      <c r="BH161" s="8">
        <f t="shared" si="52"/>
        <v>12</v>
      </c>
      <c r="BI161" s="8">
        <f t="shared" si="53"/>
        <v>11</v>
      </c>
      <c r="BJ161" s="8" t="str">
        <f>IF(W161="No","No",ROUNDDOWN(SQRT((2*BF161)/AZ161),0))</f>
        <v>No</v>
      </c>
      <c r="BK161" s="8">
        <f>IF(V161="No","No",ROUNDDOWN(SQRT((2*BG161)/AY161),0))</f>
        <v>12</v>
      </c>
      <c r="BL161" s="8">
        <f t="shared" si="54"/>
        <v>13</v>
      </c>
      <c r="BM161" s="8" cm="1">
        <f t="array" ref="BM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stats'!E161,Groups!A:A,Groups!P:P=0)),"No",IF(U161="No",AVERAGE(EXP(-0.57+0.99*LN(C161)),EXP(0.32+0.67*LN(C161)))/IF(_xlfn.XLOOKUP(E161,Groups!A:A,Groups!AD:AD)=1,10,2),(0.7354*C161^0.4078)*2/IF(_xlfn.XLOOKUP(E161,Groups!A:A,Groups!BJ:BJ)=1,1000,100)))</f>
        <v>0.16382756387364389</v>
      </c>
      <c r="BN161" s="8" t="str">
        <f>IF(W161="No","No",IF(_xlfn.XLOOKUP(E161,Groups!A:A,Groups!BC:BC)=1,(AL161*5%),EXP(0.7354*LN(C161)^0.4078)*2/IF(_xlfn.XLOOKUP(E161,Groups!A:A,Groups!BK:BK)=1,1000,100)))</f>
        <v>No</v>
      </c>
      <c r="BO161" s="8">
        <f>IF(BG161="No","No",IF(_xlfn.XLOOKUP(E161,Groups!A:A,Groups!BE:BE)=1,(0.0315*C161+2.1825)*2,(0.7354*C161^0.4078)*2)/IF(_xlfn.XLOOKUP(E161,Groups!A:A,Groups!BL:BL)=1,1000,100))</f>
        <v>0.16382756387364389</v>
      </c>
      <c r="BP161" s="8">
        <f>BD161/(AL161*5%)</f>
        <v>0.16368562885754537</v>
      </c>
      <c r="BQ161" s="8">
        <f t="shared" si="55"/>
        <v>3025.1584779026502</v>
      </c>
      <c r="BR161" s="8" t="str">
        <f>IF(W161="No","No",BF161/BN161)</f>
        <v>No</v>
      </c>
      <c r="BS161" s="8">
        <f t="shared" si="56"/>
        <v>3349.2412337475907</v>
      </c>
      <c r="BT161" s="4">
        <v>0</v>
      </c>
      <c r="BU161" s="4">
        <v>1</v>
      </c>
    </row>
    <row r="162" spans="1:73" s="16" customFormat="1" x14ac:dyDescent="0.25">
      <c r="A162" s="26" t="s">
        <v>1167</v>
      </c>
      <c r="B162" s="6" t="s">
        <v>1164</v>
      </c>
      <c r="C162" s="7">
        <v>1.095</v>
      </c>
      <c r="D162" s="7" t="s">
        <v>1165</v>
      </c>
      <c r="E162" s="7" t="str">
        <f>Groups!A9</f>
        <v>Bird</v>
      </c>
      <c r="F162" s="7" t="str">
        <f t="shared" ref="F162:F165" si="60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61">"Lay eggs"</f>
        <v>Lay eggs</v>
      </c>
      <c r="K162" s="7" t="s">
        <v>1165</v>
      </c>
      <c r="L162" s="7">
        <f>10*1.60934</f>
        <v>16.093399999999999</v>
      </c>
      <c r="M162" s="7" t="s">
        <v>640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_xlfn.XLOOKUP(B162,[1]TeethAdjusters!$A:$A,[1]BiteAdjusters!$C:$C)</f>
        <v>1</v>
      </c>
      <c r="T162" s="7">
        <f>_xlfn.XLOOKUP(B162,[1]TeethAdjusters!$A:$A,[1]TeethAdjusters!$B:$B)</f>
        <v>1</v>
      </c>
      <c r="U162" s="7">
        <v>0.75</v>
      </c>
      <c r="V162" s="7">
        <v>1</v>
      </c>
      <c r="W162" s="7" t="s">
        <v>45</v>
      </c>
      <c r="X162" s="7" t="s">
        <v>945</v>
      </c>
      <c r="Y162" s="4" t="s">
        <v>42</v>
      </c>
      <c r="Z162" s="4">
        <v>0</v>
      </c>
      <c r="AA162" s="4">
        <v>0</v>
      </c>
      <c r="AB162" s="4">
        <v>0</v>
      </c>
      <c r="AC162" s="4" t="s">
        <v>45</v>
      </c>
      <c r="AD162" s="4" t="s">
        <v>408</v>
      </c>
      <c r="AE162" s="28" t="s">
        <v>45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4" t="s">
        <v>40</v>
      </c>
      <c r="AL162" s="8">
        <f t="shared" si="47"/>
        <v>1177.4491384447158</v>
      </c>
      <c r="AM162" s="8">
        <f>IFERROR(C162*_xlfn.XLOOKUP(E162,Groups!A:A,Groups!K:K),0.106*C162^0.94)</f>
        <v>0.11543968613278187</v>
      </c>
      <c r="AN162" s="8">
        <f>AM162*10000/(_xlfn.XLOOKUP(E162,Groups!A:A,Groups!J:J)*AL162)</f>
        <v>0.89946958616871342</v>
      </c>
      <c r="AO162" s="8">
        <f t="shared" si="48"/>
        <v>58.712943827064578</v>
      </c>
      <c r="AP162" s="8">
        <f>IF(_xlfn.XLOOKUP(E162,Groups!A:A,Groups!M:M)=1,EXP(0.7444*LN('Base stats'!C162)+6.5696),EXP(0.7927*LN('Base stats'!C162)+4.28))</f>
        <v>77.628993405123524</v>
      </c>
      <c r="AQ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"No")))))))))))))))</f>
        <v>14.967751966566047</v>
      </c>
      <c r="AR162" s="8">
        <f>IF(_xlfn.XLOOKUP(E162,Groups!A:A,Groups!U:U)=3,AP162,IF(_xlfn.XLOOKUP(E162,Groups!A:A,Groups!U:U)=2,AO162,AQ162))</f>
        <v>14.967751966566047</v>
      </c>
      <c r="AS162" s="46">
        <f>IFERROR(AVERAGE(_xlfn.XLOOKUP(B162,Animals!B:B,Animals!M:M),_xlfn.XLOOKUP(B162,Animals!B:B,Animals!N:N)),0)</f>
        <v>0</v>
      </c>
      <c r="AT162" s="8">
        <f>MROUND(40*Animals!AN162*_xlfn.XLOOKUP(Animals!AZ162,Leathers!$A$2:$A$100,Leathers!$B$2:$B$100,0)+(140*_xlfn.XLOOKUP(B162,Animals!B:B,Animals!AN:AN)*2),5)</f>
        <v>40</v>
      </c>
      <c r="AU162" s="8">
        <f>IFERROR(ROUND(SQRT(V162-1)*IF(_xlfn.XLOOKUP(E162,Groups!A:A,Groups!BE:BE)=0,2,1)*IF(_xlfn.XLOOKUP('Base stats'!E162,Groups!A:A,Groups!O:O)=0,1,0.1),1),0)</f>
        <v>0</v>
      </c>
      <c r="AV162" s="8">
        <f t="shared" si="49"/>
        <v>0</v>
      </c>
      <c r="AW162" s="8">
        <f t="shared" si="50"/>
        <v>0</v>
      </c>
      <c r="AX162" s="8">
        <f t="shared" si="51"/>
        <v>0.6</v>
      </c>
      <c r="AY162" s="8">
        <f>IF(_xlfn.XLOOKUP(E162,Groups!A:A,Groups!N:N)="Insect",BA162*2.5,IFERROR(AVERAGE(BA162,AQ162/9.81/IF(OR(_xlfn.XLOOKUP(E162,Groups!A:A,Groups!N:N)="Pig",_xlfn.XLOOKUP(E162,Groups!A:A,Groups!N:N)="StrongBitingHerbivore"),20,25))*C162^-0.135,BA162))</f>
        <v>5.0876289940800463E-2</v>
      </c>
      <c r="AZ162" s="8" t="str">
        <f>IF(W162="No","No",IF(_xlfn.XLOOKUP(E162,Groups!A:A,Groups!U:U)=1,'Base stats'!AY162,IF(OR(_xlfn.XLOOKUP(E162,Groups!A:A,Groups!BC:BC)=1,_xlfn.XLOOKUP(E162,Groups!A:A,Groups!U:U)=2),BA162,IF(_xlfn.XLOOKUP(B162,Animals!B:B,Animals!AN:AN)&gt;4,AVERAGE(BA162,BC162),BC162))))</f>
        <v>No</v>
      </c>
      <c r="BA162" s="8">
        <f>(0.0392*C162^IF(OR(Y162="Herbivore",Y162="Dendrovore",Y162="OmnivoreRough"),0.889,0.966))*C162^-0.135</f>
        <v>4.1976315254226217E-2</v>
      </c>
      <c r="BB162" s="8">
        <f>IF(_xlfn.XLOOKUP(E162,Groups!A:A,Groups!BD:BD)=1,(0.048*C162^1.01)+(0.071*C162^1.03),0.071*C162^1.03)/IF(_xlfn.XLOOKUP(E162,Groups!A:A,Groups!M:M)=1,0.85,IF(OR(_xlfn.XLOOKUP(B162,Animals!B:B,Animals!AN:AN)&gt;4,_xlfn.XLOOKUP(E162,Groups!A:A,Groups!BB:BB)=1),1.7,1))*C162^-0.25</f>
        <v>0.1276357056753028</v>
      </c>
      <c r="BC162" s="8">
        <f>(0.048*C162^1.01)/IF(_xlfn.XLOOKUP(E162,Groups!A:A,Groups!M:M)=1,0.25,0.8)*C162^-0.25</f>
        <v>6.4284457164961284E-2</v>
      </c>
      <c r="BD162" s="8">
        <f>EXP(1.076*LN(AO162)-4.5397)*IF(_xlfn.XLOOKUP(E162,Groups!A:A,Groups!BB:BB)=1,1.25,IF(_xlfn.XLOOKUP(E162,Groups!A:A,Groups!BC:BC)=1,3.5,2.5))</f>
        <v>2.1356544176878636</v>
      </c>
      <c r="BE162" s="8">
        <f>EXP(1.076*LN(AP162)-4.5397)*IF(_xlfn.XLOOKUP(E162,Groups!A:A,Groups!M:M)=1,0.8,IF(_xlfn.XLOOKUP(E162,Groups!A:A,Groups!BB:BB)=1,1.3,3))</f>
        <v>3.4611495964570245</v>
      </c>
      <c r="BF162" s="8" t="str">
        <f>IF(W162="No","No",IF(_xlfn.XLOOKUP(E162,Groups!A:A,Groups!U:U)=1,'Base stats'!BG162,IF(OR(_xlfn.XLOOKUP(E162,Groups!A:A,Groups!BC:BC)=1,_xlfn.XLOOKUP(E162,Groups!A:A,Groups!U:U)=2),BD162,BE162))*1.2)</f>
        <v>No</v>
      </c>
      <c r="BG162" s="8">
        <f>IFERROR(EXP(1.076*LN(AQ162)-4.5397)*IF(_xlfn.XLOOKUP(E162,Groups!A:A,Groups!N:N)="Insect",1,IF(OR(_xlfn.XLOOKUP(E162,Groups!A:A,Groups!N:N)="Pig",_xlfn.XLOOKUP(E162,Groups!A:A,Groups!N:N)="StrongBitingHerbivore"),3.5,3.75)),"No")</f>
        <v>0.73609367485438459</v>
      </c>
      <c r="BH162" s="8">
        <f t="shared" si="52"/>
        <v>10</v>
      </c>
      <c r="BI162" s="8">
        <f t="shared" si="53"/>
        <v>7</v>
      </c>
      <c r="BJ162" s="8" t="str">
        <f>IF(W162="No","No",ROUNDDOWN(SQRT((2*BF162)/AZ162),0))</f>
        <v>No</v>
      </c>
      <c r="BK162" s="8">
        <f>IF(V162="No","No",ROUNDDOWN(SQRT((2*BG162)/AY162),0))</f>
        <v>5</v>
      </c>
      <c r="BL162" s="8">
        <f t="shared" si="54"/>
        <v>10</v>
      </c>
      <c r="BM162" s="8" cm="1">
        <f t="array" ref="BM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stats'!E162,Groups!A:A,Groups!P:P=0)),"No",IF(U162="No",AVERAGE(EXP(-0.57+0.99*LN(C162)),EXP(0.32+0.67*LN(C162)))/IF(_xlfn.XLOOKUP(E162,Groups!A:A,Groups!AD:AD)=1,10,2),(0.7354*C162^0.4078)*2/IF(_xlfn.XLOOKUP(E162,Groups!A:A,Groups!BJ:BJ)=1,1000,100)))</f>
        <v>1.5262535917941055E-2</v>
      </c>
      <c r="BN162" s="8" t="str">
        <f>IF(W162="No","No",IF(_xlfn.XLOOKUP(E162,Groups!A:A,Groups!BC:BC)=1,(AL162*5%),EXP(0.7354*LN(C162)^0.4078)*2/IF(_xlfn.XLOOKUP(E162,Groups!A:A,Groups!BK:BK)=1,1000,100)))</f>
        <v>No</v>
      </c>
      <c r="BO162" s="8">
        <f>IF(BG162="No","No",IF(_xlfn.XLOOKUP(E162,Groups!A:A,Groups!BE:BE)=1,(0.0315*C162+2.1825)*2,(0.7354*C162^0.4078)*2)/IF(_xlfn.XLOOKUP(E162,Groups!A:A,Groups!BL:BL)=1,1000,100))</f>
        <v>1.5262535917941055E-2</v>
      </c>
      <c r="BP162" s="8">
        <f>BD162/(AL162*5%)</f>
        <v>3.6275951936384006E-2</v>
      </c>
      <c r="BQ162" s="8">
        <f t="shared" si="55"/>
        <v>226.77421465645534</v>
      </c>
      <c r="BR162" s="8" t="str">
        <f>IF(W162="No","No",BF162/BN162)</f>
        <v>No</v>
      </c>
      <c r="BS162" s="8">
        <f t="shared" si="56"/>
        <v>48.2287923063368</v>
      </c>
      <c r="BT162" s="4">
        <v>0</v>
      </c>
      <c r="BU162" s="4">
        <v>1</v>
      </c>
    </row>
    <row r="163" spans="1:73" s="16" customFormat="1" x14ac:dyDescent="0.25">
      <c r="A163" s="26" t="s">
        <v>1176</v>
      </c>
      <c r="B163" s="6" t="s">
        <v>1168</v>
      </c>
      <c r="C163" s="7">
        <v>64.474999999999994</v>
      </c>
      <c r="D163" s="7" t="s">
        <v>1177</v>
      </c>
      <c r="E163" s="7" t="s">
        <v>1036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1177</v>
      </c>
      <c r="L163" s="7">
        <v>32</v>
      </c>
      <c r="M163" s="7" t="s">
        <v>638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_xlfn.XLOOKUP(B163,[1]TeethAdjusters!$A:$A,[1]BiteAdjusters!$C:$C)</f>
        <v>1.8280676541174832</v>
      </c>
      <c r="T163" s="7">
        <f>_xlfn.XLOOKUP(B163,[1]TeethAdjusters!$A:$A,[1]TeethAdjusters!$B:$B)</f>
        <v>0.823477289474559</v>
      </c>
      <c r="U163" s="7" t="s">
        <v>45</v>
      </c>
      <c r="V163" s="7">
        <f>IF(AQ163="No","No",IF(_xlfn.XLOOKUP(E163,Groups!A:A,Groups!AM:AM)=1,MROUND(EXP(0.3582*LN(C163)-0.2221)*T163,0.05),IF(_xlfn.XLOOKUP(E163,Groups!A:A,Groups!AM:AM)=2,MROUND(EXP(0.3582*LN(C163)-0.2221)*T163,0.05),"Need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945</v>
      </c>
      <c r="Y163" s="4" t="s">
        <v>42</v>
      </c>
      <c r="Z163" s="4">
        <v>0</v>
      </c>
      <c r="AA163" s="4">
        <v>0</v>
      </c>
      <c r="AB163" s="4">
        <v>0</v>
      </c>
      <c r="AC163" s="4" t="s">
        <v>45</v>
      </c>
      <c r="AD163" s="4" t="s">
        <v>45</v>
      </c>
      <c r="AE163" s="28" t="s">
        <v>394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4" t="s">
        <v>40</v>
      </c>
      <c r="AL163" s="8">
        <f t="shared" si="47"/>
        <v>16650.502963247593</v>
      </c>
      <c r="AM163" s="8">
        <f>IFERROR(C163*_xlfn.XLOOKUP(E163,Groups!A:A,Groups!K:K),0.106*C163^0.94)</f>
        <v>5.3227213993454852</v>
      </c>
      <c r="AN163" s="8">
        <f>AM163*10000/(_xlfn.XLOOKUP(E163,Groups!A:A,Groups!J:J)*AL163)</f>
        <v>2.9327826627099767</v>
      </c>
      <c r="AO163" s="8">
        <f t="shared" si="48"/>
        <v>1835.8349084230915</v>
      </c>
      <c r="AP163" s="8">
        <f>IF(_xlfn.XLOOKUP(E163,Groups!A:A,Groups!M:M)=1,EXP(0.7444*LN('Base stats'!C163)+6.5696),EXP(0.7927*LN('Base stats'!C163)+4.28))</f>
        <v>1963.7441592588623</v>
      </c>
      <c r="AQ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"No")))))))))))))))</f>
        <v>1580.7227800218652</v>
      </c>
      <c r="AR163" s="8">
        <f>IF(_xlfn.XLOOKUP(E163,Groups!A:A,Groups!U:U)=3,AP163,IF(_xlfn.XLOOKUP(E163,Groups!A:A,Groups!U:U)=2,AO163,AQ163))</f>
        <v>1580.7227800218652</v>
      </c>
      <c r="AS163" s="46">
        <f>IFERROR(AVERAGE(_xlfn.XLOOKUP(B163,Animals!B:B,Animals!M:M),_xlfn.XLOOKUP(B163,Animals!B:B,Animals!N:N)),0)</f>
        <v>0</v>
      </c>
      <c r="AT163" s="8">
        <f>MROUND(40*Animals!AN163*_xlfn.XLOOKUP(Animals!AZ163,Leathers!$A$2:$A$100,Leathers!$B$2:$B$100,0)+(140*_xlfn.XLOOKUP(B163,Animals!B:B,Animals!AN:AN)*2),5)</f>
        <v>340</v>
      </c>
      <c r="AU163" s="8">
        <f>IFERROR(ROUND(SQRT(V163-1)*IF(_xlfn.XLOOKUP(E163,Groups!A:A,Groups!BE:BE)=0,2,1)*IF(_xlfn.XLOOKUP('Base stats'!E163,Groups!A:A,Groups!O:O)=0,1,0.1),1),0)</f>
        <v>2.8</v>
      </c>
      <c r="AV163" s="8">
        <f t="shared" si="49"/>
        <v>0</v>
      </c>
      <c r="AW163" s="8">
        <f t="shared" si="50"/>
        <v>0</v>
      </c>
      <c r="AX163" s="8">
        <f t="shared" si="51"/>
        <v>3.6</v>
      </c>
      <c r="AY163" s="8">
        <f>IF(_xlfn.XLOOKUP(E163,Groups!A:A,Groups!N:N)="Insect",BA163*2.5,IFERROR(AVERAGE(BA163,AQ163/9.81/IF(OR(_xlfn.XLOOKUP(E163,Groups!A:A,Groups!N:N)="Pig",_xlfn.XLOOKUP(E163,Groups!A:A,Groups!N:N)="StrongBitingHerbivore"),20,25))*C163^-0.135,BA163))</f>
        <v>2.0947083310725234</v>
      </c>
      <c r="AZ163" s="8" t="str">
        <f>IF(W163="No","No",IF(_xlfn.XLOOKUP(E163,Groups!A:A,Groups!U:U)=1,'Base stats'!AY163,IF(OR(_xlfn.XLOOKUP(E163,Groups!A:A,Groups!BC:BC)=1,_xlfn.XLOOKUP(E163,Groups!A:A,Groups!U:U)=2),BA163,IF(_xlfn.XLOOKUP(B163,Animals!B:B,Animals!AN:AN)&gt;4,AVERAGE(BA163,BC163),BC163))))</f>
        <v>No</v>
      </c>
      <c r="BA163" s="8">
        <f>(0.0392*C163^IF(OR(Y163="Herbivore",Y163="Dendrovore",Y163="OmnivoreRough"),0.889,0.966))*C163^-0.135</f>
        <v>0.90691617051172224</v>
      </c>
      <c r="BB163" s="8">
        <f>IF(_xlfn.XLOOKUP(E163,Groups!A:A,Groups!BD:BD)=1,(0.048*C163^1.01)+(0.071*C163^1.03),0.071*C163^1.03)/IF(_xlfn.XLOOKUP(E163,Groups!A:A,Groups!M:M)=1,0.85,IF(OR(_xlfn.XLOOKUP(B163,Animals!B:B,Animals!AN:AN)&gt;4,_xlfn.XLOOKUP(E163,Groups!A:A,Groups!BB:BB)=1),1.7,1))*C163^-0.25</f>
        <v>1.8305584576939176</v>
      </c>
      <c r="BC163" s="8">
        <f>(0.048*C163^1.01)/IF(_xlfn.XLOOKUP(E163,Groups!A:A,Groups!M:M)=1,0.25,0.8)*C163^-0.25</f>
        <v>1.4232745281234689</v>
      </c>
      <c r="BD163" s="8">
        <f>EXP(1.076*LN(AO163)-4.5397)*IF(_xlfn.XLOOKUP(E163,Groups!A:A,Groups!BB:BB)=1,1.25,IF(_xlfn.XLOOKUP(E163,Groups!A:A,Groups!BC:BC)=1,3.5,2.5))</f>
        <v>86.747771791664036</v>
      </c>
      <c r="BE163" s="8">
        <f>EXP(1.076*LN(AP163)-4.5397)*IF(_xlfn.XLOOKUP(E163,Groups!A:A,Groups!M:M)=1,0.8,IF(_xlfn.XLOOKUP(E163,Groups!A:A,Groups!BB:BB)=1,1.3,3))</f>
        <v>111.92161143113256</v>
      </c>
      <c r="BF163" s="8" t="str">
        <f>IF(W163="No","No",IF(_xlfn.XLOOKUP(E163,Groups!A:A,Groups!U:U)=1,'Base stats'!BG163,IF(OR(_xlfn.XLOOKUP(E163,Groups!A:A,Groups!BC:BC)=1,_xlfn.XLOOKUP(E163,Groups!A:A,Groups!U:U)=2),BD163,BE163))*1.2)</f>
        <v>No</v>
      </c>
      <c r="BG163" s="8">
        <f>IFERROR(EXP(1.076*LN(AQ163)-4.5397)*IF(_xlfn.XLOOKUP(E163,Groups!A:A,Groups!N:N)="Insect",1,IF(OR(_xlfn.XLOOKUP(E163,Groups!A:A,Groups!N:N)="Pig",_xlfn.XLOOKUP(E163,Groups!A:A,Groups!N:N)="StrongBitingHerbivore"),3.5,3.75)),"No")</f>
        <v>110.77285633492741</v>
      </c>
      <c r="BH163" s="8">
        <f t="shared" si="52"/>
        <v>13</v>
      </c>
      <c r="BI163" s="8">
        <f t="shared" si="53"/>
        <v>11</v>
      </c>
      <c r="BJ163" s="8" t="str">
        <f>IF(W163="No","No",ROUNDDOWN(SQRT((2*BF163)/AZ163),0))</f>
        <v>No</v>
      </c>
      <c r="BK163" s="8">
        <f>IF(V163="No","No",ROUNDDOWN(SQRT((2*BG163)/AY163),0))</f>
        <v>10</v>
      </c>
      <c r="BL163" s="8">
        <f t="shared" si="54"/>
        <v>12</v>
      </c>
      <c r="BM163" s="8" cm="1">
        <f t="array" ref="BM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stats'!E163,Groups!A:A,Groups!P:P=0)),"No",IF(U163="No",AVERAGE(EXP(-0.57+0.99*LN(C163)),EXP(0.32+0.67*LN(C163)))/IF(_xlfn.XLOOKUP(E163,Groups!A:A,Groups!AD:AD)=1,10,2),(0.7354*C163^0.4078)*2/IF(_xlfn.XLOOKUP(E163,Groups!A:A,Groups!BJ:BJ)=1,1000,100)))</f>
        <v>2.8713467039960521</v>
      </c>
      <c r="BN163" s="8" t="str">
        <f>IF(W163="No","No",IF(_xlfn.XLOOKUP(E163,Groups!A:A,Groups!BC:BC)=1,(AL163*5%),EXP(0.7354*LN(C163)^0.4078)*2/IF(_xlfn.XLOOKUP(E163,Groups!A:A,Groups!BK:BK)=1,1000,100)))</f>
        <v>No</v>
      </c>
      <c r="BO163" s="8">
        <f>IF(BG163="No","No",IF(_xlfn.XLOOKUP(E163,Groups!A:A,Groups!BE:BE)=1,(0.0315*C163+2.1825)*2,(0.7354*C163^0.4078)*2)/IF(_xlfn.XLOOKUP(E163,Groups!A:A,Groups!BL:BL)=1,1000,100))</f>
        <v>8.0430989949293499E-2</v>
      </c>
      <c r="BP163" s="8">
        <f>BD163/(AL163*5%)</f>
        <v>0.10419838005271204</v>
      </c>
      <c r="BQ163" s="8">
        <f t="shared" si="55"/>
        <v>38.97878694877609</v>
      </c>
      <c r="BR163" s="8" t="str">
        <f>IF(W163="No","No",BF163/BN163)</f>
        <v>No</v>
      </c>
      <c r="BS163" s="8">
        <f t="shared" si="56"/>
        <v>1377.2409913736294</v>
      </c>
      <c r="BT163" s="4">
        <v>0</v>
      </c>
      <c r="BU163" s="4">
        <v>1</v>
      </c>
    </row>
    <row r="164" spans="1:73" s="16" customFormat="1" x14ac:dyDescent="0.25">
      <c r="A164" s="26" t="s">
        <v>1188</v>
      </c>
      <c r="B164" s="6" t="s">
        <v>1171</v>
      </c>
      <c r="C164" s="7">
        <v>5</v>
      </c>
      <c r="D164" s="7" t="s">
        <v>538</v>
      </c>
      <c r="E164" s="7" t="str">
        <f>Groups!A9</f>
        <v>Bird</v>
      </c>
      <c r="F164" s="7" t="str">
        <f t="shared" si="60"/>
        <v>Lay eggs</v>
      </c>
      <c r="G164" s="7">
        <v>3</v>
      </c>
      <c r="H164" s="7">
        <v>25</v>
      </c>
      <c r="I164" s="4">
        <v>1</v>
      </c>
      <c r="J164" s="7" t="str">
        <f t="shared" ref="J164:J165" si="62">"Lay eggs"</f>
        <v>Lay eggs</v>
      </c>
      <c r="K164" s="7" t="s">
        <v>538</v>
      </c>
      <c r="L164" s="7">
        <v>25</v>
      </c>
      <c r="M164" s="7" t="s">
        <v>538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_xlfn.XLOOKUP(B164,[1]TeethAdjusters!$A:$A,[1]BiteAdjusters!$C:$C)</f>
        <v>1</v>
      </c>
      <c r="T164" s="7">
        <f>_xlfn.XLOOKUP(B164,[1]TeethAdjusters!$A:$A,[1]TeethAdjusters!$B:$B)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945</v>
      </c>
      <c r="Y164" s="4" t="s">
        <v>1023</v>
      </c>
      <c r="Z164" s="4">
        <v>0</v>
      </c>
      <c r="AA164" s="4">
        <v>0</v>
      </c>
      <c r="AB164" s="4">
        <v>0</v>
      </c>
      <c r="AC164" s="4" t="s">
        <v>45</v>
      </c>
      <c r="AD164" s="4" t="s">
        <v>45</v>
      </c>
      <c r="AE164" s="28" t="s">
        <v>45</v>
      </c>
      <c r="AF164" s="4">
        <v>0</v>
      </c>
      <c r="AG164" s="4">
        <v>0</v>
      </c>
      <c r="AH164" s="4">
        <v>0</v>
      </c>
      <c r="AI164" s="4">
        <v>1</v>
      </c>
      <c r="AJ164" s="4">
        <v>0</v>
      </c>
      <c r="AK164" s="44" t="s">
        <v>40</v>
      </c>
      <c r="AL164" s="8">
        <f t="shared" si="47"/>
        <v>3159.7555228095994</v>
      </c>
      <c r="AM164" s="8">
        <f>IFERROR(C164*_xlfn.XLOOKUP(E164,Groups!A:A,Groups!K:K),0.106*C164^0.94)</f>
        <v>0.48121335237829438</v>
      </c>
      <c r="AN164" s="8">
        <f>AM164*10000/(_xlfn.XLOOKUP(E164,Groups!A:A,Groups!J:J)*AL164)</f>
        <v>1.3971971458223575</v>
      </c>
      <c r="AO164" s="8">
        <f t="shared" si="48"/>
        <v>211.76818398634828</v>
      </c>
      <c r="AP164" s="8">
        <f>IF(_xlfn.XLOOKUP(E164,Groups!A:A,Groups!M:M)=1,EXP(0.7444*LN('Base stats'!C164)+6.5696),EXP(0.7927*LN('Base stats'!C164)+4.28))</f>
        <v>258.73423965704086</v>
      </c>
      <c r="AQ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"No")))))))))))))))</f>
        <v>42.812368048701295</v>
      </c>
      <c r="AR164" s="8">
        <f>IF(_xlfn.XLOOKUP(E164,Groups!A:A,Groups!U:U)=3,AP164,IF(_xlfn.XLOOKUP(E164,Groups!A:A,Groups!U:U)=2,AO164,AQ164))</f>
        <v>42.812368048701295</v>
      </c>
      <c r="AS164" s="46">
        <f>IFERROR(AVERAGE(_xlfn.XLOOKUP(B164,Animals!B:B,Animals!M:M),_xlfn.XLOOKUP(B164,Animals!B:B,Animals!N:N)),0)</f>
        <v>0</v>
      </c>
      <c r="AT164" s="8">
        <f>MROUND(40*Animals!AN164*_xlfn.XLOOKUP(Animals!AZ164,Leathers!$A$2:$A$100,Leathers!$B$2:$B$100,0)+(140*_xlfn.XLOOKUP(B164,Animals!B:B,Animals!AN:AN)*2),5)</f>
        <v>85</v>
      </c>
      <c r="AU164" s="8">
        <f>IFERROR(ROUND(SQRT(V164-1)*IF(_xlfn.XLOOKUP(E164,Groups!A:A,Groups!BE:BE)=0,2,1)*IF(_xlfn.XLOOKUP('Base stats'!E164,Groups!A:A,Groups!O:O)=0,1,0.1),1),0)</f>
        <v>0.1</v>
      </c>
      <c r="AV164" s="8">
        <f t="shared" si="49"/>
        <v>1</v>
      </c>
      <c r="AW164" s="8">
        <f t="shared" si="50"/>
        <v>0</v>
      </c>
      <c r="AX164" s="8">
        <f t="shared" si="51"/>
        <v>1.1000000000000001</v>
      </c>
      <c r="AY164" s="8">
        <f>IF(_xlfn.XLOOKUP(E164,Groups!A:A,Groups!N:N)="Insect",BA164*2.5,IFERROR(AVERAGE(BA164,AQ164/9.81/IF(OR(_xlfn.XLOOKUP(E164,Groups!A:A,Groups!N:N)="Pig",_xlfn.XLOOKUP(E164,Groups!A:A,Groups!N:N)="StrongBitingHerbivore"),20,25))*C164^-0.135,BA164))</f>
        <v>0.12331602252188387</v>
      </c>
      <c r="AZ164" s="8" t="str">
        <f>IF(W164="No","No",IF(_xlfn.XLOOKUP(E164,Groups!A:A,Groups!U:U)=1,'Base stats'!AY164,IF(OR(_xlfn.XLOOKUP(E164,Groups!A:A,Groups!BC:BC)=1,_xlfn.XLOOKUP(E164,Groups!A:A,Groups!U:U)=2),BA164,IF(_xlfn.XLOOKUP(B164,Animals!B:B,Animals!AN:AN)&gt;4,AVERAGE(BA164,BC164),BC164))))</f>
        <v>No</v>
      </c>
      <c r="BA164" s="8">
        <f>(0.0392*C164^IF(OR(Y164="Herbivore",Y164="Dendrovore",Y164="OmnivoreRough"),0.889,0.966))*C164^-0.135</f>
        <v>0.13191963781682639</v>
      </c>
      <c r="BB164" s="8">
        <f>IF(_xlfn.XLOOKUP(E164,Groups!A:A,Groups!BD:BD)=1,(0.048*C164^1.01)+(0.071*C164^1.03),0.071*C164^1.03)/IF(_xlfn.XLOOKUP(E164,Groups!A:A,Groups!M:M)=1,0.85,IF(OR(_xlfn.XLOOKUP(B164,Animals!B:B,Animals!AN:AN)&gt;4,_xlfn.XLOOKUP(E164,Groups!A:A,Groups!BB:BB)=1),1.7,1))*C164^-0.25</f>
        <v>0.41224827499229011</v>
      </c>
      <c r="BC164" s="8">
        <f>(0.048*C164^1.01)/IF(_xlfn.XLOOKUP(E164,Groups!A:A,Groups!M:M)=1,0.25,0.8)*C164^-0.25</f>
        <v>0.20387710292659536</v>
      </c>
      <c r="BD164" s="8">
        <f>EXP(1.076*LN(AO164)-4.5397)*IF(_xlfn.XLOOKUP(E164,Groups!A:A,Groups!BB:BB)=1,1.25,IF(_xlfn.XLOOKUP(E164,Groups!A:A,Groups!BC:BC)=1,3.5,2.5))</f>
        <v>8.4917944979407451</v>
      </c>
      <c r="BE164" s="8">
        <f>EXP(1.076*LN(AP164)-4.5397)*IF(_xlfn.XLOOKUP(E164,Groups!A:A,Groups!M:M)=1,0.8,IF(_xlfn.XLOOKUP(E164,Groups!A:A,Groups!BB:BB)=1,1.3,3))</f>
        <v>12.641115428827339</v>
      </c>
      <c r="BF164" s="8" t="str">
        <f>IF(W164="No","No",IF(_xlfn.XLOOKUP(E164,Groups!A:A,Groups!U:U)=1,'Base stats'!BG164,IF(OR(_xlfn.XLOOKUP(E164,Groups!A:A,Groups!BC:BC)=1,_xlfn.XLOOKUP(E164,Groups!A:A,Groups!U:U)=2),BD164,BE164))*1.2)</f>
        <v>No</v>
      </c>
      <c r="BG164" s="8">
        <f>IFERROR(EXP(1.076*LN(AQ164)-4.5397)*IF(_xlfn.XLOOKUP(E164,Groups!A:A,Groups!N:N)="Insect",1,IF(OR(_xlfn.XLOOKUP(E164,Groups!A:A,Groups!N:N)="Pig",_xlfn.XLOOKUP(E164,Groups!A:A,Groups!N:N)="StrongBitingHerbivore"),3.5,3.75)),"No")</f>
        <v>2.2805159894077489</v>
      </c>
      <c r="BH164" s="8">
        <f t="shared" si="52"/>
        <v>11</v>
      </c>
      <c r="BI164" s="8">
        <f t="shared" si="53"/>
        <v>7</v>
      </c>
      <c r="BJ164" s="8" t="str">
        <f>IF(W164="No","No",ROUNDDOWN(SQRT((2*BF164)/AZ164),0))</f>
        <v>No</v>
      </c>
      <c r="BK164" s="8">
        <f>IF(V164="No","No",ROUNDDOWN(SQRT((2*BG164)/AY164),0))</f>
        <v>6</v>
      </c>
      <c r="BL164" s="8">
        <f t="shared" si="54"/>
        <v>11</v>
      </c>
      <c r="BM164" s="8" cm="1">
        <f t="array" ref="BM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stats'!E164,Groups!A:A,Groups!P:P=0)),"No",IF(U164="No",AVERAGE(EXP(-0.57+0.99*LN(C164)),EXP(0.32+0.67*LN(C164)))/IF(_xlfn.XLOOKUP(E164,Groups!A:A,Groups!AD:AD)=1,10,2),(0.7354*C164^0.4078)*2/IF(_xlfn.XLOOKUP(E164,Groups!A:A,Groups!BJ:BJ)=1,1000,100)))</f>
        <v>2.8352645574082073E-2</v>
      </c>
      <c r="BN164" s="8" t="str">
        <f>IF(W164="No","No",IF(_xlfn.XLOOKUP(E164,Groups!A:A,Groups!BC:BC)=1,(AL164*5%),EXP(0.7354*LN(C164)^0.4078)*2/IF(_xlfn.XLOOKUP(E164,Groups!A:A,Groups!BK:BK)=1,1000,100)))</f>
        <v>No</v>
      </c>
      <c r="BO164" s="8">
        <f>IF(BG164="No","No",IF(_xlfn.XLOOKUP(E164,Groups!A:A,Groups!BE:BE)=1,(0.0315*C164+2.1825)*2,(0.7354*C164^0.4078)*2)/IF(_xlfn.XLOOKUP(E164,Groups!A:A,Groups!BL:BL)=1,1000,100))</f>
        <v>2.8352645574082073E-2</v>
      </c>
      <c r="BP164" s="8">
        <f>BD164/(AL164*5%)</f>
        <v>5.3749693206580677E-2</v>
      </c>
      <c r="BQ164" s="8">
        <f t="shared" si="55"/>
        <v>445.85311786152778</v>
      </c>
      <c r="BR164" s="8" t="str">
        <f>IF(W164="No","No",BF164/BN164)</f>
        <v>No</v>
      </c>
      <c r="BS164" s="8">
        <f t="shared" si="56"/>
        <v>80.433975145248198</v>
      </c>
      <c r="BT164" s="4">
        <v>0</v>
      </c>
      <c r="BU164" s="4">
        <v>1</v>
      </c>
    </row>
    <row r="165" spans="1:73" s="16" customFormat="1" x14ac:dyDescent="0.25">
      <c r="A165" s="26" t="s">
        <v>1189</v>
      </c>
      <c r="B165" s="6" t="s">
        <v>1173</v>
      </c>
      <c r="C165" s="7">
        <v>8.5</v>
      </c>
      <c r="D165" s="7" t="s">
        <v>1190</v>
      </c>
      <c r="E165" s="7" t="str">
        <f>Groups!A6</f>
        <v>Bird (water)</v>
      </c>
      <c r="F165" s="7" t="str">
        <f t="shared" si="60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62"/>
        <v>Lay eggs</v>
      </c>
      <c r="K165" s="7" t="s">
        <v>1190</v>
      </c>
      <c r="L165" s="7">
        <f>8.2*1.60934</f>
        <v>13.196587999999998</v>
      </c>
      <c r="M165" s="7" t="s">
        <v>640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_xlfn.XLOOKUP(B165,[1]TeethAdjusters!$A:$A,[1]BiteAdjusters!$C:$C)</f>
        <v>1</v>
      </c>
      <c r="T165" s="7">
        <f>_xlfn.XLOOKUP(B165,[1]TeethAdjusters!$A:$A,[1]TeethAdjusters!$B:$B)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945</v>
      </c>
      <c r="Y165" s="4" t="s">
        <v>56</v>
      </c>
      <c r="Z165" s="4">
        <v>0</v>
      </c>
      <c r="AA165" s="4">
        <v>0</v>
      </c>
      <c r="AB165" s="4">
        <v>0</v>
      </c>
      <c r="AC165" s="4" t="s">
        <v>45</v>
      </c>
      <c r="AD165" s="4" t="s">
        <v>45</v>
      </c>
      <c r="AE165" s="28" t="s">
        <v>45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4" t="s">
        <v>40</v>
      </c>
      <c r="AL165" s="8">
        <f t="shared" si="47"/>
        <v>4461.134123991772</v>
      </c>
      <c r="AM165" s="8">
        <f>IFERROR(C165*_xlfn.XLOOKUP(E165,Groups!A:A,Groups!K:K),0.106*C165^0.94)</f>
        <v>0.79242771306933013</v>
      </c>
      <c r="AN165" s="8">
        <f>AM165*10000/(_xlfn.XLOOKUP(E165,Groups!A:A,Groups!J:J)*AL165)</f>
        <v>1.6296257446928282</v>
      </c>
      <c r="AO165" s="8">
        <f t="shared" si="48"/>
        <v>331.52853631038164</v>
      </c>
      <c r="AP165" s="8">
        <f>IF(_xlfn.XLOOKUP(E165,Groups!A:A,Groups!M:M)=1,EXP(0.7444*LN('Base stats'!C165)+6.5696),EXP(0.7927*LN('Base stats'!C165)+4.28))</f>
        <v>394.03133941751958</v>
      </c>
      <c r="AQ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"No")))))))))))))))</f>
        <v>61.807318740814573</v>
      </c>
      <c r="AR165" s="8">
        <f>IF(_xlfn.XLOOKUP(E165,Groups!A:A,Groups!U:U)=3,AP165,IF(_xlfn.XLOOKUP(E165,Groups!A:A,Groups!U:U)=2,AO165,AQ165))</f>
        <v>61.807318740814573</v>
      </c>
      <c r="AS165" s="46">
        <f>IFERROR(AVERAGE(_xlfn.XLOOKUP(B165,Animals!B:B,Animals!M:M),_xlfn.XLOOKUP(B165,Animals!B:B,Animals!N:N)),0)</f>
        <v>0</v>
      </c>
      <c r="AT165" s="8">
        <f>MROUND(40*Animals!AN165*_xlfn.XLOOKUP(Animals!AZ165,Leathers!$A$2:$A$100,Leathers!$B$2:$B$100,0)+(140*_xlfn.XLOOKUP(B165,Animals!B:B,Animals!AN:AN)*2),5)</f>
        <v>110</v>
      </c>
      <c r="AU165" s="8">
        <f>IFERROR(ROUND(SQRT(V165-1)*IF(_xlfn.XLOOKUP(E165,Groups!A:A,Groups!BE:BE)=0,2,1)*IF(_xlfn.XLOOKUP('Base stats'!E165,Groups!A:A,Groups!O:O)=0,1,0.1),1),0)</f>
        <v>0.4</v>
      </c>
      <c r="AV165" s="8">
        <f t="shared" si="49"/>
        <v>0</v>
      </c>
      <c r="AW165" s="8">
        <f t="shared" si="50"/>
        <v>0</v>
      </c>
      <c r="AX165" s="8">
        <f t="shared" si="51"/>
        <v>1.4</v>
      </c>
      <c r="AY165" s="8">
        <f>IF(_xlfn.XLOOKUP(E165,Groups!A:A,Groups!N:N)="Insect",BA165*2.5,IFERROR(AVERAGE(BA165,AQ165/9.81/IF(OR(_xlfn.XLOOKUP(E165,Groups!A:A,Groups!N:N)="Pig",_xlfn.XLOOKUP(E165,Groups!A:A,Groups!N:N)="StrongBitingHerbivore"),20,25))*C165^-0.135,BA165))</f>
        <v>0.18131311525105787</v>
      </c>
      <c r="AZ165" s="8" t="str">
        <f>IF(W165="No","No",IF(_xlfn.XLOOKUP(E165,Groups!A:A,Groups!U:U)=1,'Base stats'!AY165,IF(OR(_xlfn.XLOOKUP(E165,Groups!A:A,Groups!BC:BC)=1,_xlfn.XLOOKUP(E165,Groups!A:A,Groups!U:U)=2),BA165,IF(_xlfn.XLOOKUP(B165,Animals!B:B,Animals!AN:AN)&gt;4,AVERAGE(BA165,BC165),BC165))))</f>
        <v>No</v>
      </c>
      <c r="BA165" s="8">
        <f>(0.0392*C165^IF(OR(Y165="Herbivore",Y165="Dendrovore",Y165="OmnivoreRough"),0.889,0.966))*C165^-0.135</f>
        <v>0.23207758379257695</v>
      </c>
      <c r="BB165" s="8">
        <f>IF(_xlfn.XLOOKUP(E165,Groups!A:A,Groups!BD:BD)=1,(0.048*C165^1.01)+(0.071*C165^1.03),0.071*C165^1.03)/IF(_xlfn.XLOOKUP(E165,Groups!A:A,Groups!M:M)=1,0.85,IF(OR(_xlfn.XLOOKUP(B165,Animals!B:B,Animals!AN:AN)&gt;4,_xlfn.XLOOKUP(E165,Groups!A:A,Groups!BB:BB)=1),1.7,1))*C165^-0.25</f>
        <v>0.62099965008545033</v>
      </c>
      <c r="BC165" s="8">
        <f>(0.048*C165^1.01)/IF(_xlfn.XLOOKUP(E165,Groups!A:A,Groups!M:M)=1,0.25,0.8)*C165^-0.25</f>
        <v>0.30514737190351315</v>
      </c>
      <c r="BD165" s="8">
        <f>EXP(1.076*LN(AO165)-4.5397)*IF(_xlfn.XLOOKUP(E165,Groups!A:A,Groups!BB:BB)=1,1.25,IF(_xlfn.XLOOKUP(E165,Groups!A:A,Groups!BC:BC)=1,3.5,2.5))</f>
        <v>13.754786542132019</v>
      </c>
      <c r="BE165" s="8">
        <f>EXP(1.076*LN(AP165)-4.5397)*IF(_xlfn.XLOOKUP(E165,Groups!A:A,Groups!M:M)=1,0.8,IF(_xlfn.XLOOKUP(E165,Groups!A:A,Groups!BB:BB)=1,1.3,3))</f>
        <v>19.876764778886127</v>
      </c>
      <c r="BF165" s="8" t="str">
        <f>IF(W165="No","No",IF(_xlfn.XLOOKUP(E165,Groups!A:A,Groups!U:U)=1,'Base stats'!BG165,IF(OR(_xlfn.XLOOKUP(E165,Groups!A:A,Groups!BC:BC)=1,_xlfn.XLOOKUP(E165,Groups!A:A,Groups!U:U)=2),BD165,BE165))*1.2)</f>
        <v>No</v>
      </c>
      <c r="BG165" s="8">
        <f>IFERROR(EXP(1.076*LN(AQ165)-4.5397)*IF(_xlfn.XLOOKUP(E165,Groups!A:A,Groups!N:N)="Insect",1,IF(OR(_xlfn.XLOOKUP(E165,Groups!A:A,Groups!N:N)="Pig",_xlfn.XLOOKUP(E165,Groups!A:A,Groups!N:N)="StrongBitingHerbivore"),3.5,3.75)),"No")</f>
        <v>3.3855056648837354</v>
      </c>
      <c r="BH165" s="8">
        <f t="shared" si="52"/>
        <v>10</v>
      </c>
      <c r="BI165" s="8">
        <f t="shared" si="53"/>
        <v>8</v>
      </c>
      <c r="BJ165" s="8" t="str">
        <f>IF(W165="No","No",ROUNDDOWN(SQRT((2*BF165)/AZ165),0))</f>
        <v>No</v>
      </c>
      <c r="BK165" s="8">
        <f>IF(V165="No","No",ROUNDDOWN(SQRT((2*BG165)/AY165),0))</f>
        <v>6</v>
      </c>
      <c r="BL165" s="8">
        <f t="shared" si="54"/>
        <v>11</v>
      </c>
      <c r="BM165" s="8" t="str" cm="1">
        <f t="array" ref="BM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stats'!E165,Groups!A:A,Groups!P:P=0)),"No",IF(U165="No",AVERAGE(EXP(-0.57+0.99*LN(C165)),EXP(0.32+0.67*LN(C165)))/IF(_xlfn.XLOOKUP(E165,Groups!A:A,Groups!AD:AD)=1,10,2),(0.7354*C165^0.4078)*2/IF(_xlfn.XLOOKUP(E165,Groups!A:A,Groups!BJ:BJ)=1,1000,100)))</f>
        <v>No</v>
      </c>
      <c r="BN165" s="8" t="str">
        <f>IF(W165="No","No",IF(_xlfn.XLOOKUP(E165,Groups!A:A,Groups!BC:BC)=1,(AL165*5%),EXP(0.7354*LN(C165)^0.4078)*2/IF(_xlfn.XLOOKUP(E165,Groups!A:A,Groups!BK:BK)=1,1000,100)))</f>
        <v>No</v>
      </c>
      <c r="BO165" s="8">
        <f>IF(BG165="No","No",IF(_xlfn.XLOOKUP(E165,Groups!A:A,Groups!BE:BE)=1,(0.0315*C165+2.1825)*2,(0.7354*C165^0.4078)*2)/IF(_xlfn.XLOOKUP(E165,Groups!A:A,Groups!BL:BL)=1,1000,100))</f>
        <v>3.5202269146404543E-2</v>
      </c>
      <c r="BP165" s="8">
        <f>BD165/(AL165*5%)</f>
        <v>6.166497648281595E-2</v>
      </c>
      <c r="BQ165" s="8" t="str">
        <f t="shared" si="55"/>
        <v>No</v>
      </c>
      <c r="BR165" s="8" t="str">
        <f>IF(W165="No","No",BF165/BN165)</f>
        <v>No</v>
      </c>
      <c r="BS165" s="8">
        <f t="shared" si="56"/>
        <v>96.172938477448156</v>
      </c>
      <c r="BT165" s="4">
        <v>0</v>
      </c>
      <c r="BU165" s="4">
        <v>1</v>
      </c>
    </row>
    <row r="166" spans="1:73" x14ac:dyDescent="0.25">
      <c r="A166" s="26" t="s">
        <v>1192</v>
      </c>
      <c r="B166" s="48" t="s">
        <v>1191</v>
      </c>
      <c r="C166" s="7">
        <f>AVERAGE(2,5.5)</f>
        <v>3.75</v>
      </c>
      <c r="D166" s="7" t="s">
        <v>1193</v>
      </c>
      <c r="E166" s="7" t="str">
        <f>Groups!A45</f>
        <v>Rodentlike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1194</v>
      </c>
      <c r="L166" s="7">
        <v>56</v>
      </c>
      <c r="M166" s="7" t="s">
        <v>638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_xlfn.XLOOKUP(B166,[1]TeethAdjusters!$A:$A,[1]BiteAdjusters!$C:$C)</f>
        <v>1</v>
      </c>
      <c r="T166" s="7">
        <f>_xlfn.XLOOKUP(B166,[1]TeethAdjusters!$A:$A,[1]TeethAdjusters!$B:$B)</f>
        <v>1</v>
      </c>
      <c r="U166" s="7" t="s">
        <v>45</v>
      </c>
      <c r="V166" s="7">
        <v>0.64</v>
      </c>
      <c r="W166" s="7" t="s">
        <v>45</v>
      </c>
      <c r="X166" s="7" t="s">
        <v>945</v>
      </c>
      <c r="Y166" s="4" t="s">
        <v>42</v>
      </c>
      <c r="Z166" s="4">
        <v>0</v>
      </c>
      <c r="AA166" s="4">
        <v>0</v>
      </c>
      <c r="AB166" s="4">
        <v>0</v>
      </c>
      <c r="AC166" s="4" t="s">
        <v>45</v>
      </c>
      <c r="AD166" s="4" t="s">
        <v>408</v>
      </c>
      <c r="AE166" s="28" t="s">
        <v>394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4" t="s">
        <v>40</v>
      </c>
      <c r="AL166" s="8">
        <f t="shared" si="47"/>
        <v>2620.8568631608559</v>
      </c>
      <c r="AM166" s="8">
        <f>IFERROR(C166*_xlfn.XLOOKUP(E166,Groups!A:A,Groups!K:K),0.106*C166^0.94)</f>
        <v>0.36719373009484357</v>
      </c>
      <c r="AN166" s="8">
        <f>AM166*10000/(_xlfn.XLOOKUP(E166,Groups!A:A,Groups!J:J)*AL166)</f>
        <v>1.2853619992512837</v>
      </c>
      <c r="AO166" s="8">
        <f t="shared" si="48"/>
        <v>166.08291606746454</v>
      </c>
      <c r="AP166" s="8">
        <f>IF(_xlfn.XLOOKUP(E166,Groups!A:A,Groups!M:M)=1,EXP(0.7444*LN('Base stats'!C166)+6.5696),EXP(0.7927*LN('Base stats'!C166)+4.28))</f>
        <v>205.97521671719039</v>
      </c>
      <c r="AQ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"No")))))))))))))))</f>
        <v>155.10272820314702</v>
      </c>
      <c r="AR166" s="8">
        <f>IF(_xlfn.XLOOKUP(E166,Groups!A:A,Groups!U:U)=3,AP166,IF(_xlfn.XLOOKUP(E166,Groups!A:A,Groups!U:U)=2,AO166,AQ166))</f>
        <v>155.10272820314702</v>
      </c>
      <c r="AS166" s="46">
        <f>IFERROR(AVERAGE(_xlfn.XLOOKUP(B166,Animals!B:B,Animals!M:M),_xlfn.XLOOKUP(B166,Animals!B:B,Animals!N:N)),0)</f>
        <v>0</v>
      </c>
      <c r="AT166" s="8">
        <f>MROUND(40*Animals!AN166*_xlfn.XLOOKUP(Animals!AZ166,Leathers!$A$2:$A$100,Leathers!$B$2:$B$100,0)+(140*_xlfn.XLOOKUP(B166,Animals!B:B,Animals!AN:AN)*2),5)</f>
        <v>90</v>
      </c>
      <c r="AU166" s="8">
        <f>IFERROR(ROUND(SQRT(V166-1)*IF(_xlfn.XLOOKUP(E166,Groups!A:A,Groups!BE:BE)=0,2,1)*IF(_xlfn.XLOOKUP('Base stats'!E166,Groups!A:A,Groups!O:O)=0,1,0.1),1),0)</f>
        <v>0</v>
      </c>
      <c r="AV166" s="8">
        <f t="shared" si="49"/>
        <v>0</v>
      </c>
      <c r="AW166" s="8">
        <f t="shared" si="50"/>
        <v>0</v>
      </c>
      <c r="AX166" s="8">
        <f t="shared" si="51"/>
        <v>1</v>
      </c>
      <c r="AY166" s="8">
        <f>IF(_xlfn.XLOOKUP(E166,Groups!A:A,Groups!N:N)="Insect",BA166*2.5,IFERROR(AVERAGE(BA166,AQ166/9.81/IF(OR(_xlfn.XLOOKUP(E166,Groups!A:A,Groups!N:N)="Pig",_xlfn.XLOOKUP(E166,Groups!A:A,Groups!N:N)="StrongBitingHerbivore"),20,25))*C166^-0.135,BA166))</f>
        <v>0.30895715974354143</v>
      </c>
      <c r="AZ166" s="8" t="str">
        <f>IF(W166="No","No",IF(_xlfn.XLOOKUP(E166,Groups!A:A,Groups!U:U)=1,'Base stats'!AY166,IF(OR(_xlfn.XLOOKUP(E166,Groups!A:A,Groups!BC:BC)=1,_xlfn.XLOOKUP(E166,Groups!A:A,Groups!U:U)=2),BA166,IF(_xlfn.XLOOKUP(B166,Animals!B:B,Animals!AN:AN)&gt;4,AVERAGE(BA166,BC166),BC166))))</f>
        <v>No</v>
      </c>
      <c r="BA166" s="8">
        <f>(0.0392*C166^IF(OR(Y166="Herbivore",Y166="Dendrovore",Y166="OmnivoreRough"),0.889,0.966))*C166^-0.135</f>
        <v>0.10619538479008944</v>
      </c>
      <c r="BB166" s="8">
        <f>IF(_xlfn.XLOOKUP(E166,Groups!A:A,Groups!BD:BD)=1,(0.048*C166^1.01)+(0.071*C166^1.03),0.071*C166^1.03)/IF(_xlfn.XLOOKUP(E166,Groups!A:A,Groups!M:M)=1,0.85,IF(OR(_xlfn.XLOOKUP(B166,Animals!B:B,Animals!AN:AN)&gt;4,_xlfn.XLOOKUP(E166,Groups!A:A,Groups!BB:BB)=1),1.7,1))*C166^-0.25</f>
        <v>0.1990685887105168</v>
      </c>
      <c r="BC166" s="8">
        <f>(0.048*C166^1.01)/IF(_xlfn.XLOOKUP(E166,Groups!A:A,Groups!M:M)=1,0.25,0.8)*C166^-0.25</f>
        <v>0.163838141861369</v>
      </c>
      <c r="BD166" s="8">
        <f>EXP(1.076*LN(AO166)-4.5397)*IF(_xlfn.XLOOKUP(E166,Groups!A:A,Groups!BB:BB)=1,1.25,IF(_xlfn.XLOOKUP(E166,Groups!A:A,Groups!BC:BC)=1,3.5,2.5))</f>
        <v>6.5379712695786694</v>
      </c>
      <c r="BE166" s="8">
        <f>EXP(1.076*LN(AP166)-4.5397)*IF(_xlfn.XLOOKUP(E166,Groups!A:A,Groups!M:M)=1,0.8,IF(_xlfn.XLOOKUP(E166,Groups!A:A,Groups!BB:BB)=1,1.3,3))</f>
        <v>9.8905285586523277</v>
      </c>
      <c r="BF166" s="8" t="str">
        <f>IF(W166="No","No",IF(_xlfn.XLOOKUP(E166,Groups!A:A,Groups!U:U)=1,'Base stats'!BG166,IF(OR(_xlfn.XLOOKUP(E166,Groups!A:A,Groups!BC:BC)=1,_xlfn.XLOOKUP(E166,Groups!A:A,Groups!U:U)=2),BD166,BE166))*1.2)</f>
        <v>No</v>
      </c>
      <c r="BG166" s="8">
        <f>IFERROR(EXP(1.076*LN(AQ166)-4.5397)*IF(_xlfn.XLOOKUP(E166,Groups!A:A,Groups!N:N)="Insect",1,IF(OR(_xlfn.XLOOKUP(E166,Groups!A:A,Groups!N:N)="Pig",_xlfn.XLOOKUP(E166,Groups!A:A,Groups!N:N)="StrongBitingHerbivore"),3.5,3.75)),"No")</f>
        <v>9.1111064845227325</v>
      </c>
      <c r="BH166" s="8">
        <f t="shared" si="52"/>
        <v>11</v>
      </c>
      <c r="BI166" s="8">
        <f t="shared" si="53"/>
        <v>9</v>
      </c>
      <c r="BJ166" s="8" t="str">
        <f>IF(W166="No","No",ROUNDDOWN(SQRT((2*BF166)/AZ166),0))</f>
        <v>No</v>
      </c>
      <c r="BK166" s="8">
        <f>IF(V166="No","No",ROUNDDOWN(SQRT((2*BG166)/AY166),0))</f>
        <v>7</v>
      </c>
      <c r="BL166" s="8">
        <f t="shared" si="54"/>
        <v>10</v>
      </c>
      <c r="BM166" s="8" t="str" cm="1">
        <f t="array" ref="BM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stats'!E166,Groups!A:A,Groups!P:P=0)),"No",IF(U166="No",AVERAGE(EXP(-0.57+0.99*LN(C166)),EXP(0.32+0.67*LN(C166)))/IF(_xlfn.XLOOKUP(E166,Groups!A:A,Groups!AD:AD)=1,10,2),(0.7354*C166^0.4078)*2/IF(_xlfn.XLOOKUP(E166,Groups!A:A,Groups!BJ:BJ)=1,1000,100)))</f>
        <v>No</v>
      </c>
      <c r="BN166" s="8" t="str">
        <f>IF(W166="No","No",IF(_xlfn.XLOOKUP(E166,Groups!A:A,Groups!BC:BC)=1,(AL166*5%),EXP(0.7354*LN(C166)^0.4078)*2/IF(_xlfn.XLOOKUP(E166,Groups!A:A,Groups!BK:BK)=1,1000,100)))</f>
        <v>No</v>
      </c>
      <c r="BO166" s="8">
        <f>IF(BG166="No","No",IF(_xlfn.XLOOKUP(E166,Groups!A:A,Groups!BE:BE)=1,(0.0315*C166+2.1825)*2,(0.7354*C166^0.4078)*2)/IF(_xlfn.XLOOKUP(E166,Groups!A:A,Groups!BL:BL)=1,1000,100))</f>
        <v>2.5214105878214141E-2</v>
      </c>
      <c r="BP166" s="8">
        <f>BD166/(AL166*5%)</f>
        <v>4.9891860646625465E-2</v>
      </c>
      <c r="BQ166" s="8" t="str">
        <f t="shared" si="55"/>
        <v>No</v>
      </c>
      <c r="BR166" s="8" t="str">
        <f>IF(W166="No","No",BF166/BN166)</f>
        <v>No</v>
      </c>
      <c r="BS166" s="8">
        <f t="shared" si="56"/>
        <v>361.34957664293159</v>
      </c>
      <c r="BT166" s="4">
        <v>0</v>
      </c>
      <c r="BU166" s="4">
        <v>1</v>
      </c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EC665B5D-0EED-46CE-8383-84757755D331}">
          <x14:formula1>
            <xm:f>Leathers!$A$2:$A$100</xm:f>
          </x14:formula1>
          <xm:sqref>AE2:AE166 AT167:AT1048576</xm:sqref>
        </x14:dataValidation>
        <x14:dataValidation type="list" allowBlank="1" showInputMessage="1" showErrorMessage="1" xr:uid="{4DC84553-A26B-423A-B797-F1F5985274F8}">
          <x14:formula1>
            <xm:f>Groups!$A$2:$A$64</xm:f>
          </x14:formula1>
          <xm:sqref>E2:E166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M167"/>
  <sheetViews>
    <sheetView tabSelected="1" zoomScale="85" zoomScaleNormal="85" workbookViewId="0">
      <pane xSplit="1" ySplit="1" topLeftCell="BC69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BP78" sqref="BP78"/>
    </sheetView>
  </sheetViews>
  <sheetFormatPr defaultRowHeight="15" x14ac:dyDescent="0.25"/>
  <cols>
    <col min="1" max="1" width="20.85546875" style="5" bestFit="1" customWidth="1"/>
    <col min="2" max="2" width="33.7109375" style="5" bestFit="1" customWidth="1"/>
    <col min="3" max="3" width="32.5703125" style="4" bestFit="1" customWidth="1"/>
    <col min="4" max="4" width="39.42578125" style="4" bestFit="1" customWidth="1"/>
    <col min="5" max="5" width="18.7109375" style="4" bestFit="1" customWidth="1"/>
    <col min="6" max="6" width="25" style="4" bestFit="1" customWidth="1"/>
    <col min="7" max="7" width="12.7109375" style="2" bestFit="1" customWidth="1"/>
    <col min="8" max="8" width="11.7109375" style="2" bestFit="1" customWidth="1"/>
    <col min="9" max="9" width="9.28515625" style="2" bestFit="1" customWidth="1"/>
    <col min="10" max="10" width="9" style="2" bestFit="1" customWidth="1"/>
    <col min="11" max="11" width="22.28515625" style="2" bestFit="1" customWidth="1"/>
    <col min="12" max="12" width="22.5703125" style="2" bestFit="1" customWidth="1"/>
    <col min="13" max="13" width="18.42578125" style="2" bestFit="1" customWidth="1"/>
    <col min="14" max="14" width="18.140625" style="2" bestFit="1" customWidth="1"/>
    <col min="15" max="15" width="27" style="2" bestFit="1" customWidth="1"/>
    <col min="16" max="16" width="13.140625" style="5" bestFit="1" customWidth="1"/>
    <col min="17" max="17" width="18.85546875" style="5" bestFit="1" customWidth="1"/>
    <col min="18" max="18" width="22.140625" style="5" bestFit="1" customWidth="1"/>
    <col min="19" max="19" width="27.85546875" style="5" bestFit="1" customWidth="1"/>
    <col min="20" max="20" width="35.5703125" style="5" bestFit="1" customWidth="1"/>
    <col min="21" max="21" width="27.140625" bestFit="1" customWidth="1"/>
    <col min="22" max="22" width="23.85546875" style="16" bestFit="1" customWidth="1"/>
    <col min="23" max="23" width="25.28515625" style="5" bestFit="1" customWidth="1"/>
    <col min="24" max="24" width="31.140625" style="5" bestFit="1" customWidth="1"/>
    <col min="25" max="25" width="38.85546875" style="5" bestFit="1" customWidth="1"/>
    <col min="26" max="26" width="22.7109375" style="5" bestFit="1" customWidth="1"/>
    <col min="27" max="27" width="27.140625" style="5" bestFit="1" customWidth="1"/>
    <col min="28" max="28" width="27.28515625" style="5" bestFit="1" customWidth="1"/>
    <col min="29" max="29" width="12" style="5" bestFit="1" customWidth="1"/>
    <col min="30" max="30" width="17.85546875" style="5" bestFit="1" customWidth="1"/>
    <col min="31" max="31" width="25.5703125" style="5" bestFit="1" customWidth="1"/>
    <col min="32" max="32" width="10.28515625" style="5" bestFit="1" customWidth="1"/>
    <col min="33" max="33" width="13.85546875" style="5" bestFit="1" customWidth="1"/>
    <col min="34" max="34" width="23.28515625" style="5" customWidth="1"/>
    <col min="35" max="35" width="29" style="5" bestFit="1" customWidth="1"/>
    <col min="36" max="36" width="36.7109375" style="5" bestFit="1" customWidth="1"/>
    <col min="37" max="37" width="20.5703125" style="5" bestFit="1" customWidth="1"/>
    <col min="38" max="38" width="25" style="5" bestFit="1" customWidth="1"/>
    <col min="39" max="39" width="5" style="2" bestFit="1" customWidth="1"/>
    <col min="40" max="40" width="13.28515625" style="2" bestFit="1" customWidth="1"/>
    <col min="41" max="42" width="15.7109375" style="2" customWidth="1"/>
    <col min="43" max="43" width="15.140625" style="2" bestFit="1" customWidth="1"/>
    <col min="44" max="44" width="22.28515625" style="35" bestFit="1" customWidth="1"/>
    <col min="45" max="45" width="9.42578125" style="2" bestFit="1" customWidth="1"/>
    <col min="46" max="46" width="14.140625" style="2" bestFit="1" customWidth="1"/>
    <col min="47" max="47" width="9.5703125" style="2" bestFit="1" customWidth="1"/>
    <col min="48" max="48" width="11.85546875" style="2" customWidth="1"/>
    <col min="49" max="49" width="22.140625" style="2" bestFit="1" customWidth="1"/>
    <col min="50" max="50" width="36.85546875" style="2" bestFit="1" customWidth="1"/>
    <col min="51" max="51" width="13.5703125" style="2" bestFit="1" customWidth="1"/>
    <col min="52" max="52" width="22.28515625" style="2" bestFit="1" customWidth="1"/>
    <col min="53" max="53" width="42.85546875" style="2" bestFit="1" customWidth="1"/>
    <col min="54" max="54" width="28.42578125" style="2" bestFit="1" customWidth="1"/>
    <col min="55" max="55" width="27.5703125" style="2" bestFit="1" customWidth="1"/>
    <col min="56" max="56" width="8.42578125" style="4" bestFit="1" customWidth="1"/>
    <col min="57" max="57" width="16.140625" style="2" bestFit="1" customWidth="1"/>
    <col min="58" max="58" width="15" style="2" bestFit="1" customWidth="1"/>
    <col min="59" max="59" width="12.7109375" style="2" bestFit="1" customWidth="1"/>
    <col min="60" max="60" width="9.140625" style="2"/>
    <col min="61" max="61" width="16.85546875" style="2" bestFit="1" customWidth="1"/>
    <col min="62" max="62" width="20.5703125" style="2" bestFit="1" customWidth="1"/>
    <col min="63" max="63" width="36.28515625" style="2" bestFit="1" customWidth="1"/>
    <col min="64" max="64" width="12.28515625" bestFit="1" customWidth="1"/>
    <col min="65" max="65" width="15" bestFit="1" customWidth="1"/>
    <col min="66" max="66" width="28.140625" style="16" bestFit="1" customWidth="1"/>
    <col min="67" max="67" width="13.5703125" style="2" bestFit="1" customWidth="1"/>
    <col min="68" max="68" width="14.140625" style="2" bestFit="1" customWidth="1"/>
    <col min="69" max="69" width="17.42578125" style="2" bestFit="1" customWidth="1"/>
    <col min="70" max="70" width="14.5703125" style="2" bestFit="1" customWidth="1"/>
    <col min="71" max="71" width="20" style="2" bestFit="1" customWidth="1"/>
    <col min="72" max="72" width="11.28515625" style="2" bestFit="1" customWidth="1"/>
    <col min="73" max="73" width="40.140625" style="2" bestFit="1" customWidth="1"/>
    <col min="74" max="74" width="40.42578125" style="2" customWidth="1"/>
    <col min="75" max="75" width="6.42578125" style="2" bestFit="1" customWidth="1"/>
    <col min="76" max="76" width="18.42578125" style="2" bestFit="1" customWidth="1"/>
    <col min="77" max="77" width="23.7109375" style="2" bestFit="1" customWidth="1"/>
    <col min="78" max="78" width="10.42578125" style="25" bestFit="1" customWidth="1"/>
    <col min="79" max="79" width="11.5703125" style="25" bestFit="1" customWidth="1"/>
    <col min="80" max="80" width="15.7109375" style="25" bestFit="1" customWidth="1"/>
    <col min="81" max="81" width="20.28515625" style="25" bestFit="1" customWidth="1"/>
    <col min="82" max="82" width="17.5703125" style="25" bestFit="1" customWidth="1"/>
    <col min="83" max="83" width="10.42578125" style="25" bestFit="1" customWidth="1"/>
    <col min="84" max="84" width="11.42578125" style="25" bestFit="1" customWidth="1"/>
    <col min="85" max="85" width="21.5703125" style="25" bestFit="1" customWidth="1"/>
    <col min="86" max="86" width="12.28515625" style="25" bestFit="1" customWidth="1"/>
  </cols>
  <sheetData>
    <row r="1" spans="1:91" ht="16.5" thickTop="1" thickBot="1" x14ac:dyDescent="0.3">
      <c r="A1" s="24" t="s">
        <v>0</v>
      </c>
      <c r="B1" s="33" t="s">
        <v>1</v>
      </c>
      <c r="C1" s="29" t="s">
        <v>311</v>
      </c>
      <c r="D1" s="29" t="s">
        <v>881</v>
      </c>
      <c r="E1" s="29" t="s">
        <v>426</v>
      </c>
      <c r="F1" s="29" t="s">
        <v>459</v>
      </c>
      <c r="G1" s="30" t="s">
        <v>5</v>
      </c>
      <c r="H1" s="30" t="s">
        <v>2</v>
      </c>
      <c r="I1" s="30" t="s">
        <v>19</v>
      </c>
      <c r="J1" s="30" t="s">
        <v>23</v>
      </c>
      <c r="K1" s="30" t="s">
        <v>3</v>
      </c>
      <c r="L1" s="30" t="s">
        <v>4</v>
      </c>
      <c r="M1" s="30" t="s">
        <v>448</v>
      </c>
      <c r="N1" s="30" t="s">
        <v>449</v>
      </c>
      <c r="O1" s="30" t="s">
        <v>30</v>
      </c>
      <c r="P1" s="31" t="s">
        <v>6</v>
      </c>
      <c r="Q1" s="29" t="s">
        <v>7</v>
      </c>
      <c r="R1" s="31" t="s">
        <v>8</v>
      </c>
      <c r="S1" s="29" t="s">
        <v>9</v>
      </c>
      <c r="T1" s="29" t="s">
        <v>660</v>
      </c>
      <c r="U1" s="29" t="s">
        <v>661</v>
      </c>
      <c r="V1" s="29" t="s">
        <v>669</v>
      </c>
      <c r="W1" s="31" t="s">
        <v>273</v>
      </c>
      <c r="X1" s="29" t="s">
        <v>274</v>
      </c>
      <c r="Y1" s="29" t="s">
        <v>662</v>
      </c>
      <c r="Z1" s="29" t="s">
        <v>663</v>
      </c>
      <c r="AA1" s="29" t="s">
        <v>670</v>
      </c>
      <c r="AB1" s="29" t="s">
        <v>664</v>
      </c>
      <c r="AC1" s="31" t="s">
        <v>10</v>
      </c>
      <c r="AD1" s="29" t="s">
        <v>11</v>
      </c>
      <c r="AE1" s="29" t="s">
        <v>665</v>
      </c>
      <c r="AF1" s="29" t="s">
        <v>666</v>
      </c>
      <c r="AG1" s="29" t="s">
        <v>671</v>
      </c>
      <c r="AH1" s="31" t="s">
        <v>12</v>
      </c>
      <c r="AI1" s="29" t="s">
        <v>13</v>
      </c>
      <c r="AJ1" s="29" t="s">
        <v>667</v>
      </c>
      <c r="AK1" s="29" t="s">
        <v>668</v>
      </c>
      <c r="AL1" s="29" t="s">
        <v>673</v>
      </c>
      <c r="AM1" s="30" t="s">
        <v>303</v>
      </c>
      <c r="AN1" s="30" t="s">
        <v>16</v>
      </c>
      <c r="AO1" s="30" t="s">
        <v>14</v>
      </c>
      <c r="AP1" s="30" t="s">
        <v>15</v>
      </c>
      <c r="AQ1" s="30" t="s">
        <v>21</v>
      </c>
      <c r="AR1" s="34" t="s">
        <v>20</v>
      </c>
      <c r="AS1" s="30" t="s">
        <v>17</v>
      </c>
      <c r="AT1" s="30" t="s">
        <v>18</v>
      </c>
      <c r="AU1" s="30" t="s">
        <v>22</v>
      </c>
      <c r="AV1" s="30" t="s">
        <v>312</v>
      </c>
      <c r="AW1" s="30" t="s">
        <v>313</v>
      </c>
      <c r="AX1" s="30" t="s">
        <v>406</v>
      </c>
      <c r="AY1" s="30" t="s">
        <v>24</v>
      </c>
      <c r="AZ1" s="30" t="s">
        <v>674</v>
      </c>
      <c r="BA1" s="30" t="s">
        <v>676</v>
      </c>
      <c r="BB1" s="30" t="s">
        <v>25</v>
      </c>
      <c r="BC1" s="30" t="s">
        <v>26</v>
      </c>
      <c r="BD1" s="30" t="s">
        <v>314</v>
      </c>
      <c r="BE1" s="30" t="s">
        <v>315</v>
      </c>
      <c r="BF1" s="30" t="s">
        <v>854</v>
      </c>
      <c r="BG1" s="30" t="s">
        <v>316</v>
      </c>
      <c r="BH1" s="30" t="s">
        <v>317</v>
      </c>
      <c r="BI1" s="30" t="s">
        <v>27</v>
      </c>
      <c r="BJ1" s="30" t="s">
        <v>318</v>
      </c>
      <c r="BK1" s="30" t="s">
        <v>632</v>
      </c>
      <c r="BL1" s="30" t="s">
        <v>633</v>
      </c>
      <c r="BM1" s="30" t="s">
        <v>675</v>
      </c>
      <c r="BN1" s="30" t="s">
        <v>679</v>
      </c>
      <c r="BO1" s="30" t="s">
        <v>631</v>
      </c>
      <c r="BP1" s="30" t="s">
        <v>29</v>
      </c>
      <c r="BQ1" s="30" t="s">
        <v>28</v>
      </c>
      <c r="BR1" s="30" t="s">
        <v>319</v>
      </c>
      <c r="BS1" s="30" t="s">
        <v>428</v>
      </c>
      <c r="BT1" s="30" t="s">
        <v>885</v>
      </c>
      <c r="BU1" s="30" t="s">
        <v>411</v>
      </c>
      <c r="BV1" s="30" t="s">
        <v>879</v>
      </c>
      <c r="BW1" s="30" t="s">
        <v>681</v>
      </c>
      <c r="BX1" s="30" t="s">
        <v>31</v>
      </c>
      <c r="BY1" s="30" t="s">
        <v>32</v>
      </c>
      <c r="BZ1" s="30" t="s">
        <v>856</v>
      </c>
      <c r="CA1" s="30" t="s">
        <v>860</v>
      </c>
      <c r="CB1" s="30" t="s">
        <v>857</v>
      </c>
      <c r="CC1" s="30" t="s">
        <v>858</v>
      </c>
      <c r="CD1" s="30" t="s">
        <v>859</v>
      </c>
      <c r="CE1" s="30" t="s">
        <v>861</v>
      </c>
      <c r="CF1" s="30" t="s">
        <v>862</v>
      </c>
      <c r="CG1" s="30" t="s">
        <v>1144</v>
      </c>
      <c r="CH1" s="30" t="s">
        <v>1145</v>
      </c>
    </row>
    <row r="2" spans="1:91" ht="16.5" thickTop="1" thickBot="1" x14ac:dyDescent="0.3">
      <c r="A2" s="26" t="str">
        <f>_xlfn.XLOOKUP(B2,'Base stats'!B:B,'Base stats'!A:A)</f>
        <v>Polar bear</v>
      </c>
      <c r="B2" s="6" t="s">
        <v>179</v>
      </c>
      <c r="C2" s="28" t="s">
        <v>180</v>
      </c>
      <c r="D2" s="28" t="s">
        <v>45</v>
      </c>
      <c r="E2" s="28" t="s">
        <v>427</v>
      </c>
      <c r="F2" s="28" t="s">
        <v>460</v>
      </c>
      <c r="G2" s="2">
        <f>MROUND((
  (IF(AND(_xlfn.XLOOKUP(B2,'Base stats'!B:B,'Base stats'!AI:AI)=0,BG2="None",_xlfn.XLOOKUP('Base stats'!E2,Groups!A:A,Groups!B:B)=0), (18 + BP2 * 2.7) * 0.5,
    IF(AND(_xlfn.XLOOKUP(B2,'Base stats'!B:B,'Base stats'!AI:AI)=0,OR(AN2&lt;0.55,AND(BG2="Intermediate",_xlfn.XLOOKUP('Base stats'!E2,Groups!A:A,Groups!B:B)&lt;2))), (18 + BP2 * 2.7),
      IF(OR(BG2="Advanced",_xlfn.XLOOKUP(B2,'Base stats'!B:B,'Base stats'!AI:AI)=1,_xlfn.XLOOKUP('Base stats'!E2,Groups!A:A,Groups!B:B)=2), (18 + BP2 * 2.7) + 250, (18 + BP2 * 2.7))
    )
  ))
  + AN2 * 80
  + IF(COUNTIF(EggMilk!K$2:K$998, A2) &gt; 0, 125, 0)
  + IF(COUNTIF(EggMilk!P$2:P$998, A2) &gt; 0, 90, 0)
  + IF(COUNTIF(EggMilk!A$2:A$998, A2) &gt; 0, 90, 0)
)
* (0.8 + 0.4 * I2)
* 0.75,25)</f>
        <v>950</v>
      </c>
      <c r="H2" s="2">
        <f>MROUND(ROUNDDOWN(_xlfn.XLOOKUP(B2,'Base stats'!B:B,'Base stats'!L:L)/3.6/(23.3/11),1),0.5)</f>
        <v>5</v>
      </c>
      <c r="I2" s="2">
        <f>IF(_xlfn.XLOOKUP(B2,'Base stats'!B:B,'Base stats'!AI:AI)=1,0.99,MIN(MROUND((1-0.6282*EXP(-0.459*AN2))*_xlfn.XLOOKUP(_xlfn.XLOOKUP(B2,'Base stats'!B:B,'Base stats'!E:E),Groups!A:A,Groups!C:C)*IF(_xlfn.XLOOKUP(B2,'Base stats'!B:B,'Base stats'!O:O)=1,0.5,IF(_xlfn.XLOOKUP(B2,'Base stats'!B:B,'Base stats'!O:O)=2,0,1)),0.05),0.985))</f>
        <v>0.85000000000000009</v>
      </c>
      <c r="J2" s="2">
        <f>ROUNDUP(AN2*_xlfn.XLOOKUP(_xlfn.XLOOKUP(B2,'Base stats'!B:B,'Base stats'!E:E),Groups!A:A,Groups!E:E),0)</f>
        <v>3</v>
      </c>
      <c r="K2" s="2">
        <f>IF(OR(_xlfn.XLOOKUP(_xlfn.XLOOKUP(B2,'Base stats'!B:B,'Base stats'!E:E),Groups!A:A,Groups!F:F)=2,ISNUMBER(SEARCH("SeaIce",BV2)),ISNUMBER(SEARCH("IceSheet",BV2))),-50,IF(OR(ISNUMBER(SEARCH("GlacialPlain",BV2)),ISNUMBER(SEARCH("Tundra",BV2))),-40,IF(OR(ISNUMBER(SEARCH("Alpine",BV2)),ISNUMBER(SEARCH("BorealForest",BV2)),ISNUMBER(SEARCH("ColdBog",BV2))),-30,IF(OR(ISNUMBER(SEARCH("TemperateForest",BV2)),ISNUMBER(SEARCH("TemperateSwamp",BV2))),-20,IF(_xlfn.XLOOKUP(_xlfn.XLOOKUP(B2,'Base stats'!B:B,'Base stats'!E:E),Groups!A:A,Groups!F:F)=1,-15,IF(OR(ISNUMBER(SEARCH("Desert",BV2)),ISNUMBER(SEARCH("ExtremeDesert",BV2))),-10,IF(OR(ISNUMBER(SEARCH("Grasslands",BV2)),ISNUMBER(SEARCH("TropicalRainforest",BV2)),ISNUMBER(SEARCH("TropicalSwamp",BV2))),10,0)))))))-IF(CA2="False",MIN(IFERROR(MAX(MROUND(LOG10(_xlfn.XLOOKUP(B2,'Base stats'!B:B,'Base stats'!C:C)^(2/3))*10,5),5),5),30))-_xlfn.XLOOKUP(B2,'Base stats'!B:B,'Base stats'!P:P)+IF(CA2="True",5,0)</f>
        <v>-65</v>
      </c>
      <c r="L2" s="2">
        <f>IF(OR(_xlfn.XLOOKUP(_xlfn.XLOOKUP(B2,'Base stats'!B:B,'Base stats'!E:E),Groups!A:A,Groups!G:G)=2,ISNUMBER(SEARCH("Desert",BV2)),ISNUMBER(SEARCH("ExtremeDesert",BV2)),ISNUMBER(SEARCH("LavaField",BV2))),50,IF(ISNUMBER(SEARCH("Grasslands",BV2)),45,IF(OR(_xlfn.XLOOKUP(_xlfn.XLOOKUP(B2,'Base stats'!B:B,'Base stats'!E:E),Groups!A:A,Groups!G:G)=1,ISNUMBER(SEARCH("TropicalRainforest",BV2)),ISNUMBER(SEARCH("TropicalSwamp",BV2))),40,IF(OR(ISNUMBER(SEARCH("TemperateForest",BV2)),ISNUMBER(SEARCH("TemperateSwamp",BV2))),35,IF(OR(ISNUMBER(SEARCH("Alpine",BV2)),ISNUMBER(SEARCH("BorealForest",BV2)),ISNUMBER(SEARCH("ColdBog",BV2))),30,IF(ISNUMBER(OR(ISNUMBER(SEARCH("GlacialPlain",BV2)),SEARCH("Tundra",BV2))),25,IF(OR(ISNUMBER(SEARCH("SeaIce",BV2)),ISNUMBER(SEARCH("IceSheet",BV2)),ISNUMBER(SEARCH("TropicalSwamp",BV2))),10,35)))))))+_xlfn.XLOOKUP(B2,'Base stats'!B:B,'Base stats'!Q:Q)</f>
        <v>10</v>
      </c>
      <c r="M2" s="8" t="str">
        <f>IF(_xlfn.XLOOKUP(_xlfn.XLOOKUP(B2,'Base stats'!B:B,'Base stats'!E:E),Groups!A:A,Groups!L:L)=1,MIN(MROUND(_xlfn.XLOOKUP(B2,'Animals CE'!B:B,'Animals CE'!Z:Z)/2+0.05,0.05),200%),"No")</f>
        <v>No</v>
      </c>
      <c r="N2" s="8" t="str">
        <f>IF(_xlfn.XLOOKUP(_xlfn.XLOOKUP(B2,'Base stats'!B:B,'Base stats'!E:E),Groups!A:A,Groups!L:L)=1,MIN(MROUND(_xlfn.XLOOKUP(B2,'Animals CE'!B:B,'Animals CE'!AA:AA)/2+0.05,0.05),200%),"No")</f>
        <v>No</v>
      </c>
      <c r="O2" s="2" t="str">
        <f>_xlfn.XLOOKUP(B2,'Base stats'!B:B,'Base stats'!R:R)</f>
        <v>Standard</v>
      </c>
      <c r="P2" s="13">
        <f>MROUND((LOG10(_xlfn.XLOOKUP(B2,'Base stats'!B:B,'Base stats'!AO:AO))*(AN2^0.5)+(_xlfn.XLOOKUP(B2,'Base stats'!B:B,'Base stats'!AO:AO)/1000)^(2/3)+_xlfn.XLOOKUP(B2,'Base stats'!B:B,'Base stats'!AX:AX)/2)+0.5,0.5)</f>
        <v>13</v>
      </c>
      <c r="Q2" s="7">
        <f>IF(P2="No","No",MAX(1,MROUND(_xlfn.XLOOKUP(B2,'Base stats'!B:B,'Base stats'!C:C)^0.165,0.05)))</f>
        <v>2.6</v>
      </c>
      <c r="R2" s="13" t="str">
        <f>IF(_xlfn.XLOOKUP(_xlfn.XLOOKUP(B2,'Base stats'!B:B,'Base stats'!E:E),Groups!A:A,Groups!P:P)=0,"No",MROUND((LOG10(_xlfn.XLOOKUP(B2,'Base stats'!B:B,'Base stats'!AP:AP))*(AN2^0.5)+(_xlfn.XLOOKUP(B2,'Base stats'!B:B,'Base stats'!AP:AP)/1000)^(2/3)+_xlfn.XLOOKUP(B2,'Base stats'!B:B,'Base stats'!AX:AX))+_xlfn.XLOOKUP(B2,'Base stats'!B:B,'Base stats'!AV:AV)+0.5,0.5))</f>
        <v>No</v>
      </c>
      <c r="S2" s="7" t="str">
        <f>IF(R2="No","No",MAX(_xlfn.XLOOKUP(_xlfn.XLOOKUP(B2,'Base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T2" s="7" t="str">
        <f>IF(R2="No","No",_xlfn.XLOOKUP(_xlfn.XLOOKUP(B2,'Base stats'!B:B,'Base stats'!E:E),Groups!A:A,Groups!R:R))</f>
        <v>No</v>
      </c>
      <c r="U2" s="7" t="str">
        <f>IF(R2="No","No",_xlfn.XLOOKUP(_xlfn.XLOOKUP(B2,'Base stats'!B:B,'Base stats'!E:E),Groups!A:A,Groups!S:S))</f>
        <v>No</v>
      </c>
      <c r="V2" s="7" t="str">
        <f>IF(R2="No","No",_xlfn.XLOOKUP(_xlfn.XLOOKUP(B2,'Base stats'!B:B,'Base stats'!E:E),Groups!A:A,Groups!T:T))</f>
        <v>No</v>
      </c>
      <c r="W2" s="13" t="str">
        <f>IF(_xlfn.XLOOKUP(B2,'Base stats'!B:B,'Base stats'!W:W)="No","No",MROUND((LOG10(_xlfn.XLOOKUP(B2,'Base stats'!B:B,'Base stats'!AR:AR))*(AN2^0.5)+(_xlfn.XLOOKUP(B2,'Base stats'!B:B,'Base stats'!AR:AR)/1000)^(2/3)+_xlfn.XLOOKUP(B2,'Base stats'!B:B,'Base stats'!AW:AW))+0.5+IF(_xlfn.XLOOKUP(_xlfn.XLOOKUP(B2,'Base stats'!B:B,'Base stats'!E:E),Groups!A:A,Groups!U:U)&lt;&gt;3,_xlfn.XLOOKUP(B2,'Base stats'!B:B,'Base stats'!AX:AX),0),0.5))</f>
        <v>No</v>
      </c>
      <c r="X2" s="7" t="str">
        <f>IF(W2="No","No",MAX(_xlfn.XLOOKUP(_xlfn.XLOOKUP(B2,'Base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Y2" s="7" t="str">
        <f>IF(W2="No","No",_xlfn.XLOOKUP(_xlfn.XLOOKUP(B2,'Base stats'!B:B,'Base stats'!E:E),Groups!A:A,Groups!W:W))</f>
        <v>No</v>
      </c>
      <c r="Z2" s="7" t="str">
        <f>IF(W2="No","No",_xlfn.XLOOKUP(_xlfn.XLOOKUP(B2,'Base stats'!B:B,'Base stats'!E:E),Groups!A:A,Groups!X:X))</f>
        <v>No</v>
      </c>
      <c r="AA2" s="7" t="str">
        <f>IF(W2="No","No",_xlfn.XLOOKUP(_xlfn.XLOOKUP(B2,'Base stats'!B:B,'Base stats'!E:E),Groups!A:A,Groups!Y:Y))</f>
        <v>No</v>
      </c>
      <c r="AB2" s="7" t="str">
        <f>_xlfn.XLOOKUP(Animals!B2,'Base stats'!B:B,'Base stats'!X:X)</f>
        <v>False</v>
      </c>
      <c r="AC2" s="13">
        <f>IF(_xlfn.XLOOKUP(B2,'Base stats'!B:B,'Base stats'!AQ:AQ)="No","No",MROUND((LOG10(_xlfn.XLOOKUP(B2,'Base stats'!B:B,'Base stats'!AQ:AQ))*(AN2^0.75)+(_xlfn.XLOOKUP(B2,'Base stats'!B:B,'Base stats'!AQ:AQ)/1000)^(2/3)+_xlfn.XLOOKUP(B2,'Base stats'!B:B,'Base stats'!AU:AU)+_xlfn.XLOOKUP(B2,'Base stats'!B:B,'Base stats'!AX:AX))+0.5,0.5))</f>
        <v>20.5</v>
      </c>
      <c r="AD2" s="7">
        <f>IF(AC2="No","No",MAX(_xlfn.XLOOKUP(_xlfn.XLOOKUP(B2,'Base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E2" s="7" t="str">
        <f>IF(AC2="No","No",_xlfn.XLOOKUP(_xlfn.XLOOKUP(B2,'Base stats'!B:B,'Base stats'!E:E),Groups!A:A,Groups!AA:AA))</f>
        <v>Teeth</v>
      </c>
      <c r="AF2" s="7" t="str">
        <f>IF(AC2="No","No",_xlfn.XLOOKUP(_xlfn.XLOOKUP(B2,'Base stats'!B:B,'Base stats'!E:E),Groups!A:A,Groups!AB:AB))</f>
        <v>canines</v>
      </c>
      <c r="AG2" s="7" t="str">
        <f>IF(AC2="No","No",_xlfn.XLOOKUP(_xlfn.XLOOKUP(B2,'Base stats'!B:B,'Base stats'!E:E),Groups!A:A,Groups!AC:AC))</f>
        <v>Bite</v>
      </c>
      <c r="AH2" s="13">
        <f>IF(_xlfn.XLOOKUP(_xlfn.XLOOKUP(B2,'Base stats'!B:B,'Base stats'!E:E),Groups!A:A,Groups!AD:AD)=0,"No",MROUND((LOG10(_xlfn.XLOOKUP(B2,'Base stats'!B:B,'Base stats'!AP:AP))*(AN2^0.75)+(_xlfn.XLOOKUP(B2,'Base stats'!B:B,'Base stats'!AP:AP)/1000)^(2/3)+_xlfn.XLOOKUP(B2,'Base stats'!B:B,'Base stats'!AV:AV)+_xlfn.XLOOKUP(B2,'Base stats'!B:B,'Base stats'!AX:AX))+0.5,0.5))</f>
        <v>20.5</v>
      </c>
      <c r="AI2" s="7">
        <f>IF(AH2="No","No",MAX(_xlfn.XLOOKUP(_xlfn.XLOOKUP(B2,'Base stats'!B:B,'Base stats'!E:E),Groups!A:A,Groups!AE:AE),MROUND(_xlfn.XLOOKUP(_xlfn.XLOOKUP(B2,'Base stats'!B:B,'Base stats'!E:E),Groups!A:A,Groups!AE:AE)*_xlfn.XLOOKUP(B2,'Base stats'!B:B,'Base stats'!C:C)^0.165,0.05)))</f>
        <v>1.7000000000000002</v>
      </c>
      <c r="AJ2" s="7" t="str">
        <f>IF(AH2="No","No",_xlfn.XLOOKUP(_xlfn.XLOOKUP(B2,'Base stats'!B:B,'Base stats'!E:E),Groups!A:A,Groups!AF:AF))</f>
        <v>FrontRightPaw, FrontRightPaw</v>
      </c>
      <c r="AK2" s="7" t="str">
        <f>IF(AH2="No","No",_xlfn.XLOOKUP(_xlfn.XLOOKUP(B2,'Base stats'!B:B,'Base stats'!E:E),Groups!A:A,Groups!AG:AG))</f>
        <v>left claw, right claw</v>
      </c>
      <c r="AL2" s="7" t="str">
        <f>IF(AH2="No","No",_xlfn.XLOOKUP(_xlfn.XLOOKUP(B2,'Base stats'!B:B,'Base stats'!E:E),Groups!A:A,Groups!AH:AH))</f>
        <v>Scratch</v>
      </c>
      <c r="AM2" s="2">
        <f>IF(BH2="false","No",MROUND(AN2*5+15*1,5))</f>
        <v>25</v>
      </c>
      <c r="AN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O2" s="8">
        <f>MROUND(AN2*_xlfn.XLOOKUP(_xlfn.XLOOKUP(B2,'Base stats'!B:B,'Base stats'!E:E),Groups!A:A,Groups!AI:AI),0.05)</f>
        <v>2.7</v>
      </c>
      <c r="AP2" s="8">
        <f>MAX(0.01,MROUND(IF(CA2="True",0.196*(AN2*100*1000)^0.889,IF(_xlfn.XLOOKUP(_xlfn.XLOOKUP(B2,'Base stats'!B:B,'Base stats'!E:E),Groups!A:A,Groups!AJ:AJ)="Bird",10.5*(AN2*100*1000)^0.681,4.82*(AN2*100*1000)^0.734))/(4.82*(1*100*1000)^0.734)/IF(AN2&lt;3.5,2,IF(AN2=3.5,1.5,1.25))*(1+0.132282374779864/(AN2^0.994035016789033+0.00905238001496948)),0.05))</f>
        <v>0.95000000000000007</v>
      </c>
      <c r="AQ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R2" s="35">
        <f>IFERROR(IF(_xlfn.XLOOKUP(B2,'Base stats'!B:B,'Base stats'!F:F)="Lay eggs","Lay eggs",MIN(20,MAX(5.5,ROUND(((_xlfn.XLOOKUP(B2,'Base stats'!B:B,'Base stats'!F:F)-25)*(14.5/615) + 5.5)*2,0)/2))),"Cannot breed")</f>
        <v>6.5</v>
      </c>
      <c r="AS2" s="8">
        <f>IF(OR(A2="Queen",A2="Larva"),"No",IFERROR(MAX(IF(_xlfn.XLOOKUP(B2,'Base stats'!B:B,'Base stats'!G:G)&lt;0.5,0.2,0.3),MROUND(_xlfn.XLOOKUP(B2,'Base stats'!B:B,'Base stats'!G:G)/(365/60),0.2)),"Unknown"))</f>
        <v>0.8</v>
      </c>
      <c r="AT2" s="8">
        <f>IF(OR(A2="Queen",A2="Larva",A2="Megachicken"),"No",IFERROR(MROUND(AS2/2,0.05),"Unknown"))</f>
        <v>0.4</v>
      </c>
      <c r="AU2" s="8">
        <f>IFERROR(IFERROR(MROUND(_xlfn.XLOOKUP(B2,'Base stats'!B:B,'Base stats'!J:J),0.1),"Lay eggs"),"Cannot breed")</f>
        <v>2</v>
      </c>
      <c r="AV2" s="2" t="str">
        <f>IF(BR2="No","false","true")</f>
        <v>false</v>
      </c>
      <c r="AW2" s="2" t="str">
        <f>IF(_xlfn.XLOOKUP(_xlfn.XLOOKUP(Animals!B2,'Base stats'!B:B,'Base stats'!E:E),Groups!A:A,Groups!AK:AK)=1,"true","false")</f>
        <v>false</v>
      </c>
      <c r="AX2" s="25" t="str">
        <f>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</f>
        <v>CarnivoreAnimal, OvivoreAnimal</v>
      </c>
      <c r="AY2" s="2" t="str">
        <f>IF(_xlfn.XLOOKUP(_xlfn.XLOOKUP(B2,'Base stats'!B:B,'Base stats'!E:E),Groups!A:A,Groups!D:D)=1,MROUND((1-I2)*5+1,2)*IF(I2&lt;=0.4,2,1),"No")</f>
        <v>No</v>
      </c>
      <c r="AZ2" s="2" t="str">
        <f>_xlfn.XLOOKUP(B2,'Base stats'!B:B,'Base stats'!AE:AE)</f>
        <v>Leather_Bear</v>
      </c>
      <c r="BA2" s="23" t="str">
        <f>_xlfn.XLOOKUP(_xlfn.XLOOKUP(B2,'Base stats'!B:B,'Base stats'!E:E),Groups!A:A,Groups!AL:AL)</f>
        <v>QuadrupedAnimalWithPaws</v>
      </c>
      <c r="BB2" s="23">
        <f>MROUND(IF(AND(AN2&lt;0.5,_xlfn.XLOOKUP(B2,'Base stats'!B:B,'Base stats'!Z:Z)=0),0,IF(OR(_xlfn.XLOOKUP(Animals!B2,'Base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stats'!AA:AA),0.005)</f>
        <v>0.1</v>
      </c>
      <c r="BC2" s="23">
        <f>MROUND(IF(AND(AN2&lt;0.5,_xlfn.XLOOKUP(B2,'Base stats'!B:B,'Base stats'!Z:Z)=0),0,IF(_xlfn.XLOOKUP(_xlfn.XLOOKUP(B2,'Base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stats'!AB:AB),0.005)</f>
        <v>0.3</v>
      </c>
      <c r="BD2" s="2" t="str">
        <f>IF(I2&gt;0.3,"No",_xlfn.XLOOKUP(_xlfn.XLOOKUP(Animals!B2,'Base stats'!B:B,'Base stats'!E:E),Groups!A:A,Groups!AP:AP))</f>
        <v>No</v>
      </c>
      <c r="BE2" s="2" t="str">
        <f>IF(AND(I2&lt;=0.65,_xlfn.XLOOKUP(_xlfn.XLOOKUP(Animals!B2,'Base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stats'!O:O)=2,0.2,AN2) + 24*(1-IF(BD2="No",0,BD2)) + 16/3, 12),"No")</f>
        <v>No</v>
      </c>
      <c r="BF2" s="2">
        <f>IF(AND(_xlfn.XLOOKUP(_xlfn.XLOOKUP(B2,'Base stats'!B:B,'Base stats'!E:E),Groups!A:A,Groups!AQ:AQ)=1,AN2&lt;=0.35),8,12)</f>
        <v>12</v>
      </c>
      <c r="BG2" s="2" t="str">
        <f>IF(_xlfn.XLOOKUP(_xlfn.XLOOKUP(B2,'Base stats'!B:B,'Base stats'!E:E),Groups!A:A,Groups!D:D)=0,_xlfn.XLOOKUP(_xlfn.XLOOKUP(B2,'Base stats'!B:B,'Base stats'!E:E),Groups!A:A,Groups!AR:AR),"None")</f>
        <v>Advanced</v>
      </c>
      <c r="BH2" s="2" t="str">
        <f>IF(AND(_xlfn.XLOOKUP(_xlfn.XLOOKUP(B2,'Base stats'!B:B,'Base stats'!E:E),Groups!A:A,Groups!AS:AS)=1,OR('Base stats'!Y2="Carnivore",'Base stats'!Y2="Omnivore")),"true","false")</f>
        <v>true</v>
      </c>
      <c r="BI2" s="2">
        <f>IF(BH2="true",MROUND(IF(AND(AN2&gt;0.5,_xlfn.XLOOKUP(_xlfn.XLOOKUP(B2,'Base stats'!B:B,'Base stats'!E:E),Groups!A:A,Groups!AJ:AJ)="Mammal"),Animals!AN2*1.75*IF(AV2="true",1.5,1),Animals!AN2),IF(AN2&gt;2,0.5,IF(AN2&gt;0.5,0.25,0.1))),"No")</f>
        <v>4</v>
      </c>
      <c r="BJ2" s="2">
        <f>IF(BG2&lt;&gt;"None",1,0)</f>
        <v>1</v>
      </c>
      <c r="BK2" s="25" t="str">
        <f>IF('Base stats'!AK2="Standard","No",MROUND((_xlfn.XLOOKUP(B2,'Base stats'!B:B,'Base stats'!AK:AK)/3.6)/H2,0.1))</f>
        <v>No</v>
      </c>
      <c r="BL2" s="25" t="str">
        <f>IF(OR(BK2&lt;&gt;"No",BO2=1),"true","false")</f>
        <v>false</v>
      </c>
      <c r="BM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N2" s="25" t="str" cm="1">
        <f t="array" ref="BN2">IF(
  _xlfn.TEXTJOIN(", ",TRUE,
    IF(AND(BH2="true",AN2&gt;0.5,BG2&lt;&gt;"None"),"AttackTarget",""),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IF(BE2&lt;=36,"Comfort",""),
    IF(_xlfn.XLOOKUP(B2,'Base stats'!B:B,'Base stats'!AC:AC)&lt;&gt;"No",_xlfn.XLOOKUP(B2,'Base stats'!B:B,'Base stats'!AC:AC),"")
  ) = "",
  "No",
  _xlfn.TEXTJOIN(", ",TRUE,
    IF(AND(BH2="true",AN2&gt;0.5,BG2&lt;&gt;"None"),"AttackTarget",""),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IF(BE2&lt;=36,"Comfort",""),
    IF(_xlfn.XLOOKUP(B2,'Base stats'!B:B,'Base stats'!AC:AC)&lt;&gt;"No",_xlfn.XLOOKUP(B2,'Base stats'!B:B,'Base stats'!AC:AC),"")
  )
)</f>
        <v>AttackTarget</v>
      </c>
      <c r="BO2" s="25">
        <f>IF(
   AND(
      'Base stats'!AK2="Standard",_xlfn.XLOOKUP(_xlfn.XLOOKUP(B2,'Base stats'!B:B,'Base stats'!E:E),Groups!A:A,Groups!AU:AU)=0,
      OR(
      BM2="True"
      )
   ),
   10,
   IF(
       OR(BK2&lt;&gt;"No",_xlfn.XLOOKUP(_xlfn.XLOOKUP(B2,'Base stats'!B:B,'Base stats'!E:E),Groups!A:A,Groups!AU:AU)=1),
      1,
      "No"
   )
)</f>
        <v>10</v>
      </c>
      <c r="BP2" s="9">
        <f>MROUND((1 + ((0.2*IF(OR(P2="No",Q2="No",Q2=0),0,P2/Q2)
+IF(OR(U2="No",R2="No",S2="No"),0,R2/S2*(LEN(U2)-LEN(SUBSTITUTE(U2,",",""))+1))
+IF(OR(W2="No",X2="No"),0,W2/X2)
+IF(OR(AC2="No",AD2="No"),0,AC2/AD2)
+IF(OR(AK2="No",AH2="No",AI2="No"),0,AH2/AI2*(LEN(AK2)-LEN(SUBSTITUTE(AK2,",",""))+1))
)/(0.2*IF(OR(P2="No",Q2="No",Q2=0),0,1)
+IF(OR(U2="No",R2="No",S2="No"),0,LEN(U2)-LEN(SUBSTITUTE(U2,",",""))+1)
+IF(OR(W2="No",X2="No"),0,1)
+IF(OR(AC2="No",AD2="No"),0,1)
+IF(OR(AK2="No",AH2="No",AI2="No"),0,LEN(AK2)-LEN(SUBSTITUTE(AK2,",",""))+1))*62%)* 2)*(1 + (AO2 + _xlfn.XLOOKUP(B2,'Base stats'!B:B,'Base stats'!AS:AS) * 1.8) * 2) * 2.5 + 10 + H2 * 2,5)+IF(_xlfn.XLOOKUP(B2,'Base stats'!B:B,'Base stats'!AH:AH)=1,50,0)</f>
        <v>250</v>
      </c>
      <c r="BQ2" s="8">
        <f>MROUND(AN2 * 0.2 + AP2 * 0.8,0.05)</f>
        <v>1.2000000000000002</v>
      </c>
      <c r="BR2" s="8" t="str">
        <f>_xlfn.XLOOKUP(B2,'Base stats'!B:B,'Base stats'!AD:AD)</f>
        <v>No</v>
      </c>
      <c r="BS2" s="2" t="str">
        <f>IF(AND(I2&lt;=0.95,OR(_xlfn.XLOOKUP(B2,'Base stats'!B:B,'Base stats'!AH:AH)=1,_xlfn.XLOOKUP(B2,'Base stats'!B:B,'Base stats'!Y:Y)="Carnivore",_xlfn.XLOOKUP(B2,'Base stats'!B:B,'Base stats'!Y:Y)="Omnivore",BC2&gt;0.1)),"true","false")</f>
        <v>true</v>
      </c>
      <c r="BT2" s="2" t="str">
        <f>IF(_xlfn.XLOOKUP(B2,'Base stats'!B:B,'Base stats'!AF:AF)=1,"true","false")</f>
        <v>false</v>
      </c>
      <c r="BU2" s="25" t="str">
        <f>IF(E2="BaseInsect","AnimalInsect",
IF(I2&gt;0.95,"AnimalExotic",
_xlfn.TEXTJOIN(", ",TRUE,
IF(AND(_xlfn.XLOOKUP(B2,'Base stats'!B:B,'Base stats'!O:O)=0,_xlfn.XLOOKUP(_xlfn.XLOOKUP(B2,'Base stats'!B:B,'Base stats'!E:E),Groups!A:A,Groups!B:B)&gt;0),"AnimalUncommon","AnimalCommon"),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stats'!AH:AH)=1,AND(BG2&lt;&gt;"None",BP2&gt;=60),ISNUMBER(SEARCH("Attack target",BN2))),"AnimalFighter","")
)))</f>
        <v>AnimalUncommon, AnimalFighter</v>
      </c>
      <c r="BV2" s="25" t="str">
        <f>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</f>
        <v>SeaIce IceSheet Tundra</v>
      </c>
      <c r="BW2" s="25" t="str">
        <f>IF(_xlfn.XLOOKUP(B2,'Base stats'!B:B,'Base stats'!AG:AG)=1,"true","false")</f>
        <v>false</v>
      </c>
      <c r="BX2" s="25">
        <f>IF(_xlfn.XLOOKUP(B2,'Base stats'!B:B,'Base stats'!N:N)=1,"No",MIN(MROUND(IF(OR(_xlfn.XLOOKUP(B2,'Base stats'!B:B,'Base stats'!AJ:AJ)=1,AND(BH2="True",CA2="False")),POWER(10,3.47*LOG10(_xlfn.XLOOKUP(B2,'Base stats'!B:B,'Base stats'!C:C)*1000)^-0.96),POWER(10,4.15*LOG10(_xlfn.XLOOKUP(B2,'Base stats'!B:B,'Base stats'!C:C)*1000)^-0.73))*IF(OR(_xlfn.XLOOKUP(B2,'Base stats'!B:B,'Base stats'!AJ:AJ)=1,_xlfn.XLOOKUP(B2,'Base stats'!B:B,'Base stats'!AH:AH)=1),0.5,1)/100,0.025),1))</f>
        <v>0.05</v>
      </c>
      <c r="BY2" s="25" t="str">
        <f>IF(O2="Standard","No",IF(_xlfn.XLOOKUP(B2,'Base stats'!B:B,'Base stats'!N:N)=0,MROUND(BX2*O2,0.05),MIN(1,MAX(0.025,MROUND(IF(OR(CA2="true",AND(BH2="false",BM2="false")),POWER(10,4.15*LOG10(_xlfn.XLOOKUP(B2,'Base stats'!B:B,'Base stats'!C:C)*1000)^-0.73),POWER(10,3.47*LOG10(_xlfn.XLOOKUP(B2,'Base stats'!B:B,'Base stats'!C:C)*1000)^-0.96))*IF(_xlfn.XLOOKUP(B2,'Base stats'!B:B,'Base stats'!AH:AH)=1,0.5,1)/100,0.025)))))</f>
        <v>No</v>
      </c>
      <c r="BZ2" s="25" t="str">
        <f>IF(_xlfn.XLOOKUP(_xlfn.XLOOKUP(B2,'Base stats'!B:B,'Base stats'!E:E),Groups!A:A,Groups!AJ:AJ)="Mammal","True","False")</f>
        <v>True</v>
      </c>
      <c r="CA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B2" s="25" t="str">
        <f>IF(I2&gt;0.95,"True","False")</f>
        <v>False</v>
      </c>
      <c r="CC2" s="25" t="str">
        <f>IF(_xlfn.XLOOKUP(_xlfn.XLOOKUP(B2,'Base stats'!B:B,'Base stats'!E:E),Groups!A:A,Groups!AW:AW),"True","False")</f>
        <v>False</v>
      </c>
      <c r="CD2" s="25" t="str">
        <f>IF(_xlfn.XLOOKUP(_xlfn.XLOOKUP(B2,'Base stats'!B:B,'Base stats'!E:E),Groups!A:A,Groups!AX:AX),"True","False")</f>
        <v>False</v>
      </c>
      <c r="CE2" s="25" t="str">
        <f>IF(_xlfn.XLOOKUP(B2,'Base stats'!B:B,'Base stats'!E:E)=1,"True","False")</f>
        <v>False</v>
      </c>
      <c r="CF2" s="25" t="str">
        <f>IF(
OR(
_xlfn.XLOOKUP(_xlfn.XLOOKUP(B2,'Base stats'!B:B,'Base stats'!E:E),Groups!A:A,Groups!AY:AY)=0,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stats'!E:E),Groups!A:A,Groups!AY:AY)=1,
"Flesh",
IF(
_xlfn.XLOOKUP(_xlfn.XLOOKUP(B2,'Base stats'!B:B,'Base stats'!E:E),Groups!A:A,Groups!AY:AY)=2,
"Bone",
""
)
)
)</f>
        <v>Bone</v>
      </c>
      <c r="CG2" s="25" t="str">
        <f>IF(_xlfn.XLOOKUP(_xlfn.XLOOKUP(B2,'Base stats'!B:B,'Base stats'!E:E),Groups!A:A,Groups!BA:BA),"True","False")</f>
        <v>True</v>
      </c>
      <c r="CH2" s="25" t="str">
        <f>IF(_xlfn.XLOOKUP(_xlfn.XLOOKUP(B2,'Base stats'!B:B,'Base stats'!E:E),Groups!A:A,Groups!AZ:AZ),"True","False")</f>
        <v>False</v>
      </c>
      <c r="CM2" s="16"/>
    </row>
    <row r="3" spans="1:91" ht="16.5" thickTop="1" thickBot="1" x14ac:dyDescent="0.3">
      <c r="A3" s="26" t="str">
        <f>_xlfn.XLOOKUP(B3,'Base stats'!B:B,'Base stats'!A:A)</f>
        <v>Grizzly</v>
      </c>
      <c r="B3" s="6" t="s">
        <v>183</v>
      </c>
      <c r="C3" s="28" t="s">
        <v>683</v>
      </c>
      <c r="D3" s="28" t="s">
        <v>45</v>
      </c>
      <c r="E3" s="28" t="s">
        <v>427</v>
      </c>
      <c r="F3" s="28" t="s">
        <v>460</v>
      </c>
      <c r="G3" s="2">
        <f>MROUND((
  (IF(AND(_xlfn.XLOOKUP(B3,'Base stats'!B:B,'Base stats'!AI:AI)=0,BG3="None",_xlfn.XLOOKUP('Base stats'!E3,Groups!A:A,Groups!B:B)=0), (18 + BP3 * 2.7) * 0.5,
    IF(AND(_xlfn.XLOOKUP(B3,'Base stats'!B:B,'Base stats'!AI:AI)=0,OR(AN3&lt;0.55,AND(BG3="Intermediate",_xlfn.XLOOKUP('Base stats'!E3,Groups!A:A,Groups!B:B)&lt;2))), (18 + BP3 * 2.7),
      IF(OR(BG3="Advanced",_xlfn.XLOOKUP(B3,'Base stats'!B:B,'Base stats'!AI:AI)=1,_xlfn.XLOOKUP('Base stats'!E3,Groups!A:A,Groups!B:B)=2), (18 + BP3 * 2.7) + 250, (18 + BP3 * 2.7))
    )
  ))
  + AN3 * 80
  + IF(COUNTIF(EggMilk!K$2:K$998, A3) &gt; 0, 125, 0)
  + IF(COUNTIF(EggMilk!P$2:P$998, A3) &gt; 0, 90, 0)
  + IF(COUNTIF(EggMilk!A$2:A$998, A3) &gt; 0, 90, 0)
)
* (0.8 + 0.4 * I3)
* 0.75,25)</f>
        <v>875</v>
      </c>
      <c r="H3" s="2">
        <f>MROUND(ROUNDDOWN(_xlfn.XLOOKUP(B3,'Base stats'!B:B,'Base stats'!L:L)/3.6/(23.3/11),1),0.5)</f>
        <v>6</v>
      </c>
      <c r="I3" s="2">
        <f>IF(_xlfn.XLOOKUP(B3,'Base stats'!B:B,'Base stats'!AI:AI)=1,0.99,MIN(MROUND((1-0.6282*EXP(-0.459*AN3))*_xlfn.XLOOKUP(_xlfn.XLOOKUP(B3,'Base stats'!B:B,'Base stats'!E:E),Groups!A:A,Groups!C:C)*IF(_xlfn.XLOOKUP(B3,'Base stats'!B:B,'Base stats'!O:O)=1,0.5,IF(_xlfn.XLOOKUP(B3,'Base stats'!B:B,'Base stats'!O:O)=2,0,1)),0.05),0.985))</f>
        <v>0.8</v>
      </c>
      <c r="J3" s="2">
        <f>ROUNDUP(AN3*_xlfn.XLOOKUP(_xlfn.XLOOKUP(B3,'Base stats'!B:B,'Base stats'!E:E),Groups!A:A,Groups!E:E),0)</f>
        <v>2</v>
      </c>
      <c r="K3" s="2">
        <f>IF(OR(_xlfn.XLOOKUP(_xlfn.XLOOKUP(B3,'Base stats'!B:B,'Base stats'!E:E),Groups!A:A,Groups!F:F)=2,ISNUMBER(SEARCH("SeaIce",BV3)),ISNUMBER(SEARCH("IceSheet",BV3))),-50,IF(OR(ISNUMBER(SEARCH("GlacialPlain",BV3)),ISNUMBER(SEARCH("Tundra",BV3))),-40,IF(OR(ISNUMBER(SEARCH("Alpine",BV3)),ISNUMBER(SEARCH("BorealForest",BV3)),ISNUMBER(SEARCH("ColdBog",BV3))),-30,IF(OR(ISNUMBER(SEARCH("TemperateForest",BV3)),ISNUMBER(SEARCH("TemperateSwamp",BV3))),-20,IF(_xlfn.XLOOKUP(_xlfn.XLOOKUP(B3,'Base stats'!B:B,'Base stats'!E:E),Groups!A:A,Groups!F:F)=1,-15,IF(OR(ISNUMBER(SEARCH("Desert",BV3)),ISNUMBER(SEARCH("ExtremeDesert",BV3))),-10,IF(OR(ISNUMBER(SEARCH("Grasslands",BV3)),ISNUMBER(SEARCH("TropicalRainforest",BV3)),ISNUMBER(SEARCH("TropicalSwamp",BV3))),10,0)))))))-IF(CA3="False",MIN(IFERROR(MAX(MROUND(LOG10(_xlfn.XLOOKUP(B3,'Base stats'!B:B,'Base stats'!C:C)^(2/3))*10,5),5),5),30))-_xlfn.XLOOKUP(B3,'Base stats'!B:B,'Base stats'!P:P)+IF(CA3="True",5,0)</f>
        <v>-55</v>
      </c>
      <c r="L3" s="2">
        <f>IF(OR(_xlfn.XLOOKUP(_xlfn.XLOOKUP(B3,'Base stats'!B:B,'Base stats'!E:E),Groups!A:A,Groups!G:G)=2,ISNUMBER(SEARCH("Desert",BV3)),ISNUMBER(SEARCH("ExtremeDesert",BV3)),ISNUMBER(SEARCH("LavaField",BV3))),50,IF(ISNUMBER(SEARCH("Grasslands",BV3)),45,IF(OR(_xlfn.XLOOKUP(_xlfn.XLOOKUP(B3,'Base stats'!B:B,'Base stats'!E:E),Groups!A:A,Groups!G:G)=1,ISNUMBER(SEARCH("TropicalRainforest",BV3)),ISNUMBER(SEARCH("TropicalSwamp",BV3))),40,IF(OR(ISNUMBER(SEARCH("TemperateForest",BV3)),ISNUMBER(SEARCH("TemperateSwamp",BV3))),35,IF(OR(ISNUMBER(SEARCH("Alpine",BV3)),ISNUMBER(SEARCH("BorealForest",BV3)),ISNUMBER(SEARCH("ColdBog",BV3))),30,IF(ISNUMBER(OR(ISNUMBER(SEARCH("GlacialPlain",BV3)),SEARCH("Tundra",BV3))),25,IF(OR(ISNUMBER(SEARCH("SeaIce",BV3)),ISNUMBER(SEARCH("IceSheet",BV3)),ISNUMBER(SEARCH("TropicalSwamp",BV3))),10,35)))))))+_xlfn.XLOOKUP(B3,'Base stats'!B:B,'Base stats'!Q:Q)</f>
        <v>35</v>
      </c>
      <c r="M3" s="8" t="str">
        <f>IF(_xlfn.XLOOKUP(_xlfn.XLOOKUP(B3,'Base stats'!B:B,'Base stats'!E:E),Groups!A:A,Groups!L:L)=1,MIN(MROUND(_xlfn.XLOOKUP(B3,'Animals CE'!B:B,'Animals CE'!Z:Z)/2+0.05,0.05),200%),"No")</f>
        <v>No</v>
      </c>
      <c r="N3" s="8" t="str">
        <f>IF(_xlfn.XLOOKUP(_xlfn.XLOOKUP(B3,'Base stats'!B:B,'Base stats'!E:E),Groups!A:A,Groups!L:L)=1,MIN(MROUND(_xlfn.XLOOKUP(B3,'Animals CE'!B:B,'Animals CE'!AA:AA)/2+0.05,0.05),200%),"No")</f>
        <v>No</v>
      </c>
      <c r="O3" s="2" t="str">
        <f>_xlfn.XLOOKUP(B3,'Base stats'!B:B,'Base stats'!R:R)</f>
        <v>Standard</v>
      </c>
      <c r="P3" s="13">
        <f>MROUND((LOG10(_xlfn.XLOOKUP(B3,'Base stats'!B:B,'Base stats'!AO:AO))*(AN3^0.5)+(_xlfn.XLOOKUP(B3,'Base stats'!B:B,'Base stats'!AO:AO)/1000)^(2/3)+_xlfn.XLOOKUP(B3,'Base stats'!B:B,'Base stats'!AX:AX)/2)+0.5,0.5)</f>
        <v>12</v>
      </c>
      <c r="Q3" s="7">
        <f>IF(P3="No","No",MAX(1,MROUND(_xlfn.XLOOKUP(B3,'Base stats'!B:B,'Base stats'!C:C)^0.165,0.05)))</f>
        <v>2.5</v>
      </c>
      <c r="R3" s="13" t="str">
        <f>IF(_xlfn.XLOOKUP(_xlfn.XLOOKUP(B3,'Base stats'!B:B,'Base stats'!E:E),Groups!A:A,Groups!P:P)=0,"No",MROUND((LOG10(_xlfn.XLOOKUP(B3,'Base stats'!B:B,'Base stats'!AP:AP))*(AN3^0.5)+(_xlfn.XLOOKUP(B3,'Base stats'!B:B,'Base stats'!AP:AP)/1000)^(2/3)+_xlfn.XLOOKUP(B3,'Base stats'!B:B,'Base stats'!AX:AX))+_xlfn.XLOOKUP(B3,'Base stats'!B:B,'Base stats'!AV:AV)+0.5,0.5))</f>
        <v>No</v>
      </c>
      <c r="S3" s="7" t="str">
        <f>IF(R3="No","No",MAX(_xlfn.XLOOKUP(_xlfn.XLOOKUP(B3,'Base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T3" s="7" t="str">
        <f>IF(R3="No","No",_xlfn.XLOOKUP(_xlfn.XLOOKUP(B3,'Base stats'!B:B,'Base stats'!E:E),Groups!A:A,Groups!R:R))</f>
        <v>No</v>
      </c>
      <c r="U3" s="7" t="str">
        <f>IF(R3="No","No",_xlfn.XLOOKUP(_xlfn.XLOOKUP(B3,'Base stats'!B:B,'Base stats'!E:E),Groups!A:A,Groups!S:S))</f>
        <v>No</v>
      </c>
      <c r="V3" s="7" t="str">
        <f>IF(R3="No","No",_xlfn.XLOOKUP(_xlfn.XLOOKUP(B3,'Base stats'!B:B,'Base stats'!E:E),Groups!A:A,Groups!T:T))</f>
        <v>No</v>
      </c>
      <c r="W3" s="13" t="str">
        <f>IF(_xlfn.XLOOKUP(B3,'Base stats'!B:B,'Base stats'!W:W)="No","No",MROUND((LOG10(_xlfn.XLOOKUP(B3,'Base stats'!B:B,'Base stats'!AR:AR))*(AN3^0.5)+(_xlfn.XLOOKUP(B3,'Base stats'!B:B,'Base stats'!AR:AR)/1000)^(2/3)+_xlfn.XLOOKUP(B3,'Base stats'!B:B,'Base stats'!AW:AW))+0.5+IF(_xlfn.XLOOKUP(_xlfn.XLOOKUP(B3,'Base stats'!B:B,'Base stats'!E:E),Groups!A:A,Groups!U:U)&lt;&gt;3,_xlfn.XLOOKUP(B3,'Base stats'!B:B,'Base stats'!AX:AX),0),0.5))</f>
        <v>No</v>
      </c>
      <c r="X3" s="7" t="str">
        <f>IF(W3="No","No",MAX(_xlfn.XLOOKUP(_xlfn.XLOOKUP(B3,'Base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Y3" s="7" t="str">
        <f>IF(W3="No","No",_xlfn.XLOOKUP(_xlfn.XLOOKUP(B3,'Base stats'!B:B,'Base stats'!E:E),Groups!A:A,Groups!W:W))</f>
        <v>No</v>
      </c>
      <c r="Z3" s="7" t="str">
        <f>IF(W3="No","No",_xlfn.XLOOKUP(_xlfn.XLOOKUP(B3,'Base stats'!B:B,'Base stats'!E:E),Groups!A:A,Groups!X:X))</f>
        <v>No</v>
      </c>
      <c r="AA3" s="7" t="str">
        <f>IF(W3="No","No",_xlfn.XLOOKUP(_xlfn.XLOOKUP(B3,'Base stats'!B:B,'Base stats'!E:E),Groups!A:A,Groups!Y:Y))</f>
        <v>No</v>
      </c>
      <c r="AB3" s="7" t="str">
        <f>_xlfn.XLOOKUP(Animals!B3,'Base stats'!B:B,'Base stats'!X:X)</f>
        <v>False</v>
      </c>
      <c r="AC3" s="13">
        <f>IF(_xlfn.XLOOKUP(B3,'Base stats'!B:B,'Base stats'!AQ:AQ)="No","No",MROUND((LOG10(_xlfn.XLOOKUP(B3,'Base stats'!B:B,'Base stats'!AQ:AQ))*(AN3^0.75)+(_xlfn.XLOOKUP(B3,'Base stats'!B:B,'Base stats'!AQ:AQ)/1000)^(2/3)+_xlfn.XLOOKUP(B3,'Base stats'!B:B,'Base stats'!AU:AU)+_xlfn.XLOOKUP(B3,'Base stats'!B:B,'Base stats'!AX:AX))+0.5,0.5))</f>
        <v>19</v>
      </c>
      <c r="AD3" s="7">
        <f>IF(AC3="No","No",MAX(_xlfn.XLOOKUP(_xlfn.XLOOKUP(B3,'Base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E3" s="7" t="str">
        <f>IF(AC3="No","No",_xlfn.XLOOKUP(_xlfn.XLOOKUP(B3,'Base stats'!B:B,'Base stats'!E:E),Groups!A:A,Groups!AA:AA))</f>
        <v>Teeth</v>
      </c>
      <c r="AF3" s="7" t="str">
        <f>IF(AC3="No","No",_xlfn.XLOOKUP(_xlfn.XLOOKUP(B3,'Base stats'!B:B,'Base stats'!E:E),Groups!A:A,Groups!AB:AB))</f>
        <v>canines</v>
      </c>
      <c r="AG3" s="7" t="str">
        <f>IF(AC3="No","No",_xlfn.XLOOKUP(_xlfn.XLOOKUP(B3,'Base stats'!B:B,'Base stats'!E:E),Groups!A:A,Groups!AC:AC))</f>
        <v>Bite</v>
      </c>
      <c r="AH3" s="13">
        <f>IF(_xlfn.XLOOKUP(_xlfn.XLOOKUP(B3,'Base stats'!B:B,'Base stats'!E:E),Groups!A:A,Groups!AD:AD)=0,"No",MROUND((LOG10(_xlfn.XLOOKUP(B3,'Base stats'!B:B,'Base stats'!AP:AP))*(AN3^0.75)+(_xlfn.XLOOKUP(B3,'Base stats'!B:B,'Base stats'!AP:AP)/1000)^(2/3)+_xlfn.XLOOKUP(B3,'Base stats'!B:B,'Base stats'!AV:AV)+_xlfn.XLOOKUP(B3,'Base stats'!B:B,'Base stats'!AX:AX))+0.5,0.5))</f>
        <v>18.5</v>
      </c>
      <c r="AI3" s="7">
        <f>IF(AH3="No","No",MAX(_xlfn.XLOOKUP(_xlfn.XLOOKUP(B3,'Base stats'!B:B,'Base stats'!E:E),Groups!A:A,Groups!AE:AE),MROUND(_xlfn.XLOOKUP(_xlfn.XLOOKUP(B3,'Base stats'!B:B,'Base stats'!E:E),Groups!A:A,Groups!AE:AE)*_xlfn.XLOOKUP(B3,'Base stats'!B:B,'Base stats'!C:C)^0.165,0.05)))</f>
        <v>1.6</v>
      </c>
      <c r="AJ3" s="7" t="str">
        <f>IF(AH3="No","No",_xlfn.XLOOKUP(_xlfn.XLOOKUP(B3,'Base stats'!B:B,'Base stats'!E:E),Groups!A:A,Groups!AF:AF))</f>
        <v>FrontRightPaw, FrontRightPaw</v>
      </c>
      <c r="AK3" s="7" t="str">
        <f>IF(AH3="No","No",_xlfn.XLOOKUP(_xlfn.XLOOKUP(B3,'Base stats'!B:B,'Base stats'!E:E),Groups!A:A,Groups!AG:AG))</f>
        <v>left claw, right claw</v>
      </c>
      <c r="AL3" s="7" t="str">
        <f>IF(AH3="No","No",_xlfn.XLOOKUP(_xlfn.XLOOKUP(B3,'Base stats'!B:B,'Base stats'!E:E),Groups!A:A,Groups!AH:AH))</f>
        <v>Scratch</v>
      </c>
      <c r="AM3" s="2">
        <f t="shared" ref="AM3:AM66" si="0">IF(BH3="false","No",MROUND(AN3*5+15*1,5))</f>
        <v>25</v>
      </c>
      <c r="AN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O3" s="8">
        <f>MROUND(AN3*_xlfn.XLOOKUP(_xlfn.XLOOKUP(B3,'Base stats'!B:B,'Base stats'!E:E),Groups!A:A,Groups!AI:AI),0.05)</f>
        <v>2.4000000000000004</v>
      </c>
      <c r="AP3" s="8">
        <f>MAX(0.01,MROUND(IF(CA3="True",0.196*(AN3*100*1000)^0.889,IF(_xlfn.XLOOKUP(_xlfn.XLOOKUP(B3,'Base stats'!B:B,'Base stats'!E:E),Groups!A:A,Groups!AJ:AJ)="Bird",10.5*(AN3*100*1000)^0.681,4.82*(AN3*100*1000)^0.734))/(4.82*(1*100*1000)^0.734)/IF(AN3&lt;3.5,2,IF(AN3=3.5,1.5,1.25))*(1+0.132282374779864/(AN3^0.994035016789033+0.00905238001496948)),0.05))</f>
        <v>0.9</v>
      </c>
      <c r="AQ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R3" s="35">
        <f>IFERROR(IF(_xlfn.XLOOKUP(B3,'Base stats'!B:B,'Base stats'!F:F)="Lay eggs","Lay eggs",MIN(20,MAX(5.5,ROUND(((_xlfn.XLOOKUP(B3,'Base stats'!B:B,'Base stats'!F:F)-25)*(14.5/615) + 5.5)*2,0)/2))),"Cannot breed")</f>
        <v>7.5</v>
      </c>
      <c r="AS3" s="8">
        <f>IF(OR(A3="Queen",A3="Larva"),"No",IFERROR(MAX(IF(_xlfn.XLOOKUP(B3,'Base stats'!B:B,'Base stats'!G:G)&lt;0.5,0.2,0.3),MROUND(_xlfn.XLOOKUP(B3,'Base stats'!B:B,'Base stats'!G:G)/(365/60),0.2)),"Unknown"))</f>
        <v>0.60000000000000009</v>
      </c>
      <c r="AT3" s="8">
        <f t="shared" ref="AT3:AT66" si="1">IF(OR(A3="Queen",A3="Larva",A3="Megachicken"),"No",IFERROR(MROUND(AS3/2,0.05),"Unknown"))</f>
        <v>0.30000000000000004</v>
      </c>
      <c r="AU3" s="8">
        <f>IFERROR(IFERROR(MROUND(_xlfn.XLOOKUP(B3,'Base stats'!B:B,'Base stats'!J:J),0.1),"Lay eggs"),"Cannot breed")</f>
        <v>2</v>
      </c>
      <c r="AV3" s="2" t="str">
        <f t="shared" ref="AV3:AV66" si="2">IF(BR3="No","false","true")</f>
        <v>false</v>
      </c>
      <c r="AW3" s="2" t="str">
        <f>IF(_xlfn.XLOOKUP(_xlfn.XLOOKUP(Animals!B3,'Base stats'!B:B,'Base stats'!E:E),Groups!A:A,Groups!AK:AK)=1,"true","false")</f>
        <v>false</v>
      </c>
      <c r="AX3" s="25" t="str">
        <f>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</f>
        <v>OmnivoreAnimal, OvivoreAnimal</v>
      </c>
      <c r="AY3" s="2" t="str">
        <f>IF(_xlfn.XLOOKUP(_xlfn.XLOOKUP(B3,'Base stats'!B:B,'Base stats'!E:E),Groups!A:A,Groups!D:D)=1,MROUND((1-I3)*5+1,2)*IF(I3&lt;=0.4,2,1),"No")</f>
        <v>No</v>
      </c>
      <c r="AZ3" s="2" t="str">
        <f>_xlfn.XLOOKUP(B3,'Base stats'!B:B,'Base stats'!AE:AE)</f>
        <v>Leather_Bear</v>
      </c>
      <c r="BA3" s="23" t="str">
        <f>_xlfn.XLOOKUP(_xlfn.XLOOKUP(B3,'Base stats'!B:B,'Base stats'!E:E),Groups!A:A,Groups!AL:AL)</f>
        <v>QuadrupedAnimalWithPaws</v>
      </c>
      <c r="BB3" s="23">
        <f>MROUND(IF(AND(AN3&lt;0.5,_xlfn.XLOOKUP(B3,'Base stats'!B:B,'Base stats'!Z:Z)=0),0,IF(OR(_xlfn.XLOOKUP(Animals!B3,'Base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stats'!AA:AA),0.005)</f>
        <v>0.1</v>
      </c>
      <c r="BC3" s="23">
        <f>MROUND(IF(AND(AN3&lt;0.5,_xlfn.XLOOKUP(B3,'Base stats'!B:B,'Base stats'!Z:Z)=0),0,IF(_xlfn.XLOOKUP(_xlfn.XLOOKUP(B3,'Base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stats'!AB:AB),0.005)</f>
        <v>0.3</v>
      </c>
      <c r="BD3" s="2" t="str">
        <f>IF(I3&gt;0.3,"No",_xlfn.XLOOKUP(_xlfn.XLOOKUP(Animals!B3,'Base stats'!B:B,'Base stats'!E:E),Groups!A:A,Groups!AP:AP))</f>
        <v>No</v>
      </c>
      <c r="BE3" s="2" t="str">
        <f>IF(AND(I3&lt;=0.65,_xlfn.XLOOKUP(_xlfn.XLOOKUP(Animals!B3,'Base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stats'!O:O)=2,0.2,AN3) + 24*(1-IF(BD3="No",0,BD3)) + 16/3, 12),"No")</f>
        <v>No</v>
      </c>
      <c r="BF3" s="2">
        <f>IF(AND(_xlfn.XLOOKUP(_xlfn.XLOOKUP(B3,'Base stats'!B:B,'Base stats'!E:E),Groups!A:A,Groups!AQ:AQ)=1,AN3&lt;=0.35),8,12)</f>
        <v>12</v>
      </c>
      <c r="BG3" s="2" t="str">
        <f>IF(_xlfn.XLOOKUP(_xlfn.XLOOKUP(B3,'Base stats'!B:B,'Base stats'!E:E),Groups!A:A,Groups!D:D)=0,_xlfn.XLOOKUP(_xlfn.XLOOKUP(B3,'Base stats'!B:B,'Base stats'!E:E),Groups!A:A,Groups!AR:AR),"None")</f>
        <v>Advanced</v>
      </c>
      <c r="BH3" s="2" t="str">
        <f>IF(AND(_xlfn.XLOOKUP(_xlfn.XLOOKUP(B3,'Base stats'!B:B,'Base stats'!E:E),Groups!A:A,Groups!AS:AS)=1,OR('Base stats'!Y3="Carnivore",'Base stats'!Y3="Omnivore")),"true","false")</f>
        <v>true</v>
      </c>
      <c r="BI3" s="2">
        <f>IF(BH3="true",MROUND(IF(AND(AN3&gt;0.5,_xlfn.XLOOKUP(_xlfn.XLOOKUP(B3,'Base stats'!B:B,'Base stats'!E:E),Groups!A:A,Groups!AJ:AJ)="Mammal"),Animals!AN3*1.75*IF(AV3="true",1.5,1),Animals!AN3),IF(AN3&gt;2,0.5,IF(AN3&gt;0.5,0.25,0.1))),"No")</f>
        <v>3.5</v>
      </c>
      <c r="BJ3" s="2">
        <f t="shared" ref="BJ3:BJ66" si="3">IF(BG3&lt;&gt;"None",1,0)</f>
        <v>1</v>
      </c>
      <c r="BK3" s="25" t="str">
        <f>IF('Base stats'!AK3="Standard","No",MROUND((_xlfn.XLOOKUP(B3,'Base stats'!B:B,'Base stats'!AK:AK)/3.6)/H3,0.1))</f>
        <v>No</v>
      </c>
      <c r="BL3" s="25" t="str">
        <f t="shared" ref="BL3:BL66" si="4">IF(OR(BK3&lt;&gt;"No",BO3=1),"true","false")</f>
        <v>false</v>
      </c>
      <c r="BM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N3" s="25" t="str" cm="1">
        <f t="array" ref="BN3">IF(
  _xlfn.TEXTJOIN(", ",TRUE,
    IF(AND(BH3="true",AN3&gt;0.5,BG3&lt;&gt;"None"),"AttackTarget",""),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IF(BE3&lt;=36,"Comfort",""),
    IF(_xlfn.XLOOKUP(B3,'Base stats'!B:B,'Base stats'!AC:AC)&lt;&gt;"No",_xlfn.XLOOKUP(B3,'Base stats'!B:B,'Base stats'!AC:AC),"")
  ) = "",
  "No",
  _xlfn.TEXTJOIN(", ",TRUE,
    IF(AND(BH3="true",AN3&gt;0.5,BG3&lt;&gt;"None"),"AttackTarget",""),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IF(BE3&lt;=36,"Comfort",""),
    IF(_xlfn.XLOOKUP(B3,'Base stats'!B:B,'Base stats'!AC:AC)&lt;&gt;"No",_xlfn.XLOOKUP(B3,'Base stats'!B:B,'Base stats'!AC:AC),"")
  )
)</f>
        <v>AttackTarget, Forage</v>
      </c>
      <c r="BO3" s="25">
        <f>IF(
   AND(
      'Base stats'!AK3="Standard",_xlfn.XLOOKUP(_xlfn.XLOOKUP(B3,'Base stats'!B:B,'Base stats'!E:E),Groups!A:A,Groups!AU:AU)=0,
      OR(
      BM3="True"
      )
   ),
   10,
   IF(
       OR(BK3&lt;&gt;"No",_xlfn.XLOOKUP(_xlfn.XLOOKUP(B3,'Base stats'!B:B,'Base stats'!E:E),Groups!A:A,Groups!AU:AU)=1),
      1,
      "No"
   )
)</f>
        <v>10</v>
      </c>
      <c r="BP3" s="9">
        <f>MROUND((1 + ((0.2*IF(OR(P3="No",Q3="No",Q3=0),0,P3/Q3)
+IF(OR(U3="No",R3="No",S3="No"),0,R3/S3*(LEN(U3)-LEN(SUBSTITUTE(U3,",",""))+1))
+IF(OR(W3="No",X3="No"),0,W3/X3)
+IF(OR(AC3="No",AD3="No"),0,AC3/AD3)
+IF(OR(AK3="No",AH3="No",AI3="No"),0,AH3/AI3*(LEN(AK3)-LEN(SUBSTITUTE(AK3,",",""))+1))
)/(0.2*IF(OR(P3="No",Q3="No",Q3=0),0,1)
+IF(OR(U3="No",R3="No",S3="No"),0,LEN(U3)-LEN(SUBSTITUTE(U3,",",""))+1)
+IF(OR(W3="No",X3="No"),0,1)
+IF(OR(AC3="No",AD3="No"),0,1)
+IF(OR(AK3="No",AH3="No",AI3="No"),0,LEN(AK3)-LEN(SUBSTITUTE(AK3,",",""))+1))*62%)* 2)*(1 + (AO3 + _xlfn.XLOOKUP(B3,'Base stats'!B:B,'Base stats'!AS:AS) * 1.8) * 2) * 2.5 + 10 + H3 * 2,5)+IF(_xlfn.XLOOKUP(B3,'Base stats'!B:B,'Base stats'!AH:AH)=1,50,0)</f>
        <v>225</v>
      </c>
      <c r="BQ3" s="8">
        <f t="shared" ref="BQ3:BQ66" si="5">MROUND(AN3 * 0.2 + AP3 * 0.8,0.05)</f>
        <v>1.1000000000000001</v>
      </c>
      <c r="BR3" s="8" t="str">
        <f>_xlfn.XLOOKUP(B3,'Base stats'!B:B,'Base stats'!AD:AD)</f>
        <v>No</v>
      </c>
      <c r="BS3" s="2" t="str">
        <f>IF(AND(I3&lt;=0.95,OR(_xlfn.XLOOKUP(B3,'Base stats'!B:B,'Base stats'!AH:AH)=1,_xlfn.XLOOKUP(B3,'Base stats'!B:B,'Base stats'!Y:Y)="Carnivore",_xlfn.XLOOKUP(B3,'Base stats'!B:B,'Base stats'!Y:Y)="Omnivore",BC3&gt;0.1)),"true","false")</f>
        <v>true</v>
      </c>
      <c r="BT3" s="2" t="str">
        <f>IF(_xlfn.XLOOKUP(B3,'Base stats'!B:B,'Base stats'!AF:AF)=1,"true","false")</f>
        <v>false</v>
      </c>
      <c r="BU3" s="25" t="str">
        <f>IF(E3="BaseInsect","AnimalInsect",
IF(I3&gt;0.95,"AnimalExotic",
_xlfn.TEXTJOIN(", ",TRUE,
IF(AND(_xlfn.XLOOKUP(B3,'Base stats'!B:B,'Base stats'!O:O)=0,_xlfn.XLOOKUP(_xlfn.XLOOKUP(B3,'Base stats'!B:B,'Base stats'!E:E),Groups!A:A,Groups!B:B)&gt;0),"AnimalUncommon","AnimalCommon"),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stats'!AH:AH)=1,AND(BG3&lt;&gt;"None",BP3&gt;=60),ISNUMBER(SEARCH("Attack target",BN3))),"AnimalFighter","")
)))</f>
        <v>AnimalUncommon, AnimalFighter</v>
      </c>
      <c r="BV3" s="25" t="str">
        <f>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</f>
        <v>BorealForest ColdBog TemperateForest TemperateSwamp GlacialPlain</v>
      </c>
      <c r="BW3" s="25" t="str">
        <f>IF(_xlfn.XLOOKUP(B3,'Base stats'!B:B,'Base stats'!AG:AG)=1,"true","false")</f>
        <v>false</v>
      </c>
      <c r="BX3" s="25">
        <f>IF(_xlfn.XLOOKUP(B3,'Base stats'!B:B,'Base stats'!N:N)=1,"No",MIN(MROUND(IF(OR(_xlfn.XLOOKUP(B3,'Base stats'!B:B,'Base stats'!AJ:AJ)=1,AND(BH3="True",CA3="False")),POWER(10,3.47*LOG10(_xlfn.XLOOKUP(B3,'Base stats'!B:B,'Base stats'!C:C)*1000)^-0.96),POWER(10,4.15*LOG10(_xlfn.XLOOKUP(B3,'Base stats'!B:B,'Base stats'!C:C)*1000)^-0.73))*IF(OR(_xlfn.XLOOKUP(B3,'Base stats'!B:B,'Base stats'!AJ:AJ)=1,_xlfn.XLOOKUP(B3,'Base stats'!B:B,'Base stats'!AH:AH)=1),0.5,1)/100,0.025),1))</f>
        <v>0.05</v>
      </c>
      <c r="BY3" s="25" t="str">
        <f>IF(O3="Standard","No",IF(_xlfn.XLOOKUP(B3,'Base stats'!B:B,'Base stats'!N:N)=0,MROUND(BX3*O3,0.05),MIN(1,MAX(0.025,MROUND(IF(OR(CA3="true",AND(BH3="false",BM3="false")),POWER(10,4.15*LOG10(_xlfn.XLOOKUP(B3,'Base stats'!B:B,'Base stats'!C:C)*1000)^-0.73),POWER(10,3.47*LOG10(_xlfn.XLOOKUP(B3,'Base stats'!B:B,'Base stats'!C:C)*1000)^-0.96))*IF(_xlfn.XLOOKUP(B3,'Base stats'!B:B,'Base stats'!AH:AH)=1,0.5,1)/100,0.025)))))</f>
        <v>No</v>
      </c>
      <c r="BZ3" s="25" t="str">
        <f>IF(_xlfn.XLOOKUP(_xlfn.XLOOKUP(B3,'Base stats'!B:B,'Base stats'!E:E),Groups!A:A,Groups!AJ:AJ)="Mammal","True","False")</f>
        <v>True</v>
      </c>
      <c r="CA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B3" s="25" t="str">
        <f t="shared" ref="CB3:CB66" si="6">IF(I3&gt;0.95,"True","False")</f>
        <v>False</v>
      </c>
      <c r="CC3" s="25" t="str">
        <f>IF(_xlfn.XLOOKUP(_xlfn.XLOOKUP(B3,'Base stats'!B:B,'Base stats'!E:E),Groups!A:A,Groups!AW:AW),"True","False")</f>
        <v>False</v>
      </c>
      <c r="CD3" s="25" t="str">
        <f>IF(_xlfn.XLOOKUP(_xlfn.XLOOKUP(B3,'Base stats'!B:B,'Base stats'!E:E),Groups!A:A,Groups!AX:AX),"True","False")</f>
        <v>False</v>
      </c>
      <c r="CE3" s="25" t="str">
        <f>IF(_xlfn.XLOOKUP(B3,'Base stats'!B:B,'Base stats'!E:E)=1,"True","False")</f>
        <v>False</v>
      </c>
      <c r="CF3" s="25" t="str">
        <f>IF(
OR(
_xlfn.XLOOKUP(_xlfn.XLOOKUP(B3,'Base stats'!B:B,'Base stats'!E:E),Groups!A:A,Groups!AY:AY)=0,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stats'!E:E),Groups!A:A,Groups!AY:AY)=1,
"Flesh",
IF(
_xlfn.XLOOKUP(_xlfn.XLOOKUP(B3,'Base stats'!B:B,'Base stats'!E:E),Groups!A:A,Groups!AY:AY)=2,
"Bone",
""
)
)
)</f>
        <v>Bone</v>
      </c>
      <c r="CG3" s="25" t="str">
        <f>IF(_xlfn.XLOOKUP(_xlfn.XLOOKUP(B3,'Base stats'!B:B,'Base stats'!E:E),Groups!A:A,Groups!BA:BA),"True","False")</f>
        <v>True</v>
      </c>
      <c r="CH3" s="25" t="str">
        <f>IF(_xlfn.XLOOKUP(_xlfn.XLOOKUP(B3,'Base stats'!B:B,'Base stats'!E:E),Groups!A:A,Groups!AZ:AZ),"True","False")</f>
        <v>False</v>
      </c>
      <c r="CM3" s="16"/>
    </row>
    <row r="4" spans="1:91" ht="16.5" thickTop="1" thickBot="1" x14ac:dyDescent="0.3">
      <c r="A4" s="26" t="str">
        <f>_xlfn.XLOOKUP(B4,'Base stats'!B:B,'Base stats'!A:A)</f>
        <v>Raccoon</v>
      </c>
      <c r="B4" s="6" t="s">
        <v>185</v>
      </c>
      <c r="C4" s="28" t="s">
        <v>684</v>
      </c>
      <c r="D4" s="28" t="s">
        <v>45</v>
      </c>
      <c r="E4" s="28" t="s">
        <v>685</v>
      </c>
      <c r="F4" s="28" t="s">
        <v>685</v>
      </c>
      <c r="G4" s="2">
        <f>MROUND((
  (IF(AND(_xlfn.XLOOKUP(B4,'Base stats'!B:B,'Base stats'!AI:AI)=0,BG4="None",_xlfn.XLOOKUP('Base stats'!E4,Groups!A:A,Groups!B:B)=0), (18 + BP4 * 2.7) * 0.5,
    IF(AND(_xlfn.XLOOKUP(B4,'Base stats'!B:B,'Base stats'!AI:AI)=0,OR(AN4&lt;0.55,AND(BG4="Intermediate",_xlfn.XLOOKUP('Base stats'!E4,Groups!A:A,Groups!B:B)&lt;2))), (18 + BP4 * 2.7),
      IF(OR(BG4="Advanced",_xlfn.XLOOKUP(B4,'Base stats'!B:B,'Base stats'!AI:AI)=1,_xlfn.XLOOKUP('Base stats'!E4,Groups!A:A,Groups!B:B)=2), (18 + BP4 * 2.7) + 250, (18 + BP4 * 2.7))
    )
  ))
  + AN4 * 80
  + IF(COUNTIF(EggMilk!K$2:K$998, A4) &gt; 0, 125, 0)
  + IF(COUNTIF(EggMilk!P$2:P$998, A4) &gt; 0, 90, 0)
  + IF(COUNTIF(EggMilk!A$2:A$998, A4) &gt; 0, 90, 0)
)
* (0.8 + 0.4 * I4)
* 0.75,25)</f>
        <v>125</v>
      </c>
      <c r="H4" s="2">
        <f>MROUND(ROUNDDOWN(_xlfn.XLOOKUP(B4,'Base stats'!B:B,'Base stats'!L:L)/3.6/(23.3/11),1),0.5)</f>
        <v>3</v>
      </c>
      <c r="I4" s="2">
        <f>IF(_xlfn.XLOOKUP(B4,'Base stats'!B:B,'Base stats'!AI:AI)=1,0.99,MIN(MROUND((1-0.6282*EXP(-0.459*AN4))*_xlfn.XLOOKUP(_xlfn.XLOOKUP(B4,'Base stats'!B:B,'Base stats'!E:E),Groups!A:A,Groups!C:C)*IF(_xlfn.XLOOKUP(B4,'Base stats'!B:B,'Base stats'!O:O)=1,0.5,IF(_xlfn.XLOOKUP(B4,'Base stats'!B:B,'Base stats'!O:O)=2,0,1)),0.05),0.985))</f>
        <v>0.5</v>
      </c>
      <c r="J4" s="2">
        <f>ROUNDUP(AN4*_xlfn.XLOOKUP(_xlfn.XLOOKUP(B4,'Base stats'!B:B,'Base stats'!E:E),Groups!A:A,Groups!E:E),0)</f>
        <v>1</v>
      </c>
      <c r="K4" s="2">
        <f>IF(OR(_xlfn.XLOOKUP(_xlfn.XLOOKUP(B4,'Base stats'!B:B,'Base stats'!E:E),Groups!A:A,Groups!F:F)=2,ISNUMBER(SEARCH("SeaIce",BV4)),ISNUMBER(SEARCH("IceSheet",BV4))),-50,IF(OR(ISNUMBER(SEARCH("GlacialPlain",BV4)),ISNUMBER(SEARCH("Tundra",BV4))),-40,IF(OR(ISNUMBER(SEARCH("Alpine",BV4)),ISNUMBER(SEARCH("BorealForest",BV4)),ISNUMBER(SEARCH("ColdBog",BV4))),-30,IF(OR(ISNUMBER(SEARCH("TemperateForest",BV4)),ISNUMBER(SEARCH("TemperateSwamp",BV4))),-20,IF(_xlfn.XLOOKUP(_xlfn.XLOOKUP(B4,'Base stats'!B:B,'Base stats'!E:E),Groups!A:A,Groups!F:F)=1,-15,IF(OR(ISNUMBER(SEARCH("Desert",BV4)),ISNUMBER(SEARCH("ExtremeDesert",BV4))),-10,IF(OR(ISNUMBER(SEARCH("Grasslands",BV4)),ISNUMBER(SEARCH("TropicalRainforest",BV4)),ISNUMBER(SEARCH("TropicalSwamp",BV4))),10,0)))))))-IF(CA4="False",MIN(IFERROR(MAX(MROUND(LOG10(_xlfn.XLOOKUP(B4,'Base stats'!B:B,'Base stats'!C:C)^(2/3))*10,5),5),5),30))-_xlfn.XLOOKUP(B4,'Base stats'!B:B,'Base stats'!P:P)+IF(CA4="True",5,0)</f>
        <v>-45</v>
      </c>
      <c r="L4" s="2">
        <f>IF(OR(_xlfn.XLOOKUP(_xlfn.XLOOKUP(B4,'Base stats'!B:B,'Base stats'!E:E),Groups!A:A,Groups!G:G)=2,ISNUMBER(SEARCH("Desert",BV4)),ISNUMBER(SEARCH("ExtremeDesert",BV4)),ISNUMBER(SEARCH("LavaField",BV4))),50,IF(ISNUMBER(SEARCH("Grasslands",BV4)),45,IF(OR(_xlfn.XLOOKUP(_xlfn.XLOOKUP(B4,'Base stats'!B:B,'Base stats'!E:E),Groups!A:A,Groups!G:G)=1,ISNUMBER(SEARCH("TropicalRainforest",BV4)),ISNUMBER(SEARCH("TropicalSwamp",BV4))),40,IF(OR(ISNUMBER(SEARCH("TemperateForest",BV4)),ISNUMBER(SEARCH("TemperateSwamp",BV4))),35,IF(OR(ISNUMBER(SEARCH("Alpine",BV4)),ISNUMBER(SEARCH("BorealForest",BV4)),ISNUMBER(SEARCH("ColdBog",BV4))),30,IF(ISNUMBER(OR(ISNUMBER(SEARCH("GlacialPlain",BV4)),SEARCH("Tundra",BV4))),25,IF(OR(ISNUMBER(SEARCH("SeaIce",BV4)),ISNUMBER(SEARCH("IceSheet",BV4)),ISNUMBER(SEARCH("TropicalSwamp",BV4))),10,35)))))))+_xlfn.XLOOKUP(B4,'Base stats'!B:B,'Base stats'!Q:Q)</f>
        <v>35</v>
      </c>
      <c r="M4" s="8" t="str">
        <f>IF(_xlfn.XLOOKUP(_xlfn.XLOOKUP(B4,'Base stats'!B:B,'Base stats'!E:E),Groups!A:A,Groups!L:L)=1,MIN(MROUND(_xlfn.XLOOKUP(B4,'Animals CE'!B:B,'Animals CE'!Z:Z)/2+0.05,0.05),200%),"No")</f>
        <v>No</v>
      </c>
      <c r="N4" s="8" t="str">
        <f>IF(_xlfn.XLOOKUP(_xlfn.XLOOKUP(B4,'Base stats'!B:B,'Base stats'!E:E),Groups!A:A,Groups!L:L)=1,MIN(MROUND(_xlfn.XLOOKUP(B4,'Animals CE'!B:B,'Animals CE'!AA:AA)/2+0.05,0.05),200%),"No")</f>
        <v>No</v>
      </c>
      <c r="O4" s="2">
        <f>_xlfn.XLOOKUP(B4,'Base stats'!B:B,'Base stats'!R:R)</f>
        <v>0.8</v>
      </c>
      <c r="P4" s="13">
        <f>MROUND((LOG10(_xlfn.XLOOKUP(B4,'Base stats'!B:B,'Base stats'!AO:AO))*(AN4^0.5)+(_xlfn.XLOOKUP(B4,'Base stats'!B:B,'Base stats'!AO:AO)/1000)^(2/3)+_xlfn.XLOOKUP(B4,'Base stats'!B:B,'Base stats'!AX:AX)/2)+0.5,0.5)</f>
        <v>3</v>
      </c>
      <c r="Q4" s="7">
        <f>IF(P4="No","No",MAX(1,MROUND(_xlfn.XLOOKUP(B4,'Base stats'!B:B,'Base stats'!C:C)^0.165,0.05)))</f>
        <v>1.35</v>
      </c>
      <c r="R4" s="13" t="str">
        <f>IF(_xlfn.XLOOKUP(_xlfn.XLOOKUP(B4,'Base stats'!B:B,'Base stats'!E:E),Groups!A:A,Groups!P:P)=0,"No",MROUND((LOG10(_xlfn.XLOOKUP(B4,'Base stats'!B:B,'Base stats'!AP:AP))*(AN4^0.5)+(_xlfn.XLOOKUP(B4,'Base stats'!B:B,'Base stats'!AP:AP)/1000)^(2/3)+_xlfn.XLOOKUP(B4,'Base stats'!B:B,'Base stats'!AX:AX))+_xlfn.XLOOKUP(B4,'Base stats'!B:B,'Base stats'!AV:AV)+0.5,0.5))</f>
        <v>No</v>
      </c>
      <c r="S4" s="7" t="str">
        <f>IF(R4="No","No",MAX(_xlfn.XLOOKUP(_xlfn.XLOOKUP(B4,'Base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T4" s="7" t="str">
        <f>IF(R4="No","No",_xlfn.XLOOKUP(_xlfn.XLOOKUP(B4,'Base stats'!B:B,'Base stats'!E:E),Groups!A:A,Groups!R:R))</f>
        <v>No</v>
      </c>
      <c r="U4" s="7" t="str">
        <f>IF(R4="No","No",_xlfn.XLOOKUP(_xlfn.XLOOKUP(B4,'Base stats'!B:B,'Base stats'!E:E),Groups!A:A,Groups!S:S))</f>
        <v>No</v>
      </c>
      <c r="V4" s="7" t="str">
        <f>IF(R4="No","No",_xlfn.XLOOKUP(_xlfn.XLOOKUP(B4,'Base stats'!B:B,'Base stats'!E:E),Groups!A:A,Groups!T:T))</f>
        <v>No</v>
      </c>
      <c r="W4" s="13" t="str">
        <f>IF(_xlfn.XLOOKUP(B4,'Base stats'!B:B,'Base stats'!W:W)="No","No",MROUND((LOG10(_xlfn.XLOOKUP(B4,'Base stats'!B:B,'Base stats'!AR:AR))*(AN4^0.5)+(_xlfn.XLOOKUP(B4,'Base stats'!B:B,'Base stats'!AR:AR)/1000)^(2/3)+_xlfn.XLOOKUP(B4,'Base stats'!B:B,'Base stats'!AW:AW))+0.5+IF(_xlfn.XLOOKUP(_xlfn.XLOOKUP(B4,'Base stats'!B:B,'Base stats'!E:E),Groups!A:A,Groups!U:U)&lt;&gt;3,_xlfn.XLOOKUP(B4,'Base stats'!B:B,'Base stats'!AX:AX),0),0.5))</f>
        <v>No</v>
      </c>
      <c r="X4" s="7" t="str">
        <f>IF(W4="No","No",MAX(_xlfn.XLOOKUP(_xlfn.XLOOKUP(B4,'Base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Y4" s="7" t="str">
        <f>IF(W4="No","No",_xlfn.XLOOKUP(_xlfn.XLOOKUP(B4,'Base stats'!B:B,'Base stats'!E:E),Groups!A:A,Groups!W:W))</f>
        <v>No</v>
      </c>
      <c r="Z4" s="7" t="str">
        <f>IF(W4="No","No",_xlfn.XLOOKUP(_xlfn.XLOOKUP(B4,'Base stats'!B:B,'Base stats'!E:E),Groups!A:A,Groups!X:X))</f>
        <v>No</v>
      </c>
      <c r="AA4" s="7" t="str">
        <f>IF(W4="No","No",_xlfn.XLOOKUP(_xlfn.XLOOKUP(B4,'Base stats'!B:B,'Base stats'!E:E),Groups!A:A,Groups!Y:Y))</f>
        <v>No</v>
      </c>
      <c r="AB4" s="7" t="str">
        <f>_xlfn.XLOOKUP(Animals!B4,'Base stats'!B:B,'Base stats'!X:X)</f>
        <v>False</v>
      </c>
      <c r="AC4" s="13">
        <f>IF(_xlfn.XLOOKUP(B4,'Base stats'!B:B,'Base stats'!AQ:AQ)="No","No",MROUND((LOG10(_xlfn.XLOOKUP(B4,'Base stats'!B:B,'Base stats'!AQ:AQ))*(AN4^0.75)+(_xlfn.XLOOKUP(B4,'Base stats'!B:B,'Base stats'!AQ:AQ)/1000)^(2/3)+_xlfn.XLOOKUP(B4,'Base stats'!B:B,'Base stats'!AU:AU)+_xlfn.XLOOKUP(B4,'Base stats'!B:B,'Base stats'!AX:AX))+0.5,0.5))</f>
        <v>4.5</v>
      </c>
      <c r="AD4" s="7">
        <f>IF(AC4="No","No",MAX(_xlfn.XLOOKUP(_xlfn.XLOOKUP(B4,'Base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E4" s="7" t="str">
        <f>IF(AC4="No","No",_xlfn.XLOOKUP(_xlfn.XLOOKUP(B4,'Base stats'!B:B,'Base stats'!E:E),Groups!A:A,Groups!AA:AA))</f>
        <v>Teeth</v>
      </c>
      <c r="AF4" s="7" t="str">
        <f>IF(AC4="No","No",_xlfn.XLOOKUP(_xlfn.XLOOKUP(B4,'Base stats'!B:B,'Base stats'!E:E),Groups!A:A,Groups!AB:AB))</f>
        <v>canines</v>
      </c>
      <c r="AG4" s="7" t="str">
        <f>IF(AC4="No","No",_xlfn.XLOOKUP(_xlfn.XLOOKUP(B4,'Base stats'!B:B,'Base stats'!E:E),Groups!A:A,Groups!AC:AC))</f>
        <v>Bite</v>
      </c>
      <c r="AH4" s="13">
        <f>IF(_xlfn.XLOOKUP(_xlfn.XLOOKUP(B4,'Base stats'!B:B,'Base stats'!E:E),Groups!A:A,Groups!AD:AD)=0,"No",MROUND((LOG10(_xlfn.XLOOKUP(B4,'Base stats'!B:B,'Base stats'!AP:AP))*(AN4^0.75)+(_xlfn.XLOOKUP(B4,'Base stats'!B:B,'Base stats'!AP:AP)/1000)^(2/3)+_xlfn.XLOOKUP(B4,'Base stats'!B:B,'Base stats'!AV:AV)+_xlfn.XLOOKUP(B4,'Base stats'!B:B,'Base stats'!AX:AX))+0.5,0.5))</f>
        <v>4</v>
      </c>
      <c r="AI4" s="7">
        <f>IF(AH4="No","No",MAX(_xlfn.XLOOKUP(_xlfn.XLOOKUP(B4,'Base stats'!B:B,'Base stats'!E:E),Groups!A:A,Groups!AE:AE),MROUND(_xlfn.XLOOKUP(_xlfn.XLOOKUP(B4,'Base stats'!B:B,'Base stats'!E:E),Groups!A:A,Groups!AE:AE)*_xlfn.XLOOKUP(B4,'Base stats'!B:B,'Base stats'!C:C)^0.165,0.05)))</f>
        <v>0.85000000000000009</v>
      </c>
      <c r="AJ4" s="7" t="str">
        <f>IF(AH4="No","No",_xlfn.XLOOKUP(_xlfn.XLOOKUP(B4,'Base stats'!B:B,'Base stats'!E:E),Groups!A:A,Groups!AF:AF))</f>
        <v>FrontRightPaw, FrontRightPaw</v>
      </c>
      <c r="AK4" s="7" t="str">
        <f>IF(AH4="No","No",_xlfn.XLOOKUP(_xlfn.XLOOKUP(B4,'Base stats'!B:B,'Base stats'!E:E),Groups!A:A,Groups!AG:AG))</f>
        <v>left claw, right claw</v>
      </c>
      <c r="AL4" s="7" t="str">
        <f>IF(AH4="No","No",_xlfn.XLOOKUP(_xlfn.XLOOKUP(B4,'Base stats'!B:B,'Base stats'!E:E),Groups!A:A,Groups!AH:AH))</f>
        <v>Scratch</v>
      </c>
      <c r="AM4" s="2" t="str">
        <f t="shared" si="0"/>
        <v>No</v>
      </c>
      <c r="AN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O4" s="8">
        <f>MROUND(AN4*_xlfn.XLOOKUP(_xlfn.XLOOKUP(B4,'Base stats'!B:B,'Base stats'!E:E),Groups!A:A,Groups!AI:AI),0.05)</f>
        <v>0.4</v>
      </c>
      <c r="AP4" s="8">
        <f>MAX(0.01,MROUND(IF(CA4="True",0.196*(AN4*100*1000)^0.889,IF(_xlfn.XLOOKUP(_xlfn.XLOOKUP(B4,'Base stats'!B:B,'Base stats'!E:E),Groups!A:A,Groups!AJ:AJ)="Bird",10.5*(AN4*100*1000)^0.681,4.82*(AN4*100*1000)^0.734))/(4.82*(1*100*1000)^0.734)/IF(AN4&lt;3.5,2,IF(AN4=3.5,1.5,1.25))*(1+0.132282374779864/(AN4^0.994035016789033+0.00905238001496948)),0.05))</f>
        <v>0.30000000000000004</v>
      </c>
      <c r="AQ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R4" s="35">
        <f>IFERROR(IF(_xlfn.XLOOKUP(B4,'Base stats'!B:B,'Base stats'!F:F)="Lay eggs","Lay eggs",MIN(20,MAX(5.5,ROUND(((_xlfn.XLOOKUP(B4,'Base stats'!B:B,'Base stats'!F:F)-25)*(14.5/615) + 5.5)*2,0)/2))),"Cannot breed")</f>
        <v>6.5</v>
      </c>
      <c r="AS4" s="8">
        <f>IF(OR(A4="Queen",A4="Larva"),"No",IFERROR(MAX(IF(_xlfn.XLOOKUP(B4,'Base stats'!B:B,'Base stats'!G:G)&lt;0.5,0.2,0.3),MROUND(_xlfn.XLOOKUP(B4,'Base stats'!B:B,'Base stats'!G:G)/(365/60),0.2)),"Unknown"))</f>
        <v>0.3</v>
      </c>
      <c r="AT4" s="8">
        <f t="shared" si="1"/>
        <v>0.15000000000000002</v>
      </c>
      <c r="AU4" s="8">
        <f>IFERROR(IFERROR(MROUND(_xlfn.XLOOKUP(B4,'Base stats'!B:B,'Base stats'!J:J),0.1),"Lay eggs"),"Cannot breed")</f>
        <v>4</v>
      </c>
      <c r="AV4" s="2" t="str">
        <f t="shared" si="2"/>
        <v>false</v>
      </c>
      <c r="AW4" s="2" t="str">
        <f>IF(_xlfn.XLOOKUP(_xlfn.XLOOKUP(Animals!B4,'Base stats'!B:B,'Base stats'!E:E),Groups!A:A,Groups!AK:AK)=1,"true","false")</f>
        <v>false</v>
      </c>
      <c r="AX4" s="25" t="str">
        <f>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</f>
        <v>OmnivoreAnimal, OvivoreAnimal</v>
      </c>
      <c r="AY4" s="2" t="str">
        <f>IF(_xlfn.XLOOKUP(_xlfn.XLOOKUP(B4,'Base stats'!B:B,'Base stats'!E:E),Groups!A:A,Groups!D:D)=1,MROUND((1-I4)*5+1,2)*IF(I4&lt;=0.4,2,1),"No")</f>
        <v>No</v>
      </c>
      <c r="AZ4" s="2" t="str">
        <f>_xlfn.XLOOKUP(B4,'Base stats'!B:B,'Base stats'!AE:AE)</f>
        <v>Leather_Light</v>
      </c>
      <c r="BA4" s="23" t="str">
        <f>_xlfn.XLOOKUP(_xlfn.XLOOKUP(B4,'Base stats'!B:B,'Base stats'!E:E),Groups!A:A,Groups!AL:AL)</f>
        <v>QuadrupedAnimalWithPawsAndTail</v>
      </c>
      <c r="BB4" s="23">
        <f>MROUND(IF(AND(AN4&lt;0.5,_xlfn.XLOOKUP(B4,'Base stats'!B:B,'Base stats'!Z:Z)=0),0,IF(OR(_xlfn.XLOOKUP(Animals!B4,'Base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stats'!AA:AA),0.005)</f>
        <v>0</v>
      </c>
      <c r="BC4" s="23">
        <f>MROUND(IF(AND(AN4&lt;0.5,_xlfn.XLOOKUP(B4,'Base stats'!B:B,'Base stats'!Z:Z)=0),0,IF(_xlfn.XLOOKUP(_xlfn.XLOOKUP(B4,'Base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stats'!AB:AB),0.005)</f>
        <v>0</v>
      </c>
      <c r="BD4" s="2" t="str">
        <f>IF(I4&gt;0.3,"No",_xlfn.XLOOKUP(_xlfn.XLOOKUP(Animals!B4,'Base stats'!B:B,'Base stats'!E:E),Groups!A:A,Groups!AP:AP))</f>
        <v>No</v>
      </c>
      <c r="BE4" s="2">
        <f>IF(AND(I4&lt;=0.65,_xlfn.XLOOKUP(_xlfn.XLOOKUP(Animals!B4,'Base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stats'!O:O)=2,0.2,AN4) + 24*(1-IF(BD4="No",0,BD4)) + 16/3, 12),"No")</f>
        <v>36</v>
      </c>
      <c r="BF4" s="2">
        <f>IF(AND(_xlfn.XLOOKUP(_xlfn.XLOOKUP(B4,'Base stats'!B:B,'Base stats'!E:E),Groups!A:A,Groups!AQ:AQ)=1,AN4&lt;=0.35),8,12)</f>
        <v>12</v>
      </c>
      <c r="BG4" s="2" t="str">
        <f>IF(_xlfn.XLOOKUP(_xlfn.XLOOKUP(B4,'Base stats'!B:B,'Base stats'!E:E),Groups!A:A,Groups!D:D)=0,_xlfn.XLOOKUP(_xlfn.XLOOKUP(B4,'Base stats'!B:B,'Base stats'!E:E),Groups!A:A,Groups!AR:AR),"None")</f>
        <v>Advanced</v>
      </c>
      <c r="BH4" s="2" t="str">
        <f>IF(AND(_xlfn.XLOOKUP(_xlfn.XLOOKUP(B4,'Base stats'!B:B,'Base stats'!E:E),Groups!A:A,Groups!AS:AS)=1,OR('Base stats'!Y4="Carnivore",'Base stats'!Y4="Omnivore")),"true","false")</f>
        <v>false</v>
      </c>
      <c r="BI4" s="2" t="str">
        <f>IF(BH4="true",MROUND(IF(AND(AN4&gt;0.5,_xlfn.XLOOKUP(_xlfn.XLOOKUP(B4,'Base stats'!B:B,'Base stats'!E:E),Groups!A:A,Groups!AJ:AJ)="Mammal"),Animals!AN4*1.75*IF(AV4="true",1.5,1),Animals!AN4),IF(AN4&gt;2,0.5,IF(AN4&gt;0.5,0.25,0.1))),"No")</f>
        <v>No</v>
      </c>
      <c r="BJ4" s="2">
        <f t="shared" si="3"/>
        <v>1</v>
      </c>
      <c r="BK4" s="25" t="str">
        <f>IF('Base stats'!AK4="Standard","No",MROUND((_xlfn.XLOOKUP(B4,'Base stats'!B:B,'Base stats'!AK:AK)/3.6)/H4,0.1))</f>
        <v>No</v>
      </c>
      <c r="BL4" s="25" t="str">
        <f t="shared" si="4"/>
        <v>false</v>
      </c>
      <c r="BM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N4" s="25" t="str" cm="1">
        <f t="array" ref="BN4">IF(
  _xlfn.TEXTJOIN(", ",TRUE,
    IF(AND(BH4="true",AN4&gt;0.5,BG4&lt;&gt;"None"),"AttackTarget",""),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IF(BE4&lt;=36,"Comfort",""),
    IF(_xlfn.XLOOKUP(B4,'Base stats'!B:B,'Base stats'!AC:AC)&lt;&gt;"No",_xlfn.XLOOKUP(B4,'Base stats'!B:B,'Base stats'!AC:AC),"")
  ) = "",
  "No",
  _xlfn.TEXTJOIN(", ",TRUE,
    IF(AND(BH4="true",AN4&gt;0.5,BG4&lt;&gt;"None"),"AttackTarget",""),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IF(BE4&lt;=36,"Comfort",""),
    IF(_xlfn.XLOOKUP(B4,'Base stats'!B:B,'Base stats'!AC:AC)&lt;&gt;"No",_xlfn.XLOOKUP(B4,'Base stats'!B:B,'Base stats'!AC:AC),"")
  )
)</f>
        <v>Forage, Comfort</v>
      </c>
      <c r="BO4" s="25">
        <f>IF(
   AND(
      'Base stats'!AK4="Standard",_xlfn.XLOOKUP(_xlfn.XLOOKUP(B4,'Base stats'!B:B,'Base stats'!E:E),Groups!A:A,Groups!AU:AU)=0,
      OR(
      BM4="True"
      )
   ),
   10,
   IF(
       OR(BK4&lt;&gt;"No",_xlfn.XLOOKUP(_xlfn.XLOOKUP(B4,'Base stats'!B:B,'Base stats'!E:E),Groups!A:A,Groups!AU:AU)=1),
      1,
      "No"
   )
)</f>
        <v>10</v>
      </c>
      <c r="BP4" s="9">
        <f>MROUND((1 + ((0.2*IF(OR(P4="No",Q4="No",Q4=0),0,P4/Q4)
+IF(OR(U4="No",R4="No",S4="No"),0,R4/S4*(LEN(U4)-LEN(SUBSTITUTE(U4,",",""))+1))
+IF(OR(W4="No",X4="No"),0,W4/X4)
+IF(OR(AC4="No",AD4="No"),0,AC4/AD4)
+IF(OR(AK4="No",AH4="No",AI4="No"),0,AH4/AI4*(LEN(AK4)-LEN(SUBSTITUTE(AK4,",",""))+1))
)/(0.2*IF(OR(P4="No",Q4="No",Q4=0),0,1)
+IF(OR(U4="No",R4="No",S4="No"),0,LEN(U4)-LEN(SUBSTITUTE(U4,",",""))+1)
+IF(OR(W4="No",X4="No"),0,1)
+IF(OR(AC4="No",AD4="No"),0,1)
+IF(OR(AK4="No",AH4="No",AI4="No"),0,LEN(AK4)-LEN(SUBSTITUTE(AK4,",",""))+1))*62%)* 2)*(1 + (AO4 + _xlfn.XLOOKUP(B4,'Base stats'!B:B,'Base stats'!AS:AS) * 1.8) * 2) * 2.5 + 10 + H4 * 2,5)+IF(_xlfn.XLOOKUP(B4,'Base stats'!B:B,'Base stats'!AH:AH)=1,50,0)</f>
        <v>45</v>
      </c>
      <c r="BQ4" s="8">
        <f t="shared" si="5"/>
        <v>0.30000000000000004</v>
      </c>
      <c r="BR4" s="8" t="str">
        <f>_xlfn.XLOOKUP(B4,'Base stats'!B:B,'Base stats'!AD:AD)</f>
        <v>No</v>
      </c>
      <c r="BS4" s="2" t="str">
        <f>IF(AND(I4&lt;=0.95,OR(_xlfn.XLOOKUP(B4,'Base stats'!B:B,'Base stats'!AH:AH)=1,_xlfn.XLOOKUP(B4,'Base stats'!B:B,'Base stats'!Y:Y)="Carnivore",_xlfn.XLOOKUP(B4,'Base stats'!B:B,'Base stats'!Y:Y)="Omnivore",BC4&gt;0.1)),"true","false")</f>
        <v>true</v>
      </c>
      <c r="BT4" s="2" t="str">
        <f>IF(_xlfn.XLOOKUP(B4,'Base stats'!B:B,'Base stats'!AF:AF)=1,"true","false")</f>
        <v>false</v>
      </c>
      <c r="BU4" s="25" t="str">
        <f>IF(E4="BaseInsect","AnimalInsect",
IF(I4&gt;0.95,"AnimalExotic",
_xlfn.TEXTJOIN(", ",TRUE,
IF(AND(_xlfn.XLOOKUP(B4,'Base stats'!B:B,'Base stats'!O:O)=0,_xlfn.XLOOKUP(_xlfn.XLOOKUP(B4,'Base stats'!B:B,'Base stats'!E:E),Groups!A:A,Groups!B:B)&gt;0),"AnimalUncommon","AnimalCommon"),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stats'!AH:AH)=1,AND(BG4&lt;&gt;"None",BP4&gt;=60),ISNUMBER(SEARCH("Attack target",BN4))),"AnimalFighter","")
)))</f>
        <v>AnimalUncommon</v>
      </c>
      <c r="BV4" s="25" t="str">
        <f>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</f>
        <v>BorealForest ColdBog TemperateForest TemperateSwamp GlacialPlain Scarlands</v>
      </c>
      <c r="BW4" s="25" t="str">
        <f>IF(_xlfn.XLOOKUP(B4,'Base stats'!B:B,'Base stats'!AG:AG)=1,"true","false")</f>
        <v>false</v>
      </c>
      <c r="BX4" s="25">
        <f>IF(_xlfn.XLOOKUP(B4,'Base stats'!B:B,'Base stats'!N:N)=1,"No",MIN(MROUND(IF(OR(_xlfn.XLOOKUP(B4,'Base stats'!B:B,'Base stats'!AJ:AJ)=1,AND(BH4="True",CA4="False")),POWER(10,3.47*LOG10(_xlfn.XLOOKUP(B4,'Base stats'!B:B,'Base stats'!C:C)*1000)^-0.96),POWER(10,4.15*LOG10(_xlfn.XLOOKUP(B4,'Base stats'!B:B,'Base stats'!C:C)*1000)^-0.73))*IF(OR(_xlfn.XLOOKUP(B4,'Base stats'!B:B,'Base stats'!AJ:AJ)=1,_xlfn.XLOOKUP(B4,'Base stats'!B:B,'Base stats'!AH:AH)=1),0.5,1)/100,0.025),1))</f>
        <v>0.375</v>
      </c>
      <c r="BY4" s="25">
        <f>IF(O4="Standard","No",IF(_xlfn.XLOOKUP(B4,'Base stats'!B:B,'Base stats'!N:N)=0,MROUND(BX4*O4,0.05),MIN(1,MAX(0.025,MROUND(IF(OR(CA4="true",AND(BH4="false",BM4="false")),POWER(10,4.15*LOG10(_xlfn.XLOOKUP(B4,'Base stats'!B:B,'Base stats'!C:C)*1000)^-0.73),POWER(10,3.47*LOG10(_xlfn.XLOOKUP(B4,'Base stats'!B:B,'Base stats'!C:C)*1000)^-0.96))*IF(_xlfn.XLOOKUP(B4,'Base stats'!B:B,'Base stats'!AH:AH)=1,0.5,1)/100,0.025)))))</f>
        <v>0.30000000000000004</v>
      </c>
      <c r="BZ4" s="25" t="str">
        <f>IF(_xlfn.XLOOKUP(_xlfn.XLOOKUP(B4,'Base stats'!B:B,'Base stats'!E:E),Groups!A:A,Groups!AJ:AJ)="Mammal","True","False")</f>
        <v>True</v>
      </c>
      <c r="CA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B4" s="25" t="str">
        <f t="shared" si="6"/>
        <v>False</v>
      </c>
      <c r="CC4" s="25" t="str">
        <f>IF(_xlfn.XLOOKUP(_xlfn.XLOOKUP(B4,'Base stats'!B:B,'Base stats'!E:E),Groups!A:A,Groups!AW:AW),"True","False")</f>
        <v>False</v>
      </c>
      <c r="CD4" s="25" t="str">
        <f>IF(_xlfn.XLOOKUP(_xlfn.XLOOKUP(B4,'Base stats'!B:B,'Base stats'!E:E),Groups!A:A,Groups!AX:AX),"True","False")</f>
        <v>False</v>
      </c>
      <c r="CE4" s="25" t="str">
        <f>IF(_xlfn.XLOOKUP(B4,'Base stats'!B:B,'Base stats'!E:E)=1,"True","False")</f>
        <v>False</v>
      </c>
      <c r="CF4" s="25" t="str">
        <f>IF(
OR(
_xlfn.XLOOKUP(_xlfn.XLOOKUP(B4,'Base stats'!B:B,'Base stats'!E:E),Groups!A:A,Groups!AY:AY)=0,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stats'!E:E),Groups!A:A,Groups!AY:AY)=1,
"Flesh",
IF(
_xlfn.XLOOKUP(_xlfn.XLOOKUP(B4,'Base stats'!B:B,'Base stats'!E:E),Groups!A:A,Groups!AY:AY)=2,
"Bone",
""
)
)
)</f>
        <v>Flesh</v>
      </c>
      <c r="CG4" s="25" t="str">
        <f>IF(_xlfn.XLOOKUP(_xlfn.XLOOKUP(B4,'Base stats'!B:B,'Base stats'!E:E),Groups!A:A,Groups!BA:BA),"True","False")</f>
        <v>True</v>
      </c>
      <c r="CH4" s="25" t="str">
        <f>IF(_xlfn.XLOOKUP(_xlfn.XLOOKUP(B4,'Base stats'!B:B,'Base stats'!E:E),Groups!A:A,Groups!AZ:AZ),"True","False")</f>
        <v>False</v>
      </c>
      <c r="CM4" s="16"/>
    </row>
    <row r="5" spans="1:91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686</v>
      </c>
      <c r="D5" s="28" t="s">
        <v>45</v>
      </c>
      <c r="E5" s="28" t="s">
        <v>687</v>
      </c>
      <c r="F5" s="28" t="s">
        <v>688</v>
      </c>
      <c r="G5" s="2">
        <f>MROUND((
  (IF(AND(_xlfn.XLOOKUP(B5,'Base stats'!B:B,'Base stats'!AI:AI)=0,BG5="None",_xlfn.XLOOKUP('Base stats'!E5,Groups!A:A,Groups!B:B)=0), (18 + BP5 * 2.7) * 0.5,
    IF(AND(_xlfn.XLOOKUP(B5,'Base stats'!B:B,'Base stats'!AI:AI)=0,OR(AN5&lt;0.55,AND(BG5="Intermediate",_xlfn.XLOOKUP('Base stats'!E5,Groups!A:A,Groups!B:B)&lt;2))), (18 + BP5 * 2.7),
      IF(OR(BG5="Advanced",_xlfn.XLOOKUP(B5,'Base stats'!B:B,'Base stats'!AI:AI)=1,_xlfn.XLOOKUP('Base stats'!E5,Groups!A:A,Groups!B:B)=2), (18 + BP5 * 2.7) + 250, (18 + BP5 * 2.7))
    )
  ))
  + AN5 * 80
  + IF(COUNTIF(EggMilk!K$2:K$998, A5) &gt; 0, 125, 0)
  + IF(COUNTIF(EggMilk!P$2:P$998, A5) &gt; 0, 90, 0)
  + IF(COUNTIF(EggMilk!A$2:A$998, A5) &gt; 0, 90, 0)
)
* (0.8 + 0.4 * I5)
* 0.75,25)</f>
        <v>275</v>
      </c>
      <c r="H5" s="2">
        <f>MROUND(ROUNDDOWN(_xlfn.XLOOKUP(B5,'Base stats'!B:B,'Base stats'!L:L)/3.6/(23.3/11),1),0.5)</f>
        <v>6</v>
      </c>
      <c r="I5" s="2">
        <f>IF(_xlfn.XLOOKUP(B5,'Base stats'!B:B,'Base stats'!AI:AI)=1,0.99,MIN(MROUND((1-0.6282*EXP(-0.459*AN5))*_xlfn.XLOOKUP(_xlfn.XLOOKUP(B5,'Base stats'!B:B,'Base stats'!E:E),Groups!A:A,Groups!C:C)*IF(_xlfn.XLOOKUP(B5,'Base stats'!B:B,'Base stats'!O:O)=1,0.5,IF(_xlfn.XLOOKUP(B5,'Base stats'!B:B,'Base stats'!O:O)=2,0,1)),0.05),0.985))</f>
        <v>0.8</v>
      </c>
      <c r="J5" s="2">
        <f>ROUNDUP(AN5*_xlfn.XLOOKUP(_xlfn.XLOOKUP(B5,'Base stats'!B:B,'Base stats'!E:E),Groups!A:A,Groups!E:E),0)</f>
        <v>15</v>
      </c>
      <c r="K5" s="2">
        <f>IF(OR(_xlfn.XLOOKUP(_xlfn.XLOOKUP(B5,'Base stats'!B:B,'Base stats'!E:E),Groups!A:A,Groups!F:F)=2,ISNUMBER(SEARCH("SeaIce",BV5)),ISNUMBER(SEARCH("IceSheet",BV5))),-50,IF(OR(ISNUMBER(SEARCH("GlacialPlain",BV5)),ISNUMBER(SEARCH("Tundra",BV5))),-40,IF(OR(ISNUMBER(SEARCH("Alpine",BV5)),ISNUMBER(SEARCH("BorealForest",BV5)),ISNUMBER(SEARCH("ColdBog",BV5))),-30,IF(OR(ISNUMBER(SEARCH("TemperateForest",BV5)),ISNUMBER(SEARCH("TemperateSwamp",BV5))),-20,IF(_xlfn.XLOOKUP(_xlfn.XLOOKUP(B5,'Base stats'!B:B,'Base stats'!E:E),Groups!A:A,Groups!F:F)=1,-15,IF(OR(ISNUMBER(SEARCH("Desert",BV5)),ISNUMBER(SEARCH("ExtremeDesert",BV5))),-10,IF(OR(ISNUMBER(SEARCH("Grasslands",BV5)),ISNUMBER(SEARCH("TropicalRainforest",BV5)),ISNUMBER(SEARCH("TropicalSwamp",BV5))),10,0)))))))-IF(CA5="False",MIN(IFERROR(MAX(MROUND(LOG10(_xlfn.XLOOKUP(B5,'Base stats'!B:B,'Base stats'!C:C)^(2/3))*10,5),5),5),30))-_xlfn.XLOOKUP(B5,'Base stats'!B:B,'Base stats'!P:P)+IF(CA5="True",5,0)</f>
        <v>-25</v>
      </c>
      <c r="L5" s="2">
        <f>IF(OR(_xlfn.XLOOKUP(_xlfn.XLOOKUP(B5,'Base stats'!B:B,'Base stats'!E:E),Groups!A:A,Groups!G:G)=2,ISNUMBER(SEARCH("Desert",BV5)),ISNUMBER(SEARCH("ExtremeDesert",BV5)),ISNUMBER(SEARCH("LavaField",BV5))),50,IF(ISNUMBER(SEARCH("Grasslands",BV5)),45,IF(OR(_xlfn.XLOOKUP(_xlfn.XLOOKUP(B5,'Base stats'!B:B,'Base stats'!E:E),Groups!A:A,Groups!G:G)=1,ISNUMBER(SEARCH("TropicalRainforest",BV5)),ISNUMBER(SEARCH("TropicalSwamp",BV5))),40,IF(OR(ISNUMBER(SEARCH("TemperateForest",BV5)),ISNUMBER(SEARCH("TemperateSwamp",BV5))),35,IF(OR(ISNUMBER(SEARCH("Alpine",BV5)),ISNUMBER(SEARCH("BorealForest",BV5)),ISNUMBER(SEARCH("ColdBog",BV5))),30,IF(ISNUMBER(OR(ISNUMBER(SEARCH("GlacialPlain",BV5)),SEARCH("Tundra",BV5))),25,IF(OR(ISNUMBER(SEARCH("SeaIce",BV5)),ISNUMBER(SEARCH("IceSheet",BV5)),ISNUMBER(SEARCH("TropicalSwamp",BV5))),10,35)))))))+_xlfn.XLOOKUP(B5,'Base stats'!B:B,'Base stats'!Q:Q)</f>
        <v>50</v>
      </c>
      <c r="M5" s="8" t="str">
        <f>IF(_xlfn.XLOOKUP(_xlfn.XLOOKUP(B5,'Base stats'!B:B,'Base stats'!E:E),Groups!A:A,Groups!L:L)=1,MIN(MROUND(_xlfn.XLOOKUP(B5,'Animals CE'!B:B,'Animals CE'!Z:Z)/2+0.05,0.05),200%),"No")</f>
        <v>No</v>
      </c>
      <c r="N5" s="8" t="str">
        <f>IF(_xlfn.XLOOKUP(_xlfn.XLOOKUP(B5,'Base stats'!B:B,'Base stats'!E:E),Groups!A:A,Groups!L:L)=1,MIN(MROUND(_xlfn.XLOOKUP(B5,'Animals CE'!B:B,'Animals CE'!AA:AA)/2+0.05,0.05),200%),"No")</f>
        <v>No</v>
      </c>
      <c r="O5" s="2" t="str">
        <f>_xlfn.XLOOKUP(B5,'Base stats'!B:B,'Base stats'!R:R)</f>
        <v>Standard</v>
      </c>
      <c r="P5" s="13">
        <f>MROUND((LOG10(_xlfn.XLOOKUP(B5,'Base stats'!B:B,'Base stats'!AO:AO))*(AN5^0.5)+(_xlfn.XLOOKUP(B5,'Base stats'!B:B,'Base stats'!AO:AO)/1000)^(2/3)+_xlfn.XLOOKUP(B5,'Base stats'!B:B,'Base stats'!AX:AX)/2)+0.5,0.5)</f>
        <v>8.5</v>
      </c>
      <c r="Q5" s="7">
        <f>IF(P5="No","No",MAX(1,MROUND(_xlfn.XLOOKUP(B5,'Base stats'!B:B,'Base stats'!C:C)^0.165,0.05)))</f>
        <v>2.2000000000000002</v>
      </c>
      <c r="R5" s="13">
        <f>IF(_xlfn.XLOOKUP(_xlfn.XLOOKUP(B5,'Base stats'!B:B,'Base stats'!E:E),Groups!A:A,Groups!P:P)=0,"No",MROUND((LOG10(_xlfn.XLOOKUP(B5,'Base stats'!B:B,'Base stats'!AP:AP))*(AN5^0.5)+(_xlfn.XLOOKUP(B5,'Base stats'!B:B,'Base stats'!AP:AP)/1000)^(2/3)+_xlfn.XLOOKUP(B5,'Base stats'!B:B,'Base stats'!AX:AX))+_xlfn.XLOOKUP(B5,'Base stats'!B:B,'Base stats'!AV:AV)+0.5,0.5))</f>
        <v>13</v>
      </c>
      <c r="S5" s="7">
        <f>IF(R5="No","No",MAX(_xlfn.XLOOKUP(_xlfn.XLOOKUP(B5,'Base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T5" s="7" t="str">
        <f>IF(R5="No","No",_xlfn.XLOOKUP(_xlfn.XLOOKUP(B5,'Base stats'!B:B,'Base stats'!E:E),Groups!A:A,Groups!R:R))</f>
        <v>Feet</v>
      </c>
      <c r="U5" s="7" t="str">
        <f>IF(R5="No","No",_xlfn.XLOOKUP(_xlfn.XLOOKUP(B5,'Base stats'!B:B,'Base stats'!E:E),Groups!A:A,Groups!S:S))</f>
        <v>rear left claw, rear  right claw</v>
      </c>
      <c r="V5" s="7" t="str">
        <f>IF(R5="No","No",_xlfn.XLOOKUP(_xlfn.XLOOKUP(B5,'Base stats'!B:B,'Base stats'!E:E),Groups!A:A,Groups!T:T))</f>
        <v>Scratch</v>
      </c>
      <c r="W5" s="13" t="str">
        <f>IF(_xlfn.XLOOKUP(B5,'Base stats'!B:B,'Base stats'!W:W)="No","No",MROUND((LOG10(_xlfn.XLOOKUP(B5,'Base stats'!B:B,'Base stats'!AR:AR))*(AN5^0.5)+(_xlfn.XLOOKUP(B5,'Base stats'!B:B,'Base stats'!AR:AR)/1000)^(2/3)+_xlfn.XLOOKUP(B5,'Base stats'!B:B,'Base stats'!AW:AW))+0.5+IF(_xlfn.XLOOKUP(_xlfn.XLOOKUP(B5,'Base stats'!B:B,'Base stats'!E:E),Groups!A:A,Groups!U:U)&lt;&gt;3,_xlfn.XLOOKUP(B5,'Base stats'!B:B,'Base stats'!AX:AX),0),0.5))</f>
        <v>No</v>
      </c>
      <c r="X5" s="7" t="str">
        <f>IF(W5="No","No",MAX(_xlfn.XLOOKUP(_xlfn.XLOOKUP(B5,'Base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Y5" s="7" t="str">
        <f>IF(W5="No","No",_xlfn.XLOOKUP(_xlfn.XLOOKUP(B5,'Base stats'!B:B,'Base stats'!E:E),Groups!A:A,Groups!W:W))</f>
        <v>No</v>
      </c>
      <c r="Z5" s="7" t="str">
        <f>IF(W5="No","No",_xlfn.XLOOKUP(_xlfn.XLOOKUP(B5,'Base stats'!B:B,'Base stats'!E:E),Groups!A:A,Groups!X:X))</f>
        <v>No</v>
      </c>
      <c r="AA5" s="7" t="str">
        <f>IF(W5="No","No",_xlfn.XLOOKUP(_xlfn.XLOOKUP(B5,'Base stats'!B:B,'Base stats'!E:E),Groups!A:A,Groups!Y:Y))</f>
        <v>No</v>
      </c>
      <c r="AB5" s="7" t="str">
        <f>_xlfn.XLOOKUP(Animals!B5,'Base stats'!B:B,'Base stats'!X:X)</f>
        <v>False</v>
      </c>
      <c r="AC5" s="13">
        <f>IF(_xlfn.XLOOKUP(B5,'Base stats'!B:B,'Base stats'!AQ:AQ)="No","No",MROUND((LOG10(_xlfn.XLOOKUP(B5,'Base stats'!B:B,'Base stats'!AQ:AQ))*(AN5^0.75)+(_xlfn.XLOOKUP(B5,'Base stats'!B:B,'Base stats'!AQ:AQ)/1000)^(2/3)+_xlfn.XLOOKUP(B5,'Base stats'!B:B,'Base stats'!AU:AU)+_xlfn.XLOOKUP(B5,'Base stats'!B:B,'Base stats'!AX:AX))+0.5,0.5))</f>
        <v>8.5</v>
      </c>
      <c r="AD5" s="7">
        <f>IF(AC5="No","No",MAX(_xlfn.XLOOKUP(_xlfn.XLOOKUP(B5,'Base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E5" s="7" t="str">
        <f>IF(AC5="No","No",_xlfn.XLOOKUP(_xlfn.XLOOKUP(B5,'Base stats'!B:B,'Base stats'!E:E),Groups!A:A,Groups!AA:AA))</f>
        <v>Beak</v>
      </c>
      <c r="AF5" s="7" t="str">
        <f>IF(AC5="No","No",_xlfn.XLOOKUP(_xlfn.XLOOKUP(B5,'Base stats'!B:B,'Base stats'!E:E),Groups!A:A,Groups!AB:AB))</f>
        <v>beak</v>
      </c>
      <c r="AG5" s="7" t="str">
        <f>IF(AC5="No","No",_xlfn.XLOOKUP(_xlfn.XLOOKUP(B5,'Base stats'!B:B,'Base stats'!E:E),Groups!A:A,Groups!AC:AC))</f>
        <v>Blunt</v>
      </c>
      <c r="AH5" s="13" t="str">
        <f>IF(_xlfn.XLOOKUP(_xlfn.XLOOKUP(B5,'Base stats'!B:B,'Base stats'!E:E),Groups!A:A,Groups!AD:AD)=0,"No",MROUND((LOG10(_xlfn.XLOOKUP(B5,'Base stats'!B:B,'Base stats'!AP:AP))*(AN5^0.75)+(_xlfn.XLOOKUP(B5,'Base stats'!B:B,'Base stats'!AP:AP)/1000)^(2/3)+_xlfn.XLOOKUP(B5,'Base stats'!B:B,'Base stats'!AV:AV)+_xlfn.XLOOKUP(B5,'Base stats'!B:B,'Base stats'!AX:AX))+0.5,0.5))</f>
        <v>No</v>
      </c>
      <c r="AI5" s="7" t="str">
        <f>IF(AH5="No","No",MAX(_xlfn.XLOOKUP(_xlfn.XLOOKUP(B5,'Base stats'!B:B,'Base stats'!E:E),Groups!A:A,Groups!AE:AE),MROUND(_xlfn.XLOOKUP(_xlfn.XLOOKUP(B5,'Base stats'!B:B,'Base stats'!E:E),Groups!A:A,Groups!AE:AE)*_xlfn.XLOOKUP(B5,'Base stats'!B:B,'Base stats'!C:C)^0.165,0.05)))</f>
        <v>No</v>
      </c>
      <c r="AJ5" s="7" t="str">
        <f>IF(AH5="No","No",_xlfn.XLOOKUP(_xlfn.XLOOKUP(B5,'Base stats'!B:B,'Base stats'!E:E),Groups!A:A,Groups!AF:AF))</f>
        <v>No</v>
      </c>
      <c r="AK5" s="7" t="str">
        <f>IF(AH5="No","No",_xlfn.XLOOKUP(_xlfn.XLOOKUP(B5,'Base stats'!B:B,'Base stats'!E:E),Groups!A:A,Groups!AG:AG))</f>
        <v>No</v>
      </c>
      <c r="AL5" s="7" t="str">
        <f>IF(AH5="No","No",_xlfn.XLOOKUP(_xlfn.XLOOKUP(B5,'Base stats'!B:B,'Base stats'!E:E),Groups!A:A,Groups!AH:AH))</f>
        <v>No</v>
      </c>
      <c r="AM5" s="2" t="str">
        <f t="shared" si="0"/>
        <v>No</v>
      </c>
      <c r="AN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O5" s="8">
        <f>MROUND(AN5*_xlfn.XLOOKUP(_xlfn.XLOOKUP(B5,'Base stats'!B:B,'Base stats'!E:E),Groups!A:A,Groups!AI:AI),0.05)</f>
        <v>1.3</v>
      </c>
      <c r="AP5" s="8">
        <f>MAX(0.01,MROUND(IF(CA5="True",0.196*(AN5*100*1000)^0.889,IF(_xlfn.XLOOKUP(_xlfn.XLOOKUP(B5,'Base stats'!B:B,'Base stats'!E:E),Groups!A:A,Groups!AJ:AJ)="Bird",10.5*(AN5*100*1000)^0.681,4.82*(AN5*100*1000)^0.734))/(4.82*(1*100*1000)^0.734)/IF(AN5&lt;3.5,2,IF(AN5=3.5,1.5,1.25))*(1+0.132282374779864/(AN5^0.994035016789033+0.00905238001496948)),0.05))</f>
        <v>0.8</v>
      </c>
      <c r="AQ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R5" s="35" t="str">
        <f>IFERROR(IF(_xlfn.XLOOKUP(B5,'Base stats'!B:B,'Base stats'!F:F)="Lay eggs","Lay eggs",MIN(20,MAX(5.5,ROUND(((_xlfn.XLOOKUP(B5,'Base stats'!B:B,'Base stats'!F:F)-25)*(14.5/615) + 5.5)*2,0)/2))),"Cannot breed")</f>
        <v>Lay eggs</v>
      </c>
      <c r="AS5" s="8">
        <f>IF(OR(A5="Queen",A5="Larva"),"No",IFERROR(MAX(IF(_xlfn.XLOOKUP(B5,'Base stats'!B:B,'Base stats'!G:G)&lt;0.5,0.2,0.3),MROUND(_xlfn.XLOOKUP(B5,'Base stats'!B:B,'Base stats'!G:G)/(365/60),0.2)),"Unknown"))</f>
        <v>0.4</v>
      </c>
      <c r="AT5" s="8">
        <f t="shared" si="1"/>
        <v>0.2</v>
      </c>
      <c r="AU5" s="8" t="str">
        <f>IFERROR(IFERROR(MROUND(_xlfn.XLOOKUP(B5,'Base stats'!B:B,'Base stats'!J:J),0.1),"Lay eggs"),"Cannot breed")</f>
        <v>Lay eggs</v>
      </c>
      <c r="AV5" s="2" t="str">
        <f t="shared" si="2"/>
        <v>true</v>
      </c>
      <c r="AW5" s="2" t="str">
        <f>IF(_xlfn.XLOOKUP(_xlfn.XLOOKUP(Animals!B5,'Base stats'!B:B,'Base stats'!E:E),Groups!A:A,Groups!AK:AK)=1,"true","false")</f>
        <v>false</v>
      </c>
      <c r="AX5" s="25" t="str">
        <f>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</f>
        <v>VegetarianRoughAnimal</v>
      </c>
      <c r="AY5" s="2">
        <f>IF(_xlfn.XLOOKUP(_xlfn.XLOOKUP(B5,'Base stats'!B:B,'Base stats'!E:E),Groups!A:A,Groups!D:D)=1,MROUND((1-I5)*5+1,2)*IF(I5&lt;=0.4,2,1),"No")</f>
        <v>2</v>
      </c>
      <c r="AZ5" s="2" t="str">
        <f>_xlfn.XLOOKUP(B5,'Base stats'!B:B,'Base stats'!AE:AE)</f>
        <v>Leather_Bird</v>
      </c>
      <c r="BA5" s="23" t="str">
        <f>_xlfn.XLOOKUP(_xlfn.XLOOKUP(B5,'Base stats'!B:B,'Base stats'!E:E),Groups!A:A,Groups!AL:AL)</f>
        <v>Bird</v>
      </c>
      <c r="BB5" s="23">
        <f>MROUND(IF(AND(AN5&lt;0.5,_xlfn.XLOOKUP(B5,'Base stats'!B:B,'Base stats'!Z:Z)=0),0,IF(OR(_xlfn.XLOOKUP(Animals!B5,'Base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stats'!AA:AA),0.005)</f>
        <v>0</v>
      </c>
      <c r="BC5" s="23">
        <f>MROUND(IF(AND(AN5&lt;0.5,_xlfn.XLOOKUP(B5,'Base stats'!B:B,'Base stats'!Z:Z)=0),0,IF(_xlfn.XLOOKUP(_xlfn.XLOOKUP(B5,'Base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stats'!AB:AB),0.005)</f>
        <v>0</v>
      </c>
      <c r="BD5" s="2" t="str">
        <f>IF(I5&gt;0.3,"No",_xlfn.XLOOKUP(_xlfn.XLOOKUP(Animals!B5,'Base stats'!B:B,'Base stats'!E:E),Groups!A:A,Groups!AP:AP))</f>
        <v>No</v>
      </c>
      <c r="BE5" s="2" t="str">
        <f>IF(AND(I5&lt;=0.65,_xlfn.XLOOKUP(_xlfn.XLOOKUP(Animals!B5,'Base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stats'!O:O)=2,0.2,AN5) + 24*(1-IF(BD5="No",0,BD5)) + 16/3, 12),"No")</f>
        <v>No</v>
      </c>
      <c r="BF5" s="2">
        <f>IF(AND(_xlfn.XLOOKUP(_xlfn.XLOOKUP(B5,'Base stats'!B:B,'Base stats'!E:E),Groups!A:A,Groups!AQ:AQ)=1,AN5&lt;=0.35),8,12)</f>
        <v>12</v>
      </c>
      <c r="BG5" s="2" t="str">
        <f>IF(_xlfn.XLOOKUP(_xlfn.XLOOKUP(B5,'Base stats'!B:B,'Base stats'!E:E),Groups!A:A,Groups!D:D)=0,_xlfn.XLOOKUP(_xlfn.XLOOKUP(B5,'Base stats'!B:B,'Base stats'!E:E),Groups!A:A,Groups!AR:AR),"None")</f>
        <v>None</v>
      </c>
      <c r="BH5" s="2" t="str">
        <f>IF(AND(_xlfn.XLOOKUP(_xlfn.XLOOKUP(B5,'Base stats'!B:B,'Base stats'!E:E),Groups!A:A,Groups!AS:AS)=1,OR('Base stats'!Y5="Carnivore",'Base stats'!Y5="Omnivore")),"true","false")</f>
        <v>false</v>
      </c>
      <c r="BI5" s="2" t="str">
        <f>IF(BH5="true",MROUND(IF(AND(AN5&gt;0.5,_xlfn.XLOOKUP(_xlfn.XLOOKUP(B5,'Base stats'!B:B,'Base stats'!E:E),Groups!A:A,Groups!AJ:AJ)="Mammal"),Animals!AN5*1.75*IF(AV5="true",1.5,1),Animals!AN5),IF(AN5&gt;2,0.5,IF(AN5&gt;0.5,0.25,0.1))),"No")</f>
        <v>No</v>
      </c>
      <c r="BJ5" s="2">
        <f t="shared" si="3"/>
        <v>0</v>
      </c>
      <c r="BK5" s="25" t="str">
        <f>IF('Base stats'!AK5="Standard","No",MROUND((_xlfn.XLOOKUP(B5,'Base stats'!B:B,'Base stats'!AK:AK)/3.6)/H5,0.1))</f>
        <v>No</v>
      </c>
      <c r="BL5" s="25" t="str">
        <f t="shared" si="4"/>
        <v>false</v>
      </c>
      <c r="BM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N5" s="25" t="str" cm="1">
        <f t="array" ref="BN5">IF(
  _xlfn.TEXTJOIN(", ",TRUE,
    IF(AND(BH5="true",AN5&gt;0.5,BG5&lt;&gt;"None"),"AttackTarget",""),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IF(BE5&lt;=36,"Comfort",""),
    IF(_xlfn.XLOOKUP(B5,'Base stats'!B:B,'Base stats'!AC:AC)&lt;&gt;"No",_xlfn.XLOOKUP(B5,'Base stats'!B:B,'Base stats'!AC:AC),"")
  ) = "",
  "No",
  _xlfn.TEXTJOIN(", ",TRUE,
    IF(AND(BH5="true",AN5&gt;0.5,BG5&lt;&gt;"None"),"AttackTarget",""),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IF(BE5&lt;=36,"Comfort",""),
    IF(_xlfn.XLOOKUP(B5,'Base stats'!B:B,'Base stats'!AC:AC)&lt;&gt;"No",_xlfn.XLOOKUP(B5,'Base stats'!B:B,'Base stats'!AC:AC),"")
  )
)</f>
        <v>No</v>
      </c>
      <c r="BO5" s="25" t="str">
        <f>IF(
   AND(
      'Base stats'!AK5="Standard",_xlfn.XLOOKUP(_xlfn.XLOOKUP(B5,'Base stats'!B:B,'Base stats'!E:E),Groups!A:A,Groups!AU:AU)=0,
      OR(
      BM5="True"
      )
   ),
   10,
   IF(
       OR(BK5&lt;&gt;"No",_xlfn.XLOOKUP(_xlfn.XLOOKUP(B5,'Base stats'!B:B,'Base stats'!E:E),Groups!A:A,Groups!AU:AU)=1),
      1,
      "No"
   )
)</f>
        <v>No</v>
      </c>
      <c r="BP5" s="9">
        <f>MROUND((1 + ((0.2*IF(OR(P5="No",Q5="No",Q5=0),0,P5/Q5)
+IF(OR(U5="No",R5="No",S5="No"),0,R5/S5*(LEN(U5)-LEN(SUBSTITUTE(U5,",",""))+1))
+IF(OR(W5="No",X5="No"),0,W5/X5)
+IF(OR(AC5="No",AD5="No"),0,AC5/AD5)
+IF(OR(AK5="No",AH5="No",AI5="No"),0,AH5/AI5*(LEN(AK5)-LEN(SUBSTITUTE(AK5,",",""))+1))
)/(0.2*IF(OR(P5="No",Q5="No",Q5=0),0,1)
+IF(OR(U5="No",R5="No",S5="No"),0,LEN(U5)-LEN(SUBSTITUTE(U5,",",""))+1)
+IF(OR(W5="No",X5="No"),0,1)
+IF(OR(AC5="No",AD5="No"),0,1)
+IF(OR(AK5="No",AH5="No",AI5="No"),0,LEN(AK5)-LEN(SUBSTITUTE(AK5,",",""))+1))*62%)* 2)*(1 + (AO5 + _xlfn.XLOOKUP(B5,'Base stats'!B:B,'Base stats'!AS:AS) * 1.8) * 2) * 2.5 + 10 + H5 * 2,5)+IF(_xlfn.XLOOKUP(B5,'Base stats'!B:B,'Base stats'!AH:AH)=1,50,0)</f>
        <v>90</v>
      </c>
      <c r="BQ5" s="8">
        <f t="shared" si="5"/>
        <v>0.9</v>
      </c>
      <c r="BR5" s="8" t="str">
        <f>_xlfn.XLOOKUP(B5,'Base stats'!B:B,'Base stats'!AD:AD)</f>
        <v>2~6</v>
      </c>
      <c r="BS5" s="2" t="str">
        <f>IF(AND(I5&lt;=0.95,OR(_xlfn.XLOOKUP(B5,'Base stats'!B:B,'Base stats'!AH:AH)=1,_xlfn.XLOOKUP(B5,'Base stats'!B:B,'Base stats'!Y:Y)="Carnivore",_xlfn.XLOOKUP(B5,'Base stats'!B:B,'Base stats'!Y:Y)="Omnivore",BC5&gt;0.1)),"true","false")</f>
        <v>false</v>
      </c>
      <c r="BT5" s="2" t="str">
        <f>IF(_xlfn.XLOOKUP(B5,'Base stats'!B:B,'Base stats'!AF:AF)=1,"true","false")</f>
        <v>false</v>
      </c>
      <c r="BU5" s="25" t="str">
        <f>IF(E5="BaseInsect","AnimalInsect",
IF(I5&gt;0.95,"AnimalExotic",
_xlfn.TEXTJOIN(", ",TRUE,
IF(AND(_xlfn.XLOOKUP(B5,'Base stats'!B:B,'Base stats'!O:O)=0,_xlfn.XLOOKUP(_xlfn.XLOOKUP(B5,'Base stats'!B:B,'Base stats'!E:E),Groups!A:A,Groups!B:B)&gt;0),"AnimalUncommon","AnimalCommon"),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stats'!AH:AH)=1,AND(BG5&lt;&gt;"None",BP5&gt;=60),ISNUMBER(SEARCH("Attack target",BN5))),"AnimalFighter","")
)))</f>
        <v>AnimalCommon</v>
      </c>
      <c r="BV5" s="25" t="str">
        <f>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</f>
        <v>AridShrubland Desert Grasslands LavaField</v>
      </c>
      <c r="BW5" s="25" t="str">
        <f>IF(_xlfn.XLOOKUP(B5,'Base stats'!B:B,'Base stats'!AG:AG)=1,"true","false")</f>
        <v>false</v>
      </c>
      <c r="BX5" s="25">
        <f>IF(_xlfn.XLOOKUP(B5,'Base stats'!B:B,'Base stats'!N:N)=1,"No",MIN(MROUND(IF(OR(_xlfn.XLOOKUP(B5,'Base stats'!B:B,'Base stats'!AJ:AJ)=1,AND(BH5="True",CA5="False")),POWER(10,3.47*LOG10(_xlfn.XLOOKUP(B5,'Base stats'!B:B,'Base stats'!C:C)*1000)^-0.96),POWER(10,4.15*LOG10(_xlfn.XLOOKUP(B5,'Base stats'!B:B,'Base stats'!C:C)*1000)^-0.73))*IF(OR(_xlfn.XLOOKUP(B5,'Base stats'!B:B,'Base stats'!AJ:AJ)=1,_xlfn.XLOOKUP(B5,'Base stats'!B:B,'Base stats'!AH:AH)=1),0.5,1)/100,0.025),1))</f>
        <v>0.2</v>
      </c>
      <c r="BY5" s="25" t="str">
        <f>IF(O5="Standard","No",IF(_xlfn.XLOOKUP(B5,'Base stats'!B:B,'Base stats'!N:N)=0,MROUND(BX5*O5,0.05),MIN(1,MAX(0.025,MROUND(IF(OR(CA5="true",AND(BH5="false",BM5="false")),POWER(10,4.15*LOG10(_xlfn.XLOOKUP(B5,'Base stats'!B:B,'Base stats'!C:C)*1000)^-0.73),POWER(10,3.47*LOG10(_xlfn.XLOOKUP(B5,'Base stats'!B:B,'Base stats'!C:C)*1000)^-0.96))*IF(_xlfn.XLOOKUP(B5,'Base stats'!B:B,'Base stats'!AH:AH)=1,0.5,1)/100,0.025)))))</f>
        <v>No</v>
      </c>
      <c r="BZ5" s="25" t="str">
        <f>IF(_xlfn.XLOOKUP(_xlfn.XLOOKUP(B5,'Base stats'!B:B,'Base stats'!E:E),Groups!A:A,Groups!AJ:AJ)="Mammal","True","False")</f>
        <v>False</v>
      </c>
      <c r="CA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B5" s="25" t="str">
        <f t="shared" si="6"/>
        <v>False</v>
      </c>
      <c r="CC5" s="25" t="str">
        <f>IF(_xlfn.XLOOKUP(_xlfn.XLOOKUP(B5,'Base stats'!B:B,'Base stats'!E:E),Groups!A:A,Groups!AW:AW),"True","False")</f>
        <v>False</v>
      </c>
      <c r="CD5" s="25" t="str">
        <f>IF(_xlfn.XLOOKUP(_xlfn.XLOOKUP(B5,'Base stats'!B:B,'Base stats'!E:E),Groups!A:A,Groups!AX:AX),"True","False")</f>
        <v>False</v>
      </c>
      <c r="CE5" s="25" t="str">
        <f>IF(_xlfn.XLOOKUP(B5,'Base stats'!B:B,'Base stats'!E:E)=1,"True","False")</f>
        <v>False</v>
      </c>
      <c r="CF5" s="25" t="str">
        <f>IF(
OR(
_xlfn.XLOOKUP(_xlfn.XLOOKUP(B5,'Base stats'!B:B,'Base stats'!E:E),Groups!A:A,Groups!AY:AY)=0,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stats'!E:E),Groups!A:A,Groups!AY:AY)=1,
"Flesh",
IF(
_xlfn.XLOOKUP(_xlfn.XLOOKUP(B5,'Base stats'!B:B,'Base stats'!E:E),Groups!A:A,Groups!AY:AY)=2,
"Bone",
""
)
)
)</f>
        <v>No</v>
      </c>
      <c r="CG5" s="25" t="str">
        <f>IF(_xlfn.XLOOKUP(_xlfn.XLOOKUP(B5,'Base stats'!B:B,'Base stats'!E:E),Groups!A:A,Groups!BA:BA),"True","False")</f>
        <v>True</v>
      </c>
      <c r="CH5" s="25" t="str">
        <f>IF(_xlfn.XLOOKUP(_xlfn.XLOOKUP(B5,'Base stats'!B:B,'Base stats'!E:E),Groups!A:A,Groups!AZ:AZ),"True","False")</f>
        <v>False</v>
      </c>
      <c r="CM5" s="16"/>
    </row>
    <row r="6" spans="1:91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689</v>
      </c>
      <c r="D6" s="28" t="s">
        <v>45</v>
      </c>
      <c r="E6" s="28" t="s">
        <v>687</v>
      </c>
      <c r="F6" s="28" t="s">
        <v>688</v>
      </c>
      <c r="G6" s="2">
        <f>MROUND((
  (IF(AND(_xlfn.XLOOKUP(B6,'Base stats'!B:B,'Base stats'!AI:AI)=0,BG6="None",_xlfn.XLOOKUP('Base stats'!E6,Groups!A:A,Groups!B:B)=0), (18 + BP6 * 2.7) * 0.5,
    IF(AND(_xlfn.XLOOKUP(B6,'Base stats'!B:B,'Base stats'!AI:AI)=0,OR(AN6&lt;0.55,AND(BG6="Intermediate",_xlfn.XLOOKUP('Base stats'!E6,Groups!A:A,Groups!B:B)&lt;2))), (18 + BP6 * 2.7),
      IF(OR(BG6="Advanced",_xlfn.XLOOKUP(B6,'Base stats'!B:B,'Base stats'!AI:AI)=1,_xlfn.XLOOKUP('Base stats'!E6,Groups!A:A,Groups!B:B)=2), (18 + BP6 * 2.7) + 250, (18 + BP6 * 2.7))
    )
  ))
  + AN6 * 80
  + IF(COUNTIF(EggMilk!K$2:K$998, A6) &gt; 0, 125, 0)
  + IF(COUNTIF(EggMilk!P$2:P$998, A6) &gt; 0, 90, 0)
  + IF(COUNTIF(EggMilk!A$2:A$998, A6) &gt; 0, 90, 0)
)
* (0.8 + 0.4 * I6)
* 0.75,25)</f>
        <v>300</v>
      </c>
      <c r="H6" s="2">
        <f>MROUND(ROUNDDOWN(_xlfn.XLOOKUP(B6,'Base stats'!B:B,'Base stats'!L:L)/3.6/(23.3/11),1),0.5)</f>
        <v>5.5</v>
      </c>
      <c r="I6" s="2">
        <f>IF(_xlfn.XLOOKUP(B6,'Base stats'!B:B,'Base stats'!AI:AI)=1,0.99,MIN(MROUND((1-0.6282*EXP(-0.459*AN6))*_xlfn.XLOOKUP(_xlfn.XLOOKUP(B6,'Base stats'!B:B,'Base stats'!E:E),Groups!A:A,Groups!C:C)*IF(_xlfn.XLOOKUP(B6,'Base stats'!B:B,'Base stats'!O:O)=1,0.5,IF(_xlfn.XLOOKUP(B6,'Base stats'!B:B,'Base stats'!O:O)=2,0,1)),0.05),0.985))</f>
        <v>0.85000000000000009</v>
      </c>
      <c r="J6" s="2">
        <f>ROUNDUP(AN6*_xlfn.XLOOKUP(_xlfn.XLOOKUP(B6,'Base stats'!B:B,'Base stats'!E:E),Groups!A:A,Groups!E:E),0)</f>
        <v>9</v>
      </c>
      <c r="K6" s="2">
        <f>IF(OR(_xlfn.XLOOKUP(_xlfn.XLOOKUP(B6,'Base stats'!B:B,'Base stats'!E:E),Groups!A:A,Groups!F:F)=2,ISNUMBER(SEARCH("SeaIce",BV6)),ISNUMBER(SEARCH("IceSheet",BV6))),-50,IF(OR(ISNUMBER(SEARCH("GlacialPlain",BV6)),ISNUMBER(SEARCH("Tundra",BV6))),-40,IF(OR(ISNUMBER(SEARCH("Alpine",BV6)),ISNUMBER(SEARCH("BorealForest",BV6)),ISNUMBER(SEARCH("ColdBog",BV6))),-30,IF(OR(ISNUMBER(SEARCH("TemperateForest",BV6)),ISNUMBER(SEARCH("TemperateSwamp",BV6))),-20,IF(_xlfn.XLOOKUP(_xlfn.XLOOKUP(B6,'Base stats'!B:B,'Base stats'!E:E),Groups!A:A,Groups!F:F)=1,-15,IF(OR(ISNUMBER(SEARCH("Desert",BV6)),ISNUMBER(SEARCH("ExtremeDesert",BV6))),-10,IF(OR(ISNUMBER(SEARCH("Grasslands",BV6)),ISNUMBER(SEARCH("TropicalRainforest",BV6)),ISNUMBER(SEARCH("TropicalSwamp",BV6))),10,0)))))))-IF(CA6="False",MIN(IFERROR(MAX(MROUND(LOG10(_xlfn.XLOOKUP(B6,'Base stats'!B:B,'Base stats'!C:C)^(2/3))*10,5),5),5),30))-_xlfn.XLOOKUP(B6,'Base stats'!B:B,'Base stats'!P:P)+IF(CA6="True",5,0)</f>
        <v>0</v>
      </c>
      <c r="L6" s="2">
        <f>IF(OR(_xlfn.XLOOKUP(_xlfn.XLOOKUP(B6,'Base stats'!B:B,'Base stats'!E:E),Groups!A:A,Groups!G:G)=2,ISNUMBER(SEARCH("Desert",BV6)),ISNUMBER(SEARCH("ExtremeDesert",BV6)),ISNUMBER(SEARCH("LavaField",BV6))),50,IF(ISNUMBER(SEARCH("Grasslands",BV6)),45,IF(OR(_xlfn.XLOOKUP(_xlfn.XLOOKUP(B6,'Base stats'!B:B,'Base stats'!E:E),Groups!A:A,Groups!G:G)=1,ISNUMBER(SEARCH("TropicalRainforest",BV6)),ISNUMBER(SEARCH("TropicalSwamp",BV6))),40,IF(OR(ISNUMBER(SEARCH("TemperateForest",BV6)),ISNUMBER(SEARCH("TemperateSwamp",BV6))),35,IF(OR(ISNUMBER(SEARCH("Alpine",BV6)),ISNUMBER(SEARCH("BorealForest",BV6)),ISNUMBER(SEARCH("ColdBog",BV6))),30,IF(ISNUMBER(OR(ISNUMBER(SEARCH("GlacialPlain",BV6)),SEARCH("Tundra",BV6))),25,IF(OR(ISNUMBER(SEARCH("SeaIce",BV6)),ISNUMBER(SEARCH("IceSheet",BV6)),ISNUMBER(SEARCH("TropicalSwamp",BV6))),10,35)))))))+_xlfn.XLOOKUP(B6,'Base stats'!B:B,'Base stats'!Q:Q)</f>
        <v>40</v>
      </c>
      <c r="M6" s="8" t="str">
        <f>IF(_xlfn.XLOOKUP(_xlfn.XLOOKUP(B6,'Base stats'!B:B,'Base stats'!E:E),Groups!A:A,Groups!L:L)=1,MIN(MROUND(_xlfn.XLOOKUP(B6,'Animals CE'!B:B,'Animals CE'!Z:Z)/2+0.05,0.05),200%),"No")</f>
        <v>No</v>
      </c>
      <c r="N6" s="8" t="str">
        <f>IF(_xlfn.XLOOKUP(_xlfn.XLOOKUP(B6,'Base stats'!B:B,'Base stats'!E:E),Groups!A:A,Groups!L:L)=1,MIN(MROUND(_xlfn.XLOOKUP(B6,'Animals CE'!B:B,'Animals CE'!AA:AA)/2+0.05,0.05),200%),"No")</f>
        <v>No</v>
      </c>
      <c r="O6" s="2" t="str">
        <f>_xlfn.XLOOKUP(B6,'Base stats'!B:B,'Base stats'!R:R)</f>
        <v>Standard</v>
      </c>
      <c r="P6" s="13">
        <f>MROUND((LOG10(_xlfn.XLOOKUP(B6,'Base stats'!B:B,'Base stats'!AO:AO))*(AN6^0.5)+(_xlfn.XLOOKUP(B6,'Base stats'!B:B,'Base stats'!AO:AO)/1000)^(2/3)+_xlfn.XLOOKUP(B6,'Base stats'!B:B,'Base stats'!AX:AX)/2)+0.5,0.5)</f>
        <v>6</v>
      </c>
      <c r="Q6" s="7">
        <f>IF(P6="No","No",MAX(1,MROUND(_xlfn.XLOOKUP(B6,'Base stats'!B:B,'Base stats'!C:C)^0.165,0.05)))</f>
        <v>1.85</v>
      </c>
      <c r="R6" s="13">
        <f>IF(_xlfn.XLOOKUP(_xlfn.XLOOKUP(B6,'Base stats'!B:B,'Base stats'!E:E),Groups!A:A,Groups!P:P)=0,"No",MROUND((LOG10(_xlfn.XLOOKUP(B6,'Base stats'!B:B,'Base stats'!AP:AP))*(AN6^0.5)+(_xlfn.XLOOKUP(B6,'Base stats'!B:B,'Base stats'!AP:AP)/1000)^(2/3)+_xlfn.XLOOKUP(B6,'Base stats'!B:B,'Base stats'!AX:AX))+_xlfn.XLOOKUP(B6,'Base stats'!B:B,'Base stats'!AV:AV)+0.5,0.5))</f>
        <v>11</v>
      </c>
      <c r="S6" s="7">
        <f>IF(R6="No","No",MAX(_xlfn.XLOOKUP(_xlfn.XLOOKUP(B6,'Base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T6" s="7" t="str">
        <f>IF(R6="No","No",_xlfn.XLOOKUP(_xlfn.XLOOKUP(B6,'Base stats'!B:B,'Base stats'!E:E),Groups!A:A,Groups!R:R))</f>
        <v>Feet</v>
      </c>
      <c r="U6" s="7" t="str">
        <f>IF(R6="No","No",_xlfn.XLOOKUP(_xlfn.XLOOKUP(B6,'Base stats'!B:B,'Base stats'!E:E),Groups!A:A,Groups!S:S))</f>
        <v>rear left claw, rear  right claw</v>
      </c>
      <c r="V6" s="7" t="str">
        <f>IF(R6="No","No",_xlfn.XLOOKUP(_xlfn.XLOOKUP(B6,'Base stats'!B:B,'Base stats'!E:E),Groups!A:A,Groups!T:T))</f>
        <v>Scratch</v>
      </c>
      <c r="W6" s="13" t="str">
        <f>IF(_xlfn.XLOOKUP(B6,'Base stats'!B:B,'Base stats'!W:W)="No","No",MROUND((LOG10(_xlfn.XLOOKUP(B6,'Base stats'!B:B,'Base stats'!AR:AR))*(AN6^0.5)+(_xlfn.XLOOKUP(B6,'Base stats'!B:B,'Base stats'!AR:AR)/1000)^(2/3)+_xlfn.XLOOKUP(B6,'Base stats'!B:B,'Base stats'!AW:AW))+0.5+IF(_xlfn.XLOOKUP(_xlfn.XLOOKUP(B6,'Base stats'!B:B,'Base stats'!E:E),Groups!A:A,Groups!U:U)&lt;&gt;3,_xlfn.XLOOKUP(B6,'Base stats'!B:B,'Base stats'!AX:AX),0),0.5))</f>
        <v>No</v>
      </c>
      <c r="X6" s="7" t="str">
        <f>IF(W6="No","No",MAX(_xlfn.XLOOKUP(_xlfn.XLOOKUP(B6,'Base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Y6" s="7" t="str">
        <f>IF(W6="No","No",_xlfn.XLOOKUP(_xlfn.XLOOKUP(B6,'Base stats'!B:B,'Base stats'!E:E),Groups!A:A,Groups!W:W))</f>
        <v>No</v>
      </c>
      <c r="Z6" s="7" t="str">
        <f>IF(W6="No","No",_xlfn.XLOOKUP(_xlfn.XLOOKUP(B6,'Base stats'!B:B,'Base stats'!E:E),Groups!A:A,Groups!X:X))</f>
        <v>No</v>
      </c>
      <c r="AA6" s="7" t="str">
        <f>IF(W6="No","No",_xlfn.XLOOKUP(_xlfn.XLOOKUP(B6,'Base stats'!B:B,'Base stats'!E:E),Groups!A:A,Groups!Y:Y))</f>
        <v>No</v>
      </c>
      <c r="AB6" s="7" t="str">
        <f>_xlfn.XLOOKUP(Animals!B6,'Base stats'!B:B,'Base stats'!X:X)</f>
        <v>False</v>
      </c>
      <c r="AC6" s="13">
        <f>IF(_xlfn.XLOOKUP(B6,'Base stats'!B:B,'Base stats'!AQ:AQ)="No","No",MROUND((LOG10(_xlfn.XLOOKUP(B6,'Base stats'!B:B,'Base stats'!AQ:AQ))*(AN6^0.75)+(_xlfn.XLOOKUP(B6,'Base stats'!B:B,'Base stats'!AQ:AQ)/1000)^(2/3)+_xlfn.XLOOKUP(B6,'Base stats'!B:B,'Base stats'!AU:AU)+_xlfn.XLOOKUP(B6,'Base stats'!B:B,'Base stats'!AX:AX))+0.5,0.5))</f>
        <v>6.5</v>
      </c>
      <c r="AD6" s="7">
        <f>IF(AC6="No","No",MAX(_xlfn.XLOOKUP(_xlfn.XLOOKUP(B6,'Base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E6" s="7" t="str">
        <f>IF(AC6="No","No",_xlfn.XLOOKUP(_xlfn.XLOOKUP(B6,'Base stats'!B:B,'Base stats'!E:E),Groups!A:A,Groups!AA:AA))</f>
        <v>Beak</v>
      </c>
      <c r="AF6" s="7" t="str">
        <f>IF(AC6="No","No",_xlfn.XLOOKUP(_xlfn.XLOOKUP(B6,'Base stats'!B:B,'Base stats'!E:E),Groups!A:A,Groups!AB:AB))</f>
        <v>beak</v>
      </c>
      <c r="AG6" s="7" t="str">
        <f>IF(AC6="No","No",_xlfn.XLOOKUP(_xlfn.XLOOKUP(B6,'Base stats'!B:B,'Base stats'!E:E),Groups!A:A,Groups!AC:AC))</f>
        <v>Blunt</v>
      </c>
      <c r="AH6" s="13" t="str">
        <f>IF(_xlfn.XLOOKUP(_xlfn.XLOOKUP(B6,'Base stats'!B:B,'Base stats'!E:E),Groups!A:A,Groups!AD:AD)=0,"No",MROUND((LOG10(_xlfn.XLOOKUP(B6,'Base stats'!B:B,'Base stats'!AP:AP))*(AN6^0.75)+(_xlfn.XLOOKUP(B6,'Base stats'!B:B,'Base stats'!AP:AP)/1000)^(2/3)+_xlfn.XLOOKUP(B6,'Base stats'!B:B,'Base stats'!AV:AV)+_xlfn.XLOOKUP(B6,'Base stats'!B:B,'Base stats'!AX:AX))+0.5,0.5))</f>
        <v>No</v>
      </c>
      <c r="AI6" s="7" t="str">
        <f>IF(AH6="No","No",MAX(_xlfn.XLOOKUP(_xlfn.XLOOKUP(B6,'Base stats'!B:B,'Base stats'!E:E),Groups!A:A,Groups!AE:AE),MROUND(_xlfn.XLOOKUP(_xlfn.XLOOKUP(B6,'Base stats'!B:B,'Base stats'!E:E),Groups!A:A,Groups!AE:AE)*_xlfn.XLOOKUP(B6,'Base stats'!B:B,'Base stats'!C:C)^0.165,0.05)))</f>
        <v>No</v>
      </c>
      <c r="AJ6" s="7" t="str">
        <f>IF(AH6="No","No",_xlfn.XLOOKUP(_xlfn.XLOOKUP(B6,'Base stats'!B:B,'Base stats'!E:E),Groups!A:A,Groups!AF:AF))</f>
        <v>No</v>
      </c>
      <c r="AK6" s="7" t="str">
        <f>IF(AH6="No","No",_xlfn.XLOOKUP(_xlfn.XLOOKUP(B6,'Base stats'!B:B,'Base stats'!E:E),Groups!A:A,Groups!AG:AG))</f>
        <v>No</v>
      </c>
      <c r="AL6" s="7" t="str">
        <f>IF(AH6="No","No",_xlfn.XLOOKUP(_xlfn.XLOOKUP(B6,'Base stats'!B:B,'Base stats'!E:E),Groups!A:A,Groups!AH:AH))</f>
        <v>No</v>
      </c>
      <c r="AM6" s="2" t="str">
        <f t="shared" si="0"/>
        <v>No</v>
      </c>
      <c r="AN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O6" s="8">
        <f>MROUND(AN6*_xlfn.XLOOKUP(_xlfn.XLOOKUP(B6,'Base stats'!B:B,'Base stats'!E:E),Groups!A:A,Groups!AI:AI),0.05)</f>
        <v>0.8</v>
      </c>
      <c r="AP6" s="8">
        <f>MAX(0.01,MROUND(IF(CA6="True",0.196*(AN6*100*1000)^0.889,IF(_xlfn.XLOOKUP(_xlfn.XLOOKUP(B6,'Base stats'!B:B,'Base stats'!E:E),Groups!A:A,Groups!AJ:AJ)="Bird",10.5*(AN6*100*1000)^0.681,4.82*(AN6*100*1000)^0.734))/(4.82*(1*100*1000)^0.734)/IF(AN6&lt;3.5,2,IF(AN6=3.5,1.5,1.25))*(1+0.132282374779864/(AN6^0.994035016789033+0.00905238001496948)),0.05))</f>
        <v>0.60000000000000009</v>
      </c>
      <c r="AQ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R6" s="35" t="str">
        <f>IFERROR(IF(_xlfn.XLOOKUP(B6,'Base stats'!B:B,'Base stats'!F:F)="Lay eggs","Lay eggs",MIN(20,MAX(5.5,ROUND(((_xlfn.XLOOKUP(B6,'Base stats'!B:B,'Base stats'!F:F)-25)*(14.5/615) + 5.5)*2,0)/2))),"Cannot breed")</f>
        <v>Lay eggs</v>
      </c>
      <c r="AS6" s="8">
        <f>IF(OR(A6="Queen",A6="Larva"),"No",IFERROR(MAX(IF(_xlfn.XLOOKUP(B6,'Base stats'!B:B,'Base stats'!G:G)&lt;0.5,0.2,0.3),MROUND(_xlfn.XLOOKUP(B6,'Base stats'!B:B,'Base stats'!G:G)/(365/60),0.2)),"Unknown"))</f>
        <v>0.60000000000000009</v>
      </c>
      <c r="AT6" s="8">
        <f t="shared" si="1"/>
        <v>0.30000000000000004</v>
      </c>
      <c r="AU6" s="8" t="str">
        <f>IFERROR(IFERROR(MROUND(_xlfn.XLOOKUP(B6,'Base stats'!B:B,'Base stats'!J:J),0.1),"Lay eggs"),"Cannot breed")</f>
        <v>Lay eggs</v>
      </c>
      <c r="AV6" s="2" t="str">
        <f t="shared" si="2"/>
        <v>false</v>
      </c>
      <c r="AW6" s="2" t="str">
        <f>IF(_xlfn.XLOOKUP(_xlfn.XLOOKUP(Animals!B6,'Base stats'!B:B,'Base stats'!E:E),Groups!A:A,Groups!AK:AK)=1,"true","false")</f>
        <v>false</v>
      </c>
      <c r="AX6" s="25" t="str">
        <f>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</f>
        <v>VegetarianRoughAnimal</v>
      </c>
      <c r="AY6" s="2">
        <f>IF(_xlfn.XLOOKUP(_xlfn.XLOOKUP(B6,'Base stats'!B:B,'Base stats'!E:E),Groups!A:A,Groups!D:D)=1,MROUND((1-I6)*5+1,2)*IF(I6&lt;=0.4,2,1),"No")</f>
        <v>2</v>
      </c>
      <c r="AZ6" s="2" t="str">
        <f>_xlfn.XLOOKUP(B6,'Base stats'!B:B,'Base stats'!AE:AE)</f>
        <v>Leather_Bird</v>
      </c>
      <c r="BA6" s="23" t="str">
        <f>_xlfn.XLOOKUP(_xlfn.XLOOKUP(B6,'Base stats'!B:B,'Base stats'!E:E),Groups!A:A,Groups!AL:AL)</f>
        <v>Bird</v>
      </c>
      <c r="BB6" s="23">
        <f>MROUND(IF(AND(AN6&lt;0.5,_xlfn.XLOOKUP(B6,'Base stats'!B:B,'Base stats'!Z:Z)=0),0,IF(OR(_xlfn.XLOOKUP(Animals!B6,'Base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stats'!AA:AA),0.005)</f>
        <v>2.5000000000000001E-2</v>
      </c>
      <c r="BC6" s="23">
        <f>MROUND(IF(AND(AN6&lt;0.5,_xlfn.XLOOKUP(B6,'Base stats'!B:B,'Base stats'!Z:Z)=0),0,IF(_xlfn.XLOOKUP(_xlfn.XLOOKUP(B6,'Base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stats'!AB:AB),0.005)</f>
        <v>0.1</v>
      </c>
      <c r="BD6" s="2" t="str">
        <f>IF(I6&gt;0.3,"No",_xlfn.XLOOKUP(_xlfn.XLOOKUP(Animals!B6,'Base stats'!B:B,'Base stats'!E:E),Groups!A:A,Groups!AP:AP))</f>
        <v>No</v>
      </c>
      <c r="BE6" s="2" t="str">
        <f>IF(AND(I6&lt;=0.65,_xlfn.XLOOKUP(_xlfn.XLOOKUP(Animals!B6,'Base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stats'!O:O)=2,0.2,AN6) + 24*(1-IF(BD6="No",0,BD6)) + 16/3, 12),"No")</f>
        <v>No</v>
      </c>
      <c r="BF6" s="2">
        <f>IF(AND(_xlfn.XLOOKUP(_xlfn.XLOOKUP(B6,'Base stats'!B:B,'Base stats'!E:E),Groups!A:A,Groups!AQ:AQ)=1,AN6&lt;=0.35),8,12)</f>
        <v>12</v>
      </c>
      <c r="BG6" s="2" t="str">
        <f>IF(_xlfn.XLOOKUP(_xlfn.XLOOKUP(B6,'Base stats'!B:B,'Base stats'!E:E),Groups!A:A,Groups!D:D)=0,_xlfn.XLOOKUP(_xlfn.XLOOKUP(B6,'Base stats'!B:B,'Base stats'!E:E),Groups!A:A,Groups!AR:AR),"None")</f>
        <v>None</v>
      </c>
      <c r="BH6" s="2" t="str">
        <f>IF(AND(_xlfn.XLOOKUP(_xlfn.XLOOKUP(B6,'Base stats'!B:B,'Base stats'!E:E),Groups!A:A,Groups!AS:AS)=1,OR('Base stats'!Y6="Carnivore",'Base stats'!Y6="Omnivore")),"true","false")</f>
        <v>false</v>
      </c>
      <c r="BI6" s="2" t="str">
        <f>IF(BH6="true",MROUND(IF(AND(AN6&gt;0.5,_xlfn.XLOOKUP(_xlfn.XLOOKUP(B6,'Base stats'!B:B,'Base stats'!E:E),Groups!A:A,Groups!AJ:AJ)="Mammal"),Animals!AN6*1.75*IF(AV6="true",1.5,1),Animals!AN6),IF(AN6&gt;2,0.5,IF(AN6&gt;0.5,0.25,0.1))),"No")</f>
        <v>No</v>
      </c>
      <c r="BJ6" s="2">
        <f t="shared" si="3"/>
        <v>0</v>
      </c>
      <c r="BK6" s="25" t="str">
        <f>IF('Base stats'!AK6="Standard","No",MROUND((_xlfn.XLOOKUP(B6,'Base stats'!B:B,'Base stats'!AK:AK)/3.6)/H6,0.1))</f>
        <v>No</v>
      </c>
      <c r="BL6" s="25" t="str">
        <f t="shared" si="4"/>
        <v>false</v>
      </c>
      <c r="BM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N6" s="25" t="str" cm="1">
        <f t="array" ref="BN6">IF(
  _xlfn.TEXTJOIN(", ",TRUE,
    IF(AND(BH6="true",AN6&gt;0.5,BG6&lt;&gt;"None"),"AttackTarget",""),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IF(BE6&lt;=36,"Comfort",""),
    IF(_xlfn.XLOOKUP(B6,'Base stats'!B:B,'Base stats'!AC:AC)&lt;&gt;"No",_xlfn.XLOOKUP(B6,'Base stats'!B:B,'Base stats'!AC:AC),"")
  ) = "",
  "No",
  _xlfn.TEXTJOIN(", ",TRUE,
    IF(AND(BH6="true",AN6&gt;0.5,BG6&lt;&gt;"None"),"AttackTarget",""),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IF(BE6&lt;=36,"Comfort",""),
    IF(_xlfn.XLOOKUP(B6,'Base stats'!B:B,'Base stats'!AC:AC)&lt;&gt;"No",_xlfn.XLOOKUP(B6,'Base stats'!B:B,'Base stats'!AC:AC),"")
  )
)</f>
        <v>No</v>
      </c>
      <c r="BO6" s="25" t="str">
        <f>IF(
   AND(
      'Base stats'!AK6="Standard",_xlfn.XLOOKUP(_xlfn.XLOOKUP(B6,'Base stats'!B:B,'Base stats'!E:E),Groups!A:A,Groups!AU:AU)=0,
      OR(
      BM6="True"
      )
   ),
   10,
   IF(
       OR(BK6&lt;&gt;"No",_xlfn.XLOOKUP(_xlfn.XLOOKUP(B6,'Base stats'!B:B,'Base stats'!E:E),Groups!A:A,Groups!AU:AU)=1),
      1,
      "No"
   )
)</f>
        <v>No</v>
      </c>
      <c r="BP6" s="9">
        <f>MROUND((1 + ((0.2*IF(OR(P6="No",Q6="No",Q6=0),0,P6/Q6)
+IF(OR(U6="No",R6="No",S6="No"),0,R6/S6*(LEN(U6)-LEN(SUBSTITUTE(U6,",",""))+1))
+IF(OR(W6="No",X6="No"),0,W6/X6)
+IF(OR(AC6="No",AD6="No"),0,AC6/AD6)
+IF(OR(AK6="No",AH6="No",AI6="No"),0,AH6/AI6*(LEN(AK6)-LEN(SUBSTITUTE(AK6,",",""))+1))
)/(0.2*IF(OR(P6="No",Q6="No",Q6=0),0,1)
+IF(OR(U6="No",R6="No",S6="No"),0,LEN(U6)-LEN(SUBSTITUTE(U6,",",""))+1)
+IF(OR(W6="No",X6="No"),0,1)
+IF(OR(AC6="No",AD6="No"),0,1)
+IF(OR(AK6="No",AH6="No",AI6="No"),0,LEN(AK6)-LEN(SUBSTITUTE(AK6,",",""))+1))*62%)* 2)*(1 + (AO6 + _xlfn.XLOOKUP(B6,'Base stats'!B:B,'Base stats'!AS:AS) * 1.8) * 2) * 2.5 + 10 + H6 * 2,5)+IF(_xlfn.XLOOKUP(B6,'Base stats'!B:B,'Base stats'!AH:AH)=1,50,0)</f>
        <v>70</v>
      </c>
      <c r="BQ6" s="8">
        <f t="shared" si="5"/>
        <v>0.65</v>
      </c>
      <c r="BR6" s="8" t="str">
        <f>_xlfn.XLOOKUP(B6,'Base stats'!B:B,'Base stats'!AD:AD)</f>
        <v>No</v>
      </c>
      <c r="BS6" s="2" t="str">
        <f>IF(AND(I6&lt;=0.95,OR(_xlfn.XLOOKUP(B6,'Base stats'!B:B,'Base stats'!AH:AH)=1,_xlfn.XLOOKUP(B6,'Base stats'!B:B,'Base stats'!Y:Y)="Carnivore",_xlfn.XLOOKUP(B6,'Base stats'!B:B,'Base stats'!Y:Y)="Omnivore",BC6&gt;0.1)),"true","false")</f>
        <v>false</v>
      </c>
      <c r="BT6" s="2" t="str">
        <f>IF(_xlfn.XLOOKUP(B6,'Base stats'!B:B,'Base stats'!AF:AF)=1,"true","false")</f>
        <v>false</v>
      </c>
      <c r="BU6" s="25" t="str">
        <f>IF(E6="BaseInsect","AnimalInsect",
IF(I6&gt;0.95,"AnimalExotic",
_xlfn.TEXTJOIN(", ",TRUE,
IF(AND(_xlfn.XLOOKUP(B6,'Base stats'!B:B,'Base stats'!O:O)=0,_xlfn.XLOOKUP(_xlfn.XLOOKUP(B6,'Base stats'!B:B,'Base stats'!E:E),Groups!A:A,Groups!B:B)&gt;0),"AnimalUncommon","AnimalCommon"),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stats'!AH:AH)=1,AND(BG6&lt;&gt;"None",BP6&gt;=60),ISNUMBER(SEARCH("Attack target",BN6))),"AnimalFighter","")
)))</f>
        <v>AnimalUncommon</v>
      </c>
      <c r="BV6" s="25" t="str">
        <f>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</f>
        <v>TropicalRainforest TropicalSwamp Glowforest</v>
      </c>
      <c r="BW6" s="25" t="str">
        <f>IF(_xlfn.XLOOKUP(B6,'Base stats'!B:B,'Base stats'!AG:AG)=1,"true","false")</f>
        <v>false</v>
      </c>
      <c r="BX6" s="25">
        <f>IF(_xlfn.XLOOKUP(B6,'Base stats'!B:B,'Base stats'!N:N)=1,"No",MIN(MROUND(IF(OR(_xlfn.XLOOKUP(B6,'Base stats'!B:B,'Base stats'!AJ:AJ)=1,AND(BH6="True",CA6="False")),POWER(10,3.47*LOG10(_xlfn.XLOOKUP(B6,'Base stats'!B:B,'Base stats'!C:C)*1000)^-0.96),POWER(10,4.15*LOG10(_xlfn.XLOOKUP(B6,'Base stats'!B:B,'Base stats'!C:C)*1000)^-0.73))*IF(OR(_xlfn.XLOOKUP(B6,'Base stats'!B:B,'Base stats'!AJ:AJ)=1,_xlfn.XLOOKUP(B6,'Base stats'!B:B,'Base stats'!AH:AH)=1),0.5,1)/100,0.025),1))</f>
        <v>0.22500000000000001</v>
      </c>
      <c r="BY6" s="25" t="str">
        <f>IF(O6="Standard","No",IF(_xlfn.XLOOKUP(B6,'Base stats'!B:B,'Base stats'!N:N)=0,MROUND(BX6*O6,0.05),MIN(1,MAX(0.025,MROUND(IF(OR(CA6="true",AND(BH6="false",BM6="false")),POWER(10,4.15*LOG10(_xlfn.XLOOKUP(B6,'Base stats'!B:B,'Base stats'!C:C)*1000)^-0.73),POWER(10,3.47*LOG10(_xlfn.XLOOKUP(B6,'Base stats'!B:B,'Base stats'!C:C)*1000)^-0.96))*IF(_xlfn.XLOOKUP(B6,'Base stats'!B:B,'Base stats'!AH:AH)=1,0.5,1)/100,0.025)))))</f>
        <v>No</v>
      </c>
      <c r="BZ6" s="25" t="str">
        <f>IF(_xlfn.XLOOKUP(_xlfn.XLOOKUP(B6,'Base stats'!B:B,'Base stats'!E:E),Groups!A:A,Groups!AJ:AJ)="Mammal","True","False")</f>
        <v>False</v>
      </c>
      <c r="CA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B6" s="25" t="str">
        <f t="shared" si="6"/>
        <v>False</v>
      </c>
      <c r="CC6" s="25" t="str">
        <f>IF(_xlfn.XLOOKUP(_xlfn.XLOOKUP(B6,'Base stats'!B:B,'Base stats'!E:E),Groups!A:A,Groups!AW:AW),"True","False")</f>
        <v>False</v>
      </c>
      <c r="CD6" s="25" t="str">
        <f>IF(_xlfn.XLOOKUP(_xlfn.XLOOKUP(B6,'Base stats'!B:B,'Base stats'!E:E),Groups!A:A,Groups!AX:AX),"True","False")</f>
        <v>False</v>
      </c>
      <c r="CE6" s="25" t="str">
        <f>IF(_xlfn.XLOOKUP(B6,'Base stats'!B:B,'Base stats'!E:E)=1,"True","False")</f>
        <v>False</v>
      </c>
      <c r="CF6" s="25" t="str">
        <f>IF(
OR(
_xlfn.XLOOKUP(_xlfn.XLOOKUP(B6,'Base stats'!B:B,'Base stats'!E:E),Groups!A:A,Groups!AY:AY)=0,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stats'!E:E),Groups!A:A,Groups!AY:AY)=1,
"Flesh",
IF(
_xlfn.XLOOKUP(_xlfn.XLOOKUP(B6,'Base stats'!B:B,'Base stats'!E:E),Groups!A:A,Groups!AY:AY)=2,
"Bone",
""
)
)
)</f>
        <v>No</v>
      </c>
      <c r="CG6" s="25" t="str">
        <f>IF(_xlfn.XLOOKUP(_xlfn.XLOOKUP(B6,'Base stats'!B:B,'Base stats'!E:E),Groups!A:A,Groups!BA:BA),"True","False")</f>
        <v>True</v>
      </c>
      <c r="CH6" s="25" t="str">
        <f>IF(_xlfn.XLOOKUP(_xlfn.XLOOKUP(B6,'Base stats'!B:B,'Base stats'!E:E),Groups!A:A,Groups!AZ:AZ),"True","False")</f>
        <v>False</v>
      </c>
      <c r="CM6" s="16"/>
    </row>
    <row r="7" spans="1:91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690</v>
      </c>
      <c r="D7" s="28" t="s">
        <v>45</v>
      </c>
      <c r="E7" s="28" t="s">
        <v>687</v>
      </c>
      <c r="F7" s="28" t="s">
        <v>688</v>
      </c>
      <c r="G7" s="2">
        <f>MROUND((
  (IF(AND(_xlfn.XLOOKUP(B7,'Base stats'!B:B,'Base stats'!AI:AI)=0,BG7="None",_xlfn.XLOOKUP('Base stats'!E7,Groups!A:A,Groups!B:B)=0), (18 + BP7 * 2.7) * 0.5,
    IF(AND(_xlfn.XLOOKUP(B7,'Base stats'!B:B,'Base stats'!AI:AI)=0,OR(AN7&lt;0.55,AND(BG7="Intermediate",_xlfn.XLOOKUP('Base stats'!E7,Groups!A:A,Groups!B:B)&lt;2))), (18 + BP7 * 2.7),
      IF(OR(BG7="Advanced",_xlfn.XLOOKUP(B7,'Base stats'!B:B,'Base stats'!AI:AI)=1,_xlfn.XLOOKUP('Base stats'!E7,Groups!A:A,Groups!B:B)=2), (18 + BP7 * 2.7) + 250, (18 + BP7 * 2.7))
    )
  ))
  + AN7 * 80
  + IF(COUNTIF(EggMilk!K$2:K$998, A7) &gt; 0, 125, 0)
  + IF(COUNTIF(EggMilk!P$2:P$998, A7) &gt; 0, 90, 0)
  + IF(COUNTIF(EggMilk!A$2:A$998, A7) &gt; 0, 90, 0)
)
* (0.8 + 0.4 * I7)
* 0.75,25)</f>
        <v>200</v>
      </c>
      <c r="H7" s="2">
        <f>MROUND(ROUNDDOWN(_xlfn.XLOOKUP(B7,'Base stats'!B:B,'Base stats'!L:L)/3.6/(23.3/11),1),0.5)</f>
        <v>5</v>
      </c>
      <c r="I7" s="2">
        <f>IF(_xlfn.XLOOKUP(B7,'Base stats'!B:B,'Base stats'!AI:AI)=1,0.99,MIN(MROUND((1-0.6282*EXP(-0.459*AN7))*_xlfn.XLOOKUP(_xlfn.XLOOKUP(B7,'Base stats'!B:B,'Base stats'!E:E),Groups!A:A,Groups!C:C)*IF(_xlfn.XLOOKUP(B7,'Base stats'!B:B,'Base stats'!O:O)=1,0.5,IF(_xlfn.XLOOKUP(B7,'Base stats'!B:B,'Base stats'!O:O)=2,0,1)),0.05),0.985))</f>
        <v>0.70000000000000007</v>
      </c>
      <c r="J7" s="2">
        <f>ROUNDUP(AN7*_xlfn.XLOOKUP(_xlfn.XLOOKUP(B7,'Base stats'!B:B,'Base stats'!E:E),Groups!A:A,Groups!E:E),0)</f>
        <v>9</v>
      </c>
      <c r="K7" s="2">
        <f>IF(OR(_xlfn.XLOOKUP(_xlfn.XLOOKUP(B7,'Base stats'!B:B,'Base stats'!E:E),Groups!A:A,Groups!F:F)=2,ISNUMBER(SEARCH("SeaIce",BV7)),ISNUMBER(SEARCH("IceSheet",BV7))),-50,IF(OR(ISNUMBER(SEARCH("GlacialPlain",BV7)),ISNUMBER(SEARCH("Tundra",BV7))),-40,IF(OR(ISNUMBER(SEARCH("Alpine",BV7)),ISNUMBER(SEARCH("BorealForest",BV7)),ISNUMBER(SEARCH("ColdBog",BV7))),-30,IF(OR(ISNUMBER(SEARCH("TemperateForest",BV7)),ISNUMBER(SEARCH("TemperateSwamp",BV7))),-20,IF(_xlfn.XLOOKUP(_xlfn.XLOOKUP(B7,'Base stats'!B:B,'Base stats'!E:E),Groups!A:A,Groups!F:F)=1,-15,IF(OR(ISNUMBER(SEARCH("Desert",BV7)),ISNUMBER(SEARCH("ExtremeDesert",BV7))),-10,IF(OR(ISNUMBER(SEARCH("Grasslands",BV7)),ISNUMBER(SEARCH("TropicalRainforest",BV7)),ISNUMBER(SEARCH("TropicalSwamp",BV7))),10,0)))))))-IF(CA7="False",MIN(IFERROR(MAX(MROUND(LOG10(_xlfn.XLOOKUP(B7,'Base stats'!B:B,'Base stats'!C:C)^(2/3))*10,5),5),5),30))-_xlfn.XLOOKUP(B7,'Base stats'!B:B,'Base stats'!P:P)+IF(CA7="True",5,0)</f>
        <v>-20</v>
      </c>
      <c r="L7" s="2">
        <f>IF(OR(_xlfn.XLOOKUP(_xlfn.XLOOKUP(B7,'Base stats'!B:B,'Base stats'!E:E),Groups!A:A,Groups!G:G)=2,ISNUMBER(SEARCH("Desert",BV7)),ISNUMBER(SEARCH("ExtremeDesert",BV7)),ISNUMBER(SEARCH("LavaField",BV7))),50,IF(ISNUMBER(SEARCH("Grasslands",BV7)),45,IF(OR(_xlfn.XLOOKUP(_xlfn.XLOOKUP(B7,'Base stats'!B:B,'Base stats'!E:E),Groups!A:A,Groups!G:G)=1,ISNUMBER(SEARCH("TropicalRainforest",BV7)),ISNUMBER(SEARCH("TropicalSwamp",BV7))),40,IF(OR(ISNUMBER(SEARCH("TemperateForest",BV7)),ISNUMBER(SEARCH("TemperateSwamp",BV7))),35,IF(OR(ISNUMBER(SEARCH("Alpine",BV7)),ISNUMBER(SEARCH("BorealForest",BV7)),ISNUMBER(SEARCH("ColdBog",BV7))),30,IF(ISNUMBER(OR(ISNUMBER(SEARCH("GlacialPlain",BV7)),SEARCH("Tundra",BV7))),25,IF(OR(ISNUMBER(SEARCH("SeaIce",BV7)),ISNUMBER(SEARCH("IceSheet",BV7)),ISNUMBER(SEARCH("TropicalSwamp",BV7))),10,35)))))))+_xlfn.XLOOKUP(B7,'Base stats'!B:B,'Base stats'!Q:Q)</f>
        <v>50</v>
      </c>
      <c r="M7" s="8" t="str">
        <f>IF(_xlfn.XLOOKUP(_xlfn.XLOOKUP(B7,'Base stats'!B:B,'Base stats'!E:E),Groups!A:A,Groups!L:L)=1,MIN(MROUND(_xlfn.XLOOKUP(B7,'Animals CE'!B:B,'Animals CE'!Z:Z)/2+0.05,0.05),200%),"No")</f>
        <v>No</v>
      </c>
      <c r="N7" s="8" t="str">
        <f>IF(_xlfn.XLOOKUP(_xlfn.XLOOKUP(B7,'Base stats'!B:B,'Base stats'!E:E),Groups!A:A,Groups!L:L)=1,MIN(MROUND(_xlfn.XLOOKUP(B7,'Animals CE'!B:B,'Animals CE'!AA:AA)/2+0.05,0.05),200%),"No")</f>
        <v>No</v>
      </c>
      <c r="O7" s="2" t="str">
        <f>_xlfn.XLOOKUP(B7,'Base stats'!B:B,'Base stats'!R:R)</f>
        <v>Standard</v>
      </c>
      <c r="P7" s="13">
        <f>MROUND((LOG10(_xlfn.XLOOKUP(B7,'Base stats'!B:B,'Base stats'!AO:AO))*(AN7^0.5)+(_xlfn.XLOOKUP(B7,'Base stats'!B:B,'Base stats'!AO:AO)/1000)^(2/3)+_xlfn.XLOOKUP(B7,'Base stats'!B:B,'Base stats'!AX:AX)/2)+0.5,0.5)</f>
        <v>6</v>
      </c>
      <c r="Q7" s="7">
        <f>IF(P7="No","No",MAX(1,MROUND(_xlfn.XLOOKUP(B7,'Base stats'!B:B,'Base stats'!C:C)^0.165,0.05)))</f>
        <v>1.85</v>
      </c>
      <c r="R7" s="13">
        <f>IF(_xlfn.XLOOKUP(_xlfn.XLOOKUP(B7,'Base stats'!B:B,'Base stats'!E:E),Groups!A:A,Groups!P:P)=0,"No",MROUND((LOG10(_xlfn.XLOOKUP(B7,'Base stats'!B:B,'Base stats'!AP:AP))*(AN7^0.5)+(_xlfn.XLOOKUP(B7,'Base stats'!B:B,'Base stats'!AP:AP)/1000)^(2/3)+_xlfn.XLOOKUP(B7,'Base stats'!B:B,'Base stats'!AX:AX))+_xlfn.XLOOKUP(B7,'Base stats'!B:B,'Base stats'!AV:AV)+0.5,0.5))</f>
        <v>8.5</v>
      </c>
      <c r="S7" s="7">
        <f>IF(R7="No","No",MAX(_xlfn.XLOOKUP(_xlfn.XLOOKUP(B7,'Base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T7" s="7" t="str">
        <f>IF(R7="No","No",_xlfn.XLOOKUP(_xlfn.XLOOKUP(B7,'Base stats'!B:B,'Base stats'!E:E),Groups!A:A,Groups!R:R))</f>
        <v>Feet</v>
      </c>
      <c r="U7" s="7" t="str">
        <f>IF(R7="No","No",_xlfn.XLOOKUP(_xlfn.XLOOKUP(B7,'Base stats'!B:B,'Base stats'!E:E),Groups!A:A,Groups!S:S))</f>
        <v>rear left claw, rear  right claw</v>
      </c>
      <c r="V7" s="7" t="str">
        <f>IF(R7="No","No",_xlfn.XLOOKUP(_xlfn.XLOOKUP(B7,'Base stats'!B:B,'Base stats'!E:E),Groups!A:A,Groups!T:T))</f>
        <v>Scratch</v>
      </c>
      <c r="W7" s="13" t="str">
        <f>IF(_xlfn.XLOOKUP(B7,'Base stats'!B:B,'Base stats'!W:W)="No","No",MROUND((LOG10(_xlfn.XLOOKUP(B7,'Base stats'!B:B,'Base stats'!AR:AR))*(AN7^0.5)+(_xlfn.XLOOKUP(B7,'Base stats'!B:B,'Base stats'!AR:AR)/1000)^(2/3)+_xlfn.XLOOKUP(B7,'Base stats'!B:B,'Base stats'!AW:AW))+0.5+IF(_xlfn.XLOOKUP(_xlfn.XLOOKUP(B7,'Base stats'!B:B,'Base stats'!E:E),Groups!A:A,Groups!U:U)&lt;&gt;3,_xlfn.XLOOKUP(B7,'Base stats'!B:B,'Base stats'!AX:AX),0),0.5))</f>
        <v>No</v>
      </c>
      <c r="X7" s="7" t="str">
        <f>IF(W7="No","No",MAX(_xlfn.XLOOKUP(_xlfn.XLOOKUP(B7,'Base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Y7" s="7" t="str">
        <f>IF(W7="No","No",_xlfn.XLOOKUP(_xlfn.XLOOKUP(B7,'Base stats'!B:B,'Base stats'!E:E),Groups!A:A,Groups!W:W))</f>
        <v>No</v>
      </c>
      <c r="Z7" s="7" t="str">
        <f>IF(W7="No","No",_xlfn.XLOOKUP(_xlfn.XLOOKUP(B7,'Base stats'!B:B,'Base stats'!E:E),Groups!A:A,Groups!X:X))</f>
        <v>No</v>
      </c>
      <c r="AA7" s="7" t="str">
        <f>IF(W7="No","No",_xlfn.XLOOKUP(_xlfn.XLOOKUP(B7,'Base stats'!B:B,'Base stats'!E:E),Groups!A:A,Groups!Y:Y))</f>
        <v>No</v>
      </c>
      <c r="AB7" s="7" t="str">
        <f>_xlfn.XLOOKUP(Animals!B7,'Base stats'!B:B,'Base stats'!X:X)</f>
        <v>False</v>
      </c>
      <c r="AC7" s="13">
        <f>IF(_xlfn.XLOOKUP(B7,'Base stats'!B:B,'Base stats'!AQ:AQ)="No","No",MROUND((LOG10(_xlfn.XLOOKUP(B7,'Base stats'!B:B,'Base stats'!AQ:AQ))*(AN7^0.75)+(_xlfn.XLOOKUP(B7,'Base stats'!B:B,'Base stats'!AQ:AQ)/1000)^(2/3)+_xlfn.XLOOKUP(B7,'Base stats'!B:B,'Base stats'!AU:AU)+_xlfn.XLOOKUP(B7,'Base stats'!B:B,'Base stats'!AX:AX))+0.5,0.5))</f>
        <v>6</v>
      </c>
      <c r="AD7" s="7">
        <f>IF(AC7="No","No",MAX(_xlfn.XLOOKUP(_xlfn.XLOOKUP(B7,'Base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E7" s="7" t="str">
        <f>IF(AC7="No","No",_xlfn.XLOOKUP(_xlfn.XLOOKUP(B7,'Base stats'!B:B,'Base stats'!E:E),Groups!A:A,Groups!AA:AA))</f>
        <v>Beak</v>
      </c>
      <c r="AF7" s="7" t="str">
        <f>IF(AC7="No","No",_xlfn.XLOOKUP(_xlfn.XLOOKUP(B7,'Base stats'!B:B,'Base stats'!E:E),Groups!A:A,Groups!AB:AB))</f>
        <v>beak</v>
      </c>
      <c r="AG7" s="7" t="str">
        <f>IF(AC7="No","No",_xlfn.XLOOKUP(_xlfn.XLOOKUP(B7,'Base stats'!B:B,'Base stats'!E:E),Groups!A:A,Groups!AC:AC))</f>
        <v>Blunt</v>
      </c>
      <c r="AH7" s="13" t="str">
        <f>IF(_xlfn.XLOOKUP(_xlfn.XLOOKUP(B7,'Base stats'!B:B,'Base stats'!E:E),Groups!A:A,Groups!AD:AD)=0,"No",MROUND((LOG10(_xlfn.XLOOKUP(B7,'Base stats'!B:B,'Base stats'!AP:AP))*(AN7^0.75)+(_xlfn.XLOOKUP(B7,'Base stats'!B:B,'Base stats'!AP:AP)/1000)^(2/3)+_xlfn.XLOOKUP(B7,'Base stats'!B:B,'Base stats'!AV:AV)+_xlfn.XLOOKUP(B7,'Base stats'!B:B,'Base stats'!AX:AX))+0.5,0.5))</f>
        <v>No</v>
      </c>
      <c r="AI7" s="7" t="str">
        <f>IF(AH7="No","No",MAX(_xlfn.XLOOKUP(_xlfn.XLOOKUP(B7,'Base stats'!B:B,'Base stats'!E:E),Groups!A:A,Groups!AE:AE),MROUND(_xlfn.XLOOKUP(_xlfn.XLOOKUP(B7,'Base stats'!B:B,'Base stats'!E:E),Groups!A:A,Groups!AE:AE)*_xlfn.XLOOKUP(B7,'Base stats'!B:B,'Base stats'!C:C)^0.165,0.05)))</f>
        <v>No</v>
      </c>
      <c r="AJ7" s="7" t="str">
        <f>IF(AH7="No","No",_xlfn.XLOOKUP(_xlfn.XLOOKUP(B7,'Base stats'!B:B,'Base stats'!E:E),Groups!A:A,Groups!AF:AF))</f>
        <v>No</v>
      </c>
      <c r="AK7" s="7" t="str">
        <f>IF(AH7="No","No",_xlfn.XLOOKUP(_xlfn.XLOOKUP(B7,'Base stats'!B:B,'Base stats'!E:E),Groups!A:A,Groups!AG:AG))</f>
        <v>No</v>
      </c>
      <c r="AL7" s="7" t="str">
        <f>IF(AH7="No","No",_xlfn.XLOOKUP(_xlfn.XLOOKUP(B7,'Base stats'!B:B,'Base stats'!E:E),Groups!A:A,Groups!AH:AH))</f>
        <v>No</v>
      </c>
      <c r="AM7" s="2" t="str">
        <f t="shared" si="0"/>
        <v>No</v>
      </c>
      <c r="AN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O7" s="8">
        <f>MROUND(AN7*_xlfn.XLOOKUP(_xlfn.XLOOKUP(B7,'Base stats'!B:B,'Base stats'!E:E),Groups!A:A,Groups!AI:AI),0.05)</f>
        <v>0.75</v>
      </c>
      <c r="AP7" s="8">
        <f>MAX(0.01,MROUND(IF(CA7="True",0.196*(AN7*100*1000)^0.889,IF(_xlfn.XLOOKUP(_xlfn.XLOOKUP(B7,'Base stats'!B:B,'Base stats'!E:E),Groups!A:A,Groups!AJ:AJ)="Bird",10.5*(AN7*100*1000)^0.681,4.82*(AN7*100*1000)^0.734))/(4.82*(1*100*1000)^0.734)/IF(AN7&lt;3.5,2,IF(AN7=3.5,1.5,1.25))*(1+0.132282374779864/(AN7^0.994035016789033+0.00905238001496948)),0.05))</f>
        <v>0.55000000000000004</v>
      </c>
      <c r="AQ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R7" s="35" t="str">
        <f>IFERROR(IF(_xlfn.XLOOKUP(B7,'Base stats'!B:B,'Base stats'!F:F)="Lay eggs","Lay eggs",MIN(20,MAX(5.5,ROUND(((_xlfn.XLOOKUP(B7,'Base stats'!B:B,'Base stats'!F:F)-25)*(14.5/615) + 5.5)*2,0)/2))),"Cannot breed")</f>
        <v>Lay eggs</v>
      </c>
      <c r="AS7" s="8">
        <f>IF(OR(A7="Queen",A7="Larva"),"No",IFERROR(MAX(IF(_xlfn.XLOOKUP(B7,'Base stats'!B:B,'Base stats'!G:G)&lt;0.5,0.2,0.3),MROUND(_xlfn.XLOOKUP(B7,'Base stats'!B:B,'Base stats'!G:G)/(365/60),0.2)),"Unknown"))</f>
        <v>0.4</v>
      </c>
      <c r="AT7" s="8">
        <f t="shared" si="1"/>
        <v>0.2</v>
      </c>
      <c r="AU7" s="8" t="str">
        <f>IFERROR(IFERROR(MROUND(_xlfn.XLOOKUP(B7,'Base stats'!B:B,'Base stats'!J:J),0.1),"Lay eggs"),"Cannot breed")</f>
        <v>Lay eggs</v>
      </c>
      <c r="AV7" s="2" t="str">
        <f t="shared" si="2"/>
        <v>true</v>
      </c>
      <c r="AW7" s="2" t="str">
        <f>IF(_xlfn.XLOOKUP(_xlfn.XLOOKUP(Animals!B7,'Base stats'!B:B,'Base stats'!E:E),Groups!A:A,Groups!AK:AK)=1,"true","false")</f>
        <v>false</v>
      </c>
      <c r="AX7" s="25" t="str">
        <f>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</f>
        <v>VegetarianRoughAnimal</v>
      </c>
      <c r="AY7" s="2">
        <f>IF(_xlfn.XLOOKUP(_xlfn.XLOOKUP(B7,'Base stats'!B:B,'Base stats'!E:E),Groups!A:A,Groups!D:D)=1,MROUND((1-I7)*5+1,2)*IF(I7&lt;=0.4,2,1),"No")</f>
        <v>2</v>
      </c>
      <c r="AZ7" s="2" t="str">
        <f>_xlfn.XLOOKUP(B7,'Base stats'!B:B,'Base stats'!AE:AE)</f>
        <v>Leather_Bird</v>
      </c>
      <c r="BA7" s="23" t="str">
        <f>_xlfn.XLOOKUP(_xlfn.XLOOKUP(B7,'Base stats'!B:B,'Base stats'!E:E),Groups!A:A,Groups!AL:AL)</f>
        <v>Bird</v>
      </c>
      <c r="BB7" s="23">
        <f>MROUND(IF(AND(AN7&lt;0.5,_xlfn.XLOOKUP(B7,'Base stats'!B:B,'Base stats'!Z:Z)=0),0,IF(OR(_xlfn.XLOOKUP(Animals!B7,'Base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stats'!AA:AA),0.005)</f>
        <v>0</v>
      </c>
      <c r="BC7" s="23">
        <f>MROUND(IF(AND(AN7&lt;0.5,_xlfn.XLOOKUP(B7,'Base stats'!B:B,'Base stats'!Z:Z)=0),0,IF(_xlfn.XLOOKUP(_xlfn.XLOOKUP(B7,'Base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stats'!AB:AB),0.005)</f>
        <v>0</v>
      </c>
      <c r="BD7" s="2" t="str">
        <f>IF(I7&gt;0.3,"No",_xlfn.XLOOKUP(_xlfn.XLOOKUP(Animals!B7,'Base stats'!B:B,'Base stats'!E:E),Groups!A:A,Groups!AP:AP))</f>
        <v>No</v>
      </c>
      <c r="BE7" s="2" t="str">
        <f>IF(AND(I7&lt;=0.65,_xlfn.XLOOKUP(_xlfn.XLOOKUP(Animals!B7,'Base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stats'!O:O)=2,0.2,AN7) + 24*(1-IF(BD7="No",0,BD7)) + 16/3, 12),"No")</f>
        <v>No</v>
      </c>
      <c r="BF7" s="2">
        <f>IF(AND(_xlfn.XLOOKUP(_xlfn.XLOOKUP(B7,'Base stats'!B:B,'Base stats'!E:E),Groups!A:A,Groups!AQ:AQ)=1,AN7&lt;=0.35),8,12)</f>
        <v>12</v>
      </c>
      <c r="BG7" s="2" t="str">
        <f>IF(_xlfn.XLOOKUP(_xlfn.XLOOKUP(B7,'Base stats'!B:B,'Base stats'!E:E),Groups!A:A,Groups!D:D)=0,_xlfn.XLOOKUP(_xlfn.XLOOKUP(B7,'Base stats'!B:B,'Base stats'!E:E),Groups!A:A,Groups!AR:AR),"None")</f>
        <v>None</v>
      </c>
      <c r="BH7" s="2" t="str">
        <f>IF(AND(_xlfn.XLOOKUP(_xlfn.XLOOKUP(B7,'Base stats'!B:B,'Base stats'!E:E),Groups!A:A,Groups!AS:AS)=1,OR('Base stats'!Y7="Carnivore",'Base stats'!Y7="Omnivore")),"true","false")</f>
        <v>false</v>
      </c>
      <c r="BI7" s="2" t="str">
        <f>IF(BH7="true",MROUND(IF(AND(AN7&gt;0.5,_xlfn.XLOOKUP(_xlfn.XLOOKUP(B7,'Base stats'!B:B,'Base stats'!E:E),Groups!A:A,Groups!AJ:AJ)="Mammal"),Animals!AN7*1.75*IF(AV7="true",1.5,1),Animals!AN7),IF(AN7&gt;2,0.5,IF(AN7&gt;0.5,0.25,0.1))),"No")</f>
        <v>No</v>
      </c>
      <c r="BJ7" s="2">
        <f t="shared" si="3"/>
        <v>0</v>
      </c>
      <c r="BK7" s="25" t="str">
        <f>IF('Base stats'!AK7="Standard","No",MROUND((_xlfn.XLOOKUP(B7,'Base stats'!B:B,'Base stats'!AK:AK)/3.6)/H7,0.1))</f>
        <v>No</v>
      </c>
      <c r="BL7" s="25" t="str">
        <f t="shared" si="4"/>
        <v>false</v>
      </c>
      <c r="BM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N7" s="25" t="str" cm="1">
        <f t="array" ref="BN7">IF(
  _xlfn.TEXTJOIN(", ",TRUE,
    IF(AND(BH7="true",AN7&gt;0.5,BG7&lt;&gt;"None"),"AttackTarget",""),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IF(BE7&lt;=36,"Comfort",""),
    IF(_xlfn.XLOOKUP(B7,'Base stats'!B:B,'Base stats'!AC:AC)&lt;&gt;"No",_xlfn.XLOOKUP(B7,'Base stats'!B:B,'Base stats'!AC:AC),"")
  ) = "",
  "No",
  _xlfn.TEXTJOIN(", ",TRUE,
    IF(AND(BH7="true",AN7&gt;0.5,BG7&lt;&gt;"None"),"AttackTarget",""),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IF(BE7&lt;=36,"Comfort",""),
    IF(_xlfn.XLOOKUP(B7,'Base stats'!B:B,'Base stats'!AC:AC)&lt;&gt;"No",_xlfn.XLOOKUP(B7,'Base stats'!B:B,'Base stats'!AC:AC),"")
  )
)</f>
        <v>No</v>
      </c>
      <c r="BO7" s="25" t="str">
        <f>IF(
   AND(
      'Base stats'!AK7="Standard",_xlfn.XLOOKUP(_xlfn.XLOOKUP(B7,'Base stats'!B:B,'Base stats'!E:E),Groups!A:A,Groups!AU:AU)=0,
      OR(
      BM7="True"
      )
   ),
   10,
   IF(
       OR(BK7&lt;&gt;"No",_xlfn.XLOOKUP(_xlfn.XLOOKUP(B7,'Base stats'!B:B,'Base stats'!E:E),Groups!A:A,Groups!AU:AU)=1),
      1,
      "No"
   )
)</f>
        <v>No</v>
      </c>
      <c r="BP7" s="9">
        <f>MROUND((1 + ((0.2*IF(OR(P7="No",Q7="No",Q7=0),0,P7/Q7)
+IF(OR(U7="No",R7="No",S7="No"),0,R7/S7*(LEN(U7)-LEN(SUBSTITUTE(U7,",",""))+1))
+IF(OR(W7="No",X7="No"),0,W7/X7)
+IF(OR(AC7="No",AD7="No"),0,AC7/AD7)
+IF(OR(AK7="No",AH7="No",AI7="No"),0,AH7/AI7*(LEN(AK7)-LEN(SUBSTITUTE(AK7,",",""))+1))
)/(0.2*IF(OR(P7="No",Q7="No",Q7=0),0,1)
+IF(OR(U7="No",R7="No",S7="No"),0,LEN(U7)-LEN(SUBSTITUTE(U7,",",""))+1)
+IF(OR(W7="No",X7="No"),0,1)
+IF(OR(AC7="No",AD7="No"),0,1)
+IF(OR(AK7="No",AH7="No",AI7="No"),0,LEN(AK7)-LEN(SUBSTITUTE(AK7,",",""))+1))*62%)* 2)*(1 + (AO7 + _xlfn.XLOOKUP(B7,'Base stats'!B:B,'Base stats'!AS:AS) * 1.8) * 2) * 2.5 + 10 + H7 * 2,5)+IF(_xlfn.XLOOKUP(B7,'Base stats'!B:B,'Base stats'!AH:AH)=1,50,0)</f>
        <v>60</v>
      </c>
      <c r="BQ7" s="8">
        <f t="shared" si="5"/>
        <v>0.60000000000000009</v>
      </c>
      <c r="BR7" s="8" t="str">
        <f>_xlfn.XLOOKUP(B7,'Base stats'!B:B,'Base stats'!AD:AD)</f>
        <v>2~6</v>
      </c>
      <c r="BS7" s="2" t="str">
        <f>IF(AND(I7&lt;=0.95,OR(_xlfn.XLOOKUP(B7,'Base stats'!B:B,'Base stats'!AH:AH)=1,_xlfn.XLOOKUP(B7,'Base stats'!B:B,'Base stats'!Y:Y)="Carnivore",_xlfn.XLOOKUP(B7,'Base stats'!B:B,'Base stats'!Y:Y)="Omnivore",BC7&gt;0.1)),"true","false")</f>
        <v>false</v>
      </c>
      <c r="BT7" s="2" t="str">
        <f>IF(_xlfn.XLOOKUP(B7,'Base stats'!B:B,'Base stats'!AF:AF)=1,"true","false")</f>
        <v>false</v>
      </c>
      <c r="BU7" s="25" t="str">
        <f>IF(E7="BaseInsect","AnimalInsect",
IF(I7&gt;0.95,"AnimalExotic",
_xlfn.TEXTJOIN(", ",TRUE,
IF(AND(_xlfn.XLOOKUP(B7,'Base stats'!B:B,'Base stats'!O:O)=0,_xlfn.XLOOKUP(_xlfn.XLOOKUP(B7,'Base stats'!B:B,'Base stats'!E:E),Groups!A:A,Groups!B:B)&gt;0),"AnimalUncommon","AnimalCommon"),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stats'!AH:AH)=1,AND(BG7&lt;&gt;"None",BP7&gt;=60),ISNUMBER(SEARCH("Attack target",BN7))),"AnimalFighter","")
)))</f>
        <v>AnimalCommon</v>
      </c>
      <c r="BV7" s="25" t="str">
        <f>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</f>
        <v>AridShrubland Desert Grasslands LavaField</v>
      </c>
      <c r="BW7" s="25" t="str">
        <f>IF(_xlfn.XLOOKUP(B7,'Base stats'!B:B,'Base stats'!AG:AG)=1,"true","false")</f>
        <v>false</v>
      </c>
      <c r="BX7" s="25">
        <f>IF(_xlfn.XLOOKUP(B7,'Base stats'!B:B,'Base stats'!N:N)=1,"No",MIN(MROUND(IF(OR(_xlfn.XLOOKUP(B7,'Base stats'!B:B,'Base stats'!AJ:AJ)=1,AND(BH7="True",CA7="False")),POWER(10,3.47*LOG10(_xlfn.XLOOKUP(B7,'Base stats'!B:B,'Base stats'!C:C)*1000)^-0.96),POWER(10,4.15*LOG10(_xlfn.XLOOKUP(B7,'Base stats'!B:B,'Base stats'!C:C)*1000)^-0.73))*IF(OR(_xlfn.XLOOKUP(B7,'Base stats'!B:B,'Base stats'!AJ:AJ)=1,_xlfn.XLOOKUP(B7,'Base stats'!B:B,'Base stats'!AH:AH)=1),0.5,1)/100,0.025),1))</f>
        <v>0.22500000000000001</v>
      </c>
      <c r="BY7" s="25" t="str">
        <f>IF(O7="Standard","No",IF(_xlfn.XLOOKUP(B7,'Base stats'!B:B,'Base stats'!N:N)=0,MROUND(BX7*O7,0.05),MIN(1,MAX(0.025,MROUND(IF(OR(CA7="true",AND(BH7="false",BM7="false")),POWER(10,4.15*LOG10(_xlfn.XLOOKUP(B7,'Base stats'!B:B,'Base stats'!C:C)*1000)^-0.73),POWER(10,3.47*LOG10(_xlfn.XLOOKUP(B7,'Base stats'!B:B,'Base stats'!C:C)*1000)^-0.96))*IF(_xlfn.XLOOKUP(B7,'Base stats'!B:B,'Base stats'!AH:AH)=1,0.5,1)/100,0.025)))))</f>
        <v>No</v>
      </c>
      <c r="BZ7" s="25" t="str">
        <f>IF(_xlfn.XLOOKUP(_xlfn.XLOOKUP(B7,'Base stats'!B:B,'Base stats'!E:E),Groups!A:A,Groups!AJ:AJ)="Mammal","True","False")</f>
        <v>False</v>
      </c>
      <c r="CA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B7" s="25" t="str">
        <f t="shared" si="6"/>
        <v>False</v>
      </c>
      <c r="CC7" s="25" t="str">
        <f>IF(_xlfn.XLOOKUP(_xlfn.XLOOKUP(B7,'Base stats'!B:B,'Base stats'!E:E),Groups!A:A,Groups!AW:AW),"True","False")</f>
        <v>False</v>
      </c>
      <c r="CD7" s="25" t="str">
        <f>IF(_xlfn.XLOOKUP(_xlfn.XLOOKUP(B7,'Base stats'!B:B,'Base stats'!E:E),Groups!A:A,Groups!AX:AX),"True","False")</f>
        <v>False</v>
      </c>
      <c r="CE7" s="25" t="str">
        <f>IF(_xlfn.XLOOKUP(B7,'Base stats'!B:B,'Base stats'!E:E)=1,"True","False")</f>
        <v>False</v>
      </c>
      <c r="CF7" s="25" t="str">
        <f>IF(
OR(
_xlfn.XLOOKUP(_xlfn.XLOOKUP(B7,'Base stats'!B:B,'Base stats'!E:E),Groups!A:A,Groups!AY:AY)=0,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stats'!E:E),Groups!A:A,Groups!AY:AY)=1,
"Flesh",
IF(
_xlfn.XLOOKUP(_xlfn.XLOOKUP(B7,'Base stats'!B:B,'Base stats'!E:E),Groups!A:A,Groups!AY:AY)=2,
"Bone",
""
)
)
)</f>
        <v>No</v>
      </c>
      <c r="CG7" s="25" t="str">
        <f>IF(_xlfn.XLOOKUP(_xlfn.XLOOKUP(B7,'Base stats'!B:B,'Base stats'!E:E),Groups!A:A,Groups!BA:BA),"True","False")</f>
        <v>True</v>
      </c>
      <c r="CH7" s="25" t="str">
        <f>IF(_xlfn.XLOOKUP(_xlfn.XLOOKUP(B7,'Base stats'!B:B,'Base stats'!E:E),Groups!A:A,Groups!AZ:AZ),"True","False")</f>
        <v>False</v>
      </c>
      <c r="CM7" s="16"/>
    </row>
    <row r="8" spans="1:91" ht="16.5" thickTop="1" thickBot="1" x14ac:dyDescent="0.3">
      <c r="A8" s="26" t="str">
        <f>_xlfn.XLOOKUP(B8,'Base stats'!B:B,'Base stats'!A:A)</f>
        <v>Turkey</v>
      </c>
      <c r="B8" s="27" t="s">
        <v>927</v>
      </c>
      <c r="C8" s="28" t="s">
        <v>691</v>
      </c>
      <c r="D8" s="28" t="s">
        <v>45</v>
      </c>
      <c r="E8" s="28" t="s">
        <v>687</v>
      </c>
      <c r="F8" s="28" t="s">
        <v>688</v>
      </c>
      <c r="G8" s="2">
        <f>MROUND((
  (IF(AND(_xlfn.XLOOKUP(B8,'Base stats'!B:B,'Base stats'!AI:AI)=0,BG8="None",_xlfn.XLOOKUP('Base stats'!E8,Groups!A:A,Groups!B:B)=0), (18 + BP8 * 2.7) * 0.5,
    IF(AND(_xlfn.XLOOKUP(B8,'Base stats'!B:B,'Base stats'!AI:AI)=0,OR(AN8&lt;0.55,AND(BG8="Intermediate",_xlfn.XLOOKUP('Base stats'!E8,Groups!A:A,Groups!B:B)&lt;2))), (18 + BP8 * 2.7),
      IF(OR(BG8="Advanced",_xlfn.XLOOKUP(B8,'Base stats'!B:B,'Base stats'!AI:AI)=1,_xlfn.XLOOKUP('Base stats'!E8,Groups!A:A,Groups!B:B)=2), (18 + BP8 * 2.7) + 250, (18 + BP8 * 2.7))
    )
  ))
  + AN8 * 80
  + IF(COUNTIF(EggMilk!K$2:K$998, A8) &gt; 0, 125, 0)
  + IF(COUNTIF(EggMilk!P$2:P$998, A8) &gt; 0, 90, 0)
  + IF(COUNTIF(EggMilk!A$2:A$998, A8) &gt; 0, 90, 0)
)
* (0.8 + 0.4 * I8)
* 0.75,25)</f>
        <v>125</v>
      </c>
      <c r="H8" s="2">
        <f>MROUND(ROUNDDOWN(_xlfn.XLOOKUP(B8,'Base stats'!B:B,'Base stats'!L:L)/3.6/(23.3/11),1),0.5)</f>
        <v>2</v>
      </c>
      <c r="I8" s="2">
        <f>IF(_xlfn.XLOOKUP(B8,'Base stats'!B:B,'Base stats'!AI:AI)=1,0.99,MIN(MROUND((1-0.6282*EXP(-0.459*AN8))*_xlfn.XLOOKUP(_xlfn.XLOOKUP(B8,'Base stats'!B:B,'Base stats'!E:E),Groups!A:A,Groups!C:C)*IF(_xlfn.XLOOKUP(B8,'Base stats'!B:B,'Base stats'!O:O)=1,0.5,IF(_xlfn.XLOOKUP(B8,'Base stats'!B:B,'Base stats'!O:O)=2,0,1)),0.05),0.985))</f>
        <v>0.60000000000000009</v>
      </c>
      <c r="J8" s="2">
        <f>ROUNDUP(AN8*_xlfn.XLOOKUP(_xlfn.XLOOKUP(B8,'Base stats'!B:B,'Base stats'!E:E),Groups!A:A,Groups!E:E),0)</f>
        <v>4</v>
      </c>
      <c r="K8" s="2">
        <f>IF(OR(_xlfn.XLOOKUP(_xlfn.XLOOKUP(B8,'Base stats'!B:B,'Base stats'!E:E),Groups!A:A,Groups!F:F)=2,ISNUMBER(SEARCH("SeaIce",BV8)),ISNUMBER(SEARCH("IceSheet",BV8))),-50,IF(OR(ISNUMBER(SEARCH("GlacialPlain",BV8)),ISNUMBER(SEARCH("Tundra",BV8))),-40,IF(OR(ISNUMBER(SEARCH("Alpine",BV8)),ISNUMBER(SEARCH("BorealForest",BV8)),ISNUMBER(SEARCH("ColdBog",BV8))),-30,IF(OR(ISNUMBER(SEARCH("TemperateForest",BV8)),ISNUMBER(SEARCH("TemperateSwamp",BV8))),-20,IF(_xlfn.XLOOKUP(_xlfn.XLOOKUP(B8,'Base stats'!B:B,'Base stats'!E:E),Groups!A:A,Groups!F:F)=1,-15,IF(OR(ISNUMBER(SEARCH("Desert",BV8)),ISNUMBER(SEARCH("ExtremeDesert",BV8))),-10,IF(OR(ISNUMBER(SEARCH("Grasslands",BV8)),ISNUMBER(SEARCH("TropicalRainforest",BV8)),ISNUMBER(SEARCH("TropicalSwamp",BV8))),10,0)))))))-IF(CA8="False",MIN(IFERROR(MAX(MROUND(LOG10(_xlfn.XLOOKUP(B8,'Base stats'!B:B,'Base stats'!C:C)^(2/3))*10,5),5),5),30))-_xlfn.XLOOKUP(B8,'Base stats'!B:B,'Base stats'!P:P)+IF(CA8="True",5,0)</f>
        <v>-25</v>
      </c>
      <c r="L8" s="2">
        <f>IF(OR(_xlfn.XLOOKUP(_xlfn.XLOOKUP(B8,'Base stats'!B:B,'Base stats'!E:E),Groups!A:A,Groups!G:G)=2,ISNUMBER(SEARCH("Desert",BV8)),ISNUMBER(SEARCH("ExtremeDesert",BV8)),ISNUMBER(SEARCH("LavaField",BV8))),50,IF(ISNUMBER(SEARCH("Grasslands",BV8)),45,IF(OR(_xlfn.XLOOKUP(_xlfn.XLOOKUP(B8,'Base stats'!B:B,'Base stats'!E:E),Groups!A:A,Groups!G:G)=1,ISNUMBER(SEARCH("TropicalRainforest",BV8)),ISNUMBER(SEARCH("TropicalSwamp",BV8))),40,IF(OR(ISNUMBER(SEARCH("TemperateForest",BV8)),ISNUMBER(SEARCH("TemperateSwamp",BV8))),35,IF(OR(ISNUMBER(SEARCH("Alpine",BV8)),ISNUMBER(SEARCH("BorealForest",BV8)),ISNUMBER(SEARCH("ColdBog",BV8))),30,IF(ISNUMBER(OR(ISNUMBER(SEARCH("GlacialPlain",BV8)),SEARCH("Tundra",BV8))),25,IF(OR(ISNUMBER(SEARCH("SeaIce",BV8)),ISNUMBER(SEARCH("IceSheet",BV8)),ISNUMBER(SEARCH("TropicalSwamp",BV8))),10,35)))))))+_xlfn.XLOOKUP(B8,'Base stats'!B:B,'Base stats'!Q:Q)</f>
        <v>35</v>
      </c>
      <c r="M8" s="8" t="str">
        <f>IF(_xlfn.XLOOKUP(_xlfn.XLOOKUP(B8,'Base stats'!B:B,'Base stats'!E:E),Groups!A:A,Groups!L:L)=1,MIN(MROUND(_xlfn.XLOOKUP(B8,'Animals CE'!B:B,'Animals CE'!Z:Z)/2+0.05,0.05),200%),"No")</f>
        <v>No</v>
      </c>
      <c r="N8" s="8" t="str">
        <f>IF(_xlfn.XLOOKUP(_xlfn.XLOOKUP(B8,'Base stats'!B:B,'Base stats'!E:E),Groups!A:A,Groups!L:L)=1,MIN(MROUND(_xlfn.XLOOKUP(B8,'Animals CE'!B:B,'Animals CE'!AA:AA)/2+0.05,0.05),200%),"No")</f>
        <v>No</v>
      </c>
      <c r="O8" s="2" t="str">
        <f>_xlfn.XLOOKUP(B8,'Base stats'!B:B,'Base stats'!R:R)</f>
        <v>Standard</v>
      </c>
      <c r="P8" s="13">
        <f>MROUND((LOG10(_xlfn.XLOOKUP(B8,'Base stats'!B:B,'Base stats'!AO:AO))*(AN8^0.5)+(_xlfn.XLOOKUP(B8,'Base stats'!B:B,'Base stats'!AO:AO)/1000)^(2/3)+_xlfn.XLOOKUP(B8,'Base stats'!B:B,'Base stats'!AX:AX)/2)+0.5,0.5)</f>
        <v>3</v>
      </c>
      <c r="Q8" s="7">
        <f>IF(P8="No","No",MAX(1,MROUND(_xlfn.XLOOKUP(B8,'Base stats'!B:B,'Base stats'!C:C)^0.165,0.05)))</f>
        <v>1.35</v>
      </c>
      <c r="R8" s="13">
        <f>IF(_xlfn.XLOOKUP(_xlfn.XLOOKUP(B8,'Base stats'!B:B,'Base stats'!E:E),Groups!A:A,Groups!P:P)=0,"No",MROUND((LOG10(_xlfn.XLOOKUP(B8,'Base stats'!B:B,'Base stats'!AP:AP))*(AN8^0.5)+(_xlfn.XLOOKUP(B8,'Base stats'!B:B,'Base stats'!AP:AP)/1000)^(2/3)+_xlfn.XLOOKUP(B8,'Base stats'!B:B,'Base stats'!AX:AX))+_xlfn.XLOOKUP(B8,'Base stats'!B:B,'Base stats'!AV:AV)+0.5,0.5))</f>
        <v>5.5</v>
      </c>
      <c r="S8" s="7">
        <f>IF(R8="No","No",MAX(_xlfn.XLOOKUP(_xlfn.XLOOKUP(B8,'Base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T8" s="7" t="str">
        <f>IF(R8="No","No",_xlfn.XLOOKUP(_xlfn.XLOOKUP(B8,'Base stats'!B:B,'Base stats'!E:E),Groups!A:A,Groups!R:R))</f>
        <v>Feet</v>
      </c>
      <c r="U8" s="7" t="str">
        <f>IF(R8="No","No",_xlfn.XLOOKUP(_xlfn.XLOOKUP(B8,'Base stats'!B:B,'Base stats'!E:E),Groups!A:A,Groups!S:S))</f>
        <v>rear left claw, rear  right claw</v>
      </c>
      <c r="V8" s="7" t="str">
        <f>IF(R8="No","No",_xlfn.XLOOKUP(_xlfn.XLOOKUP(B8,'Base stats'!B:B,'Base stats'!E:E),Groups!A:A,Groups!T:T))</f>
        <v>Scratch</v>
      </c>
      <c r="W8" s="13" t="str">
        <f>IF(_xlfn.XLOOKUP(B8,'Base stats'!B:B,'Base stats'!W:W)="No","No",MROUND((LOG10(_xlfn.XLOOKUP(B8,'Base stats'!B:B,'Base stats'!AR:AR))*(AN8^0.5)+(_xlfn.XLOOKUP(B8,'Base stats'!B:B,'Base stats'!AR:AR)/1000)^(2/3)+_xlfn.XLOOKUP(B8,'Base stats'!B:B,'Base stats'!AW:AW))+0.5+IF(_xlfn.XLOOKUP(_xlfn.XLOOKUP(B8,'Base stats'!B:B,'Base stats'!E:E),Groups!A:A,Groups!U:U)&lt;&gt;3,_xlfn.XLOOKUP(B8,'Base stats'!B:B,'Base stats'!AX:AX),0),0.5))</f>
        <v>No</v>
      </c>
      <c r="X8" s="7" t="str">
        <f>IF(W8="No","No",MAX(_xlfn.XLOOKUP(_xlfn.XLOOKUP(B8,'Base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Y8" s="7" t="str">
        <f>IF(W8="No","No",_xlfn.XLOOKUP(_xlfn.XLOOKUP(B8,'Base stats'!B:B,'Base stats'!E:E),Groups!A:A,Groups!W:W))</f>
        <v>No</v>
      </c>
      <c r="Z8" s="7" t="str">
        <f>IF(W8="No","No",_xlfn.XLOOKUP(_xlfn.XLOOKUP(B8,'Base stats'!B:B,'Base stats'!E:E),Groups!A:A,Groups!X:X))</f>
        <v>No</v>
      </c>
      <c r="AA8" s="7" t="str">
        <f>IF(W8="No","No",_xlfn.XLOOKUP(_xlfn.XLOOKUP(B8,'Base stats'!B:B,'Base stats'!E:E),Groups!A:A,Groups!Y:Y))</f>
        <v>No</v>
      </c>
      <c r="AB8" s="7" t="str">
        <f>_xlfn.XLOOKUP(Animals!B8,'Base stats'!B:B,'Base stats'!X:X)</f>
        <v>False</v>
      </c>
      <c r="AC8" s="13">
        <f>IF(_xlfn.XLOOKUP(B8,'Base stats'!B:B,'Base stats'!AQ:AQ)="No","No",MROUND((LOG10(_xlfn.XLOOKUP(B8,'Base stats'!B:B,'Base stats'!AQ:AQ))*(AN8^0.75)+(_xlfn.XLOOKUP(B8,'Base stats'!B:B,'Base stats'!AQ:AQ)/1000)^(2/3)+_xlfn.XLOOKUP(B8,'Base stats'!B:B,'Base stats'!AU:AU)+_xlfn.XLOOKUP(B8,'Base stats'!B:B,'Base stats'!AX:AX))+0.5,0.5))</f>
        <v>3</v>
      </c>
      <c r="AD8" s="7">
        <f>IF(AC8="No","No",MAX(_xlfn.XLOOKUP(_xlfn.XLOOKUP(B8,'Base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E8" s="7" t="str">
        <f>IF(AC8="No","No",_xlfn.XLOOKUP(_xlfn.XLOOKUP(B8,'Base stats'!B:B,'Base stats'!E:E),Groups!A:A,Groups!AA:AA))</f>
        <v>Beak</v>
      </c>
      <c r="AF8" s="7" t="str">
        <f>IF(AC8="No","No",_xlfn.XLOOKUP(_xlfn.XLOOKUP(B8,'Base stats'!B:B,'Base stats'!E:E),Groups!A:A,Groups!AB:AB))</f>
        <v>beak</v>
      </c>
      <c r="AG8" s="7" t="str">
        <f>IF(AC8="No","No",_xlfn.XLOOKUP(_xlfn.XLOOKUP(B8,'Base stats'!B:B,'Base stats'!E:E),Groups!A:A,Groups!AC:AC))</f>
        <v>Blunt</v>
      </c>
      <c r="AH8" s="13" t="str">
        <f>IF(_xlfn.XLOOKUP(_xlfn.XLOOKUP(B8,'Base stats'!B:B,'Base stats'!E:E),Groups!A:A,Groups!AD:AD)=0,"No",MROUND((LOG10(_xlfn.XLOOKUP(B8,'Base stats'!B:B,'Base stats'!AP:AP))*(AN8^0.75)+(_xlfn.XLOOKUP(B8,'Base stats'!B:B,'Base stats'!AP:AP)/1000)^(2/3)+_xlfn.XLOOKUP(B8,'Base stats'!B:B,'Base stats'!AV:AV)+_xlfn.XLOOKUP(B8,'Base stats'!B:B,'Base stats'!AX:AX))+0.5,0.5))</f>
        <v>No</v>
      </c>
      <c r="AI8" s="7" t="str">
        <f>IF(AH8="No","No",MAX(_xlfn.XLOOKUP(_xlfn.XLOOKUP(B8,'Base stats'!B:B,'Base stats'!E:E),Groups!A:A,Groups!AE:AE),MROUND(_xlfn.XLOOKUP(_xlfn.XLOOKUP(B8,'Base stats'!B:B,'Base stats'!E:E),Groups!A:A,Groups!AE:AE)*_xlfn.XLOOKUP(B8,'Base stats'!B:B,'Base stats'!C:C)^0.165,0.05)))</f>
        <v>No</v>
      </c>
      <c r="AJ8" s="7" t="str">
        <f>IF(AH8="No","No",_xlfn.XLOOKUP(_xlfn.XLOOKUP(B8,'Base stats'!B:B,'Base stats'!E:E),Groups!A:A,Groups!AF:AF))</f>
        <v>No</v>
      </c>
      <c r="AK8" s="7" t="str">
        <f>IF(AH8="No","No",_xlfn.XLOOKUP(_xlfn.XLOOKUP(B8,'Base stats'!B:B,'Base stats'!E:E),Groups!A:A,Groups!AG:AG))</f>
        <v>No</v>
      </c>
      <c r="AL8" s="7" t="str">
        <f>IF(AH8="No","No",_xlfn.XLOOKUP(_xlfn.XLOOKUP(B8,'Base stats'!B:B,'Base stats'!E:E),Groups!A:A,Groups!AH:AH))</f>
        <v>No</v>
      </c>
      <c r="AM8" s="2" t="str">
        <f t="shared" si="0"/>
        <v>No</v>
      </c>
      <c r="AN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O8" s="8">
        <f>MROUND(AN8*_xlfn.XLOOKUP(_xlfn.XLOOKUP(B8,'Base stats'!B:B,'Base stats'!E:E),Groups!A:A,Groups!AI:AI),0.05)</f>
        <v>0.35000000000000003</v>
      </c>
      <c r="AP8" s="8">
        <f>MAX(0.01,MROUND(IF(CA8="True",0.196*(AN8*100*1000)^0.889,IF(_xlfn.XLOOKUP(_xlfn.XLOOKUP(B8,'Base stats'!B:B,'Base stats'!E:E),Groups!A:A,Groups!AJ:AJ)="Bird",10.5*(AN8*100*1000)^0.681,4.82*(AN8*100*1000)^0.734))/(4.82*(1*100*1000)^0.734)/IF(AN8&lt;3.5,2,IF(AN8=3.5,1.5,1.25))*(1+0.132282374779864/(AN8^0.994035016789033+0.00905238001496948)),0.05))</f>
        <v>0.4</v>
      </c>
      <c r="AQ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R8" s="35" t="str">
        <f>IFERROR(IF(_xlfn.XLOOKUP(B8,'Base stats'!B:B,'Base stats'!F:F)="Lay eggs","Lay eggs",MIN(20,MAX(5.5,ROUND(((_xlfn.XLOOKUP(B8,'Base stats'!B:B,'Base stats'!F:F)-25)*(14.5/615) + 5.5)*2,0)/2))),"Cannot breed")</f>
        <v>Lay eggs</v>
      </c>
      <c r="AS8" s="8">
        <f>IF(OR(A8="Queen",A8="Larva"),"No",IFERROR(MAX(IF(_xlfn.XLOOKUP(B8,'Base stats'!B:B,'Base stats'!G:G)&lt;0.5,0.2,0.3),MROUND(_xlfn.XLOOKUP(B8,'Base stats'!B:B,'Base stats'!G:G)/(365/60),0.2)),"Unknown"))</f>
        <v>0.3</v>
      </c>
      <c r="AT8" s="8">
        <f t="shared" si="1"/>
        <v>0.15000000000000002</v>
      </c>
      <c r="AU8" s="8" t="str">
        <f>IFERROR(IFERROR(MROUND(_xlfn.XLOOKUP(B8,'Base stats'!B:B,'Base stats'!J:J),0.1),"Lay eggs"),"Cannot breed")</f>
        <v>Lay eggs</v>
      </c>
      <c r="AV8" s="2" t="str">
        <f t="shared" si="2"/>
        <v>true</v>
      </c>
      <c r="AW8" s="2" t="str">
        <f>IF(_xlfn.XLOOKUP(_xlfn.XLOOKUP(Animals!B8,'Base stats'!B:B,'Base stats'!E:E),Groups!A:A,Groups!AK:AK)=1,"true","false")</f>
        <v>false</v>
      </c>
      <c r="AX8" s="25" t="str">
        <f>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</f>
        <v>VegetarianRoughAnimal</v>
      </c>
      <c r="AY8" s="2">
        <f>IF(_xlfn.XLOOKUP(_xlfn.XLOOKUP(B8,'Base stats'!B:B,'Base stats'!E:E),Groups!A:A,Groups!D:D)=1,MROUND((1-I8)*5+1,2)*IF(I8&lt;=0.4,2,1),"No")</f>
        <v>4</v>
      </c>
      <c r="AZ8" s="2" t="str">
        <f>_xlfn.XLOOKUP(B8,'Base stats'!B:B,'Base stats'!AE:AE)</f>
        <v>No</v>
      </c>
      <c r="BA8" s="23" t="str">
        <f>_xlfn.XLOOKUP(_xlfn.XLOOKUP(B8,'Base stats'!B:B,'Base stats'!E:E),Groups!A:A,Groups!AL:AL)</f>
        <v>Bird</v>
      </c>
      <c r="BB8" s="23">
        <f>MROUND(IF(AND(AN8&lt;0.5,_xlfn.XLOOKUP(B8,'Base stats'!B:B,'Base stats'!Z:Z)=0),0,IF(OR(_xlfn.XLOOKUP(Animals!B8,'Base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stats'!AA:AA),0.005)</f>
        <v>0</v>
      </c>
      <c r="BC8" s="23">
        <f>MROUND(IF(AND(AN8&lt;0.5,_xlfn.XLOOKUP(B8,'Base stats'!B:B,'Base stats'!Z:Z)=0),0,IF(_xlfn.XLOOKUP(_xlfn.XLOOKUP(B8,'Base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stats'!AB:AB),0.005)</f>
        <v>0</v>
      </c>
      <c r="BD8" s="2" t="str">
        <f>IF(I8&gt;0.3,"No",_xlfn.XLOOKUP(_xlfn.XLOOKUP(Animals!B8,'Base stats'!B:B,'Base stats'!E:E),Groups!A:A,Groups!AP:AP))</f>
        <v>No</v>
      </c>
      <c r="BE8" s="2" t="str">
        <f>IF(AND(I8&lt;=0.65,_xlfn.XLOOKUP(_xlfn.XLOOKUP(Animals!B8,'Base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stats'!O:O)=2,0.2,AN8) + 24*(1-IF(BD8="No",0,BD8)) + 16/3, 12),"No")</f>
        <v>No</v>
      </c>
      <c r="BF8" s="2">
        <f>IF(AND(_xlfn.XLOOKUP(_xlfn.XLOOKUP(B8,'Base stats'!B:B,'Base stats'!E:E),Groups!A:A,Groups!AQ:AQ)=1,AN8&lt;=0.35),8,12)</f>
        <v>8</v>
      </c>
      <c r="BG8" s="2" t="str">
        <f>IF(_xlfn.XLOOKUP(_xlfn.XLOOKUP(B8,'Base stats'!B:B,'Base stats'!E:E),Groups!A:A,Groups!D:D)=0,_xlfn.XLOOKUP(_xlfn.XLOOKUP(B8,'Base stats'!B:B,'Base stats'!E:E),Groups!A:A,Groups!AR:AR),"None")</f>
        <v>None</v>
      </c>
      <c r="BH8" s="2" t="str">
        <f>IF(AND(_xlfn.XLOOKUP(_xlfn.XLOOKUP(B8,'Base stats'!B:B,'Base stats'!E:E),Groups!A:A,Groups!AS:AS)=1,OR('Base stats'!Y8="Carnivore",'Base stats'!Y8="Omnivore")),"true","false")</f>
        <v>false</v>
      </c>
      <c r="BI8" s="2" t="str">
        <f>IF(BH8="true",MROUND(IF(AND(AN8&gt;0.5,_xlfn.XLOOKUP(_xlfn.XLOOKUP(B8,'Base stats'!B:B,'Base stats'!E:E),Groups!A:A,Groups!AJ:AJ)="Mammal"),Animals!AN8*1.75*IF(AV8="true",1.5,1),Animals!AN8),IF(AN8&gt;2,0.5,IF(AN8&gt;0.5,0.25,0.1))),"No")</f>
        <v>No</v>
      </c>
      <c r="BJ8" s="2">
        <f t="shared" si="3"/>
        <v>0</v>
      </c>
      <c r="BK8" s="25" t="str">
        <f>IF('Base stats'!AK8="Standard","No",MROUND((_xlfn.XLOOKUP(B8,'Base stats'!B:B,'Base stats'!AK:AK)/3.6)/H8,0.1))</f>
        <v>No</v>
      </c>
      <c r="BL8" s="25" t="str">
        <f t="shared" si="4"/>
        <v>false</v>
      </c>
      <c r="BM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N8" s="25" t="str" cm="1">
        <f t="array" ref="BN8">IF(
  _xlfn.TEXTJOIN(", ",TRUE,
    IF(AND(BH8="true",AN8&gt;0.5,BG8&lt;&gt;"None"),"AttackTarget",""),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IF(BE8&lt;=36,"Comfort",""),
    IF(_xlfn.XLOOKUP(B8,'Base stats'!B:B,'Base stats'!AC:AC)&lt;&gt;"No",_xlfn.XLOOKUP(B8,'Base stats'!B:B,'Base stats'!AC:AC),"")
  ) = "",
  "No",
  _xlfn.TEXTJOIN(", ",TRUE,
    IF(AND(BH8="true",AN8&gt;0.5,BG8&lt;&gt;"None"),"AttackTarget",""),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IF(BE8&lt;=36,"Comfort",""),
    IF(_xlfn.XLOOKUP(B8,'Base stats'!B:B,'Base stats'!AC:AC)&lt;&gt;"No",_xlfn.XLOOKUP(B8,'Base stats'!B:B,'Base stats'!AC:AC),"")
  )
)</f>
        <v>No</v>
      </c>
      <c r="BO8" s="25" t="str">
        <f>IF(
   AND(
      'Base stats'!AK8="Standard",_xlfn.XLOOKUP(_xlfn.XLOOKUP(B8,'Base stats'!B:B,'Base stats'!E:E),Groups!A:A,Groups!AU:AU)=0,
      OR(
      BM8="True"
      )
   ),
   10,
   IF(
       OR(BK8&lt;&gt;"No",_xlfn.XLOOKUP(_xlfn.XLOOKUP(B8,'Base stats'!B:B,'Base stats'!E:E),Groups!A:A,Groups!AU:AU)=1),
      1,
      "No"
   )
)</f>
        <v>No</v>
      </c>
      <c r="BP8" s="9">
        <f>MROUND((1 + ((0.2*IF(OR(P8="No",Q8="No",Q8=0),0,P8/Q8)
+IF(OR(U8="No",R8="No",S8="No"),0,R8/S8*(LEN(U8)-LEN(SUBSTITUTE(U8,",",""))+1))
+IF(OR(W8="No",X8="No"),0,W8/X8)
+IF(OR(AC8="No",AD8="No"),0,AC8/AD8)
+IF(OR(AK8="No",AH8="No",AI8="No"),0,AH8/AI8*(LEN(AK8)-LEN(SUBSTITUTE(AK8,",",""))+1))
)/(0.2*IF(OR(P8="No",Q8="No",Q8=0),0,1)
+IF(OR(U8="No",R8="No",S8="No"),0,LEN(U8)-LEN(SUBSTITUTE(U8,",",""))+1)
+IF(OR(W8="No",X8="No"),0,1)
+IF(OR(AC8="No",AD8="No"),0,1)
+IF(OR(AK8="No",AH8="No",AI8="No"),0,LEN(AK8)-LEN(SUBSTITUTE(AK8,",",""))+1))*62%)* 2)*(1 + (AO8 + _xlfn.XLOOKUP(B8,'Base stats'!B:B,'Base stats'!AS:AS) * 1.8) * 2) * 2.5 + 10 + H8 * 2,5)+IF(_xlfn.XLOOKUP(B8,'Base stats'!B:B,'Base stats'!AH:AH)=1,50,0)</f>
        <v>35</v>
      </c>
      <c r="BQ8" s="8">
        <f t="shared" si="5"/>
        <v>0.4</v>
      </c>
      <c r="BR8" s="8" t="str">
        <f>_xlfn.XLOOKUP(B8,'Base stats'!B:B,'Base stats'!AD:AD)</f>
        <v>3~10</v>
      </c>
      <c r="BS8" s="2" t="str">
        <f>IF(AND(I8&lt;=0.95,OR(_xlfn.XLOOKUP(B8,'Base stats'!B:B,'Base stats'!AH:AH)=1,_xlfn.XLOOKUP(B8,'Base stats'!B:B,'Base stats'!Y:Y)="Carnivore",_xlfn.XLOOKUP(B8,'Base stats'!B:B,'Base stats'!Y:Y)="Omnivore",BC8&gt;0.1)),"true","false")</f>
        <v>false</v>
      </c>
      <c r="BT8" s="2" t="str">
        <f>IF(_xlfn.XLOOKUP(B8,'Base stats'!B:B,'Base stats'!AF:AF)=1,"true","false")</f>
        <v>false</v>
      </c>
      <c r="BU8" s="25" t="str">
        <f>IF(E8="BaseInsect","AnimalInsect",
IF(I8&gt;0.95,"AnimalExotic",
_xlfn.TEXTJOIN(", ",TRUE,
IF(AND(_xlfn.XLOOKUP(B8,'Base stats'!B:B,'Base stats'!O:O)=0,_xlfn.XLOOKUP(_xlfn.XLOOKUP(B8,'Base stats'!B:B,'Base stats'!E:E),Groups!A:A,Groups!B:B)&gt;0),"AnimalUncommon","AnimalCommon"),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stats'!AH:AH)=1,AND(BG8&lt;&gt;"None",BP8&gt;=60),ISNUMBER(SEARCH("Attack target",BN8))),"AnimalFighter","")
)))</f>
        <v>AnimalCommon</v>
      </c>
      <c r="BV8" s="25" t="str">
        <f>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</f>
        <v>TemperateForest TemperateSwamp</v>
      </c>
      <c r="BW8" s="25" t="str">
        <f>IF(_xlfn.XLOOKUP(B8,'Base stats'!B:B,'Base stats'!AG:AG)=1,"true","false")</f>
        <v>false</v>
      </c>
      <c r="BX8" s="25">
        <f>IF(_xlfn.XLOOKUP(B8,'Base stats'!B:B,'Base stats'!N:N)=1,"No",MIN(MROUND(IF(OR(_xlfn.XLOOKUP(B8,'Base stats'!B:B,'Base stats'!AJ:AJ)=1,AND(BH8="True",CA8="False")),POWER(10,3.47*LOG10(_xlfn.XLOOKUP(B8,'Base stats'!B:B,'Base stats'!C:C)*1000)^-0.96),POWER(10,4.15*LOG10(_xlfn.XLOOKUP(B8,'Base stats'!B:B,'Base stats'!C:C)*1000)^-0.73))*IF(OR(_xlfn.XLOOKUP(B8,'Base stats'!B:B,'Base stats'!AJ:AJ)=1,_xlfn.XLOOKUP(B8,'Base stats'!B:B,'Base stats'!AH:AH)=1),0.5,1)/100,0.025),1))</f>
        <v>0.375</v>
      </c>
      <c r="BY8" s="25" t="str">
        <f>IF(O8="Standard","No",IF(_xlfn.XLOOKUP(B8,'Base stats'!B:B,'Base stats'!N:N)=0,MROUND(BX8*O8,0.05),MIN(1,MAX(0.025,MROUND(IF(OR(CA8="true",AND(BH8="false",BM8="false")),POWER(10,4.15*LOG10(_xlfn.XLOOKUP(B8,'Base stats'!B:B,'Base stats'!C:C)*1000)^-0.73),POWER(10,3.47*LOG10(_xlfn.XLOOKUP(B8,'Base stats'!B:B,'Base stats'!C:C)*1000)^-0.96))*IF(_xlfn.XLOOKUP(B8,'Base stats'!B:B,'Base stats'!AH:AH)=1,0.5,1)/100,0.025)))))</f>
        <v>No</v>
      </c>
      <c r="BZ8" s="25" t="str">
        <f>IF(_xlfn.XLOOKUP(_xlfn.XLOOKUP(B8,'Base stats'!B:B,'Base stats'!E:E),Groups!A:A,Groups!AJ:AJ)="Mammal","True","False")</f>
        <v>False</v>
      </c>
      <c r="CA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B8" s="25" t="str">
        <f t="shared" si="6"/>
        <v>False</v>
      </c>
      <c r="CC8" s="25" t="str">
        <f>IF(_xlfn.XLOOKUP(_xlfn.XLOOKUP(B8,'Base stats'!B:B,'Base stats'!E:E),Groups!A:A,Groups!AW:AW),"True","False")</f>
        <v>False</v>
      </c>
      <c r="CD8" s="25" t="str">
        <f>IF(_xlfn.XLOOKUP(_xlfn.XLOOKUP(B8,'Base stats'!B:B,'Base stats'!E:E),Groups!A:A,Groups!AX:AX),"True","False")</f>
        <v>False</v>
      </c>
      <c r="CE8" s="25" t="str">
        <f>IF(_xlfn.XLOOKUP(B8,'Base stats'!B:B,'Base stats'!E:E)=1,"True","False")</f>
        <v>False</v>
      </c>
      <c r="CF8" s="25" t="str">
        <f>IF(
OR(
_xlfn.XLOOKUP(_xlfn.XLOOKUP(B8,'Base stats'!B:B,'Base stats'!E:E),Groups!A:A,Groups!AY:AY)=0,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stats'!E:E),Groups!A:A,Groups!AY:AY)=1,
"Flesh",
IF(
_xlfn.XLOOKUP(_xlfn.XLOOKUP(B8,'Base stats'!B:B,'Base stats'!E:E),Groups!A:A,Groups!AY:AY)=2,
"Bone",
""
)
)
)</f>
        <v>No</v>
      </c>
      <c r="CG8" s="25" t="str">
        <f>IF(_xlfn.XLOOKUP(_xlfn.XLOOKUP(B8,'Base stats'!B:B,'Base stats'!E:E),Groups!A:A,Groups!BA:BA),"True","False")</f>
        <v>True</v>
      </c>
      <c r="CH8" s="25" t="str">
        <f>IF(_xlfn.XLOOKUP(_xlfn.XLOOKUP(B8,'Base stats'!B:B,'Base stats'!E:E),Groups!A:A,Groups!AZ:AZ),"True","False")</f>
        <v>False</v>
      </c>
      <c r="CM8" s="16"/>
    </row>
    <row r="9" spans="1:91" ht="16.5" thickTop="1" thickBot="1" x14ac:dyDescent="0.3">
      <c r="A9" s="26" t="str">
        <f>_xlfn.XLOOKUP(B9,'Base stats'!B:B,'Base stats'!A:A)</f>
        <v>Goose</v>
      </c>
      <c r="B9" s="27" t="s">
        <v>929</v>
      </c>
      <c r="C9" s="28" t="s">
        <v>692</v>
      </c>
      <c r="D9" s="28" t="s">
        <v>45</v>
      </c>
      <c r="E9" s="28" t="s">
        <v>685</v>
      </c>
      <c r="F9" s="28" t="s">
        <v>685</v>
      </c>
      <c r="G9" s="2">
        <f>MROUND((
  (IF(AND(_xlfn.XLOOKUP(B9,'Base stats'!B:B,'Base stats'!AI:AI)=0,BG9="None",_xlfn.XLOOKUP('Base stats'!E9,Groups!A:A,Groups!B:B)=0), (18 + BP9 * 2.7) * 0.5,
    IF(AND(_xlfn.XLOOKUP(B9,'Base stats'!B:B,'Base stats'!AI:AI)=0,OR(AN9&lt;0.55,AND(BG9="Intermediate",_xlfn.XLOOKUP('Base stats'!E9,Groups!A:A,Groups!B:B)&lt;2))), (18 + BP9 * 2.7),
      IF(OR(BG9="Advanced",_xlfn.XLOOKUP(B9,'Base stats'!B:B,'Base stats'!AI:AI)=1,_xlfn.XLOOKUP('Base stats'!E9,Groups!A:A,Groups!B:B)=2), (18 + BP9 * 2.7) + 250, (18 + BP9 * 2.7))
    )
  ))
  + AN9 * 80
  + IF(COUNTIF(EggMilk!K$2:K$998, A9) &gt; 0, 125, 0)
  + IF(COUNTIF(EggMilk!P$2:P$998, A9) &gt; 0, 90, 0)
  + IF(COUNTIF(EggMilk!A$2:A$998, A9) &gt; 0, 90, 0)
)
* (0.8 + 0.4 * I9)
* 0.75,25)</f>
        <v>125</v>
      </c>
      <c r="H9" s="2">
        <f>MROUND(ROUNDDOWN(_xlfn.XLOOKUP(B9,'Base stats'!B:B,'Base stats'!L:L)/3.6/(23.3/11),1),0.5)</f>
        <v>1.5</v>
      </c>
      <c r="I9" s="2">
        <f>IF(_xlfn.XLOOKUP(B9,'Base stats'!B:B,'Base stats'!AI:AI)=1,0.99,MIN(MROUND((1-0.6282*EXP(-0.459*AN9))*_xlfn.XLOOKUP(_xlfn.XLOOKUP(B9,'Base stats'!B:B,'Base stats'!E:E),Groups!A:A,Groups!C:C)*IF(_xlfn.XLOOKUP(B9,'Base stats'!B:B,'Base stats'!O:O)=1,0.5,IF(_xlfn.XLOOKUP(B9,'Base stats'!B:B,'Base stats'!O:O)=2,0,1)),0.05),0.985))</f>
        <v>0</v>
      </c>
      <c r="J9" s="2">
        <f>ROUNDUP(AN9*_xlfn.XLOOKUP(_xlfn.XLOOKUP(B9,'Base stats'!B:B,'Base stats'!E:E),Groups!A:A,Groups!E:E),0)</f>
        <v>4</v>
      </c>
      <c r="K9" s="2">
        <f>IF(OR(_xlfn.XLOOKUP(_xlfn.XLOOKUP(B9,'Base stats'!B:B,'Base stats'!E:E),Groups!A:A,Groups!F:F)=2,ISNUMBER(SEARCH("SeaIce",BV9)),ISNUMBER(SEARCH("IceSheet",BV9))),-50,IF(OR(ISNUMBER(SEARCH("GlacialPlain",BV9)),ISNUMBER(SEARCH("Tundra",BV9))),-40,IF(OR(ISNUMBER(SEARCH("Alpine",BV9)),ISNUMBER(SEARCH("BorealForest",BV9)),ISNUMBER(SEARCH("ColdBog",BV9))),-30,IF(OR(ISNUMBER(SEARCH("TemperateForest",BV9)),ISNUMBER(SEARCH("TemperateSwamp",BV9))),-20,IF(_xlfn.XLOOKUP(_xlfn.XLOOKUP(B9,'Base stats'!B:B,'Base stats'!E:E),Groups!A:A,Groups!F:F)=1,-15,IF(OR(ISNUMBER(SEARCH("Desert",BV9)),ISNUMBER(SEARCH("ExtremeDesert",BV9))),-10,IF(OR(ISNUMBER(SEARCH("Grasslands",BV9)),ISNUMBER(SEARCH("TropicalRainforest",BV9)),ISNUMBER(SEARCH("TropicalSwamp",BV9))),10,0)))))))-IF(CA9="False",MIN(IFERROR(MAX(MROUND(LOG10(_xlfn.XLOOKUP(B9,'Base stats'!B:B,'Base stats'!C:C)^(2/3))*10,5),5),5),30))-_xlfn.XLOOKUP(B9,'Base stats'!B:B,'Base stats'!P:P)+IF(CA9="True",5,0)</f>
        <v>-5</v>
      </c>
      <c r="L9" s="2">
        <f>IF(OR(_xlfn.XLOOKUP(_xlfn.XLOOKUP(B9,'Base stats'!B:B,'Base stats'!E:E),Groups!A:A,Groups!G:G)=2,ISNUMBER(SEARCH("Desert",BV9)),ISNUMBER(SEARCH("ExtremeDesert",BV9)),ISNUMBER(SEARCH("LavaField",BV9))),50,IF(ISNUMBER(SEARCH("Grasslands",BV9)),45,IF(OR(_xlfn.XLOOKUP(_xlfn.XLOOKUP(B9,'Base stats'!B:B,'Base stats'!E:E),Groups!A:A,Groups!G:G)=1,ISNUMBER(SEARCH("TropicalRainforest",BV9)),ISNUMBER(SEARCH("TropicalSwamp",BV9))),40,IF(OR(ISNUMBER(SEARCH("TemperateForest",BV9)),ISNUMBER(SEARCH("TemperateSwamp",BV9))),35,IF(OR(ISNUMBER(SEARCH("Alpine",BV9)),ISNUMBER(SEARCH("BorealForest",BV9)),ISNUMBER(SEARCH("ColdBog",BV9))),30,IF(ISNUMBER(OR(ISNUMBER(SEARCH("GlacialPlain",BV9)),SEARCH("Tundra",BV9))),25,IF(OR(ISNUMBER(SEARCH("SeaIce",BV9)),ISNUMBER(SEARCH("IceSheet",BV9)),ISNUMBER(SEARCH("TropicalSwamp",BV9))),10,35)))))))+_xlfn.XLOOKUP(B9,'Base stats'!B:B,'Base stats'!Q:Q)</f>
        <v>35</v>
      </c>
      <c r="M9" s="8" t="str">
        <f>IF(_xlfn.XLOOKUP(_xlfn.XLOOKUP(B9,'Base stats'!B:B,'Base stats'!E:E),Groups!A:A,Groups!L:L)=1,MIN(MROUND(_xlfn.XLOOKUP(B9,'Animals CE'!B:B,'Animals CE'!Z:Z)/2+0.05,0.05),200%),"No")</f>
        <v>No</v>
      </c>
      <c r="N9" s="8" t="str">
        <f>IF(_xlfn.XLOOKUP(_xlfn.XLOOKUP(B9,'Base stats'!B:B,'Base stats'!E:E),Groups!A:A,Groups!L:L)=1,MIN(MROUND(_xlfn.XLOOKUP(B9,'Animals CE'!B:B,'Animals CE'!AA:AA)/2+0.05,0.05),200%),"No")</f>
        <v>No</v>
      </c>
      <c r="O9" s="2" t="str">
        <f>_xlfn.XLOOKUP(B9,'Base stats'!B:B,'Base stats'!R:R)</f>
        <v>Standard</v>
      </c>
      <c r="P9" s="13">
        <f>MROUND((LOG10(_xlfn.XLOOKUP(B9,'Base stats'!B:B,'Base stats'!AO:AO))*(AN9^0.5)+(_xlfn.XLOOKUP(B9,'Base stats'!B:B,'Base stats'!AO:AO)/1000)^(2/3)+_xlfn.XLOOKUP(B9,'Base stats'!B:B,'Base stats'!AX:AX)/2)+0.5,0.5)</f>
        <v>3</v>
      </c>
      <c r="Q9" s="7">
        <f>IF(P9="No","No",MAX(1,MROUND(_xlfn.XLOOKUP(B9,'Base stats'!B:B,'Base stats'!C:C)^0.165,0.05)))</f>
        <v>1.4000000000000001</v>
      </c>
      <c r="R9" s="13" t="str">
        <f>IF(_xlfn.XLOOKUP(_xlfn.XLOOKUP(B9,'Base stats'!B:B,'Base stats'!E:E),Groups!A:A,Groups!P:P)=0,"No",MROUND((LOG10(_xlfn.XLOOKUP(B9,'Base stats'!B:B,'Base stats'!AP:AP))*(AN9^0.5)+(_xlfn.XLOOKUP(B9,'Base stats'!B:B,'Base stats'!AP:AP)/1000)^(2/3)+_xlfn.XLOOKUP(B9,'Base stats'!B:B,'Base stats'!AX:AX))+_xlfn.XLOOKUP(B9,'Base stats'!B:B,'Base stats'!AV:AV)+0.5,0.5))</f>
        <v>No</v>
      </c>
      <c r="S9" s="7" t="str">
        <f>IF(R9="No","No",MAX(_xlfn.XLOOKUP(_xlfn.XLOOKUP(B9,'Base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T9" s="7" t="str">
        <f>IF(R9="No","No",_xlfn.XLOOKUP(_xlfn.XLOOKUP(B9,'Base stats'!B:B,'Base stats'!E:E),Groups!A:A,Groups!R:R))</f>
        <v>No</v>
      </c>
      <c r="U9" s="7" t="str">
        <f>IF(R9="No","No",_xlfn.XLOOKUP(_xlfn.XLOOKUP(B9,'Base stats'!B:B,'Base stats'!E:E),Groups!A:A,Groups!S:S))</f>
        <v>No</v>
      </c>
      <c r="V9" s="7" t="str">
        <f>IF(R9="No","No",_xlfn.XLOOKUP(_xlfn.XLOOKUP(B9,'Base stats'!B:B,'Base stats'!E:E),Groups!A:A,Groups!T:T))</f>
        <v>No</v>
      </c>
      <c r="W9" s="13" t="str">
        <f>IF(_xlfn.XLOOKUP(B9,'Base stats'!B:B,'Base stats'!W:W)="No","No",MROUND((LOG10(_xlfn.XLOOKUP(B9,'Base stats'!B:B,'Base stats'!AR:AR))*(AN9^0.5)+(_xlfn.XLOOKUP(B9,'Base stats'!B:B,'Base stats'!AR:AR)/1000)^(2/3)+_xlfn.XLOOKUP(B9,'Base stats'!B:B,'Base stats'!AW:AW))+0.5+IF(_xlfn.XLOOKUP(_xlfn.XLOOKUP(B9,'Base stats'!B:B,'Base stats'!E:E),Groups!A:A,Groups!U:U)&lt;&gt;3,_xlfn.XLOOKUP(B9,'Base stats'!B:B,'Base stats'!AX:AX),0),0.5))</f>
        <v>No</v>
      </c>
      <c r="X9" s="7" t="str">
        <f>IF(W9="No","No",MAX(_xlfn.XLOOKUP(_xlfn.XLOOKUP(B9,'Base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Y9" s="7" t="str">
        <f>IF(W9="No","No",_xlfn.XLOOKUP(_xlfn.XLOOKUP(B9,'Base stats'!B:B,'Base stats'!E:E),Groups!A:A,Groups!W:W))</f>
        <v>No</v>
      </c>
      <c r="Z9" s="7" t="str">
        <f>IF(W9="No","No",_xlfn.XLOOKUP(_xlfn.XLOOKUP(B9,'Base stats'!B:B,'Base stats'!E:E),Groups!A:A,Groups!X:X))</f>
        <v>No</v>
      </c>
      <c r="AA9" s="7" t="str">
        <f>IF(W9="No","No",_xlfn.XLOOKUP(_xlfn.XLOOKUP(B9,'Base stats'!B:B,'Base stats'!E:E),Groups!A:A,Groups!Y:Y))</f>
        <v>No</v>
      </c>
      <c r="AB9" s="7" t="str">
        <f>_xlfn.XLOOKUP(Animals!B9,'Base stats'!B:B,'Base stats'!X:X)</f>
        <v>False</v>
      </c>
      <c r="AC9" s="13">
        <f>IF(_xlfn.XLOOKUP(B9,'Base stats'!B:B,'Base stats'!AQ:AQ)="No","No",MROUND((LOG10(_xlfn.XLOOKUP(B9,'Base stats'!B:B,'Base stats'!AQ:AQ))*(AN9^0.75)+(_xlfn.XLOOKUP(B9,'Base stats'!B:B,'Base stats'!AQ:AQ)/1000)^(2/3)+_xlfn.XLOOKUP(B9,'Base stats'!B:B,'Base stats'!AU:AU)+_xlfn.XLOOKUP(B9,'Base stats'!B:B,'Base stats'!AX:AX))+0.5,0.5))</f>
        <v>3</v>
      </c>
      <c r="AD9" s="7">
        <f>IF(AC9="No","No",MAX(_xlfn.XLOOKUP(_xlfn.XLOOKUP(B9,'Base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E9" s="7" t="str">
        <f>IF(AC9="No","No",_xlfn.XLOOKUP(_xlfn.XLOOKUP(B9,'Base stats'!B:B,'Base stats'!E:E),Groups!A:A,Groups!AA:AA))</f>
        <v>Beak</v>
      </c>
      <c r="AF9" s="7" t="str">
        <f>IF(AC9="No","No",_xlfn.XLOOKUP(_xlfn.XLOOKUP(B9,'Base stats'!B:B,'Base stats'!E:E),Groups!A:A,Groups!AB:AB))</f>
        <v>beak</v>
      </c>
      <c r="AG9" s="7" t="str">
        <f>IF(AC9="No","No",_xlfn.XLOOKUP(_xlfn.XLOOKUP(B9,'Base stats'!B:B,'Base stats'!E:E),Groups!A:A,Groups!AC:AC))</f>
        <v>Blunt</v>
      </c>
      <c r="AH9" s="13" t="str">
        <f>IF(_xlfn.XLOOKUP(_xlfn.XLOOKUP(B9,'Base stats'!B:B,'Base stats'!E:E),Groups!A:A,Groups!AD:AD)=0,"No",MROUND((LOG10(_xlfn.XLOOKUP(B9,'Base stats'!B:B,'Base stats'!AP:AP))*(AN9^0.75)+(_xlfn.XLOOKUP(B9,'Base stats'!B:B,'Base stats'!AP:AP)/1000)^(2/3)+_xlfn.XLOOKUP(B9,'Base stats'!B:B,'Base stats'!AV:AV)+_xlfn.XLOOKUP(B9,'Base stats'!B:B,'Base stats'!AX:AX))+0.5,0.5))</f>
        <v>No</v>
      </c>
      <c r="AI9" s="7" t="str">
        <f>IF(AH9="No","No",MAX(_xlfn.XLOOKUP(_xlfn.XLOOKUP(B9,'Base stats'!B:B,'Base stats'!E:E),Groups!A:A,Groups!AE:AE),MROUND(_xlfn.XLOOKUP(_xlfn.XLOOKUP(B9,'Base stats'!B:B,'Base stats'!E:E),Groups!A:A,Groups!AE:AE)*_xlfn.XLOOKUP(B9,'Base stats'!B:B,'Base stats'!C:C)^0.165,0.05)))</f>
        <v>No</v>
      </c>
      <c r="AJ9" s="7" t="str">
        <f>IF(AH9="No","No",_xlfn.XLOOKUP(_xlfn.XLOOKUP(B9,'Base stats'!B:B,'Base stats'!E:E),Groups!A:A,Groups!AF:AF))</f>
        <v>No</v>
      </c>
      <c r="AK9" s="7" t="str">
        <f>IF(AH9="No","No",_xlfn.XLOOKUP(_xlfn.XLOOKUP(B9,'Base stats'!B:B,'Base stats'!E:E),Groups!A:A,Groups!AG:AG))</f>
        <v>No</v>
      </c>
      <c r="AL9" s="7" t="str">
        <f>IF(AH9="No","No",_xlfn.XLOOKUP(_xlfn.XLOOKUP(B9,'Base stats'!B:B,'Base stats'!E:E),Groups!A:A,Groups!AH:AH))</f>
        <v>No</v>
      </c>
      <c r="AM9" s="2" t="str">
        <f t="shared" si="0"/>
        <v>No</v>
      </c>
      <c r="AN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O9" s="8">
        <f>MROUND(AN9*_xlfn.XLOOKUP(_xlfn.XLOOKUP(B9,'Base stats'!B:B,'Base stats'!E:E),Groups!A:A,Groups!AI:AI),0.05)</f>
        <v>0.35000000000000003</v>
      </c>
      <c r="AP9" s="8">
        <f>MAX(0.01,MROUND(IF(CA9="True",0.196*(AN9*100*1000)^0.889,IF(_xlfn.XLOOKUP(_xlfn.XLOOKUP(B9,'Base stats'!B:B,'Base stats'!E:E),Groups!A:A,Groups!AJ:AJ)="Bird",10.5*(AN9*100*1000)^0.681,4.82*(AN9*100*1000)^0.734))/(4.82*(1*100*1000)^0.734)/IF(AN9&lt;3.5,2,IF(AN9=3.5,1.5,1.25))*(1+0.132282374779864/(AN9^0.994035016789033+0.00905238001496948)),0.05))</f>
        <v>0.4</v>
      </c>
      <c r="AQ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R9" s="35" t="str">
        <f>IFERROR(IF(_xlfn.XLOOKUP(B9,'Base stats'!B:B,'Base stats'!F:F)="Lay eggs","Lay eggs",MIN(20,MAX(5.5,ROUND(((_xlfn.XLOOKUP(B9,'Base stats'!B:B,'Base stats'!F:F)-25)*(14.5/615) + 5.5)*2,0)/2))),"Cannot breed")</f>
        <v>Lay eggs</v>
      </c>
      <c r="AS9" s="8">
        <f>IF(OR(A9="Queen",A9="Larva"),"No",IFERROR(MAX(IF(_xlfn.XLOOKUP(B9,'Base stats'!B:B,'Base stats'!G:G)&lt;0.5,0.2,0.3),MROUND(_xlfn.XLOOKUP(B9,'Base stats'!B:B,'Base stats'!G:G)/(365/60),0.2)),"Unknown"))</f>
        <v>0.3</v>
      </c>
      <c r="AT9" s="8">
        <f t="shared" si="1"/>
        <v>0.15000000000000002</v>
      </c>
      <c r="AU9" s="8" t="str">
        <f>IFERROR(IFERROR(MROUND(_xlfn.XLOOKUP(B9,'Base stats'!B:B,'Base stats'!J:J),0.1),"Lay eggs"),"Cannot breed")</f>
        <v>Lay eggs</v>
      </c>
      <c r="AV9" s="2" t="str">
        <f t="shared" si="2"/>
        <v>true</v>
      </c>
      <c r="AW9" s="2" t="str">
        <f>IF(_xlfn.XLOOKUP(_xlfn.XLOOKUP(Animals!B9,'Base stats'!B:B,'Base stats'!E:E),Groups!A:A,Groups!AK:AK)=1,"true","false")</f>
        <v>false</v>
      </c>
      <c r="AX9" s="25" t="str">
        <f>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</f>
        <v>VegetarianRoughAnimal</v>
      </c>
      <c r="AY9" s="2">
        <f>IF(_xlfn.XLOOKUP(_xlfn.XLOOKUP(B9,'Base stats'!B:B,'Base stats'!E:E),Groups!A:A,Groups!D:D)=1,MROUND((1-I9)*5+1,2)*IF(I9&lt;=0.4,2,1),"No")</f>
        <v>12</v>
      </c>
      <c r="AZ9" s="2" t="str">
        <f>_xlfn.XLOOKUP(B9,'Base stats'!B:B,'Base stats'!AE:AE)</f>
        <v>No</v>
      </c>
      <c r="BA9" s="23" t="str">
        <f>_xlfn.XLOOKUP(_xlfn.XLOOKUP(B9,'Base stats'!B:B,'Base stats'!E:E),Groups!A:A,Groups!AL:AL)</f>
        <v>Bird</v>
      </c>
      <c r="BB9" s="23">
        <f>MROUND(IF(AND(AN9&lt;0.5,_xlfn.XLOOKUP(B9,'Base stats'!B:B,'Base stats'!Z:Z)=0),0,IF(OR(_xlfn.XLOOKUP(Animals!B9,'Base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stats'!AA:AA),0.005)</f>
        <v>0</v>
      </c>
      <c r="BC9" s="23">
        <f>MROUND(IF(AND(AN9&lt;0.5,_xlfn.XLOOKUP(B9,'Base stats'!B:B,'Base stats'!Z:Z)=0),0,IF(_xlfn.XLOOKUP(_xlfn.XLOOKUP(B9,'Base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stats'!AB:AB),0.005)</f>
        <v>0</v>
      </c>
      <c r="BD9" s="2" t="str">
        <f>IF(I9&gt;0.3,"No",_xlfn.XLOOKUP(_xlfn.XLOOKUP(Animals!B9,'Base stats'!B:B,'Base stats'!E:E),Groups!A:A,Groups!AP:AP))</f>
        <v>No</v>
      </c>
      <c r="BE9" s="2" t="str">
        <f>IF(AND(I9&lt;=0.65,_xlfn.XLOOKUP(_xlfn.XLOOKUP(Animals!B9,'Base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stats'!O:O)=2,0.2,AN9) + 24*(1-IF(BD9="No",0,BD9)) + 16/3, 12),"No")</f>
        <v>No</v>
      </c>
      <c r="BF9" s="2">
        <f>IF(AND(_xlfn.XLOOKUP(_xlfn.XLOOKUP(B9,'Base stats'!B:B,'Base stats'!E:E),Groups!A:A,Groups!AQ:AQ)=1,AN9&lt;=0.35),8,12)</f>
        <v>8</v>
      </c>
      <c r="BG9" s="2" t="str">
        <f>IF(_xlfn.XLOOKUP(_xlfn.XLOOKUP(B9,'Base stats'!B:B,'Base stats'!E:E),Groups!A:A,Groups!D:D)=0,_xlfn.XLOOKUP(_xlfn.XLOOKUP(B9,'Base stats'!B:B,'Base stats'!E:E),Groups!A:A,Groups!AR:AR),"None")</f>
        <v>None</v>
      </c>
      <c r="BH9" s="2" t="str">
        <f>IF(AND(_xlfn.XLOOKUP(_xlfn.XLOOKUP(B9,'Base stats'!B:B,'Base stats'!E:E),Groups!A:A,Groups!AS:AS)=1,OR('Base stats'!Y9="Carnivore",'Base stats'!Y9="Omnivore")),"true","false")</f>
        <v>false</v>
      </c>
      <c r="BI9" s="2" t="str">
        <f>IF(BH9="true",MROUND(IF(AND(AN9&gt;0.5,_xlfn.XLOOKUP(_xlfn.XLOOKUP(B9,'Base stats'!B:B,'Base stats'!E:E),Groups!A:A,Groups!AJ:AJ)="Mammal"),Animals!AN9*1.75*IF(AV9="true",1.5,1),Animals!AN9),IF(AN9&gt;2,0.5,IF(AN9&gt;0.5,0.25,0.1))),"No")</f>
        <v>No</v>
      </c>
      <c r="BJ9" s="2">
        <f t="shared" si="3"/>
        <v>0</v>
      </c>
      <c r="BK9" s="25" t="str">
        <f>IF('Base stats'!AK9="Standard","No",MROUND((_xlfn.XLOOKUP(B9,'Base stats'!B:B,'Base stats'!AK:AK)/3.6)/H9,0.1))</f>
        <v>No</v>
      </c>
      <c r="BL9" s="25" t="str">
        <f t="shared" si="4"/>
        <v>true</v>
      </c>
      <c r="BM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N9" s="25" t="str" cm="1">
        <f t="array" ref="BN9">IF(
  _xlfn.TEXTJOIN(", ",TRUE,
    IF(AND(BH9="true",AN9&gt;0.5,BG9&lt;&gt;"None"),"AttackTarget",""),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IF(BE9&lt;=36,"Comfort",""),
    IF(_xlfn.XLOOKUP(B9,'Base stats'!B:B,'Base stats'!AC:AC)&lt;&gt;"No",_xlfn.XLOOKUP(B9,'Base stats'!B:B,'Base stats'!AC:AC),"")
  ) = "",
  "No",
  _xlfn.TEXTJOIN(", ",TRUE,
    IF(AND(BH9="true",AN9&gt;0.5,BG9&lt;&gt;"None"),"AttackTarget",""),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IF(BE9&lt;=36,"Comfort",""),
    IF(_xlfn.XLOOKUP(B9,'Base stats'!B:B,'Base stats'!AC:AC)&lt;&gt;"No",_xlfn.XLOOKUP(B9,'Base stats'!B:B,'Base stats'!AC:AC),"")
  )
)</f>
        <v>No</v>
      </c>
      <c r="BO9" s="25">
        <f>IF(
   AND(
      'Base stats'!AK9="Standard",_xlfn.XLOOKUP(_xlfn.XLOOKUP(B9,'Base stats'!B:B,'Base stats'!E:E),Groups!A:A,Groups!AU:AU)=0,
      OR(
      BM9="True"
      )
   ),
   10,
   IF(
       OR(BK9&lt;&gt;"No",_xlfn.XLOOKUP(_xlfn.XLOOKUP(B9,'Base stats'!B:B,'Base stats'!E:E),Groups!A:A,Groups!AU:AU)=1),
      1,
      "No"
   )
)</f>
        <v>1</v>
      </c>
      <c r="BP9" s="9">
        <f>MROUND((1 + ((0.2*IF(OR(P9="No",Q9="No",Q9=0),0,P9/Q9)
+IF(OR(U9="No",R9="No",S9="No"),0,R9/S9*(LEN(U9)-LEN(SUBSTITUTE(U9,",",""))+1))
+IF(OR(W9="No",X9="No"),0,W9/X9)
+IF(OR(AC9="No",AD9="No"),0,AC9/AD9)
+IF(OR(AK9="No",AH9="No",AI9="No"),0,AH9/AI9*(LEN(AK9)-LEN(SUBSTITUTE(AK9,",",""))+1))
)/(0.2*IF(OR(P9="No",Q9="No",Q9=0),0,1)
+IF(OR(U9="No",R9="No",S9="No"),0,LEN(U9)-LEN(SUBSTITUTE(U9,",",""))+1)
+IF(OR(W9="No",X9="No"),0,1)
+IF(OR(AC9="No",AD9="No"),0,1)
+IF(OR(AK9="No",AH9="No",AI9="No"),0,LEN(AK9)-LEN(SUBSTITUTE(AK9,",",""))+1))*62%)* 2)*(1 + (AO9 + _xlfn.XLOOKUP(B9,'Base stats'!B:B,'Base stats'!AS:AS) * 1.8) * 2) * 2.5 + 10 + H9 * 2,5)+IF(_xlfn.XLOOKUP(B9,'Base stats'!B:B,'Base stats'!AH:AH)=1,50,0)</f>
        <v>30</v>
      </c>
      <c r="BQ9" s="8">
        <f t="shared" si="5"/>
        <v>0.4</v>
      </c>
      <c r="BR9" s="8" t="str">
        <f>_xlfn.XLOOKUP(B9,'Base stats'!B:B,'Base stats'!AD:AD)</f>
        <v>3~10</v>
      </c>
      <c r="BS9" s="2" t="str">
        <f>IF(AND(I9&lt;=0.95,OR(_xlfn.XLOOKUP(B9,'Base stats'!B:B,'Base stats'!AH:AH)=1,_xlfn.XLOOKUP(B9,'Base stats'!B:B,'Base stats'!Y:Y)="Carnivore",_xlfn.XLOOKUP(B9,'Base stats'!B:B,'Base stats'!Y:Y)="Omnivore",BC9&gt;0.1)),"true","false")</f>
        <v>false</v>
      </c>
      <c r="BT9" s="2" t="str">
        <f>IF(_xlfn.XLOOKUP(B9,'Base stats'!B:B,'Base stats'!AF:AF)=1,"true","false")</f>
        <v>false</v>
      </c>
      <c r="BU9" s="25" t="str">
        <f>IF(E9="BaseInsect","AnimalInsect",
IF(I9&gt;0.95,"AnimalExotic",
_xlfn.TEXTJOIN(", ",TRUE,
IF(AND(_xlfn.XLOOKUP(B9,'Base stats'!B:B,'Base stats'!O:O)=0,_xlfn.XLOOKUP(_xlfn.XLOOKUP(B9,'Base stats'!B:B,'Base stats'!E:E),Groups!A:A,Groups!B:B)&gt;0),"AnimalUncommon","AnimalCommon"),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stats'!AH:AH)=1,AND(BG9&lt;&gt;"None",BP9&gt;=60),ISNUMBER(SEARCH("Attack target",BN9))),"AnimalFighter","")
)))</f>
        <v>AnimalCommon, AnimalFarm</v>
      </c>
      <c r="BV9" s="25" t="str">
        <f>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</f>
        <v/>
      </c>
      <c r="BW9" s="25" t="str">
        <f>IF(_xlfn.XLOOKUP(B9,'Base stats'!B:B,'Base stats'!AG:AG)=1,"true","false")</f>
        <v>false</v>
      </c>
      <c r="BX9" s="25">
        <f>IF(_xlfn.XLOOKUP(B9,'Base stats'!B:B,'Base stats'!N:N)=1,"No",MIN(MROUND(IF(OR(_xlfn.XLOOKUP(B9,'Base stats'!B:B,'Base stats'!AJ:AJ)=1,AND(BH9="True",CA9="False")),POWER(10,3.47*LOG10(_xlfn.XLOOKUP(B9,'Base stats'!B:B,'Base stats'!C:C)*1000)^-0.96),POWER(10,4.15*LOG10(_xlfn.XLOOKUP(B9,'Base stats'!B:B,'Base stats'!C:C)*1000)^-0.73))*IF(OR(_xlfn.XLOOKUP(B9,'Base stats'!B:B,'Base stats'!AJ:AJ)=1,_xlfn.XLOOKUP(B9,'Base stats'!B:B,'Base stats'!AH:AH)=1),0.5,1)/100,0.025),1))</f>
        <v>0.35000000000000003</v>
      </c>
      <c r="BY9" s="25" t="str">
        <f>IF(O9="Standard","No",IF(_xlfn.XLOOKUP(B9,'Base stats'!B:B,'Base stats'!N:N)=0,MROUND(BX9*O9,0.05),MIN(1,MAX(0.025,MROUND(IF(OR(CA9="true",AND(BH9="false",BM9="false")),POWER(10,4.15*LOG10(_xlfn.XLOOKUP(B9,'Base stats'!B:B,'Base stats'!C:C)*1000)^-0.73),POWER(10,3.47*LOG10(_xlfn.XLOOKUP(B9,'Base stats'!B:B,'Base stats'!C:C)*1000)^-0.96))*IF(_xlfn.XLOOKUP(B9,'Base stats'!B:B,'Base stats'!AH:AH)=1,0.5,1)/100,0.025)))))</f>
        <v>No</v>
      </c>
      <c r="BZ9" s="25" t="str">
        <f>IF(_xlfn.XLOOKUP(_xlfn.XLOOKUP(B9,'Base stats'!B:B,'Base stats'!E:E),Groups!A:A,Groups!AJ:AJ)="Mammal","True","False")</f>
        <v>False</v>
      </c>
      <c r="CA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B9" s="25" t="str">
        <f t="shared" si="6"/>
        <v>False</v>
      </c>
      <c r="CC9" s="25" t="str">
        <f>IF(_xlfn.XLOOKUP(_xlfn.XLOOKUP(B9,'Base stats'!B:B,'Base stats'!E:E),Groups!A:A,Groups!AW:AW),"True","False")</f>
        <v>False</v>
      </c>
      <c r="CD9" s="25" t="str">
        <f>IF(_xlfn.XLOOKUP(_xlfn.XLOOKUP(B9,'Base stats'!B:B,'Base stats'!E:E),Groups!A:A,Groups!AX:AX),"True","False")</f>
        <v>False</v>
      </c>
      <c r="CE9" s="25" t="str">
        <f>IF(_xlfn.XLOOKUP(B9,'Base stats'!B:B,'Base stats'!E:E)=1,"True","False")</f>
        <v>False</v>
      </c>
      <c r="CF9" s="25" t="str">
        <f>IF(
OR(
_xlfn.XLOOKUP(_xlfn.XLOOKUP(B9,'Base stats'!B:B,'Base stats'!E:E),Groups!A:A,Groups!AY:AY)=0,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stats'!E:E),Groups!A:A,Groups!AY:AY)=1,
"Flesh",
IF(
_xlfn.XLOOKUP(_xlfn.XLOOKUP(B9,'Base stats'!B:B,'Base stats'!E:E),Groups!A:A,Groups!AY:AY)=2,
"Bone",
""
)
)
)</f>
        <v>No</v>
      </c>
      <c r="CG9" s="25" t="str">
        <f>IF(_xlfn.XLOOKUP(_xlfn.XLOOKUP(B9,'Base stats'!B:B,'Base stats'!E:E),Groups!A:A,Groups!BA:BA),"True","False")</f>
        <v>True</v>
      </c>
      <c r="CH9" s="25" t="str">
        <f>IF(_xlfn.XLOOKUP(_xlfn.XLOOKUP(B9,'Base stats'!B:B,'Base stats'!E:E),Groups!A:A,Groups!AZ:AZ),"True","False")</f>
        <v>False</v>
      </c>
      <c r="CM9" s="16"/>
    </row>
    <row r="10" spans="1:91" ht="16.5" thickTop="1" thickBot="1" x14ac:dyDescent="0.3">
      <c r="A10" s="26" t="str">
        <f>_xlfn.XLOOKUP(B10,'Base stats'!B:B,'Base stats'!A:A)</f>
        <v>Duck</v>
      </c>
      <c r="B10" s="27" t="s">
        <v>928</v>
      </c>
      <c r="C10" s="28" t="s">
        <v>693</v>
      </c>
      <c r="D10" s="28" t="s">
        <v>45</v>
      </c>
      <c r="E10" s="28" t="s">
        <v>685</v>
      </c>
      <c r="F10" s="28" t="s">
        <v>685</v>
      </c>
      <c r="G10" s="2">
        <f>MROUND((
  (IF(AND(_xlfn.XLOOKUP(B10,'Base stats'!B:B,'Base stats'!AI:AI)=0,BG10="None",_xlfn.XLOOKUP('Base stats'!E10,Groups!A:A,Groups!B:B)=0), (18 + BP10 * 2.7) * 0.5,
    IF(AND(_xlfn.XLOOKUP(B10,'Base stats'!B:B,'Base stats'!AI:AI)=0,OR(AN10&lt;0.55,AND(BG10="Intermediate",_xlfn.XLOOKUP('Base stats'!E10,Groups!A:A,Groups!B:B)&lt;2))), (18 + BP10 * 2.7),
      IF(OR(BG10="Advanced",_xlfn.XLOOKUP(B10,'Base stats'!B:B,'Base stats'!AI:AI)=1,_xlfn.XLOOKUP('Base stats'!E10,Groups!A:A,Groups!B:B)=2), (18 + BP10 * 2.7) + 250, (18 + BP10 * 2.7))
    )
  ))
  + AN10 * 80
  + IF(COUNTIF(EggMilk!K$2:K$998, A10) &gt; 0, 125, 0)
  + IF(COUNTIF(EggMilk!P$2:P$998, A10) &gt; 0, 90, 0)
  + IF(COUNTIF(EggMilk!A$2:A$998, A10) &gt; 0, 90, 0)
)
* (0.8 + 0.4 * I10)
* 0.75,25)</f>
        <v>150</v>
      </c>
      <c r="H10" s="2">
        <f>MROUND(ROUNDDOWN(_xlfn.XLOOKUP(B10,'Base stats'!B:B,'Base stats'!L:L)/3.6/(23.3/11),1),0.5)</f>
        <v>1.5</v>
      </c>
      <c r="I10" s="2">
        <f>IF(_xlfn.XLOOKUP(B10,'Base stats'!B:B,'Base stats'!AI:AI)=1,0.99,MIN(MROUND((1-0.6282*EXP(-0.459*AN10))*_xlfn.XLOOKUP(_xlfn.XLOOKUP(B10,'Base stats'!B:B,'Base stats'!E:E),Groups!A:A,Groups!C:C)*IF(_xlfn.XLOOKUP(B10,'Base stats'!B:B,'Base stats'!O:O)=1,0.5,IF(_xlfn.XLOOKUP(B10,'Base stats'!B:B,'Base stats'!O:O)=2,0,1)),0.05),0.985))</f>
        <v>0.5</v>
      </c>
      <c r="J10" s="2">
        <f>ROUNDUP(AN10*_xlfn.XLOOKUP(_xlfn.XLOOKUP(B10,'Base stats'!B:B,'Base stats'!E:E),Groups!A:A,Groups!E:E),0)</f>
        <v>2</v>
      </c>
      <c r="K10" s="2">
        <f>IF(OR(_xlfn.XLOOKUP(_xlfn.XLOOKUP(B10,'Base stats'!B:B,'Base stats'!E:E),Groups!A:A,Groups!F:F)=2,ISNUMBER(SEARCH("SeaIce",BV10)),ISNUMBER(SEARCH("IceSheet",BV10))),-50,IF(OR(ISNUMBER(SEARCH("GlacialPlain",BV10)),ISNUMBER(SEARCH("Tundra",BV10))),-40,IF(OR(ISNUMBER(SEARCH("Alpine",BV10)),ISNUMBER(SEARCH("BorealForest",BV10)),ISNUMBER(SEARCH("ColdBog",BV10))),-30,IF(OR(ISNUMBER(SEARCH("TemperateForest",BV10)),ISNUMBER(SEARCH("TemperateSwamp",BV10))),-20,IF(_xlfn.XLOOKUP(_xlfn.XLOOKUP(B10,'Base stats'!B:B,'Base stats'!E:E),Groups!A:A,Groups!F:F)=1,-15,IF(OR(ISNUMBER(SEARCH("Desert",BV10)),ISNUMBER(SEARCH("ExtremeDesert",BV10))),-10,IF(OR(ISNUMBER(SEARCH("Grasslands",BV10)),ISNUMBER(SEARCH("TropicalRainforest",BV10)),ISNUMBER(SEARCH("TropicalSwamp",BV10))),10,0)))))))-IF(CA10="False",MIN(IFERROR(MAX(MROUND(LOG10(_xlfn.XLOOKUP(B10,'Base stats'!B:B,'Base stats'!C:C)^(2/3))*10,5),5),5),30))-_xlfn.XLOOKUP(B10,'Base stats'!B:B,'Base stats'!P:P)+IF(CA10="True",5,0)</f>
        <v>-35</v>
      </c>
      <c r="L10" s="2">
        <f>IF(OR(_xlfn.XLOOKUP(_xlfn.XLOOKUP(B10,'Base stats'!B:B,'Base stats'!E:E),Groups!A:A,Groups!G:G)=2,ISNUMBER(SEARCH("Desert",BV10)),ISNUMBER(SEARCH("ExtremeDesert",BV10)),ISNUMBER(SEARCH("LavaField",BV10))),50,IF(ISNUMBER(SEARCH("Grasslands",BV10)),45,IF(OR(_xlfn.XLOOKUP(_xlfn.XLOOKUP(B10,'Base stats'!B:B,'Base stats'!E:E),Groups!A:A,Groups!G:G)=1,ISNUMBER(SEARCH("TropicalRainforest",BV10)),ISNUMBER(SEARCH("TropicalSwamp",BV10))),40,IF(OR(ISNUMBER(SEARCH("TemperateForest",BV10)),ISNUMBER(SEARCH("TemperateSwamp",BV10))),35,IF(OR(ISNUMBER(SEARCH("Alpine",BV10)),ISNUMBER(SEARCH("BorealForest",BV10)),ISNUMBER(SEARCH("ColdBog",BV10))),30,IF(ISNUMBER(OR(ISNUMBER(SEARCH("GlacialPlain",BV10)),SEARCH("Tundra",BV10))),25,IF(OR(ISNUMBER(SEARCH("SeaIce",BV10)),ISNUMBER(SEARCH("IceSheet",BV10)),ISNUMBER(SEARCH("TropicalSwamp",BV10))),10,35)))))))+_xlfn.XLOOKUP(B10,'Base stats'!B:B,'Base stats'!Q:Q)</f>
        <v>35</v>
      </c>
      <c r="M10" s="8" t="str">
        <f>IF(_xlfn.XLOOKUP(_xlfn.XLOOKUP(B10,'Base stats'!B:B,'Base stats'!E:E),Groups!A:A,Groups!L:L)=1,MIN(MROUND(_xlfn.XLOOKUP(B10,'Animals CE'!B:B,'Animals CE'!Z:Z)/2+0.05,0.05),200%),"No")</f>
        <v>No</v>
      </c>
      <c r="N10" s="8" t="str">
        <f>IF(_xlfn.XLOOKUP(_xlfn.XLOOKUP(B10,'Base stats'!B:B,'Base stats'!E:E),Groups!A:A,Groups!L:L)=1,MIN(MROUND(_xlfn.XLOOKUP(B10,'Animals CE'!B:B,'Animals CE'!AA:AA)/2+0.05,0.05),200%),"No")</f>
        <v>No</v>
      </c>
      <c r="O10" s="2" t="str">
        <f>_xlfn.XLOOKUP(B10,'Base stats'!B:B,'Base stats'!R:R)</f>
        <v>Standard</v>
      </c>
      <c r="P10" s="13">
        <f>MROUND((LOG10(_xlfn.XLOOKUP(B10,'Base stats'!B:B,'Base stats'!AO:AO))*(AN10^0.5)+(_xlfn.XLOOKUP(B10,'Base stats'!B:B,'Base stats'!AO:AO)/1000)^(2/3)+_xlfn.XLOOKUP(B10,'Base stats'!B:B,'Base stats'!AX:AX)/2)+0.5,0.5)</f>
        <v>1.5</v>
      </c>
      <c r="Q10" s="7">
        <f>IF(P10="No","No",MAX(1,MROUND(_xlfn.XLOOKUP(B10,'Base stats'!B:B,'Base stats'!C:C)^0.165,0.05)))</f>
        <v>1</v>
      </c>
      <c r="R10" s="13" t="str">
        <f>IF(_xlfn.XLOOKUP(_xlfn.XLOOKUP(B10,'Base stats'!B:B,'Base stats'!E:E),Groups!A:A,Groups!P:P)=0,"No",MROUND((LOG10(_xlfn.XLOOKUP(B10,'Base stats'!B:B,'Base stats'!AP:AP))*(AN10^0.5)+(_xlfn.XLOOKUP(B10,'Base stats'!B:B,'Base stats'!AP:AP)/1000)^(2/3)+_xlfn.XLOOKUP(B10,'Base stats'!B:B,'Base stats'!AX:AX))+_xlfn.XLOOKUP(B10,'Base stats'!B:B,'Base stats'!AV:AV)+0.5,0.5))</f>
        <v>No</v>
      </c>
      <c r="S10" s="7" t="str">
        <f>IF(R10="No","No",MAX(_xlfn.XLOOKUP(_xlfn.XLOOKUP(B10,'Base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T10" s="7" t="str">
        <f>IF(R10="No","No",_xlfn.XLOOKUP(_xlfn.XLOOKUP(B10,'Base stats'!B:B,'Base stats'!E:E),Groups!A:A,Groups!R:R))</f>
        <v>No</v>
      </c>
      <c r="U10" s="7" t="str">
        <f>IF(R10="No","No",_xlfn.XLOOKUP(_xlfn.XLOOKUP(B10,'Base stats'!B:B,'Base stats'!E:E),Groups!A:A,Groups!S:S))</f>
        <v>No</v>
      </c>
      <c r="V10" s="7" t="str">
        <f>IF(R10="No","No",_xlfn.XLOOKUP(_xlfn.XLOOKUP(B10,'Base stats'!B:B,'Base stats'!E:E),Groups!A:A,Groups!T:T))</f>
        <v>No</v>
      </c>
      <c r="W10" s="13" t="str">
        <f>IF(_xlfn.XLOOKUP(B10,'Base stats'!B:B,'Base stats'!W:W)="No","No",MROUND((LOG10(_xlfn.XLOOKUP(B10,'Base stats'!B:B,'Base stats'!AR:AR))*(AN10^0.5)+(_xlfn.XLOOKUP(B10,'Base stats'!B:B,'Base stats'!AR:AR)/1000)^(2/3)+_xlfn.XLOOKUP(B10,'Base stats'!B:B,'Base stats'!AW:AW))+0.5+IF(_xlfn.XLOOKUP(_xlfn.XLOOKUP(B10,'Base stats'!B:B,'Base stats'!E:E),Groups!A:A,Groups!U:U)&lt;&gt;3,_xlfn.XLOOKUP(B10,'Base stats'!B:B,'Base stats'!AX:AX),0),0.5))</f>
        <v>No</v>
      </c>
      <c r="X10" s="7" t="str">
        <f>IF(W10="No","No",MAX(_xlfn.XLOOKUP(_xlfn.XLOOKUP(B10,'Base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Y10" s="7" t="str">
        <f>IF(W10="No","No",_xlfn.XLOOKUP(_xlfn.XLOOKUP(B10,'Base stats'!B:B,'Base stats'!E:E),Groups!A:A,Groups!W:W))</f>
        <v>No</v>
      </c>
      <c r="Z10" s="7" t="str">
        <f>IF(W10="No","No",_xlfn.XLOOKUP(_xlfn.XLOOKUP(B10,'Base stats'!B:B,'Base stats'!E:E),Groups!A:A,Groups!X:X))</f>
        <v>No</v>
      </c>
      <c r="AA10" s="7" t="str">
        <f>IF(W10="No","No",_xlfn.XLOOKUP(_xlfn.XLOOKUP(B10,'Base stats'!B:B,'Base stats'!E:E),Groups!A:A,Groups!Y:Y))</f>
        <v>No</v>
      </c>
      <c r="AB10" s="7" t="str">
        <f>_xlfn.XLOOKUP(Animals!B10,'Base stats'!B:B,'Base stats'!X:X)</f>
        <v>False</v>
      </c>
      <c r="AC10" s="13">
        <f>IF(_xlfn.XLOOKUP(B10,'Base stats'!B:B,'Base stats'!AQ:AQ)="No","No",MROUND((LOG10(_xlfn.XLOOKUP(B10,'Base stats'!B:B,'Base stats'!AQ:AQ))*(AN10^0.75)+(_xlfn.XLOOKUP(B10,'Base stats'!B:B,'Base stats'!AQ:AQ)/1000)^(2/3)+_xlfn.XLOOKUP(B10,'Base stats'!B:B,'Base stats'!AU:AU)+_xlfn.XLOOKUP(B10,'Base stats'!B:B,'Base stats'!AX:AX))+0.5,0.5))</f>
        <v>1.5</v>
      </c>
      <c r="AD10" s="7">
        <f>IF(AC10="No","No",MAX(_xlfn.XLOOKUP(_xlfn.XLOOKUP(B10,'Base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E10" s="7" t="str">
        <f>IF(AC10="No","No",_xlfn.XLOOKUP(_xlfn.XLOOKUP(B10,'Base stats'!B:B,'Base stats'!E:E),Groups!A:A,Groups!AA:AA))</f>
        <v>Beak</v>
      </c>
      <c r="AF10" s="7" t="str">
        <f>IF(AC10="No","No",_xlfn.XLOOKUP(_xlfn.XLOOKUP(B10,'Base stats'!B:B,'Base stats'!E:E),Groups!A:A,Groups!AB:AB))</f>
        <v>beak</v>
      </c>
      <c r="AG10" s="7" t="str">
        <f>IF(AC10="No","No",_xlfn.XLOOKUP(_xlfn.XLOOKUP(B10,'Base stats'!B:B,'Base stats'!E:E),Groups!A:A,Groups!AC:AC))</f>
        <v>Blunt</v>
      </c>
      <c r="AH10" s="13" t="str">
        <f>IF(_xlfn.XLOOKUP(_xlfn.XLOOKUP(B10,'Base stats'!B:B,'Base stats'!E:E),Groups!A:A,Groups!AD:AD)=0,"No",MROUND((LOG10(_xlfn.XLOOKUP(B10,'Base stats'!B:B,'Base stats'!AP:AP))*(AN10^0.75)+(_xlfn.XLOOKUP(B10,'Base stats'!B:B,'Base stats'!AP:AP)/1000)^(2/3)+_xlfn.XLOOKUP(B10,'Base stats'!B:B,'Base stats'!AV:AV)+_xlfn.XLOOKUP(B10,'Base stats'!B:B,'Base stats'!AX:AX))+0.5,0.5))</f>
        <v>No</v>
      </c>
      <c r="AI10" s="7" t="str">
        <f>IF(AH10="No","No",MAX(_xlfn.XLOOKUP(_xlfn.XLOOKUP(B10,'Base stats'!B:B,'Base stats'!E:E),Groups!A:A,Groups!AE:AE),MROUND(_xlfn.XLOOKUP(_xlfn.XLOOKUP(B10,'Base stats'!B:B,'Base stats'!E:E),Groups!A:A,Groups!AE:AE)*_xlfn.XLOOKUP(B10,'Base stats'!B:B,'Base stats'!C:C)^0.165,0.05)))</f>
        <v>No</v>
      </c>
      <c r="AJ10" s="7" t="str">
        <f>IF(AH10="No","No",_xlfn.XLOOKUP(_xlfn.XLOOKUP(B10,'Base stats'!B:B,'Base stats'!E:E),Groups!A:A,Groups!AF:AF))</f>
        <v>No</v>
      </c>
      <c r="AK10" s="7" t="str">
        <f>IF(AH10="No","No",_xlfn.XLOOKUP(_xlfn.XLOOKUP(B10,'Base stats'!B:B,'Base stats'!E:E),Groups!A:A,Groups!AG:AG))</f>
        <v>No</v>
      </c>
      <c r="AL10" s="7" t="str">
        <f>IF(AH10="No","No",_xlfn.XLOOKUP(_xlfn.XLOOKUP(B10,'Base stats'!B:B,'Base stats'!E:E),Groups!A:A,Groups!AH:AH))</f>
        <v>No</v>
      </c>
      <c r="AM10" s="2" t="str">
        <f t="shared" si="0"/>
        <v>No</v>
      </c>
      <c r="AN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O10" s="8">
        <f>MROUND(AN10*_xlfn.XLOOKUP(_xlfn.XLOOKUP(B10,'Base stats'!B:B,'Base stats'!E:E),Groups!A:A,Groups!AI:AI),0.05)</f>
        <v>0.15000000000000002</v>
      </c>
      <c r="AP10" s="8">
        <f>MAX(0.01,MROUND(IF(CA10="True",0.196*(AN10*100*1000)^0.889,IF(_xlfn.XLOOKUP(_xlfn.XLOOKUP(B10,'Base stats'!B:B,'Base stats'!E:E),Groups!A:A,Groups!AJ:AJ)="Bird",10.5*(AN10*100*1000)^0.681,4.82*(AN10*100*1000)^0.734))/(4.82*(1*100*1000)^0.734)/IF(AN10&lt;3.5,2,IF(AN10=3.5,1.5,1.25))*(1+0.132282374779864/(AN10^0.994035016789033+0.00905238001496948)),0.05))</f>
        <v>0.30000000000000004</v>
      </c>
      <c r="AQ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R10" s="35" t="str">
        <f>IFERROR(IF(_xlfn.XLOOKUP(B10,'Base stats'!B:B,'Base stats'!F:F)="Lay eggs","Lay eggs",MIN(20,MAX(5.5,ROUND(((_xlfn.XLOOKUP(B10,'Base stats'!B:B,'Base stats'!F:F)-25)*(14.5/615) + 5.5)*2,0)/2))),"Cannot breed")</f>
        <v>Lay eggs</v>
      </c>
      <c r="AS10" s="8">
        <f>IF(OR(A10="Queen",A10="Larva"),"No",IFERROR(MAX(IF(_xlfn.XLOOKUP(B10,'Base stats'!B:B,'Base stats'!G:G)&lt;0.5,0.2,0.3),MROUND(_xlfn.XLOOKUP(B10,'Base stats'!B:B,'Base stats'!G:G)/(365/60),0.2)),"Unknown"))</f>
        <v>0.3</v>
      </c>
      <c r="AT10" s="8">
        <f t="shared" si="1"/>
        <v>0.15000000000000002</v>
      </c>
      <c r="AU10" s="8" t="str">
        <f>IFERROR(IFERROR(MROUND(_xlfn.XLOOKUP(B10,'Base stats'!B:B,'Base stats'!J:J),0.1),"Lay eggs"),"Cannot breed")</f>
        <v>Lay eggs</v>
      </c>
      <c r="AV10" s="2" t="str">
        <f t="shared" si="2"/>
        <v>true</v>
      </c>
      <c r="AW10" s="2" t="str">
        <f>IF(_xlfn.XLOOKUP(_xlfn.XLOOKUP(Animals!B10,'Base stats'!B:B,'Base stats'!E:E),Groups!A:A,Groups!AK:AK)=1,"true","false")</f>
        <v>false</v>
      </c>
      <c r="AX10" s="25" t="str">
        <f>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</f>
        <v>VegetarianRoughAnimal</v>
      </c>
      <c r="AY10" s="2">
        <f>IF(_xlfn.XLOOKUP(_xlfn.XLOOKUP(B10,'Base stats'!B:B,'Base stats'!E:E),Groups!A:A,Groups!D:D)=1,MROUND((1-I10)*5+1,2)*IF(I10&lt;=0.4,2,1),"No")</f>
        <v>4</v>
      </c>
      <c r="AZ10" s="2" t="str">
        <f>_xlfn.XLOOKUP(B10,'Base stats'!B:B,'Base stats'!AE:AE)</f>
        <v>No</v>
      </c>
      <c r="BA10" s="23" t="str">
        <f>_xlfn.XLOOKUP(_xlfn.XLOOKUP(B10,'Base stats'!B:B,'Base stats'!E:E),Groups!A:A,Groups!AL:AL)</f>
        <v>Bird</v>
      </c>
      <c r="BB10" s="23">
        <f>MROUND(IF(AND(AN10&lt;0.5,_xlfn.XLOOKUP(B10,'Base stats'!B:B,'Base stats'!Z:Z)=0),0,IF(OR(_xlfn.XLOOKUP(Animals!B10,'Base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stats'!AA:AA),0.005)</f>
        <v>0</v>
      </c>
      <c r="BC10" s="23">
        <f>MROUND(IF(AND(AN10&lt;0.5,_xlfn.XLOOKUP(B10,'Base stats'!B:B,'Base stats'!Z:Z)=0),0,IF(_xlfn.XLOOKUP(_xlfn.XLOOKUP(B10,'Base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stats'!AB:AB),0.005)</f>
        <v>0</v>
      </c>
      <c r="BD10" s="2" t="str">
        <f>IF(I10&gt;0.3,"No",_xlfn.XLOOKUP(_xlfn.XLOOKUP(Animals!B10,'Base stats'!B:B,'Base stats'!E:E),Groups!A:A,Groups!AP:AP))</f>
        <v>No</v>
      </c>
      <c r="BE10" s="2" t="str">
        <f>IF(AND(I10&lt;=0.65,_xlfn.XLOOKUP(_xlfn.XLOOKUP(Animals!B10,'Base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stats'!O:O)=2,0.2,AN10) + 24*(1-IF(BD10="No",0,BD10)) + 16/3, 12),"No")</f>
        <v>No</v>
      </c>
      <c r="BF10" s="2">
        <f>IF(AND(_xlfn.XLOOKUP(_xlfn.XLOOKUP(B10,'Base stats'!B:B,'Base stats'!E:E),Groups!A:A,Groups!AQ:AQ)=1,AN10&lt;=0.35),8,12)</f>
        <v>8</v>
      </c>
      <c r="BG10" s="2" t="str">
        <f>IF(_xlfn.XLOOKUP(_xlfn.XLOOKUP(B10,'Base stats'!B:B,'Base stats'!E:E),Groups!A:A,Groups!D:D)=0,_xlfn.XLOOKUP(_xlfn.XLOOKUP(B10,'Base stats'!B:B,'Base stats'!E:E),Groups!A:A,Groups!AR:AR),"None")</f>
        <v>None</v>
      </c>
      <c r="BH10" s="2" t="str">
        <f>IF(AND(_xlfn.XLOOKUP(_xlfn.XLOOKUP(B10,'Base stats'!B:B,'Base stats'!E:E),Groups!A:A,Groups!AS:AS)=1,OR('Base stats'!Y10="Carnivore",'Base stats'!Y10="Omnivore")),"true","false")</f>
        <v>false</v>
      </c>
      <c r="BI10" s="2" t="str">
        <f>IF(BH10="true",MROUND(IF(AND(AN10&gt;0.5,_xlfn.XLOOKUP(_xlfn.XLOOKUP(B10,'Base stats'!B:B,'Base stats'!E:E),Groups!A:A,Groups!AJ:AJ)="Mammal"),Animals!AN10*1.75*IF(AV10="true",1.5,1),Animals!AN10),IF(AN10&gt;2,0.5,IF(AN10&gt;0.5,0.25,0.1))),"No")</f>
        <v>No</v>
      </c>
      <c r="BJ10" s="2">
        <f t="shared" si="3"/>
        <v>0</v>
      </c>
      <c r="BK10" s="25" t="str">
        <f>IF('Base stats'!AK10="Standard","No",MROUND((_xlfn.XLOOKUP(B10,'Base stats'!B:B,'Base stats'!AK:AK)/3.6)/H10,0.1))</f>
        <v>No</v>
      </c>
      <c r="BL10" s="25" t="str">
        <f t="shared" si="4"/>
        <v>true</v>
      </c>
      <c r="BM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N10" s="25" t="str" cm="1">
        <f t="array" ref="BN10">IF(
  _xlfn.TEXTJOIN(", ",TRUE,
    IF(AND(BH10="true",AN10&gt;0.5,BG10&lt;&gt;"None"),"AttackTarget",""),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IF(BE10&lt;=36,"Comfort",""),
    IF(_xlfn.XLOOKUP(B10,'Base stats'!B:B,'Base stats'!AC:AC)&lt;&gt;"No",_xlfn.XLOOKUP(B10,'Base stats'!B:B,'Base stats'!AC:AC),"")
  ) = "",
  "No",
  _xlfn.TEXTJOIN(", ",TRUE,
    IF(AND(BH10="true",AN10&gt;0.5,BG10&lt;&gt;"None"),"AttackTarget",""),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IF(BE10&lt;=36,"Comfort",""),
    IF(_xlfn.XLOOKUP(B10,'Base stats'!B:B,'Base stats'!AC:AC)&lt;&gt;"No",_xlfn.XLOOKUP(B10,'Base stats'!B:B,'Base stats'!AC:AC),"")
  )
)</f>
        <v>No</v>
      </c>
      <c r="BO10" s="25">
        <f>IF(
   AND(
      'Base stats'!AK10="Standard",_xlfn.XLOOKUP(_xlfn.XLOOKUP(B10,'Base stats'!B:B,'Base stats'!E:E),Groups!A:A,Groups!AU:AU)=0,
      OR(
      BM10="True"
      )
   ),
   10,
   IF(
       OR(BK10&lt;&gt;"No",_xlfn.XLOOKUP(_xlfn.XLOOKUP(B10,'Base stats'!B:B,'Base stats'!E:E),Groups!A:A,Groups!AU:AU)=1),
      1,
      "No"
   )
)</f>
        <v>1</v>
      </c>
      <c r="BP10" s="9">
        <f>MROUND((1 + ((0.2*IF(OR(P10="No",Q10="No",Q10=0),0,P10/Q10)
+IF(OR(U10="No",R10="No",S10="No"),0,R10/S10*(LEN(U10)-LEN(SUBSTITUTE(U10,",",""))+1))
+IF(OR(W10="No",X10="No"),0,W10/X10)
+IF(OR(AC10="No",AD10="No"),0,AC10/AD10)
+IF(OR(AK10="No",AH10="No",AI10="No"),0,AH10/AI10*(LEN(AK10)-LEN(SUBSTITUTE(AK10,",",""))+1))
)/(0.2*IF(OR(P10="No",Q10="No",Q10=0),0,1)
+IF(OR(U10="No",R10="No",S10="No"),0,LEN(U10)-LEN(SUBSTITUTE(U10,",",""))+1)
+IF(OR(W10="No",X10="No"),0,1)
+IF(OR(AC10="No",AD10="No"),0,1)
+IF(OR(AK10="No",AH10="No",AI10="No"),0,LEN(AK10)-LEN(SUBSTITUTE(AK10,",",""))+1))*62%)* 2)*(1 + (AO10 + _xlfn.XLOOKUP(B10,'Base stats'!B:B,'Base stats'!AS:AS) * 1.8) * 2) * 2.5 + 10 + H10 * 2,5)+IF(_xlfn.XLOOKUP(B10,'Base stats'!B:B,'Base stats'!AH:AH)=1,50,0)</f>
        <v>25</v>
      </c>
      <c r="BQ10" s="8">
        <f t="shared" si="5"/>
        <v>0.25</v>
      </c>
      <c r="BR10" s="8" t="str">
        <f>_xlfn.XLOOKUP(B10,'Base stats'!B:B,'Base stats'!AD:AD)</f>
        <v>3~10</v>
      </c>
      <c r="BS10" s="2" t="str">
        <f>IF(AND(I10&lt;=0.95,OR(_xlfn.XLOOKUP(B10,'Base stats'!B:B,'Base stats'!AH:AH)=1,_xlfn.XLOOKUP(B10,'Base stats'!B:B,'Base stats'!Y:Y)="Carnivore",_xlfn.XLOOKUP(B10,'Base stats'!B:B,'Base stats'!Y:Y)="Omnivore",BC10&gt;0.1)),"true","false")</f>
        <v>false</v>
      </c>
      <c r="BT10" s="2" t="str">
        <f>IF(_xlfn.XLOOKUP(B10,'Base stats'!B:B,'Base stats'!AF:AF)=1,"true","false")</f>
        <v>false</v>
      </c>
      <c r="BU10" s="25" t="str">
        <f>IF(E10="BaseInsect","AnimalInsect",
IF(I10&gt;0.95,"AnimalExotic",
_xlfn.TEXTJOIN(", ",TRUE,
IF(AND(_xlfn.XLOOKUP(B10,'Base stats'!B:B,'Base stats'!O:O)=0,_xlfn.XLOOKUP(_xlfn.XLOOKUP(B10,'Base stats'!B:B,'Base stats'!E:E),Groups!A:A,Groups!B:B)&gt;0),"AnimalUncommon","AnimalCommon"),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stats'!AH:AH)=1,AND(BG10&lt;&gt;"None",BP10&gt;=60),ISNUMBER(SEARCH("Attack target",BN10))),"AnimalFighter","")
)))</f>
        <v>AnimalUncommon</v>
      </c>
      <c r="BV10" s="25" t="str">
        <f>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</f>
        <v>ColdBog TemperateSwamp</v>
      </c>
      <c r="BW10" s="25" t="str">
        <f>IF(_xlfn.XLOOKUP(B10,'Base stats'!B:B,'Base stats'!AG:AG)=1,"true","false")</f>
        <v>false</v>
      </c>
      <c r="BX10" s="25">
        <f>IF(_xlfn.XLOOKUP(B10,'Base stats'!B:B,'Base stats'!N:N)=1,"No",MIN(MROUND(IF(OR(_xlfn.XLOOKUP(B10,'Base stats'!B:B,'Base stats'!AJ:AJ)=1,AND(BH10="True",CA10="False")),POWER(10,3.47*LOG10(_xlfn.XLOOKUP(B10,'Base stats'!B:B,'Base stats'!C:C)*1000)^-0.96),POWER(10,4.15*LOG10(_xlfn.XLOOKUP(B10,'Base stats'!B:B,'Base stats'!C:C)*1000)^-0.73))*IF(OR(_xlfn.XLOOKUP(B10,'Base stats'!B:B,'Base stats'!AJ:AJ)=1,_xlfn.XLOOKUP(B10,'Base stats'!B:B,'Base stats'!AH:AH)=1),0.5,1)/100,0.025),1))</f>
        <v>0.70000000000000007</v>
      </c>
      <c r="BY10" s="25" t="str">
        <f>IF(O10="Standard","No",IF(_xlfn.XLOOKUP(B10,'Base stats'!B:B,'Base stats'!N:N)=0,MROUND(BX10*O10,0.05),MIN(1,MAX(0.025,MROUND(IF(OR(CA10="true",AND(BH10="false",BM10="false")),POWER(10,4.15*LOG10(_xlfn.XLOOKUP(B10,'Base stats'!B:B,'Base stats'!C:C)*1000)^-0.73),POWER(10,3.47*LOG10(_xlfn.XLOOKUP(B10,'Base stats'!B:B,'Base stats'!C:C)*1000)^-0.96))*IF(_xlfn.XLOOKUP(B10,'Base stats'!B:B,'Base stats'!AH:AH)=1,0.5,1)/100,0.025)))))</f>
        <v>No</v>
      </c>
      <c r="BZ10" s="25" t="str">
        <f>IF(_xlfn.XLOOKUP(_xlfn.XLOOKUP(B10,'Base stats'!B:B,'Base stats'!E:E),Groups!A:A,Groups!AJ:AJ)="Mammal","True","False")</f>
        <v>False</v>
      </c>
      <c r="CA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B10" s="25" t="str">
        <f t="shared" si="6"/>
        <v>False</v>
      </c>
      <c r="CC10" s="25" t="str">
        <f>IF(_xlfn.XLOOKUP(_xlfn.XLOOKUP(B10,'Base stats'!B:B,'Base stats'!E:E),Groups!A:A,Groups!AW:AW),"True","False")</f>
        <v>False</v>
      </c>
      <c r="CD10" s="25" t="str">
        <f>IF(_xlfn.XLOOKUP(_xlfn.XLOOKUP(B10,'Base stats'!B:B,'Base stats'!E:E),Groups!A:A,Groups!AX:AX),"True","False")</f>
        <v>False</v>
      </c>
      <c r="CE10" s="25" t="str">
        <f>IF(_xlfn.XLOOKUP(B10,'Base stats'!B:B,'Base stats'!E:E)=1,"True","False")</f>
        <v>False</v>
      </c>
      <c r="CF10" s="25" t="str">
        <f>IF(
OR(
_xlfn.XLOOKUP(_xlfn.XLOOKUP(B10,'Base stats'!B:B,'Base stats'!E:E),Groups!A:A,Groups!AY:AY)=0,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stats'!E:E),Groups!A:A,Groups!AY:AY)=1,
"Flesh",
IF(
_xlfn.XLOOKUP(_xlfn.XLOOKUP(B10,'Base stats'!B:B,'Base stats'!E:E),Groups!A:A,Groups!AY:AY)=2,
"Bone",
""
)
)
)</f>
        <v>No</v>
      </c>
      <c r="CG10" s="25" t="str">
        <f>IF(_xlfn.XLOOKUP(_xlfn.XLOOKUP(B10,'Base stats'!B:B,'Base stats'!E:E),Groups!A:A,Groups!BA:BA),"True","False")</f>
        <v>True</v>
      </c>
      <c r="CH10" s="25" t="str">
        <f>IF(_xlfn.XLOOKUP(_xlfn.XLOOKUP(B10,'Base stats'!B:B,'Base stats'!E:E),Groups!A:A,Groups!AZ:AZ),"True","False")</f>
        <v>False</v>
      </c>
      <c r="CM10" s="16"/>
    </row>
    <row r="11" spans="1:91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694</v>
      </c>
      <c r="D11" s="28" t="s">
        <v>45</v>
      </c>
      <c r="E11" s="28" t="s">
        <v>685</v>
      </c>
      <c r="F11" s="28" t="s">
        <v>685</v>
      </c>
      <c r="G11" s="2">
        <f>MROUND((
  (IF(AND(_xlfn.XLOOKUP(B11,'Base stats'!B:B,'Base stats'!AI:AI)=0,BG11="None",_xlfn.XLOOKUP('Base stats'!E11,Groups!A:A,Groups!B:B)=0), (18 + BP11 * 2.7) * 0.5,
    IF(AND(_xlfn.XLOOKUP(B11,'Base stats'!B:B,'Base stats'!AI:AI)=0,OR(AN11&lt;0.55,AND(BG11="Intermediate",_xlfn.XLOOKUP('Base stats'!E11,Groups!A:A,Groups!B:B)&lt;2))), (18 + BP11 * 2.7),
      IF(OR(BG11="Advanced",_xlfn.XLOOKUP(B11,'Base stats'!B:B,'Base stats'!AI:AI)=1,_xlfn.XLOOKUP('Base stats'!E11,Groups!A:A,Groups!B:B)=2), (18 + BP11 * 2.7) + 250, (18 + BP11 * 2.7))
    )
  ))
  + AN11 * 80
  + IF(COUNTIF(EggMilk!K$2:K$998, A11) &gt; 0, 125, 0)
  + IF(COUNTIF(EggMilk!P$2:P$998, A11) &gt; 0, 90, 0)
  + IF(COUNTIF(EggMilk!A$2:A$998, A11) &gt; 0, 90, 0)
)
* (0.8 + 0.4 * I11)
* 0.75,25)</f>
        <v>100</v>
      </c>
      <c r="H11" s="2">
        <f>MROUND(ROUNDDOWN(_xlfn.XLOOKUP(B11,'Base stats'!B:B,'Base stats'!L:L)/3.6/(23.3/11),1),0.5)</f>
        <v>2</v>
      </c>
      <c r="I11" s="2">
        <f>IF(_xlfn.XLOOKUP(B11,'Base stats'!B:B,'Base stats'!AI:AI)=1,0.99,MIN(MROUND((1-0.6282*EXP(-0.459*AN11))*_xlfn.XLOOKUP(_xlfn.XLOOKUP(B11,'Base stats'!B:B,'Base stats'!E:E),Groups!A:A,Groups!C:C)*IF(_xlfn.XLOOKUP(B11,'Base stats'!B:B,'Base stats'!O:O)=1,0.5,IF(_xlfn.XLOOKUP(B11,'Base stats'!B:B,'Base stats'!O:O)=2,0,1)),0.05),0.985))</f>
        <v>0</v>
      </c>
      <c r="J11" s="2">
        <f>ROUNDUP(AN11*_xlfn.XLOOKUP(_xlfn.XLOOKUP(B11,'Base stats'!B:B,'Base stats'!E:E),Groups!A:A,Groups!E:E),0)</f>
        <v>3</v>
      </c>
      <c r="K11" s="2">
        <f>IF(OR(_xlfn.XLOOKUP(_xlfn.XLOOKUP(B11,'Base stats'!B:B,'Base stats'!E:E),Groups!A:A,Groups!F:F)=2,ISNUMBER(SEARCH("SeaIce",BV11)),ISNUMBER(SEARCH("IceSheet",BV11))),-50,IF(OR(ISNUMBER(SEARCH("GlacialPlain",BV11)),ISNUMBER(SEARCH("Tundra",BV11))),-40,IF(OR(ISNUMBER(SEARCH("Alpine",BV11)),ISNUMBER(SEARCH("BorealForest",BV11)),ISNUMBER(SEARCH("ColdBog",BV11))),-30,IF(OR(ISNUMBER(SEARCH("TemperateForest",BV11)),ISNUMBER(SEARCH("TemperateSwamp",BV11))),-20,IF(_xlfn.XLOOKUP(_xlfn.XLOOKUP(B11,'Base stats'!B:B,'Base stats'!E:E),Groups!A:A,Groups!F:F)=1,-15,IF(OR(ISNUMBER(SEARCH("Desert",BV11)),ISNUMBER(SEARCH("ExtremeDesert",BV11))),-10,IF(OR(ISNUMBER(SEARCH("Grasslands",BV11)),ISNUMBER(SEARCH("TropicalRainforest",BV11)),ISNUMBER(SEARCH("TropicalSwamp",BV11))),10,0)))))))-IF(CA11="False",MIN(IFERROR(MAX(MROUND(LOG10(_xlfn.XLOOKUP(B11,'Base stats'!B:B,'Base stats'!C:C)^(2/3))*10,5),5),5),30))-_xlfn.XLOOKUP(B11,'Base stats'!B:B,'Base stats'!P:P)+IF(CA11="True",5,0)</f>
        <v>-5</v>
      </c>
      <c r="L11" s="2">
        <f>IF(OR(_xlfn.XLOOKUP(_xlfn.XLOOKUP(B11,'Base stats'!B:B,'Base stats'!E:E),Groups!A:A,Groups!G:G)=2,ISNUMBER(SEARCH("Desert",BV11)),ISNUMBER(SEARCH("ExtremeDesert",BV11)),ISNUMBER(SEARCH("LavaField",BV11))),50,IF(ISNUMBER(SEARCH("Grasslands",BV11)),45,IF(OR(_xlfn.XLOOKUP(_xlfn.XLOOKUP(B11,'Base stats'!B:B,'Base stats'!E:E),Groups!A:A,Groups!G:G)=1,ISNUMBER(SEARCH("TropicalRainforest",BV11)),ISNUMBER(SEARCH("TropicalSwamp",BV11))),40,IF(OR(ISNUMBER(SEARCH("TemperateForest",BV11)),ISNUMBER(SEARCH("TemperateSwamp",BV11))),35,IF(OR(ISNUMBER(SEARCH("Alpine",BV11)),ISNUMBER(SEARCH("BorealForest",BV11)),ISNUMBER(SEARCH("ColdBog",BV11))),30,IF(ISNUMBER(OR(ISNUMBER(SEARCH("GlacialPlain",BV11)),SEARCH("Tundra",BV11))),25,IF(OR(ISNUMBER(SEARCH("SeaIce",BV11)),ISNUMBER(SEARCH("IceSheet",BV11)),ISNUMBER(SEARCH("TropicalSwamp",BV11))),10,35)))))))+_xlfn.XLOOKUP(B11,'Base stats'!B:B,'Base stats'!Q:Q)</f>
        <v>35</v>
      </c>
      <c r="M11" s="8" t="str">
        <f>IF(_xlfn.XLOOKUP(_xlfn.XLOOKUP(B11,'Base stats'!B:B,'Base stats'!E:E),Groups!A:A,Groups!L:L)=1,MIN(MROUND(_xlfn.XLOOKUP(B11,'Animals CE'!B:B,'Animals CE'!Z:Z)/2+0.05,0.05),200%),"No")</f>
        <v>No</v>
      </c>
      <c r="N11" s="8" t="str">
        <f>IF(_xlfn.XLOOKUP(_xlfn.XLOOKUP(B11,'Base stats'!B:B,'Base stats'!E:E),Groups!A:A,Groups!L:L)=1,MIN(MROUND(_xlfn.XLOOKUP(B11,'Animals CE'!B:B,'Animals CE'!AA:AA)/2+0.05,0.05),200%),"No")</f>
        <v>No</v>
      </c>
      <c r="O11" s="2" t="str">
        <f>_xlfn.XLOOKUP(B11,'Base stats'!B:B,'Base stats'!R:R)</f>
        <v>Standard</v>
      </c>
      <c r="P11" s="13">
        <f>MROUND((LOG10(_xlfn.XLOOKUP(B11,'Base stats'!B:B,'Base stats'!AO:AO))*(AN11^0.5)+(_xlfn.XLOOKUP(B11,'Base stats'!B:B,'Base stats'!AO:AO)/1000)^(2/3)+_xlfn.XLOOKUP(B11,'Base stats'!B:B,'Base stats'!AX:AX)/2)+0.5,0.5)</f>
        <v>2</v>
      </c>
      <c r="Q11" s="7">
        <f>IF(P11="No","No",MAX(1,MROUND(_xlfn.XLOOKUP(B11,'Base stats'!B:B,'Base stats'!C:C)^0.165,0.05)))</f>
        <v>1.1500000000000001</v>
      </c>
      <c r="R11" s="13">
        <f>IF(_xlfn.XLOOKUP(_xlfn.XLOOKUP(B11,'Base stats'!B:B,'Base stats'!E:E),Groups!A:A,Groups!P:P)=0,"No",MROUND((LOG10(_xlfn.XLOOKUP(B11,'Base stats'!B:B,'Base stats'!AP:AP))*(AN11^0.5)+(_xlfn.XLOOKUP(B11,'Base stats'!B:B,'Base stats'!AP:AP)/1000)^(2/3)+_xlfn.XLOOKUP(B11,'Base stats'!B:B,'Base stats'!AX:AX))+_xlfn.XLOOKUP(B11,'Base stats'!B:B,'Base stats'!AV:AV)+0.5,0.5))</f>
        <v>3.5</v>
      </c>
      <c r="S11" s="7">
        <f>IF(R11="No","No",MAX(_xlfn.XLOOKUP(_xlfn.XLOOKUP(B11,'Base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T11" s="7" t="str">
        <f>IF(R11="No","No",_xlfn.XLOOKUP(_xlfn.XLOOKUP(B11,'Base stats'!B:B,'Base stats'!E:E),Groups!A:A,Groups!R:R))</f>
        <v>Feet</v>
      </c>
      <c r="U11" s="7" t="str">
        <f>IF(R11="No","No",_xlfn.XLOOKUP(_xlfn.XLOOKUP(B11,'Base stats'!B:B,'Base stats'!E:E),Groups!A:A,Groups!S:S))</f>
        <v>rear left claw, rear  right claw</v>
      </c>
      <c r="V11" s="7" t="str">
        <f>IF(R11="No","No",_xlfn.XLOOKUP(_xlfn.XLOOKUP(B11,'Base stats'!B:B,'Base stats'!E:E),Groups!A:A,Groups!T:T))</f>
        <v>Scratch</v>
      </c>
      <c r="W11" s="13" t="str">
        <f>IF(_xlfn.XLOOKUP(B11,'Base stats'!B:B,'Base stats'!W:W)="No","No",MROUND((LOG10(_xlfn.XLOOKUP(B11,'Base stats'!B:B,'Base stats'!AR:AR))*(AN11^0.5)+(_xlfn.XLOOKUP(B11,'Base stats'!B:B,'Base stats'!AR:AR)/1000)^(2/3)+_xlfn.XLOOKUP(B11,'Base stats'!B:B,'Base stats'!AW:AW))+0.5+IF(_xlfn.XLOOKUP(_xlfn.XLOOKUP(B11,'Base stats'!B:B,'Base stats'!E:E),Groups!A:A,Groups!U:U)&lt;&gt;3,_xlfn.XLOOKUP(B11,'Base stats'!B:B,'Base stats'!AX:AX),0),0.5))</f>
        <v>No</v>
      </c>
      <c r="X11" s="7" t="str">
        <f>IF(W11="No","No",MAX(_xlfn.XLOOKUP(_xlfn.XLOOKUP(B11,'Base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Y11" s="7" t="str">
        <f>IF(W11="No","No",_xlfn.XLOOKUP(_xlfn.XLOOKUP(B11,'Base stats'!B:B,'Base stats'!E:E),Groups!A:A,Groups!W:W))</f>
        <v>No</v>
      </c>
      <c r="Z11" s="7" t="str">
        <f>IF(W11="No","No",_xlfn.XLOOKUP(_xlfn.XLOOKUP(B11,'Base stats'!B:B,'Base stats'!E:E),Groups!A:A,Groups!X:X))</f>
        <v>No</v>
      </c>
      <c r="AA11" s="7" t="str">
        <f>IF(W11="No","No",_xlfn.XLOOKUP(_xlfn.XLOOKUP(B11,'Base stats'!B:B,'Base stats'!E:E),Groups!A:A,Groups!Y:Y))</f>
        <v>No</v>
      </c>
      <c r="AB11" s="7" t="str">
        <f>_xlfn.XLOOKUP(Animals!B11,'Base stats'!B:B,'Base stats'!X:X)</f>
        <v>False</v>
      </c>
      <c r="AC11" s="13">
        <f>IF(_xlfn.XLOOKUP(B11,'Base stats'!B:B,'Base stats'!AQ:AQ)="No","No",MROUND((LOG10(_xlfn.XLOOKUP(B11,'Base stats'!B:B,'Base stats'!AQ:AQ))*(AN11^0.75)+(_xlfn.XLOOKUP(B11,'Base stats'!B:B,'Base stats'!AQ:AQ)/1000)^(2/3)+_xlfn.XLOOKUP(B11,'Base stats'!B:B,'Base stats'!AU:AU)+_xlfn.XLOOKUP(B11,'Base stats'!B:B,'Base stats'!AX:AX))+0.5,0.5))</f>
        <v>2</v>
      </c>
      <c r="AD11" s="7">
        <f>IF(AC11="No","No",MAX(_xlfn.XLOOKUP(_xlfn.XLOOKUP(B11,'Base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E11" s="7" t="str">
        <f>IF(AC11="No","No",_xlfn.XLOOKUP(_xlfn.XLOOKUP(B11,'Base stats'!B:B,'Base stats'!E:E),Groups!A:A,Groups!AA:AA))</f>
        <v>Beak</v>
      </c>
      <c r="AF11" s="7" t="str">
        <f>IF(AC11="No","No",_xlfn.XLOOKUP(_xlfn.XLOOKUP(B11,'Base stats'!B:B,'Base stats'!E:E),Groups!A:A,Groups!AB:AB))</f>
        <v>beak</v>
      </c>
      <c r="AG11" s="7" t="str">
        <f>IF(AC11="No","No",_xlfn.XLOOKUP(_xlfn.XLOOKUP(B11,'Base stats'!B:B,'Base stats'!E:E),Groups!A:A,Groups!AC:AC))</f>
        <v>Blunt</v>
      </c>
      <c r="AH11" s="13" t="str">
        <f>IF(_xlfn.XLOOKUP(_xlfn.XLOOKUP(B11,'Base stats'!B:B,'Base stats'!E:E),Groups!A:A,Groups!AD:AD)=0,"No",MROUND((LOG10(_xlfn.XLOOKUP(B11,'Base stats'!B:B,'Base stats'!AP:AP))*(AN11^0.75)+(_xlfn.XLOOKUP(B11,'Base stats'!B:B,'Base stats'!AP:AP)/1000)^(2/3)+_xlfn.XLOOKUP(B11,'Base stats'!B:B,'Base stats'!AV:AV)+_xlfn.XLOOKUP(B11,'Base stats'!B:B,'Base stats'!AX:AX))+0.5,0.5))</f>
        <v>No</v>
      </c>
      <c r="AI11" s="7" t="str">
        <f>IF(AH11="No","No",MAX(_xlfn.XLOOKUP(_xlfn.XLOOKUP(B11,'Base stats'!B:B,'Base stats'!E:E),Groups!A:A,Groups!AE:AE),MROUND(_xlfn.XLOOKUP(_xlfn.XLOOKUP(B11,'Base stats'!B:B,'Base stats'!E:E),Groups!A:A,Groups!AE:AE)*_xlfn.XLOOKUP(B11,'Base stats'!B:B,'Base stats'!C:C)^0.165,0.05)))</f>
        <v>No</v>
      </c>
      <c r="AJ11" s="7" t="str">
        <f>IF(AH11="No","No",_xlfn.XLOOKUP(_xlfn.XLOOKUP(B11,'Base stats'!B:B,'Base stats'!E:E),Groups!A:A,Groups!AF:AF))</f>
        <v>No</v>
      </c>
      <c r="AK11" s="7" t="str">
        <f>IF(AH11="No","No",_xlfn.XLOOKUP(_xlfn.XLOOKUP(B11,'Base stats'!B:B,'Base stats'!E:E),Groups!A:A,Groups!AG:AG))</f>
        <v>No</v>
      </c>
      <c r="AL11" s="7" t="str">
        <f>IF(AH11="No","No",_xlfn.XLOOKUP(_xlfn.XLOOKUP(B11,'Base stats'!B:B,'Base stats'!E:E),Groups!A:A,Groups!AH:AH))</f>
        <v>No</v>
      </c>
      <c r="AM11" s="2" t="str">
        <f t="shared" si="0"/>
        <v>No</v>
      </c>
      <c r="AN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O11" s="8">
        <f>MROUND(AN11*_xlfn.XLOOKUP(_xlfn.XLOOKUP(B11,'Base stats'!B:B,'Base stats'!E:E),Groups!A:A,Groups!AI:AI),0.05)</f>
        <v>0.2</v>
      </c>
      <c r="AP11" s="8">
        <f>MAX(0.01,MROUND(IF(CA11="True",0.196*(AN11*100*1000)^0.889,IF(_xlfn.XLOOKUP(_xlfn.XLOOKUP(B11,'Base stats'!B:B,'Base stats'!E:E),Groups!A:A,Groups!AJ:AJ)="Bird",10.5*(AN11*100*1000)^0.681,4.82*(AN11*100*1000)^0.734))/(4.82*(1*100*1000)^0.734)/IF(AN11&lt;3.5,2,IF(AN11=3.5,1.5,1.25))*(1+0.132282374779864/(AN11^0.994035016789033+0.00905238001496948)),0.05))</f>
        <v>0.30000000000000004</v>
      </c>
      <c r="AQ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R11" s="35" t="str">
        <f>IFERROR(IF(_xlfn.XLOOKUP(B11,'Base stats'!B:B,'Base stats'!F:F)="Lay eggs","Lay eggs",MIN(20,MAX(5.5,ROUND(((_xlfn.XLOOKUP(B11,'Base stats'!B:B,'Base stats'!F:F)-25)*(14.5/615) + 5.5)*2,0)/2))),"Cannot breed")</f>
        <v>Lay eggs</v>
      </c>
      <c r="AS11" s="8">
        <f>IF(OR(A11="Queen",A11="Larva"),"No",IFERROR(MAX(IF(_xlfn.XLOOKUP(B11,'Base stats'!B:B,'Base stats'!G:G)&lt;0.5,0.2,0.3),MROUND(_xlfn.XLOOKUP(B11,'Base stats'!B:B,'Base stats'!G:G)/(365/60),0.2)),"Unknown"))</f>
        <v>0.2</v>
      </c>
      <c r="AT11" s="8">
        <f t="shared" si="1"/>
        <v>0.1</v>
      </c>
      <c r="AU11" s="8" t="str">
        <f>IFERROR(IFERROR(MROUND(_xlfn.XLOOKUP(B11,'Base stats'!B:B,'Base stats'!J:J),0.1),"Lay eggs"),"Cannot breed")</f>
        <v>Lay eggs</v>
      </c>
      <c r="AV11" s="2" t="str">
        <f t="shared" si="2"/>
        <v>true</v>
      </c>
      <c r="AW11" s="2" t="str">
        <f>IF(_xlfn.XLOOKUP(_xlfn.XLOOKUP(Animals!B11,'Base stats'!B:B,'Base stats'!E:E),Groups!A:A,Groups!AK:AK)=1,"true","false")</f>
        <v>false</v>
      </c>
      <c r="AX11" s="25" t="str">
        <f>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</f>
        <v>OmnivoreRoughAnimal, OvivoreAnimal</v>
      </c>
      <c r="AY11" s="2">
        <f>IF(_xlfn.XLOOKUP(_xlfn.XLOOKUP(B11,'Base stats'!B:B,'Base stats'!E:E),Groups!A:A,Groups!D:D)=1,MROUND((1-I11)*5+1,2)*IF(I11&lt;=0.4,2,1),"No")</f>
        <v>12</v>
      </c>
      <c r="AZ11" s="2" t="str">
        <f>_xlfn.XLOOKUP(B11,'Base stats'!B:B,'Base stats'!AE:AE)</f>
        <v>No</v>
      </c>
      <c r="BA11" s="23" t="str">
        <f>_xlfn.XLOOKUP(_xlfn.XLOOKUP(B11,'Base stats'!B:B,'Base stats'!E:E),Groups!A:A,Groups!AL:AL)</f>
        <v>Bird</v>
      </c>
      <c r="BB11" s="23">
        <f>MROUND(IF(AND(AN11&lt;0.5,_xlfn.XLOOKUP(B11,'Base stats'!B:B,'Base stats'!Z:Z)=0),0,IF(OR(_xlfn.XLOOKUP(Animals!B11,'Base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stats'!AA:AA),0.005)</f>
        <v>0</v>
      </c>
      <c r="BC11" s="23">
        <f>MROUND(IF(AND(AN11&lt;0.5,_xlfn.XLOOKUP(B11,'Base stats'!B:B,'Base stats'!Z:Z)=0),0,IF(_xlfn.XLOOKUP(_xlfn.XLOOKUP(B11,'Base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stats'!AB:AB),0.005)</f>
        <v>0</v>
      </c>
      <c r="BD11" s="2" t="str">
        <f>IF(I11&gt;0.3,"No",_xlfn.XLOOKUP(_xlfn.XLOOKUP(Animals!B11,'Base stats'!B:B,'Base stats'!E:E),Groups!A:A,Groups!AP:AP))</f>
        <v>No</v>
      </c>
      <c r="BE11" s="2" t="str">
        <f>IF(AND(I11&lt;=0.65,_xlfn.XLOOKUP(_xlfn.XLOOKUP(Animals!B11,'Base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stats'!O:O)=2,0.2,AN11) + 24*(1-IF(BD11="No",0,BD11)) + 16/3, 12),"No")</f>
        <v>No</v>
      </c>
      <c r="BF11" s="2">
        <f>IF(AND(_xlfn.XLOOKUP(_xlfn.XLOOKUP(B11,'Base stats'!B:B,'Base stats'!E:E),Groups!A:A,Groups!AQ:AQ)=1,AN11&lt;=0.35),8,12)</f>
        <v>8</v>
      </c>
      <c r="BG11" s="2" t="str">
        <f>IF(_xlfn.XLOOKUP(_xlfn.XLOOKUP(B11,'Base stats'!B:B,'Base stats'!E:E),Groups!A:A,Groups!D:D)=0,_xlfn.XLOOKUP(_xlfn.XLOOKUP(B11,'Base stats'!B:B,'Base stats'!E:E),Groups!A:A,Groups!AR:AR),"None")</f>
        <v>None</v>
      </c>
      <c r="BH11" s="2" t="str">
        <f>IF(AND(_xlfn.XLOOKUP(_xlfn.XLOOKUP(B11,'Base stats'!B:B,'Base stats'!E:E),Groups!A:A,Groups!AS:AS)=1,OR('Base stats'!Y11="Carnivore",'Base stats'!Y11="Omnivore")),"true","false")</f>
        <v>false</v>
      </c>
      <c r="BI11" s="2" t="str">
        <f>IF(BH11="true",MROUND(IF(AND(AN11&gt;0.5,_xlfn.XLOOKUP(_xlfn.XLOOKUP(B11,'Base stats'!B:B,'Base stats'!E:E),Groups!A:A,Groups!AJ:AJ)="Mammal"),Animals!AN11*1.75*IF(AV11="true",1.5,1),Animals!AN11),IF(AN11&gt;2,0.5,IF(AN11&gt;0.5,0.25,0.1))),"No")</f>
        <v>No</v>
      </c>
      <c r="BJ11" s="2">
        <f t="shared" si="3"/>
        <v>0</v>
      </c>
      <c r="BK11" s="25" t="str">
        <f>IF('Base stats'!AK11="Standard","No",MROUND((_xlfn.XLOOKUP(B11,'Base stats'!B:B,'Base stats'!AK:AK)/3.6)/H11,0.1))</f>
        <v>No</v>
      </c>
      <c r="BL11" s="25" t="str">
        <f t="shared" si="4"/>
        <v>false</v>
      </c>
      <c r="BM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N11" s="25" t="str" cm="1">
        <f t="array" ref="BN11">IF(
  _xlfn.TEXTJOIN(", ",TRUE,
    IF(AND(BH11="true",AN11&gt;0.5,BG11&lt;&gt;"None"),"AttackTarget",""),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IF(BE11&lt;=36,"Comfort",""),
    IF(_xlfn.XLOOKUP(B11,'Base stats'!B:B,'Base stats'!AC:AC)&lt;&gt;"No",_xlfn.XLOOKUP(B11,'Base stats'!B:B,'Base stats'!AC:AC),"")
  ) = "",
  "No",
  _xlfn.TEXTJOIN(", ",TRUE,
    IF(AND(BH11="true",AN11&gt;0.5,BG11&lt;&gt;"None"),"AttackTarget",""),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IF(BE11&lt;=36,"Comfort",""),
    IF(_xlfn.XLOOKUP(B11,'Base stats'!B:B,'Base stats'!AC:AC)&lt;&gt;"No",_xlfn.XLOOKUP(B11,'Base stats'!B:B,'Base stats'!AC:AC),"")
  )
)</f>
        <v>No</v>
      </c>
      <c r="BO11" s="25" t="str">
        <f>IF(
   AND(
      'Base stats'!AK11="Standard",_xlfn.XLOOKUP(_xlfn.XLOOKUP(B11,'Base stats'!B:B,'Base stats'!E:E),Groups!A:A,Groups!AU:AU)=0,
      OR(
      BM11="True"
      )
   ),
   10,
   IF(
       OR(BK11&lt;&gt;"No",_xlfn.XLOOKUP(_xlfn.XLOOKUP(B11,'Base stats'!B:B,'Base stats'!E:E),Groups!A:A,Groups!AU:AU)=1),
      1,
      "No"
   )
)</f>
        <v>No</v>
      </c>
      <c r="BP11" s="9">
        <f>MROUND((1 + ((0.2*IF(OR(P11="No",Q11="No",Q11=0),0,P11/Q11)
+IF(OR(U11="No",R11="No",S11="No"),0,R11/S11*(LEN(U11)-LEN(SUBSTITUTE(U11,",",""))+1))
+IF(OR(W11="No",X11="No"),0,W11/X11)
+IF(OR(AC11="No",AD11="No"),0,AC11/AD11)
+IF(OR(AK11="No",AH11="No",AI11="No"),0,AH11/AI11*(LEN(AK11)-LEN(SUBSTITUTE(AK11,",",""))+1))
)/(0.2*IF(OR(P11="No",Q11="No",Q11=0),0,1)
+IF(OR(U11="No",R11="No",S11="No"),0,LEN(U11)-LEN(SUBSTITUTE(U11,",",""))+1)
+IF(OR(W11="No",X11="No"),0,1)
+IF(OR(AC11="No",AD11="No"),0,1)
+IF(OR(AK11="No",AH11="No",AI11="No"),0,LEN(AK11)-LEN(SUBSTITUTE(AK11,",",""))+1))*62%)* 2)*(1 + (AO11 + _xlfn.XLOOKUP(B11,'Base stats'!B:B,'Base stats'!AS:AS) * 1.8) * 2) * 2.5 + 10 + H11 * 2,5)+IF(_xlfn.XLOOKUP(B11,'Base stats'!B:B,'Base stats'!AH:AH)=1,50,0)</f>
        <v>30</v>
      </c>
      <c r="BQ11" s="8">
        <f t="shared" si="5"/>
        <v>0.30000000000000004</v>
      </c>
      <c r="BR11" s="8" t="str">
        <f>_xlfn.XLOOKUP(B11,'Base stats'!B:B,'Base stats'!AD:AD)</f>
        <v>3~10</v>
      </c>
      <c r="BS11" s="2" t="str">
        <f>IF(AND(I11&lt;=0.95,OR(_xlfn.XLOOKUP(B11,'Base stats'!B:B,'Base stats'!AH:AH)=1,_xlfn.XLOOKUP(B11,'Base stats'!B:B,'Base stats'!Y:Y)="Carnivore",_xlfn.XLOOKUP(B11,'Base stats'!B:B,'Base stats'!Y:Y)="Omnivore",BC11&gt;0.1)),"true","false")</f>
        <v>false</v>
      </c>
      <c r="BT11" s="2" t="str">
        <f>IF(_xlfn.XLOOKUP(B11,'Base stats'!B:B,'Base stats'!AF:AF)=1,"true","false")</f>
        <v>false</v>
      </c>
      <c r="BU11" s="25" t="str">
        <f>IF(E11="BaseInsect","AnimalInsect",
IF(I11&gt;0.95,"AnimalExotic",
_xlfn.TEXTJOIN(", ",TRUE,
IF(AND(_xlfn.XLOOKUP(B11,'Base stats'!B:B,'Base stats'!O:O)=0,_xlfn.XLOOKUP(_xlfn.XLOOKUP(B11,'Base stats'!B:B,'Base stats'!E:E),Groups!A:A,Groups!B:B)&gt;0),"AnimalUncommon","AnimalCommon"),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stats'!AH:AH)=1,AND(BG11&lt;&gt;"None",BP11&gt;=60),ISNUMBER(SEARCH("Attack target",BN11))),"AnimalFighter","")
)))</f>
        <v>AnimalCommon, AnimalFarm</v>
      </c>
      <c r="BV11" s="25" t="str">
        <f>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</f>
        <v/>
      </c>
      <c r="BW11" s="25" t="str">
        <f>IF(_xlfn.XLOOKUP(B11,'Base stats'!B:B,'Base stats'!AG:AG)=1,"true","false")</f>
        <v>false</v>
      </c>
      <c r="BX11" s="25">
        <f>IF(_xlfn.XLOOKUP(B11,'Base stats'!B:B,'Base stats'!N:N)=1,"No",MIN(MROUND(IF(OR(_xlfn.XLOOKUP(B11,'Base stats'!B:B,'Base stats'!AJ:AJ)=1,AND(BH11="True",CA11="False")),POWER(10,3.47*LOG10(_xlfn.XLOOKUP(B11,'Base stats'!B:B,'Base stats'!C:C)*1000)^-0.96),POWER(10,4.15*LOG10(_xlfn.XLOOKUP(B11,'Base stats'!B:B,'Base stats'!C:C)*1000)^-0.73))*IF(OR(_xlfn.XLOOKUP(B11,'Base stats'!B:B,'Base stats'!AJ:AJ)=1,_xlfn.XLOOKUP(B11,'Base stats'!B:B,'Base stats'!AH:AH)=1),0.5,1)/100,0.025),1))</f>
        <v>0.5</v>
      </c>
      <c r="BY11" s="25" t="str">
        <f>IF(O11="Standard","No",IF(_xlfn.XLOOKUP(B11,'Base stats'!B:B,'Base stats'!N:N)=0,MROUND(BX11*O11,0.05),MIN(1,MAX(0.025,MROUND(IF(OR(CA11="true",AND(BH11="false",BM11="false")),POWER(10,4.15*LOG10(_xlfn.XLOOKUP(B11,'Base stats'!B:B,'Base stats'!C:C)*1000)^-0.73),POWER(10,3.47*LOG10(_xlfn.XLOOKUP(B11,'Base stats'!B:B,'Base stats'!C:C)*1000)^-0.96))*IF(_xlfn.XLOOKUP(B11,'Base stats'!B:B,'Base stats'!AH:AH)=1,0.5,1)/100,0.025)))))</f>
        <v>No</v>
      </c>
      <c r="BZ11" s="25" t="str">
        <f>IF(_xlfn.XLOOKUP(_xlfn.XLOOKUP(B11,'Base stats'!B:B,'Base stats'!E:E),Groups!A:A,Groups!AJ:AJ)="Mammal","True","False")</f>
        <v>False</v>
      </c>
      <c r="CA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B11" s="25" t="str">
        <f t="shared" si="6"/>
        <v>False</v>
      </c>
      <c r="CC11" s="25" t="str">
        <f>IF(_xlfn.XLOOKUP(_xlfn.XLOOKUP(B11,'Base stats'!B:B,'Base stats'!E:E),Groups!A:A,Groups!AW:AW),"True","False")</f>
        <v>False</v>
      </c>
      <c r="CD11" s="25" t="str">
        <f>IF(_xlfn.XLOOKUP(_xlfn.XLOOKUP(B11,'Base stats'!B:B,'Base stats'!E:E),Groups!A:A,Groups!AX:AX),"True","False")</f>
        <v>False</v>
      </c>
      <c r="CE11" s="25" t="str">
        <f>IF(_xlfn.XLOOKUP(B11,'Base stats'!B:B,'Base stats'!E:E)=1,"True","False")</f>
        <v>False</v>
      </c>
      <c r="CF11" s="25" t="str">
        <f>IF(
OR(
_xlfn.XLOOKUP(_xlfn.XLOOKUP(B11,'Base stats'!B:B,'Base stats'!E:E),Groups!A:A,Groups!AY:AY)=0,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stats'!E:E),Groups!A:A,Groups!AY:AY)=1,
"Flesh",
IF(
_xlfn.XLOOKUP(_xlfn.XLOOKUP(B11,'Base stats'!B:B,'Base stats'!E:E),Groups!A:A,Groups!AY:AY)=2,
"Bone",
""
)
)
)</f>
        <v>No</v>
      </c>
      <c r="CG11" s="25" t="str">
        <f>IF(_xlfn.XLOOKUP(_xlfn.XLOOKUP(B11,'Base stats'!B:B,'Base stats'!E:E),Groups!A:A,Groups!BA:BA),"True","False")</f>
        <v>True</v>
      </c>
      <c r="CH11" s="25" t="str">
        <f>IF(_xlfn.XLOOKUP(_xlfn.XLOOKUP(B11,'Base stats'!B:B,'Base stats'!E:E),Groups!A:A,Groups!AZ:AZ),"True","False")</f>
        <v>False</v>
      </c>
      <c r="CM11" s="16"/>
    </row>
    <row r="12" spans="1:91" ht="16.5" thickTop="1" thickBot="1" x14ac:dyDescent="0.3">
      <c r="A12" s="26" t="str">
        <f>_xlfn.XLOOKUP(B12,'Base stats'!B:B,'Base stats'!A:A)</f>
        <v>Dromedary</v>
      </c>
      <c r="B12" s="6" t="s">
        <v>91</v>
      </c>
      <c r="C12" s="28" t="s">
        <v>695</v>
      </c>
      <c r="D12" s="28" t="s">
        <v>45</v>
      </c>
      <c r="E12" s="28" t="s">
        <v>685</v>
      </c>
      <c r="F12" s="28" t="s">
        <v>685</v>
      </c>
      <c r="G12" s="2">
        <f>MROUND((
  (IF(AND(_xlfn.XLOOKUP(B12,'Base stats'!B:B,'Base stats'!AI:AI)=0,BG12="None",_xlfn.XLOOKUP('Base stats'!E12,Groups!A:A,Groups!B:B)=0), (18 + BP12 * 2.7) * 0.5,
    IF(AND(_xlfn.XLOOKUP(B12,'Base stats'!B:B,'Base stats'!AI:AI)=0,OR(AN12&lt;0.55,AND(BG12="Intermediate",_xlfn.XLOOKUP('Base stats'!E12,Groups!A:A,Groups!B:B)&lt;2))), (18 + BP12 * 2.7),
      IF(OR(BG12="Advanced",_xlfn.XLOOKUP(B12,'Base stats'!B:B,'Base stats'!AI:AI)=1,_xlfn.XLOOKUP('Base stats'!E12,Groups!A:A,Groups!B:B)=2), (18 + BP12 * 2.7) + 250, (18 + BP12 * 2.7))
    )
  ))
  + AN12 * 80
  + IF(COUNTIF(EggMilk!K$2:K$998, A12) &gt; 0, 125, 0)
  + IF(COUNTIF(EggMilk!P$2:P$998, A12) &gt; 0, 90, 0)
  + IF(COUNTIF(EggMilk!A$2:A$998, A12) &gt; 0, 90, 0)
)
* (0.8 + 0.4 * I12)
* 0.75,25)</f>
        <v>475</v>
      </c>
      <c r="H12" s="2">
        <f>MROUND(ROUNDDOWN(_xlfn.XLOOKUP(B12,'Base stats'!B:B,'Base stats'!L:L)/3.6/(23.3/11),1),0.5)</f>
        <v>5</v>
      </c>
      <c r="I12" s="2">
        <f>IF(_xlfn.XLOOKUP(B12,'Base stats'!B:B,'Base stats'!AI:AI)=1,0.99,MIN(MROUND((1-0.6282*EXP(-0.459*AN12))*_xlfn.XLOOKUP(_xlfn.XLOOKUP(B12,'Base stats'!B:B,'Base stats'!E:E),Groups!A:A,Groups!C:C)*IF(_xlfn.XLOOKUP(B12,'Base stats'!B:B,'Base stats'!O:O)=1,0.5,IF(_xlfn.XLOOKUP(B12,'Base stats'!B:B,'Base stats'!O:O)=2,0,1)),0.05),0.985))</f>
        <v>0.30000000000000004</v>
      </c>
      <c r="J12" s="2">
        <f>ROUNDUP(AN12*_xlfn.XLOOKUP(_xlfn.XLOOKUP(B12,'Base stats'!B:B,'Base stats'!E:E),Groups!A:A,Groups!E:E),0)</f>
        <v>14</v>
      </c>
      <c r="K12" s="2">
        <f>IF(OR(_xlfn.XLOOKUP(_xlfn.XLOOKUP(B12,'Base stats'!B:B,'Base stats'!E:E),Groups!A:A,Groups!F:F)=2,ISNUMBER(SEARCH("SeaIce",BV12)),ISNUMBER(SEARCH("IceSheet",BV12))),-50,IF(OR(ISNUMBER(SEARCH("GlacialPlain",BV12)),ISNUMBER(SEARCH("Tundra",BV12))),-40,IF(OR(ISNUMBER(SEARCH("Alpine",BV12)),ISNUMBER(SEARCH("BorealForest",BV12)),ISNUMBER(SEARCH("ColdBog",BV12))),-30,IF(OR(ISNUMBER(SEARCH("TemperateForest",BV12)),ISNUMBER(SEARCH("TemperateSwamp",BV12))),-20,IF(_xlfn.XLOOKUP(_xlfn.XLOOKUP(B12,'Base stats'!B:B,'Base stats'!E:E),Groups!A:A,Groups!F:F)=1,-15,IF(OR(ISNUMBER(SEARCH("Desert",BV12)),ISNUMBER(SEARCH("ExtremeDesert",BV12))),-10,IF(OR(ISNUMBER(SEARCH("Grasslands",BV12)),ISNUMBER(SEARCH("TropicalRainforest",BV12)),ISNUMBER(SEARCH("TropicalSwamp",BV12))),10,0)))))))-IF(CA12="False",MIN(IFERROR(MAX(MROUND(LOG10(_xlfn.XLOOKUP(B12,'Base stats'!B:B,'Base stats'!C:C)^(2/3))*10,5),5),5),30))-_xlfn.XLOOKUP(B12,'Base stats'!B:B,'Base stats'!P:P)+IF(CA12="True",5,0)</f>
        <v>-35</v>
      </c>
      <c r="L12" s="2">
        <f>IF(OR(_xlfn.XLOOKUP(_xlfn.XLOOKUP(B12,'Base stats'!B:B,'Base stats'!E:E),Groups!A:A,Groups!G:G)=2,ISNUMBER(SEARCH("Desert",BV12)),ISNUMBER(SEARCH("ExtremeDesert",BV12)),ISNUMBER(SEARCH("LavaField",BV12))),50,IF(ISNUMBER(SEARCH("Grasslands",BV12)),45,IF(OR(_xlfn.XLOOKUP(_xlfn.XLOOKUP(B12,'Base stats'!B:B,'Base stats'!E:E),Groups!A:A,Groups!G:G)=1,ISNUMBER(SEARCH("TropicalRainforest",BV12)),ISNUMBER(SEARCH("TropicalSwamp",BV12))),40,IF(OR(ISNUMBER(SEARCH("TemperateForest",BV12)),ISNUMBER(SEARCH("TemperateSwamp",BV12))),35,IF(OR(ISNUMBER(SEARCH("Alpine",BV12)),ISNUMBER(SEARCH("BorealForest",BV12)),ISNUMBER(SEARCH("ColdBog",BV12))),30,IF(ISNUMBER(OR(ISNUMBER(SEARCH("GlacialPlain",BV12)),SEARCH("Tundra",BV12))),25,IF(OR(ISNUMBER(SEARCH("SeaIce",BV12)),ISNUMBER(SEARCH("IceSheet",BV12)),ISNUMBER(SEARCH("TropicalSwamp",BV12))),10,35)))))))+_xlfn.XLOOKUP(B12,'Base stats'!B:B,'Base stats'!Q:Q)</f>
        <v>50</v>
      </c>
      <c r="M12" s="8" t="str">
        <f>IF(_xlfn.XLOOKUP(_xlfn.XLOOKUP(B12,'Base stats'!B:B,'Base stats'!E:E),Groups!A:A,Groups!L:L)=1,MIN(MROUND(_xlfn.XLOOKUP(B12,'Animals CE'!B:B,'Animals CE'!Z:Z)/2+0.05,0.05),200%),"No")</f>
        <v>No</v>
      </c>
      <c r="N12" s="8" t="str">
        <f>IF(_xlfn.XLOOKUP(_xlfn.XLOOKUP(B12,'Base stats'!B:B,'Base stats'!E:E),Groups!A:A,Groups!L:L)=1,MIN(MROUND(_xlfn.XLOOKUP(B12,'Animals CE'!B:B,'Animals CE'!AA:AA)/2+0.05,0.05),200%),"No")</f>
        <v>No</v>
      </c>
      <c r="O12" s="2" t="str">
        <f>_xlfn.XLOOKUP(B12,'Base stats'!B:B,'Base stats'!R:R)</f>
        <v>Standard</v>
      </c>
      <c r="P12" s="13">
        <f>MROUND((LOG10(_xlfn.XLOOKUP(B12,'Base stats'!B:B,'Base stats'!AO:AO))*(AN12^0.5)+(_xlfn.XLOOKUP(B12,'Base stats'!B:B,'Base stats'!AO:AO)/1000)^(2/3)+_xlfn.XLOOKUP(B12,'Base stats'!B:B,'Base stats'!AX:AX)/2)+0.5,0.5)</f>
        <v>15</v>
      </c>
      <c r="Q12" s="7">
        <f>IF(P12="No","No",MAX(1,MROUND(_xlfn.XLOOKUP(B12,'Base stats'!B:B,'Base stats'!C:C)^0.165,0.05)))</f>
        <v>2.7</v>
      </c>
      <c r="R12" s="13">
        <f>IF(_xlfn.XLOOKUP(_xlfn.XLOOKUP(B12,'Base stats'!B:B,'Base stats'!E:E),Groups!A:A,Groups!P:P)=0,"No",MROUND((LOG10(_xlfn.XLOOKUP(B12,'Base stats'!B:B,'Base stats'!AP:AP))*(AN12^0.5)+(_xlfn.XLOOKUP(B12,'Base stats'!B:B,'Base stats'!AP:AP)/1000)^(2/3)+_xlfn.XLOOKUP(B12,'Base stats'!B:B,'Base stats'!AX:AX))+_xlfn.XLOOKUP(B12,'Base stats'!B:B,'Base stats'!AV:AV)+0.5,0.5))</f>
        <v>18.5</v>
      </c>
      <c r="S12" s="7">
        <f>IF(R12="No","No",MAX(_xlfn.XLOOKUP(_xlfn.XLOOKUP(B12,'Base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T12" s="7" t="str">
        <f>IF(R12="No","No",_xlfn.XLOOKUP(_xlfn.XLOOKUP(B12,'Base stats'!B:B,'Base stats'!E:E),Groups!A:A,Groups!R:R))</f>
        <v>FrontLeftLeg, FrontRightLeg</v>
      </c>
      <c r="U12" s="7" t="str">
        <f>IF(R12="No","No",_xlfn.XLOOKUP(_xlfn.XLOOKUP(B12,'Base stats'!B:B,'Base stats'!E:E),Groups!A:A,Groups!S:S))</f>
        <v>left hoof, right hoof</v>
      </c>
      <c r="V12" s="7" t="str">
        <f>IF(R12="No","No",_xlfn.XLOOKUP(_xlfn.XLOOKUP(B12,'Base stats'!B:B,'Base stats'!E:E),Groups!A:A,Groups!T:T))</f>
        <v>Blunt</v>
      </c>
      <c r="W12" s="13" t="str">
        <f>IF(_xlfn.XLOOKUP(B12,'Base stats'!B:B,'Base stats'!W:W)="No","No",MROUND((LOG10(_xlfn.XLOOKUP(B12,'Base stats'!B:B,'Base stats'!AR:AR))*(AN12^0.5)+(_xlfn.XLOOKUP(B12,'Base stats'!B:B,'Base stats'!AR:AR)/1000)^(2/3)+_xlfn.XLOOKUP(B12,'Base stats'!B:B,'Base stats'!AW:AW))+0.5+IF(_xlfn.XLOOKUP(_xlfn.XLOOKUP(B12,'Base stats'!B:B,'Base stats'!E:E),Groups!A:A,Groups!U:U)&lt;&gt;3,_xlfn.XLOOKUP(B12,'Base stats'!B:B,'Base stats'!AX:AX),0),0.5))</f>
        <v>No</v>
      </c>
      <c r="X12" s="7" t="str">
        <f>IF(W12="No","No",MAX(_xlfn.XLOOKUP(_xlfn.XLOOKUP(B12,'Base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Y12" s="7" t="str">
        <f>IF(W12="No","No",_xlfn.XLOOKUP(_xlfn.XLOOKUP(B12,'Base stats'!B:B,'Base stats'!E:E),Groups!A:A,Groups!W:W))</f>
        <v>No</v>
      </c>
      <c r="Z12" s="7" t="str">
        <f>IF(W12="No","No",_xlfn.XLOOKUP(_xlfn.XLOOKUP(B12,'Base stats'!B:B,'Base stats'!E:E),Groups!A:A,Groups!X:X))</f>
        <v>No</v>
      </c>
      <c r="AA12" s="7" t="str">
        <f>IF(W12="No","No",_xlfn.XLOOKUP(_xlfn.XLOOKUP(B12,'Base stats'!B:B,'Base stats'!E:E),Groups!A:A,Groups!Y:Y))</f>
        <v>No</v>
      </c>
      <c r="AB12" s="7" t="str">
        <f>_xlfn.XLOOKUP(Animals!B12,'Base stats'!B:B,'Base stats'!X:X)</f>
        <v>False</v>
      </c>
      <c r="AC12" s="13">
        <f>IF(_xlfn.XLOOKUP(B12,'Base stats'!B:B,'Base stats'!AQ:AQ)="No","No",MROUND((LOG10(_xlfn.XLOOKUP(B12,'Base stats'!B:B,'Base stats'!AQ:AQ))*(AN12^0.75)+(_xlfn.XLOOKUP(B12,'Base stats'!B:B,'Base stats'!AQ:AQ)/1000)^(2/3)+_xlfn.XLOOKUP(B12,'Base stats'!B:B,'Base stats'!AU:AU)+_xlfn.XLOOKUP(B12,'Base stats'!B:B,'Base stats'!AX:AX))+0.5,0.5))</f>
        <v>20.5</v>
      </c>
      <c r="AD12" s="7">
        <f>IF(AC12="No","No",MAX(_xlfn.XLOOKUP(_xlfn.XLOOKUP(B12,'Base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E12" s="7" t="str">
        <f>IF(AC12="No","No",_xlfn.XLOOKUP(_xlfn.XLOOKUP(B12,'Base stats'!B:B,'Base stats'!E:E),Groups!A:A,Groups!AA:AA))</f>
        <v>Teeth</v>
      </c>
      <c r="AF12" s="7" t="str">
        <f>IF(AC12="No","No",_xlfn.XLOOKUP(_xlfn.XLOOKUP(B12,'Base stats'!B:B,'Base stats'!E:E),Groups!A:A,Groups!AB:AB))</f>
        <v>teeth</v>
      </c>
      <c r="AG12" s="7" t="str">
        <f>IF(AC12="No","No",_xlfn.XLOOKUP(_xlfn.XLOOKUP(B12,'Base stats'!B:B,'Base stats'!E:E),Groups!A:A,Groups!AC:AC))</f>
        <v>Bite</v>
      </c>
      <c r="AH12" s="13" t="str">
        <f>IF(_xlfn.XLOOKUP(_xlfn.XLOOKUP(B12,'Base stats'!B:B,'Base stats'!E:E),Groups!A:A,Groups!AD:AD)=0,"No",MROUND((LOG10(_xlfn.XLOOKUP(B12,'Base stats'!B:B,'Base stats'!AP:AP))*(AN12^0.75)+(_xlfn.XLOOKUP(B12,'Base stats'!B:B,'Base stats'!AP:AP)/1000)^(2/3)+_xlfn.XLOOKUP(B12,'Base stats'!B:B,'Base stats'!AV:AV)+_xlfn.XLOOKUP(B12,'Base stats'!B:B,'Base stats'!AX:AX))+0.5,0.5))</f>
        <v>No</v>
      </c>
      <c r="AI12" s="7" t="str">
        <f>IF(AH12="No","No",MAX(_xlfn.XLOOKUP(_xlfn.XLOOKUP(B12,'Base stats'!B:B,'Base stats'!E:E),Groups!A:A,Groups!AE:AE),MROUND(_xlfn.XLOOKUP(_xlfn.XLOOKUP(B12,'Base stats'!B:B,'Base stats'!E:E),Groups!A:A,Groups!AE:AE)*_xlfn.XLOOKUP(B12,'Base stats'!B:B,'Base stats'!C:C)^0.165,0.05)))</f>
        <v>No</v>
      </c>
      <c r="AJ12" s="7" t="str">
        <f>IF(AH12="No","No",_xlfn.XLOOKUP(_xlfn.XLOOKUP(B12,'Base stats'!B:B,'Base stats'!E:E),Groups!A:A,Groups!AF:AF))</f>
        <v>No</v>
      </c>
      <c r="AK12" s="7" t="str">
        <f>IF(AH12="No","No",_xlfn.XLOOKUP(_xlfn.XLOOKUP(B12,'Base stats'!B:B,'Base stats'!E:E),Groups!A:A,Groups!AG:AG))</f>
        <v>No</v>
      </c>
      <c r="AL12" s="7" t="str">
        <f>IF(AH12="No","No",_xlfn.XLOOKUP(_xlfn.XLOOKUP(B12,'Base stats'!B:B,'Base stats'!E:E),Groups!A:A,Groups!AH:AH))</f>
        <v>No</v>
      </c>
      <c r="AM12" s="2" t="str">
        <f t="shared" si="0"/>
        <v>No</v>
      </c>
      <c r="AN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O12" s="8">
        <f>MROUND(AN12*_xlfn.XLOOKUP(_xlfn.XLOOKUP(B12,'Base stats'!B:B,'Base stats'!E:E),Groups!A:A,Groups!AI:AI),0.05)</f>
        <v>2.75</v>
      </c>
      <c r="AP12" s="8">
        <f>MAX(0.01,MROUND(IF(CA12="True",0.196*(AN12*100*1000)^0.889,IF(_xlfn.XLOOKUP(_xlfn.XLOOKUP(B12,'Base stats'!B:B,'Base stats'!E:E),Groups!A:A,Groups!AJ:AJ)="Bird",10.5*(AN12*100*1000)^0.681,4.82*(AN12*100*1000)^0.734))/(4.82*(1*100*1000)^0.734)/IF(AN12&lt;3.5,2,IF(AN12=3.5,1.5,1.25))*(1+0.132282374779864/(AN12^0.994035016789033+0.00905238001496948)),0.05))</f>
        <v>1.1000000000000001</v>
      </c>
      <c r="AQ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R12" s="35">
        <f>IFERROR(IF(_xlfn.XLOOKUP(B12,'Base stats'!B:B,'Base stats'!F:F)="Lay eggs","Lay eggs",MIN(20,MAX(5.5,ROUND(((_xlfn.XLOOKUP(B12,'Base stats'!B:B,'Base stats'!F:F)-25)*(14.5/615) + 5.5)*2,0)/2))),"Cannot breed")</f>
        <v>14</v>
      </c>
      <c r="AS12" s="8">
        <f>IF(OR(A12="Queen",A12="Larva"),"No",IFERROR(MAX(IF(_xlfn.XLOOKUP(B12,'Base stats'!B:B,'Base stats'!G:G)&lt;0.5,0.2,0.3),MROUND(_xlfn.XLOOKUP(B12,'Base stats'!B:B,'Base stats'!G:G)/(365/60),0.2)),"Unknown"))</f>
        <v>0.4</v>
      </c>
      <c r="AT12" s="8">
        <f t="shared" si="1"/>
        <v>0.2</v>
      </c>
      <c r="AU12" s="8">
        <f>IFERROR(IFERROR(MROUND(_xlfn.XLOOKUP(B12,'Base stats'!B:B,'Base stats'!J:J),0.1),"Lay eggs"),"Cannot breed")</f>
        <v>1</v>
      </c>
      <c r="AV12" s="2" t="str">
        <f t="shared" si="2"/>
        <v>true</v>
      </c>
      <c r="AW12" s="2" t="str">
        <f>IF(_xlfn.XLOOKUP(_xlfn.XLOOKUP(Animals!B12,'Base stats'!B:B,'Base stats'!E:E),Groups!A:A,Groups!AK:AK)=1,"true","false")</f>
        <v>true</v>
      </c>
      <c r="AX12" s="25" t="str">
        <f>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</f>
        <v>VegetarianRoughAnimal</v>
      </c>
      <c r="AY12" s="2">
        <f>IF(_xlfn.XLOOKUP(_xlfn.XLOOKUP(B12,'Base stats'!B:B,'Base stats'!E:E),Groups!A:A,Groups!D:D)=1,MROUND((1-I12)*5+1,2)*IF(I12&lt;=0.4,2,1),"No")</f>
        <v>8</v>
      </c>
      <c r="AZ12" s="2" t="str">
        <f>_xlfn.XLOOKUP(B12,'Base stats'!B:B,'Base stats'!AE:AE)</f>
        <v>Leather_Camel</v>
      </c>
      <c r="BA12" s="23" t="str">
        <f>_xlfn.XLOOKUP(_xlfn.XLOOKUP(B12,'Base stats'!B:B,'Base stats'!E:E),Groups!A:A,Groups!AL:AL)</f>
        <v>QuadrupedAnimalWithHoovesAndHump</v>
      </c>
      <c r="BB12" s="23">
        <f>MROUND(IF(AND(AN12&lt;0.5,_xlfn.XLOOKUP(B12,'Base stats'!B:B,'Base stats'!Z:Z)=0),0,IF(OR(_xlfn.XLOOKUP(Animals!B12,'Base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stats'!AA:AA),0.005)</f>
        <v>0</v>
      </c>
      <c r="BC12" s="23">
        <f>MROUND(IF(AND(AN12&lt;0.5,_xlfn.XLOOKUP(B12,'Base stats'!B:B,'Base stats'!Z:Z)=0),0,IF(_xlfn.XLOOKUP(_xlfn.XLOOKUP(B12,'Base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stats'!AB:AB),0.005)</f>
        <v>0</v>
      </c>
      <c r="BD12" s="2" t="str">
        <f>IF(I12&gt;0.3,"No",_xlfn.XLOOKUP(_xlfn.XLOOKUP(Animals!B12,'Base stats'!B:B,'Base stats'!E:E),Groups!A:A,Groups!AP:AP))</f>
        <v>No</v>
      </c>
      <c r="BE12" s="2" t="str">
        <f>IF(AND(I12&lt;=0.65,_xlfn.XLOOKUP(_xlfn.XLOOKUP(Animals!B12,'Base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stats'!O:O)=2,0.2,AN12) + 24*(1-IF(BD12="No",0,BD12)) + 16/3, 12),"No")</f>
        <v>No</v>
      </c>
      <c r="BF12" s="2">
        <f>IF(AND(_xlfn.XLOOKUP(_xlfn.XLOOKUP(B12,'Base stats'!B:B,'Base stats'!E:E),Groups!A:A,Groups!AQ:AQ)=1,AN12&lt;=0.35),8,12)</f>
        <v>12</v>
      </c>
      <c r="BG12" s="2" t="str">
        <f>IF(_xlfn.XLOOKUP(_xlfn.XLOOKUP(B12,'Base stats'!B:B,'Base stats'!E:E),Groups!A:A,Groups!D:D)=0,_xlfn.XLOOKUP(_xlfn.XLOOKUP(B12,'Base stats'!B:B,'Base stats'!E:E),Groups!A:A,Groups!AR:AR),"None")</f>
        <v>None</v>
      </c>
      <c r="BH12" s="2" t="str">
        <f>IF(AND(_xlfn.XLOOKUP(_xlfn.XLOOKUP(B12,'Base stats'!B:B,'Base stats'!E:E),Groups!A:A,Groups!AS:AS)=1,OR('Base stats'!Y12="Carnivore",'Base stats'!Y12="Omnivore")),"true","false")</f>
        <v>false</v>
      </c>
      <c r="BI12" s="2" t="str">
        <f>IF(BH12="true",MROUND(IF(AND(AN12&gt;0.5,_xlfn.XLOOKUP(_xlfn.XLOOKUP(B12,'Base stats'!B:B,'Base stats'!E:E),Groups!A:A,Groups!AJ:AJ)="Mammal"),Animals!AN12*1.75*IF(AV12="true",1.5,1),Animals!AN12),IF(AN12&gt;2,0.5,IF(AN12&gt;0.5,0.25,0.1))),"No")</f>
        <v>No</v>
      </c>
      <c r="BJ12" s="2">
        <f t="shared" si="3"/>
        <v>0</v>
      </c>
      <c r="BK12" s="25" t="str">
        <f>IF('Base stats'!AK12="Standard","No",MROUND((_xlfn.XLOOKUP(B12,'Base stats'!B:B,'Base stats'!AK:AK)/3.6)/H12,0.1))</f>
        <v>No</v>
      </c>
      <c r="BL12" s="25" t="str">
        <f t="shared" si="4"/>
        <v>false</v>
      </c>
      <c r="BM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N12" s="25" t="str" cm="1">
        <f t="array" ref="BN12">IF(
  _xlfn.TEXTJOIN(", ",TRUE,
    IF(AND(BH12="true",AN12&gt;0.5,BG12&lt;&gt;"None"),"AttackTarget",""),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IF(BE12&lt;=36,"Comfort",""),
    IF(_xlfn.XLOOKUP(B12,'Base stats'!B:B,'Base stats'!AC:AC)&lt;&gt;"No",_xlfn.XLOOKUP(B12,'Base stats'!B:B,'Base stats'!AC:AC),"")
  ) = "",
  "No",
  _xlfn.TEXTJOIN(", ",TRUE,
    IF(AND(BH12="true",AN12&gt;0.5,BG12&lt;&gt;"None"),"AttackTarget",""),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IF(BE12&lt;=36,"Comfort",""),
    IF(_xlfn.XLOOKUP(B12,'Base stats'!B:B,'Base stats'!AC:AC)&lt;&gt;"No",_xlfn.XLOOKUP(B12,'Base stats'!B:B,'Base stats'!AC:AC),"")
  )
)</f>
        <v>No</v>
      </c>
      <c r="BO12" s="25" t="str">
        <f>IF(
   AND(
      'Base stats'!AK12="Standard",_xlfn.XLOOKUP(_xlfn.XLOOKUP(B12,'Base stats'!B:B,'Base stats'!E:E),Groups!A:A,Groups!AU:AU)=0,
      OR(
      BM12="True"
      )
   ),
   10,
   IF(
       OR(BK12&lt;&gt;"No",_xlfn.XLOOKUP(_xlfn.XLOOKUP(B12,'Base stats'!B:B,'Base stats'!E:E),Groups!A:A,Groups!AU:AU)=1),
      1,
      "No"
   )
)</f>
        <v>No</v>
      </c>
      <c r="BP12" s="9">
        <f>MROUND((1 + ((0.2*IF(OR(P12="No",Q12="No",Q12=0),0,P12/Q12)
+IF(OR(U12="No",R12="No",S12="No"),0,R12/S12*(LEN(U12)-LEN(SUBSTITUTE(U12,",",""))+1))
+IF(OR(W12="No",X12="No"),0,W12/X12)
+IF(OR(AC12="No",AD12="No"),0,AC12/AD12)
+IF(OR(AK12="No",AH12="No",AI12="No"),0,AH12/AI12*(LEN(AK12)-LEN(SUBSTITUTE(AK12,",",""))+1))
)/(0.2*IF(OR(P12="No",Q12="No",Q12=0),0,1)
+IF(OR(U12="No",R12="No",S12="No"),0,LEN(U12)-LEN(SUBSTITUTE(U12,",",""))+1)
+IF(OR(W12="No",X12="No"),0,1)
+IF(OR(AC12="No",AD12="No"),0,1)
+IF(OR(AK12="No",AH12="No",AI12="No"),0,LEN(AK12)-LEN(SUBSTITUTE(AK12,",",""))+1))*62%)* 2)*(1 + (AO12 + _xlfn.XLOOKUP(B12,'Base stats'!B:B,'Base stats'!AS:AS) * 1.8) * 2) * 2.5 + 10 + H12 * 2,5)+IF(_xlfn.XLOOKUP(B12,'Base stats'!B:B,'Base stats'!AH:AH)=1,50,0)</f>
        <v>180</v>
      </c>
      <c r="BQ12" s="8">
        <f t="shared" si="5"/>
        <v>1.4500000000000002</v>
      </c>
      <c r="BR12" s="8" t="str">
        <f>_xlfn.XLOOKUP(B12,'Base stats'!B:B,'Base stats'!AD:AD)</f>
        <v>3~10</v>
      </c>
      <c r="BS12" s="2" t="str">
        <f>IF(AND(I12&lt;=0.95,OR(_xlfn.XLOOKUP(B12,'Base stats'!B:B,'Base stats'!AH:AH)=1,_xlfn.XLOOKUP(B12,'Base stats'!B:B,'Base stats'!Y:Y)="Carnivore",_xlfn.XLOOKUP(B12,'Base stats'!B:B,'Base stats'!Y:Y)="Omnivore",BC12&gt;0.1)),"true","false")</f>
        <v>false</v>
      </c>
      <c r="BT12" s="2" t="str">
        <f>IF(_xlfn.XLOOKUP(B12,'Base stats'!B:B,'Base stats'!AF:AF)=1,"true","false")</f>
        <v>true</v>
      </c>
      <c r="BU12" s="25" t="str">
        <f>IF(E12="BaseInsect","AnimalInsect",
IF(I12&gt;0.95,"AnimalExotic",
_xlfn.TEXTJOIN(", ",TRUE,
IF(AND(_xlfn.XLOOKUP(B12,'Base stats'!B:B,'Base stats'!O:O)=0,_xlfn.XLOOKUP(_xlfn.XLOOKUP(B12,'Base stats'!B:B,'Base stats'!E:E),Groups!A:A,Groups!B:B)&gt;0),"AnimalUncommon","AnimalCommon"),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stats'!AH:AH)=1,AND(BG12&lt;&gt;"None",BP12&gt;=60),ISNUMBER(SEARCH("Attack target",BN12))),"AnimalFighter","")
)))</f>
        <v>AnimalCommon, AnimalFarm</v>
      </c>
      <c r="BV12" s="25" t="str">
        <f>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</f>
        <v>AridShrubland Desert ExtremeDesert LavaField Scarlands</v>
      </c>
      <c r="BW12" s="25" t="str">
        <f>IF(_xlfn.XLOOKUP(B12,'Base stats'!B:B,'Base stats'!AG:AG)=1,"true","false")</f>
        <v>false</v>
      </c>
      <c r="BX12" s="25">
        <f>IF(_xlfn.XLOOKUP(B12,'Base stats'!B:B,'Base stats'!N:N)=1,"No",MIN(MROUND(IF(OR(_xlfn.XLOOKUP(B12,'Base stats'!B:B,'Base stats'!AJ:AJ)=1,AND(BH12="True",CA12="False")),POWER(10,3.47*LOG10(_xlfn.XLOOKUP(B12,'Base stats'!B:B,'Base stats'!C:C)*1000)^-0.96),POWER(10,4.15*LOG10(_xlfn.XLOOKUP(B12,'Base stats'!B:B,'Base stats'!C:C)*1000)^-0.73))*IF(OR(_xlfn.XLOOKUP(B12,'Base stats'!B:B,'Base stats'!AJ:AJ)=1,_xlfn.XLOOKUP(B12,'Base stats'!B:B,'Base stats'!AH:AH)=1),0.5,1)/100,0.025),1))</f>
        <v>0.15000000000000002</v>
      </c>
      <c r="BY12" s="25" t="str">
        <f>IF(O12="Standard","No",IF(_xlfn.XLOOKUP(B12,'Base stats'!B:B,'Base stats'!N:N)=0,MROUND(BX12*O12,0.05),MIN(1,MAX(0.025,MROUND(IF(OR(CA12="true",AND(BH12="false",BM12="false")),POWER(10,4.15*LOG10(_xlfn.XLOOKUP(B12,'Base stats'!B:B,'Base stats'!C:C)*1000)^-0.73),POWER(10,3.47*LOG10(_xlfn.XLOOKUP(B12,'Base stats'!B:B,'Base stats'!C:C)*1000)^-0.96))*IF(_xlfn.XLOOKUP(B12,'Base stats'!B:B,'Base stats'!AH:AH)=1,0.5,1)/100,0.025)))))</f>
        <v>No</v>
      </c>
      <c r="BZ12" s="25" t="str">
        <f>IF(_xlfn.XLOOKUP(_xlfn.XLOOKUP(B12,'Base stats'!B:B,'Base stats'!E:E),Groups!A:A,Groups!AJ:AJ)="Mammal","True","False")</f>
        <v>True</v>
      </c>
      <c r="CA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B12" s="25" t="str">
        <f t="shared" si="6"/>
        <v>False</v>
      </c>
      <c r="CC12" s="25" t="str">
        <f>IF(_xlfn.XLOOKUP(_xlfn.XLOOKUP(B12,'Base stats'!B:B,'Base stats'!E:E),Groups!A:A,Groups!AW:AW),"True","False")</f>
        <v>False</v>
      </c>
      <c r="CD12" s="25" t="str">
        <f>IF(_xlfn.XLOOKUP(_xlfn.XLOOKUP(B12,'Base stats'!B:B,'Base stats'!E:E),Groups!A:A,Groups!AX:AX),"True","False")</f>
        <v>False</v>
      </c>
      <c r="CE12" s="25" t="str">
        <f>IF(_xlfn.XLOOKUP(B12,'Base stats'!B:B,'Base stats'!E:E)=1,"True","False")</f>
        <v>False</v>
      </c>
      <c r="CF12" s="25" t="str">
        <f>IF(
OR(
_xlfn.XLOOKUP(_xlfn.XLOOKUP(B12,'Base stats'!B:B,'Base stats'!E:E),Groups!A:A,Groups!AY:AY)=0,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stats'!E:E),Groups!A:A,Groups!AY:AY)=1,
"Flesh",
IF(
_xlfn.XLOOKUP(_xlfn.XLOOKUP(B12,'Base stats'!B:B,'Base stats'!E:E),Groups!A:A,Groups!AY:AY)=2,
"Bone",
""
)
)
)</f>
        <v>No</v>
      </c>
      <c r="CG12" s="25" t="str">
        <f>IF(_xlfn.XLOOKUP(_xlfn.XLOOKUP(B12,'Base stats'!B:B,'Base stats'!E:E),Groups!A:A,Groups!BA:BA),"True","False")</f>
        <v>True</v>
      </c>
      <c r="CH12" s="25" t="str">
        <f>IF(_xlfn.XLOOKUP(_xlfn.XLOOKUP(B12,'Base stats'!B:B,'Base stats'!E:E),Groups!A:A,Groups!AZ:AZ),"True","False")</f>
        <v>False</v>
      </c>
      <c r="CM12" s="16"/>
    </row>
    <row r="13" spans="1:91" ht="16.5" thickTop="1" thickBot="1" x14ac:dyDescent="0.3">
      <c r="A13" s="26" t="str">
        <f>_xlfn.XLOOKUP(B13,'Base stats'!B:B,'Base stats'!A:A)</f>
        <v>Alpaca</v>
      </c>
      <c r="B13" s="6" t="s">
        <v>101</v>
      </c>
      <c r="C13" s="28" t="s">
        <v>696</v>
      </c>
      <c r="D13" s="28" t="s">
        <v>45</v>
      </c>
      <c r="E13" s="28" t="s">
        <v>685</v>
      </c>
      <c r="F13" s="28" t="s">
        <v>685</v>
      </c>
      <c r="G13" s="2">
        <f>MROUND((
  (IF(AND(_xlfn.XLOOKUP(B13,'Base stats'!B:B,'Base stats'!AI:AI)=0,BG13="None",_xlfn.XLOOKUP('Base stats'!E13,Groups!A:A,Groups!B:B)=0), (18 + BP13 * 2.7) * 0.5,
    IF(AND(_xlfn.XLOOKUP(B13,'Base stats'!B:B,'Base stats'!AI:AI)=0,OR(AN13&lt;0.55,AND(BG13="Intermediate",_xlfn.XLOOKUP('Base stats'!E13,Groups!A:A,Groups!B:B)&lt;2))), (18 + BP13 * 2.7),
      IF(OR(BG13="Advanced",_xlfn.XLOOKUP(B13,'Base stats'!B:B,'Base stats'!AI:AI)=1,_xlfn.XLOOKUP('Base stats'!E13,Groups!A:A,Groups!B:B)=2), (18 + BP13 * 2.7) + 250, (18 + BP13 * 2.7))
    )
  ))
  + AN13 * 80
  + IF(COUNTIF(EggMilk!K$2:K$998, A13) &gt; 0, 125, 0)
  + IF(COUNTIF(EggMilk!P$2:P$998, A13) &gt; 0, 90, 0)
  + IF(COUNTIF(EggMilk!A$2:A$998, A13) &gt; 0, 90, 0)
)
* (0.8 + 0.4 * I13)
* 0.75,25)</f>
        <v>175</v>
      </c>
      <c r="H13" s="2">
        <f>MROUND(ROUNDDOWN(_xlfn.XLOOKUP(B13,'Base stats'!B:B,'Base stats'!L:L)/3.6/(23.3/11),1),0.5)</f>
        <v>7.5</v>
      </c>
      <c r="I13" s="2">
        <f>IF(_xlfn.XLOOKUP(B13,'Base stats'!B:B,'Base stats'!AI:AI)=1,0.99,MIN(MROUND((1-0.6282*EXP(-0.459*AN13))*_xlfn.XLOOKUP(_xlfn.XLOOKUP(B13,'Base stats'!B:B,'Base stats'!E:E),Groups!A:A,Groups!C:C)*IF(_xlfn.XLOOKUP(B13,'Base stats'!B:B,'Base stats'!O:O)=1,0.5,IF(_xlfn.XLOOKUP(B13,'Base stats'!B:B,'Base stats'!O:O)=2,0,1)),0.05),0.985))</f>
        <v>0</v>
      </c>
      <c r="J13" s="2">
        <f>ROUNDUP(AN13*_xlfn.XLOOKUP(_xlfn.XLOOKUP(B13,'Base stats'!B:B,'Base stats'!E:E),Groups!A:A,Groups!E:E),0)</f>
        <v>6</v>
      </c>
      <c r="K13" s="2">
        <f>IF(OR(_xlfn.XLOOKUP(_xlfn.XLOOKUP(B13,'Base stats'!B:B,'Base stats'!E:E),Groups!A:A,Groups!F:F)=2,ISNUMBER(SEARCH("SeaIce",BV13)),ISNUMBER(SEARCH("IceSheet",BV13))),-50,IF(OR(ISNUMBER(SEARCH("GlacialPlain",BV13)),ISNUMBER(SEARCH("Tundra",BV13))),-40,IF(OR(ISNUMBER(SEARCH("Alpine",BV13)),ISNUMBER(SEARCH("BorealForest",BV13)),ISNUMBER(SEARCH("ColdBog",BV13))),-30,IF(OR(ISNUMBER(SEARCH("TemperateForest",BV13)),ISNUMBER(SEARCH("TemperateSwamp",BV13))),-20,IF(_xlfn.XLOOKUP(_xlfn.XLOOKUP(B13,'Base stats'!B:B,'Base stats'!E:E),Groups!A:A,Groups!F:F)=1,-15,IF(OR(ISNUMBER(SEARCH("Desert",BV13)),ISNUMBER(SEARCH("ExtremeDesert",BV13))),-10,IF(OR(ISNUMBER(SEARCH("Grasslands",BV13)),ISNUMBER(SEARCH("TropicalRainforest",BV13)),ISNUMBER(SEARCH("TropicalSwamp",BV13))),10,0)))))))-IF(CA13="False",MIN(IFERROR(MAX(MROUND(LOG10(_xlfn.XLOOKUP(B13,'Base stats'!B:B,'Base stats'!C:C)^(2/3))*10,5),5),5),30))-_xlfn.XLOOKUP(B13,'Base stats'!B:B,'Base stats'!P:P)+IF(CA13="True",5,0)</f>
        <v>-30</v>
      </c>
      <c r="L13" s="2">
        <f>IF(OR(_xlfn.XLOOKUP(_xlfn.XLOOKUP(B13,'Base stats'!B:B,'Base stats'!E:E),Groups!A:A,Groups!G:G)=2,ISNUMBER(SEARCH("Desert",BV13)),ISNUMBER(SEARCH("ExtremeDesert",BV13)),ISNUMBER(SEARCH("LavaField",BV13))),50,IF(ISNUMBER(SEARCH("Grasslands",BV13)),45,IF(OR(_xlfn.XLOOKUP(_xlfn.XLOOKUP(B13,'Base stats'!B:B,'Base stats'!E:E),Groups!A:A,Groups!G:G)=1,ISNUMBER(SEARCH("TropicalRainforest",BV13)),ISNUMBER(SEARCH("TropicalSwamp",BV13))),40,IF(OR(ISNUMBER(SEARCH("TemperateForest",BV13)),ISNUMBER(SEARCH("TemperateSwamp",BV13))),35,IF(OR(ISNUMBER(SEARCH("Alpine",BV13)),ISNUMBER(SEARCH("BorealForest",BV13)),ISNUMBER(SEARCH("ColdBog",BV13))),30,IF(ISNUMBER(OR(ISNUMBER(SEARCH("GlacialPlain",BV13)),SEARCH("Tundra",BV13))),25,IF(OR(ISNUMBER(SEARCH("SeaIce",BV13)),ISNUMBER(SEARCH("IceSheet",BV13)),ISNUMBER(SEARCH("TropicalSwamp",BV13))),10,35)))))))+_xlfn.XLOOKUP(B13,'Base stats'!B:B,'Base stats'!Q:Q)</f>
        <v>35</v>
      </c>
      <c r="M13" s="8" t="str">
        <f>IF(_xlfn.XLOOKUP(_xlfn.XLOOKUP(B13,'Base stats'!B:B,'Base stats'!E:E),Groups!A:A,Groups!L:L)=1,MIN(MROUND(_xlfn.XLOOKUP(B13,'Animals CE'!B:B,'Animals CE'!Z:Z)/2+0.05,0.05),200%),"No")</f>
        <v>No</v>
      </c>
      <c r="N13" s="8" t="str">
        <f>IF(_xlfn.XLOOKUP(_xlfn.XLOOKUP(B13,'Base stats'!B:B,'Base stats'!E:E),Groups!A:A,Groups!L:L)=1,MIN(MROUND(_xlfn.XLOOKUP(B13,'Animals CE'!B:B,'Animals CE'!AA:AA)/2+0.05,0.05),200%),"No")</f>
        <v>No</v>
      </c>
      <c r="O13" s="2" t="str">
        <f>_xlfn.XLOOKUP(B13,'Base stats'!B:B,'Base stats'!R:R)</f>
        <v>Standard</v>
      </c>
      <c r="P13" s="13">
        <f>MROUND((LOG10(_xlfn.XLOOKUP(B13,'Base stats'!B:B,'Base stats'!AO:AO))*(AN13^0.5)+(_xlfn.XLOOKUP(B13,'Base stats'!B:B,'Base stats'!AO:AO)/1000)^(2/3)+_xlfn.XLOOKUP(B13,'Base stats'!B:B,'Base stats'!AX:AX)/2)+0.5,0.5)</f>
        <v>7.5</v>
      </c>
      <c r="Q13" s="7">
        <f>IF(P13="No","No",MAX(1,MROUND(_xlfn.XLOOKUP(B13,'Base stats'!B:B,'Base stats'!C:C)^0.165,0.05)))</f>
        <v>2.0500000000000003</v>
      </c>
      <c r="R13" s="13">
        <f>IF(_xlfn.XLOOKUP(_xlfn.XLOOKUP(B13,'Base stats'!B:B,'Base stats'!E:E),Groups!A:A,Groups!P:P)=0,"No",MROUND((LOG10(_xlfn.XLOOKUP(B13,'Base stats'!B:B,'Base stats'!AP:AP))*(AN13^0.5)+(_xlfn.XLOOKUP(B13,'Base stats'!B:B,'Base stats'!AP:AP)/1000)^(2/3)+_xlfn.XLOOKUP(B13,'Base stats'!B:B,'Base stats'!AX:AX))+_xlfn.XLOOKUP(B13,'Base stats'!B:B,'Base stats'!AV:AV)+0.5,0.5))</f>
        <v>9.5</v>
      </c>
      <c r="S13" s="7">
        <f>IF(R13="No","No",MAX(_xlfn.XLOOKUP(_xlfn.XLOOKUP(B13,'Base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T13" s="7" t="str">
        <f>IF(R13="No","No",_xlfn.XLOOKUP(_xlfn.XLOOKUP(B13,'Base stats'!B:B,'Base stats'!E:E),Groups!A:A,Groups!R:R))</f>
        <v>FrontLeftLeg, FrontRightLeg</v>
      </c>
      <c r="U13" s="7" t="str">
        <f>IF(R13="No","No",_xlfn.XLOOKUP(_xlfn.XLOOKUP(B13,'Base stats'!B:B,'Base stats'!E:E),Groups!A:A,Groups!S:S))</f>
        <v>left hoof, right hoof</v>
      </c>
      <c r="V13" s="7" t="str">
        <f>IF(R13="No","No",_xlfn.XLOOKUP(_xlfn.XLOOKUP(B13,'Base stats'!B:B,'Base stats'!E:E),Groups!A:A,Groups!T:T))</f>
        <v>Blunt</v>
      </c>
      <c r="W13" s="13" t="str">
        <f>IF(_xlfn.XLOOKUP(B13,'Base stats'!B:B,'Base stats'!W:W)="No","No",MROUND((LOG10(_xlfn.XLOOKUP(B13,'Base stats'!B:B,'Base stats'!AR:AR))*(AN13^0.5)+(_xlfn.XLOOKUP(B13,'Base stats'!B:B,'Base stats'!AR:AR)/1000)^(2/3)+_xlfn.XLOOKUP(B13,'Base stats'!B:B,'Base stats'!AW:AW))+0.5+IF(_xlfn.XLOOKUP(_xlfn.XLOOKUP(B13,'Base stats'!B:B,'Base stats'!E:E),Groups!A:A,Groups!U:U)&lt;&gt;3,_xlfn.XLOOKUP(B13,'Base stats'!B:B,'Base stats'!AX:AX),0),0.5))</f>
        <v>No</v>
      </c>
      <c r="X13" s="7" t="str">
        <f>IF(W13="No","No",MAX(_xlfn.XLOOKUP(_xlfn.XLOOKUP(B13,'Base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Y13" s="7" t="str">
        <f>IF(W13="No","No",_xlfn.XLOOKUP(_xlfn.XLOOKUP(B13,'Base stats'!B:B,'Base stats'!E:E),Groups!A:A,Groups!W:W))</f>
        <v>No</v>
      </c>
      <c r="Z13" s="7" t="str">
        <f>IF(W13="No","No",_xlfn.XLOOKUP(_xlfn.XLOOKUP(B13,'Base stats'!B:B,'Base stats'!E:E),Groups!A:A,Groups!X:X))</f>
        <v>No</v>
      </c>
      <c r="AA13" s="7" t="str">
        <f>IF(W13="No","No",_xlfn.XLOOKUP(_xlfn.XLOOKUP(B13,'Base stats'!B:B,'Base stats'!E:E),Groups!A:A,Groups!Y:Y))</f>
        <v>No</v>
      </c>
      <c r="AB13" s="7" t="str">
        <f>_xlfn.XLOOKUP(Animals!B13,'Base stats'!B:B,'Base stats'!X:X)</f>
        <v>False</v>
      </c>
      <c r="AC13" s="13">
        <f>IF(_xlfn.XLOOKUP(B13,'Base stats'!B:B,'Base stats'!AQ:AQ)="No","No",MROUND((LOG10(_xlfn.XLOOKUP(B13,'Base stats'!B:B,'Base stats'!AQ:AQ))*(AN13^0.75)+(_xlfn.XLOOKUP(B13,'Base stats'!B:B,'Base stats'!AQ:AQ)/1000)^(2/3)+_xlfn.XLOOKUP(B13,'Base stats'!B:B,'Base stats'!AU:AU)+_xlfn.XLOOKUP(B13,'Base stats'!B:B,'Base stats'!AX:AX))+0.5,0.5))</f>
        <v>10</v>
      </c>
      <c r="AD13" s="7">
        <f>IF(AC13="No","No",MAX(_xlfn.XLOOKUP(_xlfn.XLOOKUP(B13,'Base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E13" s="7" t="str">
        <f>IF(AC13="No","No",_xlfn.XLOOKUP(_xlfn.XLOOKUP(B13,'Base stats'!B:B,'Base stats'!E:E),Groups!A:A,Groups!AA:AA))</f>
        <v>Teeth</v>
      </c>
      <c r="AF13" s="7" t="str">
        <f>IF(AC13="No","No",_xlfn.XLOOKUP(_xlfn.XLOOKUP(B13,'Base stats'!B:B,'Base stats'!E:E),Groups!A:A,Groups!AB:AB))</f>
        <v>teeth</v>
      </c>
      <c r="AG13" s="7" t="str">
        <f>IF(AC13="No","No",_xlfn.XLOOKUP(_xlfn.XLOOKUP(B13,'Base stats'!B:B,'Base stats'!E:E),Groups!A:A,Groups!AC:AC))</f>
        <v>Bite</v>
      </c>
      <c r="AH13" s="13" t="str">
        <f>IF(_xlfn.XLOOKUP(_xlfn.XLOOKUP(B13,'Base stats'!B:B,'Base stats'!E:E),Groups!A:A,Groups!AD:AD)=0,"No",MROUND((LOG10(_xlfn.XLOOKUP(B13,'Base stats'!B:B,'Base stats'!AP:AP))*(AN13^0.75)+(_xlfn.XLOOKUP(B13,'Base stats'!B:B,'Base stats'!AP:AP)/1000)^(2/3)+_xlfn.XLOOKUP(B13,'Base stats'!B:B,'Base stats'!AV:AV)+_xlfn.XLOOKUP(B13,'Base stats'!B:B,'Base stats'!AX:AX))+0.5,0.5))</f>
        <v>No</v>
      </c>
      <c r="AI13" s="7" t="str">
        <f>IF(AH13="No","No",MAX(_xlfn.XLOOKUP(_xlfn.XLOOKUP(B13,'Base stats'!B:B,'Base stats'!E:E),Groups!A:A,Groups!AE:AE),MROUND(_xlfn.XLOOKUP(_xlfn.XLOOKUP(B13,'Base stats'!B:B,'Base stats'!E:E),Groups!A:A,Groups!AE:AE)*_xlfn.XLOOKUP(B13,'Base stats'!B:B,'Base stats'!C:C)^0.165,0.05)))</f>
        <v>No</v>
      </c>
      <c r="AJ13" s="7" t="str">
        <f>IF(AH13="No","No",_xlfn.XLOOKUP(_xlfn.XLOOKUP(B13,'Base stats'!B:B,'Base stats'!E:E),Groups!A:A,Groups!AF:AF))</f>
        <v>No</v>
      </c>
      <c r="AK13" s="7" t="str">
        <f>IF(AH13="No","No",_xlfn.XLOOKUP(_xlfn.XLOOKUP(B13,'Base stats'!B:B,'Base stats'!E:E),Groups!A:A,Groups!AG:AG))</f>
        <v>No</v>
      </c>
      <c r="AL13" s="7" t="str">
        <f>IF(AH13="No","No",_xlfn.XLOOKUP(_xlfn.XLOOKUP(B13,'Base stats'!B:B,'Base stats'!E:E),Groups!A:A,Groups!AH:AH))</f>
        <v>No</v>
      </c>
      <c r="AM13" s="2" t="str">
        <f t="shared" si="0"/>
        <v>No</v>
      </c>
      <c r="AN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O13" s="8">
        <f>MROUND(AN13*_xlfn.XLOOKUP(_xlfn.XLOOKUP(B13,'Base stats'!B:B,'Base stats'!E:E),Groups!A:A,Groups!AI:AI),0.05)</f>
        <v>1.05</v>
      </c>
      <c r="AP13" s="8">
        <f>MAX(0.01,MROUND(IF(CA13="True",0.196*(AN13*100*1000)^0.889,IF(_xlfn.XLOOKUP(_xlfn.XLOOKUP(B13,'Base stats'!B:B,'Base stats'!E:E),Groups!A:A,Groups!AJ:AJ)="Bird",10.5*(AN13*100*1000)^0.681,4.82*(AN13*100*1000)^0.734))/(4.82*(1*100*1000)^0.734)/IF(AN13&lt;3.5,2,IF(AN13=3.5,1.5,1.25))*(1+0.132282374779864/(AN13^0.994035016789033+0.00905238001496948)),0.05))</f>
        <v>0.60000000000000009</v>
      </c>
      <c r="AQ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R13" s="35">
        <f>IFERROR(IF(_xlfn.XLOOKUP(B13,'Base stats'!B:B,'Base stats'!F:F)="Lay eggs","Lay eggs",MIN(20,MAX(5.5,ROUND(((_xlfn.XLOOKUP(B13,'Base stats'!B:B,'Base stats'!F:F)-25)*(14.5/615) + 5.5)*2,0)/2))),"Cannot breed")</f>
        <v>13</v>
      </c>
      <c r="AS13" s="8">
        <f>IF(OR(A13="Queen",A13="Larva"),"No",IFERROR(MAX(IF(_xlfn.XLOOKUP(B13,'Base stats'!B:B,'Base stats'!G:G)&lt;0.5,0.2,0.3),MROUND(_xlfn.XLOOKUP(B13,'Base stats'!B:B,'Base stats'!G:G)/(365/60),0.2)),"Unknown"))</f>
        <v>0.3</v>
      </c>
      <c r="AT13" s="8">
        <f t="shared" si="1"/>
        <v>0.15000000000000002</v>
      </c>
      <c r="AU13" s="8">
        <f>IFERROR(IFERROR(MROUND(_xlfn.XLOOKUP(B13,'Base stats'!B:B,'Base stats'!J:J),0.1),"Lay eggs"),"Cannot breed")</f>
        <v>1</v>
      </c>
      <c r="AV13" s="2" t="str">
        <f t="shared" si="2"/>
        <v>true</v>
      </c>
      <c r="AW13" s="2" t="str">
        <f>IF(_xlfn.XLOOKUP(_xlfn.XLOOKUP(Animals!B13,'Base stats'!B:B,'Base stats'!E:E),Groups!A:A,Groups!AK:AK)=1,"true","false")</f>
        <v>true</v>
      </c>
      <c r="AX13" s="25" t="str">
        <f>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</f>
        <v>VegetarianRoughAnimal</v>
      </c>
      <c r="AY13" s="2">
        <f>IF(_xlfn.XLOOKUP(_xlfn.XLOOKUP(B13,'Base stats'!B:B,'Base stats'!E:E),Groups!A:A,Groups!D:D)=1,MROUND((1-I13)*5+1,2)*IF(I13&lt;=0.4,2,1),"No")</f>
        <v>12</v>
      </c>
      <c r="AZ13" s="2" t="str">
        <f>_xlfn.XLOOKUP(B13,'Base stats'!B:B,'Base stats'!AE:AE)</f>
        <v>Leather_Camel</v>
      </c>
      <c r="BA13" s="23" t="str">
        <f>_xlfn.XLOOKUP(_xlfn.XLOOKUP(B13,'Base stats'!B:B,'Base stats'!E:E),Groups!A:A,Groups!AL:AL)</f>
        <v>QuadrupedAnimalWithHooves</v>
      </c>
      <c r="BB13" s="23">
        <f>MROUND(IF(AND(AN13&lt;0.5,_xlfn.XLOOKUP(B13,'Base stats'!B:B,'Base stats'!Z:Z)=0),0,IF(OR(_xlfn.XLOOKUP(Animals!B13,'Base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stats'!AA:AA),0.005)</f>
        <v>0</v>
      </c>
      <c r="BC13" s="23">
        <f>MROUND(IF(AND(AN13&lt;0.5,_xlfn.XLOOKUP(B13,'Base stats'!B:B,'Base stats'!Z:Z)=0),0,IF(_xlfn.XLOOKUP(_xlfn.XLOOKUP(B13,'Base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stats'!AB:AB),0.005)</f>
        <v>0</v>
      </c>
      <c r="BD13" s="2" t="str">
        <f>IF(I13&gt;0.3,"No",_xlfn.XLOOKUP(_xlfn.XLOOKUP(Animals!B13,'Base stats'!B:B,'Base stats'!E:E),Groups!A:A,Groups!AP:AP))</f>
        <v>No</v>
      </c>
      <c r="BE13" s="2" t="str">
        <f>IF(AND(I13&lt;=0.65,_xlfn.XLOOKUP(_xlfn.XLOOKUP(Animals!B13,'Base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stats'!O:O)=2,0.2,AN13) + 24*(1-IF(BD13="No",0,BD13)) + 16/3, 12),"No")</f>
        <v>No</v>
      </c>
      <c r="BF13" s="2">
        <f>IF(AND(_xlfn.XLOOKUP(_xlfn.XLOOKUP(B13,'Base stats'!B:B,'Base stats'!E:E),Groups!A:A,Groups!AQ:AQ)=1,AN13&lt;=0.35),8,12)</f>
        <v>12</v>
      </c>
      <c r="BG13" s="2" t="str">
        <f>IF(_xlfn.XLOOKUP(_xlfn.XLOOKUP(B13,'Base stats'!B:B,'Base stats'!E:E),Groups!A:A,Groups!D:D)=0,_xlfn.XLOOKUP(_xlfn.XLOOKUP(B13,'Base stats'!B:B,'Base stats'!E:E),Groups!A:A,Groups!AR:AR),"None")</f>
        <v>None</v>
      </c>
      <c r="BH13" s="2" t="str">
        <f>IF(AND(_xlfn.XLOOKUP(_xlfn.XLOOKUP(B13,'Base stats'!B:B,'Base stats'!E:E),Groups!A:A,Groups!AS:AS)=1,OR('Base stats'!Y13="Carnivore",'Base stats'!Y13="Omnivore")),"true","false")</f>
        <v>false</v>
      </c>
      <c r="BI13" s="2" t="str">
        <f>IF(BH13="true",MROUND(IF(AND(AN13&gt;0.5,_xlfn.XLOOKUP(_xlfn.XLOOKUP(B13,'Base stats'!B:B,'Base stats'!E:E),Groups!A:A,Groups!AJ:AJ)="Mammal"),Animals!AN13*1.75*IF(AV13="true",1.5,1),Animals!AN13),IF(AN13&gt;2,0.5,IF(AN13&gt;0.5,0.25,0.1))),"No")</f>
        <v>No</v>
      </c>
      <c r="BJ13" s="2">
        <f t="shared" si="3"/>
        <v>0</v>
      </c>
      <c r="BK13" s="25" t="str">
        <f>IF('Base stats'!AK13="Standard","No",MROUND((_xlfn.XLOOKUP(B13,'Base stats'!B:B,'Base stats'!AK:AK)/3.6)/H13,0.1))</f>
        <v>No</v>
      </c>
      <c r="BL13" s="25" t="str">
        <f t="shared" si="4"/>
        <v>false</v>
      </c>
      <c r="BM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N13" s="25" t="str" cm="1">
        <f t="array" ref="BN13">IF(
  _xlfn.TEXTJOIN(", ",TRUE,
    IF(AND(BH13="true",AN13&gt;0.5,BG13&lt;&gt;"None"),"AttackTarget",""),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IF(BE13&lt;=36,"Comfort",""),
    IF(_xlfn.XLOOKUP(B13,'Base stats'!B:B,'Base stats'!AC:AC)&lt;&gt;"No",_xlfn.XLOOKUP(B13,'Base stats'!B:B,'Base stats'!AC:AC),"")
  ) = "",
  "No",
  _xlfn.TEXTJOIN(", ",TRUE,
    IF(AND(BH13="true",AN13&gt;0.5,BG13&lt;&gt;"None"),"AttackTarget",""),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IF(BE13&lt;=36,"Comfort",""),
    IF(_xlfn.XLOOKUP(B13,'Base stats'!B:B,'Base stats'!AC:AC)&lt;&gt;"No",_xlfn.XLOOKUP(B13,'Base stats'!B:B,'Base stats'!AC:AC),"")
  )
)</f>
        <v>No</v>
      </c>
      <c r="BO13" s="25" t="str">
        <f>IF(
   AND(
      'Base stats'!AK13="Standard",_xlfn.XLOOKUP(_xlfn.XLOOKUP(B13,'Base stats'!B:B,'Base stats'!E:E),Groups!A:A,Groups!AU:AU)=0,
      OR(
      BM13="True"
      )
   ),
   10,
   IF(
       OR(BK13&lt;&gt;"No",_xlfn.XLOOKUP(_xlfn.XLOOKUP(B13,'Base stats'!B:B,'Base stats'!E:E),Groups!A:A,Groups!AU:AU)=1),
      1,
      "No"
   )
)</f>
        <v>No</v>
      </c>
      <c r="BP13" s="9">
        <f>MROUND((1 + ((0.2*IF(OR(P13="No",Q13="No",Q13=0),0,P13/Q13)
+IF(OR(U13="No",R13="No",S13="No"),0,R13/S13*(LEN(U13)-LEN(SUBSTITUTE(U13,",",""))+1))
+IF(OR(W13="No",X13="No"),0,W13/X13)
+IF(OR(AC13="No",AD13="No"),0,AC13/AD13)
+IF(OR(AK13="No",AH13="No",AI13="No"),0,AH13/AI13*(LEN(AK13)-LEN(SUBSTITUTE(AK13,",",""))+1))
)/(0.2*IF(OR(P13="No",Q13="No",Q13=0),0,1)
+IF(OR(U13="No",R13="No",S13="No"),0,LEN(U13)-LEN(SUBSTITUTE(U13,",",""))+1)
+IF(OR(W13="No",X13="No"),0,1)
+IF(OR(AC13="No",AD13="No"),0,1)
+IF(OR(AK13="No",AH13="No",AI13="No"),0,LEN(AK13)-LEN(SUBSTITUTE(AK13,",",""))+1))*62%)* 2)*(1 + (AO13 + _xlfn.XLOOKUP(B13,'Base stats'!B:B,'Base stats'!AS:AS) * 1.8) * 2) * 2.5 + 10 + H13 * 2,5)+IF(_xlfn.XLOOKUP(B13,'Base stats'!B:B,'Base stats'!AH:AH)=1,50,0)</f>
        <v>80</v>
      </c>
      <c r="BQ13" s="8">
        <f t="shared" si="5"/>
        <v>0.70000000000000007</v>
      </c>
      <c r="BR13" s="8" t="str">
        <f>_xlfn.XLOOKUP(B13,'Base stats'!B:B,'Base stats'!AD:AD)</f>
        <v>3~8</v>
      </c>
      <c r="BS13" s="2" t="str">
        <f>IF(AND(I13&lt;=0.95,OR(_xlfn.XLOOKUP(B13,'Base stats'!B:B,'Base stats'!AH:AH)=1,_xlfn.XLOOKUP(B13,'Base stats'!B:B,'Base stats'!Y:Y)="Carnivore",_xlfn.XLOOKUP(B13,'Base stats'!B:B,'Base stats'!Y:Y)="Omnivore",BC13&gt;0.1)),"true","false")</f>
        <v>false</v>
      </c>
      <c r="BT13" s="2" t="str">
        <f>IF(_xlfn.XLOOKUP(B13,'Base stats'!B:B,'Base stats'!AF:AF)=1,"true","false")</f>
        <v>true</v>
      </c>
      <c r="BU13" s="25" t="str">
        <f>IF(E13="BaseInsect","AnimalInsect",
IF(I13&gt;0.95,"AnimalExotic",
_xlfn.TEXTJOIN(", ",TRUE,
IF(AND(_xlfn.XLOOKUP(B13,'Base stats'!B:B,'Base stats'!O:O)=0,_xlfn.XLOOKUP(_xlfn.XLOOKUP(B13,'Base stats'!B:B,'Base stats'!E:E),Groups!A:A,Groups!B:B)&gt;0),"AnimalUncommon","AnimalCommon"),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stats'!AH:AH)=1,AND(BG13&lt;&gt;"None",BP13&gt;=60),ISNUMBER(SEARCH("Attack target",BN13))),"AnimalFighter","")
)))</f>
        <v>AnimalCommon, AnimalFarm</v>
      </c>
      <c r="BV13" s="25" t="str">
        <f>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</f>
        <v/>
      </c>
      <c r="BW13" s="25" t="str">
        <f>IF(_xlfn.XLOOKUP(B13,'Base stats'!B:B,'Base stats'!AG:AG)=1,"true","false")</f>
        <v>false</v>
      </c>
      <c r="BX13" s="25">
        <f>IF(_xlfn.XLOOKUP(B13,'Base stats'!B:B,'Base stats'!N:N)=1,"No",MIN(MROUND(IF(OR(_xlfn.XLOOKUP(B13,'Base stats'!B:B,'Base stats'!AJ:AJ)=1,AND(BH13="True",CA13="False")),POWER(10,3.47*LOG10(_xlfn.XLOOKUP(B13,'Base stats'!B:B,'Base stats'!C:C)*1000)^-0.96),POWER(10,4.15*LOG10(_xlfn.XLOOKUP(B13,'Base stats'!B:B,'Base stats'!C:C)*1000)^-0.73))*IF(OR(_xlfn.XLOOKUP(B13,'Base stats'!B:B,'Base stats'!AJ:AJ)=1,_xlfn.XLOOKUP(B13,'Base stats'!B:B,'Base stats'!AH:AH)=1),0.5,1)/100,0.025),1))</f>
        <v>0.2</v>
      </c>
      <c r="BY13" s="25" t="str">
        <f>IF(O13="Standard","No",IF(_xlfn.XLOOKUP(B13,'Base stats'!B:B,'Base stats'!N:N)=0,MROUND(BX13*O13,0.05),MIN(1,MAX(0.025,MROUND(IF(OR(CA13="true",AND(BH13="false",BM13="false")),POWER(10,4.15*LOG10(_xlfn.XLOOKUP(B13,'Base stats'!B:B,'Base stats'!C:C)*1000)^-0.73),POWER(10,3.47*LOG10(_xlfn.XLOOKUP(B13,'Base stats'!B:B,'Base stats'!C:C)*1000)^-0.96))*IF(_xlfn.XLOOKUP(B13,'Base stats'!B:B,'Base stats'!AH:AH)=1,0.5,1)/100,0.025)))))</f>
        <v>No</v>
      </c>
      <c r="BZ13" s="25" t="str">
        <f>IF(_xlfn.XLOOKUP(_xlfn.XLOOKUP(B13,'Base stats'!B:B,'Base stats'!E:E),Groups!A:A,Groups!AJ:AJ)="Mammal","True","False")</f>
        <v>True</v>
      </c>
      <c r="CA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B13" s="25" t="str">
        <f t="shared" si="6"/>
        <v>False</v>
      </c>
      <c r="CC13" s="25" t="str">
        <f>IF(_xlfn.XLOOKUP(_xlfn.XLOOKUP(B13,'Base stats'!B:B,'Base stats'!E:E),Groups!A:A,Groups!AW:AW),"True","False")</f>
        <v>False</v>
      </c>
      <c r="CD13" s="25" t="str">
        <f>IF(_xlfn.XLOOKUP(_xlfn.XLOOKUP(B13,'Base stats'!B:B,'Base stats'!E:E),Groups!A:A,Groups!AX:AX),"True","False")</f>
        <v>False</v>
      </c>
      <c r="CE13" s="25" t="str">
        <f>IF(_xlfn.XLOOKUP(B13,'Base stats'!B:B,'Base stats'!E:E)=1,"True","False")</f>
        <v>False</v>
      </c>
      <c r="CF13" s="25" t="str">
        <f>IF(
OR(
_xlfn.XLOOKUP(_xlfn.XLOOKUP(B13,'Base stats'!B:B,'Base stats'!E:E),Groups!A:A,Groups!AY:AY)=0,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stats'!E:E),Groups!A:A,Groups!AY:AY)=1,
"Flesh",
IF(
_xlfn.XLOOKUP(_xlfn.XLOOKUP(B13,'Base stats'!B:B,'Base stats'!E:E),Groups!A:A,Groups!AY:AY)=2,
"Bone",
""
)
)
)</f>
        <v>No</v>
      </c>
      <c r="CG13" s="25" t="str">
        <f>IF(_xlfn.XLOOKUP(_xlfn.XLOOKUP(B13,'Base stats'!B:B,'Base stats'!E:E),Groups!A:A,Groups!BA:BA),"True","False")</f>
        <v>True</v>
      </c>
      <c r="CH13" s="25" t="str">
        <f>IF(_xlfn.XLOOKUP(_xlfn.XLOOKUP(B13,'Base stats'!B:B,'Base stats'!E:E),Groups!A:A,Groups!AZ:AZ),"True","False")</f>
        <v>False</v>
      </c>
      <c r="CM13" s="16"/>
    </row>
    <row r="14" spans="1:91" ht="16.5" thickTop="1" thickBot="1" x14ac:dyDescent="0.3">
      <c r="A14" s="26" t="str">
        <f>_xlfn.XLOOKUP(B14,'Base stats'!B:B,'Base stats'!A:A)</f>
        <v>Yorkshire terrier</v>
      </c>
      <c r="B14" s="6" t="s">
        <v>886</v>
      </c>
      <c r="C14" s="28" t="s">
        <v>697</v>
      </c>
      <c r="D14" s="28" t="s">
        <v>45</v>
      </c>
      <c r="E14" s="28" t="s">
        <v>685</v>
      </c>
      <c r="F14" s="28" t="s">
        <v>685</v>
      </c>
      <c r="G14" s="2">
        <f>MROUND((
  (IF(AND(_xlfn.XLOOKUP(B14,'Base stats'!B:B,'Base stats'!AI:AI)=0,BG14="None",_xlfn.XLOOKUP('Base stats'!E14,Groups!A:A,Groups!B:B)=0), (18 + BP14 * 2.7) * 0.5,
    IF(AND(_xlfn.XLOOKUP(B14,'Base stats'!B:B,'Base stats'!AI:AI)=0,OR(AN14&lt;0.55,AND(BG14="Intermediate",_xlfn.XLOOKUP('Base stats'!E14,Groups!A:A,Groups!B:B)&lt;2))), (18 + BP14 * 2.7),
      IF(OR(BG14="Advanced",_xlfn.XLOOKUP(B14,'Base stats'!B:B,'Base stats'!AI:AI)=1,_xlfn.XLOOKUP('Base stats'!E14,Groups!A:A,Groups!B:B)=2), (18 + BP14 * 2.7) + 250, (18 + BP14 * 2.7))
    )
  ))
  + AN14 * 80
  + IF(COUNTIF(EggMilk!K$2:K$998, A14) &gt; 0, 125, 0)
  + IF(COUNTIF(EggMilk!P$2:P$998, A14) &gt; 0, 90, 0)
  + IF(COUNTIF(EggMilk!A$2:A$998, A14) &gt; 0, 90, 0)
)
* (0.8 + 0.4 * I14)
* 0.75,25)</f>
        <v>75</v>
      </c>
      <c r="H14" s="2">
        <f>MROUND(ROUNDDOWN(_xlfn.XLOOKUP(B14,'Base stats'!B:B,'Base stats'!L:L)/3.6/(23.3/11),1),0.5)</f>
        <v>5</v>
      </c>
      <c r="I14" s="2">
        <f>IF(_xlfn.XLOOKUP(B14,'Base stats'!B:B,'Base stats'!AI:AI)=1,0.99,MIN(MROUND((1-0.6282*EXP(-0.459*AN14))*_xlfn.XLOOKUP(_xlfn.XLOOKUP(B14,'Base stats'!B:B,'Base stats'!E:E),Groups!A:A,Groups!C:C)*IF(_xlfn.XLOOKUP(B14,'Base stats'!B:B,'Base stats'!O:O)=1,0.5,IF(_xlfn.XLOOKUP(B14,'Base stats'!B:B,'Base stats'!O:O)=2,0,1)),0.05),0.985))</f>
        <v>0</v>
      </c>
      <c r="J14" s="2">
        <f>ROUNDUP(AN14*_xlfn.XLOOKUP(_xlfn.XLOOKUP(B14,'Base stats'!B:B,'Base stats'!E:E),Groups!A:A,Groups!E:E),0)</f>
        <v>1</v>
      </c>
      <c r="K14" s="2">
        <f>IF(OR(_xlfn.XLOOKUP(_xlfn.XLOOKUP(B14,'Base stats'!B:B,'Base stats'!E:E),Groups!A:A,Groups!F:F)=2,ISNUMBER(SEARCH("SeaIce",BV14)),ISNUMBER(SEARCH("IceSheet",BV14))),-50,IF(OR(ISNUMBER(SEARCH("GlacialPlain",BV14)),ISNUMBER(SEARCH("Tundra",BV14))),-40,IF(OR(ISNUMBER(SEARCH("Alpine",BV14)),ISNUMBER(SEARCH("BorealForest",BV14)),ISNUMBER(SEARCH("ColdBog",BV14))),-30,IF(OR(ISNUMBER(SEARCH("TemperateForest",BV14)),ISNUMBER(SEARCH("TemperateSwamp",BV14))),-20,IF(_xlfn.XLOOKUP(_xlfn.XLOOKUP(B14,'Base stats'!B:B,'Base stats'!E:E),Groups!A:A,Groups!F:F)=1,-15,IF(OR(ISNUMBER(SEARCH("Desert",BV14)),ISNUMBER(SEARCH("ExtremeDesert",BV14))),-10,IF(OR(ISNUMBER(SEARCH("Grasslands",BV14)),ISNUMBER(SEARCH("TropicalRainforest",BV14)),ISNUMBER(SEARCH("TropicalSwamp",BV14))),10,0)))))))-IF(CA14="False",MIN(IFERROR(MAX(MROUND(LOG10(_xlfn.XLOOKUP(B14,'Base stats'!B:B,'Base stats'!C:C)^(2/3))*10,5),5),5),30))-_xlfn.XLOOKUP(B14,'Base stats'!B:B,'Base stats'!P:P)+IF(CA14="True",5,0)</f>
        <v>-20</v>
      </c>
      <c r="L14" s="2">
        <f>IF(OR(_xlfn.XLOOKUP(_xlfn.XLOOKUP(B14,'Base stats'!B:B,'Base stats'!E:E),Groups!A:A,Groups!G:G)=2,ISNUMBER(SEARCH("Desert",BV14)),ISNUMBER(SEARCH("ExtremeDesert",BV14)),ISNUMBER(SEARCH("LavaField",BV14))),50,IF(ISNUMBER(SEARCH("Grasslands",BV14)),45,IF(OR(_xlfn.XLOOKUP(_xlfn.XLOOKUP(B14,'Base stats'!B:B,'Base stats'!E:E),Groups!A:A,Groups!G:G)=1,ISNUMBER(SEARCH("TropicalRainforest",BV14)),ISNUMBER(SEARCH("TropicalSwamp",BV14))),40,IF(OR(ISNUMBER(SEARCH("TemperateForest",BV14)),ISNUMBER(SEARCH("TemperateSwamp",BV14))),35,IF(OR(ISNUMBER(SEARCH("Alpine",BV14)),ISNUMBER(SEARCH("BorealForest",BV14)),ISNUMBER(SEARCH("ColdBog",BV14))),30,IF(ISNUMBER(OR(ISNUMBER(SEARCH("GlacialPlain",BV14)),SEARCH("Tundra",BV14))),25,IF(OR(ISNUMBER(SEARCH("SeaIce",BV14)),ISNUMBER(SEARCH("IceSheet",BV14)),ISNUMBER(SEARCH("TropicalSwamp",BV14))),10,35)))))))+_xlfn.XLOOKUP(B14,'Base stats'!B:B,'Base stats'!Q:Q)</f>
        <v>35</v>
      </c>
      <c r="M14" s="8" t="str">
        <f>IF(_xlfn.XLOOKUP(_xlfn.XLOOKUP(B14,'Base stats'!B:B,'Base stats'!E:E),Groups!A:A,Groups!L:L)=1,MIN(MROUND(_xlfn.XLOOKUP(B14,'Animals CE'!B:B,'Animals CE'!Z:Z)/2+0.05,0.05),200%),"No")</f>
        <v>No</v>
      </c>
      <c r="N14" s="8" t="str">
        <f>IF(_xlfn.XLOOKUP(_xlfn.XLOOKUP(B14,'Base stats'!B:B,'Base stats'!E:E),Groups!A:A,Groups!L:L)=1,MIN(MROUND(_xlfn.XLOOKUP(B14,'Animals CE'!B:B,'Animals CE'!AA:AA)/2+0.05,0.05),200%),"No")</f>
        <v>No</v>
      </c>
      <c r="O14" s="2" t="str">
        <f>_xlfn.XLOOKUP(B14,'Base stats'!B:B,'Base stats'!R:R)</f>
        <v>Standard</v>
      </c>
      <c r="P14" s="13">
        <f>MROUND((LOG10(_xlfn.XLOOKUP(B14,'Base stats'!B:B,'Base stats'!AO:AO))*(AN14^0.5)+(_xlfn.XLOOKUP(B14,'Base stats'!B:B,'Base stats'!AO:AO)/1000)^(2/3)+_xlfn.XLOOKUP(B14,'Base stats'!B:B,'Base stats'!AX:AX)/2)+0.5,0.5)</f>
        <v>2</v>
      </c>
      <c r="Q14" s="7">
        <f>IF(P14="No","No",MAX(1,MROUND(_xlfn.XLOOKUP(B14,'Base stats'!B:B,'Base stats'!C:C)^0.165,0.05)))</f>
        <v>1.1500000000000001</v>
      </c>
      <c r="R14" s="13" t="str">
        <f>IF(_xlfn.XLOOKUP(_xlfn.XLOOKUP(B14,'Base stats'!B:B,'Base stats'!E:E),Groups!A:A,Groups!P:P)=0,"No",MROUND((LOG10(_xlfn.XLOOKUP(B14,'Base stats'!B:B,'Base stats'!AP:AP))*(AN14^0.5)+(_xlfn.XLOOKUP(B14,'Base stats'!B:B,'Base stats'!AP:AP)/1000)^(2/3)+_xlfn.XLOOKUP(B14,'Base stats'!B:B,'Base stats'!AX:AX))+_xlfn.XLOOKUP(B14,'Base stats'!B:B,'Base stats'!AV:AV)+0.5,0.5))</f>
        <v>No</v>
      </c>
      <c r="S14" s="7" t="str">
        <f>IF(R14="No","No",MAX(_xlfn.XLOOKUP(_xlfn.XLOOKUP(B14,'Base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T14" s="7" t="str">
        <f>IF(R14="No","No",_xlfn.XLOOKUP(_xlfn.XLOOKUP(B14,'Base stats'!B:B,'Base stats'!E:E),Groups!A:A,Groups!R:R))</f>
        <v>No</v>
      </c>
      <c r="U14" s="7" t="str">
        <f>IF(R14="No","No",_xlfn.XLOOKUP(_xlfn.XLOOKUP(B14,'Base stats'!B:B,'Base stats'!E:E),Groups!A:A,Groups!S:S))</f>
        <v>No</v>
      </c>
      <c r="V14" s="7" t="str">
        <f>IF(R14="No","No",_xlfn.XLOOKUP(_xlfn.XLOOKUP(B14,'Base stats'!B:B,'Base stats'!E:E),Groups!A:A,Groups!T:T))</f>
        <v>No</v>
      </c>
      <c r="W14" s="13" t="str">
        <f>IF(_xlfn.XLOOKUP(B14,'Base stats'!B:B,'Base stats'!W:W)="No","No",MROUND((LOG10(_xlfn.XLOOKUP(B14,'Base stats'!B:B,'Base stats'!AR:AR))*(AN14^0.5)+(_xlfn.XLOOKUP(B14,'Base stats'!B:B,'Base stats'!AR:AR)/1000)^(2/3)+_xlfn.XLOOKUP(B14,'Base stats'!B:B,'Base stats'!AW:AW))+0.5+IF(_xlfn.XLOOKUP(_xlfn.XLOOKUP(B14,'Base stats'!B:B,'Base stats'!E:E),Groups!A:A,Groups!U:U)&lt;&gt;3,_xlfn.XLOOKUP(B14,'Base stats'!B:B,'Base stats'!AX:AX),0),0.5))</f>
        <v>No</v>
      </c>
      <c r="X14" s="7" t="str">
        <f>IF(W14="No","No",MAX(_xlfn.XLOOKUP(_xlfn.XLOOKUP(B14,'Base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Y14" s="7" t="str">
        <f>IF(W14="No","No",_xlfn.XLOOKUP(_xlfn.XLOOKUP(B14,'Base stats'!B:B,'Base stats'!E:E),Groups!A:A,Groups!W:W))</f>
        <v>No</v>
      </c>
      <c r="Z14" s="7" t="str">
        <f>IF(W14="No","No",_xlfn.XLOOKUP(_xlfn.XLOOKUP(B14,'Base stats'!B:B,'Base stats'!E:E),Groups!A:A,Groups!X:X))</f>
        <v>No</v>
      </c>
      <c r="AA14" s="7" t="str">
        <f>IF(W14="No","No",_xlfn.XLOOKUP(_xlfn.XLOOKUP(B14,'Base stats'!B:B,'Base stats'!E:E),Groups!A:A,Groups!Y:Y))</f>
        <v>No</v>
      </c>
      <c r="AB14" s="7" t="str">
        <f>_xlfn.XLOOKUP(Animals!B14,'Base stats'!B:B,'Base stats'!X:X)</f>
        <v>False</v>
      </c>
      <c r="AC14" s="13">
        <f>IF(_xlfn.XLOOKUP(B14,'Base stats'!B:B,'Base stats'!AQ:AQ)="No","No",MROUND((LOG10(_xlfn.XLOOKUP(B14,'Base stats'!B:B,'Base stats'!AQ:AQ))*(AN14^0.75)+(_xlfn.XLOOKUP(B14,'Base stats'!B:B,'Base stats'!AQ:AQ)/1000)^(2/3)+_xlfn.XLOOKUP(B14,'Base stats'!B:B,'Base stats'!AU:AU)+_xlfn.XLOOKUP(B14,'Base stats'!B:B,'Base stats'!AX:AX))+0.5,0.5))</f>
        <v>2.5</v>
      </c>
      <c r="AD14" s="7">
        <f>IF(AC14="No","No",MAX(_xlfn.XLOOKUP(_xlfn.XLOOKUP(B14,'Base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E14" s="7" t="str">
        <f>IF(AC14="No","No",_xlfn.XLOOKUP(_xlfn.XLOOKUP(B14,'Base stats'!B:B,'Base stats'!E:E),Groups!A:A,Groups!AA:AA))</f>
        <v>Teeth</v>
      </c>
      <c r="AF14" s="7" t="str">
        <f>IF(AC14="No","No",_xlfn.XLOOKUP(_xlfn.XLOOKUP(B14,'Base stats'!B:B,'Base stats'!E:E),Groups!A:A,Groups!AB:AB))</f>
        <v>canines</v>
      </c>
      <c r="AG14" s="7" t="str">
        <f>IF(AC14="No","No",_xlfn.XLOOKUP(_xlfn.XLOOKUP(B14,'Base stats'!B:B,'Base stats'!E:E),Groups!A:A,Groups!AC:AC))</f>
        <v>Bite</v>
      </c>
      <c r="AH14" s="13" t="str">
        <f>IF(_xlfn.XLOOKUP(_xlfn.XLOOKUP(B14,'Base stats'!B:B,'Base stats'!E:E),Groups!A:A,Groups!AD:AD)=0,"No",MROUND((LOG10(_xlfn.XLOOKUP(B14,'Base stats'!B:B,'Base stats'!AP:AP))*(AN14^0.75)+(_xlfn.XLOOKUP(B14,'Base stats'!B:B,'Base stats'!AP:AP)/1000)^(2/3)+_xlfn.XLOOKUP(B14,'Base stats'!B:B,'Base stats'!AV:AV)+_xlfn.XLOOKUP(B14,'Base stats'!B:B,'Base stats'!AX:AX))+0.5,0.5))</f>
        <v>No</v>
      </c>
      <c r="AI14" s="7" t="str">
        <f>IF(AH14="No","No",MAX(_xlfn.XLOOKUP(_xlfn.XLOOKUP(B14,'Base stats'!B:B,'Base stats'!E:E),Groups!A:A,Groups!AE:AE),MROUND(_xlfn.XLOOKUP(_xlfn.XLOOKUP(B14,'Base stats'!B:B,'Base stats'!E:E),Groups!A:A,Groups!AE:AE)*_xlfn.XLOOKUP(B14,'Base stats'!B:B,'Base stats'!C:C)^0.165,0.05)))</f>
        <v>No</v>
      </c>
      <c r="AJ14" s="7" t="str">
        <f>IF(AH14="No","No",_xlfn.XLOOKUP(_xlfn.XLOOKUP(B14,'Base stats'!B:B,'Base stats'!E:E),Groups!A:A,Groups!AF:AF))</f>
        <v>No</v>
      </c>
      <c r="AK14" s="7" t="str">
        <f>IF(AH14="No","No",_xlfn.XLOOKUP(_xlfn.XLOOKUP(B14,'Base stats'!B:B,'Base stats'!E:E),Groups!A:A,Groups!AG:AG))</f>
        <v>No</v>
      </c>
      <c r="AL14" s="7" t="str">
        <f>IF(AH14="No","No",_xlfn.XLOOKUP(_xlfn.XLOOKUP(B14,'Base stats'!B:B,'Base stats'!E:E),Groups!A:A,Groups!AH:AH))</f>
        <v>No</v>
      </c>
      <c r="AM14" s="2">
        <f t="shared" si="0"/>
        <v>15</v>
      </c>
      <c r="AN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O14" s="8">
        <f>MROUND(AN14*_xlfn.XLOOKUP(_xlfn.XLOOKUP(B14,'Base stats'!B:B,'Base stats'!E:E),Groups!A:A,Groups!AI:AI),0.05)</f>
        <v>0.25</v>
      </c>
      <c r="AP14" s="8">
        <f>MAX(0.01,MROUND(IF(CA14="True",0.196*(AN14*100*1000)^0.889,IF(_xlfn.XLOOKUP(_xlfn.XLOOKUP(B14,'Base stats'!B:B,'Base stats'!E:E),Groups!A:A,Groups!AJ:AJ)="Bird",10.5*(AN14*100*1000)^0.681,4.82*(AN14*100*1000)^0.734))/(4.82*(1*100*1000)^0.734)/IF(AN14&lt;3.5,2,IF(AN14=3.5,1.5,1.25))*(1+0.132282374779864/(AN14^0.994035016789033+0.00905238001496948)),0.05))</f>
        <v>0.25</v>
      </c>
      <c r="AQ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R14" s="35">
        <f>IFERROR(IF(_xlfn.XLOOKUP(B14,'Base stats'!B:B,'Base stats'!F:F)="Lay eggs","Lay eggs",MIN(20,MAX(5.5,ROUND(((_xlfn.XLOOKUP(B14,'Base stats'!B:B,'Base stats'!F:F)-25)*(14.5/615) + 5.5)*2,0)/2))),"Cannot breed")</f>
        <v>6.5</v>
      </c>
      <c r="AS14" s="8">
        <f>IF(OR(A14="Queen",A14="Larva"),"No",IFERROR(MAX(IF(_xlfn.XLOOKUP(B14,'Base stats'!B:B,'Base stats'!G:G)&lt;0.5,0.2,0.3),MROUND(_xlfn.XLOOKUP(B14,'Base stats'!B:B,'Base stats'!G:G)/(365/60),0.2)),"Unknown"))</f>
        <v>0.3</v>
      </c>
      <c r="AT14" s="8">
        <f t="shared" si="1"/>
        <v>0.15000000000000002</v>
      </c>
      <c r="AU14" s="8">
        <f>IFERROR(IFERROR(MROUND(_xlfn.XLOOKUP(B14,'Base stats'!B:B,'Base stats'!J:J),0.1),"Lay eggs"),"Cannot breed")</f>
        <v>6</v>
      </c>
      <c r="AV14" s="2" t="str">
        <f t="shared" si="2"/>
        <v>true</v>
      </c>
      <c r="AW14" s="2" t="str">
        <f>IF(_xlfn.XLOOKUP(_xlfn.XLOOKUP(Animals!B14,'Base stats'!B:B,'Base stats'!E:E),Groups!A:A,Groups!AK:AK)=1,"true","false")</f>
        <v>false</v>
      </c>
      <c r="AX14" s="25" t="str">
        <f>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</f>
        <v>OmnivoreAnimal, OvivoreAnimal</v>
      </c>
      <c r="AY14" s="2" t="str">
        <f>IF(_xlfn.XLOOKUP(_xlfn.XLOOKUP(B14,'Base stats'!B:B,'Base stats'!E:E),Groups!A:A,Groups!D:D)=1,MROUND((1-I14)*5+1,2)*IF(I14&lt;=0.4,2,1),"No")</f>
        <v>No</v>
      </c>
      <c r="AZ14" s="2" t="str">
        <f>_xlfn.XLOOKUP(B14,'Base stats'!B:B,'Base stats'!AE:AE)</f>
        <v>Leather_Dog</v>
      </c>
      <c r="BA14" s="23" t="str">
        <f>_xlfn.XLOOKUP(_xlfn.XLOOKUP(B14,'Base stats'!B:B,'Base stats'!E:E),Groups!A:A,Groups!AL:AL)</f>
        <v>QuadrupedAnimalWithPawsAndTail</v>
      </c>
      <c r="BB14" s="23">
        <f>MROUND(IF(AND(AN14&lt;0.5,_xlfn.XLOOKUP(B14,'Base stats'!B:B,'Base stats'!Z:Z)=0),0,IF(OR(_xlfn.XLOOKUP(Animals!B14,'Base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stats'!AA:AA),0.005)</f>
        <v>0</v>
      </c>
      <c r="BC14" s="23">
        <f>MROUND(IF(AND(AN14&lt;0.5,_xlfn.XLOOKUP(B14,'Base stats'!B:B,'Base stats'!Z:Z)=0),0,IF(_xlfn.XLOOKUP(_xlfn.XLOOKUP(B14,'Base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stats'!AB:AB),0.005)</f>
        <v>0</v>
      </c>
      <c r="BD14" s="2">
        <f>IF(I14&gt;0.3,"No",_xlfn.XLOOKUP(_xlfn.XLOOKUP(Animals!B14,'Base stats'!B:B,'Base stats'!E:E),Groups!A:A,Groups!AP:AP))</f>
        <v>1</v>
      </c>
      <c r="BE14" s="2">
        <f>IF(AND(I14&lt;=0.65,_xlfn.XLOOKUP(_xlfn.XLOOKUP(Animals!B14,'Base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stats'!O:O)=2,0.2,AN14) + 24*(1-IF(BD14="No",0,BD14)) + 16/3, 12),"No")</f>
        <v>12</v>
      </c>
      <c r="BF14" s="2">
        <f>IF(AND(_xlfn.XLOOKUP(_xlfn.XLOOKUP(B14,'Base stats'!B:B,'Base stats'!E:E),Groups!A:A,Groups!AQ:AQ)=1,AN14&lt;=0.35),8,12)</f>
        <v>12</v>
      </c>
      <c r="BG14" s="2" t="str">
        <f>IF(_xlfn.XLOOKUP(_xlfn.XLOOKUP(B14,'Base stats'!B:B,'Base stats'!E:E),Groups!A:A,Groups!D:D)=0,_xlfn.XLOOKUP(_xlfn.XLOOKUP(B14,'Base stats'!B:B,'Base stats'!E:E),Groups!A:A,Groups!AR:AR),"None")</f>
        <v>Advanced</v>
      </c>
      <c r="BH14" s="2" t="str">
        <f>IF(AND(_xlfn.XLOOKUP(_xlfn.XLOOKUP(B14,'Base stats'!B:B,'Base stats'!E:E),Groups!A:A,Groups!AS:AS)=1,OR('Base stats'!Y14="Carnivore",'Base stats'!Y14="Omnivore")),"true","false")</f>
        <v>true</v>
      </c>
      <c r="BI14" s="2">
        <f>IF(BH14="true",MROUND(IF(AND(AN14&gt;0.5,_xlfn.XLOOKUP(_xlfn.XLOOKUP(B14,'Base stats'!B:B,'Base stats'!E:E),Groups!A:A,Groups!AJ:AJ)="Mammal"),Animals!AN14*1.75*IF(AV14="true",1.5,1),Animals!AN14),IF(AN14&gt;2,0.5,IF(AN14&gt;0.5,0.25,0.1))),"No")</f>
        <v>0.2</v>
      </c>
      <c r="BJ14" s="2">
        <f t="shared" si="3"/>
        <v>1</v>
      </c>
      <c r="BK14" s="25" t="str">
        <f>IF('Base stats'!AK14="Standard","No",MROUND((_xlfn.XLOOKUP(B14,'Base stats'!B:B,'Base stats'!AK:AK)/3.6)/H14,0.1))</f>
        <v>No</v>
      </c>
      <c r="BL14" s="25" t="str">
        <f t="shared" si="4"/>
        <v>false</v>
      </c>
      <c r="BM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N14" s="25" t="str" cm="1">
        <f t="array" ref="BN14">IF(
  _xlfn.TEXTJOIN(", ",TRUE,
    IF(AND(BH14="true",AN14&gt;0.5,BG14&lt;&gt;"None"),"AttackTarget",""),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IF(BE14&lt;=36,"Comfort",""),
    IF(_xlfn.XLOOKUP(B14,'Base stats'!B:B,'Base stats'!AC:AC)&lt;&gt;"No",_xlfn.XLOOKUP(B14,'Base stats'!B:B,'Base stats'!AC:AC),"")
  ) = "",
  "No",
  _xlfn.TEXTJOIN(", ",TRUE,
    IF(AND(BH14="true",AN14&gt;0.5,BG14&lt;&gt;"None"),"AttackTarget",""),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IF(BE14&lt;=36,"Comfort",""),
    IF(_xlfn.XLOOKUP(B14,'Base stats'!B:B,'Base stats'!AC:AC)&lt;&gt;"No",_xlfn.XLOOKUP(B14,'Base stats'!B:B,'Base stats'!AC:AC),"")
  )
)</f>
        <v>Forage, Comfort</v>
      </c>
      <c r="BO14" s="25" t="str">
        <f>IF(
   AND(
      'Base stats'!AK14="Standard",_xlfn.XLOOKUP(_xlfn.XLOOKUP(B14,'Base stats'!B:B,'Base stats'!E:E),Groups!A:A,Groups!AU:AU)=0,
      OR(
      BM14="True"
      )
   ),
   10,
   IF(
       OR(BK14&lt;&gt;"No",_xlfn.XLOOKUP(_xlfn.XLOOKUP(B14,'Base stats'!B:B,'Base stats'!E:E),Groups!A:A,Groups!AU:AU)=1),
      1,
      "No"
   )
)</f>
        <v>No</v>
      </c>
      <c r="BP14" s="9">
        <f>MROUND((1 + ((0.2*IF(OR(P14="No",Q14="No",Q14=0),0,P14/Q14)
+IF(OR(U14="No",R14="No",S14="No"),0,R14/S14*(LEN(U14)-LEN(SUBSTITUTE(U14,",",""))+1))
+IF(OR(W14="No",X14="No"),0,W14/X14)
+IF(OR(AC14="No",AD14="No"),0,AC14/AD14)
+IF(OR(AK14="No",AH14="No",AI14="No"),0,AH14/AI14*(LEN(AK14)-LEN(SUBSTITUTE(AK14,",",""))+1))
)/(0.2*IF(OR(P14="No",Q14="No",Q14=0),0,1)
+IF(OR(U14="No",R14="No",S14="No"),0,LEN(U14)-LEN(SUBSTITUTE(U14,",",""))+1)
+IF(OR(W14="No",X14="No"),0,1)
+IF(OR(AC14="No",AD14="No"),0,1)
+IF(OR(AK14="No",AH14="No",AI14="No"),0,LEN(AK14)-LEN(SUBSTITUTE(AK14,",",""))+1))*62%)* 2)*(1 + (AO14 + _xlfn.XLOOKUP(B14,'Base stats'!B:B,'Base stats'!AS:AS) * 1.8) * 2) * 2.5 + 10 + H14 * 2,5)+IF(_xlfn.XLOOKUP(B14,'Base stats'!B:B,'Base stats'!AH:AH)=1,50,0)</f>
        <v>35</v>
      </c>
      <c r="BQ14" s="8">
        <f t="shared" si="5"/>
        <v>0.25</v>
      </c>
      <c r="BR14" s="8" t="str">
        <f>_xlfn.XLOOKUP(B14,'Base stats'!B:B,'Base stats'!AD:AD)</f>
        <v>2~6</v>
      </c>
      <c r="BS14" s="2" t="str">
        <f>IF(AND(I14&lt;=0.95,OR(_xlfn.XLOOKUP(B14,'Base stats'!B:B,'Base stats'!AH:AH)=1,_xlfn.XLOOKUP(B14,'Base stats'!B:B,'Base stats'!Y:Y)="Carnivore",_xlfn.XLOOKUP(B14,'Base stats'!B:B,'Base stats'!Y:Y)="Omnivore",BC14&gt;0.1)),"true","false")</f>
        <v>true</v>
      </c>
      <c r="BT14" s="2" t="str">
        <f>IF(_xlfn.XLOOKUP(B14,'Base stats'!B:B,'Base stats'!AF:AF)=1,"true","false")</f>
        <v>false</v>
      </c>
      <c r="BU14" s="25" t="str">
        <f>IF(E14="BaseInsect","AnimalInsect",
IF(I14&gt;0.95,"AnimalExotic",
_xlfn.TEXTJOIN(", ",TRUE,
IF(AND(_xlfn.XLOOKUP(B14,'Base stats'!B:B,'Base stats'!O:O)=0,_xlfn.XLOOKUP(_xlfn.XLOOKUP(B14,'Base stats'!B:B,'Base stats'!E:E),Groups!A:A,Groups!B:B)&gt;0),"AnimalUncommon","AnimalCommon"),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stats'!AH:AH)=1,AND(BG14&lt;&gt;"None",BP14&gt;=60),ISNUMBER(SEARCH("Attack target",BN14))),"AnimalFighter","")
)))</f>
        <v>AnimalCommon, AnimalPet</v>
      </c>
      <c r="BV14" s="25" t="str">
        <f>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</f>
        <v/>
      </c>
      <c r="BW14" s="25" t="str">
        <f>IF(_xlfn.XLOOKUP(B14,'Base stats'!B:B,'Base stats'!AG:AG)=1,"true","false")</f>
        <v>false</v>
      </c>
      <c r="BX14" s="25">
        <f>IF(_xlfn.XLOOKUP(B14,'Base stats'!B:B,'Base stats'!N:N)=1,"No",MIN(MROUND(IF(OR(_xlfn.XLOOKUP(B14,'Base stats'!B:B,'Base stats'!AJ:AJ)=1,AND(BH14="True",CA14="False")),POWER(10,3.47*LOG10(_xlfn.XLOOKUP(B14,'Base stats'!B:B,'Base stats'!C:C)*1000)^-0.96),POWER(10,4.15*LOG10(_xlfn.XLOOKUP(B14,'Base stats'!B:B,'Base stats'!C:C)*1000)^-0.73))*IF(OR(_xlfn.XLOOKUP(B14,'Base stats'!B:B,'Base stats'!AJ:AJ)=1,_xlfn.XLOOKUP(B14,'Base stats'!B:B,'Base stats'!AH:AH)=1),0.5,1)/100,0.025),1))</f>
        <v>0.125</v>
      </c>
      <c r="BY14" s="25" t="str">
        <f>IF(O14="Standard","No",IF(_xlfn.XLOOKUP(B14,'Base stats'!B:B,'Base stats'!N:N)=0,MROUND(BX14*O14,0.05),MIN(1,MAX(0.025,MROUND(IF(OR(CA14="true",AND(BH14="false",BM14="false")),POWER(10,4.15*LOG10(_xlfn.XLOOKUP(B14,'Base stats'!B:B,'Base stats'!C:C)*1000)^-0.73),POWER(10,3.47*LOG10(_xlfn.XLOOKUP(B14,'Base stats'!B:B,'Base stats'!C:C)*1000)^-0.96))*IF(_xlfn.XLOOKUP(B14,'Base stats'!B:B,'Base stats'!AH:AH)=1,0.5,1)/100,0.025)))))</f>
        <v>No</v>
      </c>
      <c r="BZ14" s="25" t="str">
        <f>IF(_xlfn.XLOOKUP(_xlfn.XLOOKUP(B14,'Base stats'!B:B,'Base stats'!E:E),Groups!A:A,Groups!AJ:AJ)="Mammal","True","False")</f>
        <v>True</v>
      </c>
      <c r="CA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B14" s="25" t="str">
        <f t="shared" si="6"/>
        <v>False</v>
      </c>
      <c r="CC14" s="25" t="str">
        <f>IF(_xlfn.XLOOKUP(_xlfn.XLOOKUP(B14,'Base stats'!B:B,'Base stats'!E:E),Groups!A:A,Groups!AW:AW),"True","False")</f>
        <v>False</v>
      </c>
      <c r="CD14" s="25" t="str">
        <f>IF(_xlfn.XLOOKUP(_xlfn.XLOOKUP(B14,'Base stats'!B:B,'Base stats'!E:E),Groups!A:A,Groups!AX:AX),"True","False")</f>
        <v>False</v>
      </c>
      <c r="CE14" s="25" t="str">
        <f>IF(_xlfn.XLOOKUP(B14,'Base stats'!B:B,'Base stats'!E:E)=1,"True","False")</f>
        <v>False</v>
      </c>
      <c r="CF14" s="25" t="str">
        <f>IF(
OR(
_xlfn.XLOOKUP(_xlfn.XLOOKUP(B14,'Base stats'!B:B,'Base stats'!E:E),Groups!A:A,Groups!AY:AY)=0,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stats'!E:E),Groups!A:A,Groups!AY:AY)=1,
"Flesh",
IF(
_xlfn.XLOOKUP(_xlfn.XLOOKUP(B14,'Base stats'!B:B,'Base stats'!E:E),Groups!A:A,Groups!AY:AY)=2,
"Bone",
""
)
)
)</f>
        <v>No</v>
      </c>
      <c r="CG14" s="25" t="str">
        <f>IF(_xlfn.XLOOKUP(_xlfn.XLOOKUP(B14,'Base stats'!B:B,'Base stats'!E:E),Groups!A:A,Groups!BA:BA),"True","False")</f>
        <v>True</v>
      </c>
      <c r="CH14" s="25" t="str">
        <f>IF(_xlfn.XLOOKUP(_xlfn.XLOOKUP(B14,'Base stats'!B:B,'Base stats'!E:E),Groups!A:A,Groups!AZ:AZ),"True","False")</f>
        <v>False</v>
      </c>
      <c r="CM14" s="16"/>
    </row>
    <row r="15" spans="1:91" ht="16.5" thickTop="1" thickBot="1" x14ac:dyDescent="0.3">
      <c r="A15" s="26" t="str">
        <f>_xlfn.XLOOKUP(B15,'Base stats'!B:B,'Base stats'!A:A)</f>
        <v>Labrador</v>
      </c>
      <c r="B15" s="6" t="s">
        <v>887</v>
      </c>
      <c r="C15" s="28" t="s">
        <v>698</v>
      </c>
      <c r="D15" s="28" t="s">
        <v>45</v>
      </c>
      <c r="E15" s="28" t="s">
        <v>685</v>
      </c>
      <c r="F15" s="28" t="s">
        <v>685</v>
      </c>
      <c r="G15" s="2">
        <f>MROUND((
  (IF(AND(_xlfn.XLOOKUP(B15,'Base stats'!B:B,'Base stats'!AI:AI)=0,BG15="None",_xlfn.XLOOKUP('Base stats'!E15,Groups!A:A,Groups!B:B)=0), (18 + BP15 * 2.7) * 0.5,
    IF(AND(_xlfn.XLOOKUP(B15,'Base stats'!B:B,'Base stats'!AI:AI)=0,OR(AN15&lt;0.55,AND(BG15="Intermediate",_xlfn.XLOOKUP('Base stats'!E15,Groups!A:A,Groups!B:B)&lt;2))), (18 + BP15 * 2.7),
      IF(OR(BG15="Advanced",_xlfn.XLOOKUP(B15,'Base stats'!B:B,'Base stats'!AI:AI)=1,_xlfn.XLOOKUP('Base stats'!E15,Groups!A:A,Groups!B:B)=2), (18 + BP15 * 2.7) + 250, (18 + BP15 * 2.7))
    )
  ))
  + AN15 * 80
  + IF(COUNTIF(EggMilk!K$2:K$998, A15) &gt; 0, 125, 0)
  + IF(COUNTIF(EggMilk!P$2:P$998, A15) &gt; 0, 90, 0)
  + IF(COUNTIF(EggMilk!A$2:A$998, A15) &gt; 0, 90, 0)
)
* (0.8 + 0.4 * I15)
* 0.75,25)</f>
        <v>325</v>
      </c>
      <c r="H15" s="2">
        <f>MROUND(ROUNDDOWN(_xlfn.XLOOKUP(B15,'Base stats'!B:B,'Base stats'!L:L)/3.6/(23.3/11),1),0.5)</f>
        <v>6.5</v>
      </c>
      <c r="I15" s="2">
        <f>IF(_xlfn.XLOOKUP(B15,'Base stats'!B:B,'Base stats'!AI:AI)=1,0.99,MIN(MROUND((1-0.6282*EXP(-0.459*AN15))*_xlfn.XLOOKUP(_xlfn.XLOOKUP(B15,'Base stats'!B:B,'Base stats'!E:E),Groups!A:A,Groups!C:C)*IF(_xlfn.XLOOKUP(B15,'Base stats'!B:B,'Base stats'!O:O)=1,0.5,IF(_xlfn.XLOOKUP(B15,'Base stats'!B:B,'Base stats'!O:O)=2,0,1)),0.05),0.985))</f>
        <v>0</v>
      </c>
      <c r="J15" s="2">
        <f>ROUNDUP(AN15*_xlfn.XLOOKUP(_xlfn.XLOOKUP(B15,'Base stats'!B:B,'Base stats'!E:E),Groups!A:A,Groups!E:E),0)</f>
        <v>1</v>
      </c>
      <c r="K15" s="2">
        <f>IF(OR(_xlfn.XLOOKUP(_xlfn.XLOOKUP(B15,'Base stats'!B:B,'Base stats'!E:E),Groups!A:A,Groups!F:F)=2,ISNUMBER(SEARCH("SeaIce",BV15)),ISNUMBER(SEARCH("IceSheet",BV15))),-50,IF(OR(ISNUMBER(SEARCH("GlacialPlain",BV15)),ISNUMBER(SEARCH("Tundra",BV15))),-40,IF(OR(ISNUMBER(SEARCH("Alpine",BV15)),ISNUMBER(SEARCH("BorealForest",BV15)),ISNUMBER(SEARCH("ColdBog",BV15))),-30,IF(OR(ISNUMBER(SEARCH("TemperateForest",BV15)),ISNUMBER(SEARCH("TemperateSwamp",BV15))),-20,IF(_xlfn.XLOOKUP(_xlfn.XLOOKUP(B15,'Base stats'!B:B,'Base stats'!E:E),Groups!A:A,Groups!F:F)=1,-15,IF(OR(ISNUMBER(SEARCH("Desert",BV15)),ISNUMBER(SEARCH("ExtremeDesert",BV15))),-10,IF(OR(ISNUMBER(SEARCH("Grasslands",BV15)),ISNUMBER(SEARCH("TropicalRainforest",BV15)),ISNUMBER(SEARCH("TropicalSwamp",BV15))),10,0)))))))-IF(CA15="False",MIN(IFERROR(MAX(MROUND(LOG10(_xlfn.XLOOKUP(B15,'Base stats'!B:B,'Base stats'!C:C)^(2/3))*10,5),5),5),30))-_xlfn.XLOOKUP(B15,'Base stats'!B:B,'Base stats'!P:P)+IF(CA15="True",5,0)</f>
        <v>-25</v>
      </c>
      <c r="L15" s="2">
        <f>IF(OR(_xlfn.XLOOKUP(_xlfn.XLOOKUP(B15,'Base stats'!B:B,'Base stats'!E:E),Groups!A:A,Groups!G:G)=2,ISNUMBER(SEARCH("Desert",BV15)),ISNUMBER(SEARCH("ExtremeDesert",BV15)),ISNUMBER(SEARCH("LavaField",BV15))),50,IF(ISNUMBER(SEARCH("Grasslands",BV15)),45,IF(OR(_xlfn.XLOOKUP(_xlfn.XLOOKUP(B15,'Base stats'!B:B,'Base stats'!E:E),Groups!A:A,Groups!G:G)=1,ISNUMBER(SEARCH("TropicalRainforest",BV15)),ISNUMBER(SEARCH("TropicalSwamp",BV15))),40,IF(OR(ISNUMBER(SEARCH("TemperateForest",BV15)),ISNUMBER(SEARCH("TemperateSwamp",BV15))),35,IF(OR(ISNUMBER(SEARCH("Alpine",BV15)),ISNUMBER(SEARCH("BorealForest",BV15)),ISNUMBER(SEARCH("ColdBog",BV15))),30,IF(ISNUMBER(OR(ISNUMBER(SEARCH("GlacialPlain",BV15)),SEARCH("Tundra",BV15))),25,IF(OR(ISNUMBER(SEARCH("SeaIce",BV15)),ISNUMBER(SEARCH("IceSheet",BV15)),ISNUMBER(SEARCH("TropicalSwamp",BV15))),10,35)))))))+_xlfn.XLOOKUP(B15,'Base stats'!B:B,'Base stats'!Q:Q)</f>
        <v>35</v>
      </c>
      <c r="M15" s="8" t="str">
        <f>IF(_xlfn.XLOOKUP(_xlfn.XLOOKUP(B15,'Base stats'!B:B,'Base stats'!E:E),Groups!A:A,Groups!L:L)=1,MIN(MROUND(_xlfn.XLOOKUP(B15,'Animals CE'!B:B,'Animals CE'!Z:Z)/2+0.05,0.05),200%),"No")</f>
        <v>No</v>
      </c>
      <c r="N15" s="8" t="str">
        <f>IF(_xlfn.XLOOKUP(_xlfn.XLOOKUP(B15,'Base stats'!B:B,'Base stats'!E:E),Groups!A:A,Groups!L:L)=1,MIN(MROUND(_xlfn.XLOOKUP(B15,'Animals CE'!B:B,'Animals CE'!AA:AA)/2+0.05,0.05),200%),"No")</f>
        <v>No</v>
      </c>
      <c r="O15" s="2" t="str">
        <f>_xlfn.XLOOKUP(B15,'Base stats'!B:B,'Base stats'!R:R)</f>
        <v>Standard</v>
      </c>
      <c r="P15" s="13">
        <f>MROUND((LOG10(_xlfn.XLOOKUP(B15,'Base stats'!B:B,'Base stats'!AO:AO))*(AN15^0.5)+(_xlfn.XLOOKUP(B15,'Base stats'!B:B,'Base stats'!AO:AO)/1000)^(2/3)+_xlfn.XLOOKUP(B15,'Base stats'!B:B,'Base stats'!AX:AX)/2)+0.5,0.5)</f>
        <v>5.5</v>
      </c>
      <c r="Q15" s="7">
        <f>IF(P15="No","No",MAX(1,MROUND(_xlfn.XLOOKUP(B15,'Base stats'!B:B,'Base stats'!C:C)^0.165,0.05)))</f>
        <v>1.75</v>
      </c>
      <c r="R15" s="13" t="str">
        <f>IF(_xlfn.XLOOKUP(_xlfn.XLOOKUP(B15,'Base stats'!B:B,'Base stats'!E:E),Groups!A:A,Groups!P:P)=0,"No",MROUND((LOG10(_xlfn.XLOOKUP(B15,'Base stats'!B:B,'Base stats'!AP:AP))*(AN15^0.5)+(_xlfn.XLOOKUP(B15,'Base stats'!B:B,'Base stats'!AP:AP)/1000)^(2/3)+_xlfn.XLOOKUP(B15,'Base stats'!B:B,'Base stats'!AX:AX))+_xlfn.XLOOKUP(B15,'Base stats'!B:B,'Base stats'!AV:AV)+0.5,0.5))</f>
        <v>No</v>
      </c>
      <c r="S15" s="7" t="str">
        <f>IF(R15="No","No",MAX(_xlfn.XLOOKUP(_xlfn.XLOOKUP(B15,'Base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T15" s="7" t="str">
        <f>IF(R15="No","No",_xlfn.XLOOKUP(_xlfn.XLOOKUP(B15,'Base stats'!B:B,'Base stats'!E:E),Groups!A:A,Groups!R:R))</f>
        <v>No</v>
      </c>
      <c r="U15" s="7" t="str">
        <f>IF(R15="No","No",_xlfn.XLOOKUP(_xlfn.XLOOKUP(B15,'Base stats'!B:B,'Base stats'!E:E),Groups!A:A,Groups!S:S))</f>
        <v>No</v>
      </c>
      <c r="V15" s="7" t="str">
        <f>IF(R15="No","No",_xlfn.XLOOKUP(_xlfn.XLOOKUP(B15,'Base stats'!B:B,'Base stats'!E:E),Groups!A:A,Groups!T:T))</f>
        <v>No</v>
      </c>
      <c r="W15" s="13" t="str">
        <f>IF(_xlfn.XLOOKUP(B15,'Base stats'!B:B,'Base stats'!W:W)="No","No",MROUND((LOG10(_xlfn.XLOOKUP(B15,'Base stats'!B:B,'Base stats'!AR:AR))*(AN15^0.5)+(_xlfn.XLOOKUP(B15,'Base stats'!B:B,'Base stats'!AR:AR)/1000)^(2/3)+_xlfn.XLOOKUP(B15,'Base stats'!B:B,'Base stats'!AW:AW))+0.5+IF(_xlfn.XLOOKUP(_xlfn.XLOOKUP(B15,'Base stats'!B:B,'Base stats'!E:E),Groups!A:A,Groups!U:U)&lt;&gt;3,_xlfn.XLOOKUP(B15,'Base stats'!B:B,'Base stats'!AX:AX),0),0.5))</f>
        <v>No</v>
      </c>
      <c r="X15" s="7" t="str">
        <f>IF(W15="No","No",MAX(_xlfn.XLOOKUP(_xlfn.XLOOKUP(B15,'Base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Y15" s="7" t="str">
        <f>IF(W15="No","No",_xlfn.XLOOKUP(_xlfn.XLOOKUP(B15,'Base stats'!B:B,'Base stats'!E:E),Groups!A:A,Groups!W:W))</f>
        <v>No</v>
      </c>
      <c r="Z15" s="7" t="str">
        <f>IF(W15="No","No",_xlfn.XLOOKUP(_xlfn.XLOOKUP(B15,'Base stats'!B:B,'Base stats'!E:E),Groups!A:A,Groups!X:X))</f>
        <v>No</v>
      </c>
      <c r="AA15" s="7" t="str">
        <f>IF(W15="No","No",_xlfn.XLOOKUP(_xlfn.XLOOKUP(B15,'Base stats'!B:B,'Base stats'!E:E),Groups!A:A,Groups!Y:Y))</f>
        <v>No</v>
      </c>
      <c r="AB15" s="7" t="str">
        <f>_xlfn.XLOOKUP(Animals!B15,'Base stats'!B:B,'Base stats'!X:X)</f>
        <v>False</v>
      </c>
      <c r="AC15" s="13">
        <f>IF(_xlfn.XLOOKUP(B15,'Base stats'!B:B,'Base stats'!AQ:AQ)="No","No",MROUND((LOG10(_xlfn.XLOOKUP(B15,'Base stats'!B:B,'Base stats'!AQ:AQ))*(AN15^0.75)+(_xlfn.XLOOKUP(B15,'Base stats'!B:B,'Base stats'!AQ:AQ)/1000)^(2/3)+_xlfn.XLOOKUP(B15,'Base stats'!B:B,'Base stats'!AU:AU)+_xlfn.XLOOKUP(B15,'Base stats'!B:B,'Base stats'!AX:AX))+0.5,0.5))</f>
        <v>9.5</v>
      </c>
      <c r="AD15" s="7">
        <f>IF(AC15="No","No",MAX(_xlfn.XLOOKUP(_xlfn.XLOOKUP(B15,'Base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E15" s="7" t="str">
        <f>IF(AC15="No","No",_xlfn.XLOOKUP(_xlfn.XLOOKUP(B15,'Base stats'!B:B,'Base stats'!E:E),Groups!A:A,Groups!AA:AA))</f>
        <v>Teeth</v>
      </c>
      <c r="AF15" s="7" t="str">
        <f>IF(AC15="No","No",_xlfn.XLOOKUP(_xlfn.XLOOKUP(B15,'Base stats'!B:B,'Base stats'!E:E),Groups!A:A,Groups!AB:AB))</f>
        <v>canines</v>
      </c>
      <c r="AG15" s="7" t="str">
        <f>IF(AC15="No","No",_xlfn.XLOOKUP(_xlfn.XLOOKUP(B15,'Base stats'!B:B,'Base stats'!E:E),Groups!A:A,Groups!AC:AC))</f>
        <v>Bite</v>
      </c>
      <c r="AH15" s="13" t="str">
        <f>IF(_xlfn.XLOOKUP(_xlfn.XLOOKUP(B15,'Base stats'!B:B,'Base stats'!E:E),Groups!A:A,Groups!AD:AD)=0,"No",MROUND((LOG10(_xlfn.XLOOKUP(B15,'Base stats'!B:B,'Base stats'!AP:AP))*(AN15^0.75)+(_xlfn.XLOOKUP(B15,'Base stats'!B:B,'Base stats'!AP:AP)/1000)^(2/3)+_xlfn.XLOOKUP(B15,'Base stats'!B:B,'Base stats'!AV:AV)+_xlfn.XLOOKUP(B15,'Base stats'!B:B,'Base stats'!AX:AX))+0.5,0.5))</f>
        <v>No</v>
      </c>
      <c r="AI15" s="7" t="str">
        <f>IF(AH15="No","No",MAX(_xlfn.XLOOKUP(_xlfn.XLOOKUP(B15,'Base stats'!B:B,'Base stats'!E:E),Groups!A:A,Groups!AE:AE),MROUND(_xlfn.XLOOKUP(_xlfn.XLOOKUP(B15,'Base stats'!B:B,'Base stats'!E:E),Groups!A:A,Groups!AE:AE)*_xlfn.XLOOKUP(B15,'Base stats'!B:B,'Base stats'!C:C)^0.165,0.05)))</f>
        <v>No</v>
      </c>
      <c r="AJ15" s="7" t="str">
        <f>IF(AH15="No","No",_xlfn.XLOOKUP(_xlfn.XLOOKUP(B15,'Base stats'!B:B,'Base stats'!E:E),Groups!A:A,Groups!AF:AF))</f>
        <v>No</v>
      </c>
      <c r="AK15" s="7" t="str">
        <f>IF(AH15="No","No",_xlfn.XLOOKUP(_xlfn.XLOOKUP(B15,'Base stats'!B:B,'Base stats'!E:E),Groups!A:A,Groups!AG:AG))</f>
        <v>No</v>
      </c>
      <c r="AL15" s="7" t="str">
        <f>IF(AH15="No","No",_xlfn.XLOOKUP(_xlfn.XLOOKUP(B15,'Base stats'!B:B,'Base stats'!E:E),Groups!A:A,Groups!AH:AH))</f>
        <v>No</v>
      </c>
      <c r="AM15" s="2">
        <f t="shared" si="0"/>
        <v>20</v>
      </c>
      <c r="AN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O15" s="8">
        <f>MROUND(AN15*_xlfn.XLOOKUP(_xlfn.XLOOKUP(B15,'Base stats'!B:B,'Base stats'!E:E),Groups!A:A,Groups!AI:AI),0.05)</f>
        <v>0.85000000000000009</v>
      </c>
      <c r="AP15" s="8">
        <f>MAX(0.01,MROUND(IF(CA15="True",0.196*(AN15*100*1000)^0.889,IF(_xlfn.XLOOKUP(_xlfn.XLOOKUP(B15,'Base stats'!B:B,'Base stats'!E:E),Groups!A:A,Groups!AJ:AJ)="Bird",10.5*(AN15*100*1000)^0.681,4.82*(AN15*100*1000)^0.734))/(4.82*(1*100*1000)^0.734)/IF(AN15&lt;3.5,2,IF(AN15=3.5,1.5,1.25))*(1+0.132282374779864/(AN15^0.994035016789033+0.00905238001496948)),0.05))</f>
        <v>0.45</v>
      </c>
      <c r="AQ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R15" s="35">
        <f>IFERROR(IF(_xlfn.XLOOKUP(B15,'Base stats'!B:B,'Base stats'!F:F)="Lay eggs","Lay eggs",MIN(20,MAX(5.5,ROUND(((_xlfn.XLOOKUP(B15,'Base stats'!B:B,'Base stats'!F:F)-25)*(14.5/615) + 5.5)*2,0)/2))),"Cannot breed")</f>
        <v>6.5</v>
      </c>
      <c r="AS15" s="8">
        <f>IF(OR(A15="Queen",A15="Larva"),"No",IFERROR(MAX(IF(_xlfn.XLOOKUP(B15,'Base stats'!B:B,'Base stats'!G:G)&lt;0.5,0.2,0.3),MROUND(_xlfn.XLOOKUP(B15,'Base stats'!B:B,'Base stats'!G:G)/(365/60),0.2)),"Unknown"))</f>
        <v>0.3</v>
      </c>
      <c r="AT15" s="8">
        <f t="shared" si="1"/>
        <v>0.15000000000000002</v>
      </c>
      <c r="AU15" s="8">
        <f>IFERROR(IFERROR(MROUND(_xlfn.XLOOKUP(B15,'Base stats'!B:B,'Base stats'!J:J),0.1),"Lay eggs"),"Cannot breed")</f>
        <v>6</v>
      </c>
      <c r="AV15" s="2" t="str">
        <f t="shared" si="2"/>
        <v>true</v>
      </c>
      <c r="AW15" s="2" t="str">
        <f>IF(_xlfn.XLOOKUP(_xlfn.XLOOKUP(Animals!B15,'Base stats'!B:B,'Base stats'!E:E),Groups!A:A,Groups!AK:AK)=1,"true","false")</f>
        <v>false</v>
      </c>
      <c r="AX15" s="25" t="str">
        <f>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</f>
        <v>OmnivoreAnimal, OvivoreAnimal</v>
      </c>
      <c r="AY15" s="2" t="str">
        <f>IF(_xlfn.XLOOKUP(_xlfn.XLOOKUP(B15,'Base stats'!B:B,'Base stats'!E:E),Groups!A:A,Groups!D:D)=1,MROUND((1-I15)*5+1,2)*IF(I15&lt;=0.4,2,1),"No")</f>
        <v>No</v>
      </c>
      <c r="AZ15" s="2" t="str">
        <f>_xlfn.XLOOKUP(B15,'Base stats'!B:B,'Base stats'!AE:AE)</f>
        <v>Leather_Dog</v>
      </c>
      <c r="BA15" s="23" t="str">
        <f>_xlfn.XLOOKUP(_xlfn.XLOOKUP(B15,'Base stats'!B:B,'Base stats'!E:E),Groups!A:A,Groups!AL:AL)</f>
        <v>QuadrupedAnimalWithPawsAndTail</v>
      </c>
      <c r="BB15" s="23">
        <f>MROUND(IF(AND(AN15&lt;0.5,_xlfn.XLOOKUP(B15,'Base stats'!B:B,'Base stats'!Z:Z)=0),0,IF(OR(_xlfn.XLOOKUP(Animals!B15,'Base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stats'!AA:AA),0.005)</f>
        <v>0</v>
      </c>
      <c r="BC15" s="23">
        <f>MROUND(IF(AND(AN15&lt;0.5,_xlfn.XLOOKUP(B15,'Base stats'!B:B,'Base stats'!Z:Z)=0),0,IF(_xlfn.XLOOKUP(_xlfn.XLOOKUP(B15,'Base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stats'!AB:AB),0.005)</f>
        <v>0.1</v>
      </c>
      <c r="BD15" s="2">
        <f>IF(I15&gt;0.3,"No",_xlfn.XLOOKUP(_xlfn.XLOOKUP(Animals!B15,'Base stats'!B:B,'Base stats'!E:E),Groups!A:A,Groups!AP:AP))</f>
        <v>1</v>
      </c>
      <c r="BE15" s="2">
        <f>IF(AND(I15&lt;=0.65,_xlfn.XLOOKUP(_xlfn.XLOOKUP(Animals!B15,'Base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stats'!O:O)=2,0.2,AN15) + 24*(1-IF(BD15="No",0,BD15)) + 16/3, 12),"No")</f>
        <v>12</v>
      </c>
      <c r="BF15" s="2">
        <f>IF(AND(_xlfn.XLOOKUP(_xlfn.XLOOKUP(B15,'Base stats'!B:B,'Base stats'!E:E),Groups!A:A,Groups!AQ:AQ)=1,AN15&lt;=0.35),8,12)</f>
        <v>12</v>
      </c>
      <c r="BG15" s="2" t="str">
        <f>IF(_xlfn.XLOOKUP(_xlfn.XLOOKUP(B15,'Base stats'!B:B,'Base stats'!E:E),Groups!A:A,Groups!D:D)=0,_xlfn.XLOOKUP(_xlfn.XLOOKUP(B15,'Base stats'!B:B,'Base stats'!E:E),Groups!A:A,Groups!AR:AR),"None")</f>
        <v>Advanced</v>
      </c>
      <c r="BH15" s="2" t="str">
        <f>IF(AND(_xlfn.XLOOKUP(_xlfn.XLOOKUP(B15,'Base stats'!B:B,'Base stats'!E:E),Groups!A:A,Groups!AS:AS)=1,OR('Base stats'!Y15="Carnivore",'Base stats'!Y15="Omnivore")),"true","false")</f>
        <v>true</v>
      </c>
      <c r="BI15" s="2">
        <f>IF(BH15="true",MROUND(IF(AND(AN15&gt;0.5,_xlfn.XLOOKUP(_xlfn.XLOOKUP(B15,'Base stats'!B:B,'Base stats'!E:E),Groups!A:A,Groups!AJ:AJ)="Mammal"),Animals!AN15*1.75*IF(AV15="true",1.5,1),Animals!AN15),IF(AN15&gt;2,0.5,IF(AN15&gt;0.5,0.25,0.1))),"No")</f>
        <v>1.75</v>
      </c>
      <c r="BJ15" s="2">
        <f t="shared" si="3"/>
        <v>1</v>
      </c>
      <c r="BK15" s="25" t="str">
        <f>IF('Base stats'!AK15="Standard","No",MROUND((_xlfn.XLOOKUP(B15,'Base stats'!B:B,'Base stats'!AK:AK)/3.6)/H15,0.1))</f>
        <v>No</v>
      </c>
      <c r="BL15" s="25" t="str">
        <f t="shared" si="4"/>
        <v>false</v>
      </c>
      <c r="BM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N15" s="25" t="str" cm="1">
        <f t="array" ref="BN15">IF(
  _xlfn.TEXTJOIN(", ",TRUE,
    IF(AND(BH15="true",AN15&gt;0.5,BG15&lt;&gt;"None"),"AttackTarget",""),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IF(BE15&lt;=36,"Comfort",""),
    IF(_xlfn.XLOOKUP(B15,'Base stats'!B:B,'Base stats'!AC:AC)&lt;&gt;"No",_xlfn.XLOOKUP(B15,'Base stats'!B:B,'Base stats'!AC:AC),"")
  ) = "",
  "No",
  _xlfn.TEXTJOIN(", ",TRUE,
    IF(AND(BH15="true",AN15&gt;0.5,BG15&lt;&gt;"None"),"AttackTarget",""),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IF(BE15&lt;=36,"Comfort",""),
    IF(_xlfn.XLOOKUP(B15,'Base stats'!B:B,'Base stats'!AC:AC)&lt;&gt;"No",_xlfn.XLOOKUP(B15,'Base stats'!B:B,'Base stats'!AC:AC),"")
  )
)</f>
        <v>AttackTarget, Forage, Comfort</v>
      </c>
      <c r="BO15" s="25" t="str">
        <f>IF(
   AND(
      'Base stats'!AK15="Standard",_xlfn.XLOOKUP(_xlfn.XLOOKUP(B15,'Base stats'!B:B,'Base stats'!E:E),Groups!A:A,Groups!AU:AU)=0,
      OR(
      BM15="True"
      )
   ),
   10,
   IF(
       OR(BK15&lt;&gt;"No",_xlfn.XLOOKUP(_xlfn.XLOOKUP(B15,'Base stats'!B:B,'Base stats'!E:E),Groups!A:A,Groups!AU:AU)=1),
      1,
      "No"
   )
)</f>
        <v>No</v>
      </c>
      <c r="BP15" s="9">
        <f>MROUND((1 + ((0.2*IF(OR(P15="No",Q15="No",Q15=0),0,P15/Q15)
+IF(OR(U15="No",R15="No",S15="No"),0,R15/S15*(LEN(U15)-LEN(SUBSTITUTE(U15,",",""))+1))
+IF(OR(W15="No",X15="No"),0,W15/X15)
+IF(OR(AC15="No",AD15="No"),0,AC15/AD15)
+IF(OR(AK15="No",AH15="No",AI15="No"),0,AH15/AI15*(LEN(AK15)-LEN(SUBSTITUTE(AK15,",",""))+1))
)/(0.2*IF(OR(P15="No",Q15="No",Q15=0),0,1)
+IF(OR(U15="No",R15="No",S15="No"),0,LEN(U15)-LEN(SUBSTITUTE(U15,",",""))+1)
+IF(OR(W15="No",X15="No"),0,1)
+IF(OR(AC15="No",AD15="No"),0,1)
+IF(OR(AK15="No",AH15="No",AI15="No"),0,LEN(AK15)-LEN(SUBSTITUTE(AK15,",",""))+1))*62%)* 2)*(1 + (AO15 + _xlfn.XLOOKUP(B15,'Base stats'!B:B,'Base stats'!AS:AS) * 1.8) * 2) * 2.5 + 10 + H15 * 2,5)+IF(_xlfn.XLOOKUP(B15,'Base stats'!B:B,'Base stats'!AH:AH)=1,50,0)</f>
        <v>80</v>
      </c>
      <c r="BQ15" s="8">
        <f t="shared" si="5"/>
        <v>0.5</v>
      </c>
      <c r="BR15" s="8" t="str">
        <f>_xlfn.XLOOKUP(B15,'Base stats'!B:B,'Base stats'!AD:AD)</f>
        <v>2~6</v>
      </c>
      <c r="BS15" s="2" t="str">
        <f>IF(AND(I15&lt;=0.95,OR(_xlfn.XLOOKUP(B15,'Base stats'!B:B,'Base stats'!AH:AH)=1,_xlfn.XLOOKUP(B15,'Base stats'!B:B,'Base stats'!Y:Y)="Carnivore",_xlfn.XLOOKUP(B15,'Base stats'!B:B,'Base stats'!Y:Y)="Omnivore",BC15&gt;0.1)),"true","false")</f>
        <v>true</v>
      </c>
      <c r="BT15" s="2" t="str">
        <f>IF(_xlfn.XLOOKUP(B15,'Base stats'!B:B,'Base stats'!AF:AF)=1,"true","false")</f>
        <v>false</v>
      </c>
      <c r="BU15" s="25" t="str">
        <f>IF(E15="BaseInsect","AnimalInsect",
IF(I15&gt;0.95,"AnimalExotic",
_xlfn.TEXTJOIN(", ",TRUE,
IF(AND(_xlfn.XLOOKUP(B15,'Base stats'!B:B,'Base stats'!O:O)=0,_xlfn.XLOOKUP(_xlfn.XLOOKUP(B15,'Base stats'!B:B,'Base stats'!E:E),Groups!A:A,Groups!B:B)&gt;0),"AnimalUncommon","AnimalCommon"),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stats'!AH:AH)=1,AND(BG15&lt;&gt;"None",BP15&gt;=60),ISNUMBER(SEARCH("Attack target",BN15))),"AnimalFighter","")
)))</f>
        <v>AnimalCommon, AnimalPet, AnimalFighter</v>
      </c>
      <c r="BV15" s="25" t="str">
        <f>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</f>
        <v/>
      </c>
      <c r="BW15" s="25" t="str">
        <f>IF(_xlfn.XLOOKUP(B15,'Base stats'!B:B,'Base stats'!AG:AG)=1,"true","false")</f>
        <v>false</v>
      </c>
      <c r="BX15" s="25">
        <f>IF(_xlfn.XLOOKUP(B15,'Base stats'!B:B,'Base stats'!N:N)=1,"No",MIN(MROUND(IF(OR(_xlfn.XLOOKUP(B15,'Base stats'!B:B,'Base stats'!AJ:AJ)=1,AND(BH15="True",CA15="False")),POWER(10,3.47*LOG10(_xlfn.XLOOKUP(B15,'Base stats'!B:B,'Base stats'!C:C)*1000)^-0.96),POWER(10,4.15*LOG10(_xlfn.XLOOKUP(B15,'Base stats'!B:B,'Base stats'!C:C)*1000)^-0.73))*IF(OR(_xlfn.XLOOKUP(B15,'Base stats'!B:B,'Base stats'!AJ:AJ)=1,_xlfn.XLOOKUP(B15,'Base stats'!B:B,'Base stats'!AH:AH)=1),0.5,1)/100,0.025),1))</f>
        <v>7.5000000000000011E-2</v>
      </c>
      <c r="BY15" s="25" t="str">
        <f>IF(O15="Standard","No",IF(_xlfn.XLOOKUP(B15,'Base stats'!B:B,'Base stats'!N:N)=0,MROUND(BX15*O15,0.05),MIN(1,MAX(0.025,MROUND(IF(OR(CA15="true",AND(BH15="false",BM15="false")),POWER(10,4.15*LOG10(_xlfn.XLOOKUP(B15,'Base stats'!B:B,'Base stats'!C:C)*1000)^-0.73),POWER(10,3.47*LOG10(_xlfn.XLOOKUP(B15,'Base stats'!B:B,'Base stats'!C:C)*1000)^-0.96))*IF(_xlfn.XLOOKUP(B15,'Base stats'!B:B,'Base stats'!AH:AH)=1,0.5,1)/100,0.025)))))</f>
        <v>No</v>
      </c>
      <c r="BZ15" s="25" t="str">
        <f>IF(_xlfn.XLOOKUP(_xlfn.XLOOKUP(B15,'Base stats'!B:B,'Base stats'!E:E),Groups!A:A,Groups!AJ:AJ)="Mammal","True","False")</f>
        <v>True</v>
      </c>
      <c r="CA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B15" s="25" t="str">
        <f t="shared" si="6"/>
        <v>False</v>
      </c>
      <c r="CC15" s="25" t="str">
        <f>IF(_xlfn.XLOOKUP(_xlfn.XLOOKUP(B15,'Base stats'!B:B,'Base stats'!E:E),Groups!A:A,Groups!AW:AW),"True","False")</f>
        <v>False</v>
      </c>
      <c r="CD15" s="25" t="str">
        <f>IF(_xlfn.XLOOKUP(_xlfn.XLOOKUP(B15,'Base stats'!B:B,'Base stats'!E:E),Groups!A:A,Groups!AX:AX),"True","False")</f>
        <v>False</v>
      </c>
      <c r="CE15" s="25" t="str">
        <f>IF(_xlfn.XLOOKUP(B15,'Base stats'!B:B,'Base stats'!E:E)=1,"True","False")</f>
        <v>False</v>
      </c>
      <c r="CF15" s="25" t="str">
        <f>IF(
OR(
_xlfn.XLOOKUP(_xlfn.XLOOKUP(B15,'Base stats'!B:B,'Base stats'!E:E),Groups!A:A,Groups!AY:AY)=0,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stats'!E:E),Groups!A:A,Groups!AY:AY)=1,
"Flesh",
IF(
_xlfn.XLOOKUP(_xlfn.XLOOKUP(B15,'Base stats'!B:B,'Base stats'!E:E),Groups!A:A,Groups!AY:AY)=2,
"Bone",
""
)
)
)</f>
        <v>No</v>
      </c>
      <c r="CG15" s="25" t="str">
        <f>IF(_xlfn.XLOOKUP(_xlfn.XLOOKUP(B15,'Base stats'!B:B,'Base stats'!E:E),Groups!A:A,Groups!BA:BA),"True","False")</f>
        <v>True</v>
      </c>
      <c r="CH15" s="25" t="str">
        <f>IF(_xlfn.XLOOKUP(_xlfn.XLOOKUP(B15,'Base stats'!B:B,'Base stats'!E:E),Groups!A:A,Groups!AZ:AZ),"True","False")</f>
        <v>False</v>
      </c>
      <c r="CM15" s="16"/>
    </row>
    <row r="16" spans="1:91" ht="16.5" thickTop="1" thickBot="1" x14ac:dyDescent="0.3">
      <c r="A16" s="26" t="str">
        <f>_xlfn.XLOOKUP(B16,'Base stats'!B:B,'Base stats'!A:A)</f>
        <v>Husky</v>
      </c>
      <c r="B16" s="6" t="s">
        <v>888</v>
      </c>
      <c r="C16" s="28" t="s">
        <v>699</v>
      </c>
      <c r="D16" s="28" t="s">
        <v>45</v>
      </c>
      <c r="E16" s="28" t="s">
        <v>685</v>
      </c>
      <c r="F16" s="28" t="s">
        <v>685</v>
      </c>
      <c r="G16" s="2">
        <f>MROUND((
  (IF(AND(_xlfn.XLOOKUP(B16,'Base stats'!B:B,'Base stats'!AI:AI)=0,BG16="None",_xlfn.XLOOKUP('Base stats'!E16,Groups!A:A,Groups!B:B)=0), (18 + BP16 * 2.7) * 0.5,
    IF(AND(_xlfn.XLOOKUP(B16,'Base stats'!B:B,'Base stats'!AI:AI)=0,OR(AN16&lt;0.55,AND(BG16="Intermediate",_xlfn.XLOOKUP('Base stats'!E16,Groups!A:A,Groups!B:B)&lt;2))), (18 + BP16 * 2.7),
      IF(OR(BG16="Advanced",_xlfn.XLOOKUP(B16,'Base stats'!B:B,'Base stats'!AI:AI)=1,_xlfn.XLOOKUP('Base stats'!E16,Groups!A:A,Groups!B:B)=2), (18 + BP16 * 2.7) + 250, (18 + BP16 * 2.7))
    )
  ))
  + AN16 * 80
  + IF(COUNTIF(EggMilk!K$2:K$998, A16) &gt; 0, 125, 0)
  + IF(COUNTIF(EggMilk!P$2:P$998, A16) &gt; 0, 90, 0)
  + IF(COUNTIF(EggMilk!A$2:A$998, A16) &gt; 0, 90, 0)
)
* (0.8 + 0.4 * I16)
* 0.75,25)</f>
        <v>325</v>
      </c>
      <c r="H16" s="2">
        <f>MROUND(ROUNDDOWN(_xlfn.XLOOKUP(B16,'Base stats'!B:B,'Base stats'!L:L)/3.6/(23.3/11),1),0.5)</f>
        <v>6.5</v>
      </c>
      <c r="I16" s="2">
        <f>IF(_xlfn.XLOOKUP(B16,'Base stats'!B:B,'Base stats'!AI:AI)=1,0.99,MIN(MROUND((1-0.6282*EXP(-0.459*AN16))*_xlfn.XLOOKUP(_xlfn.XLOOKUP(B16,'Base stats'!B:B,'Base stats'!E:E),Groups!A:A,Groups!C:C)*IF(_xlfn.XLOOKUP(B16,'Base stats'!B:B,'Base stats'!O:O)=1,0.5,IF(_xlfn.XLOOKUP(B16,'Base stats'!B:B,'Base stats'!O:O)=2,0,1)),0.05),0.985))</f>
        <v>0</v>
      </c>
      <c r="J16" s="2">
        <f>ROUNDUP(AN16*_xlfn.XLOOKUP(_xlfn.XLOOKUP(B16,'Base stats'!B:B,'Base stats'!E:E),Groups!A:A,Groups!E:E),0)</f>
        <v>1</v>
      </c>
      <c r="K16" s="2">
        <f>IF(OR(_xlfn.XLOOKUP(_xlfn.XLOOKUP(B16,'Base stats'!B:B,'Base stats'!E:E),Groups!A:A,Groups!F:F)=2,ISNUMBER(SEARCH("SeaIce",BV16)),ISNUMBER(SEARCH("IceSheet",BV16))),-50,IF(OR(ISNUMBER(SEARCH("GlacialPlain",BV16)),ISNUMBER(SEARCH("Tundra",BV16))),-40,IF(OR(ISNUMBER(SEARCH("Alpine",BV16)),ISNUMBER(SEARCH("BorealForest",BV16)),ISNUMBER(SEARCH("ColdBog",BV16))),-30,IF(OR(ISNUMBER(SEARCH("TemperateForest",BV16)),ISNUMBER(SEARCH("TemperateSwamp",BV16))),-20,IF(_xlfn.XLOOKUP(_xlfn.XLOOKUP(B16,'Base stats'!B:B,'Base stats'!E:E),Groups!A:A,Groups!F:F)=1,-15,IF(OR(ISNUMBER(SEARCH("Desert",BV16)),ISNUMBER(SEARCH("ExtremeDesert",BV16))),-10,IF(OR(ISNUMBER(SEARCH("Grasslands",BV16)),ISNUMBER(SEARCH("TropicalRainforest",BV16)),ISNUMBER(SEARCH("TropicalSwamp",BV16))),10,0)))))))-IF(CA16="False",MIN(IFERROR(MAX(MROUND(LOG10(_xlfn.XLOOKUP(B16,'Base stats'!B:B,'Base stats'!C:C)^(2/3))*10,5),5),5),30))-_xlfn.XLOOKUP(B16,'Base stats'!B:B,'Base stats'!P:P)+IF(CA16="True",5,0)</f>
        <v>-45</v>
      </c>
      <c r="L16" s="2">
        <f>IF(OR(_xlfn.XLOOKUP(_xlfn.XLOOKUP(B16,'Base stats'!B:B,'Base stats'!E:E),Groups!A:A,Groups!G:G)=2,ISNUMBER(SEARCH("Desert",BV16)),ISNUMBER(SEARCH("ExtremeDesert",BV16)),ISNUMBER(SEARCH("LavaField",BV16))),50,IF(ISNUMBER(SEARCH("Grasslands",BV16)),45,IF(OR(_xlfn.XLOOKUP(_xlfn.XLOOKUP(B16,'Base stats'!B:B,'Base stats'!E:E),Groups!A:A,Groups!G:G)=1,ISNUMBER(SEARCH("TropicalRainforest",BV16)),ISNUMBER(SEARCH("TropicalSwamp",BV16))),40,IF(OR(ISNUMBER(SEARCH("TemperateForest",BV16)),ISNUMBER(SEARCH("TemperateSwamp",BV16))),35,IF(OR(ISNUMBER(SEARCH("Alpine",BV16)),ISNUMBER(SEARCH("BorealForest",BV16)),ISNUMBER(SEARCH("ColdBog",BV16))),30,IF(ISNUMBER(OR(ISNUMBER(SEARCH("GlacialPlain",BV16)),SEARCH("Tundra",BV16))),25,IF(OR(ISNUMBER(SEARCH("SeaIce",BV16)),ISNUMBER(SEARCH("IceSheet",BV16)),ISNUMBER(SEARCH("TropicalSwamp",BV16))),10,35)))))))+_xlfn.XLOOKUP(B16,'Base stats'!B:B,'Base stats'!Q:Q)</f>
        <v>35</v>
      </c>
      <c r="M16" s="8" t="str">
        <f>IF(_xlfn.XLOOKUP(_xlfn.XLOOKUP(B16,'Base stats'!B:B,'Base stats'!E:E),Groups!A:A,Groups!L:L)=1,MIN(MROUND(_xlfn.XLOOKUP(B16,'Animals CE'!B:B,'Animals CE'!Z:Z)/2+0.05,0.05),200%),"No")</f>
        <v>No</v>
      </c>
      <c r="N16" s="8" t="str">
        <f>IF(_xlfn.XLOOKUP(_xlfn.XLOOKUP(B16,'Base stats'!B:B,'Base stats'!E:E),Groups!A:A,Groups!L:L)=1,MIN(MROUND(_xlfn.XLOOKUP(B16,'Animals CE'!B:B,'Animals CE'!AA:AA)/2+0.05,0.05),200%),"No")</f>
        <v>No</v>
      </c>
      <c r="O16" s="2" t="str">
        <f>_xlfn.XLOOKUP(B16,'Base stats'!B:B,'Base stats'!R:R)</f>
        <v>Standard</v>
      </c>
      <c r="P16" s="13">
        <f>MROUND((LOG10(_xlfn.XLOOKUP(B16,'Base stats'!B:B,'Base stats'!AO:AO))*(AN16^0.5)+(_xlfn.XLOOKUP(B16,'Base stats'!B:B,'Base stats'!AO:AO)/1000)^(2/3)+_xlfn.XLOOKUP(B16,'Base stats'!B:B,'Base stats'!AX:AX)/2)+0.5,0.5)</f>
        <v>5.5</v>
      </c>
      <c r="Q16" s="7">
        <f>IF(P16="No","No",MAX(1,MROUND(_xlfn.XLOOKUP(B16,'Base stats'!B:B,'Base stats'!C:C)^0.165,0.05)))</f>
        <v>1.8</v>
      </c>
      <c r="R16" s="13" t="str">
        <f>IF(_xlfn.XLOOKUP(_xlfn.XLOOKUP(B16,'Base stats'!B:B,'Base stats'!E:E),Groups!A:A,Groups!P:P)=0,"No",MROUND((LOG10(_xlfn.XLOOKUP(B16,'Base stats'!B:B,'Base stats'!AP:AP))*(AN16^0.5)+(_xlfn.XLOOKUP(B16,'Base stats'!B:B,'Base stats'!AP:AP)/1000)^(2/3)+_xlfn.XLOOKUP(B16,'Base stats'!B:B,'Base stats'!AX:AX))+_xlfn.XLOOKUP(B16,'Base stats'!B:B,'Base stats'!AV:AV)+0.5,0.5))</f>
        <v>No</v>
      </c>
      <c r="S16" s="7" t="str">
        <f>IF(R16="No","No",MAX(_xlfn.XLOOKUP(_xlfn.XLOOKUP(B16,'Base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T16" s="7" t="str">
        <f>IF(R16="No","No",_xlfn.XLOOKUP(_xlfn.XLOOKUP(B16,'Base stats'!B:B,'Base stats'!E:E),Groups!A:A,Groups!R:R))</f>
        <v>No</v>
      </c>
      <c r="U16" s="7" t="str">
        <f>IF(R16="No","No",_xlfn.XLOOKUP(_xlfn.XLOOKUP(B16,'Base stats'!B:B,'Base stats'!E:E),Groups!A:A,Groups!S:S))</f>
        <v>No</v>
      </c>
      <c r="V16" s="7" t="str">
        <f>IF(R16="No","No",_xlfn.XLOOKUP(_xlfn.XLOOKUP(B16,'Base stats'!B:B,'Base stats'!E:E),Groups!A:A,Groups!T:T))</f>
        <v>No</v>
      </c>
      <c r="W16" s="13" t="str">
        <f>IF(_xlfn.XLOOKUP(B16,'Base stats'!B:B,'Base stats'!W:W)="No","No",MROUND((LOG10(_xlfn.XLOOKUP(B16,'Base stats'!B:B,'Base stats'!AR:AR))*(AN16^0.5)+(_xlfn.XLOOKUP(B16,'Base stats'!B:B,'Base stats'!AR:AR)/1000)^(2/3)+_xlfn.XLOOKUP(B16,'Base stats'!B:B,'Base stats'!AW:AW))+0.5+IF(_xlfn.XLOOKUP(_xlfn.XLOOKUP(B16,'Base stats'!B:B,'Base stats'!E:E),Groups!A:A,Groups!U:U)&lt;&gt;3,_xlfn.XLOOKUP(B16,'Base stats'!B:B,'Base stats'!AX:AX),0),0.5))</f>
        <v>No</v>
      </c>
      <c r="X16" s="7" t="str">
        <f>IF(W16="No","No",MAX(_xlfn.XLOOKUP(_xlfn.XLOOKUP(B16,'Base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Y16" s="7" t="str">
        <f>IF(W16="No","No",_xlfn.XLOOKUP(_xlfn.XLOOKUP(B16,'Base stats'!B:B,'Base stats'!E:E),Groups!A:A,Groups!W:W))</f>
        <v>No</v>
      </c>
      <c r="Z16" s="7" t="str">
        <f>IF(W16="No","No",_xlfn.XLOOKUP(_xlfn.XLOOKUP(B16,'Base stats'!B:B,'Base stats'!E:E),Groups!A:A,Groups!X:X))</f>
        <v>No</v>
      </c>
      <c r="AA16" s="7" t="str">
        <f>IF(W16="No","No",_xlfn.XLOOKUP(_xlfn.XLOOKUP(B16,'Base stats'!B:B,'Base stats'!E:E),Groups!A:A,Groups!Y:Y))</f>
        <v>No</v>
      </c>
      <c r="AB16" s="7" t="str">
        <f>_xlfn.XLOOKUP(Animals!B16,'Base stats'!B:B,'Base stats'!X:X)</f>
        <v>False</v>
      </c>
      <c r="AC16" s="13">
        <f>IF(_xlfn.XLOOKUP(B16,'Base stats'!B:B,'Base stats'!AQ:AQ)="No","No",MROUND((LOG10(_xlfn.XLOOKUP(B16,'Base stats'!B:B,'Base stats'!AQ:AQ))*(AN16^0.75)+(_xlfn.XLOOKUP(B16,'Base stats'!B:B,'Base stats'!AQ:AQ)/1000)^(2/3)+_xlfn.XLOOKUP(B16,'Base stats'!B:B,'Base stats'!AU:AU)+_xlfn.XLOOKUP(B16,'Base stats'!B:B,'Base stats'!AX:AX))+0.5,0.5))</f>
        <v>10</v>
      </c>
      <c r="AD16" s="7">
        <f>IF(AC16="No","No",MAX(_xlfn.XLOOKUP(_xlfn.XLOOKUP(B16,'Base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E16" s="7" t="str">
        <f>IF(AC16="No","No",_xlfn.XLOOKUP(_xlfn.XLOOKUP(B16,'Base stats'!B:B,'Base stats'!E:E),Groups!A:A,Groups!AA:AA))</f>
        <v>Teeth</v>
      </c>
      <c r="AF16" s="7" t="str">
        <f>IF(AC16="No","No",_xlfn.XLOOKUP(_xlfn.XLOOKUP(B16,'Base stats'!B:B,'Base stats'!E:E),Groups!A:A,Groups!AB:AB))</f>
        <v>canines</v>
      </c>
      <c r="AG16" s="7" t="str">
        <f>IF(AC16="No","No",_xlfn.XLOOKUP(_xlfn.XLOOKUP(B16,'Base stats'!B:B,'Base stats'!E:E),Groups!A:A,Groups!AC:AC))</f>
        <v>Bite</v>
      </c>
      <c r="AH16" s="13" t="str">
        <f>IF(_xlfn.XLOOKUP(_xlfn.XLOOKUP(B16,'Base stats'!B:B,'Base stats'!E:E),Groups!A:A,Groups!AD:AD)=0,"No",MROUND((LOG10(_xlfn.XLOOKUP(B16,'Base stats'!B:B,'Base stats'!AP:AP))*(AN16^0.75)+(_xlfn.XLOOKUP(B16,'Base stats'!B:B,'Base stats'!AP:AP)/1000)^(2/3)+_xlfn.XLOOKUP(B16,'Base stats'!B:B,'Base stats'!AV:AV)+_xlfn.XLOOKUP(B16,'Base stats'!B:B,'Base stats'!AX:AX))+0.5,0.5))</f>
        <v>No</v>
      </c>
      <c r="AI16" s="7" t="str">
        <f>IF(AH16="No","No",MAX(_xlfn.XLOOKUP(_xlfn.XLOOKUP(B16,'Base stats'!B:B,'Base stats'!E:E),Groups!A:A,Groups!AE:AE),MROUND(_xlfn.XLOOKUP(_xlfn.XLOOKUP(B16,'Base stats'!B:B,'Base stats'!E:E),Groups!A:A,Groups!AE:AE)*_xlfn.XLOOKUP(B16,'Base stats'!B:B,'Base stats'!C:C)^0.165,0.05)))</f>
        <v>No</v>
      </c>
      <c r="AJ16" s="7" t="str">
        <f>IF(AH16="No","No",_xlfn.XLOOKUP(_xlfn.XLOOKUP(B16,'Base stats'!B:B,'Base stats'!E:E),Groups!A:A,Groups!AF:AF))</f>
        <v>No</v>
      </c>
      <c r="AK16" s="7" t="str">
        <f>IF(AH16="No","No",_xlfn.XLOOKUP(_xlfn.XLOOKUP(B16,'Base stats'!B:B,'Base stats'!E:E),Groups!A:A,Groups!AG:AG))</f>
        <v>No</v>
      </c>
      <c r="AL16" s="7" t="str">
        <f>IF(AH16="No","No",_xlfn.XLOOKUP(_xlfn.XLOOKUP(B16,'Base stats'!B:B,'Base stats'!E:E),Groups!A:A,Groups!AH:AH))</f>
        <v>No</v>
      </c>
      <c r="AM16" s="2">
        <f t="shared" si="0"/>
        <v>20</v>
      </c>
      <c r="AN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O16" s="8">
        <f>MROUND(AN16*_xlfn.XLOOKUP(_xlfn.XLOOKUP(B16,'Base stats'!B:B,'Base stats'!E:E),Groups!A:A,Groups!AI:AI),0.05)</f>
        <v>0.9</v>
      </c>
      <c r="AP16" s="8">
        <f>MAX(0.01,MROUND(IF(CA16="True",0.196*(AN16*100*1000)^0.889,IF(_xlfn.XLOOKUP(_xlfn.XLOOKUP(B16,'Base stats'!B:B,'Base stats'!E:E),Groups!A:A,Groups!AJ:AJ)="Bird",10.5*(AN16*100*1000)^0.681,4.82*(AN16*100*1000)^0.734))/(4.82*(1*100*1000)^0.734)/IF(AN16&lt;3.5,2,IF(AN16=3.5,1.5,1.25))*(1+0.132282374779864/(AN16^0.994035016789033+0.00905238001496948)),0.05))</f>
        <v>0.5</v>
      </c>
      <c r="AQ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R16" s="35">
        <f>IFERROR(IF(_xlfn.XLOOKUP(B16,'Base stats'!B:B,'Base stats'!F:F)="Lay eggs","Lay eggs",MIN(20,MAX(5.5,ROUND(((_xlfn.XLOOKUP(B16,'Base stats'!B:B,'Base stats'!F:F)-25)*(14.5/615) + 5.5)*2,0)/2))),"Cannot breed")</f>
        <v>6.5</v>
      </c>
      <c r="AS16" s="8">
        <f>IF(OR(A16="Queen",A16="Larva"),"No",IFERROR(MAX(IF(_xlfn.XLOOKUP(B16,'Base stats'!B:B,'Base stats'!G:G)&lt;0.5,0.2,0.3),MROUND(_xlfn.XLOOKUP(B16,'Base stats'!B:B,'Base stats'!G:G)/(365/60),0.2)),"Unknown"))</f>
        <v>0.3</v>
      </c>
      <c r="AT16" s="8">
        <f t="shared" si="1"/>
        <v>0.15000000000000002</v>
      </c>
      <c r="AU16" s="8">
        <f>IFERROR(IFERROR(MROUND(_xlfn.XLOOKUP(B16,'Base stats'!B:B,'Base stats'!J:J),0.1),"Lay eggs"),"Cannot breed")</f>
        <v>6</v>
      </c>
      <c r="AV16" s="2" t="str">
        <f t="shared" si="2"/>
        <v>true</v>
      </c>
      <c r="AW16" s="2" t="str">
        <f>IF(_xlfn.XLOOKUP(_xlfn.XLOOKUP(Animals!B16,'Base stats'!B:B,'Base stats'!E:E),Groups!A:A,Groups!AK:AK)=1,"true","false")</f>
        <v>false</v>
      </c>
      <c r="AX16" s="25" t="str">
        <f>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</f>
        <v>OmnivoreAnimal, OvivoreAnimal</v>
      </c>
      <c r="AY16" s="2" t="str">
        <f>IF(_xlfn.XLOOKUP(_xlfn.XLOOKUP(B16,'Base stats'!B:B,'Base stats'!E:E),Groups!A:A,Groups!D:D)=1,MROUND((1-I16)*5+1,2)*IF(I16&lt;=0.4,2,1),"No")</f>
        <v>No</v>
      </c>
      <c r="AZ16" s="2" t="str">
        <f>_xlfn.XLOOKUP(B16,'Base stats'!B:B,'Base stats'!AE:AE)</f>
        <v>Leather_Dog</v>
      </c>
      <c r="BA16" s="23" t="str">
        <f>_xlfn.XLOOKUP(_xlfn.XLOOKUP(B16,'Base stats'!B:B,'Base stats'!E:E),Groups!A:A,Groups!AL:AL)</f>
        <v>QuadrupedAnimalWithPawsAndTail</v>
      </c>
      <c r="BB16" s="23">
        <f>MROUND(IF(AND(AN16&lt;0.5,_xlfn.XLOOKUP(B16,'Base stats'!B:B,'Base stats'!Z:Z)=0),0,IF(OR(_xlfn.XLOOKUP(Animals!B16,'Base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stats'!AA:AA),0.005)</f>
        <v>0</v>
      </c>
      <c r="BC16" s="23">
        <f>MROUND(IF(AND(AN16&lt;0.5,_xlfn.XLOOKUP(B16,'Base stats'!B:B,'Base stats'!Z:Z)=0),0,IF(_xlfn.XLOOKUP(_xlfn.XLOOKUP(B16,'Base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stats'!AB:AB),0.005)</f>
        <v>0.1</v>
      </c>
      <c r="BD16" s="2">
        <f>IF(I16&gt;0.3,"No",_xlfn.XLOOKUP(_xlfn.XLOOKUP(Animals!B16,'Base stats'!B:B,'Base stats'!E:E),Groups!A:A,Groups!AP:AP))</f>
        <v>1</v>
      </c>
      <c r="BE16" s="2">
        <f>IF(AND(I16&lt;=0.65,_xlfn.XLOOKUP(_xlfn.XLOOKUP(Animals!B16,'Base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stats'!O:O)=2,0.2,AN16) + 24*(1-IF(BD16="No",0,BD16)) + 16/3, 12),"No")</f>
        <v>12</v>
      </c>
      <c r="BF16" s="2">
        <f>IF(AND(_xlfn.XLOOKUP(_xlfn.XLOOKUP(B16,'Base stats'!B:B,'Base stats'!E:E),Groups!A:A,Groups!AQ:AQ)=1,AN16&lt;=0.35),8,12)</f>
        <v>12</v>
      </c>
      <c r="BG16" s="2" t="str">
        <f>IF(_xlfn.XLOOKUP(_xlfn.XLOOKUP(B16,'Base stats'!B:B,'Base stats'!E:E),Groups!A:A,Groups!D:D)=0,_xlfn.XLOOKUP(_xlfn.XLOOKUP(B16,'Base stats'!B:B,'Base stats'!E:E),Groups!A:A,Groups!AR:AR),"None")</f>
        <v>Advanced</v>
      </c>
      <c r="BH16" s="2" t="str">
        <f>IF(AND(_xlfn.XLOOKUP(_xlfn.XLOOKUP(B16,'Base stats'!B:B,'Base stats'!E:E),Groups!A:A,Groups!AS:AS)=1,OR('Base stats'!Y16="Carnivore",'Base stats'!Y16="Omnivore")),"true","false")</f>
        <v>true</v>
      </c>
      <c r="BI16" s="2">
        <f>IF(BH16="true",MROUND(IF(AND(AN16&gt;0.5,_xlfn.XLOOKUP(_xlfn.XLOOKUP(B16,'Base stats'!B:B,'Base stats'!E:E),Groups!A:A,Groups!AJ:AJ)="Mammal"),Animals!AN16*1.75*IF(AV16="true",1.5,1),Animals!AN16),IF(AN16&gt;2,0.5,IF(AN16&gt;0.5,0.25,0.1))),"No")</f>
        <v>2</v>
      </c>
      <c r="BJ16" s="2">
        <f t="shared" si="3"/>
        <v>1</v>
      </c>
      <c r="BK16" s="25" t="str">
        <f>IF('Base stats'!AK16="Standard","No",MROUND((_xlfn.XLOOKUP(B16,'Base stats'!B:B,'Base stats'!AK:AK)/3.6)/H16,0.1))</f>
        <v>No</v>
      </c>
      <c r="BL16" s="25" t="str">
        <f t="shared" si="4"/>
        <v>false</v>
      </c>
      <c r="BM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N16" s="25" t="str" cm="1">
        <f t="array" ref="BN16">IF(
  _xlfn.TEXTJOIN(", ",TRUE,
    IF(AND(BH16="true",AN16&gt;0.5,BG16&lt;&gt;"None"),"AttackTarget",""),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IF(BE16&lt;=36,"Comfort",""),
    IF(_xlfn.XLOOKUP(B16,'Base stats'!B:B,'Base stats'!AC:AC)&lt;&gt;"No",_xlfn.XLOOKUP(B16,'Base stats'!B:B,'Base stats'!AC:AC),"")
  ) = "",
  "No",
  _xlfn.TEXTJOIN(", ",TRUE,
    IF(AND(BH16="true",AN16&gt;0.5,BG16&lt;&gt;"None"),"AttackTarget",""),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IF(BE16&lt;=36,"Comfort",""),
    IF(_xlfn.XLOOKUP(B16,'Base stats'!B:B,'Base stats'!AC:AC)&lt;&gt;"No",_xlfn.XLOOKUP(B16,'Base stats'!B:B,'Base stats'!AC:AC),"")
  )
)</f>
        <v>AttackTarget, Forage, Comfort</v>
      </c>
      <c r="BO16" s="25" t="str">
        <f>IF(
   AND(
      'Base stats'!AK16="Standard",_xlfn.XLOOKUP(_xlfn.XLOOKUP(B16,'Base stats'!B:B,'Base stats'!E:E),Groups!A:A,Groups!AU:AU)=0,
      OR(
      BM16="True"
      )
   ),
   10,
   IF(
       OR(BK16&lt;&gt;"No",_xlfn.XLOOKUP(_xlfn.XLOOKUP(B16,'Base stats'!B:B,'Base stats'!E:E),Groups!A:A,Groups!AU:AU)=1),
      1,
      "No"
   )
)</f>
        <v>No</v>
      </c>
      <c r="BP16" s="9">
        <f>MROUND((1 + ((0.2*IF(OR(P16="No",Q16="No",Q16=0),0,P16/Q16)
+IF(OR(U16="No",R16="No",S16="No"),0,R16/S16*(LEN(U16)-LEN(SUBSTITUTE(U16,",",""))+1))
+IF(OR(W16="No",X16="No"),0,W16/X16)
+IF(OR(AC16="No",AD16="No"),0,AC16/AD16)
+IF(OR(AK16="No",AH16="No",AI16="No"),0,AH16/AI16*(LEN(AK16)-LEN(SUBSTITUTE(AK16,",",""))+1))
)/(0.2*IF(OR(P16="No",Q16="No",Q16=0),0,1)
+IF(OR(U16="No",R16="No",S16="No"),0,LEN(U16)-LEN(SUBSTITUTE(U16,",",""))+1)
+IF(OR(W16="No",X16="No"),0,1)
+IF(OR(AC16="No",AD16="No"),0,1)
+IF(OR(AK16="No",AH16="No",AI16="No"),0,LEN(AK16)-LEN(SUBSTITUTE(AK16,",",""))+1))*62%)* 2)*(1 + (AO16 + _xlfn.XLOOKUP(B16,'Base stats'!B:B,'Base stats'!AS:AS) * 1.8) * 2) * 2.5 + 10 + H16 * 2,5)+IF(_xlfn.XLOOKUP(B16,'Base stats'!B:B,'Base stats'!AH:AH)=1,50,0)</f>
        <v>85</v>
      </c>
      <c r="BQ16" s="8">
        <f t="shared" si="5"/>
        <v>0.55000000000000004</v>
      </c>
      <c r="BR16" s="8" t="str">
        <f>_xlfn.XLOOKUP(B16,'Base stats'!B:B,'Base stats'!AD:AD)</f>
        <v>2~6</v>
      </c>
      <c r="BS16" s="2" t="str">
        <f>IF(AND(I16&lt;=0.95,OR(_xlfn.XLOOKUP(B16,'Base stats'!B:B,'Base stats'!AH:AH)=1,_xlfn.XLOOKUP(B16,'Base stats'!B:B,'Base stats'!Y:Y)="Carnivore",_xlfn.XLOOKUP(B16,'Base stats'!B:B,'Base stats'!Y:Y)="Omnivore",BC16&gt;0.1)),"true","false")</f>
        <v>true</v>
      </c>
      <c r="BT16" s="2" t="str">
        <f>IF(_xlfn.XLOOKUP(B16,'Base stats'!B:B,'Base stats'!AF:AF)=1,"true","false")</f>
        <v>false</v>
      </c>
      <c r="BU16" s="25" t="str">
        <f>IF(E16="BaseInsect","AnimalInsect",
IF(I16&gt;0.95,"AnimalExotic",
_xlfn.TEXTJOIN(", ",TRUE,
IF(AND(_xlfn.XLOOKUP(B16,'Base stats'!B:B,'Base stats'!O:O)=0,_xlfn.XLOOKUP(_xlfn.XLOOKUP(B16,'Base stats'!B:B,'Base stats'!E:E),Groups!A:A,Groups!B:B)&gt;0),"AnimalUncommon","AnimalCommon"),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stats'!AH:AH)=1,AND(BG16&lt;&gt;"None",BP16&gt;=60),ISNUMBER(SEARCH("Attack target",BN16))),"AnimalFighter","")
)))</f>
        <v>AnimalCommon, AnimalPet, AnimalFighter</v>
      </c>
      <c r="BV16" s="25" t="str">
        <f>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</f>
        <v/>
      </c>
      <c r="BW16" s="25" t="str">
        <f>IF(_xlfn.XLOOKUP(B16,'Base stats'!B:B,'Base stats'!AG:AG)=1,"true","false")</f>
        <v>false</v>
      </c>
      <c r="BX16" s="25">
        <f>IF(_xlfn.XLOOKUP(B16,'Base stats'!B:B,'Base stats'!N:N)=1,"No",MIN(MROUND(IF(OR(_xlfn.XLOOKUP(B16,'Base stats'!B:B,'Base stats'!AJ:AJ)=1,AND(BH16="True",CA16="False")),POWER(10,3.47*LOG10(_xlfn.XLOOKUP(B16,'Base stats'!B:B,'Base stats'!C:C)*1000)^-0.96),POWER(10,4.15*LOG10(_xlfn.XLOOKUP(B16,'Base stats'!B:B,'Base stats'!C:C)*1000)^-0.73))*IF(OR(_xlfn.XLOOKUP(B16,'Base stats'!B:B,'Base stats'!AJ:AJ)=1,_xlfn.XLOOKUP(B16,'Base stats'!B:B,'Base stats'!AH:AH)=1),0.5,1)/100,0.025),1))</f>
        <v>7.5000000000000011E-2</v>
      </c>
      <c r="BY16" s="25" t="str">
        <f>IF(O16="Standard","No",IF(_xlfn.XLOOKUP(B16,'Base stats'!B:B,'Base stats'!N:N)=0,MROUND(BX16*O16,0.05),MIN(1,MAX(0.025,MROUND(IF(OR(CA16="true",AND(BH16="false",BM16="false")),POWER(10,4.15*LOG10(_xlfn.XLOOKUP(B16,'Base stats'!B:B,'Base stats'!C:C)*1000)^-0.73),POWER(10,3.47*LOG10(_xlfn.XLOOKUP(B16,'Base stats'!B:B,'Base stats'!C:C)*1000)^-0.96))*IF(_xlfn.XLOOKUP(B16,'Base stats'!B:B,'Base stats'!AH:AH)=1,0.5,1)/100,0.025)))))</f>
        <v>No</v>
      </c>
      <c r="BZ16" s="25" t="str">
        <f>IF(_xlfn.XLOOKUP(_xlfn.XLOOKUP(B16,'Base stats'!B:B,'Base stats'!E:E),Groups!A:A,Groups!AJ:AJ)="Mammal","True","False")</f>
        <v>True</v>
      </c>
      <c r="CA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B16" s="25" t="str">
        <f t="shared" si="6"/>
        <v>False</v>
      </c>
      <c r="CC16" s="25" t="str">
        <f>IF(_xlfn.XLOOKUP(_xlfn.XLOOKUP(B16,'Base stats'!B:B,'Base stats'!E:E),Groups!A:A,Groups!AW:AW),"True","False")</f>
        <v>False</v>
      </c>
      <c r="CD16" s="25" t="str">
        <f>IF(_xlfn.XLOOKUP(_xlfn.XLOOKUP(B16,'Base stats'!B:B,'Base stats'!E:E),Groups!A:A,Groups!AX:AX),"True","False")</f>
        <v>False</v>
      </c>
      <c r="CE16" s="25" t="str">
        <f>IF(_xlfn.XLOOKUP(B16,'Base stats'!B:B,'Base stats'!E:E)=1,"True","False")</f>
        <v>False</v>
      </c>
      <c r="CF16" s="25" t="str">
        <f>IF(
OR(
_xlfn.XLOOKUP(_xlfn.XLOOKUP(B16,'Base stats'!B:B,'Base stats'!E:E),Groups!A:A,Groups!AY:AY)=0,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stats'!E:E),Groups!A:A,Groups!AY:AY)=1,
"Flesh",
IF(
_xlfn.XLOOKUP(_xlfn.XLOOKUP(B16,'Base stats'!B:B,'Base stats'!E:E),Groups!A:A,Groups!AY:AY)=2,
"Bone",
""
)
)
)</f>
        <v>No</v>
      </c>
      <c r="CG16" s="25" t="str">
        <f>IF(_xlfn.XLOOKUP(_xlfn.XLOOKUP(B16,'Base stats'!B:B,'Base stats'!E:E),Groups!A:A,Groups!BA:BA),"True","False")</f>
        <v>True</v>
      </c>
      <c r="CH16" s="25" t="str">
        <f>IF(_xlfn.XLOOKUP(_xlfn.XLOOKUP(B16,'Base stats'!B:B,'Base stats'!E:E),Groups!A:A,Groups!AZ:AZ),"True","False")</f>
        <v>False</v>
      </c>
      <c r="CM16" s="16"/>
    </row>
    <row r="17" spans="1:91" ht="16.5" thickTop="1" thickBot="1" x14ac:dyDescent="0.3">
      <c r="A17" s="26" t="str">
        <f>_xlfn.XLOOKUP(B17,'Base stats'!B:B,'Base stats'!A:A)</f>
        <v>Cougar</v>
      </c>
      <c r="B17" s="6" t="s">
        <v>81</v>
      </c>
      <c r="C17" s="28" t="s">
        <v>700</v>
      </c>
      <c r="D17" s="28" t="s">
        <v>45</v>
      </c>
      <c r="E17" s="28" t="s">
        <v>701</v>
      </c>
      <c r="F17" s="28" t="s">
        <v>702</v>
      </c>
      <c r="G17" s="2">
        <f>MROUND((
  (IF(AND(_xlfn.XLOOKUP(B17,'Base stats'!B:B,'Base stats'!AI:AI)=0,BG17="None",_xlfn.XLOOKUP('Base stats'!E17,Groups!A:A,Groups!B:B)=0), (18 + BP17 * 2.7) * 0.5,
    IF(AND(_xlfn.XLOOKUP(B17,'Base stats'!B:B,'Base stats'!AI:AI)=0,OR(AN17&lt;0.55,AND(BG17="Intermediate",_xlfn.XLOOKUP('Base stats'!E17,Groups!A:A,Groups!B:B)&lt;2))), (18 + BP17 * 2.7),
      IF(OR(BG17="Advanced",_xlfn.XLOOKUP(B17,'Base stats'!B:B,'Base stats'!AI:AI)=1,_xlfn.XLOOKUP('Base stats'!E17,Groups!A:A,Groups!B:B)=2), (18 + BP17 * 2.7) + 250, (18 + BP17 * 2.7))
    )
  ))
  + AN17 * 80
  + IF(COUNTIF(EggMilk!K$2:K$998, A17) &gt; 0, 125, 0)
  + IF(COUNTIF(EggMilk!P$2:P$998, A17) &gt; 0, 90, 0)
  + IF(COUNTIF(EggMilk!A$2:A$998, A17) &gt; 0, 90, 0)
)
* (0.8 + 0.4 * I17)
* 0.75,25)</f>
        <v>550</v>
      </c>
      <c r="H17" s="2">
        <f>MROUND(ROUNDDOWN(_xlfn.XLOOKUP(B17,'Base stats'!B:B,'Base stats'!L:L)/3.6/(23.3/11),1),0.5)</f>
        <v>8</v>
      </c>
      <c r="I17" s="2">
        <f>IF(_xlfn.XLOOKUP(B17,'Base stats'!B:B,'Base stats'!AI:AI)=1,0.99,MIN(MROUND((1-0.6282*EXP(-0.459*AN17))*_xlfn.XLOOKUP(_xlfn.XLOOKUP(B17,'Base stats'!B:B,'Base stats'!E:E),Groups!A:A,Groups!C:C)*IF(_xlfn.XLOOKUP(B17,'Base stats'!B:B,'Base stats'!O:O)=1,0.5,IF(_xlfn.XLOOKUP(B17,'Base stats'!B:B,'Base stats'!O:O)=2,0,1)),0.05),0.985))</f>
        <v>0.75</v>
      </c>
      <c r="J17" s="2">
        <f>ROUNDUP(AN17*_xlfn.XLOOKUP(_xlfn.XLOOKUP(B17,'Base stats'!B:B,'Base stats'!E:E),Groups!A:A,Groups!E:E),0)</f>
        <v>1</v>
      </c>
      <c r="K17" s="2">
        <f>IF(OR(_xlfn.XLOOKUP(_xlfn.XLOOKUP(B17,'Base stats'!B:B,'Base stats'!E:E),Groups!A:A,Groups!F:F)=2,ISNUMBER(SEARCH("SeaIce",BV17)),ISNUMBER(SEARCH("IceSheet",BV17))),-50,IF(OR(ISNUMBER(SEARCH("GlacialPlain",BV17)),ISNUMBER(SEARCH("Tundra",BV17))),-40,IF(OR(ISNUMBER(SEARCH("Alpine",BV17)),ISNUMBER(SEARCH("BorealForest",BV17)),ISNUMBER(SEARCH("ColdBog",BV17))),-30,IF(OR(ISNUMBER(SEARCH("TemperateForest",BV17)),ISNUMBER(SEARCH("TemperateSwamp",BV17))),-20,IF(_xlfn.XLOOKUP(_xlfn.XLOOKUP(B17,'Base stats'!B:B,'Base stats'!E:E),Groups!A:A,Groups!F:F)=1,-15,IF(OR(ISNUMBER(SEARCH("Desert",BV17)),ISNUMBER(SEARCH("ExtremeDesert",BV17))),-10,IF(OR(ISNUMBER(SEARCH("Grasslands",BV17)),ISNUMBER(SEARCH("TropicalRainforest",BV17)),ISNUMBER(SEARCH("TropicalSwamp",BV17))),10,0)))))))-IF(CA17="False",MIN(IFERROR(MAX(MROUND(LOG10(_xlfn.XLOOKUP(B17,'Base stats'!B:B,'Base stats'!C:C)^(2/3))*10,5),5),5),30))-_xlfn.XLOOKUP(B17,'Base stats'!B:B,'Base stats'!P:P)+IF(CA17="True",5,0)</f>
        <v>-50</v>
      </c>
      <c r="L17" s="2">
        <f>IF(OR(_xlfn.XLOOKUP(_xlfn.XLOOKUP(B17,'Base stats'!B:B,'Base stats'!E:E),Groups!A:A,Groups!G:G)=2,ISNUMBER(SEARCH("Desert",BV17)),ISNUMBER(SEARCH("ExtremeDesert",BV17)),ISNUMBER(SEARCH("LavaField",BV17))),50,IF(ISNUMBER(SEARCH("Grasslands",BV17)),45,IF(OR(_xlfn.XLOOKUP(_xlfn.XLOOKUP(B17,'Base stats'!B:B,'Base stats'!E:E),Groups!A:A,Groups!G:G)=1,ISNUMBER(SEARCH("TropicalRainforest",BV17)),ISNUMBER(SEARCH("TropicalSwamp",BV17))),40,IF(OR(ISNUMBER(SEARCH("TemperateForest",BV17)),ISNUMBER(SEARCH("TemperateSwamp",BV17))),35,IF(OR(ISNUMBER(SEARCH("Alpine",BV17)),ISNUMBER(SEARCH("BorealForest",BV17)),ISNUMBER(SEARCH("ColdBog",BV17))),30,IF(ISNUMBER(OR(ISNUMBER(SEARCH("GlacialPlain",BV17)),SEARCH("Tundra",BV17))),25,IF(OR(ISNUMBER(SEARCH("SeaIce",BV17)),ISNUMBER(SEARCH("IceSheet",BV17)),ISNUMBER(SEARCH("TropicalSwamp",BV17))),10,35)))))))+_xlfn.XLOOKUP(B17,'Base stats'!B:B,'Base stats'!Q:Q)</f>
        <v>50</v>
      </c>
      <c r="M17" s="8" t="str">
        <f>IF(_xlfn.XLOOKUP(_xlfn.XLOOKUP(B17,'Base stats'!B:B,'Base stats'!E:E),Groups!A:A,Groups!L:L)=1,MIN(MROUND(_xlfn.XLOOKUP(B17,'Animals CE'!B:B,'Animals CE'!Z:Z)/2+0.05,0.05),200%),"No")</f>
        <v>No</v>
      </c>
      <c r="N17" s="8" t="str">
        <f>IF(_xlfn.XLOOKUP(_xlfn.XLOOKUP(B17,'Base stats'!B:B,'Base stats'!E:E),Groups!A:A,Groups!L:L)=1,MIN(MROUND(_xlfn.XLOOKUP(B17,'Animals CE'!B:B,'Animals CE'!AA:AA)/2+0.05,0.05),200%),"No")</f>
        <v>No</v>
      </c>
      <c r="O17" s="2" t="str">
        <f>_xlfn.XLOOKUP(B17,'Base stats'!B:B,'Base stats'!R:R)</f>
        <v>Standard</v>
      </c>
      <c r="P17" s="13">
        <f>MROUND((LOG10(_xlfn.XLOOKUP(B17,'Base stats'!B:B,'Base stats'!AO:AO))*(AN17^0.5)+(_xlfn.XLOOKUP(B17,'Base stats'!B:B,'Base stats'!AO:AO)/1000)^(2/3)+_xlfn.XLOOKUP(B17,'Base stats'!B:B,'Base stats'!AX:AX)/2)+0.5,0.5)</f>
        <v>7</v>
      </c>
      <c r="Q17" s="7">
        <f>IF(P17="No","No",MAX(1,MROUND(_xlfn.XLOOKUP(B17,'Base stats'!B:B,'Base stats'!C:C)^0.165,0.05)))</f>
        <v>2</v>
      </c>
      <c r="R17" s="13" t="str">
        <f>IF(_xlfn.XLOOKUP(_xlfn.XLOOKUP(B17,'Base stats'!B:B,'Base stats'!E:E),Groups!A:A,Groups!P:P)=0,"No",MROUND((LOG10(_xlfn.XLOOKUP(B17,'Base stats'!B:B,'Base stats'!AP:AP))*(AN17^0.5)+(_xlfn.XLOOKUP(B17,'Base stats'!B:B,'Base stats'!AP:AP)/1000)^(2/3)+_xlfn.XLOOKUP(B17,'Base stats'!B:B,'Base stats'!AX:AX))+_xlfn.XLOOKUP(B17,'Base stats'!B:B,'Base stats'!AV:AV)+0.5,0.5))</f>
        <v>No</v>
      </c>
      <c r="S17" s="7" t="str">
        <f>IF(R17="No","No",MAX(_xlfn.XLOOKUP(_xlfn.XLOOKUP(B17,'Base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T17" s="7" t="str">
        <f>IF(R17="No","No",_xlfn.XLOOKUP(_xlfn.XLOOKUP(B17,'Base stats'!B:B,'Base stats'!E:E),Groups!A:A,Groups!R:R))</f>
        <v>No</v>
      </c>
      <c r="U17" s="7" t="str">
        <f>IF(R17="No","No",_xlfn.XLOOKUP(_xlfn.XLOOKUP(B17,'Base stats'!B:B,'Base stats'!E:E),Groups!A:A,Groups!S:S))</f>
        <v>No</v>
      </c>
      <c r="V17" s="7" t="str">
        <f>IF(R17="No","No",_xlfn.XLOOKUP(_xlfn.XLOOKUP(B17,'Base stats'!B:B,'Base stats'!E:E),Groups!A:A,Groups!T:T))</f>
        <v>No</v>
      </c>
      <c r="W17" s="13" t="str">
        <f>IF(_xlfn.XLOOKUP(B17,'Base stats'!B:B,'Base stats'!W:W)="No","No",MROUND((LOG10(_xlfn.XLOOKUP(B17,'Base stats'!B:B,'Base stats'!AR:AR))*(AN17^0.5)+(_xlfn.XLOOKUP(B17,'Base stats'!B:B,'Base stats'!AR:AR)/1000)^(2/3)+_xlfn.XLOOKUP(B17,'Base stats'!B:B,'Base stats'!AW:AW))+0.5+IF(_xlfn.XLOOKUP(_xlfn.XLOOKUP(B17,'Base stats'!B:B,'Base stats'!E:E),Groups!A:A,Groups!U:U)&lt;&gt;3,_xlfn.XLOOKUP(B17,'Base stats'!B:B,'Base stats'!AX:AX),0),0.5))</f>
        <v>No</v>
      </c>
      <c r="X17" s="7" t="str">
        <f>IF(W17="No","No",MAX(_xlfn.XLOOKUP(_xlfn.XLOOKUP(B17,'Base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Y17" s="7" t="str">
        <f>IF(W17="No","No",_xlfn.XLOOKUP(_xlfn.XLOOKUP(B17,'Base stats'!B:B,'Base stats'!E:E),Groups!A:A,Groups!W:W))</f>
        <v>No</v>
      </c>
      <c r="Z17" s="7" t="str">
        <f>IF(W17="No","No",_xlfn.XLOOKUP(_xlfn.XLOOKUP(B17,'Base stats'!B:B,'Base stats'!E:E),Groups!A:A,Groups!X:X))</f>
        <v>No</v>
      </c>
      <c r="AA17" s="7" t="str">
        <f>IF(W17="No","No",_xlfn.XLOOKUP(_xlfn.XLOOKUP(B17,'Base stats'!B:B,'Base stats'!E:E),Groups!A:A,Groups!Y:Y))</f>
        <v>No</v>
      </c>
      <c r="AB17" s="7" t="str">
        <f>_xlfn.XLOOKUP(Animals!B17,'Base stats'!B:B,'Base stats'!X:X)</f>
        <v>False</v>
      </c>
      <c r="AC17" s="13">
        <f>IF(_xlfn.XLOOKUP(B17,'Base stats'!B:B,'Base stats'!AQ:AQ)="No","No",MROUND((LOG10(_xlfn.XLOOKUP(B17,'Base stats'!B:B,'Base stats'!AQ:AQ))*(AN17^0.75)+(_xlfn.XLOOKUP(B17,'Base stats'!B:B,'Base stats'!AQ:AQ)/1000)^(2/3)+_xlfn.XLOOKUP(B17,'Base stats'!B:B,'Base stats'!AU:AU)+_xlfn.XLOOKUP(B17,'Base stats'!B:B,'Base stats'!AX:AX))+0.5,0.5))</f>
        <v>12.5</v>
      </c>
      <c r="AD17" s="7">
        <f>IF(AC17="No","No",MAX(_xlfn.XLOOKUP(_xlfn.XLOOKUP(B17,'Base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E17" s="7" t="str">
        <f>IF(AC17="No","No",_xlfn.XLOOKUP(_xlfn.XLOOKUP(B17,'Base stats'!B:B,'Base stats'!E:E),Groups!A:A,Groups!AA:AA))</f>
        <v>Teeth</v>
      </c>
      <c r="AF17" s="7" t="str">
        <f>IF(AC17="No","No",_xlfn.XLOOKUP(_xlfn.XLOOKUP(B17,'Base stats'!B:B,'Base stats'!E:E),Groups!A:A,Groups!AB:AB))</f>
        <v>canines</v>
      </c>
      <c r="AG17" s="7" t="str">
        <f>IF(AC17="No","No",_xlfn.XLOOKUP(_xlfn.XLOOKUP(B17,'Base stats'!B:B,'Base stats'!E:E),Groups!A:A,Groups!AC:AC))</f>
        <v>Bite</v>
      </c>
      <c r="AH17" s="13">
        <f>IF(_xlfn.XLOOKUP(_xlfn.XLOOKUP(B17,'Base stats'!B:B,'Base stats'!E:E),Groups!A:A,Groups!AD:AD)=0,"No",MROUND((LOG10(_xlfn.XLOOKUP(B17,'Base stats'!B:B,'Base stats'!AP:AP))*(AN17^0.75)+(_xlfn.XLOOKUP(B17,'Base stats'!B:B,'Base stats'!AP:AP)/1000)^(2/3)+_xlfn.XLOOKUP(B17,'Base stats'!B:B,'Base stats'!AV:AV)+_xlfn.XLOOKUP(B17,'Base stats'!B:B,'Base stats'!AX:AX))+0.5,0.5))</f>
        <v>11</v>
      </c>
      <c r="AI17" s="7">
        <f>IF(AH17="No","No",MAX(_xlfn.XLOOKUP(_xlfn.XLOOKUP(B17,'Base stats'!B:B,'Base stats'!E:E),Groups!A:A,Groups!AE:AE),MROUND(_xlfn.XLOOKUP(_xlfn.XLOOKUP(B17,'Base stats'!B:B,'Base stats'!E:E),Groups!A:A,Groups!AE:AE)*_xlfn.XLOOKUP(B17,'Base stats'!B:B,'Base stats'!C:C)^0.165,0.05)))</f>
        <v>1.3</v>
      </c>
      <c r="AJ17" s="7" t="str">
        <f>IF(AH17="No","No",_xlfn.XLOOKUP(_xlfn.XLOOKUP(B17,'Base stats'!B:B,'Base stats'!E:E),Groups!A:A,Groups!AF:AF))</f>
        <v>FrontRightPaw, FrontRightPaw</v>
      </c>
      <c r="AK17" s="7" t="str">
        <f>IF(AH17="No","No",_xlfn.XLOOKUP(_xlfn.XLOOKUP(B17,'Base stats'!B:B,'Base stats'!E:E),Groups!A:A,Groups!AG:AG))</f>
        <v>left claw, right claw</v>
      </c>
      <c r="AL17" s="7" t="str">
        <f>IF(AH17="No","No",_xlfn.XLOOKUP(_xlfn.XLOOKUP(B17,'Base stats'!B:B,'Base stats'!E:E),Groups!A:A,Groups!AH:AH))</f>
        <v>Scratch</v>
      </c>
      <c r="AM17" s="2">
        <f t="shared" si="0"/>
        <v>20</v>
      </c>
      <c r="AN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O17" s="8">
        <f>MROUND(AN17*_xlfn.XLOOKUP(_xlfn.XLOOKUP(B17,'Base stats'!B:B,'Base stats'!E:E),Groups!A:A,Groups!AI:AI),0.05)</f>
        <v>1.1500000000000001</v>
      </c>
      <c r="AP17" s="8">
        <f>MAX(0.01,MROUND(IF(CA17="True",0.196*(AN17*100*1000)^0.889,IF(_xlfn.XLOOKUP(_xlfn.XLOOKUP(B17,'Base stats'!B:B,'Base stats'!E:E),Groups!A:A,Groups!AJ:AJ)="Bird",10.5*(AN17*100*1000)^0.681,4.82*(AN17*100*1000)^0.734))/(4.82*(1*100*1000)^0.734)/IF(AN17&lt;3.5,2,IF(AN17=3.5,1.5,1.25))*(1+0.132282374779864/(AN17^0.994035016789033+0.00905238001496948)),0.05))</f>
        <v>0.55000000000000004</v>
      </c>
      <c r="AQ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R17" s="35">
        <f>IFERROR(IF(_xlfn.XLOOKUP(B17,'Base stats'!B:B,'Base stats'!F:F)="Lay eggs","Lay eggs",MIN(20,MAX(5.5,ROUND(((_xlfn.XLOOKUP(B17,'Base stats'!B:B,'Base stats'!F:F)-25)*(14.5/615) + 5.5)*2,0)/2))),"Cannot breed")</f>
        <v>7</v>
      </c>
      <c r="AS17" s="8">
        <f>IF(OR(A17="Queen",A17="Larva"),"No",IFERROR(MAX(IF(_xlfn.XLOOKUP(B17,'Base stats'!B:B,'Base stats'!G:G)&lt;0.5,0.2,0.3),MROUND(_xlfn.XLOOKUP(B17,'Base stats'!B:B,'Base stats'!G:G)/(365/60),0.2)),"Unknown"))</f>
        <v>0.4</v>
      </c>
      <c r="AT17" s="8">
        <f t="shared" si="1"/>
        <v>0.2</v>
      </c>
      <c r="AU17" s="8">
        <f>IFERROR(IFERROR(MROUND(_xlfn.XLOOKUP(B17,'Base stats'!B:B,'Base stats'!J:J),0.1),"Lay eggs"),"Cannot breed")</f>
        <v>2.5</v>
      </c>
      <c r="AV17" s="2" t="str">
        <f t="shared" si="2"/>
        <v>false</v>
      </c>
      <c r="AW17" s="2" t="str">
        <f>IF(_xlfn.XLOOKUP(_xlfn.XLOOKUP(Animals!B17,'Base stats'!B:B,'Base stats'!E:E),Groups!A:A,Groups!AK:AK)=1,"true","false")</f>
        <v>false</v>
      </c>
      <c r="AX17" s="25" t="str">
        <f>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</f>
        <v>CarnivoreAnimal, OvivoreAnimal</v>
      </c>
      <c r="AY17" s="2" t="str">
        <f>IF(_xlfn.XLOOKUP(_xlfn.XLOOKUP(B17,'Base stats'!B:B,'Base stats'!E:E),Groups!A:A,Groups!D:D)=1,MROUND((1-I17)*5+1,2)*IF(I17&lt;=0.4,2,1),"No")</f>
        <v>No</v>
      </c>
      <c r="AZ17" s="2" t="str">
        <f>_xlfn.XLOOKUP(B17,'Base stats'!B:B,'Base stats'!AE:AE)</f>
        <v>Leather_Panthera</v>
      </c>
      <c r="BA17" s="23" t="str">
        <f>_xlfn.XLOOKUP(_xlfn.XLOOKUP(B17,'Base stats'!B:B,'Base stats'!E:E),Groups!A:A,Groups!AL:AL)</f>
        <v>QuadrupedAnimalWithPawsAndTail</v>
      </c>
      <c r="BB17" s="23">
        <f>MROUND(IF(AND(AN17&lt;0.5,_xlfn.XLOOKUP(B17,'Base stats'!B:B,'Base stats'!Z:Z)=0),0,IF(OR(_xlfn.XLOOKUP(Animals!B17,'Base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stats'!AA:AA),0.005)</f>
        <v>0.1</v>
      </c>
      <c r="BC17" s="23">
        <f>MROUND(IF(AND(AN17&lt;0.5,_xlfn.XLOOKUP(B17,'Base stats'!B:B,'Base stats'!Z:Z)=0),0,IF(_xlfn.XLOOKUP(_xlfn.XLOOKUP(B17,'Base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stats'!AB:AB),0.005)</f>
        <v>0.3</v>
      </c>
      <c r="BD17" s="2" t="str">
        <f>IF(I17&gt;0.3,"No",_xlfn.XLOOKUP(_xlfn.XLOOKUP(Animals!B17,'Base stats'!B:B,'Base stats'!E:E),Groups!A:A,Groups!AP:AP))</f>
        <v>No</v>
      </c>
      <c r="BE17" s="2" t="str">
        <f>IF(AND(I17&lt;=0.65,_xlfn.XLOOKUP(_xlfn.XLOOKUP(Animals!B17,'Base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stats'!O:O)=2,0.2,AN17) + 24*(1-IF(BD17="No",0,BD17)) + 16/3, 12),"No")</f>
        <v>No</v>
      </c>
      <c r="BF17" s="2">
        <f>IF(AND(_xlfn.XLOOKUP(_xlfn.XLOOKUP(B17,'Base stats'!B:B,'Base stats'!E:E),Groups!A:A,Groups!AQ:AQ)=1,AN17&lt;=0.35),8,12)</f>
        <v>12</v>
      </c>
      <c r="BG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H17" s="2" t="str">
        <f>IF(AND(_xlfn.XLOOKUP(_xlfn.XLOOKUP(B17,'Base stats'!B:B,'Base stats'!E:E),Groups!A:A,Groups!AS:AS)=1,OR('Base stats'!Y17="Carnivore",'Base stats'!Y17="Omnivore")),"true","false")</f>
        <v>true</v>
      </c>
      <c r="BI17" s="2">
        <f>IF(BH17="true",MROUND(IF(AND(AN17&gt;0.5,_xlfn.XLOOKUP(_xlfn.XLOOKUP(B17,'Base stats'!B:B,'Base stats'!E:E),Groups!A:A,Groups!AJ:AJ)="Mammal"),Animals!AN17*1.75*IF(AV17="true",1.5,1),Animals!AN17),IF(AN17&gt;2,0.5,IF(AN17&gt;0.5,0.25,0.1))),"No")</f>
        <v>1.75</v>
      </c>
      <c r="BJ17" s="2">
        <f t="shared" si="3"/>
        <v>1</v>
      </c>
      <c r="BK17" s="25" t="str">
        <f>IF('Base stats'!AK17="Standard","No",MROUND((_xlfn.XLOOKUP(B17,'Base stats'!B:B,'Base stats'!AK:AK)/3.6)/H17,0.1))</f>
        <v>No</v>
      </c>
      <c r="BL17" s="25" t="str">
        <f t="shared" si="4"/>
        <v>false</v>
      </c>
      <c r="BM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N17" s="25" t="str" cm="1">
        <f t="array" ref="BN17">IF(
  _xlfn.TEXTJOIN(", ",TRUE,
    IF(AND(BH17="true",AN17&gt;0.5,BG17&lt;&gt;"None"),"AttackTarget",""),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IF(BE17&lt;=36,"Comfort",""),
    IF(_xlfn.XLOOKUP(B17,'Base stats'!B:B,'Base stats'!AC:AC)&lt;&gt;"No",_xlfn.XLOOKUP(B17,'Base stats'!B:B,'Base stats'!AC:AC),"")
  ) = "",
  "No",
  _xlfn.TEXTJOIN(", ",TRUE,
    IF(AND(BH17="true",AN17&gt;0.5,BG17&lt;&gt;"None"),"AttackTarget",""),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IF(BE17&lt;=36,"Comfort",""),
    IF(_xlfn.XLOOKUP(B17,'Base stats'!B:B,'Base stats'!AC:AC)&lt;&gt;"No",_xlfn.XLOOKUP(B17,'Base stats'!B:B,'Base stats'!AC:AC),"")
  )
)</f>
        <v>AttackTarget</v>
      </c>
      <c r="BO17" s="25" t="str">
        <f>IF(
   AND(
      'Base stats'!AK17="Standard",_xlfn.XLOOKUP(_xlfn.XLOOKUP(B17,'Base stats'!B:B,'Base stats'!E:E),Groups!A:A,Groups!AU:AU)=0,
      OR(
      BM17="True"
      )
   ),
   10,
   IF(
       OR(BK17&lt;&gt;"No",_xlfn.XLOOKUP(_xlfn.XLOOKUP(B17,'Base stats'!B:B,'Base stats'!E:E),Groups!A:A,Groups!AU:AU)=1),
      1,
      "No"
   )
)</f>
        <v>No</v>
      </c>
      <c r="BP17" s="9">
        <f>MROUND((1 + ((0.2*IF(OR(P17="No",Q17="No",Q17=0),0,P17/Q17)
+IF(OR(U17="No",R17="No",S17="No"),0,R17/S17*(LEN(U17)-LEN(SUBSTITUTE(U17,",",""))+1))
+IF(OR(W17="No",X17="No"),0,W17/X17)
+IF(OR(AC17="No",AD17="No"),0,AC17/AD17)
+IF(OR(AK17="No",AH17="No",AI17="No"),0,AH17/AI17*(LEN(AK17)-LEN(SUBSTITUTE(AK17,",",""))+1))
)/(0.2*IF(OR(P17="No",Q17="No",Q17=0),0,1)
+IF(OR(U17="No",R17="No",S17="No"),0,LEN(U17)-LEN(SUBSTITUTE(U17,",",""))+1)
+IF(OR(W17="No",X17="No"),0,1)
+IF(OR(AC17="No",AD17="No"),0,1)
+IF(OR(AK17="No",AH17="No",AI17="No"),0,LEN(AK17)-LEN(SUBSTITUTE(AK17,",",""))+1))*62%)* 2)*(1 + (AO17 + _xlfn.XLOOKUP(B17,'Base stats'!B:B,'Base stats'!AS:AS) * 1.8) * 2) * 2.5 + 10 + H17 * 2,5)+IF(_xlfn.XLOOKUP(B17,'Base stats'!B:B,'Base stats'!AH:AH)=1,50,0)</f>
        <v>120</v>
      </c>
      <c r="BQ17" s="8">
        <f t="shared" si="5"/>
        <v>0.65</v>
      </c>
      <c r="BR17" s="8" t="str">
        <f>_xlfn.XLOOKUP(B17,'Base stats'!B:B,'Base stats'!AD:AD)</f>
        <v>No</v>
      </c>
      <c r="BS17" s="2" t="str">
        <f>IF(AND(I17&lt;=0.95,OR(_xlfn.XLOOKUP(B17,'Base stats'!B:B,'Base stats'!AH:AH)=1,_xlfn.XLOOKUP(B17,'Base stats'!B:B,'Base stats'!Y:Y)="Carnivore",_xlfn.XLOOKUP(B17,'Base stats'!B:B,'Base stats'!Y:Y)="Omnivore",BC17&gt;0.1)),"true","false")</f>
        <v>true</v>
      </c>
      <c r="BT17" s="2" t="str">
        <f>IF(_xlfn.XLOOKUP(B17,'Base stats'!B:B,'Base stats'!AF:AF)=1,"true","false")</f>
        <v>false</v>
      </c>
      <c r="BU17" s="25" t="str">
        <f>IF(E17="BaseInsect","AnimalInsect",
IF(I17&gt;0.95,"AnimalExotic",
_xlfn.TEXTJOIN(", ",TRUE,
IF(AND(_xlfn.XLOOKUP(B17,'Base stats'!B:B,'Base stats'!O:O)=0,_xlfn.XLOOKUP(_xlfn.XLOOKUP(B17,'Base stats'!B:B,'Base stats'!E:E),Groups!A:A,Groups!B:B)&gt;0),"AnimalUncommon","AnimalCommon"),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stats'!AH:AH)=1,AND(BG17&lt;&gt;"None",BP17&gt;=60),ISNUMBER(SEARCH("Attack target",BN17))),"AnimalFighter","")
)))</f>
        <v>AnimalUncommon, AnimalFighter</v>
      </c>
      <c r="BV17" s="25" t="str">
        <f>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</f>
        <v>BorealForest ColdBog TemperateForest TemperateSwamp AridShrubland Desert LavaField GlacialPlain</v>
      </c>
      <c r="BW17" s="25" t="str">
        <f>IF(_xlfn.XLOOKUP(B17,'Base stats'!B:B,'Base stats'!AG:AG)=1,"true","false")</f>
        <v>false</v>
      </c>
      <c r="BX17" s="25">
        <f>IF(_xlfn.XLOOKUP(B17,'Base stats'!B:B,'Base stats'!N:N)=1,"No",MIN(MROUND(IF(OR(_xlfn.XLOOKUP(B17,'Base stats'!B:B,'Base stats'!AJ:AJ)=1,AND(BH17="True",CA17="False")),POWER(10,3.47*LOG10(_xlfn.XLOOKUP(B17,'Base stats'!B:B,'Base stats'!C:C)*1000)^-0.96),POWER(10,4.15*LOG10(_xlfn.XLOOKUP(B17,'Base stats'!B:B,'Base stats'!C:C)*1000)^-0.73))*IF(OR(_xlfn.XLOOKUP(B17,'Base stats'!B:B,'Base stats'!AJ:AJ)=1,_xlfn.XLOOKUP(B17,'Base stats'!B:B,'Base stats'!AH:AH)=1),0.5,1)/100,0.025),1))</f>
        <v>0.05</v>
      </c>
      <c r="BY17" s="25" t="str">
        <f>IF(O17="Standard","No",IF(_xlfn.XLOOKUP(B17,'Base stats'!B:B,'Base stats'!N:N)=0,MROUND(BX17*O17,0.05),MIN(1,MAX(0.025,MROUND(IF(OR(CA17="true",AND(BH17="false",BM17="false")),POWER(10,4.15*LOG10(_xlfn.XLOOKUP(B17,'Base stats'!B:B,'Base stats'!C:C)*1000)^-0.73),POWER(10,3.47*LOG10(_xlfn.XLOOKUP(B17,'Base stats'!B:B,'Base stats'!C:C)*1000)^-0.96))*IF(_xlfn.XLOOKUP(B17,'Base stats'!B:B,'Base stats'!AH:AH)=1,0.5,1)/100,0.025)))))</f>
        <v>No</v>
      </c>
      <c r="BZ17" s="25" t="str">
        <f>IF(_xlfn.XLOOKUP(_xlfn.XLOOKUP(B17,'Base stats'!B:B,'Base stats'!E:E),Groups!A:A,Groups!AJ:AJ)="Mammal","True","False")</f>
        <v>True</v>
      </c>
      <c r="CA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B17" s="25" t="str">
        <f t="shared" si="6"/>
        <v>False</v>
      </c>
      <c r="CC17" s="25" t="str">
        <f>IF(_xlfn.XLOOKUP(_xlfn.XLOOKUP(B17,'Base stats'!B:B,'Base stats'!E:E),Groups!A:A,Groups!AW:AW),"True","False")</f>
        <v>False</v>
      </c>
      <c r="CD17" s="25" t="str">
        <f>IF(_xlfn.XLOOKUP(_xlfn.XLOOKUP(B17,'Base stats'!B:B,'Base stats'!E:E),Groups!A:A,Groups!AX:AX),"True","False")</f>
        <v>False</v>
      </c>
      <c r="CE17" s="25" t="str">
        <f>IF(_xlfn.XLOOKUP(B17,'Base stats'!B:B,'Base stats'!E:E)=1,"True","False")</f>
        <v>False</v>
      </c>
      <c r="CF17" s="25" t="str">
        <f>IF(
OR(
_xlfn.XLOOKUP(_xlfn.XLOOKUP(B17,'Base stats'!B:B,'Base stats'!E:E),Groups!A:A,Groups!AY:AY)=0,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stats'!E:E),Groups!A:A,Groups!AY:AY)=1,
"Flesh",
IF(
_xlfn.XLOOKUP(_xlfn.XLOOKUP(B17,'Base stats'!B:B,'Base stats'!E:E),Groups!A:A,Groups!AY:AY)=2,
"Bone",
""
)
)
)</f>
        <v>No</v>
      </c>
      <c r="CG17" s="25" t="str">
        <f>IF(_xlfn.XLOOKUP(_xlfn.XLOOKUP(B17,'Base stats'!B:B,'Base stats'!E:E),Groups!A:A,Groups!BA:BA),"True","False")</f>
        <v>True</v>
      </c>
      <c r="CH17" s="25" t="str">
        <f>IF(_xlfn.XLOOKUP(_xlfn.XLOOKUP(B17,'Base stats'!B:B,'Base stats'!E:E),Groups!A:A,Groups!AZ:AZ),"True","False")</f>
        <v>False</v>
      </c>
      <c r="CM17" s="16"/>
    </row>
    <row r="18" spans="1:91" ht="16.5" thickTop="1" thickBot="1" x14ac:dyDescent="0.3">
      <c r="A18" s="26" t="str">
        <f>_xlfn.XLOOKUP(B18,'Base stats'!B:B,'Base stats'!A:A)</f>
        <v>Leopard</v>
      </c>
      <c r="B18" s="6" t="s">
        <v>82</v>
      </c>
      <c r="C18" s="28" t="s">
        <v>703</v>
      </c>
      <c r="D18" s="28" t="s">
        <v>45</v>
      </c>
      <c r="E18" s="28" t="s">
        <v>701</v>
      </c>
      <c r="F18" s="28" t="s">
        <v>702</v>
      </c>
      <c r="G18" s="2">
        <f>MROUND((
  (IF(AND(_xlfn.XLOOKUP(B18,'Base stats'!B:B,'Base stats'!AI:AI)=0,BG18="None",_xlfn.XLOOKUP('Base stats'!E18,Groups!A:A,Groups!B:B)=0), (18 + BP18 * 2.7) * 0.5,
    IF(AND(_xlfn.XLOOKUP(B18,'Base stats'!B:B,'Base stats'!AI:AI)=0,OR(AN18&lt;0.55,AND(BG18="Intermediate",_xlfn.XLOOKUP('Base stats'!E18,Groups!A:A,Groups!B:B)&lt;2))), (18 + BP18 * 2.7),
      IF(OR(BG18="Advanced",_xlfn.XLOOKUP(B18,'Base stats'!B:B,'Base stats'!AI:AI)=1,_xlfn.XLOOKUP('Base stats'!E18,Groups!A:A,Groups!B:B)=2), (18 + BP18 * 2.7) + 250, (18 + BP18 * 2.7))
    )
  ))
  + AN18 * 80
  + IF(COUNTIF(EggMilk!K$2:K$998, A18) &gt; 0, 125, 0)
  + IF(COUNTIF(EggMilk!P$2:P$998, A18) &gt; 0, 90, 0)
  + IF(COUNTIF(EggMilk!A$2:A$998, A18) &gt; 0, 90, 0)
)
* (0.8 + 0.4 * I18)
* 0.75,25)</f>
        <v>525</v>
      </c>
      <c r="H18" s="2">
        <f>MROUND(ROUNDDOWN(_xlfn.XLOOKUP(B18,'Base stats'!B:B,'Base stats'!L:L)/3.6/(23.3/11),1),0.5)</f>
        <v>8</v>
      </c>
      <c r="I18" s="2">
        <f>IF(_xlfn.XLOOKUP(B18,'Base stats'!B:B,'Base stats'!AI:AI)=1,0.99,MIN(MROUND((1-0.6282*EXP(-0.459*AN18))*_xlfn.XLOOKUP(_xlfn.XLOOKUP(B18,'Base stats'!B:B,'Base stats'!E:E),Groups!A:A,Groups!C:C)*IF(_xlfn.XLOOKUP(B18,'Base stats'!B:B,'Base stats'!O:O)=1,0.5,IF(_xlfn.XLOOKUP(B18,'Base stats'!B:B,'Base stats'!O:O)=2,0,1)),0.05),0.985))</f>
        <v>0.75</v>
      </c>
      <c r="J18" s="2">
        <f>ROUNDUP(AN18*_xlfn.XLOOKUP(_xlfn.XLOOKUP(B18,'Base stats'!B:B,'Base stats'!E:E),Groups!A:A,Groups!E:E),0)</f>
        <v>1</v>
      </c>
      <c r="K18" s="2">
        <f>IF(OR(_xlfn.XLOOKUP(_xlfn.XLOOKUP(B18,'Base stats'!B:B,'Base stats'!E:E),Groups!A:A,Groups!F:F)=2,ISNUMBER(SEARCH("SeaIce",BV18)),ISNUMBER(SEARCH("IceSheet",BV18))),-50,IF(OR(ISNUMBER(SEARCH("GlacialPlain",BV18)),ISNUMBER(SEARCH("Tundra",BV18))),-40,IF(OR(ISNUMBER(SEARCH("Alpine",BV18)),ISNUMBER(SEARCH("BorealForest",BV18)),ISNUMBER(SEARCH("ColdBog",BV18))),-30,IF(OR(ISNUMBER(SEARCH("TemperateForest",BV18)),ISNUMBER(SEARCH("TemperateSwamp",BV18))),-20,IF(_xlfn.XLOOKUP(_xlfn.XLOOKUP(B18,'Base stats'!B:B,'Base stats'!E:E),Groups!A:A,Groups!F:F)=1,-15,IF(OR(ISNUMBER(SEARCH("Desert",BV18)),ISNUMBER(SEARCH("ExtremeDesert",BV18))),-10,IF(OR(ISNUMBER(SEARCH("Grasslands",BV18)),ISNUMBER(SEARCH("TropicalRainforest",BV18)),ISNUMBER(SEARCH("TropicalSwamp",BV18))),10,0)))))))-IF(CA18="False",MIN(IFERROR(MAX(MROUND(LOG10(_xlfn.XLOOKUP(B18,'Base stats'!B:B,'Base stats'!C:C)^(2/3))*10,5),5),5),30))-_xlfn.XLOOKUP(B18,'Base stats'!B:B,'Base stats'!P:P)+IF(CA18="True",5,0)</f>
        <v>-25</v>
      </c>
      <c r="L18" s="2">
        <f>IF(OR(_xlfn.XLOOKUP(_xlfn.XLOOKUP(B18,'Base stats'!B:B,'Base stats'!E:E),Groups!A:A,Groups!G:G)=2,ISNUMBER(SEARCH("Desert",BV18)),ISNUMBER(SEARCH("ExtremeDesert",BV18)),ISNUMBER(SEARCH("LavaField",BV18))),50,IF(ISNUMBER(SEARCH("Grasslands",BV18)),45,IF(OR(_xlfn.XLOOKUP(_xlfn.XLOOKUP(B18,'Base stats'!B:B,'Base stats'!E:E),Groups!A:A,Groups!G:G)=1,ISNUMBER(SEARCH("TropicalRainforest",BV18)),ISNUMBER(SEARCH("TropicalSwamp",BV18))),40,IF(OR(ISNUMBER(SEARCH("TemperateForest",BV18)),ISNUMBER(SEARCH("TemperateSwamp",BV18))),35,IF(OR(ISNUMBER(SEARCH("Alpine",BV18)),ISNUMBER(SEARCH("BorealForest",BV18)),ISNUMBER(SEARCH("ColdBog",BV18))),30,IF(ISNUMBER(OR(ISNUMBER(SEARCH("GlacialPlain",BV18)),SEARCH("Tundra",BV18))),25,IF(OR(ISNUMBER(SEARCH("SeaIce",BV18)),ISNUMBER(SEARCH("IceSheet",BV18)),ISNUMBER(SEARCH("TropicalSwamp",BV18))),10,35)))))))+_xlfn.XLOOKUP(B18,'Base stats'!B:B,'Base stats'!Q:Q)</f>
        <v>40</v>
      </c>
      <c r="M18" s="8" t="str">
        <f>IF(_xlfn.XLOOKUP(_xlfn.XLOOKUP(B18,'Base stats'!B:B,'Base stats'!E:E),Groups!A:A,Groups!L:L)=1,MIN(MROUND(_xlfn.XLOOKUP(B18,'Animals CE'!B:B,'Animals CE'!Z:Z)/2+0.05,0.05),200%),"No")</f>
        <v>No</v>
      </c>
      <c r="N18" s="8" t="str">
        <f>IF(_xlfn.XLOOKUP(_xlfn.XLOOKUP(B18,'Base stats'!B:B,'Base stats'!E:E),Groups!A:A,Groups!L:L)=1,MIN(MROUND(_xlfn.XLOOKUP(B18,'Animals CE'!B:B,'Animals CE'!AA:AA)/2+0.05,0.05),200%),"No")</f>
        <v>No</v>
      </c>
      <c r="O18" s="2" t="str">
        <f>_xlfn.XLOOKUP(B18,'Base stats'!B:B,'Base stats'!R:R)</f>
        <v>Standard</v>
      </c>
      <c r="P18" s="13">
        <f>MROUND((LOG10(_xlfn.XLOOKUP(B18,'Base stats'!B:B,'Base stats'!AO:AO))*(AN18^0.5)+(_xlfn.XLOOKUP(B18,'Base stats'!B:B,'Base stats'!AO:AO)/1000)^(2/3)+_xlfn.XLOOKUP(B18,'Base stats'!B:B,'Base stats'!AX:AX)/2)+0.5,0.5)</f>
        <v>6.5</v>
      </c>
      <c r="Q18" s="7">
        <f>IF(P18="No","No",MAX(1,MROUND(_xlfn.XLOOKUP(B18,'Base stats'!B:B,'Base stats'!C:C)^0.165,0.05)))</f>
        <v>1.9500000000000002</v>
      </c>
      <c r="R18" s="13" t="str">
        <f>IF(_xlfn.XLOOKUP(_xlfn.XLOOKUP(B18,'Base stats'!B:B,'Base stats'!E:E),Groups!A:A,Groups!P:P)=0,"No",MROUND((LOG10(_xlfn.XLOOKUP(B18,'Base stats'!B:B,'Base stats'!AP:AP))*(AN18^0.5)+(_xlfn.XLOOKUP(B18,'Base stats'!B:B,'Base stats'!AP:AP)/1000)^(2/3)+_xlfn.XLOOKUP(B18,'Base stats'!B:B,'Base stats'!AX:AX))+_xlfn.XLOOKUP(B18,'Base stats'!B:B,'Base stats'!AV:AV)+0.5,0.5))</f>
        <v>No</v>
      </c>
      <c r="S18" s="7" t="str">
        <f>IF(R18="No","No",MAX(_xlfn.XLOOKUP(_xlfn.XLOOKUP(B18,'Base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T18" s="7" t="str">
        <f>IF(R18="No","No",_xlfn.XLOOKUP(_xlfn.XLOOKUP(B18,'Base stats'!B:B,'Base stats'!E:E),Groups!A:A,Groups!R:R))</f>
        <v>No</v>
      </c>
      <c r="U18" s="7" t="str">
        <f>IF(R18="No","No",_xlfn.XLOOKUP(_xlfn.XLOOKUP(B18,'Base stats'!B:B,'Base stats'!E:E),Groups!A:A,Groups!S:S))</f>
        <v>No</v>
      </c>
      <c r="V18" s="7" t="str">
        <f>IF(R18="No","No",_xlfn.XLOOKUP(_xlfn.XLOOKUP(B18,'Base stats'!B:B,'Base stats'!E:E),Groups!A:A,Groups!T:T))</f>
        <v>No</v>
      </c>
      <c r="W18" s="13" t="str">
        <f>IF(_xlfn.XLOOKUP(B18,'Base stats'!B:B,'Base stats'!W:W)="No","No",MROUND((LOG10(_xlfn.XLOOKUP(B18,'Base stats'!B:B,'Base stats'!AR:AR))*(AN18^0.5)+(_xlfn.XLOOKUP(B18,'Base stats'!B:B,'Base stats'!AR:AR)/1000)^(2/3)+_xlfn.XLOOKUP(B18,'Base stats'!B:B,'Base stats'!AW:AW))+0.5+IF(_xlfn.XLOOKUP(_xlfn.XLOOKUP(B18,'Base stats'!B:B,'Base stats'!E:E),Groups!A:A,Groups!U:U)&lt;&gt;3,_xlfn.XLOOKUP(B18,'Base stats'!B:B,'Base stats'!AX:AX),0),0.5))</f>
        <v>No</v>
      </c>
      <c r="X18" s="7" t="str">
        <f>IF(W18="No","No",MAX(_xlfn.XLOOKUP(_xlfn.XLOOKUP(B18,'Base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Y18" s="7" t="str">
        <f>IF(W18="No","No",_xlfn.XLOOKUP(_xlfn.XLOOKUP(B18,'Base stats'!B:B,'Base stats'!E:E),Groups!A:A,Groups!W:W))</f>
        <v>No</v>
      </c>
      <c r="Z18" s="7" t="str">
        <f>IF(W18="No","No",_xlfn.XLOOKUP(_xlfn.XLOOKUP(B18,'Base stats'!B:B,'Base stats'!E:E),Groups!A:A,Groups!X:X))</f>
        <v>No</v>
      </c>
      <c r="AA18" s="7" t="str">
        <f>IF(W18="No","No",_xlfn.XLOOKUP(_xlfn.XLOOKUP(B18,'Base stats'!B:B,'Base stats'!E:E),Groups!A:A,Groups!Y:Y))</f>
        <v>No</v>
      </c>
      <c r="AB18" s="7" t="str">
        <f>_xlfn.XLOOKUP(Animals!B18,'Base stats'!B:B,'Base stats'!X:X)</f>
        <v>False</v>
      </c>
      <c r="AC18" s="13">
        <f>IF(_xlfn.XLOOKUP(B18,'Base stats'!B:B,'Base stats'!AQ:AQ)="No","No",MROUND((LOG10(_xlfn.XLOOKUP(B18,'Base stats'!B:B,'Base stats'!AQ:AQ))*(AN18^0.75)+(_xlfn.XLOOKUP(B18,'Base stats'!B:B,'Base stats'!AQ:AQ)/1000)^(2/3)+_xlfn.XLOOKUP(B18,'Base stats'!B:B,'Base stats'!AU:AU)+_xlfn.XLOOKUP(B18,'Base stats'!B:B,'Base stats'!AX:AX))+0.5,0.5))</f>
        <v>12.5</v>
      </c>
      <c r="AD18" s="7">
        <f>IF(AC18="No","No",MAX(_xlfn.XLOOKUP(_xlfn.XLOOKUP(B18,'Base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E18" s="7" t="str">
        <f>IF(AC18="No","No",_xlfn.XLOOKUP(_xlfn.XLOOKUP(B18,'Base stats'!B:B,'Base stats'!E:E),Groups!A:A,Groups!AA:AA))</f>
        <v>Teeth</v>
      </c>
      <c r="AF18" s="7" t="str">
        <f>IF(AC18="No","No",_xlfn.XLOOKUP(_xlfn.XLOOKUP(B18,'Base stats'!B:B,'Base stats'!E:E),Groups!A:A,Groups!AB:AB))</f>
        <v>canines</v>
      </c>
      <c r="AG18" s="7" t="str">
        <f>IF(AC18="No","No",_xlfn.XLOOKUP(_xlfn.XLOOKUP(B18,'Base stats'!B:B,'Base stats'!E:E),Groups!A:A,Groups!AC:AC))</f>
        <v>Bite</v>
      </c>
      <c r="AH18" s="13">
        <f>IF(_xlfn.XLOOKUP(_xlfn.XLOOKUP(B18,'Base stats'!B:B,'Base stats'!E:E),Groups!A:A,Groups!AD:AD)=0,"No",MROUND((LOG10(_xlfn.XLOOKUP(B18,'Base stats'!B:B,'Base stats'!AP:AP))*(AN18^0.75)+(_xlfn.XLOOKUP(B18,'Base stats'!B:B,'Base stats'!AP:AP)/1000)^(2/3)+_xlfn.XLOOKUP(B18,'Base stats'!B:B,'Base stats'!AV:AV)+_xlfn.XLOOKUP(B18,'Base stats'!B:B,'Base stats'!AX:AX))+0.5,0.5))</f>
        <v>10.5</v>
      </c>
      <c r="AI18" s="7">
        <f>IF(AH18="No","No",MAX(_xlfn.XLOOKUP(_xlfn.XLOOKUP(B18,'Base stats'!B:B,'Base stats'!E:E),Groups!A:A,Groups!AE:AE),MROUND(_xlfn.XLOOKUP(_xlfn.XLOOKUP(B18,'Base stats'!B:B,'Base stats'!E:E),Groups!A:A,Groups!AE:AE)*_xlfn.XLOOKUP(B18,'Base stats'!B:B,'Base stats'!C:C)^0.165,0.05)))</f>
        <v>1.25</v>
      </c>
      <c r="AJ18" s="7" t="str">
        <f>IF(AH18="No","No",_xlfn.XLOOKUP(_xlfn.XLOOKUP(B18,'Base stats'!B:B,'Base stats'!E:E),Groups!A:A,Groups!AF:AF))</f>
        <v>FrontRightPaw, FrontRightPaw</v>
      </c>
      <c r="AK18" s="7" t="str">
        <f>IF(AH18="No","No",_xlfn.XLOOKUP(_xlfn.XLOOKUP(B18,'Base stats'!B:B,'Base stats'!E:E),Groups!A:A,Groups!AG:AG))</f>
        <v>left claw, right claw</v>
      </c>
      <c r="AL18" s="7" t="str">
        <f>IF(AH18="No","No",_xlfn.XLOOKUP(_xlfn.XLOOKUP(B18,'Base stats'!B:B,'Base stats'!E:E),Groups!A:A,Groups!AH:AH))</f>
        <v>Scratch</v>
      </c>
      <c r="AM18" s="2">
        <f t="shared" si="0"/>
        <v>20</v>
      </c>
      <c r="AN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O18" s="8">
        <f>MROUND(AN18*_xlfn.XLOOKUP(_xlfn.XLOOKUP(B18,'Base stats'!B:B,'Base stats'!E:E),Groups!A:A,Groups!AI:AI),0.05)</f>
        <v>1.1000000000000001</v>
      </c>
      <c r="AP18" s="8">
        <f>MAX(0.01,MROUND(IF(CA18="True",0.196*(AN18*100*1000)^0.889,IF(_xlfn.XLOOKUP(_xlfn.XLOOKUP(B18,'Base stats'!B:B,'Base stats'!E:E),Groups!A:A,Groups!AJ:AJ)="Bird",10.5*(AN18*100*1000)^0.681,4.82*(AN18*100*1000)^0.734))/(4.82*(1*100*1000)^0.734)/IF(AN18&lt;3.5,2,IF(AN18=3.5,1.5,1.25))*(1+0.132282374779864/(AN18^0.994035016789033+0.00905238001496948)),0.05))</f>
        <v>0.55000000000000004</v>
      </c>
      <c r="AQ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R18" s="35">
        <f>IFERROR(IF(_xlfn.XLOOKUP(B18,'Base stats'!B:B,'Base stats'!F:F)="Lay eggs","Lay eggs",MIN(20,MAX(5.5,ROUND(((_xlfn.XLOOKUP(B18,'Base stats'!B:B,'Base stats'!F:F)-25)*(14.5/615) + 5.5)*2,0)/2))),"Cannot breed")</f>
        <v>7</v>
      </c>
      <c r="AS18" s="8">
        <f>IF(OR(A18="Queen",A18="Larva"),"No",IFERROR(MAX(IF(_xlfn.XLOOKUP(B18,'Base stats'!B:B,'Base stats'!G:G)&lt;0.5,0.2,0.3),MROUND(_xlfn.XLOOKUP(B18,'Base stats'!B:B,'Base stats'!G:G)/(365/60),0.2)),"Unknown"))</f>
        <v>0.4</v>
      </c>
      <c r="AT18" s="8">
        <f t="shared" si="1"/>
        <v>0.2</v>
      </c>
      <c r="AU18" s="8">
        <f>IFERROR(IFERROR(MROUND(_xlfn.XLOOKUP(B18,'Base stats'!B:B,'Base stats'!J:J),0.1),"Lay eggs"),"Cannot breed")</f>
        <v>2</v>
      </c>
      <c r="AV18" s="2" t="str">
        <f t="shared" si="2"/>
        <v>false</v>
      </c>
      <c r="AW18" s="2" t="str">
        <f>IF(_xlfn.XLOOKUP(_xlfn.XLOOKUP(Animals!B18,'Base stats'!B:B,'Base stats'!E:E),Groups!A:A,Groups!AK:AK)=1,"true","false")</f>
        <v>false</v>
      </c>
      <c r="AX18" s="25" t="str">
        <f>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</f>
        <v>CarnivoreAnimal, OvivoreAnimal</v>
      </c>
      <c r="AY18" s="2" t="str">
        <f>IF(_xlfn.XLOOKUP(_xlfn.XLOOKUP(B18,'Base stats'!B:B,'Base stats'!E:E),Groups!A:A,Groups!D:D)=1,MROUND((1-I18)*5+1,2)*IF(I18&lt;=0.4,2,1),"No")</f>
        <v>No</v>
      </c>
      <c r="AZ18" s="2" t="str">
        <f>_xlfn.XLOOKUP(B18,'Base stats'!B:B,'Base stats'!AE:AE)</f>
        <v>Leather_Panthera</v>
      </c>
      <c r="BA18" s="23" t="str">
        <f>_xlfn.XLOOKUP(_xlfn.XLOOKUP(B18,'Base stats'!B:B,'Base stats'!E:E),Groups!A:A,Groups!AL:AL)</f>
        <v>QuadrupedAnimalWithPawsAndTail</v>
      </c>
      <c r="BB18" s="23">
        <f>MROUND(IF(AND(AN18&lt;0.5,_xlfn.XLOOKUP(B18,'Base stats'!B:B,'Base stats'!Z:Z)=0),0,IF(OR(_xlfn.XLOOKUP(Animals!B18,'Base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stats'!AA:AA),0.005)</f>
        <v>0.1</v>
      </c>
      <c r="BC18" s="23">
        <f>MROUND(IF(AND(AN18&lt;0.5,_xlfn.XLOOKUP(B18,'Base stats'!B:B,'Base stats'!Z:Z)=0),0,IF(_xlfn.XLOOKUP(_xlfn.XLOOKUP(B18,'Base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stats'!AB:AB),0.005)</f>
        <v>0.3</v>
      </c>
      <c r="BD18" s="2" t="str">
        <f>IF(I18&gt;0.3,"No",_xlfn.XLOOKUP(_xlfn.XLOOKUP(Animals!B18,'Base stats'!B:B,'Base stats'!E:E),Groups!A:A,Groups!AP:AP))</f>
        <v>No</v>
      </c>
      <c r="BE18" s="2" t="str">
        <f>IF(AND(I18&lt;=0.65,_xlfn.XLOOKUP(_xlfn.XLOOKUP(Animals!B18,'Base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stats'!O:O)=2,0.2,AN18) + 24*(1-IF(BD18="No",0,BD18)) + 16/3, 12),"No")</f>
        <v>No</v>
      </c>
      <c r="BF18" s="2">
        <f>IF(AND(_xlfn.XLOOKUP(_xlfn.XLOOKUP(B18,'Base stats'!B:B,'Base stats'!E:E),Groups!A:A,Groups!AQ:AQ)=1,AN18&lt;=0.35),8,12)</f>
        <v>12</v>
      </c>
      <c r="BG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H18" s="2" t="str">
        <f>IF(AND(_xlfn.XLOOKUP(_xlfn.XLOOKUP(B18,'Base stats'!B:B,'Base stats'!E:E),Groups!A:A,Groups!AS:AS)=1,OR('Base stats'!Y18="Carnivore",'Base stats'!Y18="Omnivore")),"true","false")</f>
        <v>true</v>
      </c>
      <c r="BI18" s="2">
        <f>IF(BH18="true",MROUND(IF(AND(AN18&gt;0.5,_xlfn.XLOOKUP(_xlfn.XLOOKUP(B18,'Base stats'!B:B,'Base stats'!E:E),Groups!A:A,Groups!AJ:AJ)="Mammal"),Animals!AN18*1.75*IF(AV18="true",1.5,1),Animals!AN18),IF(AN18&gt;2,0.5,IF(AN18&gt;0.5,0.25,0.1))),"No")</f>
        <v>1.5</v>
      </c>
      <c r="BJ18" s="2">
        <f t="shared" si="3"/>
        <v>1</v>
      </c>
      <c r="BK18" s="25" t="str">
        <f>IF('Base stats'!AK18="Standard","No",MROUND((_xlfn.XLOOKUP(B18,'Base stats'!B:B,'Base stats'!AK:AK)/3.6)/H18,0.1))</f>
        <v>No</v>
      </c>
      <c r="BL18" s="25" t="str">
        <f t="shared" si="4"/>
        <v>false</v>
      </c>
      <c r="BM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N18" s="25" t="str" cm="1">
        <f t="array" ref="BN18">IF(
  _xlfn.TEXTJOIN(", ",TRUE,
    IF(AND(BH18="true",AN18&gt;0.5,BG18&lt;&gt;"None"),"AttackTarget",""),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IF(BE18&lt;=36,"Comfort",""),
    IF(_xlfn.XLOOKUP(B18,'Base stats'!B:B,'Base stats'!AC:AC)&lt;&gt;"No",_xlfn.XLOOKUP(B18,'Base stats'!B:B,'Base stats'!AC:AC),"")
  ) = "",
  "No",
  _xlfn.TEXTJOIN(", ",TRUE,
    IF(AND(BH18="true",AN18&gt;0.5,BG18&lt;&gt;"None"),"AttackTarget",""),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IF(BE18&lt;=36,"Comfort",""),
    IF(_xlfn.XLOOKUP(B18,'Base stats'!B:B,'Base stats'!AC:AC)&lt;&gt;"No",_xlfn.XLOOKUP(B18,'Base stats'!B:B,'Base stats'!AC:AC),"")
  )
)</f>
        <v>AttackTarget</v>
      </c>
      <c r="BO18" s="25" t="str">
        <f>IF(
   AND(
      'Base stats'!AK18="Standard",_xlfn.XLOOKUP(_xlfn.XLOOKUP(B18,'Base stats'!B:B,'Base stats'!E:E),Groups!A:A,Groups!AU:AU)=0,
      OR(
      BM18="True"
      )
   ),
   10,
   IF(
       OR(BK18&lt;&gt;"No",_xlfn.XLOOKUP(_xlfn.XLOOKUP(B18,'Base stats'!B:B,'Base stats'!E:E),Groups!A:A,Groups!AU:AU)=1),
      1,
      "No"
   )
)</f>
        <v>No</v>
      </c>
      <c r="BP18" s="9">
        <f>MROUND((1 + ((0.2*IF(OR(P18="No",Q18="No",Q18=0),0,P18/Q18)
+IF(OR(U18="No",R18="No",S18="No"),0,R18/S18*(LEN(U18)-LEN(SUBSTITUTE(U18,",",""))+1))
+IF(OR(W18="No",X18="No"),0,W18/X18)
+IF(OR(AC18="No",AD18="No"),0,AC18/AD18)
+IF(OR(AK18="No",AH18="No",AI18="No"),0,AH18/AI18*(LEN(AK18)-LEN(SUBSTITUTE(AK18,",",""))+1))
)/(0.2*IF(OR(P18="No",Q18="No",Q18=0),0,1)
+IF(OR(U18="No",R18="No",S18="No"),0,LEN(U18)-LEN(SUBSTITUTE(U18,",",""))+1)
+IF(OR(W18="No",X18="No"),0,1)
+IF(OR(AC18="No",AD18="No"),0,1)
+IF(OR(AK18="No",AH18="No",AI18="No"),0,LEN(AK18)-LEN(SUBSTITUTE(AK18,",",""))+1))*62%)* 2)*(1 + (AO18 + _xlfn.XLOOKUP(B18,'Base stats'!B:B,'Base stats'!AS:AS) * 1.8) * 2) * 2.5 + 10 + H18 * 2,5)+IF(_xlfn.XLOOKUP(B18,'Base stats'!B:B,'Base stats'!AH:AH)=1,50,0)</f>
        <v>115</v>
      </c>
      <c r="BQ18" s="8">
        <f t="shared" si="5"/>
        <v>0.60000000000000009</v>
      </c>
      <c r="BR18" s="8" t="str">
        <f>_xlfn.XLOOKUP(B18,'Base stats'!B:B,'Base stats'!AD:AD)</f>
        <v>No</v>
      </c>
      <c r="BS18" s="2" t="str">
        <f>IF(AND(I18&lt;=0.95,OR(_xlfn.XLOOKUP(B18,'Base stats'!B:B,'Base stats'!AH:AH)=1,_xlfn.XLOOKUP(B18,'Base stats'!B:B,'Base stats'!Y:Y)="Carnivore",_xlfn.XLOOKUP(B18,'Base stats'!B:B,'Base stats'!Y:Y)="Omnivore",BC18&gt;0.1)),"true","false")</f>
        <v>true</v>
      </c>
      <c r="BT18" s="2" t="str">
        <f>IF(_xlfn.XLOOKUP(B18,'Base stats'!B:B,'Base stats'!AF:AF)=1,"true","false")</f>
        <v>false</v>
      </c>
      <c r="BU18" s="25" t="str">
        <f>IF(E18="BaseInsect","AnimalInsect",
IF(I18&gt;0.95,"AnimalExotic",
_xlfn.TEXTJOIN(", ",TRUE,
IF(AND(_xlfn.XLOOKUP(B18,'Base stats'!B:B,'Base stats'!O:O)=0,_xlfn.XLOOKUP(_xlfn.XLOOKUP(B18,'Base stats'!B:B,'Base stats'!E:E),Groups!A:A,Groups!B:B)&gt;0),"AnimalUncommon","AnimalCommon"),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stats'!AH:AH)=1,AND(BG18&lt;&gt;"None",BP18&gt;=60),ISNUMBER(SEARCH("Attack target",BN18))),"AnimalFighter","")
)))</f>
        <v>AnimalUncommon, AnimalFighter</v>
      </c>
      <c r="BV18" s="25" t="str">
        <f>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</f>
        <v>TropicalRainforest TropicalSwamp Glowforest</v>
      </c>
      <c r="BW18" s="25" t="str">
        <f>IF(_xlfn.XLOOKUP(B18,'Base stats'!B:B,'Base stats'!AG:AG)=1,"true","false")</f>
        <v>false</v>
      </c>
      <c r="BX18" s="25">
        <f>IF(_xlfn.XLOOKUP(B18,'Base stats'!B:B,'Base stats'!N:N)=1,"No",MIN(MROUND(IF(OR(_xlfn.XLOOKUP(B18,'Base stats'!B:B,'Base stats'!AJ:AJ)=1,AND(BH18="True",CA18="False")),POWER(10,3.47*LOG10(_xlfn.XLOOKUP(B18,'Base stats'!B:B,'Base stats'!C:C)*1000)^-0.96),POWER(10,4.15*LOG10(_xlfn.XLOOKUP(B18,'Base stats'!B:B,'Base stats'!C:C)*1000)^-0.73))*IF(OR(_xlfn.XLOOKUP(B18,'Base stats'!B:B,'Base stats'!AJ:AJ)=1,_xlfn.XLOOKUP(B18,'Base stats'!B:B,'Base stats'!AH:AH)=1),0.5,1)/100,0.025),1))</f>
        <v>0.05</v>
      </c>
      <c r="BY18" s="25" t="str">
        <f>IF(O18="Standard","No",IF(_xlfn.XLOOKUP(B18,'Base stats'!B:B,'Base stats'!N:N)=0,MROUND(BX18*O18,0.05),MIN(1,MAX(0.025,MROUND(IF(OR(CA18="true",AND(BH18="false",BM18="false")),POWER(10,4.15*LOG10(_xlfn.XLOOKUP(B18,'Base stats'!B:B,'Base stats'!C:C)*1000)^-0.73),POWER(10,3.47*LOG10(_xlfn.XLOOKUP(B18,'Base stats'!B:B,'Base stats'!C:C)*1000)^-0.96))*IF(_xlfn.XLOOKUP(B18,'Base stats'!B:B,'Base stats'!AH:AH)=1,0.5,1)/100,0.025)))))</f>
        <v>No</v>
      </c>
      <c r="BZ18" s="25" t="str">
        <f>IF(_xlfn.XLOOKUP(_xlfn.XLOOKUP(B18,'Base stats'!B:B,'Base stats'!E:E),Groups!A:A,Groups!AJ:AJ)="Mammal","True","False")</f>
        <v>True</v>
      </c>
      <c r="CA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B18" s="25" t="str">
        <f t="shared" si="6"/>
        <v>False</v>
      </c>
      <c r="CC18" s="25" t="str">
        <f>IF(_xlfn.XLOOKUP(_xlfn.XLOOKUP(B18,'Base stats'!B:B,'Base stats'!E:E),Groups!A:A,Groups!AW:AW),"True","False")</f>
        <v>False</v>
      </c>
      <c r="CD18" s="25" t="str">
        <f>IF(_xlfn.XLOOKUP(_xlfn.XLOOKUP(B18,'Base stats'!B:B,'Base stats'!E:E),Groups!A:A,Groups!AX:AX),"True","False")</f>
        <v>False</v>
      </c>
      <c r="CE18" s="25" t="str">
        <f>IF(_xlfn.XLOOKUP(B18,'Base stats'!B:B,'Base stats'!E:E)=1,"True","False")</f>
        <v>False</v>
      </c>
      <c r="CF18" s="25" t="str">
        <f>IF(
OR(
_xlfn.XLOOKUP(_xlfn.XLOOKUP(B18,'Base stats'!B:B,'Base stats'!E:E),Groups!A:A,Groups!AY:AY)=0,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stats'!E:E),Groups!A:A,Groups!AY:AY)=1,
"Flesh",
IF(
_xlfn.XLOOKUP(_xlfn.XLOOKUP(B18,'Base stats'!B:B,'Base stats'!E:E),Groups!A:A,Groups!AY:AY)=2,
"Bone",
""
)
)
)</f>
        <v>No</v>
      </c>
      <c r="CG18" s="25" t="str">
        <f>IF(_xlfn.XLOOKUP(_xlfn.XLOOKUP(B18,'Base stats'!B:B,'Base stats'!E:E),Groups!A:A,Groups!BA:BA),"True","False")</f>
        <v>True</v>
      </c>
      <c r="CH18" s="25" t="str">
        <f>IF(_xlfn.XLOOKUP(_xlfn.XLOOKUP(B18,'Base stats'!B:B,'Base stats'!E:E),Groups!A:A,Groups!AZ:AZ),"True","False")</f>
        <v>False</v>
      </c>
      <c r="CM18" s="16"/>
    </row>
    <row r="19" spans="1:91" ht="16.5" thickTop="1" thickBot="1" x14ac:dyDescent="0.3">
      <c r="A19" s="26" t="str">
        <f>_xlfn.XLOOKUP(B19,'Base stats'!B:B,'Base stats'!A:A)</f>
        <v>Lynx</v>
      </c>
      <c r="B19" s="6" t="s">
        <v>84</v>
      </c>
      <c r="C19" s="28" t="s">
        <v>704</v>
      </c>
      <c r="D19" s="28" t="s">
        <v>45</v>
      </c>
      <c r="E19" s="28" t="s">
        <v>685</v>
      </c>
      <c r="F19" s="28" t="s">
        <v>685</v>
      </c>
      <c r="G19" s="2">
        <f>MROUND((
  (IF(AND(_xlfn.XLOOKUP(B19,'Base stats'!B:B,'Base stats'!AI:AI)=0,BG19="None",_xlfn.XLOOKUP('Base stats'!E19,Groups!A:A,Groups!B:B)=0), (18 + BP19 * 2.7) * 0.5,
    IF(AND(_xlfn.XLOOKUP(B19,'Base stats'!B:B,'Base stats'!AI:AI)=0,OR(AN19&lt;0.55,AND(BG19="Intermediate",_xlfn.XLOOKUP('Base stats'!E19,Groups!A:A,Groups!B:B)&lt;2))), (18 + BP19 * 2.7),
      IF(OR(BG19="Advanced",_xlfn.XLOOKUP(B19,'Base stats'!B:B,'Base stats'!AI:AI)=1,_xlfn.XLOOKUP('Base stats'!E19,Groups!A:A,Groups!B:B)=2), (18 + BP19 * 2.7) + 250, (18 + BP19 * 2.7))
    )
  ))
  + AN19 * 80
  + IF(COUNTIF(EggMilk!K$2:K$998, A19) &gt; 0, 125, 0)
  + IF(COUNTIF(EggMilk!P$2:P$998, A19) &gt; 0, 90, 0)
  + IF(COUNTIF(EggMilk!A$2:A$998, A19) &gt; 0, 90, 0)
)
* (0.8 + 0.4 * I19)
* 0.75,25)</f>
        <v>425</v>
      </c>
      <c r="H19" s="2">
        <f>MROUND(ROUNDDOWN(_xlfn.XLOOKUP(B19,'Base stats'!B:B,'Base stats'!L:L)/3.6/(23.3/11),1),0.5)</f>
        <v>6.5</v>
      </c>
      <c r="I19" s="2">
        <f>IF(_xlfn.XLOOKUP(B19,'Base stats'!B:B,'Base stats'!AI:AI)=1,0.99,MIN(MROUND((1-0.6282*EXP(-0.459*AN19))*_xlfn.XLOOKUP(_xlfn.XLOOKUP(B19,'Base stats'!B:B,'Base stats'!E:E),Groups!A:A,Groups!C:C)*IF(_xlfn.XLOOKUP(B19,'Base stats'!B:B,'Base stats'!O:O)=1,0.5,IF(_xlfn.XLOOKUP(B19,'Base stats'!B:B,'Base stats'!O:O)=2,0,1)),0.05),0.985))</f>
        <v>0.65</v>
      </c>
      <c r="J19" s="2">
        <f>ROUNDUP(AN19*_xlfn.XLOOKUP(_xlfn.XLOOKUP(B19,'Base stats'!B:B,'Base stats'!E:E),Groups!A:A,Groups!E:E),0)</f>
        <v>1</v>
      </c>
      <c r="K19" s="2">
        <f>IF(OR(_xlfn.XLOOKUP(_xlfn.XLOOKUP(B19,'Base stats'!B:B,'Base stats'!E:E),Groups!A:A,Groups!F:F)=2,ISNUMBER(SEARCH("SeaIce",BV19)),ISNUMBER(SEARCH("IceSheet",BV19))),-50,IF(OR(ISNUMBER(SEARCH("GlacialPlain",BV19)),ISNUMBER(SEARCH("Tundra",BV19))),-40,IF(OR(ISNUMBER(SEARCH("Alpine",BV19)),ISNUMBER(SEARCH("BorealForest",BV19)),ISNUMBER(SEARCH("ColdBog",BV19))),-30,IF(OR(ISNUMBER(SEARCH("TemperateForest",BV19)),ISNUMBER(SEARCH("TemperateSwamp",BV19))),-20,IF(_xlfn.XLOOKUP(_xlfn.XLOOKUP(B19,'Base stats'!B:B,'Base stats'!E:E),Groups!A:A,Groups!F:F)=1,-15,IF(OR(ISNUMBER(SEARCH("Desert",BV19)),ISNUMBER(SEARCH("ExtremeDesert",BV19))),-10,IF(OR(ISNUMBER(SEARCH("Grasslands",BV19)),ISNUMBER(SEARCH("TropicalRainforest",BV19)),ISNUMBER(SEARCH("TropicalSwamp",BV19))),10,0)))))))-IF(CA19="False",MIN(IFERROR(MAX(MROUND(LOG10(_xlfn.XLOOKUP(B19,'Base stats'!B:B,'Base stats'!C:C)^(2/3))*10,5),5),5),30))-_xlfn.XLOOKUP(B19,'Base stats'!B:B,'Base stats'!P:P)+IF(CA19="True",5,0)</f>
        <v>-50</v>
      </c>
      <c r="L19" s="2">
        <f>IF(OR(_xlfn.XLOOKUP(_xlfn.XLOOKUP(B19,'Base stats'!B:B,'Base stats'!E:E),Groups!A:A,Groups!G:G)=2,ISNUMBER(SEARCH("Desert",BV19)),ISNUMBER(SEARCH("ExtremeDesert",BV19)),ISNUMBER(SEARCH("LavaField",BV19))),50,IF(ISNUMBER(SEARCH("Grasslands",BV19)),45,IF(OR(_xlfn.XLOOKUP(_xlfn.XLOOKUP(B19,'Base stats'!B:B,'Base stats'!E:E),Groups!A:A,Groups!G:G)=1,ISNUMBER(SEARCH("TropicalRainforest",BV19)),ISNUMBER(SEARCH("TropicalSwamp",BV19))),40,IF(OR(ISNUMBER(SEARCH("TemperateForest",BV19)),ISNUMBER(SEARCH("TemperateSwamp",BV19))),35,IF(OR(ISNUMBER(SEARCH("Alpine",BV19)),ISNUMBER(SEARCH("BorealForest",BV19)),ISNUMBER(SEARCH("ColdBog",BV19))),30,IF(ISNUMBER(OR(ISNUMBER(SEARCH("GlacialPlain",BV19)),SEARCH("Tundra",BV19))),25,IF(OR(ISNUMBER(SEARCH("SeaIce",BV19)),ISNUMBER(SEARCH("IceSheet",BV19)),ISNUMBER(SEARCH("TropicalSwamp",BV19))),10,35)))))))+_xlfn.XLOOKUP(B19,'Base stats'!B:B,'Base stats'!Q:Q)</f>
        <v>40</v>
      </c>
      <c r="M19" s="8" t="str">
        <f>IF(_xlfn.XLOOKUP(_xlfn.XLOOKUP(B19,'Base stats'!B:B,'Base stats'!E:E),Groups!A:A,Groups!L:L)=1,MIN(MROUND(_xlfn.XLOOKUP(B19,'Animals CE'!B:B,'Animals CE'!Z:Z)/2+0.05,0.05),200%),"No")</f>
        <v>No</v>
      </c>
      <c r="N19" s="8" t="str">
        <f>IF(_xlfn.XLOOKUP(_xlfn.XLOOKUP(B19,'Base stats'!B:B,'Base stats'!E:E),Groups!A:A,Groups!L:L)=1,MIN(MROUND(_xlfn.XLOOKUP(B19,'Animals CE'!B:B,'Animals CE'!AA:AA)/2+0.05,0.05),200%),"No")</f>
        <v>No</v>
      </c>
      <c r="O19" s="2" t="str">
        <f>_xlfn.XLOOKUP(B19,'Base stats'!B:B,'Base stats'!R:R)</f>
        <v>Standard</v>
      </c>
      <c r="P19" s="13">
        <f>MROUND((LOG10(_xlfn.XLOOKUP(B19,'Base stats'!B:B,'Base stats'!AO:AO))*(AN19^0.5)+(_xlfn.XLOOKUP(B19,'Base stats'!B:B,'Base stats'!AO:AO)/1000)^(2/3)+_xlfn.XLOOKUP(B19,'Base stats'!B:B,'Base stats'!AX:AX)/2)+0.5,0.5)</f>
        <v>5</v>
      </c>
      <c r="Q19" s="7">
        <f>IF(P19="No","No",MAX(1,MROUND(_xlfn.XLOOKUP(B19,'Base stats'!B:B,'Base stats'!C:C)^0.165,0.05)))</f>
        <v>1.7000000000000002</v>
      </c>
      <c r="R19" s="13" t="str">
        <f>IF(_xlfn.XLOOKUP(_xlfn.XLOOKUP(B19,'Base stats'!B:B,'Base stats'!E:E),Groups!A:A,Groups!P:P)=0,"No",MROUND((LOG10(_xlfn.XLOOKUP(B19,'Base stats'!B:B,'Base stats'!AP:AP))*(AN19^0.5)+(_xlfn.XLOOKUP(B19,'Base stats'!B:B,'Base stats'!AP:AP)/1000)^(2/3)+_xlfn.XLOOKUP(B19,'Base stats'!B:B,'Base stats'!AX:AX))+_xlfn.XLOOKUP(B19,'Base stats'!B:B,'Base stats'!AV:AV)+0.5,0.5))</f>
        <v>No</v>
      </c>
      <c r="S19" s="7" t="str">
        <f>IF(R19="No","No",MAX(_xlfn.XLOOKUP(_xlfn.XLOOKUP(B19,'Base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T19" s="7" t="str">
        <f>IF(R19="No","No",_xlfn.XLOOKUP(_xlfn.XLOOKUP(B19,'Base stats'!B:B,'Base stats'!E:E),Groups!A:A,Groups!R:R))</f>
        <v>No</v>
      </c>
      <c r="U19" s="7" t="str">
        <f>IF(R19="No","No",_xlfn.XLOOKUP(_xlfn.XLOOKUP(B19,'Base stats'!B:B,'Base stats'!E:E),Groups!A:A,Groups!S:S))</f>
        <v>No</v>
      </c>
      <c r="V19" s="7" t="str">
        <f>IF(R19="No","No",_xlfn.XLOOKUP(_xlfn.XLOOKUP(B19,'Base stats'!B:B,'Base stats'!E:E),Groups!A:A,Groups!T:T))</f>
        <v>No</v>
      </c>
      <c r="W19" s="13" t="str">
        <f>IF(_xlfn.XLOOKUP(B19,'Base stats'!B:B,'Base stats'!W:W)="No","No",MROUND((LOG10(_xlfn.XLOOKUP(B19,'Base stats'!B:B,'Base stats'!AR:AR))*(AN19^0.5)+(_xlfn.XLOOKUP(B19,'Base stats'!B:B,'Base stats'!AR:AR)/1000)^(2/3)+_xlfn.XLOOKUP(B19,'Base stats'!B:B,'Base stats'!AW:AW))+0.5+IF(_xlfn.XLOOKUP(_xlfn.XLOOKUP(B19,'Base stats'!B:B,'Base stats'!E:E),Groups!A:A,Groups!U:U)&lt;&gt;3,_xlfn.XLOOKUP(B19,'Base stats'!B:B,'Base stats'!AX:AX),0),0.5))</f>
        <v>No</v>
      </c>
      <c r="X19" s="7" t="str">
        <f>IF(W19="No","No",MAX(_xlfn.XLOOKUP(_xlfn.XLOOKUP(B19,'Base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Y19" s="7" t="str">
        <f>IF(W19="No","No",_xlfn.XLOOKUP(_xlfn.XLOOKUP(B19,'Base stats'!B:B,'Base stats'!E:E),Groups!A:A,Groups!W:W))</f>
        <v>No</v>
      </c>
      <c r="Z19" s="7" t="str">
        <f>IF(W19="No","No",_xlfn.XLOOKUP(_xlfn.XLOOKUP(B19,'Base stats'!B:B,'Base stats'!E:E),Groups!A:A,Groups!X:X))</f>
        <v>No</v>
      </c>
      <c r="AA19" s="7" t="str">
        <f>IF(W19="No","No",_xlfn.XLOOKUP(_xlfn.XLOOKUP(B19,'Base stats'!B:B,'Base stats'!E:E),Groups!A:A,Groups!Y:Y))</f>
        <v>No</v>
      </c>
      <c r="AB19" s="7" t="str">
        <f>_xlfn.XLOOKUP(Animals!B19,'Base stats'!B:B,'Base stats'!X:X)</f>
        <v>False</v>
      </c>
      <c r="AC19" s="13">
        <f>IF(_xlfn.XLOOKUP(B19,'Base stats'!B:B,'Base stats'!AQ:AQ)="No","No",MROUND((LOG10(_xlfn.XLOOKUP(B19,'Base stats'!B:B,'Base stats'!AQ:AQ))*(AN19^0.75)+(_xlfn.XLOOKUP(B19,'Base stats'!B:B,'Base stats'!AQ:AQ)/1000)^(2/3)+_xlfn.XLOOKUP(B19,'Base stats'!B:B,'Base stats'!AU:AU)+_xlfn.XLOOKUP(B19,'Base stats'!B:B,'Base stats'!AX:AX))+0.5,0.5))</f>
        <v>8.5</v>
      </c>
      <c r="AD19" s="7">
        <f>IF(AC19="No","No",MAX(_xlfn.XLOOKUP(_xlfn.XLOOKUP(B19,'Base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E19" s="7" t="str">
        <f>IF(AC19="No","No",_xlfn.XLOOKUP(_xlfn.XLOOKUP(B19,'Base stats'!B:B,'Base stats'!E:E),Groups!A:A,Groups!AA:AA))</f>
        <v>Teeth</v>
      </c>
      <c r="AF19" s="7" t="str">
        <f>IF(AC19="No","No",_xlfn.XLOOKUP(_xlfn.XLOOKUP(B19,'Base stats'!B:B,'Base stats'!E:E),Groups!A:A,Groups!AB:AB))</f>
        <v>canines</v>
      </c>
      <c r="AG19" s="7" t="str">
        <f>IF(AC19="No","No",_xlfn.XLOOKUP(_xlfn.XLOOKUP(B19,'Base stats'!B:B,'Base stats'!E:E),Groups!A:A,Groups!AC:AC))</f>
        <v>Bite</v>
      </c>
      <c r="AH19" s="13">
        <f>IF(_xlfn.XLOOKUP(_xlfn.XLOOKUP(B19,'Base stats'!B:B,'Base stats'!E:E),Groups!A:A,Groups!AD:AD)=0,"No",MROUND((LOG10(_xlfn.XLOOKUP(B19,'Base stats'!B:B,'Base stats'!AP:AP))*(AN19^0.75)+(_xlfn.XLOOKUP(B19,'Base stats'!B:B,'Base stats'!AP:AP)/1000)^(2/3)+_xlfn.XLOOKUP(B19,'Base stats'!B:B,'Base stats'!AV:AV)+_xlfn.XLOOKUP(B19,'Base stats'!B:B,'Base stats'!AX:AX))+0.5,0.5))</f>
        <v>7.5</v>
      </c>
      <c r="AI19" s="7">
        <f>IF(AH19="No","No",MAX(_xlfn.XLOOKUP(_xlfn.XLOOKUP(B19,'Base stats'!B:B,'Base stats'!E:E),Groups!A:A,Groups!AE:AE),MROUND(_xlfn.XLOOKUP(_xlfn.XLOOKUP(B19,'Base stats'!B:B,'Base stats'!E:E),Groups!A:A,Groups!AE:AE)*_xlfn.XLOOKUP(B19,'Base stats'!B:B,'Base stats'!C:C)^0.165,0.05)))</f>
        <v>1.1000000000000001</v>
      </c>
      <c r="AJ19" s="7" t="str">
        <f>IF(AH19="No","No",_xlfn.XLOOKUP(_xlfn.XLOOKUP(B19,'Base stats'!B:B,'Base stats'!E:E),Groups!A:A,Groups!AF:AF))</f>
        <v>FrontRightPaw, FrontRightPaw</v>
      </c>
      <c r="AK19" s="7" t="str">
        <f>IF(AH19="No","No",_xlfn.XLOOKUP(_xlfn.XLOOKUP(B19,'Base stats'!B:B,'Base stats'!E:E),Groups!A:A,Groups!AG:AG))</f>
        <v>left claw, right claw</v>
      </c>
      <c r="AL19" s="7" t="str">
        <f>IF(AH19="No","No",_xlfn.XLOOKUP(_xlfn.XLOOKUP(B19,'Base stats'!B:B,'Base stats'!E:E),Groups!A:A,Groups!AH:AH))</f>
        <v>Scratch</v>
      </c>
      <c r="AM19" s="2">
        <f t="shared" si="0"/>
        <v>20</v>
      </c>
      <c r="AN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O19" s="8">
        <f>MROUND(AN19*_xlfn.XLOOKUP(_xlfn.XLOOKUP(B19,'Base stats'!B:B,'Base stats'!E:E),Groups!A:A,Groups!AI:AI),0.05)</f>
        <v>0.70000000000000007</v>
      </c>
      <c r="AP19" s="8">
        <f>MAX(0.01,MROUND(IF(CA19="True",0.196*(AN19*100*1000)^0.889,IF(_xlfn.XLOOKUP(_xlfn.XLOOKUP(B19,'Base stats'!B:B,'Base stats'!E:E),Groups!A:A,Groups!AJ:AJ)="Bird",10.5*(AN19*100*1000)^0.681,4.82*(AN19*100*1000)^0.734))/(4.82*(1*100*1000)^0.734)/IF(AN19&lt;3.5,2,IF(AN19=3.5,1.5,1.25))*(1+0.132282374779864/(AN19^0.994035016789033+0.00905238001496948)),0.05))</f>
        <v>0.4</v>
      </c>
      <c r="AQ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R19" s="35">
        <f>IFERROR(IF(_xlfn.XLOOKUP(B19,'Base stats'!B:B,'Base stats'!F:F)="Lay eggs","Lay eggs",MIN(20,MAX(5.5,ROUND(((_xlfn.XLOOKUP(B19,'Base stats'!B:B,'Base stats'!F:F)-25)*(14.5/615) + 5.5)*2,0)/2))),"Cannot breed")</f>
        <v>6.5</v>
      </c>
      <c r="AS19" s="8">
        <f>IF(OR(A19="Queen",A19="Larva"),"No",IFERROR(MAX(IF(_xlfn.XLOOKUP(B19,'Base stats'!B:B,'Base stats'!G:G)&lt;0.5,0.2,0.3),MROUND(_xlfn.XLOOKUP(B19,'Base stats'!B:B,'Base stats'!G:G)/(365/60),0.2)),"Unknown"))</f>
        <v>0.3</v>
      </c>
      <c r="AT19" s="8">
        <f t="shared" si="1"/>
        <v>0.15000000000000002</v>
      </c>
      <c r="AU19" s="8">
        <f>IFERROR(IFERROR(MROUND(_xlfn.XLOOKUP(B19,'Base stats'!B:B,'Base stats'!J:J),0.1),"Lay eggs"),"Cannot breed")</f>
        <v>2</v>
      </c>
      <c r="AV19" s="2" t="str">
        <f t="shared" si="2"/>
        <v>false</v>
      </c>
      <c r="AW19" s="2" t="str">
        <f>IF(_xlfn.XLOOKUP(_xlfn.XLOOKUP(Animals!B19,'Base stats'!B:B,'Base stats'!E:E),Groups!A:A,Groups!AK:AK)=1,"true","false")</f>
        <v>false</v>
      </c>
      <c r="AX19" s="25" t="str">
        <f>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</f>
        <v>CarnivoreAnimal, OvivoreAnimal</v>
      </c>
      <c r="AY19" s="2" t="str">
        <f>IF(_xlfn.XLOOKUP(_xlfn.XLOOKUP(B19,'Base stats'!B:B,'Base stats'!E:E),Groups!A:A,Groups!D:D)=1,MROUND((1-I19)*5+1,2)*IF(I19&lt;=0.4,2,1),"No")</f>
        <v>No</v>
      </c>
      <c r="AZ19" s="2" t="str">
        <f>_xlfn.XLOOKUP(B19,'Base stats'!B:B,'Base stats'!AE:AE)</f>
        <v>Leather_Panthera</v>
      </c>
      <c r="BA19" s="23" t="str">
        <f>_xlfn.XLOOKUP(_xlfn.XLOOKUP(B19,'Base stats'!B:B,'Base stats'!E:E),Groups!A:A,Groups!AL:AL)</f>
        <v>QuadrupedAnimalWithPawsAndTail</v>
      </c>
      <c r="BB19" s="23">
        <f>MROUND(IF(AND(AN19&lt;0.5,_xlfn.XLOOKUP(B19,'Base stats'!B:B,'Base stats'!Z:Z)=0),0,IF(OR(_xlfn.XLOOKUP(Animals!B19,'Base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stats'!AA:AA),0.005)</f>
        <v>0.1</v>
      </c>
      <c r="BC19" s="23">
        <f>MROUND(IF(AND(AN19&lt;0.5,_xlfn.XLOOKUP(B19,'Base stats'!B:B,'Base stats'!Z:Z)=0),0,IF(_xlfn.XLOOKUP(_xlfn.XLOOKUP(B19,'Base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stats'!AB:AB),0.005)</f>
        <v>0.3</v>
      </c>
      <c r="BD19" s="2" t="str">
        <f>IF(I19&gt;0.3,"No",_xlfn.XLOOKUP(_xlfn.XLOOKUP(Animals!B19,'Base stats'!B:B,'Base stats'!E:E),Groups!A:A,Groups!AP:AP))</f>
        <v>No</v>
      </c>
      <c r="BE19" s="2">
        <f>IF(AND(I19&lt;=0.65,_xlfn.XLOOKUP(_xlfn.XLOOKUP(Animals!B19,'Base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stats'!O:O)=2,0.2,AN19) + 24*(1-IF(BD19="No",0,BD19)) + 16/3, 12),"No")</f>
        <v>48</v>
      </c>
      <c r="BF19" s="2">
        <f>IF(AND(_xlfn.XLOOKUP(_xlfn.XLOOKUP(B19,'Base stats'!B:B,'Base stats'!E:E),Groups!A:A,Groups!AQ:AQ)=1,AN19&lt;=0.35),8,12)</f>
        <v>12</v>
      </c>
      <c r="BG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H19" s="2" t="str">
        <f>IF(AND(_xlfn.XLOOKUP(_xlfn.XLOOKUP(B19,'Base stats'!B:B,'Base stats'!E:E),Groups!A:A,Groups!AS:AS)=1,OR('Base stats'!Y19="Carnivore",'Base stats'!Y19="Omnivore")),"true","false")</f>
        <v>true</v>
      </c>
      <c r="BI19" s="2">
        <f>IF(BH19="true",MROUND(IF(AND(AN19&gt;0.5,_xlfn.XLOOKUP(_xlfn.XLOOKUP(B19,'Base stats'!B:B,'Base stats'!E:E),Groups!A:A,Groups!AJ:AJ)="Mammal"),Animals!AN19*1.75*IF(AV19="true",1.5,1),Animals!AN19),IF(AN19&gt;2,0.5,IF(AN19&gt;0.5,0.25,0.1))),"No")</f>
        <v>1</v>
      </c>
      <c r="BJ19" s="2">
        <f t="shared" si="3"/>
        <v>1</v>
      </c>
      <c r="BK19" s="25" t="str">
        <f>IF('Base stats'!AK19="Standard","No",MROUND((_xlfn.XLOOKUP(B19,'Base stats'!B:B,'Base stats'!AK:AK)/3.6)/H19,0.1))</f>
        <v>No</v>
      </c>
      <c r="BL19" s="25" t="str">
        <f t="shared" si="4"/>
        <v>false</v>
      </c>
      <c r="BM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N19" s="25" t="str" cm="1">
        <f t="array" ref="BN19">IF(
  _xlfn.TEXTJOIN(", ",TRUE,
    IF(AND(BH19="true",AN19&gt;0.5,BG19&lt;&gt;"None"),"AttackTarget",""),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IF(BE19&lt;=36,"Comfort",""),
    IF(_xlfn.XLOOKUP(B19,'Base stats'!B:B,'Base stats'!AC:AC)&lt;&gt;"No",_xlfn.XLOOKUP(B19,'Base stats'!B:B,'Base stats'!AC:AC),"")
  ) = "",
  "No",
  _xlfn.TEXTJOIN(", ",TRUE,
    IF(AND(BH19="true",AN19&gt;0.5,BG19&lt;&gt;"None"),"AttackTarget",""),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IF(BE19&lt;=36,"Comfort",""),
    IF(_xlfn.XLOOKUP(B19,'Base stats'!B:B,'Base stats'!AC:AC)&lt;&gt;"No",_xlfn.XLOOKUP(B19,'Base stats'!B:B,'Base stats'!AC:AC),"")
  )
)</f>
        <v>AttackTarget</v>
      </c>
      <c r="BO19" s="25" t="str">
        <f>IF(
   AND(
      'Base stats'!AK19="Standard",_xlfn.XLOOKUP(_xlfn.XLOOKUP(B19,'Base stats'!B:B,'Base stats'!E:E),Groups!A:A,Groups!AU:AU)=0,
      OR(
      BM19="True"
      )
   ),
   10,
   IF(
       OR(BK19&lt;&gt;"No",_xlfn.XLOOKUP(_xlfn.XLOOKUP(B19,'Base stats'!B:B,'Base stats'!E:E),Groups!A:A,Groups!AU:AU)=1),
      1,
      "No"
   )
)</f>
        <v>No</v>
      </c>
      <c r="BP19" s="9">
        <f>MROUND((1 + ((0.2*IF(OR(P19="No",Q19="No",Q19=0),0,P19/Q19)
+IF(OR(U19="No",R19="No",S19="No"),0,R19/S19*(LEN(U19)-LEN(SUBSTITUTE(U19,",",""))+1))
+IF(OR(W19="No",X19="No"),0,W19/X19)
+IF(OR(AC19="No",AD19="No"),0,AC19/AD19)
+IF(OR(AK19="No",AH19="No",AI19="No"),0,AH19/AI19*(LEN(AK19)-LEN(SUBSTITUTE(AK19,",",""))+1))
)/(0.2*IF(OR(P19="No",Q19="No",Q19=0),0,1)
+IF(OR(U19="No",R19="No",S19="No"),0,LEN(U19)-LEN(SUBSTITUTE(U19,",",""))+1)
+IF(OR(W19="No",X19="No"),0,1)
+IF(OR(AC19="No",AD19="No"),0,1)
+IF(OR(AK19="No",AH19="No",AI19="No"),0,LEN(AK19)-LEN(SUBSTITUTE(AK19,",",""))+1))*62%)* 2)*(1 + (AO19 + _xlfn.XLOOKUP(B19,'Base stats'!B:B,'Base stats'!AS:AS) * 1.8) * 2) * 2.5 + 10 + H19 * 2,5)+IF(_xlfn.XLOOKUP(B19,'Base stats'!B:B,'Base stats'!AH:AH)=1,50,0)</f>
        <v>80</v>
      </c>
      <c r="BQ19" s="8">
        <f t="shared" si="5"/>
        <v>0.45</v>
      </c>
      <c r="BR19" s="8" t="str">
        <f>_xlfn.XLOOKUP(B19,'Base stats'!B:B,'Base stats'!AD:AD)</f>
        <v>No</v>
      </c>
      <c r="BS19" s="2" t="str">
        <f>IF(AND(I19&lt;=0.95,OR(_xlfn.XLOOKUP(B19,'Base stats'!B:B,'Base stats'!AH:AH)=1,_xlfn.XLOOKUP(B19,'Base stats'!B:B,'Base stats'!Y:Y)="Carnivore",_xlfn.XLOOKUP(B19,'Base stats'!B:B,'Base stats'!Y:Y)="Omnivore",BC19&gt;0.1)),"true","false")</f>
        <v>true</v>
      </c>
      <c r="BT19" s="2" t="str">
        <f>IF(_xlfn.XLOOKUP(B19,'Base stats'!B:B,'Base stats'!AF:AF)=1,"true","false")</f>
        <v>false</v>
      </c>
      <c r="BU19" s="25" t="str">
        <f>IF(E19="BaseInsect","AnimalInsect",
IF(I19&gt;0.95,"AnimalExotic",
_xlfn.TEXTJOIN(", ",TRUE,
IF(AND(_xlfn.XLOOKUP(B19,'Base stats'!B:B,'Base stats'!O:O)=0,_xlfn.XLOOKUP(_xlfn.XLOOKUP(B19,'Base stats'!B:B,'Base stats'!E:E),Groups!A:A,Groups!B:B)&gt;0),"AnimalUncommon","AnimalCommon"),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stats'!AH:AH)=1,AND(BG19&lt;&gt;"None",BP19&gt;=60),ISNUMBER(SEARCH("Attack target",BN19))),"AnimalFighter","")
)))</f>
        <v>AnimalUncommon, AnimalFighter</v>
      </c>
      <c r="BV19" s="25" t="str">
        <f>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</f>
        <v>Tundra BorealForest ColdBog TemperateForest TemperateSwamp GlacialPlain</v>
      </c>
      <c r="BW19" s="25" t="str">
        <f>IF(_xlfn.XLOOKUP(B19,'Base stats'!B:B,'Base stats'!AG:AG)=1,"true","false")</f>
        <v>false</v>
      </c>
      <c r="BX19" s="25">
        <f>IF(_xlfn.XLOOKUP(B19,'Base stats'!B:B,'Base stats'!N:N)=1,"No",MIN(MROUND(IF(OR(_xlfn.XLOOKUP(B19,'Base stats'!B:B,'Base stats'!AJ:AJ)=1,AND(BH19="True",CA19="False")),POWER(10,3.47*LOG10(_xlfn.XLOOKUP(B19,'Base stats'!B:B,'Base stats'!C:C)*1000)^-0.96),POWER(10,4.15*LOG10(_xlfn.XLOOKUP(B19,'Base stats'!B:B,'Base stats'!C:C)*1000)^-0.73))*IF(OR(_xlfn.XLOOKUP(B19,'Base stats'!B:B,'Base stats'!AJ:AJ)=1,_xlfn.XLOOKUP(B19,'Base stats'!B:B,'Base stats'!AH:AH)=1),0.5,1)/100,0.025),1))</f>
        <v>7.5000000000000011E-2</v>
      </c>
      <c r="BY19" s="25" t="str">
        <f>IF(O19="Standard","No",IF(_xlfn.XLOOKUP(B19,'Base stats'!B:B,'Base stats'!N:N)=0,MROUND(BX19*O19,0.05),MIN(1,MAX(0.025,MROUND(IF(OR(CA19="true",AND(BH19="false",BM19="false")),POWER(10,4.15*LOG10(_xlfn.XLOOKUP(B19,'Base stats'!B:B,'Base stats'!C:C)*1000)^-0.73),POWER(10,3.47*LOG10(_xlfn.XLOOKUP(B19,'Base stats'!B:B,'Base stats'!C:C)*1000)^-0.96))*IF(_xlfn.XLOOKUP(B19,'Base stats'!B:B,'Base stats'!AH:AH)=1,0.5,1)/100,0.025)))))</f>
        <v>No</v>
      </c>
      <c r="BZ19" s="25" t="str">
        <f>IF(_xlfn.XLOOKUP(_xlfn.XLOOKUP(B19,'Base stats'!B:B,'Base stats'!E:E),Groups!A:A,Groups!AJ:AJ)="Mammal","True","False")</f>
        <v>True</v>
      </c>
      <c r="CA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B19" s="25" t="str">
        <f t="shared" si="6"/>
        <v>False</v>
      </c>
      <c r="CC19" s="25" t="str">
        <f>IF(_xlfn.XLOOKUP(_xlfn.XLOOKUP(B19,'Base stats'!B:B,'Base stats'!E:E),Groups!A:A,Groups!AW:AW),"True","False")</f>
        <v>False</v>
      </c>
      <c r="CD19" s="25" t="str">
        <f>IF(_xlfn.XLOOKUP(_xlfn.XLOOKUP(B19,'Base stats'!B:B,'Base stats'!E:E),Groups!A:A,Groups!AX:AX),"True","False")</f>
        <v>False</v>
      </c>
      <c r="CE19" s="25" t="str">
        <f>IF(_xlfn.XLOOKUP(B19,'Base stats'!B:B,'Base stats'!E:E)=1,"True","False")</f>
        <v>False</v>
      </c>
      <c r="CF19" s="25" t="str">
        <f>IF(
OR(
_xlfn.XLOOKUP(_xlfn.XLOOKUP(B19,'Base stats'!B:B,'Base stats'!E:E),Groups!A:A,Groups!AY:AY)=0,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stats'!E:E),Groups!A:A,Groups!AY:AY)=1,
"Flesh",
IF(
_xlfn.XLOOKUP(_xlfn.XLOOKUP(B19,'Base stats'!B:B,'Base stats'!E:E),Groups!A:A,Groups!AY:AY)=2,
"Bone",
""
)
)
)</f>
        <v>No</v>
      </c>
      <c r="CG19" s="25" t="str">
        <f>IF(_xlfn.XLOOKUP(_xlfn.XLOOKUP(B19,'Base stats'!B:B,'Base stats'!E:E),Groups!A:A,Groups!BA:BA),"True","False")</f>
        <v>True</v>
      </c>
      <c r="CH19" s="25" t="str">
        <f>IF(_xlfn.XLOOKUP(_xlfn.XLOOKUP(B19,'Base stats'!B:B,'Base stats'!E:E),Groups!A:A,Groups!AZ:AZ),"True","False")</f>
        <v>False</v>
      </c>
      <c r="CM19" s="16"/>
    </row>
    <row r="20" spans="1:91" ht="16.5" thickTop="1" thickBot="1" x14ac:dyDescent="0.3">
      <c r="A20" s="26" t="str">
        <f>_xlfn.XLOOKUP(B20,'Base stats'!B:B,'Base stats'!A:A)</f>
        <v>Cat</v>
      </c>
      <c r="B20" s="6" t="s">
        <v>86</v>
      </c>
      <c r="C20" s="28" t="s">
        <v>705</v>
      </c>
      <c r="D20" s="28" t="s">
        <v>45</v>
      </c>
      <c r="E20" s="28" t="s">
        <v>685</v>
      </c>
      <c r="F20" s="28" t="s">
        <v>685</v>
      </c>
      <c r="G20" s="2">
        <f>MROUND((
  (IF(AND(_xlfn.XLOOKUP(B20,'Base stats'!B:B,'Base stats'!AI:AI)=0,BG20="None",_xlfn.XLOOKUP('Base stats'!E20,Groups!A:A,Groups!B:B)=0), (18 + BP20 * 2.7) * 0.5,
    IF(AND(_xlfn.XLOOKUP(B20,'Base stats'!B:B,'Base stats'!AI:AI)=0,OR(AN20&lt;0.55,AND(BG20="Intermediate",_xlfn.XLOOKUP('Base stats'!E20,Groups!A:A,Groups!B:B)&lt;2))), (18 + BP20 * 2.7),
      IF(OR(BG20="Advanced",_xlfn.XLOOKUP(B20,'Base stats'!B:B,'Base stats'!AI:AI)=1,_xlfn.XLOOKUP('Base stats'!E20,Groups!A:A,Groups!B:B)=2), (18 + BP20 * 2.7) + 250, (18 + BP20 * 2.7))
    )
  ))
  + AN20 * 80
  + IF(COUNTIF(EggMilk!K$2:K$998, A20) &gt; 0, 125, 0)
  + IF(COUNTIF(EggMilk!P$2:P$998, A20) &gt; 0, 90, 0)
  + IF(COUNTIF(EggMilk!A$2:A$998, A20) &gt; 0, 90, 0)
)
* (0.8 + 0.4 * I20)
* 0.75,25)</f>
        <v>100</v>
      </c>
      <c r="H20" s="2">
        <f>MROUND(ROUNDDOWN(_xlfn.XLOOKUP(B20,'Base stats'!B:B,'Base stats'!L:L)/3.6/(23.3/11),1),0.5)</f>
        <v>5.5</v>
      </c>
      <c r="I20" s="2">
        <f>IF(_xlfn.XLOOKUP(B20,'Base stats'!B:B,'Base stats'!AI:AI)=1,0.99,MIN(MROUND((1-0.6282*EXP(-0.459*AN20))*_xlfn.XLOOKUP(_xlfn.XLOOKUP(B20,'Base stats'!B:B,'Base stats'!E:E),Groups!A:A,Groups!C:C)*IF(_xlfn.XLOOKUP(B20,'Base stats'!B:B,'Base stats'!O:O)=1,0.5,IF(_xlfn.XLOOKUP(B20,'Base stats'!B:B,'Base stats'!O:O)=2,0,1)),0.05),0.985))</f>
        <v>0</v>
      </c>
      <c r="J20" s="2">
        <f>ROUNDUP(AN20*_xlfn.XLOOKUP(_xlfn.XLOOKUP(B20,'Base stats'!B:B,'Base stats'!E:E),Groups!A:A,Groups!E:E),0)</f>
        <v>1</v>
      </c>
      <c r="K20" s="2">
        <f>IF(OR(_xlfn.XLOOKUP(_xlfn.XLOOKUP(B20,'Base stats'!B:B,'Base stats'!E:E),Groups!A:A,Groups!F:F)=2,ISNUMBER(SEARCH("SeaIce",BV20)),ISNUMBER(SEARCH("IceSheet",BV20))),-50,IF(OR(ISNUMBER(SEARCH("GlacialPlain",BV20)),ISNUMBER(SEARCH("Tundra",BV20))),-40,IF(OR(ISNUMBER(SEARCH("Alpine",BV20)),ISNUMBER(SEARCH("BorealForest",BV20)),ISNUMBER(SEARCH("ColdBog",BV20))),-30,IF(OR(ISNUMBER(SEARCH("TemperateForest",BV20)),ISNUMBER(SEARCH("TemperateSwamp",BV20))),-20,IF(_xlfn.XLOOKUP(_xlfn.XLOOKUP(B20,'Base stats'!B:B,'Base stats'!E:E),Groups!A:A,Groups!F:F)=1,-15,IF(OR(ISNUMBER(SEARCH("Desert",BV20)),ISNUMBER(SEARCH("ExtremeDesert",BV20))),-10,IF(OR(ISNUMBER(SEARCH("Grasslands",BV20)),ISNUMBER(SEARCH("TropicalRainforest",BV20)),ISNUMBER(SEARCH("TropicalSwamp",BV20))),10,0)))))))-IF(CA20="False",MIN(IFERROR(MAX(MROUND(LOG10(_xlfn.XLOOKUP(B20,'Base stats'!B:B,'Base stats'!C:C)^(2/3))*10,5),5),5),30))-_xlfn.XLOOKUP(B20,'Base stats'!B:B,'Base stats'!P:P)+IF(CA20="True",5,0)</f>
        <v>-20</v>
      </c>
      <c r="L20" s="2">
        <f>IF(OR(_xlfn.XLOOKUP(_xlfn.XLOOKUP(B20,'Base stats'!B:B,'Base stats'!E:E),Groups!A:A,Groups!G:G)=2,ISNUMBER(SEARCH("Desert",BV20)),ISNUMBER(SEARCH("ExtremeDesert",BV20)),ISNUMBER(SEARCH("LavaField",BV20))),50,IF(ISNUMBER(SEARCH("Grasslands",BV20)),45,IF(OR(_xlfn.XLOOKUP(_xlfn.XLOOKUP(B20,'Base stats'!B:B,'Base stats'!E:E),Groups!A:A,Groups!G:G)=1,ISNUMBER(SEARCH("TropicalRainforest",BV20)),ISNUMBER(SEARCH("TropicalSwamp",BV20))),40,IF(OR(ISNUMBER(SEARCH("TemperateForest",BV20)),ISNUMBER(SEARCH("TemperateSwamp",BV20))),35,IF(OR(ISNUMBER(SEARCH("Alpine",BV20)),ISNUMBER(SEARCH("BorealForest",BV20)),ISNUMBER(SEARCH("ColdBog",BV20))),30,IF(ISNUMBER(OR(ISNUMBER(SEARCH("GlacialPlain",BV20)),SEARCH("Tundra",BV20))),25,IF(OR(ISNUMBER(SEARCH("SeaIce",BV20)),ISNUMBER(SEARCH("IceSheet",BV20)),ISNUMBER(SEARCH("TropicalSwamp",BV20))),10,35)))))))+_xlfn.XLOOKUP(B20,'Base stats'!B:B,'Base stats'!Q:Q)</f>
        <v>40</v>
      </c>
      <c r="M20" s="8" t="str">
        <f>IF(_xlfn.XLOOKUP(_xlfn.XLOOKUP(B20,'Base stats'!B:B,'Base stats'!E:E),Groups!A:A,Groups!L:L)=1,MIN(MROUND(_xlfn.XLOOKUP(B20,'Animals CE'!B:B,'Animals CE'!Z:Z)/2+0.05,0.05),200%),"No")</f>
        <v>No</v>
      </c>
      <c r="N20" s="8" t="str">
        <f>IF(_xlfn.XLOOKUP(_xlfn.XLOOKUP(B20,'Base stats'!B:B,'Base stats'!E:E),Groups!A:A,Groups!L:L)=1,MIN(MROUND(_xlfn.XLOOKUP(B20,'Animals CE'!B:B,'Animals CE'!AA:AA)/2+0.05,0.05),200%),"No")</f>
        <v>No</v>
      </c>
      <c r="O20" s="2" t="str">
        <f>_xlfn.XLOOKUP(B20,'Base stats'!B:B,'Base stats'!R:R)</f>
        <v>Standard</v>
      </c>
      <c r="P20" s="13">
        <f>MROUND((LOG10(_xlfn.XLOOKUP(B20,'Base stats'!B:B,'Base stats'!AO:AO))*(AN20^0.5)+(_xlfn.XLOOKUP(B20,'Base stats'!B:B,'Base stats'!AO:AO)/1000)^(2/3)+_xlfn.XLOOKUP(B20,'Base stats'!B:B,'Base stats'!AX:AX)/2)+0.5,0.5)</f>
        <v>2.5</v>
      </c>
      <c r="Q20" s="7">
        <f>IF(P20="No","No",MAX(1,MROUND(_xlfn.XLOOKUP(B20,'Base stats'!B:B,'Base stats'!C:C)^0.165,0.05)))</f>
        <v>1.25</v>
      </c>
      <c r="R20" s="13" t="str">
        <f>IF(_xlfn.XLOOKUP(_xlfn.XLOOKUP(B20,'Base stats'!B:B,'Base stats'!E:E),Groups!A:A,Groups!P:P)=0,"No",MROUND((LOG10(_xlfn.XLOOKUP(B20,'Base stats'!B:B,'Base stats'!AP:AP))*(AN20^0.5)+(_xlfn.XLOOKUP(B20,'Base stats'!B:B,'Base stats'!AP:AP)/1000)^(2/3)+_xlfn.XLOOKUP(B20,'Base stats'!B:B,'Base stats'!AX:AX))+_xlfn.XLOOKUP(B20,'Base stats'!B:B,'Base stats'!AV:AV)+0.5,0.5))</f>
        <v>No</v>
      </c>
      <c r="S20" s="7" t="str">
        <f>IF(R20="No","No",MAX(_xlfn.XLOOKUP(_xlfn.XLOOKUP(B20,'Base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T20" s="7" t="str">
        <f>IF(R20="No","No",_xlfn.XLOOKUP(_xlfn.XLOOKUP(B20,'Base stats'!B:B,'Base stats'!E:E),Groups!A:A,Groups!R:R))</f>
        <v>No</v>
      </c>
      <c r="U20" s="7" t="str">
        <f>IF(R20="No","No",_xlfn.XLOOKUP(_xlfn.XLOOKUP(B20,'Base stats'!B:B,'Base stats'!E:E),Groups!A:A,Groups!S:S))</f>
        <v>No</v>
      </c>
      <c r="V20" s="7" t="str">
        <f>IF(R20="No","No",_xlfn.XLOOKUP(_xlfn.XLOOKUP(B20,'Base stats'!B:B,'Base stats'!E:E),Groups!A:A,Groups!T:T))</f>
        <v>No</v>
      </c>
      <c r="W20" s="13" t="str">
        <f>IF(_xlfn.XLOOKUP(B20,'Base stats'!B:B,'Base stats'!W:W)="No","No",MROUND((LOG10(_xlfn.XLOOKUP(B20,'Base stats'!B:B,'Base stats'!AR:AR))*(AN20^0.5)+(_xlfn.XLOOKUP(B20,'Base stats'!B:B,'Base stats'!AR:AR)/1000)^(2/3)+_xlfn.XLOOKUP(B20,'Base stats'!B:B,'Base stats'!AW:AW))+0.5+IF(_xlfn.XLOOKUP(_xlfn.XLOOKUP(B20,'Base stats'!B:B,'Base stats'!E:E),Groups!A:A,Groups!U:U)&lt;&gt;3,_xlfn.XLOOKUP(B20,'Base stats'!B:B,'Base stats'!AX:AX),0),0.5))</f>
        <v>No</v>
      </c>
      <c r="X20" s="7" t="str">
        <f>IF(W20="No","No",MAX(_xlfn.XLOOKUP(_xlfn.XLOOKUP(B20,'Base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Y20" s="7" t="str">
        <f>IF(W20="No","No",_xlfn.XLOOKUP(_xlfn.XLOOKUP(B20,'Base stats'!B:B,'Base stats'!E:E),Groups!A:A,Groups!W:W))</f>
        <v>No</v>
      </c>
      <c r="Z20" s="7" t="str">
        <f>IF(W20="No","No",_xlfn.XLOOKUP(_xlfn.XLOOKUP(B20,'Base stats'!B:B,'Base stats'!E:E),Groups!A:A,Groups!X:X))</f>
        <v>No</v>
      </c>
      <c r="AA20" s="7" t="str">
        <f>IF(W20="No","No",_xlfn.XLOOKUP(_xlfn.XLOOKUP(B20,'Base stats'!B:B,'Base stats'!E:E),Groups!A:A,Groups!Y:Y))</f>
        <v>No</v>
      </c>
      <c r="AB20" s="7" t="str">
        <f>_xlfn.XLOOKUP(Animals!B20,'Base stats'!B:B,'Base stats'!X:X)</f>
        <v>False</v>
      </c>
      <c r="AC20" s="13">
        <f>IF(_xlfn.XLOOKUP(B20,'Base stats'!B:B,'Base stats'!AQ:AQ)="No","No",MROUND((LOG10(_xlfn.XLOOKUP(B20,'Base stats'!B:B,'Base stats'!AQ:AQ))*(AN20^0.75)+(_xlfn.XLOOKUP(B20,'Base stats'!B:B,'Base stats'!AQ:AQ)/1000)^(2/3)+_xlfn.XLOOKUP(B20,'Base stats'!B:B,'Base stats'!AU:AU)+_xlfn.XLOOKUP(B20,'Base stats'!B:B,'Base stats'!AX:AX))+0.5,0.5))</f>
        <v>3.5</v>
      </c>
      <c r="AD20" s="7">
        <f>IF(AC20="No","No",MAX(_xlfn.XLOOKUP(_xlfn.XLOOKUP(B20,'Base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E20" s="7" t="str">
        <f>IF(AC20="No","No",_xlfn.XLOOKUP(_xlfn.XLOOKUP(B20,'Base stats'!B:B,'Base stats'!E:E),Groups!A:A,Groups!AA:AA))</f>
        <v>Teeth</v>
      </c>
      <c r="AF20" s="7" t="str">
        <f>IF(AC20="No","No",_xlfn.XLOOKUP(_xlfn.XLOOKUP(B20,'Base stats'!B:B,'Base stats'!E:E),Groups!A:A,Groups!AB:AB))</f>
        <v>canines</v>
      </c>
      <c r="AG20" s="7" t="str">
        <f>IF(AC20="No","No",_xlfn.XLOOKUP(_xlfn.XLOOKUP(B20,'Base stats'!B:B,'Base stats'!E:E),Groups!A:A,Groups!AC:AC))</f>
        <v>Bite</v>
      </c>
      <c r="AH20" s="13">
        <f>IF(_xlfn.XLOOKUP(_xlfn.XLOOKUP(B20,'Base stats'!B:B,'Base stats'!E:E),Groups!A:A,Groups!AD:AD)=0,"No",MROUND((LOG10(_xlfn.XLOOKUP(B20,'Base stats'!B:B,'Base stats'!AP:AP))*(AN20^0.75)+(_xlfn.XLOOKUP(B20,'Base stats'!B:B,'Base stats'!AP:AP)/1000)^(2/3)+_xlfn.XLOOKUP(B20,'Base stats'!B:B,'Base stats'!AV:AV)+_xlfn.XLOOKUP(B20,'Base stats'!B:B,'Base stats'!AX:AX))+0.5,0.5))</f>
        <v>3</v>
      </c>
      <c r="AI20" s="7">
        <f>IF(AH20="No","No",MAX(_xlfn.XLOOKUP(_xlfn.XLOOKUP(B20,'Base stats'!B:B,'Base stats'!E:E),Groups!A:A,Groups!AE:AE),MROUND(_xlfn.XLOOKUP(_xlfn.XLOOKUP(B20,'Base stats'!B:B,'Base stats'!E:E),Groups!A:A,Groups!AE:AE)*_xlfn.XLOOKUP(B20,'Base stats'!B:B,'Base stats'!C:C)^0.165,0.05)))</f>
        <v>0.8</v>
      </c>
      <c r="AJ20" s="7" t="str">
        <f>IF(AH20="No","No",_xlfn.XLOOKUP(_xlfn.XLOOKUP(B20,'Base stats'!B:B,'Base stats'!E:E),Groups!A:A,Groups!AF:AF))</f>
        <v>FrontRightPaw, FrontRightPaw</v>
      </c>
      <c r="AK20" s="7" t="str">
        <f>IF(AH20="No","No",_xlfn.XLOOKUP(_xlfn.XLOOKUP(B20,'Base stats'!B:B,'Base stats'!E:E),Groups!A:A,Groups!AG:AG))</f>
        <v>left claw, right claw</v>
      </c>
      <c r="AL20" s="7" t="str">
        <f>IF(AH20="No","No",_xlfn.XLOOKUP(_xlfn.XLOOKUP(B20,'Base stats'!B:B,'Base stats'!E:E),Groups!A:A,Groups!AH:AH))</f>
        <v>Scratch</v>
      </c>
      <c r="AM20" s="2">
        <f t="shared" si="0"/>
        <v>15</v>
      </c>
      <c r="AN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O20" s="8">
        <f>MROUND(AN20*_xlfn.XLOOKUP(_xlfn.XLOOKUP(B20,'Base stats'!B:B,'Base stats'!E:E),Groups!A:A,Groups!AI:AI),0.05)</f>
        <v>0.35000000000000003</v>
      </c>
      <c r="AP20" s="8">
        <f>MAX(0.01,MROUND(IF(CA20="True",0.196*(AN20*100*1000)^0.889,IF(_xlfn.XLOOKUP(_xlfn.XLOOKUP(B20,'Base stats'!B:B,'Base stats'!E:E),Groups!A:A,Groups!AJ:AJ)="Bird",10.5*(AN20*100*1000)^0.681,4.82*(AN20*100*1000)^0.734))/(4.82*(1*100*1000)^0.734)/IF(AN20&lt;3.5,2,IF(AN20=3.5,1.5,1.25))*(1+0.132282374779864/(AN20^0.994035016789033+0.00905238001496948)),0.05))</f>
        <v>0.30000000000000004</v>
      </c>
      <c r="AQ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R20" s="35">
        <f>IFERROR(IF(_xlfn.XLOOKUP(B20,'Base stats'!B:B,'Base stats'!F:F)="Lay eggs","Lay eggs",MIN(20,MAX(5.5,ROUND(((_xlfn.XLOOKUP(B20,'Base stats'!B:B,'Base stats'!F:F)-25)*(14.5/615) + 5.5)*2,0)/2))),"Cannot breed")</f>
        <v>6.5</v>
      </c>
      <c r="AS20" s="8">
        <f>IF(OR(A20="Queen",A20="Larva"),"No",IFERROR(MAX(IF(_xlfn.XLOOKUP(B20,'Base stats'!B:B,'Base stats'!G:G)&lt;0.5,0.2,0.3),MROUND(_xlfn.XLOOKUP(B20,'Base stats'!B:B,'Base stats'!G:G)/(365/60),0.2)),"Unknown"))</f>
        <v>0.3</v>
      </c>
      <c r="AT20" s="8">
        <f t="shared" si="1"/>
        <v>0.15000000000000002</v>
      </c>
      <c r="AU20" s="8">
        <f>IFERROR(IFERROR(MROUND(_xlfn.XLOOKUP(B20,'Base stats'!B:B,'Base stats'!J:J),0.1),"Lay eggs"),"Cannot breed")</f>
        <v>4</v>
      </c>
      <c r="AV20" s="2" t="str">
        <f t="shared" si="2"/>
        <v>false</v>
      </c>
      <c r="AW20" s="2" t="str">
        <f>IF(_xlfn.XLOOKUP(_xlfn.XLOOKUP(Animals!B20,'Base stats'!B:B,'Base stats'!E:E),Groups!A:A,Groups!AK:AK)=1,"true","false")</f>
        <v>false</v>
      </c>
      <c r="AX20" s="25" t="str">
        <f>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</f>
        <v>CarnivoreAnimal, OvivoreAnimal</v>
      </c>
      <c r="AY20" s="2" t="str">
        <f>IF(_xlfn.XLOOKUP(_xlfn.XLOOKUP(B20,'Base stats'!B:B,'Base stats'!E:E),Groups!A:A,Groups!D:D)=1,MROUND((1-I20)*5+1,2)*IF(I20&lt;=0.4,2,1),"No")</f>
        <v>No</v>
      </c>
      <c r="AZ20" s="2" t="str">
        <f>_xlfn.XLOOKUP(B20,'Base stats'!B:B,'Base stats'!AE:AE)</f>
        <v>Leather_Light</v>
      </c>
      <c r="BA20" s="23" t="str">
        <f>_xlfn.XLOOKUP(_xlfn.XLOOKUP(B20,'Base stats'!B:B,'Base stats'!E:E),Groups!A:A,Groups!AL:AL)</f>
        <v>QuadrupedAnimalWithPawsAndTail</v>
      </c>
      <c r="BB20" s="23">
        <f>MROUND(IF(AND(AN20&lt;0.5,_xlfn.XLOOKUP(B20,'Base stats'!B:B,'Base stats'!Z:Z)=0),0,IF(OR(_xlfn.XLOOKUP(Animals!B20,'Base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stats'!AA:AA),0.005)</f>
        <v>0</v>
      </c>
      <c r="BC20" s="23">
        <f>MROUND(IF(AND(AN20&lt;0.5,_xlfn.XLOOKUP(B20,'Base stats'!B:B,'Base stats'!Z:Z)=0),0,IF(_xlfn.XLOOKUP(_xlfn.XLOOKUP(B20,'Base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stats'!AB:AB),0.005)</f>
        <v>0</v>
      </c>
      <c r="BD20" s="2">
        <f>IF(I20&gt;0.3,"No",_xlfn.XLOOKUP(_xlfn.XLOOKUP(Animals!B20,'Base stats'!B:B,'Base stats'!E:E),Groups!A:A,Groups!AP:AP))</f>
        <v>1</v>
      </c>
      <c r="BE20" s="2">
        <f>IF(AND(I20&lt;=0.65,_xlfn.XLOOKUP(_xlfn.XLOOKUP(Animals!B20,'Base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stats'!O:O)=2,0.2,AN20) + 24*(1-IF(BD20="No",0,BD20)) + 16/3, 12),"No")</f>
        <v>12</v>
      </c>
      <c r="BF20" s="2">
        <f>IF(AND(_xlfn.XLOOKUP(_xlfn.XLOOKUP(B20,'Base stats'!B:B,'Base stats'!E:E),Groups!A:A,Groups!AQ:AQ)=1,AN20&lt;=0.35),8,12)</f>
        <v>12</v>
      </c>
      <c r="BG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H20" s="2" t="str">
        <f>IF(AND(_xlfn.XLOOKUP(_xlfn.XLOOKUP(B20,'Base stats'!B:B,'Base stats'!E:E),Groups!A:A,Groups!AS:AS)=1,OR('Base stats'!Y20="Carnivore",'Base stats'!Y20="Omnivore")),"true","false")</f>
        <v>true</v>
      </c>
      <c r="BI20" s="2">
        <f>IF(BH20="true",MROUND(IF(AND(AN20&gt;0.5,_xlfn.XLOOKUP(_xlfn.XLOOKUP(B20,'Base stats'!B:B,'Base stats'!E:E),Groups!A:A,Groups!AJ:AJ)="Mammal"),Animals!AN20*1.75*IF(AV20="true",1.5,1),Animals!AN20),IF(AN20&gt;2,0.5,IF(AN20&gt;0.5,0.25,0.1))),"No")</f>
        <v>0.30000000000000004</v>
      </c>
      <c r="BJ20" s="2">
        <f t="shared" si="3"/>
        <v>1</v>
      </c>
      <c r="BK20" s="25" t="str">
        <f>IF('Base stats'!AK20="Standard","No",MROUND((_xlfn.XLOOKUP(B20,'Base stats'!B:B,'Base stats'!AK:AK)/3.6)/H20,0.1))</f>
        <v>No</v>
      </c>
      <c r="BL20" s="25" t="str">
        <f t="shared" si="4"/>
        <v>false</v>
      </c>
      <c r="BM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N20" s="25" t="str" cm="1">
        <f t="array" ref="BN20">IF(
  _xlfn.TEXTJOIN(", ",TRUE,
    IF(AND(BH20="true",AN20&gt;0.5,BG20&lt;&gt;"None"),"AttackTarget",""),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IF(BE20&lt;=36,"Comfort",""),
    IF(_xlfn.XLOOKUP(B20,'Base stats'!B:B,'Base stats'!AC:AC)&lt;&gt;"No",_xlfn.XLOOKUP(B20,'Base stats'!B:B,'Base stats'!AC:AC),"")
  ) = "",
  "No",
  _xlfn.TEXTJOIN(", ",TRUE,
    IF(AND(BH20="true",AN20&gt;0.5,BG20&lt;&gt;"None"),"AttackTarget",""),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IF(BE20&lt;=36,"Comfort",""),
    IF(_xlfn.XLOOKUP(B20,'Base stats'!B:B,'Base stats'!AC:AC)&lt;&gt;"No",_xlfn.XLOOKUP(B20,'Base stats'!B:B,'Base stats'!AC:AC),"")
  )
)</f>
        <v>Comfort</v>
      </c>
      <c r="BO20" s="25" t="str">
        <f>IF(
   AND(
      'Base stats'!AK20="Standard",_xlfn.XLOOKUP(_xlfn.XLOOKUP(B20,'Base stats'!B:B,'Base stats'!E:E),Groups!A:A,Groups!AU:AU)=0,
      OR(
      BM20="True"
      )
   ),
   10,
   IF(
       OR(BK20&lt;&gt;"No",_xlfn.XLOOKUP(_xlfn.XLOOKUP(B20,'Base stats'!B:B,'Base stats'!E:E),Groups!A:A,Groups!AU:AU)=1),
      1,
      "No"
   )
)</f>
        <v>No</v>
      </c>
      <c r="BP20" s="9">
        <f>MROUND((1 + ((0.2*IF(OR(P20="No",Q20="No",Q20=0),0,P20/Q20)
+IF(OR(U20="No",R20="No",S20="No"),0,R20/S20*(LEN(U20)-LEN(SUBSTITUTE(U20,",",""))+1))
+IF(OR(W20="No",X20="No"),0,W20/X20)
+IF(OR(AC20="No",AD20="No"),0,AC20/AD20)
+IF(OR(AK20="No",AH20="No",AI20="No"),0,AH20/AI20*(LEN(AK20)-LEN(SUBSTITUTE(AK20,",",""))+1))
)/(0.2*IF(OR(P20="No",Q20="No",Q20=0),0,1)
+IF(OR(U20="No",R20="No",S20="No"),0,LEN(U20)-LEN(SUBSTITUTE(U20,",",""))+1)
+IF(OR(W20="No",X20="No"),0,1)
+IF(OR(AC20="No",AD20="No"),0,1)
+IF(OR(AK20="No",AH20="No",AI20="No"),0,LEN(AK20)-LEN(SUBSTITUTE(AK20,",",""))+1))*62%)* 2)*(1 + (AO20 + _xlfn.XLOOKUP(B20,'Base stats'!B:B,'Base stats'!AS:AS) * 1.8) * 2) * 2.5 + 10 + H20 * 2,5)+IF(_xlfn.XLOOKUP(B20,'Base stats'!B:B,'Base stats'!AH:AH)=1,50,0)</f>
        <v>45</v>
      </c>
      <c r="BQ20" s="8">
        <f t="shared" si="5"/>
        <v>0.30000000000000004</v>
      </c>
      <c r="BR20" s="8" t="str">
        <f>_xlfn.XLOOKUP(B20,'Base stats'!B:B,'Base stats'!AD:AD)</f>
        <v>No</v>
      </c>
      <c r="BS20" s="2" t="str">
        <f>IF(AND(I20&lt;=0.95,OR(_xlfn.XLOOKUP(B20,'Base stats'!B:B,'Base stats'!AH:AH)=1,_xlfn.XLOOKUP(B20,'Base stats'!B:B,'Base stats'!Y:Y)="Carnivore",_xlfn.XLOOKUP(B20,'Base stats'!B:B,'Base stats'!Y:Y)="Omnivore",BC20&gt;0.1)),"true","false")</f>
        <v>true</v>
      </c>
      <c r="BT20" s="2" t="str">
        <f>IF(_xlfn.XLOOKUP(B20,'Base stats'!B:B,'Base stats'!AF:AF)=1,"true","false")</f>
        <v>false</v>
      </c>
      <c r="BU20" s="25" t="str">
        <f>IF(E20="BaseInsect","AnimalInsect",
IF(I20&gt;0.95,"AnimalExotic",
_xlfn.TEXTJOIN(", ",TRUE,
IF(AND(_xlfn.XLOOKUP(B20,'Base stats'!B:B,'Base stats'!O:O)=0,_xlfn.XLOOKUP(_xlfn.XLOOKUP(B20,'Base stats'!B:B,'Base stats'!E:E),Groups!A:A,Groups!B:B)&gt;0),"AnimalUncommon","AnimalCommon"),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stats'!AH:AH)=1,AND(BG20&lt;&gt;"None",BP20&gt;=60),ISNUMBER(SEARCH("Attack target",BN20))),"AnimalFighter","")
)))</f>
        <v>AnimalCommon, AnimalPet</v>
      </c>
      <c r="BV20" s="25" t="str">
        <f>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</f>
        <v>Scarlands</v>
      </c>
      <c r="BW20" s="25" t="str">
        <f>IF(_xlfn.XLOOKUP(B20,'Base stats'!B:B,'Base stats'!AG:AG)=1,"true","false")</f>
        <v>false</v>
      </c>
      <c r="BX20" s="25">
        <f>IF(_xlfn.XLOOKUP(B20,'Base stats'!B:B,'Base stats'!N:N)=1,"No",MIN(MROUND(IF(OR(_xlfn.XLOOKUP(B20,'Base stats'!B:B,'Base stats'!AJ:AJ)=1,AND(BH20="True",CA20="False")),POWER(10,3.47*LOG10(_xlfn.XLOOKUP(B20,'Base stats'!B:B,'Base stats'!C:C)*1000)^-0.96),POWER(10,4.15*LOG10(_xlfn.XLOOKUP(B20,'Base stats'!B:B,'Base stats'!C:C)*1000)^-0.73))*IF(OR(_xlfn.XLOOKUP(B20,'Base stats'!B:B,'Base stats'!AJ:AJ)=1,_xlfn.XLOOKUP(B20,'Base stats'!B:B,'Base stats'!AH:AH)=1),0.5,1)/100,0.025),1))</f>
        <v>0.1</v>
      </c>
      <c r="BY20" s="25" t="str">
        <f>IF(O20="Standard","No",IF(_xlfn.XLOOKUP(B20,'Base stats'!B:B,'Base stats'!N:N)=0,MROUND(BX20*O20,0.05),MIN(1,MAX(0.025,MROUND(IF(OR(CA20="true",AND(BH20="false",BM20="false")),POWER(10,4.15*LOG10(_xlfn.XLOOKUP(B20,'Base stats'!B:B,'Base stats'!C:C)*1000)^-0.73),POWER(10,3.47*LOG10(_xlfn.XLOOKUP(B20,'Base stats'!B:B,'Base stats'!C:C)*1000)^-0.96))*IF(_xlfn.XLOOKUP(B20,'Base stats'!B:B,'Base stats'!AH:AH)=1,0.5,1)/100,0.025)))))</f>
        <v>No</v>
      </c>
      <c r="BZ20" s="25" t="str">
        <f>IF(_xlfn.XLOOKUP(_xlfn.XLOOKUP(B20,'Base stats'!B:B,'Base stats'!E:E),Groups!A:A,Groups!AJ:AJ)="Mammal","True","False")</f>
        <v>True</v>
      </c>
      <c r="CA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B20" s="25" t="str">
        <f t="shared" si="6"/>
        <v>False</v>
      </c>
      <c r="CC20" s="25" t="str">
        <f>IF(_xlfn.XLOOKUP(_xlfn.XLOOKUP(B20,'Base stats'!B:B,'Base stats'!E:E),Groups!A:A,Groups!AW:AW),"True","False")</f>
        <v>False</v>
      </c>
      <c r="CD20" s="25" t="str">
        <f>IF(_xlfn.XLOOKUP(_xlfn.XLOOKUP(B20,'Base stats'!B:B,'Base stats'!E:E),Groups!A:A,Groups!AX:AX),"True","False")</f>
        <v>False</v>
      </c>
      <c r="CE20" s="25" t="str">
        <f>IF(_xlfn.XLOOKUP(B20,'Base stats'!B:B,'Base stats'!E:E)=1,"True","False")</f>
        <v>False</v>
      </c>
      <c r="CF20" s="25" t="str">
        <f>IF(
OR(
_xlfn.XLOOKUP(_xlfn.XLOOKUP(B20,'Base stats'!B:B,'Base stats'!E:E),Groups!A:A,Groups!AY:AY)=0,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stats'!E:E),Groups!A:A,Groups!AY:AY)=1,
"Flesh",
IF(
_xlfn.XLOOKUP(_xlfn.XLOOKUP(B20,'Base stats'!B:B,'Base stats'!E:E),Groups!A:A,Groups!AY:AY)=2,
"Bone",
""
)
)
)</f>
        <v>No</v>
      </c>
      <c r="CG20" s="25" t="str">
        <f>IF(_xlfn.XLOOKUP(_xlfn.XLOOKUP(B20,'Base stats'!B:B,'Base stats'!E:E),Groups!A:A,Groups!BA:BA),"True","False")</f>
        <v>True</v>
      </c>
      <c r="CH20" s="25" t="str">
        <f>IF(_xlfn.XLOOKUP(_xlfn.XLOOKUP(B20,'Base stats'!B:B,'Base stats'!E:E),Groups!A:A,Groups!AZ:AZ),"True","False")</f>
        <v>False</v>
      </c>
      <c r="CM20" s="16"/>
    </row>
    <row r="21" spans="1:91" ht="16.5" thickTop="1" thickBot="1" x14ac:dyDescent="0.3">
      <c r="A21" s="26" t="str">
        <f>_xlfn.XLOOKUP(B21,'Base stats'!B:B,'Base stats'!A:A)</f>
        <v>Horse</v>
      </c>
      <c r="B21" s="6" t="s">
        <v>93</v>
      </c>
      <c r="C21" s="28" t="s">
        <v>706</v>
      </c>
      <c r="D21" s="28" t="s">
        <v>45</v>
      </c>
      <c r="E21" s="28" t="s">
        <v>685</v>
      </c>
      <c r="F21" s="28" t="s">
        <v>685</v>
      </c>
      <c r="G21" s="2">
        <f>MROUND((
  (IF(AND(_xlfn.XLOOKUP(B21,'Base stats'!B:B,'Base stats'!AI:AI)=0,BG21="None",_xlfn.XLOOKUP('Base stats'!E21,Groups!A:A,Groups!B:B)=0), (18 + BP21 * 2.7) * 0.5,
    IF(AND(_xlfn.XLOOKUP(B21,'Base stats'!B:B,'Base stats'!AI:AI)=0,OR(AN21&lt;0.55,AND(BG21="Intermediate",_xlfn.XLOOKUP('Base stats'!E21,Groups!A:A,Groups!B:B)&lt;2))), (18 + BP21 * 2.7),
      IF(OR(BG21="Advanced",_xlfn.XLOOKUP(B21,'Base stats'!B:B,'Base stats'!AI:AI)=1,_xlfn.XLOOKUP('Base stats'!E21,Groups!A:A,Groups!B:B)=2), (18 + BP21 * 2.7) + 250, (18 + BP21 * 2.7))
    )
  ))
  + AN21 * 80
  + IF(COUNTIF(EggMilk!K$2:K$998, A21) &gt; 0, 125, 0)
  + IF(COUNTIF(EggMilk!P$2:P$998, A21) &gt; 0, 90, 0)
  + IF(COUNTIF(EggMilk!A$2:A$998, A21) &gt; 0, 90, 0)
)
* (0.8 + 0.4 * I21)
* 0.75,25)</f>
        <v>425</v>
      </c>
      <c r="H21" s="2">
        <f>MROUND(ROUNDDOWN(_xlfn.XLOOKUP(B21,'Base stats'!B:B,'Base stats'!L:L)/3.6/(23.3/11),1),0.5)</f>
        <v>9</v>
      </c>
      <c r="I21" s="2">
        <f>IF(_xlfn.XLOOKUP(B21,'Base stats'!B:B,'Base stats'!AI:AI)=1,0.99,MIN(MROUND((1-0.6282*EXP(-0.459*AN21))*_xlfn.XLOOKUP(_xlfn.XLOOKUP(B21,'Base stats'!B:B,'Base stats'!E:E),Groups!A:A,Groups!C:C)*IF(_xlfn.XLOOKUP(B21,'Base stats'!B:B,'Base stats'!O:O)=1,0.5,IF(_xlfn.XLOOKUP(B21,'Base stats'!B:B,'Base stats'!O:O)=2,0,1)),0.05),0.985))</f>
        <v>0.30000000000000004</v>
      </c>
      <c r="J21" s="2">
        <f>ROUNDUP(AN21*_xlfn.XLOOKUP(_xlfn.XLOOKUP(B21,'Base stats'!B:B,'Base stats'!E:E),Groups!A:A,Groups!E:E),0)</f>
        <v>14</v>
      </c>
      <c r="K21" s="2">
        <f>IF(OR(_xlfn.XLOOKUP(_xlfn.XLOOKUP(B21,'Base stats'!B:B,'Base stats'!E:E),Groups!A:A,Groups!F:F)=2,ISNUMBER(SEARCH("SeaIce",BV21)),ISNUMBER(SEARCH("IceSheet",BV21))),-50,IF(OR(ISNUMBER(SEARCH("GlacialPlain",BV21)),ISNUMBER(SEARCH("Tundra",BV21))),-40,IF(OR(ISNUMBER(SEARCH("Alpine",BV21)),ISNUMBER(SEARCH("BorealForest",BV21)),ISNUMBER(SEARCH("ColdBog",BV21))),-30,IF(OR(ISNUMBER(SEARCH("TemperateForest",BV21)),ISNUMBER(SEARCH("TemperateSwamp",BV21))),-20,IF(_xlfn.XLOOKUP(_xlfn.XLOOKUP(B21,'Base stats'!B:B,'Base stats'!E:E),Groups!A:A,Groups!F:F)=1,-15,IF(OR(ISNUMBER(SEARCH("Desert",BV21)),ISNUMBER(SEARCH("ExtremeDesert",BV21))),-10,IF(OR(ISNUMBER(SEARCH("Grasslands",BV21)),ISNUMBER(SEARCH("TropicalRainforest",BV21)),ISNUMBER(SEARCH("TropicalSwamp",BV21))),10,0)))))))-IF(CA21="False",MIN(IFERROR(MAX(MROUND(LOG10(_xlfn.XLOOKUP(B21,'Base stats'!B:B,'Base stats'!C:C)^(2/3))*10,5),5),5),30))-_xlfn.XLOOKUP(B21,'Base stats'!B:B,'Base stats'!P:P)+IF(CA21="True",5,0)</f>
        <v>-35</v>
      </c>
      <c r="L21" s="2">
        <f>IF(OR(_xlfn.XLOOKUP(_xlfn.XLOOKUP(B21,'Base stats'!B:B,'Base stats'!E:E),Groups!A:A,Groups!G:G)=2,ISNUMBER(SEARCH("Desert",BV21)),ISNUMBER(SEARCH("ExtremeDesert",BV21)),ISNUMBER(SEARCH("LavaField",BV21))),50,IF(ISNUMBER(SEARCH("Grasslands",BV21)),45,IF(OR(_xlfn.XLOOKUP(_xlfn.XLOOKUP(B21,'Base stats'!B:B,'Base stats'!E:E),Groups!A:A,Groups!G:G)=1,ISNUMBER(SEARCH("TropicalRainforest",BV21)),ISNUMBER(SEARCH("TropicalSwamp",BV21))),40,IF(OR(ISNUMBER(SEARCH("TemperateForest",BV21)),ISNUMBER(SEARCH("TemperateSwamp",BV21))),35,IF(OR(ISNUMBER(SEARCH("Alpine",BV21)),ISNUMBER(SEARCH("BorealForest",BV21)),ISNUMBER(SEARCH("ColdBog",BV21))),30,IF(ISNUMBER(OR(ISNUMBER(SEARCH("GlacialPlain",BV21)),SEARCH("Tundra",BV21))),25,IF(OR(ISNUMBER(SEARCH("SeaIce",BV21)),ISNUMBER(SEARCH("IceSheet",BV21)),ISNUMBER(SEARCH("TropicalSwamp",BV21))),10,35)))))))+_xlfn.XLOOKUP(B21,'Base stats'!B:B,'Base stats'!Q:Q)</f>
        <v>45</v>
      </c>
      <c r="M21" s="8" t="str">
        <f>IF(_xlfn.XLOOKUP(_xlfn.XLOOKUP(B21,'Base stats'!B:B,'Base stats'!E:E),Groups!A:A,Groups!L:L)=1,MIN(MROUND(_xlfn.XLOOKUP(B21,'Animals CE'!B:B,'Animals CE'!Z:Z)/2+0.05,0.05),200%),"No")</f>
        <v>No</v>
      </c>
      <c r="N21" s="8" t="str">
        <f>IF(_xlfn.XLOOKUP(_xlfn.XLOOKUP(B21,'Base stats'!B:B,'Base stats'!E:E),Groups!A:A,Groups!L:L)=1,MIN(MROUND(_xlfn.XLOOKUP(B21,'Animals CE'!B:B,'Animals CE'!AA:AA)/2+0.05,0.05),200%),"No")</f>
        <v>No</v>
      </c>
      <c r="O21" s="2" t="str">
        <f>_xlfn.XLOOKUP(B21,'Base stats'!B:B,'Base stats'!R:R)</f>
        <v>Standard</v>
      </c>
      <c r="P21" s="13">
        <f>MROUND((LOG10(_xlfn.XLOOKUP(B21,'Base stats'!B:B,'Base stats'!AO:AO))*(AN21^0.5)+(_xlfn.XLOOKUP(B21,'Base stats'!B:B,'Base stats'!AO:AO)/1000)^(2/3)+_xlfn.XLOOKUP(B21,'Base stats'!B:B,'Base stats'!AX:AX)/2)+0.5,0.5)</f>
        <v>14.5</v>
      </c>
      <c r="Q21" s="7">
        <f>IF(P21="No","No",MAX(1,MROUND(_xlfn.XLOOKUP(B21,'Base stats'!B:B,'Base stats'!C:C)^0.165,0.05)))</f>
        <v>2.7</v>
      </c>
      <c r="R21" s="13">
        <f>IF(_xlfn.XLOOKUP(_xlfn.XLOOKUP(B21,'Base stats'!B:B,'Base stats'!E:E),Groups!A:A,Groups!P:P)=0,"No",MROUND((LOG10(_xlfn.XLOOKUP(B21,'Base stats'!B:B,'Base stats'!AP:AP))*(AN21^0.5)+(_xlfn.XLOOKUP(B21,'Base stats'!B:B,'Base stats'!AP:AP)/1000)^(2/3)+_xlfn.XLOOKUP(B21,'Base stats'!B:B,'Base stats'!AX:AX))+_xlfn.XLOOKUP(B21,'Base stats'!B:B,'Base stats'!AV:AV)+0.5,0.5))</f>
        <v>18</v>
      </c>
      <c r="S21" s="7">
        <f>IF(R21="No","No",MAX(_xlfn.XLOOKUP(_xlfn.XLOOKUP(B21,'Base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T21" s="7" t="str">
        <f>IF(R21="No","No",_xlfn.XLOOKUP(_xlfn.XLOOKUP(B21,'Base stats'!B:B,'Base stats'!E:E),Groups!A:A,Groups!R:R))</f>
        <v>FrontLeftLeg, FrontRightLeg</v>
      </c>
      <c r="U21" s="7" t="str">
        <f>IF(R21="No","No",_xlfn.XLOOKUP(_xlfn.XLOOKUP(B21,'Base stats'!B:B,'Base stats'!E:E),Groups!A:A,Groups!S:S))</f>
        <v>left hoof, right hoof</v>
      </c>
      <c r="V21" s="7" t="str">
        <f>IF(R21="No","No",_xlfn.XLOOKUP(_xlfn.XLOOKUP(B21,'Base stats'!B:B,'Base stats'!E:E),Groups!A:A,Groups!T:T))</f>
        <v>Blunt</v>
      </c>
      <c r="W21" s="13" t="str">
        <f>IF(_xlfn.XLOOKUP(B21,'Base stats'!B:B,'Base stats'!W:W)="No","No",MROUND((LOG10(_xlfn.XLOOKUP(B21,'Base stats'!B:B,'Base stats'!AR:AR))*(AN21^0.5)+(_xlfn.XLOOKUP(B21,'Base stats'!B:B,'Base stats'!AR:AR)/1000)^(2/3)+_xlfn.XLOOKUP(B21,'Base stats'!B:B,'Base stats'!AW:AW))+0.5+IF(_xlfn.XLOOKUP(_xlfn.XLOOKUP(B21,'Base stats'!B:B,'Base stats'!E:E),Groups!A:A,Groups!U:U)&lt;&gt;3,_xlfn.XLOOKUP(B21,'Base stats'!B:B,'Base stats'!AX:AX),0),0.5))</f>
        <v>No</v>
      </c>
      <c r="X21" s="7" t="str">
        <f>IF(W21="No","No",MAX(_xlfn.XLOOKUP(_xlfn.XLOOKUP(B21,'Base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Y21" s="7" t="str">
        <f>IF(W21="No","No",_xlfn.XLOOKUP(_xlfn.XLOOKUP(B21,'Base stats'!B:B,'Base stats'!E:E),Groups!A:A,Groups!W:W))</f>
        <v>No</v>
      </c>
      <c r="Z21" s="7" t="str">
        <f>IF(W21="No","No",_xlfn.XLOOKUP(_xlfn.XLOOKUP(B21,'Base stats'!B:B,'Base stats'!E:E),Groups!A:A,Groups!X:X))</f>
        <v>No</v>
      </c>
      <c r="AA21" s="7" t="str">
        <f>IF(W21="No","No",_xlfn.XLOOKUP(_xlfn.XLOOKUP(B21,'Base stats'!B:B,'Base stats'!E:E),Groups!A:A,Groups!Y:Y))</f>
        <v>No</v>
      </c>
      <c r="AB21" s="7" t="str">
        <f>_xlfn.XLOOKUP(Animals!B21,'Base stats'!B:B,'Base stats'!X:X)</f>
        <v>False</v>
      </c>
      <c r="AC21" s="13">
        <f>IF(_xlfn.XLOOKUP(B21,'Base stats'!B:B,'Base stats'!AQ:AQ)="No","No",MROUND((LOG10(_xlfn.XLOOKUP(B21,'Base stats'!B:B,'Base stats'!AQ:AQ))*(AN21^0.75)+(_xlfn.XLOOKUP(B21,'Base stats'!B:B,'Base stats'!AQ:AQ)/1000)^(2/3)+_xlfn.XLOOKUP(B21,'Base stats'!B:B,'Base stats'!AU:AU)+_xlfn.XLOOKUP(B21,'Base stats'!B:B,'Base stats'!AX:AX))+0.5,0.5))</f>
        <v>19</v>
      </c>
      <c r="AD21" s="7">
        <f>IF(AC21="No","No",MAX(_xlfn.XLOOKUP(_xlfn.XLOOKUP(B21,'Base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E21" s="7" t="str">
        <f>IF(AC21="No","No",_xlfn.XLOOKUP(_xlfn.XLOOKUP(B21,'Base stats'!B:B,'Base stats'!E:E),Groups!A:A,Groups!AA:AA))</f>
        <v>Teeth</v>
      </c>
      <c r="AF21" s="7" t="str">
        <f>IF(AC21="No","No",_xlfn.XLOOKUP(_xlfn.XLOOKUP(B21,'Base stats'!B:B,'Base stats'!E:E),Groups!A:A,Groups!AB:AB))</f>
        <v>teeth</v>
      </c>
      <c r="AG21" s="7" t="str">
        <f>IF(AC21="No","No",_xlfn.XLOOKUP(_xlfn.XLOOKUP(B21,'Base stats'!B:B,'Base stats'!E:E),Groups!A:A,Groups!AC:AC))</f>
        <v>Bite</v>
      </c>
      <c r="AH21" s="13" t="str">
        <f>IF(_xlfn.XLOOKUP(_xlfn.XLOOKUP(B21,'Base stats'!B:B,'Base stats'!E:E),Groups!A:A,Groups!AD:AD)=0,"No",MROUND((LOG10(_xlfn.XLOOKUP(B21,'Base stats'!B:B,'Base stats'!AP:AP))*(AN21^0.75)+(_xlfn.XLOOKUP(B21,'Base stats'!B:B,'Base stats'!AP:AP)/1000)^(2/3)+_xlfn.XLOOKUP(B21,'Base stats'!B:B,'Base stats'!AV:AV)+_xlfn.XLOOKUP(B21,'Base stats'!B:B,'Base stats'!AX:AX))+0.5,0.5))</f>
        <v>No</v>
      </c>
      <c r="AI21" s="7" t="str">
        <f>IF(AH21="No","No",MAX(_xlfn.XLOOKUP(_xlfn.XLOOKUP(B21,'Base stats'!B:B,'Base stats'!E:E),Groups!A:A,Groups!AE:AE),MROUND(_xlfn.XLOOKUP(_xlfn.XLOOKUP(B21,'Base stats'!B:B,'Base stats'!E:E),Groups!A:A,Groups!AE:AE)*_xlfn.XLOOKUP(B21,'Base stats'!B:B,'Base stats'!C:C)^0.165,0.05)))</f>
        <v>No</v>
      </c>
      <c r="AJ21" s="7" t="str">
        <f>IF(AH21="No","No",_xlfn.XLOOKUP(_xlfn.XLOOKUP(B21,'Base stats'!B:B,'Base stats'!E:E),Groups!A:A,Groups!AF:AF))</f>
        <v>No</v>
      </c>
      <c r="AK21" s="7" t="str">
        <f>IF(AH21="No","No",_xlfn.XLOOKUP(_xlfn.XLOOKUP(B21,'Base stats'!B:B,'Base stats'!E:E),Groups!A:A,Groups!AG:AG))</f>
        <v>No</v>
      </c>
      <c r="AL21" s="7" t="str">
        <f>IF(AH21="No","No",_xlfn.XLOOKUP(_xlfn.XLOOKUP(B21,'Base stats'!B:B,'Base stats'!E:E),Groups!A:A,Groups!AH:AH))</f>
        <v>No</v>
      </c>
      <c r="AM21" s="2" t="str">
        <f t="shared" si="0"/>
        <v>No</v>
      </c>
      <c r="AN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O21" s="8">
        <f>MROUND(AN21*_xlfn.XLOOKUP(_xlfn.XLOOKUP(B21,'Base stats'!B:B,'Base stats'!E:E),Groups!A:A,Groups!AI:AI),0.05)</f>
        <v>2.75</v>
      </c>
      <c r="AP21" s="8">
        <f>MAX(0.01,MROUND(IF(CA21="True",0.196*(AN21*100*1000)^0.889,IF(_xlfn.XLOOKUP(_xlfn.XLOOKUP(B21,'Base stats'!B:B,'Base stats'!E:E),Groups!A:A,Groups!AJ:AJ)="Bird",10.5*(AN21*100*1000)^0.681,4.82*(AN21*100*1000)^0.734))/(4.82*(1*100*1000)^0.734)/IF(AN21&lt;3.5,2,IF(AN21=3.5,1.5,1.25))*(1+0.132282374779864/(AN21^0.994035016789033+0.00905238001496948)),0.05))</f>
        <v>1.1000000000000001</v>
      </c>
      <c r="AQ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R21" s="35">
        <f>IFERROR(IF(_xlfn.XLOOKUP(B21,'Base stats'!B:B,'Base stats'!F:F)="Lay eggs","Lay eggs",MIN(20,MAX(5.5,ROUND(((_xlfn.XLOOKUP(B21,'Base stats'!B:B,'Base stats'!F:F)-25)*(14.5/615) + 5.5)*2,0)/2))),"Cannot breed")</f>
        <v>13</v>
      </c>
      <c r="AS21" s="8">
        <f>IF(OR(A21="Queen",A21="Larva"),"No",IFERROR(MAX(IF(_xlfn.XLOOKUP(B21,'Base stats'!B:B,'Base stats'!G:G)&lt;0.5,0.2,0.3),MROUND(_xlfn.XLOOKUP(B21,'Base stats'!B:B,'Base stats'!G:G)/(365/60),0.2)),"Unknown"))</f>
        <v>0.4</v>
      </c>
      <c r="AT21" s="8">
        <f t="shared" si="1"/>
        <v>0.2</v>
      </c>
      <c r="AU21" s="8">
        <f>IFERROR(IFERROR(MROUND(_xlfn.XLOOKUP(B21,'Base stats'!B:B,'Base stats'!J:J),0.1),"Lay eggs"),"Cannot breed")</f>
        <v>1</v>
      </c>
      <c r="AV21" s="2" t="str">
        <f t="shared" si="2"/>
        <v>true</v>
      </c>
      <c r="AW21" s="2" t="str">
        <f>IF(_xlfn.XLOOKUP(_xlfn.XLOOKUP(Animals!B21,'Base stats'!B:B,'Base stats'!E:E),Groups!A:A,Groups!AK:AK)=1,"true","false")</f>
        <v>true</v>
      </c>
      <c r="AX21" s="25" t="str">
        <f>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</f>
        <v>VegetarianRoughAnimal</v>
      </c>
      <c r="AY21" s="2">
        <f>IF(_xlfn.XLOOKUP(_xlfn.XLOOKUP(B21,'Base stats'!B:B,'Base stats'!E:E),Groups!A:A,Groups!D:D)=1,MROUND((1-I21)*5+1,2)*IF(I21&lt;=0.4,2,1),"No")</f>
        <v>8</v>
      </c>
      <c r="AZ21" s="2" t="str">
        <f>_xlfn.XLOOKUP(B21,'Base stats'!B:B,'Base stats'!AE:AE)</f>
        <v>Leather_Plain</v>
      </c>
      <c r="BA21" s="23" t="str">
        <f>_xlfn.XLOOKUP(_xlfn.XLOOKUP(B21,'Base stats'!B:B,'Base stats'!E:E),Groups!A:A,Groups!AL:AL)</f>
        <v>QuadrupedAnimalWithHooves</v>
      </c>
      <c r="BB21" s="23">
        <f>MROUND(IF(AND(AN21&lt;0.5,_xlfn.XLOOKUP(B21,'Base stats'!B:B,'Base stats'!Z:Z)=0),0,IF(OR(_xlfn.XLOOKUP(Animals!B21,'Base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stats'!AA:AA),0.005)</f>
        <v>0</v>
      </c>
      <c r="BC21" s="23">
        <f>MROUND(IF(AND(AN21&lt;0.5,_xlfn.XLOOKUP(B21,'Base stats'!B:B,'Base stats'!Z:Z)=0),0,IF(_xlfn.XLOOKUP(_xlfn.XLOOKUP(B21,'Base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stats'!AB:AB),0.005)</f>
        <v>0</v>
      </c>
      <c r="BD21" s="2">
        <f>IF(I21&gt;0.3,"No",_xlfn.XLOOKUP(_xlfn.XLOOKUP(Animals!B21,'Base stats'!B:B,'Base stats'!E:E),Groups!A:A,Groups!AP:AP))</f>
        <v>0.2</v>
      </c>
      <c r="BE21" s="2" t="str">
        <f>IF(AND(I21&lt;=0.65,_xlfn.XLOOKUP(_xlfn.XLOOKUP(Animals!B21,'Base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stats'!O:O)=2,0.2,AN21) + 24*(1-IF(BD21="No",0,BD21)) + 16/3, 12),"No")</f>
        <v>No</v>
      </c>
      <c r="BF21" s="2">
        <f>IF(AND(_xlfn.XLOOKUP(_xlfn.XLOOKUP(B21,'Base stats'!B:B,'Base stats'!E:E),Groups!A:A,Groups!AQ:AQ)=1,AN21&lt;=0.35),8,12)</f>
        <v>12</v>
      </c>
      <c r="BG21" s="2" t="str">
        <f>IF(_xlfn.XLOOKUP(_xlfn.XLOOKUP(B21,'Base stats'!B:B,'Base stats'!E:E),Groups!A:A,Groups!D:D)=0,_xlfn.XLOOKUP(_xlfn.XLOOKUP(B21,'Base stats'!B:B,'Base stats'!E:E),Groups!A:A,Groups!AR:AR),"None")</f>
        <v>None</v>
      </c>
      <c r="BH21" s="2" t="str">
        <f>IF(AND(_xlfn.XLOOKUP(_xlfn.XLOOKUP(B21,'Base stats'!B:B,'Base stats'!E:E),Groups!A:A,Groups!AS:AS)=1,OR('Base stats'!Y21="Carnivore",'Base stats'!Y21="Omnivore")),"true","false")</f>
        <v>false</v>
      </c>
      <c r="BI21" s="2" t="str">
        <f>IF(BH21="true",MROUND(IF(AND(AN21&gt;0.5,_xlfn.XLOOKUP(_xlfn.XLOOKUP(B21,'Base stats'!B:B,'Base stats'!E:E),Groups!A:A,Groups!AJ:AJ)="Mammal"),Animals!AN21*1.75*IF(AV21="true",1.5,1),Animals!AN21),IF(AN21&gt;2,0.5,IF(AN21&gt;0.5,0.25,0.1))),"No")</f>
        <v>No</v>
      </c>
      <c r="BJ21" s="2">
        <f t="shared" si="3"/>
        <v>0</v>
      </c>
      <c r="BK21" s="25" t="str">
        <f>IF('Base stats'!AK21="Standard","No",MROUND((_xlfn.XLOOKUP(B21,'Base stats'!B:B,'Base stats'!AK:AK)/3.6)/H21,0.1))</f>
        <v>No</v>
      </c>
      <c r="BL21" s="25" t="str">
        <f t="shared" si="4"/>
        <v>false</v>
      </c>
      <c r="BM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N21" s="25" t="str" cm="1">
        <f t="array" ref="BN21">IF(
  _xlfn.TEXTJOIN(", ",TRUE,
    IF(AND(BH21="true",AN21&gt;0.5,BG21&lt;&gt;"None"),"AttackTarget",""),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IF(BE21&lt;=36,"Comfort",""),
    IF(_xlfn.XLOOKUP(B21,'Base stats'!B:B,'Base stats'!AC:AC)&lt;&gt;"No",_xlfn.XLOOKUP(B21,'Base stats'!B:B,'Base stats'!AC:AC),"")
  ) = "",
  "No",
  _xlfn.TEXTJOIN(", ",TRUE,
    IF(AND(BH21="true",AN21&gt;0.5,BG21&lt;&gt;"None"),"AttackTarget",""),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IF(BE21&lt;=36,"Comfort",""),
    IF(_xlfn.XLOOKUP(B21,'Base stats'!B:B,'Base stats'!AC:AC)&lt;&gt;"No",_xlfn.XLOOKUP(B21,'Base stats'!B:B,'Base stats'!AC:AC),"")
  )
)</f>
        <v>No</v>
      </c>
      <c r="BO21" s="25" t="str">
        <f>IF(
   AND(
      'Base stats'!AK21="Standard",_xlfn.XLOOKUP(_xlfn.XLOOKUP(B21,'Base stats'!B:B,'Base stats'!E:E),Groups!A:A,Groups!AU:AU)=0,
      OR(
      BM21="True"
      )
   ),
   10,
   IF(
       OR(BK21&lt;&gt;"No",_xlfn.XLOOKUP(_xlfn.XLOOKUP(B21,'Base stats'!B:B,'Base stats'!E:E),Groups!A:A,Groups!AU:AU)=1),
      1,
      "No"
   )
)</f>
        <v>No</v>
      </c>
      <c r="BP21" s="9">
        <f>MROUND((1 + ((0.2*IF(OR(P21="No",Q21="No",Q21=0),0,P21/Q21)
+IF(OR(U21="No",R21="No",S21="No"),0,R21/S21*(LEN(U21)-LEN(SUBSTITUTE(U21,",",""))+1))
+IF(OR(W21="No",X21="No"),0,W21/X21)
+IF(OR(AC21="No",AD21="No"),0,AC21/AD21)
+IF(OR(AK21="No",AH21="No",AI21="No"),0,AH21/AI21*(LEN(AK21)-LEN(SUBSTITUTE(AK21,",",""))+1))
)/(0.2*IF(OR(P21="No",Q21="No",Q21=0),0,1)
+IF(OR(U21="No",R21="No",S21="No"),0,LEN(U21)-LEN(SUBSTITUTE(U21,",",""))+1)
+IF(OR(W21="No",X21="No"),0,1)
+IF(OR(AC21="No",AD21="No"),0,1)
+IF(OR(AK21="No",AH21="No",AI21="No"),0,LEN(AK21)-LEN(SUBSTITUTE(AK21,",",""))+1))*62%)* 2)*(1 + (AO21 + _xlfn.XLOOKUP(B21,'Base stats'!B:B,'Base stats'!AS:AS) * 1.8) * 2) * 2.5 + 10 + H21 * 2,5)+IF(_xlfn.XLOOKUP(B21,'Base stats'!B:B,'Base stats'!AH:AH)=1,50,0)</f>
        <v>195</v>
      </c>
      <c r="BQ21" s="8">
        <f t="shared" si="5"/>
        <v>1.4500000000000002</v>
      </c>
      <c r="BR21" s="8" t="str">
        <f>_xlfn.XLOOKUP(B21,'Base stats'!B:B,'Base stats'!AD:AD)</f>
        <v>3~10</v>
      </c>
      <c r="BS21" s="2" t="str">
        <f>IF(AND(I21&lt;=0.95,OR(_xlfn.XLOOKUP(B21,'Base stats'!B:B,'Base stats'!AH:AH)=1,_xlfn.XLOOKUP(B21,'Base stats'!B:B,'Base stats'!Y:Y)="Carnivore",_xlfn.XLOOKUP(B21,'Base stats'!B:B,'Base stats'!Y:Y)="Omnivore",BC21&gt;0.1)),"true","false")</f>
        <v>false</v>
      </c>
      <c r="BT21" s="2" t="str">
        <f>IF(_xlfn.XLOOKUP(B21,'Base stats'!B:B,'Base stats'!AF:AF)=1,"true","false")</f>
        <v>true</v>
      </c>
      <c r="BU21" s="25" t="str">
        <f>IF(E21="BaseInsect","AnimalInsect",
IF(I21&gt;0.95,"AnimalExotic",
_xlfn.TEXTJOIN(", ",TRUE,
IF(AND(_xlfn.XLOOKUP(B21,'Base stats'!B:B,'Base stats'!O:O)=0,_xlfn.XLOOKUP(_xlfn.XLOOKUP(B21,'Base stats'!B:B,'Base stats'!E:E),Groups!A:A,Groups!B:B)&gt;0),"AnimalUncommon","AnimalCommon"),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stats'!AH:AH)=1,AND(BG21&lt;&gt;"None",BP21&gt;=60),ISNUMBER(SEARCH("Attack target",BN21))),"AnimalFighter","")
)))</f>
        <v>AnimalCommon, AnimalFarm</v>
      </c>
      <c r="BV21" s="25" t="str">
        <f>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</f>
        <v>TemperateForest TemperateSwamp AridShrubland Grasslands Scarlands</v>
      </c>
      <c r="BW21" s="25" t="str">
        <f>IF(_xlfn.XLOOKUP(B21,'Base stats'!B:B,'Base stats'!AG:AG)=1,"true","false")</f>
        <v>false</v>
      </c>
      <c r="BX21" s="25">
        <f>IF(_xlfn.XLOOKUP(B21,'Base stats'!B:B,'Base stats'!N:N)=1,"No",MIN(MROUND(IF(OR(_xlfn.XLOOKUP(B21,'Base stats'!B:B,'Base stats'!AJ:AJ)=1,AND(BH21="True",CA21="False")),POWER(10,3.47*LOG10(_xlfn.XLOOKUP(B21,'Base stats'!B:B,'Base stats'!C:C)*1000)^-0.96),POWER(10,4.15*LOG10(_xlfn.XLOOKUP(B21,'Base stats'!B:B,'Base stats'!C:C)*1000)^-0.73))*IF(OR(_xlfn.XLOOKUP(B21,'Base stats'!B:B,'Base stats'!AJ:AJ)=1,_xlfn.XLOOKUP(B21,'Base stats'!B:B,'Base stats'!AH:AH)=1),0.5,1)/100,0.025),1))</f>
        <v>0.15000000000000002</v>
      </c>
      <c r="BY21" s="25" t="str">
        <f>IF(O21="Standard","No",IF(_xlfn.XLOOKUP(B21,'Base stats'!B:B,'Base stats'!N:N)=0,MROUND(BX21*O21,0.05),MIN(1,MAX(0.025,MROUND(IF(OR(CA21="true",AND(BH21="false",BM21="false")),POWER(10,4.15*LOG10(_xlfn.XLOOKUP(B21,'Base stats'!B:B,'Base stats'!C:C)*1000)^-0.73),POWER(10,3.47*LOG10(_xlfn.XLOOKUP(B21,'Base stats'!B:B,'Base stats'!C:C)*1000)^-0.96))*IF(_xlfn.XLOOKUP(B21,'Base stats'!B:B,'Base stats'!AH:AH)=1,0.5,1)/100,0.025)))))</f>
        <v>No</v>
      </c>
      <c r="BZ21" s="25" t="str">
        <f>IF(_xlfn.XLOOKUP(_xlfn.XLOOKUP(B21,'Base stats'!B:B,'Base stats'!E:E),Groups!A:A,Groups!AJ:AJ)="Mammal","True","False")</f>
        <v>True</v>
      </c>
      <c r="CA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B21" s="25" t="str">
        <f t="shared" si="6"/>
        <v>False</v>
      </c>
      <c r="CC21" s="25" t="str">
        <f>IF(_xlfn.XLOOKUP(_xlfn.XLOOKUP(B21,'Base stats'!B:B,'Base stats'!E:E),Groups!A:A,Groups!AW:AW),"True","False")</f>
        <v>False</v>
      </c>
      <c r="CD21" s="25" t="str">
        <f>IF(_xlfn.XLOOKUP(_xlfn.XLOOKUP(B21,'Base stats'!B:B,'Base stats'!E:E),Groups!A:A,Groups!AX:AX),"True","False")</f>
        <v>False</v>
      </c>
      <c r="CE21" s="25" t="str">
        <f>IF(_xlfn.XLOOKUP(B21,'Base stats'!B:B,'Base stats'!E:E)=1,"True","False")</f>
        <v>False</v>
      </c>
      <c r="CF21" s="25" t="str">
        <f>IF(
OR(
_xlfn.XLOOKUP(_xlfn.XLOOKUP(B21,'Base stats'!B:B,'Base stats'!E:E),Groups!A:A,Groups!AY:AY)=0,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stats'!E:E),Groups!A:A,Groups!AY:AY)=1,
"Flesh",
IF(
_xlfn.XLOOKUP(_xlfn.XLOOKUP(B21,'Base stats'!B:B,'Base stats'!E:E),Groups!A:A,Groups!AY:AY)=2,
"Bone",
""
)
)
)</f>
        <v>No</v>
      </c>
      <c r="CG21" s="25" t="str">
        <f>IF(_xlfn.XLOOKUP(_xlfn.XLOOKUP(B21,'Base stats'!B:B,'Base stats'!E:E),Groups!A:A,Groups!BA:BA),"True","False")</f>
        <v>True</v>
      </c>
      <c r="CH21" s="25" t="str">
        <f>IF(_xlfn.XLOOKUP(_xlfn.XLOOKUP(B21,'Base stats'!B:B,'Base stats'!E:E),Groups!A:A,Groups!AZ:AZ),"True","False")</f>
        <v>False</v>
      </c>
      <c r="CM21" s="16"/>
    </row>
    <row r="22" spans="1:91" ht="16.5" thickTop="1" thickBot="1" x14ac:dyDescent="0.3">
      <c r="A22" s="26" t="str">
        <f>_xlfn.XLOOKUP(B22,'Base stats'!B:B,'Base stats'!A:A)</f>
        <v>Donkey</v>
      </c>
      <c r="B22" s="6" t="s">
        <v>99</v>
      </c>
      <c r="C22" s="28" t="s">
        <v>707</v>
      </c>
      <c r="D22" s="28" t="s">
        <v>45</v>
      </c>
      <c r="E22" s="28" t="s">
        <v>685</v>
      </c>
      <c r="F22" s="28" t="s">
        <v>685</v>
      </c>
      <c r="G22" s="2">
        <f>MROUND((
  (IF(AND(_xlfn.XLOOKUP(B22,'Base stats'!B:B,'Base stats'!AI:AI)=0,BG22="None",_xlfn.XLOOKUP('Base stats'!E22,Groups!A:A,Groups!B:B)=0), (18 + BP22 * 2.7) * 0.5,
    IF(AND(_xlfn.XLOOKUP(B22,'Base stats'!B:B,'Base stats'!AI:AI)=0,OR(AN22&lt;0.55,AND(BG22="Intermediate",_xlfn.XLOOKUP('Base stats'!E22,Groups!A:A,Groups!B:B)&lt;2))), (18 + BP22 * 2.7),
      IF(OR(BG22="Advanced",_xlfn.XLOOKUP(B22,'Base stats'!B:B,'Base stats'!AI:AI)=1,_xlfn.XLOOKUP('Base stats'!E22,Groups!A:A,Groups!B:B)=2), (18 + BP22 * 2.7) + 250, (18 + BP22 * 2.7))
    )
  ))
  + AN22 * 80
  + IF(COUNTIF(EggMilk!K$2:K$998, A22) &gt; 0, 125, 0)
  + IF(COUNTIF(EggMilk!P$2:P$998, A22) &gt; 0, 90, 0)
  + IF(COUNTIF(EggMilk!A$2:A$998, A22) &gt; 0, 90, 0)
)
* (0.8 + 0.4 * I22)
* 0.75,25)</f>
        <v>200</v>
      </c>
      <c r="H22" s="2">
        <f>MROUND(ROUNDDOWN(_xlfn.XLOOKUP(B22,'Base stats'!B:B,'Base stats'!L:L)/3.6/(23.3/11),1),0.5)</f>
        <v>8.5</v>
      </c>
      <c r="I22" s="2">
        <f>IF(_xlfn.XLOOKUP(B22,'Base stats'!B:B,'Base stats'!AI:AI)=1,0.99,MIN(MROUND((1-0.6282*EXP(-0.459*AN22))*_xlfn.XLOOKUP(_xlfn.XLOOKUP(B22,'Base stats'!B:B,'Base stats'!E:E),Groups!A:A,Groups!C:C)*IF(_xlfn.XLOOKUP(B22,'Base stats'!B:B,'Base stats'!O:O)=1,0.5,IF(_xlfn.XLOOKUP(B22,'Base stats'!B:B,'Base stats'!O:O)=2,0,1)),0.05),0.985))</f>
        <v>0.25</v>
      </c>
      <c r="J22" s="2">
        <f>ROUNDUP(AN22*_xlfn.XLOOKUP(_xlfn.XLOOKUP(B22,'Base stats'!B:B,'Base stats'!E:E),Groups!A:A,Groups!E:E),0)</f>
        <v>8</v>
      </c>
      <c r="K22" s="2">
        <f>IF(OR(_xlfn.XLOOKUP(_xlfn.XLOOKUP(B22,'Base stats'!B:B,'Base stats'!E:E),Groups!A:A,Groups!F:F)=2,ISNUMBER(SEARCH("SeaIce",BV22)),ISNUMBER(SEARCH("IceSheet",BV22))),-50,IF(OR(ISNUMBER(SEARCH("GlacialPlain",BV22)),ISNUMBER(SEARCH("Tundra",BV22))),-40,IF(OR(ISNUMBER(SEARCH("Alpine",BV22)),ISNUMBER(SEARCH("BorealForest",BV22)),ISNUMBER(SEARCH("ColdBog",BV22))),-30,IF(OR(ISNUMBER(SEARCH("TemperateForest",BV22)),ISNUMBER(SEARCH("TemperateSwamp",BV22))),-20,IF(_xlfn.XLOOKUP(_xlfn.XLOOKUP(B22,'Base stats'!B:B,'Base stats'!E:E),Groups!A:A,Groups!F:F)=1,-15,IF(OR(ISNUMBER(SEARCH("Desert",BV22)),ISNUMBER(SEARCH("ExtremeDesert",BV22))),-10,IF(OR(ISNUMBER(SEARCH("Grasslands",BV22)),ISNUMBER(SEARCH("TropicalRainforest",BV22)),ISNUMBER(SEARCH("TropicalSwamp",BV22))),10,0)))))))-IF(CA22="False",MIN(IFERROR(MAX(MROUND(LOG10(_xlfn.XLOOKUP(B22,'Base stats'!B:B,'Base stats'!C:C)^(2/3))*10,5),5),5),30))-_xlfn.XLOOKUP(B22,'Base stats'!B:B,'Base stats'!P:P)+IF(CA22="True",5,0)</f>
        <v>-30</v>
      </c>
      <c r="L22" s="2">
        <f>IF(OR(_xlfn.XLOOKUP(_xlfn.XLOOKUP(B22,'Base stats'!B:B,'Base stats'!E:E),Groups!A:A,Groups!G:G)=2,ISNUMBER(SEARCH("Desert",BV22)),ISNUMBER(SEARCH("ExtremeDesert",BV22)),ISNUMBER(SEARCH("LavaField",BV22))),50,IF(ISNUMBER(SEARCH("Grasslands",BV22)),45,IF(OR(_xlfn.XLOOKUP(_xlfn.XLOOKUP(B22,'Base stats'!B:B,'Base stats'!E:E),Groups!A:A,Groups!G:G)=1,ISNUMBER(SEARCH("TropicalRainforest",BV22)),ISNUMBER(SEARCH("TropicalSwamp",BV22))),40,IF(OR(ISNUMBER(SEARCH("TemperateForest",BV22)),ISNUMBER(SEARCH("TemperateSwamp",BV22))),35,IF(OR(ISNUMBER(SEARCH("Alpine",BV22)),ISNUMBER(SEARCH("BorealForest",BV22)),ISNUMBER(SEARCH("ColdBog",BV22))),30,IF(ISNUMBER(OR(ISNUMBER(SEARCH("GlacialPlain",BV22)),SEARCH("Tundra",BV22))),25,IF(OR(ISNUMBER(SEARCH("SeaIce",BV22)),ISNUMBER(SEARCH("IceSheet",BV22)),ISNUMBER(SEARCH("TropicalSwamp",BV22))),10,35)))))))+_xlfn.XLOOKUP(B22,'Base stats'!B:B,'Base stats'!Q:Q)</f>
        <v>50</v>
      </c>
      <c r="M22" s="8" t="str">
        <f>IF(_xlfn.XLOOKUP(_xlfn.XLOOKUP(B22,'Base stats'!B:B,'Base stats'!E:E),Groups!A:A,Groups!L:L)=1,MIN(MROUND(_xlfn.XLOOKUP(B22,'Animals CE'!B:B,'Animals CE'!Z:Z)/2+0.05,0.05),200%),"No")</f>
        <v>No</v>
      </c>
      <c r="N22" s="8" t="str">
        <f>IF(_xlfn.XLOOKUP(_xlfn.XLOOKUP(B22,'Base stats'!B:B,'Base stats'!E:E),Groups!A:A,Groups!L:L)=1,MIN(MROUND(_xlfn.XLOOKUP(B22,'Animals CE'!B:B,'Animals CE'!AA:AA)/2+0.05,0.05),200%),"No")</f>
        <v>No</v>
      </c>
      <c r="O22" s="2" t="str">
        <f>_xlfn.XLOOKUP(B22,'Base stats'!B:B,'Base stats'!R:R)</f>
        <v>Standard</v>
      </c>
      <c r="P22" s="13">
        <f>MROUND((LOG10(_xlfn.XLOOKUP(B22,'Base stats'!B:B,'Base stats'!AO:AO))*(AN22^0.5)+(_xlfn.XLOOKUP(B22,'Base stats'!B:B,'Base stats'!AO:AO)/1000)^(2/3)+_xlfn.XLOOKUP(B22,'Base stats'!B:B,'Base stats'!AX:AX)/2)+0.5,0.5)</f>
        <v>10</v>
      </c>
      <c r="Q22" s="7">
        <f>IF(P22="No","No",MAX(1,MROUND(_xlfn.XLOOKUP(B22,'Base stats'!B:B,'Base stats'!C:C)^0.165,0.05)))</f>
        <v>2.3000000000000003</v>
      </c>
      <c r="R22" s="13">
        <f>IF(_xlfn.XLOOKUP(_xlfn.XLOOKUP(B22,'Base stats'!B:B,'Base stats'!E:E),Groups!A:A,Groups!P:P)=0,"No",MROUND((LOG10(_xlfn.XLOOKUP(B22,'Base stats'!B:B,'Base stats'!AP:AP))*(AN22^0.5)+(_xlfn.XLOOKUP(B22,'Base stats'!B:B,'Base stats'!AP:AP)/1000)^(2/3)+_xlfn.XLOOKUP(B22,'Base stats'!B:B,'Base stats'!AX:AX))+_xlfn.XLOOKUP(B22,'Base stats'!B:B,'Base stats'!AV:AV)+0.5,0.5))</f>
        <v>12.5</v>
      </c>
      <c r="S22" s="7">
        <f>IF(R22="No","No",MAX(_xlfn.XLOOKUP(_xlfn.XLOOKUP(B22,'Base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T22" s="7" t="str">
        <f>IF(R22="No","No",_xlfn.XLOOKUP(_xlfn.XLOOKUP(B22,'Base stats'!B:B,'Base stats'!E:E),Groups!A:A,Groups!R:R))</f>
        <v>FrontLeftLeg, FrontRightLeg</v>
      </c>
      <c r="U22" s="7" t="str">
        <f>IF(R22="No","No",_xlfn.XLOOKUP(_xlfn.XLOOKUP(B22,'Base stats'!B:B,'Base stats'!E:E),Groups!A:A,Groups!S:S))</f>
        <v>left hoof, right hoof</v>
      </c>
      <c r="V22" s="7" t="str">
        <f>IF(R22="No","No",_xlfn.XLOOKUP(_xlfn.XLOOKUP(B22,'Base stats'!B:B,'Base stats'!E:E),Groups!A:A,Groups!T:T))</f>
        <v>Blunt</v>
      </c>
      <c r="W22" s="13" t="str">
        <f>IF(_xlfn.XLOOKUP(B22,'Base stats'!B:B,'Base stats'!W:W)="No","No",MROUND((LOG10(_xlfn.XLOOKUP(B22,'Base stats'!B:B,'Base stats'!AR:AR))*(AN22^0.5)+(_xlfn.XLOOKUP(B22,'Base stats'!B:B,'Base stats'!AR:AR)/1000)^(2/3)+_xlfn.XLOOKUP(B22,'Base stats'!B:B,'Base stats'!AW:AW))+0.5+IF(_xlfn.XLOOKUP(_xlfn.XLOOKUP(B22,'Base stats'!B:B,'Base stats'!E:E),Groups!A:A,Groups!U:U)&lt;&gt;3,_xlfn.XLOOKUP(B22,'Base stats'!B:B,'Base stats'!AX:AX),0),0.5))</f>
        <v>No</v>
      </c>
      <c r="X22" s="7" t="str">
        <f>IF(W22="No","No",MAX(_xlfn.XLOOKUP(_xlfn.XLOOKUP(B22,'Base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Y22" s="7" t="str">
        <f>IF(W22="No","No",_xlfn.XLOOKUP(_xlfn.XLOOKUP(B22,'Base stats'!B:B,'Base stats'!E:E),Groups!A:A,Groups!W:W))</f>
        <v>No</v>
      </c>
      <c r="Z22" s="7" t="str">
        <f>IF(W22="No","No",_xlfn.XLOOKUP(_xlfn.XLOOKUP(B22,'Base stats'!B:B,'Base stats'!E:E),Groups!A:A,Groups!X:X))</f>
        <v>No</v>
      </c>
      <c r="AA22" s="7" t="str">
        <f>IF(W22="No","No",_xlfn.XLOOKUP(_xlfn.XLOOKUP(B22,'Base stats'!B:B,'Base stats'!E:E),Groups!A:A,Groups!Y:Y))</f>
        <v>No</v>
      </c>
      <c r="AB22" s="7" t="str">
        <f>_xlfn.XLOOKUP(Animals!B22,'Base stats'!B:B,'Base stats'!X:X)</f>
        <v>False</v>
      </c>
      <c r="AC22" s="13">
        <f>IF(_xlfn.XLOOKUP(B22,'Base stats'!B:B,'Base stats'!AQ:AQ)="No","No",MROUND((LOG10(_xlfn.XLOOKUP(B22,'Base stats'!B:B,'Base stats'!AQ:AQ))*(AN22^0.75)+(_xlfn.XLOOKUP(B22,'Base stats'!B:B,'Base stats'!AQ:AQ)/1000)^(2/3)+_xlfn.XLOOKUP(B22,'Base stats'!B:B,'Base stats'!AU:AU)+_xlfn.XLOOKUP(B22,'Base stats'!B:B,'Base stats'!AX:AX))+0.5,0.5))</f>
        <v>13</v>
      </c>
      <c r="AD22" s="7">
        <f>IF(AC22="No","No",MAX(_xlfn.XLOOKUP(_xlfn.XLOOKUP(B22,'Base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E22" s="7" t="str">
        <f>IF(AC22="No","No",_xlfn.XLOOKUP(_xlfn.XLOOKUP(B22,'Base stats'!B:B,'Base stats'!E:E),Groups!A:A,Groups!AA:AA))</f>
        <v>Teeth</v>
      </c>
      <c r="AF22" s="7" t="str">
        <f>IF(AC22="No","No",_xlfn.XLOOKUP(_xlfn.XLOOKUP(B22,'Base stats'!B:B,'Base stats'!E:E),Groups!A:A,Groups!AB:AB))</f>
        <v>teeth</v>
      </c>
      <c r="AG22" s="7" t="str">
        <f>IF(AC22="No","No",_xlfn.XLOOKUP(_xlfn.XLOOKUP(B22,'Base stats'!B:B,'Base stats'!E:E),Groups!A:A,Groups!AC:AC))</f>
        <v>Bite</v>
      </c>
      <c r="AH22" s="13" t="str">
        <f>IF(_xlfn.XLOOKUP(_xlfn.XLOOKUP(B22,'Base stats'!B:B,'Base stats'!E:E),Groups!A:A,Groups!AD:AD)=0,"No",MROUND((LOG10(_xlfn.XLOOKUP(B22,'Base stats'!B:B,'Base stats'!AP:AP))*(AN22^0.75)+(_xlfn.XLOOKUP(B22,'Base stats'!B:B,'Base stats'!AP:AP)/1000)^(2/3)+_xlfn.XLOOKUP(B22,'Base stats'!B:B,'Base stats'!AV:AV)+_xlfn.XLOOKUP(B22,'Base stats'!B:B,'Base stats'!AX:AX))+0.5,0.5))</f>
        <v>No</v>
      </c>
      <c r="AI22" s="7" t="str">
        <f>IF(AH22="No","No",MAX(_xlfn.XLOOKUP(_xlfn.XLOOKUP(B22,'Base stats'!B:B,'Base stats'!E:E),Groups!A:A,Groups!AE:AE),MROUND(_xlfn.XLOOKUP(_xlfn.XLOOKUP(B22,'Base stats'!B:B,'Base stats'!E:E),Groups!A:A,Groups!AE:AE)*_xlfn.XLOOKUP(B22,'Base stats'!B:B,'Base stats'!C:C)^0.165,0.05)))</f>
        <v>No</v>
      </c>
      <c r="AJ22" s="7" t="str">
        <f>IF(AH22="No","No",_xlfn.XLOOKUP(_xlfn.XLOOKUP(B22,'Base stats'!B:B,'Base stats'!E:E),Groups!A:A,Groups!AF:AF))</f>
        <v>No</v>
      </c>
      <c r="AK22" s="7" t="str">
        <f>IF(AH22="No","No",_xlfn.XLOOKUP(_xlfn.XLOOKUP(B22,'Base stats'!B:B,'Base stats'!E:E),Groups!A:A,Groups!AG:AG))</f>
        <v>No</v>
      </c>
      <c r="AL22" s="7" t="str">
        <f>IF(AH22="No","No",_xlfn.XLOOKUP(_xlfn.XLOOKUP(B22,'Base stats'!B:B,'Base stats'!E:E),Groups!A:A,Groups!AH:AH))</f>
        <v>No</v>
      </c>
      <c r="AM22" s="2" t="str">
        <f t="shared" si="0"/>
        <v>No</v>
      </c>
      <c r="AN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O22" s="8">
        <f>MROUND(AN22*_xlfn.XLOOKUP(_xlfn.XLOOKUP(B22,'Base stats'!B:B,'Base stats'!E:E),Groups!A:A,Groups!AI:AI),0.05)</f>
        <v>1.6</v>
      </c>
      <c r="AP22" s="8">
        <f>MAX(0.01,MROUND(IF(CA22="True",0.196*(AN22*100*1000)^0.889,IF(_xlfn.XLOOKUP(_xlfn.XLOOKUP(B22,'Base stats'!B:B,'Base stats'!E:E),Groups!A:A,Groups!AJ:AJ)="Bird",10.5*(AN22*100*1000)^0.681,4.82*(AN22*100*1000)^0.734))/(4.82*(1*100*1000)^0.734)/IF(AN22&lt;3.5,2,IF(AN22=3.5,1.5,1.25))*(1+0.132282374779864/(AN22^0.994035016789033+0.00905238001496948)),0.05))</f>
        <v>0.75</v>
      </c>
      <c r="AQ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R22" s="35">
        <f>IFERROR(IF(_xlfn.XLOOKUP(B22,'Base stats'!B:B,'Base stats'!F:F)="Lay eggs","Lay eggs",MIN(20,MAX(5.5,ROUND(((_xlfn.XLOOKUP(B22,'Base stats'!B:B,'Base stats'!F:F)-25)*(14.5/615) + 5.5)*2,0)/2))),"Cannot breed")</f>
        <v>13.5</v>
      </c>
      <c r="AS22" s="8">
        <f>IF(OR(A22="Queen",A22="Larva"),"No",IFERROR(MAX(IF(_xlfn.XLOOKUP(B22,'Base stats'!B:B,'Base stats'!G:G)&lt;0.5,0.2,0.3),MROUND(_xlfn.XLOOKUP(B22,'Base stats'!B:B,'Base stats'!G:G)/(365/60),0.2)),"Unknown"))</f>
        <v>0.4</v>
      </c>
      <c r="AT22" s="8">
        <f t="shared" si="1"/>
        <v>0.2</v>
      </c>
      <c r="AU22" s="8">
        <f>IFERROR(IFERROR(MROUND(_xlfn.XLOOKUP(B22,'Base stats'!B:B,'Base stats'!J:J),0.1),"Lay eggs"),"Cannot breed")</f>
        <v>1</v>
      </c>
      <c r="AV22" s="2" t="str">
        <f t="shared" si="2"/>
        <v>true</v>
      </c>
      <c r="AW22" s="2" t="str">
        <f>IF(_xlfn.XLOOKUP(_xlfn.XLOOKUP(Animals!B22,'Base stats'!B:B,'Base stats'!E:E),Groups!A:A,Groups!AK:AK)=1,"true","false")</f>
        <v>true</v>
      </c>
      <c r="AX22" s="25" t="str">
        <f>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</f>
        <v>VegetarianRoughAnimal</v>
      </c>
      <c r="AY22" s="2">
        <f>IF(_xlfn.XLOOKUP(_xlfn.XLOOKUP(B22,'Base stats'!B:B,'Base stats'!E:E),Groups!A:A,Groups!D:D)=1,MROUND((1-I22)*5+1,2)*IF(I22&lt;=0.4,2,1),"No")</f>
        <v>8</v>
      </c>
      <c r="AZ22" s="2" t="str">
        <f>_xlfn.XLOOKUP(B22,'Base stats'!B:B,'Base stats'!AE:AE)</f>
        <v>Leather_Plain</v>
      </c>
      <c r="BA22" s="23" t="str">
        <f>_xlfn.XLOOKUP(_xlfn.XLOOKUP(B22,'Base stats'!B:B,'Base stats'!E:E),Groups!A:A,Groups!AL:AL)</f>
        <v>QuadrupedAnimalWithHooves</v>
      </c>
      <c r="BB22" s="23">
        <f>MROUND(IF(AND(AN22&lt;0.5,_xlfn.XLOOKUP(B22,'Base stats'!B:B,'Base stats'!Z:Z)=0),0,IF(OR(_xlfn.XLOOKUP(Animals!B22,'Base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stats'!AA:AA),0.005)</f>
        <v>0</v>
      </c>
      <c r="BC22" s="23">
        <f>MROUND(IF(AND(AN22&lt;0.5,_xlfn.XLOOKUP(B22,'Base stats'!B:B,'Base stats'!Z:Z)=0),0,IF(_xlfn.XLOOKUP(_xlfn.XLOOKUP(B22,'Base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stats'!AB:AB),0.005)</f>
        <v>0</v>
      </c>
      <c r="BD22" s="2">
        <f>IF(I22&gt;0.3,"No",_xlfn.XLOOKUP(_xlfn.XLOOKUP(Animals!B22,'Base stats'!B:B,'Base stats'!E:E),Groups!A:A,Groups!AP:AP))</f>
        <v>0.2</v>
      </c>
      <c r="BE22" s="2" t="str">
        <f>IF(AND(I22&lt;=0.65,_xlfn.XLOOKUP(_xlfn.XLOOKUP(Animals!B22,'Base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stats'!O:O)=2,0.2,AN22) + 24*(1-IF(BD22="No",0,BD22)) + 16/3, 12),"No")</f>
        <v>No</v>
      </c>
      <c r="BF22" s="2">
        <f>IF(AND(_xlfn.XLOOKUP(_xlfn.XLOOKUP(B22,'Base stats'!B:B,'Base stats'!E:E),Groups!A:A,Groups!AQ:AQ)=1,AN22&lt;=0.35),8,12)</f>
        <v>12</v>
      </c>
      <c r="BG22" s="2" t="str">
        <f>IF(_xlfn.XLOOKUP(_xlfn.XLOOKUP(B22,'Base stats'!B:B,'Base stats'!E:E),Groups!A:A,Groups!D:D)=0,_xlfn.XLOOKUP(_xlfn.XLOOKUP(B22,'Base stats'!B:B,'Base stats'!E:E),Groups!A:A,Groups!AR:AR),"None")</f>
        <v>None</v>
      </c>
      <c r="BH22" s="2" t="str">
        <f>IF(AND(_xlfn.XLOOKUP(_xlfn.XLOOKUP(B22,'Base stats'!B:B,'Base stats'!E:E),Groups!A:A,Groups!AS:AS)=1,OR('Base stats'!Y22="Carnivore",'Base stats'!Y22="Omnivore")),"true","false")</f>
        <v>false</v>
      </c>
      <c r="BI22" s="2" t="str">
        <f>IF(BH22="true",MROUND(IF(AND(AN22&gt;0.5,_xlfn.XLOOKUP(_xlfn.XLOOKUP(B22,'Base stats'!B:B,'Base stats'!E:E),Groups!A:A,Groups!AJ:AJ)="Mammal"),Animals!AN22*1.75*IF(AV22="true",1.5,1),Animals!AN22),IF(AN22&gt;2,0.5,IF(AN22&gt;0.5,0.25,0.1))),"No")</f>
        <v>No</v>
      </c>
      <c r="BJ22" s="2">
        <f t="shared" si="3"/>
        <v>0</v>
      </c>
      <c r="BK22" s="25" t="str">
        <f>IF('Base stats'!AK22="Standard","No",MROUND((_xlfn.XLOOKUP(B22,'Base stats'!B:B,'Base stats'!AK:AK)/3.6)/H22,0.1))</f>
        <v>No</v>
      </c>
      <c r="BL22" s="25" t="str">
        <f t="shared" si="4"/>
        <v>false</v>
      </c>
      <c r="BM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N22" s="25" t="str" cm="1">
        <f t="array" ref="BN22">IF(
  _xlfn.TEXTJOIN(", ",TRUE,
    IF(AND(BH22="true",AN22&gt;0.5,BG22&lt;&gt;"None"),"AttackTarget",""),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IF(BE22&lt;=36,"Comfort",""),
    IF(_xlfn.XLOOKUP(B22,'Base stats'!B:B,'Base stats'!AC:AC)&lt;&gt;"No",_xlfn.XLOOKUP(B22,'Base stats'!B:B,'Base stats'!AC:AC),"")
  ) = "",
  "No",
  _xlfn.TEXTJOIN(", ",TRUE,
    IF(AND(BH22="true",AN22&gt;0.5,BG22&lt;&gt;"None"),"AttackTarget",""),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IF(BE22&lt;=36,"Comfort",""),
    IF(_xlfn.XLOOKUP(B22,'Base stats'!B:B,'Base stats'!AC:AC)&lt;&gt;"No",_xlfn.XLOOKUP(B22,'Base stats'!B:B,'Base stats'!AC:AC),"")
  )
)</f>
        <v>No</v>
      </c>
      <c r="BO22" s="25" t="str">
        <f>IF(
   AND(
      'Base stats'!AK22="Standard",_xlfn.XLOOKUP(_xlfn.XLOOKUP(B22,'Base stats'!B:B,'Base stats'!E:E),Groups!A:A,Groups!AU:AU)=0,
      OR(
      BM22="True"
      )
   ),
   10,
   IF(
       OR(BK22&lt;&gt;"No",_xlfn.XLOOKUP(_xlfn.XLOOKUP(B22,'Base stats'!B:B,'Base stats'!E:E),Groups!A:A,Groups!AU:AU)=1),
      1,
      "No"
   )
)</f>
        <v>No</v>
      </c>
      <c r="BP22" s="9">
        <f>MROUND((1 + ((0.2*IF(OR(P22="No",Q22="No",Q22=0),0,P22/Q22)
+IF(OR(U22="No",R22="No",S22="No"),0,R22/S22*(LEN(U22)-LEN(SUBSTITUTE(U22,",",""))+1))
+IF(OR(W22="No",X22="No"),0,W22/X22)
+IF(OR(AC22="No",AD22="No"),0,AC22/AD22)
+IF(OR(AK22="No",AH22="No",AI22="No"),0,AH22/AI22*(LEN(AK22)-LEN(SUBSTITUTE(AK22,",",""))+1))
)/(0.2*IF(OR(P22="No",Q22="No",Q22=0),0,1)
+IF(OR(U22="No",R22="No",S22="No"),0,LEN(U22)-LEN(SUBSTITUTE(U22,",",""))+1)
+IF(OR(W22="No",X22="No"),0,1)
+IF(OR(AC22="No",AD22="No"),0,1)
+IF(OR(AK22="No",AH22="No",AI22="No"),0,LEN(AK22)-LEN(SUBSTITUTE(AK22,",",""))+1))*62%)* 2)*(1 + (AO22 + _xlfn.XLOOKUP(B22,'Base stats'!B:B,'Base stats'!AS:AS) * 1.8) * 2) * 2.5 + 10 + H22 * 2,5)+IF(_xlfn.XLOOKUP(B22,'Base stats'!B:B,'Base stats'!AH:AH)=1,50,0)</f>
        <v>115</v>
      </c>
      <c r="BQ22" s="8">
        <f t="shared" si="5"/>
        <v>0.9</v>
      </c>
      <c r="BR22" s="8" t="str">
        <f>_xlfn.XLOOKUP(B22,'Base stats'!B:B,'Base stats'!AD:AD)</f>
        <v>3~10</v>
      </c>
      <c r="BS22" s="2" t="str">
        <f>IF(AND(I22&lt;=0.95,OR(_xlfn.XLOOKUP(B22,'Base stats'!B:B,'Base stats'!AH:AH)=1,_xlfn.XLOOKUP(B22,'Base stats'!B:B,'Base stats'!Y:Y)="Carnivore",_xlfn.XLOOKUP(B22,'Base stats'!B:B,'Base stats'!Y:Y)="Omnivore",BC22&gt;0.1)),"true","false")</f>
        <v>false</v>
      </c>
      <c r="BT22" s="2" t="str">
        <f>IF(_xlfn.XLOOKUP(B22,'Base stats'!B:B,'Base stats'!AF:AF)=1,"true","false")</f>
        <v>true</v>
      </c>
      <c r="BU22" s="25" t="str">
        <f>IF(E22="BaseInsect","AnimalInsect",
IF(I22&gt;0.95,"AnimalExotic",
_xlfn.TEXTJOIN(", ",TRUE,
IF(AND(_xlfn.XLOOKUP(B22,'Base stats'!B:B,'Base stats'!O:O)=0,_xlfn.XLOOKUP(_xlfn.XLOOKUP(B22,'Base stats'!B:B,'Base stats'!E:E),Groups!A:A,Groups!B:B)&gt;0),"AnimalUncommon","AnimalCommon"),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stats'!AH:AH)=1,AND(BG22&lt;&gt;"None",BP22&gt;=60),ISNUMBER(SEARCH("Attack target",BN22))),"AnimalFighter","")
)))</f>
        <v>AnimalCommon, AnimalFarm</v>
      </c>
      <c r="BV22" s="25" t="str">
        <f>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</f>
        <v>AridShrubland Desert ExtremeDesert Grasslands LavaField Scarlands</v>
      </c>
      <c r="BW22" s="25" t="str">
        <f>IF(_xlfn.XLOOKUP(B22,'Base stats'!B:B,'Base stats'!AG:AG)=1,"true","false")</f>
        <v>false</v>
      </c>
      <c r="BX22" s="25">
        <f>IF(_xlfn.XLOOKUP(B22,'Base stats'!B:B,'Base stats'!N:N)=1,"No",MIN(MROUND(IF(OR(_xlfn.XLOOKUP(B22,'Base stats'!B:B,'Base stats'!AJ:AJ)=1,AND(BH22="True",CA22="False")),POWER(10,3.47*LOG10(_xlfn.XLOOKUP(B22,'Base stats'!B:B,'Base stats'!C:C)*1000)^-0.96),POWER(10,4.15*LOG10(_xlfn.XLOOKUP(B22,'Base stats'!B:B,'Base stats'!C:C)*1000)^-0.73))*IF(OR(_xlfn.XLOOKUP(B22,'Base stats'!B:B,'Base stats'!AJ:AJ)=1,_xlfn.XLOOKUP(B22,'Base stats'!B:B,'Base stats'!AH:AH)=1),0.5,1)/100,0.025),1))</f>
        <v>0.17500000000000002</v>
      </c>
      <c r="BY22" s="25" t="str">
        <f>IF(O22="Standard","No",IF(_xlfn.XLOOKUP(B22,'Base stats'!B:B,'Base stats'!N:N)=0,MROUND(BX22*O22,0.05),MIN(1,MAX(0.025,MROUND(IF(OR(CA22="true",AND(BH22="false",BM22="false")),POWER(10,4.15*LOG10(_xlfn.XLOOKUP(B22,'Base stats'!B:B,'Base stats'!C:C)*1000)^-0.73),POWER(10,3.47*LOG10(_xlfn.XLOOKUP(B22,'Base stats'!B:B,'Base stats'!C:C)*1000)^-0.96))*IF(_xlfn.XLOOKUP(B22,'Base stats'!B:B,'Base stats'!AH:AH)=1,0.5,1)/100,0.025)))))</f>
        <v>No</v>
      </c>
      <c r="BZ22" s="25" t="str">
        <f>IF(_xlfn.XLOOKUP(_xlfn.XLOOKUP(B22,'Base stats'!B:B,'Base stats'!E:E),Groups!A:A,Groups!AJ:AJ)="Mammal","True","False")</f>
        <v>True</v>
      </c>
      <c r="CA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B22" s="25" t="str">
        <f t="shared" si="6"/>
        <v>False</v>
      </c>
      <c r="CC22" s="25" t="str">
        <f>IF(_xlfn.XLOOKUP(_xlfn.XLOOKUP(B22,'Base stats'!B:B,'Base stats'!E:E),Groups!A:A,Groups!AW:AW),"True","False")</f>
        <v>False</v>
      </c>
      <c r="CD22" s="25" t="str">
        <f>IF(_xlfn.XLOOKUP(_xlfn.XLOOKUP(B22,'Base stats'!B:B,'Base stats'!E:E),Groups!A:A,Groups!AX:AX),"True","False")</f>
        <v>False</v>
      </c>
      <c r="CE22" s="25" t="str">
        <f>IF(_xlfn.XLOOKUP(B22,'Base stats'!B:B,'Base stats'!E:E)=1,"True","False")</f>
        <v>False</v>
      </c>
      <c r="CF22" s="25" t="str">
        <f>IF(
OR(
_xlfn.XLOOKUP(_xlfn.XLOOKUP(B22,'Base stats'!B:B,'Base stats'!E:E),Groups!A:A,Groups!AY:AY)=0,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stats'!E:E),Groups!A:A,Groups!AY:AY)=1,
"Flesh",
IF(
_xlfn.XLOOKUP(_xlfn.XLOOKUP(B22,'Base stats'!B:B,'Base stats'!E:E),Groups!A:A,Groups!AY:AY)=2,
"Bone",
""
)
)
)</f>
        <v>No</v>
      </c>
      <c r="CG22" s="25" t="str">
        <f>IF(_xlfn.XLOOKUP(_xlfn.XLOOKUP(B22,'Base stats'!B:B,'Base stats'!E:E),Groups!A:A,Groups!BA:BA),"True","False")</f>
        <v>True</v>
      </c>
      <c r="CH22" s="25" t="str">
        <f>IF(_xlfn.XLOOKUP(_xlfn.XLOOKUP(B22,'Base stats'!B:B,'Base stats'!E:E),Groups!A:A,Groups!AZ:AZ),"True","False")</f>
        <v>False</v>
      </c>
      <c r="CM22" s="16"/>
    </row>
    <row r="23" spans="1:91" ht="16.5" thickTop="1" thickBot="1" x14ac:dyDescent="0.3">
      <c r="A23" s="26" t="str">
        <f>_xlfn.XLOOKUP(B23,'Base stats'!B:B,'Base stats'!A:A)</f>
        <v>Hare</v>
      </c>
      <c r="B23" s="37" t="s">
        <v>889</v>
      </c>
      <c r="C23" s="28" t="s">
        <v>708</v>
      </c>
      <c r="D23" s="28" t="s">
        <v>45</v>
      </c>
      <c r="E23" s="28" t="s">
        <v>709</v>
      </c>
      <c r="F23" s="28" t="s">
        <v>710</v>
      </c>
      <c r="G23" s="2">
        <f>MROUND((
  (IF(AND(_xlfn.XLOOKUP(B23,'Base stats'!B:B,'Base stats'!AI:AI)=0,BG23="None",_xlfn.XLOOKUP('Base stats'!E23,Groups!A:A,Groups!B:B)=0), (18 + BP23 * 2.7) * 0.5,
    IF(AND(_xlfn.XLOOKUP(B23,'Base stats'!B:B,'Base stats'!AI:AI)=0,OR(AN23&lt;0.55,AND(BG23="Intermediate",_xlfn.XLOOKUP('Base stats'!E23,Groups!A:A,Groups!B:B)&lt;2))), (18 + BP23 * 2.7),
      IF(OR(BG23="Advanced",_xlfn.XLOOKUP(B23,'Base stats'!B:B,'Base stats'!AI:AI)=1,_xlfn.XLOOKUP('Base stats'!E23,Groups!A:A,Groups!B:B)=2), (18 + BP23 * 2.7) + 250, (18 + BP23 * 2.7))
    )
  ))
  + AN23 * 80
  + IF(COUNTIF(EggMilk!K$2:K$998, A23) &gt; 0, 125, 0)
  + IF(COUNTIF(EggMilk!P$2:P$998, A23) &gt; 0, 90, 0)
  + IF(COUNTIF(EggMilk!A$2:A$998, A23) &gt; 0, 90, 0)
)
* (0.8 + 0.4 * I23)
* 0.75,25)</f>
        <v>75</v>
      </c>
      <c r="H23" s="2">
        <f>MROUND(ROUNDDOWN(_xlfn.XLOOKUP(B23,'Base stats'!B:B,'Base stats'!L:L)/3.6/(23.3/11),1),0.5)</f>
        <v>9.5</v>
      </c>
      <c r="I23" s="2">
        <f>IF(_xlfn.XLOOKUP(B23,'Base stats'!B:B,'Base stats'!AI:AI)=1,0.99,MIN(MROUND((1-0.6282*EXP(-0.459*AN23))*_xlfn.XLOOKUP(_xlfn.XLOOKUP(B23,'Base stats'!B:B,'Base stats'!E:E),Groups!A:A,Groups!C:C)*IF(_xlfn.XLOOKUP(B23,'Base stats'!B:B,'Base stats'!O:O)=1,0.5,IF(_xlfn.XLOOKUP(B23,'Base stats'!B:B,'Base stats'!O:O)=2,0,1)),0.05),0.985))</f>
        <v>0.55000000000000004</v>
      </c>
      <c r="J23" s="2">
        <f>ROUNDUP(AN23*_xlfn.XLOOKUP(_xlfn.XLOOKUP(B23,'Base stats'!B:B,'Base stats'!E:E),Groups!A:A,Groups!E:E),0)</f>
        <v>1</v>
      </c>
      <c r="K23" s="2">
        <f>IF(OR(_xlfn.XLOOKUP(_xlfn.XLOOKUP(B23,'Base stats'!B:B,'Base stats'!E:E),Groups!A:A,Groups!F:F)=2,ISNUMBER(SEARCH("SeaIce",BV23)),ISNUMBER(SEARCH("IceSheet",BV23))),-50,IF(OR(ISNUMBER(SEARCH("GlacialPlain",BV23)),ISNUMBER(SEARCH("Tundra",BV23))),-40,IF(OR(ISNUMBER(SEARCH("Alpine",BV23)),ISNUMBER(SEARCH("BorealForest",BV23)),ISNUMBER(SEARCH("ColdBog",BV23))),-30,IF(OR(ISNUMBER(SEARCH("TemperateForest",BV23)),ISNUMBER(SEARCH("TemperateSwamp",BV23))),-20,IF(_xlfn.XLOOKUP(_xlfn.XLOOKUP(B23,'Base stats'!B:B,'Base stats'!E:E),Groups!A:A,Groups!F:F)=1,-15,IF(OR(ISNUMBER(SEARCH("Desert",BV23)),ISNUMBER(SEARCH("ExtremeDesert",BV23))),-10,IF(OR(ISNUMBER(SEARCH("Grasslands",BV23)),ISNUMBER(SEARCH("TropicalRainforest",BV23)),ISNUMBER(SEARCH("TropicalSwamp",BV23))),10,0)))))))-IF(CA23="False",MIN(IFERROR(MAX(MROUND(LOG10(_xlfn.XLOOKUP(B23,'Base stats'!B:B,'Base stats'!C:C)^(2/3))*10,5),5),5),30))-_xlfn.XLOOKUP(B23,'Base stats'!B:B,'Base stats'!P:P)+IF(CA23="True",5,0)</f>
        <v>-45</v>
      </c>
      <c r="L23" s="2">
        <f>IF(OR(_xlfn.XLOOKUP(_xlfn.XLOOKUP(B23,'Base stats'!B:B,'Base stats'!E:E),Groups!A:A,Groups!G:G)=2,ISNUMBER(SEARCH("Desert",BV23)),ISNUMBER(SEARCH("ExtremeDesert",BV23)),ISNUMBER(SEARCH("LavaField",BV23))),50,IF(ISNUMBER(SEARCH("Grasslands",BV23)),45,IF(OR(_xlfn.XLOOKUP(_xlfn.XLOOKUP(B23,'Base stats'!B:B,'Base stats'!E:E),Groups!A:A,Groups!G:G)=1,ISNUMBER(SEARCH("TropicalRainforest",BV23)),ISNUMBER(SEARCH("TropicalSwamp",BV23))),40,IF(OR(ISNUMBER(SEARCH("TemperateForest",BV23)),ISNUMBER(SEARCH("TemperateSwamp",BV23))),35,IF(OR(ISNUMBER(SEARCH("Alpine",BV23)),ISNUMBER(SEARCH("BorealForest",BV23)),ISNUMBER(SEARCH("ColdBog",BV23))),30,IF(ISNUMBER(OR(ISNUMBER(SEARCH("GlacialPlain",BV23)),SEARCH("Tundra",BV23))),25,IF(OR(ISNUMBER(SEARCH("SeaIce",BV23)),ISNUMBER(SEARCH("IceSheet",BV23)),ISNUMBER(SEARCH("TropicalSwamp",BV23))),10,35)))))))+_xlfn.XLOOKUP(B23,'Base stats'!B:B,'Base stats'!Q:Q)</f>
        <v>50</v>
      </c>
      <c r="M23" s="8" t="str">
        <f>IF(_xlfn.XLOOKUP(_xlfn.XLOOKUP(B23,'Base stats'!B:B,'Base stats'!E:E),Groups!A:A,Groups!L:L)=1,MIN(MROUND(_xlfn.XLOOKUP(B23,'Animals CE'!B:B,'Animals CE'!Z:Z)/2+0.05,0.05),200%),"No")</f>
        <v>No</v>
      </c>
      <c r="N23" s="8" t="str">
        <f>IF(_xlfn.XLOOKUP(_xlfn.XLOOKUP(B23,'Base stats'!B:B,'Base stats'!E:E),Groups!A:A,Groups!L:L)=1,MIN(MROUND(_xlfn.XLOOKUP(B23,'Animals CE'!B:B,'Animals CE'!AA:AA)/2+0.05,0.05),200%),"No")</f>
        <v>No</v>
      </c>
      <c r="O23" s="2" t="str">
        <f>_xlfn.XLOOKUP(B23,'Base stats'!B:B,'Base stats'!R:R)</f>
        <v>Standard</v>
      </c>
      <c r="P23" s="13">
        <f>MROUND((LOG10(_xlfn.XLOOKUP(B23,'Base stats'!B:B,'Base stats'!AO:AO))*(AN23^0.5)+(_xlfn.XLOOKUP(B23,'Base stats'!B:B,'Base stats'!AO:AO)/1000)^(2/3)+_xlfn.XLOOKUP(B23,'Base stats'!B:B,'Base stats'!AX:AX)/2)+0.5,0.5)</f>
        <v>2.5</v>
      </c>
      <c r="Q23" s="7">
        <f>IF(P23="No","No",MAX(1,MROUND(_xlfn.XLOOKUP(B23,'Base stats'!B:B,'Base stats'!C:C)^0.165,0.05)))</f>
        <v>1.25</v>
      </c>
      <c r="R23" s="13" t="str">
        <f>IF(_xlfn.XLOOKUP(_xlfn.XLOOKUP(B23,'Base stats'!B:B,'Base stats'!E:E),Groups!A:A,Groups!P:P)=0,"No",MROUND((LOG10(_xlfn.XLOOKUP(B23,'Base stats'!B:B,'Base stats'!AP:AP))*(AN23^0.5)+(_xlfn.XLOOKUP(B23,'Base stats'!B:B,'Base stats'!AP:AP)/1000)^(2/3)+_xlfn.XLOOKUP(B23,'Base stats'!B:B,'Base stats'!AX:AX))+_xlfn.XLOOKUP(B23,'Base stats'!B:B,'Base stats'!AV:AV)+0.5,0.5))</f>
        <v>No</v>
      </c>
      <c r="S23" s="7" t="str">
        <f>IF(R23="No","No",MAX(_xlfn.XLOOKUP(_xlfn.XLOOKUP(B23,'Base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T23" s="7" t="str">
        <f>IF(R23="No","No",_xlfn.XLOOKUP(_xlfn.XLOOKUP(B23,'Base stats'!B:B,'Base stats'!E:E),Groups!A:A,Groups!R:R))</f>
        <v>No</v>
      </c>
      <c r="U23" s="7" t="str">
        <f>IF(R23="No","No",_xlfn.XLOOKUP(_xlfn.XLOOKUP(B23,'Base stats'!B:B,'Base stats'!E:E),Groups!A:A,Groups!S:S))</f>
        <v>No</v>
      </c>
      <c r="V23" s="7" t="str">
        <f>IF(R23="No","No",_xlfn.XLOOKUP(_xlfn.XLOOKUP(B23,'Base stats'!B:B,'Base stats'!E:E),Groups!A:A,Groups!T:T))</f>
        <v>No</v>
      </c>
      <c r="W23" s="13" t="str">
        <f>IF(_xlfn.XLOOKUP(B23,'Base stats'!B:B,'Base stats'!W:W)="No","No",MROUND((LOG10(_xlfn.XLOOKUP(B23,'Base stats'!B:B,'Base stats'!AR:AR))*(AN23^0.5)+(_xlfn.XLOOKUP(B23,'Base stats'!B:B,'Base stats'!AR:AR)/1000)^(2/3)+_xlfn.XLOOKUP(B23,'Base stats'!B:B,'Base stats'!AW:AW))+0.5+IF(_xlfn.XLOOKUP(_xlfn.XLOOKUP(B23,'Base stats'!B:B,'Base stats'!E:E),Groups!A:A,Groups!U:U)&lt;&gt;3,_xlfn.XLOOKUP(B23,'Base stats'!B:B,'Base stats'!AX:AX),0),0.5))</f>
        <v>No</v>
      </c>
      <c r="X23" s="7" t="str">
        <f>IF(W23="No","No",MAX(_xlfn.XLOOKUP(_xlfn.XLOOKUP(B23,'Base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Y23" s="7" t="str">
        <f>IF(W23="No","No",_xlfn.XLOOKUP(_xlfn.XLOOKUP(B23,'Base stats'!B:B,'Base stats'!E:E),Groups!A:A,Groups!W:W))</f>
        <v>No</v>
      </c>
      <c r="Z23" s="7" t="str">
        <f>IF(W23="No","No",_xlfn.XLOOKUP(_xlfn.XLOOKUP(B23,'Base stats'!B:B,'Base stats'!E:E),Groups!A:A,Groups!X:X))</f>
        <v>No</v>
      </c>
      <c r="AA23" s="7" t="str">
        <f>IF(W23="No","No",_xlfn.XLOOKUP(_xlfn.XLOOKUP(B23,'Base stats'!B:B,'Base stats'!E:E),Groups!A:A,Groups!Y:Y))</f>
        <v>No</v>
      </c>
      <c r="AB23" s="7" t="str">
        <f>_xlfn.XLOOKUP(Animals!B23,'Base stats'!B:B,'Base stats'!X:X)</f>
        <v>False</v>
      </c>
      <c r="AC23" s="13">
        <f>IF(_xlfn.XLOOKUP(B23,'Base stats'!B:B,'Base stats'!AQ:AQ)="No","No",MROUND((LOG10(_xlfn.XLOOKUP(B23,'Base stats'!B:B,'Base stats'!AQ:AQ))*(AN23^0.75)+(_xlfn.XLOOKUP(B23,'Base stats'!B:B,'Base stats'!AQ:AQ)/1000)^(2/3)+_xlfn.XLOOKUP(B23,'Base stats'!B:B,'Base stats'!AU:AU)+_xlfn.XLOOKUP(B23,'Base stats'!B:B,'Base stats'!AX:AX))+0.5,0.5))</f>
        <v>2.5</v>
      </c>
      <c r="AD23" s="7">
        <f>IF(AC23="No","No",MAX(_xlfn.XLOOKUP(_xlfn.XLOOKUP(B23,'Base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E23" s="7" t="str">
        <f>IF(AC23="No","No",_xlfn.XLOOKUP(_xlfn.XLOOKUP(B23,'Base stats'!B:B,'Base stats'!E:E),Groups!A:A,Groups!AA:AA))</f>
        <v>Teeth</v>
      </c>
      <c r="AF23" s="7" t="str">
        <f>IF(AC23="No","No",_xlfn.XLOOKUP(_xlfn.XLOOKUP(B23,'Base stats'!B:B,'Base stats'!E:E),Groups!A:A,Groups!AB:AB))</f>
        <v>Incisors</v>
      </c>
      <c r="AG23" s="7" t="str">
        <f>IF(AC23="No","No",_xlfn.XLOOKUP(_xlfn.XLOOKUP(B23,'Base stats'!B:B,'Base stats'!E:E),Groups!A:A,Groups!AC:AC))</f>
        <v>Bite</v>
      </c>
      <c r="AH23" s="13" t="str">
        <f>IF(_xlfn.XLOOKUP(_xlfn.XLOOKUP(B23,'Base stats'!B:B,'Base stats'!E:E),Groups!A:A,Groups!AD:AD)=0,"No",MROUND((LOG10(_xlfn.XLOOKUP(B23,'Base stats'!B:B,'Base stats'!AP:AP))*(AN23^0.75)+(_xlfn.XLOOKUP(B23,'Base stats'!B:B,'Base stats'!AP:AP)/1000)^(2/3)+_xlfn.XLOOKUP(B23,'Base stats'!B:B,'Base stats'!AV:AV)+_xlfn.XLOOKUP(B23,'Base stats'!B:B,'Base stats'!AX:AX))+0.5,0.5))</f>
        <v>No</v>
      </c>
      <c r="AI23" s="7" t="str">
        <f>IF(AH23="No","No",MAX(_xlfn.XLOOKUP(_xlfn.XLOOKUP(B23,'Base stats'!B:B,'Base stats'!E:E),Groups!A:A,Groups!AE:AE),MROUND(_xlfn.XLOOKUP(_xlfn.XLOOKUP(B23,'Base stats'!B:B,'Base stats'!E:E),Groups!A:A,Groups!AE:AE)*_xlfn.XLOOKUP(B23,'Base stats'!B:B,'Base stats'!C:C)^0.165,0.05)))</f>
        <v>No</v>
      </c>
      <c r="AJ23" s="7" t="str">
        <f>IF(AH23="No","No",_xlfn.XLOOKUP(_xlfn.XLOOKUP(B23,'Base stats'!B:B,'Base stats'!E:E),Groups!A:A,Groups!AF:AF))</f>
        <v>No</v>
      </c>
      <c r="AK23" s="7" t="str">
        <f>IF(AH23="No","No",_xlfn.XLOOKUP(_xlfn.XLOOKUP(B23,'Base stats'!B:B,'Base stats'!E:E),Groups!A:A,Groups!AG:AG))</f>
        <v>No</v>
      </c>
      <c r="AL23" s="7" t="str">
        <f>IF(AH23="No","No",_xlfn.XLOOKUP(_xlfn.XLOOKUP(B23,'Base stats'!B:B,'Base stats'!E:E),Groups!A:A,Groups!AH:AH))</f>
        <v>No</v>
      </c>
      <c r="AM23" s="2" t="str">
        <f t="shared" si="0"/>
        <v>No</v>
      </c>
      <c r="AN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O23" s="8">
        <f>MROUND(AN23*_xlfn.XLOOKUP(_xlfn.XLOOKUP(B23,'Base stats'!B:B,'Base stats'!E:E),Groups!A:A,Groups!AI:AI),0.05)</f>
        <v>0.30000000000000004</v>
      </c>
      <c r="AP23" s="8">
        <f>MAX(0.01,MROUND(IF(CA23="True",0.196*(AN23*100*1000)^0.889,IF(_xlfn.XLOOKUP(_xlfn.XLOOKUP(B23,'Base stats'!B:B,'Base stats'!E:E),Groups!A:A,Groups!AJ:AJ)="Bird",10.5*(AN23*100*1000)^0.681,4.82*(AN23*100*1000)^0.734))/(4.82*(1*100*1000)^0.734)/IF(AN23&lt;3.5,2,IF(AN23=3.5,1.5,1.25))*(1+0.132282374779864/(AN23^0.994035016789033+0.00905238001496948)),0.05))</f>
        <v>0.30000000000000004</v>
      </c>
      <c r="AQ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R23" s="35">
        <f>IFERROR(IF(_xlfn.XLOOKUP(B23,'Base stats'!B:B,'Base stats'!F:F)="Lay eggs","Lay eggs",MIN(20,MAX(5.5,ROUND(((_xlfn.XLOOKUP(B23,'Base stats'!B:B,'Base stats'!F:F)-25)*(14.5/615) + 5.5)*2,0)/2))),"Cannot breed")</f>
        <v>6</v>
      </c>
      <c r="AS23" s="8">
        <f>IF(OR(A23="Queen",A23="Larva"),"No",IFERROR(MAX(IF(_xlfn.XLOOKUP(B23,'Base stats'!B:B,'Base stats'!G:G)&lt;0.5,0.2,0.3),MROUND(_xlfn.XLOOKUP(B23,'Base stats'!B:B,'Base stats'!G:G)/(365/60),0.2)),"Unknown"))</f>
        <v>0.3</v>
      </c>
      <c r="AT23" s="8">
        <f t="shared" si="1"/>
        <v>0.15000000000000002</v>
      </c>
      <c r="AU23" s="8">
        <f>IFERROR(IFERROR(MROUND(_xlfn.XLOOKUP(B23,'Base stats'!B:B,'Base stats'!J:J),0.1),"Lay eggs"),"Cannot breed")</f>
        <v>2</v>
      </c>
      <c r="AV23" s="2" t="str">
        <f t="shared" si="2"/>
        <v>false</v>
      </c>
      <c r="AW23" s="2" t="str">
        <f>IF(_xlfn.XLOOKUP(_xlfn.XLOOKUP(Animals!B23,'Base stats'!B:B,'Base stats'!E:E),Groups!A:A,Groups!AK:AK)=1,"true","false")</f>
        <v>false</v>
      </c>
      <c r="AX23" s="25" t="str">
        <f>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</f>
        <v>VegetarianRoughAnimal</v>
      </c>
      <c r="AY23" s="2" t="str">
        <f>IF(_xlfn.XLOOKUP(_xlfn.XLOOKUP(B23,'Base stats'!B:B,'Base stats'!E:E),Groups!A:A,Groups!D:D)=1,MROUND((1-I23)*5+1,2)*IF(I23&lt;=0.4,2,1),"No")</f>
        <v>No</v>
      </c>
      <c r="AZ23" s="2" t="str">
        <f>_xlfn.XLOOKUP(B23,'Base stats'!B:B,'Base stats'!AE:AE)</f>
        <v>Leather_Light</v>
      </c>
      <c r="BA23" s="23" t="str">
        <f>_xlfn.XLOOKUP(_xlfn.XLOOKUP(B23,'Base stats'!B:B,'Base stats'!E:E),Groups!A:A,Groups!AL:AL)</f>
        <v>QuadrupedAnimalWithPaws</v>
      </c>
      <c r="BB23" s="23">
        <f>MROUND(IF(AND(AN23&lt;0.5,_xlfn.XLOOKUP(B23,'Base stats'!B:B,'Base stats'!Z:Z)=0),0,IF(OR(_xlfn.XLOOKUP(Animals!B23,'Base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stats'!AA:AA),0.005)</f>
        <v>0</v>
      </c>
      <c r="BC23" s="23">
        <f>MROUND(IF(AND(AN23&lt;0.5,_xlfn.XLOOKUP(B23,'Base stats'!B:B,'Base stats'!Z:Z)=0),0,IF(_xlfn.XLOOKUP(_xlfn.XLOOKUP(B23,'Base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stats'!AB:AB),0.005)</f>
        <v>0</v>
      </c>
      <c r="BD23" s="2" t="str">
        <f>IF(I23&gt;0.3,"No",_xlfn.XLOOKUP(_xlfn.XLOOKUP(Animals!B23,'Base stats'!B:B,'Base stats'!E:E),Groups!A:A,Groups!AP:AP))</f>
        <v>No</v>
      </c>
      <c r="BE23" s="2">
        <f>IF(AND(I23&lt;=0.65,_xlfn.XLOOKUP(_xlfn.XLOOKUP(Animals!B23,'Base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stats'!O:O)=2,0.2,AN23) + 24*(1-IF(BD23="No",0,BD23)) + 16/3, 12),"No")</f>
        <v>36</v>
      </c>
      <c r="BF23" s="2">
        <f>IF(AND(_xlfn.XLOOKUP(_xlfn.XLOOKUP(B23,'Base stats'!B:B,'Base stats'!E:E),Groups!A:A,Groups!AQ:AQ)=1,AN23&lt;=0.35),8,12)</f>
        <v>8</v>
      </c>
      <c r="BG23" s="2" t="str">
        <f>IF(_xlfn.XLOOKUP(_xlfn.XLOOKUP(B23,'Base stats'!B:B,'Base stats'!E:E),Groups!A:A,Groups!D:D)=0,_xlfn.XLOOKUP(_xlfn.XLOOKUP(B23,'Base stats'!B:B,'Base stats'!E:E),Groups!A:A,Groups!AR:AR),"None")</f>
        <v>None</v>
      </c>
      <c r="BH23" s="2" t="str">
        <f>IF(AND(_xlfn.XLOOKUP(_xlfn.XLOOKUP(B23,'Base stats'!B:B,'Base stats'!E:E),Groups!A:A,Groups!AS:AS)=1,OR('Base stats'!Y23="Carnivore",'Base stats'!Y23="Omnivore")),"true","false")</f>
        <v>false</v>
      </c>
      <c r="BI23" s="2" t="str">
        <f>IF(BH23="true",MROUND(IF(AND(AN23&gt;0.5,_xlfn.XLOOKUP(_xlfn.XLOOKUP(B23,'Base stats'!B:B,'Base stats'!E:E),Groups!A:A,Groups!AJ:AJ)="Mammal"),Animals!AN23*1.75*IF(AV23="true",1.5,1),Animals!AN23),IF(AN23&gt;2,0.5,IF(AN23&gt;0.5,0.25,0.1))),"No")</f>
        <v>No</v>
      </c>
      <c r="BJ23" s="2">
        <f t="shared" si="3"/>
        <v>0</v>
      </c>
      <c r="BK23" s="25" t="str">
        <f>IF('Base stats'!AK23="Standard","No",MROUND((_xlfn.XLOOKUP(B23,'Base stats'!B:B,'Base stats'!AK:AK)/3.6)/H23,0.1))</f>
        <v>No</v>
      </c>
      <c r="BL23" s="25" t="str">
        <f t="shared" si="4"/>
        <v>false</v>
      </c>
      <c r="BM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N23" s="25" t="str" cm="1">
        <f t="array" ref="BN23">IF(
  _xlfn.TEXTJOIN(", ",TRUE,
    IF(AND(BH23="true",AN23&gt;0.5,BG23&lt;&gt;"None"),"AttackTarget",""),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IF(BE23&lt;=36,"Comfort",""),
    IF(_xlfn.XLOOKUP(B23,'Base stats'!B:B,'Base stats'!AC:AC)&lt;&gt;"No",_xlfn.XLOOKUP(B23,'Base stats'!B:B,'Base stats'!AC:AC),"")
  ) = "",
  "No",
  _xlfn.TEXTJOIN(", ",TRUE,
    IF(AND(BH23="true",AN23&gt;0.5,BG23&lt;&gt;"None"),"AttackTarget",""),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IF(BE23&lt;=36,"Comfort",""),
    IF(_xlfn.XLOOKUP(B23,'Base stats'!B:B,'Base stats'!AC:AC)&lt;&gt;"No",_xlfn.XLOOKUP(B23,'Base stats'!B:B,'Base stats'!AC:AC),"")
  )
)</f>
        <v>Comfort</v>
      </c>
      <c r="BO23" s="25" t="str">
        <f>IF(
   AND(
      'Base stats'!AK23="Standard",_xlfn.XLOOKUP(_xlfn.XLOOKUP(B23,'Base stats'!B:B,'Base stats'!E:E),Groups!A:A,Groups!AU:AU)=0,
      OR(
      BM23="True"
      )
   ),
   10,
   IF(
       OR(BK23&lt;&gt;"No",_xlfn.XLOOKUP(_xlfn.XLOOKUP(B23,'Base stats'!B:B,'Base stats'!E:E),Groups!A:A,Groups!AU:AU)=1),
      1,
      "No"
   )
)</f>
        <v>No</v>
      </c>
      <c r="BP23" s="9">
        <f>MROUND((1 + ((0.2*IF(OR(P23="No",Q23="No",Q23=0),0,P23/Q23)
+IF(OR(U23="No",R23="No",S23="No"),0,R23/S23*(LEN(U23)-LEN(SUBSTITUTE(U23,",",""))+1))
+IF(OR(W23="No",X23="No"),0,W23/X23)
+IF(OR(AC23="No",AD23="No"),0,AC23/AD23)
+IF(OR(AK23="No",AH23="No",AI23="No"),0,AH23/AI23*(LEN(AK23)-LEN(SUBSTITUTE(AK23,",",""))+1))
)/(0.2*IF(OR(P23="No",Q23="No",Q23=0),0,1)
+IF(OR(U23="No",R23="No",S23="No"),0,LEN(U23)-LEN(SUBSTITUTE(U23,",",""))+1)
+IF(OR(W23="No",X23="No"),0,1)
+IF(OR(AC23="No",AD23="No"),0,1)
+IF(OR(AK23="No",AH23="No",AI23="No"),0,LEN(AK23)-LEN(SUBSTITUTE(AK23,",",""))+1))*62%)* 2)*(1 + (AO23 + _xlfn.XLOOKUP(B23,'Base stats'!B:B,'Base stats'!AS:AS) * 1.8) * 2) * 2.5 + 10 + H23 * 2,5)+IF(_xlfn.XLOOKUP(B23,'Base stats'!B:B,'Base stats'!AH:AH)=1,50,0)</f>
        <v>45</v>
      </c>
      <c r="BQ23" s="8">
        <f t="shared" si="5"/>
        <v>0.30000000000000004</v>
      </c>
      <c r="BR23" s="8" t="str">
        <f>_xlfn.XLOOKUP(B23,'Base stats'!B:B,'Base stats'!AD:AD)</f>
        <v>No</v>
      </c>
      <c r="BS23" s="2" t="str">
        <f>IF(AND(I23&lt;=0.95,OR(_xlfn.XLOOKUP(B23,'Base stats'!B:B,'Base stats'!AH:AH)=1,_xlfn.XLOOKUP(B23,'Base stats'!B:B,'Base stats'!Y:Y)="Carnivore",_xlfn.XLOOKUP(B23,'Base stats'!B:B,'Base stats'!Y:Y)="Omnivore",BC23&gt;0.1)),"true","false")</f>
        <v>false</v>
      </c>
      <c r="BT23" s="2" t="str">
        <f>IF(_xlfn.XLOOKUP(B23,'Base stats'!B:B,'Base stats'!AF:AF)=1,"true","false")</f>
        <v>false</v>
      </c>
      <c r="BU23" s="25" t="str">
        <f>IF(E23="BaseInsect","AnimalInsect",
IF(I23&gt;0.95,"AnimalExotic",
_xlfn.TEXTJOIN(", ",TRUE,
IF(AND(_xlfn.XLOOKUP(B23,'Base stats'!B:B,'Base stats'!O:O)=0,_xlfn.XLOOKUP(_xlfn.XLOOKUP(B23,'Base stats'!B:B,'Base stats'!E:E),Groups!A:A,Groups!B:B)&gt;0),"AnimalUncommon","AnimalCommon"),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stats'!AH:AH)=1,AND(BG23&lt;&gt;"None",BP23&gt;=60),ISNUMBER(SEARCH("Attack target",BN23))),"AnimalFighter","")
)))</f>
        <v>AnimalCommon</v>
      </c>
      <c r="BV23" s="25" t="str">
        <f>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</f>
        <v>BorealForest ColdBog TemperateForest TemperateSwamp AridShrubland Desert Grasslands LavaField GlacialPlain</v>
      </c>
      <c r="BW23" s="25" t="str">
        <f>IF(_xlfn.XLOOKUP(B23,'Base stats'!B:B,'Base stats'!AG:AG)=1,"true","false")</f>
        <v>false</v>
      </c>
      <c r="BX23" s="25">
        <f>IF(_xlfn.XLOOKUP(B23,'Base stats'!B:B,'Base stats'!N:N)=1,"No",MIN(MROUND(IF(OR(_xlfn.XLOOKUP(B23,'Base stats'!B:B,'Base stats'!AJ:AJ)=1,AND(BH23="True",CA23="False")),POWER(10,3.47*LOG10(_xlfn.XLOOKUP(B23,'Base stats'!B:B,'Base stats'!C:C)*1000)^-0.96),POWER(10,4.15*LOG10(_xlfn.XLOOKUP(B23,'Base stats'!B:B,'Base stats'!C:C)*1000)^-0.73))*IF(OR(_xlfn.XLOOKUP(B23,'Base stats'!B:B,'Base stats'!AJ:AJ)=1,_xlfn.XLOOKUP(B23,'Base stats'!B:B,'Base stats'!AH:AH)=1),0.5,1)/100,0.025),1))</f>
        <v>0.42500000000000004</v>
      </c>
      <c r="BY23" s="25" t="str">
        <f>IF(O23="Standard","No",IF(_xlfn.XLOOKUP(B23,'Base stats'!B:B,'Base stats'!N:N)=0,MROUND(BX23*O23,0.05),MIN(1,MAX(0.025,MROUND(IF(OR(CA23="true",AND(BH23="false",BM23="false")),POWER(10,4.15*LOG10(_xlfn.XLOOKUP(B23,'Base stats'!B:B,'Base stats'!C:C)*1000)^-0.73),POWER(10,3.47*LOG10(_xlfn.XLOOKUP(B23,'Base stats'!B:B,'Base stats'!C:C)*1000)^-0.96))*IF(_xlfn.XLOOKUP(B23,'Base stats'!B:B,'Base stats'!AH:AH)=1,0.5,1)/100,0.025)))))</f>
        <v>No</v>
      </c>
      <c r="BZ23" s="25" t="str">
        <f>IF(_xlfn.XLOOKUP(_xlfn.XLOOKUP(B23,'Base stats'!B:B,'Base stats'!E:E),Groups!A:A,Groups!AJ:AJ)="Mammal","True","False")</f>
        <v>True</v>
      </c>
      <c r="CA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B23" s="25" t="str">
        <f t="shared" si="6"/>
        <v>False</v>
      </c>
      <c r="CC23" s="25" t="str">
        <f>IF(_xlfn.XLOOKUP(_xlfn.XLOOKUP(B23,'Base stats'!B:B,'Base stats'!E:E),Groups!A:A,Groups!AW:AW),"True","False")</f>
        <v>False</v>
      </c>
      <c r="CD23" s="25" t="str">
        <f>IF(_xlfn.XLOOKUP(_xlfn.XLOOKUP(B23,'Base stats'!B:B,'Base stats'!E:E),Groups!A:A,Groups!AX:AX),"True","False")</f>
        <v>False</v>
      </c>
      <c r="CE23" s="25" t="str">
        <f>IF(_xlfn.XLOOKUP(B23,'Base stats'!B:B,'Base stats'!E:E)=1,"True","False")</f>
        <v>False</v>
      </c>
      <c r="CF23" s="25" t="str">
        <f>IF(
OR(
_xlfn.XLOOKUP(_xlfn.XLOOKUP(B23,'Base stats'!B:B,'Base stats'!E:E),Groups!A:A,Groups!AY:AY)=0,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stats'!E:E),Groups!A:A,Groups!AY:AY)=1,
"Flesh",
IF(
_xlfn.XLOOKUP(_xlfn.XLOOKUP(B23,'Base stats'!B:B,'Base stats'!E:E),Groups!A:A,Groups!AY:AY)=2,
"Bone",
""
)
)
)</f>
        <v>No</v>
      </c>
      <c r="CG23" s="25" t="str">
        <f>IF(_xlfn.XLOOKUP(_xlfn.XLOOKUP(B23,'Base stats'!B:B,'Base stats'!E:E),Groups!A:A,Groups!BA:BA),"True","False")</f>
        <v>True</v>
      </c>
      <c r="CH23" s="25" t="str">
        <f>IF(_xlfn.XLOOKUP(_xlfn.XLOOKUP(B23,'Base stats'!B:B,'Base stats'!E:E),Groups!A:A,Groups!AZ:AZ),"True","False")</f>
        <v>False</v>
      </c>
      <c r="CM23" s="16"/>
    </row>
    <row r="24" spans="1:91" s="16" customFormat="1" ht="16.5" thickTop="1" thickBot="1" x14ac:dyDescent="0.3">
      <c r="A24" s="26" t="str">
        <f>_xlfn.XLOOKUP(B24,'Base stats'!B:B,'Base stats'!A:A)</f>
        <v>Hare</v>
      </c>
      <c r="B24" s="6" t="s">
        <v>131</v>
      </c>
      <c r="C24" s="28" t="s">
        <v>711</v>
      </c>
      <c r="D24" s="28" t="s">
        <v>45</v>
      </c>
      <c r="E24" s="28" t="s">
        <v>709</v>
      </c>
      <c r="F24" s="28" t="s">
        <v>710</v>
      </c>
      <c r="G24" s="2">
        <f>MROUND((
  (IF(AND(_xlfn.XLOOKUP(B24,'Base stats'!B:B,'Base stats'!AI:AI)=0,BG24="None",_xlfn.XLOOKUP('Base stats'!E24,Groups!A:A,Groups!B:B)=0), (18 + BP24 * 2.7) * 0.5,
    IF(AND(_xlfn.XLOOKUP(B24,'Base stats'!B:B,'Base stats'!AI:AI)=0,OR(AN24&lt;0.55,AND(BG24="Intermediate",_xlfn.XLOOKUP('Base stats'!E24,Groups!A:A,Groups!B:B)&lt;2))), (18 + BP24 * 2.7),
      IF(OR(BG24="Advanced",_xlfn.XLOOKUP(B24,'Base stats'!B:B,'Base stats'!AI:AI)=1,_xlfn.XLOOKUP('Base stats'!E24,Groups!A:A,Groups!B:B)=2), (18 + BP24 * 2.7) + 250, (18 + BP24 * 2.7))
    )
  ))
  + AN24 * 80
  + IF(COUNTIF(EggMilk!K$2:K$998, A24) &gt; 0, 125, 0)
  + IF(COUNTIF(EggMilk!P$2:P$998, A24) &gt; 0, 90, 0)
  + IF(COUNTIF(EggMilk!A$2:A$998, A24) &gt; 0, 90, 0)
)
* (0.8 + 0.4 * I24)
* 0.75,25)</f>
        <v>75</v>
      </c>
      <c r="H24" s="2">
        <f>MROUND(ROUNDDOWN(_xlfn.XLOOKUP(B24,'Base stats'!B:B,'Base stats'!L:L)/3.6/(23.3/11),1),0.5)</f>
        <v>9.5</v>
      </c>
      <c r="I24" s="2">
        <f>IF(_xlfn.XLOOKUP(B24,'Base stats'!B:B,'Base stats'!AI:AI)=1,0.99,MIN(MROUND((1-0.6282*EXP(-0.459*AN24))*_xlfn.XLOOKUP(_xlfn.XLOOKUP(B24,'Base stats'!B:B,'Base stats'!E:E),Groups!A:A,Groups!C:C)*IF(_xlfn.XLOOKUP(B24,'Base stats'!B:B,'Base stats'!O:O)=1,0.5,IF(_xlfn.XLOOKUP(B24,'Base stats'!B:B,'Base stats'!O:O)=2,0,1)),0.05),0.985))</f>
        <v>0.55000000000000004</v>
      </c>
      <c r="J24" s="2">
        <f>ROUNDUP(AN24*_xlfn.XLOOKUP(_xlfn.XLOOKUP(B24,'Base stats'!B:B,'Base stats'!E:E),Groups!A:A,Groups!E:E),0)</f>
        <v>1</v>
      </c>
      <c r="K24" s="2">
        <f>IF(OR(_xlfn.XLOOKUP(_xlfn.XLOOKUP(B24,'Base stats'!B:B,'Base stats'!E:E),Groups!A:A,Groups!F:F)=2,ISNUMBER(SEARCH("SeaIce",BV24)),ISNUMBER(SEARCH("IceSheet",BV24))),-50,IF(OR(ISNUMBER(SEARCH("GlacialPlain",BV24)),ISNUMBER(SEARCH("Tundra",BV24))),-40,IF(OR(ISNUMBER(SEARCH("Alpine",BV24)),ISNUMBER(SEARCH("BorealForest",BV24)),ISNUMBER(SEARCH("ColdBog",BV24))),-30,IF(OR(ISNUMBER(SEARCH("TemperateForest",BV24)),ISNUMBER(SEARCH("TemperateSwamp",BV24))),-20,IF(_xlfn.XLOOKUP(_xlfn.XLOOKUP(B24,'Base stats'!B:B,'Base stats'!E:E),Groups!A:A,Groups!F:F)=1,-15,IF(OR(ISNUMBER(SEARCH("Desert",BV24)),ISNUMBER(SEARCH("ExtremeDesert",BV24))),-10,IF(OR(ISNUMBER(SEARCH("Grasslands",BV24)),ISNUMBER(SEARCH("TropicalRainforest",BV24)),ISNUMBER(SEARCH("TropicalSwamp",BV24))),10,0)))))))-IF(CA24="False",MIN(IFERROR(MAX(MROUND(LOG10(_xlfn.XLOOKUP(B24,'Base stats'!B:B,'Base stats'!C:C)^(2/3))*10,5),5),5),30))-_xlfn.XLOOKUP(B24,'Base stats'!B:B,'Base stats'!P:P)+IF(CA24="True",5,0)</f>
        <v>-55</v>
      </c>
      <c r="L24" s="2">
        <f>IF(OR(_xlfn.XLOOKUP(_xlfn.XLOOKUP(B24,'Base stats'!B:B,'Base stats'!E:E),Groups!A:A,Groups!G:G)=2,ISNUMBER(SEARCH("Desert",BV24)),ISNUMBER(SEARCH("ExtremeDesert",BV24)),ISNUMBER(SEARCH("LavaField",BV24))),50,IF(ISNUMBER(SEARCH("Grasslands",BV24)),45,IF(OR(_xlfn.XLOOKUP(_xlfn.XLOOKUP(B24,'Base stats'!B:B,'Base stats'!E:E),Groups!A:A,Groups!G:G)=1,ISNUMBER(SEARCH("TropicalRainforest",BV24)),ISNUMBER(SEARCH("TropicalSwamp",BV24))),40,IF(OR(ISNUMBER(SEARCH("TemperateForest",BV24)),ISNUMBER(SEARCH("TemperateSwamp",BV24))),35,IF(OR(ISNUMBER(SEARCH("Alpine",BV24)),ISNUMBER(SEARCH("BorealForest",BV24)),ISNUMBER(SEARCH("ColdBog",BV24))),30,IF(ISNUMBER(OR(ISNUMBER(SEARCH("GlacialPlain",BV24)),SEARCH("Tundra",BV24))),25,IF(OR(ISNUMBER(SEARCH("SeaIce",BV24)),ISNUMBER(SEARCH("IceSheet",BV24)),ISNUMBER(SEARCH("TropicalSwamp",BV24))),10,35)))))))+_xlfn.XLOOKUP(B24,'Base stats'!B:B,'Base stats'!Q:Q)</f>
        <v>10</v>
      </c>
      <c r="M24" s="8" t="str">
        <f>IF(_xlfn.XLOOKUP(_xlfn.XLOOKUP(B24,'Base stats'!B:B,'Base stats'!E:E),Groups!A:A,Groups!L:L)=1,MIN(MROUND(_xlfn.XLOOKUP(B24,'Animals CE'!B:B,'Animals CE'!Z:Z)/2+0.05,0.05),200%),"No")</f>
        <v>No</v>
      </c>
      <c r="N24" s="8" t="str">
        <f>IF(_xlfn.XLOOKUP(_xlfn.XLOOKUP(B24,'Base stats'!B:B,'Base stats'!E:E),Groups!A:A,Groups!L:L)=1,MIN(MROUND(_xlfn.XLOOKUP(B24,'Animals CE'!B:B,'Animals CE'!AA:AA)/2+0.05,0.05),200%),"No")</f>
        <v>No</v>
      </c>
      <c r="O24" s="2" t="str">
        <f>_xlfn.XLOOKUP(B24,'Base stats'!B:B,'Base stats'!R:R)</f>
        <v>Standard</v>
      </c>
      <c r="P24" s="13">
        <f>MROUND((LOG10(_xlfn.XLOOKUP(B24,'Base stats'!B:B,'Base stats'!AO:AO))*(AN24^0.5)+(_xlfn.XLOOKUP(B24,'Base stats'!B:B,'Base stats'!AO:AO)/1000)^(2/3)+_xlfn.XLOOKUP(B24,'Base stats'!B:B,'Base stats'!AX:AX)/2)+0.5,0.5)</f>
        <v>2.5</v>
      </c>
      <c r="Q24" s="7">
        <f>IF(P24="No","No",MAX(1,MROUND(_xlfn.XLOOKUP(B24,'Base stats'!B:B,'Base stats'!C:C)^0.165,0.05)))</f>
        <v>1.25</v>
      </c>
      <c r="R24" s="13" t="str">
        <f>IF(_xlfn.XLOOKUP(_xlfn.XLOOKUP(B24,'Base stats'!B:B,'Base stats'!E:E),Groups!A:A,Groups!P:P)=0,"No",MROUND((LOG10(_xlfn.XLOOKUP(B24,'Base stats'!B:B,'Base stats'!AP:AP))*(AN24^0.5)+(_xlfn.XLOOKUP(B24,'Base stats'!B:B,'Base stats'!AP:AP)/1000)^(2/3)+_xlfn.XLOOKUP(B24,'Base stats'!B:B,'Base stats'!AX:AX))+_xlfn.XLOOKUP(B24,'Base stats'!B:B,'Base stats'!AV:AV)+0.5,0.5))</f>
        <v>No</v>
      </c>
      <c r="S24" s="7" t="str">
        <f>IF(R24="No","No",MAX(_xlfn.XLOOKUP(_xlfn.XLOOKUP(B24,'Base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T24" s="7" t="str">
        <f>IF(R24="No","No",_xlfn.XLOOKUP(_xlfn.XLOOKUP(B24,'Base stats'!B:B,'Base stats'!E:E),Groups!A:A,Groups!R:R))</f>
        <v>No</v>
      </c>
      <c r="U24" s="7" t="str">
        <f>IF(R24="No","No",_xlfn.XLOOKUP(_xlfn.XLOOKUP(B24,'Base stats'!B:B,'Base stats'!E:E),Groups!A:A,Groups!S:S))</f>
        <v>No</v>
      </c>
      <c r="V24" s="7" t="str">
        <f>IF(R24="No","No",_xlfn.XLOOKUP(_xlfn.XLOOKUP(B24,'Base stats'!B:B,'Base stats'!E:E),Groups!A:A,Groups!T:T))</f>
        <v>No</v>
      </c>
      <c r="W24" s="13" t="str">
        <f>IF(_xlfn.XLOOKUP(B24,'Base stats'!B:B,'Base stats'!W:W)="No","No",MROUND((LOG10(_xlfn.XLOOKUP(B24,'Base stats'!B:B,'Base stats'!AR:AR))*(AN24^0.5)+(_xlfn.XLOOKUP(B24,'Base stats'!B:B,'Base stats'!AR:AR)/1000)^(2/3)+_xlfn.XLOOKUP(B24,'Base stats'!B:B,'Base stats'!AW:AW))+0.5+IF(_xlfn.XLOOKUP(_xlfn.XLOOKUP(B24,'Base stats'!B:B,'Base stats'!E:E),Groups!A:A,Groups!U:U)&lt;&gt;3,_xlfn.XLOOKUP(B24,'Base stats'!B:B,'Base stats'!AX:AX),0),0.5))</f>
        <v>No</v>
      </c>
      <c r="X24" s="7" t="str">
        <f>IF(W24="No","No",MAX(_xlfn.XLOOKUP(_xlfn.XLOOKUP(B24,'Base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Y24" s="7" t="str">
        <f>IF(W24="No","No",_xlfn.XLOOKUP(_xlfn.XLOOKUP(B24,'Base stats'!B:B,'Base stats'!E:E),Groups!A:A,Groups!W:W))</f>
        <v>No</v>
      </c>
      <c r="Z24" s="7" t="str">
        <f>IF(W24="No","No",_xlfn.XLOOKUP(_xlfn.XLOOKUP(B24,'Base stats'!B:B,'Base stats'!E:E),Groups!A:A,Groups!X:X))</f>
        <v>No</v>
      </c>
      <c r="AA24" s="7" t="str">
        <f>IF(W24="No","No",_xlfn.XLOOKUP(_xlfn.XLOOKUP(B24,'Base stats'!B:B,'Base stats'!E:E),Groups!A:A,Groups!Y:Y))</f>
        <v>No</v>
      </c>
      <c r="AB24" s="7" t="str">
        <f>_xlfn.XLOOKUP(Animals!B24,'Base stats'!B:B,'Base stats'!X:X)</f>
        <v>False</v>
      </c>
      <c r="AC24" s="13">
        <f>IF(_xlfn.XLOOKUP(B24,'Base stats'!B:B,'Base stats'!AQ:AQ)="No","No",MROUND((LOG10(_xlfn.XLOOKUP(B24,'Base stats'!B:B,'Base stats'!AQ:AQ))*(AN24^0.75)+(_xlfn.XLOOKUP(B24,'Base stats'!B:B,'Base stats'!AQ:AQ)/1000)^(2/3)+_xlfn.XLOOKUP(B24,'Base stats'!B:B,'Base stats'!AU:AU)+_xlfn.XLOOKUP(B24,'Base stats'!B:B,'Base stats'!AX:AX))+0.5,0.5))</f>
        <v>2.5</v>
      </c>
      <c r="AD24" s="7">
        <f>IF(AC24="No","No",MAX(_xlfn.XLOOKUP(_xlfn.XLOOKUP(B24,'Base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E24" s="7" t="str">
        <f>IF(AC24="No","No",_xlfn.XLOOKUP(_xlfn.XLOOKUP(B24,'Base stats'!B:B,'Base stats'!E:E),Groups!A:A,Groups!AA:AA))</f>
        <v>Teeth</v>
      </c>
      <c r="AF24" s="7" t="str">
        <f>IF(AC24="No","No",_xlfn.XLOOKUP(_xlfn.XLOOKUP(B24,'Base stats'!B:B,'Base stats'!E:E),Groups!A:A,Groups!AB:AB))</f>
        <v>Incisors</v>
      </c>
      <c r="AG24" s="7" t="str">
        <f>IF(AC24="No","No",_xlfn.XLOOKUP(_xlfn.XLOOKUP(B24,'Base stats'!B:B,'Base stats'!E:E),Groups!A:A,Groups!AC:AC))</f>
        <v>Bite</v>
      </c>
      <c r="AH24" s="13" t="str">
        <f>IF(_xlfn.XLOOKUP(_xlfn.XLOOKUP(B24,'Base stats'!B:B,'Base stats'!E:E),Groups!A:A,Groups!AD:AD)=0,"No",MROUND((LOG10(_xlfn.XLOOKUP(B24,'Base stats'!B:B,'Base stats'!AP:AP))*(AN24^0.75)+(_xlfn.XLOOKUP(B24,'Base stats'!B:B,'Base stats'!AP:AP)/1000)^(2/3)+_xlfn.XLOOKUP(B24,'Base stats'!B:B,'Base stats'!AV:AV)+_xlfn.XLOOKUP(B24,'Base stats'!B:B,'Base stats'!AX:AX))+0.5,0.5))</f>
        <v>No</v>
      </c>
      <c r="AI24" s="7" t="str">
        <f>IF(AH24="No","No",MAX(_xlfn.XLOOKUP(_xlfn.XLOOKUP(B24,'Base stats'!B:B,'Base stats'!E:E),Groups!A:A,Groups!AE:AE),MROUND(_xlfn.XLOOKUP(_xlfn.XLOOKUP(B24,'Base stats'!B:B,'Base stats'!E:E),Groups!A:A,Groups!AE:AE)*_xlfn.XLOOKUP(B24,'Base stats'!B:B,'Base stats'!C:C)^0.165,0.05)))</f>
        <v>No</v>
      </c>
      <c r="AJ24" s="7" t="str">
        <f>IF(AH24="No","No",_xlfn.XLOOKUP(_xlfn.XLOOKUP(B24,'Base stats'!B:B,'Base stats'!E:E),Groups!A:A,Groups!AF:AF))</f>
        <v>No</v>
      </c>
      <c r="AK24" s="7" t="str">
        <f>IF(AH24="No","No",_xlfn.XLOOKUP(_xlfn.XLOOKUP(B24,'Base stats'!B:B,'Base stats'!E:E),Groups!A:A,Groups!AG:AG))</f>
        <v>No</v>
      </c>
      <c r="AL24" s="7" t="str">
        <f>IF(AH24="No","No",_xlfn.XLOOKUP(_xlfn.XLOOKUP(B24,'Base stats'!B:B,'Base stats'!E:E),Groups!A:A,Groups!AH:AH))</f>
        <v>No</v>
      </c>
      <c r="AM24" s="2" t="str">
        <f t="shared" si="0"/>
        <v>No</v>
      </c>
      <c r="AN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O24" s="8">
        <f>MROUND(AN24*_xlfn.XLOOKUP(_xlfn.XLOOKUP(B24,'Base stats'!B:B,'Base stats'!E:E),Groups!A:A,Groups!AI:AI),0.05)</f>
        <v>0.30000000000000004</v>
      </c>
      <c r="AP24" s="8">
        <f>MAX(0.01,MROUND(IF(CA24="True",0.196*(AN24*100*1000)^0.889,IF(_xlfn.XLOOKUP(_xlfn.XLOOKUP(B24,'Base stats'!B:B,'Base stats'!E:E),Groups!A:A,Groups!AJ:AJ)="Bird",10.5*(AN24*100*1000)^0.681,4.82*(AN24*100*1000)^0.734))/(4.82*(1*100*1000)^0.734)/IF(AN24&lt;3.5,2,IF(AN24=3.5,1.5,1.25))*(1+0.132282374779864/(AN24^0.994035016789033+0.00905238001496948)),0.05))</f>
        <v>0.30000000000000004</v>
      </c>
      <c r="AQ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R24" s="35">
        <f>IFERROR(IF(_xlfn.XLOOKUP(B24,'Base stats'!B:B,'Base stats'!F:F)="Lay eggs","Lay eggs",MIN(20,MAX(5.5,ROUND(((_xlfn.XLOOKUP(B24,'Base stats'!B:B,'Base stats'!F:F)-25)*(14.5/615) + 5.5)*2,0)/2))),"Cannot breed")</f>
        <v>6</v>
      </c>
      <c r="AS24" s="8">
        <f>IF(OR(A24="Queen",A24="Larva"),"No",IFERROR(MAX(IF(_xlfn.XLOOKUP(B24,'Base stats'!B:B,'Base stats'!G:G)&lt;0.5,0.2,0.3),MROUND(_xlfn.XLOOKUP(B24,'Base stats'!B:B,'Base stats'!G:G)/(365/60),0.2)),"Unknown"))</f>
        <v>0.3</v>
      </c>
      <c r="AT24" s="8">
        <f t="shared" si="1"/>
        <v>0.15000000000000002</v>
      </c>
      <c r="AU24" s="8">
        <f>IFERROR(IFERROR(MROUND(_xlfn.XLOOKUP(B24,'Base stats'!B:B,'Base stats'!J:J),0.1),"Lay eggs"),"Cannot breed")</f>
        <v>2</v>
      </c>
      <c r="AV24" s="2" t="str">
        <f t="shared" si="2"/>
        <v>false</v>
      </c>
      <c r="AW24" s="2" t="str">
        <f>IF(_xlfn.XLOOKUP(_xlfn.XLOOKUP(Animals!B24,'Base stats'!B:B,'Base stats'!E:E),Groups!A:A,Groups!AK:AK)=1,"true","false")</f>
        <v>false</v>
      </c>
      <c r="AX24" s="25" t="str">
        <f>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</f>
        <v>VegetarianRoughAnimal</v>
      </c>
      <c r="AY24" s="2" t="str">
        <f>IF(_xlfn.XLOOKUP(_xlfn.XLOOKUP(B24,'Base stats'!B:B,'Base stats'!E:E),Groups!A:A,Groups!D:D)=1,MROUND((1-I24)*5+1,2)*IF(I24&lt;=0.4,2,1),"No")</f>
        <v>No</v>
      </c>
      <c r="AZ24" s="2" t="str">
        <f>_xlfn.XLOOKUP(B24,'Base stats'!B:B,'Base stats'!AE:AE)</f>
        <v>Leather_Light</v>
      </c>
      <c r="BA24" s="23" t="str">
        <f>_xlfn.XLOOKUP(_xlfn.XLOOKUP(B24,'Base stats'!B:B,'Base stats'!E:E),Groups!A:A,Groups!AL:AL)</f>
        <v>QuadrupedAnimalWithPaws</v>
      </c>
      <c r="BB24" s="23">
        <f>MROUND(IF(AND(AN24&lt;0.5,_xlfn.XLOOKUP(B24,'Base stats'!B:B,'Base stats'!Z:Z)=0),0,IF(OR(_xlfn.XLOOKUP(Animals!B24,'Base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stats'!AA:AA),0.005)</f>
        <v>0</v>
      </c>
      <c r="BC24" s="23">
        <f>MROUND(IF(AND(AN24&lt;0.5,_xlfn.XLOOKUP(B24,'Base stats'!B:B,'Base stats'!Z:Z)=0),0,IF(_xlfn.XLOOKUP(_xlfn.XLOOKUP(B24,'Base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stats'!AB:AB),0.005)</f>
        <v>0</v>
      </c>
      <c r="BD24" s="2" t="str">
        <f>IF(I24&gt;0.3,"No",_xlfn.XLOOKUP(_xlfn.XLOOKUP(Animals!B24,'Base stats'!B:B,'Base stats'!E:E),Groups!A:A,Groups!AP:AP))</f>
        <v>No</v>
      </c>
      <c r="BE24" s="2">
        <f>IF(AND(I24&lt;=0.65,_xlfn.XLOOKUP(_xlfn.XLOOKUP(Animals!B24,'Base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stats'!O:O)=2,0.2,AN24) + 24*(1-IF(BD24="No",0,BD24)) + 16/3, 12),"No")</f>
        <v>36</v>
      </c>
      <c r="BF24" s="2">
        <f>IF(AND(_xlfn.XLOOKUP(_xlfn.XLOOKUP(B24,'Base stats'!B:B,'Base stats'!E:E),Groups!A:A,Groups!AQ:AQ)=1,AN24&lt;=0.35),8,12)</f>
        <v>8</v>
      </c>
      <c r="BG24" s="2" t="str">
        <f>IF(_xlfn.XLOOKUP(_xlfn.XLOOKUP(B24,'Base stats'!B:B,'Base stats'!E:E),Groups!A:A,Groups!D:D)=0,_xlfn.XLOOKUP(_xlfn.XLOOKUP(B24,'Base stats'!B:B,'Base stats'!E:E),Groups!A:A,Groups!AR:AR),"None")</f>
        <v>None</v>
      </c>
      <c r="BH24" s="2" t="str">
        <f>IF(AND(_xlfn.XLOOKUP(_xlfn.XLOOKUP(B24,'Base stats'!B:B,'Base stats'!E:E),Groups!A:A,Groups!AS:AS)=1,OR('Base stats'!Y24="Carnivore",'Base stats'!Y24="Omnivore")),"true","false")</f>
        <v>false</v>
      </c>
      <c r="BI24" s="2" t="str">
        <f>IF(BH24="true",MROUND(IF(AND(AN24&gt;0.5,_xlfn.XLOOKUP(_xlfn.XLOOKUP(B24,'Base stats'!B:B,'Base stats'!E:E),Groups!A:A,Groups!AJ:AJ)="Mammal"),Animals!AN24*1.75*IF(AV24="true",1.5,1),Animals!AN24),IF(AN24&gt;2,0.5,IF(AN24&gt;0.5,0.25,0.1))),"No")</f>
        <v>No</v>
      </c>
      <c r="BJ24" s="2">
        <f t="shared" si="3"/>
        <v>0</v>
      </c>
      <c r="BK24" s="25" t="str">
        <f>IF('Base stats'!AK24="Standard","No",MROUND((_xlfn.XLOOKUP(B24,'Base stats'!B:B,'Base stats'!AK:AK)/3.6)/H24,0.1))</f>
        <v>No</v>
      </c>
      <c r="BL24" s="25" t="str">
        <f t="shared" si="4"/>
        <v>false</v>
      </c>
      <c r="BM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N24" s="25" t="str" cm="1">
        <f t="array" ref="BN24">IF(
  _xlfn.TEXTJOIN(", ",TRUE,
    IF(AND(BH24="true",AN24&gt;0.5,BG24&lt;&gt;"None"),"AttackTarget",""),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IF(BE24&lt;=36,"Comfort",""),
    IF(_xlfn.XLOOKUP(B24,'Base stats'!B:B,'Base stats'!AC:AC)&lt;&gt;"No",_xlfn.XLOOKUP(B24,'Base stats'!B:B,'Base stats'!AC:AC),"")
  ) = "",
  "No",
  _xlfn.TEXTJOIN(", ",TRUE,
    IF(AND(BH24="true",AN24&gt;0.5,BG24&lt;&gt;"None"),"AttackTarget",""),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IF(BE24&lt;=36,"Comfort",""),
    IF(_xlfn.XLOOKUP(B24,'Base stats'!B:B,'Base stats'!AC:AC)&lt;&gt;"No",_xlfn.XLOOKUP(B24,'Base stats'!B:B,'Base stats'!AC:AC),"")
  )
)</f>
        <v>Comfort</v>
      </c>
      <c r="BO24" s="25" t="str">
        <f>IF(
   AND(
      'Base stats'!AK24="Standard",_xlfn.XLOOKUP(_xlfn.XLOOKUP(B24,'Base stats'!B:B,'Base stats'!E:E),Groups!A:A,Groups!AU:AU)=0,
      OR(
      BM24="True"
      )
   ),
   10,
   IF(
       OR(BK24&lt;&gt;"No",_xlfn.XLOOKUP(_xlfn.XLOOKUP(B24,'Base stats'!B:B,'Base stats'!E:E),Groups!A:A,Groups!AU:AU)=1),
      1,
      "No"
   )
)</f>
        <v>No</v>
      </c>
      <c r="BP24" s="9">
        <f>MROUND((1 + ((0.2*IF(OR(P24="No",Q24="No",Q24=0),0,P24/Q24)
+IF(OR(U24="No",R24="No",S24="No"),0,R24/S24*(LEN(U24)-LEN(SUBSTITUTE(U24,",",""))+1))
+IF(OR(W24="No",X24="No"),0,W24/X24)
+IF(OR(AC24="No",AD24="No"),0,AC24/AD24)
+IF(OR(AK24="No",AH24="No",AI24="No"),0,AH24/AI24*(LEN(AK24)-LEN(SUBSTITUTE(AK24,",",""))+1))
)/(0.2*IF(OR(P24="No",Q24="No",Q24=0),0,1)
+IF(OR(U24="No",R24="No",S24="No"),0,LEN(U24)-LEN(SUBSTITUTE(U24,",",""))+1)
+IF(OR(W24="No",X24="No"),0,1)
+IF(OR(AC24="No",AD24="No"),0,1)
+IF(OR(AK24="No",AH24="No",AI24="No"),0,LEN(AK24)-LEN(SUBSTITUTE(AK24,",",""))+1))*62%)* 2)*(1 + (AO24 + _xlfn.XLOOKUP(B24,'Base stats'!B:B,'Base stats'!AS:AS) * 1.8) * 2) * 2.5 + 10 + H24 * 2,5)+IF(_xlfn.XLOOKUP(B24,'Base stats'!B:B,'Base stats'!AH:AH)=1,50,0)</f>
        <v>45</v>
      </c>
      <c r="BQ24" s="8">
        <f t="shared" si="5"/>
        <v>0.30000000000000004</v>
      </c>
      <c r="BR24" s="8" t="str">
        <f>_xlfn.XLOOKUP(B24,'Base stats'!B:B,'Base stats'!AD:AD)</f>
        <v>No</v>
      </c>
      <c r="BS24" s="2" t="str">
        <f>IF(AND(I24&lt;=0.95,OR(_xlfn.XLOOKUP(B24,'Base stats'!B:B,'Base stats'!AH:AH)=1,_xlfn.XLOOKUP(B24,'Base stats'!B:B,'Base stats'!Y:Y)="Carnivore",_xlfn.XLOOKUP(B24,'Base stats'!B:B,'Base stats'!Y:Y)="Omnivore",BC24&gt;0.1)),"true","false")</f>
        <v>false</v>
      </c>
      <c r="BT24" s="2" t="str">
        <f>IF(_xlfn.XLOOKUP(B24,'Base stats'!B:B,'Base stats'!AF:AF)=1,"true","false")</f>
        <v>false</v>
      </c>
      <c r="BU24" s="25" t="str">
        <f>IF(E24="BaseInsect","AnimalInsect",
IF(I24&gt;0.95,"AnimalExotic",
_xlfn.TEXTJOIN(", ",TRUE,
IF(AND(_xlfn.XLOOKUP(B24,'Base stats'!B:B,'Base stats'!O:O)=0,_xlfn.XLOOKUP(_xlfn.XLOOKUP(B24,'Base stats'!B:B,'Base stats'!E:E),Groups!A:A,Groups!B:B)&gt;0),"AnimalUncommon","AnimalCommon"),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stats'!AH:AH)=1,AND(BG24&lt;&gt;"None",BP24&gt;=60),ISNUMBER(SEARCH("Attack target",BN24))),"AnimalFighter","")
)))</f>
        <v>AnimalCommon</v>
      </c>
      <c r="BV24" s="25" t="str">
        <f>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</f>
        <v>SeaIce IceSheet Tundra</v>
      </c>
      <c r="BW24" s="25" t="str">
        <f>IF(_xlfn.XLOOKUP(B24,'Base stats'!B:B,'Base stats'!AG:AG)=1,"true","false")</f>
        <v>false</v>
      </c>
      <c r="BX24" s="25">
        <f>IF(_xlfn.XLOOKUP(B24,'Base stats'!B:B,'Base stats'!N:N)=1,"No",MIN(MROUND(IF(OR(_xlfn.XLOOKUP(B24,'Base stats'!B:B,'Base stats'!AJ:AJ)=1,AND(BH24="True",CA24="False")),POWER(10,3.47*LOG10(_xlfn.XLOOKUP(B24,'Base stats'!B:B,'Base stats'!C:C)*1000)^-0.96),POWER(10,4.15*LOG10(_xlfn.XLOOKUP(B24,'Base stats'!B:B,'Base stats'!C:C)*1000)^-0.73))*IF(OR(_xlfn.XLOOKUP(B24,'Base stats'!B:B,'Base stats'!AJ:AJ)=1,_xlfn.XLOOKUP(B24,'Base stats'!B:B,'Base stats'!AH:AH)=1),0.5,1)/100,0.025),1))</f>
        <v>0.42500000000000004</v>
      </c>
      <c r="BY24" s="25" t="str">
        <f>IF(O24="Standard","No",IF(_xlfn.XLOOKUP(B24,'Base stats'!B:B,'Base stats'!N:N)=0,MROUND(BX24*O24,0.05),MIN(1,MAX(0.025,MROUND(IF(OR(CA24="true",AND(BH24="false",BM24="false")),POWER(10,4.15*LOG10(_xlfn.XLOOKUP(B24,'Base stats'!B:B,'Base stats'!C:C)*1000)^-0.73),POWER(10,3.47*LOG10(_xlfn.XLOOKUP(B24,'Base stats'!B:B,'Base stats'!C:C)*1000)^-0.96))*IF(_xlfn.XLOOKUP(B24,'Base stats'!B:B,'Base stats'!AH:AH)=1,0.5,1)/100,0.025)))))</f>
        <v>No</v>
      </c>
      <c r="BZ24" s="25" t="str">
        <f>IF(_xlfn.XLOOKUP(_xlfn.XLOOKUP(B24,'Base stats'!B:B,'Base stats'!E:E),Groups!A:A,Groups!AJ:AJ)="Mammal","True","False")</f>
        <v>True</v>
      </c>
      <c r="CA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B24" s="25" t="str">
        <f t="shared" si="6"/>
        <v>False</v>
      </c>
      <c r="CC24" s="25" t="str">
        <f>IF(_xlfn.XLOOKUP(_xlfn.XLOOKUP(B24,'Base stats'!B:B,'Base stats'!E:E),Groups!A:A,Groups!AW:AW),"True","False")</f>
        <v>False</v>
      </c>
      <c r="CD24" s="25" t="str">
        <f>IF(_xlfn.XLOOKUP(_xlfn.XLOOKUP(B24,'Base stats'!B:B,'Base stats'!E:E),Groups!A:A,Groups!AX:AX),"True","False")</f>
        <v>False</v>
      </c>
      <c r="CE24" s="25" t="str">
        <f>IF(_xlfn.XLOOKUP(B24,'Base stats'!B:B,'Base stats'!E:E)=1,"True","False")</f>
        <v>False</v>
      </c>
      <c r="CF24" s="25" t="str">
        <f>IF(
OR(
_xlfn.XLOOKUP(_xlfn.XLOOKUP(B24,'Base stats'!B:B,'Base stats'!E:E),Groups!A:A,Groups!AY:AY)=0,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stats'!E:E),Groups!A:A,Groups!AY:AY)=1,
"Flesh",
IF(
_xlfn.XLOOKUP(_xlfn.XLOOKUP(B24,'Base stats'!B:B,'Base stats'!E:E),Groups!A:A,Groups!AY:AY)=2,
"Bone",
""
)
)
)</f>
        <v>No</v>
      </c>
      <c r="CG24" s="25" t="str">
        <f>IF(_xlfn.XLOOKUP(_xlfn.XLOOKUP(B24,'Base stats'!B:B,'Base stats'!E:E),Groups!A:A,Groups!BA:BA),"True","False")</f>
        <v>True</v>
      </c>
      <c r="CH24" s="25" t="str">
        <f>IF(_xlfn.XLOOKUP(_xlfn.XLOOKUP(B24,'Base stats'!B:B,'Base stats'!E:E),Groups!A:A,Groups!AZ:AZ),"True","False")</f>
        <v>False</v>
      </c>
    </row>
    <row r="25" spans="1:91" ht="16.5" thickTop="1" thickBot="1" x14ac:dyDescent="0.3">
      <c r="A25" s="26" t="str">
        <f>_xlfn.XLOOKUP(B25,'Base stats'!B:B,'Base stats'!A:A)</f>
        <v>Rhinoceros</v>
      </c>
      <c r="B25" s="6" t="s">
        <v>1183</v>
      </c>
      <c r="C25" s="28" t="s">
        <v>712</v>
      </c>
      <c r="D25" s="28" t="s">
        <v>45</v>
      </c>
      <c r="E25" s="28" t="s">
        <v>685</v>
      </c>
      <c r="F25" s="28" t="s">
        <v>685</v>
      </c>
      <c r="G25" s="2">
        <f>MROUND((
  (IF(AND(_xlfn.XLOOKUP(B25,'Base stats'!B:B,'Base stats'!AI:AI)=0,BG25="None",_xlfn.XLOOKUP('Base stats'!E25,Groups!A:A,Groups!B:B)=0), (18 + BP25 * 2.7) * 0.5,
    IF(AND(_xlfn.XLOOKUP(B25,'Base stats'!B:B,'Base stats'!AI:AI)=0,OR(AN25&lt;0.55,AND(BG25="Intermediate",_xlfn.XLOOKUP('Base stats'!E25,Groups!A:A,Groups!B:B)&lt;2))), (18 + BP25 * 2.7),
      IF(OR(BG25="Advanced",_xlfn.XLOOKUP(B25,'Base stats'!B:B,'Base stats'!AI:AI)=1,_xlfn.XLOOKUP('Base stats'!E25,Groups!A:A,Groups!B:B)=2), (18 + BP25 * 2.7) + 250, (18 + BP25 * 2.7))
    )
  ))
  + AN25 * 80
  + IF(COUNTIF(EggMilk!K$2:K$998, A25) &gt; 0, 125, 0)
  + IF(COUNTIF(EggMilk!P$2:P$998, A25) &gt; 0, 90, 0)
  + IF(COUNTIF(EggMilk!A$2:A$998, A25) &gt; 0, 90, 0)
)
* (0.8 + 0.4 * I25)
* 0.75,25)</f>
        <v>1475</v>
      </c>
      <c r="H25" s="2">
        <f>MROUND(ROUNDDOWN(_xlfn.XLOOKUP(B25,'Base stats'!B:B,'Base stats'!L:L)/3.6/(23.3/11),1),0.5)</f>
        <v>3.5</v>
      </c>
      <c r="I25" s="2">
        <f>IF(_xlfn.XLOOKUP(B25,'Base stats'!B:B,'Base stats'!AI:AI)=1,0.99,MIN(MROUND((1-0.6282*EXP(-0.459*AN25))*_xlfn.XLOOKUP(_xlfn.XLOOKUP(B25,'Base stats'!B:B,'Base stats'!E:E),Groups!A:A,Groups!C:C)*IF(_xlfn.XLOOKUP(B25,'Base stats'!B:B,'Base stats'!O:O)=1,0.5,IF(_xlfn.XLOOKUP(B25,'Base stats'!B:B,'Base stats'!O:O)=2,0,1)),0.05),0.985))</f>
        <v>0.9</v>
      </c>
      <c r="J25" s="2">
        <f>ROUNDUP(AN25*_xlfn.XLOOKUP(_xlfn.XLOOKUP(B25,'Base stats'!B:B,'Base stats'!E:E),Groups!A:A,Groups!E:E),0)</f>
        <v>19</v>
      </c>
      <c r="K25" s="2">
        <f>IF(OR(_xlfn.XLOOKUP(_xlfn.XLOOKUP(B25,'Base stats'!B:B,'Base stats'!E:E),Groups!A:A,Groups!F:F)=2,ISNUMBER(SEARCH("SeaIce",BV25)),ISNUMBER(SEARCH("IceSheet",BV25))),-50,IF(OR(ISNUMBER(SEARCH("GlacialPlain",BV25)),ISNUMBER(SEARCH("Tundra",BV25))),-40,IF(OR(ISNUMBER(SEARCH("Alpine",BV25)),ISNUMBER(SEARCH("BorealForest",BV25)),ISNUMBER(SEARCH("ColdBog",BV25))),-30,IF(OR(ISNUMBER(SEARCH("TemperateForest",BV25)),ISNUMBER(SEARCH("TemperateSwamp",BV25))),-20,IF(_xlfn.XLOOKUP(_xlfn.XLOOKUP(B25,'Base stats'!B:B,'Base stats'!E:E),Groups!A:A,Groups!F:F)=1,-15,IF(OR(ISNUMBER(SEARCH("Desert",BV25)),ISNUMBER(SEARCH("ExtremeDesert",BV25))),-10,IF(OR(ISNUMBER(SEARCH("Grasslands",BV25)),ISNUMBER(SEARCH("TropicalRainforest",BV25)),ISNUMBER(SEARCH("TropicalSwamp",BV25))),10,0)))))))-IF(CA25="False",MIN(IFERROR(MAX(MROUND(LOG10(_xlfn.XLOOKUP(B25,'Base stats'!B:B,'Base stats'!C:C)^(2/3))*10,5),5),5),30))-_xlfn.XLOOKUP(B25,'Base stats'!B:B,'Base stats'!P:P)+IF(CA25="True",5,0)</f>
        <v>-10</v>
      </c>
      <c r="L25" s="2">
        <f>IF(OR(_xlfn.XLOOKUP(_xlfn.XLOOKUP(B25,'Base stats'!B:B,'Base stats'!E:E),Groups!A:A,Groups!G:G)=2,ISNUMBER(SEARCH("Desert",BV25)),ISNUMBER(SEARCH("ExtremeDesert",BV25)),ISNUMBER(SEARCH("LavaField",BV25))),50,IF(ISNUMBER(SEARCH("Grasslands",BV25)),45,IF(OR(_xlfn.XLOOKUP(_xlfn.XLOOKUP(B25,'Base stats'!B:B,'Base stats'!E:E),Groups!A:A,Groups!G:G)=1,ISNUMBER(SEARCH("TropicalRainforest",BV25)),ISNUMBER(SEARCH("TropicalSwamp",BV25))),40,IF(OR(ISNUMBER(SEARCH("TemperateForest",BV25)),ISNUMBER(SEARCH("TemperateSwamp",BV25))),35,IF(OR(ISNUMBER(SEARCH("Alpine",BV25)),ISNUMBER(SEARCH("BorealForest",BV25)),ISNUMBER(SEARCH("ColdBog",BV25))),30,IF(ISNUMBER(OR(ISNUMBER(SEARCH("GlacialPlain",BV25)),SEARCH("Tundra",BV25))),25,IF(OR(ISNUMBER(SEARCH("SeaIce",BV25)),ISNUMBER(SEARCH("IceSheet",BV25)),ISNUMBER(SEARCH("TropicalSwamp",BV25))),10,35)))))))+_xlfn.XLOOKUP(B25,'Base stats'!B:B,'Base stats'!Q:Q)</f>
        <v>45</v>
      </c>
      <c r="M25" s="8" t="str">
        <f>IF(_xlfn.XLOOKUP(_xlfn.XLOOKUP(B25,'Base stats'!B:B,'Base stats'!E:E),Groups!A:A,Groups!L:L)=1,MIN(MROUND(_xlfn.XLOOKUP(B25,'Animals CE'!B:B,'Animals CE'!Z:Z)/2+0.05,0.05),200%),"No")</f>
        <v>No</v>
      </c>
      <c r="N25" s="8" t="str">
        <f>IF(_xlfn.XLOOKUP(_xlfn.XLOOKUP(B25,'Base stats'!B:B,'Base stats'!E:E),Groups!A:A,Groups!L:L)=1,MIN(MROUND(_xlfn.XLOOKUP(B25,'Animals CE'!B:B,'Animals CE'!AA:AA)/2+0.05,0.05),200%),"No")</f>
        <v>No</v>
      </c>
      <c r="O25" s="2" t="str">
        <f>_xlfn.XLOOKUP(B25,'Base stats'!B:B,'Base stats'!R:R)</f>
        <v>Standard</v>
      </c>
      <c r="P25" s="13">
        <f>MROUND((LOG10(_xlfn.XLOOKUP(B25,'Base stats'!B:B,'Base stats'!AO:AO))*(AN25^0.5)+(_xlfn.XLOOKUP(B25,'Base stats'!B:B,'Base stats'!AO:AO)/1000)^(2/3)+_xlfn.XLOOKUP(B25,'Base stats'!B:B,'Base stats'!AX:AX)/2)+0.5,0.5)</f>
        <v>26.5</v>
      </c>
      <c r="Q25" s="7">
        <f>IF(P25="No","No",MAX(1,MROUND(_xlfn.XLOOKUP(B25,'Base stats'!B:B,'Base stats'!C:C)^0.165,0.05)))</f>
        <v>3.5500000000000003</v>
      </c>
      <c r="R25" s="13" t="str">
        <f>IF(_xlfn.XLOOKUP(_xlfn.XLOOKUP(B25,'Base stats'!B:B,'Base stats'!E:E),Groups!A:A,Groups!P:P)=0,"No",MROUND((LOG10(_xlfn.XLOOKUP(B25,'Base stats'!B:B,'Base stats'!AP:AP))*(AN25^0.5)+(_xlfn.XLOOKUP(B25,'Base stats'!B:B,'Base stats'!AP:AP)/1000)^(2/3)+_xlfn.XLOOKUP(B25,'Base stats'!B:B,'Base stats'!AX:AX))+_xlfn.XLOOKUP(B25,'Base stats'!B:B,'Base stats'!AV:AV)+0.5,0.5))</f>
        <v>No</v>
      </c>
      <c r="S25" s="7" t="str">
        <f>IF(R25="No","No",MAX(_xlfn.XLOOKUP(_xlfn.XLOOKUP(B25,'Base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T25" s="7" t="str">
        <f>IF(R25="No","No",_xlfn.XLOOKUP(_xlfn.XLOOKUP(B25,'Base stats'!B:B,'Base stats'!E:E),Groups!A:A,Groups!R:R))</f>
        <v>No</v>
      </c>
      <c r="U25" s="7" t="str">
        <f>IF(R25="No","No",_xlfn.XLOOKUP(_xlfn.XLOOKUP(B25,'Base stats'!B:B,'Base stats'!E:E),Groups!A:A,Groups!S:S))</f>
        <v>No</v>
      </c>
      <c r="V25" s="7" t="str">
        <f>IF(R25="No","No",_xlfn.XLOOKUP(_xlfn.XLOOKUP(B25,'Base stats'!B:B,'Base stats'!E:E),Groups!A:A,Groups!T:T))</f>
        <v>No</v>
      </c>
      <c r="W25" s="13">
        <f>IF(_xlfn.XLOOKUP(B25,'Base stats'!B:B,'Base stats'!W:W)="No","No",MROUND((LOG10(_xlfn.XLOOKUP(B25,'Base stats'!B:B,'Base stats'!AR:AR))*(AN25^0.5)+(_xlfn.XLOOKUP(B25,'Base stats'!B:B,'Base stats'!AR:AR)/1000)^(2/3)+_xlfn.XLOOKUP(B25,'Base stats'!B:B,'Base stats'!AW:AW))+0.5+IF(_xlfn.XLOOKUP(_xlfn.XLOOKUP(B25,'Base stats'!B:B,'Base stats'!E:E),Groups!A:A,Groups!U:U)&lt;&gt;3,_xlfn.XLOOKUP(B25,'Base stats'!B:B,'Base stats'!AX:AX),0),0.5))</f>
        <v>39.5</v>
      </c>
      <c r="X25" s="7">
        <f>IF(W25="No","No",MAX(_xlfn.XLOOKUP(_xlfn.XLOOKUP(B25,'Base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Y25" s="7" t="str">
        <f>IF(W25="No","No",_xlfn.XLOOKUP(_xlfn.XLOOKUP(B25,'Base stats'!B:B,'Base stats'!E:E),Groups!A:A,Groups!W:W))</f>
        <v>HeadAttackTool</v>
      </c>
      <c r="Z25" s="7" t="str">
        <f>IF(W25="No","No",_xlfn.XLOOKUP(_xlfn.XLOOKUP(B25,'Base stats'!B:B,'Base stats'!E:E),Groups!A:A,Groups!X:X))</f>
        <v>horn</v>
      </c>
      <c r="AA25" s="7" t="str">
        <f>IF(W25="No","No",_xlfn.XLOOKUP(_xlfn.XLOOKUP(B25,'Base stats'!B:B,'Base stats'!E:E),Groups!A:A,Groups!Y:Y))</f>
        <v>Scratch</v>
      </c>
      <c r="AB25" s="7" t="str">
        <f>_xlfn.XLOOKUP(Animals!B25,'Base stats'!B:B,'Base stats'!X:X)</f>
        <v>False</v>
      </c>
      <c r="AC25" s="13">
        <f>IF(_xlfn.XLOOKUP(B25,'Base stats'!B:B,'Base stats'!AQ:AQ)="No","No",MROUND((LOG10(_xlfn.XLOOKUP(B25,'Base stats'!B:B,'Base stats'!AQ:AQ))*(AN25^0.75)+(_xlfn.XLOOKUP(B25,'Base stats'!B:B,'Base stats'!AQ:AQ)/1000)^(2/3)+_xlfn.XLOOKUP(B25,'Base stats'!B:B,'Base stats'!AU:AU)+_xlfn.XLOOKUP(B25,'Base stats'!B:B,'Base stats'!AX:AX))+0.5,0.5))</f>
        <v>32.5</v>
      </c>
      <c r="AD25" s="7">
        <f>IF(AC25="No","No",MAX(_xlfn.XLOOKUP(_xlfn.XLOOKUP(B25,'Base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E25" s="7" t="str">
        <f>IF(AC25="No","No",_xlfn.XLOOKUP(_xlfn.XLOOKUP(B25,'Base stats'!B:B,'Base stats'!E:E),Groups!A:A,Groups!AA:AA))</f>
        <v>Teeth</v>
      </c>
      <c r="AF25" s="7" t="str">
        <f>IF(AC25="No","No",_xlfn.XLOOKUP(_xlfn.XLOOKUP(B25,'Base stats'!B:B,'Base stats'!E:E),Groups!A:A,Groups!AB:AB))</f>
        <v>teeth</v>
      </c>
      <c r="AG25" s="7" t="str">
        <f>IF(AC25="No","No",_xlfn.XLOOKUP(_xlfn.XLOOKUP(B25,'Base stats'!B:B,'Base stats'!E:E),Groups!A:A,Groups!AC:AC))</f>
        <v>Bite</v>
      </c>
      <c r="AH25" s="13" t="str">
        <f>IF(_xlfn.XLOOKUP(_xlfn.XLOOKUP(B25,'Base stats'!B:B,'Base stats'!E:E),Groups!A:A,Groups!AD:AD)=0,"No",MROUND((LOG10(_xlfn.XLOOKUP(B25,'Base stats'!B:B,'Base stats'!AP:AP))*(AN25^0.75)+(_xlfn.XLOOKUP(B25,'Base stats'!B:B,'Base stats'!AP:AP)/1000)^(2/3)+_xlfn.XLOOKUP(B25,'Base stats'!B:B,'Base stats'!AV:AV)+_xlfn.XLOOKUP(B25,'Base stats'!B:B,'Base stats'!AX:AX))+0.5,0.5))</f>
        <v>No</v>
      </c>
      <c r="AI25" s="7" t="str">
        <f>IF(AH25="No","No",MAX(_xlfn.XLOOKUP(_xlfn.XLOOKUP(B25,'Base stats'!B:B,'Base stats'!E:E),Groups!A:A,Groups!AE:AE),MROUND(_xlfn.XLOOKUP(_xlfn.XLOOKUP(B25,'Base stats'!B:B,'Base stats'!E:E),Groups!A:A,Groups!AE:AE)*_xlfn.XLOOKUP(B25,'Base stats'!B:B,'Base stats'!C:C)^0.165,0.05)))</f>
        <v>No</v>
      </c>
      <c r="AJ25" s="7" t="str">
        <f>IF(AH25="No","No",_xlfn.XLOOKUP(_xlfn.XLOOKUP(B25,'Base stats'!B:B,'Base stats'!E:E),Groups!A:A,Groups!AF:AF))</f>
        <v>No</v>
      </c>
      <c r="AK25" s="7" t="str">
        <f>IF(AH25="No","No",_xlfn.XLOOKUP(_xlfn.XLOOKUP(B25,'Base stats'!B:B,'Base stats'!E:E),Groups!A:A,Groups!AG:AG))</f>
        <v>No</v>
      </c>
      <c r="AL25" s="7" t="str">
        <f>IF(AH25="No","No",_xlfn.XLOOKUP(_xlfn.XLOOKUP(B25,'Base stats'!B:B,'Base stats'!E:E),Groups!A:A,Groups!AH:AH))</f>
        <v>No</v>
      </c>
      <c r="AM25" s="2" t="str">
        <f t="shared" si="0"/>
        <v>No</v>
      </c>
      <c r="AN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O25" s="8">
        <f>MROUND(AN25*_xlfn.XLOOKUP(_xlfn.XLOOKUP(B25,'Base stats'!B:B,'Base stats'!E:E),Groups!A:A,Groups!AI:AI),0.05)</f>
        <v>4.5</v>
      </c>
      <c r="AP25" s="8">
        <f>MAX(0.01,MROUND(IF(CA25="True",0.196*(AN25*100*1000)^0.889,IF(_xlfn.XLOOKUP(_xlfn.XLOOKUP(B25,'Base stats'!B:B,'Base stats'!E:E),Groups!A:A,Groups!AJ:AJ)="Bird",10.5*(AN25*100*1000)^0.681,4.82*(AN25*100*1000)^0.734))/(4.82*(1*100*1000)^0.734)/IF(AN25&lt;3.5,2,IF(AN25=3.5,1.5,1.25))*(1+0.132282374779864/(AN25^0.994035016789033+0.00905238001496948)),0.05))</f>
        <v>2.2000000000000002</v>
      </c>
      <c r="AQ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R25" s="35">
        <f>IFERROR(IF(_xlfn.XLOOKUP(B25,'Base stats'!B:B,'Base stats'!F:F)="Lay eggs","Lay eggs",MIN(20,MAX(5.5,ROUND(((_xlfn.XLOOKUP(B25,'Base stats'!B:B,'Base stats'!F:F)-25)*(14.5/615) + 5.5)*2,0)/2))),"Cannot breed")</f>
        <v>17</v>
      </c>
      <c r="AS25" s="8">
        <f>IF(OR(A25="Queen",A25="Larva"),"No",IFERROR(MAX(IF(_xlfn.XLOOKUP(B25,'Base stats'!B:B,'Base stats'!G:G)&lt;0.5,0.2,0.3),MROUND(_xlfn.XLOOKUP(B25,'Base stats'!B:B,'Base stats'!G:G)/(365/60),0.2)),"Unknown"))</f>
        <v>0.8</v>
      </c>
      <c r="AT25" s="8">
        <f t="shared" si="1"/>
        <v>0.4</v>
      </c>
      <c r="AU25" s="8">
        <f>IFERROR(IFERROR(MROUND(_xlfn.XLOOKUP(B25,'Base stats'!B:B,'Base stats'!J:J),0.1),"Lay eggs"),"Cannot breed")</f>
        <v>1</v>
      </c>
      <c r="AV25" s="2" t="str">
        <f t="shared" si="2"/>
        <v>false</v>
      </c>
      <c r="AW25" s="2" t="str">
        <f>IF(_xlfn.XLOOKUP(_xlfn.XLOOKUP(Animals!B25,'Base stats'!B:B,'Base stats'!E:E),Groups!A:A,Groups!AK:AK)=1,"true","false")</f>
        <v>false</v>
      </c>
      <c r="AX25" s="25" t="str">
        <f>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</f>
        <v>VegetarianRoughAnimal</v>
      </c>
      <c r="AY25" s="2">
        <f>IF(_xlfn.XLOOKUP(_xlfn.XLOOKUP(B25,'Base stats'!B:B,'Base stats'!E:E),Groups!A:A,Groups!D:D)=1,MROUND((1-I25)*5+1,2)*IF(I25&lt;=0.4,2,1),"No")</f>
        <v>2</v>
      </c>
      <c r="AZ25" s="2" t="str">
        <f>_xlfn.XLOOKUP(B25,'Base stats'!B:B,'Base stats'!AE:AE)</f>
        <v>Leather_Rhinoceros</v>
      </c>
      <c r="BA25" s="23" t="str">
        <f>_xlfn.XLOOKUP(_xlfn.XLOOKUP(B25,'Base stats'!B:B,'Base stats'!E:E),Groups!A:A,Groups!AL:AL)</f>
        <v>QuadrupedAnimalWithHoovesAndHorn</v>
      </c>
      <c r="BB25" s="23">
        <f>MROUND(IF(AND(AN25&lt;0.5,_xlfn.XLOOKUP(B25,'Base stats'!B:B,'Base stats'!Z:Z)=0),0,IF(OR(_xlfn.XLOOKUP(Animals!B25,'Base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stats'!AA:AA),0.005)</f>
        <v>0.05</v>
      </c>
      <c r="BC25" s="23">
        <f>MROUND(IF(AND(AN25&lt;0.5,_xlfn.XLOOKUP(B25,'Base stats'!B:B,'Base stats'!Z:Z)=0),0,IF(_xlfn.XLOOKUP(_xlfn.XLOOKUP(B25,'Base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stats'!AB:AB),0.005)</f>
        <v>0.3</v>
      </c>
      <c r="BD25" s="2" t="str">
        <f>IF(I25&gt;0.3,"No",_xlfn.XLOOKUP(_xlfn.XLOOKUP(Animals!B25,'Base stats'!B:B,'Base stats'!E:E),Groups!A:A,Groups!AP:AP))</f>
        <v>No</v>
      </c>
      <c r="BE25" s="2" t="str">
        <f>IF(AND(I25&lt;=0.65,_xlfn.XLOOKUP(_xlfn.XLOOKUP(Animals!B25,'Base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stats'!O:O)=2,0.2,AN25) + 24*(1-IF(BD25="No",0,BD25)) + 16/3, 12),"No")</f>
        <v>No</v>
      </c>
      <c r="BF25" s="2">
        <f>IF(AND(_xlfn.XLOOKUP(_xlfn.XLOOKUP(B25,'Base stats'!B:B,'Base stats'!E:E),Groups!A:A,Groups!AQ:AQ)=1,AN25&lt;=0.35),8,12)</f>
        <v>12</v>
      </c>
      <c r="BG25" s="2" t="str">
        <f>IF(_xlfn.XLOOKUP(_xlfn.XLOOKUP(B25,'Base stats'!B:B,'Base stats'!E:E),Groups!A:A,Groups!D:D)=0,_xlfn.XLOOKUP(_xlfn.XLOOKUP(B25,'Base stats'!B:B,'Base stats'!E:E),Groups!A:A,Groups!AR:AR),"None")</f>
        <v>None</v>
      </c>
      <c r="BH25" s="2" t="str">
        <f>IF(AND(_xlfn.XLOOKUP(_xlfn.XLOOKUP(B25,'Base stats'!B:B,'Base stats'!E:E),Groups!A:A,Groups!AS:AS)=1,OR('Base stats'!Y25="Carnivore",'Base stats'!Y25="Omnivore")),"true","false")</f>
        <v>false</v>
      </c>
      <c r="BI25" s="2" t="str">
        <f>IF(BH25="true",MROUND(IF(AND(AN25&gt;0.5,_xlfn.XLOOKUP(_xlfn.XLOOKUP(B25,'Base stats'!B:B,'Base stats'!E:E),Groups!A:A,Groups!AJ:AJ)="Mammal"),Animals!AN25*1.75*IF(AV25="true",1.5,1),Animals!AN25),IF(AN25&gt;2,0.5,IF(AN25&gt;0.5,0.25,0.1))),"No")</f>
        <v>No</v>
      </c>
      <c r="BJ25" s="2">
        <f t="shared" si="3"/>
        <v>0</v>
      </c>
      <c r="BK25" s="25" t="str">
        <f>IF('Base stats'!AK25="Standard","No",MROUND((_xlfn.XLOOKUP(B25,'Base stats'!B:B,'Base stats'!AK:AK)/3.6)/H25,0.1))</f>
        <v>No</v>
      </c>
      <c r="BL25" s="25" t="str">
        <f t="shared" si="4"/>
        <v>false</v>
      </c>
      <c r="BM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N25" s="25" t="str" cm="1">
        <f t="array" ref="BN25">IF(
  _xlfn.TEXTJOIN(", ",TRUE,
    IF(AND(BH25="true",AN25&gt;0.5,BG25&lt;&gt;"None"),"AttackTarget",""),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IF(BE25&lt;=36,"Comfort",""),
    IF(_xlfn.XLOOKUP(B25,'Base stats'!B:B,'Base stats'!AC:AC)&lt;&gt;"No",_xlfn.XLOOKUP(B25,'Base stats'!B:B,'Base stats'!AC:AC),"")
  ) = "",
  "No",
  _xlfn.TEXTJOIN(", ",TRUE,
    IF(AND(BH25="true",AN25&gt;0.5,BG25&lt;&gt;"None"),"AttackTarget",""),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IF(BE25&lt;=36,"Comfort",""),
    IF(_xlfn.XLOOKUP(B25,'Base stats'!B:B,'Base stats'!AC:AC)&lt;&gt;"No",_xlfn.XLOOKUP(B25,'Base stats'!B:B,'Base stats'!AC:AC),"")
  )
)</f>
        <v>No</v>
      </c>
      <c r="BO25" s="25" t="str">
        <f>IF(
   AND(
      'Base stats'!AK25="Standard",_xlfn.XLOOKUP(_xlfn.XLOOKUP(B25,'Base stats'!B:B,'Base stats'!E:E),Groups!A:A,Groups!AU:AU)=0,
      OR(
      BM25="True"
      )
   ),
   10,
   IF(
       OR(BK25&lt;&gt;"No",_xlfn.XLOOKUP(_xlfn.XLOOKUP(B25,'Base stats'!B:B,'Base stats'!E:E),Groups!A:A,Groups!AU:AU)=1),
      1,
      "No"
   )
)</f>
        <v>No</v>
      </c>
      <c r="BP25" s="9">
        <f>MROUND((1 + ((0.2*IF(OR(P25="No",Q25="No",Q25=0),0,P25/Q25)
+IF(OR(U25="No",R25="No",S25="No"),0,R25/S25*(LEN(U25)-LEN(SUBSTITUTE(U25,",",""))+1))
+IF(OR(W25="No",X25="No"),0,W25/X25)
+IF(OR(AC25="No",AD25="No"),0,AC25/AD25)
+IF(OR(AK25="No",AH25="No",AI25="No"),0,AH25/AI25*(LEN(AK25)-LEN(SUBSTITUTE(AK25,",",""))+1))
)/(0.2*IF(OR(P25="No",Q25="No",Q25=0),0,1)
+IF(OR(U25="No",R25="No",S25="No"),0,LEN(U25)-LEN(SUBSTITUTE(U25,",",""))+1)
+IF(OR(W25="No",X25="No"),0,1)
+IF(OR(AC25="No",AD25="No"),0,1)
+IF(OR(AK25="No",AH25="No",AI25="No"),0,LEN(AK25)-LEN(SUBSTITUTE(AK25,",",""))+1))*62%)* 2)*(1 + (AO25 + _xlfn.XLOOKUP(B25,'Base stats'!B:B,'Base stats'!AS:AS) * 1.8) * 2) * 2.5 + 10 + H25 * 2,5)+IF(_xlfn.XLOOKUP(B25,'Base stats'!B:B,'Base stats'!AH:AH)=1,50,0)</f>
        <v>415</v>
      </c>
      <c r="BQ25" s="8">
        <f t="shared" si="5"/>
        <v>2.5</v>
      </c>
      <c r="BR25" s="8" t="str">
        <f>_xlfn.XLOOKUP(B25,'Base stats'!B:B,'Base stats'!AD:AD)</f>
        <v>No</v>
      </c>
      <c r="BS25" s="2" t="str">
        <f>IF(AND(I25&lt;=0.95,OR(_xlfn.XLOOKUP(B25,'Base stats'!B:B,'Base stats'!AH:AH)=1,_xlfn.XLOOKUP(B25,'Base stats'!B:B,'Base stats'!Y:Y)="Carnivore",_xlfn.XLOOKUP(B25,'Base stats'!B:B,'Base stats'!Y:Y)="Omnivore",BC25&gt;0.1)),"true","false")</f>
        <v>true</v>
      </c>
      <c r="BT25" s="2" t="str">
        <f>IF(_xlfn.XLOOKUP(B25,'Base stats'!B:B,'Base stats'!AF:AF)=1,"true","false")</f>
        <v>false</v>
      </c>
      <c r="BU25" s="25" t="str">
        <f>IF(E25="BaseInsect","AnimalInsect",
IF(I25&gt;0.95,"AnimalExotic",
_xlfn.TEXTJOIN(", ",TRUE,
IF(AND(_xlfn.XLOOKUP(B25,'Base stats'!B:B,'Base stats'!O:O)=0,_xlfn.XLOOKUP(_xlfn.XLOOKUP(B25,'Base stats'!B:B,'Base stats'!E:E),Groups!A:A,Groups!B:B)&gt;0),"AnimalUncommon","AnimalCommon"),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stats'!AH:AH)=1,AND(BG25&lt;&gt;"None",BP25&gt;=60),ISNUMBER(SEARCH("Attack target",BN25))),"AnimalFighter","")
)))</f>
        <v>AnimalUncommon</v>
      </c>
      <c r="BV25" s="25" t="str">
        <f>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</f>
        <v>AridShrubland Grasslands</v>
      </c>
      <c r="BW25" s="25" t="str">
        <f>IF(_xlfn.XLOOKUP(B25,'Base stats'!B:B,'Base stats'!AG:AG)=1,"true","false")</f>
        <v>false</v>
      </c>
      <c r="BX25" s="25">
        <f>IF(_xlfn.XLOOKUP(B25,'Base stats'!B:B,'Base stats'!N:N)=1,"No",MIN(MROUND(IF(OR(_xlfn.XLOOKUP(B25,'Base stats'!B:B,'Base stats'!AJ:AJ)=1,AND(BH25="True",CA25="False")),POWER(10,3.47*LOG10(_xlfn.XLOOKUP(B25,'Base stats'!B:B,'Base stats'!C:C)*1000)^-0.96),POWER(10,4.15*LOG10(_xlfn.XLOOKUP(B25,'Base stats'!B:B,'Base stats'!C:C)*1000)^-0.73))*IF(OR(_xlfn.XLOOKUP(B25,'Base stats'!B:B,'Base stats'!AJ:AJ)=1,_xlfn.XLOOKUP(B25,'Base stats'!B:B,'Base stats'!AH:AH)=1),0.5,1)/100,0.025),1))</f>
        <v>0.125</v>
      </c>
      <c r="BY25" s="25" t="str">
        <f>IF(O25="Standard","No",IF(_xlfn.XLOOKUP(B25,'Base stats'!B:B,'Base stats'!N:N)=0,MROUND(BX25*O25,0.05),MIN(1,MAX(0.025,MROUND(IF(OR(CA25="true",AND(BH25="false",BM25="false")),POWER(10,4.15*LOG10(_xlfn.XLOOKUP(B25,'Base stats'!B:B,'Base stats'!C:C)*1000)^-0.73),POWER(10,3.47*LOG10(_xlfn.XLOOKUP(B25,'Base stats'!B:B,'Base stats'!C:C)*1000)^-0.96))*IF(_xlfn.XLOOKUP(B25,'Base stats'!B:B,'Base stats'!AH:AH)=1,0.5,1)/100,0.025)))))</f>
        <v>No</v>
      </c>
      <c r="BZ25" s="25" t="str">
        <f>IF(_xlfn.XLOOKUP(_xlfn.XLOOKUP(B25,'Base stats'!B:B,'Base stats'!E:E),Groups!A:A,Groups!AJ:AJ)="Mammal","True","False")</f>
        <v>True</v>
      </c>
      <c r="CA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B25" s="25" t="str">
        <f t="shared" si="6"/>
        <v>False</v>
      </c>
      <c r="CC25" s="25" t="str">
        <f>IF(_xlfn.XLOOKUP(_xlfn.XLOOKUP(B25,'Base stats'!B:B,'Base stats'!E:E),Groups!A:A,Groups!AW:AW),"True","False")</f>
        <v>False</v>
      </c>
      <c r="CD25" s="25" t="str">
        <f>IF(_xlfn.XLOOKUP(_xlfn.XLOOKUP(B25,'Base stats'!B:B,'Base stats'!E:E),Groups!A:A,Groups!AX:AX),"True","False")</f>
        <v>False</v>
      </c>
      <c r="CE25" s="25" t="str">
        <f>IF(_xlfn.XLOOKUP(B25,'Base stats'!B:B,'Base stats'!E:E)=1,"True","False")</f>
        <v>False</v>
      </c>
      <c r="CF25" s="25" t="str">
        <f>IF(
OR(
_xlfn.XLOOKUP(_xlfn.XLOOKUP(B25,'Base stats'!B:B,'Base stats'!E:E),Groups!A:A,Groups!AY:AY)=0,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stats'!E:E),Groups!A:A,Groups!AY:AY)=1,
"Flesh",
IF(
_xlfn.XLOOKUP(_xlfn.XLOOKUP(B25,'Base stats'!B:B,'Base stats'!E:E),Groups!A:A,Groups!AY:AY)=2,
"Bone",
""
)
)
)</f>
        <v>No</v>
      </c>
      <c r="CG25" s="25" t="str">
        <f>IF(_xlfn.XLOOKUP(_xlfn.XLOOKUP(B25,'Base stats'!B:B,'Base stats'!E:E),Groups!A:A,Groups!BA:BA),"True","False")</f>
        <v>True</v>
      </c>
      <c r="CH25" s="25" t="str">
        <f>IF(_xlfn.XLOOKUP(_xlfn.XLOOKUP(B25,'Base stats'!B:B,'Base stats'!E:E),Groups!A:A,Groups!AZ:AZ),"True","False")</f>
        <v>False</v>
      </c>
      <c r="CM25" s="16"/>
    </row>
    <row r="26" spans="1:91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713</v>
      </c>
      <c r="D26" s="28" t="s">
        <v>45</v>
      </c>
      <c r="E26" s="28" t="s">
        <v>685</v>
      </c>
      <c r="F26" s="28" t="s">
        <v>685</v>
      </c>
      <c r="G26" s="2">
        <f>MROUND((
  (IF(AND(_xlfn.XLOOKUP(B26,'Base stats'!B:B,'Base stats'!AI:AI)=0,BG26="None",_xlfn.XLOOKUP('Base stats'!E26,Groups!A:A,Groups!B:B)=0), (18 + BP26 * 2.7) * 0.5,
    IF(AND(_xlfn.XLOOKUP(B26,'Base stats'!B:B,'Base stats'!AI:AI)=0,OR(AN26&lt;0.55,AND(BG26="Intermediate",_xlfn.XLOOKUP('Base stats'!E26,Groups!A:A,Groups!B:B)&lt;2))), (18 + BP26 * 2.7),
      IF(OR(BG26="Advanced",_xlfn.XLOOKUP(B26,'Base stats'!B:B,'Base stats'!AI:AI)=1,_xlfn.XLOOKUP('Base stats'!E26,Groups!A:A,Groups!B:B)=2), (18 + BP26 * 2.7) + 250, (18 + BP26 * 2.7))
    )
  ))
  + AN26 * 80
  + IF(COUNTIF(EggMilk!K$2:K$998, A26) &gt; 0, 125, 0)
  + IF(COUNTIF(EggMilk!P$2:P$998, A26) &gt; 0, 90, 0)
  + IF(COUNTIF(EggMilk!A$2:A$998, A26) &gt; 0, 90, 0)
)
* (0.8 + 0.4 * I26)
* 0.75,25)</f>
        <v>1700</v>
      </c>
      <c r="H26" s="2">
        <f>MROUND(ROUNDDOWN(_xlfn.XLOOKUP(B26,'Base stats'!B:B,'Base stats'!L:L)/3.6/(23.3/11),1),0.5)</f>
        <v>3.5</v>
      </c>
      <c r="I26" s="2">
        <f>IF(_xlfn.XLOOKUP(B26,'Base stats'!B:B,'Base stats'!AI:AI)=1,0.99,MIN(MROUND((1-0.6282*EXP(-0.459*AN26))*_xlfn.XLOOKUP(_xlfn.XLOOKUP(B26,'Base stats'!B:B,'Base stats'!E:E),Groups!A:A,Groups!C:C)*IF(_xlfn.XLOOKUP(B26,'Base stats'!B:B,'Base stats'!O:O)=1,0.5,IF(_xlfn.XLOOKUP(B26,'Base stats'!B:B,'Base stats'!O:O)=2,0,1)),0.05),0.985))</f>
        <v>0.95000000000000007</v>
      </c>
      <c r="J26" s="2">
        <f>ROUNDUP(AN26*_xlfn.XLOOKUP(_xlfn.XLOOKUP(B26,'Base stats'!B:B,'Base stats'!E:E),Groups!A:A,Groups!E:E),0)</f>
        <v>25</v>
      </c>
      <c r="K26" s="2">
        <f>IF(OR(_xlfn.XLOOKUP(_xlfn.XLOOKUP(B26,'Base stats'!B:B,'Base stats'!E:E),Groups!A:A,Groups!F:F)=2,ISNUMBER(SEARCH("SeaIce",BV26)),ISNUMBER(SEARCH("IceSheet",BV26))),-50,IF(OR(ISNUMBER(SEARCH("GlacialPlain",BV26)),ISNUMBER(SEARCH("Tundra",BV26))),-40,IF(OR(ISNUMBER(SEARCH("Alpine",BV26)),ISNUMBER(SEARCH("BorealForest",BV26)),ISNUMBER(SEARCH("ColdBog",BV26))),-30,IF(OR(ISNUMBER(SEARCH("TemperateForest",BV26)),ISNUMBER(SEARCH("TemperateSwamp",BV26))),-20,IF(_xlfn.XLOOKUP(_xlfn.XLOOKUP(B26,'Base stats'!B:B,'Base stats'!E:E),Groups!A:A,Groups!F:F)=1,-15,IF(OR(ISNUMBER(SEARCH("Desert",BV26)),ISNUMBER(SEARCH("ExtremeDesert",BV26))),-10,IF(OR(ISNUMBER(SEARCH("Grasslands",BV26)),ISNUMBER(SEARCH("TropicalRainforest",BV26)),ISNUMBER(SEARCH("TropicalSwamp",BV26))),10,0)))))))-IF(CA26="False",MIN(IFERROR(MAX(MROUND(LOG10(_xlfn.XLOOKUP(B26,'Base stats'!B:B,'Base stats'!C:C)^(2/3))*10,5),5),5),30))-_xlfn.XLOOKUP(B26,'Base stats'!B:B,'Base stats'!P:P)+IF(CA26="True",5,0)</f>
        <v>-15</v>
      </c>
      <c r="L26" s="2">
        <f>IF(OR(_xlfn.XLOOKUP(_xlfn.XLOOKUP(B26,'Base stats'!B:B,'Base stats'!E:E),Groups!A:A,Groups!G:G)=2,ISNUMBER(SEARCH("Desert",BV26)),ISNUMBER(SEARCH("ExtremeDesert",BV26)),ISNUMBER(SEARCH("LavaField",BV26))),50,IF(ISNUMBER(SEARCH("Grasslands",BV26)),45,IF(OR(_xlfn.XLOOKUP(_xlfn.XLOOKUP(B26,'Base stats'!B:B,'Base stats'!E:E),Groups!A:A,Groups!G:G)=1,ISNUMBER(SEARCH("TropicalRainforest",BV26)),ISNUMBER(SEARCH("TropicalSwamp",BV26))),40,IF(OR(ISNUMBER(SEARCH("TemperateForest",BV26)),ISNUMBER(SEARCH("TemperateSwamp",BV26))),35,IF(OR(ISNUMBER(SEARCH("Alpine",BV26)),ISNUMBER(SEARCH("BorealForest",BV26)),ISNUMBER(SEARCH("ColdBog",BV26))),30,IF(ISNUMBER(OR(ISNUMBER(SEARCH("GlacialPlain",BV26)),SEARCH("Tundra",BV26))),25,IF(OR(ISNUMBER(SEARCH("SeaIce",BV26)),ISNUMBER(SEARCH("IceSheet",BV26)),ISNUMBER(SEARCH("TropicalSwamp",BV26))),10,35)))))))+_xlfn.XLOOKUP(B26,'Base stats'!B:B,'Base stats'!Q:Q)</f>
        <v>45</v>
      </c>
      <c r="M26" s="8" t="str">
        <f>IF(_xlfn.XLOOKUP(_xlfn.XLOOKUP(B26,'Base stats'!B:B,'Base stats'!E:E),Groups!A:A,Groups!L:L)=1,MIN(MROUND(_xlfn.XLOOKUP(B26,'Animals CE'!B:B,'Animals CE'!Z:Z)/2+0.05,0.05),200%),"No")</f>
        <v>No</v>
      </c>
      <c r="N26" s="8" t="str">
        <f>IF(_xlfn.XLOOKUP(_xlfn.XLOOKUP(B26,'Base stats'!B:B,'Base stats'!E:E),Groups!A:A,Groups!L:L)=1,MIN(MROUND(_xlfn.XLOOKUP(B26,'Animals CE'!B:B,'Animals CE'!AA:AA)/2+0.05,0.05),200%),"No")</f>
        <v>No</v>
      </c>
      <c r="O26" s="2" t="str">
        <f>_xlfn.XLOOKUP(B26,'Base stats'!B:B,'Base stats'!R:R)</f>
        <v>Standard</v>
      </c>
      <c r="P26" s="13">
        <f>MROUND((LOG10(_xlfn.XLOOKUP(B26,'Base stats'!B:B,'Base stats'!AO:AO))*(AN26^0.5)+(_xlfn.XLOOKUP(B26,'Base stats'!B:B,'Base stats'!AO:AO)/1000)^(2/3)+_xlfn.XLOOKUP(B26,'Base stats'!B:B,'Base stats'!AX:AX)/2)+0.5,0.5)</f>
        <v>36</v>
      </c>
      <c r="Q26" s="7">
        <f>IF(P26="No","No",MAX(1,MROUND(_xlfn.XLOOKUP(B26,'Base stats'!B:B,'Base stats'!C:C)^0.165,0.05)))</f>
        <v>4</v>
      </c>
      <c r="R26" s="13">
        <f>IF(_xlfn.XLOOKUP(_xlfn.XLOOKUP(B26,'Base stats'!B:B,'Base stats'!E:E),Groups!A:A,Groups!P:P)=0,"No",MROUND((LOG10(_xlfn.XLOOKUP(B26,'Base stats'!B:B,'Base stats'!AP:AP))*(AN26^0.5)+(_xlfn.XLOOKUP(B26,'Base stats'!B:B,'Base stats'!AP:AP)/1000)^(2/3)+_xlfn.XLOOKUP(B26,'Base stats'!B:B,'Base stats'!AX:AX))+_xlfn.XLOOKUP(B26,'Base stats'!B:B,'Base stats'!AV:AV)+0.5,0.5))</f>
        <v>42</v>
      </c>
      <c r="S26" s="7">
        <f>IF(R26="No","No",MAX(_xlfn.XLOOKUP(_xlfn.XLOOKUP(B26,'Base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T26" s="7" t="str">
        <f>IF(R26="No","No",_xlfn.XLOOKUP(_xlfn.XLOOKUP(B26,'Base stats'!B:B,'Base stats'!E:E),Groups!A:A,Groups!R:R))</f>
        <v>FrontLeftLeg, FrontRightLeg</v>
      </c>
      <c r="U26" s="7" t="str">
        <f>IF(R26="No","No",_xlfn.XLOOKUP(_xlfn.XLOOKUP(B26,'Base stats'!B:B,'Base stats'!E:E),Groups!A:A,Groups!S:S))</f>
        <v>left foot, right foot</v>
      </c>
      <c r="V26" s="7" t="str">
        <f>IF(R26="No","No",_xlfn.XLOOKUP(_xlfn.XLOOKUP(B26,'Base stats'!B:B,'Base stats'!E:E),Groups!A:A,Groups!T:T))</f>
        <v>Blunt</v>
      </c>
      <c r="W26" s="13">
        <f>IF(_xlfn.XLOOKUP(B26,'Base stats'!B:B,'Base stats'!W:W)="No","No",MROUND((LOG10(_xlfn.XLOOKUP(B26,'Base stats'!B:B,'Base stats'!AR:AR))*(AN26^0.5)+(_xlfn.XLOOKUP(B26,'Base stats'!B:B,'Base stats'!AR:AR)/1000)^(2/3)+_xlfn.XLOOKUP(B26,'Base stats'!B:B,'Base stats'!AW:AW))+0.5+IF(_xlfn.XLOOKUP(_xlfn.XLOOKUP(B26,'Base stats'!B:B,'Base stats'!E:E),Groups!A:A,Groups!U:U)&lt;&gt;3,_xlfn.XLOOKUP(B26,'Base stats'!B:B,'Base stats'!AX:AX),0),0.5))</f>
        <v>38.5</v>
      </c>
      <c r="X26" s="7">
        <f>IF(W26="No","No",MAX(_xlfn.XLOOKUP(_xlfn.XLOOKUP(B26,'Base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Y26" s="7" t="str">
        <f>IF(W26="No","No",_xlfn.XLOOKUP(_xlfn.XLOOKUP(B26,'Base stats'!B:B,'Base stats'!E:E),Groups!A:A,Groups!W:W))</f>
        <v>TuskAttackTool</v>
      </c>
      <c r="Z26" s="7" t="str">
        <f>IF(W26="No","No",_xlfn.XLOOKUP(_xlfn.XLOOKUP(B26,'Base stats'!B:B,'Base stats'!E:E),Groups!A:A,Groups!X:X))</f>
        <v>tusk</v>
      </c>
      <c r="AA26" s="7" t="str">
        <f>IF(W26="No","No",_xlfn.XLOOKUP(_xlfn.XLOOKUP(B26,'Base stats'!B:B,'Base stats'!E:E),Groups!A:A,Groups!Y:Y))</f>
        <v>Scratch</v>
      </c>
      <c r="AB26" s="7" t="str">
        <f>_xlfn.XLOOKUP(Animals!B26,'Base stats'!B:B,'Base stats'!X:X)</f>
        <v>False</v>
      </c>
      <c r="AC26" s="13" t="str">
        <f>IF(_xlfn.XLOOKUP(B26,'Base stats'!B:B,'Base stats'!AQ:AQ)="No","No",MROUND((LOG10(_xlfn.XLOOKUP(B26,'Base stats'!B:B,'Base stats'!AQ:AQ))*(AN26^0.75)+(_xlfn.XLOOKUP(B26,'Base stats'!B:B,'Base stats'!AQ:AQ)/1000)^(2/3)+_xlfn.XLOOKUP(B26,'Base stats'!B:B,'Base stats'!AU:AU)+_xlfn.XLOOKUP(B26,'Base stats'!B:B,'Base stats'!AX:AX))+0.5,0.5))</f>
        <v>No</v>
      </c>
      <c r="AD26" s="7" t="str">
        <f>IF(AC26="No","No",MAX(_xlfn.XLOOKUP(_xlfn.XLOOKUP(B26,'Base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E26" s="7" t="str">
        <f>IF(AC26="No","No",_xlfn.XLOOKUP(_xlfn.XLOOKUP(B26,'Base stats'!B:B,'Base stats'!E:E),Groups!A:A,Groups!AA:AA))</f>
        <v>No</v>
      </c>
      <c r="AF26" s="7" t="str">
        <f>IF(AC26="No","No",_xlfn.XLOOKUP(_xlfn.XLOOKUP(B26,'Base stats'!B:B,'Base stats'!E:E),Groups!A:A,Groups!AB:AB))</f>
        <v>No</v>
      </c>
      <c r="AG26" s="7" t="str">
        <f>IF(AC26="No","No",_xlfn.XLOOKUP(_xlfn.XLOOKUP(B26,'Base stats'!B:B,'Base stats'!E:E),Groups!A:A,Groups!AC:AC))</f>
        <v>No</v>
      </c>
      <c r="AH26" s="13" t="str">
        <f>IF(_xlfn.XLOOKUP(_xlfn.XLOOKUP(B26,'Base stats'!B:B,'Base stats'!E:E),Groups!A:A,Groups!AD:AD)=0,"No",MROUND((LOG10(_xlfn.XLOOKUP(B26,'Base stats'!B:B,'Base stats'!AP:AP))*(AN26^0.75)+(_xlfn.XLOOKUP(B26,'Base stats'!B:B,'Base stats'!AP:AP)/1000)^(2/3)+_xlfn.XLOOKUP(B26,'Base stats'!B:B,'Base stats'!AV:AV)+_xlfn.XLOOKUP(B26,'Base stats'!B:B,'Base stats'!AX:AX))+0.5,0.5))</f>
        <v>No</v>
      </c>
      <c r="AI26" s="7" t="str">
        <f>IF(AH26="No","No",MAX(_xlfn.XLOOKUP(_xlfn.XLOOKUP(B26,'Base stats'!B:B,'Base stats'!E:E),Groups!A:A,Groups!AE:AE),MROUND(_xlfn.XLOOKUP(_xlfn.XLOOKUP(B26,'Base stats'!B:B,'Base stats'!E:E),Groups!A:A,Groups!AE:AE)*_xlfn.XLOOKUP(B26,'Base stats'!B:B,'Base stats'!C:C)^0.165,0.05)))</f>
        <v>No</v>
      </c>
      <c r="AJ26" s="7" t="str">
        <f>IF(AH26="No","No",_xlfn.XLOOKUP(_xlfn.XLOOKUP(B26,'Base stats'!B:B,'Base stats'!E:E),Groups!A:A,Groups!AF:AF))</f>
        <v>No</v>
      </c>
      <c r="AK26" s="7" t="str">
        <f>IF(AH26="No","No",_xlfn.XLOOKUP(_xlfn.XLOOKUP(B26,'Base stats'!B:B,'Base stats'!E:E),Groups!A:A,Groups!AG:AG))</f>
        <v>No</v>
      </c>
      <c r="AL26" s="7" t="str">
        <f>IF(AH26="No","No",_xlfn.XLOOKUP(_xlfn.XLOOKUP(B26,'Base stats'!B:B,'Base stats'!E:E),Groups!A:A,Groups!AH:AH))</f>
        <v>No</v>
      </c>
      <c r="AM26" s="2" t="str">
        <f t="shared" si="0"/>
        <v>No</v>
      </c>
      <c r="AN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O26" s="8">
        <f>MROUND(AN26*_xlfn.XLOOKUP(_xlfn.XLOOKUP(B26,'Base stats'!B:B,'Base stats'!E:E),Groups!A:A,Groups!AI:AI),0.05)</f>
        <v>5</v>
      </c>
      <c r="AP26" s="8">
        <f>MAX(0.01,MROUND(IF(CA26="True",0.196*(AN26*100*1000)^0.889,IF(_xlfn.XLOOKUP(_xlfn.XLOOKUP(B26,'Base stats'!B:B,'Base stats'!E:E),Groups!A:A,Groups!AJ:AJ)="Bird",10.5*(AN26*100*1000)^0.681,4.82*(AN26*100*1000)^0.734))/(4.82*(1*100*1000)^0.734)/IF(AN26&lt;3.5,2,IF(AN26=3.5,1.5,1.25))*(1+0.132282374779864/(AN26^0.994035016789033+0.00905238001496948)),0.05))</f>
        <v>2.7</v>
      </c>
      <c r="AQ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R26" s="35">
        <f>IFERROR(IF(_xlfn.XLOOKUP(B26,'Base stats'!B:B,'Base stats'!F:F)="Lay eggs","Lay eggs",MIN(20,MAX(5.5,ROUND(((_xlfn.XLOOKUP(B26,'Base stats'!B:B,'Base stats'!F:F)-25)*(14.5/615) + 5.5)*2,0)/2))),"Cannot breed")</f>
        <v>20</v>
      </c>
      <c r="AS26" s="8">
        <f>IF(OR(A26="Queen",A26="Larva"),"No",IFERROR(MAX(IF(_xlfn.XLOOKUP(B26,'Base stats'!B:B,'Base stats'!G:G)&lt;0.5,0.2,0.3),MROUND(_xlfn.XLOOKUP(B26,'Base stats'!B:B,'Base stats'!G:G)/(365/60),0.2)),"Unknown"))</f>
        <v>1.8</v>
      </c>
      <c r="AT26" s="8">
        <f t="shared" si="1"/>
        <v>0.9</v>
      </c>
      <c r="AU26" s="8">
        <f>IFERROR(IFERROR(MROUND(_xlfn.XLOOKUP(B26,'Base stats'!B:B,'Base stats'!J:J),0.1),"Lay eggs"),"Cannot breed")</f>
        <v>1</v>
      </c>
      <c r="AV26" s="2" t="str">
        <f t="shared" si="2"/>
        <v>true</v>
      </c>
      <c r="AW26" s="2" t="str">
        <f>IF(_xlfn.XLOOKUP(_xlfn.XLOOKUP(Animals!B26,'Base stats'!B:B,'Base stats'!E:E),Groups!A:A,Groups!AK:AK)=1,"true","false")</f>
        <v>true</v>
      </c>
      <c r="AX26" s="25" t="str">
        <f>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</f>
        <v>VegetarianRoughAnimal</v>
      </c>
      <c r="AY26" s="2" t="str">
        <f>IF(_xlfn.XLOOKUP(_xlfn.XLOOKUP(B26,'Base stats'!B:B,'Base stats'!E:E),Groups!A:A,Groups!D:D)=1,MROUND((1-I26)*5+1,2)*IF(I26&lt;=0.4,2,1),"No")</f>
        <v>No</v>
      </c>
      <c r="AZ26" s="2" t="str">
        <f>_xlfn.XLOOKUP(B26,'Base stats'!B:B,'Base stats'!AE:AE)</f>
        <v>Leather_Elephant</v>
      </c>
      <c r="BA26" s="23" t="str">
        <f>_xlfn.XLOOKUP(_xlfn.XLOOKUP(B26,'Base stats'!B:B,'Base stats'!E:E),Groups!A:A,Groups!AL:AL)</f>
        <v>QuadrupedAnimalWithHoovesTusksAndTrunk</v>
      </c>
      <c r="BB26" s="23">
        <f>MROUND(IF(AND(AN26&lt;0.5,_xlfn.XLOOKUP(B26,'Base stats'!B:B,'Base stats'!Z:Z)=0),0,IF(OR(_xlfn.XLOOKUP(Animals!B26,'Base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stats'!AA:AA),0.005)</f>
        <v>2.5000000000000001E-2</v>
      </c>
      <c r="BC26" s="23">
        <f>MROUND(IF(AND(AN26&lt;0.5,_xlfn.XLOOKUP(B26,'Base stats'!B:B,'Base stats'!Z:Z)=0),0,IF(_xlfn.XLOOKUP(_xlfn.XLOOKUP(B26,'Base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stats'!AB:AB),0.005)</f>
        <v>0.3</v>
      </c>
      <c r="BD26" s="2" t="str">
        <f>IF(I26&gt;0.3,"No",_xlfn.XLOOKUP(_xlfn.XLOOKUP(Animals!B26,'Base stats'!B:B,'Base stats'!E:E),Groups!A:A,Groups!AP:AP))</f>
        <v>No</v>
      </c>
      <c r="BE26" s="2" t="str">
        <f>IF(AND(I26&lt;=0.65,_xlfn.XLOOKUP(_xlfn.XLOOKUP(Animals!B26,'Base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stats'!O:O)=2,0.2,AN26) + 24*(1-IF(BD26="No",0,BD26)) + 16/3, 12),"No")</f>
        <v>No</v>
      </c>
      <c r="BF26" s="2">
        <f>IF(AND(_xlfn.XLOOKUP(_xlfn.XLOOKUP(B26,'Base stats'!B:B,'Base stats'!E:E),Groups!A:A,Groups!AQ:AQ)=1,AN26&lt;=0.35),8,12)</f>
        <v>12</v>
      </c>
      <c r="BG26" s="2" t="str">
        <f>IF(_xlfn.XLOOKUP(_xlfn.XLOOKUP(B26,'Base stats'!B:B,'Base stats'!E:E),Groups!A:A,Groups!D:D)=0,_xlfn.XLOOKUP(_xlfn.XLOOKUP(B26,'Base stats'!B:B,'Base stats'!E:E),Groups!A:A,Groups!AR:AR),"None")</f>
        <v>Advanced</v>
      </c>
      <c r="BH26" s="2" t="str">
        <f>IF(AND(_xlfn.XLOOKUP(_xlfn.XLOOKUP(B26,'Base stats'!B:B,'Base stats'!E:E),Groups!A:A,Groups!AS:AS)=1,OR('Base stats'!Y26="Carnivore",'Base stats'!Y26="Omnivore")),"true","false")</f>
        <v>false</v>
      </c>
      <c r="BI26" s="2" t="str">
        <f>IF(BH26="true",MROUND(IF(AND(AN26&gt;0.5,_xlfn.XLOOKUP(_xlfn.XLOOKUP(B26,'Base stats'!B:B,'Base stats'!E:E),Groups!A:A,Groups!AJ:AJ)="Mammal"),Animals!AN26*1.75*IF(AV26="true",1.5,1),Animals!AN26),IF(AN26&gt;2,0.5,IF(AN26&gt;0.5,0.25,0.1))),"No")</f>
        <v>No</v>
      </c>
      <c r="BJ26" s="2">
        <f t="shared" si="3"/>
        <v>1</v>
      </c>
      <c r="BK26" s="25" t="str">
        <f>IF('Base stats'!AK26="Standard","No",MROUND((_xlfn.XLOOKUP(B26,'Base stats'!B:B,'Base stats'!AK:AK)/3.6)/H26,0.1))</f>
        <v>No</v>
      </c>
      <c r="BL26" s="25" t="str">
        <f t="shared" si="4"/>
        <v>false</v>
      </c>
      <c r="BM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N26" s="25" t="str" cm="1">
        <f t="array" ref="BN26">IF(
  _xlfn.TEXTJOIN(", ",TRUE,
    IF(AND(BH26="true",AN26&gt;0.5,BG26&lt;&gt;"None"),"AttackTarget",""),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IF(BE26&lt;=36,"Comfort",""),
    IF(_xlfn.XLOOKUP(B26,'Base stats'!B:B,'Base stats'!AC:AC)&lt;&gt;"No",_xlfn.XLOOKUP(B26,'Base stats'!B:B,'Base stats'!AC:AC),"")
  ) = "",
  "No",
  _xlfn.TEXTJOIN(", ",TRUE,
    IF(AND(BH26="true",AN26&gt;0.5,BG26&lt;&gt;"None"),"AttackTarget",""),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IF(BE26&lt;=36,"Comfort",""),
    IF(_xlfn.XLOOKUP(B26,'Base stats'!B:B,'Base stats'!AC:AC)&lt;&gt;"No",_xlfn.XLOOKUP(B26,'Base stats'!B:B,'Base stats'!AC:AC),"")
  )
)</f>
        <v>WarTrumpet</v>
      </c>
      <c r="BO26" s="25" t="str">
        <f>IF(
   AND(
      'Base stats'!AK26="Standard",_xlfn.XLOOKUP(_xlfn.XLOOKUP(B26,'Base stats'!B:B,'Base stats'!E:E),Groups!A:A,Groups!AU:AU)=0,
      OR(
      BM26="True"
      )
   ),
   10,
   IF(
       OR(BK26&lt;&gt;"No",_xlfn.XLOOKUP(_xlfn.XLOOKUP(B26,'Base stats'!B:B,'Base stats'!E:E),Groups!A:A,Groups!AU:AU)=1),
      1,
      "No"
   )
)</f>
        <v>No</v>
      </c>
      <c r="BP26" s="9">
        <f>MROUND((1 + ((0.2*IF(OR(P26="No",Q26="No",Q26=0),0,P26/Q26)
+IF(OR(U26="No",R26="No",S26="No"),0,R26/S26*(LEN(U26)-LEN(SUBSTITUTE(U26,",",""))+1))
+IF(OR(W26="No",X26="No"),0,W26/X26)
+IF(OR(AC26="No",AD26="No"),0,AC26/AD26)
+IF(OR(AK26="No",AH26="No",AI26="No"),0,AH26/AI26*(LEN(AK26)-LEN(SUBSTITUTE(AK26,",",""))+1))
)/(0.2*IF(OR(P26="No",Q26="No",Q26=0),0,1)
+IF(OR(U26="No",R26="No",S26="No"),0,LEN(U26)-LEN(SUBSTITUTE(U26,",",""))+1)
+IF(OR(W26="No",X26="No"),0,1)
+IF(OR(AC26="No",AD26="No"),0,1)
+IF(OR(AK26="No",AH26="No",AI26="No"),0,LEN(AK26)-LEN(SUBSTITUTE(AK26,",",""))+1))*62%)* 2)*(1 + (AO26 + _xlfn.XLOOKUP(B26,'Base stats'!B:B,'Base stats'!AS:AS) * 1.8) * 2) * 2.5 + 10 + H26 * 2,5)+IF(_xlfn.XLOOKUP(B26,'Base stats'!B:B,'Base stats'!AH:AH)=1,50,0)</f>
        <v>460</v>
      </c>
      <c r="BQ26" s="8">
        <f t="shared" si="5"/>
        <v>3.1500000000000004</v>
      </c>
      <c r="BR26" s="8" t="str">
        <f>_xlfn.XLOOKUP(B26,'Base stats'!B:B,'Base stats'!AD:AD)</f>
        <v>3~10</v>
      </c>
      <c r="BS26" s="2" t="str">
        <f>IF(AND(I26&lt;=0.95,OR(_xlfn.XLOOKUP(B26,'Base stats'!B:B,'Base stats'!AH:AH)=1,_xlfn.XLOOKUP(B26,'Base stats'!B:B,'Base stats'!Y:Y)="Carnivore",_xlfn.XLOOKUP(B26,'Base stats'!B:B,'Base stats'!Y:Y)="Omnivore",BC26&gt;0.1)),"true","false")</f>
        <v>true</v>
      </c>
      <c r="BT26" s="2" t="str">
        <f>IF(_xlfn.XLOOKUP(B26,'Base stats'!B:B,'Base stats'!AF:AF)=1,"true","false")</f>
        <v>true</v>
      </c>
      <c r="BU26" s="25" t="str">
        <f>IF(E26="BaseInsect","AnimalInsect",
IF(I26&gt;0.95,"AnimalExotic",
_xlfn.TEXTJOIN(", ",TRUE,
IF(AND(_xlfn.XLOOKUP(B26,'Base stats'!B:B,'Base stats'!O:O)=0,_xlfn.XLOOKUP(_xlfn.XLOOKUP(B26,'Base stats'!B:B,'Base stats'!E:E),Groups!A:A,Groups!B:B)&gt;0),"AnimalUncommon","AnimalCommon"),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stats'!AH:AH)=1,AND(BG26&lt;&gt;"None",BP26&gt;=60),ISNUMBER(SEARCH("Attack target",BN26))),"AnimalFighter","")
)))</f>
        <v>AnimalUncommon, AnimalFighter</v>
      </c>
      <c r="BV26" s="25" t="str">
        <f>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</f>
        <v>AridShrubland Grasslands</v>
      </c>
      <c r="BW26" s="25" t="str">
        <f>IF(_xlfn.XLOOKUP(B26,'Base stats'!B:B,'Base stats'!AG:AG)=1,"true","false")</f>
        <v>false</v>
      </c>
      <c r="BX26" s="25">
        <f>IF(_xlfn.XLOOKUP(B26,'Base stats'!B:B,'Base stats'!N:N)=1,"No",MIN(MROUND(IF(OR(_xlfn.XLOOKUP(B26,'Base stats'!B:B,'Base stats'!AJ:AJ)=1,AND(BH26="True",CA26="False")),POWER(10,3.47*LOG10(_xlfn.XLOOKUP(B26,'Base stats'!B:B,'Base stats'!C:C)*1000)^-0.96),POWER(10,4.15*LOG10(_xlfn.XLOOKUP(B26,'Base stats'!B:B,'Base stats'!C:C)*1000)^-0.73))*IF(OR(_xlfn.XLOOKUP(B26,'Base stats'!B:B,'Base stats'!AJ:AJ)=1,_xlfn.XLOOKUP(B26,'Base stats'!B:B,'Base stats'!AH:AH)=1),0.5,1)/100,0.025),1))</f>
        <v>0.1</v>
      </c>
      <c r="BY26" s="25" t="str">
        <f>IF(O26="Standard","No",IF(_xlfn.XLOOKUP(B26,'Base stats'!B:B,'Base stats'!N:N)=0,MROUND(BX26*O26,0.05),MIN(1,MAX(0.025,MROUND(IF(OR(CA26="true",AND(BH26="false",BM26="false")),POWER(10,4.15*LOG10(_xlfn.XLOOKUP(B26,'Base stats'!B:B,'Base stats'!C:C)*1000)^-0.73),POWER(10,3.47*LOG10(_xlfn.XLOOKUP(B26,'Base stats'!B:B,'Base stats'!C:C)*1000)^-0.96))*IF(_xlfn.XLOOKUP(B26,'Base stats'!B:B,'Base stats'!AH:AH)=1,0.5,1)/100,0.025)))))</f>
        <v>No</v>
      </c>
      <c r="BZ26" s="25" t="str">
        <f>IF(_xlfn.XLOOKUP(_xlfn.XLOOKUP(B26,'Base stats'!B:B,'Base stats'!E:E),Groups!A:A,Groups!AJ:AJ)="Mammal","True","False")</f>
        <v>True</v>
      </c>
      <c r="CA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B26" s="25" t="str">
        <f t="shared" si="6"/>
        <v>False</v>
      </c>
      <c r="CC26" s="25" t="str">
        <f>IF(_xlfn.XLOOKUP(_xlfn.XLOOKUP(B26,'Base stats'!B:B,'Base stats'!E:E),Groups!A:A,Groups!AW:AW),"True","False")</f>
        <v>False</v>
      </c>
      <c r="CD26" s="25" t="str">
        <f>IF(_xlfn.XLOOKUP(_xlfn.XLOOKUP(B26,'Base stats'!B:B,'Base stats'!E:E),Groups!A:A,Groups!AX:AX),"True","False")</f>
        <v>False</v>
      </c>
      <c r="CE26" s="25" t="str">
        <f>IF(_xlfn.XLOOKUP(B26,'Base stats'!B:B,'Base stats'!E:E)=1,"True","False")</f>
        <v>False</v>
      </c>
      <c r="CF26" s="25" t="str">
        <f>IF(
OR(
_xlfn.XLOOKUP(_xlfn.XLOOKUP(B26,'Base stats'!B:B,'Base stats'!E:E),Groups!A:A,Groups!AY:AY)=0,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stats'!E:E),Groups!A:A,Groups!AY:AY)=1,
"Flesh",
IF(
_xlfn.XLOOKUP(_xlfn.XLOOKUP(B26,'Base stats'!B:B,'Base stats'!E:E),Groups!A:A,Groups!AY:AY)=2,
"Bone",
""
)
)
)</f>
        <v>No</v>
      </c>
      <c r="CG26" s="25" t="str">
        <f>IF(_xlfn.XLOOKUP(_xlfn.XLOOKUP(B26,'Base stats'!B:B,'Base stats'!E:E),Groups!A:A,Groups!BA:BA),"True","False")</f>
        <v>True</v>
      </c>
      <c r="CH26" s="25" t="str">
        <f>IF(_xlfn.XLOOKUP(_xlfn.XLOOKUP(B26,'Base stats'!B:B,'Base stats'!E:E),Groups!A:A,Groups!AZ:AZ),"True","False")</f>
        <v>False</v>
      </c>
      <c r="CM26" s="16"/>
    </row>
    <row r="27" spans="1:91" ht="16.5" thickTop="1" thickBot="1" x14ac:dyDescent="0.3">
      <c r="A27" s="26" t="str">
        <f>_xlfn.XLOOKUP(B27,'Base stats'!B:B,'Base stats'!A:A)</f>
        <v>Thrumbo</v>
      </c>
      <c r="B27" s="6" t="s">
        <v>118</v>
      </c>
      <c r="C27" s="28" t="s">
        <v>714</v>
      </c>
      <c r="D27" s="28" t="s">
        <v>45</v>
      </c>
      <c r="E27" s="28" t="s">
        <v>685</v>
      </c>
      <c r="F27" s="28" t="s">
        <v>685</v>
      </c>
      <c r="G27" s="2">
        <f>MROUND((
  (IF(AND(_xlfn.XLOOKUP(B27,'Base stats'!B:B,'Base stats'!AI:AI)=0,BG27="None",_xlfn.XLOOKUP('Base stats'!E27,Groups!A:A,Groups!B:B)=0), (18 + BP27 * 2.7) * 0.5,
    IF(AND(_xlfn.XLOOKUP(B27,'Base stats'!B:B,'Base stats'!AI:AI)=0,OR(AN27&lt;0.55,AND(BG27="Intermediate",_xlfn.XLOOKUP('Base stats'!E27,Groups!A:A,Groups!B:B)&lt;2))), (18 + BP27 * 2.7),
      IF(OR(BG27="Advanced",_xlfn.XLOOKUP(B27,'Base stats'!B:B,'Base stats'!AI:AI)=1,_xlfn.XLOOKUP('Base stats'!E27,Groups!A:A,Groups!B:B)=2), (18 + BP27 * 2.7) + 250, (18 + BP27 * 2.7))
    )
  ))
  + AN27 * 80
  + IF(COUNTIF(EggMilk!K$2:K$998, A27) &gt; 0, 125, 0)
  + IF(COUNTIF(EggMilk!P$2:P$998, A27) &gt; 0, 90, 0)
  + IF(COUNTIF(EggMilk!A$2:A$998, A27) &gt; 0, 90, 0)
)
* (0.8 + 0.4 * I27)
* 0.75,25)</f>
        <v>3350</v>
      </c>
      <c r="H27" s="2">
        <f>MROUND(ROUNDDOWN(_xlfn.XLOOKUP(B27,'Base stats'!B:B,'Base stats'!L:L)/3.6/(23.3/11),1),0.5)</f>
        <v>4.5</v>
      </c>
      <c r="I27" s="2">
        <f>IF(_xlfn.XLOOKUP(B27,'Base stats'!B:B,'Base stats'!AI:AI)=1,0.99,MIN(MROUND((1-0.6282*EXP(-0.459*AN27))*_xlfn.XLOOKUP(_xlfn.XLOOKUP(B27,'Base stats'!B:B,'Base stats'!E:E),Groups!A:A,Groups!C:C)*IF(_xlfn.XLOOKUP(B27,'Base stats'!B:B,'Base stats'!O:O)=1,0.5,IF(_xlfn.XLOOKUP(B27,'Base stats'!B:B,'Base stats'!O:O)=2,0,1)),0.05),0.985))</f>
        <v>0.98499999999999999</v>
      </c>
      <c r="J27" s="2">
        <f>ROUNDUP(AN27*_xlfn.XLOOKUP(_xlfn.XLOOKUP(B27,'Base stats'!B:B,'Base stats'!E:E),Groups!A:A,Groups!E:E),0)</f>
        <v>28</v>
      </c>
      <c r="K27" s="2">
        <f>IF(OR(_xlfn.XLOOKUP(_xlfn.XLOOKUP(B27,'Base stats'!B:B,'Base stats'!E:E),Groups!A:A,Groups!F:F)=2,ISNUMBER(SEARCH("SeaIce",BV27)),ISNUMBER(SEARCH("IceSheet",BV27))),-50,IF(OR(ISNUMBER(SEARCH("GlacialPlain",BV27)),ISNUMBER(SEARCH("Tundra",BV27))),-40,IF(OR(ISNUMBER(SEARCH("Alpine",BV27)),ISNUMBER(SEARCH("BorealForest",BV27)),ISNUMBER(SEARCH("ColdBog",BV27))),-30,IF(OR(ISNUMBER(SEARCH("TemperateForest",BV27)),ISNUMBER(SEARCH("TemperateSwamp",BV27))),-20,IF(_xlfn.XLOOKUP(_xlfn.XLOOKUP(B27,'Base stats'!B:B,'Base stats'!E:E),Groups!A:A,Groups!F:F)=1,-15,IF(OR(ISNUMBER(SEARCH("Desert",BV27)),ISNUMBER(SEARCH("ExtremeDesert",BV27))),-10,IF(OR(ISNUMBER(SEARCH("Grasslands",BV27)),ISNUMBER(SEARCH("TropicalRainforest",BV27)),ISNUMBER(SEARCH("TropicalSwamp",BV27))),10,0)))))))-IF(CA27="False",MIN(IFERROR(MAX(MROUND(LOG10(_xlfn.XLOOKUP(B27,'Base stats'!B:B,'Base stats'!C:C)^(2/3))*10,5),5),5),30))-_xlfn.XLOOKUP(B27,'Base stats'!B:B,'Base stats'!P:P)+IF(CA27="True",5,0)</f>
        <v>-75</v>
      </c>
      <c r="L27" s="2">
        <f>IF(OR(_xlfn.XLOOKUP(_xlfn.XLOOKUP(B27,'Base stats'!B:B,'Base stats'!E:E),Groups!A:A,Groups!G:G)=2,ISNUMBER(SEARCH("Desert",BV27)),ISNUMBER(SEARCH("ExtremeDesert",BV27)),ISNUMBER(SEARCH("LavaField",BV27))),50,IF(ISNUMBER(SEARCH("Grasslands",BV27)),45,IF(OR(_xlfn.XLOOKUP(_xlfn.XLOOKUP(B27,'Base stats'!B:B,'Base stats'!E:E),Groups!A:A,Groups!G:G)=1,ISNUMBER(SEARCH("TropicalRainforest",BV27)),ISNUMBER(SEARCH("TropicalSwamp",BV27))),40,IF(OR(ISNUMBER(SEARCH("TemperateForest",BV27)),ISNUMBER(SEARCH("TemperateSwamp",BV27))),35,IF(OR(ISNUMBER(SEARCH("Alpine",BV27)),ISNUMBER(SEARCH("BorealForest",BV27)),ISNUMBER(SEARCH("ColdBog",BV27))),30,IF(ISNUMBER(OR(ISNUMBER(SEARCH("GlacialPlain",BV27)),SEARCH("Tundra",BV27))),25,IF(OR(ISNUMBER(SEARCH("SeaIce",BV27)),ISNUMBER(SEARCH("IceSheet",BV27)),ISNUMBER(SEARCH("TropicalSwamp",BV27))),10,35)))))))+_xlfn.XLOOKUP(B27,'Base stats'!B:B,'Base stats'!Q:Q)</f>
        <v>35</v>
      </c>
      <c r="M27" s="8">
        <f>IF(_xlfn.XLOOKUP(_xlfn.XLOOKUP(B27,'Base stats'!B:B,'Base stats'!E:E),Groups!A:A,Groups!L:L)=1,MIN(MROUND(_xlfn.XLOOKUP(B27,'Animals CE'!B:B,'Animals CE'!Z:Z)/2+0.05,0.05),200%),"No")</f>
        <v>1.1500000000000001</v>
      </c>
      <c r="N27" s="8">
        <f>IF(_xlfn.XLOOKUP(_xlfn.XLOOKUP(B27,'Base stats'!B:B,'Base stats'!E:E),Groups!A:A,Groups!L:L)=1,MIN(MROUND(_xlfn.XLOOKUP(B27,'Animals CE'!B:B,'Animals CE'!AA:AA)/2+0.05,0.05),200%),"No")</f>
        <v>1.1500000000000001</v>
      </c>
      <c r="O27" s="2">
        <f>_xlfn.XLOOKUP(B27,'Base stats'!B:B,'Base stats'!R:R)</f>
        <v>1</v>
      </c>
      <c r="P27" s="13">
        <f>MROUND((LOG10(_xlfn.XLOOKUP(B27,'Base stats'!B:B,'Base stats'!AO:AO))*(AN27^0.5)+(_xlfn.XLOOKUP(B27,'Base stats'!B:B,'Base stats'!AO:AO)/1000)^(2/3)+_xlfn.XLOOKUP(B27,'Base stats'!B:B,'Base stats'!AX:AX)/2)+0.5,0.5)</f>
        <v>40.5</v>
      </c>
      <c r="Q27" s="7">
        <f>IF(P27="No","No",MAX(1,MROUND(_xlfn.XLOOKUP(B27,'Base stats'!B:B,'Base stats'!C:C)^0.165,0.05)))</f>
        <v>4.2</v>
      </c>
      <c r="R27" s="13">
        <f>IF(_xlfn.XLOOKUP(_xlfn.XLOOKUP(B27,'Base stats'!B:B,'Base stats'!E:E),Groups!A:A,Groups!P:P)=0,"No",MROUND((LOG10(_xlfn.XLOOKUP(B27,'Base stats'!B:B,'Base stats'!AP:AP))*(AN27^0.5)+(_xlfn.XLOOKUP(B27,'Base stats'!B:B,'Base stats'!AP:AP)/1000)^(2/3)+_xlfn.XLOOKUP(B27,'Base stats'!B:B,'Base stats'!AX:AX))+_xlfn.XLOOKUP(B27,'Base stats'!B:B,'Base stats'!AV:AV)+0.5,0.5))</f>
        <v>47</v>
      </c>
      <c r="S27" s="7">
        <f>IF(R27="No","No",MAX(_xlfn.XLOOKUP(_xlfn.XLOOKUP(B27,'Base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T27" s="7" t="str">
        <f>IF(R27="No","No",_xlfn.XLOOKUP(_xlfn.XLOOKUP(B27,'Base stats'!B:B,'Base stats'!E:E),Groups!A:A,Groups!R:R))</f>
        <v>FrontLeftLeg, FrontRightLeg</v>
      </c>
      <c r="U27" s="7" t="str">
        <f>IF(R27="No","No",_xlfn.XLOOKUP(_xlfn.XLOOKUP(B27,'Base stats'!B:B,'Base stats'!E:E),Groups!A:A,Groups!S:S))</f>
        <v>left foot, right foot</v>
      </c>
      <c r="V27" s="7" t="str">
        <f>IF(R27="No","No",_xlfn.XLOOKUP(_xlfn.XLOOKUP(B27,'Base stats'!B:B,'Base stats'!E:E),Groups!A:A,Groups!T:T))</f>
        <v>Blunt</v>
      </c>
      <c r="W27" s="13">
        <f>IF(_xlfn.XLOOKUP(B27,'Base stats'!B:B,'Base stats'!W:W)="No","No",MROUND((LOG10(_xlfn.XLOOKUP(B27,'Base stats'!B:B,'Base stats'!AR:AR))*(AN27^0.5)+(_xlfn.XLOOKUP(B27,'Base stats'!B:B,'Base stats'!AR:AR)/1000)^(2/3)+_xlfn.XLOOKUP(B27,'Base stats'!B:B,'Base stats'!AW:AW))+0.5+IF(_xlfn.XLOOKUP(_xlfn.XLOOKUP(B27,'Base stats'!B:B,'Base stats'!E:E),Groups!A:A,Groups!U:U)&lt;&gt;3,_xlfn.XLOOKUP(B27,'Base stats'!B:B,'Base stats'!AX:AX),0),0.5))</f>
        <v>58.5</v>
      </c>
      <c r="X27" s="7">
        <f>IF(W27="No","No",MAX(_xlfn.XLOOKUP(_xlfn.XLOOKUP(B27,'Base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Y27" s="7" t="str">
        <f>IF(W27="No","No",_xlfn.XLOOKUP(_xlfn.XLOOKUP(B27,'Base stats'!B:B,'Base stats'!E:E),Groups!A:A,Groups!W:W))</f>
        <v>HeadAttackTool</v>
      </c>
      <c r="Z27" s="7" t="str">
        <f>IF(W27="No","No",_xlfn.XLOOKUP(_xlfn.XLOOKUP(B27,'Base stats'!B:B,'Base stats'!E:E),Groups!A:A,Groups!X:X))</f>
        <v>horn</v>
      </c>
      <c r="AA27" s="7" t="str">
        <f>IF(W27="No","No",_xlfn.XLOOKUP(_xlfn.XLOOKUP(B27,'Base stats'!B:B,'Base stats'!E:E),Groups!A:A,Groups!Y:Y))</f>
        <v>Scratch</v>
      </c>
      <c r="AB27" s="7" t="str">
        <f>_xlfn.XLOOKUP(Animals!B27,'Base stats'!B:B,'Base stats'!X:X)</f>
        <v>False</v>
      </c>
      <c r="AC27" s="13" t="str">
        <f>IF(_xlfn.XLOOKUP(B27,'Base stats'!B:B,'Base stats'!AQ:AQ)="No","No",MROUND((LOG10(_xlfn.XLOOKUP(B27,'Base stats'!B:B,'Base stats'!AQ:AQ))*(AN27^0.75)+(_xlfn.XLOOKUP(B27,'Base stats'!B:B,'Base stats'!AQ:AQ)/1000)^(2/3)+_xlfn.XLOOKUP(B27,'Base stats'!B:B,'Base stats'!AU:AU)+_xlfn.XLOOKUP(B27,'Base stats'!B:B,'Base stats'!AX:AX))+0.5,0.5))</f>
        <v>No</v>
      </c>
      <c r="AD27" s="7" t="str">
        <f>IF(AC27="No","No",MAX(_xlfn.XLOOKUP(_xlfn.XLOOKUP(B27,'Base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E27" s="7" t="str">
        <f>IF(AC27="No","No",_xlfn.XLOOKUP(_xlfn.XLOOKUP(B27,'Base stats'!B:B,'Base stats'!E:E),Groups!A:A,Groups!AA:AA))</f>
        <v>No</v>
      </c>
      <c r="AF27" s="7" t="str">
        <f>IF(AC27="No","No",_xlfn.XLOOKUP(_xlfn.XLOOKUP(B27,'Base stats'!B:B,'Base stats'!E:E),Groups!A:A,Groups!AB:AB))</f>
        <v>No</v>
      </c>
      <c r="AG27" s="7" t="str">
        <f>IF(AC27="No","No",_xlfn.XLOOKUP(_xlfn.XLOOKUP(B27,'Base stats'!B:B,'Base stats'!E:E),Groups!A:A,Groups!AC:AC))</f>
        <v>No</v>
      </c>
      <c r="AH27" s="13" t="str">
        <f>IF(_xlfn.XLOOKUP(_xlfn.XLOOKUP(B27,'Base stats'!B:B,'Base stats'!E:E),Groups!A:A,Groups!AD:AD)=0,"No",MROUND((LOG10(_xlfn.XLOOKUP(B27,'Base stats'!B:B,'Base stats'!AP:AP))*(AN27^0.75)+(_xlfn.XLOOKUP(B27,'Base stats'!B:B,'Base stats'!AP:AP)/1000)^(2/3)+_xlfn.XLOOKUP(B27,'Base stats'!B:B,'Base stats'!AV:AV)+_xlfn.XLOOKUP(B27,'Base stats'!B:B,'Base stats'!AX:AX))+0.5,0.5))</f>
        <v>No</v>
      </c>
      <c r="AI27" s="7" t="str">
        <f>IF(AH27="No","No",MAX(_xlfn.XLOOKUP(_xlfn.XLOOKUP(B27,'Base stats'!B:B,'Base stats'!E:E),Groups!A:A,Groups!AE:AE),MROUND(_xlfn.XLOOKUP(_xlfn.XLOOKUP(B27,'Base stats'!B:B,'Base stats'!E:E),Groups!A:A,Groups!AE:AE)*_xlfn.XLOOKUP(B27,'Base stats'!B:B,'Base stats'!C:C)^0.165,0.05)))</f>
        <v>No</v>
      </c>
      <c r="AJ27" s="7" t="str">
        <f>IF(AH27="No","No",_xlfn.XLOOKUP(_xlfn.XLOOKUP(B27,'Base stats'!B:B,'Base stats'!E:E),Groups!A:A,Groups!AF:AF))</f>
        <v>No</v>
      </c>
      <c r="AK27" s="7" t="str">
        <f>IF(AH27="No","No",_xlfn.XLOOKUP(_xlfn.XLOOKUP(B27,'Base stats'!B:B,'Base stats'!E:E),Groups!A:A,Groups!AG:AG))</f>
        <v>No</v>
      </c>
      <c r="AL27" s="7" t="str">
        <f>IF(AH27="No","No",_xlfn.XLOOKUP(_xlfn.XLOOKUP(B27,'Base stats'!B:B,'Base stats'!E:E),Groups!A:A,Groups!AH:AH))</f>
        <v>No</v>
      </c>
      <c r="AM27" s="2" t="str">
        <f t="shared" si="0"/>
        <v>No</v>
      </c>
      <c r="AN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O27" s="8">
        <f>MROUND(AN27*_xlfn.XLOOKUP(_xlfn.XLOOKUP(B27,'Base stats'!B:B,'Base stats'!E:E),Groups!A:A,Groups!AI:AI),0.05)</f>
        <v>8.25</v>
      </c>
      <c r="AP27" s="8">
        <f>MAX(0.01,MROUND(IF(CA27="True",0.196*(AN27*100*1000)^0.889,IF(_xlfn.XLOOKUP(_xlfn.XLOOKUP(B27,'Base stats'!B:B,'Base stats'!E:E),Groups!A:A,Groups!AJ:AJ)="Bird",10.5*(AN27*100*1000)^0.681,4.82*(AN27*100*1000)^0.734))/(4.82*(1*100*1000)^0.734)/IF(AN27&lt;3.5,2,IF(AN27=3.5,1.5,1.25))*(1+0.132282374779864/(AN27^0.994035016789033+0.00905238001496948)),0.05))</f>
        <v>2.85</v>
      </c>
      <c r="AQ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R27" s="35">
        <f>IFERROR(IF(_xlfn.XLOOKUP(B27,'Base stats'!B:B,'Base stats'!F:F)="Lay eggs","Lay eggs",MIN(20,MAX(5.5,ROUND(((_xlfn.XLOOKUP(B27,'Base stats'!B:B,'Base stats'!F:F)-25)*(14.5/615) + 5.5)*2,0)/2))),"Cannot breed")</f>
        <v>20</v>
      </c>
      <c r="AS27" s="8">
        <f>IF(OR(A27="Queen",A27="Larva"),"No",IFERROR(MAX(IF(_xlfn.XLOOKUP(B27,'Base stats'!B:B,'Base stats'!G:G)&lt;0.5,0.2,0.3),MROUND(_xlfn.XLOOKUP(B27,'Base stats'!B:B,'Base stats'!G:G)/(365/60),0.2)),"Unknown"))</f>
        <v>2</v>
      </c>
      <c r="AT27" s="8">
        <f t="shared" si="1"/>
        <v>1</v>
      </c>
      <c r="AU27" s="8">
        <f>IFERROR(IFERROR(MROUND(_xlfn.XLOOKUP(B27,'Base stats'!B:B,'Base stats'!J:J),0.1),"Lay eggs"),"Cannot breed")</f>
        <v>1</v>
      </c>
      <c r="AV27" s="2" t="str">
        <f t="shared" si="2"/>
        <v>true</v>
      </c>
      <c r="AW27" s="2" t="str">
        <f>IF(_xlfn.XLOOKUP(_xlfn.XLOOKUP(Animals!B27,'Base stats'!B:B,'Base stats'!E:E),Groups!A:A,Groups!AK:AK)=1,"true","false")</f>
        <v>false</v>
      </c>
      <c r="AX27" s="25" t="str">
        <f>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</f>
        <v>DendrovoreAnimal</v>
      </c>
      <c r="AY27" s="2" t="str">
        <f>IF(_xlfn.XLOOKUP(_xlfn.XLOOKUP(B27,'Base stats'!B:B,'Base stats'!E:E),Groups!A:A,Groups!D:D)=1,MROUND((1-I27)*5+1,2)*IF(I27&lt;=0.4,2,1),"No")</f>
        <v>No</v>
      </c>
      <c r="AZ27" s="2" t="str">
        <f>_xlfn.XLOOKUP(B27,'Base stats'!B:B,'Base stats'!AE:AE)</f>
        <v>Leather_Thrumbo</v>
      </c>
      <c r="BA27" s="23" t="str">
        <f>_xlfn.XLOOKUP(_xlfn.XLOOKUP(B27,'Base stats'!B:B,'Base stats'!E:E),Groups!A:A,Groups!AL:AL)</f>
        <v>QuadrupedAnimalWithHoovesAndHorn</v>
      </c>
      <c r="BB27" s="23">
        <f>MROUND(IF(AND(AN27&lt;0.5,_xlfn.XLOOKUP(B27,'Base stats'!B:B,'Base stats'!Z:Z)=0),0,IF(OR(_xlfn.XLOOKUP(Animals!B27,'Base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stats'!AA:AA),0.005)</f>
        <v>0</v>
      </c>
      <c r="BC27" s="23">
        <f>MROUND(IF(AND(AN27&lt;0.5,_xlfn.XLOOKUP(B27,'Base stats'!B:B,'Base stats'!Z:Z)=0),0,IF(_xlfn.XLOOKUP(_xlfn.XLOOKUP(B27,'Base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stats'!AB:AB),0.005)</f>
        <v>1</v>
      </c>
      <c r="BD27" s="2" t="str">
        <f>IF(I27&gt;0.3,"No",_xlfn.XLOOKUP(_xlfn.XLOOKUP(Animals!B27,'Base stats'!B:B,'Base stats'!E:E),Groups!A:A,Groups!AP:AP))</f>
        <v>No</v>
      </c>
      <c r="BE27" s="2" t="str">
        <f>IF(AND(I27&lt;=0.65,_xlfn.XLOOKUP(_xlfn.XLOOKUP(Animals!B27,'Base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stats'!O:O)=2,0.2,AN27) + 24*(1-IF(BD27="No",0,BD27)) + 16/3, 12),"No")</f>
        <v>No</v>
      </c>
      <c r="BF27" s="2">
        <f>IF(AND(_xlfn.XLOOKUP(_xlfn.XLOOKUP(B27,'Base stats'!B:B,'Base stats'!E:E),Groups!A:A,Groups!AQ:AQ)=1,AN27&lt;=0.35),8,12)</f>
        <v>12</v>
      </c>
      <c r="BG27" s="2" t="str">
        <f>IF(_xlfn.XLOOKUP(_xlfn.XLOOKUP(B27,'Base stats'!B:B,'Base stats'!E:E),Groups!A:A,Groups!D:D)=0,_xlfn.XLOOKUP(_xlfn.XLOOKUP(B27,'Base stats'!B:B,'Base stats'!E:E),Groups!A:A,Groups!AR:AR),"None")</f>
        <v>Advanced</v>
      </c>
      <c r="BH27" s="2" t="str">
        <f>IF(AND(_xlfn.XLOOKUP(_xlfn.XLOOKUP(B27,'Base stats'!B:B,'Base stats'!E:E),Groups!A:A,Groups!AS:AS)=1,OR('Base stats'!Y27="Carnivore",'Base stats'!Y27="Omnivore")),"true","false")</f>
        <v>false</v>
      </c>
      <c r="BI27" s="2" t="str">
        <f>IF(BH27="true",MROUND(IF(AND(AN27&gt;0.5,_xlfn.XLOOKUP(_xlfn.XLOOKUP(B27,'Base stats'!B:B,'Base stats'!E:E),Groups!A:A,Groups!AJ:AJ)="Mammal"),Animals!AN27*1.75*IF(AV27="true",1.5,1),Animals!AN27),IF(AN27&gt;2,0.5,IF(AN27&gt;0.5,0.25,0.1))),"No")</f>
        <v>No</v>
      </c>
      <c r="BJ27" s="2">
        <f t="shared" si="3"/>
        <v>1</v>
      </c>
      <c r="BK27" s="25" t="str">
        <f>IF('Base stats'!AK27="Standard","No",MROUND((_xlfn.XLOOKUP(B27,'Base stats'!B:B,'Base stats'!AK:AK)/3.6)/H27,0.1))</f>
        <v>No</v>
      </c>
      <c r="BL27" s="25" t="str">
        <f t="shared" si="4"/>
        <v>false</v>
      </c>
      <c r="BM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N27" s="25" t="str" cm="1">
        <f t="array" ref="BN27">IF(
  _xlfn.TEXTJOIN(", ",TRUE,
    IF(AND(BH27="true",AN27&gt;0.5,BG27&lt;&gt;"None"),"AttackTarget",""),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IF(BE27&lt;=36,"Comfort",""),
    IF(_xlfn.XLOOKUP(B27,'Base stats'!B:B,'Base stats'!AC:AC)&lt;&gt;"No",_xlfn.XLOOKUP(B27,'Base stats'!B:B,'Base stats'!AC:AC),"")
  ) = "",
  "No",
  _xlfn.TEXTJOIN(", ",TRUE,
    IF(AND(BH27="true",AN27&gt;0.5,BG27&lt;&gt;"None"),"AttackTarget",""),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IF(BE27&lt;=36,"Comfort",""),
    IF(_xlfn.XLOOKUP(B27,'Base stats'!B:B,'Base stats'!AC:AC)&lt;&gt;"No",_xlfn.XLOOKUP(B27,'Base stats'!B:B,'Base stats'!AC:AC),"")
  )
)</f>
        <v>ThrumboRoar</v>
      </c>
      <c r="BO27" s="25" t="str">
        <f>IF(
   AND(
      'Base stats'!AK27="Standard",_xlfn.XLOOKUP(_xlfn.XLOOKUP(B27,'Base stats'!B:B,'Base stats'!E:E),Groups!A:A,Groups!AU:AU)=0,
      OR(
      BM27="True"
      )
   ),
   10,
   IF(
       OR(BK27&lt;&gt;"No",_xlfn.XLOOKUP(_xlfn.XLOOKUP(B27,'Base stats'!B:B,'Base stats'!E:E),Groups!A:A,Groups!AU:AU)=1),
      1,
      "No"
   )
)</f>
        <v>No</v>
      </c>
      <c r="BP27" s="9">
        <f>MROUND((1 + ((0.2*IF(OR(P27="No",Q27="No",Q27=0),0,P27/Q27)
+IF(OR(U27="No",R27="No",S27="No"),0,R27/S27*(LEN(U27)-LEN(SUBSTITUTE(U27,",",""))+1))
+IF(OR(W27="No",X27="No"),0,W27/X27)
+IF(OR(AC27="No",AD27="No"),0,AC27/AD27)
+IF(OR(AK27="No",AH27="No",AI27="No"),0,AH27/AI27*(LEN(AK27)-LEN(SUBSTITUTE(AK27,",",""))+1))
)/(0.2*IF(OR(P27="No",Q27="No",Q27=0),0,1)
+IF(OR(U27="No",R27="No",S27="No"),0,LEN(U27)-LEN(SUBSTITUTE(U27,",",""))+1)
+IF(OR(W27="No",X27="No"),0,1)
+IF(OR(AC27="No",AD27="No"),0,1)
+IF(OR(AK27="No",AH27="No",AI27="No"),0,LEN(AK27)-LEN(SUBSTITUTE(AK27,",",""))+1))*62%)* 2)*(1 + (AO27 + _xlfn.XLOOKUP(B27,'Base stats'!B:B,'Base stats'!AS:AS) * 1.8) * 2) * 2.5 + 10 + H27 * 2,5)+IF(_xlfn.XLOOKUP(B27,'Base stats'!B:B,'Base stats'!AH:AH)=1,50,0)</f>
        <v>1125</v>
      </c>
      <c r="BQ27" s="8">
        <f t="shared" si="5"/>
        <v>3.4000000000000004</v>
      </c>
      <c r="BR27" s="8" t="str">
        <f>_xlfn.XLOOKUP(B27,'Base stats'!B:B,'Base stats'!AD:AD)</f>
        <v>1~6</v>
      </c>
      <c r="BS27" s="2" t="str">
        <f>IF(AND(I27&lt;=0.95,OR(_xlfn.XLOOKUP(B27,'Base stats'!B:B,'Base stats'!AH:AH)=1,_xlfn.XLOOKUP(B27,'Base stats'!B:B,'Base stats'!Y:Y)="Carnivore",_xlfn.XLOOKUP(B27,'Base stats'!B:B,'Base stats'!Y:Y)="Omnivore",BC27&gt;0.1)),"true","false")</f>
        <v>false</v>
      </c>
      <c r="BT27" s="2" t="str">
        <f>IF(_xlfn.XLOOKUP(B27,'Base stats'!B:B,'Base stats'!AF:AF)=1,"true","false")</f>
        <v>false</v>
      </c>
      <c r="BU27" s="25" t="str">
        <f>IF(E27="BaseInsect","AnimalInsect",
IF(I27&gt;0.95,"AnimalExotic",
_xlfn.TEXTJOIN(", ",TRUE,
IF(AND(_xlfn.XLOOKUP(B27,'Base stats'!B:B,'Base stats'!O:O)=0,_xlfn.XLOOKUP(_xlfn.XLOOKUP(B27,'Base stats'!B:B,'Base stats'!E:E),Groups!A:A,Groups!B:B)&gt;0),"AnimalUncommon","AnimalCommon"),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stats'!AH:AH)=1,AND(BG27&lt;&gt;"None",BP27&gt;=60),ISNUMBER(SEARCH("Attack target",BN27))),"AnimalFighter","")
)))</f>
        <v>AnimalExotic</v>
      </c>
      <c r="BV27" s="25" t="str">
        <f>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</f>
        <v/>
      </c>
      <c r="BW27" s="25" t="str">
        <f>IF(_xlfn.XLOOKUP(B27,'Base stats'!B:B,'Base stats'!AG:AG)=1,"true","false")</f>
        <v>false</v>
      </c>
      <c r="BX27" s="25">
        <f>IF(_xlfn.XLOOKUP(B27,'Base stats'!B:B,'Base stats'!N:N)=1,"No",MIN(MROUND(IF(OR(_xlfn.XLOOKUP(B27,'Base stats'!B:B,'Base stats'!AJ:AJ)=1,AND(BH27="True",CA27="False")),POWER(10,3.47*LOG10(_xlfn.XLOOKUP(B27,'Base stats'!B:B,'Base stats'!C:C)*1000)^-0.96),POWER(10,4.15*LOG10(_xlfn.XLOOKUP(B27,'Base stats'!B:B,'Base stats'!C:C)*1000)^-0.73))*IF(OR(_xlfn.XLOOKUP(B27,'Base stats'!B:B,'Base stats'!AJ:AJ)=1,_xlfn.XLOOKUP(B27,'Base stats'!B:B,'Base stats'!AH:AH)=1),0.5,1)/100,0.025),1))</f>
        <v>2.5000000000000001E-2</v>
      </c>
      <c r="BY27" s="25">
        <f>IF(O27="Standard","No",IF(_xlfn.XLOOKUP(B27,'Base stats'!B:B,'Base stats'!N:N)=0,MROUND(BX27*O27,0.05),MIN(1,MAX(0.025,MROUND(IF(OR(CA27="true",AND(BH27="false",BM27="false")),POWER(10,4.15*LOG10(_xlfn.XLOOKUP(B27,'Base stats'!B:B,'Base stats'!C:C)*1000)^-0.73),POWER(10,3.47*LOG10(_xlfn.XLOOKUP(B27,'Base stats'!B:B,'Base stats'!C:C)*1000)^-0.96))*IF(_xlfn.XLOOKUP(B27,'Base stats'!B:B,'Base stats'!AH:AH)=1,0.5,1)/100,0.025)))))</f>
        <v>0.05</v>
      </c>
      <c r="BZ27" s="25" t="str">
        <f>IF(_xlfn.XLOOKUP(_xlfn.XLOOKUP(B27,'Base stats'!B:B,'Base stats'!E:E),Groups!A:A,Groups!AJ:AJ)="Mammal","True","False")</f>
        <v>True</v>
      </c>
      <c r="CA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B27" s="25" t="str">
        <f t="shared" si="6"/>
        <v>True</v>
      </c>
      <c r="CC27" s="25" t="str">
        <f>IF(_xlfn.XLOOKUP(_xlfn.XLOOKUP(B27,'Base stats'!B:B,'Base stats'!E:E),Groups!A:A,Groups!AW:AW),"True","False")</f>
        <v>False</v>
      </c>
      <c r="CD27" s="25" t="str">
        <f>IF(_xlfn.XLOOKUP(_xlfn.XLOOKUP(B27,'Base stats'!B:B,'Base stats'!E:E),Groups!A:A,Groups!AX:AX),"True","False")</f>
        <v>False</v>
      </c>
      <c r="CE27" s="25" t="str">
        <f>IF(_xlfn.XLOOKUP(B27,'Base stats'!B:B,'Base stats'!E:E)=1,"True","False")</f>
        <v>False</v>
      </c>
      <c r="CF27" s="25" t="str">
        <f>IF(
OR(
_xlfn.XLOOKUP(_xlfn.XLOOKUP(B27,'Base stats'!B:B,'Base stats'!E:E),Groups!A:A,Groups!AY:AY)=0,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stats'!E:E),Groups!A:A,Groups!AY:AY)=1,
"Flesh",
IF(
_xlfn.XLOOKUP(_xlfn.XLOOKUP(B27,'Base stats'!B:B,'Base stats'!E:E),Groups!A:A,Groups!AY:AY)=2,
"Bone",
""
)
)
)</f>
        <v>No</v>
      </c>
      <c r="CG27" s="25" t="str">
        <f>IF(_xlfn.XLOOKUP(_xlfn.XLOOKUP(B27,'Base stats'!B:B,'Base stats'!E:E),Groups!A:A,Groups!BA:BA),"True","False")</f>
        <v>True</v>
      </c>
      <c r="CH27" s="25" t="str">
        <f>IF(_xlfn.XLOOKUP(_xlfn.XLOOKUP(B27,'Base stats'!B:B,'Base stats'!E:E),Groups!A:A,Groups!AZ:AZ),"True","False")</f>
        <v>False</v>
      </c>
      <c r="CM27" s="16"/>
    </row>
    <row r="28" spans="1:91" ht="16.5" thickTop="1" thickBot="1" x14ac:dyDescent="0.3">
      <c r="A28" s="26" t="str">
        <f>_xlfn.XLOOKUP(B28,'Base stats'!B:B,'Base stats'!A:A)</f>
        <v>Megasloth</v>
      </c>
      <c r="B28" s="6" t="s">
        <v>170</v>
      </c>
      <c r="C28" s="28" t="s">
        <v>715</v>
      </c>
      <c r="D28" s="28" t="s">
        <v>45</v>
      </c>
      <c r="E28" s="28" t="s">
        <v>685</v>
      </c>
      <c r="F28" s="28" t="s">
        <v>685</v>
      </c>
      <c r="G28" s="2">
        <f>MROUND((
  (IF(AND(_xlfn.XLOOKUP(B28,'Base stats'!B:B,'Base stats'!AI:AI)=0,BG28="None",_xlfn.XLOOKUP('Base stats'!E28,Groups!A:A,Groups!B:B)=0), (18 + BP28 * 2.7) * 0.5,
    IF(AND(_xlfn.XLOOKUP(B28,'Base stats'!B:B,'Base stats'!AI:AI)=0,OR(AN28&lt;0.55,AND(BG28="Intermediate",_xlfn.XLOOKUP('Base stats'!E28,Groups!A:A,Groups!B:B)&lt;2))), (18 + BP28 * 2.7),
      IF(OR(BG28="Advanced",_xlfn.XLOOKUP(B28,'Base stats'!B:B,'Base stats'!AI:AI)=1,_xlfn.XLOOKUP('Base stats'!E28,Groups!A:A,Groups!B:B)=2), (18 + BP28 * 2.7) + 250, (18 + BP28 * 2.7))
    )
  ))
  + AN28 * 80
  + IF(COUNTIF(EggMilk!K$2:K$998, A28) &gt; 0, 125, 0)
  + IF(COUNTIF(EggMilk!P$2:P$998, A28) &gt; 0, 90, 0)
  + IF(COUNTIF(EggMilk!A$2:A$998, A28) &gt; 0, 90, 0)
)
* (0.8 + 0.4 * I28)
* 0.75,25)</f>
        <v>2125</v>
      </c>
      <c r="H28" s="2">
        <f>MROUND(ROUNDDOWN(_xlfn.XLOOKUP(B28,'Base stats'!B:B,'Base stats'!L:L)/3.6/(23.3/11),1),0.5)</f>
        <v>3.5</v>
      </c>
      <c r="I28" s="2">
        <f>IF(_xlfn.XLOOKUP(B28,'Base stats'!B:B,'Base stats'!AI:AI)=1,0.99,MIN(MROUND((1-0.6282*EXP(-0.459*AN28))*_xlfn.XLOOKUP(_xlfn.XLOOKUP(B28,'Base stats'!B:B,'Base stats'!E:E),Groups!A:A,Groups!C:C)*IF(_xlfn.XLOOKUP(B28,'Base stats'!B:B,'Base stats'!O:O)=1,0.5,IF(_xlfn.XLOOKUP(B28,'Base stats'!B:B,'Base stats'!O:O)=2,0,1)),0.05),0.985))</f>
        <v>0.95000000000000007</v>
      </c>
      <c r="J28" s="2">
        <f>ROUNDUP(AN28*_xlfn.XLOOKUP(_xlfn.XLOOKUP(B28,'Base stats'!B:B,'Base stats'!E:E),Groups!A:A,Groups!E:E),0)</f>
        <v>24</v>
      </c>
      <c r="K28" s="2">
        <f>IF(OR(_xlfn.XLOOKUP(_xlfn.XLOOKUP(B28,'Base stats'!B:B,'Base stats'!E:E),Groups!A:A,Groups!F:F)=2,ISNUMBER(SEARCH("SeaIce",BV28)),ISNUMBER(SEARCH("IceSheet",BV28))),-50,IF(OR(ISNUMBER(SEARCH("GlacialPlain",BV28)),ISNUMBER(SEARCH("Tundra",BV28))),-40,IF(OR(ISNUMBER(SEARCH("Alpine",BV28)),ISNUMBER(SEARCH("BorealForest",BV28)),ISNUMBER(SEARCH("ColdBog",BV28))),-30,IF(OR(ISNUMBER(SEARCH("TemperateForest",BV28)),ISNUMBER(SEARCH("TemperateSwamp",BV28))),-20,IF(_xlfn.XLOOKUP(_xlfn.XLOOKUP(B28,'Base stats'!B:B,'Base stats'!E:E),Groups!A:A,Groups!F:F)=1,-15,IF(OR(ISNUMBER(SEARCH("Desert",BV28)),ISNUMBER(SEARCH("ExtremeDesert",BV28))),-10,IF(OR(ISNUMBER(SEARCH("Grasslands",BV28)),ISNUMBER(SEARCH("TropicalRainforest",BV28)),ISNUMBER(SEARCH("TropicalSwamp",BV28))),10,0)))))))-IF(CA28="False",MIN(IFERROR(MAX(MROUND(LOG10(_xlfn.XLOOKUP(B28,'Base stats'!B:B,'Base stats'!C:C)^(2/3))*10,5),5),5),30))-_xlfn.XLOOKUP(B28,'Base stats'!B:B,'Base stats'!P:P)+IF(CA28="True",5,0)</f>
        <v>-65</v>
      </c>
      <c r="L28" s="2">
        <f>IF(OR(_xlfn.XLOOKUP(_xlfn.XLOOKUP(B28,'Base stats'!B:B,'Base stats'!E:E),Groups!A:A,Groups!G:G)=2,ISNUMBER(SEARCH("Desert",BV28)),ISNUMBER(SEARCH("ExtremeDesert",BV28)),ISNUMBER(SEARCH("LavaField",BV28))),50,IF(ISNUMBER(SEARCH("Grasslands",BV28)),45,IF(OR(_xlfn.XLOOKUP(_xlfn.XLOOKUP(B28,'Base stats'!B:B,'Base stats'!E:E),Groups!A:A,Groups!G:G)=1,ISNUMBER(SEARCH("TropicalRainforest",BV28)),ISNUMBER(SEARCH("TropicalSwamp",BV28))),40,IF(OR(ISNUMBER(SEARCH("TemperateForest",BV28)),ISNUMBER(SEARCH("TemperateSwamp",BV28))),35,IF(OR(ISNUMBER(SEARCH("Alpine",BV28)),ISNUMBER(SEARCH("BorealForest",BV28)),ISNUMBER(SEARCH("ColdBog",BV28))),30,IF(ISNUMBER(OR(ISNUMBER(SEARCH("GlacialPlain",BV28)),SEARCH("Tundra",BV28))),25,IF(OR(ISNUMBER(SEARCH("SeaIce",BV28)),ISNUMBER(SEARCH("IceSheet",BV28)),ISNUMBER(SEARCH("TropicalSwamp",BV28))),10,35)))))))+_xlfn.XLOOKUP(B28,'Base stats'!B:B,'Base stats'!Q:Q)</f>
        <v>45</v>
      </c>
      <c r="M28" s="8">
        <f>IF(_xlfn.XLOOKUP(_xlfn.XLOOKUP(B28,'Base stats'!B:B,'Base stats'!E:E),Groups!A:A,Groups!L:L)=1,MIN(MROUND(_xlfn.XLOOKUP(B28,'Animals CE'!B:B,'Animals CE'!Z:Z)/2+0.05,0.05),200%),"No")</f>
        <v>0.2</v>
      </c>
      <c r="N28" s="8">
        <f>IF(_xlfn.XLOOKUP(_xlfn.XLOOKUP(B28,'Base stats'!B:B,'Base stats'!E:E),Groups!A:A,Groups!L:L)=1,MIN(MROUND(_xlfn.XLOOKUP(B28,'Animals CE'!B:B,'Animals CE'!AA:AA)/2+0.05,0.05),200%),"No")</f>
        <v>0.2</v>
      </c>
      <c r="O28" s="2" t="str">
        <f>_xlfn.XLOOKUP(B28,'Base stats'!B:B,'Base stats'!R:R)</f>
        <v>Standard</v>
      </c>
      <c r="P28" s="13">
        <f>MROUND((LOG10(_xlfn.XLOOKUP(B28,'Base stats'!B:B,'Base stats'!AO:AO))*(AN28^0.5)+(_xlfn.XLOOKUP(B28,'Base stats'!B:B,'Base stats'!AO:AO)/1000)^(2/3)+_xlfn.XLOOKUP(B28,'Base stats'!B:B,'Base stats'!AX:AX)/2)+0.5,0.5)</f>
        <v>33</v>
      </c>
      <c r="Q28" s="7">
        <f>IF(P28="No","No",MAX(1,MROUND(_xlfn.XLOOKUP(B28,'Base stats'!B:B,'Base stats'!C:C)^0.165,0.05)))</f>
        <v>3.9000000000000004</v>
      </c>
      <c r="R28" s="13" t="str">
        <f>IF(_xlfn.XLOOKUP(_xlfn.XLOOKUP(B28,'Base stats'!B:B,'Base stats'!E:E),Groups!A:A,Groups!P:P)=0,"No",MROUND((LOG10(_xlfn.XLOOKUP(B28,'Base stats'!B:B,'Base stats'!AP:AP))*(AN28^0.5)+(_xlfn.XLOOKUP(B28,'Base stats'!B:B,'Base stats'!AP:AP)/1000)^(2/3)+_xlfn.XLOOKUP(B28,'Base stats'!B:B,'Base stats'!AX:AX))+_xlfn.XLOOKUP(B28,'Base stats'!B:B,'Base stats'!AV:AV)+0.5,0.5))</f>
        <v>No</v>
      </c>
      <c r="S28" s="7" t="str">
        <f>IF(R28="No","No",MAX(_xlfn.XLOOKUP(_xlfn.XLOOKUP(B28,'Base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T28" s="7" t="str">
        <f>IF(R28="No","No",_xlfn.XLOOKUP(_xlfn.XLOOKUP(B28,'Base stats'!B:B,'Base stats'!E:E),Groups!A:A,Groups!R:R))</f>
        <v>No</v>
      </c>
      <c r="U28" s="7" t="str">
        <f>IF(R28="No","No",_xlfn.XLOOKUP(_xlfn.XLOOKUP(B28,'Base stats'!B:B,'Base stats'!E:E),Groups!A:A,Groups!S:S))</f>
        <v>No</v>
      </c>
      <c r="V28" s="7" t="str">
        <f>IF(R28="No","No",_xlfn.XLOOKUP(_xlfn.XLOOKUP(B28,'Base stats'!B:B,'Base stats'!E:E),Groups!A:A,Groups!T:T))</f>
        <v>No</v>
      </c>
      <c r="W28" s="13" t="str">
        <f>IF(_xlfn.XLOOKUP(B28,'Base stats'!B:B,'Base stats'!W:W)="No","No",MROUND((LOG10(_xlfn.XLOOKUP(B28,'Base stats'!B:B,'Base stats'!AR:AR))*(AN28^0.5)+(_xlfn.XLOOKUP(B28,'Base stats'!B:B,'Base stats'!AR:AR)/1000)^(2/3)+_xlfn.XLOOKUP(B28,'Base stats'!B:B,'Base stats'!AW:AW))+0.5+IF(_xlfn.XLOOKUP(_xlfn.XLOOKUP(B28,'Base stats'!B:B,'Base stats'!E:E),Groups!A:A,Groups!U:U)&lt;&gt;3,_xlfn.XLOOKUP(B28,'Base stats'!B:B,'Base stats'!AX:AX),0),0.5))</f>
        <v>No</v>
      </c>
      <c r="X28" s="7" t="str">
        <f>IF(W28="No","No",MAX(_xlfn.XLOOKUP(_xlfn.XLOOKUP(B28,'Base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Y28" s="7" t="str">
        <f>IF(W28="No","No",_xlfn.XLOOKUP(_xlfn.XLOOKUP(B28,'Base stats'!B:B,'Base stats'!E:E),Groups!A:A,Groups!W:W))</f>
        <v>No</v>
      </c>
      <c r="Z28" s="7" t="str">
        <f>IF(W28="No","No",_xlfn.XLOOKUP(_xlfn.XLOOKUP(B28,'Base stats'!B:B,'Base stats'!E:E),Groups!A:A,Groups!X:X))</f>
        <v>No</v>
      </c>
      <c r="AA28" s="7" t="str">
        <f>IF(W28="No","No",_xlfn.XLOOKUP(_xlfn.XLOOKUP(B28,'Base stats'!B:B,'Base stats'!E:E),Groups!A:A,Groups!Y:Y))</f>
        <v>No</v>
      </c>
      <c r="AB28" s="7" t="str">
        <f>_xlfn.XLOOKUP(Animals!B28,'Base stats'!B:B,'Base stats'!X:X)</f>
        <v>False</v>
      </c>
      <c r="AC28" s="13">
        <f>IF(_xlfn.XLOOKUP(B28,'Base stats'!B:B,'Base stats'!AQ:AQ)="No","No",MROUND((LOG10(_xlfn.XLOOKUP(B28,'Base stats'!B:B,'Base stats'!AQ:AQ))*(AN28^0.75)+(_xlfn.XLOOKUP(B28,'Base stats'!B:B,'Base stats'!AQ:AQ)/1000)^(2/3)+_xlfn.XLOOKUP(B28,'Base stats'!B:B,'Base stats'!AU:AU)+_xlfn.XLOOKUP(B28,'Base stats'!B:B,'Base stats'!AX:AX))+0.5,0.5))</f>
        <v>38</v>
      </c>
      <c r="AD28" s="7">
        <f>IF(AC28="No","No",MAX(_xlfn.XLOOKUP(_xlfn.XLOOKUP(B28,'Base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E28" s="7" t="str">
        <f>IF(AC28="No","No",_xlfn.XLOOKUP(_xlfn.XLOOKUP(B28,'Base stats'!B:B,'Base stats'!E:E),Groups!A:A,Groups!AA:AA))</f>
        <v>Teeth</v>
      </c>
      <c r="AF28" s="7" t="str">
        <f>IF(AC28="No","No",_xlfn.XLOOKUP(_xlfn.XLOOKUP(B28,'Base stats'!B:B,'Base stats'!E:E),Groups!A:A,Groups!AB:AB))</f>
        <v>teeth</v>
      </c>
      <c r="AG28" s="7" t="str">
        <f>IF(AC28="No","No",_xlfn.XLOOKUP(_xlfn.XLOOKUP(B28,'Base stats'!B:B,'Base stats'!E:E),Groups!A:A,Groups!AC:AC))</f>
        <v>Bite</v>
      </c>
      <c r="AH28" s="13">
        <f>IF(_xlfn.XLOOKUP(_xlfn.XLOOKUP(B28,'Base stats'!B:B,'Base stats'!E:E),Groups!A:A,Groups!AD:AD)=0,"No",MROUND((LOG10(_xlfn.XLOOKUP(B28,'Base stats'!B:B,'Base stats'!AP:AP))*(AN28^0.75)+(_xlfn.XLOOKUP(B28,'Base stats'!B:B,'Base stats'!AP:AP)/1000)^(2/3)+_xlfn.XLOOKUP(B28,'Base stats'!B:B,'Base stats'!AV:AV)+_xlfn.XLOOKUP(B28,'Base stats'!B:B,'Base stats'!AX:AX))+0.5,0.5))</f>
        <v>48</v>
      </c>
      <c r="AI28" s="7">
        <f>IF(AH28="No","No",MAX(_xlfn.XLOOKUP(_xlfn.XLOOKUP(B28,'Base stats'!B:B,'Base stats'!E:E),Groups!A:A,Groups!AE:AE),MROUND(_xlfn.XLOOKUP(_xlfn.XLOOKUP(B28,'Base stats'!B:B,'Base stats'!E:E),Groups!A:A,Groups!AE:AE)*_xlfn.XLOOKUP(B28,'Base stats'!B:B,'Base stats'!C:C)^0.165,0.05)))</f>
        <v>2.5</v>
      </c>
      <c r="AJ28" s="7" t="str">
        <f>IF(AH28="No","No",_xlfn.XLOOKUP(_xlfn.XLOOKUP(B28,'Base stats'!B:B,'Base stats'!E:E),Groups!A:A,Groups!AF:AF))</f>
        <v>FrontRightPaw, FrontRightPaw</v>
      </c>
      <c r="AK28" s="7" t="str">
        <f>IF(AH28="No","No",_xlfn.XLOOKUP(_xlfn.XLOOKUP(B28,'Base stats'!B:B,'Base stats'!E:E),Groups!A:A,Groups!AG:AG))</f>
        <v>left claw, right claw</v>
      </c>
      <c r="AL28" s="7" t="str">
        <f>IF(AH28="No","No",_xlfn.XLOOKUP(_xlfn.XLOOKUP(B28,'Base stats'!B:B,'Base stats'!E:E),Groups!A:A,Groups!AH:AH))</f>
        <v>Scratch</v>
      </c>
      <c r="AM28" s="2" t="str">
        <f t="shared" si="0"/>
        <v>No</v>
      </c>
      <c r="AN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O28" s="8">
        <f>MROUND(AN28*_xlfn.XLOOKUP(_xlfn.XLOOKUP(B28,'Base stats'!B:B,'Base stats'!E:E),Groups!A:A,Groups!AI:AI),0.05)</f>
        <v>5.7</v>
      </c>
      <c r="AP28" s="8">
        <f>MAX(0.01,MROUND(IF(CA28="True",0.196*(AN28*100*1000)^0.889,IF(_xlfn.XLOOKUP(_xlfn.XLOOKUP(B28,'Base stats'!B:B,'Base stats'!E:E),Groups!A:A,Groups!AJ:AJ)="Bird",10.5*(AN28*100*1000)^0.681,4.82*(AN28*100*1000)^0.734))/(4.82*(1*100*1000)^0.734)/IF(AN28&lt;3.5,2,IF(AN28=3.5,1.5,1.25))*(1+0.132282374779864/(AN28^0.994035016789033+0.00905238001496948)),0.05))</f>
        <v>2.6</v>
      </c>
      <c r="AQ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R28" s="35">
        <f>IFERROR(IF(_xlfn.XLOOKUP(B28,'Base stats'!B:B,'Base stats'!F:F)="Lay eggs","Lay eggs",MIN(20,MAX(5.5,ROUND(((_xlfn.XLOOKUP(B28,'Base stats'!B:B,'Base stats'!F:F)-25)*(14.5/615) + 5.5)*2,0)/2))),"Cannot breed")</f>
        <v>15.5</v>
      </c>
      <c r="AS28" s="8">
        <f>IF(OR(A28="Queen",A28="Larva"),"No",IFERROR(MAX(IF(_xlfn.XLOOKUP(B28,'Base stats'!B:B,'Base stats'!G:G)&lt;0.5,0.2,0.3),MROUND(_xlfn.XLOOKUP(B28,'Base stats'!B:B,'Base stats'!G:G)/(365/60),0.2)),"Unknown"))</f>
        <v>1.6</v>
      </c>
      <c r="AT28" s="8">
        <f t="shared" si="1"/>
        <v>0.8</v>
      </c>
      <c r="AU28" s="8">
        <f>IFERROR(IFERROR(MROUND(_xlfn.XLOOKUP(B28,'Base stats'!B:B,'Base stats'!J:J),0.1),"Lay eggs"),"Cannot breed")</f>
        <v>1</v>
      </c>
      <c r="AV28" s="2" t="str">
        <f t="shared" si="2"/>
        <v>false</v>
      </c>
      <c r="AW28" s="2" t="str">
        <f>IF(_xlfn.XLOOKUP(_xlfn.XLOOKUP(Animals!B28,'Base stats'!B:B,'Base stats'!E:E),Groups!A:A,Groups!AK:AK)=1,"true","false")</f>
        <v>false</v>
      </c>
      <c r="AX28" s="25" t="str">
        <f>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</f>
        <v>VegetarianRoughAnimal</v>
      </c>
      <c r="AY28" s="2" t="str">
        <f>IF(_xlfn.XLOOKUP(_xlfn.XLOOKUP(B28,'Base stats'!B:B,'Base stats'!E:E),Groups!A:A,Groups!D:D)=1,MROUND((1-I28)*5+1,2)*IF(I28&lt;=0.4,2,1),"No")</f>
        <v>No</v>
      </c>
      <c r="AZ28" s="2" t="str">
        <f>_xlfn.XLOOKUP(B28,'Base stats'!B:B,'Base stats'!AE:AE)</f>
        <v>Leather_Heavy</v>
      </c>
      <c r="BA28" s="23" t="str">
        <f>_xlfn.XLOOKUP(_xlfn.XLOOKUP(B28,'Base stats'!B:B,'Base stats'!E:E),Groups!A:A,Groups!AL:AL)</f>
        <v>QuadrupedAnimalWithPawsAndTail</v>
      </c>
      <c r="BB28" s="23">
        <f>MROUND(IF(AND(AN28&lt;0.5,_xlfn.XLOOKUP(B28,'Base stats'!B:B,'Base stats'!Z:Z)=0),0,IF(OR(_xlfn.XLOOKUP(Animals!B28,'Base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stats'!AA:AA),0.005)</f>
        <v>0.05</v>
      </c>
      <c r="BC28" s="23">
        <f>MROUND(IF(AND(AN28&lt;0.5,_xlfn.XLOOKUP(B28,'Base stats'!B:B,'Base stats'!Z:Z)=0),0,IF(_xlfn.XLOOKUP(_xlfn.XLOOKUP(B28,'Base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stats'!AB:AB),0.005)</f>
        <v>0.3</v>
      </c>
      <c r="BD28" s="2" t="str">
        <f>IF(I28&gt;0.3,"No",_xlfn.XLOOKUP(_xlfn.XLOOKUP(Animals!B28,'Base stats'!B:B,'Base stats'!E:E),Groups!A:A,Groups!AP:AP))</f>
        <v>No</v>
      </c>
      <c r="BE28" s="2" t="str">
        <f>IF(AND(I28&lt;=0.65,_xlfn.XLOOKUP(_xlfn.XLOOKUP(Animals!B28,'Base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stats'!O:O)=2,0.2,AN28) + 24*(1-IF(BD28="No",0,BD28)) + 16/3, 12),"No")</f>
        <v>No</v>
      </c>
      <c r="BF28" s="2">
        <f>IF(AND(_xlfn.XLOOKUP(_xlfn.XLOOKUP(B28,'Base stats'!B:B,'Base stats'!E:E),Groups!A:A,Groups!AQ:AQ)=1,AN28&lt;=0.35),8,12)</f>
        <v>12</v>
      </c>
      <c r="BG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H28" s="2" t="str">
        <f>IF(AND(_xlfn.XLOOKUP(_xlfn.XLOOKUP(B28,'Base stats'!B:B,'Base stats'!E:E),Groups!A:A,Groups!AS:AS)=1,OR('Base stats'!Y28="Carnivore",'Base stats'!Y28="Omnivore")),"true","false")</f>
        <v>false</v>
      </c>
      <c r="BI28" s="2" t="str">
        <f>IF(BH28="true",MROUND(IF(AND(AN28&gt;0.5,_xlfn.XLOOKUP(_xlfn.XLOOKUP(B28,'Base stats'!B:B,'Base stats'!E:E),Groups!A:A,Groups!AJ:AJ)="Mammal"),Animals!AN28*1.75*IF(AV28="true",1.5,1),Animals!AN28),IF(AN28&gt;2,0.5,IF(AN28&gt;0.5,0.25,0.1))),"No")</f>
        <v>No</v>
      </c>
      <c r="BJ28" s="2">
        <f t="shared" si="3"/>
        <v>1</v>
      </c>
      <c r="BK28" s="25" t="str">
        <f>IF('Base stats'!AK28="Standard","No",MROUND((_xlfn.XLOOKUP(B28,'Base stats'!B:B,'Base stats'!AK:AK)/3.6)/H28,0.1))</f>
        <v>No</v>
      </c>
      <c r="BL28" s="25" t="str">
        <f t="shared" si="4"/>
        <v>false</v>
      </c>
      <c r="BM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N28" s="25" t="str" cm="1">
        <f t="array" ref="BN28">IF(
  _xlfn.TEXTJOIN(", ",TRUE,
    IF(AND(BH28="true",AN28&gt;0.5,BG28&lt;&gt;"None"),"AttackTarget",""),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IF(BE28&lt;=36,"Comfort",""),
    IF(_xlfn.XLOOKUP(B28,'Base stats'!B:B,'Base stats'!AC:AC)&lt;&gt;"No",_xlfn.XLOOKUP(B28,'Base stats'!B:B,'Base stats'!AC:AC),"")
  ) = "",
  "No",
  _xlfn.TEXTJOIN(", ",TRUE,
    IF(AND(BH28="true",AN28&gt;0.5,BG28&lt;&gt;"None"),"AttackTarget",""),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IF(BE28&lt;=36,"Comfort",""),
    IF(_xlfn.XLOOKUP(B28,'Base stats'!B:B,'Base stats'!AC:AC)&lt;&gt;"No",_xlfn.XLOOKUP(B28,'Base stats'!B:B,'Base stats'!AC:AC),"")
  )
)</f>
        <v>Dig</v>
      </c>
      <c r="BO28" s="25" t="str">
        <f>IF(
   AND(
      'Base stats'!AK28="Standard",_xlfn.XLOOKUP(_xlfn.XLOOKUP(B28,'Base stats'!B:B,'Base stats'!E:E),Groups!A:A,Groups!AU:AU)=0,
      OR(
      BM28="True"
      )
   ),
   10,
   IF(
       OR(BK28&lt;&gt;"No",_xlfn.XLOOKUP(_xlfn.XLOOKUP(B28,'Base stats'!B:B,'Base stats'!E:E),Groups!A:A,Groups!AU:AU)=1),
      1,
      "No"
   )
)</f>
        <v>No</v>
      </c>
      <c r="BP28" s="9">
        <f>MROUND((1 + ((0.2*IF(OR(P28="No",Q28="No",Q28=0),0,P28/Q28)
+IF(OR(U28="No",R28="No",S28="No"),0,R28/S28*(LEN(U28)-LEN(SUBSTITUTE(U28,",",""))+1))
+IF(OR(W28="No",X28="No"),0,W28/X28)
+IF(OR(AC28="No",AD28="No"),0,AC28/AD28)
+IF(OR(AK28="No",AH28="No",AI28="No"),0,AH28/AI28*(LEN(AK28)-LEN(SUBSTITUTE(AK28,",",""))+1))
)/(0.2*IF(OR(P28="No",Q28="No",Q28=0),0,1)
+IF(OR(U28="No",R28="No",S28="No"),0,LEN(U28)-LEN(SUBSTITUTE(U28,",",""))+1)
+IF(OR(W28="No",X28="No"),0,1)
+IF(OR(AC28="No",AD28="No"),0,1)
+IF(OR(AK28="No",AH28="No",AI28="No"),0,LEN(AK28)-LEN(SUBSTITUTE(AK28,",",""))+1))*62%)* 2)*(1 + (AO28 + _xlfn.XLOOKUP(B28,'Base stats'!B:B,'Base stats'!AS:AS) * 1.8) * 2) * 2.5 + 10 + H28 * 2,5)+IF(_xlfn.XLOOKUP(B28,'Base stats'!B:B,'Base stats'!AH:AH)=1,50,0)</f>
        <v>705</v>
      </c>
      <c r="BQ28" s="8">
        <f t="shared" si="5"/>
        <v>3.0500000000000003</v>
      </c>
      <c r="BR28" s="8" t="str">
        <f>_xlfn.XLOOKUP(B28,'Base stats'!B:B,'Base stats'!AD:AD)</f>
        <v>No</v>
      </c>
      <c r="BS28" s="2" t="str">
        <f>IF(AND(I28&lt;=0.95,OR(_xlfn.XLOOKUP(B28,'Base stats'!B:B,'Base stats'!AH:AH)=1,_xlfn.XLOOKUP(B28,'Base stats'!B:B,'Base stats'!Y:Y)="Carnivore",_xlfn.XLOOKUP(B28,'Base stats'!B:B,'Base stats'!Y:Y)="Omnivore",BC28&gt;0.1)),"true","false")</f>
        <v>true</v>
      </c>
      <c r="BT28" s="2" t="str">
        <f>IF(_xlfn.XLOOKUP(B28,'Base stats'!B:B,'Base stats'!AF:AF)=1,"true","false")</f>
        <v>false</v>
      </c>
      <c r="BU28" s="25" t="str">
        <f>IF(E28="BaseInsect","AnimalInsect",
IF(I28&gt;0.95,"AnimalExotic",
_xlfn.TEXTJOIN(", ",TRUE,
IF(AND(_xlfn.XLOOKUP(B28,'Base stats'!B:B,'Base stats'!O:O)=0,_xlfn.XLOOKUP(_xlfn.XLOOKUP(B28,'Base stats'!B:B,'Base stats'!E:E),Groups!A:A,Groups!B:B)&gt;0),"AnimalUncommon","AnimalCommon"),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stats'!AH:AH)=1,AND(BG28&lt;&gt;"None",BP28&gt;=60),ISNUMBER(SEARCH("Attack target",BN28))),"AnimalFighter","")
)))</f>
        <v>AnimalUncommon, AnimalFighter</v>
      </c>
      <c r="BV28" s="25" t="str">
        <f>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</f>
        <v>BorealForest ColdBog TemperateForest TemperateSwamp Grasslands GlacialPlain</v>
      </c>
      <c r="BW28" s="25" t="str">
        <f>IF(_xlfn.XLOOKUP(B28,'Base stats'!B:B,'Base stats'!AG:AG)=1,"true","false")</f>
        <v>false</v>
      </c>
      <c r="BX28" s="25">
        <f>IF(_xlfn.XLOOKUP(B28,'Base stats'!B:B,'Base stats'!N:N)=1,"No",MIN(MROUND(IF(OR(_xlfn.XLOOKUP(B28,'Base stats'!B:B,'Base stats'!AJ:AJ)=1,AND(BH28="True",CA28="False")),POWER(10,3.47*LOG10(_xlfn.XLOOKUP(B28,'Base stats'!B:B,'Base stats'!C:C)*1000)^-0.96),POWER(10,4.15*LOG10(_xlfn.XLOOKUP(B28,'Base stats'!B:B,'Base stats'!C:C)*1000)^-0.73))*IF(OR(_xlfn.XLOOKUP(B28,'Base stats'!B:B,'Base stats'!AJ:AJ)=1,_xlfn.XLOOKUP(B28,'Base stats'!B:B,'Base stats'!AH:AH)=1),0.5,1)/100,0.025),1))</f>
        <v>0.1</v>
      </c>
      <c r="BY28" s="25" t="str">
        <f>IF(O28="Standard","No",IF(_xlfn.XLOOKUP(B28,'Base stats'!B:B,'Base stats'!N:N)=0,MROUND(BX28*O28,0.05),MIN(1,MAX(0.025,MROUND(IF(OR(CA28="true",AND(BH28="false",BM28="false")),POWER(10,4.15*LOG10(_xlfn.XLOOKUP(B28,'Base stats'!B:B,'Base stats'!C:C)*1000)^-0.73),POWER(10,3.47*LOG10(_xlfn.XLOOKUP(B28,'Base stats'!B:B,'Base stats'!C:C)*1000)^-0.96))*IF(_xlfn.XLOOKUP(B28,'Base stats'!B:B,'Base stats'!AH:AH)=1,0.5,1)/100,0.025)))))</f>
        <v>No</v>
      </c>
      <c r="BZ28" s="25" t="str">
        <f>IF(_xlfn.XLOOKUP(_xlfn.XLOOKUP(B28,'Base stats'!B:B,'Base stats'!E:E),Groups!A:A,Groups!AJ:AJ)="Mammal","True","False")</f>
        <v>True</v>
      </c>
      <c r="CA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B28" s="25" t="str">
        <f t="shared" si="6"/>
        <v>False</v>
      </c>
      <c r="CC28" s="25" t="str">
        <f>IF(_xlfn.XLOOKUP(_xlfn.XLOOKUP(B28,'Base stats'!B:B,'Base stats'!E:E),Groups!A:A,Groups!AW:AW),"True","False")</f>
        <v>False</v>
      </c>
      <c r="CD28" s="25" t="str">
        <f>IF(_xlfn.XLOOKUP(_xlfn.XLOOKUP(B28,'Base stats'!B:B,'Base stats'!E:E),Groups!A:A,Groups!AX:AX),"True","False")</f>
        <v>False</v>
      </c>
      <c r="CE28" s="25" t="str">
        <f>IF(_xlfn.XLOOKUP(B28,'Base stats'!B:B,'Base stats'!E:E)=1,"True","False")</f>
        <v>False</v>
      </c>
      <c r="CF28" s="25" t="str">
        <f>IF(
OR(
_xlfn.XLOOKUP(_xlfn.XLOOKUP(B28,'Base stats'!B:B,'Base stats'!E:E),Groups!A:A,Groups!AY:AY)=0,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stats'!E:E),Groups!A:A,Groups!AY:AY)=1,
"Flesh",
IF(
_xlfn.XLOOKUP(_xlfn.XLOOKUP(B28,'Base stats'!B:B,'Base stats'!E:E),Groups!A:A,Groups!AY:AY)=2,
"Bone",
""
)
)
)</f>
        <v>No</v>
      </c>
      <c r="CG28" s="25" t="str">
        <f>IF(_xlfn.XLOOKUP(_xlfn.XLOOKUP(B28,'Base stats'!B:B,'Base stats'!E:E),Groups!A:A,Groups!BA:BA),"True","False")</f>
        <v>True</v>
      </c>
      <c r="CH28" s="25" t="str">
        <f>IF(_xlfn.XLOOKUP(_xlfn.XLOOKUP(B28,'Base stats'!B:B,'Base stats'!E:E),Groups!A:A,Groups!AZ:AZ),"True","False")</f>
        <v>False</v>
      </c>
    </row>
    <row r="29" spans="1:91" ht="16.5" thickTop="1" thickBot="1" x14ac:dyDescent="0.3">
      <c r="A29" s="26" t="str">
        <f>_xlfn.XLOOKUP(B29,'Base stats'!B:B,'Base stats'!A:A)</f>
        <v>Boar</v>
      </c>
      <c r="B29" s="6" t="s">
        <v>108</v>
      </c>
      <c r="C29" s="28" t="s">
        <v>716</v>
      </c>
      <c r="D29" s="28" t="s">
        <v>45</v>
      </c>
      <c r="E29" s="28" t="s">
        <v>685</v>
      </c>
      <c r="F29" s="28" t="s">
        <v>685</v>
      </c>
      <c r="G29" s="2">
        <f>MROUND((
  (IF(AND(_xlfn.XLOOKUP(B29,'Base stats'!B:B,'Base stats'!AI:AI)=0,BG29="None",_xlfn.XLOOKUP('Base stats'!E29,Groups!A:A,Groups!B:B)=0), (18 + BP29 * 2.7) * 0.5,
    IF(AND(_xlfn.XLOOKUP(B29,'Base stats'!B:B,'Base stats'!AI:AI)=0,OR(AN29&lt;0.55,AND(BG29="Intermediate",_xlfn.XLOOKUP('Base stats'!E29,Groups!A:A,Groups!B:B)&lt;2))), (18 + BP29 * 2.7),
      IF(OR(BG29="Advanced",_xlfn.XLOOKUP(B29,'Base stats'!B:B,'Base stats'!AI:AI)=1,_xlfn.XLOOKUP('Base stats'!E29,Groups!A:A,Groups!B:B)=2), (18 + BP29 * 2.7) + 250, (18 + BP29 * 2.7))
    )
  ))
  + AN29 * 80
  + IF(COUNTIF(EggMilk!K$2:K$998, A29) &gt; 0, 125, 0)
  + IF(COUNTIF(EggMilk!P$2:P$998, A29) &gt; 0, 90, 0)
  + IF(COUNTIF(EggMilk!A$2:A$998, A29) &gt; 0, 90, 0)
)
* (0.8 + 0.4 * I29)
* 0.75,25)</f>
        <v>250</v>
      </c>
      <c r="H29" s="2">
        <f>MROUND(ROUNDDOWN(_xlfn.XLOOKUP(B29,'Base stats'!B:B,'Base stats'!L:L)/3.6/(23.3/11),1),0.5)</f>
        <v>5</v>
      </c>
      <c r="I29" s="2">
        <f>IF(_xlfn.XLOOKUP(B29,'Base stats'!B:B,'Base stats'!AI:AI)=1,0.99,MIN(MROUND((1-0.6282*EXP(-0.459*AN29))*_xlfn.XLOOKUP(_xlfn.XLOOKUP(B29,'Base stats'!B:B,'Base stats'!E:E),Groups!A:A,Groups!C:C)*IF(_xlfn.XLOOKUP(B29,'Base stats'!B:B,'Base stats'!O:O)=1,0.5,IF(_xlfn.XLOOKUP(B29,'Base stats'!B:B,'Base stats'!O:O)=2,0,1)),0.05),0.985))</f>
        <v>0.70000000000000007</v>
      </c>
      <c r="J29" s="2">
        <f>ROUNDUP(AN29*_xlfn.XLOOKUP(_xlfn.XLOOKUP(B29,'Base stats'!B:B,'Base stats'!E:E),Groups!A:A,Groups!E:E),0)</f>
        <v>8</v>
      </c>
      <c r="K29" s="2">
        <f>IF(OR(_xlfn.XLOOKUP(_xlfn.XLOOKUP(B29,'Base stats'!B:B,'Base stats'!E:E),Groups!A:A,Groups!F:F)=2,ISNUMBER(SEARCH("SeaIce",BV29)),ISNUMBER(SEARCH("IceSheet",BV29))),-50,IF(OR(ISNUMBER(SEARCH("GlacialPlain",BV29)),ISNUMBER(SEARCH("Tundra",BV29))),-40,IF(OR(ISNUMBER(SEARCH("Alpine",BV29)),ISNUMBER(SEARCH("BorealForest",BV29)),ISNUMBER(SEARCH("ColdBog",BV29))),-30,IF(OR(ISNUMBER(SEARCH("TemperateForest",BV29)),ISNUMBER(SEARCH("TemperateSwamp",BV29))),-20,IF(_xlfn.XLOOKUP(_xlfn.XLOOKUP(B29,'Base stats'!B:B,'Base stats'!E:E),Groups!A:A,Groups!F:F)=1,-15,IF(OR(ISNUMBER(SEARCH("Desert",BV29)),ISNUMBER(SEARCH("ExtremeDesert",BV29))),-10,IF(OR(ISNUMBER(SEARCH("Grasslands",BV29)),ISNUMBER(SEARCH("TropicalRainforest",BV29)),ISNUMBER(SEARCH("TropicalSwamp",BV29))),10,0)))))))-IF(CA29="False",MIN(IFERROR(MAX(MROUND(LOG10(_xlfn.XLOOKUP(B29,'Base stats'!B:B,'Base stats'!C:C)^(2/3))*10,5),5),5),30))-_xlfn.XLOOKUP(B29,'Base stats'!B:B,'Base stats'!P:P)+IF(CA29="True",5,0)</f>
        <v>-45</v>
      </c>
      <c r="L29" s="2">
        <f>IF(OR(_xlfn.XLOOKUP(_xlfn.XLOOKUP(B29,'Base stats'!B:B,'Base stats'!E:E),Groups!A:A,Groups!G:G)=2,ISNUMBER(SEARCH("Desert",BV29)),ISNUMBER(SEARCH("ExtremeDesert",BV29)),ISNUMBER(SEARCH("LavaField",BV29))),50,IF(ISNUMBER(SEARCH("Grasslands",BV29)),45,IF(OR(_xlfn.XLOOKUP(_xlfn.XLOOKUP(B29,'Base stats'!B:B,'Base stats'!E:E),Groups!A:A,Groups!G:G)=1,ISNUMBER(SEARCH("TropicalRainforest",BV29)),ISNUMBER(SEARCH("TropicalSwamp",BV29))),40,IF(OR(ISNUMBER(SEARCH("TemperateForest",BV29)),ISNUMBER(SEARCH("TemperateSwamp",BV29))),35,IF(OR(ISNUMBER(SEARCH("Alpine",BV29)),ISNUMBER(SEARCH("BorealForest",BV29)),ISNUMBER(SEARCH("ColdBog",BV29))),30,IF(ISNUMBER(OR(ISNUMBER(SEARCH("GlacialPlain",BV29)),SEARCH("Tundra",BV29))),25,IF(OR(ISNUMBER(SEARCH("SeaIce",BV29)),ISNUMBER(SEARCH("IceSheet",BV29)),ISNUMBER(SEARCH("TropicalSwamp",BV29))),10,35)))))))+_xlfn.XLOOKUP(B29,'Base stats'!B:B,'Base stats'!Q:Q)</f>
        <v>40</v>
      </c>
      <c r="M29" s="8" t="str">
        <f>IF(_xlfn.XLOOKUP(_xlfn.XLOOKUP(B29,'Base stats'!B:B,'Base stats'!E:E),Groups!A:A,Groups!L:L)=1,MIN(MROUND(_xlfn.XLOOKUP(B29,'Animals CE'!B:B,'Animals CE'!Z:Z)/2+0.05,0.05),200%),"No")</f>
        <v>No</v>
      </c>
      <c r="N29" s="8" t="str">
        <f>IF(_xlfn.XLOOKUP(_xlfn.XLOOKUP(B29,'Base stats'!B:B,'Base stats'!E:E),Groups!A:A,Groups!L:L)=1,MIN(MROUND(_xlfn.XLOOKUP(B29,'Animals CE'!B:B,'Animals CE'!AA:AA)/2+0.05,0.05),200%),"No")</f>
        <v>No</v>
      </c>
      <c r="O29" s="2">
        <f>_xlfn.XLOOKUP(B29,'Base stats'!B:B,'Base stats'!R:R)</f>
        <v>0.8</v>
      </c>
      <c r="P29" s="13">
        <f>MROUND((LOG10(_xlfn.XLOOKUP(B29,'Base stats'!B:B,'Base stats'!AO:AO))*(AN29^0.5)+(_xlfn.XLOOKUP(B29,'Base stats'!B:B,'Base stats'!AO:AO)/1000)^(2/3)+_xlfn.XLOOKUP(B29,'Base stats'!B:B,'Base stats'!AX:AX)/2)+0.5,0.5)</f>
        <v>9.5</v>
      </c>
      <c r="Q29" s="7">
        <f>IF(P29="No","No",MAX(1,MROUND(_xlfn.XLOOKUP(B29,'Base stats'!B:B,'Base stats'!C:C)^0.165,0.05)))</f>
        <v>2.3000000000000003</v>
      </c>
      <c r="R29" s="13" t="str">
        <f>IF(_xlfn.XLOOKUP(_xlfn.XLOOKUP(B29,'Base stats'!B:B,'Base stats'!E:E),Groups!A:A,Groups!P:P)=0,"No",MROUND((LOG10(_xlfn.XLOOKUP(B29,'Base stats'!B:B,'Base stats'!AP:AP))*(AN29^0.5)+(_xlfn.XLOOKUP(B29,'Base stats'!B:B,'Base stats'!AP:AP)/1000)^(2/3)+_xlfn.XLOOKUP(B29,'Base stats'!B:B,'Base stats'!AX:AX))+_xlfn.XLOOKUP(B29,'Base stats'!B:B,'Base stats'!AV:AV)+0.5,0.5))</f>
        <v>No</v>
      </c>
      <c r="S29" s="7" t="str">
        <f>IF(R29="No","No",MAX(_xlfn.XLOOKUP(_xlfn.XLOOKUP(B29,'Base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T29" s="7" t="str">
        <f>IF(R29="No","No",_xlfn.XLOOKUP(_xlfn.XLOOKUP(B29,'Base stats'!B:B,'Base stats'!E:E),Groups!A:A,Groups!R:R))</f>
        <v>No</v>
      </c>
      <c r="U29" s="7" t="str">
        <f>IF(R29="No","No",_xlfn.XLOOKUP(_xlfn.XLOOKUP(B29,'Base stats'!B:B,'Base stats'!E:E),Groups!A:A,Groups!S:S))</f>
        <v>No</v>
      </c>
      <c r="V29" s="7" t="str">
        <f>IF(R29="No","No",_xlfn.XLOOKUP(_xlfn.XLOOKUP(B29,'Base stats'!B:B,'Base stats'!E:E),Groups!A:A,Groups!T:T))</f>
        <v>No</v>
      </c>
      <c r="W29" s="13">
        <f>IF(_xlfn.XLOOKUP(B29,'Base stats'!B:B,'Base stats'!W:W)="No","No",MROUND((LOG10(_xlfn.XLOOKUP(B29,'Base stats'!B:B,'Base stats'!AR:AR))*(AN29^0.5)+(_xlfn.XLOOKUP(B29,'Base stats'!B:B,'Base stats'!AR:AR)/1000)^(2/3)+_xlfn.XLOOKUP(B29,'Base stats'!B:B,'Base stats'!AW:AW))+0.5+IF(_xlfn.XLOOKUP(_xlfn.XLOOKUP(B29,'Base stats'!B:B,'Base stats'!E:E),Groups!A:A,Groups!U:U)&lt;&gt;3,_xlfn.XLOOKUP(B29,'Base stats'!B:B,'Base stats'!AX:AX),0),0.5))</f>
        <v>17.5</v>
      </c>
      <c r="X29" s="7">
        <f>IF(W29="No","No",MAX(_xlfn.XLOOKUP(_xlfn.XLOOKUP(B29,'Base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Y29" s="7" t="str">
        <f>IF(W29="No","No",_xlfn.XLOOKUP(_xlfn.XLOOKUP(B29,'Base stats'!B:B,'Base stats'!E:E),Groups!A:A,Groups!W:W))</f>
        <v>TuskAttackTool</v>
      </c>
      <c r="Z29" s="7" t="str">
        <f>IF(W29="No","No",_xlfn.XLOOKUP(_xlfn.XLOOKUP(B29,'Base stats'!B:B,'Base stats'!E:E),Groups!A:A,Groups!X:X))</f>
        <v>tusk</v>
      </c>
      <c r="AA29" s="7" t="str">
        <f>IF(W29="No","No",_xlfn.XLOOKUP(_xlfn.XLOOKUP(B29,'Base stats'!B:B,'Base stats'!E:E),Groups!A:A,Groups!Y:Y))</f>
        <v>Scratch</v>
      </c>
      <c r="AB29" s="7" t="str">
        <f>_xlfn.XLOOKUP(Animals!B29,'Base stats'!B:B,'Base stats'!X:X)</f>
        <v>True</v>
      </c>
      <c r="AC29" s="13">
        <f>IF(_xlfn.XLOOKUP(B29,'Base stats'!B:B,'Base stats'!AQ:AQ)="No","No",MROUND((LOG10(_xlfn.XLOOKUP(B29,'Base stats'!B:B,'Base stats'!AQ:AQ))*(AN29^0.75)+(_xlfn.XLOOKUP(B29,'Base stats'!B:B,'Base stats'!AQ:AQ)/1000)^(2/3)+_xlfn.XLOOKUP(B29,'Base stats'!B:B,'Base stats'!AU:AU)+_xlfn.XLOOKUP(B29,'Base stats'!B:B,'Base stats'!AX:AX))+0.5,0.5))</f>
        <v>19.5</v>
      </c>
      <c r="AD29" s="7">
        <f>IF(AC29="No","No",MAX(_xlfn.XLOOKUP(_xlfn.XLOOKUP(B29,'Base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E29" s="7" t="str">
        <f>IF(AC29="No","No",_xlfn.XLOOKUP(_xlfn.XLOOKUP(B29,'Base stats'!B:B,'Base stats'!E:E),Groups!A:A,Groups!AA:AA))</f>
        <v>Teeth</v>
      </c>
      <c r="AF29" s="7" t="str">
        <f>IF(AC29="No","No",_xlfn.XLOOKUP(_xlfn.XLOOKUP(B29,'Base stats'!B:B,'Base stats'!E:E),Groups!A:A,Groups!AB:AB))</f>
        <v>teeth</v>
      </c>
      <c r="AG29" s="7" t="str">
        <f>IF(AC29="No","No",_xlfn.XLOOKUP(_xlfn.XLOOKUP(B29,'Base stats'!B:B,'Base stats'!E:E),Groups!A:A,Groups!AC:AC))</f>
        <v>Bite</v>
      </c>
      <c r="AH29" s="13" t="str">
        <f>IF(_xlfn.XLOOKUP(_xlfn.XLOOKUP(B29,'Base stats'!B:B,'Base stats'!E:E),Groups!A:A,Groups!AD:AD)=0,"No",MROUND((LOG10(_xlfn.XLOOKUP(B29,'Base stats'!B:B,'Base stats'!AP:AP))*(AN29^0.75)+(_xlfn.XLOOKUP(B29,'Base stats'!B:B,'Base stats'!AP:AP)/1000)^(2/3)+_xlfn.XLOOKUP(B29,'Base stats'!B:B,'Base stats'!AV:AV)+_xlfn.XLOOKUP(B29,'Base stats'!B:B,'Base stats'!AX:AX))+0.5,0.5))</f>
        <v>No</v>
      </c>
      <c r="AI29" s="7" t="str">
        <f>IF(AH29="No","No",MAX(_xlfn.XLOOKUP(_xlfn.XLOOKUP(B29,'Base stats'!B:B,'Base stats'!E:E),Groups!A:A,Groups!AE:AE),MROUND(_xlfn.XLOOKUP(_xlfn.XLOOKUP(B29,'Base stats'!B:B,'Base stats'!E:E),Groups!A:A,Groups!AE:AE)*_xlfn.XLOOKUP(B29,'Base stats'!B:B,'Base stats'!C:C)^0.165,0.05)))</f>
        <v>No</v>
      </c>
      <c r="AJ29" s="7" t="str">
        <f>IF(AH29="No","No",_xlfn.XLOOKUP(_xlfn.XLOOKUP(B29,'Base stats'!B:B,'Base stats'!E:E),Groups!A:A,Groups!AF:AF))</f>
        <v>No</v>
      </c>
      <c r="AK29" s="7" t="str">
        <f>IF(AH29="No","No",_xlfn.XLOOKUP(_xlfn.XLOOKUP(B29,'Base stats'!B:B,'Base stats'!E:E),Groups!A:A,Groups!AG:AG))</f>
        <v>No</v>
      </c>
      <c r="AL29" s="7" t="str">
        <f>IF(AH29="No","No",_xlfn.XLOOKUP(_xlfn.XLOOKUP(B29,'Base stats'!B:B,'Base stats'!E:E),Groups!A:A,Groups!AH:AH))</f>
        <v>No</v>
      </c>
      <c r="AM29" s="2" t="str">
        <f t="shared" si="0"/>
        <v>No</v>
      </c>
      <c r="AN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O29" s="8">
        <f>MROUND(AN29*_xlfn.XLOOKUP(_xlfn.XLOOKUP(B29,'Base stats'!B:B,'Base stats'!E:E),Groups!A:A,Groups!AI:AI),0.05)</f>
        <v>1.5</v>
      </c>
      <c r="AP29" s="8">
        <f>MAX(0.01,MROUND(IF(CA29="True",0.196*(AN29*100*1000)^0.889,IF(_xlfn.XLOOKUP(_xlfn.XLOOKUP(B29,'Base stats'!B:B,'Base stats'!E:E),Groups!A:A,Groups!AJ:AJ)="Bird",10.5*(AN29*100*1000)^0.681,4.82*(AN29*100*1000)^0.734))/(4.82*(1*100*1000)^0.734)/IF(AN29&lt;3.5,2,IF(AN29=3.5,1.5,1.25))*(1+0.132282374779864/(AN29^0.994035016789033+0.00905238001496948)),0.05))</f>
        <v>0.75</v>
      </c>
      <c r="AQ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R29" s="35">
        <f>IFERROR(IF(_xlfn.XLOOKUP(B29,'Base stats'!B:B,'Base stats'!F:F)="Lay eggs","Lay eggs",MIN(20,MAX(5.5,ROUND(((_xlfn.XLOOKUP(B29,'Base stats'!B:B,'Base stats'!F:F)-25)*(14.5/615) + 5.5)*2,0)/2))),"Cannot breed")</f>
        <v>7.5</v>
      </c>
      <c r="AS29" s="8">
        <f>IF(OR(A29="Queen",A29="Larva"),"No",IFERROR(MAX(IF(_xlfn.XLOOKUP(B29,'Base stats'!B:B,'Base stats'!G:G)&lt;0.5,0.2,0.3),MROUND(_xlfn.XLOOKUP(B29,'Base stats'!B:B,'Base stats'!G:G)/(365/60),0.2)),"Unknown"))</f>
        <v>0.3</v>
      </c>
      <c r="AT29" s="8">
        <f t="shared" si="1"/>
        <v>0.15000000000000002</v>
      </c>
      <c r="AU29" s="8">
        <f>IFERROR(IFERROR(MROUND(_xlfn.XLOOKUP(B29,'Base stats'!B:B,'Base stats'!J:J),0.1),"Lay eggs"),"Cannot breed")</f>
        <v>7</v>
      </c>
      <c r="AV29" s="2" t="str">
        <f t="shared" si="2"/>
        <v>true</v>
      </c>
      <c r="AW29" s="2" t="str">
        <f>IF(_xlfn.XLOOKUP(_xlfn.XLOOKUP(Animals!B29,'Base stats'!B:B,'Base stats'!E:E),Groups!A:A,Groups!AK:AK)=1,"true","false")</f>
        <v>true</v>
      </c>
      <c r="AX29" s="25" t="str">
        <f>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</f>
        <v>OmnivoreRoughAnimal, OvivoreAnimal</v>
      </c>
      <c r="AY29" s="2">
        <f>IF(_xlfn.XLOOKUP(_xlfn.XLOOKUP(B29,'Base stats'!B:B,'Base stats'!E:E),Groups!A:A,Groups!D:D)=1,MROUND((1-I29)*5+1,2)*IF(I29&lt;=0.4,2,1),"No")</f>
        <v>2</v>
      </c>
      <c r="AZ29" s="2" t="str">
        <f>_xlfn.XLOOKUP(B29,'Base stats'!B:B,'Base stats'!AE:AE)</f>
        <v>Leather_Pig</v>
      </c>
      <c r="BA29" s="23" t="str">
        <f>_xlfn.XLOOKUP(_xlfn.XLOOKUP(B29,'Base stats'!B:B,'Base stats'!E:E),Groups!A:A,Groups!AL:AL)</f>
        <v>QuadrupedAnimalWithHoovesAndTusks</v>
      </c>
      <c r="BB29" s="23">
        <f>MROUND(IF(AND(AN29&lt;0.5,_xlfn.XLOOKUP(B29,'Base stats'!B:B,'Base stats'!Z:Z)=0),0,IF(OR(_xlfn.XLOOKUP(Animals!B29,'Base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stats'!AA:AA),0.005)</f>
        <v>2.5000000000000001E-2</v>
      </c>
      <c r="BC29" s="23">
        <f>MROUND(IF(AND(AN29&lt;0.5,_xlfn.XLOOKUP(B29,'Base stats'!B:B,'Base stats'!Z:Z)=0),0,IF(_xlfn.XLOOKUP(_xlfn.XLOOKUP(B29,'Base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stats'!AB:AB),0.005)</f>
        <v>0.1</v>
      </c>
      <c r="BD29" s="2" t="str">
        <f>IF(I29&gt;0.3,"No",_xlfn.XLOOKUP(_xlfn.XLOOKUP(Animals!B29,'Base stats'!B:B,'Base stats'!E:E),Groups!A:A,Groups!AP:AP))</f>
        <v>No</v>
      </c>
      <c r="BE29" s="2" t="str">
        <f>IF(AND(I29&lt;=0.65,_xlfn.XLOOKUP(_xlfn.XLOOKUP(Animals!B29,'Base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stats'!O:O)=2,0.2,AN29) + 24*(1-IF(BD29="No",0,BD29)) + 16/3, 12),"No")</f>
        <v>No</v>
      </c>
      <c r="BF29" s="2">
        <f>IF(AND(_xlfn.XLOOKUP(_xlfn.XLOOKUP(B29,'Base stats'!B:B,'Base stats'!E:E),Groups!A:A,Groups!AQ:AQ)=1,AN29&lt;=0.35),8,12)</f>
        <v>12</v>
      </c>
      <c r="BG29" s="2" t="str">
        <f>IF(_xlfn.XLOOKUP(_xlfn.XLOOKUP(B29,'Base stats'!B:B,'Base stats'!E:E),Groups!A:A,Groups!D:D)=0,_xlfn.XLOOKUP(_xlfn.XLOOKUP(B29,'Base stats'!B:B,'Base stats'!E:E),Groups!A:A,Groups!AR:AR),"None")</f>
        <v>None</v>
      </c>
      <c r="BH29" s="2" t="str">
        <f>IF(AND(_xlfn.XLOOKUP(_xlfn.XLOOKUP(B29,'Base stats'!B:B,'Base stats'!E:E),Groups!A:A,Groups!AS:AS)=1,OR('Base stats'!Y29="Carnivore",'Base stats'!Y29="Omnivore")),"true","false")</f>
        <v>false</v>
      </c>
      <c r="BI29" s="2" t="str">
        <f>IF(BH29="true",MROUND(IF(AND(AN29&gt;0.5,_xlfn.XLOOKUP(_xlfn.XLOOKUP(B29,'Base stats'!B:B,'Base stats'!E:E),Groups!A:A,Groups!AJ:AJ)="Mammal"),Animals!AN29*1.75*IF(AV29="true",1.5,1),Animals!AN29),IF(AN29&gt;2,0.5,IF(AN29&gt;0.5,0.25,0.1))),"No")</f>
        <v>No</v>
      </c>
      <c r="BJ29" s="2">
        <f t="shared" si="3"/>
        <v>0</v>
      </c>
      <c r="BK29" s="25" t="str">
        <f>IF('Base stats'!AK29="Standard","No",MROUND((_xlfn.XLOOKUP(B29,'Base stats'!B:B,'Base stats'!AK:AK)/3.6)/H29,0.1))</f>
        <v>No</v>
      </c>
      <c r="BL29" s="25" t="str">
        <f t="shared" si="4"/>
        <v>false</v>
      </c>
      <c r="BM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N29" s="25" t="str" cm="1">
        <f t="array" ref="BN29">IF(
  _xlfn.TEXTJOIN(", ",TRUE,
    IF(AND(BH29="true",AN29&gt;0.5,BG29&lt;&gt;"None"),"AttackTarget",""),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IF(BE29&lt;=36,"Comfort",""),
    IF(_xlfn.XLOOKUP(B29,'Base stats'!B:B,'Base stats'!AC:AC)&lt;&gt;"No",_xlfn.XLOOKUP(B29,'Base stats'!B:B,'Base stats'!AC:AC),"")
  ) = "",
  "No",
  _xlfn.TEXTJOIN(", ",TRUE,
    IF(AND(BH29="true",AN29&gt;0.5,BG29&lt;&gt;"None"),"AttackTarget",""),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IF(BE29&lt;=36,"Comfort",""),
    IF(_xlfn.XLOOKUP(B29,'Base stats'!B:B,'Base stats'!AC:AC)&lt;&gt;"No",_xlfn.XLOOKUP(B29,'Base stats'!B:B,'Base stats'!AC:AC),"")
  )
)</f>
        <v>Forage</v>
      </c>
      <c r="BO29" s="25" t="str">
        <f>IF(
   AND(
      'Base stats'!AK29="Standard",_xlfn.XLOOKUP(_xlfn.XLOOKUP(B29,'Base stats'!B:B,'Base stats'!E:E),Groups!A:A,Groups!AU:AU)=0,
      OR(
      BM29="True"
      )
   ),
   10,
   IF(
       OR(BK29&lt;&gt;"No",_xlfn.XLOOKUP(_xlfn.XLOOKUP(B29,'Base stats'!B:B,'Base stats'!E:E),Groups!A:A,Groups!AU:AU)=1),
      1,
      "No"
   )
)</f>
        <v>No</v>
      </c>
      <c r="BP29" s="9">
        <f>MROUND((1 + ((0.2*IF(OR(P29="No",Q29="No",Q29=0),0,P29/Q29)
+IF(OR(U29="No",R29="No",S29="No"),0,R29/S29*(LEN(U29)-LEN(SUBSTITUTE(U29,",",""))+1))
+IF(OR(W29="No",X29="No"),0,W29/X29)
+IF(OR(AC29="No",AD29="No"),0,AC29/AD29)
+IF(OR(AK29="No",AH29="No",AI29="No"),0,AH29/AI29*(LEN(AK29)-LEN(SUBSTITUTE(AK29,",",""))+1))
)/(0.2*IF(OR(P29="No",Q29="No",Q29=0),0,1)
+IF(OR(U29="No",R29="No",S29="No"),0,LEN(U29)-LEN(SUBSTITUTE(U29,",",""))+1)
+IF(OR(W29="No",X29="No"),0,1)
+IF(OR(AC29="No",AD29="No"),0,1)
+IF(OR(AK29="No",AH29="No",AI29="No"),0,LEN(AK29)-LEN(SUBSTITUTE(AK29,",",""))+1))*62%)* 2)*(1 + (AO29 + _xlfn.XLOOKUP(B29,'Base stats'!B:B,'Base stats'!AS:AS) * 1.8) * 2) * 2.5 + 10 + H29 * 2,5)+IF(_xlfn.XLOOKUP(B29,'Base stats'!B:B,'Base stats'!AH:AH)=1,50,0)</f>
        <v>140</v>
      </c>
      <c r="BQ29" s="8">
        <f t="shared" si="5"/>
        <v>0.9</v>
      </c>
      <c r="BR29" s="8" t="str">
        <f>_xlfn.XLOOKUP(B29,'Base stats'!B:B,'Base stats'!AD:AD)</f>
        <v>3~10</v>
      </c>
      <c r="BS29" s="2" t="str">
        <f>IF(AND(I29&lt;=0.95,OR(_xlfn.XLOOKUP(B29,'Base stats'!B:B,'Base stats'!AH:AH)=1,_xlfn.XLOOKUP(B29,'Base stats'!B:B,'Base stats'!Y:Y)="Carnivore",_xlfn.XLOOKUP(B29,'Base stats'!B:B,'Base stats'!Y:Y)="Omnivore",BC29&gt;0.1)),"true","false")</f>
        <v>false</v>
      </c>
      <c r="BT29" s="2" t="str">
        <f>IF(_xlfn.XLOOKUP(B29,'Base stats'!B:B,'Base stats'!AF:AF)=1,"true","false")</f>
        <v>false</v>
      </c>
      <c r="BU29" s="25" t="str">
        <f>IF(E29="BaseInsect","AnimalInsect",
IF(I29&gt;0.95,"AnimalExotic",
_xlfn.TEXTJOIN(", ",TRUE,
IF(AND(_xlfn.XLOOKUP(B29,'Base stats'!B:B,'Base stats'!O:O)=0,_xlfn.XLOOKUP(_xlfn.XLOOKUP(B29,'Base stats'!B:B,'Base stats'!E:E),Groups!A:A,Groups!B:B)&gt;0),"AnimalUncommon","AnimalCommon"),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stats'!AH:AH)=1,AND(BG29&lt;&gt;"None",BP29&gt;=60),ISNUMBER(SEARCH("Attack target",BN29))),"AnimalFighter","")
)))</f>
        <v>AnimalCommon</v>
      </c>
      <c r="BV29" s="25" t="str">
        <f>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</f>
        <v>BorealForest ColdBog TemperateForest TemperateSwamp TropicalRainforest TropicalSwamp Glowforest Scarlands</v>
      </c>
      <c r="BW29" s="25" t="str">
        <f>IF(_xlfn.XLOOKUP(B29,'Base stats'!B:B,'Base stats'!AG:AG)=1,"true","false")</f>
        <v>false</v>
      </c>
      <c r="BX29" s="25">
        <f>IF(_xlfn.XLOOKUP(B29,'Base stats'!B:B,'Base stats'!N:N)=1,"No",MIN(MROUND(IF(OR(_xlfn.XLOOKUP(B29,'Base stats'!B:B,'Base stats'!AJ:AJ)=1,AND(BH29="True",CA29="False")),POWER(10,3.47*LOG10(_xlfn.XLOOKUP(B29,'Base stats'!B:B,'Base stats'!C:C)*1000)^-0.96),POWER(10,4.15*LOG10(_xlfn.XLOOKUP(B29,'Base stats'!B:B,'Base stats'!C:C)*1000)^-0.73))*IF(OR(_xlfn.XLOOKUP(B29,'Base stats'!B:B,'Base stats'!AJ:AJ)=1,_xlfn.XLOOKUP(B29,'Base stats'!B:B,'Base stats'!AH:AH)=1),0.5,1)/100,0.025),1))</f>
        <v>0.17500000000000002</v>
      </c>
      <c r="BY29" s="25">
        <f>IF(O29="Standard","No",IF(_xlfn.XLOOKUP(B29,'Base stats'!B:B,'Base stats'!N:N)=0,MROUND(BX29*O29,0.05),MIN(1,MAX(0.025,MROUND(IF(OR(CA29="true",AND(BH29="false",BM29="false")),POWER(10,4.15*LOG10(_xlfn.XLOOKUP(B29,'Base stats'!B:B,'Base stats'!C:C)*1000)^-0.73),POWER(10,3.47*LOG10(_xlfn.XLOOKUP(B29,'Base stats'!B:B,'Base stats'!C:C)*1000)^-0.96))*IF(_xlfn.XLOOKUP(B29,'Base stats'!B:B,'Base stats'!AH:AH)=1,0.5,1)/100,0.025)))))</f>
        <v>0.15000000000000002</v>
      </c>
      <c r="BZ29" s="25" t="str">
        <f>IF(_xlfn.XLOOKUP(_xlfn.XLOOKUP(B29,'Base stats'!B:B,'Base stats'!E:E),Groups!A:A,Groups!AJ:AJ)="Mammal","True","False")</f>
        <v>True</v>
      </c>
      <c r="CA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B29" s="25" t="str">
        <f t="shared" si="6"/>
        <v>False</v>
      </c>
      <c r="CC29" s="25" t="str">
        <f>IF(_xlfn.XLOOKUP(_xlfn.XLOOKUP(B29,'Base stats'!B:B,'Base stats'!E:E),Groups!A:A,Groups!AW:AW),"True","False")</f>
        <v>False</v>
      </c>
      <c r="CD29" s="25" t="str">
        <f>IF(_xlfn.XLOOKUP(_xlfn.XLOOKUP(B29,'Base stats'!B:B,'Base stats'!E:E),Groups!A:A,Groups!AX:AX),"True","False")</f>
        <v>False</v>
      </c>
      <c r="CE29" s="25" t="str">
        <f>IF(_xlfn.XLOOKUP(B29,'Base stats'!B:B,'Base stats'!E:E)=1,"True","False")</f>
        <v>False</v>
      </c>
      <c r="CF29" s="25" t="str">
        <f>IF(
OR(
_xlfn.XLOOKUP(_xlfn.XLOOKUP(B29,'Base stats'!B:B,'Base stats'!E:E),Groups!A:A,Groups!AY:AY)=0,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stats'!E:E),Groups!A:A,Groups!AY:AY)=1,
"Flesh",
IF(
_xlfn.XLOOKUP(_xlfn.XLOOKUP(B29,'Base stats'!B:B,'Base stats'!E:E),Groups!A:A,Groups!AY:AY)=2,
"Bone",
""
)
)
)</f>
        <v>Bone</v>
      </c>
      <c r="CG29" s="25" t="str">
        <f>IF(_xlfn.XLOOKUP(_xlfn.XLOOKUP(B29,'Base stats'!B:B,'Base stats'!E:E),Groups!A:A,Groups!BA:BA),"True","False")</f>
        <v>True</v>
      </c>
      <c r="CH29" s="25" t="str">
        <f>IF(_xlfn.XLOOKUP(_xlfn.XLOOKUP(B29,'Base stats'!B:B,'Base stats'!E:E),Groups!A:A,Groups!AZ:AZ),"True","False")</f>
        <v>False</v>
      </c>
    </row>
    <row r="30" spans="1:91" ht="16.5" thickTop="1" thickBot="1" x14ac:dyDescent="0.3">
      <c r="A30" s="26" t="str">
        <f>_xlfn.XLOOKUP(B30,'Base stats'!B:B,'Base stats'!A:A)</f>
        <v>Pig</v>
      </c>
      <c r="B30" s="6" t="s">
        <v>543</v>
      </c>
      <c r="C30" s="28" t="s">
        <v>717</v>
      </c>
      <c r="D30" s="28" t="s">
        <v>45</v>
      </c>
      <c r="E30" s="28" t="s">
        <v>685</v>
      </c>
      <c r="F30" s="28" t="s">
        <v>685</v>
      </c>
      <c r="G30" s="2">
        <f>MROUND((
  (IF(AND(_xlfn.XLOOKUP(B30,'Base stats'!B:B,'Base stats'!AI:AI)=0,BG30="None",_xlfn.XLOOKUP('Base stats'!E30,Groups!A:A,Groups!B:B)=0), (18 + BP30 * 2.7) * 0.5,
    IF(AND(_xlfn.XLOOKUP(B30,'Base stats'!B:B,'Base stats'!AI:AI)=0,OR(AN30&lt;0.55,AND(BG30="Intermediate",_xlfn.XLOOKUP('Base stats'!E30,Groups!A:A,Groups!B:B)&lt;2))), (18 + BP30 * 2.7),
      IF(OR(BG30="Advanced",_xlfn.XLOOKUP(B30,'Base stats'!B:B,'Base stats'!AI:AI)=1,_xlfn.XLOOKUP('Base stats'!E30,Groups!A:A,Groups!B:B)=2), (18 + BP30 * 2.7) + 250, (18 + BP30 * 2.7))
    )
  ))
  + AN30 * 80
  + IF(COUNTIF(EggMilk!K$2:K$998, A30) &gt; 0, 125, 0)
  + IF(COUNTIF(EggMilk!P$2:P$998, A30) &gt; 0, 90, 0)
  + IF(COUNTIF(EggMilk!A$2:A$998, A30) &gt; 0, 90, 0)
)
* (0.8 + 0.4 * I30)
* 0.75,25)</f>
        <v>225</v>
      </c>
      <c r="H30" s="2">
        <f>MROUND(ROUNDDOWN(_xlfn.XLOOKUP(B30,'Base stats'!B:B,'Base stats'!L:L)/3.6/(23.3/11),1),0.5)</f>
        <v>5</v>
      </c>
      <c r="I30" s="2">
        <f>IF(_xlfn.XLOOKUP(B30,'Base stats'!B:B,'Base stats'!AI:AI)=1,0.99,MIN(MROUND((1-0.6282*EXP(-0.459*AN30))*_xlfn.XLOOKUP(_xlfn.XLOOKUP(B30,'Base stats'!B:B,'Base stats'!E:E),Groups!A:A,Groups!C:C)*IF(_xlfn.XLOOKUP(B30,'Base stats'!B:B,'Base stats'!O:O)=1,0.5,IF(_xlfn.XLOOKUP(B30,'Base stats'!B:B,'Base stats'!O:O)=2,0,1)),0.05),0.985))</f>
        <v>0</v>
      </c>
      <c r="J30" s="2">
        <f>ROUNDUP(AN30*_xlfn.XLOOKUP(_xlfn.XLOOKUP(B30,'Base stats'!B:B,'Base stats'!E:E),Groups!A:A,Groups!E:E),0)</f>
        <v>12</v>
      </c>
      <c r="K30" s="2">
        <f>IF(OR(_xlfn.XLOOKUP(_xlfn.XLOOKUP(B30,'Base stats'!B:B,'Base stats'!E:E),Groups!A:A,Groups!F:F)=2,ISNUMBER(SEARCH("SeaIce",BV30)),ISNUMBER(SEARCH("IceSheet",BV30))),-50,IF(OR(ISNUMBER(SEARCH("GlacialPlain",BV30)),ISNUMBER(SEARCH("Tundra",BV30))),-40,IF(OR(ISNUMBER(SEARCH("Alpine",BV30)),ISNUMBER(SEARCH("BorealForest",BV30)),ISNUMBER(SEARCH("ColdBog",BV30))),-30,IF(OR(ISNUMBER(SEARCH("TemperateForest",BV30)),ISNUMBER(SEARCH("TemperateSwamp",BV30))),-20,IF(_xlfn.XLOOKUP(_xlfn.XLOOKUP(B30,'Base stats'!B:B,'Base stats'!E:E),Groups!A:A,Groups!F:F)=1,-15,IF(OR(ISNUMBER(SEARCH("Desert",BV30)),ISNUMBER(SEARCH("ExtremeDesert",BV30))),-10,IF(OR(ISNUMBER(SEARCH("Grasslands",BV30)),ISNUMBER(SEARCH("TropicalRainforest",BV30)),ISNUMBER(SEARCH("TropicalSwamp",BV30))),10,0)))))))-IF(CA30="False",MIN(IFERROR(MAX(MROUND(LOG10(_xlfn.XLOOKUP(B30,'Base stats'!B:B,'Base stats'!C:C)^(2/3))*10,5),5),5),30))-_xlfn.XLOOKUP(B30,'Base stats'!B:B,'Base stats'!P:P)+IF(CA30="True",5,0)</f>
        <v>0</v>
      </c>
      <c r="L30" s="2">
        <f>IF(OR(_xlfn.XLOOKUP(_xlfn.XLOOKUP(B30,'Base stats'!B:B,'Base stats'!E:E),Groups!A:A,Groups!G:G)=2,ISNUMBER(SEARCH("Desert",BV30)),ISNUMBER(SEARCH("ExtremeDesert",BV30)),ISNUMBER(SEARCH("LavaField",BV30))),50,IF(ISNUMBER(SEARCH("Grasslands",BV30)),45,IF(OR(_xlfn.XLOOKUP(_xlfn.XLOOKUP(B30,'Base stats'!B:B,'Base stats'!E:E),Groups!A:A,Groups!G:G)=1,ISNUMBER(SEARCH("TropicalRainforest",BV30)),ISNUMBER(SEARCH("TropicalSwamp",BV30))),40,IF(OR(ISNUMBER(SEARCH("TemperateForest",BV30)),ISNUMBER(SEARCH("TemperateSwamp",BV30))),35,IF(OR(ISNUMBER(SEARCH("Alpine",BV30)),ISNUMBER(SEARCH("BorealForest",BV30)),ISNUMBER(SEARCH("ColdBog",BV30))),30,IF(ISNUMBER(OR(ISNUMBER(SEARCH("GlacialPlain",BV30)),SEARCH("Tundra",BV30))),25,IF(OR(ISNUMBER(SEARCH("SeaIce",BV30)),ISNUMBER(SEARCH("IceSheet",BV30)),ISNUMBER(SEARCH("TropicalSwamp",BV30))),10,35)))))))+_xlfn.XLOOKUP(B30,'Base stats'!B:B,'Base stats'!Q:Q)</f>
        <v>35</v>
      </c>
      <c r="M30" s="8" t="str">
        <f>IF(_xlfn.XLOOKUP(_xlfn.XLOOKUP(B30,'Base stats'!B:B,'Base stats'!E:E),Groups!A:A,Groups!L:L)=1,MIN(MROUND(_xlfn.XLOOKUP(B30,'Animals CE'!B:B,'Animals CE'!Z:Z)/2+0.05,0.05),200%),"No")</f>
        <v>No</v>
      </c>
      <c r="N30" s="8" t="str">
        <f>IF(_xlfn.XLOOKUP(_xlfn.XLOOKUP(B30,'Base stats'!B:B,'Base stats'!E:E),Groups!A:A,Groups!L:L)=1,MIN(MROUND(_xlfn.XLOOKUP(B30,'Animals CE'!B:B,'Animals CE'!AA:AA)/2+0.05,0.05),200%),"No")</f>
        <v>No</v>
      </c>
      <c r="O30" s="2" t="str">
        <f>_xlfn.XLOOKUP(B30,'Base stats'!B:B,'Base stats'!R:R)</f>
        <v>Standard</v>
      </c>
      <c r="P30" s="13">
        <f>MROUND((LOG10(_xlfn.XLOOKUP(B30,'Base stats'!B:B,'Base stats'!AO:AO))*(AN30^0.5)+(_xlfn.XLOOKUP(B30,'Base stats'!B:B,'Base stats'!AO:AO)/1000)^(2/3)+_xlfn.XLOOKUP(B30,'Base stats'!B:B,'Base stats'!AX:AX)/2)+0.5,0.5)</f>
        <v>12.5</v>
      </c>
      <c r="Q30" s="7">
        <f>IF(P30="No","No",MAX(1,MROUND(_xlfn.XLOOKUP(B30,'Base stats'!B:B,'Base stats'!C:C)^0.165,0.05)))</f>
        <v>2.5500000000000003</v>
      </c>
      <c r="R30" s="13" t="str">
        <f>IF(_xlfn.XLOOKUP(_xlfn.XLOOKUP(B30,'Base stats'!B:B,'Base stats'!E:E),Groups!A:A,Groups!P:P)=0,"No",MROUND((LOG10(_xlfn.XLOOKUP(B30,'Base stats'!B:B,'Base stats'!AP:AP))*(AN30^0.5)+(_xlfn.XLOOKUP(B30,'Base stats'!B:B,'Base stats'!AP:AP)/1000)^(2/3)+_xlfn.XLOOKUP(B30,'Base stats'!B:B,'Base stats'!AX:AX))+_xlfn.XLOOKUP(B30,'Base stats'!B:B,'Base stats'!AV:AV)+0.5,0.5))</f>
        <v>No</v>
      </c>
      <c r="S30" s="7" t="str">
        <f>IF(R30="No","No",MAX(_xlfn.XLOOKUP(_xlfn.XLOOKUP(B30,'Base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T30" s="7" t="str">
        <f>IF(R30="No","No",_xlfn.XLOOKUP(_xlfn.XLOOKUP(B30,'Base stats'!B:B,'Base stats'!E:E),Groups!A:A,Groups!R:R))</f>
        <v>No</v>
      </c>
      <c r="U30" s="7" t="str">
        <f>IF(R30="No","No",_xlfn.XLOOKUP(_xlfn.XLOOKUP(B30,'Base stats'!B:B,'Base stats'!E:E),Groups!A:A,Groups!S:S))</f>
        <v>No</v>
      </c>
      <c r="V30" s="7" t="str">
        <f>IF(R30="No","No",_xlfn.XLOOKUP(_xlfn.XLOOKUP(B30,'Base stats'!B:B,'Base stats'!E:E),Groups!A:A,Groups!T:T))</f>
        <v>No</v>
      </c>
      <c r="W30" s="13" t="str">
        <f>IF(_xlfn.XLOOKUP(B30,'Base stats'!B:B,'Base stats'!W:W)="No","No",MROUND((LOG10(_xlfn.XLOOKUP(B30,'Base stats'!B:B,'Base stats'!AR:AR))*(AN30^0.5)+(_xlfn.XLOOKUP(B30,'Base stats'!B:B,'Base stats'!AR:AR)/1000)^(2/3)+_xlfn.XLOOKUP(B30,'Base stats'!B:B,'Base stats'!AW:AW))+0.5+IF(_xlfn.XLOOKUP(_xlfn.XLOOKUP(B30,'Base stats'!B:B,'Base stats'!E:E),Groups!A:A,Groups!U:U)&lt;&gt;3,_xlfn.XLOOKUP(B30,'Base stats'!B:B,'Base stats'!AX:AX),0),0.5))</f>
        <v>No</v>
      </c>
      <c r="X30" s="7" t="str">
        <f>IF(W30="No","No",MAX(_xlfn.XLOOKUP(_xlfn.XLOOKUP(B30,'Base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Y30" s="7" t="str">
        <f>IF(W30="No","No",_xlfn.XLOOKUP(_xlfn.XLOOKUP(B30,'Base stats'!B:B,'Base stats'!E:E),Groups!A:A,Groups!W:W))</f>
        <v>No</v>
      </c>
      <c r="Z30" s="7" t="str">
        <f>IF(W30="No","No",_xlfn.XLOOKUP(_xlfn.XLOOKUP(B30,'Base stats'!B:B,'Base stats'!E:E),Groups!A:A,Groups!X:X))</f>
        <v>No</v>
      </c>
      <c r="AA30" s="7" t="str">
        <f>IF(W30="No","No",_xlfn.XLOOKUP(_xlfn.XLOOKUP(B30,'Base stats'!B:B,'Base stats'!E:E),Groups!A:A,Groups!Y:Y))</f>
        <v>No</v>
      </c>
      <c r="AB30" s="7" t="str">
        <f>_xlfn.XLOOKUP(Animals!B30,'Base stats'!B:B,'Base stats'!X:X)</f>
        <v>False</v>
      </c>
      <c r="AC30" s="13">
        <f>IF(_xlfn.XLOOKUP(B30,'Base stats'!B:B,'Base stats'!AQ:AQ)="No","No",MROUND((LOG10(_xlfn.XLOOKUP(B30,'Base stats'!B:B,'Base stats'!AQ:AQ))*(AN30^0.75)+(_xlfn.XLOOKUP(B30,'Base stats'!B:B,'Base stats'!AQ:AQ)/1000)^(2/3)+_xlfn.XLOOKUP(B30,'Base stats'!B:B,'Base stats'!AU:AU)+_xlfn.XLOOKUP(B30,'Base stats'!B:B,'Base stats'!AX:AX))+0.5,0.5))</f>
        <v>19</v>
      </c>
      <c r="AD30" s="7">
        <f>IF(AC30="No","No",MAX(_xlfn.XLOOKUP(_xlfn.XLOOKUP(B30,'Base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E30" s="7" t="str">
        <f>IF(AC30="No","No",_xlfn.XLOOKUP(_xlfn.XLOOKUP(B30,'Base stats'!B:B,'Base stats'!E:E),Groups!A:A,Groups!AA:AA))</f>
        <v>Teeth</v>
      </c>
      <c r="AF30" s="7" t="str">
        <f>IF(AC30="No","No",_xlfn.XLOOKUP(_xlfn.XLOOKUP(B30,'Base stats'!B:B,'Base stats'!E:E),Groups!A:A,Groups!AB:AB))</f>
        <v>teeth</v>
      </c>
      <c r="AG30" s="7" t="str">
        <f>IF(AC30="No","No",_xlfn.XLOOKUP(_xlfn.XLOOKUP(B30,'Base stats'!B:B,'Base stats'!E:E),Groups!A:A,Groups!AC:AC))</f>
        <v>Bite</v>
      </c>
      <c r="AH30" s="13" t="str">
        <f>IF(_xlfn.XLOOKUP(_xlfn.XLOOKUP(B30,'Base stats'!B:B,'Base stats'!E:E),Groups!A:A,Groups!AD:AD)=0,"No",MROUND((LOG10(_xlfn.XLOOKUP(B30,'Base stats'!B:B,'Base stats'!AP:AP))*(AN30^0.75)+(_xlfn.XLOOKUP(B30,'Base stats'!B:B,'Base stats'!AP:AP)/1000)^(2/3)+_xlfn.XLOOKUP(B30,'Base stats'!B:B,'Base stats'!AV:AV)+_xlfn.XLOOKUP(B30,'Base stats'!B:B,'Base stats'!AX:AX))+0.5,0.5))</f>
        <v>No</v>
      </c>
      <c r="AI30" s="7" t="str">
        <f>IF(AH30="No","No",MAX(_xlfn.XLOOKUP(_xlfn.XLOOKUP(B30,'Base stats'!B:B,'Base stats'!E:E),Groups!A:A,Groups!AE:AE),MROUND(_xlfn.XLOOKUP(_xlfn.XLOOKUP(B30,'Base stats'!B:B,'Base stats'!E:E),Groups!A:A,Groups!AE:AE)*_xlfn.XLOOKUP(B30,'Base stats'!B:B,'Base stats'!C:C)^0.165,0.05)))</f>
        <v>No</v>
      </c>
      <c r="AJ30" s="7" t="str">
        <f>IF(AH30="No","No",_xlfn.XLOOKUP(_xlfn.XLOOKUP(B30,'Base stats'!B:B,'Base stats'!E:E),Groups!A:A,Groups!AF:AF))</f>
        <v>No</v>
      </c>
      <c r="AK30" s="7" t="str">
        <f>IF(AH30="No","No",_xlfn.XLOOKUP(_xlfn.XLOOKUP(B30,'Base stats'!B:B,'Base stats'!E:E),Groups!A:A,Groups!AG:AG))</f>
        <v>No</v>
      </c>
      <c r="AL30" s="7" t="str">
        <f>IF(AH30="No","No",_xlfn.XLOOKUP(_xlfn.XLOOKUP(B30,'Base stats'!B:B,'Base stats'!E:E),Groups!A:A,Groups!AH:AH))</f>
        <v>No</v>
      </c>
      <c r="AM30" s="2" t="str">
        <f t="shared" si="0"/>
        <v>No</v>
      </c>
      <c r="AN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O30" s="8">
        <f>MROUND(AN30*_xlfn.XLOOKUP(_xlfn.XLOOKUP(B30,'Base stats'!B:B,'Base stats'!E:E),Groups!A:A,Groups!AI:AI),0.05)</f>
        <v>2.25</v>
      </c>
      <c r="AP30" s="8">
        <f>MAX(0.01,MROUND(IF(CA30="True",0.196*(AN30*100*1000)^0.889,IF(_xlfn.XLOOKUP(_xlfn.XLOOKUP(B30,'Base stats'!B:B,'Base stats'!E:E),Groups!A:A,Groups!AJ:AJ)="Bird",10.5*(AN30*100*1000)^0.681,4.82*(AN30*100*1000)^0.734))/(4.82*(1*100*1000)^0.734)/IF(AN30&lt;3.5,2,IF(AN30=3.5,1.5,1.25))*(1+0.132282374779864/(AN30^0.994035016789033+0.00905238001496948)),0.05))</f>
        <v>0.95000000000000007</v>
      </c>
      <c r="AQ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R30" s="35">
        <f>IFERROR(IF(_xlfn.XLOOKUP(B30,'Base stats'!B:B,'Base stats'!F:F)="Lay eggs","Lay eggs",MIN(20,MAX(5.5,ROUND(((_xlfn.XLOOKUP(B30,'Base stats'!B:B,'Base stats'!F:F)-25)*(14.5/615) + 5.5)*2,0)/2))),"Cannot breed")</f>
        <v>7.5</v>
      </c>
      <c r="AS30" s="8">
        <f>IF(OR(A30="Queen",A30="Larva"),"No",IFERROR(MAX(IF(_xlfn.XLOOKUP(B30,'Base stats'!B:B,'Base stats'!G:G)&lt;0.5,0.2,0.3),MROUND(_xlfn.XLOOKUP(B30,'Base stats'!B:B,'Base stats'!G:G)/(365/60),0.2)),"Unknown"))</f>
        <v>0.3</v>
      </c>
      <c r="AT30" s="8">
        <f t="shared" si="1"/>
        <v>0.15000000000000002</v>
      </c>
      <c r="AU30" s="8">
        <f>IFERROR(IFERROR(MROUND(_xlfn.XLOOKUP(B30,'Base stats'!B:B,'Base stats'!J:J),0.1),"Lay eggs"),"Cannot breed")</f>
        <v>11.100000000000001</v>
      </c>
      <c r="AV30" s="2" t="str">
        <f t="shared" si="2"/>
        <v>true</v>
      </c>
      <c r="AW30" s="2" t="str">
        <f>IF(_xlfn.XLOOKUP(_xlfn.XLOOKUP(Animals!B30,'Base stats'!B:B,'Base stats'!E:E),Groups!A:A,Groups!AK:AK)=1,"true","false")</f>
        <v>true</v>
      </c>
      <c r="AX30" s="25" t="str">
        <f>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</f>
        <v>OmnivoreRoughAnimal, OvivoreAnimal</v>
      </c>
      <c r="AY30" s="2">
        <f>IF(_xlfn.XLOOKUP(_xlfn.XLOOKUP(B30,'Base stats'!B:B,'Base stats'!E:E),Groups!A:A,Groups!D:D)=1,MROUND((1-I30)*5+1,2)*IF(I30&lt;=0.4,2,1),"No")</f>
        <v>12</v>
      </c>
      <c r="AZ30" s="2" t="str">
        <f>_xlfn.XLOOKUP(B30,'Base stats'!B:B,'Base stats'!AE:AE)</f>
        <v>Leather_Pig</v>
      </c>
      <c r="BA30" s="23" t="str">
        <f>_xlfn.XLOOKUP(_xlfn.XLOOKUP(B30,'Base stats'!B:B,'Base stats'!E:E),Groups!A:A,Groups!AL:AL)</f>
        <v>QuadrupedAnimalWithHooves</v>
      </c>
      <c r="BB30" s="23">
        <f>MROUND(IF(AND(AN30&lt;0.5,_xlfn.XLOOKUP(B30,'Base stats'!B:B,'Base stats'!Z:Z)=0),0,IF(OR(_xlfn.XLOOKUP(Animals!B30,'Base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stats'!AA:AA),0.005)</f>
        <v>0</v>
      </c>
      <c r="BC30" s="23">
        <f>MROUND(IF(AND(AN30&lt;0.5,_xlfn.XLOOKUP(B30,'Base stats'!B:B,'Base stats'!Z:Z)=0),0,IF(_xlfn.XLOOKUP(_xlfn.XLOOKUP(B30,'Base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stats'!AB:AB),0.005)</f>
        <v>0</v>
      </c>
      <c r="BD30" s="2" t="str">
        <f>IF(I30&gt;0.3,"No",_xlfn.XLOOKUP(_xlfn.XLOOKUP(Animals!B30,'Base stats'!B:B,'Base stats'!E:E),Groups!A:A,Groups!AP:AP))</f>
        <v>No</v>
      </c>
      <c r="BE30" s="2" t="str">
        <f>IF(AND(I30&lt;=0.65,_xlfn.XLOOKUP(_xlfn.XLOOKUP(Animals!B30,'Base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stats'!O:O)=2,0.2,AN30) + 24*(1-IF(BD30="No",0,BD30)) + 16/3, 12),"No")</f>
        <v>No</v>
      </c>
      <c r="BF30" s="2">
        <f>IF(AND(_xlfn.XLOOKUP(_xlfn.XLOOKUP(B30,'Base stats'!B:B,'Base stats'!E:E),Groups!A:A,Groups!AQ:AQ)=1,AN30&lt;=0.35),8,12)</f>
        <v>12</v>
      </c>
      <c r="BG30" s="2" t="str">
        <f>IF(_xlfn.XLOOKUP(_xlfn.XLOOKUP(B30,'Base stats'!B:B,'Base stats'!E:E),Groups!A:A,Groups!D:D)=0,_xlfn.XLOOKUP(_xlfn.XLOOKUP(B30,'Base stats'!B:B,'Base stats'!E:E),Groups!A:A,Groups!AR:AR),"None")</f>
        <v>None</v>
      </c>
      <c r="BH30" s="2" t="str">
        <f>IF(AND(_xlfn.XLOOKUP(_xlfn.XLOOKUP(B30,'Base stats'!B:B,'Base stats'!E:E),Groups!A:A,Groups!AS:AS)=1,OR('Base stats'!Y30="Carnivore",'Base stats'!Y30="Omnivore")),"true","false")</f>
        <v>false</v>
      </c>
      <c r="BI30" s="2" t="str">
        <f>IF(BH30="true",MROUND(IF(AND(AN30&gt;0.5,_xlfn.XLOOKUP(_xlfn.XLOOKUP(B30,'Base stats'!B:B,'Base stats'!E:E),Groups!A:A,Groups!AJ:AJ)="Mammal"),Animals!AN30*1.75*IF(AV30="true",1.5,1),Animals!AN30),IF(AN30&gt;2,0.5,IF(AN30&gt;0.5,0.25,0.1))),"No")</f>
        <v>No</v>
      </c>
      <c r="BJ30" s="2">
        <f t="shared" si="3"/>
        <v>0</v>
      </c>
      <c r="BK30" s="25" t="str">
        <f>IF('Base stats'!AK30="Standard","No",MROUND((_xlfn.XLOOKUP(B30,'Base stats'!B:B,'Base stats'!AK:AK)/3.6)/H30,0.1))</f>
        <v>No</v>
      </c>
      <c r="BL30" s="25" t="str">
        <f t="shared" si="4"/>
        <v>false</v>
      </c>
      <c r="BM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N30" s="25" t="str" cm="1">
        <f t="array" ref="BN30">IF(
  _xlfn.TEXTJOIN(", ",TRUE,
    IF(AND(BH30="true",AN30&gt;0.5,BG30&lt;&gt;"None"),"AttackTarget",""),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IF(BE30&lt;=36,"Comfort",""),
    IF(_xlfn.XLOOKUP(B30,'Base stats'!B:B,'Base stats'!AC:AC)&lt;&gt;"No",_xlfn.XLOOKUP(B30,'Base stats'!B:B,'Base stats'!AC:AC),"")
  ) = "",
  "No",
  _xlfn.TEXTJOIN(", ",TRUE,
    IF(AND(BH30="true",AN30&gt;0.5,BG30&lt;&gt;"None"),"AttackTarget",""),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IF(BE30&lt;=36,"Comfort",""),
    IF(_xlfn.XLOOKUP(B30,'Base stats'!B:B,'Base stats'!AC:AC)&lt;&gt;"No",_xlfn.XLOOKUP(B30,'Base stats'!B:B,'Base stats'!AC:AC),"")
  )
)</f>
        <v>Forage</v>
      </c>
      <c r="BO30" s="25" t="str">
        <f>IF(
   AND(
      'Base stats'!AK30="Standard",_xlfn.XLOOKUP(_xlfn.XLOOKUP(B30,'Base stats'!B:B,'Base stats'!E:E),Groups!A:A,Groups!AU:AU)=0,
      OR(
      BM30="True"
      )
   ),
   10,
   IF(
       OR(BK30&lt;&gt;"No",_xlfn.XLOOKUP(_xlfn.XLOOKUP(B30,'Base stats'!B:B,'Base stats'!E:E),Groups!A:A,Groups!AU:AU)=1),
      1,
      "No"
   )
)</f>
        <v>No</v>
      </c>
      <c r="BP30" s="9">
        <f>MROUND((1 + ((0.2*IF(OR(P30="No",Q30="No",Q30=0),0,P30/Q30)
+IF(OR(U30="No",R30="No",S30="No"),0,R30/S30*(LEN(U30)-LEN(SUBSTITUTE(U30,",",""))+1))
+IF(OR(W30="No",X30="No"),0,W30/X30)
+IF(OR(AC30="No",AD30="No"),0,AC30/AD30)
+IF(OR(AK30="No",AH30="No",AI30="No"),0,AH30/AI30*(LEN(AK30)-LEN(SUBSTITUTE(AK30,",",""))+1))
)/(0.2*IF(OR(P30="No",Q30="No",Q30=0),0,1)
+IF(OR(U30="No",R30="No",S30="No"),0,LEN(U30)-LEN(SUBSTITUTE(U30,",",""))+1)
+IF(OR(W30="No",X30="No"),0,1)
+IF(OR(AC30="No",AD30="No"),0,1)
+IF(OR(AK30="No",AH30="No",AI30="No"),0,LEN(AK30)-LEN(SUBSTITUTE(AK30,",",""))+1))*62%)* 2)*(1 + (AO30 + _xlfn.XLOOKUP(B30,'Base stats'!B:B,'Base stats'!AS:AS) * 1.8) * 2) * 2.5 + 10 + H30 * 2,5)+IF(_xlfn.XLOOKUP(B30,'Base stats'!B:B,'Base stats'!AH:AH)=1,50,0)</f>
        <v>145</v>
      </c>
      <c r="BQ30" s="8">
        <f t="shared" si="5"/>
        <v>1.2000000000000002</v>
      </c>
      <c r="BR30" s="8" t="str">
        <f>_xlfn.XLOOKUP(B30,'Base stats'!B:B,'Base stats'!AD:AD)</f>
        <v>3~10</v>
      </c>
      <c r="BS30" s="2" t="str">
        <f>IF(AND(I30&lt;=0.95,OR(_xlfn.XLOOKUP(B30,'Base stats'!B:B,'Base stats'!AH:AH)=1,_xlfn.XLOOKUP(B30,'Base stats'!B:B,'Base stats'!Y:Y)="Carnivore",_xlfn.XLOOKUP(B30,'Base stats'!B:B,'Base stats'!Y:Y)="Omnivore",BC30&gt;0.1)),"true","false")</f>
        <v>false</v>
      </c>
      <c r="BT30" s="2" t="str">
        <f>IF(_xlfn.XLOOKUP(B30,'Base stats'!B:B,'Base stats'!AF:AF)=1,"true","false")</f>
        <v>false</v>
      </c>
      <c r="BU30" s="25" t="str">
        <f>IF(E30="BaseInsect","AnimalInsect",
IF(I30&gt;0.95,"AnimalExotic",
_xlfn.TEXTJOIN(", ",TRUE,
IF(AND(_xlfn.XLOOKUP(B30,'Base stats'!B:B,'Base stats'!O:O)=0,_xlfn.XLOOKUP(_xlfn.XLOOKUP(B30,'Base stats'!B:B,'Base stats'!E:E),Groups!A:A,Groups!B:B)&gt;0),"AnimalUncommon","AnimalCommon"),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stats'!AH:AH)=1,AND(BG30&lt;&gt;"None",BP30&gt;=60),ISNUMBER(SEARCH("Attack target",BN30))),"AnimalFighter","")
)))</f>
        <v>AnimalCommon, AnimalFarm</v>
      </c>
      <c r="BV30" s="25" t="str">
        <f>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</f>
        <v>Scarlands</v>
      </c>
      <c r="BW30" s="25" t="str">
        <f>IF(_xlfn.XLOOKUP(B30,'Base stats'!B:B,'Base stats'!AG:AG)=1,"true","false")</f>
        <v>false</v>
      </c>
      <c r="BX30" s="25">
        <f>IF(_xlfn.XLOOKUP(B30,'Base stats'!B:B,'Base stats'!N:N)=1,"No",MIN(MROUND(IF(OR(_xlfn.XLOOKUP(B30,'Base stats'!B:B,'Base stats'!AJ:AJ)=1,AND(BH30="True",CA30="False")),POWER(10,3.47*LOG10(_xlfn.XLOOKUP(B30,'Base stats'!B:B,'Base stats'!C:C)*1000)^-0.96),POWER(10,4.15*LOG10(_xlfn.XLOOKUP(B30,'Base stats'!B:B,'Base stats'!C:C)*1000)^-0.73))*IF(OR(_xlfn.XLOOKUP(B30,'Base stats'!B:B,'Base stats'!AJ:AJ)=1,_xlfn.XLOOKUP(B30,'Base stats'!B:B,'Base stats'!AH:AH)=1),0.5,1)/100,0.025),1))</f>
        <v>0.15000000000000002</v>
      </c>
      <c r="BY30" s="25" t="str">
        <f>IF(O30="Standard","No",IF(_xlfn.XLOOKUP(B30,'Base stats'!B:B,'Base stats'!N:N)=0,MROUND(BX30*O30,0.05),MIN(1,MAX(0.025,MROUND(IF(OR(CA30="true",AND(BH30="false",BM30="false")),POWER(10,4.15*LOG10(_xlfn.XLOOKUP(B30,'Base stats'!B:B,'Base stats'!C:C)*1000)^-0.73),POWER(10,3.47*LOG10(_xlfn.XLOOKUP(B30,'Base stats'!B:B,'Base stats'!C:C)*1000)^-0.96))*IF(_xlfn.XLOOKUP(B30,'Base stats'!B:B,'Base stats'!AH:AH)=1,0.5,1)/100,0.025)))))</f>
        <v>No</v>
      </c>
      <c r="BZ30" s="25" t="str">
        <f>IF(_xlfn.XLOOKUP(_xlfn.XLOOKUP(B30,'Base stats'!B:B,'Base stats'!E:E),Groups!A:A,Groups!AJ:AJ)="Mammal","True","False")</f>
        <v>True</v>
      </c>
      <c r="CA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B30" s="25" t="str">
        <f t="shared" si="6"/>
        <v>False</v>
      </c>
      <c r="CC30" s="25" t="str">
        <f>IF(_xlfn.XLOOKUP(_xlfn.XLOOKUP(B30,'Base stats'!B:B,'Base stats'!E:E),Groups!A:A,Groups!AW:AW),"True","False")</f>
        <v>False</v>
      </c>
      <c r="CD30" s="25" t="str">
        <f>IF(_xlfn.XLOOKUP(_xlfn.XLOOKUP(B30,'Base stats'!B:B,'Base stats'!E:E),Groups!A:A,Groups!AX:AX),"True","False")</f>
        <v>False</v>
      </c>
      <c r="CE30" s="25" t="str">
        <f>IF(_xlfn.XLOOKUP(B30,'Base stats'!B:B,'Base stats'!E:E)=1,"True","False")</f>
        <v>False</v>
      </c>
      <c r="CF30" s="25" t="str">
        <f>IF(
OR(
_xlfn.XLOOKUP(_xlfn.XLOOKUP(B30,'Base stats'!B:B,'Base stats'!E:E),Groups!A:A,Groups!AY:AY)=0,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stats'!E:E),Groups!A:A,Groups!AY:AY)=1,
"Flesh",
IF(
_xlfn.XLOOKUP(_xlfn.XLOOKUP(B30,'Base stats'!B:B,'Base stats'!E:E),Groups!A:A,Groups!AY:AY)=2,
"Bone",
""
)
)
)</f>
        <v>Bone</v>
      </c>
      <c r="CG30" s="25" t="str">
        <f>IF(_xlfn.XLOOKUP(_xlfn.XLOOKUP(B30,'Base stats'!B:B,'Base stats'!E:E),Groups!A:A,Groups!BA:BA),"True","False")</f>
        <v>True</v>
      </c>
      <c r="CH30" s="25" t="str">
        <f>IF(_xlfn.XLOOKUP(_xlfn.XLOOKUP(B30,'Base stats'!B:B,'Base stats'!E:E),Groups!A:A,Groups!AZ:AZ),"True","False")</f>
        <v>False</v>
      </c>
    </row>
    <row r="31" spans="1:91" ht="16.5" thickTop="1" thickBot="1" x14ac:dyDescent="0.3">
      <c r="A31" s="26" t="str">
        <f>_xlfn.XLOOKUP(B31,'Base stats'!B:B,'Base stats'!A:A)</f>
        <v>Monkey</v>
      </c>
      <c r="B31" s="6" t="s">
        <v>271</v>
      </c>
      <c r="C31" s="28" t="s">
        <v>718</v>
      </c>
      <c r="D31" s="28" t="s">
        <v>45</v>
      </c>
      <c r="E31" s="28" t="s">
        <v>685</v>
      </c>
      <c r="F31" s="28" t="s">
        <v>685</v>
      </c>
      <c r="G31" s="2">
        <f>MROUND((
  (IF(AND(_xlfn.XLOOKUP(B31,'Base stats'!B:B,'Base stats'!AI:AI)=0,BG31="None",_xlfn.XLOOKUP('Base stats'!E31,Groups!A:A,Groups!B:B)=0), (18 + BP31 * 2.7) * 0.5,
    IF(AND(_xlfn.XLOOKUP(B31,'Base stats'!B:B,'Base stats'!AI:AI)=0,OR(AN31&lt;0.55,AND(BG31="Intermediate",_xlfn.XLOOKUP('Base stats'!E31,Groups!A:A,Groups!B:B)&lt;2))), (18 + BP31 * 2.7),
      IF(OR(BG31="Advanced",_xlfn.XLOOKUP(B31,'Base stats'!B:B,'Base stats'!AI:AI)=1,_xlfn.XLOOKUP('Base stats'!E31,Groups!A:A,Groups!B:B)=2), (18 + BP31 * 2.7) + 250, (18 + BP31 * 2.7))
    )
  ))
  + AN31 * 80
  + IF(COUNTIF(EggMilk!K$2:K$998, A31) &gt; 0, 125, 0)
  + IF(COUNTIF(EggMilk!P$2:P$998, A31) &gt; 0, 90, 0)
  + IF(COUNTIF(EggMilk!A$2:A$998, A31) &gt; 0, 90, 0)
)
* (0.8 + 0.4 * I31)
* 0.75,25)</f>
        <v>125</v>
      </c>
      <c r="H31" s="2">
        <f>MROUND(ROUNDDOWN(_xlfn.XLOOKUP(B31,'Base stats'!B:B,'Base stats'!L:L)/3.6/(23.3/11),1),0.5)</f>
        <v>4</v>
      </c>
      <c r="I31" s="2">
        <f>IF(_xlfn.XLOOKUP(B31,'Base stats'!B:B,'Base stats'!AI:AI)=1,0.99,MIN(MROUND((1-0.6282*EXP(-0.459*AN31))*_xlfn.XLOOKUP(_xlfn.XLOOKUP(B31,'Base stats'!B:B,'Base stats'!E:E),Groups!A:A,Groups!C:C)*IF(_xlfn.XLOOKUP(B31,'Base stats'!B:B,'Base stats'!O:O)=1,0.5,IF(_xlfn.XLOOKUP(B31,'Base stats'!B:B,'Base stats'!O:O)=2,0,1)),0.05),0.985))</f>
        <v>0.60000000000000009</v>
      </c>
      <c r="J31" s="2">
        <f>ROUNDUP(AN31*_xlfn.XLOOKUP(_xlfn.XLOOKUP(B31,'Base stats'!B:B,'Base stats'!E:E),Groups!A:A,Groups!E:E),0)</f>
        <v>1</v>
      </c>
      <c r="K31" s="2">
        <f>IF(OR(_xlfn.XLOOKUP(_xlfn.XLOOKUP(B31,'Base stats'!B:B,'Base stats'!E:E),Groups!A:A,Groups!F:F)=2,ISNUMBER(SEARCH("SeaIce",BV31)),ISNUMBER(SEARCH("IceSheet",BV31))),-50,IF(OR(ISNUMBER(SEARCH("GlacialPlain",BV31)),ISNUMBER(SEARCH("Tundra",BV31))),-40,IF(OR(ISNUMBER(SEARCH("Alpine",BV31)),ISNUMBER(SEARCH("BorealForest",BV31)),ISNUMBER(SEARCH("ColdBog",BV31))),-30,IF(OR(ISNUMBER(SEARCH("TemperateForest",BV31)),ISNUMBER(SEARCH("TemperateSwamp",BV31))),-20,IF(_xlfn.XLOOKUP(_xlfn.XLOOKUP(B31,'Base stats'!B:B,'Base stats'!E:E),Groups!A:A,Groups!F:F)=1,-15,IF(OR(ISNUMBER(SEARCH("Desert",BV31)),ISNUMBER(SEARCH("ExtremeDesert",BV31))),-10,IF(OR(ISNUMBER(SEARCH("Grasslands",BV31)),ISNUMBER(SEARCH("TropicalRainforest",BV31)),ISNUMBER(SEARCH("TropicalSwamp",BV31))),10,0)))))))-IF(CA31="False",MIN(IFERROR(MAX(MROUND(LOG10(_xlfn.XLOOKUP(B31,'Base stats'!B:B,'Base stats'!C:C)^(2/3))*10,5),5),5),30))-_xlfn.XLOOKUP(B31,'Base stats'!B:B,'Base stats'!P:P)+IF(CA31="True",5,0)</f>
        <v>5</v>
      </c>
      <c r="L31" s="2">
        <f>IF(OR(_xlfn.XLOOKUP(_xlfn.XLOOKUP(B31,'Base stats'!B:B,'Base stats'!E:E),Groups!A:A,Groups!G:G)=2,ISNUMBER(SEARCH("Desert",BV31)),ISNUMBER(SEARCH("ExtremeDesert",BV31)),ISNUMBER(SEARCH("LavaField",BV31))),50,IF(ISNUMBER(SEARCH("Grasslands",BV31)),45,IF(OR(_xlfn.XLOOKUP(_xlfn.XLOOKUP(B31,'Base stats'!B:B,'Base stats'!E:E),Groups!A:A,Groups!G:G)=1,ISNUMBER(SEARCH("TropicalRainforest",BV31)),ISNUMBER(SEARCH("TropicalSwamp",BV31))),40,IF(OR(ISNUMBER(SEARCH("TemperateForest",BV31)),ISNUMBER(SEARCH("TemperateSwamp",BV31))),35,IF(OR(ISNUMBER(SEARCH("Alpine",BV31)),ISNUMBER(SEARCH("BorealForest",BV31)),ISNUMBER(SEARCH("ColdBog",BV31))),30,IF(ISNUMBER(OR(ISNUMBER(SEARCH("GlacialPlain",BV31)),SEARCH("Tundra",BV31))),25,IF(OR(ISNUMBER(SEARCH("SeaIce",BV31)),ISNUMBER(SEARCH("IceSheet",BV31)),ISNUMBER(SEARCH("TropicalSwamp",BV31))),10,35)))))))+_xlfn.XLOOKUP(B31,'Base stats'!B:B,'Base stats'!Q:Q)</f>
        <v>40</v>
      </c>
      <c r="M31" s="8" t="str">
        <f>IF(_xlfn.XLOOKUP(_xlfn.XLOOKUP(B31,'Base stats'!B:B,'Base stats'!E:E),Groups!A:A,Groups!L:L)=1,MIN(MROUND(_xlfn.XLOOKUP(B31,'Animals CE'!B:B,'Animals CE'!Z:Z)/2+0.05,0.05),200%),"No")</f>
        <v>No</v>
      </c>
      <c r="N31" s="8" t="str">
        <f>IF(_xlfn.XLOOKUP(_xlfn.XLOOKUP(B31,'Base stats'!B:B,'Base stats'!E:E),Groups!A:A,Groups!L:L)=1,MIN(MROUND(_xlfn.XLOOKUP(B31,'Animals CE'!B:B,'Animals CE'!AA:AA)/2+0.05,0.05),200%),"No")</f>
        <v>No</v>
      </c>
      <c r="O31" s="2" t="str">
        <f>_xlfn.XLOOKUP(B31,'Base stats'!B:B,'Base stats'!R:R)</f>
        <v>Standard</v>
      </c>
      <c r="P31" s="13">
        <f>MROUND((LOG10(_xlfn.XLOOKUP(B31,'Base stats'!B:B,'Base stats'!AO:AO))*(AN31^0.5)+(_xlfn.XLOOKUP(B31,'Base stats'!B:B,'Base stats'!AO:AO)/1000)^(2/3)+_xlfn.XLOOKUP(B31,'Base stats'!B:B,'Base stats'!AX:AX)/2)+0.5,0.5)</f>
        <v>3</v>
      </c>
      <c r="Q31" s="7">
        <f>IF(P31="No","No",MAX(1,MROUND(_xlfn.XLOOKUP(B31,'Base stats'!B:B,'Base stats'!C:C)^0.165,0.05)))</f>
        <v>1.35</v>
      </c>
      <c r="R31" s="13" t="str">
        <f>IF(_xlfn.XLOOKUP(_xlfn.XLOOKUP(B31,'Base stats'!B:B,'Base stats'!E:E),Groups!A:A,Groups!P:P)=0,"No",MROUND((LOG10(_xlfn.XLOOKUP(B31,'Base stats'!B:B,'Base stats'!AP:AP))*(AN31^0.5)+(_xlfn.XLOOKUP(B31,'Base stats'!B:B,'Base stats'!AP:AP)/1000)^(2/3)+_xlfn.XLOOKUP(B31,'Base stats'!B:B,'Base stats'!AX:AX))+_xlfn.XLOOKUP(B31,'Base stats'!B:B,'Base stats'!AV:AV)+0.5,0.5))</f>
        <v>No</v>
      </c>
      <c r="S31" s="7" t="str">
        <f>IF(R31="No","No",MAX(_xlfn.XLOOKUP(_xlfn.XLOOKUP(B31,'Base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T31" s="7" t="str">
        <f>IF(R31="No","No",_xlfn.XLOOKUP(_xlfn.XLOOKUP(B31,'Base stats'!B:B,'Base stats'!E:E),Groups!A:A,Groups!R:R))</f>
        <v>No</v>
      </c>
      <c r="U31" s="7" t="str">
        <f>IF(R31="No","No",_xlfn.XLOOKUP(_xlfn.XLOOKUP(B31,'Base stats'!B:B,'Base stats'!E:E),Groups!A:A,Groups!S:S))</f>
        <v>No</v>
      </c>
      <c r="V31" s="7" t="str">
        <f>IF(R31="No","No",_xlfn.XLOOKUP(_xlfn.XLOOKUP(B31,'Base stats'!B:B,'Base stats'!E:E),Groups!A:A,Groups!T:T))</f>
        <v>No</v>
      </c>
      <c r="W31" s="13" t="str">
        <f>IF(_xlfn.XLOOKUP(B31,'Base stats'!B:B,'Base stats'!W:W)="No","No",MROUND((LOG10(_xlfn.XLOOKUP(B31,'Base stats'!B:B,'Base stats'!AR:AR))*(AN31^0.5)+(_xlfn.XLOOKUP(B31,'Base stats'!B:B,'Base stats'!AR:AR)/1000)^(2/3)+_xlfn.XLOOKUP(B31,'Base stats'!B:B,'Base stats'!AW:AW))+0.5+IF(_xlfn.XLOOKUP(_xlfn.XLOOKUP(B31,'Base stats'!B:B,'Base stats'!E:E),Groups!A:A,Groups!U:U)&lt;&gt;3,_xlfn.XLOOKUP(B31,'Base stats'!B:B,'Base stats'!AX:AX),0),0.5))</f>
        <v>No</v>
      </c>
      <c r="X31" s="7" t="str">
        <f>IF(W31="No","No",MAX(_xlfn.XLOOKUP(_xlfn.XLOOKUP(B31,'Base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Y31" s="7" t="str">
        <f>IF(W31="No","No",_xlfn.XLOOKUP(_xlfn.XLOOKUP(B31,'Base stats'!B:B,'Base stats'!E:E),Groups!A:A,Groups!W:W))</f>
        <v>No</v>
      </c>
      <c r="Z31" s="7" t="str">
        <f>IF(W31="No","No",_xlfn.XLOOKUP(_xlfn.XLOOKUP(B31,'Base stats'!B:B,'Base stats'!E:E),Groups!A:A,Groups!X:X))</f>
        <v>No</v>
      </c>
      <c r="AA31" s="7" t="str">
        <f>IF(W31="No","No",_xlfn.XLOOKUP(_xlfn.XLOOKUP(B31,'Base stats'!B:B,'Base stats'!E:E),Groups!A:A,Groups!Y:Y))</f>
        <v>No</v>
      </c>
      <c r="AB31" s="7" t="str">
        <f>_xlfn.XLOOKUP(Animals!B31,'Base stats'!B:B,'Base stats'!X:X)</f>
        <v>False</v>
      </c>
      <c r="AC31" s="13">
        <f>IF(_xlfn.XLOOKUP(B31,'Base stats'!B:B,'Base stats'!AQ:AQ)="No","No",MROUND((LOG10(_xlfn.XLOOKUP(B31,'Base stats'!B:B,'Base stats'!AQ:AQ))*(AN31^0.75)+(_xlfn.XLOOKUP(B31,'Base stats'!B:B,'Base stats'!AQ:AQ)/1000)^(2/3)+_xlfn.XLOOKUP(B31,'Base stats'!B:B,'Base stats'!AU:AU)+_xlfn.XLOOKUP(B31,'Base stats'!B:B,'Base stats'!AX:AX))+0.5,0.5))</f>
        <v>5</v>
      </c>
      <c r="AD31" s="7">
        <f>IF(AC31="No","No",MAX(_xlfn.XLOOKUP(_xlfn.XLOOKUP(B31,'Base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E31" s="7" t="str">
        <f>IF(AC31="No","No",_xlfn.XLOOKUP(_xlfn.XLOOKUP(B31,'Base stats'!B:B,'Base stats'!E:E),Groups!A:A,Groups!AA:AA))</f>
        <v>Teeth</v>
      </c>
      <c r="AF31" s="7" t="str">
        <f>IF(AC31="No","No",_xlfn.XLOOKUP(_xlfn.XLOOKUP(B31,'Base stats'!B:B,'Base stats'!E:E),Groups!A:A,Groups!AB:AB))</f>
        <v>canines</v>
      </c>
      <c r="AG31" s="7" t="str">
        <f>IF(AC31="No","No",_xlfn.XLOOKUP(_xlfn.XLOOKUP(B31,'Base stats'!B:B,'Base stats'!E:E),Groups!A:A,Groups!AC:AC))</f>
        <v>Bite</v>
      </c>
      <c r="AH31" s="13">
        <f>IF(_xlfn.XLOOKUP(_xlfn.XLOOKUP(B31,'Base stats'!B:B,'Base stats'!E:E),Groups!A:A,Groups!AD:AD)=0,"No",MROUND((LOG10(_xlfn.XLOOKUP(B31,'Base stats'!B:B,'Base stats'!AP:AP))*(AN31^0.75)+(_xlfn.XLOOKUP(B31,'Base stats'!B:B,'Base stats'!AP:AP)/1000)^(2/3)+_xlfn.XLOOKUP(B31,'Base stats'!B:B,'Base stats'!AV:AV)+_xlfn.XLOOKUP(B31,'Base stats'!B:B,'Base stats'!AX:AX))+0.5,0.5))</f>
        <v>3.5</v>
      </c>
      <c r="AI31" s="7">
        <f>IF(AH31="No","No",MAX(_xlfn.XLOOKUP(_xlfn.XLOOKUP(B31,'Base stats'!B:B,'Base stats'!E:E),Groups!A:A,Groups!AE:AE),MROUND(_xlfn.XLOOKUP(_xlfn.XLOOKUP(B31,'Base stats'!B:B,'Base stats'!E:E),Groups!A:A,Groups!AE:AE)*_xlfn.XLOOKUP(B31,'Base stats'!B:B,'Base stats'!C:C)^0.165,0.05)))</f>
        <v>0.9</v>
      </c>
      <c r="AJ31" s="7" t="str">
        <f>IF(AH31="No","No",_xlfn.XLOOKUP(_xlfn.XLOOKUP(B31,'Base stats'!B:B,'Base stats'!E:E),Groups!A:A,Groups!AF:AF))</f>
        <v>LeftHand, RightHand</v>
      </c>
      <c r="AK31" s="7" t="str">
        <f>IF(AH31="No","No",_xlfn.XLOOKUP(_xlfn.XLOOKUP(B31,'Base stats'!B:B,'Base stats'!E:E),Groups!A:A,Groups!AG:AG))</f>
        <v>left fist, right fist</v>
      </c>
      <c r="AL31" s="7" t="str">
        <f>IF(AH31="No","No",_xlfn.XLOOKUP(_xlfn.XLOOKUP(B31,'Base stats'!B:B,'Base stats'!E:E),Groups!A:A,Groups!AH:AH))</f>
        <v>Blunt</v>
      </c>
      <c r="AM31" s="2" t="str">
        <f t="shared" si="0"/>
        <v>No</v>
      </c>
      <c r="AN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O31" s="8">
        <f>MROUND(AN31*_xlfn.XLOOKUP(_xlfn.XLOOKUP(B31,'Base stats'!B:B,'Base stats'!E:E),Groups!A:A,Groups!AI:AI),0.05)</f>
        <v>0.35000000000000003</v>
      </c>
      <c r="AP31" s="8">
        <f>MAX(0.01,MROUND(IF(CA31="True",0.196*(AN31*100*1000)^0.889,IF(_xlfn.XLOOKUP(_xlfn.XLOOKUP(B31,'Base stats'!B:B,'Base stats'!E:E),Groups!A:A,Groups!AJ:AJ)="Bird",10.5*(AN31*100*1000)^0.681,4.82*(AN31*100*1000)^0.734))/(4.82*(1*100*1000)^0.734)/IF(AN31&lt;3.5,2,IF(AN31=3.5,1.5,1.25))*(1+0.132282374779864/(AN31^0.994035016789033+0.00905238001496948)),0.05))</f>
        <v>0.30000000000000004</v>
      </c>
      <c r="AQ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R31" s="35">
        <f>IFERROR(IF(_xlfn.XLOOKUP(B31,'Base stats'!B:B,'Base stats'!F:F)="Lay eggs","Lay eggs",MIN(20,MAX(5.5,ROUND(((_xlfn.XLOOKUP(B31,'Base stats'!B:B,'Base stats'!F:F)-25)*(14.5/615) + 5.5)*2,0)/2))),"Cannot breed")</f>
        <v>9</v>
      </c>
      <c r="AS31" s="8">
        <f>IF(OR(A31="Queen",A31="Larva"),"No",IFERROR(MAX(IF(_xlfn.XLOOKUP(B31,'Base stats'!B:B,'Base stats'!G:G)&lt;0.5,0.2,0.3),MROUND(_xlfn.XLOOKUP(B31,'Base stats'!B:B,'Base stats'!G:G)/(365/60),0.2)),"Unknown"))</f>
        <v>0.60000000000000009</v>
      </c>
      <c r="AT31" s="8">
        <f t="shared" si="1"/>
        <v>0.30000000000000004</v>
      </c>
      <c r="AU31" s="8">
        <f>IFERROR(IFERROR(MROUND(_xlfn.XLOOKUP(B31,'Base stats'!B:B,'Base stats'!J:J),0.1),"Lay eggs"),"Cannot breed")</f>
        <v>1</v>
      </c>
      <c r="AV31" s="2" t="str">
        <f t="shared" si="2"/>
        <v>true</v>
      </c>
      <c r="AW31" s="2" t="str">
        <f>IF(_xlfn.XLOOKUP(_xlfn.XLOOKUP(Animals!B31,'Base stats'!B:B,'Base stats'!E:E),Groups!A:A,Groups!AK:AK)=1,"true","false")</f>
        <v>false</v>
      </c>
      <c r="AX31" s="25" t="str">
        <f>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</f>
        <v>OmnivoreRoughAnimal, OvivoreAnimal</v>
      </c>
      <c r="AY31" s="2" t="str">
        <f>IF(_xlfn.XLOOKUP(_xlfn.XLOOKUP(B31,'Base stats'!B:B,'Base stats'!E:E),Groups!A:A,Groups!D:D)=1,MROUND((1-I31)*5+1,2)*IF(I31&lt;=0.4,2,1),"No")</f>
        <v>No</v>
      </c>
      <c r="AZ31" s="2" t="str">
        <f>_xlfn.XLOOKUP(B31,'Base stats'!B:B,'Base stats'!AE:AE)</f>
        <v>Leather_Light</v>
      </c>
      <c r="BA31" s="23" t="str">
        <f>_xlfn.XLOOKUP(_xlfn.XLOOKUP(B31,'Base stats'!B:B,'Base stats'!E:E),Groups!A:A,Groups!AL:AL)</f>
        <v>Monkey</v>
      </c>
      <c r="BB31" s="23">
        <f>MROUND(IF(AND(AN31&lt;0.5,_xlfn.XLOOKUP(B31,'Base stats'!B:B,'Base stats'!Z:Z)=0),0,IF(OR(_xlfn.XLOOKUP(Animals!B31,'Base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stats'!AA:AA),0.005)</f>
        <v>0</v>
      </c>
      <c r="BC31" s="23">
        <f>MROUND(IF(AND(AN31&lt;0.5,_xlfn.XLOOKUP(B31,'Base stats'!B:B,'Base stats'!Z:Z)=0),0,IF(_xlfn.XLOOKUP(_xlfn.XLOOKUP(B31,'Base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stats'!AB:AB),0.005)</f>
        <v>0</v>
      </c>
      <c r="BD31" s="2" t="str">
        <f>IF(I31&gt;0.3,"No",_xlfn.XLOOKUP(_xlfn.XLOOKUP(Animals!B31,'Base stats'!B:B,'Base stats'!E:E),Groups!A:A,Groups!AP:AP))</f>
        <v>No</v>
      </c>
      <c r="BE31" s="2">
        <f>IF(AND(I31&lt;=0.65,_xlfn.XLOOKUP(_xlfn.XLOOKUP(Animals!B31,'Base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stats'!O:O)=2,0.2,AN31) + 24*(1-IF(BD31="No",0,BD31)) + 16/3, 12),"No")</f>
        <v>36</v>
      </c>
      <c r="BF31" s="2">
        <f>IF(AND(_xlfn.XLOOKUP(_xlfn.XLOOKUP(B31,'Base stats'!B:B,'Base stats'!E:E),Groups!A:A,Groups!AQ:AQ)=1,AN31&lt;=0.35),8,12)</f>
        <v>12</v>
      </c>
      <c r="BG31" s="2" t="str">
        <f>IF(_xlfn.XLOOKUP(_xlfn.XLOOKUP(B31,'Base stats'!B:B,'Base stats'!E:E),Groups!A:A,Groups!D:D)=0,_xlfn.XLOOKUP(_xlfn.XLOOKUP(B31,'Base stats'!B:B,'Base stats'!E:E),Groups!A:A,Groups!AR:AR),"None")</f>
        <v>Advanced</v>
      </c>
      <c r="BH31" s="2" t="str">
        <f>IF(AND(_xlfn.XLOOKUP(_xlfn.XLOOKUP(B31,'Base stats'!B:B,'Base stats'!E:E),Groups!A:A,Groups!AS:AS)=1,OR('Base stats'!Y31="Carnivore",'Base stats'!Y31="Omnivore")),"true","false")</f>
        <v>false</v>
      </c>
      <c r="BI31" s="2" t="str">
        <f>IF(BH31="true",MROUND(IF(AND(AN31&gt;0.5,_xlfn.XLOOKUP(_xlfn.XLOOKUP(B31,'Base stats'!B:B,'Base stats'!E:E),Groups!A:A,Groups!AJ:AJ)="Mammal"),Animals!AN31*1.75*IF(AV31="true",1.5,1),Animals!AN31),IF(AN31&gt;2,0.5,IF(AN31&gt;0.5,0.25,0.1))),"No")</f>
        <v>No</v>
      </c>
      <c r="BJ31" s="2">
        <f t="shared" si="3"/>
        <v>1</v>
      </c>
      <c r="BK31" s="25" t="str">
        <f>IF('Base stats'!AK31="Standard","No",MROUND((_xlfn.XLOOKUP(B31,'Base stats'!B:B,'Base stats'!AK:AK)/3.6)/H31,0.1))</f>
        <v>No</v>
      </c>
      <c r="BL31" s="25" t="str">
        <f t="shared" si="4"/>
        <v>false</v>
      </c>
      <c r="BM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N31" s="25" t="str" cm="1">
        <f t="array" ref="BN31">IF(
  _xlfn.TEXTJOIN(", ",TRUE,
    IF(AND(BH31="true",AN31&gt;0.5,BG31&lt;&gt;"None"),"AttackTarget",""),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IF(BE31&lt;=36,"Comfort",""),
    IF(_xlfn.XLOOKUP(B31,'Base stats'!B:B,'Base stats'!AC:AC)&lt;&gt;"No",_xlfn.XLOOKUP(B31,'Base stats'!B:B,'Base stats'!AC:AC),"")
  ) = "",
  "No",
  _xlfn.TEXTJOIN(", ",TRUE,
    IF(AND(BH31="true",AN31&gt;0.5,BG31&lt;&gt;"None"),"AttackTarget",""),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IF(BE31&lt;=36,"Comfort",""),
    IF(_xlfn.XLOOKUP(B31,'Base stats'!B:B,'Base stats'!AC:AC)&lt;&gt;"No",_xlfn.XLOOKUP(B31,'Base stats'!B:B,'Base stats'!AC:AC),"")
  )
)</f>
        <v>Forage, Comfort</v>
      </c>
      <c r="BO31" s="25" t="str">
        <f>IF(
   AND(
      'Base stats'!AK31="Standard",_xlfn.XLOOKUP(_xlfn.XLOOKUP(B31,'Base stats'!B:B,'Base stats'!E:E),Groups!A:A,Groups!AU:AU)=0,
      OR(
      BM31="True"
      )
   ),
   10,
   IF(
       OR(BK31&lt;&gt;"No",_xlfn.XLOOKUP(_xlfn.XLOOKUP(B31,'Base stats'!B:B,'Base stats'!E:E),Groups!A:A,Groups!AU:AU)=1),
      1,
      "No"
   )
)</f>
        <v>No</v>
      </c>
      <c r="BP31" s="9">
        <f>MROUND((1 + ((0.2*IF(OR(P31="No",Q31="No",Q31=0),0,P31/Q31)
+IF(OR(U31="No",R31="No",S31="No"),0,R31/S31*(LEN(U31)-LEN(SUBSTITUTE(U31,",",""))+1))
+IF(OR(W31="No",X31="No"),0,W31/X31)
+IF(OR(AC31="No",AD31="No"),0,AC31/AD31)
+IF(OR(AK31="No",AH31="No",AI31="No"),0,AH31/AI31*(LEN(AK31)-LEN(SUBSTITUTE(AK31,",",""))+1))
)/(0.2*IF(OR(P31="No",Q31="No",Q31=0),0,1)
+IF(OR(U31="No",R31="No",S31="No"),0,LEN(U31)-LEN(SUBSTITUTE(U31,",",""))+1)
+IF(OR(W31="No",X31="No"),0,1)
+IF(OR(AC31="No",AD31="No"),0,1)
+IF(OR(AK31="No",AH31="No",AI31="No"),0,LEN(AK31)-LEN(SUBSTITUTE(AK31,",",""))+1))*62%)* 2)*(1 + (AO31 + _xlfn.XLOOKUP(B31,'Base stats'!B:B,'Base stats'!AS:AS) * 1.8) * 2) * 2.5 + 10 + H31 * 2,5)+IF(_xlfn.XLOOKUP(B31,'Base stats'!B:B,'Base stats'!AH:AH)=1,50,0)</f>
        <v>45</v>
      </c>
      <c r="BQ31" s="8">
        <f t="shared" si="5"/>
        <v>0.30000000000000004</v>
      </c>
      <c r="BR31" s="8" t="str">
        <f>_xlfn.XLOOKUP(B31,'Base stats'!B:B,'Base stats'!AD:AD)</f>
        <v>5~15</v>
      </c>
      <c r="BS31" s="2" t="str">
        <f>IF(AND(I31&lt;=0.95,OR(_xlfn.XLOOKUP(B31,'Base stats'!B:B,'Base stats'!AH:AH)=1,_xlfn.XLOOKUP(B31,'Base stats'!B:B,'Base stats'!Y:Y)="Carnivore",_xlfn.XLOOKUP(B31,'Base stats'!B:B,'Base stats'!Y:Y)="Omnivore",BC31&gt;0.1)),"true","false")</f>
        <v>false</v>
      </c>
      <c r="BT31" s="2" t="str">
        <f>IF(_xlfn.XLOOKUP(B31,'Base stats'!B:B,'Base stats'!AF:AF)=1,"true","false")</f>
        <v>false</v>
      </c>
      <c r="BU31" s="25" t="str">
        <f>IF(E31="BaseInsect","AnimalInsect",
IF(I31&gt;0.95,"AnimalExotic",
_xlfn.TEXTJOIN(", ",TRUE,
IF(AND(_xlfn.XLOOKUP(B31,'Base stats'!B:B,'Base stats'!O:O)=0,_xlfn.XLOOKUP(_xlfn.XLOOKUP(B31,'Base stats'!B:B,'Base stats'!E:E),Groups!A:A,Groups!B:B)&gt;0),"AnimalUncommon","AnimalCommon"),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stats'!AH:AH)=1,AND(BG31&lt;&gt;"None",BP31&gt;=60),ISNUMBER(SEARCH("Attack target",BN31))),"AnimalFighter","")
)))</f>
        <v>AnimalUncommon</v>
      </c>
      <c r="BV31" s="25" t="str">
        <f>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</f>
        <v>TropicalRainforest TropicalSwamp Glowforest</v>
      </c>
      <c r="BW31" s="25" t="str">
        <f>IF(_xlfn.XLOOKUP(B31,'Base stats'!B:B,'Base stats'!AG:AG)=1,"true","false")</f>
        <v>false</v>
      </c>
      <c r="BX31" s="25">
        <f>IF(_xlfn.XLOOKUP(B31,'Base stats'!B:B,'Base stats'!N:N)=1,"No",MIN(MROUND(IF(OR(_xlfn.XLOOKUP(B31,'Base stats'!B:B,'Base stats'!AJ:AJ)=1,AND(BH31="True",CA31="False")),POWER(10,3.47*LOG10(_xlfn.XLOOKUP(B31,'Base stats'!B:B,'Base stats'!C:C)*1000)^-0.96),POWER(10,4.15*LOG10(_xlfn.XLOOKUP(B31,'Base stats'!B:B,'Base stats'!C:C)*1000)^-0.73))*IF(OR(_xlfn.XLOOKUP(B31,'Base stats'!B:B,'Base stats'!AJ:AJ)=1,_xlfn.XLOOKUP(B31,'Base stats'!B:B,'Base stats'!AH:AH)=1),0.5,1)/100,0.025),1))</f>
        <v>0.375</v>
      </c>
      <c r="BY31" s="25" t="str">
        <f>IF(O31="Standard","No",IF(_xlfn.XLOOKUP(B31,'Base stats'!B:B,'Base stats'!N:N)=0,MROUND(BX31*O31,0.05),MIN(1,MAX(0.025,MROUND(IF(OR(CA31="true",AND(BH31="false",BM31="false")),POWER(10,4.15*LOG10(_xlfn.XLOOKUP(B31,'Base stats'!B:B,'Base stats'!C:C)*1000)^-0.73),POWER(10,3.47*LOG10(_xlfn.XLOOKUP(B31,'Base stats'!B:B,'Base stats'!C:C)*1000)^-0.96))*IF(_xlfn.XLOOKUP(B31,'Base stats'!B:B,'Base stats'!AH:AH)=1,0.5,1)/100,0.025)))))</f>
        <v>No</v>
      </c>
      <c r="BZ31" s="25" t="str">
        <f>IF(_xlfn.XLOOKUP(_xlfn.XLOOKUP(B31,'Base stats'!B:B,'Base stats'!E:E),Groups!A:A,Groups!AJ:AJ)="Mammal","True","False")</f>
        <v>True</v>
      </c>
      <c r="CA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B31" s="25" t="str">
        <f t="shared" si="6"/>
        <v>False</v>
      </c>
      <c r="CC31" s="25" t="str">
        <f>IF(_xlfn.XLOOKUP(_xlfn.XLOOKUP(B31,'Base stats'!B:B,'Base stats'!E:E),Groups!A:A,Groups!AW:AW),"True","False")</f>
        <v>False</v>
      </c>
      <c r="CD31" s="25" t="str">
        <f>IF(_xlfn.XLOOKUP(_xlfn.XLOOKUP(B31,'Base stats'!B:B,'Base stats'!E:E),Groups!A:A,Groups!AX:AX),"True","False")</f>
        <v>False</v>
      </c>
      <c r="CE31" s="25" t="str">
        <f>IF(_xlfn.XLOOKUP(B31,'Base stats'!B:B,'Base stats'!E:E)=1,"True","False")</f>
        <v>False</v>
      </c>
      <c r="CF31" s="25" t="str">
        <f>IF(
OR(
_xlfn.XLOOKUP(_xlfn.XLOOKUP(B31,'Base stats'!B:B,'Base stats'!E:E),Groups!A:A,Groups!AY:AY)=0,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stats'!E:E),Groups!A:A,Groups!AY:AY)=1,
"Flesh",
IF(
_xlfn.XLOOKUP(_xlfn.XLOOKUP(B31,'Base stats'!B:B,'Base stats'!E:E),Groups!A:A,Groups!AY:AY)=2,
"Bone",
""
)
)
)</f>
        <v>No</v>
      </c>
      <c r="CG31" s="25" t="str">
        <f>IF(_xlfn.XLOOKUP(_xlfn.XLOOKUP(B31,'Base stats'!B:B,'Base stats'!E:E),Groups!A:A,Groups!BA:BA),"True","False")</f>
        <v>True</v>
      </c>
      <c r="CH31" s="25" t="str">
        <f>IF(_xlfn.XLOOKUP(_xlfn.XLOOKUP(B31,'Base stats'!B:B,'Base stats'!E:E),Groups!A:A,Groups!AZ:AZ),"True","False")</f>
        <v>False</v>
      </c>
    </row>
    <row r="32" spans="1:91" ht="16.5" thickTop="1" thickBot="1" x14ac:dyDescent="0.3">
      <c r="A32" s="26" t="str">
        <f>_xlfn.XLOOKUP(B32,'Base stats'!B:B,'Base stats'!A:A)</f>
        <v>Iguana</v>
      </c>
      <c r="B32" s="6" t="s">
        <v>103</v>
      </c>
      <c r="C32" s="28" t="s">
        <v>719</v>
      </c>
      <c r="D32" s="28" t="s">
        <v>45</v>
      </c>
      <c r="E32" s="28" t="s">
        <v>685</v>
      </c>
      <c r="F32" s="28" t="s">
        <v>685</v>
      </c>
      <c r="G32" s="2">
        <f>MROUND((
  (IF(AND(_xlfn.XLOOKUP(B32,'Base stats'!B:B,'Base stats'!AI:AI)=0,BG32="None",_xlfn.XLOOKUP('Base stats'!E32,Groups!A:A,Groups!B:B)=0), (18 + BP32 * 2.7) * 0.5,
    IF(AND(_xlfn.XLOOKUP(B32,'Base stats'!B:B,'Base stats'!AI:AI)=0,OR(AN32&lt;0.55,AND(BG32="Intermediate",_xlfn.XLOOKUP('Base stats'!E32,Groups!A:A,Groups!B:B)&lt;2))), (18 + BP32 * 2.7),
      IF(OR(BG32="Advanced",_xlfn.XLOOKUP(B32,'Base stats'!B:B,'Base stats'!AI:AI)=1,_xlfn.XLOOKUP('Base stats'!E32,Groups!A:A,Groups!B:B)=2), (18 + BP32 * 2.7) + 250, (18 + BP32 * 2.7))
    )
  ))
  + AN32 * 80
  + IF(COUNTIF(EggMilk!K$2:K$998, A32) &gt; 0, 125, 0)
  + IF(COUNTIF(EggMilk!P$2:P$998, A32) &gt; 0, 90, 0)
  + IF(COUNTIF(EggMilk!A$2:A$998, A32) &gt; 0, 90, 0)
)
* (0.8 + 0.4 * I32)
* 0.75,25)</f>
        <v>175</v>
      </c>
      <c r="H32" s="2">
        <f>MROUND(ROUNDDOWN(_xlfn.XLOOKUP(B32,'Base stats'!B:B,'Base stats'!L:L)/3.6/(23.3/11),1),0.5)</f>
        <v>3.5</v>
      </c>
      <c r="I32" s="2">
        <f>IF(_xlfn.XLOOKUP(B32,'Base stats'!B:B,'Base stats'!AI:AI)=1,0.99,MIN(MROUND((1-0.6282*EXP(-0.459*AN32))*_xlfn.XLOOKUP(_xlfn.XLOOKUP(B32,'Base stats'!B:B,'Base stats'!E:E),Groups!A:A,Groups!C:C)*IF(_xlfn.XLOOKUP(B32,'Base stats'!B:B,'Base stats'!O:O)=1,0.5,IF(_xlfn.XLOOKUP(B32,'Base stats'!B:B,'Base stats'!O:O)=2,0,1)),0.05),0.985))</f>
        <v>0.55000000000000004</v>
      </c>
      <c r="J32" s="2">
        <f>ROUNDUP(AN32*_xlfn.XLOOKUP(_xlfn.XLOOKUP(B32,'Base stats'!B:B,'Base stats'!E:E),Groups!A:A,Groups!E:E),0)</f>
        <v>1</v>
      </c>
      <c r="K32" s="2">
        <f>IF(OR(_xlfn.XLOOKUP(_xlfn.XLOOKUP(B32,'Base stats'!B:B,'Base stats'!E:E),Groups!A:A,Groups!F:F)=2,ISNUMBER(SEARCH("SeaIce",BV32)),ISNUMBER(SEARCH("IceSheet",BV32))),-50,IF(OR(ISNUMBER(SEARCH("GlacialPlain",BV32)),ISNUMBER(SEARCH("Tundra",BV32))),-40,IF(OR(ISNUMBER(SEARCH("Alpine",BV32)),ISNUMBER(SEARCH("BorealForest",BV32)),ISNUMBER(SEARCH("ColdBog",BV32))),-30,IF(OR(ISNUMBER(SEARCH("TemperateForest",BV32)),ISNUMBER(SEARCH("TemperateSwamp",BV32))),-20,IF(_xlfn.XLOOKUP(_xlfn.XLOOKUP(B32,'Base stats'!B:B,'Base stats'!E:E),Groups!A:A,Groups!F:F)=1,-15,IF(OR(ISNUMBER(SEARCH("Desert",BV32)),ISNUMBER(SEARCH("ExtremeDesert",BV32))),-10,IF(OR(ISNUMBER(SEARCH("Grasslands",BV32)),ISNUMBER(SEARCH("TropicalRainforest",BV32)),ISNUMBER(SEARCH("TropicalSwamp",BV32))),10,0)))))))-IF(CA32="False",MIN(IFERROR(MAX(MROUND(LOG10(_xlfn.XLOOKUP(B32,'Base stats'!B:B,'Base stats'!C:C)^(2/3))*10,5),5),5),30))-_xlfn.XLOOKUP(B32,'Base stats'!B:B,'Base stats'!P:P)+IF(CA32="True",5,0)</f>
        <v>15</v>
      </c>
      <c r="L32" s="2">
        <f>IF(OR(_xlfn.XLOOKUP(_xlfn.XLOOKUP(B32,'Base stats'!B:B,'Base stats'!E:E),Groups!A:A,Groups!G:G)=2,ISNUMBER(SEARCH("Desert",BV32)),ISNUMBER(SEARCH("ExtremeDesert",BV32)),ISNUMBER(SEARCH("LavaField",BV32))),50,IF(ISNUMBER(SEARCH("Grasslands",BV32)),45,IF(OR(_xlfn.XLOOKUP(_xlfn.XLOOKUP(B32,'Base stats'!B:B,'Base stats'!E:E),Groups!A:A,Groups!G:G)=1,ISNUMBER(SEARCH("TropicalRainforest",BV32)),ISNUMBER(SEARCH("TropicalSwamp",BV32))),40,IF(OR(ISNUMBER(SEARCH("TemperateForest",BV32)),ISNUMBER(SEARCH("TemperateSwamp",BV32))),35,IF(OR(ISNUMBER(SEARCH("Alpine",BV32)),ISNUMBER(SEARCH("BorealForest",BV32)),ISNUMBER(SEARCH("ColdBog",BV32))),30,IF(ISNUMBER(OR(ISNUMBER(SEARCH("GlacialPlain",BV32)),SEARCH("Tundra",BV32))),25,IF(OR(ISNUMBER(SEARCH("SeaIce",BV32)),ISNUMBER(SEARCH("IceSheet",BV32)),ISNUMBER(SEARCH("TropicalSwamp",BV32))),10,35)))))))+_xlfn.XLOOKUP(B32,'Base stats'!B:B,'Base stats'!Q:Q)</f>
        <v>40</v>
      </c>
      <c r="M32" s="8" t="str">
        <f>IF(_xlfn.XLOOKUP(_xlfn.XLOOKUP(B32,'Base stats'!B:B,'Base stats'!E:E),Groups!A:A,Groups!L:L)=1,MIN(MROUND(_xlfn.XLOOKUP(B32,'Animals CE'!B:B,'Animals CE'!Z:Z)/2+0.05,0.05),200%),"No")</f>
        <v>No</v>
      </c>
      <c r="N32" s="8" t="str">
        <f>IF(_xlfn.XLOOKUP(_xlfn.XLOOKUP(B32,'Base stats'!B:B,'Base stats'!E:E),Groups!A:A,Groups!L:L)=1,MIN(MROUND(_xlfn.XLOOKUP(B32,'Animals CE'!B:B,'Animals CE'!AA:AA)/2+0.05,0.05),200%),"No")</f>
        <v>No</v>
      </c>
      <c r="O32" s="2">
        <f>_xlfn.XLOOKUP(B32,'Base stats'!B:B,'Base stats'!R:R)</f>
        <v>0.8</v>
      </c>
      <c r="P32" s="13">
        <f>MROUND((LOG10(_xlfn.XLOOKUP(B32,'Base stats'!B:B,'Base stats'!AO:AO))*(AN32^0.5)+(_xlfn.XLOOKUP(B32,'Base stats'!B:B,'Base stats'!AO:AO)/1000)^(2/3)+_xlfn.XLOOKUP(B32,'Base stats'!B:B,'Base stats'!AX:AX)/2)+0.5,0.5)</f>
        <v>2</v>
      </c>
      <c r="Q32" s="7">
        <f>IF(P32="No","No",MAX(1,MROUND(_xlfn.XLOOKUP(B32,'Base stats'!B:B,'Base stats'!C:C)^0.165,0.05)))</f>
        <v>1.05</v>
      </c>
      <c r="R32" s="13" t="str">
        <f>IF(_xlfn.XLOOKUP(_xlfn.XLOOKUP(B32,'Base stats'!B:B,'Base stats'!E:E),Groups!A:A,Groups!P:P)=0,"No",MROUND((LOG10(_xlfn.XLOOKUP(B32,'Base stats'!B:B,'Base stats'!AP:AP))*(AN32^0.5)+(_xlfn.XLOOKUP(B32,'Base stats'!B:B,'Base stats'!AP:AP)/1000)^(2/3)+_xlfn.XLOOKUP(B32,'Base stats'!B:B,'Base stats'!AX:AX))+_xlfn.XLOOKUP(B32,'Base stats'!B:B,'Base stats'!AV:AV)+0.5,0.5))</f>
        <v>No</v>
      </c>
      <c r="S32" s="7" t="str">
        <f>IF(R32="No","No",MAX(_xlfn.XLOOKUP(_xlfn.XLOOKUP(B32,'Base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T32" s="7" t="str">
        <f>IF(R32="No","No",_xlfn.XLOOKUP(_xlfn.XLOOKUP(B32,'Base stats'!B:B,'Base stats'!E:E),Groups!A:A,Groups!R:R))</f>
        <v>No</v>
      </c>
      <c r="U32" s="7" t="str">
        <f>IF(R32="No","No",_xlfn.XLOOKUP(_xlfn.XLOOKUP(B32,'Base stats'!B:B,'Base stats'!E:E),Groups!A:A,Groups!S:S))</f>
        <v>No</v>
      </c>
      <c r="V32" s="7" t="str">
        <f>IF(R32="No","No",_xlfn.XLOOKUP(_xlfn.XLOOKUP(B32,'Base stats'!B:B,'Base stats'!E:E),Groups!A:A,Groups!T:T))</f>
        <v>No</v>
      </c>
      <c r="W32" s="13" t="str">
        <f>IF(_xlfn.XLOOKUP(B32,'Base stats'!B:B,'Base stats'!W:W)="No","No",MROUND((LOG10(_xlfn.XLOOKUP(B32,'Base stats'!B:B,'Base stats'!AR:AR))*(AN32^0.5)+(_xlfn.XLOOKUP(B32,'Base stats'!B:B,'Base stats'!AR:AR)/1000)^(2/3)+_xlfn.XLOOKUP(B32,'Base stats'!B:B,'Base stats'!AW:AW))+0.5+IF(_xlfn.XLOOKUP(_xlfn.XLOOKUP(B32,'Base stats'!B:B,'Base stats'!E:E),Groups!A:A,Groups!U:U)&lt;&gt;3,_xlfn.XLOOKUP(B32,'Base stats'!B:B,'Base stats'!AX:AX),0),0.5))</f>
        <v>No</v>
      </c>
      <c r="X32" s="7" t="str">
        <f>IF(W32="No","No",MAX(_xlfn.XLOOKUP(_xlfn.XLOOKUP(B32,'Base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Y32" s="7" t="str">
        <f>IF(W32="No","No",_xlfn.XLOOKUP(_xlfn.XLOOKUP(B32,'Base stats'!B:B,'Base stats'!E:E),Groups!A:A,Groups!W:W))</f>
        <v>No</v>
      </c>
      <c r="Z32" s="7" t="str">
        <f>IF(W32="No","No",_xlfn.XLOOKUP(_xlfn.XLOOKUP(B32,'Base stats'!B:B,'Base stats'!E:E),Groups!A:A,Groups!X:X))</f>
        <v>No</v>
      </c>
      <c r="AA32" s="7" t="str">
        <f>IF(W32="No","No",_xlfn.XLOOKUP(_xlfn.XLOOKUP(B32,'Base stats'!B:B,'Base stats'!E:E),Groups!A:A,Groups!Y:Y))</f>
        <v>No</v>
      </c>
      <c r="AB32" s="7" t="str">
        <f>_xlfn.XLOOKUP(Animals!B32,'Base stats'!B:B,'Base stats'!X:X)</f>
        <v>False</v>
      </c>
      <c r="AC32" s="13">
        <f>IF(_xlfn.XLOOKUP(B32,'Base stats'!B:B,'Base stats'!AQ:AQ)="No","No",MROUND((LOG10(_xlfn.XLOOKUP(B32,'Base stats'!B:B,'Base stats'!AQ:AQ))*(AN32^0.75)+(_xlfn.XLOOKUP(B32,'Base stats'!B:B,'Base stats'!AQ:AQ)/1000)^(2/3)+_xlfn.XLOOKUP(B32,'Base stats'!B:B,'Base stats'!AU:AU)+_xlfn.XLOOKUP(B32,'Base stats'!B:B,'Base stats'!AX:AX))+0.5,0.5))</f>
        <v>2.5</v>
      </c>
      <c r="AD32" s="7">
        <f>IF(AC32="No","No",MAX(_xlfn.XLOOKUP(_xlfn.XLOOKUP(B32,'Base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E32" s="7" t="str">
        <f>IF(AC32="No","No",_xlfn.XLOOKUP(_xlfn.XLOOKUP(B32,'Base stats'!B:B,'Base stats'!E:E),Groups!A:A,Groups!AA:AA))</f>
        <v>Teeth</v>
      </c>
      <c r="AF32" s="7" t="str">
        <f>IF(AC32="No","No",_xlfn.XLOOKUP(_xlfn.XLOOKUP(B32,'Base stats'!B:B,'Base stats'!E:E),Groups!A:A,Groups!AB:AB))</f>
        <v>teeth</v>
      </c>
      <c r="AG32" s="7" t="str">
        <f>IF(AC32="No","No",_xlfn.XLOOKUP(_xlfn.XLOOKUP(B32,'Base stats'!B:B,'Base stats'!E:E),Groups!A:A,Groups!AC:AC))</f>
        <v>Bite</v>
      </c>
      <c r="AH32" s="13">
        <f>IF(_xlfn.XLOOKUP(_xlfn.XLOOKUP(B32,'Base stats'!B:B,'Base stats'!E:E),Groups!A:A,Groups!AD:AD)=0,"No",MROUND((LOG10(_xlfn.XLOOKUP(B32,'Base stats'!B:B,'Base stats'!AP:AP))*(AN32^0.75)+(_xlfn.XLOOKUP(B32,'Base stats'!B:B,'Base stats'!AP:AP)/1000)^(2/3)+_xlfn.XLOOKUP(B32,'Base stats'!B:B,'Base stats'!AV:AV)+_xlfn.XLOOKUP(B32,'Base stats'!B:B,'Base stats'!AX:AX))+0.5,0.5))</f>
        <v>2</v>
      </c>
      <c r="AI32" s="7">
        <f>IF(AH32="No","No",MAX(_xlfn.XLOOKUP(_xlfn.XLOOKUP(B32,'Base stats'!B:B,'Base stats'!E:E),Groups!A:A,Groups!AE:AE),MROUND(_xlfn.XLOOKUP(_xlfn.XLOOKUP(B32,'Base stats'!B:B,'Base stats'!E:E),Groups!A:A,Groups!AE:AE)*_xlfn.XLOOKUP(B32,'Base stats'!B:B,'Base stats'!C:C)^0.165,0.05)))</f>
        <v>0.75</v>
      </c>
      <c r="AJ32" s="7" t="str">
        <f>IF(AH32="No","No",_xlfn.XLOOKUP(_xlfn.XLOOKUP(B32,'Base stats'!B:B,'Base stats'!E:E),Groups!A:A,Groups!AF:AF))</f>
        <v>FrontLeftClaws, FrontRightClaws</v>
      </c>
      <c r="AK32" s="7" t="str">
        <f>IF(AH32="No","No",_xlfn.XLOOKUP(_xlfn.XLOOKUP(B32,'Base stats'!B:B,'Base stats'!E:E),Groups!A:A,Groups!AG:AG))</f>
        <v>left claw, right claw</v>
      </c>
      <c r="AL32" s="7" t="str">
        <f>IF(AH32="No","No",_xlfn.XLOOKUP(_xlfn.XLOOKUP(B32,'Base stats'!B:B,'Base stats'!E:E),Groups!A:A,Groups!AH:AH))</f>
        <v>Scratch</v>
      </c>
      <c r="AM32" s="2" t="str">
        <f t="shared" si="0"/>
        <v>No</v>
      </c>
      <c r="AN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O32" s="8">
        <f>MROUND(AN32*_xlfn.XLOOKUP(_xlfn.XLOOKUP(B32,'Base stats'!B:B,'Base stats'!E:E),Groups!A:A,Groups!AI:AI),0.05)</f>
        <v>0.25</v>
      </c>
      <c r="AP32" s="8">
        <f>MAX(0.01,MROUND(IF(CA32="True",0.196*(AN32*100*1000)^0.889,IF(_xlfn.XLOOKUP(_xlfn.XLOOKUP(B32,'Base stats'!B:B,'Base stats'!E:E),Groups!A:A,Groups!AJ:AJ)="Bird",10.5*(AN32*100*1000)^0.681,4.82*(AN32*100*1000)^0.734))/(4.82*(1*100*1000)^0.734)/IF(AN32&lt;3.5,2,IF(AN32=3.5,1.5,1.25))*(1+0.132282374779864/(AN32^0.994035016789033+0.00905238001496948)),0.05))</f>
        <v>0.05</v>
      </c>
      <c r="AQ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R32" s="35" t="str">
        <f>IFERROR(IF(_xlfn.XLOOKUP(B32,'Base stats'!B:B,'Base stats'!F:F)="Lay eggs","Lay eggs",MIN(20,MAX(5.5,ROUND(((_xlfn.XLOOKUP(B32,'Base stats'!B:B,'Base stats'!F:F)-25)*(14.5/615) + 5.5)*2,0)/2))),"Cannot breed")</f>
        <v>Lay eggs</v>
      </c>
      <c r="AS32" s="8">
        <f>IF(OR(A32="Queen",A32="Larva"),"No",IFERROR(MAX(IF(_xlfn.XLOOKUP(B32,'Base stats'!B:B,'Base stats'!G:G)&lt;0.5,0.2,0.3),MROUND(_xlfn.XLOOKUP(B32,'Base stats'!B:B,'Base stats'!G:G)/(365/60),0.2)),"Unknown"))</f>
        <v>0.8</v>
      </c>
      <c r="AT32" s="8">
        <f t="shared" si="1"/>
        <v>0.4</v>
      </c>
      <c r="AU32" s="8" t="str">
        <f>IFERROR(IFERROR(MROUND(_xlfn.XLOOKUP(B32,'Base stats'!B:B,'Base stats'!J:J),0.1),"Lay eggs"),"Cannot breed")</f>
        <v>Lay eggs</v>
      </c>
      <c r="AV32" s="2" t="str">
        <f t="shared" si="2"/>
        <v>false</v>
      </c>
      <c r="AW32" s="2" t="str">
        <f>IF(_xlfn.XLOOKUP(_xlfn.XLOOKUP(Animals!B32,'Base stats'!B:B,'Base stats'!E:E),Groups!A:A,Groups!AK:AK)=1,"true","false")</f>
        <v>false</v>
      </c>
      <c r="AX32" s="25" t="str">
        <f>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</f>
        <v>VegetarianRoughAnimal</v>
      </c>
      <c r="AY32" s="2" t="str">
        <f>IF(_xlfn.XLOOKUP(_xlfn.XLOOKUP(B32,'Base stats'!B:B,'Base stats'!E:E),Groups!A:A,Groups!D:D)=1,MROUND((1-I32)*5+1,2)*IF(I32&lt;=0.4,2,1),"No")</f>
        <v>No</v>
      </c>
      <c r="AZ32" s="2" t="str">
        <f>_xlfn.XLOOKUP(B32,'Base stats'!B:B,'Base stats'!AE:AE)</f>
        <v>Leather_Lizard</v>
      </c>
      <c r="BA32" s="23" t="str">
        <f>_xlfn.XLOOKUP(_xlfn.XLOOKUP(B32,'Base stats'!B:B,'Base stats'!E:E),Groups!A:A,Groups!AL:AL)</f>
        <v>QuadrupedAnimalWithClawsTailAndJowl</v>
      </c>
      <c r="BB32" s="23">
        <f>MROUND(IF(AND(AN32&lt;0.5,_xlfn.XLOOKUP(B32,'Base stats'!B:B,'Base stats'!Z:Z)=0),0,IF(OR(_xlfn.XLOOKUP(Animals!B32,'Base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stats'!AA:AA),0.005)</f>
        <v>0</v>
      </c>
      <c r="BC32" s="23">
        <f>MROUND(IF(AND(AN32&lt;0.5,_xlfn.XLOOKUP(B32,'Base stats'!B:B,'Base stats'!Z:Z)=0),0,IF(_xlfn.XLOOKUP(_xlfn.XLOOKUP(B32,'Base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stats'!AB:AB),0.005)</f>
        <v>0</v>
      </c>
      <c r="BD32" s="2" t="str">
        <f>IF(I32&gt;0.3,"No",_xlfn.XLOOKUP(_xlfn.XLOOKUP(Animals!B32,'Base stats'!B:B,'Base stats'!E:E),Groups!A:A,Groups!AP:AP))</f>
        <v>No</v>
      </c>
      <c r="BE32" s="2" t="str">
        <f>IF(AND(I32&lt;=0.65,_xlfn.XLOOKUP(_xlfn.XLOOKUP(Animals!B32,'Base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stats'!O:O)=2,0.2,AN32) + 24*(1-IF(BD32="No",0,BD32)) + 16/3, 12),"No")</f>
        <v>No</v>
      </c>
      <c r="BF32" s="2">
        <f>IF(AND(_xlfn.XLOOKUP(_xlfn.XLOOKUP(B32,'Base stats'!B:B,'Base stats'!E:E),Groups!A:A,Groups!AQ:AQ)=1,AN32&lt;=0.35),8,12)</f>
        <v>12</v>
      </c>
      <c r="BG32" s="2" t="str">
        <f>IF(_xlfn.XLOOKUP(_xlfn.XLOOKUP(B32,'Base stats'!B:B,'Base stats'!E:E),Groups!A:A,Groups!D:D)=0,_xlfn.XLOOKUP(_xlfn.XLOOKUP(B32,'Base stats'!B:B,'Base stats'!E:E),Groups!A:A,Groups!AR:AR),"None")</f>
        <v>None</v>
      </c>
      <c r="BH32" s="2" t="str">
        <f>IF(AND(_xlfn.XLOOKUP(_xlfn.XLOOKUP(B32,'Base stats'!B:B,'Base stats'!E:E),Groups!A:A,Groups!AS:AS)=1,OR('Base stats'!Y32="Carnivore",'Base stats'!Y32="Omnivore")),"true","false")</f>
        <v>false</v>
      </c>
      <c r="BI32" s="2" t="str">
        <f>IF(BH32="true",MROUND(IF(AND(AN32&gt;0.5,_xlfn.XLOOKUP(_xlfn.XLOOKUP(B32,'Base stats'!B:B,'Base stats'!E:E),Groups!A:A,Groups!AJ:AJ)="Mammal"),Animals!AN32*1.75*IF(AV32="true",1.5,1),Animals!AN32),IF(AN32&gt;2,0.5,IF(AN32&gt;0.5,0.25,0.1))),"No")</f>
        <v>No</v>
      </c>
      <c r="BJ32" s="2">
        <f t="shared" si="3"/>
        <v>0</v>
      </c>
      <c r="BK32" s="25" t="str">
        <f>IF('Base stats'!AK32="Standard","No",MROUND((_xlfn.XLOOKUP(B32,'Base stats'!B:B,'Base stats'!AK:AK)/3.6)/H32,0.1))</f>
        <v>No</v>
      </c>
      <c r="BL32" s="25" t="str">
        <f t="shared" si="4"/>
        <v>false</v>
      </c>
      <c r="BM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N32" s="25" t="str" cm="1">
        <f t="array" ref="BN32">IF(
  _xlfn.TEXTJOIN(", ",TRUE,
    IF(AND(BH32="true",AN32&gt;0.5,BG32&lt;&gt;"None"),"AttackTarget",""),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IF(BE32&lt;=36,"Comfort",""),
    IF(_xlfn.XLOOKUP(B32,'Base stats'!B:B,'Base stats'!AC:AC)&lt;&gt;"No",_xlfn.XLOOKUP(B32,'Base stats'!B:B,'Base stats'!AC:AC),"")
  ) = "",
  "No",
  _xlfn.TEXTJOIN(", ",TRUE,
    IF(AND(BH32="true",AN32&gt;0.5,BG32&lt;&gt;"None"),"AttackTarget",""),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IF(BE32&lt;=36,"Comfort",""),
    IF(_xlfn.XLOOKUP(B32,'Base stats'!B:B,'Base stats'!AC:AC)&lt;&gt;"No",_xlfn.XLOOKUP(B32,'Base stats'!B:B,'Base stats'!AC:AC),"")
  )
)</f>
        <v>No</v>
      </c>
      <c r="BO32" s="25" t="str">
        <f>IF(
   AND(
      'Base stats'!AK32="Standard",_xlfn.XLOOKUP(_xlfn.XLOOKUP(B32,'Base stats'!B:B,'Base stats'!E:E),Groups!A:A,Groups!AU:AU)=0,
      OR(
      BM32="True"
      )
   ),
   10,
   IF(
       OR(BK32&lt;&gt;"No",_xlfn.XLOOKUP(_xlfn.XLOOKUP(B32,'Base stats'!B:B,'Base stats'!E:E),Groups!A:A,Groups!AU:AU)=1),
      1,
      "No"
   )
)</f>
        <v>No</v>
      </c>
      <c r="BP32" s="9">
        <f>MROUND((1 + ((0.2*IF(OR(P32="No",Q32="No",Q32=0),0,P32/Q32)
+IF(OR(U32="No",R32="No",S32="No"),0,R32/S32*(LEN(U32)-LEN(SUBSTITUTE(U32,",",""))+1))
+IF(OR(W32="No",X32="No"),0,W32/X32)
+IF(OR(AC32="No",AD32="No"),0,AC32/AD32)
+IF(OR(AK32="No",AH32="No",AI32="No"),0,AH32/AI32*(LEN(AK32)-LEN(SUBSTITUTE(AK32,",",""))+1))
)/(0.2*IF(OR(P32="No",Q32="No",Q32=0),0,1)
+IF(OR(U32="No",R32="No",S32="No"),0,LEN(U32)-LEN(SUBSTITUTE(U32,",",""))+1)
+IF(OR(W32="No",X32="No"),0,1)
+IF(OR(AC32="No",AD32="No"),0,1)
+IF(OR(AK32="No",AH32="No",AI32="No"),0,LEN(AK32)-LEN(SUBSTITUTE(AK32,",",""))+1))*62%)* 2)*(1 + (AO32 + _xlfn.XLOOKUP(B32,'Base stats'!B:B,'Base stats'!AS:AS) * 1.8) * 2) * 2.5 + 10 + H32 * 2,5)+IF(_xlfn.XLOOKUP(B32,'Base stats'!B:B,'Base stats'!AH:AH)=1,50,0)</f>
        <v>35</v>
      </c>
      <c r="BQ32" s="8">
        <f t="shared" si="5"/>
        <v>0.1</v>
      </c>
      <c r="BR32" s="8" t="str">
        <f>_xlfn.XLOOKUP(B32,'Base stats'!B:B,'Base stats'!AD:AD)</f>
        <v>No</v>
      </c>
      <c r="BS32" s="2" t="str">
        <f>IF(AND(I32&lt;=0.95,OR(_xlfn.XLOOKUP(B32,'Base stats'!B:B,'Base stats'!AH:AH)=1,_xlfn.XLOOKUP(B32,'Base stats'!B:B,'Base stats'!Y:Y)="Carnivore",_xlfn.XLOOKUP(B32,'Base stats'!B:B,'Base stats'!Y:Y)="Omnivore",BC32&gt;0.1)),"true","false")</f>
        <v>false</v>
      </c>
      <c r="BT32" s="2" t="str">
        <f>IF(_xlfn.XLOOKUP(B32,'Base stats'!B:B,'Base stats'!AF:AF)=1,"true","false")</f>
        <v>false</v>
      </c>
      <c r="BU32" s="25" t="str">
        <f>IF(E32="BaseInsect","AnimalInsect",
IF(I32&gt;0.95,"AnimalExotic",
_xlfn.TEXTJOIN(", ",TRUE,
IF(AND(_xlfn.XLOOKUP(B32,'Base stats'!B:B,'Base stats'!O:O)=0,_xlfn.XLOOKUP(_xlfn.XLOOKUP(B32,'Base stats'!B:B,'Base stats'!E:E),Groups!A:A,Groups!B:B)&gt;0),"AnimalUncommon","AnimalCommon"),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stats'!AH:AH)=1,AND(BG32&lt;&gt;"None",BP32&gt;=60),ISNUMBER(SEARCH("Attack target",BN32))),"AnimalFighter","")
)))</f>
        <v>AnimalUncommon</v>
      </c>
      <c r="BV32" s="25" t="str">
        <f>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</f>
        <v>TropicalRainforest TropicalSwamp</v>
      </c>
      <c r="BW32" s="25" t="str">
        <f>IF(_xlfn.XLOOKUP(B32,'Base stats'!B:B,'Base stats'!AG:AG)=1,"true","false")</f>
        <v>false</v>
      </c>
      <c r="BX32" s="25">
        <f>IF(_xlfn.XLOOKUP(B32,'Base stats'!B:B,'Base stats'!N:N)=1,"No",MIN(MROUND(IF(OR(_xlfn.XLOOKUP(B32,'Base stats'!B:B,'Base stats'!AJ:AJ)=1,AND(BH32="True",CA32="False")),POWER(10,3.47*LOG10(_xlfn.XLOOKUP(B32,'Base stats'!B:B,'Base stats'!C:C)*1000)^-0.96),POWER(10,4.15*LOG10(_xlfn.XLOOKUP(B32,'Base stats'!B:B,'Base stats'!C:C)*1000)^-0.73))*IF(OR(_xlfn.XLOOKUP(B32,'Base stats'!B:B,'Base stats'!AJ:AJ)=1,_xlfn.XLOOKUP(B32,'Base stats'!B:B,'Base stats'!AH:AH)=1),0.5,1)/100,0.025),1))</f>
        <v>0.60000000000000009</v>
      </c>
      <c r="BY32" s="25">
        <f>IF(O32="Standard","No",IF(_xlfn.XLOOKUP(B32,'Base stats'!B:B,'Base stats'!N:N)=0,MROUND(BX32*O32,0.05),MIN(1,MAX(0.025,MROUND(IF(OR(CA32="true",AND(BH32="false",BM32="false")),POWER(10,4.15*LOG10(_xlfn.XLOOKUP(B32,'Base stats'!B:B,'Base stats'!C:C)*1000)^-0.73),POWER(10,3.47*LOG10(_xlfn.XLOOKUP(B32,'Base stats'!B:B,'Base stats'!C:C)*1000)^-0.96))*IF(_xlfn.XLOOKUP(B32,'Base stats'!B:B,'Base stats'!AH:AH)=1,0.5,1)/100,0.025)))))</f>
        <v>0.5</v>
      </c>
      <c r="BZ32" s="25" t="str">
        <f>IF(_xlfn.XLOOKUP(_xlfn.XLOOKUP(B32,'Base stats'!B:B,'Base stats'!E:E),Groups!A:A,Groups!AJ:AJ)="Mammal","True","False")</f>
        <v>False</v>
      </c>
      <c r="CA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B32" s="25" t="str">
        <f t="shared" si="6"/>
        <v>False</v>
      </c>
      <c r="CC32" s="25" t="str">
        <f>IF(_xlfn.XLOOKUP(_xlfn.XLOOKUP(B32,'Base stats'!B:B,'Base stats'!E:E),Groups!A:A,Groups!AW:AW),"True","False")</f>
        <v>False</v>
      </c>
      <c r="CD32" s="25" t="str">
        <f>IF(_xlfn.XLOOKUP(_xlfn.XLOOKUP(B32,'Base stats'!B:B,'Base stats'!E:E),Groups!A:A,Groups!AX:AX),"True","False")</f>
        <v>False</v>
      </c>
      <c r="CE32" s="25" t="str">
        <f>IF(_xlfn.XLOOKUP(B32,'Base stats'!B:B,'Base stats'!E:E)=1,"True","False")</f>
        <v>False</v>
      </c>
      <c r="CF32" s="25" t="str">
        <f>IF(
OR(
_xlfn.XLOOKUP(_xlfn.XLOOKUP(B32,'Base stats'!B:B,'Base stats'!E:E),Groups!A:A,Groups!AY:AY)=0,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stats'!E:E),Groups!A:A,Groups!AY:AY)=1,
"Flesh",
IF(
_xlfn.XLOOKUP(_xlfn.XLOOKUP(B32,'Base stats'!B:B,'Base stats'!E:E),Groups!A:A,Groups!AY:AY)=2,
"Bone",
""
)
)
)</f>
        <v>No</v>
      </c>
      <c r="CG32" s="25" t="str">
        <f>IF(_xlfn.XLOOKUP(_xlfn.XLOOKUP(B32,'Base stats'!B:B,'Base stats'!E:E),Groups!A:A,Groups!BA:BA),"True","False")</f>
        <v>False</v>
      </c>
      <c r="CH32" s="25" t="str">
        <f>IF(_xlfn.XLOOKUP(_xlfn.XLOOKUP(B32,'Base stats'!B:B,'Base stats'!E:E),Groups!A:A,Groups!AZ:AZ),"True","False")</f>
        <v>False</v>
      </c>
    </row>
    <row r="33" spans="1:86" ht="16.5" thickTop="1" thickBot="1" x14ac:dyDescent="0.3">
      <c r="A33" s="26" t="str">
        <f>_xlfn.XLOOKUP(B33,'Base stats'!B:B,'Base stats'!A:A)</f>
        <v>Cobra</v>
      </c>
      <c r="B33" s="6" t="s">
        <v>173</v>
      </c>
      <c r="C33" s="28" t="s">
        <v>720</v>
      </c>
      <c r="D33" s="28" t="s">
        <v>45</v>
      </c>
      <c r="E33" s="28" t="s">
        <v>685</v>
      </c>
      <c r="F33" s="28" t="s">
        <v>685</v>
      </c>
      <c r="G33" s="2">
        <f>MROUND((
  (IF(AND(_xlfn.XLOOKUP(B33,'Base stats'!B:B,'Base stats'!AI:AI)=0,BG33="None",_xlfn.XLOOKUP('Base stats'!E33,Groups!A:A,Groups!B:B)=0), (18 + BP33 * 2.7) * 0.5,
    IF(AND(_xlfn.XLOOKUP(B33,'Base stats'!B:B,'Base stats'!AI:AI)=0,OR(AN33&lt;0.55,AND(BG33="Intermediate",_xlfn.XLOOKUP('Base stats'!E33,Groups!A:A,Groups!B:B)&lt;2))), (18 + BP33 * 2.7),
      IF(OR(BG33="Advanced",_xlfn.XLOOKUP(B33,'Base stats'!B:B,'Base stats'!AI:AI)=1,_xlfn.XLOOKUP('Base stats'!E33,Groups!A:A,Groups!B:B)=2), (18 + BP33 * 2.7) + 250, (18 + BP33 * 2.7))
    )
  ))
  + AN33 * 80
  + IF(COUNTIF(EggMilk!K$2:K$998, A33) &gt; 0, 125, 0)
  + IF(COUNTIF(EggMilk!P$2:P$998, A33) &gt; 0, 90, 0)
  + IF(COUNTIF(EggMilk!A$2:A$998, A33) &gt; 0, 90, 0)
)
* (0.8 + 0.4 * I33)
* 0.75,25)</f>
        <v>200</v>
      </c>
      <c r="H33" s="2">
        <f>MROUND(ROUNDDOWN(_xlfn.XLOOKUP(B33,'Base stats'!B:B,'Base stats'!L:L)/3.6/(23.3/11),1),0.5)</f>
        <v>2.5</v>
      </c>
      <c r="I33" s="2">
        <f>IF(_xlfn.XLOOKUP(B33,'Base stats'!B:B,'Base stats'!AI:AI)=1,0.99,MIN(MROUND((1-0.6282*EXP(-0.459*AN33))*_xlfn.XLOOKUP(_xlfn.XLOOKUP(B33,'Base stats'!B:B,'Base stats'!E:E),Groups!A:A,Groups!C:C)*IF(_xlfn.XLOOKUP(B33,'Base stats'!B:B,'Base stats'!O:O)=1,0.5,IF(_xlfn.XLOOKUP(B33,'Base stats'!B:B,'Base stats'!O:O)=2,0,1)),0.05),0.985))</f>
        <v>0.70000000000000007</v>
      </c>
      <c r="J33" s="2">
        <f>ROUNDUP(AN33*_xlfn.XLOOKUP(_xlfn.XLOOKUP(B33,'Base stats'!B:B,'Base stats'!E:E),Groups!A:A,Groups!E:E),0)</f>
        <v>1</v>
      </c>
      <c r="K33" s="2">
        <f>IF(OR(_xlfn.XLOOKUP(_xlfn.XLOOKUP(B33,'Base stats'!B:B,'Base stats'!E:E),Groups!A:A,Groups!F:F)=2,ISNUMBER(SEARCH("SeaIce",BV33)),ISNUMBER(SEARCH("IceSheet",BV33))),-50,IF(OR(ISNUMBER(SEARCH("GlacialPlain",BV33)),ISNUMBER(SEARCH("Tundra",BV33))),-40,IF(OR(ISNUMBER(SEARCH("Alpine",BV33)),ISNUMBER(SEARCH("BorealForest",BV33)),ISNUMBER(SEARCH("ColdBog",BV33))),-30,IF(OR(ISNUMBER(SEARCH("TemperateForest",BV33)),ISNUMBER(SEARCH("TemperateSwamp",BV33))),-20,IF(_xlfn.XLOOKUP(_xlfn.XLOOKUP(B33,'Base stats'!B:B,'Base stats'!E:E),Groups!A:A,Groups!F:F)=1,-15,IF(OR(ISNUMBER(SEARCH("Desert",BV33)),ISNUMBER(SEARCH("ExtremeDesert",BV33))),-10,IF(OR(ISNUMBER(SEARCH("Grasslands",BV33)),ISNUMBER(SEARCH("TropicalRainforest",BV33)),ISNUMBER(SEARCH("TropicalSwamp",BV33))),10,0)))))))-IF(CA33="False",MIN(IFERROR(MAX(MROUND(LOG10(_xlfn.XLOOKUP(B33,'Base stats'!B:B,'Base stats'!C:C)^(2/3))*10,5),5),5),30))-_xlfn.XLOOKUP(B33,'Base stats'!B:B,'Base stats'!P:P)+IF(CA33="True",5,0)</f>
        <v>15</v>
      </c>
      <c r="L33" s="2">
        <f>IF(OR(_xlfn.XLOOKUP(_xlfn.XLOOKUP(B33,'Base stats'!B:B,'Base stats'!E:E),Groups!A:A,Groups!G:G)=2,ISNUMBER(SEARCH("Desert",BV33)),ISNUMBER(SEARCH("ExtremeDesert",BV33)),ISNUMBER(SEARCH("LavaField",BV33))),50,IF(ISNUMBER(SEARCH("Grasslands",BV33)),45,IF(OR(_xlfn.XLOOKUP(_xlfn.XLOOKUP(B33,'Base stats'!B:B,'Base stats'!E:E),Groups!A:A,Groups!G:G)=1,ISNUMBER(SEARCH("TropicalRainforest",BV33)),ISNUMBER(SEARCH("TropicalSwamp",BV33))),40,IF(OR(ISNUMBER(SEARCH("TemperateForest",BV33)),ISNUMBER(SEARCH("TemperateSwamp",BV33))),35,IF(OR(ISNUMBER(SEARCH("Alpine",BV33)),ISNUMBER(SEARCH("BorealForest",BV33)),ISNUMBER(SEARCH("ColdBog",BV33))),30,IF(ISNUMBER(OR(ISNUMBER(SEARCH("GlacialPlain",BV33)),SEARCH("Tundra",BV33))),25,IF(OR(ISNUMBER(SEARCH("SeaIce",BV33)),ISNUMBER(SEARCH("IceSheet",BV33)),ISNUMBER(SEARCH("TropicalSwamp",BV33))),10,35)))))))+_xlfn.XLOOKUP(B33,'Base stats'!B:B,'Base stats'!Q:Q)</f>
        <v>40</v>
      </c>
      <c r="M33" s="8" t="str">
        <f>IF(_xlfn.XLOOKUP(_xlfn.XLOOKUP(B33,'Base stats'!B:B,'Base stats'!E:E),Groups!A:A,Groups!L:L)=1,MIN(MROUND(_xlfn.XLOOKUP(B33,'Animals CE'!B:B,'Animals CE'!Z:Z)/2+0.05,0.05),200%),"No")</f>
        <v>No</v>
      </c>
      <c r="N33" s="8" t="str">
        <f>IF(_xlfn.XLOOKUP(_xlfn.XLOOKUP(B33,'Base stats'!B:B,'Base stats'!E:E),Groups!A:A,Groups!L:L)=1,MIN(MROUND(_xlfn.XLOOKUP(B33,'Animals CE'!B:B,'Animals CE'!AA:AA)/2+0.05,0.05),200%),"No")</f>
        <v>No</v>
      </c>
      <c r="O33" s="2" t="str">
        <f>_xlfn.XLOOKUP(B33,'Base stats'!B:B,'Base stats'!R:R)</f>
        <v>Standard</v>
      </c>
      <c r="P33" s="13">
        <f>MROUND((LOG10(_xlfn.XLOOKUP(B33,'Base stats'!B:B,'Base stats'!AO:AO))*(AN33^0.5)+(_xlfn.XLOOKUP(B33,'Base stats'!B:B,'Base stats'!AO:AO)/1000)^(2/3)+_xlfn.XLOOKUP(B33,'Base stats'!B:B,'Base stats'!AX:AX)/2)+0.5,0.5)</f>
        <v>3</v>
      </c>
      <c r="Q33" s="7">
        <f>IF(P33="No","No",MAX(1,MROUND(_xlfn.XLOOKUP(B33,'Base stats'!B:B,'Base stats'!C:C)^0.165,0.05)))</f>
        <v>1.4000000000000001</v>
      </c>
      <c r="R33" s="13" t="str">
        <f>IF(_xlfn.XLOOKUP(_xlfn.XLOOKUP(B33,'Base stats'!B:B,'Base stats'!E:E),Groups!A:A,Groups!P:P)=0,"No",MROUND((LOG10(_xlfn.XLOOKUP(B33,'Base stats'!B:B,'Base stats'!AP:AP))*(AN33^0.5)+(_xlfn.XLOOKUP(B33,'Base stats'!B:B,'Base stats'!AP:AP)/1000)^(2/3)+_xlfn.XLOOKUP(B33,'Base stats'!B:B,'Base stats'!AX:AX))+_xlfn.XLOOKUP(B33,'Base stats'!B:B,'Base stats'!AV:AV)+0.5,0.5))</f>
        <v>No</v>
      </c>
      <c r="S33" s="7" t="str">
        <f>IF(R33="No","No",MAX(_xlfn.XLOOKUP(_xlfn.XLOOKUP(B33,'Base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T33" s="7" t="str">
        <f>IF(R33="No","No",_xlfn.XLOOKUP(_xlfn.XLOOKUP(B33,'Base stats'!B:B,'Base stats'!E:E),Groups!A:A,Groups!R:R))</f>
        <v>No</v>
      </c>
      <c r="U33" s="7" t="str">
        <f>IF(R33="No","No",_xlfn.XLOOKUP(_xlfn.XLOOKUP(B33,'Base stats'!B:B,'Base stats'!E:E),Groups!A:A,Groups!S:S))</f>
        <v>No</v>
      </c>
      <c r="V33" s="7" t="str">
        <f>IF(R33="No","No",_xlfn.XLOOKUP(_xlfn.XLOOKUP(B33,'Base stats'!B:B,'Base stats'!E:E),Groups!A:A,Groups!T:T))</f>
        <v>No</v>
      </c>
      <c r="W33" s="13" t="str">
        <f>IF(_xlfn.XLOOKUP(B33,'Base stats'!B:B,'Base stats'!W:W)="No","No",MROUND((LOG10(_xlfn.XLOOKUP(B33,'Base stats'!B:B,'Base stats'!AR:AR))*(AN33^0.5)+(_xlfn.XLOOKUP(B33,'Base stats'!B:B,'Base stats'!AR:AR)/1000)^(2/3)+_xlfn.XLOOKUP(B33,'Base stats'!B:B,'Base stats'!AW:AW))+0.5+IF(_xlfn.XLOOKUP(_xlfn.XLOOKUP(B33,'Base stats'!B:B,'Base stats'!E:E),Groups!A:A,Groups!U:U)&lt;&gt;3,_xlfn.XLOOKUP(B33,'Base stats'!B:B,'Base stats'!AX:AX),0),0.5))</f>
        <v>No</v>
      </c>
      <c r="X33" s="7" t="str">
        <f>IF(W33="No","No",MAX(_xlfn.XLOOKUP(_xlfn.XLOOKUP(B33,'Base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Y33" s="7" t="str">
        <f>IF(W33="No","No",_xlfn.XLOOKUP(_xlfn.XLOOKUP(B33,'Base stats'!B:B,'Base stats'!E:E),Groups!A:A,Groups!W:W))</f>
        <v>No</v>
      </c>
      <c r="Z33" s="7" t="str">
        <f>IF(W33="No","No",_xlfn.XLOOKUP(_xlfn.XLOOKUP(B33,'Base stats'!B:B,'Base stats'!E:E),Groups!A:A,Groups!X:X))</f>
        <v>No</v>
      </c>
      <c r="AA33" s="7" t="str">
        <f>IF(W33="No","No",_xlfn.XLOOKUP(_xlfn.XLOOKUP(B33,'Base stats'!B:B,'Base stats'!E:E),Groups!A:A,Groups!Y:Y))</f>
        <v>No</v>
      </c>
      <c r="AB33" s="7" t="str">
        <f>_xlfn.XLOOKUP(Animals!B33,'Base stats'!B:B,'Base stats'!X:X)</f>
        <v>False</v>
      </c>
      <c r="AC33" s="13">
        <f>IF(_xlfn.XLOOKUP(B33,'Base stats'!B:B,'Base stats'!AQ:AQ)="No","No",MROUND((LOG10(_xlfn.XLOOKUP(B33,'Base stats'!B:B,'Base stats'!AQ:AQ))*(AN33^0.75)+(_xlfn.XLOOKUP(B33,'Base stats'!B:B,'Base stats'!AQ:AQ)/1000)^(2/3)+_xlfn.XLOOKUP(B33,'Base stats'!B:B,'Base stats'!AU:AU)+_xlfn.XLOOKUP(B33,'Base stats'!B:B,'Base stats'!AX:AX))+0.5,0.5))</f>
        <v>4.5</v>
      </c>
      <c r="AD33" s="7">
        <f>IF(AC33="No","No",MAX(_xlfn.XLOOKUP(_xlfn.XLOOKUP(B33,'Base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E33" s="7" t="str">
        <f>IF(AC33="No","No",_xlfn.XLOOKUP(_xlfn.XLOOKUP(B33,'Base stats'!B:B,'Base stats'!E:E),Groups!A:A,Groups!AA:AA))</f>
        <v>Mouth</v>
      </c>
      <c r="AF33" s="7" t="str">
        <f>IF(AC33="No","No",_xlfn.XLOOKUP(_xlfn.XLOOKUP(B33,'Base stats'!B:B,'Base stats'!E:E),Groups!A:A,Groups!AB:AB))</f>
        <v>fangs</v>
      </c>
      <c r="AG33" s="7" t="str">
        <f>IF(AC33="No","No",_xlfn.XLOOKUP(_xlfn.XLOOKUP(B33,'Base stats'!B:B,'Base stats'!E:E),Groups!A:A,Groups!AC:AC))</f>
        <v>ToxicBite</v>
      </c>
      <c r="AH33" s="13" t="str">
        <f>IF(_xlfn.XLOOKUP(_xlfn.XLOOKUP(B33,'Base stats'!B:B,'Base stats'!E:E),Groups!A:A,Groups!AD:AD)=0,"No",MROUND((LOG10(_xlfn.XLOOKUP(B33,'Base stats'!B:B,'Base stats'!AP:AP))*(AN33^0.75)+(_xlfn.XLOOKUP(B33,'Base stats'!B:B,'Base stats'!AP:AP)/1000)^(2/3)+_xlfn.XLOOKUP(B33,'Base stats'!B:B,'Base stats'!AV:AV)+_xlfn.XLOOKUP(B33,'Base stats'!B:B,'Base stats'!AX:AX))+0.5,0.5))</f>
        <v>No</v>
      </c>
      <c r="AI33" s="7" t="str">
        <f>IF(AH33="No","No",MAX(_xlfn.XLOOKUP(_xlfn.XLOOKUP(B33,'Base stats'!B:B,'Base stats'!E:E),Groups!A:A,Groups!AE:AE),MROUND(_xlfn.XLOOKUP(_xlfn.XLOOKUP(B33,'Base stats'!B:B,'Base stats'!E:E),Groups!A:A,Groups!AE:AE)*_xlfn.XLOOKUP(B33,'Base stats'!B:B,'Base stats'!C:C)^0.165,0.05)))</f>
        <v>No</v>
      </c>
      <c r="AJ33" s="7" t="str">
        <f>IF(AH33="No","No",_xlfn.XLOOKUP(_xlfn.XLOOKUP(B33,'Base stats'!B:B,'Base stats'!E:E),Groups!A:A,Groups!AF:AF))</f>
        <v>No</v>
      </c>
      <c r="AK33" s="7" t="str">
        <f>IF(AH33="No","No",_xlfn.XLOOKUP(_xlfn.XLOOKUP(B33,'Base stats'!B:B,'Base stats'!E:E),Groups!A:A,Groups!AG:AG))</f>
        <v>No</v>
      </c>
      <c r="AL33" s="7" t="str">
        <f>IF(AH33="No","No",_xlfn.XLOOKUP(_xlfn.XLOOKUP(B33,'Base stats'!B:B,'Base stats'!E:E),Groups!A:A,Groups!AH:AH))</f>
        <v>No</v>
      </c>
      <c r="AM33" s="2">
        <f t="shared" si="0"/>
        <v>15</v>
      </c>
      <c r="AN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O33" s="8">
        <f>MROUND(AN33*_xlfn.XLOOKUP(_xlfn.XLOOKUP(B33,'Base stats'!B:B,'Base stats'!E:E),Groups!A:A,Groups!AI:AI),0.05)</f>
        <v>0.4</v>
      </c>
      <c r="AP33" s="8">
        <f>MAX(0.01,MROUND(IF(CA33="True",0.196*(AN33*100*1000)^0.889,IF(_xlfn.XLOOKUP(_xlfn.XLOOKUP(B33,'Base stats'!B:B,'Base stats'!E:E),Groups!A:A,Groups!AJ:AJ)="Bird",10.5*(AN33*100*1000)^0.681,4.82*(AN33*100*1000)^0.734))/(4.82*(1*100*1000)^0.734)/IF(AN33&lt;3.5,2,IF(AN33=3.5,1.5,1.25))*(1+0.132282374779864/(AN33^0.994035016789033+0.00905238001496948)),0.05))</f>
        <v>0.05</v>
      </c>
      <c r="AQ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R33" s="35" t="str">
        <f>IFERROR(IF(_xlfn.XLOOKUP(B33,'Base stats'!B:B,'Base stats'!F:F)="Lay eggs","Lay eggs",MIN(20,MAX(5.5,ROUND(((_xlfn.XLOOKUP(B33,'Base stats'!B:B,'Base stats'!F:F)-25)*(14.5/615) + 5.5)*2,0)/2))),"Cannot breed")</f>
        <v>Lay eggs</v>
      </c>
      <c r="AS33" s="8">
        <f>IF(OR(A33="Queen",A33="Larva"),"No",IFERROR(MAX(IF(_xlfn.XLOOKUP(B33,'Base stats'!B:B,'Base stats'!G:G)&lt;0.5,0.2,0.3),MROUND(_xlfn.XLOOKUP(B33,'Base stats'!B:B,'Base stats'!G:G)/(365/60),0.2)),"Unknown"))</f>
        <v>0.8</v>
      </c>
      <c r="AT33" s="8">
        <f t="shared" si="1"/>
        <v>0.4</v>
      </c>
      <c r="AU33" s="8" t="str">
        <f>IFERROR(IFERROR(MROUND(_xlfn.XLOOKUP(B33,'Base stats'!B:B,'Base stats'!J:J),0.1),"Lay eggs"),"Cannot breed")</f>
        <v>Lay eggs</v>
      </c>
      <c r="AV33" s="2" t="str">
        <f t="shared" si="2"/>
        <v>false</v>
      </c>
      <c r="AW33" s="2" t="str">
        <f>IF(_xlfn.XLOOKUP(_xlfn.XLOOKUP(Animals!B33,'Base stats'!B:B,'Base stats'!E:E),Groups!A:A,Groups!AK:AK)=1,"true","false")</f>
        <v>false</v>
      </c>
      <c r="AX33" s="25" t="str">
        <f>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</f>
        <v>CarnivoreAnimal, OvivoreAnimal</v>
      </c>
      <c r="AY33" s="2" t="str">
        <f>IF(_xlfn.XLOOKUP(_xlfn.XLOOKUP(B33,'Base stats'!B:B,'Base stats'!E:E),Groups!A:A,Groups!D:D)=1,MROUND((1-I33)*5+1,2)*IF(I33&lt;=0.4,2,1),"No")</f>
        <v>No</v>
      </c>
      <c r="AZ33" s="2" t="str">
        <f>_xlfn.XLOOKUP(B33,'Base stats'!B:B,'Base stats'!AE:AE)</f>
        <v>Leather_Lizard</v>
      </c>
      <c r="BA33" s="23" t="str">
        <f>_xlfn.XLOOKUP(_xlfn.XLOOKUP(B33,'Base stats'!B:B,'Base stats'!E:E),Groups!A:A,Groups!AL:AL)</f>
        <v>Snake</v>
      </c>
      <c r="BB33" s="23">
        <f>MROUND(IF(AND(AN33&lt;0.5,_xlfn.XLOOKUP(B33,'Base stats'!B:B,'Base stats'!Z:Z)=0),0,IF(OR(_xlfn.XLOOKUP(Animals!B33,'Base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stats'!AA:AA),0.005)</f>
        <v>0.1</v>
      </c>
      <c r="BC33" s="23">
        <f>MROUND(IF(AND(AN33&lt;0.5,_xlfn.XLOOKUP(B33,'Base stats'!B:B,'Base stats'!Z:Z)=0),0,IF(_xlfn.XLOOKUP(_xlfn.XLOOKUP(B33,'Base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stats'!AB:AB),0.005)</f>
        <v>0.3</v>
      </c>
      <c r="BD33" s="2" t="str">
        <f>IF(I33&gt;0.3,"No",_xlfn.XLOOKUP(_xlfn.XLOOKUP(Animals!B33,'Base stats'!B:B,'Base stats'!E:E),Groups!A:A,Groups!AP:AP))</f>
        <v>No</v>
      </c>
      <c r="BE33" s="2" t="str">
        <f>IF(AND(I33&lt;=0.65,_xlfn.XLOOKUP(_xlfn.XLOOKUP(Animals!B33,'Base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stats'!O:O)=2,0.2,AN33) + 24*(1-IF(BD33="No",0,BD33)) + 16/3, 12),"No")</f>
        <v>No</v>
      </c>
      <c r="BF33" s="2">
        <f>IF(AND(_xlfn.XLOOKUP(_xlfn.XLOOKUP(B33,'Base stats'!B:B,'Base stats'!E:E),Groups!A:A,Groups!AQ:AQ)=1,AN33&lt;=0.35),8,12)</f>
        <v>12</v>
      </c>
      <c r="BG33" s="2" t="str">
        <f>IF(_xlfn.XLOOKUP(_xlfn.XLOOKUP(B33,'Base stats'!B:B,'Base stats'!E:E),Groups!A:A,Groups!D:D)=0,_xlfn.XLOOKUP(_xlfn.XLOOKUP(B33,'Base stats'!B:B,'Base stats'!E:E),Groups!A:A,Groups!AR:AR),"None")</f>
        <v>None</v>
      </c>
      <c r="BH33" s="2" t="str">
        <f>IF(AND(_xlfn.XLOOKUP(_xlfn.XLOOKUP(B33,'Base stats'!B:B,'Base stats'!E:E),Groups!A:A,Groups!AS:AS)=1,OR('Base stats'!Y33="Carnivore",'Base stats'!Y33="Omnivore")),"true","false")</f>
        <v>true</v>
      </c>
      <c r="BI33" s="2">
        <f>IF(BH33="true",MROUND(IF(AND(AN33&gt;0.5,_xlfn.XLOOKUP(_xlfn.XLOOKUP(B33,'Base stats'!B:B,'Base stats'!E:E),Groups!A:A,Groups!AJ:AJ)="Mammal"),Animals!AN33*1.75*IF(AV33="true",1.5,1),Animals!AN33),IF(AN33&gt;2,0.5,IF(AN33&gt;0.5,0.25,0.1))),"No")</f>
        <v>0.4</v>
      </c>
      <c r="BJ33" s="2">
        <f t="shared" si="3"/>
        <v>0</v>
      </c>
      <c r="BK33" s="25" t="str">
        <f>IF('Base stats'!AK33="Standard","No",MROUND((_xlfn.XLOOKUP(B33,'Base stats'!B:B,'Base stats'!AK:AK)/3.6)/H33,0.1))</f>
        <v>No</v>
      </c>
      <c r="BL33" s="25" t="str">
        <f t="shared" si="4"/>
        <v>false</v>
      </c>
      <c r="BM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N33" s="25" t="str" cm="1">
        <f t="array" ref="BN33">IF(
  _xlfn.TEXTJOIN(", ",TRUE,
    IF(AND(BH33="true",AN33&gt;0.5,BG33&lt;&gt;"None"),"AttackTarget",""),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IF(BE33&lt;=36,"Comfort",""),
    IF(_xlfn.XLOOKUP(B33,'Base stats'!B:B,'Base stats'!AC:AC)&lt;&gt;"No",_xlfn.XLOOKUP(B33,'Base stats'!B:B,'Base stats'!AC:AC),"")
  ) = "",
  "No",
  _xlfn.TEXTJOIN(", ",TRUE,
    IF(AND(BH33="true",AN33&gt;0.5,BG33&lt;&gt;"None"),"AttackTarget",""),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IF(BE33&lt;=36,"Comfort",""),
    IF(_xlfn.XLOOKUP(B33,'Base stats'!B:B,'Base stats'!AC:AC)&lt;&gt;"No",_xlfn.XLOOKUP(B33,'Base stats'!B:B,'Base stats'!AC:AC),"")
  )
)</f>
        <v>No</v>
      </c>
      <c r="BO33" s="25" t="str">
        <f>IF(
   AND(
      'Base stats'!AK33="Standard",_xlfn.XLOOKUP(_xlfn.XLOOKUP(B33,'Base stats'!B:B,'Base stats'!E:E),Groups!A:A,Groups!AU:AU)=0,
      OR(
      BM33="True"
      )
   ),
   10,
   IF(
       OR(BK33&lt;&gt;"No",_xlfn.XLOOKUP(_xlfn.XLOOKUP(B33,'Base stats'!B:B,'Base stats'!E:E),Groups!A:A,Groups!AU:AU)=1),
      1,
      "No"
   )
)</f>
        <v>No</v>
      </c>
      <c r="BP33" s="9">
        <f>MROUND((1 + ((0.2*IF(OR(P33="No",Q33="No",Q33=0),0,P33/Q33)
+IF(OR(U33="No",R33="No",S33="No"),0,R33/S33*(LEN(U33)-LEN(SUBSTITUTE(U33,",",""))+1))
+IF(OR(W33="No",X33="No"),0,W33/X33)
+IF(OR(AC33="No",AD33="No"),0,AC33/AD33)
+IF(OR(AK33="No",AH33="No",AI33="No"),0,AH33/AI33*(LEN(AK33)-LEN(SUBSTITUTE(AK33,",",""))+1))
)/(0.2*IF(OR(P33="No",Q33="No",Q33=0),0,1)
+IF(OR(U33="No",R33="No",S33="No"),0,LEN(U33)-LEN(SUBSTITUTE(U33,",",""))+1)
+IF(OR(W33="No",X33="No"),0,1)
+IF(OR(AC33="No",AD33="No"),0,1)
+IF(OR(AK33="No",AH33="No",AI33="No"),0,LEN(AK33)-LEN(SUBSTITUTE(AK33,",",""))+1))*62%)* 2)*(1 + (AO33 + _xlfn.XLOOKUP(B33,'Base stats'!B:B,'Base stats'!AS:AS) * 1.8) * 2) * 2.5 + 10 + H33 * 2,5)+IF(_xlfn.XLOOKUP(B33,'Base stats'!B:B,'Base stats'!AH:AH)=1,50,0)</f>
        <v>40</v>
      </c>
      <c r="BQ33" s="8">
        <f t="shared" si="5"/>
        <v>0.1</v>
      </c>
      <c r="BR33" s="8" t="str">
        <f>_xlfn.XLOOKUP(B33,'Base stats'!B:B,'Base stats'!AD:AD)</f>
        <v>No</v>
      </c>
      <c r="BS33" s="2" t="str">
        <f>IF(AND(I33&lt;=0.95,OR(_xlfn.XLOOKUP(B33,'Base stats'!B:B,'Base stats'!AH:AH)=1,_xlfn.XLOOKUP(B33,'Base stats'!B:B,'Base stats'!Y:Y)="Carnivore",_xlfn.XLOOKUP(B33,'Base stats'!B:B,'Base stats'!Y:Y)="Omnivore",BC33&gt;0.1)),"true","false")</f>
        <v>true</v>
      </c>
      <c r="BT33" s="2" t="str">
        <f>IF(_xlfn.XLOOKUP(B33,'Base stats'!B:B,'Base stats'!AF:AF)=1,"true","false")</f>
        <v>false</v>
      </c>
      <c r="BU33" s="25" t="str">
        <f>IF(E33="BaseInsect","AnimalInsect",
IF(I33&gt;0.95,"AnimalExotic",
_xlfn.TEXTJOIN(", ",TRUE,
IF(AND(_xlfn.XLOOKUP(B33,'Base stats'!B:B,'Base stats'!O:O)=0,_xlfn.XLOOKUP(_xlfn.XLOOKUP(B33,'Base stats'!B:B,'Base stats'!E:E),Groups!A:A,Groups!B:B)&gt;0),"AnimalUncommon","AnimalCommon"),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stats'!AH:AH)=1,AND(BG33&lt;&gt;"None",BP33&gt;=60),ISNUMBER(SEARCH("Attack target",BN33))),"AnimalFighter","")
)))</f>
        <v>AnimalUncommon</v>
      </c>
      <c r="BV33" s="25" t="str">
        <f>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</f>
        <v>TropicalRainforest TropicalSwamp Glowforest</v>
      </c>
      <c r="BW33" s="25" t="str">
        <f>IF(_xlfn.XLOOKUP(B33,'Base stats'!B:B,'Base stats'!AG:AG)=1,"true","false")</f>
        <v>false</v>
      </c>
      <c r="BX33" s="25">
        <f>IF(_xlfn.XLOOKUP(B33,'Base stats'!B:B,'Base stats'!N:N)=1,"No",MIN(MROUND(IF(OR(_xlfn.XLOOKUP(B33,'Base stats'!B:B,'Base stats'!AJ:AJ)=1,AND(BH33="True",CA33="False")),POWER(10,3.47*LOG10(_xlfn.XLOOKUP(B33,'Base stats'!B:B,'Base stats'!C:C)*1000)^-0.96),POWER(10,4.15*LOG10(_xlfn.XLOOKUP(B33,'Base stats'!B:B,'Base stats'!C:C)*1000)^-0.73))*IF(OR(_xlfn.XLOOKUP(B33,'Base stats'!B:B,'Base stats'!AJ:AJ)=1,_xlfn.XLOOKUP(B33,'Base stats'!B:B,'Base stats'!AH:AH)=1),0.5,1)/100,0.025),1))</f>
        <v>0.35000000000000003</v>
      </c>
      <c r="BY33" s="25" t="str">
        <f>IF(O33="Standard","No",IF(_xlfn.XLOOKUP(B33,'Base stats'!B:B,'Base stats'!N:N)=0,MROUND(BX33*O33,0.05),MIN(1,MAX(0.025,MROUND(IF(OR(CA33="true",AND(BH33="false",BM33="false")),POWER(10,4.15*LOG10(_xlfn.XLOOKUP(B33,'Base stats'!B:B,'Base stats'!C:C)*1000)^-0.73),POWER(10,3.47*LOG10(_xlfn.XLOOKUP(B33,'Base stats'!B:B,'Base stats'!C:C)*1000)^-0.96))*IF(_xlfn.XLOOKUP(B33,'Base stats'!B:B,'Base stats'!AH:AH)=1,0.5,1)/100,0.025)))))</f>
        <v>No</v>
      </c>
      <c r="BZ33" s="25" t="str">
        <f>IF(_xlfn.XLOOKUP(_xlfn.XLOOKUP(B33,'Base stats'!B:B,'Base stats'!E:E),Groups!A:A,Groups!AJ:AJ)="Mammal","True","False")</f>
        <v>False</v>
      </c>
      <c r="CA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B33" s="25" t="str">
        <f t="shared" si="6"/>
        <v>False</v>
      </c>
      <c r="CC33" s="25" t="str">
        <f>IF(_xlfn.XLOOKUP(_xlfn.XLOOKUP(B33,'Base stats'!B:B,'Base stats'!E:E),Groups!A:A,Groups!AW:AW),"True","False")</f>
        <v>False</v>
      </c>
      <c r="CD33" s="25" t="str">
        <f>IF(_xlfn.XLOOKUP(_xlfn.XLOOKUP(B33,'Base stats'!B:B,'Base stats'!E:E),Groups!A:A,Groups!AX:AX),"True","False")</f>
        <v>False</v>
      </c>
      <c r="CE33" s="25" t="str">
        <f>IF(_xlfn.XLOOKUP(B33,'Base stats'!B:B,'Base stats'!E:E)=1,"True","False")</f>
        <v>False</v>
      </c>
      <c r="CF33" s="25" t="str">
        <f>IF(
OR(
_xlfn.XLOOKUP(_xlfn.XLOOKUP(B33,'Base stats'!B:B,'Base stats'!E:E),Groups!A:A,Groups!AY:AY)=0,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stats'!E:E),Groups!A:A,Groups!AY:AY)=1,
"Flesh",
IF(
_xlfn.XLOOKUP(_xlfn.XLOOKUP(B33,'Base stats'!B:B,'Base stats'!E:E),Groups!A:A,Groups!AY:AY)=2,
"Bone",
""
)
)
)</f>
        <v>No</v>
      </c>
      <c r="CG33" s="25" t="str">
        <f>IF(_xlfn.XLOOKUP(_xlfn.XLOOKUP(B33,'Base stats'!B:B,'Base stats'!E:E),Groups!A:A,Groups!BA:BA),"True","False")</f>
        <v>False</v>
      </c>
      <c r="CH33" s="25" t="str">
        <f>IF(_xlfn.XLOOKUP(_xlfn.XLOOKUP(B33,'Base stats'!B:B,'Base stats'!E:E),Groups!A:A,Groups!AZ:AZ),"True","False")</f>
        <v>True</v>
      </c>
    </row>
    <row r="34" spans="1:86" ht="16.5" thickTop="1" thickBot="1" x14ac:dyDescent="0.3">
      <c r="A34" s="26" t="str">
        <f>_xlfn.XLOOKUP(B34,'Base stats'!B:B,'Base stats'!A:A)</f>
        <v>Tortoise</v>
      </c>
      <c r="B34" s="6" t="s">
        <v>176</v>
      </c>
      <c r="C34" s="28" t="s">
        <v>721</v>
      </c>
      <c r="D34" s="28" t="s">
        <v>45</v>
      </c>
      <c r="E34" s="28" t="s">
        <v>685</v>
      </c>
      <c r="F34" s="28" t="s">
        <v>685</v>
      </c>
      <c r="G34" s="2">
        <f>MROUND((
  (IF(AND(_xlfn.XLOOKUP(B34,'Base stats'!B:B,'Base stats'!AI:AI)=0,BG34="None",_xlfn.XLOOKUP('Base stats'!E34,Groups!A:A,Groups!B:B)=0), (18 + BP34 * 2.7) * 0.5,
    IF(AND(_xlfn.XLOOKUP(B34,'Base stats'!B:B,'Base stats'!AI:AI)=0,OR(AN34&lt;0.55,AND(BG34="Intermediate",_xlfn.XLOOKUP('Base stats'!E34,Groups!A:A,Groups!B:B)&lt;2))), (18 + BP34 * 2.7),
      IF(OR(BG34="Advanced",_xlfn.XLOOKUP(B34,'Base stats'!B:B,'Base stats'!AI:AI)=1,_xlfn.XLOOKUP('Base stats'!E34,Groups!A:A,Groups!B:B)=2), (18 + BP34 * 2.7) + 250, (18 + BP34 * 2.7))
    )
  ))
  + AN34 * 80
  + IF(COUNTIF(EggMilk!K$2:K$998, A34) &gt; 0, 125, 0)
  + IF(COUNTIF(EggMilk!P$2:P$998, A34) &gt; 0, 90, 0)
  + IF(COUNTIF(EggMilk!A$2:A$998, A34) &gt; 0, 90, 0)
)
* (0.8 + 0.4 * I34)
* 0.75,25)</f>
        <v>300</v>
      </c>
      <c r="H34" s="2">
        <f>MROUND(ROUNDDOWN(_xlfn.XLOOKUP(B34,'Base stats'!B:B,'Base stats'!L:L)/3.6/(23.3/11),1),0.5)</f>
        <v>0.5</v>
      </c>
      <c r="I34" s="2">
        <f>IF(_xlfn.XLOOKUP(B34,'Base stats'!B:B,'Base stats'!AI:AI)=1,0.99,MIN(MROUND((1-0.6282*EXP(-0.459*AN34))*_xlfn.XLOOKUP(_xlfn.XLOOKUP(B34,'Base stats'!B:B,'Base stats'!E:E),Groups!A:A,Groups!C:C)*IF(_xlfn.XLOOKUP(B34,'Base stats'!B:B,'Base stats'!O:O)=1,0.5,IF(_xlfn.XLOOKUP(B34,'Base stats'!B:B,'Base stats'!O:O)=2,0,1)),0.05),0.985))</f>
        <v>0.70000000000000007</v>
      </c>
      <c r="J34" s="2">
        <f>ROUNDUP(AN34*_xlfn.XLOOKUP(_xlfn.XLOOKUP(B34,'Base stats'!B:B,'Base stats'!E:E),Groups!A:A,Groups!E:E),0)</f>
        <v>1</v>
      </c>
      <c r="K34" s="2">
        <f>IF(OR(_xlfn.XLOOKUP(_xlfn.XLOOKUP(B34,'Base stats'!B:B,'Base stats'!E:E),Groups!A:A,Groups!F:F)=2,ISNUMBER(SEARCH("SeaIce",BV34)),ISNUMBER(SEARCH("IceSheet",BV34))),-50,IF(OR(ISNUMBER(SEARCH("GlacialPlain",BV34)),ISNUMBER(SEARCH("Tundra",BV34))),-40,IF(OR(ISNUMBER(SEARCH("Alpine",BV34)),ISNUMBER(SEARCH("BorealForest",BV34)),ISNUMBER(SEARCH("ColdBog",BV34))),-30,IF(OR(ISNUMBER(SEARCH("TemperateForest",BV34)),ISNUMBER(SEARCH("TemperateSwamp",BV34))),-20,IF(_xlfn.XLOOKUP(_xlfn.XLOOKUP(B34,'Base stats'!B:B,'Base stats'!E:E),Groups!A:A,Groups!F:F)=1,-15,IF(OR(ISNUMBER(SEARCH("Desert",BV34)),ISNUMBER(SEARCH("ExtremeDesert",BV34))),-10,IF(OR(ISNUMBER(SEARCH("Grasslands",BV34)),ISNUMBER(SEARCH("TropicalRainforest",BV34)),ISNUMBER(SEARCH("TropicalSwamp",BV34))),10,0)))))))-IF(CA34="False",MIN(IFERROR(MAX(MROUND(LOG10(_xlfn.XLOOKUP(B34,'Base stats'!B:B,'Base stats'!C:C)^(2/3))*10,5),5),5),30))-_xlfn.XLOOKUP(B34,'Base stats'!B:B,'Base stats'!P:P)+IF(CA34="True",5,0)</f>
        <v>15</v>
      </c>
      <c r="L34" s="2">
        <f>IF(OR(_xlfn.XLOOKUP(_xlfn.XLOOKUP(B34,'Base stats'!B:B,'Base stats'!E:E),Groups!A:A,Groups!G:G)=2,ISNUMBER(SEARCH("Desert",BV34)),ISNUMBER(SEARCH("ExtremeDesert",BV34)),ISNUMBER(SEARCH("LavaField",BV34))),50,IF(ISNUMBER(SEARCH("Grasslands",BV34)),45,IF(OR(_xlfn.XLOOKUP(_xlfn.XLOOKUP(B34,'Base stats'!B:B,'Base stats'!E:E),Groups!A:A,Groups!G:G)=1,ISNUMBER(SEARCH("TropicalRainforest",BV34)),ISNUMBER(SEARCH("TropicalSwamp",BV34))),40,IF(OR(ISNUMBER(SEARCH("TemperateForest",BV34)),ISNUMBER(SEARCH("TemperateSwamp",BV34))),35,IF(OR(ISNUMBER(SEARCH("Alpine",BV34)),ISNUMBER(SEARCH("BorealForest",BV34)),ISNUMBER(SEARCH("ColdBog",BV34))),30,IF(ISNUMBER(OR(ISNUMBER(SEARCH("GlacialPlain",BV34)),SEARCH("Tundra",BV34))),25,IF(OR(ISNUMBER(SEARCH("SeaIce",BV34)),ISNUMBER(SEARCH("IceSheet",BV34)),ISNUMBER(SEARCH("TropicalSwamp",BV34))),10,35)))))))+_xlfn.XLOOKUP(B34,'Base stats'!B:B,'Base stats'!Q:Q)</f>
        <v>40</v>
      </c>
      <c r="M34" s="8">
        <f>IF(_xlfn.XLOOKUP(_xlfn.XLOOKUP(B34,'Base stats'!B:B,'Base stats'!E:E),Groups!A:A,Groups!L:L)=1,MIN(MROUND(_xlfn.XLOOKUP(B34,'Animals CE'!B:B,'Animals CE'!Z:Z)/2+0.05,0.05),200%),"No")</f>
        <v>0.60000000000000009</v>
      </c>
      <c r="N34" s="8">
        <f>IF(_xlfn.XLOOKUP(_xlfn.XLOOKUP(B34,'Base stats'!B:B,'Base stats'!E:E),Groups!A:A,Groups!L:L)=1,MIN(MROUND(_xlfn.XLOOKUP(B34,'Animals CE'!B:B,'Animals CE'!AA:AA)/2+0.05,0.05),200%),"No")</f>
        <v>1.05</v>
      </c>
      <c r="O34" s="2" t="str">
        <f>_xlfn.XLOOKUP(B34,'Base stats'!B:B,'Base stats'!R:R)</f>
        <v>Standard</v>
      </c>
      <c r="P34" s="13">
        <f>MROUND((LOG10(_xlfn.XLOOKUP(B34,'Base stats'!B:B,'Base stats'!AO:AO))*(AN34^0.5)+(_xlfn.XLOOKUP(B34,'Base stats'!B:B,'Base stats'!AO:AO)/1000)^(2/3)+_xlfn.XLOOKUP(B34,'Base stats'!B:B,'Base stats'!AX:AX)/2)+0.5,0.5)</f>
        <v>5</v>
      </c>
      <c r="Q34" s="7">
        <f>IF(P34="No","No",MAX(1,MROUND(_xlfn.XLOOKUP(B34,'Base stats'!B:B,'Base stats'!C:C)^0.165,0.05)))</f>
        <v>1.7000000000000002</v>
      </c>
      <c r="R34" s="13" t="str">
        <f>IF(_xlfn.XLOOKUP(_xlfn.XLOOKUP(B34,'Base stats'!B:B,'Base stats'!E:E),Groups!A:A,Groups!P:P)=0,"No",MROUND((LOG10(_xlfn.XLOOKUP(B34,'Base stats'!B:B,'Base stats'!AP:AP))*(AN34^0.5)+(_xlfn.XLOOKUP(B34,'Base stats'!B:B,'Base stats'!AP:AP)/1000)^(2/3)+_xlfn.XLOOKUP(B34,'Base stats'!B:B,'Base stats'!AX:AX))+_xlfn.XLOOKUP(B34,'Base stats'!B:B,'Base stats'!AV:AV)+0.5,0.5))</f>
        <v>No</v>
      </c>
      <c r="S34" s="7" t="str">
        <f>IF(R34="No","No",MAX(_xlfn.XLOOKUP(_xlfn.XLOOKUP(B34,'Base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T34" s="7" t="str">
        <f>IF(R34="No","No",_xlfn.XLOOKUP(_xlfn.XLOOKUP(B34,'Base stats'!B:B,'Base stats'!E:E),Groups!A:A,Groups!R:R))</f>
        <v>No</v>
      </c>
      <c r="U34" s="7" t="str">
        <f>IF(R34="No","No",_xlfn.XLOOKUP(_xlfn.XLOOKUP(B34,'Base stats'!B:B,'Base stats'!E:E),Groups!A:A,Groups!S:S))</f>
        <v>No</v>
      </c>
      <c r="V34" s="7" t="str">
        <f>IF(R34="No","No",_xlfn.XLOOKUP(_xlfn.XLOOKUP(B34,'Base stats'!B:B,'Base stats'!E:E),Groups!A:A,Groups!T:T))</f>
        <v>No</v>
      </c>
      <c r="W34" s="13" t="str">
        <f>IF(_xlfn.XLOOKUP(B34,'Base stats'!B:B,'Base stats'!W:W)="No","No",MROUND((LOG10(_xlfn.XLOOKUP(B34,'Base stats'!B:B,'Base stats'!AR:AR))*(AN34^0.5)+(_xlfn.XLOOKUP(B34,'Base stats'!B:B,'Base stats'!AR:AR)/1000)^(2/3)+_xlfn.XLOOKUP(B34,'Base stats'!B:B,'Base stats'!AW:AW))+0.5+IF(_xlfn.XLOOKUP(_xlfn.XLOOKUP(B34,'Base stats'!B:B,'Base stats'!E:E),Groups!A:A,Groups!U:U)&lt;&gt;3,_xlfn.XLOOKUP(B34,'Base stats'!B:B,'Base stats'!AX:AX),0),0.5))</f>
        <v>No</v>
      </c>
      <c r="X34" s="7" t="str">
        <f>IF(W34="No","No",MAX(_xlfn.XLOOKUP(_xlfn.XLOOKUP(B34,'Base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Y34" s="7" t="str">
        <f>IF(W34="No","No",_xlfn.XLOOKUP(_xlfn.XLOOKUP(B34,'Base stats'!B:B,'Base stats'!E:E),Groups!A:A,Groups!W:W))</f>
        <v>No</v>
      </c>
      <c r="Z34" s="7" t="str">
        <f>IF(W34="No","No",_xlfn.XLOOKUP(_xlfn.XLOOKUP(B34,'Base stats'!B:B,'Base stats'!E:E),Groups!A:A,Groups!X:X))</f>
        <v>No</v>
      </c>
      <c r="AA34" s="7" t="str">
        <f>IF(W34="No","No",_xlfn.XLOOKUP(_xlfn.XLOOKUP(B34,'Base stats'!B:B,'Base stats'!E:E),Groups!A:A,Groups!Y:Y))</f>
        <v>No</v>
      </c>
      <c r="AB34" s="7" t="str">
        <f>_xlfn.XLOOKUP(Animals!B34,'Base stats'!B:B,'Base stats'!X:X)</f>
        <v>False</v>
      </c>
      <c r="AC34" s="13">
        <f>IF(_xlfn.XLOOKUP(B34,'Base stats'!B:B,'Base stats'!AQ:AQ)="No","No",MROUND((LOG10(_xlfn.XLOOKUP(B34,'Base stats'!B:B,'Base stats'!AQ:AQ))*(AN34^0.75)+(_xlfn.XLOOKUP(B34,'Base stats'!B:B,'Base stats'!AQ:AQ)/1000)^(2/3)+_xlfn.XLOOKUP(B34,'Base stats'!B:B,'Base stats'!AU:AU)+_xlfn.XLOOKUP(B34,'Base stats'!B:B,'Base stats'!AX:AX))+0.5,0.5))</f>
        <v>6</v>
      </c>
      <c r="AD34" s="7">
        <f>IF(AC34="No","No",MAX(_xlfn.XLOOKUP(_xlfn.XLOOKUP(B34,'Base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E34" s="7" t="str">
        <f>IF(AC34="No","No",_xlfn.XLOOKUP(_xlfn.XLOOKUP(B34,'Base stats'!B:B,'Base stats'!E:E),Groups!A:A,Groups!AA:AA))</f>
        <v>TurtleBeakAttackTool</v>
      </c>
      <c r="AF34" s="7" t="str">
        <f>IF(AC34="No","No",_xlfn.XLOOKUP(_xlfn.XLOOKUP(B34,'Base stats'!B:B,'Base stats'!E:E),Groups!A:A,Groups!AB:AB))</f>
        <v>beak</v>
      </c>
      <c r="AG34" s="7" t="str">
        <f>IF(AC34="No","No",_xlfn.XLOOKUP(_xlfn.XLOOKUP(B34,'Base stats'!B:B,'Base stats'!E:E),Groups!A:A,Groups!AC:AC))</f>
        <v>Bite</v>
      </c>
      <c r="AH34" s="13" t="str">
        <f>IF(_xlfn.XLOOKUP(_xlfn.XLOOKUP(B34,'Base stats'!B:B,'Base stats'!E:E),Groups!A:A,Groups!AD:AD)=0,"No",MROUND((LOG10(_xlfn.XLOOKUP(B34,'Base stats'!B:B,'Base stats'!AP:AP))*(AN34^0.75)+(_xlfn.XLOOKUP(B34,'Base stats'!B:B,'Base stats'!AP:AP)/1000)^(2/3)+_xlfn.XLOOKUP(B34,'Base stats'!B:B,'Base stats'!AV:AV)+_xlfn.XLOOKUP(B34,'Base stats'!B:B,'Base stats'!AX:AX))+0.5,0.5))</f>
        <v>No</v>
      </c>
      <c r="AI34" s="7" t="str">
        <f>IF(AH34="No","No",MAX(_xlfn.XLOOKUP(_xlfn.XLOOKUP(B34,'Base stats'!B:B,'Base stats'!E:E),Groups!A:A,Groups!AE:AE),MROUND(_xlfn.XLOOKUP(_xlfn.XLOOKUP(B34,'Base stats'!B:B,'Base stats'!E:E),Groups!A:A,Groups!AE:AE)*_xlfn.XLOOKUP(B34,'Base stats'!B:B,'Base stats'!C:C)^0.165,0.05)))</f>
        <v>No</v>
      </c>
      <c r="AJ34" s="7" t="str">
        <f>IF(AH34="No","No",_xlfn.XLOOKUP(_xlfn.XLOOKUP(B34,'Base stats'!B:B,'Base stats'!E:E),Groups!A:A,Groups!AF:AF))</f>
        <v>No</v>
      </c>
      <c r="AK34" s="7" t="str">
        <f>IF(AH34="No","No",_xlfn.XLOOKUP(_xlfn.XLOOKUP(B34,'Base stats'!B:B,'Base stats'!E:E),Groups!A:A,Groups!AG:AG))</f>
        <v>No</v>
      </c>
      <c r="AL34" s="7" t="str">
        <f>IF(AH34="No","No",_xlfn.XLOOKUP(_xlfn.XLOOKUP(B34,'Base stats'!B:B,'Base stats'!E:E),Groups!A:A,Groups!AH:AH))</f>
        <v>No</v>
      </c>
      <c r="AM34" s="2" t="str">
        <f t="shared" si="0"/>
        <v>No</v>
      </c>
      <c r="AN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O34" s="8">
        <f>MROUND(AN34*_xlfn.XLOOKUP(_xlfn.XLOOKUP(B34,'Base stats'!B:B,'Base stats'!E:E),Groups!A:A,Groups!AI:AI),0.05)</f>
        <v>0.65</v>
      </c>
      <c r="AP34" s="8">
        <f>MAX(0.01,MROUND(IF(CA34="True",0.196*(AN34*100*1000)^0.889,IF(_xlfn.XLOOKUP(_xlfn.XLOOKUP(B34,'Base stats'!B:B,'Base stats'!E:E),Groups!A:A,Groups!AJ:AJ)="Bird",10.5*(AN34*100*1000)^0.681,4.82*(AN34*100*1000)^0.734))/(4.82*(1*100*1000)^0.734)/IF(AN34&lt;3.5,2,IF(AN34=3.5,1.5,1.25))*(1+0.132282374779864/(AN34^0.994035016789033+0.00905238001496948)),0.05))</f>
        <v>0.1</v>
      </c>
      <c r="AQ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R34" s="35" t="str">
        <f>IFERROR(IF(_xlfn.XLOOKUP(B34,'Base stats'!B:B,'Base stats'!F:F)="Lay eggs","Lay eggs",MIN(20,MAX(5.5,ROUND(((_xlfn.XLOOKUP(B34,'Base stats'!B:B,'Base stats'!F:F)-25)*(14.5/615) + 5.5)*2,0)/2))),"Cannot breed")</f>
        <v>Lay eggs</v>
      </c>
      <c r="AS34" s="8">
        <f>IF(OR(A34="Queen",A34="Larva"),"No",IFERROR(MAX(IF(_xlfn.XLOOKUP(B34,'Base stats'!B:B,'Base stats'!G:G)&lt;0.5,0.2,0.3),MROUND(_xlfn.XLOOKUP(B34,'Base stats'!B:B,'Base stats'!G:G)/(365/60),0.2)),"Unknown"))</f>
        <v>2.4000000000000004</v>
      </c>
      <c r="AT34" s="8">
        <f t="shared" si="1"/>
        <v>1.2000000000000002</v>
      </c>
      <c r="AU34" s="8" t="str">
        <f>IFERROR(IFERROR(MROUND(_xlfn.XLOOKUP(B34,'Base stats'!B:B,'Base stats'!J:J),0.1),"Lay eggs"),"Cannot breed")</f>
        <v>Lay eggs</v>
      </c>
      <c r="AV34" s="2" t="str">
        <f t="shared" si="2"/>
        <v>false</v>
      </c>
      <c r="AW34" s="2" t="str">
        <f>IF(_xlfn.XLOOKUP(_xlfn.XLOOKUP(Animals!B34,'Base stats'!B:B,'Base stats'!E:E),Groups!A:A,Groups!AK:AK)=1,"true","false")</f>
        <v>false</v>
      </c>
      <c r="AX34" s="25" t="str">
        <f>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</f>
        <v>VegetarianRoughAnimal</v>
      </c>
      <c r="AY34" s="2">
        <f>IF(_xlfn.XLOOKUP(_xlfn.XLOOKUP(B34,'Base stats'!B:B,'Base stats'!E:E),Groups!A:A,Groups!D:D)=1,MROUND((1-I34)*5+1,2)*IF(I34&lt;=0.4,2,1),"No")</f>
        <v>2</v>
      </c>
      <c r="AZ34" s="2" t="str">
        <f>_xlfn.XLOOKUP(B34,'Base stats'!B:B,'Base stats'!AE:AE)</f>
        <v>Leather_Lizard</v>
      </c>
      <c r="BA34" s="23" t="str">
        <f>_xlfn.XLOOKUP(_xlfn.XLOOKUP(B34,'Base stats'!B:B,'Base stats'!E:E),Groups!A:A,Groups!AL:AL)</f>
        <v>TurtleLike</v>
      </c>
      <c r="BB34" s="23">
        <f>MROUND(IF(AND(AN34&lt;0.5,_xlfn.XLOOKUP(B34,'Base stats'!B:B,'Base stats'!Z:Z)=0),0,IF(OR(_xlfn.XLOOKUP(Animals!B34,'Base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stats'!AA:AA),0.005)</f>
        <v>0</v>
      </c>
      <c r="BC34" s="23">
        <f>MROUND(IF(AND(AN34&lt;0.5,_xlfn.XLOOKUP(B34,'Base stats'!B:B,'Base stats'!Z:Z)=0),0,IF(_xlfn.XLOOKUP(_xlfn.XLOOKUP(B34,'Base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stats'!AB:AB),0.005)</f>
        <v>0</v>
      </c>
      <c r="BD34" s="2" t="str">
        <f>IF(I34&gt;0.3,"No",_xlfn.XLOOKUP(_xlfn.XLOOKUP(Animals!B34,'Base stats'!B:B,'Base stats'!E:E),Groups!A:A,Groups!AP:AP))</f>
        <v>No</v>
      </c>
      <c r="BE34" s="2" t="str">
        <f>IF(AND(I34&lt;=0.65,_xlfn.XLOOKUP(_xlfn.XLOOKUP(Animals!B34,'Base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stats'!O:O)=2,0.2,AN34) + 24*(1-IF(BD34="No",0,BD34)) + 16/3, 12),"No")</f>
        <v>No</v>
      </c>
      <c r="BF34" s="2">
        <f>IF(AND(_xlfn.XLOOKUP(_xlfn.XLOOKUP(B34,'Base stats'!B:B,'Base stats'!E:E),Groups!A:A,Groups!AQ:AQ)=1,AN34&lt;=0.35),8,12)</f>
        <v>12</v>
      </c>
      <c r="BG34" s="2" t="str">
        <f>IF(_xlfn.XLOOKUP(_xlfn.XLOOKUP(B34,'Base stats'!B:B,'Base stats'!E:E),Groups!A:A,Groups!D:D)=0,_xlfn.XLOOKUP(_xlfn.XLOOKUP(B34,'Base stats'!B:B,'Base stats'!E:E),Groups!A:A,Groups!AR:AR),"None")</f>
        <v>None</v>
      </c>
      <c r="BH34" s="2" t="str">
        <f>IF(AND(_xlfn.XLOOKUP(_xlfn.XLOOKUP(B34,'Base stats'!B:B,'Base stats'!E:E),Groups!A:A,Groups!AS:AS)=1,OR('Base stats'!Y34="Carnivore",'Base stats'!Y34="Omnivore")),"true","false")</f>
        <v>false</v>
      </c>
      <c r="BI34" s="2" t="str">
        <f>IF(BH34="true",MROUND(IF(AND(AN34&gt;0.5,_xlfn.XLOOKUP(_xlfn.XLOOKUP(B34,'Base stats'!B:B,'Base stats'!E:E),Groups!A:A,Groups!AJ:AJ)="Mammal"),Animals!AN34*1.75*IF(AV34="true",1.5,1),Animals!AN34),IF(AN34&gt;2,0.5,IF(AN34&gt;0.5,0.25,0.1))),"No")</f>
        <v>No</v>
      </c>
      <c r="BJ34" s="2">
        <f t="shared" si="3"/>
        <v>0</v>
      </c>
      <c r="BK34" s="25" t="str">
        <f>IF('Base stats'!AK34="Standard","No",MROUND((_xlfn.XLOOKUP(B34,'Base stats'!B:B,'Base stats'!AK:AK)/3.6)/H34,0.1))</f>
        <v>No</v>
      </c>
      <c r="BL34" s="25" t="str">
        <f t="shared" si="4"/>
        <v>false</v>
      </c>
      <c r="BM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N34" s="25" t="str" cm="1">
        <f t="array" ref="BN34">IF(
  _xlfn.TEXTJOIN(", ",TRUE,
    IF(AND(BH34="true",AN34&gt;0.5,BG34&lt;&gt;"None"),"AttackTarget",""),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IF(BE34&lt;=36,"Comfort",""),
    IF(_xlfn.XLOOKUP(B34,'Base stats'!B:B,'Base stats'!AC:AC)&lt;&gt;"No",_xlfn.XLOOKUP(B34,'Base stats'!B:B,'Base stats'!AC:AC),"")
  ) = "",
  "No",
  _xlfn.TEXTJOIN(", ",TRUE,
    IF(AND(BH34="true",AN34&gt;0.5,BG34&lt;&gt;"None"),"AttackTarget",""),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IF(BE34&lt;=36,"Comfort",""),
    IF(_xlfn.XLOOKUP(B34,'Base stats'!B:B,'Base stats'!AC:AC)&lt;&gt;"No",_xlfn.XLOOKUP(B34,'Base stats'!B:B,'Base stats'!AC:AC),"")
  )
)</f>
        <v>No</v>
      </c>
      <c r="BO34" s="25" t="str">
        <f>IF(
   AND(
      'Base stats'!AK34="Standard",_xlfn.XLOOKUP(_xlfn.XLOOKUP(B34,'Base stats'!B:B,'Base stats'!E:E),Groups!A:A,Groups!AU:AU)=0,
      OR(
      BM34="True"
      )
   ),
   10,
   IF(
       OR(BK34&lt;&gt;"No",_xlfn.XLOOKUP(_xlfn.XLOOKUP(B34,'Base stats'!B:B,'Base stats'!E:E),Groups!A:A,Groups!AU:AU)=1),
      1,
      "No"
   )
)</f>
        <v>No</v>
      </c>
      <c r="BP34" s="9">
        <f>MROUND((1 + ((0.2*IF(OR(P34="No",Q34="No",Q34=0),0,P34/Q34)
+IF(OR(U34="No",R34="No",S34="No"),0,R34/S34*(LEN(U34)-LEN(SUBSTITUTE(U34,",",""))+1))
+IF(OR(W34="No",X34="No"),0,W34/X34)
+IF(OR(AC34="No",AD34="No"),0,AC34/AD34)
+IF(OR(AK34="No",AH34="No",AI34="No"),0,AH34/AI34*(LEN(AK34)-LEN(SUBSTITUTE(AK34,",",""))+1))
)/(0.2*IF(OR(P34="No",Q34="No",Q34=0),0,1)
+IF(OR(U34="No",R34="No",S34="No"),0,LEN(U34)-LEN(SUBSTITUTE(U34,",",""))+1)
+IF(OR(W34="No",X34="No"),0,1)
+IF(OR(AC34="No",AD34="No"),0,1)
+IF(OR(AK34="No",AH34="No",AI34="No"),0,LEN(AK34)-LEN(SUBSTITUTE(AK34,",",""))+1))*62%)* 2)*(1 + (AO34 + _xlfn.XLOOKUP(B34,'Base stats'!B:B,'Base stats'!AS:AS) * 1.8) * 2) * 2.5 + 10 + H34 * 2,5)+IF(_xlfn.XLOOKUP(B34,'Base stats'!B:B,'Base stats'!AH:AH)=1,50,0)</f>
        <v>80</v>
      </c>
      <c r="BQ34" s="8">
        <f t="shared" si="5"/>
        <v>0.2</v>
      </c>
      <c r="BR34" s="8" t="str">
        <f>_xlfn.XLOOKUP(B34,'Base stats'!B:B,'Base stats'!AD:AD)</f>
        <v>No</v>
      </c>
      <c r="BS34" s="2" t="str">
        <f>IF(AND(I34&lt;=0.95,OR(_xlfn.XLOOKUP(B34,'Base stats'!B:B,'Base stats'!AH:AH)=1,_xlfn.XLOOKUP(B34,'Base stats'!B:B,'Base stats'!Y:Y)="Carnivore",_xlfn.XLOOKUP(B34,'Base stats'!B:B,'Base stats'!Y:Y)="Omnivore",BC34&gt;0.1)),"true","false")</f>
        <v>false</v>
      </c>
      <c r="BT34" s="2" t="str">
        <f>IF(_xlfn.XLOOKUP(B34,'Base stats'!B:B,'Base stats'!AF:AF)=1,"true","false")</f>
        <v>false</v>
      </c>
      <c r="BU34" s="25" t="str">
        <f>IF(E34="BaseInsect","AnimalInsect",
IF(I34&gt;0.95,"AnimalExotic",
_xlfn.TEXTJOIN(", ",TRUE,
IF(AND(_xlfn.XLOOKUP(B34,'Base stats'!B:B,'Base stats'!O:O)=0,_xlfn.XLOOKUP(_xlfn.XLOOKUP(B34,'Base stats'!B:B,'Base stats'!E:E),Groups!A:A,Groups!B:B)&gt;0),"AnimalUncommon","AnimalCommon"),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stats'!AH:AH)=1,AND(BG34&lt;&gt;"None",BP34&gt;=60),ISNUMBER(SEARCH("Attack target",BN34))),"AnimalFighter","")
)))</f>
        <v>AnimalUncommon</v>
      </c>
      <c r="BV34" s="25" t="str">
        <f>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</f>
        <v>TropicalRainforest TropicalSwamp Glowforest</v>
      </c>
      <c r="BW34" s="25" t="str">
        <f>IF(_xlfn.XLOOKUP(B34,'Base stats'!B:B,'Base stats'!AG:AG)=1,"true","false")</f>
        <v>false</v>
      </c>
      <c r="BX34" s="25">
        <f>IF(_xlfn.XLOOKUP(B34,'Base stats'!B:B,'Base stats'!N:N)=1,"No",MIN(MROUND(IF(OR(_xlfn.XLOOKUP(B34,'Base stats'!B:B,'Base stats'!AJ:AJ)=1,AND(BH34="True",CA34="False")),POWER(10,3.47*LOG10(_xlfn.XLOOKUP(B34,'Base stats'!B:B,'Base stats'!C:C)*1000)^-0.96),POWER(10,4.15*LOG10(_xlfn.XLOOKUP(B34,'Base stats'!B:B,'Base stats'!C:C)*1000)^-0.73))*IF(OR(_xlfn.XLOOKUP(B34,'Base stats'!B:B,'Base stats'!AJ:AJ)=1,_xlfn.XLOOKUP(B34,'Base stats'!B:B,'Base stats'!AH:AH)=1),0.5,1)/100,0.025),1))</f>
        <v>0.25</v>
      </c>
      <c r="BY34" s="25" t="str">
        <f>IF(O34="Standard","No",IF(_xlfn.XLOOKUP(B34,'Base stats'!B:B,'Base stats'!N:N)=0,MROUND(BX34*O34,0.05),MIN(1,MAX(0.025,MROUND(IF(OR(CA34="true",AND(BH34="false",BM34="false")),POWER(10,4.15*LOG10(_xlfn.XLOOKUP(B34,'Base stats'!B:B,'Base stats'!C:C)*1000)^-0.73),POWER(10,3.47*LOG10(_xlfn.XLOOKUP(B34,'Base stats'!B:B,'Base stats'!C:C)*1000)^-0.96))*IF(_xlfn.XLOOKUP(B34,'Base stats'!B:B,'Base stats'!AH:AH)=1,0.5,1)/100,0.025)))))</f>
        <v>No</v>
      </c>
      <c r="BZ34" s="25" t="str">
        <f>IF(_xlfn.XLOOKUP(_xlfn.XLOOKUP(B34,'Base stats'!B:B,'Base stats'!E:E),Groups!A:A,Groups!AJ:AJ)="Mammal","True","False")</f>
        <v>False</v>
      </c>
      <c r="CA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B34" s="25" t="str">
        <f t="shared" si="6"/>
        <v>False</v>
      </c>
      <c r="CC34" s="25" t="str">
        <f>IF(_xlfn.XLOOKUP(_xlfn.XLOOKUP(B34,'Base stats'!B:B,'Base stats'!E:E),Groups!A:A,Groups!AW:AW),"True","False")</f>
        <v>False</v>
      </c>
      <c r="CD34" s="25" t="str">
        <f>IF(_xlfn.XLOOKUP(_xlfn.XLOOKUP(B34,'Base stats'!B:B,'Base stats'!E:E),Groups!A:A,Groups!AX:AX),"True","False")</f>
        <v>False</v>
      </c>
      <c r="CE34" s="25" t="str">
        <f>IF(_xlfn.XLOOKUP(B34,'Base stats'!B:B,'Base stats'!E:E)=1,"True","False")</f>
        <v>False</v>
      </c>
      <c r="CF34" s="25" t="str">
        <f>IF(
OR(
_xlfn.XLOOKUP(_xlfn.XLOOKUP(B34,'Base stats'!B:B,'Base stats'!E:E),Groups!A:A,Groups!AY:AY)=0,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stats'!E:E),Groups!A:A,Groups!AY:AY)=1,
"Flesh",
IF(
_xlfn.XLOOKUP(_xlfn.XLOOKUP(B34,'Base stats'!B:B,'Base stats'!E:E),Groups!A:A,Groups!AY:AY)=2,
"Bone",
""
)
)
)</f>
        <v>No</v>
      </c>
      <c r="CG34" s="25" t="str">
        <f>IF(_xlfn.XLOOKUP(_xlfn.XLOOKUP(B34,'Base stats'!B:B,'Base stats'!E:E),Groups!A:A,Groups!BA:BA),"True","False")</f>
        <v>False</v>
      </c>
      <c r="CH34" s="25" t="str">
        <f>IF(_xlfn.XLOOKUP(_xlfn.XLOOKUP(B34,'Base stats'!B:B,'Base stats'!E:E),Groups!A:A,Groups!AZ:AZ),"True","False")</f>
        <v>False</v>
      </c>
    </row>
    <row r="35" spans="1:86" ht="16.5" thickTop="1" thickBot="1" x14ac:dyDescent="0.3">
      <c r="A35" s="26" t="str">
        <f>_xlfn.XLOOKUP(B35,'Base stats'!B:B,'Base stats'!A:A)</f>
        <v>Rat</v>
      </c>
      <c r="B35" s="6" t="s">
        <v>139</v>
      </c>
      <c r="C35" s="28" t="s">
        <v>722</v>
      </c>
      <c r="D35" s="28" t="s">
        <v>45</v>
      </c>
      <c r="E35" s="28" t="s">
        <v>685</v>
      </c>
      <c r="F35" s="28" t="s">
        <v>685</v>
      </c>
      <c r="G35" s="2">
        <f>MROUND((
  (IF(AND(_xlfn.XLOOKUP(B35,'Base stats'!B:B,'Base stats'!AI:AI)=0,BG35="None",_xlfn.XLOOKUP('Base stats'!E35,Groups!A:A,Groups!B:B)=0), (18 + BP35 * 2.7) * 0.5,
    IF(AND(_xlfn.XLOOKUP(B35,'Base stats'!B:B,'Base stats'!AI:AI)=0,OR(AN35&lt;0.55,AND(BG35="Intermediate",_xlfn.XLOOKUP('Base stats'!E35,Groups!A:A,Groups!B:B)&lt;2))), (18 + BP35 * 2.7),
      IF(OR(BG35="Advanced",_xlfn.XLOOKUP(B35,'Base stats'!B:B,'Base stats'!AI:AI)=1,_xlfn.XLOOKUP('Base stats'!E35,Groups!A:A,Groups!B:B)=2), (18 + BP35 * 2.7) + 250, (18 + BP35 * 2.7))
    )
  ))
  + AN35 * 80
  + IF(COUNTIF(EggMilk!K$2:K$998, A35) &gt; 0, 125, 0)
  + IF(COUNTIF(EggMilk!P$2:P$998, A35) &gt; 0, 90, 0)
  + IF(COUNTIF(EggMilk!A$2:A$998, A35) &gt; 0, 90, 0)
)
* (0.8 + 0.4 * I35)
* 0.75,25)</f>
        <v>25</v>
      </c>
      <c r="H35" s="2">
        <f>MROUND(ROUNDDOWN(_xlfn.XLOOKUP(B35,'Base stats'!B:B,'Base stats'!L:L)/3.6/(23.3/11),1),0.5)</f>
        <v>1.5</v>
      </c>
      <c r="I35" s="2">
        <f>IF(_xlfn.XLOOKUP(B35,'Base stats'!B:B,'Base stats'!AI:AI)=1,0.99,MIN(MROUND((1-0.6282*EXP(-0.459*AN35))*_xlfn.XLOOKUP(_xlfn.XLOOKUP(B35,'Base stats'!B:B,'Base stats'!E:E),Groups!A:A,Groups!C:C)*IF(_xlfn.XLOOKUP(B35,'Base stats'!B:B,'Base stats'!O:O)=1,0.5,IF(_xlfn.XLOOKUP(B35,'Base stats'!B:B,'Base stats'!O:O)=2,0,1)),0.05),0.985))</f>
        <v>0.5</v>
      </c>
      <c r="J35" s="2">
        <f>ROUNDUP(AN35*_xlfn.XLOOKUP(_xlfn.XLOOKUP(B35,'Base stats'!B:B,'Base stats'!E:E),Groups!A:A,Groups!E:E),0)</f>
        <v>1</v>
      </c>
      <c r="K35" s="2">
        <f>IF(OR(_xlfn.XLOOKUP(_xlfn.XLOOKUP(B35,'Base stats'!B:B,'Base stats'!E:E),Groups!A:A,Groups!F:F)=2,ISNUMBER(SEARCH("SeaIce",BV35)),ISNUMBER(SEARCH("IceSheet",BV35))),-50,IF(OR(ISNUMBER(SEARCH("GlacialPlain",BV35)),ISNUMBER(SEARCH("Tundra",BV35))),-40,IF(OR(ISNUMBER(SEARCH("Alpine",BV35)),ISNUMBER(SEARCH("BorealForest",BV35)),ISNUMBER(SEARCH("ColdBog",BV35))),-30,IF(OR(ISNUMBER(SEARCH("TemperateForest",BV35)),ISNUMBER(SEARCH("TemperateSwamp",BV35))),-20,IF(_xlfn.XLOOKUP(_xlfn.XLOOKUP(B35,'Base stats'!B:B,'Base stats'!E:E),Groups!A:A,Groups!F:F)=1,-15,IF(OR(ISNUMBER(SEARCH("Desert",BV35)),ISNUMBER(SEARCH("ExtremeDesert",BV35))),-10,IF(OR(ISNUMBER(SEARCH("Grasslands",BV35)),ISNUMBER(SEARCH("TropicalRainforest",BV35)),ISNUMBER(SEARCH("TropicalSwamp",BV35))),10,0)))))))-IF(CA35="False",MIN(IFERROR(MAX(MROUND(LOG10(_xlfn.XLOOKUP(B35,'Base stats'!B:B,'Base stats'!C:C)^(2/3))*10,5),5),5),30))-_xlfn.XLOOKUP(B35,'Base stats'!B:B,'Base stats'!P:P)+IF(CA35="True",5,0)</f>
        <v>-25</v>
      </c>
      <c r="L35" s="2">
        <f>IF(OR(_xlfn.XLOOKUP(_xlfn.XLOOKUP(B35,'Base stats'!B:B,'Base stats'!E:E),Groups!A:A,Groups!G:G)=2,ISNUMBER(SEARCH("Desert",BV35)),ISNUMBER(SEARCH("ExtremeDesert",BV35)),ISNUMBER(SEARCH("LavaField",BV35))),50,IF(ISNUMBER(SEARCH("Grasslands",BV35)),45,IF(OR(_xlfn.XLOOKUP(_xlfn.XLOOKUP(B35,'Base stats'!B:B,'Base stats'!E:E),Groups!A:A,Groups!G:G)=1,ISNUMBER(SEARCH("TropicalRainforest",BV35)),ISNUMBER(SEARCH("TropicalSwamp",BV35))),40,IF(OR(ISNUMBER(SEARCH("TemperateForest",BV35)),ISNUMBER(SEARCH("TemperateSwamp",BV35))),35,IF(OR(ISNUMBER(SEARCH("Alpine",BV35)),ISNUMBER(SEARCH("BorealForest",BV35)),ISNUMBER(SEARCH("ColdBog",BV35))),30,IF(ISNUMBER(OR(ISNUMBER(SEARCH("GlacialPlain",BV35)),SEARCH("Tundra",BV35))),25,IF(OR(ISNUMBER(SEARCH("SeaIce",BV35)),ISNUMBER(SEARCH("IceSheet",BV35)),ISNUMBER(SEARCH("TropicalSwamp",BV35))),10,35)))))))+_xlfn.XLOOKUP(B35,'Base stats'!B:B,'Base stats'!Q:Q)</f>
        <v>50</v>
      </c>
      <c r="M35" s="8" t="str">
        <f>IF(_xlfn.XLOOKUP(_xlfn.XLOOKUP(B35,'Base stats'!B:B,'Base stats'!E:E),Groups!A:A,Groups!L:L)=1,MIN(MROUND(_xlfn.XLOOKUP(B35,'Animals CE'!B:B,'Animals CE'!Z:Z)/2+0.05,0.05),200%),"No")</f>
        <v>No</v>
      </c>
      <c r="N35" s="8" t="str">
        <f>IF(_xlfn.XLOOKUP(_xlfn.XLOOKUP(B35,'Base stats'!B:B,'Base stats'!E:E),Groups!A:A,Groups!L:L)=1,MIN(MROUND(_xlfn.XLOOKUP(B35,'Animals CE'!B:B,'Animals CE'!AA:AA)/2+0.05,0.05),200%),"No")</f>
        <v>No</v>
      </c>
      <c r="O35" s="2">
        <f>_xlfn.XLOOKUP(B35,'Base stats'!B:B,'Base stats'!R:R)</f>
        <v>0.8</v>
      </c>
      <c r="P35" s="13">
        <f>MROUND((LOG10(_xlfn.XLOOKUP(B35,'Base stats'!B:B,'Base stats'!AO:AO))*(AN35^0.5)+(_xlfn.XLOOKUP(B35,'Base stats'!B:B,'Base stats'!AO:AO)/1000)^(2/3)+_xlfn.XLOOKUP(B35,'Base stats'!B:B,'Base stats'!AX:AX)/2)+0.5,0.5)</f>
        <v>1</v>
      </c>
      <c r="Q35" s="7">
        <f>IF(P35="No","No",MAX(1,MROUND(_xlfn.XLOOKUP(B35,'Base stats'!B:B,'Base stats'!C:C)^0.165,0.05)))</f>
        <v>1</v>
      </c>
      <c r="R35" s="13" t="str">
        <f>IF(_xlfn.XLOOKUP(_xlfn.XLOOKUP(B35,'Base stats'!B:B,'Base stats'!E:E),Groups!A:A,Groups!P:P)=0,"No",MROUND((LOG10(_xlfn.XLOOKUP(B35,'Base stats'!B:B,'Base stats'!AP:AP))*(AN35^0.5)+(_xlfn.XLOOKUP(B35,'Base stats'!B:B,'Base stats'!AP:AP)/1000)^(2/3)+_xlfn.XLOOKUP(B35,'Base stats'!B:B,'Base stats'!AX:AX))+_xlfn.XLOOKUP(B35,'Base stats'!B:B,'Base stats'!AV:AV)+0.5,0.5))</f>
        <v>No</v>
      </c>
      <c r="S35" s="7" t="str">
        <f>IF(R35="No","No",MAX(_xlfn.XLOOKUP(_xlfn.XLOOKUP(B35,'Base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T35" s="7" t="str">
        <f>IF(R35="No","No",_xlfn.XLOOKUP(_xlfn.XLOOKUP(B35,'Base stats'!B:B,'Base stats'!E:E),Groups!A:A,Groups!R:R))</f>
        <v>No</v>
      </c>
      <c r="U35" s="7" t="str">
        <f>IF(R35="No","No",_xlfn.XLOOKUP(_xlfn.XLOOKUP(B35,'Base stats'!B:B,'Base stats'!E:E),Groups!A:A,Groups!S:S))</f>
        <v>No</v>
      </c>
      <c r="V35" s="7" t="str">
        <f>IF(R35="No","No",_xlfn.XLOOKUP(_xlfn.XLOOKUP(B35,'Base stats'!B:B,'Base stats'!E:E),Groups!A:A,Groups!T:T))</f>
        <v>No</v>
      </c>
      <c r="W35" s="13" t="str">
        <f>IF(_xlfn.XLOOKUP(B35,'Base stats'!B:B,'Base stats'!W:W)="No","No",MROUND((LOG10(_xlfn.XLOOKUP(B35,'Base stats'!B:B,'Base stats'!AR:AR))*(AN35^0.5)+(_xlfn.XLOOKUP(B35,'Base stats'!B:B,'Base stats'!AR:AR)/1000)^(2/3)+_xlfn.XLOOKUP(B35,'Base stats'!B:B,'Base stats'!AW:AW))+0.5+IF(_xlfn.XLOOKUP(_xlfn.XLOOKUP(B35,'Base stats'!B:B,'Base stats'!E:E),Groups!A:A,Groups!U:U)&lt;&gt;3,_xlfn.XLOOKUP(B35,'Base stats'!B:B,'Base stats'!AX:AX),0),0.5))</f>
        <v>No</v>
      </c>
      <c r="X35" s="7" t="str">
        <f>IF(W35="No","No",MAX(_xlfn.XLOOKUP(_xlfn.XLOOKUP(B35,'Base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Y35" s="7" t="str">
        <f>IF(W35="No","No",_xlfn.XLOOKUP(_xlfn.XLOOKUP(B35,'Base stats'!B:B,'Base stats'!E:E),Groups!A:A,Groups!W:W))</f>
        <v>No</v>
      </c>
      <c r="Z35" s="7" t="str">
        <f>IF(W35="No","No",_xlfn.XLOOKUP(_xlfn.XLOOKUP(B35,'Base stats'!B:B,'Base stats'!E:E),Groups!A:A,Groups!X:X))</f>
        <v>No</v>
      </c>
      <c r="AA35" s="7" t="str">
        <f>IF(W35="No","No",_xlfn.XLOOKUP(_xlfn.XLOOKUP(B35,'Base stats'!B:B,'Base stats'!E:E),Groups!A:A,Groups!Y:Y))</f>
        <v>No</v>
      </c>
      <c r="AB35" s="7" t="str">
        <f>_xlfn.XLOOKUP(Animals!B35,'Base stats'!B:B,'Base stats'!X:X)</f>
        <v>False</v>
      </c>
      <c r="AC35" s="13">
        <f>IF(_xlfn.XLOOKUP(B35,'Base stats'!B:B,'Base stats'!AQ:AQ)="No","No",MROUND((LOG10(_xlfn.XLOOKUP(B35,'Base stats'!B:B,'Base stats'!AQ:AQ))*(AN35^0.75)+(_xlfn.XLOOKUP(B35,'Base stats'!B:B,'Base stats'!AQ:AQ)/1000)^(2/3)+_xlfn.XLOOKUP(B35,'Base stats'!B:B,'Base stats'!AU:AU)+_xlfn.XLOOKUP(B35,'Base stats'!B:B,'Base stats'!AX:AX))+0.5,0.5))</f>
        <v>1.5</v>
      </c>
      <c r="AD35" s="7">
        <f>IF(AC35="No","No",MAX(_xlfn.XLOOKUP(_xlfn.XLOOKUP(B35,'Base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E35" s="7" t="str">
        <f>IF(AC35="No","No",_xlfn.XLOOKUP(_xlfn.XLOOKUP(B35,'Base stats'!B:B,'Base stats'!E:E),Groups!A:A,Groups!AA:AA))</f>
        <v>Teeth</v>
      </c>
      <c r="AF35" s="7" t="str">
        <f>IF(AC35="No","No",_xlfn.XLOOKUP(_xlfn.XLOOKUP(B35,'Base stats'!B:B,'Base stats'!E:E),Groups!A:A,Groups!AB:AB))</f>
        <v>Incisors</v>
      </c>
      <c r="AG35" s="7" t="str">
        <f>IF(AC35="No","No",_xlfn.XLOOKUP(_xlfn.XLOOKUP(B35,'Base stats'!B:B,'Base stats'!E:E),Groups!A:A,Groups!AC:AC))</f>
        <v>Bite</v>
      </c>
      <c r="AH35" s="13" t="str">
        <f>IF(_xlfn.XLOOKUP(_xlfn.XLOOKUP(B35,'Base stats'!B:B,'Base stats'!E:E),Groups!A:A,Groups!AD:AD)=0,"No",MROUND((LOG10(_xlfn.XLOOKUP(B35,'Base stats'!B:B,'Base stats'!AP:AP))*(AN35^0.75)+(_xlfn.XLOOKUP(B35,'Base stats'!B:B,'Base stats'!AP:AP)/1000)^(2/3)+_xlfn.XLOOKUP(B35,'Base stats'!B:B,'Base stats'!AV:AV)+_xlfn.XLOOKUP(B35,'Base stats'!B:B,'Base stats'!AX:AX))+0.5,0.5))</f>
        <v>No</v>
      </c>
      <c r="AI35" s="7" t="str">
        <f>IF(AH35="No","No",MAX(_xlfn.XLOOKUP(_xlfn.XLOOKUP(B35,'Base stats'!B:B,'Base stats'!E:E),Groups!A:A,Groups!AE:AE),MROUND(_xlfn.XLOOKUP(_xlfn.XLOOKUP(B35,'Base stats'!B:B,'Base stats'!E:E),Groups!A:A,Groups!AE:AE)*_xlfn.XLOOKUP(B35,'Base stats'!B:B,'Base stats'!C:C)^0.165,0.05)))</f>
        <v>No</v>
      </c>
      <c r="AJ35" s="7" t="str">
        <f>IF(AH35="No","No",_xlfn.XLOOKUP(_xlfn.XLOOKUP(B35,'Base stats'!B:B,'Base stats'!E:E),Groups!A:A,Groups!AF:AF))</f>
        <v>No</v>
      </c>
      <c r="AK35" s="7" t="str">
        <f>IF(AH35="No","No",_xlfn.XLOOKUP(_xlfn.XLOOKUP(B35,'Base stats'!B:B,'Base stats'!E:E),Groups!A:A,Groups!AG:AG))</f>
        <v>No</v>
      </c>
      <c r="AL35" s="7" t="str">
        <f>IF(AH35="No","No",_xlfn.XLOOKUP(_xlfn.XLOOKUP(B35,'Base stats'!B:B,'Base stats'!E:E),Groups!A:A,Groups!AH:AH))</f>
        <v>No</v>
      </c>
      <c r="AM35" s="2" t="str">
        <f t="shared" si="0"/>
        <v>No</v>
      </c>
      <c r="AN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O35" s="8">
        <f>MROUND(AN35*_xlfn.XLOOKUP(_xlfn.XLOOKUP(B35,'Base stats'!B:B,'Base stats'!E:E),Groups!A:A,Groups!AI:AI),0.05)</f>
        <v>0.1</v>
      </c>
      <c r="AP35" s="8">
        <f>MAX(0.01,MROUND(IF(CA35="True",0.196*(AN35*100*1000)^0.889,IF(_xlfn.XLOOKUP(_xlfn.XLOOKUP(B35,'Base stats'!B:B,'Base stats'!E:E),Groups!A:A,Groups!AJ:AJ)="Bird",10.5*(AN35*100*1000)^0.681,4.82*(AN35*100*1000)^0.734))/(4.82*(1*100*1000)^0.734)/IF(AN35&lt;3.5,2,IF(AN35=3.5,1.5,1.25))*(1+0.132282374779864/(AN35^0.994035016789033+0.00905238001496948)),0.05))</f>
        <v>0.2</v>
      </c>
      <c r="AQ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R35" s="35">
        <f>IFERROR(IF(_xlfn.XLOOKUP(B35,'Base stats'!B:B,'Base stats'!F:F)="Lay eggs","Lay eggs",MIN(20,MAX(5.5,ROUND(((_xlfn.XLOOKUP(B35,'Base stats'!B:B,'Base stats'!F:F)-25)*(14.5/615) + 5.5)*2,0)/2))),"Cannot breed")</f>
        <v>5.5</v>
      </c>
      <c r="AS35" s="8">
        <f>IF(OR(A35="Queen",A35="Larva"),"No",IFERROR(MAX(IF(_xlfn.XLOOKUP(B35,'Base stats'!B:B,'Base stats'!G:G)&lt;0.5,0.2,0.3),MROUND(_xlfn.XLOOKUP(B35,'Base stats'!B:B,'Base stats'!G:G)/(365/60),0.2)),"Unknown"))</f>
        <v>0.2</v>
      </c>
      <c r="AT35" s="8">
        <f t="shared" si="1"/>
        <v>0.1</v>
      </c>
      <c r="AU35" s="8">
        <f>IFERROR(IFERROR(MROUND(_xlfn.XLOOKUP(B35,'Base stats'!B:B,'Base stats'!J:J),0.1),"Lay eggs"),"Cannot breed")</f>
        <v>9.9</v>
      </c>
      <c r="AV35" s="2" t="str">
        <f t="shared" si="2"/>
        <v>true</v>
      </c>
      <c r="AW35" s="2" t="str">
        <f>IF(_xlfn.XLOOKUP(_xlfn.XLOOKUP(Animals!B35,'Base stats'!B:B,'Base stats'!E:E),Groups!A:A,Groups!AK:AK)=1,"true","false")</f>
        <v>false</v>
      </c>
      <c r="AX35" s="25" t="str">
        <f>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</f>
        <v>OmnivoreAnimal, OvivoreAnimal</v>
      </c>
      <c r="AY35" s="2" t="str">
        <f>IF(_xlfn.XLOOKUP(_xlfn.XLOOKUP(B35,'Base stats'!B:B,'Base stats'!E:E),Groups!A:A,Groups!D:D)=1,MROUND((1-I35)*5+1,2)*IF(I35&lt;=0.4,2,1),"No")</f>
        <v>No</v>
      </c>
      <c r="AZ35" s="2" t="str">
        <f>_xlfn.XLOOKUP(B35,'Base stats'!B:B,'Base stats'!AE:AE)</f>
        <v>Leather_Light</v>
      </c>
      <c r="BA35" s="23" t="str">
        <f>_xlfn.XLOOKUP(_xlfn.XLOOKUP(B35,'Base stats'!B:B,'Base stats'!E:E),Groups!A:A,Groups!AL:AL)</f>
        <v>QuadrupedAnimalWithPawsAndTail</v>
      </c>
      <c r="BB35" s="23">
        <f>MROUND(IF(AND(AN35&lt;0.5,_xlfn.XLOOKUP(B35,'Base stats'!B:B,'Base stats'!Z:Z)=0),0,IF(OR(_xlfn.XLOOKUP(Animals!B35,'Base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stats'!AA:AA),0.005)</f>
        <v>0</v>
      </c>
      <c r="BC35" s="23">
        <f>MROUND(IF(AND(AN35&lt;0.5,_xlfn.XLOOKUP(B35,'Base stats'!B:B,'Base stats'!Z:Z)=0),0,IF(_xlfn.XLOOKUP(_xlfn.XLOOKUP(B35,'Base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stats'!AB:AB),0.005)</f>
        <v>0</v>
      </c>
      <c r="BD35" s="2" t="str">
        <f>IF(I35&gt;0.3,"No",_xlfn.XLOOKUP(_xlfn.XLOOKUP(Animals!B35,'Base stats'!B:B,'Base stats'!E:E),Groups!A:A,Groups!AP:AP))</f>
        <v>No</v>
      </c>
      <c r="BE35" s="2">
        <f>IF(AND(I35&lt;=0.65,_xlfn.XLOOKUP(_xlfn.XLOOKUP(Animals!B35,'Base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stats'!O:O)=2,0.2,AN35) + 24*(1-IF(BD35="No",0,BD35)) + 16/3, 12),"No")</f>
        <v>36</v>
      </c>
      <c r="BF35" s="2">
        <f>IF(AND(_xlfn.XLOOKUP(_xlfn.XLOOKUP(B35,'Base stats'!B:B,'Base stats'!E:E),Groups!A:A,Groups!AQ:AQ)=1,AN35&lt;=0.35),8,12)</f>
        <v>8</v>
      </c>
      <c r="BG35" s="2" t="str">
        <f>IF(_xlfn.XLOOKUP(_xlfn.XLOOKUP(B35,'Base stats'!B:B,'Base stats'!E:E),Groups!A:A,Groups!D:D)=0,_xlfn.XLOOKUP(_xlfn.XLOOKUP(B35,'Base stats'!B:B,'Base stats'!E:E),Groups!A:A,Groups!AR:AR),"None")</f>
        <v>None</v>
      </c>
      <c r="BH35" s="2" t="str">
        <f>IF(AND(_xlfn.XLOOKUP(_xlfn.XLOOKUP(B35,'Base stats'!B:B,'Base stats'!E:E),Groups!A:A,Groups!AS:AS)=1,OR('Base stats'!Y35="Carnivore",'Base stats'!Y35="Omnivore")),"true","false")</f>
        <v>false</v>
      </c>
      <c r="BI35" s="2" t="str">
        <f>IF(BH35="true",MROUND(IF(AND(AN35&gt;0.5,_xlfn.XLOOKUP(_xlfn.XLOOKUP(B35,'Base stats'!B:B,'Base stats'!E:E),Groups!A:A,Groups!AJ:AJ)="Mammal"),Animals!AN35*1.75*IF(AV35="true",1.5,1),Animals!AN35),IF(AN35&gt;2,0.5,IF(AN35&gt;0.5,0.25,0.1))),"No")</f>
        <v>No</v>
      </c>
      <c r="BJ35" s="2">
        <f t="shared" si="3"/>
        <v>0</v>
      </c>
      <c r="BK35" s="25" t="str">
        <f>IF('Base stats'!AK35="Standard","No",MROUND((_xlfn.XLOOKUP(B35,'Base stats'!B:B,'Base stats'!AK:AK)/3.6)/H35,0.1))</f>
        <v>No</v>
      </c>
      <c r="BL35" s="25" t="str">
        <f t="shared" si="4"/>
        <v>false</v>
      </c>
      <c r="BM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N35" s="25" t="str" cm="1">
        <f t="array" ref="BN35">IF(
  _xlfn.TEXTJOIN(", ",TRUE,
    IF(AND(BH35="true",AN35&gt;0.5,BG35&lt;&gt;"None"),"AttackTarget",""),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IF(BE35&lt;=36,"Comfort",""),
    IF(_xlfn.XLOOKUP(B35,'Base stats'!B:B,'Base stats'!AC:AC)&lt;&gt;"No",_xlfn.XLOOKUP(B35,'Base stats'!B:B,'Base stats'!AC:AC),"")
  ) = "",
  "No",
  _xlfn.TEXTJOIN(", ",TRUE,
    IF(AND(BH35="true",AN35&gt;0.5,BG35&lt;&gt;"None"),"AttackTarget",""),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IF(BE35&lt;=36,"Comfort",""),
    IF(_xlfn.XLOOKUP(B35,'Base stats'!B:B,'Base stats'!AC:AC)&lt;&gt;"No",_xlfn.XLOOKUP(B35,'Base stats'!B:B,'Base stats'!AC:AC),"")
  )
)</f>
        <v>Forage, Comfort</v>
      </c>
      <c r="BO35" s="25" t="str">
        <f>IF(
   AND(
      'Base stats'!AK35="Standard",_xlfn.XLOOKUP(_xlfn.XLOOKUP(B35,'Base stats'!B:B,'Base stats'!E:E),Groups!A:A,Groups!AU:AU)=0,
      OR(
      BM35="True"
      )
   ),
   10,
   IF(
       OR(BK35&lt;&gt;"No",_xlfn.XLOOKUP(_xlfn.XLOOKUP(B35,'Base stats'!B:B,'Base stats'!E:E),Groups!A:A,Groups!AU:AU)=1),
      1,
      "No"
   )
)</f>
        <v>No</v>
      </c>
      <c r="BP35" s="9">
        <f>MROUND((1 + ((0.2*IF(OR(P35="No",Q35="No",Q35=0),0,P35/Q35)
+IF(OR(U35="No",R35="No",S35="No"),0,R35/S35*(LEN(U35)-LEN(SUBSTITUTE(U35,",",""))+1))
+IF(OR(W35="No",X35="No"),0,W35/X35)
+IF(OR(AC35="No",AD35="No"),0,AC35/AD35)
+IF(OR(AK35="No",AH35="No",AI35="No"),0,AH35/AI35*(LEN(AK35)-LEN(SUBSTITUTE(AK35,",",""))+1))
)/(0.2*IF(OR(P35="No",Q35="No",Q35=0),0,1)
+IF(OR(U35="No",R35="No",S35="No"),0,LEN(U35)-LEN(SUBSTITUTE(U35,",",""))+1)
+IF(OR(W35="No",X35="No"),0,1)
+IF(OR(AC35="No",AD35="No"),0,1)
+IF(OR(AK35="No",AH35="No",AI35="No"),0,LEN(AK35)-LEN(SUBSTITUTE(AK35,",",""))+1))*62%)* 2)*(1 + (AO35 + _xlfn.XLOOKUP(B35,'Base stats'!B:B,'Base stats'!AS:AS) * 1.8) * 2) * 2.5 + 10 + H35 * 2,5)+IF(_xlfn.XLOOKUP(B35,'Base stats'!B:B,'Base stats'!AH:AH)=1,50,0)</f>
        <v>20</v>
      </c>
      <c r="BQ35" s="8">
        <f t="shared" si="5"/>
        <v>0.2</v>
      </c>
      <c r="BR35" s="8" t="str">
        <f>_xlfn.XLOOKUP(B35,'Base stats'!B:B,'Base stats'!AD:AD)</f>
        <v>1~6</v>
      </c>
      <c r="BS35" s="2" t="str">
        <f>IF(AND(I35&lt;=0.95,OR(_xlfn.XLOOKUP(B35,'Base stats'!B:B,'Base stats'!AH:AH)=1,_xlfn.XLOOKUP(B35,'Base stats'!B:B,'Base stats'!Y:Y)="Carnivore",_xlfn.XLOOKUP(B35,'Base stats'!B:B,'Base stats'!Y:Y)="Omnivore",BC35&gt;0.1)),"true","false")</f>
        <v>true</v>
      </c>
      <c r="BT35" s="2" t="str">
        <f>IF(_xlfn.XLOOKUP(B35,'Base stats'!B:B,'Base stats'!AF:AF)=1,"true","false")</f>
        <v>false</v>
      </c>
      <c r="BU35" s="25" t="str">
        <f>IF(E35="BaseInsect","AnimalInsect",
IF(I35&gt;0.95,"AnimalExotic",
_xlfn.TEXTJOIN(", ",TRUE,
IF(AND(_xlfn.XLOOKUP(B35,'Base stats'!B:B,'Base stats'!O:O)=0,_xlfn.XLOOKUP(_xlfn.XLOOKUP(B35,'Base stats'!B:B,'Base stats'!E:E),Groups!A:A,Groups!B:B)&gt;0),"AnimalUncommon","AnimalCommon"),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stats'!AH:AH)=1,AND(BG35&lt;&gt;"None",BP35&gt;=60),ISNUMBER(SEARCH("Attack target",BN35))),"AnimalFighter","")
)))</f>
        <v>AnimalCommon</v>
      </c>
      <c r="BV35" s="25" t="str">
        <f>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</f>
        <v>BorealForest ColdBog TemperateForest TemperateSwamp AridShrubland Desert TropicalRainforest TropicalSwamp Grasslands Glowforest LavaField Scarlands</v>
      </c>
      <c r="BW35" s="25" t="str">
        <f>IF(_xlfn.XLOOKUP(B35,'Base stats'!B:B,'Base stats'!AG:AG)=1,"true","false")</f>
        <v>false</v>
      </c>
      <c r="BX35" s="25">
        <f>IF(_xlfn.XLOOKUP(B35,'Base stats'!B:B,'Base stats'!N:N)=1,"No",MIN(MROUND(IF(OR(_xlfn.XLOOKUP(B35,'Base stats'!B:B,'Base stats'!AJ:AJ)=1,AND(BH35="True",CA35="False")),POWER(10,3.47*LOG10(_xlfn.XLOOKUP(B35,'Base stats'!B:B,'Base stats'!C:C)*1000)^-0.96),POWER(10,4.15*LOG10(_xlfn.XLOOKUP(B35,'Base stats'!B:B,'Base stats'!C:C)*1000)^-0.73))*IF(OR(_xlfn.XLOOKUP(B35,'Base stats'!B:B,'Base stats'!AJ:AJ)=1,_xlfn.XLOOKUP(B35,'Base stats'!B:B,'Base stats'!AH:AH)=1),0.5,1)/100,0.025),1))</f>
        <v>1</v>
      </c>
      <c r="BY35" s="25">
        <f>IF(O35="Standard","No",IF(_xlfn.XLOOKUP(B35,'Base stats'!B:B,'Base stats'!N:N)=0,MROUND(BX35*O35,0.05),MIN(1,MAX(0.025,MROUND(IF(OR(CA35="true",AND(BH35="false",BM35="false")),POWER(10,4.15*LOG10(_xlfn.XLOOKUP(B35,'Base stats'!B:B,'Base stats'!C:C)*1000)^-0.73),POWER(10,3.47*LOG10(_xlfn.XLOOKUP(B35,'Base stats'!B:B,'Base stats'!C:C)*1000)^-0.96))*IF(_xlfn.XLOOKUP(B35,'Base stats'!B:B,'Base stats'!AH:AH)=1,0.5,1)/100,0.025)))))</f>
        <v>0.8</v>
      </c>
      <c r="BZ35" s="25" t="str">
        <f>IF(_xlfn.XLOOKUP(_xlfn.XLOOKUP(B35,'Base stats'!B:B,'Base stats'!E:E),Groups!A:A,Groups!AJ:AJ)="Mammal","True","False")</f>
        <v>True</v>
      </c>
      <c r="CA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B35" s="25" t="str">
        <f t="shared" si="6"/>
        <v>False</v>
      </c>
      <c r="CC35" s="25" t="str">
        <f>IF(_xlfn.XLOOKUP(_xlfn.XLOOKUP(B35,'Base stats'!B:B,'Base stats'!E:E),Groups!A:A,Groups!AW:AW),"True","False")</f>
        <v>False</v>
      </c>
      <c r="CD35" s="25" t="str">
        <f>IF(_xlfn.XLOOKUP(_xlfn.XLOOKUP(B35,'Base stats'!B:B,'Base stats'!E:E),Groups!A:A,Groups!AX:AX),"True","False")</f>
        <v>False</v>
      </c>
      <c r="CE35" s="25" t="str">
        <f>IF(_xlfn.XLOOKUP(B35,'Base stats'!B:B,'Base stats'!E:E)=1,"True","False")</f>
        <v>False</v>
      </c>
      <c r="CF35" s="25" t="str">
        <f>IF(
OR(
_xlfn.XLOOKUP(_xlfn.XLOOKUP(B35,'Base stats'!B:B,'Base stats'!E:E),Groups!A:A,Groups!AY:AY)=0,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stats'!E:E),Groups!A:A,Groups!AY:AY)=1,
"Flesh",
IF(
_xlfn.XLOOKUP(_xlfn.XLOOKUP(B35,'Base stats'!B:B,'Base stats'!E:E),Groups!A:A,Groups!AY:AY)=2,
"Bone",
""
)
)
)</f>
        <v>Bone</v>
      </c>
      <c r="CG35" s="25" t="str">
        <f>IF(_xlfn.XLOOKUP(_xlfn.XLOOKUP(B35,'Base stats'!B:B,'Base stats'!E:E),Groups!A:A,Groups!BA:BA),"True","False")</f>
        <v>True</v>
      </c>
      <c r="CH35" s="25" t="str">
        <f>IF(_xlfn.XLOOKUP(_xlfn.XLOOKUP(B35,'Base stats'!B:B,'Base stats'!E:E),Groups!A:A,Groups!AZ:AZ),"True","False")</f>
        <v>False</v>
      </c>
    </row>
    <row r="36" spans="1:86" ht="16.5" thickTop="1" thickBot="1" x14ac:dyDescent="0.3">
      <c r="A36" s="26" t="str">
        <f>_xlfn.XLOOKUP(B36,'Base stats'!B:B,'Base stats'!A:A)</f>
        <v>Squirrel</v>
      </c>
      <c r="B36" s="6" t="s">
        <v>137</v>
      </c>
      <c r="C36" s="28" t="s">
        <v>723</v>
      </c>
      <c r="D36" s="28" t="s">
        <v>45</v>
      </c>
      <c r="E36" s="28" t="s">
        <v>685</v>
      </c>
      <c r="F36" s="28" t="s">
        <v>685</v>
      </c>
      <c r="G36" s="2">
        <f>MROUND((
  (IF(AND(_xlfn.XLOOKUP(B36,'Base stats'!B:B,'Base stats'!AI:AI)=0,BG36="None",_xlfn.XLOOKUP('Base stats'!E36,Groups!A:A,Groups!B:B)=0), (18 + BP36 * 2.7) * 0.5,
    IF(AND(_xlfn.XLOOKUP(B36,'Base stats'!B:B,'Base stats'!AI:AI)=0,OR(AN36&lt;0.55,AND(BG36="Intermediate",_xlfn.XLOOKUP('Base stats'!E36,Groups!A:A,Groups!B:B)&lt;2))), (18 + BP36 * 2.7),
      IF(OR(BG36="Advanced",_xlfn.XLOOKUP(B36,'Base stats'!B:B,'Base stats'!AI:AI)=1,_xlfn.XLOOKUP('Base stats'!E36,Groups!A:A,Groups!B:B)=2), (18 + BP36 * 2.7) + 250, (18 + BP36 * 2.7))
    )
  ))
  + AN36 * 80
  + IF(COUNTIF(EggMilk!K$2:K$998, A36) &gt; 0, 125, 0)
  + IF(COUNTIF(EggMilk!P$2:P$998, A36) &gt; 0, 90, 0)
  + IF(COUNTIF(EggMilk!A$2:A$998, A36) &gt; 0, 90, 0)
)
* (0.8 + 0.4 * I36)
* 0.75,25)</f>
        <v>50</v>
      </c>
      <c r="H36" s="2">
        <f>MROUND(ROUNDDOWN(_xlfn.XLOOKUP(B36,'Base stats'!B:B,'Base stats'!L:L)/3.6/(23.3/11),1),0.5)</f>
        <v>3.5</v>
      </c>
      <c r="I36" s="2">
        <f>IF(_xlfn.XLOOKUP(B36,'Base stats'!B:B,'Base stats'!AI:AI)=1,0.99,MIN(MROUND((1-0.6282*EXP(-0.459*AN36))*_xlfn.XLOOKUP(_xlfn.XLOOKUP(B36,'Base stats'!B:B,'Base stats'!E:E),Groups!A:A,Groups!C:C)*IF(_xlfn.XLOOKUP(B36,'Base stats'!B:B,'Base stats'!O:O)=1,0.5,IF(_xlfn.XLOOKUP(B36,'Base stats'!B:B,'Base stats'!O:O)=2,0,1)),0.05),0.985))</f>
        <v>0.5</v>
      </c>
      <c r="J36" s="2">
        <f>ROUNDUP(AN36*_xlfn.XLOOKUP(_xlfn.XLOOKUP(B36,'Base stats'!B:B,'Base stats'!E:E),Groups!A:A,Groups!E:E),0)</f>
        <v>1</v>
      </c>
      <c r="K36" s="2">
        <f>IF(OR(_xlfn.XLOOKUP(_xlfn.XLOOKUP(B36,'Base stats'!B:B,'Base stats'!E:E),Groups!A:A,Groups!F:F)=2,ISNUMBER(SEARCH("SeaIce",BV36)),ISNUMBER(SEARCH("IceSheet",BV36))),-50,IF(OR(ISNUMBER(SEARCH("GlacialPlain",BV36)),ISNUMBER(SEARCH("Tundra",BV36))),-40,IF(OR(ISNUMBER(SEARCH("Alpine",BV36)),ISNUMBER(SEARCH("BorealForest",BV36)),ISNUMBER(SEARCH("ColdBog",BV36))),-30,IF(OR(ISNUMBER(SEARCH("TemperateForest",BV36)),ISNUMBER(SEARCH("TemperateSwamp",BV36))),-20,IF(_xlfn.XLOOKUP(_xlfn.XLOOKUP(B36,'Base stats'!B:B,'Base stats'!E:E),Groups!A:A,Groups!F:F)=1,-15,IF(OR(ISNUMBER(SEARCH("Desert",BV36)),ISNUMBER(SEARCH("ExtremeDesert",BV36))),-10,IF(OR(ISNUMBER(SEARCH("Grasslands",BV36)),ISNUMBER(SEARCH("TropicalRainforest",BV36)),ISNUMBER(SEARCH("TropicalSwamp",BV36))),10,0)))))))-IF(CA36="False",MIN(IFERROR(MAX(MROUND(LOG10(_xlfn.XLOOKUP(B36,'Base stats'!B:B,'Base stats'!C:C)^(2/3))*10,5),5),5),30))-_xlfn.XLOOKUP(B36,'Base stats'!B:B,'Base stats'!P:P)+IF(CA36="True",5,0)</f>
        <v>-45</v>
      </c>
      <c r="L36" s="2">
        <f>IF(OR(_xlfn.XLOOKUP(_xlfn.XLOOKUP(B36,'Base stats'!B:B,'Base stats'!E:E),Groups!A:A,Groups!G:G)=2,ISNUMBER(SEARCH("Desert",BV36)),ISNUMBER(SEARCH("ExtremeDesert",BV36)),ISNUMBER(SEARCH("LavaField",BV36))),50,IF(ISNUMBER(SEARCH("Grasslands",BV36)),45,IF(OR(_xlfn.XLOOKUP(_xlfn.XLOOKUP(B36,'Base stats'!B:B,'Base stats'!E:E),Groups!A:A,Groups!G:G)=1,ISNUMBER(SEARCH("TropicalRainforest",BV36)),ISNUMBER(SEARCH("TropicalSwamp",BV36))),40,IF(OR(ISNUMBER(SEARCH("TemperateForest",BV36)),ISNUMBER(SEARCH("TemperateSwamp",BV36))),35,IF(OR(ISNUMBER(SEARCH("Alpine",BV36)),ISNUMBER(SEARCH("BorealForest",BV36)),ISNUMBER(SEARCH("ColdBog",BV36))),30,IF(ISNUMBER(OR(ISNUMBER(SEARCH("GlacialPlain",BV36)),SEARCH("Tundra",BV36))),25,IF(OR(ISNUMBER(SEARCH("SeaIce",BV36)),ISNUMBER(SEARCH("IceSheet",BV36)),ISNUMBER(SEARCH("TropicalSwamp",BV36))),10,35)))))))+_xlfn.XLOOKUP(B36,'Base stats'!B:B,'Base stats'!Q:Q)</f>
        <v>35</v>
      </c>
      <c r="M36" s="8" t="str">
        <f>IF(_xlfn.XLOOKUP(_xlfn.XLOOKUP(B36,'Base stats'!B:B,'Base stats'!E:E),Groups!A:A,Groups!L:L)=1,MIN(MROUND(_xlfn.XLOOKUP(B36,'Animals CE'!B:B,'Animals CE'!Z:Z)/2+0.05,0.05),200%),"No")</f>
        <v>No</v>
      </c>
      <c r="N36" s="8" t="str">
        <f>IF(_xlfn.XLOOKUP(_xlfn.XLOOKUP(B36,'Base stats'!B:B,'Base stats'!E:E),Groups!A:A,Groups!L:L)=1,MIN(MROUND(_xlfn.XLOOKUP(B36,'Animals CE'!B:B,'Animals CE'!AA:AA)/2+0.05,0.05),200%),"No")</f>
        <v>No</v>
      </c>
      <c r="O36" s="2" t="str">
        <f>_xlfn.XLOOKUP(B36,'Base stats'!B:B,'Base stats'!R:R)</f>
        <v>Standard</v>
      </c>
      <c r="P36" s="13">
        <f>MROUND((LOG10(_xlfn.XLOOKUP(B36,'Base stats'!B:B,'Base stats'!AO:AO))*(AN36^0.5)+(_xlfn.XLOOKUP(B36,'Base stats'!B:B,'Base stats'!AO:AO)/1000)^(2/3)+_xlfn.XLOOKUP(B36,'Base stats'!B:B,'Base stats'!AX:AX)/2)+0.5,0.5)</f>
        <v>1.5</v>
      </c>
      <c r="Q36" s="7">
        <f>IF(P36="No","No",MAX(1,MROUND(_xlfn.XLOOKUP(B36,'Base stats'!B:B,'Base stats'!C:C)^0.165,0.05)))</f>
        <v>1</v>
      </c>
      <c r="R36" s="13" t="str">
        <f>IF(_xlfn.XLOOKUP(_xlfn.XLOOKUP(B36,'Base stats'!B:B,'Base stats'!E:E),Groups!A:A,Groups!P:P)=0,"No",MROUND((LOG10(_xlfn.XLOOKUP(B36,'Base stats'!B:B,'Base stats'!AP:AP))*(AN36^0.5)+(_xlfn.XLOOKUP(B36,'Base stats'!B:B,'Base stats'!AP:AP)/1000)^(2/3)+_xlfn.XLOOKUP(B36,'Base stats'!B:B,'Base stats'!AX:AX))+_xlfn.XLOOKUP(B36,'Base stats'!B:B,'Base stats'!AV:AV)+0.5,0.5))</f>
        <v>No</v>
      </c>
      <c r="S36" s="7" t="str">
        <f>IF(R36="No","No",MAX(_xlfn.XLOOKUP(_xlfn.XLOOKUP(B36,'Base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T36" s="7" t="str">
        <f>IF(R36="No","No",_xlfn.XLOOKUP(_xlfn.XLOOKUP(B36,'Base stats'!B:B,'Base stats'!E:E),Groups!A:A,Groups!R:R))</f>
        <v>No</v>
      </c>
      <c r="U36" s="7" t="str">
        <f>IF(R36="No","No",_xlfn.XLOOKUP(_xlfn.XLOOKUP(B36,'Base stats'!B:B,'Base stats'!E:E),Groups!A:A,Groups!S:S))</f>
        <v>No</v>
      </c>
      <c r="V36" s="7" t="str">
        <f>IF(R36="No","No",_xlfn.XLOOKUP(_xlfn.XLOOKUP(B36,'Base stats'!B:B,'Base stats'!E:E),Groups!A:A,Groups!T:T))</f>
        <v>No</v>
      </c>
      <c r="W36" s="13" t="str">
        <f>IF(_xlfn.XLOOKUP(B36,'Base stats'!B:B,'Base stats'!W:W)="No","No",MROUND((LOG10(_xlfn.XLOOKUP(B36,'Base stats'!B:B,'Base stats'!AR:AR))*(AN36^0.5)+(_xlfn.XLOOKUP(B36,'Base stats'!B:B,'Base stats'!AR:AR)/1000)^(2/3)+_xlfn.XLOOKUP(B36,'Base stats'!B:B,'Base stats'!AW:AW))+0.5+IF(_xlfn.XLOOKUP(_xlfn.XLOOKUP(B36,'Base stats'!B:B,'Base stats'!E:E),Groups!A:A,Groups!U:U)&lt;&gt;3,_xlfn.XLOOKUP(B36,'Base stats'!B:B,'Base stats'!AX:AX),0),0.5))</f>
        <v>No</v>
      </c>
      <c r="X36" s="7" t="str">
        <f>IF(W36="No","No",MAX(_xlfn.XLOOKUP(_xlfn.XLOOKUP(B36,'Base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Y36" s="7" t="str">
        <f>IF(W36="No","No",_xlfn.XLOOKUP(_xlfn.XLOOKUP(B36,'Base stats'!B:B,'Base stats'!E:E),Groups!A:A,Groups!W:W))</f>
        <v>No</v>
      </c>
      <c r="Z36" s="7" t="str">
        <f>IF(W36="No","No",_xlfn.XLOOKUP(_xlfn.XLOOKUP(B36,'Base stats'!B:B,'Base stats'!E:E),Groups!A:A,Groups!X:X))</f>
        <v>No</v>
      </c>
      <c r="AA36" s="7" t="str">
        <f>IF(W36="No","No",_xlfn.XLOOKUP(_xlfn.XLOOKUP(B36,'Base stats'!B:B,'Base stats'!E:E),Groups!A:A,Groups!Y:Y))</f>
        <v>No</v>
      </c>
      <c r="AB36" s="7" t="str">
        <f>_xlfn.XLOOKUP(Animals!B36,'Base stats'!B:B,'Base stats'!X:X)</f>
        <v>False</v>
      </c>
      <c r="AC36" s="13">
        <f>IF(_xlfn.XLOOKUP(B36,'Base stats'!B:B,'Base stats'!AQ:AQ)="No","No",MROUND((LOG10(_xlfn.XLOOKUP(B36,'Base stats'!B:B,'Base stats'!AQ:AQ))*(AN36^0.75)+(_xlfn.XLOOKUP(B36,'Base stats'!B:B,'Base stats'!AQ:AQ)/1000)^(2/3)+_xlfn.XLOOKUP(B36,'Base stats'!B:B,'Base stats'!AU:AU)+_xlfn.XLOOKUP(B36,'Base stats'!B:B,'Base stats'!AX:AX))+0.5,0.5))</f>
        <v>1.5</v>
      </c>
      <c r="AD36" s="7">
        <f>IF(AC36="No","No",MAX(_xlfn.XLOOKUP(_xlfn.XLOOKUP(B36,'Base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E36" s="7" t="str">
        <f>IF(AC36="No","No",_xlfn.XLOOKUP(_xlfn.XLOOKUP(B36,'Base stats'!B:B,'Base stats'!E:E),Groups!A:A,Groups!AA:AA))</f>
        <v>Teeth</v>
      </c>
      <c r="AF36" s="7" t="str">
        <f>IF(AC36="No","No",_xlfn.XLOOKUP(_xlfn.XLOOKUP(B36,'Base stats'!B:B,'Base stats'!E:E),Groups!A:A,Groups!AB:AB))</f>
        <v>Incisors</v>
      </c>
      <c r="AG36" s="7" t="str">
        <f>IF(AC36="No","No",_xlfn.XLOOKUP(_xlfn.XLOOKUP(B36,'Base stats'!B:B,'Base stats'!E:E),Groups!A:A,Groups!AC:AC))</f>
        <v>Bite</v>
      </c>
      <c r="AH36" s="13" t="str">
        <f>IF(_xlfn.XLOOKUP(_xlfn.XLOOKUP(B36,'Base stats'!B:B,'Base stats'!E:E),Groups!A:A,Groups!AD:AD)=0,"No",MROUND((LOG10(_xlfn.XLOOKUP(B36,'Base stats'!B:B,'Base stats'!AP:AP))*(AN36^0.75)+(_xlfn.XLOOKUP(B36,'Base stats'!B:B,'Base stats'!AP:AP)/1000)^(2/3)+_xlfn.XLOOKUP(B36,'Base stats'!B:B,'Base stats'!AV:AV)+_xlfn.XLOOKUP(B36,'Base stats'!B:B,'Base stats'!AX:AX))+0.5,0.5))</f>
        <v>No</v>
      </c>
      <c r="AI36" s="7" t="str">
        <f>IF(AH36="No","No",MAX(_xlfn.XLOOKUP(_xlfn.XLOOKUP(B36,'Base stats'!B:B,'Base stats'!E:E),Groups!A:A,Groups!AE:AE),MROUND(_xlfn.XLOOKUP(_xlfn.XLOOKUP(B36,'Base stats'!B:B,'Base stats'!E:E),Groups!A:A,Groups!AE:AE)*_xlfn.XLOOKUP(B36,'Base stats'!B:B,'Base stats'!C:C)^0.165,0.05)))</f>
        <v>No</v>
      </c>
      <c r="AJ36" s="7" t="str">
        <f>IF(AH36="No","No",_xlfn.XLOOKUP(_xlfn.XLOOKUP(B36,'Base stats'!B:B,'Base stats'!E:E),Groups!A:A,Groups!AF:AF))</f>
        <v>No</v>
      </c>
      <c r="AK36" s="7" t="str">
        <f>IF(AH36="No","No",_xlfn.XLOOKUP(_xlfn.XLOOKUP(B36,'Base stats'!B:B,'Base stats'!E:E),Groups!A:A,Groups!AG:AG))</f>
        <v>No</v>
      </c>
      <c r="AL36" s="7" t="str">
        <f>IF(AH36="No","No",_xlfn.XLOOKUP(_xlfn.XLOOKUP(B36,'Base stats'!B:B,'Base stats'!E:E),Groups!A:A,Groups!AH:AH))</f>
        <v>No</v>
      </c>
      <c r="AM36" s="2" t="str">
        <f t="shared" si="0"/>
        <v>No</v>
      </c>
      <c r="AN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O36" s="8">
        <f>MROUND(AN36*_xlfn.XLOOKUP(_xlfn.XLOOKUP(B36,'Base stats'!B:B,'Base stats'!E:E),Groups!A:A,Groups!AI:AI),0.05)</f>
        <v>0.15000000000000002</v>
      </c>
      <c r="AP36" s="8">
        <f>MAX(0.01,MROUND(IF(CA36="True",0.196*(AN36*100*1000)^0.889,IF(_xlfn.XLOOKUP(_xlfn.XLOOKUP(B36,'Base stats'!B:B,'Base stats'!E:E),Groups!A:A,Groups!AJ:AJ)="Bird",10.5*(AN36*100*1000)^0.681,4.82*(AN36*100*1000)^0.734))/(4.82*(1*100*1000)^0.734)/IF(AN36&lt;3.5,2,IF(AN36=3.5,1.5,1.25))*(1+0.132282374779864/(AN36^0.994035016789033+0.00905238001496948)),0.05))</f>
        <v>0.25</v>
      </c>
      <c r="AQ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R36" s="35">
        <f>IFERROR(IF(_xlfn.XLOOKUP(B36,'Base stats'!B:B,'Base stats'!F:F)="Lay eggs","Lay eggs",MIN(20,MAX(5.5,ROUND(((_xlfn.XLOOKUP(B36,'Base stats'!B:B,'Base stats'!F:F)-25)*(14.5/615) + 5.5)*2,0)/2))),"Cannot breed")</f>
        <v>6</v>
      </c>
      <c r="AS36" s="8">
        <f>IF(OR(A36="Queen",A36="Larva"),"No",IFERROR(MAX(IF(_xlfn.XLOOKUP(B36,'Base stats'!B:B,'Base stats'!G:G)&lt;0.5,0.2,0.3),MROUND(_xlfn.XLOOKUP(B36,'Base stats'!B:B,'Base stats'!G:G)/(365/60),0.2)),"Unknown"))</f>
        <v>0.3</v>
      </c>
      <c r="AT36" s="8">
        <f t="shared" si="1"/>
        <v>0.15000000000000002</v>
      </c>
      <c r="AU36" s="8">
        <f>IFERROR(IFERROR(MROUND(_xlfn.XLOOKUP(B36,'Base stats'!B:B,'Base stats'!J:J),0.1),"Lay eggs"),"Cannot breed")</f>
        <v>5</v>
      </c>
      <c r="AV36" s="2" t="str">
        <f t="shared" si="2"/>
        <v>false</v>
      </c>
      <c r="AW36" s="2" t="str">
        <f>IF(_xlfn.XLOOKUP(_xlfn.XLOOKUP(Animals!B36,'Base stats'!B:B,'Base stats'!E:E),Groups!A:A,Groups!AK:AK)=1,"true","false")</f>
        <v>false</v>
      </c>
      <c r="AX36" s="25" t="str">
        <f>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</f>
        <v>VegetarianRoughAnimal</v>
      </c>
      <c r="AY36" s="2" t="str">
        <f>IF(_xlfn.XLOOKUP(_xlfn.XLOOKUP(B36,'Base stats'!B:B,'Base stats'!E:E),Groups!A:A,Groups!D:D)=1,MROUND((1-I36)*5+1,2)*IF(I36&lt;=0.4,2,1),"No")</f>
        <v>No</v>
      </c>
      <c r="AZ36" s="2" t="str">
        <f>_xlfn.XLOOKUP(B36,'Base stats'!B:B,'Base stats'!AE:AE)</f>
        <v>Leather_Squirrel</v>
      </c>
      <c r="BA36" s="23" t="str">
        <f>_xlfn.XLOOKUP(_xlfn.XLOOKUP(B36,'Base stats'!B:B,'Base stats'!E:E),Groups!A:A,Groups!AL:AL)</f>
        <v>QuadrupedAnimalWithPawsAndTail</v>
      </c>
      <c r="BB36" s="23">
        <f>MROUND(IF(AND(AN36&lt;0.5,_xlfn.XLOOKUP(B36,'Base stats'!B:B,'Base stats'!Z:Z)=0),0,IF(OR(_xlfn.XLOOKUP(Animals!B36,'Base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stats'!AA:AA),0.005)</f>
        <v>0</v>
      </c>
      <c r="BC36" s="23">
        <f>MROUND(IF(AND(AN36&lt;0.5,_xlfn.XLOOKUP(B36,'Base stats'!B:B,'Base stats'!Z:Z)=0),0,IF(_xlfn.XLOOKUP(_xlfn.XLOOKUP(B36,'Base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stats'!AB:AB),0.005)</f>
        <v>0</v>
      </c>
      <c r="BD36" s="2" t="str">
        <f>IF(I36&gt;0.3,"No",_xlfn.XLOOKUP(_xlfn.XLOOKUP(Animals!B36,'Base stats'!B:B,'Base stats'!E:E),Groups!A:A,Groups!AP:AP))</f>
        <v>No</v>
      </c>
      <c r="BE36" s="2">
        <f>IF(AND(I36&lt;=0.65,_xlfn.XLOOKUP(_xlfn.XLOOKUP(Animals!B36,'Base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stats'!O:O)=2,0.2,AN36) + 24*(1-IF(BD36="No",0,BD36)) + 16/3, 12),"No")</f>
        <v>36</v>
      </c>
      <c r="BF36" s="2">
        <f>IF(AND(_xlfn.XLOOKUP(_xlfn.XLOOKUP(B36,'Base stats'!B:B,'Base stats'!E:E),Groups!A:A,Groups!AQ:AQ)=1,AN36&lt;=0.35),8,12)</f>
        <v>8</v>
      </c>
      <c r="BG36" s="2" t="str">
        <f>IF(_xlfn.XLOOKUP(_xlfn.XLOOKUP(B36,'Base stats'!B:B,'Base stats'!E:E),Groups!A:A,Groups!D:D)=0,_xlfn.XLOOKUP(_xlfn.XLOOKUP(B36,'Base stats'!B:B,'Base stats'!E:E),Groups!A:A,Groups!AR:AR),"None")</f>
        <v>None</v>
      </c>
      <c r="BH36" s="2" t="str">
        <f>IF(AND(_xlfn.XLOOKUP(_xlfn.XLOOKUP(B36,'Base stats'!B:B,'Base stats'!E:E),Groups!A:A,Groups!AS:AS)=1,OR('Base stats'!Y36="Carnivore",'Base stats'!Y36="Omnivore")),"true","false")</f>
        <v>false</v>
      </c>
      <c r="BI36" s="2" t="str">
        <f>IF(BH36="true",MROUND(IF(AND(AN36&gt;0.5,_xlfn.XLOOKUP(_xlfn.XLOOKUP(B36,'Base stats'!B:B,'Base stats'!E:E),Groups!A:A,Groups!AJ:AJ)="Mammal"),Animals!AN36*1.75*IF(AV36="true",1.5,1),Animals!AN36),IF(AN36&gt;2,0.5,IF(AN36&gt;0.5,0.25,0.1))),"No")</f>
        <v>No</v>
      </c>
      <c r="BJ36" s="2">
        <f t="shared" si="3"/>
        <v>0</v>
      </c>
      <c r="BK36" s="25" t="str">
        <f>IF('Base stats'!AK36="Standard","No",MROUND((_xlfn.XLOOKUP(B36,'Base stats'!B:B,'Base stats'!AK:AK)/3.6)/H36,0.1))</f>
        <v>No</v>
      </c>
      <c r="BL36" s="25" t="str">
        <f t="shared" si="4"/>
        <v>false</v>
      </c>
      <c r="BM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N36" s="25" t="str" cm="1">
        <f t="array" ref="BN36">IF(
  _xlfn.TEXTJOIN(", ",TRUE,
    IF(AND(BH36="true",AN36&gt;0.5,BG36&lt;&gt;"None"),"AttackTarget",""),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IF(BE36&lt;=36,"Comfort",""),
    IF(_xlfn.XLOOKUP(B36,'Base stats'!B:B,'Base stats'!AC:AC)&lt;&gt;"No",_xlfn.XLOOKUP(B36,'Base stats'!B:B,'Base stats'!AC:AC),"")
  ) = "",
  "No",
  _xlfn.TEXTJOIN(", ",TRUE,
    IF(AND(BH36="true",AN36&gt;0.5,BG36&lt;&gt;"None"),"AttackTarget",""),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IF(BE36&lt;=36,"Comfort",""),
    IF(_xlfn.XLOOKUP(B36,'Base stats'!B:B,'Base stats'!AC:AC)&lt;&gt;"No",_xlfn.XLOOKUP(B36,'Base stats'!B:B,'Base stats'!AC:AC),"")
  )
)</f>
        <v>Comfort</v>
      </c>
      <c r="BO36" s="25" t="str">
        <f>IF(
   AND(
      'Base stats'!AK36="Standard",_xlfn.XLOOKUP(_xlfn.XLOOKUP(B36,'Base stats'!B:B,'Base stats'!E:E),Groups!A:A,Groups!AU:AU)=0,
      OR(
      BM36="True"
      )
   ),
   10,
   IF(
       OR(BK36&lt;&gt;"No",_xlfn.XLOOKUP(_xlfn.XLOOKUP(B36,'Base stats'!B:B,'Base stats'!E:E),Groups!A:A,Groups!AU:AU)=1),
      1,
      "No"
   )
)</f>
        <v>No</v>
      </c>
      <c r="BP36" s="9">
        <f>MROUND((1 + ((0.2*IF(OR(P36="No",Q36="No",Q36=0),0,P36/Q36)
+IF(OR(U36="No",R36="No",S36="No"),0,R36/S36*(LEN(U36)-LEN(SUBSTITUTE(U36,",",""))+1))
+IF(OR(W36="No",X36="No"),0,W36/X36)
+IF(OR(AC36="No",AD36="No"),0,AC36/AD36)
+IF(OR(AK36="No",AH36="No",AI36="No"),0,AH36/AI36*(LEN(AK36)-LEN(SUBSTITUTE(AK36,",",""))+1))
)/(0.2*IF(OR(P36="No",Q36="No",Q36=0),0,1)
+IF(OR(U36="No",R36="No",S36="No"),0,LEN(U36)-LEN(SUBSTITUTE(U36,",",""))+1)
+IF(OR(W36="No",X36="No"),0,1)
+IF(OR(AC36="No",AD36="No"),0,1)
+IF(OR(AK36="No",AH36="No",AI36="No"),0,LEN(AK36)-LEN(SUBSTITUTE(AK36,",",""))+1))*62%)* 2)*(1 + (AO36 + _xlfn.XLOOKUP(B36,'Base stats'!B:B,'Base stats'!AS:AS) * 1.8) * 2) * 2.5 + 10 + H36 * 2,5)+IF(_xlfn.XLOOKUP(B36,'Base stats'!B:B,'Base stats'!AH:AH)=1,50,0)</f>
        <v>25</v>
      </c>
      <c r="BQ36" s="8">
        <f t="shared" si="5"/>
        <v>0.25</v>
      </c>
      <c r="BR36" s="8" t="str">
        <f>_xlfn.XLOOKUP(B36,'Base stats'!B:B,'Base stats'!AD:AD)</f>
        <v>No</v>
      </c>
      <c r="BS36" s="2" t="str">
        <f>IF(AND(I36&lt;=0.95,OR(_xlfn.XLOOKUP(B36,'Base stats'!B:B,'Base stats'!AH:AH)=1,_xlfn.XLOOKUP(B36,'Base stats'!B:B,'Base stats'!Y:Y)="Carnivore",_xlfn.XLOOKUP(B36,'Base stats'!B:B,'Base stats'!Y:Y)="Omnivore",BC36&gt;0.1)),"true","false")</f>
        <v>false</v>
      </c>
      <c r="BT36" s="2" t="str">
        <f>IF(_xlfn.XLOOKUP(B36,'Base stats'!B:B,'Base stats'!AF:AF)=1,"true","false")</f>
        <v>false</v>
      </c>
      <c r="BU36" s="25" t="str">
        <f>IF(E36="BaseInsect","AnimalInsect",
IF(I36&gt;0.95,"AnimalExotic",
_xlfn.TEXTJOIN(", ",TRUE,
IF(AND(_xlfn.XLOOKUP(B36,'Base stats'!B:B,'Base stats'!O:O)=0,_xlfn.XLOOKUP(_xlfn.XLOOKUP(B36,'Base stats'!B:B,'Base stats'!E:E),Groups!A:A,Groups!B:B)&gt;0),"AnimalUncommon","AnimalCommon"),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stats'!AH:AH)=1,AND(BG36&lt;&gt;"None",BP36&gt;=60),ISNUMBER(SEARCH("Attack target",BN36))),"AnimalFighter","")
)))</f>
        <v>AnimalCommon</v>
      </c>
      <c r="BV36" s="25" t="str">
        <f>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</f>
        <v>BorealForest ColdBog TemperateForest TemperateSwamp GlacialPlain</v>
      </c>
      <c r="BW36" s="25" t="str">
        <f>IF(_xlfn.XLOOKUP(B36,'Base stats'!B:B,'Base stats'!AG:AG)=1,"true","false")</f>
        <v>false</v>
      </c>
      <c r="BX36" s="25">
        <f>IF(_xlfn.XLOOKUP(B36,'Base stats'!B:B,'Base stats'!N:N)=1,"No",MIN(MROUND(IF(OR(_xlfn.XLOOKUP(B36,'Base stats'!B:B,'Base stats'!AJ:AJ)=1,AND(BH36="True",CA36="False")),POWER(10,3.47*LOG10(_xlfn.XLOOKUP(B36,'Base stats'!B:B,'Base stats'!C:C)*1000)^-0.96),POWER(10,4.15*LOG10(_xlfn.XLOOKUP(B36,'Base stats'!B:B,'Base stats'!C:C)*1000)^-0.73))*IF(OR(_xlfn.XLOOKUP(B36,'Base stats'!B:B,'Base stats'!AJ:AJ)=1,_xlfn.XLOOKUP(B36,'Base stats'!B:B,'Base stats'!AH:AH)=1),0.5,1)/100,0.025),1))</f>
        <v>0.92500000000000004</v>
      </c>
      <c r="BY36" s="25" t="str">
        <f>IF(O36="Standard","No",IF(_xlfn.XLOOKUP(B36,'Base stats'!B:B,'Base stats'!N:N)=0,MROUND(BX36*O36,0.05),MIN(1,MAX(0.025,MROUND(IF(OR(CA36="true",AND(BH36="false",BM36="false")),POWER(10,4.15*LOG10(_xlfn.XLOOKUP(B36,'Base stats'!B:B,'Base stats'!C:C)*1000)^-0.73),POWER(10,3.47*LOG10(_xlfn.XLOOKUP(B36,'Base stats'!B:B,'Base stats'!C:C)*1000)^-0.96))*IF(_xlfn.XLOOKUP(B36,'Base stats'!B:B,'Base stats'!AH:AH)=1,0.5,1)/100,0.025)))))</f>
        <v>No</v>
      </c>
      <c r="BZ36" s="25" t="str">
        <f>IF(_xlfn.XLOOKUP(_xlfn.XLOOKUP(B36,'Base stats'!B:B,'Base stats'!E:E),Groups!A:A,Groups!AJ:AJ)="Mammal","True","False")</f>
        <v>True</v>
      </c>
      <c r="CA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B36" s="25" t="str">
        <f t="shared" si="6"/>
        <v>False</v>
      </c>
      <c r="CC36" s="25" t="str">
        <f>IF(_xlfn.XLOOKUP(_xlfn.XLOOKUP(B36,'Base stats'!B:B,'Base stats'!E:E),Groups!A:A,Groups!AW:AW),"True","False")</f>
        <v>False</v>
      </c>
      <c r="CD36" s="25" t="str">
        <f>IF(_xlfn.XLOOKUP(_xlfn.XLOOKUP(B36,'Base stats'!B:B,'Base stats'!E:E),Groups!A:A,Groups!AX:AX),"True","False")</f>
        <v>False</v>
      </c>
      <c r="CE36" s="25" t="str">
        <f>IF(_xlfn.XLOOKUP(B36,'Base stats'!B:B,'Base stats'!E:E)=1,"True","False")</f>
        <v>False</v>
      </c>
      <c r="CF36" s="25" t="str">
        <f>IF(
OR(
_xlfn.XLOOKUP(_xlfn.XLOOKUP(B36,'Base stats'!B:B,'Base stats'!E:E),Groups!A:A,Groups!AY:AY)=0,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stats'!E:E),Groups!A:A,Groups!AY:AY)=1,
"Flesh",
IF(
_xlfn.XLOOKUP(_xlfn.XLOOKUP(B36,'Base stats'!B:B,'Base stats'!E:E),Groups!A:A,Groups!AY:AY)=2,
"Bone",
""
)
)
)</f>
        <v>No</v>
      </c>
      <c r="CG36" s="25" t="str">
        <f>IF(_xlfn.XLOOKUP(_xlfn.XLOOKUP(B36,'Base stats'!B:B,'Base stats'!E:E),Groups!A:A,Groups!BA:BA),"True","False")</f>
        <v>True</v>
      </c>
      <c r="CH36" s="25" t="str">
        <f>IF(_xlfn.XLOOKUP(_xlfn.XLOOKUP(B36,'Base stats'!B:B,'Base stats'!E:E),Groups!A:A,Groups!AZ:AZ),"True","False")</f>
        <v>False</v>
      </c>
    </row>
    <row r="37" spans="1:86" ht="16.5" thickTop="1" thickBot="1" x14ac:dyDescent="0.3">
      <c r="A37" s="26" t="str">
        <f>_xlfn.XLOOKUP(B37,'Base stats'!B:B,'Base stats'!A:A)</f>
        <v>Guinea pig</v>
      </c>
      <c r="B37" s="6" t="s">
        <v>133</v>
      </c>
      <c r="C37" s="28" t="s">
        <v>724</v>
      </c>
      <c r="D37" s="28" t="s">
        <v>45</v>
      </c>
      <c r="E37" s="28" t="s">
        <v>685</v>
      </c>
      <c r="F37" s="28" t="s">
        <v>685</v>
      </c>
      <c r="G37" s="2">
        <f>MROUND((
  (IF(AND(_xlfn.XLOOKUP(B37,'Base stats'!B:B,'Base stats'!AI:AI)=0,BG37="None",_xlfn.XLOOKUP('Base stats'!E37,Groups!A:A,Groups!B:B)=0), (18 + BP37 * 2.7) * 0.5,
    IF(AND(_xlfn.XLOOKUP(B37,'Base stats'!B:B,'Base stats'!AI:AI)=0,OR(AN37&lt;0.55,AND(BG37="Intermediate",_xlfn.XLOOKUP('Base stats'!E37,Groups!A:A,Groups!B:B)&lt;2))), (18 + BP37 * 2.7),
      IF(OR(BG37="Advanced",_xlfn.XLOOKUP(B37,'Base stats'!B:B,'Base stats'!AI:AI)=1,_xlfn.XLOOKUP('Base stats'!E37,Groups!A:A,Groups!B:B)=2), (18 + BP37 * 2.7) + 250, (18 + BP37 * 2.7))
    )
  ))
  + AN37 * 80
  + IF(COUNTIF(EggMilk!K$2:K$998, A37) &gt; 0, 125, 0)
  + IF(COUNTIF(EggMilk!P$2:P$998, A37) &gt; 0, 90, 0)
  + IF(COUNTIF(EggMilk!A$2:A$998, A37) &gt; 0, 90, 0)
)
* (0.8 + 0.4 * I37)
* 0.75,25)</f>
        <v>25</v>
      </c>
      <c r="H37" s="2">
        <f>MROUND(ROUNDDOWN(_xlfn.XLOOKUP(B37,'Base stats'!B:B,'Base stats'!L:L)/3.6/(23.3/11),1),0.5)</f>
        <v>2.5</v>
      </c>
      <c r="I37" s="2">
        <f>IF(_xlfn.XLOOKUP(B37,'Base stats'!B:B,'Base stats'!AI:AI)=1,0.99,MIN(MROUND((1-0.6282*EXP(-0.459*AN37))*_xlfn.XLOOKUP(_xlfn.XLOOKUP(B37,'Base stats'!B:B,'Base stats'!E:E),Groups!A:A,Groups!C:C)*IF(_xlfn.XLOOKUP(B37,'Base stats'!B:B,'Base stats'!O:O)=1,0.5,IF(_xlfn.XLOOKUP(B37,'Base stats'!B:B,'Base stats'!O:O)=2,0,1)),0.05),0.985))</f>
        <v>0.25</v>
      </c>
      <c r="J37" s="2">
        <f>ROUNDUP(AN37*_xlfn.XLOOKUP(_xlfn.XLOOKUP(B37,'Base stats'!B:B,'Base stats'!E:E),Groups!A:A,Groups!E:E),0)</f>
        <v>1</v>
      </c>
      <c r="K37" s="2">
        <f>IF(OR(_xlfn.XLOOKUP(_xlfn.XLOOKUP(B37,'Base stats'!B:B,'Base stats'!E:E),Groups!A:A,Groups!F:F)=2,ISNUMBER(SEARCH("SeaIce",BV37)),ISNUMBER(SEARCH("IceSheet",BV37))),-50,IF(OR(ISNUMBER(SEARCH("GlacialPlain",BV37)),ISNUMBER(SEARCH("Tundra",BV37))),-40,IF(OR(ISNUMBER(SEARCH("Alpine",BV37)),ISNUMBER(SEARCH("BorealForest",BV37)),ISNUMBER(SEARCH("ColdBog",BV37))),-30,IF(OR(ISNUMBER(SEARCH("TemperateForest",BV37)),ISNUMBER(SEARCH("TemperateSwamp",BV37))),-20,IF(_xlfn.XLOOKUP(_xlfn.XLOOKUP(B37,'Base stats'!B:B,'Base stats'!E:E),Groups!A:A,Groups!F:F)=1,-15,IF(OR(ISNUMBER(SEARCH("Desert",BV37)),ISNUMBER(SEARCH("ExtremeDesert",BV37))),-10,IF(OR(ISNUMBER(SEARCH("Grasslands",BV37)),ISNUMBER(SEARCH("TropicalRainforest",BV37)),ISNUMBER(SEARCH("TropicalSwamp",BV37))),10,0)))))))-IF(CA37="False",MIN(IFERROR(MAX(MROUND(LOG10(_xlfn.XLOOKUP(B37,'Base stats'!B:B,'Base stats'!C:C)^(2/3))*10,5),5),5),30))-_xlfn.XLOOKUP(B37,'Base stats'!B:B,'Base stats'!P:P)+IF(CA37="True",5,0)</f>
        <v>5</v>
      </c>
      <c r="L37" s="2">
        <f>IF(OR(_xlfn.XLOOKUP(_xlfn.XLOOKUP(B37,'Base stats'!B:B,'Base stats'!E:E),Groups!A:A,Groups!G:G)=2,ISNUMBER(SEARCH("Desert",BV37)),ISNUMBER(SEARCH("ExtremeDesert",BV37)),ISNUMBER(SEARCH("LavaField",BV37))),50,IF(ISNUMBER(SEARCH("Grasslands",BV37)),45,IF(OR(_xlfn.XLOOKUP(_xlfn.XLOOKUP(B37,'Base stats'!B:B,'Base stats'!E:E),Groups!A:A,Groups!G:G)=1,ISNUMBER(SEARCH("TropicalRainforest",BV37)),ISNUMBER(SEARCH("TropicalSwamp",BV37))),40,IF(OR(ISNUMBER(SEARCH("TemperateForest",BV37)),ISNUMBER(SEARCH("TemperateSwamp",BV37))),35,IF(OR(ISNUMBER(SEARCH("Alpine",BV37)),ISNUMBER(SEARCH("BorealForest",BV37)),ISNUMBER(SEARCH("ColdBog",BV37))),30,IF(ISNUMBER(OR(ISNUMBER(SEARCH("GlacialPlain",BV37)),SEARCH("Tundra",BV37))),25,IF(OR(ISNUMBER(SEARCH("SeaIce",BV37)),ISNUMBER(SEARCH("IceSheet",BV37)),ISNUMBER(SEARCH("TropicalSwamp",BV37))),10,35)))))))+_xlfn.XLOOKUP(B37,'Base stats'!B:B,'Base stats'!Q:Q)</f>
        <v>40</v>
      </c>
      <c r="M37" s="8" t="str">
        <f>IF(_xlfn.XLOOKUP(_xlfn.XLOOKUP(B37,'Base stats'!B:B,'Base stats'!E:E),Groups!A:A,Groups!L:L)=1,MIN(MROUND(_xlfn.XLOOKUP(B37,'Animals CE'!B:B,'Animals CE'!Z:Z)/2+0.05,0.05),200%),"No")</f>
        <v>No</v>
      </c>
      <c r="N37" s="8" t="str">
        <f>IF(_xlfn.XLOOKUP(_xlfn.XLOOKUP(B37,'Base stats'!B:B,'Base stats'!E:E),Groups!A:A,Groups!L:L)=1,MIN(MROUND(_xlfn.XLOOKUP(B37,'Animals CE'!B:B,'Animals CE'!AA:AA)/2+0.05,0.05),200%),"No")</f>
        <v>No</v>
      </c>
      <c r="O37" s="2" t="str">
        <f>_xlfn.XLOOKUP(B37,'Base stats'!B:B,'Base stats'!R:R)</f>
        <v>Standard</v>
      </c>
      <c r="P37" s="13">
        <f>MROUND((LOG10(_xlfn.XLOOKUP(B37,'Base stats'!B:B,'Base stats'!AO:AO))*(AN37^0.5)+(_xlfn.XLOOKUP(B37,'Base stats'!B:B,'Base stats'!AO:AO)/1000)^(2/3)+_xlfn.XLOOKUP(B37,'Base stats'!B:B,'Base stats'!AX:AX)/2)+0.5,0.5)</f>
        <v>1.5</v>
      </c>
      <c r="Q37" s="7">
        <f>IF(P37="No","No",MAX(1,MROUND(_xlfn.XLOOKUP(B37,'Base stats'!B:B,'Base stats'!C:C)^0.165,0.05)))</f>
        <v>1</v>
      </c>
      <c r="R37" s="13" t="str">
        <f>IF(_xlfn.XLOOKUP(_xlfn.XLOOKUP(B37,'Base stats'!B:B,'Base stats'!E:E),Groups!A:A,Groups!P:P)=0,"No",MROUND((LOG10(_xlfn.XLOOKUP(B37,'Base stats'!B:B,'Base stats'!AP:AP))*(AN37^0.5)+(_xlfn.XLOOKUP(B37,'Base stats'!B:B,'Base stats'!AP:AP)/1000)^(2/3)+_xlfn.XLOOKUP(B37,'Base stats'!B:B,'Base stats'!AX:AX))+_xlfn.XLOOKUP(B37,'Base stats'!B:B,'Base stats'!AV:AV)+0.5,0.5))</f>
        <v>No</v>
      </c>
      <c r="S37" s="7" t="str">
        <f>IF(R37="No","No",MAX(_xlfn.XLOOKUP(_xlfn.XLOOKUP(B37,'Base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T37" s="7" t="str">
        <f>IF(R37="No","No",_xlfn.XLOOKUP(_xlfn.XLOOKUP(B37,'Base stats'!B:B,'Base stats'!E:E),Groups!A:A,Groups!R:R))</f>
        <v>No</v>
      </c>
      <c r="U37" s="7" t="str">
        <f>IF(R37="No","No",_xlfn.XLOOKUP(_xlfn.XLOOKUP(B37,'Base stats'!B:B,'Base stats'!E:E),Groups!A:A,Groups!S:S))</f>
        <v>No</v>
      </c>
      <c r="V37" s="7" t="str">
        <f>IF(R37="No","No",_xlfn.XLOOKUP(_xlfn.XLOOKUP(B37,'Base stats'!B:B,'Base stats'!E:E),Groups!A:A,Groups!T:T))</f>
        <v>No</v>
      </c>
      <c r="W37" s="13" t="str">
        <f>IF(_xlfn.XLOOKUP(B37,'Base stats'!B:B,'Base stats'!W:W)="No","No",MROUND((LOG10(_xlfn.XLOOKUP(B37,'Base stats'!B:B,'Base stats'!AR:AR))*(AN37^0.5)+(_xlfn.XLOOKUP(B37,'Base stats'!B:B,'Base stats'!AR:AR)/1000)^(2/3)+_xlfn.XLOOKUP(B37,'Base stats'!B:B,'Base stats'!AW:AW))+0.5+IF(_xlfn.XLOOKUP(_xlfn.XLOOKUP(B37,'Base stats'!B:B,'Base stats'!E:E),Groups!A:A,Groups!U:U)&lt;&gt;3,_xlfn.XLOOKUP(B37,'Base stats'!B:B,'Base stats'!AX:AX),0),0.5))</f>
        <v>No</v>
      </c>
      <c r="X37" s="7" t="str">
        <f>IF(W37="No","No",MAX(_xlfn.XLOOKUP(_xlfn.XLOOKUP(B37,'Base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Y37" s="7" t="str">
        <f>IF(W37="No","No",_xlfn.XLOOKUP(_xlfn.XLOOKUP(B37,'Base stats'!B:B,'Base stats'!E:E),Groups!A:A,Groups!W:W))</f>
        <v>No</v>
      </c>
      <c r="Z37" s="7" t="str">
        <f>IF(W37="No","No",_xlfn.XLOOKUP(_xlfn.XLOOKUP(B37,'Base stats'!B:B,'Base stats'!E:E),Groups!A:A,Groups!X:X))</f>
        <v>No</v>
      </c>
      <c r="AA37" s="7" t="str">
        <f>IF(W37="No","No",_xlfn.XLOOKUP(_xlfn.XLOOKUP(B37,'Base stats'!B:B,'Base stats'!E:E),Groups!A:A,Groups!Y:Y))</f>
        <v>No</v>
      </c>
      <c r="AB37" s="7" t="str">
        <f>_xlfn.XLOOKUP(Animals!B37,'Base stats'!B:B,'Base stats'!X:X)</f>
        <v>False</v>
      </c>
      <c r="AC37" s="13">
        <f>IF(_xlfn.XLOOKUP(B37,'Base stats'!B:B,'Base stats'!AQ:AQ)="No","No",MROUND((LOG10(_xlfn.XLOOKUP(B37,'Base stats'!B:B,'Base stats'!AQ:AQ))*(AN37^0.75)+(_xlfn.XLOOKUP(B37,'Base stats'!B:B,'Base stats'!AQ:AQ)/1000)^(2/3)+_xlfn.XLOOKUP(B37,'Base stats'!B:B,'Base stats'!AU:AU)+_xlfn.XLOOKUP(B37,'Base stats'!B:B,'Base stats'!AX:AX))+0.5,0.5))</f>
        <v>1.5</v>
      </c>
      <c r="AD37" s="7">
        <f>IF(AC37="No","No",MAX(_xlfn.XLOOKUP(_xlfn.XLOOKUP(B37,'Base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E37" s="7" t="str">
        <f>IF(AC37="No","No",_xlfn.XLOOKUP(_xlfn.XLOOKUP(B37,'Base stats'!B:B,'Base stats'!E:E),Groups!A:A,Groups!AA:AA))</f>
        <v>Teeth</v>
      </c>
      <c r="AF37" s="7" t="str">
        <f>IF(AC37="No","No",_xlfn.XLOOKUP(_xlfn.XLOOKUP(B37,'Base stats'!B:B,'Base stats'!E:E),Groups!A:A,Groups!AB:AB))</f>
        <v>Incisors</v>
      </c>
      <c r="AG37" s="7" t="str">
        <f>IF(AC37="No","No",_xlfn.XLOOKUP(_xlfn.XLOOKUP(B37,'Base stats'!B:B,'Base stats'!E:E),Groups!A:A,Groups!AC:AC))</f>
        <v>Bite</v>
      </c>
      <c r="AH37" s="13" t="str">
        <f>IF(_xlfn.XLOOKUP(_xlfn.XLOOKUP(B37,'Base stats'!B:B,'Base stats'!E:E),Groups!A:A,Groups!AD:AD)=0,"No",MROUND((LOG10(_xlfn.XLOOKUP(B37,'Base stats'!B:B,'Base stats'!AP:AP))*(AN37^0.75)+(_xlfn.XLOOKUP(B37,'Base stats'!B:B,'Base stats'!AP:AP)/1000)^(2/3)+_xlfn.XLOOKUP(B37,'Base stats'!B:B,'Base stats'!AV:AV)+_xlfn.XLOOKUP(B37,'Base stats'!B:B,'Base stats'!AX:AX))+0.5,0.5))</f>
        <v>No</v>
      </c>
      <c r="AI37" s="7" t="str">
        <f>IF(AH37="No","No",MAX(_xlfn.XLOOKUP(_xlfn.XLOOKUP(B37,'Base stats'!B:B,'Base stats'!E:E),Groups!A:A,Groups!AE:AE),MROUND(_xlfn.XLOOKUP(_xlfn.XLOOKUP(B37,'Base stats'!B:B,'Base stats'!E:E),Groups!A:A,Groups!AE:AE)*_xlfn.XLOOKUP(B37,'Base stats'!B:B,'Base stats'!C:C)^0.165,0.05)))</f>
        <v>No</v>
      </c>
      <c r="AJ37" s="7" t="str">
        <f>IF(AH37="No","No",_xlfn.XLOOKUP(_xlfn.XLOOKUP(B37,'Base stats'!B:B,'Base stats'!E:E),Groups!A:A,Groups!AF:AF))</f>
        <v>No</v>
      </c>
      <c r="AK37" s="7" t="str">
        <f>IF(AH37="No","No",_xlfn.XLOOKUP(_xlfn.XLOOKUP(B37,'Base stats'!B:B,'Base stats'!E:E),Groups!A:A,Groups!AG:AG))</f>
        <v>No</v>
      </c>
      <c r="AL37" s="7" t="str">
        <f>IF(AH37="No","No",_xlfn.XLOOKUP(_xlfn.XLOOKUP(B37,'Base stats'!B:B,'Base stats'!E:E),Groups!A:A,Groups!AH:AH))</f>
        <v>No</v>
      </c>
      <c r="AM37" s="2" t="str">
        <f t="shared" si="0"/>
        <v>No</v>
      </c>
      <c r="AN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O37" s="8">
        <f>MROUND(AN37*_xlfn.XLOOKUP(_xlfn.XLOOKUP(B37,'Base stats'!B:B,'Base stats'!E:E),Groups!A:A,Groups!AI:AI),0.05)</f>
        <v>0.15000000000000002</v>
      </c>
      <c r="AP37" s="8">
        <f>MAX(0.01,MROUND(IF(CA37="True",0.196*(AN37*100*1000)^0.889,IF(_xlfn.XLOOKUP(_xlfn.XLOOKUP(B37,'Base stats'!B:B,'Base stats'!E:E),Groups!A:A,Groups!AJ:AJ)="Bird",10.5*(AN37*100*1000)^0.681,4.82*(AN37*100*1000)^0.734))/(4.82*(1*100*1000)^0.734)/IF(AN37&lt;3.5,2,IF(AN37=3.5,1.5,1.25))*(1+0.132282374779864/(AN37^0.994035016789033+0.00905238001496948)),0.05))</f>
        <v>0.25</v>
      </c>
      <c r="AQ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R37" s="35">
        <f>IFERROR(IF(_xlfn.XLOOKUP(B37,'Base stats'!B:B,'Base stats'!F:F)="Lay eggs","Lay eggs",MIN(20,MAX(5.5,ROUND(((_xlfn.XLOOKUP(B37,'Base stats'!B:B,'Base stats'!F:F)-25)*(14.5/615) + 5.5)*2,0)/2))),"Cannot breed")</f>
        <v>6.5</v>
      </c>
      <c r="AS37" s="8">
        <f>IF(OR(A37="Queen",A37="Larva"),"No",IFERROR(MAX(IF(_xlfn.XLOOKUP(B37,'Base stats'!B:B,'Base stats'!G:G)&lt;0.5,0.2,0.3),MROUND(_xlfn.XLOOKUP(B37,'Base stats'!B:B,'Base stats'!G:G)/(365/60),0.2)),"Unknown"))</f>
        <v>0.2</v>
      </c>
      <c r="AT37" s="8">
        <f t="shared" si="1"/>
        <v>0.1</v>
      </c>
      <c r="AU37" s="8">
        <f>IFERROR(IFERROR(MROUND(_xlfn.XLOOKUP(B37,'Base stats'!B:B,'Base stats'!J:J),0.1),"Lay eggs"),"Cannot breed")</f>
        <v>3.8000000000000003</v>
      </c>
      <c r="AV37" s="2" t="str">
        <f t="shared" si="2"/>
        <v>true</v>
      </c>
      <c r="AW37" s="2" t="str">
        <f>IF(_xlfn.XLOOKUP(_xlfn.XLOOKUP(Animals!B37,'Base stats'!B:B,'Base stats'!E:E),Groups!A:A,Groups!AK:AK)=1,"true","false")</f>
        <v>false</v>
      </c>
      <c r="AX37" s="25" t="str">
        <f>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</f>
        <v>VegetarianRoughAnimal</v>
      </c>
      <c r="AY37" s="2" t="str">
        <f>IF(_xlfn.XLOOKUP(_xlfn.XLOOKUP(B37,'Base stats'!B:B,'Base stats'!E:E),Groups!A:A,Groups!D:D)=1,MROUND((1-I37)*5+1,2)*IF(I37&lt;=0.4,2,1),"No")</f>
        <v>No</v>
      </c>
      <c r="AZ37" s="2" t="str">
        <f>_xlfn.XLOOKUP(B37,'Base stats'!B:B,'Base stats'!AE:AE)</f>
        <v>Leather_Light</v>
      </c>
      <c r="BA37" s="23" t="str">
        <f>_xlfn.XLOOKUP(_xlfn.XLOOKUP(B37,'Base stats'!B:B,'Base stats'!E:E),Groups!A:A,Groups!AL:AL)</f>
        <v>QuadrupedAnimalWithPaws</v>
      </c>
      <c r="BB37" s="23">
        <f>MROUND(IF(AND(AN37&lt;0.5,_xlfn.XLOOKUP(B37,'Base stats'!B:B,'Base stats'!Z:Z)=0),0,IF(OR(_xlfn.XLOOKUP(Animals!B37,'Base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stats'!AA:AA),0.005)</f>
        <v>0</v>
      </c>
      <c r="BC37" s="23">
        <f>MROUND(IF(AND(AN37&lt;0.5,_xlfn.XLOOKUP(B37,'Base stats'!B:B,'Base stats'!Z:Z)=0),0,IF(_xlfn.XLOOKUP(_xlfn.XLOOKUP(B37,'Base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stats'!AB:AB),0.005)</f>
        <v>0</v>
      </c>
      <c r="BD37" s="2">
        <f>IF(I37&gt;0.3,"No",_xlfn.XLOOKUP(_xlfn.XLOOKUP(Animals!B37,'Base stats'!B:B,'Base stats'!E:E),Groups!A:A,Groups!AP:AP))</f>
        <v>0.5</v>
      </c>
      <c r="BE37" s="2">
        <f>IF(AND(I37&lt;=0.65,_xlfn.XLOOKUP(_xlfn.XLOOKUP(Animals!B37,'Base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stats'!O:O)=2,0.2,AN37) + 24*(1-IF(BD37="No",0,BD37)) + 16/3, 12),"No")</f>
        <v>24</v>
      </c>
      <c r="BF37" s="2">
        <f>IF(AND(_xlfn.XLOOKUP(_xlfn.XLOOKUP(B37,'Base stats'!B:B,'Base stats'!E:E),Groups!A:A,Groups!AQ:AQ)=1,AN37&lt;=0.35),8,12)</f>
        <v>8</v>
      </c>
      <c r="BG37" s="2" t="str">
        <f>IF(_xlfn.XLOOKUP(_xlfn.XLOOKUP(B37,'Base stats'!B:B,'Base stats'!E:E),Groups!A:A,Groups!D:D)=0,_xlfn.XLOOKUP(_xlfn.XLOOKUP(B37,'Base stats'!B:B,'Base stats'!E:E),Groups!A:A,Groups!AR:AR),"None")</f>
        <v>None</v>
      </c>
      <c r="BH37" s="2" t="str">
        <f>IF(AND(_xlfn.XLOOKUP(_xlfn.XLOOKUP(B37,'Base stats'!B:B,'Base stats'!E:E),Groups!A:A,Groups!AS:AS)=1,OR('Base stats'!Y37="Carnivore",'Base stats'!Y37="Omnivore")),"true","false")</f>
        <v>false</v>
      </c>
      <c r="BI37" s="2" t="str">
        <f>IF(BH37="true",MROUND(IF(AND(AN37&gt;0.5,_xlfn.XLOOKUP(_xlfn.XLOOKUP(B37,'Base stats'!B:B,'Base stats'!E:E),Groups!A:A,Groups!AJ:AJ)="Mammal"),Animals!AN37*1.75*IF(AV37="true",1.5,1),Animals!AN37),IF(AN37&gt;2,0.5,IF(AN37&gt;0.5,0.25,0.1))),"No")</f>
        <v>No</v>
      </c>
      <c r="BJ37" s="2">
        <f t="shared" si="3"/>
        <v>0</v>
      </c>
      <c r="BK37" s="25" t="str">
        <f>IF('Base stats'!AK37="Standard","No",MROUND((_xlfn.XLOOKUP(B37,'Base stats'!B:B,'Base stats'!AK:AK)/3.6)/H37,0.1))</f>
        <v>No</v>
      </c>
      <c r="BL37" s="25" t="str">
        <f t="shared" si="4"/>
        <v>false</v>
      </c>
      <c r="BM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N37" s="25" t="str" cm="1">
        <f t="array" ref="BN37">IF(
  _xlfn.TEXTJOIN(", ",TRUE,
    IF(AND(BH37="true",AN37&gt;0.5,BG37&lt;&gt;"None"),"AttackTarget",""),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IF(BE37&lt;=36,"Comfort",""),
    IF(_xlfn.XLOOKUP(B37,'Base stats'!B:B,'Base stats'!AC:AC)&lt;&gt;"No",_xlfn.XLOOKUP(B37,'Base stats'!B:B,'Base stats'!AC:AC),"")
  ) = "",
  "No",
  _xlfn.TEXTJOIN(", ",TRUE,
    IF(AND(BH37="true",AN37&gt;0.5,BG37&lt;&gt;"None"),"AttackTarget",""),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IF(BE37&lt;=36,"Comfort",""),
    IF(_xlfn.XLOOKUP(B37,'Base stats'!B:B,'Base stats'!AC:AC)&lt;&gt;"No",_xlfn.XLOOKUP(B37,'Base stats'!B:B,'Base stats'!AC:AC),"")
  )
)</f>
        <v>Comfort</v>
      </c>
      <c r="BO37" s="25" t="str">
        <f>IF(
   AND(
      'Base stats'!AK37="Standard",_xlfn.XLOOKUP(_xlfn.XLOOKUP(B37,'Base stats'!B:B,'Base stats'!E:E),Groups!A:A,Groups!AU:AU)=0,
      OR(
      BM37="True"
      )
   ),
   10,
   IF(
       OR(BK37&lt;&gt;"No",_xlfn.XLOOKUP(_xlfn.XLOOKUP(B37,'Base stats'!B:B,'Base stats'!E:E),Groups!A:A,Groups!AU:AU)=1),
      1,
      "No"
   )
)</f>
        <v>No</v>
      </c>
      <c r="BP37" s="9">
        <f>MROUND((1 + ((0.2*IF(OR(P37="No",Q37="No",Q37=0),0,P37/Q37)
+IF(OR(U37="No",R37="No",S37="No"),0,R37/S37*(LEN(U37)-LEN(SUBSTITUTE(U37,",",""))+1))
+IF(OR(W37="No",X37="No"),0,W37/X37)
+IF(OR(AC37="No",AD37="No"),0,AC37/AD37)
+IF(OR(AK37="No",AH37="No",AI37="No"),0,AH37/AI37*(LEN(AK37)-LEN(SUBSTITUTE(AK37,",",""))+1))
)/(0.2*IF(OR(P37="No",Q37="No",Q37=0),0,1)
+IF(OR(U37="No",R37="No",S37="No"),0,LEN(U37)-LEN(SUBSTITUTE(U37,",",""))+1)
+IF(OR(W37="No",X37="No"),0,1)
+IF(OR(AC37="No",AD37="No"),0,1)
+IF(OR(AK37="No",AH37="No",AI37="No"),0,LEN(AK37)-LEN(SUBSTITUTE(AK37,",",""))+1))*62%)* 2)*(1 + (AO37 + _xlfn.XLOOKUP(B37,'Base stats'!B:B,'Base stats'!AS:AS) * 1.8) * 2) * 2.5 + 10 + H37 * 2,5)+IF(_xlfn.XLOOKUP(B37,'Base stats'!B:B,'Base stats'!AH:AH)=1,50,0)</f>
        <v>25</v>
      </c>
      <c r="BQ37" s="8">
        <f t="shared" si="5"/>
        <v>0.25</v>
      </c>
      <c r="BR37" s="8" t="str">
        <f>_xlfn.XLOOKUP(B37,'Base stats'!B:B,'Base stats'!AD:AD)</f>
        <v>3~8</v>
      </c>
      <c r="BS37" s="2" t="str">
        <f>IF(AND(I37&lt;=0.95,OR(_xlfn.XLOOKUP(B37,'Base stats'!B:B,'Base stats'!AH:AH)=1,_xlfn.XLOOKUP(B37,'Base stats'!B:B,'Base stats'!Y:Y)="Carnivore",_xlfn.XLOOKUP(B37,'Base stats'!B:B,'Base stats'!Y:Y)="Omnivore",BC37&gt;0.1)),"true","false")</f>
        <v>false</v>
      </c>
      <c r="BT37" s="2" t="str">
        <f>IF(_xlfn.XLOOKUP(B37,'Base stats'!B:B,'Base stats'!AF:AF)=1,"true","false")</f>
        <v>false</v>
      </c>
      <c r="BU37" s="25" t="str">
        <f>IF(E37="BaseInsect","AnimalInsect",
IF(I37&gt;0.95,"AnimalExotic",
_xlfn.TEXTJOIN(", ",TRUE,
IF(AND(_xlfn.XLOOKUP(B37,'Base stats'!B:B,'Base stats'!O:O)=0,_xlfn.XLOOKUP(_xlfn.XLOOKUP(B37,'Base stats'!B:B,'Base stats'!E:E),Groups!A:A,Groups!B:B)&gt;0),"AnimalUncommon","AnimalCommon"),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stats'!AH:AH)=1,AND(BG37&lt;&gt;"None",BP37&gt;=60),ISNUMBER(SEARCH("Attack target",BN37))),"AnimalFighter","")
)))</f>
        <v>AnimalCommon</v>
      </c>
      <c r="BV37" s="25" t="str">
        <f>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</f>
        <v>TropicalRainforest TropicalSwamp Glowforest</v>
      </c>
      <c r="BW37" s="25" t="str">
        <f>IF(_xlfn.XLOOKUP(B37,'Base stats'!B:B,'Base stats'!AG:AG)=1,"true","false")</f>
        <v>false</v>
      </c>
      <c r="BX37" s="25">
        <f>IF(_xlfn.XLOOKUP(B37,'Base stats'!B:B,'Base stats'!N:N)=1,"No",MIN(MROUND(IF(OR(_xlfn.XLOOKUP(B37,'Base stats'!B:B,'Base stats'!AJ:AJ)=1,AND(BH37="True",CA37="False")),POWER(10,3.47*LOG10(_xlfn.XLOOKUP(B37,'Base stats'!B:B,'Base stats'!C:C)*1000)^-0.96),POWER(10,4.15*LOG10(_xlfn.XLOOKUP(B37,'Base stats'!B:B,'Base stats'!C:C)*1000)^-0.73))*IF(OR(_xlfn.XLOOKUP(B37,'Base stats'!B:B,'Base stats'!AJ:AJ)=1,_xlfn.XLOOKUP(B37,'Base stats'!B:B,'Base stats'!AH:AH)=1),0.5,1)/100,0.025),1))</f>
        <v>0.85000000000000009</v>
      </c>
      <c r="BY37" s="25" t="str">
        <f>IF(O37="Standard","No",IF(_xlfn.XLOOKUP(B37,'Base stats'!B:B,'Base stats'!N:N)=0,MROUND(BX37*O37,0.05),MIN(1,MAX(0.025,MROUND(IF(OR(CA37="true",AND(BH37="false",BM37="false")),POWER(10,4.15*LOG10(_xlfn.XLOOKUP(B37,'Base stats'!B:B,'Base stats'!C:C)*1000)^-0.73),POWER(10,3.47*LOG10(_xlfn.XLOOKUP(B37,'Base stats'!B:B,'Base stats'!C:C)*1000)^-0.96))*IF(_xlfn.XLOOKUP(B37,'Base stats'!B:B,'Base stats'!AH:AH)=1,0.5,1)/100,0.025)))))</f>
        <v>No</v>
      </c>
      <c r="BZ37" s="25" t="str">
        <f>IF(_xlfn.XLOOKUP(_xlfn.XLOOKUP(B37,'Base stats'!B:B,'Base stats'!E:E),Groups!A:A,Groups!AJ:AJ)="Mammal","True","False")</f>
        <v>True</v>
      </c>
      <c r="CA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B37" s="25" t="str">
        <f t="shared" si="6"/>
        <v>False</v>
      </c>
      <c r="CC37" s="25" t="str">
        <f>IF(_xlfn.XLOOKUP(_xlfn.XLOOKUP(B37,'Base stats'!B:B,'Base stats'!E:E),Groups!A:A,Groups!AW:AW),"True","False")</f>
        <v>False</v>
      </c>
      <c r="CD37" s="25" t="str">
        <f>IF(_xlfn.XLOOKUP(_xlfn.XLOOKUP(B37,'Base stats'!B:B,'Base stats'!E:E),Groups!A:A,Groups!AX:AX),"True","False")</f>
        <v>False</v>
      </c>
      <c r="CE37" s="25" t="str">
        <f>IF(_xlfn.XLOOKUP(B37,'Base stats'!B:B,'Base stats'!E:E)=1,"True","False")</f>
        <v>False</v>
      </c>
      <c r="CF37" s="25" t="str">
        <f>IF(
OR(
_xlfn.XLOOKUP(_xlfn.XLOOKUP(B37,'Base stats'!B:B,'Base stats'!E:E),Groups!A:A,Groups!AY:AY)=0,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stats'!E:E),Groups!A:A,Groups!AY:AY)=1,
"Flesh",
IF(
_xlfn.XLOOKUP(_xlfn.XLOOKUP(B37,'Base stats'!B:B,'Base stats'!E:E),Groups!A:A,Groups!AY:AY)=2,
"Bone",
""
)
)
)</f>
        <v>No</v>
      </c>
      <c r="CG37" s="25" t="str">
        <f>IF(_xlfn.XLOOKUP(_xlfn.XLOOKUP(B37,'Base stats'!B:B,'Base stats'!E:E),Groups!A:A,Groups!BA:BA),"True","False")</f>
        <v>True</v>
      </c>
      <c r="CH37" s="25" t="str">
        <f>IF(_xlfn.XLOOKUP(_xlfn.XLOOKUP(B37,'Base stats'!B:B,'Base stats'!E:E),Groups!A:A,Groups!AZ:AZ),"True","False")</f>
        <v>False</v>
      </c>
    </row>
    <row r="38" spans="1:86" ht="16.5" thickTop="1" thickBot="1" x14ac:dyDescent="0.3">
      <c r="A38" s="26" t="str">
        <f>_xlfn.XLOOKUP(B38,'Base stats'!B:B,'Base stats'!A:A)</f>
        <v>Chinchilla</v>
      </c>
      <c r="B38" s="6" t="s">
        <v>135</v>
      </c>
      <c r="C38" s="28" t="s">
        <v>725</v>
      </c>
      <c r="D38" s="28" t="s">
        <v>45</v>
      </c>
      <c r="E38" s="28" t="s">
        <v>685</v>
      </c>
      <c r="F38" s="28" t="s">
        <v>685</v>
      </c>
      <c r="G38" s="2">
        <f>MROUND((
  (IF(AND(_xlfn.XLOOKUP(B38,'Base stats'!B:B,'Base stats'!AI:AI)=0,BG38="None",_xlfn.XLOOKUP('Base stats'!E38,Groups!A:A,Groups!B:B)=0), (18 + BP38 * 2.7) * 0.5,
    IF(AND(_xlfn.XLOOKUP(B38,'Base stats'!B:B,'Base stats'!AI:AI)=0,OR(AN38&lt;0.55,AND(BG38="Intermediate",_xlfn.XLOOKUP('Base stats'!E38,Groups!A:A,Groups!B:B)&lt;2))), (18 + BP38 * 2.7),
      IF(OR(BG38="Advanced",_xlfn.XLOOKUP(B38,'Base stats'!B:B,'Base stats'!AI:AI)=1,_xlfn.XLOOKUP('Base stats'!E38,Groups!A:A,Groups!B:B)=2), (18 + BP38 * 2.7) + 250, (18 + BP38 * 2.7))
    )
  ))
  + AN38 * 80
  + IF(COUNTIF(EggMilk!K$2:K$998, A38) &gt; 0, 125, 0)
  + IF(COUNTIF(EggMilk!P$2:P$998, A38) &gt; 0, 90, 0)
  + IF(COUNTIF(EggMilk!A$2:A$998, A38) &gt; 0, 90, 0)
)
* (0.8 + 0.4 * I38)
* 0.75,25)</f>
        <v>50</v>
      </c>
      <c r="H38" s="2">
        <f>MROUND(ROUNDDOWN(_xlfn.XLOOKUP(B38,'Base stats'!B:B,'Base stats'!L:L)/3.6/(23.3/11),1),0.5)</f>
        <v>3</v>
      </c>
      <c r="I38" s="2">
        <f>IF(_xlfn.XLOOKUP(B38,'Base stats'!B:B,'Base stats'!AI:AI)=1,0.99,MIN(MROUND((1-0.6282*EXP(-0.459*AN38))*_xlfn.XLOOKUP(_xlfn.XLOOKUP(B38,'Base stats'!B:B,'Base stats'!E:E),Groups!A:A,Groups!C:C)*IF(_xlfn.XLOOKUP(B38,'Base stats'!B:B,'Base stats'!O:O)=1,0.5,IF(_xlfn.XLOOKUP(B38,'Base stats'!B:B,'Base stats'!O:O)=2,0,1)),0.05),0.985))</f>
        <v>0.5</v>
      </c>
      <c r="J38" s="2">
        <f>ROUNDUP(AN38*_xlfn.XLOOKUP(_xlfn.XLOOKUP(B38,'Base stats'!B:B,'Base stats'!E:E),Groups!A:A,Groups!E:E),0)</f>
        <v>1</v>
      </c>
      <c r="K38" s="2">
        <f>IF(OR(_xlfn.XLOOKUP(_xlfn.XLOOKUP(B38,'Base stats'!B:B,'Base stats'!E:E),Groups!A:A,Groups!F:F)=2,ISNUMBER(SEARCH("SeaIce",BV38)),ISNUMBER(SEARCH("IceSheet",BV38))),-50,IF(OR(ISNUMBER(SEARCH("GlacialPlain",BV38)),ISNUMBER(SEARCH("Tundra",BV38))),-40,IF(OR(ISNUMBER(SEARCH("Alpine",BV38)),ISNUMBER(SEARCH("BorealForest",BV38)),ISNUMBER(SEARCH("ColdBog",BV38))),-30,IF(OR(ISNUMBER(SEARCH("TemperateForest",BV38)),ISNUMBER(SEARCH("TemperateSwamp",BV38))),-20,IF(_xlfn.XLOOKUP(_xlfn.XLOOKUP(B38,'Base stats'!B:B,'Base stats'!E:E),Groups!A:A,Groups!F:F)=1,-15,IF(OR(ISNUMBER(SEARCH("Desert",BV38)),ISNUMBER(SEARCH("ExtremeDesert",BV38))),-10,IF(OR(ISNUMBER(SEARCH("Grasslands",BV38)),ISNUMBER(SEARCH("TropicalRainforest",BV38)),ISNUMBER(SEARCH("TropicalSwamp",BV38))),10,0)))))))-IF(CA38="False",MIN(IFERROR(MAX(MROUND(LOG10(_xlfn.XLOOKUP(B38,'Base stats'!B:B,'Base stats'!C:C)^(2/3))*10,5),5),5),30))-_xlfn.XLOOKUP(B38,'Base stats'!B:B,'Base stats'!P:P)+IF(CA38="True",5,0)</f>
        <v>5</v>
      </c>
      <c r="L38" s="2">
        <f>IF(OR(_xlfn.XLOOKUP(_xlfn.XLOOKUP(B38,'Base stats'!B:B,'Base stats'!E:E),Groups!A:A,Groups!G:G)=2,ISNUMBER(SEARCH("Desert",BV38)),ISNUMBER(SEARCH("ExtremeDesert",BV38)),ISNUMBER(SEARCH("LavaField",BV38))),50,IF(ISNUMBER(SEARCH("Grasslands",BV38)),45,IF(OR(_xlfn.XLOOKUP(_xlfn.XLOOKUP(B38,'Base stats'!B:B,'Base stats'!E:E),Groups!A:A,Groups!G:G)=1,ISNUMBER(SEARCH("TropicalRainforest",BV38)),ISNUMBER(SEARCH("TropicalSwamp",BV38))),40,IF(OR(ISNUMBER(SEARCH("TemperateForest",BV38)),ISNUMBER(SEARCH("TemperateSwamp",BV38))),35,IF(OR(ISNUMBER(SEARCH("Alpine",BV38)),ISNUMBER(SEARCH("BorealForest",BV38)),ISNUMBER(SEARCH("ColdBog",BV38))),30,IF(ISNUMBER(OR(ISNUMBER(SEARCH("GlacialPlain",BV38)),SEARCH("Tundra",BV38))),25,IF(OR(ISNUMBER(SEARCH("SeaIce",BV38)),ISNUMBER(SEARCH("IceSheet",BV38)),ISNUMBER(SEARCH("TropicalSwamp",BV38))),10,35)))))))+_xlfn.XLOOKUP(B38,'Base stats'!B:B,'Base stats'!Q:Q)</f>
        <v>40</v>
      </c>
      <c r="M38" s="8" t="str">
        <f>IF(_xlfn.XLOOKUP(_xlfn.XLOOKUP(B38,'Base stats'!B:B,'Base stats'!E:E),Groups!A:A,Groups!L:L)=1,MIN(MROUND(_xlfn.XLOOKUP(B38,'Animals CE'!B:B,'Animals CE'!Z:Z)/2+0.05,0.05),200%),"No")</f>
        <v>No</v>
      </c>
      <c r="N38" s="8" t="str">
        <f>IF(_xlfn.XLOOKUP(_xlfn.XLOOKUP(B38,'Base stats'!B:B,'Base stats'!E:E),Groups!A:A,Groups!L:L)=1,MIN(MROUND(_xlfn.XLOOKUP(B38,'Animals CE'!B:B,'Animals CE'!AA:AA)/2+0.05,0.05),200%),"No")</f>
        <v>No</v>
      </c>
      <c r="O38" s="2" t="str">
        <f>_xlfn.XLOOKUP(B38,'Base stats'!B:B,'Base stats'!R:R)</f>
        <v>Standard</v>
      </c>
      <c r="P38" s="13">
        <f>MROUND((LOG10(_xlfn.XLOOKUP(B38,'Base stats'!B:B,'Base stats'!AO:AO))*(AN38^0.5)+(_xlfn.XLOOKUP(B38,'Base stats'!B:B,'Base stats'!AO:AO)/1000)^(2/3)+_xlfn.XLOOKUP(B38,'Base stats'!B:B,'Base stats'!AX:AX)/2)+0.5,0.5)</f>
        <v>1.5</v>
      </c>
      <c r="Q38" s="7">
        <f>IF(P38="No","No",MAX(1,MROUND(_xlfn.XLOOKUP(B38,'Base stats'!B:B,'Base stats'!C:C)^0.165,0.05)))</f>
        <v>1</v>
      </c>
      <c r="R38" s="13" t="str">
        <f>IF(_xlfn.XLOOKUP(_xlfn.XLOOKUP(B38,'Base stats'!B:B,'Base stats'!E:E),Groups!A:A,Groups!P:P)=0,"No",MROUND((LOG10(_xlfn.XLOOKUP(B38,'Base stats'!B:B,'Base stats'!AP:AP))*(AN38^0.5)+(_xlfn.XLOOKUP(B38,'Base stats'!B:B,'Base stats'!AP:AP)/1000)^(2/3)+_xlfn.XLOOKUP(B38,'Base stats'!B:B,'Base stats'!AX:AX))+_xlfn.XLOOKUP(B38,'Base stats'!B:B,'Base stats'!AV:AV)+0.5,0.5))</f>
        <v>No</v>
      </c>
      <c r="S38" s="7" t="str">
        <f>IF(R38="No","No",MAX(_xlfn.XLOOKUP(_xlfn.XLOOKUP(B38,'Base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T38" s="7" t="str">
        <f>IF(R38="No","No",_xlfn.XLOOKUP(_xlfn.XLOOKUP(B38,'Base stats'!B:B,'Base stats'!E:E),Groups!A:A,Groups!R:R))</f>
        <v>No</v>
      </c>
      <c r="U38" s="7" t="str">
        <f>IF(R38="No","No",_xlfn.XLOOKUP(_xlfn.XLOOKUP(B38,'Base stats'!B:B,'Base stats'!E:E),Groups!A:A,Groups!S:S))</f>
        <v>No</v>
      </c>
      <c r="V38" s="7" t="str">
        <f>IF(R38="No","No",_xlfn.XLOOKUP(_xlfn.XLOOKUP(B38,'Base stats'!B:B,'Base stats'!E:E),Groups!A:A,Groups!T:T))</f>
        <v>No</v>
      </c>
      <c r="W38" s="13" t="str">
        <f>IF(_xlfn.XLOOKUP(B38,'Base stats'!B:B,'Base stats'!W:W)="No","No",MROUND((LOG10(_xlfn.XLOOKUP(B38,'Base stats'!B:B,'Base stats'!AR:AR))*(AN38^0.5)+(_xlfn.XLOOKUP(B38,'Base stats'!B:B,'Base stats'!AR:AR)/1000)^(2/3)+_xlfn.XLOOKUP(B38,'Base stats'!B:B,'Base stats'!AW:AW))+0.5+IF(_xlfn.XLOOKUP(_xlfn.XLOOKUP(B38,'Base stats'!B:B,'Base stats'!E:E),Groups!A:A,Groups!U:U)&lt;&gt;3,_xlfn.XLOOKUP(B38,'Base stats'!B:B,'Base stats'!AX:AX),0),0.5))</f>
        <v>No</v>
      </c>
      <c r="X38" s="7" t="str">
        <f>IF(W38="No","No",MAX(_xlfn.XLOOKUP(_xlfn.XLOOKUP(B38,'Base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Y38" s="7" t="str">
        <f>IF(W38="No","No",_xlfn.XLOOKUP(_xlfn.XLOOKUP(B38,'Base stats'!B:B,'Base stats'!E:E),Groups!A:A,Groups!W:W))</f>
        <v>No</v>
      </c>
      <c r="Z38" s="7" t="str">
        <f>IF(W38="No","No",_xlfn.XLOOKUP(_xlfn.XLOOKUP(B38,'Base stats'!B:B,'Base stats'!E:E),Groups!A:A,Groups!X:X))</f>
        <v>No</v>
      </c>
      <c r="AA38" s="7" t="str">
        <f>IF(W38="No","No",_xlfn.XLOOKUP(_xlfn.XLOOKUP(B38,'Base stats'!B:B,'Base stats'!E:E),Groups!A:A,Groups!Y:Y))</f>
        <v>No</v>
      </c>
      <c r="AB38" s="7" t="str">
        <f>_xlfn.XLOOKUP(Animals!B38,'Base stats'!B:B,'Base stats'!X:X)</f>
        <v>False</v>
      </c>
      <c r="AC38" s="13">
        <f>IF(_xlfn.XLOOKUP(B38,'Base stats'!B:B,'Base stats'!AQ:AQ)="No","No",MROUND((LOG10(_xlfn.XLOOKUP(B38,'Base stats'!B:B,'Base stats'!AQ:AQ))*(AN38^0.75)+(_xlfn.XLOOKUP(B38,'Base stats'!B:B,'Base stats'!AQ:AQ)/1000)^(2/3)+_xlfn.XLOOKUP(B38,'Base stats'!B:B,'Base stats'!AU:AU)+_xlfn.XLOOKUP(B38,'Base stats'!B:B,'Base stats'!AX:AX))+0.5,0.5))</f>
        <v>1.5</v>
      </c>
      <c r="AD38" s="7">
        <f>IF(AC38="No","No",MAX(_xlfn.XLOOKUP(_xlfn.XLOOKUP(B38,'Base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E38" s="7" t="str">
        <f>IF(AC38="No","No",_xlfn.XLOOKUP(_xlfn.XLOOKUP(B38,'Base stats'!B:B,'Base stats'!E:E),Groups!A:A,Groups!AA:AA))</f>
        <v>Teeth</v>
      </c>
      <c r="AF38" s="7" t="str">
        <f>IF(AC38="No","No",_xlfn.XLOOKUP(_xlfn.XLOOKUP(B38,'Base stats'!B:B,'Base stats'!E:E),Groups!A:A,Groups!AB:AB))</f>
        <v>Incisors</v>
      </c>
      <c r="AG38" s="7" t="str">
        <f>IF(AC38="No","No",_xlfn.XLOOKUP(_xlfn.XLOOKUP(B38,'Base stats'!B:B,'Base stats'!E:E),Groups!A:A,Groups!AC:AC))</f>
        <v>Bite</v>
      </c>
      <c r="AH38" s="13" t="str">
        <f>IF(_xlfn.XLOOKUP(_xlfn.XLOOKUP(B38,'Base stats'!B:B,'Base stats'!E:E),Groups!A:A,Groups!AD:AD)=0,"No",MROUND((LOG10(_xlfn.XLOOKUP(B38,'Base stats'!B:B,'Base stats'!AP:AP))*(AN38^0.75)+(_xlfn.XLOOKUP(B38,'Base stats'!B:B,'Base stats'!AP:AP)/1000)^(2/3)+_xlfn.XLOOKUP(B38,'Base stats'!B:B,'Base stats'!AV:AV)+_xlfn.XLOOKUP(B38,'Base stats'!B:B,'Base stats'!AX:AX))+0.5,0.5))</f>
        <v>No</v>
      </c>
      <c r="AI38" s="7" t="str">
        <f>IF(AH38="No","No",MAX(_xlfn.XLOOKUP(_xlfn.XLOOKUP(B38,'Base stats'!B:B,'Base stats'!E:E),Groups!A:A,Groups!AE:AE),MROUND(_xlfn.XLOOKUP(_xlfn.XLOOKUP(B38,'Base stats'!B:B,'Base stats'!E:E),Groups!A:A,Groups!AE:AE)*_xlfn.XLOOKUP(B38,'Base stats'!B:B,'Base stats'!C:C)^0.165,0.05)))</f>
        <v>No</v>
      </c>
      <c r="AJ38" s="7" t="str">
        <f>IF(AH38="No","No",_xlfn.XLOOKUP(_xlfn.XLOOKUP(B38,'Base stats'!B:B,'Base stats'!E:E),Groups!A:A,Groups!AF:AF))</f>
        <v>No</v>
      </c>
      <c r="AK38" s="7" t="str">
        <f>IF(AH38="No","No",_xlfn.XLOOKUP(_xlfn.XLOOKUP(B38,'Base stats'!B:B,'Base stats'!E:E),Groups!A:A,Groups!AG:AG))</f>
        <v>No</v>
      </c>
      <c r="AL38" s="7" t="str">
        <f>IF(AH38="No","No",_xlfn.XLOOKUP(_xlfn.XLOOKUP(B38,'Base stats'!B:B,'Base stats'!E:E),Groups!A:A,Groups!AH:AH))</f>
        <v>No</v>
      </c>
      <c r="AM38" s="2" t="str">
        <f t="shared" si="0"/>
        <v>No</v>
      </c>
      <c r="AN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O38" s="8">
        <f>MROUND(AN38*_xlfn.XLOOKUP(_xlfn.XLOOKUP(B38,'Base stats'!B:B,'Base stats'!E:E),Groups!A:A,Groups!AI:AI),0.05)</f>
        <v>0.15000000000000002</v>
      </c>
      <c r="AP38" s="8">
        <f>MAX(0.01,MROUND(IF(CA38="True",0.196*(AN38*100*1000)^0.889,IF(_xlfn.XLOOKUP(_xlfn.XLOOKUP(B38,'Base stats'!B:B,'Base stats'!E:E),Groups!A:A,Groups!AJ:AJ)="Bird",10.5*(AN38*100*1000)^0.681,4.82*(AN38*100*1000)^0.734))/(4.82*(1*100*1000)^0.734)/IF(AN38&lt;3.5,2,IF(AN38=3.5,1.5,1.25))*(1+0.132282374779864/(AN38^0.994035016789033+0.00905238001496948)),0.05))</f>
        <v>0.25</v>
      </c>
      <c r="AQ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R38" s="35">
        <f>IFERROR(IF(_xlfn.XLOOKUP(B38,'Base stats'!B:B,'Base stats'!F:F)="Lay eggs","Lay eggs",MIN(20,MAX(5.5,ROUND(((_xlfn.XLOOKUP(B38,'Base stats'!B:B,'Base stats'!F:F)-25)*(14.5/615) + 5.5)*2,0)/2))),"Cannot breed")</f>
        <v>7.5</v>
      </c>
      <c r="AS38" s="8">
        <f>IF(OR(A38="Queen",A38="Larva",A38="Megachicken"),"No",IFERROR(MAX(IF(_xlfn.XLOOKUP(B38,'Base stats'!B:B,'Base stats'!G:G)&lt;0.5,0.2,0.3),MROUND(_xlfn.XLOOKUP(B38,'Base stats'!B:B,'Base stats'!G:G)/(365/60),0.2)),"Unknown"))</f>
        <v>0.3</v>
      </c>
      <c r="AT38" s="8">
        <f t="shared" si="1"/>
        <v>0.15000000000000002</v>
      </c>
      <c r="AU38" s="8">
        <f>IFERROR(IFERROR(MROUND(_xlfn.XLOOKUP(B38,'Base stats'!B:B,'Base stats'!J:J),0.1),"Lay eggs"),"Cannot breed")</f>
        <v>2</v>
      </c>
      <c r="AV38" s="2" t="str">
        <f t="shared" si="2"/>
        <v>true</v>
      </c>
      <c r="AW38" s="2" t="str">
        <f>IF(_xlfn.XLOOKUP(_xlfn.XLOOKUP(Animals!B38,'Base stats'!B:B,'Base stats'!E:E),Groups!A:A,Groups!AK:AK)=1,"true","false")</f>
        <v>false</v>
      </c>
      <c r="AX38" s="25" t="str">
        <f>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</f>
        <v>VegetarianRoughAnimal</v>
      </c>
      <c r="AY38" s="2" t="str">
        <f>IF(_xlfn.XLOOKUP(_xlfn.XLOOKUP(B38,'Base stats'!B:B,'Base stats'!E:E),Groups!A:A,Groups!D:D)=1,MROUND((1-I38)*5+1,2)*IF(I38&lt;=0.4,2,1),"No")</f>
        <v>No</v>
      </c>
      <c r="AZ38" s="2" t="str">
        <f>_xlfn.XLOOKUP(B38,'Base stats'!B:B,'Base stats'!AE:AE)</f>
        <v>Leather_Chinchilla</v>
      </c>
      <c r="BA38" s="23" t="str">
        <f>_xlfn.XLOOKUP(_xlfn.XLOOKUP(B38,'Base stats'!B:B,'Base stats'!E:E),Groups!A:A,Groups!AL:AL)</f>
        <v>QuadrupedAnimalWithPawsAndTail</v>
      </c>
      <c r="BB38" s="23">
        <f>MROUND(IF(AND(AN38&lt;0.5,_xlfn.XLOOKUP(B38,'Base stats'!B:B,'Base stats'!Z:Z)=0),0,IF(OR(_xlfn.XLOOKUP(Animals!B38,'Base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stats'!AA:AA),0.005)</f>
        <v>0</v>
      </c>
      <c r="BC38" s="23">
        <f>MROUND(IF(AND(AN38&lt;0.5,_xlfn.XLOOKUP(B38,'Base stats'!B:B,'Base stats'!Z:Z)=0),0,IF(_xlfn.XLOOKUP(_xlfn.XLOOKUP(B38,'Base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stats'!AB:AB),0.005)</f>
        <v>0</v>
      </c>
      <c r="BD38" s="2" t="str">
        <f>IF(I38&gt;0.3,"No",_xlfn.XLOOKUP(_xlfn.XLOOKUP(Animals!B38,'Base stats'!B:B,'Base stats'!E:E),Groups!A:A,Groups!AP:AP))</f>
        <v>No</v>
      </c>
      <c r="BE38" s="2">
        <f>IF(AND(I38&lt;=0.65,_xlfn.XLOOKUP(_xlfn.XLOOKUP(Animals!B38,'Base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stats'!O:O)=2,0.2,AN38) + 24*(1-IF(BD38="No",0,BD38)) + 16/3, 12),"No")</f>
        <v>36</v>
      </c>
      <c r="BF38" s="2">
        <f>IF(AND(_xlfn.XLOOKUP(_xlfn.XLOOKUP(B38,'Base stats'!B:B,'Base stats'!E:E),Groups!A:A,Groups!AQ:AQ)=1,AN38&lt;=0.35),8,12)</f>
        <v>8</v>
      </c>
      <c r="BG38" s="2" t="str">
        <f>IF(_xlfn.XLOOKUP(_xlfn.XLOOKUP(B38,'Base stats'!B:B,'Base stats'!E:E),Groups!A:A,Groups!D:D)=0,_xlfn.XLOOKUP(_xlfn.XLOOKUP(B38,'Base stats'!B:B,'Base stats'!E:E),Groups!A:A,Groups!AR:AR),"None")</f>
        <v>None</v>
      </c>
      <c r="BH38" s="2" t="str">
        <f>IF(AND(_xlfn.XLOOKUP(_xlfn.XLOOKUP(B38,'Base stats'!B:B,'Base stats'!E:E),Groups!A:A,Groups!AS:AS)=1,OR('Base stats'!Y38="Carnivore",'Base stats'!Y38="Omnivore")),"true","false")</f>
        <v>false</v>
      </c>
      <c r="BI38" s="2" t="str">
        <f>IF(BH38="true",MROUND(IF(AND(AN38&gt;0.5,_xlfn.XLOOKUP(_xlfn.XLOOKUP(B38,'Base stats'!B:B,'Base stats'!E:E),Groups!A:A,Groups!AJ:AJ)="Mammal"),Animals!AN38*1.75*IF(AV38="true",1.5,1),Animals!AN38),IF(AN38&gt;2,0.5,IF(AN38&gt;0.5,0.25,0.1))),"No")</f>
        <v>No</v>
      </c>
      <c r="BJ38" s="2">
        <f t="shared" si="3"/>
        <v>0</v>
      </c>
      <c r="BK38" s="25" t="str">
        <f>IF('Base stats'!AK38="Standard","No",MROUND((_xlfn.XLOOKUP(B38,'Base stats'!B:B,'Base stats'!AK:AK)/3.6)/H38,0.1))</f>
        <v>No</v>
      </c>
      <c r="BL38" s="25" t="str">
        <f t="shared" si="4"/>
        <v>false</v>
      </c>
      <c r="BM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N38" s="25" t="str" cm="1">
        <f t="array" ref="BN38">IF(
  _xlfn.TEXTJOIN(", ",TRUE,
    IF(AND(BH38="true",AN38&gt;0.5,BG38&lt;&gt;"None"),"AttackTarget",""),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IF(BE38&lt;=36,"Comfort",""),
    IF(_xlfn.XLOOKUP(B38,'Base stats'!B:B,'Base stats'!AC:AC)&lt;&gt;"No",_xlfn.XLOOKUP(B38,'Base stats'!B:B,'Base stats'!AC:AC),"")
  ) = "",
  "No",
  _xlfn.TEXTJOIN(", ",TRUE,
    IF(AND(BH38="true",AN38&gt;0.5,BG38&lt;&gt;"None"),"AttackTarget",""),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IF(BE38&lt;=36,"Comfort",""),
    IF(_xlfn.XLOOKUP(B38,'Base stats'!B:B,'Base stats'!AC:AC)&lt;&gt;"No",_xlfn.XLOOKUP(B38,'Base stats'!B:B,'Base stats'!AC:AC),"")
  )
)</f>
        <v>Comfort</v>
      </c>
      <c r="BO38" s="25" t="str">
        <f>IF(
   AND(
      'Base stats'!AK38="Standard",_xlfn.XLOOKUP(_xlfn.XLOOKUP(B38,'Base stats'!B:B,'Base stats'!E:E),Groups!A:A,Groups!AU:AU)=0,
      OR(
      BM38="True"
      )
   ),
   10,
   IF(
       OR(BK38&lt;&gt;"No",_xlfn.XLOOKUP(_xlfn.XLOOKUP(B38,'Base stats'!B:B,'Base stats'!E:E),Groups!A:A,Groups!AU:AU)=1),
      1,
      "No"
   )
)</f>
        <v>No</v>
      </c>
      <c r="BP38" s="9">
        <f>MROUND((1 + ((0.2*IF(OR(P38="No",Q38="No",Q38=0),0,P38/Q38)
+IF(OR(U38="No",R38="No",S38="No"),0,R38/S38*(LEN(U38)-LEN(SUBSTITUTE(U38,",",""))+1))
+IF(OR(W38="No",X38="No"),0,W38/X38)
+IF(OR(AC38="No",AD38="No"),0,AC38/AD38)
+IF(OR(AK38="No",AH38="No",AI38="No"),0,AH38/AI38*(LEN(AK38)-LEN(SUBSTITUTE(AK38,",",""))+1))
)/(0.2*IF(OR(P38="No",Q38="No",Q38=0),0,1)
+IF(OR(U38="No",R38="No",S38="No"),0,LEN(U38)-LEN(SUBSTITUTE(U38,",",""))+1)
+IF(OR(W38="No",X38="No"),0,1)
+IF(OR(AC38="No",AD38="No"),0,1)
+IF(OR(AK38="No",AH38="No",AI38="No"),0,LEN(AK38)-LEN(SUBSTITUTE(AK38,",",""))+1))*62%)* 2)*(1 + (AO38 + _xlfn.XLOOKUP(B38,'Base stats'!B:B,'Base stats'!AS:AS) * 1.8) * 2) * 2.5 + 10 + H38 * 2,5)+IF(_xlfn.XLOOKUP(B38,'Base stats'!B:B,'Base stats'!AH:AH)=1,50,0)</f>
        <v>25</v>
      </c>
      <c r="BQ38" s="8">
        <f t="shared" si="5"/>
        <v>0.25</v>
      </c>
      <c r="BR38" s="8" t="str">
        <f>_xlfn.XLOOKUP(B38,'Base stats'!B:B,'Base stats'!AD:AD)</f>
        <v>5~15</v>
      </c>
      <c r="BS38" s="2" t="str">
        <f>IF(AND(I38&lt;=0.95,OR(_xlfn.XLOOKUP(B38,'Base stats'!B:B,'Base stats'!AH:AH)=1,_xlfn.XLOOKUP(B38,'Base stats'!B:B,'Base stats'!Y:Y)="Carnivore",_xlfn.XLOOKUP(B38,'Base stats'!B:B,'Base stats'!Y:Y)="Omnivore",BC38&gt;0.1)),"true","false")</f>
        <v>false</v>
      </c>
      <c r="BT38" s="2" t="str">
        <f>IF(_xlfn.XLOOKUP(B38,'Base stats'!B:B,'Base stats'!AF:AF)=1,"true","false")</f>
        <v>false</v>
      </c>
      <c r="BU38" s="25" t="str">
        <f>IF(E38="BaseInsect","AnimalInsect",
IF(I38&gt;0.95,"AnimalExotic",
_xlfn.TEXTJOIN(", ",TRUE,
IF(AND(_xlfn.XLOOKUP(B38,'Base stats'!B:B,'Base stats'!O:O)=0,_xlfn.XLOOKUP(_xlfn.XLOOKUP(B38,'Base stats'!B:B,'Base stats'!E:E),Groups!A:A,Groups!B:B)&gt;0),"AnimalUncommon","AnimalCommon"),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stats'!AH:AH)=1,AND(BG38&lt;&gt;"None",BP38&gt;=60),ISNUMBER(SEARCH("Attack target",BN38))),"AnimalFighter","")
)))</f>
        <v>AnimalCommon</v>
      </c>
      <c r="BV38" s="25" t="str">
        <f>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</f>
        <v>TropicalRainforest TropicalSwamp Glowforest</v>
      </c>
      <c r="BW38" s="25" t="str">
        <f>IF(_xlfn.XLOOKUP(B38,'Base stats'!B:B,'Base stats'!AG:AG)=1,"true","false")</f>
        <v>false</v>
      </c>
      <c r="BX38" s="25">
        <f>IF(_xlfn.XLOOKUP(B38,'Base stats'!B:B,'Base stats'!N:N)=1,"No",MIN(MROUND(IF(OR(_xlfn.XLOOKUP(B38,'Base stats'!B:B,'Base stats'!AJ:AJ)=1,AND(BH38="True",CA38="False")),POWER(10,3.47*LOG10(_xlfn.XLOOKUP(B38,'Base stats'!B:B,'Base stats'!C:C)*1000)^-0.96),POWER(10,4.15*LOG10(_xlfn.XLOOKUP(B38,'Base stats'!B:B,'Base stats'!C:C)*1000)^-0.73))*IF(OR(_xlfn.XLOOKUP(B38,'Base stats'!B:B,'Base stats'!AJ:AJ)=1,_xlfn.XLOOKUP(B38,'Base stats'!B:B,'Base stats'!AH:AH)=1),0.5,1)/100,0.025),1))</f>
        <v>0.9</v>
      </c>
      <c r="BY38" s="25" t="str">
        <f>IF(O38="Standard","No",IF(_xlfn.XLOOKUP(B38,'Base stats'!B:B,'Base stats'!N:N)=0,MROUND(BX38*O38,0.05),MIN(1,MAX(0.025,MROUND(IF(OR(CA38="true",AND(BH38="false",BM38="false")),POWER(10,4.15*LOG10(_xlfn.XLOOKUP(B38,'Base stats'!B:B,'Base stats'!C:C)*1000)^-0.73),POWER(10,3.47*LOG10(_xlfn.XLOOKUP(B38,'Base stats'!B:B,'Base stats'!C:C)*1000)^-0.96))*IF(_xlfn.XLOOKUP(B38,'Base stats'!B:B,'Base stats'!AH:AH)=1,0.5,1)/100,0.025)))))</f>
        <v>No</v>
      </c>
      <c r="BZ38" s="25" t="str">
        <f>IF(_xlfn.XLOOKUP(_xlfn.XLOOKUP(B38,'Base stats'!B:B,'Base stats'!E:E),Groups!A:A,Groups!AJ:AJ)="Mammal","True","False")</f>
        <v>True</v>
      </c>
      <c r="CA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B38" s="25" t="str">
        <f t="shared" si="6"/>
        <v>False</v>
      </c>
      <c r="CC38" s="25" t="str">
        <f>IF(_xlfn.XLOOKUP(_xlfn.XLOOKUP(B38,'Base stats'!B:B,'Base stats'!E:E),Groups!A:A,Groups!AW:AW),"True","False")</f>
        <v>False</v>
      </c>
      <c r="CD38" s="25" t="str">
        <f>IF(_xlfn.XLOOKUP(_xlfn.XLOOKUP(B38,'Base stats'!B:B,'Base stats'!E:E),Groups!A:A,Groups!AX:AX),"True","False")</f>
        <v>False</v>
      </c>
      <c r="CE38" s="25" t="str">
        <f>IF(_xlfn.XLOOKUP(B38,'Base stats'!B:B,'Base stats'!E:E)=1,"True","False")</f>
        <v>False</v>
      </c>
      <c r="CF38" s="25" t="str">
        <f>IF(
OR(
_xlfn.XLOOKUP(_xlfn.XLOOKUP(B38,'Base stats'!B:B,'Base stats'!E:E),Groups!A:A,Groups!AY:AY)=0,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stats'!E:E),Groups!A:A,Groups!AY:AY)=1,
"Flesh",
IF(
_xlfn.XLOOKUP(_xlfn.XLOOKUP(B38,'Base stats'!B:B,'Base stats'!E:E),Groups!A:A,Groups!AY:AY)=2,
"Bone",
""
)
)
)</f>
        <v>No</v>
      </c>
      <c r="CG38" s="25" t="str">
        <f>IF(_xlfn.XLOOKUP(_xlfn.XLOOKUP(B38,'Base stats'!B:B,'Base stats'!E:E),Groups!A:A,Groups!BA:BA),"True","False")</f>
        <v>True</v>
      </c>
      <c r="CH38" s="25" t="str">
        <f>IF(_xlfn.XLOOKUP(_xlfn.XLOOKUP(B38,'Base stats'!B:B,'Base stats'!E:E),Groups!A:A,Groups!AZ:AZ),"True","False")</f>
        <v>False</v>
      </c>
    </row>
    <row r="39" spans="1:86" ht="16.5" thickTop="1" thickBot="1" x14ac:dyDescent="0.3">
      <c r="A39" s="26" t="str">
        <f>_xlfn.XLOOKUP(B39,'Base stats'!B:B,'Base stats'!A:A)</f>
        <v>Capybara</v>
      </c>
      <c r="B39" s="6" t="s">
        <v>122</v>
      </c>
      <c r="C39" s="28" t="s">
        <v>726</v>
      </c>
      <c r="D39" s="28" t="s">
        <v>45</v>
      </c>
      <c r="E39" s="28" t="s">
        <v>685</v>
      </c>
      <c r="F39" s="28" t="s">
        <v>685</v>
      </c>
      <c r="G39" s="2">
        <f>MROUND((
  (IF(AND(_xlfn.XLOOKUP(B39,'Base stats'!B:B,'Base stats'!AI:AI)=0,BG39="None",_xlfn.XLOOKUP('Base stats'!E39,Groups!A:A,Groups!B:B)=0), (18 + BP39 * 2.7) * 0.5,
    IF(AND(_xlfn.XLOOKUP(B39,'Base stats'!B:B,'Base stats'!AI:AI)=0,OR(AN39&lt;0.55,AND(BG39="Intermediate",_xlfn.XLOOKUP('Base stats'!E39,Groups!A:A,Groups!B:B)&lt;2))), (18 + BP39 * 2.7),
      IF(OR(BG39="Advanced",_xlfn.XLOOKUP(B39,'Base stats'!B:B,'Base stats'!AI:AI)=1,_xlfn.XLOOKUP('Base stats'!E39,Groups!A:A,Groups!B:B)=2), (18 + BP39 * 2.7) + 250, (18 + BP39 * 2.7))
    )
  ))
  + AN39 * 80
  + IF(COUNTIF(EggMilk!K$2:K$998, A39) &gt; 0, 125, 0)
  + IF(COUNTIF(EggMilk!P$2:P$998, A39) &gt; 0, 90, 0)
  + IF(COUNTIF(EggMilk!A$2:A$998, A39) &gt; 0, 90, 0)
)
* (0.8 + 0.4 * I39)
* 0.75,25)</f>
        <v>250</v>
      </c>
      <c r="H39" s="2">
        <f>MROUND(ROUNDDOWN(_xlfn.XLOOKUP(B39,'Base stats'!B:B,'Base stats'!L:L)/3.6/(23.3/11),1),0.5)</f>
        <v>4.5</v>
      </c>
      <c r="I39" s="2">
        <f>IF(_xlfn.XLOOKUP(B39,'Base stats'!B:B,'Base stats'!AI:AI)=1,0.99,MIN(MROUND((1-0.6282*EXP(-0.459*AN39))*_xlfn.XLOOKUP(_xlfn.XLOOKUP(B39,'Base stats'!B:B,'Base stats'!E:E),Groups!A:A,Groups!C:C)*IF(_xlfn.XLOOKUP(B39,'Base stats'!B:B,'Base stats'!O:O)=1,0.5,IF(_xlfn.XLOOKUP(B39,'Base stats'!B:B,'Base stats'!O:O)=2,0,1)),0.05),0.985))</f>
        <v>0.75</v>
      </c>
      <c r="J39" s="2">
        <f>ROUNDUP(AN39*_xlfn.XLOOKUP(_xlfn.XLOOKUP(B39,'Base stats'!B:B,'Base stats'!E:E),Groups!A:A,Groups!E:E),0)</f>
        <v>1</v>
      </c>
      <c r="K39" s="2">
        <f>IF(OR(_xlfn.XLOOKUP(_xlfn.XLOOKUP(B39,'Base stats'!B:B,'Base stats'!E:E),Groups!A:A,Groups!F:F)=2,ISNUMBER(SEARCH("SeaIce",BV39)),ISNUMBER(SEARCH("IceSheet",BV39))),-50,IF(OR(ISNUMBER(SEARCH("GlacialPlain",BV39)),ISNUMBER(SEARCH("Tundra",BV39))),-40,IF(OR(ISNUMBER(SEARCH("Alpine",BV39)),ISNUMBER(SEARCH("BorealForest",BV39)),ISNUMBER(SEARCH("ColdBog",BV39))),-30,IF(OR(ISNUMBER(SEARCH("TemperateForest",BV39)),ISNUMBER(SEARCH("TemperateSwamp",BV39))),-20,IF(_xlfn.XLOOKUP(_xlfn.XLOOKUP(B39,'Base stats'!B:B,'Base stats'!E:E),Groups!A:A,Groups!F:F)=1,-15,IF(OR(ISNUMBER(SEARCH("Desert",BV39)),ISNUMBER(SEARCH("ExtremeDesert",BV39))),-10,IF(OR(ISNUMBER(SEARCH("Grasslands",BV39)),ISNUMBER(SEARCH("TropicalRainforest",BV39)),ISNUMBER(SEARCH("TropicalSwamp",BV39))),10,0)))))))-IF(CA39="False",MIN(IFERROR(MAX(MROUND(LOG10(_xlfn.XLOOKUP(B39,'Base stats'!B:B,'Base stats'!C:C)^(2/3))*10,5),5),5),30))-_xlfn.XLOOKUP(B39,'Base stats'!B:B,'Base stats'!P:P)+IF(CA39="True",5,0)</f>
        <v>0</v>
      </c>
      <c r="L39" s="2">
        <f>IF(OR(_xlfn.XLOOKUP(_xlfn.XLOOKUP(B39,'Base stats'!B:B,'Base stats'!E:E),Groups!A:A,Groups!G:G)=2,ISNUMBER(SEARCH("Desert",BV39)),ISNUMBER(SEARCH("ExtremeDesert",BV39)),ISNUMBER(SEARCH("LavaField",BV39))),50,IF(ISNUMBER(SEARCH("Grasslands",BV39)),45,IF(OR(_xlfn.XLOOKUP(_xlfn.XLOOKUP(B39,'Base stats'!B:B,'Base stats'!E:E),Groups!A:A,Groups!G:G)=1,ISNUMBER(SEARCH("TropicalRainforest",BV39)),ISNUMBER(SEARCH("TropicalSwamp",BV39))),40,IF(OR(ISNUMBER(SEARCH("TemperateForest",BV39)),ISNUMBER(SEARCH("TemperateSwamp",BV39))),35,IF(OR(ISNUMBER(SEARCH("Alpine",BV39)),ISNUMBER(SEARCH("BorealForest",BV39)),ISNUMBER(SEARCH("ColdBog",BV39))),30,IF(ISNUMBER(OR(ISNUMBER(SEARCH("GlacialPlain",BV39)),SEARCH("Tundra",BV39))),25,IF(OR(ISNUMBER(SEARCH("SeaIce",BV39)),ISNUMBER(SEARCH("IceSheet",BV39)),ISNUMBER(SEARCH("TropicalSwamp",BV39))),10,35)))))))+_xlfn.XLOOKUP(B39,'Base stats'!B:B,'Base stats'!Q:Q)</f>
        <v>40</v>
      </c>
      <c r="M39" s="8" t="str">
        <f>IF(_xlfn.XLOOKUP(_xlfn.XLOOKUP(B39,'Base stats'!B:B,'Base stats'!E:E),Groups!A:A,Groups!L:L)=1,MIN(MROUND(_xlfn.XLOOKUP(B39,'Animals CE'!B:B,'Animals CE'!Z:Z)/2+0.05,0.05),200%),"No")</f>
        <v>No</v>
      </c>
      <c r="N39" s="8" t="str">
        <f>IF(_xlfn.XLOOKUP(_xlfn.XLOOKUP(B39,'Base stats'!B:B,'Base stats'!E:E),Groups!A:A,Groups!L:L)=1,MIN(MROUND(_xlfn.XLOOKUP(B39,'Animals CE'!B:B,'Animals CE'!AA:AA)/2+0.05,0.05),200%),"No")</f>
        <v>No</v>
      </c>
      <c r="O39" s="2" t="str">
        <f>_xlfn.XLOOKUP(B39,'Base stats'!B:B,'Base stats'!R:R)</f>
        <v>Standard</v>
      </c>
      <c r="P39" s="13">
        <f>MROUND((LOG10(_xlfn.XLOOKUP(B39,'Base stats'!B:B,'Base stats'!AO:AO))*(AN39^0.5)+(_xlfn.XLOOKUP(B39,'Base stats'!B:B,'Base stats'!AO:AO)/1000)^(2/3)+_xlfn.XLOOKUP(B39,'Base stats'!B:B,'Base stats'!AX:AX)/2)+0.5,0.5)</f>
        <v>6.5</v>
      </c>
      <c r="Q39" s="7">
        <f>IF(P39="No","No",MAX(1,MROUND(_xlfn.XLOOKUP(B39,'Base stats'!B:B,'Base stats'!C:C)^0.165,0.05)))</f>
        <v>1.9500000000000002</v>
      </c>
      <c r="R39" s="13" t="str">
        <f>IF(_xlfn.XLOOKUP(_xlfn.XLOOKUP(B39,'Base stats'!B:B,'Base stats'!E:E),Groups!A:A,Groups!P:P)=0,"No",MROUND((LOG10(_xlfn.XLOOKUP(B39,'Base stats'!B:B,'Base stats'!AP:AP))*(AN39^0.5)+(_xlfn.XLOOKUP(B39,'Base stats'!B:B,'Base stats'!AP:AP)/1000)^(2/3)+_xlfn.XLOOKUP(B39,'Base stats'!B:B,'Base stats'!AX:AX))+_xlfn.XLOOKUP(B39,'Base stats'!B:B,'Base stats'!AV:AV)+0.5,0.5))</f>
        <v>No</v>
      </c>
      <c r="S39" s="7" t="str">
        <f>IF(R39="No","No",MAX(_xlfn.XLOOKUP(_xlfn.XLOOKUP(B39,'Base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T39" s="7" t="str">
        <f>IF(R39="No","No",_xlfn.XLOOKUP(_xlfn.XLOOKUP(B39,'Base stats'!B:B,'Base stats'!E:E),Groups!A:A,Groups!R:R))</f>
        <v>No</v>
      </c>
      <c r="U39" s="7" t="str">
        <f>IF(R39="No","No",_xlfn.XLOOKUP(_xlfn.XLOOKUP(B39,'Base stats'!B:B,'Base stats'!E:E),Groups!A:A,Groups!S:S))</f>
        <v>No</v>
      </c>
      <c r="V39" s="7" t="str">
        <f>IF(R39="No","No",_xlfn.XLOOKUP(_xlfn.XLOOKUP(B39,'Base stats'!B:B,'Base stats'!E:E),Groups!A:A,Groups!T:T))</f>
        <v>No</v>
      </c>
      <c r="W39" s="13" t="str">
        <f>IF(_xlfn.XLOOKUP(B39,'Base stats'!B:B,'Base stats'!W:W)="No","No",MROUND((LOG10(_xlfn.XLOOKUP(B39,'Base stats'!B:B,'Base stats'!AR:AR))*(AN39^0.5)+(_xlfn.XLOOKUP(B39,'Base stats'!B:B,'Base stats'!AR:AR)/1000)^(2/3)+_xlfn.XLOOKUP(B39,'Base stats'!B:B,'Base stats'!AW:AW))+0.5+IF(_xlfn.XLOOKUP(_xlfn.XLOOKUP(B39,'Base stats'!B:B,'Base stats'!E:E),Groups!A:A,Groups!U:U)&lt;&gt;3,_xlfn.XLOOKUP(B39,'Base stats'!B:B,'Base stats'!AX:AX),0),0.5))</f>
        <v>No</v>
      </c>
      <c r="X39" s="7" t="str">
        <f>IF(W39="No","No",MAX(_xlfn.XLOOKUP(_xlfn.XLOOKUP(B39,'Base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Y39" s="7" t="str">
        <f>IF(W39="No","No",_xlfn.XLOOKUP(_xlfn.XLOOKUP(B39,'Base stats'!B:B,'Base stats'!E:E),Groups!A:A,Groups!W:W))</f>
        <v>No</v>
      </c>
      <c r="Z39" s="7" t="str">
        <f>IF(W39="No","No",_xlfn.XLOOKUP(_xlfn.XLOOKUP(B39,'Base stats'!B:B,'Base stats'!E:E),Groups!A:A,Groups!X:X))</f>
        <v>No</v>
      </c>
      <c r="AA39" s="7" t="str">
        <f>IF(W39="No","No",_xlfn.XLOOKUP(_xlfn.XLOOKUP(B39,'Base stats'!B:B,'Base stats'!E:E),Groups!A:A,Groups!Y:Y))</f>
        <v>No</v>
      </c>
      <c r="AB39" s="7" t="str">
        <f>_xlfn.XLOOKUP(Animals!B39,'Base stats'!B:B,'Base stats'!X:X)</f>
        <v>False</v>
      </c>
      <c r="AC39" s="13">
        <f>IF(_xlfn.XLOOKUP(B39,'Base stats'!B:B,'Base stats'!AQ:AQ)="No","No",MROUND((LOG10(_xlfn.XLOOKUP(B39,'Base stats'!B:B,'Base stats'!AQ:AQ))*(AN39^0.75)+(_xlfn.XLOOKUP(B39,'Base stats'!B:B,'Base stats'!AQ:AQ)/1000)^(2/3)+_xlfn.XLOOKUP(B39,'Base stats'!B:B,'Base stats'!AU:AU)+_xlfn.XLOOKUP(B39,'Base stats'!B:B,'Base stats'!AX:AX))+0.5,0.5))</f>
        <v>12.5</v>
      </c>
      <c r="AD39" s="7">
        <f>IF(AC39="No","No",MAX(_xlfn.XLOOKUP(_xlfn.XLOOKUP(B39,'Base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E39" s="7" t="str">
        <f>IF(AC39="No","No",_xlfn.XLOOKUP(_xlfn.XLOOKUP(B39,'Base stats'!B:B,'Base stats'!E:E),Groups!A:A,Groups!AA:AA))</f>
        <v>Teeth</v>
      </c>
      <c r="AF39" s="7" t="str">
        <f>IF(AC39="No","No",_xlfn.XLOOKUP(_xlfn.XLOOKUP(B39,'Base stats'!B:B,'Base stats'!E:E),Groups!A:A,Groups!AB:AB))</f>
        <v>Incisors</v>
      </c>
      <c r="AG39" s="7" t="str">
        <f>IF(AC39="No","No",_xlfn.XLOOKUP(_xlfn.XLOOKUP(B39,'Base stats'!B:B,'Base stats'!E:E),Groups!A:A,Groups!AC:AC))</f>
        <v>Bite</v>
      </c>
      <c r="AH39" s="13" t="str">
        <f>IF(_xlfn.XLOOKUP(_xlfn.XLOOKUP(B39,'Base stats'!B:B,'Base stats'!E:E),Groups!A:A,Groups!AD:AD)=0,"No",MROUND((LOG10(_xlfn.XLOOKUP(B39,'Base stats'!B:B,'Base stats'!AP:AP))*(AN39^0.75)+(_xlfn.XLOOKUP(B39,'Base stats'!B:B,'Base stats'!AP:AP)/1000)^(2/3)+_xlfn.XLOOKUP(B39,'Base stats'!B:B,'Base stats'!AV:AV)+_xlfn.XLOOKUP(B39,'Base stats'!B:B,'Base stats'!AX:AX))+0.5,0.5))</f>
        <v>No</v>
      </c>
      <c r="AI39" s="7" t="str">
        <f>IF(AH39="No","No",MAX(_xlfn.XLOOKUP(_xlfn.XLOOKUP(B39,'Base stats'!B:B,'Base stats'!E:E),Groups!A:A,Groups!AE:AE),MROUND(_xlfn.XLOOKUP(_xlfn.XLOOKUP(B39,'Base stats'!B:B,'Base stats'!E:E),Groups!A:A,Groups!AE:AE)*_xlfn.XLOOKUP(B39,'Base stats'!B:B,'Base stats'!C:C)^0.165,0.05)))</f>
        <v>No</v>
      </c>
      <c r="AJ39" s="7" t="str">
        <f>IF(AH39="No","No",_xlfn.XLOOKUP(_xlfn.XLOOKUP(B39,'Base stats'!B:B,'Base stats'!E:E),Groups!A:A,Groups!AF:AF))</f>
        <v>No</v>
      </c>
      <c r="AK39" s="7" t="str">
        <f>IF(AH39="No","No",_xlfn.XLOOKUP(_xlfn.XLOOKUP(B39,'Base stats'!B:B,'Base stats'!E:E),Groups!A:A,Groups!AG:AG))</f>
        <v>No</v>
      </c>
      <c r="AL39" s="7" t="str">
        <f>IF(AH39="No","No",_xlfn.XLOOKUP(_xlfn.XLOOKUP(B39,'Base stats'!B:B,'Base stats'!E:E),Groups!A:A,Groups!AH:AH))</f>
        <v>No</v>
      </c>
      <c r="AM39" s="2" t="str">
        <f t="shared" si="0"/>
        <v>No</v>
      </c>
      <c r="AN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O39" s="8">
        <f>MROUND(AN39*_xlfn.XLOOKUP(_xlfn.XLOOKUP(B39,'Base stats'!B:B,'Base stats'!E:E),Groups!A:A,Groups!AI:AI),0.05)</f>
        <v>0.9</v>
      </c>
      <c r="AP39" s="8">
        <f>MAX(0.01,MROUND(IF(CA39="True",0.196*(AN39*100*1000)^0.889,IF(_xlfn.XLOOKUP(_xlfn.XLOOKUP(B39,'Base stats'!B:B,'Base stats'!E:E),Groups!A:A,Groups!AJ:AJ)="Bird",10.5*(AN39*100*1000)^0.681,4.82*(AN39*100*1000)^0.734))/(4.82*(1*100*1000)^0.734)/IF(AN39&lt;3.5,2,IF(AN39=3.5,1.5,1.25))*(1+0.132282374779864/(AN39^0.994035016789033+0.00905238001496948)),0.05))</f>
        <v>0.55000000000000004</v>
      </c>
      <c r="AQ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R39" s="35">
        <f>IFERROR(IF(_xlfn.XLOOKUP(B39,'Base stats'!B:B,'Base stats'!F:F)="Lay eggs","Lay eggs",MIN(20,MAX(5.5,ROUND(((_xlfn.XLOOKUP(B39,'Base stats'!B:B,'Base stats'!F:F)-25)*(14.5/615) + 5.5)*2,0)/2))),"Cannot breed")</f>
        <v>8.5</v>
      </c>
      <c r="AS39" s="8">
        <f>IF(OR(A39="Queen",A39="Larva",A39="Megachicken"),"No",IFERROR(MAX(IF(_xlfn.XLOOKUP(B39,'Base stats'!B:B,'Base stats'!G:G)&lt;0.5,0.2,0.3),MROUND(_xlfn.XLOOKUP(B39,'Base stats'!B:B,'Base stats'!G:G)/(365/60),0.2)),"Unknown"))</f>
        <v>0.3</v>
      </c>
      <c r="AT39" s="8">
        <f t="shared" si="1"/>
        <v>0.15000000000000002</v>
      </c>
      <c r="AU39" s="8">
        <f>IFERROR(IFERROR(MROUND(_xlfn.XLOOKUP(B39,'Base stats'!B:B,'Base stats'!J:J),0.1),"Lay eggs"),"Cannot breed")</f>
        <v>4.8000000000000007</v>
      </c>
      <c r="AV39" s="2" t="str">
        <f t="shared" si="2"/>
        <v>true</v>
      </c>
      <c r="AW39" s="2" t="str">
        <f>IF(_xlfn.XLOOKUP(_xlfn.XLOOKUP(Animals!B39,'Base stats'!B:B,'Base stats'!E:E),Groups!A:A,Groups!AK:AK)=1,"true","false")</f>
        <v>false</v>
      </c>
      <c r="AX39" s="25" t="str">
        <f>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</f>
        <v>VegetarianRoughAnimal</v>
      </c>
      <c r="AY39" s="2" t="str">
        <f>IF(_xlfn.XLOOKUP(_xlfn.XLOOKUP(B39,'Base stats'!B:B,'Base stats'!E:E),Groups!A:A,Groups!D:D)=1,MROUND((1-I39)*5+1,2)*IF(I39&lt;=0.4,2,1),"No")</f>
        <v>No</v>
      </c>
      <c r="AZ39" s="2" t="str">
        <f>_xlfn.XLOOKUP(B39,'Base stats'!B:B,'Base stats'!AE:AE)</f>
        <v>Leather_Light</v>
      </c>
      <c r="BA39" s="23" t="str">
        <f>_xlfn.XLOOKUP(_xlfn.XLOOKUP(B39,'Base stats'!B:B,'Base stats'!E:E),Groups!A:A,Groups!AL:AL)</f>
        <v>QuadrupedAnimalWithPaws</v>
      </c>
      <c r="BB39" s="23">
        <f>MROUND(IF(AND(AN39&lt;0.5,_xlfn.XLOOKUP(B39,'Base stats'!B:B,'Base stats'!Z:Z)=0),0,IF(OR(_xlfn.XLOOKUP(Animals!B39,'Base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stats'!AA:AA),0.005)</f>
        <v>0</v>
      </c>
      <c r="BC39" s="23">
        <f>MROUND(IF(AND(AN39&lt;0.5,_xlfn.XLOOKUP(B39,'Base stats'!B:B,'Base stats'!Z:Z)=0),0,IF(_xlfn.XLOOKUP(_xlfn.XLOOKUP(B39,'Base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stats'!AB:AB),0.005)</f>
        <v>0</v>
      </c>
      <c r="BD39" s="2" t="str">
        <f>IF(I39&gt;0.3,"No",_xlfn.XLOOKUP(_xlfn.XLOOKUP(Animals!B39,'Base stats'!B:B,'Base stats'!E:E),Groups!A:A,Groups!AP:AP))</f>
        <v>No</v>
      </c>
      <c r="BE39" s="2" t="str">
        <f>IF(AND(I39&lt;=0.65,_xlfn.XLOOKUP(_xlfn.XLOOKUP(Animals!B39,'Base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stats'!O:O)=2,0.2,AN39) + 24*(1-IF(BD39="No",0,BD39)) + 16/3, 12),"No")</f>
        <v>No</v>
      </c>
      <c r="BF39" s="2">
        <f>IF(AND(_xlfn.XLOOKUP(_xlfn.XLOOKUP(B39,'Base stats'!B:B,'Base stats'!E:E),Groups!A:A,Groups!AQ:AQ)=1,AN39&lt;=0.35),8,12)</f>
        <v>12</v>
      </c>
      <c r="BG39" s="2" t="str">
        <f>IF(_xlfn.XLOOKUP(_xlfn.XLOOKUP(B39,'Base stats'!B:B,'Base stats'!E:E),Groups!A:A,Groups!D:D)=0,_xlfn.XLOOKUP(_xlfn.XLOOKUP(B39,'Base stats'!B:B,'Base stats'!E:E),Groups!A:A,Groups!AR:AR),"None")</f>
        <v>None</v>
      </c>
      <c r="BH39" s="2" t="str">
        <f>IF(AND(_xlfn.XLOOKUP(_xlfn.XLOOKUP(B39,'Base stats'!B:B,'Base stats'!E:E),Groups!A:A,Groups!AS:AS)=1,OR('Base stats'!Y39="Carnivore",'Base stats'!Y39="Omnivore")),"true","false")</f>
        <v>false</v>
      </c>
      <c r="BI39" s="2" t="str">
        <f>IF(BH39="true",MROUND(IF(AND(AN39&gt;0.5,_xlfn.XLOOKUP(_xlfn.XLOOKUP(B39,'Base stats'!B:B,'Base stats'!E:E),Groups!A:A,Groups!AJ:AJ)="Mammal"),Animals!AN39*1.75*IF(AV39="true",1.5,1),Animals!AN39),IF(AN39&gt;2,0.5,IF(AN39&gt;0.5,0.25,0.1))),"No")</f>
        <v>No</v>
      </c>
      <c r="BJ39" s="2">
        <f t="shared" si="3"/>
        <v>0</v>
      </c>
      <c r="BK39" s="25" t="str">
        <f>IF('Base stats'!AK39="Standard","No",MROUND((_xlfn.XLOOKUP(B39,'Base stats'!B:B,'Base stats'!AK:AK)/3.6)/H39,0.1))</f>
        <v>No</v>
      </c>
      <c r="BL39" s="25" t="str">
        <f t="shared" si="4"/>
        <v>true</v>
      </c>
      <c r="BM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N39" s="25" t="str" cm="1">
        <f t="array" ref="BN39">IF(
  _xlfn.TEXTJOIN(", ",TRUE,
    IF(AND(BH39="true",AN39&gt;0.5,BG39&lt;&gt;"None"),"AttackTarget",""),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IF(BE39&lt;=36,"Comfort",""),
    IF(_xlfn.XLOOKUP(B39,'Base stats'!B:B,'Base stats'!AC:AC)&lt;&gt;"No",_xlfn.XLOOKUP(B39,'Base stats'!B:B,'Base stats'!AC:AC),"")
  ) = "",
  "No",
  _xlfn.TEXTJOIN(", ",TRUE,
    IF(AND(BH39="true",AN39&gt;0.5,BG39&lt;&gt;"None"),"AttackTarget",""),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IF(BE39&lt;=36,"Comfort",""),
    IF(_xlfn.XLOOKUP(B39,'Base stats'!B:B,'Base stats'!AC:AC)&lt;&gt;"No",_xlfn.XLOOKUP(B39,'Base stats'!B:B,'Base stats'!AC:AC),"")
  )
)</f>
        <v>No</v>
      </c>
      <c r="BO39" s="25">
        <f>IF(
   AND(
      'Base stats'!AK39="Standard",_xlfn.XLOOKUP(_xlfn.XLOOKUP(B39,'Base stats'!B:B,'Base stats'!E:E),Groups!A:A,Groups!AU:AU)=0,
      OR(
      BM39="True"
      )
   ),
   10,
   IF(
       OR(BK39&lt;&gt;"No",_xlfn.XLOOKUP(_xlfn.XLOOKUP(B39,'Base stats'!B:B,'Base stats'!E:E),Groups!A:A,Groups!AU:AU)=1),
      1,
      "No"
   )
)</f>
        <v>1</v>
      </c>
      <c r="BP39" s="9">
        <f>MROUND((1 + ((0.2*IF(OR(P39="No",Q39="No",Q39=0),0,P39/Q39)
+IF(OR(U39="No",R39="No",S39="No"),0,R39/S39*(LEN(U39)-LEN(SUBSTITUTE(U39,",",""))+1))
+IF(OR(W39="No",X39="No"),0,W39/X39)
+IF(OR(AC39="No",AD39="No"),0,AC39/AD39)
+IF(OR(AK39="No",AH39="No",AI39="No"),0,AH39/AI39*(LEN(AK39)-LEN(SUBSTITUTE(AK39,",",""))+1))
)/(0.2*IF(OR(P39="No",Q39="No",Q39=0),0,1)
+IF(OR(U39="No",R39="No",S39="No"),0,LEN(U39)-LEN(SUBSTITUTE(U39,",",""))+1)
+IF(OR(W39="No",X39="No"),0,1)
+IF(OR(AC39="No",AD39="No"),0,1)
+IF(OR(AK39="No",AH39="No",AI39="No"),0,LEN(AK39)-LEN(SUBSTITUTE(AK39,",",""))+1))*62%)* 2)*(1 + (AO39 + _xlfn.XLOOKUP(B39,'Base stats'!B:B,'Base stats'!AS:AS) * 1.8) * 2) * 2.5 + 10 + H39 * 2,5)+IF(_xlfn.XLOOKUP(B39,'Base stats'!B:B,'Base stats'!AH:AH)=1,50,0)</f>
        <v>80</v>
      </c>
      <c r="BQ39" s="8">
        <f t="shared" si="5"/>
        <v>0.60000000000000009</v>
      </c>
      <c r="BR39" s="8" t="str">
        <f>_xlfn.XLOOKUP(B39,'Base stats'!B:B,'Base stats'!AD:AD)</f>
        <v>5~15</v>
      </c>
      <c r="BS39" s="2" t="str">
        <f>IF(AND(I39&lt;=0.95,OR(_xlfn.XLOOKUP(B39,'Base stats'!B:B,'Base stats'!AH:AH)=1,_xlfn.XLOOKUP(B39,'Base stats'!B:B,'Base stats'!Y:Y)="Carnivore",_xlfn.XLOOKUP(B39,'Base stats'!B:B,'Base stats'!Y:Y)="Omnivore",BC39&gt;0.1)),"true","false")</f>
        <v>false</v>
      </c>
      <c r="BT39" s="2" t="str">
        <f>IF(_xlfn.XLOOKUP(B39,'Base stats'!B:B,'Base stats'!AF:AF)=1,"true","false")</f>
        <v>false</v>
      </c>
      <c r="BU39" s="25" t="str">
        <f>IF(E39="BaseInsect","AnimalInsect",
IF(I39&gt;0.95,"AnimalExotic",
_xlfn.TEXTJOIN(", ",TRUE,
IF(AND(_xlfn.XLOOKUP(B39,'Base stats'!B:B,'Base stats'!O:O)=0,_xlfn.XLOOKUP(_xlfn.XLOOKUP(B39,'Base stats'!B:B,'Base stats'!E:E),Groups!A:A,Groups!B:B)&gt;0),"AnimalUncommon","AnimalCommon"),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stats'!AH:AH)=1,AND(BG39&lt;&gt;"None",BP39&gt;=60),ISNUMBER(SEARCH("Attack target",BN39))),"AnimalFighter","")
)))</f>
        <v>AnimalUncommon</v>
      </c>
      <c r="BV39" s="25" t="str">
        <f>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</f>
        <v>TropicalRainforest TropicalSwamp Glowforest</v>
      </c>
      <c r="BW39" s="25" t="str">
        <f>IF(_xlfn.XLOOKUP(B39,'Base stats'!B:B,'Base stats'!AG:AG)=1,"true","false")</f>
        <v>false</v>
      </c>
      <c r="BX39" s="25">
        <f>IF(_xlfn.XLOOKUP(B39,'Base stats'!B:B,'Base stats'!N:N)=1,"No",MIN(MROUND(IF(OR(_xlfn.XLOOKUP(B39,'Base stats'!B:B,'Base stats'!AJ:AJ)=1,AND(BH39="True",CA39="False")),POWER(10,3.47*LOG10(_xlfn.XLOOKUP(B39,'Base stats'!B:B,'Base stats'!C:C)*1000)^-0.96),POWER(10,4.15*LOG10(_xlfn.XLOOKUP(B39,'Base stats'!B:B,'Base stats'!C:C)*1000)^-0.73))*IF(OR(_xlfn.XLOOKUP(B39,'Base stats'!B:B,'Base stats'!AJ:AJ)=1,_xlfn.XLOOKUP(B39,'Base stats'!B:B,'Base stats'!AH:AH)=1),0.5,1)/100,0.025),1))</f>
        <v>0.22500000000000001</v>
      </c>
      <c r="BY39" s="25" t="str">
        <f>IF(O39="Standard","No",IF(_xlfn.XLOOKUP(B39,'Base stats'!B:B,'Base stats'!N:N)=0,MROUND(BX39*O39,0.05),MIN(1,MAX(0.025,MROUND(IF(OR(CA39="true",AND(BH39="false",BM39="false")),POWER(10,4.15*LOG10(_xlfn.XLOOKUP(B39,'Base stats'!B:B,'Base stats'!C:C)*1000)^-0.73),POWER(10,3.47*LOG10(_xlfn.XLOOKUP(B39,'Base stats'!B:B,'Base stats'!C:C)*1000)^-0.96))*IF(_xlfn.XLOOKUP(B39,'Base stats'!B:B,'Base stats'!AH:AH)=1,0.5,1)/100,0.025)))))</f>
        <v>No</v>
      </c>
      <c r="BZ39" s="25" t="str">
        <f>IF(_xlfn.XLOOKUP(_xlfn.XLOOKUP(B39,'Base stats'!B:B,'Base stats'!E:E),Groups!A:A,Groups!AJ:AJ)="Mammal","True","False")</f>
        <v>True</v>
      </c>
      <c r="CA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B39" s="25" t="str">
        <f t="shared" si="6"/>
        <v>False</v>
      </c>
      <c r="CC39" s="25" t="str">
        <f>IF(_xlfn.XLOOKUP(_xlfn.XLOOKUP(B39,'Base stats'!B:B,'Base stats'!E:E),Groups!A:A,Groups!AW:AW),"True","False")</f>
        <v>False</v>
      </c>
      <c r="CD39" s="25" t="str">
        <f>IF(_xlfn.XLOOKUP(_xlfn.XLOOKUP(B39,'Base stats'!B:B,'Base stats'!E:E),Groups!A:A,Groups!AX:AX),"True","False")</f>
        <v>False</v>
      </c>
      <c r="CE39" s="25" t="str">
        <f>IF(_xlfn.XLOOKUP(B39,'Base stats'!B:B,'Base stats'!E:E)=1,"True","False")</f>
        <v>False</v>
      </c>
      <c r="CF39" s="25" t="str">
        <f>IF(
OR(
_xlfn.XLOOKUP(_xlfn.XLOOKUP(B39,'Base stats'!B:B,'Base stats'!E:E),Groups!A:A,Groups!AY:AY)=0,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stats'!E:E),Groups!A:A,Groups!AY:AY)=1,
"Flesh",
IF(
_xlfn.XLOOKUP(_xlfn.XLOOKUP(B39,'Base stats'!B:B,'Base stats'!E:E),Groups!A:A,Groups!AY:AY)=2,
"Bone",
""
)
)
)</f>
        <v>No</v>
      </c>
      <c r="CG39" s="25" t="str">
        <f>IF(_xlfn.XLOOKUP(_xlfn.XLOOKUP(B39,'Base stats'!B:B,'Base stats'!E:E),Groups!A:A,Groups!BA:BA),"True","False")</f>
        <v>True</v>
      </c>
      <c r="CH39" s="25" t="str">
        <f>IF(_xlfn.XLOOKUP(_xlfn.XLOOKUP(B39,'Base stats'!B:B,'Base stats'!E:E),Groups!A:A,Groups!AZ:AZ),"True","False")</f>
        <v>False</v>
      </c>
    </row>
    <row r="40" spans="1:86" ht="16.5" thickTop="1" thickBot="1" x14ac:dyDescent="0.3">
      <c r="A40" s="26" t="str">
        <f>_xlfn.XLOOKUP(B40,'Base stats'!B:B,'Base stats'!A:A)</f>
        <v>Alphabeaver</v>
      </c>
      <c r="B40" s="6" t="s">
        <v>125</v>
      </c>
      <c r="C40" s="28" t="s">
        <v>727</v>
      </c>
      <c r="D40" s="28" t="s">
        <v>45</v>
      </c>
      <c r="E40" s="28" t="s">
        <v>685</v>
      </c>
      <c r="F40" s="28" t="s">
        <v>685</v>
      </c>
      <c r="G40" s="2">
        <f>MROUND((
  (IF(AND(_xlfn.XLOOKUP(B40,'Base stats'!B:B,'Base stats'!AI:AI)=0,BG40="None",_xlfn.XLOOKUP('Base stats'!E40,Groups!A:A,Groups!B:B)=0), (18 + BP40 * 2.7) * 0.5,
    IF(AND(_xlfn.XLOOKUP(B40,'Base stats'!B:B,'Base stats'!AI:AI)=0,OR(AN40&lt;0.55,AND(BG40="Intermediate",_xlfn.XLOOKUP('Base stats'!E40,Groups!A:A,Groups!B:B)&lt;2))), (18 + BP40 * 2.7),
      IF(OR(BG40="Advanced",_xlfn.XLOOKUP(B40,'Base stats'!B:B,'Base stats'!AI:AI)=1,_xlfn.XLOOKUP('Base stats'!E40,Groups!A:A,Groups!B:B)=2), (18 + BP40 * 2.7) + 250, (18 + BP40 * 2.7))
    )
  ))
  + AN40 * 80
  + IF(COUNTIF(EggMilk!K$2:K$998, A40) &gt; 0, 125, 0)
  + IF(COUNTIF(EggMilk!P$2:P$998, A40) &gt; 0, 90, 0)
  + IF(COUNTIF(EggMilk!A$2:A$998, A40) &gt; 0, 90, 0)
)
* (0.8 + 0.4 * I40)
* 0.75,25)</f>
        <v>100</v>
      </c>
      <c r="H40" s="2">
        <f>MROUND(ROUNDDOWN(_xlfn.XLOOKUP(B40,'Base stats'!B:B,'Base stats'!L:L)/3.6/(23.3/11),1),0.5)</f>
        <v>2</v>
      </c>
      <c r="I40" s="2">
        <f>IF(_xlfn.XLOOKUP(B40,'Base stats'!B:B,'Base stats'!AI:AI)=1,0.99,MIN(MROUND((1-0.6282*EXP(-0.459*AN40))*_xlfn.XLOOKUP(_xlfn.XLOOKUP(B40,'Base stats'!B:B,'Base stats'!E:E),Groups!A:A,Groups!C:C)*IF(_xlfn.XLOOKUP(B40,'Base stats'!B:B,'Base stats'!O:O)=1,0.5,IF(_xlfn.XLOOKUP(B40,'Base stats'!B:B,'Base stats'!O:O)=2,0,1)),0.05),0.985))</f>
        <v>0.35000000000000003</v>
      </c>
      <c r="J40" s="2">
        <f>ROUNDUP(AN40*_xlfn.XLOOKUP(_xlfn.XLOOKUP(B40,'Base stats'!B:B,'Base stats'!E:E),Groups!A:A,Groups!E:E),0)</f>
        <v>1</v>
      </c>
      <c r="K40" s="2">
        <f>IF(OR(_xlfn.XLOOKUP(_xlfn.XLOOKUP(B40,'Base stats'!B:B,'Base stats'!E:E),Groups!A:A,Groups!F:F)=2,ISNUMBER(SEARCH("SeaIce",BV40)),ISNUMBER(SEARCH("IceSheet",BV40))),-50,IF(OR(ISNUMBER(SEARCH("GlacialPlain",BV40)),ISNUMBER(SEARCH("Tundra",BV40))),-40,IF(OR(ISNUMBER(SEARCH("Alpine",BV40)),ISNUMBER(SEARCH("BorealForest",BV40)),ISNUMBER(SEARCH("ColdBog",BV40))),-30,IF(OR(ISNUMBER(SEARCH("TemperateForest",BV40)),ISNUMBER(SEARCH("TemperateSwamp",BV40))),-20,IF(_xlfn.XLOOKUP(_xlfn.XLOOKUP(B40,'Base stats'!B:B,'Base stats'!E:E),Groups!A:A,Groups!F:F)=1,-15,IF(OR(ISNUMBER(SEARCH("Desert",BV40)),ISNUMBER(SEARCH("ExtremeDesert",BV40))),-10,IF(OR(ISNUMBER(SEARCH("Grasslands",BV40)),ISNUMBER(SEARCH("TropicalRainforest",BV40)),ISNUMBER(SEARCH("TropicalSwamp",BV40))),10,0)))))))-IF(CA40="False",MIN(IFERROR(MAX(MROUND(LOG10(_xlfn.XLOOKUP(B40,'Base stats'!B:B,'Base stats'!C:C)^(2/3))*10,5),5),5),30))-_xlfn.XLOOKUP(B40,'Base stats'!B:B,'Base stats'!P:P)+IF(CA40="True",5,0)</f>
        <v>-30</v>
      </c>
      <c r="L40" s="2">
        <f>IF(OR(_xlfn.XLOOKUP(_xlfn.XLOOKUP(B40,'Base stats'!B:B,'Base stats'!E:E),Groups!A:A,Groups!G:G)=2,ISNUMBER(SEARCH("Desert",BV40)),ISNUMBER(SEARCH("ExtremeDesert",BV40)),ISNUMBER(SEARCH("LavaField",BV40))),50,IF(ISNUMBER(SEARCH("Grasslands",BV40)),45,IF(OR(_xlfn.XLOOKUP(_xlfn.XLOOKUP(B40,'Base stats'!B:B,'Base stats'!E:E),Groups!A:A,Groups!G:G)=1,ISNUMBER(SEARCH("TropicalRainforest",BV40)),ISNUMBER(SEARCH("TropicalSwamp",BV40))),40,IF(OR(ISNUMBER(SEARCH("TemperateForest",BV40)),ISNUMBER(SEARCH("TemperateSwamp",BV40))),35,IF(OR(ISNUMBER(SEARCH("Alpine",BV40)),ISNUMBER(SEARCH("BorealForest",BV40)),ISNUMBER(SEARCH("ColdBog",BV40))),30,IF(ISNUMBER(OR(ISNUMBER(SEARCH("GlacialPlain",BV40)),SEARCH("Tundra",BV40))),25,IF(OR(ISNUMBER(SEARCH("SeaIce",BV40)),ISNUMBER(SEARCH("IceSheet",BV40)),ISNUMBER(SEARCH("TropicalSwamp",BV40))),10,35)))))))+_xlfn.XLOOKUP(B40,'Base stats'!B:B,'Base stats'!Q:Q)</f>
        <v>35</v>
      </c>
      <c r="M40" s="8" t="str">
        <f>IF(_xlfn.XLOOKUP(_xlfn.XLOOKUP(B40,'Base stats'!B:B,'Base stats'!E:E),Groups!A:A,Groups!L:L)=1,MIN(MROUND(_xlfn.XLOOKUP(B40,'Animals CE'!B:B,'Animals CE'!Z:Z)/2+0.05,0.05),200%),"No")</f>
        <v>No</v>
      </c>
      <c r="N40" s="8" t="str">
        <f>IF(_xlfn.XLOOKUP(_xlfn.XLOOKUP(B40,'Base stats'!B:B,'Base stats'!E:E),Groups!A:A,Groups!L:L)=1,MIN(MROUND(_xlfn.XLOOKUP(B40,'Animals CE'!B:B,'Animals CE'!AA:AA)/2+0.05,0.05),200%),"No")</f>
        <v>No</v>
      </c>
      <c r="O40" s="2" t="str">
        <f>_xlfn.XLOOKUP(B40,'Base stats'!B:B,'Base stats'!R:R)</f>
        <v>Standard</v>
      </c>
      <c r="P40" s="13">
        <f>MROUND((LOG10(_xlfn.XLOOKUP(B40,'Base stats'!B:B,'Base stats'!AO:AO))*(AN40^0.5)+(_xlfn.XLOOKUP(B40,'Base stats'!B:B,'Base stats'!AO:AO)/1000)^(2/3)+_xlfn.XLOOKUP(B40,'Base stats'!B:B,'Base stats'!AX:AX)/2)+0.5,0.5)</f>
        <v>5.5</v>
      </c>
      <c r="Q40" s="7">
        <f>IF(P40="No","No",MAX(1,MROUND(_xlfn.XLOOKUP(B40,'Base stats'!B:B,'Base stats'!C:C)^0.165,0.05)))</f>
        <v>1.8</v>
      </c>
      <c r="R40" s="13" t="str">
        <f>IF(_xlfn.XLOOKUP(_xlfn.XLOOKUP(B40,'Base stats'!B:B,'Base stats'!E:E),Groups!A:A,Groups!P:P)=0,"No",MROUND((LOG10(_xlfn.XLOOKUP(B40,'Base stats'!B:B,'Base stats'!AP:AP))*(AN40^0.5)+(_xlfn.XLOOKUP(B40,'Base stats'!B:B,'Base stats'!AP:AP)/1000)^(2/3)+_xlfn.XLOOKUP(B40,'Base stats'!B:B,'Base stats'!AX:AX))+_xlfn.XLOOKUP(B40,'Base stats'!B:B,'Base stats'!AV:AV)+0.5,0.5))</f>
        <v>No</v>
      </c>
      <c r="S40" s="7" t="str">
        <f>IF(R40="No","No",MAX(_xlfn.XLOOKUP(_xlfn.XLOOKUP(B40,'Base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T40" s="7" t="str">
        <f>IF(R40="No","No",_xlfn.XLOOKUP(_xlfn.XLOOKUP(B40,'Base stats'!B:B,'Base stats'!E:E),Groups!A:A,Groups!R:R))</f>
        <v>No</v>
      </c>
      <c r="U40" s="7" t="str">
        <f>IF(R40="No","No",_xlfn.XLOOKUP(_xlfn.XLOOKUP(B40,'Base stats'!B:B,'Base stats'!E:E),Groups!A:A,Groups!S:S))</f>
        <v>No</v>
      </c>
      <c r="V40" s="7" t="str">
        <f>IF(R40="No","No",_xlfn.XLOOKUP(_xlfn.XLOOKUP(B40,'Base stats'!B:B,'Base stats'!E:E),Groups!A:A,Groups!T:T))</f>
        <v>No</v>
      </c>
      <c r="W40" s="13" t="str">
        <f>IF(_xlfn.XLOOKUP(B40,'Base stats'!B:B,'Base stats'!W:W)="No","No",MROUND((LOG10(_xlfn.XLOOKUP(B40,'Base stats'!B:B,'Base stats'!AR:AR))*(AN40^0.5)+(_xlfn.XLOOKUP(B40,'Base stats'!B:B,'Base stats'!AR:AR)/1000)^(2/3)+_xlfn.XLOOKUP(B40,'Base stats'!B:B,'Base stats'!AW:AW))+0.5+IF(_xlfn.XLOOKUP(_xlfn.XLOOKUP(B40,'Base stats'!B:B,'Base stats'!E:E),Groups!A:A,Groups!U:U)&lt;&gt;3,_xlfn.XLOOKUP(B40,'Base stats'!B:B,'Base stats'!AX:AX),0),0.5))</f>
        <v>No</v>
      </c>
      <c r="X40" s="7" t="str">
        <f>IF(W40="No","No",MAX(_xlfn.XLOOKUP(_xlfn.XLOOKUP(B40,'Base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Y40" s="7" t="str">
        <f>IF(W40="No","No",_xlfn.XLOOKUP(_xlfn.XLOOKUP(B40,'Base stats'!B:B,'Base stats'!E:E),Groups!A:A,Groups!W:W))</f>
        <v>No</v>
      </c>
      <c r="Z40" s="7" t="str">
        <f>IF(W40="No","No",_xlfn.XLOOKUP(_xlfn.XLOOKUP(B40,'Base stats'!B:B,'Base stats'!E:E),Groups!A:A,Groups!X:X))</f>
        <v>No</v>
      </c>
      <c r="AA40" s="7" t="str">
        <f>IF(W40="No","No",_xlfn.XLOOKUP(_xlfn.XLOOKUP(B40,'Base stats'!B:B,'Base stats'!E:E),Groups!A:A,Groups!Y:Y))</f>
        <v>No</v>
      </c>
      <c r="AB40" s="7" t="str">
        <f>_xlfn.XLOOKUP(Animals!B40,'Base stats'!B:B,'Base stats'!X:X)</f>
        <v>False</v>
      </c>
      <c r="AC40" s="13">
        <f>IF(_xlfn.XLOOKUP(B40,'Base stats'!B:B,'Base stats'!AQ:AQ)="No","No",MROUND((LOG10(_xlfn.XLOOKUP(B40,'Base stats'!B:B,'Base stats'!AQ:AQ))*(AN40^0.75)+(_xlfn.XLOOKUP(B40,'Base stats'!B:B,'Base stats'!AQ:AQ)/1000)^(2/3)+_xlfn.XLOOKUP(B40,'Base stats'!B:B,'Base stats'!AU:AU)+_xlfn.XLOOKUP(B40,'Base stats'!B:B,'Base stats'!AX:AX))+0.5,0.5))</f>
        <v>9</v>
      </c>
      <c r="AD40" s="7">
        <f>IF(AC40="No","No",MAX(_xlfn.XLOOKUP(_xlfn.XLOOKUP(B40,'Base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E40" s="7" t="str">
        <f>IF(AC40="No","No",_xlfn.XLOOKUP(_xlfn.XLOOKUP(B40,'Base stats'!B:B,'Base stats'!E:E),Groups!A:A,Groups!AA:AA))</f>
        <v>Teeth</v>
      </c>
      <c r="AF40" s="7" t="str">
        <f>IF(AC40="No","No",_xlfn.XLOOKUP(_xlfn.XLOOKUP(B40,'Base stats'!B:B,'Base stats'!E:E),Groups!A:A,Groups!AB:AB))</f>
        <v>Incisors</v>
      </c>
      <c r="AG40" s="7" t="str">
        <f>IF(AC40="No","No",_xlfn.XLOOKUP(_xlfn.XLOOKUP(B40,'Base stats'!B:B,'Base stats'!E:E),Groups!A:A,Groups!AC:AC))</f>
        <v>Bite</v>
      </c>
      <c r="AH40" s="13" t="str">
        <f>IF(_xlfn.XLOOKUP(_xlfn.XLOOKUP(B40,'Base stats'!B:B,'Base stats'!E:E),Groups!A:A,Groups!AD:AD)=0,"No",MROUND((LOG10(_xlfn.XLOOKUP(B40,'Base stats'!B:B,'Base stats'!AP:AP))*(AN40^0.75)+(_xlfn.XLOOKUP(B40,'Base stats'!B:B,'Base stats'!AP:AP)/1000)^(2/3)+_xlfn.XLOOKUP(B40,'Base stats'!B:B,'Base stats'!AV:AV)+_xlfn.XLOOKUP(B40,'Base stats'!B:B,'Base stats'!AX:AX))+0.5,0.5))</f>
        <v>No</v>
      </c>
      <c r="AI40" s="7" t="str">
        <f>IF(AH40="No","No",MAX(_xlfn.XLOOKUP(_xlfn.XLOOKUP(B40,'Base stats'!B:B,'Base stats'!E:E),Groups!A:A,Groups!AE:AE),MROUND(_xlfn.XLOOKUP(_xlfn.XLOOKUP(B40,'Base stats'!B:B,'Base stats'!E:E),Groups!A:A,Groups!AE:AE)*_xlfn.XLOOKUP(B40,'Base stats'!B:B,'Base stats'!C:C)^0.165,0.05)))</f>
        <v>No</v>
      </c>
      <c r="AJ40" s="7" t="str">
        <f>IF(AH40="No","No",_xlfn.XLOOKUP(_xlfn.XLOOKUP(B40,'Base stats'!B:B,'Base stats'!E:E),Groups!A:A,Groups!AF:AF))</f>
        <v>No</v>
      </c>
      <c r="AK40" s="7" t="str">
        <f>IF(AH40="No","No",_xlfn.XLOOKUP(_xlfn.XLOOKUP(B40,'Base stats'!B:B,'Base stats'!E:E),Groups!A:A,Groups!AG:AG))</f>
        <v>No</v>
      </c>
      <c r="AL40" s="7" t="str">
        <f>IF(AH40="No","No",_xlfn.XLOOKUP(_xlfn.XLOOKUP(B40,'Base stats'!B:B,'Base stats'!E:E),Groups!A:A,Groups!AH:AH))</f>
        <v>No</v>
      </c>
      <c r="AM40" s="2" t="str">
        <f t="shared" si="0"/>
        <v>No</v>
      </c>
      <c r="AN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O40" s="8">
        <f>MROUND(AN40*_xlfn.XLOOKUP(_xlfn.XLOOKUP(B40,'Base stats'!B:B,'Base stats'!E:E),Groups!A:A,Groups!AI:AI),0.05)</f>
        <v>0.75</v>
      </c>
      <c r="AP40" s="8">
        <f>MAX(0.01,MROUND(IF(CA40="True",0.196*(AN40*100*1000)^0.889,IF(_xlfn.XLOOKUP(_xlfn.XLOOKUP(B40,'Base stats'!B:B,'Base stats'!E:E),Groups!A:A,Groups!AJ:AJ)="Bird",10.5*(AN40*100*1000)^0.681,4.82*(AN40*100*1000)^0.734))/(4.82*(1*100*1000)^0.734)/IF(AN40&lt;3.5,2,IF(AN40=3.5,1.5,1.25))*(1+0.132282374779864/(AN40^0.994035016789033+0.00905238001496948)),0.05))</f>
        <v>0.5</v>
      </c>
      <c r="AQ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R40" s="35">
        <f>IFERROR(IF(_xlfn.XLOOKUP(B40,'Base stats'!B:B,'Base stats'!F:F)="Lay eggs","Lay eggs",MIN(20,MAX(5.5,ROUND(((_xlfn.XLOOKUP(B40,'Base stats'!B:B,'Base stats'!F:F)-25)*(14.5/615) + 5.5)*2,0)/2))),"Cannot breed")</f>
        <v>8</v>
      </c>
      <c r="AS40" s="8">
        <f>IF(OR(A40="Queen",A40="Larva",A40="Megachicken"),"No",IFERROR(MAX(IF(_xlfn.XLOOKUP(B40,'Base stats'!B:B,'Base stats'!G:G)&lt;0.5,0.2,0.3),MROUND(_xlfn.XLOOKUP(B40,'Base stats'!B:B,'Base stats'!G:G)/(365/60),0.2)),"Unknown"))</f>
        <v>0.3</v>
      </c>
      <c r="AT40" s="8">
        <f t="shared" si="1"/>
        <v>0.15000000000000002</v>
      </c>
      <c r="AU40" s="8">
        <f>IFERROR(IFERROR(MROUND(_xlfn.XLOOKUP(B40,'Base stats'!B:B,'Base stats'!J:J),0.1),"Lay eggs"),"Cannot breed")</f>
        <v>3</v>
      </c>
      <c r="AV40" s="2" t="str">
        <f t="shared" si="2"/>
        <v>true</v>
      </c>
      <c r="AW40" s="2" t="str">
        <f>IF(_xlfn.XLOOKUP(_xlfn.XLOOKUP(Animals!B40,'Base stats'!B:B,'Base stats'!E:E),Groups!A:A,Groups!AK:AK)=1,"true","false")</f>
        <v>false</v>
      </c>
      <c r="AX40" s="25" t="str">
        <f>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</f>
        <v>DendrovoreAnimal</v>
      </c>
      <c r="AY40" s="2" t="str">
        <f>IF(_xlfn.XLOOKUP(_xlfn.XLOOKUP(B40,'Base stats'!B:B,'Base stats'!E:E),Groups!A:A,Groups!D:D)=1,MROUND((1-I40)*5+1,2)*IF(I40&lt;=0.4,2,1),"No")</f>
        <v>No</v>
      </c>
      <c r="AZ40" s="2" t="str">
        <f>_xlfn.XLOOKUP(B40,'Base stats'!B:B,'Base stats'!AE:AE)</f>
        <v>Leather_Light</v>
      </c>
      <c r="BA40" s="23" t="str">
        <f>_xlfn.XLOOKUP(_xlfn.XLOOKUP(B40,'Base stats'!B:B,'Base stats'!E:E),Groups!A:A,Groups!AL:AL)</f>
        <v>QuadrupedAnimalWithPawsAndTail</v>
      </c>
      <c r="BB40" s="23">
        <f>MROUND(IF(AND(AN40&lt;0.5,_xlfn.XLOOKUP(B40,'Base stats'!B:B,'Base stats'!Z:Z)=0),0,IF(OR(_xlfn.XLOOKUP(Animals!B40,'Base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stats'!AA:AA),0.005)</f>
        <v>0</v>
      </c>
      <c r="BC40" s="23">
        <f>MROUND(IF(AND(AN40&lt;0.5,_xlfn.XLOOKUP(B40,'Base stats'!B:B,'Base stats'!Z:Z)=0),0,IF(_xlfn.XLOOKUP(_xlfn.XLOOKUP(B40,'Base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stats'!AB:AB),0.005)</f>
        <v>0</v>
      </c>
      <c r="BD40" s="2" t="str">
        <f>IF(I40&gt;0.3,"No",_xlfn.XLOOKUP(_xlfn.XLOOKUP(Animals!B40,'Base stats'!B:B,'Base stats'!E:E),Groups!A:A,Groups!AP:AP))</f>
        <v>No</v>
      </c>
      <c r="BE40" s="2">
        <f>IF(AND(I40&lt;=0.65,_xlfn.XLOOKUP(_xlfn.XLOOKUP(Animals!B40,'Base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stats'!O:O)=2,0.2,AN40) + 24*(1-IF(BD40="No",0,BD40)) + 16/3, 12),"No")</f>
        <v>48</v>
      </c>
      <c r="BF40" s="2">
        <f>IF(AND(_xlfn.XLOOKUP(_xlfn.XLOOKUP(B40,'Base stats'!B:B,'Base stats'!E:E),Groups!A:A,Groups!AQ:AQ)=1,AN40&lt;=0.35),8,12)</f>
        <v>12</v>
      </c>
      <c r="BG40" s="2" t="str">
        <f>IF(_xlfn.XLOOKUP(_xlfn.XLOOKUP(B40,'Base stats'!B:B,'Base stats'!E:E),Groups!A:A,Groups!D:D)=0,_xlfn.XLOOKUP(_xlfn.XLOOKUP(B40,'Base stats'!B:B,'Base stats'!E:E),Groups!A:A,Groups!AR:AR),"None")</f>
        <v>None</v>
      </c>
      <c r="BH40" s="2" t="str">
        <f>IF(AND(_xlfn.XLOOKUP(_xlfn.XLOOKUP(B40,'Base stats'!B:B,'Base stats'!E:E),Groups!A:A,Groups!AS:AS)=1,OR('Base stats'!Y40="Carnivore",'Base stats'!Y40="Omnivore")),"true","false")</f>
        <v>false</v>
      </c>
      <c r="BI40" s="2" t="str">
        <f>IF(BH40="true",MROUND(IF(AND(AN40&gt;0.5,_xlfn.XLOOKUP(_xlfn.XLOOKUP(B40,'Base stats'!B:B,'Base stats'!E:E),Groups!A:A,Groups!AJ:AJ)="Mammal"),Animals!AN40*1.75*IF(AV40="true",1.5,1),Animals!AN40),IF(AN40&gt;2,0.5,IF(AN40&gt;0.5,0.25,0.1))),"No")</f>
        <v>No</v>
      </c>
      <c r="BJ40" s="2">
        <f t="shared" si="3"/>
        <v>0</v>
      </c>
      <c r="BK40" s="25">
        <f>IF('Base stats'!AK40="Standard","No",MROUND((_xlfn.XLOOKUP(B40,'Base stats'!B:B,'Base stats'!AK:AK)/3.6)/H40,0.1))</f>
        <v>1.4000000000000001</v>
      </c>
      <c r="BL40" s="25" t="str">
        <f t="shared" si="4"/>
        <v>true</v>
      </c>
      <c r="BM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N40" s="25" t="str" cm="1">
        <f t="array" ref="BN40">IF(
  _xlfn.TEXTJOIN(", ",TRUE,
    IF(AND(BH40="true",AN40&gt;0.5,BG40&lt;&gt;"None"),"AttackTarget",""),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IF(BE40&lt;=36,"Comfort",""),
    IF(_xlfn.XLOOKUP(B40,'Base stats'!B:B,'Base stats'!AC:AC)&lt;&gt;"No",_xlfn.XLOOKUP(B40,'Base stats'!B:B,'Base stats'!AC:AC),"")
  ) = "",
  "No",
  _xlfn.TEXTJOIN(", ",TRUE,
    IF(AND(BH40="true",AN40&gt;0.5,BG40&lt;&gt;"None"),"AttackTarget",""),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IF(BE40&lt;=36,"Comfort",""),
    IF(_xlfn.XLOOKUP(B40,'Base stats'!B:B,'Base stats'!AC:AC)&lt;&gt;"No",_xlfn.XLOOKUP(B40,'Base stats'!B:B,'Base stats'!AC:AC),"")
  )
)</f>
        <v>No</v>
      </c>
      <c r="BO40" s="25">
        <f>IF(
   AND(
      'Base stats'!AK40="Standard",_xlfn.XLOOKUP(_xlfn.XLOOKUP(B40,'Base stats'!B:B,'Base stats'!E:E),Groups!A:A,Groups!AU:AU)=0,
      OR(
      BM40="True"
      )
   ),
   10,
   IF(
       OR(BK40&lt;&gt;"No",_xlfn.XLOOKUP(_xlfn.XLOOKUP(B40,'Base stats'!B:B,'Base stats'!E:E),Groups!A:A,Groups!AU:AU)=1),
      1,
      "No"
   )
)</f>
        <v>1</v>
      </c>
      <c r="BP40" s="9">
        <f>MROUND((1 + ((0.2*IF(OR(P40="No",Q40="No",Q40=0),0,P40/Q40)
+IF(OR(U40="No",R40="No",S40="No"),0,R40/S40*(LEN(U40)-LEN(SUBSTITUTE(U40,",",""))+1))
+IF(OR(W40="No",X40="No"),0,W40/X40)
+IF(OR(AC40="No",AD40="No"),0,AC40/AD40)
+IF(OR(AK40="No",AH40="No",AI40="No"),0,AH40/AI40*(LEN(AK40)-LEN(SUBSTITUTE(AK40,",",""))+1))
)/(0.2*IF(OR(P40="No",Q40="No",Q40=0),0,1)
+IF(OR(U40="No",R40="No",S40="No"),0,LEN(U40)-LEN(SUBSTITUTE(U40,",",""))+1)
+IF(OR(W40="No",X40="No"),0,1)
+IF(OR(AC40="No",AD40="No"),0,1)
+IF(OR(AK40="No",AH40="No",AI40="No"),0,LEN(AK40)-LEN(SUBSTITUTE(AK40,",",""))+1))*62%)* 2)*(1 + (AO40 + _xlfn.XLOOKUP(B40,'Base stats'!B:B,'Base stats'!AS:AS) * 1.8) * 2) * 2.5 + 10 + H40 * 2,5)+IF(_xlfn.XLOOKUP(B40,'Base stats'!B:B,'Base stats'!AH:AH)=1,50,0)</f>
        <v>60</v>
      </c>
      <c r="BQ40" s="8">
        <f t="shared" si="5"/>
        <v>0.55000000000000004</v>
      </c>
      <c r="BR40" s="8" t="str">
        <f>_xlfn.XLOOKUP(B40,'Base stats'!B:B,'Base stats'!AD:AD)</f>
        <v>3~10</v>
      </c>
      <c r="BS40" s="2" t="str">
        <f>IF(AND(I40&lt;=0.95,OR(_xlfn.XLOOKUP(B40,'Base stats'!B:B,'Base stats'!AH:AH)=1,_xlfn.XLOOKUP(B40,'Base stats'!B:B,'Base stats'!Y:Y)="Carnivore",_xlfn.XLOOKUP(B40,'Base stats'!B:B,'Base stats'!Y:Y)="Omnivore",BC40&gt;0.1)),"true","false")</f>
        <v>false</v>
      </c>
      <c r="BT40" s="2" t="str">
        <f>IF(_xlfn.XLOOKUP(B40,'Base stats'!B:B,'Base stats'!AF:AF)=1,"true","false")</f>
        <v>false</v>
      </c>
      <c r="BU40" s="25" t="str">
        <f>IF(E40="BaseInsect","AnimalInsect",
IF(I40&gt;0.95,"AnimalExotic",
_xlfn.TEXTJOIN(", ",TRUE,
IF(AND(_xlfn.XLOOKUP(B40,'Base stats'!B:B,'Base stats'!O:O)=0,_xlfn.XLOOKUP(_xlfn.XLOOKUP(B40,'Base stats'!B:B,'Base stats'!E:E),Groups!A:A,Groups!B:B)&gt;0),"AnimalUncommon","AnimalCommon"),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stats'!AH:AH)=1,AND(BG40&lt;&gt;"None",BP40&gt;=60),ISNUMBER(SEARCH("Attack target",BN40))),"AnimalFighter","")
)))</f>
        <v>AnimalCommon</v>
      </c>
      <c r="BV40" s="25" t="str">
        <f>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</f>
        <v/>
      </c>
      <c r="BW40" s="25" t="str">
        <f>IF(_xlfn.XLOOKUP(B40,'Base stats'!B:B,'Base stats'!AG:AG)=1,"true","false")</f>
        <v>false</v>
      </c>
      <c r="BX40" s="25">
        <f>IF(_xlfn.XLOOKUP(B40,'Base stats'!B:B,'Base stats'!N:N)=1,"No",MIN(MROUND(IF(OR(_xlfn.XLOOKUP(B40,'Base stats'!B:B,'Base stats'!AJ:AJ)=1,AND(BH40="True",CA40="False")),POWER(10,3.47*LOG10(_xlfn.XLOOKUP(B40,'Base stats'!B:B,'Base stats'!C:C)*1000)^-0.96),POWER(10,4.15*LOG10(_xlfn.XLOOKUP(B40,'Base stats'!B:B,'Base stats'!C:C)*1000)^-0.73))*IF(OR(_xlfn.XLOOKUP(B40,'Base stats'!B:B,'Base stats'!AJ:AJ)=1,_xlfn.XLOOKUP(B40,'Base stats'!B:B,'Base stats'!AH:AH)=1),0.5,1)/100,0.025),1))</f>
        <v>0.22500000000000001</v>
      </c>
      <c r="BY40" s="25" t="str">
        <f>IF(O40="Standard","No",IF(_xlfn.XLOOKUP(B40,'Base stats'!B:B,'Base stats'!N:N)=0,MROUND(BX40*O40,0.05),MIN(1,MAX(0.025,MROUND(IF(OR(CA40="true",AND(BH40="false",BM40="false")),POWER(10,4.15*LOG10(_xlfn.XLOOKUP(B40,'Base stats'!B:B,'Base stats'!C:C)*1000)^-0.73),POWER(10,3.47*LOG10(_xlfn.XLOOKUP(B40,'Base stats'!B:B,'Base stats'!C:C)*1000)^-0.96))*IF(_xlfn.XLOOKUP(B40,'Base stats'!B:B,'Base stats'!AH:AH)=1,0.5,1)/100,0.025)))))</f>
        <v>No</v>
      </c>
      <c r="BZ40" s="25" t="str">
        <f>IF(_xlfn.XLOOKUP(_xlfn.XLOOKUP(B40,'Base stats'!B:B,'Base stats'!E:E),Groups!A:A,Groups!AJ:AJ)="Mammal","True","False")</f>
        <v>True</v>
      </c>
      <c r="CA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B40" s="25" t="str">
        <f t="shared" si="6"/>
        <v>False</v>
      </c>
      <c r="CC40" s="25" t="str">
        <f>IF(_xlfn.XLOOKUP(_xlfn.XLOOKUP(B40,'Base stats'!B:B,'Base stats'!E:E),Groups!A:A,Groups!AW:AW),"True","False")</f>
        <v>False</v>
      </c>
      <c r="CD40" s="25" t="str">
        <f>IF(_xlfn.XLOOKUP(_xlfn.XLOOKUP(B40,'Base stats'!B:B,'Base stats'!E:E),Groups!A:A,Groups!AX:AX),"True","False")</f>
        <v>False</v>
      </c>
      <c r="CE40" s="25" t="str">
        <f>IF(_xlfn.XLOOKUP(B40,'Base stats'!B:B,'Base stats'!E:E)=1,"True","False")</f>
        <v>False</v>
      </c>
      <c r="CF40" s="25" t="str">
        <f>IF(
OR(
_xlfn.XLOOKUP(_xlfn.XLOOKUP(B40,'Base stats'!B:B,'Base stats'!E:E),Groups!A:A,Groups!AY:AY)=0,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stats'!E:E),Groups!A:A,Groups!AY:AY)=1,
"Flesh",
IF(
_xlfn.XLOOKUP(_xlfn.XLOOKUP(B40,'Base stats'!B:B,'Base stats'!E:E),Groups!A:A,Groups!AY:AY)=2,
"Bone",
""
)
)
)</f>
        <v>No</v>
      </c>
      <c r="CG40" s="25" t="str">
        <f>IF(_xlfn.XLOOKUP(_xlfn.XLOOKUP(B40,'Base stats'!B:B,'Base stats'!E:E),Groups!A:A,Groups!BA:BA),"True","False")</f>
        <v>True</v>
      </c>
      <c r="CH40" s="25" t="str">
        <f>IF(_xlfn.XLOOKUP(_xlfn.XLOOKUP(B40,'Base stats'!B:B,'Base stats'!E:E),Groups!A:A,Groups!AZ:AZ),"True","False")</f>
        <v>False</v>
      </c>
    </row>
    <row r="41" spans="1:86" ht="16.5" thickTop="1" thickBot="1" x14ac:dyDescent="0.3">
      <c r="A41" s="26" t="str">
        <f>_xlfn.XLOOKUP(B41,'Base stats'!B:B,'Base stats'!A:A)</f>
        <v>Boomrat</v>
      </c>
      <c r="B41" s="6" t="s">
        <v>127</v>
      </c>
      <c r="C41" s="28" t="s">
        <v>728</v>
      </c>
      <c r="D41" s="28" t="s">
        <v>45</v>
      </c>
      <c r="E41" s="28" t="s">
        <v>685</v>
      </c>
      <c r="F41" s="28" t="s">
        <v>685</v>
      </c>
      <c r="G41" s="2">
        <f>MROUND((
  (IF(AND(_xlfn.XLOOKUP(B41,'Base stats'!B:B,'Base stats'!AI:AI)=0,BG41="None",_xlfn.XLOOKUP('Base stats'!E41,Groups!A:A,Groups!B:B)=0), (18 + BP41 * 2.7) * 0.5,
    IF(AND(_xlfn.XLOOKUP(B41,'Base stats'!B:B,'Base stats'!AI:AI)=0,OR(AN41&lt;0.55,AND(BG41="Intermediate",_xlfn.XLOOKUP('Base stats'!E41,Groups!A:A,Groups!B:B)&lt;2))), (18 + BP41 * 2.7),
      IF(OR(BG41="Advanced",_xlfn.XLOOKUP(B41,'Base stats'!B:B,'Base stats'!AI:AI)=1,_xlfn.XLOOKUP('Base stats'!E41,Groups!A:A,Groups!B:B)=2), (18 + BP41 * 2.7) + 250, (18 + BP41 * 2.7))
    )
  ))
  + AN41 * 80
  + IF(COUNTIF(EggMilk!K$2:K$998, A41) &gt; 0, 125, 0)
  + IF(COUNTIF(EggMilk!P$2:P$998, A41) &gt; 0, 90, 0)
  + IF(COUNTIF(EggMilk!A$2:A$998, A41) &gt; 0, 90, 0)
)
* (0.8 + 0.4 * I41)
* 0.75,25)</f>
        <v>125</v>
      </c>
      <c r="H41" s="2">
        <f>MROUND(ROUNDDOWN(_xlfn.XLOOKUP(B41,'Base stats'!B:B,'Base stats'!L:L)/3.6/(23.3/11),1),0.5)</f>
        <v>3.5</v>
      </c>
      <c r="I41" s="2">
        <f>IF(_xlfn.XLOOKUP(B41,'Base stats'!B:B,'Base stats'!AI:AI)=1,0.99,MIN(MROUND((1-0.6282*EXP(-0.459*AN41))*_xlfn.XLOOKUP(_xlfn.XLOOKUP(B41,'Base stats'!B:B,'Base stats'!E:E),Groups!A:A,Groups!C:C)*IF(_xlfn.XLOOKUP(B41,'Base stats'!B:B,'Base stats'!O:O)=1,0.5,IF(_xlfn.XLOOKUP(B41,'Base stats'!B:B,'Base stats'!O:O)=2,0,1)),0.05),0.985))</f>
        <v>0.60000000000000009</v>
      </c>
      <c r="J41" s="2">
        <f>ROUNDUP(AN41*_xlfn.XLOOKUP(_xlfn.XLOOKUP(B41,'Base stats'!B:B,'Base stats'!E:E),Groups!A:A,Groups!E:E),0)</f>
        <v>1</v>
      </c>
      <c r="K41" s="2">
        <f>IF(OR(_xlfn.XLOOKUP(_xlfn.XLOOKUP(B41,'Base stats'!B:B,'Base stats'!E:E),Groups!A:A,Groups!F:F)=2,ISNUMBER(SEARCH("SeaIce",BV41)),ISNUMBER(SEARCH("IceSheet",BV41))),-50,IF(OR(ISNUMBER(SEARCH("GlacialPlain",BV41)),ISNUMBER(SEARCH("Tundra",BV41))),-40,IF(OR(ISNUMBER(SEARCH("Alpine",BV41)),ISNUMBER(SEARCH("BorealForest",BV41)),ISNUMBER(SEARCH("ColdBog",BV41))),-30,IF(OR(ISNUMBER(SEARCH("TemperateForest",BV41)),ISNUMBER(SEARCH("TemperateSwamp",BV41))),-20,IF(_xlfn.XLOOKUP(_xlfn.XLOOKUP(B41,'Base stats'!B:B,'Base stats'!E:E),Groups!A:A,Groups!F:F)=1,-15,IF(OR(ISNUMBER(SEARCH("Desert",BV41)),ISNUMBER(SEARCH("ExtremeDesert",BV41))),-10,IF(OR(ISNUMBER(SEARCH("Grasslands",BV41)),ISNUMBER(SEARCH("TropicalRainforest",BV41)),ISNUMBER(SEARCH("TropicalSwamp",BV41))),10,0)))))))-IF(CA41="False",MIN(IFERROR(MAX(MROUND(LOG10(_xlfn.XLOOKUP(B41,'Base stats'!B:B,'Base stats'!C:C)^(2/3))*10,5),5),5),30))-_xlfn.XLOOKUP(B41,'Base stats'!B:B,'Base stats'!P:P)+IF(CA41="True",5,0)</f>
        <v>-25</v>
      </c>
      <c r="L41" s="2">
        <f>IF(OR(_xlfn.XLOOKUP(_xlfn.XLOOKUP(B41,'Base stats'!B:B,'Base stats'!E:E),Groups!A:A,Groups!G:G)=2,ISNUMBER(SEARCH("Desert",BV41)),ISNUMBER(SEARCH("ExtremeDesert",BV41)),ISNUMBER(SEARCH("LavaField",BV41))),50,IF(ISNUMBER(SEARCH("Grasslands",BV41)),45,IF(OR(_xlfn.XLOOKUP(_xlfn.XLOOKUP(B41,'Base stats'!B:B,'Base stats'!E:E),Groups!A:A,Groups!G:G)=1,ISNUMBER(SEARCH("TropicalRainforest",BV41)),ISNUMBER(SEARCH("TropicalSwamp",BV41))),40,IF(OR(ISNUMBER(SEARCH("TemperateForest",BV41)),ISNUMBER(SEARCH("TemperateSwamp",BV41))),35,IF(OR(ISNUMBER(SEARCH("Alpine",BV41)),ISNUMBER(SEARCH("BorealForest",BV41)),ISNUMBER(SEARCH("ColdBog",BV41))),30,IF(ISNUMBER(OR(ISNUMBER(SEARCH("GlacialPlain",BV41)),SEARCH("Tundra",BV41))),25,IF(OR(ISNUMBER(SEARCH("SeaIce",BV41)),ISNUMBER(SEARCH("IceSheet",BV41)),ISNUMBER(SEARCH("TropicalSwamp",BV41))),10,35)))))))+_xlfn.XLOOKUP(B41,'Base stats'!B:B,'Base stats'!Q:Q)</f>
        <v>50</v>
      </c>
      <c r="M41" s="8" t="str">
        <f>IF(_xlfn.XLOOKUP(_xlfn.XLOOKUP(B41,'Base stats'!B:B,'Base stats'!E:E),Groups!A:A,Groups!L:L)=1,MIN(MROUND(_xlfn.XLOOKUP(B41,'Animals CE'!B:B,'Animals CE'!Z:Z)/2+0.05,0.05),200%),"No")</f>
        <v>No</v>
      </c>
      <c r="N41" s="8" t="str">
        <f>IF(_xlfn.XLOOKUP(_xlfn.XLOOKUP(B41,'Base stats'!B:B,'Base stats'!E:E),Groups!A:A,Groups!L:L)=1,MIN(MROUND(_xlfn.XLOOKUP(B41,'Animals CE'!B:B,'Animals CE'!AA:AA)/2+0.05,0.05),200%),"No")</f>
        <v>No</v>
      </c>
      <c r="O41" s="2">
        <f>_xlfn.XLOOKUP(B41,'Base stats'!B:B,'Base stats'!R:R)</f>
        <v>0.9</v>
      </c>
      <c r="P41" s="13">
        <f>MROUND((LOG10(_xlfn.XLOOKUP(B41,'Base stats'!B:B,'Base stats'!AO:AO))*(AN41^0.5)+(_xlfn.XLOOKUP(B41,'Base stats'!B:B,'Base stats'!AO:AO)/1000)^(2/3)+_xlfn.XLOOKUP(B41,'Base stats'!B:B,'Base stats'!AX:AX)/2)+0.5,0.5)</f>
        <v>3.5</v>
      </c>
      <c r="Q41" s="7">
        <f>IF(P41="No","No",MAX(1,MROUND(_xlfn.XLOOKUP(B41,'Base stats'!B:B,'Base stats'!C:C)^0.165,0.05)))</f>
        <v>1.4500000000000002</v>
      </c>
      <c r="R41" s="13" t="str">
        <f>IF(_xlfn.XLOOKUP(_xlfn.XLOOKUP(B41,'Base stats'!B:B,'Base stats'!E:E),Groups!A:A,Groups!P:P)=0,"No",MROUND((LOG10(_xlfn.XLOOKUP(B41,'Base stats'!B:B,'Base stats'!AP:AP))*(AN41^0.5)+(_xlfn.XLOOKUP(B41,'Base stats'!B:B,'Base stats'!AP:AP)/1000)^(2/3)+_xlfn.XLOOKUP(B41,'Base stats'!B:B,'Base stats'!AX:AX))+_xlfn.XLOOKUP(B41,'Base stats'!B:B,'Base stats'!AV:AV)+0.5,0.5))</f>
        <v>No</v>
      </c>
      <c r="S41" s="7" t="str">
        <f>IF(R41="No","No",MAX(_xlfn.XLOOKUP(_xlfn.XLOOKUP(B41,'Base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T41" s="7" t="str">
        <f>IF(R41="No","No",_xlfn.XLOOKUP(_xlfn.XLOOKUP(B41,'Base stats'!B:B,'Base stats'!E:E),Groups!A:A,Groups!R:R))</f>
        <v>No</v>
      </c>
      <c r="U41" s="7" t="str">
        <f>IF(R41="No","No",_xlfn.XLOOKUP(_xlfn.XLOOKUP(B41,'Base stats'!B:B,'Base stats'!E:E),Groups!A:A,Groups!S:S))</f>
        <v>No</v>
      </c>
      <c r="V41" s="7" t="str">
        <f>IF(R41="No","No",_xlfn.XLOOKUP(_xlfn.XLOOKUP(B41,'Base stats'!B:B,'Base stats'!E:E),Groups!A:A,Groups!T:T))</f>
        <v>No</v>
      </c>
      <c r="W41" s="13" t="str">
        <f>IF(_xlfn.XLOOKUP(B41,'Base stats'!B:B,'Base stats'!W:W)="No","No",MROUND((LOG10(_xlfn.XLOOKUP(B41,'Base stats'!B:B,'Base stats'!AR:AR))*(AN41^0.5)+(_xlfn.XLOOKUP(B41,'Base stats'!B:B,'Base stats'!AR:AR)/1000)^(2/3)+_xlfn.XLOOKUP(B41,'Base stats'!B:B,'Base stats'!AW:AW))+0.5+IF(_xlfn.XLOOKUP(_xlfn.XLOOKUP(B41,'Base stats'!B:B,'Base stats'!E:E),Groups!A:A,Groups!U:U)&lt;&gt;3,_xlfn.XLOOKUP(B41,'Base stats'!B:B,'Base stats'!AX:AX),0),0.5))</f>
        <v>No</v>
      </c>
      <c r="X41" s="7" t="str">
        <f>IF(W41="No","No",MAX(_xlfn.XLOOKUP(_xlfn.XLOOKUP(B41,'Base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Y41" s="7" t="str">
        <f>IF(W41="No","No",_xlfn.XLOOKUP(_xlfn.XLOOKUP(B41,'Base stats'!B:B,'Base stats'!E:E),Groups!A:A,Groups!W:W))</f>
        <v>No</v>
      </c>
      <c r="Z41" s="7" t="str">
        <f>IF(W41="No","No",_xlfn.XLOOKUP(_xlfn.XLOOKUP(B41,'Base stats'!B:B,'Base stats'!E:E),Groups!A:A,Groups!X:X))</f>
        <v>No</v>
      </c>
      <c r="AA41" s="7" t="str">
        <f>IF(W41="No","No",_xlfn.XLOOKUP(_xlfn.XLOOKUP(B41,'Base stats'!B:B,'Base stats'!E:E),Groups!A:A,Groups!Y:Y))</f>
        <v>No</v>
      </c>
      <c r="AB41" s="7" t="str">
        <f>_xlfn.XLOOKUP(Animals!B41,'Base stats'!B:B,'Base stats'!X:X)</f>
        <v>False</v>
      </c>
      <c r="AC41" s="13">
        <f>IF(_xlfn.XLOOKUP(B41,'Base stats'!B:B,'Base stats'!AQ:AQ)="No","No",MROUND((LOG10(_xlfn.XLOOKUP(B41,'Base stats'!B:B,'Base stats'!AQ:AQ))*(AN41^0.75)+(_xlfn.XLOOKUP(B41,'Base stats'!B:B,'Base stats'!AQ:AQ)/1000)^(2/3)+_xlfn.XLOOKUP(B41,'Base stats'!B:B,'Base stats'!AU:AU)+_xlfn.XLOOKUP(B41,'Base stats'!B:B,'Base stats'!AX:AX))+0.5,0.5))</f>
        <v>7.5</v>
      </c>
      <c r="AD41" s="7">
        <f>IF(AC41="No","No",MAX(_xlfn.XLOOKUP(_xlfn.XLOOKUP(B41,'Base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E41" s="7" t="str">
        <f>IF(AC41="No","No",_xlfn.XLOOKUP(_xlfn.XLOOKUP(B41,'Base stats'!B:B,'Base stats'!E:E),Groups!A:A,Groups!AA:AA))</f>
        <v>Teeth</v>
      </c>
      <c r="AF41" s="7" t="str">
        <f>IF(AC41="No","No",_xlfn.XLOOKUP(_xlfn.XLOOKUP(B41,'Base stats'!B:B,'Base stats'!E:E),Groups!A:A,Groups!AB:AB))</f>
        <v>Incisors</v>
      </c>
      <c r="AG41" s="7" t="str">
        <f>IF(AC41="No","No",_xlfn.XLOOKUP(_xlfn.XLOOKUP(B41,'Base stats'!B:B,'Base stats'!E:E),Groups!A:A,Groups!AC:AC))</f>
        <v>Bite</v>
      </c>
      <c r="AH41" s="13" t="str">
        <f>IF(_xlfn.XLOOKUP(_xlfn.XLOOKUP(B41,'Base stats'!B:B,'Base stats'!E:E),Groups!A:A,Groups!AD:AD)=0,"No",MROUND((LOG10(_xlfn.XLOOKUP(B41,'Base stats'!B:B,'Base stats'!AP:AP))*(AN41^0.75)+(_xlfn.XLOOKUP(B41,'Base stats'!B:B,'Base stats'!AP:AP)/1000)^(2/3)+_xlfn.XLOOKUP(B41,'Base stats'!B:B,'Base stats'!AV:AV)+_xlfn.XLOOKUP(B41,'Base stats'!B:B,'Base stats'!AX:AX))+0.5,0.5))</f>
        <v>No</v>
      </c>
      <c r="AI41" s="7" t="str">
        <f>IF(AH41="No","No",MAX(_xlfn.XLOOKUP(_xlfn.XLOOKUP(B41,'Base stats'!B:B,'Base stats'!E:E),Groups!A:A,Groups!AE:AE),MROUND(_xlfn.XLOOKUP(_xlfn.XLOOKUP(B41,'Base stats'!B:B,'Base stats'!E:E),Groups!A:A,Groups!AE:AE)*_xlfn.XLOOKUP(B41,'Base stats'!B:B,'Base stats'!C:C)^0.165,0.05)))</f>
        <v>No</v>
      </c>
      <c r="AJ41" s="7" t="str">
        <f>IF(AH41="No","No",_xlfn.XLOOKUP(_xlfn.XLOOKUP(B41,'Base stats'!B:B,'Base stats'!E:E),Groups!A:A,Groups!AF:AF))</f>
        <v>No</v>
      </c>
      <c r="AK41" s="7" t="str">
        <f>IF(AH41="No","No",_xlfn.XLOOKUP(_xlfn.XLOOKUP(B41,'Base stats'!B:B,'Base stats'!E:E),Groups!A:A,Groups!AG:AG))</f>
        <v>No</v>
      </c>
      <c r="AL41" s="7" t="str">
        <f>IF(AH41="No","No",_xlfn.XLOOKUP(_xlfn.XLOOKUP(B41,'Base stats'!B:B,'Base stats'!E:E),Groups!A:A,Groups!AH:AH))</f>
        <v>No</v>
      </c>
      <c r="AM41" s="2" t="str">
        <f t="shared" si="0"/>
        <v>No</v>
      </c>
      <c r="AN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O41" s="8">
        <f>MROUND(AN41*_xlfn.XLOOKUP(_xlfn.XLOOKUP(B41,'Base stats'!B:B,'Base stats'!E:E),Groups!A:A,Groups!AI:AI),0.05)</f>
        <v>0.4</v>
      </c>
      <c r="AP41" s="8">
        <f>MAX(0.01,MROUND(IF(CA41="True",0.196*(AN41*100*1000)^0.889,IF(_xlfn.XLOOKUP(_xlfn.XLOOKUP(B41,'Base stats'!B:B,'Base stats'!E:E),Groups!A:A,Groups!AJ:AJ)="Bird",10.5*(AN41*100*1000)^0.681,4.82*(AN41*100*1000)^0.734))/(4.82*(1*100*1000)^0.734)/IF(AN41&lt;3.5,2,IF(AN41=3.5,1.5,1.25))*(1+0.132282374779864/(AN41^0.994035016789033+0.00905238001496948)),0.05))</f>
        <v>0.35000000000000003</v>
      </c>
      <c r="AQ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R41" s="35">
        <f>IFERROR(IF(_xlfn.XLOOKUP(B41,'Base stats'!B:B,'Base stats'!F:F)="Lay eggs","Lay eggs",MIN(20,MAX(5.5,ROUND(((_xlfn.XLOOKUP(B41,'Base stats'!B:B,'Base stats'!F:F)-25)*(14.5/615) + 5.5)*2,0)/2))),"Cannot breed")</f>
        <v>7</v>
      </c>
      <c r="AS41" s="8">
        <f>IF(OR(A41="Queen",A41="Larva",A41="Megachicken"),"No",IFERROR(MAX(IF(_xlfn.XLOOKUP(B41,'Base stats'!B:B,'Base stats'!G:G)&lt;0.5,0.2,0.3),MROUND(_xlfn.XLOOKUP(B41,'Base stats'!B:B,'Base stats'!G:G)/(365/60),0.2)),"Unknown"))</f>
        <v>0.3</v>
      </c>
      <c r="AT41" s="8">
        <f t="shared" si="1"/>
        <v>0.15000000000000002</v>
      </c>
      <c r="AU41" s="8">
        <f>IFERROR(IFERROR(MROUND(_xlfn.XLOOKUP(B41,'Base stats'!B:B,'Base stats'!J:J),0.1),"Lay eggs"),"Cannot breed")</f>
        <v>5</v>
      </c>
      <c r="AV41" s="2" t="str">
        <f t="shared" si="2"/>
        <v>false</v>
      </c>
      <c r="AW41" s="2" t="str">
        <f>IF(_xlfn.XLOOKUP(_xlfn.XLOOKUP(Animals!B41,'Base stats'!B:B,'Base stats'!E:E),Groups!A:A,Groups!AK:AK)=1,"true","false")</f>
        <v>false</v>
      </c>
      <c r="AX41" s="25" t="str">
        <f>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</f>
        <v>OmnivoreRoughAnimal, OvivoreAnimal</v>
      </c>
      <c r="AY41" s="2" t="str">
        <f>IF(_xlfn.XLOOKUP(_xlfn.XLOOKUP(B41,'Base stats'!B:B,'Base stats'!E:E),Groups!A:A,Groups!D:D)=1,MROUND((1-I41)*5+1,2)*IF(I41&lt;=0.4,2,1),"No")</f>
        <v>No</v>
      </c>
      <c r="AZ41" s="2" t="str">
        <f>_xlfn.XLOOKUP(B41,'Base stats'!B:B,'Base stats'!AE:AE)</f>
        <v>Leather_Light</v>
      </c>
      <c r="BA41" s="23" t="str">
        <f>_xlfn.XLOOKUP(_xlfn.XLOOKUP(B41,'Base stats'!B:B,'Base stats'!E:E),Groups!A:A,Groups!AL:AL)</f>
        <v>QuadrupedAnimalWithPawsAndTail</v>
      </c>
      <c r="BB41" s="23">
        <f>MROUND(IF(AND(AN41&lt;0.5,_xlfn.XLOOKUP(B41,'Base stats'!B:B,'Base stats'!Z:Z)=0),0,IF(OR(_xlfn.XLOOKUP(Animals!B41,'Base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stats'!AA:AA),0.005)</f>
        <v>0.1</v>
      </c>
      <c r="BC41" s="23">
        <f>MROUND(IF(AND(AN41&lt;0.5,_xlfn.XLOOKUP(B41,'Base stats'!B:B,'Base stats'!Z:Z)=0),0,IF(_xlfn.XLOOKUP(_xlfn.XLOOKUP(B41,'Base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stats'!AB:AB),0.005)</f>
        <v>0.3</v>
      </c>
      <c r="BD41" s="2" t="str">
        <f>IF(I41&gt;0.3,"No",_xlfn.XLOOKUP(_xlfn.XLOOKUP(Animals!B41,'Base stats'!B:B,'Base stats'!E:E),Groups!A:A,Groups!AP:AP))</f>
        <v>No</v>
      </c>
      <c r="BE41" s="2">
        <f>IF(AND(I41&lt;=0.65,_xlfn.XLOOKUP(_xlfn.XLOOKUP(Animals!B41,'Base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stats'!O:O)=2,0.2,AN41) + 24*(1-IF(BD41="No",0,BD41)) + 16/3, 12),"No")</f>
        <v>36</v>
      </c>
      <c r="BF41" s="2">
        <f>IF(AND(_xlfn.XLOOKUP(_xlfn.XLOOKUP(B41,'Base stats'!B:B,'Base stats'!E:E),Groups!A:A,Groups!AQ:AQ)=1,AN41&lt;=0.35),8,12)</f>
        <v>12</v>
      </c>
      <c r="BG41" s="2" t="str">
        <f>IF(_xlfn.XLOOKUP(_xlfn.XLOOKUP(B41,'Base stats'!B:B,'Base stats'!E:E),Groups!A:A,Groups!D:D)=0,_xlfn.XLOOKUP(_xlfn.XLOOKUP(B41,'Base stats'!B:B,'Base stats'!E:E),Groups!A:A,Groups!AR:AR),"None")</f>
        <v>None</v>
      </c>
      <c r="BH41" s="2" t="str">
        <f>IF(AND(_xlfn.XLOOKUP(_xlfn.XLOOKUP(B41,'Base stats'!B:B,'Base stats'!E:E),Groups!A:A,Groups!AS:AS)=1,OR('Base stats'!Y41="Carnivore",'Base stats'!Y41="Omnivore")),"true","false")</f>
        <v>false</v>
      </c>
      <c r="BI41" s="2" t="str">
        <f>IF(BH41="true",MROUND(IF(AND(AN41&gt;0.5,_xlfn.XLOOKUP(_xlfn.XLOOKUP(B41,'Base stats'!B:B,'Base stats'!E:E),Groups!A:A,Groups!AJ:AJ)="Mammal"),Animals!AN41*1.75*IF(AV41="true",1.5,1),Animals!AN41),IF(AN41&gt;2,0.5,IF(AN41&gt;0.5,0.25,0.1))),"No")</f>
        <v>No</v>
      </c>
      <c r="BJ41" s="2">
        <f t="shared" si="3"/>
        <v>0</v>
      </c>
      <c r="BK41" s="25" t="str">
        <f>IF('Base stats'!AK41="Standard","No",MROUND((_xlfn.XLOOKUP(B41,'Base stats'!B:B,'Base stats'!AK:AK)/3.6)/H41,0.1))</f>
        <v>No</v>
      </c>
      <c r="BL41" s="25" t="str">
        <f t="shared" si="4"/>
        <v>false</v>
      </c>
      <c r="BM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N41" s="25" t="str" cm="1">
        <f t="array" ref="BN41">IF(
  _xlfn.TEXTJOIN(", ",TRUE,
    IF(AND(BH41="true",AN41&gt;0.5,BG41&lt;&gt;"None"),"AttackTarget",""),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IF(BE41&lt;=36,"Comfort",""),
    IF(_xlfn.XLOOKUP(B41,'Base stats'!B:B,'Base stats'!AC:AC)&lt;&gt;"No",_xlfn.XLOOKUP(B41,'Base stats'!B:B,'Base stats'!AC:AC),"")
  ) = "",
  "No",
  _xlfn.TEXTJOIN(", ",TRUE,
    IF(AND(BH41="true",AN41&gt;0.5,BG41&lt;&gt;"None"),"AttackTarget",""),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IF(BE41&lt;=36,"Comfort",""),
    IF(_xlfn.XLOOKUP(B41,'Base stats'!B:B,'Base stats'!AC:AC)&lt;&gt;"No",_xlfn.XLOOKUP(B41,'Base stats'!B:B,'Base stats'!AC:AC),"")
  )
)</f>
        <v>Forage, Comfort</v>
      </c>
      <c r="BO41" s="25" t="str">
        <f>IF(
   AND(
      'Base stats'!AK41="Standard",_xlfn.XLOOKUP(_xlfn.XLOOKUP(B41,'Base stats'!B:B,'Base stats'!E:E),Groups!A:A,Groups!AU:AU)=0,
      OR(
      BM41="True"
      )
   ),
   10,
   IF(
       OR(BK41&lt;&gt;"No",_xlfn.XLOOKUP(_xlfn.XLOOKUP(B41,'Base stats'!B:B,'Base stats'!E:E),Groups!A:A,Groups!AU:AU)=1),
      1,
      "No"
   )
)</f>
        <v>No</v>
      </c>
      <c r="BP41" s="9">
        <f>MROUND((1 + ((0.2*IF(OR(P41="No",Q41="No",Q41=0),0,P41/Q41)
+IF(OR(U41="No",R41="No",S41="No"),0,R41/S41*(LEN(U41)-LEN(SUBSTITUTE(U41,",",""))+1))
+IF(OR(W41="No",X41="No"),0,W41/X41)
+IF(OR(AC41="No",AD41="No"),0,AC41/AD41)
+IF(OR(AK41="No",AH41="No",AI41="No"),0,AH41/AI41*(LEN(AK41)-LEN(SUBSTITUTE(AK41,",",""))+1))
)/(0.2*IF(OR(P41="No",Q41="No",Q41=0),0,1)
+IF(OR(U41="No",R41="No",S41="No"),0,LEN(U41)-LEN(SUBSTITUTE(U41,",",""))+1)
+IF(OR(W41="No",X41="No"),0,1)
+IF(OR(AC41="No",AD41="No"),0,1)
+IF(OR(AK41="No",AH41="No",AI41="No"),0,LEN(AK41)-LEN(SUBSTITUTE(AK41,",",""))+1))*62%)* 2)*(1 + (AO41 + _xlfn.XLOOKUP(B41,'Base stats'!B:B,'Base stats'!AS:AS) * 1.8) * 2) * 2.5 + 10 + H41 * 2,5)+IF(_xlfn.XLOOKUP(B41,'Base stats'!B:B,'Base stats'!AH:AH)=1,50,0)</f>
        <v>100</v>
      </c>
      <c r="BQ41" s="8">
        <f t="shared" si="5"/>
        <v>0.35000000000000003</v>
      </c>
      <c r="BR41" s="8" t="str">
        <f>_xlfn.XLOOKUP(B41,'Base stats'!B:B,'Base stats'!AD:AD)</f>
        <v>No</v>
      </c>
      <c r="BS41" s="2" t="str">
        <f>IF(AND(I41&lt;=0.95,OR(_xlfn.XLOOKUP(B41,'Base stats'!B:B,'Base stats'!AH:AH)=1,_xlfn.XLOOKUP(B41,'Base stats'!B:B,'Base stats'!Y:Y)="Carnivore",_xlfn.XLOOKUP(B41,'Base stats'!B:B,'Base stats'!Y:Y)="Omnivore",BC41&gt;0.1)),"true","false")</f>
        <v>true</v>
      </c>
      <c r="BT41" s="2" t="str">
        <f>IF(_xlfn.XLOOKUP(B41,'Base stats'!B:B,'Base stats'!AF:AF)=1,"true","false")</f>
        <v>false</v>
      </c>
      <c r="BU41" s="25" t="str">
        <f>IF(E41="BaseInsect","AnimalInsect",
IF(I41&gt;0.95,"AnimalExotic",
_xlfn.TEXTJOIN(", ",TRUE,
IF(AND(_xlfn.XLOOKUP(B41,'Base stats'!B:B,'Base stats'!O:O)=0,_xlfn.XLOOKUP(_xlfn.XLOOKUP(B41,'Base stats'!B:B,'Base stats'!E:E),Groups!A:A,Groups!B:B)&gt;0),"AnimalUncommon","AnimalCommon"),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stats'!AH:AH)=1,AND(BG41&lt;&gt;"None",BP41&gt;=60),ISNUMBER(SEARCH("Attack target",BN41))),"AnimalFighter","")
)))</f>
        <v>AnimalCommon, AnimalFighter</v>
      </c>
      <c r="BV41" s="25" t="str">
        <f>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</f>
        <v>TemperateForest TemperateSwamp AridShrubland Desert ExtremeDesert TropicalRainforest TropicalSwamp Grasslands Glowforest LavaField Scarlands</v>
      </c>
      <c r="BW41" s="25" t="str">
        <f>IF(_xlfn.XLOOKUP(B41,'Base stats'!B:B,'Base stats'!AG:AG)=1,"true","false")</f>
        <v>false</v>
      </c>
      <c r="BX41" s="25">
        <f>IF(_xlfn.XLOOKUP(B41,'Base stats'!B:B,'Base stats'!N:N)=1,"No",MIN(MROUND(IF(OR(_xlfn.XLOOKUP(B41,'Base stats'!B:B,'Base stats'!AJ:AJ)=1,AND(BH41="True",CA41="False")),POWER(10,3.47*LOG10(_xlfn.XLOOKUP(B41,'Base stats'!B:B,'Base stats'!C:C)*1000)^-0.96),POWER(10,4.15*LOG10(_xlfn.XLOOKUP(B41,'Base stats'!B:B,'Base stats'!C:C)*1000)^-0.73))*IF(OR(_xlfn.XLOOKUP(B41,'Base stats'!B:B,'Base stats'!AJ:AJ)=1,_xlfn.XLOOKUP(B41,'Base stats'!B:B,'Base stats'!AH:AH)=1),0.5,1)/100,0.025),1))</f>
        <v>0.15000000000000002</v>
      </c>
      <c r="BY41" s="25">
        <f>IF(O41="Standard","No",IF(_xlfn.XLOOKUP(B41,'Base stats'!B:B,'Base stats'!N:N)=0,MROUND(BX41*O41,0.05),MIN(1,MAX(0.025,MROUND(IF(OR(CA41="true",AND(BH41="false",BM41="false")),POWER(10,4.15*LOG10(_xlfn.XLOOKUP(B41,'Base stats'!B:B,'Base stats'!C:C)*1000)^-0.73),POWER(10,3.47*LOG10(_xlfn.XLOOKUP(B41,'Base stats'!B:B,'Base stats'!C:C)*1000)^-0.96))*IF(_xlfn.XLOOKUP(B41,'Base stats'!B:B,'Base stats'!AH:AH)=1,0.5,1)/100,0.025)))))</f>
        <v>0.15000000000000002</v>
      </c>
      <c r="BZ41" s="25" t="str">
        <f>IF(_xlfn.XLOOKUP(_xlfn.XLOOKUP(B41,'Base stats'!B:B,'Base stats'!E:E),Groups!A:A,Groups!AJ:AJ)="Mammal","True","False")</f>
        <v>True</v>
      </c>
      <c r="CA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B41" s="25" t="str">
        <f t="shared" si="6"/>
        <v>False</v>
      </c>
      <c r="CC41" s="25" t="str">
        <f>IF(_xlfn.XLOOKUP(_xlfn.XLOOKUP(B41,'Base stats'!B:B,'Base stats'!E:E),Groups!A:A,Groups!AW:AW),"True","False")</f>
        <v>False</v>
      </c>
      <c r="CD41" s="25" t="str">
        <f>IF(_xlfn.XLOOKUP(_xlfn.XLOOKUP(B41,'Base stats'!B:B,'Base stats'!E:E),Groups!A:A,Groups!AX:AX),"True","False")</f>
        <v>False</v>
      </c>
      <c r="CE41" s="25" t="str">
        <f>IF(_xlfn.XLOOKUP(B41,'Base stats'!B:B,'Base stats'!E:E)=1,"True","False")</f>
        <v>False</v>
      </c>
      <c r="CF41" s="25" t="str">
        <f>IF(
OR(
_xlfn.XLOOKUP(_xlfn.XLOOKUP(B41,'Base stats'!B:B,'Base stats'!E:E),Groups!A:A,Groups!AY:AY)=0,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stats'!E:E),Groups!A:A,Groups!AY:AY)=1,
"Flesh",
IF(
_xlfn.XLOOKUP(_xlfn.XLOOKUP(B41,'Base stats'!B:B,'Base stats'!E:E),Groups!A:A,Groups!AY:AY)=2,
"Bone",
""
)
)
)</f>
        <v>Bone</v>
      </c>
      <c r="CG41" s="25" t="str">
        <f>IF(_xlfn.XLOOKUP(_xlfn.XLOOKUP(B41,'Base stats'!B:B,'Base stats'!E:E),Groups!A:A,Groups!BA:BA),"True","False")</f>
        <v>True</v>
      </c>
      <c r="CH41" s="25" t="str">
        <f>IF(_xlfn.XLOOKUP(_xlfn.XLOOKUP(B41,'Base stats'!B:B,'Base stats'!E:E),Groups!A:A,Groups!AZ:AZ),"True","False")</f>
        <v>False</v>
      </c>
    </row>
    <row r="42" spans="1:86" ht="16.5" thickTop="1" thickBot="1" x14ac:dyDescent="0.3">
      <c r="A42" s="26" t="str">
        <f>_xlfn.XLOOKUP(B42,'Base stats'!B:B,'Base stats'!A:A)</f>
        <v>Bison</v>
      </c>
      <c r="B42" s="6" t="s">
        <v>143</v>
      </c>
      <c r="C42" s="28" t="s">
        <v>729</v>
      </c>
      <c r="D42" s="28" t="s">
        <v>45</v>
      </c>
      <c r="E42" s="28" t="s">
        <v>685</v>
      </c>
      <c r="F42" s="28" t="s">
        <v>685</v>
      </c>
      <c r="G42" s="2">
        <f>MROUND((
  (IF(AND(_xlfn.XLOOKUP(B42,'Base stats'!B:B,'Base stats'!AI:AI)=0,BG42="None",_xlfn.XLOOKUP('Base stats'!E42,Groups!A:A,Groups!B:B)=0), (18 + BP42 * 2.7) * 0.5,
    IF(AND(_xlfn.XLOOKUP(B42,'Base stats'!B:B,'Base stats'!AI:AI)=0,OR(AN42&lt;0.55,AND(BG42="Intermediate",_xlfn.XLOOKUP('Base stats'!E42,Groups!A:A,Groups!B:B)&lt;2))), (18 + BP42 * 2.7),
      IF(OR(BG42="Advanced",_xlfn.XLOOKUP(B42,'Base stats'!B:B,'Base stats'!AI:AI)=1,_xlfn.XLOOKUP('Base stats'!E42,Groups!A:A,Groups!B:B)=2), (18 + BP42 * 2.7) + 250, (18 + BP42 * 2.7))
    )
  ))
  + AN42 * 80
  + IF(COUNTIF(EggMilk!K$2:K$998, A42) &gt; 0, 125, 0)
  + IF(COUNTIF(EggMilk!P$2:P$998, A42) &gt; 0, 90, 0)
  + IF(COUNTIF(EggMilk!A$2:A$998, A42) &gt; 0, 90, 0)
)
* (0.8 + 0.4 * I42)
* 0.75,25)</f>
        <v>500</v>
      </c>
      <c r="H42" s="2">
        <f>MROUND(ROUNDDOWN(_xlfn.XLOOKUP(B42,'Base stats'!B:B,'Base stats'!L:L)/3.6/(23.3/11),1),0.5)</f>
        <v>7.5</v>
      </c>
      <c r="I42" s="2">
        <f>IF(_xlfn.XLOOKUP(B42,'Base stats'!B:B,'Base stats'!AI:AI)=1,0.99,MIN(MROUND((1-0.6282*EXP(-0.459*AN42))*_xlfn.XLOOKUP(_xlfn.XLOOKUP(B42,'Base stats'!B:B,'Base stats'!E:E),Groups!A:A,Groups!C:C)*IF(_xlfn.XLOOKUP(B42,'Base stats'!B:B,'Base stats'!O:O)=1,0.5,IF(_xlfn.XLOOKUP(B42,'Base stats'!B:B,'Base stats'!O:O)=2,0,1)),0.05),0.985))</f>
        <v>0.70000000000000007</v>
      </c>
      <c r="J42" s="2">
        <f>ROUNDUP(AN42*_xlfn.XLOOKUP(_xlfn.XLOOKUP(B42,'Base stats'!B:B,'Base stats'!E:E),Groups!A:A,Groups!E:E),0)</f>
        <v>15</v>
      </c>
      <c r="K42" s="2">
        <f>IF(OR(_xlfn.XLOOKUP(_xlfn.XLOOKUP(B42,'Base stats'!B:B,'Base stats'!E:E),Groups!A:A,Groups!F:F)=2,ISNUMBER(SEARCH("SeaIce",BV42)),ISNUMBER(SEARCH("IceSheet",BV42))),-50,IF(OR(ISNUMBER(SEARCH("GlacialPlain",BV42)),ISNUMBER(SEARCH("Tundra",BV42))),-40,IF(OR(ISNUMBER(SEARCH("Alpine",BV42)),ISNUMBER(SEARCH("BorealForest",BV42)),ISNUMBER(SEARCH("ColdBog",BV42))),-30,IF(OR(ISNUMBER(SEARCH("TemperateForest",BV42)),ISNUMBER(SEARCH("TemperateSwamp",BV42))),-20,IF(_xlfn.XLOOKUP(_xlfn.XLOOKUP(B42,'Base stats'!B:B,'Base stats'!E:E),Groups!A:A,Groups!F:F)=1,-15,IF(OR(ISNUMBER(SEARCH("Desert",BV42)),ISNUMBER(SEARCH("ExtremeDesert",BV42))),-10,IF(OR(ISNUMBER(SEARCH("Grasslands",BV42)),ISNUMBER(SEARCH("TropicalRainforest",BV42)),ISNUMBER(SEARCH("TropicalSwamp",BV42))),10,0)))))))-IF(CA42="False",MIN(IFERROR(MAX(MROUND(LOG10(_xlfn.XLOOKUP(B42,'Base stats'!B:B,'Base stats'!C:C)^(2/3))*10,5),5),5),30))-_xlfn.XLOOKUP(B42,'Base stats'!B:B,'Base stats'!P:P)+IF(CA42="True",5,0)</f>
        <v>-60</v>
      </c>
      <c r="L42" s="2">
        <f>IF(OR(_xlfn.XLOOKUP(_xlfn.XLOOKUP(B42,'Base stats'!B:B,'Base stats'!E:E),Groups!A:A,Groups!G:G)=2,ISNUMBER(SEARCH("Desert",BV42)),ISNUMBER(SEARCH("ExtremeDesert",BV42)),ISNUMBER(SEARCH("LavaField",BV42))),50,IF(ISNUMBER(SEARCH("Grasslands",BV42)),45,IF(OR(_xlfn.XLOOKUP(_xlfn.XLOOKUP(B42,'Base stats'!B:B,'Base stats'!E:E),Groups!A:A,Groups!G:G)=1,ISNUMBER(SEARCH("TropicalRainforest",BV42)),ISNUMBER(SEARCH("TropicalSwamp",BV42))),40,IF(OR(ISNUMBER(SEARCH("TemperateForest",BV42)),ISNUMBER(SEARCH("TemperateSwamp",BV42))),35,IF(OR(ISNUMBER(SEARCH("Alpine",BV42)),ISNUMBER(SEARCH("BorealForest",BV42)),ISNUMBER(SEARCH("ColdBog",BV42))),30,IF(ISNUMBER(OR(ISNUMBER(SEARCH("GlacialPlain",BV42)),SEARCH("Tundra",BV42))),25,IF(OR(ISNUMBER(SEARCH("SeaIce",BV42)),ISNUMBER(SEARCH("IceSheet",BV42)),ISNUMBER(SEARCH("TropicalSwamp",BV42))),10,35)))))))+_xlfn.XLOOKUP(B42,'Base stats'!B:B,'Base stats'!Q:Q)</f>
        <v>45</v>
      </c>
      <c r="M42" s="8" t="str">
        <f>IF(_xlfn.XLOOKUP(_xlfn.XLOOKUP(B42,'Base stats'!B:B,'Base stats'!E:E),Groups!A:A,Groups!L:L)=1,MIN(MROUND(_xlfn.XLOOKUP(B42,'Animals CE'!B:B,'Animals CE'!Z:Z)/2+0.05,0.05),200%),"No")</f>
        <v>No</v>
      </c>
      <c r="N42" s="8" t="str">
        <f>IF(_xlfn.XLOOKUP(_xlfn.XLOOKUP(B42,'Base stats'!B:B,'Base stats'!E:E),Groups!A:A,Groups!L:L)=1,MIN(MROUND(_xlfn.XLOOKUP(B42,'Animals CE'!B:B,'Animals CE'!AA:AA)/2+0.05,0.05),200%),"No")</f>
        <v>No</v>
      </c>
      <c r="O42" s="2" t="str">
        <f>_xlfn.XLOOKUP(B42,'Base stats'!B:B,'Base stats'!R:R)</f>
        <v>Standard</v>
      </c>
      <c r="P42" s="13">
        <f>MROUND((LOG10(_xlfn.XLOOKUP(B42,'Base stats'!B:B,'Base stats'!AO:AO))*(AN42^0.5)+(_xlfn.XLOOKUP(B42,'Base stats'!B:B,'Base stats'!AO:AO)/1000)^(2/3)+_xlfn.XLOOKUP(B42,'Base stats'!B:B,'Base stats'!AX:AX)/2)+0.5,0.5)</f>
        <v>17</v>
      </c>
      <c r="Q42" s="7">
        <f>IF(P42="No","No",MAX(1,MROUND(_xlfn.XLOOKUP(B42,'Base stats'!B:B,'Base stats'!C:C)^0.165,0.05)))</f>
        <v>2.9000000000000004</v>
      </c>
      <c r="R42" s="13">
        <f>IF(_xlfn.XLOOKUP(_xlfn.XLOOKUP(B42,'Base stats'!B:B,'Base stats'!E:E),Groups!A:A,Groups!P:P)=0,"No",MROUND((LOG10(_xlfn.XLOOKUP(B42,'Base stats'!B:B,'Base stats'!AP:AP))*(AN42^0.5)+(_xlfn.XLOOKUP(B42,'Base stats'!B:B,'Base stats'!AP:AP)/1000)^(2/3)+_xlfn.XLOOKUP(B42,'Base stats'!B:B,'Base stats'!AX:AX))+_xlfn.XLOOKUP(B42,'Base stats'!B:B,'Base stats'!AV:AV)+0.5,0.5))</f>
        <v>21</v>
      </c>
      <c r="S42" s="7">
        <f>IF(R42="No","No",MAX(_xlfn.XLOOKUP(_xlfn.XLOOKUP(B42,'Base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T42" s="7" t="str">
        <f>IF(R42="No","No",_xlfn.XLOOKUP(_xlfn.XLOOKUP(B42,'Base stats'!B:B,'Base stats'!E:E),Groups!A:A,Groups!R:R))</f>
        <v>FrontLeftLeg, FrontRightLeg</v>
      </c>
      <c r="U42" s="7" t="str">
        <f>IF(R42="No","No",_xlfn.XLOOKUP(_xlfn.XLOOKUP(B42,'Base stats'!B:B,'Base stats'!E:E),Groups!A:A,Groups!S:S))</f>
        <v>left hoof, right hoof</v>
      </c>
      <c r="V42" s="7" t="str">
        <f>IF(R42="No","No",_xlfn.XLOOKUP(_xlfn.XLOOKUP(B42,'Base stats'!B:B,'Base stats'!E:E),Groups!A:A,Groups!T:T))</f>
        <v>Blunt</v>
      </c>
      <c r="W42" s="13">
        <f>IF(_xlfn.XLOOKUP(B42,'Base stats'!B:B,'Base stats'!W:W)="No","No",MROUND((LOG10(_xlfn.XLOOKUP(B42,'Base stats'!B:B,'Base stats'!AR:AR))*(AN42^0.5)+(_xlfn.XLOOKUP(B42,'Base stats'!B:B,'Base stats'!AR:AR)/1000)^(2/3)+_xlfn.XLOOKUP(B42,'Base stats'!B:B,'Base stats'!AW:AW))+0.5+IF(_xlfn.XLOOKUP(_xlfn.XLOOKUP(B42,'Base stats'!B:B,'Base stats'!E:E),Groups!A:A,Groups!U:U)&lt;&gt;3,_xlfn.XLOOKUP(B42,'Base stats'!B:B,'Base stats'!AX:AX),0),0.5))</f>
        <v>19.5</v>
      </c>
      <c r="X42" s="7">
        <f>IF(W42="No","No",MAX(_xlfn.XLOOKUP(_xlfn.XLOOKUP(B42,'Base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Y42" s="7" t="str">
        <f>IF(W42="No","No",_xlfn.XLOOKUP(_xlfn.XLOOKUP(B42,'Base stats'!B:B,'Base stats'!E:E),Groups!A:A,Groups!W:W))</f>
        <v>HeadAttackTool</v>
      </c>
      <c r="Z42" s="7" t="str">
        <f>IF(W42="No","No",_xlfn.XLOOKUP(_xlfn.XLOOKUP(B42,'Base stats'!B:B,'Base stats'!E:E),Groups!A:A,Groups!X:X))</f>
        <v>horn</v>
      </c>
      <c r="AA42" s="7" t="str">
        <f>IF(W42="No","No",_xlfn.XLOOKUP(_xlfn.XLOOKUP(B42,'Base stats'!B:B,'Base stats'!E:E),Groups!A:A,Groups!Y:Y))</f>
        <v>Scratch</v>
      </c>
      <c r="AB42" s="7" t="str">
        <f>_xlfn.XLOOKUP(Animals!B42,'Base stats'!B:B,'Base stats'!X:X)</f>
        <v>False</v>
      </c>
      <c r="AC42" s="13" t="str">
        <f>IF(_xlfn.XLOOKUP(B42,'Base stats'!B:B,'Base stats'!AQ:AQ)="No","No",MROUND((LOG10(_xlfn.XLOOKUP(B42,'Base stats'!B:B,'Base stats'!AQ:AQ))*(AN42^0.75)+(_xlfn.XLOOKUP(B42,'Base stats'!B:B,'Base stats'!AQ:AQ)/1000)^(2/3)+_xlfn.XLOOKUP(B42,'Base stats'!B:B,'Base stats'!AU:AU)+_xlfn.XLOOKUP(B42,'Base stats'!B:B,'Base stats'!AX:AX))+0.5,0.5))</f>
        <v>No</v>
      </c>
      <c r="AD42" s="7" t="str">
        <f>IF(AC42="No","No",MAX(_xlfn.XLOOKUP(_xlfn.XLOOKUP(B42,'Base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E42" s="7" t="str">
        <f>IF(AC42="No","No",_xlfn.XLOOKUP(_xlfn.XLOOKUP(B42,'Base stats'!B:B,'Base stats'!E:E),Groups!A:A,Groups!AA:AA))</f>
        <v>No</v>
      </c>
      <c r="AF42" s="7" t="str">
        <f>IF(AC42="No","No",_xlfn.XLOOKUP(_xlfn.XLOOKUP(B42,'Base stats'!B:B,'Base stats'!E:E),Groups!A:A,Groups!AB:AB))</f>
        <v>No</v>
      </c>
      <c r="AG42" s="7" t="str">
        <f>IF(AC42="No","No",_xlfn.XLOOKUP(_xlfn.XLOOKUP(B42,'Base stats'!B:B,'Base stats'!E:E),Groups!A:A,Groups!AC:AC))</f>
        <v>No</v>
      </c>
      <c r="AH42" s="13" t="str">
        <f>IF(_xlfn.XLOOKUP(_xlfn.XLOOKUP(B42,'Base stats'!B:B,'Base stats'!E:E),Groups!A:A,Groups!AD:AD)=0,"No",MROUND((LOG10(_xlfn.XLOOKUP(B42,'Base stats'!B:B,'Base stats'!AP:AP))*(AN42^0.75)+(_xlfn.XLOOKUP(B42,'Base stats'!B:B,'Base stats'!AP:AP)/1000)^(2/3)+_xlfn.XLOOKUP(B42,'Base stats'!B:B,'Base stats'!AV:AV)+_xlfn.XLOOKUP(B42,'Base stats'!B:B,'Base stats'!AX:AX))+0.5,0.5))</f>
        <v>No</v>
      </c>
      <c r="AI42" s="7" t="str">
        <f>IF(AH42="No","No",MAX(_xlfn.XLOOKUP(_xlfn.XLOOKUP(B42,'Base stats'!B:B,'Base stats'!E:E),Groups!A:A,Groups!AE:AE),MROUND(_xlfn.XLOOKUP(_xlfn.XLOOKUP(B42,'Base stats'!B:B,'Base stats'!E:E),Groups!A:A,Groups!AE:AE)*_xlfn.XLOOKUP(B42,'Base stats'!B:B,'Base stats'!C:C)^0.165,0.05)))</f>
        <v>No</v>
      </c>
      <c r="AJ42" s="7" t="str">
        <f>IF(AH42="No","No",_xlfn.XLOOKUP(_xlfn.XLOOKUP(B42,'Base stats'!B:B,'Base stats'!E:E),Groups!A:A,Groups!AF:AF))</f>
        <v>No</v>
      </c>
      <c r="AK42" s="7" t="str">
        <f>IF(AH42="No","No",_xlfn.XLOOKUP(_xlfn.XLOOKUP(B42,'Base stats'!B:B,'Base stats'!E:E),Groups!A:A,Groups!AG:AG))</f>
        <v>No</v>
      </c>
      <c r="AL42" s="7" t="str">
        <f>IF(AH42="No","No",_xlfn.XLOOKUP(_xlfn.XLOOKUP(B42,'Base stats'!B:B,'Base stats'!E:E),Groups!A:A,Groups!AH:AH))</f>
        <v>No</v>
      </c>
      <c r="AM42" s="2" t="str">
        <f t="shared" si="0"/>
        <v>No</v>
      </c>
      <c r="AN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O42" s="8">
        <f>MROUND(AN42*_xlfn.XLOOKUP(_xlfn.XLOOKUP(B42,'Base stats'!B:B,'Base stats'!E:E),Groups!A:A,Groups!AI:AI),0.05)</f>
        <v>3</v>
      </c>
      <c r="AP42" s="8">
        <f>MAX(0.01,MROUND(IF(CA42="True",0.196*(AN42*100*1000)^0.889,IF(_xlfn.XLOOKUP(_xlfn.XLOOKUP(B42,'Base stats'!B:B,'Base stats'!E:E),Groups!A:A,Groups!AJ:AJ)="Bird",10.5*(AN42*100*1000)^0.681,4.82*(AN42*100*1000)^0.734))/(4.82*(1*100*1000)^0.734)/IF(AN42&lt;3.5,2,IF(AN42=3.5,1.5,1.25))*(1+0.132282374779864/(AN42^0.994035016789033+0.00905238001496948)),0.05))</f>
        <v>1.1500000000000001</v>
      </c>
      <c r="AQ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R42" s="35">
        <f>IFERROR(IF(_xlfn.XLOOKUP(B42,'Base stats'!B:B,'Base stats'!F:F)="Lay eggs","Lay eggs",MIN(20,MAX(5.5,ROUND(((_xlfn.XLOOKUP(B42,'Base stats'!B:B,'Base stats'!F:F)-25)*(14.5/615) + 5.5)*2,0)/2))),"Cannot breed")</f>
        <v>11.5</v>
      </c>
      <c r="AS42" s="8">
        <f>IF(OR(A42="Queen",A42="Larva",A42="Megachicken"),"No",IFERROR(MAX(IF(_xlfn.XLOOKUP(B42,'Base stats'!B:B,'Base stats'!G:G)&lt;0.5,0.2,0.3),MROUND(_xlfn.XLOOKUP(B42,'Base stats'!B:B,'Base stats'!G:G)/(365/60),0.2)),"Unknown"))</f>
        <v>0.4</v>
      </c>
      <c r="AT42" s="8">
        <f t="shared" si="1"/>
        <v>0.2</v>
      </c>
      <c r="AU42" s="8">
        <f>IFERROR(IFERROR(MROUND(_xlfn.XLOOKUP(B42,'Base stats'!B:B,'Base stats'!J:J),0.1),"Lay eggs"),"Cannot breed")</f>
        <v>1</v>
      </c>
      <c r="AV42" s="2" t="str">
        <f t="shared" si="2"/>
        <v>true</v>
      </c>
      <c r="AW42" s="2" t="str">
        <f>IF(_xlfn.XLOOKUP(_xlfn.XLOOKUP(Animals!B42,'Base stats'!B:B,'Base stats'!E:E),Groups!A:A,Groups!AK:AK)=1,"true","false")</f>
        <v>false</v>
      </c>
      <c r="AX42" s="25" t="str">
        <f>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</f>
        <v>VegetarianRoughAnimal</v>
      </c>
      <c r="AY42" s="2">
        <f>IF(_xlfn.XLOOKUP(_xlfn.XLOOKUP(B42,'Base stats'!B:B,'Base stats'!E:E),Groups!A:A,Groups!D:D)=1,MROUND((1-I42)*5+1,2)*IF(I42&lt;=0.4,2,1),"No")</f>
        <v>2</v>
      </c>
      <c r="AZ42" s="2" t="str">
        <f>_xlfn.XLOOKUP(B42,'Base stats'!B:B,'Base stats'!AE:AE)</f>
        <v>Leather_Plain</v>
      </c>
      <c r="BA42" s="23" t="str">
        <f>_xlfn.XLOOKUP(_xlfn.XLOOKUP(B42,'Base stats'!B:B,'Base stats'!E:E),Groups!A:A,Groups!AL:AL)</f>
        <v>QuadrupedAnimalWithHooves</v>
      </c>
      <c r="BB42" s="23">
        <f>MROUND(IF(AND(AN42&lt;0.5,_xlfn.XLOOKUP(B42,'Base stats'!B:B,'Base stats'!Z:Z)=0),0,IF(OR(_xlfn.XLOOKUP(Animals!B42,'Base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stats'!AA:AA),0.005)</f>
        <v>2.5000000000000001E-2</v>
      </c>
      <c r="BC42" s="23">
        <f>MROUND(IF(AND(AN42&lt;0.5,_xlfn.XLOOKUP(B42,'Base stats'!B:B,'Base stats'!Z:Z)=0),0,IF(_xlfn.XLOOKUP(_xlfn.XLOOKUP(B42,'Base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stats'!AB:AB),0.005)</f>
        <v>0.1</v>
      </c>
      <c r="BD42" s="2" t="str">
        <f>IF(I42&gt;0.3,"No",_xlfn.XLOOKUP(_xlfn.XLOOKUP(Animals!B42,'Base stats'!B:B,'Base stats'!E:E),Groups!A:A,Groups!AP:AP))</f>
        <v>No</v>
      </c>
      <c r="BE42" s="2" t="str">
        <f>IF(AND(I42&lt;=0.65,_xlfn.XLOOKUP(_xlfn.XLOOKUP(Animals!B42,'Base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stats'!O:O)=2,0.2,AN42) + 24*(1-IF(BD42="No",0,BD42)) + 16/3, 12),"No")</f>
        <v>No</v>
      </c>
      <c r="BF42" s="2">
        <f>IF(AND(_xlfn.XLOOKUP(_xlfn.XLOOKUP(B42,'Base stats'!B:B,'Base stats'!E:E),Groups!A:A,Groups!AQ:AQ)=1,AN42&lt;=0.35),8,12)</f>
        <v>12</v>
      </c>
      <c r="BG42" s="2" t="str">
        <f>IF(_xlfn.XLOOKUP(_xlfn.XLOOKUP(B42,'Base stats'!B:B,'Base stats'!E:E),Groups!A:A,Groups!D:D)=0,_xlfn.XLOOKUP(_xlfn.XLOOKUP(B42,'Base stats'!B:B,'Base stats'!E:E),Groups!A:A,Groups!AR:AR),"None")</f>
        <v>None</v>
      </c>
      <c r="BH42" s="2" t="str">
        <f>IF(AND(_xlfn.XLOOKUP(_xlfn.XLOOKUP(B42,'Base stats'!B:B,'Base stats'!E:E),Groups!A:A,Groups!AS:AS)=1,OR('Base stats'!Y42="Carnivore",'Base stats'!Y42="Omnivore")),"true","false")</f>
        <v>false</v>
      </c>
      <c r="BI42" s="2" t="str">
        <f>IF(BH42="true",MROUND(IF(AND(AN42&gt;0.5,_xlfn.XLOOKUP(_xlfn.XLOOKUP(B42,'Base stats'!B:B,'Base stats'!E:E),Groups!A:A,Groups!AJ:AJ)="Mammal"),Animals!AN42*1.75*IF(AV42="true",1.5,1),Animals!AN42),IF(AN42&gt;2,0.5,IF(AN42&gt;0.5,0.25,0.1))),"No")</f>
        <v>No</v>
      </c>
      <c r="BJ42" s="2">
        <f t="shared" si="3"/>
        <v>0</v>
      </c>
      <c r="BK42" s="25" t="str">
        <f>IF('Base stats'!AK42="Standard","No",MROUND((_xlfn.XLOOKUP(B42,'Base stats'!B:B,'Base stats'!AK:AK)/3.6)/H42,0.1))</f>
        <v>No</v>
      </c>
      <c r="BL42" s="25" t="str">
        <f t="shared" si="4"/>
        <v>false</v>
      </c>
      <c r="BM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N42" s="25" t="str" cm="1">
        <f t="array" ref="BN42">IF(
  _xlfn.TEXTJOIN(", ",TRUE,
    IF(AND(BH42="true",AN42&gt;0.5,BG42&lt;&gt;"None"),"AttackTarget",""),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IF(BE42&lt;=36,"Comfort",""),
    IF(_xlfn.XLOOKUP(B42,'Base stats'!B:B,'Base stats'!AC:AC)&lt;&gt;"No",_xlfn.XLOOKUP(B42,'Base stats'!B:B,'Base stats'!AC:AC),"")
  ) = "",
  "No",
  _xlfn.TEXTJOIN(", ",TRUE,
    IF(AND(BH42="true",AN42&gt;0.5,BG42&lt;&gt;"None"),"AttackTarget",""),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IF(BE42&lt;=36,"Comfort",""),
    IF(_xlfn.XLOOKUP(B42,'Base stats'!B:B,'Base stats'!AC:AC)&lt;&gt;"No",_xlfn.XLOOKUP(B42,'Base stats'!B:B,'Base stats'!AC:AC),"")
  )
)</f>
        <v>No</v>
      </c>
      <c r="BO42" s="25" t="str">
        <f>IF(
   AND(
      'Base stats'!AK42="Standard",_xlfn.XLOOKUP(_xlfn.XLOOKUP(B42,'Base stats'!B:B,'Base stats'!E:E),Groups!A:A,Groups!AU:AU)=0,
      OR(
      BM42="True"
      )
   ),
   10,
   IF(
       OR(BK42&lt;&gt;"No",_xlfn.XLOOKUP(_xlfn.XLOOKUP(B42,'Base stats'!B:B,'Base stats'!E:E),Groups!A:A,Groups!AU:AU)=1),
      1,
      "No"
   )
)</f>
        <v>No</v>
      </c>
      <c r="BP42" s="9">
        <f>MROUND((1 + ((0.2*IF(OR(P42="No",Q42="No",Q42=0),0,P42/Q42)
+IF(OR(U42="No",R42="No",S42="No"),0,R42/S42*(LEN(U42)-LEN(SUBSTITUTE(U42,",",""))+1))
+IF(OR(W42="No",X42="No"),0,W42/X42)
+IF(OR(AC42="No",AD42="No"),0,AC42/AD42)
+IF(OR(AK42="No",AH42="No",AI42="No"),0,AH42/AI42*(LEN(AK42)-LEN(SUBSTITUTE(AK42,",",""))+1))
)/(0.2*IF(OR(P42="No",Q42="No",Q42=0),0,1)
+IF(OR(U42="No",R42="No",S42="No"),0,LEN(U42)-LEN(SUBSTITUTE(U42,",",""))+1)
+IF(OR(W42="No",X42="No"),0,1)
+IF(OR(AC42="No",AD42="No"),0,1)
+IF(OR(AK42="No",AH42="No",AI42="No"),0,LEN(AK42)-LEN(SUBSTITUTE(AK42,",",""))+1))*62%)* 2)*(1 + (AO42 + _xlfn.XLOOKUP(B42,'Base stats'!B:B,'Base stats'!AS:AS) * 1.8) * 2) * 2.5 + 10 + H42 * 2,5)+IF(_xlfn.XLOOKUP(B42,'Base stats'!B:B,'Base stats'!AH:AH)=1,50,0)</f>
        <v>205</v>
      </c>
      <c r="BQ42" s="8">
        <f t="shared" si="5"/>
        <v>1.5</v>
      </c>
      <c r="BR42" s="8" t="str">
        <f>_xlfn.XLOOKUP(B42,'Base stats'!B:B,'Base stats'!AD:AD)</f>
        <v>5~15</v>
      </c>
      <c r="BS42" s="2" t="str">
        <f>IF(AND(I42&lt;=0.95,OR(_xlfn.XLOOKUP(B42,'Base stats'!B:B,'Base stats'!AH:AH)=1,_xlfn.XLOOKUP(B42,'Base stats'!B:B,'Base stats'!Y:Y)="Carnivore",_xlfn.XLOOKUP(B42,'Base stats'!B:B,'Base stats'!Y:Y)="Omnivore",BC42&gt;0.1)),"true","false")</f>
        <v>false</v>
      </c>
      <c r="BT42" s="2" t="str">
        <f>IF(_xlfn.XLOOKUP(B42,'Base stats'!B:B,'Base stats'!AF:AF)=1,"true","false")</f>
        <v>true</v>
      </c>
      <c r="BU42" s="25" t="str">
        <f>IF(E42="BaseInsect","AnimalInsect",
IF(I42&gt;0.95,"AnimalExotic",
_xlfn.TEXTJOIN(", ",TRUE,
IF(AND(_xlfn.XLOOKUP(B42,'Base stats'!B:B,'Base stats'!O:O)=0,_xlfn.XLOOKUP(_xlfn.XLOOKUP(B42,'Base stats'!B:B,'Base stats'!E:E),Groups!A:A,Groups!B:B)&gt;0),"AnimalUncommon","AnimalCommon"),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stats'!AH:AH)=1,AND(BG42&lt;&gt;"None",BP42&gt;=60),ISNUMBER(SEARCH("Attack target",BN42))),"AnimalFighter","")
)))</f>
        <v>AnimalCommon</v>
      </c>
      <c r="BV42" s="25" t="str">
        <f>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</f>
        <v>BorealForest ColdBog TemperateForest TemperateSwamp Grasslands GlacialPlain</v>
      </c>
      <c r="BW42" s="25" t="str">
        <f>IF(_xlfn.XLOOKUP(B42,'Base stats'!B:B,'Base stats'!AG:AG)=1,"true","false")</f>
        <v>false</v>
      </c>
      <c r="BX42" s="25">
        <f>IF(_xlfn.XLOOKUP(B42,'Base stats'!B:B,'Base stats'!N:N)=1,"No",MIN(MROUND(IF(OR(_xlfn.XLOOKUP(B42,'Base stats'!B:B,'Base stats'!AJ:AJ)=1,AND(BH42="True",CA42="False")),POWER(10,3.47*LOG10(_xlfn.XLOOKUP(B42,'Base stats'!B:B,'Base stats'!C:C)*1000)^-0.96),POWER(10,4.15*LOG10(_xlfn.XLOOKUP(B42,'Base stats'!B:B,'Base stats'!C:C)*1000)^-0.73))*IF(OR(_xlfn.XLOOKUP(B42,'Base stats'!B:B,'Base stats'!AJ:AJ)=1,_xlfn.XLOOKUP(B42,'Base stats'!B:B,'Base stats'!AH:AH)=1),0.5,1)/100,0.025),1))</f>
        <v>0.15000000000000002</v>
      </c>
      <c r="BY42" s="25" t="str">
        <f>IF(O42="Standard","No",IF(_xlfn.XLOOKUP(B42,'Base stats'!B:B,'Base stats'!N:N)=0,MROUND(BX42*O42,0.05),MIN(1,MAX(0.025,MROUND(IF(OR(CA42="true",AND(BH42="false",BM42="false")),POWER(10,4.15*LOG10(_xlfn.XLOOKUP(B42,'Base stats'!B:B,'Base stats'!C:C)*1000)^-0.73),POWER(10,3.47*LOG10(_xlfn.XLOOKUP(B42,'Base stats'!B:B,'Base stats'!C:C)*1000)^-0.96))*IF(_xlfn.XLOOKUP(B42,'Base stats'!B:B,'Base stats'!AH:AH)=1,0.5,1)/100,0.025)))))</f>
        <v>No</v>
      </c>
      <c r="BZ42" s="25" t="str">
        <f>IF(_xlfn.XLOOKUP(_xlfn.XLOOKUP(B42,'Base stats'!B:B,'Base stats'!E:E),Groups!A:A,Groups!AJ:AJ)="Mammal","True","False")</f>
        <v>True</v>
      </c>
      <c r="CA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B42" s="25" t="str">
        <f t="shared" si="6"/>
        <v>False</v>
      </c>
      <c r="CC42" s="25" t="str">
        <f>IF(_xlfn.XLOOKUP(_xlfn.XLOOKUP(B42,'Base stats'!B:B,'Base stats'!E:E),Groups!A:A,Groups!AW:AW),"True","False")</f>
        <v>False</v>
      </c>
      <c r="CD42" s="25" t="str">
        <f>IF(_xlfn.XLOOKUP(_xlfn.XLOOKUP(B42,'Base stats'!B:B,'Base stats'!E:E),Groups!A:A,Groups!AX:AX),"True","False")</f>
        <v>False</v>
      </c>
      <c r="CE42" s="25" t="str">
        <f>IF(_xlfn.XLOOKUP(B42,'Base stats'!B:B,'Base stats'!E:E)=1,"True","False")</f>
        <v>False</v>
      </c>
      <c r="CF42" s="25" t="str">
        <f>IF(
OR(
_xlfn.XLOOKUP(_xlfn.XLOOKUP(B42,'Base stats'!B:B,'Base stats'!E:E),Groups!A:A,Groups!AY:AY)=0,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stats'!E:E),Groups!A:A,Groups!AY:AY)=1,
"Flesh",
IF(
_xlfn.XLOOKUP(_xlfn.XLOOKUP(B42,'Base stats'!B:B,'Base stats'!E:E),Groups!A:A,Groups!AY:AY)=2,
"Bone",
""
)
)
)</f>
        <v>No</v>
      </c>
      <c r="CG42" s="25" t="str">
        <f>IF(_xlfn.XLOOKUP(_xlfn.XLOOKUP(B42,'Base stats'!B:B,'Base stats'!E:E),Groups!A:A,Groups!BA:BA),"True","False")</f>
        <v>True</v>
      </c>
      <c r="CH42" s="25" t="str">
        <f>IF(_xlfn.XLOOKUP(_xlfn.XLOOKUP(B42,'Base stats'!B:B,'Base stats'!E:E),Groups!A:A,Groups!AZ:AZ),"True","False")</f>
        <v>False</v>
      </c>
    </row>
    <row r="43" spans="1:86" ht="16.5" thickTop="1" thickBot="1" x14ac:dyDescent="0.3">
      <c r="A43" s="26" t="str">
        <f>_xlfn.XLOOKUP(B43,'Base stats'!B:B,'Base stats'!A:A)</f>
        <v>Cow</v>
      </c>
      <c r="B43" s="6" t="s">
        <v>145</v>
      </c>
      <c r="C43" s="28" t="s">
        <v>730</v>
      </c>
      <c r="D43" s="28" t="s">
        <v>45</v>
      </c>
      <c r="E43" s="28" t="s">
        <v>685</v>
      </c>
      <c r="F43" s="28" t="s">
        <v>685</v>
      </c>
      <c r="G43" s="2">
        <f>MROUND((
  (IF(AND(_xlfn.XLOOKUP(B43,'Base stats'!B:B,'Base stats'!AI:AI)=0,BG43="None",_xlfn.XLOOKUP('Base stats'!E43,Groups!A:A,Groups!B:B)=0), (18 + BP43 * 2.7) * 0.5,
    IF(AND(_xlfn.XLOOKUP(B43,'Base stats'!B:B,'Base stats'!AI:AI)=0,OR(AN43&lt;0.55,AND(BG43="Intermediate",_xlfn.XLOOKUP('Base stats'!E43,Groups!A:A,Groups!B:B)&lt;2))), (18 + BP43 * 2.7),
      IF(OR(BG43="Advanced",_xlfn.XLOOKUP(B43,'Base stats'!B:B,'Base stats'!AI:AI)=1,_xlfn.XLOOKUP('Base stats'!E43,Groups!A:A,Groups!B:B)=2), (18 + BP43 * 2.7) + 250, (18 + BP43 * 2.7))
    )
  ))
  + AN43 * 80
  + IF(COUNTIF(EggMilk!K$2:K$998, A43) &gt; 0, 125, 0)
  + IF(COUNTIF(EggMilk!P$2:P$998, A43) &gt; 0, 90, 0)
  + IF(COUNTIF(EggMilk!A$2:A$998, A43) &gt; 0, 90, 0)
)
* (0.8 + 0.4 * I43)
* 0.75,25)</f>
        <v>375</v>
      </c>
      <c r="H43" s="2">
        <f>MROUND(ROUNDDOWN(_xlfn.XLOOKUP(B43,'Base stats'!B:B,'Base stats'!L:L)/3.6/(23.3/11),1),0.5)</f>
        <v>4</v>
      </c>
      <c r="I43" s="2">
        <f>IF(_xlfn.XLOOKUP(B43,'Base stats'!B:B,'Base stats'!AI:AI)=1,0.99,MIN(MROUND((1-0.6282*EXP(-0.459*AN43))*_xlfn.XLOOKUP(_xlfn.XLOOKUP(B43,'Base stats'!B:B,'Base stats'!E:E),Groups!A:A,Groups!C:C)*IF(_xlfn.XLOOKUP(B43,'Base stats'!B:B,'Base stats'!O:O)=1,0.5,IF(_xlfn.XLOOKUP(B43,'Base stats'!B:B,'Base stats'!O:O)=2,0,1)),0.05),0.985))</f>
        <v>0</v>
      </c>
      <c r="J43" s="2">
        <f>ROUNDUP(AN43*_xlfn.XLOOKUP(_xlfn.XLOOKUP(B43,'Base stats'!B:B,'Base stats'!E:E),Groups!A:A,Groups!E:E),0)</f>
        <v>15</v>
      </c>
      <c r="K43" s="2">
        <f>IF(OR(_xlfn.XLOOKUP(_xlfn.XLOOKUP(B43,'Base stats'!B:B,'Base stats'!E:E),Groups!A:A,Groups!F:F)=2,ISNUMBER(SEARCH("SeaIce",BV43)),ISNUMBER(SEARCH("IceSheet",BV43))),-50,IF(OR(ISNUMBER(SEARCH("GlacialPlain",BV43)),ISNUMBER(SEARCH("Tundra",BV43))),-40,IF(OR(ISNUMBER(SEARCH("Alpine",BV43)),ISNUMBER(SEARCH("BorealForest",BV43)),ISNUMBER(SEARCH("ColdBog",BV43))),-30,IF(OR(ISNUMBER(SEARCH("TemperateForest",BV43)),ISNUMBER(SEARCH("TemperateSwamp",BV43))),-20,IF(_xlfn.XLOOKUP(_xlfn.XLOOKUP(B43,'Base stats'!B:B,'Base stats'!E:E),Groups!A:A,Groups!F:F)=1,-15,IF(OR(ISNUMBER(SEARCH("Desert",BV43)),ISNUMBER(SEARCH("ExtremeDesert",BV43))),-10,IF(OR(ISNUMBER(SEARCH("Grasslands",BV43)),ISNUMBER(SEARCH("TropicalRainforest",BV43)),ISNUMBER(SEARCH("TropicalSwamp",BV43))),10,0)))))))-IF(CA43="False",MIN(IFERROR(MAX(MROUND(LOG10(_xlfn.XLOOKUP(B43,'Base stats'!B:B,'Base stats'!C:C)^(2/3))*10,5),5),5),30))-_xlfn.XLOOKUP(B43,'Base stats'!B:B,'Base stats'!P:P)+IF(CA43="True",5,0)</f>
        <v>-35</v>
      </c>
      <c r="L43" s="2">
        <f>IF(OR(_xlfn.XLOOKUP(_xlfn.XLOOKUP(B43,'Base stats'!B:B,'Base stats'!E:E),Groups!A:A,Groups!G:G)=2,ISNUMBER(SEARCH("Desert",BV43)),ISNUMBER(SEARCH("ExtremeDesert",BV43)),ISNUMBER(SEARCH("LavaField",BV43))),50,IF(ISNUMBER(SEARCH("Grasslands",BV43)),45,IF(OR(_xlfn.XLOOKUP(_xlfn.XLOOKUP(B43,'Base stats'!B:B,'Base stats'!E:E),Groups!A:A,Groups!G:G)=1,ISNUMBER(SEARCH("TropicalRainforest",BV43)),ISNUMBER(SEARCH("TropicalSwamp",BV43))),40,IF(OR(ISNUMBER(SEARCH("TemperateForest",BV43)),ISNUMBER(SEARCH("TemperateSwamp",BV43))),35,IF(OR(ISNUMBER(SEARCH("Alpine",BV43)),ISNUMBER(SEARCH("BorealForest",BV43)),ISNUMBER(SEARCH("ColdBog",BV43))),30,IF(ISNUMBER(OR(ISNUMBER(SEARCH("GlacialPlain",BV43)),SEARCH("Tundra",BV43))),25,IF(OR(ISNUMBER(SEARCH("SeaIce",BV43)),ISNUMBER(SEARCH("IceSheet",BV43)),ISNUMBER(SEARCH("TropicalSwamp",BV43))),10,35)))))))+_xlfn.XLOOKUP(B43,'Base stats'!B:B,'Base stats'!Q:Q)</f>
        <v>35</v>
      </c>
      <c r="M43" s="8" t="str">
        <f>IF(_xlfn.XLOOKUP(_xlfn.XLOOKUP(B43,'Base stats'!B:B,'Base stats'!E:E),Groups!A:A,Groups!L:L)=1,MIN(MROUND(_xlfn.XLOOKUP(B43,'Animals CE'!B:B,'Animals CE'!Z:Z)/2+0.05,0.05),200%),"No")</f>
        <v>No</v>
      </c>
      <c r="N43" s="8" t="str">
        <f>IF(_xlfn.XLOOKUP(_xlfn.XLOOKUP(B43,'Base stats'!B:B,'Base stats'!E:E),Groups!A:A,Groups!L:L)=1,MIN(MROUND(_xlfn.XLOOKUP(B43,'Animals CE'!B:B,'Animals CE'!AA:AA)/2+0.05,0.05),200%),"No")</f>
        <v>No</v>
      </c>
      <c r="O43" s="2" t="str">
        <f>_xlfn.XLOOKUP(B43,'Base stats'!B:B,'Base stats'!R:R)</f>
        <v>Standard</v>
      </c>
      <c r="P43" s="13">
        <f>MROUND((LOG10(_xlfn.XLOOKUP(B43,'Base stats'!B:B,'Base stats'!AO:AO))*(AN43^0.5)+(_xlfn.XLOOKUP(B43,'Base stats'!B:B,'Base stats'!AO:AO)/1000)^(2/3)+_xlfn.XLOOKUP(B43,'Base stats'!B:B,'Base stats'!AX:AX)/2)+0.5,0.5)</f>
        <v>17.5</v>
      </c>
      <c r="Q43" s="7">
        <f>IF(P43="No","No",MAX(1,MROUND(_xlfn.XLOOKUP(B43,'Base stats'!B:B,'Base stats'!C:C)^0.165,0.05)))</f>
        <v>2.95</v>
      </c>
      <c r="R43" s="13">
        <f>IF(_xlfn.XLOOKUP(_xlfn.XLOOKUP(B43,'Base stats'!B:B,'Base stats'!E:E),Groups!A:A,Groups!P:P)=0,"No",MROUND((LOG10(_xlfn.XLOOKUP(B43,'Base stats'!B:B,'Base stats'!AP:AP))*(AN43^0.5)+(_xlfn.XLOOKUP(B43,'Base stats'!B:B,'Base stats'!AP:AP)/1000)^(2/3)+_xlfn.XLOOKUP(B43,'Base stats'!B:B,'Base stats'!AX:AX))+_xlfn.XLOOKUP(B43,'Base stats'!B:B,'Base stats'!AV:AV)+0.5,0.5))</f>
        <v>21.5</v>
      </c>
      <c r="S43" s="7">
        <f>IF(R43="No","No",MAX(_xlfn.XLOOKUP(_xlfn.XLOOKUP(B43,'Base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T43" s="7" t="str">
        <f>IF(R43="No","No",_xlfn.XLOOKUP(_xlfn.XLOOKUP(B43,'Base stats'!B:B,'Base stats'!E:E),Groups!A:A,Groups!R:R))</f>
        <v>FrontLeftLeg, FrontRightLeg</v>
      </c>
      <c r="U43" s="7" t="str">
        <f>IF(R43="No","No",_xlfn.XLOOKUP(_xlfn.XLOOKUP(B43,'Base stats'!B:B,'Base stats'!E:E),Groups!A:A,Groups!S:S))</f>
        <v>left hoof, right hoof</v>
      </c>
      <c r="V43" s="7" t="str">
        <f>IF(R43="No","No",_xlfn.XLOOKUP(_xlfn.XLOOKUP(B43,'Base stats'!B:B,'Base stats'!E:E),Groups!A:A,Groups!T:T))</f>
        <v>Blunt</v>
      </c>
      <c r="W43" s="13">
        <f>IF(_xlfn.XLOOKUP(B43,'Base stats'!B:B,'Base stats'!W:W)="No","No",MROUND((LOG10(_xlfn.XLOOKUP(B43,'Base stats'!B:B,'Base stats'!AR:AR))*(AN43^0.5)+(_xlfn.XLOOKUP(B43,'Base stats'!B:B,'Base stats'!AR:AR)/1000)^(2/3)+_xlfn.XLOOKUP(B43,'Base stats'!B:B,'Base stats'!AW:AW))+0.5+IF(_xlfn.XLOOKUP(_xlfn.XLOOKUP(B43,'Base stats'!B:B,'Base stats'!E:E),Groups!A:A,Groups!U:U)&lt;&gt;3,_xlfn.XLOOKUP(B43,'Base stats'!B:B,'Base stats'!AX:AX),0),0.5))</f>
        <v>16.5</v>
      </c>
      <c r="X43" s="7">
        <f>IF(W43="No","No",MAX(_xlfn.XLOOKUP(_xlfn.XLOOKUP(B43,'Base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Y43" s="7" t="str">
        <f>IF(W43="No","No",_xlfn.XLOOKUP(_xlfn.XLOOKUP(B43,'Base stats'!B:B,'Base stats'!E:E),Groups!A:A,Groups!W:W))</f>
        <v>HeadAttackTool</v>
      </c>
      <c r="Z43" s="7" t="str">
        <f>IF(W43="No","No",_xlfn.XLOOKUP(_xlfn.XLOOKUP(B43,'Base stats'!B:B,'Base stats'!E:E),Groups!A:A,Groups!X:X))</f>
        <v>horn</v>
      </c>
      <c r="AA43" s="7" t="str">
        <f>IF(W43="No","No",_xlfn.XLOOKUP(_xlfn.XLOOKUP(B43,'Base stats'!B:B,'Base stats'!E:E),Groups!A:A,Groups!Y:Y))</f>
        <v>Scratch</v>
      </c>
      <c r="AB43" s="7" t="str">
        <f>_xlfn.XLOOKUP(Animals!B43,'Base stats'!B:B,'Base stats'!X:X)</f>
        <v>True</v>
      </c>
      <c r="AC43" s="13" t="str">
        <f>IF(_xlfn.XLOOKUP(B43,'Base stats'!B:B,'Base stats'!AQ:AQ)="No","No",MROUND((LOG10(_xlfn.XLOOKUP(B43,'Base stats'!B:B,'Base stats'!AQ:AQ))*(AN43^0.75)+(_xlfn.XLOOKUP(B43,'Base stats'!B:B,'Base stats'!AQ:AQ)/1000)^(2/3)+_xlfn.XLOOKUP(B43,'Base stats'!B:B,'Base stats'!AU:AU)+_xlfn.XLOOKUP(B43,'Base stats'!B:B,'Base stats'!AX:AX))+0.5,0.5))</f>
        <v>No</v>
      </c>
      <c r="AD43" s="7" t="str">
        <f>IF(AC43="No","No",MAX(_xlfn.XLOOKUP(_xlfn.XLOOKUP(B43,'Base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E43" s="7" t="str">
        <f>IF(AC43="No","No",_xlfn.XLOOKUP(_xlfn.XLOOKUP(B43,'Base stats'!B:B,'Base stats'!E:E),Groups!A:A,Groups!AA:AA))</f>
        <v>No</v>
      </c>
      <c r="AF43" s="7" t="str">
        <f>IF(AC43="No","No",_xlfn.XLOOKUP(_xlfn.XLOOKUP(B43,'Base stats'!B:B,'Base stats'!E:E),Groups!A:A,Groups!AB:AB))</f>
        <v>No</v>
      </c>
      <c r="AG43" s="7" t="str">
        <f>IF(AC43="No","No",_xlfn.XLOOKUP(_xlfn.XLOOKUP(B43,'Base stats'!B:B,'Base stats'!E:E),Groups!A:A,Groups!AC:AC))</f>
        <v>No</v>
      </c>
      <c r="AH43" s="13" t="str">
        <f>IF(_xlfn.XLOOKUP(_xlfn.XLOOKUP(B43,'Base stats'!B:B,'Base stats'!E:E),Groups!A:A,Groups!AD:AD)=0,"No",MROUND((LOG10(_xlfn.XLOOKUP(B43,'Base stats'!B:B,'Base stats'!AP:AP))*(AN43^0.75)+(_xlfn.XLOOKUP(B43,'Base stats'!B:B,'Base stats'!AP:AP)/1000)^(2/3)+_xlfn.XLOOKUP(B43,'Base stats'!B:B,'Base stats'!AV:AV)+_xlfn.XLOOKUP(B43,'Base stats'!B:B,'Base stats'!AX:AX))+0.5,0.5))</f>
        <v>No</v>
      </c>
      <c r="AI43" s="7" t="str">
        <f>IF(AH43="No","No",MAX(_xlfn.XLOOKUP(_xlfn.XLOOKUP(B43,'Base stats'!B:B,'Base stats'!E:E),Groups!A:A,Groups!AE:AE),MROUND(_xlfn.XLOOKUP(_xlfn.XLOOKUP(B43,'Base stats'!B:B,'Base stats'!E:E),Groups!A:A,Groups!AE:AE)*_xlfn.XLOOKUP(B43,'Base stats'!B:B,'Base stats'!C:C)^0.165,0.05)))</f>
        <v>No</v>
      </c>
      <c r="AJ43" s="7" t="str">
        <f>IF(AH43="No","No",_xlfn.XLOOKUP(_xlfn.XLOOKUP(B43,'Base stats'!B:B,'Base stats'!E:E),Groups!A:A,Groups!AF:AF))</f>
        <v>No</v>
      </c>
      <c r="AK43" s="7" t="str">
        <f>IF(AH43="No","No",_xlfn.XLOOKUP(_xlfn.XLOOKUP(B43,'Base stats'!B:B,'Base stats'!E:E),Groups!A:A,Groups!AG:AG))</f>
        <v>No</v>
      </c>
      <c r="AL43" s="7" t="str">
        <f>IF(AH43="No","No",_xlfn.XLOOKUP(_xlfn.XLOOKUP(B43,'Base stats'!B:B,'Base stats'!E:E),Groups!A:A,Groups!AH:AH))</f>
        <v>No</v>
      </c>
      <c r="AM43" s="2" t="str">
        <f t="shared" si="0"/>
        <v>No</v>
      </c>
      <c r="AN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O43" s="8">
        <f>MROUND(AN43*_xlfn.XLOOKUP(_xlfn.XLOOKUP(B43,'Base stats'!B:B,'Base stats'!E:E),Groups!A:A,Groups!AI:AI),0.05)</f>
        <v>3</v>
      </c>
      <c r="AP43" s="8">
        <f>MAX(0.01,MROUND(IF(CA43="True",0.196*(AN43*100*1000)^0.889,IF(_xlfn.XLOOKUP(_xlfn.XLOOKUP(B43,'Base stats'!B:B,'Base stats'!E:E),Groups!A:A,Groups!AJ:AJ)="Bird",10.5*(AN43*100*1000)^0.681,4.82*(AN43*100*1000)^0.734))/(4.82*(1*100*1000)^0.734)/IF(AN43&lt;3.5,2,IF(AN43=3.5,1.5,1.25))*(1+0.132282374779864/(AN43^0.994035016789033+0.00905238001496948)),0.05))</f>
        <v>1.1500000000000001</v>
      </c>
      <c r="AQ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R43" s="35">
        <f>IFERROR(IF(_xlfn.XLOOKUP(B43,'Base stats'!B:B,'Base stats'!F:F)="Lay eggs","Lay eggs",MIN(20,MAX(5.5,ROUND(((_xlfn.XLOOKUP(B43,'Base stats'!B:B,'Base stats'!F:F)-25)*(14.5/615) + 5.5)*2,0)/2))),"Cannot breed")</f>
        <v>11.5</v>
      </c>
      <c r="AS43" s="8">
        <f>IF(OR(A43="Queen",A43="Larva",A43="Megachicken"),"No",IFERROR(MAX(IF(_xlfn.XLOOKUP(B43,'Base stats'!B:B,'Base stats'!G:G)&lt;0.5,0.2,0.3),MROUND(_xlfn.XLOOKUP(B43,'Base stats'!B:B,'Base stats'!G:G)/(365/60),0.2)),"Unknown"))</f>
        <v>0.3</v>
      </c>
      <c r="AT43" s="8">
        <f t="shared" si="1"/>
        <v>0.15000000000000002</v>
      </c>
      <c r="AU43" s="8">
        <f>IFERROR(IFERROR(MROUND(_xlfn.XLOOKUP(B43,'Base stats'!B:B,'Base stats'!J:J),0.1),"Lay eggs"),"Cannot breed")</f>
        <v>1</v>
      </c>
      <c r="AV43" s="2" t="str">
        <f t="shared" si="2"/>
        <v>true</v>
      </c>
      <c r="AW43" s="2" t="str">
        <f>IF(_xlfn.XLOOKUP(_xlfn.XLOOKUP(Animals!B43,'Base stats'!B:B,'Base stats'!E:E),Groups!A:A,Groups!AK:AK)=1,"true","false")</f>
        <v>false</v>
      </c>
      <c r="AX43" s="25" t="str">
        <f>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</f>
        <v>VegetarianRoughAnimal</v>
      </c>
      <c r="AY43" s="2">
        <f>IF(_xlfn.XLOOKUP(_xlfn.XLOOKUP(B43,'Base stats'!B:B,'Base stats'!E:E),Groups!A:A,Groups!D:D)=1,MROUND((1-I43)*5+1,2)*IF(I43&lt;=0.4,2,1),"No")</f>
        <v>12</v>
      </c>
      <c r="AZ43" s="2" t="str">
        <f>_xlfn.XLOOKUP(B43,'Base stats'!B:B,'Base stats'!AE:AE)</f>
        <v>Leather_Plain</v>
      </c>
      <c r="BA43" s="23" t="str">
        <f>_xlfn.XLOOKUP(_xlfn.XLOOKUP(B43,'Base stats'!B:B,'Base stats'!E:E),Groups!A:A,Groups!AL:AL)</f>
        <v>QuadrupedAnimalWithHooves</v>
      </c>
      <c r="BB43" s="23">
        <f>MROUND(IF(AND(AN43&lt;0.5,_xlfn.XLOOKUP(B43,'Base stats'!B:B,'Base stats'!Z:Z)=0),0,IF(OR(_xlfn.XLOOKUP(Animals!B43,'Base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stats'!AA:AA),0.005)</f>
        <v>0</v>
      </c>
      <c r="BC43" s="23">
        <f>MROUND(IF(AND(AN43&lt;0.5,_xlfn.XLOOKUP(B43,'Base stats'!B:B,'Base stats'!Z:Z)=0),0,IF(_xlfn.XLOOKUP(_xlfn.XLOOKUP(B43,'Base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stats'!AB:AB),0.005)</f>
        <v>0</v>
      </c>
      <c r="BD43" s="2" t="str">
        <f>IF(I43&gt;0.3,"No",_xlfn.XLOOKUP(_xlfn.XLOOKUP(Animals!B43,'Base stats'!B:B,'Base stats'!E:E),Groups!A:A,Groups!AP:AP))</f>
        <v>No</v>
      </c>
      <c r="BE43" s="2" t="str">
        <f>IF(AND(I43&lt;=0.65,_xlfn.XLOOKUP(_xlfn.XLOOKUP(Animals!B43,'Base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stats'!O:O)=2,0.2,AN43) + 24*(1-IF(BD43="No",0,BD43)) + 16/3, 12),"No")</f>
        <v>No</v>
      </c>
      <c r="BF43" s="2">
        <f>IF(AND(_xlfn.XLOOKUP(_xlfn.XLOOKUP(B43,'Base stats'!B:B,'Base stats'!E:E),Groups!A:A,Groups!AQ:AQ)=1,AN43&lt;=0.35),8,12)</f>
        <v>12</v>
      </c>
      <c r="BG43" s="2" t="str">
        <f>IF(_xlfn.XLOOKUP(_xlfn.XLOOKUP(B43,'Base stats'!B:B,'Base stats'!E:E),Groups!A:A,Groups!D:D)=0,_xlfn.XLOOKUP(_xlfn.XLOOKUP(B43,'Base stats'!B:B,'Base stats'!E:E),Groups!A:A,Groups!AR:AR),"None")</f>
        <v>None</v>
      </c>
      <c r="BH43" s="2" t="str">
        <f>IF(AND(_xlfn.XLOOKUP(_xlfn.XLOOKUP(B43,'Base stats'!B:B,'Base stats'!E:E),Groups!A:A,Groups!AS:AS)=1,OR('Base stats'!Y43="Carnivore",'Base stats'!Y43="Omnivore")),"true","false")</f>
        <v>false</v>
      </c>
      <c r="BI43" s="2" t="str">
        <f>IF(BH43="true",MROUND(IF(AND(AN43&gt;0.5,_xlfn.XLOOKUP(_xlfn.XLOOKUP(B43,'Base stats'!B:B,'Base stats'!E:E),Groups!A:A,Groups!AJ:AJ)="Mammal"),Animals!AN43*1.75*IF(AV43="true",1.5,1),Animals!AN43),IF(AN43&gt;2,0.5,IF(AN43&gt;0.5,0.25,0.1))),"No")</f>
        <v>No</v>
      </c>
      <c r="BJ43" s="2">
        <f t="shared" si="3"/>
        <v>0</v>
      </c>
      <c r="BK43" s="25" t="str">
        <f>IF('Base stats'!AK43="Standard","No",MROUND((_xlfn.XLOOKUP(B43,'Base stats'!B:B,'Base stats'!AK:AK)/3.6)/H43,0.1))</f>
        <v>No</v>
      </c>
      <c r="BL43" s="25" t="str">
        <f t="shared" si="4"/>
        <v>false</v>
      </c>
      <c r="BM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N43" s="25" t="str" cm="1">
        <f t="array" ref="BN43">IF(
  _xlfn.TEXTJOIN(", ",TRUE,
    IF(AND(BH43="true",AN43&gt;0.5,BG43&lt;&gt;"None"),"AttackTarget",""),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IF(BE43&lt;=36,"Comfort",""),
    IF(_xlfn.XLOOKUP(B43,'Base stats'!B:B,'Base stats'!AC:AC)&lt;&gt;"No",_xlfn.XLOOKUP(B43,'Base stats'!B:B,'Base stats'!AC:AC),"")
  ) = "",
  "No",
  _xlfn.TEXTJOIN(", ",TRUE,
    IF(AND(BH43="true",AN43&gt;0.5,BG43&lt;&gt;"None"),"AttackTarget",""),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IF(BE43&lt;=36,"Comfort",""),
    IF(_xlfn.XLOOKUP(B43,'Base stats'!B:B,'Base stats'!AC:AC)&lt;&gt;"No",_xlfn.XLOOKUP(B43,'Base stats'!B:B,'Base stats'!AC:AC),"")
  )
)</f>
        <v>No</v>
      </c>
      <c r="BO43" s="25" t="str">
        <f>IF(
   AND(
      'Base stats'!AK43="Standard",_xlfn.XLOOKUP(_xlfn.XLOOKUP(B43,'Base stats'!B:B,'Base stats'!E:E),Groups!A:A,Groups!AU:AU)=0,
      OR(
      BM43="True"
      )
   ),
   10,
   IF(
       OR(BK43&lt;&gt;"No",_xlfn.XLOOKUP(_xlfn.XLOOKUP(B43,'Base stats'!B:B,'Base stats'!E:E),Groups!A:A,Groups!AU:AU)=1),
      1,
      "No"
   )
)</f>
        <v>No</v>
      </c>
      <c r="BP43" s="9">
        <f>MROUND((1 + ((0.2*IF(OR(P43="No",Q43="No",Q43=0),0,P43/Q43)
+IF(OR(U43="No",R43="No",S43="No"),0,R43/S43*(LEN(U43)-LEN(SUBSTITUTE(U43,",",""))+1))
+IF(OR(W43="No",X43="No"),0,W43/X43)
+IF(OR(AC43="No",AD43="No"),0,AC43/AD43)
+IF(OR(AK43="No",AH43="No",AI43="No"),0,AH43/AI43*(LEN(AK43)-LEN(SUBSTITUTE(AK43,",",""))+1))
)/(0.2*IF(OR(P43="No",Q43="No",Q43=0),0,1)
+IF(OR(U43="No",R43="No",S43="No"),0,LEN(U43)-LEN(SUBSTITUTE(U43,",",""))+1)
+IF(OR(W43="No",X43="No"),0,1)
+IF(OR(AC43="No",AD43="No"),0,1)
+IF(OR(AK43="No",AH43="No",AI43="No"),0,LEN(AK43)-LEN(SUBSTITUTE(AK43,",",""))+1))*62%)* 2)*(1 + (AO43 + _xlfn.XLOOKUP(B43,'Base stats'!B:B,'Base stats'!AS:AS) * 1.8) * 2) * 2.5 + 10 + H43 * 2,5)+IF(_xlfn.XLOOKUP(B43,'Base stats'!B:B,'Base stats'!AH:AH)=1,50,0)</f>
        <v>185</v>
      </c>
      <c r="BQ43" s="8">
        <f t="shared" si="5"/>
        <v>1.5</v>
      </c>
      <c r="BR43" s="8" t="str">
        <f>_xlfn.XLOOKUP(B43,'Base stats'!B:B,'Base stats'!AD:AD)</f>
        <v>3~10</v>
      </c>
      <c r="BS43" s="2" t="str">
        <f>IF(AND(I43&lt;=0.95,OR(_xlfn.XLOOKUP(B43,'Base stats'!B:B,'Base stats'!AH:AH)=1,_xlfn.XLOOKUP(B43,'Base stats'!B:B,'Base stats'!Y:Y)="Carnivore",_xlfn.XLOOKUP(B43,'Base stats'!B:B,'Base stats'!Y:Y)="Omnivore",BC43&gt;0.1)),"true","false")</f>
        <v>false</v>
      </c>
      <c r="BT43" s="2" t="str">
        <f>IF(_xlfn.XLOOKUP(B43,'Base stats'!B:B,'Base stats'!AF:AF)=1,"true","false")</f>
        <v>false</v>
      </c>
      <c r="BU43" s="25" t="str">
        <f>IF(E43="BaseInsect","AnimalInsect",
IF(I43&gt;0.95,"AnimalExotic",
_xlfn.TEXTJOIN(", ",TRUE,
IF(AND(_xlfn.XLOOKUP(B43,'Base stats'!B:B,'Base stats'!O:O)=0,_xlfn.XLOOKUP(_xlfn.XLOOKUP(B43,'Base stats'!B:B,'Base stats'!E:E),Groups!A:A,Groups!B:B)&gt;0),"AnimalUncommon","AnimalCommon"),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stats'!AH:AH)=1,AND(BG43&lt;&gt;"None",BP43&gt;=60),ISNUMBER(SEARCH("Attack target",BN43))),"AnimalFighter","")
)))</f>
        <v>AnimalCommon, AnimalFarm</v>
      </c>
      <c r="BV43" s="25" t="str">
        <f>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</f>
        <v/>
      </c>
      <c r="BW43" s="25" t="str">
        <f>IF(_xlfn.XLOOKUP(B43,'Base stats'!B:B,'Base stats'!AG:AG)=1,"true","false")</f>
        <v>false</v>
      </c>
      <c r="BX43" s="25">
        <f>IF(_xlfn.XLOOKUP(B43,'Base stats'!B:B,'Base stats'!N:N)=1,"No",MIN(MROUND(IF(OR(_xlfn.XLOOKUP(B43,'Base stats'!B:B,'Base stats'!AJ:AJ)=1,AND(BH43="True",CA43="False")),POWER(10,3.47*LOG10(_xlfn.XLOOKUP(B43,'Base stats'!B:B,'Base stats'!C:C)*1000)^-0.96),POWER(10,4.15*LOG10(_xlfn.XLOOKUP(B43,'Base stats'!B:B,'Base stats'!C:C)*1000)^-0.73))*IF(OR(_xlfn.XLOOKUP(B43,'Base stats'!B:B,'Base stats'!AJ:AJ)=1,_xlfn.XLOOKUP(B43,'Base stats'!B:B,'Base stats'!AH:AH)=1),0.5,1)/100,0.025),1))</f>
        <v>0.15000000000000002</v>
      </c>
      <c r="BY43" s="25" t="str">
        <f>IF(O43="Standard","No",IF(_xlfn.XLOOKUP(B43,'Base stats'!B:B,'Base stats'!N:N)=0,MROUND(BX43*O43,0.05),MIN(1,MAX(0.025,MROUND(IF(OR(CA43="true",AND(BH43="false",BM43="false")),POWER(10,4.15*LOG10(_xlfn.XLOOKUP(B43,'Base stats'!B:B,'Base stats'!C:C)*1000)^-0.73),POWER(10,3.47*LOG10(_xlfn.XLOOKUP(B43,'Base stats'!B:B,'Base stats'!C:C)*1000)^-0.96))*IF(_xlfn.XLOOKUP(B43,'Base stats'!B:B,'Base stats'!AH:AH)=1,0.5,1)/100,0.025)))))</f>
        <v>No</v>
      </c>
      <c r="BZ43" s="25" t="str">
        <f>IF(_xlfn.XLOOKUP(_xlfn.XLOOKUP(B43,'Base stats'!B:B,'Base stats'!E:E),Groups!A:A,Groups!AJ:AJ)="Mammal","True","False")</f>
        <v>True</v>
      </c>
      <c r="CA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B43" s="25" t="str">
        <f t="shared" si="6"/>
        <v>False</v>
      </c>
      <c r="CC43" s="25" t="str">
        <f>IF(_xlfn.XLOOKUP(_xlfn.XLOOKUP(B43,'Base stats'!B:B,'Base stats'!E:E),Groups!A:A,Groups!AW:AW),"True","False")</f>
        <v>False</v>
      </c>
      <c r="CD43" s="25" t="str">
        <f>IF(_xlfn.XLOOKUP(_xlfn.XLOOKUP(B43,'Base stats'!B:B,'Base stats'!E:E),Groups!A:A,Groups!AX:AX),"True","False")</f>
        <v>False</v>
      </c>
      <c r="CE43" s="25" t="str">
        <f>IF(_xlfn.XLOOKUP(B43,'Base stats'!B:B,'Base stats'!E:E)=1,"True","False")</f>
        <v>False</v>
      </c>
      <c r="CF43" s="25" t="str">
        <f>IF(
OR(
_xlfn.XLOOKUP(_xlfn.XLOOKUP(B43,'Base stats'!B:B,'Base stats'!E:E),Groups!A:A,Groups!AY:AY)=0,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stats'!E:E),Groups!A:A,Groups!AY:AY)=1,
"Flesh",
IF(
_xlfn.XLOOKUP(_xlfn.XLOOKUP(B43,'Base stats'!B:B,'Base stats'!E:E),Groups!A:A,Groups!AY:AY)=2,
"Bone",
""
)
)
)</f>
        <v>No</v>
      </c>
      <c r="CG43" s="25" t="str">
        <f>IF(_xlfn.XLOOKUP(_xlfn.XLOOKUP(B43,'Base stats'!B:B,'Base stats'!E:E),Groups!A:A,Groups!BA:BA),"True","False")</f>
        <v>True</v>
      </c>
      <c r="CH43" s="25" t="str">
        <f>IF(_xlfn.XLOOKUP(_xlfn.XLOOKUP(B43,'Base stats'!B:B,'Base stats'!E:E),Groups!A:A,Groups!AZ:AZ),"True","False")</f>
        <v>False</v>
      </c>
    </row>
    <row r="44" spans="1:86" ht="16.5" thickTop="1" thickBot="1" x14ac:dyDescent="0.3">
      <c r="A44" s="26" t="str">
        <f>_xlfn.XLOOKUP(B44,'Base stats'!B:B,'Base stats'!A:A)</f>
        <v>Muffalo</v>
      </c>
      <c r="B44" s="6" t="s">
        <v>149</v>
      </c>
      <c r="C44" s="28" t="s">
        <v>731</v>
      </c>
      <c r="D44" s="28" t="s">
        <v>45</v>
      </c>
      <c r="E44" s="28" t="s">
        <v>685</v>
      </c>
      <c r="F44" s="28" t="s">
        <v>685</v>
      </c>
      <c r="G44" s="2">
        <f>MROUND((
  (IF(AND(_xlfn.XLOOKUP(B44,'Base stats'!B:B,'Base stats'!AI:AI)=0,BG44="None",_xlfn.XLOOKUP('Base stats'!E44,Groups!A:A,Groups!B:B)=0), (18 + BP44 * 2.7) * 0.5,
    IF(AND(_xlfn.XLOOKUP(B44,'Base stats'!B:B,'Base stats'!AI:AI)=0,OR(AN44&lt;0.55,AND(BG44="Intermediate",_xlfn.XLOOKUP('Base stats'!E44,Groups!A:A,Groups!B:B)&lt;2))), (18 + BP44 * 2.7),
      IF(OR(BG44="Advanced",_xlfn.XLOOKUP(B44,'Base stats'!B:B,'Base stats'!AI:AI)=1,_xlfn.XLOOKUP('Base stats'!E44,Groups!A:A,Groups!B:B)=2), (18 + BP44 * 2.7) + 250, (18 + BP44 * 2.7))
    )
  ))
  + AN44 * 80
  + IF(COUNTIF(EggMilk!K$2:K$998, A44) &gt; 0, 125, 0)
  + IF(COUNTIF(EggMilk!P$2:P$998, A44) &gt; 0, 90, 0)
  + IF(COUNTIF(EggMilk!A$2:A$998, A44) &gt; 0, 90, 0)
)
* (0.8 + 0.4 * I44)
* 0.75,25)</f>
        <v>425</v>
      </c>
      <c r="H44" s="2">
        <f>MROUND(ROUNDDOWN(_xlfn.XLOOKUP(B44,'Base stats'!B:B,'Base stats'!L:L)/3.6/(23.3/11),1),0.5)</f>
        <v>7</v>
      </c>
      <c r="I44" s="2">
        <f>IF(_xlfn.XLOOKUP(B44,'Base stats'!B:B,'Base stats'!AI:AI)=1,0.99,MIN(MROUND((1-0.6282*EXP(-0.459*AN44))*_xlfn.XLOOKUP(_xlfn.XLOOKUP(B44,'Base stats'!B:B,'Base stats'!E:E),Groups!A:A,Groups!C:C)*IF(_xlfn.XLOOKUP(B44,'Base stats'!B:B,'Base stats'!O:O)=1,0.5,IF(_xlfn.XLOOKUP(B44,'Base stats'!B:B,'Base stats'!O:O)=2,0,1)),0.05),0.985))</f>
        <v>0.70000000000000007</v>
      </c>
      <c r="J44" s="2">
        <f>ROUNDUP(AN44*_xlfn.XLOOKUP(_xlfn.XLOOKUP(B44,'Base stats'!B:B,'Base stats'!E:E),Groups!A:A,Groups!E:E),0)</f>
        <v>13</v>
      </c>
      <c r="K44" s="2">
        <f>IF(OR(_xlfn.XLOOKUP(_xlfn.XLOOKUP(B44,'Base stats'!B:B,'Base stats'!E:E),Groups!A:A,Groups!F:F)=2,ISNUMBER(SEARCH("SeaIce",BV44)),ISNUMBER(SEARCH("IceSheet",BV44))),-50,IF(OR(ISNUMBER(SEARCH("GlacialPlain",BV44)),ISNUMBER(SEARCH("Tundra",BV44))),-40,IF(OR(ISNUMBER(SEARCH("Alpine",BV44)),ISNUMBER(SEARCH("BorealForest",BV44)),ISNUMBER(SEARCH("ColdBog",BV44))),-30,IF(OR(ISNUMBER(SEARCH("TemperateForest",BV44)),ISNUMBER(SEARCH("TemperateSwamp",BV44))),-20,IF(_xlfn.XLOOKUP(_xlfn.XLOOKUP(B44,'Base stats'!B:B,'Base stats'!E:E),Groups!A:A,Groups!F:F)=1,-15,IF(OR(ISNUMBER(SEARCH("Desert",BV44)),ISNUMBER(SEARCH("ExtremeDesert",BV44))),-10,IF(OR(ISNUMBER(SEARCH("Grasslands",BV44)),ISNUMBER(SEARCH("TropicalRainforest",BV44)),ISNUMBER(SEARCH("TropicalSwamp",BV44))),10,0)))))))-IF(CA44="False",MIN(IFERROR(MAX(MROUND(LOG10(_xlfn.XLOOKUP(B44,'Base stats'!B:B,'Base stats'!C:C)^(2/3))*10,5),5),5),30))-_xlfn.XLOOKUP(B44,'Base stats'!B:B,'Base stats'!P:P)+IF(CA44="True",5,0)</f>
        <v>-55</v>
      </c>
      <c r="L44" s="2">
        <f>IF(OR(_xlfn.XLOOKUP(_xlfn.XLOOKUP(B44,'Base stats'!B:B,'Base stats'!E:E),Groups!A:A,Groups!G:G)=2,ISNUMBER(SEARCH("Desert",BV44)),ISNUMBER(SEARCH("ExtremeDesert",BV44)),ISNUMBER(SEARCH("LavaField",BV44))),50,IF(ISNUMBER(SEARCH("Grasslands",BV44)),45,IF(OR(_xlfn.XLOOKUP(_xlfn.XLOOKUP(B44,'Base stats'!B:B,'Base stats'!E:E),Groups!A:A,Groups!G:G)=1,ISNUMBER(SEARCH("TropicalRainforest",BV44)),ISNUMBER(SEARCH("TropicalSwamp",BV44))),40,IF(OR(ISNUMBER(SEARCH("TemperateForest",BV44)),ISNUMBER(SEARCH("TemperateSwamp",BV44))),35,IF(OR(ISNUMBER(SEARCH("Alpine",BV44)),ISNUMBER(SEARCH("BorealForest",BV44)),ISNUMBER(SEARCH("ColdBog",BV44))),30,IF(ISNUMBER(OR(ISNUMBER(SEARCH("GlacialPlain",BV44)),SEARCH("Tundra",BV44))),25,IF(OR(ISNUMBER(SEARCH("SeaIce",BV44)),ISNUMBER(SEARCH("IceSheet",BV44)),ISNUMBER(SEARCH("TropicalSwamp",BV44))),10,35)))))))+_xlfn.XLOOKUP(B44,'Base stats'!B:B,'Base stats'!Q:Q)</f>
        <v>35</v>
      </c>
      <c r="M44" s="8" t="str">
        <f>IF(_xlfn.XLOOKUP(_xlfn.XLOOKUP(B44,'Base stats'!B:B,'Base stats'!E:E),Groups!A:A,Groups!L:L)=1,MIN(MROUND(_xlfn.XLOOKUP(B44,'Animals CE'!B:B,'Animals CE'!Z:Z)/2+0.05,0.05),200%),"No")</f>
        <v>No</v>
      </c>
      <c r="N44" s="8" t="str">
        <f>IF(_xlfn.XLOOKUP(_xlfn.XLOOKUP(B44,'Base stats'!B:B,'Base stats'!E:E),Groups!A:A,Groups!L:L)=1,MIN(MROUND(_xlfn.XLOOKUP(B44,'Animals CE'!B:B,'Animals CE'!AA:AA)/2+0.05,0.05),200%),"No")</f>
        <v>No</v>
      </c>
      <c r="O44" s="2" t="str">
        <f>_xlfn.XLOOKUP(B44,'Base stats'!B:B,'Base stats'!R:R)</f>
        <v>Standard</v>
      </c>
      <c r="P44" s="13">
        <f>MROUND((LOG10(_xlfn.XLOOKUP(B44,'Base stats'!B:B,'Base stats'!AO:AO))*(AN44^0.5)+(_xlfn.XLOOKUP(B44,'Base stats'!B:B,'Base stats'!AO:AO)/1000)^(2/3)+_xlfn.XLOOKUP(B44,'Base stats'!B:B,'Base stats'!AX:AX)/2)+0.5,0.5)</f>
        <v>14</v>
      </c>
      <c r="Q44" s="7">
        <f>IF(P44="No","No",MAX(1,MROUND(_xlfn.XLOOKUP(B44,'Base stats'!B:B,'Base stats'!C:C)^0.165,0.05)))</f>
        <v>2.6500000000000004</v>
      </c>
      <c r="R44" s="13">
        <f>IF(_xlfn.XLOOKUP(_xlfn.XLOOKUP(B44,'Base stats'!B:B,'Base stats'!E:E),Groups!A:A,Groups!P:P)=0,"No",MROUND((LOG10(_xlfn.XLOOKUP(B44,'Base stats'!B:B,'Base stats'!AP:AP))*(AN44^0.5)+(_xlfn.XLOOKUP(B44,'Base stats'!B:B,'Base stats'!AP:AP)/1000)^(2/3)+_xlfn.XLOOKUP(B44,'Base stats'!B:B,'Base stats'!AX:AX))+_xlfn.XLOOKUP(B44,'Base stats'!B:B,'Base stats'!AV:AV)+0.5,0.5))</f>
        <v>17</v>
      </c>
      <c r="S44" s="7">
        <f>IF(R44="No","No",MAX(_xlfn.XLOOKUP(_xlfn.XLOOKUP(B44,'Base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T44" s="7" t="str">
        <f>IF(R44="No","No",_xlfn.XLOOKUP(_xlfn.XLOOKUP(B44,'Base stats'!B:B,'Base stats'!E:E),Groups!A:A,Groups!R:R))</f>
        <v>FrontLeftLeg, FrontRightLeg</v>
      </c>
      <c r="U44" s="7" t="str">
        <f>IF(R44="No","No",_xlfn.XLOOKUP(_xlfn.XLOOKUP(B44,'Base stats'!B:B,'Base stats'!E:E),Groups!A:A,Groups!S:S))</f>
        <v>left hoof, right hoof</v>
      </c>
      <c r="V44" s="7" t="str">
        <f>IF(R44="No","No",_xlfn.XLOOKUP(_xlfn.XLOOKUP(B44,'Base stats'!B:B,'Base stats'!E:E),Groups!A:A,Groups!T:T))</f>
        <v>Blunt</v>
      </c>
      <c r="W44" s="13">
        <f>IF(_xlfn.XLOOKUP(B44,'Base stats'!B:B,'Base stats'!W:W)="No","No",MROUND((LOG10(_xlfn.XLOOKUP(B44,'Base stats'!B:B,'Base stats'!AR:AR))*(AN44^0.5)+(_xlfn.XLOOKUP(B44,'Base stats'!B:B,'Base stats'!AR:AR)/1000)^(2/3)+_xlfn.XLOOKUP(B44,'Base stats'!B:B,'Base stats'!AW:AW))+0.5+IF(_xlfn.XLOOKUP(_xlfn.XLOOKUP(B44,'Base stats'!B:B,'Base stats'!E:E),Groups!A:A,Groups!U:U)&lt;&gt;3,_xlfn.XLOOKUP(B44,'Base stats'!B:B,'Base stats'!AX:AX),0),0.5))</f>
        <v>16</v>
      </c>
      <c r="X44" s="7">
        <f>IF(W44="No","No",MAX(_xlfn.XLOOKUP(_xlfn.XLOOKUP(B44,'Base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Y44" s="7" t="str">
        <f>IF(W44="No","No",_xlfn.XLOOKUP(_xlfn.XLOOKUP(B44,'Base stats'!B:B,'Base stats'!E:E),Groups!A:A,Groups!W:W))</f>
        <v>HeadAttackTool</v>
      </c>
      <c r="Z44" s="7" t="str">
        <f>IF(W44="No","No",_xlfn.XLOOKUP(_xlfn.XLOOKUP(B44,'Base stats'!B:B,'Base stats'!E:E),Groups!A:A,Groups!X:X))</f>
        <v>horn</v>
      </c>
      <c r="AA44" s="7" t="str">
        <f>IF(W44="No","No",_xlfn.XLOOKUP(_xlfn.XLOOKUP(B44,'Base stats'!B:B,'Base stats'!E:E),Groups!A:A,Groups!Y:Y))</f>
        <v>Scratch</v>
      </c>
      <c r="AB44" s="7" t="str">
        <f>_xlfn.XLOOKUP(Animals!B44,'Base stats'!B:B,'Base stats'!X:X)</f>
        <v>False</v>
      </c>
      <c r="AC44" s="13" t="str">
        <f>IF(_xlfn.XLOOKUP(B44,'Base stats'!B:B,'Base stats'!AQ:AQ)="No","No",MROUND((LOG10(_xlfn.XLOOKUP(B44,'Base stats'!B:B,'Base stats'!AQ:AQ))*(AN44^0.75)+(_xlfn.XLOOKUP(B44,'Base stats'!B:B,'Base stats'!AQ:AQ)/1000)^(2/3)+_xlfn.XLOOKUP(B44,'Base stats'!B:B,'Base stats'!AU:AU)+_xlfn.XLOOKUP(B44,'Base stats'!B:B,'Base stats'!AX:AX))+0.5,0.5))</f>
        <v>No</v>
      </c>
      <c r="AD44" s="7" t="str">
        <f>IF(AC44="No","No",MAX(_xlfn.XLOOKUP(_xlfn.XLOOKUP(B44,'Base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E44" s="7" t="str">
        <f>IF(AC44="No","No",_xlfn.XLOOKUP(_xlfn.XLOOKUP(B44,'Base stats'!B:B,'Base stats'!E:E),Groups!A:A,Groups!AA:AA))</f>
        <v>No</v>
      </c>
      <c r="AF44" s="7" t="str">
        <f>IF(AC44="No","No",_xlfn.XLOOKUP(_xlfn.XLOOKUP(B44,'Base stats'!B:B,'Base stats'!E:E),Groups!A:A,Groups!AB:AB))</f>
        <v>No</v>
      </c>
      <c r="AG44" s="7" t="str">
        <f>IF(AC44="No","No",_xlfn.XLOOKUP(_xlfn.XLOOKUP(B44,'Base stats'!B:B,'Base stats'!E:E),Groups!A:A,Groups!AC:AC))</f>
        <v>No</v>
      </c>
      <c r="AH44" s="13" t="str">
        <f>IF(_xlfn.XLOOKUP(_xlfn.XLOOKUP(B44,'Base stats'!B:B,'Base stats'!E:E),Groups!A:A,Groups!AD:AD)=0,"No",MROUND((LOG10(_xlfn.XLOOKUP(B44,'Base stats'!B:B,'Base stats'!AP:AP))*(AN44^0.75)+(_xlfn.XLOOKUP(B44,'Base stats'!B:B,'Base stats'!AP:AP)/1000)^(2/3)+_xlfn.XLOOKUP(B44,'Base stats'!B:B,'Base stats'!AV:AV)+_xlfn.XLOOKUP(B44,'Base stats'!B:B,'Base stats'!AX:AX))+0.5,0.5))</f>
        <v>No</v>
      </c>
      <c r="AI44" s="7" t="str">
        <f>IF(AH44="No","No",MAX(_xlfn.XLOOKUP(_xlfn.XLOOKUP(B44,'Base stats'!B:B,'Base stats'!E:E),Groups!A:A,Groups!AE:AE),MROUND(_xlfn.XLOOKUP(_xlfn.XLOOKUP(B44,'Base stats'!B:B,'Base stats'!E:E),Groups!A:A,Groups!AE:AE)*_xlfn.XLOOKUP(B44,'Base stats'!B:B,'Base stats'!C:C)^0.165,0.05)))</f>
        <v>No</v>
      </c>
      <c r="AJ44" s="7" t="str">
        <f>IF(AH44="No","No",_xlfn.XLOOKUP(_xlfn.XLOOKUP(B44,'Base stats'!B:B,'Base stats'!E:E),Groups!A:A,Groups!AF:AF))</f>
        <v>No</v>
      </c>
      <c r="AK44" s="7" t="str">
        <f>IF(AH44="No","No",_xlfn.XLOOKUP(_xlfn.XLOOKUP(B44,'Base stats'!B:B,'Base stats'!E:E),Groups!A:A,Groups!AG:AG))</f>
        <v>No</v>
      </c>
      <c r="AL44" s="7" t="str">
        <f>IF(AH44="No","No",_xlfn.XLOOKUP(_xlfn.XLOOKUP(B44,'Base stats'!B:B,'Base stats'!E:E),Groups!A:A,Groups!AH:AH))</f>
        <v>No</v>
      </c>
      <c r="AM44" s="2" t="str">
        <f t="shared" si="0"/>
        <v>No</v>
      </c>
      <c r="AN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O44" s="8">
        <f>MROUND(AN44*_xlfn.XLOOKUP(_xlfn.XLOOKUP(B44,'Base stats'!B:B,'Base stats'!E:E),Groups!A:A,Groups!AI:AI),0.05)</f>
        <v>2.5</v>
      </c>
      <c r="AP44" s="8">
        <f>MAX(0.01,MROUND(IF(CA44="True",0.196*(AN44*100*1000)^0.889,IF(_xlfn.XLOOKUP(_xlfn.XLOOKUP(B44,'Base stats'!B:B,'Base stats'!E:E),Groups!A:A,Groups!AJ:AJ)="Bird",10.5*(AN44*100*1000)^0.681,4.82*(AN44*100*1000)^0.734))/(4.82*(1*100*1000)^0.734)/IF(AN44&lt;3.5,2,IF(AN44=3.5,1.5,1.25))*(1+0.132282374779864/(AN44^0.994035016789033+0.00905238001496948)),0.05))</f>
        <v>1.05</v>
      </c>
      <c r="AQ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R44" s="35">
        <f>IFERROR(IF(_xlfn.XLOOKUP(B44,'Base stats'!B:B,'Base stats'!F:F)="Lay eggs","Lay eggs",MIN(20,MAX(5.5,ROUND(((_xlfn.XLOOKUP(B44,'Base stats'!B:B,'Base stats'!F:F)-25)*(14.5/615) + 5.5)*2,0)/2))),"Cannot breed")</f>
        <v>10.5</v>
      </c>
      <c r="AS44" s="8">
        <f>IF(OR(A44="Queen",A44="Larva",A44="Megachicken"),"No",IFERROR(MAX(IF(_xlfn.XLOOKUP(B44,'Base stats'!B:B,'Base stats'!G:G)&lt;0.5,0.2,0.3),MROUND(_xlfn.XLOOKUP(B44,'Base stats'!B:B,'Base stats'!G:G)/(365/60),0.2)),"Unknown"))</f>
        <v>0.4</v>
      </c>
      <c r="AT44" s="8">
        <f t="shared" si="1"/>
        <v>0.2</v>
      </c>
      <c r="AU44" s="8">
        <f>IFERROR(IFERROR(MROUND(_xlfn.XLOOKUP(B44,'Base stats'!B:B,'Base stats'!J:J),0.1),"Lay eggs"),"Cannot breed")</f>
        <v>1</v>
      </c>
      <c r="AV44" s="2" t="str">
        <f t="shared" si="2"/>
        <v>true</v>
      </c>
      <c r="AW44" s="2" t="str">
        <f>IF(_xlfn.XLOOKUP(_xlfn.XLOOKUP(Animals!B44,'Base stats'!B:B,'Base stats'!E:E),Groups!A:A,Groups!AK:AK)=1,"true","false")</f>
        <v>false</v>
      </c>
      <c r="AX44" s="25" t="str">
        <f>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</f>
        <v>VegetarianRoughAnimal</v>
      </c>
      <c r="AY44" s="2">
        <f>IF(_xlfn.XLOOKUP(_xlfn.XLOOKUP(B44,'Base stats'!B:B,'Base stats'!E:E),Groups!A:A,Groups!D:D)=1,MROUND((1-I44)*5+1,2)*IF(I44&lt;=0.4,2,1),"No")</f>
        <v>2</v>
      </c>
      <c r="AZ44" s="2" t="str">
        <f>_xlfn.XLOOKUP(B44,'Base stats'!B:B,'Base stats'!AE:AE)</f>
        <v>Leather_Bluefur</v>
      </c>
      <c r="BA44" s="23" t="str">
        <f>_xlfn.XLOOKUP(_xlfn.XLOOKUP(B44,'Base stats'!B:B,'Base stats'!E:E),Groups!A:A,Groups!AL:AL)</f>
        <v>QuadrupedAnimalWithHooves</v>
      </c>
      <c r="BB44" s="23">
        <f>MROUND(IF(AND(AN44&lt;0.5,_xlfn.XLOOKUP(B44,'Base stats'!B:B,'Base stats'!Z:Z)=0),0,IF(OR(_xlfn.XLOOKUP(Animals!B44,'Base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stats'!AA:AA),0.005)</f>
        <v>2.5000000000000001E-2</v>
      </c>
      <c r="BC44" s="23">
        <f>MROUND(IF(AND(AN44&lt;0.5,_xlfn.XLOOKUP(B44,'Base stats'!B:B,'Base stats'!Z:Z)=0),0,IF(_xlfn.XLOOKUP(_xlfn.XLOOKUP(B44,'Base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stats'!AB:AB),0.005)</f>
        <v>0.1</v>
      </c>
      <c r="BD44" s="2" t="str">
        <f>IF(I44&gt;0.3,"No",_xlfn.XLOOKUP(_xlfn.XLOOKUP(Animals!B44,'Base stats'!B:B,'Base stats'!E:E),Groups!A:A,Groups!AP:AP))</f>
        <v>No</v>
      </c>
      <c r="BE44" s="2" t="str">
        <f>IF(AND(I44&lt;=0.65,_xlfn.XLOOKUP(_xlfn.XLOOKUP(Animals!B44,'Base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stats'!O:O)=2,0.2,AN44) + 24*(1-IF(BD44="No",0,BD44)) + 16/3, 12),"No")</f>
        <v>No</v>
      </c>
      <c r="BF44" s="2">
        <f>IF(AND(_xlfn.XLOOKUP(_xlfn.XLOOKUP(B44,'Base stats'!B:B,'Base stats'!E:E),Groups!A:A,Groups!AQ:AQ)=1,AN44&lt;=0.35),8,12)</f>
        <v>12</v>
      </c>
      <c r="BG44" s="2" t="str">
        <f>IF(_xlfn.XLOOKUP(_xlfn.XLOOKUP(B44,'Base stats'!B:B,'Base stats'!E:E),Groups!A:A,Groups!D:D)=0,_xlfn.XLOOKUP(_xlfn.XLOOKUP(B44,'Base stats'!B:B,'Base stats'!E:E),Groups!A:A,Groups!AR:AR),"None")</f>
        <v>None</v>
      </c>
      <c r="BH44" s="2" t="str">
        <f>IF(AND(_xlfn.XLOOKUP(_xlfn.XLOOKUP(B44,'Base stats'!B:B,'Base stats'!E:E),Groups!A:A,Groups!AS:AS)=1,OR('Base stats'!Y44="Carnivore",'Base stats'!Y44="Omnivore")),"true","false")</f>
        <v>false</v>
      </c>
      <c r="BI44" s="2" t="str">
        <f>IF(BH44="true",MROUND(IF(AND(AN44&gt;0.5,_xlfn.XLOOKUP(_xlfn.XLOOKUP(B44,'Base stats'!B:B,'Base stats'!E:E),Groups!A:A,Groups!AJ:AJ)="Mammal"),Animals!AN44*1.75*IF(AV44="true",1.5,1),Animals!AN44),IF(AN44&gt;2,0.5,IF(AN44&gt;0.5,0.25,0.1))),"No")</f>
        <v>No</v>
      </c>
      <c r="BJ44" s="2">
        <f t="shared" si="3"/>
        <v>0</v>
      </c>
      <c r="BK44" s="25" t="str">
        <f>IF('Base stats'!AK44="Standard","No",MROUND((_xlfn.XLOOKUP(B44,'Base stats'!B:B,'Base stats'!AK:AK)/3.6)/H44,0.1))</f>
        <v>No</v>
      </c>
      <c r="BL44" s="25" t="str">
        <f t="shared" si="4"/>
        <v>false</v>
      </c>
      <c r="BM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N44" s="25" t="str" cm="1">
        <f t="array" ref="BN44">IF(
  _xlfn.TEXTJOIN(", ",TRUE,
    IF(AND(BH44="true",AN44&gt;0.5,BG44&lt;&gt;"None"),"AttackTarget",""),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IF(BE44&lt;=36,"Comfort",""),
    IF(_xlfn.XLOOKUP(B44,'Base stats'!B:B,'Base stats'!AC:AC)&lt;&gt;"No",_xlfn.XLOOKUP(B44,'Base stats'!B:B,'Base stats'!AC:AC),"")
  ) = "",
  "No",
  _xlfn.TEXTJOIN(", ",TRUE,
    IF(AND(BH44="true",AN44&gt;0.5,BG44&lt;&gt;"None"),"AttackTarget",""),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IF(BE44&lt;=36,"Comfort",""),
    IF(_xlfn.XLOOKUP(B44,'Base stats'!B:B,'Base stats'!AC:AC)&lt;&gt;"No",_xlfn.XLOOKUP(B44,'Base stats'!B:B,'Base stats'!AC:AC),"")
  )
)</f>
        <v>No</v>
      </c>
      <c r="BO44" s="25" t="str">
        <f>IF(
   AND(
      'Base stats'!AK44="Standard",_xlfn.XLOOKUP(_xlfn.XLOOKUP(B44,'Base stats'!B:B,'Base stats'!E:E),Groups!A:A,Groups!AU:AU)=0,
      OR(
      BM44="True"
      )
   ),
   10,
   IF(
       OR(BK44&lt;&gt;"No",_xlfn.XLOOKUP(_xlfn.XLOOKUP(B44,'Base stats'!B:B,'Base stats'!E:E),Groups!A:A,Groups!AU:AU)=1),
      1,
      "No"
   )
)</f>
        <v>No</v>
      </c>
      <c r="BP44" s="9">
        <f>MROUND((1 + ((0.2*IF(OR(P44="No",Q44="No",Q44=0),0,P44/Q44)
+IF(OR(U44="No",R44="No",S44="No"),0,R44/S44*(LEN(U44)-LEN(SUBSTITUTE(U44,",",""))+1))
+IF(OR(W44="No",X44="No"),0,W44/X44)
+IF(OR(AC44="No",AD44="No"),0,AC44/AD44)
+IF(OR(AK44="No",AH44="No",AI44="No"),0,AH44/AI44*(LEN(AK44)-LEN(SUBSTITUTE(AK44,",",""))+1))
)/(0.2*IF(OR(P44="No",Q44="No",Q44=0),0,1)
+IF(OR(U44="No",R44="No",S44="No"),0,LEN(U44)-LEN(SUBSTITUTE(U44,",",""))+1)
+IF(OR(W44="No",X44="No"),0,1)
+IF(OR(AC44="No",AD44="No"),0,1)
+IF(OR(AK44="No",AH44="No",AI44="No"),0,LEN(AK44)-LEN(SUBSTITUTE(AK44,",",""))+1))*62%)* 2)*(1 + (AO44 + _xlfn.XLOOKUP(B44,'Base stats'!B:B,'Base stats'!AS:AS) * 1.8) * 2) * 2.5 + 10 + H44 * 2,5)+IF(_xlfn.XLOOKUP(B44,'Base stats'!B:B,'Base stats'!AH:AH)=1,50,0)</f>
        <v>160</v>
      </c>
      <c r="BQ44" s="8">
        <f t="shared" si="5"/>
        <v>1.35</v>
      </c>
      <c r="BR44" s="8" t="str">
        <f>_xlfn.XLOOKUP(B44,'Base stats'!B:B,'Base stats'!AD:AD)</f>
        <v>3~10</v>
      </c>
      <c r="BS44" s="2" t="str">
        <f>IF(AND(I44&lt;=0.95,OR(_xlfn.XLOOKUP(B44,'Base stats'!B:B,'Base stats'!AH:AH)=1,_xlfn.XLOOKUP(B44,'Base stats'!B:B,'Base stats'!Y:Y)="Carnivore",_xlfn.XLOOKUP(B44,'Base stats'!B:B,'Base stats'!Y:Y)="Omnivore",BC44&gt;0.1)),"true","false")</f>
        <v>false</v>
      </c>
      <c r="BT44" s="2" t="str">
        <f>IF(_xlfn.XLOOKUP(B44,'Base stats'!B:B,'Base stats'!AF:AF)=1,"true","false")</f>
        <v>true</v>
      </c>
      <c r="BU44" s="25" t="str">
        <f>IF(E44="BaseInsect","AnimalInsect",
IF(I44&gt;0.95,"AnimalExotic",
_xlfn.TEXTJOIN(", ",TRUE,
IF(AND(_xlfn.XLOOKUP(B44,'Base stats'!B:B,'Base stats'!O:O)=0,_xlfn.XLOOKUP(_xlfn.XLOOKUP(B44,'Base stats'!B:B,'Base stats'!E:E),Groups!A:A,Groups!B:B)&gt;0),"AnimalUncommon","AnimalCommon"),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stats'!AH:AH)=1,AND(BG44&lt;&gt;"None",BP44&gt;=60),ISNUMBER(SEARCH("Attack target",BN44))),"AnimalFighter","")
)))</f>
        <v>AnimalCommon</v>
      </c>
      <c r="BV44" s="25" t="str">
        <f>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</f>
        <v>Tundra BorealForest ColdBog TemperateForest TemperateSwamp GlacialPlain</v>
      </c>
      <c r="BW44" s="25" t="str">
        <f>IF(_xlfn.XLOOKUP(B44,'Base stats'!B:B,'Base stats'!AG:AG)=1,"true","false")</f>
        <v>false</v>
      </c>
      <c r="BX44" s="25">
        <f>IF(_xlfn.XLOOKUP(B44,'Base stats'!B:B,'Base stats'!N:N)=1,"No",MIN(MROUND(IF(OR(_xlfn.XLOOKUP(B44,'Base stats'!B:B,'Base stats'!AJ:AJ)=1,AND(BH44="True",CA44="False")),POWER(10,3.47*LOG10(_xlfn.XLOOKUP(B44,'Base stats'!B:B,'Base stats'!C:C)*1000)^-0.96),POWER(10,4.15*LOG10(_xlfn.XLOOKUP(B44,'Base stats'!B:B,'Base stats'!C:C)*1000)^-0.73))*IF(OR(_xlfn.XLOOKUP(B44,'Base stats'!B:B,'Base stats'!AJ:AJ)=1,_xlfn.XLOOKUP(B44,'Base stats'!B:B,'Base stats'!AH:AH)=1),0.5,1)/100,0.025),1))</f>
        <v>0.15000000000000002</v>
      </c>
      <c r="BY44" s="25" t="str">
        <f>IF(O44="Standard","No",IF(_xlfn.XLOOKUP(B44,'Base stats'!B:B,'Base stats'!N:N)=0,MROUND(BX44*O44,0.05),MIN(1,MAX(0.025,MROUND(IF(OR(CA44="true",AND(BH44="false",BM44="false")),POWER(10,4.15*LOG10(_xlfn.XLOOKUP(B44,'Base stats'!B:B,'Base stats'!C:C)*1000)^-0.73),POWER(10,3.47*LOG10(_xlfn.XLOOKUP(B44,'Base stats'!B:B,'Base stats'!C:C)*1000)^-0.96))*IF(_xlfn.XLOOKUP(B44,'Base stats'!B:B,'Base stats'!AH:AH)=1,0.5,1)/100,0.025)))))</f>
        <v>No</v>
      </c>
      <c r="BZ44" s="25" t="str">
        <f>IF(_xlfn.XLOOKUP(_xlfn.XLOOKUP(B44,'Base stats'!B:B,'Base stats'!E:E),Groups!A:A,Groups!AJ:AJ)="Mammal","True","False")</f>
        <v>True</v>
      </c>
      <c r="CA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B44" s="25" t="str">
        <f t="shared" si="6"/>
        <v>False</v>
      </c>
      <c r="CC44" s="25" t="str">
        <f>IF(_xlfn.XLOOKUP(_xlfn.XLOOKUP(B44,'Base stats'!B:B,'Base stats'!E:E),Groups!A:A,Groups!AW:AW),"True","False")</f>
        <v>False</v>
      </c>
      <c r="CD44" s="25" t="str">
        <f>IF(_xlfn.XLOOKUP(_xlfn.XLOOKUP(B44,'Base stats'!B:B,'Base stats'!E:E),Groups!A:A,Groups!AX:AX),"True","False")</f>
        <v>False</v>
      </c>
      <c r="CE44" s="25" t="str">
        <f>IF(_xlfn.XLOOKUP(B44,'Base stats'!B:B,'Base stats'!E:E)=1,"True","False")</f>
        <v>False</v>
      </c>
      <c r="CF44" s="25" t="str">
        <f>IF(
OR(
_xlfn.XLOOKUP(_xlfn.XLOOKUP(B44,'Base stats'!B:B,'Base stats'!E:E),Groups!A:A,Groups!AY:AY)=0,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stats'!E:E),Groups!A:A,Groups!AY:AY)=1,
"Flesh",
IF(
_xlfn.XLOOKUP(_xlfn.XLOOKUP(B44,'Base stats'!B:B,'Base stats'!E:E),Groups!A:A,Groups!AY:AY)=2,
"Bone",
""
)
)
)</f>
        <v>No</v>
      </c>
      <c r="CG44" s="25" t="str">
        <f>IF(_xlfn.XLOOKUP(_xlfn.XLOOKUP(B44,'Base stats'!B:B,'Base stats'!E:E),Groups!A:A,Groups!BA:BA),"True","False")</f>
        <v>True</v>
      </c>
      <c r="CH44" s="25" t="str">
        <f>IF(_xlfn.XLOOKUP(_xlfn.XLOOKUP(B44,'Base stats'!B:B,'Base stats'!E:E),Groups!A:A,Groups!AZ:AZ),"True","False")</f>
        <v>False</v>
      </c>
    </row>
    <row r="45" spans="1:86" ht="16.5" thickTop="1" thickBot="1" x14ac:dyDescent="0.3">
      <c r="A45" s="26" t="str">
        <f>_xlfn.XLOOKUP(B45,'Base stats'!B:B,'Base stats'!A:A)</f>
        <v>Yak</v>
      </c>
      <c r="B45" s="6" t="s">
        <v>151</v>
      </c>
      <c r="C45" s="28" t="s">
        <v>732</v>
      </c>
      <c r="D45" s="28" t="s">
        <v>45</v>
      </c>
      <c r="E45" s="28" t="s">
        <v>685</v>
      </c>
      <c r="F45" s="28" t="s">
        <v>685</v>
      </c>
      <c r="G45" s="2">
        <f>MROUND((
  (IF(AND(_xlfn.XLOOKUP(B45,'Base stats'!B:B,'Base stats'!AI:AI)=0,BG45="None",_xlfn.XLOOKUP('Base stats'!E45,Groups!A:A,Groups!B:B)=0), (18 + BP45 * 2.7) * 0.5,
    IF(AND(_xlfn.XLOOKUP(B45,'Base stats'!B:B,'Base stats'!AI:AI)=0,OR(AN45&lt;0.55,AND(BG45="Intermediate",_xlfn.XLOOKUP('Base stats'!E45,Groups!A:A,Groups!B:B)&lt;2))), (18 + BP45 * 2.7),
      IF(OR(BG45="Advanced",_xlfn.XLOOKUP(B45,'Base stats'!B:B,'Base stats'!AI:AI)=1,_xlfn.XLOOKUP('Base stats'!E45,Groups!A:A,Groups!B:B)=2), (18 + BP45 * 2.7) + 250, (18 + BP45 * 2.7))
    )
  ))
  + AN45 * 80
  + IF(COUNTIF(EggMilk!K$2:K$998, A45) &gt; 0, 125, 0)
  + IF(COUNTIF(EggMilk!P$2:P$998, A45) &gt; 0, 90, 0)
  + IF(COUNTIF(EggMilk!A$2:A$998, A45) &gt; 0, 90, 0)
)
* (0.8 + 0.4 * I45)
* 0.75,25)</f>
        <v>450</v>
      </c>
      <c r="H45" s="2">
        <f>MROUND(ROUNDDOWN(_xlfn.XLOOKUP(B45,'Base stats'!B:B,'Base stats'!L:L)/3.6/(23.3/11),1),0.5)</f>
        <v>4</v>
      </c>
      <c r="I45" s="2">
        <f>IF(_xlfn.XLOOKUP(B45,'Base stats'!B:B,'Base stats'!AI:AI)=1,0.99,MIN(MROUND((1-0.6282*EXP(-0.459*AN45))*_xlfn.XLOOKUP(_xlfn.XLOOKUP(B45,'Base stats'!B:B,'Base stats'!E:E),Groups!A:A,Groups!C:C)*IF(_xlfn.XLOOKUP(B45,'Base stats'!B:B,'Base stats'!O:O)=1,0.5,IF(_xlfn.XLOOKUP(B45,'Base stats'!B:B,'Base stats'!O:O)=2,0,1)),0.05),0.985))</f>
        <v>0.35000000000000003</v>
      </c>
      <c r="J45" s="2">
        <f>ROUNDUP(AN45*_xlfn.XLOOKUP(_xlfn.XLOOKUP(B45,'Base stats'!B:B,'Base stats'!E:E),Groups!A:A,Groups!E:E),0)</f>
        <v>15</v>
      </c>
      <c r="K45" s="2">
        <f>IF(OR(_xlfn.XLOOKUP(_xlfn.XLOOKUP(B45,'Base stats'!B:B,'Base stats'!E:E),Groups!A:A,Groups!F:F)=2,ISNUMBER(SEARCH("SeaIce",BV45)),ISNUMBER(SEARCH("IceSheet",BV45))),-50,IF(OR(ISNUMBER(SEARCH("GlacialPlain",BV45)),ISNUMBER(SEARCH("Tundra",BV45))),-40,IF(OR(ISNUMBER(SEARCH("Alpine",BV45)),ISNUMBER(SEARCH("BorealForest",BV45)),ISNUMBER(SEARCH("ColdBog",BV45))),-30,IF(OR(ISNUMBER(SEARCH("TemperateForest",BV45)),ISNUMBER(SEARCH("TemperateSwamp",BV45))),-20,IF(_xlfn.XLOOKUP(_xlfn.XLOOKUP(B45,'Base stats'!B:B,'Base stats'!E:E),Groups!A:A,Groups!F:F)=1,-15,IF(OR(ISNUMBER(SEARCH("Desert",BV45)),ISNUMBER(SEARCH("ExtremeDesert",BV45))),-10,IF(OR(ISNUMBER(SEARCH("Grasslands",BV45)),ISNUMBER(SEARCH("TropicalRainforest",BV45)),ISNUMBER(SEARCH("TropicalSwamp",BV45))),10,0)))))))-IF(CA45="False",MIN(IFERROR(MAX(MROUND(LOG10(_xlfn.XLOOKUP(B45,'Base stats'!B:B,'Base stats'!C:C)^(2/3))*10,5),5),5),30))-_xlfn.XLOOKUP(B45,'Base stats'!B:B,'Base stats'!P:P)+IF(CA45="True",5,0)</f>
        <v>-50</v>
      </c>
      <c r="L45" s="2">
        <f>IF(OR(_xlfn.XLOOKUP(_xlfn.XLOOKUP(B45,'Base stats'!B:B,'Base stats'!E:E),Groups!A:A,Groups!G:G)=2,ISNUMBER(SEARCH("Desert",BV45)),ISNUMBER(SEARCH("ExtremeDesert",BV45)),ISNUMBER(SEARCH("LavaField",BV45))),50,IF(ISNUMBER(SEARCH("Grasslands",BV45)),45,IF(OR(_xlfn.XLOOKUP(_xlfn.XLOOKUP(B45,'Base stats'!B:B,'Base stats'!E:E),Groups!A:A,Groups!G:G)=1,ISNUMBER(SEARCH("TropicalRainforest",BV45)),ISNUMBER(SEARCH("TropicalSwamp",BV45))),40,IF(OR(ISNUMBER(SEARCH("TemperateForest",BV45)),ISNUMBER(SEARCH("TemperateSwamp",BV45))),35,IF(OR(ISNUMBER(SEARCH("Alpine",BV45)),ISNUMBER(SEARCH("BorealForest",BV45)),ISNUMBER(SEARCH("ColdBog",BV45))),30,IF(ISNUMBER(OR(ISNUMBER(SEARCH("GlacialPlain",BV45)),SEARCH("Tundra",BV45))),25,IF(OR(ISNUMBER(SEARCH("SeaIce",BV45)),ISNUMBER(SEARCH("IceSheet",BV45)),ISNUMBER(SEARCH("TropicalSwamp",BV45))),10,35)))))))+_xlfn.XLOOKUP(B45,'Base stats'!B:B,'Base stats'!Q:Q)</f>
        <v>30</v>
      </c>
      <c r="M45" s="8" t="str">
        <f>IF(_xlfn.XLOOKUP(_xlfn.XLOOKUP(B45,'Base stats'!B:B,'Base stats'!E:E),Groups!A:A,Groups!L:L)=1,MIN(MROUND(_xlfn.XLOOKUP(B45,'Animals CE'!B:B,'Animals CE'!Z:Z)/2+0.05,0.05),200%),"No")</f>
        <v>No</v>
      </c>
      <c r="N45" s="8" t="str">
        <f>IF(_xlfn.XLOOKUP(_xlfn.XLOOKUP(B45,'Base stats'!B:B,'Base stats'!E:E),Groups!A:A,Groups!L:L)=1,MIN(MROUND(_xlfn.XLOOKUP(B45,'Animals CE'!B:B,'Animals CE'!AA:AA)/2+0.05,0.05),200%),"No")</f>
        <v>No</v>
      </c>
      <c r="O45" s="2" t="str">
        <f>_xlfn.XLOOKUP(B45,'Base stats'!B:B,'Base stats'!R:R)</f>
        <v>Standard</v>
      </c>
      <c r="P45" s="13">
        <f>MROUND((LOG10(_xlfn.XLOOKUP(B45,'Base stats'!B:B,'Base stats'!AO:AO))*(AN45^0.5)+(_xlfn.XLOOKUP(B45,'Base stats'!B:B,'Base stats'!AO:AO)/1000)^(2/3)+_xlfn.XLOOKUP(B45,'Base stats'!B:B,'Base stats'!AX:AX)/2)+0.5,0.5)</f>
        <v>17.5</v>
      </c>
      <c r="Q45" s="7">
        <f>IF(P45="No","No",MAX(1,MROUND(_xlfn.XLOOKUP(B45,'Base stats'!B:B,'Base stats'!C:C)^0.165,0.05)))</f>
        <v>2.9000000000000004</v>
      </c>
      <c r="R45" s="13">
        <f>IF(_xlfn.XLOOKUP(_xlfn.XLOOKUP(B45,'Base stats'!B:B,'Base stats'!E:E),Groups!A:A,Groups!P:P)=0,"No",MROUND((LOG10(_xlfn.XLOOKUP(B45,'Base stats'!B:B,'Base stats'!AP:AP))*(AN45^0.5)+(_xlfn.XLOOKUP(B45,'Base stats'!B:B,'Base stats'!AP:AP)/1000)^(2/3)+_xlfn.XLOOKUP(B45,'Base stats'!B:B,'Base stats'!AX:AX))+_xlfn.XLOOKUP(B45,'Base stats'!B:B,'Base stats'!AV:AV)+0.5,0.5))</f>
        <v>21</v>
      </c>
      <c r="S45" s="7">
        <f>IF(R45="No","No",MAX(_xlfn.XLOOKUP(_xlfn.XLOOKUP(B45,'Base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T45" s="7" t="str">
        <f>IF(R45="No","No",_xlfn.XLOOKUP(_xlfn.XLOOKUP(B45,'Base stats'!B:B,'Base stats'!E:E),Groups!A:A,Groups!R:R))</f>
        <v>FrontLeftLeg, FrontRightLeg</v>
      </c>
      <c r="U45" s="7" t="str">
        <f>IF(R45="No","No",_xlfn.XLOOKUP(_xlfn.XLOOKUP(B45,'Base stats'!B:B,'Base stats'!E:E),Groups!A:A,Groups!S:S))</f>
        <v>left hoof, right hoof</v>
      </c>
      <c r="V45" s="7" t="str">
        <f>IF(R45="No","No",_xlfn.XLOOKUP(_xlfn.XLOOKUP(B45,'Base stats'!B:B,'Base stats'!E:E),Groups!A:A,Groups!T:T))</f>
        <v>Blunt</v>
      </c>
      <c r="W45" s="13">
        <f>IF(_xlfn.XLOOKUP(B45,'Base stats'!B:B,'Base stats'!W:W)="No","No",MROUND((LOG10(_xlfn.XLOOKUP(B45,'Base stats'!B:B,'Base stats'!AR:AR))*(AN45^0.5)+(_xlfn.XLOOKUP(B45,'Base stats'!B:B,'Base stats'!AR:AR)/1000)^(2/3)+_xlfn.XLOOKUP(B45,'Base stats'!B:B,'Base stats'!AW:AW))+0.5+IF(_xlfn.XLOOKUP(_xlfn.XLOOKUP(B45,'Base stats'!B:B,'Base stats'!E:E),Groups!A:A,Groups!U:U)&lt;&gt;3,_xlfn.XLOOKUP(B45,'Base stats'!B:B,'Base stats'!AX:AX),0),0.5))</f>
        <v>19.5</v>
      </c>
      <c r="X45" s="7">
        <f>IF(W45="No","No",MAX(_xlfn.XLOOKUP(_xlfn.XLOOKUP(B45,'Base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Y45" s="7" t="str">
        <f>IF(W45="No","No",_xlfn.XLOOKUP(_xlfn.XLOOKUP(B45,'Base stats'!B:B,'Base stats'!E:E),Groups!A:A,Groups!W:W))</f>
        <v>HeadAttackTool</v>
      </c>
      <c r="Z45" s="7" t="str">
        <f>IF(W45="No","No",_xlfn.XLOOKUP(_xlfn.XLOOKUP(B45,'Base stats'!B:B,'Base stats'!E:E),Groups!A:A,Groups!X:X))</f>
        <v>horn</v>
      </c>
      <c r="AA45" s="7" t="str">
        <f>IF(W45="No","No",_xlfn.XLOOKUP(_xlfn.XLOOKUP(B45,'Base stats'!B:B,'Base stats'!E:E),Groups!A:A,Groups!Y:Y))</f>
        <v>Scratch</v>
      </c>
      <c r="AB45" s="7" t="str">
        <f>_xlfn.XLOOKUP(Animals!B45,'Base stats'!B:B,'Base stats'!X:X)</f>
        <v>True</v>
      </c>
      <c r="AC45" s="13" t="str">
        <f>IF(_xlfn.XLOOKUP(B45,'Base stats'!B:B,'Base stats'!AQ:AQ)="No","No",MROUND((LOG10(_xlfn.XLOOKUP(B45,'Base stats'!B:B,'Base stats'!AQ:AQ))*(AN45^0.75)+(_xlfn.XLOOKUP(B45,'Base stats'!B:B,'Base stats'!AQ:AQ)/1000)^(2/3)+_xlfn.XLOOKUP(B45,'Base stats'!B:B,'Base stats'!AU:AU)+_xlfn.XLOOKUP(B45,'Base stats'!B:B,'Base stats'!AX:AX))+0.5,0.5))</f>
        <v>No</v>
      </c>
      <c r="AD45" s="7" t="str">
        <f>IF(AC45="No","No",MAX(_xlfn.XLOOKUP(_xlfn.XLOOKUP(B45,'Base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E45" s="7" t="str">
        <f>IF(AC45="No","No",_xlfn.XLOOKUP(_xlfn.XLOOKUP(B45,'Base stats'!B:B,'Base stats'!E:E),Groups!A:A,Groups!AA:AA))</f>
        <v>No</v>
      </c>
      <c r="AF45" s="7" t="str">
        <f>IF(AC45="No","No",_xlfn.XLOOKUP(_xlfn.XLOOKUP(B45,'Base stats'!B:B,'Base stats'!E:E),Groups!A:A,Groups!AB:AB))</f>
        <v>No</v>
      </c>
      <c r="AG45" s="7" t="str">
        <f>IF(AC45="No","No",_xlfn.XLOOKUP(_xlfn.XLOOKUP(B45,'Base stats'!B:B,'Base stats'!E:E),Groups!A:A,Groups!AC:AC))</f>
        <v>No</v>
      </c>
      <c r="AH45" s="13" t="str">
        <f>IF(_xlfn.XLOOKUP(_xlfn.XLOOKUP(B45,'Base stats'!B:B,'Base stats'!E:E),Groups!A:A,Groups!AD:AD)=0,"No",MROUND((LOG10(_xlfn.XLOOKUP(B45,'Base stats'!B:B,'Base stats'!AP:AP))*(AN45^0.75)+(_xlfn.XLOOKUP(B45,'Base stats'!B:B,'Base stats'!AP:AP)/1000)^(2/3)+_xlfn.XLOOKUP(B45,'Base stats'!B:B,'Base stats'!AV:AV)+_xlfn.XLOOKUP(B45,'Base stats'!B:B,'Base stats'!AX:AX))+0.5,0.5))</f>
        <v>No</v>
      </c>
      <c r="AI45" s="7" t="str">
        <f>IF(AH45="No","No",MAX(_xlfn.XLOOKUP(_xlfn.XLOOKUP(B45,'Base stats'!B:B,'Base stats'!E:E),Groups!A:A,Groups!AE:AE),MROUND(_xlfn.XLOOKUP(_xlfn.XLOOKUP(B45,'Base stats'!B:B,'Base stats'!E:E),Groups!A:A,Groups!AE:AE)*_xlfn.XLOOKUP(B45,'Base stats'!B:B,'Base stats'!C:C)^0.165,0.05)))</f>
        <v>No</v>
      </c>
      <c r="AJ45" s="7" t="str">
        <f>IF(AH45="No","No",_xlfn.XLOOKUP(_xlfn.XLOOKUP(B45,'Base stats'!B:B,'Base stats'!E:E),Groups!A:A,Groups!AF:AF))</f>
        <v>No</v>
      </c>
      <c r="AK45" s="7" t="str">
        <f>IF(AH45="No","No",_xlfn.XLOOKUP(_xlfn.XLOOKUP(B45,'Base stats'!B:B,'Base stats'!E:E),Groups!A:A,Groups!AG:AG))</f>
        <v>No</v>
      </c>
      <c r="AL45" s="7" t="str">
        <f>IF(AH45="No","No",_xlfn.XLOOKUP(_xlfn.XLOOKUP(B45,'Base stats'!B:B,'Base stats'!E:E),Groups!A:A,Groups!AH:AH))</f>
        <v>No</v>
      </c>
      <c r="AM45" s="2" t="str">
        <f t="shared" si="0"/>
        <v>No</v>
      </c>
      <c r="AN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O45" s="8">
        <f>MROUND(AN45*_xlfn.XLOOKUP(_xlfn.XLOOKUP(B45,'Base stats'!B:B,'Base stats'!E:E),Groups!A:A,Groups!AI:AI),0.05)</f>
        <v>3</v>
      </c>
      <c r="AP45" s="8">
        <f>MAX(0.01,MROUND(IF(CA45="True",0.196*(AN45*100*1000)^0.889,IF(_xlfn.XLOOKUP(_xlfn.XLOOKUP(B45,'Base stats'!B:B,'Base stats'!E:E),Groups!A:A,Groups!AJ:AJ)="Bird",10.5*(AN45*100*1000)^0.681,4.82*(AN45*100*1000)^0.734))/(4.82*(1*100*1000)^0.734)/IF(AN45&lt;3.5,2,IF(AN45=3.5,1.5,1.25))*(1+0.132282374779864/(AN45^0.994035016789033+0.00905238001496948)),0.05))</f>
        <v>1.1500000000000001</v>
      </c>
      <c r="AQ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R45" s="35">
        <f>IFERROR(IF(_xlfn.XLOOKUP(B45,'Base stats'!B:B,'Base stats'!F:F)="Lay eggs","Lay eggs",MIN(20,MAX(5.5,ROUND(((_xlfn.XLOOKUP(B45,'Base stats'!B:B,'Base stats'!F:F)-25)*(14.5/615) + 5.5)*2,0)/2))),"Cannot breed")</f>
        <v>11.5</v>
      </c>
      <c r="AS45" s="8">
        <f>IF(OR(A45="Queen",A45="Larva",A45="Megachicken"),"No",IFERROR(MAX(IF(_xlfn.XLOOKUP(B45,'Base stats'!B:B,'Base stats'!G:G)&lt;0.5,0.2,0.3),MROUND(_xlfn.XLOOKUP(B45,'Base stats'!B:B,'Base stats'!G:G)/(365/60),0.2)),"Unknown"))</f>
        <v>0.4</v>
      </c>
      <c r="AT45" s="8">
        <f t="shared" si="1"/>
        <v>0.2</v>
      </c>
      <c r="AU45" s="8">
        <f>IFERROR(IFERROR(MROUND(_xlfn.XLOOKUP(B45,'Base stats'!B:B,'Base stats'!J:J),0.1),"Lay eggs"),"Cannot breed")</f>
        <v>1</v>
      </c>
      <c r="AV45" s="2" t="str">
        <f t="shared" si="2"/>
        <v>true</v>
      </c>
      <c r="AW45" s="2" t="str">
        <f>IF(_xlfn.XLOOKUP(_xlfn.XLOOKUP(Animals!B45,'Base stats'!B:B,'Base stats'!E:E),Groups!A:A,Groups!AK:AK)=1,"true","false")</f>
        <v>false</v>
      </c>
      <c r="AX45" s="25" t="str">
        <f>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</f>
        <v>VegetarianRoughAnimal</v>
      </c>
      <c r="AY45" s="2">
        <f>IF(_xlfn.XLOOKUP(_xlfn.XLOOKUP(B45,'Base stats'!B:B,'Base stats'!E:E),Groups!A:A,Groups!D:D)=1,MROUND((1-I45)*5+1,2)*IF(I45&lt;=0.4,2,1),"No")</f>
        <v>8</v>
      </c>
      <c r="AZ45" s="2" t="str">
        <f>_xlfn.XLOOKUP(B45,'Base stats'!B:B,'Base stats'!AE:AE)</f>
        <v>Leather_Plain</v>
      </c>
      <c r="BA45" s="23" t="str">
        <f>_xlfn.XLOOKUP(_xlfn.XLOOKUP(B45,'Base stats'!B:B,'Base stats'!E:E),Groups!A:A,Groups!AL:AL)</f>
        <v>QuadrupedAnimalWithHooves</v>
      </c>
      <c r="BB45" s="23">
        <f>MROUND(IF(AND(AN45&lt;0.5,_xlfn.XLOOKUP(B45,'Base stats'!B:B,'Base stats'!Z:Z)=0),0,IF(OR(_xlfn.XLOOKUP(Animals!B45,'Base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stats'!AA:AA),0.005)</f>
        <v>1.4999999999999999E-2</v>
      </c>
      <c r="BC45" s="23">
        <f>MROUND(IF(AND(AN45&lt;0.5,_xlfn.XLOOKUP(B45,'Base stats'!B:B,'Base stats'!Z:Z)=0),0,IF(_xlfn.XLOOKUP(_xlfn.XLOOKUP(B45,'Base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stats'!AB:AB),0.005)</f>
        <v>0.1</v>
      </c>
      <c r="BD45" s="2" t="str">
        <f>IF(I45&gt;0.3,"No",_xlfn.XLOOKUP(_xlfn.XLOOKUP(Animals!B45,'Base stats'!B:B,'Base stats'!E:E),Groups!A:A,Groups!AP:AP))</f>
        <v>No</v>
      </c>
      <c r="BE45" s="2" t="str">
        <f>IF(AND(I45&lt;=0.65,_xlfn.XLOOKUP(_xlfn.XLOOKUP(Animals!B45,'Base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stats'!O:O)=2,0.2,AN45) + 24*(1-IF(BD45="No",0,BD45)) + 16/3, 12),"No")</f>
        <v>No</v>
      </c>
      <c r="BF45" s="2">
        <f>IF(AND(_xlfn.XLOOKUP(_xlfn.XLOOKUP(B45,'Base stats'!B:B,'Base stats'!E:E),Groups!A:A,Groups!AQ:AQ)=1,AN45&lt;=0.35),8,12)</f>
        <v>12</v>
      </c>
      <c r="BG45" s="2" t="str">
        <f>IF(_xlfn.XLOOKUP(_xlfn.XLOOKUP(B45,'Base stats'!B:B,'Base stats'!E:E),Groups!A:A,Groups!D:D)=0,_xlfn.XLOOKUP(_xlfn.XLOOKUP(B45,'Base stats'!B:B,'Base stats'!E:E),Groups!A:A,Groups!AR:AR),"None")</f>
        <v>None</v>
      </c>
      <c r="BH45" s="2" t="str">
        <f>IF(AND(_xlfn.XLOOKUP(_xlfn.XLOOKUP(B45,'Base stats'!B:B,'Base stats'!E:E),Groups!A:A,Groups!AS:AS)=1,OR('Base stats'!Y45="Carnivore",'Base stats'!Y45="Omnivore")),"true","false")</f>
        <v>false</v>
      </c>
      <c r="BI45" s="2" t="str">
        <f>IF(BH45="true",MROUND(IF(AND(AN45&gt;0.5,_xlfn.XLOOKUP(_xlfn.XLOOKUP(B45,'Base stats'!B:B,'Base stats'!E:E),Groups!A:A,Groups!AJ:AJ)="Mammal"),Animals!AN45*1.75*IF(AV45="true",1.5,1),Animals!AN45),IF(AN45&gt;2,0.5,IF(AN45&gt;0.5,0.25,0.1))),"No")</f>
        <v>No</v>
      </c>
      <c r="BJ45" s="2">
        <f t="shared" si="3"/>
        <v>0</v>
      </c>
      <c r="BK45" s="25" t="str">
        <f>IF('Base stats'!AK45="Standard","No",MROUND((_xlfn.XLOOKUP(B45,'Base stats'!B:B,'Base stats'!AK:AK)/3.6)/H45,0.1))</f>
        <v>No</v>
      </c>
      <c r="BL45" s="25" t="str">
        <f t="shared" si="4"/>
        <v>false</v>
      </c>
      <c r="BM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N45" s="25" t="str" cm="1">
        <f t="array" ref="BN45">IF(
  _xlfn.TEXTJOIN(", ",TRUE,
    IF(AND(BH45="true",AN45&gt;0.5,BG45&lt;&gt;"None"),"AttackTarget",""),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IF(BE45&lt;=36,"Comfort",""),
    IF(_xlfn.XLOOKUP(B45,'Base stats'!B:B,'Base stats'!AC:AC)&lt;&gt;"No",_xlfn.XLOOKUP(B45,'Base stats'!B:B,'Base stats'!AC:AC),"")
  ) = "",
  "No",
  _xlfn.TEXTJOIN(", ",TRUE,
    IF(AND(BH45="true",AN45&gt;0.5,BG45&lt;&gt;"None"),"AttackTarget",""),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IF(BE45&lt;=36,"Comfort",""),
    IF(_xlfn.XLOOKUP(B45,'Base stats'!B:B,'Base stats'!AC:AC)&lt;&gt;"No",_xlfn.XLOOKUP(B45,'Base stats'!B:B,'Base stats'!AC:AC),"")
  )
)</f>
        <v>No</v>
      </c>
      <c r="BO45" s="25" t="str">
        <f>IF(
   AND(
      'Base stats'!AK45="Standard",_xlfn.XLOOKUP(_xlfn.XLOOKUP(B45,'Base stats'!B:B,'Base stats'!E:E),Groups!A:A,Groups!AU:AU)=0,
      OR(
      BM45="True"
      )
   ),
   10,
   IF(
       OR(BK45&lt;&gt;"No",_xlfn.XLOOKUP(_xlfn.XLOOKUP(B45,'Base stats'!B:B,'Base stats'!E:E),Groups!A:A,Groups!AU:AU)=1),
      1,
      "No"
   )
)</f>
        <v>No</v>
      </c>
      <c r="BP45" s="9">
        <f>MROUND((1 + ((0.2*IF(OR(P45="No",Q45="No",Q45=0),0,P45/Q45)
+IF(OR(U45="No",R45="No",S45="No"),0,R45/S45*(LEN(U45)-LEN(SUBSTITUTE(U45,",",""))+1))
+IF(OR(W45="No",X45="No"),0,W45/X45)
+IF(OR(AC45="No",AD45="No"),0,AC45/AD45)
+IF(OR(AK45="No",AH45="No",AI45="No"),0,AH45/AI45*(LEN(AK45)-LEN(SUBSTITUTE(AK45,",",""))+1))
)/(0.2*IF(OR(P45="No",Q45="No",Q45=0),0,1)
+IF(OR(U45="No",R45="No",S45="No"),0,LEN(U45)-LEN(SUBSTITUTE(U45,",",""))+1)
+IF(OR(W45="No",X45="No"),0,1)
+IF(OR(AC45="No",AD45="No"),0,1)
+IF(OR(AK45="No",AH45="No",AI45="No"),0,LEN(AK45)-LEN(SUBSTITUTE(AK45,",",""))+1))*62%)* 2)*(1 + (AO45 + _xlfn.XLOOKUP(B45,'Base stats'!B:B,'Base stats'!AS:AS) * 1.8) * 2) * 2.5 + 10 + H45 * 2,5)+IF(_xlfn.XLOOKUP(B45,'Base stats'!B:B,'Base stats'!AH:AH)=1,50,0)</f>
        <v>195</v>
      </c>
      <c r="BQ45" s="8">
        <f t="shared" si="5"/>
        <v>1.5</v>
      </c>
      <c r="BR45" s="8" t="str">
        <f>_xlfn.XLOOKUP(B45,'Base stats'!B:B,'Base stats'!AD:AD)</f>
        <v>3~10</v>
      </c>
      <c r="BS45" s="2" t="str">
        <f>IF(AND(I45&lt;=0.95,OR(_xlfn.XLOOKUP(B45,'Base stats'!B:B,'Base stats'!AH:AH)=1,_xlfn.XLOOKUP(B45,'Base stats'!B:B,'Base stats'!Y:Y)="Carnivore",_xlfn.XLOOKUP(B45,'Base stats'!B:B,'Base stats'!Y:Y)="Omnivore",BC45&gt;0.1)),"true","false")</f>
        <v>false</v>
      </c>
      <c r="BT45" s="2" t="str">
        <f>IF(_xlfn.XLOOKUP(B45,'Base stats'!B:B,'Base stats'!AF:AF)=1,"true","false")</f>
        <v>true</v>
      </c>
      <c r="BU45" s="25" t="str">
        <f>IF(E45="BaseInsect","AnimalInsect",
IF(I45&gt;0.95,"AnimalExotic",
_xlfn.TEXTJOIN(", ",TRUE,
IF(AND(_xlfn.XLOOKUP(B45,'Base stats'!B:B,'Base stats'!O:O)=0,_xlfn.XLOOKUP(_xlfn.XLOOKUP(B45,'Base stats'!B:B,'Base stats'!E:E),Groups!A:A,Groups!B:B)&gt;0),"AnimalUncommon","AnimalCommon"),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stats'!AH:AH)=1,AND(BG45&lt;&gt;"None",BP45&gt;=60),ISNUMBER(SEARCH("Attack target",BN45))),"AnimalFighter","")
)))</f>
        <v>AnimalCommon, AnimalFarm</v>
      </c>
      <c r="BV45" s="25" t="str">
        <f>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</f>
        <v>Alpine</v>
      </c>
      <c r="BW45" s="25" t="str">
        <f>IF(_xlfn.XLOOKUP(B45,'Base stats'!B:B,'Base stats'!AG:AG)=1,"true","false")</f>
        <v>false</v>
      </c>
      <c r="BX45" s="25">
        <f>IF(_xlfn.XLOOKUP(B45,'Base stats'!B:B,'Base stats'!N:N)=1,"No",MIN(MROUND(IF(OR(_xlfn.XLOOKUP(B45,'Base stats'!B:B,'Base stats'!AJ:AJ)=1,AND(BH45="True",CA45="False")),POWER(10,3.47*LOG10(_xlfn.XLOOKUP(B45,'Base stats'!B:B,'Base stats'!C:C)*1000)^-0.96),POWER(10,4.15*LOG10(_xlfn.XLOOKUP(B45,'Base stats'!B:B,'Base stats'!C:C)*1000)^-0.73))*IF(OR(_xlfn.XLOOKUP(B45,'Base stats'!B:B,'Base stats'!AJ:AJ)=1,_xlfn.XLOOKUP(B45,'Base stats'!B:B,'Base stats'!AH:AH)=1),0.5,1)/100,0.025),1))</f>
        <v>0.15000000000000002</v>
      </c>
      <c r="BY45" s="25" t="str">
        <f>IF(O45="Standard","No",IF(_xlfn.XLOOKUP(B45,'Base stats'!B:B,'Base stats'!N:N)=0,MROUND(BX45*O45,0.05),MIN(1,MAX(0.025,MROUND(IF(OR(CA45="true",AND(BH45="false",BM45="false")),POWER(10,4.15*LOG10(_xlfn.XLOOKUP(B45,'Base stats'!B:B,'Base stats'!C:C)*1000)^-0.73),POWER(10,3.47*LOG10(_xlfn.XLOOKUP(B45,'Base stats'!B:B,'Base stats'!C:C)*1000)^-0.96))*IF(_xlfn.XLOOKUP(B45,'Base stats'!B:B,'Base stats'!AH:AH)=1,0.5,1)/100,0.025)))))</f>
        <v>No</v>
      </c>
      <c r="BZ45" s="25" t="str">
        <f>IF(_xlfn.XLOOKUP(_xlfn.XLOOKUP(B45,'Base stats'!B:B,'Base stats'!E:E),Groups!A:A,Groups!AJ:AJ)="Mammal","True","False")</f>
        <v>True</v>
      </c>
      <c r="CA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B45" s="25" t="str">
        <f t="shared" si="6"/>
        <v>False</v>
      </c>
      <c r="CC45" s="25" t="str">
        <f>IF(_xlfn.XLOOKUP(_xlfn.XLOOKUP(B45,'Base stats'!B:B,'Base stats'!E:E),Groups!A:A,Groups!AW:AW),"True","False")</f>
        <v>False</v>
      </c>
      <c r="CD45" s="25" t="str">
        <f>IF(_xlfn.XLOOKUP(_xlfn.XLOOKUP(B45,'Base stats'!B:B,'Base stats'!E:E),Groups!A:A,Groups!AX:AX),"True","False")</f>
        <v>False</v>
      </c>
      <c r="CE45" s="25" t="str">
        <f>IF(_xlfn.XLOOKUP(B45,'Base stats'!B:B,'Base stats'!E:E)=1,"True","False")</f>
        <v>False</v>
      </c>
      <c r="CF45" s="25" t="str">
        <f>IF(
OR(
_xlfn.XLOOKUP(_xlfn.XLOOKUP(B45,'Base stats'!B:B,'Base stats'!E:E),Groups!A:A,Groups!AY:AY)=0,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stats'!E:E),Groups!A:A,Groups!AY:AY)=1,
"Flesh",
IF(
_xlfn.XLOOKUP(_xlfn.XLOOKUP(B45,'Base stats'!B:B,'Base stats'!E:E),Groups!A:A,Groups!AY:AY)=2,
"Bone",
""
)
)
)</f>
        <v>No</v>
      </c>
      <c r="CG45" s="25" t="str">
        <f>IF(_xlfn.XLOOKUP(_xlfn.XLOOKUP(B45,'Base stats'!B:B,'Base stats'!E:E),Groups!A:A,Groups!BA:BA),"True","False")</f>
        <v>True</v>
      </c>
      <c r="CH45" s="25" t="str">
        <f>IF(_xlfn.XLOOKUP(_xlfn.XLOOKUP(B45,'Base stats'!B:B,'Base stats'!E:E),Groups!A:A,Groups!AZ:AZ),"True","False")</f>
        <v>False</v>
      </c>
    </row>
    <row r="46" spans="1:86" ht="16.5" thickTop="1" thickBot="1" x14ac:dyDescent="0.3">
      <c r="A46" s="26" t="str">
        <f>_xlfn.XLOOKUP(B46,'Base stats'!B:B,'Base stats'!A:A)</f>
        <v>Elk</v>
      </c>
      <c r="B46" s="6" t="s">
        <v>155</v>
      </c>
      <c r="C46" s="28" t="s">
        <v>733</v>
      </c>
      <c r="D46" s="28" t="s">
        <v>45</v>
      </c>
      <c r="E46" s="28" t="s">
        <v>685</v>
      </c>
      <c r="F46" s="28" t="s">
        <v>685</v>
      </c>
      <c r="G46" s="2">
        <f>MROUND((
  (IF(AND(_xlfn.XLOOKUP(B46,'Base stats'!B:B,'Base stats'!AI:AI)=0,BG46="None",_xlfn.XLOOKUP('Base stats'!E46,Groups!A:A,Groups!B:B)=0), (18 + BP46 * 2.7) * 0.5,
    IF(AND(_xlfn.XLOOKUP(B46,'Base stats'!B:B,'Base stats'!AI:AI)=0,OR(AN46&lt;0.55,AND(BG46="Intermediate",_xlfn.XLOOKUP('Base stats'!E46,Groups!A:A,Groups!B:B)&lt;2))), (18 + BP46 * 2.7),
      IF(OR(BG46="Advanced",_xlfn.XLOOKUP(B46,'Base stats'!B:B,'Base stats'!AI:AI)=1,_xlfn.XLOOKUP('Base stats'!E46,Groups!A:A,Groups!B:B)=2), (18 + BP46 * 2.7) + 250, (18 + BP46 * 2.7))
    )
  ))
  + AN46 * 80
  + IF(COUNTIF(EggMilk!K$2:K$998, A46) &gt; 0, 125, 0)
  + IF(COUNTIF(EggMilk!P$2:P$998, A46) &gt; 0, 90, 0)
  + IF(COUNTIF(EggMilk!A$2:A$998, A46) &gt; 0, 90, 0)
)
* (0.8 + 0.4 * I46)
* 0.75,25)</f>
        <v>350</v>
      </c>
      <c r="H46" s="2">
        <f>MROUND(ROUNDDOWN(_xlfn.XLOOKUP(B46,'Base stats'!B:B,'Base stats'!L:L)/3.6/(23.3/11),1),0.5)</f>
        <v>9.5</v>
      </c>
      <c r="I46" s="2">
        <f>IF(_xlfn.XLOOKUP(B46,'Base stats'!B:B,'Base stats'!AI:AI)=1,0.99,MIN(MROUND((1-0.6282*EXP(-0.459*AN46))*_xlfn.XLOOKUP(_xlfn.XLOOKUP(B46,'Base stats'!B:B,'Base stats'!E:E),Groups!A:A,Groups!C:C)*IF(_xlfn.XLOOKUP(B46,'Base stats'!B:B,'Base stats'!O:O)=1,0.5,IF(_xlfn.XLOOKUP(B46,'Base stats'!B:B,'Base stats'!O:O)=2,0,1)),0.05),0.985))</f>
        <v>0.60000000000000009</v>
      </c>
      <c r="J46" s="2">
        <f>ROUNDUP(AN46*_xlfn.XLOOKUP(_xlfn.XLOOKUP(B46,'Base stats'!B:B,'Base stats'!E:E),Groups!A:A,Groups!E:E),0)</f>
        <v>9</v>
      </c>
      <c r="K46" s="2">
        <f>IF(OR(_xlfn.XLOOKUP(_xlfn.XLOOKUP(B46,'Base stats'!B:B,'Base stats'!E:E),Groups!A:A,Groups!F:F)=2,ISNUMBER(SEARCH("SeaIce",BV46)),ISNUMBER(SEARCH("IceSheet",BV46))),-50,IF(OR(ISNUMBER(SEARCH("GlacialPlain",BV46)),ISNUMBER(SEARCH("Tundra",BV46))),-40,IF(OR(ISNUMBER(SEARCH("Alpine",BV46)),ISNUMBER(SEARCH("BorealForest",BV46)),ISNUMBER(SEARCH("ColdBog",BV46))),-30,IF(OR(ISNUMBER(SEARCH("TemperateForest",BV46)),ISNUMBER(SEARCH("TemperateSwamp",BV46))),-20,IF(_xlfn.XLOOKUP(_xlfn.XLOOKUP(B46,'Base stats'!B:B,'Base stats'!E:E),Groups!A:A,Groups!F:F)=1,-15,IF(OR(ISNUMBER(SEARCH("Desert",BV46)),ISNUMBER(SEARCH("ExtremeDesert",BV46))),-10,IF(OR(ISNUMBER(SEARCH("Grasslands",BV46)),ISNUMBER(SEARCH("TropicalRainforest",BV46)),ISNUMBER(SEARCH("TropicalSwamp",BV46))),10,0)))))))-IF(CA46="False",MIN(IFERROR(MAX(MROUND(LOG10(_xlfn.XLOOKUP(B46,'Base stats'!B:B,'Base stats'!C:C)^(2/3))*10,5),5),5),30))-_xlfn.XLOOKUP(B46,'Base stats'!B:B,'Base stats'!P:P)+IF(CA46="True",5,0)</f>
        <v>-55</v>
      </c>
      <c r="L46" s="2">
        <f>IF(OR(_xlfn.XLOOKUP(_xlfn.XLOOKUP(B46,'Base stats'!B:B,'Base stats'!E:E),Groups!A:A,Groups!G:G)=2,ISNUMBER(SEARCH("Desert",BV46)),ISNUMBER(SEARCH("ExtremeDesert",BV46)),ISNUMBER(SEARCH("LavaField",BV46))),50,IF(ISNUMBER(SEARCH("Grasslands",BV46)),45,IF(OR(_xlfn.XLOOKUP(_xlfn.XLOOKUP(B46,'Base stats'!B:B,'Base stats'!E:E),Groups!A:A,Groups!G:G)=1,ISNUMBER(SEARCH("TropicalRainforest",BV46)),ISNUMBER(SEARCH("TropicalSwamp",BV46))),40,IF(OR(ISNUMBER(SEARCH("TemperateForest",BV46)),ISNUMBER(SEARCH("TemperateSwamp",BV46))),35,IF(OR(ISNUMBER(SEARCH("Alpine",BV46)),ISNUMBER(SEARCH("BorealForest",BV46)),ISNUMBER(SEARCH("ColdBog",BV46))),30,IF(ISNUMBER(OR(ISNUMBER(SEARCH("GlacialPlain",BV46)),SEARCH("Tundra",BV46))),25,IF(OR(ISNUMBER(SEARCH("SeaIce",BV46)),ISNUMBER(SEARCH("IceSheet",BV46)),ISNUMBER(SEARCH("TropicalSwamp",BV46))),10,35)))))))+_xlfn.XLOOKUP(B46,'Base stats'!B:B,'Base stats'!Q:Q)</f>
        <v>35</v>
      </c>
      <c r="M46" s="8" t="str">
        <f>IF(_xlfn.XLOOKUP(_xlfn.XLOOKUP(B46,'Base stats'!B:B,'Base stats'!E:E),Groups!A:A,Groups!L:L)=1,MIN(MROUND(_xlfn.XLOOKUP(B46,'Animals CE'!B:B,'Animals CE'!Z:Z)/2+0.05,0.05),200%),"No")</f>
        <v>No</v>
      </c>
      <c r="N46" s="8" t="str">
        <f>IF(_xlfn.XLOOKUP(_xlfn.XLOOKUP(B46,'Base stats'!B:B,'Base stats'!E:E),Groups!A:A,Groups!L:L)=1,MIN(MROUND(_xlfn.XLOOKUP(B46,'Animals CE'!B:B,'Animals CE'!AA:AA)/2+0.05,0.05),200%),"No")</f>
        <v>No</v>
      </c>
      <c r="O46" s="2" t="str">
        <f>_xlfn.XLOOKUP(B46,'Base stats'!B:B,'Base stats'!R:R)</f>
        <v>Standard</v>
      </c>
      <c r="P46" s="13">
        <f>MROUND((LOG10(_xlfn.XLOOKUP(B46,'Base stats'!B:B,'Base stats'!AO:AO))*(AN46^0.5)+(_xlfn.XLOOKUP(B46,'Base stats'!B:B,'Base stats'!AO:AO)/1000)^(2/3)+_xlfn.XLOOKUP(B46,'Base stats'!B:B,'Base stats'!AX:AX)/2)+0.5,0.5)</f>
        <v>11</v>
      </c>
      <c r="Q46" s="7">
        <f>IF(P46="No","No",MAX(1,MROUND(_xlfn.XLOOKUP(B46,'Base stats'!B:B,'Base stats'!C:C)^0.165,0.05)))</f>
        <v>2.4000000000000004</v>
      </c>
      <c r="R46" s="13">
        <f>IF(_xlfn.XLOOKUP(_xlfn.XLOOKUP(B46,'Base stats'!B:B,'Base stats'!E:E),Groups!A:A,Groups!P:P)=0,"No",MROUND((LOG10(_xlfn.XLOOKUP(B46,'Base stats'!B:B,'Base stats'!AP:AP))*(AN46^0.5)+(_xlfn.XLOOKUP(B46,'Base stats'!B:B,'Base stats'!AP:AP)/1000)^(2/3)+_xlfn.XLOOKUP(B46,'Base stats'!B:B,'Base stats'!AX:AX))+_xlfn.XLOOKUP(B46,'Base stats'!B:B,'Base stats'!AV:AV)+0.5,0.5))</f>
        <v>13.5</v>
      </c>
      <c r="S46" s="7">
        <f>IF(R46="No","No",MAX(_xlfn.XLOOKUP(_xlfn.XLOOKUP(B46,'Base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T46" s="7" t="str">
        <f>IF(R46="No","No",_xlfn.XLOOKUP(_xlfn.XLOOKUP(B46,'Base stats'!B:B,'Base stats'!E:E),Groups!A:A,Groups!R:R))</f>
        <v>FrontLeftLeg, FrontRightLeg</v>
      </c>
      <c r="U46" s="7" t="str">
        <f>IF(R46="No","No",_xlfn.XLOOKUP(_xlfn.XLOOKUP(B46,'Base stats'!B:B,'Base stats'!E:E),Groups!A:A,Groups!S:S))</f>
        <v>left hoof, right hoof</v>
      </c>
      <c r="V46" s="7" t="str">
        <f>IF(R46="No","No",_xlfn.XLOOKUP(_xlfn.XLOOKUP(B46,'Base stats'!B:B,'Base stats'!E:E),Groups!A:A,Groups!T:T))</f>
        <v>Blunt</v>
      </c>
      <c r="W46" s="13">
        <f>IF(_xlfn.XLOOKUP(B46,'Base stats'!B:B,'Base stats'!W:W)="No","No",MROUND((LOG10(_xlfn.XLOOKUP(B46,'Base stats'!B:B,'Base stats'!AR:AR))*(AN46^0.5)+(_xlfn.XLOOKUP(B46,'Base stats'!B:B,'Base stats'!AR:AR)/1000)^(2/3)+_xlfn.XLOOKUP(B46,'Base stats'!B:B,'Base stats'!AW:AW))+0.5+IF(_xlfn.XLOOKUP(_xlfn.XLOOKUP(B46,'Base stats'!B:B,'Base stats'!E:E),Groups!A:A,Groups!U:U)&lt;&gt;3,_xlfn.XLOOKUP(B46,'Base stats'!B:B,'Base stats'!AX:AX),0),0.5))</f>
        <v>15.5</v>
      </c>
      <c r="X46" s="7">
        <f>IF(W46="No","No",MAX(_xlfn.XLOOKUP(_xlfn.XLOOKUP(B46,'Base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Y46" s="7" t="str">
        <f>IF(W46="No","No",_xlfn.XLOOKUP(_xlfn.XLOOKUP(B46,'Base stats'!B:B,'Base stats'!E:E),Groups!A:A,Groups!W:W))</f>
        <v>HeadAttackTool</v>
      </c>
      <c r="Z46" s="7" t="str">
        <f>IF(W46="No","No",_xlfn.XLOOKUP(_xlfn.XLOOKUP(B46,'Base stats'!B:B,'Base stats'!E:E),Groups!A:A,Groups!X:X))</f>
        <v>antler</v>
      </c>
      <c r="AA46" s="7" t="str">
        <f>IF(W46="No","No",_xlfn.XLOOKUP(_xlfn.XLOOKUP(B46,'Base stats'!B:B,'Base stats'!E:E),Groups!A:A,Groups!Y:Y))</f>
        <v>Scratch</v>
      </c>
      <c r="AB46" s="7" t="str">
        <f>_xlfn.XLOOKUP(Animals!B46,'Base stats'!B:B,'Base stats'!X:X)</f>
        <v>False</v>
      </c>
      <c r="AC46" s="13" t="str">
        <f>IF(_xlfn.XLOOKUP(B46,'Base stats'!B:B,'Base stats'!AQ:AQ)="No","No",MROUND((LOG10(_xlfn.XLOOKUP(B46,'Base stats'!B:B,'Base stats'!AQ:AQ))*(AN46^0.75)+(_xlfn.XLOOKUP(B46,'Base stats'!B:B,'Base stats'!AQ:AQ)/1000)^(2/3)+_xlfn.XLOOKUP(B46,'Base stats'!B:B,'Base stats'!AU:AU)+_xlfn.XLOOKUP(B46,'Base stats'!B:B,'Base stats'!AX:AX))+0.5,0.5))</f>
        <v>No</v>
      </c>
      <c r="AD46" s="7" t="str">
        <f>IF(AC46="No","No",MAX(_xlfn.XLOOKUP(_xlfn.XLOOKUP(B46,'Base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E46" s="7" t="str">
        <f>IF(AC46="No","No",_xlfn.XLOOKUP(_xlfn.XLOOKUP(B46,'Base stats'!B:B,'Base stats'!E:E),Groups!A:A,Groups!AA:AA))</f>
        <v>No</v>
      </c>
      <c r="AF46" s="7" t="str">
        <f>IF(AC46="No","No",_xlfn.XLOOKUP(_xlfn.XLOOKUP(B46,'Base stats'!B:B,'Base stats'!E:E),Groups!A:A,Groups!AB:AB))</f>
        <v>No</v>
      </c>
      <c r="AG46" s="7" t="str">
        <f>IF(AC46="No","No",_xlfn.XLOOKUP(_xlfn.XLOOKUP(B46,'Base stats'!B:B,'Base stats'!E:E),Groups!A:A,Groups!AC:AC))</f>
        <v>No</v>
      </c>
      <c r="AH46" s="13" t="str">
        <f>IF(_xlfn.XLOOKUP(_xlfn.XLOOKUP(B46,'Base stats'!B:B,'Base stats'!E:E),Groups!A:A,Groups!AD:AD)=0,"No",MROUND((LOG10(_xlfn.XLOOKUP(B46,'Base stats'!B:B,'Base stats'!AP:AP))*(AN46^0.75)+(_xlfn.XLOOKUP(B46,'Base stats'!B:B,'Base stats'!AP:AP)/1000)^(2/3)+_xlfn.XLOOKUP(B46,'Base stats'!B:B,'Base stats'!AV:AV)+_xlfn.XLOOKUP(B46,'Base stats'!B:B,'Base stats'!AX:AX))+0.5,0.5))</f>
        <v>No</v>
      </c>
      <c r="AI46" s="7" t="str">
        <f>IF(AH46="No","No",MAX(_xlfn.XLOOKUP(_xlfn.XLOOKUP(B46,'Base stats'!B:B,'Base stats'!E:E),Groups!A:A,Groups!AE:AE),MROUND(_xlfn.XLOOKUP(_xlfn.XLOOKUP(B46,'Base stats'!B:B,'Base stats'!E:E),Groups!A:A,Groups!AE:AE)*_xlfn.XLOOKUP(B46,'Base stats'!B:B,'Base stats'!C:C)^0.165,0.05)))</f>
        <v>No</v>
      </c>
      <c r="AJ46" s="7" t="str">
        <f>IF(AH46="No","No",_xlfn.XLOOKUP(_xlfn.XLOOKUP(B46,'Base stats'!B:B,'Base stats'!E:E),Groups!A:A,Groups!AF:AF))</f>
        <v>No</v>
      </c>
      <c r="AK46" s="7" t="str">
        <f>IF(AH46="No","No",_xlfn.XLOOKUP(_xlfn.XLOOKUP(B46,'Base stats'!B:B,'Base stats'!E:E),Groups!A:A,Groups!AG:AG))</f>
        <v>No</v>
      </c>
      <c r="AL46" s="7" t="str">
        <f>IF(AH46="No","No",_xlfn.XLOOKUP(_xlfn.XLOOKUP(B46,'Base stats'!B:B,'Base stats'!E:E),Groups!A:A,Groups!AH:AH))</f>
        <v>No</v>
      </c>
      <c r="AM46" s="2" t="str">
        <f t="shared" si="0"/>
        <v>No</v>
      </c>
      <c r="AN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O46" s="8">
        <f>MROUND(AN46*_xlfn.XLOOKUP(_xlfn.XLOOKUP(B46,'Base stats'!B:B,'Base stats'!E:E),Groups!A:A,Groups!AI:AI),0.05)</f>
        <v>1.8</v>
      </c>
      <c r="AP46" s="8">
        <f>MAX(0.01,MROUND(IF(CA46="True",0.196*(AN46*100*1000)^0.889,IF(_xlfn.XLOOKUP(_xlfn.XLOOKUP(B46,'Base stats'!B:B,'Base stats'!E:E),Groups!A:A,Groups!AJ:AJ)="Bird",10.5*(AN46*100*1000)^0.681,4.82*(AN46*100*1000)^0.734))/(4.82*(1*100*1000)^0.734)/IF(AN46&lt;3.5,2,IF(AN46=3.5,1.5,1.25))*(1+0.132282374779864/(AN46^0.994035016789033+0.00905238001496948)),0.05))</f>
        <v>0.85000000000000009</v>
      </c>
      <c r="AQ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R46" s="35">
        <f>IFERROR(IF(_xlfn.XLOOKUP(B46,'Base stats'!B:B,'Base stats'!F:F)="Lay eggs","Lay eggs",MIN(20,MAX(5.5,ROUND(((_xlfn.XLOOKUP(B46,'Base stats'!B:B,'Base stats'!F:F)-25)*(14.5/615) + 5.5)*2,0)/2))),"Cannot breed")</f>
        <v>10.5</v>
      </c>
      <c r="AS46" s="8">
        <f>IF(OR(A46="Queen",A46="Larva",A46="Megachicken"),"No",IFERROR(MAX(IF(_xlfn.XLOOKUP(B46,'Base stats'!B:B,'Base stats'!G:G)&lt;0.5,0.2,0.3),MROUND(_xlfn.XLOOKUP(B46,'Base stats'!B:B,'Base stats'!G:G)/(365/60),0.2)),"Unknown"))</f>
        <v>0.4</v>
      </c>
      <c r="AT46" s="8">
        <f t="shared" si="1"/>
        <v>0.2</v>
      </c>
      <c r="AU46" s="8">
        <f>IFERROR(IFERROR(MROUND(_xlfn.XLOOKUP(B46,'Base stats'!B:B,'Base stats'!J:J),0.1),"Lay eggs"),"Cannot breed")</f>
        <v>1</v>
      </c>
      <c r="AV46" s="2" t="str">
        <f t="shared" si="2"/>
        <v>true</v>
      </c>
      <c r="AW46" s="2" t="str">
        <f>IF(_xlfn.XLOOKUP(_xlfn.XLOOKUP(Animals!B46,'Base stats'!B:B,'Base stats'!E:E),Groups!A:A,Groups!AK:AK)=1,"true","false")</f>
        <v>true</v>
      </c>
      <c r="AX46" s="25" t="str">
        <f>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</f>
        <v>VegetarianRoughAnimal</v>
      </c>
      <c r="AY46" s="2">
        <f>IF(_xlfn.XLOOKUP(_xlfn.XLOOKUP(B46,'Base stats'!B:B,'Base stats'!E:E),Groups!A:A,Groups!D:D)=1,MROUND((1-I46)*5+1,2)*IF(I46&lt;=0.4,2,1),"No")</f>
        <v>4</v>
      </c>
      <c r="AZ46" s="2" t="str">
        <f>_xlfn.XLOOKUP(B46,'Base stats'!B:B,'Base stats'!AE:AE)</f>
        <v>Leather_Plain</v>
      </c>
      <c r="BA46" s="23" t="str">
        <f>_xlfn.XLOOKUP(_xlfn.XLOOKUP(B46,'Base stats'!B:B,'Base stats'!E:E),Groups!A:A,Groups!AL:AL)</f>
        <v>QuadrupedAnimalWithHooves</v>
      </c>
      <c r="BB46" s="23">
        <f>MROUND(IF(AND(AN46&lt;0.5,_xlfn.XLOOKUP(B46,'Base stats'!B:B,'Base stats'!Z:Z)=0),0,IF(OR(_xlfn.XLOOKUP(Animals!B46,'Base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stats'!AA:AA),0.005)</f>
        <v>0</v>
      </c>
      <c r="BC46" s="23">
        <f>MROUND(IF(AND(AN46&lt;0.5,_xlfn.XLOOKUP(B46,'Base stats'!B:B,'Base stats'!Z:Z)=0),0,IF(_xlfn.XLOOKUP(_xlfn.XLOOKUP(B46,'Base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stats'!AB:AB),0.005)</f>
        <v>0</v>
      </c>
      <c r="BD46" s="2" t="str">
        <f>IF(I46&gt;0.3,"No",_xlfn.XLOOKUP(_xlfn.XLOOKUP(Animals!B46,'Base stats'!B:B,'Base stats'!E:E),Groups!A:A,Groups!AP:AP))</f>
        <v>No</v>
      </c>
      <c r="BE46" s="2" t="str">
        <f>IF(AND(I46&lt;=0.65,_xlfn.XLOOKUP(_xlfn.XLOOKUP(Animals!B46,'Base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stats'!O:O)=2,0.2,AN46) + 24*(1-IF(BD46="No",0,BD46)) + 16/3, 12),"No")</f>
        <v>No</v>
      </c>
      <c r="BF46" s="2">
        <f>IF(AND(_xlfn.XLOOKUP(_xlfn.XLOOKUP(B46,'Base stats'!B:B,'Base stats'!E:E),Groups!A:A,Groups!AQ:AQ)=1,AN46&lt;=0.35),8,12)</f>
        <v>12</v>
      </c>
      <c r="BG46" s="2" t="str">
        <f>IF(_xlfn.XLOOKUP(_xlfn.XLOOKUP(B46,'Base stats'!B:B,'Base stats'!E:E),Groups!A:A,Groups!D:D)=0,_xlfn.XLOOKUP(_xlfn.XLOOKUP(B46,'Base stats'!B:B,'Base stats'!E:E),Groups!A:A,Groups!AR:AR),"None")</f>
        <v>None</v>
      </c>
      <c r="BH46" s="2" t="str">
        <f>IF(AND(_xlfn.XLOOKUP(_xlfn.XLOOKUP(B46,'Base stats'!B:B,'Base stats'!E:E),Groups!A:A,Groups!AS:AS)=1,OR('Base stats'!Y46="Carnivore",'Base stats'!Y46="Omnivore")),"true","false")</f>
        <v>false</v>
      </c>
      <c r="BI46" s="2" t="str">
        <f>IF(BH46="true",MROUND(IF(AND(AN46&gt;0.5,_xlfn.XLOOKUP(_xlfn.XLOOKUP(B46,'Base stats'!B:B,'Base stats'!E:E),Groups!A:A,Groups!AJ:AJ)="Mammal"),Animals!AN46*1.75*IF(AV46="true",1.5,1),Animals!AN46),IF(AN46&gt;2,0.5,IF(AN46&gt;0.5,0.25,0.1))),"No")</f>
        <v>No</v>
      </c>
      <c r="BJ46" s="2">
        <f t="shared" si="3"/>
        <v>0</v>
      </c>
      <c r="BK46" s="25" t="str">
        <f>IF('Base stats'!AK46="Standard","No",MROUND((_xlfn.XLOOKUP(B46,'Base stats'!B:B,'Base stats'!AK:AK)/3.6)/H46,0.1))</f>
        <v>No</v>
      </c>
      <c r="BL46" s="25" t="str">
        <f t="shared" si="4"/>
        <v>false</v>
      </c>
      <c r="BM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N46" s="25" t="str" cm="1">
        <f t="array" ref="BN46">IF(
  _xlfn.TEXTJOIN(", ",TRUE,
    IF(AND(BH46="true",AN46&gt;0.5,BG46&lt;&gt;"None"),"AttackTarget",""),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IF(BE46&lt;=36,"Comfort",""),
    IF(_xlfn.XLOOKUP(B46,'Base stats'!B:B,'Base stats'!AC:AC)&lt;&gt;"No",_xlfn.XLOOKUP(B46,'Base stats'!B:B,'Base stats'!AC:AC),"")
  ) = "",
  "No",
  _xlfn.TEXTJOIN(", ",TRUE,
    IF(AND(BH46="true",AN46&gt;0.5,BG46&lt;&gt;"None"),"AttackTarget",""),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IF(BE46&lt;=36,"Comfort",""),
    IF(_xlfn.XLOOKUP(B46,'Base stats'!B:B,'Base stats'!AC:AC)&lt;&gt;"No",_xlfn.XLOOKUP(B46,'Base stats'!B:B,'Base stats'!AC:AC),"")
  )
)</f>
        <v>No</v>
      </c>
      <c r="BO46" s="25" t="str">
        <f>IF(
   AND(
      'Base stats'!AK46="Standard",_xlfn.XLOOKUP(_xlfn.XLOOKUP(B46,'Base stats'!B:B,'Base stats'!E:E),Groups!A:A,Groups!AU:AU)=0,
      OR(
      BM46="True"
      )
   ),
   10,
   IF(
       OR(BK46&lt;&gt;"No",_xlfn.XLOOKUP(_xlfn.XLOOKUP(B46,'Base stats'!B:B,'Base stats'!E:E),Groups!A:A,Groups!AU:AU)=1),
      1,
      "No"
   )
)</f>
        <v>No</v>
      </c>
      <c r="BP46" s="9">
        <f>MROUND((1 + ((0.2*IF(OR(P46="No",Q46="No",Q46=0),0,P46/Q46)
+IF(OR(U46="No",R46="No",S46="No"),0,R46/S46*(LEN(U46)-LEN(SUBSTITUTE(U46,",",""))+1))
+IF(OR(W46="No",X46="No"),0,W46/X46)
+IF(OR(AC46="No",AD46="No"),0,AC46/AD46)
+IF(OR(AK46="No",AH46="No",AI46="No"),0,AH46/AI46*(LEN(AK46)-LEN(SUBSTITUTE(AK46,",",""))+1))
)/(0.2*IF(OR(P46="No",Q46="No",Q46=0),0,1)
+IF(OR(U46="No",R46="No",S46="No"),0,LEN(U46)-LEN(SUBSTITUTE(U46,",",""))+1)
+IF(OR(W46="No",X46="No"),0,1)
+IF(OR(AC46="No",AD46="No"),0,1)
+IF(OR(AK46="No",AH46="No",AI46="No"),0,LEN(AK46)-LEN(SUBSTITUTE(AK46,",",""))+1))*62%)* 2)*(1 + (AO46 + _xlfn.XLOOKUP(B46,'Base stats'!B:B,'Base stats'!AS:AS) * 1.8) * 2) * 2.5 + 10 + H46 * 2,5)+IF(_xlfn.XLOOKUP(B46,'Base stats'!B:B,'Base stats'!AH:AH)=1,50,0)</f>
        <v>130</v>
      </c>
      <c r="BQ46" s="8">
        <f t="shared" si="5"/>
        <v>1.05</v>
      </c>
      <c r="BR46" s="8" t="str">
        <f>_xlfn.XLOOKUP(B46,'Base stats'!B:B,'Base stats'!AD:AD)</f>
        <v>3~10</v>
      </c>
      <c r="BS46" s="2" t="str">
        <f>IF(AND(I46&lt;=0.95,OR(_xlfn.XLOOKUP(B46,'Base stats'!B:B,'Base stats'!AH:AH)=1,_xlfn.XLOOKUP(B46,'Base stats'!B:B,'Base stats'!Y:Y)="Carnivore",_xlfn.XLOOKUP(B46,'Base stats'!B:B,'Base stats'!Y:Y)="Omnivore",BC46&gt;0.1)),"true","false")</f>
        <v>false</v>
      </c>
      <c r="BT46" s="2" t="str">
        <f>IF(_xlfn.XLOOKUP(B46,'Base stats'!B:B,'Base stats'!AF:AF)=1,"true","false")</f>
        <v>false</v>
      </c>
      <c r="BU46" s="25" t="str">
        <f>IF(E46="BaseInsect","AnimalInsect",
IF(I46&gt;0.95,"AnimalExotic",
_xlfn.TEXTJOIN(", ",TRUE,
IF(AND(_xlfn.XLOOKUP(B46,'Base stats'!B:B,'Base stats'!O:O)=0,_xlfn.XLOOKUP(_xlfn.XLOOKUP(B46,'Base stats'!B:B,'Base stats'!E:E),Groups!A:A,Groups!B:B)&gt;0),"AnimalUncommon","AnimalCommon"),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stats'!AH:AH)=1,AND(BG46&lt;&gt;"None",BP46&gt;=60),ISNUMBER(SEARCH("Attack target",BN46))),"AnimalFighter","")
)))</f>
        <v>AnimalCommon</v>
      </c>
      <c r="BV46" s="25" t="str">
        <f>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</f>
        <v>BorealForest ColdBog TemperateForest TemperateSwamp GlacialPlain</v>
      </c>
      <c r="BW46" s="25" t="str">
        <f>IF(_xlfn.XLOOKUP(B46,'Base stats'!B:B,'Base stats'!AG:AG)=1,"true","false")</f>
        <v>false</v>
      </c>
      <c r="BX46" s="25">
        <f>IF(_xlfn.XLOOKUP(B46,'Base stats'!B:B,'Base stats'!N:N)=1,"No",MIN(MROUND(IF(OR(_xlfn.XLOOKUP(B46,'Base stats'!B:B,'Base stats'!AJ:AJ)=1,AND(BH46="True",CA46="False")),POWER(10,3.47*LOG10(_xlfn.XLOOKUP(B46,'Base stats'!B:B,'Base stats'!C:C)*1000)^-0.96),POWER(10,4.15*LOG10(_xlfn.XLOOKUP(B46,'Base stats'!B:B,'Base stats'!C:C)*1000)^-0.73))*IF(OR(_xlfn.XLOOKUP(B46,'Base stats'!B:B,'Base stats'!AJ:AJ)=1,_xlfn.XLOOKUP(B46,'Base stats'!B:B,'Base stats'!AH:AH)=1),0.5,1)/100,0.025),1))</f>
        <v>0.17500000000000002</v>
      </c>
      <c r="BY46" s="25" t="str">
        <f>IF(O46="Standard","No",IF(_xlfn.XLOOKUP(B46,'Base stats'!B:B,'Base stats'!N:N)=0,MROUND(BX46*O46,0.05),MIN(1,MAX(0.025,MROUND(IF(OR(CA46="true",AND(BH46="false",BM46="false")),POWER(10,4.15*LOG10(_xlfn.XLOOKUP(B46,'Base stats'!B:B,'Base stats'!C:C)*1000)^-0.73),POWER(10,3.47*LOG10(_xlfn.XLOOKUP(B46,'Base stats'!B:B,'Base stats'!C:C)*1000)^-0.96))*IF(_xlfn.XLOOKUP(B46,'Base stats'!B:B,'Base stats'!AH:AH)=1,0.5,1)/100,0.025)))))</f>
        <v>No</v>
      </c>
      <c r="BZ46" s="25" t="str">
        <f>IF(_xlfn.XLOOKUP(_xlfn.XLOOKUP(B46,'Base stats'!B:B,'Base stats'!E:E),Groups!A:A,Groups!AJ:AJ)="Mammal","True","False")</f>
        <v>True</v>
      </c>
      <c r="CA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B46" s="25" t="str">
        <f t="shared" si="6"/>
        <v>False</v>
      </c>
      <c r="CC46" s="25" t="str">
        <f>IF(_xlfn.XLOOKUP(_xlfn.XLOOKUP(B46,'Base stats'!B:B,'Base stats'!E:E),Groups!A:A,Groups!AW:AW),"True","False")</f>
        <v>False</v>
      </c>
      <c r="CD46" s="25" t="str">
        <f>IF(_xlfn.XLOOKUP(_xlfn.XLOOKUP(B46,'Base stats'!B:B,'Base stats'!E:E),Groups!A:A,Groups!AX:AX),"True","False")</f>
        <v>False</v>
      </c>
      <c r="CE46" s="25" t="str">
        <f>IF(_xlfn.XLOOKUP(B46,'Base stats'!B:B,'Base stats'!E:E)=1,"True","False")</f>
        <v>False</v>
      </c>
      <c r="CF46" s="25" t="str">
        <f>IF(
OR(
_xlfn.XLOOKUP(_xlfn.XLOOKUP(B46,'Base stats'!B:B,'Base stats'!E:E),Groups!A:A,Groups!AY:AY)=0,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stats'!E:E),Groups!A:A,Groups!AY:AY)=1,
"Flesh",
IF(
_xlfn.XLOOKUP(_xlfn.XLOOKUP(B46,'Base stats'!B:B,'Base stats'!E:E),Groups!A:A,Groups!AY:AY)=2,
"Bone",
""
)
)
)</f>
        <v>No</v>
      </c>
      <c r="CG46" s="25" t="str">
        <f>IF(_xlfn.XLOOKUP(_xlfn.XLOOKUP(B46,'Base stats'!B:B,'Base stats'!E:E),Groups!A:A,Groups!BA:BA),"True","False")</f>
        <v>True</v>
      </c>
      <c r="CH46" s="25" t="str">
        <f>IF(_xlfn.XLOOKUP(_xlfn.XLOOKUP(B46,'Base stats'!B:B,'Base stats'!E:E),Groups!A:A,Groups!AZ:AZ),"True","False")</f>
        <v>False</v>
      </c>
    </row>
    <row r="47" spans="1:86" ht="16.5" thickTop="1" thickBot="1" x14ac:dyDescent="0.3">
      <c r="A47" s="26" t="str">
        <f>_xlfn.XLOOKUP(B47,'Base stats'!B:B,'Base stats'!A:A)</f>
        <v>Boomalope</v>
      </c>
      <c r="B47" s="6" t="s">
        <v>157</v>
      </c>
      <c r="C47" s="28" t="s">
        <v>734</v>
      </c>
      <c r="D47" s="28" t="s">
        <v>45</v>
      </c>
      <c r="E47" s="28" t="s">
        <v>685</v>
      </c>
      <c r="F47" s="28" t="s">
        <v>685</v>
      </c>
      <c r="G47" s="2">
        <f>MROUND((
  (IF(AND(_xlfn.XLOOKUP(B47,'Base stats'!B:B,'Base stats'!AI:AI)=0,BG47="None",_xlfn.XLOOKUP('Base stats'!E47,Groups!A:A,Groups!B:B)=0), (18 + BP47 * 2.7) * 0.5,
    IF(AND(_xlfn.XLOOKUP(B47,'Base stats'!B:B,'Base stats'!AI:AI)=0,OR(AN47&lt;0.55,AND(BG47="Intermediate",_xlfn.XLOOKUP('Base stats'!E47,Groups!A:A,Groups!B:B)&lt;2))), (18 + BP47 * 2.7),
      IF(OR(BG47="Advanced",_xlfn.XLOOKUP(B47,'Base stats'!B:B,'Base stats'!AI:AI)=1,_xlfn.XLOOKUP('Base stats'!E47,Groups!A:A,Groups!B:B)=2), (18 + BP47 * 2.7) + 250, (18 + BP47 * 2.7))
    )
  ))
  + AN47 * 80
  + IF(COUNTIF(EggMilk!K$2:K$998, A47) &gt; 0, 125, 0)
  + IF(COUNTIF(EggMilk!P$2:P$998, A47) &gt; 0, 90, 0)
  + IF(COUNTIF(EggMilk!A$2:A$998, A47) &gt; 0, 90, 0)
)
* (0.8 + 0.4 * I47)
* 0.75,25)</f>
        <v>250</v>
      </c>
      <c r="H47" s="2">
        <f>MROUND(ROUNDDOWN(_xlfn.XLOOKUP(B47,'Base stats'!B:B,'Base stats'!L:L)/3.6/(23.3/11),1),0.5)</f>
        <v>4</v>
      </c>
      <c r="I47" s="2">
        <f>IF(_xlfn.XLOOKUP(B47,'Base stats'!B:B,'Base stats'!AI:AI)=1,0.99,MIN(MROUND((1-0.6282*EXP(-0.459*AN47))*_xlfn.XLOOKUP(_xlfn.XLOOKUP(B47,'Base stats'!B:B,'Base stats'!E:E),Groups!A:A,Groups!C:C)*IF(_xlfn.XLOOKUP(B47,'Base stats'!B:B,'Base stats'!O:O)=1,0.5,IF(_xlfn.XLOOKUP(B47,'Base stats'!B:B,'Base stats'!O:O)=2,0,1)),0.05),0.985))</f>
        <v>0.5</v>
      </c>
      <c r="J47" s="2">
        <f>ROUNDUP(AN47*_xlfn.XLOOKUP(_xlfn.XLOOKUP(B47,'Base stats'!B:B,'Base stats'!E:E),Groups!A:A,Groups!E:E),0)</f>
        <v>8</v>
      </c>
      <c r="K47" s="2">
        <f>IF(OR(_xlfn.XLOOKUP(_xlfn.XLOOKUP(B47,'Base stats'!B:B,'Base stats'!E:E),Groups!A:A,Groups!F:F)=2,ISNUMBER(SEARCH("SeaIce",BV47)),ISNUMBER(SEARCH("IceSheet",BV47))),-50,IF(OR(ISNUMBER(SEARCH("GlacialPlain",BV47)),ISNUMBER(SEARCH("Tundra",BV47))),-40,IF(OR(ISNUMBER(SEARCH("Alpine",BV47)),ISNUMBER(SEARCH("BorealForest",BV47)),ISNUMBER(SEARCH("ColdBog",BV47))),-30,IF(OR(ISNUMBER(SEARCH("TemperateForest",BV47)),ISNUMBER(SEARCH("TemperateSwamp",BV47))),-20,IF(_xlfn.XLOOKUP(_xlfn.XLOOKUP(B47,'Base stats'!B:B,'Base stats'!E:E),Groups!A:A,Groups!F:F)=1,-15,IF(OR(ISNUMBER(SEARCH("Desert",BV47)),ISNUMBER(SEARCH("ExtremeDesert",BV47))),-10,IF(OR(ISNUMBER(SEARCH("Grasslands",BV47)),ISNUMBER(SEARCH("TropicalRainforest",BV47)),ISNUMBER(SEARCH("TropicalSwamp",BV47))),10,0)))))))-IF(CA47="False",MIN(IFERROR(MAX(MROUND(LOG10(_xlfn.XLOOKUP(B47,'Base stats'!B:B,'Base stats'!C:C)^(2/3))*10,5),5),5),30))-_xlfn.XLOOKUP(B47,'Base stats'!B:B,'Base stats'!P:P)+IF(CA47="True",5,0)</f>
        <v>-35</v>
      </c>
      <c r="L47" s="2">
        <f>IF(OR(_xlfn.XLOOKUP(_xlfn.XLOOKUP(B47,'Base stats'!B:B,'Base stats'!E:E),Groups!A:A,Groups!G:G)=2,ISNUMBER(SEARCH("Desert",BV47)),ISNUMBER(SEARCH("ExtremeDesert",BV47)),ISNUMBER(SEARCH("LavaField",BV47))),50,IF(ISNUMBER(SEARCH("Grasslands",BV47)),45,IF(OR(_xlfn.XLOOKUP(_xlfn.XLOOKUP(B47,'Base stats'!B:B,'Base stats'!E:E),Groups!A:A,Groups!G:G)=1,ISNUMBER(SEARCH("TropicalRainforest",BV47)),ISNUMBER(SEARCH("TropicalSwamp",BV47))),40,IF(OR(ISNUMBER(SEARCH("TemperateForest",BV47)),ISNUMBER(SEARCH("TemperateSwamp",BV47))),35,IF(OR(ISNUMBER(SEARCH("Alpine",BV47)),ISNUMBER(SEARCH("BorealForest",BV47)),ISNUMBER(SEARCH("ColdBog",BV47))),30,IF(ISNUMBER(OR(ISNUMBER(SEARCH("GlacialPlain",BV47)),SEARCH("Tundra",BV47))),25,IF(OR(ISNUMBER(SEARCH("SeaIce",BV47)),ISNUMBER(SEARCH("IceSheet",BV47)),ISNUMBER(SEARCH("TropicalSwamp",BV47))),10,35)))))))+_xlfn.XLOOKUP(B47,'Base stats'!B:B,'Base stats'!Q:Q)</f>
        <v>50</v>
      </c>
      <c r="M47" s="8" t="str">
        <f>IF(_xlfn.XLOOKUP(_xlfn.XLOOKUP(B47,'Base stats'!B:B,'Base stats'!E:E),Groups!A:A,Groups!L:L)=1,MIN(MROUND(_xlfn.XLOOKUP(B47,'Animals CE'!B:B,'Animals CE'!Z:Z)/2+0.05,0.05),200%),"No")</f>
        <v>No</v>
      </c>
      <c r="N47" s="8" t="str">
        <f>IF(_xlfn.XLOOKUP(_xlfn.XLOOKUP(B47,'Base stats'!B:B,'Base stats'!E:E),Groups!A:A,Groups!L:L)=1,MIN(MROUND(_xlfn.XLOOKUP(B47,'Animals CE'!B:B,'Animals CE'!AA:AA)/2+0.05,0.05),200%),"No")</f>
        <v>No</v>
      </c>
      <c r="O47" s="2">
        <f>_xlfn.XLOOKUP(B47,'Base stats'!B:B,'Base stats'!R:R)</f>
        <v>0.9</v>
      </c>
      <c r="P47" s="13">
        <f>MROUND((LOG10(_xlfn.XLOOKUP(B47,'Base stats'!B:B,'Base stats'!AO:AO))*(AN47^0.5)+(_xlfn.XLOOKUP(B47,'Base stats'!B:B,'Base stats'!AO:AO)/1000)^(2/3)+_xlfn.XLOOKUP(B47,'Base stats'!B:B,'Base stats'!AX:AX)/2)+0.5,0.5)</f>
        <v>9.5</v>
      </c>
      <c r="Q47" s="7">
        <f>IF(P47="No","No",MAX(1,MROUND(_xlfn.XLOOKUP(B47,'Base stats'!B:B,'Base stats'!C:C)^0.165,0.05)))</f>
        <v>2.3000000000000003</v>
      </c>
      <c r="R47" s="13">
        <f>IF(_xlfn.XLOOKUP(_xlfn.XLOOKUP(B47,'Base stats'!B:B,'Base stats'!E:E),Groups!A:A,Groups!P:P)=0,"No",MROUND((LOG10(_xlfn.XLOOKUP(B47,'Base stats'!B:B,'Base stats'!AP:AP))*(AN47^0.5)+(_xlfn.XLOOKUP(B47,'Base stats'!B:B,'Base stats'!AP:AP)/1000)^(2/3)+_xlfn.XLOOKUP(B47,'Base stats'!B:B,'Base stats'!AX:AX))+_xlfn.XLOOKUP(B47,'Base stats'!B:B,'Base stats'!AV:AV)+0.5,0.5))</f>
        <v>12</v>
      </c>
      <c r="S47" s="7">
        <f>IF(R47="No","No",MAX(_xlfn.XLOOKUP(_xlfn.XLOOKUP(B47,'Base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T47" s="7" t="str">
        <f>IF(R47="No","No",_xlfn.XLOOKUP(_xlfn.XLOOKUP(B47,'Base stats'!B:B,'Base stats'!E:E),Groups!A:A,Groups!R:R))</f>
        <v>FrontLeftLeg, FrontRightLeg</v>
      </c>
      <c r="U47" s="7" t="str">
        <f>IF(R47="No","No",_xlfn.XLOOKUP(_xlfn.XLOOKUP(B47,'Base stats'!B:B,'Base stats'!E:E),Groups!A:A,Groups!S:S))</f>
        <v>left hoof, right hoof</v>
      </c>
      <c r="V47" s="7" t="str">
        <f>IF(R47="No","No",_xlfn.XLOOKUP(_xlfn.XLOOKUP(B47,'Base stats'!B:B,'Base stats'!E:E),Groups!A:A,Groups!T:T))</f>
        <v>Blunt</v>
      </c>
      <c r="W47" s="13" t="str">
        <f>IF(_xlfn.XLOOKUP(B47,'Base stats'!B:B,'Base stats'!W:W)="No","No",MROUND((LOG10(_xlfn.XLOOKUP(B47,'Base stats'!B:B,'Base stats'!AR:AR))*(AN47^0.5)+(_xlfn.XLOOKUP(B47,'Base stats'!B:B,'Base stats'!AR:AR)/1000)^(2/3)+_xlfn.XLOOKUP(B47,'Base stats'!B:B,'Base stats'!AW:AW))+0.5+IF(_xlfn.XLOOKUP(_xlfn.XLOOKUP(B47,'Base stats'!B:B,'Base stats'!E:E),Groups!A:A,Groups!U:U)&lt;&gt;3,_xlfn.XLOOKUP(B47,'Base stats'!B:B,'Base stats'!AX:AX),0),0.5))</f>
        <v>No</v>
      </c>
      <c r="X47" s="7" t="str">
        <f>IF(W47="No","No",MAX(_xlfn.XLOOKUP(_xlfn.XLOOKUP(B47,'Base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Y47" s="7" t="str">
        <f>IF(W47="No","No",_xlfn.XLOOKUP(_xlfn.XLOOKUP(B47,'Base stats'!B:B,'Base stats'!E:E),Groups!A:A,Groups!W:W))</f>
        <v>No</v>
      </c>
      <c r="Z47" s="7" t="str">
        <f>IF(W47="No","No",_xlfn.XLOOKUP(_xlfn.XLOOKUP(B47,'Base stats'!B:B,'Base stats'!E:E),Groups!A:A,Groups!X:X))</f>
        <v>No</v>
      </c>
      <c r="AA47" s="7" t="str">
        <f>IF(W47="No","No",_xlfn.XLOOKUP(_xlfn.XLOOKUP(B47,'Base stats'!B:B,'Base stats'!E:E),Groups!A:A,Groups!Y:Y))</f>
        <v>No</v>
      </c>
      <c r="AB47" s="7" t="str">
        <f>_xlfn.XLOOKUP(Animals!B47,'Base stats'!B:B,'Base stats'!X:X)</f>
        <v>False</v>
      </c>
      <c r="AC47" s="13">
        <f>IF(_xlfn.XLOOKUP(B47,'Base stats'!B:B,'Base stats'!AQ:AQ)="No","No",MROUND((LOG10(_xlfn.XLOOKUP(B47,'Base stats'!B:B,'Base stats'!AQ:AQ))*(AN47^0.75)+(_xlfn.XLOOKUP(B47,'Base stats'!B:B,'Base stats'!AQ:AQ)/1000)^(2/3)+_xlfn.XLOOKUP(B47,'Base stats'!B:B,'Base stats'!AU:AU)+_xlfn.XLOOKUP(B47,'Base stats'!B:B,'Base stats'!AX:AX))+0.5,0.5))</f>
        <v>12</v>
      </c>
      <c r="AD47" s="7">
        <f>IF(AC47="No","No",MAX(_xlfn.XLOOKUP(_xlfn.XLOOKUP(B47,'Base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E47" s="7" t="str">
        <f>IF(AC47="No","No",_xlfn.XLOOKUP(_xlfn.XLOOKUP(B47,'Base stats'!B:B,'Base stats'!E:E),Groups!A:A,Groups!AA:AA))</f>
        <v>Teeth</v>
      </c>
      <c r="AF47" s="7" t="str">
        <f>IF(AC47="No","No",_xlfn.XLOOKUP(_xlfn.XLOOKUP(B47,'Base stats'!B:B,'Base stats'!E:E),Groups!A:A,Groups!AB:AB))</f>
        <v>teeth</v>
      </c>
      <c r="AG47" s="7" t="str">
        <f>IF(AC47="No","No",_xlfn.XLOOKUP(_xlfn.XLOOKUP(B47,'Base stats'!B:B,'Base stats'!E:E),Groups!A:A,Groups!AC:AC))</f>
        <v>Bite</v>
      </c>
      <c r="AH47" s="13" t="str">
        <f>IF(_xlfn.XLOOKUP(_xlfn.XLOOKUP(B47,'Base stats'!B:B,'Base stats'!E:E),Groups!A:A,Groups!AD:AD)=0,"No",MROUND((LOG10(_xlfn.XLOOKUP(B47,'Base stats'!B:B,'Base stats'!AP:AP))*(AN47^0.75)+(_xlfn.XLOOKUP(B47,'Base stats'!B:B,'Base stats'!AP:AP)/1000)^(2/3)+_xlfn.XLOOKUP(B47,'Base stats'!B:B,'Base stats'!AV:AV)+_xlfn.XLOOKUP(B47,'Base stats'!B:B,'Base stats'!AX:AX))+0.5,0.5))</f>
        <v>No</v>
      </c>
      <c r="AI47" s="7" t="str">
        <f>IF(AH47="No","No",MAX(_xlfn.XLOOKUP(_xlfn.XLOOKUP(B47,'Base stats'!B:B,'Base stats'!E:E),Groups!A:A,Groups!AE:AE),MROUND(_xlfn.XLOOKUP(_xlfn.XLOOKUP(B47,'Base stats'!B:B,'Base stats'!E:E),Groups!A:A,Groups!AE:AE)*_xlfn.XLOOKUP(B47,'Base stats'!B:B,'Base stats'!C:C)^0.165,0.05)))</f>
        <v>No</v>
      </c>
      <c r="AJ47" s="7" t="str">
        <f>IF(AH47="No","No",_xlfn.XLOOKUP(_xlfn.XLOOKUP(B47,'Base stats'!B:B,'Base stats'!E:E),Groups!A:A,Groups!AF:AF))</f>
        <v>No</v>
      </c>
      <c r="AK47" s="7" t="str">
        <f>IF(AH47="No","No",_xlfn.XLOOKUP(_xlfn.XLOOKUP(B47,'Base stats'!B:B,'Base stats'!E:E),Groups!A:A,Groups!AG:AG))</f>
        <v>No</v>
      </c>
      <c r="AL47" s="7" t="str">
        <f>IF(AH47="No","No",_xlfn.XLOOKUP(_xlfn.XLOOKUP(B47,'Base stats'!B:B,'Base stats'!E:E),Groups!A:A,Groups!AH:AH))</f>
        <v>No</v>
      </c>
      <c r="AM47" s="2" t="str">
        <f t="shared" si="0"/>
        <v>No</v>
      </c>
      <c r="AN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O47" s="8">
        <f>MROUND(AN47*_xlfn.XLOOKUP(_xlfn.XLOOKUP(B47,'Base stats'!B:B,'Base stats'!E:E),Groups!A:A,Groups!AI:AI),0.05)</f>
        <v>1.5</v>
      </c>
      <c r="AP47" s="8">
        <f>MAX(0.01,MROUND(IF(CA47="True",0.196*(AN47*100*1000)^0.889,IF(_xlfn.XLOOKUP(_xlfn.XLOOKUP(B47,'Base stats'!B:B,'Base stats'!E:E),Groups!A:A,Groups!AJ:AJ)="Bird",10.5*(AN47*100*1000)^0.681,4.82*(AN47*100*1000)^0.734))/(4.82*(1*100*1000)^0.734)/IF(AN47&lt;3.5,2,IF(AN47=3.5,1.5,1.25))*(1+0.132282374779864/(AN47^0.994035016789033+0.00905238001496948)),0.05))</f>
        <v>0.75</v>
      </c>
      <c r="AQ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R47" s="35">
        <f>IFERROR(IF(_xlfn.XLOOKUP(B47,'Base stats'!B:B,'Base stats'!F:F)="Lay eggs","Lay eggs",MIN(20,MAX(5.5,ROUND(((_xlfn.XLOOKUP(B47,'Base stats'!B:B,'Base stats'!F:F)-25)*(14.5/615) + 5.5)*2,0)/2))),"Cannot breed")</f>
        <v>9.5</v>
      </c>
      <c r="AS47" s="8">
        <f>IF(OR(A47="Queen",A47="Larva",A47="Megachicken"),"No",IFERROR(MAX(IF(_xlfn.XLOOKUP(B47,'Base stats'!B:B,'Base stats'!G:G)&lt;0.5,0.2,0.3),MROUND(_xlfn.XLOOKUP(B47,'Base stats'!B:B,'Base stats'!G:G)/(365/60),0.2)),"Unknown"))</f>
        <v>0.4</v>
      </c>
      <c r="AT47" s="8">
        <f t="shared" si="1"/>
        <v>0.2</v>
      </c>
      <c r="AU47" s="8">
        <f>IFERROR(IFERROR(MROUND(_xlfn.XLOOKUP(B47,'Base stats'!B:B,'Base stats'!J:J),0.1),"Lay eggs"),"Cannot breed")</f>
        <v>1</v>
      </c>
      <c r="AV47" s="2" t="str">
        <f t="shared" si="2"/>
        <v>true</v>
      </c>
      <c r="AW47" s="2" t="str">
        <f>IF(_xlfn.XLOOKUP(_xlfn.XLOOKUP(Animals!B47,'Base stats'!B:B,'Base stats'!E:E),Groups!A:A,Groups!AK:AK)=1,"true","false")</f>
        <v>true</v>
      </c>
      <c r="AX47" s="25" t="str">
        <f>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</f>
        <v>VegetarianRoughAnimal</v>
      </c>
      <c r="AY47" s="2">
        <f>IF(_xlfn.XLOOKUP(_xlfn.XLOOKUP(B47,'Base stats'!B:B,'Base stats'!E:E),Groups!A:A,Groups!D:D)=1,MROUND((1-I47)*5+1,2)*IF(I47&lt;=0.4,2,1),"No")</f>
        <v>4</v>
      </c>
      <c r="AZ47" s="2" t="str">
        <f>_xlfn.XLOOKUP(B47,'Base stats'!B:B,'Base stats'!AE:AE)</f>
        <v>Leather_Plain</v>
      </c>
      <c r="BA47" s="23" t="str">
        <f>_xlfn.XLOOKUP(_xlfn.XLOOKUP(B47,'Base stats'!B:B,'Base stats'!E:E),Groups!A:A,Groups!AL:AL)</f>
        <v>QuadrupedAnimalWithHoovesAndHump</v>
      </c>
      <c r="BB47" s="23">
        <f>MROUND(IF(AND(AN47&lt;0.5,_xlfn.XLOOKUP(B47,'Base stats'!B:B,'Base stats'!Z:Z)=0),0,IF(OR(_xlfn.XLOOKUP(Animals!B47,'Base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stats'!AA:AA),0.005)</f>
        <v>0.1</v>
      </c>
      <c r="BC47" s="23">
        <f>MROUND(IF(AND(AN47&lt;0.5,_xlfn.XLOOKUP(B47,'Base stats'!B:B,'Base stats'!Z:Z)=0),0,IF(_xlfn.XLOOKUP(_xlfn.XLOOKUP(B47,'Base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stats'!AB:AB),0.005)</f>
        <v>0.3</v>
      </c>
      <c r="BD47" s="2" t="str">
        <f>IF(I47&gt;0.3,"No",_xlfn.XLOOKUP(_xlfn.XLOOKUP(Animals!B47,'Base stats'!B:B,'Base stats'!E:E),Groups!A:A,Groups!AP:AP))</f>
        <v>No</v>
      </c>
      <c r="BE47" s="2" t="str">
        <f>IF(AND(I47&lt;=0.65,_xlfn.XLOOKUP(_xlfn.XLOOKUP(Animals!B47,'Base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stats'!O:O)=2,0.2,AN47) + 24*(1-IF(BD47="No",0,BD47)) + 16/3, 12),"No")</f>
        <v>No</v>
      </c>
      <c r="BF47" s="2">
        <f>IF(AND(_xlfn.XLOOKUP(_xlfn.XLOOKUP(B47,'Base stats'!B:B,'Base stats'!E:E),Groups!A:A,Groups!AQ:AQ)=1,AN47&lt;=0.35),8,12)</f>
        <v>12</v>
      </c>
      <c r="BG47" s="2" t="str">
        <f>IF(_xlfn.XLOOKUP(_xlfn.XLOOKUP(B47,'Base stats'!B:B,'Base stats'!E:E),Groups!A:A,Groups!D:D)=0,_xlfn.XLOOKUP(_xlfn.XLOOKUP(B47,'Base stats'!B:B,'Base stats'!E:E),Groups!A:A,Groups!AR:AR),"None")</f>
        <v>None</v>
      </c>
      <c r="BH47" s="2" t="str">
        <f>IF(AND(_xlfn.XLOOKUP(_xlfn.XLOOKUP(B47,'Base stats'!B:B,'Base stats'!E:E),Groups!A:A,Groups!AS:AS)=1,OR('Base stats'!Y47="Carnivore",'Base stats'!Y47="Omnivore")),"true","false")</f>
        <v>false</v>
      </c>
      <c r="BI47" s="2" t="str">
        <f>IF(BH47="true",MROUND(IF(AND(AN47&gt;0.5,_xlfn.XLOOKUP(_xlfn.XLOOKUP(B47,'Base stats'!B:B,'Base stats'!E:E),Groups!A:A,Groups!AJ:AJ)="Mammal"),Animals!AN47*1.75*IF(AV47="true",1.5,1),Animals!AN47),IF(AN47&gt;2,0.5,IF(AN47&gt;0.5,0.25,0.1))),"No")</f>
        <v>No</v>
      </c>
      <c r="BJ47" s="2">
        <f t="shared" si="3"/>
        <v>0</v>
      </c>
      <c r="BK47" s="25" t="str">
        <f>IF('Base stats'!AK47="Standard","No",MROUND((_xlfn.XLOOKUP(B47,'Base stats'!B:B,'Base stats'!AK:AK)/3.6)/H47,0.1))</f>
        <v>No</v>
      </c>
      <c r="BL47" s="25" t="str">
        <f t="shared" si="4"/>
        <v>false</v>
      </c>
      <c r="BM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N47" s="25" t="str" cm="1">
        <f t="array" ref="BN47">IF(
  _xlfn.TEXTJOIN(", ",TRUE,
    IF(AND(BH47="true",AN47&gt;0.5,BG47&lt;&gt;"None"),"AttackTarget",""),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IF(BE47&lt;=36,"Comfort",""),
    IF(_xlfn.XLOOKUP(B47,'Base stats'!B:B,'Base stats'!AC:AC)&lt;&gt;"No",_xlfn.XLOOKUP(B47,'Base stats'!B:B,'Base stats'!AC:AC),"")
  ) = "",
  "No",
  _xlfn.TEXTJOIN(", ",TRUE,
    IF(AND(BH47="true",AN47&gt;0.5,BG47&lt;&gt;"None"),"AttackTarget",""),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IF(BE47&lt;=36,"Comfort",""),
    IF(_xlfn.XLOOKUP(B47,'Base stats'!B:B,'Base stats'!AC:AC)&lt;&gt;"No",_xlfn.XLOOKUP(B47,'Base stats'!B:B,'Base stats'!AC:AC),"")
  )
)</f>
        <v>No</v>
      </c>
      <c r="BO47" s="25" t="str">
        <f>IF(
   AND(
      'Base stats'!AK47="Standard",_xlfn.XLOOKUP(_xlfn.XLOOKUP(B47,'Base stats'!B:B,'Base stats'!E:E),Groups!A:A,Groups!AU:AU)=0,
      OR(
      BM47="True"
      )
   ),
   10,
   IF(
       OR(BK47&lt;&gt;"No",_xlfn.XLOOKUP(_xlfn.XLOOKUP(B47,'Base stats'!B:B,'Base stats'!E:E),Groups!A:A,Groups!AU:AU)=1),
      1,
      "No"
   )
)</f>
        <v>No</v>
      </c>
      <c r="BP47" s="9">
        <f>MROUND((1 + ((0.2*IF(OR(P47="No",Q47="No",Q47=0),0,P47/Q47)
+IF(OR(U47="No",R47="No",S47="No"),0,R47/S47*(LEN(U47)-LEN(SUBSTITUTE(U47,",",""))+1))
+IF(OR(W47="No",X47="No"),0,W47/X47)
+IF(OR(AC47="No",AD47="No"),0,AC47/AD47)
+IF(OR(AK47="No",AH47="No",AI47="No"),0,AH47/AI47*(LEN(AK47)-LEN(SUBSTITUTE(AK47,",",""))+1))
)/(0.2*IF(OR(P47="No",Q47="No",Q47=0),0,1)
+IF(OR(U47="No",R47="No",S47="No"),0,LEN(U47)-LEN(SUBSTITUTE(U47,",",""))+1)
+IF(OR(W47="No",X47="No"),0,1)
+IF(OR(AC47="No",AD47="No"),0,1)
+IF(OR(AK47="No",AH47="No",AI47="No"),0,LEN(AK47)-LEN(SUBSTITUTE(AK47,",",""))+1))*62%)* 2)*(1 + (AO47 + _xlfn.XLOOKUP(B47,'Base stats'!B:B,'Base stats'!AS:AS) * 1.8) * 2) * 2.5 + 10 + H47 * 2,5)+IF(_xlfn.XLOOKUP(B47,'Base stats'!B:B,'Base stats'!AH:AH)=1,50,0)</f>
        <v>145</v>
      </c>
      <c r="BQ47" s="8">
        <f t="shared" si="5"/>
        <v>0.9</v>
      </c>
      <c r="BR47" s="8" t="str">
        <f>_xlfn.XLOOKUP(B47,'Base stats'!B:B,'Base stats'!AD:AD)</f>
        <v>2~6</v>
      </c>
      <c r="BS47" s="2" t="str">
        <f>IF(AND(I47&lt;=0.95,OR(_xlfn.XLOOKUP(B47,'Base stats'!B:B,'Base stats'!AH:AH)=1,_xlfn.XLOOKUP(B47,'Base stats'!B:B,'Base stats'!Y:Y)="Carnivore",_xlfn.XLOOKUP(B47,'Base stats'!B:B,'Base stats'!Y:Y)="Omnivore",BC47&gt;0.1)),"true","false")</f>
        <v>true</v>
      </c>
      <c r="BT47" s="2" t="str">
        <f>IF(_xlfn.XLOOKUP(B47,'Base stats'!B:B,'Base stats'!AF:AF)=1,"true","false")</f>
        <v>false</v>
      </c>
      <c r="BU47" s="25" t="str">
        <f>IF(E47="BaseInsect","AnimalInsect",
IF(I47&gt;0.95,"AnimalExotic",
_xlfn.TEXTJOIN(", ",TRUE,
IF(AND(_xlfn.XLOOKUP(B47,'Base stats'!B:B,'Base stats'!O:O)=0,_xlfn.XLOOKUP(_xlfn.XLOOKUP(B47,'Base stats'!B:B,'Base stats'!E:E),Groups!A:A,Groups!B:B)&gt;0),"AnimalUncommon","AnimalCommon"),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stats'!AH:AH)=1,AND(BG47&lt;&gt;"None",BP47&gt;=60),ISNUMBER(SEARCH("Attack target",BN47))),"AnimalFighter","")
)))</f>
        <v>AnimalCommon, AnimalFighter</v>
      </c>
      <c r="BV47" s="25" t="str">
        <f>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</f>
        <v>TemperateForest TemperateSwamp AridShrubland Desert TropicalRainforest TropicalSwamp Grasslands Glowforest LavaField Scarlands</v>
      </c>
      <c r="BW47" s="25" t="str">
        <f>IF(_xlfn.XLOOKUP(B47,'Base stats'!B:B,'Base stats'!AG:AG)=1,"true","false")</f>
        <v>false</v>
      </c>
      <c r="BX47" s="25">
        <f>IF(_xlfn.XLOOKUP(B47,'Base stats'!B:B,'Base stats'!N:N)=1,"No",MIN(MROUND(IF(OR(_xlfn.XLOOKUP(B47,'Base stats'!B:B,'Base stats'!AJ:AJ)=1,AND(BH47="True",CA47="False")),POWER(10,3.47*LOG10(_xlfn.XLOOKUP(B47,'Base stats'!B:B,'Base stats'!C:C)*1000)^-0.96),POWER(10,4.15*LOG10(_xlfn.XLOOKUP(B47,'Base stats'!B:B,'Base stats'!C:C)*1000)^-0.73))*IF(OR(_xlfn.XLOOKUP(B47,'Base stats'!B:B,'Base stats'!AJ:AJ)=1,_xlfn.XLOOKUP(B47,'Base stats'!B:B,'Base stats'!AH:AH)=1),0.5,1)/100,0.025),1))</f>
        <v>0.1</v>
      </c>
      <c r="BY47" s="25">
        <f>IF(O47="Standard","No",IF(_xlfn.XLOOKUP(B47,'Base stats'!B:B,'Base stats'!N:N)=0,MROUND(BX47*O47,0.05),MIN(1,MAX(0.025,MROUND(IF(OR(CA47="true",AND(BH47="false",BM47="false")),POWER(10,4.15*LOG10(_xlfn.XLOOKUP(B47,'Base stats'!B:B,'Base stats'!C:C)*1000)^-0.73),POWER(10,3.47*LOG10(_xlfn.XLOOKUP(B47,'Base stats'!B:B,'Base stats'!C:C)*1000)^-0.96))*IF(_xlfn.XLOOKUP(B47,'Base stats'!B:B,'Base stats'!AH:AH)=1,0.5,1)/100,0.025)))))</f>
        <v>0.1</v>
      </c>
      <c r="BZ47" s="25" t="str">
        <f>IF(_xlfn.XLOOKUP(_xlfn.XLOOKUP(B47,'Base stats'!B:B,'Base stats'!E:E),Groups!A:A,Groups!AJ:AJ)="Mammal","True","False")</f>
        <v>True</v>
      </c>
      <c r="CA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B47" s="25" t="str">
        <f t="shared" si="6"/>
        <v>False</v>
      </c>
      <c r="CC47" s="25" t="str">
        <f>IF(_xlfn.XLOOKUP(_xlfn.XLOOKUP(B47,'Base stats'!B:B,'Base stats'!E:E),Groups!A:A,Groups!AW:AW),"True","False")</f>
        <v>False</v>
      </c>
      <c r="CD47" s="25" t="str">
        <f>IF(_xlfn.XLOOKUP(_xlfn.XLOOKUP(B47,'Base stats'!B:B,'Base stats'!E:E),Groups!A:A,Groups!AX:AX),"True","False")</f>
        <v>False</v>
      </c>
      <c r="CE47" s="25" t="str">
        <f>IF(_xlfn.XLOOKUP(B47,'Base stats'!B:B,'Base stats'!E:E)=1,"True","False")</f>
        <v>False</v>
      </c>
      <c r="CF47" s="25" t="str">
        <f>IF(
OR(
_xlfn.XLOOKUP(_xlfn.XLOOKUP(B47,'Base stats'!B:B,'Base stats'!E:E),Groups!A:A,Groups!AY:AY)=0,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stats'!E:E),Groups!A:A,Groups!AY:AY)=1,
"Flesh",
IF(
_xlfn.XLOOKUP(_xlfn.XLOOKUP(B47,'Base stats'!B:B,'Base stats'!E:E),Groups!A:A,Groups!AY:AY)=2,
"Bone",
""
)
)
)</f>
        <v>No</v>
      </c>
      <c r="CG47" s="25" t="str">
        <f>IF(_xlfn.XLOOKUP(_xlfn.XLOOKUP(B47,'Base stats'!B:B,'Base stats'!E:E),Groups!A:A,Groups!BA:BA),"True","False")</f>
        <v>True</v>
      </c>
      <c r="CH47" s="25" t="str">
        <f>IF(_xlfn.XLOOKUP(_xlfn.XLOOKUP(B47,'Base stats'!B:B,'Base stats'!E:E),Groups!A:A,Groups!AZ:AZ),"True","False")</f>
        <v>False</v>
      </c>
    </row>
    <row r="48" spans="1:86" s="16" customFormat="1" ht="16.5" thickTop="1" thickBot="1" x14ac:dyDescent="0.3">
      <c r="A48" s="26" t="str">
        <f>_xlfn.XLOOKUP(B48,'Base stats'!B:B,'Base stats'!A:A)</f>
        <v>Toxalope</v>
      </c>
      <c r="B48" s="6" t="s">
        <v>891</v>
      </c>
      <c r="C48" s="28" t="s">
        <v>735</v>
      </c>
      <c r="D48" s="28" t="s">
        <v>883</v>
      </c>
      <c r="E48" s="28" t="s">
        <v>685</v>
      </c>
      <c r="F48" s="28" t="s">
        <v>685</v>
      </c>
      <c r="G48" s="2">
        <f>MROUND((
  (IF(AND(_xlfn.XLOOKUP(B48,'Base stats'!B:B,'Base stats'!AI:AI)=0,BG48="None",_xlfn.XLOOKUP('Base stats'!E48,Groups!A:A,Groups!B:B)=0), (18 + BP48 * 2.7) * 0.5,
    IF(AND(_xlfn.XLOOKUP(B48,'Base stats'!B:B,'Base stats'!AI:AI)=0,OR(AN48&lt;0.55,AND(BG48="Intermediate",_xlfn.XLOOKUP('Base stats'!E48,Groups!A:A,Groups!B:B)&lt;2))), (18 + BP48 * 2.7),
      IF(OR(BG48="Advanced",_xlfn.XLOOKUP(B48,'Base stats'!B:B,'Base stats'!AI:AI)=1,_xlfn.XLOOKUP('Base stats'!E48,Groups!A:A,Groups!B:B)=2), (18 + BP48 * 2.7) + 250, (18 + BP48 * 2.7))
    )
  ))
  + AN48 * 80
  + IF(COUNTIF(EggMilk!K$2:K$998, A48) &gt; 0, 125, 0)
  + IF(COUNTIF(EggMilk!P$2:P$998, A48) &gt; 0, 90, 0)
  + IF(COUNTIF(EggMilk!A$2:A$998, A48) &gt; 0, 90, 0)
)
* (0.8 + 0.4 * I48)
* 0.75,25)</f>
        <v>250</v>
      </c>
      <c r="H48" s="2">
        <f>MROUND(ROUNDDOWN(_xlfn.XLOOKUP(B48,'Base stats'!B:B,'Base stats'!L:L)/3.6/(23.3/11),1),0.5)</f>
        <v>4</v>
      </c>
      <c r="I48" s="2">
        <f>IF(_xlfn.XLOOKUP(B48,'Base stats'!B:B,'Base stats'!AI:AI)=1,0.99,MIN(MROUND((1-0.6282*EXP(-0.459*AN48))*_xlfn.XLOOKUP(_xlfn.XLOOKUP(B48,'Base stats'!B:B,'Base stats'!E:E),Groups!A:A,Groups!C:C)*IF(_xlfn.XLOOKUP(B48,'Base stats'!B:B,'Base stats'!O:O)=1,0.5,IF(_xlfn.XLOOKUP(B48,'Base stats'!B:B,'Base stats'!O:O)=2,0,1)),0.05),0.985))</f>
        <v>0.5</v>
      </c>
      <c r="J48" s="2">
        <f>ROUNDUP(AN48*_xlfn.XLOOKUP(_xlfn.XLOOKUP(B48,'Base stats'!B:B,'Base stats'!E:E),Groups!A:A,Groups!E:E),0)</f>
        <v>8</v>
      </c>
      <c r="K48" s="2">
        <f>IF(OR(_xlfn.XLOOKUP(_xlfn.XLOOKUP(B48,'Base stats'!B:B,'Base stats'!E:E),Groups!A:A,Groups!F:F)=2,ISNUMBER(SEARCH("SeaIce",BV48)),ISNUMBER(SEARCH("IceSheet",BV48))),-50,IF(OR(ISNUMBER(SEARCH("GlacialPlain",BV48)),ISNUMBER(SEARCH("Tundra",BV48))),-40,IF(OR(ISNUMBER(SEARCH("Alpine",BV48)),ISNUMBER(SEARCH("BorealForest",BV48)),ISNUMBER(SEARCH("ColdBog",BV48))),-30,IF(OR(ISNUMBER(SEARCH("TemperateForest",BV48)),ISNUMBER(SEARCH("TemperateSwamp",BV48))),-20,IF(_xlfn.XLOOKUP(_xlfn.XLOOKUP(B48,'Base stats'!B:B,'Base stats'!E:E),Groups!A:A,Groups!F:F)=1,-15,IF(OR(ISNUMBER(SEARCH("Desert",BV48)),ISNUMBER(SEARCH("ExtremeDesert",BV48))),-10,IF(OR(ISNUMBER(SEARCH("Grasslands",BV48)),ISNUMBER(SEARCH("TropicalRainforest",BV48)),ISNUMBER(SEARCH("TropicalSwamp",BV48))),10,0)))))))-IF(CA48="False",MIN(IFERROR(MAX(MROUND(LOG10(_xlfn.XLOOKUP(B48,'Base stats'!B:B,'Base stats'!C:C)^(2/3))*10,5),5),5),30))-_xlfn.XLOOKUP(B48,'Base stats'!B:B,'Base stats'!P:P)+IF(CA48="True",5,0)</f>
        <v>-45</v>
      </c>
      <c r="L48" s="2">
        <f>IF(OR(_xlfn.XLOOKUP(_xlfn.XLOOKUP(B48,'Base stats'!B:B,'Base stats'!E:E),Groups!A:A,Groups!G:G)=2,ISNUMBER(SEARCH("Desert",BV48)),ISNUMBER(SEARCH("ExtremeDesert",BV48)),ISNUMBER(SEARCH("LavaField",BV48))),50,IF(ISNUMBER(SEARCH("Grasslands",BV48)),45,IF(OR(_xlfn.XLOOKUP(_xlfn.XLOOKUP(B48,'Base stats'!B:B,'Base stats'!E:E),Groups!A:A,Groups!G:G)=1,ISNUMBER(SEARCH("TropicalRainforest",BV48)),ISNUMBER(SEARCH("TropicalSwamp",BV48))),40,IF(OR(ISNUMBER(SEARCH("TemperateForest",BV48)),ISNUMBER(SEARCH("TemperateSwamp",BV48))),35,IF(OR(ISNUMBER(SEARCH("Alpine",BV48)),ISNUMBER(SEARCH("BorealForest",BV48)),ISNUMBER(SEARCH("ColdBog",BV48))),30,IF(ISNUMBER(OR(ISNUMBER(SEARCH("GlacialPlain",BV48)),SEARCH("Tundra",BV48))),25,IF(OR(ISNUMBER(SEARCH("SeaIce",BV48)),ISNUMBER(SEARCH("IceSheet",BV48)),ISNUMBER(SEARCH("TropicalSwamp",BV48))),10,35)))))))+_xlfn.XLOOKUP(B48,'Base stats'!B:B,'Base stats'!Q:Q)</f>
        <v>50</v>
      </c>
      <c r="M48" s="8" t="str">
        <f>IF(_xlfn.XLOOKUP(_xlfn.XLOOKUP(B48,'Base stats'!B:B,'Base stats'!E:E),Groups!A:A,Groups!L:L)=1,MIN(MROUND(_xlfn.XLOOKUP(B48,'Animals CE'!B:B,'Animals CE'!Z:Z)/2+0.05,0.05),200%),"No")</f>
        <v>No</v>
      </c>
      <c r="N48" s="8" t="str">
        <f>IF(_xlfn.XLOOKUP(_xlfn.XLOOKUP(B48,'Base stats'!B:B,'Base stats'!E:E),Groups!A:A,Groups!L:L)=1,MIN(MROUND(_xlfn.XLOOKUP(B48,'Animals CE'!B:B,'Animals CE'!AA:AA)/2+0.05,0.05),200%),"No")</f>
        <v>No</v>
      </c>
      <c r="O48" s="2">
        <f>_xlfn.XLOOKUP(B48,'Base stats'!B:B,'Base stats'!R:R)</f>
        <v>1</v>
      </c>
      <c r="P48" s="13">
        <f>MROUND((LOG10(_xlfn.XLOOKUP(B48,'Base stats'!B:B,'Base stats'!AO:AO))*(AN48^0.5)+(_xlfn.XLOOKUP(B48,'Base stats'!B:B,'Base stats'!AO:AO)/1000)^(2/3)+_xlfn.XLOOKUP(B48,'Base stats'!B:B,'Base stats'!AX:AX)/2)+0.5,0.5)</f>
        <v>9.5</v>
      </c>
      <c r="Q48" s="7">
        <f>IF(P48="No","No",MAX(1,MROUND(_xlfn.XLOOKUP(B48,'Base stats'!B:B,'Base stats'!C:C)^0.165,0.05)))</f>
        <v>2.3000000000000003</v>
      </c>
      <c r="R48" s="13">
        <f>IF(_xlfn.XLOOKUP(_xlfn.XLOOKUP(B48,'Base stats'!B:B,'Base stats'!E:E),Groups!A:A,Groups!P:P)=0,"No",MROUND((LOG10(_xlfn.XLOOKUP(B48,'Base stats'!B:B,'Base stats'!AP:AP))*(AN48^0.5)+(_xlfn.XLOOKUP(B48,'Base stats'!B:B,'Base stats'!AP:AP)/1000)^(2/3)+_xlfn.XLOOKUP(B48,'Base stats'!B:B,'Base stats'!AX:AX))+_xlfn.XLOOKUP(B48,'Base stats'!B:B,'Base stats'!AV:AV)+0.5,0.5))</f>
        <v>12</v>
      </c>
      <c r="S48" s="7">
        <f>IF(R48="No","No",MAX(_xlfn.XLOOKUP(_xlfn.XLOOKUP(B48,'Base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T48" s="7" t="str">
        <f>IF(R48="No","No",_xlfn.XLOOKUP(_xlfn.XLOOKUP(B48,'Base stats'!B:B,'Base stats'!E:E),Groups!A:A,Groups!R:R))</f>
        <v>FrontLeftLeg, FrontRightLeg</v>
      </c>
      <c r="U48" s="7" t="str">
        <f>IF(R48="No","No",_xlfn.XLOOKUP(_xlfn.XLOOKUP(B48,'Base stats'!B:B,'Base stats'!E:E),Groups!A:A,Groups!S:S))</f>
        <v>left hoof, right hoof</v>
      </c>
      <c r="V48" s="7" t="str">
        <f>IF(R48="No","No",_xlfn.XLOOKUP(_xlfn.XLOOKUP(B48,'Base stats'!B:B,'Base stats'!E:E),Groups!A:A,Groups!T:T))</f>
        <v>Blunt</v>
      </c>
      <c r="W48" s="13" t="str">
        <f>IF(_xlfn.XLOOKUP(B48,'Base stats'!B:B,'Base stats'!W:W)="No","No",MROUND((LOG10(_xlfn.XLOOKUP(B48,'Base stats'!B:B,'Base stats'!AR:AR))*(AN48^0.5)+(_xlfn.XLOOKUP(B48,'Base stats'!B:B,'Base stats'!AR:AR)/1000)^(2/3)+_xlfn.XLOOKUP(B48,'Base stats'!B:B,'Base stats'!AW:AW))+0.5+IF(_xlfn.XLOOKUP(_xlfn.XLOOKUP(B48,'Base stats'!B:B,'Base stats'!E:E),Groups!A:A,Groups!U:U)&lt;&gt;3,_xlfn.XLOOKUP(B48,'Base stats'!B:B,'Base stats'!AX:AX),0),0.5))</f>
        <v>No</v>
      </c>
      <c r="X48" s="7" t="str">
        <f>IF(W48="No","No",MAX(_xlfn.XLOOKUP(_xlfn.XLOOKUP(B48,'Base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Y48" s="7" t="str">
        <f>IF(W48="No","No",_xlfn.XLOOKUP(_xlfn.XLOOKUP(B48,'Base stats'!B:B,'Base stats'!E:E),Groups!A:A,Groups!W:W))</f>
        <v>No</v>
      </c>
      <c r="Z48" s="7" t="str">
        <f>IF(W48="No","No",_xlfn.XLOOKUP(_xlfn.XLOOKUP(B48,'Base stats'!B:B,'Base stats'!E:E),Groups!A:A,Groups!X:X))</f>
        <v>No</v>
      </c>
      <c r="AA48" s="7" t="str">
        <f>IF(W48="No","No",_xlfn.XLOOKUP(_xlfn.XLOOKUP(B48,'Base stats'!B:B,'Base stats'!E:E),Groups!A:A,Groups!Y:Y))</f>
        <v>No</v>
      </c>
      <c r="AB48" s="7" t="str">
        <f>_xlfn.XLOOKUP(Animals!B48,'Base stats'!B:B,'Base stats'!X:X)</f>
        <v>False</v>
      </c>
      <c r="AC48" s="13">
        <f>IF(_xlfn.XLOOKUP(B48,'Base stats'!B:B,'Base stats'!AQ:AQ)="No","No",MROUND((LOG10(_xlfn.XLOOKUP(B48,'Base stats'!B:B,'Base stats'!AQ:AQ))*(AN48^0.75)+(_xlfn.XLOOKUP(B48,'Base stats'!B:B,'Base stats'!AQ:AQ)/1000)^(2/3)+_xlfn.XLOOKUP(B48,'Base stats'!B:B,'Base stats'!AU:AU)+_xlfn.XLOOKUP(B48,'Base stats'!B:B,'Base stats'!AX:AX))+0.5,0.5))</f>
        <v>12</v>
      </c>
      <c r="AD48" s="7">
        <f>IF(AC48="No","No",MAX(_xlfn.XLOOKUP(_xlfn.XLOOKUP(B48,'Base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E48" s="7" t="str">
        <f>IF(AC48="No","No",_xlfn.XLOOKUP(_xlfn.XLOOKUP(B48,'Base stats'!B:B,'Base stats'!E:E),Groups!A:A,Groups!AA:AA))</f>
        <v>Teeth</v>
      </c>
      <c r="AF48" s="7" t="str">
        <f>IF(AC48="No","No",_xlfn.XLOOKUP(_xlfn.XLOOKUP(B48,'Base stats'!B:B,'Base stats'!E:E),Groups!A:A,Groups!AB:AB))</f>
        <v>teeth</v>
      </c>
      <c r="AG48" s="7" t="str">
        <f>IF(AC48="No","No",_xlfn.XLOOKUP(_xlfn.XLOOKUP(B48,'Base stats'!B:B,'Base stats'!E:E),Groups!A:A,Groups!AC:AC))</f>
        <v>Bite</v>
      </c>
      <c r="AH48" s="13" t="str">
        <f>IF(_xlfn.XLOOKUP(_xlfn.XLOOKUP(B48,'Base stats'!B:B,'Base stats'!E:E),Groups!A:A,Groups!AD:AD)=0,"No",MROUND((LOG10(_xlfn.XLOOKUP(B48,'Base stats'!B:B,'Base stats'!AP:AP))*(AN48^0.75)+(_xlfn.XLOOKUP(B48,'Base stats'!B:B,'Base stats'!AP:AP)/1000)^(2/3)+_xlfn.XLOOKUP(B48,'Base stats'!B:B,'Base stats'!AV:AV)+_xlfn.XLOOKUP(B48,'Base stats'!B:B,'Base stats'!AX:AX))+0.5,0.5))</f>
        <v>No</v>
      </c>
      <c r="AI48" s="7" t="str">
        <f>IF(AH48="No","No",MAX(_xlfn.XLOOKUP(_xlfn.XLOOKUP(B48,'Base stats'!B:B,'Base stats'!E:E),Groups!A:A,Groups!AE:AE),MROUND(_xlfn.XLOOKUP(_xlfn.XLOOKUP(B48,'Base stats'!B:B,'Base stats'!E:E),Groups!A:A,Groups!AE:AE)*_xlfn.XLOOKUP(B48,'Base stats'!B:B,'Base stats'!C:C)^0.165,0.05)))</f>
        <v>No</v>
      </c>
      <c r="AJ48" s="7" t="str">
        <f>IF(AH48="No","No",_xlfn.XLOOKUP(_xlfn.XLOOKUP(B48,'Base stats'!B:B,'Base stats'!E:E),Groups!A:A,Groups!AF:AF))</f>
        <v>No</v>
      </c>
      <c r="AK48" s="7" t="str">
        <f>IF(AH48="No","No",_xlfn.XLOOKUP(_xlfn.XLOOKUP(B48,'Base stats'!B:B,'Base stats'!E:E),Groups!A:A,Groups!AG:AG))</f>
        <v>No</v>
      </c>
      <c r="AL48" s="7" t="str">
        <f>IF(AH48="No","No",_xlfn.XLOOKUP(_xlfn.XLOOKUP(B48,'Base stats'!B:B,'Base stats'!E:E),Groups!A:A,Groups!AH:AH))</f>
        <v>No</v>
      </c>
      <c r="AM48" s="2" t="str">
        <f t="shared" si="0"/>
        <v>No</v>
      </c>
      <c r="AN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O48" s="8">
        <f>MROUND(AN48*_xlfn.XLOOKUP(_xlfn.XLOOKUP(B48,'Base stats'!B:B,'Base stats'!E:E),Groups!A:A,Groups!AI:AI),0.05)</f>
        <v>1.5</v>
      </c>
      <c r="AP48" s="8">
        <f>MAX(0.01,MROUND(IF(CA48="True",0.196*(AN48*100*1000)^0.889,IF(_xlfn.XLOOKUP(_xlfn.XLOOKUP(B48,'Base stats'!B:B,'Base stats'!E:E),Groups!A:A,Groups!AJ:AJ)="Bird",10.5*(AN48*100*1000)^0.681,4.82*(AN48*100*1000)^0.734))/(4.82*(1*100*1000)^0.734)/IF(AN48&lt;3.5,2,IF(AN48=3.5,1.5,1.25))*(1+0.132282374779864/(AN48^0.994035016789033+0.00905238001496948)),0.05))</f>
        <v>0.75</v>
      </c>
      <c r="AQ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R48" s="35">
        <f>IFERROR(IF(_xlfn.XLOOKUP(B48,'Base stats'!B:B,'Base stats'!F:F)="Lay eggs","Lay eggs",MIN(20,MAX(5.5,ROUND(((_xlfn.XLOOKUP(B48,'Base stats'!B:B,'Base stats'!F:F)-25)*(14.5/615) + 5.5)*2,0)/2))),"Cannot breed")</f>
        <v>9.5</v>
      </c>
      <c r="AS48" s="8">
        <f>IF(OR(A48="Queen",A48="Larva",A48="Megachicken"),"No",IFERROR(MAX(IF(_xlfn.XLOOKUP(B48,'Base stats'!B:B,'Base stats'!G:G)&lt;0.5,0.2,0.3),MROUND(_xlfn.XLOOKUP(B48,'Base stats'!B:B,'Base stats'!G:G)/(365/60),0.2)),"Unknown"))</f>
        <v>0.4</v>
      </c>
      <c r="AT48" s="8">
        <f t="shared" si="1"/>
        <v>0.2</v>
      </c>
      <c r="AU48" s="8">
        <f>IFERROR(IFERROR(MROUND(_xlfn.XLOOKUP(B48,'Base stats'!B:B,'Base stats'!J:J),0.1),"Lay eggs"),"Cannot breed")</f>
        <v>1</v>
      </c>
      <c r="AV48" s="2" t="str">
        <f t="shared" si="2"/>
        <v>true</v>
      </c>
      <c r="AW48" s="2" t="str">
        <f>IF(_xlfn.XLOOKUP(_xlfn.XLOOKUP(Animals!B48,'Base stats'!B:B,'Base stats'!E:E),Groups!A:A,Groups!AK:AK)=1,"true","false")</f>
        <v>true</v>
      </c>
      <c r="AX48" s="25" t="str">
        <f>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</f>
        <v>VegetarianRoughAnimal</v>
      </c>
      <c r="AY48" s="2">
        <f>IF(_xlfn.XLOOKUP(_xlfn.XLOOKUP(B48,'Base stats'!B:B,'Base stats'!E:E),Groups!A:A,Groups!D:D)=1,MROUND((1-I48)*5+1,2)*IF(I48&lt;=0.4,2,1),"No")</f>
        <v>4</v>
      </c>
      <c r="AZ48" s="2" t="str">
        <f>_xlfn.XLOOKUP(B48,'Base stats'!B:B,'Base stats'!AE:AE)</f>
        <v>Leather_Plain</v>
      </c>
      <c r="BA48" s="23" t="str">
        <f>_xlfn.XLOOKUP(_xlfn.XLOOKUP(B48,'Base stats'!B:B,'Base stats'!E:E),Groups!A:A,Groups!AL:AL)</f>
        <v>QuadrupedAnimalWithHoovesAndHump</v>
      </c>
      <c r="BB48" s="23">
        <f>MROUND(IF(AND(AN48&lt;0.5,_xlfn.XLOOKUP(B48,'Base stats'!B:B,'Base stats'!Z:Z)=0),0,IF(OR(_xlfn.XLOOKUP(Animals!B48,'Base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stats'!AA:AA),0.005)</f>
        <v>0.1</v>
      </c>
      <c r="BC48" s="23">
        <f>MROUND(IF(AND(AN48&lt;0.5,_xlfn.XLOOKUP(B48,'Base stats'!B:B,'Base stats'!Z:Z)=0),0,IF(_xlfn.XLOOKUP(_xlfn.XLOOKUP(B48,'Base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stats'!AB:AB),0.005)</f>
        <v>0.3</v>
      </c>
      <c r="BD48" s="2" t="str">
        <f>IF(I48&gt;0.3,"No",_xlfn.XLOOKUP(_xlfn.XLOOKUP(Animals!B48,'Base stats'!B:B,'Base stats'!E:E),Groups!A:A,Groups!AP:AP))</f>
        <v>No</v>
      </c>
      <c r="BE48" s="2" t="str">
        <f>IF(AND(I48&lt;=0.65,_xlfn.XLOOKUP(_xlfn.XLOOKUP(Animals!B48,'Base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stats'!O:O)=2,0.2,AN48) + 24*(1-IF(BD48="No",0,BD48)) + 16/3, 12),"No")</f>
        <v>No</v>
      </c>
      <c r="BF48" s="2">
        <f>IF(AND(_xlfn.XLOOKUP(_xlfn.XLOOKUP(B48,'Base stats'!B:B,'Base stats'!E:E),Groups!A:A,Groups!AQ:AQ)=1,AN48&lt;=0.35),8,12)</f>
        <v>12</v>
      </c>
      <c r="BG48" s="2" t="str">
        <f>IF(_xlfn.XLOOKUP(_xlfn.XLOOKUP(B48,'Base stats'!B:B,'Base stats'!E:E),Groups!A:A,Groups!D:D)=0,_xlfn.XLOOKUP(_xlfn.XLOOKUP(B48,'Base stats'!B:B,'Base stats'!E:E),Groups!A:A,Groups!AR:AR),"None")</f>
        <v>None</v>
      </c>
      <c r="BH48" s="2" t="str">
        <f>IF(AND(_xlfn.XLOOKUP(_xlfn.XLOOKUP(B48,'Base stats'!B:B,'Base stats'!E:E),Groups!A:A,Groups!AS:AS)=1,OR('Base stats'!Y48="Carnivore",'Base stats'!Y48="Omnivore")),"true","false")</f>
        <v>false</v>
      </c>
      <c r="BI48" s="2" t="str">
        <f>IF(BH48="true",MROUND(IF(AND(AN48&gt;0.5,_xlfn.XLOOKUP(_xlfn.XLOOKUP(B48,'Base stats'!B:B,'Base stats'!E:E),Groups!A:A,Groups!AJ:AJ)="Mammal"),Animals!AN48*1.75*IF(AV48="true",1.5,1),Animals!AN48),IF(AN48&gt;2,0.5,IF(AN48&gt;0.5,0.25,0.1))),"No")</f>
        <v>No</v>
      </c>
      <c r="BJ48" s="2">
        <f t="shared" si="3"/>
        <v>0</v>
      </c>
      <c r="BK48" s="25" t="str">
        <f>IF('Base stats'!AK48="Standard","No",MROUND((_xlfn.XLOOKUP(B48,'Base stats'!B:B,'Base stats'!AK:AK)/3.6)/H48,0.1))</f>
        <v>No</v>
      </c>
      <c r="BL48" s="25" t="str">
        <f t="shared" si="4"/>
        <v>false</v>
      </c>
      <c r="BM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N48" s="25" t="str" cm="1">
        <f t="array" ref="BN48">IF(
  _xlfn.TEXTJOIN(", ",TRUE,
    IF(AND(BH48="true",AN48&gt;0.5,BG48&lt;&gt;"None"),"AttackTarget",""),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IF(BE48&lt;=36,"Comfort",""),
    IF(_xlfn.XLOOKUP(B48,'Base stats'!B:B,'Base stats'!AC:AC)&lt;&gt;"No",_xlfn.XLOOKUP(B48,'Base stats'!B:B,'Base stats'!AC:AC),"")
  ) = "",
  "No",
  _xlfn.TEXTJOIN(", ",TRUE,
    IF(AND(BH48="true",AN48&gt;0.5,BG48&lt;&gt;"None"),"AttackTarget",""),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IF(BE48&lt;=36,"Comfort",""),
    IF(_xlfn.XLOOKUP(B48,'Base stats'!B:B,'Base stats'!AC:AC)&lt;&gt;"No",_xlfn.XLOOKUP(B48,'Base stats'!B:B,'Base stats'!AC:AC),"")
  )
)</f>
        <v>No</v>
      </c>
      <c r="BO48" s="25" t="str">
        <f>IF(
   AND(
      'Base stats'!AK48="Standard",_xlfn.XLOOKUP(_xlfn.XLOOKUP(B48,'Base stats'!B:B,'Base stats'!E:E),Groups!A:A,Groups!AU:AU)=0,
      OR(
      BM48="True"
      )
   ),
   10,
   IF(
       OR(BK48&lt;&gt;"No",_xlfn.XLOOKUP(_xlfn.XLOOKUP(B48,'Base stats'!B:B,'Base stats'!E:E),Groups!A:A,Groups!AU:AU)=1),
      1,
      "No"
   )
)</f>
        <v>No</v>
      </c>
      <c r="BP48" s="9">
        <f>MROUND((1 + ((0.2*IF(OR(P48="No",Q48="No",Q48=0),0,P48/Q48)
+IF(OR(U48="No",R48="No",S48="No"),0,R48/S48*(LEN(U48)-LEN(SUBSTITUTE(U48,",",""))+1))
+IF(OR(W48="No",X48="No"),0,W48/X48)
+IF(OR(AC48="No",AD48="No"),0,AC48/AD48)
+IF(OR(AK48="No",AH48="No",AI48="No"),0,AH48/AI48*(LEN(AK48)-LEN(SUBSTITUTE(AK48,",",""))+1))
)/(0.2*IF(OR(P48="No",Q48="No",Q48=0),0,1)
+IF(OR(U48="No",R48="No",S48="No"),0,LEN(U48)-LEN(SUBSTITUTE(U48,",",""))+1)
+IF(OR(W48="No",X48="No"),0,1)
+IF(OR(AC48="No",AD48="No"),0,1)
+IF(OR(AK48="No",AH48="No",AI48="No"),0,LEN(AK48)-LEN(SUBSTITUTE(AK48,",",""))+1))*62%)* 2)*(1 + (AO48 + _xlfn.XLOOKUP(B48,'Base stats'!B:B,'Base stats'!AS:AS) * 1.8) * 2) * 2.5 + 10 + H48 * 2,5)+IF(_xlfn.XLOOKUP(B48,'Base stats'!B:B,'Base stats'!AH:AH)=1,50,0)</f>
        <v>145</v>
      </c>
      <c r="BQ48" s="8">
        <f t="shared" si="5"/>
        <v>0.9</v>
      </c>
      <c r="BR48" s="8" t="str">
        <f>_xlfn.XLOOKUP(B48,'Base stats'!B:B,'Base stats'!AD:AD)</f>
        <v>2~6</v>
      </c>
      <c r="BS48" s="2" t="str">
        <f>IF(AND(I48&lt;=0.95,OR(_xlfn.XLOOKUP(B48,'Base stats'!B:B,'Base stats'!AH:AH)=1,_xlfn.XLOOKUP(B48,'Base stats'!B:B,'Base stats'!Y:Y)="Carnivore",_xlfn.XLOOKUP(B48,'Base stats'!B:B,'Base stats'!Y:Y)="Omnivore",BC48&gt;0.1)),"true","false")</f>
        <v>true</v>
      </c>
      <c r="BT48" s="2" t="str">
        <f>IF(_xlfn.XLOOKUP(B48,'Base stats'!B:B,'Base stats'!AF:AF)=1,"true","false")</f>
        <v>false</v>
      </c>
      <c r="BU48" s="25" t="str">
        <f>IF(E48="BaseInsect","AnimalInsect",
IF(I48&gt;0.95,"AnimalExotic",
_xlfn.TEXTJOIN(", ",TRUE,
IF(AND(_xlfn.XLOOKUP(B48,'Base stats'!B:B,'Base stats'!O:O)=0,_xlfn.XLOOKUP(_xlfn.XLOOKUP(B48,'Base stats'!B:B,'Base stats'!E:E),Groups!A:A,Groups!B:B)&gt;0),"AnimalUncommon","AnimalCommon"),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stats'!AH:AH)=1,AND(BG48&lt;&gt;"None",BP48&gt;=60),ISNUMBER(SEARCH("Attack target",BN48))),"AnimalFighter","")
)))</f>
        <v>AnimalCommon, AnimalFighter</v>
      </c>
      <c r="BV48" s="25" t="str">
        <f>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</f>
        <v>BorealForest ColdBog TemperateForest TemperateSwamp AridShrubland Desert ExtremeDesert TropicalRainforest TropicalSwamp Grasslands Glowforest LavaField Scarlands</v>
      </c>
      <c r="BW48" s="25" t="str">
        <f>IF(_xlfn.XLOOKUP(B48,'Base stats'!B:B,'Base stats'!AG:AG)=1,"true","false")</f>
        <v>false</v>
      </c>
      <c r="BX48" s="25" t="str">
        <f>IF(_xlfn.XLOOKUP(B48,'Base stats'!B:B,'Base stats'!N:N)=1,"No",MIN(MROUND(IF(OR(_xlfn.XLOOKUP(B48,'Base stats'!B:B,'Base stats'!AJ:AJ)=1,AND(BH48="True",CA48="False")),POWER(10,3.47*LOG10(_xlfn.XLOOKUP(B48,'Base stats'!B:B,'Base stats'!C:C)*1000)^-0.96),POWER(10,4.15*LOG10(_xlfn.XLOOKUP(B48,'Base stats'!B:B,'Base stats'!C:C)*1000)^-0.73))*IF(OR(_xlfn.XLOOKUP(B48,'Base stats'!B:B,'Base stats'!AJ:AJ)=1,_xlfn.XLOOKUP(B48,'Base stats'!B:B,'Base stats'!AH:AH)=1),0.5,1)/100,0.025),1))</f>
        <v>No</v>
      </c>
      <c r="BY48" s="25">
        <f>IF(O48="Standard","No",IF(_xlfn.XLOOKUP(B48,'Base stats'!B:B,'Base stats'!N:N)=0,MROUND(BX48*O48,0.05),MIN(1,MAX(0.025,MROUND(IF(OR(CA48="true",AND(BH48="false",BM48="false")),POWER(10,4.15*LOG10(_xlfn.XLOOKUP(B48,'Base stats'!B:B,'Base stats'!C:C)*1000)^-0.73),POWER(10,3.47*LOG10(_xlfn.XLOOKUP(B48,'Base stats'!B:B,'Base stats'!C:C)*1000)^-0.96))*IF(_xlfn.XLOOKUP(B48,'Base stats'!B:B,'Base stats'!AH:AH)=1,0.5,1)/100,0.025)))))</f>
        <v>0.1</v>
      </c>
      <c r="BZ48" s="25" t="str">
        <f>IF(_xlfn.XLOOKUP(_xlfn.XLOOKUP(B48,'Base stats'!B:B,'Base stats'!E:E),Groups!A:A,Groups!AJ:AJ)="Mammal","True","False")</f>
        <v>True</v>
      </c>
      <c r="CA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B48" s="25" t="str">
        <f t="shared" si="6"/>
        <v>False</v>
      </c>
      <c r="CC48" s="25" t="str">
        <f>IF(_xlfn.XLOOKUP(_xlfn.XLOOKUP(B48,'Base stats'!B:B,'Base stats'!E:E),Groups!A:A,Groups!AW:AW),"True","False")</f>
        <v>False</v>
      </c>
      <c r="CD48" s="25" t="str">
        <f>IF(_xlfn.XLOOKUP(_xlfn.XLOOKUP(B48,'Base stats'!B:B,'Base stats'!E:E),Groups!A:A,Groups!AX:AX),"True","False")</f>
        <v>False</v>
      </c>
      <c r="CE48" s="25" t="str">
        <f>IF(_xlfn.XLOOKUP(B48,'Base stats'!B:B,'Base stats'!E:E)=1,"True","False")</f>
        <v>False</v>
      </c>
      <c r="CF48" s="25" t="str">
        <f>IF(
OR(
_xlfn.XLOOKUP(_xlfn.XLOOKUP(B48,'Base stats'!B:B,'Base stats'!E:E),Groups!A:A,Groups!AY:AY)=0,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stats'!E:E),Groups!A:A,Groups!AY:AY)=1,
"Flesh",
IF(
_xlfn.XLOOKUP(_xlfn.XLOOKUP(B48,'Base stats'!B:B,'Base stats'!E:E),Groups!A:A,Groups!AY:AY)=2,
"Bone",
""
)
)
)</f>
        <v>No</v>
      </c>
      <c r="CG48" s="25" t="str">
        <f>IF(_xlfn.XLOOKUP(_xlfn.XLOOKUP(B48,'Base stats'!B:B,'Base stats'!E:E),Groups!A:A,Groups!BA:BA),"True","False")</f>
        <v>True</v>
      </c>
      <c r="CH48" s="25" t="str">
        <f>IF(_xlfn.XLOOKUP(_xlfn.XLOOKUP(B48,'Base stats'!B:B,'Base stats'!E:E),Groups!A:A,Groups!AZ:AZ),"True","False")</f>
        <v>False</v>
      </c>
    </row>
    <row r="49" spans="1:86" ht="16.5" thickTop="1" thickBot="1" x14ac:dyDescent="0.3">
      <c r="A49" s="26" t="str">
        <f>_xlfn.XLOOKUP(B49,'Base stats'!B:B,'Base stats'!A:A)</f>
        <v>Caribou</v>
      </c>
      <c r="B49" s="6" t="s">
        <v>159</v>
      </c>
      <c r="C49" s="28" t="s">
        <v>736</v>
      </c>
      <c r="D49" s="28" t="s">
        <v>45</v>
      </c>
      <c r="E49" s="28" t="s">
        <v>685</v>
      </c>
      <c r="F49" s="28" t="s">
        <v>685</v>
      </c>
      <c r="G49" s="2">
        <f>MROUND((
  (IF(AND(_xlfn.XLOOKUP(B49,'Base stats'!B:B,'Base stats'!AI:AI)=0,BG49="None",_xlfn.XLOOKUP('Base stats'!E49,Groups!A:A,Groups!B:B)=0), (18 + BP49 * 2.7) * 0.5,
    IF(AND(_xlfn.XLOOKUP(B49,'Base stats'!B:B,'Base stats'!AI:AI)=0,OR(AN49&lt;0.55,AND(BG49="Intermediate",_xlfn.XLOOKUP('Base stats'!E49,Groups!A:A,Groups!B:B)&lt;2))), (18 + BP49 * 2.7),
      IF(OR(BG49="Advanced",_xlfn.XLOOKUP(B49,'Base stats'!B:B,'Base stats'!AI:AI)=1,_xlfn.XLOOKUP('Base stats'!E49,Groups!A:A,Groups!B:B)=2), (18 + BP49 * 2.7) + 250, (18 + BP49 * 2.7))
    )
  ))
  + AN49 * 80
  + IF(COUNTIF(EggMilk!K$2:K$998, A49) &gt; 0, 125, 0)
  + IF(COUNTIF(EggMilk!P$2:P$998, A49) &gt; 0, 90, 0)
  + IF(COUNTIF(EggMilk!A$2:A$998, A49) &gt; 0, 90, 0)
)
* (0.8 + 0.4 * I49)
* 0.75,25)</f>
        <v>250</v>
      </c>
      <c r="H49" s="2">
        <f>MROUND(ROUNDDOWN(_xlfn.XLOOKUP(B49,'Base stats'!B:B,'Base stats'!L:L)/3.6/(23.3/11),1),0.5)</f>
        <v>10.5</v>
      </c>
      <c r="I49" s="2">
        <f>IF(_xlfn.XLOOKUP(B49,'Base stats'!B:B,'Base stats'!AI:AI)=1,0.99,MIN(MROUND((1-0.6282*EXP(-0.459*AN49))*_xlfn.XLOOKUP(_xlfn.XLOOKUP(B49,'Base stats'!B:B,'Base stats'!E:E),Groups!A:A,Groups!C:C)*IF(_xlfn.XLOOKUP(B49,'Base stats'!B:B,'Base stats'!O:O)=1,0.5,IF(_xlfn.XLOOKUP(B49,'Base stats'!B:B,'Base stats'!O:O)=2,0,1)),0.05),0.985))</f>
        <v>0.30000000000000004</v>
      </c>
      <c r="J49" s="2">
        <f>ROUNDUP(AN49*_xlfn.XLOOKUP(_xlfn.XLOOKUP(B49,'Base stats'!B:B,'Base stats'!E:E),Groups!A:A,Groups!E:E),0)</f>
        <v>7</v>
      </c>
      <c r="K49" s="2">
        <f>IF(OR(_xlfn.XLOOKUP(_xlfn.XLOOKUP(B49,'Base stats'!B:B,'Base stats'!E:E),Groups!A:A,Groups!F:F)=2,ISNUMBER(SEARCH("SeaIce",BV49)),ISNUMBER(SEARCH("IceSheet",BV49))),-50,IF(OR(ISNUMBER(SEARCH("GlacialPlain",BV49)),ISNUMBER(SEARCH("Tundra",BV49))),-40,IF(OR(ISNUMBER(SEARCH("Alpine",BV49)),ISNUMBER(SEARCH("BorealForest",BV49)),ISNUMBER(SEARCH("ColdBog",BV49))),-30,IF(OR(ISNUMBER(SEARCH("TemperateForest",BV49)),ISNUMBER(SEARCH("TemperateSwamp",BV49))),-20,IF(_xlfn.XLOOKUP(_xlfn.XLOOKUP(B49,'Base stats'!B:B,'Base stats'!E:E),Groups!A:A,Groups!F:F)=1,-15,IF(OR(ISNUMBER(SEARCH("Desert",BV49)),ISNUMBER(SEARCH("ExtremeDesert",BV49))),-10,IF(OR(ISNUMBER(SEARCH("Grasslands",BV49)),ISNUMBER(SEARCH("TropicalRainforest",BV49)),ISNUMBER(SEARCH("TropicalSwamp",BV49))),10,0)))))))-IF(CA49="False",MIN(IFERROR(MAX(MROUND(LOG10(_xlfn.XLOOKUP(B49,'Base stats'!B:B,'Base stats'!C:C)^(2/3))*10,5),5),5),30))-_xlfn.XLOOKUP(B49,'Base stats'!B:B,'Base stats'!P:P)+IF(CA49="True",5,0)</f>
        <v>-55</v>
      </c>
      <c r="L49" s="2">
        <f>IF(OR(_xlfn.XLOOKUP(_xlfn.XLOOKUP(B49,'Base stats'!B:B,'Base stats'!E:E),Groups!A:A,Groups!G:G)=2,ISNUMBER(SEARCH("Desert",BV49)),ISNUMBER(SEARCH("ExtremeDesert",BV49)),ISNUMBER(SEARCH("LavaField",BV49))),50,IF(ISNUMBER(SEARCH("Grasslands",BV49)),45,IF(OR(_xlfn.XLOOKUP(_xlfn.XLOOKUP(B49,'Base stats'!B:B,'Base stats'!E:E),Groups!A:A,Groups!G:G)=1,ISNUMBER(SEARCH("TropicalRainforest",BV49)),ISNUMBER(SEARCH("TropicalSwamp",BV49))),40,IF(OR(ISNUMBER(SEARCH("TemperateForest",BV49)),ISNUMBER(SEARCH("TemperateSwamp",BV49))),35,IF(OR(ISNUMBER(SEARCH("Alpine",BV49)),ISNUMBER(SEARCH("BorealForest",BV49)),ISNUMBER(SEARCH("ColdBog",BV49))),30,IF(ISNUMBER(OR(ISNUMBER(SEARCH("GlacialPlain",BV49)),SEARCH("Tundra",BV49))),25,IF(OR(ISNUMBER(SEARCH("SeaIce",BV49)),ISNUMBER(SEARCH("IceSheet",BV49)),ISNUMBER(SEARCH("TropicalSwamp",BV49))),10,35)))))))+_xlfn.XLOOKUP(B49,'Base stats'!B:B,'Base stats'!Q:Q)</f>
        <v>35</v>
      </c>
      <c r="M49" s="8" t="str">
        <f>IF(_xlfn.XLOOKUP(_xlfn.XLOOKUP(B49,'Base stats'!B:B,'Base stats'!E:E),Groups!A:A,Groups!L:L)=1,MIN(MROUND(_xlfn.XLOOKUP(B49,'Animals CE'!B:B,'Animals CE'!Z:Z)/2+0.05,0.05),200%),"No")</f>
        <v>No</v>
      </c>
      <c r="N49" s="8" t="str">
        <f>IF(_xlfn.XLOOKUP(_xlfn.XLOOKUP(B49,'Base stats'!B:B,'Base stats'!E:E),Groups!A:A,Groups!L:L)=1,MIN(MROUND(_xlfn.XLOOKUP(B49,'Animals CE'!B:B,'Animals CE'!AA:AA)/2+0.05,0.05),200%),"No")</f>
        <v>No</v>
      </c>
      <c r="O49" s="2" t="str">
        <f>_xlfn.XLOOKUP(B49,'Base stats'!B:B,'Base stats'!R:R)</f>
        <v>Standard</v>
      </c>
      <c r="P49" s="13">
        <f>MROUND((LOG10(_xlfn.XLOOKUP(B49,'Base stats'!B:B,'Base stats'!AO:AO))*(AN49^0.5)+(_xlfn.XLOOKUP(B49,'Base stats'!B:B,'Base stats'!AO:AO)/1000)^(2/3)+_xlfn.XLOOKUP(B49,'Base stats'!B:B,'Base stats'!AX:AX)/2)+0.5,0.5)</f>
        <v>8.5</v>
      </c>
      <c r="Q49" s="7">
        <f>IF(P49="No","No",MAX(1,MROUND(_xlfn.XLOOKUP(B49,'Base stats'!B:B,'Base stats'!C:C)^0.165,0.05)))</f>
        <v>2.2000000000000002</v>
      </c>
      <c r="R49" s="13">
        <f>IF(_xlfn.XLOOKUP(_xlfn.XLOOKUP(B49,'Base stats'!B:B,'Base stats'!E:E),Groups!A:A,Groups!P:P)=0,"No",MROUND((LOG10(_xlfn.XLOOKUP(B49,'Base stats'!B:B,'Base stats'!AP:AP))*(AN49^0.5)+(_xlfn.XLOOKUP(B49,'Base stats'!B:B,'Base stats'!AP:AP)/1000)^(2/3)+_xlfn.XLOOKUP(B49,'Base stats'!B:B,'Base stats'!AX:AX))+_xlfn.XLOOKUP(B49,'Base stats'!B:B,'Base stats'!AV:AV)+0.5,0.5))</f>
        <v>11</v>
      </c>
      <c r="S49" s="7">
        <f>IF(R49="No","No",MAX(_xlfn.XLOOKUP(_xlfn.XLOOKUP(B49,'Base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T49" s="7" t="str">
        <f>IF(R49="No","No",_xlfn.XLOOKUP(_xlfn.XLOOKUP(B49,'Base stats'!B:B,'Base stats'!E:E),Groups!A:A,Groups!R:R))</f>
        <v>FrontLeftLeg, FrontRightLeg</v>
      </c>
      <c r="U49" s="7" t="str">
        <f>IF(R49="No","No",_xlfn.XLOOKUP(_xlfn.XLOOKUP(B49,'Base stats'!B:B,'Base stats'!E:E),Groups!A:A,Groups!S:S))</f>
        <v>left hoof, right hoof</v>
      </c>
      <c r="V49" s="7" t="str">
        <f>IF(R49="No","No",_xlfn.XLOOKUP(_xlfn.XLOOKUP(B49,'Base stats'!B:B,'Base stats'!E:E),Groups!A:A,Groups!T:T))</f>
        <v>Blunt</v>
      </c>
      <c r="W49" s="13">
        <f>IF(_xlfn.XLOOKUP(B49,'Base stats'!B:B,'Base stats'!W:W)="No","No",MROUND((LOG10(_xlfn.XLOOKUP(B49,'Base stats'!B:B,'Base stats'!AR:AR))*(AN49^0.5)+(_xlfn.XLOOKUP(B49,'Base stats'!B:B,'Base stats'!AR:AR)/1000)^(2/3)+_xlfn.XLOOKUP(B49,'Base stats'!B:B,'Base stats'!AW:AW))+0.5+IF(_xlfn.XLOOKUP(_xlfn.XLOOKUP(B49,'Base stats'!B:B,'Base stats'!E:E),Groups!A:A,Groups!U:U)&lt;&gt;3,_xlfn.XLOOKUP(B49,'Base stats'!B:B,'Base stats'!AX:AX),0),0.5))</f>
        <v>13.5</v>
      </c>
      <c r="X49" s="7">
        <f>IF(W49="No","No",MAX(_xlfn.XLOOKUP(_xlfn.XLOOKUP(B49,'Base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Y49" s="7" t="str">
        <f>IF(W49="No","No",_xlfn.XLOOKUP(_xlfn.XLOOKUP(B49,'Base stats'!B:B,'Base stats'!E:E),Groups!A:A,Groups!W:W))</f>
        <v>HeadAttackTool</v>
      </c>
      <c r="Z49" s="7" t="str">
        <f>IF(W49="No","No",_xlfn.XLOOKUP(_xlfn.XLOOKUP(B49,'Base stats'!B:B,'Base stats'!E:E),Groups!A:A,Groups!X:X))</f>
        <v>antler</v>
      </c>
      <c r="AA49" s="7" t="str">
        <f>IF(W49="No","No",_xlfn.XLOOKUP(_xlfn.XLOOKUP(B49,'Base stats'!B:B,'Base stats'!E:E),Groups!A:A,Groups!Y:Y))</f>
        <v>Scratch</v>
      </c>
      <c r="AB49" s="7" t="str">
        <f>_xlfn.XLOOKUP(Animals!B49,'Base stats'!B:B,'Base stats'!X:X)</f>
        <v>False</v>
      </c>
      <c r="AC49" s="13" t="str">
        <f>IF(_xlfn.XLOOKUP(B49,'Base stats'!B:B,'Base stats'!AQ:AQ)="No","No",MROUND((LOG10(_xlfn.XLOOKUP(B49,'Base stats'!B:B,'Base stats'!AQ:AQ))*(AN49^0.75)+(_xlfn.XLOOKUP(B49,'Base stats'!B:B,'Base stats'!AQ:AQ)/1000)^(2/3)+_xlfn.XLOOKUP(B49,'Base stats'!B:B,'Base stats'!AU:AU)+_xlfn.XLOOKUP(B49,'Base stats'!B:B,'Base stats'!AX:AX))+0.5,0.5))</f>
        <v>No</v>
      </c>
      <c r="AD49" s="7" t="str">
        <f>IF(AC49="No","No",MAX(_xlfn.XLOOKUP(_xlfn.XLOOKUP(B49,'Base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E49" s="7" t="str">
        <f>IF(AC49="No","No",_xlfn.XLOOKUP(_xlfn.XLOOKUP(B49,'Base stats'!B:B,'Base stats'!E:E),Groups!A:A,Groups!AA:AA))</f>
        <v>No</v>
      </c>
      <c r="AF49" s="7" t="str">
        <f>IF(AC49="No","No",_xlfn.XLOOKUP(_xlfn.XLOOKUP(B49,'Base stats'!B:B,'Base stats'!E:E),Groups!A:A,Groups!AB:AB))</f>
        <v>No</v>
      </c>
      <c r="AG49" s="7" t="str">
        <f>IF(AC49="No","No",_xlfn.XLOOKUP(_xlfn.XLOOKUP(B49,'Base stats'!B:B,'Base stats'!E:E),Groups!A:A,Groups!AC:AC))</f>
        <v>No</v>
      </c>
      <c r="AH49" s="13" t="str">
        <f>IF(_xlfn.XLOOKUP(_xlfn.XLOOKUP(B49,'Base stats'!B:B,'Base stats'!E:E),Groups!A:A,Groups!AD:AD)=0,"No",MROUND((LOG10(_xlfn.XLOOKUP(B49,'Base stats'!B:B,'Base stats'!AP:AP))*(AN49^0.75)+(_xlfn.XLOOKUP(B49,'Base stats'!B:B,'Base stats'!AP:AP)/1000)^(2/3)+_xlfn.XLOOKUP(B49,'Base stats'!B:B,'Base stats'!AV:AV)+_xlfn.XLOOKUP(B49,'Base stats'!B:B,'Base stats'!AX:AX))+0.5,0.5))</f>
        <v>No</v>
      </c>
      <c r="AI49" s="7" t="str">
        <f>IF(AH49="No","No",MAX(_xlfn.XLOOKUP(_xlfn.XLOOKUP(B49,'Base stats'!B:B,'Base stats'!E:E),Groups!A:A,Groups!AE:AE),MROUND(_xlfn.XLOOKUP(_xlfn.XLOOKUP(B49,'Base stats'!B:B,'Base stats'!E:E),Groups!A:A,Groups!AE:AE)*_xlfn.XLOOKUP(B49,'Base stats'!B:B,'Base stats'!C:C)^0.165,0.05)))</f>
        <v>No</v>
      </c>
      <c r="AJ49" s="7" t="str">
        <f>IF(AH49="No","No",_xlfn.XLOOKUP(_xlfn.XLOOKUP(B49,'Base stats'!B:B,'Base stats'!E:E),Groups!A:A,Groups!AF:AF))</f>
        <v>No</v>
      </c>
      <c r="AK49" s="7" t="str">
        <f>IF(AH49="No","No",_xlfn.XLOOKUP(_xlfn.XLOOKUP(B49,'Base stats'!B:B,'Base stats'!E:E),Groups!A:A,Groups!AG:AG))</f>
        <v>No</v>
      </c>
      <c r="AL49" s="7" t="str">
        <f>IF(AH49="No","No",_xlfn.XLOOKUP(_xlfn.XLOOKUP(B49,'Base stats'!B:B,'Base stats'!E:E),Groups!A:A,Groups!AH:AH))</f>
        <v>No</v>
      </c>
      <c r="AM49" s="2" t="str">
        <f t="shared" si="0"/>
        <v>No</v>
      </c>
      <c r="AN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O49" s="8">
        <f>MROUND(AN49*_xlfn.XLOOKUP(_xlfn.XLOOKUP(B49,'Base stats'!B:B,'Base stats'!E:E),Groups!A:A,Groups!AI:AI),0.05)</f>
        <v>1.3</v>
      </c>
      <c r="AP49" s="8">
        <f>MAX(0.01,MROUND(IF(CA49="True",0.196*(AN49*100*1000)^0.889,IF(_xlfn.XLOOKUP(_xlfn.XLOOKUP(B49,'Base stats'!B:B,'Base stats'!E:E),Groups!A:A,Groups!AJ:AJ)="Bird",10.5*(AN49*100*1000)^0.681,4.82*(AN49*100*1000)^0.734))/(4.82*(1*100*1000)^0.734)/IF(AN49&lt;3.5,2,IF(AN49=3.5,1.5,1.25))*(1+0.132282374779864/(AN49^0.994035016789033+0.00905238001496948)),0.05))</f>
        <v>0.65</v>
      </c>
      <c r="AQ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R49" s="35">
        <f>IFERROR(IF(_xlfn.XLOOKUP(B49,'Base stats'!B:B,'Base stats'!F:F)="Lay eggs","Lay eggs",MIN(20,MAX(5.5,ROUND(((_xlfn.XLOOKUP(B49,'Base stats'!B:B,'Base stats'!F:F)-25)*(14.5/615) + 5.5)*2,0)/2))),"Cannot breed")</f>
        <v>10.5</v>
      </c>
      <c r="AS49" s="8">
        <f>IF(OR(A49="Queen",A49="Larva",A49="Megachicken"),"No",IFERROR(MAX(IF(_xlfn.XLOOKUP(B49,'Base stats'!B:B,'Base stats'!G:G)&lt;0.5,0.2,0.3),MROUND(_xlfn.XLOOKUP(B49,'Base stats'!B:B,'Base stats'!G:G)/(365/60),0.2)),"Unknown"))</f>
        <v>0.3</v>
      </c>
      <c r="AT49" s="8">
        <f t="shared" si="1"/>
        <v>0.15000000000000002</v>
      </c>
      <c r="AU49" s="8">
        <f>IFERROR(IFERROR(MROUND(_xlfn.XLOOKUP(B49,'Base stats'!B:B,'Base stats'!J:J),0.1),"Lay eggs"),"Cannot breed")</f>
        <v>1</v>
      </c>
      <c r="AV49" s="2" t="str">
        <f t="shared" si="2"/>
        <v>true</v>
      </c>
      <c r="AW49" s="2" t="str">
        <f>IF(_xlfn.XLOOKUP(_xlfn.XLOOKUP(Animals!B49,'Base stats'!B:B,'Base stats'!E:E),Groups!A:A,Groups!AK:AK)=1,"true","false")</f>
        <v>true</v>
      </c>
      <c r="AX49" s="25" t="str">
        <f>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</f>
        <v>VegetarianRoughAnimal</v>
      </c>
      <c r="AY49" s="2">
        <f>IF(_xlfn.XLOOKUP(_xlfn.XLOOKUP(B49,'Base stats'!B:B,'Base stats'!E:E),Groups!A:A,Groups!D:D)=1,MROUND((1-I49)*5+1,2)*IF(I49&lt;=0.4,2,1),"No")</f>
        <v>8</v>
      </c>
      <c r="AZ49" s="2" t="str">
        <f>_xlfn.XLOOKUP(B49,'Base stats'!B:B,'Base stats'!AE:AE)</f>
        <v>Leather_Plain</v>
      </c>
      <c r="BA49" s="23" t="str">
        <f>_xlfn.XLOOKUP(_xlfn.XLOOKUP(B49,'Base stats'!B:B,'Base stats'!E:E),Groups!A:A,Groups!AL:AL)</f>
        <v>QuadrupedAnimalWithHooves</v>
      </c>
      <c r="BB49" s="23">
        <f>MROUND(IF(AND(AN49&lt;0.5,_xlfn.XLOOKUP(B49,'Base stats'!B:B,'Base stats'!Z:Z)=0),0,IF(OR(_xlfn.XLOOKUP(Animals!B49,'Base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stats'!AA:AA),0.005)</f>
        <v>0</v>
      </c>
      <c r="BC49" s="23">
        <f>MROUND(IF(AND(AN49&lt;0.5,_xlfn.XLOOKUP(B49,'Base stats'!B:B,'Base stats'!Z:Z)=0),0,IF(_xlfn.XLOOKUP(_xlfn.XLOOKUP(B49,'Base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stats'!AB:AB),0.005)</f>
        <v>0</v>
      </c>
      <c r="BD49" s="2" t="str">
        <f>IF(I49&gt;0.3,"No",_xlfn.XLOOKUP(_xlfn.XLOOKUP(Animals!B49,'Base stats'!B:B,'Base stats'!E:E),Groups!A:A,Groups!AP:AP))</f>
        <v>No</v>
      </c>
      <c r="BE49" s="2" t="str">
        <f>IF(AND(I49&lt;=0.65,_xlfn.XLOOKUP(_xlfn.XLOOKUP(Animals!B49,'Base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stats'!O:O)=2,0.2,AN49) + 24*(1-IF(BD49="No",0,BD49)) + 16/3, 12),"No")</f>
        <v>No</v>
      </c>
      <c r="BF49" s="2">
        <f>IF(AND(_xlfn.XLOOKUP(_xlfn.XLOOKUP(B49,'Base stats'!B:B,'Base stats'!E:E),Groups!A:A,Groups!AQ:AQ)=1,AN49&lt;=0.35),8,12)</f>
        <v>12</v>
      </c>
      <c r="BG49" s="2" t="str">
        <f>IF(_xlfn.XLOOKUP(_xlfn.XLOOKUP(B49,'Base stats'!B:B,'Base stats'!E:E),Groups!A:A,Groups!D:D)=0,_xlfn.XLOOKUP(_xlfn.XLOOKUP(B49,'Base stats'!B:B,'Base stats'!E:E),Groups!A:A,Groups!AR:AR),"None")</f>
        <v>None</v>
      </c>
      <c r="BH49" s="2" t="str">
        <f>IF(AND(_xlfn.XLOOKUP(_xlfn.XLOOKUP(B49,'Base stats'!B:B,'Base stats'!E:E),Groups!A:A,Groups!AS:AS)=1,OR('Base stats'!Y49="Carnivore",'Base stats'!Y49="Omnivore")),"true","false")</f>
        <v>false</v>
      </c>
      <c r="BI49" s="2" t="str">
        <f>IF(BH49="true",MROUND(IF(AND(AN49&gt;0.5,_xlfn.XLOOKUP(_xlfn.XLOOKUP(B49,'Base stats'!B:B,'Base stats'!E:E),Groups!A:A,Groups!AJ:AJ)="Mammal"),Animals!AN49*1.75*IF(AV49="true",1.5,1),Animals!AN49),IF(AN49&gt;2,0.5,IF(AN49&gt;0.5,0.25,0.1))),"No")</f>
        <v>No</v>
      </c>
      <c r="BJ49" s="2">
        <f t="shared" si="3"/>
        <v>0</v>
      </c>
      <c r="BK49" s="25" t="str">
        <f>IF('Base stats'!AK49="Standard","No",MROUND((_xlfn.XLOOKUP(B49,'Base stats'!B:B,'Base stats'!AK:AK)/3.6)/H49,0.1))</f>
        <v>No</v>
      </c>
      <c r="BL49" s="25" t="str">
        <f t="shared" si="4"/>
        <v>false</v>
      </c>
      <c r="BM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N49" s="25" t="str" cm="1">
        <f t="array" ref="BN49">IF(
  _xlfn.TEXTJOIN(", ",TRUE,
    IF(AND(BH49="true",AN49&gt;0.5,BG49&lt;&gt;"None"),"AttackTarget",""),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IF(BE49&lt;=36,"Comfort",""),
    IF(_xlfn.XLOOKUP(B49,'Base stats'!B:B,'Base stats'!AC:AC)&lt;&gt;"No",_xlfn.XLOOKUP(B49,'Base stats'!B:B,'Base stats'!AC:AC),"")
  ) = "",
  "No",
  _xlfn.TEXTJOIN(", ",TRUE,
    IF(AND(BH49="true",AN49&gt;0.5,BG49&lt;&gt;"None"),"AttackTarget",""),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IF(BE49&lt;=36,"Comfort",""),
    IF(_xlfn.XLOOKUP(B49,'Base stats'!B:B,'Base stats'!AC:AC)&lt;&gt;"No",_xlfn.XLOOKUP(B49,'Base stats'!B:B,'Base stats'!AC:AC),"")
  )
)</f>
        <v>No</v>
      </c>
      <c r="BO49" s="25" t="str">
        <f>IF(
   AND(
      'Base stats'!AK49="Standard",_xlfn.XLOOKUP(_xlfn.XLOOKUP(B49,'Base stats'!B:B,'Base stats'!E:E),Groups!A:A,Groups!AU:AU)=0,
      OR(
      BM49="True"
      )
   ),
   10,
   IF(
       OR(BK49&lt;&gt;"No",_xlfn.XLOOKUP(_xlfn.XLOOKUP(B49,'Base stats'!B:B,'Base stats'!E:E),Groups!A:A,Groups!AU:AU)=1),
      1,
      "No"
   )
)</f>
        <v>No</v>
      </c>
      <c r="BP49" s="9">
        <f>MROUND((1 + ((0.2*IF(OR(P49="No",Q49="No",Q49=0),0,P49/Q49)
+IF(OR(U49="No",R49="No",S49="No"),0,R49/S49*(LEN(U49)-LEN(SUBSTITUTE(U49,",",""))+1))
+IF(OR(W49="No",X49="No"),0,W49/X49)
+IF(OR(AC49="No",AD49="No"),0,AC49/AD49)
+IF(OR(AK49="No",AH49="No",AI49="No"),0,AH49/AI49*(LEN(AK49)-LEN(SUBSTITUTE(AK49,",",""))+1))
)/(0.2*IF(OR(P49="No",Q49="No",Q49=0),0,1)
+IF(OR(U49="No",R49="No",S49="No"),0,LEN(U49)-LEN(SUBSTITUTE(U49,",",""))+1)
+IF(OR(W49="No",X49="No"),0,1)
+IF(OR(AC49="No",AD49="No"),0,1)
+IF(OR(AK49="No",AH49="No",AI49="No"),0,LEN(AK49)-LEN(SUBSTITUTE(AK49,",",""))+1))*62%)* 2)*(1 + (AO49 + _xlfn.XLOOKUP(B49,'Base stats'!B:B,'Base stats'!AS:AS) * 1.8) * 2) * 2.5 + 10 + H49 * 2,5)+IF(_xlfn.XLOOKUP(B49,'Base stats'!B:B,'Base stats'!AH:AH)=1,50,0)</f>
        <v>105</v>
      </c>
      <c r="BQ49" s="8">
        <f t="shared" si="5"/>
        <v>0.8</v>
      </c>
      <c r="BR49" s="8" t="str">
        <f>_xlfn.XLOOKUP(B49,'Base stats'!B:B,'Base stats'!AD:AD)</f>
        <v>5~15</v>
      </c>
      <c r="BS49" s="2" t="str">
        <f>IF(AND(I49&lt;=0.95,OR(_xlfn.XLOOKUP(B49,'Base stats'!B:B,'Base stats'!AH:AH)=1,_xlfn.XLOOKUP(B49,'Base stats'!B:B,'Base stats'!Y:Y)="Carnivore",_xlfn.XLOOKUP(B49,'Base stats'!B:B,'Base stats'!Y:Y)="Omnivore",BC49&gt;0.1)),"true","false")</f>
        <v>false</v>
      </c>
      <c r="BT49" s="2" t="str">
        <f>IF(_xlfn.XLOOKUP(B49,'Base stats'!B:B,'Base stats'!AF:AF)=1,"true","false")</f>
        <v>false</v>
      </c>
      <c r="BU49" s="25" t="str">
        <f>IF(E49="BaseInsect","AnimalInsect",
IF(I49&gt;0.95,"AnimalExotic",
_xlfn.TEXTJOIN(", ",TRUE,
IF(AND(_xlfn.XLOOKUP(B49,'Base stats'!B:B,'Base stats'!O:O)=0,_xlfn.XLOOKUP(_xlfn.XLOOKUP(B49,'Base stats'!B:B,'Base stats'!E:E),Groups!A:A,Groups!B:B)&gt;0),"AnimalUncommon","AnimalCommon"),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stats'!AH:AH)=1,AND(BG49&lt;&gt;"None",BP49&gt;=60),ISNUMBER(SEARCH("Attack target",BN49))),"AnimalFighter","")
)))</f>
        <v>AnimalCommon, AnimalFarm</v>
      </c>
      <c r="BV49" s="25" t="str">
        <f>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</f>
        <v>Tundra GlacialPlain</v>
      </c>
      <c r="BW49" s="25" t="str">
        <f>IF(_xlfn.XLOOKUP(B49,'Base stats'!B:B,'Base stats'!AG:AG)=1,"true","false")</f>
        <v>false</v>
      </c>
      <c r="BX49" s="25">
        <f>IF(_xlfn.XLOOKUP(B49,'Base stats'!B:B,'Base stats'!N:N)=1,"No",MIN(MROUND(IF(OR(_xlfn.XLOOKUP(B49,'Base stats'!B:B,'Base stats'!AJ:AJ)=1,AND(BH49="True",CA49="False")),POWER(10,3.47*LOG10(_xlfn.XLOOKUP(B49,'Base stats'!B:B,'Base stats'!C:C)*1000)^-0.96),POWER(10,4.15*LOG10(_xlfn.XLOOKUP(B49,'Base stats'!B:B,'Base stats'!C:C)*1000)^-0.73))*IF(OR(_xlfn.XLOOKUP(B49,'Base stats'!B:B,'Base stats'!AJ:AJ)=1,_xlfn.XLOOKUP(B49,'Base stats'!B:B,'Base stats'!AH:AH)=1),0.5,1)/100,0.025),1))</f>
        <v>0.17500000000000002</v>
      </c>
      <c r="BY49" s="25" t="str">
        <f>IF(O49="Standard","No",IF(_xlfn.XLOOKUP(B49,'Base stats'!B:B,'Base stats'!N:N)=0,MROUND(BX49*O49,0.05),MIN(1,MAX(0.025,MROUND(IF(OR(CA49="true",AND(BH49="false",BM49="false")),POWER(10,4.15*LOG10(_xlfn.XLOOKUP(B49,'Base stats'!B:B,'Base stats'!C:C)*1000)^-0.73),POWER(10,3.47*LOG10(_xlfn.XLOOKUP(B49,'Base stats'!B:B,'Base stats'!C:C)*1000)^-0.96))*IF(_xlfn.XLOOKUP(B49,'Base stats'!B:B,'Base stats'!AH:AH)=1,0.5,1)/100,0.025)))))</f>
        <v>No</v>
      </c>
      <c r="BZ49" s="25" t="str">
        <f>IF(_xlfn.XLOOKUP(_xlfn.XLOOKUP(B49,'Base stats'!B:B,'Base stats'!E:E),Groups!A:A,Groups!AJ:AJ)="Mammal","True","False")</f>
        <v>True</v>
      </c>
      <c r="CA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B49" s="25" t="str">
        <f t="shared" si="6"/>
        <v>False</v>
      </c>
      <c r="CC49" s="25" t="str">
        <f>IF(_xlfn.XLOOKUP(_xlfn.XLOOKUP(B49,'Base stats'!B:B,'Base stats'!E:E),Groups!A:A,Groups!AW:AW),"True","False")</f>
        <v>False</v>
      </c>
      <c r="CD49" s="25" t="str">
        <f>IF(_xlfn.XLOOKUP(_xlfn.XLOOKUP(B49,'Base stats'!B:B,'Base stats'!E:E),Groups!A:A,Groups!AX:AX),"True","False")</f>
        <v>False</v>
      </c>
      <c r="CE49" s="25" t="str">
        <f>IF(_xlfn.XLOOKUP(B49,'Base stats'!B:B,'Base stats'!E:E)=1,"True","False")</f>
        <v>False</v>
      </c>
      <c r="CF49" s="25" t="str">
        <f>IF(
OR(
_xlfn.XLOOKUP(_xlfn.XLOOKUP(B49,'Base stats'!B:B,'Base stats'!E:E),Groups!A:A,Groups!AY:AY)=0,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stats'!E:E),Groups!A:A,Groups!AY:AY)=1,
"Flesh",
IF(
_xlfn.XLOOKUP(_xlfn.XLOOKUP(B49,'Base stats'!B:B,'Base stats'!E:E),Groups!A:A,Groups!AY:AY)=2,
"Bone",
""
)
)
)</f>
        <v>No</v>
      </c>
      <c r="CG49" s="25" t="str">
        <f>IF(_xlfn.XLOOKUP(_xlfn.XLOOKUP(B49,'Base stats'!B:B,'Base stats'!E:E),Groups!A:A,Groups!BA:BA),"True","False")</f>
        <v>True</v>
      </c>
      <c r="CH49" s="25" t="str">
        <f>IF(_xlfn.XLOOKUP(_xlfn.XLOOKUP(B49,'Base stats'!B:B,'Base stats'!E:E),Groups!A:A,Groups!AZ:AZ),"True","False")</f>
        <v>False</v>
      </c>
    </row>
    <row r="50" spans="1:86" ht="16.5" thickTop="1" thickBot="1" x14ac:dyDescent="0.3">
      <c r="A50" s="26" t="str">
        <f>_xlfn.XLOOKUP(B50,'Base stats'!B:B,'Base stats'!A:A)</f>
        <v>Ibex</v>
      </c>
      <c r="B50" s="6" t="s">
        <v>161</v>
      </c>
      <c r="C50" s="28" t="s">
        <v>737</v>
      </c>
      <c r="D50" s="28" t="s">
        <v>45</v>
      </c>
      <c r="E50" s="28" t="s">
        <v>685</v>
      </c>
      <c r="F50" s="28" t="s">
        <v>685</v>
      </c>
      <c r="G50" s="2">
        <f>MROUND((
  (IF(AND(_xlfn.XLOOKUP(B50,'Base stats'!B:B,'Base stats'!AI:AI)=0,BG50="None",_xlfn.XLOOKUP('Base stats'!E50,Groups!A:A,Groups!B:B)=0), (18 + BP50 * 2.7) * 0.5,
    IF(AND(_xlfn.XLOOKUP(B50,'Base stats'!B:B,'Base stats'!AI:AI)=0,OR(AN50&lt;0.55,AND(BG50="Intermediate",_xlfn.XLOOKUP('Base stats'!E50,Groups!A:A,Groups!B:B)&lt;2))), (18 + BP50 * 2.7),
      IF(OR(BG50="Advanced",_xlfn.XLOOKUP(B50,'Base stats'!B:B,'Base stats'!AI:AI)=1,_xlfn.XLOOKUP('Base stats'!E50,Groups!A:A,Groups!B:B)=2), (18 + BP50 * 2.7) + 250, (18 + BP50 * 2.7))
    )
  ))
  + AN50 * 80
  + IF(COUNTIF(EggMilk!K$2:K$998, A50) &gt; 0, 125, 0)
  + IF(COUNTIF(EggMilk!P$2:P$998, A50) &gt; 0, 90, 0)
  + IF(COUNTIF(EggMilk!A$2:A$998, A50) &gt; 0, 90, 0)
)
* (0.8 + 0.4 * I50)
* 0.75,25)</f>
        <v>150</v>
      </c>
      <c r="H50" s="2">
        <f>MROUND(ROUNDDOWN(_xlfn.XLOOKUP(B50,'Base stats'!B:B,'Base stats'!L:L)/3.6/(23.3/11),1),0.5)</f>
        <v>6</v>
      </c>
      <c r="I50" s="2">
        <f>IF(_xlfn.XLOOKUP(B50,'Base stats'!B:B,'Base stats'!AI:AI)=1,0.99,MIN(MROUND((1-0.6282*EXP(-0.459*AN50))*_xlfn.XLOOKUP(_xlfn.XLOOKUP(B50,'Base stats'!B:B,'Base stats'!E:E),Groups!A:A,Groups!C:C)*IF(_xlfn.XLOOKUP(B50,'Base stats'!B:B,'Base stats'!O:O)=1,0.5,IF(_xlfn.XLOOKUP(B50,'Base stats'!B:B,'Base stats'!O:O)=2,0,1)),0.05),0.985))</f>
        <v>0.55000000000000004</v>
      </c>
      <c r="J50" s="2">
        <f>ROUNDUP(AN50*_xlfn.XLOOKUP(_xlfn.XLOOKUP(B50,'Base stats'!B:B,'Base stats'!E:E),Groups!A:A,Groups!E:E),0)</f>
        <v>6</v>
      </c>
      <c r="K50" s="2">
        <f>IF(OR(_xlfn.XLOOKUP(_xlfn.XLOOKUP(B50,'Base stats'!B:B,'Base stats'!E:E),Groups!A:A,Groups!F:F)=2,ISNUMBER(SEARCH("SeaIce",BV50)),ISNUMBER(SEARCH("IceSheet",BV50))),-50,IF(OR(ISNUMBER(SEARCH("GlacialPlain",BV50)),ISNUMBER(SEARCH("Tundra",BV50))),-40,IF(OR(ISNUMBER(SEARCH("Alpine",BV50)),ISNUMBER(SEARCH("BorealForest",BV50)),ISNUMBER(SEARCH("ColdBog",BV50))),-30,IF(OR(ISNUMBER(SEARCH("TemperateForest",BV50)),ISNUMBER(SEARCH("TemperateSwamp",BV50))),-20,IF(_xlfn.XLOOKUP(_xlfn.XLOOKUP(B50,'Base stats'!B:B,'Base stats'!E:E),Groups!A:A,Groups!F:F)=1,-15,IF(OR(ISNUMBER(SEARCH("Desert",BV50)),ISNUMBER(SEARCH("ExtremeDesert",BV50))),-10,IF(OR(ISNUMBER(SEARCH("Grasslands",BV50)),ISNUMBER(SEARCH("TropicalRainforest",BV50)),ISNUMBER(SEARCH("TropicalSwamp",BV50))),10,0)))))))-IF(CA50="False",MIN(IFERROR(MAX(MROUND(LOG10(_xlfn.XLOOKUP(B50,'Base stats'!B:B,'Base stats'!C:C)^(2/3))*10,5),5),5),30))-_xlfn.XLOOKUP(B50,'Base stats'!B:B,'Base stats'!P:P)+IF(CA50="True",5,0)</f>
        <v>-45</v>
      </c>
      <c r="L50" s="2">
        <f>IF(OR(_xlfn.XLOOKUP(_xlfn.XLOOKUP(B50,'Base stats'!B:B,'Base stats'!E:E),Groups!A:A,Groups!G:G)=2,ISNUMBER(SEARCH("Desert",BV50)),ISNUMBER(SEARCH("ExtremeDesert",BV50)),ISNUMBER(SEARCH("LavaField",BV50))),50,IF(ISNUMBER(SEARCH("Grasslands",BV50)),45,IF(OR(_xlfn.XLOOKUP(_xlfn.XLOOKUP(B50,'Base stats'!B:B,'Base stats'!E:E),Groups!A:A,Groups!G:G)=1,ISNUMBER(SEARCH("TropicalRainforest",BV50)),ISNUMBER(SEARCH("TropicalSwamp",BV50))),40,IF(OR(ISNUMBER(SEARCH("TemperateForest",BV50)),ISNUMBER(SEARCH("TemperateSwamp",BV50))),35,IF(OR(ISNUMBER(SEARCH("Alpine",BV50)),ISNUMBER(SEARCH("BorealForest",BV50)),ISNUMBER(SEARCH("ColdBog",BV50))),30,IF(ISNUMBER(OR(ISNUMBER(SEARCH("GlacialPlain",BV50)),SEARCH("Tundra",BV50))),25,IF(OR(ISNUMBER(SEARCH("SeaIce",BV50)),ISNUMBER(SEARCH("IceSheet",BV50)),ISNUMBER(SEARCH("TropicalSwamp",BV50))),10,35)))))))+_xlfn.XLOOKUP(B50,'Base stats'!B:B,'Base stats'!Q:Q)</f>
        <v>30</v>
      </c>
      <c r="M50" s="8" t="str">
        <f>IF(_xlfn.XLOOKUP(_xlfn.XLOOKUP(B50,'Base stats'!B:B,'Base stats'!E:E),Groups!A:A,Groups!L:L)=1,MIN(MROUND(_xlfn.XLOOKUP(B50,'Animals CE'!B:B,'Animals CE'!Z:Z)/2+0.05,0.05),200%),"No")</f>
        <v>No</v>
      </c>
      <c r="N50" s="8" t="str">
        <f>IF(_xlfn.XLOOKUP(_xlfn.XLOOKUP(B50,'Base stats'!B:B,'Base stats'!E:E),Groups!A:A,Groups!L:L)=1,MIN(MROUND(_xlfn.XLOOKUP(B50,'Animals CE'!B:B,'Animals CE'!AA:AA)/2+0.05,0.05),200%),"No")</f>
        <v>No</v>
      </c>
      <c r="O50" s="2" t="str">
        <f>_xlfn.XLOOKUP(B50,'Base stats'!B:B,'Base stats'!R:R)</f>
        <v>Standard</v>
      </c>
      <c r="P50" s="13">
        <f>MROUND((LOG10(_xlfn.XLOOKUP(B50,'Base stats'!B:B,'Base stats'!AO:AO))*(AN50^0.5)+(_xlfn.XLOOKUP(B50,'Base stats'!B:B,'Base stats'!AO:AO)/1000)^(2/3)+_xlfn.XLOOKUP(B50,'Base stats'!B:B,'Base stats'!AX:AX)/2)+0.5,0.5)</f>
        <v>7.5</v>
      </c>
      <c r="Q50" s="7">
        <f>IF(P50="No","No",MAX(1,MROUND(_xlfn.XLOOKUP(B50,'Base stats'!B:B,'Base stats'!C:C)^0.165,0.05)))</f>
        <v>2.0500000000000003</v>
      </c>
      <c r="R50" s="13">
        <f>IF(_xlfn.XLOOKUP(_xlfn.XLOOKUP(B50,'Base stats'!B:B,'Base stats'!E:E),Groups!A:A,Groups!P:P)=0,"No",MROUND((LOG10(_xlfn.XLOOKUP(B50,'Base stats'!B:B,'Base stats'!AP:AP))*(AN50^0.5)+(_xlfn.XLOOKUP(B50,'Base stats'!B:B,'Base stats'!AP:AP)/1000)^(2/3)+_xlfn.XLOOKUP(B50,'Base stats'!B:B,'Base stats'!AX:AX))+_xlfn.XLOOKUP(B50,'Base stats'!B:B,'Base stats'!AV:AV)+0.5,0.5))</f>
        <v>9.5</v>
      </c>
      <c r="S50" s="7">
        <f>IF(R50="No","No",MAX(_xlfn.XLOOKUP(_xlfn.XLOOKUP(B50,'Base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T50" s="7" t="str">
        <f>IF(R50="No","No",_xlfn.XLOOKUP(_xlfn.XLOOKUP(B50,'Base stats'!B:B,'Base stats'!E:E),Groups!A:A,Groups!R:R))</f>
        <v>FrontLeftLeg, FrontRightLeg</v>
      </c>
      <c r="U50" s="7" t="str">
        <f>IF(R50="No","No",_xlfn.XLOOKUP(_xlfn.XLOOKUP(B50,'Base stats'!B:B,'Base stats'!E:E),Groups!A:A,Groups!S:S))</f>
        <v>left hoof, right hoof</v>
      </c>
      <c r="V50" s="7" t="str">
        <f>IF(R50="No","No",_xlfn.XLOOKUP(_xlfn.XLOOKUP(B50,'Base stats'!B:B,'Base stats'!E:E),Groups!A:A,Groups!T:T))</f>
        <v>Blunt</v>
      </c>
      <c r="W50" s="13">
        <f>IF(_xlfn.XLOOKUP(B50,'Base stats'!B:B,'Base stats'!W:W)="No","No",MROUND((LOG10(_xlfn.XLOOKUP(B50,'Base stats'!B:B,'Base stats'!AR:AR))*(AN50^0.5)+(_xlfn.XLOOKUP(B50,'Base stats'!B:B,'Base stats'!AR:AR)/1000)^(2/3)+_xlfn.XLOOKUP(B50,'Base stats'!B:B,'Base stats'!AW:AW))+0.5+IF(_xlfn.XLOOKUP(_xlfn.XLOOKUP(B50,'Base stats'!B:B,'Base stats'!E:E),Groups!A:A,Groups!U:U)&lt;&gt;3,_xlfn.XLOOKUP(B50,'Base stats'!B:B,'Base stats'!AX:AX),0),0.5))</f>
        <v>13.5</v>
      </c>
      <c r="X50" s="7">
        <f>IF(W50="No","No",MAX(_xlfn.XLOOKUP(_xlfn.XLOOKUP(B50,'Base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Y50" s="7" t="str">
        <f>IF(W50="No","No",_xlfn.XLOOKUP(_xlfn.XLOOKUP(B50,'Base stats'!B:B,'Base stats'!E:E),Groups!A:A,Groups!W:W))</f>
        <v>HeadAttackTool</v>
      </c>
      <c r="Z50" s="7" t="str">
        <f>IF(W50="No","No",_xlfn.XLOOKUP(_xlfn.XLOOKUP(B50,'Base stats'!B:B,'Base stats'!E:E),Groups!A:A,Groups!X:X))</f>
        <v>horn</v>
      </c>
      <c r="AA50" s="7" t="str">
        <f>IF(W50="No","No",_xlfn.XLOOKUP(_xlfn.XLOOKUP(B50,'Base stats'!B:B,'Base stats'!E:E),Groups!A:A,Groups!Y:Y))</f>
        <v>Blunt</v>
      </c>
      <c r="AB50" s="7" t="str">
        <f>_xlfn.XLOOKUP(Animals!B50,'Base stats'!B:B,'Base stats'!X:X)</f>
        <v>False</v>
      </c>
      <c r="AC50" s="13" t="str">
        <f>IF(_xlfn.XLOOKUP(B50,'Base stats'!B:B,'Base stats'!AQ:AQ)="No","No",MROUND((LOG10(_xlfn.XLOOKUP(B50,'Base stats'!B:B,'Base stats'!AQ:AQ))*(AN50^0.75)+(_xlfn.XLOOKUP(B50,'Base stats'!B:B,'Base stats'!AQ:AQ)/1000)^(2/3)+_xlfn.XLOOKUP(B50,'Base stats'!B:B,'Base stats'!AU:AU)+_xlfn.XLOOKUP(B50,'Base stats'!B:B,'Base stats'!AX:AX))+0.5,0.5))</f>
        <v>No</v>
      </c>
      <c r="AD50" s="7" t="str">
        <f>IF(AC50="No","No",MAX(_xlfn.XLOOKUP(_xlfn.XLOOKUP(B50,'Base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E50" s="7" t="str">
        <f>IF(AC50="No","No",_xlfn.XLOOKUP(_xlfn.XLOOKUP(B50,'Base stats'!B:B,'Base stats'!E:E),Groups!A:A,Groups!AA:AA))</f>
        <v>No</v>
      </c>
      <c r="AF50" s="7" t="str">
        <f>IF(AC50="No","No",_xlfn.XLOOKUP(_xlfn.XLOOKUP(B50,'Base stats'!B:B,'Base stats'!E:E),Groups!A:A,Groups!AB:AB))</f>
        <v>No</v>
      </c>
      <c r="AG50" s="7" t="str">
        <f>IF(AC50="No","No",_xlfn.XLOOKUP(_xlfn.XLOOKUP(B50,'Base stats'!B:B,'Base stats'!E:E),Groups!A:A,Groups!AC:AC))</f>
        <v>No</v>
      </c>
      <c r="AH50" s="13" t="str">
        <f>IF(_xlfn.XLOOKUP(_xlfn.XLOOKUP(B50,'Base stats'!B:B,'Base stats'!E:E),Groups!A:A,Groups!AD:AD)=0,"No",MROUND((LOG10(_xlfn.XLOOKUP(B50,'Base stats'!B:B,'Base stats'!AP:AP))*(AN50^0.75)+(_xlfn.XLOOKUP(B50,'Base stats'!B:B,'Base stats'!AP:AP)/1000)^(2/3)+_xlfn.XLOOKUP(B50,'Base stats'!B:B,'Base stats'!AV:AV)+_xlfn.XLOOKUP(B50,'Base stats'!B:B,'Base stats'!AX:AX))+0.5,0.5))</f>
        <v>No</v>
      </c>
      <c r="AI50" s="7" t="str">
        <f>IF(AH50="No","No",MAX(_xlfn.XLOOKUP(_xlfn.XLOOKUP(B50,'Base stats'!B:B,'Base stats'!E:E),Groups!A:A,Groups!AE:AE),MROUND(_xlfn.XLOOKUP(_xlfn.XLOOKUP(B50,'Base stats'!B:B,'Base stats'!E:E),Groups!A:A,Groups!AE:AE)*_xlfn.XLOOKUP(B50,'Base stats'!B:B,'Base stats'!C:C)^0.165,0.05)))</f>
        <v>No</v>
      </c>
      <c r="AJ50" s="7" t="str">
        <f>IF(AH50="No","No",_xlfn.XLOOKUP(_xlfn.XLOOKUP(B50,'Base stats'!B:B,'Base stats'!E:E),Groups!A:A,Groups!AF:AF))</f>
        <v>No</v>
      </c>
      <c r="AK50" s="7" t="str">
        <f>IF(AH50="No","No",_xlfn.XLOOKUP(_xlfn.XLOOKUP(B50,'Base stats'!B:B,'Base stats'!E:E),Groups!A:A,Groups!AG:AG))</f>
        <v>No</v>
      </c>
      <c r="AL50" s="7" t="str">
        <f>IF(AH50="No","No",_xlfn.XLOOKUP(_xlfn.XLOOKUP(B50,'Base stats'!B:B,'Base stats'!E:E),Groups!A:A,Groups!AH:AH))</f>
        <v>No</v>
      </c>
      <c r="AM50" s="2" t="str">
        <f t="shared" si="0"/>
        <v>No</v>
      </c>
      <c r="AN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O50" s="8">
        <f>MROUND(AN50*_xlfn.XLOOKUP(_xlfn.XLOOKUP(B50,'Base stats'!B:B,'Base stats'!E:E),Groups!A:A,Groups!AI:AI),0.05)</f>
        <v>1.1000000000000001</v>
      </c>
      <c r="AP50" s="8">
        <f>MAX(0.01,MROUND(IF(CA50="True",0.196*(AN50*100*1000)^0.889,IF(_xlfn.XLOOKUP(_xlfn.XLOOKUP(B50,'Base stats'!B:B,'Base stats'!E:E),Groups!A:A,Groups!AJ:AJ)="Bird",10.5*(AN50*100*1000)^0.681,4.82*(AN50*100*1000)^0.734))/(4.82*(1*100*1000)^0.734)/IF(AN50&lt;3.5,2,IF(AN50=3.5,1.5,1.25))*(1+0.132282374779864/(AN50^0.994035016789033+0.00905238001496948)),0.05))</f>
        <v>0.60000000000000009</v>
      </c>
      <c r="AQ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R50" s="35">
        <f>IFERROR(IF(_xlfn.XLOOKUP(B50,'Base stats'!B:B,'Base stats'!F:F)="Lay eggs","Lay eggs",MIN(20,MAX(5.5,ROUND(((_xlfn.XLOOKUP(B50,'Base stats'!B:B,'Base stats'!F:F)-25)*(14.5/615) + 5.5)*2,0)/2))),"Cannot breed")</f>
        <v>9</v>
      </c>
      <c r="AS50" s="8">
        <f>IF(OR(A50="Queen",A50="Larva",A50="Megachicken"),"No",IFERROR(MAX(IF(_xlfn.XLOOKUP(B50,'Base stats'!B:B,'Base stats'!G:G)&lt;0.5,0.2,0.3),MROUND(_xlfn.XLOOKUP(B50,'Base stats'!B:B,'Base stats'!G:G)/(365/60),0.2)),"Unknown"))</f>
        <v>0.4</v>
      </c>
      <c r="AT50" s="8">
        <f t="shared" si="1"/>
        <v>0.2</v>
      </c>
      <c r="AU50" s="8">
        <f>IFERROR(IFERROR(MROUND(_xlfn.XLOOKUP(B50,'Base stats'!B:B,'Base stats'!J:J),0.1),"Lay eggs"),"Cannot breed")</f>
        <v>1.1000000000000001</v>
      </c>
      <c r="AV50" s="2" t="str">
        <f t="shared" si="2"/>
        <v>true</v>
      </c>
      <c r="AW50" s="2" t="str">
        <f>IF(_xlfn.XLOOKUP(_xlfn.XLOOKUP(Animals!B50,'Base stats'!B:B,'Base stats'!E:E),Groups!A:A,Groups!AK:AK)=1,"true","false")</f>
        <v>true</v>
      </c>
      <c r="AX50" s="25" t="str">
        <f>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</f>
        <v>VegetarianRoughAnimal</v>
      </c>
      <c r="AY50" s="2">
        <f>IF(_xlfn.XLOOKUP(_xlfn.XLOOKUP(B50,'Base stats'!B:B,'Base stats'!E:E),Groups!A:A,Groups!D:D)=1,MROUND((1-I50)*5+1,2)*IF(I50&lt;=0.4,2,1),"No")</f>
        <v>4</v>
      </c>
      <c r="AZ50" s="2" t="str">
        <f>_xlfn.XLOOKUP(B50,'Base stats'!B:B,'Base stats'!AE:AE)</f>
        <v>Leather_Plain</v>
      </c>
      <c r="BA50" s="23" t="str">
        <f>_xlfn.XLOOKUP(_xlfn.XLOOKUP(B50,'Base stats'!B:B,'Base stats'!E:E),Groups!A:A,Groups!AL:AL)</f>
        <v>QuadrupedAnimalWithHooves</v>
      </c>
      <c r="BB50" s="23">
        <f>MROUND(IF(AND(AN50&lt;0.5,_xlfn.XLOOKUP(B50,'Base stats'!B:B,'Base stats'!Z:Z)=0),0,IF(OR(_xlfn.XLOOKUP(Animals!B50,'Base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stats'!AA:AA),0.005)</f>
        <v>0</v>
      </c>
      <c r="BC50" s="23">
        <f>MROUND(IF(AND(AN50&lt;0.5,_xlfn.XLOOKUP(B50,'Base stats'!B:B,'Base stats'!Z:Z)=0),0,IF(_xlfn.XLOOKUP(_xlfn.XLOOKUP(B50,'Base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stats'!AB:AB),0.005)</f>
        <v>0</v>
      </c>
      <c r="BD50" s="2" t="str">
        <f>IF(I50&gt;0.3,"No",_xlfn.XLOOKUP(_xlfn.XLOOKUP(Animals!B50,'Base stats'!B:B,'Base stats'!E:E),Groups!A:A,Groups!AP:AP))</f>
        <v>No</v>
      </c>
      <c r="BE50" s="2" t="str">
        <f>IF(AND(I50&lt;=0.65,_xlfn.XLOOKUP(_xlfn.XLOOKUP(Animals!B50,'Base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stats'!O:O)=2,0.2,AN50) + 24*(1-IF(BD50="No",0,BD50)) + 16/3, 12),"No")</f>
        <v>No</v>
      </c>
      <c r="BF50" s="2">
        <f>IF(AND(_xlfn.XLOOKUP(_xlfn.XLOOKUP(B50,'Base stats'!B:B,'Base stats'!E:E),Groups!A:A,Groups!AQ:AQ)=1,AN50&lt;=0.35),8,12)</f>
        <v>12</v>
      </c>
      <c r="BG50" s="2" t="str">
        <f>IF(_xlfn.XLOOKUP(_xlfn.XLOOKUP(B50,'Base stats'!B:B,'Base stats'!E:E),Groups!A:A,Groups!D:D)=0,_xlfn.XLOOKUP(_xlfn.XLOOKUP(B50,'Base stats'!B:B,'Base stats'!E:E),Groups!A:A,Groups!AR:AR),"None")</f>
        <v>None</v>
      </c>
      <c r="BH50" s="2" t="str">
        <f>IF(AND(_xlfn.XLOOKUP(_xlfn.XLOOKUP(B50,'Base stats'!B:B,'Base stats'!E:E),Groups!A:A,Groups!AS:AS)=1,OR('Base stats'!Y50="Carnivore",'Base stats'!Y50="Omnivore")),"true","false")</f>
        <v>false</v>
      </c>
      <c r="BI50" s="2" t="str">
        <f>IF(BH50="true",MROUND(IF(AND(AN50&gt;0.5,_xlfn.XLOOKUP(_xlfn.XLOOKUP(B50,'Base stats'!B:B,'Base stats'!E:E),Groups!A:A,Groups!AJ:AJ)="Mammal"),Animals!AN50*1.75*IF(AV50="true",1.5,1),Animals!AN50),IF(AN50&gt;2,0.5,IF(AN50&gt;0.5,0.25,0.1))),"No")</f>
        <v>No</v>
      </c>
      <c r="BJ50" s="2">
        <f t="shared" si="3"/>
        <v>0</v>
      </c>
      <c r="BK50" s="25" t="str">
        <f>IF('Base stats'!AK50="Standard","No",MROUND((_xlfn.XLOOKUP(B50,'Base stats'!B:B,'Base stats'!AK:AK)/3.6)/H50,0.1))</f>
        <v>No</v>
      </c>
      <c r="BL50" s="25" t="str">
        <f t="shared" si="4"/>
        <v>false</v>
      </c>
      <c r="BM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N50" s="25" t="str" cm="1">
        <f t="array" ref="BN50">IF(
  _xlfn.TEXTJOIN(", ",TRUE,
    IF(AND(BH50="true",AN50&gt;0.5,BG50&lt;&gt;"None"),"AttackTarget",""),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IF(BE50&lt;=36,"Comfort",""),
    IF(_xlfn.XLOOKUP(B50,'Base stats'!B:B,'Base stats'!AC:AC)&lt;&gt;"No",_xlfn.XLOOKUP(B50,'Base stats'!B:B,'Base stats'!AC:AC),"")
  ) = "",
  "No",
  _xlfn.TEXTJOIN(", ",TRUE,
    IF(AND(BH50="true",AN50&gt;0.5,BG50&lt;&gt;"None"),"AttackTarget",""),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IF(BE50&lt;=36,"Comfort",""),
    IF(_xlfn.XLOOKUP(B50,'Base stats'!B:B,'Base stats'!AC:AC)&lt;&gt;"No",_xlfn.XLOOKUP(B50,'Base stats'!B:B,'Base stats'!AC:AC),"")
  )
)</f>
        <v>No</v>
      </c>
      <c r="BO50" s="25" t="str">
        <f>IF(
   AND(
      'Base stats'!AK50="Standard",_xlfn.XLOOKUP(_xlfn.XLOOKUP(B50,'Base stats'!B:B,'Base stats'!E:E),Groups!A:A,Groups!AU:AU)=0,
      OR(
      BM50="True"
      )
   ),
   10,
   IF(
       OR(BK50&lt;&gt;"No",_xlfn.XLOOKUP(_xlfn.XLOOKUP(B50,'Base stats'!B:B,'Base stats'!E:E),Groups!A:A,Groups!AU:AU)=1),
      1,
      "No"
   )
)</f>
        <v>No</v>
      </c>
      <c r="BP50" s="9">
        <f>MROUND((1 + ((0.2*IF(OR(P50="No",Q50="No",Q50=0),0,P50/Q50)
+IF(OR(U50="No",R50="No",S50="No"),0,R50/S50*(LEN(U50)-LEN(SUBSTITUTE(U50,",",""))+1))
+IF(OR(W50="No",X50="No"),0,W50/X50)
+IF(OR(AC50="No",AD50="No"),0,AC50/AD50)
+IF(OR(AK50="No",AH50="No",AI50="No"),0,AH50/AI50*(LEN(AK50)-LEN(SUBSTITUTE(AK50,",",""))+1))
)/(0.2*IF(OR(P50="No",Q50="No",Q50=0),0,1)
+IF(OR(U50="No",R50="No",S50="No"),0,LEN(U50)-LEN(SUBSTITUTE(U50,",",""))+1)
+IF(OR(W50="No",X50="No"),0,1)
+IF(OR(AC50="No",AD50="No"),0,1)
+IF(OR(AK50="No",AH50="No",AI50="No"),0,LEN(AK50)-LEN(SUBSTITUTE(AK50,",",""))+1))*62%)* 2)*(1 + (AO50 + _xlfn.XLOOKUP(B50,'Base stats'!B:B,'Base stats'!AS:AS) * 1.8) * 2) * 2.5 + 10 + H50 * 2,5)+IF(_xlfn.XLOOKUP(B50,'Base stats'!B:B,'Base stats'!AH:AH)=1,50,0)</f>
        <v>85</v>
      </c>
      <c r="BQ50" s="8">
        <f t="shared" si="5"/>
        <v>0.70000000000000007</v>
      </c>
      <c r="BR50" s="8" t="str">
        <f>_xlfn.XLOOKUP(B50,'Base stats'!B:B,'Base stats'!AD:AD)</f>
        <v>3~10</v>
      </c>
      <c r="BS50" s="2" t="str">
        <f>IF(AND(I50&lt;=0.95,OR(_xlfn.XLOOKUP(B50,'Base stats'!B:B,'Base stats'!AH:AH)=1,_xlfn.XLOOKUP(B50,'Base stats'!B:B,'Base stats'!Y:Y)="Carnivore",_xlfn.XLOOKUP(B50,'Base stats'!B:B,'Base stats'!Y:Y)="Omnivore",BC50&gt;0.1)),"true","false")</f>
        <v>false</v>
      </c>
      <c r="BT50" s="2" t="str">
        <f>IF(_xlfn.XLOOKUP(B50,'Base stats'!B:B,'Base stats'!AF:AF)=1,"true","false")</f>
        <v>false</v>
      </c>
      <c r="BU50" s="25" t="str">
        <f>IF(E50="BaseInsect","AnimalInsect",
IF(I50&gt;0.95,"AnimalExotic",
_xlfn.TEXTJOIN(", ",TRUE,
IF(AND(_xlfn.XLOOKUP(B50,'Base stats'!B:B,'Base stats'!O:O)=0,_xlfn.XLOOKUP(_xlfn.XLOOKUP(B50,'Base stats'!B:B,'Base stats'!E:E),Groups!A:A,Groups!B:B)&gt;0),"AnimalUncommon","AnimalCommon"),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stats'!AH:AH)=1,AND(BG50&lt;&gt;"None",BP50&gt;=60),ISNUMBER(SEARCH("Attack target",BN50))),"AnimalFighter","")
)))</f>
        <v>AnimalCommon</v>
      </c>
      <c r="BV50" s="25" t="str">
        <f>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</f>
        <v>Alpine</v>
      </c>
      <c r="BW50" s="25" t="str">
        <f>IF(_xlfn.XLOOKUP(B50,'Base stats'!B:B,'Base stats'!AG:AG)=1,"true","false")</f>
        <v>false</v>
      </c>
      <c r="BX50" s="25">
        <f>IF(_xlfn.XLOOKUP(B50,'Base stats'!B:B,'Base stats'!N:N)=1,"No",MIN(MROUND(IF(OR(_xlfn.XLOOKUP(B50,'Base stats'!B:B,'Base stats'!AJ:AJ)=1,AND(BH50="True",CA50="False")),POWER(10,3.47*LOG10(_xlfn.XLOOKUP(B50,'Base stats'!B:B,'Base stats'!C:C)*1000)^-0.96),POWER(10,4.15*LOG10(_xlfn.XLOOKUP(B50,'Base stats'!B:B,'Base stats'!C:C)*1000)^-0.73))*IF(OR(_xlfn.XLOOKUP(B50,'Base stats'!B:B,'Base stats'!AJ:AJ)=1,_xlfn.XLOOKUP(B50,'Base stats'!B:B,'Base stats'!AH:AH)=1),0.5,1)/100,0.025),1))</f>
        <v>0.2</v>
      </c>
      <c r="BY50" s="25" t="str">
        <f>IF(O50="Standard","No",IF(_xlfn.XLOOKUP(B50,'Base stats'!B:B,'Base stats'!N:N)=0,MROUND(BX50*O50,0.05),MIN(1,MAX(0.025,MROUND(IF(OR(CA50="true",AND(BH50="false",BM50="false")),POWER(10,4.15*LOG10(_xlfn.XLOOKUP(B50,'Base stats'!B:B,'Base stats'!C:C)*1000)^-0.73),POWER(10,3.47*LOG10(_xlfn.XLOOKUP(B50,'Base stats'!B:B,'Base stats'!C:C)*1000)^-0.96))*IF(_xlfn.XLOOKUP(B50,'Base stats'!B:B,'Base stats'!AH:AH)=1,0.5,1)/100,0.025)))))</f>
        <v>No</v>
      </c>
      <c r="BZ50" s="25" t="str">
        <f>IF(_xlfn.XLOOKUP(_xlfn.XLOOKUP(B50,'Base stats'!B:B,'Base stats'!E:E),Groups!A:A,Groups!AJ:AJ)="Mammal","True","False")</f>
        <v>True</v>
      </c>
      <c r="CA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B50" s="25" t="str">
        <f t="shared" si="6"/>
        <v>False</v>
      </c>
      <c r="CC50" s="25" t="str">
        <f>IF(_xlfn.XLOOKUP(_xlfn.XLOOKUP(B50,'Base stats'!B:B,'Base stats'!E:E),Groups!A:A,Groups!AW:AW),"True","False")</f>
        <v>False</v>
      </c>
      <c r="CD50" s="25" t="str">
        <f>IF(_xlfn.XLOOKUP(_xlfn.XLOOKUP(B50,'Base stats'!B:B,'Base stats'!E:E),Groups!A:A,Groups!AX:AX),"True","False")</f>
        <v>False</v>
      </c>
      <c r="CE50" s="25" t="str">
        <f>IF(_xlfn.XLOOKUP(B50,'Base stats'!B:B,'Base stats'!E:E)=1,"True","False")</f>
        <v>False</v>
      </c>
      <c r="CF50" s="25" t="str">
        <f>IF(
OR(
_xlfn.XLOOKUP(_xlfn.XLOOKUP(B50,'Base stats'!B:B,'Base stats'!E:E),Groups!A:A,Groups!AY:AY)=0,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stats'!E:E),Groups!A:A,Groups!AY:AY)=1,
"Flesh",
IF(
_xlfn.XLOOKUP(_xlfn.XLOOKUP(B50,'Base stats'!B:B,'Base stats'!E:E),Groups!A:A,Groups!AY:AY)=2,
"Bone",
""
)
)
)</f>
        <v>No</v>
      </c>
      <c r="CG50" s="25" t="str">
        <f>IF(_xlfn.XLOOKUP(_xlfn.XLOOKUP(B50,'Base stats'!B:B,'Base stats'!E:E),Groups!A:A,Groups!BA:BA),"True","False")</f>
        <v>True</v>
      </c>
      <c r="CH50" s="25" t="str">
        <f>IF(_xlfn.XLOOKUP(_xlfn.XLOOKUP(B50,'Base stats'!B:B,'Base stats'!E:E),Groups!A:A,Groups!AZ:AZ),"True","False")</f>
        <v>False</v>
      </c>
    </row>
    <row r="51" spans="1:86" ht="16.5" thickTop="1" thickBot="1" x14ac:dyDescent="0.3">
      <c r="A51" s="26" t="str">
        <f>_xlfn.XLOOKUP(B51,'Base stats'!B:B,'Base stats'!A:A)</f>
        <v>Goat</v>
      </c>
      <c r="B51" s="6" t="s">
        <v>163</v>
      </c>
      <c r="C51" s="28" t="s">
        <v>738</v>
      </c>
      <c r="D51" s="28" t="s">
        <v>45</v>
      </c>
      <c r="E51" s="28" t="s">
        <v>685</v>
      </c>
      <c r="F51" s="28" t="s">
        <v>685</v>
      </c>
      <c r="G51" s="2">
        <f>MROUND((
  (IF(AND(_xlfn.XLOOKUP(B51,'Base stats'!B:B,'Base stats'!AI:AI)=0,BG51="None",_xlfn.XLOOKUP('Base stats'!E51,Groups!A:A,Groups!B:B)=0), (18 + BP51 * 2.7) * 0.5,
    IF(AND(_xlfn.XLOOKUP(B51,'Base stats'!B:B,'Base stats'!AI:AI)=0,OR(AN51&lt;0.55,AND(BG51="Intermediate",_xlfn.XLOOKUP('Base stats'!E51,Groups!A:A,Groups!B:B)&lt;2))), (18 + BP51 * 2.7),
      IF(OR(BG51="Advanced",_xlfn.XLOOKUP(B51,'Base stats'!B:B,'Base stats'!AI:AI)=1,_xlfn.XLOOKUP('Base stats'!E51,Groups!A:A,Groups!B:B)=2), (18 + BP51 * 2.7) + 250, (18 + BP51 * 2.7))
    )
  ))
  + AN51 * 80
  + IF(COUNTIF(EggMilk!K$2:K$998, A51) &gt; 0, 125, 0)
  + IF(COUNTIF(EggMilk!P$2:P$998, A51) &gt; 0, 90, 0)
  + IF(COUNTIF(EggMilk!A$2:A$998, A51) &gt; 0, 90, 0)
)
* (0.8 + 0.4 * I51)
* 0.75,25)</f>
        <v>175</v>
      </c>
      <c r="H51" s="2">
        <f>MROUND(ROUNDDOWN(_xlfn.XLOOKUP(B51,'Base stats'!B:B,'Base stats'!L:L)/3.6/(23.3/11),1),0.5)</f>
        <v>4</v>
      </c>
      <c r="I51" s="2">
        <f>IF(_xlfn.XLOOKUP(B51,'Base stats'!B:B,'Base stats'!AI:AI)=1,0.99,MIN(MROUND((1-0.6282*EXP(-0.459*AN51))*_xlfn.XLOOKUP(_xlfn.XLOOKUP(B51,'Base stats'!B:B,'Base stats'!E:E),Groups!A:A,Groups!C:C)*IF(_xlfn.XLOOKUP(B51,'Base stats'!B:B,'Base stats'!O:O)=1,0.5,IF(_xlfn.XLOOKUP(B51,'Base stats'!B:B,'Base stats'!O:O)=2,0,1)),0.05),0.985))</f>
        <v>0</v>
      </c>
      <c r="J51" s="2">
        <f>ROUNDUP(AN51*_xlfn.XLOOKUP(_xlfn.XLOOKUP(B51,'Base stats'!B:B,'Base stats'!E:E),Groups!A:A,Groups!E:E),0)</f>
        <v>5</v>
      </c>
      <c r="K51" s="2">
        <f>IF(OR(_xlfn.XLOOKUP(_xlfn.XLOOKUP(B51,'Base stats'!B:B,'Base stats'!E:E),Groups!A:A,Groups!F:F)=2,ISNUMBER(SEARCH("SeaIce",BV51)),ISNUMBER(SEARCH("IceSheet",BV51))),-50,IF(OR(ISNUMBER(SEARCH("GlacialPlain",BV51)),ISNUMBER(SEARCH("Tundra",BV51))),-40,IF(OR(ISNUMBER(SEARCH("Alpine",BV51)),ISNUMBER(SEARCH("BorealForest",BV51)),ISNUMBER(SEARCH("ColdBog",BV51))),-30,IF(OR(ISNUMBER(SEARCH("TemperateForest",BV51)),ISNUMBER(SEARCH("TemperateSwamp",BV51))),-20,IF(_xlfn.XLOOKUP(_xlfn.XLOOKUP(B51,'Base stats'!B:B,'Base stats'!E:E),Groups!A:A,Groups!F:F)=1,-15,IF(OR(ISNUMBER(SEARCH("Desert",BV51)),ISNUMBER(SEARCH("ExtremeDesert",BV51))),-10,IF(OR(ISNUMBER(SEARCH("Grasslands",BV51)),ISNUMBER(SEARCH("TropicalRainforest",BV51)),ISNUMBER(SEARCH("TropicalSwamp",BV51))),10,0)))))))-IF(CA51="False",MIN(IFERROR(MAX(MROUND(LOG10(_xlfn.XLOOKUP(B51,'Base stats'!B:B,'Base stats'!C:C)^(2/3))*10,5),5),5),30))-_xlfn.XLOOKUP(B51,'Base stats'!B:B,'Base stats'!P:P)+IF(CA51="True",5,0)</f>
        <v>-35</v>
      </c>
      <c r="L51" s="2">
        <f>IF(OR(_xlfn.XLOOKUP(_xlfn.XLOOKUP(B51,'Base stats'!B:B,'Base stats'!E:E),Groups!A:A,Groups!G:G)=2,ISNUMBER(SEARCH("Desert",BV51)),ISNUMBER(SEARCH("ExtremeDesert",BV51)),ISNUMBER(SEARCH("LavaField",BV51))),50,IF(ISNUMBER(SEARCH("Grasslands",BV51)),45,IF(OR(_xlfn.XLOOKUP(_xlfn.XLOOKUP(B51,'Base stats'!B:B,'Base stats'!E:E),Groups!A:A,Groups!G:G)=1,ISNUMBER(SEARCH("TropicalRainforest",BV51)),ISNUMBER(SEARCH("TropicalSwamp",BV51))),40,IF(OR(ISNUMBER(SEARCH("TemperateForest",BV51)),ISNUMBER(SEARCH("TemperateSwamp",BV51))),35,IF(OR(ISNUMBER(SEARCH("Alpine",BV51)),ISNUMBER(SEARCH("BorealForest",BV51)),ISNUMBER(SEARCH("ColdBog",BV51))),30,IF(ISNUMBER(OR(ISNUMBER(SEARCH("GlacialPlain",BV51)),SEARCH("Tundra",BV51))),25,IF(OR(ISNUMBER(SEARCH("SeaIce",BV51)),ISNUMBER(SEARCH("IceSheet",BV51)),ISNUMBER(SEARCH("TropicalSwamp",BV51))),10,35)))))))+_xlfn.XLOOKUP(B51,'Base stats'!B:B,'Base stats'!Q:Q)</f>
        <v>35</v>
      </c>
      <c r="M51" s="8" t="str">
        <f>IF(_xlfn.XLOOKUP(_xlfn.XLOOKUP(B51,'Base stats'!B:B,'Base stats'!E:E),Groups!A:A,Groups!L:L)=1,MIN(MROUND(_xlfn.XLOOKUP(B51,'Animals CE'!B:B,'Animals CE'!Z:Z)/2+0.05,0.05),200%),"No")</f>
        <v>No</v>
      </c>
      <c r="N51" s="8" t="str">
        <f>IF(_xlfn.XLOOKUP(_xlfn.XLOOKUP(B51,'Base stats'!B:B,'Base stats'!E:E),Groups!A:A,Groups!L:L)=1,MIN(MROUND(_xlfn.XLOOKUP(B51,'Animals CE'!B:B,'Animals CE'!AA:AA)/2+0.05,0.05),200%),"No")</f>
        <v>No</v>
      </c>
      <c r="O51" s="2" t="str">
        <f>_xlfn.XLOOKUP(B51,'Base stats'!B:B,'Base stats'!R:R)</f>
        <v>Standard</v>
      </c>
      <c r="P51" s="13">
        <f>MROUND((LOG10(_xlfn.XLOOKUP(B51,'Base stats'!B:B,'Base stats'!AO:AO))*(AN51^0.5)+(_xlfn.XLOOKUP(B51,'Base stats'!B:B,'Base stats'!AO:AO)/1000)^(2/3)+_xlfn.XLOOKUP(B51,'Base stats'!B:B,'Base stats'!AX:AX)/2)+0.5,0.5)</f>
        <v>7</v>
      </c>
      <c r="Q51" s="7">
        <f>IF(P51="No","No",MAX(1,MROUND(_xlfn.XLOOKUP(B51,'Base stats'!B:B,'Base stats'!C:C)^0.165,0.05)))</f>
        <v>2</v>
      </c>
      <c r="R51" s="13">
        <f>IF(_xlfn.XLOOKUP(_xlfn.XLOOKUP(B51,'Base stats'!B:B,'Base stats'!E:E),Groups!A:A,Groups!P:P)=0,"No",MROUND((LOG10(_xlfn.XLOOKUP(B51,'Base stats'!B:B,'Base stats'!AP:AP))*(AN51^0.5)+(_xlfn.XLOOKUP(B51,'Base stats'!B:B,'Base stats'!AP:AP)/1000)^(2/3)+_xlfn.XLOOKUP(B51,'Base stats'!B:B,'Base stats'!AX:AX))+_xlfn.XLOOKUP(B51,'Base stats'!B:B,'Base stats'!AV:AV)+0.5,0.5))</f>
        <v>9</v>
      </c>
      <c r="S51" s="7">
        <f>IF(R51="No","No",MAX(_xlfn.XLOOKUP(_xlfn.XLOOKUP(B51,'Base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T51" s="7" t="str">
        <f>IF(R51="No","No",_xlfn.XLOOKUP(_xlfn.XLOOKUP(B51,'Base stats'!B:B,'Base stats'!E:E),Groups!A:A,Groups!R:R))</f>
        <v>FrontLeftLeg, FrontRightLeg</v>
      </c>
      <c r="U51" s="7" t="str">
        <f>IF(R51="No","No",_xlfn.XLOOKUP(_xlfn.XLOOKUP(B51,'Base stats'!B:B,'Base stats'!E:E),Groups!A:A,Groups!S:S))</f>
        <v>left hoof, right hoof</v>
      </c>
      <c r="V51" s="7" t="str">
        <f>IF(R51="No","No",_xlfn.XLOOKUP(_xlfn.XLOOKUP(B51,'Base stats'!B:B,'Base stats'!E:E),Groups!A:A,Groups!T:T))</f>
        <v>Blunt</v>
      </c>
      <c r="W51" s="13">
        <f>IF(_xlfn.XLOOKUP(B51,'Base stats'!B:B,'Base stats'!W:W)="No","No",MROUND((LOG10(_xlfn.XLOOKUP(B51,'Base stats'!B:B,'Base stats'!AR:AR))*(AN51^0.5)+(_xlfn.XLOOKUP(B51,'Base stats'!B:B,'Base stats'!AR:AR)/1000)^(2/3)+_xlfn.XLOOKUP(B51,'Base stats'!B:B,'Base stats'!AW:AW))+0.5+IF(_xlfn.XLOOKUP(_xlfn.XLOOKUP(B51,'Base stats'!B:B,'Base stats'!E:E),Groups!A:A,Groups!U:U)&lt;&gt;3,_xlfn.XLOOKUP(B51,'Base stats'!B:B,'Base stats'!AX:AX),0),0.5))</f>
        <v>10.5</v>
      </c>
      <c r="X51" s="7">
        <f>IF(W51="No","No",MAX(_xlfn.XLOOKUP(_xlfn.XLOOKUP(B51,'Base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Y51" s="7" t="str">
        <f>IF(W51="No","No",_xlfn.XLOOKUP(_xlfn.XLOOKUP(B51,'Base stats'!B:B,'Base stats'!E:E),Groups!A:A,Groups!W:W))</f>
        <v>HeadAttackTool</v>
      </c>
      <c r="Z51" s="7" t="str">
        <f>IF(W51="No","No",_xlfn.XLOOKUP(_xlfn.XLOOKUP(B51,'Base stats'!B:B,'Base stats'!E:E),Groups!A:A,Groups!X:X))</f>
        <v>horn</v>
      </c>
      <c r="AA51" s="7" t="str">
        <f>IF(W51="No","No",_xlfn.XLOOKUP(_xlfn.XLOOKUP(B51,'Base stats'!B:B,'Base stats'!E:E),Groups!A:A,Groups!Y:Y))</f>
        <v>Scratch</v>
      </c>
      <c r="AB51" s="7" t="str">
        <f>_xlfn.XLOOKUP(Animals!B51,'Base stats'!B:B,'Base stats'!X:X)</f>
        <v>True</v>
      </c>
      <c r="AC51" s="13" t="str">
        <f>IF(_xlfn.XLOOKUP(B51,'Base stats'!B:B,'Base stats'!AQ:AQ)="No","No",MROUND((LOG10(_xlfn.XLOOKUP(B51,'Base stats'!B:B,'Base stats'!AQ:AQ))*(AN51^0.75)+(_xlfn.XLOOKUP(B51,'Base stats'!B:B,'Base stats'!AQ:AQ)/1000)^(2/3)+_xlfn.XLOOKUP(B51,'Base stats'!B:B,'Base stats'!AU:AU)+_xlfn.XLOOKUP(B51,'Base stats'!B:B,'Base stats'!AX:AX))+0.5,0.5))</f>
        <v>No</v>
      </c>
      <c r="AD51" s="7" t="str">
        <f>IF(AC51="No","No",MAX(_xlfn.XLOOKUP(_xlfn.XLOOKUP(B51,'Base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E51" s="7" t="str">
        <f>IF(AC51="No","No",_xlfn.XLOOKUP(_xlfn.XLOOKUP(B51,'Base stats'!B:B,'Base stats'!E:E),Groups!A:A,Groups!AA:AA))</f>
        <v>No</v>
      </c>
      <c r="AF51" s="7" t="str">
        <f>IF(AC51="No","No",_xlfn.XLOOKUP(_xlfn.XLOOKUP(B51,'Base stats'!B:B,'Base stats'!E:E),Groups!A:A,Groups!AB:AB))</f>
        <v>No</v>
      </c>
      <c r="AG51" s="7" t="str">
        <f>IF(AC51="No","No",_xlfn.XLOOKUP(_xlfn.XLOOKUP(B51,'Base stats'!B:B,'Base stats'!E:E),Groups!A:A,Groups!AC:AC))</f>
        <v>No</v>
      </c>
      <c r="AH51" s="13" t="str">
        <f>IF(_xlfn.XLOOKUP(_xlfn.XLOOKUP(B51,'Base stats'!B:B,'Base stats'!E:E),Groups!A:A,Groups!AD:AD)=0,"No",MROUND((LOG10(_xlfn.XLOOKUP(B51,'Base stats'!B:B,'Base stats'!AP:AP))*(AN51^0.75)+(_xlfn.XLOOKUP(B51,'Base stats'!B:B,'Base stats'!AP:AP)/1000)^(2/3)+_xlfn.XLOOKUP(B51,'Base stats'!B:B,'Base stats'!AV:AV)+_xlfn.XLOOKUP(B51,'Base stats'!B:B,'Base stats'!AX:AX))+0.5,0.5))</f>
        <v>No</v>
      </c>
      <c r="AI51" s="7" t="str">
        <f>IF(AH51="No","No",MAX(_xlfn.XLOOKUP(_xlfn.XLOOKUP(B51,'Base stats'!B:B,'Base stats'!E:E),Groups!A:A,Groups!AE:AE),MROUND(_xlfn.XLOOKUP(_xlfn.XLOOKUP(B51,'Base stats'!B:B,'Base stats'!E:E),Groups!A:A,Groups!AE:AE)*_xlfn.XLOOKUP(B51,'Base stats'!B:B,'Base stats'!C:C)^0.165,0.05)))</f>
        <v>No</v>
      </c>
      <c r="AJ51" s="7" t="str">
        <f>IF(AH51="No","No",_xlfn.XLOOKUP(_xlfn.XLOOKUP(B51,'Base stats'!B:B,'Base stats'!E:E),Groups!A:A,Groups!AF:AF))</f>
        <v>No</v>
      </c>
      <c r="AK51" s="7" t="str">
        <f>IF(AH51="No","No",_xlfn.XLOOKUP(_xlfn.XLOOKUP(B51,'Base stats'!B:B,'Base stats'!E:E),Groups!A:A,Groups!AG:AG))</f>
        <v>No</v>
      </c>
      <c r="AL51" s="7" t="str">
        <f>IF(AH51="No","No",_xlfn.XLOOKUP(_xlfn.XLOOKUP(B51,'Base stats'!B:B,'Base stats'!E:E),Groups!A:A,Groups!AH:AH))</f>
        <v>No</v>
      </c>
      <c r="AM51" s="2" t="str">
        <f t="shared" si="0"/>
        <v>No</v>
      </c>
      <c r="AN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O51" s="8">
        <f>MROUND(AN51*_xlfn.XLOOKUP(_xlfn.XLOOKUP(B51,'Base stats'!B:B,'Base stats'!E:E),Groups!A:A,Groups!AI:AI),0.05)</f>
        <v>0.95000000000000007</v>
      </c>
      <c r="AP51" s="8">
        <f>MAX(0.01,MROUND(IF(CA51="True",0.196*(AN51*100*1000)^0.889,IF(_xlfn.XLOOKUP(_xlfn.XLOOKUP(B51,'Base stats'!B:B,'Base stats'!E:E),Groups!A:A,Groups!AJ:AJ)="Bird",10.5*(AN51*100*1000)^0.681,4.82*(AN51*100*1000)^0.734))/(4.82*(1*100*1000)^0.734)/IF(AN51&lt;3.5,2,IF(AN51=3.5,1.5,1.25))*(1+0.132282374779864/(AN51^0.994035016789033+0.00905238001496948)),0.05))</f>
        <v>0.55000000000000004</v>
      </c>
      <c r="AQ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R51" s="35">
        <f>IFERROR(IF(_xlfn.XLOOKUP(B51,'Base stats'!B:B,'Base stats'!F:F)="Lay eggs","Lay eggs",MIN(20,MAX(5.5,ROUND(((_xlfn.XLOOKUP(B51,'Base stats'!B:B,'Base stats'!F:F)-25)*(14.5/615) + 5.5)*2,0)/2))),"Cannot breed")</f>
        <v>8.5</v>
      </c>
      <c r="AS51" s="8">
        <f>IF(OR(A51="Queen",A51="Larva",A51="Megachicken"),"No",IFERROR(MAX(IF(_xlfn.XLOOKUP(B51,'Base stats'!B:B,'Base stats'!G:G)&lt;0.5,0.2,0.3),MROUND(_xlfn.XLOOKUP(B51,'Base stats'!B:B,'Base stats'!G:G)/(365/60),0.2)),"Unknown"))</f>
        <v>0.3</v>
      </c>
      <c r="AT51" s="8">
        <f t="shared" si="1"/>
        <v>0.15000000000000002</v>
      </c>
      <c r="AU51" s="8">
        <f>IFERROR(IFERROR(MROUND(_xlfn.XLOOKUP(B51,'Base stats'!B:B,'Base stats'!J:J),0.1),"Lay eggs"),"Cannot breed")</f>
        <v>1.5</v>
      </c>
      <c r="AV51" s="2" t="str">
        <f t="shared" si="2"/>
        <v>true</v>
      </c>
      <c r="AW51" s="2" t="str">
        <f>IF(_xlfn.XLOOKUP(_xlfn.XLOOKUP(Animals!B51,'Base stats'!B:B,'Base stats'!E:E),Groups!A:A,Groups!AK:AK)=1,"true","false")</f>
        <v>false</v>
      </c>
      <c r="AX51" s="25" t="str">
        <f>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</f>
        <v>VegetarianRoughAnimal</v>
      </c>
      <c r="AY51" s="2">
        <f>IF(_xlfn.XLOOKUP(_xlfn.XLOOKUP(B51,'Base stats'!B:B,'Base stats'!E:E),Groups!A:A,Groups!D:D)=1,MROUND((1-I51)*5+1,2)*IF(I51&lt;=0.4,2,1),"No")</f>
        <v>12</v>
      </c>
      <c r="AZ51" s="2" t="str">
        <f>_xlfn.XLOOKUP(B51,'Base stats'!B:B,'Base stats'!AE:AE)</f>
        <v>Leather_Plain</v>
      </c>
      <c r="BA51" s="23" t="str">
        <f>_xlfn.XLOOKUP(_xlfn.XLOOKUP(B51,'Base stats'!B:B,'Base stats'!E:E),Groups!A:A,Groups!AL:AL)</f>
        <v>QuadrupedAnimalWithHooves</v>
      </c>
      <c r="BB51" s="23">
        <f>MROUND(IF(AND(AN51&lt;0.5,_xlfn.XLOOKUP(B51,'Base stats'!B:B,'Base stats'!Z:Z)=0),0,IF(OR(_xlfn.XLOOKUP(Animals!B51,'Base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stats'!AA:AA),0.005)</f>
        <v>0</v>
      </c>
      <c r="BC51" s="23">
        <f>MROUND(IF(AND(AN51&lt;0.5,_xlfn.XLOOKUP(B51,'Base stats'!B:B,'Base stats'!Z:Z)=0),0,IF(_xlfn.XLOOKUP(_xlfn.XLOOKUP(B51,'Base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stats'!AB:AB),0.005)</f>
        <v>0</v>
      </c>
      <c r="BD51" s="2" t="str">
        <f>IF(I51&gt;0.3,"No",_xlfn.XLOOKUP(_xlfn.XLOOKUP(Animals!B51,'Base stats'!B:B,'Base stats'!E:E),Groups!A:A,Groups!AP:AP))</f>
        <v>No</v>
      </c>
      <c r="BE51" s="2" t="str">
        <f>IF(AND(I51&lt;=0.65,_xlfn.XLOOKUP(_xlfn.XLOOKUP(Animals!B51,'Base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stats'!O:O)=2,0.2,AN51) + 24*(1-IF(BD51="No",0,BD51)) + 16/3, 12),"No")</f>
        <v>No</v>
      </c>
      <c r="BF51" s="2">
        <f>IF(AND(_xlfn.XLOOKUP(_xlfn.XLOOKUP(B51,'Base stats'!B:B,'Base stats'!E:E),Groups!A:A,Groups!AQ:AQ)=1,AN51&lt;=0.35),8,12)</f>
        <v>12</v>
      </c>
      <c r="BG51" s="2" t="str">
        <f>IF(_xlfn.XLOOKUP(_xlfn.XLOOKUP(B51,'Base stats'!B:B,'Base stats'!E:E),Groups!A:A,Groups!D:D)=0,_xlfn.XLOOKUP(_xlfn.XLOOKUP(B51,'Base stats'!B:B,'Base stats'!E:E),Groups!A:A,Groups!AR:AR),"None")</f>
        <v>None</v>
      </c>
      <c r="BH51" s="2" t="str">
        <f>IF(AND(_xlfn.XLOOKUP(_xlfn.XLOOKUP(B51,'Base stats'!B:B,'Base stats'!E:E),Groups!A:A,Groups!AS:AS)=1,OR('Base stats'!Y51="Carnivore",'Base stats'!Y51="Omnivore")),"true","false")</f>
        <v>false</v>
      </c>
      <c r="BI51" s="2" t="str">
        <f>IF(BH51="true",MROUND(IF(AND(AN51&gt;0.5,_xlfn.XLOOKUP(_xlfn.XLOOKUP(B51,'Base stats'!B:B,'Base stats'!E:E),Groups!A:A,Groups!AJ:AJ)="Mammal"),Animals!AN51*1.75*IF(AV51="true",1.5,1),Animals!AN51),IF(AN51&gt;2,0.5,IF(AN51&gt;0.5,0.25,0.1))),"No")</f>
        <v>No</v>
      </c>
      <c r="BJ51" s="2">
        <f t="shared" si="3"/>
        <v>0</v>
      </c>
      <c r="BK51" s="25" t="str">
        <f>IF('Base stats'!AK51="Standard","No",MROUND((_xlfn.XLOOKUP(B51,'Base stats'!B:B,'Base stats'!AK:AK)/3.6)/H51,0.1))</f>
        <v>No</v>
      </c>
      <c r="BL51" s="25" t="str">
        <f t="shared" si="4"/>
        <v>false</v>
      </c>
      <c r="BM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N51" s="25" t="str" cm="1">
        <f t="array" ref="BN51">IF(
  _xlfn.TEXTJOIN(", ",TRUE,
    IF(AND(BH51="true",AN51&gt;0.5,BG51&lt;&gt;"None"),"AttackTarget",""),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IF(BE51&lt;=36,"Comfort",""),
    IF(_xlfn.XLOOKUP(B51,'Base stats'!B:B,'Base stats'!AC:AC)&lt;&gt;"No",_xlfn.XLOOKUP(B51,'Base stats'!B:B,'Base stats'!AC:AC),"")
  ) = "",
  "No",
  _xlfn.TEXTJOIN(", ",TRUE,
    IF(AND(BH51="true",AN51&gt;0.5,BG51&lt;&gt;"None"),"AttackTarget",""),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IF(BE51&lt;=36,"Comfort",""),
    IF(_xlfn.XLOOKUP(B51,'Base stats'!B:B,'Base stats'!AC:AC)&lt;&gt;"No",_xlfn.XLOOKUP(B51,'Base stats'!B:B,'Base stats'!AC:AC),"")
  )
)</f>
        <v>No</v>
      </c>
      <c r="BO51" s="25" t="str">
        <f>IF(
   AND(
      'Base stats'!AK51="Standard",_xlfn.XLOOKUP(_xlfn.XLOOKUP(B51,'Base stats'!B:B,'Base stats'!E:E),Groups!A:A,Groups!AU:AU)=0,
      OR(
      BM51="True"
      )
   ),
   10,
   IF(
       OR(BK51&lt;&gt;"No",_xlfn.XLOOKUP(_xlfn.XLOOKUP(B51,'Base stats'!B:B,'Base stats'!E:E),Groups!A:A,Groups!AU:AU)=1),
      1,
      "No"
   )
)</f>
        <v>No</v>
      </c>
      <c r="BP51" s="9">
        <f>MROUND((1 + ((0.2*IF(OR(P51="No",Q51="No",Q51=0),0,P51/Q51)
+IF(OR(U51="No",R51="No",S51="No"),0,R51/S51*(LEN(U51)-LEN(SUBSTITUTE(U51,",",""))+1))
+IF(OR(W51="No",X51="No"),0,W51/X51)
+IF(OR(AC51="No",AD51="No"),0,AC51/AD51)
+IF(OR(AK51="No",AH51="No",AI51="No"),0,AH51/AI51*(LEN(AK51)-LEN(SUBSTITUTE(AK51,",",""))+1))
)/(0.2*IF(OR(P51="No",Q51="No",Q51=0),0,1)
+IF(OR(U51="No",R51="No",S51="No"),0,LEN(U51)-LEN(SUBSTITUTE(U51,",",""))+1)
+IF(OR(W51="No",X51="No"),0,1)
+IF(OR(AC51="No",AD51="No"),0,1)
+IF(OR(AK51="No",AH51="No",AI51="No"),0,LEN(AK51)-LEN(SUBSTITUTE(AK51,",",""))+1))*62%)* 2)*(1 + (AO51 + _xlfn.XLOOKUP(B51,'Base stats'!B:B,'Base stats'!AS:AS) * 1.8) * 2) * 2.5 + 10 + H51 * 2,5)+IF(_xlfn.XLOOKUP(B51,'Base stats'!B:B,'Base stats'!AH:AH)=1,50,0)</f>
        <v>70</v>
      </c>
      <c r="BQ51" s="8">
        <f t="shared" si="5"/>
        <v>0.65</v>
      </c>
      <c r="BR51" s="8" t="str">
        <f>_xlfn.XLOOKUP(B51,'Base stats'!B:B,'Base stats'!AD:AD)</f>
        <v>3~10</v>
      </c>
      <c r="BS51" s="2" t="str">
        <f>IF(AND(I51&lt;=0.95,OR(_xlfn.XLOOKUP(B51,'Base stats'!B:B,'Base stats'!AH:AH)=1,_xlfn.XLOOKUP(B51,'Base stats'!B:B,'Base stats'!Y:Y)="Carnivore",_xlfn.XLOOKUP(B51,'Base stats'!B:B,'Base stats'!Y:Y)="Omnivore",BC51&gt;0.1)),"true","false")</f>
        <v>false</v>
      </c>
      <c r="BT51" s="2" t="str">
        <f>IF(_xlfn.XLOOKUP(B51,'Base stats'!B:B,'Base stats'!AF:AF)=1,"true","false")</f>
        <v>false</v>
      </c>
      <c r="BU51" s="25" t="str">
        <f>IF(E51="BaseInsect","AnimalInsect",
IF(I51&gt;0.95,"AnimalExotic",
_xlfn.TEXTJOIN(", ",TRUE,
IF(AND(_xlfn.XLOOKUP(B51,'Base stats'!B:B,'Base stats'!O:O)=0,_xlfn.XLOOKUP(_xlfn.XLOOKUP(B51,'Base stats'!B:B,'Base stats'!E:E),Groups!A:A,Groups!B:B)&gt;0),"AnimalUncommon","AnimalCommon"),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stats'!AH:AH)=1,AND(BG51&lt;&gt;"None",BP51&gt;=60),ISNUMBER(SEARCH("Attack target",BN51))),"AnimalFighter","")
)))</f>
        <v>AnimalCommon, AnimalFarm</v>
      </c>
      <c r="BV51" s="25" t="str">
        <f>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</f>
        <v/>
      </c>
      <c r="BW51" s="25" t="str">
        <f>IF(_xlfn.XLOOKUP(B51,'Base stats'!B:B,'Base stats'!AG:AG)=1,"true","false")</f>
        <v>false</v>
      </c>
      <c r="BX51" s="25">
        <f>IF(_xlfn.XLOOKUP(B51,'Base stats'!B:B,'Base stats'!N:N)=1,"No",MIN(MROUND(IF(OR(_xlfn.XLOOKUP(B51,'Base stats'!B:B,'Base stats'!AJ:AJ)=1,AND(BH51="True",CA51="False")),POWER(10,3.47*LOG10(_xlfn.XLOOKUP(B51,'Base stats'!B:B,'Base stats'!C:C)*1000)^-0.96),POWER(10,4.15*LOG10(_xlfn.XLOOKUP(B51,'Base stats'!B:B,'Base stats'!C:C)*1000)^-0.73))*IF(OR(_xlfn.XLOOKUP(B51,'Base stats'!B:B,'Base stats'!AJ:AJ)=1,_xlfn.XLOOKUP(B51,'Base stats'!B:B,'Base stats'!AH:AH)=1),0.5,1)/100,0.025),1))</f>
        <v>0.2</v>
      </c>
      <c r="BY51" s="25" t="str">
        <f>IF(O51="Standard","No",IF(_xlfn.XLOOKUP(B51,'Base stats'!B:B,'Base stats'!N:N)=0,MROUND(BX51*O51,0.05),MIN(1,MAX(0.025,MROUND(IF(OR(CA51="true",AND(BH51="false",BM51="false")),POWER(10,4.15*LOG10(_xlfn.XLOOKUP(B51,'Base stats'!B:B,'Base stats'!C:C)*1000)^-0.73),POWER(10,3.47*LOG10(_xlfn.XLOOKUP(B51,'Base stats'!B:B,'Base stats'!C:C)*1000)^-0.96))*IF(_xlfn.XLOOKUP(B51,'Base stats'!B:B,'Base stats'!AH:AH)=1,0.5,1)/100,0.025)))))</f>
        <v>No</v>
      </c>
      <c r="BZ51" s="25" t="str">
        <f>IF(_xlfn.XLOOKUP(_xlfn.XLOOKUP(B51,'Base stats'!B:B,'Base stats'!E:E),Groups!A:A,Groups!AJ:AJ)="Mammal","True","False")</f>
        <v>True</v>
      </c>
      <c r="CA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B51" s="25" t="str">
        <f t="shared" si="6"/>
        <v>False</v>
      </c>
      <c r="CC51" s="25" t="str">
        <f>IF(_xlfn.XLOOKUP(_xlfn.XLOOKUP(B51,'Base stats'!B:B,'Base stats'!E:E),Groups!A:A,Groups!AW:AW),"True","False")</f>
        <v>False</v>
      </c>
      <c r="CD51" s="25" t="str">
        <f>IF(_xlfn.XLOOKUP(_xlfn.XLOOKUP(B51,'Base stats'!B:B,'Base stats'!E:E),Groups!A:A,Groups!AX:AX),"True","False")</f>
        <v>False</v>
      </c>
      <c r="CE51" s="25" t="str">
        <f>IF(_xlfn.XLOOKUP(B51,'Base stats'!B:B,'Base stats'!E:E)=1,"True","False")</f>
        <v>False</v>
      </c>
      <c r="CF51" s="25" t="str">
        <f>IF(
OR(
_xlfn.XLOOKUP(_xlfn.XLOOKUP(B51,'Base stats'!B:B,'Base stats'!E:E),Groups!A:A,Groups!AY:AY)=0,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stats'!E:E),Groups!A:A,Groups!AY:AY)=1,
"Flesh",
IF(
_xlfn.XLOOKUP(_xlfn.XLOOKUP(B51,'Base stats'!B:B,'Base stats'!E:E),Groups!A:A,Groups!AY:AY)=2,
"Bone",
""
)
)
)</f>
        <v>No</v>
      </c>
      <c r="CG51" s="25" t="str">
        <f>IF(_xlfn.XLOOKUP(_xlfn.XLOOKUP(B51,'Base stats'!B:B,'Base stats'!E:E),Groups!A:A,Groups!BA:BA),"True","False")</f>
        <v>True</v>
      </c>
      <c r="CH51" s="25" t="str">
        <f>IF(_xlfn.XLOOKUP(_xlfn.XLOOKUP(B51,'Base stats'!B:B,'Base stats'!E:E),Groups!A:A,Groups!AZ:AZ),"True","False")</f>
        <v>False</v>
      </c>
    </row>
    <row r="52" spans="1:86" ht="16.5" thickTop="1" thickBot="1" x14ac:dyDescent="0.3">
      <c r="A52" s="26" t="str">
        <f>_xlfn.XLOOKUP(B52,'Base stats'!B:B,'Base stats'!A:A)</f>
        <v>Sheep</v>
      </c>
      <c r="B52" s="6" t="s">
        <v>165</v>
      </c>
      <c r="C52" s="28" t="s">
        <v>739</v>
      </c>
      <c r="D52" s="28" t="s">
        <v>45</v>
      </c>
      <c r="E52" s="28" t="s">
        <v>685</v>
      </c>
      <c r="F52" s="28" t="s">
        <v>685</v>
      </c>
      <c r="G52" s="2">
        <f>MROUND((
  (IF(AND(_xlfn.XLOOKUP(B52,'Base stats'!B:B,'Base stats'!AI:AI)=0,BG52="None",_xlfn.XLOOKUP('Base stats'!E52,Groups!A:A,Groups!B:B)=0), (18 + BP52 * 2.7) * 0.5,
    IF(AND(_xlfn.XLOOKUP(B52,'Base stats'!B:B,'Base stats'!AI:AI)=0,OR(AN52&lt;0.55,AND(BG52="Intermediate",_xlfn.XLOOKUP('Base stats'!E52,Groups!A:A,Groups!B:B)&lt;2))), (18 + BP52 * 2.7),
      IF(OR(BG52="Advanced",_xlfn.XLOOKUP(B52,'Base stats'!B:B,'Base stats'!AI:AI)=1,_xlfn.XLOOKUP('Base stats'!E52,Groups!A:A,Groups!B:B)=2), (18 + BP52 * 2.7) + 250, (18 + BP52 * 2.7))
    )
  ))
  + AN52 * 80
  + IF(COUNTIF(EggMilk!K$2:K$998, A52) &gt; 0, 125, 0)
  + IF(COUNTIF(EggMilk!P$2:P$998, A52) &gt; 0, 90, 0)
  + IF(COUNTIF(EggMilk!A$2:A$998, A52) &gt; 0, 90, 0)
)
* (0.8 + 0.4 * I52)
* 0.75,25)</f>
        <v>150</v>
      </c>
      <c r="H52" s="2">
        <f>MROUND(ROUNDDOWN(_xlfn.XLOOKUP(B52,'Base stats'!B:B,'Base stats'!L:L)/3.6/(23.3/11),1),0.5)</f>
        <v>4.5</v>
      </c>
      <c r="I52" s="2">
        <f>IF(_xlfn.XLOOKUP(B52,'Base stats'!B:B,'Base stats'!AI:AI)=1,0.99,MIN(MROUND((1-0.6282*EXP(-0.459*AN52))*_xlfn.XLOOKUP(_xlfn.XLOOKUP(B52,'Base stats'!B:B,'Base stats'!E:E),Groups!A:A,Groups!C:C)*IF(_xlfn.XLOOKUP(B52,'Base stats'!B:B,'Base stats'!O:O)=1,0.5,IF(_xlfn.XLOOKUP(B52,'Base stats'!B:B,'Base stats'!O:O)=2,0,1)),0.05),0.985))</f>
        <v>0</v>
      </c>
      <c r="J52" s="2">
        <f>ROUNDUP(AN52*_xlfn.XLOOKUP(_xlfn.XLOOKUP(B52,'Base stats'!B:B,'Base stats'!E:E),Groups!A:A,Groups!E:E),0)</f>
        <v>5</v>
      </c>
      <c r="K52" s="2">
        <f>IF(OR(_xlfn.XLOOKUP(_xlfn.XLOOKUP(B52,'Base stats'!B:B,'Base stats'!E:E),Groups!A:A,Groups!F:F)=2,ISNUMBER(SEARCH("SeaIce",BV52)),ISNUMBER(SEARCH("IceSheet",BV52))),-50,IF(OR(ISNUMBER(SEARCH("GlacialPlain",BV52)),ISNUMBER(SEARCH("Tundra",BV52))),-40,IF(OR(ISNUMBER(SEARCH("Alpine",BV52)),ISNUMBER(SEARCH("BorealForest",BV52)),ISNUMBER(SEARCH("ColdBog",BV52))),-30,IF(OR(ISNUMBER(SEARCH("TemperateForest",BV52)),ISNUMBER(SEARCH("TemperateSwamp",BV52))),-20,IF(_xlfn.XLOOKUP(_xlfn.XLOOKUP(B52,'Base stats'!B:B,'Base stats'!E:E),Groups!A:A,Groups!F:F)=1,-15,IF(OR(ISNUMBER(SEARCH("Desert",BV52)),ISNUMBER(SEARCH("ExtremeDesert",BV52))),-10,IF(OR(ISNUMBER(SEARCH("Grasslands",BV52)),ISNUMBER(SEARCH("TropicalRainforest",BV52)),ISNUMBER(SEARCH("TropicalSwamp",BV52))),10,0)))))))-IF(CA52="False",MIN(IFERROR(MAX(MROUND(LOG10(_xlfn.XLOOKUP(B52,'Base stats'!B:B,'Base stats'!C:C)^(2/3))*10,5),5),5),30))-_xlfn.XLOOKUP(B52,'Base stats'!B:B,'Base stats'!P:P)+IF(CA52="True",5,0)</f>
        <v>-35</v>
      </c>
      <c r="L52" s="2">
        <f>IF(OR(_xlfn.XLOOKUP(_xlfn.XLOOKUP(B52,'Base stats'!B:B,'Base stats'!E:E),Groups!A:A,Groups!G:G)=2,ISNUMBER(SEARCH("Desert",BV52)),ISNUMBER(SEARCH("ExtremeDesert",BV52)),ISNUMBER(SEARCH("LavaField",BV52))),50,IF(ISNUMBER(SEARCH("Grasslands",BV52)),45,IF(OR(_xlfn.XLOOKUP(_xlfn.XLOOKUP(B52,'Base stats'!B:B,'Base stats'!E:E),Groups!A:A,Groups!G:G)=1,ISNUMBER(SEARCH("TropicalRainforest",BV52)),ISNUMBER(SEARCH("TropicalSwamp",BV52))),40,IF(OR(ISNUMBER(SEARCH("TemperateForest",BV52)),ISNUMBER(SEARCH("TemperateSwamp",BV52))),35,IF(OR(ISNUMBER(SEARCH("Alpine",BV52)),ISNUMBER(SEARCH("BorealForest",BV52)),ISNUMBER(SEARCH("ColdBog",BV52))),30,IF(ISNUMBER(OR(ISNUMBER(SEARCH("GlacialPlain",BV52)),SEARCH("Tundra",BV52))),25,IF(OR(ISNUMBER(SEARCH("SeaIce",BV52)),ISNUMBER(SEARCH("IceSheet",BV52)),ISNUMBER(SEARCH("TropicalSwamp",BV52))),10,35)))))))+_xlfn.XLOOKUP(B52,'Base stats'!B:B,'Base stats'!Q:Q)</f>
        <v>35</v>
      </c>
      <c r="M52" s="8" t="str">
        <f>IF(_xlfn.XLOOKUP(_xlfn.XLOOKUP(B52,'Base stats'!B:B,'Base stats'!E:E),Groups!A:A,Groups!L:L)=1,MIN(MROUND(_xlfn.XLOOKUP(B52,'Animals CE'!B:B,'Animals CE'!Z:Z)/2+0.05,0.05),200%),"No")</f>
        <v>No</v>
      </c>
      <c r="N52" s="8" t="str">
        <f>IF(_xlfn.XLOOKUP(_xlfn.XLOOKUP(B52,'Base stats'!B:B,'Base stats'!E:E),Groups!A:A,Groups!L:L)=1,MIN(MROUND(_xlfn.XLOOKUP(B52,'Animals CE'!B:B,'Animals CE'!AA:AA)/2+0.05,0.05),200%),"No")</f>
        <v>No</v>
      </c>
      <c r="O52" s="2" t="str">
        <f>_xlfn.XLOOKUP(B52,'Base stats'!B:B,'Base stats'!R:R)</f>
        <v>Standard</v>
      </c>
      <c r="P52" s="13">
        <f>MROUND((LOG10(_xlfn.XLOOKUP(B52,'Base stats'!B:B,'Base stats'!AO:AO))*(AN52^0.5)+(_xlfn.XLOOKUP(B52,'Base stats'!B:B,'Base stats'!AO:AO)/1000)^(2/3)+_xlfn.XLOOKUP(B52,'Base stats'!B:B,'Base stats'!AX:AX)/2)+0.5,0.5)</f>
        <v>7</v>
      </c>
      <c r="Q52" s="7">
        <f>IF(P52="No","No",MAX(1,MROUND(_xlfn.XLOOKUP(B52,'Base stats'!B:B,'Base stats'!C:C)^0.165,0.05)))</f>
        <v>2</v>
      </c>
      <c r="R52" s="13">
        <f>IF(_xlfn.XLOOKUP(_xlfn.XLOOKUP(B52,'Base stats'!B:B,'Base stats'!E:E),Groups!A:A,Groups!P:P)=0,"No",MROUND((LOG10(_xlfn.XLOOKUP(B52,'Base stats'!B:B,'Base stats'!AP:AP))*(AN52^0.5)+(_xlfn.XLOOKUP(B52,'Base stats'!B:B,'Base stats'!AP:AP)/1000)^(2/3)+_xlfn.XLOOKUP(B52,'Base stats'!B:B,'Base stats'!AX:AX))+_xlfn.XLOOKUP(B52,'Base stats'!B:B,'Base stats'!AV:AV)+0.5,0.5))</f>
        <v>9</v>
      </c>
      <c r="S52" s="7">
        <f>IF(R52="No","No",MAX(_xlfn.XLOOKUP(_xlfn.XLOOKUP(B52,'Base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T52" s="7" t="str">
        <f>IF(R52="No","No",_xlfn.XLOOKUP(_xlfn.XLOOKUP(B52,'Base stats'!B:B,'Base stats'!E:E),Groups!A:A,Groups!R:R))</f>
        <v>FrontLeftLeg, FrontRightLeg</v>
      </c>
      <c r="U52" s="7" t="str">
        <f>IF(R52="No","No",_xlfn.XLOOKUP(_xlfn.XLOOKUP(B52,'Base stats'!B:B,'Base stats'!E:E),Groups!A:A,Groups!S:S))</f>
        <v>left hoof, right hoof</v>
      </c>
      <c r="V52" s="7" t="str">
        <f>IF(R52="No","No",_xlfn.XLOOKUP(_xlfn.XLOOKUP(B52,'Base stats'!B:B,'Base stats'!E:E),Groups!A:A,Groups!T:T))</f>
        <v>Blunt</v>
      </c>
      <c r="W52" s="13">
        <f>IF(_xlfn.XLOOKUP(B52,'Base stats'!B:B,'Base stats'!W:W)="No","No",MROUND((LOG10(_xlfn.XLOOKUP(B52,'Base stats'!B:B,'Base stats'!AR:AR))*(AN52^0.5)+(_xlfn.XLOOKUP(B52,'Base stats'!B:B,'Base stats'!AR:AR)/1000)^(2/3)+_xlfn.XLOOKUP(B52,'Base stats'!B:B,'Base stats'!AW:AW))+0.5+IF(_xlfn.XLOOKUP(_xlfn.XLOOKUP(B52,'Base stats'!B:B,'Base stats'!E:E),Groups!A:A,Groups!U:U)&lt;&gt;3,_xlfn.XLOOKUP(B52,'Base stats'!B:B,'Base stats'!AX:AX),0),0.5))</f>
        <v>11</v>
      </c>
      <c r="X52" s="7">
        <f>IF(W52="No","No",MAX(_xlfn.XLOOKUP(_xlfn.XLOOKUP(B52,'Base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Y52" s="7" t="str">
        <f>IF(W52="No","No",_xlfn.XLOOKUP(_xlfn.XLOOKUP(B52,'Base stats'!B:B,'Base stats'!E:E),Groups!A:A,Groups!W:W))</f>
        <v>HeadAttackTool</v>
      </c>
      <c r="Z52" s="7" t="str">
        <f>IF(W52="No","No",_xlfn.XLOOKUP(_xlfn.XLOOKUP(B52,'Base stats'!B:B,'Base stats'!E:E),Groups!A:A,Groups!X:X))</f>
        <v>horn</v>
      </c>
      <c r="AA52" s="7" t="str">
        <f>IF(W52="No","No",_xlfn.XLOOKUP(_xlfn.XLOOKUP(B52,'Base stats'!B:B,'Base stats'!E:E),Groups!A:A,Groups!Y:Y))</f>
        <v>Blunt</v>
      </c>
      <c r="AB52" s="7" t="str">
        <f>_xlfn.XLOOKUP(Animals!B52,'Base stats'!B:B,'Base stats'!X:X)</f>
        <v>True</v>
      </c>
      <c r="AC52" s="13" t="str">
        <f>IF(_xlfn.XLOOKUP(B52,'Base stats'!B:B,'Base stats'!AQ:AQ)="No","No",MROUND((LOG10(_xlfn.XLOOKUP(B52,'Base stats'!B:B,'Base stats'!AQ:AQ))*(AN52^0.75)+(_xlfn.XLOOKUP(B52,'Base stats'!B:B,'Base stats'!AQ:AQ)/1000)^(2/3)+_xlfn.XLOOKUP(B52,'Base stats'!B:B,'Base stats'!AU:AU)+_xlfn.XLOOKUP(B52,'Base stats'!B:B,'Base stats'!AX:AX))+0.5,0.5))</f>
        <v>No</v>
      </c>
      <c r="AD52" s="7" t="str">
        <f>IF(AC52="No","No",MAX(_xlfn.XLOOKUP(_xlfn.XLOOKUP(B52,'Base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E52" s="7" t="str">
        <f>IF(AC52="No","No",_xlfn.XLOOKUP(_xlfn.XLOOKUP(B52,'Base stats'!B:B,'Base stats'!E:E),Groups!A:A,Groups!AA:AA))</f>
        <v>No</v>
      </c>
      <c r="AF52" s="7" t="str">
        <f>IF(AC52="No","No",_xlfn.XLOOKUP(_xlfn.XLOOKUP(B52,'Base stats'!B:B,'Base stats'!E:E),Groups!A:A,Groups!AB:AB))</f>
        <v>No</v>
      </c>
      <c r="AG52" s="7" t="str">
        <f>IF(AC52="No","No",_xlfn.XLOOKUP(_xlfn.XLOOKUP(B52,'Base stats'!B:B,'Base stats'!E:E),Groups!A:A,Groups!AC:AC))</f>
        <v>No</v>
      </c>
      <c r="AH52" s="13" t="str">
        <f>IF(_xlfn.XLOOKUP(_xlfn.XLOOKUP(B52,'Base stats'!B:B,'Base stats'!E:E),Groups!A:A,Groups!AD:AD)=0,"No",MROUND((LOG10(_xlfn.XLOOKUP(B52,'Base stats'!B:B,'Base stats'!AP:AP))*(AN52^0.75)+(_xlfn.XLOOKUP(B52,'Base stats'!B:B,'Base stats'!AP:AP)/1000)^(2/3)+_xlfn.XLOOKUP(B52,'Base stats'!B:B,'Base stats'!AV:AV)+_xlfn.XLOOKUP(B52,'Base stats'!B:B,'Base stats'!AX:AX))+0.5,0.5))</f>
        <v>No</v>
      </c>
      <c r="AI52" s="7" t="str">
        <f>IF(AH52="No","No",MAX(_xlfn.XLOOKUP(_xlfn.XLOOKUP(B52,'Base stats'!B:B,'Base stats'!E:E),Groups!A:A,Groups!AE:AE),MROUND(_xlfn.XLOOKUP(_xlfn.XLOOKUP(B52,'Base stats'!B:B,'Base stats'!E:E),Groups!A:A,Groups!AE:AE)*_xlfn.XLOOKUP(B52,'Base stats'!B:B,'Base stats'!C:C)^0.165,0.05)))</f>
        <v>No</v>
      </c>
      <c r="AJ52" s="7" t="str">
        <f>IF(AH52="No","No",_xlfn.XLOOKUP(_xlfn.XLOOKUP(B52,'Base stats'!B:B,'Base stats'!E:E),Groups!A:A,Groups!AF:AF))</f>
        <v>No</v>
      </c>
      <c r="AK52" s="7" t="str">
        <f>IF(AH52="No","No",_xlfn.XLOOKUP(_xlfn.XLOOKUP(B52,'Base stats'!B:B,'Base stats'!E:E),Groups!A:A,Groups!AG:AG))</f>
        <v>No</v>
      </c>
      <c r="AL52" s="7" t="str">
        <f>IF(AH52="No","No",_xlfn.XLOOKUP(_xlfn.XLOOKUP(B52,'Base stats'!B:B,'Base stats'!E:E),Groups!A:A,Groups!AH:AH))</f>
        <v>No</v>
      </c>
      <c r="AM52" s="2" t="str">
        <f t="shared" si="0"/>
        <v>No</v>
      </c>
      <c r="AN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O52" s="8">
        <f>MROUND(AN52*_xlfn.XLOOKUP(_xlfn.XLOOKUP(B52,'Base stats'!B:B,'Base stats'!E:E),Groups!A:A,Groups!AI:AI),0.05)</f>
        <v>0.95000000000000007</v>
      </c>
      <c r="AP52" s="8">
        <f>MAX(0.01,MROUND(IF(CA52="True",0.196*(AN52*100*1000)^0.889,IF(_xlfn.XLOOKUP(_xlfn.XLOOKUP(B52,'Base stats'!B:B,'Base stats'!E:E),Groups!A:A,Groups!AJ:AJ)="Bird",10.5*(AN52*100*1000)^0.681,4.82*(AN52*100*1000)^0.734))/(4.82*(1*100*1000)^0.734)/IF(AN52&lt;3.5,2,IF(AN52=3.5,1.5,1.25))*(1+0.132282374779864/(AN52^0.994035016789033+0.00905238001496948)),0.05))</f>
        <v>0.55000000000000004</v>
      </c>
      <c r="AQ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R52" s="35">
        <f>IFERROR(IF(_xlfn.XLOOKUP(B52,'Base stats'!B:B,'Base stats'!F:F)="Lay eggs","Lay eggs",MIN(20,MAX(5.5,ROUND(((_xlfn.XLOOKUP(B52,'Base stats'!B:B,'Base stats'!F:F)-25)*(14.5/615) + 5.5)*2,0)/2))),"Cannot breed")</f>
        <v>8.5</v>
      </c>
      <c r="AS52" s="8">
        <f>IF(OR(A52="Queen",A52="Larva",A52="Megachicken"),"No",IFERROR(MAX(IF(_xlfn.XLOOKUP(B52,'Base stats'!B:B,'Base stats'!G:G)&lt;0.5,0.2,0.3),MROUND(_xlfn.XLOOKUP(B52,'Base stats'!B:B,'Base stats'!G:G)/(365/60),0.2)),"Unknown"))</f>
        <v>0.3</v>
      </c>
      <c r="AT52" s="8">
        <f t="shared" si="1"/>
        <v>0.15000000000000002</v>
      </c>
      <c r="AU52" s="8">
        <f>IFERROR(IFERROR(MROUND(_xlfn.XLOOKUP(B52,'Base stats'!B:B,'Base stats'!J:J),0.1),"Lay eggs"),"Cannot breed")</f>
        <v>1.6</v>
      </c>
      <c r="AV52" s="2" t="str">
        <f t="shared" si="2"/>
        <v>true</v>
      </c>
      <c r="AW52" s="2" t="str">
        <f>IF(_xlfn.XLOOKUP(_xlfn.XLOOKUP(Animals!B52,'Base stats'!B:B,'Base stats'!E:E),Groups!A:A,Groups!AK:AK)=1,"true","false")</f>
        <v>true</v>
      </c>
      <c r="AX52" s="25" t="str">
        <f>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</f>
        <v>VegetarianRoughAnimal</v>
      </c>
      <c r="AY52" s="2">
        <f>IF(_xlfn.XLOOKUP(_xlfn.XLOOKUP(B52,'Base stats'!B:B,'Base stats'!E:E),Groups!A:A,Groups!D:D)=1,MROUND((1-I52)*5+1,2)*IF(I52&lt;=0.4,2,1),"No")</f>
        <v>12</v>
      </c>
      <c r="AZ52" s="2" t="str">
        <f>_xlfn.XLOOKUP(B52,'Base stats'!B:B,'Base stats'!AE:AE)</f>
        <v>Leather_Plain</v>
      </c>
      <c r="BA52" s="23" t="str">
        <f>_xlfn.XLOOKUP(_xlfn.XLOOKUP(B52,'Base stats'!B:B,'Base stats'!E:E),Groups!A:A,Groups!AL:AL)</f>
        <v>QuadrupedAnimalWithHooves</v>
      </c>
      <c r="BB52" s="23">
        <f>MROUND(IF(AND(AN52&lt;0.5,_xlfn.XLOOKUP(B52,'Base stats'!B:B,'Base stats'!Z:Z)=0),0,IF(OR(_xlfn.XLOOKUP(Animals!B52,'Base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stats'!AA:AA),0.005)</f>
        <v>0</v>
      </c>
      <c r="BC52" s="23">
        <f>MROUND(IF(AND(AN52&lt;0.5,_xlfn.XLOOKUP(B52,'Base stats'!B:B,'Base stats'!Z:Z)=0),0,IF(_xlfn.XLOOKUP(_xlfn.XLOOKUP(B52,'Base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stats'!AB:AB),0.005)</f>
        <v>0</v>
      </c>
      <c r="BD52" s="2" t="str">
        <f>IF(I52&gt;0.3,"No",_xlfn.XLOOKUP(_xlfn.XLOOKUP(Animals!B52,'Base stats'!B:B,'Base stats'!E:E),Groups!A:A,Groups!AP:AP))</f>
        <v>No</v>
      </c>
      <c r="BE52" s="2" t="str">
        <f>IF(AND(I52&lt;=0.65,_xlfn.XLOOKUP(_xlfn.XLOOKUP(Animals!B52,'Base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stats'!O:O)=2,0.2,AN52) + 24*(1-IF(BD52="No",0,BD52)) + 16/3, 12),"No")</f>
        <v>No</v>
      </c>
      <c r="BF52" s="2">
        <f>IF(AND(_xlfn.XLOOKUP(_xlfn.XLOOKUP(B52,'Base stats'!B:B,'Base stats'!E:E),Groups!A:A,Groups!AQ:AQ)=1,AN52&lt;=0.35),8,12)</f>
        <v>12</v>
      </c>
      <c r="BG52" s="2" t="str">
        <f>IF(_xlfn.XLOOKUP(_xlfn.XLOOKUP(B52,'Base stats'!B:B,'Base stats'!E:E),Groups!A:A,Groups!D:D)=0,_xlfn.XLOOKUP(_xlfn.XLOOKUP(B52,'Base stats'!B:B,'Base stats'!E:E),Groups!A:A,Groups!AR:AR),"None")</f>
        <v>None</v>
      </c>
      <c r="BH52" s="2" t="str">
        <f>IF(AND(_xlfn.XLOOKUP(_xlfn.XLOOKUP(B52,'Base stats'!B:B,'Base stats'!E:E),Groups!A:A,Groups!AS:AS)=1,OR('Base stats'!Y52="Carnivore",'Base stats'!Y52="Omnivore")),"true","false")</f>
        <v>false</v>
      </c>
      <c r="BI52" s="2" t="str">
        <f>IF(BH52="true",MROUND(IF(AND(AN52&gt;0.5,_xlfn.XLOOKUP(_xlfn.XLOOKUP(B52,'Base stats'!B:B,'Base stats'!E:E),Groups!A:A,Groups!AJ:AJ)="Mammal"),Animals!AN52*1.75*IF(AV52="true",1.5,1),Animals!AN52),IF(AN52&gt;2,0.5,IF(AN52&gt;0.5,0.25,0.1))),"No")</f>
        <v>No</v>
      </c>
      <c r="BJ52" s="2">
        <f t="shared" si="3"/>
        <v>0</v>
      </c>
      <c r="BK52" s="25" t="str">
        <f>IF('Base stats'!AK52="Standard","No",MROUND((_xlfn.XLOOKUP(B52,'Base stats'!B:B,'Base stats'!AK:AK)/3.6)/H52,0.1))</f>
        <v>No</v>
      </c>
      <c r="BL52" s="25" t="str">
        <f t="shared" si="4"/>
        <v>false</v>
      </c>
      <c r="BM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N52" s="25" t="str" cm="1">
        <f t="array" ref="BN52">IF(
  _xlfn.TEXTJOIN(", ",TRUE,
    IF(AND(BH52="true",AN52&gt;0.5,BG52&lt;&gt;"None"),"AttackTarget",""),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IF(BE52&lt;=36,"Comfort",""),
    IF(_xlfn.XLOOKUP(B52,'Base stats'!B:B,'Base stats'!AC:AC)&lt;&gt;"No",_xlfn.XLOOKUP(B52,'Base stats'!B:B,'Base stats'!AC:AC),"")
  ) = "",
  "No",
  _xlfn.TEXTJOIN(", ",TRUE,
    IF(AND(BH52="true",AN52&gt;0.5,BG52&lt;&gt;"None"),"AttackTarget",""),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IF(BE52&lt;=36,"Comfort",""),
    IF(_xlfn.XLOOKUP(B52,'Base stats'!B:B,'Base stats'!AC:AC)&lt;&gt;"No",_xlfn.XLOOKUP(B52,'Base stats'!B:B,'Base stats'!AC:AC),"")
  )
)</f>
        <v>No</v>
      </c>
      <c r="BO52" s="25" t="str">
        <f>IF(
   AND(
      'Base stats'!AK52="Standard",_xlfn.XLOOKUP(_xlfn.XLOOKUP(B52,'Base stats'!B:B,'Base stats'!E:E),Groups!A:A,Groups!AU:AU)=0,
      OR(
      BM52="True"
      )
   ),
   10,
   IF(
       OR(BK52&lt;&gt;"No",_xlfn.XLOOKUP(_xlfn.XLOOKUP(B52,'Base stats'!B:B,'Base stats'!E:E),Groups!A:A,Groups!AU:AU)=1),
      1,
      "No"
   )
)</f>
        <v>No</v>
      </c>
      <c r="BP52" s="9">
        <f>MROUND((1 + ((0.2*IF(OR(P52="No",Q52="No",Q52=0),0,P52/Q52)
+IF(OR(U52="No",R52="No",S52="No"),0,R52/S52*(LEN(U52)-LEN(SUBSTITUTE(U52,",",""))+1))
+IF(OR(W52="No",X52="No"),0,W52/X52)
+IF(OR(AC52="No",AD52="No"),0,AC52/AD52)
+IF(OR(AK52="No",AH52="No",AI52="No"),0,AH52/AI52*(LEN(AK52)-LEN(SUBSTITUTE(AK52,",",""))+1))
)/(0.2*IF(OR(P52="No",Q52="No",Q52=0),0,1)
+IF(OR(U52="No",R52="No",S52="No"),0,LEN(U52)-LEN(SUBSTITUTE(U52,",",""))+1)
+IF(OR(W52="No",X52="No"),0,1)
+IF(OR(AC52="No",AD52="No"),0,1)
+IF(OR(AK52="No",AH52="No",AI52="No"),0,LEN(AK52)-LEN(SUBSTITUTE(AK52,",",""))+1))*62%)* 2)*(1 + (AO52 + _xlfn.XLOOKUP(B52,'Base stats'!B:B,'Base stats'!AS:AS) * 1.8) * 2) * 2.5 + 10 + H52 * 2,5)+IF(_xlfn.XLOOKUP(B52,'Base stats'!B:B,'Base stats'!AH:AH)=1,50,0)</f>
        <v>70</v>
      </c>
      <c r="BQ52" s="8">
        <f t="shared" si="5"/>
        <v>0.65</v>
      </c>
      <c r="BR52" s="8" t="str">
        <f>_xlfn.XLOOKUP(B52,'Base stats'!B:B,'Base stats'!AD:AD)</f>
        <v>3~10</v>
      </c>
      <c r="BS52" s="2" t="str">
        <f>IF(AND(I52&lt;=0.95,OR(_xlfn.XLOOKUP(B52,'Base stats'!B:B,'Base stats'!AH:AH)=1,_xlfn.XLOOKUP(B52,'Base stats'!B:B,'Base stats'!Y:Y)="Carnivore",_xlfn.XLOOKUP(B52,'Base stats'!B:B,'Base stats'!Y:Y)="Omnivore",BC52&gt;0.1)),"true","false")</f>
        <v>false</v>
      </c>
      <c r="BT52" s="2" t="str">
        <f>IF(_xlfn.XLOOKUP(B52,'Base stats'!B:B,'Base stats'!AF:AF)=1,"true","false")</f>
        <v>false</v>
      </c>
      <c r="BU52" s="25" t="str">
        <f>IF(E52="BaseInsect","AnimalInsect",
IF(I52&gt;0.95,"AnimalExotic",
_xlfn.TEXTJOIN(", ",TRUE,
IF(AND(_xlfn.XLOOKUP(B52,'Base stats'!B:B,'Base stats'!O:O)=0,_xlfn.XLOOKUP(_xlfn.XLOOKUP(B52,'Base stats'!B:B,'Base stats'!E:E),Groups!A:A,Groups!B:B)&gt;0),"AnimalUncommon","AnimalCommon"),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stats'!AH:AH)=1,AND(BG52&lt;&gt;"None",BP52&gt;=60),ISNUMBER(SEARCH("Attack target",BN52))),"AnimalFighter","")
)))</f>
        <v>AnimalCommon, AnimalFarm</v>
      </c>
      <c r="BV52" s="25" t="str">
        <f>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</f>
        <v/>
      </c>
      <c r="BW52" s="25" t="str">
        <f>IF(_xlfn.XLOOKUP(B52,'Base stats'!B:B,'Base stats'!AG:AG)=1,"true","false")</f>
        <v>false</v>
      </c>
      <c r="BX52" s="25">
        <f>IF(_xlfn.XLOOKUP(B52,'Base stats'!B:B,'Base stats'!N:N)=1,"No",MIN(MROUND(IF(OR(_xlfn.XLOOKUP(B52,'Base stats'!B:B,'Base stats'!AJ:AJ)=1,AND(BH52="True",CA52="False")),POWER(10,3.47*LOG10(_xlfn.XLOOKUP(B52,'Base stats'!B:B,'Base stats'!C:C)*1000)^-0.96),POWER(10,4.15*LOG10(_xlfn.XLOOKUP(B52,'Base stats'!B:B,'Base stats'!C:C)*1000)^-0.73))*IF(OR(_xlfn.XLOOKUP(B52,'Base stats'!B:B,'Base stats'!AJ:AJ)=1,_xlfn.XLOOKUP(B52,'Base stats'!B:B,'Base stats'!AH:AH)=1),0.5,1)/100,0.025),1))</f>
        <v>0.2</v>
      </c>
      <c r="BY52" s="25" t="str">
        <f>IF(O52="Standard","No",IF(_xlfn.XLOOKUP(B52,'Base stats'!B:B,'Base stats'!N:N)=0,MROUND(BX52*O52,0.05),MIN(1,MAX(0.025,MROUND(IF(OR(CA52="true",AND(BH52="false",BM52="false")),POWER(10,4.15*LOG10(_xlfn.XLOOKUP(B52,'Base stats'!B:B,'Base stats'!C:C)*1000)^-0.73),POWER(10,3.47*LOG10(_xlfn.XLOOKUP(B52,'Base stats'!B:B,'Base stats'!C:C)*1000)^-0.96))*IF(_xlfn.XLOOKUP(B52,'Base stats'!B:B,'Base stats'!AH:AH)=1,0.5,1)/100,0.025)))))</f>
        <v>No</v>
      </c>
      <c r="BZ52" s="25" t="str">
        <f>IF(_xlfn.XLOOKUP(_xlfn.XLOOKUP(B52,'Base stats'!B:B,'Base stats'!E:E),Groups!A:A,Groups!AJ:AJ)="Mammal","True","False")</f>
        <v>True</v>
      </c>
      <c r="CA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B52" s="25" t="str">
        <f t="shared" si="6"/>
        <v>False</v>
      </c>
      <c r="CC52" s="25" t="str">
        <f>IF(_xlfn.XLOOKUP(_xlfn.XLOOKUP(B52,'Base stats'!B:B,'Base stats'!E:E),Groups!A:A,Groups!AW:AW),"True","False")</f>
        <v>False</v>
      </c>
      <c r="CD52" s="25" t="str">
        <f>IF(_xlfn.XLOOKUP(_xlfn.XLOOKUP(B52,'Base stats'!B:B,'Base stats'!E:E),Groups!A:A,Groups!AX:AX),"True","False")</f>
        <v>False</v>
      </c>
      <c r="CE52" s="25" t="str">
        <f>IF(_xlfn.XLOOKUP(B52,'Base stats'!B:B,'Base stats'!E:E)=1,"True","False")</f>
        <v>False</v>
      </c>
      <c r="CF52" s="25" t="str">
        <f>IF(
OR(
_xlfn.XLOOKUP(_xlfn.XLOOKUP(B52,'Base stats'!B:B,'Base stats'!E:E),Groups!A:A,Groups!AY:AY)=0,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stats'!E:E),Groups!A:A,Groups!AY:AY)=1,
"Flesh",
IF(
_xlfn.XLOOKUP(_xlfn.XLOOKUP(B52,'Base stats'!B:B,'Base stats'!E:E),Groups!A:A,Groups!AY:AY)=2,
"Bone",
""
)
)
)</f>
        <v>No</v>
      </c>
      <c r="CG52" s="25" t="str">
        <f>IF(_xlfn.XLOOKUP(_xlfn.XLOOKUP(B52,'Base stats'!B:B,'Base stats'!E:E),Groups!A:A,Groups!BA:BA),"True","False")</f>
        <v>True</v>
      </c>
      <c r="CH52" s="25" t="str">
        <f>IF(_xlfn.XLOOKUP(_xlfn.XLOOKUP(B52,'Base stats'!B:B,'Base stats'!E:E),Groups!A:A,Groups!AZ:AZ),"True","False")</f>
        <v>False</v>
      </c>
    </row>
    <row r="53" spans="1:86" ht="16.5" thickTop="1" thickBot="1" x14ac:dyDescent="0.3">
      <c r="A53" s="26" t="str">
        <f>_xlfn.XLOOKUP(B53,'Base stats'!B:B,'Base stats'!A:A)</f>
        <v>Deer</v>
      </c>
      <c r="B53" s="6" t="s">
        <v>238</v>
      </c>
      <c r="C53" s="28" t="s">
        <v>740</v>
      </c>
      <c r="D53" s="28" t="s">
        <v>45</v>
      </c>
      <c r="E53" s="28" t="s">
        <v>685</v>
      </c>
      <c r="F53" s="28" t="s">
        <v>685</v>
      </c>
      <c r="G53" s="2">
        <f>MROUND((
  (IF(AND(_xlfn.XLOOKUP(B53,'Base stats'!B:B,'Base stats'!AI:AI)=0,BG53="None",_xlfn.XLOOKUP('Base stats'!E53,Groups!A:A,Groups!B:B)=0), (18 + BP53 * 2.7) * 0.5,
    IF(AND(_xlfn.XLOOKUP(B53,'Base stats'!B:B,'Base stats'!AI:AI)=0,OR(AN53&lt;0.55,AND(BG53="Intermediate",_xlfn.XLOOKUP('Base stats'!E53,Groups!A:A,Groups!B:B)&lt;2))), (18 + BP53 * 2.7),
      IF(OR(BG53="Advanced",_xlfn.XLOOKUP(B53,'Base stats'!B:B,'Base stats'!AI:AI)=1,_xlfn.XLOOKUP('Base stats'!E53,Groups!A:A,Groups!B:B)=2), (18 + BP53 * 2.7) + 250, (18 + BP53 * 2.7))
    )
  ))
  + AN53 * 80
  + IF(COUNTIF(EggMilk!K$2:K$998, A53) &gt; 0, 125, 0)
  + IF(COUNTIF(EggMilk!P$2:P$998, A53) &gt; 0, 90, 0)
  + IF(COUNTIF(EggMilk!A$2:A$998, A53) &gt; 0, 90, 0)
)
* (0.8 + 0.4 * I53)
* 0.75,25)</f>
        <v>125</v>
      </c>
      <c r="H53" s="2">
        <f>MROUND(ROUNDDOWN(_xlfn.XLOOKUP(B53,'Base stats'!B:B,'Base stats'!L:L)/3.6/(23.3/11),1),0.5)</f>
        <v>8</v>
      </c>
      <c r="I53" s="2">
        <f>IF(_xlfn.XLOOKUP(B53,'Base stats'!B:B,'Base stats'!AI:AI)=1,0.99,MIN(MROUND((1-0.6282*EXP(-0.459*AN53))*_xlfn.XLOOKUP(_xlfn.XLOOKUP(B53,'Base stats'!B:B,'Base stats'!E:E),Groups!A:A,Groups!C:C)*IF(_xlfn.XLOOKUP(B53,'Base stats'!B:B,'Base stats'!O:O)=1,0.5,IF(_xlfn.XLOOKUP(B53,'Base stats'!B:B,'Base stats'!O:O)=2,0,1)),0.05),0.985))</f>
        <v>0.5</v>
      </c>
      <c r="J53" s="2">
        <f>ROUNDUP(AN53*_xlfn.XLOOKUP(_xlfn.XLOOKUP(B53,'Base stats'!B:B,'Base stats'!E:E),Groups!A:A,Groups!E:E),0)</f>
        <v>5</v>
      </c>
      <c r="K53" s="2">
        <f>IF(OR(_xlfn.XLOOKUP(_xlfn.XLOOKUP(B53,'Base stats'!B:B,'Base stats'!E:E),Groups!A:A,Groups!F:F)=2,ISNUMBER(SEARCH("SeaIce",BV53)),ISNUMBER(SEARCH("IceSheet",BV53))),-50,IF(OR(ISNUMBER(SEARCH("GlacialPlain",BV53)),ISNUMBER(SEARCH("Tundra",BV53))),-40,IF(OR(ISNUMBER(SEARCH("Alpine",BV53)),ISNUMBER(SEARCH("BorealForest",BV53)),ISNUMBER(SEARCH("ColdBog",BV53))),-30,IF(OR(ISNUMBER(SEARCH("TemperateForest",BV53)),ISNUMBER(SEARCH("TemperateSwamp",BV53))),-20,IF(_xlfn.XLOOKUP(_xlfn.XLOOKUP(B53,'Base stats'!B:B,'Base stats'!E:E),Groups!A:A,Groups!F:F)=1,-15,IF(OR(ISNUMBER(SEARCH("Desert",BV53)),ISNUMBER(SEARCH("ExtremeDesert",BV53))),-10,IF(OR(ISNUMBER(SEARCH("Grasslands",BV53)),ISNUMBER(SEARCH("TropicalRainforest",BV53)),ISNUMBER(SEARCH("TropicalSwamp",BV53))),10,0)))))))-IF(CA53="False",MIN(IFERROR(MAX(MROUND(LOG10(_xlfn.XLOOKUP(B53,'Base stats'!B:B,'Base stats'!C:C)^(2/3))*10,5),5),5),30))-_xlfn.XLOOKUP(B53,'Base stats'!B:B,'Base stats'!P:P)+IF(CA53="True",5,0)</f>
        <v>-50</v>
      </c>
      <c r="L53" s="2">
        <f>IF(OR(_xlfn.XLOOKUP(_xlfn.XLOOKUP(B53,'Base stats'!B:B,'Base stats'!E:E),Groups!A:A,Groups!G:G)=2,ISNUMBER(SEARCH("Desert",BV53)),ISNUMBER(SEARCH("ExtremeDesert",BV53)),ISNUMBER(SEARCH("LavaField",BV53))),50,IF(ISNUMBER(SEARCH("Grasslands",BV53)),45,IF(OR(_xlfn.XLOOKUP(_xlfn.XLOOKUP(B53,'Base stats'!B:B,'Base stats'!E:E),Groups!A:A,Groups!G:G)=1,ISNUMBER(SEARCH("TropicalRainforest",BV53)),ISNUMBER(SEARCH("TropicalSwamp",BV53))),40,IF(OR(ISNUMBER(SEARCH("TemperateForest",BV53)),ISNUMBER(SEARCH("TemperateSwamp",BV53))),35,IF(OR(ISNUMBER(SEARCH("Alpine",BV53)),ISNUMBER(SEARCH("BorealForest",BV53)),ISNUMBER(SEARCH("ColdBog",BV53))),30,IF(ISNUMBER(OR(ISNUMBER(SEARCH("GlacialPlain",BV53)),SEARCH("Tundra",BV53))),25,IF(OR(ISNUMBER(SEARCH("SeaIce",BV53)),ISNUMBER(SEARCH("IceSheet",BV53)),ISNUMBER(SEARCH("TropicalSwamp",BV53))),10,35)))))))+_xlfn.XLOOKUP(B53,'Base stats'!B:B,'Base stats'!Q:Q)</f>
        <v>35</v>
      </c>
      <c r="M53" s="8" t="str">
        <f>IF(_xlfn.XLOOKUP(_xlfn.XLOOKUP(B53,'Base stats'!B:B,'Base stats'!E:E),Groups!A:A,Groups!L:L)=1,MIN(MROUND(_xlfn.XLOOKUP(B53,'Animals CE'!B:B,'Animals CE'!Z:Z)/2+0.05,0.05),200%),"No")</f>
        <v>No</v>
      </c>
      <c r="N53" s="8" t="str">
        <f>IF(_xlfn.XLOOKUP(_xlfn.XLOOKUP(B53,'Base stats'!B:B,'Base stats'!E:E),Groups!A:A,Groups!L:L)=1,MIN(MROUND(_xlfn.XLOOKUP(B53,'Animals CE'!B:B,'Animals CE'!AA:AA)/2+0.05,0.05),200%),"No")</f>
        <v>No</v>
      </c>
      <c r="O53" s="2" t="str">
        <f>_xlfn.XLOOKUP(B53,'Base stats'!B:B,'Base stats'!R:R)</f>
        <v>Standard</v>
      </c>
      <c r="P53" s="13">
        <f>MROUND((LOG10(_xlfn.XLOOKUP(B53,'Base stats'!B:B,'Base stats'!AO:AO))*(AN53^0.5)+(_xlfn.XLOOKUP(B53,'Base stats'!B:B,'Base stats'!AO:AO)/1000)^(2/3)+_xlfn.XLOOKUP(B53,'Base stats'!B:B,'Base stats'!AX:AX)/2)+0.5,0.5)</f>
        <v>6.5</v>
      </c>
      <c r="Q53" s="7">
        <f>IF(P53="No","No",MAX(1,MROUND(_xlfn.XLOOKUP(B53,'Base stats'!B:B,'Base stats'!C:C)^0.165,0.05)))</f>
        <v>1.9500000000000002</v>
      </c>
      <c r="R53" s="13">
        <f>IF(_xlfn.XLOOKUP(_xlfn.XLOOKUP(B53,'Base stats'!B:B,'Base stats'!E:E),Groups!A:A,Groups!P:P)=0,"No",MROUND((LOG10(_xlfn.XLOOKUP(B53,'Base stats'!B:B,'Base stats'!AP:AP))*(AN53^0.5)+(_xlfn.XLOOKUP(B53,'Base stats'!B:B,'Base stats'!AP:AP)/1000)^(2/3)+_xlfn.XLOOKUP(B53,'Base stats'!B:B,'Base stats'!AX:AX))+_xlfn.XLOOKUP(B53,'Base stats'!B:B,'Base stats'!AV:AV)+0.5,0.5))</f>
        <v>8.5</v>
      </c>
      <c r="S53" s="7">
        <f>IF(R53="No","No",MAX(_xlfn.XLOOKUP(_xlfn.XLOOKUP(B53,'Base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T53" s="7" t="str">
        <f>IF(R53="No","No",_xlfn.XLOOKUP(_xlfn.XLOOKUP(B53,'Base stats'!B:B,'Base stats'!E:E),Groups!A:A,Groups!R:R))</f>
        <v>FrontLeftLeg, FrontRightLeg</v>
      </c>
      <c r="U53" s="7" t="str">
        <f>IF(R53="No","No",_xlfn.XLOOKUP(_xlfn.XLOOKUP(B53,'Base stats'!B:B,'Base stats'!E:E),Groups!A:A,Groups!S:S))</f>
        <v>left hoof, right hoof</v>
      </c>
      <c r="V53" s="7" t="str">
        <f>IF(R53="No","No",_xlfn.XLOOKUP(_xlfn.XLOOKUP(B53,'Base stats'!B:B,'Base stats'!E:E),Groups!A:A,Groups!T:T))</f>
        <v>Blunt</v>
      </c>
      <c r="W53" s="13">
        <f>IF(_xlfn.XLOOKUP(B53,'Base stats'!B:B,'Base stats'!W:W)="No","No",MROUND((LOG10(_xlfn.XLOOKUP(B53,'Base stats'!B:B,'Base stats'!AR:AR))*(AN53^0.5)+(_xlfn.XLOOKUP(B53,'Base stats'!B:B,'Base stats'!AR:AR)/1000)^(2/3)+_xlfn.XLOOKUP(B53,'Base stats'!B:B,'Base stats'!AW:AW))+0.5+IF(_xlfn.XLOOKUP(_xlfn.XLOOKUP(B53,'Base stats'!B:B,'Base stats'!E:E),Groups!A:A,Groups!U:U)&lt;&gt;3,_xlfn.XLOOKUP(B53,'Base stats'!B:B,'Base stats'!AX:AX),0),0.5))</f>
        <v>11.5</v>
      </c>
      <c r="X53" s="7">
        <f>IF(W53="No","No",MAX(_xlfn.XLOOKUP(_xlfn.XLOOKUP(B53,'Base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Y53" s="7" t="str">
        <f>IF(W53="No","No",_xlfn.XLOOKUP(_xlfn.XLOOKUP(B53,'Base stats'!B:B,'Base stats'!E:E),Groups!A:A,Groups!W:W))</f>
        <v>HeadAttackTool</v>
      </c>
      <c r="Z53" s="7" t="str">
        <f>IF(W53="No","No",_xlfn.XLOOKUP(_xlfn.XLOOKUP(B53,'Base stats'!B:B,'Base stats'!E:E),Groups!A:A,Groups!X:X))</f>
        <v>antler</v>
      </c>
      <c r="AA53" s="7" t="str">
        <f>IF(W53="No","No",_xlfn.XLOOKUP(_xlfn.XLOOKUP(B53,'Base stats'!B:B,'Base stats'!E:E),Groups!A:A,Groups!Y:Y))</f>
        <v>Scratch</v>
      </c>
      <c r="AB53" s="7" t="str">
        <f>_xlfn.XLOOKUP(Animals!B53,'Base stats'!B:B,'Base stats'!X:X)</f>
        <v>True</v>
      </c>
      <c r="AC53" s="13" t="str">
        <f>IF(_xlfn.XLOOKUP(B53,'Base stats'!B:B,'Base stats'!AQ:AQ)="No","No",MROUND((LOG10(_xlfn.XLOOKUP(B53,'Base stats'!B:B,'Base stats'!AQ:AQ))*(AN53^0.75)+(_xlfn.XLOOKUP(B53,'Base stats'!B:B,'Base stats'!AQ:AQ)/1000)^(2/3)+_xlfn.XLOOKUP(B53,'Base stats'!B:B,'Base stats'!AU:AU)+_xlfn.XLOOKUP(B53,'Base stats'!B:B,'Base stats'!AX:AX))+0.5,0.5))</f>
        <v>No</v>
      </c>
      <c r="AD53" s="7" t="str">
        <f>IF(AC53="No","No",MAX(_xlfn.XLOOKUP(_xlfn.XLOOKUP(B53,'Base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E53" s="7" t="str">
        <f>IF(AC53="No","No",_xlfn.XLOOKUP(_xlfn.XLOOKUP(B53,'Base stats'!B:B,'Base stats'!E:E),Groups!A:A,Groups!AA:AA))</f>
        <v>No</v>
      </c>
      <c r="AF53" s="7" t="str">
        <f>IF(AC53="No","No",_xlfn.XLOOKUP(_xlfn.XLOOKUP(B53,'Base stats'!B:B,'Base stats'!E:E),Groups!A:A,Groups!AB:AB))</f>
        <v>No</v>
      </c>
      <c r="AG53" s="7" t="str">
        <f>IF(AC53="No","No",_xlfn.XLOOKUP(_xlfn.XLOOKUP(B53,'Base stats'!B:B,'Base stats'!E:E),Groups!A:A,Groups!AC:AC))</f>
        <v>No</v>
      </c>
      <c r="AH53" s="13" t="str">
        <f>IF(_xlfn.XLOOKUP(_xlfn.XLOOKUP(B53,'Base stats'!B:B,'Base stats'!E:E),Groups!A:A,Groups!AD:AD)=0,"No",MROUND((LOG10(_xlfn.XLOOKUP(B53,'Base stats'!B:B,'Base stats'!AP:AP))*(AN53^0.75)+(_xlfn.XLOOKUP(B53,'Base stats'!B:B,'Base stats'!AP:AP)/1000)^(2/3)+_xlfn.XLOOKUP(B53,'Base stats'!B:B,'Base stats'!AV:AV)+_xlfn.XLOOKUP(B53,'Base stats'!B:B,'Base stats'!AX:AX))+0.5,0.5))</f>
        <v>No</v>
      </c>
      <c r="AI53" s="7" t="str">
        <f>IF(AH53="No","No",MAX(_xlfn.XLOOKUP(_xlfn.XLOOKUP(B53,'Base stats'!B:B,'Base stats'!E:E),Groups!A:A,Groups!AE:AE),MROUND(_xlfn.XLOOKUP(_xlfn.XLOOKUP(B53,'Base stats'!B:B,'Base stats'!E:E),Groups!A:A,Groups!AE:AE)*_xlfn.XLOOKUP(B53,'Base stats'!B:B,'Base stats'!C:C)^0.165,0.05)))</f>
        <v>No</v>
      </c>
      <c r="AJ53" s="7" t="str">
        <f>IF(AH53="No","No",_xlfn.XLOOKUP(_xlfn.XLOOKUP(B53,'Base stats'!B:B,'Base stats'!E:E),Groups!A:A,Groups!AF:AF))</f>
        <v>No</v>
      </c>
      <c r="AK53" s="7" t="str">
        <f>IF(AH53="No","No",_xlfn.XLOOKUP(_xlfn.XLOOKUP(B53,'Base stats'!B:B,'Base stats'!E:E),Groups!A:A,Groups!AG:AG))</f>
        <v>No</v>
      </c>
      <c r="AL53" s="7" t="str">
        <f>IF(AH53="No","No",_xlfn.XLOOKUP(_xlfn.XLOOKUP(B53,'Base stats'!B:B,'Base stats'!E:E),Groups!A:A,Groups!AH:AH))</f>
        <v>No</v>
      </c>
      <c r="AM53" s="2" t="str">
        <f t="shared" si="0"/>
        <v>No</v>
      </c>
      <c r="AN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O53" s="8">
        <f>MROUND(AN53*_xlfn.XLOOKUP(_xlfn.XLOOKUP(B53,'Base stats'!B:B,'Base stats'!E:E),Groups!A:A,Groups!AI:AI),0.05)</f>
        <v>0.9</v>
      </c>
      <c r="AP53" s="8">
        <f>MAX(0.01,MROUND(IF(CA53="True",0.196*(AN53*100*1000)^0.889,IF(_xlfn.XLOOKUP(_xlfn.XLOOKUP(B53,'Base stats'!B:B,'Base stats'!E:E),Groups!A:A,Groups!AJ:AJ)="Bird",10.5*(AN53*100*1000)^0.681,4.82*(AN53*100*1000)^0.734))/(4.82*(1*100*1000)^0.734)/IF(AN53&lt;3.5,2,IF(AN53=3.5,1.5,1.25))*(1+0.132282374779864/(AN53^0.994035016789033+0.00905238001496948)),0.05))</f>
        <v>0.55000000000000004</v>
      </c>
      <c r="AQ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R53" s="35">
        <f>IFERROR(IF(_xlfn.XLOOKUP(B53,'Base stats'!B:B,'Base stats'!F:F)="Lay eggs","Lay eggs",MIN(20,MAX(5.5,ROUND(((_xlfn.XLOOKUP(B53,'Base stats'!B:B,'Base stats'!F:F)-25)*(14.5/615) + 5.5)*2,0)/2))),"Cannot breed")</f>
        <v>10</v>
      </c>
      <c r="AS53" s="8">
        <f>IF(OR(A53="Queen",A53="Larva",A53="Megachicken"),"No",IFERROR(MAX(IF(_xlfn.XLOOKUP(B53,'Base stats'!B:B,'Base stats'!G:G)&lt;0.5,0.2,0.3),MROUND(_xlfn.XLOOKUP(B53,'Base stats'!B:B,'Base stats'!G:G)/(365/60),0.2)),"Unknown"))</f>
        <v>0.3</v>
      </c>
      <c r="AT53" s="8">
        <f t="shared" si="1"/>
        <v>0.15000000000000002</v>
      </c>
      <c r="AU53" s="8">
        <f>IFERROR(IFERROR(MROUND(_xlfn.XLOOKUP(B53,'Base stats'!B:B,'Base stats'!J:J),0.1),"Lay eggs"),"Cannot breed")</f>
        <v>1.5</v>
      </c>
      <c r="AV53" s="2" t="str">
        <f t="shared" si="2"/>
        <v>true</v>
      </c>
      <c r="AW53" s="2" t="str">
        <f>IF(_xlfn.XLOOKUP(_xlfn.XLOOKUP(Animals!B53,'Base stats'!B:B,'Base stats'!E:E),Groups!A:A,Groups!AK:AK)=1,"true","false")</f>
        <v>true</v>
      </c>
      <c r="AX53" s="25" t="str">
        <f>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</f>
        <v>VegetarianRoughAnimal</v>
      </c>
      <c r="AY53" s="2">
        <f>IF(_xlfn.XLOOKUP(_xlfn.XLOOKUP(B53,'Base stats'!B:B,'Base stats'!E:E),Groups!A:A,Groups!D:D)=1,MROUND((1-I53)*5+1,2)*IF(I53&lt;=0.4,2,1),"No")</f>
        <v>4</v>
      </c>
      <c r="AZ53" s="2" t="str">
        <f>_xlfn.XLOOKUP(B53,'Base stats'!B:B,'Base stats'!AE:AE)</f>
        <v>Leather_Plain</v>
      </c>
      <c r="BA53" s="23" t="str">
        <f>_xlfn.XLOOKUP(_xlfn.XLOOKUP(B53,'Base stats'!B:B,'Base stats'!E:E),Groups!A:A,Groups!AL:AL)</f>
        <v>QuadrupedAnimalWithHooves</v>
      </c>
      <c r="BB53" s="23">
        <f>MROUND(IF(AND(AN53&lt;0.5,_xlfn.XLOOKUP(B53,'Base stats'!B:B,'Base stats'!Z:Z)=0),0,IF(OR(_xlfn.XLOOKUP(Animals!B53,'Base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stats'!AA:AA),0.005)</f>
        <v>0</v>
      </c>
      <c r="BC53" s="23">
        <f>MROUND(IF(AND(AN53&lt;0.5,_xlfn.XLOOKUP(B53,'Base stats'!B:B,'Base stats'!Z:Z)=0),0,IF(_xlfn.XLOOKUP(_xlfn.XLOOKUP(B53,'Base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stats'!AB:AB),0.005)</f>
        <v>0</v>
      </c>
      <c r="BD53" s="2" t="str">
        <f>IF(I53&gt;0.3,"No",_xlfn.XLOOKUP(_xlfn.XLOOKUP(Animals!B53,'Base stats'!B:B,'Base stats'!E:E),Groups!A:A,Groups!AP:AP))</f>
        <v>No</v>
      </c>
      <c r="BE53" s="2" t="str">
        <f>IF(AND(I53&lt;=0.65,_xlfn.XLOOKUP(_xlfn.XLOOKUP(Animals!B53,'Base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stats'!O:O)=2,0.2,AN53) + 24*(1-IF(BD53="No",0,BD53)) + 16/3, 12),"No")</f>
        <v>No</v>
      </c>
      <c r="BF53" s="2">
        <f>IF(AND(_xlfn.XLOOKUP(_xlfn.XLOOKUP(B53,'Base stats'!B:B,'Base stats'!E:E),Groups!A:A,Groups!AQ:AQ)=1,AN53&lt;=0.35),8,12)</f>
        <v>12</v>
      </c>
      <c r="BG53" s="2" t="str">
        <f>IF(_xlfn.XLOOKUP(_xlfn.XLOOKUP(B53,'Base stats'!B:B,'Base stats'!E:E),Groups!A:A,Groups!D:D)=0,_xlfn.XLOOKUP(_xlfn.XLOOKUP(B53,'Base stats'!B:B,'Base stats'!E:E),Groups!A:A,Groups!AR:AR),"None")</f>
        <v>None</v>
      </c>
      <c r="BH53" s="2" t="str">
        <f>IF(AND(_xlfn.XLOOKUP(_xlfn.XLOOKUP(B53,'Base stats'!B:B,'Base stats'!E:E),Groups!A:A,Groups!AS:AS)=1,OR('Base stats'!Y53="Carnivore",'Base stats'!Y53="Omnivore")),"true","false")</f>
        <v>false</v>
      </c>
      <c r="BI53" s="2" t="str">
        <f>IF(BH53="true",MROUND(IF(AND(AN53&gt;0.5,_xlfn.XLOOKUP(_xlfn.XLOOKUP(B53,'Base stats'!B:B,'Base stats'!E:E),Groups!A:A,Groups!AJ:AJ)="Mammal"),Animals!AN53*1.75*IF(AV53="true",1.5,1),Animals!AN53),IF(AN53&gt;2,0.5,IF(AN53&gt;0.5,0.25,0.1))),"No")</f>
        <v>No</v>
      </c>
      <c r="BJ53" s="2">
        <f t="shared" si="3"/>
        <v>0</v>
      </c>
      <c r="BK53" s="25" t="str">
        <f>IF('Base stats'!AK53="Standard","No",MROUND((_xlfn.XLOOKUP(B53,'Base stats'!B:B,'Base stats'!AK:AK)/3.6)/H53,0.1))</f>
        <v>No</v>
      </c>
      <c r="BL53" s="25" t="str">
        <f t="shared" si="4"/>
        <v>false</v>
      </c>
      <c r="BM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N53" s="25" t="str" cm="1">
        <f t="array" ref="BN53">IF(
  _xlfn.TEXTJOIN(", ",TRUE,
    IF(AND(BH53="true",AN53&gt;0.5,BG53&lt;&gt;"None"),"AttackTarget",""),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IF(BE53&lt;=36,"Comfort",""),
    IF(_xlfn.XLOOKUP(B53,'Base stats'!B:B,'Base stats'!AC:AC)&lt;&gt;"No",_xlfn.XLOOKUP(B53,'Base stats'!B:B,'Base stats'!AC:AC),"")
  ) = "",
  "No",
  _xlfn.TEXTJOIN(", ",TRUE,
    IF(AND(BH53="true",AN53&gt;0.5,BG53&lt;&gt;"None"),"AttackTarget",""),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IF(BE53&lt;=36,"Comfort",""),
    IF(_xlfn.XLOOKUP(B53,'Base stats'!B:B,'Base stats'!AC:AC)&lt;&gt;"No",_xlfn.XLOOKUP(B53,'Base stats'!B:B,'Base stats'!AC:AC),"")
  )
)</f>
        <v>No</v>
      </c>
      <c r="BO53" s="25" t="str">
        <f>IF(
   AND(
      'Base stats'!AK53="Standard",_xlfn.XLOOKUP(_xlfn.XLOOKUP(B53,'Base stats'!B:B,'Base stats'!E:E),Groups!A:A,Groups!AU:AU)=0,
      OR(
      BM53="True"
      )
   ),
   10,
   IF(
       OR(BK53&lt;&gt;"No",_xlfn.XLOOKUP(_xlfn.XLOOKUP(B53,'Base stats'!B:B,'Base stats'!E:E),Groups!A:A,Groups!AU:AU)=1),
      1,
      "No"
   )
)</f>
        <v>No</v>
      </c>
      <c r="BP53" s="9">
        <f>MROUND((1 + ((0.2*IF(OR(P53="No",Q53="No",Q53=0),0,P53/Q53)
+IF(OR(U53="No",R53="No",S53="No"),0,R53/S53*(LEN(U53)-LEN(SUBSTITUTE(U53,",",""))+1))
+IF(OR(W53="No",X53="No"),0,W53/X53)
+IF(OR(AC53="No",AD53="No"),0,AC53/AD53)
+IF(OR(AK53="No",AH53="No",AI53="No"),0,AH53/AI53*(LEN(AK53)-LEN(SUBSTITUTE(AK53,",",""))+1))
)/(0.2*IF(OR(P53="No",Q53="No",Q53=0),0,1)
+IF(OR(U53="No",R53="No",S53="No"),0,LEN(U53)-LEN(SUBSTITUTE(U53,",",""))+1)
+IF(OR(W53="No",X53="No"),0,1)
+IF(OR(AC53="No",AD53="No"),0,1)
+IF(OR(AK53="No",AH53="No",AI53="No"),0,LEN(AK53)-LEN(SUBSTITUTE(AK53,",",""))+1))*62%)* 2)*(1 + (AO53 + _xlfn.XLOOKUP(B53,'Base stats'!B:B,'Base stats'!AS:AS) * 1.8) * 2) * 2.5 + 10 + H53 * 2,5)+IF(_xlfn.XLOOKUP(B53,'Base stats'!B:B,'Base stats'!AH:AH)=1,50,0)</f>
        <v>75</v>
      </c>
      <c r="BQ53" s="8">
        <f t="shared" si="5"/>
        <v>0.60000000000000009</v>
      </c>
      <c r="BR53" s="8" t="str">
        <f>_xlfn.XLOOKUP(B53,'Base stats'!B:B,'Base stats'!AD:AD)</f>
        <v>3~10</v>
      </c>
      <c r="BS53" s="2" t="str">
        <f>IF(AND(I53&lt;=0.95,OR(_xlfn.XLOOKUP(B53,'Base stats'!B:B,'Base stats'!AH:AH)=1,_xlfn.XLOOKUP(B53,'Base stats'!B:B,'Base stats'!Y:Y)="Carnivore",_xlfn.XLOOKUP(B53,'Base stats'!B:B,'Base stats'!Y:Y)="Omnivore",BC53&gt;0.1)),"true","false")</f>
        <v>false</v>
      </c>
      <c r="BT53" s="2" t="str">
        <f>IF(_xlfn.XLOOKUP(B53,'Base stats'!B:B,'Base stats'!AF:AF)=1,"true","false")</f>
        <v>false</v>
      </c>
      <c r="BU53" s="25" t="str">
        <f>IF(E53="BaseInsect","AnimalInsect",
IF(I53&gt;0.95,"AnimalExotic",
_xlfn.TEXTJOIN(", ",TRUE,
IF(AND(_xlfn.XLOOKUP(B53,'Base stats'!B:B,'Base stats'!O:O)=0,_xlfn.XLOOKUP(_xlfn.XLOOKUP(B53,'Base stats'!B:B,'Base stats'!E:E),Groups!A:A,Groups!B:B)&gt;0),"AnimalUncommon","AnimalCommon"),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stats'!AH:AH)=1,AND(BG53&lt;&gt;"None",BP53&gt;=60),ISNUMBER(SEARCH("Attack target",BN53))),"AnimalFighter","")
)))</f>
        <v>AnimalCommon</v>
      </c>
      <c r="BV53" s="25" t="str">
        <f>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</f>
        <v>BorealForest ColdBog TemperateForest TemperateSwamp GlacialPlain</v>
      </c>
      <c r="BW53" s="25" t="str">
        <f>IF(_xlfn.XLOOKUP(B53,'Base stats'!B:B,'Base stats'!AG:AG)=1,"true","false")</f>
        <v>false</v>
      </c>
      <c r="BX53" s="25">
        <f>IF(_xlfn.XLOOKUP(B53,'Base stats'!B:B,'Base stats'!N:N)=1,"No",MIN(MROUND(IF(OR(_xlfn.XLOOKUP(B53,'Base stats'!B:B,'Base stats'!AJ:AJ)=1,AND(BH53="True",CA53="False")),POWER(10,3.47*LOG10(_xlfn.XLOOKUP(B53,'Base stats'!B:B,'Base stats'!C:C)*1000)^-0.96),POWER(10,4.15*LOG10(_xlfn.XLOOKUP(B53,'Base stats'!B:B,'Base stats'!C:C)*1000)^-0.73))*IF(OR(_xlfn.XLOOKUP(B53,'Base stats'!B:B,'Base stats'!AJ:AJ)=1,_xlfn.XLOOKUP(B53,'Base stats'!B:B,'Base stats'!AH:AH)=1),0.5,1)/100,0.025),1))</f>
        <v>0.22500000000000001</v>
      </c>
      <c r="BY53" s="25" t="str">
        <f>IF(O53="Standard","No",IF(_xlfn.XLOOKUP(B53,'Base stats'!B:B,'Base stats'!N:N)=0,MROUND(BX53*O53,0.05),MIN(1,MAX(0.025,MROUND(IF(OR(CA53="true",AND(BH53="false",BM53="false")),POWER(10,4.15*LOG10(_xlfn.XLOOKUP(B53,'Base stats'!B:B,'Base stats'!C:C)*1000)^-0.73),POWER(10,3.47*LOG10(_xlfn.XLOOKUP(B53,'Base stats'!B:B,'Base stats'!C:C)*1000)^-0.96))*IF(_xlfn.XLOOKUP(B53,'Base stats'!B:B,'Base stats'!AH:AH)=1,0.5,1)/100,0.025)))))</f>
        <v>No</v>
      </c>
      <c r="BZ53" s="25" t="str">
        <f>IF(_xlfn.XLOOKUP(_xlfn.XLOOKUP(B53,'Base stats'!B:B,'Base stats'!E:E),Groups!A:A,Groups!AJ:AJ)="Mammal","True","False")</f>
        <v>True</v>
      </c>
      <c r="CA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B53" s="25" t="str">
        <f t="shared" si="6"/>
        <v>False</v>
      </c>
      <c r="CC53" s="25" t="str">
        <f>IF(_xlfn.XLOOKUP(_xlfn.XLOOKUP(B53,'Base stats'!B:B,'Base stats'!E:E),Groups!A:A,Groups!AW:AW),"True","False")</f>
        <v>False</v>
      </c>
      <c r="CD53" s="25" t="str">
        <f>IF(_xlfn.XLOOKUP(_xlfn.XLOOKUP(B53,'Base stats'!B:B,'Base stats'!E:E),Groups!A:A,Groups!AX:AX),"True","False")</f>
        <v>False</v>
      </c>
      <c r="CE53" s="25" t="str">
        <f>IF(_xlfn.XLOOKUP(B53,'Base stats'!B:B,'Base stats'!E:E)=1,"True","False")</f>
        <v>False</v>
      </c>
      <c r="CF53" s="25" t="str">
        <f>IF(
OR(
_xlfn.XLOOKUP(_xlfn.XLOOKUP(B53,'Base stats'!B:B,'Base stats'!E:E),Groups!A:A,Groups!AY:AY)=0,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stats'!E:E),Groups!A:A,Groups!AY:AY)=1,
"Flesh",
IF(
_xlfn.XLOOKUP(_xlfn.XLOOKUP(B53,'Base stats'!B:B,'Base stats'!E:E),Groups!A:A,Groups!AY:AY)=2,
"Bone",
""
)
)
)</f>
        <v>No</v>
      </c>
      <c r="CG53" s="25" t="str">
        <f>IF(_xlfn.XLOOKUP(_xlfn.XLOOKUP(B53,'Base stats'!B:B,'Base stats'!E:E),Groups!A:A,Groups!BA:BA),"True","False")</f>
        <v>True</v>
      </c>
      <c r="CH53" s="25" t="str">
        <f>IF(_xlfn.XLOOKUP(_xlfn.XLOOKUP(B53,'Base stats'!B:B,'Base stats'!E:E),Groups!A:A,Groups!AZ:AZ),"True","False")</f>
        <v>False</v>
      </c>
    </row>
    <row r="54" spans="1:86" ht="16.5" thickTop="1" thickBot="1" x14ac:dyDescent="0.3">
      <c r="A54" s="26" t="str">
        <f>_xlfn.XLOOKUP(B54,'Base stats'!B:B,'Base stats'!A:A)</f>
        <v>Gazelle</v>
      </c>
      <c r="B54" s="6" t="s">
        <v>168</v>
      </c>
      <c r="C54" s="28" t="s">
        <v>741</v>
      </c>
      <c r="D54" s="28" t="s">
        <v>45</v>
      </c>
      <c r="E54" s="28" t="s">
        <v>685</v>
      </c>
      <c r="F54" s="28" t="s">
        <v>685</v>
      </c>
      <c r="G54" s="2">
        <f>MROUND((
  (IF(AND(_xlfn.XLOOKUP(B54,'Base stats'!B:B,'Base stats'!AI:AI)=0,BG54="None",_xlfn.XLOOKUP('Base stats'!E54,Groups!A:A,Groups!B:B)=0), (18 + BP54 * 2.7) * 0.5,
    IF(AND(_xlfn.XLOOKUP(B54,'Base stats'!B:B,'Base stats'!AI:AI)=0,OR(AN54&lt;0.55,AND(BG54="Intermediate",_xlfn.XLOOKUP('Base stats'!E54,Groups!A:A,Groups!B:B)&lt;2))), (18 + BP54 * 2.7),
      IF(OR(BG54="Advanced",_xlfn.XLOOKUP(B54,'Base stats'!B:B,'Base stats'!AI:AI)=1,_xlfn.XLOOKUP('Base stats'!E54,Groups!A:A,Groups!B:B)=2), (18 + BP54 * 2.7) + 250, (18 + BP54 * 2.7))
    )
  ))
  + AN54 * 80
  + IF(COUNTIF(EggMilk!K$2:K$998, A54) &gt; 0, 125, 0)
  + IF(COUNTIF(EggMilk!P$2:P$998, A54) &gt; 0, 90, 0)
  + IF(COUNTIF(EggMilk!A$2:A$998, A54) &gt; 0, 90, 0)
)
* (0.8 + 0.4 * I54)
* 0.75,25)</f>
        <v>100</v>
      </c>
      <c r="H54" s="2">
        <f>MROUND(ROUNDDOWN(_xlfn.XLOOKUP(B54,'Base stats'!B:B,'Base stats'!L:L)/3.6/(23.3/11),1),0.5)</f>
        <v>10.5</v>
      </c>
      <c r="I54" s="2">
        <f>IF(_xlfn.XLOOKUP(B54,'Base stats'!B:B,'Base stats'!AI:AI)=1,0.99,MIN(MROUND((1-0.6282*EXP(-0.459*AN54))*_xlfn.XLOOKUP(_xlfn.XLOOKUP(B54,'Base stats'!B:B,'Base stats'!E:E),Groups!A:A,Groups!C:C)*IF(_xlfn.XLOOKUP(B54,'Base stats'!B:B,'Base stats'!O:O)=1,0.5,IF(_xlfn.XLOOKUP(B54,'Base stats'!B:B,'Base stats'!O:O)=2,0,1)),0.05),0.985))</f>
        <v>0.45</v>
      </c>
      <c r="J54" s="2">
        <f>ROUNDUP(AN54*_xlfn.XLOOKUP(_xlfn.XLOOKUP(B54,'Base stats'!B:B,'Base stats'!E:E),Groups!A:A,Groups!E:E),0)</f>
        <v>3</v>
      </c>
      <c r="K54" s="2">
        <f>IF(OR(_xlfn.XLOOKUP(_xlfn.XLOOKUP(B54,'Base stats'!B:B,'Base stats'!E:E),Groups!A:A,Groups!F:F)=2,ISNUMBER(SEARCH("SeaIce",BV54)),ISNUMBER(SEARCH("IceSheet",BV54))),-50,IF(OR(ISNUMBER(SEARCH("GlacialPlain",BV54)),ISNUMBER(SEARCH("Tundra",BV54))),-40,IF(OR(ISNUMBER(SEARCH("Alpine",BV54)),ISNUMBER(SEARCH("BorealForest",BV54)),ISNUMBER(SEARCH("ColdBog",BV54))),-30,IF(OR(ISNUMBER(SEARCH("TemperateForest",BV54)),ISNUMBER(SEARCH("TemperateSwamp",BV54))),-20,IF(_xlfn.XLOOKUP(_xlfn.XLOOKUP(B54,'Base stats'!B:B,'Base stats'!E:E),Groups!A:A,Groups!F:F)=1,-15,IF(OR(ISNUMBER(SEARCH("Desert",BV54)),ISNUMBER(SEARCH("ExtremeDesert",BV54))),-10,IF(OR(ISNUMBER(SEARCH("Grasslands",BV54)),ISNUMBER(SEARCH("TropicalRainforest",BV54)),ISNUMBER(SEARCH("TropicalSwamp",BV54))),10,0)))))))-IF(CA54="False",MIN(IFERROR(MAX(MROUND(LOG10(_xlfn.XLOOKUP(B54,'Base stats'!B:B,'Base stats'!C:C)^(2/3))*10,5),5),5),30))-_xlfn.XLOOKUP(B54,'Base stats'!B:B,'Base stats'!P:P)+IF(CA54="True",5,0)</f>
        <v>-25</v>
      </c>
      <c r="L54" s="2">
        <f>IF(OR(_xlfn.XLOOKUP(_xlfn.XLOOKUP(B54,'Base stats'!B:B,'Base stats'!E:E),Groups!A:A,Groups!G:G)=2,ISNUMBER(SEARCH("Desert",BV54)),ISNUMBER(SEARCH("ExtremeDesert",BV54)),ISNUMBER(SEARCH("LavaField",BV54))),50,IF(ISNUMBER(SEARCH("Grasslands",BV54)),45,IF(OR(_xlfn.XLOOKUP(_xlfn.XLOOKUP(B54,'Base stats'!B:B,'Base stats'!E:E),Groups!A:A,Groups!G:G)=1,ISNUMBER(SEARCH("TropicalRainforest",BV54)),ISNUMBER(SEARCH("TropicalSwamp",BV54))),40,IF(OR(ISNUMBER(SEARCH("TemperateForest",BV54)),ISNUMBER(SEARCH("TemperateSwamp",BV54))),35,IF(OR(ISNUMBER(SEARCH("Alpine",BV54)),ISNUMBER(SEARCH("BorealForest",BV54)),ISNUMBER(SEARCH("ColdBog",BV54))),30,IF(ISNUMBER(OR(ISNUMBER(SEARCH("GlacialPlain",BV54)),SEARCH("Tundra",BV54))),25,IF(OR(ISNUMBER(SEARCH("SeaIce",BV54)),ISNUMBER(SEARCH("IceSheet",BV54)),ISNUMBER(SEARCH("TropicalSwamp",BV54))),10,35)))))))+_xlfn.XLOOKUP(B54,'Base stats'!B:B,'Base stats'!Q:Q)</f>
        <v>50</v>
      </c>
      <c r="M54" s="8" t="str">
        <f>IF(_xlfn.XLOOKUP(_xlfn.XLOOKUP(B54,'Base stats'!B:B,'Base stats'!E:E),Groups!A:A,Groups!L:L)=1,MIN(MROUND(_xlfn.XLOOKUP(B54,'Animals CE'!B:B,'Animals CE'!Z:Z)/2+0.05,0.05),200%),"No")</f>
        <v>No</v>
      </c>
      <c r="N54" s="8" t="str">
        <f>IF(_xlfn.XLOOKUP(_xlfn.XLOOKUP(B54,'Base stats'!B:B,'Base stats'!E:E),Groups!A:A,Groups!L:L)=1,MIN(MROUND(_xlfn.XLOOKUP(B54,'Animals CE'!B:B,'Animals CE'!AA:AA)/2+0.05,0.05),200%),"No")</f>
        <v>No</v>
      </c>
      <c r="O54" s="2" t="str">
        <f>_xlfn.XLOOKUP(B54,'Base stats'!B:B,'Base stats'!R:R)</f>
        <v>Standard</v>
      </c>
      <c r="P54" s="13">
        <f>MROUND((LOG10(_xlfn.XLOOKUP(B54,'Base stats'!B:B,'Base stats'!AO:AO))*(AN54^0.5)+(_xlfn.XLOOKUP(B54,'Base stats'!B:B,'Base stats'!AO:AO)/1000)^(2/3)+_xlfn.XLOOKUP(B54,'Base stats'!B:B,'Base stats'!AX:AX)/2)+0.5,0.5)</f>
        <v>5</v>
      </c>
      <c r="Q54" s="7">
        <f>IF(P54="No","No",MAX(1,MROUND(_xlfn.XLOOKUP(B54,'Base stats'!B:B,'Base stats'!C:C)^0.165,0.05)))</f>
        <v>1.7000000000000002</v>
      </c>
      <c r="R54" s="13">
        <f>IF(_xlfn.XLOOKUP(_xlfn.XLOOKUP(B54,'Base stats'!B:B,'Base stats'!E:E),Groups!A:A,Groups!P:P)=0,"No",MROUND((LOG10(_xlfn.XLOOKUP(B54,'Base stats'!B:B,'Base stats'!AP:AP))*(AN54^0.5)+(_xlfn.XLOOKUP(B54,'Base stats'!B:B,'Base stats'!AP:AP)/1000)^(2/3)+_xlfn.XLOOKUP(B54,'Base stats'!B:B,'Base stats'!AX:AX))+_xlfn.XLOOKUP(B54,'Base stats'!B:B,'Base stats'!AV:AV)+0.5,0.5))</f>
        <v>6</v>
      </c>
      <c r="S54" s="7">
        <f>IF(R54="No","No",MAX(_xlfn.XLOOKUP(_xlfn.XLOOKUP(B54,'Base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T54" s="7" t="str">
        <f>IF(R54="No","No",_xlfn.XLOOKUP(_xlfn.XLOOKUP(B54,'Base stats'!B:B,'Base stats'!E:E),Groups!A:A,Groups!R:R))</f>
        <v>FrontLeftLeg, FrontRightLeg</v>
      </c>
      <c r="U54" s="7" t="str">
        <f>IF(R54="No","No",_xlfn.XLOOKUP(_xlfn.XLOOKUP(B54,'Base stats'!B:B,'Base stats'!E:E),Groups!A:A,Groups!S:S))</f>
        <v>left hoof, right hoof</v>
      </c>
      <c r="V54" s="7" t="str">
        <f>IF(R54="No","No",_xlfn.XLOOKUP(_xlfn.XLOOKUP(B54,'Base stats'!B:B,'Base stats'!E:E),Groups!A:A,Groups!T:T))</f>
        <v>Blunt</v>
      </c>
      <c r="W54" s="13">
        <f>IF(_xlfn.XLOOKUP(B54,'Base stats'!B:B,'Base stats'!W:W)="No","No",MROUND((LOG10(_xlfn.XLOOKUP(B54,'Base stats'!B:B,'Base stats'!AR:AR))*(AN54^0.5)+(_xlfn.XLOOKUP(B54,'Base stats'!B:B,'Base stats'!AR:AR)/1000)^(2/3)+_xlfn.XLOOKUP(B54,'Base stats'!B:B,'Base stats'!AW:AW))+0.5+IF(_xlfn.XLOOKUP(_xlfn.XLOOKUP(B54,'Base stats'!B:B,'Base stats'!E:E),Groups!A:A,Groups!U:U)&lt;&gt;3,_xlfn.XLOOKUP(B54,'Base stats'!B:B,'Base stats'!AX:AX),0),0.5))</f>
        <v>9</v>
      </c>
      <c r="X54" s="7">
        <f>IF(W54="No","No",MAX(_xlfn.XLOOKUP(_xlfn.XLOOKUP(B54,'Base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Y54" s="7" t="str">
        <f>IF(W54="No","No",_xlfn.XLOOKUP(_xlfn.XLOOKUP(B54,'Base stats'!B:B,'Base stats'!E:E),Groups!A:A,Groups!W:W))</f>
        <v>HeadAttackTool</v>
      </c>
      <c r="Z54" s="7" t="str">
        <f>IF(W54="No","No",_xlfn.XLOOKUP(_xlfn.XLOOKUP(B54,'Base stats'!B:B,'Base stats'!E:E),Groups!A:A,Groups!X:X))</f>
        <v>horn</v>
      </c>
      <c r="AA54" s="7" t="str">
        <f>IF(W54="No","No",_xlfn.XLOOKUP(_xlfn.XLOOKUP(B54,'Base stats'!B:B,'Base stats'!E:E),Groups!A:A,Groups!Y:Y))</f>
        <v>Scratch</v>
      </c>
      <c r="AB54" s="7" t="str">
        <f>_xlfn.XLOOKUP(Animals!B54,'Base stats'!B:B,'Base stats'!X:X)</f>
        <v>False</v>
      </c>
      <c r="AC54" s="13" t="str">
        <f>IF(_xlfn.XLOOKUP(B54,'Base stats'!B:B,'Base stats'!AQ:AQ)="No","No",MROUND((LOG10(_xlfn.XLOOKUP(B54,'Base stats'!B:B,'Base stats'!AQ:AQ))*(AN54^0.75)+(_xlfn.XLOOKUP(B54,'Base stats'!B:B,'Base stats'!AQ:AQ)/1000)^(2/3)+_xlfn.XLOOKUP(B54,'Base stats'!B:B,'Base stats'!AU:AU)+_xlfn.XLOOKUP(B54,'Base stats'!B:B,'Base stats'!AX:AX))+0.5,0.5))</f>
        <v>No</v>
      </c>
      <c r="AD54" s="7" t="str">
        <f>IF(AC54="No","No",MAX(_xlfn.XLOOKUP(_xlfn.XLOOKUP(B54,'Base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E54" s="7" t="str">
        <f>IF(AC54="No","No",_xlfn.XLOOKUP(_xlfn.XLOOKUP(B54,'Base stats'!B:B,'Base stats'!E:E),Groups!A:A,Groups!AA:AA))</f>
        <v>No</v>
      </c>
      <c r="AF54" s="7" t="str">
        <f>IF(AC54="No","No",_xlfn.XLOOKUP(_xlfn.XLOOKUP(B54,'Base stats'!B:B,'Base stats'!E:E),Groups!A:A,Groups!AB:AB))</f>
        <v>No</v>
      </c>
      <c r="AG54" s="7" t="str">
        <f>IF(AC54="No","No",_xlfn.XLOOKUP(_xlfn.XLOOKUP(B54,'Base stats'!B:B,'Base stats'!E:E),Groups!A:A,Groups!AC:AC))</f>
        <v>No</v>
      </c>
      <c r="AH54" s="13" t="str">
        <f>IF(_xlfn.XLOOKUP(_xlfn.XLOOKUP(B54,'Base stats'!B:B,'Base stats'!E:E),Groups!A:A,Groups!AD:AD)=0,"No",MROUND((LOG10(_xlfn.XLOOKUP(B54,'Base stats'!B:B,'Base stats'!AP:AP))*(AN54^0.75)+(_xlfn.XLOOKUP(B54,'Base stats'!B:B,'Base stats'!AP:AP)/1000)^(2/3)+_xlfn.XLOOKUP(B54,'Base stats'!B:B,'Base stats'!AV:AV)+_xlfn.XLOOKUP(B54,'Base stats'!B:B,'Base stats'!AX:AX))+0.5,0.5))</f>
        <v>No</v>
      </c>
      <c r="AI54" s="7" t="str">
        <f>IF(AH54="No","No",MAX(_xlfn.XLOOKUP(_xlfn.XLOOKUP(B54,'Base stats'!B:B,'Base stats'!E:E),Groups!A:A,Groups!AE:AE),MROUND(_xlfn.XLOOKUP(_xlfn.XLOOKUP(B54,'Base stats'!B:B,'Base stats'!E:E),Groups!A:A,Groups!AE:AE)*_xlfn.XLOOKUP(B54,'Base stats'!B:B,'Base stats'!C:C)^0.165,0.05)))</f>
        <v>No</v>
      </c>
      <c r="AJ54" s="7" t="str">
        <f>IF(AH54="No","No",_xlfn.XLOOKUP(_xlfn.XLOOKUP(B54,'Base stats'!B:B,'Base stats'!E:E),Groups!A:A,Groups!AF:AF))</f>
        <v>No</v>
      </c>
      <c r="AK54" s="7" t="str">
        <f>IF(AH54="No","No",_xlfn.XLOOKUP(_xlfn.XLOOKUP(B54,'Base stats'!B:B,'Base stats'!E:E),Groups!A:A,Groups!AG:AG))</f>
        <v>No</v>
      </c>
      <c r="AL54" s="7" t="str">
        <f>IF(AH54="No","No",_xlfn.XLOOKUP(_xlfn.XLOOKUP(B54,'Base stats'!B:B,'Base stats'!E:E),Groups!A:A,Groups!AH:AH))</f>
        <v>No</v>
      </c>
      <c r="AM54" s="2" t="str">
        <f t="shared" si="0"/>
        <v>No</v>
      </c>
      <c r="AN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O54" s="8">
        <f>MROUND(AN54*_xlfn.XLOOKUP(_xlfn.XLOOKUP(B54,'Base stats'!B:B,'Base stats'!E:E),Groups!A:A,Groups!AI:AI),0.05)</f>
        <v>0.60000000000000009</v>
      </c>
      <c r="AP54" s="8">
        <f>MAX(0.01,MROUND(IF(CA54="True",0.196*(AN54*100*1000)^0.889,IF(_xlfn.XLOOKUP(_xlfn.XLOOKUP(B54,'Base stats'!B:B,'Base stats'!E:E),Groups!A:A,Groups!AJ:AJ)="Bird",10.5*(AN54*100*1000)^0.681,4.82*(AN54*100*1000)^0.734))/(4.82*(1*100*1000)^0.734)/IF(AN54&lt;3.5,2,IF(AN54=3.5,1.5,1.25))*(1+0.132282374779864/(AN54^0.994035016789033+0.00905238001496948)),0.05))</f>
        <v>0.4</v>
      </c>
      <c r="AQ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R54" s="35">
        <f>IFERROR(IF(_xlfn.XLOOKUP(B54,'Base stats'!B:B,'Base stats'!F:F)="Lay eggs","Lay eggs",MIN(20,MAX(5.5,ROUND(((_xlfn.XLOOKUP(B54,'Base stats'!B:B,'Base stats'!F:F)-25)*(14.5/615) + 5.5)*2,0)/2))),"Cannot breed")</f>
        <v>9</v>
      </c>
      <c r="AS54" s="8">
        <f>IF(OR(A54="Queen",A54="Larva",A54="Megachicken"),"No",IFERROR(MAX(IF(_xlfn.XLOOKUP(B54,'Base stats'!B:B,'Base stats'!G:G)&lt;0.5,0.2,0.3),MROUND(_xlfn.XLOOKUP(B54,'Base stats'!B:B,'Base stats'!G:G)/(365/60),0.2)),"Unknown"))</f>
        <v>0.3</v>
      </c>
      <c r="AT54" s="8">
        <f t="shared" si="1"/>
        <v>0.15000000000000002</v>
      </c>
      <c r="AU54" s="8">
        <f>IFERROR(IFERROR(MROUND(_xlfn.XLOOKUP(B54,'Base stats'!B:B,'Base stats'!J:J),0.1),"Lay eggs"),"Cannot breed")</f>
        <v>1</v>
      </c>
      <c r="AV54" s="2" t="str">
        <f t="shared" si="2"/>
        <v>true</v>
      </c>
      <c r="AW54" s="2" t="str">
        <f>IF(_xlfn.XLOOKUP(_xlfn.XLOOKUP(Animals!B54,'Base stats'!B:B,'Base stats'!E:E),Groups!A:A,Groups!AK:AK)=1,"true","false")</f>
        <v>false</v>
      </c>
      <c r="AX54" s="25" t="str">
        <f>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</f>
        <v>VegetarianRoughAnimal</v>
      </c>
      <c r="AY54" s="2">
        <f>IF(_xlfn.XLOOKUP(_xlfn.XLOOKUP(B54,'Base stats'!B:B,'Base stats'!E:E),Groups!A:A,Groups!D:D)=1,MROUND((1-I54)*5+1,2)*IF(I54&lt;=0.4,2,1),"No")</f>
        <v>4</v>
      </c>
      <c r="AZ54" s="2" t="str">
        <f>_xlfn.XLOOKUP(B54,'Base stats'!B:B,'Base stats'!AE:AE)</f>
        <v>Leather_Plain</v>
      </c>
      <c r="BA54" s="23" t="str">
        <f>_xlfn.XLOOKUP(_xlfn.XLOOKUP(B54,'Base stats'!B:B,'Base stats'!E:E),Groups!A:A,Groups!AL:AL)</f>
        <v>QuadrupedAnimalWithHooves</v>
      </c>
      <c r="BB54" s="23">
        <f>MROUND(IF(AND(AN54&lt;0.5,_xlfn.XLOOKUP(B54,'Base stats'!B:B,'Base stats'!Z:Z)=0),0,IF(OR(_xlfn.XLOOKUP(Animals!B54,'Base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stats'!AA:AA),0.005)</f>
        <v>0</v>
      </c>
      <c r="BC54" s="23">
        <f>MROUND(IF(AND(AN54&lt;0.5,_xlfn.XLOOKUP(B54,'Base stats'!B:B,'Base stats'!Z:Z)=0),0,IF(_xlfn.XLOOKUP(_xlfn.XLOOKUP(B54,'Base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stats'!AB:AB),0.005)</f>
        <v>0</v>
      </c>
      <c r="BD54" s="2" t="str">
        <f>IF(I54&gt;0.3,"No",_xlfn.XLOOKUP(_xlfn.XLOOKUP(Animals!B54,'Base stats'!B:B,'Base stats'!E:E),Groups!A:A,Groups!AP:AP))</f>
        <v>No</v>
      </c>
      <c r="BE54" s="2" t="str">
        <f>IF(AND(I54&lt;=0.65,_xlfn.XLOOKUP(_xlfn.XLOOKUP(Animals!B54,'Base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stats'!O:O)=2,0.2,AN54) + 24*(1-IF(BD54="No",0,BD54)) + 16/3, 12),"No")</f>
        <v>No</v>
      </c>
      <c r="BF54" s="2">
        <f>IF(AND(_xlfn.XLOOKUP(_xlfn.XLOOKUP(B54,'Base stats'!B:B,'Base stats'!E:E),Groups!A:A,Groups!AQ:AQ)=1,AN54&lt;=0.35),8,12)</f>
        <v>12</v>
      </c>
      <c r="BG54" s="2" t="str">
        <f>IF(_xlfn.XLOOKUP(_xlfn.XLOOKUP(B54,'Base stats'!B:B,'Base stats'!E:E),Groups!A:A,Groups!D:D)=0,_xlfn.XLOOKUP(_xlfn.XLOOKUP(B54,'Base stats'!B:B,'Base stats'!E:E),Groups!A:A,Groups!AR:AR),"None")</f>
        <v>None</v>
      </c>
      <c r="BH54" s="2" t="str">
        <f>IF(AND(_xlfn.XLOOKUP(_xlfn.XLOOKUP(B54,'Base stats'!B:B,'Base stats'!E:E),Groups!A:A,Groups!AS:AS)=1,OR('Base stats'!Y54="Carnivore",'Base stats'!Y54="Omnivore")),"true","false")</f>
        <v>false</v>
      </c>
      <c r="BI54" s="2" t="str">
        <f>IF(BH54="true",MROUND(IF(AND(AN54&gt;0.5,_xlfn.XLOOKUP(_xlfn.XLOOKUP(B54,'Base stats'!B:B,'Base stats'!E:E),Groups!A:A,Groups!AJ:AJ)="Mammal"),Animals!AN54*1.75*IF(AV54="true",1.5,1),Animals!AN54),IF(AN54&gt;2,0.5,IF(AN54&gt;0.5,0.25,0.1))),"No")</f>
        <v>No</v>
      </c>
      <c r="BJ54" s="2">
        <f t="shared" si="3"/>
        <v>0</v>
      </c>
      <c r="BK54" s="25" t="str">
        <f>IF('Base stats'!AK54="Standard","No",MROUND((_xlfn.XLOOKUP(B54,'Base stats'!B:B,'Base stats'!AK:AK)/3.6)/H54,0.1))</f>
        <v>No</v>
      </c>
      <c r="BL54" s="25" t="str">
        <f t="shared" si="4"/>
        <v>false</v>
      </c>
      <c r="BM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N54" s="25" t="str" cm="1">
        <f t="array" ref="BN54">IF(
  _xlfn.TEXTJOIN(", ",TRUE,
    IF(AND(BH54="true",AN54&gt;0.5,BG54&lt;&gt;"None"),"AttackTarget",""),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IF(BE54&lt;=36,"Comfort",""),
    IF(_xlfn.XLOOKUP(B54,'Base stats'!B:B,'Base stats'!AC:AC)&lt;&gt;"No",_xlfn.XLOOKUP(B54,'Base stats'!B:B,'Base stats'!AC:AC),"")
  ) = "",
  "No",
  _xlfn.TEXTJOIN(", ",TRUE,
    IF(AND(BH54="true",AN54&gt;0.5,BG54&lt;&gt;"None"),"AttackTarget",""),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IF(BE54&lt;=36,"Comfort",""),
    IF(_xlfn.XLOOKUP(B54,'Base stats'!B:B,'Base stats'!AC:AC)&lt;&gt;"No",_xlfn.XLOOKUP(B54,'Base stats'!B:B,'Base stats'!AC:AC),"")
  )
)</f>
        <v>No</v>
      </c>
      <c r="BO54" s="25" t="str">
        <f>IF(
   AND(
      'Base stats'!AK54="Standard",_xlfn.XLOOKUP(_xlfn.XLOOKUP(B54,'Base stats'!B:B,'Base stats'!E:E),Groups!A:A,Groups!AU:AU)=0,
      OR(
      BM54="True"
      )
   ),
   10,
   IF(
       OR(BK54&lt;&gt;"No",_xlfn.XLOOKUP(_xlfn.XLOOKUP(B54,'Base stats'!B:B,'Base stats'!E:E),Groups!A:A,Groups!AU:AU)=1),
      1,
      "No"
   )
)</f>
        <v>No</v>
      </c>
      <c r="BP54" s="9">
        <f>MROUND((1 + ((0.2*IF(OR(P54="No",Q54="No",Q54=0),0,P54/Q54)
+IF(OR(U54="No",R54="No",S54="No"),0,R54/S54*(LEN(U54)-LEN(SUBSTITUTE(U54,",",""))+1))
+IF(OR(W54="No",X54="No"),0,W54/X54)
+IF(OR(AC54="No",AD54="No"),0,AC54/AD54)
+IF(OR(AK54="No",AH54="No",AI54="No"),0,AH54/AI54*(LEN(AK54)-LEN(SUBSTITUTE(AK54,",",""))+1))
)/(0.2*IF(OR(P54="No",Q54="No",Q54=0),0,1)
+IF(OR(U54="No",R54="No",S54="No"),0,LEN(U54)-LEN(SUBSTITUTE(U54,",",""))+1)
+IF(OR(W54="No",X54="No"),0,1)
+IF(OR(AC54="No",AD54="No"),0,1)
+IF(OR(AK54="No",AH54="No",AI54="No"),0,LEN(AK54)-LEN(SUBSTITUTE(AK54,",",""))+1))*62%)* 2)*(1 + (AO54 + _xlfn.XLOOKUP(B54,'Base stats'!B:B,'Base stats'!AS:AS) * 1.8) * 2) * 2.5 + 10 + H54 * 2,5)+IF(_xlfn.XLOOKUP(B54,'Base stats'!B:B,'Base stats'!AH:AH)=1,50,0)</f>
        <v>65</v>
      </c>
      <c r="BQ54" s="8">
        <f t="shared" si="5"/>
        <v>0.45</v>
      </c>
      <c r="BR54" s="8" t="str">
        <f>_xlfn.XLOOKUP(B54,'Base stats'!B:B,'Base stats'!AD:AD)</f>
        <v>5~15</v>
      </c>
      <c r="BS54" s="2" t="str">
        <f>IF(AND(I54&lt;=0.95,OR(_xlfn.XLOOKUP(B54,'Base stats'!B:B,'Base stats'!AH:AH)=1,_xlfn.XLOOKUP(B54,'Base stats'!B:B,'Base stats'!Y:Y)="Carnivore",_xlfn.XLOOKUP(B54,'Base stats'!B:B,'Base stats'!Y:Y)="Omnivore",BC54&gt;0.1)),"true","false")</f>
        <v>false</v>
      </c>
      <c r="BT54" s="2" t="str">
        <f>IF(_xlfn.XLOOKUP(B54,'Base stats'!B:B,'Base stats'!AF:AF)=1,"true","false")</f>
        <v>false</v>
      </c>
      <c r="BU54" s="25" t="str">
        <f>IF(E54="BaseInsect","AnimalInsect",
IF(I54&gt;0.95,"AnimalExotic",
_xlfn.TEXTJOIN(", ",TRUE,
IF(AND(_xlfn.XLOOKUP(B54,'Base stats'!B:B,'Base stats'!O:O)=0,_xlfn.XLOOKUP(_xlfn.XLOOKUP(B54,'Base stats'!B:B,'Base stats'!E:E),Groups!A:A,Groups!B:B)&gt;0),"AnimalUncommon","AnimalCommon"),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stats'!AH:AH)=1,AND(BG54&lt;&gt;"None",BP54&gt;=60),ISNUMBER(SEARCH("Attack target",BN54))),"AnimalFighter","")
)))</f>
        <v>AnimalCommon</v>
      </c>
      <c r="BV54" s="25" t="str">
        <f>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</f>
        <v>AridShrubland Desert Grasslands LavaField</v>
      </c>
      <c r="BW54" s="25" t="str">
        <f>IF(_xlfn.XLOOKUP(B54,'Base stats'!B:B,'Base stats'!AG:AG)=1,"true","false")</f>
        <v>false</v>
      </c>
      <c r="BX54" s="25">
        <f>IF(_xlfn.XLOOKUP(B54,'Base stats'!B:B,'Base stats'!N:N)=1,"No",MIN(MROUND(IF(OR(_xlfn.XLOOKUP(B54,'Base stats'!B:B,'Base stats'!AJ:AJ)=1,AND(BH54="True",CA54="False")),POWER(10,3.47*LOG10(_xlfn.XLOOKUP(B54,'Base stats'!B:B,'Base stats'!C:C)*1000)^-0.96),POWER(10,4.15*LOG10(_xlfn.XLOOKUP(B54,'Base stats'!B:B,'Base stats'!C:C)*1000)^-0.73))*IF(OR(_xlfn.XLOOKUP(B54,'Base stats'!B:B,'Base stats'!AJ:AJ)=1,_xlfn.XLOOKUP(B54,'Base stats'!B:B,'Base stats'!AH:AH)=1),0.5,1)/100,0.025),1))</f>
        <v>0.25</v>
      </c>
      <c r="BY54" s="25" t="str">
        <f>IF(O54="Standard","No",IF(_xlfn.XLOOKUP(B54,'Base stats'!B:B,'Base stats'!N:N)=0,MROUND(BX54*O54,0.05),MIN(1,MAX(0.025,MROUND(IF(OR(CA54="true",AND(BH54="false",BM54="false")),POWER(10,4.15*LOG10(_xlfn.XLOOKUP(B54,'Base stats'!B:B,'Base stats'!C:C)*1000)^-0.73),POWER(10,3.47*LOG10(_xlfn.XLOOKUP(B54,'Base stats'!B:B,'Base stats'!C:C)*1000)^-0.96))*IF(_xlfn.XLOOKUP(B54,'Base stats'!B:B,'Base stats'!AH:AH)=1,0.5,1)/100,0.025)))))</f>
        <v>No</v>
      </c>
      <c r="BZ54" s="25" t="str">
        <f>IF(_xlfn.XLOOKUP(_xlfn.XLOOKUP(B54,'Base stats'!B:B,'Base stats'!E:E),Groups!A:A,Groups!AJ:AJ)="Mammal","True","False")</f>
        <v>True</v>
      </c>
      <c r="CA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B54" s="25" t="str">
        <f t="shared" si="6"/>
        <v>False</v>
      </c>
      <c r="CC54" s="25" t="str">
        <f>IF(_xlfn.XLOOKUP(_xlfn.XLOOKUP(B54,'Base stats'!B:B,'Base stats'!E:E),Groups!A:A,Groups!AW:AW),"True","False")</f>
        <v>False</v>
      </c>
      <c r="CD54" s="25" t="str">
        <f>IF(_xlfn.XLOOKUP(_xlfn.XLOOKUP(B54,'Base stats'!B:B,'Base stats'!E:E),Groups!A:A,Groups!AX:AX),"True","False")</f>
        <v>False</v>
      </c>
      <c r="CE54" s="25" t="str">
        <f>IF(_xlfn.XLOOKUP(B54,'Base stats'!B:B,'Base stats'!E:E)=1,"True","False")</f>
        <v>False</v>
      </c>
      <c r="CF54" s="25" t="str">
        <f>IF(
OR(
_xlfn.XLOOKUP(_xlfn.XLOOKUP(B54,'Base stats'!B:B,'Base stats'!E:E),Groups!A:A,Groups!AY:AY)=0,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stats'!E:E),Groups!A:A,Groups!AY:AY)=1,
"Flesh",
IF(
_xlfn.XLOOKUP(_xlfn.XLOOKUP(B54,'Base stats'!B:B,'Base stats'!E:E),Groups!A:A,Groups!AY:AY)=2,
"Bone",
""
)
)
)</f>
        <v>No</v>
      </c>
      <c r="CG54" s="25" t="str">
        <f>IF(_xlfn.XLOOKUP(_xlfn.XLOOKUP(B54,'Base stats'!B:B,'Base stats'!E:E),Groups!A:A,Groups!BA:BA),"True","False")</f>
        <v>True</v>
      </c>
      <c r="CH54" s="25" t="str">
        <f>IF(_xlfn.XLOOKUP(_xlfn.XLOOKUP(B54,'Base stats'!B:B,'Base stats'!E:E),Groups!A:A,Groups!AZ:AZ),"True","False")</f>
        <v>False</v>
      </c>
    </row>
    <row r="55" spans="1:86" ht="16.5" thickTop="1" thickBot="1" x14ac:dyDescent="0.3">
      <c r="A55" s="26" t="str">
        <f>_xlfn.XLOOKUP(B55,'Base stats'!B:B,'Base stats'!A:A)</f>
        <v>Warg</v>
      </c>
      <c r="B55" s="6" t="s">
        <v>272</v>
      </c>
      <c r="C55" s="28" t="s">
        <v>742</v>
      </c>
      <c r="D55" s="28" t="s">
        <v>45</v>
      </c>
      <c r="E55" s="28" t="s">
        <v>685</v>
      </c>
      <c r="F55" s="28" t="s">
        <v>685</v>
      </c>
      <c r="G55" s="2">
        <f>MROUND((
  (IF(AND(_xlfn.XLOOKUP(B55,'Base stats'!B:B,'Base stats'!AI:AI)=0,BG55="None",_xlfn.XLOOKUP('Base stats'!E55,Groups!A:A,Groups!B:B)=0), (18 + BP55 * 2.7) * 0.5,
    IF(AND(_xlfn.XLOOKUP(B55,'Base stats'!B:B,'Base stats'!AI:AI)=0,OR(AN55&lt;0.55,AND(BG55="Intermediate",_xlfn.XLOOKUP('Base stats'!E55,Groups!A:A,Groups!B:B)&lt;2))), (18 + BP55 * 2.7),
      IF(OR(BG55="Advanced",_xlfn.XLOOKUP(B55,'Base stats'!B:B,'Base stats'!AI:AI)=1,_xlfn.XLOOKUP('Base stats'!E55,Groups!A:A,Groups!B:B)=2), (18 + BP55 * 2.7) + 250, (18 + BP55 * 2.7))
    )
  ))
  + AN55 * 80
  + IF(COUNTIF(EggMilk!K$2:K$998, A55) &gt; 0, 125, 0)
  + IF(COUNTIF(EggMilk!P$2:P$998, A55) &gt; 0, 90, 0)
  + IF(COUNTIF(EggMilk!A$2:A$998, A55) &gt; 0, 90, 0)
)
* (0.8 + 0.4 * I55)
* 0.75,25)</f>
        <v>700</v>
      </c>
      <c r="H55" s="2">
        <f>MROUND(ROUNDDOWN(_xlfn.XLOOKUP(B55,'Base stats'!B:B,'Base stats'!L:L)/3.6/(23.3/11),1),0.5)</f>
        <v>7</v>
      </c>
      <c r="I55" s="2">
        <f>IF(_xlfn.XLOOKUP(B55,'Base stats'!B:B,'Base stats'!AI:AI)=1,0.99,MIN(MROUND((1-0.6282*EXP(-0.459*AN55))*_xlfn.XLOOKUP(_xlfn.XLOOKUP(B55,'Base stats'!B:B,'Base stats'!E:E),Groups!A:A,Groups!C:C)*IF(_xlfn.XLOOKUP(B55,'Base stats'!B:B,'Base stats'!O:O)=1,0.5,IF(_xlfn.XLOOKUP(B55,'Base stats'!B:B,'Base stats'!O:O)=2,0,1)),0.05),0.985))</f>
        <v>0.45</v>
      </c>
      <c r="J55" s="2">
        <f>ROUNDUP(AN55*_xlfn.XLOOKUP(_xlfn.XLOOKUP(B55,'Base stats'!B:B,'Base stats'!E:E),Groups!A:A,Groups!E:E),0)</f>
        <v>2</v>
      </c>
      <c r="K55" s="2">
        <f>IF(OR(_xlfn.XLOOKUP(_xlfn.XLOOKUP(B55,'Base stats'!B:B,'Base stats'!E:E),Groups!A:A,Groups!F:F)=2,ISNUMBER(SEARCH("SeaIce",BV55)),ISNUMBER(SEARCH("IceSheet",BV55))),-50,IF(OR(ISNUMBER(SEARCH("GlacialPlain",BV55)),ISNUMBER(SEARCH("Tundra",BV55))),-40,IF(OR(ISNUMBER(SEARCH("Alpine",BV55)),ISNUMBER(SEARCH("BorealForest",BV55)),ISNUMBER(SEARCH("ColdBog",BV55))),-30,IF(OR(ISNUMBER(SEARCH("TemperateForest",BV55)),ISNUMBER(SEARCH("TemperateSwamp",BV55))),-20,IF(_xlfn.XLOOKUP(_xlfn.XLOOKUP(B55,'Base stats'!B:B,'Base stats'!E:E),Groups!A:A,Groups!F:F)=1,-15,IF(OR(ISNUMBER(SEARCH("Desert",BV55)),ISNUMBER(SEARCH("ExtremeDesert",BV55))),-10,IF(OR(ISNUMBER(SEARCH("Grasslands",BV55)),ISNUMBER(SEARCH("TropicalRainforest",BV55)),ISNUMBER(SEARCH("TropicalSwamp",BV55))),10,0)))))))-IF(CA55="False",MIN(IFERROR(MAX(MROUND(LOG10(_xlfn.XLOOKUP(B55,'Base stats'!B:B,'Base stats'!C:C)^(2/3))*10,5),5),5),30))-_xlfn.XLOOKUP(B55,'Base stats'!B:B,'Base stats'!P:P)+IF(CA55="True",5,0)</f>
        <v>-35</v>
      </c>
      <c r="L55" s="2">
        <f>IF(OR(_xlfn.XLOOKUP(_xlfn.XLOOKUP(B55,'Base stats'!B:B,'Base stats'!E:E),Groups!A:A,Groups!G:G)=2,ISNUMBER(SEARCH("Desert",BV55)),ISNUMBER(SEARCH("ExtremeDesert",BV55)),ISNUMBER(SEARCH("LavaField",BV55))),50,IF(ISNUMBER(SEARCH("Grasslands",BV55)),45,IF(OR(_xlfn.XLOOKUP(_xlfn.XLOOKUP(B55,'Base stats'!B:B,'Base stats'!E:E),Groups!A:A,Groups!G:G)=1,ISNUMBER(SEARCH("TropicalRainforest",BV55)),ISNUMBER(SEARCH("TropicalSwamp",BV55))),40,IF(OR(ISNUMBER(SEARCH("TemperateForest",BV55)),ISNUMBER(SEARCH("TemperateSwamp",BV55))),35,IF(OR(ISNUMBER(SEARCH("Alpine",BV55)),ISNUMBER(SEARCH("BorealForest",BV55)),ISNUMBER(SEARCH("ColdBog",BV55))),30,IF(ISNUMBER(OR(ISNUMBER(SEARCH("GlacialPlain",BV55)),SEARCH("Tundra",BV55))),25,IF(OR(ISNUMBER(SEARCH("SeaIce",BV55)),ISNUMBER(SEARCH("IceSheet",BV55)),ISNUMBER(SEARCH("TropicalSwamp",BV55))),10,35)))))))+_xlfn.XLOOKUP(B55,'Base stats'!B:B,'Base stats'!Q:Q)</f>
        <v>35</v>
      </c>
      <c r="M55" s="8" t="str">
        <f>IF(_xlfn.XLOOKUP(_xlfn.XLOOKUP(B55,'Base stats'!B:B,'Base stats'!E:E),Groups!A:A,Groups!L:L)=1,MIN(MROUND(_xlfn.XLOOKUP(B55,'Animals CE'!B:B,'Animals CE'!Z:Z)/2+0.05,0.05),200%),"No")</f>
        <v>No</v>
      </c>
      <c r="N55" s="8" t="str">
        <f>IF(_xlfn.XLOOKUP(_xlfn.XLOOKUP(B55,'Base stats'!B:B,'Base stats'!E:E),Groups!A:A,Groups!L:L)=1,MIN(MROUND(_xlfn.XLOOKUP(B55,'Animals CE'!B:B,'Animals CE'!AA:AA)/2+0.05,0.05),200%),"No")</f>
        <v>No</v>
      </c>
      <c r="O55" s="2">
        <f>_xlfn.XLOOKUP(B55,'Base stats'!B:B,'Base stats'!R:R)</f>
        <v>0.8</v>
      </c>
      <c r="P55" s="13">
        <f>MROUND((LOG10(_xlfn.XLOOKUP(B55,'Base stats'!B:B,'Base stats'!AO:AO))*(AN55^0.5)+(_xlfn.XLOOKUP(B55,'Base stats'!B:B,'Base stats'!AO:AO)/1000)^(2/3)+_xlfn.XLOOKUP(B55,'Base stats'!B:B,'Base stats'!AX:AX)/2)+0.5,0.5)</f>
        <v>11</v>
      </c>
      <c r="Q55" s="7">
        <f>IF(P55="No","No",MAX(1,MROUND(_xlfn.XLOOKUP(B55,'Base stats'!B:B,'Base stats'!C:C)^0.165,0.05)))</f>
        <v>2.4000000000000004</v>
      </c>
      <c r="R55" s="13" t="str">
        <f>IF(_xlfn.XLOOKUP(_xlfn.XLOOKUP(B55,'Base stats'!B:B,'Base stats'!E:E),Groups!A:A,Groups!P:P)=0,"No",MROUND((LOG10(_xlfn.XLOOKUP(B55,'Base stats'!B:B,'Base stats'!AP:AP))*(AN55^0.5)+(_xlfn.XLOOKUP(B55,'Base stats'!B:B,'Base stats'!AP:AP)/1000)^(2/3)+_xlfn.XLOOKUP(B55,'Base stats'!B:B,'Base stats'!AX:AX))+_xlfn.XLOOKUP(B55,'Base stats'!B:B,'Base stats'!AV:AV)+0.5,0.5))</f>
        <v>No</v>
      </c>
      <c r="S55" s="7" t="str">
        <f>IF(R55="No","No",MAX(_xlfn.XLOOKUP(_xlfn.XLOOKUP(B55,'Base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T55" s="7" t="str">
        <f>IF(R55="No","No",_xlfn.XLOOKUP(_xlfn.XLOOKUP(B55,'Base stats'!B:B,'Base stats'!E:E),Groups!A:A,Groups!R:R))</f>
        <v>No</v>
      </c>
      <c r="U55" s="7" t="str">
        <f>IF(R55="No","No",_xlfn.XLOOKUP(_xlfn.XLOOKUP(B55,'Base stats'!B:B,'Base stats'!E:E),Groups!A:A,Groups!S:S))</f>
        <v>No</v>
      </c>
      <c r="V55" s="7" t="str">
        <f>IF(R55="No","No",_xlfn.XLOOKUP(_xlfn.XLOOKUP(B55,'Base stats'!B:B,'Base stats'!E:E),Groups!A:A,Groups!T:T))</f>
        <v>No</v>
      </c>
      <c r="W55" s="13" t="str">
        <f>IF(_xlfn.XLOOKUP(B55,'Base stats'!B:B,'Base stats'!W:W)="No","No",MROUND((LOG10(_xlfn.XLOOKUP(B55,'Base stats'!B:B,'Base stats'!AR:AR))*(AN55^0.5)+(_xlfn.XLOOKUP(B55,'Base stats'!B:B,'Base stats'!AR:AR)/1000)^(2/3)+_xlfn.XLOOKUP(B55,'Base stats'!B:B,'Base stats'!AW:AW))+0.5+IF(_xlfn.XLOOKUP(_xlfn.XLOOKUP(B55,'Base stats'!B:B,'Base stats'!E:E),Groups!A:A,Groups!U:U)&lt;&gt;3,_xlfn.XLOOKUP(B55,'Base stats'!B:B,'Base stats'!AX:AX),0),0.5))</f>
        <v>No</v>
      </c>
      <c r="X55" s="7" t="str">
        <f>IF(W55="No","No",MAX(_xlfn.XLOOKUP(_xlfn.XLOOKUP(B55,'Base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Y55" s="7" t="str">
        <f>IF(W55="No","No",_xlfn.XLOOKUP(_xlfn.XLOOKUP(B55,'Base stats'!B:B,'Base stats'!E:E),Groups!A:A,Groups!W:W))</f>
        <v>No</v>
      </c>
      <c r="Z55" s="7" t="str">
        <f>IF(W55="No","No",_xlfn.XLOOKUP(_xlfn.XLOOKUP(B55,'Base stats'!B:B,'Base stats'!E:E),Groups!A:A,Groups!X:X))</f>
        <v>No</v>
      </c>
      <c r="AA55" s="7" t="str">
        <f>IF(W55="No","No",_xlfn.XLOOKUP(_xlfn.XLOOKUP(B55,'Base stats'!B:B,'Base stats'!E:E),Groups!A:A,Groups!Y:Y))</f>
        <v>No</v>
      </c>
      <c r="AB55" s="7" t="str">
        <f>_xlfn.XLOOKUP(Animals!B55,'Base stats'!B:B,'Base stats'!X:X)</f>
        <v>False</v>
      </c>
      <c r="AC55" s="13">
        <f>IF(_xlfn.XLOOKUP(B55,'Base stats'!B:B,'Base stats'!AQ:AQ)="No","No",MROUND((LOG10(_xlfn.XLOOKUP(B55,'Base stats'!B:B,'Base stats'!AQ:AQ))*(AN55^0.75)+(_xlfn.XLOOKUP(B55,'Base stats'!B:B,'Base stats'!AQ:AQ)/1000)^(2/3)+_xlfn.XLOOKUP(B55,'Base stats'!B:B,'Base stats'!AU:AU)+_xlfn.XLOOKUP(B55,'Base stats'!B:B,'Base stats'!AX:AX))+0.5,0.5))</f>
        <v>21.5</v>
      </c>
      <c r="AD55" s="7">
        <f>IF(AC55="No","No",MAX(_xlfn.XLOOKUP(_xlfn.XLOOKUP(B55,'Base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E55" s="7" t="str">
        <f>IF(AC55="No","No",_xlfn.XLOOKUP(_xlfn.XLOOKUP(B55,'Base stats'!B:B,'Base stats'!E:E),Groups!A:A,Groups!AA:AA))</f>
        <v>Teeth</v>
      </c>
      <c r="AF55" s="7" t="str">
        <f>IF(AC55="No","No",_xlfn.XLOOKUP(_xlfn.XLOOKUP(B55,'Base stats'!B:B,'Base stats'!E:E),Groups!A:A,Groups!AB:AB))</f>
        <v>canines</v>
      </c>
      <c r="AG55" s="7" t="str">
        <f>IF(AC55="No","No",_xlfn.XLOOKUP(_xlfn.XLOOKUP(B55,'Base stats'!B:B,'Base stats'!E:E),Groups!A:A,Groups!AC:AC))</f>
        <v>Bite</v>
      </c>
      <c r="AH55" s="13" t="str">
        <f>IF(_xlfn.XLOOKUP(_xlfn.XLOOKUP(B55,'Base stats'!B:B,'Base stats'!E:E),Groups!A:A,Groups!AD:AD)=0,"No",MROUND((LOG10(_xlfn.XLOOKUP(B55,'Base stats'!B:B,'Base stats'!AP:AP))*(AN55^0.75)+(_xlfn.XLOOKUP(B55,'Base stats'!B:B,'Base stats'!AP:AP)/1000)^(2/3)+_xlfn.XLOOKUP(B55,'Base stats'!B:B,'Base stats'!AV:AV)+_xlfn.XLOOKUP(B55,'Base stats'!B:B,'Base stats'!AX:AX))+0.5,0.5))</f>
        <v>No</v>
      </c>
      <c r="AI55" s="7" t="str">
        <f>IF(AH55="No","No",MAX(_xlfn.XLOOKUP(_xlfn.XLOOKUP(B55,'Base stats'!B:B,'Base stats'!E:E),Groups!A:A,Groups!AE:AE),MROUND(_xlfn.XLOOKUP(_xlfn.XLOOKUP(B55,'Base stats'!B:B,'Base stats'!E:E),Groups!A:A,Groups!AE:AE)*_xlfn.XLOOKUP(B55,'Base stats'!B:B,'Base stats'!C:C)^0.165,0.05)))</f>
        <v>No</v>
      </c>
      <c r="AJ55" s="7" t="str">
        <f>IF(AH55="No","No",_xlfn.XLOOKUP(_xlfn.XLOOKUP(B55,'Base stats'!B:B,'Base stats'!E:E),Groups!A:A,Groups!AF:AF))</f>
        <v>No</v>
      </c>
      <c r="AK55" s="7" t="str">
        <f>IF(AH55="No","No",_xlfn.XLOOKUP(_xlfn.XLOOKUP(B55,'Base stats'!B:B,'Base stats'!E:E),Groups!A:A,Groups!AG:AG))</f>
        <v>No</v>
      </c>
      <c r="AL55" s="7" t="str">
        <f>IF(AH55="No","No",_xlfn.XLOOKUP(_xlfn.XLOOKUP(B55,'Base stats'!B:B,'Base stats'!E:E),Groups!A:A,Groups!AH:AH))</f>
        <v>No</v>
      </c>
      <c r="AM55" s="2">
        <f t="shared" si="0"/>
        <v>25</v>
      </c>
      <c r="AN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O55" s="8">
        <f>MROUND(AN55*_xlfn.XLOOKUP(_xlfn.XLOOKUP(B55,'Base stats'!B:B,'Base stats'!E:E),Groups!A:A,Groups!AI:AI),0.05)</f>
        <v>2.15</v>
      </c>
      <c r="AP55" s="8">
        <f>MAX(0.01,MROUND(IF(CA55="True",0.196*(AN55*100*1000)^0.889,IF(_xlfn.XLOOKUP(_xlfn.XLOOKUP(B55,'Base stats'!B:B,'Base stats'!E:E),Groups!A:A,Groups!AJ:AJ)="Bird",10.5*(AN55*100*1000)^0.681,4.82*(AN55*100*1000)^0.734))/(4.82*(1*100*1000)^0.734)/IF(AN55&lt;3.5,2,IF(AN55=3.5,1.5,1.25))*(1+0.132282374779864/(AN55^0.994035016789033+0.00905238001496948)),0.05))</f>
        <v>0.85000000000000009</v>
      </c>
      <c r="AQ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R55" s="35">
        <f>IFERROR(IF(_xlfn.XLOOKUP(B55,'Base stats'!B:B,'Base stats'!F:F)="Lay eggs","Lay eggs",MIN(20,MAX(5.5,ROUND(((_xlfn.XLOOKUP(B55,'Base stats'!B:B,'Base stats'!F:F)-25)*(14.5/615) + 5.5)*2,0)/2))),"Cannot breed")</f>
        <v>6.5</v>
      </c>
      <c r="AS55" s="8">
        <f>IF(OR(A55="Queen",A55="Larva",A55="Megachicken"),"No",IFERROR(MAX(IF(_xlfn.XLOOKUP(B55,'Base stats'!B:B,'Base stats'!G:G)&lt;0.5,0.2,0.3),MROUND(_xlfn.XLOOKUP(B55,'Base stats'!B:B,'Base stats'!G:G)/(365/60),0.2)),"Unknown"))</f>
        <v>0.4</v>
      </c>
      <c r="AT55" s="8">
        <f t="shared" si="1"/>
        <v>0.2</v>
      </c>
      <c r="AU55" s="8">
        <f>IFERROR(IFERROR(MROUND(_xlfn.XLOOKUP(B55,'Base stats'!B:B,'Base stats'!J:J),0.1),"Lay eggs"),"Cannot breed")</f>
        <v>4</v>
      </c>
      <c r="AV55" s="2" t="str">
        <f t="shared" si="2"/>
        <v>false</v>
      </c>
      <c r="AW55" s="2" t="str">
        <f>IF(_xlfn.XLOOKUP(_xlfn.XLOOKUP(Animals!B55,'Base stats'!B:B,'Base stats'!E:E),Groups!A:A,Groups!AK:AK)=1,"true","false")</f>
        <v>false</v>
      </c>
      <c r="AX55" s="25" t="str">
        <f>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</f>
        <v>CarnivoreAnimal, OvivoreAnimal</v>
      </c>
      <c r="AY55" s="2" t="str">
        <f>IF(_xlfn.XLOOKUP(_xlfn.XLOOKUP(B55,'Base stats'!B:B,'Base stats'!E:E),Groups!A:A,Groups!D:D)=1,MROUND((1-I55)*5+1,2)*IF(I55&lt;=0.4,2,1),"No")</f>
        <v>No</v>
      </c>
      <c r="AZ55" s="2" t="str">
        <f>_xlfn.XLOOKUP(B55,'Base stats'!B:B,'Base stats'!AE:AE)</f>
        <v>Leather_Wolf</v>
      </c>
      <c r="BA55" s="23" t="str">
        <f>_xlfn.XLOOKUP(_xlfn.XLOOKUP(B55,'Base stats'!B:B,'Base stats'!E:E),Groups!A:A,Groups!AL:AL)</f>
        <v>QuadrupedAnimalWithPawsAndTail</v>
      </c>
      <c r="BB55" s="23">
        <f>MROUND(IF(AND(AN55&lt;0.5,_xlfn.XLOOKUP(B55,'Base stats'!B:B,'Base stats'!Z:Z)=0),0,IF(OR(_xlfn.XLOOKUP(Animals!B55,'Base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stats'!AA:AA),0.005)</f>
        <v>0.05</v>
      </c>
      <c r="BC55" s="23">
        <f>MROUND(IF(AND(AN55&lt;0.5,_xlfn.XLOOKUP(B55,'Base stats'!B:B,'Base stats'!Z:Z)=0),0,IF(_xlfn.XLOOKUP(_xlfn.XLOOKUP(B55,'Base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stats'!AB:AB),0.005)</f>
        <v>0.3</v>
      </c>
      <c r="BD55" s="2" t="str">
        <f>IF(I55&gt;0.3,"No",_xlfn.XLOOKUP(_xlfn.XLOOKUP(Animals!B55,'Base stats'!B:B,'Base stats'!E:E),Groups!A:A,Groups!AP:AP))</f>
        <v>No</v>
      </c>
      <c r="BE55" s="2">
        <f>IF(AND(I55&lt;=0.65,_xlfn.XLOOKUP(_xlfn.XLOOKUP(Animals!B55,'Base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stats'!O:O)=2,0.2,AN55) + 24*(1-IF(BD55="No",0,BD55)) + 16/3, 12),"No")</f>
        <v>72</v>
      </c>
      <c r="BF55" s="2">
        <f>IF(AND(_xlfn.XLOOKUP(_xlfn.XLOOKUP(B55,'Base stats'!B:B,'Base stats'!E:E),Groups!A:A,Groups!AQ:AQ)=1,AN55&lt;=0.35),8,12)</f>
        <v>12</v>
      </c>
      <c r="BG55" s="2" t="str">
        <f>IF(_xlfn.XLOOKUP(_xlfn.XLOOKUP(B55,'Base stats'!B:B,'Base stats'!E:E),Groups!A:A,Groups!D:D)=0,_xlfn.XLOOKUP(_xlfn.XLOOKUP(B55,'Base stats'!B:B,'Base stats'!E:E),Groups!A:A,Groups!AR:AR),"None")</f>
        <v>Advanced</v>
      </c>
      <c r="BH55" s="2" t="str">
        <f>IF(AND(_xlfn.XLOOKUP(_xlfn.XLOOKUP(B55,'Base stats'!B:B,'Base stats'!E:E),Groups!A:A,Groups!AS:AS)=1,OR('Base stats'!Y55="Carnivore",'Base stats'!Y55="Omnivore")),"true","false")</f>
        <v>true</v>
      </c>
      <c r="BI55" s="2">
        <f>IF(BH55="true",MROUND(IF(AND(AN55&gt;0.5,_xlfn.XLOOKUP(_xlfn.XLOOKUP(B55,'Base stats'!B:B,'Base stats'!E:E),Groups!A:A,Groups!AJ:AJ)="Mammal"),Animals!AN55*1.75*IF(AV55="true",1.5,1),Animals!AN55),IF(AN55&gt;2,0.5,IF(AN55&gt;0.5,0.25,0.1))),"No")</f>
        <v>3.25</v>
      </c>
      <c r="BJ55" s="2">
        <f t="shared" si="3"/>
        <v>1</v>
      </c>
      <c r="BK55" s="25" t="str">
        <f>IF('Base stats'!AK55="Standard","No",MROUND((_xlfn.XLOOKUP(B55,'Base stats'!B:B,'Base stats'!AK:AK)/3.6)/H55,0.1))</f>
        <v>No</v>
      </c>
      <c r="BL55" s="25" t="str">
        <f t="shared" si="4"/>
        <v>false</v>
      </c>
      <c r="BM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N55" s="25" t="str" cm="1">
        <f t="array" ref="BN55">IF(
  _xlfn.TEXTJOIN(", ",TRUE,
    IF(AND(BH55="true",AN55&gt;0.5,BG55&lt;&gt;"None"),"AttackTarget",""),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IF(BE55&lt;=36,"Comfort",""),
    IF(_xlfn.XLOOKUP(B55,'Base stats'!B:B,'Base stats'!AC:AC)&lt;&gt;"No",_xlfn.XLOOKUP(B55,'Base stats'!B:B,'Base stats'!AC:AC),"")
  ) = "",
  "No",
  _xlfn.TEXTJOIN(", ",TRUE,
    IF(AND(BH55="true",AN55&gt;0.5,BG55&lt;&gt;"None"),"AttackTarget",""),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IF(BE55&lt;=36,"Comfort",""),
    IF(_xlfn.XLOOKUP(B55,'Base stats'!B:B,'Base stats'!AC:AC)&lt;&gt;"No",_xlfn.XLOOKUP(B55,'Base stats'!B:B,'Base stats'!AC:AC),"")
  )
)</f>
        <v>AttackTarget</v>
      </c>
      <c r="BO55" s="25" t="str">
        <f>IF(
   AND(
      'Base stats'!AK55="Standard",_xlfn.XLOOKUP(_xlfn.XLOOKUP(B55,'Base stats'!B:B,'Base stats'!E:E),Groups!A:A,Groups!AU:AU)=0,
      OR(
      BM55="True"
      )
   ),
   10,
   IF(
       OR(BK55&lt;&gt;"No",_xlfn.XLOOKUP(_xlfn.XLOOKUP(B55,'Base stats'!B:B,'Base stats'!E:E),Groups!A:A,Groups!AU:AU)=1),
      1,
      "No"
   )
)</f>
        <v>No</v>
      </c>
      <c r="BP55" s="9">
        <f>MROUND((1 + ((0.2*IF(OR(P55="No",Q55="No",Q55=0),0,P55/Q55)
+IF(OR(U55="No",R55="No",S55="No"),0,R55/S55*(LEN(U55)-LEN(SUBSTITUTE(U55,",",""))+1))
+IF(OR(W55="No",X55="No"),0,W55/X55)
+IF(OR(AC55="No",AD55="No"),0,AC55/AD55)
+IF(OR(AK55="No",AH55="No",AI55="No"),0,AH55/AI55*(LEN(AK55)-LEN(SUBSTITUTE(AK55,",",""))+1))
)/(0.2*IF(OR(P55="No",Q55="No",Q55=0),0,1)
+IF(OR(U55="No",R55="No",S55="No"),0,LEN(U55)-LEN(SUBSTITUTE(U55,",",""))+1)
+IF(OR(W55="No",X55="No"),0,1)
+IF(OR(AC55="No",AD55="No"),0,1)
+IF(OR(AK55="No",AH55="No",AI55="No"),0,LEN(AK55)-LEN(SUBSTITUTE(AK55,",",""))+1))*62%)* 2)*(1 + (AO55 + _xlfn.XLOOKUP(B55,'Base stats'!B:B,'Base stats'!AS:AS) * 1.8) * 2) * 2.5 + 10 + H55 * 2,5)+IF(_xlfn.XLOOKUP(B55,'Base stats'!B:B,'Base stats'!AH:AH)=1,50,0)</f>
        <v>205</v>
      </c>
      <c r="BQ55" s="8">
        <f t="shared" si="5"/>
        <v>1.05</v>
      </c>
      <c r="BR55" s="8" t="str">
        <f>_xlfn.XLOOKUP(B55,'Base stats'!B:B,'Base stats'!AD:AD)</f>
        <v>No</v>
      </c>
      <c r="BS55" s="2" t="str">
        <f>IF(AND(I55&lt;=0.95,OR(_xlfn.XLOOKUP(B55,'Base stats'!B:B,'Base stats'!AH:AH)=1,_xlfn.XLOOKUP(B55,'Base stats'!B:B,'Base stats'!Y:Y)="Carnivore",_xlfn.XLOOKUP(B55,'Base stats'!B:B,'Base stats'!Y:Y)="Omnivore",BC55&gt;0.1)),"true","false")</f>
        <v>true</v>
      </c>
      <c r="BT55" s="2" t="str">
        <f>IF(_xlfn.XLOOKUP(B55,'Base stats'!B:B,'Base stats'!AF:AF)=1,"true","false")</f>
        <v>false</v>
      </c>
      <c r="BU55" s="25" t="str">
        <f>IF(E55="BaseInsect","AnimalInsect",
IF(I55&gt;0.95,"AnimalExotic",
_xlfn.TEXTJOIN(", ",TRUE,
IF(AND(_xlfn.XLOOKUP(B55,'Base stats'!B:B,'Base stats'!O:O)=0,_xlfn.XLOOKUP(_xlfn.XLOOKUP(B55,'Base stats'!B:B,'Base stats'!E:E),Groups!A:A,Groups!B:B)&gt;0),"AnimalUncommon","AnimalCommon"),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stats'!AH:AH)=1,AND(BG55&lt;&gt;"None",BP55&gt;=60),ISNUMBER(SEARCH("Attack target",BN55))),"AnimalFighter","")
)))</f>
        <v>AnimalCommon, AnimalFighter</v>
      </c>
      <c r="BV55" s="25" t="str">
        <f>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</f>
        <v>TemperateForest TemperateSwamp Scarlands</v>
      </c>
      <c r="BW55" s="25" t="str">
        <f>IF(_xlfn.XLOOKUP(B55,'Base stats'!B:B,'Base stats'!AG:AG)=1,"true","false")</f>
        <v>false</v>
      </c>
      <c r="BX55" s="25">
        <f>IF(_xlfn.XLOOKUP(B55,'Base stats'!B:B,'Base stats'!N:N)=1,"No",MIN(MROUND(IF(OR(_xlfn.XLOOKUP(B55,'Base stats'!B:B,'Base stats'!AJ:AJ)=1,AND(BH55="True",CA55="False")),POWER(10,3.47*LOG10(_xlfn.XLOOKUP(B55,'Base stats'!B:B,'Base stats'!C:C)*1000)^-0.96),POWER(10,4.15*LOG10(_xlfn.XLOOKUP(B55,'Base stats'!B:B,'Base stats'!C:C)*1000)^-0.73))*IF(OR(_xlfn.XLOOKUP(B55,'Base stats'!B:B,'Base stats'!AJ:AJ)=1,_xlfn.XLOOKUP(B55,'Base stats'!B:B,'Base stats'!AH:AH)=1),0.5,1)/100,0.025),1))</f>
        <v>0.05</v>
      </c>
      <c r="BY55" s="25">
        <f>IF(O55="Standard","No",IF(_xlfn.XLOOKUP(B55,'Base stats'!B:B,'Base stats'!N:N)=0,MROUND(BX55*O55,0.05),MIN(1,MAX(0.025,MROUND(IF(OR(CA55="true",AND(BH55="false",BM55="false")),POWER(10,4.15*LOG10(_xlfn.XLOOKUP(B55,'Base stats'!B:B,'Base stats'!C:C)*1000)^-0.73),POWER(10,3.47*LOG10(_xlfn.XLOOKUP(B55,'Base stats'!B:B,'Base stats'!C:C)*1000)^-0.96))*IF(_xlfn.XLOOKUP(B55,'Base stats'!B:B,'Base stats'!AH:AH)=1,0.5,1)/100,0.025)))))</f>
        <v>0.05</v>
      </c>
      <c r="BZ55" s="25" t="str">
        <f>IF(_xlfn.XLOOKUP(_xlfn.XLOOKUP(B55,'Base stats'!B:B,'Base stats'!E:E),Groups!A:A,Groups!AJ:AJ)="Mammal","True","False")</f>
        <v>True</v>
      </c>
      <c r="CA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B55" s="25" t="str">
        <f t="shared" si="6"/>
        <v>False</v>
      </c>
      <c r="CC55" s="25" t="str">
        <f>IF(_xlfn.XLOOKUP(_xlfn.XLOOKUP(B55,'Base stats'!B:B,'Base stats'!E:E),Groups!A:A,Groups!AW:AW),"True","False")</f>
        <v>False</v>
      </c>
      <c r="CD55" s="25" t="str">
        <f>IF(_xlfn.XLOOKUP(_xlfn.XLOOKUP(B55,'Base stats'!B:B,'Base stats'!E:E),Groups!A:A,Groups!AX:AX),"True","False")</f>
        <v>False</v>
      </c>
      <c r="CE55" s="25" t="str">
        <f>IF(_xlfn.XLOOKUP(B55,'Base stats'!B:B,'Base stats'!E:E)=1,"True","False")</f>
        <v>False</v>
      </c>
      <c r="CF55" s="25" t="str">
        <f>IF(
OR(
_xlfn.XLOOKUP(_xlfn.XLOOKUP(B55,'Base stats'!B:B,'Base stats'!E:E),Groups!A:A,Groups!AY:AY)=0,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stats'!E:E),Groups!A:A,Groups!AY:AY)=1,
"Flesh",
IF(
_xlfn.XLOOKUP(_xlfn.XLOOKUP(B55,'Base stats'!B:B,'Base stats'!E:E),Groups!A:A,Groups!AY:AY)=2,
"Bone",
""
)
)
)</f>
        <v>No</v>
      </c>
      <c r="CG55" s="25" t="str">
        <f>IF(_xlfn.XLOOKUP(_xlfn.XLOOKUP(B55,'Base stats'!B:B,'Base stats'!E:E),Groups!A:A,Groups!BA:BA),"True","False")</f>
        <v>True</v>
      </c>
      <c r="CH55" s="25" t="str">
        <f>IF(_xlfn.XLOOKUP(_xlfn.XLOOKUP(B55,'Base stats'!B:B,'Base stats'!E:E),Groups!A:A,Groups!AZ:AZ),"True","False")</f>
        <v>False</v>
      </c>
    </row>
    <row r="56" spans="1:86" s="16" customFormat="1" ht="16.5" thickTop="1" thickBot="1" x14ac:dyDescent="0.3">
      <c r="A56" s="26" t="str">
        <f>_xlfn.XLOOKUP(B56,'Base stats'!B:B,'Base stats'!A:A)</f>
        <v>Wolf</v>
      </c>
      <c r="B56" s="6" t="s">
        <v>893</v>
      </c>
      <c r="C56" s="28" t="s">
        <v>743</v>
      </c>
      <c r="D56" s="28" t="s">
        <v>45</v>
      </c>
      <c r="E56" s="28" t="s">
        <v>744</v>
      </c>
      <c r="F56" s="28" t="s">
        <v>745</v>
      </c>
      <c r="G56" s="2">
        <f>MROUND((
  (IF(AND(_xlfn.XLOOKUP(B56,'Base stats'!B:B,'Base stats'!AI:AI)=0,BG56="None",_xlfn.XLOOKUP('Base stats'!E56,Groups!A:A,Groups!B:B)=0), (18 + BP56 * 2.7) * 0.5,
    IF(AND(_xlfn.XLOOKUP(B56,'Base stats'!B:B,'Base stats'!AI:AI)=0,OR(AN56&lt;0.55,AND(BG56="Intermediate",_xlfn.XLOOKUP('Base stats'!E56,Groups!A:A,Groups!B:B)&lt;2))), (18 + BP56 * 2.7),
      IF(OR(BG56="Advanced",_xlfn.XLOOKUP(B56,'Base stats'!B:B,'Base stats'!AI:AI)=1,_xlfn.XLOOKUP('Base stats'!E56,Groups!A:A,Groups!B:B)=2), (18 + BP56 * 2.7) + 250, (18 + BP56 * 2.7))
    )
  ))
  + AN56 * 80
  + IF(COUNTIF(EggMilk!K$2:K$998, A56) &gt; 0, 125, 0)
  + IF(COUNTIF(EggMilk!P$2:P$998, A56) &gt; 0, 90, 0)
  + IF(COUNTIF(EggMilk!A$2:A$998, A56) &gt; 0, 90, 0)
)
* (0.8 + 0.4 * I56)
* 0.75,25)</f>
        <v>500</v>
      </c>
      <c r="H56" s="2">
        <f>MROUND(ROUNDDOWN(_xlfn.XLOOKUP(B56,'Base stats'!B:B,'Base stats'!L:L)/3.6/(23.3/11),1),0.5)</f>
        <v>8.5</v>
      </c>
      <c r="I56" s="2">
        <f>IF(_xlfn.XLOOKUP(B56,'Base stats'!B:B,'Base stats'!AI:AI)=1,0.99,MIN(MROUND((1-0.6282*EXP(-0.459*AN56))*_xlfn.XLOOKUP(_xlfn.XLOOKUP(B56,'Base stats'!B:B,'Base stats'!E:E),Groups!A:A,Groups!C:C)*IF(_xlfn.XLOOKUP(B56,'Base stats'!B:B,'Base stats'!O:O)=1,0.5,IF(_xlfn.XLOOKUP(B56,'Base stats'!B:B,'Base stats'!O:O)=2,0,1)),0.05),0.985))</f>
        <v>0.70000000000000007</v>
      </c>
      <c r="J56" s="2">
        <f>ROUNDUP(AN56*_xlfn.XLOOKUP(_xlfn.XLOOKUP(B56,'Base stats'!B:B,'Base stats'!E:E),Groups!A:A,Groups!E:E),0)</f>
        <v>1</v>
      </c>
      <c r="K56" s="2">
        <f>IF(OR(_xlfn.XLOOKUP(_xlfn.XLOOKUP(B56,'Base stats'!B:B,'Base stats'!E:E),Groups!A:A,Groups!F:F)=2,ISNUMBER(SEARCH("SeaIce",BV56)),ISNUMBER(SEARCH("IceSheet",BV56))),-50,IF(OR(ISNUMBER(SEARCH("GlacialPlain",BV56)),ISNUMBER(SEARCH("Tundra",BV56))),-40,IF(OR(ISNUMBER(SEARCH("Alpine",BV56)),ISNUMBER(SEARCH("BorealForest",BV56)),ISNUMBER(SEARCH("ColdBog",BV56))),-30,IF(OR(ISNUMBER(SEARCH("TemperateForest",BV56)),ISNUMBER(SEARCH("TemperateSwamp",BV56))),-20,IF(_xlfn.XLOOKUP(_xlfn.XLOOKUP(B56,'Base stats'!B:B,'Base stats'!E:E),Groups!A:A,Groups!F:F)=1,-15,IF(OR(ISNUMBER(SEARCH("Desert",BV56)),ISNUMBER(SEARCH("ExtremeDesert",BV56))),-10,IF(OR(ISNUMBER(SEARCH("Grasslands",BV56)),ISNUMBER(SEARCH("TropicalRainforest",BV56)),ISNUMBER(SEARCH("TropicalSwamp",BV56))),10,0)))))))-IF(CA56="False",MIN(IFERROR(MAX(MROUND(LOG10(_xlfn.XLOOKUP(B56,'Base stats'!B:B,'Base stats'!C:C)^(2/3))*10,5),5),5),30))-_xlfn.XLOOKUP(B56,'Base stats'!B:B,'Base stats'!P:P)+IF(CA56="True",5,0)</f>
        <v>-50</v>
      </c>
      <c r="L56" s="2">
        <f>IF(OR(_xlfn.XLOOKUP(_xlfn.XLOOKUP(B56,'Base stats'!B:B,'Base stats'!E:E),Groups!A:A,Groups!G:G)=2,ISNUMBER(SEARCH("Desert",BV56)),ISNUMBER(SEARCH("ExtremeDesert",BV56)),ISNUMBER(SEARCH("LavaField",BV56))),50,IF(ISNUMBER(SEARCH("Grasslands",BV56)),45,IF(OR(_xlfn.XLOOKUP(_xlfn.XLOOKUP(B56,'Base stats'!B:B,'Base stats'!E:E),Groups!A:A,Groups!G:G)=1,ISNUMBER(SEARCH("TropicalRainforest",BV56)),ISNUMBER(SEARCH("TropicalSwamp",BV56))),40,IF(OR(ISNUMBER(SEARCH("TemperateForest",BV56)),ISNUMBER(SEARCH("TemperateSwamp",BV56))),35,IF(OR(ISNUMBER(SEARCH("Alpine",BV56)),ISNUMBER(SEARCH("BorealForest",BV56)),ISNUMBER(SEARCH("ColdBog",BV56))),30,IF(ISNUMBER(OR(ISNUMBER(SEARCH("GlacialPlain",BV56)),SEARCH("Tundra",BV56))),25,IF(OR(ISNUMBER(SEARCH("SeaIce",BV56)),ISNUMBER(SEARCH("IceSheet",BV56)),ISNUMBER(SEARCH("TropicalSwamp",BV56))),10,35)))))))+_xlfn.XLOOKUP(B56,'Base stats'!B:B,'Base stats'!Q:Q)</f>
        <v>35</v>
      </c>
      <c r="M56" s="8" t="str">
        <f>IF(_xlfn.XLOOKUP(_xlfn.XLOOKUP(B56,'Base stats'!B:B,'Base stats'!E:E),Groups!A:A,Groups!L:L)=1,MIN(MROUND(_xlfn.XLOOKUP(B56,'Animals CE'!B:B,'Animals CE'!Z:Z)/2+0.05,0.05),200%),"No")</f>
        <v>No</v>
      </c>
      <c r="N56" s="8" t="str">
        <f>IF(_xlfn.XLOOKUP(_xlfn.XLOOKUP(B56,'Base stats'!B:B,'Base stats'!E:E),Groups!A:A,Groups!L:L)=1,MIN(MROUND(_xlfn.XLOOKUP(B56,'Animals CE'!B:B,'Animals CE'!AA:AA)/2+0.05,0.05),200%),"No")</f>
        <v>No</v>
      </c>
      <c r="O56" s="2" t="str">
        <f>_xlfn.XLOOKUP(B56,'Base stats'!B:B,'Base stats'!R:R)</f>
        <v>Standard</v>
      </c>
      <c r="P56" s="13">
        <f>MROUND((LOG10(_xlfn.XLOOKUP(B56,'Base stats'!B:B,'Base stats'!AO:AO))*(AN56^0.5)+(_xlfn.XLOOKUP(B56,'Base stats'!B:B,'Base stats'!AO:AO)/1000)^(2/3)+_xlfn.XLOOKUP(B56,'Base stats'!B:B,'Base stats'!AX:AX)/2)+0.5,0.5)</f>
        <v>6</v>
      </c>
      <c r="Q56" s="7">
        <f>IF(P56="No","No",MAX(1,MROUND(_xlfn.XLOOKUP(B56,'Base stats'!B:B,'Base stats'!C:C)^0.165,0.05)))</f>
        <v>1.85</v>
      </c>
      <c r="R56" s="13" t="str">
        <f>IF(_xlfn.XLOOKUP(_xlfn.XLOOKUP(B56,'Base stats'!B:B,'Base stats'!E:E),Groups!A:A,Groups!P:P)=0,"No",MROUND((LOG10(_xlfn.XLOOKUP(B56,'Base stats'!B:B,'Base stats'!AP:AP))*(AN56^0.5)+(_xlfn.XLOOKUP(B56,'Base stats'!B:B,'Base stats'!AP:AP)/1000)^(2/3)+_xlfn.XLOOKUP(B56,'Base stats'!B:B,'Base stats'!AX:AX))+_xlfn.XLOOKUP(B56,'Base stats'!B:B,'Base stats'!AV:AV)+0.5,0.5))</f>
        <v>No</v>
      </c>
      <c r="S56" s="7" t="str">
        <f>IF(R56="No","No",MAX(_xlfn.XLOOKUP(_xlfn.XLOOKUP(B56,'Base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T56" s="7" t="str">
        <f>IF(R56="No","No",_xlfn.XLOOKUP(_xlfn.XLOOKUP(B56,'Base stats'!B:B,'Base stats'!E:E),Groups!A:A,Groups!R:R))</f>
        <v>No</v>
      </c>
      <c r="U56" s="7" t="str">
        <f>IF(R56="No","No",_xlfn.XLOOKUP(_xlfn.XLOOKUP(B56,'Base stats'!B:B,'Base stats'!E:E),Groups!A:A,Groups!S:S))</f>
        <v>No</v>
      </c>
      <c r="V56" s="7" t="str">
        <f>IF(R56="No","No",_xlfn.XLOOKUP(_xlfn.XLOOKUP(B56,'Base stats'!B:B,'Base stats'!E:E),Groups!A:A,Groups!T:T))</f>
        <v>No</v>
      </c>
      <c r="W56" s="13" t="str">
        <f>IF(_xlfn.XLOOKUP(B56,'Base stats'!B:B,'Base stats'!W:W)="No","No",MROUND((LOG10(_xlfn.XLOOKUP(B56,'Base stats'!B:B,'Base stats'!AR:AR))*(AN56^0.5)+(_xlfn.XLOOKUP(B56,'Base stats'!B:B,'Base stats'!AR:AR)/1000)^(2/3)+_xlfn.XLOOKUP(B56,'Base stats'!B:B,'Base stats'!AW:AW))+0.5+IF(_xlfn.XLOOKUP(_xlfn.XLOOKUP(B56,'Base stats'!B:B,'Base stats'!E:E),Groups!A:A,Groups!U:U)&lt;&gt;3,_xlfn.XLOOKUP(B56,'Base stats'!B:B,'Base stats'!AX:AX),0),0.5))</f>
        <v>No</v>
      </c>
      <c r="X56" s="7" t="str">
        <f>IF(W56="No","No",MAX(_xlfn.XLOOKUP(_xlfn.XLOOKUP(B56,'Base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Y56" s="7" t="str">
        <f>IF(W56="No","No",_xlfn.XLOOKUP(_xlfn.XLOOKUP(B56,'Base stats'!B:B,'Base stats'!E:E),Groups!A:A,Groups!W:W))</f>
        <v>No</v>
      </c>
      <c r="Z56" s="7" t="str">
        <f>IF(W56="No","No",_xlfn.XLOOKUP(_xlfn.XLOOKUP(B56,'Base stats'!B:B,'Base stats'!E:E),Groups!A:A,Groups!X:X))</f>
        <v>No</v>
      </c>
      <c r="AA56" s="7" t="str">
        <f>IF(W56="No","No",_xlfn.XLOOKUP(_xlfn.XLOOKUP(B56,'Base stats'!B:B,'Base stats'!E:E),Groups!A:A,Groups!Y:Y))</f>
        <v>No</v>
      </c>
      <c r="AB56" s="7" t="str">
        <f>_xlfn.XLOOKUP(Animals!B56,'Base stats'!B:B,'Base stats'!X:X)</f>
        <v>False</v>
      </c>
      <c r="AC56" s="13">
        <f>IF(_xlfn.XLOOKUP(B56,'Base stats'!B:B,'Base stats'!AQ:AQ)="No","No",MROUND((LOG10(_xlfn.XLOOKUP(B56,'Base stats'!B:B,'Base stats'!AQ:AQ))*(AN56^0.75)+(_xlfn.XLOOKUP(B56,'Base stats'!B:B,'Base stats'!AQ:AQ)/1000)^(2/3)+_xlfn.XLOOKUP(B56,'Base stats'!B:B,'Base stats'!AU:AU)+_xlfn.XLOOKUP(B56,'Base stats'!B:B,'Base stats'!AX:AX))+0.5,0.5))</f>
        <v>11.5</v>
      </c>
      <c r="AD56" s="7">
        <f>IF(AC56="No","No",MAX(_xlfn.XLOOKUP(_xlfn.XLOOKUP(B56,'Base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E56" s="7" t="str">
        <f>IF(AC56="No","No",_xlfn.XLOOKUP(_xlfn.XLOOKUP(B56,'Base stats'!B:B,'Base stats'!E:E),Groups!A:A,Groups!AA:AA))</f>
        <v>Teeth</v>
      </c>
      <c r="AF56" s="7" t="str">
        <f>IF(AC56="No","No",_xlfn.XLOOKUP(_xlfn.XLOOKUP(B56,'Base stats'!B:B,'Base stats'!E:E),Groups!A:A,Groups!AB:AB))</f>
        <v>canines</v>
      </c>
      <c r="AG56" s="7" t="str">
        <f>IF(AC56="No","No",_xlfn.XLOOKUP(_xlfn.XLOOKUP(B56,'Base stats'!B:B,'Base stats'!E:E),Groups!A:A,Groups!AC:AC))</f>
        <v>Bite</v>
      </c>
      <c r="AH56" s="13" t="str">
        <f>IF(_xlfn.XLOOKUP(_xlfn.XLOOKUP(B56,'Base stats'!B:B,'Base stats'!E:E),Groups!A:A,Groups!AD:AD)=0,"No",MROUND((LOG10(_xlfn.XLOOKUP(B56,'Base stats'!B:B,'Base stats'!AP:AP))*(AN56^0.75)+(_xlfn.XLOOKUP(B56,'Base stats'!B:B,'Base stats'!AP:AP)/1000)^(2/3)+_xlfn.XLOOKUP(B56,'Base stats'!B:B,'Base stats'!AV:AV)+_xlfn.XLOOKUP(B56,'Base stats'!B:B,'Base stats'!AX:AX))+0.5,0.5))</f>
        <v>No</v>
      </c>
      <c r="AI56" s="7" t="str">
        <f>IF(AH56="No","No",MAX(_xlfn.XLOOKUP(_xlfn.XLOOKUP(B56,'Base stats'!B:B,'Base stats'!E:E),Groups!A:A,Groups!AE:AE),MROUND(_xlfn.XLOOKUP(_xlfn.XLOOKUP(B56,'Base stats'!B:B,'Base stats'!E:E),Groups!A:A,Groups!AE:AE)*_xlfn.XLOOKUP(B56,'Base stats'!B:B,'Base stats'!C:C)^0.165,0.05)))</f>
        <v>No</v>
      </c>
      <c r="AJ56" s="7" t="str">
        <f>IF(AH56="No","No",_xlfn.XLOOKUP(_xlfn.XLOOKUP(B56,'Base stats'!B:B,'Base stats'!E:E),Groups!A:A,Groups!AF:AF))</f>
        <v>No</v>
      </c>
      <c r="AK56" s="7" t="str">
        <f>IF(AH56="No","No",_xlfn.XLOOKUP(_xlfn.XLOOKUP(B56,'Base stats'!B:B,'Base stats'!E:E),Groups!A:A,Groups!AG:AG))</f>
        <v>No</v>
      </c>
      <c r="AL56" s="7" t="str">
        <f>IF(AH56="No","No",_xlfn.XLOOKUP(_xlfn.XLOOKUP(B56,'Base stats'!B:B,'Base stats'!E:E),Groups!A:A,Groups!AH:AH))</f>
        <v>No</v>
      </c>
      <c r="AM56" s="2">
        <f t="shared" si="0"/>
        <v>20</v>
      </c>
      <c r="AN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O56" s="8">
        <f>MROUND(AN56*_xlfn.XLOOKUP(_xlfn.XLOOKUP(B56,'Base stats'!B:B,'Base stats'!E:E),Groups!A:A,Groups!AI:AI),0.05)</f>
        <v>0.95000000000000007</v>
      </c>
      <c r="AP56" s="8">
        <f>MAX(0.01,MROUND(IF(CA56="True",0.196*(AN56*100*1000)^0.889,IF(_xlfn.XLOOKUP(_xlfn.XLOOKUP(B56,'Base stats'!B:B,'Base stats'!E:E),Groups!A:A,Groups!AJ:AJ)="Bird",10.5*(AN56*100*1000)^0.681,4.82*(AN56*100*1000)^0.734))/(4.82*(1*100*1000)^0.734)/IF(AN56&lt;3.5,2,IF(AN56=3.5,1.5,1.25))*(1+0.132282374779864/(AN56^0.994035016789033+0.00905238001496948)),0.05))</f>
        <v>0.5</v>
      </c>
      <c r="AQ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R56" s="35">
        <f>IFERROR(IF(_xlfn.XLOOKUP(B56,'Base stats'!B:B,'Base stats'!F:F)="Lay eggs","Lay eggs",MIN(20,MAX(5.5,ROUND(((_xlfn.XLOOKUP(B56,'Base stats'!B:B,'Base stats'!F:F)-25)*(14.5/615) + 5.5)*2,0)/2))),"Cannot breed")</f>
        <v>6.5</v>
      </c>
      <c r="AS56" s="8">
        <f>IF(OR(A56="Queen",A56="Larva",A56="Megachicken"),"No",IFERROR(MAX(IF(_xlfn.XLOOKUP(B56,'Base stats'!B:B,'Base stats'!G:G)&lt;0.5,0.2,0.3),MROUND(_xlfn.XLOOKUP(B56,'Base stats'!B:B,'Base stats'!G:G)/(365/60),0.2)),"Unknown"))</f>
        <v>0.4</v>
      </c>
      <c r="AT56" s="8">
        <f t="shared" si="1"/>
        <v>0.2</v>
      </c>
      <c r="AU56" s="8">
        <f>IFERROR(IFERROR(MROUND(_xlfn.XLOOKUP(B56,'Base stats'!B:B,'Base stats'!J:J),0.1),"Lay eggs"),"Cannot breed")</f>
        <v>6</v>
      </c>
      <c r="AV56" s="2" t="str">
        <f t="shared" si="2"/>
        <v>true</v>
      </c>
      <c r="AW56" s="2" t="str">
        <f>IF(_xlfn.XLOOKUP(_xlfn.XLOOKUP(Animals!B56,'Base stats'!B:B,'Base stats'!E:E),Groups!A:A,Groups!AK:AK)=1,"true","false")</f>
        <v>false</v>
      </c>
      <c r="AX56" s="25" t="str">
        <f>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</f>
        <v>CarnivoreAnimal, OvivoreAnimal</v>
      </c>
      <c r="AY56" s="2" t="str">
        <f>IF(_xlfn.XLOOKUP(_xlfn.XLOOKUP(B56,'Base stats'!B:B,'Base stats'!E:E),Groups!A:A,Groups!D:D)=1,MROUND((1-I56)*5+1,2)*IF(I56&lt;=0.4,2,1),"No")</f>
        <v>No</v>
      </c>
      <c r="AZ56" s="2" t="str">
        <f>_xlfn.XLOOKUP(B56,'Base stats'!B:B,'Base stats'!AE:AE)</f>
        <v>Leather_Wolf</v>
      </c>
      <c r="BA56" s="23" t="str">
        <f>_xlfn.XLOOKUP(_xlfn.XLOOKUP(B56,'Base stats'!B:B,'Base stats'!E:E),Groups!A:A,Groups!AL:AL)</f>
        <v>QuadrupedAnimalWithPawsAndTail</v>
      </c>
      <c r="BB56" s="23">
        <f>MROUND(IF(AND(AN56&lt;0.5,_xlfn.XLOOKUP(B56,'Base stats'!B:B,'Base stats'!Z:Z)=0),0,IF(OR(_xlfn.XLOOKUP(Animals!B56,'Base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stats'!AA:AA),0.005)</f>
        <v>0.1</v>
      </c>
      <c r="BC56" s="23">
        <f>MROUND(IF(AND(AN56&lt;0.5,_xlfn.XLOOKUP(B56,'Base stats'!B:B,'Base stats'!Z:Z)=0),0,IF(_xlfn.XLOOKUP(_xlfn.XLOOKUP(B56,'Base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stats'!AB:AB),0.005)</f>
        <v>0.3</v>
      </c>
      <c r="BD56" s="2" t="str">
        <f>IF(I56&gt;0.3,"No",_xlfn.XLOOKUP(_xlfn.XLOOKUP(Animals!B56,'Base stats'!B:B,'Base stats'!E:E),Groups!A:A,Groups!AP:AP))</f>
        <v>No</v>
      </c>
      <c r="BE56" s="2" t="str">
        <f>IF(AND(I56&lt;=0.65,_xlfn.XLOOKUP(_xlfn.XLOOKUP(Animals!B56,'Base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stats'!O:O)=2,0.2,AN56) + 24*(1-IF(BD56="No",0,BD56)) + 16/3, 12),"No")</f>
        <v>No</v>
      </c>
      <c r="BF56" s="2">
        <f>IF(AND(_xlfn.XLOOKUP(_xlfn.XLOOKUP(B56,'Base stats'!B:B,'Base stats'!E:E),Groups!A:A,Groups!AQ:AQ)=1,AN56&lt;=0.35),8,12)</f>
        <v>12</v>
      </c>
      <c r="BG56" s="2" t="str">
        <f>IF(_xlfn.XLOOKUP(_xlfn.XLOOKUP(B56,'Base stats'!B:B,'Base stats'!E:E),Groups!A:A,Groups!D:D)=0,_xlfn.XLOOKUP(_xlfn.XLOOKUP(B56,'Base stats'!B:B,'Base stats'!E:E),Groups!A:A,Groups!AR:AR),"None")</f>
        <v>Advanced</v>
      </c>
      <c r="BH56" s="2" t="str">
        <f>IF(AND(_xlfn.XLOOKUP(_xlfn.XLOOKUP(B56,'Base stats'!B:B,'Base stats'!E:E),Groups!A:A,Groups!AS:AS)=1,OR('Base stats'!Y56="Carnivore",'Base stats'!Y56="Omnivore")),"true","false")</f>
        <v>true</v>
      </c>
      <c r="BI56" s="2">
        <f>IF(BH56="true",MROUND(IF(AND(AN56&gt;0.5,_xlfn.XLOOKUP(_xlfn.XLOOKUP(B56,'Base stats'!B:B,'Base stats'!E:E),Groups!A:A,Groups!AJ:AJ)="Mammal"),Animals!AN56*1.75*IF(AV56="true",1.5,1),Animals!AN56),IF(AN56&gt;2,0.5,IF(AN56&gt;0.5,0.25,0.1))),"No")</f>
        <v>2</v>
      </c>
      <c r="BJ56" s="2">
        <f t="shared" si="3"/>
        <v>1</v>
      </c>
      <c r="BK56" s="25" t="str">
        <f>IF('Base stats'!AK56="Standard","No",MROUND((_xlfn.XLOOKUP(B56,'Base stats'!B:B,'Base stats'!AK:AK)/3.6)/H56,0.1))</f>
        <v>No</v>
      </c>
      <c r="BL56" s="25" t="str">
        <f t="shared" si="4"/>
        <v>false</v>
      </c>
      <c r="BM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N56" s="25" t="str" cm="1">
        <f t="array" ref="BN56">IF(
  _xlfn.TEXTJOIN(", ",TRUE,
    IF(AND(BH56="true",AN56&gt;0.5,BG56&lt;&gt;"None"),"AttackTarget",""),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IF(BE56&lt;=36,"Comfort",""),
    IF(_xlfn.XLOOKUP(B56,'Base stats'!B:B,'Base stats'!AC:AC)&lt;&gt;"No",_xlfn.XLOOKUP(B56,'Base stats'!B:B,'Base stats'!AC:AC),"")
  ) = "",
  "No",
  _xlfn.TEXTJOIN(", ",TRUE,
    IF(AND(BH56="true",AN56&gt;0.5,BG56&lt;&gt;"None"),"AttackTarget",""),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IF(BE56&lt;=36,"Comfort",""),
    IF(_xlfn.XLOOKUP(B56,'Base stats'!B:B,'Base stats'!AC:AC)&lt;&gt;"No",_xlfn.XLOOKUP(B56,'Base stats'!B:B,'Base stats'!AC:AC),"")
  )
)</f>
        <v>AttackTarget</v>
      </c>
      <c r="BO56" s="25" t="str">
        <f>IF(
   AND(
      'Base stats'!AK56="Standard",_xlfn.XLOOKUP(_xlfn.XLOOKUP(B56,'Base stats'!B:B,'Base stats'!E:E),Groups!A:A,Groups!AU:AU)=0,
      OR(
      BM56="True"
      )
   ),
   10,
   IF(
       OR(BK56&lt;&gt;"No",_xlfn.XLOOKUP(_xlfn.XLOOKUP(B56,'Base stats'!B:B,'Base stats'!E:E),Groups!A:A,Groups!AU:AU)=1),
      1,
      "No"
   )
)</f>
        <v>No</v>
      </c>
      <c r="BP56" s="9">
        <f>MROUND((1 + ((0.2*IF(OR(P56="No",Q56="No",Q56=0),0,P56/Q56)
+IF(OR(U56="No",R56="No",S56="No"),0,R56/S56*(LEN(U56)-LEN(SUBSTITUTE(U56,",",""))+1))
+IF(OR(W56="No",X56="No"),0,W56/X56)
+IF(OR(AC56="No",AD56="No"),0,AC56/AD56)
+IF(OR(AK56="No",AH56="No",AI56="No"),0,AH56/AI56*(LEN(AK56)-LEN(SUBSTITUTE(AK56,",",""))+1))
)/(0.2*IF(OR(P56="No",Q56="No",Q56=0),0,1)
+IF(OR(U56="No",R56="No",S56="No"),0,LEN(U56)-LEN(SUBSTITUTE(U56,",",""))+1)
+IF(OR(W56="No",X56="No"),0,1)
+IF(OR(AC56="No",AD56="No"),0,1)
+IF(OR(AK56="No",AH56="No",AI56="No"),0,LEN(AK56)-LEN(SUBSTITUTE(AK56,",",""))+1))*62%)* 2)*(1 + (AO56 + _xlfn.XLOOKUP(B56,'Base stats'!B:B,'Base stats'!AS:AS) * 1.8) * 2) * 2.5 + 10 + H56 * 2,5)+IF(_xlfn.XLOOKUP(B56,'Base stats'!B:B,'Base stats'!AH:AH)=1,50,0)</f>
        <v>100</v>
      </c>
      <c r="BQ56" s="8">
        <f t="shared" si="5"/>
        <v>0.55000000000000004</v>
      </c>
      <c r="BR56" s="8" t="str">
        <f>_xlfn.XLOOKUP(B56,'Base stats'!B:B,'Base stats'!AD:AD)</f>
        <v>2~6</v>
      </c>
      <c r="BS56" s="2" t="str">
        <f>IF(AND(I56&lt;=0.95,OR(_xlfn.XLOOKUP(B56,'Base stats'!B:B,'Base stats'!AH:AH)=1,_xlfn.XLOOKUP(B56,'Base stats'!B:B,'Base stats'!Y:Y)="Carnivore",_xlfn.XLOOKUP(B56,'Base stats'!B:B,'Base stats'!Y:Y)="Omnivore",BC56&gt;0.1)),"true","false")</f>
        <v>true</v>
      </c>
      <c r="BT56" s="2" t="str">
        <f>IF(_xlfn.XLOOKUP(B56,'Base stats'!B:B,'Base stats'!AF:AF)=1,"true","false")</f>
        <v>false</v>
      </c>
      <c r="BU56" s="25" t="str">
        <f>IF(E56="BaseInsect","AnimalInsect",
IF(I56&gt;0.95,"AnimalExotic",
_xlfn.TEXTJOIN(", ",TRUE,
IF(AND(_xlfn.XLOOKUP(B56,'Base stats'!B:B,'Base stats'!O:O)=0,_xlfn.XLOOKUP(_xlfn.XLOOKUP(B56,'Base stats'!B:B,'Base stats'!E:E),Groups!A:A,Groups!B:B)&gt;0),"AnimalUncommon","AnimalCommon"),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stats'!AH:AH)=1,AND(BG56&lt;&gt;"None",BP56&gt;=60),ISNUMBER(SEARCH("Attack target",BN56))),"AnimalFighter","")
)))</f>
        <v>AnimalCommon, AnimalFighter</v>
      </c>
      <c r="BV56" s="25" t="str">
        <f>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</f>
        <v>BorealForest ColdBog TemperateForest TemperateSwamp GlacialPlain</v>
      </c>
      <c r="BW56" s="25" t="str">
        <f>IF(_xlfn.XLOOKUP(B56,'Base stats'!B:B,'Base stats'!AG:AG)=1,"true","false")</f>
        <v>false</v>
      </c>
      <c r="BX56" s="25">
        <f>IF(_xlfn.XLOOKUP(B56,'Base stats'!B:B,'Base stats'!N:N)=1,"No",MIN(MROUND(IF(OR(_xlfn.XLOOKUP(B56,'Base stats'!B:B,'Base stats'!AJ:AJ)=1,AND(BH56="True",CA56="False")),POWER(10,3.47*LOG10(_xlfn.XLOOKUP(B56,'Base stats'!B:B,'Base stats'!C:C)*1000)^-0.96),POWER(10,4.15*LOG10(_xlfn.XLOOKUP(B56,'Base stats'!B:B,'Base stats'!C:C)*1000)^-0.73))*IF(OR(_xlfn.XLOOKUP(B56,'Base stats'!B:B,'Base stats'!AJ:AJ)=1,_xlfn.XLOOKUP(B56,'Base stats'!B:B,'Base stats'!AH:AH)=1),0.5,1)/100,0.025),1))</f>
        <v>7.5000000000000011E-2</v>
      </c>
      <c r="BY56" s="25" t="str">
        <f>IF(O56="Standard","No",IF(_xlfn.XLOOKUP(B56,'Base stats'!B:B,'Base stats'!N:N)=0,MROUND(BX56*O56,0.05),MIN(1,MAX(0.025,MROUND(IF(OR(CA56="true",AND(BH56="false",BM56="false")),POWER(10,4.15*LOG10(_xlfn.XLOOKUP(B56,'Base stats'!B:B,'Base stats'!C:C)*1000)^-0.73),POWER(10,3.47*LOG10(_xlfn.XLOOKUP(B56,'Base stats'!B:B,'Base stats'!C:C)*1000)^-0.96))*IF(_xlfn.XLOOKUP(B56,'Base stats'!B:B,'Base stats'!AH:AH)=1,0.5,1)/100,0.025)))))</f>
        <v>No</v>
      </c>
      <c r="BZ56" s="25" t="str">
        <f>IF(_xlfn.XLOOKUP(_xlfn.XLOOKUP(B56,'Base stats'!B:B,'Base stats'!E:E),Groups!A:A,Groups!AJ:AJ)="Mammal","True","False")</f>
        <v>True</v>
      </c>
      <c r="CA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B56" s="25" t="str">
        <f t="shared" si="6"/>
        <v>False</v>
      </c>
      <c r="CC56" s="25" t="str">
        <f>IF(_xlfn.XLOOKUP(_xlfn.XLOOKUP(B56,'Base stats'!B:B,'Base stats'!E:E),Groups!A:A,Groups!AW:AW),"True","False")</f>
        <v>False</v>
      </c>
      <c r="CD56" s="25" t="str">
        <f>IF(_xlfn.XLOOKUP(_xlfn.XLOOKUP(B56,'Base stats'!B:B,'Base stats'!E:E),Groups!A:A,Groups!AX:AX),"True","False")</f>
        <v>False</v>
      </c>
      <c r="CE56" s="25" t="str">
        <f>IF(_xlfn.XLOOKUP(B56,'Base stats'!B:B,'Base stats'!E:E)=1,"True","False")</f>
        <v>False</v>
      </c>
      <c r="CF56" s="25" t="str">
        <f>IF(
OR(
_xlfn.XLOOKUP(_xlfn.XLOOKUP(B56,'Base stats'!B:B,'Base stats'!E:E),Groups!A:A,Groups!AY:AY)=0,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stats'!E:E),Groups!A:A,Groups!AY:AY)=1,
"Flesh",
IF(
_xlfn.XLOOKUP(_xlfn.XLOOKUP(B56,'Base stats'!B:B,'Base stats'!E:E),Groups!A:A,Groups!AY:AY)=2,
"Bone",
""
)
)
)</f>
        <v>No</v>
      </c>
      <c r="CG56" s="25" t="str">
        <f>IF(_xlfn.XLOOKUP(_xlfn.XLOOKUP(B56,'Base stats'!B:B,'Base stats'!E:E),Groups!A:A,Groups!BA:BA),"True","False")</f>
        <v>True</v>
      </c>
      <c r="CH56" s="25" t="str">
        <f>IF(_xlfn.XLOOKUP(_xlfn.XLOOKUP(B56,'Base stats'!B:B,'Base stats'!E:E),Groups!A:A,Groups!AZ:AZ),"True","False")</f>
        <v>False</v>
      </c>
    </row>
    <row r="57" spans="1:86" ht="16.5" thickTop="1" thickBot="1" x14ac:dyDescent="0.3">
      <c r="A57" s="26" t="str">
        <f>_xlfn.XLOOKUP(B57,'Base stats'!B:B,'Base stats'!A:A)</f>
        <v>Arctic Wolf</v>
      </c>
      <c r="B57" s="6" t="s">
        <v>892</v>
      </c>
      <c r="C57" s="28" t="s">
        <v>746</v>
      </c>
      <c r="D57" s="28" t="s">
        <v>45</v>
      </c>
      <c r="E57" s="28" t="s">
        <v>744</v>
      </c>
      <c r="F57" s="28" t="s">
        <v>745</v>
      </c>
      <c r="G57" s="2">
        <f>MROUND((
  (IF(AND(_xlfn.XLOOKUP(B57,'Base stats'!B:B,'Base stats'!AI:AI)=0,BG57="None",_xlfn.XLOOKUP('Base stats'!E57,Groups!A:A,Groups!B:B)=0), (18 + BP57 * 2.7) * 0.5,
    IF(AND(_xlfn.XLOOKUP(B57,'Base stats'!B:B,'Base stats'!AI:AI)=0,OR(AN57&lt;0.55,AND(BG57="Intermediate",_xlfn.XLOOKUP('Base stats'!E57,Groups!A:A,Groups!B:B)&lt;2))), (18 + BP57 * 2.7),
      IF(OR(BG57="Advanced",_xlfn.XLOOKUP(B57,'Base stats'!B:B,'Base stats'!AI:AI)=1,_xlfn.XLOOKUP('Base stats'!E57,Groups!A:A,Groups!B:B)=2), (18 + BP57 * 2.7) + 250, (18 + BP57 * 2.7))
    )
  ))
  + AN57 * 80
  + IF(COUNTIF(EggMilk!K$2:K$998, A57) &gt; 0, 125, 0)
  + IF(COUNTIF(EggMilk!P$2:P$998, A57) &gt; 0, 90, 0)
  + IF(COUNTIF(EggMilk!A$2:A$998, A57) &gt; 0, 90, 0)
)
* (0.8 + 0.4 * I57)
* 0.75,25)</f>
        <v>500</v>
      </c>
      <c r="H57" s="2">
        <f>MROUND(ROUNDDOWN(_xlfn.XLOOKUP(B57,'Base stats'!B:B,'Base stats'!L:L)/3.6/(23.3/11),1),0.5)</f>
        <v>8.5</v>
      </c>
      <c r="I57" s="2">
        <f>IF(_xlfn.XLOOKUP(B57,'Base stats'!B:B,'Base stats'!AI:AI)=1,0.99,MIN(MROUND((1-0.6282*EXP(-0.459*AN57))*_xlfn.XLOOKUP(_xlfn.XLOOKUP(B57,'Base stats'!B:B,'Base stats'!E:E),Groups!A:A,Groups!C:C)*IF(_xlfn.XLOOKUP(B57,'Base stats'!B:B,'Base stats'!O:O)=1,0.5,IF(_xlfn.XLOOKUP(B57,'Base stats'!B:B,'Base stats'!O:O)=2,0,1)),0.05),0.985))</f>
        <v>0.70000000000000007</v>
      </c>
      <c r="J57" s="2">
        <f>ROUNDUP(AN57*_xlfn.XLOOKUP(_xlfn.XLOOKUP(B57,'Base stats'!B:B,'Base stats'!E:E),Groups!A:A,Groups!E:E),0)</f>
        <v>1</v>
      </c>
      <c r="K57" s="2">
        <f>IF(OR(_xlfn.XLOOKUP(_xlfn.XLOOKUP(B57,'Base stats'!B:B,'Base stats'!E:E),Groups!A:A,Groups!F:F)=2,ISNUMBER(SEARCH("SeaIce",BV57)),ISNUMBER(SEARCH("IceSheet",BV57))),-50,IF(OR(ISNUMBER(SEARCH("GlacialPlain",BV57)),ISNUMBER(SEARCH("Tundra",BV57))),-40,IF(OR(ISNUMBER(SEARCH("Alpine",BV57)),ISNUMBER(SEARCH("BorealForest",BV57)),ISNUMBER(SEARCH("ColdBog",BV57))),-30,IF(OR(ISNUMBER(SEARCH("TemperateForest",BV57)),ISNUMBER(SEARCH("TemperateSwamp",BV57))),-20,IF(_xlfn.XLOOKUP(_xlfn.XLOOKUP(B57,'Base stats'!B:B,'Base stats'!E:E),Groups!A:A,Groups!F:F)=1,-15,IF(OR(ISNUMBER(SEARCH("Desert",BV57)),ISNUMBER(SEARCH("ExtremeDesert",BV57))),-10,IF(OR(ISNUMBER(SEARCH("Grasslands",BV57)),ISNUMBER(SEARCH("TropicalRainforest",BV57)),ISNUMBER(SEARCH("TropicalSwamp",BV57))),10,0)))))))-IF(CA57="False",MIN(IFERROR(MAX(MROUND(LOG10(_xlfn.XLOOKUP(B57,'Base stats'!B:B,'Base stats'!C:C)^(2/3))*10,5),5),5),30))-_xlfn.XLOOKUP(B57,'Base stats'!B:B,'Base stats'!P:P)+IF(CA57="True",5,0)</f>
        <v>-50</v>
      </c>
      <c r="L57" s="2">
        <f>IF(OR(_xlfn.XLOOKUP(_xlfn.XLOOKUP(B57,'Base stats'!B:B,'Base stats'!E:E),Groups!A:A,Groups!G:G)=2,ISNUMBER(SEARCH("Desert",BV57)),ISNUMBER(SEARCH("ExtremeDesert",BV57)),ISNUMBER(SEARCH("LavaField",BV57))),50,IF(ISNUMBER(SEARCH("Grasslands",BV57)),45,IF(OR(_xlfn.XLOOKUP(_xlfn.XLOOKUP(B57,'Base stats'!B:B,'Base stats'!E:E),Groups!A:A,Groups!G:G)=1,ISNUMBER(SEARCH("TropicalRainforest",BV57)),ISNUMBER(SEARCH("TropicalSwamp",BV57))),40,IF(OR(ISNUMBER(SEARCH("TemperateForest",BV57)),ISNUMBER(SEARCH("TemperateSwamp",BV57))),35,IF(OR(ISNUMBER(SEARCH("Alpine",BV57)),ISNUMBER(SEARCH("BorealForest",BV57)),ISNUMBER(SEARCH("ColdBog",BV57))),30,IF(ISNUMBER(OR(ISNUMBER(SEARCH("GlacialPlain",BV57)),SEARCH("Tundra",BV57))),25,IF(OR(ISNUMBER(SEARCH("SeaIce",BV57)),ISNUMBER(SEARCH("IceSheet",BV57)),ISNUMBER(SEARCH("TropicalSwamp",BV57))),10,35)))))))+_xlfn.XLOOKUP(B57,'Base stats'!B:B,'Base stats'!Q:Q)</f>
        <v>35</v>
      </c>
      <c r="M57" s="8" t="str">
        <f>IF(_xlfn.XLOOKUP(_xlfn.XLOOKUP(B57,'Base stats'!B:B,'Base stats'!E:E),Groups!A:A,Groups!L:L)=1,MIN(MROUND(_xlfn.XLOOKUP(B57,'Animals CE'!B:B,'Animals CE'!Z:Z)/2+0.05,0.05),200%),"No")</f>
        <v>No</v>
      </c>
      <c r="N57" s="8" t="str">
        <f>IF(_xlfn.XLOOKUP(_xlfn.XLOOKUP(B57,'Base stats'!B:B,'Base stats'!E:E),Groups!A:A,Groups!L:L)=1,MIN(MROUND(_xlfn.XLOOKUP(B57,'Animals CE'!B:B,'Animals CE'!AA:AA)/2+0.05,0.05),200%),"No")</f>
        <v>No</v>
      </c>
      <c r="O57" s="2" t="str">
        <f>_xlfn.XLOOKUP(B57,'Base stats'!B:B,'Base stats'!R:R)</f>
        <v>Standard</v>
      </c>
      <c r="P57" s="13">
        <f>MROUND((LOG10(_xlfn.XLOOKUP(B57,'Base stats'!B:B,'Base stats'!AO:AO))*(AN57^0.5)+(_xlfn.XLOOKUP(B57,'Base stats'!B:B,'Base stats'!AO:AO)/1000)^(2/3)+_xlfn.XLOOKUP(B57,'Base stats'!B:B,'Base stats'!AX:AX)/2)+0.5,0.5)</f>
        <v>6</v>
      </c>
      <c r="Q57" s="7">
        <f>IF(P57="No","No",MAX(1,MROUND(_xlfn.XLOOKUP(B57,'Base stats'!B:B,'Base stats'!C:C)^0.165,0.05)))</f>
        <v>1.85</v>
      </c>
      <c r="R57" s="13" t="str">
        <f>IF(_xlfn.XLOOKUP(_xlfn.XLOOKUP(B57,'Base stats'!B:B,'Base stats'!E:E),Groups!A:A,Groups!P:P)=0,"No",MROUND((LOG10(_xlfn.XLOOKUP(B57,'Base stats'!B:B,'Base stats'!AP:AP))*(AN57^0.5)+(_xlfn.XLOOKUP(B57,'Base stats'!B:B,'Base stats'!AP:AP)/1000)^(2/3)+_xlfn.XLOOKUP(B57,'Base stats'!B:B,'Base stats'!AX:AX))+_xlfn.XLOOKUP(B57,'Base stats'!B:B,'Base stats'!AV:AV)+0.5,0.5))</f>
        <v>No</v>
      </c>
      <c r="S57" s="7" t="str">
        <f>IF(R57="No","No",MAX(_xlfn.XLOOKUP(_xlfn.XLOOKUP(B57,'Base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T57" s="7" t="str">
        <f>IF(R57="No","No",_xlfn.XLOOKUP(_xlfn.XLOOKUP(B57,'Base stats'!B:B,'Base stats'!E:E),Groups!A:A,Groups!R:R))</f>
        <v>No</v>
      </c>
      <c r="U57" s="7" t="str">
        <f>IF(R57="No","No",_xlfn.XLOOKUP(_xlfn.XLOOKUP(B57,'Base stats'!B:B,'Base stats'!E:E),Groups!A:A,Groups!S:S))</f>
        <v>No</v>
      </c>
      <c r="V57" s="7" t="str">
        <f>IF(R57="No","No",_xlfn.XLOOKUP(_xlfn.XLOOKUP(B57,'Base stats'!B:B,'Base stats'!E:E),Groups!A:A,Groups!T:T))</f>
        <v>No</v>
      </c>
      <c r="W57" s="13" t="str">
        <f>IF(_xlfn.XLOOKUP(B57,'Base stats'!B:B,'Base stats'!W:W)="No","No",MROUND((LOG10(_xlfn.XLOOKUP(B57,'Base stats'!B:B,'Base stats'!AR:AR))*(AN57^0.5)+(_xlfn.XLOOKUP(B57,'Base stats'!B:B,'Base stats'!AR:AR)/1000)^(2/3)+_xlfn.XLOOKUP(B57,'Base stats'!B:B,'Base stats'!AW:AW))+0.5+IF(_xlfn.XLOOKUP(_xlfn.XLOOKUP(B57,'Base stats'!B:B,'Base stats'!E:E),Groups!A:A,Groups!U:U)&lt;&gt;3,_xlfn.XLOOKUP(B57,'Base stats'!B:B,'Base stats'!AX:AX),0),0.5))</f>
        <v>No</v>
      </c>
      <c r="X57" s="7" t="str">
        <f>IF(W57="No","No",MAX(_xlfn.XLOOKUP(_xlfn.XLOOKUP(B57,'Base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Y57" s="7" t="str">
        <f>IF(W57="No","No",_xlfn.XLOOKUP(_xlfn.XLOOKUP(B57,'Base stats'!B:B,'Base stats'!E:E),Groups!A:A,Groups!W:W))</f>
        <v>No</v>
      </c>
      <c r="Z57" s="7" t="str">
        <f>IF(W57="No","No",_xlfn.XLOOKUP(_xlfn.XLOOKUP(B57,'Base stats'!B:B,'Base stats'!E:E),Groups!A:A,Groups!X:X))</f>
        <v>No</v>
      </c>
      <c r="AA57" s="7" t="str">
        <f>IF(W57="No","No",_xlfn.XLOOKUP(_xlfn.XLOOKUP(B57,'Base stats'!B:B,'Base stats'!E:E),Groups!A:A,Groups!Y:Y))</f>
        <v>No</v>
      </c>
      <c r="AB57" s="7" t="str">
        <f>_xlfn.XLOOKUP(Animals!B57,'Base stats'!B:B,'Base stats'!X:X)</f>
        <v>False</v>
      </c>
      <c r="AC57" s="13">
        <f>IF(_xlfn.XLOOKUP(B57,'Base stats'!B:B,'Base stats'!AQ:AQ)="No","No",MROUND((LOG10(_xlfn.XLOOKUP(B57,'Base stats'!B:B,'Base stats'!AQ:AQ))*(AN57^0.75)+(_xlfn.XLOOKUP(B57,'Base stats'!B:B,'Base stats'!AQ:AQ)/1000)^(2/3)+_xlfn.XLOOKUP(B57,'Base stats'!B:B,'Base stats'!AU:AU)+_xlfn.XLOOKUP(B57,'Base stats'!B:B,'Base stats'!AX:AX))+0.5,0.5))</f>
        <v>11.5</v>
      </c>
      <c r="AD57" s="7">
        <f>IF(AC57="No","No",MAX(_xlfn.XLOOKUP(_xlfn.XLOOKUP(B57,'Base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E57" s="7" t="str">
        <f>IF(AC57="No","No",_xlfn.XLOOKUP(_xlfn.XLOOKUP(B57,'Base stats'!B:B,'Base stats'!E:E),Groups!A:A,Groups!AA:AA))</f>
        <v>Teeth</v>
      </c>
      <c r="AF57" s="7" t="str">
        <f>IF(AC57="No","No",_xlfn.XLOOKUP(_xlfn.XLOOKUP(B57,'Base stats'!B:B,'Base stats'!E:E),Groups!A:A,Groups!AB:AB))</f>
        <v>canines</v>
      </c>
      <c r="AG57" s="7" t="str">
        <f>IF(AC57="No","No",_xlfn.XLOOKUP(_xlfn.XLOOKUP(B57,'Base stats'!B:B,'Base stats'!E:E),Groups!A:A,Groups!AC:AC))</f>
        <v>Bite</v>
      </c>
      <c r="AH57" s="13" t="str">
        <f>IF(_xlfn.XLOOKUP(_xlfn.XLOOKUP(B57,'Base stats'!B:B,'Base stats'!E:E),Groups!A:A,Groups!AD:AD)=0,"No",MROUND((LOG10(_xlfn.XLOOKUP(B57,'Base stats'!B:B,'Base stats'!AP:AP))*(AN57^0.75)+(_xlfn.XLOOKUP(B57,'Base stats'!B:B,'Base stats'!AP:AP)/1000)^(2/3)+_xlfn.XLOOKUP(B57,'Base stats'!B:B,'Base stats'!AV:AV)+_xlfn.XLOOKUP(B57,'Base stats'!B:B,'Base stats'!AX:AX))+0.5,0.5))</f>
        <v>No</v>
      </c>
      <c r="AI57" s="7" t="str">
        <f>IF(AH57="No","No",MAX(_xlfn.XLOOKUP(_xlfn.XLOOKUP(B57,'Base stats'!B:B,'Base stats'!E:E),Groups!A:A,Groups!AE:AE),MROUND(_xlfn.XLOOKUP(_xlfn.XLOOKUP(B57,'Base stats'!B:B,'Base stats'!E:E),Groups!A:A,Groups!AE:AE)*_xlfn.XLOOKUP(B57,'Base stats'!B:B,'Base stats'!C:C)^0.165,0.05)))</f>
        <v>No</v>
      </c>
      <c r="AJ57" s="7" t="str">
        <f>IF(AH57="No","No",_xlfn.XLOOKUP(_xlfn.XLOOKUP(B57,'Base stats'!B:B,'Base stats'!E:E),Groups!A:A,Groups!AF:AF))</f>
        <v>No</v>
      </c>
      <c r="AK57" s="7" t="str">
        <f>IF(AH57="No","No",_xlfn.XLOOKUP(_xlfn.XLOOKUP(B57,'Base stats'!B:B,'Base stats'!E:E),Groups!A:A,Groups!AG:AG))</f>
        <v>No</v>
      </c>
      <c r="AL57" s="7" t="str">
        <f>IF(AH57="No","No",_xlfn.XLOOKUP(_xlfn.XLOOKUP(B57,'Base stats'!B:B,'Base stats'!E:E),Groups!A:A,Groups!AH:AH))</f>
        <v>No</v>
      </c>
      <c r="AM57" s="2">
        <f t="shared" si="0"/>
        <v>20</v>
      </c>
      <c r="AN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O57" s="8">
        <f>MROUND(AN57*_xlfn.XLOOKUP(_xlfn.XLOOKUP(B57,'Base stats'!B:B,'Base stats'!E:E),Groups!A:A,Groups!AI:AI),0.05)</f>
        <v>0.95000000000000007</v>
      </c>
      <c r="AP57" s="8">
        <f>MAX(0.01,MROUND(IF(CA57="True",0.196*(AN57*100*1000)^0.889,IF(_xlfn.XLOOKUP(_xlfn.XLOOKUP(B57,'Base stats'!B:B,'Base stats'!E:E),Groups!A:A,Groups!AJ:AJ)="Bird",10.5*(AN57*100*1000)^0.681,4.82*(AN57*100*1000)^0.734))/(4.82*(1*100*1000)^0.734)/IF(AN57&lt;3.5,2,IF(AN57=3.5,1.5,1.25))*(1+0.132282374779864/(AN57^0.994035016789033+0.00905238001496948)),0.05))</f>
        <v>0.5</v>
      </c>
      <c r="AQ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R57" s="35">
        <f>IFERROR(IF(_xlfn.XLOOKUP(B57,'Base stats'!B:B,'Base stats'!F:F)="Lay eggs","Lay eggs",MIN(20,MAX(5.5,ROUND(((_xlfn.XLOOKUP(B57,'Base stats'!B:B,'Base stats'!F:F)-25)*(14.5/615) + 5.5)*2,0)/2))),"Cannot breed")</f>
        <v>6.5</v>
      </c>
      <c r="AS57" s="8">
        <f>IF(OR(A57="Queen",A57="Larva",A57="Megachicken"),"No",IFERROR(MAX(IF(_xlfn.XLOOKUP(B57,'Base stats'!B:B,'Base stats'!G:G)&lt;0.5,0.2,0.3),MROUND(_xlfn.XLOOKUP(B57,'Base stats'!B:B,'Base stats'!G:G)/(365/60),0.2)),"Unknown"))</f>
        <v>0.4</v>
      </c>
      <c r="AT57" s="8">
        <f t="shared" si="1"/>
        <v>0.2</v>
      </c>
      <c r="AU57" s="8">
        <f>IFERROR(IFERROR(MROUND(_xlfn.XLOOKUP(B57,'Base stats'!B:B,'Base stats'!J:J),0.1),"Lay eggs"),"Cannot breed")</f>
        <v>6</v>
      </c>
      <c r="AV57" s="2" t="str">
        <f t="shared" si="2"/>
        <v>true</v>
      </c>
      <c r="AW57" s="2" t="str">
        <f>IF(_xlfn.XLOOKUP(_xlfn.XLOOKUP(Animals!B57,'Base stats'!B:B,'Base stats'!E:E),Groups!A:A,Groups!AK:AK)=1,"true","false")</f>
        <v>false</v>
      </c>
      <c r="AX57" s="25" t="str">
        <f>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</f>
        <v>CarnivoreAnimal, OvivoreAnimal</v>
      </c>
      <c r="AY57" s="2" t="str">
        <f>IF(_xlfn.XLOOKUP(_xlfn.XLOOKUP(B57,'Base stats'!B:B,'Base stats'!E:E),Groups!A:A,Groups!D:D)=1,MROUND((1-I57)*5+1,2)*IF(I57&lt;=0.4,2,1),"No")</f>
        <v>No</v>
      </c>
      <c r="AZ57" s="2" t="str">
        <f>_xlfn.XLOOKUP(B57,'Base stats'!B:B,'Base stats'!AE:AE)</f>
        <v>Leather_Wolf</v>
      </c>
      <c r="BA57" s="23" t="str">
        <f>_xlfn.XLOOKUP(_xlfn.XLOOKUP(B57,'Base stats'!B:B,'Base stats'!E:E),Groups!A:A,Groups!AL:AL)</f>
        <v>QuadrupedAnimalWithPawsAndTail</v>
      </c>
      <c r="BB57" s="23">
        <f>MROUND(IF(AND(AN57&lt;0.5,_xlfn.XLOOKUP(B57,'Base stats'!B:B,'Base stats'!Z:Z)=0),0,IF(OR(_xlfn.XLOOKUP(Animals!B57,'Base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stats'!AA:AA),0.005)</f>
        <v>0.1</v>
      </c>
      <c r="BC57" s="23">
        <f>MROUND(IF(AND(AN57&lt;0.5,_xlfn.XLOOKUP(B57,'Base stats'!B:B,'Base stats'!Z:Z)=0),0,IF(_xlfn.XLOOKUP(_xlfn.XLOOKUP(B57,'Base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stats'!AB:AB),0.005)</f>
        <v>0.3</v>
      </c>
      <c r="BD57" s="2" t="str">
        <f>IF(I57&gt;0.3,"No",_xlfn.XLOOKUP(_xlfn.XLOOKUP(Animals!B57,'Base stats'!B:B,'Base stats'!E:E),Groups!A:A,Groups!AP:AP))</f>
        <v>No</v>
      </c>
      <c r="BE57" s="2" t="str">
        <f>IF(AND(I57&lt;=0.65,_xlfn.XLOOKUP(_xlfn.XLOOKUP(Animals!B57,'Base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stats'!O:O)=2,0.2,AN57) + 24*(1-IF(BD57="No",0,BD57)) + 16/3, 12),"No")</f>
        <v>No</v>
      </c>
      <c r="BF57" s="2">
        <f>IF(AND(_xlfn.XLOOKUP(_xlfn.XLOOKUP(B57,'Base stats'!B:B,'Base stats'!E:E),Groups!A:A,Groups!AQ:AQ)=1,AN57&lt;=0.35),8,12)</f>
        <v>12</v>
      </c>
      <c r="BG57" s="2" t="str">
        <f>IF(_xlfn.XLOOKUP(_xlfn.XLOOKUP(B57,'Base stats'!B:B,'Base stats'!E:E),Groups!A:A,Groups!D:D)=0,_xlfn.XLOOKUP(_xlfn.XLOOKUP(B57,'Base stats'!B:B,'Base stats'!E:E),Groups!A:A,Groups!AR:AR),"None")</f>
        <v>Advanced</v>
      </c>
      <c r="BH57" s="2" t="str">
        <f>IF(AND(_xlfn.XLOOKUP(_xlfn.XLOOKUP(B57,'Base stats'!B:B,'Base stats'!E:E),Groups!A:A,Groups!AS:AS)=1,OR('Base stats'!Y57="Carnivore",'Base stats'!Y57="Omnivore")),"true","false")</f>
        <v>true</v>
      </c>
      <c r="BI57" s="2">
        <f>IF(BH57="true",MROUND(IF(AND(AN57&gt;0.5,_xlfn.XLOOKUP(_xlfn.XLOOKUP(B57,'Base stats'!B:B,'Base stats'!E:E),Groups!A:A,Groups!AJ:AJ)="Mammal"),Animals!AN57*1.75*IF(AV57="true",1.5,1),Animals!AN57),IF(AN57&gt;2,0.5,IF(AN57&gt;0.5,0.25,0.1))),"No")</f>
        <v>2</v>
      </c>
      <c r="BJ57" s="2">
        <f t="shared" si="3"/>
        <v>1</v>
      </c>
      <c r="BK57" s="25" t="str">
        <f>IF('Base stats'!AK57="Standard","No",MROUND((_xlfn.XLOOKUP(B57,'Base stats'!B:B,'Base stats'!AK:AK)/3.6)/H57,0.1))</f>
        <v>No</v>
      </c>
      <c r="BL57" s="25" t="str">
        <f t="shared" si="4"/>
        <v>false</v>
      </c>
      <c r="BM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N57" s="25" t="str" cm="1">
        <f t="array" ref="BN57">IF(
  _xlfn.TEXTJOIN(", ",TRUE,
    IF(AND(BH57="true",AN57&gt;0.5,BG57&lt;&gt;"None"),"AttackTarget",""),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IF(BE57&lt;=36,"Comfort",""),
    IF(_xlfn.XLOOKUP(B57,'Base stats'!B:B,'Base stats'!AC:AC)&lt;&gt;"No",_xlfn.XLOOKUP(B57,'Base stats'!B:B,'Base stats'!AC:AC),"")
  ) = "",
  "No",
  _xlfn.TEXTJOIN(", ",TRUE,
    IF(AND(BH57="true",AN57&gt;0.5,BG57&lt;&gt;"None"),"AttackTarget",""),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IF(BE57&lt;=36,"Comfort",""),
    IF(_xlfn.XLOOKUP(B57,'Base stats'!B:B,'Base stats'!AC:AC)&lt;&gt;"No",_xlfn.XLOOKUP(B57,'Base stats'!B:B,'Base stats'!AC:AC),"")
  )
)</f>
        <v>AttackTarget</v>
      </c>
      <c r="BO57" s="25" t="str">
        <f>IF(
   AND(
      'Base stats'!AK57="Standard",_xlfn.XLOOKUP(_xlfn.XLOOKUP(B57,'Base stats'!B:B,'Base stats'!E:E),Groups!A:A,Groups!AU:AU)=0,
      OR(
      BM57="True"
      )
   ),
   10,
   IF(
       OR(BK57&lt;&gt;"No",_xlfn.XLOOKUP(_xlfn.XLOOKUP(B57,'Base stats'!B:B,'Base stats'!E:E),Groups!A:A,Groups!AU:AU)=1),
      1,
      "No"
   )
)</f>
        <v>No</v>
      </c>
      <c r="BP57" s="9">
        <f>MROUND((1 + ((0.2*IF(OR(P57="No",Q57="No",Q57=0),0,P57/Q57)
+IF(OR(U57="No",R57="No",S57="No"),0,R57/S57*(LEN(U57)-LEN(SUBSTITUTE(U57,",",""))+1))
+IF(OR(W57="No",X57="No"),0,W57/X57)
+IF(OR(AC57="No",AD57="No"),0,AC57/AD57)
+IF(OR(AK57="No",AH57="No",AI57="No"),0,AH57/AI57*(LEN(AK57)-LEN(SUBSTITUTE(AK57,",",""))+1))
)/(0.2*IF(OR(P57="No",Q57="No",Q57=0),0,1)
+IF(OR(U57="No",R57="No",S57="No"),0,LEN(U57)-LEN(SUBSTITUTE(U57,",",""))+1)
+IF(OR(W57="No",X57="No"),0,1)
+IF(OR(AC57="No",AD57="No"),0,1)
+IF(OR(AK57="No",AH57="No",AI57="No"),0,LEN(AK57)-LEN(SUBSTITUTE(AK57,",",""))+1))*62%)* 2)*(1 + (AO57 + _xlfn.XLOOKUP(B57,'Base stats'!B:B,'Base stats'!AS:AS) * 1.8) * 2) * 2.5 + 10 + H57 * 2,5)+IF(_xlfn.XLOOKUP(B57,'Base stats'!B:B,'Base stats'!AH:AH)=1,50,0)</f>
        <v>100</v>
      </c>
      <c r="BQ57" s="8">
        <f t="shared" si="5"/>
        <v>0.55000000000000004</v>
      </c>
      <c r="BR57" s="8" t="str">
        <f>_xlfn.XLOOKUP(B57,'Base stats'!B:B,'Base stats'!AD:AD)</f>
        <v>2~6</v>
      </c>
      <c r="BS57" s="2" t="str">
        <f>IF(AND(I57&lt;=0.95,OR(_xlfn.XLOOKUP(B57,'Base stats'!B:B,'Base stats'!AH:AH)=1,_xlfn.XLOOKUP(B57,'Base stats'!B:B,'Base stats'!Y:Y)="Carnivore",_xlfn.XLOOKUP(B57,'Base stats'!B:B,'Base stats'!Y:Y)="Omnivore",BC57&gt;0.1)),"true","false")</f>
        <v>true</v>
      </c>
      <c r="BT57" s="2" t="str">
        <f>IF(_xlfn.XLOOKUP(B57,'Base stats'!B:B,'Base stats'!AF:AF)=1,"true","false")</f>
        <v>false</v>
      </c>
      <c r="BU57" s="25" t="str">
        <f>IF(E57="BaseInsect","AnimalInsect",
IF(I57&gt;0.95,"AnimalExotic",
_xlfn.TEXTJOIN(", ",TRUE,
IF(AND(_xlfn.XLOOKUP(B57,'Base stats'!B:B,'Base stats'!O:O)=0,_xlfn.XLOOKUP(_xlfn.XLOOKUP(B57,'Base stats'!B:B,'Base stats'!E:E),Groups!A:A,Groups!B:B)&gt;0),"AnimalUncommon","AnimalCommon"),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stats'!AH:AH)=1,AND(BG57&lt;&gt;"None",BP57&gt;=60),ISNUMBER(SEARCH("Attack target",BN57))),"AnimalFighter","")
)))</f>
        <v>AnimalCommon, AnimalFighter</v>
      </c>
      <c r="BV57" s="25" t="str">
        <f>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</f>
        <v>Tundra</v>
      </c>
      <c r="BW57" s="25" t="str">
        <f>IF(_xlfn.XLOOKUP(B57,'Base stats'!B:B,'Base stats'!AG:AG)=1,"true","false")</f>
        <v>false</v>
      </c>
      <c r="BX57" s="25">
        <f>IF(_xlfn.XLOOKUP(B57,'Base stats'!B:B,'Base stats'!N:N)=1,"No",MIN(MROUND(IF(OR(_xlfn.XLOOKUP(B57,'Base stats'!B:B,'Base stats'!AJ:AJ)=1,AND(BH57="True",CA57="False")),POWER(10,3.47*LOG10(_xlfn.XLOOKUP(B57,'Base stats'!B:B,'Base stats'!C:C)*1000)^-0.96),POWER(10,4.15*LOG10(_xlfn.XLOOKUP(B57,'Base stats'!B:B,'Base stats'!C:C)*1000)^-0.73))*IF(OR(_xlfn.XLOOKUP(B57,'Base stats'!B:B,'Base stats'!AJ:AJ)=1,_xlfn.XLOOKUP(B57,'Base stats'!B:B,'Base stats'!AH:AH)=1),0.5,1)/100,0.025),1))</f>
        <v>7.5000000000000011E-2</v>
      </c>
      <c r="BY57" s="25" t="str">
        <f>IF(O57="Standard","No",IF(_xlfn.XLOOKUP(B57,'Base stats'!B:B,'Base stats'!N:N)=0,MROUND(BX57*O57,0.05),MIN(1,MAX(0.025,MROUND(IF(OR(CA57="true",AND(BH57="false",BM57="false")),POWER(10,4.15*LOG10(_xlfn.XLOOKUP(B57,'Base stats'!B:B,'Base stats'!C:C)*1000)^-0.73),POWER(10,3.47*LOG10(_xlfn.XLOOKUP(B57,'Base stats'!B:B,'Base stats'!C:C)*1000)^-0.96))*IF(_xlfn.XLOOKUP(B57,'Base stats'!B:B,'Base stats'!AH:AH)=1,0.5,1)/100,0.025)))))</f>
        <v>No</v>
      </c>
      <c r="BZ57" s="25" t="str">
        <f>IF(_xlfn.XLOOKUP(_xlfn.XLOOKUP(B57,'Base stats'!B:B,'Base stats'!E:E),Groups!A:A,Groups!AJ:AJ)="Mammal","True","False")</f>
        <v>True</v>
      </c>
      <c r="CA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B57" s="25" t="str">
        <f t="shared" si="6"/>
        <v>False</v>
      </c>
      <c r="CC57" s="25" t="str">
        <f>IF(_xlfn.XLOOKUP(_xlfn.XLOOKUP(B57,'Base stats'!B:B,'Base stats'!E:E),Groups!A:A,Groups!AW:AW),"True","False")</f>
        <v>False</v>
      </c>
      <c r="CD57" s="25" t="str">
        <f>IF(_xlfn.XLOOKUP(_xlfn.XLOOKUP(B57,'Base stats'!B:B,'Base stats'!E:E),Groups!A:A,Groups!AX:AX),"True","False")</f>
        <v>False</v>
      </c>
      <c r="CE57" s="25" t="str">
        <f>IF(_xlfn.XLOOKUP(B57,'Base stats'!B:B,'Base stats'!E:E)=1,"True","False")</f>
        <v>False</v>
      </c>
      <c r="CF57" s="25" t="str">
        <f>IF(
OR(
_xlfn.XLOOKUP(_xlfn.XLOOKUP(B57,'Base stats'!B:B,'Base stats'!E:E),Groups!A:A,Groups!AY:AY)=0,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stats'!E:E),Groups!A:A,Groups!AY:AY)=1,
"Flesh",
IF(
_xlfn.XLOOKUP(_xlfn.XLOOKUP(B57,'Base stats'!B:B,'Base stats'!E:E),Groups!A:A,Groups!AY:AY)=2,
"Bone",
""
)
)
)</f>
        <v>No</v>
      </c>
      <c r="CG57" s="25" t="str">
        <f>IF(_xlfn.XLOOKUP(_xlfn.XLOOKUP(B57,'Base stats'!B:B,'Base stats'!E:E),Groups!A:A,Groups!BA:BA),"True","False")</f>
        <v>True</v>
      </c>
      <c r="CH57" s="25" t="str">
        <f>IF(_xlfn.XLOOKUP(_xlfn.XLOOKUP(B57,'Base stats'!B:B,'Base stats'!E:E),Groups!A:A,Groups!AZ:AZ),"True","False")</f>
        <v>False</v>
      </c>
    </row>
    <row r="58" spans="1:86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747</v>
      </c>
      <c r="D58" s="28" t="s">
        <v>45</v>
      </c>
      <c r="E58" s="28" t="s">
        <v>748</v>
      </c>
      <c r="F58" s="28" t="s">
        <v>749</v>
      </c>
      <c r="G58" s="2">
        <f>MROUND((
  (IF(AND(_xlfn.XLOOKUP(B58,'Base stats'!B:B,'Base stats'!AI:AI)=0,BG58="None",_xlfn.XLOOKUP('Base stats'!E58,Groups!A:A,Groups!B:B)=0), (18 + BP58 * 2.7) * 0.5,
    IF(AND(_xlfn.XLOOKUP(B58,'Base stats'!B:B,'Base stats'!AI:AI)=0,OR(AN58&lt;0.55,AND(BG58="Intermediate",_xlfn.XLOOKUP('Base stats'!E58,Groups!A:A,Groups!B:B)&lt;2))), (18 + BP58 * 2.7),
      IF(OR(BG58="Advanced",_xlfn.XLOOKUP(B58,'Base stats'!B:B,'Base stats'!AI:AI)=1,_xlfn.XLOOKUP('Base stats'!E58,Groups!A:A,Groups!B:B)=2), (18 + BP58 * 2.7) + 250, (18 + BP58 * 2.7))
    )
  ))
  + AN58 * 80
  + IF(COUNTIF(EggMilk!K$2:K$998, A58) &gt; 0, 125, 0)
  + IF(COUNTIF(EggMilk!P$2:P$998, A58) &gt; 0, 90, 0)
  + IF(COUNTIF(EggMilk!A$2:A$998, A58) &gt; 0, 90, 0)
)
* (0.8 + 0.4 * I58)
* 0.75,25)</f>
        <v>150</v>
      </c>
      <c r="H58" s="2">
        <f>MROUND(ROUNDDOWN(_xlfn.XLOOKUP(B58,'Base stats'!B:B,'Base stats'!L:L)/3.6/(23.3/11),1),0.5)</f>
        <v>5.5</v>
      </c>
      <c r="I58" s="2">
        <f>IF(_xlfn.XLOOKUP(B58,'Base stats'!B:B,'Base stats'!AI:AI)=1,0.99,MIN(MROUND((1-0.6282*EXP(-0.459*AN58))*_xlfn.XLOOKUP(_xlfn.XLOOKUP(B58,'Base stats'!B:B,'Base stats'!E:E),Groups!A:A,Groups!C:C)*IF(_xlfn.XLOOKUP(B58,'Base stats'!B:B,'Base stats'!O:O)=1,0.5,IF(_xlfn.XLOOKUP(B58,'Base stats'!B:B,'Base stats'!O:O)=2,0,1)),0.05),0.985))</f>
        <v>0.60000000000000009</v>
      </c>
      <c r="J58" s="2">
        <f>ROUNDUP(AN58*_xlfn.XLOOKUP(_xlfn.XLOOKUP(B58,'Base stats'!B:B,'Base stats'!E:E),Groups!A:A,Groups!E:E),0)</f>
        <v>1</v>
      </c>
      <c r="K58" s="2">
        <f>IF(OR(_xlfn.XLOOKUP(_xlfn.XLOOKUP(B58,'Base stats'!B:B,'Base stats'!E:E),Groups!A:A,Groups!F:F)=2,ISNUMBER(SEARCH("SeaIce",BV58)),ISNUMBER(SEARCH("IceSheet",BV58))),-50,IF(OR(ISNUMBER(SEARCH("GlacialPlain",BV58)),ISNUMBER(SEARCH("Tundra",BV58))),-40,IF(OR(ISNUMBER(SEARCH("Alpine",BV58)),ISNUMBER(SEARCH("BorealForest",BV58)),ISNUMBER(SEARCH("ColdBog",BV58))),-30,IF(OR(ISNUMBER(SEARCH("TemperateForest",BV58)),ISNUMBER(SEARCH("TemperateSwamp",BV58))),-20,IF(_xlfn.XLOOKUP(_xlfn.XLOOKUP(B58,'Base stats'!B:B,'Base stats'!E:E),Groups!A:A,Groups!F:F)=1,-15,IF(OR(ISNUMBER(SEARCH("Desert",BV58)),ISNUMBER(SEARCH("ExtremeDesert",BV58))),-10,IF(OR(ISNUMBER(SEARCH("Grasslands",BV58)),ISNUMBER(SEARCH("TropicalRainforest",BV58)),ISNUMBER(SEARCH("TropicalSwamp",BV58))),10,0)))))))-IF(CA58="False",MIN(IFERROR(MAX(MROUND(LOG10(_xlfn.XLOOKUP(B58,'Base stats'!B:B,'Base stats'!C:C)^(2/3))*10,5),5),5),30))-_xlfn.XLOOKUP(B58,'Base stats'!B:B,'Base stats'!P:P)+IF(CA58="True",5,0)</f>
        <v>-45</v>
      </c>
      <c r="L58" s="2">
        <f>IF(OR(_xlfn.XLOOKUP(_xlfn.XLOOKUP(B58,'Base stats'!B:B,'Base stats'!E:E),Groups!A:A,Groups!G:G)=2,ISNUMBER(SEARCH("Desert",BV58)),ISNUMBER(SEARCH("ExtremeDesert",BV58)),ISNUMBER(SEARCH("LavaField",BV58))),50,IF(ISNUMBER(SEARCH("Grasslands",BV58)),45,IF(OR(_xlfn.XLOOKUP(_xlfn.XLOOKUP(B58,'Base stats'!B:B,'Base stats'!E:E),Groups!A:A,Groups!G:G)=1,ISNUMBER(SEARCH("TropicalRainforest",BV58)),ISNUMBER(SEARCH("TropicalSwamp",BV58))),40,IF(OR(ISNUMBER(SEARCH("TemperateForest",BV58)),ISNUMBER(SEARCH("TemperateSwamp",BV58))),35,IF(OR(ISNUMBER(SEARCH("Alpine",BV58)),ISNUMBER(SEARCH("BorealForest",BV58)),ISNUMBER(SEARCH("ColdBog",BV58))),30,IF(ISNUMBER(OR(ISNUMBER(SEARCH("GlacialPlain",BV58)),SEARCH("Tundra",BV58))),25,IF(OR(ISNUMBER(SEARCH("SeaIce",BV58)),ISNUMBER(SEARCH("IceSheet",BV58)),ISNUMBER(SEARCH("TropicalSwamp",BV58))),10,35)))))))+_xlfn.XLOOKUP(B58,'Base stats'!B:B,'Base stats'!Q:Q)</f>
        <v>35</v>
      </c>
      <c r="M58" s="8" t="str">
        <f>IF(_xlfn.XLOOKUP(_xlfn.XLOOKUP(B58,'Base stats'!B:B,'Base stats'!E:E),Groups!A:A,Groups!L:L)=1,MIN(MROUND(_xlfn.XLOOKUP(B58,'Animals CE'!B:B,'Animals CE'!Z:Z)/2+0.05,0.05),200%),"No")</f>
        <v>No</v>
      </c>
      <c r="N58" s="8" t="str">
        <f>IF(_xlfn.XLOOKUP(_xlfn.XLOOKUP(B58,'Base stats'!B:B,'Base stats'!E:E),Groups!A:A,Groups!L:L)=1,MIN(MROUND(_xlfn.XLOOKUP(B58,'Animals CE'!B:B,'Animals CE'!AA:AA)/2+0.05,0.05),200%),"No")</f>
        <v>No</v>
      </c>
      <c r="O58" s="2" t="str">
        <f>_xlfn.XLOOKUP(B58,'Base stats'!B:B,'Base stats'!R:R)</f>
        <v>Standard</v>
      </c>
      <c r="P58" s="13">
        <f>MROUND((LOG10(_xlfn.XLOOKUP(B58,'Base stats'!B:B,'Base stats'!AO:AO))*(AN58^0.5)+(_xlfn.XLOOKUP(B58,'Base stats'!B:B,'Base stats'!AO:AO)/1000)^(2/3)+_xlfn.XLOOKUP(B58,'Base stats'!B:B,'Base stats'!AX:AX)/2)+0.5,0.5)</f>
        <v>3</v>
      </c>
      <c r="Q58" s="7">
        <f>IF(P58="No","No",MAX(1,MROUND(_xlfn.XLOOKUP(B58,'Base stats'!B:B,'Base stats'!C:C)^0.165,0.05)))</f>
        <v>1.35</v>
      </c>
      <c r="R58" s="13" t="str">
        <f>IF(_xlfn.XLOOKUP(_xlfn.XLOOKUP(B58,'Base stats'!B:B,'Base stats'!E:E),Groups!A:A,Groups!P:P)=0,"No",MROUND((LOG10(_xlfn.XLOOKUP(B58,'Base stats'!B:B,'Base stats'!AP:AP))*(AN58^0.5)+(_xlfn.XLOOKUP(B58,'Base stats'!B:B,'Base stats'!AP:AP)/1000)^(2/3)+_xlfn.XLOOKUP(B58,'Base stats'!B:B,'Base stats'!AX:AX))+_xlfn.XLOOKUP(B58,'Base stats'!B:B,'Base stats'!AV:AV)+0.5,0.5))</f>
        <v>No</v>
      </c>
      <c r="S58" s="7" t="str">
        <f>IF(R58="No","No",MAX(_xlfn.XLOOKUP(_xlfn.XLOOKUP(B58,'Base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T58" s="7" t="str">
        <f>IF(R58="No","No",_xlfn.XLOOKUP(_xlfn.XLOOKUP(B58,'Base stats'!B:B,'Base stats'!E:E),Groups!A:A,Groups!R:R))</f>
        <v>No</v>
      </c>
      <c r="U58" s="7" t="str">
        <f>IF(R58="No","No",_xlfn.XLOOKUP(_xlfn.XLOOKUP(B58,'Base stats'!B:B,'Base stats'!E:E),Groups!A:A,Groups!S:S))</f>
        <v>No</v>
      </c>
      <c r="V58" s="7" t="str">
        <f>IF(R58="No","No",_xlfn.XLOOKUP(_xlfn.XLOOKUP(B58,'Base stats'!B:B,'Base stats'!E:E),Groups!A:A,Groups!T:T))</f>
        <v>No</v>
      </c>
      <c r="W58" s="13" t="str">
        <f>IF(_xlfn.XLOOKUP(B58,'Base stats'!B:B,'Base stats'!W:W)="No","No",MROUND((LOG10(_xlfn.XLOOKUP(B58,'Base stats'!B:B,'Base stats'!AR:AR))*(AN58^0.5)+(_xlfn.XLOOKUP(B58,'Base stats'!B:B,'Base stats'!AR:AR)/1000)^(2/3)+_xlfn.XLOOKUP(B58,'Base stats'!B:B,'Base stats'!AW:AW))+0.5+IF(_xlfn.XLOOKUP(_xlfn.XLOOKUP(B58,'Base stats'!B:B,'Base stats'!E:E),Groups!A:A,Groups!U:U)&lt;&gt;3,_xlfn.XLOOKUP(B58,'Base stats'!B:B,'Base stats'!AX:AX),0),0.5))</f>
        <v>No</v>
      </c>
      <c r="X58" s="7" t="str">
        <f>IF(W58="No","No",MAX(_xlfn.XLOOKUP(_xlfn.XLOOKUP(B58,'Base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Y58" s="7" t="str">
        <f>IF(W58="No","No",_xlfn.XLOOKUP(_xlfn.XLOOKUP(B58,'Base stats'!B:B,'Base stats'!E:E),Groups!A:A,Groups!W:W))</f>
        <v>No</v>
      </c>
      <c r="Z58" s="7" t="str">
        <f>IF(W58="No","No",_xlfn.XLOOKUP(_xlfn.XLOOKUP(B58,'Base stats'!B:B,'Base stats'!E:E),Groups!A:A,Groups!X:X))</f>
        <v>No</v>
      </c>
      <c r="AA58" s="7" t="str">
        <f>IF(W58="No","No",_xlfn.XLOOKUP(_xlfn.XLOOKUP(B58,'Base stats'!B:B,'Base stats'!E:E),Groups!A:A,Groups!Y:Y))</f>
        <v>No</v>
      </c>
      <c r="AB58" s="7" t="str">
        <f>_xlfn.XLOOKUP(Animals!B58,'Base stats'!B:B,'Base stats'!X:X)</f>
        <v>False</v>
      </c>
      <c r="AC58" s="13">
        <f>IF(_xlfn.XLOOKUP(B58,'Base stats'!B:B,'Base stats'!AQ:AQ)="No","No",MROUND((LOG10(_xlfn.XLOOKUP(B58,'Base stats'!B:B,'Base stats'!AQ:AQ))*(AN58^0.75)+(_xlfn.XLOOKUP(B58,'Base stats'!B:B,'Base stats'!AQ:AQ)/1000)^(2/3)+_xlfn.XLOOKUP(B58,'Base stats'!B:B,'Base stats'!AU:AU)+_xlfn.XLOOKUP(B58,'Base stats'!B:B,'Base stats'!AX:AX))+0.5,0.5))</f>
        <v>6</v>
      </c>
      <c r="AD58" s="7">
        <f>IF(AC58="No","No",MAX(_xlfn.XLOOKUP(_xlfn.XLOOKUP(B58,'Base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E58" s="7" t="str">
        <f>IF(AC58="No","No",_xlfn.XLOOKUP(_xlfn.XLOOKUP(B58,'Base stats'!B:B,'Base stats'!E:E),Groups!A:A,Groups!AA:AA))</f>
        <v>Teeth</v>
      </c>
      <c r="AF58" s="7" t="str">
        <f>IF(AC58="No","No",_xlfn.XLOOKUP(_xlfn.XLOOKUP(B58,'Base stats'!B:B,'Base stats'!E:E),Groups!A:A,Groups!AB:AB))</f>
        <v>canines</v>
      </c>
      <c r="AG58" s="7" t="str">
        <f>IF(AC58="No","No",_xlfn.XLOOKUP(_xlfn.XLOOKUP(B58,'Base stats'!B:B,'Base stats'!E:E),Groups!A:A,Groups!AC:AC))</f>
        <v>Bite</v>
      </c>
      <c r="AH58" s="13" t="str">
        <f>IF(_xlfn.XLOOKUP(_xlfn.XLOOKUP(B58,'Base stats'!B:B,'Base stats'!E:E),Groups!A:A,Groups!AD:AD)=0,"No",MROUND((LOG10(_xlfn.XLOOKUP(B58,'Base stats'!B:B,'Base stats'!AP:AP))*(AN58^0.75)+(_xlfn.XLOOKUP(B58,'Base stats'!B:B,'Base stats'!AP:AP)/1000)^(2/3)+_xlfn.XLOOKUP(B58,'Base stats'!B:B,'Base stats'!AV:AV)+_xlfn.XLOOKUP(B58,'Base stats'!B:B,'Base stats'!AX:AX))+0.5,0.5))</f>
        <v>No</v>
      </c>
      <c r="AI58" s="7" t="str">
        <f>IF(AH58="No","No",MAX(_xlfn.XLOOKUP(_xlfn.XLOOKUP(B58,'Base stats'!B:B,'Base stats'!E:E),Groups!A:A,Groups!AE:AE),MROUND(_xlfn.XLOOKUP(_xlfn.XLOOKUP(B58,'Base stats'!B:B,'Base stats'!E:E),Groups!A:A,Groups!AE:AE)*_xlfn.XLOOKUP(B58,'Base stats'!B:B,'Base stats'!C:C)^0.165,0.05)))</f>
        <v>No</v>
      </c>
      <c r="AJ58" s="7" t="str">
        <f>IF(AH58="No","No",_xlfn.XLOOKUP(_xlfn.XLOOKUP(B58,'Base stats'!B:B,'Base stats'!E:E),Groups!A:A,Groups!AF:AF))</f>
        <v>No</v>
      </c>
      <c r="AK58" s="7" t="str">
        <f>IF(AH58="No","No",_xlfn.XLOOKUP(_xlfn.XLOOKUP(B58,'Base stats'!B:B,'Base stats'!E:E),Groups!A:A,Groups!AG:AG))</f>
        <v>No</v>
      </c>
      <c r="AL58" s="7" t="str">
        <f>IF(AH58="No","No",_xlfn.XLOOKUP(_xlfn.XLOOKUP(B58,'Base stats'!B:B,'Base stats'!E:E),Groups!A:A,Groups!AH:AH))</f>
        <v>No</v>
      </c>
      <c r="AM58" s="2">
        <f t="shared" si="0"/>
        <v>15</v>
      </c>
      <c r="AN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0.35000000000000003</v>
      </c>
      <c r="AO58" s="8">
        <f>MROUND(AN58*_xlfn.XLOOKUP(_xlfn.XLOOKUP(B58,'Base stats'!B:B,'Base stats'!E:E),Groups!A:A,Groups!AI:AI),0.05)</f>
        <v>0.4</v>
      </c>
      <c r="AP58" s="8">
        <f>MAX(0.01,MROUND(IF(CA58="True",0.196*(AN58*100*1000)^0.889,IF(_xlfn.XLOOKUP(_xlfn.XLOOKUP(B58,'Base stats'!B:B,'Base stats'!E:E),Groups!A:A,Groups!AJ:AJ)="Bird",10.5*(AN58*100*1000)^0.681,4.82*(AN58*100*1000)^0.734))/(4.82*(1*100*1000)^0.734)/IF(AN58&lt;3.5,2,IF(AN58=3.5,1.5,1.25))*(1+0.132282374779864/(AN58^0.994035016789033+0.00905238001496948)),0.05))</f>
        <v>0.30000000000000004</v>
      </c>
      <c r="AQ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R58" s="35">
        <f>IFERROR(IF(_xlfn.XLOOKUP(B58,'Base stats'!B:B,'Base stats'!F:F)="Lay eggs","Lay eggs",MIN(20,MAX(5.5,ROUND(((_xlfn.XLOOKUP(B58,'Base stats'!B:B,'Base stats'!F:F)-25)*(14.5/615) + 5.5)*2,0)/2))),"Cannot breed")</f>
        <v>6</v>
      </c>
      <c r="AS58" s="8">
        <f>IF(OR(A58="Queen",A58="Larva",A58="Megachicken"),"No",IFERROR(MAX(IF(_xlfn.XLOOKUP(B58,'Base stats'!B:B,'Base stats'!G:G)&lt;0.5,0.2,0.3),MROUND(_xlfn.XLOOKUP(B58,'Base stats'!B:B,'Base stats'!G:G)/(365/60),0.2)),"Unknown"))</f>
        <v>0.3</v>
      </c>
      <c r="AT58" s="8">
        <f t="shared" si="1"/>
        <v>0.15000000000000002</v>
      </c>
      <c r="AU58" s="8">
        <f>IFERROR(IFERROR(MROUND(_xlfn.XLOOKUP(B58,'Base stats'!B:B,'Base stats'!J:J),0.1),"Lay eggs"),"Cannot breed")</f>
        <v>5</v>
      </c>
      <c r="AV58" s="2" t="str">
        <f t="shared" si="2"/>
        <v>false</v>
      </c>
      <c r="AW58" s="2" t="str">
        <f>IF(_xlfn.XLOOKUP(_xlfn.XLOOKUP(Animals!B58,'Base stats'!B:B,'Base stats'!E:E),Groups!A:A,Groups!AK:AK)=1,"true","false")</f>
        <v>false</v>
      </c>
      <c r="AX58" s="25" t="str">
        <f>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</f>
        <v>CarnivoreAnimal, OvivoreAnimal</v>
      </c>
      <c r="AY58" s="2" t="str">
        <f>IF(_xlfn.XLOOKUP(_xlfn.XLOOKUP(B58,'Base stats'!B:B,'Base stats'!E:E),Groups!A:A,Groups!D:D)=1,MROUND((1-I58)*5+1,2)*IF(I58&lt;=0.4,2,1),"No")</f>
        <v>No</v>
      </c>
      <c r="AZ58" s="2" t="str">
        <f>_xlfn.XLOOKUP(B58,'Base stats'!B:B,'Base stats'!AE:AE)</f>
        <v>Leather_Fox</v>
      </c>
      <c r="BA58" s="23" t="str">
        <f>_xlfn.XLOOKUP(_xlfn.XLOOKUP(B58,'Base stats'!B:B,'Base stats'!E:E),Groups!A:A,Groups!AL:AL)</f>
        <v>QuadrupedAnimalWithPawsAndTail</v>
      </c>
      <c r="BB58" s="23">
        <f>MROUND(IF(AND(AN58&lt;0.5,_xlfn.XLOOKUP(B58,'Base stats'!B:B,'Base stats'!Z:Z)=0),0,IF(OR(_xlfn.XLOOKUP(Animals!B58,'Base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stats'!AA:AA),0.005)</f>
        <v>0</v>
      </c>
      <c r="BC58" s="23">
        <f>MROUND(IF(AND(AN58&lt;0.5,_xlfn.XLOOKUP(B58,'Base stats'!B:B,'Base stats'!Z:Z)=0),0,IF(_xlfn.XLOOKUP(_xlfn.XLOOKUP(B58,'Base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stats'!AB:AB),0.005)</f>
        <v>0</v>
      </c>
      <c r="BD58" s="2" t="str">
        <f>IF(I58&gt;0.3,"No",_xlfn.XLOOKUP(_xlfn.XLOOKUP(Animals!B58,'Base stats'!B:B,'Base stats'!E:E),Groups!A:A,Groups!AP:AP))</f>
        <v>No</v>
      </c>
      <c r="BE58" s="2">
        <f>IF(AND(I58&lt;=0.65,_xlfn.XLOOKUP(_xlfn.XLOOKUP(Animals!B58,'Base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stats'!O:O)=2,0.2,AN58) + 24*(1-IF(BD58="No",0,BD58)) + 16/3, 12),"No")</f>
        <v>36</v>
      </c>
      <c r="BF58" s="2">
        <f>IF(AND(_xlfn.XLOOKUP(_xlfn.XLOOKUP(B58,'Base stats'!B:B,'Base stats'!E:E),Groups!A:A,Groups!AQ:AQ)=1,AN58&lt;=0.35),8,12)</f>
        <v>12</v>
      </c>
      <c r="BG58" s="2" t="str">
        <f>IF(_xlfn.XLOOKUP(_xlfn.XLOOKUP(B58,'Base stats'!B:B,'Base stats'!E:E),Groups!A:A,Groups!D:D)=0,_xlfn.XLOOKUP(_xlfn.XLOOKUP(B58,'Base stats'!B:B,'Base stats'!E:E),Groups!A:A,Groups!AR:AR),"None")</f>
        <v>Advanced</v>
      </c>
      <c r="BH58" s="2" t="str">
        <f>IF(AND(_xlfn.XLOOKUP(_xlfn.XLOOKUP(B58,'Base stats'!B:B,'Base stats'!E:E),Groups!A:A,Groups!AS:AS)=1,OR('Base stats'!Y58="Carnivore",'Base stats'!Y58="Omnivore")),"true","false")</f>
        <v>true</v>
      </c>
      <c r="BI58" s="2">
        <f>IF(BH58="true",MROUND(IF(AND(AN58&gt;0.5,_xlfn.XLOOKUP(_xlfn.XLOOKUP(B58,'Base stats'!B:B,'Base stats'!E:E),Groups!A:A,Groups!AJ:AJ)="Mammal"),Animals!AN58*1.75*IF(AV58="true",1.5,1),Animals!AN58),IF(AN58&gt;2,0.5,IF(AN58&gt;0.5,0.25,0.1))),"No")</f>
        <v>0.4</v>
      </c>
      <c r="BJ58" s="2">
        <f t="shared" si="3"/>
        <v>1</v>
      </c>
      <c r="BK58" s="25" t="str">
        <f>IF('Base stats'!AK58="Standard","No",MROUND((_xlfn.XLOOKUP(B58,'Base stats'!B:B,'Base stats'!AK:AK)/3.6)/H58,0.1))</f>
        <v>No</v>
      </c>
      <c r="BL58" s="25" t="str">
        <f t="shared" si="4"/>
        <v>false</v>
      </c>
      <c r="BM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N58" s="25" t="str" cm="1">
        <f t="array" ref="BN58">IF(
  _xlfn.TEXTJOIN(", ",TRUE,
    IF(AND(BH58="true",AN58&gt;0.5,BG58&lt;&gt;"None"),"AttackTarget",""),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IF(BE58&lt;=36,"Comfort",""),
    IF(_xlfn.XLOOKUP(B58,'Base stats'!B:B,'Base stats'!AC:AC)&lt;&gt;"No",_xlfn.XLOOKUP(B58,'Base stats'!B:B,'Base stats'!AC:AC),"")
  ) = "",
  "No",
  _xlfn.TEXTJOIN(", ",TRUE,
    IF(AND(BH58="true",AN58&gt;0.5,BG58&lt;&gt;"None"),"AttackTarget",""),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IF(BE58&lt;=36,"Comfort",""),
    IF(_xlfn.XLOOKUP(B58,'Base stats'!B:B,'Base stats'!AC:AC)&lt;&gt;"No",_xlfn.XLOOKUP(B58,'Base stats'!B:B,'Base stats'!AC:AC),"")
  )
)</f>
        <v>Comfort</v>
      </c>
      <c r="BO58" s="25" t="str">
        <f>IF(
   AND(
      'Base stats'!AK58="Standard",_xlfn.XLOOKUP(_xlfn.XLOOKUP(B58,'Base stats'!B:B,'Base stats'!E:E),Groups!A:A,Groups!AU:AU)=0,
      OR(
      BM58="True"
      )
   ),
   10,
   IF(
       OR(BK58&lt;&gt;"No",_xlfn.XLOOKUP(_xlfn.XLOOKUP(B58,'Base stats'!B:B,'Base stats'!E:E),Groups!A:A,Groups!AU:AU)=1),
      1,
      "No"
   )
)</f>
        <v>No</v>
      </c>
      <c r="BP58" s="9">
        <f>MROUND((1 + ((0.2*IF(OR(P58="No",Q58="No",Q58=0),0,P58/Q58)
+IF(OR(U58="No",R58="No",S58="No"),0,R58/S58*(LEN(U58)-LEN(SUBSTITUTE(U58,",",""))+1))
+IF(OR(W58="No",X58="No"),0,W58/X58)
+IF(OR(AC58="No",AD58="No"),0,AC58/AD58)
+IF(OR(AK58="No",AH58="No",AI58="No"),0,AH58/AI58*(LEN(AK58)-LEN(SUBSTITUTE(AK58,",",""))+1))
)/(0.2*IF(OR(P58="No",Q58="No",Q58=0),0,1)
+IF(OR(U58="No",R58="No",S58="No"),0,LEN(U58)-LEN(SUBSTITUTE(U58,",",""))+1)
+IF(OR(W58="No",X58="No"),0,1)
+IF(OR(AC58="No",AD58="No"),0,1)
+IF(OR(AK58="No",AH58="No",AI58="No"),0,LEN(AK58)-LEN(SUBSTITUTE(AK58,",",""))+1))*62%)* 2)*(1 + (AO58 + _xlfn.XLOOKUP(B58,'Base stats'!B:B,'Base stats'!AS:AS) * 1.8) * 2) * 2.5 + 10 + H58 * 2,5)+IF(_xlfn.XLOOKUP(B58,'Base stats'!B:B,'Base stats'!AH:AH)=1,50,0)</f>
        <v>55</v>
      </c>
      <c r="BQ58" s="8">
        <f t="shared" si="5"/>
        <v>0.30000000000000004</v>
      </c>
      <c r="BR58" s="8" t="str">
        <f>_xlfn.XLOOKUP(B58,'Base stats'!B:B,'Base stats'!AD:AD)</f>
        <v>No</v>
      </c>
      <c r="BS58" s="2" t="str">
        <f>IF(AND(I58&lt;=0.95,OR(_xlfn.XLOOKUP(B58,'Base stats'!B:B,'Base stats'!AH:AH)=1,_xlfn.XLOOKUP(B58,'Base stats'!B:B,'Base stats'!Y:Y)="Carnivore",_xlfn.XLOOKUP(B58,'Base stats'!B:B,'Base stats'!Y:Y)="Omnivore",BC58&gt;0.1)),"true","false")</f>
        <v>true</v>
      </c>
      <c r="BT58" s="2" t="str">
        <f>IF(_xlfn.XLOOKUP(B58,'Base stats'!B:B,'Base stats'!AF:AF)=1,"true","false")</f>
        <v>false</v>
      </c>
      <c r="BU58" s="25" t="str">
        <f>IF(E58="BaseInsect","AnimalInsect",
IF(I58&gt;0.95,"AnimalExotic",
_xlfn.TEXTJOIN(", ",TRUE,
IF(AND(_xlfn.XLOOKUP(B58,'Base stats'!B:B,'Base stats'!O:O)=0,_xlfn.XLOOKUP(_xlfn.XLOOKUP(B58,'Base stats'!B:B,'Base stats'!E:E),Groups!A:A,Groups!B:B)&gt;0),"AnimalUncommon","AnimalCommon"),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stats'!AH:AH)=1,AND(BG58&lt;&gt;"None",BP58&gt;=60),ISNUMBER(SEARCH("Attack target",BN58))),"AnimalFighter","")
)))</f>
        <v>AnimalCommon</v>
      </c>
      <c r="BV58" s="25" t="str">
        <f>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</f>
        <v>BorealForest ColdBog TemperateForest TemperateSwamp GlacialPlain</v>
      </c>
      <c r="BW58" s="25" t="str">
        <f>IF(_xlfn.XLOOKUP(B58,'Base stats'!B:B,'Base stats'!AG:AG)=1,"true","false")</f>
        <v>false</v>
      </c>
      <c r="BX58" s="25">
        <f>IF(_xlfn.XLOOKUP(B58,'Base stats'!B:B,'Base stats'!N:N)=1,"No",MIN(MROUND(IF(OR(_xlfn.XLOOKUP(B58,'Base stats'!B:B,'Base stats'!AJ:AJ)=1,AND(BH58="True",CA58="False")),POWER(10,3.47*LOG10(_xlfn.XLOOKUP(B58,'Base stats'!B:B,'Base stats'!C:C)*1000)^-0.96),POWER(10,4.15*LOG10(_xlfn.XLOOKUP(B58,'Base stats'!B:B,'Base stats'!C:C)*1000)^-0.73))*IF(OR(_xlfn.XLOOKUP(B58,'Base stats'!B:B,'Base stats'!AJ:AJ)=1,_xlfn.XLOOKUP(B58,'Base stats'!B:B,'Base stats'!AH:AH)=1),0.5,1)/100,0.025),1))</f>
        <v>0.1</v>
      </c>
      <c r="BY58" s="25" t="str">
        <f>IF(O58="Standard","No",IF(_xlfn.XLOOKUP(B58,'Base stats'!B:B,'Base stats'!N:N)=0,MROUND(BX58*O58,0.05),MIN(1,MAX(0.025,MROUND(IF(OR(CA58="true",AND(BH58="false",BM58="false")),POWER(10,4.15*LOG10(_xlfn.XLOOKUP(B58,'Base stats'!B:B,'Base stats'!C:C)*1000)^-0.73),POWER(10,3.47*LOG10(_xlfn.XLOOKUP(B58,'Base stats'!B:B,'Base stats'!C:C)*1000)^-0.96))*IF(_xlfn.XLOOKUP(B58,'Base stats'!B:B,'Base stats'!AH:AH)=1,0.5,1)/100,0.025)))))</f>
        <v>No</v>
      </c>
      <c r="BZ58" s="25" t="str">
        <f>IF(_xlfn.XLOOKUP(_xlfn.XLOOKUP(B58,'Base stats'!B:B,'Base stats'!E:E),Groups!A:A,Groups!AJ:AJ)="Mammal","True","False")</f>
        <v>True</v>
      </c>
      <c r="CA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B58" s="25" t="str">
        <f t="shared" si="6"/>
        <v>False</v>
      </c>
      <c r="CC58" s="25" t="str">
        <f>IF(_xlfn.XLOOKUP(_xlfn.XLOOKUP(B58,'Base stats'!B:B,'Base stats'!E:E),Groups!A:A,Groups!AW:AW),"True","False")</f>
        <v>False</v>
      </c>
      <c r="CD58" s="25" t="str">
        <f>IF(_xlfn.XLOOKUP(_xlfn.XLOOKUP(B58,'Base stats'!B:B,'Base stats'!E:E),Groups!A:A,Groups!AX:AX),"True","False")</f>
        <v>False</v>
      </c>
      <c r="CE58" s="25" t="str">
        <f>IF(_xlfn.XLOOKUP(B58,'Base stats'!B:B,'Base stats'!E:E)=1,"True","False")</f>
        <v>False</v>
      </c>
      <c r="CF58" s="25" t="str">
        <f>IF(
OR(
_xlfn.XLOOKUP(_xlfn.XLOOKUP(B58,'Base stats'!B:B,'Base stats'!E:E),Groups!A:A,Groups!AY:AY)=0,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stats'!E:E),Groups!A:A,Groups!AY:AY)=1,
"Flesh",
IF(
_xlfn.XLOOKUP(_xlfn.XLOOKUP(B58,'Base stats'!B:B,'Base stats'!E:E),Groups!A:A,Groups!AY:AY)=2,
"Bone",
""
)
)
)</f>
        <v>No</v>
      </c>
      <c r="CG58" s="25" t="str">
        <f>IF(_xlfn.XLOOKUP(_xlfn.XLOOKUP(B58,'Base stats'!B:B,'Base stats'!E:E),Groups!A:A,Groups!BA:BA),"True","False")</f>
        <v>True</v>
      </c>
      <c r="CH58" s="25" t="str">
        <f>IF(_xlfn.XLOOKUP(_xlfn.XLOOKUP(B58,'Base stats'!B:B,'Base stats'!E:E),Groups!A:A,Groups!AZ:AZ),"True","False")</f>
        <v>False</v>
      </c>
    </row>
    <row r="59" spans="1:86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750</v>
      </c>
      <c r="D59" s="28" t="s">
        <v>45</v>
      </c>
      <c r="E59" s="28" t="s">
        <v>748</v>
      </c>
      <c r="F59" s="28" t="s">
        <v>749</v>
      </c>
      <c r="G59" s="2">
        <f>MROUND((
  (IF(AND(_xlfn.XLOOKUP(B59,'Base stats'!B:B,'Base stats'!AI:AI)=0,BG59="None",_xlfn.XLOOKUP('Base stats'!E59,Groups!A:A,Groups!B:B)=0), (18 + BP59 * 2.7) * 0.5,
    IF(AND(_xlfn.XLOOKUP(B59,'Base stats'!B:B,'Base stats'!AI:AI)=0,OR(AN59&lt;0.55,AND(BG59="Intermediate",_xlfn.XLOOKUP('Base stats'!E59,Groups!A:A,Groups!B:B)&lt;2))), (18 + BP59 * 2.7),
      IF(OR(BG59="Advanced",_xlfn.XLOOKUP(B59,'Base stats'!B:B,'Base stats'!AI:AI)=1,_xlfn.XLOOKUP('Base stats'!E59,Groups!A:A,Groups!B:B)=2), (18 + BP59 * 2.7) + 250, (18 + BP59 * 2.7))
    )
  ))
  + AN59 * 80
  + IF(COUNTIF(EggMilk!K$2:K$998, A59) &gt; 0, 125, 0)
  + IF(COUNTIF(EggMilk!P$2:P$998, A59) &gt; 0, 90, 0)
  + IF(COUNTIF(EggMilk!A$2:A$998, A59) &gt; 0, 90, 0)
)
* (0.8 + 0.4 * I59)
* 0.75,25)</f>
        <v>125</v>
      </c>
      <c r="H59" s="2">
        <f>MROUND(ROUNDDOWN(_xlfn.XLOOKUP(B59,'Base stats'!B:B,'Base stats'!L:L)/3.6/(23.3/11),1),0.5)</f>
        <v>5.5</v>
      </c>
      <c r="I59" s="2">
        <f>IF(_xlfn.XLOOKUP(B59,'Base stats'!B:B,'Base stats'!AI:AI)=1,0.99,MIN(MROUND((1-0.6282*EXP(-0.459*AN59))*_xlfn.XLOOKUP(_xlfn.XLOOKUP(B59,'Base stats'!B:B,'Base stats'!E:E),Groups!A:A,Groups!C:C)*IF(_xlfn.XLOOKUP(B59,'Base stats'!B:B,'Base stats'!O:O)=1,0.5,IF(_xlfn.XLOOKUP(B59,'Base stats'!B:B,'Base stats'!O:O)=2,0,1)),0.05),0.985))</f>
        <v>0.55000000000000004</v>
      </c>
      <c r="J59" s="2">
        <f>ROUNDUP(AN59*_xlfn.XLOOKUP(_xlfn.XLOOKUP(B59,'Base stats'!B:B,'Base stats'!E:E),Groups!A:A,Groups!E:E),0)</f>
        <v>1</v>
      </c>
      <c r="K59" s="2">
        <f>IF(OR(_xlfn.XLOOKUP(_xlfn.XLOOKUP(B59,'Base stats'!B:B,'Base stats'!E:E),Groups!A:A,Groups!F:F)=2,ISNUMBER(SEARCH("SeaIce",BV59)),ISNUMBER(SEARCH("IceSheet",BV59))),-50,IF(OR(ISNUMBER(SEARCH("GlacialPlain",BV59)),ISNUMBER(SEARCH("Tundra",BV59))),-40,IF(OR(ISNUMBER(SEARCH("Alpine",BV59)),ISNUMBER(SEARCH("BorealForest",BV59)),ISNUMBER(SEARCH("ColdBog",BV59))),-30,IF(OR(ISNUMBER(SEARCH("TemperateForest",BV59)),ISNUMBER(SEARCH("TemperateSwamp",BV59))),-20,IF(_xlfn.XLOOKUP(_xlfn.XLOOKUP(B59,'Base stats'!B:B,'Base stats'!E:E),Groups!A:A,Groups!F:F)=1,-15,IF(OR(ISNUMBER(SEARCH("Desert",BV59)),ISNUMBER(SEARCH("ExtremeDesert",BV59))),-10,IF(OR(ISNUMBER(SEARCH("Grasslands",BV59)),ISNUMBER(SEARCH("TropicalRainforest",BV59)),ISNUMBER(SEARCH("TropicalSwamp",BV59))),10,0)))))))-IF(CA59="False",MIN(IFERROR(MAX(MROUND(LOG10(_xlfn.XLOOKUP(B59,'Base stats'!B:B,'Base stats'!C:C)^(2/3))*10,5),5),5),30))-_xlfn.XLOOKUP(B59,'Base stats'!B:B,'Base stats'!P:P)+IF(CA59="True",5,0)</f>
        <v>-55</v>
      </c>
      <c r="L59" s="2">
        <f>IF(OR(_xlfn.XLOOKUP(_xlfn.XLOOKUP(B59,'Base stats'!B:B,'Base stats'!E:E),Groups!A:A,Groups!G:G)=2,ISNUMBER(SEARCH("Desert",BV59)),ISNUMBER(SEARCH("ExtremeDesert",BV59)),ISNUMBER(SEARCH("LavaField",BV59))),50,IF(ISNUMBER(SEARCH("Grasslands",BV59)),45,IF(OR(_xlfn.XLOOKUP(_xlfn.XLOOKUP(B59,'Base stats'!B:B,'Base stats'!E:E),Groups!A:A,Groups!G:G)=1,ISNUMBER(SEARCH("TropicalRainforest",BV59)),ISNUMBER(SEARCH("TropicalSwamp",BV59))),40,IF(OR(ISNUMBER(SEARCH("TemperateForest",BV59)),ISNUMBER(SEARCH("TemperateSwamp",BV59))),35,IF(OR(ISNUMBER(SEARCH("Alpine",BV59)),ISNUMBER(SEARCH("BorealForest",BV59)),ISNUMBER(SEARCH("ColdBog",BV59))),30,IF(ISNUMBER(OR(ISNUMBER(SEARCH("GlacialPlain",BV59)),SEARCH("Tundra",BV59))),25,IF(OR(ISNUMBER(SEARCH("SeaIce",BV59)),ISNUMBER(SEARCH("IceSheet",BV59)),ISNUMBER(SEARCH("TropicalSwamp",BV59))),10,35)))))))+_xlfn.XLOOKUP(B59,'Base stats'!B:B,'Base stats'!Q:Q)</f>
        <v>10</v>
      </c>
      <c r="M59" s="8" t="str">
        <f>IF(_xlfn.XLOOKUP(_xlfn.XLOOKUP(B59,'Base stats'!B:B,'Base stats'!E:E),Groups!A:A,Groups!L:L)=1,MIN(MROUND(_xlfn.XLOOKUP(B59,'Animals CE'!B:B,'Animals CE'!Z:Z)/2+0.05,0.05),200%),"No")</f>
        <v>No</v>
      </c>
      <c r="N59" s="8" t="str">
        <f>IF(_xlfn.XLOOKUP(_xlfn.XLOOKUP(B59,'Base stats'!B:B,'Base stats'!E:E),Groups!A:A,Groups!L:L)=1,MIN(MROUND(_xlfn.XLOOKUP(B59,'Animals CE'!B:B,'Animals CE'!AA:AA)/2+0.05,0.05),200%),"No")</f>
        <v>No</v>
      </c>
      <c r="O59" s="2" t="str">
        <f>_xlfn.XLOOKUP(B59,'Base stats'!B:B,'Base stats'!R:R)</f>
        <v>Standard</v>
      </c>
      <c r="P59" s="13">
        <f>MROUND((LOG10(_xlfn.XLOOKUP(B59,'Base stats'!B:B,'Base stats'!AO:AO))*(AN59^0.5)+(_xlfn.XLOOKUP(B59,'Base stats'!B:B,'Base stats'!AO:AO)/1000)^(2/3)+_xlfn.XLOOKUP(B59,'Base stats'!B:B,'Base stats'!AX:AX)/2)+0.5,0.5)</f>
        <v>2.5</v>
      </c>
      <c r="Q59" s="7">
        <f>IF(P59="No","No",MAX(1,MROUND(_xlfn.XLOOKUP(B59,'Base stats'!B:B,'Base stats'!C:C)^0.165,0.05)))</f>
        <v>1.25</v>
      </c>
      <c r="R59" s="13" t="str">
        <f>IF(_xlfn.XLOOKUP(_xlfn.XLOOKUP(B59,'Base stats'!B:B,'Base stats'!E:E),Groups!A:A,Groups!P:P)=0,"No",MROUND((LOG10(_xlfn.XLOOKUP(B59,'Base stats'!B:B,'Base stats'!AP:AP))*(AN59^0.5)+(_xlfn.XLOOKUP(B59,'Base stats'!B:B,'Base stats'!AP:AP)/1000)^(2/3)+_xlfn.XLOOKUP(B59,'Base stats'!B:B,'Base stats'!AX:AX))+_xlfn.XLOOKUP(B59,'Base stats'!B:B,'Base stats'!AV:AV)+0.5,0.5))</f>
        <v>No</v>
      </c>
      <c r="S59" s="7" t="str">
        <f>IF(R59="No","No",MAX(_xlfn.XLOOKUP(_xlfn.XLOOKUP(B59,'Base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T59" s="7" t="str">
        <f>IF(R59="No","No",_xlfn.XLOOKUP(_xlfn.XLOOKUP(B59,'Base stats'!B:B,'Base stats'!E:E),Groups!A:A,Groups!R:R))</f>
        <v>No</v>
      </c>
      <c r="U59" s="7" t="str">
        <f>IF(R59="No","No",_xlfn.XLOOKUP(_xlfn.XLOOKUP(B59,'Base stats'!B:B,'Base stats'!E:E),Groups!A:A,Groups!S:S))</f>
        <v>No</v>
      </c>
      <c r="V59" s="7" t="str">
        <f>IF(R59="No","No",_xlfn.XLOOKUP(_xlfn.XLOOKUP(B59,'Base stats'!B:B,'Base stats'!E:E),Groups!A:A,Groups!T:T))</f>
        <v>No</v>
      </c>
      <c r="W59" s="13" t="str">
        <f>IF(_xlfn.XLOOKUP(B59,'Base stats'!B:B,'Base stats'!W:W)="No","No",MROUND((LOG10(_xlfn.XLOOKUP(B59,'Base stats'!B:B,'Base stats'!AR:AR))*(AN59^0.5)+(_xlfn.XLOOKUP(B59,'Base stats'!B:B,'Base stats'!AR:AR)/1000)^(2/3)+_xlfn.XLOOKUP(B59,'Base stats'!B:B,'Base stats'!AW:AW))+0.5+IF(_xlfn.XLOOKUP(_xlfn.XLOOKUP(B59,'Base stats'!B:B,'Base stats'!E:E),Groups!A:A,Groups!U:U)&lt;&gt;3,_xlfn.XLOOKUP(B59,'Base stats'!B:B,'Base stats'!AX:AX),0),0.5))</f>
        <v>No</v>
      </c>
      <c r="X59" s="7" t="str">
        <f>IF(W59="No","No",MAX(_xlfn.XLOOKUP(_xlfn.XLOOKUP(B59,'Base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Y59" s="7" t="str">
        <f>IF(W59="No","No",_xlfn.XLOOKUP(_xlfn.XLOOKUP(B59,'Base stats'!B:B,'Base stats'!E:E),Groups!A:A,Groups!W:W))</f>
        <v>No</v>
      </c>
      <c r="Z59" s="7" t="str">
        <f>IF(W59="No","No",_xlfn.XLOOKUP(_xlfn.XLOOKUP(B59,'Base stats'!B:B,'Base stats'!E:E),Groups!A:A,Groups!X:X))</f>
        <v>No</v>
      </c>
      <c r="AA59" s="7" t="str">
        <f>IF(W59="No","No",_xlfn.XLOOKUP(_xlfn.XLOOKUP(B59,'Base stats'!B:B,'Base stats'!E:E),Groups!A:A,Groups!Y:Y))</f>
        <v>No</v>
      </c>
      <c r="AB59" s="7" t="str">
        <f>_xlfn.XLOOKUP(Animals!B59,'Base stats'!B:B,'Base stats'!X:X)</f>
        <v>False</v>
      </c>
      <c r="AC59" s="13">
        <f>IF(_xlfn.XLOOKUP(B59,'Base stats'!B:B,'Base stats'!AQ:AQ)="No","No",MROUND((LOG10(_xlfn.XLOOKUP(B59,'Base stats'!B:B,'Base stats'!AQ:AQ))*(AN59^0.75)+(_xlfn.XLOOKUP(B59,'Base stats'!B:B,'Base stats'!AQ:AQ)/1000)^(2/3)+_xlfn.XLOOKUP(B59,'Base stats'!B:B,'Base stats'!AU:AU)+_xlfn.XLOOKUP(B59,'Base stats'!B:B,'Base stats'!AX:AX))+0.5,0.5))</f>
        <v>4</v>
      </c>
      <c r="AD59" s="7">
        <f>IF(AC59="No","No",MAX(_xlfn.XLOOKUP(_xlfn.XLOOKUP(B59,'Base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</v>
      </c>
      <c r="AE59" s="7" t="str">
        <f>IF(AC59="No","No",_xlfn.XLOOKUP(_xlfn.XLOOKUP(B59,'Base stats'!B:B,'Base stats'!E:E),Groups!A:A,Groups!AA:AA))</f>
        <v>Teeth</v>
      </c>
      <c r="AF59" s="7" t="str">
        <f>IF(AC59="No","No",_xlfn.XLOOKUP(_xlfn.XLOOKUP(B59,'Base stats'!B:B,'Base stats'!E:E),Groups!A:A,Groups!AB:AB))</f>
        <v>canines</v>
      </c>
      <c r="AG59" s="7" t="str">
        <f>IF(AC59="No","No",_xlfn.XLOOKUP(_xlfn.XLOOKUP(B59,'Base stats'!B:B,'Base stats'!E:E),Groups!A:A,Groups!AC:AC))</f>
        <v>Bite</v>
      </c>
      <c r="AH59" s="13" t="str">
        <f>IF(_xlfn.XLOOKUP(_xlfn.XLOOKUP(B59,'Base stats'!B:B,'Base stats'!E:E),Groups!A:A,Groups!AD:AD)=0,"No",MROUND((LOG10(_xlfn.XLOOKUP(B59,'Base stats'!B:B,'Base stats'!AP:AP))*(AN59^0.75)+(_xlfn.XLOOKUP(B59,'Base stats'!B:B,'Base stats'!AP:AP)/1000)^(2/3)+_xlfn.XLOOKUP(B59,'Base stats'!B:B,'Base stats'!AV:AV)+_xlfn.XLOOKUP(B59,'Base stats'!B:B,'Base stats'!AX:AX))+0.5,0.5))</f>
        <v>No</v>
      </c>
      <c r="AI59" s="7" t="str">
        <f>IF(AH59="No","No",MAX(_xlfn.XLOOKUP(_xlfn.XLOOKUP(B59,'Base stats'!B:B,'Base stats'!E:E),Groups!A:A,Groups!AE:AE),MROUND(_xlfn.XLOOKUP(_xlfn.XLOOKUP(B59,'Base stats'!B:B,'Base stats'!E:E),Groups!A:A,Groups!AE:AE)*_xlfn.XLOOKUP(B59,'Base stats'!B:B,'Base stats'!C:C)^0.165,0.05)))</f>
        <v>No</v>
      </c>
      <c r="AJ59" s="7" t="str">
        <f>IF(AH59="No","No",_xlfn.XLOOKUP(_xlfn.XLOOKUP(B59,'Base stats'!B:B,'Base stats'!E:E),Groups!A:A,Groups!AF:AF))</f>
        <v>No</v>
      </c>
      <c r="AK59" s="7" t="str">
        <f>IF(AH59="No","No",_xlfn.XLOOKUP(_xlfn.XLOOKUP(B59,'Base stats'!B:B,'Base stats'!E:E),Groups!A:A,Groups!AG:AG))</f>
        <v>No</v>
      </c>
      <c r="AL59" s="7" t="str">
        <f>IF(AH59="No","No",_xlfn.XLOOKUP(_xlfn.XLOOKUP(B59,'Base stats'!B:B,'Base stats'!E:E),Groups!A:A,Groups!AH:AH))</f>
        <v>No</v>
      </c>
      <c r="AM59" s="2">
        <f t="shared" si="0"/>
        <v>15</v>
      </c>
      <c r="AN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0.25</v>
      </c>
      <c r="AO59" s="8">
        <f>MROUND(AN59*_xlfn.XLOOKUP(_xlfn.XLOOKUP(B59,'Base stats'!B:B,'Base stats'!E:E),Groups!A:A,Groups!AI:AI),0.05)</f>
        <v>0.30000000000000004</v>
      </c>
      <c r="AP59" s="8">
        <f>MAX(0.01,MROUND(IF(CA59="True",0.196*(AN59*100*1000)^0.889,IF(_xlfn.XLOOKUP(_xlfn.XLOOKUP(B59,'Base stats'!B:B,'Base stats'!E:E),Groups!A:A,Groups!AJ:AJ)="Bird",10.5*(AN59*100*1000)^0.681,4.82*(AN59*100*1000)^0.734))/(4.82*(1*100*1000)^0.734)/IF(AN59&lt;3.5,2,IF(AN59=3.5,1.5,1.25))*(1+0.132282374779864/(AN59^0.994035016789033+0.00905238001496948)),0.05))</f>
        <v>0.25</v>
      </c>
      <c r="AQ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R59" s="35">
        <f>IFERROR(IF(_xlfn.XLOOKUP(B59,'Base stats'!B:B,'Base stats'!F:F)="Lay eggs","Lay eggs",MIN(20,MAX(5.5,ROUND(((_xlfn.XLOOKUP(B59,'Base stats'!B:B,'Base stats'!F:F)-25)*(14.5/615) + 5.5)*2,0)/2))),"Cannot breed")</f>
        <v>6</v>
      </c>
      <c r="AS59" s="8">
        <f>IF(OR(A59="Queen",A59="Larva",A59="Megachicken"),"No",IFERROR(MAX(IF(_xlfn.XLOOKUP(B59,'Base stats'!B:B,'Base stats'!G:G)&lt;0.5,0.2,0.3),MROUND(_xlfn.XLOOKUP(B59,'Base stats'!B:B,'Base stats'!G:G)/(365/60),0.2)),"Unknown"))</f>
        <v>0.3</v>
      </c>
      <c r="AT59" s="8">
        <f t="shared" si="1"/>
        <v>0.15000000000000002</v>
      </c>
      <c r="AU59" s="8">
        <f>IFERROR(IFERROR(MROUND(_xlfn.XLOOKUP(B59,'Base stats'!B:B,'Base stats'!J:J),0.1),"Lay eggs"),"Cannot breed")</f>
        <v>9</v>
      </c>
      <c r="AV59" s="2" t="str">
        <f t="shared" si="2"/>
        <v>false</v>
      </c>
      <c r="AW59" s="2" t="str">
        <f>IF(_xlfn.XLOOKUP(_xlfn.XLOOKUP(Animals!B59,'Base stats'!B:B,'Base stats'!E:E),Groups!A:A,Groups!AK:AK)=1,"true","false")</f>
        <v>false</v>
      </c>
      <c r="AX59" s="25" t="str">
        <f>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</f>
        <v>CarnivoreAnimal, OvivoreAnimal</v>
      </c>
      <c r="AY59" s="2" t="str">
        <f>IF(_xlfn.XLOOKUP(_xlfn.XLOOKUP(B59,'Base stats'!B:B,'Base stats'!E:E),Groups!A:A,Groups!D:D)=1,MROUND((1-I59)*5+1,2)*IF(I59&lt;=0.4,2,1),"No")</f>
        <v>No</v>
      </c>
      <c r="AZ59" s="2" t="str">
        <f>_xlfn.XLOOKUP(B59,'Base stats'!B:B,'Base stats'!AE:AE)</f>
        <v>Leather_Fox</v>
      </c>
      <c r="BA59" s="23" t="str">
        <f>_xlfn.XLOOKUP(_xlfn.XLOOKUP(B59,'Base stats'!B:B,'Base stats'!E:E),Groups!A:A,Groups!AL:AL)</f>
        <v>QuadrupedAnimalWithPawsAndTail</v>
      </c>
      <c r="BB59" s="23">
        <f>MROUND(IF(AND(AN59&lt;0.5,_xlfn.XLOOKUP(B59,'Base stats'!B:B,'Base stats'!Z:Z)=0),0,IF(OR(_xlfn.XLOOKUP(Animals!B59,'Base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stats'!AA:AA),0.005)</f>
        <v>0</v>
      </c>
      <c r="BC59" s="23">
        <f>MROUND(IF(AND(AN59&lt;0.5,_xlfn.XLOOKUP(B59,'Base stats'!B:B,'Base stats'!Z:Z)=0),0,IF(_xlfn.XLOOKUP(_xlfn.XLOOKUP(B59,'Base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stats'!AB:AB),0.005)</f>
        <v>0</v>
      </c>
      <c r="BD59" s="2" t="str">
        <f>IF(I59&gt;0.3,"No",_xlfn.XLOOKUP(_xlfn.XLOOKUP(Animals!B59,'Base stats'!B:B,'Base stats'!E:E),Groups!A:A,Groups!AP:AP))</f>
        <v>No</v>
      </c>
      <c r="BE59" s="2">
        <f>IF(AND(I59&lt;=0.65,_xlfn.XLOOKUP(_xlfn.XLOOKUP(Animals!B59,'Base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stats'!O:O)=2,0.2,AN59) + 24*(1-IF(BD59="No",0,BD59)) + 16/3, 12),"No")</f>
        <v>36</v>
      </c>
      <c r="BF59" s="2">
        <f>IF(AND(_xlfn.XLOOKUP(_xlfn.XLOOKUP(B59,'Base stats'!B:B,'Base stats'!E:E),Groups!A:A,Groups!AQ:AQ)=1,AN59&lt;=0.35),8,12)</f>
        <v>12</v>
      </c>
      <c r="BG59" s="2" t="str">
        <f>IF(_xlfn.XLOOKUP(_xlfn.XLOOKUP(B59,'Base stats'!B:B,'Base stats'!E:E),Groups!A:A,Groups!D:D)=0,_xlfn.XLOOKUP(_xlfn.XLOOKUP(B59,'Base stats'!B:B,'Base stats'!E:E),Groups!A:A,Groups!AR:AR),"None")</f>
        <v>Advanced</v>
      </c>
      <c r="BH59" s="2" t="str">
        <f>IF(AND(_xlfn.XLOOKUP(_xlfn.XLOOKUP(B59,'Base stats'!B:B,'Base stats'!E:E),Groups!A:A,Groups!AS:AS)=1,OR('Base stats'!Y59="Carnivore",'Base stats'!Y59="Omnivore")),"true","false")</f>
        <v>true</v>
      </c>
      <c r="BI59" s="2">
        <f>IF(BH59="true",MROUND(IF(AND(AN59&gt;0.5,_xlfn.XLOOKUP(_xlfn.XLOOKUP(B59,'Base stats'!B:B,'Base stats'!E:E),Groups!A:A,Groups!AJ:AJ)="Mammal"),Animals!AN59*1.75*IF(AV59="true",1.5,1),Animals!AN59),IF(AN59&gt;2,0.5,IF(AN59&gt;0.5,0.25,0.1))),"No")</f>
        <v>0.30000000000000004</v>
      </c>
      <c r="BJ59" s="2">
        <f t="shared" si="3"/>
        <v>1</v>
      </c>
      <c r="BK59" s="25" t="str">
        <f>IF('Base stats'!AK59="Standard","No",MROUND((_xlfn.XLOOKUP(B59,'Base stats'!B:B,'Base stats'!AK:AK)/3.6)/H59,0.1))</f>
        <v>No</v>
      </c>
      <c r="BL59" s="25" t="str">
        <f t="shared" si="4"/>
        <v>false</v>
      </c>
      <c r="BM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N59" s="25" t="str" cm="1">
        <f t="array" ref="BN59">IF(
  _xlfn.TEXTJOIN(", ",TRUE,
    IF(AND(BH59="true",AN59&gt;0.5,BG59&lt;&gt;"None"),"AttackTarget",""),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IF(BE59&lt;=36,"Comfort",""),
    IF(_xlfn.XLOOKUP(B59,'Base stats'!B:B,'Base stats'!AC:AC)&lt;&gt;"No",_xlfn.XLOOKUP(B59,'Base stats'!B:B,'Base stats'!AC:AC),"")
  ) = "",
  "No",
  _xlfn.TEXTJOIN(", ",TRUE,
    IF(AND(BH59="true",AN59&gt;0.5,BG59&lt;&gt;"None"),"AttackTarget",""),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IF(BE59&lt;=36,"Comfort",""),
    IF(_xlfn.XLOOKUP(B59,'Base stats'!B:B,'Base stats'!AC:AC)&lt;&gt;"No",_xlfn.XLOOKUP(B59,'Base stats'!B:B,'Base stats'!AC:AC),"")
  )
)</f>
        <v>Comfort</v>
      </c>
      <c r="BO59" s="25" t="str">
        <f>IF(
   AND(
      'Base stats'!AK59="Standard",_xlfn.XLOOKUP(_xlfn.XLOOKUP(B59,'Base stats'!B:B,'Base stats'!E:E),Groups!A:A,Groups!AU:AU)=0,
      OR(
      BM59="True"
      )
   ),
   10,
   IF(
       OR(BK59&lt;&gt;"No",_xlfn.XLOOKUP(_xlfn.XLOOKUP(B59,'Base stats'!B:B,'Base stats'!E:E),Groups!A:A,Groups!AU:AU)=1),
      1,
      "No"
   )
)</f>
        <v>No</v>
      </c>
      <c r="BP59" s="9">
        <f>MROUND((1 + ((0.2*IF(OR(P59="No",Q59="No",Q59=0),0,P59/Q59)
+IF(OR(U59="No",R59="No",S59="No"),0,R59/S59*(LEN(U59)-LEN(SUBSTITUTE(U59,",",""))+1))
+IF(OR(W59="No",X59="No"),0,W59/X59)
+IF(OR(AC59="No",AD59="No"),0,AC59/AD59)
+IF(OR(AK59="No",AH59="No",AI59="No"),0,AH59/AI59*(LEN(AK59)-LEN(SUBSTITUTE(AK59,",",""))+1))
)/(0.2*IF(OR(P59="No",Q59="No",Q59=0),0,1)
+IF(OR(U59="No",R59="No",S59="No"),0,LEN(U59)-LEN(SUBSTITUTE(U59,",",""))+1)
+IF(OR(W59="No",X59="No"),0,1)
+IF(OR(AC59="No",AD59="No"),0,1)
+IF(OR(AK59="No",AH59="No",AI59="No"),0,LEN(AK59)-LEN(SUBSTITUTE(AK59,",",""))+1))*62%)* 2)*(1 + (AO59 + _xlfn.XLOOKUP(B59,'Base stats'!B:B,'Base stats'!AS:AS) * 1.8) * 2) * 2.5 + 10 + H59 * 2,5)+IF(_xlfn.XLOOKUP(B59,'Base stats'!B:B,'Base stats'!AH:AH)=1,50,0)</f>
        <v>45</v>
      </c>
      <c r="BQ59" s="8">
        <f t="shared" si="5"/>
        <v>0.25</v>
      </c>
      <c r="BR59" s="8" t="str">
        <f>_xlfn.XLOOKUP(B59,'Base stats'!B:B,'Base stats'!AD:AD)</f>
        <v>No</v>
      </c>
      <c r="BS59" s="2" t="str">
        <f>IF(AND(I59&lt;=0.95,OR(_xlfn.XLOOKUP(B59,'Base stats'!B:B,'Base stats'!AH:AH)=1,_xlfn.XLOOKUP(B59,'Base stats'!B:B,'Base stats'!Y:Y)="Carnivore",_xlfn.XLOOKUP(B59,'Base stats'!B:B,'Base stats'!Y:Y)="Omnivore",BC59&gt;0.1)),"true","false")</f>
        <v>true</v>
      </c>
      <c r="BT59" s="2" t="str">
        <f>IF(_xlfn.XLOOKUP(B59,'Base stats'!B:B,'Base stats'!AF:AF)=1,"true","false")</f>
        <v>false</v>
      </c>
      <c r="BU59" s="25" t="str">
        <f>IF(E59="BaseInsect","AnimalInsect",
IF(I59&gt;0.95,"AnimalExotic",
_xlfn.TEXTJOIN(", ",TRUE,
IF(AND(_xlfn.XLOOKUP(B59,'Base stats'!B:B,'Base stats'!O:O)=0,_xlfn.XLOOKUP(_xlfn.XLOOKUP(B59,'Base stats'!B:B,'Base stats'!E:E),Groups!A:A,Groups!B:B)&gt;0),"AnimalUncommon","AnimalCommon"),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stats'!AH:AH)=1,AND(BG59&lt;&gt;"None",BP59&gt;=60),ISNUMBER(SEARCH("Attack target",BN59))),"AnimalFighter","")
)))</f>
        <v>AnimalCommon</v>
      </c>
      <c r="BV59" s="25" t="str">
        <f>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</f>
        <v>SeaIce IceSheet Tundra</v>
      </c>
      <c r="BW59" s="25" t="str">
        <f>IF(_xlfn.XLOOKUP(B59,'Base stats'!B:B,'Base stats'!AG:AG)=1,"true","false")</f>
        <v>false</v>
      </c>
      <c r="BX59" s="25">
        <f>IF(_xlfn.XLOOKUP(B59,'Base stats'!B:B,'Base stats'!N:N)=1,"No",MIN(MROUND(IF(OR(_xlfn.XLOOKUP(B59,'Base stats'!B:B,'Base stats'!AJ:AJ)=1,AND(BH59="True",CA59="False")),POWER(10,3.47*LOG10(_xlfn.XLOOKUP(B59,'Base stats'!B:B,'Base stats'!C:C)*1000)^-0.96),POWER(10,4.15*LOG10(_xlfn.XLOOKUP(B59,'Base stats'!B:B,'Base stats'!C:C)*1000)^-0.73))*IF(OR(_xlfn.XLOOKUP(B59,'Base stats'!B:B,'Base stats'!AJ:AJ)=1,_xlfn.XLOOKUP(B59,'Base stats'!B:B,'Base stats'!AH:AH)=1),0.5,1)/100,0.025),1))</f>
        <v>0.1</v>
      </c>
      <c r="BY59" s="25" t="str">
        <f>IF(O59="Standard","No",IF(_xlfn.XLOOKUP(B59,'Base stats'!B:B,'Base stats'!N:N)=0,MROUND(BX59*O59,0.05),MIN(1,MAX(0.025,MROUND(IF(OR(CA59="true",AND(BH59="false",BM59="false")),POWER(10,4.15*LOG10(_xlfn.XLOOKUP(B59,'Base stats'!B:B,'Base stats'!C:C)*1000)^-0.73),POWER(10,3.47*LOG10(_xlfn.XLOOKUP(B59,'Base stats'!B:B,'Base stats'!C:C)*1000)^-0.96))*IF(_xlfn.XLOOKUP(B59,'Base stats'!B:B,'Base stats'!AH:AH)=1,0.5,1)/100,0.025)))))</f>
        <v>No</v>
      </c>
      <c r="BZ59" s="25" t="str">
        <f>IF(_xlfn.XLOOKUP(_xlfn.XLOOKUP(B59,'Base stats'!B:B,'Base stats'!E:E),Groups!A:A,Groups!AJ:AJ)="Mammal","True","False")</f>
        <v>True</v>
      </c>
      <c r="CA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B59" s="25" t="str">
        <f t="shared" si="6"/>
        <v>False</v>
      </c>
      <c r="CC59" s="25" t="str">
        <f>IF(_xlfn.XLOOKUP(_xlfn.XLOOKUP(B59,'Base stats'!B:B,'Base stats'!E:E),Groups!A:A,Groups!AW:AW),"True","False")</f>
        <v>False</v>
      </c>
      <c r="CD59" s="25" t="str">
        <f>IF(_xlfn.XLOOKUP(_xlfn.XLOOKUP(B59,'Base stats'!B:B,'Base stats'!E:E),Groups!A:A,Groups!AX:AX),"True","False")</f>
        <v>False</v>
      </c>
      <c r="CE59" s="25" t="str">
        <f>IF(_xlfn.XLOOKUP(B59,'Base stats'!B:B,'Base stats'!E:E)=1,"True","False")</f>
        <v>False</v>
      </c>
      <c r="CF59" s="25" t="str">
        <f>IF(
OR(
_xlfn.XLOOKUP(_xlfn.XLOOKUP(B59,'Base stats'!B:B,'Base stats'!E:E),Groups!A:A,Groups!AY:AY)=0,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stats'!E:E),Groups!A:A,Groups!AY:AY)=1,
"Flesh",
IF(
_xlfn.XLOOKUP(_xlfn.XLOOKUP(B59,'Base stats'!B:B,'Base stats'!E:E),Groups!A:A,Groups!AY:AY)=2,
"Bone",
""
)
)
)</f>
        <v>No</v>
      </c>
      <c r="CG59" s="25" t="str">
        <f>IF(_xlfn.XLOOKUP(_xlfn.XLOOKUP(B59,'Base stats'!B:B,'Base stats'!E:E),Groups!A:A,Groups!BA:BA),"True","False")</f>
        <v>True</v>
      </c>
      <c r="CH59" s="25" t="str">
        <f>IF(_xlfn.XLOOKUP(_xlfn.XLOOKUP(B59,'Base stats'!B:B,'Base stats'!E:E),Groups!A:A,Groups!AZ:AZ),"True","False")</f>
        <v>False</v>
      </c>
    </row>
    <row r="60" spans="1:86" ht="16.5" thickTop="1" thickBot="1" x14ac:dyDescent="0.3">
      <c r="A60" s="26" t="str">
        <f>_xlfn.XLOOKUP(B60,'Base stats'!B:B,'Base stats'!A:A)</f>
        <v>Fennec fox</v>
      </c>
      <c r="B60" s="6" t="s">
        <v>497</v>
      </c>
      <c r="C60" s="28" t="s">
        <v>751</v>
      </c>
      <c r="D60" s="28" t="s">
        <v>45</v>
      </c>
      <c r="E60" s="28" t="s">
        <v>748</v>
      </c>
      <c r="F60" s="28" t="s">
        <v>749</v>
      </c>
      <c r="G60" s="2">
        <f>MROUND((
  (IF(AND(_xlfn.XLOOKUP(B60,'Base stats'!B:B,'Base stats'!AI:AI)=0,BG60="None",_xlfn.XLOOKUP('Base stats'!E60,Groups!A:A,Groups!B:B)=0), (18 + BP60 * 2.7) * 0.5,
    IF(AND(_xlfn.XLOOKUP(B60,'Base stats'!B:B,'Base stats'!AI:AI)=0,OR(AN60&lt;0.55,AND(BG60="Intermediate",_xlfn.XLOOKUP('Base stats'!E60,Groups!A:A,Groups!B:B)&lt;2))), (18 + BP60 * 2.7),
      IF(OR(BG60="Advanced",_xlfn.XLOOKUP(B60,'Base stats'!B:B,'Base stats'!AI:AI)=1,_xlfn.XLOOKUP('Base stats'!E60,Groups!A:A,Groups!B:B)=2), (18 + BP60 * 2.7) + 250, (18 + BP60 * 2.7))
    )
  ))
  + AN60 * 80
  + IF(COUNTIF(EggMilk!K$2:K$998, A60) &gt; 0, 125, 0)
  + IF(COUNTIF(EggMilk!P$2:P$998, A60) &gt; 0, 90, 0)
  + IF(COUNTIF(EggMilk!A$2:A$998, A60) &gt; 0, 90, 0)
)
* (0.8 + 0.4 * I60)
* 0.75,25)</f>
        <v>100</v>
      </c>
      <c r="H60" s="2">
        <f>MROUND(ROUNDDOWN(_xlfn.XLOOKUP(B60,'Base stats'!B:B,'Base stats'!L:L)/3.6/(23.3/11),1),0.5)</f>
        <v>5.5</v>
      </c>
      <c r="I60" s="2">
        <f>IF(_xlfn.XLOOKUP(B60,'Base stats'!B:B,'Base stats'!AI:AI)=1,0.99,MIN(MROUND((1-0.6282*EXP(-0.459*AN60))*_xlfn.XLOOKUP(_xlfn.XLOOKUP(B60,'Base stats'!B:B,'Base stats'!E:E),Groups!A:A,Groups!C:C)*IF(_xlfn.XLOOKUP(B60,'Base stats'!B:B,'Base stats'!O:O)=1,0.5,IF(_xlfn.XLOOKUP(B60,'Base stats'!B:B,'Base stats'!O:O)=2,0,1)),0.05),0.985))</f>
        <v>0.55000000000000004</v>
      </c>
      <c r="J60" s="2">
        <f>ROUNDUP(AN60*_xlfn.XLOOKUP(_xlfn.XLOOKUP(B60,'Base stats'!B:B,'Base stats'!E:E),Groups!A:A,Groups!E:E),0)</f>
        <v>1</v>
      </c>
      <c r="K60" s="2">
        <f>IF(OR(_xlfn.XLOOKUP(_xlfn.XLOOKUP(B60,'Base stats'!B:B,'Base stats'!E:E),Groups!A:A,Groups!F:F)=2,ISNUMBER(SEARCH("SeaIce",BV60)),ISNUMBER(SEARCH("IceSheet",BV60))),-50,IF(OR(ISNUMBER(SEARCH("GlacialPlain",BV60)),ISNUMBER(SEARCH("Tundra",BV60))),-40,IF(OR(ISNUMBER(SEARCH("Alpine",BV60)),ISNUMBER(SEARCH("BorealForest",BV60)),ISNUMBER(SEARCH("ColdBog",BV60))),-30,IF(OR(ISNUMBER(SEARCH("TemperateForest",BV60)),ISNUMBER(SEARCH("TemperateSwamp",BV60))),-20,IF(_xlfn.XLOOKUP(_xlfn.XLOOKUP(B60,'Base stats'!B:B,'Base stats'!E:E),Groups!A:A,Groups!F:F)=1,-15,IF(OR(ISNUMBER(SEARCH("Desert",BV60)),ISNUMBER(SEARCH("ExtremeDesert",BV60))),-10,IF(OR(ISNUMBER(SEARCH("Grasslands",BV60)),ISNUMBER(SEARCH("TropicalRainforest",BV60)),ISNUMBER(SEARCH("TropicalSwamp",BV60))),10,0)))))))-IF(CA60="False",MIN(IFERROR(MAX(MROUND(LOG10(_xlfn.XLOOKUP(B60,'Base stats'!B:B,'Base stats'!C:C)^(2/3))*10,5),5),5),30))-_xlfn.XLOOKUP(B60,'Base stats'!B:B,'Base stats'!P:P)+IF(CA60="True",5,0)</f>
        <v>-20</v>
      </c>
      <c r="L60" s="2">
        <f>IF(OR(_xlfn.XLOOKUP(_xlfn.XLOOKUP(B60,'Base stats'!B:B,'Base stats'!E:E),Groups!A:A,Groups!G:G)=2,ISNUMBER(SEARCH("Desert",BV60)),ISNUMBER(SEARCH("ExtremeDesert",BV60)),ISNUMBER(SEARCH("LavaField",BV60))),50,IF(ISNUMBER(SEARCH("Grasslands",BV60)),45,IF(OR(_xlfn.XLOOKUP(_xlfn.XLOOKUP(B60,'Base stats'!B:B,'Base stats'!E:E),Groups!A:A,Groups!G:G)=1,ISNUMBER(SEARCH("TropicalRainforest",BV60)),ISNUMBER(SEARCH("TropicalSwamp",BV60))),40,IF(OR(ISNUMBER(SEARCH("TemperateForest",BV60)),ISNUMBER(SEARCH("TemperateSwamp",BV60))),35,IF(OR(ISNUMBER(SEARCH("Alpine",BV60)),ISNUMBER(SEARCH("BorealForest",BV60)),ISNUMBER(SEARCH("ColdBog",BV60))),30,IF(ISNUMBER(OR(ISNUMBER(SEARCH("GlacialPlain",BV60)),SEARCH("Tundra",BV60))),25,IF(OR(ISNUMBER(SEARCH("SeaIce",BV60)),ISNUMBER(SEARCH("IceSheet",BV60)),ISNUMBER(SEARCH("TropicalSwamp",BV60))),10,35)))))))+_xlfn.XLOOKUP(B60,'Base stats'!B:B,'Base stats'!Q:Q)</f>
        <v>50</v>
      </c>
      <c r="M60" s="8" t="str">
        <f>IF(_xlfn.XLOOKUP(_xlfn.XLOOKUP(B60,'Base stats'!B:B,'Base stats'!E:E),Groups!A:A,Groups!L:L)=1,MIN(MROUND(_xlfn.XLOOKUP(B60,'Animals CE'!B:B,'Animals CE'!Z:Z)/2+0.05,0.05),200%),"No")</f>
        <v>No</v>
      </c>
      <c r="N60" s="8" t="str">
        <f>IF(_xlfn.XLOOKUP(_xlfn.XLOOKUP(B60,'Base stats'!B:B,'Base stats'!E:E),Groups!A:A,Groups!L:L)=1,MIN(MROUND(_xlfn.XLOOKUP(B60,'Animals CE'!B:B,'Animals CE'!AA:AA)/2+0.05,0.05),200%),"No")</f>
        <v>No</v>
      </c>
      <c r="O60" s="2" t="str">
        <f>_xlfn.XLOOKUP(B60,'Base stats'!B:B,'Base stats'!R:R)</f>
        <v>Standard</v>
      </c>
      <c r="P60" s="13">
        <f>MROUND((LOG10(_xlfn.XLOOKUP(B60,'Base stats'!B:B,'Base stats'!AO:AO))*(AN60^0.5)+(_xlfn.XLOOKUP(B60,'Base stats'!B:B,'Base stats'!AO:AO)/1000)^(2/3)+_xlfn.XLOOKUP(B60,'Base stats'!B:B,'Base stats'!AX:AX)/2)+0.5,0.5)</f>
        <v>2</v>
      </c>
      <c r="Q60" s="7">
        <f>IF(P60="No","No",MAX(1,MROUND(_xlfn.XLOOKUP(B60,'Base stats'!B:B,'Base stats'!C:C)^0.165,0.05)))</f>
        <v>1.1500000000000001</v>
      </c>
      <c r="R60" s="13" t="str">
        <f>IF(_xlfn.XLOOKUP(_xlfn.XLOOKUP(B60,'Base stats'!B:B,'Base stats'!E:E),Groups!A:A,Groups!P:P)=0,"No",MROUND((LOG10(_xlfn.XLOOKUP(B60,'Base stats'!B:B,'Base stats'!AP:AP))*(AN60^0.5)+(_xlfn.XLOOKUP(B60,'Base stats'!B:B,'Base stats'!AP:AP)/1000)^(2/3)+_xlfn.XLOOKUP(B60,'Base stats'!B:B,'Base stats'!AX:AX))+_xlfn.XLOOKUP(B60,'Base stats'!B:B,'Base stats'!AV:AV)+0.5,0.5))</f>
        <v>No</v>
      </c>
      <c r="S60" s="7" t="str">
        <f>IF(R60="No","No",MAX(_xlfn.XLOOKUP(_xlfn.XLOOKUP(B60,'Base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T60" s="7" t="str">
        <f>IF(R60="No","No",_xlfn.XLOOKUP(_xlfn.XLOOKUP(B60,'Base stats'!B:B,'Base stats'!E:E),Groups!A:A,Groups!R:R))</f>
        <v>No</v>
      </c>
      <c r="U60" s="7" t="str">
        <f>IF(R60="No","No",_xlfn.XLOOKUP(_xlfn.XLOOKUP(B60,'Base stats'!B:B,'Base stats'!E:E),Groups!A:A,Groups!S:S))</f>
        <v>No</v>
      </c>
      <c r="V60" s="7" t="str">
        <f>IF(R60="No","No",_xlfn.XLOOKUP(_xlfn.XLOOKUP(B60,'Base stats'!B:B,'Base stats'!E:E),Groups!A:A,Groups!T:T))</f>
        <v>No</v>
      </c>
      <c r="W60" s="13" t="str">
        <f>IF(_xlfn.XLOOKUP(B60,'Base stats'!B:B,'Base stats'!W:W)="No","No",MROUND((LOG10(_xlfn.XLOOKUP(B60,'Base stats'!B:B,'Base stats'!AR:AR))*(AN60^0.5)+(_xlfn.XLOOKUP(B60,'Base stats'!B:B,'Base stats'!AR:AR)/1000)^(2/3)+_xlfn.XLOOKUP(B60,'Base stats'!B:B,'Base stats'!AW:AW))+0.5+IF(_xlfn.XLOOKUP(_xlfn.XLOOKUP(B60,'Base stats'!B:B,'Base stats'!E:E),Groups!A:A,Groups!U:U)&lt;&gt;3,_xlfn.XLOOKUP(B60,'Base stats'!B:B,'Base stats'!AX:AX),0),0.5))</f>
        <v>No</v>
      </c>
      <c r="X60" s="7" t="str">
        <f>IF(W60="No","No",MAX(_xlfn.XLOOKUP(_xlfn.XLOOKUP(B60,'Base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Y60" s="7" t="str">
        <f>IF(W60="No","No",_xlfn.XLOOKUP(_xlfn.XLOOKUP(B60,'Base stats'!B:B,'Base stats'!E:E),Groups!A:A,Groups!W:W))</f>
        <v>No</v>
      </c>
      <c r="Z60" s="7" t="str">
        <f>IF(W60="No","No",_xlfn.XLOOKUP(_xlfn.XLOOKUP(B60,'Base stats'!B:B,'Base stats'!E:E),Groups!A:A,Groups!X:X))</f>
        <v>No</v>
      </c>
      <c r="AA60" s="7" t="str">
        <f>IF(W60="No","No",_xlfn.XLOOKUP(_xlfn.XLOOKUP(B60,'Base stats'!B:B,'Base stats'!E:E),Groups!A:A,Groups!Y:Y))</f>
        <v>No</v>
      </c>
      <c r="AB60" s="7" t="str">
        <f>_xlfn.XLOOKUP(Animals!B60,'Base stats'!B:B,'Base stats'!X:X)</f>
        <v>False</v>
      </c>
      <c r="AC60" s="13">
        <f>IF(_xlfn.XLOOKUP(B60,'Base stats'!B:B,'Base stats'!AQ:AQ)="No","No",MROUND((LOG10(_xlfn.XLOOKUP(B60,'Base stats'!B:B,'Base stats'!AQ:AQ))*(AN60^0.75)+(_xlfn.XLOOKUP(B60,'Base stats'!B:B,'Base stats'!AQ:AQ)/1000)^(2/3)+_xlfn.XLOOKUP(B60,'Base stats'!B:B,'Base stats'!AU:AU)+_xlfn.XLOOKUP(B60,'Base stats'!B:B,'Base stats'!AX:AX))+0.5,0.5))</f>
        <v>3.5</v>
      </c>
      <c r="AD60" s="7">
        <f>IF(AC60="No","No",MAX(_xlfn.XLOOKUP(_xlfn.XLOOKUP(B60,'Base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E60" s="7" t="str">
        <f>IF(AC60="No","No",_xlfn.XLOOKUP(_xlfn.XLOOKUP(B60,'Base stats'!B:B,'Base stats'!E:E),Groups!A:A,Groups!AA:AA))</f>
        <v>Teeth</v>
      </c>
      <c r="AF60" s="7" t="str">
        <f>IF(AC60="No","No",_xlfn.XLOOKUP(_xlfn.XLOOKUP(B60,'Base stats'!B:B,'Base stats'!E:E),Groups!A:A,Groups!AB:AB))</f>
        <v>canines</v>
      </c>
      <c r="AG60" s="7" t="str">
        <f>IF(AC60="No","No",_xlfn.XLOOKUP(_xlfn.XLOOKUP(B60,'Base stats'!B:B,'Base stats'!E:E),Groups!A:A,Groups!AC:AC))</f>
        <v>Bite</v>
      </c>
      <c r="AH60" s="13" t="str">
        <f>IF(_xlfn.XLOOKUP(_xlfn.XLOOKUP(B60,'Base stats'!B:B,'Base stats'!E:E),Groups!A:A,Groups!AD:AD)=0,"No",MROUND((LOG10(_xlfn.XLOOKUP(B60,'Base stats'!B:B,'Base stats'!AP:AP))*(AN60^0.75)+(_xlfn.XLOOKUP(B60,'Base stats'!B:B,'Base stats'!AP:AP)/1000)^(2/3)+_xlfn.XLOOKUP(B60,'Base stats'!B:B,'Base stats'!AV:AV)+_xlfn.XLOOKUP(B60,'Base stats'!B:B,'Base stats'!AX:AX))+0.5,0.5))</f>
        <v>No</v>
      </c>
      <c r="AI60" s="7" t="str">
        <f>IF(AH60="No","No",MAX(_xlfn.XLOOKUP(_xlfn.XLOOKUP(B60,'Base stats'!B:B,'Base stats'!E:E),Groups!A:A,Groups!AE:AE),MROUND(_xlfn.XLOOKUP(_xlfn.XLOOKUP(B60,'Base stats'!B:B,'Base stats'!E:E),Groups!A:A,Groups!AE:AE)*_xlfn.XLOOKUP(B60,'Base stats'!B:B,'Base stats'!C:C)^0.165,0.05)))</f>
        <v>No</v>
      </c>
      <c r="AJ60" s="7" t="str">
        <f>IF(AH60="No","No",_xlfn.XLOOKUP(_xlfn.XLOOKUP(B60,'Base stats'!B:B,'Base stats'!E:E),Groups!A:A,Groups!AF:AF))</f>
        <v>No</v>
      </c>
      <c r="AK60" s="7" t="str">
        <f>IF(AH60="No","No",_xlfn.XLOOKUP(_xlfn.XLOOKUP(B60,'Base stats'!B:B,'Base stats'!E:E),Groups!A:A,Groups!AG:AG))</f>
        <v>No</v>
      </c>
      <c r="AL60" s="7" t="str">
        <f>IF(AH60="No","No",_xlfn.XLOOKUP(_xlfn.XLOOKUP(B60,'Base stats'!B:B,'Base stats'!E:E),Groups!A:A,Groups!AH:AH))</f>
        <v>No</v>
      </c>
      <c r="AM60" s="2">
        <f t="shared" si="0"/>
        <v>15</v>
      </c>
      <c r="AN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O60" s="8">
        <f>MROUND(AN60*_xlfn.XLOOKUP(_xlfn.XLOOKUP(B60,'Base stats'!B:B,'Base stats'!E:E),Groups!A:A,Groups!AI:AI),0.05)</f>
        <v>0.25</v>
      </c>
      <c r="AP60" s="8">
        <f>MAX(0.01,MROUND(IF(CA60="True",0.196*(AN60*100*1000)^0.889,IF(_xlfn.XLOOKUP(_xlfn.XLOOKUP(B60,'Base stats'!B:B,'Base stats'!E:E),Groups!A:A,Groups!AJ:AJ)="Bird",10.5*(AN60*100*1000)^0.681,4.82*(AN60*100*1000)^0.734))/(4.82*(1*100*1000)^0.734)/IF(AN60&lt;3.5,2,IF(AN60=3.5,1.5,1.25))*(1+0.132282374779864/(AN60^0.994035016789033+0.00905238001496948)),0.05))</f>
        <v>0.25</v>
      </c>
      <c r="AQ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R60" s="35">
        <f>IFERROR(IF(_xlfn.XLOOKUP(B60,'Base stats'!B:B,'Base stats'!F:F)="Lay eggs","Lay eggs",MIN(20,MAX(5.5,ROUND(((_xlfn.XLOOKUP(B60,'Base stats'!B:B,'Base stats'!F:F)-25)*(14.5/615) + 5.5)*2,0)/2))),"Cannot breed")</f>
        <v>6</v>
      </c>
      <c r="AS60" s="8">
        <f>IF(OR(A60="Queen",A60="Larva",A60="Megachicken"),"No",IFERROR(MAX(IF(_xlfn.XLOOKUP(B60,'Base stats'!B:B,'Base stats'!G:G)&lt;0.5,0.2,0.3),MROUND(_xlfn.XLOOKUP(B60,'Base stats'!B:B,'Base stats'!G:G)/(365/60),0.2)),"Unknown"))</f>
        <v>0.3</v>
      </c>
      <c r="AT60" s="8">
        <f t="shared" si="1"/>
        <v>0.15000000000000002</v>
      </c>
      <c r="AU60" s="8">
        <f>IFERROR(IFERROR(MROUND(_xlfn.XLOOKUP(B60,'Base stats'!B:B,'Base stats'!J:J),0.1),"Lay eggs"),"Cannot breed")</f>
        <v>2.2000000000000002</v>
      </c>
      <c r="AV60" s="2" t="str">
        <f t="shared" si="2"/>
        <v>false</v>
      </c>
      <c r="AW60" s="2" t="str">
        <f>IF(_xlfn.XLOOKUP(_xlfn.XLOOKUP(Animals!B60,'Base stats'!B:B,'Base stats'!E:E),Groups!A:A,Groups!AK:AK)=1,"true","false")</f>
        <v>false</v>
      </c>
      <c r="AX60" s="25" t="str">
        <f>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</f>
        <v>CarnivoreAnimal, OvivoreAnimal</v>
      </c>
      <c r="AY60" s="2" t="str">
        <f>IF(_xlfn.XLOOKUP(_xlfn.XLOOKUP(B60,'Base stats'!B:B,'Base stats'!E:E),Groups!A:A,Groups!D:D)=1,MROUND((1-I60)*5+1,2)*IF(I60&lt;=0.4,2,1),"No")</f>
        <v>No</v>
      </c>
      <c r="AZ60" s="2" t="str">
        <f>_xlfn.XLOOKUP(B60,'Base stats'!B:B,'Base stats'!AE:AE)</f>
        <v>Leather_Fox</v>
      </c>
      <c r="BA60" s="23" t="str">
        <f>_xlfn.XLOOKUP(_xlfn.XLOOKUP(B60,'Base stats'!B:B,'Base stats'!E:E),Groups!A:A,Groups!AL:AL)</f>
        <v>QuadrupedAnimalWithPawsAndTail</v>
      </c>
      <c r="BB60" s="23">
        <f>MROUND(IF(AND(AN60&lt;0.5,_xlfn.XLOOKUP(B60,'Base stats'!B:B,'Base stats'!Z:Z)=0),0,IF(OR(_xlfn.XLOOKUP(Animals!B60,'Base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stats'!AA:AA),0.005)</f>
        <v>0</v>
      </c>
      <c r="BC60" s="23">
        <f>MROUND(IF(AND(AN60&lt;0.5,_xlfn.XLOOKUP(B60,'Base stats'!B:B,'Base stats'!Z:Z)=0),0,IF(_xlfn.XLOOKUP(_xlfn.XLOOKUP(B60,'Base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stats'!AB:AB),0.005)</f>
        <v>0</v>
      </c>
      <c r="BD60" s="2" t="str">
        <f>IF(I60&gt;0.3,"No",_xlfn.XLOOKUP(_xlfn.XLOOKUP(Animals!B60,'Base stats'!B:B,'Base stats'!E:E),Groups!A:A,Groups!AP:AP))</f>
        <v>No</v>
      </c>
      <c r="BE60" s="2">
        <f>IF(AND(I60&lt;=0.65,_xlfn.XLOOKUP(_xlfn.XLOOKUP(Animals!B60,'Base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stats'!O:O)=2,0.2,AN60) + 24*(1-IF(BD60="No",0,BD60)) + 16/3, 12),"No")</f>
        <v>36</v>
      </c>
      <c r="BF60" s="2">
        <f>IF(AND(_xlfn.XLOOKUP(_xlfn.XLOOKUP(B60,'Base stats'!B:B,'Base stats'!E:E),Groups!A:A,Groups!AQ:AQ)=1,AN60&lt;=0.35),8,12)</f>
        <v>12</v>
      </c>
      <c r="BG60" s="2" t="str">
        <f>IF(_xlfn.XLOOKUP(_xlfn.XLOOKUP(B60,'Base stats'!B:B,'Base stats'!E:E),Groups!A:A,Groups!D:D)=0,_xlfn.XLOOKUP(_xlfn.XLOOKUP(B60,'Base stats'!B:B,'Base stats'!E:E),Groups!A:A,Groups!AR:AR),"None")</f>
        <v>Advanced</v>
      </c>
      <c r="BH60" s="2" t="str">
        <f>IF(AND(_xlfn.XLOOKUP(_xlfn.XLOOKUP(B60,'Base stats'!B:B,'Base stats'!E:E),Groups!A:A,Groups!AS:AS)=1,OR('Base stats'!Y60="Carnivore",'Base stats'!Y60="Omnivore")),"true","false")</f>
        <v>true</v>
      </c>
      <c r="BI60" s="2">
        <f>IF(BH60="true",MROUND(IF(AND(AN60&gt;0.5,_xlfn.XLOOKUP(_xlfn.XLOOKUP(B60,'Base stats'!B:B,'Base stats'!E:E),Groups!A:A,Groups!AJ:AJ)="Mammal"),Animals!AN60*1.75*IF(AV60="true",1.5,1),Animals!AN60),IF(AN60&gt;2,0.5,IF(AN60&gt;0.5,0.25,0.1))),"No")</f>
        <v>0.2</v>
      </c>
      <c r="BJ60" s="2">
        <f t="shared" si="3"/>
        <v>1</v>
      </c>
      <c r="BK60" s="25" t="str">
        <f>IF('Base stats'!AK60="Standard","No",MROUND((_xlfn.XLOOKUP(B60,'Base stats'!B:B,'Base stats'!AK:AK)/3.6)/H60,0.1))</f>
        <v>No</v>
      </c>
      <c r="BL60" s="25" t="str">
        <f t="shared" si="4"/>
        <v>false</v>
      </c>
      <c r="BM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N60" s="25" t="str" cm="1">
        <f t="array" ref="BN60">IF(
  _xlfn.TEXTJOIN(", ",TRUE,
    IF(AND(BH60="true",AN60&gt;0.5,BG60&lt;&gt;"None"),"AttackTarget",""),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IF(BE60&lt;=36,"Comfort",""),
    IF(_xlfn.XLOOKUP(B60,'Base stats'!B:B,'Base stats'!AC:AC)&lt;&gt;"No",_xlfn.XLOOKUP(B60,'Base stats'!B:B,'Base stats'!AC:AC),"")
  ) = "",
  "No",
  _xlfn.TEXTJOIN(", ",TRUE,
    IF(AND(BH60="true",AN60&gt;0.5,BG60&lt;&gt;"None"),"AttackTarget",""),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IF(BE60&lt;=36,"Comfort",""),
    IF(_xlfn.XLOOKUP(B60,'Base stats'!B:B,'Base stats'!AC:AC)&lt;&gt;"No",_xlfn.XLOOKUP(B60,'Base stats'!B:B,'Base stats'!AC:AC),"")
  )
)</f>
        <v>Comfort</v>
      </c>
      <c r="BO60" s="25" t="str">
        <f>IF(
   AND(
      'Base stats'!AK60="Standard",_xlfn.XLOOKUP(_xlfn.XLOOKUP(B60,'Base stats'!B:B,'Base stats'!E:E),Groups!A:A,Groups!AU:AU)=0,
      OR(
      BM60="True"
      )
   ),
   10,
   IF(
       OR(BK60&lt;&gt;"No",_xlfn.XLOOKUP(_xlfn.XLOOKUP(B60,'Base stats'!B:B,'Base stats'!E:E),Groups!A:A,Groups!AU:AU)=1),
      1,
      "No"
   )
)</f>
        <v>No</v>
      </c>
      <c r="BP60" s="9">
        <f>MROUND((1 + ((0.2*IF(OR(P60="No",Q60="No",Q60=0),0,P60/Q60)
+IF(OR(U60="No",R60="No",S60="No"),0,R60/S60*(LEN(U60)-LEN(SUBSTITUTE(U60,",",""))+1))
+IF(OR(W60="No",X60="No"),0,W60/X60)
+IF(OR(AC60="No",AD60="No"),0,AC60/AD60)
+IF(OR(AK60="No",AH60="No",AI60="No"),0,AH60/AI60*(LEN(AK60)-LEN(SUBSTITUTE(AK60,",",""))+1))
)/(0.2*IF(OR(P60="No",Q60="No",Q60=0),0,1)
+IF(OR(U60="No",R60="No",S60="No"),0,LEN(U60)-LEN(SUBSTITUTE(U60,",",""))+1)
+IF(OR(W60="No",X60="No"),0,1)
+IF(OR(AC60="No",AD60="No"),0,1)
+IF(OR(AK60="No",AH60="No",AI60="No"),0,LEN(AK60)-LEN(SUBSTITUTE(AK60,",",""))+1))*62%)* 2)*(1 + (AO60 + _xlfn.XLOOKUP(B60,'Base stats'!B:B,'Base stats'!AS:AS) * 1.8) * 2) * 2.5 + 10 + H60 * 2,5)+IF(_xlfn.XLOOKUP(B60,'Base stats'!B:B,'Base stats'!AH:AH)=1,50,0)</f>
        <v>40</v>
      </c>
      <c r="BQ60" s="8">
        <f t="shared" si="5"/>
        <v>0.25</v>
      </c>
      <c r="BR60" s="8" t="str">
        <f>_xlfn.XLOOKUP(B60,'Base stats'!B:B,'Base stats'!AD:AD)</f>
        <v>No</v>
      </c>
      <c r="BS60" s="2" t="str">
        <f>IF(AND(I60&lt;=0.95,OR(_xlfn.XLOOKUP(B60,'Base stats'!B:B,'Base stats'!AH:AH)=1,_xlfn.XLOOKUP(B60,'Base stats'!B:B,'Base stats'!Y:Y)="Carnivore",_xlfn.XLOOKUP(B60,'Base stats'!B:B,'Base stats'!Y:Y)="Omnivore",BC60&gt;0.1)),"true","false")</f>
        <v>true</v>
      </c>
      <c r="BT60" s="2" t="str">
        <f>IF(_xlfn.XLOOKUP(B60,'Base stats'!B:B,'Base stats'!AF:AF)=1,"true","false")</f>
        <v>false</v>
      </c>
      <c r="BU60" s="25" t="str">
        <f>IF(E60="BaseInsect","AnimalInsect",
IF(I60&gt;0.95,"AnimalExotic",
_xlfn.TEXTJOIN(", ",TRUE,
IF(AND(_xlfn.XLOOKUP(B60,'Base stats'!B:B,'Base stats'!O:O)=0,_xlfn.XLOOKUP(_xlfn.XLOOKUP(B60,'Base stats'!B:B,'Base stats'!E:E),Groups!A:A,Groups!B:B)&gt;0),"AnimalUncommon","AnimalCommon"),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stats'!AH:AH)=1,AND(BG60&lt;&gt;"None",BP60&gt;=60),ISNUMBER(SEARCH("Attack target",BN60))),"AnimalFighter","")
)))</f>
        <v>AnimalCommon</v>
      </c>
      <c r="BV60" s="25" t="str">
        <f>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</f>
        <v>AridShrubland Desert ExtremeDesert LavaField</v>
      </c>
      <c r="BW60" s="25" t="str">
        <f>IF(_xlfn.XLOOKUP(B60,'Base stats'!B:B,'Base stats'!AG:AG)=1,"true","false")</f>
        <v>false</v>
      </c>
      <c r="BX60" s="25">
        <f>IF(_xlfn.XLOOKUP(B60,'Base stats'!B:B,'Base stats'!N:N)=1,"No",MIN(MROUND(IF(OR(_xlfn.XLOOKUP(B60,'Base stats'!B:B,'Base stats'!AJ:AJ)=1,AND(BH60="True",CA60="False")),POWER(10,3.47*LOG10(_xlfn.XLOOKUP(B60,'Base stats'!B:B,'Base stats'!C:C)*1000)^-0.96),POWER(10,4.15*LOG10(_xlfn.XLOOKUP(B60,'Base stats'!B:B,'Base stats'!C:C)*1000)^-0.73))*IF(OR(_xlfn.XLOOKUP(B60,'Base stats'!B:B,'Base stats'!AJ:AJ)=1,_xlfn.XLOOKUP(B60,'Base stats'!B:B,'Base stats'!AH:AH)=1),0.5,1)/100,0.025),1))</f>
        <v>0.125</v>
      </c>
      <c r="BY60" s="25" t="str">
        <f>IF(O60="Standard","No",IF(_xlfn.XLOOKUP(B60,'Base stats'!B:B,'Base stats'!N:N)=0,MROUND(BX60*O60,0.05),MIN(1,MAX(0.025,MROUND(IF(OR(CA60="true",AND(BH60="false",BM60="false")),POWER(10,4.15*LOG10(_xlfn.XLOOKUP(B60,'Base stats'!B:B,'Base stats'!C:C)*1000)^-0.73),POWER(10,3.47*LOG10(_xlfn.XLOOKUP(B60,'Base stats'!B:B,'Base stats'!C:C)*1000)^-0.96))*IF(_xlfn.XLOOKUP(B60,'Base stats'!B:B,'Base stats'!AH:AH)=1,0.5,1)/100,0.025)))))</f>
        <v>No</v>
      </c>
      <c r="BZ60" s="25" t="str">
        <f>IF(_xlfn.XLOOKUP(_xlfn.XLOOKUP(B60,'Base stats'!B:B,'Base stats'!E:E),Groups!A:A,Groups!AJ:AJ)="Mammal","True","False")</f>
        <v>True</v>
      </c>
      <c r="CA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B60" s="25" t="str">
        <f t="shared" si="6"/>
        <v>False</v>
      </c>
      <c r="CC60" s="25" t="str">
        <f>IF(_xlfn.XLOOKUP(_xlfn.XLOOKUP(B60,'Base stats'!B:B,'Base stats'!E:E),Groups!A:A,Groups!AW:AW),"True","False")</f>
        <v>False</v>
      </c>
      <c r="CD60" s="25" t="str">
        <f>IF(_xlfn.XLOOKUP(_xlfn.XLOOKUP(B60,'Base stats'!B:B,'Base stats'!E:E),Groups!A:A,Groups!AX:AX),"True","False")</f>
        <v>False</v>
      </c>
      <c r="CE60" s="25" t="str">
        <f>IF(_xlfn.XLOOKUP(B60,'Base stats'!B:B,'Base stats'!E:E)=1,"True","False")</f>
        <v>False</v>
      </c>
      <c r="CF60" s="25" t="str">
        <f>IF(
OR(
_xlfn.XLOOKUP(_xlfn.XLOOKUP(B60,'Base stats'!B:B,'Base stats'!E:E),Groups!A:A,Groups!AY:AY)=0,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stats'!E:E),Groups!A:A,Groups!AY:AY)=1,
"Flesh",
IF(
_xlfn.XLOOKUP(_xlfn.XLOOKUP(B60,'Base stats'!B:B,'Base stats'!E:E),Groups!A:A,Groups!AY:AY)=2,
"Bone",
""
)
)
)</f>
        <v>No</v>
      </c>
      <c r="CG60" s="25" t="str">
        <f>IF(_xlfn.XLOOKUP(_xlfn.XLOOKUP(B60,'Base stats'!B:B,'Base stats'!E:E),Groups!A:A,Groups!BA:BA),"True","False")</f>
        <v>True</v>
      </c>
      <c r="CH60" s="25" t="str">
        <f>IF(_xlfn.XLOOKUP(_xlfn.XLOOKUP(B60,'Base stats'!B:B,'Base stats'!E:E),Groups!A:A,Groups!AZ:AZ),"True","False")</f>
        <v>False</v>
      </c>
    </row>
    <row r="61" spans="1:86" ht="16.5" thickTop="1" thickBot="1" x14ac:dyDescent="0.3">
      <c r="A61" s="26" t="str">
        <f>_xlfn.XLOOKUP(B61,'Base stats'!B:B,'Base stats'!A:A)</f>
        <v>Waste rat</v>
      </c>
      <c r="B61" s="6" t="s">
        <v>129</v>
      </c>
      <c r="C61" s="28" t="s">
        <v>752</v>
      </c>
      <c r="D61" s="28" t="s">
        <v>883</v>
      </c>
      <c r="E61" s="28" t="s">
        <v>685</v>
      </c>
      <c r="F61" s="28" t="s">
        <v>685</v>
      </c>
      <c r="G61" s="2">
        <f>MROUND((
  (IF(AND(_xlfn.XLOOKUP(B61,'Base stats'!B:B,'Base stats'!AI:AI)=0,BG61="None",_xlfn.XLOOKUP('Base stats'!E61,Groups!A:A,Groups!B:B)=0), (18 + BP61 * 2.7) * 0.5,
    IF(AND(_xlfn.XLOOKUP(B61,'Base stats'!B:B,'Base stats'!AI:AI)=0,OR(AN61&lt;0.55,AND(BG61="Intermediate",_xlfn.XLOOKUP('Base stats'!E61,Groups!A:A,Groups!B:B)&lt;2))), (18 + BP61 * 2.7),
      IF(OR(BG61="Advanced",_xlfn.XLOOKUP(B61,'Base stats'!B:B,'Base stats'!AI:AI)=1,_xlfn.XLOOKUP('Base stats'!E61,Groups!A:A,Groups!B:B)=2), (18 + BP61 * 2.7) + 250, (18 + BP61 * 2.7))
    )
  ))
  + AN61 * 80
  + IF(COUNTIF(EggMilk!K$2:K$998, A61) &gt; 0, 125, 0)
  + IF(COUNTIF(EggMilk!P$2:P$998, A61) &gt; 0, 90, 0)
  + IF(COUNTIF(EggMilk!A$2:A$998, A61) &gt; 0, 90, 0)
)
* (0.8 + 0.4 * I61)
* 0.75,25)</f>
        <v>75</v>
      </c>
      <c r="H61" s="2">
        <f>MROUND(ROUNDDOWN(_xlfn.XLOOKUP(B61,'Base stats'!B:B,'Base stats'!L:L)/3.6/(23.3/11),1),0.5)</f>
        <v>3.5</v>
      </c>
      <c r="I61" s="2">
        <f>IF(_xlfn.XLOOKUP(B61,'Base stats'!B:B,'Base stats'!AI:AI)=1,0.99,MIN(MROUND((1-0.6282*EXP(-0.459*AN61))*_xlfn.XLOOKUP(_xlfn.XLOOKUP(B61,'Base stats'!B:B,'Base stats'!E:E),Groups!A:A,Groups!C:C)*IF(_xlfn.XLOOKUP(B61,'Base stats'!B:B,'Base stats'!O:O)=1,0.5,IF(_xlfn.XLOOKUP(B61,'Base stats'!B:B,'Base stats'!O:O)=2,0,1)),0.05),0.985))</f>
        <v>0.60000000000000009</v>
      </c>
      <c r="J61" s="2">
        <f>ROUNDUP(AN61*_xlfn.XLOOKUP(_xlfn.XLOOKUP(B61,'Base stats'!B:B,'Base stats'!E:E),Groups!A:A,Groups!E:E),0)</f>
        <v>1</v>
      </c>
      <c r="K61" s="2">
        <f>IF(OR(_xlfn.XLOOKUP(_xlfn.XLOOKUP(B61,'Base stats'!B:B,'Base stats'!E:E),Groups!A:A,Groups!F:F)=2,ISNUMBER(SEARCH("SeaIce",BV61)),ISNUMBER(SEARCH("IceSheet",BV61))),-50,IF(OR(ISNUMBER(SEARCH("GlacialPlain",BV61)),ISNUMBER(SEARCH("Tundra",BV61))),-40,IF(OR(ISNUMBER(SEARCH("Alpine",BV61)),ISNUMBER(SEARCH("BorealForest",BV61)),ISNUMBER(SEARCH("ColdBog",BV61))),-30,IF(OR(ISNUMBER(SEARCH("TemperateForest",BV61)),ISNUMBER(SEARCH("TemperateSwamp",BV61))),-20,IF(_xlfn.XLOOKUP(_xlfn.XLOOKUP(B61,'Base stats'!B:B,'Base stats'!E:E),Groups!A:A,Groups!F:F)=1,-15,IF(OR(ISNUMBER(SEARCH("Desert",BV61)),ISNUMBER(SEARCH("ExtremeDesert",BV61))),-10,IF(OR(ISNUMBER(SEARCH("Grasslands",BV61)),ISNUMBER(SEARCH("TropicalRainforest",BV61)),ISNUMBER(SEARCH("TropicalSwamp",BV61))),10,0)))))))-IF(CA61="False",MIN(IFERROR(MAX(MROUND(LOG10(_xlfn.XLOOKUP(B61,'Base stats'!B:B,'Base stats'!C:C)^(2/3))*10,5),5),5),30))-_xlfn.XLOOKUP(B61,'Base stats'!B:B,'Base stats'!P:P)+IF(CA61="True",5,0)</f>
        <v>-35</v>
      </c>
      <c r="L61" s="2">
        <f>IF(OR(_xlfn.XLOOKUP(_xlfn.XLOOKUP(B61,'Base stats'!B:B,'Base stats'!E:E),Groups!A:A,Groups!G:G)=2,ISNUMBER(SEARCH("Desert",BV61)),ISNUMBER(SEARCH("ExtremeDesert",BV61)),ISNUMBER(SEARCH("LavaField",BV61))),50,IF(ISNUMBER(SEARCH("Grasslands",BV61)),45,IF(OR(_xlfn.XLOOKUP(_xlfn.XLOOKUP(B61,'Base stats'!B:B,'Base stats'!E:E),Groups!A:A,Groups!G:G)=1,ISNUMBER(SEARCH("TropicalRainforest",BV61)),ISNUMBER(SEARCH("TropicalSwamp",BV61))),40,IF(OR(ISNUMBER(SEARCH("TemperateForest",BV61)),ISNUMBER(SEARCH("TemperateSwamp",BV61))),35,IF(OR(ISNUMBER(SEARCH("Alpine",BV61)),ISNUMBER(SEARCH("BorealForest",BV61)),ISNUMBER(SEARCH("ColdBog",BV61))),30,IF(ISNUMBER(OR(ISNUMBER(SEARCH("GlacialPlain",BV61)),SEARCH("Tundra",BV61))),25,IF(OR(ISNUMBER(SEARCH("SeaIce",BV61)),ISNUMBER(SEARCH("IceSheet",BV61)),ISNUMBER(SEARCH("TropicalSwamp",BV61))),10,35)))))))+_xlfn.XLOOKUP(B61,'Base stats'!B:B,'Base stats'!Q:Q)</f>
        <v>50</v>
      </c>
      <c r="M61" s="8" t="str">
        <f>IF(_xlfn.XLOOKUP(_xlfn.XLOOKUP(B61,'Base stats'!B:B,'Base stats'!E:E),Groups!A:A,Groups!L:L)=1,MIN(MROUND(_xlfn.XLOOKUP(B61,'Animals CE'!B:B,'Animals CE'!Z:Z)/2+0.05,0.05),200%),"No")</f>
        <v>No</v>
      </c>
      <c r="N61" s="8" t="str">
        <f>IF(_xlfn.XLOOKUP(_xlfn.XLOOKUP(B61,'Base stats'!B:B,'Base stats'!E:E),Groups!A:A,Groups!L:L)=1,MIN(MROUND(_xlfn.XLOOKUP(B61,'Animals CE'!B:B,'Animals CE'!AA:AA)/2+0.05,0.05),200%),"No")</f>
        <v>No</v>
      </c>
      <c r="O61" s="2">
        <f>_xlfn.XLOOKUP(B61,'Base stats'!B:B,'Base stats'!R:R)</f>
        <v>1</v>
      </c>
      <c r="P61" s="13">
        <f>MROUND((LOG10(_xlfn.XLOOKUP(B61,'Base stats'!B:B,'Base stats'!AO:AO))*(AN61^0.5)+(_xlfn.XLOOKUP(B61,'Base stats'!B:B,'Base stats'!AO:AO)/1000)^(2/3)+_xlfn.XLOOKUP(B61,'Base stats'!B:B,'Base stats'!AX:AX)/2)+0.5,0.5)</f>
        <v>3.5</v>
      </c>
      <c r="Q61" s="7">
        <f>IF(P61="No","No",MAX(1,MROUND(_xlfn.XLOOKUP(B61,'Base stats'!B:B,'Base stats'!C:C)^0.165,0.05)))</f>
        <v>1.4500000000000002</v>
      </c>
      <c r="R61" s="13" t="str">
        <f>IF(_xlfn.XLOOKUP(_xlfn.XLOOKUP(B61,'Base stats'!B:B,'Base stats'!E:E),Groups!A:A,Groups!P:P)=0,"No",MROUND((LOG10(_xlfn.XLOOKUP(B61,'Base stats'!B:B,'Base stats'!AP:AP))*(AN61^0.5)+(_xlfn.XLOOKUP(B61,'Base stats'!B:B,'Base stats'!AP:AP)/1000)^(2/3)+_xlfn.XLOOKUP(B61,'Base stats'!B:B,'Base stats'!AX:AX))+_xlfn.XLOOKUP(B61,'Base stats'!B:B,'Base stats'!AV:AV)+0.5,0.5))</f>
        <v>No</v>
      </c>
      <c r="S61" s="7" t="str">
        <f>IF(R61="No","No",MAX(_xlfn.XLOOKUP(_xlfn.XLOOKUP(B61,'Base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T61" s="7" t="str">
        <f>IF(R61="No","No",_xlfn.XLOOKUP(_xlfn.XLOOKUP(B61,'Base stats'!B:B,'Base stats'!E:E),Groups!A:A,Groups!R:R))</f>
        <v>No</v>
      </c>
      <c r="U61" s="7" t="str">
        <f>IF(R61="No","No",_xlfn.XLOOKUP(_xlfn.XLOOKUP(B61,'Base stats'!B:B,'Base stats'!E:E),Groups!A:A,Groups!S:S))</f>
        <v>No</v>
      </c>
      <c r="V61" s="7" t="str">
        <f>IF(R61="No","No",_xlfn.XLOOKUP(_xlfn.XLOOKUP(B61,'Base stats'!B:B,'Base stats'!E:E),Groups!A:A,Groups!T:T))</f>
        <v>No</v>
      </c>
      <c r="W61" s="13" t="str">
        <f>IF(_xlfn.XLOOKUP(B61,'Base stats'!B:B,'Base stats'!W:W)="No","No",MROUND((LOG10(_xlfn.XLOOKUP(B61,'Base stats'!B:B,'Base stats'!AR:AR))*(AN61^0.5)+(_xlfn.XLOOKUP(B61,'Base stats'!B:B,'Base stats'!AR:AR)/1000)^(2/3)+_xlfn.XLOOKUP(B61,'Base stats'!B:B,'Base stats'!AW:AW))+0.5+IF(_xlfn.XLOOKUP(_xlfn.XLOOKUP(B61,'Base stats'!B:B,'Base stats'!E:E),Groups!A:A,Groups!U:U)&lt;&gt;3,_xlfn.XLOOKUP(B61,'Base stats'!B:B,'Base stats'!AX:AX),0),0.5))</f>
        <v>No</v>
      </c>
      <c r="X61" s="7" t="str">
        <f>IF(W61="No","No",MAX(_xlfn.XLOOKUP(_xlfn.XLOOKUP(B61,'Base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Y61" s="7" t="str">
        <f>IF(W61="No","No",_xlfn.XLOOKUP(_xlfn.XLOOKUP(B61,'Base stats'!B:B,'Base stats'!E:E),Groups!A:A,Groups!W:W))</f>
        <v>No</v>
      </c>
      <c r="Z61" s="7" t="str">
        <f>IF(W61="No","No",_xlfn.XLOOKUP(_xlfn.XLOOKUP(B61,'Base stats'!B:B,'Base stats'!E:E),Groups!A:A,Groups!X:X))</f>
        <v>No</v>
      </c>
      <c r="AA61" s="7" t="str">
        <f>IF(W61="No","No",_xlfn.XLOOKUP(_xlfn.XLOOKUP(B61,'Base stats'!B:B,'Base stats'!E:E),Groups!A:A,Groups!Y:Y))</f>
        <v>No</v>
      </c>
      <c r="AB61" s="7" t="str">
        <f>_xlfn.XLOOKUP(Animals!B61,'Base stats'!B:B,'Base stats'!X:X)</f>
        <v>False</v>
      </c>
      <c r="AC61" s="13">
        <f>IF(_xlfn.XLOOKUP(B61,'Base stats'!B:B,'Base stats'!AQ:AQ)="No","No",MROUND((LOG10(_xlfn.XLOOKUP(B61,'Base stats'!B:B,'Base stats'!AQ:AQ))*(AN61^0.75)+(_xlfn.XLOOKUP(B61,'Base stats'!B:B,'Base stats'!AQ:AQ)/1000)^(2/3)+_xlfn.XLOOKUP(B61,'Base stats'!B:B,'Base stats'!AU:AU)+_xlfn.XLOOKUP(B61,'Base stats'!B:B,'Base stats'!AX:AX))+0.5,0.5))</f>
        <v>7.5</v>
      </c>
      <c r="AD61" s="7">
        <f>IF(AC61="No","No",MAX(_xlfn.XLOOKUP(_xlfn.XLOOKUP(B61,'Base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E61" s="7" t="str">
        <f>IF(AC61="No","No",_xlfn.XLOOKUP(_xlfn.XLOOKUP(B61,'Base stats'!B:B,'Base stats'!E:E),Groups!A:A,Groups!AA:AA))</f>
        <v>Teeth</v>
      </c>
      <c r="AF61" s="7" t="str">
        <f>IF(AC61="No","No",_xlfn.XLOOKUP(_xlfn.XLOOKUP(B61,'Base stats'!B:B,'Base stats'!E:E),Groups!A:A,Groups!AB:AB))</f>
        <v>Incisors</v>
      </c>
      <c r="AG61" s="7" t="str">
        <f>IF(AC61="No","No",_xlfn.XLOOKUP(_xlfn.XLOOKUP(B61,'Base stats'!B:B,'Base stats'!E:E),Groups!A:A,Groups!AC:AC))</f>
        <v>Bite</v>
      </c>
      <c r="AH61" s="13" t="str">
        <f>IF(_xlfn.XLOOKUP(_xlfn.XLOOKUP(B61,'Base stats'!B:B,'Base stats'!E:E),Groups!A:A,Groups!AD:AD)=0,"No",MROUND((LOG10(_xlfn.XLOOKUP(B61,'Base stats'!B:B,'Base stats'!AP:AP))*(AN61^0.75)+(_xlfn.XLOOKUP(B61,'Base stats'!B:B,'Base stats'!AP:AP)/1000)^(2/3)+_xlfn.XLOOKUP(B61,'Base stats'!B:B,'Base stats'!AV:AV)+_xlfn.XLOOKUP(B61,'Base stats'!B:B,'Base stats'!AX:AX))+0.5,0.5))</f>
        <v>No</v>
      </c>
      <c r="AI61" s="7" t="str">
        <f>IF(AH61="No","No",MAX(_xlfn.XLOOKUP(_xlfn.XLOOKUP(B61,'Base stats'!B:B,'Base stats'!E:E),Groups!A:A,Groups!AE:AE),MROUND(_xlfn.XLOOKUP(_xlfn.XLOOKUP(B61,'Base stats'!B:B,'Base stats'!E:E),Groups!A:A,Groups!AE:AE)*_xlfn.XLOOKUP(B61,'Base stats'!B:B,'Base stats'!C:C)^0.165,0.05)))</f>
        <v>No</v>
      </c>
      <c r="AJ61" s="7" t="str">
        <f>IF(AH61="No","No",_xlfn.XLOOKUP(_xlfn.XLOOKUP(B61,'Base stats'!B:B,'Base stats'!E:E),Groups!A:A,Groups!AF:AF))</f>
        <v>No</v>
      </c>
      <c r="AK61" s="7" t="str">
        <f>IF(AH61="No","No",_xlfn.XLOOKUP(_xlfn.XLOOKUP(B61,'Base stats'!B:B,'Base stats'!E:E),Groups!A:A,Groups!AG:AG))</f>
        <v>No</v>
      </c>
      <c r="AL61" s="7" t="str">
        <f>IF(AH61="No","No",_xlfn.XLOOKUP(_xlfn.XLOOKUP(B61,'Base stats'!B:B,'Base stats'!E:E),Groups!A:A,Groups!AH:AH))</f>
        <v>No</v>
      </c>
      <c r="AM61" s="2" t="str">
        <f t="shared" si="0"/>
        <v>No</v>
      </c>
      <c r="AN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O61" s="8">
        <f>MROUND(AN61*_xlfn.XLOOKUP(_xlfn.XLOOKUP(B61,'Base stats'!B:B,'Base stats'!E:E),Groups!A:A,Groups!AI:AI),0.05)</f>
        <v>0.4</v>
      </c>
      <c r="AP61" s="8">
        <f>MAX(0.01,MROUND(IF(CA61="True",0.196*(AN61*100*1000)^0.889,IF(_xlfn.XLOOKUP(_xlfn.XLOOKUP(B61,'Base stats'!B:B,'Base stats'!E:E),Groups!A:A,Groups!AJ:AJ)="Bird",10.5*(AN61*100*1000)^0.681,4.82*(AN61*100*1000)^0.734))/(4.82*(1*100*1000)^0.734)/IF(AN61&lt;3.5,2,IF(AN61=3.5,1.5,1.25))*(1+0.132282374779864/(AN61^0.994035016789033+0.00905238001496948)),0.05))</f>
        <v>0.35000000000000003</v>
      </c>
      <c r="AQ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R61" s="35">
        <f>IFERROR(IF(_xlfn.XLOOKUP(B61,'Base stats'!B:B,'Base stats'!F:F)="Lay eggs","Lay eggs",MIN(20,MAX(5.5,ROUND(((_xlfn.XLOOKUP(B61,'Base stats'!B:B,'Base stats'!F:F)-25)*(14.5/615) + 5.5)*2,0)/2))),"Cannot breed")</f>
        <v>7</v>
      </c>
      <c r="AS61" s="8">
        <f>IF(OR(A61="Queen",A61="Larva",A61="Megachicken"),"No",IFERROR(MAX(IF(_xlfn.XLOOKUP(B61,'Base stats'!B:B,'Base stats'!G:G)&lt;0.5,0.2,0.3),MROUND(_xlfn.XLOOKUP(B61,'Base stats'!B:B,'Base stats'!G:G)/(365/60),0.2)),"Unknown"))</f>
        <v>0.3</v>
      </c>
      <c r="AT61" s="8">
        <f t="shared" si="1"/>
        <v>0.15000000000000002</v>
      </c>
      <c r="AU61" s="8">
        <f>IFERROR(IFERROR(MROUND(_xlfn.XLOOKUP(B61,'Base stats'!B:B,'Base stats'!J:J),0.1),"Lay eggs"),"Cannot breed")</f>
        <v>8</v>
      </c>
      <c r="AV61" s="2" t="str">
        <f t="shared" si="2"/>
        <v>true</v>
      </c>
      <c r="AW61" s="2" t="str">
        <f>IF(_xlfn.XLOOKUP(_xlfn.XLOOKUP(Animals!B61,'Base stats'!B:B,'Base stats'!E:E),Groups!A:A,Groups!AK:AK)=1,"true","false")</f>
        <v>false</v>
      </c>
      <c r="AX61" s="25" t="str">
        <f>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</f>
        <v>OmnivoreAnimal, OvivoreAnimal</v>
      </c>
      <c r="AY61" s="2" t="str">
        <f>IF(_xlfn.XLOOKUP(_xlfn.XLOOKUP(B61,'Base stats'!B:B,'Base stats'!E:E),Groups!A:A,Groups!D:D)=1,MROUND((1-I61)*5+1,2)*IF(I61&lt;=0.4,2,1),"No")</f>
        <v>No</v>
      </c>
      <c r="AZ61" s="2" t="str">
        <f>_xlfn.XLOOKUP(B61,'Base stats'!B:B,'Base stats'!AE:AE)</f>
        <v>Leather_Light</v>
      </c>
      <c r="BA61" s="23" t="str">
        <f>_xlfn.XLOOKUP(_xlfn.XLOOKUP(B61,'Base stats'!B:B,'Base stats'!E:E),Groups!A:A,Groups!AL:AL)</f>
        <v>QuadrupedAnimalWithPawsAndTail</v>
      </c>
      <c r="BB61" s="23">
        <f>MROUND(IF(AND(AN61&lt;0.5,_xlfn.XLOOKUP(B61,'Base stats'!B:B,'Base stats'!Z:Z)=0),0,IF(OR(_xlfn.XLOOKUP(Animals!B61,'Base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stats'!AA:AA),0.005)</f>
        <v>0.1</v>
      </c>
      <c r="BC61" s="23">
        <f>MROUND(IF(AND(AN61&lt;0.5,_xlfn.XLOOKUP(B61,'Base stats'!B:B,'Base stats'!Z:Z)=0),0,IF(_xlfn.XLOOKUP(_xlfn.XLOOKUP(B61,'Base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stats'!AB:AB),0.005)</f>
        <v>0.3</v>
      </c>
      <c r="BD61" s="2" t="str">
        <f>IF(I61&gt;0.3,"No",_xlfn.XLOOKUP(_xlfn.XLOOKUP(Animals!B61,'Base stats'!B:B,'Base stats'!E:E),Groups!A:A,Groups!AP:AP))</f>
        <v>No</v>
      </c>
      <c r="BE61" s="2">
        <f>IF(AND(I61&lt;=0.65,_xlfn.XLOOKUP(_xlfn.XLOOKUP(Animals!B61,'Base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stats'!O:O)=2,0.2,AN61) + 24*(1-IF(BD61="No",0,BD61)) + 16/3, 12),"No")</f>
        <v>36</v>
      </c>
      <c r="BF61" s="2">
        <f>IF(AND(_xlfn.XLOOKUP(_xlfn.XLOOKUP(B61,'Base stats'!B:B,'Base stats'!E:E),Groups!A:A,Groups!AQ:AQ)=1,AN61&lt;=0.35),8,12)</f>
        <v>12</v>
      </c>
      <c r="BG61" s="2" t="str">
        <f>IF(_xlfn.XLOOKUP(_xlfn.XLOOKUP(B61,'Base stats'!B:B,'Base stats'!E:E),Groups!A:A,Groups!D:D)=0,_xlfn.XLOOKUP(_xlfn.XLOOKUP(B61,'Base stats'!B:B,'Base stats'!E:E),Groups!A:A,Groups!AR:AR),"None")</f>
        <v>None</v>
      </c>
      <c r="BH61" s="2" t="str">
        <f>IF(AND(_xlfn.XLOOKUP(_xlfn.XLOOKUP(B61,'Base stats'!B:B,'Base stats'!E:E),Groups!A:A,Groups!AS:AS)=1,OR('Base stats'!Y61="Carnivore",'Base stats'!Y61="Omnivore")),"true","false")</f>
        <v>false</v>
      </c>
      <c r="BI61" s="2" t="str">
        <f>IF(BH61="true",MROUND(IF(AND(AN61&gt;0.5,_xlfn.XLOOKUP(_xlfn.XLOOKUP(B61,'Base stats'!B:B,'Base stats'!E:E),Groups!A:A,Groups!AJ:AJ)="Mammal"),Animals!AN61*1.75*IF(AV61="true",1.5,1),Animals!AN61),IF(AN61&gt;2,0.5,IF(AN61&gt;0.5,0.25,0.1))),"No")</f>
        <v>No</v>
      </c>
      <c r="BJ61" s="2">
        <f t="shared" si="3"/>
        <v>0</v>
      </c>
      <c r="BK61" s="25" t="str">
        <f>IF('Base stats'!AK61="Standard","No",MROUND((_xlfn.XLOOKUP(B61,'Base stats'!B:B,'Base stats'!AK:AK)/3.6)/H61,0.1))</f>
        <v>No</v>
      </c>
      <c r="BL61" s="25" t="str">
        <f t="shared" si="4"/>
        <v>false</v>
      </c>
      <c r="BM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N61" s="25" t="str" cm="1">
        <f t="array" ref="BN61">IF(
  _xlfn.TEXTJOIN(", ",TRUE,
    IF(AND(BH61="true",AN61&gt;0.5,BG61&lt;&gt;"None"),"AttackTarget",""),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IF(BE61&lt;=36,"Comfort",""),
    IF(_xlfn.XLOOKUP(B61,'Base stats'!B:B,'Base stats'!AC:AC)&lt;&gt;"No",_xlfn.XLOOKUP(B61,'Base stats'!B:B,'Base stats'!AC:AC),"")
  ) = "",
  "No",
  _xlfn.TEXTJOIN(", ",TRUE,
    IF(AND(BH61="true",AN61&gt;0.5,BG61&lt;&gt;"None"),"AttackTarget",""),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IF(BE61&lt;=36,"Comfort",""),
    IF(_xlfn.XLOOKUP(B61,'Base stats'!B:B,'Base stats'!AC:AC)&lt;&gt;"No",_xlfn.XLOOKUP(B61,'Base stats'!B:B,'Base stats'!AC:AC),"")
  )
)</f>
        <v>Forage, Comfort</v>
      </c>
      <c r="BO61" s="25" t="str">
        <f>IF(
   AND(
      'Base stats'!AK61="Standard",_xlfn.XLOOKUP(_xlfn.XLOOKUP(B61,'Base stats'!B:B,'Base stats'!E:E),Groups!A:A,Groups!AU:AU)=0,
      OR(
      BM61="True"
      )
   ),
   10,
   IF(
       OR(BK61&lt;&gt;"No",_xlfn.XLOOKUP(_xlfn.XLOOKUP(B61,'Base stats'!B:B,'Base stats'!E:E),Groups!A:A,Groups!AU:AU)=1),
      1,
      "No"
   )
)</f>
        <v>No</v>
      </c>
      <c r="BP61" s="9">
        <f>MROUND((1 + ((0.2*IF(OR(P61="No",Q61="No",Q61=0),0,P61/Q61)
+IF(OR(U61="No",R61="No",S61="No"),0,R61/S61*(LEN(U61)-LEN(SUBSTITUTE(U61,",",""))+1))
+IF(OR(W61="No",X61="No"),0,W61/X61)
+IF(OR(AC61="No",AD61="No"),0,AC61/AD61)
+IF(OR(AK61="No",AH61="No",AI61="No"),0,AH61/AI61*(LEN(AK61)-LEN(SUBSTITUTE(AK61,",",""))+1))
)/(0.2*IF(OR(P61="No",Q61="No",Q61=0),0,1)
+IF(OR(U61="No",R61="No",S61="No"),0,LEN(U61)-LEN(SUBSTITUTE(U61,",",""))+1)
+IF(OR(W61="No",X61="No"),0,1)
+IF(OR(AC61="No",AD61="No"),0,1)
+IF(OR(AK61="No",AH61="No",AI61="No"),0,LEN(AK61)-LEN(SUBSTITUTE(AK61,",",""))+1))*62%)* 2)*(1 + (AO61 + _xlfn.XLOOKUP(B61,'Base stats'!B:B,'Base stats'!AS:AS) * 1.8) * 2) * 2.5 + 10 + H61 * 2,5)+IF(_xlfn.XLOOKUP(B61,'Base stats'!B:B,'Base stats'!AH:AH)=1,50,0)</f>
        <v>50</v>
      </c>
      <c r="BQ61" s="8">
        <f t="shared" si="5"/>
        <v>0.35000000000000003</v>
      </c>
      <c r="BR61" s="8" t="str">
        <f>_xlfn.XLOOKUP(B61,'Base stats'!B:B,'Base stats'!AD:AD)</f>
        <v>1~6</v>
      </c>
      <c r="BS61" s="2" t="str">
        <f>IF(AND(I61&lt;=0.95,OR(_xlfn.XLOOKUP(B61,'Base stats'!B:B,'Base stats'!AH:AH)=1,_xlfn.XLOOKUP(B61,'Base stats'!B:B,'Base stats'!Y:Y)="Carnivore",_xlfn.XLOOKUP(B61,'Base stats'!B:B,'Base stats'!Y:Y)="Omnivore",BC61&gt;0.1)),"true","false")</f>
        <v>true</v>
      </c>
      <c r="BT61" s="2" t="str">
        <f>IF(_xlfn.XLOOKUP(B61,'Base stats'!B:B,'Base stats'!AF:AF)=1,"true","false")</f>
        <v>false</v>
      </c>
      <c r="BU61" s="25" t="str">
        <f>IF(E61="BaseInsect","AnimalInsect",
IF(I61&gt;0.95,"AnimalExotic",
_xlfn.TEXTJOIN(", ",TRUE,
IF(AND(_xlfn.XLOOKUP(B61,'Base stats'!B:B,'Base stats'!O:O)=0,_xlfn.XLOOKUP(_xlfn.XLOOKUP(B61,'Base stats'!B:B,'Base stats'!E:E),Groups!A:A,Groups!B:B)&gt;0),"AnimalUncommon","AnimalCommon"),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stats'!AH:AH)=1,AND(BG61&lt;&gt;"None",BP61&gt;=60),ISNUMBER(SEARCH("Attack target",BN61))),"AnimalFighter","")
)))</f>
        <v>AnimalCommon</v>
      </c>
      <c r="BV61" s="25" t="str">
        <f>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</f>
        <v>BorealForest ColdBog TemperateForest TemperateSwamp AridShrubland Desert ExtremeDesert TropicalRainforest TropicalSwamp Grasslands Glowforest LavaField Alpine Scarlands</v>
      </c>
      <c r="BW61" s="25" t="str">
        <f>IF(_xlfn.XLOOKUP(B61,'Base stats'!B:B,'Base stats'!AG:AG)=1,"true","false")</f>
        <v>false</v>
      </c>
      <c r="BX61" s="25" t="str">
        <f>IF(_xlfn.XLOOKUP(B61,'Base stats'!B:B,'Base stats'!N:N)=1,"No",MIN(MROUND(IF(OR(_xlfn.XLOOKUP(B61,'Base stats'!B:B,'Base stats'!AJ:AJ)=1,AND(BH61="True",CA61="False")),POWER(10,3.47*LOG10(_xlfn.XLOOKUP(B61,'Base stats'!B:B,'Base stats'!C:C)*1000)^-0.96),POWER(10,4.15*LOG10(_xlfn.XLOOKUP(B61,'Base stats'!B:B,'Base stats'!C:C)*1000)^-0.73))*IF(OR(_xlfn.XLOOKUP(B61,'Base stats'!B:B,'Base stats'!AJ:AJ)=1,_xlfn.XLOOKUP(B61,'Base stats'!B:B,'Base stats'!AH:AH)=1),0.5,1)/100,0.025),1))</f>
        <v>No</v>
      </c>
      <c r="BY61" s="25">
        <f>IF(O61="Standard","No",IF(_xlfn.XLOOKUP(B61,'Base stats'!B:B,'Base stats'!N:N)=0,MROUND(BX61*O61,0.05),MIN(1,MAX(0.025,MROUND(IF(OR(CA61="true",AND(BH61="false",BM61="false")),POWER(10,4.15*LOG10(_xlfn.XLOOKUP(B61,'Base stats'!B:B,'Base stats'!C:C)*1000)^-0.73),POWER(10,3.47*LOG10(_xlfn.XLOOKUP(B61,'Base stats'!B:B,'Base stats'!C:C)*1000)^-0.96))*IF(_xlfn.XLOOKUP(B61,'Base stats'!B:B,'Base stats'!AH:AH)=1,0.5,1)/100,0.025)))))</f>
        <v>0.32500000000000001</v>
      </c>
      <c r="BZ61" s="25" t="str">
        <f>IF(_xlfn.XLOOKUP(_xlfn.XLOOKUP(B61,'Base stats'!B:B,'Base stats'!E:E),Groups!A:A,Groups!AJ:AJ)="Mammal","True","False")</f>
        <v>True</v>
      </c>
      <c r="CA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B61" s="25" t="str">
        <f t="shared" si="6"/>
        <v>False</v>
      </c>
      <c r="CC61" s="25" t="str">
        <f>IF(_xlfn.XLOOKUP(_xlfn.XLOOKUP(B61,'Base stats'!B:B,'Base stats'!E:E),Groups!A:A,Groups!AW:AW),"True","False")</f>
        <v>False</v>
      </c>
      <c r="CD61" s="25" t="str">
        <f>IF(_xlfn.XLOOKUP(_xlfn.XLOOKUP(B61,'Base stats'!B:B,'Base stats'!E:E),Groups!A:A,Groups!AX:AX),"True","False")</f>
        <v>False</v>
      </c>
      <c r="CE61" s="25" t="str">
        <f>IF(_xlfn.XLOOKUP(B61,'Base stats'!B:B,'Base stats'!E:E)=1,"True","False")</f>
        <v>False</v>
      </c>
      <c r="CF61" s="25" t="str">
        <f>IF(
OR(
_xlfn.XLOOKUP(_xlfn.XLOOKUP(B61,'Base stats'!B:B,'Base stats'!E:E),Groups!A:A,Groups!AY:AY)=0,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stats'!E:E),Groups!A:A,Groups!AY:AY)=1,
"Flesh",
IF(
_xlfn.XLOOKUP(_xlfn.XLOOKUP(B61,'Base stats'!B:B,'Base stats'!E:E),Groups!A:A,Groups!AY:AY)=2,
"Bone",
""
)
)
)</f>
        <v>Bone</v>
      </c>
      <c r="CG61" s="25" t="str">
        <f>IF(_xlfn.XLOOKUP(_xlfn.XLOOKUP(B61,'Base stats'!B:B,'Base stats'!E:E),Groups!A:A,Groups!BA:BA),"True","False")</f>
        <v>True</v>
      </c>
      <c r="CH61" s="25" t="str">
        <f>IF(_xlfn.XLOOKUP(_xlfn.XLOOKUP(B61,'Base stats'!B:B,'Base stats'!E:E),Groups!A:A,Groups!AZ:AZ),"True","False")</f>
        <v>False</v>
      </c>
    </row>
    <row r="62" spans="1:86" ht="16.5" thickTop="1" thickBot="1" x14ac:dyDescent="0.3">
      <c r="A62" s="26" t="str">
        <f>_xlfn.XLOOKUP(B62,'Base stats'!B:B,'Base stats'!A:A)</f>
        <v>Panda</v>
      </c>
      <c r="B62" s="6" t="s">
        <v>197</v>
      </c>
      <c r="C62" s="28" t="s">
        <v>753</v>
      </c>
      <c r="D62" s="28" t="s">
        <v>882</v>
      </c>
      <c r="E62" s="28" t="s">
        <v>685</v>
      </c>
      <c r="F62" s="28" t="s">
        <v>460</v>
      </c>
      <c r="G62" s="2">
        <f>MROUND((
  (IF(AND(_xlfn.XLOOKUP(B62,'Base stats'!B:B,'Base stats'!AI:AI)=0,BG62="None",_xlfn.XLOOKUP('Base stats'!E62,Groups!A:A,Groups!B:B)=0), (18 + BP62 * 2.7) * 0.5,
    IF(AND(_xlfn.XLOOKUP(B62,'Base stats'!B:B,'Base stats'!AI:AI)=0,OR(AN62&lt;0.55,AND(BG62="Intermediate",_xlfn.XLOOKUP('Base stats'!E62,Groups!A:A,Groups!B:B)&lt;2))), (18 + BP62 * 2.7),
      IF(OR(BG62="Advanced",_xlfn.XLOOKUP(B62,'Base stats'!B:B,'Base stats'!AI:AI)=1,_xlfn.XLOOKUP('Base stats'!E62,Groups!A:A,Groups!B:B)=2), (18 + BP62 * 2.7) + 250, (18 + BP62 * 2.7))
    )
  ))
  + AN62 * 80
  + IF(COUNTIF(EggMilk!K$2:K$998, A62) &gt; 0, 125, 0)
  + IF(COUNTIF(EggMilk!P$2:P$998, A62) &gt; 0, 90, 0)
  + IF(COUNTIF(EggMilk!A$2:A$998, A62) &gt; 0, 90, 0)
)
* (0.8 + 0.4 * I62)
* 0.75,25)</f>
        <v>600</v>
      </c>
      <c r="H62" s="2">
        <f>MROUND(ROUNDDOWN(_xlfn.XLOOKUP(B62,'Base stats'!B:B,'Base stats'!L:L)/3.6/(23.3/11),1),0.5)</f>
        <v>5</v>
      </c>
      <c r="I62" s="2">
        <f>IF(_xlfn.XLOOKUP(B62,'Base stats'!B:B,'Base stats'!AI:AI)=1,0.99,MIN(MROUND((1-0.6282*EXP(-0.459*AN62))*_xlfn.XLOOKUP(_xlfn.XLOOKUP(B62,'Base stats'!B:B,'Base stats'!E:E),Groups!A:A,Groups!C:C)*IF(_xlfn.XLOOKUP(B62,'Base stats'!B:B,'Base stats'!O:O)=1,0.5,IF(_xlfn.XLOOKUP(B62,'Base stats'!B:B,'Base stats'!O:O)=2,0,1)),0.05),0.985))</f>
        <v>0.70000000000000007</v>
      </c>
      <c r="J62" s="2">
        <f>ROUNDUP(AN62*_xlfn.XLOOKUP(_xlfn.XLOOKUP(B62,'Base stats'!B:B,'Base stats'!E:E),Groups!A:A,Groups!E:E),0)</f>
        <v>2</v>
      </c>
      <c r="K62" s="2">
        <f>IF(OR(_xlfn.XLOOKUP(_xlfn.XLOOKUP(B62,'Base stats'!B:B,'Base stats'!E:E),Groups!A:A,Groups!F:F)=2,ISNUMBER(SEARCH("SeaIce",BV62)),ISNUMBER(SEARCH("IceSheet",BV62))),-50,IF(OR(ISNUMBER(SEARCH("GlacialPlain",BV62)),ISNUMBER(SEARCH("Tundra",BV62))),-40,IF(OR(ISNUMBER(SEARCH("Alpine",BV62)),ISNUMBER(SEARCH("BorealForest",BV62)),ISNUMBER(SEARCH("ColdBog",BV62))),-30,IF(OR(ISNUMBER(SEARCH("TemperateForest",BV62)),ISNUMBER(SEARCH("TemperateSwamp",BV62))),-20,IF(_xlfn.XLOOKUP(_xlfn.XLOOKUP(B62,'Base stats'!B:B,'Base stats'!E:E),Groups!A:A,Groups!F:F)=1,-15,IF(OR(ISNUMBER(SEARCH("Desert",BV62)),ISNUMBER(SEARCH("ExtremeDesert",BV62))),-10,IF(OR(ISNUMBER(SEARCH("Grasslands",BV62)),ISNUMBER(SEARCH("TropicalRainforest",BV62)),ISNUMBER(SEARCH("TropicalSwamp",BV62))),10,0)))))))-IF(CA62="False",MIN(IFERROR(MAX(MROUND(LOG10(_xlfn.XLOOKUP(B62,'Base stats'!B:B,'Base stats'!C:C)^(2/3))*10,5),5),5),30))-_xlfn.XLOOKUP(B62,'Base stats'!B:B,'Base stats'!P:P)+IF(CA62="True",5,0)</f>
        <v>-35</v>
      </c>
      <c r="L62" s="2">
        <f>IF(OR(_xlfn.XLOOKUP(_xlfn.XLOOKUP(B62,'Base stats'!B:B,'Base stats'!E:E),Groups!A:A,Groups!G:G)=2,ISNUMBER(SEARCH("Desert",BV62)),ISNUMBER(SEARCH("ExtremeDesert",BV62)),ISNUMBER(SEARCH("LavaField",BV62))),50,IF(ISNUMBER(SEARCH("Grasslands",BV62)),45,IF(OR(_xlfn.XLOOKUP(_xlfn.XLOOKUP(B62,'Base stats'!B:B,'Base stats'!E:E),Groups!A:A,Groups!G:G)=1,ISNUMBER(SEARCH("TropicalRainforest",BV62)),ISNUMBER(SEARCH("TropicalSwamp",BV62))),40,IF(OR(ISNUMBER(SEARCH("TemperateForest",BV62)),ISNUMBER(SEARCH("TemperateSwamp",BV62))),35,IF(OR(ISNUMBER(SEARCH("Alpine",BV62)),ISNUMBER(SEARCH("BorealForest",BV62)),ISNUMBER(SEARCH("ColdBog",BV62))),30,IF(ISNUMBER(OR(ISNUMBER(SEARCH("GlacialPlain",BV62)),SEARCH("Tundra",BV62))),25,IF(OR(ISNUMBER(SEARCH("SeaIce",BV62)),ISNUMBER(SEARCH("IceSheet",BV62)),ISNUMBER(SEARCH("TropicalSwamp",BV62))),10,35)))))))+_xlfn.XLOOKUP(B62,'Base stats'!B:B,'Base stats'!Q:Q)</f>
        <v>35</v>
      </c>
      <c r="M62" s="8" t="str">
        <f>IF(_xlfn.XLOOKUP(_xlfn.XLOOKUP(B62,'Base stats'!B:B,'Base stats'!E:E),Groups!A:A,Groups!L:L)=1,MIN(MROUND(_xlfn.XLOOKUP(B62,'Animals CE'!B:B,'Animals CE'!Z:Z)/2+0.05,0.05),200%),"No")</f>
        <v>No</v>
      </c>
      <c r="N62" s="8" t="str">
        <f>IF(_xlfn.XLOOKUP(_xlfn.XLOOKUP(B62,'Base stats'!B:B,'Base stats'!E:E),Groups!A:A,Groups!L:L)=1,MIN(MROUND(_xlfn.XLOOKUP(B62,'Animals CE'!B:B,'Animals CE'!AA:AA)/2+0.05,0.05),200%),"No")</f>
        <v>No</v>
      </c>
      <c r="O62" s="2" t="str">
        <f>_xlfn.XLOOKUP(B62,'Base stats'!B:B,'Base stats'!R:R)</f>
        <v>Standard</v>
      </c>
      <c r="P62" s="13">
        <f>MROUND((LOG10(_xlfn.XLOOKUP(B62,'Base stats'!B:B,'Base stats'!AO:AO))*(AN62^0.5)+(_xlfn.XLOOKUP(B62,'Base stats'!B:B,'Base stats'!AO:AO)/1000)^(2/3)+_xlfn.XLOOKUP(B62,'Base stats'!B:B,'Base stats'!AX:AX)/2)+0.5,0.5)</f>
        <v>9</v>
      </c>
      <c r="Q62" s="7">
        <f>IF(P62="No","No",MAX(1,MROUND(_xlfn.XLOOKUP(B62,'Base stats'!B:B,'Base stats'!C:C)^0.165,0.05)))</f>
        <v>2.2000000000000002</v>
      </c>
      <c r="R62" s="13" t="str">
        <f>IF(_xlfn.XLOOKUP(_xlfn.XLOOKUP(B62,'Base stats'!B:B,'Base stats'!E:E),Groups!A:A,Groups!P:P)=0,"No",MROUND((LOG10(_xlfn.XLOOKUP(B62,'Base stats'!B:B,'Base stats'!AP:AP))*(AN62^0.5)+(_xlfn.XLOOKUP(B62,'Base stats'!B:B,'Base stats'!AP:AP)/1000)^(2/3)+_xlfn.XLOOKUP(B62,'Base stats'!B:B,'Base stats'!AX:AX))+_xlfn.XLOOKUP(B62,'Base stats'!B:B,'Base stats'!AV:AV)+0.5,0.5))</f>
        <v>No</v>
      </c>
      <c r="S62" s="7" t="str">
        <f>IF(R62="No","No",MAX(_xlfn.XLOOKUP(_xlfn.XLOOKUP(B62,'Base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T62" s="7" t="str">
        <f>IF(R62="No","No",_xlfn.XLOOKUP(_xlfn.XLOOKUP(B62,'Base stats'!B:B,'Base stats'!E:E),Groups!A:A,Groups!R:R))</f>
        <v>No</v>
      </c>
      <c r="U62" s="7" t="str">
        <f>IF(R62="No","No",_xlfn.XLOOKUP(_xlfn.XLOOKUP(B62,'Base stats'!B:B,'Base stats'!E:E),Groups!A:A,Groups!S:S))</f>
        <v>No</v>
      </c>
      <c r="V62" s="7" t="str">
        <f>IF(R62="No","No",_xlfn.XLOOKUP(_xlfn.XLOOKUP(B62,'Base stats'!B:B,'Base stats'!E:E),Groups!A:A,Groups!T:T))</f>
        <v>No</v>
      </c>
      <c r="W62" s="13" t="str">
        <f>IF(_xlfn.XLOOKUP(B62,'Base stats'!B:B,'Base stats'!W:W)="No","No",MROUND((LOG10(_xlfn.XLOOKUP(B62,'Base stats'!B:B,'Base stats'!AR:AR))*(AN62^0.5)+(_xlfn.XLOOKUP(B62,'Base stats'!B:B,'Base stats'!AR:AR)/1000)^(2/3)+_xlfn.XLOOKUP(B62,'Base stats'!B:B,'Base stats'!AW:AW))+0.5+IF(_xlfn.XLOOKUP(_xlfn.XLOOKUP(B62,'Base stats'!B:B,'Base stats'!E:E),Groups!A:A,Groups!U:U)&lt;&gt;3,_xlfn.XLOOKUP(B62,'Base stats'!B:B,'Base stats'!AX:AX),0),0.5))</f>
        <v>No</v>
      </c>
      <c r="X62" s="7" t="str">
        <f>IF(W62="No","No",MAX(_xlfn.XLOOKUP(_xlfn.XLOOKUP(B62,'Base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Y62" s="7" t="str">
        <f>IF(W62="No","No",_xlfn.XLOOKUP(_xlfn.XLOOKUP(B62,'Base stats'!B:B,'Base stats'!E:E),Groups!A:A,Groups!W:W))</f>
        <v>No</v>
      </c>
      <c r="Z62" s="7" t="str">
        <f>IF(W62="No","No",_xlfn.XLOOKUP(_xlfn.XLOOKUP(B62,'Base stats'!B:B,'Base stats'!E:E),Groups!A:A,Groups!X:X))</f>
        <v>No</v>
      </c>
      <c r="AA62" s="7" t="str">
        <f>IF(W62="No","No",_xlfn.XLOOKUP(_xlfn.XLOOKUP(B62,'Base stats'!B:B,'Base stats'!E:E),Groups!A:A,Groups!Y:Y))</f>
        <v>No</v>
      </c>
      <c r="AB62" s="7" t="str">
        <f>_xlfn.XLOOKUP(Animals!B62,'Base stats'!B:B,'Base stats'!X:X)</f>
        <v>False</v>
      </c>
      <c r="AC62" s="13">
        <f>IF(_xlfn.XLOOKUP(B62,'Base stats'!B:B,'Base stats'!AQ:AQ)="No","No",MROUND((LOG10(_xlfn.XLOOKUP(B62,'Base stats'!B:B,'Base stats'!AQ:AQ))*(AN62^0.75)+(_xlfn.XLOOKUP(B62,'Base stats'!B:B,'Base stats'!AQ:AQ)/1000)^(2/3)+_xlfn.XLOOKUP(B62,'Base stats'!B:B,'Base stats'!AU:AU)+_xlfn.XLOOKUP(B62,'Base stats'!B:B,'Base stats'!AX:AX))+0.5,0.5))</f>
        <v>15.5</v>
      </c>
      <c r="AD62" s="7">
        <f>IF(AC62="No","No",MAX(_xlfn.XLOOKUP(_xlfn.XLOOKUP(B62,'Base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E62" s="7" t="str">
        <f>IF(AC62="No","No",_xlfn.XLOOKUP(_xlfn.XLOOKUP(B62,'Base stats'!B:B,'Base stats'!E:E),Groups!A:A,Groups!AA:AA))</f>
        <v>Teeth</v>
      </c>
      <c r="AF62" s="7" t="str">
        <f>IF(AC62="No","No",_xlfn.XLOOKUP(_xlfn.XLOOKUP(B62,'Base stats'!B:B,'Base stats'!E:E),Groups!A:A,Groups!AB:AB))</f>
        <v>canines</v>
      </c>
      <c r="AG62" s="7" t="str">
        <f>IF(AC62="No","No",_xlfn.XLOOKUP(_xlfn.XLOOKUP(B62,'Base stats'!B:B,'Base stats'!E:E),Groups!A:A,Groups!AC:AC))</f>
        <v>Bite</v>
      </c>
      <c r="AH62" s="13">
        <f>IF(_xlfn.XLOOKUP(_xlfn.XLOOKUP(B62,'Base stats'!B:B,'Base stats'!E:E),Groups!A:A,Groups!AD:AD)=0,"No",MROUND((LOG10(_xlfn.XLOOKUP(B62,'Base stats'!B:B,'Base stats'!AP:AP))*(AN62^0.75)+(_xlfn.XLOOKUP(B62,'Base stats'!B:B,'Base stats'!AP:AP)/1000)^(2/3)+_xlfn.XLOOKUP(B62,'Base stats'!B:B,'Base stats'!AV:AV)+_xlfn.XLOOKUP(B62,'Base stats'!B:B,'Base stats'!AX:AX))+0.5,0.5))</f>
        <v>13.5</v>
      </c>
      <c r="AI62" s="7">
        <f>IF(AH62="No","No",MAX(_xlfn.XLOOKUP(_xlfn.XLOOKUP(B62,'Base stats'!B:B,'Base stats'!E:E),Groups!A:A,Groups!AE:AE),MROUND(_xlfn.XLOOKUP(_xlfn.XLOOKUP(B62,'Base stats'!B:B,'Base stats'!E:E),Groups!A:A,Groups!AE:AE)*_xlfn.XLOOKUP(B62,'Base stats'!B:B,'Base stats'!C:C)^0.165,0.05)))</f>
        <v>1.4500000000000002</v>
      </c>
      <c r="AJ62" s="7" t="str">
        <f>IF(AH62="No","No",_xlfn.XLOOKUP(_xlfn.XLOOKUP(B62,'Base stats'!B:B,'Base stats'!E:E),Groups!A:A,Groups!AF:AF))</f>
        <v>FrontRightPaw, FrontRightPaw</v>
      </c>
      <c r="AK62" s="7" t="str">
        <f>IF(AH62="No","No",_xlfn.XLOOKUP(_xlfn.XLOOKUP(B62,'Base stats'!B:B,'Base stats'!E:E),Groups!A:A,Groups!AG:AG))</f>
        <v>left claw, right claw</v>
      </c>
      <c r="AL62" s="7" t="str">
        <f>IF(AH62="No","No",_xlfn.XLOOKUP(_xlfn.XLOOKUP(B62,'Base stats'!B:B,'Base stats'!E:E),Groups!A:A,Groups!AH:AH))</f>
        <v>Scratch</v>
      </c>
      <c r="AM62" s="2" t="str">
        <f t="shared" si="0"/>
        <v>No</v>
      </c>
      <c r="AN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O62" s="8">
        <f>MROUND(AN62*_xlfn.XLOOKUP(_xlfn.XLOOKUP(B62,'Base stats'!B:B,'Base stats'!E:E),Groups!A:A,Groups!AI:AI),0.05)</f>
        <v>1.55</v>
      </c>
      <c r="AP62" s="8">
        <f>MAX(0.01,MROUND(IF(CA62="True",0.196*(AN62*100*1000)^0.889,IF(_xlfn.XLOOKUP(_xlfn.XLOOKUP(B62,'Base stats'!B:B,'Base stats'!E:E),Groups!A:A,Groups!AJ:AJ)="Bird",10.5*(AN62*100*1000)^0.681,4.82*(AN62*100*1000)^0.734))/(4.82*(1*100*1000)^0.734)/IF(AN62&lt;3.5,2,IF(AN62=3.5,1.5,1.25))*(1+0.132282374779864/(AN62^0.994035016789033+0.00905238001496948)),0.05))</f>
        <v>0.65</v>
      </c>
      <c r="AQ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R62" s="35">
        <f>IFERROR(IF(_xlfn.XLOOKUP(B62,'Base stats'!B:B,'Base stats'!F:F)="Lay eggs","Lay eggs",MIN(20,MAX(5.5,ROUND(((_xlfn.XLOOKUP(B62,'Base stats'!B:B,'Base stats'!F:F)-25)*(14.5/615) + 5.5)*2,0)/2))),"Cannot breed")</f>
        <v>6</v>
      </c>
      <c r="AS62" s="8">
        <f>IF(OR(A62="Queen",A62="Larva",A62="Megachicken"),"No",IFERROR(MAX(IF(_xlfn.XLOOKUP(B62,'Base stats'!B:B,'Base stats'!G:G)&lt;0.5,0.2,0.3),MROUND(_xlfn.XLOOKUP(B62,'Base stats'!B:B,'Base stats'!G:G)/(365/60),0.2)),"Unknown"))</f>
        <v>1</v>
      </c>
      <c r="AT62" s="8">
        <f t="shared" si="1"/>
        <v>0.5</v>
      </c>
      <c r="AU62" s="8">
        <f>IFERROR(IFERROR(MROUND(_xlfn.XLOOKUP(B62,'Base stats'!B:B,'Base stats'!J:J),0.1),"Lay eggs"),"Cannot breed")</f>
        <v>1.5</v>
      </c>
      <c r="AV62" s="2" t="str">
        <f t="shared" si="2"/>
        <v>false</v>
      </c>
      <c r="AW62" s="2" t="str">
        <f>IF(_xlfn.XLOOKUP(_xlfn.XLOOKUP(Animals!B62,'Base stats'!B:B,'Base stats'!E:E),Groups!A:A,Groups!AK:AK)=1,"true","false")</f>
        <v>false</v>
      </c>
      <c r="AX62" s="25" t="str">
        <f>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</f>
        <v>VegetarianRoughAnimal</v>
      </c>
      <c r="AY62" s="2" t="str">
        <f>IF(_xlfn.XLOOKUP(_xlfn.XLOOKUP(B62,'Base stats'!B:B,'Base stats'!E:E),Groups!A:A,Groups!D:D)=1,MROUND((1-I62)*5+1,2)*IF(I62&lt;=0.4,2,1),"No")</f>
        <v>No</v>
      </c>
      <c r="AZ62" s="2" t="str">
        <f>_xlfn.XLOOKUP(B62,'Base stats'!B:B,'Base stats'!AE:AE)</f>
        <v>Leather_Bear</v>
      </c>
      <c r="BA62" s="23" t="str">
        <f>_xlfn.XLOOKUP(_xlfn.XLOOKUP(B62,'Base stats'!B:B,'Base stats'!E:E),Groups!A:A,Groups!AL:AL)</f>
        <v>QuadrupedAnimalWithPaws</v>
      </c>
      <c r="BB62" s="23">
        <f>MROUND(IF(AND(AN62&lt;0.5,_xlfn.XLOOKUP(B62,'Base stats'!B:B,'Base stats'!Z:Z)=0),0,IF(OR(_xlfn.XLOOKUP(Animals!B62,'Base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stats'!AA:AA),0.005)</f>
        <v>2.5000000000000001E-2</v>
      </c>
      <c r="BC62" s="23">
        <f>MROUND(IF(AND(AN62&lt;0.5,_xlfn.XLOOKUP(B62,'Base stats'!B:B,'Base stats'!Z:Z)=0),0,IF(_xlfn.XLOOKUP(_xlfn.XLOOKUP(B62,'Base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stats'!AB:AB),0.005)</f>
        <v>0.1</v>
      </c>
      <c r="BD62" s="2" t="str">
        <f>IF(I62&gt;0.3,"No",_xlfn.XLOOKUP(_xlfn.XLOOKUP(Animals!B62,'Base stats'!B:B,'Base stats'!E:E),Groups!A:A,Groups!AP:AP))</f>
        <v>No</v>
      </c>
      <c r="BE62" s="2" t="str">
        <f>IF(AND(I62&lt;=0.65,_xlfn.XLOOKUP(_xlfn.XLOOKUP(Animals!B62,'Base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stats'!O:O)=2,0.2,AN62) + 24*(1-IF(BD62="No",0,BD62)) + 16/3, 12),"No")</f>
        <v>No</v>
      </c>
      <c r="BF62" s="2">
        <f>IF(AND(_xlfn.XLOOKUP(_xlfn.XLOOKUP(B62,'Base stats'!B:B,'Base stats'!E:E),Groups!A:A,Groups!AQ:AQ)=1,AN62&lt;=0.35),8,12)</f>
        <v>12</v>
      </c>
      <c r="BG62" s="2" t="str">
        <f>IF(_xlfn.XLOOKUP(_xlfn.XLOOKUP(B62,'Base stats'!B:B,'Base stats'!E:E),Groups!A:A,Groups!D:D)=0,_xlfn.XLOOKUP(_xlfn.XLOOKUP(B62,'Base stats'!B:B,'Base stats'!E:E),Groups!A:A,Groups!AR:AR),"None")</f>
        <v>Advanced</v>
      </c>
      <c r="BH62" s="2" t="str">
        <f>IF(AND(_xlfn.XLOOKUP(_xlfn.XLOOKUP(B62,'Base stats'!B:B,'Base stats'!E:E),Groups!A:A,Groups!AS:AS)=1,OR('Base stats'!Y62="Carnivore",'Base stats'!Y62="Omnivore")),"true","false")</f>
        <v>false</v>
      </c>
      <c r="BI62" s="2" t="str">
        <f>IF(BH62="true",MROUND(IF(AND(AN62&gt;0.5,_xlfn.XLOOKUP(_xlfn.XLOOKUP(B62,'Base stats'!B:B,'Base stats'!E:E),Groups!A:A,Groups!AJ:AJ)="Mammal"),Animals!AN62*1.75*IF(AV62="true",1.5,1),Animals!AN62),IF(AN62&gt;2,0.5,IF(AN62&gt;0.5,0.25,0.1))),"No")</f>
        <v>No</v>
      </c>
      <c r="BJ62" s="2">
        <f t="shared" si="3"/>
        <v>1</v>
      </c>
      <c r="BK62" s="25" t="str">
        <f>IF('Base stats'!AK62="Standard","No",MROUND((_xlfn.XLOOKUP(B62,'Base stats'!B:B,'Base stats'!AK:AK)/3.6)/H62,0.1))</f>
        <v>No</v>
      </c>
      <c r="BL62" s="25" t="str">
        <f t="shared" si="4"/>
        <v>false</v>
      </c>
      <c r="BM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N62" s="25" t="str" cm="1">
        <f t="array" ref="BN62">IF(
  _xlfn.TEXTJOIN(", ",TRUE,
    IF(AND(BH62="true",AN62&gt;0.5,BG62&lt;&gt;"None"),"AttackTarget",""),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IF(BE62&lt;=36,"Comfort",""),
    IF(_xlfn.XLOOKUP(B62,'Base stats'!B:B,'Base stats'!AC:AC)&lt;&gt;"No",_xlfn.XLOOKUP(B62,'Base stats'!B:B,'Base stats'!AC:AC),"")
  ) = "",
  "No",
  _xlfn.TEXTJOIN(", ",TRUE,
    IF(AND(BH62="true",AN62&gt;0.5,BG62&lt;&gt;"None"),"AttackTarget",""),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IF(BE62&lt;=36,"Comfort",""),
    IF(_xlfn.XLOOKUP(B62,'Base stats'!B:B,'Base stats'!AC:AC)&lt;&gt;"No",_xlfn.XLOOKUP(B62,'Base stats'!B:B,'Base stats'!AC:AC),"")
  )
)</f>
        <v>No</v>
      </c>
      <c r="BO62" s="25" t="str">
        <f>IF(
   AND(
      'Base stats'!AK62="Standard",_xlfn.XLOOKUP(_xlfn.XLOOKUP(B62,'Base stats'!B:B,'Base stats'!E:E),Groups!A:A,Groups!AU:AU)=0,
      OR(
      BM62="True"
      )
   ),
   10,
   IF(
       OR(BK62&lt;&gt;"No",_xlfn.XLOOKUP(_xlfn.XLOOKUP(B62,'Base stats'!B:B,'Base stats'!E:E),Groups!A:A,Groups!AU:AU)=1),
      1,
      "No"
   )
)</f>
        <v>No</v>
      </c>
      <c r="BP62" s="9">
        <f>MROUND((1 + ((0.2*IF(OR(P62="No",Q62="No",Q62=0),0,P62/Q62)
+IF(OR(U62="No",R62="No",S62="No"),0,R62/S62*(LEN(U62)-LEN(SUBSTITUTE(U62,",",""))+1))
+IF(OR(W62="No",X62="No"),0,W62/X62)
+IF(OR(AC62="No",AD62="No"),0,AC62/AD62)
+IF(OR(AK62="No",AH62="No",AI62="No"),0,AH62/AI62*(LEN(AK62)-LEN(SUBSTITUTE(AK62,",",""))+1))
)/(0.2*IF(OR(P62="No",Q62="No",Q62=0),0,1)
+IF(OR(U62="No",R62="No",S62="No"),0,LEN(U62)-LEN(SUBSTITUTE(U62,",",""))+1)
+IF(OR(W62="No",X62="No"),0,1)
+IF(OR(AC62="No",AD62="No"),0,1)
+IF(OR(AK62="No",AH62="No",AI62="No"),0,LEN(AK62)-LEN(SUBSTITUTE(AK62,",",""))+1))*62%)* 2)*(1 + (AO62 + _xlfn.XLOOKUP(B62,'Base stats'!B:B,'Base stats'!AS:AS) * 1.8) * 2) * 2.5 + 10 + H62 * 2,5)+IF(_xlfn.XLOOKUP(B62,'Base stats'!B:B,'Base stats'!AH:AH)=1,50,0)</f>
        <v>140</v>
      </c>
      <c r="BQ62" s="8">
        <f t="shared" si="5"/>
        <v>0.8</v>
      </c>
      <c r="BR62" s="8" t="str">
        <f>_xlfn.XLOOKUP(B62,'Base stats'!B:B,'Base stats'!AD:AD)</f>
        <v>No</v>
      </c>
      <c r="BS62" s="2" t="str">
        <f>IF(AND(I62&lt;=0.95,OR(_xlfn.XLOOKUP(B62,'Base stats'!B:B,'Base stats'!AH:AH)=1,_xlfn.XLOOKUP(B62,'Base stats'!B:B,'Base stats'!Y:Y)="Carnivore",_xlfn.XLOOKUP(B62,'Base stats'!B:B,'Base stats'!Y:Y)="Omnivore",BC62&gt;0.1)),"true","false")</f>
        <v>false</v>
      </c>
      <c r="BT62" s="2" t="str">
        <f>IF(_xlfn.XLOOKUP(B62,'Base stats'!B:B,'Base stats'!AF:AF)=1,"true","false")</f>
        <v>false</v>
      </c>
      <c r="BU62" s="25" t="str">
        <f>IF(E62="BaseInsect","AnimalInsect",
IF(I62&gt;0.95,"AnimalExotic",
_xlfn.TEXTJOIN(", ",TRUE,
IF(AND(_xlfn.XLOOKUP(B62,'Base stats'!B:B,'Base stats'!O:O)=0,_xlfn.XLOOKUP(_xlfn.XLOOKUP(B62,'Base stats'!B:B,'Base stats'!E:E),Groups!A:A,Groups!B:B)&gt;0),"AnimalUncommon","AnimalCommon"),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stats'!AH:AH)=1,AND(BG62&lt;&gt;"None",BP62&gt;=60),ISNUMBER(SEARCH("Attack target",BN62))),"AnimalFighter","")
)))</f>
        <v>AnimalUncommon, AnimalFighter</v>
      </c>
      <c r="BV62" s="25" t="str">
        <f>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</f>
        <v>TemperateForest TemperateSwamp</v>
      </c>
      <c r="BW62" s="25" t="str">
        <f>IF(_xlfn.XLOOKUP(B62,'Base stats'!B:B,'Base stats'!AG:AG)=1,"true","false")</f>
        <v>false</v>
      </c>
      <c r="BX62" s="25">
        <f>IF(_xlfn.XLOOKUP(B62,'Base stats'!B:B,'Base stats'!N:N)=1,"No",MIN(MROUND(IF(OR(_xlfn.XLOOKUP(B62,'Base stats'!B:B,'Base stats'!AJ:AJ)=1,AND(BH62="True",CA62="False")),POWER(10,3.47*LOG10(_xlfn.XLOOKUP(B62,'Base stats'!B:B,'Base stats'!C:C)*1000)^-0.96),POWER(10,4.15*LOG10(_xlfn.XLOOKUP(B62,'Base stats'!B:B,'Base stats'!C:C)*1000)^-0.73))*IF(OR(_xlfn.XLOOKUP(B62,'Base stats'!B:B,'Base stats'!AJ:AJ)=1,_xlfn.XLOOKUP(B62,'Base stats'!B:B,'Base stats'!AH:AH)=1),0.5,1)/100,0.025),1))</f>
        <v>2.5000000000000001E-2</v>
      </c>
      <c r="BY62" s="25" t="str">
        <f>IF(O62="Standard","No",IF(_xlfn.XLOOKUP(B62,'Base stats'!B:B,'Base stats'!N:N)=0,MROUND(BX62*O62,0.05),MIN(1,MAX(0.025,MROUND(IF(OR(CA62="true",AND(BH62="false",BM62="false")),POWER(10,4.15*LOG10(_xlfn.XLOOKUP(B62,'Base stats'!B:B,'Base stats'!C:C)*1000)^-0.73),POWER(10,3.47*LOG10(_xlfn.XLOOKUP(B62,'Base stats'!B:B,'Base stats'!C:C)*1000)^-0.96))*IF(_xlfn.XLOOKUP(B62,'Base stats'!B:B,'Base stats'!AH:AH)=1,0.5,1)/100,0.025)))))</f>
        <v>No</v>
      </c>
      <c r="BZ62" s="25" t="str">
        <f>IF(_xlfn.XLOOKUP(_xlfn.XLOOKUP(B62,'Base stats'!B:B,'Base stats'!E:E),Groups!A:A,Groups!AJ:AJ)="Mammal","True","False")</f>
        <v>True</v>
      </c>
      <c r="CA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B62" s="25" t="str">
        <f t="shared" si="6"/>
        <v>False</v>
      </c>
      <c r="CC62" s="25" t="str">
        <f>IF(_xlfn.XLOOKUP(_xlfn.XLOOKUP(B62,'Base stats'!B:B,'Base stats'!E:E),Groups!A:A,Groups!AW:AW),"True","False")</f>
        <v>False</v>
      </c>
      <c r="CD62" s="25" t="str">
        <f>IF(_xlfn.XLOOKUP(_xlfn.XLOOKUP(B62,'Base stats'!B:B,'Base stats'!E:E),Groups!A:A,Groups!AX:AX),"True","False")</f>
        <v>False</v>
      </c>
      <c r="CE62" s="25" t="str">
        <f>IF(_xlfn.XLOOKUP(B62,'Base stats'!B:B,'Base stats'!E:E)=1,"True","False")</f>
        <v>False</v>
      </c>
      <c r="CF62" s="25" t="str">
        <f>IF(
OR(
_xlfn.XLOOKUP(_xlfn.XLOOKUP(B62,'Base stats'!B:B,'Base stats'!E:E),Groups!A:A,Groups!AY:AY)=0,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stats'!E:E),Groups!A:A,Groups!AY:AY)=1,
"Flesh",
IF(
_xlfn.XLOOKUP(_xlfn.XLOOKUP(B62,'Base stats'!B:B,'Base stats'!E:E),Groups!A:A,Groups!AY:AY)=2,
"Bone",
""
)
)
)</f>
        <v>No</v>
      </c>
      <c r="CG62" s="25" t="str">
        <f>IF(_xlfn.XLOOKUP(_xlfn.XLOOKUP(B62,'Base stats'!B:B,'Base stats'!E:E),Groups!A:A,Groups!BA:BA),"True","False")</f>
        <v>True</v>
      </c>
      <c r="CH62" s="25" t="str">
        <f>IF(_xlfn.XLOOKUP(_xlfn.XLOOKUP(B62,'Base stats'!B:B,'Base stats'!E:E),Groups!A:A,Groups!AZ:AZ),"True","False")</f>
        <v>False</v>
      </c>
    </row>
    <row r="63" spans="1:86" ht="16.5" thickTop="1" thickBot="1" x14ac:dyDescent="0.3">
      <c r="A63" s="26" t="str">
        <f>_xlfn.XLOOKUP(B63,'Base stats'!B:B,'Base stats'!A:A)</f>
        <v>Sparrow</v>
      </c>
      <c r="B63" s="6" t="s">
        <v>223</v>
      </c>
      <c r="C63" s="28" t="s">
        <v>754</v>
      </c>
      <c r="D63" s="28" t="s">
        <v>882</v>
      </c>
      <c r="E63" s="28" t="s">
        <v>755</v>
      </c>
      <c r="F63" s="28" t="s">
        <v>685</v>
      </c>
      <c r="G63" s="2">
        <f>MROUND((
  (IF(AND(_xlfn.XLOOKUP(B63,'Base stats'!B:B,'Base stats'!AI:AI)=0,BG63="None",_xlfn.XLOOKUP('Base stats'!E63,Groups!A:A,Groups!B:B)=0), (18 + BP63 * 2.7) * 0.5,
    IF(AND(_xlfn.XLOOKUP(B63,'Base stats'!B:B,'Base stats'!AI:AI)=0,OR(AN63&lt;0.55,AND(BG63="Intermediate",_xlfn.XLOOKUP('Base stats'!E63,Groups!A:A,Groups!B:B)&lt;2))), (18 + BP63 * 2.7),
      IF(OR(BG63="Advanced",_xlfn.XLOOKUP(B63,'Base stats'!B:B,'Base stats'!AI:AI)=1,_xlfn.XLOOKUP('Base stats'!E63,Groups!A:A,Groups!B:B)=2), (18 + BP63 * 2.7) + 250, (18 + BP63 * 2.7))
    )
  ))
  + AN63 * 80
  + IF(COUNTIF(EggMilk!K$2:K$998, A63) &gt; 0, 125, 0)
  + IF(COUNTIF(EggMilk!P$2:P$998, A63) &gt; 0, 90, 0)
  + IF(COUNTIF(EggMilk!A$2:A$998, A63) &gt; 0, 90, 0)
)
* (0.8 + 0.4 * I63)
* 0.75,25)</f>
        <v>125</v>
      </c>
      <c r="H63" s="2">
        <f>MROUND(ROUNDDOWN(_xlfn.XLOOKUP(B63,'Base stats'!B:B,'Base stats'!L:L)/3.6/(23.3/11),1),0.5)</f>
        <v>2</v>
      </c>
      <c r="I63" s="2">
        <f>IF(_xlfn.XLOOKUP(B63,'Base stats'!B:B,'Base stats'!AI:AI)=1,0.99,MIN(MROUND((1-0.6282*EXP(-0.459*AN63))*_xlfn.XLOOKUP(_xlfn.XLOOKUP(B63,'Base stats'!B:B,'Base stats'!E:E),Groups!A:A,Groups!C:C)*IF(_xlfn.XLOOKUP(B63,'Base stats'!B:B,'Base stats'!O:O)=1,0.5,IF(_xlfn.XLOOKUP(B63,'Base stats'!B:B,'Base stats'!O:O)=2,0,1)),0.05),0.985))</f>
        <v>0.5</v>
      </c>
      <c r="J63" s="2">
        <f>ROUNDUP(AN63*_xlfn.XLOOKUP(_xlfn.XLOOKUP(B63,'Base stats'!B:B,'Base stats'!E:E),Groups!A:A,Groups!E:E),0)</f>
        <v>1</v>
      </c>
      <c r="K63" s="2">
        <f>IF(OR(_xlfn.XLOOKUP(_xlfn.XLOOKUP(B63,'Base stats'!B:B,'Base stats'!E:E),Groups!A:A,Groups!F:F)=2,ISNUMBER(SEARCH("SeaIce",BV63)),ISNUMBER(SEARCH("IceSheet",BV63))),-50,IF(OR(ISNUMBER(SEARCH("GlacialPlain",BV63)),ISNUMBER(SEARCH("Tundra",BV63))),-40,IF(OR(ISNUMBER(SEARCH("Alpine",BV63)),ISNUMBER(SEARCH("BorealForest",BV63)),ISNUMBER(SEARCH("ColdBog",BV63))),-30,IF(OR(ISNUMBER(SEARCH("TemperateForest",BV63)),ISNUMBER(SEARCH("TemperateSwamp",BV63))),-20,IF(_xlfn.XLOOKUP(_xlfn.XLOOKUP(B63,'Base stats'!B:B,'Base stats'!E:E),Groups!A:A,Groups!F:F)=1,-15,IF(OR(ISNUMBER(SEARCH("Desert",BV63)),ISNUMBER(SEARCH("ExtremeDesert",BV63))),-10,IF(OR(ISNUMBER(SEARCH("Grasslands",BV63)),ISNUMBER(SEARCH("TropicalRainforest",BV63)),ISNUMBER(SEARCH("TropicalSwamp",BV63))),10,0)))))))-IF(CA63="False",MIN(IFERROR(MAX(MROUND(LOG10(_xlfn.XLOOKUP(B63,'Base stats'!B:B,'Base stats'!C:C)^(2/3))*10,5),5),5),30))-_xlfn.XLOOKUP(B63,'Base stats'!B:B,'Base stats'!P:P)+IF(CA63="True",5,0)</f>
        <v>-45</v>
      </c>
      <c r="L63" s="2">
        <f>IF(OR(_xlfn.XLOOKUP(_xlfn.XLOOKUP(B63,'Base stats'!B:B,'Base stats'!E:E),Groups!A:A,Groups!G:G)=2,ISNUMBER(SEARCH("Desert",BV63)),ISNUMBER(SEARCH("ExtremeDesert",BV63)),ISNUMBER(SEARCH("LavaField",BV63))),50,IF(ISNUMBER(SEARCH("Grasslands",BV63)),45,IF(OR(_xlfn.XLOOKUP(_xlfn.XLOOKUP(B63,'Base stats'!B:B,'Base stats'!E:E),Groups!A:A,Groups!G:G)=1,ISNUMBER(SEARCH("TropicalRainforest",BV63)),ISNUMBER(SEARCH("TropicalSwamp",BV63))),40,IF(OR(ISNUMBER(SEARCH("TemperateForest",BV63)),ISNUMBER(SEARCH("TemperateSwamp",BV63))),35,IF(OR(ISNUMBER(SEARCH("Alpine",BV63)),ISNUMBER(SEARCH("BorealForest",BV63)),ISNUMBER(SEARCH("ColdBog",BV63))),30,IF(ISNUMBER(OR(ISNUMBER(SEARCH("GlacialPlain",BV63)),SEARCH("Tundra",BV63))),25,IF(OR(ISNUMBER(SEARCH("SeaIce",BV63)),ISNUMBER(SEARCH("IceSheet",BV63)),ISNUMBER(SEARCH("TropicalSwamp",BV63))),10,35)))))))+_xlfn.XLOOKUP(B63,'Base stats'!B:B,'Base stats'!Q:Q)</f>
        <v>50</v>
      </c>
      <c r="M63" s="8" t="str">
        <f>IF(_xlfn.XLOOKUP(_xlfn.XLOOKUP(B63,'Base stats'!B:B,'Base stats'!E:E),Groups!A:A,Groups!L:L)=1,MIN(MROUND(_xlfn.XLOOKUP(B63,'Animals CE'!B:B,'Animals CE'!Z:Z)/2+0.05,0.05),200%),"No")</f>
        <v>No</v>
      </c>
      <c r="N63" s="8" t="str">
        <f>IF(_xlfn.XLOOKUP(_xlfn.XLOOKUP(B63,'Base stats'!B:B,'Base stats'!E:E),Groups!A:A,Groups!L:L)=1,MIN(MROUND(_xlfn.XLOOKUP(B63,'Animals CE'!B:B,'Animals CE'!AA:AA)/2+0.05,0.05),200%),"No")</f>
        <v>No</v>
      </c>
      <c r="O63" s="2">
        <f>_xlfn.XLOOKUP(B63,'Base stats'!B:B,'Base stats'!R:R)</f>
        <v>0.8</v>
      </c>
      <c r="P63" s="13">
        <f>MROUND((LOG10(_xlfn.XLOOKUP(B63,'Base stats'!B:B,'Base stats'!AO:AO))*(AN63^0.5)+(_xlfn.XLOOKUP(B63,'Base stats'!B:B,'Base stats'!AO:AO)/1000)^(2/3)+_xlfn.XLOOKUP(B63,'Base stats'!B:B,'Base stats'!AX:AX)/2)+0.5,0.5)</f>
        <v>0.5</v>
      </c>
      <c r="Q63" s="7">
        <f>IF(P63="No","No",MAX(1,MROUND(_xlfn.XLOOKUP(B63,'Base stats'!B:B,'Base stats'!C:C)^0.165,0.05)))</f>
        <v>1</v>
      </c>
      <c r="R63" s="13">
        <f>IF(_xlfn.XLOOKUP(_xlfn.XLOOKUP(B63,'Base stats'!B:B,'Base stats'!E:E),Groups!A:A,Groups!P:P)=0,"No",MROUND((LOG10(_xlfn.XLOOKUP(B63,'Base stats'!B:B,'Base stats'!AP:AP))*(AN63^0.5)+(_xlfn.XLOOKUP(B63,'Base stats'!B:B,'Base stats'!AP:AP)/1000)^(2/3)+_xlfn.XLOOKUP(B63,'Base stats'!B:B,'Base stats'!AX:AX))+_xlfn.XLOOKUP(B63,'Base stats'!B:B,'Base stats'!AV:AV)+0.5,0.5))</f>
        <v>1</v>
      </c>
      <c r="S63" s="7">
        <f>IF(R63="No","No",MAX(_xlfn.XLOOKUP(_xlfn.XLOOKUP(B63,'Base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T63" s="7" t="str">
        <f>IF(R63="No","No",_xlfn.XLOOKUP(_xlfn.XLOOKUP(B63,'Base stats'!B:B,'Base stats'!E:E),Groups!A:A,Groups!R:R))</f>
        <v>Feet</v>
      </c>
      <c r="U63" s="7" t="str">
        <f>IF(R63="No","No",_xlfn.XLOOKUP(_xlfn.XLOOKUP(B63,'Base stats'!B:B,'Base stats'!E:E),Groups!A:A,Groups!S:S))</f>
        <v>rear left claw, rear  right claw</v>
      </c>
      <c r="V63" s="7" t="str">
        <f>IF(R63="No","No",_xlfn.XLOOKUP(_xlfn.XLOOKUP(B63,'Base stats'!B:B,'Base stats'!E:E),Groups!A:A,Groups!T:T))</f>
        <v>Scratch</v>
      </c>
      <c r="W63" s="13" t="str">
        <f>IF(_xlfn.XLOOKUP(B63,'Base stats'!B:B,'Base stats'!W:W)="No","No",MROUND((LOG10(_xlfn.XLOOKUP(B63,'Base stats'!B:B,'Base stats'!AR:AR))*(AN63^0.5)+(_xlfn.XLOOKUP(B63,'Base stats'!B:B,'Base stats'!AR:AR)/1000)^(2/3)+_xlfn.XLOOKUP(B63,'Base stats'!B:B,'Base stats'!AW:AW))+0.5+IF(_xlfn.XLOOKUP(_xlfn.XLOOKUP(B63,'Base stats'!B:B,'Base stats'!E:E),Groups!A:A,Groups!U:U)&lt;&gt;3,_xlfn.XLOOKUP(B63,'Base stats'!B:B,'Base stats'!AX:AX),0),0.5))</f>
        <v>No</v>
      </c>
      <c r="X63" s="7" t="str">
        <f>IF(W63="No","No",MAX(_xlfn.XLOOKUP(_xlfn.XLOOKUP(B63,'Base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Y63" s="7" t="str">
        <f>IF(W63="No","No",_xlfn.XLOOKUP(_xlfn.XLOOKUP(B63,'Base stats'!B:B,'Base stats'!E:E),Groups!A:A,Groups!W:W))</f>
        <v>No</v>
      </c>
      <c r="Z63" s="7" t="str">
        <f>IF(W63="No","No",_xlfn.XLOOKUP(_xlfn.XLOOKUP(B63,'Base stats'!B:B,'Base stats'!E:E),Groups!A:A,Groups!X:X))</f>
        <v>No</v>
      </c>
      <c r="AA63" s="7" t="str">
        <f>IF(W63="No","No",_xlfn.XLOOKUP(_xlfn.XLOOKUP(B63,'Base stats'!B:B,'Base stats'!E:E),Groups!A:A,Groups!Y:Y))</f>
        <v>No</v>
      </c>
      <c r="AB63" s="7" t="str">
        <f>_xlfn.XLOOKUP(Animals!B63,'Base stats'!B:B,'Base stats'!X:X)</f>
        <v>False</v>
      </c>
      <c r="AC63" s="13">
        <f>IF(_xlfn.XLOOKUP(B63,'Base stats'!B:B,'Base stats'!AQ:AQ)="No","No",MROUND((LOG10(_xlfn.XLOOKUP(B63,'Base stats'!B:B,'Base stats'!AQ:AQ))*(AN63^0.75)+(_xlfn.XLOOKUP(B63,'Base stats'!B:B,'Base stats'!AQ:AQ)/1000)^(2/3)+_xlfn.XLOOKUP(B63,'Base stats'!B:B,'Base stats'!AU:AU)+_xlfn.XLOOKUP(B63,'Base stats'!B:B,'Base stats'!AX:AX))+0.5,0.5))</f>
        <v>1</v>
      </c>
      <c r="AD63" s="7">
        <f>IF(AC63="No","No",MAX(_xlfn.XLOOKUP(_xlfn.XLOOKUP(B63,'Base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E63" s="7" t="str">
        <f>IF(AC63="No","No",_xlfn.XLOOKUP(_xlfn.XLOOKUP(B63,'Base stats'!B:B,'Base stats'!E:E),Groups!A:A,Groups!AA:AA))</f>
        <v>Beak</v>
      </c>
      <c r="AF63" s="7" t="str">
        <f>IF(AC63="No","No",_xlfn.XLOOKUP(_xlfn.XLOOKUP(B63,'Base stats'!B:B,'Base stats'!E:E),Groups!A:A,Groups!AB:AB))</f>
        <v>beak</v>
      </c>
      <c r="AG63" s="7" t="str">
        <f>IF(AC63="No","No",_xlfn.XLOOKUP(_xlfn.XLOOKUP(B63,'Base stats'!B:B,'Base stats'!E:E),Groups!A:A,Groups!AC:AC))</f>
        <v>Blunt</v>
      </c>
      <c r="AH63" s="13" t="str">
        <f>IF(_xlfn.XLOOKUP(_xlfn.XLOOKUP(B63,'Base stats'!B:B,'Base stats'!E:E),Groups!A:A,Groups!AD:AD)=0,"No",MROUND((LOG10(_xlfn.XLOOKUP(B63,'Base stats'!B:B,'Base stats'!AP:AP))*(AN63^0.75)+(_xlfn.XLOOKUP(B63,'Base stats'!B:B,'Base stats'!AP:AP)/1000)^(2/3)+_xlfn.XLOOKUP(B63,'Base stats'!B:B,'Base stats'!AV:AV)+_xlfn.XLOOKUP(B63,'Base stats'!B:B,'Base stats'!AX:AX))+0.5,0.5))</f>
        <v>No</v>
      </c>
      <c r="AI63" s="7" t="str">
        <f>IF(AH63="No","No",MAX(_xlfn.XLOOKUP(_xlfn.XLOOKUP(B63,'Base stats'!B:B,'Base stats'!E:E),Groups!A:A,Groups!AE:AE),MROUND(_xlfn.XLOOKUP(_xlfn.XLOOKUP(B63,'Base stats'!B:B,'Base stats'!E:E),Groups!A:A,Groups!AE:AE)*_xlfn.XLOOKUP(B63,'Base stats'!B:B,'Base stats'!C:C)^0.165,0.05)))</f>
        <v>No</v>
      </c>
      <c r="AJ63" s="7" t="str">
        <f>IF(AH63="No","No",_xlfn.XLOOKUP(_xlfn.XLOOKUP(B63,'Base stats'!B:B,'Base stats'!E:E),Groups!A:A,Groups!AF:AF))</f>
        <v>No</v>
      </c>
      <c r="AK63" s="7" t="str">
        <f>IF(AH63="No","No",_xlfn.XLOOKUP(_xlfn.XLOOKUP(B63,'Base stats'!B:B,'Base stats'!E:E),Groups!A:A,Groups!AG:AG))</f>
        <v>No</v>
      </c>
      <c r="AL63" s="7" t="str">
        <f>IF(AH63="No","No",_xlfn.XLOOKUP(_xlfn.XLOOKUP(B63,'Base stats'!B:B,'Base stats'!E:E),Groups!A:A,Groups!AH:AH))</f>
        <v>No</v>
      </c>
      <c r="AM63" s="2" t="str">
        <f t="shared" si="0"/>
        <v>No</v>
      </c>
      <c r="AN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O63" s="8">
        <f>MROUND(AN63*_xlfn.XLOOKUP(_xlfn.XLOOKUP(B63,'Base stats'!B:B,'Base stats'!E:E),Groups!A:A,Groups!AI:AI),0.05)</f>
        <v>0.05</v>
      </c>
      <c r="AP63" s="8">
        <f>MAX(0.01,MROUND(IF(CA63="True",0.196*(AN63*100*1000)^0.889,IF(_xlfn.XLOOKUP(_xlfn.XLOOKUP(B63,'Base stats'!B:B,'Base stats'!E:E),Groups!A:A,Groups!AJ:AJ)="Bird",10.5*(AN63*100*1000)^0.681,4.82*(AN63*100*1000)^0.734))/(4.82*(1*100*1000)^0.734)/IF(AN63&lt;3.5,2,IF(AN63=3.5,1.5,1.25))*(1+0.132282374779864/(AN63^0.994035016789033+0.00905238001496948)),0.05))</f>
        <v>0.25</v>
      </c>
      <c r="AQ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R63" s="35" t="str">
        <f>IFERROR(IF(_xlfn.XLOOKUP(B63,'Base stats'!B:B,'Base stats'!F:F)="Lay eggs","Lay eggs",MIN(20,MAX(5.5,ROUND(((_xlfn.XLOOKUP(B63,'Base stats'!B:B,'Base stats'!F:F)-25)*(14.5/615) + 5.5)*2,0)/2))),"Cannot breed")</f>
        <v>Lay eggs</v>
      </c>
      <c r="AS63" s="8">
        <f>IF(OR(A63="Queen",A63="Larva",A63="Megachicken"),"No",IFERROR(MAX(IF(_xlfn.XLOOKUP(B63,'Base stats'!B:B,'Base stats'!G:G)&lt;0.5,0.2,0.3),MROUND(_xlfn.XLOOKUP(B63,'Base stats'!B:B,'Base stats'!G:G)/(365/60),0.2)),"Unknown"))</f>
        <v>0.2</v>
      </c>
      <c r="AT63" s="8">
        <f t="shared" si="1"/>
        <v>0.1</v>
      </c>
      <c r="AU63" s="8" t="str">
        <f>IFERROR(IFERROR(MROUND(_xlfn.XLOOKUP(B63,'Base stats'!B:B,'Base stats'!J:J),0.1),"Lay eggs"),"Cannot breed")</f>
        <v>Lay eggs</v>
      </c>
      <c r="AV63" s="2" t="str">
        <f t="shared" si="2"/>
        <v>true</v>
      </c>
      <c r="AW63" s="2" t="str">
        <f>IF(_xlfn.XLOOKUP(_xlfn.XLOOKUP(Animals!B63,'Base stats'!B:B,'Base stats'!E:E),Groups!A:A,Groups!AK:AK)=1,"true","false")</f>
        <v>false</v>
      </c>
      <c r="AX63" s="25" t="str">
        <f>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</f>
        <v>VegetarianRoughAnimal</v>
      </c>
      <c r="AY63" s="2" t="str">
        <f>IF(_xlfn.XLOOKUP(_xlfn.XLOOKUP(B63,'Base stats'!B:B,'Base stats'!E:E),Groups!A:A,Groups!D:D)=1,MROUND((1-I63)*5+1,2)*IF(I63&lt;=0.4,2,1),"No")</f>
        <v>No</v>
      </c>
      <c r="AZ63" s="2" t="str">
        <f>_xlfn.XLOOKUP(B63,'Base stats'!B:B,'Base stats'!AE:AE)</f>
        <v>No</v>
      </c>
      <c r="BA63" s="23" t="str">
        <f>_xlfn.XLOOKUP(_xlfn.XLOOKUP(B63,'Base stats'!B:B,'Base stats'!E:E),Groups!A:A,Groups!AL:AL)</f>
        <v>Bird</v>
      </c>
      <c r="BB63" s="23">
        <f>MROUND(IF(AND(AN63&lt;0.5,_xlfn.XLOOKUP(B63,'Base stats'!B:B,'Base stats'!Z:Z)=0),0,IF(OR(_xlfn.XLOOKUP(Animals!B63,'Base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stats'!AA:AA),0.005)</f>
        <v>0</v>
      </c>
      <c r="BC63" s="23">
        <f>MROUND(IF(AND(AN63&lt;0.5,_xlfn.XLOOKUP(B63,'Base stats'!B:B,'Base stats'!Z:Z)=0),0,IF(_xlfn.XLOOKUP(_xlfn.XLOOKUP(B63,'Base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stats'!AB:AB),0.005)</f>
        <v>0</v>
      </c>
      <c r="BD63" s="2" t="str">
        <f>IF(I63&gt;0.3,"No",_xlfn.XLOOKUP(_xlfn.XLOOKUP(Animals!B63,'Base stats'!B:B,'Base stats'!E:E),Groups!A:A,Groups!AP:AP))</f>
        <v>No</v>
      </c>
      <c r="BE63" s="2" t="str">
        <f>IF(AND(I63&lt;=0.65,_xlfn.XLOOKUP(_xlfn.XLOOKUP(Animals!B63,'Base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stats'!O:O)=2,0.2,AN63) + 24*(1-IF(BD63="No",0,BD63)) + 16/3, 12),"No")</f>
        <v>No</v>
      </c>
      <c r="BF63" s="2">
        <f>IF(AND(_xlfn.XLOOKUP(_xlfn.XLOOKUP(B63,'Base stats'!B:B,'Base stats'!E:E),Groups!A:A,Groups!AQ:AQ)=1,AN63&lt;=0.35),8,12)</f>
        <v>12</v>
      </c>
      <c r="BG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H63" s="2" t="str">
        <f>IF(AND(_xlfn.XLOOKUP(_xlfn.XLOOKUP(B63,'Base stats'!B:B,'Base stats'!E:E),Groups!A:A,Groups!AS:AS)=1,OR('Base stats'!Y63="Carnivore",'Base stats'!Y63="Omnivore")),"true","false")</f>
        <v>false</v>
      </c>
      <c r="BI63" s="2" t="str">
        <f>IF(BH63="true",MROUND(IF(AND(AN63&gt;0.5,_xlfn.XLOOKUP(_xlfn.XLOOKUP(B63,'Base stats'!B:B,'Base stats'!E:E),Groups!A:A,Groups!AJ:AJ)="Mammal"),Animals!AN63*1.75*IF(AV63="true",1.5,1),Animals!AN63),IF(AN63&gt;2,0.5,IF(AN63&gt;0.5,0.25,0.1))),"No")</f>
        <v>No</v>
      </c>
      <c r="BJ63" s="2">
        <f t="shared" si="3"/>
        <v>1</v>
      </c>
      <c r="BK63" s="25" t="str">
        <f>IF('Base stats'!AK63="Standard","No",MROUND((_xlfn.XLOOKUP(B63,'Base stats'!B:B,'Base stats'!AK:AK)/3.6)/H63,0.1))</f>
        <v>No</v>
      </c>
      <c r="BL63" s="25" t="str">
        <f t="shared" si="4"/>
        <v>false</v>
      </c>
      <c r="BM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N63" s="25" t="str" cm="1">
        <f t="array" ref="BN63">IF(
  _xlfn.TEXTJOIN(", ",TRUE,
    IF(AND(BH63="true",AN63&gt;0.5,BG63&lt;&gt;"None"),"AttackTarget",""),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IF(BE63&lt;=36,"Comfort",""),
    IF(_xlfn.XLOOKUP(B63,'Base stats'!B:B,'Base stats'!AC:AC)&lt;&gt;"No",_xlfn.XLOOKUP(B63,'Base stats'!B:B,'Base stats'!AC:AC),"")
  ) = "",
  "No",
  _xlfn.TEXTJOIN(", ",TRUE,
    IF(AND(BH63="true",AN63&gt;0.5,BG63&lt;&gt;"None"),"AttackTarget",""),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IF(BE63&lt;=36,"Comfort",""),
    IF(_xlfn.XLOOKUP(B63,'Base stats'!B:B,'Base stats'!AC:AC)&lt;&gt;"No",_xlfn.XLOOKUP(B63,'Base stats'!B:B,'Base stats'!AC:AC),"")
  )
)</f>
        <v>No</v>
      </c>
      <c r="BO63" s="25" t="str">
        <f>IF(
   AND(
      'Base stats'!AK63="Standard",_xlfn.XLOOKUP(_xlfn.XLOOKUP(B63,'Base stats'!B:B,'Base stats'!E:E),Groups!A:A,Groups!AU:AU)=0,
      OR(
      BM63="True"
      )
   ),
   10,
   IF(
       OR(BK63&lt;&gt;"No",_xlfn.XLOOKUP(_xlfn.XLOOKUP(B63,'Base stats'!B:B,'Base stats'!E:E),Groups!A:A,Groups!AU:AU)=1),
      1,
      "No"
   )
)</f>
        <v>No</v>
      </c>
      <c r="BP63" s="9">
        <f>MROUND((1 + ((0.2*IF(OR(P63="No",Q63="No",Q63=0),0,P63/Q63)
+IF(OR(U63="No",R63="No",S63="No"),0,R63/S63*(LEN(U63)-LEN(SUBSTITUTE(U63,",",""))+1))
+IF(OR(W63="No",X63="No"),0,W63/X63)
+IF(OR(AC63="No",AD63="No"),0,AC63/AD63)
+IF(OR(AK63="No",AH63="No",AI63="No"),0,AH63/AI63*(LEN(AK63)-LEN(SUBSTITUTE(AK63,",",""))+1))
)/(0.2*IF(OR(P63="No",Q63="No",Q63=0),0,1)
+IF(OR(U63="No",R63="No",S63="No"),0,LEN(U63)-LEN(SUBSTITUTE(U63,",",""))+1)
+IF(OR(W63="No",X63="No"),0,1)
+IF(OR(AC63="No",AD63="No"),0,1)
+IF(OR(AK63="No",AH63="No",AI63="No"),0,LEN(AK63)-LEN(SUBSTITUTE(AK63,",",""))+1))*62%)* 2)*(1 + (AO63 + _xlfn.XLOOKUP(B63,'Base stats'!B:B,'Base stats'!AS:AS) * 1.8) * 2) * 2.5 + 10 + H63 * 2,5)+IF(_xlfn.XLOOKUP(B63,'Base stats'!B:B,'Base stats'!AH:AH)=1,50,0)</f>
        <v>20</v>
      </c>
      <c r="BQ63" s="8">
        <f t="shared" si="5"/>
        <v>0.2</v>
      </c>
      <c r="BR63" s="8" t="str">
        <f>_xlfn.XLOOKUP(B63,'Base stats'!B:B,'Base stats'!AD:AD)</f>
        <v>3~8</v>
      </c>
      <c r="BS63" s="2" t="str">
        <f>IF(AND(I63&lt;=0.95,OR(_xlfn.XLOOKUP(B63,'Base stats'!B:B,'Base stats'!AH:AH)=1,_xlfn.XLOOKUP(B63,'Base stats'!B:B,'Base stats'!Y:Y)="Carnivore",_xlfn.XLOOKUP(B63,'Base stats'!B:B,'Base stats'!Y:Y)="Omnivore",BC63&gt;0.1)),"true","false")</f>
        <v>false</v>
      </c>
      <c r="BT63" s="2" t="str">
        <f>IF(_xlfn.XLOOKUP(B63,'Base stats'!B:B,'Base stats'!AF:AF)=1,"true","false")</f>
        <v>false</v>
      </c>
      <c r="BU63" s="25" t="str">
        <f>IF(E63="BaseInsect","AnimalInsect",
IF(I63&gt;0.95,"AnimalExotic",
_xlfn.TEXTJOIN(", ",TRUE,
IF(AND(_xlfn.XLOOKUP(B63,'Base stats'!B:B,'Base stats'!O:O)=0,_xlfn.XLOOKUP(_xlfn.XLOOKUP(B63,'Base stats'!B:B,'Base stats'!E:E),Groups!A:A,Groups!B:B)&gt;0),"AnimalUncommon","AnimalCommon"),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stats'!AH:AH)=1,AND(BG63&lt;&gt;"None",BP63&gt;=60),ISNUMBER(SEARCH("Attack target",BN63))),"AnimalFighter","")
)))</f>
        <v>AnimalCommon</v>
      </c>
      <c r="BV63" s="25" t="str">
        <f>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</f>
        <v>Tundra BorealForest ColdBog TemperateForest TemperateSwamp AridShrubland Desert TropicalRainforest TropicalSwamp Grasslands LavaField GlacialPlain Scarlands</v>
      </c>
      <c r="BW63" s="25" t="str">
        <f>IF(_xlfn.XLOOKUP(B63,'Base stats'!B:B,'Base stats'!AG:AG)=1,"true","false")</f>
        <v>false</v>
      </c>
      <c r="BX63" s="25">
        <f>IF(_xlfn.XLOOKUP(B63,'Base stats'!B:B,'Base stats'!N:N)=1,"No",MIN(MROUND(IF(OR(_xlfn.XLOOKUP(B63,'Base stats'!B:B,'Base stats'!AJ:AJ)=1,AND(BH63="True",CA63="False")),POWER(10,3.47*LOG10(_xlfn.XLOOKUP(B63,'Base stats'!B:B,'Base stats'!C:C)*1000)^-0.96),POWER(10,4.15*LOG10(_xlfn.XLOOKUP(B63,'Base stats'!B:B,'Base stats'!C:C)*1000)^-0.73))*IF(OR(_xlfn.XLOOKUP(B63,'Base stats'!B:B,'Base stats'!AJ:AJ)=1,_xlfn.XLOOKUP(B63,'Base stats'!B:B,'Base stats'!AH:AH)=1),0.5,1)/100,0.025),1))</f>
        <v>1</v>
      </c>
      <c r="BY63" s="25">
        <f>IF(O63="Standard","No",IF(_xlfn.XLOOKUP(B63,'Base stats'!B:B,'Base stats'!N:N)=0,MROUND(BX63*O63,0.05),MIN(1,MAX(0.025,MROUND(IF(OR(CA63="true",AND(BH63="false",BM63="false")),POWER(10,4.15*LOG10(_xlfn.XLOOKUP(B63,'Base stats'!B:B,'Base stats'!C:C)*1000)^-0.73),POWER(10,3.47*LOG10(_xlfn.XLOOKUP(B63,'Base stats'!B:B,'Base stats'!C:C)*1000)^-0.96))*IF(_xlfn.XLOOKUP(B63,'Base stats'!B:B,'Base stats'!AH:AH)=1,0.5,1)/100,0.025)))))</f>
        <v>0.8</v>
      </c>
      <c r="BZ63" s="25" t="str">
        <f>IF(_xlfn.XLOOKUP(_xlfn.XLOOKUP(B63,'Base stats'!B:B,'Base stats'!E:E),Groups!A:A,Groups!AJ:AJ)="Mammal","True","False")</f>
        <v>False</v>
      </c>
      <c r="CA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B63" s="25" t="str">
        <f t="shared" si="6"/>
        <v>False</v>
      </c>
      <c r="CC63" s="25" t="str">
        <f>IF(_xlfn.XLOOKUP(_xlfn.XLOOKUP(B63,'Base stats'!B:B,'Base stats'!E:E),Groups!A:A,Groups!AW:AW),"True","False")</f>
        <v>False</v>
      </c>
      <c r="CD63" s="25" t="str">
        <f>IF(_xlfn.XLOOKUP(_xlfn.XLOOKUP(B63,'Base stats'!B:B,'Base stats'!E:E),Groups!A:A,Groups!AX:AX),"True","False")</f>
        <v>False</v>
      </c>
      <c r="CE63" s="25" t="str">
        <f>IF(_xlfn.XLOOKUP(B63,'Base stats'!B:B,'Base stats'!E:E)=1,"True","False")</f>
        <v>False</v>
      </c>
      <c r="CF63" s="25" t="str">
        <f>IF(
OR(
_xlfn.XLOOKUP(_xlfn.XLOOKUP(B63,'Base stats'!B:B,'Base stats'!E:E),Groups!A:A,Groups!AY:AY)=0,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stats'!E:E),Groups!A:A,Groups!AY:AY)=1,
"Flesh",
IF(
_xlfn.XLOOKUP(_xlfn.XLOOKUP(B63,'Base stats'!B:B,'Base stats'!E:E),Groups!A:A,Groups!AY:AY)=2,
"Bone",
""
)
)
)</f>
        <v>No</v>
      </c>
      <c r="CG63" s="25" t="str">
        <f>IF(_xlfn.XLOOKUP(_xlfn.XLOOKUP(B63,'Base stats'!B:B,'Base stats'!E:E),Groups!A:A,Groups!BA:BA),"True","False")</f>
        <v>True</v>
      </c>
      <c r="CH63" s="25" t="str">
        <f>IF(_xlfn.XLOOKUP(_xlfn.XLOOKUP(B63,'Base stats'!B:B,'Base stats'!E:E),Groups!A:A,Groups!AZ:AZ),"True","False")</f>
        <v>False</v>
      </c>
    </row>
    <row r="64" spans="1:86" ht="16.5" thickTop="1" thickBot="1" x14ac:dyDescent="0.3">
      <c r="A64" s="26" t="str">
        <f>_xlfn.XLOOKUP(B64,'Base stats'!B:B,'Base stats'!A:A)</f>
        <v>Bluebird</v>
      </c>
      <c r="B64" s="6" t="s">
        <v>562</v>
      </c>
      <c r="C64" s="28" t="s">
        <v>756</v>
      </c>
      <c r="D64" s="28" t="s">
        <v>882</v>
      </c>
      <c r="E64" s="28" t="s">
        <v>755</v>
      </c>
      <c r="F64" s="28" t="s">
        <v>685</v>
      </c>
      <c r="G64" s="2">
        <f>MROUND((
  (IF(AND(_xlfn.XLOOKUP(B64,'Base stats'!B:B,'Base stats'!AI:AI)=0,BG64="None",_xlfn.XLOOKUP('Base stats'!E64,Groups!A:A,Groups!B:B)=0), (18 + BP64 * 2.7) * 0.5,
    IF(AND(_xlfn.XLOOKUP(B64,'Base stats'!B:B,'Base stats'!AI:AI)=0,OR(AN64&lt;0.55,AND(BG64="Intermediate",_xlfn.XLOOKUP('Base stats'!E64,Groups!A:A,Groups!B:B)&lt;2))), (18 + BP64 * 2.7),
      IF(OR(BG64="Advanced",_xlfn.XLOOKUP(B64,'Base stats'!B:B,'Base stats'!AI:AI)=1,_xlfn.XLOOKUP('Base stats'!E64,Groups!A:A,Groups!B:B)=2), (18 + BP64 * 2.7) + 250, (18 + BP64 * 2.7))
    )
  ))
  + AN64 * 80
  + IF(COUNTIF(EggMilk!K$2:K$998, A64) &gt; 0, 125, 0)
  + IF(COUNTIF(EggMilk!P$2:P$998, A64) &gt; 0, 90, 0)
  + IF(COUNTIF(EggMilk!A$2:A$998, A64) &gt; 0, 90, 0)
)
* (0.8 + 0.4 * I64)
* 0.75,25)</f>
        <v>125</v>
      </c>
      <c r="H64" s="2">
        <f>MROUND(ROUNDDOWN(_xlfn.XLOOKUP(B64,'Base stats'!B:B,'Base stats'!L:L)/3.6/(23.3/11),1),0.5)</f>
        <v>2</v>
      </c>
      <c r="I64" s="2">
        <f>IF(_xlfn.XLOOKUP(B64,'Base stats'!B:B,'Base stats'!AI:AI)=1,0.99,MIN(MROUND((1-0.6282*EXP(-0.459*AN64))*_xlfn.XLOOKUP(_xlfn.XLOOKUP(B64,'Base stats'!B:B,'Base stats'!E:E),Groups!A:A,Groups!C:C)*IF(_xlfn.XLOOKUP(B64,'Base stats'!B:B,'Base stats'!O:O)=1,0.5,IF(_xlfn.XLOOKUP(B64,'Base stats'!B:B,'Base stats'!O:O)=2,0,1)),0.05),0.985))</f>
        <v>0.5</v>
      </c>
      <c r="J64" s="2">
        <f>ROUNDUP(AN64*_xlfn.XLOOKUP(_xlfn.XLOOKUP(B64,'Base stats'!B:B,'Base stats'!E:E),Groups!A:A,Groups!E:E),0)</f>
        <v>1</v>
      </c>
      <c r="K64" s="2">
        <f>IF(OR(_xlfn.XLOOKUP(_xlfn.XLOOKUP(B64,'Base stats'!B:B,'Base stats'!E:E),Groups!A:A,Groups!F:F)=2,ISNUMBER(SEARCH("SeaIce",BV64)),ISNUMBER(SEARCH("IceSheet",BV64))),-50,IF(OR(ISNUMBER(SEARCH("GlacialPlain",BV64)),ISNUMBER(SEARCH("Tundra",BV64))),-40,IF(OR(ISNUMBER(SEARCH("Alpine",BV64)),ISNUMBER(SEARCH("BorealForest",BV64)),ISNUMBER(SEARCH("ColdBog",BV64))),-30,IF(OR(ISNUMBER(SEARCH("TemperateForest",BV64)),ISNUMBER(SEARCH("TemperateSwamp",BV64))),-20,IF(_xlfn.XLOOKUP(_xlfn.XLOOKUP(B64,'Base stats'!B:B,'Base stats'!E:E),Groups!A:A,Groups!F:F)=1,-15,IF(OR(ISNUMBER(SEARCH("Desert",BV64)),ISNUMBER(SEARCH("ExtremeDesert",BV64))),-10,IF(OR(ISNUMBER(SEARCH("Grasslands",BV64)),ISNUMBER(SEARCH("TropicalRainforest",BV64)),ISNUMBER(SEARCH("TropicalSwamp",BV64))),10,0)))))))-IF(CA64="False",MIN(IFERROR(MAX(MROUND(LOG10(_xlfn.XLOOKUP(B64,'Base stats'!B:B,'Base stats'!C:C)^(2/3))*10,5),5),5),30))-_xlfn.XLOOKUP(B64,'Base stats'!B:B,'Base stats'!P:P)+IF(CA64="True",5,0)</f>
        <v>-45</v>
      </c>
      <c r="L64" s="2">
        <f>IF(OR(_xlfn.XLOOKUP(_xlfn.XLOOKUP(B64,'Base stats'!B:B,'Base stats'!E:E),Groups!A:A,Groups!G:G)=2,ISNUMBER(SEARCH("Desert",BV64)),ISNUMBER(SEARCH("ExtremeDesert",BV64)),ISNUMBER(SEARCH("LavaField",BV64))),50,IF(ISNUMBER(SEARCH("Grasslands",BV64)),45,IF(OR(_xlfn.XLOOKUP(_xlfn.XLOOKUP(B64,'Base stats'!B:B,'Base stats'!E:E),Groups!A:A,Groups!G:G)=1,ISNUMBER(SEARCH("TropicalRainforest",BV64)),ISNUMBER(SEARCH("TropicalSwamp",BV64))),40,IF(OR(ISNUMBER(SEARCH("TemperateForest",BV64)),ISNUMBER(SEARCH("TemperateSwamp",BV64))),35,IF(OR(ISNUMBER(SEARCH("Alpine",BV64)),ISNUMBER(SEARCH("BorealForest",BV64)),ISNUMBER(SEARCH("ColdBog",BV64))),30,IF(ISNUMBER(OR(ISNUMBER(SEARCH("GlacialPlain",BV64)),SEARCH("Tundra",BV64))),25,IF(OR(ISNUMBER(SEARCH("SeaIce",BV64)),ISNUMBER(SEARCH("IceSheet",BV64)),ISNUMBER(SEARCH("TropicalSwamp",BV64))),10,35)))))))+_xlfn.XLOOKUP(B64,'Base stats'!B:B,'Base stats'!Q:Q)</f>
        <v>35</v>
      </c>
      <c r="M64" s="8" t="str">
        <f>IF(_xlfn.XLOOKUP(_xlfn.XLOOKUP(B64,'Base stats'!B:B,'Base stats'!E:E),Groups!A:A,Groups!L:L)=1,MIN(MROUND(_xlfn.XLOOKUP(B64,'Animals CE'!B:B,'Animals CE'!Z:Z)/2+0.05,0.05),200%),"No")</f>
        <v>No</v>
      </c>
      <c r="N64" s="8" t="str">
        <f>IF(_xlfn.XLOOKUP(_xlfn.XLOOKUP(B64,'Base stats'!B:B,'Base stats'!E:E),Groups!A:A,Groups!L:L)=1,MIN(MROUND(_xlfn.XLOOKUP(B64,'Animals CE'!B:B,'Animals CE'!AA:AA)/2+0.05,0.05),200%),"No")</f>
        <v>No</v>
      </c>
      <c r="O64" s="2" t="str">
        <f>_xlfn.XLOOKUP(B64,'Base stats'!B:B,'Base stats'!R:R)</f>
        <v>Standard</v>
      </c>
      <c r="P64" s="13">
        <f>MROUND((LOG10(_xlfn.XLOOKUP(B64,'Base stats'!B:B,'Base stats'!AO:AO))*(AN64^0.5)+(_xlfn.XLOOKUP(B64,'Base stats'!B:B,'Base stats'!AO:AO)/1000)^(2/3)+_xlfn.XLOOKUP(B64,'Base stats'!B:B,'Base stats'!AX:AX)/2)+0.5,0.5)</f>
        <v>0.5</v>
      </c>
      <c r="Q64" s="7">
        <f>IF(P64="No","No",MAX(1,MROUND(_xlfn.XLOOKUP(B64,'Base stats'!B:B,'Base stats'!C:C)^0.165,0.05)))</f>
        <v>1</v>
      </c>
      <c r="R64" s="13">
        <f>IF(_xlfn.XLOOKUP(_xlfn.XLOOKUP(B64,'Base stats'!B:B,'Base stats'!E:E),Groups!A:A,Groups!P:P)=0,"No",MROUND((LOG10(_xlfn.XLOOKUP(B64,'Base stats'!B:B,'Base stats'!AP:AP))*(AN64^0.5)+(_xlfn.XLOOKUP(B64,'Base stats'!B:B,'Base stats'!AP:AP)/1000)^(2/3)+_xlfn.XLOOKUP(B64,'Base stats'!B:B,'Base stats'!AX:AX))+_xlfn.XLOOKUP(B64,'Base stats'!B:B,'Base stats'!AV:AV)+0.5,0.5))</f>
        <v>1</v>
      </c>
      <c r="S64" s="7">
        <f>IF(R64="No","No",MAX(_xlfn.XLOOKUP(_xlfn.XLOOKUP(B64,'Base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T64" s="7" t="str">
        <f>IF(R64="No","No",_xlfn.XLOOKUP(_xlfn.XLOOKUP(B64,'Base stats'!B:B,'Base stats'!E:E),Groups!A:A,Groups!R:R))</f>
        <v>Feet</v>
      </c>
      <c r="U64" s="7" t="str">
        <f>IF(R64="No","No",_xlfn.XLOOKUP(_xlfn.XLOOKUP(B64,'Base stats'!B:B,'Base stats'!E:E),Groups!A:A,Groups!S:S))</f>
        <v>rear left claw, rear  right claw</v>
      </c>
      <c r="V64" s="7" t="str">
        <f>IF(R64="No","No",_xlfn.XLOOKUP(_xlfn.XLOOKUP(B64,'Base stats'!B:B,'Base stats'!E:E),Groups!A:A,Groups!T:T))</f>
        <v>Scratch</v>
      </c>
      <c r="W64" s="13" t="str">
        <f>IF(_xlfn.XLOOKUP(B64,'Base stats'!B:B,'Base stats'!W:W)="No","No",MROUND((LOG10(_xlfn.XLOOKUP(B64,'Base stats'!B:B,'Base stats'!AR:AR))*(AN64^0.5)+(_xlfn.XLOOKUP(B64,'Base stats'!B:B,'Base stats'!AR:AR)/1000)^(2/3)+_xlfn.XLOOKUP(B64,'Base stats'!B:B,'Base stats'!AW:AW))+0.5+IF(_xlfn.XLOOKUP(_xlfn.XLOOKUP(B64,'Base stats'!B:B,'Base stats'!E:E),Groups!A:A,Groups!U:U)&lt;&gt;3,_xlfn.XLOOKUP(B64,'Base stats'!B:B,'Base stats'!AX:AX),0),0.5))</f>
        <v>No</v>
      </c>
      <c r="X64" s="7" t="str">
        <f>IF(W64="No","No",MAX(_xlfn.XLOOKUP(_xlfn.XLOOKUP(B64,'Base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Y64" s="7" t="str">
        <f>IF(W64="No","No",_xlfn.XLOOKUP(_xlfn.XLOOKUP(B64,'Base stats'!B:B,'Base stats'!E:E),Groups!A:A,Groups!W:W))</f>
        <v>No</v>
      </c>
      <c r="Z64" s="7" t="str">
        <f>IF(W64="No","No",_xlfn.XLOOKUP(_xlfn.XLOOKUP(B64,'Base stats'!B:B,'Base stats'!E:E),Groups!A:A,Groups!X:X))</f>
        <v>No</v>
      </c>
      <c r="AA64" s="7" t="str">
        <f>IF(W64="No","No",_xlfn.XLOOKUP(_xlfn.XLOOKUP(B64,'Base stats'!B:B,'Base stats'!E:E),Groups!A:A,Groups!Y:Y))</f>
        <v>No</v>
      </c>
      <c r="AB64" s="7" t="str">
        <f>_xlfn.XLOOKUP(Animals!B64,'Base stats'!B:B,'Base stats'!X:X)</f>
        <v>False</v>
      </c>
      <c r="AC64" s="13">
        <f>IF(_xlfn.XLOOKUP(B64,'Base stats'!B:B,'Base stats'!AQ:AQ)="No","No",MROUND((LOG10(_xlfn.XLOOKUP(B64,'Base stats'!B:B,'Base stats'!AQ:AQ))*(AN64^0.75)+(_xlfn.XLOOKUP(B64,'Base stats'!B:B,'Base stats'!AQ:AQ)/1000)^(2/3)+_xlfn.XLOOKUP(B64,'Base stats'!B:B,'Base stats'!AU:AU)+_xlfn.XLOOKUP(B64,'Base stats'!B:B,'Base stats'!AX:AX))+0.5,0.5))</f>
        <v>1</v>
      </c>
      <c r="AD64" s="7">
        <f>IF(AC64="No","No",MAX(_xlfn.XLOOKUP(_xlfn.XLOOKUP(B64,'Base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E64" s="7" t="str">
        <f>IF(AC64="No","No",_xlfn.XLOOKUP(_xlfn.XLOOKUP(B64,'Base stats'!B:B,'Base stats'!E:E),Groups!A:A,Groups!AA:AA))</f>
        <v>Beak</v>
      </c>
      <c r="AF64" s="7" t="str">
        <f>IF(AC64="No","No",_xlfn.XLOOKUP(_xlfn.XLOOKUP(B64,'Base stats'!B:B,'Base stats'!E:E),Groups!A:A,Groups!AB:AB))</f>
        <v>beak</v>
      </c>
      <c r="AG64" s="7" t="str">
        <f>IF(AC64="No","No",_xlfn.XLOOKUP(_xlfn.XLOOKUP(B64,'Base stats'!B:B,'Base stats'!E:E),Groups!A:A,Groups!AC:AC))</f>
        <v>Blunt</v>
      </c>
      <c r="AH64" s="13" t="str">
        <f>IF(_xlfn.XLOOKUP(_xlfn.XLOOKUP(B64,'Base stats'!B:B,'Base stats'!E:E),Groups!A:A,Groups!AD:AD)=0,"No",MROUND((LOG10(_xlfn.XLOOKUP(B64,'Base stats'!B:B,'Base stats'!AP:AP))*(AN64^0.75)+(_xlfn.XLOOKUP(B64,'Base stats'!B:B,'Base stats'!AP:AP)/1000)^(2/3)+_xlfn.XLOOKUP(B64,'Base stats'!B:B,'Base stats'!AV:AV)+_xlfn.XLOOKUP(B64,'Base stats'!B:B,'Base stats'!AX:AX))+0.5,0.5))</f>
        <v>No</v>
      </c>
      <c r="AI64" s="7" t="str">
        <f>IF(AH64="No","No",MAX(_xlfn.XLOOKUP(_xlfn.XLOOKUP(B64,'Base stats'!B:B,'Base stats'!E:E),Groups!A:A,Groups!AE:AE),MROUND(_xlfn.XLOOKUP(_xlfn.XLOOKUP(B64,'Base stats'!B:B,'Base stats'!E:E),Groups!A:A,Groups!AE:AE)*_xlfn.XLOOKUP(B64,'Base stats'!B:B,'Base stats'!C:C)^0.165,0.05)))</f>
        <v>No</v>
      </c>
      <c r="AJ64" s="7" t="str">
        <f>IF(AH64="No","No",_xlfn.XLOOKUP(_xlfn.XLOOKUP(B64,'Base stats'!B:B,'Base stats'!E:E),Groups!A:A,Groups!AF:AF))</f>
        <v>No</v>
      </c>
      <c r="AK64" s="7" t="str">
        <f>IF(AH64="No","No",_xlfn.XLOOKUP(_xlfn.XLOOKUP(B64,'Base stats'!B:B,'Base stats'!E:E),Groups!A:A,Groups!AG:AG))</f>
        <v>No</v>
      </c>
      <c r="AL64" s="7" t="str">
        <f>IF(AH64="No","No",_xlfn.XLOOKUP(_xlfn.XLOOKUP(B64,'Base stats'!B:B,'Base stats'!E:E),Groups!A:A,Groups!AH:AH))</f>
        <v>No</v>
      </c>
      <c r="AM64" s="2" t="str">
        <f t="shared" si="0"/>
        <v>No</v>
      </c>
      <c r="AN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O64" s="8">
        <f>MROUND(AN64*_xlfn.XLOOKUP(_xlfn.XLOOKUP(B64,'Base stats'!B:B,'Base stats'!E:E),Groups!A:A,Groups!AI:AI),0.05)</f>
        <v>0.05</v>
      </c>
      <c r="AP64" s="8">
        <f>MAX(0.01,MROUND(IF(CA64="True",0.196*(AN64*100*1000)^0.889,IF(_xlfn.XLOOKUP(_xlfn.XLOOKUP(B64,'Base stats'!B:B,'Base stats'!E:E),Groups!A:A,Groups!AJ:AJ)="Bird",10.5*(AN64*100*1000)^0.681,4.82*(AN64*100*1000)^0.734))/(4.82*(1*100*1000)^0.734)/IF(AN64&lt;3.5,2,IF(AN64=3.5,1.5,1.25))*(1+0.132282374779864/(AN64^0.994035016789033+0.00905238001496948)),0.05))</f>
        <v>0.25</v>
      </c>
      <c r="AQ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R64" s="35" t="str">
        <f>IFERROR(IF(_xlfn.XLOOKUP(B64,'Base stats'!B:B,'Base stats'!F:F)="Lay eggs","Lay eggs",MIN(20,MAX(5.5,ROUND(((_xlfn.XLOOKUP(B64,'Base stats'!B:B,'Base stats'!F:F)-25)*(14.5/615) + 5.5)*2,0)/2))),"Cannot breed")</f>
        <v>Lay eggs</v>
      </c>
      <c r="AS64" s="8">
        <f>IF(OR(A64="Queen",A64="Larva",A64="Megachicken"),"No",IFERROR(MAX(IF(_xlfn.XLOOKUP(B64,'Base stats'!B:B,'Base stats'!G:G)&lt;0.5,0.2,0.3),MROUND(_xlfn.XLOOKUP(B64,'Base stats'!B:B,'Base stats'!G:G)/(365/60),0.2)),"Unknown"))</f>
        <v>0.3</v>
      </c>
      <c r="AT64" s="8">
        <f t="shared" si="1"/>
        <v>0.15000000000000002</v>
      </c>
      <c r="AU64" s="8" t="str">
        <f>IFERROR(IFERROR(MROUND(_xlfn.XLOOKUP(B64,'Base stats'!B:B,'Base stats'!J:J),0.1),"Lay eggs"),"Cannot breed")</f>
        <v>Lay eggs</v>
      </c>
      <c r="AV64" s="2" t="str">
        <f t="shared" si="2"/>
        <v>false</v>
      </c>
      <c r="AW64" s="2" t="str">
        <f>IF(_xlfn.XLOOKUP(_xlfn.XLOOKUP(Animals!B64,'Base stats'!B:B,'Base stats'!E:E),Groups!A:A,Groups!AK:AK)=1,"true","false")</f>
        <v>false</v>
      </c>
      <c r="AX64" s="25" t="str">
        <f>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</f>
        <v>VegetarianRoughAnimal</v>
      </c>
      <c r="AY64" s="2" t="str">
        <f>IF(_xlfn.XLOOKUP(_xlfn.XLOOKUP(B64,'Base stats'!B:B,'Base stats'!E:E),Groups!A:A,Groups!D:D)=1,MROUND((1-I64)*5+1,2)*IF(I64&lt;=0.4,2,1),"No")</f>
        <v>No</v>
      </c>
      <c r="AZ64" s="2" t="str">
        <f>_xlfn.XLOOKUP(B64,'Base stats'!B:B,'Base stats'!AE:AE)</f>
        <v>No</v>
      </c>
      <c r="BA64" s="23" t="str">
        <f>_xlfn.XLOOKUP(_xlfn.XLOOKUP(B64,'Base stats'!B:B,'Base stats'!E:E),Groups!A:A,Groups!AL:AL)</f>
        <v>Bird</v>
      </c>
      <c r="BB64" s="23">
        <f>MROUND(IF(AND(AN64&lt;0.5,_xlfn.XLOOKUP(B64,'Base stats'!B:B,'Base stats'!Z:Z)=0),0,IF(OR(_xlfn.XLOOKUP(Animals!B64,'Base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stats'!AA:AA),0.005)</f>
        <v>0</v>
      </c>
      <c r="BC64" s="23">
        <f>MROUND(IF(AND(AN64&lt;0.5,_xlfn.XLOOKUP(B64,'Base stats'!B:B,'Base stats'!Z:Z)=0),0,IF(_xlfn.XLOOKUP(_xlfn.XLOOKUP(B64,'Base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stats'!AB:AB),0.005)</f>
        <v>0</v>
      </c>
      <c r="BD64" s="2" t="str">
        <f>IF(I64&gt;0.3,"No",_xlfn.XLOOKUP(_xlfn.XLOOKUP(Animals!B64,'Base stats'!B:B,'Base stats'!E:E),Groups!A:A,Groups!AP:AP))</f>
        <v>No</v>
      </c>
      <c r="BE64" s="2" t="str">
        <f>IF(AND(I64&lt;=0.65,_xlfn.XLOOKUP(_xlfn.XLOOKUP(Animals!B64,'Base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stats'!O:O)=2,0.2,AN64) + 24*(1-IF(BD64="No",0,BD64)) + 16/3, 12),"No")</f>
        <v>No</v>
      </c>
      <c r="BF64" s="2">
        <f>IF(AND(_xlfn.XLOOKUP(_xlfn.XLOOKUP(B64,'Base stats'!B:B,'Base stats'!E:E),Groups!A:A,Groups!AQ:AQ)=1,AN64&lt;=0.35),8,12)</f>
        <v>12</v>
      </c>
      <c r="BG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H64" s="2" t="str">
        <f>IF(AND(_xlfn.XLOOKUP(_xlfn.XLOOKUP(B64,'Base stats'!B:B,'Base stats'!E:E),Groups!A:A,Groups!AS:AS)=1,OR('Base stats'!Y64="Carnivore",'Base stats'!Y64="Omnivore")),"true","false")</f>
        <v>false</v>
      </c>
      <c r="BI64" s="2" t="str">
        <f>IF(BH64="true",MROUND(IF(AND(AN64&gt;0.5,_xlfn.XLOOKUP(_xlfn.XLOOKUP(B64,'Base stats'!B:B,'Base stats'!E:E),Groups!A:A,Groups!AJ:AJ)="Mammal"),Animals!AN64*1.75*IF(AV64="true",1.5,1),Animals!AN64),IF(AN64&gt;2,0.5,IF(AN64&gt;0.5,0.25,0.1))),"No")</f>
        <v>No</v>
      </c>
      <c r="BJ64" s="2">
        <f t="shared" si="3"/>
        <v>1</v>
      </c>
      <c r="BK64" s="25" t="str">
        <f>IF('Base stats'!AK64="Standard","No",MROUND((_xlfn.XLOOKUP(B64,'Base stats'!B:B,'Base stats'!AK:AK)/3.6)/H64,0.1))</f>
        <v>No</v>
      </c>
      <c r="BL64" s="25" t="str">
        <f t="shared" si="4"/>
        <v>false</v>
      </c>
      <c r="BM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N64" s="25" t="str" cm="1">
        <f t="array" ref="BN64">IF(
  _xlfn.TEXTJOIN(", ",TRUE,
    IF(AND(BH64="true",AN64&gt;0.5,BG64&lt;&gt;"None"),"AttackTarget",""),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IF(BE64&lt;=36,"Comfort",""),
    IF(_xlfn.XLOOKUP(B64,'Base stats'!B:B,'Base stats'!AC:AC)&lt;&gt;"No",_xlfn.XLOOKUP(B64,'Base stats'!B:B,'Base stats'!AC:AC),"")
  ) = "",
  "No",
  _xlfn.TEXTJOIN(", ",TRUE,
    IF(AND(BH64="true",AN64&gt;0.5,BG64&lt;&gt;"None"),"AttackTarget",""),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IF(BE64&lt;=36,"Comfort",""),
    IF(_xlfn.XLOOKUP(B64,'Base stats'!B:B,'Base stats'!AC:AC)&lt;&gt;"No",_xlfn.XLOOKUP(B64,'Base stats'!B:B,'Base stats'!AC:AC),"")
  )
)</f>
        <v>No</v>
      </c>
      <c r="BO64" s="25" t="str">
        <f>IF(
   AND(
      'Base stats'!AK64="Standard",_xlfn.XLOOKUP(_xlfn.XLOOKUP(B64,'Base stats'!B:B,'Base stats'!E:E),Groups!A:A,Groups!AU:AU)=0,
      OR(
      BM64="True"
      )
   ),
   10,
   IF(
       OR(BK64&lt;&gt;"No",_xlfn.XLOOKUP(_xlfn.XLOOKUP(B64,'Base stats'!B:B,'Base stats'!E:E),Groups!A:A,Groups!AU:AU)=1),
      1,
      "No"
   )
)</f>
        <v>No</v>
      </c>
      <c r="BP64" s="9">
        <f>MROUND((1 + ((0.2*IF(OR(P64="No",Q64="No",Q64=0),0,P64/Q64)
+IF(OR(U64="No",R64="No",S64="No"),0,R64/S64*(LEN(U64)-LEN(SUBSTITUTE(U64,",",""))+1))
+IF(OR(W64="No",X64="No"),0,W64/X64)
+IF(OR(AC64="No",AD64="No"),0,AC64/AD64)
+IF(OR(AK64="No",AH64="No",AI64="No"),0,AH64/AI64*(LEN(AK64)-LEN(SUBSTITUTE(AK64,",",""))+1))
)/(0.2*IF(OR(P64="No",Q64="No",Q64=0),0,1)
+IF(OR(U64="No",R64="No",S64="No"),0,LEN(U64)-LEN(SUBSTITUTE(U64,",",""))+1)
+IF(OR(W64="No",X64="No"),0,1)
+IF(OR(AC64="No",AD64="No"),0,1)
+IF(OR(AK64="No",AH64="No",AI64="No"),0,LEN(AK64)-LEN(SUBSTITUTE(AK64,",",""))+1))*62%)* 2)*(1 + (AO64 + _xlfn.XLOOKUP(B64,'Base stats'!B:B,'Base stats'!AS:AS) * 1.8) * 2) * 2.5 + 10 + H64 * 2,5)+IF(_xlfn.XLOOKUP(B64,'Base stats'!B:B,'Base stats'!AH:AH)=1,50,0)</f>
        <v>20</v>
      </c>
      <c r="BQ64" s="8">
        <f t="shared" si="5"/>
        <v>0.2</v>
      </c>
      <c r="BR64" s="8" t="str">
        <f>_xlfn.XLOOKUP(B64,'Base stats'!B:B,'Base stats'!AD:AD)</f>
        <v>No</v>
      </c>
      <c r="BS64" s="2" t="str">
        <f>IF(AND(I64&lt;=0.95,OR(_xlfn.XLOOKUP(B64,'Base stats'!B:B,'Base stats'!AH:AH)=1,_xlfn.XLOOKUP(B64,'Base stats'!B:B,'Base stats'!Y:Y)="Carnivore",_xlfn.XLOOKUP(B64,'Base stats'!B:B,'Base stats'!Y:Y)="Omnivore",BC64&gt;0.1)),"true","false")</f>
        <v>false</v>
      </c>
      <c r="BT64" s="2" t="str">
        <f>IF(_xlfn.XLOOKUP(B64,'Base stats'!B:B,'Base stats'!AF:AF)=1,"true","false")</f>
        <v>false</v>
      </c>
      <c r="BU64" s="25" t="str">
        <f>IF(E64="BaseInsect","AnimalInsect",
IF(I64&gt;0.95,"AnimalExotic",
_xlfn.TEXTJOIN(", ",TRUE,
IF(AND(_xlfn.XLOOKUP(B64,'Base stats'!B:B,'Base stats'!O:O)=0,_xlfn.XLOOKUP(_xlfn.XLOOKUP(B64,'Base stats'!B:B,'Base stats'!E:E),Groups!A:A,Groups!B:B)&gt;0),"AnimalUncommon","AnimalCommon"),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stats'!AH:AH)=1,AND(BG64&lt;&gt;"None",BP64&gt;=60),ISNUMBER(SEARCH("Attack target",BN64))),"AnimalFighter","")
)))</f>
        <v>AnimalCommon</v>
      </c>
      <c r="BV64" s="25" t="str">
        <f>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</f>
        <v>BorealForest ColdBog TemperateForest TemperateSwamp GlacialPlain</v>
      </c>
      <c r="BW64" s="25" t="str">
        <f>IF(_xlfn.XLOOKUP(B64,'Base stats'!B:B,'Base stats'!AG:AG)=1,"true","false")</f>
        <v>false</v>
      </c>
      <c r="BX64" s="25">
        <f>IF(_xlfn.XLOOKUP(B64,'Base stats'!B:B,'Base stats'!N:N)=1,"No",MIN(MROUND(IF(OR(_xlfn.XLOOKUP(B64,'Base stats'!B:B,'Base stats'!AJ:AJ)=1,AND(BH64="True",CA64="False")),POWER(10,3.47*LOG10(_xlfn.XLOOKUP(B64,'Base stats'!B:B,'Base stats'!C:C)*1000)^-0.96),POWER(10,4.15*LOG10(_xlfn.XLOOKUP(B64,'Base stats'!B:B,'Base stats'!C:C)*1000)^-0.73))*IF(OR(_xlfn.XLOOKUP(B64,'Base stats'!B:B,'Base stats'!AJ:AJ)=1,_xlfn.XLOOKUP(B64,'Base stats'!B:B,'Base stats'!AH:AH)=1),0.5,1)/100,0.025),1))</f>
        <v>1</v>
      </c>
      <c r="BY64" s="25" t="str">
        <f>IF(O64="Standard","No",IF(_xlfn.XLOOKUP(B64,'Base stats'!B:B,'Base stats'!N:N)=0,MROUND(BX64*O64,0.05),MIN(1,MAX(0.025,MROUND(IF(OR(CA64="true",AND(BH64="false",BM64="false")),POWER(10,4.15*LOG10(_xlfn.XLOOKUP(B64,'Base stats'!B:B,'Base stats'!C:C)*1000)^-0.73),POWER(10,3.47*LOG10(_xlfn.XLOOKUP(B64,'Base stats'!B:B,'Base stats'!C:C)*1000)^-0.96))*IF(_xlfn.XLOOKUP(B64,'Base stats'!B:B,'Base stats'!AH:AH)=1,0.5,1)/100,0.025)))))</f>
        <v>No</v>
      </c>
      <c r="BZ64" s="25" t="str">
        <f>IF(_xlfn.XLOOKUP(_xlfn.XLOOKUP(B64,'Base stats'!B:B,'Base stats'!E:E),Groups!A:A,Groups!AJ:AJ)="Mammal","True","False")</f>
        <v>False</v>
      </c>
      <c r="CA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B64" s="25" t="str">
        <f t="shared" si="6"/>
        <v>False</v>
      </c>
      <c r="CC64" s="25" t="str">
        <f>IF(_xlfn.XLOOKUP(_xlfn.XLOOKUP(B64,'Base stats'!B:B,'Base stats'!E:E),Groups!A:A,Groups!AW:AW),"True","False")</f>
        <v>False</v>
      </c>
      <c r="CD64" s="25" t="str">
        <f>IF(_xlfn.XLOOKUP(_xlfn.XLOOKUP(B64,'Base stats'!B:B,'Base stats'!E:E),Groups!A:A,Groups!AX:AX),"True","False")</f>
        <v>False</v>
      </c>
      <c r="CE64" s="25" t="str">
        <f>IF(_xlfn.XLOOKUP(B64,'Base stats'!B:B,'Base stats'!E:E)=1,"True","False")</f>
        <v>False</v>
      </c>
      <c r="CF64" s="25" t="str">
        <f>IF(
OR(
_xlfn.XLOOKUP(_xlfn.XLOOKUP(B64,'Base stats'!B:B,'Base stats'!E:E),Groups!A:A,Groups!AY:AY)=0,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stats'!E:E),Groups!A:A,Groups!AY:AY)=1,
"Flesh",
IF(
_xlfn.XLOOKUP(_xlfn.XLOOKUP(B64,'Base stats'!B:B,'Base stats'!E:E),Groups!A:A,Groups!AY:AY)=2,
"Bone",
""
)
)
)</f>
        <v>No</v>
      </c>
      <c r="CG64" s="25" t="str">
        <f>IF(_xlfn.XLOOKUP(_xlfn.XLOOKUP(B64,'Base stats'!B:B,'Base stats'!E:E),Groups!A:A,Groups!BA:BA),"True","False")</f>
        <v>True</v>
      </c>
      <c r="CH64" s="25" t="str">
        <f>IF(_xlfn.XLOOKUP(_xlfn.XLOOKUP(B64,'Base stats'!B:B,'Base stats'!E:E),Groups!A:A,Groups!AZ:AZ),"True","False")</f>
        <v>False</v>
      </c>
    </row>
    <row r="65" spans="1:86" ht="16.5" thickTop="1" thickBot="1" x14ac:dyDescent="0.3">
      <c r="A65" s="26" t="str">
        <f>_xlfn.XLOOKUP(B65,'Base stats'!B:B,'Base stats'!A:A)</f>
        <v>Crow</v>
      </c>
      <c r="B65" s="6" t="s">
        <v>299</v>
      </c>
      <c r="C65" s="28" t="s">
        <v>757</v>
      </c>
      <c r="D65" s="28" t="s">
        <v>882</v>
      </c>
      <c r="E65" s="28" t="s">
        <v>755</v>
      </c>
      <c r="F65" s="28" t="s">
        <v>685</v>
      </c>
      <c r="G65" s="2">
        <f>MROUND((
  (IF(AND(_xlfn.XLOOKUP(B65,'Base stats'!B:B,'Base stats'!AI:AI)=0,BG65="None",_xlfn.XLOOKUP('Base stats'!E65,Groups!A:A,Groups!B:B)=0), (18 + BP65 * 2.7) * 0.5,
    IF(AND(_xlfn.XLOOKUP(B65,'Base stats'!B:B,'Base stats'!AI:AI)=0,OR(AN65&lt;0.55,AND(BG65="Intermediate",_xlfn.XLOOKUP('Base stats'!E65,Groups!A:A,Groups!B:B)&lt;2))), (18 + BP65 * 2.7),
      IF(OR(BG65="Advanced",_xlfn.XLOOKUP(B65,'Base stats'!B:B,'Base stats'!AI:AI)=1,_xlfn.XLOOKUP('Base stats'!E65,Groups!A:A,Groups!B:B)=2), (18 + BP65 * 2.7) + 250, (18 + BP65 * 2.7))
    )
  ))
  + AN65 * 80
  + IF(COUNTIF(EggMilk!K$2:K$998, A65) &gt; 0, 125, 0)
  + IF(COUNTIF(EggMilk!P$2:P$998, A65) &gt; 0, 90, 0)
  + IF(COUNTIF(EggMilk!A$2:A$998, A65) &gt; 0, 90, 0)
)
* (0.8 + 0.4 * I65)
* 0.75,25)</f>
        <v>150</v>
      </c>
      <c r="H65" s="2">
        <f>MROUND(ROUNDDOWN(_xlfn.XLOOKUP(B65,'Base stats'!B:B,'Base stats'!L:L)/3.6/(23.3/11),1),0.5)</f>
        <v>2</v>
      </c>
      <c r="I65" s="2">
        <f>IF(_xlfn.XLOOKUP(B65,'Base stats'!B:B,'Base stats'!AI:AI)=1,0.99,MIN(MROUND((1-0.6282*EXP(-0.459*AN65))*_xlfn.XLOOKUP(_xlfn.XLOOKUP(B65,'Base stats'!B:B,'Base stats'!E:E),Groups!A:A,Groups!C:C)*IF(_xlfn.XLOOKUP(B65,'Base stats'!B:B,'Base stats'!O:O)=1,0.5,IF(_xlfn.XLOOKUP(B65,'Base stats'!B:B,'Base stats'!O:O)=2,0,1)),0.05),0.985))</f>
        <v>0.5</v>
      </c>
      <c r="J65" s="2">
        <f>ROUNDUP(AN65*_xlfn.XLOOKUP(_xlfn.XLOOKUP(B65,'Base stats'!B:B,'Base stats'!E:E),Groups!A:A,Groups!E:E),0)</f>
        <v>2</v>
      </c>
      <c r="K65" s="2">
        <f>IF(OR(_xlfn.XLOOKUP(_xlfn.XLOOKUP(B65,'Base stats'!B:B,'Base stats'!E:E),Groups!A:A,Groups!F:F)=2,ISNUMBER(SEARCH("SeaIce",BV65)),ISNUMBER(SEARCH("IceSheet",BV65))),-50,IF(OR(ISNUMBER(SEARCH("GlacialPlain",BV65)),ISNUMBER(SEARCH("Tundra",BV65))),-40,IF(OR(ISNUMBER(SEARCH("Alpine",BV65)),ISNUMBER(SEARCH("BorealForest",BV65)),ISNUMBER(SEARCH("ColdBog",BV65))),-30,IF(OR(ISNUMBER(SEARCH("TemperateForest",BV65)),ISNUMBER(SEARCH("TemperateSwamp",BV65))),-20,IF(_xlfn.XLOOKUP(_xlfn.XLOOKUP(B65,'Base stats'!B:B,'Base stats'!E:E),Groups!A:A,Groups!F:F)=1,-15,IF(OR(ISNUMBER(SEARCH("Desert",BV65)),ISNUMBER(SEARCH("ExtremeDesert",BV65))),-10,IF(OR(ISNUMBER(SEARCH("Grasslands",BV65)),ISNUMBER(SEARCH("TropicalRainforest",BV65)),ISNUMBER(SEARCH("TropicalSwamp",BV65))),10,0)))))))-IF(CA65="False",MIN(IFERROR(MAX(MROUND(LOG10(_xlfn.XLOOKUP(B65,'Base stats'!B:B,'Base stats'!C:C)^(2/3))*10,5),5),5),30))-_xlfn.XLOOKUP(B65,'Base stats'!B:B,'Base stats'!P:P)+IF(CA65="True",5,0)</f>
        <v>-45</v>
      </c>
      <c r="L65" s="2">
        <f>IF(OR(_xlfn.XLOOKUP(_xlfn.XLOOKUP(B65,'Base stats'!B:B,'Base stats'!E:E),Groups!A:A,Groups!G:G)=2,ISNUMBER(SEARCH("Desert",BV65)),ISNUMBER(SEARCH("ExtremeDesert",BV65)),ISNUMBER(SEARCH("LavaField",BV65))),50,IF(ISNUMBER(SEARCH("Grasslands",BV65)),45,IF(OR(_xlfn.XLOOKUP(_xlfn.XLOOKUP(B65,'Base stats'!B:B,'Base stats'!E:E),Groups!A:A,Groups!G:G)=1,ISNUMBER(SEARCH("TropicalRainforest",BV65)),ISNUMBER(SEARCH("TropicalSwamp",BV65))),40,IF(OR(ISNUMBER(SEARCH("TemperateForest",BV65)),ISNUMBER(SEARCH("TemperateSwamp",BV65))),35,IF(OR(ISNUMBER(SEARCH("Alpine",BV65)),ISNUMBER(SEARCH("BorealForest",BV65)),ISNUMBER(SEARCH("ColdBog",BV65))),30,IF(ISNUMBER(OR(ISNUMBER(SEARCH("GlacialPlain",BV65)),SEARCH("Tundra",BV65))),25,IF(OR(ISNUMBER(SEARCH("SeaIce",BV65)),ISNUMBER(SEARCH("IceSheet",BV65)),ISNUMBER(SEARCH("TropicalSwamp",BV65))),10,35)))))))+_xlfn.XLOOKUP(B65,'Base stats'!B:B,'Base stats'!Q:Q)</f>
        <v>50</v>
      </c>
      <c r="M65" s="8" t="str">
        <f>IF(_xlfn.XLOOKUP(_xlfn.XLOOKUP(B65,'Base stats'!B:B,'Base stats'!E:E),Groups!A:A,Groups!L:L)=1,MIN(MROUND(_xlfn.XLOOKUP(B65,'Animals CE'!B:B,'Animals CE'!Z:Z)/2+0.05,0.05),200%),"No")</f>
        <v>No</v>
      </c>
      <c r="N65" s="8" t="str">
        <f>IF(_xlfn.XLOOKUP(_xlfn.XLOOKUP(B65,'Base stats'!B:B,'Base stats'!E:E),Groups!A:A,Groups!L:L)=1,MIN(MROUND(_xlfn.XLOOKUP(B65,'Animals CE'!B:B,'Animals CE'!AA:AA)/2+0.05,0.05),200%),"No")</f>
        <v>No</v>
      </c>
      <c r="O65" s="2">
        <f>_xlfn.XLOOKUP(B65,'Base stats'!B:B,'Base stats'!R:R)</f>
        <v>0.8</v>
      </c>
      <c r="P65" s="13">
        <f>MROUND((LOG10(_xlfn.XLOOKUP(B65,'Base stats'!B:B,'Base stats'!AO:AO))*(AN65^0.5)+(_xlfn.XLOOKUP(B65,'Base stats'!B:B,'Base stats'!AO:AO)/1000)^(2/3)+_xlfn.XLOOKUP(B65,'Base stats'!B:B,'Base stats'!AX:AX)/2)+0.5,0.5)</f>
        <v>1.5</v>
      </c>
      <c r="Q65" s="7">
        <f>IF(P65="No","No",MAX(1,MROUND(_xlfn.XLOOKUP(B65,'Base stats'!B:B,'Base stats'!C:C)^0.165,0.05)))</f>
        <v>1</v>
      </c>
      <c r="R65" s="13">
        <f>IF(_xlfn.XLOOKUP(_xlfn.XLOOKUP(B65,'Base stats'!B:B,'Base stats'!E:E),Groups!A:A,Groups!P:P)=0,"No",MROUND((LOG10(_xlfn.XLOOKUP(B65,'Base stats'!B:B,'Base stats'!AP:AP))*(AN65^0.5)+(_xlfn.XLOOKUP(B65,'Base stats'!B:B,'Base stats'!AP:AP)/1000)^(2/3)+_xlfn.XLOOKUP(B65,'Base stats'!B:B,'Base stats'!AX:AX))+_xlfn.XLOOKUP(B65,'Base stats'!B:B,'Base stats'!AV:AV)+0.5,0.5))</f>
        <v>1.5</v>
      </c>
      <c r="S65" s="7">
        <f>IF(R65="No","No",MAX(_xlfn.XLOOKUP(_xlfn.XLOOKUP(B65,'Base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T65" s="7" t="str">
        <f>IF(R65="No","No",_xlfn.XLOOKUP(_xlfn.XLOOKUP(B65,'Base stats'!B:B,'Base stats'!E:E),Groups!A:A,Groups!R:R))</f>
        <v>Feet</v>
      </c>
      <c r="U65" s="7" t="str">
        <f>IF(R65="No","No",_xlfn.XLOOKUP(_xlfn.XLOOKUP(B65,'Base stats'!B:B,'Base stats'!E:E),Groups!A:A,Groups!S:S))</f>
        <v>rear left claw, rear  right claw</v>
      </c>
      <c r="V65" s="7" t="str">
        <f>IF(R65="No","No",_xlfn.XLOOKUP(_xlfn.XLOOKUP(B65,'Base stats'!B:B,'Base stats'!E:E),Groups!A:A,Groups!T:T))</f>
        <v>Scratch</v>
      </c>
      <c r="W65" s="13" t="str">
        <f>IF(_xlfn.XLOOKUP(B65,'Base stats'!B:B,'Base stats'!W:W)="No","No",MROUND((LOG10(_xlfn.XLOOKUP(B65,'Base stats'!B:B,'Base stats'!AR:AR))*(AN65^0.5)+(_xlfn.XLOOKUP(B65,'Base stats'!B:B,'Base stats'!AR:AR)/1000)^(2/3)+_xlfn.XLOOKUP(B65,'Base stats'!B:B,'Base stats'!AW:AW))+0.5+IF(_xlfn.XLOOKUP(_xlfn.XLOOKUP(B65,'Base stats'!B:B,'Base stats'!E:E),Groups!A:A,Groups!U:U)&lt;&gt;3,_xlfn.XLOOKUP(B65,'Base stats'!B:B,'Base stats'!AX:AX),0),0.5))</f>
        <v>No</v>
      </c>
      <c r="X65" s="7" t="str">
        <f>IF(W65="No","No",MAX(_xlfn.XLOOKUP(_xlfn.XLOOKUP(B65,'Base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Y65" s="7" t="str">
        <f>IF(W65="No","No",_xlfn.XLOOKUP(_xlfn.XLOOKUP(B65,'Base stats'!B:B,'Base stats'!E:E),Groups!A:A,Groups!W:W))</f>
        <v>No</v>
      </c>
      <c r="Z65" s="7" t="str">
        <f>IF(W65="No","No",_xlfn.XLOOKUP(_xlfn.XLOOKUP(B65,'Base stats'!B:B,'Base stats'!E:E),Groups!A:A,Groups!X:X))</f>
        <v>No</v>
      </c>
      <c r="AA65" s="7" t="str">
        <f>IF(W65="No","No",_xlfn.XLOOKUP(_xlfn.XLOOKUP(B65,'Base stats'!B:B,'Base stats'!E:E),Groups!A:A,Groups!Y:Y))</f>
        <v>No</v>
      </c>
      <c r="AB65" s="7" t="str">
        <f>_xlfn.XLOOKUP(Animals!B65,'Base stats'!B:B,'Base stats'!X:X)</f>
        <v>False</v>
      </c>
      <c r="AC65" s="13">
        <f>IF(_xlfn.XLOOKUP(B65,'Base stats'!B:B,'Base stats'!AQ:AQ)="No","No",MROUND((LOG10(_xlfn.XLOOKUP(B65,'Base stats'!B:B,'Base stats'!AQ:AQ))*(AN65^0.75)+(_xlfn.XLOOKUP(B65,'Base stats'!B:B,'Base stats'!AQ:AQ)/1000)^(2/3)+_xlfn.XLOOKUP(B65,'Base stats'!B:B,'Base stats'!AU:AU)+_xlfn.XLOOKUP(B65,'Base stats'!B:B,'Base stats'!AX:AX))+0.5,0.5))</f>
        <v>2</v>
      </c>
      <c r="AD65" s="7">
        <f>IF(AC65="No","No",MAX(_xlfn.XLOOKUP(_xlfn.XLOOKUP(B65,'Base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E65" s="7" t="str">
        <f>IF(AC65="No","No",_xlfn.XLOOKUP(_xlfn.XLOOKUP(B65,'Base stats'!B:B,'Base stats'!E:E),Groups!A:A,Groups!AA:AA))</f>
        <v>Beak</v>
      </c>
      <c r="AF65" s="7" t="str">
        <f>IF(AC65="No","No",_xlfn.XLOOKUP(_xlfn.XLOOKUP(B65,'Base stats'!B:B,'Base stats'!E:E),Groups!A:A,Groups!AB:AB))</f>
        <v>beak</v>
      </c>
      <c r="AG65" s="7" t="str">
        <f>IF(AC65="No","No",_xlfn.XLOOKUP(_xlfn.XLOOKUP(B65,'Base stats'!B:B,'Base stats'!E:E),Groups!A:A,Groups!AC:AC))</f>
        <v>Blunt</v>
      </c>
      <c r="AH65" s="13" t="str">
        <f>IF(_xlfn.XLOOKUP(_xlfn.XLOOKUP(B65,'Base stats'!B:B,'Base stats'!E:E),Groups!A:A,Groups!AD:AD)=0,"No",MROUND((LOG10(_xlfn.XLOOKUP(B65,'Base stats'!B:B,'Base stats'!AP:AP))*(AN65^0.75)+(_xlfn.XLOOKUP(B65,'Base stats'!B:B,'Base stats'!AP:AP)/1000)^(2/3)+_xlfn.XLOOKUP(B65,'Base stats'!B:B,'Base stats'!AV:AV)+_xlfn.XLOOKUP(B65,'Base stats'!B:B,'Base stats'!AX:AX))+0.5,0.5))</f>
        <v>No</v>
      </c>
      <c r="AI65" s="7" t="str">
        <f>IF(AH65="No","No",MAX(_xlfn.XLOOKUP(_xlfn.XLOOKUP(B65,'Base stats'!B:B,'Base stats'!E:E),Groups!A:A,Groups!AE:AE),MROUND(_xlfn.XLOOKUP(_xlfn.XLOOKUP(B65,'Base stats'!B:B,'Base stats'!E:E),Groups!A:A,Groups!AE:AE)*_xlfn.XLOOKUP(B65,'Base stats'!B:B,'Base stats'!C:C)^0.165,0.05)))</f>
        <v>No</v>
      </c>
      <c r="AJ65" s="7" t="str">
        <f>IF(AH65="No","No",_xlfn.XLOOKUP(_xlfn.XLOOKUP(B65,'Base stats'!B:B,'Base stats'!E:E),Groups!A:A,Groups!AF:AF))</f>
        <v>No</v>
      </c>
      <c r="AK65" s="7" t="str">
        <f>IF(AH65="No","No",_xlfn.XLOOKUP(_xlfn.XLOOKUP(B65,'Base stats'!B:B,'Base stats'!E:E),Groups!A:A,Groups!AG:AG))</f>
        <v>No</v>
      </c>
      <c r="AL65" s="7" t="str">
        <f>IF(AH65="No","No",_xlfn.XLOOKUP(_xlfn.XLOOKUP(B65,'Base stats'!B:B,'Base stats'!E:E),Groups!A:A,Groups!AH:AH))</f>
        <v>No</v>
      </c>
      <c r="AM65" s="2" t="str">
        <f t="shared" si="0"/>
        <v>No</v>
      </c>
      <c r="AN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O65" s="8">
        <f>MROUND(AN65*_xlfn.XLOOKUP(_xlfn.XLOOKUP(B65,'Base stats'!B:B,'Base stats'!E:E),Groups!A:A,Groups!AI:AI),0.05)</f>
        <v>0.1</v>
      </c>
      <c r="AP65" s="8">
        <f>MAX(0.01,MROUND(IF(CA65="True",0.196*(AN65*100*1000)^0.889,IF(_xlfn.XLOOKUP(_xlfn.XLOOKUP(B65,'Base stats'!B:B,'Base stats'!E:E),Groups!A:A,Groups!AJ:AJ)="Bird",10.5*(AN65*100*1000)^0.681,4.82*(AN65*100*1000)^0.734))/(4.82*(1*100*1000)^0.734)/IF(AN65&lt;3.5,2,IF(AN65=3.5,1.5,1.25))*(1+0.132282374779864/(AN65^0.994035016789033+0.00905238001496948)),0.05))</f>
        <v>0.25</v>
      </c>
      <c r="AQ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R65" s="35" t="str">
        <f>IFERROR(IF(_xlfn.XLOOKUP(B65,'Base stats'!B:B,'Base stats'!F:F)="Lay eggs","Lay eggs",MIN(20,MAX(5.5,ROUND(((_xlfn.XLOOKUP(B65,'Base stats'!B:B,'Base stats'!F:F)-25)*(14.5/615) + 5.5)*2,0)/2))),"Cannot breed")</f>
        <v>Lay eggs</v>
      </c>
      <c r="AS65" s="8">
        <f>IF(OR(A65="Queen",A65="Larva",A65="Megachicken"),"No",IFERROR(MAX(IF(_xlfn.XLOOKUP(B65,'Base stats'!B:B,'Base stats'!G:G)&lt;0.5,0.2,0.3),MROUND(_xlfn.XLOOKUP(B65,'Base stats'!B:B,'Base stats'!G:G)/(365/60),0.2)),"Unknown"))</f>
        <v>0.4</v>
      </c>
      <c r="AT65" s="8">
        <f t="shared" si="1"/>
        <v>0.2</v>
      </c>
      <c r="AU65" s="8" t="str">
        <f>IFERROR(IFERROR(MROUND(_xlfn.XLOOKUP(B65,'Base stats'!B:B,'Base stats'!J:J),0.1),"Lay eggs"),"Cannot breed")</f>
        <v>Lay eggs</v>
      </c>
      <c r="AV65" s="2" t="str">
        <f t="shared" si="2"/>
        <v>true</v>
      </c>
      <c r="AW65" s="2" t="str">
        <f>IF(_xlfn.XLOOKUP(_xlfn.XLOOKUP(Animals!B65,'Base stats'!B:B,'Base stats'!E:E),Groups!A:A,Groups!AK:AK)=1,"true","false")</f>
        <v>false</v>
      </c>
      <c r="AX65" s="25" t="str">
        <f>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</f>
        <v>OmnivoreAnimal, OvivoreAnimal</v>
      </c>
      <c r="AY65" s="2" t="str">
        <f>IF(_xlfn.XLOOKUP(_xlfn.XLOOKUP(B65,'Base stats'!B:B,'Base stats'!E:E),Groups!A:A,Groups!D:D)=1,MROUND((1-I65)*5+1,2)*IF(I65&lt;=0.4,2,1),"No")</f>
        <v>No</v>
      </c>
      <c r="AZ65" s="2" t="str">
        <f>_xlfn.XLOOKUP(B65,'Base stats'!B:B,'Base stats'!AE:AE)</f>
        <v>No</v>
      </c>
      <c r="BA65" s="23" t="str">
        <f>_xlfn.XLOOKUP(_xlfn.XLOOKUP(B65,'Base stats'!B:B,'Base stats'!E:E),Groups!A:A,Groups!AL:AL)</f>
        <v>Bird</v>
      </c>
      <c r="BB65" s="23">
        <f>MROUND(IF(AND(AN65&lt;0.5,_xlfn.XLOOKUP(B65,'Base stats'!B:B,'Base stats'!Z:Z)=0),0,IF(OR(_xlfn.XLOOKUP(Animals!B65,'Base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stats'!AA:AA),0.005)</f>
        <v>0</v>
      </c>
      <c r="BC65" s="23">
        <f>MROUND(IF(AND(AN65&lt;0.5,_xlfn.XLOOKUP(B65,'Base stats'!B:B,'Base stats'!Z:Z)=0),0,IF(_xlfn.XLOOKUP(_xlfn.XLOOKUP(B65,'Base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stats'!AB:AB),0.005)</f>
        <v>0</v>
      </c>
      <c r="BD65" s="2" t="str">
        <f>IF(I65&gt;0.3,"No",_xlfn.XLOOKUP(_xlfn.XLOOKUP(Animals!B65,'Base stats'!B:B,'Base stats'!E:E),Groups!A:A,Groups!AP:AP))</f>
        <v>No</v>
      </c>
      <c r="BE65" s="2" t="str">
        <f>IF(AND(I65&lt;=0.65,_xlfn.XLOOKUP(_xlfn.XLOOKUP(Animals!B65,'Base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stats'!O:O)=2,0.2,AN65) + 24*(1-IF(BD65="No",0,BD65)) + 16/3, 12),"No")</f>
        <v>No</v>
      </c>
      <c r="BF65" s="2">
        <f>IF(AND(_xlfn.XLOOKUP(_xlfn.XLOOKUP(B65,'Base stats'!B:B,'Base stats'!E:E),Groups!A:A,Groups!AQ:AQ)=1,AN65&lt;=0.35),8,12)</f>
        <v>12</v>
      </c>
      <c r="BG65" s="2" t="str">
        <f>IF(_xlfn.XLOOKUP(_xlfn.XLOOKUP(B65,'Base stats'!B:B,'Base stats'!E:E),Groups!A:A,Groups!D:D)=0,_xlfn.XLOOKUP(_xlfn.XLOOKUP(B65,'Base stats'!B:B,'Base stats'!E:E),Groups!A:A,Groups!AR:AR),"None")</f>
        <v>Advanced</v>
      </c>
      <c r="BH65" s="2" t="str">
        <f>IF(AND(_xlfn.XLOOKUP(_xlfn.XLOOKUP(B65,'Base stats'!B:B,'Base stats'!E:E),Groups!A:A,Groups!AS:AS)=1,OR('Base stats'!Y65="Carnivore",'Base stats'!Y65="Omnivore")),"true","false")</f>
        <v>false</v>
      </c>
      <c r="BI65" s="2" t="str">
        <f>IF(BH65="true",MROUND(IF(AND(AN65&gt;0.5,_xlfn.XLOOKUP(_xlfn.XLOOKUP(B65,'Base stats'!B:B,'Base stats'!E:E),Groups!A:A,Groups!AJ:AJ)="Mammal"),Animals!AN65*1.75*IF(AV65="true",1.5,1),Animals!AN65),IF(AN65&gt;2,0.5,IF(AN65&gt;0.5,0.25,0.1))),"No")</f>
        <v>No</v>
      </c>
      <c r="BJ65" s="2">
        <f t="shared" si="3"/>
        <v>1</v>
      </c>
      <c r="BK65" s="25" t="str">
        <f>IF('Base stats'!AK65="Standard","No",MROUND((_xlfn.XLOOKUP(B65,'Base stats'!B:B,'Base stats'!AK:AK)/3.6)/H65,0.1))</f>
        <v>No</v>
      </c>
      <c r="BL65" s="25" t="str">
        <f t="shared" si="4"/>
        <v>false</v>
      </c>
      <c r="BM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N65" s="25" t="str" cm="1">
        <f t="array" ref="BN65">IF(
  _xlfn.TEXTJOIN(", ",TRUE,
    IF(AND(BH65="true",AN65&gt;0.5,BG65&lt;&gt;"None"),"AttackTarget",""),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IF(BE65&lt;=36,"Comfort",""),
    IF(_xlfn.XLOOKUP(B65,'Base stats'!B:B,'Base stats'!AC:AC)&lt;&gt;"No",_xlfn.XLOOKUP(B65,'Base stats'!B:B,'Base stats'!AC:AC),"")
  ) = "",
  "No",
  _xlfn.TEXTJOIN(", ",TRUE,
    IF(AND(BH65="true",AN65&gt;0.5,BG65&lt;&gt;"None"),"AttackTarget",""),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IF(BE65&lt;=36,"Comfort",""),
    IF(_xlfn.XLOOKUP(B65,'Base stats'!B:B,'Base stats'!AC:AC)&lt;&gt;"No",_xlfn.XLOOKUP(B65,'Base stats'!B:B,'Base stats'!AC:AC),"")
  )
)</f>
        <v>No</v>
      </c>
      <c r="BO65" s="25" t="str">
        <f>IF(
   AND(
      'Base stats'!AK65="Standard",_xlfn.XLOOKUP(_xlfn.XLOOKUP(B65,'Base stats'!B:B,'Base stats'!E:E),Groups!A:A,Groups!AU:AU)=0,
      OR(
      BM65="True"
      )
   ),
   10,
   IF(
       OR(BK65&lt;&gt;"No",_xlfn.XLOOKUP(_xlfn.XLOOKUP(B65,'Base stats'!B:B,'Base stats'!E:E),Groups!A:A,Groups!AU:AU)=1),
      1,
      "No"
   )
)</f>
        <v>No</v>
      </c>
      <c r="BP65" s="9">
        <f>MROUND((1 + ((0.2*IF(OR(P65="No",Q65="No",Q65=0),0,P65/Q65)
+IF(OR(U65="No",R65="No",S65="No"),0,R65/S65*(LEN(U65)-LEN(SUBSTITUTE(U65,",",""))+1))
+IF(OR(W65="No",X65="No"),0,W65/X65)
+IF(OR(AC65="No",AD65="No"),0,AC65/AD65)
+IF(OR(AK65="No",AH65="No",AI65="No"),0,AH65/AI65*(LEN(AK65)-LEN(SUBSTITUTE(AK65,",",""))+1))
)/(0.2*IF(OR(P65="No",Q65="No",Q65=0),0,1)
+IF(OR(U65="No",R65="No",S65="No"),0,LEN(U65)-LEN(SUBSTITUTE(U65,",",""))+1)
+IF(OR(W65="No",X65="No"),0,1)
+IF(OR(AC65="No",AD65="No"),0,1)
+IF(OR(AK65="No",AH65="No",AI65="No"),0,LEN(AK65)-LEN(SUBSTITUTE(AK65,",",""))+1))*62%)* 2)*(1 + (AO65 + _xlfn.XLOOKUP(B65,'Base stats'!B:B,'Base stats'!AS:AS) * 1.8) * 2) * 2.5 + 10 + H65 * 2,5)+IF(_xlfn.XLOOKUP(B65,'Base stats'!B:B,'Base stats'!AH:AH)=1,50,0)</f>
        <v>25</v>
      </c>
      <c r="BQ65" s="8">
        <f t="shared" si="5"/>
        <v>0.2</v>
      </c>
      <c r="BR65" s="8" t="str">
        <f>_xlfn.XLOOKUP(B65,'Base stats'!B:B,'Base stats'!AD:AD)</f>
        <v>3~8</v>
      </c>
      <c r="BS65" s="2" t="str">
        <f>IF(AND(I65&lt;=0.95,OR(_xlfn.XLOOKUP(B65,'Base stats'!B:B,'Base stats'!AH:AH)=1,_xlfn.XLOOKUP(B65,'Base stats'!B:B,'Base stats'!Y:Y)="Carnivore",_xlfn.XLOOKUP(B65,'Base stats'!B:B,'Base stats'!Y:Y)="Omnivore",BC65&gt;0.1)),"true","false")</f>
        <v>true</v>
      </c>
      <c r="BT65" s="2" t="str">
        <f>IF(_xlfn.XLOOKUP(B65,'Base stats'!B:B,'Base stats'!AF:AF)=1,"true","false")</f>
        <v>false</v>
      </c>
      <c r="BU65" s="25" t="str">
        <f>IF(E65="BaseInsect","AnimalInsect",
IF(I65&gt;0.95,"AnimalExotic",
_xlfn.TEXTJOIN(", ",TRUE,
IF(AND(_xlfn.XLOOKUP(B65,'Base stats'!B:B,'Base stats'!O:O)=0,_xlfn.XLOOKUP(_xlfn.XLOOKUP(B65,'Base stats'!B:B,'Base stats'!E:E),Groups!A:A,Groups!B:B)&gt;0),"AnimalUncommon","AnimalCommon"),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stats'!AH:AH)=1,AND(BG65&lt;&gt;"None",BP65&gt;=60),ISNUMBER(SEARCH("Attack target",BN65))),"AnimalFighter","")
)))</f>
        <v>AnimalUncommon</v>
      </c>
      <c r="BV65" s="25" t="str">
        <f>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</f>
        <v>Tundra BorealForest ColdBog TemperateForest TemperateSwamp AridShrubland Desert TropicalRainforest TropicalSwamp Grasslands Glowforest LavaField GlacialPlain Scarlands</v>
      </c>
      <c r="BW65" s="25" t="str">
        <f>IF(_xlfn.XLOOKUP(B65,'Base stats'!B:B,'Base stats'!AG:AG)=1,"true","false")</f>
        <v>false</v>
      </c>
      <c r="BX65" s="25">
        <f>IF(_xlfn.XLOOKUP(B65,'Base stats'!B:B,'Base stats'!N:N)=1,"No",MIN(MROUND(IF(OR(_xlfn.XLOOKUP(B65,'Base stats'!B:B,'Base stats'!AJ:AJ)=1,AND(BH65="True",CA65="False")),POWER(10,3.47*LOG10(_xlfn.XLOOKUP(B65,'Base stats'!B:B,'Base stats'!C:C)*1000)^-0.96),POWER(10,4.15*LOG10(_xlfn.XLOOKUP(B65,'Base stats'!B:B,'Base stats'!C:C)*1000)^-0.73))*IF(OR(_xlfn.XLOOKUP(B65,'Base stats'!B:B,'Base stats'!AJ:AJ)=1,_xlfn.XLOOKUP(B65,'Base stats'!B:B,'Base stats'!AH:AH)=1),0.5,1)/100,0.025),1))</f>
        <v>1</v>
      </c>
      <c r="BY65" s="25">
        <f>IF(O65="Standard","No",IF(_xlfn.XLOOKUP(B65,'Base stats'!B:B,'Base stats'!N:N)=0,MROUND(BX65*O65,0.05),MIN(1,MAX(0.025,MROUND(IF(OR(CA65="true",AND(BH65="false",BM65="false")),POWER(10,4.15*LOG10(_xlfn.XLOOKUP(B65,'Base stats'!B:B,'Base stats'!C:C)*1000)^-0.73),POWER(10,3.47*LOG10(_xlfn.XLOOKUP(B65,'Base stats'!B:B,'Base stats'!C:C)*1000)^-0.96))*IF(_xlfn.XLOOKUP(B65,'Base stats'!B:B,'Base stats'!AH:AH)=1,0.5,1)/100,0.025)))))</f>
        <v>0.8</v>
      </c>
      <c r="BZ65" s="25" t="str">
        <f>IF(_xlfn.XLOOKUP(_xlfn.XLOOKUP(B65,'Base stats'!B:B,'Base stats'!E:E),Groups!A:A,Groups!AJ:AJ)="Mammal","True","False")</f>
        <v>False</v>
      </c>
      <c r="CA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B65" s="25" t="str">
        <f t="shared" si="6"/>
        <v>False</v>
      </c>
      <c r="CC65" s="25" t="str">
        <f>IF(_xlfn.XLOOKUP(_xlfn.XLOOKUP(B65,'Base stats'!B:B,'Base stats'!E:E),Groups!A:A,Groups!AW:AW),"True","False")</f>
        <v>False</v>
      </c>
      <c r="CD65" s="25" t="str">
        <f>IF(_xlfn.XLOOKUP(_xlfn.XLOOKUP(B65,'Base stats'!B:B,'Base stats'!E:E),Groups!A:A,Groups!AX:AX),"True","False")</f>
        <v>False</v>
      </c>
      <c r="CE65" s="25" t="str">
        <f>IF(_xlfn.XLOOKUP(B65,'Base stats'!B:B,'Base stats'!E:E)=1,"True","False")</f>
        <v>False</v>
      </c>
      <c r="CF65" s="25" t="str">
        <f>IF(
OR(
_xlfn.XLOOKUP(_xlfn.XLOOKUP(B65,'Base stats'!B:B,'Base stats'!E:E),Groups!A:A,Groups!AY:AY)=0,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stats'!E:E),Groups!A:A,Groups!AY:AY)=1,
"Flesh",
IF(
_xlfn.XLOOKUP(_xlfn.XLOOKUP(B65,'Base stats'!B:B,'Base stats'!E:E),Groups!A:A,Groups!AY:AY)=2,
"Bone",
""
)
)
)</f>
        <v>Flesh</v>
      </c>
      <c r="CG65" s="25" t="str">
        <f>IF(_xlfn.XLOOKUP(_xlfn.XLOOKUP(B65,'Base stats'!B:B,'Base stats'!E:E),Groups!A:A,Groups!BA:BA),"True","False")</f>
        <v>True</v>
      </c>
      <c r="CH65" s="25" t="str">
        <f>IF(_xlfn.XLOOKUP(_xlfn.XLOOKUP(B65,'Base stats'!B:B,'Base stats'!E:E),Groups!A:A,Groups!AZ:AZ),"True","False")</f>
        <v>False</v>
      </c>
    </row>
    <row r="66" spans="1:86" ht="16.5" thickTop="1" thickBot="1" x14ac:dyDescent="0.3">
      <c r="A66" s="26" t="str">
        <f>_xlfn.XLOOKUP(B66,'Base stats'!B:B,'Base stats'!A:A)</f>
        <v>Macaw</v>
      </c>
      <c r="B66" s="6" t="s">
        <v>231</v>
      </c>
      <c r="C66" s="28" t="s">
        <v>758</v>
      </c>
      <c r="D66" s="28" t="s">
        <v>882</v>
      </c>
      <c r="E66" s="28" t="s">
        <v>755</v>
      </c>
      <c r="F66" s="28" t="s">
        <v>685</v>
      </c>
      <c r="G66" s="2">
        <f>MROUND((
  (IF(AND(_xlfn.XLOOKUP(B66,'Base stats'!B:B,'Base stats'!AI:AI)=0,BG66="None",_xlfn.XLOOKUP('Base stats'!E66,Groups!A:A,Groups!B:B)=0), (18 + BP66 * 2.7) * 0.5,
    IF(AND(_xlfn.XLOOKUP(B66,'Base stats'!B:B,'Base stats'!AI:AI)=0,OR(AN66&lt;0.55,AND(BG66="Intermediate",_xlfn.XLOOKUP('Base stats'!E66,Groups!A:A,Groups!B:B)&lt;2))), (18 + BP66 * 2.7),
      IF(OR(BG66="Advanced",_xlfn.XLOOKUP(B66,'Base stats'!B:B,'Base stats'!AI:AI)=1,_xlfn.XLOOKUP('Base stats'!E66,Groups!A:A,Groups!B:B)=2), (18 + BP66 * 2.7) + 250, (18 + BP66 * 2.7))
    )
  ))
  + AN66 * 80
  + IF(COUNTIF(EggMilk!K$2:K$998, A66) &gt; 0, 125, 0)
  + IF(COUNTIF(EggMilk!P$2:P$998, A66) &gt; 0, 90, 0)
  + IF(COUNTIF(EggMilk!A$2:A$998, A66) &gt; 0, 90, 0)
)
* (0.8 + 0.4 * I66)
* 0.75,25)</f>
        <v>150</v>
      </c>
      <c r="H66" s="2">
        <f>MROUND(ROUNDDOWN(_xlfn.XLOOKUP(B66,'Base stats'!B:B,'Base stats'!L:L)/3.6/(23.3/11),1),0.5)</f>
        <v>2</v>
      </c>
      <c r="I66" s="2">
        <f>IF(_xlfn.XLOOKUP(B66,'Base stats'!B:B,'Base stats'!AI:AI)=1,0.99,MIN(MROUND((1-0.6282*EXP(-0.459*AN66))*_xlfn.XLOOKUP(_xlfn.XLOOKUP(B66,'Base stats'!B:B,'Base stats'!E:E),Groups!A:A,Groups!C:C)*IF(_xlfn.XLOOKUP(B66,'Base stats'!B:B,'Base stats'!O:O)=1,0.5,IF(_xlfn.XLOOKUP(B66,'Base stats'!B:B,'Base stats'!O:O)=2,0,1)),0.05),0.985))</f>
        <v>0.5</v>
      </c>
      <c r="J66" s="2">
        <f>ROUNDUP(AN66*_xlfn.XLOOKUP(_xlfn.XLOOKUP(B66,'Base stats'!B:B,'Base stats'!E:E),Groups!A:A,Groups!E:E),0)</f>
        <v>2</v>
      </c>
      <c r="K66" s="2">
        <f>IF(OR(_xlfn.XLOOKUP(_xlfn.XLOOKUP(B66,'Base stats'!B:B,'Base stats'!E:E),Groups!A:A,Groups!F:F)=2,ISNUMBER(SEARCH("SeaIce",BV66)),ISNUMBER(SEARCH("IceSheet",BV66))),-50,IF(OR(ISNUMBER(SEARCH("GlacialPlain",BV66)),ISNUMBER(SEARCH("Tundra",BV66))),-40,IF(OR(ISNUMBER(SEARCH("Alpine",BV66)),ISNUMBER(SEARCH("BorealForest",BV66)),ISNUMBER(SEARCH("ColdBog",BV66))),-30,IF(OR(ISNUMBER(SEARCH("TemperateForest",BV66)),ISNUMBER(SEARCH("TemperateSwamp",BV66))),-20,IF(_xlfn.XLOOKUP(_xlfn.XLOOKUP(B66,'Base stats'!B:B,'Base stats'!E:E),Groups!A:A,Groups!F:F)=1,-15,IF(OR(ISNUMBER(SEARCH("Desert",BV66)),ISNUMBER(SEARCH("ExtremeDesert",BV66))),-10,IF(OR(ISNUMBER(SEARCH("Grasslands",BV66)),ISNUMBER(SEARCH("TropicalRainforest",BV66)),ISNUMBER(SEARCH("TropicalSwamp",BV66))),10,0)))))))-IF(CA66="False",MIN(IFERROR(MAX(MROUND(LOG10(_xlfn.XLOOKUP(B66,'Base stats'!B:B,'Base stats'!C:C)^(2/3))*10,5),5),5),30))-_xlfn.XLOOKUP(B66,'Base stats'!B:B,'Base stats'!P:P)+IF(CA66="True",5,0)</f>
        <v>5</v>
      </c>
      <c r="L66" s="2">
        <f>IF(OR(_xlfn.XLOOKUP(_xlfn.XLOOKUP(B66,'Base stats'!B:B,'Base stats'!E:E),Groups!A:A,Groups!G:G)=2,ISNUMBER(SEARCH("Desert",BV66)),ISNUMBER(SEARCH("ExtremeDesert",BV66)),ISNUMBER(SEARCH("LavaField",BV66))),50,IF(ISNUMBER(SEARCH("Grasslands",BV66)),45,IF(OR(_xlfn.XLOOKUP(_xlfn.XLOOKUP(B66,'Base stats'!B:B,'Base stats'!E:E),Groups!A:A,Groups!G:G)=1,ISNUMBER(SEARCH("TropicalRainforest",BV66)),ISNUMBER(SEARCH("TropicalSwamp",BV66))),40,IF(OR(ISNUMBER(SEARCH("TemperateForest",BV66)),ISNUMBER(SEARCH("TemperateSwamp",BV66))),35,IF(OR(ISNUMBER(SEARCH("Alpine",BV66)),ISNUMBER(SEARCH("BorealForest",BV66)),ISNUMBER(SEARCH("ColdBog",BV66))),30,IF(ISNUMBER(OR(ISNUMBER(SEARCH("GlacialPlain",BV66)),SEARCH("Tundra",BV66))),25,IF(OR(ISNUMBER(SEARCH("SeaIce",BV66)),ISNUMBER(SEARCH("IceSheet",BV66)),ISNUMBER(SEARCH("TropicalSwamp",BV66))),10,35)))))))+_xlfn.XLOOKUP(B66,'Base stats'!B:B,'Base stats'!Q:Q)</f>
        <v>40</v>
      </c>
      <c r="M66" s="8" t="str">
        <f>IF(_xlfn.XLOOKUP(_xlfn.XLOOKUP(B66,'Base stats'!B:B,'Base stats'!E:E),Groups!A:A,Groups!L:L)=1,MIN(MROUND(_xlfn.XLOOKUP(B66,'Animals CE'!B:B,'Animals CE'!Z:Z)/2+0.05,0.05),200%),"No")</f>
        <v>No</v>
      </c>
      <c r="N66" s="8" t="str">
        <f>IF(_xlfn.XLOOKUP(_xlfn.XLOOKUP(B66,'Base stats'!B:B,'Base stats'!E:E),Groups!A:A,Groups!L:L)=1,MIN(MROUND(_xlfn.XLOOKUP(B66,'Animals CE'!B:B,'Animals CE'!AA:AA)/2+0.05,0.05),200%),"No")</f>
        <v>No</v>
      </c>
      <c r="O66" s="2" t="str">
        <f>_xlfn.XLOOKUP(B66,'Base stats'!B:B,'Base stats'!R:R)</f>
        <v>Standard</v>
      </c>
      <c r="P66" s="13">
        <f>MROUND((LOG10(_xlfn.XLOOKUP(B66,'Base stats'!B:B,'Base stats'!AO:AO))*(AN66^0.5)+(_xlfn.XLOOKUP(B66,'Base stats'!B:B,'Base stats'!AO:AO)/1000)^(2/3)+_xlfn.XLOOKUP(B66,'Base stats'!B:B,'Base stats'!AX:AX)/2)+0.5,0.5)</f>
        <v>1.5</v>
      </c>
      <c r="Q66" s="7">
        <f>IF(P66="No","No",MAX(1,MROUND(_xlfn.XLOOKUP(B66,'Base stats'!B:B,'Base stats'!C:C)^0.165,0.05)))</f>
        <v>1</v>
      </c>
      <c r="R66" s="13">
        <f>IF(_xlfn.XLOOKUP(_xlfn.XLOOKUP(B66,'Base stats'!B:B,'Base stats'!E:E),Groups!A:A,Groups!P:P)=0,"No",MROUND((LOG10(_xlfn.XLOOKUP(B66,'Base stats'!B:B,'Base stats'!AP:AP))*(AN66^0.5)+(_xlfn.XLOOKUP(B66,'Base stats'!B:B,'Base stats'!AP:AP)/1000)^(2/3)+_xlfn.XLOOKUP(B66,'Base stats'!B:B,'Base stats'!AX:AX))+_xlfn.XLOOKUP(B66,'Base stats'!B:B,'Base stats'!AV:AV)+0.5,0.5))</f>
        <v>2</v>
      </c>
      <c r="S66" s="7">
        <f>IF(R66="No","No",MAX(_xlfn.XLOOKUP(_xlfn.XLOOKUP(B66,'Base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T66" s="7" t="str">
        <f>IF(R66="No","No",_xlfn.XLOOKUP(_xlfn.XLOOKUP(B66,'Base stats'!B:B,'Base stats'!E:E),Groups!A:A,Groups!R:R))</f>
        <v>Feet</v>
      </c>
      <c r="U66" s="7" t="str">
        <f>IF(R66="No","No",_xlfn.XLOOKUP(_xlfn.XLOOKUP(B66,'Base stats'!B:B,'Base stats'!E:E),Groups!A:A,Groups!S:S))</f>
        <v>rear left claw, rear  right claw</v>
      </c>
      <c r="V66" s="7" t="str">
        <f>IF(R66="No","No",_xlfn.XLOOKUP(_xlfn.XLOOKUP(B66,'Base stats'!B:B,'Base stats'!E:E),Groups!A:A,Groups!T:T))</f>
        <v>Scratch</v>
      </c>
      <c r="W66" s="13" t="str">
        <f>IF(_xlfn.XLOOKUP(B66,'Base stats'!B:B,'Base stats'!W:W)="No","No",MROUND((LOG10(_xlfn.XLOOKUP(B66,'Base stats'!B:B,'Base stats'!AR:AR))*(AN66^0.5)+(_xlfn.XLOOKUP(B66,'Base stats'!B:B,'Base stats'!AR:AR)/1000)^(2/3)+_xlfn.XLOOKUP(B66,'Base stats'!B:B,'Base stats'!AW:AW))+0.5+IF(_xlfn.XLOOKUP(_xlfn.XLOOKUP(B66,'Base stats'!B:B,'Base stats'!E:E),Groups!A:A,Groups!U:U)&lt;&gt;3,_xlfn.XLOOKUP(B66,'Base stats'!B:B,'Base stats'!AX:AX),0),0.5))</f>
        <v>No</v>
      </c>
      <c r="X66" s="7" t="str">
        <f>IF(W66="No","No",MAX(_xlfn.XLOOKUP(_xlfn.XLOOKUP(B66,'Base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Y66" s="7" t="str">
        <f>IF(W66="No","No",_xlfn.XLOOKUP(_xlfn.XLOOKUP(B66,'Base stats'!B:B,'Base stats'!E:E),Groups!A:A,Groups!W:W))</f>
        <v>No</v>
      </c>
      <c r="Z66" s="7" t="str">
        <f>IF(W66="No","No",_xlfn.XLOOKUP(_xlfn.XLOOKUP(B66,'Base stats'!B:B,'Base stats'!E:E),Groups!A:A,Groups!X:X))</f>
        <v>No</v>
      </c>
      <c r="AA66" s="7" t="str">
        <f>IF(W66="No","No",_xlfn.XLOOKUP(_xlfn.XLOOKUP(B66,'Base stats'!B:B,'Base stats'!E:E),Groups!A:A,Groups!Y:Y))</f>
        <v>No</v>
      </c>
      <c r="AB66" s="7" t="str">
        <f>_xlfn.XLOOKUP(Animals!B66,'Base stats'!B:B,'Base stats'!X:X)</f>
        <v>False</v>
      </c>
      <c r="AC66" s="13">
        <f>IF(_xlfn.XLOOKUP(B66,'Base stats'!B:B,'Base stats'!AQ:AQ)="No","No",MROUND((LOG10(_xlfn.XLOOKUP(B66,'Base stats'!B:B,'Base stats'!AQ:AQ))*(AN66^0.75)+(_xlfn.XLOOKUP(B66,'Base stats'!B:B,'Base stats'!AQ:AQ)/1000)^(2/3)+_xlfn.XLOOKUP(B66,'Base stats'!B:B,'Base stats'!AU:AU)+_xlfn.XLOOKUP(B66,'Base stats'!B:B,'Base stats'!AX:AX))+0.5,0.5))</f>
        <v>2.5</v>
      </c>
      <c r="AD66" s="7">
        <f>IF(AC66="No","No",MAX(_xlfn.XLOOKUP(_xlfn.XLOOKUP(B66,'Base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E66" s="7" t="str">
        <f>IF(AC66="No","No",_xlfn.XLOOKUP(_xlfn.XLOOKUP(B66,'Base stats'!B:B,'Base stats'!E:E),Groups!A:A,Groups!AA:AA))</f>
        <v>Beak</v>
      </c>
      <c r="AF66" s="7" t="str">
        <f>IF(AC66="No","No",_xlfn.XLOOKUP(_xlfn.XLOOKUP(B66,'Base stats'!B:B,'Base stats'!E:E),Groups!A:A,Groups!AB:AB))</f>
        <v>beak</v>
      </c>
      <c r="AG66" s="7" t="str">
        <f>IF(AC66="No","No",_xlfn.XLOOKUP(_xlfn.XLOOKUP(B66,'Base stats'!B:B,'Base stats'!E:E),Groups!A:A,Groups!AC:AC))</f>
        <v>Blunt</v>
      </c>
      <c r="AH66" s="13" t="str">
        <f>IF(_xlfn.XLOOKUP(_xlfn.XLOOKUP(B66,'Base stats'!B:B,'Base stats'!E:E),Groups!A:A,Groups!AD:AD)=0,"No",MROUND((LOG10(_xlfn.XLOOKUP(B66,'Base stats'!B:B,'Base stats'!AP:AP))*(AN66^0.75)+(_xlfn.XLOOKUP(B66,'Base stats'!B:B,'Base stats'!AP:AP)/1000)^(2/3)+_xlfn.XLOOKUP(B66,'Base stats'!B:B,'Base stats'!AV:AV)+_xlfn.XLOOKUP(B66,'Base stats'!B:B,'Base stats'!AX:AX))+0.5,0.5))</f>
        <v>No</v>
      </c>
      <c r="AI66" s="7" t="str">
        <f>IF(AH66="No","No",MAX(_xlfn.XLOOKUP(_xlfn.XLOOKUP(B66,'Base stats'!B:B,'Base stats'!E:E),Groups!A:A,Groups!AE:AE),MROUND(_xlfn.XLOOKUP(_xlfn.XLOOKUP(B66,'Base stats'!B:B,'Base stats'!E:E),Groups!A:A,Groups!AE:AE)*_xlfn.XLOOKUP(B66,'Base stats'!B:B,'Base stats'!C:C)^0.165,0.05)))</f>
        <v>No</v>
      </c>
      <c r="AJ66" s="7" t="str">
        <f>IF(AH66="No","No",_xlfn.XLOOKUP(_xlfn.XLOOKUP(B66,'Base stats'!B:B,'Base stats'!E:E),Groups!A:A,Groups!AF:AF))</f>
        <v>No</v>
      </c>
      <c r="AK66" s="7" t="str">
        <f>IF(AH66="No","No",_xlfn.XLOOKUP(_xlfn.XLOOKUP(B66,'Base stats'!B:B,'Base stats'!E:E),Groups!A:A,Groups!AG:AG))</f>
        <v>No</v>
      </c>
      <c r="AL66" s="7" t="str">
        <f>IF(AH66="No","No",_xlfn.XLOOKUP(_xlfn.XLOOKUP(B66,'Base stats'!B:B,'Base stats'!E:E),Groups!A:A,Groups!AH:AH))</f>
        <v>No</v>
      </c>
      <c r="AM66" s="2" t="str">
        <f t="shared" si="0"/>
        <v>No</v>
      </c>
      <c r="AN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O66" s="8">
        <f>MROUND(AN66*_xlfn.XLOOKUP(_xlfn.XLOOKUP(B66,'Base stats'!B:B,'Base stats'!E:E),Groups!A:A,Groups!AI:AI),0.05)</f>
        <v>0.15000000000000002</v>
      </c>
      <c r="AP66" s="8">
        <f>MAX(0.01,MROUND(IF(CA66="True",0.196*(AN66*100*1000)^0.889,IF(_xlfn.XLOOKUP(_xlfn.XLOOKUP(B66,'Base stats'!B:B,'Base stats'!E:E),Groups!A:A,Groups!AJ:AJ)="Bird",10.5*(AN66*100*1000)^0.681,4.82*(AN66*100*1000)^0.734))/(4.82*(1*100*1000)^0.734)/IF(AN66&lt;3.5,2,IF(AN66=3.5,1.5,1.25))*(1+0.132282374779864/(AN66^0.994035016789033+0.00905238001496948)),0.05))</f>
        <v>0.30000000000000004</v>
      </c>
      <c r="AQ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R66" s="35" t="str">
        <f>IFERROR(IF(_xlfn.XLOOKUP(B66,'Base stats'!B:B,'Base stats'!F:F)="Lay eggs","Lay eggs",MIN(20,MAX(5.5,ROUND(((_xlfn.XLOOKUP(B66,'Base stats'!B:B,'Base stats'!F:F)-25)*(14.5/615) + 5.5)*2,0)/2))),"Cannot breed")</f>
        <v>Lay eggs</v>
      </c>
      <c r="AS66" s="8">
        <f>IF(OR(A66="Queen",A66="Larva",A66="Megachicken"),"No",IFERROR(MAX(IF(_xlfn.XLOOKUP(B66,'Base stats'!B:B,'Base stats'!G:G)&lt;0.5,0.2,0.3),MROUND(_xlfn.XLOOKUP(B66,'Base stats'!B:B,'Base stats'!G:G)/(365/60),0.2)),"Unknown"))</f>
        <v>0.4</v>
      </c>
      <c r="AT66" s="8">
        <f t="shared" si="1"/>
        <v>0.2</v>
      </c>
      <c r="AU66" s="8" t="str">
        <f>IFERROR(IFERROR(MROUND(_xlfn.XLOOKUP(B66,'Base stats'!B:B,'Base stats'!J:J),0.1),"Lay eggs"),"Cannot breed")</f>
        <v>Lay eggs</v>
      </c>
      <c r="AV66" s="2" t="str">
        <f t="shared" si="2"/>
        <v>true</v>
      </c>
      <c r="AW66" s="2" t="str">
        <f>IF(_xlfn.XLOOKUP(_xlfn.XLOOKUP(Animals!B66,'Base stats'!B:B,'Base stats'!E:E),Groups!A:A,Groups!AK:AK)=1,"true","false")</f>
        <v>false</v>
      </c>
      <c r="AX66" s="25" t="str">
        <f>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</f>
        <v>VegetarianRoughAnimal</v>
      </c>
      <c r="AY66" s="2" t="str">
        <f>IF(_xlfn.XLOOKUP(_xlfn.XLOOKUP(B66,'Base stats'!B:B,'Base stats'!E:E),Groups!A:A,Groups!D:D)=1,MROUND((1-I66)*5+1,2)*IF(I66&lt;=0.4,2,1),"No")</f>
        <v>No</v>
      </c>
      <c r="AZ66" s="2" t="str">
        <f>_xlfn.XLOOKUP(B66,'Base stats'!B:B,'Base stats'!AE:AE)</f>
        <v>No</v>
      </c>
      <c r="BA66" s="23" t="str">
        <f>_xlfn.XLOOKUP(_xlfn.XLOOKUP(B66,'Base stats'!B:B,'Base stats'!E:E),Groups!A:A,Groups!AL:AL)</f>
        <v>Bird</v>
      </c>
      <c r="BB66" s="23">
        <f>MROUND(IF(AND(AN66&lt;0.5,_xlfn.XLOOKUP(B66,'Base stats'!B:B,'Base stats'!Z:Z)=0),0,IF(OR(_xlfn.XLOOKUP(Animals!B66,'Base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stats'!AA:AA),0.005)</f>
        <v>0</v>
      </c>
      <c r="BC66" s="23">
        <f>MROUND(IF(AND(AN66&lt;0.5,_xlfn.XLOOKUP(B66,'Base stats'!B:B,'Base stats'!Z:Z)=0),0,IF(_xlfn.XLOOKUP(_xlfn.XLOOKUP(B66,'Base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stats'!AB:AB),0.005)</f>
        <v>0</v>
      </c>
      <c r="BD66" s="2" t="str">
        <f>IF(I66&gt;0.3,"No",_xlfn.XLOOKUP(_xlfn.XLOOKUP(Animals!B66,'Base stats'!B:B,'Base stats'!E:E),Groups!A:A,Groups!AP:AP))</f>
        <v>No</v>
      </c>
      <c r="BE66" s="2" t="str">
        <f>IF(AND(I66&lt;=0.65,_xlfn.XLOOKUP(_xlfn.XLOOKUP(Animals!B66,'Base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stats'!O:O)=2,0.2,AN66) + 24*(1-IF(BD66="No",0,BD66)) + 16/3, 12),"No")</f>
        <v>No</v>
      </c>
      <c r="BF66" s="2">
        <f>IF(AND(_xlfn.XLOOKUP(_xlfn.XLOOKUP(B66,'Base stats'!B:B,'Base stats'!E:E),Groups!A:A,Groups!AQ:AQ)=1,AN66&lt;=0.35),8,12)</f>
        <v>12</v>
      </c>
      <c r="BG66" s="2" t="str">
        <f>IF(_xlfn.XLOOKUP(_xlfn.XLOOKUP(B66,'Base stats'!B:B,'Base stats'!E:E),Groups!A:A,Groups!D:D)=0,_xlfn.XLOOKUP(_xlfn.XLOOKUP(B66,'Base stats'!B:B,'Base stats'!E:E),Groups!A:A,Groups!AR:AR),"None")</f>
        <v>Advanced</v>
      </c>
      <c r="BH66" s="2" t="str">
        <f>IF(AND(_xlfn.XLOOKUP(_xlfn.XLOOKUP(B66,'Base stats'!B:B,'Base stats'!E:E),Groups!A:A,Groups!AS:AS)=1,OR('Base stats'!Y66="Carnivore",'Base stats'!Y66="Omnivore")),"true","false")</f>
        <v>false</v>
      </c>
      <c r="BI66" s="2" t="str">
        <f>IF(BH66="true",MROUND(IF(AND(AN66&gt;0.5,_xlfn.XLOOKUP(_xlfn.XLOOKUP(B66,'Base stats'!B:B,'Base stats'!E:E),Groups!A:A,Groups!AJ:AJ)="Mammal"),Animals!AN66*1.75*IF(AV66="true",1.5,1),Animals!AN66),IF(AN66&gt;2,0.5,IF(AN66&gt;0.5,0.25,0.1))),"No")</f>
        <v>No</v>
      </c>
      <c r="BJ66" s="2">
        <f t="shared" si="3"/>
        <v>1</v>
      </c>
      <c r="BK66" s="25" t="str">
        <f>IF('Base stats'!AK66="Standard","No",MROUND((_xlfn.XLOOKUP(B66,'Base stats'!B:B,'Base stats'!AK:AK)/3.6)/H66,0.1))</f>
        <v>No</v>
      </c>
      <c r="BL66" s="25" t="str">
        <f t="shared" si="4"/>
        <v>false</v>
      </c>
      <c r="BM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N66" s="25" t="str" cm="1">
        <f t="array" ref="BN66">IF(
  _xlfn.TEXTJOIN(", ",TRUE,
    IF(AND(BH66="true",AN66&gt;0.5,BG66&lt;&gt;"None"),"AttackTarget",""),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IF(BE66&lt;=36,"Comfort",""),
    IF(_xlfn.XLOOKUP(B66,'Base stats'!B:B,'Base stats'!AC:AC)&lt;&gt;"No",_xlfn.XLOOKUP(B66,'Base stats'!B:B,'Base stats'!AC:AC),"")
  ) = "",
  "No",
  _xlfn.TEXTJOIN(", ",TRUE,
    IF(AND(BH66="true",AN66&gt;0.5,BG66&lt;&gt;"None"),"AttackTarget",""),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IF(BE66&lt;=36,"Comfort",""),
    IF(_xlfn.XLOOKUP(B66,'Base stats'!B:B,'Base stats'!AC:AC)&lt;&gt;"No",_xlfn.XLOOKUP(B66,'Base stats'!B:B,'Base stats'!AC:AC),"")
  )
)</f>
        <v>No</v>
      </c>
      <c r="BO66" s="25" t="str">
        <f>IF(
   AND(
      'Base stats'!AK66="Standard",_xlfn.XLOOKUP(_xlfn.XLOOKUP(B66,'Base stats'!B:B,'Base stats'!E:E),Groups!A:A,Groups!AU:AU)=0,
      OR(
      BM66="True"
      )
   ),
   10,
   IF(
       OR(BK66&lt;&gt;"No",_xlfn.XLOOKUP(_xlfn.XLOOKUP(B66,'Base stats'!B:B,'Base stats'!E:E),Groups!A:A,Groups!AU:AU)=1),
      1,
      "No"
   )
)</f>
        <v>No</v>
      </c>
      <c r="BP66" s="9">
        <f>MROUND((1 + ((0.2*IF(OR(P66="No",Q66="No",Q66=0),0,P66/Q66)
+IF(OR(U66="No",R66="No",S66="No"),0,R66/S66*(LEN(U66)-LEN(SUBSTITUTE(U66,",",""))+1))
+IF(OR(W66="No",X66="No"),0,W66/X66)
+IF(OR(AC66="No",AD66="No"),0,AC66/AD66)
+IF(OR(AK66="No",AH66="No",AI66="No"),0,AH66/AI66*(LEN(AK66)-LEN(SUBSTITUTE(AK66,",",""))+1))
)/(0.2*IF(OR(P66="No",Q66="No",Q66=0),0,1)
+IF(OR(U66="No",R66="No",S66="No"),0,LEN(U66)-LEN(SUBSTITUTE(U66,",",""))+1)
+IF(OR(W66="No",X66="No"),0,1)
+IF(OR(AC66="No",AD66="No"),0,1)
+IF(OR(AK66="No",AH66="No",AI66="No"),0,LEN(AK66)-LEN(SUBSTITUTE(AK66,",",""))+1))*62%)* 2)*(1 + (AO66 + _xlfn.XLOOKUP(B66,'Base stats'!B:B,'Base stats'!AS:AS) * 1.8) * 2) * 2.5 + 10 + H66 * 2,5)+IF(_xlfn.XLOOKUP(B66,'Base stats'!B:B,'Base stats'!AH:AH)=1,50,0)</f>
        <v>25</v>
      </c>
      <c r="BQ66" s="8">
        <f t="shared" si="5"/>
        <v>0.25</v>
      </c>
      <c r="BR66" s="8" t="str">
        <f>_xlfn.XLOOKUP(B66,'Base stats'!B:B,'Base stats'!AD:AD)</f>
        <v>3~8</v>
      </c>
      <c r="BS66" s="2" t="str">
        <f>IF(AND(I66&lt;=0.95,OR(_xlfn.XLOOKUP(B66,'Base stats'!B:B,'Base stats'!AH:AH)=1,_xlfn.XLOOKUP(B66,'Base stats'!B:B,'Base stats'!Y:Y)="Carnivore",_xlfn.XLOOKUP(B66,'Base stats'!B:B,'Base stats'!Y:Y)="Omnivore",BC66&gt;0.1)),"true","false")</f>
        <v>false</v>
      </c>
      <c r="BT66" s="2" t="str">
        <f>IF(_xlfn.XLOOKUP(B66,'Base stats'!B:B,'Base stats'!AF:AF)=1,"true","false")</f>
        <v>false</v>
      </c>
      <c r="BU66" s="25" t="str">
        <f>IF(E66="BaseInsect","AnimalInsect",
IF(I66&gt;0.95,"AnimalExotic",
_xlfn.TEXTJOIN(", ",TRUE,
IF(AND(_xlfn.XLOOKUP(B66,'Base stats'!B:B,'Base stats'!O:O)=0,_xlfn.XLOOKUP(_xlfn.XLOOKUP(B66,'Base stats'!B:B,'Base stats'!E:E),Groups!A:A,Groups!B:B)&gt;0),"AnimalUncommon","AnimalCommon"),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stats'!AH:AH)=1,AND(BG66&lt;&gt;"None",BP66&gt;=60),ISNUMBER(SEARCH("Attack target",BN66))),"AnimalFighter","")
)))</f>
        <v>AnimalUncommon</v>
      </c>
      <c r="BV66" s="25" t="str">
        <f>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</f>
        <v>TropicalRainforest TropicalSwamp</v>
      </c>
      <c r="BW66" s="25" t="str">
        <f>IF(_xlfn.XLOOKUP(B66,'Base stats'!B:B,'Base stats'!AG:AG)=1,"true","false")</f>
        <v>false</v>
      </c>
      <c r="BX66" s="25">
        <f>IF(_xlfn.XLOOKUP(B66,'Base stats'!B:B,'Base stats'!N:N)=1,"No",MIN(MROUND(IF(OR(_xlfn.XLOOKUP(B66,'Base stats'!B:B,'Base stats'!AJ:AJ)=1,AND(BH66="True",CA66="False")),POWER(10,3.47*LOG10(_xlfn.XLOOKUP(B66,'Base stats'!B:B,'Base stats'!C:C)*1000)^-0.96),POWER(10,4.15*LOG10(_xlfn.XLOOKUP(B66,'Base stats'!B:B,'Base stats'!C:C)*1000)^-0.73))*IF(OR(_xlfn.XLOOKUP(B66,'Base stats'!B:B,'Base stats'!AJ:AJ)=1,_xlfn.XLOOKUP(B66,'Base stats'!B:B,'Base stats'!AH:AH)=1),0.5,1)/100,0.025),1))</f>
        <v>0.72500000000000009</v>
      </c>
      <c r="BY66" s="25" t="str">
        <f>IF(O66="Standard","No",IF(_xlfn.XLOOKUP(B66,'Base stats'!B:B,'Base stats'!N:N)=0,MROUND(BX66*O66,0.05),MIN(1,MAX(0.025,MROUND(IF(OR(CA66="true",AND(BH66="false",BM66="false")),POWER(10,4.15*LOG10(_xlfn.XLOOKUP(B66,'Base stats'!B:B,'Base stats'!C:C)*1000)^-0.73),POWER(10,3.47*LOG10(_xlfn.XLOOKUP(B66,'Base stats'!B:B,'Base stats'!C:C)*1000)^-0.96))*IF(_xlfn.XLOOKUP(B66,'Base stats'!B:B,'Base stats'!AH:AH)=1,0.5,1)/100,0.025)))))</f>
        <v>No</v>
      </c>
      <c r="BZ66" s="25" t="str">
        <f>IF(_xlfn.XLOOKUP(_xlfn.XLOOKUP(B66,'Base stats'!B:B,'Base stats'!E:E),Groups!A:A,Groups!AJ:AJ)="Mammal","True","False")</f>
        <v>False</v>
      </c>
      <c r="CA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B66" s="25" t="str">
        <f t="shared" si="6"/>
        <v>False</v>
      </c>
      <c r="CC66" s="25" t="str">
        <f>IF(_xlfn.XLOOKUP(_xlfn.XLOOKUP(B66,'Base stats'!B:B,'Base stats'!E:E),Groups!A:A,Groups!AW:AW),"True","False")</f>
        <v>False</v>
      </c>
      <c r="CD66" s="25" t="str">
        <f>IF(_xlfn.XLOOKUP(_xlfn.XLOOKUP(B66,'Base stats'!B:B,'Base stats'!E:E),Groups!A:A,Groups!AX:AX),"True","False")</f>
        <v>False</v>
      </c>
      <c r="CE66" s="25" t="str">
        <f>IF(_xlfn.XLOOKUP(B66,'Base stats'!B:B,'Base stats'!E:E)=1,"True","False")</f>
        <v>False</v>
      </c>
      <c r="CF66" s="25" t="str">
        <f>IF(
OR(
_xlfn.XLOOKUP(_xlfn.XLOOKUP(B66,'Base stats'!B:B,'Base stats'!E:E),Groups!A:A,Groups!AY:AY)=0,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stats'!E:E),Groups!A:A,Groups!AY:AY)=1,
"Flesh",
IF(
_xlfn.XLOOKUP(_xlfn.XLOOKUP(B66,'Base stats'!B:B,'Base stats'!E:E),Groups!A:A,Groups!AY:AY)=2,
"Bone",
""
)
)
)</f>
        <v>No</v>
      </c>
      <c r="CG66" s="25" t="str">
        <f>IF(_xlfn.XLOOKUP(_xlfn.XLOOKUP(B66,'Base stats'!B:B,'Base stats'!E:E),Groups!A:A,Groups!BA:BA),"True","False")</f>
        <v>True</v>
      </c>
      <c r="CH66" s="25" t="str">
        <f>IF(_xlfn.XLOOKUP(_xlfn.XLOOKUP(B66,'Base stats'!B:B,'Base stats'!E:E),Groups!A:A,Groups!AZ:AZ),"True","False")</f>
        <v>False</v>
      </c>
    </row>
    <row r="67" spans="1:86" ht="16.5" thickTop="1" thickBot="1" x14ac:dyDescent="0.3">
      <c r="A67" s="26" t="str">
        <f>_xlfn.XLOOKUP(B67,'Base stats'!B:B,'Base stats'!A:A)</f>
        <v>Quail</v>
      </c>
      <c r="B67" s="6" t="s">
        <v>224</v>
      </c>
      <c r="C67" s="28" t="s">
        <v>759</v>
      </c>
      <c r="D67" s="28" t="s">
        <v>882</v>
      </c>
      <c r="E67" s="28" t="s">
        <v>755</v>
      </c>
      <c r="F67" s="28" t="s">
        <v>685</v>
      </c>
      <c r="G67" s="2">
        <f>MROUND((
  (IF(AND(_xlfn.XLOOKUP(B67,'Base stats'!B:B,'Base stats'!AI:AI)=0,BG67="None",_xlfn.XLOOKUP('Base stats'!E67,Groups!A:A,Groups!B:B)=0), (18 + BP67 * 2.7) * 0.5,
    IF(AND(_xlfn.XLOOKUP(B67,'Base stats'!B:B,'Base stats'!AI:AI)=0,OR(AN67&lt;0.55,AND(BG67="Intermediate",_xlfn.XLOOKUP('Base stats'!E67,Groups!A:A,Groups!B:B)&lt;2))), (18 + BP67 * 2.7),
      IF(OR(BG67="Advanced",_xlfn.XLOOKUP(B67,'Base stats'!B:B,'Base stats'!AI:AI)=1,_xlfn.XLOOKUP('Base stats'!E67,Groups!A:A,Groups!B:B)=2), (18 + BP67 * 2.7) + 250, (18 + BP67 * 2.7))
    )
  ))
  + AN67 * 80
  + IF(COUNTIF(EggMilk!K$2:K$998, A67) &gt; 0, 125, 0)
  + IF(COUNTIF(EggMilk!P$2:P$998, A67) &gt; 0, 90, 0)
  + IF(COUNTIF(EggMilk!A$2:A$998, A67) &gt; 0, 90, 0)
)
* (0.8 + 0.4 * I67)
* 0.75,25)</f>
        <v>100</v>
      </c>
      <c r="H67" s="2">
        <f>MROUND(ROUNDDOWN(_xlfn.XLOOKUP(B67,'Base stats'!B:B,'Base stats'!L:L)/3.6/(23.3/11),1),0.5)</f>
        <v>2</v>
      </c>
      <c r="I67" s="2">
        <f>IF(_xlfn.XLOOKUP(B67,'Base stats'!B:B,'Base stats'!AI:AI)=1,0.99,MIN(MROUND((1-0.6282*EXP(-0.459*AN67))*_xlfn.XLOOKUP(_xlfn.XLOOKUP(B67,'Base stats'!B:B,'Base stats'!E:E),Groups!A:A,Groups!C:C)*IF(_xlfn.XLOOKUP(B67,'Base stats'!B:B,'Base stats'!O:O)=1,0.5,IF(_xlfn.XLOOKUP(B67,'Base stats'!B:B,'Base stats'!O:O)=2,0,1)),0.05),0.985))</f>
        <v>0.5</v>
      </c>
      <c r="J67" s="2">
        <f>ROUNDUP(AN67*_xlfn.XLOOKUP(_xlfn.XLOOKUP(B67,'Base stats'!B:B,'Base stats'!E:E),Groups!A:A,Groups!E:E),0)</f>
        <v>2</v>
      </c>
      <c r="K67" s="2">
        <f>IF(OR(_xlfn.XLOOKUP(_xlfn.XLOOKUP(B67,'Base stats'!B:B,'Base stats'!E:E),Groups!A:A,Groups!F:F)=2,ISNUMBER(SEARCH("SeaIce",BV67)),ISNUMBER(SEARCH("IceSheet",BV67))),-50,IF(OR(ISNUMBER(SEARCH("GlacialPlain",BV67)),ISNUMBER(SEARCH("Tundra",BV67))),-40,IF(OR(ISNUMBER(SEARCH("Alpine",BV67)),ISNUMBER(SEARCH("BorealForest",BV67)),ISNUMBER(SEARCH("ColdBog",BV67))),-30,IF(OR(ISNUMBER(SEARCH("TemperateForest",BV67)),ISNUMBER(SEARCH("TemperateSwamp",BV67))),-20,IF(_xlfn.XLOOKUP(_xlfn.XLOOKUP(B67,'Base stats'!B:B,'Base stats'!E:E),Groups!A:A,Groups!F:F)=1,-15,IF(OR(ISNUMBER(SEARCH("Desert",BV67)),ISNUMBER(SEARCH("ExtremeDesert",BV67))),-10,IF(OR(ISNUMBER(SEARCH("Grasslands",BV67)),ISNUMBER(SEARCH("TropicalRainforest",BV67)),ISNUMBER(SEARCH("TropicalSwamp",BV67))),10,0)))))))-IF(CA67="False",MIN(IFERROR(MAX(MROUND(LOG10(_xlfn.XLOOKUP(B67,'Base stats'!B:B,'Base stats'!C:C)^(2/3))*10,5),5),5),30))-_xlfn.XLOOKUP(B67,'Base stats'!B:B,'Base stats'!P:P)+IF(CA67="True",5,0)</f>
        <v>-25</v>
      </c>
      <c r="L67" s="2">
        <f>IF(OR(_xlfn.XLOOKUP(_xlfn.XLOOKUP(B67,'Base stats'!B:B,'Base stats'!E:E),Groups!A:A,Groups!G:G)=2,ISNUMBER(SEARCH("Desert",BV67)),ISNUMBER(SEARCH("ExtremeDesert",BV67)),ISNUMBER(SEARCH("LavaField",BV67))),50,IF(ISNUMBER(SEARCH("Grasslands",BV67)),45,IF(OR(_xlfn.XLOOKUP(_xlfn.XLOOKUP(B67,'Base stats'!B:B,'Base stats'!E:E),Groups!A:A,Groups!G:G)=1,ISNUMBER(SEARCH("TropicalRainforest",BV67)),ISNUMBER(SEARCH("TropicalSwamp",BV67))),40,IF(OR(ISNUMBER(SEARCH("TemperateForest",BV67)),ISNUMBER(SEARCH("TemperateSwamp",BV67))),35,IF(OR(ISNUMBER(SEARCH("Alpine",BV67)),ISNUMBER(SEARCH("BorealForest",BV67)),ISNUMBER(SEARCH("ColdBog",BV67))),30,IF(ISNUMBER(OR(ISNUMBER(SEARCH("GlacialPlain",BV67)),SEARCH("Tundra",BV67))),25,IF(OR(ISNUMBER(SEARCH("SeaIce",BV67)),ISNUMBER(SEARCH("IceSheet",BV67)),ISNUMBER(SEARCH("TropicalSwamp",BV67))),10,35)))))))+_xlfn.XLOOKUP(B67,'Base stats'!B:B,'Base stats'!Q:Q)</f>
        <v>50</v>
      </c>
      <c r="M67" s="8" t="str">
        <f>IF(_xlfn.XLOOKUP(_xlfn.XLOOKUP(B67,'Base stats'!B:B,'Base stats'!E:E),Groups!A:A,Groups!L:L)=1,MIN(MROUND(_xlfn.XLOOKUP(B67,'Animals CE'!B:B,'Animals CE'!Z:Z)/2+0.05,0.05),200%),"No")</f>
        <v>No</v>
      </c>
      <c r="N67" s="8" t="str">
        <f>IF(_xlfn.XLOOKUP(_xlfn.XLOOKUP(B67,'Base stats'!B:B,'Base stats'!E:E),Groups!A:A,Groups!L:L)=1,MIN(MROUND(_xlfn.XLOOKUP(B67,'Animals CE'!B:B,'Animals CE'!AA:AA)/2+0.05,0.05),200%),"No")</f>
        <v>No</v>
      </c>
      <c r="O67" s="2" t="str">
        <f>_xlfn.XLOOKUP(B67,'Base stats'!B:B,'Base stats'!R:R)</f>
        <v>Standard</v>
      </c>
      <c r="P67" s="13">
        <f>MROUND((LOG10(_xlfn.XLOOKUP(B67,'Base stats'!B:B,'Base stats'!AO:AO))*(AN67^0.5)+(_xlfn.XLOOKUP(B67,'Base stats'!B:B,'Base stats'!AO:AO)/1000)^(2/3)+_xlfn.XLOOKUP(B67,'Base stats'!B:B,'Base stats'!AX:AX)/2)+0.5,0.5)</f>
        <v>1</v>
      </c>
      <c r="Q67" s="7">
        <f>IF(P67="No","No",MAX(1,MROUND(_xlfn.XLOOKUP(B67,'Base stats'!B:B,'Base stats'!C:C)^0.165,0.05)))</f>
        <v>1</v>
      </c>
      <c r="R67" s="13">
        <f>IF(_xlfn.XLOOKUP(_xlfn.XLOOKUP(B67,'Base stats'!B:B,'Base stats'!E:E),Groups!A:A,Groups!P:P)=0,"No",MROUND((LOG10(_xlfn.XLOOKUP(B67,'Base stats'!B:B,'Base stats'!AP:AP))*(AN67^0.5)+(_xlfn.XLOOKUP(B67,'Base stats'!B:B,'Base stats'!AP:AP)/1000)^(2/3)+_xlfn.XLOOKUP(B67,'Base stats'!B:B,'Base stats'!AX:AX))+_xlfn.XLOOKUP(B67,'Base stats'!B:B,'Base stats'!AV:AV)+0.5,0.5))</f>
        <v>1</v>
      </c>
      <c r="S67" s="7">
        <f>IF(R67="No","No",MAX(_xlfn.XLOOKUP(_xlfn.XLOOKUP(B67,'Base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T67" s="7" t="str">
        <f>IF(R67="No","No",_xlfn.XLOOKUP(_xlfn.XLOOKUP(B67,'Base stats'!B:B,'Base stats'!E:E),Groups!A:A,Groups!R:R))</f>
        <v>Feet</v>
      </c>
      <c r="U67" s="7" t="str">
        <f>IF(R67="No","No",_xlfn.XLOOKUP(_xlfn.XLOOKUP(B67,'Base stats'!B:B,'Base stats'!E:E),Groups!A:A,Groups!S:S))</f>
        <v>rear left claw, rear  right claw</v>
      </c>
      <c r="V67" s="7" t="str">
        <f>IF(R67="No","No",_xlfn.XLOOKUP(_xlfn.XLOOKUP(B67,'Base stats'!B:B,'Base stats'!E:E),Groups!A:A,Groups!T:T))</f>
        <v>Scratch</v>
      </c>
      <c r="W67" s="13" t="str">
        <f>IF(_xlfn.XLOOKUP(B67,'Base stats'!B:B,'Base stats'!W:W)="No","No",MROUND((LOG10(_xlfn.XLOOKUP(B67,'Base stats'!B:B,'Base stats'!AR:AR))*(AN67^0.5)+(_xlfn.XLOOKUP(B67,'Base stats'!B:B,'Base stats'!AR:AR)/1000)^(2/3)+_xlfn.XLOOKUP(B67,'Base stats'!B:B,'Base stats'!AW:AW))+0.5+IF(_xlfn.XLOOKUP(_xlfn.XLOOKUP(B67,'Base stats'!B:B,'Base stats'!E:E),Groups!A:A,Groups!U:U)&lt;&gt;3,_xlfn.XLOOKUP(B67,'Base stats'!B:B,'Base stats'!AX:AX),0),0.5))</f>
        <v>No</v>
      </c>
      <c r="X67" s="7" t="str">
        <f>IF(W67="No","No",MAX(_xlfn.XLOOKUP(_xlfn.XLOOKUP(B67,'Base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Y67" s="7" t="str">
        <f>IF(W67="No","No",_xlfn.XLOOKUP(_xlfn.XLOOKUP(B67,'Base stats'!B:B,'Base stats'!E:E),Groups!A:A,Groups!W:W))</f>
        <v>No</v>
      </c>
      <c r="Z67" s="7" t="str">
        <f>IF(W67="No","No",_xlfn.XLOOKUP(_xlfn.XLOOKUP(B67,'Base stats'!B:B,'Base stats'!E:E),Groups!A:A,Groups!X:X))</f>
        <v>No</v>
      </c>
      <c r="AA67" s="7" t="str">
        <f>IF(W67="No","No",_xlfn.XLOOKUP(_xlfn.XLOOKUP(B67,'Base stats'!B:B,'Base stats'!E:E),Groups!A:A,Groups!Y:Y))</f>
        <v>No</v>
      </c>
      <c r="AB67" s="7" t="str">
        <f>_xlfn.XLOOKUP(Animals!B67,'Base stats'!B:B,'Base stats'!X:X)</f>
        <v>False</v>
      </c>
      <c r="AC67" s="13">
        <f>IF(_xlfn.XLOOKUP(B67,'Base stats'!B:B,'Base stats'!AQ:AQ)="No","No",MROUND((LOG10(_xlfn.XLOOKUP(B67,'Base stats'!B:B,'Base stats'!AQ:AQ))*(AN67^0.75)+(_xlfn.XLOOKUP(B67,'Base stats'!B:B,'Base stats'!AQ:AQ)/1000)^(2/3)+_xlfn.XLOOKUP(B67,'Base stats'!B:B,'Base stats'!AU:AU)+_xlfn.XLOOKUP(B67,'Base stats'!B:B,'Base stats'!AX:AX))+0.5,0.5))</f>
        <v>1</v>
      </c>
      <c r="AD67" s="7">
        <f>IF(AC67="No","No",MAX(_xlfn.XLOOKUP(_xlfn.XLOOKUP(B67,'Base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E67" s="7" t="str">
        <f>IF(AC67="No","No",_xlfn.XLOOKUP(_xlfn.XLOOKUP(B67,'Base stats'!B:B,'Base stats'!E:E),Groups!A:A,Groups!AA:AA))</f>
        <v>Beak</v>
      </c>
      <c r="AF67" s="7" t="str">
        <f>IF(AC67="No","No",_xlfn.XLOOKUP(_xlfn.XLOOKUP(B67,'Base stats'!B:B,'Base stats'!E:E),Groups!A:A,Groups!AB:AB))</f>
        <v>beak</v>
      </c>
      <c r="AG67" s="7" t="str">
        <f>IF(AC67="No","No",_xlfn.XLOOKUP(_xlfn.XLOOKUP(B67,'Base stats'!B:B,'Base stats'!E:E),Groups!A:A,Groups!AC:AC))</f>
        <v>Blunt</v>
      </c>
      <c r="AH67" s="13" t="str">
        <f>IF(_xlfn.XLOOKUP(_xlfn.XLOOKUP(B67,'Base stats'!B:B,'Base stats'!E:E),Groups!A:A,Groups!AD:AD)=0,"No",MROUND((LOG10(_xlfn.XLOOKUP(B67,'Base stats'!B:B,'Base stats'!AP:AP))*(AN67^0.75)+(_xlfn.XLOOKUP(B67,'Base stats'!B:B,'Base stats'!AP:AP)/1000)^(2/3)+_xlfn.XLOOKUP(B67,'Base stats'!B:B,'Base stats'!AV:AV)+_xlfn.XLOOKUP(B67,'Base stats'!B:B,'Base stats'!AX:AX))+0.5,0.5))</f>
        <v>No</v>
      </c>
      <c r="AI67" s="7" t="str">
        <f>IF(AH67="No","No",MAX(_xlfn.XLOOKUP(_xlfn.XLOOKUP(B67,'Base stats'!B:B,'Base stats'!E:E),Groups!A:A,Groups!AE:AE),MROUND(_xlfn.XLOOKUP(_xlfn.XLOOKUP(B67,'Base stats'!B:B,'Base stats'!E:E),Groups!A:A,Groups!AE:AE)*_xlfn.XLOOKUP(B67,'Base stats'!B:B,'Base stats'!C:C)^0.165,0.05)))</f>
        <v>No</v>
      </c>
      <c r="AJ67" s="7" t="str">
        <f>IF(AH67="No","No",_xlfn.XLOOKUP(_xlfn.XLOOKUP(B67,'Base stats'!B:B,'Base stats'!E:E),Groups!A:A,Groups!AF:AF))</f>
        <v>No</v>
      </c>
      <c r="AK67" s="7" t="str">
        <f>IF(AH67="No","No",_xlfn.XLOOKUP(_xlfn.XLOOKUP(B67,'Base stats'!B:B,'Base stats'!E:E),Groups!A:A,Groups!AG:AG))</f>
        <v>No</v>
      </c>
      <c r="AL67" s="7" t="str">
        <f>IF(AH67="No","No",_xlfn.XLOOKUP(_xlfn.XLOOKUP(B67,'Base stats'!B:B,'Base stats'!E:E),Groups!A:A,Groups!AH:AH))</f>
        <v>No</v>
      </c>
      <c r="AM67" s="2" t="str">
        <f t="shared" ref="AM67:AM130" si="7">IF(BH67="false","No",MROUND(AN67*5+15*1,5))</f>
        <v>No</v>
      </c>
      <c r="AN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O67" s="8">
        <f>MROUND(AN67*_xlfn.XLOOKUP(_xlfn.XLOOKUP(B67,'Base stats'!B:B,'Base stats'!E:E),Groups!A:A,Groups!AI:AI),0.05)</f>
        <v>0.1</v>
      </c>
      <c r="AP67" s="8">
        <f>MAX(0.01,MROUND(IF(CA67="True",0.196*(AN67*100*1000)^0.889,IF(_xlfn.XLOOKUP(_xlfn.XLOOKUP(B67,'Base stats'!B:B,'Base stats'!E:E),Groups!A:A,Groups!AJ:AJ)="Bird",10.5*(AN67*100*1000)^0.681,4.82*(AN67*100*1000)^0.734))/(4.82*(1*100*1000)^0.734)/IF(AN67&lt;3.5,2,IF(AN67=3.5,1.5,1.25))*(1+0.132282374779864/(AN67^0.994035016789033+0.00905238001496948)),0.05))</f>
        <v>0.25</v>
      </c>
      <c r="AQ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R67" s="35" t="str">
        <f>IFERROR(IF(_xlfn.XLOOKUP(B67,'Base stats'!B:B,'Base stats'!F:F)="Lay eggs","Lay eggs",MIN(20,MAX(5.5,ROUND(((_xlfn.XLOOKUP(B67,'Base stats'!B:B,'Base stats'!F:F)-25)*(14.5/615) + 5.5)*2,0)/2))),"Cannot breed")</f>
        <v>Lay eggs</v>
      </c>
      <c r="AS67" s="8">
        <f>IF(OR(A67="Queen",A67="Larva",A67="Megachicken"),"No",IFERROR(MAX(IF(_xlfn.XLOOKUP(B67,'Base stats'!B:B,'Base stats'!G:G)&lt;0.5,0.2,0.3),MROUND(_xlfn.XLOOKUP(B67,'Base stats'!B:B,'Base stats'!G:G)/(365/60),0.2)),"Unknown"))</f>
        <v>0.3</v>
      </c>
      <c r="AT67" s="8">
        <f t="shared" ref="AT67:AT130" si="8">IF(OR(A67="Queen",A67="Larva",A67="Megachicken"),"No",IFERROR(MROUND(AS67/2,0.05),"Unknown"))</f>
        <v>0.15000000000000002</v>
      </c>
      <c r="AU67" s="8" t="str">
        <f>IFERROR(IFERROR(MROUND(_xlfn.XLOOKUP(B67,'Base stats'!B:B,'Base stats'!J:J),0.1),"Lay eggs"),"Cannot breed")</f>
        <v>Lay eggs</v>
      </c>
      <c r="AV67" s="2" t="str">
        <f t="shared" ref="AV67:AV130" si="9">IF(BR67="No","false","true")</f>
        <v>true</v>
      </c>
      <c r="AW67" s="2" t="str">
        <f>IF(_xlfn.XLOOKUP(_xlfn.XLOOKUP(Animals!B67,'Base stats'!B:B,'Base stats'!E:E),Groups!A:A,Groups!AK:AK)=1,"true","false")</f>
        <v>false</v>
      </c>
      <c r="AX67" s="25" t="str">
        <f>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</f>
        <v>VegetarianRoughAnimal</v>
      </c>
      <c r="AY67" s="2">
        <f>IF(_xlfn.XLOOKUP(_xlfn.XLOOKUP(B67,'Base stats'!B:B,'Base stats'!E:E),Groups!A:A,Groups!D:D)=1,MROUND((1-I67)*5+1,2)*IF(I67&lt;=0.4,2,1),"No")</f>
        <v>4</v>
      </c>
      <c r="AZ67" s="2" t="str">
        <f>_xlfn.XLOOKUP(B67,'Base stats'!B:B,'Base stats'!AE:AE)</f>
        <v>No</v>
      </c>
      <c r="BA67" s="23" t="str">
        <f>_xlfn.XLOOKUP(_xlfn.XLOOKUP(B67,'Base stats'!B:B,'Base stats'!E:E),Groups!A:A,Groups!AL:AL)</f>
        <v>Bird</v>
      </c>
      <c r="BB67" s="23">
        <f>MROUND(IF(AND(AN67&lt;0.5,_xlfn.XLOOKUP(B67,'Base stats'!B:B,'Base stats'!Z:Z)=0),0,IF(OR(_xlfn.XLOOKUP(Animals!B67,'Base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stats'!AA:AA),0.005)</f>
        <v>0</v>
      </c>
      <c r="BC67" s="23">
        <f>MROUND(IF(AND(AN67&lt;0.5,_xlfn.XLOOKUP(B67,'Base stats'!B:B,'Base stats'!Z:Z)=0),0,IF(_xlfn.XLOOKUP(_xlfn.XLOOKUP(B67,'Base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stats'!AB:AB),0.005)</f>
        <v>0</v>
      </c>
      <c r="BD67" s="2" t="str">
        <f>IF(I67&gt;0.3,"No",_xlfn.XLOOKUP(_xlfn.XLOOKUP(Animals!B67,'Base stats'!B:B,'Base stats'!E:E),Groups!A:A,Groups!AP:AP))</f>
        <v>No</v>
      </c>
      <c r="BE67" s="2" t="str">
        <f>IF(AND(I67&lt;=0.65,_xlfn.XLOOKUP(_xlfn.XLOOKUP(Animals!B67,'Base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stats'!O:O)=2,0.2,AN67) + 24*(1-IF(BD67="No",0,BD67)) + 16/3, 12),"No")</f>
        <v>No</v>
      </c>
      <c r="BF67" s="2">
        <f>IF(AND(_xlfn.XLOOKUP(_xlfn.XLOOKUP(B67,'Base stats'!B:B,'Base stats'!E:E),Groups!A:A,Groups!AQ:AQ)=1,AN67&lt;=0.35),8,12)</f>
        <v>8</v>
      </c>
      <c r="BG67" s="2" t="str">
        <f>IF(_xlfn.XLOOKUP(_xlfn.XLOOKUP(B67,'Base stats'!B:B,'Base stats'!E:E),Groups!A:A,Groups!D:D)=0,_xlfn.XLOOKUP(_xlfn.XLOOKUP(B67,'Base stats'!B:B,'Base stats'!E:E),Groups!A:A,Groups!AR:AR),"None")</f>
        <v>None</v>
      </c>
      <c r="BH67" s="2" t="str">
        <f>IF(AND(_xlfn.XLOOKUP(_xlfn.XLOOKUP(B67,'Base stats'!B:B,'Base stats'!E:E),Groups!A:A,Groups!AS:AS)=1,OR('Base stats'!Y67="Carnivore",'Base stats'!Y67="Omnivore")),"true","false")</f>
        <v>false</v>
      </c>
      <c r="BI67" s="2" t="str">
        <f>IF(BH67="true",MROUND(IF(AND(AN67&gt;0.5,_xlfn.XLOOKUP(_xlfn.XLOOKUP(B67,'Base stats'!B:B,'Base stats'!E:E),Groups!A:A,Groups!AJ:AJ)="Mammal"),Animals!AN67*1.75*IF(AV67="true",1.5,1),Animals!AN67),IF(AN67&gt;2,0.5,IF(AN67&gt;0.5,0.25,0.1))),"No")</f>
        <v>No</v>
      </c>
      <c r="BJ67" s="2">
        <f t="shared" ref="BJ67:BJ130" si="10">IF(BG67&lt;&gt;"None",1,0)</f>
        <v>0</v>
      </c>
      <c r="BK67" s="25" t="str">
        <f>IF('Base stats'!AK67="Standard","No",MROUND((_xlfn.XLOOKUP(B67,'Base stats'!B:B,'Base stats'!AK:AK)/3.6)/H67,0.1))</f>
        <v>No</v>
      </c>
      <c r="BL67" s="25" t="str">
        <f t="shared" ref="BL67:BL130" si="11">IF(OR(BK67&lt;&gt;"No",BO67=1),"true","false")</f>
        <v>false</v>
      </c>
      <c r="BM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N67" s="25" t="str" cm="1">
        <f t="array" ref="BN67">IF(
  _xlfn.TEXTJOIN(", ",TRUE,
    IF(AND(BH67="true",AN67&gt;0.5,BG67&lt;&gt;"None"),"AttackTarget",""),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IF(BE67&lt;=36,"Comfort",""),
    IF(_xlfn.XLOOKUP(B67,'Base stats'!B:B,'Base stats'!AC:AC)&lt;&gt;"No",_xlfn.XLOOKUP(B67,'Base stats'!B:B,'Base stats'!AC:AC),"")
  ) = "",
  "No",
  _xlfn.TEXTJOIN(", ",TRUE,
    IF(AND(BH67="true",AN67&gt;0.5,BG67&lt;&gt;"None"),"AttackTarget",""),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IF(BE67&lt;=36,"Comfort",""),
    IF(_xlfn.XLOOKUP(B67,'Base stats'!B:B,'Base stats'!AC:AC)&lt;&gt;"No",_xlfn.XLOOKUP(B67,'Base stats'!B:B,'Base stats'!AC:AC),"")
  )
)</f>
        <v>No</v>
      </c>
      <c r="BO67" s="25" t="str">
        <f>IF(
   AND(
      'Base stats'!AK67="Standard",_xlfn.XLOOKUP(_xlfn.XLOOKUP(B67,'Base stats'!B:B,'Base stats'!E:E),Groups!A:A,Groups!AU:AU)=0,
      OR(
      BM67="True"
      )
   ),
   10,
   IF(
       OR(BK67&lt;&gt;"No",_xlfn.XLOOKUP(_xlfn.XLOOKUP(B67,'Base stats'!B:B,'Base stats'!E:E),Groups!A:A,Groups!AU:AU)=1),
      1,
      "No"
   )
)</f>
        <v>No</v>
      </c>
      <c r="BP67" s="9">
        <f>MROUND((1 + ((0.2*IF(OR(P67="No",Q67="No",Q67=0),0,P67/Q67)
+IF(OR(U67="No",R67="No",S67="No"),0,R67/S67*(LEN(U67)-LEN(SUBSTITUTE(U67,",",""))+1))
+IF(OR(W67="No",X67="No"),0,W67/X67)
+IF(OR(AC67="No",AD67="No"),0,AC67/AD67)
+IF(OR(AK67="No",AH67="No",AI67="No"),0,AH67/AI67*(LEN(AK67)-LEN(SUBSTITUTE(AK67,",",""))+1))
)/(0.2*IF(OR(P67="No",Q67="No",Q67=0),0,1)
+IF(OR(U67="No",R67="No",S67="No"),0,LEN(U67)-LEN(SUBSTITUTE(U67,",",""))+1)
+IF(OR(W67="No",X67="No"),0,1)
+IF(OR(AC67="No",AD67="No"),0,1)
+IF(OR(AK67="No",AH67="No",AI67="No"),0,LEN(AK67)-LEN(SUBSTITUTE(AK67,",",""))+1))*62%)* 2)*(1 + (AO67 + _xlfn.XLOOKUP(B67,'Base stats'!B:B,'Base stats'!AS:AS) * 1.8) * 2) * 2.5 + 10 + H67 * 2,5)+IF(_xlfn.XLOOKUP(B67,'Base stats'!B:B,'Base stats'!AH:AH)=1,50,0)</f>
        <v>20</v>
      </c>
      <c r="BQ67" s="8">
        <f t="shared" ref="BQ67:BQ130" si="12">MROUND(AN67 * 0.2 + AP67 * 0.8,0.05)</f>
        <v>0.2</v>
      </c>
      <c r="BR67" s="8" t="str">
        <f>_xlfn.XLOOKUP(B67,'Base stats'!B:B,'Base stats'!AD:AD)</f>
        <v>3~8</v>
      </c>
      <c r="BS67" s="2" t="str">
        <f>IF(AND(I67&lt;=0.95,OR(_xlfn.XLOOKUP(B67,'Base stats'!B:B,'Base stats'!AH:AH)=1,_xlfn.XLOOKUP(B67,'Base stats'!B:B,'Base stats'!Y:Y)="Carnivore",_xlfn.XLOOKUP(B67,'Base stats'!B:B,'Base stats'!Y:Y)="Omnivore",BC67&gt;0.1)),"true","false")</f>
        <v>false</v>
      </c>
      <c r="BT67" s="2" t="str">
        <f>IF(_xlfn.XLOOKUP(B67,'Base stats'!B:B,'Base stats'!AF:AF)=1,"true","false")</f>
        <v>false</v>
      </c>
      <c r="BU67" s="25" t="str">
        <f>IF(E67="BaseInsect","AnimalInsect",
IF(I67&gt;0.95,"AnimalExotic",
_xlfn.TEXTJOIN(", ",TRUE,
IF(AND(_xlfn.XLOOKUP(B67,'Base stats'!B:B,'Base stats'!O:O)=0,_xlfn.XLOOKUP(_xlfn.XLOOKUP(B67,'Base stats'!B:B,'Base stats'!E:E),Groups!A:A,Groups!B:B)&gt;0),"AnimalUncommon","AnimalCommon"),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stats'!AH:AH)=1,AND(BG67&lt;&gt;"None",BP67&gt;=60),ISNUMBER(SEARCH("Attack target",BN67))),"AnimalFighter","")
)))</f>
        <v>AnimalCommon</v>
      </c>
      <c r="BV67" s="25" t="str">
        <f>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</f>
        <v>TemperateForest TemperateSwamp AridShrubland Grasslands LavaField</v>
      </c>
      <c r="BW67" s="25" t="str">
        <f>IF(_xlfn.XLOOKUP(B67,'Base stats'!B:B,'Base stats'!AG:AG)=1,"true","false")</f>
        <v>false</v>
      </c>
      <c r="BX67" s="25">
        <f>IF(_xlfn.XLOOKUP(B67,'Base stats'!B:B,'Base stats'!N:N)=1,"No",MIN(MROUND(IF(OR(_xlfn.XLOOKUP(B67,'Base stats'!B:B,'Base stats'!AJ:AJ)=1,AND(BH67="True",CA67="False")),POWER(10,3.47*LOG10(_xlfn.XLOOKUP(B67,'Base stats'!B:B,'Base stats'!C:C)*1000)^-0.96),POWER(10,4.15*LOG10(_xlfn.XLOOKUP(B67,'Base stats'!B:B,'Base stats'!C:C)*1000)^-0.73))*IF(OR(_xlfn.XLOOKUP(B67,'Base stats'!B:B,'Base stats'!AJ:AJ)=1,_xlfn.XLOOKUP(B67,'Base stats'!B:B,'Base stats'!AH:AH)=1),0.5,1)/100,0.025),1))</f>
        <v>1</v>
      </c>
      <c r="BY67" s="25" t="str">
        <f>IF(O67="Standard","No",IF(_xlfn.XLOOKUP(B67,'Base stats'!B:B,'Base stats'!N:N)=0,MROUND(BX67*O67,0.05),MIN(1,MAX(0.025,MROUND(IF(OR(CA67="true",AND(BH67="false",BM67="false")),POWER(10,4.15*LOG10(_xlfn.XLOOKUP(B67,'Base stats'!B:B,'Base stats'!C:C)*1000)^-0.73),POWER(10,3.47*LOG10(_xlfn.XLOOKUP(B67,'Base stats'!B:B,'Base stats'!C:C)*1000)^-0.96))*IF(_xlfn.XLOOKUP(B67,'Base stats'!B:B,'Base stats'!AH:AH)=1,0.5,1)/100,0.025)))))</f>
        <v>No</v>
      </c>
      <c r="BZ67" s="25" t="str">
        <f>IF(_xlfn.XLOOKUP(_xlfn.XLOOKUP(B67,'Base stats'!B:B,'Base stats'!E:E),Groups!A:A,Groups!AJ:AJ)="Mammal","True","False")</f>
        <v>False</v>
      </c>
      <c r="CA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B67" s="25" t="str">
        <f t="shared" ref="CB67:CB130" si="13">IF(I67&gt;0.95,"True","False")</f>
        <v>False</v>
      </c>
      <c r="CC67" s="25" t="str">
        <f>IF(_xlfn.XLOOKUP(_xlfn.XLOOKUP(B67,'Base stats'!B:B,'Base stats'!E:E),Groups!A:A,Groups!AW:AW),"True","False")</f>
        <v>False</v>
      </c>
      <c r="CD67" s="25" t="str">
        <f>IF(_xlfn.XLOOKUP(_xlfn.XLOOKUP(B67,'Base stats'!B:B,'Base stats'!E:E),Groups!A:A,Groups!AX:AX),"True","False")</f>
        <v>False</v>
      </c>
      <c r="CE67" s="25" t="str">
        <f>IF(_xlfn.XLOOKUP(B67,'Base stats'!B:B,'Base stats'!E:E)=1,"True","False")</f>
        <v>False</v>
      </c>
      <c r="CF67" s="25" t="str">
        <f>IF(
OR(
_xlfn.XLOOKUP(_xlfn.XLOOKUP(B67,'Base stats'!B:B,'Base stats'!E:E),Groups!A:A,Groups!AY:AY)=0,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stats'!E:E),Groups!A:A,Groups!AY:AY)=1,
"Flesh",
IF(
_xlfn.XLOOKUP(_xlfn.XLOOKUP(B67,'Base stats'!B:B,'Base stats'!E:E),Groups!A:A,Groups!AY:AY)=2,
"Bone",
""
)
)
)</f>
        <v>No</v>
      </c>
      <c r="CG67" s="25" t="str">
        <f>IF(_xlfn.XLOOKUP(_xlfn.XLOOKUP(B67,'Base stats'!B:B,'Base stats'!E:E),Groups!A:A,Groups!BA:BA),"True","False")</f>
        <v>True</v>
      </c>
      <c r="CH67" s="25" t="str">
        <f>IF(_xlfn.XLOOKUP(_xlfn.XLOOKUP(B67,'Base stats'!B:B,'Base stats'!E:E),Groups!A:A,Groups!AZ:AZ),"True","False")</f>
        <v>False</v>
      </c>
    </row>
    <row r="68" spans="1:86" ht="16.5" thickTop="1" thickBot="1" x14ac:dyDescent="0.3">
      <c r="A68" s="26" t="str">
        <f>_xlfn.XLOOKUP(B68,'Base stats'!B:B,'Base stats'!A:A)</f>
        <v>Swan</v>
      </c>
      <c r="B68" s="6" t="s">
        <v>222</v>
      </c>
      <c r="C68" s="28" t="s">
        <v>760</v>
      </c>
      <c r="D68" s="28" t="s">
        <v>882</v>
      </c>
      <c r="E68" s="28" t="s">
        <v>687</v>
      </c>
      <c r="F68" s="28" t="s">
        <v>688</v>
      </c>
      <c r="G68" s="2">
        <f>MROUND((
  (IF(AND(_xlfn.XLOOKUP(B68,'Base stats'!B:B,'Base stats'!AI:AI)=0,BG68="None",_xlfn.XLOOKUP('Base stats'!E68,Groups!A:A,Groups!B:B)=0), (18 + BP68 * 2.7) * 0.5,
    IF(AND(_xlfn.XLOOKUP(B68,'Base stats'!B:B,'Base stats'!AI:AI)=0,OR(AN68&lt;0.55,AND(BG68="Intermediate",_xlfn.XLOOKUP('Base stats'!E68,Groups!A:A,Groups!B:B)&lt;2))), (18 + BP68 * 2.7),
      IF(OR(BG68="Advanced",_xlfn.XLOOKUP(B68,'Base stats'!B:B,'Base stats'!AI:AI)=1,_xlfn.XLOOKUP('Base stats'!E68,Groups!A:A,Groups!B:B)=2), (18 + BP68 * 2.7) + 250, (18 + BP68 * 2.7))
    )
  ))
  + AN68 * 80
  + IF(COUNTIF(EggMilk!K$2:K$998, A68) &gt; 0, 125, 0)
  + IF(COUNTIF(EggMilk!P$2:P$998, A68) &gt; 0, 90, 0)
  + IF(COUNTIF(EggMilk!A$2:A$998, A68) &gt; 0, 90, 0)
)
* (0.8 + 0.4 * I68)
* 0.75,25)</f>
        <v>175</v>
      </c>
      <c r="H68" s="2">
        <f>MROUND(ROUNDDOWN(_xlfn.XLOOKUP(B68,'Base stats'!B:B,'Base stats'!L:L)/3.6/(23.3/11),1),0.5)</f>
        <v>1.5</v>
      </c>
      <c r="I68" s="2">
        <f>IF(_xlfn.XLOOKUP(B68,'Base stats'!B:B,'Base stats'!AI:AI)=1,0.99,MIN(MROUND((1-0.6282*EXP(-0.459*AN68))*_xlfn.XLOOKUP(_xlfn.XLOOKUP(B68,'Base stats'!B:B,'Base stats'!E:E),Groups!A:A,Groups!C:C)*IF(_xlfn.XLOOKUP(B68,'Base stats'!B:B,'Base stats'!O:O)=1,0.5,IF(_xlfn.XLOOKUP(B68,'Base stats'!B:B,'Base stats'!O:O)=2,0,1)),0.05),0.985))</f>
        <v>0.60000000000000009</v>
      </c>
      <c r="J68" s="2">
        <f>ROUNDUP(AN68*_xlfn.XLOOKUP(_xlfn.XLOOKUP(B68,'Base stats'!B:B,'Base stats'!E:E),Groups!A:A,Groups!E:E),0)</f>
        <v>5</v>
      </c>
      <c r="K68" s="2">
        <f>IF(OR(_xlfn.XLOOKUP(_xlfn.XLOOKUP(B68,'Base stats'!B:B,'Base stats'!E:E),Groups!A:A,Groups!F:F)=2,ISNUMBER(SEARCH("SeaIce",BV68)),ISNUMBER(SEARCH("IceSheet",BV68))),-50,IF(OR(ISNUMBER(SEARCH("GlacialPlain",BV68)),ISNUMBER(SEARCH("Tundra",BV68))),-40,IF(OR(ISNUMBER(SEARCH("Alpine",BV68)),ISNUMBER(SEARCH("BorealForest",BV68)),ISNUMBER(SEARCH("ColdBog",BV68))),-30,IF(OR(ISNUMBER(SEARCH("TemperateForest",BV68)),ISNUMBER(SEARCH("TemperateSwamp",BV68))),-20,IF(_xlfn.XLOOKUP(_xlfn.XLOOKUP(B68,'Base stats'!B:B,'Base stats'!E:E),Groups!A:A,Groups!F:F)=1,-15,IF(OR(ISNUMBER(SEARCH("Desert",BV68)),ISNUMBER(SEARCH("ExtremeDesert",BV68))),-10,IF(OR(ISNUMBER(SEARCH("Grasslands",BV68)),ISNUMBER(SEARCH("TropicalRainforest",BV68)),ISNUMBER(SEARCH("TropicalSwamp",BV68))),10,0)))))))-IF(CA68="False",MIN(IFERROR(MAX(MROUND(LOG10(_xlfn.XLOOKUP(B68,'Base stats'!B:B,'Base stats'!C:C)^(2/3))*10,5),5),5),30))-_xlfn.XLOOKUP(B68,'Base stats'!B:B,'Base stats'!P:P)+IF(CA68="True",5,0)</f>
        <v>-35</v>
      </c>
      <c r="L68" s="2">
        <f>IF(OR(_xlfn.XLOOKUP(_xlfn.XLOOKUP(B68,'Base stats'!B:B,'Base stats'!E:E),Groups!A:A,Groups!G:G)=2,ISNUMBER(SEARCH("Desert",BV68)),ISNUMBER(SEARCH("ExtremeDesert",BV68)),ISNUMBER(SEARCH("LavaField",BV68))),50,IF(ISNUMBER(SEARCH("Grasslands",BV68)),45,IF(OR(_xlfn.XLOOKUP(_xlfn.XLOOKUP(B68,'Base stats'!B:B,'Base stats'!E:E),Groups!A:A,Groups!G:G)=1,ISNUMBER(SEARCH("TropicalRainforest",BV68)),ISNUMBER(SEARCH("TropicalSwamp",BV68))),40,IF(OR(ISNUMBER(SEARCH("TemperateForest",BV68)),ISNUMBER(SEARCH("TemperateSwamp",BV68))),35,IF(OR(ISNUMBER(SEARCH("Alpine",BV68)),ISNUMBER(SEARCH("BorealForest",BV68)),ISNUMBER(SEARCH("ColdBog",BV68))),30,IF(ISNUMBER(OR(ISNUMBER(SEARCH("GlacialPlain",BV68)),SEARCH("Tundra",BV68))),25,IF(OR(ISNUMBER(SEARCH("SeaIce",BV68)),ISNUMBER(SEARCH("IceSheet",BV68)),ISNUMBER(SEARCH("TropicalSwamp",BV68))),10,35)))))))+_xlfn.XLOOKUP(B68,'Base stats'!B:B,'Base stats'!Q:Q)</f>
        <v>35</v>
      </c>
      <c r="M68" s="8" t="str">
        <f>IF(_xlfn.XLOOKUP(_xlfn.XLOOKUP(B68,'Base stats'!B:B,'Base stats'!E:E),Groups!A:A,Groups!L:L)=1,MIN(MROUND(_xlfn.XLOOKUP(B68,'Animals CE'!B:B,'Animals CE'!Z:Z)/2+0.05,0.05),200%),"No")</f>
        <v>No</v>
      </c>
      <c r="N68" s="8" t="str">
        <f>IF(_xlfn.XLOOKUP(_xlfn.XLOOKUP(B68,'Base stats'!B:B,'Base stats'!E:E),Groups!A:A,Groups!L:L)=1,MIN(MROUND(_xlfn.XLOOKUP(B68,'Animals CE'!B:B,'Animals CE'!AA:AA)/2+0.05,0.05),200%),"No")</f>
        <v>No</v>
      </c>
      <c r="O68" s="2" t="str">
        <f>_xlfn.XLOOKUP(B68,'Base stats'!B:B,'Base stats'!R:R)</f>
        <v>Standard</v>
      </c>
      <c r="P68" s="13">
        <f>MROUND((LOG10(_xlfn.XLOOKUP(B68,'Base stats'!B:B,'Base stats'!AO:AO))*(AN68^0.5)+(_xlfn.XLOOKUP(B68,'Base stats'!B:B,'Base stats'!AO:AO)/1000)^(2/3)+_xlfn.XLOOKUP(B68,'Base stats'!B:B,'Base stats'!AX:AX)/2)+0.5,0.5)</f>
        <v>3.5</v>
      </c>
      <c r="Q68" s="7">
        <f>IF(P68="No","No",MAX(1,MROUND(_xlfn.XLOOKUP(B68,'Base stats'!B:B,'Base stats'!C:C)^0.165,0.05)))</f>
        <v>1.4500000000000002</v>
      </c>
      <c r="R68" s="13" t="str">
        <f>IF(_xlfn.XLOOKUP(_xlfn.XLOOKUP(B68,'Base stats'!B:B,'Base stats'!E:E),Groups!A:A,Groups!P:P)=0,"No",MROUND((LOG10(_xlfn.XLOOKUP(B68,'Base stats'!B:B,'Base stats'!AP:AP))*(AN68^0.5)+(_xlfn.XLOOKUP(B68,'Base stats'!B:B,'Base stats'!AP:AP)/1000)^(2/3)+_xlfn.XLOOKUP(B68,'Base stats'!B:B,'Base stats'!AX:AX))+_xlfn.XLOOKUP(B68,'Base stats'!B:B,'Base stats'!AV:AV)+0.5,0.5))</f>
        <v>No</v>
      </c>
      <c r="S68" s="7" t="str">
        <f>IF(R68="No","No",MAX(_xlfn.XLOOKUP(_xlfn.XLOOKUP(B68,'Base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T68" s="7" t="str">
        <f>IF(R68="No","No",_xlfn.XLOOKUP(_xlfn.XLOOKUP(B68,'Base stats'!B:B,'Base stats'!E:E),Groups!A:A,Groups!R:R))</f>
        <v>No</v>
      </c>
      <c r="U68" s="7" t="str">
        <f>IF(R68="No","No",_xlfn.XLOOKUP(_xlfn.XLOOKUP(B68,'Base stats'!B:B,'Base stats'!E:E),Groups!A:A,Groups!S:S))</f>
        <v>No</v>
      </c>
      <c r="V68" s="7" t="str">
        <f>IF(R68="No","No",_xlfn.XLOOKUP(_xlfn.XLOOKUP(B68,'Base stats'!B:B,'Base stats'!E:E),Groups!A:A,Groups!T:T))</f>
        <v>No</v>
      </c>
      <c r="W68" s="13" t="str">
        <f>IF(_xlfn.XLOOKUP(B68,'Base stats'!B:B,'Base stats'!W:W)="No","No",MROUND((LOG10(_xlfn.XLOOKUP(B68,'Base stats'!B:B,'Base stats'!AR:AR))*(AN68^0.5)+(_xlfn.XLOOKUP(B68,'Base stats'!B:B,'Base stats'!AR:AR)/1000)^(2/3)+_xlfn.XLOOKUP(B68,'Base stats'!B:B,'Base stats'!AW:AW))+0.5+IF(_xlfn.XLOOKUP(_xlfn.XLOOKUP(B68,'Base stats'!B:B,'Base stats'!E:E),Groups!A:A,Groups!U:U)&lt;&gt;3,_xlfn.XLOOKUP(B68,'Base stats'!B:B,'Base stats'!AX:AX),0),0.5))</f>
        <v>No</v>
      </c>
      <c r="X68" s="7" t="str">
        <f>IF(W68="No","No",MAX(_xlfn.XLOOKUP(_xlfn.XLOOKUP(B68,'Base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Y68" s="7" t="str">
        <f>IF(W68="No","No",_xlfn.XLOOKUP(_xlfn.XLOOKUP(B68,'Base stats'!B:B,'Base stats'!E:E),Groups!A:A,Groups!W:W))</f>
        <v>No</v>
      </c>
      <c r="Z68" s="7" t="str">
        <f>IF(W68="No","No",_xlfn.XLOOKUP(_xlfn.XLOOKUP(B68,'Base stats'!B:B,'Base stats'!E:E),Groups!A:A,Groups!X:X))</f>
        <v>No</v>
      </c>
      <c r="AA68" s="7" t="str">
        <f>IF(W68="No","No",_xlfn.XLOOKUP(_xlfn.XLOOKUP(B68,'Base stats'!B:B,'Base stats'!E:E),Groups!A:A,Groups!Y:Y))</f>
        <v>No</v>
      </c>
      <c r="AB68" s="7" t="str">
        <f>_xlfn.XLOOKUP(Animals!B68,'Base stats'!B:B,'Base stats'!X:X)</f>
        <v>False</v>
      </c>
      <c r="AC68" s="13">
        <f>IF(_xlfn.XLOOKUP(B68,'Base stats'!B:B,'Base stats'!AQ:AQ)="No","No",MROUND((LOG10(_xlfn.XLOOKUP(B68,'Base stats'!B:B,'Base stats'!AQ:AQ))*(AN68^0.75)+(_xlfn.XLOOKUP(B68,'Base stats'!B:B,'Base stats'!AQ:AQ)/1000)^(2/3)+_xlfn.XLOOKUP(B68,'Base stats'!B:B,'Base stats'!AU:AU)+_xlfn.XLOOKUP(B68,'Base stats'!B:B,'Base stats'!AX:AX))+0.5,0.5))</f>
        <v>3.5</v>
      </c>
      <c r="AD68" s="7">
        <f>IF(AC68="No","No",MAX(_xlfn.XLOOKUP(_xlfn.XLOOKUP(B68,'Base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E68" s="7" t="str">
        <f>IF(AC68="No","No",_xlfn.XLOOKUP(_xlfn.XLOOKUP(B68,'Base stats'!B:B,'Base stats'!E:E),Groups!A:A,Groups!AA:AA))</f>
        <v>Beak</v>
      </c>
      <c r="AF68" s="7" t="str">
        <f>IF(AC68="No","No",_xlfn.XLOOKUP(_xlfn.XLOOKUP(B68,'Base stats'!B:B,'Base stats'!E:E),Groups!A:A,Groups!AB:AB))</f>
        <v>beak</v>
      </c>
      <c r="AG68" s="7" t="str">
        <f>IF(AC68="No","No",_xlfn.XLOOKUP(_xlfn.XLOOKUP(B68,'Base stats'!B:B,'Base stats'!E:E),Groups!A:A,Groups!AC:AC))</f>
        <v>Blunt</v>
      </c>
      <c r="AH68" s="13" t="str">
        <f>IF(_xlfn.XLOOKUP(_xlfn.XLOOKUP(B68,'Base stats'!B:B,'Base stats'!E:E),Groups!A:A,Groups!AD:AD)=0,"No",MROUND((LOG10(_xlfn.XLOOKUP(B68,'Base stats'!B:B,'Base stats'!AP:AP))*(AN68^0.75)+(_xlfn.XLOOKUP(B68,'Base stats'!B:B,'Base stats'!AP:AP)/1000)^(2/3)+_xlfn.XLOOKUP(B68,'Base stats'!B:B,'Base stats'!AV:AV)+_xlfn.XLOOKUP(B68,'Base stats'!B:B,'Base stats'!AX:AX))+0.5,0.5))</f>
        <v>No</v>
      </c>
      <c r="AI68" s="7" t="str">
        <f>IF(AH68="No","No",MAX(_xlfn.XLOOKUP(_xlfn.XLOOKUP(B68,'Base stats'!B:B,'Base stats'!E:E),Groups!A:A,Groups!AE:AE),MROUND(_xlfn.XLOOKUP(_xlfn.XLOOKUP(B68,'Base stats'!B:B,'Base stats'!E:E),Groups!A:A,Groups!AE:AE)*_xlfn.XLOOKUP(B68,'Base stats'!B:B,'Base stats'!C:C)^0.165,0.05)))</f>
        <v>No</v>
      </c>
      <c r="AJ68" s="7" t="str">
        <f>IF(AH68="No","No",_xlfn.XLOOKUP(_xlfn.XLOOKUP(B68,'Base stats'!B:B,'Base stats'!E:E),Groups!A:A,Groups!AF:AF))</f>
        <v>No</v>
      </c>
      <c r="AK68" s="7" t="str">
        <f>IF(AH68="No","No",_xlfn.XLOOKUP(_xlfn.XLOOKUP(B68,'Base stats'!B:B,'Base stats'!E:E),Groups!A:A,Groups!AG:AG))</f>
        <v>No</v>
      </c>
      <c r="AL68" s="7" t="str">
        <f>IF(AH68="No","No",_xlfn.XLOOKUP(_xlfn.XLOOKUP(B68,'Base stats'!B:B,'Base stats'!E:E),Groups!A:A,Groups!AH:AH))</f>
        <v>No</v>
      </c>
      <c r="AM68" s="2" t="str">
        <f t="shared" si="7"/>
        <v>No</v>
      </c>
      <c r="AN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O68" s="8">
        <f>MROUND(AN68*_xlfn.XLOOKUP(_xlfn.XLOOKUP(B68,'Base stats'!B:B,'Base stats'!E:E),Groups!A:A,Groups!AI:AI),0.05)</f>
        <v>0.4</v>
      </c>
      <c r="AP68" s="8">
        <f>MAX(0.01,MROUND(IF(CA68="True",0.196*(AN68*100*1000)^0.889,IF(_xlfn.XLOOKUP(_xlfn.XLOOKUP(B68,'Base stats'!B:B,'Base stats'!E:E),Groups!A:A,Groups!AJ:AJ)="Bird",10.5*(AN68*100*1000)^0.681,4.82*(AN68*100*1000)^0.734))/(4.82*(1*100*1000)^0.734)/IF(AN68&lt;3.5,2,IF(AN68=3.5,1.5,1.25))*(1+0.132282374779864/(AN68^0.994035016789033+0.00905238001496948)),0.05))</f>
        <v>0.4</v>
      </c>
      <c r="AQ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R68" s="35" t="str">
        <f>IFERROR(IF(_xlfn.XLOOKUP(B68,'Base stats'!B:B,'Base stats'!F:F)="Lay eggs","Lay eggs",MIN(20,MAX(5.5,ROUND(((_xlfn.XLOOKUP(B68,'Base stats'!B:B,'Base stats'!F:F)-25)*(14.5/615) + 5.5)*2,0)/2))),"Cannot breed")</f>
        <v>Lay eggs</v>
      </c>
      <c r="AS68" s="8">
        <f>IF(OR(A68="Queen",A68="Larva",A68="Megachicken"),"No",IFERROR(MAX(IF(_xlfn.XLOOKUP(B68,'Base stats'!B:B,'Base stats'!G:G)&lt;0.5,0.2,0.3),MROUND(_xlfn.XLOOKUP(B68,'Base stats'!B:B,'Base stats'!G:G)/(365/60),0.2)),"Unknown"))</f>
        <v>0.4</v>
      </c>
      <c r="AT68" s="8">
        <f t="shared" si="8"/>
        <v>0.2</v>
      </c>
      <c r="AU68" s="8" t="str">
        <f>IFERROR(IFERROR(MROUND(_xlfn.XLOOKUP(B68,'Base stats'!B:B,'Base stats'!J:J),0.1),"Lay eggs"),"Cannot breed")</f>
        <v>Lay eggs</v>
      </c>
      <c r="AV68" s="2" t="str">
        <f t="shared" si="9"/>
        <v>false</v>
      </c>
      <c r="AW68" s="2" t="str">
        <f>IF(_xlfn.XLOOKUP(_xlfn.XLOOKUP(Animals!B68,'Base stats'!B:B,'Base stats'!E:E),Groups!A:A,Groups!AK:AK)=1,"true","false")</f>
        <v>false</v>
      </c>
      <c r="AX68" s="25" t="str">
        <f>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</f>
        <v>VegetarianRoughAnimal</v>
      </c>
      <c r="AY68" s="2">
        <f>IF(_xlfn.XLOOKUP(_xlfn.XLOOKUP(B68,'Base stats'!B:B,'Base stats'!E:E),Groups!A:A,Groups!D:D)=1,MROUND((1-I68)*5+1,2)*IF(I68&lt;=0.4,2,1),"No")</f>
        <v>4</v>
      </c>
      <c r="AZ68" s="2" t="str">
        <f>_xlfn.XLOOKUP(B68,'Base stats'!B:B,'Base stats'!AE:AE)</f>
        <v>No</v>
      </c>
      <c r="BA68" s="23" t="str">
        <f>_xlfn.XLOOKUP(_xlfn.XLOOKUP(B68,'Base stats'!B:B,'Base stats'!E:E),Groups!A:A,Groups!AL:AL)</f>
        <v>Bird</v>
      </c>
      <c r="BB68" s="23">
        <f>MROUND(IF(AND(AN68&lt;0.5,_xlfn.XLOOKUP(B68,'Base stats'!B:B,'Base stats'!Z:Z)=0),0,IF(OR(_xlfn.XLOOKUP(Animals!B68,'Base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stats'!AA:AA),0.005)</f>
        <v>0</v>
      </c>
      <c r="BC68" s="23">
        <f>MROUND(IF(AND(AN68&lt;0.5,_xlfn.XLOOKUP(B68,'Base stats'!B:B,'Base stats'!Z:Z)=0),0,IF(_xlfn.XLOOKUP(_xlfn.XLOOKUP(B68,'Base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stats'!AB:AB),0.005)</f>
        <v>0</v>
      </c>
      <c r="BD68" s="2" t="str">
        <f>IF(I68&gt;0.3,"No",_xlfn.XLOOKUP(_xlfn.XLOOKUP(Animals!B68,'Base stats'!B:B,'Base stats'!E:E),Groups!A:A,Groups!AP:AP))</f>
        <v>No</v>
      </c>
      <c r="BE68" s="2" t="str">
        <f>IF(AND(I68&lt;=0.65,_xlfn.XLOOKUP(_xlfn.XLOOKUP(Animals!B68,'Base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stats'!O:O)=2,0.2,AN68) + 24*(1-IF(BD68="No",0,BD68)) + 16/3, 12),"No")</f>
        <v>No</v>
      </c>
      <c r="BF68" s="2">
        <f>IF(AND(_xlfn.XLOOKUP(_xlfn.XLOOKUP(B68,'Base stats'!B:B,'Base stats'!E:E),Groups!A:A,Groups!AQ:AQ)=1,AN68&lt;=0.35),8,12)</f>
        <v>12</v>
      </c>
      <c r="BG68" s="2" t="str">
        <f>IF(_xlfn.XLOOKUP(_xlfn.XLOOKUP(B68,'Base stats'!B:B,'Base stats'!E:E),Groups!A:A,Groups!D:D)=0,_xlfn.XLOOKUP(_xlfn.XLOOKUP(B68,'Base stats'!B:B,'Base stats'!E:E),Groups!A:A,Groups!AR:AR),"None")</f>
        <v>None</v>
      </c>
      <c r="BH68" s="2" t="str">
        <f>IF(AND(_xlfn.XLOOKUP(_xlfn.XLOOKUP(B68,'Base stats'!B:B,'Base stats'!E:E),Groups!A:A,Groups!AS:AS)=1,OR('Base stats'!Y68="Carnivore",'Base stats'!Y68="Omnivore")),"true","false")</f>
        <v>false</v>
      </c>
      <c r="BI68" s="2" t="str">
        <f>IF(BH68="true",MROUND(IF(AND(AN68&gt;0.5,_xlfn.XLOOKUP(_xlfn.XLOOKUP(B68,'Base stats'!B:B,'Base stats'!E:E),Groups!A:A,Groups!AJ:AJ)="Mammal"),Animals!AN68*1.75*IF(AV68="true",1.5,1),Animals!AN68),IF(AN68&gt;2,0.5,IF(AN68&gt;0.5,0.25,0.1))),"No")</f>
        <v>No</v>
      </c>
      <c r="BJ68" s="2">
        <f t="shared" si="10"/>
        <v>0</v>
      </c>
      <c r="BK68" s="25" t="str">
        <f>IF('Base stats'!AK68="Standard","No",MROUND((_xlfn.XLOOKUP(B68,'Base stats'!B:B,'Base stats'!AK:AK)/3.6)/H68,0.1))</f>
        <v>No</v>
      </c>
      <c r="BL68" s="25" t="str">
        <f t="shared" si="11"/>
        <v>true</v>
      </c>
      <c r="BM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N68" s="25" t="str" cm="1">
        <f t="array" ref="BN68">IF(
  _xlfn.TEXTJOIN(", ",TRUE,
    IF(AND(BH68="true",AN68&gt;0.5,BG68&lt;&gt;"None"),"AttackTarget",""),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IF(BE68&lt;=36,"Comfort",""),
    IF(_xlfn.XLOOKUP(B68,'Base stats'!B:B,'Base stats'!AC:AC)&lt;&gt;"No",_xlfn.XLOOKUP(B68,'Base stats'!B:B,'Base stats'!AC:AC),"")
  ) = "",
  "No",
  _xlfn.TEXTJOIN(", ",TRUE,
    IF(AND(BH68="true",AN68&gt;0.5,BG68&lt;&gt;"None"),"AttackTarget",""),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IF(BE68&lt;=36,"Comfort",""),
    IF(_xlfn.XLOOKUP(B68,'Base stats'!B:B,'Base stats'!AC:AC)&lt;&gt;"No",_xlfn.XLOOKUP(B68,'Base stats'!B:B,'Base stats'!AC:AC),"")
  )
)</f>
        <v>No</v>
      </c>
      <c r="BO68" s="25">
        <f>IF(
   AND(
      'Base stats'!AK68="Standard",_xlfn.XLOOKUP(_xlfn.XLOOKUP(B68,'Base stats'!B:B,'Base stats'!E:E),Groups!A:A,Groups!AU:AU)=0,
      OR(
      BM68="True"
      )
   ),
   10,
   IF(
       OR(BK68&lt;&gt;"No",_xlfn.XLOOKUP(_xlfn.XLOOKUP(B68,'Base stats'!B:B,'Base stats'!E:E),Groups!A:A,Groups!AU:AU)=1),
      1,
      "No"
   )
)</f>
        <v>1</v>
      </c>
      <c r="BP68" s="9">
        <f>MROUND((1 + ((0.2*IF(OR(P68="No",Q68="No",Q68=0),0,P68/Q68)
+IF(OR(U68="No",R68="No",S68="No"),0,R68/S68*(LEN(U68)-LEN(SUBSTITUTE(U68,",",""))+1))
+IF(OR(W68="No",X68="No"),0,W68/X68)
+IF(OR(AC68="No",AD68="No"),0,AC68/AD68)
+IF(OR(AK68="No",AH68="No",AI68="No"),0,AH68/AI68*(LEN(AK68)-LEN(SUBSTITUTE(AK68,",",""))+1))
)/(0.2*IF(OR(P68="No",Q68="No",Q68=0),0,1)
+IF(OR(U68="No",R68="No",S68="No"),0,LEN(U68)-LEN(SUBSTITUTE(U68,",",""))+1)
+IF(OR(W68="No",X68="No"),0,1)
+IF(OR(AC68="No",AD68="No"),0,1)
+IF(OR(AK68="No",AH68="No",AI68="No"),0,LEN(AK68)-LEN(SUBSTITUTE(AK68,",",""))+1))*62%)* 2)*(1 + (AO68 + _xlfn.XLOOKUP(B68,'Base stats'!B:B,'Base stats'!AS:AS) * 1.8) * 2) * 2.5 + 10 + H68 * 2,5)+IF(_xlfn.XLOOKUP(B68,'Base stats'!B:B,'Base stats'!AH:AH)=1,50,0)</f>
        <v>35</v>
      </c>
      <c r="BQ68" s="8">
        <f t="shared" si="12"/>
        <v>0.4</v>
      </c>
      <c r="BR68" s="8" t="str">
        <f>_xlfn.XLOOKUP(B68,'Base stats'!B:B,'Base stats'!AD:AD)</f>
        <v>No</v>
      </c>
      <c r="BS68" s="2" t="str">
        <f>IF(AND(I68&lt;=0.95,OR(_xlfn.XLOOKUP(B68,'Base stats'!B:B,'Base stats'!AH:AH)=1,_xlfn.XLOOKUP(B68,'Base stats'!B:B,'Base stats'!Y:Y)="Carnivore",_xlfn.XLOOKUP(B68,'Base stats'!B:B,'Base stats'!Y:Y)="Omnivore",BC68&gt;0.1)),"true","false")</f>
        <v>false</v>
      </c>
      <c r="BT68" s="2" t="str">
        <f>IF(_xlfn.XLOOKUP(B68,'Base stats'!B:B,'Base stats'!AF:AF)=1,"true","false")</f>
        <v>false</v>
      </c>
      <c r="BU68" s="25" t="str">
        <f>IF(E68="BaseInsect","AnimalInsect",
IF(I68&gt;0.95,"AnimalExotic",
_xlfn.TEXTJOIN(", ",TRUE,
IF(AND(_xlfn.XLOOKUP(B68,'Base stats'!B:B,'Base stats'!O:O)=0,_xlfn.XLOOKUP(_xlfn.XLOOKUP(B68,'Base stats'!B:B,'Base stats'!E:E),Groups!A:A,Groups!B:B)&gt;0),"AnimalUncommon","AnimalCommon"),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stats'!AH:AH)=1,AND(BG68&lt;&gt;"None",BP68&gt;=60),ISNUMBER(SEARCH("Attack target",BN68))),"AnimalFighter","")
)))</f>
        <v>AnimalUncommon</v>
      </c>
      <c r="BV68" s="25" t="str">
        <f>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</f>
        <v>ColdBog TemperateSwamp</v>
      </c>
      <c r="BW68" s="25" t="str">
        <f>IF(_xlfn.XLOOKUP(B68,'Base stats'!B:B,'Base stats'!AG:AG)=1,"true","false")</f>
        <v>false</v>
      </c>
      <c r="BX68" s="25">
        <f>IF(_xlfn.XLOOKUP(B68,'Base stats'!B:B,'Base stats'!N:N)=1,"No",MIN(MROUND(IF(OR(_xlfn.XLOOKUP(B68,'Base stats'!B:B,'Base stats'!AJ:AJ)=1,AND(BH68="True",CA68="False")),POWER(10,3.47*LOG10(_xlfn.XLOOKUP(B68,'Base stats'!B:B,'Base stats'!C:C)*1000)^-0.96),POWER(10,4.15*LOG10(_xlfn.XLOOKUP(B68,'Base stats'!B:B,'Base stats'!C:C)*1000)^-0.73))*IF(OR(_xlfn.XLOOKUP(B68,'Base stats'!B:B,'Base stats'!AJ:AJ)=1,_xlfn.XLOOKUP(B68,'Base stats'!B:B,'Base stats'!AH:AH)=1),0.5,1)/100,0.025),1))</f>
        <v>0.32500000000000001</v>
      </c>
      <c r="BY68" s="25" t="str">
        <f>IF(O68="Standard","No",IF(_xlfn.XLOOKUP(B68,'Base stats'!B:B,'Base stats'!N:N)=0,MROUND(BX68*O68,0.05),MIN(1,MAX(0.025,MROUND(IF(OR(CA68="true",AND(BH68="false",BM68="false")),POWER(10,4.15*LOG10(_xlfn.XLOOKUP(B68,'Base stats'!B:B,'Base stats'!C:C)*1000)^-0.73),POWER(10,3.47*LOG10(_xlfn.XLOOKUP(B68,'Base stats'!B:B,'Base stats'!C:C)*1000)^-0.96))*IF(_xlfn.XLOOKUP(B68,'Base stats'!B:B,'Base stats'!AH:AH)=1,0.5,1)/100,0.025)))))</f>
        <v>No</v>
      </c>
      <c r="BZ68" s="25" t="str">
        <f>IF(_xlfn.XLOOKUP(_xlfn.XLOOKUP(B68,'Base stats'!B:B,'Base stats'!E:E),Groups!A:A,Groups!AJ:AJ)="Mammal","True","False")</f>
        <v>False</v>
      </c>
      <c r="CA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B68" s="25" t="str">
        <f t="shared" si="13"/>
        <v>False</v>
      </c>
      <c r="CC68" s="25" t="str">
        <f>IF(_xlfn.XLOOKUP(_xlfn.XLOOKUP(B68,'Base stats'!B:B,'Base stats'!E:E),Groups!A:A,Groups!AW:AW),"True","False")</f>
        <v>False</v>
      </c>
      <c r="CD68" s="25" t="str">
        <f>IF(_xlfn.XLOOKUP(_xlfn.XLOOKUP(B68,'Base stats'!B:B,'Base stats'!E:E),Groups!A:A,Groups!AX:AX),"True","False")</f>
        <v>False</v>
      </c>
      <c r="CE68" s="25" t="str">
        <f>IF(_xlfn.XLOOKUP(B68,'Base stats'!B:B,'Base stats'!E:E)=1,"True","False")</f>
        <v>False</v>
      </c>
      <c r="CF68" s="25" t="str">
        <f>IF(
OR(
_xlfn.XLOOKUP(_xlfn.XLOOKUP(B68,'Base stats'!B:B,'Base stats'!E:E),Groups!A:A,Groups!AY:AY)=0,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stats'!E:E),Groups!A:A,Groups!AY:AY)=1,
"Flesh",
IF(
_xlfn.XLOOKUP(_xlfn.XLOOKUP(B68,'Base stats'!B:B,'Base stats'!E:E),Groups!A:A,Groups!AY:AY)=2,
"Bone",
""
)
)
)</f>
        <v>No</v>
      </c>
      <c r="CG68" s="25" t="str">
        <f>IF(_xlfn.XLOOKUP(_xlfn.XLOOKUP(B68,'Base stats'!B:B,'Base stats'!E:E),Groups!A:A,Groups!BA:BA),"True","False")</f>
        <v>True</v>
      </c>
      <c r="CH68" s="25" t="str">
        <f>IF(_xlfn.XLOOKUP(_xlfn.XLOOKUP(B68,'Base stats'!B:B,'Base stats'!E:E),Groups!A:A,Groups!AZ:AZ),"True","False")</f>
        <v>False</v>
      </c>
    </row>
    <row r="69" spans="1:86" ht="16.5" thickTop="1" thickBot="1" x14ac:dyDescent="0.3">
      <c r="A69" s="26" t="str">
        <f>_xlfn.XLOOKUP(B69,'Base stats'!B:B,'Base stats'!A:A)</f>
        <v>Heron</v>
      </c>
      <c r="B69" s="6" t="s">
        <v>228</v>
      </c>
      <c r="C69" s="28" t="s">
        <v>761</v>
      </c>
      <c r="D69" s="28" t="s">
        <v>882</v>
      </c>
      <c r="E69" s="28" t="s">
        <v>687</v>
      </c>
      <c r="F69" s="28" t="s">
        <v>688</v>
      </c>
      <c r="G69" s="2">
        <f>MROUND((
  (IF(AND(_xlfn.XLOOKUP(B69,'Base stats'!B:B,'Base stats'!AI:AI)=0,BG69="None",_xlfn.XLOOKUP('Base stats'!E69,Groups!A:A,Groups!B:B)=0), (18 + BP69 * 2.7) * 0.5,
    IF(AND(_xlfn.XLOOKUP(B69,'Base stats'!B:B,'Base stats'!AI:AI)=0,OR(AN69&lt;0.55,AND(BG69="Intermediate",_xlfn.XLOOKUP('Base stats'!E69,Groups!A:A,Groups!B:B)&lt;2))), (18 + BP69 * 2.7),
      IF(OR(BG69="Advanced",_xlfn.XLOOKUP(B69,'Base stats'!B:B,'Base stats'!AI:AI)=1,_xlfn.XLOOKUP('Base stats'!E69,Groups!A:A,Groups!B:B)=2), (18 + BP69 * 2.7) + 250, (18 + BP69 * 2.7))
    )
  ))
  + AN69 * 80
  + IF(COUNTIF(EggMilk!K$2:K$998, A69) &gt; 0, 125, 0)
  + IF(COUNTIF(EggMilk!P$2:P$998, A69) &gt; 0, 90, 0)
  + IF(COUNTIF(EggMilk!A$2:A$998, A69) &gt; 0, 90, 0)
)
* (0.8 + 0.4 * I69)
* 0.75,25)</f>
        <v>150</v>
      </c>
      <c r="H69" s="2">
        <f>MROUND(ROUNDDOWN(_xlfn.XLOOKUP(B69,'Base stats'!B:B,'Base stats'!L:L)/3.6/(23.3/11),1),0.5)</f>
        <v>1.5</v>
      </c>
      <c r="I69" s="2">
        <f>IF(_xlfn.XLOOKUP(B69,'Base stats'!B:B,'Base stats'!AI:AI)=1,0.99,MIN(MROUND((1-0.6282*EXP(-0.459*AN69))*_xlfn.XLOOKUP(_xlfn.XLOOKUP(B69,'Base stats'!B:B,'Base stats'!E:E),Groups!A:A,Groups!C:C)*IF(_xlfn.XLOOKUP(B69,'Base stats'!B:B,'Base stats'!O:O)=1,0.5,IF(_xlfn.XLOOKUP(B69,'Base stats'!B:B,'Base stats'!O:O)=2,0,1)),0.05),0.985))</f>
        <v>0.55000000000000004</v>
      </c>
      <c r="J69" s="2">
        <f>ROUNDUP(AN69*_xlfn.XLOOKUP(_xlfn.XLOOKUP(B69,'Base stats'!B:B,'Base stats'!E:E),Groups!A:A,Groups!E:E),0)</f>
        <v>3</v>
      </c>
      <c r="K69" s="2">
        <f>IF(OR(_xlfn.XLOOKUP(_xlfn.XLOOKUP(B69,'Base stats'!B:B,'Base stats'!E:E),Groups!A:A,Groups!F:F)=2,ISNUMBER(SEARCH("SeaIce",BV69)),ISNUMBER(SEARCH("IceSheet",BV69))),-50,IF(OR(ISNUMBER(SEARCH("GlacialPlain",BV69)),ISNUMBER(SEARCH("Tundra",BV69))),-40,IF(OR(ISNUMBER(SEARCH("Alpine",BV69)),ISNUMBER(SEARCH("BorealForest",BV69)),ISNUMBER(SEARCH("ColdBog",BV69))),-30,IF(OR(ISNUMBER(SEARCH("TemperateForest",BV69)),ISNUMBER(SEARCH("TemperateSwamp",BV69))),-20,IF(_xlfn.XLOOKUP(_xlfn.XLOOKUP(B69,'Base stats'!B:B,'Base stats'!E:E),Groups!A:A,Groups!F:F)=1,-15,IF(OR(ISNUMBER(SEARCH("Desert",BV69)),ISNUMBER(SEARCH("ExtremeDesert",BV69))),-10,IF(OR(ISNUMBER(SEARCH("Grasslands",BV69)),ISNUMBER(SEARCH("TropicalRainforest",BV69)),ISNUMBER(SEARCH("TropicalSwamp",BV69))),10,0)))))))-IF(CA69="False",MIN(IFERROR(MAX(MROUND(LOG10(_xlfn.XLOOKUP(B69,'Base stats'!B:B,'Base stats'!C:C)^(2/3))*10,5),5),5),30))-_xlfn.XLOOKUP(B69,'Base stats'!B:B,'Base stats'!P:P)+IF(CA69="True",5,0)</f>
        <v>-35</v>
      </c>
      <c r="L69" s="2">
        <f>IF(OR(_xlfn.XLOOKUP(_xlfn.XLOOKUP(B69,'Base stats'!B:B,'Base stats'!E:E),Groups!A:A,Groups!G:G)=2,ISNUMBER(SEARCH("Desert",BV69)),ISNUMBER(SEARCH("ExtremeDesert",BV69)),ISNUMBER(SEARCH("LavaField",BV69))),50,IF(ISNUMBER(SEARCH("Grasslands",BV69)),45,IF(OR(_xlfn.XLOOKUP(_xlfn.XLOOKUP(B69,'Base stats'!B:B,'Base stats'!E:E),Groups!A:A,Groups!G:G)=1,ISNUMBER(SEARCH("TropicalRainforest",BV69)),ISNUMBER(SEARCH("TropicalSwamp",BV69))),40,IF(OR(ISNUMBER(SEARCH("TemperateForest",BV69)),ISNUMBER(SEARCH("TemperateSwamp",BV69))),35,IF(OR(ISNUMBER(SEARCH("Alpine",BV69)),ISNUMBER(SEARCH("BorealForest",BV69)),ISNUMBER(SEARCH("ColdBog",BV69))),30,IF(ISNUMBER(OR(ISNUMBER(SEARCH("GlacialPlain",BV69)),SEARCH("Tundra",BV69))),25,IF(OR(ISNUMBER(SEARCH("SeaIce",BV69)),ISNUMBER(SEARCH("IceSheet",BV69)),ISNUMBER(SEARCH("TropicalSwamp",BV69))),10,35)))))))+_xlfn.XLOOKUP(B69,'Base stats'!B:B,'Base stats'!Q:Q)</f>
        <v>40</v>
      </c>
      <c r="M69" s="8" t="str">
        <f>IF(_xlfn.XLOOKUP(_xlfn.XLOOKUP(B69,'Base stats'!B:B,'Base stats'!E:E),Groups!A:A,Groups!L:L)=1,MIN(MROUND(_xlfn.XLOOKUP(B69,'Animals CE'!B:B,'Animals CE'!Z:Z)/2+0.05,0.05),200%),"No")</f>
        <v>No</v>
      </c>
      <c r="N69" s="8" t="str">
        <f>IF(_xlfn.XLOOKUP(_xlfn.XLOOKUP(B69,'Base stats'!B:B,'Base stats'!E:E),Groups!A:A,Groups!L:L)=1,MIN(MROUND(_xlfn.XLOOKUP(B69,'Animals CE'!B:B,'Animals CE'!AA:AA)/2+0.05,0.05),200%),"No")</f>
        <v>No</v>
      </c>
      <c r="O69" s="2" t="str">
        <f>_xlfn.XLOOKUP(B69,'Base stats'!B:B,'Base stats'!R:R)</f>
        <v>Standard</v>
      </c>
      <c r="P69" s="13">
        <f>MROUND((LOG10(_xlfn.XLOOKUP(B69,'Base stats'!B:B,'Base stats'!AO:AO))*(AN69^0.5)+(_xlfn.XLOOKUP(B69,'Base stats'!B:B,'Base stats'!AO:AO)/1000)^(2/3)+_xlfn.XLOOKUP(B69,'Base stats'!B:B,'Base stats'!AX:AX)/2)+0.5,0.5)</f>
        <v>2</v>
      </c>
      <c r="Q69" s="7">
        <f>IF(P69="No","No",MAX(1,MROUND(_xlfn.XLOOKUP(B69,'Base stats'!B:B,'Base stats'!C:C)^0.165,0.05)))</f>
        <v>1.05</v>
      </c>
      <c r="R69" s="13" t="str">
        <f>IF(_xlfn.XLOOKUP(_xlfn.XLOOKUP(B69,'Base stats'!B:B,'Base stats'!E:E),Groups!A:A,Groups!P:P)=0,"No",MROUND((LOG10(_xlfn.XLOOKUP(B69,'Base stats'!B:B,'Base stats'!AP:AP))*(AN69^0.5)+(_xlfn.XLOOKUP(B69,'Base stats'!B:B,'Base stats'!AP:AP)/1000)^(2/3)+_xlfn.XLOOKUP(B69,'Base stats'!B:B,'Base stats'!AX:AX))+_xlfn.XLOOKUP(B69,'Base stats'!B:B,'Base stats'!AV:AV)+0.5,0.5))</f>
        <v>No</v>
      </c>
      <c r="S69" s="7" t="str">
        <f>IF(R69="No","No",MAX(_xlfn.XLOOKUP(_xlfn.XLOOKUP(B69,'Base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T69" s="7" t="str">
        <f>IF(R69="No","No",_xlfn.XLOOKUP(_xlfn.XLOOKUP(B69,'Base stats'!B:B,'Base stats'!E:E),Groups!A:A,Groups!R:R))</f>
        <v>No</v>
      </c>
      <c r="U69" s="7" t="str">
        <f>IF(R69="No","No",_xlfn.XLOOKUP(_xlfn.XLOOKUP(B69,'Base stats'!B:B,'Base stats'!E:E),Groups!A:A,Groups!S:S))</f>
        <v>No</v>
      </c>
      <c r="V69" s="7" t="str">
        <f>IF(R69="No","No",_xlfn.XLOOKUP(_xlfn.XLOOKUP(B69,'Base stats'!B:B,'Base stats'!E:E),Groups!A:A,Groups!T:T))</f>
        <v>No</v>
      </c>
      <c r="W69" s="13" t="str">
        <f>IF(_xlfn.XLOOKUP(B69,'Base stats'!B:B,'Base stats'!W:W)="No","No",MROUND((LOG10(_xlfn.XLOOKUP(B69,'Base stats'!B:B,'Base stats'!AR:AR))*(AN69^0.5)+(_xlfn.XLOOKUP(B69,'Base stats'!B:B,'Base stats'!AR:AR)/1000)^(2/3)+_xlfn.XLOOKUP(B69,'Base stats'!B:B,'Base stats'!AW:AW))+0.5+IF(_xlfn.XLOOKUP(_xlfn.XLOOKUP(B69,'Base stats'!B:B,'Base stats'!E:E),Groups!A:A,Groups!U:U)&lt;&gt;3,_xlfn.XLOOKUP(B69,'Base stats'!B:B,'Base stats'!AX:AX),0),0.5))</f>
        <v>No</v>
      </c>
      <c r="X69" s="7" t="str">
        <f>IF(W69="No","No",MAX(_xlfn.XLOOKUP(_xlfn.XLOOKUP(B69,'Base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Y69" s="7" t="str">
        <f>IF(W69="No","No",_xlfn.XLOOKUP(_xlfn.XLOOKUP(B69,'Base stats'!B:B,'Base stats'!E:E),Groups!A:A,Groups!W:W))</f>
        <v>No</v>
      </c>
      <c r="Z69" s="7" t="str">
        <f>IF(W69="No","No",_xlfn.XLOOKUP(_xlfn.XLOOKUP(B69,'Base stats'!B:B,'Base stats'!E:E),Groups!A:A,Groups!X:X))</f>
        <v>No</v>
      </c>
      <c r="AA69" s="7" t="str">
        <f>IF(W69="No","No",_xlfn.XLOOKUP(_xlfn.XLOOKUP(B69,'Base stats'!B:B,'Base stats'!E:E),Groups!A:A,Groups!Y:Y))</f>
        <v>No</v>
      </c>
      <c r="AB69" s="7" t="str">
        <f>_xlfn.XLOOKUP(Animals!B69,'Base stats'!B:B,'Base stats'!X:X)</f>
        <v>False</v>
      </c>
      <c r="AC69" s="13">
        <f>IF(_xlfn.XLOOKUP(B69,'Base stats'!B:B,'Base stats'!AQ:AQ)="No","No",MROUND((LOG10(_xlfn.XLOOKUP(B69,'Base stats'!B:B,'Base stats'!AQ:AQ))*(AN69^0.75)+(_xlfn.XLOOKUP(B69,'Base stats'!B:B,'Base stats'!AQ:AQ)/1000)^(2/3)+_xlfn.XLOOKUP(B69,'Base stats'!B:B,'Base stats'!AU:AU)+_xlfn.XLOOKUP(B69,'Base stats'!B:B,'Base stats'!AX:AX))+0.5,0.5))</f>
        <v>2</v>
      </c>
      <c r="AD69" s="7">
        <f>IF(AC69="No","No",MAX(_xlfn.XLOOKUP(_xlfn.XLOOKUP(B69,'Base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E69" s="7" t="str">
        <f>IF(AC69="No","No",_xlfn.XLOOKUP(_xlfn.XLOOKUP(B69,'Base stats'!B:B,'Base stats'!E:E),Groups!A:A,Groups!AA:AA))</f>
        <v>Beak</v>
      </c>
      <c r="AF69" s="7" t="str">
        <f>IF(AC69="No","No",_xlfn.XLOOKUP(_xlfn.XLOOKUP(B69,'Base stats'!B:B,'Base stats'!E:E),Groups!A:A,Groups!AB:AB))</f>
        <v>beak</v>
      </c>
      <c r="AG69" s="7" t="str">
        <f>IF(AC69="No","No",_xlfn.XLOOKUP(_xlfn.XLOOKUP(B69,'Base stats'!B:B,'Base stats'!E:E),Groups!A:A,Groups!AC:AC))</f>
        <v>Blunt</v>
      </c>
      <c r="AH69" s="13" t="str">
        <f>IF(_xlfn.XLOOKUP(_xlfn.XLOOKUP(B69,'Base stats'!B:B,'Base stats'!E:E),Groups!A:A,Groups!AD:AD)=0,"No",MROUND((LOG10(_xlfn.XLOOKUP(B69,'Base stats'!B:B,'Base stats'!AP:AP))*(AN69^0.75)+(_xlfn.XLOOKUP(B69,'Base stats'!B:B,'Base stats'!AP:AP)/1000)^(2/3)+_xlfn.XLOOKUP(B69,'Base stats'!B:B,'Base stats'!AV:AV)+_xlfn.XLOOKUP(B69,'Base stats'!B:B,'Base stats'!AX:AX))+0.5,0.5))</f>
        <v>No</v>
      </c>
      <c r="AI69" s="7" t="str">
        <f>IF(AH69="No","No",MAX(_xlfn.XLOOKUP(_xlfn.XLOOKUP(B69,'Base stats'!B:B,'Base stats'!E:E),Groups!A:A,Groups!AE:AE),MROUND(_xlfn.XLOOKUP(_xlfn.XLOOKUP(B69,'Base stats'!B:B,'Base stats'!E:E),Groups!A:A,Groups!AE:AE)*_xlfn.XLOOKUP(B69,'Base stats'!B:B,'Base stats'!C:C)^0.165,0.05)))</f>
        <v>No</v>
      </c>
      <c r="AJ69" s="7" t="str">
        <f>IF(AH69="No","No",_xlfn.XLOOKUP(_xlfn.XLOOKUP(B69,'Base stats'!B:B,'Base stats'!E:E),Groups!A:A,Groups!AF:AF))</f>
        <v>No</v>
      </c>
      <c r="AK69" s="7" t="str">
        <f>IF(AH69="No","No",_xlfn.XLOOKUP(_xlfn.XLOOKUP(B69,'Base stats'!B:B,'Base stats'!E:E),Groups!A:A,Groups!AG:AG))</f>
        <v>No</v>
      </c>
      <c r="AL69" s="7" t="str">
        <f>IF(AH69="No","No",_xlfn.XLOOKUP(_xlfn.XLOOKUP(B69,'Base stats'!B:B,'Base stats'!E:E),Groups!A:A,Groups!AH:AH))</f>
        <v>No</v>
      </c>
      <c r="AM69" s="2" t="str">
        <f t="shared" si="7"/>
        <v>No</v>
      </c>
      <c r="AN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O69" s="8">
        <f>MROUND(AN69*_xlfn.XLOOKUP(_xlfn.XLOOKUP(B69,'Base stats'!B:B,'Base stats'!E:E),Groups!A:A,Groups!AI:AI),0.05)</f>
        <v>0.2</v>
      </c>
      <c r="AP69" s="8">
        <f>MAX(0.01,MROUND(IF(CA69="True",0.196*(AN69*100*1000)^0.889,IF(_xlfn.XLOOKUP(_xlfn.XLOOKUP(B69,'Base stats'!B:B,'Base stats'!E:E),Groups!A:A,Groups!AJ:AJ)="Bird",10.5*(AN69*100*1000)^0.681,4.82*(AN69*100*1000)^0.734))/(4.82*(1*100*1000)^0.734)/IF(AN69&lt;3.5,2,IF(AN69=3.5,1.5,1.25))*(1+0.132282374779864/(AN69^0.994035016789033+0.00905238001496948)),0.05))</f>
        <v>0.30000000000000004</v>
      </c>
      <c r="AQ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R69" s="35" t="str">
        <f>IFERROR(IF(_xlfn.XLOOKUP(B69,'Base stats'!B:B,'Base stats'!F:F)="Lay eggs","Lay eggs",MIN(20,MAX(5.5,ROUND(((_xlfn.XLOOKUP(B69,'Base stats'!B:B,'Base stats'!F:F)-25)*(14.5/615) + 5.5)*2,0)/2))),"Cannot breed")</f>
        <v>Lay eggs</v>
      </c>
      <c r="AS69" s="8">
        <f>IF(OR(A69="Queen",A69="Larva",A69="Megachicken"),"No",IFERROR(MAX(IF(_xlfn.XLOOKUP(B69,'Base stats'!B:B,'Base stats'!G:G)&lt;0.5,0.2,0.3),MROUND(_xlfn.XLOOKUP(B69,'Base stats'!B:B,'Base stats'!G:G)/(365/60),0.2)),"Unknown"))</f>
        <v>0.4</v>
      </c>
      <c r="AT69" s="8">
        <f t="shared" si="8"/>
        <v>0.2</v>
      </c>
      <c r="AU69" s="8" t="str">
        <f>IFERROR(IFERROR(MROUND(_xlfn.XLOOKUP(B69,'Base stats'!B:B,'Base stats'!J:J),0.1),"Lay eggs"),"Cannot breed")</f>
        <v>Lay eggs</v>
      </c>
      <c r="AV69" s="2" t="str">
        <f t="shared" si="9"/>
        <v>false</v>
      </c>
      <c r="AW69" s="2" t="str">
        <f>IF(_xlfn.XLOOKUP(_xlfn.XLOOKUP(Animals!B69,'Base stats'!B:B,'Base stats'!E:E),Groups!A:A,Groups!AK:AK)=1,"true","false")</f>
        <v>false</v>
      </c>
      <c r="AX69" s="25" t="str">
        <f>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</f>
        <v>CarnivoreAnimal, OvivoreAnimal</v>
      </c>
      <c r="AY69" s="2">
        <f>IF(_xlfn.XLOOKUP(_xlfn.XLOOKUP(B69,'Base stats'!B:B,'Base stats'!E:E),Groups!A:A,Groups!D:D)=1,MROUND((1-I69)*5+1,2)*IF(I69&lt;=0.4,2,1),"No")</f>
        <v>4</v>
      </c>
      <c r="AZ69" s="2" t="str">
        <f>_xlfn.XLOOKUP(B69,'Base stats'!B:B,'Base stats'!AE:AE)</f>
        <v>No</v>
      </c>
      <c r="BA69" s="23" t="str">
        <f>_xlfn.XLOOKUP(_xlfn.XLOOKUP(B69,'Base stats'!B:B,'Base stats'!E:E),Groups!A:A,Groups!AL:AL)</f>
        <v>Bird</v>
      </c>
      <c r="BB69" s="23">
        <f>MROUND(IF(AND(AN69&lt;0.5,_xlfn.XLOOKUP(B69,'Base stats'!B:B,'Base stats'!Z:Z)=0),0,IF(OR(_xlfn.XLOOKUP(Animals!B69,'Base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stats'!AA:AA),0.005)</f>
        <v>0</v>
      </c>
      <c r="BC69" s="23">
        <f>MROUND(IF(AND(AN69&lt;0.5,_xlfn.XLOOKUP(B69,'Base stats'!B:B,'Base stats'!Z:Z)=0),0,IF(_xlfn.XLOOKUP(_xlfn.XLOOKUP(B69,'Base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stats'!AB:AB),0.005)</f>
        <v>0</v>
      </c>
      <c r="BD69" s="2" t="str">
        <f>IF(I69&gt;0.3,"No",_xlfn.XLOOKUP(_xlfn.XLOOKUP(Animals!B69,'Base stats'!B:B,'Base stats'!E:E),Groups!A:A,Groups!AP:AP))</f>
        <v>No</v>
      </c>
      <c r="BE69" s="2" t="str">
        <f>IF(AND(I69&lt;=0.65,_xlfn.XLOOKUP(_xlfn.XLOOKUP(Animals!B69,'Base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stats'!O:O)=2,0.2,AN69) + 24*(1-IF(BD69="No",0,BD69)) + 16/3, 12),"No")</f>
        <v>No</v>
      </c>
      <c r="BF69" s="2">
        <f>IF(AND(_xlfn.XLOOKUP(_xlfn.XLOOKUP(B69,'Base stats'!B:B,'Base stats'!E:E),Groups!A:A,Groups!AQ:AQ)=1,AN69&lt;=0.35),8,12)</f>
        <v>8</v>
      </c>
      <c r="BG69" s="2" t="str">
        <f>IF(_xlfn.XLOOKUP(_xlfn.XLOOKUP(B69,'Base stats'!B:B,'Base stats'!E:E),Groups!A:A,Groups!D:D)=0,_xlfn.XLOOKUP(_xlfn.XLOOKUP(B69,'Base stats'!B:B,'Base stats'!E:E),Groups!A:A,Groups!AR:AR),"None")</f>
        <v>None</v>
      </c>
      <c r="BH69" s="2" t="str">
        <f>IF(AND(_xlfn.XLOOKUP(_xlfn.XLOOKUP(B69,'Base stats'!B:B,'Base stats'!E:E),Groups!A:A,Groups!AS:AS)=1,OR('Base stats'!Y69="Carnivore",'Base stats'!Y69="Omnivore")),"true","false")</f>
        <v>false</v>
      </c>
      <c r="BI69" s="2" t="str">
        <f>IF(BH69="true",MROUND(IF(AND(AN69&gt;0.5,_xlfn.XLOOKUP(_xlfn.XLOOKUP(B69,'Base stats'!B:B,'Base stats'!E:E),Groups!A:A,Groups!AJ:AJ)="Mammal"),Animals!AN69*1.75*IF(AV69="true",1.5,1),Animals!AN69),IF(AN69&gt;2,0.5,IF(AN69&gt;0.5,0.25,0.1))),"No")</f>
        <v>No</v>
      </c>
      <c r="BJ69" s="2">
        <f t="shared" si="10"/>
        <v>0</v>
      </c>
      <c r="BK69" s="25" t="str">
        <f>IF('Base stats'!AK69="Standard","No",MROUND((_xlfn.XLOOKUP(B69,'Base stats'!B:B,'Base stats'!AK:AK)/3.6)/H69,0.1))</f>
        <v>No</v>
      </c>
      <c r="BL69" s="25" t="str">
        <f t="shared" si="11"/>
        <v>true</v>
      </c>
      <c r="BM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N69" s="25" t="str" cm="1">
        <f t="array" ref="BN69">IF(
  _xlfn.TEXTJOIN(", ",TRUE,
    IF(AND(BH69="true",AN69&gt;0.5,BG69&lt;&gt;"None"),"AttackTarget",""),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IF(BE69&lt;=36,"Comfort",""),
    IF(_xlfn.XLOOKUP(B69,'Base stats'!B:B,'Base stats'!AC:AC)&lt;&gt;"No",_xlfn.XLOOKUP(B69,'Base stats'!B:B,'Base stats'!AC:AC),"")
  ) = "",
  "No",
  _xlfn.TEXTJOIN(", ",TRUE,
    IF(AND(BH69="true",AN69&gt;0.5,BG69&lt;&gt;"None"),"AttackTarget",""),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IF(BE69&lt;=36,"Comfort",""),
    IF(_xlfn.XLOOKUP(B69,'Base stats'!B:B,'Base stats'!AC:AC)&lt;&gt;"No",_xlfn.XLOOKUP(B69,'Base stats'!B:B,'Base stats'!AC:AC),"")
  )
)</f>
        <v>No</v>
      </c>
      <c r="BO69" s="25">
        <f>IF(
   AND(
      'Base stats'!AK69="Standard",_xlfn.XLOOKUP(_xlfn.XLOOKUP(B69,'Base stats'!B:B,'Base stats'!E:E),Groups!A:A,Groups!AU:AU)=0,
      OR(
      BM69="True"
      )
   ),
   10,
   IF(
       OR(BK69&lt;&gt;"No",_xlfn.XLOOKUP(_xlfn.XLOOKUP(B69,'Base stats'!B:B,'Base stats'!E:E),Groups!A:A,Groups!AU:AU)=1),
      1,
      "No"
   )
)</f>
        <v>1</v>
      </c>
      <c r="BP69" s="9">
        <f>MROUND((1 + ((0.2*IF(OR(P69="No",Q69="No",Q69=0),0,P69/Q69)
+IF(OR(U69="No",R69="No",S69="No"),0,R69/S69*(LEN(U69)-LEN(SUBSTITUTE(U69,",",""))+1))
+IF(OR(W69="No",X69="No"),0,W69/X69)
+IF(OR(AC69="No",AD69="No"),0,AC69/AD69)
+IF(OR(AK69="No",AH69="No",AI69="No"),0,AH69/AI69*(LEN(AK69)-LEN(SUBSTITUTE(AK69,",",""))+1))
)/(0.2*IF(OR(P69="No",Q69="No",Q69=0),0,1)
+IF(OR(U69="No",R69="No",S69="No"),0,LEN(U69)-LEN(SUBSTITUTE(U69,",",""))+1)
+IF(OR(W69="No",X69="No"),0,1)
+IF(OR(AC69="No",AD69="No"),0,1)
+IF(OR(AK69="No",AH69="No",AI69="No"),0,LEN(AK69)-LEN(SUBSTITUTE(AK69,",",""))+1))*62%)* 2)*(1 + (AO69 + _xlfn.XLOOKUP(B69,'Base stats'!B:B,'Base stats'!AS:AS) * 1.8) * 2) * 2.5 + 10 + H69 * 2,5)+IF(_xlfn.XLOOKUP(B69,'Base stats'!B:B,'Base stats'!AH:AH)=1,50,0)</f>
        <v>25</v>
      </c>
      <c r="BQ69" s="8">
        <f t="shared" si="12"/>
        <v>0.30000000000000004</v>
      </c>
      <c r="BR69" s="8" t="str">
        <f>_xlfn.XLOOKUP(B69,'Base stats'!B:B,'Base stats'!AD:AD)</f>
        <v>No</v>
      </c>
      <c r="BS69" s="2" t="str">
        <f>IF(AND(I69&lt;=0.95,OR(_xlfn.XLOOKUP(B69,'Base stats'!B:B,'Base stats'!AH:AH)=1,_xlfn.XLOOKUP(B69,'Base stats'!B:B,'Base stats'!Y:Y)="Carnivore",_xlfn.XLOOKUP(B69,'Base stats'!B:B,'Base stats'!Y:Y)="Omnivore",BC69&gt;0.1)),"true","false")</f>
        <v>true</v>
      </c>
      <c r="BT69" s="2" t="str">
        <f>IF(_xlfn.XLOOKUP(B69,'Base stats'!B:B,'Base stats'!AF:AF)=1,"true","false")</f>
        <v>false</v>
      </c>
      <c r="BU69" s="25" t="str">
        <f>IF(E69="BaseInsect","AnimalInsect",
IF(I69&gt;0.95,"AnimalExotic",
_xlfn.TEXTJOIN(", ",TRUE,
IF(AND(_xlfn.XLOOKUP(B69,'Base stats'!B:B,'Base stats'!O:O)=0,_xlfn.XLOOKUP(_xlfn.XLOOKUP(B69,'Base stats'!B:B,'Base stats'!E:E),Groups!A:A,Groups!B:B)&gt;0),"AnimalUncommon","AnimalCommon"),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stats'!AH:AH)=1,AND(BG69&lt;&gt;"None",BP69&gt;=60),ISNUMBER(SEARCH("Attack target",BN69))),"AnimalFighter","")
)))</f>
        <v>AnimalUncommon</v>
      </c>
      <c r="BV69" s="25" t="str">
        <f>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</f>
        <v>ColdBog TemperateSwamp TropicalSwamp Glowforest</v>
      </c>
      <c r="BW69" s="25" t="str">
        <f>IF(_xlfn.XLOOKUP(B69,'Base stats'!B:B,'Base stats'!AG:AG)=1,"true","false")</f>
        <v>false</v>
      </c>
      <c r="BX69" s="25">
        <f>IF(_xlfn.XLOOKUP(B69,'Base stats'!B:B,'Base stats'!N:N)=1,"No",MIN(MROUND(IF(OR(_xlfn.XLOOKUP(B69,'Base stats'!B:B,'Base stats'!AJ:AJ)=1,AND(BH69="True",CA69="False")),POWER(10,3.47*LOG10(_xlfn.XLOOKUP(B69,'Base stats'!B:B,'Base stats'!C:C)*1000)^-0.96),POWER(10,4.15*LOG10(_xlfn.XLOOKUP(B69,'Base stats'!B:B,'Base stats'!C:C)*1000)^-0.73))*IF(OR(_xlfn.XLOOKUP(B69,'Base stats'!B:B,'Base stats'!AJ:AJ)=1,_xlfn.XLOOKUP(B69,'Base stats'!B:B,'Base stats'!AH:AH)=1),0.5,1)/100,0.025),1))</f>
        <v>0.60000000000000009</v>
      </c>
      <c r="BY69" s="25" t="str">
        <f>IF(O69="Standard","No",IF(_xlfn.XLOOKUP(B69,'Base stats'!B:B,'Base stats'!N:N)=0,MROUND(BX69*O69,0.05),MIN(1,MAX(0.025,MROUND(IF(OR(CA69="true",AND(BH69="false",BM69="false")),POWER(10,4.15*LOG10(_xlfn.XLOOKUP(B69,'Base stats'!B:B,'Base stats'!C:C)*1000)^-0.73),POWER(10,3.47*LOG10(_xlfn.XLOOKUP(B69,'Base stats'!B:B,'Base stats'!C:C)*1000)^-0.96))*IF(_xlfn.XLOOKUP(B69,'Base stats'!B:B,'Base stats'!AH:AH)=1,0.5,1)/100,0.025)))))</f>
        <v>No</v>
      </c>
      <c r="BZ69" s="25" t="str">
        <f>IF(_xlfn.XLOOKUP(_xlfn.XLOOKUP(B69,'Base stats'!B:B,'Base stats'!E:E),Groups!A:A,Groups!AJ:AJ)="Mammal","True","False")</f>
        <v>False</v>
      </c>
      <c r="CA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B69" s="25" t="str">
        <f t="shared" si="13"/>
        <v>False</v>
      </c>
      <c r="CC69" s="25" t="str">
        <f>IF(_xlfn.XLOOKUP(_xlfn.XLOOKUP(B69,'Base stats'!B:B,'Base stats'!E:E),Groups!A:A,Groups!AW:AW),"True","False")</f>
        <v>False</v>
      </c>
      <c r="CD69" s="25" t="str">
        <f>IF(_xlfn.XLOOKUP(_xlfn.XLOOKUP(B69,'Base stats'!B:B,'Base stats'!E:E),Groups!A:A,Groups!AX:AX),"True","False")</f>
        <v>False</v>
      </c>
      <c r="CE69" s="25" t="str">
        <f>IF(_xlfn.XLOOKUP(B69,'Base stats'!B:B,'Base stats'!E:E)=1,"True","False")</f>
        <v>False</v>
      </c>
      <c r="CF69" s="25" t="str">
        <f>IF(
OR(
_xlfn.XLOOKUP(_xlfn.XLOOKUP(B69,'Base stats'!B:B,'Base stats'!E:E),Groups!A:A,Groups!AY:AY)=0,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stats'!E:E),Groups!A:A,Groups!AY:AY)=1,
"Flesh",
IF(
_xlfn.XLOOKUP(_xlfn.XLOOKUP(B69,'Base stats'!B:B,'Base stats'!E:E),Groups!A:A,Groups!AY:AY)=2,
"Bone",
""
)
)
)</f>
        <v>No</v>
      </c>
      <c r="CG69" s="25" t="str">
        <f>IF(_xlfn.XLOOKUP(_xlfn.XLOOKUP(B69,'Base stats'!B:B,'Base stats'!E:E),Groups!A:A,Groups!BA:BA),"True","False")</f>
        <v>True</v>
      </c>
      <c r="CH69" s="25" t="str">
        <f>IF(_xlfn.XLOOKUP(_xlfn.XLOOKUP(B69,'Base stats'!B:B,'Base stats'!E:E),Groups!A:A,Groups!AZ:AZ),"True","False")</f>
        <v>False</v>
      </c>
    </row>
    <row r="70" spans="1:86" ht="16.5" thickTop="1" thickBot="1" x14ac:dyDescent="0.3">
      <c r="A70" s="26" t="str">
        <f>_xlfn.XLOOKUP(B70,'Base stats'!B:B,'Base stats'!A:A)</f>
        <v>Flamingo</v>
      </c>
      <c r="B70" s="6" t="s">
        <v>246</v>
      </c>
      <c r="C70" s="28" t="s">
        <v>762</v>
      </c>
      <c r="D70" s="28" t="s">
        <v>882</v>
      </c>
      <c r="E70" s="28" t="s">
        <v>687</v>
      </c>
      <c r="F70" s="28" t="s">
        <v>688</v>
      </c>
      <c r="G70" s="2">
        <f>MROUND((
  (IF(AND(_xlfn.XLOOKUP(B70,'Base stats'!B:B,'Base stats'!AI:AI)=0,BG70="None",_xlfn.XLOOKUP('Base stats'!E70,Groups!A:A,Groups!B:B)=0), (18 + BP70 * 2.7) * 0.5,
    IF(AND(_xlfn.XLOOKUP(B70,'Base stats'!B:B,'Base stats'!AI:AI)=0,OR(AN70&lt;0.55,AND(BG70="Intermediate",_xlfn.XLOOKUP('Base stats'!E70,Groups!A:A,Groups!B:B)&lt;2))), (18 + BP70 * 2.7),
      IF(OR(BG70="Advanced",_xlfn.XLOOKUP(B70,'Base stats'!B:B,'Base stats'!AI:AI)=1,_xlfn.XLOOKUP('Base stats'!E70,Groups!A:A,Groups!B:B)=2), (18 + BP70 * 2.7) + 250, (18 + BP70 * 2.7))
    )
  ))
  + AN70 * 80
  + IF(COUNTIF(EggMilk!K$2:K$998, A70) &gt; 0, 125, 0)
  + IF(COUNTIF(EggMilk!P$2:P$998, A70) &gt; 0, 90, 0)
  + IF(COUNTIF(EggMilk!A$2:A$998, A70) &gt; 0, 90, 0)
)
* (0.8 + 0.4 * I70)
* 0.75,25)</f>
        <v>150</v>
      </c>
      <c r="H70" s="2">
        <f>MROUND(ROUNDDOWN(_xlfn.XLOOKUP(B70,'Base stats'!B:B,'Base stats'!L:L)/3.6/(23.3/11),1),0.5)</f>
        <v>1.5</v>
      </c>
      <c r="I70" s="2">
        <f>IF(_xlfn.XLOOKUP(B70,'Base stats'!B:B,'Base stats'!AI:AI)=1,0.99,MIN(MROUND((1-0.6282*EXP(-0.459*AN70))*_xlfn.XLOOKUP(_xlfn.XLOOKUP(B70,'Base stats'!B:B,'Base stats'!E:E),Groups!A:A,Groups!C:C)*IF(_xlfn.XLOOKUP(B70,'Base stats'!B:B,'Base stats'!O:O)=1,0.5,IF(_xlfn.XLOOKUP(B70,'Base stats'!B:B,'Base stats'!O:O)=2,0,1)),0.05),0.985))</f>
        <v>0.55000000000000004</v>
      </c>
      <c r="J70" s="2">
        <f>ROUNDUP(AN70*_xlfn.XLOOKUP(_xlfn.XLOOKUP(B70,'Base stats'!B:B,'Base stats'!E:E),Groups!A:A,Groups!E:E),0)</f>
        <v>3</v>
      </c>
      <c r="K70" s="2">
        <f>IF(OR(_xlfn.XLOOKUP(_xlfn.XLOOKUP(B70,'Base stats'!B:B,'Base stats'!E:E),Groups!A:A,Groups!F:F)=2,ISNUMBER(SEARCH("SeaIce",BV70)),ISNUMBER(SEARCH("IceSheet",BV70))),-50,IF(OR(ISNUMBER(SEARCH("GlacialPlain",BV70)),ISNUMBER(SEARCH("Tundra",BV70))),-40,IF(OR(ISNUMBER(SEARCH("Alpine",BV70)),ISNUMBER(SEARCH("BorealForest",BV70)),ISNUMBER(SEARCH("ColdBog",BV70))),-30,IF(OR(ISNUMBER(SEARCH("TemperateForest",BV70)),ISNUMBER(SEARCH("TemperateSwamp",BV70))),-20,IF(_xlfn.XLOOKUP(_xlfn.XLOOKUP(B70,'Base stats'!B:B,'Base stats'!E:E),Groups!A:A,Groups!F:F)=1,-15,IF(OR(ISNUMBER(SEARCH("Desert",BV70)),ISNUMBER(SEARCH("ExtremeDesert",BV70))),-10,IF(OR(ISNUMBER(SEARCH("Grasslands",BV70)),ISNUMBER(SEARCH("TropicalRainforest",BV70)),ISNUMBER(SEARCH("TropicalSwamp",BV70))),10,0)))))))-IF(CA70="False",MIN(IFERROR(MAX(MROUND(LOG10(_xlfn.XLOOKUP(B70,'Base stats'!B:B,'Base stats'!C:C)^(2/3))*10,5),5),5),30))-_xlfn.XLOOKUP(B70,'Base stats'!B:B,'Base stats'!P:P)+IF(CA70="True",5,0)</f>
        <v>5</v>
      </c>
      <c r="L70" s="2">
        <f>IF(OR(_xlfn.XLOOKUP(_xlfn.XLOOKUP(B70,'Base stats'!B:B,'Base stats'!E:E),Groups!A:A,Groups!G:G)=2,ISNUMBER(SEARCH("Desert",BV70)),ISNUMBER(SEARCH("ExtremeDesert",BV70)),ISNUMBER(SEARCH("LavaField",BV70))),50,IF(ISNUMBER(SEARCH("Grasslands",BV70)),45,IF(OR(_xlfn.XLOOKUP(_xlfn.XLOOKUP(B70,'Base stats'!B:B,'Base stats'!E:E),Groups!A:A,Groups!G:G)=1,ISNUMBER(SEARCH("TropicalRainforest",BV70)),ISNUMBER(SEARCH("TropicalSwamp",BV70))),40,IF(OR(ISNUMBER(SEARCH("TemperateForest",BV70)),ISNUMBER(SEARCH("TemperateSwamp",BV70))),35,IF(OR(ISNUMBER(SEARCH("Alpine",BV70)),ISNUMBER(SEARCH("BorealForest",BV70)),ISNUMBER(SEARCH("ColdBog",BV70))),30,IF(ISNUMBER(OR(ISNUMBER(SEARCH("GlacialPlain",BV70)),SEARCH("Tundra",BV70))),25,IF(OR(ISNUMBER(SEARCH("SeaIce",BV70)),ISNUMBER(SEARCH("IceSheet",BV70)),ISNUMBER(SEARCH("TropicalSwamp",BV70))),10,35)))))))+_xlfn.XLOOKUP(B70,'Base stats'!B:B,'Base stats'!Q:Q)</f>
        <v>40</v>
      </c>
      <c r="M70" s="8" t="str">
        <f>IF(_xlfn.XLOOKUP(_xlfn.XLOOKUP(B70,'Base stats'!B:B,'Base stats'!E:E),Groups!A:A,Groups!L:L)=1,MIN(MROUND(_xlfn.XLOOKUP(B70,'Animals CE'!B:B,'Animals CE'!Z:Z)/2+0.05,0.05),200%),"No")</f>
        <v>No</v>
      </c>
      <c r="N70" s="8" t="str">
        <f>IF(_xlfn.XLOOKUP(_xlfn.XLOOKUP(B70,'Base stats'!B:B,'Base stats'!E:E),Groups!A:A,Groups!L:L)=1,MIN(MROUND(_xlfn.XLOOKUP(B70,'Animals CE'!B:B,'Animals CE'!AA:AA)/2+0.05,0.05),200%),"No")</f>
        <v>No</v>
      </c>
      <c r="O70" s="2" t="str">
        <f>_xlfn.XLOOKUP(B70,'Base stats'!B:B,'Base stats'!R:R)</f>
        <v>Standard</v>
      </c>
      <c r="P70" s="13">
        <f>MROUND((LOG10(_xlfn.XLOOKUP(B70,'Base stats'!B:B,'Base stats'!AO:AO))*(AN70^0.5)+(_xlfn.XLOOKUP(B70,'Base stats'!B:B,'Base stats'!AO:AO)/1000)^(2/3)+_xlfn.XLOOKUP(B70,'Base stats'!B:B,'Base stats'!AX:AX)/2)+0.5,0.5)</f>
        <v>2.5</v>
      </c>
      <c r="Q70" s="7">
        <f>IF(P70="No","No",MAX(1,MROUND(_xlfn.XLOOKUP(B70,'Base stats'!B:B,'Base stats'!C:C)^0.165,0.05)))</f>
        <v>1.2000000000000002</v>
      </c>
      <c r="R70" s="13" t="str">
        <f>IF(_xlfn.XLOOKUP(_xlfn.XLOOKUP(B70,'Base stats'!B:B,'Base stats'!E:E),Groups!A:A,Groups!P:P)=0,"No",MROUND((LOG10(_xlfn.XLOOKUP(B70,'Base stats'!B:B,'Base stats'!AP:AP))*(AN70^0.5)+(_xlfn.XLOOKUP(B70,'Base stats'!B:B,'Base stats'!AP:AP)/1000)^(2/3)+_xlfn.XLOOKUP(B70,'Base stats'!B:B,'Base stats'!AX:AX))+_xlfn.XLOOKUP(B70,'Base stats'!B:B,'Base stats'!AV:AV)+0.5,0.5))</f>
        <v>No</v>
      </c>
      <c r="S70" s="7" t="str">
        <f>IF(R70="No","No",MAX(_xlfn.XLOOKUP(_xlfn.XLOOKUP(B70,'Base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T70" s="7" t="str">
        <f>IF(R70="No","No",_xlfn.XLOOKUP(_xlfn.XLOOKUP(B70,'Base stats'!B:B,'Base stats'!E:E),Groups!A:A,Groups!R:R))</f>
        <v>No</v>
      </c>
      <c r="U70" s="7" t="str">
        <f>IF(R70="No","No",_xlfn.XLOOKUP(_xlfn.XLOOKUP(B70,'Base stats'!B:B,'Base stats'!E:E),Groups!A:A,Groups!S:S))</f>
        <v>No</v>
      </c>
      <c r="V70" s="7" t="str">
        <f>IF(R70="No","No",_xlfn.XLOOKUP(_xlfn.XLOOKUP(B70,'Base stats'!B:B,'Base stats'!E:E),Groups!A:A,Groups!T:T))</f>
        <v>No</v>
      </c>
      <c r="W70" s="13" t="str">
        <f>IF(_xlfn.XLOOKUP(B70,'Base stats'!B:B,'Base stats'!W:W)="No","No",MROUND((LOG10(_xlfn.XLOOKUP(B70,'Base stats'!B:B,'Base stats'!AR:AR))*(AN70^0.5)+(_xlfn.XLOOKUP(B70,'Base stats'!B:B,'Base stats'!AR:AR)/1000)^(2/3)+_xlfn.XLOOKUP(B70,'Base stats'!B:B,'Base stats'!AW:AW))+0.5+IF(_xlfn.XLOOKUP(_xlfn.XLOOKUP(B70,'Base stats'!B:B,'Base stats'!E:E),Groups!A:A,Groups!U:U)&lt;&gt;3,_xlfn.XLOOKUP(B70,'Base stats'!B:B,'Base stats'!AX:AX),0),0.5))</f>
        <v>No</v>
      </c>
      <c r="X70" s="7" t="str">
        <f>IF(W70="No","No",MAX(_xlfn.XLOOKUP(_xlfn.XLOOKUP(B70,'Base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Y70" s="7" t="str">
        <f>IF(W70="No","No",_xlfn.XLOOKUP(_xlfn.XLOOKUP(B70,'Base stats'!B:B,'Base stats'!E:E),Groups!A:A,Groups!W:W))</f>
        <v>No</v>
      </c>
      <c r="Z70" s="7" t="str">
        <f>IF(W70="No","No",_xlfn.XLOOKUP(_xlfn.XLOOKUP(B70,'Base stats'!B:B,'Base stats'!E:E),Groups!A:A,Groups!X:X))</f>
        <v>No</v>
      </c>
      <c r="AA70" s="7" t="str">
        <f>IF(W70="No","No",_xlfn.XLOOKUP(_xlfn.XLOOKUP(B70,'Base stats'!B:B,'Base stats'!E:E),Groups!A:A,Groups!Y:Y))</f>
        <v>No</v>
      </c>
      <c r="AB70" s="7" t="str">
        <f>_xlfn.XLOOKUP(Animals!B70,'Base stats'!B:B,'Base stats'!X:X)</f>
        <v>False</v>
      </c>
      <c r="AC70" s="13">
        <f>IF(_xlfn.XLOOKUP(B70,'Base stats'!B:B,'Base stats'!AQ:AQ)="No","No",MROUND((LOG10(_xlfn.XLOOKUP(B70,'Base stats'!B:B,'Base stats'!AQ:AQ))*(AN70^0.75)+(_xlfn.XLOOKUP(B70,'Base stats'!B:B,'Base stats'!AQ:AQ)/1000)^(2/3)+_xlfn.XLOOKUP(B70,'Base stats'!B:B,'Base stats'!AU:AU)+_xlfn.XLOOKUP(B70,'Base stats'!B:B,'Base stats'!AX:AX))+0.5,0.5))</f>
        <v>2.5</v>
      </c>
      <c r="AD70" s="7">
        <f>IF(AC70="No","No",MAX(_xlfn.XLOOKUP(_xlfn.XLOOKUP(B70,'Base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E70" s="7" t="str">
        <f>IF(AC70="No","No",_xlfn.XLOOKUP(_xlfn.XLOOKUP(B70,'Base stats'!B:B,'Base stats'!E:E),Groups!A:A,Groups!AA:AA))</f>
        <v>Beak</v>
      </c>
      <c r="AF70" s="7" t="str">
        <f>IF(AC70="No","No",_xlfn.XLOOKUP(_xlfn.XLOOKUP(B70,'Base stats'!B:B,'Base stats'!E:E),Groups!A:A,Groups!AB:AB))</f>
        <v>beak</v>
      </c>
      <c r="AG70" s="7" t="str">
        <f>IF(AC70="No","No",_xlfn.XLOOKUP(_xlfn.XLOOKUP(B70,'Base stats'!B:B,'Base stats'!E:E),Groups!A:A,Groups!AC:AC))</f>
        <v>Blunt</v>
      </c>
      <c r="AH70" s="13" t="str">
        <f>IF(_xlfn.XLOOKUP(_xlfn.XLOOKUP(B70,'Base stats'!B:B,'Base stats'!E:E),Groups!A:A,Groups!AD:AD)=0,"No",MROUND((LOG10(_xlfn.XLOOKUP(B70,'Base stats'!B:B,'Base stats'!AP:AP))*(AN70^0.75)+(_xlfn.XLOOKUP(B70,'Base stats'!B:B,'Base stats'!AP:AP)/1000)^(2/3)+_xlfn.XLOOKUP(B70,'Base stats'!B:B,'Base stats'!AV:AV)+_xlfn.XLOOKUP(B70,'Base stats'!B:B,'Base stats'!AX:AX))+0.5,0.5))</f>
        <v>No</v>
      </c>
      <c r="AI70" s="7" t="str">
        <f>IF(AH70="No","No",MAX(_xlfn.XLOOKUP(_xlfn.XLOOKUP(B70,'Base stats'!B:B,'Base stats'!E:E),Groups!A:A,Groups!AE:AE),MROUND(_xlfn.XLOOKUP(_xlfn.XLOOKUP(B70,'Base stats'!B:B,'Base stats'!E:E),Groups!A:A,Groups!AE:AE)*_xlfn.XLOOKUP(B70,'Base stats'!B:B,'Base stats'!C:C)^0.165,0.05)))</f>
        <v>No</v>
      </c>
      <c r="AJ70" s="7" t="str">
        <f>IF(AH70="No","No",_xlfn.XLOOKUP(_xlfn.XLOOKUP(B70,'Base stats'!B:B,'Base stats'!E:E),Groups!A:A,Groups!AF:AF))</f>
        <v>No</v>
      </c>
      <c r="AK70" s="7" t="str">
        <f>IF(AH70="No","No",_xlfn.XLOOKUP(_xlfn.XLOOKUP(B70,'Base stats'!B:B,'Base stats'!E:E),Groups!A:A,Groups!AG:AG))</f>
        <v>No</v>
      </c>
      <c r="AL70" s="7" t="str">
        <f>IF(AH70="No","No",_xlfn.XLOOKUP(_xlfn.XLOOKUP(B70,'Base stats'!B:B,'Base stats'!E:E),Groups!A:A,Groups!AH:AH))</f>
        <v>No</v>
      </c>
      <c r="AM70" s="2" t="str">
        <f t="shared" si="7"/>
        <v>No</v>
      </c>
      <c r="AN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O70" s="8">
        <f>MROUND(AN70*_xlfn.XLOOKUP(_xlfn.XLOOKUP(B70,'Base stats'!B:B,'Base stats'!E:E),Groups!A:A,Groups!AI:AI),0.05)</f>
        <v>0.25</v>
      </c>
      <c r="AP70" s="8">
        <f>MAX(0.01,MROUND(IF(CA70="True",0.196*(AN70*100*1000)^0.889,IF(_xlfn.XLOOKUP(_xlfn.XLOOKUP(B70,'Base stats'!B:B,'Base stats'!E:E),Groups!A:A,Groups!AJ:AJ)="Bird",10.5*(AN70*100*1000)^0.681,4.82*(AN70*100*1000)^0.734))/(4.82*(1*100*1000)^0.734)/IF(AN70&lt;3.5,2,IF(AN70=3.5,1.5,1.25))*(1+0.132282374779864/(AN70^0.994035016789033+0.00905238001496948)),0.05))</f>
        <v>0.35000000000000003</v>
      </c>
      <c r="AQ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R70" s="35" t="str">
        <f>IFERROR(IF(_xlfn.XLOOKUP(B70,'Base stats'!B:B,'Base stats'!F:F)="Lay eggs","Lay eggs",MIN(20,MAX(5.5,ROUND(((_xlfn.XLOOKUP(B70,'Base stats'!B:B,'Base stats'!F:F)-25)*(14.5/615) + 5.5)*2,0)/2))),"Cannot breed")</f>
        <v>Lay eggs</v>
      </c>
      <c r="AS70" s="8">
        <f>IF(OR(A70="Queen",A70="Larva",A70="Megachicken"),"No",IFERROR(MAX(IF(_xlfn.XLOOKUP(B70,'Base stats'!B:B,'Base stats'!G:G)&lt;0.5,0.2,0.3),MROUND(_xlfn.XLOOKUP(B70,'Base stats'!B:B,'Base stats'!G:G)/(365/60),0.2)),"Unknown"))</f>
        <v>0.8</v>
      </c>
      <c r="AT70" s="8">
        <f t="shared" si="8"/>
        <v>0.4</v>
      </c>
      <c r="AU70" s="8" t="str">
        <f>IFERROR(IFERROR(MROUND(_xlfn.XLOOKUP(B70,'Base stats'!B:B,'Base stats'!J:J),0.1),"Lay eggs"),"Cannot breed")</f>
        <v>Lay eggs</v>
      </c>
      <c r="AV70" s="2" t="str">
        <f t="shared" si="9"/>
        <v>true</v>
      </c>
      <c r="AW70" s="2" t="str">
        <f>IF(_xlfn.XLOOKUP(_xlfn.XLOOKUP(Animals!B70,'Base stats'!B:B,'Base stats'!E:E),Groups!A:A,Groups!AK:AK)=1,"true","false")</f>
        <v>false</v>
      </c>
      <c r="AX70" s="25" t="str">
        <f>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</f>
        <v>OmnivoreAnimal, OvivoreAnimal</v>
      </c>
      <c r="AY70" s="2">
        <f>IF(_xlfn.XLOOKUP(_xlfn.XLOOKUP(B70,'Base stats'!B:B,'Base stats'!E:E),Groups!A:A,Groups!D:D)=1,MROUND((1-I70)*5+1,2)*IF(I70&lt;=0.4,2,1),"No")</f>
        <v>4</v>
      </c>
      <c r="AZ70" s="2" t="str">
        <f>_xlfn.XLOOKUP(B70,'Base stats'!B:B,'Base stats'!AE:AE)</f>
        <v>No</v>
      </c>
      <c r="BA70" s="23" t="str">
        <f>_xlfn.XLOOKUP(_xlfn.XLOOKUP(B70,'Base stats'!B:B,'Base stats'!E:E),Groups!A:A,Groups!AL:AL)</f>
        <v>Bird</v>
      </c>
      <c r="BB70" s="23">
        <f>MROUND(IF(AND(AN70&lt;0.5,_xlfn.XLOOKUP(B70,'Base stats'!B:B,'Base stats'!Z:Z)=0),0,IF(OR(_xlfn.XLOOKUP(Animals!B70,'Base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stats'!AA:AA),0.005)</f>
        <v>0</v>
      </c>
      <c r="BC70" s="23">
        <f>MROUND(IF(AND(AN70&lt;0.5,_xlfn.XLOOKUP(B70,'Base stats'!B:B,'Base stats'!Z:Z)=0),0,IF(_xlfn.XLOOKUP(_xlfn.XLOOKUP(B70,'Base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stats'!AB:AB),0.005)</f>
        <v>0</v>
      </c>
      <c r="BD70" s="2" t="str">
        <f>IF(I70&gt;0.3,"No",_xlfn.XLOOKUP(_xlfn.XLOOKUP(Animals!B70,'Base stats'!B:B,'Base stats'!E:E),Groups!A:A,Groups!AP:AP))</f>
        <v>No</v>
      </c>
      <c r="BE70" s="2" t="str">
        <f>IF(AND(I70&lt;=0.65,_xlfn.XLOOKUP(_xlfn.XLOOKUP(Animals!B70,'Base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stats'!O:O)=2,0.2,AN70) + 24*(1-IF(BD70="No",0,BD70)) + 16/3, 12),"No")</f>
        <v>No</v>
      </c>
      <c r="BF70" s="2">
        <f>IF(AND(_xlfn.XLOOKUP(_xlfn.XLOOKUP(B70,'Base stats'!B:B,'Base stats'!E:E),Groups!A:A,Groups!AQ:AQ)=1,AN70&lt;=0.35),8,12)</f>
        <v>8</v>
      </c>
      <c r="BG70" s="2" t="str">
        <f>IF(_xlfn.XLOOKUP(_xlfn.XLOOKUP(B70,'Base stats'!B:B,'Base stats'!E:E),Groups!A:A,Groups!D:D)=0,_xlfn.XLOOKUP(_xlfn.XLOOKUP(B70,'Base stats'!B:B,'Base stats'!E:E),Groups!A:A,Groups!AR:AR),"None")</f>
        <v>None</v>
      </c>
      <c r="BH70" s="2" t="str">
        <f>IF(AND(_xlfn.XLOOKUP(_xlfn.XLOOKUP(B70,'Base stats'!B:B,'Base stats'!E:E),Groups!A:A,Groups!AS:AS)=1,OR('Base stats'!Y70="Carnivore",'Base stats'!Y70="Omnivore")),"true","false")</f>
        <v>false</v>
      </c>
      <c r="BI70" s="2" t="str">
        <f>IF(BH70="true",MROUND(IF(AND(AN70&gt;0.5,_xlfn.XLOOKUP(_xlfn.XLOOKUP(B70,'Base stats'!B:B,'Base stats'!E:E),Groups!A:A,Groups!AJ:AJ)="Mammal"),Animals!AN70*1.75*IF(AV70="true",1.5,1),Animals!AN70),IF(AN70&gt;2,0.5,IF(AN70&gt;0.5,0.25,0.1))),"No")</f>
        <v>No</v>
      </c>
      <c r="BJ70" s="2">
        <f t="shared" si="10"/>
        <v>0</v>
      </c>
      <c r="BK70" s="25" t="str">
        <f>IF('Base stats'!AK70="Standard","No",MROUND((_xlfn.XLOOKUP(B70,'Base stats'!B:B,'Base stats'!AK:AK)/3.6)/H70,0.1))</f>
        <v>No</v>
      </c>
      <c r="BL70" s="25" t="str">
        <f t="shared" si="11"/>
        <v>true</v>
      </c>
      <c r="BM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N70" s="25" t="str" cm="1">
        <f t="array" ref="BN70">IF(
  _xlfn.TEXTJOIN(", ",TRUE,
    IF(AND(BH70="true",AN70&gt;0.5,BG70&lt;&gt;"None"),"AttackTarget",""),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IF(BE70&lt;=36,"Comfort",""),
    IF(_xlfn.XLOOKUP(B70,'Base stats'!B:B,'Base stats'!AC:AC)&lt;&gt;"No",_xlfn.XLOOKUP(B70,'Base stats'!B:B,'Base stats'!AC:AC),"")
  ) = "",
  "No",
  _xlfn.TEXTJOIN(", ",TRUE,
    IF(AND(BH70="true",AN70&gt;0.5,BG70&lt;&gt;"None"),"AttackTarget",""),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IF(BE70&lt;=36,"Comfort",""),
    IF(_xlfn.XLOOKUP(B70,'Base stats'!B:B,'Base stats'!AC:AC)&lt;&gt;"No",_xlfn.XLOOKUP(B70,'Base stats'!B:B,'Base stats'!AC:AC),"")
  )
)</f>
        <v>No</v>
      </c>
      <c r="BO70" s="25">
        <f>IF(
   AND(
      'Base stats'!AK70="Standard",_xlfn.XLOOKUP(_xlfn.XLOOKUP(B70,'Base stats'!B:B,'Base stats'!E:E),Groups!A:A,Groups!AU:AU)=0,
      OR(
      BM70="True"
      )
   ),
   10,
   IF(
       OR(BK70&lt;&gt;"No",_xlfn.XLOOKUP(_xlfn.XLOOKUP(B70,'Base stats'!B:B,'Base stats'!E:E),Groups!A:A,Groups!AU:AU)=1),
      1,
      "No"
   )
)</f>
        <v>1</v>
      </c>
      <c r="BP70" s="9">
        <f>MROUND((1 + ((0.2*IF(OR(P70="No",Q70="No",Q70=0),0,P70/Q70)
+IF(OR(U70="No",R70="No",S70="No"),0,R70/S70*(LEN(U70)-LEN(SUBSTITUTE(U70,",",""))+1))
+IF(OR(W70="No",X70="No"),0,W70/X70)
+IF(OR(AC70="No",AD70="No"),0,AC70/AD70)
+IF(OR(AK70="No",AH70="No",AI70="No"),0,AH70/AI70*(LEN(AK70)-LEN(SUBSTITUTE(AK70,",",""))+1))
)/(0.2*IF(OR(P70="No",Q70="No",Q70=0),0,1)
+IF(OR(U70="No",R70="No",S70="No"),0,LEN(U70)-LEN(SUBSTITUTE(U70,",",""))+1)
+IF(OR(W70="No",X70="No"),0,1)
+IF(OR(AC70="No",AD70="No"),0,1)
+IF(OR(AK70="No",AH70="No",AI70="No"),0,LEN(AK70)-LEN(SUBSTITUTE(AK70,",",""))+1))*62%)* 2)*(1 + (AO70 + _xlfn.XLOOKUP(B70,'Base stats'!B:B,'Base stats'!AS:AS) * 1.8) * 2) * 2.5 + 10 + H70 * 2,5)+IF(_xlfn.XLOOKUP(B70,'Base stats'!B:B,'Base stats'!AH:AH)=1,50,0)</f>
        <v>30</v>
      </c>
      <c r="BQ70" s="8">
        <f t="shared" si="12"/>
        <v>0.35000000000000003</v>
      </c>
      <c r="BR70" s="8" t="str">
        <f>_xlfn.XLOOKUP(B70,'Base stats'!B:B,'Base stats'!AD:AD)</f>
        <v>5~15</v>
      </c>
      <c r="BS70" s="2" t="str">
        <f>IF(AND(I70&lt;=0.95,OR(_xlfn.XLOOKUP(B70,'Base stats'!B:B,'Base stats'!AH:AH)=1,_xlfn.XLOOKUP(B70,'Base stats'!B:B,'Base stats'!Y:Y)="Carnivore",_xlfn.XLOOKUP(B70,'Base stats'!B:B,'Base stats'!Y:Y)="Omnivore",BC70&gt;0.1)),"true","false")</f>
        <v>true</v>
      </c>
      <c r="BT70" s="2" t="str">
        <f>IF(_xlfn.XLOOKUP(B70,'Base stats'!B:B,'Base stats'!AF:AF)=1,"true","false")</f>
        <v>false</v>
      </c>
      <c r="BU70" s="25" t="str">
        <f>IF(E70="BaseInsect","AnimalInsect",
IF(I70&gt;0.95,"AnimalExotic",
_xlfn.TEXTJOIN(", ",TRUE,
IF(AND(_xlfn.XLOOKUP(B70,'Base stats'!B:B,'Base stats'!O:O)=0,_xlfn.XLOOKUP(_xlfn.XLOOKUP(B70,'Base stats'!B:B,'Base stats'!E:E),Groups!A:A,Groups!B:B)&gt;0),"AnimalUncommon","AnimalCommon"),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stats'!AH:AH)=1,AND(BG70&lt;&gt;"None",BP70&gt;=60),ISNUMBER(SEARCH("Attack target",BN70))),"AnimalFighter","")
)))</f>
        <v>AnimalUncommon</v>
      </c>
      <c r="BV70" s="25" t="str">
        <f>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</f>
        <v>TropicalSwamp</v>
      </c>
      <c r="BW70" s="25" t="str">
        <f>IF(_xlfn.XLOOKUP(B70,'Base stats'!B:B,'Base stats'!AG:AG)=1,"true","false")</f>
        <v>false</v>
      </c>
      <c r="BX70" s="25">
        <f>IF(_xlfn.XLOOKUP(B70,'Base stats'!B:B,'Base stats'!N:N)=1,"No",MIN(MROUND(IF(OR(_xlfn.XLOOKUP(B70,'Base stats'!B:B,'Base stats'!AJ:AJ)=1,AND(BH70="True",CA70="False")),POWER(10,3.47*LOG10(_xlfn.XLOOKUP(B70,'Base stats'!B:B,'Base stats'!C:C)*1000)^-0.96),POWER(10,4.15*LOG10(_xlfn.XLOOKUP(B70,'Base stats'!B:B,'Base stats'!C:C)*1000)^-0.73))*IF(OR(_xlfn.XLOOKUP(B70,'Base stats'!B:B,'Base stats'!AJ:AJ)=1,_xlfn.XLOOKUP(B70,'Base stats'!B:B,'Base stats'!AH:AH)=1),0.5,1)/100,0.025),1))</f>
        <v>0.45</v>
      </c>
      <c r="BY70" s="25" t="str">
        <f>IF(O70="Standard","No",IF(_xlfn.XLOOKUP(B70,'Base stats'!B:B,'Base stats'!N:N)=0,MROUND(BX70*O70,0.05),MIN(1,MAX(0.025,MROUND(IF(OR(CA70="true",AND(BH70="false",BM70="false")),POWER(10,4.15*LOG10(_xlfn.XLOOKUP(B70,'Base stats'!B:B,'Base stats'!C:C)*1000)^-0.73),POWER(10,3.47*LOG10(_xlfn.XLOOKUP(B70,'Base stats'!B:B,'Base stats'!C:C)*1000)^-0.96))*IF(_xlfn.XLOOKUP(B70,'Base stats'!B:B,'Base stats'!AH:AH)=1,0.5,1)/100,0.025)))))</f>
        <v>No</v>
      </c>
      <c r="BZ70" s="25" t="str">
        <f>IF(_xlfn.XLOOKUP(_xlfn.XLOOKUP(B70,'Base stats'!B:B,'Base stats'!E:E),Groups!A:A,Groups!AJ:AJ)="Mammal","True","False")</f>
        <v>False</v>
      </c>
      <c r="CA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B70" s="25" t="str">
        <f t="shared" si="13"/>
        <v>False</v>
      </c>
      <c r="CC70" s="25" t="str">
        <f>IF(_xlfn.XLOOKUP(_xlfn.XLOOKUP(B70,'Base stats'!B:B,'Base stats'!E:E),Groups!A:A,Groups!AW:AW),"True","False")</f>
        <v>False</v>
      </c>
      <c r="CD70" s="25" t="str">
        <f>IF(_xlfn.XLOOKUP(_xlfn.XLOOKUP(B70,'Base stats'!B:B,'Base stats'!E:E),Groups!A:A,Groups!AX:AX),"True","False")</f>
        <v>False</v>
      </c>
      <c r="CE70" s="25" t="str">
        <f>IF(_xlfn.XLOOKUP(B70,'Base stats'!B:B,'Base stats'!E:E)=1,"True","False")</f>
        <v>False</v>
      </c>
      <c r="CF70" s="25" t="str">
        <f>IF(
OR(
_xlfn.XLOOKUP(_xlfn.XLOOKUP(B70,'Base stats'!B:B,'Base stats'!E:E),Groups!A:A,Groups!AY:AY)=0,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stats'!E:E),Groups!A:A,Groups!AY:AY)=1,
"Flesh",
IF(
_xlfn.XLOOKUP(_xlfn.XLOOKUP(B70,'Base stats'!B:B,'Base stats'!E:E),Groups!A:A,Groups!AY:AY)=2,
"Bone",
""
)
)
)</f>
        <v>No</v>
      </c>
      <c r="CG70" s="25" t="str">
        <f>IF(_xlfn.XLOOKUP(_xlfn.XLOOKUP(B70,'Base stats'!B:B,'Base stats'!E:E),Groups!A:A,Groups!BA:BA),"True","False")</f>
        <v>True</v>
      </c>
      <c r="CH70" s="25" t="str">
        <f>IF(_xlfn.XLOOKUP(_xlfn.XLOOKUP(B70,'Base stats'!B:B,'Base stats'!E:E),Groups!A:A,Groups!AZ:AZ),"True","False")</f>
        <v>False</v>
      </c>
    </row>
    <row r="71" spans="1:86" ht="16.5" thickTop="1" thickBot="1" x14ac:dyDescent="0.3">
      <c r="A71" s="26" t="str">
        <f>_xlfn.XLOOKUP(B71,'Base stats'!B:B,'Base stats'!A:A)</f>
        <v>Penguin</v>
      </c>
      <c r="B71" s="6" t="s">
        <v>188</v>
      </c>
      <c r="C71" s="28" t="s">
        <v>763</v>
      </c>
      <c r="D71" s="28" t="s">
        <v>882</v>
      </c>
      <c r="E71" s="28" t="s">
        <v>687</v>
      </c>
      <c r="F71" s="28" t="s">
        <v>688</v>
      </c>
      <c r="G71" s="2">
        <f>MROUND((
  (IF(AND(_xlfn.XLOOKUP(B71,'Base stats'!B:B,'Base stats'!AI:AI)=0,BG71="None",_xlfn.XLOOKUP('Base stats'!E71,Groups!A:A,Groups!B:B)=0), (18 + BP71 * 2.7) * 0.5,
    IF(AND(_xlfn.XLOOKUP(B71,'Base stats'!B:B,'Base stats'!AI:AI)=0,OR(AN71&lt;0.55,AND(BG71="Intermediate",_xlfn.XLOOKUP('Base stats'!E71,Groups!A:A,Groups!B:B)&lt;2))), (18 + BP71 * 2.7),
      IF(OR(BG71="Advanced",_xlfn.XLOOKUP(B71,'Base stats'!B:B,'Base stats'!AI:AI)=1,_xlfn.XLOOKUP('Base stats'!E71,Groups!A:A,Groups!B:B)=2), (18 + BP71 * 2.7) + 250, (18 + BP71 * 2.7))
    )
  ))
  + AN71 * 80
  + IF(COUNTIF(EggMilk!K$2:K$998, A71) &gt; 0, 125, 0)
  + IF(COUNTIF(EggMilk!P$2:P$998, A71) &gt; 0, 90, 0)
  + IF(COUNTIF(EggMilk!A$2:A$998, A71) &gt; 0, 90, 0)
)
* (0.8 + 0.4 * I71)
* 0.75,25)</f>
        <v>225</v>
      </c>
      <c r="H71" s="2">
        <f>MROUND(ROUNDDOWN(_xlfn.XLOOKUP(B71,'Base stats'!B:B,'Base stats'!L:L)/3.6/(23.3/11),1),0.5)</f>
        <v>1.5</v>
      </c>
      <c r="I71" s="2">
        <f>IF(_xlfn.XLOOKUP(B71,'Base stats'!B:B,'Base stats'!AI:AI)=1,0.99,MIN(MROUND((1-0.6282*EXP(-0.459*AN71))*_xlfn.XLOOKUP(_xlfn.XLOOKUP(B71,'Base stats'!B:B,'Base stats'!E:E),Groups!A:A,Groups!C:C)*IF(_xlfn.XLOOKUP(B71,'Base stats'!B:B,'Base stats'!O:O)=1,0.5,IF(_xlfn.XLOOKUP(B71,'Base stats'!B:B,'Base stats'!O:O)=2,0,1)),0.05),0.985))</f>
        <v>0.70000000000000007</v>
      </c>
      <c r="J71" s="2">
        <f>ROUNDUP(AN71*_xlfn.XLOOKUP(_xlfn.XLOOKUP(B71,'Base stats'!B:B,'Base stats'!E:E),Groups!A:A,Groups!E:E),0)</f>
        <v>8</v>
      </c>
      <c r="K71" s="2">
        <f>IF(OR(_xlfn.XLOOKUP(_xlfn.XLOOKUP(B71,'Base stats'!B:B,'Base stats'!E:E),Groups!A:A,Groups!F:F)=2,ISNUMBER(SEARCH("SeaIce",BV71)),ISNUMBER(SEARCH("IceSheet",BV71))),-50,IF(OR(ISNUMBER(SEARCH("GlacialPlain",BV71)),ISNUMBER(SEARCH("Tundra",BV71))),-40,IF(OR(ISNUMBER(SEARCH("Alpine",BV71)),ISNUMBER(SEARCH("BorealForest",BV71)),ISNUMBER(SEARCH("ColdBog",BV71))),-30,IF(OR(ISNUMBER(SEARCH("TemperateForest",BV71)),ISNUMBER(SEARCH("TemperateSwamp",BV71))),-20,IF(_xlfn.XLOOKUP(_xlfn.XLOOKUP(B71,'Base stats'!B:B,'Base stats'!E:E),Groups!A:A,Groups!F:F)=1,-15,IF(OR(ISNUMBER(SEARCH("Desert",BV71)),ISNUMBER(SEARCH("ExtremeDesert",BV71))),-10,IF(OR(ISNUMBER(SEARCH("Grasslands",BV71)),ISNUMBER(SEARCH("TropicalRainforest",BV71)),ISNUMBER(SEARCH("TropicalSwamp",BV71))),10,0)))))))-IF(CA71="False",MIN(IFERROR(MAX(MROUND(LOG10(_xlfn.XLOOKUP(B71,'Base stats'!B:B,'Base stats'!C:C)^(2/3))*10,5),5),5),30))-_xlfn.XLOOKUP(B71,'Base stats'!B:B,'Base stats'!P:P)+IF(CA71="True",5,0)</f>
        <v>-60</v>
      </c>
      <c r="L71" s="2">
        <f>IF(OR(_xlfn.XLOOKUP(_xlfn.XLOOKUP(B71,'Base stats'!B:B,'Base stats'!E:E),Groups!A:A,Groups!G:G)=2,ISNUMBER(SEARCH("Desert",BV71)),ISNUMBER(SEARCH("ExtremeDesert",BV71)),ISNUMBER(SEARCH("LavaField",BV71))),50,IF(ISNUMBER(SEARCH("Grasslands",BV71)),45,IF(OR(_xlfn.XLOOKUP(_xlfn.XLOOKUP(B71,'Base stats'!B:B,'Base stats'!E:E),Groups!A:A,Groups!G:G)=1,ISNUMBER(SEARCH("TropicalRainforest",BV71)),ISNUMBER(SEARCH("TropicalSwamp",BV71))),40,IF(OR(ISNUMBER(SEARCH("TemperateForest",BV71)),ISNUMBER(SEARCH("TemperateSwamp",BV71))),35,IF(OR(ISNUMBER(SEARCH("Alpine",BV71)),ISNUMBER(SEARCH("BorealForest",BV71)),ISNUMBER(SEARCH("ColdBog",BV71))),30,IF(ISNUMBER(OR(ISNUMBER(SEARCH("GlacialPlain",BV71)),SEARCH("Tundra",BV71))),25,IF(OR(ISNUMBER(SEARCH("SeaIce",BV71)),ISNUMBER(SEARCH("IceSheet",BV71)),ISNUMBER(SEARCH("TropicalSwamp",BV71))),10,35)))))))+_xlfn.XLOOKUP(B71,'Base stats'!B:B,'Base stats'!Q:Q)</f>
        <v>10</v>
      </c>
      <c r="M71" s="8" t="str">
        <f>IF(_xlfn.XLOOKUP(_xlfn.XLOOKUP(B71,'Base stats'!B:B,'Base stats'!E:E),Groups!A:A,Groups!L:L)=1,MIN(MROUND(_xlfn.XLOOKUP(B71,'Animals CE'!B:B,'Animals CE'!Z:Z)/2+0.05,0.05),200%),"No")</f>
        <v>No</v>
      </c>
      <c r="N71" s="8" t="str">
        <f>IF(_xlfn.XLOOKUP(_xlfn.XLOOKUP(B71,'Base stats'!B:B,'Base stats'!E:E),Groups!A:A,Groups!L:L)=1,MIN(MROUND(_xlfn.XLOOKUP(B71,'Animals CE'!B:B,'Animals CE'!AA:AA)/2+0.05,0.05),200%),"No")</f>
        <v>No</v>
      </c>
      <c r="O71" s="2" t="str">
        <f>_xlfn.XLOOKUP(B71,'Base stats'!B:B,'Base stats'!R:R)</f>
        <v>Standard</v>
      </c>
      <c r="P71" s="13">
        <f>MROUND((LOG10(_xlfn.XLOOKUP(B71,'Base stats'!B:B,'Base stats'!AO:AO))*(AN71^0.5)+(_xlfn.XLOOKUP(B71,'Base stats'!B:B,'Base stats'!AO:AO)/1000)^(2/3)+_xlfn.XLOOKUP(B71,'Base stats'!B:B,'Base stats'!AX:AX)/2)+0.5,0.5)</f>
        <v>5.5</v>
      </c>
      <c r="Q71" s="7">
        <f>IF(P71="No","No",MAX(1,MROUND(_xlfn.XLOOKUP(B71,'Base stats'!B:B,'Base stats'!C:C)^0.165,0.05)))</f>
        <v>1.8</v>
      </c>
      <c r="R71" s="13" t="str">
        <f>IF(_xlfn.XLOOKUP(_xlfn.XLOOKUP(B71,'Base stats'!B:B,'Base stats'!E:E),Groups!A:A,Groups!P:P)=0,"No",MROUND((LOG10(_xlfn.XLOOKUP(B71,'Base stats'!B:B,'Base stats'!AP:AP))*(AN71^0.5)+(_xlfn.XLOOKUP(B71,'Base stats'!B:B,'Base stats'!AP:AP)/1000)^(2/3)+_xlfn.XLOOKUP(B71,'Base stats'!B:B,'Base stats'!AX:AX))+_xlfn.XLOOKUP(B71,'Base stats'!B:B,'Base stats'!AV:AV)+0.5,0.5))</f>
        <v>No</v>
      </c>
      <c r="S71" s="7" t="str">
        <f>IF(R71="No","No",MAX(_xlfn.XLOOKUP(_xlfn.XLOOKUP(B71,'Base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T71" s="7" t="str">
        <f>IF(R71="No","No",_xlfn.XLOOKUP(_xlfn.XLOOKUP(B71,'Base stats'!B:B,'Base stats'!E:E),Groups!A:A,Groups!R:R))</f>
        <v>No</v>
      </c>
      <c r="U71" s="7" t="str">
        <f>IF(R71="No","No",_xlfn.XLOOKUP(_xlfn.XLOOKUP(B71,'Base stats'!B:B,'Base stats'!E:E),Groups!A:A,Groups!S:S))</f>
        <v>No</v>
      </c>
      <c r="V71" s="7" t="str">
        <f>IF(R71="No","No",_xlfn.XLOOKUP(_xlfn.XLOOKUP(B71,'Base stats'!B:B,'Base stats'!E:E),Groups!A:A,Groups!T:T))</f>
        <v>No</v>
      </c>
      <c r="W71" s="13" t="str">
        <f>IF(_xlfn.XLOOKUP(B71,'Base stats'!B:B,'Base stats'!W:W)="No","No",MROUND((LOG10(_xlfn.XLOOKUP(B71,'Base stats'!B:B,'Base stats'!AR:AR))*(AN71^0.5)+(_xlfn.XLOOKUP(B71,'Base stats'!B:B,'Base stats'!AR:AR)/1000)^(2/3)+_xlfn.XLOOKUP(B71,'Base stats'!B:B,'Base stats'!AW:AW))+0.5+IF(_xlfn.XLOOKUP(_xlfn.XLOOKUP(B71,'Base stats'!B:B,'Base stats'!E:E),Groups!A:A,Groups!U:U)&lt;&gt;3,_xlfn.XLOOKUP(B71,'Base stats'!B:B,'Base stats'!AX:AX),0),0.5))</f>
        <v>No</v>
      </c>
      <c r="X71" s="7" t="str">
        <f>IF(W71="No","No",MAX(_xlfn.XLOOKUP(_xlfn.XLOOKUP(B71,'Base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Y71" s="7" t="str">
        <f>IF(W71="No","No",_xlfn.XLOOKUP(_xlfn.XLOOKUP(B71,'Base stats'!B:B,'Base stats'!E:E),Groups!A:A,Groups!W:W))</f>
        <v>No</v>
      </c>
      <c r="Z71" s="7" t="str">
        <f>IF(W71="No","No",_xlfn.XLOOKUP(_xlfn.XLOOKUP(B71,'Base stats'!B:B,'Base stats'!E:E),Groups!A:A,Groups!X:X))</f>
        <v>No</v>
      </c>
      <c r="AA71" s="7" t="str">
        <f>IF(W71="No","No",_xlfn.XLOOKUP(_xlfn.XLOOKUP(B71,'Base stats'!B:B,'Base stats'!E:E),Groups!A:A,Groups!Y:Y))</f>
        <v>No</v>
      </c>
      <c r="AB71" s="7" t="str">
        <f>_xlfn.XLOOKUP(Animals!B71,'Base stats'!B:B,'Base stats'!X:X)</f>
        <v>False</v>
      </c>
      <c r="AC71" s="13">
        <f>IF(_xlfn.XLOOKUP(B71,'Base stats'!B:B,'Base stats'!AQ:AQ)="No","No",MROUND((LOG10(_xlfn.XLOOKUP(B71,'Base stats'!B:B,'Base stats'!AQ:AQ))*(AN71^0.75)+(_xlfn.XLOOKUP(B71,'Base stats'!B:B,'Base stats'!AQ:AQ)/1000)^(2/3)+_xlfn.XLOOKUP(B71,'Base stats'!B:B,'Base stats'!AU:AU)+_xlfn.XLOOKUP(B71,'Base stats'!B:B,'Base stats'!AX:AX))+0.5,0.5))</f>
        <v>5.5</v>
      </c>
      <c r="AD71" s="7">
        <f>IF(AC71="No","No",MAX(_xlfn.XLOOKUP(_xlfn.XLOOKUP(B71,'Base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1.4500000000000002</v>
      </c>
      <c r="AE71" s="7" t="str">
        <f>IF(AC71="No","No",_xlfn.XLOOKUP(_xlfn.XLOOKUP(B71,'Base stats'!B:B,'Base stats'!E:E),Groups!A:A,Groups!AA:AA))</f>
        <v>Beak</v>
      </c>
      <c r="AF71" s="7" t="str">
        <f>IF(AC71="No","No",_xlfn.XLOOKUP(_xlfn.XLOOKUP(B71,'Base stats'!B:B,'Base stats'!E:E),Groups!A:A,Groups!AB:AB))</f>
        <v>beak</v>
      </c>
      <c r="AG71" s="7" t="str">
        <f>IF(AC71="No","No",_xlfn.XLOOKUP(_xlfn.XLOOKUP(B71,'Base stats'!B:B,'Base stats'!E:E),Groups!A:A,Groups!AC:AC))</f>
        <v>Blunt</v>
      </c>
      <c r="AH71" s="13" t="str">
        <f>IF(_xlfn.XLOOKUP(_xlfn.XLOOKUP(B71,'Base stats'!B:B,'Base stats'!E:E),Groups!A:A,Groups!AD:AD)=0,"No",MROUND((LOG10(_xlfn.XLOOKUP(B71,'Base stats'!B:B,'Base stats'!AP:AP))*(AN71^0.75)+(_xlfn.XLOOKUP(B71,'Base stats'!B:B,'Base stats'!AP:AP)/1000)^(2/3)+_xlfn.XLOOKUP(B71,'Base stats'!B:B,'Base stats'!AV:AV)+_xlfn.XLOOKUP(B71,'Base stats'!B:B,'Base stats'!AX:AX))+0.5,0.5))</f>
        <v>No</v>
      </c>
      <c r="AI71" s="7" t="str">
        <f>IF(AH71="No","No",MAX(_xlfn.XLOOKUP(_xlfn.XLOOKUP(B71,'Base stats'!B:B,'Base stats'!E:E),Groups!A:A,Groups!AE:AE),MROUND(_xlfn.XLOOKUP(_xlfn.XLOOKUP(B71,'Base stats'!B:B,'Base stats'!E:E),Groups!A:A,Groups!AE:AE)*_xlfn.XLOOKUP(B71,'Base stats'!B:B,'Base stats'!C:C)^0.165,0.05)))</f>
        <v>No</v>
      </c>
      <c r="AJ71" s="7" t="str">
        <f>IF(AH71="No","No",_xlfn.XLOOKUP(_xlfn.XLOOKUP(B71,'Base stats'!B:B,'Base stats'!E:E),Groups!A:A,Groups!AF:AF))</f>
        <v>No</v>
      </c>
      <c r="AK71" s="7" t="str">
        <f>IF(AH71="No","No",_xlfn.XLOOKUP(_xlfn.XLOOKUP(B71,'Base stats'!B:B,'Base stats'!E:E),Groups!A:A,Groups!AG:AG))</f>
        <v>No</v>
      </c>
      <c r="AL71" s="7" t="str">
        <f>IF(AH71="No","No",_xlfn.XLOOKUP(_xlfn.XLOOKUP(B71,'Base stats'!B:B,'Base stats'!E:E),Groups!A:A,Groups!AH:AH))</f>
        <v>No</v>
      </c>
      <c r="AM71" s="2" t="str">
        <f t="shared" si="7"/>
        <v>No</v>
      </c>
      <c r="AN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O71" s="8">
        <f>MROUND(AN71*_xlfn.XLOOKUP(_xlfn.XLOOKUP(B71,'Base stats'!B:B,'Base stats'!E:E),Groups!A:A,Groups!AI:AI),0.05)</f>
        <v>0.70000000000000007</v>
      </c>
      <c r="AP71" s="8">
        <f>MAX(0.01,MROUND(IF(CA71="True",0.196*(AN71*100*1000)^0.889,IF(_xlfn.XLOOKUP(_xlfn.XLOOKUP(B71,'Base stats'!B:B,'Base stats'!E:E),Groups!A:A,Groups!AJ:AJ)="Bird",10.5*(AN71*100*1000)^0.681,4.82*(AN71*100*1000)^0.734))/(4.82*(1*100*1000)^0.734)/IF(AN71&lt;3.5,2,IF(AN71=3.5,1.5,1.25))*(1+0.132282374779864/(AN71^0.994035016789033+0.00905238001496948)),0.05))</f>
        <v>0.55000000000000004</v>
      </c>
      <c r="AQ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R71" s="35" t="str">
        <f>IFERROR(IF(_xlfn.XLOOKUP(B71,'Base stats'!B:B,'Base stats'!F:F)="Lay eggs","Lay eggs",MIN(20,MAX(5.5,ROUND(((_xlfn.XLOOKUP(B71,'Base stats'!B:B,'Base stats'!F:F)-25)*(14.5/615) + 5.5)*2,0)/2))),"Cannot breed")</f>
        <v>Lay eggs</v>
      </c>
      <c r="AS71" s="8">
        <f>IF(OR(A71="Queen",A71="Larva",A71="Megachicken"),"No",IFERROR(MAX(IF(_xlfn.XLOOKUP(B71,'Base stats'!B:B,'Base stats'!G:G)&lt;0.5,0.2,0.3),MROUND(_xlfn.XLOOKUP(B71,'Base stats'!B:B,'Base stats'!G:G)/(365/60),0.2)),"Unknown"))</f>
        <v>0.8</v>
      </c>
      <c r="AT71" s="8">
        <f t="shared" si="8"/>
        <v>0.4</v>
      </c>
      <c r="AU71" s="8" t="str">
        <f>IFERROR(IFERROR(MROUND(_xlfn.XLOOKUP(B71,'Base stats'!B:B,'Base stats'!J:J),0.1),"Lay eggs"),"Cannot breed")</f>
        <v>Lay eggs</v>
      </c>
      <c r="AV71" s="2" t="str">
        <f t="shared" si="9"/>
        <v>true</v>
      </c>
      <c r="AW71" s="2" t="str">
        <f>IF(_xlfn.XLOOKUP(_xlfn.XLOOKUP(Animals!B71,'Base stats'!B:B,'Base stats'!E:E),Groups!A:A,Groups!AK:AK)=1,"true","false")</f>
        <v>false</v>
      </c>
      <c r="AX71" s="25" t="str">
        <f>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</f>
        <v>CarnivoreAnimal, OvivoreAnimal</v>
      </c>
      <c r="AY71" s="2">
        <f>IF(_xlfn.XLOOKUP(_xlfn.XLOOKUP(B71,'Base stats'!B:B,'Base stats'!E:E),Groups!A:A,Groups!D:D)=1,MROUND((1-I71)*5+1,2)*IF(I71&lt;=0.4,2,1),"No")</f>
        <v>2</v>
      </c>
      <c r="AZ71" s="2" t="str">
        <f>_xlfn.XLOOKUP(B71,'Base stats'!B:B,'Base stats'!AE:AE)</f>
        <v>No</v>
      </c>
      <c r="BA71" s="23" t="str">
        <f>_xlfn.XLOOKUP(_xlfn.XLOOKUP(B71,'Base stats'!B:B,'Base stats'!E:E),Groups!A:A,Groups!AL:AL)</f>
        <v>Bird</v>
      </c>
      <c r="BB71" s="23">
        <f>MROUND(IF(AND(AN71&lt;0.5,_xlfn.XLOOKUP(B71,'Base stats'!B:B,'Base stats'!Z:Z)=0),0,IF(OR(_xlfn.XLOOKUP(Animals!B71,'Base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stats'!AA:AA),0.005)</f>
        <v>0</v>
      </c>
      <c r="BC71" s="23">
        <f>MROUND(IF(AND(AN71&lt;0.5,_xlfn.XLOOKUP(B71,'Base stats'!B:B,'Base stats'!Z:Z)=0),0,IF(_xlfn.XLOOKUP(_xlfn.XLOOKUP(B71,'Base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stats'!AB:AB),0.005)</f>
        <v>0</v>
      </c>
      <c r="BD71" s="2" t="str">
        <f>IF(I71&gt;0.3,"No",_xlfn.XLOOKUP(_xlfn.XLOOKUP(Animals!B71,'Base stats'!B:B,'Base stats'!E:E),Groups!A:A,Groups!AP:AP))</f>
        <v>No</v>
      </c>
      <c r="BE71" s="2" t="str">
        <f>IF(AND(I71&lt;=0.65,_xlfn.XLOOKUP(_xlfn.XLOOKUP(Animals!B71,'Base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stats'!O:O)=2,0.2,AN71) + 24*(1-IF(BD71="No",0,BD71)) + 16/3, 12),"No")</f>
        <v>No</v>
      </c>
      <c r="BF71" s="2">
        <f>IF(AND(_xlfn.XLOOKUP(_xlfn.XLOOKUP(B71,'Base stats'!B:B,'Base stats'!E:E),Groups!A:A,Groups!AQ:AQ)=1,AN71&lt;=0.35),8,12)</f>
        <v>12</v>
      </c>
      <c r="BG71" s="2" t="str">
        <f>IF(_xlfn.XLOOKUP(_xlfn.XLOOKUP(B71,'Base stats'!B:B,'Base stats'!E:E),Groups!A:A,Groups!D:D)=0,_xlfn.XLOOKUP(_xlfn.XLOOKUP(B71,'Base stats'!B:B,'Base stats'!E:E),Groups!A:A,Groups!AR:AR),"None")</f>
        <v>None</v>
      </c>
      <c r="BH71" s="2" t="str">
        <f>IF(AND(_xlfn.XLOOKUP(_xlfn.XLOOKUP(B71,'Base stats'!B:B,'Base stats'!E:E),Groups!A:A,Groups!AS:AS)=1,OR('Base stats'!Y71="Carnivore",'Base stats'!Y71="Omnivore")),"true","false")</f>
        <v>false</v>
      </c>
      <c r="BI71" s="2" t="str">
        <f>IF(BH71="true",MROUND(IF(AND(AN71&gt;0.5,_xlfn.XLOOKUP(_xlfn.XLOOKUP(B71,'Base stats'!B:B,'Base stats'!E:E),Groups!A:A,Groups!AJ:AJ)="Mammal"),Animals!AN71*1.75*IF(AV71="true",1.5,1),Animals!AN71),IF(AN71&gt;2,0.5,IF(AN71&gt;0.5,0.25,0.1))),"No")</f>
        <v>No</v>
      </c>
      <c r="BJ71" s="2">
        <f t="shared" si="10"/>
        <v>0</v>
      </c>
      <c r="BK71" s="25">
        <f>IF('Base stats'!AK71="Standard","No",MROUND((_xlfn.XLOOKUP(B71,'Base stats'!B:B,'Base stats'!AK:AK)/3.6)/H71,0.1))</f>
        <v>2</v>
      </c>
      <c r="BL71" s="25" t="str">
        <f t="shared" si="11"/>
        <v>true</v>
      </c>
      <c r="BM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N71" s="25" t="str" cm="1">
        <f t="array" ref="BN71">IF(
  _xlfn.TEXTJOIN(", ",TRUE,
    IF(AND(BH71="true",AN71&gt;0.5,BG71&lt;&gt;"None"),"AttackTarget",""),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IF(BE71&lt;=36,"Comfort",""),
    IF(_xlfn.XLOOKUP(B71,'Base stats'!B:B,'Base stats'!AC:AC)&lt;&gt;"No",_xlfn.XLOOKUP(B71,'Base stats'!B:B,'Base stats'!AC:AC),"")
  ) = "",
  "No",
  _xlfn.TEXTJOIN(", ",TRUE,
    IF(AND(BH71="true",AN71&gt;0.5,BG71&lt;&gt;"None"),"AttackTarget",""),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IF(BE71&lt;=36,"Comfort",""),
    IF(_xlfn.XLOOKUP(B71,'Base stats'!B:B,'Base stats'!AC:AC)&lt;&gt;"No",_xlfn.XLOOKUP(B71,'Base stats'!B:B,'Base stats'!AC:AC),"")
  )
)</f>
        <v>No</v>
      </c>
      <c r="BO71" s="25">
        <f>IF(
   AND(
      'Base stats'!AK71="Standard",_xlfn.XLOOKUP(_xlfn.XLOOKUP(B71,'Base stats'!B:B,'Base stats'!E:E),Groups!A:A,Groups!AU:AU)=0,
      OR(
      BM71="True"
      )
   ),
   10,
   IF(
       OR(BK71&lt;&gt;"No",_xlfn.XLOOKUP(_xlfn.XLOOKUP(B71,'Base stats'!B:B,'Base stats'!E:E),Groups!A:A,Groups!AU:AU)=1),
      1,
      "No"
   )
)</f>
        <v>1</v>
      </c>
      <c r="BP71" s="9">
        <f>MROUND((1 + ((0.2*IF(OR(P71="No",Q71="No",Q71=0),0,P71/Q71)
+IF(OR(U71="No",R71="No",S71="No"),0,R71/S71*(LEN(U71)-LEN(SUBSTITUTE(U71,",",""))+1))
+IF(OR(W71="No",X71="No"),0,W71/X71)
+IF(OR(AC71="No",AD71="No"),0,AC71/AD71)
+IF(OR(AK71="No",AH71="No",AI71="No"),0,AH71/AI71*(LEN(AK71)-LEN(SUBSTITUTE(AK71,",",""))+1))
)/(0.2*IF(OR(P71="No",Q71="No",Q71=0),0,1)
+IF(OR(U71="No",R71="No",S71="No"),0,LEN(U71)-LEN(SUBSTITUTE(U71,",",""))+1)
+IF(OR(W71="No",X71="No"),0,1)
+IF(OR(AC71="No",AD71="No"),0,1)
+IF(OR(AK71="No",AH71="No",AI71="No"),0,LEN(AK71)-LEN(SUBSTITUTE(AK71,",",""))+1))*62%)* 2)*(1 + (AO71 + _xlfn.XLOOKUP(B71,'Base stats'!B:B,'Base stats'!AS:AS) * 1.8) * 2) * 2.5 + 10 + H71 * 2,5)+IF(_xlfn.XLOOKUP(B71,'Base stats'!B:B,'Base stats'!AH:AH)=1,50,0)</f>
        <v>45</v>
      </c>
      <c r="BQ71" s="8">
        <f t="shared" si="12"/>
        <v>0.60000000000000009</v>
      </c>
      <c r="BR71" s="8" t="str">
        <f>_xlfn.XLOOKUP(B71,'Base stats'!B:B,'Base stats'!AD:AD)</f>
        <v>5~15</v>
      </c>
      <c r="BS71" s="2" t="str">
        <f>IF(AND(I71&lt;=0.95,OR(_xlfn.XLOOKUP(B71,'Base stats'!B:B,'Base stats'!AH:AH)=1,_xlfn.XLOOKUP(B71,'Base stats'!B:B,'Base stats'!Y:Y)="Carnivore",_xlfn.XLOOKUP(B71,'Base stats'!B:B,'Base stats'!Y:Y)="Omnivore",BC71&gt;0.1)),"true","false")</f>
        <v>true</v>
      </c>
      <c r="BT71" s="2" t="str">
        <f>IF(_xlfn.XLOOKUP(B71,'Base stats'!B:B,'Base stats'!AF:AF)=1,"true","false")</f>
        <v>false</v>
      </c>
      <c r="BU71" s="25" t="str">
        <f>IF(E71="BaseInsect","AnimalInsect",
IF(I71&gt;0.95,"AnimalExotic",
_xlfn.TEXTJOIN(", ",TRUE,
IF(AND(_xlfn.XLOOKUP(B71,'Base stats'!B:B,'Base stats'!O:O)=0,_xlfn.XLOOKUP(_xlfn.XLOOKUP(B71,'Base stats'!B:B,'Base stats'!E:E),Groups!A:A,Groups!B:B)&gt;0),"AnimalUncommon","AnimalCommon"),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stats'!AH:AH)=1,AND(BG71&lt;&gt;"None",BP71&gt;=60),ISNUMBER(SEARCH("Attack target",BN71))),"AnimalFighter","")
)))</f>
        <v>AnimalUncommon</v>
      </c>
      <c r="BV71" s="25" t="str">
        <f>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</f>
        <v>SeaIce IceSheet Tundra</v>
      </c>
      <c r="BW71" s="25" t="str">
        <f>IF(_xlfn.XLOOKUP(B71,'Base stats'!B:B,'Base stats'!AG:AG)=1,"true","false")</f>
        <v>true</v>
      </c>
      <c r="BX71" s="25">
        <f>IF(_xlfn.XLOOKUP(B71,'Base stats'!B:B,'Base stats'!N:N)=1,"No",MIN(MROUND(IF(OR(_xlfn.XLOOKUP(B71,'Base stats'!B:B,'Base stats'!AJ:AJ)=1,AND(BH71="True",CA71="False")),POWER(10,3.47*LOG10(_xlfn.XLOOKUP(B71,'Base stats'!B:B,'Base stats'!C:C)*1000)^-0.96),POWER(10,4.15*LOG10(_xlfn.XLOOKUP(B71,'Base stats'!B:B,'Base stats'!C:C)*1000)^-0.73))*IF(OR(_xlfn.XLOOKUP(B71,'Base stats'!B:B,'Base stats'!AJ:AJ)=1,_xlfn.XLOOKUP(B71,'Base stats'!B:B,'Base stats'!AH:AH)=1),0.5,1)/100,0.025),1))</f>
        <v>0.25</v>
      </c>
      <c r="BY71" s="25" t="str">
        <f>IF(O71="Standard","No",IF(_xlfn.XLOOKUP(B71,'Base stats'!B:B,'Base stats'!N:N)=0,MROUND(BX71*O71,0.05),MIN(1,MAX(0.025,MROUND(IF(OR(CA71="true",AND(BH71="false",BM71="false")),POWER(10,4.15*LOG10(_xlfn.XLOOKUP(B71,'Base stats'!B:B,'Base stats'!C:C)*1000)^-0.73),POWER(10,3.47*LOG10(_xlfn.XLOOKUP(B71,'Base stats'!B:B,'Base stats'!C:C)*1000)^-0.96))*IF(_xlfn.XLOOKUP(B71,'Base stats'!B:B,'Base stats'!AH:AH)=1,0.5,1)/100,0.025)))))</f>
        <v>No</v>
      </c>
      <c r="BZ71" s="25" t="str">
        <f>IF(_xlfn.XLOOKUP(_xlfn.XLOOKUP(B71,'Base stats'!B:B,'Base stats'!E:E),Groups!A:A,Groups!AJ:AJ)="Mammal","True","False")</f>
        <v>False</v>
      </c>
      <c r="CA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B71" s="25" t="str">
        <f t="shared" si="13"/>
        <v>False</v>
      </c>
      <c r="CC71" s="25" t="str">
        <f>IF(_xlfn.XLOOKUP(_xlfn.XLOOKUP(B71,'Base stats'!B:B,'Base stats'!E:E),Groups!A:A,Groups!AW:AW),"True","False")</f>
        <v>False</v>
      </c>
      <c r="CD71" s="25" t="str">
        <f>IF(_xlfn.XLOOKUP(_xlfn.XLOOKUP(B71,'Base stats'!B:B,'Base stats'!E:E),Groups!A:A,Groups!AX:AX),"True","False")</f>
        <v>False</v>
      </c>
      <c r="CE71" s="25" t="str">
        <f>IF(_xlfn.XLOOKUP(B71,'Base stats'!B:B,'Base stats'!E:E)=1,"True","False")</f>
        <v>False</v>
      </c>
      <c r="CF71" s="25" t="str">
        <f>IF(
OR(
_xlfn.XLOOKUP(_xlfn.XLOOKUP(B71,'Base stats'!B:B,'Base stats'!E:E),Groups!A:A,Groups!AY:AY)=0,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stats'!E:E),Groups!A:A,Groups!AY:AY)=1,
"Flesh",
IF(
_xlfn.XLOOKUP(_xlfn.XLOOKUP(B71,'Base stats'!B:B,'Base stats'!E:E),Groups!A:A,Groups!AY:AY)=2,
"Bone",
""
)
)
)</f>
        <v>No</v>
      </c>
      <c r="CG71" s="25" t="str">
        <f>IF(_xlfn.XLOOKUP(_xlfn.XLOOKUP(B71,'Base stats'!B:B,'Base stats'!E:E),Groups!A:A,Groups!BA:BA),"True","False")</f>
        <v>True</v>
      </c>
      <c r="CH71" s="25" t="str">
        <f>IF(_xlfn.XLOOKUP(_xlfn.XLOOKUP(B71,'Base stats'!B:B,'Base stats'!E:E),Groups!A:A,Groups!AZ:AZ),"True","False")</f>
        <v>False</v>
      </c>
    </row>
    <row r="72" spans="1:86" ht="16.5" thickTop="1" thickBot="1" x14ac:dyDescent="0.3">
      <c r="A72" s="26" t="str">
        <f>_xlfn.XLOOKUP(B72,'Base stats'!B:B,'Base stats'!A:A)</f>
        <v>Peacock</v>
      </c>
      <c r="B72" s="6" t="s">
        <v>232</v>
      </c>
      <c r="C72" s="28" t="s">
        <v>764</v>
      </c>
      <c r="D72" s="28" t="s">
        <v>882</v>
      </c>
      <c r="E72" s="28" t="s">
        <v>687</v>
      </c>
      <c r="F72" s="28" t="s">
        <v>688</v>
      </c>
      <c r="G72" s="2">
        <f>MROUND((
  (IF(AND(_xlfn.XLOOKUP(B72,'Base stats'!B:B,'Base stats'!AI:AI)=0,BG72="None",_xlfn.XLOOKUP('Base stats'!E72,Groups!A:A,Groups!B:B)=0), (18 + BP72 * 2.7) * 0.5,
    IF(AND(_xlfn.XLOOKUP(B72,'Base stats'!B:B,'Base stats'!AI:AI)=0,OR(AN72&lt;0.55,AND(BG72="Intermediate",_xlfn.XLOOKUP('Base stats'!E72,Groups!A:A,Groups!B:B)&lt;2))), (18 + BP72 * 2.7),
      IF(OR(BG72="Advanced",_xlfn.XLOOKUP(B72,'Base stats'!B:B,'Base stats'!AI:AI)=1,_xlfn.XLOOKUP('Base stats'!E72,Groups!A:A,Groups!B:B)=2), (18 + BP72 * 2.7) + 250, (18 + BP72 * 2.7))
    )
  ))
  + AN72 * 80
  + IF(COUNTIF(EggMilk!K$2:K$998, A72) &gt; 0, 125, 0)
  + IF(COUNTIF(EggMilk!P$2:P$998, A72) &gt; 0, 90, 0)
  + IF(COUNTIF(EggMilk!A$2:A$998, A72) &gt; 0, 90, 0)
)
* (0.8 + 0.4 * I72)
* 0.75,25)</f>
        <v>125</v>
      </c>
      <c r="H72" s="2">
        <f>MROUND(ROUNDDOWN(_xlfn.XLOOKUP(B72,'Base stats'!B:B,'Base stats'!L:L)/3.6/(23.3/11),1),0.5)</f>
        <v>2</v>
      </c>
      <c r="I72" s="2">
        <f>IF(_xlfn.XLOOKUP(B72,'Base stats'!B:B,'Base stats'!AI:AI)=1,0.99,MIN(MROUND((1-0.6282*EXP(-0.459*AN72))*_xlfn.XLOOKUP(_xlfn.XLOOKUP(B72,'Base stats'!B:B,'Base stats'!E:E),Groups!A:A,Groups!C:C)*IF(_xlfn.XLOOKUP(B72,'Base stats'!B:B,'Base stats'!O:O)=1,0.5,IF(_xlfn.XLOOKUP(B72,'Base stats'!B:B,'Base stats'!O:O)=2,0,1)),0.05),0.985))</f>
        <v>0.55000000000000004</v>
      </c>
      <c r="J72" s="2">
        <f>ROUNDUP(AN72*_xlfn.XLOOKUP(_xlfn.XLOOKUP(B72,'Base stats'!B:B,'Base stats'!E:E),Groups!A:A,Groups!E:E),0)</f>
        <v>4</v>
      </c>
      <c r="K72" s="2">
        <f>IF(OR(_xlfn.XLOOKUP(_xlfn.XLOOKUP(B72,'Base stats'!B:B,'Base stats'!E:E),Groups!A:A,Groups!F:F)=2,ISNUMBER(SEARCH("SeaIce",BV72)),ISNUMBER(SEARCH("IceSheet",BV72))),-50,IF(OR(ISNUMBER(SEARCH("GlacialPlain",BV72)),ISNUMBER(SEARCH("Tundra",BV72))),-40,IF(OR(ISNUMBER(SEARCH("Alpine",BV72)),ISNUMBER(SEARCH("BorealForest",BV72)),ISNUMBER(SEARCH("ColdBog",BV72))),-30,IF(OR(ISNUMBER(SEARCH("TemperateForest",BV72)),ISNUMBER(SEARCH("TemperateSwamp",BV72))),-20,IF(_xlfn.XLOOKUP(_xlfn.XLOOKUP(B72,'Base stats'!B:B,'Base stats'!E:E),Groups!A:A,Groups!F:F)=1,-15,IF(OR(ISNUMBER(SEARCH("Desert",BV72)),ISNUMBER(SEARCH("ExtremeDesert",BV72))),-10,IF(OR(ISNUMBER(SEARCH("Grasslands",BV72)),ISNUMBER(SEARCH("TropicalRainforest",BV72)),ISNUMBER(SEARCH("TropicalSwamp",BV72))),10,0)))))))-IF(CA72="False",MIN(IFERROR(MAX(MROUND(LOG10(_xlfn.XLOOKUP(B72,'Base stats'!B:B,'Base stats'!C:C)^(2/3))*10,5),5),5),30))-_xlfn.XLOOKUP(B72,'Base stats'!B:B,'Base stats'!P:P)+IF(CA72="True",5,0)</f>
        <v>5</v>
      </c>
      <c r="L72" s="2">
        <f>IF(OR(_xlfn.XLOOKUP(_xlfn.XLOOKUP(B72,'Base stats'!B:B,'Base stats'!E:E),Groups!A:A,Groups!G:G)=2,ISNUMBER(SEARCH("Desert",BV72)),ISNUMBER(SEARCH("ExtremeDesert",BV72)),ISNUMBER(SEARCH("LavaField",BV72))),50,IF(ISNUMBER(SEARCH("Grasslands",BV72)),45,IF(OR(_xlfn.XLOOKUP(_xlfn.XLOOKUP(B72,'Base stats'!B:B,'Base stats'!E:E),Groups!A:A,Groups!G:G)=1,ISNUMBER(SEARCH("TropicalRainforest",BV72)),ISNUMBER(SEARCH("TropicalSwamp",BV72))),40,IF(OR(ISNUMBER(SEARCH("TemperateForest",BV72)),ISNUMBER(SEARCH("TemperateSwamp",BV72))),35,IF(OR(ISNUMBER(SEARCH("Alpine",BV72)),ISNUMBER(SEARCH("BorealForest",BV72)),ISNUMBER(SEARCH("ColdBog",BV72))),30,IF(ISNUMBER(OR(ISNUMBER(SEARCH("GlacialPlain",BV72)),SEARCH("Tundra",BV72))),25,IF(OR(ISNUMBER(SEARCH("SeaIce",BV72)),ISNUMBER(SEARCH("IceSheet",BV72)),ISNUMBER(SEARCH("TropicalSwamp",BV72))),10,35)))))))+_xlfn.XLOOKUP(B72,'Base stats'!B:B,'Base stats'!Q:Q)</f>
        <v>40</v>
      </c>
      <c r="M72" s="8" t="str">
        <f>IF(_xlfn.XLOOKUP(_xlfn.XLOOKUP(B72,'Base stats'!B:B,'Base stats'!E:E),Groups!A:A,Groups!L:L)=1,MIN(MROUND(_xlfn.XLOOKUP(B72,'Animals CE'!B:B,'Animals CE'!Z:Z)/2+0.05,0.05),200%),"No")</f>
        <v>No</v>
      </c>
      <c r="N72" s="8" t="str">
        <f>IF(_xlfn.XLOOKUP(_xlfn.XLOOKUP(B72,'Base stats'!B:B,'Base stats'!E:E),Groups!A:A,Groups!L:L)=1,MIN(MROUND(_xlfn.XLOOKUP(B72,'Animals CE'!B:B,'Animals CE'!AA:AA)/2+0.05,0.05),200%),"No")</f>
        <v>No</v>
      </c>
      <c r="O72" s="2" t="str">
        <f>_xlfn.XLOOKUP(B72,'Base stats'!B:B,'Base stats'!R:R)</f>
        <v>Standard</v>
      </c>
      <c r="P72" s="13">
        <f>MROUND((LOG10(_xlfn.XLOOKUP(B72,'Base stats'!B:B,'Base stats'!AO:AO))*(AN72^0.5)+(_xlfn.XLOOKUP(B72,'Base stats'!B:B,'Base stats'!AO:AO)/1000)^(2/3)+_xlfn.XLOOKUP(B72,'Base stats'!B:B,'Base stats'!AX:AX)/2)+0.5,0.5)</f>
        <v>2.5</v>
      </c>
      <c r="Q72" s="7">
        <f>IF(P72="No","No",MAX(1,MROUND(_xlfn.XLOOKUP(B72,'Base stats'!B:B,'Base stats'!C:C)^0.165,0.05)))</f>
        <v>1.25</v>
      </c>
      <c r="R72" s="13">
        <f>IF(_xlfn.XLOOKUP(_xlfn.XLOOKUP(B72,'Base stats'!B:B,'Base stats'!E:E),Groups!A:A,Groups!P:P)=0,"No",MROUND((LOG10(_xlfn.XLOOKUP(B72,'Base stats'!B:B,'Base stats'!AP:AP))*(AN72^0.5)+(_xlfn.XLOOKUP(B72,'Base stats'!B:B,'Base stats'!AP:AP)/1000)^(2/3)+_xlfn.XLOOKUP(B72,'Base stats'!B:B,'Base stats'!AX:AX))+_xlfn.XLOOKUP(B72,'Base stats'!B:B,'Base stats'!AV:AV)+0.5,0.5))</f>
        <v>4</v>
      </c>
      <c r="S72" s="7">
        <f>IF(R72="No","No",MAX(_xlfn.XLOOKUP(_xlfn.XLOOKUP(B72,'Base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T72" s="7" t="str">
        <f>IF(R72="No","No",_xlfn.XLOOKUP(_xlfn.XLOOKUP(B72,'Base stats'!B:B,'Base stats'!E:E),Groups!A:A,Groups!R:R))</f>
        <v>Feet</v>
      </c>
      <c r="U72" s="7" t="str">
        <f>IF(R72="No","No",_xlfn.XLOOKUP(_xlfn.XLOOKUP(B72,'Base stats'!B:B,'Base stats'!E:E),Groups!A:A,Groups!S:S))</f>
        <v>rear left claw, rear  right claw</v>
      </c>
      <c r="V72" s="7" t="str">
        <f>IF(R72="No","No",_xlfn.XLOOKUP(_xlfn.XLOOKUP(B72,'Base stats'!B:B,'Base stats'!E:E),Groups!A:A,Groups!T:T))</f>
        <v>Scratch</v>
      </c>
      <c r="W72" s="13" t="str">
        <f>IF(_xlfn.XLOOKUP(B72,'Base stats'!B:B,'Base stats'!W:W)="No","No",MROUND((LOG10(_xlfn.XLOOKUP(B72,'Base stats'!B:B,'Base stats'!AR:AR))*(AN72^0.5)+(_xlfn.XLOOKUP(B72,'Base stats'!B:B,'Base stats'!AR:AR)/1000)^(2/3)+_xlfn.XLOOKUP(B72,'Base stats'!B:B,'Base stats'!AW:AW))+0.5+IF(_xlfn.XLOOKUP(_xlfn.XLOOKUP(B72,'Base stats'!B:B,'Base stats'!E:E),Groups!A:A,Groups!U:U)&lt;&gt;3,_xlfn.XLOOKUP(B72,'Base stats'!B:B,'Base stats'!AX:AX),0),0.5))</f>
        <v>No</v>
      </c>
      <c r="X72" s="7" t="str">
        <f>IF(W72="No","No",MAX(_xlfn.XLOOKUP(_xlfn.XLOOKUP(B72,'Base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Y72" s="7" t="str">
        <f>IF(W72="No","No",_xlfn.XLOOKUP(_xlfn.XLOOKUP(B72,'Base stats'!B:B,'Base stats'!E:E),Groups!A:A,Groups!W:W))</f>
        <v>No</v>
      </c>
      <c r="Z72" s="7" t="str">
        <f>IF(W72="No","No",_xlfn.XLOOKUP(_xlfn.XLOOKUP(B72,'Base stats'!B:B,'Base stats'!E:E),Groups!A:A,Groups!X:X))</f>
        <v>No</v>
      </c>
      <c r="AA72" s="7" t="str">
        <f>IF(W72="No","No",_xlfn.XLOOKUP(_xlfn.XLOOKUP(B72,'Base stats'!B:B,'Base stats'!E:E),Groups!A:A,Groups!Y:Y))</f>
        <v>No</v>
      </c>
      <c r="AB72" s="7" t="str">
        <f>_xlfn.XLOOKUP(Animals!B72,'Base stats'!B:B,'Base stats'!X:X)</f>
        <v>False</v>
      </c>
      <c r="AC72" s="13">
        <f>IF(_xlfn.XLOOKUP(B72,'Base stats'!B:B,'Base stats'!AQ:AQ)="No","No",MROUND((LOG10(_xlfn.XLOOKUP(B72,'Base stats'!B:B,'Base stats'!AQ:AQ))*(AN72^0.75)+(_xlfn.XLOOKUP(B72,'Base stats'!B:B,'Base stats'!AQ:AQ)/1000)^(2/3)+_xlfn.XLOOKUP(B72,'Base stats'!B:B,'Base stats'!AU:AU)+_xlfn.XLOOKUP(B72,'Base stats'!B:B,'Base stats'!AX:AX))+0.5,0.5))</f>
        <v>2.5</v>
      </c>
      <c r="AD72" s="7">
        <f>IF(AC72="No","No",MAX(_xlfn.XLOOKUP(_xlfn.XLOOKUP(B72,'Base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E72" s="7" t="str">
        <f>IF(AC72="No","No",_xlfn.XLOOKUP(_xlfn.XLOOKUP(B72,'Base stats'!B:B,'Base stats'!E:E),Groups!A:A,Groups!AA:AA))</f>
        <v>Beak</v>
      </c>
      <c r="AF72" s="7" t="str">
        <f>IF(AC72="No","No",_xlfn.XLOOKUP(_xlfn.XLOOKUP(B72,'Base stats'!B:B,'Base stats'!E:E),Groups!A:A,Groups!AB:AB))</f>
        <v>beak</v>
      </c>
      <c r="AG72" s="7" t="str">
        <f>IF(AC72="No","No",_xlfn.XLOOKUP(_xlfn.XLOOKUP(B72,'Base stats'!B:B,'Base stats'!E:E),Groups!A:A,Groups!AC:AC))</f>
        <v>Blunt</v>
      </c>
      <c r="AH72" s="13" t="str">
        <f>IF(_xlfn.XLOOKUP(_xlfn.XLOOKUP(B72,'Base stats'!B:B,'Base stats'!E:E),Groups!A:A,Groups!AD:AD)=0,"No",MROUND((LOG10(_xlfn.XLOOKUP(B72,'Base stats'!B:B,'Base stats'!AP:AP))*(AN72^0.75)+(_xlfn.XLOOKUP(B72,'Base stats'!B:B,'Base stats'!AP:AP)/1000)^(2/3)+_xlfn.XLOOKUP(B72,'Base stats'!B:B,'Base stats'!AV:AV)+_xlfn.XLOOKUP(B72,'Base stats'!B:B,'Base stats'!AX:AX))+0.5,0.5))</f>
        <v>No</v>
      </c>
      <c r="AI72" s="7" t="str">
        <f>IF(AH72="No","No",MAX(_xlfn.XLOOKUP(_xlfn.XLOOKUP(B72,'Base stats'!B:B,'Base stats'!E:E),Groups!A:A,Groups!AE:AE),MROUND(_xlfn.XLOOKUP(_xlfn.XLOOKUP(B72,'Base stats'!B:B,'Base stats'!E:E),Groups!A:A,Groups!AE:AE)*_xlfn.XLOOKUP(B72,'Base stats'!B:B,'Base stats'!C:C)^0.165,0.05)))</f>
        <v>No</v>
      </c>
      <c r="AJ72" s="7" t="str">
        <f>IF(AH72="No","No",_xlfn.XLOOKUP(_xlfn.XLOOKUP(B72,'Base stats'!B:B,'Base stats'!E:E),Groups!A:A,Groups!AF:AF))</f>
        <v>No</v>
      </c>
      <c r="AK72" s="7" t="str">
        <f>IF(AH72="No","No",_xlfn.XLOOKUP(_xlfn.XLOOKUP(B72,'Base stats'!B:B,'Base stats'!E:E),Groups!A:A,Groups!AG:AG))</f>
        <v>No</v>
      </c>
      <c r="AL72" s="7" t="str">
        <f>IF(AH72="No","No",_xlfn.XLOOKUP(_xlfn.XLOOKUP(B72,'Base stats'!B:B,'Base stats'!E:E),Groups!A:A,Groups!AH:AH))</f>
        <v>No</v>
      </c>
      <c r="AM72" s="2" t="str">
        <f t="shared" si="7"/>
        <v>No</v>
      </c>
      <c r="AN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O72" s="8">
        <f>MROUND(AN72*_xlfn.XLOOKUP(_xlfn.XLOOKUP(B72,'Base stats'!B:B,'Base stats'!E:E),Groups!A:A,Groups!AI:AI),0.05)</f>
        <v>0.30000000000000004</v>
      </c>
      <c r="AP72" s="8">
        <f>MAX(0.01,MROUND(IF(CA72="True",0.196*(AN72*100*1000)^0.889,IF(_xlfn.XLOOKUP(_xlfn.XLOOKUP(B72,'Base stats'!B:B,'Base stats'!E:E),Groups!A:A,Groups!AJ:AJ)="Bird",10.5*(AN72*100*1000)^0.681,4.82*(AN72*100*1000)^0.734))/(4.82*(1*100*1000)^0.734)/IF(AN72&lt;3.5,2,IF(AN72=3.5,1.5,1.25))*(1+0.132282374779864/(AN72^0.994035016789033+0.00905238001496948)),0.05))</f>
        <v>0.35000000000000003</v>
      </c>
      <c r="AQ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R72" s="35" t="str">
        <f>IFERROR(IF(_xlfn.XLOOKUP(B72,'Base stats'!B:B,'Base stats'!F:F)="Lay eggs","Lay eggs",MIN(20,MAX(5.5,ROUND(((_xlfn.XLOOKUP(B72,'Base stats'!B:B,'Base stats'!F:F)-25)*(14.5/615) + 5.5)*2,0)/2))),"Cannot breed")</f>
        <v>Lay eggs</v>
      </c>
      <c r="AS72" s="8">
        <f>IF(OR(A72="Queen",A72="Larva",A72="Megachicken"),"No",IFERROR(MAX(IF(_xlfn.XLOOKUP(B72,'Base stats'!B:B,'Base stats'!G:G)&lt;0.5,0.2,0.3),MROUND(_xlfn.XLOOKUP(B72,'Base stats'!B:B,'Base stats'!G:G)/(365/60),0.2)),"Unknown"))</f>
        <v>0.4</v>
      </c>
      <c r="AT72" s="8">
        <f t="shared" si="8"/>
        <v>0.2</v>
      </c>
      <c r="AU72" s="8" t="str">
        <f>IFERROR(IFERROR(MROUND(_xlfn.XLOOKUP(B72,'Base stats'!B:B,'Base stats'!J:J),0.1),"Lay eggs"),"Cannot breed")</f>
        <v>Lay eggs</v>
      </c>
      <c r="AV72" s="2" t="str">
        <f t="shared" si="9"/>
        <v>true</v>
      </c>
      <c r="AW72" s="2" t="str">
        <f>IF(_xlfn.XLOOKUP(_xlfn.XLOOKUP(Animals!B72,'Base stats'!B:B,'Base stats'!E:E),Groups!A:A,Groups!AK:AK)=1,"true","false")</f>
        <v>false</v>
      </c>
      <c r="AX72" s="25" t="str">
        <f>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</f>
        <v>VegetarianRoughAnimal</v>
      </c>
      <c r="AY72" s="2">
        <f>IF(_xlfn.XLOOKUP(_xlfn.XLOOKUP(B72,'Base stats'!B:B,'Base stats'!E:E),Groups!A:A,Groups!D:D)=1,MROUND((1-I72)*5+1,2)*IF(I72&lt;=0.4,2,1),"No")</f>
        <v>4</v>
      </c>
      <c r="AZ72" s="2" t="str">
        <f>_xlfn.XLOOKUP(B72,'Base stats'!B:B,'Base stats'!AE:AE)</f>
        <v>No</v>
      </c>
      <c r="BA72" s="23" t="str">
        <f>_xlfn.XLOOKUP(_xlfn.XLOOKUP(B72,'Base stats'!B:B,'Base stats'!E:E),Groups!A:A,Groups!AL:AL)</f>
        <v>Bird</v>
      </c>
      <c r="BB72" s="23">
        <f>MROUND(IF(AND(AN72&lt;0.5,_xlfn.XLOOKUP(B72,'Base stats'!B:B,'Base stats'!Z:Z)=0),0,IF(OR(_xlfn.XLOOKUP(Animals!B72,'Base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stats'!AA:AA),0.005)</f>
        <v>0</v>
      </c>
      <c r="BC72" s="23">
        <f>MROUND(IF(AND(AN72&lt;0.5,_xlfn.XLOOKUP(B72,'Base stats'!B:B,'Base stats'!Z:Z)=0),0,IF(_xlfn.XLOOKUP(_xlfn.XLOOKUP(B72,'Base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stats'!AB:AB),0.005)</f>
        <v>0</v>
      </c>
      <c r="BD72" s="2" t="str">
        <f>IF(I72&gt;0.3,"No",_xlfn.XLOOKUP(_xlfn.XLOOKUP(Animals!B72,'Base stats'!B:B,'Base stats'!E:E),Groups!A:A,Groups!AP:AP))</f>
        <v>No</v>
      </c>
      <c r="BE72" s="2" t="str">
        <f>IF(AND(I72&lt;=0.65,_xlfn.XLOOKUP(_xlfn.XLOOKUP(Animals!B72,'Base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stats'!O:O)=2,0.2,AN72) + 24*(1-IF(BD72="No",0,BD72)) + 16/3, 12),"No")</f>
        <v>No</v>
      </c>
      <c r="BF72" s="2">
        <f>IF(AND(_xlfn.XLOOKUP(_xlfn.XLOOKUP(B72,'Base stats'!B:B,'Base stats'!E:E),Groups!A:A,Groups!AQ:AQ)=1,AN72&lt;=0.35),8,12)</f>
        <v>8</v>
      </c>
      <c r="BG72" s="2" t="str">
        <f>IF(_xlfn.XLOOKUP(_xlfn.XLOOKUP(B72,'Base stats'!B:B,'Base stats'!E:E),Groups!A:A,Groups!D:D)=0,_xlfn.XLOOKUP(_xlfn.XLOOKUP(B72,'Base stats'!B:B,'Base stats'!E:E),Groups!A:A,Groups!AR:AR),"None")</f>
        <v>None</v>
      </c>
      <c r="BH72" s="2" t="str">
        <f>IF(AND(_xlfn.XLOOKUP(_xlfn.XLOOKUP(B72,'Base stats'!B:B,'Base stats'!E:E),Groups!A:A,Groups!AS:AS)=1,OR('Base stats'!Y72="Carnivore",'Base stats'!Y72="Omnivore")),"true","false")</f>
        <v>false</v>
      </c>
      <c r="BI72" s="2" t="str">
        <f>IF(BH72="true",MROUND(IF(AND(AN72&gt;0.5,_xlfn.XLOOKUP(_xlfn.XLOOKUP(B72,'Base stats'!B:B,'Base stats'!E:E),Groups!A:A,Groups!AJ:AJ)="Mammal"),Animals!AN72*1.75*IF(AV72="true",1.5,1),Animals!AN72),IF(AN72&gt;2,0.5,IF(AN72&gt;0.5,0.25,0.1))),"No")</f>
        <v>No</v>
      </c>
      <c r="BJ72" s="2">
        <f t="shared" si="10"/>
        <v>0</v>
      </c>
      <c r="BK72" s="25" t="str">
        <f>IF('Base stats'!AK72="Standard","No",MROUND((_xlfn.XLOOKUP(B72,'Base stats'!B:B,'Base stats'!AK:AK)/3.6)/H72,0.1))</f>
        <v>No</v>
      </c>
      <c r="BL72" s="25" t="str">
        <f t="shared" si="11"/>
        <v>false</v>
      </c>
      <c r="BM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N72" s="25" t="str" cm="1">
        <f t="array" ref="BN72">IF(
  _xlfn.TEXTJOIN(", ",TRUE,
    IF(AND(BH72="true",AN72&gt;0.5,BG72&lt;&gt;"None"),"AttackTarget",""),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IF(BE72&lt;=36,"Comfort",""),
    IF(_xlfn.XLOOKUP(B72,'Base stats'!B:B,'Base stats'!AC:AC)&lt;&gt;"No",_xlfn.XLOOKUP(B72,'Base stats'!B:B,'Base stats'!AC:AC),"")
  ) = "",
  "No",
  _xlfn.TEXTJOIN(", ",TRUE,
    IF(AND(BH72="true",AN72&gt;0.5,BG72&lt;&gt;"None"),"AttackTarget",""),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IF(BE72&lt;=36,"Comfort",""),
    IF(_xlfn.XLOOKUP(B72,'Base stats'!B:B,'Base stats'!AC:AC)&lt;&gt;"No",_xlfn.XLOOKUP(B72,'Base stats'!B:B,'Base stats'!AC:AC),"")
  )
)</f>
        <v>No</v>
      </c>
      <c r="BO72" s="25" t="str">
        <f>IF(
   AND(
      'Base stats'!AK72="Standard",_xlfn.XLOOKUP(_xlfn.XLOOKUP(B72,'Base stats'!B:B,'Base stats'!E:E),Groups!A:A,Groups!AU:AU)=0,
      OR(
      BM72="True"
      )
   ),
   10,
   IF(
       OR(BK72&lt;&gt;"No",_xlfn.XLOOKUP(_xlfn.XLOOKUP(B72,'Base stats'!B:B,'Base stats'!E:E),Groups!A:A,Groups!AU:AU)=1),
      1,
      "No"
   )
)</f>
        <v>No</v>
      </c>
      <c r="BP72" s="9">
        <f>MROUND((1 + ((0.2*IF(OR(P72="No",Q72="No",Q72=0),0,P72/Q72)
+IF(OR(U72="No",R72="No",S72="No"),0,R72/S72*(LEN(U72)-LEN(SUBSTITUTE(U72,",",""))+1))
+IF(OR(W72="No",X72="No"),0,W72/X72)
+IF(OR(AC72="No",AD72="No"),0,AC72/AD72)
+IF(OR(AK72="No",AH72="No",AI72="No"),0,AH72/AI72*(LEN(AK72)-LEN(SUBSTITUTE(AK72,",",""))+1))
)/(0.2*IF(OR(P72="No",Q72="No",Q72=0),0,1)
+IF(OR(U72="No",R72="No",S72="No"),0,LEN(U72)-LEN(SUBSTITUTE(U72,",",""))+1)
+IF(OR(W72="No",X72="No"),0,1)
+IF(OR(AC72="No",AD72="No"),0,1)
+IF(OR(AK72="No",AH72="No",AI72="No"),0,LEN(AK72)-LEN(SUBSTITUTE(AK72,",",""))+1))*62%)* 2)*(1 + (AO72 + _xlfn.XLOOKUP(B72,'Base stats'!B:B,'Base stats'!AS:AS) * 1.8) * 2) * 2.5 + 10 + H72 * 2,5)+IF(_xlfn.XLOOKUP(B72,'Base stats'!B:B,'Base stats'!AH:AH)=1,50,0)</f>
        <v>30</v>
      </c>
      <c r="BQ72" s="8">
        <f t="shared" si="12"/>
        <v>0.35000000000000003</v>
      </c>
      <c r="BR72" s="8" t="str">
        <f>_xlfn.XLOOKUP(B72,'Base stats'!B:B,'Base stats'!AD:AD)</f>
        <v>2~6</v>
      </c>
      <c r="BS72" s="2" t="str">
        <f>IF(AND(I72&lt;=0.95,OR(_xlfn.XLOOKUP(B72,'Base stats'!B:B,'Base stats'!AH:AH)=1,_xlfn.XLOOKUP(B72,'Base stats'!B:B,'Base stats'!Y:Y)="Carnivore",_xlfn.XLOOKUP(B72,'Base stats'!B:B,'Base stats'!Y:Y)="Omnivore",BC72&gt;0.1)),"true","false")</f>
        <v>false</v>
      </c>
      <c r="BT72" s="2" t="str">
        <f>IF(_xlfn.XLOOKUP(B72,'Base stats'!B:B,'Base stats'!AF:AF)=1,"true","false")</f>
        <v>false</v>
      </c>
      <c r="BU72" s="25" t="str">
        <f>IF(E72="BaseInsect","AnimalInsect",
IF(I72&gt;0.95,"AnimalExotic",
_xlfn.TEXTJOIN(", ",TRUE,
IF(AND(_xlfn.XLOOKUP(B72,'Base stats'!B:B,'Base stats'!O:O)=0,_xlfn.XLOOKUP(_xlfn.XLOOKUP(B72,'Base stats'!B:B,'Base stats'!E:E),Groups!A:A,Groups!B:B)&gt;0),"AnimalUncommon","AnimalCommon"),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stats'!AH:AH)=1,AND(BG72&lt;&gt;"None",BP72&gt;=60),ISNUMBER(SEARCH("Attack target",BN72))),"AnimalFighter","")
)))</f>
        <v>AnimalCommon</v>
      </c>
      <c r="BV72" s="25" t="str">
        <f>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</f>
        <v>TropicalRainforest TropicalSwamp Glowforest</v>
      </c>
      <c r="BW72" s="25" t="str">
        <f>IF(_xlfn.XLOOKUP(B72,'Base stats'!B:B,'Base stats'!AG:AG)=1,"true","false")</f>
        <v>false</v>
      </c>
      <c r="BX72" s="25">
        <f>IF(_xlfn.XLOOKUP(B72,'Base stats'!B:B,'Base stats'!N:N)=1,"No",MIN(MROUND(IF(OR(_xlfn.XLOOKUP(B72,'Base stats'!B:B,'Base stats'!AJ:AJ)=1,AND(BH72="True",CA72="False")),POWER(10,3.47*LOG10(_xlfn.XLOOKUP(B72,'Base stats'!B:B,'Base stats'!C:C)*1000)^-0.96),POWER(10,4.15*LOG10(_xlfn.XLOOKUP(B72,'Base stats'!B:B,'Base stats'!C:C)*1000)^-0.73))*IF(OR(_xlfn.XLOOKUP(B72,'Base stats'!B:B,'Base stats'!AJ:AJ)=1,_xlfn.XLOOKUP(B72,'Base stats'!B:B,'Base stats'!AH:AH)=1),0.5,1)/100,0.025),1))</f>
        <v>0.42500000000000004</v>
      </c>
      <c r="BY72" s="25" t="str">
        <f>IF(O72="Standard","No",IF(_xlfn.XLOOKUP(B72,'Base stats'!B:B,'Base stats'!N:N)=0,MROUND(BX72*O72,0.05),MIN(1,MAX(0.025,MROUND(IF(OR(CA72="true",AND(BH72="false",BM72="false")),POWER(10,4.15*LOG10(_xlfn.XLOOKUP(B72,'Base stats'!B:B,'Base stats'!C:C)*1000)^-0.73),POWER(10,3.47*LOG10(_xlfn.XLOOKUP(B72,'Base stats'!B:B,'Base stats'!C:C)*1000)^-0.96))*IF(_xlfn.XLOOKUP(B72,'Base stats'!B:B,'Base stats'!AH:AH)=1,0.5,1)/100,0.025)))))</f>
        <v>No</v>
      </c>
      <c r="BZ72" s="25" t="str">
        <f>IF(_xlfn.XLOOKUP(_xlfn.XLOOKUP(B72,'Base stats'!B:B,'Base stats'!E:E),Groups!A:A,Groups!AJ:AJ)="Mammal","True","False")</f>
        <v>False</v>
      </c>
      <c r="CA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B72" s="25" t="str">
        <f t="shared" si="13"/>
        <v>False</v>
      </c>
      <c r="CC72" s="25" t="str">
        <f>IF(_xlfn.XLOOKUP(_xlfn.XLOOKUP(B72,'Base stats'!B:B,'Base stats'!E:E),Groups!A:A,Groups!AW:AW),"True","False")</f>
        <v>False</v>
      </c>
      <c r="CD72" s="25" t="str">
        <f>IF(_xlfn.XLOOKUP(_xlfn.XLOOKUP(B72,'Base stats'!B:B,'Base stats'!E:E),Groups!A:A,Groups!AX:AX),"True","False")</f>
        <v>False</v>
      </c>
      <c r="CE72" s="25" t="str">
        <f>IF(_xlfn.XLOOKUP(B72,'Base stats'!B:B,'Base stats'!E:E)=1,"True","False")</f>
        <v>False</v>
      </c>
      <c r="CF72" s="25" t="str">
        <f>IF(
OR(
_xlfn.XLOOKUP(_xlfn.XLOOKUP(B72,'Base stats'!B:B,'Base stats'!E:E),Groups!A:A,Groups!AY:AY)=0,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stats'!E:E),Groups!A:A,Groups!AY:AY)=1,
"Flesh",
IF(
_xlfn.XLOOKUP(_xlfn.XLOOKUP(B72,'Base stats'!B:B,'Base stats'!E:E),Groups!A:A,Groups!AY:AY)=2,
"Bone",
""
)
)
)</f>
        <v>No</v>
      </c>
      <c r="CG72" s="25" t="str">
        <f>IF(_xlfn.XLOOKUP(_xlfn.XLOOKUP(B72,'Base stats'!B:B,'Base stats'!E:E),Groups!A:A,Groups!BA:BA),"True","False")</f>
        <v>True</v>
      </c>
      <c r="CH72" s="25" t="str">
        <f>IF(_xlfn.XLOOKUP(_xlfn.XLOOKUP(B72,'Base stats'!B:B,'Base stats'!E:E),Groups!A:A,Groups!AZ:AZ),"True","False")</f>
        <v>False</v>
      </c>
    </row>
    <row r="73" spans="1:86" ht="17.25" customHeight="1" thickTop="1" thickBot="1" x14ac:dyDescent="0.3">
      <c r="A73" s="26" t="str">
        <f>_xlfn.XLOOKUP(B73,'Base stats'!B:B,'Base stats'!A:A)</f>
        <v>Vulture</v>
      </c>
      <c r="B73" s="6" t="s">
        <v>234</v>
      </c>
      <c r="C73" s="28" t="s">
        <v>765</v>
      </c>
      <c r="D73" s="28" t="s">
        <v>882</v>
      </c>
      <c r="E73" s="28" t="s">
        <v>687</v>
      </c>
      <c r="F73" s="28" t="s">
        <v>688</v>
      </c>
      <c r="G73" s="2">
        <f>MROUND((
  (IF(AND(_xlfn.XLOOKUP(B73,'Base stats'!B:B,'Base stats'!AI:AI)=0,BG73="None",_xlfn.XLOOKUP('Base stats'!E73,Groups!A:A,Groups!B:B)=0), (18 + BP73 * 2.7) * 0.5,
    IF(AND(_xlfn.XLOOKUP(B73,'Base stats'!B:B,'Base stats'!AI:AI)=0,OR(AN73&lt;0.55,AND(BG73="Intermediate",_xlfn.XLOOKUP('Base stats'!E73,Groups!A:A,Groups!B:B)&lt;2))), (18 + BP73 * 2.7),
      IF(OR(BG73="Advanced",_xlfn.XLOOKUP(B73,'Base stats'!B:B,'Base stats'!AI:AI)=1,_xlfn.XLOOKUP('Base stats'!E73,Groups!A:A,Groups!B:B)=2), (18 + BP73 * 2.7) + 250, (18 + BP73 * 2.7))
    )
  ))
  + AN73 * 80
  + IF(COUNTIF(EggMilk!K$2:K$998, A73) &gt; 0, 125, 0)
  + IF(COUNTIF(EggMilk!P$2:P$998, A73) &gt; 0, 90, 0)
  + IF(COUNTIF(EggMilk!A$2:A$998, A73) &gt; 0, 90, 0)
)
* (0.8 + 0.4 * I73)
* 0.75,25)</f>
        <v>175</v>
      </c>
      <c r="H73" s="2">
        <f>MROUND(ROUNDDOWN(_xlfn.XLOOKUP(B73,'Base stats'!B:B,'Base stats'!L:L)/3.6/(23.3/11),1),0.5)</f>
        <v>2</v>
      </c>
      <c r="I73" s="2">
        <f>IF(_xlfn.XLOOKUP(B73,'Base stats'!B:B,'Base stats'!AI:AI)=1,0.99,MIN(MROUND((1-0.6282*EXP(-0.459*AN73))*_xlfn.XLOOKUP(_xlfn.XLOOKUP(B73,'Base stats'!B:B,'Base stats'!E:E),Groups!A:A,Groups!C:C)*IF(_xlfn.XLOOKUP(B73,'Base stats'!B:B,'Base stats'!O:O)=1,0.5,IF(_xlfn.XLOOKUP(B73,'Base stats'!B:B,'Base stats'!O:O)=2,0,1)),0.05),0.985))</f>
        <v>0.55000000000000004</v>
      </c>
      <c r="J73" s="2">
        <f>ROUNDUP(AN73*_xlfn.XLOOKUP(_xlfn.XLOOKUP(B73,'Base stats'!B:B,'Base stats'!E:E),Groups!A:A,Groups!E:E),0)</f>
        <v>4</v>
      </c>
      <c r="K73" s="2">
        <f>IF(OR(_xlfn.XLOOKUP(_xlfn.XLOOKUP(B73,'Base stats'!B:B,'Base stats'!E:E),Groups!A:A,Groups!F:F)=2,ISNUMBER(SEARCH("SeaIce",BV73)),ISNUMBER(SEARCH("IceSheet",BV73))),-50,IF(OR(ISNUMBER(SEARCH("GlacialPlain",BV73)),ISNUMBER(SEARCH("Tundra",BV73))),-40,IF(OR(ISNUMBER(SEARCH("Alpine",BV73)),ISNUMBER(SEARCH("BorealForest",BV73)),ISNUMBER(SEARCH("ColdBog",BV73))),-30,IF(OR(ISNUMBER(SEARCH("TemperateForest",BV73)),ISNUMBER(SEARCH("TemperateSwamp",BV73))),-20,IF(_xlfn.XLOOKUP(_xlfn.XLOOKUP(B73,'Base stats'!B:B,'Base stats'!E:E),Groups!A:A,Groups!F:F)=1,-15,IF(OR(ISNUMBER(SEARCH("Desert",BV73)),ISNUMBER(SEARCH("ExtremeDesert",BV73))),-10,IF(OR(ISNUMBER(SEARCH("Grasslands",BV73)),ISNUMBER(SEARCH("TropicalRainforest",BV73)),ISNUMBER(SEARCH("TropicalSwamp",BV73))),10,0)))))))-IF(CA73="False",MIN(IFERROR(MAX(MROUND(LOG10(_xlfn.XLOOKUP(B73,'Base stats'!B:B,'Base stats'!C:C)^(2/3))*10,5),5),5),30))-_xlfn.XLOOKUP(B73,'Base stats'!B:B,'Base stats'!P:P)+IF(CA73="True",5,0)</f>
        <v>-15</v>
      </c>
      <c r="L73" s="2">
        <f>IF(OR(_xlfn.XLOOKUP(_xlfn.XLOOKUP(B73,'Base stats'!B:B,'Base stats'!E:E),Groups!A:A,Groups!G:G)=2,ISNUMBER(SEARCH("Desert",BV73)),ISNUMBER(SEARCH("ExtremeDesert",BV73)),ISNUMBER(SEARCH("LavaField",BV73))),50,IF(ISNUMBER(SEARCH("Grasslands",BV73)),45,IF(OR(_xlfn.XLOOKUP(_xlfn.XLOOKUP(B73,'Base stats'!B:B,'Base stats'!E:E),Groups!A:A,Groups!G:G)=1,ISNUMBER(SEARCH("TropicalRainforest",BV73)),ISNUMBER(SEARCH("TropicalSwamp",BV73))),40,IF(OR(ISNUMBER(SEARCH("TemperateForest",BV73)),ISNUMBER(SEARCH("TemperateSwamp",BV73))),35,IF(OR(ISNUMBER(SEARCH("Alpine",BV73)),ISNUMBER(SEARCH("BorealForest",BV73)),ISNUMBER(SEARCH("ColdBog",BV73))),30,IF(ISNUMBER(OR(ISNUMBER(SEARCH("GlacialPlain",BV73)),SEARCH("Tundra",BV73))),25,IF(OR(ISNUMBER(SEARCH("SeaIce",BV73)),ISNUMBER(SEARCH("IceSheet",BV73)),ISNUMBER(SEARCH("TropicalSwamp",BV73))),10,35)))))))+_xlfn.XLOOKUP(B73,'Base stats'!B:B,'Base stats'!Q:Q)</f>
        <v>50</v>
      </c>
      <c r="M73" s="8" t="str">
        <f>IF(_xlfn.XLOOKUP(_xlfn.XLOOKUP(B73,'Base stats'!B:B,'Base stats'!E:E),Groups!A:A,Groups!L:L)=1,MIN(MROUND(_xlfn.XLOOKUP(B73,'Animals CE'!B:B,'Animals CE'!Z:Z)/2+0.05,0.05),200%),"No")</f>
        <v>No</v>
      </c>
      <c r="N73" s="8" t="str">
        <f>IF(_xlfn.XLOOKUP(_xlfn.XLOOKUP(B73,'Base stats'!B:B,'Base stats'!E:E),Groups!A:A,Groups!L:L)=1,MIN(MROUND(_xlfn.XLOOKUP(B73,'Animals CE'!B:B,'Animals CE'!AA:AA)/2+0.05,0.05),200%),"No")</f>
        <v>No</v>
      </c>
      <c r="O73" s="2" t="str">
        <f>_xlfn.XLOOKUP(B73,'Base stats'!B:B,'Base stats'!R:R)</f>
        <v>Standard</v>
      </c>
      <c r="P73" s="13">
        <f>MROUND((LOG10(_xlfn.XLOOKUP(B73,'Base stats'!B:B,'Base stats'!AO:AO))*(AN73^0.5)+(_xlfn.XLOOKUP(B73,'Base stats'!B:B,'Base stats'!AO:AO)/1000)^(2/3)+_xlfn.XLOOKUP(B73,'Base stats'!B:B,'Base stats'!AX:AX)/2)+0.5,0.5)</f>
        <v>2.5</v>
      </c>
      <c r="Q73" s="7">
        <f>IF(P73="No","No",MAX(1,MROUND(_xlfn.XLOOKUP(B73,'Base stats'!B:B,'Base stats'!C:C)^0.165,0.05)))</f>
        <v>1.3</v>
      </c>
      <c r="R73" s="13">
        <f>IF(_xlfn.XLOOKUP(_xlfn.XLOOKUP(B73,'Base stats'!B:B,'Base stats'!E:E),Groups!A:A,Groups!P:P)=0,"No",MROUND((LOG10(_xlfn.XLOOKUP(B73,'Base stats'!B:B,'Base stats'!AP:AP))*(AN73^0.5)+(_xlfn.XLOOKUP(B73,'Base stats'!B:B,'Base stats'!AP:AP)/1000)^(2/3)+_xlfn.XLOOKUP(B73,'Base stats'!B:B,'Base stats'!AX:AX))+_xlfn.XLOOKUP(B73,'Base stats'!B:B,'Base stats'!AV:AV)+0.5,0.5))</f>
        <v>4.5</v>
      </c>
      <c r="S73" s="7">
        <f>IF(R73="No","No",MAX(_xlfn.XLOOKUP(_xlfn.XLOOKUP(B73,'Base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T73" s="7" t="str">
        <f>IF(R73="No","No",_xlfn.XLOOKUP(_xlfn.XLOOKUP(B73,'Base stats'!B:B,'Base stats'!E:E),Groups!A:A,Groups!R:R))</f>
        <v>Feet</v>
      </c>
      <c r="U73" s="7" t="str">
        <f>IF(R73="No","No",_xlfn.XLOOKUP(_xlfn.XLOOKUP(B73,'Base stats'!B:B,'Base stats'!E:E),Groups!A:A,Groups!S:S))</f>
        <v>rear left claw, rear  right claw</v>
      </c>
      <c r="V73" s="7" t="str">
        <f>IF(R73="No","No",_xlfn.XLOOKUP(_xlfn.XLOOKUP(B73,'Base stats'!B:B,'Base stats'!E:E),Groups!A:A,Groups!T:T))</f>
        <v>Scratch</v>
      </c>
      <c r="W73" s="13" t="str">
        <f>IF(_xlfn.XLOOKUP(B73,'Base stats'!B:B,'Base stats'!W:W)="No","No",MROUND((LOG10(_xlfn.XLOOKUP(B73,'Base stats'!B:B,'Base stats'!AR:AR))*(AN73^0.5)+(_xlfn.XLOOKUP(B73,'Base stats'!B:B,'Base stats'!AR:AR)/1000)^(2/3)+_xlfn.XLOOKUP(B73,'Base stats'!B:B,'Base stats'!AW:AW))+0.5+IF(_xlfn.XLOOKUP(_xlfn.XLOOKUP(B73,'Base stats'!B:B,'Base stats'!E:E),Groups!A:A,Groups!U:U)&lt;&gt;3,_xlfn.XLOOKUP(B73,'Base stats'!B:B,'Base stats'!AX:AX),0),0.5))</f>
        <v>No</v>
      </c>
      <c r="X73" s="7" t="str">
        <f>IF(W73="No","No",MAX(_xlfn.XLOOKUP(_xlfn.XLOOKUP(B73,'Base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Y73" s="7" t="str">
        <f>IF(W73="No","No",_xlfn.XLOOKUP(_xlfn.XLOOKUP(B73,'Base stats'!B:B,'Base stats'!E:E),Groups!A:A,Groups!W:W))</f>
        <v>No</v>
      </c>
      <c r="Z73" s="7" t="str">
        <f>IF(W73="No","No",_xlfn.XLOOKUP(_xlfn.XLOOKUP(B73,'Base stats'!B:B,'Base stats'!E:E),Groups!A:A,Groups!X:X))</f>
        <v>No</v>
      </c>
      <c r="AA73" s="7" t="str">
        <f>IF(W73="No","No",_xlfn.XLOOKUP(_xlfn.XLOOKUP(B73,'Base stats'!B:B,'Base stats'!E:E),Groups!A:A,Groups!Y:Y))</f>
        <v>No</v>
      </c>
      <c r="AB73" s="7" t="str">
        <f>_xlfn.XLOOKUP(Animals!B73,'Base stats'!B:B,'Base stats'!X:X)</f>
        <v>False</v>
      </c>
      <c r="AC73" s="13">
        <f>IF(_xlfn.XLOOKUP(B73,'Base stats'!B:B,'Base stats'!AQ:AQ)="No","No",MROUND((LOG10(_xlfn.XLOOKUP(B73,'Base stats'!B:B,'Base stats'!AQ:AQ))*(AN73^0.75)+(_xlfn.XLOOKUP(B73,'Base stats'!B:B,'Base stats'!AQ:AQ)/1000)^(2/3)+_xlfn.XLOOKUP(B73,'Base stats'!B:B,'Base stats'!AU:AU)+_xlfn.XLOOKUP(B73,'Base stats'!B:B,'Base stats'!AX:AX))+0.5,0.5))</f>
        <v>2.5</v>
      </c>
      <c r="AD73" s="7">
        <f>IF(AC73="No","No",MAX(_xlfn.XLOOKUP(_xlfn.XLOOKUP(B73,'Base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E73" s="7" t="str">
        <f>IF(AC73="No","No",_xlfn.XLOOKUP(_xlfn.XLOOKUP(B73,'Base stats'!B:B,'Base stats'!E:E),Groups!A:A,Groups!AA:AA))</f>
        <v>Beak</v>
      </c>
      <c r="AF73" s="7" t="str">
        <f>IF(AC73="No","No",_xlfn.XLOOKUP(_xlfn.XLOOKUP(B73,'Base stats'!B:B,'Base stats'!E:E),Groups!A:A,Groups!AB:AB))</f>
        <v>beak</v>
      </c>
      <c r="AG73" s="7" t="str">
        <f>IF(AC73="No","No",_xlfn.XLOOKUP(_xlfn.XLOOKUP(B73,'Base stats'!B:B,'Base stats'!E:E),Groups!A:A,Groups!AC:AC))</f>
        <v>Blunt</v>
      </c>
      <c r="AH73" s="13" t="str">
        <f>IF(_xlfn.XLOOKUP(_xlfn.XLOOKUP(B73,'Base stats'!B:B,'Base stats'!E:E),Groups!A:A,Groups!AD:AD)=0,"No",MROUND((LOG10(_xlfn.XLOOKUP(B73,'Base stats'!B:B,'Base stats'!AP:AP))*(AN73^0.75)+(_xlfn.XLOOKUP(B73,'Base stats'!B:B,'Base stats'!AP:AP)/1000)^(2/3)+_xlfn.XLOOKUP(B73,'Base stats'!B:B,'Base stats'!AV:AV)+_xlfn.XLOOKUP(B73,'Base stats'!B:B,'Base stats'!AX:AX))+0.5,0.5))</f>
        <v>No</v>
      </c>
      <c r="AI73" s="7" t="str">
        <f>IF(AH73="No","No",MAX(_xlfn.XLOOKUP(_xlfn.XLOOKUP(B73,'Base stats'!B:B,'Base stats'!E:E),Groups!A:A,Groups!AE:AE),MROUND(_xlfn.XLOOKUP(_xlfn.XLOOKUP(B73,'Base stats'!B:B,'Base stats'!E:E),Groups!A:A,Groups!AE:AE)*_xlfn.XLOOKUP(B73,'Base stats'!B:B,'Base stats'!C:C)^0.165,0.05)))</f>
        <v>No</v>
      </c>
      <c r="AJ73" s="7" t="str">
        <f>IF(AH73="No","No",_xlfn.XLOOKUP(_xlfn.XLOOKUP(B73,'Base stats'!B:B,'Base stats'!E:E),Groups!A:A,Groups!AF:AF))</f>
        <v>No</v>
      </c>
      <c r="AK73" s="7" t="str">
        <f>IF(AH73="No","No",_xlfn.XLOOKUP(_xlfn.XLOOKUP(B73,'Base stats'!B:B,'Base stats'!E:E),Groups!A:A,Groups!AG:AG))</f>
        <v>No</v>
      </c>
      <c r="AL73" s="7" t="str">
        <f>IF(AH73="No","No",_xlfn.XLOOKUP(_xlfn.XLOOKUP(B73,'Base stats'!B:B,'Base stats'!E:E),Groups!A:A,Groups!AH:AH))</f>
        <v>No</v>
      </c>
      <c r="AM73" s="2" t="str">
        <f t="shared" si="7"/>
        <v>No</v>
      </c>
      <c r="AN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O73" s="8">
        <f>MROUND(AN73*_xlfn.XLOOKUP(_xlfn.XLOOKUP(B73,'Base stats'!B:B,'Base stats'!E:E),Groups!A:A,Groups!AI:AI),0.05)</f>
        <v>0.30000000000000004</v>
      </c>
      <c r="AP73" s="8">
        <f>MAX(0.01,MROUND(IF(CA73="True",0.196*(AN73*100*1000)^0.889,IF(_xlfn.XLOOKUP(_xlfn.XLOOKUP(B73,'Base stats'!B:B,'Base stats'!E:E),Groups!A:A,Groups!AJ:AJ)="Bird",10.5*(AN73*100*1000)^0.681,4.82*(AN73*100*1000)^0.734))/(4.82*(1*100*1000)^0.734)/IF(AN73&lt;3.5,2,IF(AN73=3.5,1.5,1.25))*(1+0.132282374779864/(AN73^0.994035016789033+0.00905238001496948)),0.05))</f>
        <v>0.35000000000000003</v>
      </c>
      <c r="AQ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R73" s="35" t="str">
        <f>IFERROR(IF(_xlfn.XLOOKUP(B73,'Base stats'!B:B,'Base stats'!F:F)="Lay eggs","Lay eggs",MIN(20,MAX(5.5,ROUND(((_xlfn.XLOOKUP(B73,'Base stats'!B:B,'Base stats'!F:F)-25)*(14.5/615) + 5.5)*2,0)/2))),"Cannot breed")</f>
        <v>Lay eggs</v>
      </c>
      <c r="AS73" s="8">
        <f>IF(OR(A73="Queen",A73="Larva",A73="Megachicken"),"No",IFERROR(MAX(IF(_xlfn.XLOOKUP(B73,'Base stats'!B:B,'Base stats'!G:G)&lt;0.5,0.2,0.3),MROUND(_xlfn.XLOOKUP(B73,'Base stats'!B:B,'Base stats'!G:G)/(365/60),0.2)),"Unknown"))</f>
        <v>1</v>
      </c>
      <c r="AT73" s="8">
        <f t="shared" si="8"/>
        <v>0.5</v>
      </c>
      <c r="AU73" s="8" t="str">
        <f>IFERROR(IFERROR(MROUND(_xlfn.XLOOKUP(B73,'Base stats'!B:B,'Base stats'!J:J),0.1),"Lay eggs"),"Cannot breed")</f>
        <v>Lay eggs</v>
      </c>
      <c r="AV73" s="2" t="str">
        <f t="shared" si="9"/>
        <v>false</v>
      </c>
      <c r="AW73" s="2" t="str">
        <f>IF(_xlfn.XLOOKUP(_xlfn.XLOOKUP(Animals!B73,'Base stats'!B:B,'Base stats'!E:E),Groups!A:A,Groups!AK:AK)=1,"true","false")</f>
        <v>false</v>
      </c>
      <c r="AX73" s="25" t="str">
        <f>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</f>
        <v>CarnivoreAnimal, OvivoreAnimal</v>
      </c>
      <c r="AY73" s="2" t="str">
        <f>IF(_xlfn.XLOOKUP(_xlfn.XLOOKUP(B73,'Base stats'!B:B,'Base stats'!E:E),Groups!A:A,Groups!D:D)=1,MROUND((1-I73)*5+1,2)*IF(I73&lt;=0.4,2,1),"No")</f>
        <v>No</v>
      </c>
      <c r="AZ73" s="2" t="str">
        <f>_xlfn.XLOOKUP(B73,'Base stats'!B:B,'Base stats'!AE:AE)</f>
        <v>No</v>
      </c>
      <c r="BA73" s="23" t="str">
        <f>_xlfn.XLOOKUP(_xlfn.XLOOKUP(B73,'Base stats'!B:B,'Base stats'!E:E),Groups!A:A,Groups!AL:AL)</f>
        <v>Bird</v>
      </c>
      <c r="BB73" s="23">
        <f>MROUND(IF(AND(AN73&lt;0.5,_xlfn.XLOOKUP(B73,'Base stats'!B:B,'Base stats'!Z:Z)=0),0,IF(OR(_xlfn.XLOOKUP(Animals!B73,'Base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stats'!AA:AA),0.005)</f>
        <v>0</v>
      </c>
      <c r="BC73" s="23">
        <f>MROUND(IF(AND(AN73&lt;0.5,_xlfn.XLOOKUP(B73,'Base stats'!B:B,'Base stats'!Z:Z)=0),0,IF(_xlfn.XLOOKUP(_xlfn.XLOOKUP(B73,'Base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stats'!AB:AB),0.005)</f>
        <v>0</v>
      </c>
      <c r="BD73" s="2" t="str">
        <f>IF(I73&gt;0.3,"No",_xlfn.XLOOKUP(_xlfn.XLOOKUP(Animals!B73,'Base stats'!B:B,'Base stats'!E:E),Groups!A:A,Groups!AP:AP))</f>
        <v>No</v>
      </c>
      <c r="BE73" s="2" t="str">
        <f>IF(AND(I73&lt;=0.65,_xlfn.XLOOKUP(_xlfn.XLOOKUP(Animals!B73,'Base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stats'!O:O)=2,0.2,AN73) + 24*(1-IF(BD73="No",0,BD73)) + 16/3, 12),"No")</f>
        <v>No</v>
      </c>
      <c r="BF73" s="2">
        <f>IF(AND(_xlfn.XLOOKUP(_xlfn.XLOOKUP(B73,'Base stats'!B:B,'Base stats'!E:E),Groups!A:A,Groups!AQ:AQ)=1,AN73&lt;=0.35),8,12)</f>
        <v>8</v>
      </c>
      <c r="BG73" s="2" t="str">
        <f>IF(_xlfn.XLOOKUP(_xlfn.XLOOKUP(B73,'Base stats'!B:B,'Base stats'!E:E),Groups!A:A,Groups!D:D)=0,_xlfn.XLOOKUP(_xlfn.XLOOKUP(B73,'Base stats'!B:B,'Base stats'!E:E),Groups!A:A,Groups!AR:AR),"None")</f>
        <v>None</v>
      </c>
      <c r="BH73" s="2" t="str">
        <f>IF(AND(_xlfn.XLOOKUP(_xlfn.XLOOKUP(B73,'Base stats'!B:B,'Base stats'!E:E),Groups!A:A,Groups!AS:AS)=1,OR('Base stats'!Y73="Carnivore",'Base stats'!Y73="Omnivore")),"true","false")</f>
        <v>false</v>
      </c>
      <c r="BI73" s="2" t="str">
        <f>IF(BH73="true",MROUND(IF(AND(AN73&gt;0.5,_xlfn.XLOOKUP(_xlfn.XLOOKUP(B73,'Base stats'!B:B,'Base stats'!E:E),Groups!A:A,Groups!AJ:AJ)="Mammal"),Animals!AN73*1.75*IF(AV73="true",1.5,1),Animals!AN73),IF(AN73&gt;2,0.5,IF(AN73&gt;0.5,0.25,0.1))),"No")</f>
        <v>No</v>
      </c>
      <c r="BJ73" s="2">
        <f t="shared" si="10"/>
        <v>0</v>
      </c>
      <c r="BK73" s="25" t="str">
        <f>IF('Base stats'!AK73="Standard","No",MROUND((_xlfn.XLOOKUP(B73,'Base stats'!B:B,'Base stats'!AK:AK)/3.6)/H73,0.1))</f>
        <v>No</v>
      </c>
      <c r="BL73" s="25" t="str">
        <f t="shared" si="11"/>
        <v>false</v>
      </c>
      <c r="BM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N73" s="25" t="str" cm="1">
        <f t="array" ref="BN73">IF(
  _xlfn.TEXTJOIN(", ",TRUE,
    IF(AND(BH73="true",AN73&gt;0.5,BG73&lt;&gt;"None"),"AttackTarget",""),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IF(BE73&lt;=36,"Comfort",""),
    IF(_xlfn.XLOOKUP(B73,'Base stats'!B:B,'Base stats'!AC:AC)&lt;&gt;"No",_xlfn.XLOOKUP(B73,'Base stats'!B:B,'Base stats'!AC:AC),"")
  ) = "",
  "No",
  _xlfn.TEXTJOIN(", ",TRUE,
    IF(AND(BH73="true",AN73&gt;0.5,BG73&lt;&gt;"None"),"AttackTarget",""),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IF(BE73&lt;=36,"Comfort",""),
    IF(_xlfn.XLOOKUP(B73,'Base stats'!B:B,'Base stats'!AC:AC)&lt;&gt;"No",_xlfn.XLOOKUP(B73,'Base stats'!B:B,'Base stats'!AC:AC),"")
  )
)</f>
        <v>No</v>
      </c>
      <c r="BO73" s="25" t="str">
        <f>IF(
   AND(
      'Base stats'!AK73="Standard",_xlfn.XLOOKUP(_xlfn.XLOOKUP(B73,'Base stats'!B:B,'Base stats'!E:E),Groups!A:A,Groups!AU:AU)=0,
      OR(
      BM73="True"
      )
   ),
   10,
   IF(
       OR(BK73&lt;&gt;"No",_xlfn.XLOOKUP(_xlfn.XLOOKUP(B73,'Base stats'!B:B,'Base stats'!E:E),Groups!A:A,Groups!AU:AU)=1),
      1,
      "No"
   )
)</f>
        <v>No</v>
      </c>
      <c r="BP73" s="9">
        <f>MROUND((1 + ((0.2*IF(OR(P73="No",Q73="No",Q73=0),0,P73/Q73)
+IF(OR(U73="No",R73="No",S73="No"),0,R73/S73*(LEN(U73)-LEN(SUBSTITUTE(U73,",",""))+1))
+IF(OR(W73="No",X73="No"),0,W73/X73)
+IF(OR(AC73="No",AD73="No"),0,AC73/AD73)
+IF(OR(AK73="No",AH73="No",AI73="No"),0,AH73/AI73*(LEN(AK73)-LEN(SUBSTITUTE(AK73,",",""))+1))
)/(0.2*IF(OR(P73="No",Q73="No",Q73=0),0,1)
+IF(OR(U73="No",R73="No",S73="No"),0,LEN(U73)-LEN(SUBSTITUTE(U73,",",""))+1)
+IF(OR(W73="No",X73="No"),0,1)
+IF(OR(AC73="No",AD73="No"),0,1)
+IF(OR(AK73="No",AH73="No",AI73="No"),0,LEN(AK73)-LEN(SUBSTITUTE(AK73,",",""))+1))*62%)* 2)*(1 + (AO73 + _xlfn.XLOOKUP(B73,'Base stats'!B:B,'Base stats'!AS:AS) * 1.8) * 2) * 2.5 + 10 + H73 * 2,5)+IF(_xlfn.XLOOKUP(B73,'Base stats'!B:B,'Base stats'!AH:AH)=1,50,0)</f>
        <v>30</v>
      </c>
      <c r="BQ73" s="8">
        <f t="shared" si="12"/>
        <v>0.35000000000000003</v>
      </c>
      <c r="BR73" s="8" t="str">
        <f>_xlfn.XLOOKUP(B73,'Base stats'!B:B,'Base stats'!AD:AD)</f>
        <v>No</v>
      </c>
      <c r="BS73" s="2" t="str">
        <f>IF(AND(I73&lt;=0.95,OR(_xlfn.XLOOKUP(B73,'Base stats'!B:B,'Base stats'!AH:AH)=1,_xlfn.XLOOKUP(B73,'Base stats'!B:B,'Base stats'!Y:Y)="Carnivore",_xlfn.XLOOKUP(B73,'Base stats'!B:B,'Base stats'!Y:Y)="Omnivore",BC73&gt;0.1)),"true","false")</f>
        <v>true</v>
      </c>
      <c r="BT73" s="2" t="str">
        <f>IF(_xlfn.XLOOKUP(B73,'Base stats'!B:B,'Base stats'!AF:AF)=1,"true","false")</f>
        <v>false</v>
      </c>
      <c r="BU73" s="25" t="str">
        <f>IF(E73="BaseInsect","AnimalInsect",
IF(I73&gt;0.95,"AnimalExotic",
_xlfn.TEXTJOIN(", ",TRUE,
IF(AND(_xlfn.XLOOKUP(B73,'Base stats'!B:B,'Base stats'!O:O)=0,_xlfn.XLOOKUP(_xlfn.XLOOKUP(B73,'Base stats'!B:B,'Base stats'!E:E),Groups!A:A,Groups!B:B)&gt;0),"AnimalUncommon","AnimalCommon"),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stats'!AH:AH)=1,AND(BG73&lt;&gt;"None",BP73&gt;=60),ISNUMBER(SEARCH("Attack target",BN73))),"AnimalFighter","")
)))</f>
        <v>AnimalUncommon</v>
      </c>
      <c r="BV73" s="25" t="str">
        <f>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</f>
        <v>AridShrubland Desert ExtremeDesert Grasslands LavaField</v>
      </c>
      <c r="BW73" s="25" t="str">
        <f>IF(_xlfn.XLOOKUP(B73,'Base stats'!B:B,'Base stats'!AG:AG)=1,"true","false")</f>
        <v>false</v>
      </c>
      <c r="BX73" s="25">
        <f>IF(_xlfn.XLOOKUP(B73,'Base stats'!B:B,'Base stats'!N:N)=1,"No",MIN(MROUND(IF(OR(_xlfn.XLOOKUP(B73,'Base stats'!B:B,'Base stats'!AJ:AJ)=1,AND(BH73="True",CA73="False")),POWER(10,3.47*LOG10(_xlfn.XLOOKUP(B73,'Base stats'!B:B,'Base stats'!C:C)*1000)^-0.96),POWER(10,4.15*LOG10(_xlfn.XLOOKUP(B73,'Base stats'!B:B,'Base stats'!C:C)*1000)^-0.73))*IF(OR(_xlfn.XLOOKUP(B73,'Base stats'!B:B,'Base stats'!AJ:AJ)=1,_xlfn.XLOOKUP(B73,'Base stats'!B:B,'Base stats'!AH:AH)=1),0.5,1)/100,0.025),1))</f>
        <v>0.375</v>
      </c>
      <c r="BY73" s="25" t="str">
        <f>IF(O73="Standard","No",IF(_xlfn.XLOOKUP(B73,'Base stats'!B:B,'Base stats'!N:N)=0,MROUND(BX73*O73,0.05),MIN(1,MAX(0.025,MROUND(IF(OR(CA73="true",AND(BH73="false",BM73="false")),POWER(10,4.15*LOG10(_xlfn.XLOOKUP(B73,'Base stats'!B:B,'Base stats'!C:C)*1000)^-0.73),POWER(10,3.47*LOG10(_xlfn.XLOOKUP(B73,'Base stats'!B:B,'Base stats'!C:C)*1000)^-0.96))*IF(_xlfn.XLOOKUP(B73,'Base stats'!B:B,'Base stats'!AH:AH)=1,0.5,1)/100,0.025)))))</f>
        <v>No</v>
      </c>
      <c r="BZ73" s="25" t="str">
        <f>IF(_xlfn.XLOOKUP(_xlfn.XLOOKUP(B73,'Base stats'!B:B,'Base stats'!E:E),Groups!A:A,Groups!AJ:AJ)="Mammal","True","False")</f>
        <v>False</v>
      </c>
      <c r="CA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B73" s="25" t="str">
        <f t="shared" si="13"/>
        <v>False</v>
      </c>
      <c r="CC73" s="25" t="str">
        <f>IF(_xlfn.XLOOKUP(_xlfn.XLOOKUP(B73,'Base stats'!B:B,'Base stats'!E:E),Groups!A:A,Groups!AW:AW),"True","False")</f>
        <v>False</v>
      </c>
      <c r="CD73" s="25" t="str">
        <f>IF(_xlfn.XLOOKUP(_xlfn.XLOOKUP(B73,'Base stats'!B:B,'Base stats'!E:E),Groups!A:A,Groups!AX:AX),"True","False")</f>
        <v>False</v>
      </c>
      <c r="CE73" s="25" t="str">
        <f>IF(_xlfn.XLOOKUP(B73,'Base stats'!B:B,'Base stats'!E:E)=1,"True","False")</f>
        <v>False</v>
      </c>
      <c r="CF73" s="25" t="str">
        <f>IF(
OR(
_xlfn.XLOOKUP(_xlfn.XLOOKUP(B73,'Base stats'!B:B,'Base stats'!E:E),Groups!A:A,Groups!AY:AY)=0,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stats'!E:E),Groups!A:A,Groups!AY:AY)=1,
"Flesh",
IF(
_xlfn.XLOOKUP(_xlfn.XLOOKUP(B73,'Base stats'!B:B,'Base stats'!E:E),Groups!A:A,Groups!AY:AY)=2,
"Bone",
""
)
)
)</f>
        <v>Flesh</v>
      </c>
      <c r="CG73" s="25" t="str">
        <f>IF(_xlfn.XLOOKUP(_xlfn.XLOOKUP(B73,'Base stats'!B:B,'Base stats'!E:E),Groups!A:A,Groups!BA:BA),"True","False")</f>
        <v>True</v>
      </c>
      <c r="CH73" s="25" t="str">
        <f>IF(_xlfn.XLOOKUP(_xlfn.XLOOKUP(B73,'Base stats'!B:B,'Base stats'!E:E),Groups!A:A,Groups!AZ:AZ),"True","False")</f>
        <v>False</v>
      </c>
    </row>
    <row r="74" spans="1:86" ht="16.5" thickTop="1" thickBot="1" x14ac:dyDescent="0.3">
      <c r="A74" s="26" t="str">
        <f>_xlfn.XLOOKUP(B74,'Base stats'!B:B,'Base stats'!A:A)</f>
        <v>Tiger</v>
      </c>
      <c r="B74" s="6" t="s">
        <v>74</v>
      </c>
      <c r="C74" s="28" t="s">
        <v>766</v>
      </c>
      <c r="D74" s="28" t="s">
        <v>882</v>
      </c>
      <c r="E74" s="28" t="s">
        <v>701</v>
      </c>
      <c r="F74" s="28" t="s">
        <v>702</v>
      </c>
      <c r="G74" s="2">
        <f>MROUND((
  (IF(AND(_xlfn.XLOOKUP(B74,'Base stats'!B:B,'Base stats'!AI:AI)=0,BG74="None",_xlfn.XLOOKUP('Base stats'!E74,Groups!A:A,Groups!B:B)=0), (18 + BP74 * 2.7) * 0.5,
    IF(AND(_xlfn.XLOOKUP(B74,'Base stats'!B:B,'Base stats'!AI:AI)=0,OR(AN74&lt;0.55,AND(BG74="Intermediate",_xlfn.XLOOKUP('Base stats'!E74,Groups!A:A,Groups!B:B)&lt;2))), (18 + BP74 * 2.7),
      IF(OR(BG74="Advanced",_xlfn.XLOOKUP(B74,'Base stats'!B:B,'Base stats'!AI:AI)=1,_xlfn.XLOOKUP('Base stats'!E74,Groups!A:A,Groups!B:B)=2), (18 + BP74 * 2.7) + 250, (18 + BP74 * 2.7))
    )
  ))
  + AN74 * 80
  + IF(COUNTIF(EggMilk!K$2:K$998, A74) &gt; 0, 125, 0)
  + IF(COUNTIF(EggMilk!P$2:P$998, A74) &gt; 0, 90, 0)
  + IF(COUNTIF(EggMilk!A$2:A$998, A74) &gt; 0, 90, 0)
)
* (0.8 + 0.4 * I74)
* 0.75,25)</f>
        <v>850</v>
      </c>
      <c r="H74" s="2">
        <f>MROUND(ROUNDDOWN(_xlfn.XLOOKUP(B74,'Base stats'!B:B,'Base stats'!L:L)/3.6/(23.3/11),1),0.5)</f>
        <v>7.5</v>
      </c>
      <c r="I74" s="2">
        <f>IF(_xlfn.XLOOKUP(B74,'Base stats'!B:B,'Base stats'!AI:AI)=1,0.99,MIN(MROUND((1-0.6282*EXP(-0.459*AN74))*_xlfn.XLOOKUP(_xlfn.XLOOKUP(B74,'Base stats'!B:B,'Base stats'!E:E),Groups!A:A,Groups!C:C)*IF(_xlfn.XLOOKUP(B74,'Base stats'!B:B,'Base stats'!O:O)=1,0.5,IF(_xlfn.XLOOKUP(B74,'Base stats'!B:B,'Base stats'!O:O)=2,0,1)),0.05),0.985))</f>
        <v>0.9</v>
      </c>
      <c r="J74" s="2">
        <f>ROUNDUP(AN74*_xlfn.XLOOKUP(_xlfn.XLOOKUP(B74,'Base stats'!B:B,'Base stats'!E:E),Groups!A:A,Groups!E:E),0)</f>
        <v>2</v>
      </c>
      <c r="K74" s="2">
        <f>IF(OR(_xlfn.XLOOKUP(_xlfn.XLOOKUP(B74,'Base stats'!B:B,'Base stats'!E:E),Groups!A:A,Groups!F:F)=2,ISNUMBER(SEARCH("SeaIce",BV74)),ISNUMBER(SEARCH("IceSheet",BV74))),-50,IF(OR(ISNUMBER(SEARCH("GlacialPlain",BV74)),ISNUMBER(SEARCH("Tundra",BV74))),-40,IF(OR(ISNUMBER(SEARCH("Alpine",BV74)),ISNUMBER(SEARCH("BorealForest",BV74)),ISNUMBER(SEARCH("ColdBog",BV74))),-30,IF(OR(ISNUMBER(SEARCH("TemperateForest",BV74)),ISNUMBER(SEARCH("TemperateSwamp",BV74))),-20,IF(_xlfn.XLOOKUP(_xlfn.XLOOKUP(B74,'Base stats'!B:B,'Base stats'!E:E),Groups!A:A,Groups!F:F)=1,-15,IF(OR(ISNUMBER(SEARCH("Desert",BV74)),ISNUMBER(SEARCH("ExtremeDesert",BV74))),-10,IF(OR(ISNUMBER(SEARCH("Grasslands",BV74)),ISNUMBER(SEARCH("TropicalRainforest",BV74)),ISNUMBER(SEARCH("TropicalSwamp",BV74))),10,0)))))))-IF(CA74="False",MIN(IFERROR(MAX(MROUND(LOG10(_xlfn.XLOOKUP(B74,'Base stats'!B:B,'Base stats'!C:C)^(2/3))*10,5),5),5),30))-_xlfn.XLOOKUP(B74,'Base stats'!B:B,'Base stats'!P:P)+IF(CA74="True",5,0)</f>
        <v>-30</v>
      </c>
      <c r="L74" s="2">
        <f>IF(OR(_xlfn.XLOOKUP(_xlfn.XLOOKUP(B74,'Base stats'!B:B,'Base stats'!E:E),Groups!A:A,Groups!G:G)=2,ISNUMBER(SEARCH("Desert",BV74)),ISNUMBER(SEARCH("ExtremeDesert",BV74)),ISNUMBER(SEARCH("LavaField",BV74))),50,IF(ISNUMBER(SEARCH("Grasslands",BV74)),45,IF(OR(_xlfn.XLOOKUP(_xlfn.XLOOKUP(B74,'Base stats'!B:B,'Base stats'!E:E),Groups!A:A,Groups!G:G)=1,ISNUMBER(SEARCH("TropicalRainforest",BV74)),ISNUMBER(SEARCH("TropicalSwamp",BV74))),40,IF(OR(ISNUMBER(SEARCH("TemperateForest",BV74)),ISNUMBER(SEARCH("TemperateSwamp",BV74))),35,IF(OR(ISNUMBER(SEARCH("Alpine",BV74)),ISNUMBER(SEARCH("BorealForest",BV74)),ISNUMBER(SEARCH("ColdBog",BV74))),30,IF(ISNUMBER(OR(ISNUMBER(SEARCH("GlacialPlain",BV74)),SEARCH("Tundra",BV74))),25,IF(OR(ISNUMBER(SEARCH("SeaIce",BV74)),ISNUMBER(SEARCH("IceSheet",BV74)),ISNUMBER(SEARCH("TropicalSwamp",BV74))),10,35)))))))+_xlfn.XLOOKUP(B74,'Base stats'!B:B,'Base stats'!Q:Q)</f>
        <v>40</v>
      </c>
      <c r="M74" s="8" t="str">
        <f>IF(_xlfn.XLOOKUP(_xlfn.XLOOKUP(B74,'Base stats'!B:B,'Base stats'!E:E),Groups!A:A,Groups!L:L)=1,MIN(MROUND(_xlfn.XLOOKUP(B74,'Animals CE'!B:B,'Animals CE'!Z:Z)/2+0.05,0.05),200%),"No")</f>
        <v>No</v>
      </c>
      <c r="N74" s="8" t="str">
        <f>IF(_xlfn.XLOOKUP(_xlfn.XLOOKUP(B74,'Base stats'!B:B,'Base stats'!E:E),Groups!A:A,Groups!L:L)=1,MIN(MROUND(_xlfn.XLOOKUP(B74,'Animals CE'!B:B,'Animals CE'!AA:AA)/2+0.05,0.05),200%),"No")</f>
        <v>No</v>
      </c>
      <c r="O74" s="2" t="str">
        <f>_xlfn.XLOOKUP(B74,'Base stats'!B:B,'Base stats'!R:R)</f>
        <v>Standard</v>
      </c>
      <c r="P74" s="13">
        <f>MROUND((LOG10(_xlfn.XLOOKUP(B74,'Base stats'!B:B,'Base stats'!AO:AO))*(AN74^0.5)+(_xlfn.XLOOKUP(B74,'Base stats'!B:B,'Base stats'!AO:AO)/1000)^(2/3)+_xlfn.XLOOKUP(B74,'Base stats'!B:B,'Base stats'!AX:AX)/2)+0.5,0.5)</f>
        <v>10.5</v>
      </c>
      <c r="Q74" s="7">
        <f>IF(P74="No","No",MAX(1,MROUND(_xlfn.XLOOKUP(B74,'Base stats'!B:B,'Base stats'!C:C)^0.165,0.05)))</f>
        <v>2.35</v>
      </c>
      <c r="R74" s="13" t="str">
        <f>IF(_xlfn.XLOOKUP(_xlfn.XLOOKUP(B74,'Base stats'!B:B,'Base stats'!E:E),Groups!A:A,Groups!P:P)=0,"No",MROUND((LOG10(_xlfn.XLOOKUP(B74,'Base stats'!B:B,'Base stats'!AP:AP))*(AN74^0.5)+(_xlfn.XLOOKUP(B74,'Base stats'!B:B,'Base stats'!AP:AP)/1000)^(2/3)+_xlfn.XLOOKUP(B74,'Base stats'!B:B,'Base stats'!AX:AX))+_xlfn.XLOOKUP(B74,'Base stats'!B:B,'Base stats'!AV:AV)+0.5,0.5))</f>
        <v>No</v>
      </c>
      <c r="S74" s="7" t="str">
        <f>IF(R74="No","No",MAX(_xlfn.XLOOKUP(_xlfn.XLOOKUP(B74,'Base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T74" s="7" t="str">
        <f>IF(R74="No","No",_xlfn.XLOOKUP(_xlfn.XLOOKUP(B74,'Base stats'!B:B,'Base stats'!E:E),Groups!A:A,Groups!R:R))</f>
        <v>No</v>
      </c>
      <c r="U74" s="7" t="str">
        <f>IF(R74="No","No",_xlfn.XLOOKUP(_xlfn.XLOOKUP(B74,'Base stats'!B:B,'Base stats'!E:E),Groups!A:A,Groups!S:S))</f>
        <v>No</v>
      </c>
      <c r="V74" s="7" t="str">
        <f>IF(R74="No","No",_xlfn.XLOOKUP(_xlfn.XLOOKUP(B74,'Base stats'!B:B,'Base stats'!E:E),Groups!A:A,Groups!T:T))</f>
        <v>No</v>
      </c>
      <c r="W74" s="13" t="str">
        <f>IF(_xlfn.XLOOKUP(B74,'Base stats'!B:B,'Base stats'!W:W)="No","No",MROUND((LOG10(_xlfn.XLOOKUP(B74,'Base stats'!B:B,'Base stats'!AR:AR))*(AN74^0.5)+(_xlfn.XLOOKUP(B74,'Base stats'!B:B,'Base stats'!AR:AR)/1000)^(2/3)+_xlfn.XLOOKUP(B74,'Base stats'!B:B,'Base stats'!AW:AW))+0.5+IF(_xlfn.XLOOKUP(_xlfn.XLOOKUP(B74,'Base stats'!B:B,'Base stats'!E:E),Groups!A:A,Groups!U:U)&lt;&gt;3,_xlfn.XLOOKUP(B74,'Base stats'!B:B,'Base stats'!AX:AX),0),0.5))</f>
        <v>No</v>
      </c>
      <c r="X74" s="7" t="str">
        <f>IF(W74="No","No",MAX(_xlfn.XLOOKUP(_xlfn.XLOOKUP(B74,'Base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Y74" s="7" t="str">
        <f>IF(W74="No","No",_xlfn.XLOOKUP(_xlfn.XLOOKUP(B74,'Base stats'!B:B,'Base stats'!E:E),Groups!A:A,Groups!W:W))</f>
        <v>No</v>
      </c>
      <c r="Z74" s="7" t="str">
        <f>IF(W74="No","No",_xlfn.XLOOKUP(_xlfn.XLOOKUP(B74,'Base stats'!B:B,'Base stats'!E:E),Groups!A:A,Groups!X:X))</f>
        <v>No</v>
      </c>
      <c r="AA74" s="7" t="str">
        <f>IF(W74="No","No",_xlfn.XLOOKUP(_xlfn.XLOOKUP(B74,'Base stats'!B:B,'Base stats'!E:E),Groups!A:A,Groups!Y:Y))</f>
        <v>No</v>
      </c>
      <c r="AB74" s="7" t="str">
        <f>_xlfn.XLOOKUP(Animals!B74,'Base stats'!B:B,'Base stats'!X:X)</f>
        <v>False</v>
      </c>
      <c r="AC74" s="13">
        <f>IF(_xlfn.XLOOKUP(B74,'Base stats'!B:B,'Base stats'!AQ:AQ)="No","No",MROUND((LOG10(_xlfn.XLOOKUP(B74,'Base stats'!B:B,'Base stats'!AQ:AQ))*(AN74^0.75)+(_xlfn.XLOOKUP(B74,'Base stats'!B:B,'Base stats'!AQ:AQ)/1000)^(2/3)+_xlfn.XLOOKUP(B74,'Base stats'!B:B,'Base stats'!AU:AU)+_xlfn.XLOOKUP(B74,'Base stats'!B:B,'Base stats'!AX:AX))+0.5,0.5))</f>
        <v>20.5</v>
      </c>
      <c r="AD74" s="7">
        <f>IF(AC74="No","No",MAX(_xlfn.XLOOKUP(_xlfn.XLOOKUP(B74,'Base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E74" s="7" t="str">
        <f>IF(AC74="No","No",_xlfn.XLOOKUP(_xlfn.XLOOKUP(B74,'Base stats'!B:B,'Base stats'!E:E),Groups!A:A,Groups!AA:AA))</f>
        <v>Teeth</v>
      </c>
      <c r="AF74" s="7" t="str">
        <f>IF(AC74="No","No",_xlfn.XLOOKUP(_xlfn.XLOOKUP(B74,'Base stats'!B:B,'Base stats'!E:E),Groups!A:A,Groups!AB:AB))</f>
        <v>canines</v>
      </c>
      <c r="AG74" s="7" t="str">
        <f>IF(AC74="No","No",_xlfn.XLOOKUP(_xlfn.XLOOKUP(B74,'Base stats'!B:B,'Base stats'!E:E),Groups!A:A,Groups!AC:AC))</f>
        <v>Bite</v>
      </c>
      <c r="AH74" s="13">
        <f>IF(_xlfn.XLOOKUP(_xlfn.XLOOKUP(B74,'Base stats'!B:B,'Base stats'!E:E),Groups!A:A,Groups!AD:AD)=0,"No",MROUND((LOG10(_xlfn.XLOOKUP(B74,'Base stats'!B:B,'Base stats'!AP:AP))*(AN74^0.75)+(_xlfn.XLOOKUP(B74,'Base stats'!B:B,'Base stats'!AP:AP)/1000)^(2/3)+_xlfn.XLOOKUP(B74,'Base stats'!B:B,'Base stats'!AV:AV)+_xlfn.XLOOKUP(B74,'Base stats'!B:B,'Base stats'!AX:AX))+0.5,0.5))</f>
        <v>16.5</v>
      </c>
      <c r="AI74" s="7">
        <f>IF(AH74="No","No",MAX(_xlfn.XLOOKUP(_xlfn.XLOOKUP(B74,'Base stats'!B:B,'Base stats'!E:E),Groups!A:A,Groups!AE:AE),MROUND(_xlfn.XLOOKUP(_xlfn.XLOOKUP(B74,'Base stats'!B:B,'Base stats'!E:E),Groups!A:A,Groups!AE:AE)*_xlfn.XLOOKUP(B74,'Base stats'!B:B,'Base stats'!C:C)^0.165,0.05)))</f>
        <v>1.55</v>
      </c>
      <c r="AJ74" s="7" t="str">
        <f>IF(AH74="No","No",_xlfn.XLOOKUP(_xlfn.XLOOKUP(B74,'Base stats'!B:B,'Base stats'!E:E),Groups!A:A,Groups!AF:AF))</f>
        <v>FrontRightPaw, FrontRightPaw</v>
      </c>
      <c r="AK74" s="7" t="str">
        <f>IF(AH74="No","No",_xlfn.XLOOKUP(_xlfn.XLOOKUP(B74,'Base stats'!B:B,'Base stats'!E:E),Groups!A:A,Groups!AG:AG))</f>
        <v>left claw, right claw</v>
      </c>
      <c r="AL74" s="7" t="str">
        <f>IF(AH74="No","No",_xlfn.XLOOKUP(_xlfn.XLOOKUP(B74,'Base stats'!B:B,'Base stats'!E:E),Groups!A:A,Groups!AH:AH))</f>
        <v>Scratch</v>
      </c>
      <c r="AM74" s="2">
        <f t="shared" si="7"/>
        <v>25</v>
      </c>
      <c r="AN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O74" s="8">
        <f>MROUND(AN74*_xlfn.XLOOKUP(_xlfn.XLOOKUP(B74,'Base stats'!B:B,'Base stats'!E:E),Groups!A:A,Groups!AI:AI),0.05)</f>
        <v>2.0500000000000003</v>
      </c>
      <c r="AP74" s="8">
        <f>MAX(0.01,MROUND(IF(CA74="True",0.196*(AN74*100*1000)^0.889,IF(_xlfn.XLOOKUP(_xlfn.XLOOKUP(B74,'Base stats'!B:B,'Base stats'!E:E),Groups!A:A,Groups!AJ:AJ)="Bird",10.5*(AN74*100*1000)^0.681,4.82*(AN74*100*1000)^0.734))/(4.82*(1*100*1000)^0.734)/IF(AN74&lt;3.5,2,IF(AN74=3.5,1.5,1.25))*(1+0.132282374779864/(AN74^0.994035016789033+0.00905238001496948)),0.05))</f>
        <v>0.8</v>
      </c>
      <c r="AQ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R74" s="35">
        <f>IFERROR(IF(_xlfn.XLOOKUP(B74,'Base stats'!B:B,'Base stats'!F:F)="Lay eggs","Lay eggs",MIN(20,MAX(5.5,ROUND(((_xlfn.XLOOKUP(B74,'Base stats'!B:B,'Base stats'!F:F)-25)*(14.5/615) + 5.5)*2,0)/2))),"Cannot breed")</f>
        <v>7.5</v>
      </c>
      <c r="AS74" s="8">
        <f>IF(OR(A74="Queen",A74="Larva",A74="Megachicken"),"No",IFERROR(MAX(IF(_xlfn.XLOOKUP(B74,'Base stats'!B:B,'Base stats'!G:G)&lt;0.5,0.2,0.3),MROUND(_xlfn.XLOOKUP(B74,'Base stats'!B:B,'Base stats'!G:G)/(365/60),0.2)),"Unknown"))</f>
        <v>0.60000000000000009</v>
      </c>
      <c r="AT74" s="8">
        <f t="shared" si="8"/>
        <v>0.30000000000000004</v>
      </c>
      <c r="AU74" s="8">
        <f>IFERROR(IFERROR(MROUND(_xlfn.XLOOKUP(B74,'Base stats'!B:B,'Base stats'!J:J),0.1),"Lay eggs"),"Cannot breed")</f>
        <v>2.5</v>
      </c>
      <c r="AV74" s="2" t="str">
        <f t="shared" si="9"/>
        <v>false</v>
      </c>
      <c r="AW74" s="2" t="str">
        <f>IF(_xlfn.XLOOKUP(_xlfn.XLOOKUP(Animals!B74,'Base stats'!B:B,'Base stats'!E:E),Groups!A:A,Groups!AK:AK)=1,"true","false")</f>
        <v>false</v>
      </c>
      <c r="AX74" s="25" t="str">
        <f>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</f>
        <v>CarnivoreAnimal, OvivoreAnimal</v>
      </c>
      <c r="AY74" s="2" t="str">
        <f>IF(_xlfn.XLOOKUP(_xlfn.XLOOKUP(B74,'Base stats'!B:B,'Base stats'!E:E),Groups!A:A,Groups!D:D)=1,MROUND((1-I74)*5+1,2)*IF(I74&lt;=0.4,2,1),"No")</f>
        <v>No</v>
      </c>
      <c r="AZ74" s="2" t="str">
        <f>_xlfn.XLOOKUP(B74,'Base stats'!B:B,'Base stats'!AE:AE)</f>
        <v>Leather_Panthera</v>
      </c>
      <c r="BA74" s="23" t="str">
        <f>_xlfn.XLOOKUP(_xlfn.XLOOKUP(B74,'Base stats'!B:B,'Base stats'!E:E),Groups!A:A,Groups!AL:AL)</f>
        <v>QuadrupedAnimalWithPawsAndTail</v>
      </c>
      <c r="BB74" s="23">
        <f>MROUND(IF(AND(AN74&lt;0.5,_xlfn.XLOOKUP(B74,'Base stats'!B:B,'Base stats'!Z:Z)=0),0,IF(OR(_xlfn.XLOOKUP(Animals!B74,'Base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stats'!AA:AA),0.005)</f>
        <v>0.1</v>
      </c>
      <c r="BC74" s="23">
        <f>MROUND(IF(AND(AN74&lt;0.5,_xlfn.XLOOKUP(B74,'Base stats'!B:B,'Base stats'!Z:Z)=0),0,IF(_xlfn.XLOOKUP(_xlfn.XLOOKUP(B74,'Base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stats'!AB:AB),0.005)</f>
        <v>0.3</v>
      </c>
      <c r="BD74" s="2" t="str">
        <f>IF(I74&gt;0.3,"No",_xlfn.XLOOKUP(_xlfn.XLOOKUP(Animals!B74,'Base stats'!B:B,'Base stats'!E:E),Groups!A:A,Groups!AP:AP))</f>
        <v>No</v>
      </c>
      <c r="BE74" s="2" t="str">
        <f>IF(AND(I74&lt;=0.65,_xlfn.XLOOKUP(_xlfn.XLOOKUP(Animals!B74,'Base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stats'!O:O)=2,0.2,AN74) + 24*(1-IF(BD74="No",0,BD74)) + 16/3, 12),"No")</f>
        <v>No</v>
      </c>
      <c r="BF74" s="2">
        <f>IF(AND(_xlfn.XLOOKUP(_xlfn.XLOOKUP(B74,'Base stats'!B:B,'Base stats'!E:E),Groups!A:A,Groups!AQ:AQ)=1,AN74&lt;=0.35),8,12)</f>
        <v>12</v>
      </c>
      <c r="BG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H74" s="2" t="str">
        <f>IF(AND(_xlfn.XLOOKUP(_xlfn.XLOOKUP(B74,'Base stats'!B:B,'Base stats'!E:E),Groups!A:A,Groups!AS:AS)=1,OR('Base stats'!Y74="Carnivore",'Base stats'!Y74="Omnivore")),"true","false")</f>
        <v>true</v>
      </c>
      <c r="BI74" s="2">
        <f>IF(BH74="true",MROUND(IF(AND(AN74&gt;0.5,_xlfn.XLOOKUP(_xlfn.XLOOKUP(B74,'Base stats'!B:B,'Base stats'!E:E),Groups!A:A,Groups!AJ:AJ)="Mammal"),Animals!AN74*1.75*IF(AV74="true",1.5,1),Animals!AN74),IF(AN74&gt;2,0.5,IF(AN74&gt;0.5,0.25,0.1))),"No")</f>
        <v>3</v>
      </c>
      <c r="BJ74" s="2">
        <f t="shared" si="10"/>
        <v>1</v>
      </c>
      <c r="BK74" s="25" t="str">
        <f>IF('Base stats'!AK74="Standard","No",MROUND((_xlfn.XLOOKUP(B74,'Base stats'!B:B,'Base stats'!AK:AK)/3.6)/H74,0.1))</f>
        <v>No</v>
      </c>
      <c r="BL74" s="25" t="str">
        <f t="shared" si="11"/>
        <v>false</v>
      </c>
      <c r="BM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N74" s="25" t="str" cm="1">
        <f t="array" ref="BN74">IF(
  _xlfn.TEXTJOIN(", ",TRUE,
    IF(AND(BH74="true",AN74&gt;0.5,BG74&lt;&gt;"None"),"AttackTarget",""),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IF(BE74&lt;=36,"Comfort",""),
    IF(_xlfn.XLOOKUP(B74,'Base stats'!B:B,'Base stats'!AC:AC)&lt;&gt;"No",_xlfn.XLOOKUP(B74,'Base stats'!B:B,'Base stats'!AC:AC),"")
  ) = "",
  "No",
  _xlfn.TEXTJOIN(", ",TRUE,
    IF(AND(BH74="true",AN74&gt;0.5,BG74&lt;&gt;"None"),"AttackTarget",""),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IF(BE74&lt;=36,"Comfort",""),
    IF(_xlfn.XLOOKUP(B74,'Base stats'!B:B,'Base stats'!AC:AC)&lt;&gt;"No",_xlfn.XLOOKUP(B74,'Base stats'!B:B,'Base stats'!AC:AC),"")
  )
)</f>
        <v>AttackTarget</v>
      </c>
      <c r="BO74" s="25">
        <f>IF(
   AND(
      'Base stats'!AK74="Standard",_xlfn.XLOOKUP(_xlfn.XLOOKUP(B74,'Base stats'!B:B,'Base stats'!E:E),Groups!A:A,Groups!AU:AU)=0,
      OR(
      BM74="True"
      )
   ),
   10,
   IF(
       OR(BK74&lt;&gt;"No",_xlfn.XLOOKUP(_xlfn.XLOOKUP(B74,'Base stats'!B:B,'Base stats'!E:E),Groups!A:A,Groups!AU:AU)=1),
      1,
      "No"
   )
)</f>
        <v>10</v>
      </c>
      <c r="BP74" s="9">
        <f>MROUND((1 + ((0.2*IF(OR(P74="No",Q74="No",Q74=0),0,P74/Q74)
+IF(OR(U74="No",R74="No",S74="No"),0,R74/S74*(LEN(U74)-LEN(SUBSTITUTE(U74,",",""))+1))
+IF(OR(W74="No",X74="No"),0,W74/X74)
+IF(OR(AC74="No",AD74="No"),0,AC74/AD74)
+IF(OR(AK74="No",AH74="No",AI74="No"),0,AH74/AI74*(LEN(AK74)-LEN(SUBSTITUTE(AK74,",",""))+1))
)/(0.2*IF(OR(P74="No",Q74="No",Q74=0),0,1)
+IF(OR(U74="No",R74="No",S74="No"),0,LEN(U74)-LEN(SUBSTITUTE(U74,",",""))+1)
+IF(OR(W74="No",X74="No"),0,1)
+IF(OR(AC74="No",AD74="No"),0,1)
+IF(OR(AK74="No",AH74="No",AI74="No"),0,LEN(AK74)-LEN(SUBSTITUTE(AK74,",",""))+1))*62%)* 2)*(1 + (AO74 + _xlfn.XLOOKUP(B74,'Base stats'!B:B,'Base stats'!AS:AS) * 1.8) * 2) * 2.5 + 10 + H74 * 2,5)+IF(_xlfn.XLOOKUP(B74,'Base stats'!B:B,'Base stats'!AH:AH)=1,50,0)</f>
        <v>210</v>
      </c>
      <c r="BQ74" s="8">
        <f t="shared" si="12"/>
        <v>1</v>
      </c>
      <c r="BR74" s="8" t="str">
        <f>_xlfn.XLOOKUP(B74,'Base stats'!B:B,'Base stats'!AD:AD)</f>
        <v>No</v>
      </c>
      <c r="BS74" s="2" t="str">
        <f>IF(AND(I74&lt;=0.95,OR(_xlfn.XLOOKUP(B74,'Base stats'!B:B,'Base stats'!AH:AH)=1,_xlfn.XLOOKUP(B74,'Base stats'!B:B,'Base stats'!Y:Y)="Carnivore",_xlfn.XLOOKUP(B74,'Base stats'!B:B,'Base stats'!Y:Y)="Omnivore",BC74&gt;0.1)),"true","false")</f>
        <v>true</v>
      </c>
      <c r="BT74" s="2" t="str">
        <f>IF(_xlfn.XLOOKUP(B74,'Base stats'!B:B,'Base stats'!AF:AF)=1,"true","false")</f>
        <v>false</v>
      </c>
      <c r="BU74" s="25" t="str">
        <f>IF(E74="BaseInsect","AnimalInsect",
IF(I74&gt;0.95,"AnimalExotic",
_xlfn.TEXTJOIN(", ",TRUE,
IF(AND(_xlfn.XLOOKUP(B74,'Base stats'!B:B,'Base stats'!O:O)=0,_xlfn.XLOOKUP(_xlfn.XLOOKUP(B74,'Base stats'!B:B,'Base stats'!E:E),Groups!A:A,Groups!B:B)&gt;0),"AnimalUncommon","AnimalCommon"),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stats'!AH:AH)=1,AND(BG74&lt;&gt;"None",BP74&gt;=60),ISNUMBER(SEARCH("Attack target",BN74))),"AnimalFighter","")
)))</f>
        <v>AnimalUncommon, AnimalFighter</v>
      </c>
      <c r="BV74" s="25" t="str">
        <f>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</f>
        <v>TropicalRainforest TropicalSwamp Glowforest</v>
      </c>
      <c r="BW74" s="25" t="str">
        <f>IF(_xlfn.XLOOKUP(B74,'Base stats'!B:B,'Base stats'!AG:AG)=1,"true","false")</f>
        <v>false</v>
      </c>
      <c r="BX74" s="25">
        <f>IF(_xlfn.XLOOKUP(B74,'Base stats'!B:B,'Base stats'!N:N)=1,"No",MIN(MROUND(IF(OR(_xlfn.XLOOKUP(B74,'Base stats'!B:B,'Base stats'!AJ:AJ)=1,AND(BH74="True",CA74="False")),POWER(10,3.47*LOG10(_xlfn.XLOOKUP(B74,'Base stats'!B:B,'Base stats'!C:C)*1000)^-0.96),POWER(10,4.15*LOG10(_xlfn.XLOOKUP(B74,'Base stats'!B:B,'Base stats'!C:C)*1000)^-0.73))*IF(OR(_xlfn.XLOOKUP(B74,'Base stats'!B:B,'Base stats'!AJ:AJ)=1,_xlfn.XLOOKUP(B74,'Base stats'!B:B,'Base stats'!AH:AH)=1),0.5,1)/100,0.025),1))</f>
        <v>0.05</v>
      </c>
      <c r="BY74" s="25" t="str">
        <f>IF(O74="Standard","No",IF(_xlfn.XLOOKUP(B74,'Base stats'!B:B,'Base stats'!N:N)=0,MROUND(BX74*O74,0.05),MIN(1,MAX(0.025,MROUND(IF(OR(CA74="true",AND(BH74="false",BM74="false")),POWER(10,4.15*LOG10(_xlfn.XLOOKUP(B74,'Base stats'!B:B,'Base stats'!C:C)*1000)^-0.73),POWER(10,3.47*LOG10(_xlfn.XLOOKUP(B74,'Base stats'!B:B,'Base stats'!C:C)*1000)^-0.96))*IF(_xlfn.XLOOKUP(B74,'Base stats'!B:B,'Base stats'!AH:AH)=1,0.5,1)/100,0.025)))))</f>
        <v>No</v>
      </c>
      <c r="BZ74" s="25" t="str">
        <f>IF(_xlfn.XLOOKUP(_xlfn.XLOOKUP(B74,'Base stats'!B:B,'Base stats'!E:E),Groups!A:A,Groups!AJ:AJ)="Mammal","True","False")</f>
        <v>True</v>
      </c>
      <c r="CA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B74" s="25" t="str">
        <f t="shared" si="13"/>
        <v>False</v>
      </c>
      <c r="CC74" s="25" t="str">
        <f>IF(_xlfn.XLOOKUP(_xlfn.XLOOKUP(B74,'Base stats'!B:B,'Base stats'!E:E),Groups!A:A,Groups!AW:AW),"True","False")</f>
        <v>False</v>
      </c>
      <c r="CD74" s="25" t="str">
        <f>IF(_xlfn.XLOOKUP(_xlfn.XLOOKUP(B74,'Base stats'!B:B,'Base stats'!E:E),Groups!A:A,Groups!AX:AX),"True","False")</f>
        <v>False</v>
      </c>
      <c r="CE74" s="25" t="str">
        <f>IF(_xlfn.XLOOKUP(B74,'Base stats'!B:B,'Base stats'!E:E)=1,"True","False")</f>
        <v>False</v>
      </c>
      <c r="CF74" s="25" t="str">
        <f>IF(
OR(
_xlfn.XLOOKUP(_xlfn.XLOOKUP(B74,'Base stats'!B:B,'Base stats'!E:E),Groups!A:A,Groups!AY:AY)=0,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stats'!E:E),Groups!A:A,Groups!AY:AY)=1,
"Flesh",
IF(
_xlfn.XLOOKUP(_xlfn.XLOOKUP(B74,'Base stats'!B:B,'Base stats'!E:E),Groups!A:A,Groups!AY:AY)=2,
"Bone",
""
)
)
)</f>
        <v>No</v>
      </c>
      <c r="CG74" s="25" t="str">
        <f>IF(_xlfn.XLOOKUP(_xlfn.XLOOKUP(B74,'Base stats'!B:B,'Base stats'!E:E),Groups!A:A,Groups!BA:BA),"True","False")</f>
        <v>True</v>
      </c>
      <c r="CH74" s="25" t="str">
        <f>IF(_xlfn.XLOOKUP(_xlfn.XLOOKUP(B74,'Base stats'!B:B,'Base stats'!E:E),Groups!A:A,Groups!AZ:AZ),"True","False")</f>
        <v>False</v>
      </c>
    </row>
    <row r="75" spans="1:86" ht="16.5" thickTop="1" thickBot="1" x14ac:dyDescent="0.3">
      <c r="A75" s="26" t="str">
        <f>_xlfn.XLOOKUP(B75,'Base stats'!B:B,'Base stats'!A:A)</f>
        <v>Cat_Scimitar</v>
      </c>
      <c r="B75" s="6" t="s">
        <v>281</v>
      </c>
      <c r="C75" s="28" t="s">
        <v>767</v>
      </c>
      <c r="D75" s="28" t="s">
        <v>882</v>
      </c>
      <c r="E75" s="28" t="s">
        <v>701</v>
      </c>
      <c r="F75" s="28" t="s">
        <v>702</v>
      </c>
      <c r="G75" s="2">
        <f>MROUND((
  (IF(AND(_xlfn.XLOOKUP(B75,'Base stats'!B:B,'Base stats'!AI:AI)=0,BG75="None",_xlfn.XLOOKUP('Base stats'!E75,Groups!A:A,Groups!B:B)=0), (18 + BP75 * 2.7) * 0.5,
    IF(AND(_xlfn.XLOOKUP(B75,'Base stats'!B:B,'Base stats'!AI:AI)=0,OR(AN75&lt;0.55,AND(BG75="Intermediate",_xlfn.XLOOKUP('Base stats'!E75,Groups!A:A,Groups!B:B)&lt;2))), (18 + BP75 * 2.7),
      IF(OR(BG75="Advanced",_xlfn.XLOOKUP(B75,'Base stats'!B:B,'Base stats'!AI:AI)=1,_xlfn.XLOOKUP('Base stats'!E75,Groups!A:A,Groups!B:B)=2), (18 + BP75 * 2.7) + 250, (18 + BP75 * 2.7))
    )
  ))
  + AN75 * 80
  + IF(COUNTIF(EggMilk!K$2:K$998, A75) &gt; 0, 125, 0)
  + IF(COUNTIF(EggMilk!P$2:P$998, A75) &gt; 0, 90, 0)
  + IF(COUNTIF(EggMilk!A$2:A$998, A75) &gt; 0, 90, 0)
)
* (0.8 + 0.4 * I75)
* 0.75,25)</f>
        <v>900</v>
      </c>
      <c r="H75" s="2">
        <f>MROUND(ROUNDDOWN(_xlfn.XLOOKUP(B75,'Base stats'!B:B,'Base stats'!L:L)/3.6/(23.3/11),1),0.5)</f>
        <v>7</v>
      </c>
      <c r="I75" s="2">
        <f>IF(_xlfn.XLOOKUP(B75,'Base stats'!B:B,'Base stats'!AI:AI)=1,0.99,MIN(MROUND((1-0.6282*EXP(-0.459*AN75))*_xlfn.XLOOKUP(_xlfn.XLOOKUP(B75,'Base stats'!B:B,'Base stats'!E:E),Groups!A:A,Groups!C:C)*IF(_xlfn.XLOOKUP(B75,'Base stats'!B:B,'Base stats'!O:O)=1,0.5,IF(_xlfn.XLOOKUP(B75,'Base stats'!B:B,'Base stats'!O:O)=2,0,1)),0.05),0.985))</f>
        <v>0.9</v>
      </c>
      <c r="J75" s="2">
        <f>ROUNDUP(AN75*_xlfn.XLOOKUP(_xlfn.XLOOKUP(B75,'Base stats'!B:B,'Base stats'!E:E),Groups!A:A,Groups!E:E),0)</f>
        <v>2</v>
      </c>
      <c r="K75" s="2">
        <f>IF(OR(_xlfn.XLOOKUP(_xlfn.XLOOKUP(B75,'Base stats'!B:B,'Base stats'!E:E),Groups!A:A,Groups!F:F)=2,ISNUMBER(SEARCH("SeaIce",BV75)),ISNUMBER(SEARCH("IceSheet",BV75))),-50,IF(OR(ISNUMBER(SEARCH("GlacialPlain",BV75)),ISNUMBER(SEARCH("Tundra",BV75))),-40,IF(OR(ISNUMBER(SEARCH("Alpine",BV75)),ISNUMBER(SEARCH("BorealForest",BV75)),ISNUMBER(SEARCH("ColdBog",BV75))),-30,IF(OR(ISNUMBER(SEARCH("TemperateForest",BV75)),ISNUMBER(SEARCH("TemperateSwamp",BV75))),-20,IF(_xlfn.XLOOKUP(_xlfn.XLOOKUP(B75,'Base stats'!B:B,'Base stats'!E:E),Groups!A:A,Groups!F:F)=1,-15,IF(OR(ISNUMBER(SEARCH("Desert",BV75)),ISNUMBER(SEARCH("ExtremeDesert",BV75))),-10,IF(OR(ISNUMBER(SEARCH("Grasslands",BV75)),ISNUMBER(SEARCH("TropicalRainforest",BV75)),ISNUMBER(SEARCH("TropicalSwamp",BV75))),10,0)))))))-IF(CA75="False",MIN(IFERROR(MAX(MROUND(LOG10(_xlfn.XLOOKUP(B75,'Base stats'!B:B,'Base stats'!C:C)^(2/3))*10,5),5),5),30))-_xlfn.XLOOKUP(B75,'Base stats'!B:B,'Base stats'!P:P)+IF(CA75="True",5,0)</f>
        <v>-55</v>
      </c>
      <c r="L75" s="2">
        <f>IF(OR(_xlfn.XLOOKUP(_xlfn.XLOOKUP(B75,'Base stats'!B:B,'Base stats'!E:E),Groups!A:A,Groups!G:G)=2,ISNUMBER(SEARCH("Desert",BV75)),ISNUMBER(SEARCH("ExtremeDesert",BV75)),ISNUMBER(SEARCH("LavaField",BV75))),50,IF(ISNUMBER(SEARCH("Grasslands",BV75)),45,IF(OR(_xlfn.XLOOKUP(_xlfn.XLOOKUP(B75,'Base stats'!B:B,'Base stats'!E:E),Groups!A:A,Groups!G:G)=1,ISNUMBER(SEARCH("TropicalRainforest",BV75)),ISNUMBER(SEARCH("TropicalSwamp",BV75))),40,IF(OR(ISNUMBER(SEARCH("TemperateForest",BV75)),ISNUMBER(SEARCH("TemperateSwamp",BV75))),35,IF(OR(ISNUMBER(SEARCH("Alpine",BV75)),ISNUMBER(SEARCH("BorealForest",BV75)),ISNUMBER(SEARCH("ColdBog",BV75))),30,IF(ISNUMBER(OR(ISNUMBER(SEARCH("GlacialPlain",BV75)),SEARCH("Tundra",BV75))),25,IF(OR(ISNUMBER(SEARCH("SeaIce",BV75)),ISNUMBER(SEARCH("IceSheet",BV75)),ISNUMBER(SEARCH("TropicalSwamp",BV75))),10,35)))))))+_xlfn.XLOOKUP(B75,'Base stats'!B:B,'Base stats'!Q:Q)</f>
        <v>40</v>
      </c>
      <c r="M75" s="8" t="str">
        <f>IF(_xlfn.XLOOKUP(_xlfn.XLOOKUP(B75,'Base stats'!B:B,'Base stats'!E:E),Groups!A:A,Groups!L:L)=1,MIN(MROUND(_xlfn.XLOOKUP(B75,'Animals CE'!B:B,'Animals CE'!Z:Z)/2+0.05,0.05),200%),"No")</f>
        <v>No</v>
      </c>
      <c r="N75" s="8" t="str">
        <f>IF(_xlfn.XLOOKUP(_xlfn.XLOOKUP(B75,'Base stats'!B:B,'Base stats'!E:E),Groups!A:A,Groups!L:L)=1,MIN(MROUND(_xlfn.XLOOKUP(B75,'Animals CE'!B:B,'Animals CE'!AA:AA)/2+0.05,0.05),200%),"No")</f>
        <v>No</v>
      </c>
      <c r="O75" s="2" t="str">
        <f>_xlfn.XLOOKUP(B75,'Base stats'!B:B,'Base stats'!R:R)</f>
        <v>Standard</v>
      </c>
      <c r="P75" s="13">
        <f>MROUND((LOG10(_xlfn.XLOOKUP(B75,'Base stats'!B:B,'Base stats'!AO:AO))*(AN75^0.5)+(_xlfn.XLOOKUP(B75,'Base stats'!B:B,'Base stats'!AO:AO)/1000)^(2/3)+_xlfn.XLOOKUP(B75,'Base stats'!B:B,'Base stats'!AX:AX)/2)+0.5,0.5)</f>
        <v>11.5</v>
      </c>
      <c r="Q75" s="7">
        <f>IF(P75="No","No",MAX(1,MROUND(_xlfn.XLOOKUP(B75,'Base stats'!B:B,'Base stats'!C:C)^0.165,0.05)))</f>
        <v>2.4500000000000002</v>
      </c>
      <c r="R75" s="13" t="str">
        <f>IF(_xlfn.XLOOKUP(_xlfn.XLOOKUP(B75,'Base stats'!B:B,'Base stats'!E:E),Groups!A:A,Groups!P:P)=0,"No",MROUND((LOG10(_xlfn.XLOOKUP(B75,'Base stats'!B:B,'Base stats'!AP:AP))*(AN75^0.5)+(_xlfn.XLOOKUP(B75,'Base stats'!B:B,'Base stats'!AP:AP)/1000)^(2/3)+_xlfn.XLOOKUP(B75,'Base stats'!B:B,'Base stats'!AX:AX))+_xlfn.XLOOKUP(B75,'Base stats'!B:B,'Base stats'!AV:AV)+0.5,0.5))</f>
        <v>No</v>
      </c>
      <c r="S75" s="7" t="str">
        <f>IF(R75="No","No",MAX(_xlfn.XLOOKUP(_xlfn.XLOOKUP(B75,'Base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T75" s="7" t="str">
        <f>IF(R75="No","No",_xlfn.XLOOKUP(_xlfn.XLOOKUP(B75,'Base stats'!B:B,'Base stats'!E:E),Groups!A:A,Groups!R:R))</f>
        <v>No</v>
      </c>
      <c r="U75" s="7" t="str">
        <f>IF(R75="No","No",_xlfn.XLOOKUP(_xlfn.XLOOKUP(B75,'Base stats'!B:B,'Base stats'!E:E),Groups!A:A,Groups!S:S))</f>
        <v>No</v>
      </c>
      <c r="V75" s="7" t="str">
        <f>IF(R75="No","No",_xlfn.XLOOKUP(_xlfn.XLOOKUP(B75,'Base stats'!B:B,'Base stats'!E:E),Groups!A:A,Groups!T:T))</f>
        <v>No</v>
      </c>
      <c r="W75" s="13" t="str">
        <f>IF(_xlfn.XLOOKUP(B75,'Base stats'!B:B,'Base stats'!W:W)="No","No",MROUND((LOG10(_xlfn.XLOOKUP(B75,'Base stats'!B:B,'Base stats'!AR:AR))*(AN75^0.5)+(_xlfn.XLOOKUP(B75,'Base stats'!B:B,'Base stats'!AR:AR)/1000)^(2/3)+_xlfn.XLOOKUP(B75,'Base stats'!B:B,'Base stats'!AW:AW))+0.5+IF(_xlfn.XLOOKUP(_xlfn.XLOOKUP(B75,'Base stats'!B:B,'Base stats'!E:E),Groups!A:A,Groups!U:U)&lt;&gt;3,_xlfn.XLOOKUP(B75,'Base stats'!B:B,'Base stats'!AX:AX),0),0.5))</f>
        <v>No</v>
      </c>
      <c r="X75" s="7" t="str">
        <f>IF(W75="No","No",MAX(_xlfn.XLOOKUP(_xlfn.XLOOKUP(B75,'Base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Y75" s="7" t="str">
        <f>IF(W75="No","No",_xlfn.XLOOKUP(_xlfn.XLOOKUP(B75,'Base stats'!B:B,'Base stats'!E:E),Groups!A:A,Groups!W:W))</f>
        <v>No</v>
      </c>
      <c r="Z75" s="7" t="str">
        <f>IF(W75="No","No",_xlfn.XLOOKUP(_xlfn.XLOOKUP(B75,'Base stats'!B:B,'Base stats'!E:E),Groups!A:A,Groups!X:X))</f>
        <v>No</v>
      </c>
      <c r="AA75" s="7" t="str">
        <f>IF(W75="No","No",_xlfn.XLOOKUP(_xlfn.XLOOKUP(B75,'Base stats'!B:B,'Base stats'!E:E),Groups!A:A,Groups!Y:Y))</f>
        <v>No</v>
      </c>
      <c r="AB75" s="7" t="str">
        <f>_xlfn.XLOOKUP(Animals!B75,'Base stats'!B:B,'Base stats'!X:X)</f>
        <v>False</v>
      </c>
      <c r="AC75" s="13">
        <f>IF(_xlfn.XLOOKUP(B75,'Base stats'!B:B,'Base stats'!AQ:AQ)="No","No",MROUND((LOG10(_xlfn.XLOOKUP(B75,'Base stats'!B:B,'Base stats'!AQ:AQ))*(AN75^0.75)+(_xlfn.XLOOKUP(B75,'Base stats'!B:B,'Base stats'!AQ:AQ)/1000)^(2/3)+_xlfn.XLOOKUP(B75,'Base stats'!B:B,'Base stats'!AU:AU)+_xlfn.XLOOKUP(B75,'Base stats'!B:B,'Base stats'!AX:AX))+0.5,0.5))</f>
        <v>22</v>
      </c>
      <c r="AD75" s="7">
        <f>IF(AC75="No","No",MAX(_xlfn.XLOOKUP(_xlfn.XLOOKUP(B75,'Base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E75" s="7" t="str">
        <f>IF(AC75="No","No",_xlfn.XLOOKUP(_xlfn.XLOOKUP(B75,'Base stats'!B:B,'Base stats'!E:E),Groups!A:A,Groups!AA:AA))</f>
        <v>Teeth</v>
      </c>
      <c r="AF75" s="7" t="str">
        <f>IF(AC75="No","No",_xlfn.XLOOKUP(_xlfn.XLOOKUP(B75,'Base stats'!B:B,'Base stats'!E:E),Groups!A:A,Groups!AB:AB))</f>
        <v>canines</v>
      </c>
      <c r="AG75" s="7" t="str">
        <f>IF(AC75="No","No",_xlfn.XLOOKUP(_xlfn.XLOOKUP(B75,'Base stats'!B:B,'Base stats'!E:E),Groups!A:A,Groups!AC:AC))</f>
        <v>Bite</v>
      </c>
      <c r="AH75" s="13">
        <f>IF(_xlfn.XLOOKUP(_xlfn.XLOOKUP(B75,'Base stats'!B:B,'Base stats'!E:E),Groups!A:A,Groups!AD:AD)=0,"No",MROUND((LOG10(_xlfn.XLOOKUP(B75,'Base stats'!B:B,'Base stats'!AP:AP))*(AN75^0.75)+(_xlfn.XLOOKUP(B75,'Base stats'!B:B,'Base stats'!AP:AP)/1000)^(2/3)+_xlfn.XLOOKUP(B75,'Base stats'!B:B,'Base stats'!AV:AV)+_xlfn.XLOOKUP(B75,'Base stats'!B:B,'Base stats'!AX:AX))+0.5,0.5))</f>
        <v>17.5</v>
      </c>
      <c r="AI75" s="7">
        <f>IF(AH75="No","No",MAX(_xlfn.XLOOKUP(_xlfn.XLOOKUP(B75,'Base stats'!B:B,'Base stats'!E:E),Groups!A:A,Groups!AE:AE),MROUND(_xlfn.XLOOKUP(_xlfn.XLOOKUP(B75,'Base stats'!B:B,'Base stats'!E:E),Groups!A:A,Groups!AE:AE)*_xlfn.XLOOKUP(B75,'Base stats'!B:B,'Base stats'!C:C)^0.165,0.05)))</f>
        <v>1.6</v>
      </c>
      <c r="AJ75" s="7" t="str">
        <f>IF(AH75="No","No",_xlfn.XLOOKUP(_xlfn.XLOOKUP(B75,'Base stats'!B:B,'Base stats'!E:E),Groups!A:A,Groups!AF:AF))</f>
        <v>FrontRightPaw, FrontRightPaw</v>
      </c>
      <c r="AK75" s="7" t="str">
        <f>IF(AH75="No","No",_xlfn.XLOOKUP(_xlfn.XLOOKUP(B75,'Base stats'!B:B,'Base stats'!E:E),Groups!A:A,Groups!AG:AG))</f>
        <v>left claw, right claw</v>
      </c>
      <c r="AL75" s="7" t="str">
        <f>IF(AH75="No","No",_xlfn.XLOOKUP(_xlfn.XLOOKUP(B75,'Base stats'!B:B,'Base stats'!E:E),Groups!A:A,Groups!AH:AH))</f>
        <v>Scratch</v>
      </c>
      <c r="AM75" s="2">
        <f t="shared" si="7"/>
        <v>25</v>
      </c>
      <c r="AN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O75" s="8">
        <f>MROUND(AN75*_xlfn.XLOOKUP(_xlfn.XLOOKUP(B75,'Base stats'!B:B,'Base stats'!E:E),Groups!A:A,Groups!AI:AI),0.05)</f>
        <v>2.3000000000000003</v>
      </c>
      <c r="AP75" s="8">
        <f>MAX(0.01,MROUND(IF(CA75="True",0.196*(AN75*100*1000)^0.889,IF(_xlfn.XLOOKUP(_xlfn.XLOOKUP(B75,'Base stats'!B:B,'Base stats'!E:E),Groups!A:A,Groups!AJ:AJ)="Bird",10.5*(AN75*100*1000)^0.681,4.82*(AN75*100*1000)^0.734))/(4.82*(1*100*1000)^0.734)/IF(AN75&lt;3.5,2,IF(AN75=3.5,1.5,1.25))*(1+0.132282374779864/(AN75^0.994035016789033+0.00905238001496948)),0.05))</f>
        <v>0.85000000000000009</v>
      </c>
      <c r="AQ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R75" s="35">
        <f>IFERROR(IF(_xlfn.XLOOKUP(B75,'Base stats'!B:B,'Base stats'!F:F)="Lay eggs","Lay eggs",MIN(20,MAX(5.5,ROUND(((_xlfn.XLOOKUP(B75,'Base stats'!B:B,'Base stats'!F:F)-25)*(14.5/615) + 5.5)*2,0)/2))),"Cannot breed")</f>
        <v>7.5</v>
      </c>
      <c r="AS75" s="8">
        <f>IF(OR(A75="Queen",A75="Larva",A75="Megachicken"),"No",IFERROR(MAX(IF(_xlfn.XLOOKUP(B75,'Base stats'!B:B,'Base stats'!G:G)&lt;0.5,0.2,0.3),MROUND(_xlfn.XLOOKUP(B75,'Base stats'!B:B,'Base stats'!G:G)/(365/60),0.2)),"Unknown"))</f>
        <v>0.60000000000000009</v>
      </c>
      <c r="AT75" s="8">
        <f t="shared" si="8"/>
        <v>0.30000000000000004</v>
      </c>
      <c r="AU75" s="8">
        <f>IFERROR(IFERROR(MROUND(_xlfn.XLOOKUP(B75,'Base stats'!B:B,'Base stats'!J:J),0.1),"Lay eggs"),"Cannot breed")</f>
        <v>2.5</v>
      </c>
      <c r="AV75" s="2" t="str">
        <f t="shared" si="9"/>
        <v>true</v>
      </c>
      <c r="AW75" s="2" t="str">
        <f>IF(_xlfn.XLOOKUP(_xlfn.XLOOKUP(Animals!B75,'Base stats'!B:B,'Base stats'!E:E),Groups!A:A,Groups!AK:AK)=1,"true","false")</f>
        <v>false</v>
      </c>
      <c r="AX75" s="25" t="str">
        <f>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</f>
        <v>CarnivoreAnimal, OvivoreAnimal</v>
      </c>
      <c r="AY75" s="2" t="str">
        <f>IF(_xlfn.XLOOKUP(_xlfn.XLOOKUP(B75,'Base stats'!B:B,'Base stats'!E:E),Groups!A:A,Groups!D:D)=1,MROUND((1-I75)*5+1,2)*IF(I75&lt;=0.4,2,1),"No")</f>
        <v>No</v>
      </c>
      <c r="AZ75" s="2" t="str">
        <f>_xlfn.XLOOKUP(B75,'Base stats'!B:B,'Base stats'!AE:AE)</f>
        <v>Leather_Panthera</v>
      </c>
      <c r="BA75" s="23" t="str">
        <f>_xlfn.XLOOKUP(_xlfn.XLOOKUP(B75,'Base stats'!B:B,'Base stats'!E:E),Groups!A:A,Groups!AL:AL)</f>
        <v>QuadrupedAnimalWithPawsAndTail</v>
      </c>
      <c r="BB75" s="23">
        <f>MROUND(IF(AND(AN75&lt;0.5,_xlfn.XLOOKUP(B75,'Base stats'!B:B,'Base stats'!Z:Z)=0),0,IF(OR(_xlfn.XLOOKUP(Animals!B75,'Base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stats'!AA:AA),0.005)</f>
        <v>0.1</v>
      </c>
      <c r="BC75" s="23">
        <f>MROUND(IF(AND(AN75&lt;0.5,_xlfn.XLOOKUP(B75,'Base stats'!B:B,'Base stats'!Z:Z)=0),0,IF(_xlfn.XLOOKUP(_xlfn.XLOOKUP(B75,'Base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stats'!AB:AB),0.005)</f>
        <v>0.3</v>
      </c>
      <c r="BD75" s="2" t="str">
        <f>IF(I75&gt;0.3,"No",_xlfn.XLOOKUP(_xlfn.XLOOKUP(Animals!B75,'Base stats'!B:B,'Base stats'!E:E),Groups!A:A,Groups!AP:AP))</f>
        <v>No</v>
      </c>
      <c r="BE75" s="2" t="str">
        <f>IF(AND(I75&lt;=0.65,_xlfn.XLOOKUP(_xlfn.XLOOKUP(Animals!B75,'Base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stats'!O:O)=2,0.2,AN75) + 24*(1-IF(BD75="No",0,BD75)) + 16/3, 12),"No")</f>
        <v>No</v>
      </c>
      <c r="BF75" s="2">
        <f>IF(AND(_xlfn.XLOOKUP(_xlfn.XLOOKUP(B75,'Base stats'!B:B,'Base stats'!E:E),Groups!A:A,Groups!AQ:AQ)=1,AN75&lt;=0.35),8,12)</f>
        <v>12</v>
      </c>
      <c r="BG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H75" s="2" t="str">
        <f>IF(AND(_xlfn.XLOOKUP(_xlfn.XLOOKUP(B75,'Base stats'!B:B,'Base stats'!E:E),Groups!A:A,Groups!AS:AS)=1,OR('Base stats'!Y75="Carnivore",'Base stats'!Y75="Omnivore")),"true","false")</f>
        <v>true</v>
      </c>
      <c r="BI75" s="2">
        <f>IF(BH75="true",MROUND(IF(AND(AN75&gt;0.5,_xlfn.XLOOKUP(_xlfn.XLOOKUP(B75,'Base stats'!B:B,'Base stats'!E:E),Groups!A:A,Groups!AJ:AJ)="Mammal"),Animals!AN75*1.75*IF(AV75="true",1.5,1),Animals!AN75),IF(AN75&gt;2,0.5,IF(AN75&gt;0.5,0.25,0.1))),"No")</f>
        <v>5</v>
      </c>
      <c r="BJ75" s="2">
        <f t="shared" si="10"/>
        <v>1</v>
      </c>
      <c r="BK75" s="25" t="str">
        <f>IF('Base stats'!AK75="Standard","No",MROUND((_xlfn.XLOOKUP(B75,'Base stats'!B:B,'Base stats'!AK:AK)/3.6)/H75,0.1))</f>
        <v>No</v>
      </c>
      <c r="BL75" s="25" t="str">
        <f t="shared" si="11"/>
        <v>false</v>
      </c>
      <c r="BM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N75" s="25" t="str" cm="1">
        <f t="array" ref="BN75">IF(
  _xlfn.TEXTJOIN(", ",TRUE,
    IF(AND(BH75="true",AN75&gt;0.5,BG75&lt;&gt;"None"),"AttackTarget",""),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IF(BE75&lt;=36,"Comfort",""),
    IF(_xlfn.XLOOKUP(B75,'Base stats'!B:B,'Base stats'!AC:AC)&lt;&gt;"No",_xlfn.XLOOKUP(B75,'Base stats'!B:B,'Base stats'!AC:AC),"")
  ) = "",
  "No",
  _xlfn.TEXTJOIN(", ",TRUE,
    IF(AND(BH75="true",AN75&gt;0.5,BG75&lt;&gt;"None"),"AttackTarget",""),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IF(BE75&lt;=36,"Comfort",""),
    IF(_xlfn.XLOOKUP(B75,'Base stats'!B:B,'Base stats'!AC:AC)&lt;&gt;"No",_xlfn.XLOOKUP(B75,'Base stats'!B:B,'Base stats'!AC:AC),"")
  )
)</f>
        <v>AttackTarget</v>
      </c>
      <c r="BO75" s="25" t="str">
        <f>IF(
   AND(
      'Base stats'!AK75="Standard",_xlfn.XLOOKUP(_xlfn.XLOOKUP(B75,'Base stats'!B:B,'Base stats'!E:E),Groups!A:A,Groups!AU:AU)=0,
      OR(
      BM75="True"
      )
   ),
   10,
   IF(
       OR(BK75&lt;&gt;"No",_xlfn.XLOOKUP(_xlfn.XLOOKUP(B75,'Base stats'!B:B,'Base stats'!E:E),Groups!A:A,Groups!AU:AU)=1),
      1,
      "No"
   )
)</f>
        <v>No</v>
      </c>
      <c r="BP75" s="9">
        <f>MROUND((1 + ((0.2*IF(OR(P75="No",Q75="No",Q75=0),0,P75/Q75)
+IF(OR(U75="No",R75="No",S75="No"),0,R75/S75*(LEN(U75)-LEN(SUBSTITUTE(U75,",",""))+1))
+IF(OR(W75="No",X75="No"),0,W75/X75)
+IF(OR(AC75="No",AD75="No"),0,AC75/AD75)
+IF(OR(AK75="No",AH75="No",AI75="No"),0,AH75/AI75*(LEN(AK75)-LEN(SUBSTITUTE(AK75,",",""))+1))
)/(0.2*IF(OR(P75="No",Q75="No",Q75=0),0,1)
+IF(OR(U75="No",R75="No",S75="No"),0,LEN(U75)-LEN(SUBSTITUTE(U75,",",""))+1)
+IF(OR(W75="No",X75="No"),0,1)
+IF(OR(AC75="No",AD75="No"),0,1)
+IF(OR(AK75="No",AH75="No",AI75="No"),0,LEN(AK75)-LEN(SUBSTITUTE(AK75,",",""))+1))*62%)* 2)*(1 + (AO75 + _xlfn.XLOOKUP(B75,'Base stats'!B:B,'Base stats'!AS:AS) * 1.8) * 2) * 2.5 + 10 + H75 * 2,5)+IF(_xlfn.XLOOKUP(B75,'Base stats'!B:B,'Base stats'!AH:AH)=1,50,0)</f>
        <v>230</v>
      </c>
      <c r="BQ75" s="8">
        <f t="shared" si="12"/>
        <v>1.05</v>
      </c>
      <c r="BR75" s="8" t="str">
        <f>_xlfn.XLOOKUP(B75,'Base stats'!B:B,'Base stats'!AD:AD)</f>
        <v>1~3</v>
      </c>
      <c r="BS75" s="2" t="str">
        <f>IF(AND(I75&lt;=0.95,OR(_xlfn.XLOOKUP(B75,'Base stats'!B:B,'Base stats'!AH:AH)=1,_xlfn.XLOOKUP(B75,'Base stats'!B:B,'Base stats'!Y:Y)="Carnivore",_xlfn.XLOOKUP(B75,'Base stats'!B:B,'Base stats'!Y:Y)="Omnivore",BC75&gt;0.1)),"true","false")</f>
        <v>true</v>
      </c>
      <c r="BT75" s="2" t="str">
        <f>IF(_xlfn.XLOOKUP(B75,'Base stats'!B:B,'Base stats'!AF:AF)=1,"true","false")</f>
        <v>false</v>
      </c>
      <c r="BU75" s="25" t="str">
        <f>IF(E75="BaseInsect","AnimalInsect",
IF(I75&gt;0.95,"AnimalExotic",
_xlfn.TEXTJOIN(", ",TRUE,
IF(AND(_xlfn.XLOOKUP(B75,'Base stats'!B:B,'Base stats'!O:O)=0,_xlfn.XLOOKUP(_xlfn.XLOOKUP(B75,'Base stats'!B:B,'Base stats'!E:E),Groups!A:A,Groups!B:B)&gt;0),"AnimalUncommon","AnimalCommon"),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stats'!AH:AH)=1,AND(BG75&lt;&gt;"None",BP75&gt;=60),ISNUMBER(SEARCH("Attack target",BN75))),"AnimalFighter","")
)))</f>
        <v>AnimalUncommon, AnimalFighter</v>
      </c>
      <c r="BV75" s="25" t="str">
        <f>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</f>
        <v>GlacialPlain</v>
      </c>
      <c r="BW75" s="25" t="str">
        <f>IF(_xlfn.XLOOKUP(B75,'Base stats'!B:B,'Base stats'!AG:AG)=1,"true","false")</f>
        <v>false</v>
      </c>
      <c r="BX75" s="25">
        <f>IF(_xlfn.XLOOKUP(B75,'Base stats'!B:B,'Base stats'!N:N)=1,"No",MIN(MROUND(IF(OR(_xlfn.XLOOKUP(B75,'Base stats'!B:B,'Base stats'!AJ:AJ)=1,AND(BH75="True",CA75="False")),POWER(10,3.47*LOG10(_xlfn.XLOOKUP(B75,'Base stats'!B:B,'Base stats'!C:C)*1000)^-0.96),POWER(10,4.15*LOG10(_xlfn.XLOOKUP(B75,'Base stats'!B:B,'Base stats'!C:C)*1000)^-0.73))*IF(OR(_xlfn.XLOOKUP(B75,'Base stats'!B:B,'Base stats'!AJ:AJ)=1,_xlfn.XLOOKUP(B75,'Base stats'!B:B,'Base stats'!AH:AH)=1),0.5,1)/100,0.025),1))</f>
        <v>0.05</v>
      </c>
      <c r="BY75" s="25" t="str">
        <f>IF(O75="Standard","No",IF(_xlfn.XLOOKUP(B75,'Base stats'!B:B,'Base stats'!N:N)=0,MROUND(BX75*O75,0.05),MIN(1,MAX(0.025,MROUND(IF(OR(CA75="true",AND(BH75="false",BM75="false")),POWER(10,4.15*LOG10(_xlfn.XLOOKUP(B75,'Base stats'!B:B,'Base stats'!C:C)*1000)^-0.73),POWER(10,3.47*LOG10(_xlfn.XLOOKUP(B75,'Base stats'!B:B,'Base stats'!C:C)*1000)^-0.96))*IF(_xlfn.XLOOKUP(B75,'Base stats'!B:B,'Base stats'!AH:AH)=1,0.5,1)/100,0.025)))))</f>
        <v>No</v>
      </c>
      <c r="BZ75" s="25" t="str">
        <f>IF(_xlfn.XLOOKUP(_xlfn.XLOOKUP(B75,'Base stats'!B:B,'Base stats'!E:E),Groups!A:A,Groups!AJ:AJ)="Mammal","True","False")</f>
        <v>True</v>
      </c>
      <c r="CA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B75" s="25" t="str">
        <f t="shared" si="13"/>
        <v>False</v>
      </c>
      <c r="CC75" s="25" t="str">
        <f>IF(_xlfn.XLOOKUP(_xlfn.XLOOKUP(B75,'Base stats'!B:B,'Base stats'!E:E),Groups!A:A,Groups!AW:AW),"True","False")</f>
        <v>False</v>
      </c>
      <c r="CD75" s="25" t="str">
        <f>IF(_xlfn.XLOOKUP(_xlfn.XLOOKUP(B75,'Base stats'!B:B,'Base stats'!E:E),Groups!A:A,Groups!AX:AX),"True","False")</f>
        <v>False</v>
      </c>
      <c r="CE75" s="25" t="str">
        <f>IF(_xlfn.XLOOKUP(B75,'Base stats'!B:B,'Base stats'!E:E)=1,"True","False")</f>
        <v>False</v>
      </c>
      <c r="CF75" s="25" t="str">
        <f>IF(
OR(
_xlfn.XLOOKUP(_xlfn.XLOOKUP(B75,'Base stats'!B:B,'Base stats'!E:E),Groups!A:A,Groups!AY:AY)=0,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stats'!E:E),Groups!A:A,Groups!AY:AY)=1,
"Flesh",
IF(
_xlfn.XLOOKUP(_xlfn.XLOOKUP(B75,'Base stats'!B:B,'Base stats'!E:E),Groups!A:A,Groups!AY:AY)=2,
"Bone",
""
)
)
)</f>
        <v>No</v>
      </c>
      <c r="CG75" s="25" t="str">
        <f>IF(_xlfn.XLOOKUP(_xlfn.XLOOKUP(B75,'Base stats'!B:B,'Base stats'!E:E),Groups!A:A,Groups!BA:BA),"True","False")</f>
        <v>True</v>
      </c>
      <c r="CH75" s="25" t="str">
        <f>IF(_xlfn.XLOOKUP(_xlfn.XLOOKUP(B75,'Base stats'!B:B,'Base stats'!E:E),Groups!A:A,Groups!AZ:AZ),"True","False")</f>
        <v>False</v>
      </c>
    </row>
    <row r="76" spans="1:86" ht="16.5" thickTop="1" thickBot="1" x14ac:dyDescent="0.3">
      <c r="A76" s="26" t="str">
        <f>_xlfn.XLOOKUP(B76,'Base stats'!B:B,'Base stats'!A:A)</f>
        <v>Bullfrog</v>
      </c>
      <c r="B76" s="6" t="s">
        <v>229</v>
      </c>
      <c r="C76" s="28" t="s">
        <v>768</v>
      </c>
      <c r="D76" s="28" t="s">
        <v>882</v>
      </c>
      <c r="E76" s="28" t="s">
        <v>685</v>
      </c>
      <c r="F76" s="28" t="s">
        <v>685</v>
      </c>
      <c r="G76" s="2">
        <f>MROUND((
  (IF(AND(_xlfn.XLOOKUP(B76,'Base stats'!B:B,'Base stats'!AI:AI)=0,BG76="None",_xlfn.XLOOKUP('Base stats'!E76,Groups!A:A,Groups!B:B)=0), (18 + BP76 * 2.7) * 0.5,
    IF(AND(_xlfn.XLOOKUP(B76,'Base stats'!B:B,'Base stats'!AI:AI)=0,OR(AN76&lt;0.55,AND(BG76="Intermediate",_xlfn.XLOOKUP('Base stats'!E76,Groups!A:A,Groups!B:B)&lt;2))), (18 + BP76 * 2.7),
      IF(OR(BG76="Advanced",_xlfn.XLOOKUP(B76,'Base stats'!B:B,'Base stats'!AI:AI)=1,_xlfn.XLOOKUP('Base stats'!E76,Groups!A:A,Groups!B:B)=2), (18 + BP76 * 2.7) + 250, (18 + BP76 * 2.7))
    )
  ))
  + AN76 * 80
  + IF(COUNTIF(EggMilk!K$2:K$998, A76) &gt; 0, 125, 0)
  + IF(COUNTIF(EggMilk!P$2:P$998, A76) &gt; 0, 90, 0)
  + IF(COUNTIF(EggMilk!A$2:A$998, A76) &gt; 0, 90, 0)
)
* (0.8 + 0.4 * I76)
* 0.75,25)</f>
        <v>100</v>
      </c>
      <c r="H76" s="2">
        <f>MROUND(ROUNDDOWN(_xlfn.XLOOKUP(B76,'Base stats'!B:B,'Base stats'!L:L)/3.6/(23.3/11),1),0.5)</f>
        <v>1.5</v>
      </c>
      <c r="I76" s="2">
        <f>IF(_xlfn.XLOOKUP(B76,'Base stats'!B:B,'Base stats'!AI:AI)=1,0.99,MIN(MROUND((1-0.6282*EXP(-0.459*AN76))*_xlfn.XLOOKUP(_xlfn.XLOOKUP(B76,'Base stats'!B:B,'Base stats'!E:E),Groups!A:A,Groups!C:C)*IF(_xlfn.XLOOKUP(B76,'Base stats'!B:B,'Base stats'!O:O)=1,0.5,IF(_xlfn.XLOOKUP(B76,'Base stats'!B:B,'Base stats'!O:O)=2,0,1)),0.05),0.985))</f>
        <v>0.4</v>
      </c>
      <c r="J76" s="2">
        <f>ROUNDUP(AN76*_xlfn.XLOOKUP(_xlfn.XLOOKUP(B76,'Base stats'!B:B,'Base stats'!E:E),Groups!A:A,Groups!E:E),0)</f>
        <v>1</v>
      </c>
      <c r="K76" s="2">
        <f>IF(OR(_xlfn.XLOOKUP(_xlfn.XLOOKUP(B76,'Base stats'!B:B,'Base stats'!E:E),Groups!A:A,Groups!F:F)=2,ISNUMBER(SEARCH("SeaIce",BV76)),ISNUMBER(SEARCH("IceSheet",BV76))),-50,IF(OR(ISNUMBER(SEARCH("GlacialPlain",BV76)),ISNUMBER(SEARCH("Tundra",BV76))),-40,IF(OR(ISNUMBER(SEARCH("Alpine",BV76)),ISNUMBER(SEARCH("BorealForest",BV76)),ISNUMBER(SEARCH("ColdBog",BV76))),-30,IF(OR(ISNUMBER(SEARCH("TemperateForest",BV76)),ISNUMBER(SEARCH("TemperateSwamp",BV76))),-20,IF(_xlfn.XLOOKUP(_xlfn.XLOOKUP(B76,'Base stats'!B:B,'Base stats'!E:E),Groups!A:A,Groups!F:F)=1,-15,IF(OR(ISNUMBER(SEARCH("Desert",BV76)),ISNUMBER(SEARCH("ExtremeDesert",BV76))),-10,IF(OR(ISNUMBER(SEARCH("Grasslands",BV76)),ISNUMBER(SEARCH("TropicalRainforest",BV76)),ISNUMBER(SEARCH("TropicalSwamp",BV76))),10,0)))))))-IF(CA76="False",MIN(IFERROR(MAX(MROUND(LOG10(_xlfn.XLOOKUP(B76,'Base stats'!B:B,'Base stats'!C:C)^(2/3))*10,5),5),5),30))-_xlfn.XLOOKUP(B76,'Base stats'!B:B,'Base stats'!P:P)+IF(CA76="True",5,0)</f>
        <v>-5</v>
      </c>
      <c r="L76" s="2">
        <f>IF(OR(_xlfn.XLOOKUP(_xlfn.XLOOKUP(B76,'Base stats'!B:B,'Base stats'!E:E),Groups!A:A,Groups!G:G)=2,ISNUMBER(SEARCH("Desert",BV76)),ISNUMBER(SEARCH("ExtremeDesert",BV76)),ISNUMBER(SEARCH("LavaField",BV76))),50,IF(ISNUMBER(SEARCH("Grasslands",BV76)),45,IF(OR(_xlfn.XLOOKUP(_xlfn.XLOOKUP(B76,'Base stats'!B:B,'Base stats'!E:E),Groups!A:A,Groups!G:G)=1,ISNUMBER(SEARCH("TropicalRainforest",BV76)),ISNUMBER(SEARCH("TropicalSwamp",BV76))),40,IF(OR(ISNUMBER(SEARCH("TemperateForest",BV76)),ISNUMBER(SEARCH("TemperateSwamp",BV76))),35,IF(OR(ISNUMBER(SEARCH("Alpine",BV76)),ISNUMBER(SEARCH("BorealForest",BV76)),ISNUMBER(SEARCH("ColdBog",BV76))),30,IF(ISNUMBER(OR(ISNUMBER(SEARCH("GlacialPlain",BV76)),SEARCH("Tundra",BV76))),25,IF(OR(ISNUMBER(SEARCH("SeaIce",BV76)),ISNUMBER(SEARCH("IceSheet",BV76)),ISNUMBER(SEARCH("TropicalSwamp",BV76))),10,35)))))))+_xlfn.XLOOKUP(B76,'Base stats'!B:B,'Base stats'!Q:Q)</f>
        <v>40</v>
      </c>
      <c r="M76" s="8" t="str">
        <f>IF(_xlfn.XLOOKUP(_xlfn.XLOOKUP(B76,'Base stats'!B:B,'Base stats'!E:E),Groups!A:A,Groups!L:L)=1,MIN(MROUND(_xlfn.XLOOKUP(B76,'Animals CE'!B:B,'Animals CE'!Z:Z)/2+0.05,0.05),200%),"No")</f>
        <v>No</v>
      </c>
      <c r="N76" s="8" t="str">
        <f>IF(_xlfn.XLOOKUP(_xlfn.XLOOKUP(B76,'Base stats'!B:B,'Base stats'!E:E),Groups!A:A,Groups!L:L)=1,MIN(MROUND(_xlfn.XLOOKUP(B76,'Animals CE'!B:B,'Animals CE'!AA:AA)/2+0.05,0.05),200%),"No")</f>
        <v>No</v>
      </c>
      <c r="O76" s="2" t="str">
        <f>_xlfn.XLOOKUP(B76,'Base stats'!B:B,'Base stats'!R:R)</f>
        <v>Standard</v>
      </c>
      <c r="P76" s="13">
        <f>MROUND((LOG10(_xlfn.XLOOKUP(B76,'Base stats'!B:B,'Base stats'!AO:AO))*(AN76^0.5)+(_xlfn.XLOOKUP(B76,'Base stats'!B:B,'Base stats'!AO:AO)/1000)^(2/3)+_xlfn.XLOOKUP(B76,'Base stats'!B:B,'Base stats'!AX:AX)/2)+0.5,0.5)</f>
        <v>1.5</v>
      </c>
      <c r="Q76" s="7">
        <f>IF(P76="No","No",MAX(1,MROUND(_xlfn.XLOOKUP(B76,'Base stats'!B:B,'Base stats'!C:C)^0.165,0.05)))</f>
        <v>1</v>
      </c>
      <c r="R76" s="13" t="str">
        <f>IF(_xlfn.XLOOKUP(_xlfn.XLOOKUP(B76,'Base stats'!B:B,'Base stats'!E:E),Groups!A:A,Groups!P:P)=0,"No",MROUND((LOG10(_xlfn.XLOOKUP(B76,'Base stats'!B:B,'Base stats'!AP:AP))*(AN76^0.5)+(_xlfn.XLOOKUP(B76,'Base stats'!B:B,'Base stats'!AP:AP)/1000)^(2/3)+_xlfn.XLOOKUP(B76,'Base stats'!B:B,'Base stats'!AX:AX))+_xlfn.XLOOKUP(B76,'Base stats'!B:B,'Base stats'!AV:AV)+0.5,0.5))</f>
        <v>No</v>
      </c>
      <c r="S76" s="7" t="str">
        <f>IF(R76="No","No",MAX(_xlfn.XLOOKUP(_xlfn.XLOOKUP(B76,'Base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T76" s="7" t="str">
        <f>IF(R76="No","No",_xlfn.XLOOKUP(_xlfn.XLOOKUP(B76,'Base stats'!B:B,'Base stats'!E:E),Groups!A:A,Groups!R:R))</f>
        <v>No</v>
      </c>
      <c r="U76" s="7" t="str">
        <f>IF(R76="No","No",_xlfn.XLOOKUP(_xlfn.XLOOKUP(B76,'Base stats'!B:B,'Base stats'!E:E),Groups!A:A,Groups!S:S))</f>
        <v>No</v>
      </c>
      <c r="V76" s="7" t="str">
        <f>IF(R76="No","No",_xlfn.XLOOKUP(_xlfn.XLOOKUP(B76,'Base stats'!B:B,'Base stats'!E:E),Groups!A:A,Groups!T:T))</f>
        <v>No</v>
      </c>
      <c r="W76" s="13" t="str">
        <f>IF(_xlfn.XLOOKUP(B76,'Base stats'!B:B,'Base stats'!W:W)="No","No",MROUND((LOG10(_xlfn.XLOOKUP(B76,'Base stats'!B:B,'Base stats'!AR:AR))*(AN76^0.5)+(_xlfn.XLOOKUP(B76,'Base stats'!B:B,'Base stats'!AR:AR)/1000)^(2/3)+_xlfn.XLOOKUP(B76,'Base stats'!B:B,'Base stats'!AW:AW))+0.5+IF(_xlfn.XLOOKUP(_xlfn.XLOOKUP(B76,'Base stats'!B:B,'Base stats'!E:E),Groups!A:A,Groups!U:U)&lt;&gt;3,_xlfn.XLOOKUP(B76,'Base stats'!B:B,'Base stats'!AX:AX),0),0.5))</f>
        <v>No</v>
      </c>
      <c r="X76" s="7" t="str">
        <f>IF(W76="No","No",MAX(_xlfn.XLOOKUP(_xlfn.XLOOKUP(B76,'Base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Y76" s="7" t="str">
        <f>IF(W76="No","No",_xlfn.XLOOKUP(_xlfn.XLOOKUP(B76,'Base stats'!B:B,'Base stats'!E:E),Groups!A:A,Groups!W:W))</f>
        <v>No</v>
      </c>
      <c r="Z76" s="7" t="str">
        <f>IF(W76="No","No",_xlfn.XLOOKUP(_xlfn.XLOOKUP(B76,'Base stats'!B:B,'Base stats'!E:E),Groups!A:A,Groups!X:X))</f>
        <v>No</v>
      </c>
      <c r="AA76" s="7" t="str">
        <f>IF(W76="No","No",_xlfn.XLOOKUP(_xlfn.XLOOKUP(B76,'Base stats'!B:B,'Base stats'!E:E),Groups!A:A,Groups!Y:Y))</f>
        <v>No</v>
      </c>
      <c r="AB76" s="7" t="str">
        <f>_xlfn.XLOOKUP(Animals!B76,'Base stats'!B:B,'Base stats'!X:X)</f>
        <v>False</v>
      </c>
      <c r="AC76" s="13">
        <f>IF(_xlfn.XLOOKUP(B76,'Base stats'!B:B,'Base stats'!AQ:AQ)="No","No",MROUND((LOG10(_xlfn.XLOOKUP(B76,'Base stats'!B:B,'Base stats'!AQ:AQ))*(AN76^0.75)+(_xlfn.XLOOKUP(B76,'Base stats'!B:B,'Base stats'!AQ:AQ)/1000)^(2/3)+_xlfn.XLOOKUP(B76,'Base stats'!B:B,'Base stats'!AU:AU)+_xlfn.XLOOKUP(B76,'Base stats'!B:B,'Base stats'!AX:AX))+0.5,0.5))</f>
        <v>1.5</v>
      </c>
      <c r="AD76" s="7">
        <f>IF(AC76="No","No",MAX(_xlfn.XLOOKUP(_xlfn.XLOOKUP(B76,'Base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E76" s="7" t="str">
        <f>IF(AC76="No","No",_xlfn.XLOOKUP(_xlfn.XLOOKUP(B76,'Base stats'!B:B,'Base stats'!E:E),Groups!A:A,Groups!AA:AA))</f>
        <v>Teeth</v>
      </c>
      <c r="AF76" s="7" t="str">
        <f>IF(AC76="No","No",_xlfn.XLOOKUP(_xlfn.XLOOKUP(B76,'Base stats'!B:B,'Base stats'!E:E),Groups!A:A,Groups!AB:AB))</f>
        <v>teeth</v>
      </c>
      <c r="AG76" s="7" t="str">
        <f>IF(AC76="No","No",_xlfn.XLOOKUP(_xlfn.XLOOKUP(B76,'Base stats'!B:B,'Base stats'!E:E),Groups!A:A,Groups!AC:AC))</f>
        <v>Bite</v>
      </c>
      <c r="AH76" s="13" t="str">
        <f>IF(_xlfn.XLOOKUP(_xlfn.XLOOKUP(B76,'Base stats'!B:B,'Base stats'!E:E),Groups!A:A,Groups!AD:AD)=0,"No",MROUND((LOG10(_xlfn.XLOOKUP(B76,'Base stats'!B:B,'Base stats'!AP:AP))*(AN76^0.75)+(_xlfn.XLOOKUP(B76,'Base stats'!B:B,'Base stats'!AP:AP)/1000)^(2/3)+_xlfn.XLOOKUP(B76,'Base stats'!B:B,'Base stats'!AV:AV)+_xlfn.XLOOKUP(B76,'Base stats'!B:B,'Base stats'!AX:AX))+0.5,0.5))</f>
        <v>No</v>
      </c>
      <c r="AI76" s="7" t="str">
        <f>IF(AH76="No","No",MAX(_xlfn.XLOOKUP(_xlfn.XLOOKUP(B76,'Base stats'!B:B,'Base stats'!E:E),Groups!A:A,Groups!AE:AE),MROUND(_xlfn.XLOOKUP(_xlfn.XLOOKUP(B76,'Base stats'!B:B,'Base stats'!E:E),Groups!A:A,Groups!AE:AE)*_xlfn.XLOOKUP(B76,'Base stats'!B:B,'Base stats'!C:C)^0.165,0.05)))</f>
        <v>No</v>
      </c>
      <c r="AJ76" s="7" t="str">
        <f>IF(AH76="No","No",_xlfn.XLOOKUP(_xlfn.XLOOKUP(B76,'Base stats'!B:B,'Base stats'!E:E),Groups!A:A,Groups!AF:AF))</f>
        <v>No</v>
      </c>
      <c r="AK76" s="7" t="str">
        <f>IF(AH76="No","No",_xlfn.XLOOKUP(_xlfn.XLOOKUP(B76,'Base stats'!B:B,'Base stats'!E:E),Groups!A:A,Groups!AG:AG))</f>
        <v>No</v>
      </c>
      <c r="AL76" s="7" t="str">
        <f>IF(AH76="No","No",_xlfn.XLOOKUP(_xlfn.XLOOKUP(B76,'Base stats'!B:B,'Base stats'!E:E),Groups!A:A,Groups!AH:AH))</f>
        <v>No</v>
      </c>
      <c r="AM76" s="2">
        <f t="shared" si="7"/>
        <v>15</v>
      </c>
      <c r="AN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O76" s="8">
        <f>MROUND(AN76*_xlfn.XLOOKUP(_xlfn.XLOOKUP(B76,'Base stats'!B:B,'Base stats'!E:E),Groups!A:A,Groups!AI:AI),0.05)</f>
        <v>0.1</v>
      </c>
      <c r="AP76" s="8">
        <f>MAX(0.01,MROUND(IF(CA76="True",0.196*(AN76*100*1000)^0.889,IF(_xlfn.XLOOKUP(_xlfn.XLOOKUP(B76,'Base stats'!B:B,'Base stats'!E:E),Groups!A:A,Groups!AJ:AJ)="Bird",10.5*(AN76*100*1000)^0.681,4.82*(AN76*100*1000)^0.734))/(4.82*(1*100*1000)^0.734)/IF(AN76&lt;3.5,2,IF(AN76=3.5,1.5,1.25))*(1+0.132282374779864/(AN76^0.994035016789033+0.00905238001496948)),0.05))</f>
        <v>0.05</v>
      </c>
      <c r="AQ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R76" s="35">
        <f>IFERROR(IF(_xlfn.XLOOKUP(B76,'Base stats'!B:B,'Base stats'!F:F)="Lay eggs","Lay eggs",MIN(20,MAX(5.5,ROUND(((_xlfn.XLOOKUP(B76,'Base stats'!B:B,'Base stats'!F:F)-25)*(14.5/615) + 5.5)*2,0)/2))),"Cannot breed")</f>
        <v>6</v>
      </c>
      <c r="AS76" s="8">
        <f>IF(OR(A76="Queen",A76="Larva",A76="Megachicken"),"No",IFERROR(MAX(IF(_xlfn.XLOOKUP(B76,'Base stats'!B:B,'Base stats'!G:G)&lt;0.5,0.2,0.3),MROUND(_xlfn.XLOOKUP(B76,'Base stats'!B:B,'Base stats'!G:G)/(365/60),0.2)),"Unknown"))</f>
        <v>0.60000000000000009</v>
      </c>
      <c r="AT76" s="8">
        <f t="shared" si="8"/>
        <v>0.30000000000000004</v>
      </c>
      <c r="AU76" s="8">
        <f>IFERROR(IFERROR(MROUND(_xlfn.XLOOKUP(B76,'Base stats'!B:B,'Base stats'!J:J),0.1),"Lay eggs"),"Cannot breed")</f>
        <v>9</v>
      </c>
      <c r="AV76" s="2" t="str">
        <f t="shared" si="9"/>
        <v>false</v>
      </c>
      <c r="AW76" s="2" t="str">
        <f>IF(_xlfn.XLOOKUP(_xlfn.XLOOKUP(Animals!B76,'Base stats'!B:B,'Base stats'!E:E),Groups!A:A,Groups!AK:AK)=1,"true","false")</f>
        <v>false</v>
      </c>
      <c r="AX76" s="25" t="str">
        <f>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</f>
        <v>CarnivoreAnimal, OvivoreAnimal</v>
      </c>
      <c r="AY76" s="2">
        <f>IF(_xlfn.XLOOKUP(_xlfn.XLOOKUP(B76,'Base stats'!B:B,'Base stats'!E:E),Groups!A:A,Groups!D:D)=1,MROUND((1-I76)*5+1,2)*IF(I76&lt;=0.4,2,1),"No")</f>
        <v>8</v>
      </c>
      <c r="AZ76" s="2" t="str">
        <f>_xlfn.XLOOKUP(B76,'Base stats'!B:B,'Base stats'!AE:AE)</f>
        <v>No</v>
      </c>
      <c r="BA76" s="23" t="str">
        <f>_xlfn.XLOOKUP(_xlfn.XLOOKUP(B76,'Base stats'!B:B,'Base stats'!E:E),Groups!A:A,Groups!AL:AL)</f>
        <v>QuadrupedAnimalWithPaws</v>
      </c>
      <c r="BB76" s="23">
        <f>MROUND(IF(AND(AN76&lt;0.5,_xlfn.XLOOKUP(B76,'Base stats'!B:B,'Base stats'!Z:Z)=0),0,IF(OR(_xlfn.XLOOKUP(Animals!B76,'Base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stats'!AA:AA),0.005)</f>
        <v>0</v>
      </c>
      <c r="BC76" s="23">
        <f>MROUND(IF(AND(AN76&lt;0.5,_xlfn.XLOOKUP(B76,'Base stats'!B:B,'Base stats'!Z:Z)=0),0,IF(_xlfn.XLOOKUP(_xlfn.XLOOKUP(B76,'Base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stats'!AB:AB),0.005)</f>
        <v>0</v>
      </c>
      <c r="BD76" s="2" t="str">
        <f>IF(I76&gt;0.3,"No",_xlfn.XLOOKUP(_xlfn.XLOOKUP(Animals!B76,'Base stats'!B:B,'Base stats'!E:E),Groups!A:A,Groups!AP:AP))</f>
        <v>No</v>
      </c>
      <c r="BE76" s="2" t="str">
        <f>IF(AND(I76&lt;=0.65,_xlfn.XLOOKUP(_xlfn.XLOOKUP(Animals!B76,'Base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stats'!O:O)=2,0.2,AN76) + 24*(1-IF(BD76="No",0,BD76)) + 16/3, 12),"No")</f>
        <v>No</v>
      </c>
      <c r="BF76" s="2">
        <f>IF(AND(_xlfn.XLOOKUP(_xlfn.XLOOKUP(B76,'Base stats'!B:B,'Base stats'!E:E),Groups!A:A,Groups!AQ:AQ)=1,AN76&lt;=0.35),8,12)</f>
        <v>12</v>
      </c>
      <c r="BG76" s="2" t="str">
        <f>IF(_xlfn.XLOOKUP(_xlfn.XLOOKUP(B76,'Base stats'!B:B,'Base stats'!E:E),Groups!A:A,Groups!D:D)=0,_xlfn.XLOOKUP(_xlfn.XLOOKUP(B76,'Base stats'!B:B,'Base stats'!E:E),Groups!A:A,Groups!AR:AR),"None")</f>
        <v>None</v>
      </c>
      <c r="BH76" s="2" t="str">
        <f>IF(AND(_xlfn.XLOOKUP(_xlfn.XLOOKUP(B76,'Base stats'!B:B,'Base stats'!E:E),Groups!A:A,Groups!AS:AS)=1,OR('Base stats'!Y76="Carnivore",'Base stats'!Y76="Omnivore")),"true","false")</f>
        <v>true</v>
      </c>
      <c r="BI76" s="2">
        <f>IF(BH76="true",MROUND(IF(AND(AN76&gt;0.5,_xlfn.XLOOKUP(_xlfn.XLOOKUP(B76,'Base stats'!B:B,'Base stats'!E:E),Groups!A:A,Groups!AJ:AJ)="Mammal"),Animals!AN76*1.75*IF(AV76="true",1.5,1),Animals!AN76),IF(AN76&gt;2,0.5,IF(AN76&gt;0.5,0.25,0.1))),"No")</f>
        <v>0.1</v>
      </c>
      <c r="BJ76" s="2">
        <f t="shared" si="10"/>
        <v>0</v>
      </c>
      <c r="BK76" s="25" t="str">
        <f>IF('Base stats'!AK76="Standard","No",MROUND((_xlfn.XLOOKUP(B76,'Base stats'!B:B,'Base stats'!AK:AK)/3.6)/H76,0.1))</f>
        <v>No</v>
      </c>
      <c r="BL76" s="25" t="str">
        <f t="shared" si="11"/>
        <v>true</v>
      </c>
      <c r="BM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N76" s="25" t="str" cm="1">
        <f t="array" ref="BN76">IF(
  _xlfn.TEXTJOIN(", ",TRUE,
    IF(AND(BH76="true",AN76&gt;0.5,BG76&lt;&gt;"None"),"AttackTarget",""),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IF(BE76&lt;=36,"Comfort",""),
    IF(_xlfn.XLOOKUP(B76,'Base stats'!B:B,'Base stats'!AC:AC)&lt;&gt;"No",_xlfn.XLOOKUP(B76,'Base stats'!B:B,'Base stats'!AC:AC),"")
  ) = "",
  "No",
  _xlfn.TEXTJOIN(", ",TRUE,
    IF(AND(BH76="true",AN76&gt;0.5,BG76&lt;&gt;"None"),"AttackTarget",""),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IF(BE76&lt;=36,"Comfort",""),
    IF(_xlfn.XLOOKUP(B76,'Base stats'!B:B,'Base stats'!AC:AC)&lt;&gt;"No",_xlfn.XLOOKUP(B76,'Base stats'!B:B,'Base stats'!AC:AC),"")
  )
)</f>
        <v>No</v>
      </c>
      <c r="BO76" s="25">
        <f>IF(
   AND(
      'Base stats'!AK76="Standard",_xlfn.XLOOKUP(_xlfn.XLOOKUP(B76,'Base stats'!B:B,'Base stats'!E:E),Groups!A:A,Groups!AU:AU)=0,
      OR(
      BM76="True"
      )
   ),
   10,
   IF(
       OR(BK76&lt;&gt;"No",_xlfn.XLOOKUP(_xlfn.XLOOKUP(B76,'Base stats'!B:B,'Base stats'!E:E),Groups!A:A,Groups!AU:AU)=1),
      1,
      "No"
   )
)</f>
        <v>1</v>
      </c>
      <c r="BP76" s="9">
        <f>MROUND((1 + ((0.2*IF(OR(P76="No",Q76="No",Q76=0),0,P76/Q76)
+IF(OR(U76="No",R76="No",S76="No"),0,R76/S76*(LEN(U76)-LEN(SUBSTITUTE(U76,",",""))+1))
+IF(OR(W76="No",X76="No"),0,W76/X76)
+IF(OR(AC76="No",AD76="No"),0,AC76/AD76)
+IF(OR(AK76="No",AH76="No",AI76="No"),0,AH76/AI76*(LEN(AK76)-LEN(SUBSTITUTE(AK76,",",""))+1))
)/(0.2*IF(OR(P76="No",Q76="No",Q76=0),0,1)
+IF(OR(U76="No",R76="No",S76="No"),0,LEN(U76)-LEN(SUBSTITUTE(U76,",",""))+1)
+IF(OR(W76="No",X76="No"),0,1)
+IF(OR(AC76="No",AD76="No"),0,1)
+IF(OR(AK76="No",AH76="No",AI76="No"),0,LEN(AK76)-LEN(SUBSTITUTE(AK76,",",""))+1))*62%)* 2)*(1 + (AO76 + _xlfn.XLOOKUP(B76,'Base stats'!B:B,'Base stats'!AS:AS) * 1.8) * 2) * 2.5 + 10 + H76 * 2,5)+IF(_xlfn.XLOOKUP(B76,'Base stats'!B:B,'Base stats'!AH:AH)=1,50,0)</f>
        <v>20</v>
      </c>
      <c r="BQ76" s="8">
        <f t="shared" si="12"/>
        <v>0.05</v>
      </c>
      <c r="BR76" s="8" t="str">
        <f>_xlfn.XLOOKUP(B76,'Base stats'!B:B,'Base stats'!AD:AD)</f>
        <v>No</v>
      </c>
      <c r="BS76" s="2" t="str">
        <f>IF(AND(I76&lt;=0.95,OR(_xlfn.XLOOKUP(B76,'Base stats'!B:B,'Base stats'!AH:AH)=1,_xlfn.XLOOKUP(B76,'Base stats'!B:B,'Base stats'!Y:Y)="Carnivore",_xlfn.XLOOKUP(B76,'Base stats'!B:B,'Base stats'!Y:Y)="Omnivore",BC76&gt;0.1)),"true","false")</f>
        <v>true</v>
      </c>
      <c r="BT76" s="2" t="str">
        <f>IF(_xlfn.XLOOKUP(B76,'Base stats'!B:B,'Base stats'!AF:AF)=1,"true","false")</f>
        <v>false</v>
      </c>
      <c r="BU76" s="25" t="str">
        <f>IF(E76="BaseInsect","AnimalInsect",
IF(I76&gt;0.95,"AnimalExotic",
_xlfn.TEXTJOIN(", ",TRUE,
IF(AND(_xlfn.XLOOKUP(B76,'Base stats'!B:B,'Base stats'!O:O)=0,_xlfn.XLOOKUP(_xlfn.XLOOKUP(B76,'Base stats'!B:B,'Base stats'!E:E),Groups!A:A,Groups!B:B)&gt;0),"AnimalUncommon","AnimalCommon"),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stats'!AH:AH)=1,AND(BG76&lt;&gt;"None",BP76&gt;=60),ISNUMBER(SEARCH("Attack target",BN76))),"AnimalFighter","")
)))</f>
        <v>AnimalCommon</v>
      </c>
      <c r="BV76" s="25" t="str">
        <f>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</f>
        <v>TemperateSwamp TropicalSwamp Glowforest</v>
      </c>
      <c r="BW76" s="25" t="str">
        <f>IF(_xlfn.XLOOKUP(B76,'Base stats'!B:B,'Base stats'!AG:AG)=1,"true","false")</f>
        <v>false</v>
      </c>
      <c r="BX76" s="25">
        <f>IF(_xlfn.XLOOKUP(B76,'Base stats'!B:B,'Base stats'!N:N)=1,"No",MIN(MROUND(IF(OR(_xlfn.XLOOKUP(B76,'Base stats'!B:B,'Base stats'!AJ:AJ)=1,AND(BH76="True",CA76="False")),POWER(10,3.47*LOG10(_xlfn.XLOOKUP(B76,'Base stats'!B:B,'Base stats'!C:C)*1000)^-0.96),POWER(10,4.15*LOG10(_xlfn.XLOOKUP(B76,'Base stats'!B:B,'Base stats'!C:C)*1000)^-0.73))*IF(OR(_xlfn.XLOOKUP(B76,'Base stats'!B:B,'Base stats'!AJ:AJ)=1,_xlfn.XLOOKUP(B76,'Base stats'!B:B,'Base stats'!AH:AH)=1),0.5,1)/100,0.025),1))</f>
        <v>1</v>
      </c>
      <c r="BY76" s="25" t="str">
        <f>IF(O76="Standard","No",IF(_xlfn.XLOOKUP(B76,'Base stats'!B:B,'Base stats'!N:N)=0,MROUND(BX76*O76,0.05),MIN(1,MAX(0.025,MROUND(IF(OR(CA76="true",AND(BH76="false",BM76="false")),POWER(10,4.15*LOG10(_xlfn.XLOOKUP(B76,'Base stats'!B:B,'Base stats'!C:C)*1000)^-0.73),POWER(10,3.47*LOG10(_xlfn.XLOOKUP(B76,'Base stats'!B:B,'Base stats'!C:C)*1000)^-0.96))*IF(_xlfn.XLOOKUP(B76,'Base stats'!B:B,'Base stats'!AH:AH)=1,0.5,1)/100,0.025)))))</f>
        <v>No</v>
      </c>
      <c r="BZ76" s="25" t="str">
        <f>IF(_xlfn.XLOOKUP(_xlfn.XLOOKUP(B76,'Base stats'!B:B,'Base stats'!E:E),Groups!A:A,Groups!AJ:AJ)="Mammal","True","False")</f>
        <v>False</v>
      </c>
      <c r="CA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B76" s="25" t="str">
        <f t="shared" si="13"/>
        <v>False</v>
      </c>
      <c r="CC76" s="25" t="str">
        <f>IF(_xlfn.XLOOKUP(_xlfn.XLOOKUP(B76,'Base stats'!B:B,'Base stats'!E:E),Groups!A:A,Groups!AW:AW),"True","False")</f>
        <v>False</v>
      </c>
      <c r="CD76" s="25" t="str">
        <f>IF(_xlfn.XLOOKUP(_xlfn.XLOOKUP(B76,'Base stats'!B:B,'Base stats'!E:E),Groups!A:A,Groups!AX:AX),"True","False")</f>
        <v>False</v>
      </c>
      <c r="CE76" s="25" t="str">
        <f>IF(_xlfn.XLOOKUP(B76,'Base stats'!B:B,'Base stats'!E:E)=1,"True","False")</f>
        <v>False</v>
      </c>
      <c r="CF76" s="25" t="str">
        <f>IF(
OR(
_xlfn.XLOOKUP(_xlfn.XLOOKUP(B76,'Base stats'!B:B,'Base stats'!E:E),Groups!A:A,Groups!AY:AY)=0,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stats'!E:E),Groups!A:A,Groups!AY:AY)=1,
"Flesh",
IF(
_xlfn.XLOOKUP(_xlfn.XLOOKUP(B76,'Base stats'!B:B,'Base stats'!E:E),Groups!A:A,Groups!AY:AY)=2,
"Bone",
""
)
)
)</f>
        <v>No</v>
      </c>
      <c r="CG76" s="25" t="str">
        <f>IF(_xlfn.XLOOKUP(_xlfn.XLOOKUP(B76,'Base stats'!B:B,'Base stats'!E:E),Groups!A:A,Groups!BA:BA),"True","False")</f>
        <v>False</v>
      </c>
      <c r="CH76" s="25" t="str">
        <f>IF(_xlfn.XLOOKUP(_xlfn.XLOOKUP(B76,'Base stats'!B:B,'Base stats'!E:E),Groups!A:A,Groups!AZ:AZ),"True","False")</f>
        <v>True</v>
      </c>
    </row>
    <row r="77" spans="1:86" ht="16.5" thickTop="1" thickBot="1" x14ac:dyDescent="0.3">
      <c r="A77" s="26" t="str">
        <f>_xlfn.XLOOKUP(B77,'Base stats'!B:B,'Base stats'!A:A)</f>
        <v>ColossusToad</v>
      </c>
      <c r="B77" s="6" t="s">
        <v>310</v>
      </c>
      <c r="C77" s="28" t="s">
        <v>769</v>
      </c>
      <c r="D77" s="28" t="s">
        <v>882</v>
      </c>
      <c r="E77" s="28" t="s">
        <v>685</v>
      </c>
      <c r="F77" s="28" t="s">
        <v>685</v>
      </c>
      <c r="G77" s="2">
        <f>MROUND((
  (IF(AND(_xlfn.XLOOKUP(B77,'Base stats'!B:B,'Base stats'!AI:AI)=0,BG77="None",_xlfn.XLOOKUP('Base stats'!E77,Groups!A:A,Groups!B:B)=0), (18 + BP77 * 2.7) * 0.5,
    IF(AND(_xlfn.XLOOKUP(B77,'Base stats'!B:B,'Base stats'!AI:AI)=0,OR(AN77&lt;0.55,AND(BG77="Intermediate",_xlfn.XLOOKUP('Base stats'!E77,Groups!A:A,Groups!B:B)&lt;2))), (18 + BP77 * 2.7),
      IF(OR(BG77="Advanced",_xlfn.XLOOKUP(B77,'Base stats'!B:B,'Base stats'!AI:AI)=1,_xlfn.XLOOKUP('Base stats'!E77,Groups!A:A,Groups!B:B)=2), (18 + BP77 * 2.7) + 250, (18 + BP77 * 2.7))
    )
  ))
  + AN77 * 80
  + IF(COUNTIF(EggMilk!K$2:K$998, A77) &gt; 0, 125, 0)
  + IF(COUNTIF(EggMilk!P$2:P$998, A77) &gt; 0, 90, 0)
  + IF(COUNTIF(EggMilk!A$2:A$998, A77) &gt; 0, 90, 0)
)
* (0.8 + 0.4 * I77)
* 0.75,25)</f>
        <v>175</v>
      </c>
      <c r="H77" s="2">
        <f>MROUND(ROUNDDOWN(_xlfn.XLOOKUP(B77,'Base stats'!B:B,'Base stats'!L:L)/3.6/(23.3/11),1),0.5)</f>
        <v>2.5</v>
      </c>
      <c r="I77" s="2">
        <f>IF(_xlfn.XLOOKUP(B77,'Base stats'!B:B,'Base stats'!AI:AI)=1,0.99,MIN(MROUND((1-0.6282*EXP(-0.459*AN77))*_xlfn.XLOOKUP(_xlfn.XLOOKUP(B77,'Base stats'!B:B,'Base stats'!E:E),Groups!A:A,Groups!C:C)*IF(_xlfn.XLOOKUP(B77,'Base stats'!B:B,'Base stats'!O:O)=1,0.5,IF(_xlfn.XLOOKUP(B77,'Base stats'!B:B,'Base stats'!O:O)=2,0,1)),0.05),0.985))</f>
        <v>0.30000000000000004</v>
      </c>
      <c r="J77" s="2">
        <f>ROUNDUP(AN77*_xlfn.XLOOKUP(_xlfn.XLOOKUP(B77,'Base stats'!B:B,'Base stats'!E:E),Groups!A:A,Groups!E:E),0)</f>
        <v>1</v>
      </c>
      <c r="K77" s="2">
        <f>IF(OR(_xlfn.XLOOKUP(_xlfn.XLOOKUP(B77,'Base stats'!B:B,'Base stats'!E:E),Groups!A:A,Groups!F:F)=2,ISNUMBER(SEARCH("SeaIce",BV77)),ISNUMBER(SEARCH("IceSheet",BV77))),-50,IF(OR(ISNUMBER(SEARCH("GlacialPlain",BV77)),ISNUMBER(SEARCH("Tundra",BV77))),-40,IF(OR(ISNUMBER(SEARCH("Alpine",BV77)),ISNUMBER(SEARCH("BorealForest",BV77)),ISNUMBER(SEARCH("ColdBog",BV77))),-30,IF(OR(ISNUMBER(SEARCH("TemperateForest",BV77)),ISNUMBER(SEARCH("TemperateSwamp",BV77))),-20,IF(_xlfn.XLOOKUP(_xlfn.XLOOKUP(B77,'Base stats'!B:B,'Base stats'!E:E),Groups!A:A,Groups!F:F)=1,-15,IF(OR(ISNUMBER(SEARCH("Desert",BV77)),ISNUMBER(SEARCH("ExtremeDesert",BV77))),-10,IF(OR(ISNUMBER(SEARCH("Grasslands",BV77)),ISNUMBER(SEARCH("TropicalRainforest",BV77)),ISNUMBER(SEARCH("TropicalSwamp",BV77))),10,0)))))))-IF(CA77="False",MIN(IFERROR(MAX(MROUND(LOG10(_xlfn.XLOOKUP(B77,'Base stats'!B:B,'Base stats'!C:C)^(2/3))*10,5),5),5),30))-_xlfn.XLOOKUP(B77,'Base stats'!B:B,'Base stats'!P:P)+IF(CA77="True",5,0)</f>
        <v>15</v>
      </c>
      <c r="L77" s="2">
        <f>IF(OR(_xlfn.XLOOKUP(_xlfn.XLOOKUP(B77,'Base stats'!B:B,'Base stats'!E:E),Groups!A:A,Groups!G:G)=2,ISNUMBER(SEARCH("Desert",BV77)),ISNUMBER(SEARCH("ExtremeDesert",BV77)),ISNUMBER(SEARCH("LavaField",BV77))),50,IF(ISNUMBER(SEARCH("Grasslands",BV77)),45,IF(OR(_xlfn.XLOOKUP(_xlfn.XLOOKUP(B77,'Base stats'!B:B,'Base stats'!E:E),Groups!A:A,Groups!G:G)=1,ISNUMBER(SEARCH("TropicalRainforest",BV77)),ISNUMBER(SEARCH("TropicalSwamp",BV77))),40,IF(OR(ISNUMBER(SEARCH("TemperateForest",BV77)),ISNUMBER(SEARCH("TemperateSwamp",BV77))),35,IF(OR(ISNUMBER(SEARCH("Alpine",BV77)),ISNUMBER(SEARCH("BorealForest",BV77)),ISNUMBER(SEARCH("ColdBog",BV77))),30,IF(ISNUMBER(OR(ISNUMBER(SEARCH("GlacialPlain",BV77)),SEARCH("Tundra",BV77))),25,IF(OR(ISNUMBER(SEARCH("SeaIce",BV77)),ISNUMBER(SEARCH("IceSheet",BV77)),ISNUMBER(SEARCH("TropicalSwamp",BV77))),10,35)))))))+_xlfn.XLOOKUP(B77,'Base stats'!B:B,'Base stats'!Q:Q)</f>
        <v>40</v>
      </c>
      <c r="M77" s="8" t="str">
        <f>IF(_xlfn.XLOOKUP(_xlfn.XLOOKUP(B77,'Base stats'!B:B,'Base stats'!E:E),Groups!A:A,Groups!L:L)=1,MIN(MROUND(_xlfn.XLOOKUP(B77,'Animals CE'!B:B,'Animals CE'!Z:Z)/2+0.05,0.05),200%),"No")</f>
        <v>No</v>
      </c>
      <c r="N77" s="8" t="str">
        <f>IF(_xlfn.XLOOKUP(_xlfn.XLOOKUP(B77,'Base stats'!B:B,'Base stats'!E:E),Groups!A:A,Groups!L:L)=1,MIN(MROUND(_xlfn.XLOOKUP(B77,'Animals CE'!B:B,'Animals CE'!AA:AA)/2+0.05,0.05),200%),"No")</f>
        <v>No</v>
      </c>
      <c r="O77" s="2" t="str">
        <f>_xlfn.XLOOKUP(B77,'Base stats'!B:B,'Base stats'!R:R)</f>
        <v>Standard</v>
      </c>
      <c r="P77" s="13">
        <f>MROUND((LOG10(_xlfn.XLOOKUP(B77,'Base stats'!B:B,'Base stats'!AO:AO))*(AN77^0.5)+(_xlfn.XLOOKUP(B77,'Base stats'!B:B,'Base stats'!AO:AO)/1000)^(2/3)+_xlfn.XLOOKUP(B77,'Base stats'!B:B,'Base stats'!AX:AX)/2)+0.5,0.5)</f>
        <v>6.5</v>
      </c>
      <c r="Q77" s="7">
        <f>IF(P77="No","No",MAX(1,MROUND(_xlfn.XLOOKUP(B77,'Base stats'!B:B,'Base stats'!C:C)^0.165,0.05)))</f>
        <v>1.9500000000000002</v>
      </c>
      <c r="R77" s="13" t="str">
        <f>IF(_xlfn.XLOOKUP(_xlfn.XLOOKUP(B77,'Base stats'!B:B,'Base stats'!E:E),Groups!A:A,Groups!P:P)=0,"No",MROUND((LOG10(_xlfn.XLOOKUP(B77,'Base stats'!B:B,'Base stats'!AP:AP))*(AN77^0.5)+(_xlfn.XLOOKUP(B77,'Base stats'!B:B,'Base stats'!AP:AP)/1000)^(2/3)+_xlfn.XLOOKUP(B77,'Base stats'!B:B,'Base stats'!AX:AX))+_xlfn.XLOOKUP(B77,'Base stats'!B:B,'Base stats'!AV:AV)+0.5,0.5))</f>
        <v>No</v>
      </c>
      <c r="S77" s="7" t="str">
        <f>IF(R77="No","No",MAX(_xlfn.XLOOKUP(_xlfn.XLOOKUP(B77,'Base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T77" s="7" t="str">
        <f>IF(R77="No","No",_xlfn.XLOOKUP(_xlfn.XLOOKUP(B77,'Base stats'!B:B,'Base stats'!E:E),Groups!A:A,Groups!R:R))</f>
        <v>No</v>
      </c>
      <c r="U77" s="7" t="str">
        <f>IF(R77="No","No",_xlfn.XLOOKUP(_xlfn.XLOOKUP(B77,'Base stats'!B:B,'Base stats'!E:E),Groups!A:A,Groups!S:S))</f>
        <v>No</v>
      </c>
      <c r="V77" s="7" t="str">
        <f>IF(R77="No","No",_xlfn.XLOOKUP(_xlfn.XLOOKUP(B77,'Base stats'!B:B,'Base stats'!E:E),Groups!A:A,Groups!T:T))</f>
        <v>No</v>
      </c>
      <c r="W77" s="13" t="str">
        <f>IF(_xlfn.XLOOKUP(B77,'Base stats'!B:B,'Base stats'!W:W)="No","No",MROUND((LOG10(_xlfn.XLOOKUP(B77,'Base stats'!B:B,'Base stats'!AR:AR))*(AN77^0.5)+(_xlfn.XLOOKUP(B77,'Base stats'!B:B,'Base stats'!AR:AR)/1000)^(2/3)+_xlfn.XLOOKUP(B77,'Base stats'!B:B,'Base stats'!AW:AW))+0.5+IF(_xlfn.XLOOKUP(_xlfn.XLOOKUP(B77,'Base stats'!B:B,'Base stats'!E:E),Groups!A:A,Groups!U:U)&lt;&gt;3,_xlfn.XLOOKUP(B77,'Base stats'!B:B,'Base stats'!AX:AX),0),0.5))</f>
        <v>No</v>
      </c>
      <c r="X77" s="7" t="str">
        <f>IF(W77="No","No",MAX(_xlfn.XLOOKUP(_xlfn.XLOOKUP(B77,'Base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Y77" s="7" t="str">
        <f>IF(W77="No","No",_xlfn.XLOOKUP(_xlfn.XLOOKUP(B77,'Base stats'!B:B,'Base stats'!E:E),Groups!A:A,Groups!W:W))</f>
        <v>No</v>
      </c>
      <c r="Z77" s="7" t="str">
        <f>IF(W77="No","No",_xlfn.XLOOKUP(_xlfn.XLOOKUP(B77,'Base stats'!B:B,'Base stats'!E:E),Groups!A:A,Groups!X:X))</f>
        <v>No</v>
      </c>
      <c r="AA77" s="7" t="str">
        <f>IF(W77="No","No",_xlfn.XLOOKUP(_xlfn.XLOOKUP(B77,'Base stats'!B:B,'Base stats'!E:E),Groups!A:A,Groups!Y:Y))</f>
        <v>No</v>
      </c>
      <c r="AB77" s="7" t="str">
        <f>_xlfn.XLOOKUP(Animals!B77,'Base stats'!B:B,'Base stats'!X:X)</f>
        <v>False</v>
      </c>
      <c r="AC77" s="13">
        <f>IF(_xlfn.XLOOKUP(B77,'Base stats'!B:B,'Base stats'!AQ:AQ)="No","No",MROUND((LOG10(_xlfn.XLOOKUP(B77,'Base stats'!B:B,'Base stats'!AQ:AQ))*(AN77^0.75)+(_xlfn.XLOOKUP(B77,'Base stats'!B:B,'Base stats'!AQ:AQ)/1000)^(2/3)+_xlfn.XLOOKUP(B77,'Base stats'!B:B,'Base stats'!AU:AU)+_xlfn.XLOOKUP(B77,'Base stats'!B:B,'Base stats'!AX:AX))+0.5,0.5))</f>
        <v>8</v>
      </c>
      <c r="AD77" s="7">
        <f>IF(AC77="No","No",MAX(_xlfn.XLOOKUP(_xlfn.XLOOKUP(B77,'Base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E77" s="7" t="str">
        <f>IF(AC77="No","No",_xlfn.XLOOKUP(_xlfn.XLOOKUP(B77,'Base stats'!B:B,'Base stats'!E:E),Groups!A:A,Groups!AA:AA))</f>
        <v>Teeth</v>
      </c>
      <c r="AF77" s="7" t="str">
        <f>IF(AC77="No","No",_xlfn.XLOOKUP(_xlfn.XLOOKUP(B77,'Base stats'!B:B,'Base stats'!E:E),Groups!A:A,Groups!AB:AB))</f>
        <v>teeth</v>
      </c>
      <c r="AG77" s="7" t="str">
        <f>IF(AC77="No","No",_xlfn.XLOOKUP(_xlfn.XLOOKUP(B77,'Base stats'!B:B,'Base stats'!E:E),Groups!A:A,Groups!AC:AC))</f>
        <v>Bite</v>
      </c>
      <c r="AH77" s="13" t="str">
        <f>IF(_xlfn.XLOOKUP(_xlfn.XLOOKUP(B77,'Base stats'!B:B,'Base stats'!E:E),Groups!A:A,Groups!AD:AD)=0,"No",MROUND((LOG10(_xlfn.XLOOKUP(B77,'Base stats'!B:B,'Base stats'!AP:AP))*(AN77^0.75)+(_xlfn.XLOOKUP(B77,'Base stats'!B:B,'Base stats'!AP:AP)/1000)^(2/3)+_xlfn.XLOOKUP(B77,'Base stats'!B:B,'Base stats'!AV:AV)+_xlfn.XLOOKUP(B77,'Base stats'!B:B,'Base stats'!AX:AX))+0.5,0.5))</f>
        <v>No</v>
      </c>
      <c r="AI77" s="7" t="str">
        <f>IF(AH77="No","No",MAX(_xlfn.XLOOKUP(_xlfn.XLOOKUP(B77,'Base stats'!B:B,'Base stats'!E:E),Groups!A:A,Groups!AE:AE),MROUND(_xlfn.XLOOKUP(_xlfn.XLOOKUP(B77,'Base stats'!B:B,'Base stats'!E:E),Groups!A:A,Groups!AE:AE)*_xlfn.XLOOKUP(B77,'Base stats'!B:B,'Base stats'!C:C)^0.165,0.05)))</f>
        <v>No</v>
      </c>
      <c r="AJ77" s="7" t="str">
        <f>IF(AH77="No","No",_xlfn.XLOOKUP(_xlfn.XLOOKUP(B77,'Base stats'!B:B,'Base stats'!E:E),Groups!A:A,Groups!AF:AF))</f>
        <v>No</v>
      </c>
      <c r="AK77" s="7" t="str">
        <f>IF(AH77="No","No",_xlfn.XLOOKUP(_xlfn.XLOOKUP(B77,'Base stats'!B:B,'Base stats'!E:E),Groups!A:A,Groups!AG:AG))</f>
        <v>No</v>
      </c>
      <c r="AL77" s="7" t="str">
        <f>IF(AH77="No","No",_xlfn.XLOOKUP(_xlfn.XLOOKUP(B77,'Base stats'!B:B,'Base stats'!E:E),Groups!A:A,Groups!AH:AH))</f>
        <v>No</v>
      </c>
      <c r="AM77" s="2">
        <f t="shared" si="7"/>
        <v>20</v>
      </c>
      <c r="AN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O77" s="8">
        <f>MROUND(AN77*_xlfn.XLOOKUP(_xlfn.XLOOKUP(B77,'Base stats'!B:B,'Base stats'!E:E),Groups!A:A,Groups!AI:AI),0.05)</f>
        <v>0.9</v>
      </c>
      <c r="AP77" s="8">
        <f>MAX(0.01,MROUND(IF(CA77="True",0.196*(AN77*100*1000)^0.889,IF(_xlfn.XLOOKUP(_xlfn.XLOOKUP(B77,'Base stats'!B:B,'Base stats'!E:E),Groups!A:A,Groups!AJ:AJ)="Bird",10.5*(AN77*100*1000)^0.681,4.82*(AN77*100*1000)^0.734))/(4.82*(1*100*1000)^0.734)/IF(AN77&lt;3.5,2,IF(AN77=3.5,1.5,1.25))*(1+0.132282374779864/(AN77^0.994035016789033+0.00905238001496948)),0.05))</f>
        <v>0.15000000000000002</v>
      </c>
      <c r="AQ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R77" s="35">
        <f>IFERROR(IF(_xlfn.XLOOKUP(B77,'Base stats'!B:B,'Base stats'!F:F)="Lay eggs","Lay eggs",MIN(20,MAX(5.5,ROUND(((_xlfn.XLOOKUP(B77,'Base stats'!B:B,'Base stats'!F:F)-25)*(14.5/615) + 5.5)*2,0)/2))),"Cannot breed")</f>
        <v>7.5</v>
      </c>
      <c r="AS77" s="8">
        <f>IF(OR(A77="Queen",A77="Larva",A77="Megachicken"),"No",IFERROR(MAX(IF(_xlfn.XLOOKUP(B77,'Base stats'!B:B,'Base stats'!G:G)&lt;0.5,0.2,0.3),MROUND(_xlfn.XLOOKUP(B77,'Base stats'!B:B,'Base stats'!G:G)/(365/60),0.2)),"Unknown"))</f>
        <v>0.8</v>
      </c>
      <c r="AT77" s="8">
        <f t="shared" si="8"/>
        <v>0.4</v>
      </c>
      <c r="AU77" s="8">
        <f>IFERROR(IFERROR(MROUND(_xlfn.XLOOKUP(B77,'Base stats'!B:B,'Base stats'!J:J),0.1),"Lay eggs"),"Cannot breed")</f>
        <v>10</v>
      </c>
      <c r="AV77" s="2" t="str">
        <f t="shared" si="9"/>
        <v>false</v>
      </c>
      <c r="AW77" s="2" t="str">
        <f>IF(_xlfn.XLOOKUP(_xlfn.XLOOKUP(Animals!B77,'Base stats'!B:B,'Base stats'!E:E),Groups!A:A,Groups!AK:AK)=1,"true","false")</f>
        <v>false</v>
      </c>
      <c r="AX77" s="25" t="str">
        <f>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</f>
        <v>CarnivoreAnimal, OvivoreAnimal</v>
      </c>
      <c r="AY77" s="2">
        <f>IF(_xlfn.XLOOKUP(_xlfn.XLOOKUP(B77,'Base stats'!B:B,'Base stats'!E:E),Groups!A:A,Groups!D:D)=1,MROUND((1-I77)*5+1,2)*IF(I77&lt;=0.4,2,1),"No")</f>
        <v>8</v>
      </c>
      <c r="AZ77" s="2" t="str">
        <f>_xlfn.XLOOKUP(B77,'Base stats'!B:B,'Base stats'!AE:AE)</f>
        <v>No</v>
      </c>
      <c r="BA77" s="23" t="str">
        <f>_xlfn.XLOOKUP(_xlfn.XLOOKUP(B77,'Base stats'!B:B,'Base stats'!E:E),Groups!A:A,Groups!AL:AL)</f>
        <v>QuadrupedAnimalWithPaws</v>
      </c>
      <c r="BB77" s="23">
        <f>MROUND(IF(AND(AN77&lt;0.5,_xlfn.XLOOKUP(B77,'Base stats'!B:B,'Base stats'!Z:Z)=0),0,IF(OR(_xlfn.XLOOKUP(Animals!B77,'Base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stats'!AA:AA),0.005)</f>
        <v>0</v>
      </c>
      <c r="BC77" s="23">
        <f>MROUND(IF(AND(AN77&lt;0.5,_xlfn.XLOOKUP(B77,'Base stats'!B:B,'Base stats'!Z:Z)=0),0,IF(_xlfn.XLOOKUP(_xlfn.XLOOKUP(B77,'Base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stats'!AB:AB),0.005)</f>
        <v>0</v>
      </c>
      <c r="BD77" s="2" t="str">
        <f>IF(I77&gt;0.3,"No",_xlfn.XLOOKUP(_xlfn.XLOOKUP(Animals!B77,'Base stats'!B:B,'Base stats'!E:E),Groups!A:A,Groups!AP:AP))</f>
        <v>No</v>
      </c>
      <c r="BE77" s="2" t="str">
        <f>IF(AND(I77&lt;=0.65,_xlfn.XLOOKUP(_xlfn.XLOOKUP(Animals!B77,'Base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stats'!O:O)=2,0.2,AN77) + 24*(1-IF(BD77="No",0,BD77)) + 16/3, 12),"No")</f>
        <v>No</v>
      </c>
      <c r="BF77" s="2">
        <f>IF(AND(_xlfn.XLOOKUP(_xlfn.XLOOKUP(B77,'Base stats'!B:B,'Base stats'!E:E),Groups!A:A,Groups!AQ:AQ)=1,AN77&lt;=0.35),8,12)</f>
        <v>12</v>
      </c>
      <c r="BG77" s="2" t="str">
        <f>IF(_xlfn.XLOOKUP(_xlfn.XLOOKUP(B77,'Base stats'!B:B,'Base stats'!E:E),Groups!A:A,Groups!D:D)=0,_xlfn.XLOOKUP(_xlfn.XLOOKUP(B77,'Base stats'!B:B,'Base stats'!E:E),Groups!A:A,Groups!AR:AR),"None")</f>
        <v>None</v>
      </c>
      <c r="BH77" s="2" t="str">
        <f>IF(AND(_xlfn.XLOOKUP(_xlfn.XLOOKUP(B77,'Base stats'!B:B,'Base stats'!E:E),Groups!A:A,Groups!AS:AS)=1,OR('Base stats'!Y77="Carnivore",'Base stats'!Y77="Omnivore")),"true","false")</f>
        <v>true</v>
      </c>
      <c r="BI77" s="2">
        <f>IF(BH77="true",MROUND(IF(AND(AN77&gt;0.5,_xlfn.XLOOKUP(_xlfn.XLOOKUP(B77,'Base stats'!B:B,'Base stats'!E:E),Groups!A:A,Groups!AJ:AJ)="Mammal"),Animals!AN77*1.75*IF(AV77="true",1.5,1),Animals!AN77),IF(AN77&gt;2,0.5,IF(AN77&gt;0.5,0.25,0.1))),"No")</f>
        <v>1</v>
      </c>
      <c r="BJ77" s="2">
        <f t="shared" si="10"/>
        <v>0</v>
      </c>
      <c r="BK77" s="25" t="str">
        <f>IF('Base stats'!AK77="Standard","No",MROUND((_xlfn.XLOOKUP(B77,'Base stats'!B:B,'Base stats'!AK:AK)/3.6)/H77,0.1))</f>
        <v>No</v>
      </c>
      <c r="BL77" s="25" t="str">
        <f t="shared" si="11"/>
        <v>true</v>
      </c>
      <c r="BM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N77" s="25" t="str" cm="1">
        <f t="array" ref="BN77">IF(
  _xlfn.TEXTJOIN(", ",TRUE,
    IF(AND(BH77="true",AN77&gt;0.5,BG77&lt;&gt;"None"),"AttackTarget",""),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IF(BE77&lt;=36,"Comfort",""),
    IF(_xlfn.XLOOKUP(B77,'Base stats'!B:B,'Base stats'!AC:AC)&lt;&gt;"No",_xlfn.XLOOKUP(B77,'Base stats'!B:B,'Base stats'!AC:AC),"")
  ) = "",
  "No",
  _xlfn.TEXTJOIN(", ",TRUE,
    IF(AND(BH77="true",AN77&gt;0.5,BG77&lt;&gt;"None"),"AttackTarget",""),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IF(BE77&lt;=36,"Comfort",""),
    IF(_xlfn.XLOOKUP(B77,'Base stats'!B:B,'Base stats'!AC:AC)&lt;&gt;"No",_xlfn.XLOOKUP(B77,'Base stats'!B:B,'Base stats'!AC:AC),"")
  )
)</f>
        <v>No</v>
      </c>
      <c r="BO77" s="25">
        <f>IF(
   AND(
      'Base stats'!AK77="Standard",_xlfn.XLOOKUP(_xlfn.XLOOKUP(B77,'Base stats'!B:B,'Base stats'!E:E),Groups!A:A,Groups!AU:AU)=0,
      OR(
      BM77="True"
      )
   ),
   10,
   IF(
       OR(BK77&lt;&gt;"No",_xlfn.XLOOKUP(_xlfn.XLOOKUP(B77,'Base stats'!B:B,'Base stats'!E:E),Groups!A:A,Groups!AU:AU)=1),
      1,
      "No"
   )
)</f>
        <v>1</v>
      </c>
      <c r="BP77" s="9">
        <f>MROUND((1 + ((0.2*IF(OR(P77="No",Q77="No",Q77=0),0,P77/Q77)
+IF(OR(U77="No",R77="No",S77="No"),0,R77/S77*(LEN(U77)-LEN(SUBSTITUTE(U77,",",""))+1))
+IF(OR(W77="No",X77="No"),0,W77/X77)
+IF(OR(AC77="No",AD77="No"),0,AC77/AD77)
+IF(OR(AK77="No",AH77="No",AI77="No"),0,AH77/AI77*(LEN(AK77)-LEN(SUBSTITUTE(AK77,",",""))+1))
)/(0.2*IF(OR(P77="No",Q77="No",Q77=0),0,1)
+IF(OR(U77="No",R77="No",S77="No"),0,LEN(U77)-LEN(SUBSTITUTE(U77,",",""))+1)
+IF(OR(W77="No",X77="No"),0,1)
+IF(OR(AC77="No",AD77="No"),0,1)
+IF(OR(AK77="No",AH77="No",AI77="No"),0,LEN(AK77)-LEN(SUBSTITUTE(AK77,",",""))+1))*62%)* 2)*(1 + (AO77 + _xlfn.XLOOKUP(B77,'Base stats'!B:B,'Base stats'!AS:AS) * 1.8) * 2) * 2.5 + 10 + H77 * 2,5)+IF(_xlfn.XLOOKUP(B77,'Base stats'!B:B,'Base stats'!AH:AH)=1,50,0)</f>
        <v>55</v>
      </c>
      <c r="BQ77" s="8">
        <f t="shared" si="12"/>
        <v>0.30000000000000004</v>
      </c>
      <c r="BR77" s="8" t="str">
        <f>_xlfn.XLOOKUP(B77,'Base stats'!B:B,'Base stats'!AD:AD)</f>
        <v>No</v>
      </c>
      <c r="BS77" s="2" t="str">
        <f>IF(AND(I77&lt;=0.95,OR(_xlfn.XLOOKUP(B77,'Base stats'!B:B,'Base stats'!AH:AH)=1,_xlfn.XLOOKUP(B77,'Base stats'!B:B,'Base stats'!Y:Y)="Carnivore",_xlfn.XLOOKUP(B77,'Base stats'!B:B,'Base stats'!Y:Y)="Omnivore",BC77&gt;0.1)),"true","false")</f>
        <v>true</v>
      </c>
      <c r="BT77" s="2" t="str">
        <f>IF(_xlfn.XLOOKUP(B77,'Base stats'!B:B,'Base stats'!AF:AF)=1,"true","false")</f>
        <v>false</v>
      </c>
      <c r="BU77" s="25" t="str">
        <f>IF(E77="BaseInsect","AnimalInsect",
IF(I77&gt;0.95,"AnimalExotic",
_xlfn.TEXTJOIN(", ",TRUE,
IF(AND(_xlfn.XLOOKUP(B77,'Base stats'!B:B,'Base stats'!O:O)=0,_xlfn.XLOOKUP(_xlfn.XLOOKUP(B77,'Base stats'!B:B,'Base stats'!E:E),Groups!A:A,Groups!B:B)&gt;0),"AnimalUncommon","AnimalCommon"),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stats'!AH:AH)=1,AND(BG77&lt;&gt;"None",BP77&gt;=60),ISNUMBER(SEARCH("Attack target",BN77))),"AnimalFighter","")
)))</f>
        <v>AnimalCommon, AnimalFarm</v>
      </c>
      <c r="BV77" s="25" t="str">
        <f>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</f>
        <v>TropicalSwamp Glowforest</v>
      </c>
      <c r="BW77" s="25" t="str">
        <f>IF(_xlfn.XLOOKUP(B77,'Base stats'!B:B,'Base stats'!AG:AG)=1,"true","false")</f>
        <v>false</v>
      </c>
      <c r="BX77" s="25">
        <f>IF(_xlfn.XLOOKUP(B77,'Base stats'!B:B,'Base stats'!N:N)=1,"No",MIN(MROUND(IF(OR(_xlfn.XLOOKUP(B77,'Base stats'!B:B,'Base stats'!AJ:AJ)=1,AND(BH77="True",CA77="False")),POWER(10,3.47*LOG10(_xlfn.XLOOKUP(B77,'Base stats'!B:B,'Base stats'!C:C)*1000)^-0.96),POWER(10,4.15*LOG10(_xlfn.XLOOKUP(B77,'Base stats'!B:B,'Base stats'!C:C)*1000)^-0.73))*IF(OR(_xlfn.XLOOKUP(B77,'Base stats'!B:B,'Base stats'!AJ:AJ)=1,_xlfn.XLOOKUP(B77,'Base stats'!B:B,'Base stats'!AH:AH)=1),0.5,1)/100,0.025),1))</f>
        <v>0.22500000000000001</v>
      </c>
      <c r="BY77" s="25" t="str">
        <f>IF(O77="Standard","No",IF(_xlfn.XLOOKUP(B77,'Base stats'!B:B,'Base stats'!N:N)=0,MROUND(BX77*O77,0.05),MIN(1,MAX(0.025,MROUND(IF(OR(CA77="true",AND(BH77="false",BM77="false")),POWER(10,4.15*LOG10(_xlfn.XLOOKUP(B77,'Base stats'!B:B,'Base stats'!C:C)*1000)^-0.73),POWER(10,3.47*LOG10(_xlfn.XLOOKUP(B77,'Base stats'!B:B,'Base stats'!C:C)*1000)^-0.96))*IF(_xlfn.XLOOKUP(B77,'Base stats'!B:B,'Base stats'!AH:AH)=1,0.5,1)/100,0.025)))))</f>
        <v>No</v>
      </c>
      <c r="BZ77" s="25" t="str">
        <f>IF(_xlfn.XLOOKUP(_xlfn.XLOOKUP(B77,'Base stats'!B:B,'Base stats'!E:E),Groups!A:A,Groups!AJ:AJ)="Mammal","True","False")</f>
        <v>False</v>
      </c>
      <c r="CA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B77" s="25" t="str">
        <f t="shared" si="13"/>
        <v>False</v>
      </c>
      <c r="CC77" s="25" t="str">
        <f>IF(_xlfn.XLOOKUP(_xlfn.XLOOKUP(B77,'Base stats'!B:B,'Base stats'!E:E),Groups!A:A,Groups!AW:AW),"True","False")</f>
        <v>False</v>
      </c>
      <c r="CD77" s="25" t="str">
        <f>IF(_xlfn.XLOOKUP(_xlfn.XLOOKUP(B77,'Base stats'!B:B,'Base stats'!E:E),Groups!A:A,Groups!AX:AX),"True","False")</f>
        <v>False</v>
      </c>
      <c r="CE77" s="25" t="str">
        <f>IF(_xlfn.XLOOKUP(B77,'Base stats'!B:B,'Base stats'!E:E)=1,"True","False")</f>
        <v>False</v>
      </c>
      <c r="CF77" s="25" t="str">
        <f>IF(
OR(
_xlfn.XLOOKUP(_xlfn.XLOOKUP(B77,'Base stats'!B:B,'Base stats'!E:E),Groups!A:A,Groups!AY:AY)=0,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stats'!E:E),Groups!A:A,Groups!AY:AY)=1,
"Flesh",
IF(
_xlfn.XLOOKUP(_xlfn.XLOOKUP(B77,'Base stats'!B:B,'Base stats'!E:E),Groups!A:A,Groups!AY:AY)=2,
"Bone",
""
)
)
)</f>
        <v>No</v>
      </c>
      <c r="CG77" s="25" t="str">
        <f>IF(_xlfn.XLOOKUP(_xlfn.XLOOKUP(B77,'Base stats'!B:B,'Base stats'!E:E),Groups!A:A,Groups!BA:BA),"True","False")</f>
        <v>False</v>
      </c>
      <c r="CH77" s="25" t="str">
        <f>IF(_xlfn.XLOOKUP(_xlfn.XLOOKUP(B77,'Base stats'!B:B,'Base stats'!E:E),Groups!A:A,Groups!AZ:AZ),"True","False")</f>
        <v>True</v>
      </c>
    </row>
    <row r="78" spans="1:86" ht="16.5" thickTop="1" thickBot="1" x14ac:dyDescent="0.3">
      <c r="A78" s="26" t="str">
        <f>_xlfn.XLOOKUP(B78,'Base stats'!B:B,'Base stats'!A:A)</f>
        <v>Hippo</v>
      </c>
      <c r="B78" s="6" t="s">
        <v>186</v>
      </c>
      <c r="C78" s="28" t="s">
        <v>770</v>
      </c>
      <c r="D78" s="28" t="s">
        <v>882</v>
      </c>
      <c r="E78" s="28" t="s">
        <v>685</v>
      </c>
      <c r="F78" s="28" t="s">
        <v>685</v>
      </c>
      <c r="G78" s="2">
        <f>MROUND((
  (IF(AND(_xlfn.XLOOKUP(B78,'Base stats'!B:B,'Base stats'!AI:AI)=0,BG78="None",_xlfn.XLOOKUP('Base stats'!E78,Groups!A:A,Groups!B:B)=0), (18 + BP78 * 2.7) * 0.5,
    IF(AND(_xlfn.XLOOKUP(B78,'Base stats'!B:B,'Base stats'!AI:AI)=0,OR(AN78&lt;0.55,AND(BG78="Intermediate",_xlfn.XLOOKUP('Base stats'!E78,Groups!A:A,Groups!B:B)&lt;2))), (18 + BP78 * 2.7),
      IF(OR(BG78="Advanced",_xlfn.XLOOKUP(B78,'Base stats'!B:B,'Base stats'!AI:AI)=1,_xlfn.XLOOKUP('Base stats'!E78,Groups!A:A,Groups!B:B)=2), (18 + BP78 * 2.7) + 250, (18 + BP78 * 2.7))
    )
  ))
  + AN78 * 80
  + IF(COUNTIF(EggMilk!K$2:K$998, A78) &gt; 0, 125, 0)
  + IF(COUNTIF(EggMilk!P$2:P$998, A78) &gt; 0, 90, 0)
  + IF(COUNTIF(EggMilk!A$2:A$998, A78) &gt; 0, 90, 0)
)
* (0.8 + 0.4 * I78)
* 0.75,25)</f>
        <v>725</v>
      </c>
      <c r="H78" s="2">
        <f>MROUND(ROUNDDOWN(_xlfn.XLOOKUP(B78,'Base stats'!B:B,'Base stats'!L:L)/3.6/(23.3/11),1),0.5)</f>
        <v>3</v>
      </c>
      <c r="I78" s="2">
        <f>IF(_xlfn.XLOOKUP(B78,'Base stats'!B:B,'Base stats'!AI:AI)=1,0.99,MIN(MROUND((1-0.6282*EXP(-0.459*AN78))*_xlfn.XLOOKUP(_xlfn.XLOOKUP(B78,'Base stats'!B:B,'Base stats'!E:E),Groups!A:A,Groups!C:C)*IF(_xlfn.XLOOKUP(B78,'Base stats'!B:B,'Base stats'!O:O)=1,0.5,IF(_xlfn.XLOOKUP(B78,'Base stats'!B:B,'Base stats'!O:O)=2,0,1)),0.05),0.985))</f>
        <v>0.9</v>
      </c>
      <c r="J78" s="2">
        <f>ROUNDUP(AN78*_xlfn.XLOOKUP(_xlfn.XLOOKUP(B78,'Base stats'!B:B,'Base stats'!E:E),Groups!A:A,Groups!E:E),0)</f>
        <v>19</v>
      </c>
      <c r="K78" s="2">
        <f>IF(OR(_xlfn.XLOOKUP(_xlfn.XLOOKUP(B78,'Base stats'!B:B,'Base stats'!E:E),Groups!A:A,Groups!F:F)=2,ISNUMBER(SEARCH("SeaIce",BV78)),ISNUMBER(SEARCH("IceSheet",BV78))),-50,IF(OR(ISNUMBER(SEARCH("GlacialPlain",BV78)),ISNUMBER(SEARCH("Tundra",BV78))),-40,IF(OR(ISNUMBER(SEARCH("Alpine",BV78)),ISNUMBER(SEARCH("BorealForest",BV78)),ISNUMBER(SEARCH("ColdBog",BV78))),-30,IF(OR(ISNUMBER(SEARCH("TemperateForest",BV78)),ISNUMBER(SEARCH("TemperateSwamp",BV78))),-20,IF(_xlfn.XLOOKUP(_xlfn.XLOOKUP(B78,'Base stats'!B:B,'Base stats'!E:E),Groups!A:A,Groups!F:F)=1,-15,IF(OR(ISNUMBER(SEARCH("Desert",BV78)),ISNUMBER(SEARCH("ExtremeDesert",BV78))),-10,IF(OR(ISNUMBER(SEARCH("Grasslands",BV78)),ISNUMBER(SEARCH("TropicalRainforest",BV78)),ISNUMBER(SEARCH("TropicalSwamp",BV78))),10,0)))))))-IF(CA78="False",MIN(IFERROR(MAX(MROUND(LOG10(_xlfn.XLOOKUP(B78,'Base stats'!B:B,'Base stats'!C:C)^(2/3))*10,5),5),5),30))-_xlfn.XLOOKUP(B78,'Base stats'!B:B,'Base stats'!P:P)+IF(CA78="True",5,0)</f>
        <v>-10</v>
      </c>
      <c r="L78" s="2">
        <f>IF(OR(_xlfn.XLOOKUP(_xlfn.XLOOKUP(B78,'Base stats'!B:B,'Base stats'!E:E),Groups!A:A,Groups!G:G)=2,ISNUMBER(SEARCH("Desert",BV78)),ISNUMBER(SEARCH("ExtremeDesert",BV78)),ISNUMBER(SEARCH("LavaField",BV78))),50,IF(ISNUMBER(SEARCH("Grasslands",BV78)),45,IF(OR(_xlfn.XLOOKUP(_xlfn.XLOOKUP(B78,'Base stats'!B:B,'Base stats'!E:E),Groups!A:A,Groups!G:G)=1,ISNUMBER(SEARCH("TropicalRainforest",BV78)),ISNUMBER(SEARCH("TropicalSwamp",BV78))),40,IF(OR(ISNUMBER(SEARCH("TemperateForest",BV78)),ISNUMBER(SEARCH("TemperateSwamp",BV78))),35,IF(OR(ISNUMBER(SEARCH("Alpine",BV78)),ISNUMBER(SEARCH("BorealForest",BV78)),ISNUMBER(SEARCH("ColdBog",BV78))),30,IF(ISNUMBER(OR(ISNUMBER(SEARCH("GlacialPlain",BV78)),SEARCH("Tundra",BV78))),25,IF(OR(ISNUMBER(SEARCH("SeaIce",BV78)),ISNUMBER(SEARCH("IceSheet",BV78)),ISNUMBER(SEARCH("TropicalSwamp",BV78))),10,35)))))))+_xlfn.XLOOKUP(B78,'Base stats'!B:B,'Base stats'!Q:Q)</f>
        <v>40</v>
      </c>
      <c r="M78" s="8" t="str">
        <f>IF(_xlfn.XLOOKUP(_xlfn.XLOOKUP(B78,'Base stats'!B:B,'Base stats'!E:E),Groups!A:A,Groups!L:L)=1,MIN(MROUND(_xlfn.XLOOKUP(B78,'Animals CE'!B:B,'Animals CE'!Z:Z)/2+0.05,0.05),200%),"No")</f>
        <v>No</v>
      </c>
      <c r="N78" s="8" t="str">
        <f>IF(_xlfn.XLOOKUP(_xlfn.XLOOKUP(B78,'Base stats'!B:B,'Base stats'!E:E),Groups!A:A,Groups!L:L)=1,MIN(MROUND(_xlfn.XLOOKUP(B78,'Animals CE'!B:B,'Animals CE'!AA:AA)/2+0.05,0.05),200%),"No")</f>
        <v>No</v>
      </c>
      <c r="O78" s="2" t="str">
        <f>_xlfn.XLOOKUP(B78,'Base stats'!B:B,'Base stats'!R:R)</f>
        <v>Standard</v>
      </c>
      <c r="P78" s="13">
        <f>MROUND((LOG10(_xlfn.XLOOKUP(B78,'Base stats'!B:B,'Base stats'!AO:AO))*(AN78^0.5)+(_xlfn.XLOOKUP(B78,'Base stats'!B:B,'Base stats'!AO:AO)/1000)^(2/3)+_xlfn.XLOOKUP(B78,'Base stats'!B:B,'Base stats'!AX:AX)/2)+0.5,0.5)</f>
        <v>22.5</v>
      </c>
      <c r="Q78" s="7">
        <f>IF(P78="No","No",MAX(1,MROUND(_xlfn.XLOOKUP(B78,'Base stats'!B:B,'Base stats'!C:C)^0.165,0.05)))</f>
        <v>3.3000000000000003</v>
      </c>
      <c r="R78" s="13" t="str">
        <f>IF(_xlfn.XLOOKUP(_xlfn.XLOOKUP(B78,'Base stats'!B:B,'Base stats'!E:E),Groups!A:A,Groups!P:P)=0,"No",MROUND((LOG10(_xlfn.XLOOKUP(B78,'Base stats'!B:B,'Base stats'!AP:AP))*(AN78^0.5)+(_xlfn.XLOOKUP(B78,'Base stats'!B:B,'Base stats'!AP:AP)/1000)^(2/3)+_xlfn.XLOOKUP(B78,'Base stats'!B:B,'Base stats'!AX:AX))+_xlfn.XLOOKUP(B78,'Base stats'!B:B,'Base stats'!AV:AV)+0.5,0.5))</f>
        <v>No</v>
      </c>
      <c r="S78" s="7" t="str">
        <f>IF(R78="No","No",MAX(_xlfn.XLOOKUP(_xlfn.XLOOKUP(B78,'Base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T78" s="7" t="str">
        <f>IF(R78="No","No",_xlfn.XLOOKUP(_xlfn.XLOOKUP(B78,'Base stats'!B:B,'Base stats'!E:E),Groups!A:A,Groups!R:R))</f>
        <v>No</v>
      </c>
      <c r="U78" s="7" t="str">
        <f>IF(R78="No","No",_xlfn.XLOOKUP(_xlfn.XLOOKUP(B78,'Base stats'!B:B,'Base stats'!E:E),Groups!A:A,Groups!S:S))</f>
        <v>No</v>
      </c>
      <c r="V78" s="7" t="str">
        <f>IF(R78="No","No",_xlfn.XLOOKUP(_xlfn.XLOOKUP(B78,'Base stats'!B:B,'Base stats'!E:E),Groups!A:A,Groups!T:T))</f>
        <v>No</v>
      </c>
      <c r="W78" s="13" t="str">
        <f>IF(_xlfn.XLOOKUP(B78,'Base stats'!B:B,'Base stats'!W:W)="No","No",MROUND((LOG10(_xlfn.XLOOKUP(B78,'Base stats'!B:B,'Base stats'!AR:AR))*(AN78^0.5)+(_xlfn.XLOOKUP(B78,'Base stats'!B:B,'Base stats'!AR:AR)/1000)^(2/3)+_xlfn.XLOOKUP(B78,'Base stats'!B:B,'Base stats'!AW:AW))+0.5+IF(_xlfn.XLOOKUP(_xlfn.XLOOKUP(B78,'Base stats'!B:B,'Base stats'!E:E),Groups!A:A,Groups!U:U)&lt;&gt;3,_xlfn.XLOOKUP(B78,'Base stats'!B:B,'Base stats'!AX:AX),0),0.5))</f>
        <v>No</v>
      </c>
      <c r="X78" s="7" t="str">
        <f>IF(W78="No","No",MAX(_xlfn.XLOOKUP(_xlfn.XLOOKUP(B78,'Base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Y78" s="7" t="str">
        <f>IF(W78="No","No",_xlfn.XLOOKUP(_xlfn.XLOOKUP(B78,'Base stats'!B:B,'Base stats'!E:E),Groups!A:A,Groups!W:W))</f>
        <v>No</v>
      </c>
      <c r="Z78" s="7" t="str">
        <f>IF(W78="No","No",_xlfn.XLOOKUP(_xlfn.XLOOKUP(B78,'Base stats'!B:B,'Base stats'!E:E),Groups!A:A,Groups!X:X))</f>
        <v>No</v>
      </c>
      <c r="AA78" s="7" t="str">
        <f>IF(W78="No","No",_xlfn.XLOOKUP(_xlfn.XLOOKUP(B78,'Base stats'!B:B,'Base stats'!E:E),Groups!A:A,Groups!Y:Y))</f>
        <v>No</v>
      </c>
      <c r="AB78" s="7" t="str">
        <f>_xlfn.XLOOKUP(Animals!B78,'Base stats'!B:B,'Base stats'!X:X)</f>
        <v>False</v>
      </c>
      <c r="AC78" s="13">
        <f>IF(_xlfn.XLOOKUP(B78,'Base stats'!B:B,'Base stats'!AQ:AQ)="No","No",MROUND((LOG10(_xlfn.XLOOKUP(B78,'Base stats'!B:B,'Base stats'!AQ:AQ))*(AN78^0.75)+(_xlfn.XLOOKUP(B78,'Base stats'!B:B,'Base stats'!AQ:AQ)/1000)^(2/3)+_xlfn.XLOOKUP(B78,'Base stats'!B:B,'Base stats'!AU:AU)+_xlfn.XLOOKUP(B78,'Base stats'!B:B,'Base stats'!AX:AX))+0.5,0.5))</f>
        <v>34</v>
      </c>
      <c r="AD78" s="7">
        <f>IF(AC78="No","No",MAX(_xlfn.XLOOKUP(_xlfn.XLOOKUP(B78,'Base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E78" s="7" t="str">
        <f>IF(AC78="No","No",_xlfn.XLOOKUP(_xlfn.XLOOKUP(B78,'Base stats'!B:B,'Base stats'!E:E),Groups!A:A,Groups!AA:AA))</f>
        <v>Teeth</v>
      </c>
      <c r="AF78" s="7" t="str">
        <f>IF(AC78="No","No",_xlfn.XLOOKUP(_xlfn.XLOOKUP(B78,'Base stats'!B:B,'Base stats'!E:E),Groups!A:A,Groups!AB:AB))</f>
        <v>teeth</v>
      </c>
      <c r="AG78" s="7" t="str">
        <f>IF(AC78="No","No",_xlfn.XLOOKUP(_xlfn.XLOOKUP(B78,'Base stats'!B:B,'Base stats'!E:E),Groups!A:A,Groups!AC:AC))</f>
        <v>Bite</v>
      </c>
      <c r="AH78" s="13" t="str">
        <f>IF(_xlfn.XLOOKUP(_xlfn.XLOOKUP(B78,'Base stats'!B:B,'Base stats'!E:E),Groups!A:A,Groups!AD:AD)=0,"No",MROUND((LOG10(_xlfn.XLOOKUP(B78,'Base stats'!B:B,'Base stats'!AP:AP))*(AN78^0.75)+(_xlfn.XLOOKUP(B78,'Base stats'!B:B,'Base stats'!AP:AP)/1000)^(2/3)+_xlfn.XLOOKUP(B78,'Base stats'!B:B,'Base stats'!AV:AV)+_xlfn.XLOOKUP(B78,'Base stats'!B:B,'Base stats'!AX:AX))+0.5,0.5))</f>
        <v>No</v>
      </c>
      <c r="AI78" s="7" t="str">
        <f>IF(AH78="No","No",MAX(_xlfn.XLOOKUP(_xlfn.XLOOKUP(B78,'Base stats'!B:B,'Base stats'!E:E),Groups!A:A,Groups!AE:AE),MROUND(_xlfn.XLOOKUP(_xlfn.XLOOKUP(B78,'Base stats'!B:B,'Base stats'!E:E),Groups!A:A,Groups!AE:AE)*_xlfn.XLOOKUP(B78,'Base stats'!B:B,'Base stats'!C:C)^0.165,0.05)))</f>
        <v>No</v>
      </c>
      <c r="AJ78" s="7" t="str">
        <f>IF(AH78="No","No",_xlfn.XLOOKUP(_xlfn.XLOOKUP(B78,'Base stats'!B:B,'Base stats'!E:E),Groups!A:A,Groups!AF:AF))</f>
        <v>No</v>
      </c>
      <c r="AK78" s="7" t="str">
        <f>IF(AH78="No","No",_xlfn.XLOOKUP(_xlfn.XLOOKUP(B78,'Base stats'!B:B,'Base stats'!E:E),Groups!A:A,Groups!AG:AG))</f>
        <v>No</v>
      </c>
      <c r="AL78" s="7" t="str">
        <f>IF(AH78="No","No",_xlfn.XLOOKUP(_xlfn.XLOOKUP(B78,'Base stats'!B:B,'Base stats'!E:E),Groups!A:A,Groups!AH:AH))</f>
        <v>No</v>
      </c>
      <c r="AM78" s="2" t="str">
        <f t="shared" si="7"/>
        <v>No</v>
      </c>
      <c r="AN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O78" s="8">
        <f>MROUND(AN78*_xlfn.XLOOKUP(_xlfn.XLOOKUP(B78,'Base stats'!B:B,'Base stats'!E:E),Groups!A:A,Groups!AI:AI),0.05)</f>
        <v>4.5</v>
      </c>
      <c r="AP78" s="8">
        <f>MAX(0.01,MROUND(IF(CA78="True",0.196*(AN78*100*1000)^0.889,IF(_xlfn.XLOOKUP(_xlfn.XLOOKUP(B78,'Base stats'!B:B,'Base stats'!E:E),Groups!A:A,Groups!AJ:AJ)="Bird",10.5*(AN78*100*1000)^0.681,4.82*(AN78*100*1000)^0.734))/(4.82*(1*100*1000)^0.734)/IF(AN78&lt;3.5,2,IF(AN78=3.5,1.5,1.25))*(1+0.132282374779864/(AN78^0.994035016789033+0.00905238001496948)),0.05))</f>
        <v>2.2000000000000002</v>
      </c>
      <c r="AQ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R78" s="35">
        <f>IFERROR(IF(_xlfn.XLOOKUP(B78,'Base stats'!B:B,'Base stats'!F:F)="Lay eggs","Lay eggs",MIN(20,MAX(5.5,ROUND(((_xlfn.XLOOKUP(B78,'Base stats'!B:B,'Base stats'!F:F)-25)*(14.5/615) + 5.5)*2,0)/2))),"Cannot breed")</f>
        <v>10.5</v>
      </c>
      <c r="AS78" s="8">
        <f>IF(OR(A78="Queen",A78="Larva",A78="Megachicken"),"No",IFERROR(MAX(IF(_xlfn.XLOOKUP(B78,'Base stats'!B:B,'Base stats'!G:G)&lt;0.5,0.2,0.3),MROUND(_xlfn.XLOOKUP(B78,'Base stats'!B:B,'Base stats'!G:G)/(365/60),0.2)),"Unknown"))</f>
        <v>0.60000000000000009</v>
      </c>
      <c r="AT78" s="8">
        <f t="shared" si="8"/>
        <v>0.30000000000000004</v>
      </c>
      <c r="AU78" s="8">
        <f>IFERROR(IFERROR(MROUND(_xlfn.XLOOKUP(B78,'Base stats'!B:B,'Base stats'!J:J),0.1),"Lay eggs"),"Cannot breed")</f>
        <v>1</v>
      </c>
      <c r="AV78" s="2" t="str">
        <f t="shared" si="9"/>
        <v>true</v>
      </c>
      <c r="AW78" s="2" t="str">
        <f>IF(_xlfn.XLOOKUP(_xlfn.XLOOKUP(Animals!B78,'Base stats'!B:B,'Base stats'!E:E),Groups!A:A,Groups!AK:AK)=1,"true","false")</f>
        <v>true</v>
      </c>
      <c r="AX78" s="25" t="str">
        <f>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</f>
        <v>VegetarianRoughAnimal</v>
      </c>
      <c r="AY78" s="2">
        <f>IF(_xlfn.XLOOKUP(_xlfn.XLOOKUP(B78,'Base stats'!B:B,'Base stats'!E:E),Groups!A:A,Groups!D:D)=1,MROUND((1-I78)*5+1,2)*IF(I78&lt;=0.4,2,1),"No")</f>
        <v>2</v>
      </c>
      <c r="AZ78" s="2" t="str">
        <f>_xlfn.XLOOKUP(B78,'Base stats'!B:B,'Base stats'!AE:AE)</f>
        <v>Leather_Hippo</v>
      </c>
      <c r="BA78" s="23" t="str">
        <f>_xlfn.XLOOKUP(_xlfn.XLOOKUP(B78,'Base stats'!B:B,'Base stats'!E:E),Groups!A:A,Groups!AL:AL)</f>
        <v>QuadrupedAnimalWithHooves</v>
      </c>
      <c r="BB78" s="23">
        <f>MROUND(IF(AND(AN78&lt;0.5,_xlfn.XLOOKUP(B78,'Base stats'!B:B,'Base stats'!Z:Z)=0),0,IF(OR(_xlfn.XLOOKUP(Animals!B78,'Base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stats'!AA:AA),0.005)</f>
        <v>0.1</v>
      </c>
      <c r="BC78" s="23">
        <f>MROUND(IF(AND(AN78&lt;0.5,_xlfn.XLOOKUP(B78,'Base stats'!B:B,'Base stats'!Z:Z)=0),0,IF(_xlfn.XLOOKUP(_xlfn.XLOOKUP(B78,'Base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stats'!AB:AB),0.005)</f>
        <v>0.3</v>
      </c>
      <c r="BD78" s="2" t="str">
        <f>IF(I78&gt;0.3,"No",_xlfn.XLOOKUP(_xlfn.XLOOKUP(Animals!B78,'Base stats'!B:B,'Base stats'!E:E),Groups!A:A,Groups!AP:AP))</f>
        <v>No</v>
      </c>
      <c r="BE78" s="2" t="str">
        <f>IF(AND(I78&lt;=0.65,_xlfn.XLOOKUP(_xlfn.XLOOKUP(Animals!B78,'Base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stats'!O:O)=2,0.2,AN78) + 24*(1-IF(BD78="No",0,BD78)) + 16/3, 12),"No")</f>
        <v>No</v>
      </c>
      <c r="BF78" s="2">
        <f>IF(AND(_xlfn.XLOOKUP(_xlfn.XLOOKUP(B78,'Base stats'!B:B,'Base stats'!E:E),Groups!A:A,Groups!AQ:AQ)=1,AN78&lt;=0.35),8,12)</f>
        <v>12</v>
      </c>
      <c r="BG78" s="2" t="str">
        <f>IF(_xlfn.XLOOKUP(_xlfn.XLOOKUP(B78,'Base stats'!B:B,'Base stats'!E:E),Groups!A:A,Groups!D:D)=0,_xlfn.XLOOKUP(_xlfn.XLOOKUP(B78,'Base stats'!B:B,'Base stats'!E:E),Groups!A:A,Groups!AR:AR),"None")</f>
        <v>None</v>
      </c>
      <c r="BH78" s="2" t="str">
        <f>IF(AND(_xlfn.XLOOKUP(_xlfn.XLOOKUP(B78,'Base stats'!B:B,'Base stats'!E:E),Groups!A:A,Groups!AS:AS)=1,OR('Base stats'!Y78="Carnivore",'Base stats'!Y78="Omnivore")),"true","false")</f>
        <v>false</v>
      </c>
      <c r="BI78" s="2" t="str">
        <f>IF(BH78="true",MROUND(IF(AND(AN78&gt;0.5,_xlfn.XLOOKUP(_xlfn.XLOOKUP(B78,'Base stats'!B:B,'Base stats'!E:E),Groups!A:A,Groups!AJ:AJ)="Mammal"),Animals!AN78*1.75*IF(AV78="true",1.5,1),Animals!AN78),IF(AN78&gt;2,0.5,IF(AN78&gt;0.5,0.25,0.1))),"No")</f>
        <v>No</v>
      </c>
      <c r="BJ78" s="2">
        <f t="shared" si="10"/>
        <v>0</v>
      </c>
      <c r="BK78" s="25" t="str">
        <f>IF('Base stats'!AK78="Standard","No",MROUND((_xlfn.XLOOKUP(B78,'Base stats'!B:B,'Base stats'!AK:AK)/3.6)/H78,0.1))</f>
        <v>No</v>
      </c>
      <c r="BL78" s="25" t="str">
        <f t="shared" si="11"/>
        <v>true</v>
      </c>
      <c r="BM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N78" s="25" t="str" cm="1">
        <f t="array" ref="BN78">IF(
  _xlfn.TEXTJOIN(", ",TRUE,
    IF(AND(BH78="true",AN78&gt;0.5,BG78&lt;&gt;"None"),"AttackTarget",""),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IF(BE78&lt;=36,"Comfort",""),
    IF(_xlfn.XLOOKUP(B78,'Base stats'!B:B,'Base stats'!AC:AC)&lt;&gt;"No",_xlfn.XLOOKUP(B78,'Base stats'!B:B,'Base stats'!AC:AC),"")
  ) = "",
  "No",
  _xlfn.TEXTJOIN(", ",TRUE,
    IF(AND(BH78="true",AN78&gt;0.5,BG78&lt;&gt;"None"),"AttackTarget",""),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IF(BE78&lt;=36,"Comfort",""),
    IF(_xlfn.XLOOKUP(B78,'Base stats'!B:B,'Base stats'!AC:AC)&lt;&gt;"No",_xlfn.XLOOKUP(B78,'Base stats'!B:B,'Base stats'!AC:AC),"")
  )
)</f>
        <v>No</v>
      </c>
      <c r="BO78" s="25">
        <f>IF(
   AND(
      'Base stats'!AK78="Standard",_xlfn.XLOOKUP(_xlfn.XLOOKUP(B78,'Base stats'!B:B,'Base stats'!E:E),Groups!A:A,Groups!AU:AU)=0,
      OR(
      BM78="True"
      )
   ),
   10,
   IF(
       OR(BK78&lt;&gt;"No",_xlfn.XLOOKUP(_xlfn.XLOOKUP(B78,'Base stats'!B:B,'Base stats'!E:E),Groups!A:A,Groups!AU:AU)=1),
      1,
      "No"
   )
)</f>
        <v>1</v>
      </c>
      <c r="BP78" s="9">
        <f>MROUND((1 + ((0.2*IF(OR(P78="No",Q78="No",Q78=0),0,P78/Q78)
+IF(OR(U78="No",R78="No",S78="No"),0,R78/S78*(LEN(U78)-LEN(SUBSTITUTE(U78,",",""))+1))
+IF(OR(W78="No",X78="No"),0,W78/X78)
+IF(OR(AC78="No",AD78="No"),0,AC78/AD78)
+IF(OR(AK78="No",AH78="No",AI78="No"),0,AH78/AI78*(LEN(AK78)-LEN(SUBSTITUTE(AK78,",",""))+1))
)/(0.2*IF(OR(P78="No",Q78="No",Q78=0),0,1)
+IF(OR(U78="No",R78="No",S78="No"),0,LEN(U78)-LEN(SUBSTITUTE(U78,",",""))+1)
+IF(OR(W78="No",X78="No"),0,1)
+IF(OR(AC78="No",AD78="No"),0,1)
+IF(OR(AK78="No",AH78="No",AI78="No"),0,LEN(AK78)-LEN(SUBSTITUTE(AK78,",",""))+1))*62%)* 2)*(1 + (AO78 + _xlfn.XLOOKUP(B78,'Base stats'!B:B,'Base stats'!AS:AS) * 1.8) * 2) * 2.5 + 10 + H78 * 2,5)+IF(_xlfn.XLOOKUP(B78,'Base stats'!B:B,'Base stats'!AH:AH)=1,50,0)</f>
        <v>390</v>
      </c>
      <c r="BQ78" s="8">
        <f t="shared" si="12"/>
        <v>2.5</v>
      </c>
      <c r="BR78" s="8" t="str">
        <f>_xlfn.XLOOKUP(B78,'Base stats'!B:B,'Base stats'!AD:AD)</f>
        <v>5~15</v>
      </c>
      <c r="BS78" s="2" t="str">
        <f>IF(AND(I78&lt;=0.95,OR(_xlfn.XLOOKUP(B78,'Base stats'!B:B,'Base stats'!AH:AH)=1,_xlfn.XLOOKUP(B78,'Base stats'!B:B,'Base stats'!Y:Y)="Carnivore",_xlfn.XLOOKUP(B78,'Base stats'!B:B,'Base stats'!Y:Y)="Omnivore",BC78&gt;0.1)),"true","false")</f>
        <v>true</v>
      </c>
      <c r="BT78" s="2" t="str">
        <f>IF(_xlfn.XLOOKUP(B78,'Base stats'!B:B,'Base stats'!AF:AF)=1,"true","false")</f>
        <v>false</v>
      </c>
      <c r="BU78" s="25" t="str">
        <f>IF(E78="BaseInsect","AnimalInsect",
IF(I78&gt;0.95,"AnimalExotic",
_xlfn.TEXTJOIN(", ",TRUE,
IF(AND(_xlfn.XLOOKUP(B78,'Base stats'!B:B,'Base stats'!O:O)=0,_xlfn.XLOOKUP(_xlfn.XLOOKUP(B78,'Base stats'!B:B,'Base stats'!E:E),Groups!A:A,Groups!B:B)&gt;0),"AnimalUncommon","AnimalCommon"),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stats'!AH:AH)=1,AND(BG78&lt;&gt;"None",BP78&gt;=60),ISNUMBER(SEARCH("Attack target",BN78))),"AnimalFighter","")
)))</f>
        <v>AnimalCommon</v>
      </c>
      <c r="BV78" s="25" t="str">
        <f>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</f>
        <v>TropicalSwamp Glowforest</v>
      </c>
      <c r="BW78" s="25" t="str">
        <f>IF(_xlfn.XLOOKUP(B78,'Base stats'!B:B,'Base stats'!AG:AG)=1,"true","false")</f>
        <v>false</v>
      </c>
      <c r="BX78" s="25">
        <f>IF(_xlfn.XLOOKUP(B78,'Base stats'!B:B,'Base stats'!N:N)=1,"No",MIN(MROUND(IF(OR(_xlfn.XLOOKUP(B78,'Base stats'!B:B,'Base stats'!AJ:AJ)=1,AND(BH78="True",CA78="False")),POWER(10,3.47*LOG10(_xlfn.XLOOKUP(B78,'Base stats'!B:B,'Base stats'!C:C)*1000)^-0.96),POWER(10,4.15*LOG10(_xlfn.XLOOKUP(B78,'Base stats'!B:B,'Base stats'!C:C)*1000)^-0.73))*IF(OR(_xlfn.XLOOKUP(B78,'Base stats'!B:B,'Base stats'!AJ:AJ)=1,_xlfn.XLOOKUP(B78,'Base stats'!B:B,'Base stats'!AH:AH)=1),0.5,1)/100,0.025),1))</f>
        <v>0.125</v>
      </c>
      <c r="BY78" s="25" t="str">
        <f>IF(O78="Standard","No",IF(_xlfn.XLOOKUP(B78,'Base stats'!B:B,'Base stats'!N:N)=0,MROUND(BX78*O78,0.05),MIN(1,MAX(0.025,MROUND(IF(OR(CA78="true",AND(BH78="false",BM78="false")),POWER(10,4.15*LOG10(_xlfn.XLOOKUP(B78,'Base stats'!B:B,'Base stats'!C:C)*1000)^-0.73),POWER(10,3.47*LOG10(_xlfn.XLOOKUP(B78,'Base stats'!B:B,'Base stats'!C:C)*1000)^-0.96))*IF(_xlfn.XLOOKUP(B78,'Base stats'!B:B,'Base stats'!AH:AH)=1,0.5,1)/100,0.025)))))</f>
        <v>No</v>
      </c>
      <c r="BZ78" s="25" t="str">
        <f>IF(_xlfn.XLOOKUP(_xlfn.XLOOKUP(B78,'Base stats'!B:B,'Base stats'!E:E),Groups!A:A,Groups!AJ:AJ)="Mammal","True","False")</f>
        <v>True</v>
      </c>
      <c r="CA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B78" s="25" t="str">
        <f t="shared" si="13"/>
        <v>False</v>
      </c>
      <c r="CC78" s="25" t="str">
        <f>IF(_xlfn.XLOOKUP(_xlfn.XLOOKUP(B78,'Base stats'!B:B,'Base stats'!E:E),Groups!A:A,Groups!AW:AW),"True","False")</f>
        <v>False</v>
      </c>
      <c r="CD78" s="25" t="str">
        <f>IF(_xlfn.XLOOKUP(_xlfn.XLOOKUP(B78,'Base stats'!B:B,'Base stats'!E:E),Groups!A:A,Groups!AX:AX),"True","False")</f>
        <v>False</v>
      </c>
      <c r="CE78" s="25" t="str">
        <f>IF(_xlfn.XLOOKUP(B78,'Base stats'!B:B,'Base stats'!E:E)=1,"True","False")</f>
        <v>False</v>
      </c>
      <c r="CF78" s="25" t="str">
        <f>IF(
OR(
_xlfn.XLOOKUP(_xlfn.XLOOKUP(B78,'Base stats'!B:B,'Base stats'!E:E),Groups!A:A,Groups!AY:AY)=0,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stats'!E:E),Groups!A:A,Groups!AY:AY)=1,
"Flesh",
IF(
_xlfn.XLOOKUP(_xlfn.XLOOKUP(B78,'Base stats'!B:B,'Base stats'!E:E),Groups!A:A,Groups!AY:AY)=2,
"Bone",
""
)
)
)</f>
        <v>No</v>
      </c>
      <c r="CG78" s="25" t="str">
        <f>IF(_xlfn.XLOOKUP(_xlfn.XLOOKUP(B78,'Base stats'!B:B,'Base stats'!E:E),Groups!A:A,Groups!BA:BA),"True","False")</f>
        <v>True</v>
      </c>
      <c r="CH78" s="25" t="str">
        <f>IF(_xlfn.XLOOKUP(_xlfn.XLOOKUP(B78,'Base stats'!B:B,'Base stats'!E:E),Groups!A:A,Groups!AZ:AZ),"True","False")</f>
        <v>False</v>
      </c>
    </row>
    <row r="79" spans="1:86" ht="16.5" thickTop="1" thickBot="1" x14ac:dyDescent="0.3">
      <c r="A79" s="26" t="str">
        <f>_xlfn.XLOOKUP(B79,'Base stats'!B:B,'Base stats'!A:A)</f>
        <v>Mastodon</v>
      </c>
      <c r="B79" s="6" t="s">
        <v>287</v>
      </c>
      <c r="C79" s="28" t="s">
        <v>771</v>
      </c>
      <c r="D79" s="28" t="s">
        <v>882</v>
      </c>
      <c r="E79" s="28" t="s">
        <v>685</v>
      </c>
      <c r="F79" s="28" t="s">
        <v>685</v>
      </c>
      <c r="G79" s="2">
        <f>MROUND((
  (IF(AND(_xlfn.XLOOKUP(B79,'Base stats'!B:B,'Base stats'!AI:AI)=0,BG79="None",_xlfn.XLOOKUP('Base stats'!E79,Groups!A:A,Groups!B:B)=0), (18 + BP79 * 2.7) * 0.5,
    IF(AND(_xlfn.XLOOKUP(B79,'Base stats'!B:B,'Base stats'!AI:AI)=0,OR(AN79&lt;0.55,AND(BG79="Intermediate",_xlfn.XLOOKUP('Base stats'!E79,Groups!A:A,Groups!B:B)&lt;2))), (18 + BP79 * 2.7),
      IF(OR(BG79="Advanced",_xlfn.XLOOKUP(B79,'Base stats'!B:B,'Base stats'!AI:AI)=1,_xlfn.XLOOKUP('Base stats'!E79,Groups!A:A,Groups!B:B)=2), (18 + BP79 * 2.7) + 250, (18 + BP79 * 2.7))
    )
  ))
  + AN79 * 80
  + IF(COUNTIF(EggMilk!K$2:K$998, A79) &gt; 0, 125, 0)
  + IF(COUNTIF(EggMilk!P$2:P$998, A79) &gt; 0, 90, 0)
  + IF(COUNTIF(EggMilk!A$2:A$998, A79) &gt; 0, 90, 0)
)
* (0.8 + 0.4 * I79)
* 0.75,25)</f>
        <v>1950</v>
      </c>
      <c r="H79" s="2">
        <f>MROUND(ROUNDDOWN(_xlfn.XLOOKUP(B79,'Base stats'!B:B,'Base stats'!L:L)/3.6/(23.3/11),1),0.5)</f>
        <v>3.5</v>
      </c>
      <c r="I79" s="2">
        <f>IF(_xlfn.XLOOKUP(B79,'Base stats'!B:B,'Base stats'!AI:AI)=1,0.99,MIN(MROUND((1-0.6282*EXP(-0.459*AN79))*_xlfn.XLOOKUP(_xlfn.XLOOKUP(B79,'Base stats'!B:B,'Base stats'!E:E),Groups!A:A,Groups!C:C)*IF(_xlfn.XLOOKUP(B79,'Base stats'!B:B,'Base stats'!O:O)=1,0.5,IF(_xlfn.XLOOKUP(B79,'Base stats'!B:B,'Base stats'!O:O)=2,0,1)),0.05),0.985))</f>
        <v>0.95000000000000007</v>
      </c>
      <c r="J79" s="2">
        <f>ROUNDUP(AN79*_xlfn.XLOOKUP(_xlfn.XLOOKUP(B79,'Base stats'!B:B,'Base stats'!E:E),Groups!A:A,Groups!E:E),0)</f>
        <v>28</v>
      </c>
      <c r="K79" s="2">
        <f>IF(OR(_xlfn.XLOOKUP(_xlfn.XLOOKUP(B79,'Base stats'!B:B,'Base stats'!E:E),Groups!A:A,Groups!F:F)=2,ISNUMBER(SEARCH("SeaIce",BV79)),ISNUMBER(SEARCH("IceSheet",BV79))),-50,IF(OR(ISNUMBER(SEARCH("GlacialPlain",BV79)),ISNUMBER(SEARCH("Tundra",BV79))),-40,IF(OR(ISNUMBER(SEARCH("Alpine",BV79)),ISNUMBER(SEARCH("BorealForest",BV79)),ISNUMBER(SEARCH("ColdBog",BV79))),-30,IF(OR(ISNUMBER(SEARCH("TemperateForest",BV79)),ISNUMBER(SEARCH("TemperateSwamp",BV79))),-20,IF(_xlfn.XLOOKUP(_xlfn.XLOOKUP(B79,'Base stats'!B:B,'Base stats'!E:E),Groups!A:A,Groups!F:F)=1,-15,IF(OR(ISNUMBER(SEARCH("Desert",BV79)),ISNUMBER(SEARCH("ExtremeDesert",BV79))),-10,IF(OR(ISNUMBER(SEARCH("Grasslands",BV79)),ISNUMBER(SEARCH("TropicalRainforest",BV79)),ISNUMBER(SEARCH("TropicalSwamp",BV79))),10,0)))))))-IF(CA79="False",MIN(IFERROR(MAX(MROUND(LOG10(_xlfn.XLOOKUP(B79,'Base stats'!B:B,'Base stats'!C:C)^(2/3))*10,5),5),5),30))-_xlfn.XLOOKUP(B79,'Base stats'!B:B,'Base stats'!P:P)+IF(CA79="True",5,0)</f>
        <v>-65</v>
      </c>
      <c r="L79" s="2">
        <f>IF(OR(_xlfn.XLOOKUP(_xlfn.XLOOKUP(B79,'Base stats'!B:B,'Base stats'!E:E),Groups!A:A,Groups!G:G)=2,ISNUMBER(SEARCH("Desert",BV79)),ISNUMBER(SEARCH("ExtremeDesert",BV79)),ISNUMBER(SEARCH("LavaField",BV79))),50,IF(ISNUMBER(SEARCH("Grasslands",BV79)),45,IF(OR(_xlfn.XLOOKUP(_xlfn.XLOOKUP(B79,'Base stats'!B:B,'Base stats'!E:E),Groups!A:A,Groups!G:G)=1,ISNUMBER(SEARCH("TropicalRainforest",BV79)),ISNUMBER(SEARCH("TropicalSwamp",BV79))),40,IF(OR(ISNUMBER(SEARCH("TemperateForest",BV79)),ISNUMBER(SEARCH("TemperateSwamp",BV79))),35,IF(OR(ISNUMBER(SEARCH("Alpine",BV79)),ISNUMBER(SEARCH("BorealForest",BV79)),ISNUMBER(SEARCH("ColdBog",BV79))),30,IF(ISNUMBER(OR(ISNUMBER(SEARCH("GlacialPlain",BV79)),SEARCH("Tundra",BV79))),25,IF(OR(ISNUMBER(SEARCH("SeaIce",BV79)),ISNUMBER(SEARCH("IceSheet",BV79)),ISNUMBER(SEARCH("TropicalSwamp",BV79))),10,35)))))))+_xlfn.XLOOKUP(B79,'Base stats'!B:B,'Base stats'!Q:Q)</f>
        <v>35</v>
      </c>
      <c r="M79" s="8" t="str">
        <f>IF(_xlfn.XLOOKUP(_xlfn.XLOOKUP(B79,'Base stats'!B:B,'Base stats'!E:E),Groups!A:A,Groups!L:L)=1,MIN(MROUND(_xlfn.XLOOKUP(B79,'Animals CE'!B:B,'Animals CE'!Z:Z)/2+0.05,0.05),200%),"No")</f>
        <v>No</v>
      </c>
      <c r="N79" s="8" t="str">
        <f>IF(_xlfn.XLOOKUP(_xlfn.XLOOKUP(B79,'Base stats'!B:B,'Base stats'!E:E),Groups!A:A,Groups!L:L)=1,MIN(MROUND(_xlfn.XLOOKUP(B79,'Animals CE'!B:B,'Animals CE'!AA:AA)/2+0.05,0.05),200%),"No")</f>
        <v>No</v>
      </c>
      <c r="O79" s="2" t="str">
        <f>_xlfn.XLOOKUP(B79,'Base stats'!B:B,'Base stats'!R:R)</f>
        <v>Standard</v>
      </c>
      <c r="P79" s="13">
        <f>MROUND((LOG10(_xlfn.XLOOKUP(B79,'Base stats'!B:B,'Base stats'!AO:AO))*(AN79^0.5)+(_xlfn.XLOOKUP(B79,'Base stats'!B:B,'Base stats'!AO:AO)/1000)^(2/3)+_xlfn.XLOOKUP(B79,'Base stats'!B:B,'Base stats'!AX:AX)/2)+0.5,0.5)</f>
        <v>40.5</v>
      </c>
      <c r="Q79" s="7">
        <f>IF(P79="No","No",MAX(1,MROUND(_xlfn.XLOOKUP(B79,'Base stats'!B:B,'Base stats'!C:C)^0.165,0.05)))</f>
        <v>4.2</v>
      </c>
      <c r="R79" s="13">
        <f>IF(_xlfn.XLOOKUP(_xlfn.XLOOKUP(B79,'Base stats'!B:B,'Base stats'!E:E),Groups!A:A,Groups!P:P)=0,"No",MROUND((LOG10(_xlfn.XLOOKUP(B79,'Base stats'!B:B,'Base stats'!AP:AP))*(AN79^0.5)+(_xlfn.XLOOKUP(B79,'Base stats'!B:B,'Base stats'!AP:AP)/1000)^(2/3)+_xlfn.XLOOKUP(B79,'Base stats'!B:B,'Base stats'!AX:AX))+_xlfn.XLOOKUP(B79,'Base stats'!B:B,'Base stats'!AV:AV)+0.5,0.5))</f>
        <v>47</v>
      </c>
      <c r="S79" s="7">
        <f>IF(R79="No","No",MAX(_xlfn.XLOOKUP(_xlfn.XLOOKUP(B79,'Base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T79" s="7" t="str">
        <f>IF(R79="No","No",_xlfn.XLOOKUP(_xlfn.XLOOKUP(B79,'Base stats'!B:B,'Base stats'!E:E),Groups!A:A,Groups!R:R))</f>
        <v>FrontLeftLeg, FrontRightLeg</v>
      </c>
      <c r="U79" s="7" t="str">
        <f>IF(R79="No","No",_xlfn.XLOOKUP(_xlfn.XLOOKUP(B79,'Base stats'!B:B,'Base stats'!E:E),Groups!A:A,Groups!S:S))</f>
        <v>left foot, right foot</v>
      </c>
      <c r="V79" s="7" t="str">
        <f>IF(R79="No","No",_xlfn.XLOOKUP(_xlfn.XLOOKUP(B79,'Base stats'!B:B,'Base stats'!E:E),Groups!A:A,Groups!T:T))</f>
        <v>Blunt</v>
      </c>
      <c r="W79" s="13">
        <f>IF(_xlfn.XLOOKUP(B79,'Base stats'!B:B,'Base stats'!W:W)="No","No",MROUND((LOG10(_xlfn.XLOOKUP(B79,'Base stats'!B:B,'Base stats'!AR:AR))*(AN79^0.5)+(_xlfn.XLOOKUP(B79,'Base stats'!B:B,'Base stats'!AR:AR)/1000)^(2/3)+_xlfn.XLOOKUP(B79,'Base stats'!B:B,'Base stats'!AW:AW))+0.5+IF(_xlfn.XLOOKUP(_xlfn.XLOOKUP(B79,'Base stats'!B:B,'Base stats'!E:E),Groups!A:A,Groups!U:U)&lt;&gt;3,_xlfn.XLOOKUP(B79,'Base stats'!B:B,'Base stats'!AX:AX),0),0.5))</f>
        <v>41</v>
      </c>
      <c r="X79" s="7">
        <f>IF(W79="No","No",MAX(_xlfn.XLOOKUP(_xlfn.XLOOKUP(B79,'Base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Y79" s="7" t="str">
        <f>IF(W79="No","No",_xlfn.XLOOKUP(_xlfn.XLOOKUP(B79,'Base stats'!B:B,'Base stats'!E:E),Groups!A:A,Groups!W:W))</f>
        <v>TuskAttackTool</v>
      </c>
      <c r="Z79" s="7" t="str">
        <f>IF(W79="No","No",_xlfn.XLOOKUP(_xlfn.XLOOKUP(B79,'Base stats'!B:B,'Base stats'!E:E),Groups!A:A,Groups!X:X))</f>
        <v>tusk</v>
      </c>
      <c r="AA79" s="7" t="str">
        <f>IF(W79="No","No",_xlfn.XLOOKUP(_xlfn.XLOOKUP(B79,'Base stats'!B:B,'Base stats'!E:E),Groups!A:A,Groups!Y:Y))</f>
        <v>Scratch</v>
      </c>
      <c r="AB79" s="7" t="str">
        <f>_xlfn.XLOOKUP(Animals!B79,'Base stats'!B:B,'Base stats'!X:X)</f>
        <v>False</v>
      </c>
      <c r="AC79" s="13" t="str">
        <f>IF(_xlfn.XLOOKUP(B79,'Base stats'!B:B,'Base stats'!AQ:AQ)="No","No",MROUND((LOG10(_xlfn.XLOOKUP(B79,'Base stats'!B:B,'Base stats'!AQ:AQ))*(AN79^0.75)+(_xlfn.XLOOKUP(B79,'Base stats'!B:B,'Base stats'!AQ:AQ)/1000)^(2/3)+_xlfn.XLOOKUP(B79,'Base stats'!B:B,'Base stats'!AU:AU)+_xlfn.XLOOKUP(B79,'Base stats'!B:B,'Base stats'!AX:AX))+0.5,0.5))</f>
        <v>No</v>
      </c>
      <c r="AD79" s="7" t="str">
        <f>IF(AC79="No","No",MAX(_xlfn.XLOOKUP(_xlfn.XLOOKUP(B79,'Base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E79" s="7" t="str">
        <f>IF(AC79="No","No",_xlfn.XLOOKUP(_xlfn.XLOOKUP(B79,'Base stats'!B:B,'Base stats'!E:E),Groups!A:A,Groups!AA:AA))</f>
        <v>No</v>
      </c>
      <c r="AF79" s="7" t="str">
        <f>IF(AC79="No","No",_xlfn.XLOOKUP(_xlfn.XLOOKUP(B79,'Base stats'!B:B,'Base stats'!E:E),Groups!A:A,Groups!AB:AB))</f>
        <v>No</v>
      </c>
      <c r="AG79" s="7" t="str">
        <f>IF(AC79="No","No",_xlfn.XLOOKUP(_xlfn.XLOOKUP(B79,'Base stats'!B:B,'Base stats'!E:E),Groups!A:A,Groups!AC:AC))</f>
        <v>No</v>
      </c>
      <c r="AH79" s="13" t="str">
        <f>IF(_xlfn.XLOOKUP(_xlfn.XLOOKUP(B79,'Base stats'!B:B,'Base stats'!E:E),Groups!A:A,Groups!AD:AD)=0,"No",MROUND((LOG10(_xlfn.XLOOKUP(B79,'Base stats'!B:B,'Base stats'!AP:AP))*(AN79^0.75)+(_xlfn.XLOOKUP(B79,'Base stats'!B:B,'Base stats'!AP:AP)/1000)^(2/3)+_xlfn.XLOOKUP(B79,'Base stats'!B:B,'Base stats'!AV:AV)+_xlfn.XLOOKUP(B79,'Base stats'!B:B,'Base stats'!AX:AX))+0.5,0.5))</f>
        <v>No</v>
      </c>
      <c r="AI79" s="7" t="str">
        <f>IF(AH79="No","No",MAX(_xlfn.XLOOKUP(_xlfn.XLOOKUP(B79,'Base stats'!B:B,'Base stats'!E:E),Groups!A:A,Groups!AE:AE),MROUND(_xlfn.XLOOKUP(_xlfn.XLOOKUP(B79,'Base stats'!B:B,'Base stats'!E:E),Groups!A:A,Groups!AE:AE)*_xlfn.XLOOKUP(B79,'Base stats'!B:B,'Base stats'!C:C)^0.165,0.05)))</f>
        <v>No</v>
      </c>
      <c r="AJ79" s="7" t="str">
        <f>IF(AH79="No","No",_xlfn.XLOOKUP(_xlfn.XLOOKUP(B79,'Base stats'!B:B,'Base stats'!E:E),Groups!A:A,Groups!AF:AF))</f>
        <v>No</v>
      </c>
      <c r="AK79" s="7" t="str">
        <f>IF(AH79="No","No",_xlfn.XLOOKUP(_xlfn.XLOOKUP(B79,'Base stats'!B:B,'Base stats'!E:E),Groups!A:A,Groups!AG:AG))</f>
        <v>No</v>
      </c>
      <c r="AL79" s="7" t="str">
        <f>IF(AH79="No","No",_xlfn.XLOOKUP(_xlfn.XLOOKUP(B79,'Base stats'!B:B,'Base stats'!E:E),Groups!A:A,Groups!AH:AH))</f>
        <v>No</v>
      </c>
      <c r="AM79" s="2" t="str">
        <f t="shared" si="7"/>
        <v>No</v>
      </c>
      <c r="AN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O79" s="8">
        <f>MROUND(AN79*_xlfn.XLOOKUP(_xlfn.XLOOKUP(B79,'Base stats'!B:B,'Base stats'!E:E),Groups!A:A,Groups!AI:AI),0.05)</f>
        <v>5.5</v>
      </c>
      <c r="AP79" s="8">
        <f>MAX(0.01,MROUND(IF(CA79="True",0.196*(AN79*100*1000)^0.889,IF(_xlfn.XLOOKUP(_xlfn.XLOOKUP(B79,'Base stats'!B:B,'Base stats'!E:E),Groups!A:A,Groups!AJ:AJ)="Bird",10.5*(AN79*100*1000)^0.681,4.82*(AN79*100*1000)^0.734))/(4.82*(1*100*1000)^0.734)/IF(AN79&lt;3.5,2,IF(AN79=3.5,1.5,1.25))*(1+0.132282374779864/(AN79^0.994035016789033+0.00905238001496948)),0.05))</f>
        <v>2.85</v>
      </c>
      <c r="AQ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R79" s="35">
        <f>IFERROR(IF(_xlfn.XLOOKUP(B79,'Base stats'!B:B,'Base stats'!F:F)="Lay eggs","Lay eggs",MIN(20,MAX(5.5,ROUND(((_xlfn.XLOOKUP(B79,'Base stats'!B:B,'Base stats'!F:F)-25)*(14.5/615) + 5.5)*2,0)/2))),"Cannot breed")</f>
        <v>20</v>
      </c>
      <c r="AS79" s="8">
        <f>IF(OR(A79="Queen",A79="Larva",A79="Megachicken"),"No",IFERROR(MAX(IF(_xlfn.XLOOKUP(B79,'Base stats'!B:B,'Base stats'!G:G)&lt;0.5,0.2,0.3),MROUND(_xlfn.XLOOKUP(B79,'Base stats'!B:B,'Base stats'!G:G)/(365/60),0.2)),"Unknown"))</f>
        <v>1.8</v>
      </c>
      <c r="AT79" s="8">
        <f t="shared" si="8"/>
        <v>0.9</v>
      </c>
      <c r="AU79" s="8">
        <f>IFERROR(IFERROR(MROUND(_xlfn.XLOOKUP(B79,'Base stats'!B:B,'Base stats'!J:J),0.1),"Lay eggs"),"Cannot breed")</f>
        <v>1</v>
      </c>
      <c r="AV79" s="2" t="str">
        <f t="shared" si="9"/>
        <v>true</v>
      </c>
      <c r="AW79" s="2" t="str">
        <f>IF(_xlfn.XLOOKUP(_xlfn.XLOOKUP(Animals!B79,'Base stats'!B:B,'Base stats'!E:E),Groups!A:A,Groups!AK:AK)=1,"true","false")</f>
        <v>true</v>
      </c>
      <c r="AX79" s="25" t="str">
        <f>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</f>
        <v>VegetarianRoughAnimal</v>
      </c>
      <c r="AY79" s="2" t="str">
        <f>IF(_xlfn.XLOOKUP(_xlfn.XLOOKUP(B79,'Base stats'!B:B,'Base stats'!E:E),Groups!A:A,Groups!D:D)=1,MROUND((1-I79)*5+1,2)*IF(I79&lt;=0.4,2,1),"No")</f>
        <v>No</v>
      </c>
      <c r="AZ79" s="2" t="str">
        <f>_xlfn.XLOOKUP(B79,'Base stats'!B:B,'Base stats'!AE:AE)</f>
        <v>Leather_Mastodon</v>
      </c>
      <c r="BA79" s="23" t="str">
        <f>_xlfn.XLOOKUP(_xlfn.XLOOKUP(B79,'Base stats'!B:B,'Base stats'!E:E),Groups!A:A,Groups!AL:AL)</f>
        <v>QuadrupedAnimalWithHoovesTusksAndTrunk</v>
      </c>
      <c r="BB79" s="23">
        <f>MROUND(IF(AND(AN79&lt;0.5,_xlfn.XLOOKUP(B79,'Base stats'!B:B,'Base stats'!Z:Z)=0),0,IF(OR(_xlfn.XLOOKUP(Animals!B79,'Base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stats'!AA:AA),0.005)</f>
        <v>2.5000000000000001E-2</v>
      </c>
      <c r="BC79" s="23">
        <f>MROUND(IF(AND(AN79&lt;0.5,_xlfn.XLOOKUP(B79,'Base stats'!B:B,'Base stats'!Z:Z)=0),0,IF(_xlfn.XLOOKUP(_xlfn.XLOOKUP(B79,'Base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stats'!AB:AB),0.005)</f>
        <v>0.3</v>
      </c>
      <c r="BD79" s="2" t="str">
        <f>IF(I79&gt;0.3,"No",_xlfn.XLOOKUP(_xlfn.XLOOKUP(Animals!B79,'Base stats'!B:B,'Base stats'!E:E),Groups!A:A,Groups!AP:AP))</f>
        <v>No</v>
      </c>
      <c r="BE79" s="2" t="str">
        <f>IF(AND(I79&lt;=0.65,_xlfn.XLOOKUP(_xlfn.XLOOKUP(Animals!B79,'Base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stats'!O:O)=2,0.2,AN79) + 24*(1-IF(BD79="No",0,BD79)) + 16/3, 12),"No")</f>
        <v>No</v>
      </c>
      <c r="BF79" s="2">
        <f>IF(AND(_xlfn.XLOOKUP(_xlfn.XLOOKUP(B79,'Base stats'!B:B,'Base stats'!E:E),Groups!A:A,Groups!AQ:AQ)=1,AN79&lt;=0.35),8,12)</f>
        <v>12</v>
      </c>
      <c r="BG79" s="2" t="str">
        <f>IF(_xlfn.XLOOKUP(_xlfn.XLOOKUP(B79,'Base stats'!B:B,'Base stats'!E:E),Groups!A:A,Groups!D:D)=0,_xlfn.XLOOKUP(_xlfn.XLOOKUP(B79,'Base stats'!B:B,'Base stats'!E:E),Groups!A:A,Groups!AR:AR),"None")</f>
        <v>Advanced</v>
      </c>
      <c r="BH79" s="2" t="str">
        <f>IF(AND(_xlfn.XLOOKUP(_xlfn.XLOOKUP(B79,'Base stats'!B:B,'Base stats'!E:E),Groups!A:A,Groups!AS:AS)=1,OR('Base stats'!Y79="Carnivore",'Base stats'!Y79="Omnivore")),"true","false")</f>
        <v>false</v>
      </c>
      <c r="BI79" s="2" t="str">
        <f>IF(BH79="true",MROUND(IF(AND(AN79&gt;0.5,_xlfn.XLOOKUP(_xlfn.XLOOKUP(B79,'Base stats'!B:B,'Base stats'!E:E),Groups!A:A,Groups!AJ:AJ)="Mammal"),Animals!AN79*1.75*IF(AV79="true",1.5,1),Animals!AN79),IF(AN79&gt;2,0.5,IF(AN79&gt;0.5,0.25,0.1))),"No")</f>
        <v>No</v>
      </c>
      <c r="BJ79" s="2">
        <f t="shared" si="10"/>
        <v>1</v>
      </c>
      <c r="BK79" s="25" t="str">
        <f>IF('Base stats'!AK79="Standard","No",MROUND((_xlfn.XLOOKUP(B79,'Base stats'!B:B,'Base stats'!AK:AK)/3.6)/H79,0.1))</f>
        <v>No</v>
      </c>
      <c r="BL79" s="25" t="str">
        <f t="shared" si="11"/>
        <v>false</v>
      </c>
      <c r="BM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N79" s="25" t="str" cm="1">
        <f t="array" ref="BN79">IF(
  _xlfn.TEXTJOIN(", ",TRUE,
    IF(AND(BH79="true",AN79&gt;0.5,BG79&lt;&gt;"None"),"AttackTarget",""),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IF(BE79&lt;=36,"Comfort",""),
    IF(_xlfn.XLOOKUP(B79,'Base stats'!B:B,'Base stats'!AC:AC)&lt;&gt;"No",_xlfn.XLOOKUP(B79,'Base stats'!B:B,'Base stats'!AC:AC),"")
  ) = "",
  "No",
  _xlfn.TEXTJOIN(", ",TRUE,
    IF(AND(BH79="true",AN79&gt;0.5,BG79&lt;&gt;"None"),"AttackTarget",""),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IF(BE79&lt;=36,"Comfort",""),
    IF(_xlfn.XLOOKUP(B79,'Base stats'!B:B,'Base stats'!AC:AC)&lt;&gt;"No",_xlfn.XLOOKUP(B79,'Base stats'!B:B,'Base stats'!AC:AC),"")
  )
)</f>
        <v>WarTrumpet</v>
      </c>
      <c r="BO79" s="25" t="str">
        <f>IF(
   AND(
      'Base stats'!AK79="Standard",_xlfn.XLOOKUP(_xlfn.XLOOKUP(B79,'Base stats'!B:B,'Base stats'!E:E),Groups!A:A,Groups!AU:AU)=0,
      OR(
      BM79="True"
      )
   ),
   10,
   IF(
       OR(BK79&lt;&gt;"No",_xlfn.XLOOKUP(_xlfn.XLOOKUP(B79,'Base stats'!B:B,'Base stats'!E:E),Groups!A:A,Groups!AU:AU)=1),
      1,
      "No"
   )
)</f>
        <v>No</v>
      </c>
      <c r="BP79" s="9">
        <f>MROUND((1 + ((0.2*IF(OR(P79="No",Q79="No",Q79=0),0,P79/Q79)
+IF(OR(U79="No",R79="No",S79="No"),0,R79/S79*(LEN(U79)-LEN(SUBSTITUTE(U79,",",""))+1))
+IF(OR(W79="No",X79="No"),0,W79/X79)
+IF(OR(AC79="No",AD79="No"),0,AC79/AD79)
+IF(OR(AK79="No",AH79="No",AI79="No"),0,AH79/AI79*(LEN(AK79)-LEN(SUBSTITUTE(AK79,",",""))+1))
)/(0.2*IF(OR(P79="No",Q79="No",Q79=0),0,1)
+IF(OR(U79="No",R79="No",S79="No"),0,LEN(U79)-LEN(SUBSTITUTE(U79,",",""))+1)
+IF(OR(W79="No",X79="No"),0,1)
+IF(OR(AC79="No",AD79="No"),0,1)
+IF(OR(AK79="No",AH79="No",AI79="No"),0,LEN(AK79)-LEN(SUBSTITUTE(AK79,",",""))+1))*62%)* 2)*(1 + (AO79 + _xlfn.XLOOKUP(B79,'Base stats'!B:B,'Base stats'!AS:AS) * 1.8) * 2) * 2.5 + 10 + H79 * 2,5)+IF(_xlfn.XLOOKUP(B79,'Base stats'!B:B,'Base stats'!AH:AH)=1,50,0)</f>
        <v>520</v>
      </c>
      <c r="BQ79" s="8">
        <f t="shared" si="12"/>
        <v>3.4000000000000004</v>
      </c>
      <c r="BR79" s="8" t="str">
        <f>_xlfn.XLOOKUP(B79,'Base stats'!B:B,'Base stats'!AD:AD)</f>
        <v>3~10</v>
      </c>
      <c r="BS79" s="2" t="str">
        <f>IF(AND(I79&lt;=0.95,OR(_xlfn.XLOOKUP(B79,'Base stats'!B:B,'Base stats'!AH:AH)=1,_xlfn.XLOOKUP(B79,'Base stats'!B:B,'Base stats'!Y:Y)="Carnivore",_xlfn.XLOOKUP(B79,'Base stats'!B:B,'Base stats'!Y:Y)="Omnivore",BC79&gt;0.1)),"true","false")</f>
        <v>true</v>
      </c>
      <c r="BT79" s="2" t="str">
        <f>IF(_xlfn.XLOOKUP(B79,'Base stats'!B:B,'Base stats'!AF:AF)=1,"true","false")</f>
        <v>true</v>
      </c>
      <c r="BU79" s="25" t="str">
        <f>IF(E79="BaseInsect","AnimalInsect",
IF(I79&gt;0.95,"AnimalExotic",
_xlfn.TEXTJOIN(", ",TRUE,
IF(AND(_xlfn.XLOOKUP(B79,'Base stats'!B:B,'Base stats'!O:O)=0,_xlfn.XLOOKUP(_xlfn.XLOOKUP(B79,'Base stats'!B:B,'Base stats'!E:E),Groups!A:A,Groups!B:B)&gt;0),"AnimalUncommon","AnimalCommon"),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stats'!AH:AH)=1,AND(BG79&lt;&gt;"None",BP79&gt;=60),ISNUMBER(SEARCH("Attack target",BN79))),"AnimalFighter","")
)))</f>
        <v>AnimalUncommon, AnimalFighter</v>
      </c>
      <c r="BV79" s="25" t="str">
        <f>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</f>
        <v>GlacialPlain</v>
      </c>
      <c r="BW79" s="25" t="str">
        <f>IF(_xlfn.XLOOKUP(B79,'Base stats'!B:B,'Base stats'!AG:AG)=1,"true","false")</f>
        <v>false</v>
      </c>
      <c r="BX79" s="25">
        <f>IF(_xlfn.XLOOKUP(B79,'Base stats'!B:B,'Base stats'!N:N)=1,"No",MIN(MROUND(IF(OR(_xlfn.XLOOKUP(B79,'Base stats'!B:B,'Base stats'!AJ:AJ)=1,AND(BH79="True",CA79="False")),POWER(10,3.47*LOG10(_xlfn.XLOOKUP(B79,'Base stats'!B:B,'Base stats'!C:C)*1000)^-0.96),POWER(10,4.15*LOG10(_xlfn.XLOOKUP(B79,'Base stats'!B:B,'Base stats'!C:C)*1000)^-0.73))*IF(OR(_xlfn.XLOOKUP(B79,'Base stats'!B:B,'Base stats'!AJ:AJ)=1,_xlfn.XLOOKUP(B79,'Base stats'!B:B,'Base stats'!AH:AH)=1),0.5,1)/100,0.025),1))</f>
        <v>0.1</v>
      </c>
      <c r="BY79" s="25" t="str">
        <f>IF(O79="Standard","No",IF(_xlfn.XLOOKUP(B79,'Base stats'!B:B,'Base stats'!N:N)=0,MROUND(BX79*O79,0.05),MIN(1,MAX(0.025,MROUND(IF(OR(CA79="true",AND(BH79="false",BM79="false")),POWER(10,4.15*LOG10(_xlfn.XLOOKUP(B79,'Base stats'!B:B,'Base stats'!C:C)*1000)^-0.73),POWER(10,3.47*LOG10(_xlfn.XLOOKUP(B79,'Base stats'!B:B,'Base stats'!C:C)*1000)^-0.96))*IF(_xlfn.XLOOKUP(B79,'Base stats'!B:B,'Base stats'!AH:AH)=1,0.5,1)/100,0.025)))))</f>
        <v>No</v>
      </c>
      <c r="BZ79" s="25" t="str">
        <f>IF(_xlfn.XLOOKUP(_xlfn.XLOOKUP(B79,'Base stats'!B:B,'Base stats'!E:E),Groups!A:A,Groups!AJ:AJ)="Mammal","True","False")</f>
        <v>True</v>
      </c>
      <c r="CA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B79" s="25" t="str">
        <f t="shared" si="13"/>
        <v>False</v>
      </c>
      <c r="CC79" s="25" t="str">
        <f>IF(_xlfn.XLOOKUP(_xlfn.XLOOKUP(B79,'Base stats'!B:B,'Base stats'!E:E),Groups!A:A,Groups!AW:AW),"True","False")</f>
        <v>False</v>
      </c>
      <c r="CD79" s="25" t="str">
        <f>IF(_xlfn.XLOOKUP(_xlfn.XLOOKUP(B79,'Base stats'!B:B,'Base stats'!E:E),Groups!A:A,Groups!AX:AX),"True","False")</f>
        <v>False</v>
      </c>
      <c r="CE79" s="25" t="str">
        <f>IF(_xlfn.XLOOKUP(B79,'Base stats'!B:B,'Base stats'!E:E)=1,"True","False")</f>
        <v>False</v>
      </c>
      <c r="CF79" s="25" t="str">
        <f>IF(
OR(
_xlfn.XLOOKUP(_xlfn.XLOOKUP(B79,'Base stats'!B:B,'Base stats'!E:E),Groups!A:A,Groups!AY:AY)=0,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stats'!E:E),Groups!A:A,Groups!AY:AY)=1,
"Flesh",
IF(
_xlfn.XLOOKUP(_xlfn.XLOOKUP(B79,'Base stats'!B:B,'Base stats'!E:E),Groups!A:A,Groups!AY:AY)=2,
"Bone",
""
)
)
)</f>
        <v>No</v>
      </c>
      <c r="CG79" s="25" t="str">
        <f>IF(_xlfn.XLOOKUP(_xlfn.XLOOKUP(B79,'Base stats'!B:B,'Base stats'!E:E),Groups!A:A,Groups!BA:BA),"True","False")</f>
        <v>True</v>
      </c>
      <c r="CH79" s="25" t="str">
        <f>IF(_xlfn.XLOOKUP(_xlfn.XLOOKUP(B79,'Base stats'!B:B,'Base stats'!E:E),Groups!A:A,Groups!AZ:AZ),"True","False")</f>
        <v>False</v>
      </c>
    </row>
    <row r="80" spans="1:86" ht="16.5" thickTop="1" thickBot="1" x14ac:dyDescent="0.3">
      <c r="A80" s="26" t="str">
        <f>_xlfn.XLOOKUP(B80,'Base stats'!B:B,'Base stats'!A:A)</f>
        <v>AlphaThrumbo</v>
      </c>
      <c r="B80" s="6" t="s">
        <v>1143</v>
      </c>
      <c r="C80" s="28" t="s">
        <v>772</v>
      </c>
      <c r="D80" s="28" t="s">
        <v>882</v>
      </c>
      <c r="E80" s="28" t="s">
        <v>685</v>
      </c>
      <c r="F80" s="28" t="s">
        <v>685</v>
      </c>
      <c r="G80" s="2">
        <f>MROUND((
  (IF(AND(_xlfn.XLOOKUP(B80,'Base stats'!B:B,'Base stats'!AI:AI)=0,BG80="None",_xlfn.XLOOKUP('Base stats'!E80,Groups!A:A,Groups!B:B)=0), (18 + BP80 * 2.7) * 0.5,
    IF(AND(_xlfn.XLOOKUP(B80,'Base stats'!B:B,'Base stats'!AI:AI)=0,OR(AN80&lt;0.55,AND(BG80="Intermediate",_xlfn.XLOOKUP('Base stats'!E80,Groups!A:A,Groups!B:B)&lt;2))), (18 + BP80 * 2.7),
      IF(OR(BG80="Advanced",_xlfn.XLOOKUP(B80,'Base stats'!B:B,'Base stats'!AI:AI)=1,_xlfn.XLOOKUP('Base stats'!E80,Groups!A:A,Groups!B:B)=2), (18 + BP80 * 2.7) + 250, (18 + BP80 * 2.7))
    )
  ))
  + AN80 * 80
  + IF(COUNTIF(EggMilk!K$2:K$998, A80) &gt; 0, 125, 0)
  + IF(COUNTIF(EggMilk!P$2:P$998, A80) &gt; 0, 90, 0)
  + IF(COUNTIF(EggMilk!A$2:A$998, A80) &gt; 0, 90, 0)
)
* (0.8 + 0.4 * I80)
* 0.75,25)</f>
        <v>3675</v>
      </c>
      <c r="H80" s="2">
        <f>MROUND(ROUNDDOWN(_xlfn.XLOOKUP(B80,'Base stats'!B:B,'Base stats'!L:L)/3.6/(23.3/11),1),0.5)</f>
        <v>4.5</v>
      </c>
      <c r="I80" s="2">
        <f>IF(_xlfn.XLOOKUP(B80,'Base stats'!B:B,'Base stats'!AI:AI)=1,0.99,MIN(MROUND((1-0.6282*EXP(-0.459*AN80))*_xlfn.XLOOKUP(_xlfn.XLOOKUP(B80,'Base stats'!B:B,'Base stats'!E:E),Groups!A:A,Groups!C:C)*IF(_xlfn.XLOOKUP(B80,'Base stats'!B:B,'Base stats'!O:O)=1,0.5,IF(_xlfn.XLOOKUP(B80,'Base stats'!B:B,'Base stats'!O:O)=2,0,1)),0.05),0.985))</f>
        <v>0.98499999999999999</v>
      </c>
      <c r="J80" s="2">
        <f>ROUNDUP(AN80*_xlfn.XLOOKUP(_xlfn.XLOOKUP(B80,'Base stats'!B:B,'Base stats'!E:E),Groups!A:A,Groups!E:E),0)</f>
        <v>30</v>
      </c>
      <c r="K80" s="2">
        <f>IF(OR(_xlfn.XLOOKUP(_xlfn.XLOOKUP(B80,'Base stats'!B:B,'Base stats'!E:E),Groups!A:A,Groups!F:F)=2,ISNUMBER(SEARCH("SeaIce",BV80)),ISNUMBER(SEARCH("IceSheet",BV80))),-50,IF(OR(ISNUMBER(SEARCH("GlacialPlain",BV80)),ISNUMBER(SEARCH("Tundra",BV80))),-40,IF(OR(ISNUMBER(SEARCH("Alpine",BV80)),ISNUMBER(SEARCH("BorealForest",BV80)),ISNUMBER(SEARCH("ColdBog",BV80))),-30,IF(OR(ISNUMBER(SEARCH("TemperateForest",BV80)),ISNUMBER(SEARCH("TemperateSwamp",BV80))),-20,IF(_xlfn.XLOOKUP(_xlfn.XLOOKUP(B80,'Base stats'!B:B,'Base stats'!E:E),Groups!A:A,Groups!F:F)=1,-15,IF(OR(ISNUMBER(SEARCH("Desert",BV80)),ISNUMBER(SEARCH("ExtremeDesert",BV80))),-10,IF(OR(ISNUMBER(SEARCH("Grasslands",BV80)),ISNUMBER(SEARCH("TropicalRainforest",BV80)),ISNUMBER(SEARCH("TropicalSwamp",BV80))),10,0)))))))-IF(CA80="False",MIN(IFERROR(MAX(MROUND(LOG10(_xlfn.XLOOKUP(B80,'Base stats'!B:B,'Base stats'!C:C)^(2/3))*10,5),5),5),30))-_xlfn.XLOOKUP(B80,'Base stats'!B:B,'Base stats'!P:P)+IF(CA80="True",5,0)</f>
        <v>-75</v>
      </c>
      <c r="L80" s="2">
        <f>IF(OR(_xlfn.XLOOKUP(_xlfn.XLOOKUP(B80,'Base stats'!B:B,'Base stats'!E:E),Groups!A:A,Groups!G:G)=2,ISNUMBER(SEARCH("Desert",BV80)),ISNUMBER(SEARCH("ExtremeDesert",BV80)),ISNUMBER(SEARCH("LavaField",BV80))),50,IF(ISNUMBER(SEARCH("Grasslands",BV80)),45,IF(OR(_xlfn.XLOOKUP(_xlfn.XLOOKUP(B80,'Base stats'!B:B,'Base stats'!E:E),Groups!A:A,Groups!G:G)=1,ISNUMBER(SEARCH("TropicalRainforest",BV80)),ISNUMBER(SEARCH("TropicalSwamp",BV80))),40,IF(OR(ISNUMBER(SEARCH("TemperateForest",BV80)),ISNUMBER(SEARCH("TemperateSwamp",BV80))),35,IF(OR(ISNUMBER(SEARCH("Alpine",BV80)),ISNUMBER(SEARCH("BorealForest",BV80)),ISNUMBER(SEARCH("ColdBog",BV80))),30,IF(ISNUMBER(OR(ISNUMBER(SEARCH("GlacialPlain",BV80)),SEARCH("Tundra",BV80))),25,IF(OR(ISNUMBER(SEARCH("SeaIce",BV80)),ISNUMBER(SEARCH("IceSheet",BV80)),ISNUMBER(SEARCH("TropicalSwamp",BV80))),10,35)))))))+_xlfn.XLOOKUP(B80,'Base stats'!B:B,'Base stats'!Q:Q)</f>
        <v>35</v>
      </c>
      <c r="M80" s="8">
        <f>IF(_xlfn.XLOOKUP(_xlfn.XLOOKUP(B80,'Base stats'!B:B,'Base stats'!E:E),Groups!A:A,Groups!L:L)=1,MIN(MROUND(_xlfn.XLOOKUP(B80,'Animals CE'!B:B,'Animals CE'!Z:Z)/2+0.05,0.05),200%),"No")</f>
        <v>1.2000000000000002</v>
      </c>
      <c r="N80" s="8">
        <f>IF(_xlfn.XLOOKUP(_xlfn.XLOOKUP(B80,'Base stats'!B:B,'Base stats'!E:E),Groups!A:A,Groups!L:L)=1,MIN(MROUND(_xlfn.XLOOKUP(B80,'Animals CE'!B:B,'Animals CE'!AA:AA)/2+0.05,0.05),200%),"No")</f>
        <v>1.2000000000000002</v>
      </c>
      <c r="O80" s="2">
        <f>_xlfn.XLOOKUP(B80,'Base stats'!B:B,'Base stats'!R:R)</f>
        <v>1</v>
      </c>
      <c r="P80" s="13">
        <f>MROUND((LOG10(_xlfn.XLOOKUP(B80,'Base stats'!B:B,'Base stats'!AO:AO))*(AN80^0.5)+(_xlfn.XLOOKUP(B80,'Base stats'!B:B,'Base stats'!AO:AO)/1000)^(2/3)+_xlfn.XLOOKUP(B80,'Base stats'!B:B,'Base stats'!AX:AX)/2)+0.5,0.5)</f>
        <v>43.5</v>
      </c>
      <c r="Q80" s="7">
        <f>IF(P80="No","No",MAX(1,MROUND(_xlfn.XLOOKUP(B80,'Base stats'!B:B,'Base stats'!C:C)^0.165,0.05)))</f>
        <v>4.3</v>
      </c>
      <c r="R80" s="13">
        <f>IF(_xlfn.XLOOKUP(_xlfn.XLOOKUP(B80,'Base stats'!B:B,'Base stats'!E:E),Groups!A:A,Groups!P:P)=0,"No",MROUND((LOG10(_xlfn.XLOOKUP(B80,'Base stats'!B:B,'Base stats'!AP:AP))*(AN80^0.5)+(_xlfn.XLOOKUP(B80,'Base stats'!B:B,'Base stats'!AP:AP)/1000)^(2/3)+_xlfn.XLOOKUP(B80,'Base stats'!B:B,'Base stats'!AX:AX))+_xlfn.XLOOKUP(B80,'Base stats'!B:B,'Base stats'!AV:AV)+0.5,0.5))</f>
        <v>50.5</v>
      </c>
      <c r="S80" s="7">
        <f>IF(R80="No","No",MAX(_xlfn.XLOOKUP(_xlfn.XLOOKUP(B80,'Base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T80" s="7" t="str">
        <f>IF(R80="No","No",_xlfn.XLOOKUP(_xlfn.XLOOKUP(B80,'Base stats'!B:B,'Base stats'!E:E),Groups!A:A,Groups!R:R))</f>
        <v>FrontLeftLeg, FrontRightLeg</v>
      </c>
      <c r="U80" s="7" t="str">
        <f>IF(R80="No","No",_xlfn.XLOOKUP(_xlfn.XLOOKUP(B80,'Base stats'!B:B,'Base stats'!E:E),Groups!A:A,Groups!S:S))</f>
        <v>left foot, right foot</v>
      </c>
      <c r="V80" s="7" t="str">
        <f>IF(R80="No","No",_xlfn.XLOOKUP(_xlfn.XLOOKUP(B80,'Base stats'!B:B,'Base stats'!E:E),Groups!A:A,Groups!T:T))</f>
        <v>Blunt</v>
      </c>
      <c r="W80" s="13">
        <f>IF(_xlfn.XLOOKUP(B80,'Base stats'!B:B,'Base stats'!W:W)="No","No",MROUND((LOG10(_xlfn.XLOOKUP(B80,'Base stats'!B:B,'Base stats'!AR:AR))*(AN80^0.5)+(_xlfn.XLOOKUP(B80,'Base stats'!B:B,'Base stats'!AR:AR)/1000)^(2/3)+_xlfn.XLOOKUP(B80,'Base stats'!B:B,'Base stats'!AW:AW))+0.5+IF(_xlfn.XLOOKUP(_xlfn.XLOOKUP(B80,'Base stats'!B:B,'Base stats'!E:E),Groups!A:A,Groups!U:U)&lt;&gt;3,_xlfn.XLOOKUP(B80,'Base stats'!B:B,'Base stats'!AX:AX),0),0.5))</f>
        <v>61.5</v>
      </c>
      <c r="X80" s="7">
        <f>IF(W80="No","No",MAX(_xlfn.XLOOKUP(_xlfn.XLOOKUP(B80,'Base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Y80" s="7" t="str">
        <f>IF(W80="No","No",_xlfn.XLOOKUP(_xlfn.XLOOKUP(B80,'Base stats'!B:B,'Base stats'!E:E),Groups!A:A,Groups!W:W))</f>
        <v>HeadAttackTool</v>
      </c>
      <c r="Z80" s="7" t="str">
        <f>IF(W80="No","No",_xlfn.XLOOKUP(_xlfn.XLOOKUP(B80,'Base stats'!B:B,'Base stats'!E:E),Groups!A:A,Groups!X:X))</f>
        <v>horn</v>
      </c>
      <c r="AA80" s="7" t="str">
        <f>IF(W80="No","No",_xlfn.XLOOKUP(_xlfn.XLOOKUP(B80,'Base stats'!B:B,'Base stats'!E:E),Groups!A:A,Groups!Y:Y))</f>
        <v>Scratch</v>
      </c>
      <c r="AB80" s="7" t="str">
        <f>_xlfn.XLOOKUP(Animals!B80,'Base stats'!B:B,'Base stats'!X:X)</f>
        <v>False</v>
      </c>
      <c r="AC80" s="13" t="str">
        <f>IF(_xlfn.XLOOKUP(B80,'Base stats'!B:B,'Base stats'!AQ:AQ)="No","No",MROUND((LOG10(_xlfn.XLOOKUP(B80,'Base stats'!B:B,'Base stats'!AQ:AQ))*(AN80^0.75)+(_xlfn.XLOOKUP(B80,'Base stats'!B:B,'Base stats'!AQ:AQ)/1000)^(2/3)+_xlfn.XLOOKUP(B80,'Base stats'!B:B,'Base stats'!AU:AU)+_xlfn.XLOOKUP(B80,'Base stats'!B:B,'Base stats'!AX:AX))+0.5,0.5))</f>
        <v>No</v>
      </c>
      <c r="AD80" s="7" t="str">
        <f>IF(AC80="No","No",MAX(_xlfn.XLOOKUP(_xlfn.XLOOKUP(B80,'Base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E80" s="7" t="str">
        <f>IF(AC80="No","No",_xlfn.XLOOKUP(_xlfn.XLOOKUP(B80,'Base stats'!B:B,'Base stats'!E:E),Groups!A:A,Groups!AA:AA))</f>
        <v>No</v>
      </c>
      <c r="AF80" s="7" t="str">
        <f>IF(AC80="No","No",_xlfn.XLOOKUP(_xlfn.XLOOKUP(B80,'Base stats'!B:B,'Base stats'!E:E),Groups!A:A,Groups!AB:AB))</f>
        <v>No</v>
      </c>
      <c r="AG80" s="7" t="str">
        <f>IF(AC80="No","No",_xlfn.XLOOKUP(_xlfn.XLOOKUP(B80,'Base stats'!B:B,'Base stats'!E:E),Groups!A:A,Groups!AC:AC))</f>
        <v>No</v>
      </c>
      <c r="AH80" s="13" t="str">
        <f>IF(_xlfn.XLOOKUP(_xlfn.XLOOKUP(B80,'Base stats'!B:B,'Base stats'!E:E),Groups!A:A,Groups!AD:AD)=0,"No",MROUND((LOG10(_xlfn.XLOOKUP(B80,'Base stats'!B:B,'Base stats'!AP:AP))*(AN80^0.75)+(_xlfn.XLOOKUP(B80,'Base stats'!B:B,'Base stats'!AP:AP)/1000)^(2/3)+_xlfn.XLOOKUP(B80,'Base stats'!B:B,'Base stats'!AV:AV)+_xlfn.XLOOKUP(B80,'Base stats'!B:B,'Base stats'!AX:AX))+0.5,0.5))</f>
        <v>No</v>
      </c>
      <c r="AI80" s="7" t="str">
        <f>IF(AH80="No","No",MAX(_xlfn.XLOOKUP(_xlfn.XLOOKUP(B80,'Base stats'!B:B,'Base stats'!E:E),Groups!A:A,Groups!AE:AE),MROUND(_xlfn.XLOOKUP(_xlfn.XLOOKUP(B80,'Base stats'!B:B,'Base stats'!E:E),Groups!A:A,Groups!AE:AE)*_xlfn.XLOOKUP(B80,'Base stats'!B:B,'Base stats'!C:C)^0.165,0.05)))</f>
        <v>No</v>
      </c>
      <c r="AJ80" s="7" t="str">
        <f>IF(AH80="No","No",_xlfn.XLOOKUP(_xlfn.XLOOKUP(B80,'Base stats'!B:B,'Base stats'!E:E),Groups!A:A,Groups!AF:AF))</f>
        <v>No</v>
      </c>
      <c r="AK80" s="7" t="str">
        <f>IF(AH80="No","No",_xlfn.XLOOKUP(_xlfn.XLOOKUP(B80,'Base stats'!B:B,'Base stats'!E:E),Groups!A:A,Groups!AG:AG))</f>
        <v>No</v>
      </c>
      <c r="AL80" s="7" t="str">
        <f>IF(AH80="No","No",_xlfn.XLOOKUP(_xlfn.XLOOKUP(B80,'Base stats'!B:B,'Base stats'!E:E),Groups!A:A,Groups!AH:AH))</f>
        <v>No</v>
      </c>
      <c r="AM80" s="2" t="str">
        <f t="shared" si="7"/>
        <v>No</v>
      </c>
      <c r="AN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O80" s="8">
        <f>MROUND(AN80*_xlfn.XLOOKUP(_xlfn.XLOOKUP(B80,'Base stats'!B:B,'Base stats'!E:E),Groups!A:A,Groups!AI:AI),0.05)</f>
        <v>9</v>
      </c>
      <c r="AP80" s="8">
        <f>MAX(0.01,MROUND(IF(CA80="True",0.196*(AN80*100*1000)^0.889,IF(_xlfn.XLOOKUP(_xlfn.XLOOKUP(B80,'Base stats'!B:B,'Base stats'!E:E),Groups!A:A,Groups!AJ:AJ)="Bird",10.5*(AN80*100*1000)^0.681,4.82*(AN80*100*1000)^0.734))/(4.82*(1*100*1000)^0.734)/IF(AN80&lt;3.5,2,IF(AN80=3.5,1.5,1.25))*(1+0.132282374779864/(AN80^0.994035016789033+0.00905238001496948)),0.05))</f>
        <v>3.0500000000000003</v>
      </c>
      <c r="AQ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R80" s="35">
        <f>IFERROR(IF(_xlfn.XLOOKUP(B80,'Base stats'!B:B,'Base stats'!F:F)="Lay eggs","Lay eggs",MIN(20,MAX(5.5,ROUND(((_xlfn.XLOOKUP(B80,'Base stats'!B:B,'Base stats'!F:F)-25)*(14.5/615) + 5.5)*2,0)/2))),"Cannot breed")</f>
        <v>20</v>
      </c>
      <c r="AS80" s="8">
        <f>IF(OR(A80="Queen",A80="Larva",A80="Megachicken"),"No",IFERROR(MAX(IF(_xlfn.XLOOKUP(B80,'Base stats'!B:B,'Base stats'!G:G)&lt;0.5,0.2,0.3),MROUND(_xlfn.XLOOKUP(B80,'Base stats'!B:B,'Base stats'!G:G)/(365/60),0.2)),"Unknown"))</f>
        <v>2</v>
      </c>
      <c r="AT80" s="8">
        <f t="shared" si="8"/>
        <v>1</v>
      </c>
      <c r="AU80" s="8">
        <f>IFERROR(IFERROR(MROUND(_xlfn.XLOOKUP(B80,'Base stats'!B:B,'Base stats'!J:J),0.1),"Lay eggs"),"Cannot breed")</f>
        <v>1</v>
      </c>
      <c r="AV80" s="2" t="str">
        <f t="shared" si="9"/>
        <v>true</v>
      </c>
      <c r="AW80" s="2" t="str">
        <f>IF(_xlfn.XLOOKUP(_xlfn.XLOOKUP(Animals!B80,'Base stats'!B:B,'Base stats'!E:E),Groups!A:A,Groups!AK:AK)=1,"true","false")</f>
        <v>false</v>
      </c>
      <c r="AX80" s="25" t="str">
        <f>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</f>
        <v>DendrovoreAnimal</v>
      </c>
      <c r="AY80" s="2" t="str">
        <f>IF(_xlfn.XLOOKUP(_xlfn.XLOOKUP(B80,'Base stats'!B:B,'Base stats'!E:E),Groups!A:A,Groups!D:D)=1,MROUND((1-I80)*5+1,2)*IF(I80&lt;=0.4,2,1),"No")</f>
        <v>No</v>
      </c>
      <c r="AZ80" s="2" t="str">
        <f>_xlfn.XLOOKUP(B80,'Base stats'!B:B,'Base stats'!AE:AE)</f>
        <v>Leather_AlphaThrumbo</v>
      </c>
      <c r="BA80" s="23" t="str">
        <f>_xlfn.XLOOKUP(_xlfn.XLOOKUP(B80,'Base stats'!B:B,'Base stats'!E:E),Groups!A:A,Groups!AL:AL)</f>
        <v>QuadrupedAnimalWithHoovesAndHorn</v>
      </c>
      <c r="BB80" s="23">
        <f>MROUND(IF(AND(AN80&lt;0.5,_xlfn.XLOOKUP(B80,'Base stats'!B:B,'Base stats'!Z:Z)=0),0,IF(OR(_xlfn.XLOOKUP(Animals!B80,'Base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stats'!AA:AA),0.005)</f>
        <v>0</v>
      </c>
      <c r="BC80" s="23">
        <f>MROUND(IF(AND(AN80&lt;0.5,_xlfn.XLOOKUP(B80,'Base stats'!B:B,'Base stats'!Z:Z)=0),0,IF(_xlfn.XLOOKUP(_xlfn.XLOOKUP(B80,'Base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stats'!AB:AB),0.005)</f>
        <v>1</v>
      </c>
      <c r="BD80" s="2" t="str">
        <f>IF(I80&gt;0.3,"No",_xlfn.XLOOKUP(_xlfn.XLOOKUP(Animals!B80,'Base stats'!B:B,'Base stats'!E:E),Groups!A:A,Groups!AP:AP))</f>
        <v>No</v>
      </c>
      <c r="BE80" s="2" t="str">
        <f>IF(AND(I80&lt;=0.65,_xlfn.XLOOKUP(_xlfn.XLOOKUP(Animals!B80,'Base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stats'!O:O)=2,0.2,AN80) + 24*(1-IF(BD80="No",0,BD80)) + 16/3, 12),"No")</f>
        <v>No</v>
      </c>
      <c r="BF80" s="2">
        <f>IF(AND(_xlfn.XLOOKUP(_xlfn.XLOOKUP(B80,'Base stats'!B:B,'Base stats'!E:E),Groups!A:A,Groups!AQ:AQ)=1,AN80&lt;=0.35),8,12)</f>
        <v>12</v>
      </c>
      <c r="BG80" s="2" t="str">
        <f>IF(_xlfn.XLOOKUP(_xlfn.XLOOKUP(B80,'Base stats'!B:B,'Base stats'!E:E),Groups!A:A,Groups!D:D)=0,_xlfn.XLOOKUP(_xlfn.XLOOKUP(B80,'Base stats'!B:B,'Base stats'!E:E),Groups!A:A,Groups!AR:AR),"None")</f>
        <v>Advanced</v>
      </c>
      <c r="BH80" s="2" t="str">
        <f>IF(AND(_xlfn.XLOOKUP(_xlfn.XLOOKUP(B80,'Base stats'!B:B,'Base stats'!E:E),Groups!A:A,Groups!AS:AS)=1,OR('Base stats'!Y80="Carnivore",'Base stats'!Y80="Omnivore")),"true","false")</f>
        <v>false</v>
      </c>
      <c r="BI80" s="2" t="str">
        <f>IF(BH80="true",MROUND(IF(AND(AN80&gt;0.5,_xlfn.XLOOKUP(_xlfn.XLOOKUP(B80,'Base stats'!B:B,'Base stats'!E:E),Groups!A:A,Groups!AJ:AJ)="Mammal"),Animals!AN80*1.75*IF(AV80="true",1.5,1),Animals!AN80),IF(AN80&gt;2,0.5,IF(AN80&gt;0.5,0.25,0.1))),"No")</f>
        <v>No</v>
      </c>
      <c r="BJ80" s="2">
        <f t="shared" si="10"/>
        <v>1</v>
      </c>
      <c r="BK80" s="25" t="str">
        <f>IF('Base stats'!AK80="Standard","No",MROUND((_xlfn.XLOOKUP(B80,'Base stats'!B:B,'Base stats'!AK:AK)/3.6)/H80,0.1))</f>
        <v>No</v>
      </c>
      <c r="BL80" s="25" t="str">
        <f t="shared" si="11"/>
        <v>false</v>
      </c>
      <c r="BM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N80" s="25" t="str" cm="1">
        <f t="array" ref="BN80">IF(
  _xlfn.TEXTJOIN(", ",TRUE,
    IF(AND(BH80="true",AN80&gt;0.5,BG80&lt;&gt;"None"),"AttackTarget",""),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IF(BE80&lt;=36,"Comfort",""),
    IF(_xlfn.XLOOKUP(B80,'Base stats'!B:B,'Base stats'!AC:AC)&lt;&gt;"No",_xlfn.XLOOKUP(B80,'Base stats'!B:B,'Base stats'!AC:AC),"")
  ) = "",
  "No",
  _xlfn.TEXTJOIN(", ",TRUE,
    IF(AND(BH80="true",AN80&gt;0.5,BG80&lt;&gt;"None"),"AttackTarget",""),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IF(BE80&lt;=36,"Comfort",""),
    IF(_xlfn.XLOOKUP(B80,'Base stats'!B:B,'Base stats'!AC:AC)&lt;&gt;"No",_xlfn.XLOOKUP(B80,'Base stats'!B:B,'Base stats'!AC:AC),"")
  )
)</f>
        <v>ThrumboRoar</v>
      </c>
      <c r="BO80" s="25" t="str">
        <f>IF(
   AND(
      'Base stats'!AK80="Standard",_xlfn.XLOOKUP(_xlfn.XLOOKUP(B80,'Base stats'!B:B,'Base stats'!E:E),Groups!A:A,Groups!AU:AU)=0,
      OR(
      BM80="True"
      )
   ),
   10,
   IF(
       OR(BK80&lt;&gt;"No",_xlfn.XLOOKUP(_xlfn.XLOOKUP(B80,'Base stats'!B:B,'Base stats'!E:E),Groups!A:A,Groups!AU:AU)=1),
      1,
      "No"
   )
)</f>
        <v>No</v>
      </c>
      <c r="BP80" s="9">
        <f>MROUND((1 + ((0.2*IF(OR(P80="No",Q80="No",Q80=0),0,P80/Q80)
+IF(OR(U80="No",R80="No",S80="No"),0,R80/S80*(LEN(U80)-LEN(SUBSTITUTE(U80,",",""))+1))
+IF(OR(W80="No",X80="No"),0,W80/X80)
+IF(OR(AC80="No",AD80="No"),0,AC80/AD80)
+IF(OR(AK80="No",AH80="No",AI80="No"),0,AH80/AI80*(LEN(AK80)-LEN(SUBSTITUTE(AK80,",",""))+1))
)/(0.2*IF(OR(P80="No",Q80="No",Q80=0),0,1)
+IF(OR(U80="No",R80="No",S80="No"),0,LEN(U80)-LEN(SUBSTITUTE(U80,",",""))+1)
+IF(OR(W80="No",X80="No"),0,1)
+IF(OR(AC80="No",AD80="No"),0,1)
+IF(OR(AK80="No",AH80="No",AI80="No"),0,LEN(AK80)-LEN(SUBSTITUTE(AK80,",",""))+1))*62%)* 2)*(1 + (AO80 + _xlfn.XLOOKUP(B80,'Base stats'!B:B,'Base stats'!AS:AS) * 1.8) * 2) * 2.5 + 10 + H80 * 2,5)+IF(_xlfn.XLOOKUP(B80,'Base stats'!B:B,'Base stats'!AH:AH)=1,50,0)</f>
        <v>1240</v>
      </c>
      <c r="BQ80" s="8">
        <f t="shared" si="12"/>
        <v>3.6500000000000004</v>
      </c>
      <c r="BR80" s="8" t="str">
        <f>_xlfn.XLOOKUP(B80,'Base stats'!B:B,'Base stats'!AD:AD)</f>
        <v>1~6</v>
      </c>
      <c r="BS80" s="2" t="str">
        <f>IF(AND(I80&lt;=0.95,OR(_xlfn.XLOOKUP(B80,'Base stats'!B:B,'Base stats'!AH:AH)=1,_xlfn.XLOOKUP(B80,'Base stats'!B:B,'Base stats'!Y:Y)="Carnivore",_xlfn.XLOOKUP(B80,'Base stats'!B:B,'Base stats'!Y:Y)="Omnivore",BC80&gt;0.1)),"true","false")</f>
        <v>false</v>
      </c>
      <c r="BT80" s="2" t="str">
        <f>IF(_xlfn.XLOOKUP(B80,'Base stats'!B:B,'Base stats'!AF:AF)=1,"true","false")</f>
        <v>false</v>
      </c>
      <c r="BU80" s="25" t="str">
        <f>IF(E80="BaseInsect","AnimalInsect",
IF(I80&gt;0.95,"AnimalExotic",
_xlfn.TEXTJOIN(", ",TRUE,
IF(AND(_xlfn.XLOOKUP(B80,'Base stats'!B:B,'Base stats'!O:O)=0,_xlfn.XLOOKUP(_xlfn.XLOOKUP(B80,'Base stats'!B:B,'Base stats'!E:E),Groups!A:A,Groups!B:B)&gt;0),"AnimalUncommon","AnimalCommon"),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stats'!AH:AH)=1,AND(BG80&lt;&gt;"None",BP80&gt;=60),ISNUMBER(SEARCH("Attack target",BN80))),"AnimalFighter","")
)))</f>
        <v>AnimalExotic</v>
      </c>
      <c r="BV80" s="25" t="str">
        <f>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</f>
        <v/>
      </c>
      <c r="BW80" s="25" t="str">
        <f>IF(_xlfn.XLOOKUP(B80,'Base stats'!B:B,'Base stats'!AG:AG)=1,"true","false")</f>
        <v>false</v>
      </c>
      <c r="BX80" s="25">
        <f>IF(_xlfn.XLOOKUP(B80,'Base stats'!B:B,'Base stats'!N:N)=1,"No",MIN(MROUND(IF(OR(_xlfn.XLOOKUP(B80,'Base stats'!B:B,'Base stats'!AJ:AJ)=1,AND(BH80="True",CA80="False")),POWER(10,3.47*LOG10(_xlfn.XLOOKUP(B80,'Base stats'!B:B,'Base stats'!C:C)*1000)^-0.96),POWER(10,4.15*LOG10(_xlfn.XLOOKUP(B80,'Base stats'!B:B,'Base stats'!C:C)*1000)^-0.73))*IF(OR(_xlfn.XLOOKUP(B80,'Base stats'!B:B,'Base stats'!AJ:AJ)=1,_xlfn.XLOOKUP(B80,'Base stats'!B:B,'Base stats'!AH:AH)=1),0.5,1)/100,0.025),1))</f>
        <v>2.5000000000000001E-2</v>
      </c>
      <c r="BY80" s="25">
        <f>IF(O80="Standard","No",IF(_xlfn.XLOOKUP(B80,'Base stats'!B:B,'Base stats'!N:N)=0,MROUND(BX80*O80,0.05),MIN(1,MAX(0.025,MROUND(IF(OR(CA80="true",AND(BH80="false",BM80="false")),POWER(10,4.15*LOG10(_xlfn.XLOOKUP(B80,'Base stats'!B:B,'Base stats'!C:C)*1000)^-0.73),POWER(10,3.47*LOG10(_xlfn.XLOOKUP(B80,'Base stats'!B:B,'Base stats'!C:C)*1000)^-0.96))*IF(_xlfn.XLOOKUP(B80,'Base stats'!B:B,'Base stats'!AH:AH)=1,0.5,1)/100,0.025)))))</f>
        <v>0.05</v>
      </c>
      <c r="BZ80" s="25" t="str">
        <f>IF(_xlfn.XLOOKUP(_xlfn.XLOOKUP(B80,'Base stats'!B:B,'Base stats'!E:E),Groups!A:A,Groups!AJ:AJ)="Mammal","True","False")</f>
        <v>True</v>
      </c>
      <c r="CA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B80" s="25" t="str">
        <f t="shared" si="13"/>
        <v>True</v>
      </c>
      <c r="CC80" s="25" t="str">
        <f>IF(_xlfn.XLOOKUP(_xlfn.XLOOKUP(B80,'Base stats'!B:B,'Base stats'!E:E),Groups!A:A,Groups!AW:AW),"True","False")</f>
        <v>False</v>
      </c>
      <c r="CD80" s="25" t="str">
        <f>IF(_xlfn.XLOOKUP(_xlfn.XLOOKUP(B80,'Base stats'!B:B,'Base stats'!E:E),Groups!A:A,Groups!AX:AX),"True","False")</f>
        <v>False</v>
      </c>
      <c r="CE80" s="25" t="str">
        <f>IF(_xlfn.XLOOKUP(B80,'Base stats'!B:B,'Base stats'!E:E)=1,"True","False")</f>
        <v>False</v>
      </c>
      <c r="CF80" s="25" t="str">
        <f>IF(
OR(
_xlfn.XLOOKUP(_xlfn.XLOOKUP(B80,'Base stats'!B:B,'Base stats'!E:E),Groups!A:A,Groups!AY:AY)=0,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stats'!E:E),Groups!A:A,Groups!AY:AY)=1,
"Flesh",
IF(
_xlfn.XLOOKUP(_xlfn.XLOOKUP(B80,'Base stats'!B:B,'Base stats'!E:E),Groups!A:A,Groups!AY:AY)=2,
"Bone",
""
)
)
)</f>
        <v>No</v>
      </c>
      <c r="CG80" s="25" t="str">
        <f>IF(_xlfn.XLOOKUP(_xlfn.XLOOKUP(B80,'Base stats'!B:B,'Base stats'!E:E),Groups!A:A,Groups!BA:BA),"True","False")</f>
        <v>True</v>
      </c>
      <c r="CH80" s="25" t="str">
        <f>IF(_xlfn.XLOOKUP(_xlfn.XLOOKUP(B80,'Base stats'!B:B,'Base stats'!E:E),Groups!A:A,Groups!AZ:AZ),"True","False")</f>
        <v>False</v>
      </c>
    </row>
    <row r="81" spans="1:86" ht="16.5" thickTop="1" thickBot="1" x14ac:dyDescent="0.3">
      <c r="A81" s="26" t="str">
        <f>_xlfn.XLOOKUP(B81,'Base stats'!B:B,'Base stats'!A:A)</f>
        <v>Armadillo</v>
      </c>
      <c r="B81" s="6" t="s">
        <v>235</v>
      </c>
      <c r="C81" s="28" t="s">
        <v>773</v>
      </c>
      <c r="D81" s="28" t="s">
        <v>882</v>
      </c>
      <c r="E81" s="28" t="s">
        <v>685</v>
      </c>
      <c r="F81" s="28" t="s">
        <v>685</v>
      </c>
      <c r="G81" s="2">
        <f>MROUND((
  (IF(AND(_xlfn.XLOOKUP(B81,'Base stats'!B:B,'Base stats'!AI:AI)=0,BG81="None",_xlfn.XLOOKUP('Base stats'!E81,Groups!A:A,Groups!B:B)=0), (18 + BP81 * 2.7) * 0.5,
    IF(AND(_xlfn.XLOOKUP(B81,'Base stats'!B:B,'Base stats'!AI:AI)=0,OR(AN81&lt;0.55,AND(BG81="Intermediate",_xlfn.XLOOKUP('Base stats'!E81,Groups!A:A,Groups!B:B)&lt;2))), (18 + BP81 * 2.7),
      IF(OR(BG81="Advanced",_xlfn.XLOOKUP(B81,'Base stats'!B:B,'Base stats'!AI:AI)=1,_xlfn.XLOOKUP('Base stats'!E81,Groups!A:A,Groups!B:B)=2), (18 + BP81 * 2.7) + 250, (18 + BP81 * 2.7))
    )
  ))
  + AN81 * 80
  + IF(COUNTIF(EggMilk!K$2:K$998, A81) &gt; 0, 125, 0)
  + IF(COUNTIF(EggMilk!P$2:P$998, A81) &gt; 0, 90, 0)
  + IF(COUNTIF(EggMilk!A$2:A$998, A81) &gt; 0, 90, 0)
)
* (0.8 + 0.4 * I81)
* 0.75,25)</f>
        <v>125</v>
      </c>
      <c r="H81" s="2">
        <f>MROUND(ROUNDDOWN(_xlfn.XLOOKUP(B81,'Base stats'!B:B,'Base stats'!L:L)/3.6/(23.3/11),1),0.5)</f>
        <v>3</v>
      </c>
      <c r="I81" s="2">
        <f>IF(_xlfn.XLOOKUP(B81,'Base stats'!B:B,'Base stats'!AI:AI)=1,0.99,MIN(MROUND((1-0.6282*EXP(-0.459*AN81))*_xlfn.XLOOKUP(_xlfn.XLOOKUP(B81,'Base stats'!B:B,'Base stats'!E:E),Groups!A:A,Groups!C:C)*IF(_xlfn.XLOOKUP(B81,'Base stats'!B:B,'Base stats'!O:O)=1,0.5,IF(_xlfn.XLOOKUP(B81,'Base stats'!B:B,'Base stats'!O:O)=2,0,1)),0.05),0.985))</f>
        <v>0.55000000000000004</v>
      </c>
      <c r="J81" s="2">
        <f>ROUNDUP(AN81*_xlfn.XLOOKUP(_xlfn.XLOOKUP(B81,'Base stats'!B:B,'Base stats'!E:E),Groups!A:A,Groups!E:E),0)</f>
        <v>1</v>
      </c>
      <c r="K81" s="2">
        <f>IF(OR(_xlfn.XLOOKUP(_xlfn.XLOOKUP(B81,'Base stats'!B:B,'Base stats'!E:E),Groups!A:A,Groups!F:F)=2,ISNUMBER(SEARCH("SeaIce",BV81)),ISNUMBER(SEARCH("IceSheet",BV81))),-50,IF(OR(ISNUMBER(SEARCH("GlacialPlain",BV81)),ISNUMBER(SEARCH("Tundra",BV81))),-40,IF(OR(ISNUMBER(SEARCH("Alpine",BV81)),ISNUMBER(SEARCH("BorealForest",BV81)),ISNUMBER(SEARCH("ColdBog",BV81))),-30,IF(OR(ISNUMBER(SEARCH("TemperateForest",BV81)),ISNUMBER(SEARCH("TemperateSwamp",BV81))),-20,IF(_xlfn.XLOOKUP(_xlfn.XLOOKUP(B81,'Base stats'!B:B,'Base stats'!E:E),Groups!A:A,Groups!F:F)=1,-15,IF(OR(ISNUMBER(SEARCH("Desert",BV81)),ISNUMBER(SEARCH("ExtremeDesert",BV81))),-10,IF(OR(ISNUMBER(SEARCH("Grasslands",BV81)),ISNUMBER(SEARCH("TropicalRainforest",BV81)),ISNUMBER(SEARCH("TropicalSwamp",BV81))),10,0)))))))-IF(CA81="False",MIN(IFERROR(MAX(MROUND(LOG10(_xlfn.XLOOKUP(B81,'Base stats'!B:B,'Base stats'!C:C)^(2/3))*10,5),5),5),30))-_xlfn.XLOOKUP(B81,'Base stats'!B:B,'Base stats'!P:P)+IF(CA81="True",5,0)</f>
        <v>-15</v>
      </c>
      <c r="L81" s="2">
        <f>IF(OR(_xlfn.XLOOKUP(_xlfn.XLOOKUP(B81,'Base stats'!B:B,'Base stats'!E:E),Groups!A:A,Groups!G:G)=2,ISNUMBER(SEARCH("Desert",BV81)),ISNUMBER(SEARCH("ExtremeDesert",BV81)),ISNUMBER(SEARCH("LavaField",BV81))),50,IF(ISNUMBER(SEARCH("Grasslands",BV81)),45,IF(OR(_xlfn.XLOOKUP(_xlfn.XLOOKUP(B81,'Base stats'!B:B,'Base stats'!E:E),Groups!A:A,Groups!G:G)=1,ISNUMBER(SEARCH("TropicalRainforest",BV81)),ISNUMBER(SEARCH("TropicalSwamp",BV81))),40,IF(OR(ISNUMBER(SEARCH("TemperateForest",BV81)),ISNUMBER(SEARCH("TemperateSwamp",BV81))),35,IF(OR(ISNUMBER(SEARCH("Alpine",BV81)),ISNUMBER(SEARCH("BorealForest",BV81)),ISNUMBER(SEARCH("ColdBog",BV81))),30,IF(ISNUMBER(OR(ISNUMBER(SEARCH("GlacialPlain",BV81)),SEARCH("Tundra",BV81))),25,IF(OR(ISNUMBER(SEARCH("SeaIce",BV81)),ISNUMBER(SEARCH("IceSheet",BV81)),ISNUMBER(SEARCH("TropicalSwamp",BV81))),10,35)))))))+_xlfn.XLOOKUP(B81,'Base stats'!B:B,'Base stats'!Q:Q)</f>
        <v>50</v>
      </c>
      <c r="M81" s="8">
        <f>IF(_xlfn.XLOOKUP(_xlfn.XLOOKUP(B81,'Base stats'!B:B,'Base stats'!E:E),Groups!A:A,Groups!L:L)=1,MIN(MROUND(_xlfn.XLOOKUP(B81,'Animals CE'!B:B,'Animals CE'!Z:Z)/2+0.05,0.05),200%),"No")</f>
        <v>0.25</v>
      </c>
      <c r="N81" s="8">
        <f>IF(_xlfn.XLOOKUP(_xlfn.XLOOKUP(B81,'Base stats'!B:B,'Base stats'!E:E),Groups!A:A,Groups!L:L)=1,MIN(MROUND(_xlfn.XLOOKUP(B81,'Animals CE'!B:B,'Animals CE'!AA:AA)/2+0.05,0.05),200%),"No")</f>
        <v>0.2</v>
      </c>
      <c r="O81" s="2" t="str">
        <f>_xlfn.XLOOKUP(B81,'Base stats'!B:B,'Base stats'!R:R)</f>
        <v>Standard</v>
      </c>
      <c r="P81" s="13">
        <f>MROUND((LOG10(_xlfn.XLOOKUP(B81,'Base stats'!B:B,'Base stats'!AO:AO))*(AN81^0.5)+(_xlfn.XLOOKUP(B81,'Base stats'!B:B,'Base stats'!AO:AO)/1000)^(2/3)+_xlfn.XLOOKUP(B81,'Base stats'!B:B,'Base stats'!AX:AX)/2)+0.5,0.5)</f>
        <v>2.5</v>
      </c>
      <c r="Q81" s="7">
        <f>IF(P81="No","No",MAX(1,MROUND(_xlfn.XLOOKUP(B81,'Base stats'!B:B,'Base stats'!C:C)^0.165,0.05)))</f>
        <v>1.25</v>
      </c>
      <c r="R81" s="13" t="str">
        <f>IF(_xlfn.XLOOKUP(_xlfn.XLOOKUP(B81,'Base stats'!B:B,'Base stats'!E:E),Groups!A:A,Groups!P:P)=0,"No",MROUND((LOG10(_xlfn.XLOOKUP(B81,'Base stats'!B:B,'Base stats'!AP:AP))*(AN81^0.5)+(_xlfn.XLOOKUP(B81,'Base stats'!B:B,'Base stats'!AP:AP)/1000)^(2/3)+_xlfn.XLOOKUP(B81,'Base stats'!B:B,'Base stats'!AX:AX))+_xlfn.XLOOKUP(B81,'Base stats'!B:B,'Base stats'!AV:AV)+0.5,0.5))</f>
        <v>No</v>
      </c>
      <c r="S81" s="7" t="str">
        <f>IF(R81="No","No",MAX(_xlfn.XLOOKUP(_xlfn.XLOOKUP(B81,'Base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T81" s="7" t="str">
        <f>IF(R81="No","No",_xlfn.XLOOKUP(_xlfn.XLOOKUP(B81,'Base stats'!B:B,'Base stats'!E:E),Groups!A:A,Groups!R:R))</f>
        <v>No</v>
      </c>
      <c r="U81" s="7" t="str">
        <f>IF(R81="No","No",_xlfn.XLOOKUP(_xlfn.XLOOKUP(B81,'Base stats'!B:B,'Base stats'!E:E),Groups!A:A,Groups!S:S))</f>
        <v>No</v>
      </c>
      <c r="V81" s="7" t="str">
        <f>IF(R81="No","No",_xlfn.XLOOKUP(_xlfn.XLOOKUP(B81,'Base stats'!B:B,'Base stats'!E:E),Groups!A:A,Groups!T:T))</f>
        <v>No</v>
      </c>
      <c r="W81" s="13" t="str">
        <f>IF(_xlfn.XLOOKUP(B81,'Base stats'!B:B,'Base stats'!W:W)="No","No",MROUND((LOG10(_xlfn.XLOOKUP(B81,'Base stats'!B:B,'Base stats'!AR:AR))*(AN81^0.5)+(_xlfn.XLOOKUP(B81,'Base stats'!B:B,'Base stats'!AR:AR)/1000)^(2/3)+_xlfn.XLOOKUP(B81,'Base stats'!B:B,'Base stats'!AW:AW))+0.5+IF(_xlfn.XLOOKUP(_xlfn.XLOOKUP(B81,'Base stats'!B:B,'Base stats'!E:E),Groups!A:A,Groups!U:U)&lt;&gt;3,_xlfn.XLOOKUP(B81,'Base stats'!B:B,'Base stats'!AX:AX),0),0.5))</f>
        <v>No</v>
      </c>
      <c r="X81" s="7" t="str">
        <f>IF(W81="No","No",MAX(_xlfn.XLOOKUP(_xlfn.XLOOKUP(B81,'Base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Y81" s="7" t="str">
        <f>IF(W81="No","No",_xlfn.XLOOKUP(_xlfn.XLOOKUP(B81,'Base stats'!B:B,'Base stats'!E:E),Groups!A:A,Groups!W:W))</f>
        <v>No</v>
      </c>
      <c r="Z81" s="7" t="str">
        <f>IF(W81="No","No",_xlfn.XLOOKUP(_xlfn.XLOOKUP(B81,'Base stats'!B:B,'Base stats'!E:E),Groups!A:A,Groups!X:X))</f>
        <v>No</v>
      </c>
      <c r="AA81" s="7" t="str">
        <f>IF(W81="No","No",_xlfn.XLOOKUP(_xlfn.XLOOKUP(B81,'Base stats'!B:B,'Base stats'!E:E),Groups!A:A,Groups!Y:Y))</f>
        <v>No</v>
      </c>
      <c r="AB81" s="7" t="str">
        <f>_xlfn.XLOOKUP(Animals!B81,'Base stats'!B:B,'Base stats'!X:X)</f>
        <v>False</v>
      </c>
      <c r="AC81" s="13">
        <f>IF(_xlfn.XLOOKUP(B81,'Base stats'!B:B,'Base stats'!AQ:AQ)="No","No",MROUND((LOG10(_xlfn.XLOOKUP(B81,'Base stats'!B:B,'Base stats'!AQ:AQ))*(AN81^0.75)+(_xlfn.XLOOKUP(B81,'Base stats'!B:B,'Base stats'!AQ:AQ)/1000)^(2/3)+_xlfn.XLOOKUP(B81,'Base stats'!B:B,'Base stats'!AU:AU)+_xlfn.XLOOKUP(B81,'Base stats'!B:B,'Base stats'!AX:AX))+0.5,0.5))</f>
        <v>4</v>
      </c>
      <c r="AD81" s="7">
        <f>IF(AC81="No","No",MAX(_xlfn.XLOOKUP(_xlfn.XLOOKUP(B81,'Base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E81" s="7" t="str">
        <f>IF(AC81="No","No",_xlfn.XLOOKUP(_xlfn.XLOOKUP(B81,'Base stats'!B:B,'Base stats'!E:E),Groups!A:A,Groups!AA:AA))</f>
        <v>Teeth</v>
      </c>
      <c r="AF81" s="7" t="str">
        <f>IF(AC81="No","No",_xlfn.XLOOKUP(_xlfn.XLOOKUP(B81,'Base stats'!B:B,'Base stats'!E:E),Groups!A:A,Groups!AB:AB))</f>
        <v>teeth</v>
      </c>
      <c r="AG81" s="7" t="str">
        <f>IF(AC81="No","No",_xlfn.XLOOKUP(_xlfn.XLOOKUP(B81,'Base stats'!B:B,'Base stats'!E:E),Groups!A:A,Groups!AC:AC))</f>
        <v>Bite</v>
      </c>
      <c r="AH81" s="13" t="str">
        <f>IF(_xlfn.XLOOKUP(_xlfn.XLOOKUP(B81,'Base stats'!B:B,'Base stats'!E:E),Groups!A:A,Groups!AD:AD)=0,"No",MROUND((LOG10(_xlfn.XLOOKUP(B81,'Base stats'!B:B,'Base stats'!AP:AP))*(AN81^0.75)+(_xlfn.XLOOKUP(B81,'Base stats'!B:B,'Base stats'!AP:AP)/1000)^(2/3)+_xlfn.XLOOKUP(B81,'Base stats'!B:B,'Base stats'!AV:AV)+_xlfn.XLOOKUP(B81,'Base stats'!B:B,'Base stats'!AX:AX))+0.5,0.5))</f>
        <v>No</v>
      </c>
      <c r="AI81" s="7" t="str">
        <f>IF(AH81="No","No",MAX(_xlfn.XLOOKUP(_xlfn.XLOOKUP(B81,'Base stats'!B:B,'Base stats'!E:E),Groups!A:A,Groups!AE:AE),MROUND(_xlfn.XLOOKUP(_xlfn.XLOOKUP(B81,'Base stats'!B:B,'Base stats'!E:E),Groups!A:A,Groups!AE:AE)*_xlfn.XLOOKUP(B81,'Base stats'!B:B,'Base stats'!C:C)^0.165,0.05)))</f>
        <v>No</v>
      </c>
      <c r="AJ81" s="7" t="str">
        <f>IF(AH81="No","No",_xlfn.XLOOKUP(_xlfn.XLOOKUP(B81,'Base stats'!B:B,'Base stats'!E:E),Groups!A:A,Groups!AF:AF))</f>
        <v>No</v>
      </c>
      <c r="AK81" s="7" t="str">
        <f>IF(AH81="No","No",_xlfn.XLOOKUP(_xlfn.XLOOKUP(B81,'Base stats'!B:B,'Base stats'!E:E),Groups!A:A,Groups!AG:AG))</f>
        <v>No</v>
      </c>
      <c r="AL81" s="7" t="str">
        <f>IF(AH81="No","No",_xlfn.XLOOKUP(_xlfn.XLOOKUP(B81,'Base stats'!B:B,'Base stats'!E:E),Groups!A:A,Groups!AH:AH))</f>
        <v>No</v>
      </c>
      <c r="AM81" s="2" t="str">
        <f t="shared" si="7"/>
        <v>No</v>
      </c>
      <c r="AN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O81" s="8">
        <f>MROUND(AN81*_xlfn.XLOOKUP(_xlfn.XLOOKUP(B81,'Base stats'!B:B,'Base stats'!E:E),Groups!A:A,Groups!AI:AI),0.05)</f>
        <v>0.30000000000000004</v>
      </c>
      <c r="AP81" s="8">
        <f>MAX(0.01,MROUND(IF(CA81="True",0.196*(AN81*100*1000)^0.889,IF(_xlfn.XLOOKUP(_xlfn.XLOOKUP(B81,'Base stats'!B:B,'Base stats'!E:E),Groups!A:A,Groups!AJ:AJ)="Bird",10.5*(AN81*100*1000)^0.681,4.82*(AN81*100*1000)^0.734))/(4.82*(1*100*1000)^0.734)/IF(AN81&lt;3.5,2,IF(AN81=3.5,1.5,1.25))*(1+0.132282374779864/(AN81^0.994035016789033+0.00905238001496948)),0.05))</f>
        <v>0.30000000000000004</v>
      </c>
      <c r="AQ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R81" s="35">
        <f>IFERROR(IF(_xlfn.XLOOKUP(B81,'Base stats'!B:B,'Base stats'!F:F)="Lay eggs","Lay eggs",MIN(20,MAX(5.5,ROUND(((_xlfn.XLOOKUP(B81,'Base stats'!B:B,'Base stats'!F:F)-25)*(14.5/615) + 5.5)*2,0)/2))),"Cannot breed")</f>
        <v>8</v>
      </c>
      <c r="AS81" s="8">
        <f>IF(OR(A81="Queen",A81="Larva",A81="Megachicken"),"No",IFERROR(MAX(IF(_xlfn.XLOOKUP(B81,'Base stats'!B:B,'Base stats'!G:G)&lt;0.5,0.2,0.3),MROUND(_xlfn.XLOOKUP(B81,'Base stats'!B:B,'Base stats'!G:G)/(365/60),0.2)),"Unknown"))</f>
        <v>0.3</v>
      </c>
      <c r="AT81" s="8">
        <f t="shared" si="8"/>
        <v>0.15000000000000002</v>
      </c>
      <c r="AU81" s="8">
        <f>IFERROR(IFERROR(MROUND(_xlfn.XLOOKUP(B81,'Base stats'!B:B,'Base stats'!J:J),0.1),"Lay eggs"),"Cannot breed")</f>
        <v>4</v>
      </c>
      <c r="AV81" s="2" t="str">
        <f t="shared" si="9"/>
        <v>false</v>
      </c>
      <c r="AW81" s="2" t="str">
        <f>IF(_xlfn.XLOOKUP(_xlfn.XLOOKUP(Animals!B81,'Base stats'!B:B,'Base stats'!E:E),Groups!A:A,Groups!AK:AK)=1,"true","false")</f>
        <v>false</v>
      </c>
      <c r="AX81" s="25" t="str">
        <f>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</f>
        <v>OmnivoreAnimal, OvivoreAnimal</v>
      </c>
      <c r="AY81" s="2" t="str">
        <f>IF(_xlfn.XLOOKUP(_xlfn.XLOOKUP(B81,'Base stats'!B:B,'Base stats'!E:E),Groups!A:A,Groups!D:D)=1,MROUND((1-I81)*5+1,2)*IF(I81&lt;=0.4,2,1),"No")</f>
        <v>No</v>
      </c>
      <c r="AZ81" s="2" t="str">
        <f>_xlfn.XLOOKUP(B81,'Base stats'!B:B,'Base stats'!AE:AE)</f>
        <v>Leather_Armadillo</v>
      </c>
      <c r="BA81" s="23" t="str">
        <f>_xlfn.XLOOKUP(_xlfn.XLOOKUP(B81,'Base stats'!B:B,'Base stats'!E:E),Groups!A:A,Groups!AL:AL)</f>
        <v>QuadrupedAnimalWithPawsAndTail</v>
      </c>
      <c r="BB81" s="23">
        <f>MROUND(IF(AND(AN81&lt;0.5,_xlfn.XLOOKUP(B81,'Base stats'!B:B,'Base stats'!Z:Z)=0),0,IF(OR(_xlfn.XLOOKUP(Animals!B81,'Base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stats'!AA:AA),0.005)</f>
        <v>0</v>
      </c>
      <c r="BC81" s="23">
        <f>MROUND(IF(AND(AN81&lt;0.5,_xlfn.XLOOKUP(B81,'Base stats'!B:B,'Base stats'!Z:Z)=0),0,IF(_xlfn.XLOOKUP(_xlfn.XLOOKUP(B81,'Base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stats'!AB:AB),0.005)</f>
        <v>0</v>
      </c>
      <c r="BD81" s="2" t="str">
        <f>IF(I81&gt;0.3,"No",_xlfn.XLOOKUP(_xlfn.XLOOKUP(Animals!B81,'Base stats'!B:B,'Base stats'!E:E),Groups!A:A,Groups!AP:AP))</f>
        <v>No</v>
      </c>
      <c r="BE81" s="2" t="str">
        <f>IF(AND(I81&lt;=0.65,_xlfn.XLOOKUP(_xlfn.XLOOKUP(Animals!B81,'Base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stats'!O:O)=2,0.2,AN81) + 24*(1-IF(BD81="No",0,BD81)) + 16/3, 12),"No")</f>
        <v>No</v>
      </c>
      <c r="BF81" s="2">
        <f>IF(AND(_xlfn.XLOOKUP(_xlfn.XLOOKUP(B81,'Base stats'!B:B,'Base stats'!E:E),Groups!A:A,Groups!AQ:AQ)=1,AN81&lt;=0.35),8,12)</f>
        <v>12</v>
      </c>
      <c r="BG81" s="2" t="str">
        <f>IF(_xlfn.XLOOKUP(_xlfn.XLOOKUP(B81,'Base stats'!B:B,'Base stats'!E:E),Groups!A:A,Groups!D:D)=0,_xlfn.XLOOKUP(_xlfn.XLOOKUP(B81,'Base stats'!B:B,'Base stats'!E:E),Groups!A:A,Groups!AR:AR),"None")</f>
        <v>None</v>
      </c>
      <c r="BH81" s="2" t="str">
        <f>IF(AND(_xlfn.XLOOKUP(_xlfn.XLOOKUP(B81,'Base stats'!B:B,'Base stats'!E:E),Groups!A:A,Groups!AS:AS)=1,OR('Base stats'!Y81="Carnivore",'Base stats'!Y81="Omnivore")),"true","false")</f>
        <v>false</v>
      </c>
      <c r="BI81" s="2" t="str">
        <f>IF(BH81="true",MROUND(IF(AND(AN81&gt;0.5,_xlfn.XLOOKUP(_xlfn.XLOOKUP(B81,'Base stats'!B:B,'Base stats'!E:E),Groups!A:A,Groups!AJ:AJ)="Mammal"),Animals!AN81*1.75*IF(AV81="true",1.5,1),Animals!AN81),IF(AN81&gt;2,0.5,IF(AN81&gt;0.5,0.25,0.1))),"No")</f>
        <v>No</v>
      </c>
      <c r="BJ81" s="2">
        <f t="shared" si="10"/>
        <v>0</v>
      </c>
      <c r="BK81" s="25" t="str">
        <f>IF('Base stats'!AK81="Standard","No",MROUND((_xlfn.XLOOKUP(B81,'Base stats'!B:B,'Base stats'!AK:AK)/3.6)/H81,0.1))</f>
        <v>No</v>
      </c>
      <c r="BL81" s="25" t="str">
        <f t="shared" si="11"/>
        <v>false</v>
      </c>
      <c r="BM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N81" s="25" t="str" cm="1">
        <f t="array" ref="BN81">IF(
  _xlfn.TEXTJOIN(", ",TRUE,
    IF(AND(BH81="true",AN81&gt;0.5,BG81&lt;&gt;"None"),"AttackTarget",""),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IF(BE81&lt;=36,"Comfort",""),
    IF(_xlfn.XLOOKUP(B81,'Base stats'!B:B,'Base stats'!AC:AC)&lt;&gt;"No",_xlfn.XLOOKUP(B81,'Base stats'!B:B,'Base stats'!AC:AC),"")
  ) = "",
  "No",
  _xlfn.TEXTJOIN(", ",TRUE,
    IF(AND(BH81="true",AN81&gt;0.5,BG81&lt;&gt;"None"),"AttackTarget",""),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IF(BE81&lt;=36,"Comfort",""),
    IF(_xlfn.XLOOKUP(B81,'Base stats'!B:B,'Base stats'!AC:AC)&lt;&gt;"No",_xlfn.XLOOKUP(B81,'Base stats'!B:B,'Base stats'!AC:AC),"")
  )
)</f>
        <v>Forage</v>
      </c>
      <c r="BO81" s="25" t="str">
        <f>IF(
   AND(
      'Base stats'!AK81="Standard",_xlfn.XLOOKUP(_xlfn.XLOOKUP(B81,'Base stats'!B:B,'Base stats'!E:E),Groups!A:A,Groups!AU:AU)=0,
      OR(
      BM81="True"
      )
   ),
   10,
   IF(
       OR(BK81&lt;&gt;"No",_xlfn.XLOOKUP(_xlfn.XLOOKUP(B81,'Base stats'!B:B,'Base stats'!E:E),Groups!A:A,Groups!AU:AU)=1),
      1,
      "No"
   )
)</f>
        <v>No</v>
      </c>
      <c r="BP81" s="9">
        <f>MROUND((1 + ((0.2*IF(OR(P81="No",Q81="No",Q81=0),0,P81/Q81)
+IF(OR(U81="No",R81="No",S81="No"),0,R81/S81*(LEN(U81)-LEN(SUBSTITUTE(U81,",",""))+1))
+IF(OR(W81="No",X81="No"),0,W81/X81)
+IF(OR(AC81="No",AD81="No"),0,AC81/AD81)
+IF(OR(AK81="No",AH81="No",AI81="No"),0,AH81/AI81*(LEN(AK81)-LEN(SUBSTITUTE(AK81,",",""))+1))
)/(0.2*IF(OR(P81="No",Q81="No",Q81=0),0,1)
+IF(OR(U81="No",R81="No",S81="No"),0,LEN(U81)-LEN(SUBSTITUTE(U81,",",""))+1)
+IF(OR(W81="No",X81="No"),0,1)
+IF(OR(AC81="No",AD81="No"),0,1)
+IF(OR(AK81="No",AH81="No",AI81="No"),0,LEN(AK81)-LEN(SUBSTITUTE(AK81,",",""))+1))*62%)* 2)*(1 + (AO81 + _xlfn.XLOOKUP(B81,'Base stats'!B:B,'Base stats'!AS:AS) * 1.8) * 2) * 2.5 + 10 + H81 * 2,5)+IF(_xlfn.XLOOKUP(B81,'Base stats'!B:B,'Base stats'!AH:AH)=1,50,0)</f>
        <v>45</v>
      </c>
      <c r="BQ81" s="8">
        <f t="shared" si="12"/>
        <v>0.30000000000000004</v>
      </c>
      <c r="BR81" s="8" t="str">
        <f>_xlfn.XLOOKUP(B81,'Base stats'!B:B,'Base stats'!AD:AD)</f>
        <v>No</v>
      </c>
      <c r="BS81" s="2" t="str">
        <f>IF(AND(I81&lt;=0.95,OR(_xlfn.XLOOKUP(B81,'Base stats'!B:B,'Base stats'!AH:AH)=1,_xlfn.XLOOKUP(B81,'Base stats'!B:B,'Base stats'!Y:Y)="Carnivore",_xlfn.XLOOKUP(B81,'Base stats'!B:B,'Base stats'!Y:Y)="Omnivore",BC81&gt;0.1)),"true","false")</f>
        <v>true</v>
      </c>
      <c r="BT81" s="2" t="str">
        <f>IF(_xlfn.XLOOKUP(B81,'Base stats'!B:B,'Base stats'!AF:AF)=1,"true","false")</f>
        <v>false</v>
      </c>
      <c r="BU81" s="25" t="str">
        <f>IF(E81="BaseInsect","AnimalInsect",
IF(I81&gt;0.95,"AnimalExotic",
_xlfn.TEXTJOIN(", ",TRUE,
IF(AND(_xlfn.XLOOKUP(B81,'Base stats'!B:B,'Base stats'!O:O)=0,_xlfn.XLOOKUP(_xlfn.XLOOKUP(B81,'Base stats'!B:B,'Base stats'!E:E),Groups!A:A,Groups!B:B)&gt;0),"AnimalUncommon","AnimalCommon"),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stats'!AH:AH)=1,AND(BG81&lt;&gt;"None",BP81&gt;=60),ISNUMBER(SEARCH("Attack target",BN81))),"AnimalFighter","")
)))</f>
        <v>AnimalUncommon</v>
      </c>
      <c r="BV81" s="25" t="str">
        <f>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</f>
        <v>AridShrubland Desert ExtremeDesert TropicalRainforest TropicalSwamp Grasslands Glowforest LavaField</v>
      </c>
      <c r="BW81" s="25" t="str">
        <f>IF(_xlfn.XLOOKUP(B81,'Base stats'!B:B,'Base stats'!AG:AG)=1,"true","false")</f>
        <v>false</v>
      </c>
      <c r="BX81" s="25">
        <f>IF(_xlfn.XLOOKUP(B81,'Base stats'!B:B,'Base stats'!N:N)=1,"No",MIN(MROUND(IF(OR(_xlfn.XLOOKUP(B81,'Base stats'!B:B,'Base stats'!AJ:AJ)=1,AND(BH81="True",CA81="False")),POWER(10,3.47*LOG10(_xlfn.XLOOKUP(B81,'Base stats'!B:B,'Base stats'!C:C)*1000)^-0.96),POWER(10,4.15*LOG10(_xlfn.XLOOKUP(B81,'Base stats'!B:B,'Base stats'!C:C)*1000)^-0.73))*IF(OR(_xlfn.XLOOKUP(B81,'Base stats'!B:B,'Base stats'!AJ:AJ)=1,_xlfn.XLOOKUP(B81,'Base stats'!B:B,'Base stats'!AH:AH)=1),0.5,1)/100,0.025),1))</f>
        <v>0.42500000000000004</v>
      </c>
      <c r="BY81" s="25" t="str">
        <f>IF(O81="Standard","No",IF(_xlfn.XLOOKUP(B81,'Base stats'!B:B,'Base stats'!N:N)=0,MROUND(BX81*O81,0.05),MIN(1,MAX(0.025,MROUND(IF(OR(CA81="true",AND(BH81="false",BM81="false")),POWER(10,4.15*LOG10(_xlfn.XLOOKUP(B81,'Base stats'!B:B,'Base stats'!C:C)*1000)^-0.73),POWER(10,3.47*LOG10(_xlfn.XLOOKUP(B81,'Base stats'!B:B,'Base stats'!C:C)*1000)^-0.96))*IF(_xlfn.XLOOKUP(B81,'Base stats'!B:B,'Base stats'!AH:AH)=1,0.5,1)/100,0.025)))))</f>
        <v>No</v>
      </c>
      <c r="BZ81" s="25" t="str">
        <f>IF(_xlfn.XLOOKUP(_xlfn.XLOOKUP(B81,'Base stats'!B:B,'Base stats'!E:E),Groups!A:A,Groups!AJ:AJ)="Mammal","True","False")</f>
        <v>True</v>
      </c>
      <c r="CA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B81" s="25" t="str">
        <f t="shared" si="13"/>
        <v>False</v>
      </c>
      <c r="CC81" s="25" t="str">
        <f>IF(_xlfn.XLOOKUP(_xlfn.XLOOKUP(B81,'Base stats'!B:B,'Base stats'!E:E),Groups!A:A,Groups!AW:AW),"True","False")</f>
        <v>False</v>
      </c>
      <c r="CD81" s="25" t="str">
        <f>IF(_xlfn.XLOOKUP(_xlfn.XLOOKUP(B81,'Base stats'!B:B,'Base stats'!E:E),Groups!A:A,Groups!AX:AX),"True","False")</f>
        <v>False</v>
      </c>
      <c r="CE81" s="25" t="str">
        <f>IF(_xlfn.XLOOKUP(B81,'Base stats'!B:B,'Base stats'!E:E)=1,"True","False")</f>
        <v>False</v>
      </c>
      <c r="CF81" s="25" t="str">
        <f>IF(
OR(
_xlfn.XLOOKUP(_xlfn.XLOOKUP(B81,'Base stats'!B:B,'Base stats'!E:E),Groups!A:A,Groups!AY:AY)=0,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stats'!E:E),Groups!A:A,Groups!AY:AY)=1,
"Flesh",
IF(
_xlfn.XLOOKUP(_xlfn.XLOOKUP(B81,'Base stats'!B:B,'Base stats'!E:E),Groups!A:A,Groups!AY:AY)=2,
"Bone",
""
)
)
)</f>
        <v>No</v>
      </c>
      <c r="CG81" s="25" t="str">
        <f>IF(_xlfn.XLOOKUP(_xlfn.XLOOKUP(B81,'Base stats'!B:B,'Base stats'!E:E),Groups!A:A,Groups!BA:BA),"True","False")</f>
        <v>True</v>
      </c>
      <c r="CH81" s="25" t="str">
        <f>IF(_xlfn.XLOOKUP(_xlfn.XLOOKUP(B81,'Base stats'!B:B,'Base stats'!E:E),Groups!A:A,Groups!AZ:AZ),"True","False")</f>
        <v>False</v>
      </c>
    </row>
    <row r="82" spans="1:86" ht="16.5" thickTop="1" thickBot="1" x14ac:dyDescent="0.3">
      <c r="A82" s="26" t="str">
        <f>_xlfn.XLOOKUP(B82,'Base stats'!B:B,'Base stats'!A:A)</f>
        <v>Wolverine</v>
      </c>
      <c r="B82" s="6" t="s">
        <v>254</v>
      </c>
      <c r="C82" s="28" t="s">
        <v>774</v>
      </c>
      <c r="D82" s="28" t="s">
        <v>882</v>
      </c>
      <c r="E82" s="28" t="s">
        <v>685</v>
      </c>
      <c r="F82" s="28" t="s">
        <v>685</v>
      </c>
      <c r="G82" s="2">
        <f>MROUND((
  (IF(AND(_xlfn.XLOOKUP(B82,'Base stats'!B:B,'Base stats'!AI:AI)=0,BG82="None",_xlfn.XLOOKUP('Base stats'!E82,Groups!A:A,Groups!B:B)=0), (18 + BP82 * 2.7) * 0.5,
    IF(AND(_xlfn.XLOOKUP(B82,'Base stats'!B:B,'Base stats'!AI:AI)=0,OR(AN82&lt;0.55,AND(BG82="Intermediate",_xlfn.XLOOKUP('Base stats'!E82,Groups!A:A,Groups!B:B)&lt;2))), (18 + BP82 * 2.7),
      IF(OR(BG82="Advanced",_xlfn.XLOOKUP(B82,'Base stats'!B:B,'Base stats'!AI:AI)=1,_xlfn.XLOOKUP('Base stats'!E82,Groups!A:A,Groups!B:B)=2), (18 + BP82 * 2.7) + 250, (18 + BP82 * 2.7))
    )
  ))
  + AN82 * 80
  + IF(COUNTIF(EggMilk!K$2:K$998, A82) &gt; 0, 125, 0)
  + IF(COUNTIF(EggMilk!P$2:P$998, A82) &gt; 0, 90, 0)
  + IF(COUNTIF(EggMilk!A$2:A$998, A82) &gt; 0, 90, 0)
)
* (0.8 + 0.4 * I82)
* 0.75,25)</f>
        <v>200</v>
      </c>
      <c r="H82" s="2">
        <f>MROUND(ROUNDDOWN(_xlfn.XLOOKUP(B82,'Base stats'!B:B,'Base stats'!L:L)/3.6/(23.3/11),1),0.5)</f>
        <v>4</v>
      </c>
      <c r="I82" s="2">
        <f>IF(_xlfn.XLOOKUP(B82,'Base stats'!B:B,'Base stats'!AI:AI)=1,0.99,MIN(MROUND((1-0.6282*EXP(-0.459*AN82))*_xlfn.XLOOKUP(_xlfn.XLOOKUP(B82,'Base stats'!B:B,'Base stats'!E:E),Groups!A:A,Groups!C:C)*IF(_xlfn.XLOOKUP(B82,'Base stats'!B:B,'Base stats'!O:O)=1,0.5,IF(_xlfn.XLOOKUP(B82,'Base stats'!B:B,'Base stats'!O:O)=2,0,1)),0.05),0.985))</f>
        <v>0.75</v>
      </c>
      <c r="J82" s="2">
        <f>ROUNDUP(AN82*_xlfn.XLOOKUP(_xlfn.XLOOKUP(B82,'Base stats'!B:B,'Base stats'!E:E),Groups!A:A,Groups!E:E),0)</f>
        <v>1</v>
      </c>
      <c r="K82" s="2">
        <f>IF(OR(_xlfn.XLOOKUP(_xlfn.XLOOKUP(B82,'Base stats'!B:B,'Base stats'!E:E),Groups!A:A,Groups!F:F)=2,ISNUMBER(SEARCH("SeaIce",BV82)),ISNUMBER(SEARCH("IceSheet",BV82))),-50,IF(OR(ISNUMBER(SEARCH("GlacialPlain",BV82)),ISNUMBER(SEARCH("Tundra",BV82))),-40,IF(OR(ISNUMBER(SEARCH("Alpine",BV82)),ISNUMBER(SEARCH("BorealForest",BV82)),ISNUMBER(SEARCH("ColdBog",BV82))),-30,IF(OR(ISNUMBER(SEARCH("TemperateForest",BV82)),ISNUMBER(SEARCH("TemperateSwamp",BV82))),-20,IF(_xlfn.XLOOKUP(_xlfn.XLOOKUP(B82,'Base stats'!B:B,'Base stats'!E:E),Groups!A:A,Groups!F:F)=1,-15,IF(OR(ISNUMBER(SEARCH("Desert",BV82)),ISNUMBER(SEARCH("ExtremeDesert",BV82))),-10,IF(OR(ISNUMBER(SEARCH("Grasslands",BV82)),ISNUMBER(SEARCH("TropicalRainforest",BV82)),ISNUMBER(SEARCH("TropicalSwamp",BV82))),10,0)))))))-IF(CA82="False",MIN(IFERROR(MAX(MROUND(LOG10(_xlfn.XLOOKUP(B82,'Base stats'!B:B,'Base stats'!C:C)^(2/3))*10,5),5),5),30))-_xlfn.XLOOKUP(B82,'Base stats'!B:B,'Base stats'!P:P)+IF(CA82="True",5,0)</f>
        <v>-50</v>
      </c>
      <c r="L82" s="2">
        <f>IF(OR(_xlfn.XLOOKUP(_xlfn.XLOOKUP(B82,'Base stats'!B:B,'Base stats'!E:E),Groups!A:A,Groups!G:G)=2,ISNUMBER(SEARCH("Desert",BV82)),ISNUMBER(SEARCH("ExtremeDesert",BV82)),ISNUMBER(SEARCH("LavaField",BV82))),50,IF(ISNUMBER(SEARCH("Grasslands",BV82)),45,IF(OR(_xlfn.XLOOKUP(_xlfn.XLOOKUP(B82,'Base stats'!B:B,'Base stats'!E:E),Groups!A:A,Groups!G:G)=1,ISNUMBER(SEARCH("TropicalRainforest",BV82)),ISNUMBER(SEARCH("TropicalSwamp",BV82))),40,IF(OR(ISNUMBER(SEARCH("TemperateForest",BV82)),ISNUMBER(SEARCH("TemperateSwamp",BV82))),35,IF(OR(ISNUMBER(SEARCH("Alpine",BV82)),ISNUMBER(SEARCH("BorealForest",BV82)),ISNUMBER(SEARCH("ColdBog",BV82))),30,IF(ISNUMBER(OR(ISNUMBER(SEARCH("GlacialPlain",BV82)),SEARCH("Tundra",BV82))),25,IF(OR(ISNUMBER(SEARCH("SeaIce",BV82)),ISNUMBER(SEARCH("IceSheet",BV82)),ISNUMBER(SEARCH("TropicalSwamp",BV82))),10,35)))))))+_xlfn.XLOOKUP(B82,'Base stats'!B:B,'Base stats'!Q:Q)</f>
        <v>30</v>
      </c>
      <c r="M82" s="8" t="str">
        <f>IF(_xlfn.XLOOKUP(_xlfn.XLOOKUP(B82,'Base stats'!B:B,'Base stats'!E:E),Groups!A:A,Groups!L:L)=1,MIN(MROUND(_xlfn.XLOOKUP(B82,'Animals CE'!B:B,'Animals CE'!Z:Z)/2+0.05,0.05),200%),"No")</f>
        <v>No</v>
      </c>
      <c r="N82" s="8" t="str">
        <f>IF(_xlfn.XLOOKUP(_xlfn.XLOOKUP(B82,'Base stats'!B:B,'Base stats'!E:E),Groups!A:A,Groups!L:L)=1,MIN(MROUND(_xlfn.XLOOKUP(B82,'Animals CE'!B:B,'Animals CE'!AA:AA)/2+0.05,0.05),200%),"No")</f>
        <v>No</v>
      </c>
      <c r="O82" s="2" t="str">
        <f>_xlfn.XLOOKUP(B82,'Base stats'!B:B,'Base stats'!R:R)</f>
        <v>Standard</v>
      </c>
      <c r="P82" s="13">
        <f>MROUND((LOG10(_xlfn.XLOOKUP(B82,'Base stats'!B:B,'Base stats'!AO:AO))*(AN82^0.5)+(_xlfn.XLOOKUP(B82,'Base stats'!B:B,'Base stats'!AO:AO)/1000)^(2/3)+_xlfn.XLOOKUP(B82,'Base stats'!B:B,'Base stats'!AX:AX)/2)+0.5,0.5)</f>
        <v>4.5</v>
      </c>
      <c r="Q82" s="7">
        <f>IF(P82="No","No",MAX(1,MROUND(_xlfn.XLOOKUP(B82,'Base stats'!B:B,'Base stats'!C:C)^0.165,0.05)))</f>
        <v>1.6500000000000001</v>
      </c>
      <c r="R82" s="13" t="str">
        <f>IF(_xlfn.XLOOKUP(_xlfn.XLOOKUP(B82,'Base stats'!B:B,'Base stats'!E:E),Groups!A:A,Groups!P:P)=0,"No",MROUND((LOG10(_xlfn.XLOOKUP(B82,'Base stats'!B:B,'Base stats'!AP:AP))*(AN82^0.5)+(_xlfn.XLOOKUP(B82,'Base stats'!B:B,'Base stats'!AP:AP)/1000)^(2/3)+_xlfn.XLOOKUP(B82,'Base stats'!B:B,'Base stats'!AX:AX))+_xlfn.XLOOKUP(B82,'Base stats'!B:B,'Base stats'!AV:AV)+0.5,0.5))</f>
        <v>No</v>
      </c>
      <c r="S82" s="7" t="str">
        <f>IF(R82="No","No",MAX(_xlfn.XLOOKUP(_xlfn.XLOOKUP(B82,'Base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T82" s="7" t="str">
        <f>IF(R82="No","No",_xlfn.XLOOKUP(_xlfn.XLOOKUP(B82,'Base stats'!B:B,'Base stats'!E:E),Groups!A:A,Groups!R:R))</f>
        <v>No</v>
      </c>
      <c r="U82" s="7" t="str">
        <f>IF(R82="No","No",_xlfn.XLOOKUP(_xlfn.XLOOKUP(B82,'Base stats'!B:B,'Base stats'!E:E),Groups!A:A,Groups!S:S))</f>
        <v>No</v>
      </c>
      <c r="V82" s="7" t="str">
        <f>IF(R82="No","No",_xlfn.XLOOKUP(_xlfn.XLOOKUP(B82,'Base stats'!B:B,'Base stats'!E:E),Groups!A:A,Groups!T:T))</f>
        <v>No</v>
      </c>
      <c r="W82" s="13" t="str">
        <f>IF(_xlfn.XLOOKUP(B82,'Base stats'!B:B,'Base stats'!W:W)="No","No",MROUND((LOG10(_xlfn.XLOOKUP(B82,'Base stats'!B:B,'Base stats'!AR:AR))*(AN82^0.5)+(_xlfn.XLOOKUP(B82,'Base stats'!B:B,'Base stats'!AR:AR)/1000)^(2/3)+_xlfn.XLOOKUP(B82,'Base stats'!B:B,'Base stats'!AW:AW))+0.5+IF(_xlfn.XLOOKUP(_xlfn.XLOOKUP(B82,'Base stats'!B:B,'Base stats'!E:E),Groups!A:A,Groups!U:U)&lt;&gt;3,_xlfn.XLOOKUP(B82,'Base stats'!B:B,'Base stats'!AX:AX),0),0.5))</f>
        <v>No</v>
      </c>
      <c r="X82" s="7" t="str">
        <f>IF(W82="No","No",MAX(_xlfn.XLOOKUP(_xlfn.XLOOKUP(B82,'Base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Y82" s="7" t="str">
        <f>IF(W82="No","No",_xlfn.XLOOKUP(_xlfn.XLOOKUP(B82,'Base stats'!B:B,'Base stats'!E:E),Groups!A:A,Groups!W:W))</f>
        <v>No</v>
      </c>
      <c r="Z82" s="7" t="str">
        <f>IF(W82="No","No",_xlfn.XLOOKUP(_xlfn.XLOOKUP(B82,'Base stats'!B:B,'Base stats'!E:E),Groups!A:A,Groups!X:X))</f>
        <v>No</v>
      </c>
      <c r="AA82" s="7" t="str">
        <f>IF(W82="No","No",_xlfn.XLOOKUP(_xlfn.XLOOKUP(B82,'Base stats'!B:B,'Base stats'!E:E),Groups!A:A,Groups!Y:Y))</f>
        <v>No</v>
      </c>
      <c r="AB82" s="7" t="str">
        <f>_xlfn.XLOOKUP(Animals!B82,'Base stats'!B:B,'Base stats'!X:X)</f>
        <v>False</v>
      </c>
      <c r="AC82" s="13">
        <f>IF(_xlfn.XLOOKUP(B82,'Base stats'!B:B,'Base stats'!AQ:AQ)="No","No",MROUND((LOG10(_xlfn.XLOOKUP(B82,'Base stats'!B:B,'Base stats'!AQ:AQ))*(AN82^0.75)+(_xlfn.XLOOKUP(B82,'Base stats'!B:B,'Base stats'!AQ:AQ)/1000)^(2/3)+_xlfn.XLOOKUP(B82,'Base stats'!B:B,'Base stats'!AU:AU)+_xlfn.XLOOKUP(B82,'Base stats'!B:B,'Base stats'!AX:AX))+0.5,0.5))</f>
        <v>8.5</v>
      </c>
      <c r="AD82" s="7">
        <f>IF(AC82="No","No",MAX(_xlfn.XLOOKUP(_xlfn.XLOOKUP(B82,'Base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E82" s="7" t="str">
        <f>IF(AC82="No","No",_xlfn.XLOOKUP(_xlfn.XLOOKUP(B82,'Base stats'!B:B,'Base stats'!E:E),Groups!A:A,Groups!AA:AA))</f>
        <v>Teeth</v>
      </c>
      <c r="AF82" s="7" t="str">
        <f>IF(AC82="No","No",_xlfn.XLOOKUP(_xlfn.XLOOKUP(B82,'Base stats'!B:B,'Base stats'!E:E),Groups!A:A,Groups!AB:AB))</f>
        <v>canines</v>
      </c>
      <c r="AG82" s="7" t="str">
        <f>IF(AC82="No","No",_xlfn.XLOOKUP(_xlfn.XLOOKUP(B82,'Base stats'!B:B,'Base stats'!E:E),Groups!A:A,Groups!AC:AC))</f>
        <v>Bite</v>
      </c>
      <c r="AH82" s="13">
        <f>IF(_xlfn.XLOOKUP(_xlfn.XLOOKUP(B82,'Base stats'!B:B,'Base stats'!E:E),Groups!A:A,Groups!AD:AD)=0,"No",MROUND((LOG10(_xlfn.XLOOKUP(B82,'Base stats'!B:B,'Base stats'!AP:AP))*(AN82^0.75)+(_xlfn.XLOOKUP(B82,'Base stats'!B:B,'Base stats'!AP:AP)/1000)^(2/3)+_xlfn.XLOOKUP(B82,'Base stats'!B:B,'Base stats'!AV:AV)+_xlfn.XLOOKUP(B82,'Base stats'!B:B,'Base stats'!AX:AX))+0.5,0.5))</f>
        <v>7</v>
      </c>
      <c r="AI82" s="7">
        <f>IF(AH82="No","No",MAX(_xlfn.XLOOKUP(_xlfn.XLOOKUP(B82,'Base stats'!B:B,'Base stats'!E:E),Groups!A:A,Groups!AE:AE),MROUND(_xlfn.XLOOKUP(_xlfn.XLOOKUP(B82,'Base stats'!B:B,'Base stats'!E:E),Groups!A:A,Groups!AE:AE)*_xlfn.XLOOKUP(B82,'Base stats'!B:B,'Base stats'!C:C)^0.165,0.05)))</f>
        <v>1.05</v>
      </c>
      <c r="AJ82" s="7" t="str">
        <f>IF(AH82="No","No",_xlfn.XLOOKUP(_xlfn.XLOOKUP(B82,'Base stats'!B:B,'Base stats'!E:E),Groups!A:A,Groups!AF:AF))</f>
        <v>FrontRightPaw, FrontRightPaw</v>
      </c>
      <c r="AK82" s="7" t="str">
        <f>IF(AH82="No","No",_xlfn.XLOOKUP(_xlfn.XLOOKUP(B82,'Base stats'!B:B,'Base stats'!E:E),Groups!A:A,Groups!AG:AG))</f>
        <v>left claw, right claw</v>
      </c>
      <c r="AL82" s="7" t="str">
        <f>IF(AH82="No","No",_xlfn.XLOOKUP(_xlfn.XLOOKUP(B82,'Base stats'!B:B,'Base stats'!E:E),Groups!A:A,Groups!AH:AH))</f>
        <v>Scratch</v>
      </c>
      <c r="AM82" s="2">
        <f t="shared" si="7"/>
        <v>20</v>
      </c>
      <c r="AN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O82" s="8">
        <f>MROUND(AN82*_xlfn.XLOOKUP(_xlfn.XLOOKUP(B82,'Base stats'!B:B,'Base stats'!E:E),Groups!A:A,Groups!AI:AI),0.05)</f>
        <v>0.65</v>
      </c>
      <c r="AP82" s="8">
        <f>MAX(0.01,MROUND(IF(CA82="True",0.196*(AN82*100*1000)^0.889,IF(_xlfn.XLOOKUP(_xlfn.XLOOKUP(B82,'Base stats'!B:B,'Base stats'!E:E),Groups!A:A,Groups!AJ:AJ)="Bird",10.5*(AN82*100*1000)^0.681,4.82*(AN82*100*1000)^0.734))/(4.82*(1*100*1000)^0.734)/IF(AN82&lt;3.5,2,IF(AN82=3.5,1.5,1.25))*(1+0.132282374779864/(AN82^0.994035016789033+0.00905238001496948)),0.05))</f>
        <v>0.4</v>
      </c>
      <c r="AQ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R82" s="35">
        <f>IFERROR(IF(_xlfn.XLOOKUP(B82,'Base stats'!B:B,'Base stats'!F:F)="Lay eggs","Lay eggs",MIN(20,MAX(5.5,ROUND(((_xlfn.XLOOKUP(B82,'Base stats'!B:B,'Base stats'!F:F)-25)*(14.5/615) + 5.5)*2,0)/2))),"Cannot breed")</f>
        <v>5.5</v>
      </c>
      <c r="AS82" s="8">
        <f>IF(OR(A82="Queen",A82="Larva",A82="Megachicken"),"No",IFERROR(MAX(IF(_xlfn.XLOOKUP(B82,'Base stats'!B:B,'Base stats'!G:G)&lt;0.5,0.2,0.3),MROUND(_xlfn.XLOOKUP(B82,'Base stats'!B:B,'Base stats'!G:G)/(365/60),0.2)),"Unknown"))</f>
        <v>0.4</v>
      </c>
      <c r="AT82" s="8">
        <f t="shared" si="8"/>
        <v>0.2</v>
      </c>
      <c r="AU82" s="8">
        <f>IFERROR(IFERROR(MROUND(_xlfn.XLOOKUP(B82,'Base stats'!B:B,'Base stats'!J:J),0.1),"Lay eggs"),"Cannot breed")</f>
        <v>3</v>
      </c>
      <c r="AV82" s="2" t="str">
        <f t="shared" si="9"/>
        <v>false</v>
      </c>
      <c r="AW82" s="2" t="str">
        <f>IF(_xlfn.XLOOKUP(_xlfn.XLOOKUP(Animals!B82,'Base stats'!B:B,'Base stats'!E:E),Groups!A:A,Groups!AK:AK)=1,"true","false")</f>
        <v>false</v>
      </c>
      <c r="AX82" s="25" t="str">
        <f>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</f>
        <v>CarnivoreAnimal, OvivoreAnimal</v>
      </c>
      <c r="AY82" s="2" t="str">
        <f>IF(_xlfn.XLOOKUP(_xlfn.XLOOKUP(B82,'Base stats'!B:B,'Base stats'!E:E),Groups!A:A,Groups!D:D)=1,MROUND((1-I82)*5+1,2)*IF(I82&lt;=0.4,2,1),"No")</f>
        <v>No</v>
      </c>
      <c r="AZ82" s="2" t="str">
        <f>_xlfn.XLOOKUP(B82,'Base stats'!B:B,'Base stats'!AE:AE)</f>
        <v>Leather_Light</v>
      </c>
      <c r="BA82" s="23" t="str">
        <f>_xlfn.XLOOKUP(_xlfn.XLOOKUP(B82,'Base stats'!B:B,'Base stats'!E:E),Groups!A:A,Groups!AL:AL)</f>
        <v>QuadrupedAnimalWithPawsAndTail</v>
      </c>
      <c r="BB82" s="23">
        <f>MROUND(IF(AND(AN82&lt;0.5,_xlfn.XLOOKUP(B82,'Base stats'!B:B,'Base stats'!Z:Z)=0),0,IF(OR(_xlfn.XLOOKUP(Animals!B82,'Base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stats'!AA:AA),0.005)</f>
        <v>0.1</v>
      </c>
      <c r="BC82" s="23">
        <f>MROUND(IF(AND(AN82&lt;0.5,_xlfn.XLOOKUP(B82,'Base stats'!B:B,'Base stats'!Z:Z)=0),0,IF(_xlfn.XLOOKUP(_xlfn.XLOOKUP(B82,'Base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stats'!AB:AB),0.005)</f>
        <v>0.3</v>
      </c>
      <c r="BD82" s="2" t="str">
        <f>IF(I82&gt;0.3,"No",_xlfn.XLOOKUP(_xlfn.XLOOKUP(Animals!B82,'Base stats'!B:B,'Base stats'!E:E),Groups!A:A,Groups!AP:AP))</f>
        <v>No</v>
      </c>
      <c r="BE82" s="2" t="str">
        <f>IF(AND(I82&lt;=0.65,_xlfn.XLOOKUP(_xlfn.XLOOKUP(Animals!B82,'Base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stats'!O:O)=2,0.2,AN82) + 24*(1-IF(BD82="No",0,BD82)) + 16/3, 12),"No")</f>
        <v>No</v>
      </c>
      <c r="BF82" s="2">
        <f>IF(AND(_xlfn.XLOOKUP(_xlfn.XLOOKUP(B82,'Base stats'!B:B,'Base stats'!E:E),Groups!A:A,Groups!AQ:AQ)=1,AN82&lt;=0.35),8,12)</f>
        <v>12</v>
      </c>
      <c r="BG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H82" s="2" t="str">
        <f>IF(AND(_xlfn.XLOOKUP(_xlfn.XLOOKUP(B82,'Base stats'!B:B,'Base stats'!E:E),Groups!A:A,Groups!AS:AS)=1,OR('Base stats'!Y82="Carnivore",'Base stats'!Y82="Omnivore")),"true","false")</f>
        <v>true</v>
      </c>
      <c r="BI82" s="2">
        <f>IF(BH82="true",MROUND(IF(AND(AN82&gt;0.5,_xlfn.XLOOKUP(_xlfn.XLOOKUP(B82,'Base stats'!B:B,'Base stats'!E:E),Groups!A:A,Groups!AJ:AJ)="Mammal"),Animals!AN82*1.75*IF(AV82="true",1.5,1),Animals!AN82),IF(AN82&gt;2,0.5,IF(AN82&gt;0.5,0.25,0.1))),"No")</f>
        <v>1</v>
      </c>
      <c r="BJ82" s="2">
        <f t="shared" si="10"/>
        <v>1</v>
      </c>
      <c r="BK82" s="25" t="str">
        <f>IF('Base stats'!AK82="Standard","No",MROUND((_xlfn.XLOOKUP(B82,'Base stats'!B:B,'Base stats'!AK:AK)/3.6)/H82,0.1))</f>
        <v>No</v>
      </c>
      <c r="BL82" s="25" t="str">
        <f t="shared" si="11"/>
        <v>false</v>
      </c>
      <c r="BM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N82" s="25" t="str" cm="1">
        <f t="array" ref="BN82">IF(
  _xlfn.TEXTJOIN(", ",TRUE,
    IF(AND(BH82="true",AN82&gt;0.5,BG82&lt;&gt;"None"),"AttackTarget",""),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IF(BE82&lt;=36,"Comfort",""),
    IF(_xlfn.XLOOKUP(B82,'Base stats'!B:B,'Base stats'!AC:AC)&lt;&gt;"No",_xlfn.XLOOKUP(B82,'Base stats'!B:B,'Base stats'!AC:AC),"")
  ) = "",
  "No",
  _xlfn.TEXTJOIN(", ",TRUE,
    IF(AND(BH82="true",AN82&gt;0.5,BG82&lt;&gt;"None"),"AttackTarget",""),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IF(BE82&lt;=36,"Comfort",""),
    IF(_xlfn.XLOOKUP(B82,'Base stats'!B:B,'Base stats'!AC:AC)&lt;&gt;"No",_xlfn.XLOOKUP(B82,'Base stats'!B:B,'Base stats'!AC:AC),"")
  )
)</f>
        <v>AttackTarget</v>
      </c>
      <c r="BO82" s="25" t="str">
        <f>IF(
   AND(
      'Base stats'!AK82="Standard",_xlfn.XLOOKUP(_xlfn.XLOOKUP(B82,'Base stats'!B:B,'Base stats'!E:E),Groups!A:A,Groups!AU:AU)=0,
      OR(
      BM82="True"
      )
   ),
   10,
   IF(
       OR(BK82&lt;&gt;"No",_xlfn.XLOOKUP(_xlfn.XLOOKUP(B82,'Base stats'!B:B,'Base stats'!E:E),Groups!A:A,Groups!AU:AU)=1),
      1,
      "No"
   )
)</f>
        <v>No</v>
      </c>
      <c r="BP82" s="9">
        <f>MROUND((1 + ((0.2*IF(OR(P82="No",Q82="No",Q82=0),0,P82/Q82)
+IF(OR(U82="No",R82="No",S82="No"),0,R82/S82*(LEN(U82)-LEN(SUBSTITUTE(U82,",",""))+1))
+IF(OR(W82="No",X82="No"),0,W82/X82)
+IF(OR(AC82="No",AD82="No"),0,AC82/AD82)
+IF(OR(AK82="No",AH82="No",AI82="No"),0,AH82/AI82*(LEN(AK82)-LEN(SUBSTITUTE(AK82,",",""))+1))
)/(0.2*IF(OR(P82="No",Q82="No",Q82=0),0,1)
+IF(OR(U82="No",R82="No",S82="No"),0,LEN(U82)-LEN(SUBSTITUTE(U82,",",""))+1)
+IF(OR(W82="No",X82="No"),0,1)
+IF(OR(AC82="No",AD82="No"),0,1)
+IF(OR(AK82="No",AH82="No",AI82="No"),0,LEN(AK82)-LEN(SUBSTITUTE(AK82,",",""))+1))*62%)* 2)*(1 + (AO82 + _xlfn.XLOOKUP(B82,'Base stats'!B:B,'Base stats'!AS:AS) * 1.8) * 2) * 2.5 + 10 + H82 * 2,5)+IF(_xlfn.XLOOKUP(B82,'Base stats'!B:B,'Base stats'!AH:AH)=1,50,0)</f>
        <v>70</v>
      </c>
      <c r="BQ82" s="8">
        <f t="shared" si="12"/>
        <v>0.45</v>
      </c>
      <c r="BR82" s="8" t="str">
        <f>_xlfn.XLOOKUP(B82,'Base stats'!B:B,'Base stats'!AD:AD)</f>
        <v>No</v>
      </c>
      <c r="BS82" s="2" t="str">
        <f>IF(AND(I82&lt;=0.95,OR(_xlfn.XLOOKUP(B82,'Base stats'!B:B,'Base stats'!AH:AH)=1,_xlfn.XLOOKUP(B82,'Base stats'!B:B,'Base stats'!Y:Y)="Carnivore",_xlfn.XLOOKUP(B82,'Base stats'!B:B,'Base stats'!Y:Y)="Omnivore",BC82&gt;0.1)),"true","false")</f>
        <v>true</v>
      </c>
      <c r="BT82" s="2" t="str">
        <f>IF(_xlfn.XLOOKUP(B82,'Base stats'!B:B,'Base stats'!AF:AF)=1,"true","false")</f>
        <v>false</v>
      </c>
      <c r="BU82" s="25" t="str">
        <f>IF(E82="BaseInsect","AnimalInsect",
IF(I82&gt;0.95,"AnimalExotic",
_xlfn.TEXTJOIN(", ",TRUE,
IF(AND(_xlfn.XLOOKUP(B82,'Base stats'!B:B,'Base stats'!O:O)=0,_xlfn.XLOOKUP(_xlfn.XLOOKUP(B82,'Base stats'!B:B,'Base stats'!E:E),Groups!A:A,Groups!B:B)&gt;0),"AnimalUncommon","AnimalCommon"),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stats'!AH:AH)=1,AND(BG82&lt;&gt;"None",BP82&gt;=60),ISNUMBER(SEARCH("Attack target",BN82))),"AnimalFighter","")
)))</f>
        <v>AnimalUncommon, AnimalFighter</v>
      </c>
      <c r="BV82" s="25" t="str">
        <f>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</f>
        <v>Tundra BorealForest ColdBog GlacialPlain</v>
      </c>
      <c r="BW82" s="25" t="str">
        <f>IF(_xlfn.XLOOKUP(B82,'Base stats'!B:B,'Base stats'!AG:AG)=1,"true","false")</f>
        <v>false</v>
      </c>
      <c r="BX82" s="25">
        <f>IF(_xlfn.XLOOKUP(B82,'Base stats'!B:B,'Base stats'!N:N)=1,"No",MIN(MROUND(IF(OR(_xlfn.XLOOKUP(B82,'Base stats'!B:B,'Base stats'!AJ:AJ)=1,AND(BH82="True",CA82="False")),POWER(10,3.47*LOG10(_xlfn.XLOOKUP(B82,'Base stats'!B:B,'Base stats'!C:C)*1000)^-0.96),POWER(10,4.15*LOG10(_xlfn.XLOOKUP(B82,'Base stats'!B:B,'Base stats'!C:C)*1000)^-0.73))*IF(OR(_xlfn.XLOOKUP(B82,'Base stats'!B:B,'Base stats'!AJ:AJ)=1,_xlfn.XLOOKUP(B82,'Base stats'!B:B,'Base stats'!AH:AH)=1),0.5,1)/100,0.025),1))</f>
        <v>7.5000000000000011E-2</v>
      </c>
      <c r="BY82" s="25" t="str">
        <f>IF(O82="Standard","No",IF(_xlfn.XLOOKUP(B82,'Base stats'!B:B,'Base stats'!N:N)=0,MROUND(BX82*O82,0.05),MIN(1,MAX(0.025,MROUND(IF(OR(CA82="true",AND(BH82="false",BM82="false")),POWER(10,4.15*LOG10(_xlfn.XLOOKUP(B82,'Base stats'!B:B,'Base stats'!C:C)*1000)^-0.73),POWER(10,3.47*LOG10(_xlfn.XLOOKUP(B82,'Base stats'!B:B,'Base stats'!C:C)*1000)^-0.96))*IF(_xlfn.XLOOKUP(B82,'Base stats'!B:B,'Base stats'!AH:AH)=1,0.5,1)/100,0.025)))))</f>
        <v>No</v>
      </c>
      <c r="BZ82" s="25" t="str">
        <f>IF(_xlfn.XLOOKUP(_xlfn.XLOOKUP(B82,'Base stats'!B:B,'Base stats'!E:E),Groups!A:A,Groups!AJ:AJ)="Mammal","True","False")</f>
        <v>True</v>
      </c>
      <c r="CA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B82" s="25" t="str">
        <f t="shared" si="13"/>
        <v>False</v>
      </c>
      <c r="CC82" s="25" t="str">
        <f>IF(_xlfn.XLOOKUP(_xlfn.XLOOKUP(B82,'Base stats'!B:B,'Base stats'!E:E),Groups!A:A,Groups!AW:AW),"True","False")</f>
        <v>False</v>
      </c>
      <c r="CD82" s="25" t="str">
        <f>IF(_xlfn.XLOOKUP(_xlfn.XLOOKUP(B82,'Base stats'!B:B,'Base stats'!E:E),Groups!A:A,Groups!AX:AX),"True","False")</f>
        <v>False</v>
      </c>
      <c r="CE82" s="25" t="str">
        <f>IF(_xlfn.XLOOKUP(B82,'Base stats'!B:B,'Base stats'!E:E)=1,"True","False")</f>
        <v>False</v>
      </c>
      <c r="CF82" s="25" t="str">
        <f>IF(
OR(
_xlfn.XLOOKUP(_xlfn.XLOOKUP(B82,'Base stats'!B:B,'Base stats'!E:E),Groups!A:A,Groups!AY:AY)=0,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stats'!E:E),Groups!A:A,Groups!AY:AY)=1,
"Flesh",
IF(
_xlfn.XLOOKUP(_xlfn.XLOOKUP(B82,'Base stats'!B:B,'Base stats'!E:E),Groups!A:A,Groups!AY:AY)=2,
"Bone",
""
)
)
)</f>
        <v>Bone</v>
      </c>
      <c r="CG82" s="25" t="str">
        <f>IF(_xlfn.XLOOKUP(_xlfn.XLOOKUP(B82,'Base stats'!B:B,'Base stats'!E:E),Groups!A:A,Groups!BA:BA),"True","False")</f>
        <v>True</v>
      </c>
      <c r="CH82" s="25" t="str">
        <f>IF(_xlfn.XLOOKUP(_xlfn.XLOOKUP(B82,'Base stats'!B:B,'Base stats'!E:E),Groups!A:A,Groups!AZ:AZ),"True","False")</f>
        <v>False</v>
      </c>
    </row>
    <row r="83" spans="1:86" ht="16.5" thickTop="1" thickBot="1" x14ac:dyDescent="0.3">
      <c r="A83" s="26" t="str">
        <f>_xlfn.XLOOKUP(B83,'Base stats'!B:B,'Base stats'!A:A)</f>
        <v>Mink</v>
      </c>
      <c r="B83" s="6" t="s">
        <v>290</v>
      </c>
      <c r="C83" s="28" t="s">
        <v>775</v>
      </c>
      <c r="D83" s="28" t="s">
        <v>882</v>
      </c>
      <c r="E83" s="28" t="s">
        <v>685</v>
      </c>
      <c r="F83" s="28" t="s">
        <v>685</v>
      </c>
      <c r="G83" s="2">
        <f>MROUND((
  (IF(AND(_xlfn.XLOOKUP(B83,'Base stats'!B:B,'Base stats'!AI:AI)=0,BG83="None",_xlfn.XLOOKUP('Base stats'!E83,Groups!A:A,Groups!B:B)=0), (18 + BP83 * 2.7) * 0.5,
    IF(AND(_xlfn.XLOOKUP(B83,'Base stats'!B:B,'Base stats'!AI:AI)=0,OR(AN83&lt;0.55,AND(BG83="Intermediate",_xlfn.XLOOKUP('Base stats'!E83,Groups!A:A,Groups!B:B)&lt;2))), (18 + BP83 * 2.7),
      IF(OR(BG83="Advanced",_xlfn.XLOOKUP(B83,'Base stats'!B:B,'Base stats'!AI:AI)=1,_xlfn.XLOOKUP('Base stats'!E83,Groups!A:A,Groups!B:B)=2), (18 + BP83 * 2.7) + 250, (18 + BP83 * 2.7))
    )
  ))
  + AN83 * 80
  + IF(COUNTIF(EggMilk!K$2:K$998, A83) &gt; 0, 125, 0)
  + IF(COUNTIF(EggMilk!P$2:P$998, A83) &gt; 0, 90, 0)
  + IF(COUNTIF(EggMilk!A$2:A$998, A83) &gt; 0, 90, 0)
)
* (0.8 + 0.4 * I83)
* 0.75,25)</f>
        <v>75</v>
      </c>
      <c r="H83" s="2">
        <f>MROUND(ROUNDDOWN(_xlfn.XLOOKUP(B83,'Base stats'!B:B,'Base stats'!L:L)/3.6/(23.3/11),1),0.5)</f>
        <v>2.5</v>
      </c>
      <c r="I83" s="2">
        <f>IF(_xlfn.XLOOKUP(B83,'Base stats'!B:B,'Base stats'!AI:AI)=1,0.99,MIN(MROUND((1-0.6282*EXP(-0.459*AN83))*_xlfn.XLOOKUP(_xlfn.XLOOKUP(B83,'Base stats'!B:B,'Base stats'!E:E),Groups!A:A,Groups!C:C)*IF(_xlfn.XLOOKUP(B83,'Base stats'!B:B,'Base stats'!O:O)=1,0.5,IF(_xlfn.XLOOKUP(B83,'Base stats'!B:B,'Base stats'!O:O)=2,0,1)),0.05),0.985))</f>
        <v>0.60000000000000009</v>
      </c>
      <c r="J83" s="2">
        <f>ROUNDUP(AN83*_xlfn.XLOOKUP(_xlfn.XLOOKUP(B83,'Base stats'!B:B,'Base stats'!E:E),Groups!A:A,Groups!E:E),0)</f>
        <v>1</v>
      </c>
      <c r="K83" s="2">
        <f>IF(OR(_xlfn.XLOOKUP(_xlfn.XLOOKUP(B83,'Base stats'!B:B,'Base stats'!E:E),Groups!A:A,Groups!F:F)=2,ISNUMBER(SEARCH("SeaIce",BV83)),ISNUMBER(SEARCH("IceSheet",BV83))),-50,IF(OR(ISNUMBER(SEARCH("GlacialPlain",BV83)),ISNUMBER(SEARCH("Tundra",BV83))),-40,IF(OR(ISNUMBER(SEARCH("Alpine",BV83)),ISNUMBER(SEARCH("BorealForest",BV83)),ISNUMBER(SEARCH("ColdBog",BV83))),-30,IF(OR(ISNUMBER(SEARCH("TemperateForest",BV83)),ISNUMBER(SEARCH("TemperateSwamp",BV83))),-20,IF(_xlfn.XLOOKUP(_xlfn.XLOOKUP(B83,'Base stats'!B:B,'Base stats'!E:E),Groups!A:A,Groups!F:F)=1,-15,IF(OR(ISNUMBER(SEARCH("Desert",BV83)),ISNUMBER(SEARCH("ExtremeDesert",BV83))),-10,IF(OR(ISNUMBER(SEARCH("Grasslands",BV83)),ISNUMBER(SEARCH("TropicalRainforest",BV83)),ISNUMBER(SEARCH("TropicalSwamp",BV83))),10,0)))))))-IF(CA83="False",MIN(IFERROR(MAX(MROUND(LOG10(_xlfn.XLOOKUP(B83,'Base stats'!B:B,'Base stats'!C:C)^(2/3))*10,5),5),5),30))-_xlfn.XLOOKUP(B83,'Base stats'!B:B,'Base stats'!P:P)+IF(CA83="True",5,0)</f>
        <v>-45</v>
      </c>
      <c r="L83" s="2">
        <f>IF(OR(_xlfn.XLOOKUP(_xlfn.XLOOKUP(B83,'Base stats'!B:B,'Base stats'!E:E),Groups!A:A,Groups!G:G)=2,ISNUMBER(SEARCH("Desert",BV83)),ISNUMBER(SEARCH("ExtremeDesert",BV83)),ISNUMBER(SEARCH("LavaField",BV83))),50,IF(ISNUMBER(SEARCH("Grasslands",BV83)),45,IF(OR(_xlfn.XLOOKUP(_xlfn.XLOOKUP(B83,'Base stats'!B:B,'Base stats'!E:E),Groups!A:A,Groups!G:G)=1,ISNUMBER(SEARCH("TropicalRainforest",BV83)),ISNUMBER(SEARCH("TropicalSwamp",BV83))),40,IF(OR(ISNUMBER(SEARCH("TemperateForest",BV83)),ISNUMBER(SEARCH("TemperateSwamp",BV83))),35,IF(OR(ISNUMBER(SEARCH("Alpine",BV83)),ISNUMBER(SEARCH("BorealForest",BV83)),ISNUMBER(SEARCH("ColdBog",BV83))),30,IF(ISNUMBER(OR(ISNUMBER(SEARCH("GlacialPlain",BV83)),SEARCH("Tundra",BV83))),25,IF(OR(ISNUMBER(SEARCH("SeaIce",BV83)),ISNUMBER(SEARCH("IceSheet",BV83)),ISNUMBER(SEARCH("TropicalSwamp",BV83))),10,35)))))))+_xlfn.XLOOKUP(B83,'Base stats'!B:B,'Base stats'!Q:Q)</f>
        <v>35</v>
      </c>
      <c r="M83" s="8" t="str">
        <f>IF(_xlfn.XLOOKUP(_xlfn.XLOOKUP(B83,'Base stats'!B:B,'Base stats'!E:E),Groups!A:A,Groups!L:L)=1,MIN(MROUND(_xlfn.XLOOKUP(B83,'Animals CE'!B:B,'Animals CE'!Z:Z)/2+0.05,0.05),200%),"No")</f>
        <v>No</v>
      </c>
      <c r="N83" s="8" t="str">
        <f>IF(_xlfn.XLOOKUP(_xlfn.XLOOKUP(B83,'Base stats'!B:B,'Base stats'!E:E),Groups!A:A,Groups!L:L)=1,MIN(MROUND(_xlfn.XLOOKUP(B83,'Animals CE'!B:B,'Animals CE'!AA:AA)/2+0.05,0.05),200%),"No")</f>
        <v>No</v>
      </c>
      <c r="O83" s="2" t="str">
        <f>_xlfn.XLOOKUP(B83,'Base stats'!B:B,'Base stats'!R:R)</f>
        <v>Standard</v>
      </c>
      <c r="P83" s="13">
        <f>MROUND((LOG10(_xlfn.XLOOKUP(B83,'Base stats'!B:B,'Base stats'!AO:AO))*(AN83^0.5)+(_xlfn.XLOOKUP(B83,'Base stats'!B:B,'Base stats'!AO:AO)/1000)^(2/3)+_xlfn.XLOOKUP(B83,'Base stats'!B:B,'Base stats'!AX:AX)/2)+0.5,0.5)</f>
        <v>1.5</v>
      </c>
      <c r="Q83" s="7">
        <f>IF(P83="No","No",MAX(1,MROUND(_xlfn.XLOOKUP(B83,'Base stats'!B:B,'Base stats'!C:C)^0.165,0.05)))</f>
        <v>1</v>
      </c>
      <c r="R83" s="13" t="str">
        <f>IF(_xlfn.XLOOKUP(_xlfn.XLOOKUP(B83,'Base stats'!B:B,'Base stats'!E:E),Groups!A:A,Groups!P:P)=0,"No",MROUND((LOG10(_xlfn.XLOOKUP(B83,'Base stats'!B:B,'Base stats'!AP:AP))*(AN83^0.5)+(_xlfn.XLOOKUP(B83,'Base stats'!B:B,'Base stats'!AP:AP)/1000)^(2/3)+_xlfn.XLOOKUP(B83,'Base stats'!B:B,'Base stats'!AX:AX))+_xlfn.XLOOKUP(B83,'Base stats'!B:B,'Base stats'!AV:AV)+0.5,0.5))</f>
        <v>No</v>
      </c>
      <c r="S83" s="7" t="str">
        <f>IF(R83="No","No",MAX(_xlfn.XLOOKUP(_xlfn.XLOOKUP(B83,'Base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T83" s="7" t="str">
        <f>IF(R83="No","No",_xlfn.XLOOKUP(_xlfn.XLOOKUP(B83,'Base stats'!B:B,'Base stats'!E:E),Groups!A:A,Groups!R:R))</f>
        <v>No</v>
      </c>
      <c r="U83" s="7" t="str">
        <f>IF(R83="No","No",_xlfn.XLOOKUP(_xlfn.XLOOKUP(B83,'Base stats'!B:B,'Base stats'!E:E),Groups!A:A,Groups!S:S))</f>
        <v>No</v>
      </c>
      <c r="V83" s="7" t="str">
        <f>IF(R83="No","No",_xlfn.XLOOKUP(_xlfn.XLOOKUP(B83,'Base stats'!B:B,'Base stats'!E:E),Groups!A:A,Groups!T:T))</f>
        <v>No</v>
      </c>
      <c r="W83" s="13" t="str">
        <f>IF(_xlfn.XLOOKUP(B83,'Base stats'!B:B,'Base stats'!W:W)="No","No",MROUND((LOG10(_xlfn.XLOOKUP(B83,'Base stats'!B:B,'Base stats'!AR:AR))*(AN83^0.5)+(_xlfn.XLOOKUP(B83,'Base stats'!B:B,'Base stats'!AR:AR)/1000)^(2/3)+_xlfn.XLOOKUP(B83,'Base stats'!B:B,'Base stats'!AW:AW))+0.5+IF(_xlfn.XLOOKUP(_xlfn.XLOOKUP(B83,'Base stats'!B:B,'Base stats'!E:E),Groups!A:A,Groups!U:U)&lt;&gt;3,_xlfn.XLOOKUP(B83,'Base stats'!B:B,'Base stats'!AX:AX),0),0.5))</f>
        <v>No</v>
      </c>
      <c r="X83" s="7" t="str">
        <f>IF(W83="No","No",MAX(_xlfn.XLOOKUP(_xlfn.XLOOKUP(B83,'Base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Y83" s="7" t="str">
        <f>IF(W83="No","No",_xlfn.XLOOKUP(_xlfn.XLOOKUP(B83,'Base stats'!B:B,'Base stats'!E:E),Groups!A:A,Groups!W:W))</f>
        <v>No</v>
      </c>
      <c r="Z83" s="7" t="str">
        <f>IF(W83="No","No",_xlfn.XLOOKUP(_xlfn.XLOOKUP(B83,'Base stats'!B:B,'Base stats'!E:E),Groups!A:A,Groups!X:X))</f>
        <v>No</v>
      </c>
      <c r="AA83" s="7" t="str">
        <f>IF(W83="No","No",_xlfn.XLOOKUP(_xlfn.XLOOKUP(B83,'Base stats'!B:B,'Base stats'!E:E),Groups!A:A,Groups!Y:Y))</f>
        <v>No</v>
      </c>
      <c r="AB83" s="7" t="str">
        <f>_xlfn.XLOOKUP(Animals!B83,'Base stats'!B:B,'Base stats'!X:X)</f>
        <v>False</v>
      </c>
      <c r="AC83" s="13">
        <f>IF(_xlfn.XLOOKUP(B83,'Base stats'!B:B,'Base stats'!AQ:AQ)="No","No",MROUND((LOG10(_xlfn.XLOOKUP(B83,'Base stats'!B:B,'Base stats'!AQ:AQ))*(AN83^0.75)+(_xlfn.XLOOKUP(B83,'Base stats'!B:B,'Base stats'!AQ:AQ)/1000)^(2/3)+_xlfn.XLOOKUP(B83,'Base stats'!B:B,'Base stats'!AU:AU)+_xlfn.XLOOKUP(B83,'Base stats'!B:B,'Base stats'!AX:AX))+0.5,0.5))</f>
        <v>1.5</v>
      </c>
      <c r="AD83" s="7">
        <f>IF(AC83="No","No",MAX(_xlfn.XLOOKUP(_xlfn.XLOOKUP(B83,'Base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E83" s="7" t="str">
        <f>IF(AC83="No","No",_xlfn.XLOOKUP(_xlfn.XLOOKUP(B83,'Base stats'!B:B,'Base stats'!E:E),Groups!A:A,Groups!AA:AA))</f>
        <v>Teeth</v>
      </c>
      <c r="AF83" s="7" t="str">
        <f>IF(AC83="No","No",_xlfn.XLOOKUP(_xlfn.XLOOKUP(B83,'Base stats'!B:B,'Base stats'!E:E),Groups!A:A,Groups!AB:AB))</f>
        <v>canines</v>
      </c>
      <c r="AG83" s="7" t="str">
        <f>IF(AC83="No","No",_xlfn.XLOOKUP(_xlfn.XLOOKUP(B83,'Base stats'!B:B,'Base stats'!E:E),Groups!A:A,Groups!AC:AC))</f>
        <v>Bite</v>
      </c>
      <c r="AH83" s="13">
        <f>IF(_xlfn.XLOOKUP(_xlfn.XLOOKUP(B83,'Base stats'!B:B,'Base stats'!E:E),Groups!A:A,Groups!AD:AD)=0,"No",MROUND((LOG10(_xlfn.XLOOKUP(B83,'Base stats'!B:B,'Base stats'!AP:AP))*(AN83^0.75)+(_xlfn.XLOOKUP(B83,'Base stats'!B:B,'Base stats'!AP:AP)/1000)^(2/3)+_xlfn.XLOOKUP(B83,'Base stats'!B:B,'Base stats'!AV:AV)+_xlfn.XLOOKUP(B83,'Base stats'!B:B,'Base stats'!AX:AX))+0.5,0.5))</f>
        <v>1.5</v>
      </c>
      <c r="AI83" s="7">
        <f>IF(AH83="No","No",MAX(_xlfn.XLOOKUP(_xlfn.XLOOKUP(B83,'Base stats'!B:B,'Base stats'!E:E),Groups!A:A,Groups!AE:AE),MROUND(_xlfn.XLOOKUP(_xlfn.XLOOKUP(B83,'Base stats'!B:B,'Base stats'!E:E),Groups!A:A,Groups!AE:AE)*_xlfn.XLOOKUP(B83,'Base stats'!B:B,'Base stats'!C:C)^0.165,0.05)))</f>
        <v>0.65</v>
      </c>
      <c r="AJ83" s="7" t="str">
        <f>IF(AH83="No","No",_xlfn.XLOOKUP(_xlfn.XLOOKUP(B83,'Base stats'!B:B,'Base stats'!E:E),Groups!A:A,Groups!AF:AF))</f>
        <v>FrontRightPaw, FrontRightPaw</v>
      </c>
      <c r="AK83" s="7" t="str">
        <f>IF(AH83="No","No",_xlfn.XLOOKUP(_xlfn.XLOOKUP(B83,'Base stats'!B:B,'Base stats'!E:E),Groups!A:A,Groups!AG:AG))</f>
        <v>left claw, right claw</v>
      </c>
      <c r="AL83" s="7" t="str">
        <f>IF(AH83="No","No",_xlfn.XLOOKUP(_xlfn.XLOOKUP(B83,'Base stats'!B:B,'Base stats'!E:E),Groups!A:A,Groups!AH:AH))</f>
        <v>Scratch</v>
      </c>
      <c r="AM83" s="2">
        <f t="shared" si="7"/>
        <v>15</v>
      </c>
      <c r="AN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O83" s="8">
        <f>MROUND(AN83*_xlfn.XLOOKUP(_xlfn.XLOOKUP(B83,'Base stats'!B:B,'Base stats'!E:E),Groups!A:A,Groups!AI:AI),0.05)</f>
        <v>0.2</v>
      </c>
      <c r="AP83" s="8">
        <f>MAX(0.01,MROUND(IF(CA83="True",0.196*(AN83*100*1000)^0.889,IF(_xlfn.XLOOKUP(_xlfn.XLOOKUP(B83,'Base stats'!B:B,'Base stats'!E:E),Groups!A:A,Groups!AJ:AJ)="Bird",10.5*(AN83*100*1000)^0.681,4.82*(AN83*100*1000)^0.734))/(4.82*(1*100*1000)^0.734)/IF(AN83&lt;3.5,2,IF(AN83=3.5,1.5,1.25))*(1+0.132282374779864/(AN83^0.994035016789033+0.00905238001496948)),0.05))</f>
        <v>0.25</v>
      </c>
      <c r="AQ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R83" s="35">
        <f>IFERROR(IF(_xlfn.XLOOKUP(B83,'Base stats'!B:B,'Base stats'!F:F)="Lay eggs","Lay eggs",MIN(20,MAX(5.5,ROUND(((_xlfn.XLOOKUP(B83,'Base stats'!B:B,'Base stats'!F:F)-25)*(14.5/615) + 5.5)*2,0)/2))),"Cannot breed")</f>
        <v>6</v>
      </c>
      <c r="AS83" s="8">
        <f>IF(OR(A83="Queen",A83="Larva",A83="Megachicken"),"No",IFERROR(MAX(IF(_xlfn.XLOOKUP(B83,'Base stats'!B:B,'Base stats'!G:G)&lt;0.5,0.2,0.3),MROUND(_xlfn.XLOOKUP(B83,'Base stats'!B:B,'Base stats'!G:G)/(365/60),0.2)),"Unknown"))</f>
        <v>0.3</v>
      </c>
      <c r="AT83" s="8">
        <f t="shared" si="8"/>
        <v>0.15000000000000002</v>
      </c>
      <c r="AU83" s="8">
        <f>IFERROR(IFERROR(MROUND(_xlfn.XLOOKUP(B83,'Base stats'!B:B,'Base stats'!J:J),0.1),"Lay eggs"),"Cannot breed")</f>
        <v>4.5</v>
      </c>
      <c r="AV83" s="2" t="str">
        <f t="shared" si="9"/>
        <v>false</v>
      </c>
      <c r="AW83" s="2" t="str">
        <f>IF(_xlfn.XLOOKUP(_xlfn.XLOOKUP(Animals!B83,'Base stats'!B:B,'Base stats'!E:E),Groups!A:A,Groups!AK:AK)=1,"true","false")</f>
        <v>false</v>
      </c>
      <c r="AX83" s="25" t="str">
        <f>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</f>
        <v>CarnivoreAnimal, OvivoreAnimal</v>
      </c>
      <c r="AY83" s="2" t="str">
        <f>IF(_xlfn.XLOOKUP(_xlfn.XLOOKUP(B83,'Base stats'!B:B,'Base stats'!E:E),Groups!A:A,Groups!D:D)=1,MROUND((1-I83)*5+1,2)*IF(I83&lt;=0.4,2,1),"No")</f>
        <v>No</v>
      </c>
      <c r="AZ83" s="2" t="str">
        <f>_xlfn.XLOOKUP(B83,'Base stats'!B:B,'Base stats'!AE:AE)</f>
        <v>Leather_Mink</v>
      </c>
      <c r="BA83" s="23" t="str">
        <f>_xlfn.XLOOKUP(_xlfn.XLOOKUP(B83,'Base stats'!B:B,'Base stats'!E:E),Groups!A:A,Groups!AL:AL)</f>
        <v>QuadrupedAnimalWithPawsAndTail</v>
      </c>
      <c r="BB83" s="23">
        <f>MROUND(IF(AND(AN83&lt;0.5,_xlfn.XLOOKUP(B83,'Base stats'!B:B,'Base stats'!Z:Z)=0),0,IF(OR(_xlfn.XLOOKUP(Animals!B83,'Base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stats'!AA:AA),0.005)</f>
        <v>0</v>
      </c>
      <c r="BC83" s="23">
        <f>MROUND(IF(AND(AN83&lt;0.5,_xlfn.XLOOKUP(B83,'Base stats'!B:B,'Base stats'!Z:Z)=0),0,IF(_xlfn.XLOOKUP(_xlfn.XLOOKUP(B83,'Base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stats'!AB:AB),0.005)</f>
        <v>0</v>
      </c>
      <c r="BD83" s="2" t="str">
        <f>IF(I83&gt;0.3,"No",_xlfn.XLOOKUP(_xlfn.XLOOKUP(Animals!B83,'Base stats'!B:B,'Base stats'!E:E),Groups!A:A,Groups!AP:AP))</f>
        <v>No</v>
      </c>
      <c r="BE83" s="2">
        <f>IF(AND(I83&lt;=0.65,_xlfn.XLOOKUP(_xlfn.XLOOKUP(Animals!B83,'Base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stats'!O:O)=2,0.2,AN83) + 24*(1-IF(BD83="No",0,BD83)) + 16/3, 12),"No")</f>
        <v>36</v>
      </c>
      <c r="BF83" s="2">
        <f>IF(AND(_xlfn.XLOOKUP(_xlfn.XLOOKUP(B83,'Base stats'!B:B,'Base stats'!E:E),Groups!A:A,Groups!AQ:AQ)=1,AN83&lt;=0.35),8,12)</f>
        <v>12</v>
      </c>
      <c r="BG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H83" s="2" t="str">
        <f>IF(AND(_xlfn.XLOOKUP(_xlfn.XLOOKUP(B83,'Base stats'!B:B,'Base stats'!E:E),Groups!A:A,Groups!AS:AS)=1,OR('Base stats'!Y83="Carnivore",'Base stats'!Y83="Omnivore")),"true","false")</f>
        <v>true</v>
      </c>
      <c r="BI83" s="2">
        <f>IF(BH83="true",MROUND(IF(AND(AN83&gt;0.5,_xlfn.XLOOKUP(_xlfn.XLOOKUP(B83,'Base stats'!B:B,'Base stats'!E:E),Groups!A:A,Groups!AJ:AJ)="Mammal"),Animals!AN83*1.75*IF(AV83="true",1.5,1),Animals!AN83),IF(AN83&gt;2,0.5,IF(AN83&gt;0.5,0.25,0.1))),"No")</f>
        <v>0.2</v>
      </c>
      <c r="BJ83" s="2">
        <f t="shared" si="10"/>
        <v>1</v>
      </c>
      <c r="BK83" s="25" t="str">
        <f>IF('Base stats'!AK83="Standard","No",MROUND((_xlfn.XLOOKUP(B83,'Base stats'!B:B,'Base stats'!AK:AK)/3.6)/H83,0.1))</f>
        <v>No</v>
      </c>
      <c r="BL83" s="25" t="str">
        <f t="shared" si="11"/>
        <v>false</v>
      </c>
      <c r="BM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N83" s="25" t="str" cm="1">
        <f t="array" ref="BN83">IF(
  _xlfn.TEXTJOIN(", ",TRUE,
    IF(AND(BH83="true",AN83&gt;0.5,BG83&lt;&gt;"None"),"AttackTarget",""),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IF(BE83&lt;=36,"Comfort",""),
    IF(_xlfn.XLOOKUP(B83,'Base stats'!B:B,'Base stats'!AC:AC)&lt;&gt;"No",_xlfn.XLOOKUP(B83,'Base stats'!B:B,'Base stats'!AC:AC),"")
  ) = "",
  "No",
  _xlfn.TEXTJOIN(", ",TRUE,
    IF(AND(BH83="true",AN83&gt;0.5,BG83&lt;&gt;"None"),"AttackTarget",""),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IF(BE83&lt;=36,"Comfort",""),
    IF(_xlfn.XLOOKUP(B83,'Base stats'!B:B,'Base stats'!AC:AC)&lt;&gt;"No",_xlfn.XLOOKUP(B83,'Base stats'!B:B,'Base stats'!AC:AC),"")
  )
)</f>
        <v>Comfort</v>
      </c>
      <c r="BO83" s="25">
        <f>IF(
   AND(
      'Base stats'!AK83="Standard",_xlfn.XLOOKUP(_xlfn.XLOOKUP(B83,'Base stats'!B:B,'Base stats'!E:E),Groups!A:A,Groups!AU:AU)=0,
      OR(
      BM83="True"
      )
   ),
   10,
   IF(
       OR(BK83&lt;&gt;"No",_xlfn.XLOOKUP(_xlfn.XLOOKUP(B83,'Base stats'!B:B,'Base stats'!E:E),Groups!A:A,Groups!AU:AU)=1),
      1,
      "No"
   )
)</f>
        <v>10</v>
      </c>
      <c r="BP83" s="9">
        <f>MROUND((1 + ((0.2*IF(OR(P83="No",Q83="No",Q83=0),0,P83/Q83)
+IF(OR(U83="No",R83="No",S83="No"),0,R83/S83*(LEN(U83)-LEN(SUBSTITUTE(U83,",",""))+1))
+IF(OR(W83="No",X83="No"),0,W83/X83)
+IF(OR(AC83="No",AD83="No"),0,AC83/AD83)
+IF(OR(AK83="No",AH83="No",AI83="No"),0,AH83/AI83*(LEN(AK83)-LEN(SUBSTITUTE(AK83,",",""))+1))
)/(0.2*IF(OR(P83="No",Q83="No",Q83=0),0,1)
+IF(OR(U83="No",R83="No",S83="No"),0,LEN(U83)-LEN(SUBSTITUTE(U83,",",""))+1)
+IF(OR(W83="No",X83="No"),0,1)
+IF(OR(AC83="No",AD83="No"),0,1)
+IF(OR(AK83="No",AH83="No",AI83="No"),0,LEN(AK83)-LEN(SUBSTITUTE(AK83,",",""))+1))*62%)* 2)*(1 + (AO83 + _xlfn.XLOOKUP(B83,'Base stats'!B:B,'Base stats'!AS:AS) * 1.8) * 2) * 2.5 + 10 + H83 * 2,5)+IF(_xlfn.XLOOKUP(B83,'Base stats'!B:B,'Base stats'!AH:AH)=1,50,0)</f>
        <v>30</v>
      </c>
      <c r="BQ83" s="8">
        <f t="shared" si="12"/>
        <v>0.25</v>
      </c>
      <c r="BR83" s="8" t="str">
        <f>_xlfn.XLOOKUP(B83,'Base stats'!B:B,'Base stats'!AD:AD)</f>
        <v>No</v>
      </c>
      <c r="BS83" s="2" t="str">
        <f>IF(AND(I83&lt;=0.95,OR(_xlfn.XLOOKUP(B83,'Base stats'!B:B,'Base stats'!AH:AH)=1,_xlfn.XLOOKUP(B83,'Base stats'!B:B,'Base stats'!Y:Y)="Carnivore",_xlfn.XLOOKUP(B83,'Base stats'!B:B,'Base stats'!Y:Y)="Omnivore",BC83&gt;0.1)),"true","false")</f>
        <v>true</v>
      </c>
      <c r="BT83" s="2" t="str">
        <f>IF(_xlfn.XLOOKUP(B83,'Base stats'!B:B,'Base stats'!AF:AF)=1,"true","false")</f>
        <v>false</v>
      </c>
      <c r="BU83" s="25" t="str">
        <f>IF(E83="BaseInsect","AnimalInsect",
IF(I83&gt;0.95,"AnimalExotic",
_xlfn.TEXTJOIN(", ",TRUE,
IF(AND(_xlfn.XLOOKUP(B83,'Base stats'!B:B,'Base stats'!O:O)=0,_xlfn.XLOOKUP(_xlfn.XLOOKUP(B83,'Base stats'!B:B,'Base stats'!E:E),Groups!A:A,Groups!B:B)&gt;0),"AnimalUncommon","AnimalCommon"),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stats'!AH:AH)=1,AND(BG83&lt;&gt;"None",BP83&gt;=60),ISNUMBER(SEARCH("Attack target",BN83))),"AnimalFighter","")
)))</f>
        <v>AnimalUncommon</v>
      </c>
      <c r="BV83" s="25" t="str">
        <f>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</f>
        <v>BorealForest ColdBog TemperateForest TemperateSwamp GlacialPlain</v>
      </c>
      <c r="BW83" s="25" t="str">
        <f>IF(_xlfn.XLOOKUP(B83,'Base stats'!B:B,'Base stats'!AG:AG)=1,"true","false")</f>
        <v>false</v>
      </c>
      <c r="BX83" s="25">
        <f>IF(_xlfn.XLOOKUP(B83,'Base stats'!B:B,'Base stats'!N:N)=1,"No",MIN(MROUND(IF(OR(_xlfn.XLOOKUP(B83,'Base stats'!B:B,'Base stats'!AJ:AJ)=1,AND(BH83="True",CA83="False")),POWER(10,3.47*LOG10(_xlfn.XLOOKUP(B83,'Base stats'!B:B,'Base stats'!C:C)*1000)^-0.96),POWER(10,4.15*LOG10(_xlfn.XLOOKUP(B83,'Base stats'!B:B,'Base stats'!C:C)*1000)^-0.73))*IF(OR(_xlfn.XLOOKUP(B83,'Base stats'!B:B,'Base stats'!AJ:AJ)=1,_xlfn.XLOOKUP(B83,'Base stats'!B:B,'Base stats'!AH:AH)=1),0.5,1)/100,0.025),1))</f>
        <v>0.17500000000000002</v>
      </c>
      <c r="BY83" s="25" t="str">
        <f>IF(O83="Standard","No",IF(_xlfn.XLOOKUP(B83,'Base stats'!B:B,'Base stats'!N:N)=0,MROUND(BX83*O83,0.05),MIN(1,MAX(0.025,MROUND(IF(OR(CA83="true",AND(BH83="false",BM83="false")),POWER(10,4.15*LOG10(_xlfn.XLOOKUP(B83,'Base stats'!B:B,'Base stats'!C:C)*1000)^-0.73),POWER(10,3.47*LOG10(_xlfn.XLOOKUP(B83,'Base stats'!B:B,'Base stats'!C:C)*1000)^-0.96))*IF(_xlfn.XLOOKUP(B83,'Base stats'!B:B,'Base stats'!AH:AH)=1,0.5,1)/100,0.025)))))</f>
        <v>No</v>
      </c>
      <c r="BZ83" s="25" t="str">
        <f>IF(_xlfn.XLOOKUP(_xlfn.XLOOKUP(B83,'Base stats'!B:B,'Base stats'!E:E),Groups!A:A,Groups!AJ:AJ)="Mammal","True","False")</f>
        <v>True</v>
      </c>
      <c r="CA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B83" s="25" t="str">
        <f t="shared" si="13"/>
        <v>False</v>
      </c>
      <c r="CC83" s="25" t="str">
        <f>IF(_xlfn.XLOOKUP(_xlfn.XLOOKUP(B83,'Base stats'!B:B,'Base stats'!E:E),Groups!A:A,Groups!AW:AW),"True","False")</f>
        <v>False</v>
      </c>
      <c r="CD83" s="25" t="str">
        <f>IF(_xlfn.XLOOKUP(_xlfn.XLOOKUP(B83,'Base stats'!B:B,'Base stats'!E:E),Groups!A:A,Groups!AX:AX),"True","False")</f>
        <v>False</v>
      </c>
      <c r="CE83" s="25" t="str">
        <f>IF(_xlfn.XLOOKUP(B83,'Base stats'!B:B,'Base stats'!E:E)=1,"True","False")</f>
        <v>False</v>
      </c>
      <c r="CF83" s="25" t="str">
        <f>IF(
OR(
_xlfn.XLOOKUP(_xlfn.XLOOKUP(B83,'Base stats'!B:B,'Base stats'!E:E),Groups!A:A,Groups!AY:AY)=0,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stats'!E:E),Groups!A:A,Groups!AY:AY)=1,
"Flesh",
IF(
_xlfn.XLOOKUP(_xlfn.XLOOKUP(B83,'Base stats'!B:B,'Base stats'!E:E),Groups!A:A,Groups!AY:AY)=2,
"Bone",
""
)
)
)</f>
        <v>No</v>
      </c>
      <c r="CG83" s="25" t="str">
        <f>IF(_xlfn.XLOOKUP(_xlfn.XLOOKUP(B83,'Base stats'!B:B,'Base stats'!E:E),Groups!A:A,Groups!BA:BA),"True","False")</f>
        <v>True</v>
      </c>
      <c r="CH83" s="25" t="str">
        <f>IF(_xlfn.XLOOKUP(_xlfn.XLOOKUP(B83,'Base stats'!B:B,'Base stats'!E:E),Groups!A:A,Groups!AZ:AZ),"True","False")</f>
        <v>False</v>
      </c>
    </row>
    <row r="84" spans="1:86" ht="16.5" thickTop="1" thickBot="1" x14ac:dyDescent="0.3">
      <c r="A84" s="26" t="str">
        <f>_xlfn.XLOOKUP(B84,'Base stats'!B:B,'Base stats'!A:A)</f>
        <v>Badger</v>
      </c>
      <c r="B84" s="6" t="s">
        <v>106</v>
      </c>
      <c r="C84" s="28" t="s">
        <v>776</v>
      </c>
      <c r="D84" s="28" t="s">
        <v>882</v>
      </c>
      <c r="E84" s="28" t="s">
        <v>685</v>
      </c>
      <c r="F84" s="28" t="s">
        <v>685</v>
      </c>
      <c r="G84" s="2">
        <f>MROUND((
  (IF(AND(_xlfn.XLOOKUP(B84,'Base stats'!B:B,'Base stats'!AI:AI)=0,BG84="None",_xlfn.XLOOKUP('Base stats'!E84,Groups!A:A,Groups!B:B)=0), (18 + BP84 * 2.7) * 0.5,
    IF(AND(_xlfn.XLOOKUP(B84,'Base stats'!B:B,'Base stats'!AI:AI)=0,OR(AN84&lt;0.55,AND(BG84="Intermediate",_xlfn.XLOOKUP('Base stats'!E84,Groups!A:A,Groups!B:B)&lt;2))), (18 + BP84 * 2.7),
      IF(OR(BG84="Advanced",_xlfn.XLOOKUP(B84,'Base stats'!B:B,'Base stats'!AI:AI)=1,_xlfn.XLOOKUP('Base stats'!E84,Groups!A:A,Groups!B:B)=2), (18 + BP84 * 2.7) + 250, (18 + BP84 * 2.7))
    )
  ))
  + AN84 * 80
  + IF(COUNTIF(EggMilk!K$2:K$998, A84) &gt; 0, 125, 0)
  + IF(COUNTIF(EggMilk!P$2:P$998, A84) &gt; 0, 90, 0)
  + IF(COUNTIF(EggMilk!A$2:A$998, A84) &gt; 0, 90, 0)
)
* (0.8 + 0.4 * I84)
* 0.75,25)</f>
        <v>175</v>
      </c>
      <c r="H84" s="2">
        <f>MROUND(ROUNDDOWN(_xlfn.XLOOKUP(B84,'Base stats'!B:B,'Base stats'!L:L)/3.6/(23.3/11),1),0.5)</f>
        <v>3.5</v>
      </c>
      <c r="I84" s="2">
        <f>IF(_xlfn.XLOOKUP(B84,'Base stats'!B:B,'Base stats'!AI:AI)=1,0.99,MIN(MROUND((1-0.6282*EXP(-0.459*AN84))*_xlfn.XLOOKUP(_xlfn.XLOOKUP(B84,'Base stats'!B:B,'Base stats'!E:E),Groups!A:A,Groups!C:C)*IF(_xlfn.XLOOKUP(B84,'Base stats'!B:B,'Base stats'!O:O)=1,0.5,IF(_xlfn.XLOOKUP(B84,'Base stats'!B:B,'Base stats'!O:O)=2,0,1)),0.05),0.985))</f>
        <v>0.75</v>
      </c>
      <c r="J84" s="2">
        <f>ROUNDUP(AN84*_xlfn.XLOOKUP(_xlfn.XLOOKUP(B84,'Base stats'!B:B,'Base stats'!E:E),Groups!A:A,Groups!E:E),0)</f>
        <v>1</v>
      </c>
      <c r="K84" s="2">
        <f>IF(OR(_xlfn.XLOOKUP(_xlfn.XLOOKUP(B84,'Base stats'!B:B,'Base stats'!E:E),Groups!A:A,Groups!F:F)=2,ISNUMBER(SEARCH("SeaIce",BV84)),ISNUMBER(SEARCH("IceSheet",BV84))),-50,IF(OR(ISNUMBER(SEARCH("GlacialPlain",BV84)),ISNUMBER(SEARCH("Tundra",BV84))),-40,IF(OR(ISNUMBER(SEARCH("Alpine",BV84)),ISNUMBER(SEARCH("BorealForest",BV84)),ISNUMBER(SEARCH("ColdBog",BV84))),-30,IF(OR(ISNUMBER(SEARCH("TemperateForest",BV84)),ISNUMBER(SEARCH("TemperateSwamp",BV84))),-20,IF(_xlfn.XLOOKUP(_xlfn.XLOOKUP(B84,'Base stats'!B:B,'Base stats'!E:E),Groups!A:A,Groups!F:F)=1,-15,IF(OR(ISNUMBER(SEARCH("Desert",BV84)),ISNUMBER(SEARCH("ExtremeDesert",BV84))),-10,IF(OR(ISNUMBER(SEARCH("Grasslands",BV84)),ISNUMBER(SEARCH("TropicalRainforest",BV84)),ISNUMBER(SEARCH("TropicalSwamp",BV84))),10,0)))))))-IF(CA84="False",MIN(IFERROR(MAX(MROUND(LOG10(_xlfn.XLOOKUP(B84,'Base stats'!B:B,'Base stats'!C:C)^(2/3))*10,5),5),5),30))-_xlfn.XLOOKUP(B84,'Base stats'!B:B,'Base stats'!P:P)+IF(CA84="True",5,0)</f>
        <v>-45</v>
      </c>
      <c r="L84" s="2">
        <f>IF(OR(_xlfn.XLOOKUP(_xlfn.XLOOKUP(B84,'Base stats'!B:B,'Base stats'!E:E),Groups!A:A,Groups!G:G)=2,ISNUMBER(SEARCH("Desert",BV84)),ISNUMBER(SEARCH("ExtremeDesert",BV84)),ISNUMBER(SEARCH("LavaField",BV84))),50,IF(ISNUMBER(SEARCH("Grasslands",BV84)),45,IF(OR(_xlfn.XLOOKUP(_xlfn.XLOOKUP(B84,'Base stats'!B:B,'Base stats'!E:E),Groups!A:A,Groups!G:G)=1,ISNUMBER(SEARCH("TropicalRainforest",BV84)),ISNUMBER(SEARCH("TropicalSwamp",BV84))),40,IF(OR(ISNUMBER(SEARCH("TemperateForest",BV84)),ISNUMBER(SEARCH("TemperateSwamp",BV84))),35,IF(OR(ISNUMBER(SEARCH("Alpine",BV84)),ISNUMBER(SEARCH("BorealForest",BV84)),ISNUMBER(SEARCH("ColdBog",BV84))),30,IF(ISNUMBER(OR(ISNUMBER(SEARCH("GlacialPlain",BV84)),SEARCH("Tundra",BV84))),25,IF(OR(ISNUMBER(SEARCH("SeaIce",BV84)),ISNUMBER(SEARCH("IceSheet",BV84)),ISNUMBER(SEARCH("TropicalSwamp",BV84))),10,35)))))))+_xlfn.XLOOKUP(B84,'Base stats'!B:B,'Base stats'!Q:Q)</f>
        <v>35</v>
      </c>
      <c r="M84" s="8" t="str">
        <f>IF(_xlfn.XLOOKUP(_xlfn.XLOOKUP(B84,'Base stats'!B:B,'Base stats'!E:E),Groups!A:A,Groups!L:L)=1,MIN(MROUND(_xlfn.XLOOKUP(B84,'Animals CE'!B:B,'Animals CE'!Z:Z)/2+0.05,0.05),200%),"No")</f>
        <v>No</v>
      </c>
      <c r="N84" s="8" t="str">
        <f>IF(_xlfn.XLOOKUP(_xlfn.XLOOKUP(B84,'Base stats'!B:B,'Base stats'!E:E),Groups!A:A,Groups!L:L)=1,MIN(MROUND(_xlfn.XLOOKUP(B84,'Animals CE'!B:B,'Animals CE'!AA:AA)/2+0.05,0.05),200%),"No")</f>
        <v>No</v>
      </c>
      <c r="O84" s="2" t="str">
        <f>_xlfn.XLOOKUP(B84,'Base stats'!B:B,'Base stats'!R:R)</f>
        <v>Standard</v>
      </c>
      <c r="P84" s="13">
        <f>MROUND((LOG10(_xlfn.XLOOKUP(B84,'Base stats'!B:B,'Base stats'!AO:AO))*(AN84^0.5)+(_xlfn.XLOOKUP(B84,'Base stats'!B:B,'Base stats'!AO:AO)/1000)^(2/3)+_xlfn.XLOOKUP(B84,'Base stats'!B:B,'Base stats'!AX:AX)/2)+0.5,0.5)</f>
        <v>4</v>
      </c>
      <c r="Q84" s="7">
        <f>IF(P84="No","No",MAX(1,MROUND(_xlfn.XLOOKUP(B84,'Base stats'!B:B,'Base stats'!C:C)^0.165,0.05)))</f>
        <v>1.55</v>
      </c>
      <c r="R84" s="13" t="str">
        <f>IF(_xlfn.XLOOKUP(_xlfn.XLOOKUP(B84,'Base stats'!B:B,'Base stats'!E:E),Groups!A:A,Groups!P:P)=0,"No",MROUND((LOG10(_xlfn.XLOOKUP(B84,'Base stats'!B:B,'Base stats'!AP:AP))*(AN84^0.5)+(_xlfn.XLOOKUP(B84,'Base stats'!B:B,'Base stats'!AP:AP)/1000)^(2/3)+_xlfn.XLOOKUP(B84,'Base stats'!B:B,'Base stats'!AX:AX))+_xlfn.XLOOKUP(B84,'Base stats'!B:B,'Base stats'!AV:AV)+0.5,0.5))</f>
        <v>No</v>
      </c>
      <c r="S84" s="7" t="str">
        <f>IF(R84="No","No",MAX(_xlfn.XLOOKUP(_xlfn.XLOOKUP(B84,'Base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T84" s="7" t="str">
        <f>IF(R84="No","No",_xlfn.XLOOKUP(_xlfn.XLOOKUP(B84,'Base stats'!B:B,'Base stats'!E:E),Groups!A:A,Groups!R:R))</f>
        <v>No</v>
      </c>
      <c r="U84" s="7" t="str">
        <f>IF(R84="No","No",_xlfn.XLOOKUP(_xlfn.XLOOKUP(B84,'Base stats'!B:B,'Base stats'!E:E),Groups!A:A,Groups!S:S))</f>
        <v>No</v>
      </c>
      <c r="V84" s="7" t="str">
        <f>IF(R84="No","No",_xlfn.XLOOKUP(_xlfn.XLOOKUP(B84,'Base stats'!B:B,'Base stats'!E:E),Groups!A:A,Groups!T:T))</f>
        <v>No</v>
      </c>
      <c r="W84" s="13" t="str">
        <f>IF(_xlfn.XLOOKUP(B84,'Base stats'!B:B,'Base stats'!W:W)="No","No",MROUND((LOG10(_xlfn.XLOOKUP(B84,'Base stats'!B:B,'Base stats'!AR:AR))*(AN84^0.5)+(_xlfn.XLOOKUP(B84,'Base stats'!B:B,'Base stats'!AR:AR)/1000)^(2/3)+_xlfn.XLOOKUP(B84,'Base stats'!B:B,'Base stats'!AW:AW))+0.5+IF(_xlfn.XLOOKUP(_xlfn.XLOOKUP(B84,'Base stats'!B:B,'Base stats'!E:E),Groups!A:A,Groups!U:U)&lt;&gt;3,_xlfn.XLOOKUP(B84,'Base stats'!B:B,'Base stats'!AX:AX),0),0.5))</f>
        <v>No</v>
      </c>
      <c r="X84" s="7" t="str">
        <f>IF(W84="No","No",MAX(_xlfn.XLOOKUP(_xlfn.XLOOKUP(B84,'Base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Y84" s="7" t="str">
        <f>IF(W84="No","No",_xlfn.XLOOKUP(_xlfn.XLOOKUP(B84,'Base stats'!B:B,'Base stats'!E:E),Groups!A:A,Groups!W:W))</f>
        <v>No</v>
      </c>
      <c r="Z84" s="7" t="str">
        <f>IF(W84="No","No",_xlfn.XLOOKUP(_xlfn.XLOOKUP(B84,'Base stats'!B:B,'Base stats'!E:E),Groups!A:A,Groups!X:X))</f>
        <v>No</v>
      </c>
      <c r="AA84" s="7" t="str">
        <f>IF(W84="No","No",_xlfn.XLOOKUP(_xlfn.XLOOKUP(B84,'Base stats'!B:B,'Base stats'!E:E),Groups!A:A,Groups!Y:Y))</f>
        <v>No</v>
      </c>
      <c r="AB84" s="7" t="str">
        <f>_xlfn.XLOOKUP(Animals!B84,'Base stats'!B:B,'Base stats'!X:X)</f>
        <v>False</v>
      </c>
      <c r="AC84" s="13">
        <f>IF(_xlfn.XLOOKUP(B84,'Base stats'!B:B,'Base stats'!AQ:AQ)="No","No",MROUND((LOG10(_xlfn.XLOOKUP(B84,'Base stats'!B:B,'Base stats'!AQ:AQ))*(AN84^0.75)+(_xlfn.XLOOKUP(B84,'Base stats'!B:B,'Base stats'!AQ:AQ)/1000)^(2/3)+_xlfn.XLOOKUP(B84,'Base stats'!B:B,'Base stats'!AU:AU)+_xlfn.XLOOKUP(B84,'Base stats'!B:B,'Base stats'!AX:AX))+0.5,0.5))</f>
        <v>6.5</v>
      </c>
      <c r="AD84" s="7">
        <f>IF(AC84="No","No",MAX(_xlfn.XLOOKUP(_xlfn.XLOOKUP(B84,'Base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E84" s="7" t="str">
        <f>IF(AC84="No","No",_xlfn.XLOOKUP(_xlfn.XLOOKUP(B84,'Base stats'!B:B,'Base stats'!E:E),Groups!A:A,Groups!AA:AA))</f>
        <v>Teeth</v>
      </c>
      <c r="AF84" s="7" t="str">
        <f>IF(AC84="No","No",_xlfn.XLOOKUP(_xlfn.XLOOKUP(B84,'Base stats'!B:B,'Base stats'!E:E),Groups!A:A,Groups!AB:AB))</f>
        <v>canines</v>
      </c>
      <c r="AG84" s="7" t="str">
        <f>IF(AC84="No","No",_xlfn.XLOOKUP(_xlfn.XLOOKUP(B84,'Base stats'!B:B,'Base stats'!E:E),Groups!A:A,Groups!AC:AC))</f>
        <v>Bite</v>
      </c>
      <c r="AH84" s="13">
        <f>IF(_xlfn.XLOOKUP(_xlfn.XLOOKUP(B84,'Base stats'!B:B,'Base stats'!E:E),Groups!A:A,Groups!AD:AD)=0,"No",MROUND((LOG10(_xlfn.XLOOKUP(B84,'Base stats'!B:B,'Base stats'!AP:AP))*(AN84^0.75)+(_xlfn.XLOOKUP(B84,'Base stats'!B:B,'Base stats'!AP:AP)/1000)^(2/3)+_xlfn.XLOOKUP(B84,'Base stats'!B:B,'Base stats'!AV:AV)+_xlfn.XLOOKUP(B84,'Base stats'!B:B,'Base stats'!AX:AX))+0.5,0.5))</f>
        <v>6</v>
      </c>
      <c r="AI84" s="7">
        <f>IF(AH84="No","No",MAX(_xlfn.XLOOKUP(_xlfn.XLOOKUP(B84,'Base stats'!B:B,'Base stats'!E:E),Groups!A:A,Groups!AE:AE),MROUND(_xlfn.XLOOKUP(_xlfn.XLOOKUP(B84,'Base stats'!B:B,'Base stats'!E:E),Groups!A:A,Groups!AE:AE)*_xlfn.XLOOKUP(B84,'Base stats'!B:B,'Base stats'!C:C)^0.165,0.05)))</f>
        <v>1</v>
      </c>
      <c r="AJ84" s="7" t="str">
        <f>IF(AH84="No","No",_xlfn.XLOOKUP(_xlfn.XLOOKUP(B84,'Base stats'!B:B,'Base stats'!E:E),Groups!A:A,Groups!AF:AF))</f>
        <v>FrontRightPaw, FrontRightPaw</v>
      </c>
      <c r="AK84" s="7" t="str">
        <f>IF(AH84="No","No",_xlfn.XLOOKUP(_xlfn.XLOOKUP(B84,'Base stats'!B:B,'Base stats'!E:E),Groups!A:A,Groups!AG:AG))</f>
        <v>left claw, right claw</v>
      </c>
      <c r="AL84" s="7" t="str">
        <f>IF(AH84="No","No",_xlfn.XLOOKUP(_xlfn.XLOOKUP(B84,'Base stats'!B:B,'Base stats'!E:E),Groups!A:A,Groups!AH:AH))</f>
        <v>Scratch</v>
      </c>
      <c r="AM84" s="2" t="str">
        <f t="shared" si="7"/>
        <v>No</v>
      </c>
      <c r="AN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O84" s="8">
        <f>MROUND(AN84*_xlfn.XLOOKUP(_xlfn.XLOOKUP(B84,'Base stats'!B:B,'Base stats'!E:E),Groups!A:A,Groups!AI:AI),0.05)</f>
        <v>0.55000000000000004</v>
      </c>
      <c r="AP84" s="8">
        <f>MAX(0.01,MROUND(IF(CA84="True",0.196*(AN84*100*1000)^0.889,IF(_xlfn.XLOOKUP(_xlfn.XLOOKUP(B84,'Base stats'!B:B,'Base stats'!E:E),Groups!A:A,Groups!AJ:AJ)="Bird",10.5*(AN84*100*1000)^0.681,4.82*(AN84*100*1000)^0.734))/(4.82*(1*100*1000)^0.734)/IF(AN84&lt;3.5,2,IF(AN84=3.5,1.5,1.25))*(1+0.132282374779864/(AN84^0.994035016789033+0.00905238001496948)),0.05))</f>
        <v>0.35000000000000003</v>
      </c>
      <c r="AQ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R84" s="35">
        <f>IFERROR(IF(_xlfn.XLOOKUP(B84,'Base stats'!B:B,'Base stats'!F:F)="Lay eggs","Lay eggs",MIN(20,MAX(5.5,ROUND(((_xlfn.XLOOKUP(B84,'Base stats'!B:B,'Base stats'!F:F)-25)*(14.5/615) + 5.5)*2,0)/2))),"Cannot breed")</f>
        <v>6</v>
      </c>
      <c r="AS84" s="8">
        <f>IF(OR(A84="Queen",A84="Larva",A84="Megachicken"),"No",IFERROR(MAX(IF(_xlfn.XLOOKUP(B84,'Base stats'!B:B,'Base stats'!G:G)&lt;0.5,0.2,0.3),MROUND(_xlfn.XLOOKUP(B84,'Base stats'!B:B,'Base stats'!G:G)/(365/60),0.2)),"Unknown"))</f>
        <v>0.3</v>
      </c>
      <c r="AT84" s="8">
        <f t="shared" si="8"/>
        <v>0.15000000000000002</v>
      </c>
      <c r="AU84" s="8">
        <f>IFERROR(IFERROR(MROUND(_xlfn.XLOOKUP(B84,'Base stats'!B:B,'Base stats'!J:J),0.1),"Lay eggs"),"Cannot breed")</f>
        <v>3</v>
      </c>
      <c r="AV84" s="2" t="str">
        <f t="shared" si="9"/>
        <v>false</v>
      </c>
      <c r="AW84" s="2" t="str">
        <f>IF(_xlfn.XLOOKUP(_xlfn.XLOOKUP(Animals!B84,'Base stats'!B:B,'Base stats'!E:E),Groups!A:A,Groups!AK:AK)=1,"true","false")</f>
        <v>false</v>
      </c>
      <c r="AX84" s="25" t="str">
        <f>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</f>
        <v>OmnivoreRoughAnimal, OvivoreAnimal</v>
      </c>
      <c r="AY84" s="2" t="str">
        <f>IF(_xlfn.XLOOKUP(_xlfn.XLOOKUP(B84,'Base stats'!B:B,'Base stats'!E:E),Groups!A:A,Groups!D:D)=1,MROUND((1-I84)*5+1,2)*IF(I84&lt;=0.4,2,1),"No")</f>
        <v>No</v>
      </c>
      <c r="AZ84" s="2" t="str">
        <f>_xlfn.XLOOKUP(B84,'Base stats'!B:B,'Base stats'!AE:AE)</f>
        <v>Leather_Light</v>
      </c>
      <c r="BA84" s="23" t="str">
        <f>_xlfn.XLOOKUP(_xlfn.XLOOKUP(B84,'Base stats'!B:B,'Base stats'!E:E),Groups!A:A,Groups!AL:AL)</f>
        <v>QuadrupedAnimalWithPawsAndTail</v>
      </c>
      <c r="BB84" s="23">
        <f>MROUND(IF(AND(AN84&lt;0.5,_xlfn.XLOOKUP(B84,'Base stats'!B:B,'Base stats'!Z:Z)=0),0,IF(OR(_xlfn.XLOOKUP(Animals!B84,'Base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stats'!AA:AA),0.005)</f>
        <v>0</v>
      </c>
      <c r="BC84" s="23">
        <f>MROUND(IF(AND(AN84&lt;0.5,_xlfn.XLOOKUP(B84,'Base stats'!B:B,'Base stats'!Z:Z)=0),0,IF(_xlfn.XLOOKUP(_xlfn.XLOOKUP(B84,'Base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stats'!AB:AB),0.005)</f>
        <v>0</v>
      </c>
      <c r="BD84" s="2" t="str">
        <f>IF(I84&gt;0.3,"No",_xlfn.XLOOKUP(_xlfn.XLOOKUP(Animals!B84,'Base stats'!B:B,'Base stats'!E:E),Groups!A:A,Groups!AP:AP))</f>
        <v>No</v>
      </c>
      <c r="BE84" s="2" t="str">
        <f>IF(AND(I84&lt;=0.65,_xlfn.XLOOKUP(_xlfn.XLOOKUP(Animals!B84,'Base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stats'!O:O)=2,0.2,AN84) + 24*(1-IF(BD84="No",0,BD84)) + 16/3, 12),"No")</f>
        <v>No</v>
      </c>
      <c r="BF84" s="2">
        <f>IF(AND(_xlfn.XLOOKUP(_xlfn.XLOOKUP(B84,'Base stats'!B:B,'Base stats'!E:E),Groups!A:A,Groups!AQ:AQ)=1,AN84&lt;=0.35),8,12)</f>
        <v>12</v>
      </c>
      <c r="BG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H84" s="2" t="str">
        <f>IF(AND(_xlfn.XLOOKUP(_xlfn.XLOOKUP(B84,'Base stats'!B:B,'Base stats'!E:E),Groups!A:A,Groups!AS:AS)=1,OR('Base stats'!Y84="Carnivore",'Base stats'!Y84="Omnivore")),"true","false")</f>
        <v>false</v>
      </c>
      <c r="BI84" s="2" t="str">
        <f>IF(BH84="true",MROUND(IF(AND(AN84&gt;0.5,_xlfn.XLOOKUP(_xlfn.XLOOKUP(B84,'Base stats'!B:B,'Base stats'!E:E),Groups!A:A,Groups!AJ:AJ)="Mammal"),Animals!AN84*1.75*IF(AV84="true",1.5,1),Animals!AN84),IF(AN84&gt;2,0.5,IF(AN84&gt;0.5,0.25,0.1))),"No")</f>
        <v>No</v>
      </c>
      <c r="BJ84" s="2">
        <f t="shared" si="10"/>
        <v>1</v>
      </c>
      <c r="BK84" s="25" t="str">
        <f>IF('Base stats'!AK84="Standard","No",MROUND((_xlfn.XLOOKUP(B84,'Base stats'!B:B,'Base stats'!AK:AK)/3.6)/H84,0.1))</f>
        <v>No</v>
      </c>
      <c r="BL84" s="25" t="str">
        <f t="shared" si="11"/>
        <v>false</v>
      </c>
      <c r="BM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N84" s="25" t="str" cm="1">
        <f t="array" ref="BN84">IF(
  _xlfn.TEXTJOIN(", ",TRUE,
    IF(AND(BH84="true",AN84&gt;0.5,BG84&lt;&gt;"None"),"AttackTarget",""),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IF(BE84&lt;=36,"Comfort",""),
    IF(_xlfn.XLOOKUP(B84,'Base stats'!B:B,'Base stats'!AC:AC)&lt;&gt;"No",_xlfn.XLOOKUP(B84,'Base stats'!B:B,'Base stats'!AC:AC),"")
  ) = "",
  "No",
  _xlfn.TEXTJOIN(", ",TRUE,
    IF(AND(BH84="true",AN84&gt;0.5,BG84&lt;&gt;"None"),"AttackTarget",""),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IF(BE84&lt;=36,"Comfort",""),
    IF(_xlfn.XLOOKUP(B84,'Base stats'!B:B,'Base stats'!AC:AC)&lt;&gt;"No",_xlfn.XLOOKUP(B84,'Base stats'!B:B,'Base stats'!AC:AC),"")
  )
)</f>
        <v>Forage</v>
      </c>
      <c r="BO84" s="25" t="str">
        <f>IF(
   AND(
      'Base stats'!AK84="Standard",_xlfn.XLOOKUP(_xlfn.XLOOKUP(B84,'Base stats'!B:B,'Base stats'!E:E),Groups!A:A,Groups!AU:AU)=0,
      OR(
      BM84="True"
      )
   ),
   10,
   IF(
       OR(BK84&lt;&gt;"No",_xlfn.XLOOKUP(_xlfn.XLOOKUP(B84,'Base stats'!B:B,'Base stats'!E:E),Groups!A:A,Groups!AU:AU)=1),
      1,
      "No"
   )
)</f>
        <v>No</v>
      </c>
      <c r="BP84" s="9">
        <f>MROUND((1 + ((0.2*IF(OR(P84="No",Q84="No",Q84=0),0,P84/Q84)
+IF(OR(U84="No",R84="No",S84="No"),0,R84/S84*(LEN(U84)-LEN(SUBSTITUTE(U84,",",""))+1))
+IF(OR(W84="No",X84="No"),0,W84/X84)
+IF(OR(AC84="No",AD84="No"),0,AC84/AD84)
+IF(OR(AK84="No",AH84="No",AI84="No"),0,AH84/AI84*(LEN(AK84)-LEN(SUBSTITUTE(AK84,",",""))+1))
)/(0.2*IF(OR(P84="No",Q84="No",Q84=0),0,1)
+IF(OR(U84="No",R84="No",S84="No"),0,LEN(U84)-LEN(SUBSTITUTE(U84,",",""))+1)
+IF(OR(W84="No",X84="No"),0,1)
+IF(OR(AC84="No",AD84="No"),0,1)
+IF(OR(AK84="No",AH84="No",AI84="No"),0,LEN(AK84)-LEN(SUBSTITUTE(AK84,",",""))+1))*62%)* 2)*(1 + (AO84 + _xlfn.XLOOKUP(B84,'Base stats'!B:B,'Base stats'!AS:AS) * 1.8) * 2) * 2.5 + 10 + H84 * 2,5)+IF(_xlfn.XLOOKUP(B84,'Base stats'!B:B,'Base stats'!AH:AH)=1,50,0)</f>
        <v>60</v>
      </c>
      <c r="BQ84" s="8">
        <f t="shared" si="12"/>
        <v>0.35000000000000003</v>
      </c>
      <c r="BR84" s="8" t="str">
        <f>_xlfn.XLOOKUP(B84,'Base stats'!B:B,'Base stats'!AD:AD)</f>
        <v>No</v>
      </c>
      <c r="BS84" s="2" t="str">
        <f>IF(AND(I84&lt;=0.95,OR(_xlfn.XLOOKUP(B84,'Base stats'!B:B,'Base stats'!AH:AH)=1,_xlfn.XLOOKUP(B84,'Base stats'!B:B,'Base stats'!Y:Y)="Carnivore",_xlfn.XLOOKUP(B84,'Base stats'!B:B,'Base stats'!Y:Y)="Omnivore",BC84&gt;0.1)),"true","false")</f>
        <v>false</v>
      </c>
      <c r="BT84" s="2" t="str">
        <f>IF(_xlfn.XLOOKUP(B84,'Base stats'!B:B,'Base stats'!AF:AF)=1,"true","false")</f>
        <v>false</v>
      </c>
      <c r="BU84" s="25" t="str">
        <f>IF(E84="BaseInsect","AnimalInsect",
IF(I84&gt;0.95,"AnimalExotic",
_xlfn.TEXTJOIN(", ",TRUE,
IF(AND(_xlfn.XLOOKUP(B84,'Base stats'!B:B,'Base stats'!O:O)=0,_xlfn.XLOOKUP(_xlfn.XLOOKUP(B84,'Base stats'!B:B,'Base stats'!E:E),Groups!A:A,Groups!B:B)&gt;0),"AnimalUncommon","AnimalCommon"),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stats'!AH:AH)=1,AND(BG84&lt;&gt;"None",BP84&gt;=60),ISNUMBER(SEARCH("Attack target",BN84))),"AnimalFighter","")
)))</f>
        <v>AnimalUncommon, AnimalFighter</v>
      </c>
      <c r="BV84" s="25" t="str">
        <f>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</f>
        <v>BorealForest ColdBog TemperateForest TemperateSwamp GlacialPlain</v>
      </c>
      <c r="BW84" s="25" t="str">
        <f>IF(_xlfn.XLOOKUP(B84,'Base stats'!B:B,'Base stats'!AG:AG)=1,"true","false")</f>
        <v>false</v>
      </c>
      <c r="BX84" s="25">
        <f>IF(_xlfn.XLOOKUP(B84,'Base stats'!B:B,'Base stats'!N:N)=1,"No",MIN(MROUND(IF(OR(_xlfn.XLOOKUP(B84,'Base stats'!B:B,'Base stats'!AJ:AJ)=1,AND(BH84="True",CA84="False")),POWER(10,3.47*LOG10(_xlfn.XLOOKUP(B84,'Base stats'!B:B,'Base stats'!C:C)*1000)^-0.96),POWER(10,4.15*LOG10(_xlfn.XLOOKUP(B84,'Base stats'!B:B,'Base stats'!C:C)*1000)^-0.73))*IF(OR(_xlfn.XLOOKUP(B84,'Base stats'!B:B,'Base stats'!AJ:AJ)=1,_xlfn.XLOOKUP(B84,'Base stats'!B:B,'Base stats'!AH:AH)=1),0.5,1)/100,0.025),1))</f>
        <v>0.30000000000000004</v>
      </c>
      <c r="BY84" s="25" t="str">
        <f>IF(O84="Standard","No",IF(_xlfn.XLOOKUP(B84,'Base stats'!B:B,'Base stats'!N:N)=0,MROUND(BX84*O84,0.05),MIN(1,MAX(0.025,MROUND(IF(OR(CA84="true",AND(BH84="false",BM84="false")),POWER(10,4.15*LOG10(_xlfn.XLOOKUP(B84,'Base stats'!B:B,'Base stats'!C:C)*1000)^-0.73),POWER(10,3.47*LOG10(_xlfn.XLOOKUP(B84,'Base stats'!B:B,'Base stats'!C:C)*1000)^-0.96))*IF(_xlfn.XLOOKUP(B84,'Base stats'!B:B,'Base stats'!AH:AH)=1,0.5,1)/100,0.025)))))</f>
        <v>No</v>
      </c>
      <c r="BZ84" s="25" t="str">
        <f>IF(_xlfn.XLOOKUP(_xlfn.XLOOKUP(B84,'Base stats'!B:B,'Base stats'!E:E),Groups!A:A,Groups!AJ:AJ)="Mammal","True","False")</f>
        <v>True</v>
      </c>
      <c r="CA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B84" s="25" t="str">
        <f t="shared" si="13"/>
        <v>False</v>
      </c>
      <c r="CC84" s="25" t="str">
        <f>IF(_xlfn.XLOOKUP(_xlfn.XLOOKUP(B84,'Base stats'!B:B,'Base stats'!E:E),Groups!A:A,Groups!AW:AW),"True","False")</f>
        <v>False</v>
      </c>
      <c r="CD84" s="25" t="str">
        <f>IF(_xlfn.XLOOKUP(_xlfn.XLOOKUP(B84,'Base stats'!B:B,'Base stats'!E:E),Groups!A:A,Groups!AX:AX),"True","False")</f>
        <v>False</v>
      </c>
      <c r="CE84" s="25" t="str">
        <f>IF(_xlfn.XLOOKUP(B84,'Base stats'!B:B,'Base stats'!E:E)=1,"True","False")</f>
        <v>False</v>
      </c>
      <c r="CF84" s="25" t="str">
        <f>IF(
OR(
_xlfn.XLOOKUP(_xlfn.XLOOKUP(B84,'Base stats'!B:B,'Base stats'!E:E),Groups!A:A,Groups!AY:AY)=0,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stats'!E:E),Groups!A:A,Groups!AY:AY)=1,
"Flesh",
IF(
_xlfn.XLOOKUP(_xlfn.XLOOKUP(B84,'Base stats'!B:B,'Base stats'!E:E),Groups!A:A,Groups!AY:AY)=2,
"Bone",
""
)
)
)</f>
        <v>No</v>
      </c>
      <c r="CG84" s="25" t="str">
        <f>IF(_xlfn.XLOOKUP(_xlfn.XLOOKUP(B84,'Base stats'!B:B,'Base stats'!E:E),Groups!A:A,Groups!BA:BA),"True","False")</f>
        <v>True</v>
      </c>
      <c r="CH84" s="25" t="str">
        <f>IF(_xlfn.XLOOKUP(_xlfn.XLOOKUP(B84,'Base stats'!B:B,'Base stats'!E:E),Groups!A:A,Groups!AZ:AZ),"True","False")</f>
        <v>False</v>
      </c>
    </row>
    <row r="85" spans="1:86" ht="16.5" thickTop="1" thickBot="1" x14ac:dyDescent="0.3">
      <c r="A85" s="26" t="str">
        <f>_xlfn.XLOOKUP(B85,'Base stats'!B:B,'Base stats'!A:A)</f>
        <v>Otter</v>
      </c>
      <c r="B85" s="6" t="s">
        <v>227</v>
      </c>
      <c r="C85" s="28" t="s">
        <v>777</v>
      </c>
      <c r="D85" s="28" t="s">
        <v>882</v>
      </c>
      <c r="E85" s="28" t="s">
        <v>685</v>
      </c>
      <c r="F85" s="28" t="s">
        <v>685</v>
      </c>
      <c r="G85" s="2">
        <f>MROUND((
  (IF(AND(_xlfn.XLOOKUP(B85,'Base stats'!B:B,'Base stats'!AI:AI)=0,BG85="None",_xlfn.XLOOKUP('Base stats'!E85,Groups!A:A,Groups!B:B)=0), (18 + BP85 * 2.7) * 0.5,
    IF(AND(_xlfn.XLOOKUP(B85,'Base stats'!B:B,'Base stats'!AI:AI)=0,OR(AN85&lt;0.55,AND(BG85="Intermediate",_xlfn.XLOOKUP('Base stats'!E85,Groups!A:A,Groups!B:B)&lt;2))), (18 + BP85 * 2.7),
      IF(OR(BG85="Advanced",_xlfn.XLOOKUP(B85,'Base stats'!B:B,'Base stats'!AI:AI)=1,_xlfn.XLOOKUP('Base stats'!E85,Groups!A:A,Groups!B:B)=2), (18 + BP85 * 2.7) + 250, (18 + BP85 * 2.7))
    )
  ))
  + AN85 * 80
  + IF(COUNTIF(EggMilk!K$2:K$998, A85) &gt; 0, 125, 0)
  + IF(COUNTIF(EggMilk!P$2:P$998, A85) &gt; 0, 90, 0)
  + IF(COUNTIF(EggMilk!A$2:A$998, A85) &gt; 0, 90, 0)
)
* (0.8 + 0.4 * I85)
* 0.75,25)</f>
        <v>150</v>
      </c>
      <c r="H85" s="2">
        <f>MROUND(ROUNDDOWN(_xlfn.XLOOKUP(B85,'Base stats'!B:B,'Base stats'!L:L)/3.6/(23.3/11),1),0.5)</f>
        <v>3.5</v>
      </c>
      <c r="I85" s="2">
        <f>IF(_xlfn.XLOOKUP(B85,'Base stats'!B:B,'Base stats'!AI:AI)=1,0.99,MIN(MROUND((1-0.6282*EXP(-0.459*AN85))*_xlfn.XLOOKUP(_xlfn.XLOOKUP(B85,'Base stats'!B:B,'Base stats'!E:E),Groups!A:A,Groups!C:C)*IF(_xlfn.XLOOKUP(B85,'Base stats'!B:B,'Base stats'!O:O)=1,0.5,IF(_xlfn.XLOOKUP(B85,'Base stats'!B:B,'Base stats'!O:O)=2,0,1)),0.05),0.985))</f>
        <v>0.75</v>
      </c>
      <c r="J85" s="2">
        <f>ROUNDUP(AN85*_xlfn.XLOOKUP(_xlfn.XLOOKUP(B85,'Base stats'!B:B,'Base stats'!E:E),Groups!A:A,Groups!E:E),0)</f>
        <v>1</v>
      </c>
      <c r="K85" s="2">
        <f>IF(OR(_xlfn.XLOOKUP(_xlfn.XLOOKUP(B85,'Base stats'!B:B,'Base stats'!E:E),Groups!A:A,Groups!F:F)=2,ISNUMBER(SEARCH("SeaIce",BV85)),ISNUMBER(SEARCH("IceSheet",BV85))),-50,IF(OR(ISNUMBER(SEARCH("GlacialPlain",BV85)),ISNUMBER(SEARCH("Tundra",BV85))),-40,IF(OR(ISNUMBER(SEARCH("Alpine",BV85)),ISNUMBER(SEARCH("BorealForest",BV85)),ISNUMBER(SEARCH("ColdBog",BV85))),-30,IF(OR(ISNUMBER(SEARCH("TemperateForest",BV85)),ISNUMBER(SEARCH("TemperateSwamp",BV85))),-20,IF(_xlfn.XLOOKUP(_xlfn.XLOOKUP(B85,'Base stats'!B:B,'Base stats'!E:E),Groups!A:A,Groups!F:F)=1,-15,IF(OR(ISNUMBER(SEARCH("Desert",BV85)),ISNUMBER(SEARCH("ExtremeDesert",BV85))),-10,IF(OR(ISNUMBER(SEARCH("Grasslands",BV85)),ISNUMBER(SEARCH("TropicalRainforest",BV85)),ISNUMBER(SEARCH("TropicalSwamp",BV85))),10,0)))))))-IF(CA85="False",MIN(IFERROR(MAX(MROUND(LOG10(_xlfn.XLOOKUP(B85,'Base stats'!B:B,'Base stats'!C:C)^(2/3))*10,5),5),5),30))-_xlfn.XLOOKUP(B85,'Base stats'!B:B,'Base stats'!P:P)+IF(CA85="True",5,0)</f>
        <v>-35</v>
      </c>
      <c r="L85" s="2">
        <f>IF(OR(_xlfn.XLOOKUP(_xlfn.XLOOKUP(B85,'Base stats'!B:B,'Base stats'!E:E),Groups!A:A,Groups!G:G)=2,ISNUMBER(SEARCH("Desert",BV85)),ISNUMBER(SEARCH("ExtremeDesert",BV85)),ISNUMBER(SEARCH("LavaField",BV85))),50,IF(ISNUMBER(SEARCH("Grasslands",BV85)),45,IF(OR(_xlfn.XLOOKUP(_xlfn.XLOOKUP(B85,'Base stats'!B:B,'Base stats'!E:E),Groups!A:A,Groups!G:G)=1,ISNUMBER(SEARCH("TropicalRainforest",BV85)),ISNUMBER(SEARCH("TropicalSwamp",BV85))),40,IF(OR(ISNUMBER(SEARCH("TemperateForest",BV85)),ISNUMBER(SEARCH("TemperateSwamp",BV85))),35,IF(OR(ISNUMBER(SEARCH("Alpine",BV85)),ISNUMBER(SEARCH("BorealForest",BV85)),ISNUMBER(SEARCH("ColdBog",BV85))),30,IF(ISNUMBER(OR(ISNUMBER(SEARCH("GlacialPlain",BV85)),SEARCH("Tundra",BV85))),25,IF(OR(ISNUMBER(SEARCH("SeaIce",BV85)),ISNUMBER(SEARCH("IceSheet",BV85)),ISNUMBER(SEARCH("TropicalSwamp",BV85))),10,35)))))))+_xlfn.XLOOKUP(B85,'Base stats'!B:B,'Base stats'!Q:Q)</f>
        <v>35</v>
      </c>
      <c r="M85" s="8" t="str">
        <f>IF(_xlfn.XLOOKUP(_xlfn.XLOOKUP(B85,'Base stats'!B:B,'Base stats'!E:E),Groups!A:A,Groups!L:L)=1,MIN(MROUND(_xlfn.XLOOKUP(B85,'Animals CE'!B:B,'Animals CE'!Z:Z)/2+0.05,0.05),200%),"No")</f>
        <v>No</v>
      </c>
      <c r="N85" s="8" t="str">
        <f>IF(_xlfn.XLOOKUP(_xlfn.XLOOKUP(B85,'Base stats'!B:B,'Base stats'!E:E),Groups!A:A,Groups!L:L)=1,MIN(MROUND(_xlfn.XLOOKUP(B85,'Animals CE'!B:B,'Animals CE'!AA:AA)/2+0.05,0.05),200%),"No")</f>
        <v>No</v>
      </c>
      <c r="O85" s="2" t="str">
        <f>_xlfn.XLOOKUP(B85,'Base stats'!B:B,'Base stats'!R:R)</f>
        <v>Standard</v>
      </c>
      <c r="P85" s="13">
        <f>MROUND((LOG10(_xlfn.XLOOKUP(B85,'Base stats'!B:B,'Base stats'!AO:AO))*(AN85^0.5)+(_xlfn.XLOOKUP(B85,'Base stats'!B:B,'Base stats'!AO:AO)/1000)^(2/3)+_xlfn.XLOOKUP(B85,'Base stats'!B:B,'Base stats'!AX:AX)/2)+0.5,0.5)</f>
        <v>3.5</v>
      </c>
      <c r="Q85" s="7">
        <f>IF(P85="No","No",MAX(1,MROUND(_xlfn.XLOOKUP(B85,'Base stats'!B:B,'Base stats'!C:C)^0.165,0.05)))</f>
        <v>1.5</v>
      </c>
      <c r="R85" s="13" t="str">
        <f>IF(_xlfn.XLOOKUP(_xlfn.XLOOKUP(B85,'Base stats'!B:B,'Base stats'!E:E),Groups!A:A,Groups!P:P)=0,"No",MROUND((LOG10(_xlfn.XLOOKUP(B85,'Base stats'!B:B,'Base stats'!AP:AP))*(AN85^0.5)+(_xlfn.XLOOKUP(B85,'Base stats'!B:B,'Base stats'!AP:AP)/1000)^(2/3)+_xlfn.XLOOKUP(B85,'Base stats'!B:B,'Base stats'!AX:AX))+_xlfn.XLOOKUP(B85,'Base stats'!B:B,'Base stats'!AV:AV)+0.5,0.5))</f>
        <v>No</v>
      </c>
      <c r="S85" s="7" t="str">
        <f>IF(R85="No","No",MAX(_xlfn.XLOOKUP(_xlfn.XLOOKUP(B85,'Base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T85" s="7" t="str">
        <f>IF(R85="No","No",_xlfn.XLOOKUP(_xlfn.XLOOKUP(B85,'Base stats'!B:B,'Base stats'!E:E),Groups!A:A,Groups!R:R))</f>
        <v>No</v>
      </c>
      <c r="U85" s="7" t="str">
        <f>IF(R85="No","No",_xlfn.XLOOKUP(_xlfn.XLOOKUP(B85,'Base stats'!B:B,'Base stats'!E:E),Groups!A:A,Groups!S:S))</f>
        <v>No</v>
      </c>
      <c r="V85" s="7" t="str">
        <f>IF(R85="No","No",_xlfn.XLOOKUP(_xlfn.XLOOKUP(B85,'Base stats'!B:B,'Base stats'!E:E),Groups!A:A,Groups!T:T))</f>
        <v>No</v>
      </c>
      <c r="W85" s="13" t="str">
        <f>IF(_xlfn.XLOOKUP(B85,'Base stats'!B:B,'Base stats'!W:W)="No","No",MROUND((LOG10(_xlfn.XLOOKUP(B85,'Base stats'!B:B,'Base stats'!AR:AR))*(AN85^0.5)+(_xlfn.XLOOKUP(B85,'Base stats'!B:B,'Base stats'!AR:AR)/1000)^(2/3)+_xlfn.XLOOKUP(B85,'Base stats'!B:B,'Base stats'!AW:AW))+0.5+IF(_xlfn.XLOOKUP(_xlfn.XLOOKUP(B85,'Base stats'!B:B,'Base stats'!E:E),Groups!A:A,Groups!U:U)&lt;&gt;3,_xlfn.XLOOKUP(B85,'Base stats'!B:B,'Base stats'!AX:AX),0),0.5))</f>
        <v>No</v>
      </c>
      <c r="X85" s="7" t="str">
        <f>IF(W85="No","No",MAX(_xlfn.XLOOKUP(_xlfn.XLOOKUP(B85,'Base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Y85" s="7" t="str">
        <f>IF(W85="No","No",_xlfn.XLOOKUP(_xlfn.XLOOKUP(B85,'Base stats'!B:B,'Base stats'!E:E),Groups!A:A,Groups!W:W))</f>
        <v>No</v>
      </c>
      <c r="Z85" s="7" t="str">
        <f>IF(W85="No","No",_xlfn.XLOOKUP(_xlfn.XLOOKUP(B85,'Base stats'!B:B,'Base stats'!E:E),Groups!A:A,Groups!X:X))</f>
        <v>No</v>
      </c>
      <c r="AA85" s="7" t="str">
        <f>IF(W85="No","No",_xlfn.XLOOKUP(_xlfn.XLOOKUP(B85,'Base stats'!B:B,'Base stats'!E:E),Groups!A:A,Groups!Y:Y))</f>
        <v>No</v>
      </c>
      <c r="AB85" s="7" t="str">
        <f>_xlfn.XLOOKUP(Animals!B85,'Base stats'!B:B,'Base stats'!X:X)</f>
        <v>False</v>
      </c>
      <c r="AC85" s="13">
        <f>IF(_xlfn.XLOOKUP(B85,'Base stats'!B:B,'Base stats'!AQ:AQ)="No","No",MROUND((LOG10(_xlfn.XLOOKUP(B85,'Base stats'!B:B,'Base stats'!AQ:AQ))*(AN85^0.75)+(_xlfn.XLOOKUP(B85,'Base stats'!B:B,'Base stats'!AQ:AQ)/1000)^(2/3)+_xlfn.XLOOKUP(B85,'Base stats'!B:B,'Base stats'!AU:AU)+_xlfn.XLOOKUP(B85,'Base stats'!B:B,'Base stats'!AX:AX))+0.5,0.5))</f>
        <v>5.5</v>
      </c>
      <c r="AD85" s="7">
        <f>IF(AC85="No","No",MAX(_xlfn.XLOOKUP(_xlfn.XLOOKUP(B85,'Base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E85" s="7" t="str">
        <f>IF(AC85="No","No",_xlfn.XLOOKUP(_xlfn.XLOOKUP(B85,'Base stats'!B:B,'Base stats'!E:E),Groups!A:A,Groups!AA:AA))</f>
        <v>Teeth</v>
      </c>
      <c r="AF85" s="7" t="str">
        <f>IF(AC85="No","No",_xlfn.XLOOKUP(_xlfn.XLOOKUP(B85,'Base stats'!B:B,'Base stats'!E:E),Groups!A:A,Groups!AB:AB))</f>
        <v>canines</v>
      </c>
      <c r="AG85" s="7" t="str">
        <f>IF(AC85="No","No",_xlfn.XLOOKUP(_xlfn.XLOOKUP(B85,'Base stats'!B:B,'Base stats'!E:E),Groups!A:A,Groups!AC:AC))</f>
        <v>Bite</v>
      </c>
      <c r="AH85" s="13">
        <f>IF(_xlfn.XLOOKUP(_xlfn.XLOOKUP(B85,'Base stats'!B:B,'Base stats'!E:E),Groups!A:A,Groups!AD:AD)=0,"No",MROUND((LOG10(_xlfn.XLOOKUP(B85,'Base stats'!B:B,'Base stats'!AP:AP))*(AN85^0.75)+(_xlfn.XLOOKUP(B85,'Base stats'!B:B,'Base stats'!AP:AP)/1000)^(2/3)+_xlfn.XLOOKUP(B85,'Base stats'!B:B,'Base stats'!AV:AV)+_xlfn.XLOOKUP(B85,'Base stats'!B:B,'Base stats'!AX:AX))+0.5,0.5))</f>
        <v>4.5</v>
      </c>
      <c r="AI85" s="7">
        <f>IF(AH85="No","No",MAX(_xlfn.XLOOKUP(_xlfn.XLOOKUP(B85,'Base stats'!B:B,'Base stats'!E:E),Groups!A:A,Groups!AE:AE),MROUND(_xlfn.XLOOKUP(_xlfn.XLOOKUP(B85,'Base stats'!B:B,'Base stats'!E:E),Groups!A:A,Groups!AE:AE)*_xlfn.XLOOKUP(B85,'Base stats'!B:B,'Base stats'!C:C)^0.165,0.05)))</f>
        <v>0.95000000000000007</v>
      </c>
      <c r="AJ85" s="7" t="str">
        <f>IF(AH85="No","No",_xlfn.XLOOKUP(_xlfn.XLOOKUP(B85,'Base stats'!B:B,'Base stats'!E:E),Groups!A:A,Groups!AF:AF))</f>
        <v>FrontRightPaw, FrontRightPaw</v>
      </c>
      <c r="AK85" s="7" t="str">
        <f>IF(AH85="No","No",_xlfn.XLOOKUP(_xlfn.XLOOKUP(B85,'Base stats'!B:B,'Base stats'!E:E),Groups!A:A,Groups!AG:AG))</f>
        <v>left claw, right claw</v>
      </c>
      <c r="AL85" s="7" t="str">
        <f>IF(AH85="No","No",_xlfn.XLOOKUP(_xlfn.XLOOKUP(B85,'Base stats'!B:B,'Base stats'!E:E),Groups!A:A,Groups!AH:AH))</f>
        <v>Scratch</v>
      </c>
      <c r="AM85" s="2">
        <f t="shared" si="7"/>
        <v>15</v>
      </c>
      <c r="AN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O85" s="8">
        <f>MROUND(AN85*_xlfn.XLOOKUP(_xlfn.XLOOKUP(B85,'Base stats'!B:B,'Base stats'!E:E),Groups!A:A,Groups!AI:AI),0.05)</f>
        <v>0.55000000000000004</v>
      </c>
      <c r="AP85" s="8">
        <f>MAX(0.01,MROUND(IF(CA85="True",0.196*(AN85*100*1000)^0.889,IF(_xlfn.XLOOKUP(_xlfn.XLOOKUP(B85,'Base stats'!B:B,'Base stats'!E:E),Groups!A:A,Groups!AJ:AJ)="Bird",10.5*(AN85*100*1000)^0.681,4.82*(AN85*100*1000)^0.734))/(4.82*(1*100*1000)^0.734)/IF(AN85&lt;3.5,2,IF(AN85=3.5,1.5,1.25))*(1+0.132282374779864/(AN85^0.994035016789033+0.00905238001496948)),0.05))</f>
        <v>0.35000000000000003</v>
      </c>
      <c r="AQ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R85" s="35">
        <f>IFERROR(IF(_xlfn.XLOOKUP(B85,'Base stats'!B:B,'Base stats'!F:F)="Lay eggs","Lay eggs",MIN(20,MAX(5.5,ROUND(((_xlfn.XLOOKUP(B85,'Base stats'!B:B,'Base stats'!F:F)-25)*(14.5/615) + 5.5)*2,0)/2))),"Cannot breed")</f>
        <v>6.5</v>
      </c>
      <c r="AS85" s="8">
        <f>IF(OR(A85="Queen",A85="Larva",A85="Megachicken"),"No",IFERROR(MAX(IF(_xlfn.XLOOKUP(B85,'Base stats'!B:B,'Base stats'!G:G)&lt;0.5,0.2,0.3),MROUND(_xlfn.XLOOKUP(B85,'Base stats'!B:B,'Base stats'!G:G)/(365/60),0.2)),"Unknown"))</f>
        <v>0.3</v>
      </c>
      <c r="AT85" s="8">
        <f t="shared" si="8"/>
        <v>0.15000000000000002</v>
      </c>
      <c r="AU85" s="8">
        <f>IFERROR(IFERROR(MROUND(_xlfn.XLOOKUP(B85,'Base stats'!B:B,'Base stats'!J:J),0.1),"Lay eggs"),"Cannot breed")</f>
        <v>2</v>
      </c>
      <c r="AV85" s="2" t="str">
        <f t="shared" si="9"/>
        <v>false</v>
      </c>
      <c r="AW85" s="2" t="str">
        <f>IF(_xlfn.XLOOKUP(_xlfn.XLOOKUP(Animals!B85,'Base stats'!B:B,'Base stats'!E:E),Groups!A:A,Groups!AK:AK)=1,"true","false")</f>
        <v>false</v>
      </c>
      <c r="AX85" s="25" t="str">
        <f>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</f>
        <v>CarnivoreAnimal, OvivoreAnimal</v>
      </c>
      <c r="AY85" s="2" t="str">
        <f>IF(_xlfn.XLOOKUP(_xlfn.XLOOKUP(B85,'Base stats'!B:B,'Base stats'!E:E),Groups!A:A,Groups!D:D)=1,MROUND((1-I85)*5+1,2)*IF(I85&lt;=0.4,2,1),"No")</f>
        <v>No</v>
      </c>
      <c r="AZ85" s="2" t="str">
        <f>_xlfn.XLOOKUP(B85,'Base stats'!B:B,'Base stats'!AE:AE)</f>
        <v>Leather_Light</v>
      </c>
      <c r="BA85" s="23" t="str">
        <f>_xlfn.XLOOKUP(_xlfn.XLOOKUP(B85,'Base stats'!B:B,'Base stats'!E:E),Groups!A:A,Groups!AL:AL)</f>
        <v>QuadrupedAnimalWithPawsAndTail</v>
      </c>
      <c r="BB85" s="23">
        <f>MROUND(IF(AND(AN85&lt;0.5,_xlfn.XLOOKUP(B85,'Base stats'!B:B,'Base stats'!Z:Z)=0),0,IF(OR(_xlfn.XLOOKUP(Animals!B85,'Base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stats'!AA:AA),0.005)</f>
        <v>0</v>
      </c>
      <c r="BC85" s="23">
        <f>MROUND(IF(AND(AN85&lt;0.5,_xlfn.XLOOKUP(B85,'Base stats'!B:B,'Base stats'!Z:Z)=0),0,IF(_xlfn.XLOOKUP(_xlfn.XLOOKUP(B85,'Base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stats'!AB:AB),0.005)</f>
        <v>0</v>
      </c>
      <c r="BD85" s="2" t="str">
        <f>IF(I85&gt;0.3,"No",_xlfn.XLOOKUP(_xlfn.XLOOKUP(Animals!B85,'Base stats'!B:B,'Base stats'!E:E),Groups!A:A,Groups!AP:AP))</f>
        <v>No</v>
      </c>
      <c r="BE85" s="2" t="str">
        <f>IF(AND(I85&lt;=0.65,_xlfn.XLOOKUP(_xlfn.XLOOKUP(Animals!B85,'Base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stats'!O:O)=2,0.2,AN85) + 24*(1-IF(BD85="No",0,BD85)) + 16/3, 12),"No")</f>
        <v>No</v>
      </c>
      <c r="BF85" s="2">
        <f>IF(AND(_xlfn.XLOOKUP(_xlfn.XLOOKUP(B85,'Base stats'!B:B,'Base stats'!E:E),Groups!A:A,Groups!AQ:AQ)=1,AN85&lt;=0.35),8,12)</f>
        <v>12</v>
      </c>
      <c r="BG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H85" s="2" t="str">
        <f>IF(AND(_xlfn.XLOOKUP(_xlfn.XLOOKUP(B85,'Base stats'!B:B,'Base stats'!E:E),Groups!A:A,Groups!AS:AS)=1,OR('Base stats'!Y85="Carnivore",'Base stats'!Y85="Omnivore")),"true","false")</f>
        <v>true</v>
      </c>
      <c r="BI85" s="2">
        <f>IF(BH85="true",MROUND(IF(AND(AN85&gt;0.5,_xlfn.XLOOKUP(_xlfn.XLOOKUP(B85,'Base stats'!B:B,'Base stats'!E:E),Groups!A:A,Groups!AJ:AJ)="Mammal"),Animals!AN85*1.75*IF(AV85="true",1.5,1),Animals!AN85),IF(AN85&gt;2,0.5,IF(AN85&gt;0.5,0.25,0.1))),"No")</f>
        <v>0.5</v>
      </c>
      <c r="BJ85" s="2">
        <f t="shared" si="10"/>
        <v>1</v>
      </c>
      <c r="BK85" s="25">
        <f>IF('Base stats'!AK85="Standard","No",MROUND((_xlfn.XLOOKUP(B85,'Base stats'!B:B,'Base stats'!AK:AK)/3.6)/H85,0.1))</f>
        <v>1</v>
      </c>
      <c r="BL85" s="25" t="str">
        <f t="shared" si="11"/>
        <v>true</v>
      </c>
      <c r="BM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N85" s="25" t="str" cm="1">
        <f t="array" ref="BN85">IF(
  _xlfn.TEXTJOIN(", ",TRUE,
    IF(AND(BH85="true",AN85&gt;0.5,BG85&lt;&gt;"None"),"AttackTarget",""),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IF(BE85&lt;=36,"Comfort",""),
    IF(_xlfn.XLOOKUP(B85,'Base stats'!B:B,'Base stats'!AC:AC)&lt;&gt;"No",_xlfn.XLOOKUP(B85,'Base stats'!B:B,'Base stats'!AC:AC),"")
  ) = "",
  "No",
  _xlfn.TEXTJOIN(", ",TRUE,
    IF(AND(BH85="true",AN85&gt;0.5,BG85&lt;&gt;"None"),"AttackTarget",""),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IF(BE85&lt;=36,"Comfort",""),
    IF(_xlfn.XLOOKUP(B85,'Base stats'!B:B,'Base stats'!AC:AC)&lt;&gt;"No",_xlfn.XLOOKUP(B85,'Base stats'!B:B,'Base stats'!AC:AC),"")
  )
)</f>
        <v>No</v>
      </c>
      <c r="BO85" s="25">
        <f>IF(
   AND(
      'Base stats'!AK85="Standard",_xlfn.XLOOKUP(_xlfn.XLOOKUP(B85,'Base stats'!B:B,'Base stats'!E:E),Groups!A:A,Groups!AU:AU)=0,
      OR(
      BM85="True"
      )
   ),
   10,
   IF(
       OR(BK85&lt;&gt;"No",_xlfn.XLOOKUP(_xlfn.XLOOKUP(B85,'Base stats'!B:B,'Base stats'!E:E),Groups!A:A,Groups!AU:AU)=1),
      1,
      "No"
   )
)</f>
        <v>1</v>
      </c>
      <c r="BP85" s="9">
        <f>MROUND((1 + ((0.2*IF(OR(P85="No",Q85="No",Q85=0),0,P85/Q85)
+IF(OR(U85="No",R85="No",S85="No"),0,R85/S85*(LEN(U85)-LEN(SUBSTITUTE(U85,",",""))+1))
+IF(OR(W85="No",X85="No"),0,W85/X85)
+IF(OR(AC85="No",AD85="No"),0,AC85/AD85)
+IF(OR(AK85="No",AH85="No",AI85="No"),0,AH85/AI85*(LEN(AK85)-LEN(SUBSTITUTE(AK85,",",""))+1))
)/(0.2*IF(OR(P85="No",Q85="No",Q85=0),0,1)
+IF(OR(U85="No",R85="No",S85="No"),0,LEN(U85)-LEN(SUBSTITUTE(U85,",",""))+1)
+IF(OR(W85="No",X85="No"),0,1)
+IF(OR(AC85="No",AD85="No"),0,1)
+IF(OR(AK85="No",AH85="No",AI85="No"),0,LEN(AK85)-LEN(SUBSTITUTE(AK85,",",""))+1))*62%)* 2)*(1 + (AO85 + _xlfn.XLOOKUP(B85,'Base stats'!B:B,'Base stats'!AS:AS) * 1.8) * 2) * 2.5 + 10 + H85 * 2,5)+IF(_xlfn.XLOOKUP(B85,'Base stats'!B:B,'Base stats'!AH:AH)=1,50,0)</f>
        <v>50</v>
      </c>
      <c r="BQ85" s="8">
        <f t="shared" si="12"/>
        <v>0.35000000000000003</v>
      </c>
      <c r="BR85" s="8" t="str">
        <f>_xlfn.XLOOKUP(B85,'Base stats'!B:B,'Base stats'!AD:AD)</f>
        <v>No</v>
      </c>
      <c r="BS85" s="2" t="str">
        <f>IF(AND(I85&lt;=0.95,OR(_xlfn.XLOOKUP(B85,'Base stats'!B:B,'Base stats'!AH:AH)=1,_xlfn.XLOOKUP(B85,'Base stats'!B:B,'Base stats'!Y:Y)="Carnivore",_xlfn.XLOOKUP(B85,'Base stats'!B:B,'Base stats'!Y:Y)="Omnivore",BC85&gt;0.1)),"true","false")</f>
        <v>true</v>
      </c>
      <c r="BT85" s="2" t="str">
        <f>IF(_xlfn.XLOOKUP(B85,'Base stats'!B:B,'Base stats'!AF:AF)=1,"true","false")</f>
        <v>false</v>
      </c>
      <c r="BU85" s="25" t="str">
        <f>IF(E85="BaseInsect","AnimalInsect",
IF(I85&gt;0.95,"AnimalExotic",
_xlfn.TEXTJOIN(", ",TRUE,
IF(AND(_xlfn.XLOOKUP(B85,'Base stats'!B:B,'Base stats'!O:O)=0,_xlfn.XLOOKUP(_xlfn.XLOOKUP(B85,'Base stats'!B:B,'Base stats'!E:E),Groups!A:A,Groups!B:B)&gt;0),"AnimalUncommon","AnimalCommon"),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stats'!AH:AH)=1,AND(BG85&lt;&gt;"None",BP85&gt;=60),ISNUMBER(SEARCH("Attack target",BN85))),"AnimalFighter","")
)))</f>
        <v>AnimalUncommon</v>
      </c>
      <c r="BV85" s="25" t="str">
        <f>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</f>
        <v>ColdBog TemperateSwamp</v>
      </c>
      <c r="BW85" s="25" t="str">
        <f>IF(_xlfn.XLOOKUP(B85,'Base stats'!B:B,'Base stats'!AG:AG)=1,"true","false")</f>
        <v>false</v>
      </c>
      <c r="BX85" s="25">
        <f>IF(_xlfn.XLOOKUP(B85,'Base stats'!B:B,'Base stats'!N:N)=1,"No",MIN(MROUND(IF(OR(_xlfn.XLOOKUP(B85,'Base stats'!B:B,'Base stats'!AJ:AJ)=1,AND(BH85="True",CA85="False")),POWER(10,3.47*LOG10(_xlfn.XLOOKUP(B85,'Base stats'!B:B,'Base stats'!C:C)*1000)^-0.96),POWER(10,4.15*LOG10(_xlfn.XLOOKUP(B85,'Base stats'!B:B,'Base stats'!C:C)*1000)^-0.73))*IF(OR(_xlfn.XLOOKUP(B85,'Base stats'!B:B,'Base stats'!AJ:AJ)=1,_xlfn.XLOOKUP(B85,'Base stats'!B:B,'Base stats'!AH:AH)=1),0.5,1)/100,0.025),1))</f>
        <v>7.5000000000000011E-2</v>
      </c>
      <c r="BY85" s="25" t="str">
        <f>IF(O85="Standard","No",IF(_xlfn.XLOOKUP(B85,'Base stats'!B:B,'Base stats'!N:N)=0,MROUND(BX85*O85,0.05),MIN(1,MAX(0.025,MROUND(IF(OR(CA85="true",AND(BH85="false",BM85="false")),POWER(10,4.15*LOG10(_xlfn.XLOOKUP(B85,'Base stats'!B:B,'Base stats'!C:C)*1000)^-0.73),POWER(10,3.47*LOG10(_xlfn.XLOOKUP(B85,'Base stats'!B:B,'Base stats'!C:C)*1000)^-0.96))*IF(_xlfn.XLOOKUP(B85,'Base stats'!B:B,'Base stats'!AH:AH)=1,0.5,1)/100,0.025)))))</f>
        <v>No</v>
      </c>
      <c r="BZ85" s="25" t="str">
        <f>IF(_xlfn.XLOOKUP(_xlfn.XLOOKUP(B85,'Base stats'!B:B,'Base stats'!E:E),Groups!A:A,Groups!AJ:AJ)="Mammal","True","False")</f>
        <v>True</v>
      </c>
      <c r="CA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B85" s="25" t="str">
        <f t="shared" si="13"/>
        <v>False</v>
      </c>
      <c r="CC85" s="25" t="str">
        <f>IF(_xlfn.XLOOKUP(_xlfn.XLOOKUP(B85,'Base stats'!B:B,'Base stats'!E:E),Groups!A:A,Groups!AW:AW),"True","False")</f>
        <v>False</v>
      </c>
      <c r="CD85" s="25" t="str">
        <f>IF(_xlfn.XLOOKUP(_xlfn.XLOOKUP(B85,'Base stats'!B:B,'Base stats'!E:E),Groups!A:A,Groups!AX:AX),"True","False")</f>
        <v>False</v>
      </c>
      <c r="CE85" s="25" t="str">
        <f>IF(_xlfn.XLOOKUP(B85,'Base stats'!B:B,'Base stats'!E:E)=1,"True","False")</f>
        <v>False</v>
      </c>
      <c r="CF85" s="25" t="str">
        <f>IF(
OR(
_xlfn.XLOOKUP(_xlfn.XLOOKUP(B85,'Base stats'!B:B,'Base stats'!E:E),Groups!A:A,Groups!AY:AY)=0,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stats'!E:E),Groups!A:A,Groups!AY:AY)=1,
"Flesh",
IF(
_xlfn.XLOOKUP(_xlfn.XLOOKUP(B85,'Base stats'!B:B,'Base stats'!E:E),Groups!A:A,Groups!AY:AY)=2,
"Bone",
""
)
)
)</f>
        <v>No</v>
      </c>
      <c r="CG85" s="25" t="str">
        <f>IF(_xlfn.XLOOKUP(_xlfn.XLOOKUP(B85,'Base stats'!B:B,'Base stats'!E:E),Groups!A:A,Groups!BA:BA),"True","False")</f>
        <v>True</v>
      </c>
      <c r="CH85" s="25" t="str">
        <f>IF(_xlfn.XLOOKUP(_xlfn.XLOOKUP(B85,'Base stats'!B:B,'Base stats'!E:E),Groups!A:A,Groups!AZ:AZ),"True","False")</f>
        <v>False</v>
      </c>
    </row>
    <row r="86" spans="1:86" ht="16.5" thickTop="1" thickBot="1" x14ac:dyDescent="0.3">
      <c r="A86" s="26" t="str">
        <f>_xlfn.XLOOKUP(B86,'Base stats'!B:B,'Base stats'!A:A)</f>
        <v>SeaLion</v>
      </c>
      <c r="B86" s="6" t="s">
        <v>225</v>
      </c>
      <c r="C86" s="28" t="s">
        <v>778</v>
      </c>
      <c r="D86" s="28" t="s">
        <v>882</v>
      </c>
      <c r="E86" s="28" t="s">
        <v>685</v>
      </c>
      <c r="F86" s="28" t="s">
        <v>685</v>
      </c>
      <c r="G86" s="2">
        <f>MROUND((
  (IF(AND(_xlfn.XLOOKUP(B86,'Base stats'!B:B,'Base stats'!AI:AI)=0,BG86="None",_xlfn.XLOOKUP('Base stats'!E86,Groups!A:A,Groups!B:B)=0), (18 + BP86 * 2.7) * 0.5,
    IF(AND(_xlfn.XLOOKUP(B86,'Base stats'!B:B,'Base stats'!AI:AI)=0,OR(AN86&lt;0.55,AND(BG86="Intermediate",_xlfn.XLOOKUP('Base stats'!E86,Groups!A:A,Groups!B:B)&lt;2))), (18 + BP86 * 2.7),
      IF(OR(BG86="Advanced",_xlfn.XLOOKUP(B86,'Base stats'!B:B,'Base stats'!AI:AI)=1,_xlfn.XLOOKUP('Base stats'!E86,Groups!A:A,Groups!B:B)=2), (18 + BP86 * 2.7) + 250, (18 + BP86 * 2.7))
    )
  ))
  + AN86 * 80
  + IF(COUNTIF(EggMilk!K$2:K$998, A86) &gt; 0, 125, 0)
  + IF(COUNTIF(EggMilk!P$2:P$998, A86) &gt; 0, 90, 0)
  + IF(COUNTIF(EggMilk!A$2:A$998, A86) &gt; 0, 90, 0)
)
* (0.8 + 0.4 * I86)
* 0.75,25)</f>
        <v>550</v>
      </c>
      <c r="H86" s="2">
        <f>MROUND(ROUNDDOWN(_xlfn.XLOOKUP(B86,'Base stats'!B:B,'Base stats'!L:L)/3.6/(23.3/11),1),0.5)</f>
        <v>3</v>
      </c>
      <c r="I86" s="2">
        <f>IF(_xlfn.XLOOKUP(B86,'Base stats'!B:B,'Base stats'!AI:AI)=1,0.99,MIN(MROUND((1-0.6282*EXP(-0.459*AN86))*_xlfn.XLOOKUP(_xlfn.XLOOKUP(B86,'Base stats'!B:B,'Base stats'!E:E),Groups!A:A,Groups!C:C)*IF(_xlfn.XLOOKUP(B86,'Base stats'!B:B,'Base stats'!O:O)=1,0.5,IF(_xlfn.XLOOKUP(B86,'Base stats'!B:B,'Base stats'!O:O)=2,0,1)),0.05),0.985))</f>
        <v>0.75</v>
      </c>
      <c r="J86" s="2">
        <f>ROUNDUP(AN86*_xlfn.XLOOKUP(_xlfn.XLOOKUP(B86,'Base stats'!B:B,'Base stats'!E:E),Groups!A:A,Groups!E:E),0)</f>
        <v>2</v>
      </c>
      <c r="K86" s="2">
        <f>IF(OR(_xlfn.XLOOKUP(_xlfn.XLOOKUP(B86,'Base stats'!B:B,'Base stats'!E:E),Groups!A:A,Groups!F:F)=2,ISNUMBER(SEARCH("SeaIce",BV86)),ISNUMBER(SEARCH("IceSheet",BV86))),-50,IF(OR(ISNUMBER(SEARCH("GlacialPlain",BV86)),ISNUMBER(SEARCH("Tundra",BV86))),-40,IF(OR(ISNUMBER(SEARCH("Alpine",BV86)),ISNUMBER(SEARCH("BorealForest",BV86)),ISNUMBER(SEARCH("ColdBog",BV86))),-30,IF(OR(ISNUMBER(SEARCH("TemperateForest",BV86)),ISNUMBER(SEARCH("TemperateSwamp",BV86))),-20,IF(_xlfn.XLOOKUP(_xlfn.XLOOKUP(B86,'Base stats'!B:B,'Base stats'!E:E),Groups!A:A,Groups!F:F)=1,-15,IF(OR(ISNUMBER(SEARCH("Desert",BV86)),ISNUMBER(SEARCH("ExtremeDesert",BV86))),-10,IF(OR(ISNUMBER(SEARCH("Grasslands",BV86)),ISNUMBER(SEARCH("TropicalRainforest",BV86)),ISNUMBER(SEARCH("TropicalSwamp",BV86))),10,0)))))))-IF(CA86="False",MIN(IFERROR(MAX(MROUND(LOG10(_xlfn.XLOOKUP(B86,'Base stats'!B:B,'Base stats'!C:C)^(2/3))*10,5),5),5),30))-_xlfn.XLOOKUP(B86,'Base stats'!B:B,'Base stats'!P:P)+IF(CA86="True",5,0)</f>
        <v>-65</v>
      </c>
      <c r="L86" s="2">
        <f>IF(OR(_xlfn.XLOOKUP(_xlfn.XLOOKUP(B86,'Base stats'!B:B,'Base stats'!E:E),Groups!A:A,Groups!G:G)=2,ISNUMBER(SEARCH("Desert",BV86)),ISNUMBER(SEARCH("ExtremeDesert",BV86)),ISNUMBER(SEARCH("LavaField",BV86))),50,IF(ISNUMBER(SEARCH("Grasslands",BV86)),45,IF(OR(_xlfn.XLOOKUP(_xlfn.XLOOKUP(B86,'Base stats'!B:B,'Base stats'!E:E),Groups!A:A,Groups!G:G)=1,ISNUMBER(SEARCH("TropicalRainforest",BV86)),ISNUMBER(SEARCH("TropicalSwamp",BV86))),40,IF(OR(ISNUMBER(SEARCH("TemperateForest",BV86)),ISNUMBER(SEARCH("TemperateSwamp",BV86))),35,IF(OR(ISNUMBER(SEARCH("Alpine",BV86)),ISNUMBER(SEARCH("BorealForest",BV86)),ISNUMBER(SEARCH("ColdBog",BV86))),30,IF(ISNUMBER(OR(ISNUMBER(SEARCH("GlacialPlain",BV86)),SEARCH("Tundra",BV86))),25,IF(OR(ISNUMBER(SEARCH("SeaIce",BV86)),ISNUMBER(SEARCH("IceSheet",BV86)),ISNUMBER(SEARCH("TropicalSwamp",BV86))),10,35)))))))+_xlfn.XLOOKUP(B86,'Base stats'!B:B,'Base stats'!Q:Q)</f>
        <v>35</v>
      </c>
      <c r="M86" s="8" t="str">
        <f>IF(_xlfn.XLOOKUP(_xlfn.XLOOKUP(B86,'Base stats'!B:B,'Base stats'!E:E),Groups!A:A,Groups!L:L)=1,MIN(MROUND(_xlfn.XLOOKUP(B86,'Animals CE'!B:B,'Animals CE'!Z:Z)/2+0.05,0.05),200%),"No")</f>
        <v>No</v>
      </c>
      <c r="N86" s="8" t="str">
        <f>IF(_xlfn.XLOOKUP(_xlfn.XLOOKUP(B86,'Base stats'!B:B,'Base stats'!E:E),Groups!A:A,Groups!L:L)=1,MIN(MROUND(_xlfn.XLOOKUP(B86,'Animals CE'!B:B,'Animals CE'!AA:AA)/2+0.05,0.05),200%),"No")</f>
        <v>No</v>
      </c>
      <c r="O86" s="2" t="str">
        <f>_xlfn.XLOOKUP(B86,'Base stats'!B:B,'Base stats'!R:R)</f>
        <v>Standard</v>
      </c>
      <c r="P86" s="13">
        <f>MROUND((LOG10(_xlfn.XLOOKUP(B86,'Base stats'!B:B,'Base stats'!AO:AO))*(AN86^0.5)+(_xlfn.XLOOKUP(B86,'Base stats'!B:B,'Base stats'!AO:AO)/1000)^(2/3)+_xlfn.XLOOKUP(B86,'Base stats'!B:B,'Base stats'!AX:AX)/2)+0.5,0.5)</f>
        <v>11.5</v>
      </c>
      <c r="Q86" s="7">
        <f>IF(P86="No","No",MAX(1,MROUND(_xlfn.XLOOKUP(B86,'Base stats'!B:B,'Base stats'!C:C)^0.165,0.05)))</f>
        <v>2.4500000000000002</v>
      </c>
      <c r="R86" s="13" t="str">
        <f>IF(_xlfn.XLOOKUP(_xlfn.XLOOKUP(B86,'Base stats'!B:B,'Base stats'!E:E),Groups!A:A,Groups!P:P)=0,"No",MROUND((LOG10(_xlfn.XLOOKUP(B86,'Base stats'!B:B,'Base stats'!AP:AP))*(AN86^0.5)+(_xlfn.XLOOKUP(B86,'Base stats'!B:B,'Base stats'!AP:AP)/1000)^(2/3)+_xlfn.XLOOKUP(B86,'Base stats'!B:B,'Base stats'!AX:AX))+_xlfn.XLOOKUP(B86,'Base stats'!B:B,'Base stats'!AV:AV)+0.5,0.5))</f>
        <v>No</v>
      </c>
      <c r="S86" s="7" t="str">
        <f>IF(R86="No","No",MAX(_xlfn.XLOOKUP(_xlfn.XLOOKUP(B86,'Base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T86" s="7" t="str">
        <f>IF(R86="No","No",_xlfn.XLOOKUP(_xlfn.XLOOKUP(B86,'Base stats'!B:B,'Base stats'!E:E),Groups!A:A,Groups!R:R))</f>
        <v>No</v>
      </c>
      <c r="U86" s="7" t="str">
        <f>IF(R86="No","No",_xlfn.XLOOKUP(_xlfn.XLOOKUP(B86,'Base stats'!B:B,'Base stats'!E:E),Groups!A:A,Groups!S:S))</f>
        <v>No</v>
      </c>
      <c r="V86" s="7" t="str">
        <f>IF(R86="No","No",_xlfn.XLOOKUP(_xlfn.XLOOKUP(B86,'Base stats'!B:B,'Base stats'!E:E),Groups!A:A,Groups!T:T))</f>
        <v>No</v>
      </c>
      <c r="W86" s="13" t="str">
        <f>IF(_xlfn.XLOOKUP(B86,'Base stats'!B:B,'Base stats'!W:W)="No","No",MROUND((LOG10(_xlfn.XLOOKUP(B86,'Base stats'!B:B,'Base stats'!AR:AR))*(AN86^0.5)+(_xlfn.XLOOKUP(B86,'Base stats'!B:B,'Base stats'!AR:AR)/1000)^(2/3)+_xlfn.XLOOKUP(B86,'Base stats'!B:B,'Base stats'!AW:AW))+0.5+IF(_xlfn.XLOOKUP(_xlfn.XLOOKUP(B86,'Base stats'!B:B,'Base stats'!E:E),Groups!A:A,Groups!U:U)&lt;&gt;3,_xlfn.XLOOKUP(B86,'Base stats'!B:B,'Base stats'!AX:AX),0),0.5))</f>
        <v>No</v>
      </c>
      <c r="X86" s="7" t="str">
        <f>IF(W86="No","No",MAX(_xlfn.XLOOKUP(_xlfn.XLOOKUP(B86,'Base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Y86" s="7" t="str">
        <f>IF(W86="No","No",_xlfn.XLOOKUP(_xlfn.XLOOKUP(B86,'Base stats'!B:B,'Base stats'!E:E),Groups!A:A,Groups!W:W))</f>
        <v>No</v>
      </c>
      <c r="Z86" s="7" t="str">
        <f>IF(W86="No","No",_xlfn.XLOOKUP(_xlfn.XLOOKUP(B86,'Base stats'!B:B,'Base stats'!E:E),Groups!A:A,Groups!X:X))</f>
        <v>No</v>
      </c>
      <c r="AA86" s="7" t="str">
        <f>IF(W86="No","No",_xlfn.XLOOKUP(_xlfn.XLOOKUP(B86,'Base stats'!B:B,'Base stats'!E:E),Groups!A:A,Groups!Y:Y))</f>
        <v>No</v>
      </c>
      <c r="AB86" s="7" t="str">
        <f>_xlfn.XLOOKUP(Animals!B86,'Base stats'!B:B,'Base stats'!X:X)</f>
        <v>False</v>
      </c>
      <c r="AC86" s="13">
        <f>IF(_xlfn.XLOOKUP(B86,'Base stats'!B:B,'Base stats'!AQ:AQ)="No","No",MROUND((LOG10(_xlfn.XLOOKUP(B86,'Base stats'!B:B,'Base stats'!AQ:AQ))*(AN86^0.75)+(_xlfn.XLOOKUP(B86,'Base stats'!B:B,'Base stats'!AQ:AQ)/1000)^(2/3)+_xlfn.XLOOKUP(B86,'Base stats'!B:B,'Base stats'!AU:AU)+_xlfn.XLOOKUP(B86,'Base stats'!B:B,'Base stats'!AX:AX))+0.5,0.5))</f>
        <v>19</v>
      </c>
      <c r="AD86" s="7">
        <f>IF(AC86="No","No",MAX(_xlfn.XLOOKUP(_xlfn.XLOOKUP(B86,'Base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2.1</v>
      </c>
      <c r="AE86" s="7" t="str">
        <f>IF(AC86="No","No",_xlfn.XLOOKUP(_xlfn.XLOOKUP(B86,'Base stats'!B:B,'Base stats'!E:E),Groups!A:A,Groups!AA:AA))</f>
        <v>Teeth</v>
      </c>
      <c r="AF86" s="7" t="str">
        <f>IF(AC86="No","No",_xlfn.XLOOKUP(_xlfn.XLOOKUP(B86,'Base stats'!B:B,'Base stats'!E:E),Groups!A:A,Groups!AB:AB))</f>
        <v>canines</v>
      </c>
      <c r="AG86" s="7" t="str">
        <f>IF(AC86="No","No",_xlfn.XLOOKUP(_xlfn.XLOOKUP(B86,'Base stats'!B:B,'Base stats'!E:E),Groups!A:A,Groups!AC:AC))</f>
        <v>Bite</v>
      </c>
      <c r="AH86" s="13" t="str">
        <f>IF(_xlfn.XLOOKUP(_xlfn.XLOOKUP(B86,'Base stats'!B:B,'Base stats'!E:E),Groups!A:A,Groups!AD:AD)=0,"No",MROUND((LOG10(_xlfn.XLOOKUP(B86,'Base stats'!B:B,'Base stats'!AP:AP))*(AN86^0.75)+(_xlfn.XLOOKUP(B86,'Base stats'!B:B,'Base stats'!AP:AP)/1000)^(2/3)+_xlfn.XLOOKUP(B86,'Base stats'!B:B,'Base stats'!AV:AV)+_xlfn.XLOOKUP(B86,'Base stats'!B:B,'Base stats'!AX:AX))+0.5,0.5))</f>
        <v>No</v>
      </c>
      <c r="AI86" s="7" t="str">
        <f>IF(AH86="No","No",MAX(_xlfn.XLOOKUP(_xlfn.XLOOKUP(B86,'Base stats'!B:B,'Base stats'!E:E),Groups!A:A,Groups!AE:AE),MROUND(_xlfn.XLOOKUP(_xlfn.XLOOKUP(B86,'Base stats'!B:B,'Base stats'!E:E),Groups!A:A,Groups!AE:AE)*_xlfn.XLOOKUP(B86,'Base stats'!B:B,'Base stats'!C:C)^0.165,0.05)))</f>
        <v>No</v>
      </c>
      <c r="AJ86" s="7" t="str">
        <f>IF(AH86="No","No",_xlfn.XLOOKUP(_xlfn.XLOOKUP(B86,'Base stats'!B:B,'Base stats'!E:E),Groups!A:A,Groups!AF:AF))</f>
        <v>No</v>
      </c>
      <c r="AK86" s="7" t="str">
        <f>IF(AH86="No","No",_xlfn.XLOOKUP(_xlfn.XLOOKUP(B86,'Base stats'!B:B,'Base stats'!E:E),Groups!A:A,Groups!AG:AG))</f>
        <v>No</v>
      </c>
      <c r="AL86" s="7" t="str">
        <f>IF(AH86="No","No",_xlfn.XLOOKUP(_xlfn.XLOOKUP(B86,'Base stats'!B:B,'Base stats'!E:E),Groups!A:A,Groups!AH:AH))</f>
        <v>No</v>
      </c>
      <c r="AM86" s="2">
        <f t="shared" si="7"/>
        <v>25</v>
      </c>
      <c r="AN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2</v>
      </c>
      <c r="AO86" s="8">
        <f>MROUND(AN86*_xlfn.XLOOKUP(_xlfn.XLOOKUP(B86,'Base stats'!B:B,'Base stats'!E:E),Groups!A:A,Groups!AI:AI),0.05)</f>
        <v>2.4000000000000004</v>
      </c>
      <c r="AP86" s="8">
        <f>MAX(0.01,MROUND(IF(CA86="True",0.196*(AN86*100*1000)^0.889,IF(_xlfn.XLOOKUP(_xlfn.XLOOKUP(B86,'Base stats'!B:B,'Base stats'!E:E),Groups!A:A,Groups!AJ:AJ)="Bird",10.5*(AN86*100*1000)^0.681,4.82*(AN86*100*1000)^0.734))/(4.82*(1*100*1000)^0.734)/IF(AN86&lt;3.5,2,IF(AN86=3.5,1.5,1.25))*(1+0.132282374779864/(AN86^0.994035016789033+0.00905238001496948)),0.05))</f>
        <v>0.9</v>
      </c>
      <c r="AQ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R86" s="35">
        <f>IFERROR(IF(_xlfn.XLOOKUP(B86,'Base stats'!B:B,'Base stats'!F:F)="Lay eggs","Lay eggs",MIN(20,MAX(5.5,ROUND(((_xlfn.XLOOKUP(B86,'Base stats'!B:B,'Base stats'!F:F)-25)*(14.5/615) + 5.5)*2,0)/2))),"Cannot breed")</f>
        <v>11</v>
      </c>
      <c r="AS86" s="8">
        <f>IF(OR(A86="Queen",A86="Larva",A86="Megachicken"),"No",IFERROR(MAX(IF(_xlfn.XLOOKUP(B86,'Base stats'!B:B,'Base stats'!G:G)&lt;0.5,0.2,0.3),MROUND(_xlfn.XLOOKUP(B86,'Base stats'!B:B,'Base stats'!G:G)/(365/60),0.2)),"Unknown"))</f>
        <v>0.4</v>
      </c>
      <c r="AT86" s="8">
        <f t="shared" si="8"/>
        <v>0.2</v>
      </c>
      <c r="AU86" s="8">
        <f>IFERROR(IFERROR(MROUND(_xlfn.XLOOKUP(B86,'Base stats'!B:B,'Base stats'!J:J),0.1),"Lay eggs"),"Cannot breed")</f>
        <v>1.2000000000000002</v>
      </c>
      <c r="AV86" s="2" t="str">
        <f t="shared" si="9"/>
        <v>true</v>
      </c>
      <c r="AW86" s="2" t="str">
        <f>IF(_xlfn.XLOOKUP(_xlfn.XLOOKUP(Animals!B86,'Base stats'!B:B,'Base stats'!E:E),Groups!A:A,Groups!AK:AK)=1,"true","false")</f>
        <v>false</v>
      </c>
      <c r="AX86" s="25" t="str">
        <f>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</f>
        <v>CarnivoreAnimal, OvivoreAnimal</v>
      </c>
      <c r="AY86" s="2" t="str">
        <f>IF(_xlfn.XLOOKUP(_xlfn.XLOOKUP(B86,'Base stats'!B:B,'Base stats'!E:E),Groups!A:A,Groups!D:D)=1,MROUND((1-I86)*5+1,2)*IF(I86&lt;=0.4,2,1),"No")</f>
        <v>No</v>
      </c>
      <c r="AZ86" s="2" t="str">
        <f>_xlfn.XLOOKUP(B86,'Base stats'!B:B,'Base stats'!AE:AE)</f>
        <v>Leather_Sealskin</v>
      </c>
      <c r="BA86" s="23" t="str">
        <f>_xlfn.XLOOKUP(_xlfn.XLOOKUP(B86,'Base stats'!B:B,'Base stats'!E:E),Groups!A:A,Groups!AL:AL)</f>
        <v>Pinniped</v>
      </c>
      <c r="BB86" s="23">
        <f>MROUND(IF(AND(AN86&lt;0.5,_xlfn.XLOOKUP(B86,'Base stats'!B:B,'Base stats'!Z:Z)=0),0,IF(OR(_xlfn.XLOOKUP(Animals!B86,'Base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stats'!AA:AA),0.005)</f>
        <v>0</v>
      </c>
      <c r="BC86" s="23">
        <f>MROUND(IF(AND(AN86&lt;0.5,_xlfn.XLOOKUP(B86,'Base stats'!B:B,'Base stats'!Z:Z)=0),0,IF(_xlfn.XLOOKUP(_xlfn.XLOOKUP(B86,'Base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stats'!AB:AB),0.005)</f>
        <v>0</v>
      </c>
      <c r="BD86" s="2" t="str">
        <f>IF(I86&gt;0.3,"No",_xlfn.XLOOKUP(_xlfn.XLOOKUP(Animals!B86,'Base stats'!B:B,'Base stats'!E:E),Groups!A:A,Groups!AP:AP))</f>
        <v>No</v>
      </c>
      <c r="BE86" s="2" t="str">
        <f>IF(AND(I86&lt;=0.65,_xlfn.XLOOKUP(_xlfn.XLOOKUP(Animals!B86,'Base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stats'!O:O)=2,0.2,AN86) + 24*(1-IF(BD86="No",0,BD86)) + 16/3, 12),"No")</f>
        <v>No</v>
      </c>
      <c r="BF86" s="2">
        <f>IF(AND(_xlfn.XLOOKUP(_xlfn.XLOOKUP(B86,'Base stats'!B:B,'Base stats'!E:E),Groups!A:A,Groups!AQ:AQ)=1,AN86&lt;=0.35),8,12)</f>
        <v>12</v>
      </c>
      <c r="BG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H86" s="2" t="str">
        <f>IF(AND(_xlfn.XLOOKUP(_xlfn.XLOOKUP(B86,'Base stats'!B:B,'Base stats'!E:E),Groups!A:A,Groups!AS:AS)=1,OR('Base stats'!Y86="Carnivore",'Base stats'!Y86="Omnivore")),"true","false")</f>
        <v>true</v>
      </c>
      <c r="BI86" s="2">
        <f>IF(BH86="true",MROUND(IF(AND(AN86&gt;0.5,_xlfn.XLOOKUP(_xlfn.XLOOKUP(B86,'Base stats'!B:B,'Base stats'!E:E),Groups!A:A,Groups!AJ:AJ)="Mammal"),Animals!AN86*1.75*IF(AV86="true",1.5,1),Animals!AN86),IF(AN86&gt;2,0.5,IF(AN86&gt;0.5,0.25,0.1))),"No")</f>
        <v>5.25</v>
      </c>
      <c r="BJ86" s="2">
        <f t="shared" si="10"/>
        <v>1</v>
      </c>
      <c r="BK86" s="25">
        <f>IF('Base stats'!AK86="Standard","No",MROUND((_xlfn.XLOOKUP(B86,'Base stats'!B:B,'Base stats'!AK:AK)/3.6)/H86,0.1))</f>
        <v>1.9000000000000001</v>
      </c>
      <c r="BL86" s="25" t="str">
        <f t="shared" si="11"/>
        <v>true</v>
      </c>
      <c r="BM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N86" s="25" t="str" cm="1">
        <f t="array" ref="BN86">IF(
  _xlfn.TEXTJOIN(", ",TRUE,
    IF(AND(BH86="true",AN86&gt;0.5,BG86&lt;&gt;"None"),"AttackTarget",""),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IF(BE86&lt;=36,"Comfort",""),
    IF(_xlfn.XLOOKUP(B86,'Base stats'!B:B,'Base stats'!AC:AC)&lt;&gt;"No",_xlfn.XLOOKUP(B86,'Base stats'!B:B,'Base stats'!AC:AC),"")
  ) = "",
  "No",
  _xlfn.TEXTJOIN(", ",TRUE,
    IF(AND(BH86="true",AN86&gt;0.5,BG86&lt;&gt;"None"),"AttackTarget",""),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IF(BE86&lt;=36,"Comfort",""),
    IF(_xlfn.XLOOKUP(B86,'Base stats'!B:B,'Base stats'!AC:AC)&lt;&gt;"No",_xlfn.XLOOKUP(B86,'Base stats'!B:B,'Base stats'!AC:AC),"")
  )
)</f>
        <v>AttackTarget</v>
      </c>
      <c r="BO86" s="25">
        <f>IF(
   AND(
      'Base stats'!AK86="Standard",_xlfn.XLOOKUP(_xlfn.XLOOKUP(B86,'Base stats'!B:B,'Base stats'!E:E),Groups!A:A,Groups!AU:AU)=0,
      OR(
      BM86="True"
      )
   ),
   10,
   IF(
       OR(BK86&lt;&gt;"No",_xlfn.XLOOKUP(_xlfn.XLOOKUP(B86,'Base stats'!B:B,'Base stats'!E:E),Groups!A:A,Groups!AU:AU)=1),
      1,
      "No"
   )
)</f>
        <v>1</v>
      </c>
      <c r="BP86" s="9">
        <f>MROUND((1 + ((0.2*IF(OR(P86="No",Q86="No",Q86=0),0,P86/Q86)
+IF(OR(U86="No",R86="No",S86="No"),0,R86/S86*(LEN(U86)-LEN(SUBSTITUTE(U86,",",""))+1))
+IF(OR(W86="No",X86="No"),0,W86/X86)
+IF(OR(AC86="No",AD86="No"),0,AC86/AD86)
+IF(OR(AK86="No",AH86="No",AI86="No"),0,AH86/AI86*(LEN(AK86)-LEN(SUBSTITUTE(AK86,",",""))+1))
)/(0.2*IF(OR(P86="No",Q86="No",Q86=0),0,1)
+IF(OR(U86="No",R86="No",S86="No"),0,LEN(U86)-LEN(SUBSTITUTE(U86,",",""))+1)
+IF(OR(W86="No",X86="No"),0,1)
+IF(OR(AC86="No",AD86="No"),0,1)
+IF(OR(AK86="No",AH86="No",AI86="No"),0,LEN(AK86)-LEN(SUBSTITUTE(AK86,",",""))+1))*62%)* 2)*(1 + (AO86 + _xlfn.XLOOKUP(B86,'Base stats'!B:B,'Base stats'!AS:AS) * 1.8) * 2) * 2.5 + 10 + H86 * 2,5)+IF(_xlfn.XLOOKUP(B86,'Base stats'!B:B,'Base stats'!AH:AH)=1,50,0)</f>
        <v>180</v>
      </c>
      <c r="BQ86" s="8">
        <f t="shared" si="12"/>
        <v>1.1000000000000001</v>
      </c>
      <c r="BR86" s="8" t="str">
        <f>_xlfn.XLOOKUP(B86,'Base stats'!B:B,'Base stats'!AD:AD)</f>
        <v>5~15</v>
      </c>
      <c r="BS86" s="2" t="str">
        <f>IF(AND(I86&lt;=0.95,OR(_xlfn.XLOOKUP(B86,'Base stats'!B:B,'Base stats'!AH:AH)=1,_xlfn.XLOOKUP(B86,'Base stats'!B:B,'Base stats'!Y:Y)="Carnivore",_xlfn.XLOOKUP(B86,'Base stats'!B:B,'Base stats'!Y:Y)="Omnivore",BC86&gt;0.1)),"true","false")</f>
        <v>true</v>
      </c>
      <c r="BT86" s="2" t="str">
        <f>IF(_xlfn.XLOOKUP(B86,'Base stats'!B:B,'Base stats'!AF:AF)=1,"true","false")</f>
        <v>false</v>
      </c>
      <c r="BU86" s="25" t="str">
        <f>IF(E86="BaseInsect","AnimalInsect",
IF(I86&gt;0.95,"AnimalExotic",
_xlfn.TEXTJOIN(", ",TRUE,
IF(AND(_xlfn.XLOOKUP(B86,'Base stats'!B:B,'Base stats'!O:O)=0,_xlfn.XLOOKUP(_xlfn.XLOOKUP(B86,'Base stats'!B:B,'Base stats'!E:E),Groups!A:A,Groups!B:B)&gt;0),"AnimalUncommon","AnimalCommon"),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stats'!AH:AH)=1,AND(BG86&lt;&gt;"None",BP86&gt;=60),ISNUMBER(SEARCH("Attack target",BN86))),"AnimalFighter","")
)))</f>
        <v>AnimalCommon, AnimalFighter</v>
      </c>
      <c r="BV86" s="25" t="str">
        <f>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</f>
        <v>SeaIce IceSheet Tundra BorealForest ColdBog TemperateForest TemperateSwamp GlacialPlain</v>
      </c>
      <c r="BW86" s="25" t="str">
        <f>IF(_xlfn.XLOOKUP(B86,'Base stats'!B:B,'Base stats'!AG:AG)=1,"true","false")</f>
        <v>true</v>
      </c>
      <c r="BX86" s="25">
        <f>IF(_xlfn.XLOOKUP(B86,'Base stats'!B:B,'Base stats'!N:N)=1,"No",MIN(MROUND(IF(OR(_xlfn.XLOOKUP(B86,'Base stats'!B:B,'Base stats'!AJ:AJ)=1,AND(BH86="True",CA86="False")),POWER(10,3.47*LOG10(_xlfn.XLOOKUP(B86,'Base stats'!B:B,'Base stats'!C:C)*1000)^-0.96),POWER(10,4.15*LOG10(_xlfn.XLOOKUP(B86,'Base stats'!B:B,'Base stats'!C:C)*1000)^-0.73))*IF(OR(_xlfn.XLOOKUP(B86,'Base stats'!B:B,'Base stats'!AJ:AJ)=1,_xlfn.XLOOKUP(B86,'Base stats'!B:B,'Base stats'!AH:AH)=1),0.5,1)/100,0.025),1))</f>
        <v>0.05</v>
      </c>
      <c r="BY86" s="25" t="str">
        <f>IF(O86="Standard","No",IF(_xlfn.XLOOKUP(B86,'Base stats'!B:B,'Base stats'!N:N)=0,MROUND(BX86*O86,0.05),MIN(1,MAX(0.025,MROUND(IF(OR(CA86="true",AND(BH86="false",BM86="false")),POWER(10,4.15*LOG10(_xlfn.XLOOKUP(B86,'Base stats'!B:B,'Base stats'!C:C)*1000)^-0.73),POWER(10,3.47*LOG10(_xlfn.XLOOKUP(B86,'Base stats'!B:B,'Base stats'!C:C)*1000)^-0.96))*IF(_xlfn.XLOOKUP(B86,'Base stats'!B:B,'Base stats'!AH:AH)=1,0.5,1)/100,0.025)))))</f>
        <v>No</v>
      </c>
      <c r="BZ86" s="25" t="str">
        <f>IF(_xlfn.XLOOKUP(_xlfn.XLOOKUP(B86,'Base stats'!B:B,'Base stats'!E:E),Groups!A:A,Groups!AJ:AJ)="Mammal","True","False")</f>
        <v>True</v>
      </c>
      <c r="CA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B86" s="25" t="str">
        <f t="shared" si="13"/>
        <v>False</v>
      </c>
      <c r="CC86" s="25" t="str">
        <f>IF(_xlfn.XLOOKUP(_xlfn.XLOOKUP(B86,'Base stats'!B:B,'Base stats'!E:E),Groups!A:A,Groups!AW:AW),"True","False")</f>
        <v>False</v>
      </c>
      <c r="CD86" s="25" t="str">
        <f>IF(_xlfn.XLOOKUP(_xlfn.XLOOKUP(B86,'Base stats'!B:B,'Base stats'!E:E),Groups!A:A,Groups!AX:AX),"True","False")</f>
        <v>False</v>
      </c>
      <c r="CE86" s="25" t="str">
        <f>IF(_xlfn.XLOOKUP(B86,'Base stats'!B:B,'Base stats'!E:E)=1,"True","False")</f>
        <v>False</v>
      </c>
      <c r="CF86" s="25" t="str">
        <f>IF(
OR(
_xlfn.XLOOKUP(_xlfn.XLOOKUP(B86,'Base stats'!B:B,'Base stats'!E:E),Groups!A:A,Groups!AY:AY)=0,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stats'!E:E),Groups!A:A,Groups!AY:AY)=1,
"Flesh",
IF(
_xlfn.XLOOKUP(_xlfn.XLOOKUP(B86,'Base stats'!B:B,'Base stats'!E:E),Groups!A:A,Groups!AY:AY)=2,
"Bone",
""
)
)
)</f>
        <v>No</v>
      </c>
      <c r="CG86" s="25" t="str">
        <f>IF(_xlfn.XLOOKUP(_xlfn.XLOOKUP(B86,'Base stats'!B:B,'Base stats'!E:E),Groups!A:A,Groups!BA:BA),"True","False")</f>
        <v>True</v>
      </c>
      <c r="CH86" s="25" t="str">
        <f>IF(_xlfn.XLOOKUP(_xlfn.XLOOKUP(B86,'Base stats'!B:B,'Base stats'!E:E),Groups!A:A,Groups!AZ:AZ),"True","False")</f>
        <v>False</v>
      </c>
    </row>
    <row r="87" spans="1:86" ht="16.5" thickTop="1" thickBot="1" x14ac:dyDescent="0.3">
      <c r="A87" s="26" t="str">
        <f>_xlfn.XLOOKUP(B87,'Base stats'!B:B,'Base stats'!A:A)</f>
        <v>Seal</v>
      </c>
      <c r="B87" s="6" t="s">
        <v>190</v>
      </c>
      <c r="C87" s="28" t="s">
        <v>779</v>
      </c>
      <c r="D87" s="28" t="s">
        <v>882</v>
      </c>
      <c r="E87" s="28" t="s">
        <v>685</v>
      </c>
      <c r="F87" s="28" t="s">
        <v>685</v>
      </c>
      <c r="G87" s="2">
        <f>MROUND((
  (IF(AND(_xlfn.XLOOKUP(B87,'Base stats'!B:B,'Base stats'!AI:AI)=0,BG87="None",_xlfn.XLOOKUP('Base stats'!E87,Groups!A:A,Groups!B:B)=0), (18 + BP87 * 2.7) * 0.5,
    IF(AND(_xlfn.XLOOKUP(B87,'Base stats'!B:B,'Base stats'!AI:AI)=0,OR(AN87&lt;0.55,AND(BG87="Intermediate",_xlfn.XLOOKUP('Base stats'!E87,Groups!A:A,Groups!B:B)&lt;2))), (18 + BP87 * 2.7),
      IF(OR(BG87="Advanced",_xlfn.XLOOKUP(B87,'Base stats'!B:B,'Base stats'!AI:AI)=1,_xlfn.XLOOKUP('Base stats'!E87,Groups!A:A,Groups!B:B)=2), (18 + BP87 * 2.7) + 250, (18 + BP87 * 2.7))
    )
  ))
  + AN87 * 80
  + IF(COUNTIF(EggMilk!K$2:K$998, A87) &gt; 0, 125, 0)
  + IF(COUNTIF(EggMilk!P$2:P$998, A87) &gt; 0, 90, 0)
  + IF(COUNTIF(EggMilk!A$2:A$998, A87) &gt; 0, 90, 0)
)
* (0.8 + 0.4 * I87)
* 0.75,25)</f>
        <v>350</v>
      </c>
      <c r="H87" s="2">
        <f>MROUND(ROUNDDOWN(_xlfn.XLOOKUP(B87,'Base stats'!B:B,'Base stats'!L:L)/3.6/(23.3/11),1),0.5)</f>
        <v>2.5</v>
      </c>
      <c r="I87" s="2">
        <f>IF(_xlfn.XLOOKUP(B87,'Base stats'!B:B,'Base stats'!AI:AI)=1,0.99,MIN(MROUND((1-0.6282*EXP(-0.459*AN87))*_xlfn.XLOOKUP(_xlfn.XLOOKUP(B87,'Base stats'!B:B,'Base stats'!E:E),Groups!A:A,Groups!C:C)*IF(_xlfn.XLOOKUP(B87,'Base stats'!B:B,'Base stats'!O:O)=1,0.5,IF(_xlfn.XLOOKUP(B87,'Base stats'!B:B,'Base stats'!O:O)=2,0,1)),0.05),0.985))</f>
        <v>0.65</v>
      </c>
      <c r="J87" s="2">
        <f>ROUNDUP(AN87*_xlfn.XLOOKUP(_xlfn.XLOOKUP(B87,'Base stats'!B:B,'Base stats'!E:E),Groups!A:A,Groups!E:E),0)</f>
        <v>2</v>
      </c>
      <c r="K87" s="2">
        <f>IF(OR(_xlfn.XLOOKUP(_xlfn.XLOOKUP(B87,'Base stats'!B:B,'Base stats'!E:E),Groups!A:A,Groups!F:F)=2,ISNUMBER(SEARCH("SeaIce",BV87)),ISNUMBER(SEARCH("IceSheet",BV87))),-50,IF(OR(ISNUMBER(SEARCH("GlacialPlain",BV87)),ISNUMBER(SEARCH("Tundra",BV87))),-40,IF(OR(ISNUMBER(SEARCH("Alpine",BV87)),ISNUMBER(SEARCH("BorealForest",BV87)),ISNUMBER(SEARCH("ColdBog",BV87))),-30,IF(OR(ISNUMBER(SEARCH("TemperateForest",BV87)),ISNUMBER(SEARCH("TemperateSwamp",BV87))),-20,IF(_xlfn.XLOOKUP(_xlfn.XLOOKUP(B87,'Base stats'!B:B,'Base stats'!E:E),Groups!A:A,Groups!F:F)=1,-15,IF(OR(ISNUMBER(SEARCH("Desert",BV87)),ISNUMBER(SEARCH("ExtremeDesert",BV87))),-10,IF(OR(ISNUMBER(SEARCH("Grasslands",BV87)),ISNUMBER(SEARCH("TropicalRainforest",BV87)),ISNUMBER(SEARCH("TropicalSwamp",BV87))),10,0)))))))-IF(CA87="False",MIN(IFERROR(MAX(MROUND(LOG10(_xlfn.XLOOKUP(B87,'Base stats'!B:B,'Base stats'!C:C)^(2/3))*10,5),5),5),30))-_xlfn.XLOOKUP(B87,'Base stats'!B:B,'Base stats'!P:P)+IF(CA87="True",5,0)</f>
        <v>-65</v>
      </c>
      <c r="L87" s="2">
        <f>IF(OR(_xlfn.XLOOKUP(_xlfn.XLOOKUP(B87,'Base stats'!B:B,'Base stats'!E:E),Groups!A:A,Groups!G:G)=2,ISNUMBER(SEARCH("Desert",BV87)),ISNUMBER(SEARCH("ExtremeDesert",BV87)),ISNUMBER(SEARCH("LavaField",BV87))),50,IF(ISNUMBER(SEARCH("Grasslands",BV87)),45,IF(OR(_xlfn.XLOOKUP(_xlfn.XLOOKUP(B87,'Base stats'!B:B,'Base stats'!E:E),Groups!A:A,Groups!G:G)=1,ISNUMBER(SEARCH("TropicalRainforest",BV87)),ISNUMBER(SEARCH("TropicalSwamp",BV87))),40,IF(OR(ISNUMBER(SEARCH("TemperateForest",BV87)),ISNUMBER(SEARCH("TemperateSwamp",BV87))),35,IF(OR(ISNUMBER(SEARCH("Alpine",BV87)),ISNUMBER(SEARCH("BorealForest",BV87)),ISNUMBER(SEARCH("ColdBog",BV87))),30,IF(ISNUMBER(OR(ISNUMBER(SEARCH("GlacialPlain",BV87)),SEARCH("Tundra",BV87))),25,IF(OR(ISNUMBER(SEARCH("SeaIce",BV87)),ISNUMBER(SEARCH("IceSheet",BV87)),ISNUMBER(SEARCH("TropicalSwamp",BV87))),10,35)))))))+_xlfn.XLOOKUP(B87,'Base stats'!B:B,'Base stats'!Q:Q)</f>
        <v>35</v>
      </c>
      <c r="M87" s="8" t="str">
        <f>IF(_xlfn.XLOOKUP(_xlfn.XLOOKUP(B87,'Base stats'!B:B,'Base stats'!E:E),Groups!A:A,Groups!L:L)=1,MIN(MROUND(_xlfn.XLOOKUP(B87,'Animals CE'!B:B,'Animals CE'!Z:Z)/2+0.05,0.05),200%),"No")</f>
        <v>No</v>
      </c>
      <c r="N87" s="8" t="str">
        <f>IF(_xlfn.XLOOKUP(_xlfn.XLOOKUP(B87,'Base stats'!B:B,'Base stats'!E:E),Groups!A:A,Groups!L:L)=1,MIN(MROUND(_xlfn.XLOOKUP(B87,'Animals CE'!B:B,'Animals CE'!AA:AA)/2+0.05,0.05),200%),"No")</f>
        <v>No</v>
      </c>
      <c r="O87" s="2" t="str">
        <f>_xlfn.XLOOKUP(B87,'Base stats'!B:B,'Base stats'!R:R)</f>
        <v>Standard</v>
      </c>
      <c r="P87" s="13">
        <f>MROUND((LOG10(_xlfn.XLOOKUP(B87,'Base stats'!B:B,'Base stats'!AO:AO))*(AN87^0.5)+(_xlfn.XLOOKUP(B87,'Base stats'!B:B,'Base stats'!AO:AO)/1000)^(2/3)+_xlfn.XLOOKUP(B87,'Base stats'!B:B,'Base stats'!AX:AX)/2)+0.5,0.5)</f>
        <v>8.5</v>
      </c>
      <c r="Q87" s="7">
        <f>IF(P87="No","No",MAX(1,MROUND(_xlfn.XLOOKUP(B87,'Base stats'!B:B,'Base stats'!C:C)^0.165,0.05)))</f>
        <v>2.15</v>
      </c>
      <c r="R87" s="13" t="str">
        <f>IF(_xlfn.XLOOKUP(_xlfn.XLOOKUP(B87,'Base stats'!B:B,'Base stats'!E:E),Groups!A:A,Groups!P:P)=0,"No",MROUND((LOG10(_xlfn.XLOOKUP(B87,'Base stats'!B:B,'Base stats'!AP:AP))*(AN87^0.5)+(_xlfn.XLOOKUP(B87,'Base stats'!B:B,'Base stats'!AP:AP)/1000)^(2/3)+_xlfn.XLOOKUP(B87,'Base stats'!B:B,'Base stats'!AX:AX))+_xlfn.XLOOKUP(B87,'Base stats'!B:B,'Base stats'!AV:AV)+0.5,0.5))</f>
        <v>No</v>
      </c>
      <c r="S87" s="7" t="str">
        <f>IF(R87="No","No",MAX(_xlfn.XLOOKUP(_xlfn.XLOOKUP(B87,'Base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T87" s="7" t="str">
        <f>IF(R87="No","No",_xlfn.XLOOKUP(_xlfn.XLOOKUP(B87,'Base stats'!B:B,'Base stats'!E:E),Groups!A:A,Groups!R:R))</f>
        <v>No</v>
      </c>
      <c r="U87" s="7" t="str">
        <f>IF(R87="No","No",_xlfn.XLOOKUP(_xlfn.XLOOKUP(B87,'Base stats'!B:B,'Base stats'!E:E),Groups!A:A,Groups!S:S))</f>
        <v>No</v>
      </c>
      <c r="V87" s="7" t="str">
        <f>IF(R87="No","No",_xlfn.XLOOKUP(_xlfn.XLOOKUP(B87,'Base stats'!B:B,'Base stats'!E:E),Groups!A:A,Groups!T:T))</f>
        <v>No</v>
      </c>
      <c r="W87" s="13" t="str">
        <f>IF(_xlfn.XLOOKUP(B87,'Base stats'!B:B,'Base stats'!W:W)="No","No",MROUND((LOG10(_xlfn.XLOOKUP(B87,'Base stats'!B:B,'Base stats'!AR:AR))*(AN87^0.5)+(_xlfn.XLOOKUP(B87,'Base stats'!B:B,'Base stats'!AR:AR)/1000)^(2/3)+_xlfn.XLOOKUP(B87,'Base stats'!B:B,'Base stats'!AW:AW))+0.5+IF(_xlfn.XLOOKUP(_xlfn.XLOOKUP(B87,'Base stats'!B:B,'Base stats'!E:E),Groups!A:A,Groups!U:U)&lt;&gt;3,_xlfn.XLOOKUP(B87,'Base stats'!B:B,'Base stats'!AX:AX),0),0.5))</f>
        <v>No</v>
      </c>
      <c r="X87" s="7" t="str">
        <f>IF(W87="No","No",MAX(_xlfn.XLOOKUP(_xlfn.XLOOKUP(B87,'Base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Y87" s="7" t="str">
        <f>IF(W87="No","No",_xlfn.XLOOKUP(_xlfn.XLOOKUP(B87,'Base stats'!B:B,'Base stats'!E:E),Groups!A:A,Groups!W:W))</f>
        <v>No</v>
      </c>
      <c r="Z87" s="7" t="str">
        <f>IF(W87="No","No",_xlfn.XLOOKUP(_xlfn.XLOOKUP(B87,'Base stats'!B:B,'Base stats'!E:E),Groups!A:A,Groups!X:X))</f>
        <v>No</v>
      </c>
      <c r="AA87" s="7" t="str">
        <f>IF(W87="No","No",_xlfn.XLOOKUP(_xlfn.XLOOKUP(B87,'Base stats'!B:B,'Base stats'!E:E),Groups!A:A,Groups!Y:Y))</f>
        <v>No</v>
      </c>
      <c r="AB87" s="7" t="str">
        <f>_xlfn.XLOOKUP(Animals!B87,'Base stats'!B:B,'Base stats'!X:X)</f>
        <v>False</v>
      </c>
      <c r="AC87" s="13">
        <f>IF(_xlfn.XLOOKUP(B87,'Base stats'!B:B,'Base stats'!AQ:AQ)="No","No",MROUND((LOG10(_xlfn.XLOOKUP(B87,'Base stats'!B:B,'Base stats'!AQ:AQ))*(AN87^0.75)+(_xlfn.XLOOKUP(B87,'Base stats'!B:B,'Base stats'!AQ:AQ)/1000)^(2/3)+_xlfn.XLOOKUP(B87,'Base stats'!B:B,'Base stats'!AU:AU)+_xlfn.XLOOKUP(B87,'Base stats'!B:B,'Base stats'!AX:AX))+0.5,0.5))</f>
        <v>14</v>
      </c>
      <c r="AD87" s="7">
        <f>IF(AC87="No","No",MAX(_xlfn.XLOOKUP(_xlfn.XLOOKUP(B87,'Base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</v>
      </c>
      <c r="AE87" s="7" t="str">
        <f>IF(AC87="No","No",_xlfn.XLOOKUP(_xlfn.XLOOKUP(B87,'Base stats'!B:B,'Base stats'!E:E),Groups!A:A,Groups!AA:AA))</f>
        <v>Teeth</v>
      </c>
      <c r="AF87" s="7" t="str">
        <f>IF(AC87="No","No",_xlfn.XLOOKUP(_xlfn.XLOOKUP(B87,'Base stats'!B:B,'Base stats'!E:E),Groups!A:A,Groups!AB:AB))</f>
        <v>canines</v>
      </c>
      <c r="AG87" s="7" t="str">
        <f>IF(AC87="No","No",_xlfn.XLOOKUP(_xlfn.XLOOKUP(B87,'Base stats'!B:B,'Base stats'!E:E),Groups!A:A,Groups!AC:AC))</f>
        <v>Bite</v>
      </c>
      <c r="AH87" s="13" t="str">
        <f>IF(_xlfn.XLOOKUP(_xlfn.XLOOKUP(B87,'Base stats'!B:B,'Base stats'!E:E),Groups!A:A,Groups!AD:AD)=0,"No",MROUND((LOG10(_xlfn.XLOOKUP(B87,'Base stats'!B:B,'Base stats'!AP:AP))*(AN87^0.75)+(_xlfn.XLOOKUP(B87,'Base stats'!B:B,'Base stats'!AP:AP)/1000)^(2/3)+_xlfn.XLOOKUP(B87,'Base stats'!B:B,'Base stats'!AV:AV)+_xlfn.XLOOKUP(B87,'Base stats'!B:B,'Base stats'!AX:AX))+0.5,0.5))</f>
        <v>No</v>
      </c>
      <c r="AI87" s="7" t="str">
        <f>IF(AH87="No","No",MAX(_xlfn.XLOOKUP(_xlfn.XLOOKUP(B87,'Base stats'!B:B,'Base stats'!E:E),Groups!A:A,Groups!AE:AE),MROUND(_xlfn.XLOOKUP(_xlfn.XLOOKUP(B87,'Base stats'!B:B,'Base stats'!E:E),Groups!A:A,Groups!AE:AE)*_xlfn.XLOOKUP(B87,'Base stats'!B:B,'Base stats'!C:C)^0.165,0.05)))</f>
        <v>No</v>
      </c>
      <c r="AJ87" s="7" t="str">
        <f>IF(AH87="No","No",_xlfn.XLOOKUP(_xlfn.XLOOKUP(B87,'Base stats'!B:B,'Base stats'!E:E),Groups!A:A,Groups!AF:AF))</f>
        <v>No</v>
      </c>
      <c r="AK87" s="7" t="str">
        <f>IF(AH87="No","No",_xlfn.XLOOKUP(_xlfn.XLOOKUP(B87,'Base stats'!B:B,'Base stats'!E:E),Groups!A:A,Groups!AG:AG))</f>
        <v>No</v>
      </c>
      <c r="AL87" s="7" t="str">
        <f>IF(AH87="No","No",_xlfn.XLOOKUP(_xlfn.XLOOKUP(B87,'Base stats'!B:B,'Base stats'!E:E),Groups!A:A,Groups!AH:AH))</f>
        <v>No</v>
      </c>
      <c r="AM87" s="2">
        <f t="shared" si="7"/>
        <v>20</v>
      </c>
      <c r="AN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1.25</v>
      </c>
      <c r="AO87" s="8">
        <f>MROUND(AN87*_xlfn.XLOOKUP(_xlfn.XLOOKUP(B87,'Base stats'!B:B,'Base stats'!E:E),Groups!A:A,Groups!AI:AI),0.05)</f>
        <v>1.5</v>
      </c>
      <c r="AP87" s="8">
        <f>MAX(0.01,MROUND(IF(CA87="True",0.196*(AN87*100*1000)^0.889,IF(_xlfn.XLOOKUP(_xlfn.XLOOKUP(B87,'Base stats'!B:B,'Base stats'!E:E),Groups!A:A,Groups!AJ:AJ)="Bird",10.5*(AN87*100*1000)^0.681,4.82*(AN87*100*1000)^0.734))/(4.82*(1*100*1000)^0.734)/IF(AN87&lt;3.5,2,IF(AN87=3.5,1.5,1.25))*(1+0.132282374779864/(AN87^0.994035016789033+0.00905238001496948)),0.05))</f>
        <v>0.65</v>
      </c>
      <c r="AQ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R87" s="35">
        <f>IFERROR(IF(_xlfn.XLOOKUP(B87,'Base stats'!B:B,'Base stats'!F:F)="Lay eggs","Lay eggs",MIN(20,MAX(5.5,ROUND(((_xlfn.XLOOKUP(B87,'Base stats'!B:B,'Base stats'!F:F)-25)*(14.5/615) + 5.5)*2,0)/2))),"Cannot breed")</f>
        <v>11</v>
      </c>
      <c r="AS87" s="8">
        <f>IF(OR(A87="Queen",A87="Larva",A87="Megachicken"),"No",IFERROR(MAX(IF(_xlfn.XLOOKUP(B87,'Base stats'!B:B,'Base stats'!G:G)&lt;0.5,0.2,0.3),MROUND(_xlfn.XLOOKUP(B87,'Base stats'!B:B,'Base stats'!G:G)/(365/60),0.2)),"Unknown"))</f>
        <v>0.4</v>
      </c>
      <c r="AT87" s="8">
        <f t="shared" si="8"/>
        <v>0.2</v>
      </c>
      <c r="AU87" s="8">
        <f>IFERROR(IFERROR(MROUND(_xlfn.XLOOKUP(B87,'Base stats'!B:B,'Base stats'!J:J),0.1),"Lay eggs"),"Cannot breed")</f>
        <v>1</v>
      </c>
      <c r="AV87" s="2" t="str">
        <f t="shared" si="9"/>
        <v>true</v>
      </c>
      <c r="AW87" s="2" t="str">
        <f>IF(_xlfn.XLOOKUP(_xlfn.XLOOKUP(Animals!B87,'Base stats'!B:B,'Base stats'!E:E),Groups!A:A,Groups!AK:AK)=1,"true","false")</f>
        <v>false</v>
      </c>
      <c r="AX87" s="25" t="str">
        <f>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</f>
        <v>CarnivoreAnimal, OvivoreAnimal</v>
      </c>
      <c r="AY87" s="2" t="str">
        <f>IF(_xlfn.XLOOKUP(_xlfn.XLOOKUP(B87,'Base stats'!B:B,'Base stats'!E:E),Groups!A:A,Groups!D:D)=1,MROUND((1-I87)*5+1,2)*IF(I87&lt;=0.4,2,1),"No")</f>
        <v>No</v>
      </c>
      <c r="AZ87" s="2" t="str">
        <f>_xlfn.XLOOKUP(B87,'Base stats'!B:B,'Base stats'!AE:AE)</f>
        <v>Leather_Sealskin</v>
      </c>
      <c r="BA87" s="23" t="str">
        <f>_xlfn.XLOOKUP(_xlfn.XLOOKUP(B87,'Base stats'!B:B,'Base stats'!E:E),Groups!A:A,Groups!AL:AL)</f>
        <v>Pinniped</v>
      </c>
      <c r="BB87" s="23">
        <f>MROUND(IF(AND(AN87&lt;0.5,_xlfn.XLOOKUP(B87,'Base stats'!B:B,'Base stats'!Z:Z)=0),0,IF(OR(_xlfn.XLOOKUP(Animals!B87,'Base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stats'!AA:AA),0.005)</f>
        <v>0</v>
      </c>
      <c r="BC87" s="23">
        <f>MROUND(IF(AND(AN87&lt;0.5,_xlfn.XLOOKUP(B87,'Base stats'!B:B,'Base stats'!Z:Z)=0),0,IF(_xlfn.XLOOKUP(_xlfn.XLOOKUP(B87,'Base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stats'!AB:AB),0.005)</f>
        <v>0</v>
      </c>
      <c r="BD87" s="2" t="str">
        <f>IF(I87&gt;0.3,"No",_xlfn.XLOOKUP(_xlfn.XLOOKUP(Animals!B87,'Base stats'!B:B,'Base stats'!E:E),Groups!A:A,Groups!AP:AP))</f>
        <v>No</v>
      </c>
      <c r="BE87" s="2">
        <f>IF(AND(I87&lt;=0.65,_xlfn.XLOOKUP(_xlfn.XLOOKUP(Animals!B87,'Base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stats'!O:O)=2,0.2,AN87) + 24*(1-IF(BD87="No",0,BD87)) + 16/3, 12),"No")</f>
        <v>60</v>
      </c>
      <c r="BF87" s="2">
        <f>IF(AND(_xlfn.XLOOKUP(_xlfn.XLOOKUP(B87,'Base stats'!B:B,'Base stats'!E:E),Groups!A:A,Groups!AQ:AQ)=1,AN87&lt;=0.35),8,12)</f>
        <v>12</v>
      </c>
      <c r="BG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H87" s="2" t="str">
        <f>IF(AND(_xlfn.XLOOKUP(_xlfn.XLOOKUP(B87,'Base stats'!B:B,'Base stats'!E:E),Groups!A:A,Groups!AS:AS)=1,OR('Base stats'!Y87="Carnivore",'Base stats'!Y87="Omnivore")),"true","false")</f>
        <v>true</v>
      </c>
      <c r="BI87" s="2">
        <f>IF(BH87="true",MROUND(IF(AND(AN87&gt;0.5,_xlfn.XLOOKUP(_xlfn.XLOOKUP(B87,'Base stats'!B:B,'Base stats'!E:E),Groups!A:A,Groups!AJ:AJ)="Mammal"),Animals!AN87*1.75*IF(AV87="true",1.5,1),Animals!AN87),IF(AN87&gt;2,0.5,IF(AN87&gt;0.5,0.25,0.1))),"No")</f>
        <v>3.25</v>
      </c>
      <c r="BJ87" s="2">
        <f t="shared" si="10"/>
        <v>1</v>
      </c>
      <c r="BK87" s="25">
        <f>IF('Base stats'!AK87="Standard","No",MROUND((_xlfn.XLOOKUP(B87,'Base stats'!B:B,'Base stats'!AK:AK)/3.6)/H87,0.1))</f>
        <v>2.2000000000000002</v>
      </c>
      <c r="BL87" s="25" t="str">
        <f t="shared" si="11"/>
        <v>true</v>
      </c>
      <c r="BM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N87" s="25" t="str" cm="1">
        <f t="array" ref="BN87">IF(
  _xlfn.TEXTJOIN(", ",TRUE,
    IF(AND(BH87="true",AN87&gt;0.5,BG87&lt;&gt;"None"),"AttackTarget",""),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IF(BE87&lt;=36,"Comfort",""),
    IF(_xlfn.XLOOKUP(B87,'Base stats'!B:B,'Base stats'!AC:AC)&lt;&gt;"No",_xlfn.XLOOKUP(B87,'Base stats'!B:B,'Base stats'!AC:AC),"")
  ) = "",
  "No",
  _xlfn.TEXTJOIN(", ",TRUE,
    IF(AND(BH87="true",AN87&gt;0.5,BG87&lt;&gt;"None"),"AttackTarget",""),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IF(BE87&lt;=36,"Comfort",""),
    IF(_xlfn.XLOOKUP(B87,'Base stats'!B:B,'Base stats'!AC:AC)&lt;&gt;"No",_xlfn.XLOOKUP(B87,'Base stats'!B:B,'Base stats'!AC:AC),"")
  )
)</f>
        <v>AttackTarget</v>
      </c>
      <c r="BO87" s="25">
        <f>IF(
   AND(
      'Base stats'!AK87="Standard",_xlfn.XLOOKUP(_xlfn.XLOOKUP(B87,'Base stats'!B:B,'Base stats'!E:E),Groups!A:A,Groups!AU:AU)=0,
      OR(
      BM87="True"
      )
   ),
   10,
   IF(
       OR(BK87&lt;&gt;"No",_xlfn.XLOOKUP(_xlfn.XLOOKUP(B87,'Base stats'!B:B,'Base stats'!E:E),Groups!A:A,Groups!AU:AU)=1),
      1,
      "No"
   )
)</f>
        <v>1</v>
      </c>
      <c r="BP87" s="9">
        <f>MROUND((1 + ((0.2*IF(OR(P87="No",Q87="No",Q87=0),0,P87/Q87)
+IF(OR(U87="No",R87="No",S87="No"),0,R87/S87*(LEN(U87)-LEN(SUBSTITUTE(U87,",",""))+1))
+IF(OR(W87="No",X87="No"),0,W87/X87)
+IF(OR(AC87="No",AD87="No"),0,AC87/AD87)
+IF(OR(AK87="No",AH87="No",AI87="No"),0,AH87/AI87*(LEN(AK87)-LEN(SUBSTITUTE(AK87,",",""))+1))
)/(0.2*IF(OR(P87="No",Q87="No",Q87=0),0,1)
+IF(OR(U87="No",R87="No",S87="No"),0,LEN(U87)-LEN(SUBSTITUTE(U87,",",""))+1)
+IF(OR(W87="No",X87="No"),0,1)
+IF(OR(AC87="No",AD87="No"),0,1)
+IF(OR(AK87="No",AH87="No",AI87="No"),0,LEN(AK87)-LEN(SUBSTITUTE(AK87,",",""))+1))*62%)* 2)*(1 + (AO87 + _xlfn.XLOOKUP(B87,'Base stats'!B:B,'Base stats'!AS:AS) * 1.8) * 2) * 2.5 + 10 + H87 * 2,5)+IF(_xlfn.XLOOKUP(B87,'Base stats'!B:B,'Base stats'!AH:AH)=1,50,0)</f>
        <v>115</v>
      </c>
      <c r="BQ87" s="8">
        <f t="shared" si="12"/>
        <v>0.75</v>
      </c>
      <c r="BR87" s="8" t="str">
        <f>_xlfn.XLOOKUP(B87,'Base stats'!B:B,'Base stats'!AD:AD)</f>
        <v>5~15</v>
      </c>
      <c r="BS87" s="2" t="str">
        <f>IF(AND(I87&lt;=0.95,OR(_xlfn.XLOOKUP(B87,'Base stats'!B:B,'Base stats'!AH:AH)=1,_xlfn.XLOOKUP(B87,'Base stats'!B:B,'Base stats'!Y:Y)="Carnivore",_xlfn.XLOOKUP(B87,'Base stats'!B:B,'Base stats'!Y:Y)="Omnivore",BC87&gt;0.1)),"true","false")</f>
        <v>true</v>
      </c>
      <c r="BT87" s="2" t="str">
        <f>IF(_xlfn.XLOOKUP(B87,'Base stats'!B:B,'Base stats'!AF:AF)=1,"true","false")</f>
        <v>false</v>
      </c>
      <c r="BU87" s="25" t="str">
        <f>IF(E87="BaseInsect","AnimalInsect",
IF(I87&gt;0.95,"AnimalExotic",
_xlfn.TEXTJOIN(", ",TRUE,
IF(AND(_xlfn.XLOOKUP(B87,'Base stats'!B:B,'Base stats'!O:O)=0,_xlfn.XLOOKUP(_xlfn.XLOOKUP(B87,'Base stats'!B:B,'Base stats'!E:E),Groups!A:A,Groups!B:B)&gt;0),"AnimalUncommon","AnimalCommon"),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stats'!AH:AH)=1,AND(BG87&lt;&gt;"None",BP87&gt;=60),ISNUMBER(SEARCH("Attack target",BN87))),"AnimalFighter","")
)))</f>
        <v>AnimalCommon, AnimalFighter</v>
      </c>
      <c r="BV87" s="25" t="str">
        <f>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</f>
        <v>SeaIce IceSheet Tundra BorealForest ColdBog TemperateForest TemperateSwamp GlacialPlain</v>
      </c>
      <c r="BW87" s="25" t="str">
        <f>IF(_xlfn.XLOOKUP(B87,'Base stats'!B:B,'Base stats'!AG:AG)=1,"true","false")</f>
        <v>true</v>
      </c>
      <c r="BX87" s="25">
        <f>IF(_xlfn.XLOOKUP(B87,'Base stats'!B:B,'Base stats'!N:N)=1,"No",MIN(MROUND(IF(OR(_xlfn.XLOOKUP(B87,'Base stats'!B:B,'Base stats'!AJ:AJ)=1,AND(BH87="True",CA87="False")),POWER(10,3.47*LOG10(_xlfn.XLOOKUP(B87,'Base stats'!B:B,'Base stats'!C:C)*1000)^-0.96),POWER(10,4.15*LOG10(_xlfn.XLOOKUP(B87,'Base stats'!B:B,'Base stats'!C:C)*1000)^-0.73))*IF(OR(_xlfn.XLOOKUP(B87,'Base stats'!B:B,'Base stats'!AJ:AJ)=1,_xlfn.XLOOKUP(B87,'Base stats'!B:B,'Base stats'!AH:AH)=1),0.5,1)/100,0.025),1))</f>
        <v>0.05</v>
      </c>
      <c r="BY87" s="25" t="str">
        <f>IF(O87="Standard","No",IF(_xlfn.XLOOKUP(B87,'Base stats'!B:B,'Base stats'!N:N)=0,MROUND(BX87*O87,0.05),MIN(1,MAX(0.025,MROUND(IF(OR(CA87="true",AND(BH87="false",BM87="false")),POWER(10,4.15*LOG10(_xlfn.XLOOKUP(B87,'Base stats'!B:B,'Base stats'!C:C)*1000)^-0.73),POWER(10,3.47*LOG10(_xlfn.XLOOKUP(B87,'Base stats'!B:B,'Base stats'!C:C)*1000)^-0.96))*IF(_xlfn.XLOOKUP(B87,'Base stats'!B:B,'Base stats'!AH:AH)=1,0.5,1)/100,0.025)))))</f>
        <v>No</v>
      </c>
      <c r="BZ87" s="25" t="str">
        <f>IF(_xlfn.XLOOKUP(_xlfn.XLOOKUP(B87,'Base stats'!B:B,'Base stats'!E:E),Groups!A:A,Groups!AJ:AJ)="Mammal","True","False")</f>
        <v>True</v>
      </c>
      <c r="CA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B87" s="25" t="str">
        <f t="shared" si="13"/>
        <v>False</v>
      </c>
      <c r="CC87" s="25" t="str">
        <f>IF(_xlfn.XLOOKUP(_xlfn.XLOOKUP(B87,'Base stats'!B:B,'Base stats'!E:E),Groups!A:A,Groups!AW:AW),"True","False")</f>
        <v>False</v>
      </c>
      <c r="CD87" s="25" t="str">
        <f>IF(_xlfn.XLOOKUP(_xlfn.XLOOKUP(B87,'Base stats'!B:B,'Base stats'!E:E),Groups!A:A,Groups!AX:AX),"True","False")</f>
        <v>False</v>
      </c>
      <c r="CE87" s="25" t="str">
        <f>IF(_xlfn.XLOOKUP(B87,'Base stats'!B:B,'Base stats'!E:E)=1,"True","False")</f>
        <v>False</v>
      </c>
      <c r="CF87" s="25" t="str">
        <f>IF(
OR(
_xlfn.XLOOKUP(_xlfn.XLOOKUP(B87,'Base stats'!B:B,'Base stats'!E:E),Groups!A:A,Groups!AY:AY)=0,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stats'!E:E),Groups!A:A,Groups!AY:AY)=1,
"Flesh",
IF(
_xlfn.XLOOKUP(_xlfn.XLOOKUP(B87,'Base stats'!B:B,'Base stats'!E:E),Groups!A:A,Groups!AY:AY)=2,
"Bone",
""
)
)
)</f>
        <v>No</v>
      </c>
      <c r="CG87" s="25" t="str">
        <f>IF(_xlfn.XLOOKUP(_xlfn.XLOOKUP(B87,'Base stats'!B:B,'Base stats'!E:E),Groups!A:A,Groups!BA:BA),"True","False")</f>
        <v>True</v>
      </c>
      <c r="CH87" s="25" t="str">
        <f>IF(_xlfn.XLOOKUP(_xlfn.XLOOKUP(B87,'Base stats'!B:B,'Base stats'!E:E),Groups!A:A,Groups!AZ:AZ),"True","False")</f>
        <v>False</v>
      </c>
    </row>
    <row r="88" spans="1:86" ht="16.5" thickTop="1" thickBot="1" x14ac:dyDescent="0.3">
      <c r="A88" s="26" t="str">
        <f>_xlfn.XLOOKUP(B88,'Base stats'!B:B,'Base stats'!A:A)</f>
        <v>Walrus</v>
      </c>
      <c r="B88" s="6" t="s">
        <v>192</v>
      </c>
      <c r="C88" s="28" t="s">
        <v>780</v>
      </c>
      <c r="D88" s="28" t="s">
        <v>882</v>
      </c>
      <c r="E88" s="28" t="s">
        <v>685</v>
      </c>
      <c r="F88" s="28" t="s">
        <v>685</v>
      </c>
      <c r="G88" s="2">
        <f>MROUND((
  (IF(AND(_xlfn.XLOOKUP(B88,'Base stats'!B:B,'Base stats'!AI:AI)=0,BG88="None",_xlfn.XLOOKUP('Base stats'!E88,Groups!A:A,Groups!B:B)=0), (18 + BP88 * 2.7) * 0.5,
    IF(AND(_xlfn.XLOOKUP(B88,'Base stats'!B:B,'Base stats'!AI:AI)=0,OR(AN88&lt;0.55,AND(BG88="Intermediate",_xlfn.XLOOKUP('Base stats'!E88,Groups!A:A,Groups!B:B)&lt;2))), (18 + BP88 * 2.7),
      IF(OR(BG88="Advanced",_xlfn.XLOOKUP(B88,'Base stats'!B:B,'Base stats'!AI:AI)=1,_xlfn.XLOOKUP('Base stats'!E88,Groups!A:A,Groups!B:B)=2), (18 + BP88 * 2.7) + 250, (18 + BP88 * 2.7))
    )
  ))
  + AN88 * 80
  + IF(COUNTIF(EggMilk!K$2:K$998, A88) &gt; 0, 125, 0)
  + IF(COUNTIF(EggMilk!P$2:P$998, A88) &gt; 0, 90, 0)
  + IF(COUNTIF(EggMilk!A$2:A$998, A88) &gt; 0, 90, 0)
)
* (0.8 + 0.4 * I88)
* 0.75,25)</f>
        <v>875</v>
      </c>
      <c r="H88" s="2">
        <f>MROUND(ROUNDDOWN(_xlfn.XLOOKUP(B88,'Base stats'!B:B,'Base stats'!L:L)/3.6/(23.3/11),1),0.5)</f>
        <v>1.5</v>
      </c>
      <c r="I88" s="2">
        <f>IF(_xlfn.XLOOKUP(B88,'Base stats'!B:B,'Base stats'!AI:AI)=1,0.99,MIN(MROUND((1-0.6282*EXP(-0.459*AN88))*_xlfn.XLOOKUP(_xlfn.XLOOKUP(B88,'Base stats'!B:B,'Base stats'!E:E),Groups!A:A,Groups!C:C)*IF(_xlfn.XLOOKUP(B88,'Base stats'!B:B,'Base stats'!O:O)=1,0.5,IF(_xlfn.XLOOKUP(B88,'Base stats'!B:B,'Base stats'!O:O)=2,0,1)),0.05),0.985))</f>
        <v>0.85000000000000009</v>
      </c>
      <c r="J88" s="2">
        <f>ROUNDUP(AN88*_xlfn.XLOOKUP(_xlfn.XLOOKUP(B88,'Base stats'!B:B,'Base stats'!E:E),Groups!A:A,Groups!E:E),0)</f>
        <v>4</v>
      </c>
      <c r="K88" s="2">
        <f>IF(OR(_xlfn.XLOOKUP(_xlfn.XLOOKUP(B88,'Base stats'!B:B,'Base stats'!E:E),Groups!A:A,Groups!F:F)=2,ISNUMBER(SEARCH("SeaIce",BV88)),ISNUMBER(SEARCH("IceSheet",BV88))),-50,IF(OR(ISNUMBER(SEARCH("GlacialPlain",BV88)),ISNUMBER(SEARCH("Tundra",BV88))),-40,IF(OR(ISNUMBER(SEARCH("Alpine",BV88)),ISNUMBER(SEARCH("BorealForest",BV88)),ISNUMBER(SEARCH("ColdBog",BV88))),-30,IF(OR(ISNUMBER(SEARCH("TemperateForest",BV88)),ISNUMBER(SEARCH("TemperateSwamp",BV88))),-20,IF(_xlfn.XLOOKUP(_xlfn.XLOOKUP(B88,'Base stats'!B:B,'Base stats'!E:E),Groups!A:A,Groups!F:F)=1,-15,IF(OR(ISNUMBER(SEARCH("Desert",BV88)),ISNUMBER(SEARCH("ExtremeDesert",BV88))),-10,IF(OR(ISNUMBER(SEARCH("Grasslands",BV88)),ISNUMBER(SEARCH("TropicalRainforest",BV88)),ISNUMBER(SEARCH("TropicalSwamp",BV88))),10,0)))))))-IF(CA88="False",MIN(IFERROR(MAX(MROUND(LOG10(_xlfn.XLOOKUP(B88,'Base stats'!B:B,'Base stats'!C:C)^(2/3))*10,5),5),5),30))-_xlfn.XLOOKUP(B88,'Base stats'!B:B,'Base stats'!P:P)+IF(CA88="True",5,0)</f>
        <v>-70</v>
      </c>
      <c r="L88" s="2">
        <f>IF(OR(_xlfn.XLOOKUP(_xlfn.XLOOKUP(B88,'Base stats'!B:B,'Base stats'!E:E),Groups!A:A,Groups!G:G)=2,ISNUMBER(SEARCH("Desert",BV88)),ISNUMBER(SEARCH("ExtremeDesert",BV88)),ISNUMBER(SEARCH("LavaField",BV88))),50,IF(ISNUMBER(SEARCH("Grasslands",BV88)),45,IF(OR(_xlfn.XLOOKUP(_xlfn.XLOOKUP(B88,'Base stats'!B:B,'Base stats'!E:E),Groups!A:A,Groups!G:G)=1,ISNUMBER(SEARCH("TropicalRainforest",BV88)),ISNUMBER(SEARCH("TropicalSwamp",BV88))),40,IF(OR(ISNUMBER(SEARCH("TemperateForest",BV88)),ISNUMBER(SEARCH("TemperateSwamp",BV88))),35,IF(OR(ISNUMBER(SEARCH("Alpine",BV88)),ISNUMBER(SEARCH("BorealForest",BV88)),ISNUMBER(SEARCH("ColdBog",BV88))),30,IF(ISNUMBER(OR(ISNUMBER(SEARCH("GlacialPlain",BV88)),SEARCH("Tundra",BV88))),25,IF(OR(ISNUMBER(SEARCH("SeaIce",BV88)),ISNUMBER(SEARCH("IceSheet",BV88)),ISNUMBER(SEARCH("TropicalSwamp",BV88))),10,35)))))))+_xlfn.XLOOKUP(B88,'Base stats'!B:B,'Base stats'!Q:Q)</f>
        <v>10</v>
      </c>
      <c r="M88" s="8" t="str">
        <f>IF(_xlfn.XLOOKUP(_xlfn.XLOOKUP(B88,'Base stats'!B:B,'Base stats'!E:E),Groups!A:A,Groups!L:L)=1,MIN(MROUND(_xlfn.XLOOKUP(B88,'Animals CE'!B:B,'Animals CE'!Z:Z)/2+0.05,0.05),200%),"No")</f>
        <v>No</v>
      </c>
      <c r="N88" s="8" t="str">
        <f>IF(_xlfn.XLOOKUP(_xlfn.XLOOKUP(B88,'Base stats'!B:B,'Base stats'!E:E),Groups!A:A,Groups!L:L)=1,MIN(MROUND(_xlfn.XLOOKUP(B88,'Animals CE'!B:B,'Animals CE'!AA:AA)/2+0.05,0.05),200%),"No")</f>
        <v>No</v>
      </c>
      <c r="O88" s="2" t="str">
        <f>_xlfn.XLOOKUP(B88,'Base stats'!B:B,'Base stats'!R:R)</f>
        <v>Standard</v>
      </c>
      <c r="P88" s="13">
        <f>MROUND((LOG10(_xlfn.XLOOKUP(B88,'Base stats'!B:B,'Base stats'!AO:AO))*(AN88^0.5)+(_xlfn.XLOOKUP(B88,'Base stats'!B:B,'Base stats'!AO:AO)/1000)^(2/3)+_xlfn.XLOOKUP(B88,'Base stats'!B:B,'Base stats'!AX:AX)/2)+0.5,0.5)</f>
        <v>19</v>
      </c>
      <c r="Q88" s="7">
        <f>IF(P88="No","No",MAX(1,MROUND(_xlfn.XLOOKUP(B88,'Base stats'!B:B,'Base stats'!C:C)^0.165,0.05)))</f>
        <v>3.0500000000000003</v>
      </c>
      <c r="R88" s="13" t="str">
        <f>IF(_xlfn.XLOOKUP(_xlfn.XLOOKUP(B88,'Base stats'!B:B,'Base stats'!E:E),Groups!A:A,Groups!P:P)=0,"No",MROUND((LOG10(_xlfn.XLOOKUP(B88,'Base stats'!B:B,'Base stats'!AP:AP))*(AN88^0.5)+(_xlfn.XLOOKUP(B88,'Base stats'!B:B,'Base stats'!AP:AP)/1000)^(2/3)+_xlfn.XLOOKUP(B88,'Base stats'!B:B,'Base stats'!AX:AX))+_xlfn.XLOOKUP(B88,'Base stats'!B:B,'Base stats'!AV:AV)+0.5,0.5))</f>
        <v>No</v>
      </c>
      <c r="S88" s="7" t="str">
        <f>IF(R88="No","No",MAX(_xlfn.XLOOKUP(_xlfn.XLOOKUP(B88,'Base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T88" s="7" t="str">
        <f>IF(R88="No","No",_xlfn.XLOOKUP(_xlfn.XLOOKUP(B88,'Base stats'!B:B,'Base stats'!E:E),Groups!A:A,Groups!R:R))</f>
        <v>No</v>
      </c>
      <c r="U88" s="7" t="str">
        <f>IF(R88="No","No",_xlfn.XLOOKUP(_xlfn.XLOOKUP(B88,'Base stats'!B:B,'Base stats'!E:E),Groups!A:A,Groups!S:S))</f>
        <v>No</v>
      </c>
      <c r="V88" s="7" t="str">
        <f>IF(R88="No","No",_xlfn.XLOOKUP(_xlfn.XLOOKUP(B88,'Base stats'!B:B,'Base stats'!E:E),Groups!A:A,Groups!T:T))</f>
        <v>No</v>
      </c>
      <c r="W88" s="13">
        <f>IF(_xlfn.XLOOKUP(B88,'Base stats'!B:B,'Base stats'!W:W)="No","No",MROUND((LOG10(_xlfn.XLOOKUP(B88,'Base stats'!B:B,'Base stats'!AR:AR))*(AN88^0.5)+(_xlfn.XLOOKUP(B88,'Base stats'!B:B,'Base stats'!AR:AR)/1000)^(2/3)+_xlfn.XLOOKUP(B88,'Base stats'!B:B,'Base stats'!AW:AW))+0.5+IF(_xlfn.XLOOKUP(_xlfn.XLOOKUP(B88,'Base stats'!B:B,'Base stats'!E:E),Groups!A:A,Groups!U:U)&lt;&gt;3,_xlfn.XLOOKUP(B88,'Base stats'!B:B,'Base stats'!AX:AX),0),0.5))</f>
        <v>21</v>
      </c>
      <c r="X88" s="7">
        <f>IF(W88="No","No",MAX(_xlfn.XLOOKUP(_xlfn.XLOOKUP(B88,'Base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2.25</v>
      </c>
      <c r="Y88" s="7" t="str">
        <f>IF(W88="No","No",_xlfn.XLOOKUP(_xlfn.XLOOKUP(B88,'Base stats'!B:B,'Base stats'!E:E),Groups!A:A,Groups!W:W))</f>
        <v>TuskAttackTool</v>
      </c>
      <c r="Z88" s="7" t="str">
        <f>IF(W88="No","No",_xlfn.XLOOKUP(_xlfn.XLOOKUP(B88,'Base stats'!B:B,'Base stats'!E:E),Groups!A:A,Groups!X:X))</f>
        <v>tusk</v>
      </c>
      <c r="AA88" s="7" t="str">
        <f>IF(W88="No","No",_xlfn.XLOOKUP(_xlfn.XLOOKUP(B88,'Base stats'!B:B,'Base stats'!E:E),Groups!A:A,Groups!Y:Y))</f>
        <v>Scratch</v>
      </c>
      <c r="AB88" s="7" t="str">
        <f>_xlfn.XLOOKUP(Animals!B88,'Base stats'!B:B,'Base stats'!X:X)</f>
        <v>False</v>
      </c>
      <c r="AC88" s="13" t="str">
        <f>IF(_xlfn.XLOOKUP(B88,'Base stats'!B:B,'Base stats'!AQ:AQ)="No","No",MROUND((LOG10(_xlfn.XLOOKUP(B88,'Base stats'!B:B,'Base stats'!AQ:AQ))*(AN88^0.75)+(_xlfn.XLOOKUP(B88,'Base stats'!B:B,'Base stats'!AQ:AQ)/1000)^(2/3)+_xlfn.XLOOKUP(B88,'Base stats'!B:B,'Base stats'!AU:AU)+_xlfn.XLOOKUP(B88,'Base stats'!B:B,'Base stats'!AX:AX))+0.5,0.5))</f>
        <v>No</v>
      </c>
      <c r="AD88" s="7" t="str">
        <f>IF(AC88="No","No",MAX(_xlfn.XLOOKUP(_xlfn.XLOOKUP(B88,'Base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E88" s="7" t="str">
        <f>IF(AC88="No","No",_xlfn.XLOOKUP(_xlfn.XLOOKUP(B88,'Base stats'!B:B,'Base stats'!E:E),Groups!A:A,Groups!AA:AA))</f>
        <v>No</v>
      </c>
      <c r="AF88" s="7" t="str">
        <f>IF(AC88="No","No",_xlfn.XLOOKUP(_xlfn.XLOOKUP(B88,'Base stats'!B:B,'Base stats'!E:E),Groups!A:A,Groups!AB:AB))</f>
        <v>No</v>
      </c>
      <c r="AG88" s="7" t="str">
        <f>IF(AC88="No","No",_xlfn.XLOOKUP(_xlfn.XLOOKUP(B88,'Base stats'!B:B,'Base stats'!E:E),Groups!A:A,Groups!AC:AC))</f>
        <v>No</v>
      </c>
      <c r="AH88" s="13" t="str">
        <f>IF(_xlfn.XLOOKUP(_xlfn.XLOOKUP(B88,'Base stats'!B:B,'Base stats'!E:E),Groups!A:A,Groups!AD:AD)=0,"No",MROUND((LOG10(_xlfn.XLOOKUP(B88,'Base stats'!B:B,'Base stats'!AP:AP))*(AN88^0.75)+(_xlfn.XLOOKUP(B88,'Base stats'!B:B,'Base stats'!AP:AP)/1000)^(2/3)+_xlfn.XLOOKUP(B88,'Base stats'!B:B,'Base stats'!AV:AV)+_xlfn.XLOOKUP(B88,'Base stats'!B:B,'Base stats'!AX:AX))+0.5,0.5))</f>
        <v>No</v>
      </c>
      <c r="AI88" s="7" t="str">
        <f>IF(AH88="No","No",MAX(_xlfn.XLOOKUP(_xlfn.XLOOKUP(B88,'Base stats'!B:B,'Base stats'!E:E),Groups!A:A,Groups!AE:AE),MROUND(_xlfn.XLOOKUP(_xlfn.XLOOKUP(B88,'Base stats'!B:B,'Base stats'!E:E),Groups!A:A,Groups!AE:AE)*_xlfn.XLOOKUP(B88,'Base stats'!B:B,'Base stats'!C:C)^0.165,0.05)))</f>
        <v>No</v>
      </c>
      <c r="AJ88" s="7" t="str">
        <f>IF(AH88="No","No",_xlfn.XLOOKUP(_xlfn.XLOOKUP(B88,'Base stats'!B:B,'Base stats'!E:E),Groups!A:A,Groups!AF:AF))</f>
        <v>No</v>
      </c>
      <c r="AK88" s="7" t="str">
        <f>IF(AH88="No","No",_xlfn.XLOOKUP(_xlfn.XLOOKUP(B88,'Base stats'!B:B,'Base stats'!E:E),Groups!A:A,Groups!AG:AG))</f>
        <v>No</v>
      </c>
      <c r="AL88" s="7" t="str">
        <f>IF(AH88="No","No",_xlfn.XLOOKUP(_xlfn.XLOOKUP(B88,'Base stats'!B:B,'Base stats'!E:E),Groups!A:A,Groups!AH:AH))</f>
        <v>No</v>
      </c>
      <c r="AM88" s="2" t="str">
        <f t="shared" si="7"/>
        <v>No</v>
      </c>
      <c r="AN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3.25</v>
      </c>
      <c r="AO88" s="8">
        <f>MROUND(AN88*_xlfn.XLOOKUP(_xlfn.XLOOKUP(B88,'Base stats'!B:B,'Base stats'!E:E),Groups!A:A,Groups!AI:AI),0.05)</f>
        <v>3.9000000000000004</v>
      </c>
      <c r="AP88" s="8">
        <f>MAX(0.01,MROUND(IF(CA88="True",0.196*(AN88*100*1000)^0.889,IF(_xlfn.XLOOKUP(_xlfn.XLOOKUP(B88,'Base stats'!B:B,'Base stats'!E:E),Groups!A:A,Groups!AJ:AJ)="Bird",10.5*(AN88*100*1000)^0.681,4.82*(AN88*100*1000)^0.734))/(4.82*(1*100*1000)^0.734)/IF(AN88&lt;3.5,2,IF(AN88=3.5,1.5,1.25))*(1+0.132282374779864/(AN88^0.994035016789033+0.00905238001496948)),0.05))</f>
        <v>1.25</v>
      </c>
      <c r="AQ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R88" s="35">
        <f>IFERROR(IF(_xlfn.XLOOKUP(B88,'Base stats'!B:B,'Base stats'!F:F)="Lay eggs","Lay eggs",MIN(20,MAX(5.5,ROUND(((_xlfn.XLOOKUP(B88,'Base stats'!B:B,'Base stats'!F:F)-25)*(14.5/615) + 5.5)*2,0)/2))),"Cannot breed")</f>
        <v>12.5</v>
      </c>
      <c r="AS88" s="8">
        <f>IF(OR(A88="Queen",A88="Larva",A88="Megachicken"),"No",IFERROR(MAX(IF(_xlfn.XLOOKUP(B88,'Base stats'!B:B,'Base stats'!G:G)&lt;0.5,0.2,0.3),MROUND(_xlfn.XLOOKUP(B88,'Base stats'!B:B,'Base stats'!G:G)/(365/60),0.2)),"Unknown"))</f>
        <v>0.8</v>
      </c>
      <c r="AT88" s="8">
        <f t="shared" si="8"/>
        <v>0.4</v>
      </c>
      <c r="AU88" s="8">
        <f>IFERROR(IFERROR(MROUND(_xlfn.XLOOKUP(B88,'Base stats'!B:B,'Base stats'!J:J),0.1),"Lay eggs"),"Cannot breed")</f>
        <v>1</v>
      </c>
      <c r="AV88" s="2" t="str">
        <f t="shared" si="9"/>
        <v>true</v>
      </c>
      <c r="AW88" s="2" t="str">
        <f>IF(_xlfn.XLOOKUP(_xlfn.XLOOKUP(Animals!B88,'Base stats'!B:B,'Base stats'!E:E),Groups!A:A,Groups!AK:AK)=1,"true","false")</f>
        <v>false</v>
      </c>
      <c r="AX88" s="25" t="str">
        <f>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</f>
        <v>CarnivoreAnimal, OvivoreAnimal</v>
      </c>
      <c r="AY88" s="2" t="str">
        <f>IF(_xlfn.XLOOKUP(_xlfn.XLOOKUP(B88,'Base stats'!B:B,'Base stats'!E:E),Groups!A:A,Groups!D:D)=1,MROUND((1-I88)*5+1,2)*IF(I88&lt;=0.4,2,1),"No")</f>
        <v>No</v>
      </c>
      <c r="AZ88" s="2" t="str">
        <f>_xlfn.XLOOKUP(B88,'Base stats'!B:B,'Base stats'!AE:AE)</f>
        <v>Leather_Sealskin</v>
      </c>
      <c r="BA88" s="23" t="str">
        <f>_xlfn.XLOOKUP(_xlfn.XLOOKUP(B88,'Base stats'!B:B,'Base stats'!E:E),Groups!A:A,Groups!AL:AL)</f>
        <v>PinnipedWithTusks</v>
      </c>
      <c r="BB88" s="23">
        <f>MROUND(IF(AND(AN88&lt;0.5,_xlfn.XLOOKUP(B88,'Base stats'!B:B,'Base stats'!Z:Z)=0),0,IF(OR(_xlfn.XLOOKUP(Animals!B88,'Base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stats'!AA:AA),0.005)</f>
        <v>0</v>
      </c>
      <c r="BC88" s="23">
        <f>MROUND(IF(AND(AN88&lt;0.5,_xlfn.XLOOKUP(B88,'Base stats'!B:B,'Base stats'!Z:Z)=0),0,IF(_xlfn.XLOOKUP(_xlfn.XLOOKUP(B88,'Base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stats'!AB:AB),0.005)</f>
        <v>0</v>
      </c>
      <c r="BD88" s="2" t="str">
        <f>IF(I88&gt;0.3,"No",_xlfn.XLOOKUP(_xlfn.XLOOKUP(Animals!B88,'Base stats'!B:B,'Base stats'!E:E),Groups!A:A,Groups!AP:AP))</f>
        <v>No</v>
      </c>
      <c r="BE88" s="2" t="str">
        <f>IF(AND(I88&lt;=0.65,_xlfn.XLOOKUP(_xlfn.XLOOKUP(Animals!B88,'Base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stats'!O:O)=2,0.2,AN88) + 24*(1-IF(BD88="No",0,BD88)) + 16/3, 12),"No")</f>
        <v>No</v>
      </c>
      <c r="BF88" s="2">
        <f>IF(AND(_xlfn.XLOOKUP(_xlfn.XLOOKUP(B88,'Base stats'!B:B,'Base stats'!E:E),Groups!A:A,Groups!AQ:AQ)=1,AN88&lt;=0.35),8,12)</f>
        <v>12</v>
      </c>
      <c r="BG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H88" s="2" t="str">
        <f>IF(AND(_xlfn.XLOOKUP(_xlfn.XLOOKUP(B88,'Base stats'!B:B,'Base stats'!E:E),Groups!A:A,Groups!AS:AS)=1,OR('Base stats'!Y88="Carnivore",'Base stats'!Y88="Omnivore")),"true","false")</f>
        <v>false</v>
      </c>
      <c r="BI88" s="2" t="str">
        <f>IF(BH88="true",MROUND(IF(AND(AN88&gt;0.5,_xlfn.XLOOKUP(_xlfn.XLOOKUP(B88,'Base stats'!B:B,'Base stats'!E:E),Groups!A:A,Groups!AJ:AJ)="Mammal"),Animals!AN88*1.75*IF(AV88="true",1.5,1),Animals!AN88),IF(AN88&gt;2,0.5,IF(AN88&gt;0.5,0.25,0.1))),"No")</f>
        <v>No</v>
      </c>
      <c r="BJ88" s="2">
        <f t="shared" si="10"/>
        <v>1</v>
      </c>
      <c r="BK88" s="25">
        <f>IF('Base stats'!AK88="Standard","No",MROUND((_xlfn.XLOOKUP(B88,'Base stats'!B:B,'Base stats'!AK:AK)/3.6)/H88,0.1))</f>
        <v>2.4000000000000004</v>
      </c>
      <c r="BL88" s="25" t="str">
        <f t="shared" si="11"/>
        <v>true</v>
      </c>
      <c r="BM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N88" s="25" t="str" cm="1">
        <f t="array" ref="BN88">IF(
  _xlfn.TEXTJOIN(", ",TRUE,
    IF(AND(BH88="true",AN88&gt;0.5,BG88&lt;&gt;"None"),"AttackTarget",""),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IF(BE88&lt;=36,"Comfort",""),
    IF(_xlfn.XLOOKUP(B88,'Base stats'!B:B,'Base stats'!AC:AC)&lt;&gt;"No",_xlfn.XLOOKUP(B88,'Base stats'!B:B,'Base stats'!AC:AC),"")
  ) = "",
  "No",
  _xlfn.TEXTJOIN(", ",TRUE,
    IF(AND(BH88="true",AN88&gt;0.5,BG88&lt;&gt;"None"),"AttackTarget",""),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IF(BE88&lt;=36,"Comfort",""),
    IF(_xlfn.XLOOKUP(B88,'Base stats'!B:B,'Base stats'!AC:AC)&lt;&gt;"No",_xlfn.XLOOKUP(B88,'Base stats'!B:B,'Base stats'!AC:AC),"")
  )
)</f>
        <v>No</v>
      </c>
      <c r="BO88" s="25">
        <f>IF(
   AND(
      'Base stats'!AK88="Standard",_xlfn.XLOOKUP(_xlfn.XLOOKUP(B88,'Base stats'!B:B,'Base stats'!E:E),Groups!A:A,Groups!AU:AU)=0,
      OR(
      BM88="True"
      )
   ),
   10,
   IF(
       OR(BK88&lt;&gt;"No",_xlfn.XLOOKUP(_xlfn.XLOOKUP(B88,'Base stats'!B:B,'Base stats'!E:E),Groups!A:A,Groups!AU:AU)=1),
      1,
      "No"
   )
)</f>
        <v>1</v>
      </c>
      <c r="BP88" s="9">
        <f>MROUND((1 + ((0.2*IF(OR(P88="No",Q88="No",Q88=0),0,P88/Q88)
+IF(OR(U88="No",R88="No",S88="No"),0,R88/S88*(LEN(U88)-LEN(SUBSTITUTE(U88,",",""))+1))
+IF(OR(W88="No",X88="No"),0,W88/X88)
+IF(OR(AC88="No",AD88="No"),0,AC88/AD88)
+IF(OR(AK88="No",AH88="No",AI88="No"),0,AH88/AI88*(LEN(AK88)-LEN(SUBSTITUTE(AK88,",",""))+1))
)/(0.2*IF(OR(P88="No",Q88="No",Q88=0),0,1)
+IF(OR(U88="No",R88="No",S88="No"),0,LEN(U88)-LEN(SUBSTITUTE(U88,",",""))+1)
+IF(OR(W88="No",X88="No"),0,1)
+IF(OR(AC88="No",AD88="No"),0,1)
+IF(OR(AK88="No",AH88="No",AI88="No"),0,LEN(AK88)-LEN(SUBSTITUTE(AK88,",",""))+1))*62%)* 2)*(1 + (AO88 + _xlfn.XLOOKUP(B88,'Base stats'!B:B,'Base stats'!AS:AS) * 1.8) * 2) * 2.5 + 10 + H88 * 2,5)+IF(_xlfn.XLOOKUP(B88,'Base stats'!B:B,'Base stats'!AH:AH)=1,50,0)</f>
        <v>275</v>
      </c>
      <c r="BQ88" s="8">
        <f t="shared" si="12"/>
        <v>1.6500000000000001</v>
      </c>
      <c r="BR88" s="8" t="str">
        <f>_xlfn.XLOOKUP(B88,'Base stats'!B:B,'Base stats'!AD:AD)</f>
        <v>5~15</v>
      </c>
      <c r="BS88" s="2" t="str">
        <f>IF(AND(I88&lt;=0.95,OR(_xlfn.XLOOKUP(B88,'Base stats'!B:B,'Base stats'!AH:AH)=1,_xlfn.XLOOKUP(B88,'Base stats'!B:B,'Base stats'!Y:Y)="Carnivore",_xlfn.XLOOKUP(B88,'Base stats'!B:B,'Base stats'!Y:Y)="Omnivore",BC88&gt;0.1)),"true","false")</f>
        <v>true</v>
      </c>
      <c r="BT88" s="2" t="str">
        <f>IF(_xlfn.XLOOKUP(B88,'Base stats'!B:B,'Base stats'!AF:AF)=1,"true","false")</f>
        <v>false</v>
      </c>
      <c r="BU88" s="25" t="str">
        <f>IF(E88="BaseInsect","AnimalInsect",
IF(I88&gt;0.95,"AnimalExotic",
_xlfn.TEXTJOIN(", ",TRUE,
IF(AND(_xlfn.XLOOKUP(B88,'Base stats'!B:B,'Base stats'!O:O)=0,_xlfn.XLOOKUP(_xlfn.XLOOKUP(B88,'Base stats'!B:B,'Base stats'!E:E),Groups!A:A,Groups!B:B)&gt;0),"AnimalUncommon","AnimalCommon"),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stats'!AH:AH)=1,AND(BG88&lt;&gt;"None",BP88&gt;=60),ISNUMBER(SEARCH("Attack target",BN88))),"AnimalFighter","")
)))</f>
        <v>AnimalCommon, AnimalFighter</v>
      </c>
      <c r="BV88" s="25" t="str">
        <f>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</f>
        <v>SeaIce IceSheet Tundra</v>
      </c>
      <c r="BW88" s="25" t="str">
        <f>IF(_xlfn.XLOOKUP(B88,'Base stats'!B:B,'Base stats'!AG:AG)=1,"true","false")</f>
        <v>true</v>
      </c>
      <c r="BX88" s="25">
        <f>IF(_xlfn.XLOOKUP(B88,'Base stats'!B:B,'Base stats'!N:N)=1,"No",MIN(MROUND(IF(OR(_xlfn.XLOOKUP(B88,'Base stats'!B:B,'Base stats'!AJ:AJ)=1,AND(BH88="True",CA88="False")),POWER(10,3.47*LOG10(_xlfn.XLOOKUP(B88,'Base stats'!B:B,'Base stats'!C:C)*1000)^-0.96),POWER(10,4.15*LOG10(_xlfn.XLOOKUP(B88,'Base stats'!B:B,'Base stats'!C:C)*1000)^-0.73))*IF(OR(_xlfn.XLOOKUP(B88,'Base stats'!B:B,'Base stats'!AJ:AJ)=1,_xlfn.XLOOKUP(B88,'Base stats'!B:B,'Base stats'!AH:AH)=1),0.5,1)/100,0.025),1))</f>
        <v>0.125</v>
      </c>
      <c r="BY88" s="25" t="str">
        <f>IF(O88="Standard","No",IF(_xlfn.XLOOKUP(B88,'Base stats'!B:B,'Base stats'!N:N)=0,MROUND(BX88*O88,0.05),MIN(1,MAX(0.025,MROUND(IF(OR(CA88="true",AND(BH88="false",BM88="false")),POWER(10,4.15*LOG10(_xlfn.XLOOKUP(B88,'Base stats'!B:B,'Base stats'!C:C)*1000)^-0.73),POWER(10,3.47*LOG10(_xlfn.XLOOKUP(B88,'Base stats'!B:B,'Base stats'!C:C)*1000)^-0.96))*IF(_xlfn.XLOOKUP(B88,'Base stats'!B:B,'Base stats'!AH:AH)=1,0.5,1)/100,0.025)))))</f>
        <v>No</v>
      </c>
      <c r="BZ88" s="25" t="str">
        <f>IF(_xlfn.XLOOKUP(_xlfn.XLOOKUP(B88,'Base stats'!B:B,'Base stats'!E:E),Groups!A:A,Groups!AJ:AJ)="Mammal","True","False")</f>
        <v>True</v>
      </c>
      <c r="CA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B88" s="25" t="str">
        <f t="shared" si="13"/>
        <v>False</v>
      </c>
      <c r="CC88" s="25" t="str">
        <f>IF(_xlfn.XLOOKUP(_xlfn.XLOOKUP(B88,'Base stats'!B:B,'Base stats'!E:E),Groups!A:A,Groups!AW:AW),"True","False")</f>
        <v>False</v>
      </c>
      <c r="CD88" s="25" t="str">
        <f>IF(_xlfn.XLOOKUP(_xlfn.XLOOKUP(B88,'Base stats'!B:B,'Base stats'!E:E),Groups!A:A,Groups!AX:AX),"True","False")</f>
        <v>False</v>
      </c>
      <c r="CE88" s="25" t="str">
        <f>IF(_xlfn.XLOOKUP(B88,'Base stats'!B:B,'Base stats'!E:E)=1,"True","False")</f>
        <v>False</v>
      </c>
      <c r="CF88" s="25" t="str">
        <f>IF(
OR(
_xlfn.XLOOKUP(_xlfn.XLOOKUP(B88,'Base stats'!B:B,'Base stats'!E:E),Groups!A:A,Groups!AY:AY)=0,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stats'!E:E),Groups!A:A,Groups!AY:AY)=1,
"Flesh",
IF(
_xlfn.XLOOKUP(_xlfn.XLOOKUP(B88,'Base stats'!B:B,'Base stats'!E:E),Groups!A:A,Groups!AY:AY)=2,
"Bone",
""
)
)
)</f>
        <v>No</v>
      </c>
      <c r="CG88" s="25" t="str">
        <f>IF(_xlfn.XLOOKUP(_xlfn.XLOOKUP(B88,'Base stats'!B:B,'Base stats'!E:E),Groups!A:A,Groups!BA:BA),"True","False")</f>
        <v>True</v>
      </c>
      <c r="CH88" s="25" t="str">
        <f>IF(_xlfn.XLOOKUP(_xlfn.XLOOKUP(B88,'Base stats'!B:B,'Base stats'!E:E),Groups!A:A,Groups!AZ:AZ),"True","False")</f>
        <v>False</v>
      </c>
    </row>
    <row r="89" spans="1:86" ht="16.5" thickTop="1" thickBot="1" x14ac:dyDescent="0.3">
      <c r="A89" s="26" t="str">
        <f>_xlfn.XLOOKUP(B89,'Base stats'!B:B,'Base stats'!A:A)</f>
        <v>Gorilla</v>
      </c>
      <c r="B89" s="6" t="s">
        <v>112</v>
      </c>
      <c r="C89" s="28" t="s">
        <v>781</v>
      </c>
      <c r="D89" s="28" t="s">
        <v>882</v>
      </c>
      <c r="E89" s="28" t="s">
        <v>685</v>
      </c>
      <c r="F89" s="28" t="s">
        <v>685</v>
      </c>
      <c r="G89" s="2">
        <f>MROUND((
  (IF(AND(_xlfn.XLOOKUP(B89,'Base stats'!B:B,'Base stats'!AI:AI)=0,BG89="None",_xlfn.XLOOKUP('Base stats'!E89,Groups!A:A,Groups!B:B)=0), (18 + BP89 * 2.7) * 0.5,
    IF(AND(_xlfn.XLOOKUP(B89,'Base stats'!B:B,'Base stats'!AI:AI)=0,OR(AN89&lt;0.55,AND(BG89="Intermediate",_xlfn.XLOOKUP('Base stats'!E89,Groups!A:A,Groups!B:B)&lt;2))), (18 + BP89 * 2.7),
      IF(OR(BG89="Advanced",_xlfn.XLOOKUP(B89,'Base stats'!B:B,'Base stats'!AI:AI)=1,_xlfn.XLOOKUP('Base stats'!E89,Groups!A:A,Groups!B:B)=2), (18 + BP89 * 2.7) + 250, (18 + BP89 * 2.7))
    )
  ))
  + AN89 * 80
  + IF(COUNTIF(EggMilk!K$2:K$998, A89) &gt; 0, 125, 0)
  + IF(COUNTIF(EggMilk!P$2:P$998, A89) &gt; 0, 90, 0)
  + IF(COUNTIF(EggMilk!A$2:A$998, A89) &gt; 0, 90, 0)
)
* (0.8 + 0.4 * I89)
* 0.75,25)</f>
        <v>625</v>
      </c>
      <c r="H89" s="2">
        <f>MROUND(ROUNDDOWN(_xlfn.XLOOKUP(B89,'Base stats'!B:B,'Base stats'!L:L)/3.6/(23.3/11),1),0.5)</f>
        <v>4</v>
      </c>
      <c r="I89" s="2">
        <f>IF(_xlfn.XLOOKUP(B89,'Base stats'!B:B,'Base stats'!AI:AI)=1,0.99,MIN(MROUND((1-0.6282*EXP(-0.459*AN89))*_xlfn.XLOOKUP(_xlfn.XLOOKUP(B89,'Base stats'!B:B,'Base stats'!E:E),Groups!A:A,Groups!C:C)*IF(_xlfn.XLOOKUP(B89,'Base stats'!B:B,'Base stats'!O:O)=1,0.5,IF(_xlfn.XLOOKUP(B89,'Base stats'!B:B,'Base stats'!O:O)=2,0,1)),0.05),0.985))</f>
        <v>0.9</v>
      </c>
      <c r="J89" s="2">
        <f>ROUNDUP(AN89*_xlfn.XLOOKUP(_xlfn.XLOOKUP(B89,'Base stats'!B:B,'Base stats'!E:E),Groups!A:A,Groups!E:E),0)</f>
        <v>2</v>
      </c>
      <c r="K89" s="2">
        <f>IF(OR(_xlfn.XLOOKUP(_xlfn.XLOOKUP(B89,'Base stats'!B:B,'Base stats'!E:E),Groups!A:A,Groups!F:F)=2,ISNUMBER(SEARCH("SeaIce",BV89)),ISNUMBER(SEARCH("IceSheet",BV89))),-50,IF(OR(ISNUMBER(SEARCH("GlacialPlain",BV89)),ISNUMBER(SEARCH("Tundra",BV89))),-40,IF(OR(ISNUMBER(SEARCH("Alpine",BV89)),ISNUMBER(SEARCH("BorealForest",BV89)),ISNUMBER(SEARCH("ColdBog",BV89))),-30,IF(OR(ISNUMBER(SEARCH("TemperateForest",BV89)),ISNUMBER(SEARCH("TemperateSwamp",BV89))),-20,IF(_xlfn.XLOOKUP(_xlfn.XLOOKUP(B89,'Base stats'!B:B,'Base stats'!E:E),Groups!A:A,Groups!F:F)=1,-15,IF(OR(ISNUMBER(SEARCH("Desert",BV89)),ISNUMBER(SEARCH("ExtremeDesert",BV89))),-10,IF(OR(ISNUMBER(SEARCH("Grasslands",BV89)),ISNUMBER(SEARCH("TropicalRainforest",BV89)),ISNUMBER(SEARCH("TropicalSwamp",BV89))),10,0)))))))-IF(CA89="False",MIN(IFERROR(MAX(MROUND(LOG10(_xlfn.XLOOKUP(B89,'Base stats'!B:B,'Base stats'!C:C)^(2/3))*10,5),5),5),30))-_xlfn.XLOOKUP(B89,'Base stats'!B:B,'Base stats'!P:P)+IF(CA89="True",5,0)</f>
        <v>-5</v>
      </c>
      <c r="L89" s="2">
        <f>IF(OR(_xlfn.XLOOKUP(_xlfn.XLOOKUP(B89,'Base stats'!B:B,'Base stats'!E:E),Groups!A:A,Groups!G:G)=2,ISNUMBER(SEARCH("Desert",BV89)),ISNUMBER(SEARCH("ExtremeDesert",BV89)),ISNUMBER(SEARCH("LavaField",BV89))),50,IF(ISNUMBER(SEARCH("Grasslands",BV89)),45,IF(OR(_xlfn.XLOOKUP(_xlfn.XLOOKUP(B89,'Base stats'!B:B,'Base stats'!E:E),Groups!A:A,Groups!G:G)=1,ISNUMBER(SEARCH("TropicalRainforest",BV89)),ISNUMBER(SEARCH("TropicalSwamp",BV89))),40,IF(OR(ISNUMBER(SEARCH("TemperateForest",BV89)),ISNUMBER(SEARCH("TemperateSwamp",BV89))),35,IF(OR(ISNUMBER(SEARCH("Alpine",BV89)),ISNUMBER(SEARCH("BorealForest",BV89)),ISNUMBER(SEARCH("ColdBog",BV89))),30,IF(ISNUMBER(OR(ISNUMBER(SEARCH("GlacialPlain",BV89)),SEARCH("Tundra",BV89))),25,IF(OR(ISNUMBER(SEARCH("SeaIce",BV89)),ISNUMBER(SEARCH("IceSheet",BV89)),ISNUMBER(SEARCH("TropicalSwamp",BV89))),10,35)))))))+_xlfn.XLOOKUP(B89,'Base stats'!B:B,'Base stats'!Q:Q)</f>
        <v>40</v>
      </c>
      <c r="M89" s="8" t="str">
        <f>IF(_xlfn.XLOOKUP(_xlfn.XLOOKUP(B89,'Base stats'!B:B,'Base stats'!E:E),Groups!A:A,Groups!L:L)=1,MIN(MROUND(_xlfn.XLOOKUP(B89,'Animals CE'!B:B,'Animals CE'!Z:Z)/2+0.05,0.05),200%),"No")</f>
        <v>No</v>
      </c>
      <c r="N89" s="8" t="str">
        <f>IF(_xlfn.XLOOKUP(_xlfn.XLOOKUP(B89,'Base stats'!B:B,'Base stats'!E:E),Groups!A:A,Groups!L:L)=1,MIN(MROUND(_xlfn.XLOOKUP(B89,'Animals CE'!B:B,'Animals CE'!AA:AA)/2+0.05,0.05),200%),"No")</f>
        <v>No</v>
      </c>
      <c r="O89" s="2" t="str">
        <f>_xlfn.XLOOKUP(B89,'Base stats'!B:B,'Base stats'!R:R)</f>
        <v>Standard</v>
      </c>
      <c r="P89" s="13">
        <f>MROUND((LOG10(_xlfn.XLOOKUP(B89,'Base stats'!B:B,'Base stats'!AO:AO))*(AN89^0.5)+(_xlfn.XLOOKUP(B89,'Base stats'!B:B,'Base stats'!AO:AO)/1000)^(2/3)+_xlfn.XLOOKUP(B89,'Base stats'!B:B,'Base stats'!AX:AX)/2)+0.5,0.5)</f>
        <v>9.5</v>
      </c>
      <c r="Q89" s="7">
        <f>IF(P89="No","No",MAX(1,MROUND(_xlfn.XLOOKUP(B89,'Base stats'!B:B,'Base stats'!C:C)^0.165,0.05)))</f>
        <v>2.3000000000000003</v>
      </c>
      <c r="R89" s="13" t="str">
        <f>IF(_xlfn.XLOOKUP(_xlfn.XLOOKUP(B89,'Base stats'!B:B,'Base stats'!E:E),Groups!A:A,Groups!P:P)=0,"No",MROUND((LOG10(_xlfn.XLOOKUP(B89,'Base stats'!B:B,'Base stats'!AP:AP))*(AN89^0.5)+(_xlfn.XLOOKUP(B89,'Base stats'!B:B,'Base stats'!AP:AP)/1000)^(2/3)+_xlfn.XLOOKUP(B89,'Base stats'!B:B,'Base stats'!AX:AX))+_xlfn.XLOOKUP(B89,'Base stats'!B:B,'Base stats'!AV:AV)+0.5,0.5))</f>
        <v>No</v>
      </c>
      <c r="S89" s="7" t="str">
        <f>IF(R89="No","No",MAX(_xlfn.XLOOKUP(_xlfn.XLOOKUP(B89,'Base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T89" s="7" t="str">
        <f>IF(R89="No","No",_xlfn.XLOOKUP(_xlfn.XLOOKUP(B89,'Base stats'!B:B,'Base stats'!E:E),Groups!A:A,Groups!R:R))</f>
        <v>No</v>
      </c>
      <c r="U89" s="7" t="str">
        <f>IF(R89="No","No",_xlfn.XLOOKUP(_xlfn.XLOOKUP(B89,'Base stats'!B:B,'Base stats'!E:E),Groups!A:A,Groups!S:S))</f>
        <v>No</v>
      </c>
      <c r="V89" s="7" t="str">
        <f>IF(R89="No","No",_xlfn.XLOOKUP(_xlfn.XLOOKUP(B89,'Base stats'!B:B,'Base stats'!E:E),Groups!A:A,Groups!T:T))</f>
        <v>No</v>
      </c>
      <c r="W89" s="13" t="str">
        <f>IF(_xlfn.XLOOKUP(B89,'Base stats'!B:B,'Base stats'!W:W)="No","No",MROUND((LOG10(_xlfn.XLOOKUP(B89,'Base stats'!B:B,'Base stats'!AR:AR))*(AN89^0.5)+(_xlfn.XLOOKUP(B89,'Base stats'!B:B,'Base stats'!AR:AR)/1000)^(2/3)+_xlfn.XLOOKUP(B89,'Base stats'!B:B,'Base stats'!AW:AW))+0.5+IF(_xlfn.XLOOKUP(_xlfn.XLOOKUP(B89,'Base stats'!B:B,'Base stats'!E:E),Groups!A:A,Groups!U:U)&lt;&gt;3,_xlfn.XLOOKUP(B89,'Base stats'!B:B,'Base stats'!AX:AX),0),0.5))</f>
        <v>No</v>
      </c>
      <c r="X89" s="7" t="str">
        <f>IF(W89="No","No",MAX(_xlfn.XLOOKUP(_xlfn.XLOOKUP(B89,'Base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Y89" s="7" t="str">
        <f>IF(W89="No","No",_xlfn.XLOOKUP(_xlfn.XLOOKUP(B89,'Base stats'!B:B,'Base stats'!E:E),Groups!A:A,Groups!W:W))</f>
        <v>No</v>
      </c>
      <c r="Z89" s="7" t="str">
        <f>IF(W89="No","No",_xlfn.XLOOKUP(_xlfn.XLOOKUP(B89,'Base stats'!B:B,'Base stats'!E:E),Groups!A:A,Groups!X:X))</f>
        <v>No</v>
      </c>
      <c r="AA89" s="7" t="str">
        <f>IF(W89="No","No",_xlfn.XLOOKUP(_xlfn.XLOOKUP(B89,'Base stats'!B:B,'Base stats'!E:E),Groups!A:A,Groups!Y:Y))</f>
        <v>No</v>
      </c>
      <c r="AB89" s="7" t="str">
        <f>_xlfn.XLOOKUP(Animals!B89,'Base stats'!B:B,'Base stats'!X:X)</f>
        <v>False</v>
      </c>
      <c r="AC89" s="13">
        <f>IF(_xlfn.XLOOKUP(B89,'Base stats'!B:B,'Base stats'!AQ:AQ)="No","No",MROUND((LOG10(_xlfn.XLOOKUP(B89,'Base stats'!B:B,'Base stats'!AQ:AQ))*(AN89^0.75)+(_xlfn.XLOOKUP(B89,'Base stats'!B:B,'Base stats'!AQ:AQ)/1000)^(2/3)+_xlfn.XLOOKUP(B89,'Base stats'!B:B,'Base stats'!AU:AU)+_xlfn.XLOOKUP(B89,'Base stats'!B:B,'Base stats'!AX:AX))+0.5,0.5))</f>
        <v>14.5</v>
      </c>
      <c r="AD89" s="7">
        <f>IF(AC89="No","No",MAX(_xlfn.XLOOKUP(_xlfn.XLOOKUP(B89,'Base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E89" s="7" t="str">
        <f>IF(AC89="No","No",_xlfn.XLOOKUP(_xlfn.XLOOKUP(B89,'Base stats'!B:B,'Base stats'!E:E),Groups!A:A,Groups!AA:AA))</f>
        <v>Teeth</v>
      </c>
      <c r="AF89" s="7" t="str">
        <f>IF(AC89="No","No",_xlfn.XLOOKUP(_xlfn.XLOOKUP(B89,'Base stats'!B:B,'Base stats'!E:E),Groups!A:A,Groups!AB:AB))</f>
        <v>canines</v>
      </c>
      <c r="AG89" s="7" t="str">
        <f>IF(AC89="No","No",_xlfn.XLOOKUP(_xlfn.XLOOKUP(B89,'Base stats'!B:B,'Base stats'!E:E),Groups!A:A,Groups!AC:AC))</f>
        <v>Bite</v>
      </c>
      <c r="AH89" s="13">
        <f>IF(_xlfn.XLOOKUP(_xlfn.XLOOKUP(B89,'Base stats'!B:B,'Base stats'!E:E),Groups!A:A,Groups!AD:AD)=0,"No",MROUND((LOG10(_xlfn.XLOOKUP(B89,'Base stats'!B:B,'Base stats'!AP:AP))*(AN89^0.75)+(_xlfn.XLOOKUP(B89,'Base stats'!B:B,'Base stats'!AP:AP)/1000)^(2/3)+_xlfn.XLOOKUP(B89,'Base stats'!B:B,'Base stats'!AV:AV)+_xlfn.XLOOKUP(B89,'Base stats'!B:B,'Base stats'!AX:AX))+0.5,0.5))</f>
        <v>12.5</v>
      </c>
      <c r="AI89" s="7">
        <f>IF(AH89="No","No",MAX(_xlfn.XLOOKUP(_xlfn.XLOOKUP(B89,'Base stats'!B:B,'Base stats'!E:E),Groups!A:A,Groups!AE:AE),MROUND(_xlfn.XLOOKUP(_xlfn.XLOOKUP(B89,'Base stats'!B:B,'Base stats'!E:E),Groups!A:A,Groups!AE:AE)*_xlfn.XLOOKUP(B89,'Base stats'!B:B,'Base stats'!C:C)^0.165,0.05)))</f>
        <v>1.5</v>
      </c>
      <c r="AJ89" s="7" t="str">
        <f>IF(AH89="No","No",_xlfn.XLOOKUP(_xlfn.XLOOKUP(B89,'Base stats'!B:B,'Base stats'!E:E),Groups!A:A,Groups!AF:AF))</f>
        <v>LeftHand, RightHand</v>
      </c>
      <c r="AK89" s="7" t="str">
        <f>IF(AH89="No","No",_xlfn.XLOOKUP(_xlfn.XLOOKUP(B89,'Base stats'!B:B,'Base stats'!E:E),Groups!A:A,Groups!AG:AG))</f>
        <v>left fist, right fist</v>
      </c>
      <c r="AL89" s="7" t="str">
        <f>IF(AH89="No","No",_xlfn.XLOOKUP(_xlfn.XLOOKUP(B89,'Base stats'!B:B,'Base stats'!E:E),Groups!A:A,Groups!AH:AH))</f>
        <v>Blunt</v>
      </c>
      <c r="AM89" s="2" t="str">
        <f t="shared" si="7"/>
        <v>No</v>
      </c>
      <c r="AN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O89" s="8">
        <f>MROUND(AN89*_xlfn.XLOOKUP(_xlfn.XLOOKUP(B89,'Base stats'!B:B,'Base stats'!E:E),Groups!A:A,Groups!AI:AI),0.05)</f>
        <v>1.5</v>
      </c>
      <c r="AP89" s="8">
        <f>MAX(0.01,MROUND(IF(CA89="True",0.196*(AN89*100*1000)^0.889,IF(_xlfn.XLOOKUP(_xlfn.XLOOKUP(B89,'Base stats'!B:B,'Base stats'!E:E),Groups!A:A,Groups!AJ:AJ)="Bird",10.5*(AN89*100*1000)^0.681,4.82*(AN89*100*1000)^0.734))/(4.82*(1*100*1000)^0.734)/IF(AN89&lt;3.5,2,IF(AN89=3.5,1.5,1.25))*(1+0.132282374779864/(AN89^0.994035016789033+0.00905238001496948)),0.05))</f>
        <v>0.75</v>
      </c>
      <c r="AQ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R89" s="35">
        <f>IFERROR(IF(_xlfn.XLOOKUP(B89,'Base stats'!B:B,'Base stats'!F:F)="Lay eggs","Lay eggs",MIN(20,MAX(5.5,ROUND(((_xlfn.XLOOKUP(B89,'Base stats'!B:B,'Base stats'!F:F)-25)*(14.5/615) + 5.5)*2,0)/2))),"Cannot breed")</f>
        <v>11</v>
      </c>
      <c r="AS89" s="8">
        <f>IF(OR(A89="Queen",A89="Larva",A89="Megachicken"),"No",IFERROR(MAX(IF(_xlfn.XLOOKUP(B89,'Base stats'!B:B,'Base stats'!G:G)&lt;0.5,0.2,0.3),MROUND(_xlfn.XLOOKUP(B89,'Base stats'!B:B,'Base stats'!G:G)/(365/60),0.2)),"Unknown"))</f>
        <v>1.2000000000000002</v>
      </c>
      <c r="AT89" s="8">
        <f t="shared" si="8"/>
        <v>0.60000000000000009</v>
      </c>
      <c r="AU89" s="8">
        <f>IFERROR(IFERROR(MROUND(_xlfn.XLOOKUP(B89,'Base stats'!B:B,'Base stats'!J:J),0.1),"Lay eggs"),"Cannot breed")</f>
        <v>1</v>
      </c>
      <c r="AV89" s="2" t="str">
        <f t="shared" si="9"/>
        <v>true</v>
      </c>
      <c r="AW89" s="2" t="str">
        <f>IF(_xlfn.XLOOKUP(_xlfn.XLOOKUP(Animals!B89,'Base stats'!B:B,'Base stats'!E:E),Groups!A:A,Groups!AK:AK)=1,"true","false")</f>
        <v>false</v>
      </c>
      <c r="AX89" s="25" t="str">
        <f>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</f>
        <v>VegetarianRoughAnimal</v>
      </c>
      <c r="AY89" s="2" t="str">
        <f>IF(_xlfn.XLOOKUP(_xlfn.XLOOKUP(B89,'Base stats'!B:B,'Base stats'!E:E),Groups!A:A,Groups!D:D)=1,MROUND((1-I89)*5+1,2)*IF(I89&lt;=0.4,2,1),"No")</f>
        <v>No</v>
      </c>
      <c r="AZ89" s="2" t="str">
        <f>_xlfn.XLOOKUP(B89,'Base stats'!B:B,'Base stats'!AE:AE)</f>
        <v>Leather_Light</v>
      </c>
      <c r="BA89" s="23" t="str">
        <f>_xlfn.XLOOKUP(_xlfn.XLOOKUP(B89,'Base stats'!B:B,'Base stats'!E:E),Groups!A:A,Groups!AL:AL)</f>
        <v>Ape</v>
      </c>
      <c r="BB89" s="23">
        <f>MROUND(IF(AND(AN89&lt;0.5,_xlfn.XLOOKUP(B89,'Base stats'!B:B,'Base stats'!Z:Z)=0),0,IF(OR(_xlfn.XLOOKUP(Animals!B89,'Base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stats'!AA:AA),0.005)</f>
        <v>2.5000000000000001E-2</v>
      </c>
      <c r="BC89" s="23">
        <f>MROUND(IF(AND(AN89&lt;0.5,_xlfn.XLOOKUP(B89,'Base stats'!B:B,'Base stats'!Z:Z)=0),0,IF(_xlfn.XLOOKUP(_xlfn.XLOOKUP(B89,'Base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stats'!AB:AB),0.005)</f>
        <v>0.1</v>
      </c>
      <c r="BD89" s="2" t="str">
        <f>IF(I89&gt;0.3,"No",_xlfn.XLOOKUP(_xlfn.XLOOKUP(Animals!B89,'Base stats'!B:B,'Base stats'!E:E),Groups!A:A,Groups!AP:AP))</f>
        <v>No</v>
      </c>
      <c r="BE89" s="2" t="str">
        <f>IF(AND(I89&lt;=0.65,_xlfn.XLOOKUP(_xlfn.XLOOKUP(Animals!B89,'Base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stats'!O:O)=2,0.2,AN89) + 24*(1-IF(BD89="No",0,BD89)) + 16/3, 12),"No")</f>
        <v>No</v>
      </c>
      <c r="BF89" s="2">
        <f>IF(AND(_xlfn.XLOOKUP(_xlfn.XLOOKUP(B89,'Base stats'!B:B,'Base stats'!E:E),Groups!A:A,Groups!AQ:AQ)=1,AN89&lt;=0.35),8,12)</f>
        <v>12</v>
      </c>
      <c r="BG89" s="2" t="str">
        <f>IF(_xlfn.XLOOKUP(_xlfn.XLOOKUP(B89,'Base stats'!B:B,'Base stats'!E:E),Groups!A:A,Groups!D:D)=0,_xlfn.XLOOKUP(_xlfn.XLOOKUP(B89,'Base stats'!B:B,'Base stats'!E:E),Groups!A:A,Groups!AR:AR),"None")</f>
        <v>Advanced</v>
      </c>
      <c r="BH89" s="2" t="str">
        <f>IF(AND(_xlfn.XLOOKUP(_xlfn.XLOOKUP(B89,'Base stats'!B:B,'Base stats'!E:E),Groups!A:A,Groups!AS:AS)=1,OR('Base stats'!Y89="Carnivore",'Base stats'!Y89="Omnivore")),"true","false")</f>
        <v>false</v>
      </c>
      <c r="BI89" s="2" t="str">
        <f>IF(BH89="true",MROUND(IF(AND(AN89&gt;0.5,_xlfn.XLOOKUP(_xlfn.XLOOKUP(B89,'Base stats'!B:B,'Base stats'!E:E),Groups!A:A,Groups!AJ:AJ)="Mammal"),Animals!AN89*1.75*IF(AV89="true",1.5,1),Animals!AN89),IF(AN89&gt;2,0.5,IF(AN89&gt;0.5,0.25,0.1))),"No")</f>
        <v>No</v>
      </c>
      <c r="BJ89" s="2">
        <f t="shared" si="10"/>
        <v>1</v>
      </c>
      <c r="BK89" s="25" t="str">
        <f>IF('Base stats'!AK89="Standard","No",MROUND((_xlfn.XLOOKUP(B89,'Base stats'!B:B,'Base stats'!AK:AK)/3.6)/H89,0.1))</f>
        <v>No</v>
      </c>
      <c r="BL89" s="25" t="str">
        <f t="shared" si="11"/>
        <v>false</v>
      </c>
      <c r="BM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N89" s="25" t="str" cm="1">
        <f t="array" ref="BN89">IF(
  _xlfn.TEXTJOIN(", ",TRUE,
    IF(AND(BH89="true",AN89&gt;0.5,BG89&lt;&gt;"None"),"AttackTarget",""),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IF(BE89&lt;=36,"Comfort",""),
    IF(_xlfn.XLOOKUP(B89,'Base stats'!B:B,'Base stats'!AC:AC)&lt;&gt;"No",_xlfn.XLOOKUP(B89,'Base stats'!B:B,'Base stats'!AC:AC),"")
  ) = "",
  "No",
  _xlfn.TEXTJOIN(", ",TRUE,
    IF(AND(BH89="true",AN89&gt;0.5,BG89&lt;&gt;"None"),"AttackTarget",""),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IF(BE89&lt;=36,"Comfort",""),
    IF(_xlfn.XLOOKUP(B89,'Base stats'!B:B,'Base stats'!AC:AC)&lt;&gt;"No",_xlfn.XLOOKUP(B89,'Base stats'!B:B,'Base stats'!AC:AC),"")
  )
)</f>
        <v>No</v>
      </c>
      <c r="BO89" s="25" t="str">
        <f>IF(
   AND(
      'Base stats'!AK89="Standard",_xlfn.XLOOKUP(_xlfn.XLOOKUP(B89,'Base stats'!B:B,'Base stats'!E:E),Groups!A:A,Groups!AU:AU)=0,
      OR(
      BM89="True"
      )
   ),
   10,
   IF(
       OR(BK89&lt;&gt;"No",_xlfn.XLOOKUP(_xlfn.XLOOKUP(B89,'Base stats'!B:B,'Base stats'!E:E),Groups!A:A,Groups!AU:AU)=1),
      1,
      "No"
   )
)</f>
        <v>No</v>
      </c>
      <c r="BP89" s="9">
        <f>MROUND((1 + ((0.2*IF(OR(P89="No",Q89="No",Q89=0),0,P89/Q89)
+IF(OR(U89="No",R89="No",S89="No"),0,R89/S89*(LEN(U89)-LEN(SUBSTITUTE(U89,",",""))+1))
+IF(OR(W89="No",X89="No"),0,W89/X89)
+IF(OR(AC89="No",AD89="No"),0,AC89/AD89)
+IF(OR(AK89="No",AH89="No",AI89="No"),0,AH89/AI89*(LEN(AK89)-LEN(SUBSTITUTE(AK89,",",""))+1))
)/(0.2*IF(OR(P89="No",Q89="No",Q89=0),0,1)
+IF(OR(U89="No",R89="No",S89="No"),0,LEN(U89)-LEN(SUBSTITUTE(U89,",",""))+1)
+IF(OR(W89="No",X89="No"),0,1)
+IF(OR(AC89="No",AD89="No"),0,1)
+IF(OR(AK89="No",AH89="No",AI89="No"),0,LEN(AK89)-LEN(SUBSTITUTE(AK89,",",""))+1))*62%)* 2)*(1 + (AO89 + _xlfn.XLOOKUP(B89,'Base stats'!B:B,'Base stats'!AS:AS) * 1.8) * 2) * 2.5 + 10 + H89 * 2,5)+IF(_xlfn.XLOOKUP(B89,'Base stats'!B:B,'Base stats'!AH:AH)=1,50,0)</f>
        <v>125</v>
      </c>
      <c r="BQ89" s="8">
        <f t="shared" si="12"/>
        <v>0.9</v>
      </c>
      <c r="BR89" s="8" t="str">
        <f>_xlfn.XLOOKUP(B89,'Base stats'!B:B,'Base stats'!AD:AD)</f>
        <v>3~10</v>
      </c>
      <c r="BS89" s="2" t="str">
        <f>IF(AND(I89&lt;=0.95,OR(_xlfn.XLOOKUP(B89,'Base stats'!B:B,'Base stats'!AH:AH)=1,_xlfn.XLOOKUP(B89,'Base stats'!B:B,'Base stats'!Y:Y)="Carnivore",_xlfn.XLOOKUP(B89,'Base stats'!B:B,'Base stats'!Y:Y)="Omnivore",BC89&gt;0.1)),"true","false")</f>
        <v>false</v>
      </c>
      <c r="BT89" s="2" t="str">
        <f>IF(_xlfn.XLOOKUP(B89,'Base stats'!B:B,'Base stats'!AF:AF)=1,"true","false")</f>
        <v>false</v>
      </c>
      <c r="BU89" s="25" t="str">
        <f>IF(E89="BaseInsect","AnimalInsect",
IF(I89&gt;0.95,"AnimalExotic",
_xlfn.TEXTJOIN(", ",TRUE,
IF(AND(_xlfn.XLOOKUP(B89,'Base stats'!B:B,'Base stats'!O:O)=0,_xlfn.XLOOKUP(_xlfn.XLOOKUP(B89,'Base stats'!B:B,'Base stats'!E:E),Groups!A:A,Groups!B:B)&gt;0),"AnimalUncommon","AnimalCommon"),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stats'!AH:AH)=1,AND(BG89&lt;&gt;"None",BP89&gt;=60),ISNUMBER(SEARCH("Attack target",BN89))),"AnimalFighter","")
)))</f>
        <v>AnimalUncommon, AnimalFighter</v>
      </c>
      <c r="BV89" s="25" t="str">
        <f>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</f>
        <v>TropicalRainforest TropicalSwamp Glowforest</v>
      </c>
      <c r="BW89" s="25" t="str">
        <f>IF(_xlfn.XLOOKUP(B89,'Base stats'!B:B,'Base stats'!AG:AG)=1,"true","false")</f>
        <v>false</v>
      </c>
      <c r="BX89" s="25">
        <f>IF(_xlfn.XLOOKUP(B89,'Base stats'!B:B,'Base stats'!N:N)=1,"No",MIN(MROUND(IF(OR(_xlfn.XLOOKUP(B89,'Base stats'!B:B,'Base stats'!AJ:AJ)=1,AND(BH89="True",CA89="False")),POWER(10,3.47*LOG10(_xlfn.XLOOKUP(B89,'Base stats'!B:B,'Base stats'!C:C)*1000)^-0.96),POWER(10,4.15*LOG10(_xlfn.XLOOKUP(B89,'Base stats'!B:B,'Base stats'!C:C)*1000)^-0.73))*IF(OR(_xlfn.XLOOKUP(B89,'Base stats'!B:B,'Base stats'!AJ:AJ)=1,_xlfn.XLOOKUP(B89,'Base stats'!B:B,'Base stats'!AH:AH)=1),0.5,1)/100,0.025),1))</f>
        <v>0.17500000000000002</v>
      </c>
      <c r="BY89" s="25" t="str">
        <f>IF(O89="Standard","No",IF(_xlfn.XLOOKUP(B89,'Base stats'!B:B,'Base stats'!N:N)=0,MROUND(BX89*O89,0.05),MIN(1,MAX(0.025,MROUND(IF(OR(CA89="true",AND(BH89="false",BM89="false")),POWER(10,4.15*LOG10(_xlfn.XLOOKUP(B89,'Base stats'!B:B,'Base stats'!C:C)*1000)^-0.73),POWER(10,3.47*LOG10(_xlfn.XLOOKUP(B89,'Base stats'!B:B,'Base stats'!C:C)*1000)^-0.96))*IF(_xlfn.XLOOKUP(B89,'Base stats'!B:B,'Base stats'!AH:AH)=1,0.5,1)/100,0.025)))))</f>
        <v>No</v>
      </c>
      <c r="BZ89" s="25" t="str">
        <f>IF(_xlfn.XLOOKUP(_xlfn.XLOOKUP(B89,'Base stats'!B:B,'Base stats'!E:E),Groups!A:A,Groups!AJ:AJ)="Mammal","True","False")</f>
        <v>True</v>
      </c>
      <c r="CA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B89" s="25" t="str">
        <f t="shared" si="13"/>
        <v>False</v>
      </c>
      <c r="CC89" s="25" t="str">
        <f>IF(_xlfn.XLOOKUP(_xlfn.XLOOKUP(B89,'Base stats'!B:B,'Base stats'!E:E),Groups!A:A,Groups!AW:AW),"True","False")</f>
        <v>False</v>
      </c>
      <c r="CD89" s="25" t="str">
        <f>IF(_xlfn.XLOOKUP(_xlfn.XLOOKUP(B89,'Base stats'!B:B,'Base stats'!E:E),Groups!A:A,Groups!AX:AX),"True","False")</f>
        <v>False</v>
      </c>
      <c r="CE89" s="25" t="str">
        <f>IF(_xlfn.XLOOKUP(B89,'Base stats'!B:B,'Base stats'!E:E)=1,"True","False")</f>
        <v>False</v>
      </c>
      <c r="CF89" s="25" t="str">
        <f>IF(
OR(
_xlfn.XLOOKUP(_xlfn.XLOOKUP(B89,'Base stats'!B:B,'Base stats'!E:E),Groups!A:A,Groups!AY:AY)=0,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stats'!E:E),Groups!A:A,Groups!AY:AY)=1,
"Flesh",
IF(
_xlfn.XLOOKUP(_xlfn.XLOOKUP(B89,'Base stats'!B:B,'Base stats'!E:E),Groups!A:A,Groups!AY:AY)=2,
"Bone",
""
)
)
)</f>
        <v>No</v>
      </c>
      <c r="CG89" s="25" t="str">
        <f>IF(_xlfn.XLOOKUP(_xlfn.XLOOKUP(B89,'Base stats'!B:B,'Base stats'!E:E),Groups!A:A,Groups!BA:BA),"True","False")</f>
        <v>True</v>
      </c>
      <c r="CH89" s="25" t="str">
        <f>IF(_xlfn.XLOOKUP(_xlfn.XLOOKUP(B89,'Base stats'!B:B,'Base stats'!E:E),Groups!A:A,Groups!AZ:AZ),"True","False")</f>
        <v>False</v>
      </c>
    </row>
    <row r="90" spans="1:86" ht="16.5" thickTop="1" thickBot="1" x14ac:dyDescent="0.3">
      <c r="A90" s="26" t="str">
        <f>_xlfn.XLOOKUP(B90,'Base stats'!B:B,'Base stats'!A:A)</f>
        <v>MonitorLizard</v>
      </c>
      <c r="B90" s="6" t="s">
        <v>268</v>
      </c>
      <c r="C90" s="28" t="s">
        <v>782</v>
      </c>
      <c r="D90" s="28" t="s">
        <v>882</v>
      </c>
      <c r="E90" s="28" t="s">
        <v>685</v>
      </c>
      <c r="F90" s="28" t="s">
        <v>685</v>
      </c>
      <c r="G90" s="2">
        <f>MROUND((
  (IF(AND(_xlfn.XLOOKUP(B90,'Base stats'!B:B,'Base stats'!AI:AI)=0,BG90="None",_xlfn.XLOOKUP('Base stats'!E90,Groups!A:A,Groups!B:B)=0), (18 + BP90 * 2.7) * 0.5,
    IF(AND(_xlfn.XLOOKUP(B90,'Base stats'!B:B,'Base stats'!AI:AI)=0,OR(AN90&lt;0.55,AND(BG90="Intermediate",_xlfn.XLOOKUP('Base stats'!E90,Groups!A:A,Groups!B:B)&lt;2))), (18 + BP90 * 2.7),
      IF(OR(BG90="Advanced",_xlfn.XLOOKUP(B90,'Base stats'!B:B,'Base stats'!AI:AI)=1,_xlfn.XLOOKUP('Base stats'!E90,Groups!A:A,Groups!B:B)=2), (18 + BP90 * 2.7) + 250, (18 + BP90 * 2.7))
    )
  ))
  + AN90 * 80
  + IF(COUNTIF(EggMilk!K$2:K$998, A90) &gt; 0, 125, 0)
  + IF(COUNTIF(EggMilk!P$2:P$998, A90) &gt; 0, 90, 0)
  + IF(COUNTIF(EggMilk!A$2:A$998, A90) &gt; 0, 90, 0)
)
* (0.8 + 0.4 * I90)
* 0.75,25)</f>
        <v>400</v>
      </c>
      <c r="H90" s="2">
        <f>MROUND(ROUNDDOWN(_xlfn.XLOOKUP(B90,'Base stats'!B:B,'Base stats'!L:L)/3.6/(23.3/11),1),0.5)</f>
        <v>2.5</v>
      </c>
      <c r="I90" s="2">
        <f>IF(_xlfn.XLOOKUP(B90,'Base stats'!B:B,'Base stats'!AI:AI)=1,0.99,MIN(MROUND((1-0.6282*EXP(-0.459*AN90))*_xlfn.XLOOKUP(_xlfn.XLOOKUP(B90,'Base stats'!B:B,'Base stats'!E:E),Groups!A:A,Groups!C:C)*IF(_xlfn.XLOOKUP(B90,'Base stats'!B:B,'Base stats'!O:O)=1,0.5,IF(_xlfn.XLOOKUP(B90,'Base stats'!B:B,'Base stats'!O:O)=2,0,1)),0.05),0.985))</f>
        <v>0.8</v>
      </c>
      <c r="J90" s="2">
        <f>ROUNDUP(AN90*_xlfn.XLOOKUP(_xlfn.XLOOKUP(B90,'Base stats'!B:B,'Base stats'!E:E),Groups!A:A,Groups!E:E),0)</f>
        <v>2</v>
      </c>
      <c r="K90" s="2">
        <f>IF(OR(_xlfn.XLOOKUP(_xlfn.XLOOKUP(B90,'Base stats'!B:B,'Base stats'!E:E),Groups!A:A,Groups!F:F)=2,ISNUMBER(SEARCH("SeaIce",BV90)),ISNUMBER(SEARCH("IceSheet",BV90))),-50,IF(OR(ISNUMBER(SEARCH("GlacialPlain",BV90)),ISNUMBER(SEARCH("Tundra",BV90))),-40,IF(OR(ISNUMBER(SEARCH("Alpine",BV90)),ISNUMBER(SEARCH("BorealForest",BV90)),ISNUMBER(SEARCH("ColdBog",BV90))),-30,IF(OR(ISNUMBER(SEARCH("TemperateForest",BV90)),ISNUMBER(SEARCH("TemperateSwamp",BV90))),-20,IF(_xlfn.XLOOKUP(_xlfn.XLOOKUP(B90,'Base stats'!B:B,'Base stats'!E:E),Groups!A:A,Groups!F:F)=1,-15,IF(OR(ISNUMBER(SEARCH("Desert",BV90)),ISNUMBER(SEARCH("ExtremeDesert",BV90))),-10,IF(OR(ISNUMBER(SEARCH("Grasslands",BV90)),ISNUMBER(SEARCH("TropicalRainforest",BV90)),ISNUMBER(SEARCH("TropicalSwamp",BV90))),10,0)))))))-IF(CA90="False",MIN(IFERROR(MAX(MROUND(LOG10(_xlfn.XLOOKUP(B90,'Base stats'!B:B,'Base stats'!C:C)^(2/3))*10,5),5),5),30))-_xlfn.XLOOKUP(B90,'Base stats'!B:B,'Base stats'!P:P)+IF(CA90="True",5,0)</f>
        <v>15</v>
      </c>
      <c r="L90" s="2">
        <f>IF(OR(_xlfn.XLOOKUP(_xlfn.XLOOKUP(B90,'Base stats'!B:B,'Base stats'!E:E),Groups!A:A,Groups!G:G)=2,ISNUMBER(SEARCH("Desert",BV90)),ISNUMBER(SEARCH("ExtremeDesert",BV90)),ISNUMBER(SEARCH("LavaField",BV90))),50,IF(ISNUMBER(SEARCH("Grasslands",BV90)),45,IF(OR(_xlfn.XLOOKUP(_xlfn.XLOOKUP(B90,'Base stats'!B:B,'Base stats'!E:E),Groups!A:A,Groups!G:G)=1,ISNUMBER(SEARCH("TropicalRainforest",BV90)),ISNUMBER(SEARCH("TropicalSwamp",BV90))),40,IF(OR(ISNUMBER(SEARCH("TemperateForest",BV90)),ISNUMBER(SEARCH("TemperateSwamp",BV90))),35,IF(OR(ISNUMBER(SEARCH("Alpine",BV90)),ISNUMBER(SEARCH("BorealForest",BV90)),ISNUMBER(SEARCH("ColdBog",BV90))),30,IF(ISNUMBER(OR(ISNUMBER(SEARCH("GlacialPlain",BV90)),SEARCH("Tundra",BV90))),25,IF(OR(ISNUMBER(SEARCH("SeaIce",BV90)),ISNUMBER(SEARCH("IceSheet",BV90)),ISNUMBER(SEARCH("TropicalSwamp",BV90))),10,35)))))))+_xlfn.XLOOKUP(B90,'Base stats'!B:B,'Base stats'!Q:Q)</f>
        <v>50</v>
      </c>
      <c r="M90" s="8" t="str">
        <f>IF(_xlfn.XLOOKUP(_xlfn.XLOOKUP(B90,'Base stats'!B:B,'Base stats'!E:E),Groups!A:A,Groups!L:L)=1,MIN(MROUND(_xlfn.XLOOKUP(B90,'Animals CE'!B:B,'Animals CE'!Z:Z)/2+0.05,0.05),200%),"No")</f>
        <v>No</v>
      </c>
      <c r="N90" s="8" t="str">
        <f>IF(_xlfn.XLOOKUP(_xlfn.XLOOKUP(B90,'Base stats'!B:B,'Base stats'!E:E),Groups!A:A,Groups!L:L)=1,MIN(MROUND(_xlfn.XLOOKUP(B90,'Animals CE'!B:B,'Animals CE'!AA:AA)/2+0.05,0.05),200%),"No")</f>
        <v>No</v>
      </c>
      <c r="O90" s="2" t="str">
        <f>_xlfn.XLOOKUP(B90,'Base stats'!B:B,'Base stats'!R:R)</f>
        <v>Standard</v>
      </c>
      <c r="P90" s="13">
        <f>MROUND((LOG10(_xlfn.XLOOKUP(B90,'Base stats'!B:B,'Base stats'!AO:AO))*(AN90^0.5)+(_xlfn.XLOOKUP(B90,'Base stats'!B:B,'Base stats'!AO:AO)/1000)^(2/3)+_xlfn.XLOOKUP(B90,'Base stats'!B:B,'Base stats'!AX:AX)/2)+0.5,0.5)</f>
        <v>7.5</v>
      </c>
      <c r="Q90" s="7">
        <f>IF(P90="No","No",MAX(1,MROUND(_xlfn.XLOOKUP(B90,'Base stats'!B:B,'Base stats'!C:C)^0.165,0.05)))</f>
        <v>2.0500000000000003</v>
      </c>
      <c r="R90" s="13" t="str">
        <f>IF(_xlfn.XLOOKUP(_xlfn.XLOOKUP(B90,'Base stats'!B:B,'Base stats'!E:E),Groups!A:A,Groups!P:P)=0,"No",MROUND((LOG10(_xlfn.XLOOKUP(B90,'Base stats'!B:B,'Base stats'!AP:AP))*(AN90^0.5)+(_xlfn.XLOOKUP(B90,'Base stats'!B:B,'Base stats'!AP:AP)/1000)^(2/3)+_xlfn.XLOOKUP(B90,'Base stats'!B:B,'Base stats'!AX:AX))+_xlfn.XLOOKUP(B90,'Base stats'!B:B,'Base stats'!AV:AV)+0.5,0.5))</f>
        <v>No</v>
      </c>
      <c r="S90" s="7" t="str">
        <f>IF(R90="No","No",MAX(_xlfn.XLOOKUP(_xlfn.XLOOKUP(B90,'Base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T90" s="7" t="str">
        <f>IF(R90="No","No",_xlfn.XLOOKUP(_xlfn.XLOOKUP(B90,'Base stats'!B:B,'Base stats'!E:E),Groups!A:A,Groups!R:R))</f>
        <v>No</v>
      </c>
      <c r="U90" s="7" t="str">
        <f>IF(R90="No","No",_xlfn.XLOOKUP(_xlfn.XLOOKUP(B90,'Base stats'!B:B,'Base stats'!E:E),Groups!A:A,Groups!S:S))</f>
        <v>No</v>
      </c>
      <c r="V90" s="7" t="str">
        <f>IF(R90="No","No",_xlfn.XLOOKUP(_xlfn.XLOOKUP(B90,'Base stats'!B:B,'Base stats'!E:E),Groups!A:A,Groups!T:T))</f>
        <v>No</v>
      </c>
      <c r="W90" s="13" t="str">
        <f>IF(_xlfn.XLOOKUP(B90,'Base stats'!B:B,'Base stats'!W:W)="No","No",MROUND((LOG10(_xlfn.XLOOKUP(B90,'Base stats'!B:B,'Base stats'!AR:AR))*(AN90^0.5)+(_xlfn.XLOOKUP(B90,'Base stats'!B:B,'Base stats'!AR:AR)/1000)^(2/3)+_xlfn.XLOOKUP(B90,'Base stats'!B:B,'Base stats'!AW:AW))+0.5+IF(_xlfn.XLOOKUP(_xlfn.XLOOKUP(B90,'Base stats'!B:B,'Base stats'!E:E),Groups!A:A,Groups!U:U)&lt;&gt;3,_xlfn.XLOOKUP(B90,'Base stats'!B:B,'Base stats'!AX:AX),0),0.5))</f>
        <v>No</v>
      </c>
      <c r="X90" s="7" t="str">
        <f>IF(W90="No","No",MAX(_xlfn.XLOOKUP(_xlfn.XLOOKUP(B90,'Base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Y90" s="7" t="str">
        <f>IF(W90="No","No",_xlfn.XLOOKUP(_xlfn.XLOOKUP(B90,'Base stats'!B:B,'Base stats'!E:E),Groups!A:A,Groups!W:W))</f>
        <v>No</v>
      </c>
      <c r="Z90" s="7" t="str">
        <f>IF(W90="No","No",_xlfn.XLOOKUP(_xlfn.XLOOKUP(B90,'Base stats'!B:B,'Base stats'!E:E),Groups!A:A,Groups!X:X))</f>
        <v>No</v>
      </c>
      <c r="AA90" s="7" t="str">
        <f>IF(W90="No","No",_xlfn.XLOOKUP(_xlfn.XLOOKUP(B90,'Base stats'!B:B,'Base stats'!E:E),Groups!A:A,Groups!Y:Y))</f>
        <v>No</v>
      </c>
      <c r="AB90" s="7" t="str">
        <f>_xlfn.XLOOKUP(Animals!B90,'Base stats'!B:B,'Base stats'!X:X)</f>
        <v>False</v>
      </c>
      <c r="AC90" s="13">
        <f>IF(_xlfn.XLOOKUP(B90,'Base stats'!B:B,'Base stats'!AQ:AQ)="No","No",MROUND((LOG10(_xlfn.XLOOKUP(B90,'Base stats'!B:B,'Base stats'!AQ:AQ))*(AN90^0.75)+(_xlfn.XLOOKUP(B90,'Base stats'!B:B,'Base stats'!AQ:AQ)/1000)^(2/3)+_xlfn.XLOOKUP(B90,'Base stats'!B:B,'Base stats'!AU:AU)+_xlfn.XLOOKUP(B90,'Base stats'!B:B,'Base stats'!AX:AX))+0.5,0.5))</f>
        <v>12</v>
      </c>
      <c r="AD90" s="7">
        <f>IF(AC90="No","No",MAX(_xlfn.XLOOKUP(_xlfn.XLOOKUP(B90,'Base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1.75</v>
      </c>
      <c r="AE90" s="7" t="str">
        <f>IF(AC90="No","No",_xlfn.XLOOKUP(_xlfn.XLOOKUP(B90,'Base stats'!B:B,'Base stats'!E:E),Groups!A:A,Groups!AA:AA))</f>
        <v>Teeth</v>
      </c>
      <c r="AF90" s="7" t="str">
        <f>IF(AC90="No","No",_xlfn.XLOOKUP(_xlfn.XLOOKUP(B90,'Base stats'!B:B,'Base stats'!E:E),Groups!A:A,Groups!AB:AB))</f>
        <v>teeth</v>
      </c>
      <c r="AG90" s="7" t="str">
        <f>IF(AC90="No","No",_xlfn.XLOOKUP(_xlfn.XLOOKUP(B90,'Base stats'!B:B,'Base stats'!E:E),Groups!A:A,Groups!AC:AC))</f>
        <v>ToxicBite</v>
      </c>
      <c r="AH90" s="13">
        <f>IF(_xlfn.XLOOKUP(_xlfn.XLOOKUP(B90,'Base stats'!B:B,'Base stats'!E:E),Groups!A:A,Groups!AD:AD)=0,"No",MROUND((LOG10(_xlfn.XLOOKUP(B90,'Base stats'!B:B,'Base stats'!AP:AP))*(AN90^0.75)+(_xlfn.XLOOKUP(B90,'Base stats'!B:B,'Base stats'!AP:AP)/1000)^(2/3)+_xlfn.XLOOKUP(B90,'Base stats'!B:B,'Base stats'!AV:AV)+_xlfn.XLOOKUP(B90,'Base stats'!B:B,'Base stats'!AX:AX))+0.5,0.5))</f>
        <v>10.5</v>
      </c>
      <c r="AI90" s="7">
        <f>IF(AH90="No","No",MAX(_xlfn.XLOOKUP(_xlfn.XLOOKUP(B90,'Base stats'!B:B,'Base stats'!E:E),Groups!A:A,Groups!AE:AE),MROUND(_xlfn.XLOOKUP(_xlfn.XLOOKUP(B90,'Base stats'!B:B,'Base stats'!E:E),Groups!A:A,Groups!AE:AE)*_xlfn.XLOOKUP(B90,'Base stats'!B:B,'Base stats'!C:C)^0.165,0.05)))</f>
        <v>1.4500000000000002</v>
      </c>
      <c r="AJ90" s="7" t="str">
        <f>IF(AH90="No","No",_xlfn.XLOOKUP(_xlfn.XLOOKUP(B90,'Base stats'!B:B,'Base stats'!E:E),Groups!A:A,Groups!AF:AF))</f>
        <v>FrontLeftClaws, FrontRightClaws</v>
      </c>
      <c r="AK90" s="7" t="str">
        <f>IF(AH90="No","No",_xlfn.XLOOKUP(_xlfn.XLOOKUP(B90,'Base stats'!B:B,'Base stats'!E:E),Groups!A:A,Groups!AG:AG))</f>
        <v>left claw, right claw</v>
      </c>
      <c r="AL90" s="7" t="str">
        <f>IF(AH90="No","No",_xlfn.XLOOKUP(_xlfn.XLOOKUP(B90,'Base stats'!B:B,'Base stats'!E:E),Groups!A:A,Groups!AH:AH))</f>
        <v>Scratch</v>
      </c>
      <c r="AM90" s="2">
        <f t="shared" si="7"/>
        <v>20</v>
      </c>
      <c r="AN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1.05</v>
      </c>
      <c r="AO90" s="8">
        <f>MROUND(AN90*_xlfn.XLOOKUP(_xlfn.XLOOKUP(B90,'Base stats'!B:B,'Base stats'!E:E),Groups!A:A,Groups!AI:AI),0.05)</f>
        <v>1.25</v>
      </c>
      <c r="AP90" s="8">
        <f>MAX(0.01,MROUND(IF(CA90="True",0.196*(AN90*100*1000)^0.889,IF(_xlfn.XLOOKUP(_xlfn.XLOOKUP(B90,'Base stats'!B:B,'Base stats'!E:E),Groups!A:A,Groups!AJ:AJ)="Bird",10.5*(AN90*100*1000)^0.681,4.82*(AN90*100*1000)^0.734))/(4.82*(1*100*1000)^0.734)/IF(AN90&lt;3.5,2,IF(AN90=3.5,1.5,1.25))*(1+0.132282374779864/(AN90^0.994035016789033+0.00905238001496948)),0.05))</f>
        <v>0.15000000000000002</v>
      </c>
      <c r="AQ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R90" s="35" t="str">
        <f>IFERROR(IF(_xlfn.XLOOKUP(B90,'Base stats'!B:B,'Base stats'!F:F)="Lay eggs","Lay eggs",MIN(20,MAX(5.5,ROUND(((_xlfn.XLOOKUP(B90,'Base stats'!B:B,'Base stats'!F:F)-25)*(14.5/615) + 5.5)*2,0)/2))),"Cannot breed")</f>
        <v>Lay eggs</v>
      </c>
      <c r="AS90" s="8">
        <f>IF(OR(A90="Queen",A90="Larva",A90="Megachicken"),"No",IFERROR(MAX(IF(_xlfn.XLOOKUP(B90,'Base stats'!B:B,'Base stats'!G:G)&lt;0.5,0.2,0.3),MROUND(_xlfn.XLOOKUP(B90,'Base stats'!B:B,'Base stats'!G:G)/(365/60),0.2)),"Unknown"))</f>
        <v>0.8</v>
      </c>
      <c r="AT90" s="8">
        <f t="shared" si="8"/>
        <v>0.4</v>
      </c>
      <c r="AU90" s="8" t="str">
        <f>IFERROR(IFERROR(MROUND(_xlfn.XLOOKUP(B90,'Base stats'!B:B,'Base stats'!J:J),0.1),"Lay eggs"),"Cannot breed")</f>
        <v>Lay eggs</v>
      </c>
      <c r="AV90" s="2" t="str">
        <f t="shared" si="9"/>
        <v>false</v>
      </c>
      <c r="AW90" s="2" t="str">
        <f>IF(_xlfn.XLOOKUP(_xlfn.XLOOKUP(Animals!B90,'Base stats'!B:B,'Base stats'!E:E),Groups!A:A,Groups!AK:AK)=1,"true","false")</f>
        <v>false</v>
      </c>
      <c r="AX90" s="25" t="str">
        <f>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</f>
        <v>CarnivoreAnimal, OvivoreAnimal</v>
      </c>
      <c r="AY90" s="2" t="str">
        <f>IF(_xlfn.XLOOKUP(_xlfn.XLOOKUP(B90,'Base stats'!B:B,'Base stats'!E:E),Groups!A:A,Groups!D:D)=1,MROUND((1-I90)*5+1,2)*IF(I90&lt;=0.4,2,1),"No")</f>
        <v>No</v>
      </c>
      <c r="AZ90" s="2" t="str">
        <f>_xlfn.XLOOKUP(B90,'Base stats'!B:B,'Base stats'!AE:AE)</f>
        <v>Leather_Lizard</v>
      </c>
      <c r="BA90" s="23" t="str">
        <f>_xlfn.XLOOKUP(_xlfn.XLOOKUP(B90,'Base stats'!B:B,'Base stats'!E:E),Groups!A:A,Groups!AL:AL)</f>
        <v>QuadrupedAnimalWithClawsTailAndJowl</v>
      </c>
      <c r="BB90" s="23">
        <f>MROUND(IF(AND(AN90&lt;0.5,_xlfn.XLOOKUP(B90,'Base stats'!B:B,'Base stats'!Z:Z)=0),0,IF(OR(_xlfn.XLOOKUP(Animals!B90,'Base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stats'!AA:AA),0.005)</f>
        <v>0.1</v>
      </c>
      <c r="BC90" s="23">
        <f>MROUND(IF(AND(AN90&lt;0.5,_xlfn.XLOOKUP(B90,'Base stats'!B:B,'Base stats'!Z:Z)=0),0,IF(_xlfn.XLOOKUP(_xlfn.XLOOKUP(B90,'Base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stats'!AB:AB),0.005)</f>
        <v>0.3</v>
      </c>
      <c r="BD90" s="2" t="str">
        <f>IF(I90&gt;0.3,"No",_xlfn.XLOOKUP(_xlfn.XLOOKUP(Animals!B90,'Base stats'!B:B,'Base stats'!E:E),Groups!A:A,Groups!AP:AP))</f>
        <v>No</v>
      </c>
      <c r="BE90" s="2" t="str">
        <f>IF(AND(I90&lt;=0.65,_xlfn.XLOOKUP(_xlfn.XLOOKUP(Animals!B90,'Base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stats'!O:O)=2,0.2,AN90) + 24*(1-IF(BD90="No",0,BD90)) + 16/3, 12),"No")</f>
        <v>No</v>
      </c>
      <c r="BF90" s="2">
        <f>IF(AND(_xlfn.XLOOKUP(_xlfn.XLOOKUP(B90,'Base stats'!B:B,'Base stats'!E:E),Groups!A:A,Groups!AQ:AQ)=1,AN90&lt;=0.35),8,12)</f>
        <v>12</v>
      </c>
      <c r="BG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H90" s="2" t="str">
        <f>IF(AND(_xlfn.XLOOKUP(_xlfn.XLOOKUP(B90,'Base stats'!B:B,'Base stats'!E:E),Groups!A:A,Groups!AS:AS)=1,OR('Base stats'!Y90="Carnivore",'Base stats'!Y90="Omnivore")),"true","false")</f>
        <v>true</v>
      </c>
      <c r="BI90" s="2">
        <f>IF(BH90="true",MROUND(IF(AND(AN90&gt;0.5,_xlfn.XLOOKUP(_xlfn.XLOOKUP(B90,'Base stats'!B:B,'Base stats'!E:E),Groups!A:A,Groups!AJ:AJ)="Mammal"),Animals!AN90*1.75*IF(AV90="true",1.5,1),Animals!AN90),IF(AN90&gt;2,0.5,IF(AN90&gt;0.5,0.25,0.1))),"No")</f>
        <v>1</v>
      </c>
      <c r="BJ90" s="2">
        <f t="shared" si="10"/>
        <v>1</v>
      </c>
      <c r="BK90" s="25" t="str">
        <f>IF('Base stats'!AK90="Standard","No",MROUND((_xlfn.XLOOKUP(B90,'Base stats'!B:B,'Base stats'!AK:AK)/3.6)/H90,0.1))</f>
        <v>No</v>
      </c>
      <c r="BL90" s="25" t="str">
        <f t="shared" si="11"/>
        <v>false</v>
      </c>
      <c r="BM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N90" s="25" t="str" cm="1">
        <f t="array" ref="BN90">IF(
  _xlfn.TEXTJOIN(", ",TRUE,
    IF(AND(BH90="true",AN90&gt;0.5,BG90&lt;&gt;"None"),"AttackTarget",""),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IF(BE90&lt;=36,"Comfort",""),
    IF(_xlfn.XLOOKUP(B90,'Base stats'!B:B,'Base stats'!AC:AC)&lt;&gt;"No",_xlfn.XLOOKUP(B90,'Base stats'!B:B,'Base stats'!AC:AC),"")
  ) = "",
  "No",
  _xlfn.TEXTJOIN(", ",TRUE,
    IF(AND(BH90="true",AN90&gt;0.5,BG90&lt;&gt;"None"),"AttackTarget",""),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IF(BE90&lt;=36,"Comfort",""),
    IF(_xlfn.XLOOKUP(B90,'Base stats'!B:B,'Base stats'!AC:AC)&lt;&gt;"No",_xlfn.XLOOKUP(B90,'Base stats'!B:B,'Base stats'!AC:AC),"")
  )
)</f>
        <v>AttackTarget</v>
      </c>
      <c r="BO90" s="25" t="str">
        <f>IF(
   AND(
      'Base stats'!AK90="Standard",_xlfn.XLOOKUP(_xlfn.XLOOKUP(B90,'Base stats'!B:B,'Base stats'!E:E),Groups!A:A,Groups!AU:AU)=0,
      OR(
      BM90="True"
      )
   ),
   10,
   IF(
       OR(BK90&lt;&gt;"No",_xlfn.XLOOKUP(_xlfn.XLOOKUP(B90,'Base stats'!B:B,'Base stats'!E:E),Groups!A:A,Groups!AU:AU)=1),
      1,
      "No"
   )
)</f>
        <v>No</v>
      </c>
      <c r="BP90" s="9">
        <f>MROUND((1 + ((0.2*IF(OR(P90="No",Q90="No",Q90=0),0,P90/Q90)
+IF(OR(U90="No",R90="No",S90="No"),0,R90/S90*(LEN(U90)-LEN(SUBSTITUTE(U90,",",""))+1))
+IF(OR(W90="No",X90="No"),0,W90/X90)
+IF(OR(AC90="No",AD90="No"),0,AC90/AD90)
+IF(OR(AK90="No",AH90="No",AI90="No"),0,AH90/AI90*(LEN(AK90)-LEN(SUBSTITUTE(AK90,",",""))+1))
)/(0.2*IF(OR(P90="No",Q90="No",Q90=0),0,1)
+IF(OR(U90="No",R90="No",S90="No"),0,LEN(U90)-LEN(SUBSTITUTE(U90,",",""))+1)
+IF(OR(W90="No",X90="No"),0,1)
+IF(OR(AC90="No",AD90="No"),0,1)
+IF(OR(AK90="No",AH90="No",AI90="No"),0,LEN(AK90)-LEN(SUBSTITUTE(AK90,",",""))+1))*62%)* 2)*(1 + (AO90 + _xlfn.XLOOKUP(B90,'Base stats'!B:B,'Base stats'!AS:AS) * 1.8) * 2) * 2.5 + 10 + H90 * 2,5)+IF(_xlfn.XLOOKUP(B90,'Base stats'!B:B,'Base stats'!AH:AH)=1,50,0)</f>
        <v>100</v>
      </c>
      <c r="BQ90" s="8">
        <f t="shared" si="12"/>
        <v>0.35000000000000003</v>
      </c>
      <c r="BR90" s="8" t="str">
        <f>_xlfn.XLOOKUP(B90,'Base stats'!B:B,'Base stats'!AD:AD)</f>
        <v>No</v>
      </c>
      <c r="BS90" s="2" t="str">
        <f>IF(AND(I90&lt;=0.95,OR(_xlfn.XLOOKUP(B90,'Base stats'!B:B,'Base stats'!AH:AH)=1,_xlfn.XLOOKUP(B90,'Base stats'!B:B,'Base stats'!Y:Y)="Carnivore",_xlfn.XLOOKUP(B90,'Base stats'!B:B,'Base stats'!Y:Y)="Omnivore",BC90&gt;0.1)),"true","false")</f>
        <v>true</v>
      </c>
      <c r="BT90" s="2" t="str">
        <f>IF(_xlfn.XLOOKUP(B90,'Base stats'!B:B,'Base stats'!AF:AF)=1,"true","false")</f>
        <v>false</v>
      </c>
      <c r="BU90" s="25" t="str">
        <f>IF(E90="BaseInsect","AnimalInsect",
IF(I90&gt;0.95,"AnimalExotic",
_xlfn.TEXTJOIN(", ",TRUE,
IF(AND(_xlfn.XLOOKUP(B90,'Base stats'!B:B,'Base stats'!O:O)=0,_xlfn.XLOOKUP(_xlfn.XLOOKUP(B90,'Base stats'!B:B,'Base stats'!E:E),Groups!A:A,Groups!B:B)&gt;0),"AnimalUncommon","AnimalCommon"),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stats'!AH:AH)=1,AND(BG90&lt;&gt;"None",BP90&gt;=60),ISNUMBER(SEARCH("Attack target",BN90))),"AnimalFighter","")
)))</f>
        <v>AnimalUncommon, AnimalFighter</v>
      </c>
      <c r="BV90" s="25" t="str">
        <f>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</f>
        <v>AridShrubland Grasslands LavaField</v>
      </c>
      <c r="BW90" s="25" t="str">
        <f>IF(_xlfn.XLOOKUP(B90,'Base stats'!B:B,'Base stats'!AG:AG)=1,"true","false")</f>
        <v>false</v>
      </c>
      <c r="BX90" s="25">
        <f>IF(_xlfn.XLOOKUP(B90,'Base stats'!B:B,'Base stats'!N:N)=1,"No",MIN(MROUND(IF(OR(_xlfn.XLOOKUP(B90,'Base stats'!B:B,'Base stats'!AJ:AJ)=1,AND(BH90="True",CA90="False")),POWER(10,3.47*LOG10(_xlfn.XLOOKUP(B90,'Base stats'!B:B,'Base stats'!C:C)*1000)^-0.96),POWER(10,4.15*LOG10(_xlfn.XLOOKUP(B90,'Base stats'!B:B,'Base stats'!C:C)*1000)^-0.73))*IF(OR(_xlfn.XLOOKUP(B90,'Base stats'!B:B,'Base stats'!AJ:AJ)=1,_xlfn.XLOOKUP(B90,'Base stats'!B:B,'Base stats'!AH:AH)=1),0.5,1)/100,0.025),1))</f>
        <v>0.2</v>
      </c>
      <c r="BY90" s="25" t="str">
        <f>IF(O90="Standard","No",IF(_xlfn.XLOOKUP(B90,'Base stats'!B:B,'Base stats'!N:N)=0,MROUND(BX90*O90,0.05),MIN(1,MAX(0.025,MROUND(IF(OR(CA90="true",AND(BH90="false",BM90="false")),POWER(10,4.15*LOG10(_xlfn.XLOOKUP(B90,'Base stats'!B:B,'Base stats'!C:C)*1000)^-0.73),POWER(10,3.47*LOG10(_xlfn.XLOOKUP(B90,'Base stats'!B:B,'Base stats'!C:C)*1000)^-0.96))*IF(_xlfn.XLOOKUP(B90,'Base stats'!B:B,'Base stats'!AH:AH)=1,0.5,1)/100,0.025)))))</f>
        <v>No</v>
      </c>
      <c r="BZ90" s="25" t="str">
        <f>IF(_xlfn.XLOOKUP(_xlfn.XLOOKUP(B90,'Base stats'!B:B,'Base stats'!E:E),Groups!A:A,Groups!AJ:AJ)="Mammal","True","False")</f>
        <v>False</v>
      </c>
      <c r="CA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B90" s="25" t="str">
        <f t="shared" si="13"/>
        <v>False</v>
      </c>
      <c r="CC90" s="25" t="str">
        <f>IF(_xlfn.XLOOKUP(_xlfn.XLOOKUP(B90,'Base stats'!B:B,'Base stats'!E:E),Groups!A:A,Groups!AW:AW),"True","False")</f>
        <v>False</v>
      </c>
      <c r="CD90" s="25" t="str">
        <f>IF(_xlfn.XLOOKUP(_xlfn.XLOOKUP(B90,'Base stats'!B:B,'Base stats'!E:E),Groups!A:A,Groups!AX:AX),"True","False")</f>
        <v>False</v>
      </c>
      <c r="CE90" s="25" t="str">
        <f>IF(_xlfn.XLOOKUP(B90,'Base stats'!B:B,'Base stats'!E:E)=1,"True","False")</f>
        <v>False</v>
      </c>
      <c r="CF90" s="25" t="str">
        <f>IF(
OR(
_xlfn.XLOOKUP(_xlfn.XLOOKUP(B90,'Base stats'!B:B,'Base stats'!E:E),Groups!A:A,Groups!AY:AY)=0,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stats'!E:E),Groups!A:A,Groups!AY:AY)=1,
"Flesh",
IF(
_xlfn.XLOOKUP(_xlfn.XLOOKUP(B90,'Base stats'!B:B,'Base stats'!E:E),Groups!A:A,Groups!AY:AY)=2,
"Bone",
""
)
)
)</f>
        <v>Flesh</v>
      </c>
      <c r="CG90" s="25" t="str">
        <f>IF(_xlfn.XLOOKUP(_xlfn.XLOOKUP(B90,'Base stats'!B:B,'Base stats'!E:E),Groups!A:A,Groups!BA:BA),"True","False")</f>
        <v>False</v>
      </c>
      <c r="CH90" s="25" t="str">
        <f>IF(_xlfn.XLOOKUP(_xlfn.XLOOKUP(B90,'Base stats'!B:B,'Base stats'!E:E),Groups!A:A,Groups!AZ:AZ),"True","False")</f>
        <v>False</v>
      </c>
    </row>
    <row r="91" spans="1:86" ht="16.5" thickTop="1" thickBot="1" x14ac:dyDescent="0.3">
      <c r="A91" s="26" t="str">
        <f>_xlfn.XLOOKUP(B91,'Base stats'!B:B,'Base stats'!A:A)</f>
        <v>Alligator</v>
      </c>
      <c r="B91" s="6" t="s">
        <v>194</v>
      </c>
      <c r="C91" s="28" t="s">
        <v>783</v>
      </c>
      <c r="D91" s="28" t="s">
        <v>882</v>
      </c>
      <c r="E91" s="28" t="s">
        <v>685</v>
      </c>
      <c r="F91" s="28" t="s">
        <v>685</v>
      </c>
      <c r="G91" s="2">
        <f>MROUND((
  (IF(AND(_xlfn.XLOOKUP(B91,'Base stats'!B:B,'Base stats'!AI:AI)=0,BG91="None",_xlfn.XLOOKUP('Base stats'!E91,Groups!A:A,Groups!B:B)=0), (18 + BP91 * 2.7) * 0.5,
    IF(AND(_xlfn.XLOOKUP(B91,'Base stats'!B:B,'Base stats'!AI:AI)=0,OR(AN91&lt;0.55,AND(BG91="Intermediate",_xlfn.XLOOKUP('Base stats'!E91,Groups!A:A,Groups!B:B)&lt;2))), (18 + BP91 * 2.7),
      IF(OR(BG91="Advanced",_xlfn.XLOOKUP(B91,'Base stats'!B:B,'Base stats'!AI:AI)=1,_xlfn.XLOOKUP('Base stats'!E91,Groups!A:A,Groups!B:B)=2), (18 + BP91 * 2.7) + 250, (18 + BP91 * 2.7))
    )
  ))
  + AN91 * 80
  + IF(COUNTIF(EggMilk!K$2:K$998, A91) &gt; 0, 125, 0)
  + IF(COUNTIF(EggMilk!P$2:P$998, A91) &gt; 0, 90, 0)
  + IF(COUNTIF(EggMilk!A$2:A$998, A91) &gt; 0, 90, 0)
)
* (0.8 + 0.4 * I91)
* 0.75,25)</f>
        <v>725</v>
      </c>
      <c r="H91" s="2">
        <f>MROUND(ROUNDDOWN(_xlfn.XLOOKUP(B91,'Base stats'!B:B,'Base stats'!L:L)/3.6/(23.3/11),1),0.5)</f>
        <v>1.5</v>
      </c>
      <c r="I91" s="2">
        <f>IF(_xlfn.XLOOKUP(B91,'Base stats'!B:B,'Base stats'!AI:AI)=1,0.99,MIN(MROUND((1-0.6282*EXP(-0.459*AN91))*_xlfn.XLOOKUP(_xlfn.XLOOKUP(B91,'Base stats'!B:B,'Base stats'!E:E),Groups!A:A,Groups!C:C)*IF(_xlfn.XLOOKUP(B91,'Base stats'!B:B,'Base stats'!O:O)=1,0.5,IF(_xlfn.XLOOKUP(B91,'Base stats'!B:B,'Base stats'!O:O)=2,0,1)),0.05),0.985))</f>
        <v>0.75</v>
      </c>
      <c r="J91" s="2">
        <f>ROUNDUP(AN91*_xlfn.XLOOKUP(_xlfn.XLOOKUP(B91,'Base stats'!B:B,'Base stats'!E:E),Groups!A:A,Groups!E:E),0)</f>
        <v>2</v>
      </c>
      <c r="K91" s="2">
        <f>IF(OR(_xlfn.XLOOKUP(_xlfn.XLOOKUP(B91,'Base stats'!B:B,'Base stats'!E:E),Groups!A:A,Groups!F:F)=2,ISNUMBER(SEARCH("SeaIce",BV91)),ISNUMBER(SEARCH("IceSheet",BV91))),-50,IF(OR(ISNUMBER(SEARCH("GlacialPlain",BV91)),ISNUMBER(SEARCH("Tundra",BV91))),-40,IF(OR(ISNUMBER(SEARCH("Alpine",BV91)),ISNUMBER(SEARCH("BorealForest",BV91)),ISNUMBER(SEARCH("ColdBog",BV91))),-30,IF(OR(ISNUMBER(SEARCH("TemperateForest",BV91)),ISNUMBER(SEARCH("TemperateSwamp",BV91))),-20,IF(_xlfn.XLOOKUP(_xlfn.XLOOKUP(B91,'Base stats'!B:B,'Base stats'!E:E),Groups!A:A,Groups!F:F)=1,-15,IF(OR(ISNUMBER(SEARCH("Desert",BV91)),ISNUMBER(SEARCH("ExtremeDesert",BV91))),-10,IF(OR(ISNUMBER(SEARCH("Grasslands",BV91)),ISNUMBER(SEARCH("TropicalRainforest",BV91)),ISNUMBER(SEARCH("TropicalSwamp",BV91))),10,0)))))))-IF(CA91="False",MIN(IFERROR(MAX(MROUND(LOG10(_xlfn.XLOOKUP(B91,'Base stats'!B:B,'Base stats'!C:C)^(2/3))*10,5),5),5),30))-_xlfn.XLOOKUP(B91,'Base stats'!B:B,'Base stats'!P:P)+IF(CA91="True",5,0)</f>
        <v>-5</v>
      </c>
      <c r="L91" s="2">
        <f>IF(OR(_xlfn.XLOOKUP(_xlfn.XLOOKUP(B91,'Base stats'!B:B,'Base stats'!E:E),Groups!A:A,Groups!G:G)=2,ISNUMBER(SEARCH("Desert",BV91)),ISNUMBER(SEARCH("ExtremeDesert",BV91)),ISNUMBER(SEARCH("LavaField",BV91))),50,IF(ISNUMBER(SEARCH("Grasslands",BV91)),45,IF(OR(_xlfn.XLOOKUP(_xlfn.XLOOKUP(B91,'Base stats'!B:B,'Base stats'!E:E),Groups!A:A,Groups!G:G)=1,ISNUMBER(SEARCH("TropicalRainforest",BV91)),ISNUMBER(SEARCH("TropicalSwamp",BV91))),40,IF(OR(ISNUMBER(SEARCH("TemperateForest",BV91)),ISNUMBER(SEARCH("TemperateSwamp",BV91))),35,IF(OR(ISNUMBER(SEARCH("Alpine",BV91)),ISNUMBER(SEARCH("BorealForest",BV91)),ISNUMBER(SEARCH("ColdBog",BV91))),30,IF(ISNUMBER(OR(ISNUMBER(SEARCH("GlacialPlain",BV91)),SEARCH("Tundra",BV91))),25,IF(OR(ISNUMBER(SEARCH("SeaIce",BV91)),ISNUMBER(SEARCH("IceSheet",BV91)),ISNUMBER(SEARCH("TropicalSwamp",BV91))),10,35)))))))+_xlfn.XLOOKUP(B91,'Base stats'!B:B,'Base stats'!Q:Q)</f>
        <v>40</v>
      </c>
      <c r="M91" s="8">
        <f>IF(_xlfn.XLOOKUP(_xlfn.XLOOKUP(B91,'Base stats'!B:B,'Base stats'!E:E),Groups!A:A,Groups!L:L)=1,MIN(MROUND(_xlfn.XLOOKUP(B91,'Animals CE'!B:B,'Animals CE'!Z:Z)/2+0.05,0.05),200%),"No")</f>
        <v>0.2</v>
      </c>
      <c r="N91" s="8">
        <f>IF(_xlfn.XLOOKUP(_xlfn.XLOOKUP(B91,'Base stats'!B:B,'Base stats'!E:E),Groups!A:A,Groups!L:L)=1,MIN(MROUND(_xlfn.XLOOKUP(B91,'Animals CE'!B:B,'Animals CE'!AA:AA)/2+0.05,0.05),200%),"No")</f>
        <v>0.2</v>
      </c>
      <c r="O91" s="2" t="str">
        <f>_xlfn.XLOOKUP(B91,'Base stats'!B:B,'Base stats'!R:R)</f>
        <v>Standard</v>
      </c>
      <c r="P91" s="13">
        <f>MROUND((LOG10(_xlfn.XLOOKUP(B91,'Base stats'!B:B,'Base stats'!AO:AO))*(AN91^0.5)+(_xlfn.XLOOKUP(B91,'Base stats'!B:B,'Base stats'!AO:AO)/1000)^(2/3)+_xlfn.XLOOKUP(B91,'Base stats'!B:B,'Base stats'!AX:AX)/2)+0.5,0.5)</f>
        <v>10</v>
      </c>
      <c r="Q91" s="7">
        <f>IF(P91="No","No",MAX(1,MROUND(_xlfn.XLOOKUP(B91,'Base stats'!B:B,'Base stats'!C:C)^0.165,0.05)))</f>
        <v>2.3000000000000003</v>
      </c>
      <c r="R91" s="13" t="str">
        <f>IF(_xlfn.XLOOKUP(_xlfn.XLOOKUP(B91,'Base stats'!B:B,'Base stats'!E:E),Groups!A:A,Groups!P:P)=0,"No",MROUND((LOG10(_xlfn.XLOOKUP(B91,'Base stats'!B:B,'Base stats'!AP:AP))*(AN91^0.5)+(_xlfn.XLOOKUP(B91,'Base stats'!B:B,'Base stats'!AP:AP)/1000)^(2/3)+_xlfn.XLOOKUP(B91,'Base stats'!B:B,'Base stats'!AX:AX))+_xlfn.XLOOKUP(B91,'Base stats'!B:B,'Base stats'!AV:AV)+0.5,0.5))</f>
        <v>No</v>
      </c>
      <c r="S91" s="7" t="str">
        <f>IF(R91="No","No",MAX(_xlfn.XLOOKUP(_xlfn.XLOOKUP(B91,'Base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T91" s="7" t="str">
        <f>IF(R91="No","No",_xlfn.XLOOKUP(_xlfn.XLOOKUP(B91,'Base stats'!B:B,'Base stats'!E:E),Groups!A:A,Groups!R:R))</f>
        <v>No</v>
      </c>
      <c r="U91" s="7" t="str">
        <f>IF(R91="No","No",_xlfn.XLOOKUP(_xlfn.XLOOKUP(B91,'Base stats'!B:B,'Base stats'!E:E),Groups!A:A,Groups!S:S))</f>
        <v>No</v>
      </c>
      <c r="V91" s="7" t="str">
        <f>IF(R91="No","No",_xlfn.XLOOKUP(_xlfn.XLOOKUP(B91,'Base stats'!B:B,'Base stats'!E:E),Groups!A:A,Groups!T:T))</f>
        <v>No</v>
      </c>
      <c r="W91" s="13" t="str">
        <f>IF(_xlfn.XLOOKUP(B91,'Base stats'!B:B,'Base stats'!W:W)="No","No",MROUND((LOG10(_xlfn.XLOOKUP(B91,'Base stats'!B:B,'Base stats'!AR:AR))*(AN91^0.5)+(_xlfn.XLOOKUP(B91,'Base stats'!B:B,'Base stats'!AR:AR)/1000)^(2/3)+_xlfn.XLOOKUP(B91,'Base stats'!B:B,'Base stats'!AW:AW))+0.5+IF(_xlfn.XLOOKUP(_xlfn.XLOOKUP(B91,'Base stats'!B:B,'Base stats'!E:E),Groups!A:A,Groups!U:U)&lt;&gt;3,_xlfn.XLOOKUP(B91,'Base stats'!B:B,'Base stats'!AX:AX),0),0.5))</f>
        <v>No</v>
      </c>
      <c r="X91" s="7" t="str">
        <f>IF(W91="No","No",MAX(_xlfn.XLOOKUP(_xlfn.XLOOKUP(B91,'Base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Y91" s="7" t="str">
        <f>IF(W91="No","No",_xlfn.XLOOKUP(_xlfn.XLOOKUP(B91,'Base stats'!B:B,'Base stats'!E:E),Groups!A:A,Groups!W:W))</f>
        <v>No</v>
      </c>
      <c r="Z91" s="7" t="str">
        <f>IF(W91="No","No",_xlfn.XLOOKUP(_xlfn.XLOOKUP(B91,'Base stats'!B:B,'Base stats'!E:E),Groups!A:A,Groups!X:X))</f>
        <v>No</v>
      </c>
      <c r="AA91" s="7" t="str">
        <f>IF(W91="No","No",_xlfn.XLOOKUP(_xlfn.XLOOKUP(B91,'Base stats'!B:B,'Base stats'!E:E),Groups!A:A,Groups!Y:Y))</f>
        <v>No</v>
      </c>
      <c r="AB91" s="7" t="str">
        <f>_xlfn.XLOOKUP(Animals!B91,'Base stats'!B:B,'Base stats'!X:X)</f>
        <v>False</v>
      </c>
      <c r="AC91" s="13">
        <f>IF(_xlfn.XLOOKUP(B91,'Base stats'!B:B,'Base stats'!AQ:AQ)="No","No",MROUND((LOG10(_xlfn.XLOOKUP(B91,'Base stats'!B:B,'Base stats'!AQ:AQ))*(AN91^0.75)+(_xlfn.XLOOKUP(B91,'Base stats'!B:B,'Base stats'!AQ:AQ)/1000)^(2/3)+_xlfn.XLOOKUP(B91,'Base stats'!B:B,'Base stats'!AU:AU)+_xlfn.XLOOKUP(B91,'Base stats'!B:B,'Base stats'!AX:AX))+0.5,0.5))</f>
        <v>17</v>
      </c>
      <c r="AD91" s="7">
        <f>IF(AC91="No","No",MAX(_xlfn.XLOOKUP(_xlfn.XLOOKUP(B91,'Base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E91" s="7" t="str">
        <f>IF(AC91="No","No",_xlfn.XLOOKUP(_xlfn.XLOOKUP(B91,'Base stats'!B:B,'Base stats'!E:E),Groups!A:A,Groups!AA:AA))</f>
        <v>Teeth</v>
      </c>
      <c r="AF91" s="7" t="str">
        <f>IF(AC91="No","No",_xlfn.XLOOKUP(_xlfn.XLOOKUP(B91,'Base stats'!B:B,'Base stats'!E:E),Groups!A:A,Groups!AB:AB))</f>
        <v>teeth</v>
      </c>
      <c r="AG91" s="7" t="str">
        <f>IF(AC91="No","No",_xlfn.XLOOKUP(_xlfn.XLOOKUP(B91,'Base stats'!B:B,'Base stats'!E:E),Groups!A:A,Groups!AC:AC))</f>
        <v>Bite</v>
      </c>
      <c r="AH91" s="13" t="str">
        <f>IF(_xlfn.XLOOKUP(_xlfn.XLOOKUP(B91,'Base stats'!B:B,'Base stats'!E:E),Groups!A:A,Groups!AD:AD)=0,"No",MROUND((LOG10(_xlfn.XLOOKUP(B91,'Base stats'!B:B,'Base stats'!AP:AP))*(AN91^0.75)+(_xlfn.XLOOKUP(B91,'Base stats'!B:B,'Base stats'!AP:AP)/1000)^(2/3)+_xlfn.XLOOKUP(B91,'Base stats'!B:B,'Base stats'!AV:AV)+_xlfn.XLOOKUP(B91,'Base stats'!B:B,'Base stats'!AX:AX))+0.5,0.5))</f>
        <v>No</v>
      </c>
      <c r="AI91" s="7" t="str">
        <f>IF(AH91="No","No",MAX(_xlfn.XLOOKUP(_xlfn.XLOOKUP(B91,'Base stats'!B:B,'Base stats'!E:E),Groups!A:A,Groups!AE:AE),MROUND(_xlfn.XLOOKUP(_xlfn.XLOOKUP(B91,'Base stats'!B:B,'Base stats'!E:E),Groups!A:A,Groups!AE:AE)*_xlfn.XLOOKUP(B91,'Base stats'!B:B,'Base stats'!C:C)^0.165,0.05)))</f>
        <v>No</v>
      </c>
      <c r="AJ91" s="7" t="str">
        <f>IF(AH91="No","No",_xlfn.XLOOKUP(_xlfn.XLOOKUP(B91,'Base stats'!B:B,'Base stats'!E:E),Groups!A:A,Groups!AF:AF))</f>
        <v>No</v>
      </c>
      <c r="AK91" s="7" t="str">
        <f>IF(AH91="No","No",_xlfn.XLOOKUP(_xlfn.XLOOKUP(B91,'Base stats'!B:B,'Base stats'!E:E),Groups!A:A,Groups!AG:AG))</f>
        <v>No</v>
      </c>
      <c r="AL91" s="7" t="str">
        <f>IF(AH91="No","No",_xlfn.XLOOKUP(_xlfn.XLOOKUP(B91,'Base stats'!B:B,'Base stats'!E:E),Groups!A:A,Groups!AH:AH))</f>
        <v>No</v>
      </c>
      <c r="AM91" s="2">
        <f t="shared" si="7"/>
        <v>25</v>
      </c>
      <c r="AN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O91" s="8">
        <f>MROUND(AN91*_xlfn.XLOOKUP(_xlfn.XLOOKUP(B91,'Base stats'!B:B,'Base stats'!E:E),Groups!A:A,Groups!AI:AI),0.05)</f>
        <v>1.9000000000000001</v>
      </c>
      <c r="AP91" s="8">
        <f>MAX(0.01,MROUND(IF(CA91="True",0.196*(AN91*100*1000)^0.889,IF(_xlfn.XLOOKUP(_xlfn.XLOOKUP(B91,'Base stats'!B:B,'Base stats'!E:E),Groups!A:A,Groups!AJ:AJ)="Bird",10.5*(AN91*100*1000)^0.681,4.82*(AN91*100*1000)^0.734))/(4.82*(1*100*1000)^0.734)/IF(AN91&lt;3.5,2,IF(AN91=3.5,1.5,1.25))*(1+0.132282374779864/(AN91^0.994035016789033+0.00905238001496948)),0.05))</f>
        <v>0.2</v>
      </c>
      <c r="AQ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R91" s="35" t="str">
        <f>IFERROR(IF(_xlfn.XLOOKUP(B91,'Base stats'!B:B,'Base stats'!F:F)="Lay eggs","Lay eggs",MIN(20,MAX(5.5,ROUND(((_xlfn.XLOOKUP(B91,'Base stats'!B:B,'Base stats'!F:F)-25)*(14.5/615) + 5.5)*2,0)/2))),"Cannot breed")</f>
        <v>Lay eggs</v>
      </c>
      <c r="AS91" s="8">
        <f>IF(OR(A91="Queen",A91="Larva",A91="Megachicken"),"No",IFERROR(MAX(IF(_xlfn.XLOOKUP(B91,'Base stats'!B:B,'Base stats'!G:G)&lt;0.5,0.2,0.3),MROUND(_xlfn.XLOOKUP(B91,'Base stats'!B:B,'Base stats'!G:G)/(365/60),0.2)),"Unknown"))</f>
        <v>2</v>
      </c>
      <c r="AT91" s="8">
        <f t="shared" si="8"/>
        <v>1</v>
      </c>
      <c r="AU91" s="8" t="str">
        <f>IFERROR(IFERROR(MROUND(_xlfn.XLOOKUP(B91,'Base stats'!B:B,'Base stats'!J:J),0.1),"Lay eggs"),"Cannot breed")</f>
        <v>Lay eggs</v>
      </c>
      <c r="AV91" s="2" t="str">
        <f t="shared" si="9"/>
        <v>false</v>
      </c>
      <c r="AW91" s="2" t="str">
        <f>IF(_xlfn.XLOOKUP(_xlfn.XLOOKUP(Animals!B91,'Base stats'!B:B,'Base stats'!E:E),Groups!A:A,Groups!AK:AK)=1,"true","false")</f>
        <v>false</v>
      </c>
      <c r="AX91" s="25" t="str">
        <f>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</f>
        <v>CarnivoreAnimal, OvivoreAnimal</v>
      </c>
      <c r="AY91" s="2" t="str">
        <f>IF(_xlfn.XLOOKUP(_xlfn.XLOOKUP(B91,'Base stats'!B:B,'Base stats'!E:E),Groups!A:A,Groups!D:D)=1,MROUND((1-I91)*5+1,2)*IF(I91&lt;=0.4,2,1),"No")</f>
        <v>No</v>
      </c>
      <c r="AZ91" s="2" t="str">
        <f>_xlfn.XLOOKUP(B91,'Base stats'!B:B,'Base stats'!AE:AE)</f>
        <v>Leather_Lizard</v>
      </c>
      <c r="BA91" s="23" t="str">
        <f>_xlfn.XLOOKUP(_xlfn.XLOOKUP(B91,'Base stats'!B:B,'Base stats'!E:E),Groups!A:A,Groups!AL:AL)</f>
        <v>QuadrupedAnimalWithClawsTailAndJowl</v>
      </c>
      <c r="BB91" s="23">
        <f>MROUND(IF(AND(AN91&lt;0.5,_xlfn.XLOOKUP(B91,'Base stats'!B:B,'Base stats'!Z:Z)=0),0,IF(OR(_xlfn.XLOOKUP(Animals!B91,'Base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stats'!AA:AA),0.005)</f>
        <v>0.1</v>
      </c>
      <c r="BC91" s="23">
        <f>MROUND(IF(AND(AN91&lt;0.5,_xlfn.XLOOKUP(B91,'Base stats'!B:B,'Base stats'!Z:Z)=0),0,IF(_xlfn.XLOOKUP(_xlfn.XLOOKUP(B91,'Base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stats'!AB:AB),0.005)</f>
        <v>0.3</v>
      </c>
      <c r="BD91" s="2" t="str">
        <f>IF(I91&gt;0.3,"No",_xlfn.XLOOKUP(_xlfn.XLOOKUP(Animals!B91,'Base stats'!B:B,'Base stats'!E:E),Groups!A:A,Groups!AP:AP))</f>
        <v>No</v>
      </c>
      <c r="BE91" s="2" t="str">
        <f>IF(AND(I91&lt;=0.65,_xlfn.XLOOKUP(_xlfn.XLOOKUP(Animals!B91,'Base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stats'!O:O)=2,0.2,AN91) + 24*(1-IF(BD91="No",0,BD91)) + 16/3, 12),"No")</f>
        <v>No</v>
      </c>
      <c r="BF91" s="2">
        <f>IF(AND(_xlfn.XLOOKUP(_xlfn.XLOOKUP(B91,'Base stats'!B:B,'Base stats'!E:E),Groups!A:A,Groups!AQ:AQ)=1,AN91&lt;=0.35),8,12)</f>
        <v>12</v>
      </c>
      <c r="BG91" s="2" t="str">
        <f>IF(_xlfn.XLOOKUP(_xlfn.XLOOKUP(B91,'Base stats'!B:B,'Base stats'!E:E),Groups!A:A,Groups!D:D)=0,_xlfn.XLOOKUP(_xlfn.XLOOKUP(B91,'Base stats'!B:B,'Base stats'!E:E),Groups!A:A,Groups!AR:AR),"None")</f>
        <v>None</v>
      </c>
      <c r="BH91" s="2" t="str">
        <f>IF(AND(_xlfn.XLOOKUP(_xlfn.XLOOKUP(B91,'Base stats'!B:B,'Base stats'!E:E),Groups!A:A,Groups!AS:AS)=1,OR('Base stats'!Y91="Carnivore",'Base stats'!Y91="Omnivore")),"true","false")</f>
        <v>true</v>
      </c>
      <c r="BI91" s="2">
        <f>IF(BH91="true",MROUND(IF(AND(AN91&gt;0.5,_xlfn.XLOOKUP(_xlfn.XLOOKUP(B91,'Base stats'!B:B,'Base stats'!E:E),Groups!A:A,Groups!AJ:AJ)="Mammal"),Animals!AN91*1.75*IF(AV91="true",1.5,1),Animals!AN91),IF(AN91&gt;2,0.5,IF(AN91&gt;0.5,0.25,0.1))),"No")</f>
        <v>1.5</v>
      </c>
      <c r="BJ91" s="2">
        <f t="shared" si="10"/>
        <v>0</v>
      </c>
      <c r="BK91" s="25">
        <f>IF('Base stats'!AK91="Standard","No",MROUND((_xlfn.XLOOKUP(B91,'Base stats'!B:B,'Base stats'!AK:AK)/3.6)/H91,0.1))</f>
        <v>2.8000000000000003</v>
      </c>
      <c r="BL91" s="25" t="str">
        <f t="shared" si="11"/>
        <v>true</v>
      </c>
      <c r="BM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N91" s="25" t="str" cm="1">
        <f t="array" ref="BN91">IF(
  _xlfn.TEXTJOIN(", ",TRUE,
    IF(AND(BH91="true",AN91&gt;0.5,BG91&lt;&gt;"None"),"AttackTarget",""),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IF(BE91&lt;=36,"Comfort",""),
    IF(_xlfn.XLOOKUP(B91,'Base stats'!B:B,'Base stats'!AC:AC)&lt;&gt;"No",_xlfn.XLOOKUP(B91,'Base stats'!B:B,'Base stats'!AC:AC),"")
  ) = "",
  "No",
  _xlfn.TEXTJOIN(", ",TRUE,
    IF(AND(BH91="true",AN91&gt;0.5,BG91&lt;&gt;"None"),"AttackTarget",""),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IF(BE91&lt;=36,"Comfort",""),
    IF(_xlfn.XLOOKUP(B91,'Base stats'!B:B,'Base stats'!AC:AC)&lt;&gt;"No",_xlfn.XLOOKUP(B91,'Base stats'!B:B,'Base stats'!AC:AC),"")
  )
)</f>
        <v>No</v>
      </c>
      <c r="BO91" s="25">
        <f>IF(
   AND(
      'Base stats'!AK91="Standard",_xlfn.XLOOKUP(_xlfn.XLOOKUP(B91,'Base stats'!B:B,'Base stats'!E:E),Groups!A:A,Groups!AU:AU)=0,
      OR(
      BM91="True"
      )
   ),
   10,
   IF(
       OR(BK91&lt;&gt;"No",_xlfn.XLOOKUP(_xlfn.XLOOKUP(B91,'Base stats'!B:B,'Base stats'!E:E),Groups!A:A,Groups!AU:AU)=1),
      1,
      "No"
   )
)</f>
        <v>1</v>
      </c>
      <c r="BP91" s="9">
        <f>MROUND((1 + ((0.2*IF(OR(P91="No",Q91="No",Q91=0),0,P91/Q91)
+IF(OR(U91="No",R91="No",S91="No"),0,R91/S91*(LEN(U91)-LEN(SUBSTITUTE(U91,",",""))+1))
+IF(OR(W91="No",X91="No"),0,W91/X91)
+IF(OR(AC91="No",AD91="No"),0,AC91/AD91)
+IF(OR(AK91="No",AH91="No",AI91="No"),0,AH91/AI91*(LEN(AK91)-LEN(SUBSTITUTE(AK91,",",""))+1))
)/(0.2*IF(OR(P91="No",Q91="No",Q91=0),0,1)
+IF(OR(U91="No",R91="No",S91="No"),0,LEN(U91)-LEN(SUBSTITUTE(U91,",",""))+1)
+IF(OR(W91="No",X91="No"),0,1)
+IF(OR(AC91="No",AD91="No"),0,1)
+IF(OR(AK91="No",AH91="No",AI91="No"),0,LEN(AK91)-LEN(SUBSTITUTE(AK91,",",""))+1))*62%)* 2)*(1 + (AO91 + _xlfn.XLOOKUP(B91,'Base stats'!B:B,'Base stats'!AS:AS) * 1.8) * 2) * 2.5 + 10 + H91 * 2,5)+IF(_xlfn.XLOOKUP(B91,'Base stats'!B:B,'Base stats'!AH:AH)=1,50,0)</f>
        <v>150</v>
      </c>
      <c r="BQ91" s="8">
        <f t="shared" si="12"/>
        <v>0.5</v>
      </c>
      <c r="BR91" s="8" t="str">
        <f>_xlfn.XLOOKUP(B91,'Base stats'!B:B,'Base stats'!AD:AD)</f>
        <v>No</v>
      </c>
      <c r="BS91" s="2" t="str">
        <f>IF(AND(I91&lt;=0.95,OR(_xlfn.XLOOKUP(B91,'Base stats'!B:B,'Base stats'!AH:AH)=1,_xlfn.XLOOKUP(B91,'Base stats'!B:B,'Base stats'!Y:Y)="Carnivore",_xlfn.XLOOKUP(B91,'Base stats'!B:B,'Base stats'!Y:Y)="Omnivore",BC91&gt;0.1)),"true","false")</f>
        <v>true</v>
      </c>
      <c r="BT91" s="2" t="str">
        <f>IF(_xlfn.XLOOKUP(B91,'Base stats'!B:B,'Base stats'!AF:AF)=1,"true","false")</f>
        <v>false</v>
      </c>
      <c r="BU91" s="25" t="str">
        <f>IF(E91="BaseInsect","AnimalInsect",
IF(I91&gt;0.95,"AnimalExotic",
_xlfn.TEXTJOIN(", ",TRUE,
IF(AND(_xlfn.XLOOKUP(B91,'Base stats'!B:B,'Base stats'!O:O)=0,_xlfn.XLOOKUP(_xlfn.XLOOKUP(B91,'Base stats'!B:B,'Base stats'!E:E),Groups!A:A,Groups!B:B)&gt;0),"AnimalUncommon","AnimalCommon"),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stats'!AH:AH)=1,AND(BG91&lt;&gt;"None",BP91&gt;=60),ISNUMBER(SEARCH("Attack target",BN91))),"AnimalFighter","")
)))</f>
        <v>AnimalUncommon</v>
      </c>
      <c r="BV91" s="25" t="str">
        <f>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</f>
        <v>TemperateSwamp TropicalSwamp Glowforest</v>
      </c>
      <c r="BW91" s="25" t="str">
        <f>IF(_xlfn.XLOOKUP(B91,'Base stats'!B:B,'Base stats'!AG:AG)=1,"true","false")</f>
        <v>false</v>
      </c>
      <c r="BX91" s="25">
        <f>IF(_xlfn.XLOOKUP(B91,'Base stats'!B:B,'Base stats'!N:N)=1,"No",MIN(MROUND(IF(OR(_xlfn.XLOOKUP(B91,'Base stats'!B:B,'Base stats'!AJ:AJ)=1,AND(BH91="True",CA91="False")),POWER(10,3.47*LOG10(_xlfn.XLOOKUP(B91,'Base stats'!B:B,'Base stats'!C:C)*1000)^-0.96),POWER(10,4.15*LOG10(_xlfn.XLOOKUP(B91,'Base stats'!B:B,'Base stats'!C:C)*1000)^-0.73))*IF(OR(_xlfn.XLOOKUP(B91,'Base stats'!B:B,'Base stats'!AJ:AJ)=1,_xlfn.XLOOKUP(B91,'Base stats'!B:B,'Base stats'!AH:AH)=1),0.5,1)/100,0.025),1))</f>
        <v>0.17500000000000002</v>
      </c>
      <c r="BY91" s="25" t="str">
        <f>IF(O91="Standard","No",IF(_xlfn.XLOOKUP(B91,'Base stats'!B:B,'Base stats'!N:N)=0,MROUND(BX91*O91,0.05),MIN(1,MAX(0.025,MROUND(IF(OR(CA91="true",AND(BH91="false",BM91="false")),POWER(10,4.15*LOG10(_xlfn.XLOOKUP(B91,'Base stats'!B:B,'Base stats'!C:C)*1000)^-0.73),POWER(10,3.47*LOG10(_xlfn.XLOOKUP(B91,'Base stats'!B:B,'Base stats'!C:C)*1000)^-0.96))*IF(_xlfn.XLOOKUP(B91,'Base stats'!B:B,'Base stats'!AH:AH)=1,0.5,1)/100,0.025)))))</f>
        <v>No</v>
      </c>
      <c r="BZ91" s="25" t="str">
        <f>IF(_xlfn.XLOOKUP(_xlfn.XLOOKUP(B91,'Base stats'!B:B,'Base stats'!E:E),Groups!A:A,Groups!AJ:AJ)="Mammal","True","False")</f>
        <v>False</v>
      </c>
      <c r="CA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B91" s="25" t="str">
        <f t="shared" si="13"/>
        <v>False</v>
      </c>
      <c r="CC91" s="25" t="str">
        <f>IF(_xlfn.XLOOKUP(_xlfn.XLOOKUP(B91,'Base stats'!B:B,'Base stats'!E:E),Groups!A:A,Groups!AW:AW),"True","False")</f>
        <v>False</v>
      </c>
      <c r="CD91" s="25" t="str">
        <f>IF(_xlfn.XLOOKUP(_xlfn.XLOOKUP(B91,'Base stats'!B:B,'Base stats'!E:E),Groups!A:A,Groups!AX:AX),"True","False")</f>
        <v>False</v>
      </c>
      <c r="CE91" s="25" t="str">
        <f>IF(_xlfn.XLOOKUP(B91,'Base stats'!B:B,'Base stats'!E:E)=1,"True","False")</f>
        <v>False</v>
      </c>
      <c r="CF91" s="25" t="str">
        <f>IF(
OR(
_xlfn.XLOOKUP(_xlfn.XLOOKUP(B91,'Base stats'!B:B,'Base stats'!E:E),Groups!A:A,Groups!AY:AY)=0,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stats'!E:E),Groups!A:A,Groups!AY:AY)=1,
"Flesh",
IF(
_xlfn.XLOOKUP(_xlfn.XLOOKUP(B91,'Base stats'!B:B,'Base stats'!E:E),Groups!A:A,Groups!AY:AY)=2,
"Bone",
""
)
)
)</f>
        <v>Bone</v>
      </c>
      <c r="CG91" s="25" t="str">
        <f>IF(_xlfn.XLOOKUP(_xlfn.XLOOKUP(B91,'Base stats'!B:B,'Base stats'!E:E),Groups!A:A,Groups!BA:BA),"True","False")</f>
        <v>False</v>
      </c>
      <c r="CH91" s="25" t="str">
        <f>IF(_xlfn.XLOOKUP(_xlfn.XLOOKUP(B91,'Base stats'!B:B,'Base stats'!E:E),Groups!A:A,Groups!AZ:AZ),"True","False")</f>
        <v>False</v>
      </c>
    </row>
    <row r="92" spans="1:86" ht="16.5" thickTop="1" thickBot="1" x14ac:dyDescent="0.3">
      <c r="A92" s="26" t="str">
        <f>_xlfn.XLOOKUP(B92,'Base stats'!B:B,'Base stats'!A:A)</f>
        <v>SeaTurtle</v>
      </c>
      <c r="B92" s="6" t="s">
        <v>233</v>
      </c>
      <c r="C92" s="28" t="s">
        <v>784</v>
      </c>
      <c r="D92" s="28" t="s">
        <v>882</v>
      </c>
      <c r="E92" s="28" t="s">
        <v>685</v>
      </c>
      <c r="F92" s="28" t="s">
        <v>685</v>
      </c>
      <c r="G92" s="2">
        <f>MROUND((
  (IF(AND(_xlfn.XLOOKUP(B92,'Base stats'!B:B,'Base stats'!AI:AI)=0,BG92="None",_xlfn.XLOOKUP('Base stats'!E92,Groups!A:A,Groups!B:B)=0), (18 + BP92 * 2.7) * 0.5,
    IF(AND(_xlfn.XLOOKUP(B92,'Base stats'!B:B,'Base stats'!AI:AI)=0,OR(AN92&lt;0.55,AND(BG92="Intermediate",_xlfn.XLOOKUP('Base stats'!E92,Groups!A:A,Groups!B:B)&lt;2))), (18 + BP92 * 2.7),
      IF(OR(BG92="Advanced",_xlfn.XLOOKUP(B92,'Base stats'!B:B,'Base stats'!AI:AI)=1,_xlfn.XLOOKUP('Base stats'!E92,Groups!A:A,Groups!B:B)=2), (18 + BP92 * 2.7) + 250, (18 + BP92 * 2.7))
    )
  ))
  + AN92 * 80
  + IF(COUNTIF(EggMilk!K$2:K$998, A92) &gt; 0, 125, 0)
  + IF(COUNTIF(EggMilk!P$2:P$998, A92) &gt; 0, 90, 0)
  + IF(COUNTIF(EggMilk!A$2:A$998, A92) &gt; 0, 90, 0)
)
* (0.8 + 0.4 * I92)
* 0.75,25)</f>
        <v>675</v>
      </c>
      <c r="H92" s="2">
        <f>MROUND(ROUNDDOWN(_xlfn.XLOOKUP(B92,'Base stats'!B:B,'Base stats'!L:L)/3.6/(23.3/11),1),0.5)</f>
        <v>0.5</v>
      </c>
      <c r="I92" s="2">
        <f>IF(_xlfn.XLOOKUP(B92,'Base stats'!B:B,'Base stats'!AI:AI)=1,0.99,MIN(MROUND((1-0.6282*EXP(-0.459*AN92))*_xlfn.XLOOKUP(_xlfn.XLOOKUP(B92,'Base stats'!B:B,'Base stats'!E:E),Groups!A:A,Groups!C:C)*IF(_xlfn.XLOOKUP(B92,'Base stats'!B:B,'Base stats'!O:O)=1,0.5,IF(_xlfn.XLOOKUP(B92,'Base stats'!B:B,'Base stats'!O:O)=2,0,1)),0.05),0.985))</f>
        <v>0.95000000000000007</v>
      </c>
      <c r="J92" s="2">
        <f>ROUNDUP(AN92*_xlfn.XLOOKUP(_xlfn.XLOOKUP(B92,'Base stats'!B:B,'Base stats'!E:E),Groups!A:A,Groups!E:E),0)</f>
        <v>2</v>
      </c>
      <c r="K92" s="2">
        <f>IF(OR(_xlfn.XLOOKUP(_xlfn.XLOOKUP(B92,'Base stats'!B:B,'Base stats'!E:E),Groups!A:A,Groups!F:F)=2,ISNUMBER(SEARCH("SeaIce",BV92)),ISNUMBER(SEARCH("IceSheet",BV92))),-50,IF(OR(ISNUMBER(SEARCH("GlacialPlain",BV92)),ISNUMBER(SEARCH("Tundra",BV92))),-40,IF(OR(ISNUMBER(SEARCH("Alpine",BV92)),ISNUMBER(SEARCH("BorealForest",BV92)),ISNUMBER(SEARCH("ColdBog",BV92))),-30,IF(OR(ISNUMBER(SEARCH("TemperateForest",BV92)),ISNUMBER(SEARCH("TemperateSwamp",BV92))),-20,IF(_xlfn.XLOOKUP(_xlfn.XLOOKUP(B92,'Base stats'!B:B,'Base stats'!E:E),Groups!A:A,Groups!F:F)=1,-15,IF(OR(ISNUMBER(SEARCH("Desert",BV92)),ISNUMBER(SEARCH("ExtremeDesert",BV92))),-10,IF(OR(ISNUMBER(SEARCH("Grasslands",BV92)),ISNUMBER(SEARCH("TropicalRainforest",BV92)),ISNUMBER(SEARCH("TropicalSwamp",BV92))),10,0)))))))-IF(CA92="False",MIN(IFERROR(MAX(MROUND(LOG10(_xlfn.XLOOKUP(B92,'Base stats'!B:B,'Base stats'!C:C)^(2/3))*10,5),5),5),30))-_xlfn.XLOOKUP(B92,'Base stats'!B:B,'Base stats'!P:P)+IF(CA92="True",5,0)</f>
        <v>-5</v>
      </c>
      <c r="L92" s="2">
        <f>IF(OR(_xlfn.XLOOKUP(_xlfn.XLOOKUP(B92,'Base stats'!B:B,'Base stats'!E:E),Groups!A:A,Groups!G:G)=2,ISNUMBER(SEARCH("Desert",BV92)),ISNUMBER(SEARCH("ExtremeDesert",BV92)),ISNUMBER(SEARCH("LavaField",BV92))),50,IF(ISNUMBER(SEARCH("Grasslands",BV92)),45,IF(OR(_xlfn.XLOOKUP(_xlfn.XLOOKUP(B92,'Base stats'!B:B,'Base stats'!E:E),Groups!A:A,Groups!G:G)=1,ISNUMBER(SEARCH("TropicalRainforest",BV92)),ISNUMBER(SEARCH("TropicalSwamp",BV92))),40,IF(OR(ISNUMBER(SEARCH("TemperateForest",BV92)),ISNUMBER(SEARCH("TemperateSwamp",BV92))),35,IF(OR(ISNUMBER(SEARCH("Alpine",BV92)),ISNUMBER(SEARCH("BorealForest",BV92)),ISNUMBER(SEARCH("ColdBog",BV92))),30,IF(ISNUMBER(OR(ISNUMBER(SEARCH("GlacialPlain",BV92)),SEARCH("Tundra",BV92))),25,IF(OR(ISNUMBER(SEARCH("SeaIce",BV92)),ISNUMBER(SEARCH("IceSheet",BV92)),ISNUMBER(SEARCH("TropicalSwamp",BV92))),10,35)))))))+_xlfn.XLOOKUP(B92,'Base stats'!B:B,'Base stats'!Q:Q)</f>
        <v>50</v>
      </c>
      <c r="M92" s="8">
        <f>IF(_xlfn.XLOOKUP(_xlfn.XLOOKUP(B92,'Base stats'!B:B,'Base stats'!E:E),Groups!A:A,Groups!L:L)=1,MIN(MROUND(_xlfn.XLOOKUP(B92,'Animals CE'!B:B,'Animals CE'!Z:Z)/2+0.05,0.05),200%),"No")</f>
        <v>1.1500000000000001</v>
      </c>
      <c r="N92" s="8">
        <f>IF(_xlfn.XLOOKUP(_xlfn.XLOOKUP(B92,'Base stats'!B:B,'Base stats'!E:E),Groups!A:A,Groups!L:L)=1,MIN(MROUND(_xlfn.XLOOKUP(B92,'Animals CE'!B:B,'Animals CE'!AA:AA)/2+0.05,0.05),200%),"No")</f>
        <v>1.9500000000000002</v>
      </c>
      <c r="O92" s="2" t="str">
        <f>_xlfn.XLOOKUP(B92,'Base stats'!B:B,'Base stats'!R:R)</f>
        <v>Standard</v>
      </c>
      <c r="P92" s="13">
        <f>MROUND((LOG10(_xlfn.XLOOKUP(B92,'Base stats'!B:B,'Base stats'!AO:AO))*(AN92^0.5)+(_xlfn.XLOOKUP(B92,'Base stats'!B:B,'Base stats'!AO:AO)/1000)^(2/3)+_xlfn.XLOOKUP(B92,'Base stats'!B:B,'Base stats'!AX:AX)/2)+0.5,0.5)</f>
        <v>10.5</v>
      </c>
      <c r="Q92" s="7">
        <f>IF(P92="No","No",MAX(1,MROUND(_xlfn.XLOOKUP(B92,'Base stats'!B:B,'Base stats'!C:C)^0.165,0.05)))</f>
        <v>2.35</v>
      </c>
      <c r="R92" s="13" t="str">
        <f>IF(_xlfn.XLOOKUP(_xlfn.XLOOKUP(B92,'Base stats'!B:B,'Base stats'!E:E),Groups!A:A,Groups!P:P)=0,"No",MROUND((LOG10(_xlfn.XLOOKUP(B92,'Base stats'!B:B,'Base stats'!AP:AP))*(AN92^0.5)+(_xlfn.XLOOKUP(B92,'Base stats'!B:B,'Base stats'!AP:AP)/1000)^(2/3)+_xlfn.XLOOKUP(B92,'Base stats'!B:B,'Base stats'!AX:AX))+_xlfn.XLOOKUP(B92,'Base stats'!B:B,'Base stats'!AV:AV)+0.5,0.5))</f>
        <v>No</v>
      </c>
      <c r="S92" s="7" t="str">
        <f>IF(R92="No","No",MAX(_xlfn.XLOOKUP(_xlfn.XLOOKUP(B92,'Base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T92" s="7" t="str">
        <f>IF(R92="No","No",_xlfn.XLOOKUP(_xlfn.XLOOKUP(B92,'Base stats'!B:B,'Base stats'!E:E),Groups!A:A,Groups!R:R))</f>
        <v>No</v>
      </c>
      <c r="U92" s="7" t="str">
        <f>IF(R92="No","No",_xlfn.XLOOKUP(_xlfn.XLOOKUP(B92,'Base stats'!B:B,'Base stats'!E:E),Groups!A:A,Groups!S:S))</f>
        <v>No</v>
      </c>
      <c r="V92" s="7" t="str">
        <f>IF(R92="No","No",_xlfn.XLOOKUP(_xlfn.XLOOKUP(B92,'Base stats'!B:B,'Base stats'!E:E),Groups!A:A,Groups!T:T))</f>
        <v>No</v>
      </c>
      <c r="W92" s="13" t="str">
        <f>IF(_xlfn.XLOOKUP(B92,'Base stats'!B:B,'Base stats'!W:W)="No","No",MROUND((LOG10(_xlfn.XLOOKUP(B92,'Base stats'!B:B,'Base stats'!AR:AR))*(AN92^0.5)+(_xlfn.XLOOKUP(B92,'Base stats'!B:B,'Base stats'!AR:AR)/1000)^(2/3)+_xlfn.XLOOKUP(B92,'Base stats'!B:B,'Base stats'!AW:AW))+0.5+IF(_xlfn.XLOOKUP(_xlfn.XLOOKUP(B92,'Base stats'!B:B,'Base stats'!E:E),Groups!A:A,Groups!U:U)&lt;&gt;3,_xlfn.XLOOKUP(B92,'Base stats'!B:B,'Base stats'!AX:AX),0),0.5))</f>
        <v>No</v>
      </c>
      <c r="X92" s="7" t="str">
        <f>IF(W92="No","No",MAX(_xlfn.XLOOKUP(_xlfn.XLOOKUP(B92,'Base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Y92" s="7" t="str">
        <f>IF(W92="No","No",_xlfn.XLOOKUP(_xlfn.XLOOKUP(B92,'Base stats'!B:B,'Base stats'!E:E),Groups!A:A,Groups!W:W))</f>
        <v>No</v>
      </c>
      <c r="Z92" s="7" t="str">
        <f>IF(W92="No","No",_xlfn.XLOOKUP(_xlfn.XLOOKUP(B92,'Base stats'!B:B,'Base stats'!E:E),Groups!A:A,Groups!X:X))</f>
        <v>No</v>
      </c>
      <c r="AA92" s="7" t="str">
        <f>IF(W92="No","No",_xlfn.XLOOKUP(_xlfn.XLOOKUP(B92,'Base stats'!B:B,'Base stats'!E:E),Groups!A:A,Groups!Y:Y))</f>
        <v>No</v>
      </c>
      <c r="AB92" s="7" t="str">
        <f>_xlfn.XLOOKUP(Animals!B92,'Base stats'!B:B,'Base stats'!X:X)</f>
        <v>False</v>
      </c>
      <c r="AC92" s="13">
        <f>IF(_xlfn.XLOOKUP(B92,'Base stats'!B:B,'Base stats'!AQ:AQ)="No","No",MROUND((LOG10(_xlfn.XLOOKUP(B92,'Base stats'!B:B,'Base stats'!AQ:AQ))*(AN92^0.75)+(_xlfn.XLOOKUP(B92,'Base stats'!B:B,'Base stats'!AQ:AQ)/1000)^(2/3)+_xlfn.XLOOKUP(B92,'Base stats'!B:B,'Base stats'!AU:AU)+_xlfn.XLOOKUP(B92,'Base stats'!B:B,'Base stats'!AX:AX))+0.5,0.5))</f>
        <v>12</v>
      </c>
      <c r="AD92" s="7">
        <f>IF(AC92="No","No",MAX(_xlfn.XLOOKUP(_xlfn.XLOOKUP(B92,'Base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E92" s="7" t="str">
        <f>IF(AC92="No","No",_xlfn.XLOOKUP(_xlfn.XLOOKUP(B92,'Base stats'!B:B,'Base stats'!E:E),Groups!A:A,Groups!AA:AA))</f>
        <v>TurtleBeakAttackTool</v>
      </c>
      <c r="AF92" s="7" t="str">
        <f>IF(AC92="No","No",_xlfn.XLOOKUP(_xlfn.XLOOKUP(B92,'Base stats'!B:B,'Base stats'!E:E),Groups!A:A,Groups!AB:AB))</f>
        <v>beak</v>
      </c>
      <c r="AG92" s="7" t="str">
        <f>IF(AC92="No","No",_xlfn.XLOOKUP(_xlfn.XLOOKUP(B92,'Base stats'!B:B,'Base stats'!E:E),Groups!A:A,Groups!AC:AC))</f>
        <v>Bite</v>
      </c>
      <c r="AH92" s="13" t="str">
        <f>IF(_xlfn.XLOOKUP(_xlfn.XLOOKUP(B92,'Base stats'!B:B,'Base stats'!E:E),Groups!A:A,Groups!AD:AD)=0,"No",MROUND((LOG10(_xlfn.XLOOKUP(B92,'Base stats'!B:B,'Base stats'!AP:AP))*(AN92^0.75)+(_xlfn.XLOOKUP(B92,'Base stats'!B:B,'Base stats'!AP:AP)/1000)^(2/3)+_xlfn.XLOOKUP(B92,'Base stats'!B:B,'Base stats'!AV:AV)+_xlfn.XLOOKUP(B92,'Base stats'!B:B,'Base stats'!AX:AX))+0.5,0.5))</f>
        <v>No</v>
      </c>
      <c r="AI92" s="7" t="str">
        <f>IF(AH92="No","No",MAX(_xlfn.XLOOKUP(_xlfn.XLOOKUP(B92,'Base stats'!B:B,'Base stats'!E:E),Groups!A:A,Groups!AE:AE),MROUND(_xlfn.XLOOKUP(_xlfn.XLOOKUP(B92,'Base stats'!B:B,'Base stats'!E:E),Groups!A:A,Groups!AE:AE)*_xlfn.XLOOKUP(B92,'Base stats'!B:B,'Base stats'!C:C)^0.165,0.05)))</f>
        <v>No</v>
      </c>
      <c r="AJ92" s="7" t="str">
        <f>IF(AH92="No","No",_xlfn.XLOOKUP(_xlfn.XLOOKUP(B92,'Base stats'!B:B,'Base stats'!E:E),Groups!A:A,Groups!AF:AF))</f>
        <v>No</v>
      </c>
      <c r="AK92" s="7" t="str">
        <f>IF(AH92="No","No",_xlfn.XLOOKUP(_xlfn.XLOOKUP(B92,'Base stats'!B:B,'Base stats'!E:E),Groups!A:A,Groups!AG:AG))</f>
        <v>No</v>
      </c>
      <c r="AL92" s="7" t="str">
        <f>IF(AH92="No","No",_xlfn.XLOOKUP(_xlfn.XLOOKUP(B92,'Base stats'!B:B,'Base stats'!E:E),Groups!A:A,Groups!AH:AH))</f>
        <v>No</v>
      </c>
      <c r="AM92" s="2" t="str">
        <f t="shared" si="7"/>
        <v>No</v>
      </c>
      <c r="AN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O92" s="8">
        <f>MROUND(AN92*_xlfn.XLOOKUP(_xlfn.XLOOKUP(B92,'Base stats'!B:B,'Base stats'!E:E),Groups!A:A,Groups!AI:AI),0.05)</f>
        <v>1.7000000000000002</v>
      </c>
      <c r="AP92" s="8">
        <f>MAX(0.01,MROUND(IF(CA92="True",0.196*(AN92*100*1000)^0.889,IF(_xlfn.XLOOKUP(_xlfn.XLOOKUP(B92,'Base stats'!B:B,'Base stats'!E:E),Groups!A:A,Groups!AJ:AJ)="Bird",10.5*(AN92*100*1000)^0.681,4.82*(AN92*100*1000)^0.734))/(4.82*(1*100*1000)^0.734)/IF(AN92&lt;3.5,2,IF(AN92=3.5,1.5,1.25))*(1+0.132282374779864/(AN92^0.994035016789033+0.00905238001496948)),0.05))</f>
        <v>0.2</v>
      </c>
      <c r="AQ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R92" s="35" t="str">
        <f>IFERROR(IF(_xlfn.XLOOKUP(B92,'Base stats'!B:B,'Base stats'!F:F)="Lay eggs","Lay eggs",MIN(20,MAX(5.5,ROUND(((_xlfn.XLOOKUP(B92,'Base stats'!B:B,'Base stats'!F:F)-25)*(14.5/615) + 5.5)*2,0)/2))),"Cannot breed")</f>
        <v>Lay eggs</v>
      </c>
      <c r="AS92" s="8">
        <f>IF(OR(A92="Queen",A92="Larva",A92="Megachicken"),"No",IFERROR(MAX(IF(_xlfn.XLOOKUP(B92,'Base stats'!B:B,'Base stats'!G:G)&lt;0.5,0.2,0.3),MROUND(_xlfn.XLOOKUP(B92,'Base stats'!B:B,'Base stats'!G:G)/(365/60),0.2)),"Unknown"))</f>
        <v>1.6</v>
      </c>
      <c r="AT92" s="8">
        <f t="shared" si="8"/>
        <v>0.8</v>
      </c>
      <c r="AU92" s="8" t="str">
        <f>IFERROR(IFERROR(MROUND(_xlfn.XLOOKUP(B92,'Base stats'!B:B,'Base stats'!J:J),0.1),"Lay eggs"),"Cannot breed")</f>
        <v>Lay eggs</v>
      </c>
      <c r="AV92" s="2" t="str">
        <f t="shared" si="9"/>
        <v>false</v>
      </c>
      <c r="AW92" s="2" t="str">
        <f>IF(_xlfn.XLOOKUP(_xlfn.XLOOKUP(Animals!B92,'Base stats'!B:B,'Base stats'!E:E),Groups!A:A,Groups!AK:AK)=1,"true","false")</f>
        <v>false</v>
      </c>
      <c r="AX92" s="25" t="str">
        <f>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</f>
        <v>VegetarianRoughAnimal</v>
      </c>
      <c r="AY92" s="2">
        <f>IF(_xlfn.XLOOKUP(_xlfn.XLOOKUP(B92,'Base stats'!B:B,'Base stats'!E:E),Groups!A:A,Groups!D:D)=1,MROUND((1-I92)*5+1,2)*IF(I92&lt;=0.4,2,1),"No")</f>
        <v>2</v>
      </c>
      <c r="AZ92" s="2" t="str">
        <f>_xlfn.XLOOKUP(B92,'Base stats'!B:B,'Base stats'!AE:AE)</f>
        <v>Leather_Lizard</v>
      </c>
      <c r="BA92" s="23" t="str">
        <f>_xlfn.XLOOKUP(_xlfn.XLOOKUP(B92,'Base stats'!B:B,'Base stats'!E:E),Groups!A:A,Groups!AL:AL)</f>
        <v>TurtleLike</v>
      </c>
      <c r="BB92" s="23">
        <f>MROUND(IF(AND(AN92&lt;0.5,_xlfn.XLOOKUP(B92,'Base stats'!B:B,'Base stats'!Z:Z)=0),0,IF(OR(_xlfn.XLOOKUP(Animals!B92,'Base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stats'!AA:AA),0.005)</f>
        <v>0</v>
      </c>
      <c r="BC92" s="23">
        <f>MROUND(IF(AND(AN92&lt;0.5,_xlfn.XLOOKUP(B92,'Base stats'!B:B,'Base stats'!Z:Z)=0),0,IF(_xlfn.XLOOKUP(_xlfn.XLOOKUP(B92,'Base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stats'!AB:AB),0.005)</f>
        <v>0</v>
      </c>
      <c r="BD92" s="2" t="str">
        <f>IF(I92&gt;0.3,"No",_xlfn.XLOOKUP(_xlfn.XLOOKUP(Animals!B92,'Base stats'!B:B,'Base stats'!E:E),Groups!A:A,Groups!AP:AP))</f>
        <v>No</v>
      </c>
      <c r="BE92" s="2" t="str">
        <f>IF(AND(I92&lt;=0.65,_xlfn.XLOOKUP(_xlfn.XLOOKUP(Animals!B92,'Base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stats'!O:O)=2,0.2,AN92) + 24*(1-IF(BD92="No",0,BD92)) + 16/3, 12),"No")</f>
        <v>No</v>
      </c>
      <c r="BF92" s="2">
        <f>IF(AND(_xlfn.XLOOKUP(_xlfn.XLOOKUP(B92,'Base stats'!B:B,'Base stats'!E:E),Groups!A:A,Groups!AQ:AQ)=1,AN92&lt;=0.35),8,12)</f>
        <v>12</v>
      </c>
      <c r="BG92" s="2" t="str">
        <f>IF(_xlfn.XLOOKUP(_xlfn.XLOOKUP(B92,'Base stats'!B:B,'Base stats'!E:E),Groups!A:A,Groups!D:D)=0,_xlfn.XLOOKUP(_xlfn.XLOOKUP(B92,'Base stats'!B:B,'Base stats'!E:E),Groups!A:A,Groups!AR:AR),"None")</f>
        <v>None</v>
      </c>
      <c r="BH92" s="2" t="str">
        <f>IF(AND(_xlfn.XLOOKUP(_xlfn.XLOOKUP(B92,'Base stats'!B:B,'Base stats'!E:E),Groups!A:A,Groups!AS:AS)=1,OR('Base stats'!Y92="Carnivore",'Base stats'!Y92="Omnivore")),"true","false")</f>
        <v>false</v>
      </c>
      <c r="BI92" s="2" t="str">
        <f>IF(BH92="true",MROUND(IF(AND(AN92&gt;0.5,_xlfn.XLOOKUP(_xlfn.XLOOKUP(B92,'Base stats'!B:B,'Base stats'!E:E),Groups!A:A,Groups!AJ:AJ)="Mammal"),Animals!AN92*1.75*IF(AV92="true",1.5,1),Animals!AN92),IF(AN92&gt;2,0.5,IF(AN92&gt;0.5,0.25,0.1))),"No")</f>
        <v>No</v>
      </c>
      <c r="BJ92" s="2">
        <f t="shared" si="10"/>
        <v>0</v>
      </c>
      <c r="BK92" s="25">
        <f>IF('Base stats'!AK92="Standard","No",MROUND((_xlfn.XLOOKUP(B92,'Base stats'!B:B,'Base stats'!AK:AK)/3.6)/H92,0.1))</f>
        <v>5.6000000000000005</v>
      </c>
      <c r="BL92" s="25" t="str">
        <f t="shared" si="11"/>
        <v>true</v>
      </c>
      <c r="BM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N92" s="25" t="str" cm="1">
        <f t="array" ref="BN92">IF(
  _xlfn.TEXTJOIN(", ",TRUE,
    IF(AND(BH92="true",AN92&gt;0.5,BG92&lt;&gt;"None"),"AttackTarget",""),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IF(BE92&lt;=36,"Comfort",""),
    IF(_xlfn.XLOOKUP(B92,'Base stats'!B:B,'Base stats'!AC:AC)&lt;&gt;"No",_xlfn.XLOOKUP(B92,'Base stats'!B:B,'Base stats'!AC:AC),"")
  ) = "",
  "No",
  _xlfn.TEXTJOIN(", ",TRUE,
    IF(AND(BH92="true",AN92&gt;0.5,BG92&lt;&gt;"None"),"AttackTarget",""),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IF(BE92&lt;=36,"Comfort",""),
    IF(_xlfn.XLOOKUP(B92,'Base stats'!B:B,'Base stats'!AC:AC)&lt;&gt;"No",_xlfn.XLOOKUP(B92,'Base stats'!B:B,'Base stats'!AC:AC),"")
  )
)</f>
        <v>No</v>
      </c>
      <c r="BO92" s="25">
        <f>IF(
   AND(
      'Base stats'!AK92="Standard",_xlfn.XLOOKUP(_xlfn.XLOOKUP(B92,'Base stats'!B:B,'Base stats'!E:E),Groups!A:A,Groups!AU:AU)=0,
      OR(
      BM92="True"
      )
   ),
   10,
   IF(
       OR(BK92&lt;&gt;"No",_xlfn.XLOOKUP(_xlfn.XLOOKUP(B92,'Base stats'!B:B,'Base stats'!E:E),Groups!A:A,Groups!AU:AU)=1),
      1,
      "No"
   )
)</f>
        <v>1</v>
      </c>
      <c r="BP92" s="9">
        <f>MROUND((1 + ((0.2*IF(OR(P92="No",Q92="No",Q92=0),0,P92/Q92)
+IF(OR(U92="No",R92="No",S92="No"),0,R92/S92*(LEN(U92)-LEN(SUBSTITUTE(U92,",",""))+1))
+IF(OR(W92="No",X92="No"),0,W92/X92)
+IF(OR(AC92="No",AD92="No"),0,AC92/AD92)
+IF(OR(AK92="No",AH92="No",AI92="No"),0,AH92/AI92*(LEN(AK92)-LEN(SUBSTITUTE(AK92,",",""))+1))
)/(0.2*IF(OR(P92="No",Q92="No",Q92=0),0,1)
+IF(OR(U92="No",R92="No",S92="No"),0,LEN(U92)-LEN(SUBSTITUTE(U92,",",""))+1)
+IF(OR(W92="No",X92="No"),0,1)
+IF(OR(AC92="No",AD92="No"),0,1)
+IF(OR(AK92="No",AH92="No",AI92="No"),0,LEN(AK92)-LEN(SUBSTITUTE(AK92,",",""))+1))*62%)* 2)*(1 + (AO92 + _xlfn.XLOOKUP(B92,'Base stats'!B:B,'Base stats'!AS:AS) * 1.8) * 2) * 2.5 + 10 + H92 * 2,5)+IF(_xlfn.XLOOKUP(B92,'Base stats'!B:B,'Base stats'!AH:AH)=1,50,0)</f>
        <v>190</v>
      </c>
      <c r="BQ92" s="8">
        <f t="shared" si="12"/>
        <v>0.5</v>
      </c>
      <c r="BR92" s="8" t="str">
        <f>_xlfn.XLOOKUP(B92,'Base stats'!B:B,'Base stats'!AD:AD)</f>
        <v>No</v>
      </c>
      <c r="BS92" s="2" t="str">
        <f>IF(AND(I92&lt;=0.95,OR(_xlfn.XLOOKUP(B92,'Base stats'!B:B,'Base stats'!AH:AH)=1,_xlfn.XLOOKUP(B92,'Base stats'!B:B,'Base stats'!Y:Y)="Carnivore",_xlfn.XLOOKUP(B92,'Base stats'!B:B,'Base stats'!Y:Y)="Omnivore",BC92&gt;0.1)),"true","false")</f>
        <v>false</v>
      </c>
      <c r="BT92" s="2" t="str">
        <f>IF(_xlfn.XLOOKUP(B92,'Base stats'!B:B,'Base stats'!AF:AF)=1,"true","false")</f>
        <v>false</v>
      </c>
      <c r="BU92" s="25" t="str">
        <f>IF(E92="BaseInsect","AnimalInsect",
IF(I92&gt;0.95,"AnimalExotic",
_xlfn.TEXTJOIN(", ",TRUE,
IF(AND(_xlfn.XLOOKUP(B92,'Base stats'!B:B,'Base stats'!O:O)=0,_xlfn.XLOOKUP(_xlfn.XLOOKUP(B92,'Base stats'!B:B,'Base stats'!E:E),Groups!A:A,Groups!B:B)&gt;0),"AnimalUncommon","AnimalCommon"),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stats'!AH:AH)=1,AND(BG92&lt;&gt;"None",BP92&gt;=60),ISNUMBER(SEARCH("Attack target",BN92))),"AnimalFighter","")
)))</f>
        <v>AnimalUncommon</v>
      </c>
      <c r="BV92" s="25" t="str">
        <f>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</f>
        <v>AridShrubland Desert TropicalRainforest TropicalSwamp Grasslands Glowforest LavaField</v>
      </c>
      <c r="BW92" s="25" t="str">
        <f>IF(_xlfn.XLOOKUP(B92,'Base stats'!B:B,'Base stats'!AG:AG)=1,"true","false")</f>
        <v>true</v>
      </c>
      <c r="BX92" s="25">
        <f>IF(_xlfn.XLOOKUP(B92,'Base stats'!B:B,'Base stats'!N:N)=1,"No",MIN(MROUND(IF(OR(_xlfn.XLOOKUP(B92,'Base stats'!B:B,'Base stats'!AJ:AJ)=1,AND(BH92="True",CA92="False")),POWER(10,3.47*LOG10(_xlfn.XLOOKUP(B92,'Base stats'!B:B,'Base stats'!C:C)*1000)^-0.96),POWER(10,4.15*LOG10(_xlfn.XLOOKUP(B92,'Base stats'!B:B,'Base stats'!C:C)*1000)^-0.73))*IF(OR(_xlfn.XLOOKUP(B92,'Base stats'!B:B,'Base stats'!AJ:AJ)=1,_xlfn.XLOOKUP(B92,'Base stats'!B:B,'Base stats'!AH:AH)=1),0.5,1)/100,0.025),1))</f>
        <v>0.17500000000000002</v>
      </c>
      <c r="BY92" s="25" t="str">
        <f>IF(O92="Standard","No",IF(_xlfn.XLOOKUP(B92,'Base stats'!B:B,'Base stats'!N:N)=0,MROUND(BX92*O92,0.05),MIN(1,MAX(0.025,MROUND(IF(OR(CA92="true",AND(BH92="false",BM92="false")),POWER(10,4.15*LOG10(_xlfn.XLOOKUP(B92,'Base stats'!B:B,'Base stats'!C:C)*1000)^-0.73),POWER(10,3.47*LOG10(_xlfn.XLOOKUP(B92,'Base stats'!B:B,'Base stats'!C:C)*1000)^-0.96))*IF(_xlfn.XLOOKUP(B92,'Base stats'!B:B,'Base stats'!AH:AH)=1,0.5,1)/100,0.025)))))</f>
        <v>No</v>
      </c>
      <c r="BZ92" s="25" t="str">
        <f>IF(_xlfn.XLOOKUP(_xlfn.XLOOKUP(B92,'Base stats'!B:B,'Base stats'!E:E),Groups!A:A,Groups!AJ:AJ)="Mammal","True","False")</f>
        <v>False</v>
      </c>
      <c r="CA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B92" s="25" t="str">
        <f t="shared" si="13"/>
        <v>False</v>
      </c>
      <c r="CC92" s="25" t="str">
        <f>IF(_xlfn.XLOOKUP(_xlfn.XLOOKUP(B92,'Base stats'!B:B,'Base stats'!E:E),Groups!A:A,Groups!AW:AW),"True","False")</f>
        <v>False</v>
      </c>
      <c r="CD92" s="25" t="str">
        <f>IF(_xlfn.XLOOKUP(_xlfn.XLOOKUP(B92,'Base stats'!B:B,'Base stats'!E:E),Groups!A:A,Groups!AX:AX),"True","False")</f>
        <v>False</v>
      </c>
      <c r="CE92" s="25" t="str">
        <f>IF(_xlfn.XLOOKUP(B92,'Base stats'!B:B,'Base stats'!E:E)=1,"True","False")</f>
        <v>False</v>
      </c>
      <c r="CF92" s="25" t="str">
        <f>IF(
OR(
_xlfn.XLOOKUP(_xlfn.XLOOKUP(B92,'Base stats'!B:B,'Base stats'!E:E),Groups!A:A,Groups!AY:AY)=0,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stats'!E:E),Groups!A:A,Groups!AY:AY)=1,
"Flesh",
IF(
_xlfn.XLOOKUP(_xlfn.XLOOKUP(B92,'Base stats'!B:B,'Base stats'!E:E),Groups!A:A,Groups!AY:AY)=2,
"Bone",
""
)
)
)</f>
        <v>No</v>
      </c>
      <c r="CG92" s="25" t="str">
        <f>IF(_xlfn.XLOOKUP(_xlfn.XLOOKUP(B92,'Base stats'!B:B,'Base stats'!E:E),Groups!A:A,Groups!BA:BA),"True","False")</f>
        <v>False</v>
      </c>
      <c r="CH92" s="25" t="str">
        <f>IF(_xlfn.XLOOKUP(_xlfn.XLOOKUP(B92,'Base stats'!B:B,'Base stats'!E:E),Groups!A:A,Groups!AZ:AZ),"True","False")</f>
        <v>False</v>
      </c>
    </row>
    <row r="93" spans="1:86" ht="16.5" thickTop="1" thickBot="1" x14ac:dyDescent="0.3">
      <c r="A93" s="26" t="str">
        <f>_xlfn.XLOOKUP(B93,'Base stats'!B:B,'Base stats'!A:A)</f>
        <v>PrairieDog</v>
      </c>
      <c r="B93" s="6" t="s">
        <v>279</v>
      </c>
      <c r="C93" s="28" t="s">
        <v>785</v>
      </c>
      <c r="D93" s="28" t="s">
        <v>882</v>
      </c>
      <c r="E93" s="28" t="s">
        <v>685</v>
      </c>
      <c r="F93" s="28" t="s">
        <v>685</v>
      </c>
      <c r="G93" s="2">
        <f>MROUND((
  (IF(AND(_xlfn.XLOOKUP(B93,'Base stats'!B:B,'Base stats'!AI:AI)=0,BG93="None",_xlfn.XLOOKUP('Base stats'!E93,Groups!A:A,Groups!B:B)=0), (18 + BP93 * 2.7) * 0.5,
    IF(AND(_xlfn.XLOOKUP(B93,'Base stats'!B:B,'Base stats'!AI:AI)=0,OR(AN93&lt;0.55,AND(BG93="Intermediate",_xlfn.XLOOKUP('Base stats'!E93,Groups!A:A,Groups!B:B)&lt;2))), (18 + BP93 * 2.7),
      IF(OR(BG93="Advanced",_xlfn.XLOOKUP(B93,'Base stats'!B:B,'Base stats'!AI:AI)=1,_xlfn.XLOOKUP('Base stats'!E93,Groups!A:A,Groups!B:B)=2), (18 + BP93 * 2.7) + 250, (18 + BP93 * 2.7))
    )
  ))
  + AN93 * 80
  + IF(COUNTIF(EggMilk!K$2:K$998, A93) &gt; 0, 125, 0)
  + IF(COUNTIF(EggMilk!P$2:P$998, A93) &gt; 0, 90, 0)
  + IF(COUNTIF(EggMilk!A$2:A$998, A93) &gt; 0, 90, 0)
)
* (0.8 + 0.4 * I93)
* 0.75,25)</f>
        <v>50</v>
      </c>
      <c r="H93" s="2">
        <f>MROUND(ROUNDDOWN(_xlfn.XLOOKUP(B93,'Base stats'!B:B,'Base stats'!L:L)/3.6/(23.3/11),1),0.5)</f>
        <v>2.5</v>
      </c>
      <c r="I93" s="2">
        <f>IF(_xlfn.XLOOKUP(B93,'Base stats'!B:B,'Base stats'!AI:AI)=1,0.99,MIN(MROUND((1-0.6282*EXP(-0.459*AN93))*_xlfn.XLOOKUP(_xlfn.XLOOKUP(B93,'Base stats'!B:B,'Base stats'!E:E),Groups!A:A,Groups!C:C)*IF(_xlfn.XLOOKUP(B93,'Base stats'!B:B,'Base stats'!O:O)=1,0.5,IF(_xlfn.XLOOKUP(B93,'Base stats'!B:B,'Base stats'!O:O)=2,0,1)),0.05),0.985))</f>
        <v>0.5</v>
      </c>
      <c r="J93" s="2">
        <f>ROUNDUP(AN93*_xlfn.XLOOKUP(_xlfn.XLOOKUP(B93,'Base stats'!B:B,'Base stats'!E:E),Groups!A:A,Groups!E:E),0)</f>
        <v>1</v>
      </c>
      <c r="K93" s="2">
        <f>IF(OR(_xlfn.XLOOKUP(_xlfn.XLOOKUP(B93,'Base stats'!B:B,'Base stats'!E:E),Groups!A:A,Groups!F:F)=2,ISNUMBER(SEARCH("SeaIce",BV93)),ISNUMBER(SEARCH("IceSheet",BV93))),-50,IF(OR(ISNUMBER(SEARCH("GlacialPlain",BV93)),ISNUMBER(SEARCH("Tundra",BV93))),-40,IF(OR(ISNUMBER(SEARCH("Alpine",BV93)),ISNUMBER(SEARCH("BorealForest",BV93)),ISNUMBER(SEARCH("ColdBog",BV93))),-30,IF(OR(ISNUMBER(SEARCH("TemperateForest",BV93)),ISNUMBER(SEARCH("TemperateSwamp",BV93))),-20,IF(_xlfn.XLOOKUP(_xlfn.XLOOKUP(B93,'Base stats'!B:B,'Base stats'!E:E),Groups!A:A,Groups!F:F)=1,-15,IF(OR(ISNUMBER(SEARCH("Desert",BV93)),ISNUMBER(SEARCH("ExtremeDesert",BV93))),-10,IF(OR(ISNUMBER(SEARCH("Grasslands",BV93)),ISNUMBER(SEARCH("TropicalRainforest",BV93)),ISNUMBER(SEARCH("TropicalSwamp",BV93))),10,0)))))))-IF(CA93="False",MIN(IFERROR(MAX(MROUND(LOG10(_xlfn.XLOOKUP(B93,'Base stats'!B:B,'Base stats'!C:C)^(2/3))*10,5),5),5),30))-_xlfn.XLOOKUP(B93,'Base stats'!B:B,'Base stats'!P:P)+IF(CA93="True",5,0)</f>
        <v>5</v>
      </c>
      <c r="L93" s="2">
        <f>IF(OR(_xlfn.XLOOKUP(_xlfn.XLOOKUP(B93,'Base stats'!B:B,'Base stats'!E:E),Groups!A:A,Groups!G:G)=2,ISNUMBER(SEARCH("Desert",BV93)),ISNUMBER(SEARCH("ExtremeDesert",BV93)),ISNUMBER(SEARCH("LavaField",BV93))),50,IF(ISNUMBER(SEARCH("Grasslands",BV93)),45,IF(OR(_xlfn.XLOOKUP(_xlfn.XLOOKUP(B93,'Base stats'!B:B,'Base stats'!E:E),Groups!A:A,Groups!G:G)=1,ISNUMBER(SEARCH("TropicalRainforest",BV93)),ISNUMBER(SEARCH("TropicalSwamp",BV93))),40,IF(OR(ISNUMBER(SEARCH("TemperateForest",BV93)),ISNUMBER(SEARCH("TemperateSwamp",BV93))),35,IF(OR(ISNUMBER(SEARCH("Alpine",BV93)),ISNUMBER(SEARCH("BorealForest",BV93)),ISNUMBER(SEARCH("ColdBog",BV93))),30,IF(ISNUMBER(OR(ISNUMBER(SEARCH("GlacialPlain",BV93)),SEARCH("Tundra",BV93))),25,IF(OR(ISNUMBER(SEARCH("SeaIce",BV93)),ISNUMBER(SEARCH("IceSheet",BV93)),ISNUMBER(SEARCH("TropicalSwamp",BV93))),10,35)))))))+_xlfn.XLOOKUP(B93,'Base stats'!B:B,'Base stats'!Q:Q)</f>
        <v>45</v>
      </c>
      <c r="M93" s="8" t="str">
        <f>IF(_xlfn.XLOOKUP(_xlfn.XLOOKUP(B93,'Base stats'!B:B,'Base stats'!E:E),Groups!A:A,Groups!L:L)=1,MIN(MROUND(_xlfn.XLOOKUP(B93,'Animals CE'!B:B,'Animals CE'!Z:Z)/2+0.05,0.05),200%),"No")</f>
        <v>No</v>
      </c>
      <c r="N93" s="8" t="str">
        <f>IF(_xlfn.XLOOKUP(_xlfn.XLOOKUP(B93,'Base stats'!B:B,'Base stats'!E:E),Groups!A:A,Groups!L:L)=1,MIN(MROUND(_xlfn.XLOOKUP(B93,'Animals CE'!B:B,'Animals CE'!AA:AA)/2+0.05,0.05),200%),"No")</f>
        <v>No</v>
      </c>
      <c r="O93" s="2" t="str">
        <f>_xlfn.XLOOKUP(B93,'Base stats'!B:B,'Base stats'!R:R)</f>
        <v>Standard</v>
      </c>
      <c r="P93" s="13">
        <f>MROUND((LOG10(_xlfn.XLOOKUP(B93,'Base stats'!B:B,'Base stats'!AO:AO))*(AN93^0.5)+(_xlfn.XLOOKUP(B93,'Base stats'!B:B,'Base stats'!AO:AO)/1000)^(2/3)+_xlfn.XLOOKUP(B93,'Base stats'!B:B,'Base stats'!AX:AX)/2)+0.5,0.5)</f>
        <v>1.5</v>
      </c>
      <c r="Q93" s="7">
        <f>IF(P93="No","No",MAX(1,MROUND(_xlfn.XLOOKUP(B93,'Base stats'!B:B,'Base stats'!C:C)^0.165,0.05)))</f>
        <v>1.05</v>
      </c>
      <c r="R93" s="13" t="str">
        <f>IF(_xlfn.XLOOKUP(_xlfn.XLOOKUP(B93,'Base stats'!B:B,'Base stats'!E:E),Groups!A:A,Groups!P:P)=0,"No",MROUND((LOG10(_xlfn.XLOOKUP(B93,'Base stats'!B:B,'Base stats'!AP:AP))*(AN93^0.5)+(_xlfn.XLOOKUP(B93,'Base stats'!B:B,'Base stats'!AP:AP)/1000)^(2/3)+_xlfn.XLOOKUP(B93,'Base stats'!B:B,'Base stats'!AX:AX))+_xlfn.XLOOKUP(B93,'Base stats'!B:B,'Base stats'!AV:AV)+0.5,0.5))</f>
        <v>No</v>
      </c>
      <c r="S93" s="7" t="str">
        <f>IF(R93="No","No",MAX(_xlfn.XLOOKUP(_xlfn.XLOOKUP(B93,'Base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T93" s="7" t="str">
        <f>IF(R93="No","No",_xlfn.XLOOKUP(_xlfn.XLOOKUP(B93,'Base stats'!B:B,'Base stats'!E:E),Groups!A:A,Groups!R:R))</f>
        <v>No</v>
      </c>
      <c r="U93" s="7" t="str">
        <f>IF(R93="No","No",_xlfn.XLOOKUP(_xlfn.XLOOKUP(B93,'Base stats'!B:B,'Base stats'!E:E),Groups!A:A,Groups!S:S))</f>
        <v>No</v>
      </c>
      <c r="V93" s="7" t="str">
        <f>IF(R93="No","No",_xlfn.XLOOKUP(_xlfn.XLOOKUP(B93,'Base stats'!B:B,'Base stats'!E:E),Groups!A:A,Groups!T:T))</f>
        <v>No</v>
      </c>
      <c r="W93" s="13" t="str">
        <f>IF(_xlfn.XLOOKUP(B93,'Base stats'!B:B,'Base stats'!W:W)="No","No",MROUND((LOG10(_xlfn.XLOOKUP(B93,'Base stats'!B:B,'Base stats'!AR:AR))*(AN93^0.5)+(_xlfn.XLOOKUP(B93,'Base stats'!B:B,'Base stats'!AR:AR)/1000)^(2/3)+_xlfn.XLOOKUP(B93,'Base stats'!B:B,'Base stats'!AW:AW))+0.5+IF(_xlfn.XLOOKUP(_xlfn.XLOOKUP(B93,'Base stats'!B:B,'Base stats'!E:E),Groups!A:A,Groups!U:U)&lt;&gt;3,_xlfn.XLOOKUP(B93,'Base stats'!B:B,'Base stats'!AX:AX),0),0.5))</f>
        <v>No</v>
      </c>
      <c r="X93" s="7" t="str">
        <f>IF(W93="No","No",MAX(_xlfn.XLOOKUP(_xlfn.XLOOKUP(B93,'Base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Y93" s="7" t="str">
        <f>IF(W93="No","No",_xlfn.XLOOKUP(_xlfn.XLOOKUP(B93,'Base stats'!B:B,'Base stats'!E:E),Groups!A:A,Groups!W:W))</f>
        <v>No</v>
      </c>
      <c r="Z93" s="7" t="str">
        <f>IF(W93="No","No",_xlfn.XLOOKUP(_xlfn.XLOOKUP(B93,'Base stats'!B:B,'Base stats'!E:E),Groups!A:A,Groups!X:X))</f>
        <v>No</v>
      </c>
      <c r="AA93" s="7" t="str">
        <f>IF(W93="No","No",_xlfn.XLOOKUP(_xlfn.XLOOKUP(B93,'Base stats'!B:B,'Base stats'!E:E),Groups!A:A,Groups!Y:Y))</f>
        <v>No</v>
      </c>
      <c r="AB93" s="7" t="str">
        <f>_xlfn.XLOOKUP(Animals!B93,'Base stats'!B:B,'Base stats'!X:X)</f>
        <v>False</v>
      </c>
      <c r="AC93" s="13">
        <f>IF(_xlfn.XLOOKUP(B93,'Base stats'!B:B,'Base stats'!AQ:AQ)="No","No",MROUND((LOG10(_xlfn.XLOOKUP(B93,'Base stats'!B:B,'Base stats'!AQ:AQ))*(AN93^0.75)+(_xlfn.XLOOKUP(B93,'Base stats'!B:B,'Base stats'!AQ:AQ)/1000)^(2/3)+_xlfn.XLOOKUP(B93,'Base stats'!B:B,'Base stats'!AU:AU)+_xlfn.XLOOKUP(B93,'Base stats'!B:B,'Base stats'!AX:AX))+0.5,0.5))</f>
        <v>2</v>
      </c>
      <c r="AD93" s="7">
        <f>IF(AC93="No","No",MAX(_xlfn.XLOOKUP(_xlfn.XLOOKUP(B93,'Base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1</v>
      </c>
      <c r="AE93" s="7" t="str">
        <f>IF(AC93="No","No",_xlfn.XLOOKUP(_xlfn.XLOOKUP(B93,'Base stats'!B:B,'Base stats'!E:E),Groups!A:A,Groups!AA:AA))</f>
        <v>Teeth</v>
      </c>
      <c r="AF93" s="7" t="str">
        <f>IF(AC93="No","No",_xlfn.XLOOKUP(_xlfn.XLOOKUP(B93,'Base stats'!B:B,'Base stats'!E:E),Groups!A:A,Groups!AB:AB))</f>
        <v>Incisors</v>
      </c>
      <c r="AG93" s="7" t="str">
        <f>IF(AC93="No","No",_xlfn.XLOOKUP(_xlfn.XLOOKUP(B93,'Base stats'!B:B,'Base stats'!E:E),Groups!A:A,Groups!AC:AC))</f>
        <v>Bite</v>
      </c>
      <c r="AH93" s="13" t="str">
        <f>IF(_xlfn.XLOOKUP(_xlfn.XLOOKUP(B93,'Base stats'!B:B,'Base stats'!E:E),Groups!A:A,Groups!AD:AD)=0,"No",MROUND((LOG10(_xlfn.XLOOKUP(B93,'Base stats'!B:B,'Base stats'!AP:AP))*(AN93^0.75)+(_xlfn.XLOOKUP(B93,'Base stats'!B:B,'Base stats'!AP:AP)/1000)^(2/3)+_xlfn.XLOOKUP(B93,'Base stats'!B:B,'Base stats'!AV:AV)+_xlfn.XLOOKUP(B93,'Base stats'!B:B,'Base stats'!AX:AX))+0.5,0.5))</f>
        <v>No</v>
      </c>
      <c r="AI93" s="7" t="str">
        <f>IF(AH93="No","No",MAX(_xlfn.XLOOKUP(_xlfn.XLOOKUP(B93,'Base stats'!B:B,'Base stats'!E:E),Groups!A:A,Groups!AE:AE),MROUND(_xlfn.XLOOKUP(_xlfn.XLOOKUP(B93,'Base stats'!B:B,'Base stats'!E:E),Groups!A:A,Groups!AE:AE)*_xlfn.XLOOKUP(B93,'Base stats'!B:B,'Base stats'!C:C)^0.165,0.05)))</f>
        <v>No</v>
      </c>
      <c r="AJ93" s="7" t="str">
        <f>IF(AH93="No","No",_xlfn.XLOOKUP(_xlfn.XLOOKUP(B93,'Base stats'!B:B,'Base stats'!E:E),Groups!A:A,Groups!AF:AF))</f>
        <v>No</v>
      </c>
      <c r="AK93" s="7" t="str">
        <f>IF(AH93="No","No",_xlfn.XLOOKUP(_xlfn.XLOOKUP(B93,'Base stats'!B:B,'Base stats'!E:E),Groups!A:A,Groups!AG:AG))</f>
        <v>No</v>
      </c>
      <c r="AL93" s="7" t="str">
        <f>IF(AH93="No","No",_xlfn.XLOOKUP(_xlfn.XLOOKUP(B93,'Base stats'!B:B,'Base stats'!E:E),Groups!A:A,Groups!AH:AH))</f>
        <v>No</v>
      </c>
      <c r="AM93" s="2" t="str">
        <f t="shared" si="7"/>
        <v>No</v>
      </c>
      <c r="AN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O93" s="8">
        <f>MROUND(AN93*_xlfn.XLOOKUP(_xlfn.XLOOKUP(B93,'Base stats'!B:B,'Base stats'!E:E),Groups!A:A,Groups!AI:AI),0.05)</f>
        <v>0.15000000000000002</v>
      </c>
      <c r="AP93" s="8">
        <f>MAX(0.01,MROUND(IF(CA93="True",0.196*(AN93*100*1000)^0.889,IF(_xlfn.XLOOKUP(_xlfn.XLOOKUP(B93,'Base stats'!B:B,'Base stats'!E:E),Groups!A:A,Groups!AJ:AJ)="Bird",10.5*(AN93*100*1000)^0.681,4.82*(AN93*100*1000)^0.734))/(4.82*(1*100*1000)^0.734)/IF(AN93&lt;3.5,2,IF(AN93=3.5,1.5,1.25))*(1+0.132282374779864/(AN93^0.994035016789033+0.00905238001496948)),0.05))</f>
        <v>0.25</v>
      </c>
      <c r="AQ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R93" s="35">
        <f>IFERROR(IF(_xlfn.XLOOKUP(B93,'Base stats'!B:B,'Base stats'!F:F)="Lay eggs","Lay eggs",MIN(20,MAX(5.5,ROUND(((_xlfn.XLOOKUP(B93,'Base stats'!B:B,'Base stats'!F:F)-25)*(14.5/615) + 5.5)*2,0)/2))),"Cannot breed")</f>
        <v>5.5</v>
      </c>
      <c r="AS93" s="8">
        <f>IF(OR(A93="Queen",A93="Larva",A93="Megachicken"),"No",IFERROR(MAX(IF(_xlfn.XLOOKUP(B93,'Base stats'!B:B,'Base stats'!G:G)&lt;0.5,0.2,0.3),MROUND(_xlfn.XLOOKUP(B93,'Base stats'!B:B,'Base stats'!G:G)/(365/60),0.2)),"Unknown"))</f>
        <v>0.4</v>
      </c>
      <c r="AT93" s="8">
        <f t="shared" si="8"/>
        <v>0.2</v>
      </c>
      <c r="AU93" s="8">
        <f>IFERROR(IFERROR(MROUND(_xlfn.XLOOKUP(B93,'Base stats'!B:B,'Base stats'!J:J),0.1),"Lay eggs"),"Cannot breed")</f>
        <v>4</v>
      </c>
      <c r="AV93" s="2" t="str">
        <f t="shared" si="9"/>
        <v>true</v>
      </c>
      <c r="AW93" s="2" t="str">
        <f>IF(_xlfn.XLOOKUP(_xlfn.XLOOKUP(Animals!B93,'Base stats'!B:B,'Base stats'!E:E),Groups!A:A,Groups!AK:AK)=1,"true","false")</f>
        <v>false</v>
      </c>
      <c r="AX93" s="25" t="str">
        <f>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</f>
        <v>VegetarianRoughAnimal</v>
      </c>
      <c r="AY93" s="2" t="str">
        <f>IF(_xlfn.XLOOKUP(_xlfn.XLOOKUP(B93,'Base stats'!B:B,'Base stats'!E:E),Groups!A:A,Groups!D:D)=1,MROUND((1-I93)*5+1,2)*IF(I93&lt;=0.4,2,1),"No")</f>
        <v>No</v>
      </c>
      <c r="AZ93" s="2" t="str">
        <f>_xlfn.XLOOKUP(B93,'Base stats'!B:B,'Base stats'!AE:AE)</f>
        <v>Leather_Light</v>
      </c>
      <c r="BA93" s="23" t="str">
        <f>_xlfn.XLOOKUP(_xlfn.XLOOKUP(B93,'Base stats'!B:B,'Base stats'!E:E),Groups!A:A,Groups!AL:AL)</f>
        <v>QuadrupedAnimalWithPawsAndTail</v>
      </c>
      <c r="BB93" s="23">
        <f>MROUND(IF(AND(AN93&lt;0.5,_xlfn.XLOOKUP(B93,'Base stats'!B:B,'Base stats'!Z:Z)=0),0,IF(OR(_xlfn.XLOOKUP(Animals!B93,'Base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stats'!AA:AA),0.005)</f>
        <v>0</v>
      </c>
      <c r="BC93" s="23">
        <f>MROUND(IF(AND(AN93&lt;0.5,_xlfn.XLOOKUP(B93,'Base stats'!B:B,'Base stats'!Z:Z)=0),0,IF(_xlfn.XLOOKUP(_xlfn.XLOOKUP(B93,'Base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stats'!AB:AB),0.005)</f>
        <v>0</v>
      </c>
      <c r="BD93" s="2" t="str">
        <f>IF(I93&gt;0.3,"No",_xlfn.XLOOKUP(_xlfn.XLOOKUP(Animals!B93,'Base stats'!B:B,'Base stats'!E:E),Groups!A:A,Groups!AP:AP))</f>
        <v>No</v>
      </c>
      <c r="BE93" s="2">
        <f>IF(AND(I93&lt;=0.65,_xlfn.XLOOKUP(_xlfn.XLOOKUP(Animals!B93,'Base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stats'!O:O)=2,0.2,AN93) + 24*(1-IF(BD93="No",0,BD93)) + 16/3, 12),"No")</f>
        <v>36</v>
      </c>
      <c r="BF93" s="2">
        <f>IF(AND(_xlfn.XLOOKUP(_xlfn.XLOOKUP(B93,'Base stats'!B:B,'Base stats'!E:E),Groups!A:A,Groups!AQ:AQ)=1,AN93&lt;=0.35),8,12)</f>
        <v>8</v>
      </c>
      <c r="BG93" s="2" t="str">
        <f>IF(_xlfn.XLOOKUP(_xlfn.XLOOKUP(B93,'Base stats'!B:B,'Base stats'!E:E),Groups!A:A,Groups!D:D)=0,_xlfn.XLOOKUP(_xlfn.XLOOKUP(B93,'Base stats'!B:B,'Base stats'!E:E),Groups!A:A,Groups!AR:AR),"None")</f>
        <v>None</v>
      </c>
      <c r="BH93" s="2" t="str">
        <f>IF(AND(_xlfn.XLOOKUP(_xlfn.XLOOKUP(B93,'Base stats'!B:B,'Base stats'!E:E),Groups!A:A,Groups!AS:AS)=1,OR('Base stats'!Y93="Carnivore",'Base stats'!Y93="Omnivore")),"true","false")</f>
        <v>false</v>
      </c>
      <c r="BI93" s="2" t="str">
        <f>IF(BH93="true",MROUND(IF(AND(AN93&gt;0.5,_xlfn.XLOOKUP(_xlfn.XLOOKUP(B93,'Base stats'!B:B,'Base stats'!E:E),Groups!A:A,Groups!AJ:AJ)="Mammal"),Animals!AN93*1.75*IF(AV93="true",1.5,1),Animals!AN93),IF(AN93&gt;2,0.5,IF(AN93&gt;0.5,0.25,0.1))),"No")</f>
        <v>No</v>
      </c>
      <c r="BJ93" s="2">
        <f t="shared" si="10"/>
        <v>0</v>
      </c>
      <c r="BK93" s="25" t="str">
        <f>IF('Base stats'!AK93="Standard","No",MROUND((_xlfn.XLOOKUP(B93,'Base stats'!B:B,'Base stats'!AK:AK)/3.6)/H93,0.1))</f>
        <v>No</v>
      </c>
      <c r="BL93" s="25" t="str">
        <f t="shared" si="11"/>
        <v>false</v>
      </c>
      <c r="BM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N93" s="25" t="str" cm="1">
        <f t="array" ref="BN93">IF(
  _xlfn.TEXTJOIN(", ",TRUE,
    IF(AND(BH93="true",AN93&gt;0.5,BG93&lt;&gt;"None"),"AttackTarget",""),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IF(BE93&lt;=36,"Comfort",""),
    IF(_xlfn.XLOOKUP(B93,'Base stats'!B:B,'Base stats'!AC:AC)&lt;&gt;"No",_xlfn.XLOOKUP(B93,'Base stats'!B:B,'Base stats'!AC:AC),"")
  ) = "",
  "No",
  _xlfn.TEXTJOIN(", ",TRUE,
    IF(AND(BH93="true",AN93&gt;0.5,BG93&lt;&gt;"None"),"AttackTarget",""),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IF(BE93&lt;=36,"Comfort",""),
    IF(_xlfn.XLOOKUP(B93,'Base stats'!B:B,'Base stats'!AC:AC)&lt;&gt;"No",_xlfn.XLOOKUP(B93,'Base stats'!B:B,'Base stats'!AC:AC),"")
  )
)</f>
        <v>Comfort</v>
      </c>
      <c r="BO93" s="25" t="str">
        <f>IF(
   AND(
      'Base stats'!AK93="Standard",_xlfn.XLOOKUP(_xlfn.XLOOKUP(B93,'Base stats'!B:B,'Base stats'!E:E),Groups!A:A,Groups!AU:AU)=0,
      OR(
      BM93="True"
      )
   ),
   10,
   IF(
       OR(BK93&lt;&gt;"No",_xlfn.XLOOKUP(_xlfn.XLOOKUP(B93,'Base stats'!B:B,'Base stats'!E:E),Groups!A:A,Groups!AU:AU)=1),
      1,
      "No"
   )
)</f>
        <v>No</v>
      </c>
      <c r="BP93" s="9">
        <f>MROUND((1 + ((0.2*IF(OR(P93="No",Q93="No",Q93=0),0,P93/Q93)
+IF(OR(U93="No",R93="No",S93="No"),0,R93/S93*(LEN(U93)-LEN(SUBSTITUTE(U93,",",""))+1))
+IF(OR(W93="No",X93="No"),0,W93/X93)
+IF(OR(AC93="No",AD93="No"),0,AC93/AD93)
+IF(OR(AK93="No",AH93="No",AI93="No"),0,AH93/AI93*(LEN(AK93)-LEN(SUBSTITUTE(AK93,",",""))+1))
)/(0.2*IF(OR(P93="No",Q93="No",Q93=0),0,1)
+IF(OR(U93="No",R93="No",S93="No"),0,LEN(U93)-LEN(SUBSTITUTE(U93,",",""))+1)
+IF(OR(W93="No",X93="No"),0,1)
+IF(OR(AC93="No",AD93="No"),0,1)
+IF(OR(AK93="No",AH93="No",AI93="No"),0,LEN(AK93)-LEN(SUBSTITUTE(AK93,",",""))+1))*62%)* 2)*(1 + (AO93 + _xlfn.XLOOKUP(B93,'Base stats'!B:B,'Base stats'!AS:AS) * 1.8) * 2) * 2.5 + 10 + H93 * 2,5)+IF(_xlfn.XLOOKUP(B93,'Base stats'!B:B,'Base stats'!AH:AH)=1,50,0)</f>
        <v>25</v>
      </c>
      <c r="BQ93" s="8">
        <f t="shared" si="12"/>
        <v>0.25</v>
      </c>
      <c r="BR93" s="8" t="str">
        <f>_xlfn.XLOOKUP(B93,'Base stats'!B:B,'Base stats'!AD:AD)</f>
        <v>5~15</v>
      </c>
      <c r="BS93" s="2" t="str">
        <f>IF(AND(I93&lt;=0.95,OR(_xlfn.XLOOKUP(B93,'Base stats'!B:B,'Base stats'!AH:AH)=1,_xlfn.XLOOKUP(B93,'Base stats'!B:B,'Base stats'!Y:Y)="Carnivore",_xlfn.XLOOKUP(B93,'Base stats'!B:B,'Base stats'!Y:Y)="Omnivore",BC93&gt;0.1)),"true","false")</f>
        <v>false</v>
      </c>
      <c r="BT93" s="2" t="str">
        <f>IF(_xlfn.XLOOKUP(B93,'Base stats'!B:B,'Base stats'!AF:AF)=1,"true","false")</f>
        <v>false</v>
      </c>
      <c r="BU93" s="25" t="str">
        <f>IF(E93="BaseInsect","AnimalInsect",
IF(I93&gt;0.95,"AnimalExotic",
_xlfn.TEXTJOIN(", ",TRUE,
IF(AND(_xlfn.XLOOKUP(B93,'Base stats'!B:B,'Base stats'!O:O)=0,_xlfn.XLOOKUP(_xlfn.XLOOKUP(B93,'Base stats'!B:B,'Base stats'!E:E),Groups!A:A,Groups!B:B)&gt;0),"AnimalUncommon","AnimalCommon"),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stats'!AH:AH)=1,AND(BG93&lt;&gt;"None",BP93&gt;=60),ISNUMBER(SEARCH("Attack target",BN93))),"AnimalFighter","")
)))</f>
        <v>AnimalCommon</v>
      </c>
      <c r="BV93" s="25" t="str">
        <f>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</f>
        <v>Grasslands</v>
      </c>
      <c r="BW93" s="25" t="str">
        <f>IF(_xlfn.XLOOKUP(B93,'Base stats'!B:B,'Base stats'!AG:AG)=1,"true","false")</f>
        <v>false</v>
      </c>
      <c r="BX93" s="25">
        <f>IF(_xlfn.XLOOKUP(B93,'Base stats'!B:B,'Base stats'!N:N)=1,"No",MIN(MROUND(IF(OR(_xlfn.XLOOKUP(B93,'Base stats'!B:B,'Base stats'!AJ:AJ)=1,AND(BH93="True",CA93="False")),POWER(10,3.47*LOG10(_xlfn.XLOOKUP(B93,'Base stats'!B:B,'Base stats'!C:C)*1000)^-0.96),POWER(10,4.15*LOG10(_xlfn.XLOOKUP(B93,'Base stats'!B:B,'Base stats'!C:C)*1000)^-0.73))*IF(OR(_xlfn.XLOOKUP(B93,'Base stats'!B:B,'Base stats'!AJ:AJ)=1,_xlfn.XLOOKUP(B93,'Base stats'!B:B,'Base stats'!AH:AH)=1),0.5,1)/100,0.025),1))</f>
        <v>0.625</v>
      </c>
      <c r="BY93" s="25" t="str">
        <f>IF(O93="Standard","No",IF(_xlfn.XLOOKUP(B93,'Base stats'!B:B,'Base stats'!N:N)=0,MROUND(BX93*O93,0.05),MIN(1,MAX(0.025,MROUND(IF(OR(CA93="true",AND(BH93="false",BM93="false")),POWER(10,4.15*LOG10(_xlfn.XLOOKUP(B93,'Base stats'!B:B,'Base stats'!C:C)*1000)^-0.73),POWER(10,3.47*LOG10(_xlfn.XLOOKUP(B93,'Base stats'!B:B,'Base stats'!C:C)*1000)^-0.96))*IF(_xlfn.XLOOKUP(B93,'Base stats'!B:B,'Base stats'!AH:AH)=1,0.5,1)/100,0.025)))))</f>
        <v>No</v>
      </c>
      <c r="BZ93" s="25" t="str">
        <f>IF(_xlfn.XLOOKUP(_xlfn.XLOOKUP(B93,'Base stats'!B:B,'Base stats'!E:E),Groups!A:A,Groups!AJ:AJ)="Mammal","True","False")</f>
        <v>True</v>
      </c>
      <c r="CA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B93" s="25" t="str">
        <f t="shared" si="13"/>
        <v>False</v>
      </c>
      <c r="CC93" s="25" t="str">
        <f>IF(_xlfn.XLOOKUP(_xlfn.XLOOKUP(B93,'Base stats'!B:B,'Base stats'!E:E),Groups!A:A,Groups!AW:AW),"True","False")</f>
        <v>False</v>
      </c>
      <c r="CD93" s="25" t="str">
        <f>IF(_xlfn.XLOOKUP(_xlfn.XLOOKUP(B93,'Base stats'!B:B,'Base stats'!E:E),Groups!A:A,Groups!AX:AX),"True","False")</f>
        <v>False</v>
      </c>
      <c r="CE93" s="25" t="str">
        <f>IF(_xlfn.XLOOKUP(B93,'Base stats'!B:B,'Base stats'!E:E)=1,"True","False")</f>
        <v>False</v>
      </c>
      <c r="CF93" s="25" t="str">
        <f>IF(
OR(
_xlfn.XLOOKUP(_xlfn.XLOOKUP(B93,'Base stats'!B:B,'Base stats'!E:E),Groups!A:A,Groups!AY:AY)=0,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stats'!E:E),Groups!A:A,Groups!AY:AY)=1,
"Flesh",
IF(
_xlfn.XLOOKUP(_xlfn.XLOOKUP(B93,'Base stats'!B:B,'Base stats'!E:E),Groups!A:A,Groups!AY:AY)=2,
"Bone",
""
)
)
)</f>
        <v>No</v>
      </c>
      <c r="CG93" s="25" t="str">
        <f>IF(_xlfn.XLOOKUP(_xlfn.XLOOKUP(B93,'Base stats'!B:B,'Base stats'!E:E),Groups!A:A,Groups!BA:BA),"True","False")</f>
        <v>True</v>
      </c>
      <c r="CH93" s="25" t="str">
        <f>IF(_xlfn.XLOOKUP(_xlfn.XLOOKUP(B93,'Base stats'!B:B,'Base stats'!E:E),Groups!A:A,Groups!AZ:AZ),"True","False")</f>
        <v>False</v>
      </c>
    </row>
    <row r="94" spans="1:86" ht="16.5" thickTop="1" thickBot="1" x14ac:dyDescent="0.3">
      <c r="A94" s="26" t="str">
        <f>_xlfn.XLOOKUP(B94,'Base stats'!B:B,'Base stats'!A:A)</f>
        <v>Porcupine</v>
      </c>
      <c r="B94" s="6" t="s">
        <v>269</v>
      </c>
      <c r="C94" s="28" t="s">
        <v>786</v>
      </c>
      <c r="D94" s="28" t="s">
        <v>882</v>
      </c>
      <c r="E94" s="28" t="s">
        <v>685</v>
      </c>
      <c r="F94" s="28" t="s">
        <v>685</v>
      </c>
      <c r="G94" s="2">
        <f>MROUND((
  (IF(AND(_xlfn.XLOOKUP(B94,'Base stats'!B:B,'Base stats'!AI:AI)=0,BG94="None",_xlfn.XLOOKUP('Base stats'!E94,Groups!A:A,Groups!B:B)=0), (18 + BP94 * 2.7) * 0.5,
    IF(AND(_xlfn.XLOOKUP(B94,'Base stats'!B:B,'Base stats'!AI:AI)=0,OR(AN94&lt;0.55,AND(BG94="Intermediate",_xlfn.XLOOKUP('Base stats'!E94,Groups!A:A,Groups!B:B)&lt;2))), (18 + BP94 * 2.7),
      IF(OR(BG94="Advanced",_xlfn.XLOOKUP(B94,'Base stats'!B:B,'Base stats'!AI:AI)=1,_xlfn.XLOOKUP('Base stats'!E94,Groups!A:A,Groups!B:B)=2), (18 + BP94 * 2.7) + 250, (18 + BP94 * 2.7))
    )
  ))
  + AN94 * 80
  + IF(COUNTIF(EggMilk!K$2:K$998, A94) &gt; 0, 125, 0)
  + IF(COUNTIF(EggMilk!P$2:P$998, A94) &gt; 0, 90, 0)
  + IF(COUNTIF(EggMilk!A$2:A$998, A94) &gt; 0, 90, 0)
)
* (0.8 + 0.4 * I94)
* 0.75,25)</f>
        <v>100</v>
      </c>
      <c r="H94" s="2">
        <f>MROUND(ROUNDDOWN(_xlfn.XLOOKUP(B94,'Base stats'!B:B,'Base stats'!L:L)/3.6/(23.3/11),1),0.5)</f>
        <v>2</v>
      </c>
      <c r="I94" s="2">
        <f>IF(_xlfn.XLOOKUP(B94,'Base stats'!B:B,'Base stats'!AI:AI)=1,0.99,MIN(MROUND((1-0.6282*EXP(-0.459*AN94))*_xlfn.XLOOKUP(_xlfn.XLOOKUP(B94,'Base stats'!B:B,'Base stats'!E:E),Groups!A:A,Groups!C:C)*IF(_xlfn.XLOOKUP(B94,'Base stats'!B:B,'Base stats'!O:O)=1,0.5,IF(_xlfn.XLOOKUP(B94,'Base stats'!B:B,'Base stats'!O:O)=2,0,1)),0.05),0.985))</f>
        <v>0.65</v>
      </c>
      <c r="J94" s="2">
        <f>ROUNDUP(AN94*_xlfn.XLOOKUP(_xlfn.XLOOKUP(B94,'Base stats'!B:B,'Base stats'!E:E),Groups!A:A,Groups!E:E),0)</f>
        <v>1</v>
      </c>
      <c r="K94" s="2">
        <f>IF(OR(_xlfn.XLOOKUP(_xlfn.XLOOKUP(B94,'Base stats'!B:B,'Base stats'!E:E),Groups!A:A,Groups!F:F)=2,ISNUMBER(SEARCH("SeaIce",BV94)),ISNUMBER(SEARCH("IceSheet",BV94))),-50,IF(OR(ISNUMBER(SEARCH("GlacialPlain",BV94)),ISNUMBER(SEARCH("Tundra",BV94))),-40,IF(OR(ISNUMBER(SEARCH("Alpine",BV94)),ISNUMBER(SEARCH("BorealForest",BV94)),ISNUMBER(SEARCH("ColdBog",BV94))),-30,IF(OR(ISNUMBER(SEARCH("TemperateForest",BV94)),ISNUMBER(SEARCH("TemperateSwamp",BV94))),-20,IF(_xlfn.XLOOKUP(_xlfn.XLOOKUP(B94,'Base stats'!B:B,'Base stats'!E:E),Groups!A:A,Groups!F:F)=1,-15,IF(OR(ISNUMBER(SEARCH("Desert",BV94)),ISNUMBER(SEARCH("ExtremeDesert",BV94))),-10,IF(OR(ISNUMBER(SEARCH("Grasslands",BV94)),ISNUMBER(SEARCH("TropicalRainforest",BV94)),ISNUMBER(SEARCH("TropicalSwamp",BV94))),10,0)))))))-IF(CA94="False",MIN(IFERROR(MAX(MROUND(LOG10(_xlfn.XLOOKUP(B94,'Base stats'!B:B,'Base stats'!C:C)^(2/3))*10,5),5),5),30))-_xlfn.XLOOKUP(B94,'Base stats'!B:B,'Base stats'!P:P)+IF(CA94="True",5,0)</f>
        <v>-50</v>
      </c>
      <c r="L94" s="2">
        <f>IF(OR(_xlfn.XLOOKUP(_xlfn.XLOOKUP(B94,'Base stats'!B:B,'Base stats'!E:E),Groups!A:A,Groups!G:G)=2,ISNUMBER(SEARCH("Desert",BV94)),ISNUMBER(SEARCH("ExtremeDesert",BV94)),ISNUMBER(SEARCH("LavaField",BV94))),50,IF(ISNUMBER(SEARCH("Grasslands",BV94)),45,IF(OR(_xlfn.XLOOKUP(_xlfn.XLOOKUP(B94,'Base stats'!B:B,'Base stats'!E:E),Groups!A:A,Groups!G:G)=1,ISNUMBER(SEARCH("TropicalRainforest",BV94)),ISNUMBER(SEARCH("TropicalSwamp",BV94))),40,IF(OR(ISNUMBER(SEARCH("TemperateForest",BV94)),ISNUMBER(SEARCH("TemperateSwamp",BV94))),35,IF(OR(ISNUMBER(SEARCH("Alpine",BV94)),ISNUMBER(SEARCH("BorealForest",BV94)),ISNUMBER(SEARCH("ColdBog",BV94))),30,IF(ISNUMBER(OR(ISNUMBER(SEARCH("GlacialPlain",BV94)),SEARCH("Tundra",BV94))),25,IF(OR(ISNUMBER(SEARCH("SeaIce",BV94)),ISNUMBER(SEARCH("IceSheet",BV94)),ISNUMBER(SEARCH("TropicalSwamp",BV94))),10,35)))))))+_xlfn.XLOOKUP(B94,'Base stats'!B:B,'Base stats'!Q:Q)</f>
        <v>35</v>
      </c>
      <c r="M94" s="8" t="str">
        <f>IF(_xlfn.XLOOKUP(_xlfn.XLOOKUP(B94,'Base stats'!B:B,'Base stats'!E:E),Groups!A:A,Groups!L:L)=1,MIN(MROUND(_xlfn.XLOOKUP(B94,'Animals CE'!B:B,'Animals CE'!Z:Z)/2+0.05,0.05),200%),"No")</f>
        <v>No</v>
      </c>
      <c r="N94" s="8" t="str">
        <f>IF(_xlfn.XLOOKUP(_xlfn.XLOOKUP(B94,'Base stats'!B:B,'Base stats'!E:E),Groups!A:A,Groups!L:L)=1,MIN(MROUND(_xlfn.XLOOKUP(B94,'Animals CE'!B:B,'Animals CE'!AA:AA)/2+0.05,0.05),200%),"No")</f>
        <v>No</v>
      </c>
      <c r="O94" s="2" t="str">
        <f>_xlfn.XLOOKUP(B94,'Base stats'!B:B,'Base stats'!R:R)</f>
        <v>Standard</v>
      </c>
      <c r="P94" s="13">
        <f>MROUND((LOG10(_xlfn.XLOOKUP(B94,'Base stats'!B:B,'Base stats'!AO:AO))*(AN94^0.5)+(_xlfn.XLOOKUP(B94,'Base stats'!B:B,'Base stats'!AO:AO)/1000)^(2/3)+_xlfn.XLOOKUP(B94,'Base stats'!B:B,'Base stats'!AX:AX)/2)+0.5,0.5)</f>
        <v>4</v>
      </c>
      <c r="Q94" s="7">
        <f>IF(P94="No","No",MAX(1,MROUND(_xlfn.XLOOKUP(B94,'Base stats'!B:B,'Base stats'!C:C)^0.165,0.05)))</f>
        <v>1.55</v>
      </c>
      <c r="R94" s="13" t="str">
        <f>IF(_xlfn.XLOOKUP(_xlfn.XLOOKUP(B94,'Base stats'!B:B,'Base stats'!E:E),Groups!A:A,Groups!P:P)=0,"No",MROUND((LOG10(_xlfn.XLOOKUP(B94,'Base stats'!B:B,'Base stats'!AP:AP))*(AN94^0.5)+(_xlfn.XLOOKUP(B94,'Base stats'!B:B,'Base stats'!AP:AP)/1000)^(2/3)+_xlfn.XLOOKUP(B94,'Base stats'!B:B,'Base stats'!AX:AX))+_xlfn.XLOOKUP(B94,'Base stats'!B:B,'Base stats'!AV:AV)+0.5,0.5))</f>
        <v>No</v>
      </c>
      <c r="S94" s="7" t="str">
        <f>IF(R94="No","No",MAX(_xlfn.XLOOKUP(_xlfn.XLOOKUP(B94,'Base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T94" s="7" t="str">
        <f>IF(R94="No","No",_xlfn.XLOOKUP(_xlfn.XLOOKUP(B94,'Base stats'!B:B,'Base stats'!E:E),Groups!A:A,Groups!R:R))</f>
        <v>No</v>
      </c>
      <c r="U94" s="7" t="str">
        <f>IF(R94="No","No",_xlfn.XLOOKUP(_xlfn.XLOOKUP(B94,'Base stats'!B:B,'Base stats'!E:E),Groups!A:A,Groups!S:S))</f>
        <v>No</v>
      </c>
      <c r="V94" s="7" t="str">
        <f>IF(R94="No","No",_xlfn.XLOOKUP(_xlfn.XLOOKUP(B94,'Base stats'!B:B,'Base stats'!E:E),Groups!A:A,Groups!T:T))</f>
        <v>No</v>
      </c>
      <c r="W94" s="13" t="str">
        <f>IF(_xlfn.XLOOKUP(B94,'Base stats'!B:B,'Base stats'!W:W)="No","No",MROUND((LOG10(_xlfn.XLOOKUP(B94,'Base stats'!B:B,'Base stats'!AR:AR))*(AN94^0.5)+(_xlfn.XLOOKUP(B94,'Base stats'!B:B,'Base stats'!AR:AR)/1000)^(2/3)+_xlfn.XLOOKUP(B94,'Base stats'!B:B,'Base stats'!AW:AW))+0.5+IF(_xlfn.XLOOKUP(_xlfn.XLOOKUP(B94,'Base stats'!B:B,'Base stats'!E:E),Groups!A:A,Groups!U:U)&lt;&gt;3,_xlfn.XLOOKUP(B94,'Base stats'!B:B,'Base stats'!AX:AX),0),0.5))</f>
        <v>No</v>
      </c>
      <c r="X94" s="7" t="str">
        <f>IF(W94="No","No",MAX(_xlfn.XLOOKUP(_xlfn.XLOOKUP(B94,'Base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Y94" s="7" t="str">
        <f>IF(W94="No","No",_xlfn.XLOOKUP(_xlfn.XLOOKUP(B94,'Base stats'!B:B,'Base stats'!E:E),Groups!A:A,Groups!W:W))</f>
        <v>No</v>
      </c>
      <c r="Z94" s="7" t="str">
        <f>IF(W94="No","No",_xlfn.XLOOKUP(_xlfn.XLOOKUP(B94,'Base stats'!B:B,'Base stats'!E:E),Groups!A:A,Groups!X:X))</f>
        <v>No</v>
      </c>
      <c r="AA94" s="7" t="str">
        <f>IF(W94="No","No",_xlfn.XLOOKUP(_xlfn.XLOOKUP(B94,'Base stats'!B:B,'Base stats'!E:E),Groups!A:A,Groups!Y:Y))</f>
        <v>No</v>
      </c>
      <c r="AB94" s="7" t="str">
        <f>_xlfn.XLOOKUP(Animals!B94,'Base stats'!B:B,'Base stats'!X:X)</f>
        <v>False</v>
      </c>
      <c r="AC94" s="13">
        <f>IF(_xlfn.XLOOKUP(B94,'Base stats'!B:B,'Base stats'!AQ:AQ)="No","No",MROUND((LOG10(_xlfn.XLOOKUP(B94,'Base stats'!B:B,'Base stats'!AQ:AQ))*(AN94^0.75)+(_xlfn.XLOOKUP(B94,'Base stats'!B:B,'Base stats'!AQ:AQ)/1000)^(2/3)+_xlfn.XLOOKUP(B94,'Base stats'!B:B,'Base stats'!AU:AU)+_xlfn.XLOOKUP(B94,'Base stats'!B:B,'Base stats'!AX:AX))+0.5,0.5))</f>
        <v>7.5</v>
      </c>
      <c r="AD94" s="7">
        <f>IF(AC94="No","No",MAX(_xlfn.XLOOKUP(_xlfn.XLOOKUP(B94,'Base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E94" s="7" t="str">
        <f>IF(AC94="No","No",_xlfn.XLOOKUP(_xlfn.XLOOKUP(B94,'Base stats'!B:B,'Base stats'!E:E),Groups!A:A,Groups!AA:AA))</f>
        <v>Teeth</v>
      </c>
      <c r="AF94" s="7" t="str">
        <f>IF(AC94="No","No",_xlfn.XLOOKUP(_xlfn.XLOOKUP(B94,'Base stats'!B:B,'Base stats'!E:E),Groups!A:A,Groups!AB:AB))</f>
        <v>Incisors</v>
      </c>
      <c r="AG94" s="7" t="str">
        <f>IF(AC94="No","No",_xlfn.XLOOKUP(_xlfn.XLOOKUP(B94,'Base stats'!B:B,'Base stats'!E:E),Groups!A:A,Groups!AC:AC))</f>
        <v>Bite</v>
      </c>
      <c r="AH94" s="13" t="str">
        <f>IF(_xlfn.XLOOKUP(_xlfn.XLOOKUP(B94,'Base stats'!B:B,'Base stats'!E:E),Groups!A:A,Groups!AD:AD)=0,"No",MROUND((LOG10(_xlfn.XLOOKUP(B94,'Base stats'!B:B,'Base stats'!AP:AP))*(AN94^0.75)+(_xlfn.XLOOKUP(B94,'Base stats'!B:B,'Base stats'!AP:AP)/1000)^(2/3)+_xlfn.XLOOKUP(B94,'Base stats'!B:B,'Base stats'!AV:AV)+_xlfn.XLOOKUP(B94,'Base stats'!B:B,'Base stats'!AX:AX))+0.5,0.5))</f>
        <v>No</v>
      </c>
      <c r="AI94" s="7" t="str">
        <f>IF(AH94="No","No",MAX(_xlfn.XLOOKUP(_xlfn.XLOOKUP(B94,'Base stats'!B:B,'Base stats'!E:E),Groups!A:A,Groups!AE:AE),MROUND(_xlfn.XLOOKUP(_xlfn.XLOOKUP(B94,'Base stats'!B:B,'Base stats'!E:E),Groups!A:A,Groups!AE:AE)*_xlfn.XLOOKUP(B94,'Base stats'!B:B,'Base stats'!C:C)^0.165,0.05)))</f>
        <v>No</v>
      </c>
      <c r="AJ94" s="7" t="str">
        <f>IF(AH94="No","No",_xlfn.XLOOKUP(_xlfn.XLOOKUP(B94,'Base stats'!B:B,'Base stats'!E:E),Groups!A:A,Groups!AF:AF))</f>
        <v>No</v>
      </c>
      <c r="AK94" s="7" t="str">
        <f>IF(AH94="No","No",_xlfn.XLOOKUP(_xlfn.XLOOKUP(B94,'Base stats'!B:B,'Base stats'!E:E),Groups!A:A,Groups!AG:AG))</f>
        <v>No</v>
      </c>
      <c r="AL94" s="7" t="str">
        <f>IF(AH94="No","No",_xlfn.XLOOKUP(_xlfn.XLOOKUP(B94,'Base stats'!B:B,'Base stats'!E:E),Groups!A:A,Groups!AH:AH))</f>
        <v>No</v>
      </c>
      <c r="AM94" s="2" t="str">
        <f t="shared" si="7"/>
        <v>No</v>
      </c>
      <c r="AN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O94" s="8">
        <f>MROUND(AN94*_xlfn.XLOOKUP(_xlfn.XLOOKUP(B94,'Base stats'!B:B,'Base stats'!E:E),Groups!A:A,Groups!AI:AI),0.05)</f>
        <v>0.5</v>
      </c>
      <c r="AP94" s="8">
        <f>MAX(0.01,MROUND(IF(CA94="True",0.196*(AN94*100*1000)^0.889,IF(_xlfn.XLOOKUP(_xlfn.XLOOKUP(B94,'Base stats'!B:B,'Base stats'!E:E),Groups!A:A,Groups!AJ:AJ)="Bird",10.5*(AN94*100*1000)^0.681,4.82*(AN94*100*1000)^0.734))/(4.82*(1*100*1000)^0.734)/IF(AN94&lt;3.5,2,IF(AN94=3.5,1.5,1.25))*(1+0.132282374779864/(AN94^0.994035016789033+0.00905238001496948)),0.05))</f>
        <v>0.4</v>
      </c>
      <c r="AQ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R94" s="35">
        <f>IFERROR(IF(_xlfn.XLOOKUP(B94,'Base stats'!B:B,'Base stats'!F:F)="Lay eggs","Lay eggs",MIN(20,MAX(5.5,ROUND(((_xlfn.XLOOKUP(B94,'Base stats'!B:B,'Base stats'!F:F)-25)*(14.5/615) + 5.5)*2,0)/2))),"Cannot breed")</f>
        <v>10</v>
      </c>
      <c r="AS94" s="8">
        <f>IF(OR(A94="Queen",A94="Larva",A94="Megachicken"),"No",IFERROR(MAX(IF(_xlfn.XLOOKUP(B94,'Base stats'!B:B,'Base stats'!G:G)&lt;0.5,0.2,0.3),MROUND(_xlfn.XLOOKUP(B94,'Base stats'!B:B,'Base stats'!G:G)/(365/60),0.2)),"Unknown"))</f>
        <v>0.4</v>
      </c>
      <c r="AT94" s="8">
        <f t="shared" si="8"/>
        <v>0.2</v>
      </c>
      <c r="AU94" s="8">
        <f>IFERROR(IFERROR(MROUND(_xlfn.XLOOKUP(B94,'Base stats'!B:B,'Base stats'!J:J),0.1),"Lay eggs"),"Cannot breed")</f>
        <v>1</v>
      </c>
      <c r="AV94" s="2" t="str">
        <f t="shared" si="9"/>
        <v>false</v>
      </c>
      <c r="AW94" s="2" t="str">
        <f>IF(_xlfn.XLOOKUP(_xlfn.XLOOKUP(Animals!B94,'Base stats'!B:B,'Base stats'!E:E),Groups!A:A,Groups!AK:AK)=1,"true","false")</f>
        <v>false</v>
      </c>
      <c r="AX94" s="25" t="str">
        <f>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</f>
        <v>VegetarianRoughAnimal</v>
      </c>
      <c r="AY94" s="2" t="str">
        <f>IF(_xlfn.XLOOKUP(_xlfn.XLOOKUP(B94,'Base stats'!B:B,'Base stats'!E:E),Groups!A:A,Groups!D:D)=1,MROUND((1-I94)*5+1,2)*IF(I94&lt;=0.4,2,1),"No")</f>
        <v>No</v>
      </c>
      <c r="AZ94" s="2" t="str">
        <f>_xlfn.XLOOKUP(B94,'Base stats'!B:B,'Base stats'!AE:AE)</f>
        <v>Leather_Light</v>
      </c>
      <c r="BA94" s="23" t="str">
        <f>_xlfn.XLOOKUP(_xlfn.XLOOKUP(B94,'Base stats'!B:B,'Base stats'!E:E),Groups!A:A,Groups!AL:AL)</f>
        <v>QuadrupedAnimalWithPawsAndTail</v>
      </c>
      <c r="BB94" s="23">
        <f>MROUND(IF(AND(AN94&lt;0.5,_xlfn.XLOOKUP(B94,'Base stats'!B:B,'Base stats'!Z:Z)=0),0,IF(OR(_xlfn.XLOOKUP(Animals!B94,'Base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stats'!AA:AA),0.005)</f>
        <v>0.1</v>
      </c>
      <c r="BC94" s="23">
        <f>MROUND(IF(AND(AN94&lt;0.5,_xlfn.XLOOKUP(B94,'Base stats'!B:B,'Base stats'!Z:Z)=0),0,IF(_xlfn.XLOOKUP(_xlfn.XLOOKUP(B94,'Base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stats'!AB:AB),0.005)</f>
        <v>0.3</v>
      </c>
      <c r="BD94" s="2" t="str">
        <f>IF(I94&gt;0.3,"No",_xlfn.XLOOKUP(_xlfn.XLOOKUP(Animals!B94,'Base stats'!B:B,'Base stats'!E:E),Groups!A:A,Groups!AP:AP))</f>
        <v>No</v>
      </c>
      <c r="BE94" s="2">
        <f>IF(AND(I94&lt;=0.65,_xlfn.XLOOKUP(_xlfn.XLOOKUP(Animals!B94,'Base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stats'!O:O)=2,0.2,AN94) + 24*(1-IF(BD94="No",0,BD94)) + 16/3, 12),"No")</f>
        <v>48</v>
      </c>
      <c r="BF94" s="2">
        <f>IF(AND(_xlfn.XLOOKUP(_xlfn.XLOOKUP(B94,'Base stats'!B:B,'Base stats'!E:E),Groups!A:A,Groups!AQ:AQ)=1,AN94&lt;=0.35),8,12)</f>
        <v>12</v>
      </c>
      <c r="BG94" s="2" t="str">
        <f>IF(_xlfn.XLOOKUP(_xlfn.XLOOKUP(B94,'Base stats'!B:B,'Base stats'!E:E),Groups!A:A,Groups!D:D)=0,_xlfn.XLOOKUP(_xlfn.XLOOKUP(B94,'Base stats'!B:B,'Base stats'!E:E),Groups!A:A,Groups!AR:AR),"None")</f>
        <v>None</v>
      </c>
      <c r="BH94" s="2" t="str">
        <f>IF(AND(_xlfn.XLOOKUP(_xlfn.XLOOKUP(B94,'Base stats'!B:B,'Base stats'!E:E),Groups!A:A,Groups!AS:AS)=1,OR('Base stats'!Y94="Carnivore",'Base stats'!Y94="Omnivore")),"true","false")</f>
        <v>false</v>
      </c>
      <c r="BI94" s="2" t="str">
        <f>IF(BH94="true",MROUND(IF(AND(AN94&gt;0.5,_xlfn.XLOOKUP(_xlfn.XLOOKUP(B94,'Base stats'!B:B,'Base stats'!E:E),Groups!A:A,Groups!AJ:AJ)="Mammal"),Animals!AN94*1.75*IF(AV94="true",1.5,1),Animals!AN94),IF(AN94&gt;2,0.5,IF(AN94&gt;0.5,0.25,0.1))),"No")</f>
        <v>No</v>
      </c>
      <c r="BJ94" s="2">
        <f t="shared" si="10"/>
        <v>0</v>
      </c>
      <c r="BK94" s="25" t="str">
        <f>IF('Base stats'!AK94="Standard","No",MROUND((_xlfn.XLOOKUP(B94,'Base stats'!B:B,'Base stats'!AK:AK)/3.6)/H94,0.1))</f>
        <v>No</v>
      </c>
      <c r="BL94" s="25" t="str">
        <f t="shared" si="11"/>
        <v>false</v>
      </c>
      <c r="BM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N94" s="25" t="str" cm="1">
        <f t="array" ref="BN94">IF(
  _xlfn.TEXTJOIN(", ",TRUE,
    IF(AND(BH94="true",AN94&gt;0.5,BG94&lt;&gt;"None"),"AttackTarget",""),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IF(BE94&lt;=36,"Comfort",""),
    IF(_xlfn.XLOOKUP(B94,'Base stats'!B:B,'Base stats'!AC:AC)&lt;&gt;"No",_xlfn.XLOOKUP(B94,'Base stats'!B:B,'Base stats'!AC:AC),"")
  ) = "",
  "No",
  _xlfn.TEXTJOIN(", ",TRUE,
    IF(AND(BH94="true",AN94&gt;0.5,BG94&lt;&gt;"None"),"AttackTarget",""),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IF(BE94&lt;=36,"Comfort",""),
    IF(_xlfn.XLOOKUP(B94,'Base stats'!B:B,'Base stats'!AC:AC)&lt;&gt;"No",_xlfn.XLOOKUP(B94,'Base stats'!B:B,'Base stats'!AC:AC),"")
  )
)</f>
        <v>No</v>
      </c>
      <c r="BO94" s="25" t="str">
        <f>IF(
   AND(
      'Base stats'!AK94="Standard",_xlfn.XLOOKUP(_xlfn.XLOOKUP(B94,'Base stats'!B:B,'Base stats'!E:E),Groups!A:A,Groups!AU:AU)=0,
      OR(
      BM94="True"
      )
   ),
   10,
   IF(
       OR(BK94&lt;&gt;"No",_xlfn.XLOOKUP(_xlfn.XLOOKUP(B94,'Base stats'!B:B,'Base stats'!E:E),Groups!A:A,Groups!AU:AU)=1),
      1,
      "No"
   )
)</f>
        <v>No</v>
      </c>
      <c r="BP94" s="9">
        <f>MROUND((1 + ((0.2*IF(OR(P94="No",Q94="No",Q94=0),0,P94/Q94)
+IF(OR(U94="No",R94="No",S94="No"),0,R94/S94*(LEN(U94)-LEN(SUBSTITUTE(U94,",",""))+1))
+IF(OR(W94="No",X94="No"),0,W94/X94)
+IF(OR(AC94="No",AD94="No"),0,AC94/AD94)
+IF(OR(AK94="No",AH94="No",AI94="No"),0,AH94/AI94*(LEN(AK94)-LEN(SUBSTITUTE(AK94,",",""))+1))
)/(0.2*IF(OR(P94="No",Q94="No",Q94=0),0,1)
+IF(OR(U94="No",R94="No",S94="No"),0,LEN(U94)-LEN(SUBSTITUTE(U94,",",""))+1)
+IF(OR(W94="No",X94="No"),0,1)
+IF(OR(AC94="No",AD94="No"),0,1)
+IF(OR(AK94="No",AH94="No",AI94="No"),0,LEN(AK94)-LEN(SUBSTITUTE(AK94,",",""))+1))*62%)* 2)*(1 + (AO94 + _xlfn.XLOOKUP(B94,'Base stats'!B:B,'Base stats'!AS:AS) * 1.8) * 2) * 2.5 + 10 + H94 * 2,5)+IF(_xlfn.XLOOKUP(B94,'Base stats'!B:B,'Base stats'!AH:AH)=1,50,0)</f>
        <v>50</v>
      </c>
      <c r="BQ94" s="8">
        <f t="shared" si="12"/>
        <v>0.4</v>
      </c>
      <c r="BR94" s="8" t="str">
        <f>_xlfn.XLOOKUP(B94,'Base stats'!B:B,'Base stats'!AD:AD)</f>
        <v>No</v>
      </c>
      <c r="BS94" s="2" t="str">
        <f>IF(AND(I94&lt;=0.95,OR(_xlfn.XLOOKUP(B94,'Base stats'!B:B,'Base stats'!AH:AH)=1,_xlfn.XLOOKUP(B94,'Base stats'!B:B,'Base stats'!Y:Y)="Carnivore",_xlfn.XLOOKUP(B94,'Base stats'!B:B,'Base stats'!Y:Y)="Omnivore",BC94&gt;0.1)),"true","false")</f>
        <v>true</v>
      </c>
      <c r="BT94" s="2" t="str">
        <f>IF(_xlfn.XLOOKUP(B94,'Base stats'!B:B,'Base stats'!AF:AF)=1,"true","false")</f>
        <v>false</v>
      </c>
      <c r="BU94" s="25" t="str">
        <f>IF(E94="BaseInsect","AnimalInsect",
IF(I94&gt;0.95,"AnimalExotic",
_xlfn.TEXTJOIN(", ",TRUE,
IF(AND(_xlfn.XLOOKUP(B94,'Base stats'!B:B,'Base stats'!O:O)=0,_xlfn.XLOOKUP(_xlfn.XLOOKUP(B94,'Base stats'!B:B,'Base stats'!E:E),Groups!A:A,Groups!B:B)&gt;0),"AnimalUncommon","AnimalCommon"),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stats'!AH:AH)=1,AND(BG94&lt;&gt;"None",BP94&gt;=60),ISNUMBER(SEARCH("Attack target",BN94))),"AnimalFighter","")
)))</f>
        <v>AnimalCommon</v>
      </c>
      <c r="BV94" s="25" t="str">
        <f>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</f>
        <v>BorealForest ColdBog TemperateForest TemperateSwamp GlacialPlain</v>
      </c>
      <c r="BW94" s="25" t="str">
        <f>IF(_xlfn.XLOOKUP(B94,'Base stats'!B:B,'Base stats'!AG:AG)=1,"true","false")</f>
        <v>false</v>
      </c>
      <c r="BX94" s="25">
        <f>IF(_xlfn.XLOOKUP(B94,'Base stats'!B:B,'Base stats'!N:N)=1,"No",MIN(MROUND(IF(OR(_xlfn.XLOOKUP(B94,'Base stats'!B:B,'Base stats'!AJ:AJ)=1,AND(BH94="True",CA94="False")),POWER(10,3.47*LOG10(_xlfn.XLOOKUP(B94,'Base stats'!B:B,'Base stats'!C:C)*1000)^-0.96),POWER(10,4.15*LOG10(_xlfn.XLOOKUP(B94,'Base stats'!B:B,'Base stats'!C:C)*1000)^-0.73))*IF(OR(_xlfn.XLOOKUP(B94,'Base stats'!B:B,'Base stats'!AJ:AJ)=1,_xlfn.XLOOKUP(B94,'Base stats'!B:B,'Base stats'!AH:AH)=1),0.5,1)/100,0.025),1))</f>
        <v>0.30000000000000004</v>
      </c>
      <c r="BY94" s="25" t="str">
        <f>IF(O94="Standard","No",IF(_xlfn.XLOOKUP(B94,'Base stats'!B:B,'Base stats'!N:N)=0,MROUND(BX94*O94,0.05),MIN(1,MAX(0.025,MROUND(IF(OR(CA94="true",AND(BH94="false",BM94="false")),POWER(10,4.15*LOG10(_xlfn.XLOOKUP(B94,'Base stats'!B:B,'Base stats'!C:C)*1000)^-0.73),POWER(10,3.47*LOG10(_xlfn.XLOOKUP(B94,'Base stats'!B:B,'Base stats'!C:C)*1000)^-0.96))*IF(_xlfn.XLOOKUP(B94,'Base stats'!B:B,'Base stats'!AH:AH)=1,0.5,1)/100,0.025)))))</f>
        <v>No</v>
      </c>
      <c r="BZ94" s="25" t="str">
        <f>IF(_xlfn.XLOOKUP(_xlfn.XLOOKUP(B94,'Base stats'!B:B,'Base stats'!E:E),Groups!A:A,Groups!AJ:AJ)="Mammal","True","False")</f>
        <v>True</v>
      </c>
      <c r="CA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B94" s="25" t="str">
        <f t="shared" si="13"/>
        <v>False</v>
      </c>
      <c r="CC94" s="25" t="str">
        <f>IF(_xlfn.XLOOKUP(_xlfn.XLOOKUP(B94,'Base stats'!B:B,'Base stats'!E:E),Groups!A:A,Groups!AW:AW),"True","False")</f>
        <v>False</v>
      </c>
      <c r="CD94" s="25" t="str">
        <f>IF(_xlfn.XLOOKUP(_xlfn.XLOOKUP(B94,'Base stats'!B:B,'Base stats'!E:E),Groups!A:A,Groups!AX:AX),"True","False")</f>
        <v>False</v>
      </c>
      <c r="CE94" s="25" t="str">
        <f>IF(_xlfn.XLOOKUP(B94,'Base stats'!B:B,'Base stats'!E:E)=1,"True","False")</f>
        <v>False</v>
      </c>
      <c r="CF94" s="25" t="str">
        <f>IF(
OR(
_xlfn.XLOOKUP(_xlfn.XLOOKUP(B94,'Base stats'!B:B,'Base stats'!E:E),Groups!A:A,Groups!AY:AY)=0,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stats'!E:E),Groups!A:A,Groups!AY:AY)=1,
"Flesh",
IF(
_xlfn.XLOOKUP(_xlfn.XLOOKUP(B94,'Base stats'!B:B,'Base stats'!E:E),Groups!A:A,Groups!AY:AY)=2,
"Bone",
""
)
)
)</f>
        <v>No</v>
      </c>
      <c r="CG94" s="25" t="str">
        <f>IF(_xlfn.XLOOKUP(_xlfn.XLOOKUP(B94,'Base stats'!B:B,'Base stats'!E:E),Groups!A:A,Groups!BA:BA),"True","False")</f>
        <v>True</v>
      </c>
      <c r="CH94" s="25" t="str">
        <f>IF(_xlfn.XLOOKUP(_xlfn.XLOOKUP(B94,'Base stats'!B:B,'Base stats'!E:E),Groups!A:A,Groups!AZ:AZ),"True","False")</f>
        <v>False</v>
      </c>
    </row>
    <row r="95" spans="1:86" ht="16.5" thickTop="1" thickBot="1" x14ac:dyDescent="0.3">
      <c r="A95" s="26" t="str">
        <f>_xlfn.XLOOKUP(B95,'Base stats'!B:B,'Base stats'!A:A)</f>
        <v>Megavole</v>
      </c>
      <c r="B95" s="6" t="s">
        <v>283</v>
      </c>
      <c r="C95" s="28" t="s">
        <v>787</v>
      </c>
      <c r="D95" s="28" t="s">
        <v>882</v>
      </c>
      <c r="E95" s="28" t="s">
        <v>685</v>
      </c>
      <c r="F95" s="28" t="s">
        <v>685</v>
      </c>
      <c r="G95" s="2">
        <f>MROUND((
  (IF(AND(_xlfn.XLOOKUP(B95,'Base stats'!B:B,'Base stats'!AI:AI)=0,BG95="None",_xlfn.XLOOKUP('Base stats'!E95,Groups!A:A,Groups!B:B)=0), (18 + BP95 * 2.7) * 0.5,
    IF(AND(_xlfn.XLOOKUP(B95,'Base stats'!B:B,'Base stats'!AI:AI)=0,OR(AN95&lt;0.55,AND(BG95="Intermediate",_xlfn.XLOOKUP('Base stats'!E95,Groups!A:A,Groups!B:B)&lt;2))), (18 + BP95 * 2.7),
      IF(OR(BG95="Advanced",_xlfn.XLOOKUP(B95,'Base stats'!B:B,'Base stats'!AI:AI)=1,_xlfn.XLOOKUP('Base stats'!E95,Groups!A:A,Groups!B:B)=2), (18 + BP95 * 2.7) + 250, (18 + BP95 * 2.7))
    )
  ))
  + AN95 * 80
  + IF(COUNTIF(EggMilk!K$2:K$998, A95) &gt; 0, 125, 0)
  + IF(COUNTIF(EggMilk!P$2:P$998, A95) &gt; 0, 90, 0)
  + IF(COUNTIF(EggMilk!A$2:A$998, A95) &gt; 0, 90, 0)
)
* (0.8 + 0.4 * I95)
* 0.75,25)</f>
        <v>175</v>
      </c>
      <c r="H95" s="2">
        <f>MROUND(ROUNDDOWN(_xlfn.XLOOKUP(B95,'Base stats'!B:B,'Base stats'!L:L)/3.6/(23.3/11),1),0.5)</f>
        <v>4.5</v>
      </c>
      <c r="I95" s="2">
        <f>IF(_xlfn.XLOOKUP(B95,'Base stats'!B:B,'Base stats'!AI:AI)=1,0.99,MIN(MROUND((1-0.6282*EXP(-0.459*AN95))*_xlfn.XLOOKUP(_xlfn.XLOOKUP(B95,'Base stats'!B:B,'Base stats'!E:E),Groups!A:A,Groups!C:C)*IF(_xlfn.XLOOKUP(B95,'Base stats'!B:B,'Base stats'!O:O)=1,0.5,IF(_xlfn.XLOOKUP(B95,'Base stats'!B:B,'Base stats'!O:O)=2,0,1)),0.05),0.985))</f>
        <v>0.75</v>
      </c>
      <c r="J95" s="2">
        <f>ROUNDUP(AN95*_xlfn.XLOOKUP(_xlfn.XLOOKUP(B95,'Base stats'!B:B,'Base stats'!E:E),Groups!A:A,Groups!E:E),0)</f>
        <v>1</v>
      </c>
      <c r="K95" s="2">
        <f>IF(OR(_xlfn.XLOOKUP(_xlfn.XLOOKUP(B95,'Base stats'!B:B,'Base stats'!E:E),Groups!A:A,Groups!F:F)=2,ISNUMBER(SEARCH("SeaIce",BV95)),ISNUMBER(SEARCH("IceSheet",BV95))),-50,IF(OR(ISNUMBER(SEARCH("GlacialPlain",BV95)),ISNUMBER(SEARCH("Tundra",BV95))),-40,IF(OR(ISNUMBER(SEARCH("Alpine",BV95)),ISNUMBER(SEARCH("BorealForest",BV95)),ISNUMBER(SEARCH("ColdBog",BV95))),-30,IF(OR(ISNUMBER(SEARCH("TemperateForest",BV95)),ISNUMBER(SEARCH("TemperateSwamp",BV95))),-20,IF(_xlfn.XLOOKUP(_xlfn.XLOOKUP(B95,'Base stats'!B:B,'Base stats'!E:E),Groups!A:A,Groups!F:F)=1,-15,IF(OR(ISNUMBER(SEARCH("Desert",BV95)),ISNUMBER(SEARCH("ExtremeDesert",BV95))),-10,IF(OR(ISNUMBER(SEARCH("Grasslands",BV95)),ISNUMBER(SEARCH("TropicalRainforest",BV95)),ISNUMBER(SEARCH("TropicalSwamp",BV95))),10,0)))))))-IF(CA95="False",MIN(IFERROR(MAX(MROUND(LOG10(_xlfn.XLOOKUP(B95,'Base stats'!B:B,'Base stats'!C:C)^(2/3))*10,5),5),5),30))-_xlfn.XLOOKUP(B95,'Base stats'!B:B,'Base stats'!P:P)+IF(CA95="True",5,0)</f>
        <v>-10</v>
      </c>
      <c r="L95" s="2">
        <f>IF(OR(_xlfn.XLOOKUP(_xlfn.XLOOKUP(B95,'Base stats'!B:B,'Base stats'!E:E),Groups!A:A,Groups!G:G)=2,ISNUMBER(SEARCH("Desert",BV95)),ISNUMBER(SEARCH("ExtremeDesert",BV95)),ISNUMBER(SEARCH("LavaField",BV95))),50,IF(ISNUMBER(SEARCH("Grasslands",BV95)),45,IF(OR(_xlfn.XLOOKUP(_xlfn.XLOOKUP(B95,'Base stats'!B:B,'Base stats'!E:E),Groups!A:A,Groups!G:G)=1,ISNUMBER(SEARCH("TropicalRainforest",BV95)),ISNUMBER(SEARCH("TropicalSwamp",BV95))),40,IF(OR(ISNUMBER(SEARCH("TemperateForest",BV95)),ISNUMBER(SEARCH("TemperateSwamp",BV95))),35,IF(OR(ISNUMBER(SEARCH("Alpine",BV95)),ISNUMBER(SEARCH("BorealForest",BV95)),ISNUMBER(SEARCH("ColdBog",BV95))),30,IF(ISNUMBER(OR(ISNUMBER(SEARCH("GlacialPlain",BV95)),SEARCH("Tundra",BV95))),25,IF(OR(ISNUMBER(SEARCH("SeaIce",BV95)),ISNUMBER(SEARCH("IceSheet",BV95)),ISNUMBER(SEARCH("TropicalSwamp",BV95))),10,35)))))))+_xlfn.XLOOKUP(B95,'Base stats'!B:B,'Base stats'!Q:Q)</f>
        <v>35</v>
      </c>
      <c r="M95" s="8" t="str">
        <f>IF(_xlfn.XLOOKUP(_xlfn.XLOOKUP(B95,'Base stats'!B:B,'Base stats'!E:E),Groups!A:A,Groups!L:L)=1,MIN(MROUND(_xlfn.XLOOKUP(B95,'Animals CE'!B:B,'Animals CE'!Z:Z)/2+0.05,0.05),200%),"No")</f>
        <v>No</v>
      </c>
      <c r="N95" s="8" t="str">
        <f>IF(_xlfn.XLOOKUP(_xlfn.XLOOKUP(B95,'Base stats'!B:B,'Base stats'!E:E),Groups!A:A,Groups!L:L)=1,MIN(MROUND(_xlfn.XLOOKUP(B95,'Animals CE'!B:B,'Animals CE'!AA:AA)/2+0.05,0.05),200%),"No")</f>
        <v>No</v>
      </c>
      <c r="O95" s="2" t="str">
        <f>_xlfn.XLOOKUP(B95,'Base stats'!B:B,'Base stats'!R:R)</f>
        <v>Standard</v>
      </c>
      <c r="P95" s="13">
        <f>MROUND((LOG10(_xlfn.XLOOKUP(B95,'Base stats'!B:B,'Base stats'!AO:AO))*(AN95^0.5)+(_xlfn.XLOOKUP(B95,'Base stats'!B:B,'Base stats'!AO:AO)/1000)^(2/3)+_xlfn.XLOOKUP(B95,'Base stats'!B:B,'Base stats'!AX:AX)/2)+0.5,0.5)</f>
        <v>7</v>
      </c>
      <c r="Q95" s="7">
        <f>IF(P95="No","No",MAX(1,MROUND(_xlfn.XLOOKUP(B95,'Base stats'!B:B,'Base stats'!C:C)^0.165,0.05)))</f>
        <v>1.9500000000000002</v>
      </c>
      <c r="R95" s="13" t="str">
        <f>IF(_xlfn.XLOOKUP(_xlfn.XLOOKUP(B95,'Base stats'!B:B,'Base stats'!E:E),Groups!A:A,Groups!P:P)=0,"No",MROUND((LOG10(_xlfn.XLOOKUP(B95,'Base stats'!B:B,'Base stats'!AP:AP))*(AN95^0.5)+(_xlfn.XLOOKUP(B95,'Base stats'!B:B,'Base stats'!AP:AP)/1000)^(2/3)+_xlfn.XLOOKUP(B95,'Base stats'!B:B,'Base stats'!AX:AX))+_xlfn.XLOOKUP(B95,'Base stats'!B:B,'Base stats'!AV:AV)+0.5,0.5))</f>
        <v>No</v>
      </c>
      <c r="S95" s="7" t="str">
        <f>IF(R95="No","No",MAX(_xlfn.XLOOKUP(_xlfn.XLOOKUP(B95,'Base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T95" s="7" t="str">
        <f>IF(R95="No","No",_xlfn.XLOOKUP(_xlfn.XLOOKUP(B95,'Base stats'!B:B,'Base stats'!E:E),Groups!A:A,Groups!R:R))</f>
        <v>No</v>
      </c>
      <c r="U95" s="7" t="str">
        <f>IF(R95="No","No",_xlfn.XLOOKUP(_xlfn.XLOOKUP(B95,'Base stats'!B:B,'Base stats'!E:E),Groups!A:A,Groups!S:S))</f>
        <v>No</v>
      </c>
      <c r="V95" s="7" t="str">
        <f>IF(R95="No","No",_xlfn.XLOOKUP(_xlfn.XLOOKUP(B95,'Base stats'!B:B,'Base stats'!E:E),Groups!A:A,Groups!T:T))</f>
        <v>No</v>
      </c>
      <c r="W95" s="13" t="str">
        <f>IF(_xlfn.XLOOKUP(B95,'Base stats'!B:B,'Base stats'!W:W)="No","No",MROUND((LOG10(_xlfn.XLOOKUP(B95,'Base stats'!B:B,'Base stats'!AR:AR))*(AN95^0.5)+(_xlfn.XLOOKUP(B95,'Base stats'!B:B,'Base stats'!AR:AR)/1000)^(2/3)+_xlfn.XLOOKUP(B95,'Base stats'!B:B,'Base stats'!AW:AW))+0.5+IF(_xlfn.XLOOKUP(_xlfn.XLOOKUP(B95,'Base stats'!B:B,'Base stats'!E:E),Groups!A:A,Groups!U:U)&lt;&gt;3,_xlfn.XLOOKUP(B95,'Base stats'!B:B,'Base stats'!AX:AX),0),0.5))</f>
        <v>No</v>
      </c>
      <c r="X95" s="7" t="str">
        <f>IF(W95="No","No",MAX(_xlfn.XLOOKUP(_xlfn.XLOOKUP(B95,'Base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Y95" s="7" t="str">
        <f>IF(W95="No","No",_xlfn.XLOOKUP(_xlfn.XLOOKUP(B95,'Base stats'!B:B,'Base stats'!E:E),Groups!A:A,Groups!W:W))</f>
        <v>No</v>
      </c>
      <c r="Z95" s="7" t="str">
        <f>IF(W95="No","No",_xlfn.XLOOKUP(_xlfn.XLOOKUP(B95,'Base stats'!B:B,'Base stats'!E:E),Groups!A:A,Groups!X:X))</f>
        <v>No</v>
      </c>
      <c r="AA95" s="7" t="str">
        <f>IF(W95="No","No",_xlfn.XLOOKUP(_xlfn.XLOOKUP(B95,'Base stats'!B:B,'Base stats'!E:E),Groups!A:A,Groups!Y:Y))</f>
        <v>No</v>
      </c>
      <c r="AB95" s="7" t="str">
        <f>_xlfn.XLOOKUP(Animals!B95,'Base stats'!B:B,'Base stats'!X:X)</f>
        <v>False</v>
      </c>
      <c r="AC95" s="13">
        <f>IF(_xlfn.XLOOKUP(B95,'Base stats'!B:B,'Base stats'!AQ:AQ)="No","No",MROUND((LOG10(_xlfn.XLOOKUP(B95,'Base stats'!B:B,'Base stats'!AQ:AQ))*(AN95^0.75)+(_xlfn.XLOOKUP(B95,'Base stats'!B:B,'Base stats'!AQ:AQ)/1000)^(2/3)+_xlfn.XLOOKUP(B95,'Base stats'!B:B,'Base stats'!AU:AU)+_xlfn.XLOOKUP(B95,'Base stats'!B:B,'Base stats'!AX:AX))+0.5,0.5))</f>
        <v>13.5</v>
      </c>
      <c r="AD95" s="7">
        <f>IF(AC95="No","No",MAX(_xlfn.XLOOKUP(_xlfn.XLOOKUP(B95,'Base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E95" s="7" t="str">
        <f>IF(AC95="No","No",_xlfn.XLOOKUP(_xlfn.XLOOKUP(B95,'Base stats'!B:B,'Base stats'!E:E),Groups!A:A,Groups!AA:AA))</f>
        <v>Teeth</v>
      </c>
      <c r="AF95" s="7" t="str">
        <f>IF(AC95="No","No",_xlfn.XLOOKUP(_xlfn.XLOOKUP(B95,'Base stats'!B:B,'Base stats'!E:E),Groups!A:A,Groups!AB:AB))</f>
        <v>Incisors</v>
      </c>
      <c r="AG95" s="7" t="str">
        <f>IF(AC95="No","No",_xlfn.XLOOKUP(_xlfn.XLOOKUP(B95,'Base stats'!B:B,'Base stats'!E:E),Groups!A:A,Groups!AC:AC))</f>
        <v>Bite</v>
      </c>
      <c r="AH95" s="13" t="str">
        <f>IF(_xlfn.XLOOKUP(_xlfn.XLOOKUP(B95,'Base stats'!B:B,'Base stats'!E:E),Groups!A:A,Groups!AD:AD)=0,"No",MROUND((LOG10(_xlfn.XLOOKUP(B95,'Base stats'!B:B,'Base stats'!AP:AP))*(AN95^0.75)+(_xlfn.XLOOKUP(B95,'Base stats'!B:B,'Base stats'!AP:AP)/1000)^(2/3)+_xlfn.XLOOKUP(B95,'Base stats'!B:B,'Base stats'!AV:AV)+_xlfn.XLOOKUP(B95,'Base stats'!B:B,'Base stats'!AX:AX))+0.5,0.5))</f>
        <v>No</v>
      </c>
      <c r="AI95" s="7" t="str">
        <f>IF(AH95="No","No",MAX(_xlfn.XLOOKUP(_xlfn.XLOOKUP(B95,'Base stats'!B:B,'Base stats'!E:E),Groups!A:A,Groups!AE:AE),MROUND(_xlfn.XLOOKUP(_xlfn.XLOOKUP(B95,'Base stats'!B:B,'Base stats'!E:E),Groups!A:A,Groups!AE:AE)*_xlfn.XLOOKUP(B95,'Base stats'!B:B,'Base stats'!C:C)^0.165,0.05)))</f>
        <v>No</v>
      </c>
      <c r="AJ95" s="7" t="str">
        <f>IF(AH95="No","No",_xlfn.XLOOKUP(_xlfn.XLOOKUP(B95,'Base stats'!B:B,'Base stats'!E:E),Groups!A:A,Groups!AF:AF))</f>
        <v>No</v>
      </c>
      <c r="AK95" s="7" t="str">
        <f>IF(AH95="No","No",_xlfn.XLOOKUP(_xlfn.XLOOKUP(B95,'Base stats'!B:B,'Base stats'!E:E),Groups!A:A,Groups!AG:AG))</f>
        <v>No</v>
      </c>
      <c r="AL95" s="7" t="str">
        <f>IF(AH95="No","No",_xlfn.XLOOKUP(_xlfn.XLOOKUP(B95,'Base stats'!B:B,'Base stats'!E:E),Groups!A:A,Groups!AH:AH))</f>
        <v>No</v>
      </c>
      <c r="AM95" s="2" t="str">
        <f t="shared" si="7"/>
        <v>No</v>
      </c>
      <c r="AN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O95" s="8">
        <f>MROUND(AN95*_xlfn.XLOOKUP(_xlfn.XLOOKUP(B95,'Base stats'!B:B,'Base stats'!E:E),Groups!A:A,Groups!AI:AI),0.05)</f>
        <v>0.95000000000000007</v>
      </c>
      <c r="AP95" s="8">
        <f>MAX(0.01,MROUND(IF(CA95="True",0.196*(AN95*100*1000)^0.889,IF(_xlfn.XLOOKUP(_xlfn.XLOOKUP(B95,'Base stats'!B:B,'Base stats'!E:E),Groups!A:A,Groups!AJ:AJ)="Bird",10.5*(AN95*100*1000)^0.681,4.82*(AN95*100*1000)^0.734))/(4.82*(1*100*1000)^0.734)/IF(AN95&lt;3.5,2,IF(AN95=3.5,1.5,1.25))*(1+0.132282374779864/(AN95^0.994035016789033+0.00905238001496948)),0.05))</f>
        <v>0.55000000000000004</v>
      </c>
      <c r="AQ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R95" s="35">
        <f>IFERROR(IF(_xlfn.XLOOKUP(B95,'Base stats'!B:B,'Base stats'!F:F)="Lay eggs","Lay eggs",MIN(20,MAX(5.5,ROUND(((_xlfn.XLOOKUP(B95,'Base stats'!B:B,'Base stats'!F:F)-25)*(14.5/615) + 5.5)*2,0)/2))),"Cannot breed")</f>
        <v>8.5</v>
      </c>
      <c r="AS95" s="8">
        <f>IF(OR(A95="Queen",A95="Larva",A95="Megachicken"),"No",IFERROR(MAX(IF(_xlfn.XLOOKUP(B95,'Base stats'!B:B,'Base stats'!G:G)&lt;0.5,0.2,0.3),MROUND(_xlfn.XLOOKUP(B95,'Base stats'!B:B,'Base stats'!G:G)/(365/60),0.2)),"Unknown"))</f>
        <v>0.4</v>
      </c>
      <c r="AT95" s="8">
        <f t="shared" si="8"/>
        <v>0.2</v>
      </c>
      <c r="AU95" s="8">
        <f>IFERROR(IFERROR(MROUND(_xlfn.XLOOKUP(B95,'Base stats'!B:B,'Base stats'!J:J),0.1),"Lay eggs"),"Cannot breed")</f>
        <v>5</v>
      </c>
      <c r="AV95" s="2" t="str">
        <f t="shared" si="9"/>
        <v>false</v>
      </c>
      <c r="AW95" s="2" t="str">
        <f>IF(_xlfn.XLOOKUP(_xlfn.XLOOKUP(Animals!B95,'Base stats'!B:B,'Base stats'!E:E),Groups!A:A,Groups!AK:AK)=1,"true","false")</f>
        <v>false</v>
      </c>
      <c r="AX95" s="25" t="str">
        <f>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</f>
        <v>VegetarianRoughAnimal</v>
      </c>
      <c r="AY95" s="2" t="str">
        <f>IF(_xlfn.XLOOKUP(_xlfn.XLOOKUP(B95,'Base stats'!B:B,'Base stats'!E:E),Groups!A:A,Groups!D:D)=1,MROUND((1-I95)*5+1,2)*IF(I95&lt;=0.4,2,1),"No")</f>
        <v>No</v>
      </c>
      <c r="AZ95" s="2" t="str">
        <f>_xlfn.XLOOKUP(B95,'Base stats'!B:B,'Base stats'!AE:AE)</f>
        <v>Leather_Light</v>
      </c>
      <c r="BA95" s="23" t="str">
        <f>_xlfn.XLOOKUP(_xlfn.XLOOKUP(B95,'Base stats'!B:B,'Base stats'!E:E),Groups!A:A,Groups!AL:AL)</f>
        <v>QuadrupedAnimalWithPawsAndTail</v>
      </c>
      <c r="BB95" s="23">
        <f>MROUND(IF(AND(AN95&lt;0.5,_xlfn.XLOOKUP(B95,'Base stats'!B:B,'Base stats'!Z:Z)=0),0,IF(OR(_xlfn.XLOOKUP(Animals!B95,'Base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stats'!AA:AA),0.005)</f>
        <v>0</v>
      </c>
      <c r="BC95" s="23">
        <f>MROUND(IF(AND(AN95&lt;0.5,_xlfn.XLOOKUP(B95,'Base stats'!B:B,'Base stats'!Z:Z)=0),0,IF(_xlfn.XLOOKUP(_xlfn.XLOOKUP(B95,'Base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stats'!AB:AB),0.005)</f>
        <v>0</v>
      </c>
      <c r="BD95" s="2" t="str">
        <f>IF(I95&gt;0.3,"No",_xlfn.XLOOKUP(_xlfn.XLOOKUP(Animals!B95,'Base stats'!B:B,'Base stats'!E:E),Groups!A:A,Groups!AP:AP))</f>
        <v>No</v>
      </c>
      <c r="BE95" s="2" t="str">
        <f>IF(AND(I95&lt;=0.65,_xlfn.XLOOKUP(_xlfn.XLOOKUP(Animals!B95,'Base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stats'!O:O)=2,0.2,AN95) + 24*(1-IF(BD95="No",0,BD95)) + 16/3, 12),"No")</f>
        <v>No</v>
      </c>
      <c r="BF95" s="2">
        <f>IF(AND(_xlfn.XLOOKUP(_xlfn.XLOOKUP(B95,'Base stats'!B:B,'Base stats'!E:E),Groups!A:A,Groups!AQ:AQ)=1,AN95&lt;=0.35),8,12)</f>
        <v>12</v>
      </c>
      <c r="BG95" s="2" t="str">
        <f>IF(_xlfn.XLOOKUP(_xlfn.XLOOKUP(B95,'Base stats'!B:B,'Base stats'!E:E),Groups!A:A,Groups!D:D)=0,_xlfn.XLOOKUP(_xlfn.XLOOKUP(B95,'Base stats'!B:B,'Base stats'!E:E),Groups!A:A,Groups!AR:AR),"None")</f>
        <v>None</v>
      </c>
      <c r="BH95" s="2" t="str">
        <f>IF(AND(_xlfn.XLOOKUP(_xlfn.XLOOKUP(B95,'Base stats'!B:B,'Base stats'!E:E),Groups!A:A,Groups!AS:AS)=1,OR('Base stats'!Y95="Carnivore",'Base stats'!Y95="Omnivore")),"true","false")</f>
        <v>false</v>
      </c>
      <c r="BI95" s="2" t="str">
        <f>IF(BH95="true",MROUND(IF(AND(AN95&gt;0.5,_xlfn.XLOOKUP(_xlfn.XLOOKUP(B95,'Base stats'!B:B,'Base stats'!E:E),Groups!A:A,Groups!AJ:AJ)="Mammal"),Animals!AN95*1.75*IF(AV95="true",1.5,1),Animals!AN95),IF(AN95&gt;2,0.5,IF(AN95&gt;0.5,0.25,0.1))),"No")</f>
        <v>No</v>
      </c>
      <c r="BJ95" s="2">
        <f t="shared" si="10"/>
        <v>0</v>
      </c>
      <c r="BK95" s="25" t="str">
        <f>IF('Base stats'!AK95="Standard","No",MROUND((_xlfn.XLOOKUP(B95,'Base stats'!B:B,'Base stats'!AK:AK)/3.6)/H95,0.1))</f>
        <v>No</v>
      </c>
      <c r="BL95" s="25" t="str">
        <f t="shared" si="11"/>
        <v>false</v>
      </c>
      <c r="BM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N95" s="25" t="str" cm="1">
        <f t="array" ref="BN95">IF(
  _xlfn.TEXTJOIN(", ",TRUE,
    IF(AND(BH95="true",AN95&gt;0.5,BG95&lt;&gt;"None"),"AttackTarget",""),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IF(BE95&lt;=36,"Comfort",""),
    IF(_xlfn.XLOOKUP(B95,'Base stats'!B:B,'Base stats'!AC:AC)&lt;&gt;"No",_xlfn.XLOOKUP(B95,'Base stats'!B:B,'Base stats'!AC:AC),"")
  ) = "",
  "No",
  _xlfn.TEXTJOIN(", ",TRUE,
    IF(AND(BH95="true",AN95&gt;0.5,BG95&lt;&gt;"None"),"AttackTarget",""),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IF(BE95&lt;=36,"Comfort",""),
    IF(_xlfn.XLOOKUP(B95,'Base stats'!B:B,'Base stats'!AC:AC)&lt;&gt;"No",_xlfn.XLOOKUP(B95,'Base stats'!B:B,'Base stats'!AC:AC),"")
  )
)</f>
        <v>Dig</v>
      </c>
      <c r="BO95" s="25" t="str">
        <f>IF(
   AND(
      'Base stats'!AK95="Standard",_xlfn.XLOOKUP(_xlfn.XLOOKUP(B95,'Base stats'!B:B,'Base stats'!E:E),Groups!A:A,Groups!AU:AU)=0,
      OR(
      BM95="True"
      )
   ),
   10,
   IF(
       OR(BK95&lt;&gt;"No",_xlfn.XLOOKUP(_xlfn.XLOOKUP(B95,'Base stats'!B:B,'Base stats'!E:E),Groups!A:A,Groups!AU:AU)=1),
      1,
      "No"
   )
)</f>
        <v>No</v>
      </c>
      <c r="BP95" s="9">
        <f>MROUND((1 + ((0.2*IF(OR(P95="No",Q95="No",Q95=0),0,P95/Q95)
+IF(OR(U95="No",R95="No",S95="No"),0,R95/S95*(LEN(U95)-LEN(SUBSTITUTE(U95,",",""))+1))
+IF(OR(W95="No",X95="No"),0,W95/X95)
+IF(OR(AC95="No",AD95="No"),0,AC95/AD95)
+IF(OR(AK95="No",AH95="No",AI95="No"),0,AH95/AI95*(LEN(AK95)-LEN(SUBSTITUTE(AK95,",",""))+1))
)/(0.2*IF(OR(P95="No",Q95="No",Q95=0),0,1)
+IF(OR(U95="No",R95="No",S95="No"),0,LEN(U95)-LEN(SUBSTITUTE(U95,",",""))+1)
+IF(OR(W95="No",X95="No"),0,1)
+IF(OR(AC95="No",AD95="No"),0,1)
+IF(OR(AK95="No",AH95="No",AI95="No"),0,LEN(AK95)-LEN(SUBSTITUTE(AK95,",",""))+1))*62%)* 2)*(1 + (AO95 + _xlfn.XLOOKUP(B95,'Base stats'!B:B,'Base stats'!AS:AS) * 1.8) * 2) * 2.5 + 10 + H95 * 2,5)+IF(_xlfn.XLOOKUP(B95,'Base stats'!B:B,'Base stats'!AH:AH)=1,50,0)</f>
        <v>85</v>
      </c>
      <c r="BQ95" s="8">
        <f t="shared" si="12"/>
        <v>0.65</v>
      </c>
      <c r="BR95" s="8" t="str">
        <f>_xlfn.XLOOKUP(B95,'Base stats'!B:B,'Base stats'!AD:AD)</f>
        <v>No</v>
      </c>
      <c r="BS95" s="2" t="str">
        <f>IF(AND(I95&lt;=0.95,OR(_xlfn.XLOOKUP(B95,'Base stats'!B:B,'Base stats'!AH:AH)=1,_xlfn.XLOOKUP(B95,'Base stats'!B:B,'Base stats'!Y:Y)="Carnivore",_xlfn.XLOOKUP(B95,'Base stats'!B:B,'Base stats'!Y:Y)="Omnivore",BC95&gt;0.1)),"true","false")</f>
        <v>false</v>
      </c>
      <c r="BT95" s="2" t="str">
        <f>IF(_xlfn.XLOOKUP(B95,'Base stats'!B:B,'Base stats'!AF:AF)=1,"true","false")</f>
        <v>false</v>
      </c>
      <c r="BU95" s="25" t="str">
        <f>IF(E95="BaseInsect","AnimalInsect",
IF(I95&gt;0.95,"AnimalExotic",
_xlfn.TEXTJOIN(", ",TRUE,
IF(AND(_xlfn.XLOOKUP(B95,'Base stats'!B:B,'Base stats'!O:O)=0,_xlfn.XLOOKUP(_xlfn.XLOOKUP(B95,'Base stats'!B:B,'Base stats'!E:E),Groups!A:A,Groups!B:B)&gt;0),"AnimalUncommon","AnimalCommon"),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stats'!AH:AH)=1,AND(BG95&lt;&gt;"None",BP95&gt;=60),ISNUMBER(SEARCH("Attack target",BN95))),"AnimalFighter","")
)))</f>
        <v>AnimalCommon</v>
      </c>
      <c r="BV95" s="25" t="str">
        <f>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</f>
        <v>Glowforest</v>
      </c>
      <c r="BW95" s="25" t="str">
        <f>IF(_xlfn.XLOOKUP(B95,'Base stats'!B:B,'Base stats'!AG:AG)=1,"true","false")</f>
        <v>false</v>
      </c>
      <c r="BX95" s="25">
        <f>IF(_xlfn.XLOOKUP(B95,'Base stats'!B:B,'Base stats'!N:N)=1,"No",MIN(MROUND(IF(OR(_xlfn.XLOOKUP(B95,'Base stats'!B:B,'Base stats'!AJ:AJ)=1,AND(BH95="True",CA95="False")),POWER(10,3.47*LOG10(_xlfn.XLOOKUP(B95,'Base stats'!B:B,'Base stats'!C:C)*1000)^-0.96),POWER(10,4.15*LOG10(_xlfn.XLOOKUP(B95,'Base stats'!B:B,'Base stats'!C:C)*1000)^-0.73))*IF(OR(_xlfn.XLOOKUP(B95,'Base stats'!B:B,'Base stats'!AJ:AJ)=1,_xlfn.XLOOKUP(B95,'Base stats'!B:B,'Base stats'!AH:AH)=1),0.5,1)/100,0.025),1))</f>
        <v>0.2</v>
      </c>
      <c r="BY95" s="25" t="str">
        <f>IF(O95="Standard","No",IF(_xlfn.XLOOKUP(B95,'Base stats'!B:B,'Base stats'!N:N)=0,MROUND(BX95*O95,0.05),MIN(1,MAX(0.025,MROUND(IF(OR(CA95="true",AND(BH95="false",BM95="false")),POWER(10,4.15*LOG10(_xlfn.XLOOKUP(B95,'Base stats'!B:B,'Base stats'!C:C)*1000)^-0.73),POWER(10,3.47*LOG10(_xlfn.XLOOKUP(B95,'Base stats'!B:B,'Base stats'!C:C)*1000)^-0.96))*IF(_xlfn.XLOOKUP(B95,'Base stats'!B:B,'Base stats'!AH:AH)=1,0.5,1)/100,0.025)))))</f>
        <v>No</v>
      </c>
      <c r="BZ95" s="25" t="str">
        <f>IF(_xlfn.XLOOKUP(_xlfn.XLOOKUP(B95,'Base stats'!B:B,'Base stats'!E:E),Groups!A:A,Groups!AJ:AJ)="Mammal","True","False")</f>
        <v>True</v>
      </c>
      <c r="CA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B95" s="25" t="str">
        <f t="shared" si="13"/>
        <v>False</v>
      </c>
      <c r="CC95" s="25" t="str">
        <f>IF(_xlfn.XLOOKUP(_xlfn.XLOOKUP(B95,'Base stats'!B:B,'Base stats'!E:E),Groups!A:A,Groups!AW:AW),"True","False")</f>
        <v>False</v>
      </c>
      <c r="CD95" s="25" t="str">
        <f>IF(_xlfn.XLOOKUP(_xlfn.XLOOKUP(B95,'Base stats'!B:B,'Base stats'!E:E),Groups!A:A,Groups!AX:AX),"True","False")</f>
        <v>False</v>
      </c>
      <c r="CE95" s="25" t="str">
        <f>IF(_xlfn.XLOOKUP(B95,'Base stats'!B:B,'Base stats'!E:E)=1,"True","False")</f>
        <v>False</v>
      </c>
      <c r="CF95" s="25" t="str">
        <f>IF(
OR(
_xlfn.XLOOKUP(_xlfn.XLOOKUP(B95,'Base stats'!B:B,'Base stats'!E:E),Groups!A:A,Groups!AY:AY)=0,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stats'!E:E),Groups!A:A,Groups!AY:AY)=1,
"Flesh",
IF(
_xlfn.XLOOKUP(_xlfn.XLOOKUP(B95,'Base stats'!B:B,'Base stats'!E:E),Groups!A:A,Groups!AY:AY)=2,
"Bone",
""
)
)
)</f>
        <v>No</v>
      </c>
      <c r="CG95" s="25" t="str">
        <f>IF(_xlfn.XLOOKUP(_xlfn.XLOOKUP(B95,'Base stats'!B:B,'Base stats'!E:E),Groups!A:A,Groups!BA:BA),"True","False")</f>
        <v>True</v>
      </c>
      <c r="CH95" s="25" t="str">
        <f>IF(_xlfn.XLOOKUP(_xlfn.XLOOKUP(B95,'Base stats'!B:B,'Base stats'!E:E),Groups!A:A,Groups!AZ:AZ),"True","False")</f>
        <v>False</v>
      </c>
    </row>
    <row r="96" spans="1:86" ht="16.5" thickTop="1" thickBot="1" x14ac:dyDescent="0.3">
      <c r="A96" s="26" t="str">
        <f>_xlfn.XLOOKUP(B96,'Base stats'!B:B,'Base stats'!A:A)</f>
        <v>Moose</v>
      </c>
      <c r="B96" s="6" t="s">
        <v>147</v>
      </c>
      <c r="C96" s="28" t="s">
        <v>788</v>
      </c>
      <c r="D96" s="28" t="s">
        <v>882</v>
      </c>
      <c r="E96" s="28" t="s">
        <v>685</v>
      </c>
      <c r="F96" s="28" t="s">
        <v>685</v>
      </c>
      <c r="G96" s="2">
        <f>MROUND((
  (IF(AND(_xlfn.XLOOKUP(B96,'Base stats'!B:B,'Base stats'!AI:AI)=0,BG96="None",_xlfn.XLOOKUP('Base stats'!E96,Groups!A:A,Groups!B:B)=0), (18 + BP96 * 2.7) * 0.5,
    IF(AND(_xlfn.XLOOKUP(B96,'Base stats'!B:B,'Base stats'!AI:AI)=0,OR(AN96&lt;0.55,AND(BG96="Intermediate",_xlfn.XLOOKUP('Base stats'!E96,Groups!A:A,Groups!B:B)&lt;2))), (18 + BP96 * 2.7),
      IF(OR(BG96="Advanced",_xlfn.XLOOKUP(B96,'Base stats'!B:B,'Base stats'!AI:AI)=1,_xlfn.XLOOKUP('Base stats'!E96,Groups!A:A,Groups!B:B)=2), (18 + BP96 * 2.7) + 250, (18 + BP96 * 2.7))
    )
  ))
  + AN96 * 80
  + IF(COUNTIF(EggMilk!K$2:K$998, A96) &gt; 0, 125, 0)
  + IF(COUNTIF(EggMilk!P$2:P$998, A96) &gt; 0, 90, 0)
  + IF(COUNTIF(EggMilk!A$2:A$998, A96) &gt; 0, 90, 0)
)
* (0.8 + 0.4 * I96)
* 0.75,25)</f>
        <v>350</v>
      </c>
      <c r="H96" s="2">
        <f>MROUND(ROUNDDOWN(_xlfn.XLOOKUP(B96,'Base stats'!B:B,'Base stats'!L:L)/3.6/(23.3/11),1),0.5)</f>
        <v>7.5</v>
      </c>
      <c r="I96" s="2">
        <f>IF(_xlfn.XLOOKUP(B96,'Base stats'!B:B,'Base stats'!AI:AI)=1,0.99,MIN(MROUND((1-0.6282*EXP(-0.459*AN96))*_xlfn.XLOOKUP(_xlfn.XLOOKUP(B96,'Base stats'!B:B,'Base stats'!E:E),Groups!A:A,Groups!C:C)*IF(_xlfn.XLOOKUP(B96,'Base stats'!B:B,'Base stats'!O:O)=1,0.5,IF(_xlfn.XLOOKUP(B96,'Base stats'!B:B,'Base stats'!O:O)=2,0,1)),0.05),0.985))</f>
        <v>0.70000000000000007</v>
      </c>
      <c r="J96" s="2">
        <f>ROUNDUP(AN96*_xlfn.XLOOKUP(_xlfn.XLOOKUP(B96,'Base stats'!B:B,'Base stats'!E:E),Groups!A:A,Groups!E:E),0)</f>
        <v>13</v>
      </c>
      <c r="K96" s="2">
        <f>IF(OR(_xlfn.XLOOKUP(_xlfn.XLOOKUP(B96,'Base stats'!B:B,'Base stats'!E:E),Groups!A:A,Groups!F:F)=2,ISNUMBER(SEARCH("SeaIce",BV96)),ISNUMBER(SEARCH("IceSheet",BV96))),-50,IF(OR(ISNUMBER(SEARCH("GlacialPlain",BV96)),ISNUMBER(SEARCH("Tundra",BV96))),-40,IF(OR(ISNUMBER(SEARCH("Alpine",BV96)),ISNUMBER(SEARCH("BorealForest",BV96)),ISNUMBER(SEARCH("ColdBog",BV96))),-30,IF(OR(ISNUMBER(SEARCH("TemperateForest",BV96)),ISNUMBER(SEARCH("TemperateSwamp",BV96))),-20,IF(_xlfn.XLOOKUP(_xlfn.XLOOKUP(B96,'Base stats'!B:B,'Base stats'!E:E),Groups!A:A,Groups!F:F)=1,-15,IF(OR(ISNUMBER(SEARCH("Desert",BV96)),ISNUMBER(SEARCH("ExtremeDesert",BV96))),-10,IF(OR(ISNUMBER(SEARCH("Grasslands",BV96)),ISNUMBER(SEARCH("TropicalRainforest",BV96)),ISNUMBER(SEARCH("TropicalSwamp",BV96))),10,0)))))))-IF(CA96="False",MIN(IFERROR(MAX(MROUND(LOG10(_xlfn.XLOOKUP(B96,'Base stats'!B:B,'Base stats'!C:C)^(2/3))*10,5),5),5),30))-_xlfn.XLOOKUP(B96,'Base stats'!B:B,'Base stats'!P:P)+IF(CA96="True",5,0)</f>
        <v>-55</v>
      </c>
      <c r="L96" s="2">
        <f>IF(OR(_xlfn.XLOOKUP(_xlfn.XLOOKUP(B96,'Base stats'!B:B,'Base stats'!E:E),Groups!A:A,Groups!G:G)=2,ISNUMBER(SEARCH("Desert",BV96)),ISNUMBER(SEARCH("ExtremeDesert",BV96)),ISNUMBER(SEARCH("LavaField",BV96))),50,IF(ISNUMBER(SEARCH("Grasslands",BV96)),45,IF(OR(_xlfn.XLOOKUP(_xlfn.XLOOKUP(B96,'Base stats'!B:B,'Base stats'!E:E),Groups!A:A,Groups!G:G)=1,ISNUMBER(SEARCH("TropicalRainforest",BV96)),ISNUMBER(SEARCH("TropicalSwamp",BV96))),40,IF(OR(ISNUMBER(SEARCH("TemperateForest",BV96)),ISNUMBER(SEARCH("TemperateSwamp",BV96))),35,IF(OR(ISNUMBER(SEARCH("Alpine",BV96)),ISNUMBER(SEARCH("BorealForest",BV96)),ISNUMBER(SEARCH("ColdBog",BV96))),30,IF(ISNUMBER(OR(ISNUMBER(SEARCH("GlacialPlain",BV96)),SEARCH("Tundra",BV96))),25,IF(OR(ISNUMBER(SEARCH("SeaIce",BV96)),ISNUMBER(SEARCH("IceSheet",BV96)),ISNUMBER(SEARCH("TropicalSwamp",BV96))),10,35)))))))+_xlfn.XLOOKUP(B96,'Base stats'!B:B,'Base stats'!Q:Q)</f>
        <v>35</v>
      </c>
      <c r="M96" s="8" t="str">
        <f>IF(_xlfn.XLOOKUP(_xlfn.XLOOKUP(B96,'Base stats'!B:B,'Base stats'!E:E),Groups!A:A,Groups!L:L)=1,MIN(MROUND(_xlfn.XLOOKUP(B96,'Animals CE'!B:B,'Animals CE'!Z:Z)/2+0.05,0.05),200%),"No")</f>
        <v>No</v>
      </c>
      <c r="N96" s="8" t="str">
        <f>IF(_xlfn.XLOOKUP(_xlfn.XLOOKUP(B96,'Base stats'!B:B,'Base stats'!E:E),Groups!A:A,Groups!L:L)=1,MIN(MROUND(_xlfn.XLOOKUP(B96,'Animals CE'!B:B,'Animals CE'!AA:AA)/2+0.05,0.05),200%),"No")</f>
        <v>No</v>
      </c>
      <c r="O96" s="2" t="str">
        <f>_xlfn.XLOOKUP(B96,'Base stats'!B:B,'Base stats'!R:R)</f>
        <v>Standard</v>
      </c>
      <c r="P96" s="13">
        <f>MROUND((LOG10(_xlfn.XLOOKUP(B96,'Base stats'!B:B,'Base stats'!AO:AO))*(AN96^0.5)+(_xlfn.XLOOKUP(B96,'Base stats'!B:B,'Base stats'!AO:AO)/1000)^(2/3)+_xlfn.XLOOKUP(B96,'Base stats'!B:B,'Base stats'!AX:AX)/2)+0.5,0.5)</f>
        <v>14</v>
      </c>
      <c r="Q96" s="7">
        <f>IF(P96="No","No",MAX(1,MROUND(_xlfn.XLOOKUP(B96,'Base stats'!B:B,'Base stats'!C:C)^0.165,0.05)))</f>
        <v>2.6500000000000004</v>
      </c>
      <c r="R96" s="13">
        <f>IF(_xlfn.XLOOKUP(_xlfn.XLOOKUP(B96,'Base stats'!B:B,'Base stats'!E:E),Groups!A:A,Groups!P:P)=0,"No",MROUND((LOG10(_xlfn.XLOOKUP(B96,'Base stats'!B:B,'Base stats'!AP:AP))*(AN96^0.5)+(_xlfn.XLOOKUP(B96,'Base stats'!B:B,'Base stats'!AP:AP)/1000)^(2/3)+_xlfn.XLOOKUP(B96,'Base stats'!B:B,'Base stats'!AX:AX))+_xlfn.XLOOKUP(B96,'Base stats'!B:B,'Base stats'!AV:AV)+0.5,0.5))</f>
        <v>17</v>
      </c>
      <c r="S96" s="7">
        <f>IF(R96="No","No",MAX(_xlfn.XLOOKUP(_xlfn.XLOOKUP(B96,'Base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T96" s="7" t="str">
        <f>IF(R96="No","No",_xlfn.XLOOKUP(_xlfn.XLOOKUP(B96,'Base stats'!B:B,'Base stats'!E:E),Groups!A:A,Groups!R:R))</f>
        <v>FrontLeftLeg, FrontRightLeg</v>
      </c>
      <c r="U96" s="7" t="str">
        <f>IF(R96="No","No",_xlfn.XLOOKUP(_xlfn.XLOOKUP(B96,'Base stats'!B:B,'Base stats'!E:E),Groups!A:A,Groups!S:S))</f>
        <v>left hoof, right hoof</v>
      </c>
      <c r="V96" s="7" t="str">
        <f>IF(R96="No","No",_xlfn.XLOOKUP(_xlfn.XLOOKUP(B96,'Base stats'!B:B,'Base stats'!E:E),Groups!A:A,Groups!T:T))</f>
        <v>Blunt</v>
      </c>
      <c r="W96" s="13">
        <f>IF(_xlfn.XLOOKUP(B96,'Base stats'!B:B,'Base stats'!W:W)="No","No",MROUND((LOG10(_xlfn.XLOOKUP(B96,'Base stats'!B:B,'Base stats'!AR:AR))*(AN96^0.5)+(_xlfn.XLOOKUP(B96,'Base stats'!B:B,'Base stats'!AR:AR)/1000)^(2/3)+_xlfn.XLOOKUP(B96,'Base stats'!B:B,'Base stats'!AW:AW))+0.5+IF(_xlfn.XLOOKUP(_xlfn.XLOOKUP(B96,'Base stats'!B:B,'Base stats'!E:E),Groups!A:A,Groups!U:U)&lt;&gt;3,_xlfn.XLOOKUP(B96,'Base stats'!B:B,'Base stats'!AX:AX),0),0.5))</f>
        <v>19.5</v>
      </c>
      <c r="X96" s="7">
        <f>IF(W96="No","No",MAX(_xlfn.XLOOKUP(_xlfn.XLOOKUP(B96,'Base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Y96" s="7" t="str">
        <f>IF(W96="No","No",_xlfn.XLOOKUP(_xlfn.XLOOKUP(B96,'Base stats'!B:B,'Base stats'!E:E),Groups!A:A,Groups!W:W))</f>
        <v>HeadAttackTool</v>
      </c>
      <c r="Z96" s="7" t="str">
        <f>IF(W96="No","No",_xlfn.XLOOKUP(_xlfn.XLOOKUP(B96,'Base stats'!B:B,'Base stats'!E:E),Groups!A:A,Groups!X:X))</f>
        <v>antler</v>
      </c>
      <c r="AA96" s="7" t="str">
        <f>IF(W96="No","No",_xlfn.XLOOKUP(_xlfn.XLOOKUP(B96,'Base stats'!B:B,'Base stats'!E:E),Groups!A:A,Groups!Y:Y))</f>
        <v>Scratch</v>
      </c>
      <c r="AB96" s="7" t="str">
        <f>_xlfn.XLOOKUP(Animals!B96,'Base stats'!B:B,'Base stats'!X:X)</f>
        <v>False</v>
      </c>
      <c r="AC96" s="13" t="str">
        <f>IF(_xlfn.XLOOKUP(B96,'Base stats'!B:B,'Base stats'!AQ:AQ)="No","No",MROUND((LOG10(_xlfn.XLOOKUP(B96,'Base stats'!B:B,'Base stats'!AQ:AQ))*(AN96^0.75)+(_xlfn.XLOOKUP(B96,'Base stats'!B:B,'Base stats'!AQ:AQ)/1000)^(2/3)+_xlfn.XLOOKUP(B96,'Base stats'!B:B,'Base stats'!AU:AU)+_xlfn.XLOOKUP(B96,'Base stats'!B:B,'Base stats'!AX:AX))+0.5,0.5))</f>
        <v>No</v>
      </c>
      <c r="AD96" s="7" t="str">
        <f>IF(AC96="No","No",MAX(_xlfn.XLOOKUP(_xlfn.XLOOKUP(B96,'Base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E96" s="7" t="str">
        <f>IF(AC96="No","No",_xlfn.XLOOKUP(_xlfn.XLOOKUP(B96,'Base stats'!B:B,'Base stats'!E:E),Groups!A:A,Groups!AA:AA))</f>
        <v>No</v>
      </c>
      <c r="AF96" s="7" t="str">
        <f>IF(AC96="No","No",_xlfn.XLOOKUP(_xlfn.XLOOKUP(B96,'Base stats'!B:B,'Base stats'!E:E),Groups!A:A,Groups!AB:AB))</f>
        <v>No</v>
      </c>
      <c r="AG96" s="7" t="str">
        <f>IF(AC96="No","No",_xlfn.XLOOKUP(_xlfn.XLOOKUP(B96,'Base stats'!B:B,'Base stats'!E:E),Groups!A:A,Groups!AC:AC))</f>
        <v>No</v>
      </c>
      <c r="AH96" s="13" t="str">
        <f>IF(_xlfn.XLOOKUP(_xlfn.XLOOKUP(B96,'Base stats'!B:B,'Base stats'!E:E),Groups!A:A,Groups!AD:AD)=0,"No",MROUND((LOG10(_xlfn.XLOOKUP(B96,'Base stats'!B:B,'Base stats'!AP:AP))*(AN96^0.75)+(_xlfn.XLOOKUP(B96,'Base stats'!B:B,'Base stats'!AP:AP)/1000)^(2/3)+_xlfn.XLOOKUP(B96,'Base stats'!B:B,'Base stats'!AV:AV)+_xlfn.XLOOKUP(B96,'Base stats'!B:B,'Base stats'!AX:AX))+0.5,0.5))</f>
        <v>No</v>
      </c>
      <c r="AI96" s="7" t="str">
        <f>IF(AH96="No","No",MAX(_xlfn.XLOOKUP(_xlfn.XLOOKUP(B96,'Base stats'!B:B,'Base stats'!E:E),Groups!A:A,Groups!AE:AE),MROUND(_xlfn.XLOOKUP(_xlfn.XLOOKUP(B96,'Base stats'!B:B,'Base stats'!E:E),Groups!A:A,Groups!AE:AE)*_xlfn.XLOOKUP(B96,'Base stats'!B:B,'Base stats'!C:C)^0.165,0.05)))</f>
        <v>No</v>
      </c>
      <c r="AJ96" s="7" t="str">
        <f>IF(AH96="No","No",_xlfn.XLOOKUP(_xlfn.XLOOKUP(B96,'Base stats'!B:B,'Base stats'!E:E),Groups!A:A,Groups!AF:AF))</f>
        <v>No</v>
      </c>
      <c r="AK96" s="7" t="str">
        <f>IF(AH96="No","No",_xlfn.XLOOKUP(_xlfn.XLOOKUP(B96,'Base stats'!B:B,'Base stats'!E:E),Groups!A:A,Groups!AG:AG))</f>
        <v>No</v>
      </c>
      <c r="AL96" s="7" t="str">
        <f>IF(AH96="No","No",_xlfn.XLOOKUP(_xlfn.XLOOKUP(B96,'Base stats'!B:B,'Base stats'!E:E),Groups!A:A,Groups!AH:AH))</f>
        <v>No</v>
      </c>
      <c r="AM96" s="2" t="str">
        <f t="shared" si="7"/>
        <v>No</v>
      </c>
      <c r="AN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2.5</v>
      </c>
      <c r="AO96" s="8">
        <f>MROUND(AN96*_xlfn.XLOOKUP(_xlfn.XLOOKUP(B96,'Base stats'!B:B,'Base stats'!E:E),Groups!A:A,Groups!AI:AI),0.05)</f>
        <v>2.5</v>
      </c>
      <c r="AP96" s="8">
        <f>MAX(0.01,MROUND(IF(CA96="True",0.196*(AN96*100*1000)^0.889,IF(_xlfn.XLOOKUP(_xlfn.XLOOKUP(B96,'Base stats'!B:B,'Base stats'!E:E),Groups!A:A,Groups!AJ:AJ)="Bird",10.5*(AN96*100*1000)^0.681,4.82*(AN96*100*1000)^0.734))/(4.82*(1*100*1000)^0.734)/IF(AN96&lt;3.5,2,IF(AN96=3.5,1.5,1.25))*(1+0.132282374779864/(AN96^0.994035016789033+0.00905238001496948)),0.05))</f>
        <v>1.05</v>
      </c>
      <c r="AQ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R96" s="35">
        <f>IFERROR(IF(_xlfn.XLOOKUP(B96,'Base stats'!B:B,'Base stats'!F:F)="Lay eggs","Lay eggs",MIN(20,MAX(5.5,ROUND(((_xlfn.XLOOKUP(B96,'Base stats'!B:B,'Base stats'!F:F)-25)*(14.5/615) + 5.5)*2,0)/2))),"Cannot breed")</f>
        <v>10.5</v>
      </c>
      <c r="AS96" s="8">
        <f>IF(OR(A96="Queen",A96="Larva",A96="Megachicken"),"No",IFERROR(MAX(IF(_xlfn.XLOOKUP(B96,'Base stats'!B:B,'Base stats'!G:G)&lt;0.5,0.2,0.3),MROUND(_xlfn.XLOOKUP(B96,'Base stats'!B:B,'Base stats'!G:G)/(365/60),0.2)),"Unknown"))</f>
        <v>0.4</v>
      </c>
      <c r="AT96" s="8">
        <f t="shared" si="8"/>
        <v>0.2</v>
      </c>
      <c r="AU96" s="8">
        <f>IFERROR(IFERROR(MROUND(_xlfn.XLOOKUP(B96,'Base stats'!B:B,'Base stats'!J:J),0.1),"Lay eggs"),"Cannot breed")</f>
        <v>1.3</v>
      </c>
      <c r="AV96" s="2" t="str">
        <f t="shared" si="9"/>
        <v>false</v>
      </c>
      <c r="AW96" s="2" t="str">
        <f>IF(_xlfn.XLOOKUP(_xlfn.XLOOKUP(Animals!B96,'Base stats'!B:B,'Base stats'!E:E),Groups!A:A,Groups!AK:AK)=1,"true","false")</f>
        <v>true</v>
      </c>
      <c r="AX96" s="25" t="str">
        <f>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</f>
        <v>VegetarianRoughAnimal</v>
      </c>
      <c r="AY96" s="2">
        <f>IF(_xlfn.XLOOKUP(_xlfn.XLOOKUP(B96,'Base stats'!B:B,'Base stats'!E:E),Groups!A:A,Groups!D:D)=1,MROUND((1-I96)*5+1,2)*IF(I96&lt;=0.4,2,1),"No")</f>
        <v>2</v>
      </c>
      <c r="AZ96" s="2" t="str">
        <f>_xlfn.XLOOKUP(B96,'Base stats'!B:B,'Base stats'!AE:AE)</f>
        <v>Leather_Plain</v>
      </c>
      <c r="BA96" s="23" t="str">
        <f>_xlfn.XLOOKUP(_xlfn.XLOOKUP(B96,'Base stats'!B:B,'Base stats'!E:E),Groups!A:A,Groups!AL:AL)</f>
        <v>QuadrupedAnimalWithHooves</v>
      </c>
      <c r="BB96" s="23">
        <f>MROUND(IF(AND(AN96&lt;0.5,_xlfn.XLOOKUP(B96,'Base stats'!B:B,'Base stats'!Z:Z)=0),0,IF(OR(_xlfn.XLOOKUP(Animals!B96,'Base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stats'!AA:AA),0.005)</f>
        <v>2.5000000000000001E-2</v>
      </c>
      <c r="BC96" s="23">
        <f>MROUND(IF(AND(AN96&lt;0.5,_xlfn.XLOOKUP(B96,'Base stats'!B:B,'Base stats'!Z:Z)=0),0,IF(_xlfn.XLOOKUP(_xlfn.XLOOKUP(B96,'Base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stats'!AB:AB),0.005)</f>
        <v>0.05</v>
      </c>
      <c r="BD96" s="2" t="str">
        <f>IF(I96&gt;0.3,"No",_xlfn.XLOOKUP(_xlfn.XLOOKUP(Animals!B96,'Base stats'!B:B,'Base stats'!E:E),Groups!A:A,Groups!AP:AP))</f>
        <v>No</v>
      </c>
      <c r="BE96" s="2" t="str">
        <f>IF(AND(I96&lt;=0.65,_xlfn.XLOOKUP(_xlfn.XLOOKUP(Animals!B96,'Base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stats'!O:O)=2,0.2,AN96) + 24*(1-IF(BD96="No",0,BD96)) + 16/3, 12),"No")</f>
        <v>No</v>
      </c>
      <c r="BF96" s="2">
        <f>IF(AND(_xlfn.XLOOKUP(_xlfn.XLOOKUP(B96,'Base stats'!B:B,'Base stats'!E:E),Groups!A:A,Groups!AQ:AQ)=1,AN96&lt;=0.35),8,12)</f>
        <v>12</v>
      </c>
      <c r="BG96" s="2" t="str">
        <f>IF(_xlfn.XLOOKUP(_xlfn.XLOOKUP(B96,'Base stats'!B:B,'Base stats'!E:E),Groups!A:A,Groups!D:D)=0,_xlfn.XLOOKUP(_xlfn.XLOOKUP(B96,'Base stats'!B:B,'Base stats'!E:E),Groups!A:A,Groups!AR:AR),"None")</f>
        <v>None</v>
      </c>
      <c r="BH96" s="2" t="str">
        <f>IF(AND(_xlfn.XLOOKUP(_xlfn.XLOOKUP(B96,'Base stats'!B:B,'Base stats'!E:E),Groups!A:A,Groups!AS:AS)=1,OR('Base stats'!Y96="Carnivore",'Base stats'!Y96="Omnivore")),"true","false")</f>
        <v>false</v>
      </c>
      <c r="BI96" s="2" t="str">
        <f>IF(BH96="true",MROUND(IF(AND(AN96&gt;0.5,_xlfn.XLOOKUP(_xlfn.XLOOKUP(B96,'Base stats'!B:B,'Base stats'!E:E),Groups!A:A,Groups!AJ:AJ)="Mammal"),Animals!AN96*1.75*IF(AV96="true",1.5,1),Animals!AN96),IF(AN96&gt;2,0.5,IF(AN96&gt;0.5,0.25,0.1))),"No")</f>
        <v>No</v>
      </c>
      <c r="BJ96" s="2">
        <f t="shared" si="10"/>
        <v>0</v>
      </c>
      <c r="BK96" s="25" t="str">
        <f>IF('Base stats'!AK96="Standard","No",MROUND((_xlfn.XLOOKUP(B96,'Base stats'!B:B,'Base stats'!AK:AK)/3.6)/H96,0.1))</f>
        <v>No</v>
      </c>
      <c r="BL96" s="25" t="str">
        <f t="shared" si="11"/>
        <v>false</v>
      </c>
      <c r="BM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N96" s="25" t="str" cm="1">
        <f t="array" ref="BN96">IF(
  _xlfn.TEXTJOIN(", ",TRUE,
    IF(AND(BH96="true",AN96&gt;0.5,BG96&lt;&gt;"None"),"AttackTarget",""),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IF(BE96&lt;=36,"Comfort",""),
    IF(_xlfn.XLOOKUP(B96,'Base stats'!B:B,'Base stats'!AC:AC)&lt;&gt;"No",_xlfn.XLOOKUP(B96,'Base stats'!B:B,'Base stats'!AC:AC),"")
  ) = "",
  "No",
  _xlfn.TEXTJOIN(", ",TRUE,
    IF(AND(BH96="true",AN96&gt;0.5,BG96&lt;&gt;"None"),"AttackTarget",""),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IF(BE96&lt;=36,"Comfort",""),
    IF(_xlfn.XLOOKUP(B96,'Base stats'!B:B,'Base stats'!AC:AC)&lt;&gt;"No",_xlfn.XLOOKUP(B96,'Base stats'!B:B,'Base stats'!AC:AC),"")
  )
)</f>
        <v>No</v>
      </c>
      <c r="BO96" s="25" t="str">
        <f>IF(
   AND(
      'Base stats'!AK96="Standard",_xlfn.XLOOKUP(_xlfn.XLOOKUP(B96,'Base stats'!B:B,'Base stats'!E:E),Groups!A:A,Groups!AU:AU)=0,
      OR(
      BM96="True"
      )
   ),
   10,
   IF(
       OR(BK96&lt;&gt;"No",_xlfn.XLOOKUP(_xlfn.XLOOKUP(B96,'Base stats'!B:B,'Base stats'!E:E),Groups!A:A,Groups!AU:AU)=1),
      1,
      "No"
   )
)</f>
        <v>No</v>
      </c>
      <c r="BP96" s="9">
        <f>MROUND((1 + ((0.2*IF(OR(P96="No",Q96="No",Q96=0),0,P96/Q96)
+IF(OR(U96="No",R96="No",S96="No"),0,R96/S96*(LEN(U96)-LEN(SUBSTITUTE(U96,",",""))+1))
+IF(OR(W96="No",X96="No"),0,W96/X96)
+IF(OR(AC96="No",AD96="No"),0,AC96/AD96)
+IF(OR(AK96="No",AH96="No",AI96="No"),0,AH96/AI96*(LEN(AK96)-LEN(SUBSTITUTE(AK96,",",""))+1))
)/(0.2*IF(OR(P96="No",Q96="No",Q96=0),0,1)
+IF(OR(U96="No",R96="No",S96="No"),0,LEN(U96)-LEN(SUBSTITUTE(U96,",",""))+1)
+IF(OR(W96="No",X96="No"),0,1)
+IF(OR(AC96="No",AD96="No"),0,1)
+IF(OR(AK96="No",AH96="No",AI96="No"),0,LEN(AK96)-LEN(SUBSTITUTE(AK96,",",""))+1))*62%)* 2)*(1 + (AO96 + _xlfn.XLOOKUP(B96,'Base stats'!B:B,'Base stats'!AS:AS) * 1.8) * 2) * 2.5 + 10 + H96 * 2,5)+IF(_xlfn.XLOOKUP(B96,'Base stats'!B:B,'Base stats'!AH:AH)=1,50,0)</f>
        <v>170</v>
      </c>
      <c r="BQ96" s="8">
        <f t="shared" si="12"/>
        <v>1.35</v>
      </c>
      <c r="BR96" s="8" t="str">
        <f>_xlfn.XLOOKUP(B96,'Base stats'!B:B,'Base stats'!AD:AD)</f>
        <v>No</v>
      </c>
      <c r="BS96" s="2" t="str">
        <f>IF(AND(I96&lt;=0.95,OR(_xlfn.XLOOKUP(B96,'Base stats'!B:B,'Base stats'!AH:AH)=1,_xlfn.XLOOKUP(B96,'Base stats'!B:B,'Base stats'!Y:Y)="Carnivore",_xlfn.XLOOKUP(B96,'Base stats'!B:B,'Base stats'!Y:Y)="Omnivore",BC96&gt;0.1)),"true","false")</f>
        <v>false</v>
      </c>
      <c r="BT96" s="2" t="str">
        <f>IF(_xlfn.XLOOKUP(B96,'Base stats'!B:B,'Base stats'!AF:AF)=1,"true","false")</f>
        <v>false</v>
      </c>
      <c r="BU96" s="25" t="str">
        <f>IF(E96="BaseInsect","AnimalInsect",
IF(I96&gt;0.95,"AnimalExotic",
_xlfn.TEXTJOIN(", ",TRUE,
IF(AND(_xlfn.XLOOKUP(B96,'Base stats'!B:B,'Base stats'!O:O)=0,_xlfn.XLOOKUP(_xlfn.XLOOKUP(B96,'Base stats'!B:B,'Base stats'!E:E),Groups!A:A,Groups!B:B)&gt;0),"AnimalUncommon","AnimalCommon"),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stats'!AH:AH)=1,AND(BG96&lt;&gt;"None",BP96&gt;=60),ISNUMBER(SEARCH("Attack target",BN96))),"AnimalFighter","")
)))</f>
        <v>AnimalCommon</v>
      </c>
      <c r="BV96" s="25" t="str">
        <f>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</f>
        <v>Tundra BorealForest ColdBog TemperateForest TemperateSwamp GlacialPlain</v>
      </c>
      <c r="BW96" s="25" t="str">
        <f>IF(_xlfn.XLOOKUP(B96,'Base stats'!B:B,'Base stats'!AG:AG)=1,"true","false")</f>
        <v>false</v>
      </c>
      <c r="BX96" s="25">
        <f>IF(_xlfn.XLOOKUP(B96,'Base stats'!B:B,'Base stats'!N:N)=1,"No",MIN(MROUND(IF(OR(_xlfn.XLOOKUP(B96,'Base stats'!B:B,'Base stats'!AJ:AJ)=1,AND(BH96="True",CA96="False")),POWER(10,3.47*LOG10(_xlfn.XLOOKUP(B96,'Base stats'!B:B,'Base stats'!C:C)*1000)^-0.96),POWER(10,4.15*LOG10(_xlfn.XLOOKUP(B96,'Base stats'!B:B,'Base stats'!C:C)*1000)^-0.73))*IF(OR(_xlfn.XLOOKUP(B96,'Base stats'!B:B,'Base stats'!AJ:AJ)=1,_xlfn.XLOOKUP(B96,'Base stats'!B:B,'Base stats'!AH:AH)=1),0.5,1)/100,0.025),1))</f>
        <v>0.15000000000000002</v>
      </c>
      <c r="BY96" s="25" t="str">
        <f>IF(O96="Standard","No",IF(_xlfn.XLOOKUP(B96,'Base stats'!B:B,'Base stats'!N:N)=0,MROUND(BX96*O96,0.05),MIN(1,MAX(0.025,MROUND(IF(OR(CA96="true",AND(BH96="false",BM96="false")),POWER(10,4.15*LOG10(_xlfn.XLOOKUP(B96,'Base stats'!B:B,'Base stats'!C:C)*1000)^-0.73),POWER(10,3.47*LOG10(_xlfn.XLOOKUP(B96,'Base stats'!B:B,'Base stats'!C:C)*1000)^-0.96))*IF(_xlfn.XLOOKUP(B96,'Base stats'!B:B,'Base stats'!AH:AH)=1,0.5,1)/100,0.025)))))</f>
        <v>No</v>
      </c>
      <c r="BZ96" s="25" t="str">
        <f>IF(_xlfn.XLOOKUP(_xlfn.XLOOKUP(B96,'Base stats'!B:B,'Base stats'!E:E),Groups!A:A,Groups!AJ:AJ)="Mammal","True","False")</f>
        <v>True</v>
      </c>
      <c r="CA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B96" s="25" t="str">
        <f t="shared" si="13"/>
        <v>False</v>
      </c>
      <c r="CC96" s="25" t="str">
        <f>IF(_xlfn.XLOOKUP(_xlfn.XLOOKUP(B96,'Base stats'!B:B,'Base stats'!E:E),Groups!A:A,Groups!AW:AW),"True","False")</f>
        <v>False</v>
      </c>
      <c r="CD96" s="25" t="str">
        <f>IF(_xlfn.XLOOKUP(_xlfn.XLOOKUP(B96,'Base stats'!B:B,'Base stats'!E:E),Groups!A:A,Groups!AX:AX),"True","False")</f>
        <v>False</v>
      </c>
      <c r="CE96" s="25" t="str">
        <f>IF(_xlfn.XLOOKUP(B96,'Base stats'!B:B,'Base stats'!E:E)=1,"True","False")</f>
        <v>False</v>
      </c>
      <c r="CF96" s="25" t="str">
        <f>IF(
OR(
_xlfn.XLOOKUP(_xlfn.XLOOKUP(B96,'Base stats'!B:B,'Base stats'!E:E),Groups!A:A,Groups!AY:AY)=0,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stats'!E:E),Groups!A:A,Groups!AY:AY)=1,
"Flesh",
IF(
_xlfn.XLOOKUP(_xlfn.XLOOKUP(B96,'Base stats'!B:B,'Base stats'!E:E),Groups!A:A,Groups!AY:AY)=2,
"Bone",
""
)
)
)</f>
        <v>No</v>
      </c>
      <c r="CG96" s="25" t="str">
        <f>IF(_xlfn.XLOOKUP(_xlfn.XLOOKUP(B96,'Base stats'!B:B,'Base stats'!E:E),Groups!A:A,Groups!BA:BA),"True","False")</f>
        <v>True</v>
      </c>
      <c r="CH96" s="25" t="str">
        <f>IF(_xlfn.XLOOKUP(_xlfn.XLOOKUP(B96,'Base stats'!B:B,'Base stats'!E:E),Groups!A:A,Groups!AZ:AZ),"True","False")</f>
        <v>False</v>
      </c>
    </row>
    <row r="97" spans="1:86" ht="16.5" thickTop="1" thickBot="1" x14ac:dyDescent="0.3">
      <c r="A97" s="26" t="str">
        <f>_xlfn.XLOOKUP(B97,'Base stats'!B:B,'Base stats'!A:A)</f>
        <v>Muskox</v>
      </c>
      <c r="B97" s="6" t="s">
        <v>230</v>
      </c>
      <c r="C97" s="28" t="s">
        <v>789</v>
      </c>
      <c r="D97" s="28" t="s">
        <v>882</v>
      </c>
      <c r="E97" s="28" t="s">
        <v>685</v>
      </c>
      <c r="F97" s="28" t="s">
        <v>685</v>
      </c>
      <c r="G97" s="2">
        <f>MROUND((
  (IF(AND(_xlfn.XLOOKUP(B97,'Base stats'!B:B,'Base stats'!AI:AI)=0,BG97="None",_xlfn.XLOOKUP('Base stats'!E97,Groups!A:A,Groups!B:B)=0), (18 + BP97 * 2.7) * 0.5,
    IF(AND(_xlfn.XLOOKUP(B97,'Base stats'!B:B,'Base stats'!AI:AI)=0,OR(AN97&lt;0.55,AND(BG97="Intermediate",_xlfn.XLOOKUP('Base stats'!E97,Groups!A:A,Groups!B:B)&lt;2))), (18 + BP97 * 2.7),
      IF(OR(BG97="Advanced",_xlfn.XLOOKUP(B97,'Base stats'!B:B,'Base stats'!AI:AI)=1,_xlfn.XLOOKUP('Base stats'!E97,Groups!A:A,Groups!B:B)=2), (18 + BP97 * 2.7) + 250, (18 + BP97 * 2.7))
    )
  ))
  + AN97 * 80
  + IF(COUNTIF(EggMilk!K$2:K$998, A97) &gt; 0, 125, 0)
  + IF(COUNTIF(EggMilk!P$2:P$998, A97) &gt; 0, 90, 0)
  + IF(COUNTIF(EggMilk!A$2:A$998, A97) &gt; 0, 90, 0)
)
* (0.8 + 0.4 * I97)
* 0.75,25)</f>
        <v>375</v>
      </c>
      <c r="H97" s="2">
        <f>MROUND(ROUNDDOWN(_xlfn.XLOOKUP(B97,'Base stats'!B:B,'Base stats'!L:L)/3.6/(23.3/11),1),0.5)</f>
        <v>7</v>
      </c>
      <c r="I97" s="2">
        <f>IF(_xlfn.XLOOKUP(B97,'Base stats'!B:B,'Base stats'!AI:AI)=1,0.99,MIN(MROUND((1-0.6282*EXP(-0.459*AN97))*_xlfn.XLOOKUP(_xlfn.XLOOKUP(B97,'Base stats'!B:B,'Base stats'!E:E),Groups!A:A,Groups!C:C)*IF(_xlfn.XLOOKUP(B97,'Base stats'!B:B,'Base stats'!O:O)=1,0.5,IF(_xlfn.XLOOKUP(B97,'Base stats'!B:B,'Base stats'!O:O)=2,0,1)),0.05),0.985))</f>
        <v>0.65</v>
      </c>
      <c r="J97" s="2">
        <f>ROUNDUP(AN97*_xlfn.XLOOKUP(_xlfn.XLOOKUP(B97,'Base stats'!B:B,'Base stats'!E:E),Groups!A:A,Groups!E:E),0)</f>
        <v>12</v>
      </c>
      <c r="K97" s="2">
        <f>IF(OR(_xlfn.XLOOKUP(_xlfn.XLOOKUP(B97,'Base stats'!B:B,'Base stats'!E:E),Groups!A:A,Groups!F:F)=2,ISNUMBER(SEARCH("SeaIce",BV97)),ISNUMBER(SEARCH("IceSheet",BV97))),-50,IF(OR(ISNUMBER(SEARCH("GlacialPlain",BV97)),ISNUMBER(SEARCH("Tundra",BV97))),-40,IF(OR(ISNUMBER(SEARCH("Alpine",BV97)),ISNUMBER(SEARCH("BorealForest",BV97)),ISNUMBER(SEARCH("ColdBog",BV97))),-30,IF(OR(ISNUMBER(SEARCH("TemperateForest",BV97)),ISNUMBER(SEARCH("TemperateSwamp",BV97))),-20,IF(_xlfn.XLOOKUP(_xlfn.XLOOKUP(B97,'Base stats'!B:B,'Base stats'!E:E),Groups!A:A,Groups!F:F)=1,-15,IF(OR(ISNUMBER(SEARCH("Desert",BV97)),ISNUMBER(SEARCH("ExtremeDesert",BV97))),-10,IF(OR(ISNUMBER(SEARCH("Grasslands",BV97)),ISNUMBER(SEARCH("TropicalRainforest",BV97)),ISNUMBER(SEARCH("TropicalSwamp",BV97))),10,0)))))))-IF(CA97="False",MIN(IFERROR(MAX(MROUND(LOG10(_xlfn.XLOOKUP(B97,'Base stats'!B:B,'Base stats'!C:C)^(2/3))*10,5),5),5),30))-_xlfn.XLOOKUP(B97,'Base stats'!B:B,'Base stats'!P:P)+IF(CA97="True",5,0)</f>
        <v>-55</v>
      </c>
      <c r="L97" s="2">
        <f>IF(OR(_xlfn.XLOOKUP(_xlfn.XLOOKUP(B97,'Base stats'!B:B,'Base stats'!E:E),Groups!A:A,Groups!G:G)=2,ISNUMBER(SEARCH("Desert",BV97)),ISNUMBER(SEARCH("ExtremeDesert",BV97)),ISNUMBER(SEARCH("LavaField",BV97))),50,IF(ISNUMBER(SEARCH("Grasslands",BV97)),45,IF(OR(_xlfn.XLOOKUP(_xlfn.XLOOKUP(B97,'Base stats'!B:B,'Base stats'!E:E),Groups!A:A,Groups!G:G)=1,ISNUMBER(SEARCH("TropicalRainforest",BV97)),ISNUMBER(SEARCH("TropicalSwamp",BV97))),40,IF(OR(ISNUMBER(SEARCH("TemperateForest",BV97)),ISNUMBER(SEARCH("TemperateSwamp",BV97))),35,IF(OR(ISNUMBER(SEARCH("Alpine",BV97)),ISNUMBER(SEARCH("BorealForest",BV97)),ISNUMBER(SEARCH("ColdBog",BV97))),30,IF(ISNUMBER(OR(ISNUMBER(SEARCH("GlacialPlain",BV97)),SEARCH("Tundra",BV97))),25,IF(OR(ISNUMBER(SEARCH("SeaIce",BV97)),ISNUMBER(SEARCH("IceSheet",BV97)),ISNUMBER(SEARCH("TropicalSwamp",BV97))),10,35)))))))+_xlfn.XLOOKUP(B97,'Base stats'!B:B,'Base stats'!Q:Q)</f>
        <v>35</v>
      </c>
      <c r="M97" s="8" t="str">
        <f>IF(_xlfn.XLOOKUP(_xlfn.XLOOKUP(B97,'Base stats'!B:B,'Base stats'!E:E),Groups!A:A,Groups!L:L)=1,MIN(MROUND(_xlfn.XLOOKUP(B97,'Animals CE'!B:B,'Animals CE'!Z:Z)/2+0.05,0.05),200%),"No")</f>
        <v>No</v>
      </c>
      <c r="N97" s="8" t="str">
        <f>IF(_xlfn.XLOOKUP(_xlfn.XLOOKUP(B97,'Base stats'!B:B,'Base stats'!E:E),Groups!A:A,Groups!L:L)=1,MIN(MROUND(_xlfn.XLOOKUP(B97,'Animals CE'!B:B,'Animals CE'!AA:AA)/2+0.05,0.05),200%),"No")</f>
        <v>No</v>
      </c>
      <c r="O97" s="2" t="str">
        <f>_xlfn.XLOOKUP(B97,'Base stats'!B:B,'Base stats'!R:R)</f>
        <v>Standard</v>
      </c>
      <c r="P97" s="13">
        <f>MROUND((LOG10(_xlfn.XLOOKUP(B97,'Base stats'!B:B,'Base stats'!AO:AO))*(AN97^0.5)+(_xlfn.XLOOKUP(B97,'Base stats'!B:B,'Base stats'!AO:AO)/1000)^(2/3)+_xlfn.XLOOKUP(B97,'Base stats'!B:B,'Base stats'!AX:AX)/2)+0.5,0.5)</f>
        <v>13</v>
      </c>
      <c r="Q97" s="7">
        <f>IF(P97="No","No",MAX(1,MROUND(_xlfn.XLOOKUP(B97,'Base stats'!B:B,'Base stats'!C:C)^0.165,0.05)))</f>
        <v>2.6</v>
      </c>
      <c r="R97" s="13">
        <f>IF(_xlfn.XLOOKUP(_xlfn.XLOOKUP(B97,'Base stats'!B:B,'Base stats'!E:E),Groups!A:A,Groups!P:P)=0,"No",MROUND((LOG10(_xlfn.XLOOKUP(B97,'Base stats'!B:B,'Base stats'!AP:AP))*(AN97^0.5)+(_xlfn.XLOOKUP(B97,'Base stats'!B:B,'Base stats'!AP:AP)/1000)^(2/3)+_xlfn.XLOOKUP(B97,'Base stats'!B:B,'Base stats'!AX:AX))+_xlfn.XLOOKUP(B97,'Base stats'!B:B,'Base stats'!AV:AV)+0.5,0.5))</f>
        <v>16</v>
      </c>
      <c r="S97" s="7">
        <f>IF(R97="No","No",MAX(_xlfn.XLOOKUP(_xlfn.XLOOKUP(B97,'Base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T97" s="7" t="str">
        <f>IF(R97="No","No",_xlfn.XLOOKUP(_xlfn.XLOOKUP(B97,'Base stats'!B:B,'Base stats'!E:E),Groups!A:A,Groups!R:R))</f>
        <v>FrontLeftLeg, FrontRightLeg</v>
      </c>
      <c r="U97" s="7" t="str">
        <f>IF(R97="No","No",_xlfn.XLOOKUP(_xlfn.XLOOKUP(B97,'Base stats'!B:B,'Base stats'!E:E),Groups!A:A,Groups!S:S))</f>
        <v>left hoof, right hoof</v>
      </c>
      <c r="V97" s="7" t="str">
        <f>IF(R97="No","No",_xlfn.XLOOKUP(_xlfn.XLOOKUP(B97,'Base stats'!B:B,'Base stats'!E:E),Groups!A:A,Groups!T:T))</f>
        <v>Blunt</v>
      </c>
      <c r="W97" s="13">
        <f>IF(_xlfn.XLOOKUP(B97,'Base stats'!B:B,'Base stats'!W:W)="No","No",MROUND((LOG10(_xlfn.XLOOKUP(B97,'Base stats'!B:B,'Base stats'!AR:AR))*(AN97^0.5)+(_xlfn.XLOOKUP(B97,'Base stats'!B:B,'Base stats'!AR:AR)/1000)^(2/3)+_xlfn.XLOOKUP(B97,'Base stats'!B:B,'Base stats'!AW:AW))+0.5+IF(_xlfn.XLOOKUP(_xlfn.XLOOKUP(B97,'Base stats'!B:B,'Base stats'!E:E),Groups!A:A,Groups!U:U)&lt;&gt;3,_xlfn.XLOOKUP(B97,'Base stats'!B:B,'Base stats'!AX:AX),0),0.5))</f>
        <v>17.5</v>
      </c>
      <c r="X97" s="7">
        <f>IF(W97="No","No",MAX(_xlfn.XLOOKUP(_xlfn.XLOOKUP(B97,'Base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Y97" s="7" t="str">
        <f>IF(W97="No","No",_xlfn.XLOOKUP(_xlfn.XLOOKUP(B97,'Base stats'!B:B,'Base stats'!E:E),Groups!A:A,Groups!W:W))</f>
        <v>HeadAttackTool</v>
      </c>
      <c r="Z97" s="7" t="str">
        <f>IF(W97="No","No",_xlfn.XLOOKUP(_xlfn.XLOOKUP(B97,'Base stats'!B:B,'Base stats'!E:E),Groups!A:A,Groups!X:X))</f>
        <v>horn</v>
      </c>
      <c r="AA97" s="7" t="str">
        <f>IF(W97="No","No",_xlfn.XLOOKUP(_xlfn.XLOOKUP(B97,'Base stats'!B:B,'Base stats'!E:E),Groups!A:A,Groups!Y:Y))</f>
        <v>Blunt</v>
      </c>
      <c r="AB97" s="7" t="str">
        <f>_xlfn.XLOOKUP(Animals!B97,'Base stats'!B:B,'Base stats'!X:X)</f>
        <v>False</v>
      </c>
      <c r="AC97" s="13" t="str">
        <f>IF(_xlfn.XLOOKUP(B97,'Base stats'!B:B,'Base stats'!AQ:AQ)="No","No",MROUND((LOG10(_xlfn.XLOOKUP(B97,'Base stats'!B:B,'Base stats'!AQ:AQ))*(AN97^0.75)+(_xlfn.XLOOKUP(B97,'Base stats'!B:B,'Base stats'!AQ:AQ)/1000)^(2/3)+_xlfn.XLOOKUP(B97,'Base stats'!B:B,'Base stats'!AU:AU)+_xlfn.XLOOKUP(B97,'Base stats'!B:B,'Base stats'!AX:AX))+0.5,0.5))</f>
        <v>No</v>
      </c>
      <c r="AD97" s="7" t="str">
        <f>IF(AC97="No","No",MAX(_xlfn.XLOOKUP(_xlfn.XLOOKUP(B97,'Base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E97" s="7" t="str">
        <f>IF(AC97="No","No",_xlfn.XLOOKUP(_xlfn.XLOOKUP(B97,'Base stats'!B:B,'Base stats'!E:E),Groups!A:A,Groups!AA:AA))</f>
        <v>No</v>
      </c>
      <c r="AF97" s="7" t="str">
        <f>IF(AC97="No","No",_xlfn.XLOOKUP(_xlfn.XLOOKUP(B97,'Base stats'!B:B,'Base stats'!E:E),Groups!A:A,Groups!AB:AB))</f>
        <v>No</v>
      </c>
      <c r="AG97" s="7" t="str">
        <f>IF(AC97="No","No",_xlfn.XLOOKUP(_xlfn.XLOOKUP(B97,'Base stats'!B:B,'Base stats'!E:E),Groups!A:A,Groups!AC:AC))</f>
        <v>No</v>
      </c>
      <c r="AH97" s="13" t="str">
        <f>IF(_xlfn.XLOOKUP(_xlfn.XLOOKUP(B97,'Base stats'!B:B,'Base stats'!E:E),Groups!A:A,Groups!AD:AD)=0,"No",MROUND((LOG10(_xlfn.XLOOKUP(B97,'Base stats'!B:B,'Base stats'!AP:AP))*(AN97^0.75)+(_xlfn.XLOOKUP(B97,'Base stats'!B:B,'Base stats'!AP:AP)/1000)^(2/3)+_xlfn.XLOOKUP(B97,'Base stats'!B:B,'Base stats'!AV:AV)+_xlfn.XLOOKUP(B97,'Base stats'!B:B,'Base stats'!AX:AX))+0.5,0.5))</f>
        <v>No</v>
      </c>
      <c r="AI97" s="7" t="str">
        <f>IF(AH97="No","No",MAX(_xlfn.XLOOKUP(_xlfn.XLOOKUP(B97,'Base stats'!B:B,'Base stats'!E:E),Groups!A:A,Groups!AE:AE),MROUND(_xlfn.XLOOKUP(_xlfn.XLOOKUP(B97,'Base stats'!B:B,'Base stats'!E:E),Groups!A:A,Groups!AE:AE)*_xlfn.XLOOKUP(B97,'Base stats'!B:B,'Base stats'!C:C)^0.165,0.05)))</f>
        <v>No</v>
      </c>
      <c r="AJ97" s="7" t="str">
        <f>IF(AH97="No","No",_xlfn.XLOOKUP(_xlfn.XLOOKUP(B97,'Base stats'!B:B,'Base stats'!E:E),Groups!A:A,Groups!AF:AF))</f>
        <v>No</v>
      </c>
      <c r="AK97" s="7" t="str">
        <f>IF(AH97="No","No",_xlfn.XLOOKUP(_xlfn.XLOOKUP(B97,'Base stats'!B:B,'Base stats'!E:E),Groups!A:A,Groups!AG:AG))</f>
        <v>No</v>
      </c>
      <c r="AL97" s="7" t="str">
        <f>IF(AH97="No","No",_xlfn.XLOOKUP(_xlfn.XLOOKUP(B97,'Base stats'!B:B,'Base stats'!E:E),Groups!A:A,Groups!AH:AH))</f>
        <v>No</v>
      </c>
      <c r="AM97" s="2" t="str">
        <f t="shared" si="7"/>
        <v>No</v>
      </c>
      <c r="AN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O97" s="8">
        <f>MROUND(AN97*_xlfn.XLOOKUP(_xlfn.XLOOKUP(B97,'Base stats'!B:B,'Base stats'!E:E),Groups!A:A,Groups!AI:AI),0.05)</f>
        <v>2.25</v>
      </c>
      <c r="AP97" s="8">
        <f>MAX(0.01,MROUND(IF(CA97="True",0.196*(AN97*100*1000)^0.889,IF(_xlfn.XLOOKUP(_xlfn.XLOOKUP(B97,'Base stats'!B:B,'Base stats'!E:E),Groups!A:A,Groups!AJ:AJ)="Bird",10.5*(AN97*100*1000)^0.681,4.82*(AN97*100*1000)^0.734))/(4.82*(1*100*1000)^0.734)/IF(AN97&lt;3.5,2,IF(AN97=3.5,1.5,1.25))*(1+0.132282374779864/(AN97^0.994035016789033+0.00905238001496948)),0.05))</f>
        <v>0.95000000000000007</v>
      </c>
      <c r="AQ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R97" s="35">
        <f>IFERROR(IF(_xlfn.XLOOKUP(B97,'Base stats'!B:B,'Base stats'!F:F)="Lay eggs","Lay eggs",MIN(20,MAX(5.5,ROUND(((_xlfn.XLOOKUP(B97,'Base stats'!B:B,'Base stats'!F:F)-25)*(14.5/615) + 5.5)*2,0)/2))),"Cannot breed")</f>
        <v>11</v>
      </c>
      <c r="AS97" s="8">
        <f>IF(OR(A97="Queen",A97="Larva",A97="Megachicken"),"No",IFERROR(MAX(IF(_xlfn.XLOOKUP(B97,'Base stats'!B:B,'Base stats'!G:G)&lt;0.5,0.2,0.3),MROUND(_xlfn.XLOOKUP(B97,'Base stats'!B:B,'Base stats'!G:G)/(365/60),0.2)),"Unknown"))</f>
        <v>0.4</v>
      </c>
      <c r="AT97" s="8">
        <f t="shared" si="8"/>
        <v>0.2</v>
      </c>
      <c r="AU97" s="8">
        <f>IFERROR(IFERROR(MROUND(_xlfn.XLOOKUP(B97,'Base stats'!B:B,'Base stats'!J:J),0.1),"Lay eggs"),"Cannot breed")</f>
        <v>1</v>
      </c>
      <c r="AV97" s="2" t="str">
        <f t="shared" si="9"/>
        <v>true</v>
      </c>
      <c r="AW97" s="2" t="str">
        <f>IF(_xlfn.XLOOKUP(_xlfn.XLOOKUP(Animals!B97,'Base stats'!B:B,'Base stats'!E:E),Groups!A:A,Groups!AK:AK)=1,"true","false")</f>
        <v>true</v>
      </c>
      <c r="AX97" s="25" t="str">
        <f>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</f>
        <v>VegetarianRoughAnimal</v>
      </c>
      <c r="AY97" s="2">
        <f>IF(_xlfn.XLOOKUP(_xlfn.XLOOKUP(B97,'Base stats'!B:B,'Base stats'!E:E),Groups!A:A,Groups!D:D)=1,MROUND((1-I97)*5+1,2)*IF(I97&lt;=0.4,2,1),"No")</f>
        <v>2</v>
      </c>
      <c r="AZ97" s="2" t="str">
        <f>_xlfn.XLOOKUP(B97,'Base stats'!B:B,'Base stats'!AE:AE)</f>
        <v>Leather_Plain</v>
      </c>
      <c r="BA97" s="23" t="str">
        <f>_xlfn.XLOOKUP(_xlfn.XLOOKUP(B97,'Base stats'!B:B,'Base stats'!E:E),Groups!A:A,Groups!AL:AL)</f>
        <v>QuadrupedAnimalWithHooves</v>
      </c>
      <c r="BB97" s="23">
        <f>MROUND(IF(AND(AN97&lt;0.5,_xlfn.XLOOKUP(B97,'Base stats'!B:B,'Base stats'!Z:Z)=0),0,IF(OR(_xlfn.XLOOKUP(Animals!B97,'Base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stats'!AA:AA),0.005)</f>
        <v>2.5000000000000001E-2</v>
      </c>
      <c r="BC97" s="23">
        <f>MROUND(IF(AND(AN97&lt;0.5,_xlfn.XLOOKUP(B97,'Base stats'!B:B,'Base stats'!Z:Z)=0),0,IF(_xlfn.XLOOKUP(_xlfn.XLOOKUP(B97,'Base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stats'!AB:AB),0.005)</f>
        <v>0.05</v>
      </c>
      <c r="BD97" s="2" t="str">
        <f>IF(I97&gt;0.3,"No",_xlfn.XLOOKUP(_xlfn.XLOOKUP(Animals!B97,'Base stats'!B:B,'Base stats'!E:E),Groups!A:A,Groups!AP:AP))</f>
        <v>No</v>
      </c>
      <c r="BE97" s="2" t="str">
        <f>IF(AND(I97&lt;=0.65,_xlfn.XLOOKUP(_xlfn.XLOOKUP(Animals!B97,'Base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stats'!O:O)=2,0.2,AN97) + 24*(1-IF(BD97="No",0,BD97)) + 16/3, 12),"No")</f>
        <v>No</v>
      </c>
      <c r="BF97" s="2">
        <f>IF(AND(_xlfn.XLOOKUP(_xlfn.XLOOKUP(B97,'Base stats'!B:B,'Base stats'!E:E),Groups!A:A,Groups!AQ:AQ)=1,AN97&lt;=0.35),8,12)</f>
        <v>12</v>
      </c>
      <c r="BG97" s="2" t="str">
        <f>IF(_xlfn.XLOOKUP(_xlfn.XLOOKUP(B97,'Base stats'!B:B,'Base stats'!E:E),Groups!A:A,Groups!D:D)=0,_xlfn.XLOOKUP(_xlfn.XLOOKUP(B97,'Base stats'!B:B,'Base stats'!E:E),Groups!A:A,Groups!AR:AR),"None")</f>
        <v>None</v>
      </c>
      <c r="BH97" s="2" t="str">
        <f>IF(AND(_xlfn.XLOOKUP(_xlfn.XLOOKUP(B97,'Base stats'!B:B,'Base stats'!E:E),Groups!A:A,Groups!AS:AS)=1,OR('Base stats'!Y97="Carnivore",'Base stats'!Y97="Omnivore")),"true","false")</f>
        <v>false</v>
      </c>
      <c r="BI97" s="2" t="str">
        <f>IF(BH97="true",MROUND(IF(AND(AN97&gt;0.5,_xlfn.XLOOKUP(_xlfn.XLOOKUP(B97,'Base stats'!B:B,'Base stats'!E:E),Groups!A:A,Groups!AJ:AJ)="Mammal"),Animals!AN97*1.75*IF(AV97="true",1.5,1),Animals!AN97),IF(AN97&gt;2,0.5,IF(AN97&gt;0.5,0.25,0.1))),"No")</f>
        <v>No</v>
      </c>
      <c r="BJ97" s="2">
        <f t="shared" si="10"/>
        <v>0</v>
      </c>
      <c r="BK97" s="25" t="str">
        <f>IF('Base stats'!AK97="Standard","No",MROUND((_xlfn.XLOOKUP(B97,'Base stats'!B:B,'Base stats'!AK:AK)/3.6)/H97,0.1))</f>
        <v>No</v>
      </c>
      <c r="BL97" s="25" t="str">
        <f t="shared" si="11"/>
        <v>false</v>
      </c>
      <c r="BM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N97" s="25" t="str" cm="1">
        <f t="array" ref="BN97">IF(
  _xlfn.TEXTJOIN(", ",TRUE,
    IF(AND(BH97="true",AN97&gt;0.5,BG97&lt;&gt;"None"),"AttackTarget",""),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IF(BE97&lt;=36,"Comfort",""),
    IF(_xlfn.XLOOKUP(B97,'Base stats'!B:B,'Base stats'!AC:AC)&lt;&gt;"No",_xlfn.XLOOKUP(B97,'Base stats'!B:B,'Base stats'!AC:AC),"")
  ) = "",
  "No",
  _xlfn.TEXTJOIN(", ",TRUE,
    IF(AND(BH97="true",AN97&gt;0.5,BG97&lt;&gt;"None"),"AttackTarget",""),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IF(BE97&lt;=36,"Comfort",""),
    IF(_xlfn.XLOOKUP(B97,'Base stats'!B:B,'Base stats'!AC:AC)&lt;&gt;"No",_xlfn.XLOOKUP(B97,'Base stats'!B:B,'Base stats'!AC:AC),"")
  )
)</f>
        <v>No</v>
      </c>
      <c r="BO97" s="25" t="str">
        <f>IF(
   AND(
      'Base stats'!AK97="Standard",_xlfn.XLOOKUP(_xlfn.XLOOKUP(B97,'Base stats'!B:B,'Base stats'!E:E),Groups!A:A,Groups!AU:AU)=0,
      OR(
      BM97="True"
      )
   ),
   10,
   IF(
       OR(BK97&lt;&gt;"No",_xlfn.XLOOKUP(_xlfn.XLOOKUP(B97,'Base stats'!B:B,'Base stats'!E:E),Groups!A:A,Groups!AU:AU)=1),
      1,
      "No"
   )
)</f>
        <v>No</v>
      </c>
      <c r="BP97" s="9">
        <f>MROUND((1 + ((0.2*IF(OR(P97="No",Q97="No",Q97=0),0,P97/Q97)
+IF(OR(U97="No",R97="No",S97="No"),0,R97/S97*(LEN(U97)-LEN(SUBSTITUTE(U97,",",""))+1))
+IF(OR(W97="No",X97="No"),0,W97/X97)
+IF(OR(AC97="No",AD97="No"),0,AC97/AD97)
+IF(OR(AK97="No",AH97="No",AI97="No"),0,AH97/AI97*(LEN(AK97)-LEN(SUBSTITUTE(AK97,",",""))+1))
)/(0.2*IF(OR(P97="No",Q97="No",Q97=0),0,1)
+IF(OR(U97="No",R97="No",S97="No"),0,LEN(U97)-LEN(SUBSTITUTE(U97,",",""))+1)
+IF(OR(W97="No",X97="No"),0,1)
+IF(OR(AC97="No",AD97="No"),0,1)
+IF(OR(AK97="No",AH97="No",AI97="No"),0,LEN(AK97)-LEN(SUBSTITUTE(AK97,",",""))+1))*62%)* 2)*(1 + (AO97 + _xlfn.XLOOKUP(B97,'Base stats'!B:B,'Base stats'!AS:AS) * 1.8) * 2) * 2.5 + 10 + H97 * 2,5)+IF(_xlfn.XLOOKUP(B97,'Base stats'!B:B,'Base stats'!AH:AH)=1,50,0)</f>
        <v>150</v>
      </c>
      <c r="BQ97" s="8">
        <f t="shared" si="12"/>
        <v>1.2000000000000002</v>
      </c>
      <c r="BR97" s="8" t="str">
        <f>_xlfn.XLOOKUP(B97,'Base stats'!B:B,'Base stats'!AD:AD)</f>
        <v>3~10</v>
      </c>
      <c r="BS97" s="2" t="str">
        <f>IF(AND(I97&lt;=0.95,OR(_xlfn.XLOOKUP(B97,'Base stats'!B:B,'Base stats'!AH:AH)=1,_xlfn.XLOOKUP(B97,'Base stats'!B:B,'Base stats'!Y:Y)="Carnivore",_xlfn.XLOOKUP(B97,'Base stats'!B:B,'Base stats'!Y:Y)="Omnivore",BC97&gt;0.1)),"true","false")</f>
        <v>false</v>
      </c>
      <c r="BT97" s="2" t="str">
        <f>IF(_xlfn.XLOOKUP(B97,'Base stats'!B:B,'Base stats'!AF:AF)=1,"true","false")</f>
        <v>false</v>
      </c>
      <c r="BU97" s="25" t="str">
        <f>IF(E97="BaseInsect","AnimalInsect",
IF(I97&gt;0.95,"AnimalExotic",
_xlfn.TEXTJOIN(", ",TRUE,
IF(AND(_xlfn.XLOOKUP(B97,'Base stats'!B:B,'Base stats'!O:O)=0,_xlfn.XLOOKUP(_xlfn.XLOOKUP(B97,'Base stats'!B:B,'Base stats'!E:E),Groups!A:A,Groups!B:B)&gt;0),"AnimalUncommon","AnimalCommon"),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stats'!AH:AH)=1,AND(BG97&lt;&gt;"None",BP97&gt;=60),ISNUMBER(SEARCH("Attack target",BN97))),"AnimalFighter","")
)))</f>
        <v>AnimalCommon</v>
      </c>
      <c r="BV97" s="25" t="str">
        <f>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</f>
        <v>Tundra GlacialPlain</v>
      </c>
      <c r="BW97" s="25" t="str">
        <f>IF(_xlfn.XLOOKUP(B97,'Base stats'!B:B,'Base stats'!AG:AG)=1,"true","false")</f>
        <v>false</v>
      </c>
      <c r="BX97" s="25">
        <f>IF(_xlfn.XLOOKUP(B97,'Base stats'!B:B,'Base stats'!N:N)=1,"No",MIN(MROUND(IF(OR(_xlfn.XLOOKUP(B97,'Base stats'!B:B,'Base stats'!AJ:AJ)=1,AND(BH97="True",CA97="False")),POWER(10,3.47*LOG10(_xlfn.XLOOKUP(B97,'Base stats'!B:B,'Base stats'!C:C)*1000)^-0.96),POWER(10,4.15*LOG10(_xlfn.XLOOKUP(B97,'Base stats'!B:B,'Base stats'!C:C)*1000)^-0.73))*IF(OR(_xlfn.XLOOKUP(B97,'Base stats'!B:B,'Base stats'!AJ:AJ)=1,_xlfn.XLOOKUP(B97,'Base stats'!B:B,'Base stats'!AH:AH)=1),0.5,1)/100,0.025),1))</f>
        <v>0.15000000000000002</v>
      </c>
      <c r="BY97" s="25" t="str">
        <f>IF(O97="Standard","No",IF(_xlfn.XLOOKUP(B97,'Base stats'!B:B,'Base stats'!N:N)=0,MROUND(BX97*O97,0.05),MIN(1,MAX(0.025,MROUND(IF(OR(CA97="true",AND(BH97="false",BM97="false")),POWER(10,4.15*LOG10(_xlfn.XLOOKUP(B97,'Base stats'!B:B,'Base stats'!C:C)*1000)^-0.73),POWER(10,3.47*LOG10(_xlfn.XLOOKUP(B97,'Base stats'!B:B,'Base stats'!C:C)*1000)^-0.96))*IF(_xlfn.XLOOKUP(B97,'Base stats'!B:B,'Base stats'!AH:AH)=1,0.5,1)/100,0.025)))))</f>
        <v>No</v>
      </c>
      <c r="BZ97" s="25" t="str">
        <f>IF(_xlfn.XLOOKUP(_xlfn.XLOOKUP(B97,'Base stats'!B:B,'Base stats'!E:E),Groups!A:A,Groups!AJ:AJ)="Mammal","True","False")</f>
        <v>True</v>
      </c>
      <c r="CA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B97" s="25" t="str">
        <f t="shared" si="13"/>
        <v>False</v>
      </c>
      <c r="CC97" s="25" t="str">
        <f>IF(_xlfn.XLOOKUP(_xlfn.XLOOKUP(B97,'Base stats'!B:B,'Base stats'!E:E),Groups!A:A,Groups!AW:AW),"True","False")</f>
        <v>False</v>
      </c>
      <c r="CD97" s="25" t="str">
        <f>IF(_xlfn.XLOOKUP(_xlfn.XLOOKUP(B97,'Base stats'!B:B,'Base stats'!E:E),Groups!A:A,Groups!AX:AX),"True","False")</f>
        <v>False</v>
      </c>
      <c r="CE97" s="25" t="str">
        <f>IF(_xlfn.XLOOKUP(B97,'Base stats'!B:B,'Base stats'!E:E)=1,"True","False")</f>
        <v>False</v>
      </c>
      <c r="CF97" s="25" t="str">
        <f>IF(
OR(
_xlfn.XLOOKUP(_xlfn.XLOOKUP(B97,'Base stats'!B:B,'Base stats'!E:E),Groups!A:A,Groups!AY:AY)=0,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stats'!E:E),Groups!A:A,Groups!AY:AY)=1,
"Flesh",
IF(
_xlfn.XLOOKUP(_xlfn.XLOOKUP(B97,'Base stats'!B:B,'Base stats'!E:E),Groups!A:A,Groups!AY:AY)=2,
"Bone",
""
)
)
)</f>
        <v>No</v>
      </c>
      <c r="CG97" s="25" t="str">
        <f>IF(_xlfn.XLOOKUP(_xlfn.XLOOKUP(B97,'Base stats'!B:B,'Base stats'!E:E),Groups!A:A,Groups!BA:BA),"True","False")</f>
        <v>True</v>
      </c>
      <c r="CH97" s="25" t="str">
        <f>IF(_xlfn.XLOOKUP(_xlfn.XLOOKUP(B97,'Base stats'!B:B,'Base stats'!E:E),Groups!A:A,Groups!AZ:AZ),"True","False")</f>
        <v>False</v>
      </c>
    </row>
    <row r="98" spans="1:86" ht="16.5" thickTop="1" thickBot="1" x14ac:dyDescent="0.3">
      <c r="A98" s="26" t="str">
        <f>_xlfn.XLOOKUP(B98,'Base stats'!B:B,'Base stats'!A:A)</f>
        <v>LavaSnail</v>
      </c>
      <c r="B98" s="6" t="s">
        <v>293</v>
      </c>
      <c r="C98" s="28" t="s">
        <v>790</v>
      </c>
      <c r="D98" s="28" t="s">
        <v>882</v>
      </c>
      <c r="E98" s="28" t="s">
        <v>685</v>
      </c>
      <c r="F98" s="28" t="s">
        <v>685</v>
      </c>
      <c r="G98" s="2">
        <f>MROUND((
  (IF(AND(_xlfn.XLOOKUP(B98,'Base stats'!B:B,'Base stats'!AI:AI)=0,BG98="None",_xlfn.XLOOKUP('Base stats'!E98,Groups!A:A,Groups!B:B)=0), (18 + BP98 * 2.7) * 0.5,
    IF(AND(_xlfn.XLOOKUP(B98,'Base stats'!B:B,'Base stats'!AI:AI)=0,OR(AN98&lt;0.55,AND(BG98="Intermediate",_xlfn.XLOOKUP('Base stats'!E98,Groups!A:A,Groups!B:B)&lt;2))), (18 + BP98 * 2.7),
      IF(OR(BG98="Advanced",_xlfn.XLOOKUP(B98,'Base stats'!B:B,'Base stats'!AI:AI)=1,_xlfn.XLOOKUP('Base stats'!E98,Groups!A:A,Groups!B:B)=2), (18 + BP98 * 2.7) + 250, (18 + BP98 * 2.7))
    )
  ))
  + AN98 * 80
  + IF(COUNTIF(EggMilk!K$2:K$998, A98) &gt; 0, 125, 0)
  + IF(COUNTIF(EggMilk!P$2:P$998, A98) &gt; 0, 90, 0)
  + IF(COUNTIF(EggMilk!A$2:A$998, A98) &gt; 0, 90, 0)
)
* (0.8 + 0.4 * I98)
* 0.75,25)</f>
        <v>175</v>
      </c>
      <c r="H98" s="2">
        <f>MROUND(ROUNDDOWN(_xlfn.XLOOKUP(B98,'Base stats'!B:B,'Base stats'!L:L)/3.6/(23.3/11),1),0.5)</f>
        <v>0.5</v>
      </c>
      <c r="I98" s="2">
        <f>IF(_xlfn.XLOOKUP(B98,'Base stats'!B:B,'Base stats'!AI:AI)=1,0.99,MIN(MROUND((1-0.6282*EXP(-0.459*AN98))*_xlfn.XLOOKUP(_xlfn.XLOOKUP(B98,'Base stats'!B:B,'Base stats'!E:E),Groups!A:A,Groups!C:C)*IF(_xlfn.XLOOKUP(B98,'Base stats'!B:B,'Base stats'!O:O)=1,0.5,IF(_xlfn.XLOOKUP(B98,'Base stats'!B:B,'Base stats'!O:O)=2,0,1)),0.05),0.985))</f>
        <v>0.30000000000000004</v>
      </c>
      <c r="J98" s="2">
        <f>ROUNDUP(AN98*_xlfn.XLOOKUP(_xlfn.XLOOKUP(B98,'Base stats'!B:B,'Base stats'!E:E),Groups!A:A,Groups!E:E),0)</f>
        <v>10</v>
      </c>
      <c r="K98" s="2">
        <f>IF(OR(_xlfn.XLOOKUP(_xlfn.XLOOKUP(B98,'Base stats'!B:B,'Base stats'!E:E),Groups!A:A,Groups!F:F)=2,ISNUMBER(SEARCH("SeaIce",BV98)),ISNUMBER(SEARCH("IceSheet",BV98))),-50,IF(OR(ISNUMBER(SEARCH("GlacialPlain",BV98)),ISNUMBER(SEARCH("Tundra",BV98))),-40,IF(OR(ISNUMBER(SEARCH("Alpine",BV98)),ISNUMBER(SEARCH("BorealForest",BV98)),ISNUMBER(SEARCH("ColdBog",BV98))),-30,IF(OR(ISNUMBER(SEARCH("TemperateForest",BV98)),ISNUMBER(SEARCH("TemperateSwamp",BV98))),-20,IF(_xlfn.XLOOKUP(_xlfn.XLOOKUP(B98,'Base stats'!B:B,'Base stats'!E:E),Groups!A:A,Groups!F:F)=1,-15,IF(OR(ISNUMBER(SEARCH("Desert",BV98)),ISNUMBER(SEARCH("ExtremeDesert",BV98))),-10,IF(OR(ISNUMBER(SEARCH("Grasslands",BV98)),ISNUMBER(SEARCH("TropicalRainforest",BV98)),ISNUMBER(SEARCH("TropicalSwamp",BV98))),10,0)))))))-IF(CA98="False",MIN(IFERROR(MAX(MROUND(LOG10(_xlfn.XLOOKUP(B98,'Base stats'!B:B,'Base stats'!C:C)^(2/3))*10,5),5),5),30))-_xlfn.XLOOKUP(B98,'Base stats'!B:B,'Base stats'!P:P)+IF(CA98="True",5,0)</f>
        <v>5</v>
      </c>
      <c r="L98" s="2">
        <f>IF(OR(_xlfn.XLOOKUP(_xlfn.XLOOKUP(B98,'Base stats'!B:B,'Base stats'!E:E),Groups!A:A,Groups!G:G)=2,ISNUMBER(SEARCH("Desert",BV98)),ISNUMBER(SEARCH("ExtremeDesert",BV98)),ISNUMBER(SEARCH("LavaField",BV98))),50,IF(ISNUMBER(SEARCH("Grasslands",BV98)),45,IF(OR(_xlfn.XLOOKUP(_xlfn.XLOOKUP(B98,'Base stats'!B:B,'Base stats'!E:E),Groups!A:A,Groups!G:G)=1,ISNUMBER(SEARCH("TropicalRainforest",BV98)),ISNUMBER(SEARCH("TropicalSwamp",BV98))),40,IF(OR(ISNUMBER(SEARCH("TemperateForest",BV98)),ISNUMBER(SEARCH("TemperateSwamp",BV98))),35,IF(OR(ISNUMBER(SEARCH("Alpine",BV98)),ISNUMBER(SEARCH("BorealForest",BV98)),ISNUMBER(SEARCH("ColdBog",BV98))),30,IF(ISNUMBER(OR(ISNUMBER(SEARCH("GlacialPlain",BV98)),SEARCH("Tundra",BV98))),25,IF(OR(ISNUMBER(SEARCH("SeaIce",BV98)),ISNUMBER(SEARCH("IceSheet",BV98)),ISNUMBER(SEARCH("TropicalSwamp",BV98))),10,35)))))))+_xlfn.XLOOKUP(B98,'Base stats'!B:B,'Base stats'!Q:Q)</f>
        <v>35</v>
      </c>
      <c r="M98" s="8">
        <f>IF(_xlfn.XLOOKUP(_xlfn.XLOOKUP(B98,'Base stats'!B:B,'Base stats'!E:E),Groups!A:A,Groups!L:L)=1,MIN(MROUND(_xlfn.XLOOKUP(B98,'Animals CE'!B:B,'Animals CE'!Z:Z)/2+0.05,0.05),200%),"No")</f>
        <v>0.60000000000000009</v>
      </c>
      <c r="N98" s="8">
        <f>IF(_xlfn.XLOOKUP(_xlfn.XLOOKUP(B98,'Base stats'!B:B,'Base stats'!E:E),Groups!A:A,Groups!L:L)=1,MIN(MROUND(_xlfn.XLOOKUP(B98,'Animals CE'!B:B,'Animals CE'!AA:AA)/2+0.05,0.05),200%),"No")</f>
        <v>0.05</v>
      </c>
      <c r="O98" s="2" t="str">
        <f>_xlfn.XLOOKUP(B98,'Base stats'!B:B,'Base stats'!R:R)</f>
        <v>Standard</v>
      </c>
      <c r="P98" s="13">
        <f>MROUND((LOG10(_xlfn.XLOOKUP(B98,'Base stats'!B:B,'Base stats'!AO:AO))*(AN98^0.5)+(_xlfn.XLOOKUP(B98,'Base stats'!B:B,'Base stats'!AO:AO)/1000)^(2/3)+_xlfn.XLOOKUP(B98,'Base stats'!B:B,'Base stats'!AX:AX)/2)+0.5,0.5)</f>
        <v>6.5</v>
      </c>
      <c r="Q98" s="7">
        <f>IF(P98="No","No",MAX(1,MROUND(_xlfn.XLOOKUP(B98,'Base stats'!B:B,'Base stats'!C:C)^0.165,0.05)))</f>
        <v>1.9000000000000001</v>
      </c>
      <c r="R98" s="13" t="str">
        <f>IF(_xlfn.XLOOKUP(_xlfn.XLOOKUP(B98,'Base stats'!B:B,'Base stats'!E:E),Groups!A:A,Groups!P:P)=0,"No",MROUND((LOG10(_xlfn.XLOOKUP(B98,'Base stats'!B:B,'Base stats'!AP:AP))*(AN98^0.5)+(_xlfn.XLOOKUP(B98,'Base stats'!B:B,'Base stats'!AP:AP)/1000)^(2/3)+_xlfn.XLOOKUP(B98,'Base stats'!B:B,'Base stats'!AX:AX))+_xlfn.XLOOKUP(B98,'Base stats'!B:B,'Base stats'!AV:AV)+0.5,0.5))</f>
        <v>No</v>
      </c>
      <c r="S98" s="7" t="str">
        <f>IF(R98="No","No",MAX(_xlfn.XLOOKUP(_xlfn.XLOOKUP(B98,'Base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T98" s="7" t="str">
        <f>IF(R98="No","No",_xlfn.XLOOKUP(_xlfn.XLOOKUP(B98,'Base stats'!B:B,'Base stats'!E:E),Groups!A:A,Groups!R:R))</f>
        <v>No</v>
      </c>
      <c r="U98" s="7" t="str">
        <f>IF(R98="No","No",_xlfn.XLOOKUP(_xlfn.XLOOKUP(B98,'Base stats'!B:B,'Base stats'!E:E),Groups!A:A,Groups!S:S))</f>
        <v>No</v>
      </c>
      <c r="V98" s="7" t="str">
        <f>IF(R98="No","No",_xlfn.XLOOKUP(_xlfn.XLOOKUP(B98,'Base stats'!B:B,'Base stats'!E:E),Groups!A:A,Groups!T:T))</f>
        <v>No</v>
      </c>
      <c r="W98" s="13" t="str">
        <f>IF(_xlfn.XLOOKUP(B98,'Base stats'!B:B,'Base stats'!W:W)="No","No",MROUND((LOG10(_xlfn.XLOOKUP(B98,'Base stats'!B:B,'Base stats'!AR:AR))*(AN98^0.5)+(_xlfn.XLOOKUP(B98,'Base stats'!B:B,'Base stats'!AR:AR)/1000)^(2/3)+_xlfn.XLOOKUP(B98,'Base stats'!B:B,'Base stats'!AW:AW))+0.5+IF(_xlfn.XLOOKUP(_xlfn.XLOOKUP(B98,'Base stats'!B:B,'Base stats'!E:E),Groups!A:A,Groups!U:U)&lt;&gt;3,_xlfn.XLOOKUP(B98,'Base stats'!B:B,'Base stats'!AX:AX),0),0.5))</f>
        <v>No</v>
      </c>
      <c r="X98" s="7" t="str">
        <f>IF(W98="No","No",MAX(_xlfn.XLOOKUP(_xlfn.XLOOKUP(B98,'Base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Y98" s="7" t="str">
        <f>IF(W98="No","No",_xlfn.XLOOKUP(_xlfn.XLOOKUP(B98,'Base stats'!B:B,'Base stats'!E:E),Groups!A:A,Groups!W:W))</f>
        <v>No</v>
      </c>
      <c r="Z98" s="7" t="str">
        <f>IF(W98="No","No",_xlfn.XLOOKUP(_xlfn.XLOOKUP(B98,'Base stats'!B:B,'Base stats'!E:E),Groups!A:A,Groups!X:X))</f>
        <v>No</v>
      </c>
      <c r="AA98" s="7" t="str">
        <f>IF(W98="No","No",_xlfn.XLOOKUP(_xlfn.XLOOKUP(B98,'Base stats'!B:B,'Base stats'!E:E),Groups!A:A,Groups!Y:Y))</f>
        <v>No</v>
      </c>
      <c r="AB98" s="7" t="str">
        <f>_xlfn.XLOOKUP(Animals!B98,'Base stats'!B:B,'Base stats'!X:X)</f>
        <v>False</v>
      </c>
      <c r="AC98" s="13">
        <f>IF(_xlfn.XLOOKUP(B98,'Base stats'!B:B,'Base stats'!AQ:AQ)="No","No",MROUND((LOG10(_xlfn.XLOOKUP(B98,'Base stats'!B:B,'Base stats'!AQ:AQ))*(AN98^0.75)+(_xlfn.XLOOKUP(B98,'Base stats'!B:B,'Base stats'!AQ:AQ)/1000)^(2/3)+_xlfn.XLOOKUP(B98,'Base stats'!B:B,'Base stats'!AU:AU)+_xlfn.XLOOKUP(B98,'Base stats'!B:B,'Base stats'!AX:AX))+0.5,0.5))</f>
        <v>7</v>
      </c>
      <c r="AD98" s="7">
        <f>IF(AC98="No","No",MAX(_xlfn.XLOOKUP(_xlfn.XLOOKUP(B98,'Base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E98" s="7" t="str">
        <f>IF(AC98="No","No",_xlfn.XLOOKUP(_xlfn.XLOOKUP(B98,'Base stats'!B:B,'Base stats'!E:E),Groups!A:A,Groups!AA:AA))</f>
        <v>Mouth</v>
      </c>
      <c r="AF98" s="7" t="str">
        <f>IF(AC98="No","No",_xlfn.XLOOKUP(_xlfn.XLOOKUP(B98,'Base stats'!B:B,'Base stats'!E:E),Groups!A:A,Groups!AB:AB))</f>
        <v>radula</v>
      </c>
      <c r="AG98" s="7" t="str">
        <f>IF(AC98="No","No",_xlfn.XLOOKUP(_xlfn.XLOOKUP(B98,'Base stats'!B:B,'Base stats'!E:E),Groups!A:A,Groups!AC:AC))</f>
        <v>Bite</v>
      </c>
      <c r="AH98" s="13" t="str">
        <f>IF(_xlfn.XLOOKUP(_xlfn.XLOOKUP(B98,'Base stats'!B:B,'Base stats'!E:E),Groups!A:A,Groups!AD:AD)=0,"No",MROUND((LOG10(_xlfn.XLOOKUP(B98,'Base stats'!B:B,'Base stats'!AP:AP))*(AN98^0.75)+(_xlfn.XLOOKUP(B98,'Base stats'!B:B,'Base stats'!AP:AP)/1000)^(2/3)+_xlfn.XLOOKUP(B98,'Base stats'!B:B,'Base stats'!AV:AV)+_xlfn.XLOOKUP(B98,'Base stats'!B:B,'Base stats'!AX:AX))+0.5,0.5))</f>
        <v>No</v>
      </c>
      <c r="AI98" s="7" t="str">
        <f>IF(AH98="No","No",MAX(_xlfn.XLOOKUP(_xlfn.XLOOKUP(B98,'Base stats'!B:B,'Base stats'!E:E),Groups!A:A,Groups!AE:AE),MROUND(_xlfn.XLOOKUP(_xlfn.XLOOKUP(B98,'Base stats'!B:B,'Base stats'!E:E),Groups!A:A,Groups!AE:AE)*_xlfn.XLOOKUP(B98,'Base stats'!B:B,'Base stats'!C:C)^0.165,0.05)))</f>
        <v>No</v>
      </c>
      <c r="AJ98" s="7" t="str">
        <f>IF(AH98="No","No",_xlfn.XLOOKUP(_xlfn.XLOOKUP(B98,'Base stats'!B:B,'Base stats'!E:E),Groups!A:A,Groups!AF:AF))</f>
        <v>No</v>
      </c>
      <c r="AK98" s="7" t="str">
        <f>IF(AH98="No","No",_xlfn.XLOOKUP(_xlfn.XLOOKUP(B98,'Base stats'!B:B,'Base stats'!E:E),Groups!A:A,Groups!AG:AG))</f>
        <v>No</v>
      </c>
      <c r="AL98" s="7" t="str">
        <f>IF(AH98="No","No",_xlfn.XLOOKUP(_xlfn.XLOOKUP(B98,'Base stats'!B:B,'Base stats'!E:E),Groups!A:A,Groups!AH:AH))</f>
        <v>No</v>
      </c>
      <c r="AM98" s="2" t="str">
        <f t="shared" si="7"/>
        <v>No</v>
      </c>
      <c r="AN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O98" s="8">
        <f>MROUND(AN98*_xlfn.XLOOKUP(_xlfn.XLOOKUP(B98,'Base stats'!B:B,'Base stats'!E:E),Groups!A:A,Groups!AI:AI),0.05)</f>
        <v>0.85000000000000009</v>
      </c>
      <c r="AP98" s="8">
        <f>MAX(0.01,MROUND(IF(CA98="True",0.196*(AN98*100*1000)^0.889,IF(_xlfn.XLOOKUP(_xlfn.XLOOKUP(B98,'Base stats'!B:B,'Base stats'!E:E),Groups!A:A,Groups!AJ:AJ)="Bird",10.5*(AN98*100*1000)^0.681,4.82*(AN98*100*1000)^0.734))/(4.82*(1*100*1000)^0.734)/IF(AN98&lt;3.5,2,IF(AN98=3.5,1.5,1.25))*(1+0.132282374779864/(AN98^0.994035016789033+0.00905238001496948)),0.05))</f>
        <v>0.1</v>
      </c>
      <c r="AQ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R98" s="35">
        <f>IFERROR(IF(_xlfn.XLOOKUP(B98,'Base stats'!B:B,'Base stats'!F:F)="Lay eggs","Lay eggs",MIN(20,MAX(5.5,ROUND(((_xlfn.XLOOKUP(B98,'Base stats'!B:B,'Base stats'!F:F)-25)*(14.5/615) + 5.5)*2,0)/2))),"Cannot breed")</f>
        <v>7.5</v>
      </c>
      <c r="AS98" s="8">
        <f>IF(OR(A98="Queen",A98="Larva",A98="Megachicken"),"No",IFERROR(MAX(IF(_xlfn.XLOOKUP(B98,'Base stats'!B:B,'Base stats'!G:G)&lt;0.5,0.2,0.3),MROUND(_xlfn.XLOOKUP(B98,'Base stats'!B:B,'Base stats'!G:G)/(365/60),0.2)),"Unknown"))</f>
        <v>0.8</v>
      </c>
      <c r="AT98" s="8">
        <f t="shared" si="8"/>
        <v>0.4</v>
      </c>
      <c r="AU98" s="8">
        <f>IFERROR(IFERROR(MROUND(_xlfn.XLOOKUP(B98,'Base stats'!B:B,'Base stats'!J:J),0.1),"Lay eggs"),"Cannot breed")</f>
        <v>10</v>
      </c>
      <c r="AV98" s="2" t="str">
        <f t="shared" si="9"/>
        <v>false</v>
      </c>
      <c r="AW98" s="2" t="str">
        <f>IF(_xlfn.XLOOKUP(_xlfn.XLOOKUP(Animals!B98,'Base stats'!B:B,'Base stats'!E:E),Groups!A:A,Groups!AK:AK)=1,"true","false")</f>
        <v>false</v>
      </c>
      <c r="AX98" s="25" t="str">
        <f>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</f>
        <v>VegetarianRoughAnimal</v>
      </c>
      <c r="AY98" s="2" t="str">
        <f>IF(_xlfn.XLOOKUP(_xlfn.XLOOKUP(B98,'Base stats'!B:B,'Base stats'!E:E),Groups!A:A,Groups!D:D)=1,MROUND((1-I98)*5+1,2)*IF(I98&lt;=0.4,2,1),"No")</f>
        <v>No</v>
      </c>
      <c r="AZ98" s="2" t="str">
        <f>_xlfn.XLOOKUP(B98,'Base stats'!B:B,'Base stats'!AE:AE)</f>
        <v>No</v>
      </c>
      <c r="BA98" s="23" t="str">
        <f>_xlfn.XLOOKUP(_xlfn.XLOOKUP(B98,'Base stats'!B:B,'Base stats'!E:E),Groups!A:A,Groups!AL:AL)</f>
        <v>Snail</v>
      </c>
      <c r="BB98" s="23">
        <f>MROUND(IF(AND(AN98&lt;0.5,_xlfn.XLOOKUP(B98,'Base stats'!B:B,'Base stats'!Z:Z)=0),0,IF(OR(_xlfn.XLOOKUP(Animals!B98,'Base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stats'!AA:AA),0.005)</f>
        <v>0</v>
      </c>
      <c r="BC98" s="23">
        <f>MROUND(IF(AND(AN98&lt;0.5,_xlfn.XLOOKUP(B98,'Base stats'!B:B,'Base stats'!Z:Z)=0),0,IF(_xlfn.XLOOKUP(_xlfn.XLOOKUP(B98,'Base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stats'!AB:AB),0.005)</f>
        <v>0</v>
      </c>
      <c r="BD98" s="2" t="str">
        <f>IF(I98&gt;0.3,"No",_xlfn.XLOOKUP(_xlfn.XLOOKUP(Animals!B98,'Base stats'!B:B,'Base stats'!E:E),Groups!A:A,Groups!AP:AP))</f>
        <v>No</v>
      </c>
      <c r="BE98" s="2" t="str">
        <f>IF(AND(I98&lt;=0.65,_xlfn.XLOOKUP(_xlfn.XLOOKUP(Animals!B98,'Base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stats'!O:O)=2,0.2,AN98) + 24*(1-IF(BD98="No",0,BD98)) + 16/3, 12),"No")</f>
        <v>No</v>
      </c>
      <c r="BF98" s="2">
        <f>IF(AND(_xlfn.XLOOKUP(_xlfn.XLOOKUP(B98,'Base stats'!B:B,'Base stats'!E:E),Groups!A:A,Groups!AQ:AQ)=1,AN98&lt;=0.35),8,12)</f>
        <v>12</v>
      </c>
      <c r="BG98" s="2" t="str">
        <f>IF(_xlfn.XLOOKUP(_xlfn.XLOOKUP(B98,'Base stats'!B:B,'Base stats'!E:E),Groups!A:A,Groups!D:D)=0,_xlfn.XLOOKUP(_xlfn.XLOOKUP(B98,'Base stats'!B:B,'Base stats'!E:E),Groups!A:A,Groups!AR:AR),"None")</f>
        <v>None</v>
      </c>
      <c r="BH98" s="2" t="str">
        <f>IF(AND(_xlfn.XLOOKUP(_xlfn.XLOOKUP(B98,'Base stats'!B:B,'Base stats'!E:E),Groups!A:A,Groups!AS:AS)=1,OR('Base stats'!Y98="Carnivore",'Base stats'!Y98="Omnivore")),"true","false")</f>
        <v>false</v>
      </c>
      <c r="BI98" s="2" t="str">
        <f>IF(BH98="true",MROUND(IF(AND(AN98&gt;0.5,_xlfn.XLOOKUP(_xlfn.XLOOKUP(B98,'Base stats'!B:B,'Base stats'!E:E),Groups!A:A,Groups!AJ:AJ)="Mammal"),Animals!AN98*1.75*IF(AV98="true",1.5,1),Animals!AN98),IF(AN98&gt;2,0.5,IF(AN98&gt;0.5,0.25,0.1))),"No")</f>
        <v>No</v>
      </c>
      <c r="BJ98" s="2">
        <f t="shared" si="10"/>
        <v>0</v>
      </c>
      <c r="BK98" s="25" t="str">
        <f>IF('Base stats'!AK98="Standard","No",MROUND((_xlfn.XLOOKUP(B98,'Base stats'!B:B,'Base stats'!AK:AK)/3.6)/H98,0.1))</f>
        <v>No</v>
      </c>
      <c r="BL98" s="25" t="str">
        <f t="shared" si="11"/>
        <v>false</v>
      </c>
      <c r="BM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N98" s="25" t="str" cm="1">
        <f t="array" ref="BN98">IF(
  _xlfn.TEXTJOIN(", ",TRUE,
    IF(AND(BH98="true",AN98&gt;0.5,BG98&lt;&gt;"None"),"AttackTarget",""),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IF(BE98&lt;=36,"Comfort",""),
    IF(_xlfn.XLOOKUP(B98,'Base stats'!B:B,'Base stats'!AC:AC)&lt;&gt;"No",_xlfn.XLOOKUP(B98,'Base stats'!B:B,'Base stats'!AC:AC),"")
  ) = "",
  "No",
  _xlfn.TEXTJOIN(", ",TRUE,
    IF(AND(BH98="true",AN98&gt;0.5,BG98&lt;&gt;"None"),"AttackTarget",""),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IF(BE98&lt;=36,"Comfort",""),
    IF(_xlfn.XLOOKUP(B98,'Base stats'!B:B,'Base stats'!AC:AC)&lt;&gt;"No",_xlfn.XLOOKUP(B98,'Base stats'!B:B,'Base stats'!AC:AC),"")
  )
)</f>
        <v>No</v>
      </c>
      <c r="BO98" s="25" t="str">
        <f>IF(
   AND(
      'Base stats'!AK98="Standard",_xlfn.XLOOKUP(_xlfn.XLOOKUP(B98,'Base stats'!B:B,'Base stats'!E:E),Groups!A:A,Groups!AU:AU)=0,
      OR(
      BM98="True"
      )
   ),
   10,
   IF(
       OR(BK98&lt;&gt;"No",_xlfn.XLOOKUP(_xlfn.XLOOKUP(B98,'Base stats'!B:B,'Base stats'!E:E),Groups!A:A,Groups!AU:AU)=1),
      1,
      "No"
   )
)</f>
        <v>No</v>
      </c>
      <c r="BP98" s="9">
        <f>MROUND((1 + ((0.2*IF(OR(P98="No",Q98="No",Q98=0),0,P98/Q98)
+IF(OR(U98="No",R98="No",S98="No"),0,R98/S98*(LEN(U98)-LEN(SUBSTITUTE(U98,",",""))+1))
+IF(OR(W98="No",X98="No"),0,W98/X98)
+IF(OR(AC98="No",AD98="No"),0,AC98/AD98)
+IF(OR(AK98="No",AH98="No",AI98="No"),0,AH98/AI98*(LEN(AK98)-LEN(SUBSTITUTE(AK98,",",""))+1))
)/(0.2*IF(OR(P98="No",Q98="No",Q98=0),0,1)
+IF(OR(U98="No",R98="No",S98="No"),0,LEN(U98)-LEN(SUBSTITUTE(U98,",",""))+1)
+IF(OR(W98="No",X98="No"),0,1)
+IF(OR(AC98="No",AD98="No"),0,1)
+IF(OR(AK98="No",AH98="No",AI98="No"),0,LEN(AK98)-LEN(SUBSTITUTE(AK98,",",""))+1))*62%)* 2)*(1 + (AO98 + _xlfn.XLOOKUP(B98,'Base stats'!B:B,'Base stats'!AS:AS) * 1.8) * 2) * 2.5 + 10 + H98 * 2,5)+IF(_xlfn.XLOOKUP(B98,'Base stats'!B:B,'Base stats'!AH:AH)=1,50,0)</f>
        <v>65</v>
      </c>
      <c r="BQ98" s="8">
        <f t="shared" si="12"/>
        <v>0.25</v>
      </c>
      <c r="BR98" s="8" t="str">
        <f>_xlfn.XLOOKUP(B98,'Base stats'!B:B,'Base stats'!AD:AD)</f>
        <v>No</v>
      </c>
      <c r="BS98" s="2" t="str">
        <f>IF(AND(I98&lt;=0.95,OR(_xlfn.XLOOKUP(B98,'Base stats'!B:B,'Base stats'!AH:AH)=1,_xlfn.XLOOKUP(B98,'Base stats'!B:B,'Base stats'!Y:Y)="Carnivore",_xlfn.XLOOKUP(B98,'Base stats'!B:B,'Base stats'!Y:Y)="Omnivore",BC98&gt;0.1)),"true","false")</f>
        <v>false</v>
      </c>
      <c r="BT98" s="2" t="str">
        <f>IF(_xlfn.XLOOKUP(B98,'Base stats'!B:B,'Base stats'!AF:AF)=1,"true","false")</f>
        <v>false</v>
      </c>
      <c r="BU98" s="25" t="str">
        <f>IF(E98="BaseInsect","AnimalInsect",
IF(I98&gt;0.95,"AnimalExotic",
_xlfn.TEXTJOIN(", ",TRUE,
IF(AND(_xlfn.XLOOKUP(B98,'Base stats'!B:B,'Base stats'!O:O)=0,_xlfn.XLOOKUP(_xlfn.XLOOKUP(B98,'Base stats'!B:B,'Base stats'!E:E),Groups!A:A,Groups!B:B)&gt;0),"AnimalUncommon","AnimalCommon"),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stats'!AH:AH)=1,AND(BG98&lt;&gt;"None",BP98&gt;=60),ISNUMBER(SEARCH("Attack target",BN98))),"AnimalFighter","")
)))</f>
        <v>AnimalCommon</v>
      </c>
      <c r="BV98" s="25" t="str">
        <f>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</f>
        <v/>
      </c>
      <c r="BW98" s="25" t="str">
        <f>IF(_xlfn.XLOOKUP(B98,'Base stats'!B:B,'Base stats'!AG:AG)=1,"true","false")</f>
        <v>false</v>
      </c>
      <c r="BX98" s="25">
        <f>IF(_xlfn.XLOOKUP(B98,'Base stats'!B:B,'Base stats'!N:N)=1,"No",MIN(MROUND(IF(OR(_xlfn.XLOOKUP(B98,'Base stats'!B:B,'Base stats'!AJ:AJ)=1,AND(BH98="True",CA98="False")),POWER(10,3.47*LOG10(_xlfn.XLOOKUP(B98,'Base stats'!B:B,'Base stats'!C:C)*1000)^-0.96),POWER(10,4.15*LOG10(_xlfn.XLOOKUP(B98,'Base stats'!B:B,'Base stats'!C:C)*1000)^-0.73))*IF(OR(_xlfn.XLOOKUP(B98,'Base stats'!B:B,'Base stats'!AJ:AJ)=1,_xlfn.XLOOKUP(B98,'Base stats'!B:B,'Base stats'!AH:AH)=1),0.5,1)/100,0.025),1))</f>
        <v>0.22500000000000001</v>
      </c>
      <c r="BY98" s="25" t="str">
        <f>IF(O98="Standard","No",IF(_xlfn.XLOOKUP(B98,'Base stats'!B:B,'Base stats'!N:N)=0,MROUND(BX98*O98,0.05),MIN(1,MAX(0.025,MROUND(IF(OR(CA98="true",AND(BH98="false",BM98="false")),POWER(10,4.15*LOG10(_xlfn.XLOOKUP(B98,'Base stats'!B:B,'Base stats'!C:C)*1000)^-0.73),POWER(10,3.47*LOG10(_xlfn.XLOOKUP(B98,'Base stats'!B:B,'Base stats'!C:C)*1000)^-0.96))*IF(_xlfn.XLOOKUP(B98,'Base stats'!B:B,'Base stats'!AH:AH)=1,0.5,1)/100,0.025)))))</f>
        <v>No</v>
      </c>
      <c r="BZ98" s="25" t="str">
        <f>IF(_xlfn.XLOOKUP(_xlfn.XLOOKUP(B98,'Base stats'!B:B,'Base stats'!E:E),Groups!A:A,Groups!AJ:AJ)="Mammal","True","False")</f>
        <v>False</v>
      </c>
      <c r="CA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B98" s="25" t="str">
        <f t="shared" si="13"/>
        <v>False</v>
      </c>
      <c r="CC98" s="25" t="str">
        <f>IF(_xlfn.XLOOKUP(_xlfn.XLOOKUP(B98,'Base stats'!B:B,'Base stats'!E:E),Groups!A:A,Groups!AW:AW),"True","False")</f>
        <v>False</v>
      </c>
      <c r="CD98" s="25" t="str">
        <f>IF(_xlfn.XLOOKUP(_xlfn.XLOOKUP(B98,'Base stats'!B:B,'Base stats'!E:E),Groups!A:A,Groups!AX:AX),"True","False")</f>
        <v>False</v>
      </c>
      <c r="CE98" s="25" t="str">
        <f>IF(_xlfn.XLOOKUP(B98,'Base stats'!B:B,'Base stats'!E:E)=1,"True","False")</f>
        <v>False</v>
      </c>
      <c r="CF98" s="25" t="str">
        <f>IF(
OR(
_xlfn.XLOOKUP(_xlfn.XLOOKUP(B98,'Base stats'!B:B,'Base stats'!E:E),Groups!A:A,Groups!AY:AY)=0,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stats'!E:E),Groups!A:A,Groups!AY:AY)=1,
"Flesh",
IF(
_xlfn.XLOOKUP(_xlfn.XLOOKUP(B98,'Base stats'!B:B,'Base stats'!E:E),Groups!A:A,Groups!AY:AY)=2,
"Bone",
""
)
)
)</f>
        <v>No</v>
      </c>
      <c r="CG98" s="25" t="str">
        <f>IF(_xlfn.XLOOKUP(_xlfn.XLOOKUP(B98,'Base stats'!B:B,'Base stats'!E:E),Groups!A:A,Groups!BA:BA),"True","False")</f>
        <v>False</v>
      </c>
      <c r="CH98" s="25" t="str">
        <f>IF(_xlfn.XLOOKUP(_xlfn.XLOOKUP(B98,'Base stats'!B:B,'Base stats'!E:E),Groups!A:A,Groups!AZ:AZ),"True","False")</f>
        <v>False</v>
      </c>
    </row>
    <row r="99" spans="1:86" ht="16.5" thickTop="1" thickBot="1" x14ac:dyDescent="0.3">
      <c r="A99" s="26" t="str">
        <f>_xlfn.XLOOKUP(B99,'Base stats'!B:B,'Base stats'!A:A)</f>
        <v>BogHound</v>
      </c>
      <c r="B99" s="6" t="s">
        <v>285</v>
      </c>
      <c r="C99" s="28" t="s">
        <v>791</v>
      </c>
      <c r="D99" s="28" t="s">
        <v>882</v>
      </c>
      <c r="E99" s="28" t="s">
        <v>685</v>
      </c>
      <c r="F99" s="28" t="s">
        <v>685</v>
      </c>
      <c r="G99" s="2">
        <f>MROUND((
  (IF(AND(_xlfn.XLOOKUP(B99,'Base stats'!B:B,'Base stats'!AI:AI)=0,BG99="None",_xlfn.XLOOKUP('Base stats'!E99,Groups!A:A,Groups!B:B)=0), (18 + BP99 * 2.7) * 0.5,
    IF(AND(_xlfn.XLOOKUP(B99,'Base stats'!B:B,'Base stats'!AI:AI)=0,OR(AN99&lt;0.55,AND(BG99="Intermediate",_xlfn.XLOOKUP('Base stats'!E99,Groups!A:A,Groups!B:B)&lt;2))), (18 + BP99 * 2.7),
      IF(OR(BG99="Advanced",_xlfn.XLOOKUP(B99,'Base stats'!B:B,'Base stats'!AI:AI)=1,_xlfn.XLOOKUP('Base stats'!E99,Groups!A:A,Groups!B:B)=2), (18 + BP99 * 2.7) + 250, (18 + BP99 * 2.7))
    )
  ))
  + AN99 * 80
  + IF(COUNTIF(EggMilk!K$2:K$998, A99) &gt; 0, 125, 0)
  + IF(COUNTIF(EggMilk!P$2:P$998, A99) &gt; 0, 90, 0)
  + IF(COUNTIF(EggMilk!A$2:A$998, A99) &gt; 0, 90, 0)
)
* (0.8 + 0.4 * I99)
* 0.75,25)</f>
        <v>475</v>
      </c>
      <c r="H99" s="2">
        <f>MROUND(ROUNDDOWN(_xlfn.XLOOKUP(B99,'Base stats'!B:B,'Base stats'!L:L)/3.6/(23.3/11),1),0.5)</f>
        <v>7</v>
      </c>
      <c r="I99" s="2">
        <f>IF(_xlfn.XLOOKUP(B99,'Base stats'!B:B,'Base stats'!AI:AI)=1,0.99,MIN(MROUND((1-0.6282*EXP(-0.459*AN99))*_xlfn.XLOOKUP(_xlfn.XLOOKUP(B99,'Base stats'!B:B,'Base stats'!E:E),Groups!A:A,Groups!C:C)*IF(_xlfn.XLOOKUP(B99,'Base stats'!B:B,'Base stats'!O:O)=1,0.5,IF(_xlfn.XLOOKUP(B99,'Base stats'!B:B,'Base stats'!O:O)=2,0,1)),0.05),0.985))</f>
        <v>0.70000000000000007</v>
      </c>
      <c r="J99" s="2">
        <f>ROUNDUP(AN99*_xlfn.XLOOKUP(_xlfn.XLOOKUP(B99,'Base stats'!B:B,'Base stats'!E:E),Groups!A:A,Groups!E:E),0)</f>
        <v>1</v>
      </c>
      <c r="K99" s="2">
        <f>IF(OR(_xlfn.XLOOKUP(_xlfn.XLOOKUP(B99,'Base stats'!B:B,'Base stats'!E:E),Groups!A:A,Groups!F:F)=2,ISNUMBER(SEARCH("SeaIce",BV99)),ISNUMBER(SEARCH("IceSheet",BV99))),-50,IF(OR(ISNUMBER(SEARCH("GlacialPlain",BV99)),ISNUMBER(SEARCH("Tundra",BV99))),-40,IF(OR(ISNUMBER(SEARCH("Alpine",BV99)),ISNUMBER(SEARCH("BorealForest",BV99)),ISNUMBER(SEARCH("ColdBog",BV99))),-30,IF(OR(ISNUMBER(SEARCH("TemperateForest",BV99)),ISNUMBER(SEARCH("TemperateSwamp",BV99))),-20,IF(_xlfn.XLOOKUP(_xlfn.XLOOKUP(B99,'Base stats'!B:B,'Base stats'!E:E),Groups!A:A,Groups!F:F)=1,-15,IF(OR(ISNUMBER(SEARCH("Desert",BV99)),ISNUMBER(SEARCH("ExtremeDesert",BV99))),-10,IF(OR(ISNUMBER(SEARCH("Grasslands",BV99)),ISNUMBER(SEARCH("TropicalRainforest",BV99)),ISNUMBER(SEARCH("TropicalSwamp",BV99))),10,0)))))))-IF(CA99="False",MIN(IFERROR(MAX(MROUND(LOG10(_xlfn.XLOOKUP(B99,'Base stats'!B:B,'Base stats'!C:C)^(2/3))*10,5),5),5),30))-_xlfn.XLOOKUP(B99,'Base stats'!B:B,'Base stats'!P:P)+IF(CA99="True",5,0)</f>
        <v>-25</v>
      </c>
      <c r="L99" s="2">
        <f>IF(OR(_xlfn.XLOOKUP(_xlfn.XLOOKUP(B99,'Base stats'!B:B,'Base stats'!E:E),Groups!A:A,Groups!G:G)=2,ISNUMBER(SEARCH("Desert",BV99)),ISNUMBER(SEARCH("ExtremeDesert",BV99)),ISNUMBER(SEARCH("LavaField",BV99))),50,IF(ISNUMBER(SEARCH("Grasslands",BV99)),45,IF(OR(_xlfn.XLOOKUP(_xlfn.XLOOKUP(B99,'Base stats'!B:B,'Base stats'!E:E),Groups!A:A,Groups!G:G)=1,ISNUMBER(SEARCH("TropicalRainforest",BV99)),ISNUMBER(SEARCH("TropicalSwamp",BV99))),40,IF(OR(ISNUMBER(SEARCH("TemperateForest",BV99)),ISNUMBER(SEARCH("TemperateSwamp",BV99))),35,IF(OR(ISNUMBER(SEARCH("Alpine",BV99)),ISNUMBER(SEARCH("BorealForest",BV99)),ISNUMBER(SEARCH("ColdBog",BV99))),30,IF(ISNUMBER(OR(ISNUMBER(SEARCH("GlacialPlain",BV99)),SEARCH("Tundra",BV99))),25,IF(OR(ISNUMBER(SEARCH("SeaIce",BV99)),ISNUMBER(SEARCH("IceSheet",BV99)),ISNUMBER(SEARCH("TropicalSwamp",BV99))),10,35)))))))+_xlfn.XLOOKUP(B99,'Base stats'!B:B,'Base stats'!Q:Q)</f>
        <v>35</v>
      </c>
      <c r="M99" s="8" t="str">
        <f>IF(_xlfn.XLOOKUP(_xlfn.XLOOKUP(B99,'Base stats'!B:B,'Base stats'!E:E),Groups!A:A,Groups!L:L)=1,MIN(MROUND(_xlfn.XLOOKUP(B99,'Animals CE'!B:B,'Animals CE'!Z:Z)/2+0.05,0.05),200%),"No")</f>
        <v>No</v>
      </c>
      <c r="N99" s="8" t="str">
        <f>IF(_xlfn.XLOOKUP(_xlfn.XLOOKUP(B99,'Base stats'!B:B,'Base stats'!E:E),Groups!A:A,Groups!L:L)=1,MIN(MROUND(_xlfn.XLOOKUP(B99,'Animals CE'!B:B,'Animals CE'!AA:AA)/2+0.05,0.05),200%),"No")</f>
        <v>No</v>
      </c>
      <c r="O99" s="2">
        <f>_xlfn.XLOOKUP(B99,'Base stats'!B:B,'Base stats'!R:R)</f>
        <v>1</v>
      </c>
      <c r="P99" s="13">
        <f>MROUND((LOG10(_xlfn.XLOOKUP(B99,'Base stats'!B:B,'Base stats'!AO:AO))*(AN99^0.5)+(_xlfn.XLOOKUP(B99,'Base stats'!B:B,'Base stats'!AO:AO)/1000)^(2/3)+_xlfn.XLOOKUP(B99,'Base stats'!B:B,'Base stats'!AX:AX)/2)+0.5,0.5)</f>
        <v>6</v>
      </c>
      <c r="Q99" s="7">
        <f>IF(P99="No","No",MAX(1,MROUND(_xlfn.XLOOKUP(B99,'Base stats'!B:B,'Base stats'!C:C)^0.165,0.05)))</f>
        <v>1.85</v>
      </c>
      <c r="R99" s="13" t="str">
        <f>IF(_xlfn.XLOOKUP(_xlfn.XLOOKUP(B99,'Base stats'!B:B,'Base stats'!E:E),Groups!A:A,Groups!P:P)=0,"No",MROUND((LOG10(_xlfn.XLOOKUP(B99,'Base stats'!B:B,'Base stats'!AP:AP))*(AN99^0.5)+(_xlfn.XLOOKUP(B99,'Base stats'!B:B,'Base stats'!AP:AP)/1000)^(2/3)+_xlfn.XLOOKUP(B99,'Base stats'!B:B,'Base stats'!AX:AX))+_xlfn.XLOOKUP(B99,'Base stats'!B:B,'Base stats'!AV:AV)+0.5,0.5))</f>
        <v>No</v>
      </c>
      <c r="S99" s="7" t="str">
        <f>IF(R99="No","No",MAX(_xlfn.XLOOKUP(_xlfn.XLOOKUP(B99,'Base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T99" s="7" t="str">
        <f>IF(R99="No","No",_xlfn.XLOOKUP(_xlfn.XLOOKUP(B99,'Base stats'!B:B,'Base stats'!E:E),Groups!A:A,Groups!R:R))</f>
        <v>No</v>
      </c>
      <c r="U99" s="7" t="str">
        <f>IF(R99="No","No",_xlfn.XLOOKUP(_xlfn.XLOOKUP(B99,'Base stats'!B:B,'Base stats'!E:E),Groups!A:A,Groups!S:S))</f>
        <v>No</v>
      </c>
      <c r="V99" s="7" t="str">
        <f>IF(R99="No","No",_xlfn.XLOOKUP(_xlfn.XLOOKUP(B99,'Base stats'!B:B,'Base stats'!E:E),Groups!A:A,Groups!T:T))</f>
        <v>No</v>
      </c>
      <c r="W99" s="13" t="str">
        <f>IF(_xlfn.XLOOKUP(B99,'Base stats'!B:B,'Base stats'!W:W)="No","No",MROUND((LOG10(_xlfn.XLOOKUP(B99,'Base stats'!B:B,'Base stats'!AR:AR))*(AN99^0.5)+(_xlfn.XLOOKUP(B99,'Base stats'!B:B,'Base stats'!AR:AR)/1000)^(2/3)+_xlfn.XLOOKUP(B99,'Base stats'!B:B,'Base stats'!AW:AW))+0.5+IF(_xlfn.XLOOKUP(_xlfn.XLOOKUP(B99,'Base stats'!B:B,'Base stats'!E:E),Groups!A:A,Groups!U:U)&lt;&gt;3,_xlfn.XLOOKUP(B99,'Base stats'!B:B,'Base stats'!AX:AX),0),0.5))</f>
        <v>No</v>
      </c>
      <c r="X99" s="7" t="str">
        <f>IF(W99="No","No",MAX(_xlfn.XLOOKUP(_xlfn.XLOOKUP(B99,'Base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Y99" s="7" t="str">
        <f>IF(W99="No","No",_xlfn.XLOOKUP(_xlfn.XLOOKUP(B99,'Base stats'!B:B,'Base stats'!E:E),Groups!A:A,Groups!W:W))</f>
        <v>No</v>
      </c>
      <c r="Z99" s="7" t="str">
        <f>IF(W99="No","No",_xlfn.XLOOKUP(_xlfn.XLOOKUP(B99,'Base stats'!B:B,'Base stats'!E:E),Groups!A:A,Groups!X:X))</f>
        <v>No</v>
      </c>
      <c r="AA99" s="7" t="str">
        <f>IF(W99="No","No",_xlfn.XLOOKUP(_xlfn.XLOOKUP(B99,'Base stats'!B:B,'Base stats'!E:E),Groups!A:A,Groups!Y:Y))</f>
        <v>No</v>
      </c>
      <c r="AB99" s="7" t="str">
        <f>_xlfn.XLOOKUP(Animals!B99,'Base stats'!B:B,'Base stats'!X:X)</f>
        <v>False</v>
      </c>
      <c r="AC99" s="13">
        <f>IF(_xlfn.XLOOKUP(B99,'Base stats'!B:B,'Base stats'!AQ:AQ)="No","No",MROUND((LOG10(_xlfn.XLOOKUP(B99,'Base stats'!B:B,'Base stats'!AQ:AQ))*(AN99^0.75)+(_xlfn.XLOOKUP(B99,'Base stats'!B:B,'Base stats'!AQ:AQ)/1000)^(2/3)+_xlfn.XLOOKUP(B99,'Base stats'!B:B,'Base stats'!AU:AU)+_xlfn.XLOOKUP(B99,'Base stats'!B:B,'Base stats'!AX:AX))+0.5,0.5))</f>
        <v>12</v>
      </c>
      <c r="AD99" s="7">
        <f>IF(AC99="No","No",MAX(_xlfn.XLOOKUP(_xlfn.XLOOKUP(B99,'Base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E99" s="7" t="str">
        <f>IF(AC99="No","No",_xlfn.XLOOKUP(_xlfn.XLOOKUP(B99,'Base stats'!B:B,'Base stats'!E:E),Groups!A:A,Groups!AA:AA))</f>
        <v>Teeth</v>
      </c>
      <c r="AF99" s="7" t="str">
        <f>IF(AC99="No","No",_xlfn.XLOOKUP(_xlfn.XLOOKUP(B99,'Base stats'!B:B,'Base stats'!E:E),Groups!A:A,Groups!AB:AB))</f>
        <v>canines</v>
      </c>
      <c r="AG99" s="7" t="str">
        <f>IF(AC99="No","No",_xlfn.XLOOKUP(_xlfn.XLOOKUP(B99,'Base stats'!B:B,'Base stats'!E:E),Groups!A:A,Groups!AC:AC))</f>
        <v>Bite</v>
      </c>
      <c r="AH99" s="13" t="str">
        <f>IF(_xlfn.XLOOKUP(_xlfn.XLOOKUP(B99,'Base stats'!B:B,'Base stats'!E:E),Groups!A:A,Groups!AD:AD)=0,"No",MROUND((LOG10(_xlfn.XLOOKUP(B99,'Base stats'!B:B,'Base stats'!AP:AP))*(AN99^0.75)+(_xlfn.XLOOKUP(B99,'Base stats'!B:B,'Base stats'!AP:AP)/1000)^(2/3)+_xlfn.XLOOKUP(B99,'Base stats'!B:B,'Base stats'!AV:AV)+_xlfn.XLOOKUP(B99,'Base stats'!B:B,'Base stats'!AX:AX))+0.5,0.5))</f>
        <v>No</v>
      </c>
      <c r="AI99" s="7" t="str">
        <f>IF(AH99="No","No",MAX(_xlfn.XLOOKUP(_xlfn.XLOOKUP(B99,'Base stats'!B:B,'Base stats'!E:E),Groups!A:A,Groups!AE:AE),MROUND(_xlfn.XLOOKUP(_xlfn.XLOOKUP(B99,'Base stats'!B:B,'Base stats'!E:E),Groups!A:A,Groups!AE:AE)*_xlfn.XLOOKUP(B99,'Base stats'!B:B,'Base stats'!C:C)^0.165,0.05)))</f>
        <v>No</v>
      </c>
      <c r="AJ99" s="7" t="str">
        <f>IF(AH99="No","No",_xlfn.XLOOKUP(_xlfn.XLOOKUP(B99,'Base stats'!B:B,'Base stats'!E:E),Groups!A:A,Groups!AF:AF))</f>
        <v>No</v>
      </c>
      <c r="AK99" s="7" t="str">
        <f>IF(AH99="No","No",_xlfn.XLOOKUP(_xlfn.XLOOKUP(B99,'Base stats'!B:B,'Base stats'!E:E),Groups!A:A,Groups!AG:AG))</f>
        <v>No</v>
      </c>
      <c r="AL99" s="7" t="str">
        <f>IF(AH99="No","No",_xlfn.XLOOKUP(_xlfn.XLOOKUP(B99,'Base stats'!B:B,'Base stats'!E:E),Groups!A:A,Groups!AH:AH))</f>
        <v>No</v>
      </c>
      <c r="AM99" s="2">
        <f t="shared" si="7"/>
        <v>20</v>
      </c>
      <c r="AN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O99" s="8">
        <f>MROUND(AN99*_xlfn.XLOOKUP(_xlfn.XLOOKUP(B99,'Base stats'!B:B,'Base stats'!E:E),Groups!A:A,Groups!AI:AI),0.05)</f>
        <v>0.95000000000000007</v>
      </c>
      <c r="AP99" s="8">
        <f>MAX(0.01,MROUND(IF(CA99="True",0.196*(AN99*100*1000)^0.889,IF(_xlfn.XLOOKUP(_xlfn.XLOOKUP(B99,'Base stats'!B:B,'Base stats'!E:E),Groups!A:A,Groups!AJ:AJ)="Bird",10.5*(AN99*100*1000)^0.681,4.82*(AN99*100*1000)^0.734))/(4.82*(1*100*1000)^0.734)/IF(AN99&lt;3.5,2,IF(AN99=3.5,1.5,1.25))*(1+0.132282374779864/(AN99^0.994035016789033+0.00905238001496948)),0.05))</f>
        <v>0.5</v>
      </c>
      <c r="AQ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R99" s="35">
        <f>IFERROR(IF(_xlfn.XLOOKUP(B99,'Base stats'!B:B,'Base stats'!F:F)="Lay eggs","Lay eggs",MIN(20,MAX(5.5,ROUND(((_xlfn.XLOOKUP(B99,'Base stats'!B:B,'Base stats'!F:F)-25)*(14.5/615) + 5.5)*2,0)/2))),"Cannot breed")</f>
        <v>6.5</v>
      </c>
      <c r="AS99" s="8">
        <f>IF(OR(A99="Queen",A99="Larva",A99="Megachicken"),"No",IFERROR(MAX(IF(_xlfn.XLOOKUP(B99,'Base stats'!B:B,'Base stats'!G:G)&lt;0.5,0.2,0.3),MROUND(_xlfn.XLOOKUP(B99,'Base stats'!B:B,'Base stats'!G:G)/(365/60),0.2)),"Unknown"))</f>
        <v>0.3</v>
      </c>
      <c r="AT99" s="8">
        <f t="shared" si="8"/>
        <v>0.15000000000000002</v>
      </c>
      <c r="AU99" s="8">
        <f>IFERROR(IFERROR(MROUND(_xlfn.XLOOKUP(B99,'Base stats'!B:B,'Base stats'!J:J),0.1),"Lay eggs"),"Cannot breed")</f>
        <v>6</v>
      </c>
      <c r="AV99" s="2" t="str">
        <f t="shared" si="9"/>
        <v>true</v>
      </c>
      <c r="AW99" s="2" t="str">
        <f>IF(_xlfn.XLOOKUP(_xlfn.XLOOKUP(Animals!B99,'Base stats'!B:B,'Base stats'!E:E),Groups!A:A,Groups!AK:AK)=1,"true","false")</f>
        <v>false</v>
      </c>
      <c r="AX99" s="25" t="str">
        <f>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</f>
        <v>OmnivoreAnimal, OvivoreAnimal</v>
      </c>
      <c r="AY99" s="2" t="str">
        <f>IF(_xlfn.XLOOKUP(_xlfn.XLOOKUP(B99,'Base stats'!B:B,'Base stats'!E:E),Groups!A:A,Groups!D:D)=1,MROUND((1-I99)*5+1,2)*IF(I99&lt;=0.4,2,1),"No")</f>
        <v>No</v>
      </c>
      <c r="AZ99" s="2" t="str">
        <f>_xlfn.XLOOKUP(B99,'Base stats'!B:B,'Base stats'!AE:AE)</f>
        <v>Leather_Dog</v>
      </c>
      <c r="BA99" s="23" t="str">
        <f>_xlfn.XLOOKUP(_xlfn.XLOOKUP(B99,'Base stats'!B:B,'Base stats'!E:E),Groups!A:A,Groups!AL:AL)</f>
        <v>QuadrupedAnimalWithPawsAndTail</v>
      </c>
      <c r="BB99" s="23">
        <f>MROUND(IF(AND(AN99&lt;0.5,_xlfn.XLOOKUP(B99,'Base stats'!B:B,'Base stats'!Z:Z)=0),0,IF(OR(_xlfn.XLOOKUP(Animals!B99,'Base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stats'!AA:AA),0.005)</f>
        <v>0.1</v>
      </c>
      <c r="BC99" s="23">
        <f>MROUND(IF(AND(AN99&lt;0.5,_xlfn.XLOOKUP(B99,'Base stats'!B:B,'Base stats'!Z:Z)=0),0,IF(_xlfn.XLOOKUP(_xlfn.XLOOKUP(B99,'Base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stats'!AB:AB),0.005)</f>
        <v>0.3</v>
      </c>
      <c r="BD99" s="2" t="str">
        <f>IF(I99&gt;0.3,"No",_xlfn.XLOOKUP(_xlfn.XLOOKUP(Animals!B99,'Base stats'!B:B,'Base stats'!E:E),Groups!A:A,Groups!AP:AP))</f>
        <v>No</v>
      </c>
      <c r="BE99" s="2" t="str">
        <f>IF(AND(I99&lt;=0.65,_xlfn.XLOOKUP(_xlfn.XLOOKUP(Animals!B99,'Base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stats'!O:O)=2,0.2,AN99) + 24*(1-IF(BD99="No",0,BD99)) + 16/3, 12),"No")</f>
        <v>No</v>
      </c>
      <c r="BF99" s="2">
        <f>IF(AND(_xlfn.XLOOKUP(_xlfn.XLOOKUP(B99,'Base stats'!B:B,'Base stats'!E:E),Groups!A:A,Groups!AQ:AQ)=1,AN99&lt;=0.35),8,12)</f>
        <v>12</v>
      </c>
      <c r="BG99" s="2" t="str">
        <f>IF(_xlfn.XLOOKUP(_xlfn.XLOOKUP(B99,'Base stats'!B:B,'Base stats'!E:E),Groups!A:A,Groups!D:D)=0,_xlfn.XLOOKUP(_xlfn.XLOOKUP(B99,'Base stats'!B:B,'Base stats'!E:E),Groups!A:A,Groups!AR:AR),"None")</f>
        <v>Advanced</v>
      </c>
      <c r="BH99" s="2" t="str">
        <f>IF(AND(_xlfn.XLOOKUP(_xlfn.XLOOKUP(B99,'Base stats'!B:B,'Base stats'!E:E),Groups!A:A,Groups!AS:AS)=1,OR('Base stats'!Y99="Carnivore",'Base stats'!Y99="Omnivore")),"true","false")</f>
        <v>true</v>
      </c>
      <c r="BI99" s="2">
        <f>IF(BH99="true",MROUND(IF(AND(AN99&gt;0.5,_xlfn.XLOOKUP(_xlfn.XLOOKUP(B99,'Base stats'!B:B,'Base stats'!E:E),Groups!A:A,Groups!AJ:AJ)="Mammal"),Animals!AN99*1.75*IF(AV99="true",1.5,1),Animals!AN99),IF(AN99&gt;2,0.5,IF(AN99&gt;0.5,0.25,0.1))),"No")</f>
        <v>2</v>
      </c>
      <c r="BJ99" s="2">
        <f t="shared" si="10"/>
        <v>1</v>
      </c>
      <c r="BK99" s="25" t="str">
        <f>IF('Base stats'!AK99="Standard","No",MROUND((_xlfn.XLOOKUP(B99,'Base stats'!B:B,'Base stats'!AK:AK)/3.6)/H99,0.1))</f>
        <v>No</v>
      </c>
      <c r="BL99" s="25" t="str">
        <f t="shared" si="11"/>
        <v>false</v>
      </c>
      <c r="BM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N99" s="25" t="str" cm="1">
        <f t="array" ref="BN99">IF(
  _xlfn.TEXTJOIN(", ",TRUE,
    IF(AND(BH99="true",AN99&gt;0.5,BG99&lt;&gt;"None"),"AttackTarget",""),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IF(BE99&lt;=36,"Comfort",""),
    IF(_xlfn.XLOOKUP(B99,'Base stats'!B:B,'Base stats'!AC:AC)&lt;&gt;"No",_xlfn.XLOOKUP(B99,'Base stats'!B:B,'Base stats'!AC:AC),"")
  ) = "",
  "No",
  _xlfn.TEXTJOIN(", ",TRUE,
    IF(AND(BH99="true",AN99&gt;0.5,BG99&lt;&gt;"None"),"AttackTarget",""),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IF(BE99&lt;=36,"Comfort",""),
    IF(_xlfn.XLOOKUP(B99,'Base stats'!B:B,'Base stats'!AC:AC)&lt;&gt;"No",_xlfn.XLOOKUP(B99,'Base stats'!B:B,'Base stats'!AC:AC),"")
  )
)</f>
        <v>AttackTarget, Forage</v>
      </c>
      <c r="BO99" s="25" t="str">
        <f>IF(
   AND(
      'Base stats'!AK99="Standard",_xlfn.XLOOKUP(_xlfn.XLOOKUP(B99,'Base stats'!B:B,'Base stats'!E:E),Groups!A:A,Groups!AU:AU)=0,
      OR(
      BM99="True"
      )
   ),
   10,
   IF(
       OR(BK99&lt;&gt;"No",_xlfn.XLOOKUP(_xlfn.XLOOKUP(B99,'Base stats'!B:B,'Base stats'!E:E),Groups!A:A,Groups!AU:AU)=1),
      1,
      "No"
   )
)</f>
        <v>No</v>
      </c>
      <c r="BP99" s="9">
        <f>MROUND((1 + ((0.2*IF(OR(P99="No",Q99="No",Q99=0),0,P99/Q99)
+IF(OR(U99="No",R99="No",S99="No"),0,R99/S99*(LEN(U99)-LEN(SUBSTITUTE(U99,",",""))+1))
+IF(OR(W99="No",X99="No"),0,W99/X99)
+IF(OR(AC99="No",AD99="No"),0,AC99/AD99)
+IF(OR(AK99="No",AH99="No",AI99="No"),0,AH99/AI99*(LEN(AK99)-LEN(SUBSTITUTE(AK99,",",""))+1))
)/(0.2*IF(OR(P99="No",Q99="No",Q99=0),0,1)
+IF(OR(U99="No",R99="No",S99="No"),0,LEN(U99)-LEN(SUBSTITUTE(U99,",",""))+1)
+IF(OR(W99="No",X99="No"),0,1)
+IF(OR(AC99="No",AD99="No"),0,1)
+IF(OR(AK99="No",AH99="No",AI99="No"),0,LEN(AK99)-LEN(SUBSTITUTE(AK99,",",""))+1))*62%)* 2)*(1 + (AO99 + _xlfn.XLOOKUP(B99,'Base stats'!B:B,'Base stats'!AS:AS) * 1.8) * 2) * 2.5 + 10 + H99 * 2,5)+IF(_xlfn.XLOOKUP(B99,'Base stats'!B:B,'Base stats'!AH:AH)=1,50,0)</f>
        <v>95</v>
      </c>
      <c r="BQ99" s="8">
        <f t="shared" si="12"/>
        <v>0.55000000000000004</v>
      </c>
      <c r="BR99" s="8" t="str">
        <f>_xlfn.XLOOKUP(B99,'Base stats'!B:B,'Base stats'!AD:AD)</f>
        <v>3~8</v>
      </c>
      <c r="BS99" s="2" t="str">
        <f>IF(AND(I99&lt;=0.95,OR(_xlfn.XLOOKUP(B99,'Base stats'!B:B,'Base stats'!AH:AH)=1,_xlfn.XLOOKUP(B99,'Base stats'!B:B,'Base stats'!Y:Y)="Carnivore",_xlfn.XLOOKUP(B99,'Base stats'!B:B,'Base stats'!Y:Y)="Omnivore",BC99&gt;0.1)),"true","false")</f>
        <v>true</v>
      </c>
      <c r="BT99" s="2" t="str">
        <f>IF(_xlfn.XLOOKUP(B99,'Base stats'!B:B,'Base stats'!AF:AF)=1,"true","false")</f>
        <v>false</v>
      </c>
      <c r="BU99" s="25" t="str">
        <f>IF(E99="BaseInsect","AnimalInsect",
IF(I99&gt;0.95,"AnimalExotic",
_xlfn.TEXTJOIN(", ",TRUE,
IF(AND(_xlfn.XLOOKUP(B99,'Base stats'!B:B,'Base stats'!O:O)=0,_xlfn.XLOOKUP(_xlfn.XLOOKUP(B99,'Base stats'!B:B,'Base stats'!E:E),Groups!A:A,Groups!B:B)&gt;0),"AnimalUncommon","AnimalCommon"),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stats'!AH:AH)=1,AND(BG99&lt;&gt;"None",BP99&gt;=60),ISNUMBER(SEARCH("Attack target",BN99))),"AnimalFighter","")
)))</f>
        <v>AnimalCommon, AnimalFighter</v>
      </c>
      <c r="BV99" s="25" t="str">
        <f>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</f>
        <v>Scarlands</v>
      </c>
      <c r="BW99" s="25" t="str">
        <f>IF(_xlfn.XLOOKUP(B99,'Base stats'!B:B,'Base stats'!AG:AG)=1,"true","false")</f>
        <v>false</v>
      </c>
      <c r="BX99" s="25">
        <f>IF(_xlfn.XLOOKUP(B99,'Base stats'!B:B,'Base stats'!N:N)=1,"No",MIN(MROUND(IF(OR(_xlfn.XLOOKUP(B99,'Base stats'!B:B,'Base stats'!AJ:AJ)=1,AND(BH99="True",CA99="False")),POWER(10,3.47*LOG10(_xlfn.XLOOKUP(B99,'Base stats'!B:B,'Base stats'!C:C)*1000)^-0.96),POWER(10,4.15*LOG10(_xlfn.XLOOKUP(B99,'Base stats'!B:B,'Base stats'!C:C)*1000)^-0.73))*IF(OR(_xlfn.XLOOKUP(B99,'Base stats'!B:B,'Base stats'!AJ:AJ)=1,_xlfn.XLOOKUP(B99,'Base stats'!B:B,'Base stats'!AH:AH)=1),0.5,1)/100,0.025),1))</f>
        <v>0.05</v>
      </c>
      <c r="BY99" s="25">
        <f>IF(O99="Standard","No",IF(_xlfn.XLOOKUP(B99,'Base stats'!B:B,'Base stats'!N:N)=0,MROUND(BX99*O99,0.05),MIN(1,MAX(0.025,MROUND(IF(OR(CA99="true",AND(BH99="false",BM99="false")),POWER(10,4.15*LOG10(_xlfn.XLOOKUP(B99,'Base stats'!B:B,'Base stats'!C:C)*1000)^-0.73),POWER(10,3.47*LOG10(_xlfn.XLOOKUP(B99,'Base stats'!B:B,'Base stats'!C:C)*1000)^-0.96))*IF(_xlfn.XLOOKUP(B99,'Base stats'!B:B,'Base stats'!AH:AH)=1,0.5,1)/100,0.025)))))</f>
        <v>0.05</v>
      </c>
      <c r="BZ99" s="25" t="str">
        <f>IF(_xlfn.XLOOKUP(_xlfn.XLOOKUP(B99,'Base stats'!B:B,'Base stats'!E:E),Groups!A:A,Groups!AJ:AJ)="Mammal","True","False")</f>
        <v>True</v>
      </c>
      <c r="CA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B99" s="25" t="str">
        <f t="shared" si="13"/>
        <v>False</v>
      </c>
      <c r="CC99" s="25" t="str">
        <f>IF(_xlfn.XLOOKUP(_xlfn.XLOOKUP(B99,'Base stats'!B:B,'Base stats'!E:E),Groups!A:A,Groups!AW:AW),"True","False")</f>
        <v>False</v>
      </c>
      <c r="CD99" s="25" t="str">
        <f>IF(_xlfn.XLOOKUP(_xlfn.XLOOKUP(B99,'Base stats'!B:B,'Base stats'!E:E),Groups!A:A,Groups!AX:AX),"True","False")</f>
        <v>False</v>
      </c>
      <c r="CE99" s="25" t="str">
        <f>IF(_xlfn.XLOOKUP(B99,'Base stats'!B:B,'Base stats'!E:E)=1,"True","False")</f>
        <v>False</v>
      </c>
      <c r="CF99" s="25" t="str">
        <f>IF(
OR(
_xlfn.XLOOKUP(_xlfn.XLOOKUP(B99,'Base stats'!B:B,'Base stats'!E:E),Groups!A:A,Groups!AY:AY)=0,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stats'!E:E),Groups!A:A,Groups!AY:AY)=1,
"Flesh",
IF(
_xlfn.XLOOKUP(_xlfn.XLOOKUP(B99,'Base stats'!B:B,'Base stats'!E:E),Groups!A:A,Groups!AY:AY)=2,
"Bone",
""
)
)
)</f>
        <v>No</v>
      </c>
      <c r="CG99" s="25" t="str">
        <f>IF(_xlfn.XLOOKUP(_xlfn.XLOOKUP(B99,'Base stats'!B:B,'Base stats'!E:E),Groups!A:A,Groups!BA:BA),"True","False")</f>
        <v>True</v>
      </c>
      <c r="CH99" s="25" t="str">
        <f>IF(_xlfn.XLOOKUP(_xlfn.XLOOKUP(B99,'Base stats'!B:B,'Base stats'!E:E),Groups!A:A,Groups!AZ:AZ),"True","False")</f>
        <v>False</v>
      </c>
    </row>
    <row r="100" spans="1:86" ht="16.5" thickTop="1" thickBot="1" x14ac:dyDescent="0.3">
      <c r="A100" s="26" t="str">
        <f>_xlfn.XLOOKUP(B100,'Base stats'!B:B,'Base stats'!A:A)</f>
        <v>Wolf_Great</v>
      </c>
      <c r="B100" s="6" t="s">
        <v>288</v>
      </c>
      <c r="C100" s="28" t="s">
        <v>792</v>
      </c>
      <c r="D100" s="28" t="s">
        <v>882</v>
      </c>
      <c r="E100" s="28" t="s">
        <v>744</v>
      </c>
      <c r="F100" s="28" t="s">
        <v>745</v>
      </c>
      <c r="G100" s="2">
        <f>MROUND((
  (IF(AND(_xlfn.XLOOKUP(B100,'Base stats'!B:B,'Base stats'!AI:AI)=0,BG100="None",_xlfn.XLOOKUP('Base stats'!E100,Groups!A:A,Groups!B:B)=0), (18 + BP100 * 2.7) * 0.5,
    IF(AND(_xlfn.XLOOKUP(B100,'Base stats'!B:B,'Base stats'!AI:AI)=0,OR(AN100&lt;0.55,AND(BG100="Intermediate",_xlfn.XLOOKUP('Base stats'!E100,Groups!A:A,Groups!B:B)&lt;2))), (18 + BP100 * 2.7),
      IF(OR(BG100="Advanced",_xlfn.XLOOKUP(B100,'Base stats'!B:B,'Base stats'!AI:AI)=1,_xlfn.XLOOKUP('Base stats'!E100,Groups!A:A,Groups!B:B)=2), (18 + BP100 * 2.7) + 250, (18 + BP100 * 2.7))
    )
  ))
  + AN100 * 80
  + IF(COUNTIF(EggMilk!K$2:K$998, A100) &gt; 0, 125, 0)
  + IF(COUNTIF(EggMilk!P$2:P$998, A100) &gt; 0, 90, 0)
  + IF(COUNTIF(EggMilk!A$2:A$998, A100) &gt; 0, 90, 0)
)
* (0.8 + 0.4 * I100)
* 0.75,25)</f>
        <v>550</v>
      </c>
      <c r="H100" s="2">
        <f>MROUND(ROUNDDOWN(_xlfn.XLOOKUP(B100,'Base stats'!B:B,'Base stats'!L:L)/3.6/(23.3/11),1),0.5)</f>
        <v>7</v>
      </c>
      <c r="I100" s="2">
        <f>IF(_xlfn.XLOOKUP(B100,'Base stats'!B:B,'Base stats'!AI:AI)=1,0.99,MIN(MROUND((1-0.6282*EXP(-0.459*AN100))*_xlfn.XLOOKUP(_xlfn.XLOOKUP(B100,'Base stats'!B:B,'Base stats'!E:E),Groups!A:A,Groups!C:C)*IF(_xlfn.XLOOKUP(B100,'Base stats'!B:B,'Base stats'!O:O)=1,0.5,IF(_xlfn.XLOOKUP(B100,'Base stats'!B:B,'Base stats'!O:O)=2,0,1)),0.05),0.985))</f>
        <v>0.75</v>
      </c>
      <c r="J100" s="2">
        <f>ROUNDUP(AN100*_xlfn.XLOOKUP(_xlfn.XLOOKUP(B100,'Base stats'!B:B,'Base stats'!E:E),Groups!A:A,Groups!E:E),0)</f>
        <v>1</v>
      </c>
      <c r="K100" s="2">
        <f>IF(OR(_xlfn.XLOOKUP(_xlfn.XLOOKUP(B100,'Base stats'!B:B,'Base stats'!E:E),Groups!A:A,Groups!F:F)=2,ISNUMBER(SEARCH("SeaIce",BV100)),ISNUMBER(SEARCH("IceSheet",BV100))),-50,IF(OR(ISNUMBER(SEARCH("GlacialPlain",BV100)),ISNUMBER(SEARCH("Tundra",BV100))),-40,IF(OR(ISNUMBER(SEARCH("Alpine",BV100)),ISNUMBER(SEARCH("BorealForest",BV100)),ISNUMBER(SEARCH("ColdBog",BV100))),-30,IF(OR(ISNUMBER(SEARCH("TemperateForest",BV100)),ISNUMBER(SEARCH("TemperateSwamp",BV100))),-20,IF(_xlfn.XLOOKUP(_xlfn.XLOOKUP(B100,'Base stats'!B:B,'Base stats'!E:E),Groups!A:A,Groups!F:F)=1,-15,IF(OR(ISNUMBER(SEARCH("Desert",BV100)),ISNUMBER(SEARCH("ExtremeDesert",BV100))),-10,IF(OR(ISNUMBER(SEARCH("Grasslands",BV100)),ISNUMBER(SEARCH("TropicalRainforest",BV100)),ISNUMBER(SEARCH("TropicalSwamp",BV100))),10,0)))))))-IF(CA100="False",MIN(IFERROR(MAX(MROUND(LOG10(_xlfn.XLOOKUP(B100,'Base stats'!B:B,'Base stats'!C:C)^(2/3))*10,5),5),5),30))-_xlfn.XLOOKUP(B100,'Base stats'!B:B,'Base stats'!P:P)+IF(CA100="True",5,0)</f>
        <v>-50</v>
      </c>
      <c r="L100" s="2">
        <f>IF(OR(_xlfn.XLOOKUP(_xlfn.XLOOKUP(B100,'Base stats'!B:B,'Base stats'!E:E),Groups!A:A,Groups!G:G)=2,ISNUMBER(SEARCH("Desert",BV100)),ISNUMBER(SEARCH("ExtremeDesert",BV100)),ISNUMBER(SEARCH("LavaField",BV100))),50,IF(ISNUMBER(SEARCH("Grasslands",BV100)),45,IF(OR(_xlfn.XLOOKUP(_xlfn.XLOOKUP(B100,'Base stats'!B:B,'Base stats'!E:E),Groups!A:A,Groups!G:G)=1,ISNUMBER(SEARCH("TropicalRainforest",BV100)),ISNUMBER(SEARCH("TropicalSwamp",BV100))),40,IF(OR(ISNUMBER(SEARCH("TemperateForest",BV100)),ISNUMBER(SEARCH("TemperateSwamp",BV100))),35,IF(OR(ISNUMBER(SEARCH("Alpine",BV100)),ISNUMBER(SEARCH("BorealForest",BV100)),ISNUMBER(SEARCH("ColdBog",BV100))),30,IF(ISNUMBER(OR(ISNUMBER(SEARCH("GlacialPlain",BV100)),SEARCH("Tundra",BV100))),25,IF(OR(ISNUMBER(SEARCH("SeaIce",BV100)),ISNUMBER(SEARCH("IceSheet",BV100)),ISNUMBER(SEARCH("TropicalSwamp",BV100))),10,35)))))))+_xlfn.XLOOKUP(B100,'Base stats'!B:B,'Base stats'!Q:Q)</f>
        <v>35</v>
      </c>
      <c r="M100" s="8" t="str">
        <f>IF(_xlfn.XLOOKUP(_xlfn.XLOOKUP(B100,'Base stats'!B:B,'Base stats'!E:E),Groups!A:A,Groups!L:L)=1,MIN(MROUND(_xlfn.XLOOKUP(B100,'Animals CE'!B:B,'Animals CE'!Z:Z)/2+0.05,0.05),200%),"No")</f>
        <v>No</v>
      </c>
      <c r="N100" s="8" t="str">
        <f>IF(_xlfn.XLOOKUP(_xlfn.XLOOKUP(B100,'Base stats'!B:B,'Base stats'!E:E),Groups!A:A,Groups!L:L)=1,MIN(MROUND(_xlfn.XLOOKUP(B100,'Animals CE'!B:B,'Animals CE'!AA:AA)/2+0.05,0.05),200%),"No")</f>
        <v>No</v>
      </c>
      <c r="O100" s="2" t="str">
        <f>_xlfn.XLOOKUP(B100,'Base stats'!B:B,'Base stats'!R:R)</f>
        <v>Standard</v>
      </c>
      <c r="P100" s="13">
        <f>MROUND((LOG10(_xlfn.XLOOKUP(B100,'Base stats'!B:B,'Base stats'!AO:AO))*(AN100^0.5)+(_xlfn.XLOOKUP(B100,'Base stats'!B:B,'Base stats'!AO:AO)/1000)^(2/3)+_xlfn.XLOOKUP(B100,'Base stats'!B:B,'Base stats'!AX:AX)/2)+0.5,0.5)</f>
        <v>7</v>
      </c>
      <c r="Q100" s="7">
        <f>IF(P100="No","No",MAX(1,MROUND(_xlfn.XLOOKUP(B100,'Base stats'!B:B,'Base stats'!C:C)^0.165,0.05)))</f>
        <v>2</v>
      </c>
      <c r="R100" s="13" t="str">
        <f>IF(_xlfn.XLOOKUP(_xlfn.XLOOKUP(B100,'Base stats'!B:B,'Base stats'!E:E),Groups!A:A,Groups!P:P)=0,"No",MROUND((LOG10(_xlfn.XLOOKUP(B100,'Base stats'!B:B,'Base stats'!AP:AP))*(AN100^0.5)+(_xlfn.XLOOKUP(B100,'Base stats'!B:B,'Base stats'!AP:AP)/1000)^(2/3)+_xlfn.XLOOKUP(B100,'Base stats'!B:B,'Base stats'!AX:AX))+_xlfn.XLOOKUP(B100,'Base stats'!B:B,'Base stats'!AV:AV)+0.5,0.5))</f>
        <v>No</v>
      </c>
      <c r="S100" s="7" t="str">
        <f>IF(R100="No","No",MAX(_xlfn.XLOOKUP(_xlfn.XLOOKUP(B100,'Base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T100" s="7" t="str">
        <f>IF(R100="No","No",_xlfn.XLOOKUP(_xlfn.XLOOKUP(B100,'Base stats'!B:B,'Base stats'!E:E),Groups!A:A,Groups!R:R))</f>
        <v>No</v>
      </c>
      <c r="U100" s="7" t="str">
        <f>IF(R100="No","No",_xlfn.XLOOKUP(_xlfn.XLOOKUP(B100,'Base stats'!B:B,'Base stats'!E:E),Groups!A:A,Groups!S:S))</f>
        <v>No</v>
      </c>
      <c r="V100" s="7" t="str">
        <f>IF(R100="No","No",_xlfn.XLOOKUP(_xlfn.XLOOKUP(B100,'Base stats'!B:B,'Base stats'!E:E),Groups!A:A,Groups!T:T))</f>
        <v>No</v>
      </c>
      <c r="W100" s="13" t="str">
        <f>IF(_xlfn.XLOOKUP(B100,'Base stats'!B:B,'Base stats'!W:W)="No","No",MROUND((LOG10(_xlfn.XLOOKUP(B100,'Base stats'!B:B,'Base stats'!AR:AR))*(AN100^0.5)+(_xlfn.XLOOKUP(B100,'Base stats'!B:B,'Base stats'!AR:AR)/1000)^(2/3)+_xlfn.XLOOKUP(B100,'Base stats'!B:B,'Base stats'!AW:AW))+0.5+IF(_xlfn.XLOOKUP(_xlfn.XLOOKUP(B100,'Base stats'!B:B,'Base stats'!E:E),Groups!A:A,Groups!U:U)&lt;&gt;3,_xlfn.XLOOKUP(B100,'Base stats'!B:B,'Base stats'!AX:AX),0),0.5))</f>
        <v>No</v>
      </c>
      <c r="X100" s="7" t="str">
        <f>IF(W100="No","No",MAX(_xlfn.XLOOKUP(_xlfn.XLOOKUP(B100,'Base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Y100" s="7" t="str">
        <f>IF(W100="No","No",_xlfn.XLOOKUP(_xlfn.XLOOKUP(B100,'Base stats'!B:B,'Base stats'!E:E),Groups!A:A,Groups!W:W))</f>
        <v>No</v>
      </c>
      <c r="Z100" s="7" t="str">
        <f>IF(W100="No","No",_xlfn.XLOOKUP(_xlfn.XLOOKUP(B100,'Base stats'!B:B,'Base stats'!E:E),Groups!A:A,Groups!X:X))</f>
        <v>No</v>
      </c>
      <c r="AA100" s="7" t="str">
        <f>IF(W100="No","No",_xlfn.XLOOKUP(_xlfn.XLOOKUP(B100,'Base stats'!B:B,'Base stats'!E:E),Groups!A:A,Groups!Y:Y))</f>
        <v>No</v>
      </c>
      <c r="AB100" s="7" t="str">
        <f>_xlfn.XLOOKUP(Animals!B100,'Base stats'!B:B,'Base stats'!X:X)</f>
        <v>False</v>
      </c>
      <c r="AC100" s="13">
        <f>IF(_xlfn.XLOOKUP(B100,'Base stats'!B:B,'Base stats'!AQ:AQ)="No","No",MROUND((LOG10(_xlfn.XLOOKUP(B100,'Base stats'!B:B,'Base stats'!AQ:AQ))*(AN100^0.75)+(_xlfn.XLOOKUP(B100,'Base stats'!B:B,'Base stats'!AQ:AQ)/1000)^(2/3)+_xlfn.XLOOKUP(B100,'Base stats'!B:B,'Base stats'!AU:AU)+_xlfn.XLOOKUP(B100,'Base stats'!B:B,'Base stats'!AX:AX))+0.5,0.5))</f>
        <v>14</v>
      </c>
      <c r="AD100" s="7">
        <f>IF(AC100="No","No",MAX(_xlfn.XLOOKUP(_xlfn.XLOOKUP(B100,'Base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E100" s="7" t="str">
        <f>IF(AC100="No","No",_xlfn.XLOOKUP(_xlfn.XLOOKUP(B100,'Base stats'!B:B,'Base stats'!E:E),Groups!A:A,Groups!AA:AA))</f>
        <v>Teeth</v>
      </c>
      <c r="AF100" s="7" t="str">
        <f>IF(AC100="No","No",_xlfn.XLOOKUP(_xlfn.XLOOKUP(B100,'Base stats'!B:B,'Base stats'!E:E),Groups!A:A,Groups!AB:AB))</f>
        <v>canines</v>
      </c>
      <c r="AG100" s="7" t="str">
        <f>IF(AC100="No","No",_xlfn.XLOOKUP(_xlfn.XLOOKUP(B100,'Base stats'!B:B,'Base stats'!E:E),Groups!A:A,Groups!AC:AC))</f>
        <v>Bite</v>
      </c>
      <c r="AH100" s="13" t="str">
        <f>IF(_xlfn.XLOOKUP(_xlfn.XLOOKUP(B100,'Base stats'!B:B,'Base stats'!E:E),Groups!A:A,Groups!AD:AD)=0,"No",MROUND((LOG10(_xlfn.XLOOKUP(B100,'Base stats'!B:B,'Base stats'!AP:AP))*(AN100^0.75)+(_xlfn.XLOOKUP(B100,'Base stats'!B:B,'Base stats'!AP:AP)/1000)^(2/3)+_xlfn.XLOOKUP(B100,'Base stats'!B:B,'Base stats'!AV:AV)+_xlfn.XLOOKUP(B100,'Base stats'!B:B,'Base stats'!AX:AX))+0.5,0.5))</f>
        <v>No</v>
      </c>
      <c r="AI100" s="7" t="str">
        <f>IF(AH100="No","No",MAX(_xlfn.XLOOKUP(_xlfn.XLOOKUP(B100,'Base stats'!B:B,'Base stats'!E:E),Groups!A:A,Groups!AE:AE),MROUND(_xlfn.XLOOKUP(_xlfn.XLOOKUP(B100,'Base stats'!B:B,'Base stats'!E:E),Groups!A:A,Groups!AE:AE)*_xlfn.XLOOKUP(B100,'Base stats'!B:B,'Base stats'!C:C)^0.165,0.05)))</f>
        <v>No</v>
      </c>
      <c r="AJ100" s="7" t="str">
        <f>IF(AH100="No","No",_xlfn.XLOOKUP(_xlfn.XLOOKUP(B100,'Base stats'!B:B,'Base stats'!E:E),Groups!A:A,Groups!AF:AF))</f>
        <v>No</v>
      </c>
      <c r="AK100" s="7" t="str">
        <f>IF(AH100="No","No",_xlfn.XLOOKUP(_xlfn.XLOOKUP(B100,'Base stats'!B:B,'Base stats'!E:E),Groups!A:A,Groups!AG:AG))</f>
        <v>No</v>
      </c>
      <c r="AL100" s="7" t="str">
        <f>IF(AH100="No","No",_xlfn.XLOOKUP(_xlfn.XLOOKUP(B100,'Base stats'!B:B,'Base stats'!E:E),Groups!A:A,Groups!AH:AH))</f>
        <v>No</v>
      </c>
      <c r="AM100" s="2">
        <f t="shared" si="7"/>
        <v>20</v>
      </c>
      <c r="AN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O100" s="8">
        <f>MROUND(AN100*_xlfn.XLOOKUP(_xlfn.XLOOKUP(B100,'Base stats'!B:B,'Base stats'!E:E),Groups!A:A,Groups!AI:AI),0.05)</f>
        <v>1.2000000000000002</v>
      </c>
      <c r="AP100" s="8">
        <f>MAX(0.01,MROUND(IF(CA100="True",0.196*(AN100*100*1000)^0.889,IF(_xlfn.XLOOKUP(_xlfn.XLOOKUP(B100,'Base stats'!B:B,'Base stats'!E:E),Groups!A:A,Groups!AJ:AJ)="Bird",10.5*(AN100*100*1000)^0.681,4.82*(AN100*100*1000)^0.734))/(4.82*(1*100*1000)^0.734)/IF(AN100&lt;3.5,2,IF(AN100=3.5,1.5,1.25))*(1+0.132282374779864/(AN100^0.994035016789033+0.00905238001496948)),0.05))</f>
        <v>0.55000000000000004</v>
      </c>
      <c r="AQ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R100" s="35">
        <f>IFERROR(IF(_xlfn.XLOOKUP(B100,'Base stats'!B:B,'Base stats'!F:F)="Lay eggs","Lay eggs",MIN(20,MAX(5.5,ROUND(((_xlfn.XLOOKUP(B100,'Base stats'!B:B,'Base stats'!F:F)-25)*(14.5/615) + 5.5)*2,0)/2))),"Cannot breed")</f>
        <v>6.5</v>
      </c>
      <c r="AS100" s="8">
        <f>IF(OR(A100="Queen",A100="Larva",A100="Megachicken"),"No",IFERROR(MAX(IF(_xlfn.XLOOKUP(B100,'Base stats'!B:B,'Base stats'!G:G)&lt;0.5,0.2,0.3),MROUND(_xlfn.XLOOKUP(B100,'Base stats'!B:B,'Base stats'!G:G)/(365/60),0.2)),"Unknown"))</f>
        <v>0.4</v>
      </c>
      <c r="AT100" s="8">
        <f t="shared" si="8"/>
        <v>0.2</v>
      </c>
      <c r="AU100" s="8">
        <f>IFERROR(IFERROR(MROUND(_xlfn.XLOOKUP(B100,'Base stats'!B:B,'Base stats'!J:J),0.1),"Lay eggs"),"Cannot breed")</f>
        <v>6</v>
      </c>
      <c r="AV100" s="2" t="str">
        <f t="shared" si="9"/>
        <v>true</v>
      </c>
      <c r="AW100" s="2" t="str">
        <f>IF(_xlfn.XLOOKUP(_xlfn.XLOOKUP(Animals!B100,'Base stats'!B:B,'Base stats'!E:E),Groups!A:A,Groups!AK:AK)=1,"true","false")</f>
        <v>false</v>
      </c>
      <c r="AX100" s="25" t="str">
        <f>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</f>
        <v>CarnivoreAnimal, OvivoreAnimal</v>
      </c>
      <c r="AY100" s="2" t="str">
        <f>IF(_xlfn.XLOOKUP(_xlfn.XLOOKUP(B100,'Base stats'!B:B,'Base stats'!E:E),Groups!A:A,Groups!D:D)=1,MROUND((1-I100)*5+1,2)*IF(I100&lt;=0.4,2,1),"No")</f>
        <v>No</v>
      </c>
      <c r="AZ100" s="2" t="str">
        <f>_xlfn.XLOOKUP(B100,'Base stats'!B:B,'Base stats'!AE:AE)</f>
        <v>Leather_Wolf</v>
      </c>
      <c r="BA100" s="23" t="str">
        <f>_xlfn.XLOOKUP(_xlfn.XLOOKUP(B100,'Base stats'!B:B,'Base stats'!E:E),Groups!A:A,Groups!AL:AL)</f>
        <v>QuadrupedAnimalWithPawsAndTail</v>
      </c>
      <c r="BB100" s="23">
        <f>MROUND(IF(AND(AN100&lt;0.5,_xlfn.XLOOKUP(B100,'Base stats'!B:B,'Base stats'!Z:Z)=0),0,IF(OR(_xlfn.XLOOKUP(Animals!B100,'Base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stats'!AA:AA),0.005)</f>
        <v>0.1</v>
      </c>
      <c r="BC100" s="23">
        <f>MROUND(IF(AND(AN100&lt;0.5,_xlfn.XLOOKUP(B100,'Base stats'!B:B,'Base stats'!Z:Z)=0),0,IF(_xlfn.XLOOKUP(_xlfn.XLOOKUP(B100,'Base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stats'!AB:AB),0.005)</f>
        <v>0.3</v>
      </c>
      <c r="BD100" s="2" t="str">
        <f>IF(I100&gt;0.3,"No",_xlfn.XLOOKUP(_xlfn.XLOOKUP(Animals!B100,'Base stats'!B:B,'Base stats'!E:E),Groups!A:A,Groups!AP:AP))</f>
        <v>No</v>
      </c>
      <c r="BE100" s="2" t="str">
        <f>IF(AND(I100&lt;=0.65,_xlfn.XLOOKUP(_xlfn.XLOOKUP(Animals!B100,'Base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stats'!O:O)=2,0.2,AN100) + 24*(1-IF(BD100="No",0,BD100)) + 16/3, 12),"No")</f>
        <v>No</v>
      </c>
      <c r="BF100" s="2">
        <f>IF(AND(_xlfn.XLOOKUP(_xlfn.XLOOKUP(B100,'Base stats'!B:B,'Base stats'!E:E),Groups!A:A,Groups!AQ:AQ)=1,AN100&lt;=0.35),8,12)</f>
        <v>12</v>
      </c>
      <c r="BG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H100" s="2" t="str">
        <f>IF(AND(_xlfn.XLOOKUP(_xlfn.XLOOKUP(B100,'Base stats'!B:B,'Base stats'!E:E),Groups!A:A,Groups!AS:AS)=1,OR('Base stats'!Y100="Carnivore",'Base stats'!Y100="Omnivore")),"true","false")</f>
        <v>true</v>
      </c>
      <c r="BI100" s="2">
        <f>IF(BH100="true",MROUND(IF(AND(AN100&gt;0.5,_xlfn.XLOOKUP(_xlfn.XLOOKUP(B100,'Base stats'!B:B,'Base stats'!E:E),Groups!A:A,Groups!AJ:AJ)="Mammal"),Animals!AN100*1.75*IF(AV100="true",1.5,1),Animals!AN100),IF(AN100&gt;2,0.5,IF(AN100&gt;0.5,0.25,0.1))),"No")</f>
        <v>2.75</v>
      </c>
      <c r="BJ100" s="2">
        <f t="shared" si="10"/>
        <v>1</v>
      </c>
      <c r="BK100" s="25" t="str">
        <f>IF('Base stats'!AK100="Standard","No",MROUND((_xlfn.XLOOKUP(B100,'Base stats'!B:B,'Base stats'!AK:AK)/3.6)/H100,0.1))</f>
        <v>No</v>
      </c>
      <c r="BL100" s="25" t="str">
        <f t="shared" si="11"/>
        <v>false</v>
      </c>
      <c r="BM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N100" s="25" t="str" cm="1">
        <f t="array" ref="BN100">IF(
  _xlfn.TEXTJOIN(", ",TRUE,
    IF(AND(BH100="true",AN100&gt;0.5,BG100&lt;&gt;"None"),"AttackTarget",""),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IF(BE100&lt;=36,"Comfort",""),
    IF(_xlfn.XLOOKUP(B100,'Base stats'!B:B,'Base stats'!AC:AC)&lt;&gt;"No",_xlfn.XLOOKUP(B100,'Base stats'!B:B,'Base stats'!AC:AC),"")
  ) = "",
  "No",
  _xlfn.TEXTJOIN(", ",TRUE,
    IF(AND(BH100="true",AN100&gt;0.5,BG100&lt;&gt;"None"),"AttackTarget",""),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IF(BE100&lt;=36,"Comfort",""),
    IF(_xlfn.XLOOKUP(B100,'Base stats'!B:B,'Base stats'!AC:AC)&lt;&gt;"No",_xlfn.XLOOKUP(B100,'Base stats'!B:B,'Base stats'!AC:AC),"")
  )
)</f>
        <v>AttackTarget</v>
      </c>
      <c r="BO100" s="25" t="str">
        <f>IF(
   AND(
      'Base stats'!AK100="Standard",_xlfn.XLOOKUP(_xlfn.XLOOKUP(B100,'Base stats'!B:B,'Base stats'!E:E),Groups!A:A,Groups!AU:AU)=0,
      OR(
      BM100="True"
      )
   ),
   10,
   IF(
       OR(BK100&lt;&gt;"No",_xlfn.XLOOKUP(_xlfn.XLOOKUP(B100,'Base stats'!B:B,'Base stats'!E:E),Groups!A:A,Groups!AU:AU)=1),
      1,
      "No"
   )
)</f>
        <v>No</v>
      </c>
      <c r="BP100" s="9">
        <f>MROUND((1 + ((0.2*IF(OR(P100="No",Q100="No",Q100=0),0,P100/Q100)
+IF(OR(U100="No",R100="No",S100="No"),0,R100/S100*(LEN(U100)-LEN(SUBSTITUTE(U100,",",""))+1))
+IF(OR(W100="No",X100="No"),0,W100/X100)
+IF(OR(AC100="No",AD100="No"),0,AC100/AD100)
+IF(OR(AK100="No",AH100="No",AI100="No"),0,AH100/AI100*(LEN(AK100)-LEN(SUBSTITUTE(AK100,",",""))+1))
)/(0.2*IF(OR(P100="No",Q100="No",Q100=0),0,1)
+IF(OR(U100="No",R100="No",S100="No"),0,LEN(U100)-LEN(SUBSTITUTE(U100,",",""))+1)
+IF(OR(W100="No",X100="No"),0,1)
+IF(OR(AC100="No",AD100="No"),0,1)
+IF(OR(AK100="No",AH100="No",AI100="No"),0,LEN(AK100)-LEN(SUBSTITUTE(AK100,",",""))+1))*62%)* 2)*(1 + (AO100 + _xlfn.XLOOKUP(B100,'Base stats'!B:B,'Base stats'!AS:AS) * 1.8) * 2) * 2.5 + 10 + H100 * 2,5)+IF(_xlfn.XLOOKUP(B100,'Base stats'!B:B,'Base stats'!AH:AH)=1,50,0)</f>
        <v>115</v>
      </c>
      <c r="BQ100" s="8">
        <f t="shared" si="12"/>
        <v>0.65</v>
      </c>
      <c r="BR100" s="8" t="str">
        <f>_xlfn.XLOOKUP(B100,'Base stats'!B:B,'Base stats'!AD:AD)</f>
        <v>2~6</v>
      </c>
      <c r="BS100" s="2" t="str">
        <f>IF(AND(I100&lt;=0.95,OR(_xlfn.XLOOKUP(B100,'Base stats'!B:B,'Base stats'!AH:AH)=1,_xlfn.XLOOKUP(B100,'Base stats'!B:B,'Base stats'!Y:Y)="Carnivore",_xlfn.XLOOKUP(B100,'Base stats'!B:B,'Base stats'!Y:Y)="Omnivore",BC100&gt;0.1)),"true","false")</f>
        <v>true</v>
      </c>
      <c r="BT100" s="2" t="str">
        <f>IF(_xlfn.XLOOKUP(B100,'Base stats'!B:B,'Base stats'!AF:AF)=1,"true","false")</f>
        <v>false</v>
      </c>
      <c r="BU100" s="25" t="str">
        <f>IF(E100="BaseInsect","AnimalInsect",
IF(I100&gt;0.95,"AnimalExotic",
_xlfn.TEXTJOIN(", ",TRUE,
IF(AND(_xlfn.XLOOKUP(B100,'Base stats'!B:B,'Base stats'!O:O)=0,_xlfn.XLOOKUP(_xlfn.XLOOKUP(B100,'Base stats'!B:B,'Base stats'!E:E),Groups!A:A,Groups!B:B)&gt;0),"AnimalUncommon","AnimalCommon"),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stats'!AH:AH)=1,AND(BG100&lt;&gt;"None",BP100&gt;=60),ISNUMBER(SEARCH("Attack target",BN100))),"AnimalFighter","")
)))</f>
        <v>AnimalCommon, AnimalFighter</v>
      </c>
      <c r="BV100" s="25" t="str">
        <f>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</f>
        <v>GlacialPlain</v>
      </c>
      <c r="BW100" s="25" t="str">
        <f>IF(_xlfn.XLOOKUP(B100,'Base stats'!B:B,'Base stats'!AG:AG)=1,"true","false")</f>
        <v>false</v>
      </c>
      <c r="BX100" s="25">
        <f>IF(_xlfn.XLOOKUP(B100,'Base stats'!B:B,'Base stats'!N:N)=1,"No",MIN(MROUND(IF(OR(_xlfn.XLOOKUP(B100,'Base stats'!B:B,'Base stats'!AJ:AJ)=1,AND(BH100="True",CA100="False")),POWER(10,3.47*LOG10(_xlfn.XLOOKUP(B100,'Base stats'!B:B,'Base stats'!C:C)*1000)^-0.96),POWER(10,4.15*LOG10(_xlfn.XLOOKUP(B100,'Base stats'!B:B,'Base stats'!C:C)*1000)^-0.73))*IF(OR(_xlfn.XLOOKUP(B100,'Base stats'!B:B,'Base stats'!AJ:AJ)=1,_xlfn.XLOOKUP(B100,'Base stats'!B:B,'Base stats'!AH:AH)=1),0.5,1)/100,0.025),1))</f>
        <v>0.05</v>
      </c>
      <c r="BY100" s="25" t="str">
        <f>IF(O100="Standard","No",IF(_xlfn.XLOOKUP(B100,'Base stats'!B:B,'Base stats'!N:N)=0,MROUND(BX100*O100,0.05),MIN(1,MAX(0.025,MROUND(IF(OR(CA100="true",AND(BH100="false",BM100="false")),POWER(10,4.15*LOG10(_xlfn.XLOOKUP(B100,'Base stats'!B:B,'Base stats'!C:C)*1000)^-0.73),POWER(10,3.47*LOG10(_xlfn.XLOOKUP(B100,'Base stats'!B:B,'Base stats'!C:C)*1000)^-0.96))*IF(_xlfn.XLOOKUP(B100,'Base stats'!B:B,'Base stats'!AH:AH)=1,0.5,1)/100,0.025)))))</f>
        <v>No</v>
      </c>
      <c r="BZ100" s="25" t="str">
        <f>IF(_xlfn.XLOOKUP(_xlfn.XLOOKUP(B100,'Base stats'!B:B,'Base stats'!E:E),Groups!A:A,Groups!AJ:AJ)="Mammal","True","False")</f>
        <v>True</v>
      </c>
      <c r="CA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B100" s="25" t="str">
        <f t="shared" si="13"/>
        <v>False</v>
      </c>
      <c r="CC100" s="25" t="str">
        <f>IF(_xlfn.XLOOKUP(_xlfn.XLOOKUP(B100,'Base stats'!B:B,'Base stats'!E:E),Groups!A:A,Groups!AW:AW),"True","False")</f>
        <v>False</v>
      </c>
      <c r="CD100" s="25" t="str">
        <f>IF(_xlfn.XLOOKUP(_xlfn.XLOOKUP(B100,'Base stats'!B:B,'Base stats'!E:E),Groups!A:A,Groups!AX:AX),"True","False")</f>
        <v>False</v>
      </c>
      <c r="CE100" s="25" t="str">
        <f>IF(_xlfn.XLOOKUP(B100,'Base stats'!B:B,'Base stats'!E:E)=1,"True","False")</f>
        <v>False</v>
      </c>
      <c r="CF100" s="25" t="str">
        <f>IF(
OR(
_xlfn.XLOOKUP(_xlfn.XLOOKUP(B100,'Base stats'!B:B,'Base stats'!E:E),Groups!A:A,Groups!AY:AY)=0,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stats'!E:E),Groups!A:A,Groups!AY:AY)=1,
"Flesh",
IF(
_xlfn.XLOOKUP(_xlfn.XLOOKUP(B100,'Base stats'!B:B,'Base stats'!E:E),Groups!A:A,Groups!AY:AY)=2,
"Bone",
""
)
)
)</f>
        <v>No</v>
      </c>
      <c r="CG100" s="25" t="str">
        <f>IF(_xlfn.XLOOKUP(_xlfn.XLOOKUP(B100,'Base stats'!B:B,'Base stats'!E:E),Groups!A:A,Groups!BA:BA),"True","False")</f>
        <v>True</v>
      </c>
      <c r="CH100" s="25" t="str">
        <f>IF(_xlfn.XLOOKUP(_xlfn.XLOOKUP(B100,'Base stats'!B:B,'Base stats'!E:E),Groups!A:A,Groups!AZ:AZ),"True","False")</f>
        <v>False</v>
      </c>
    </row>
    <row r="101" spans="1:86" ht="16.5" thickTop="1" thickBot="1" x14ac:dyDescent="0.3">
      <c r="A101" s="26" t="str">
        <f>_xlfn.XLOOKUP(B101,'Base stats'!B:B,'Base stats'!A:A)</f>
        <v>StoneCrab</v>
      </c>
      <c r="B101" s="6" t="s">
        <v>226</v>
      </c>
      <c r="C101" s="28" t="s">
        <v>793</v>
      </c>
      <c r="D101" s="28" t="s">
        <v>882</v>
      </c>
      <c r="E101" s="28" t="s">
        <v>685</v>
      </c>
      <c r="F101" s="28" t="s">
        <v>685</v>
      </c>
      <c r="G101" s="2">
        <f>MROUND((
  (IF(AND(_xlfn.XLOOKUP(B101,'Base stats'!B:B,'Base stats'!AI:AI)=0,BG101="None",_xlfn.XLOOKUP('Base stats'!E101,Groups!A:A,Groups!B:B)=0), (18 + BP101 * 2.7) * 0.5,
    IF(AND(_xlfn.XLOOKUP(B101,'Base stats'!B:B,'Base stats'!AI:AI)=0,OR(AN101&lt;0.55,AND(BG101="Intermediate",_xlfn.XLOOKUP('Base stats'!E101,Groups!A:A,Groups!B:B)&lt;2))), (18 + BP101 * 2.7),
      IF(OR(BG101="Advanced",_xlfn.XLOOKUP(B101,'Base stats'!B:B,'Base stats'!AI:AI)=1,_xlfn.XLOOKUP('Base stats'!E101,Groups!A:A,Groups!B:B)=2), (18 + BP101 * 2.7) + 250, (18 + BP101 * 2.7))
    )
  ))
  + AN101 * 80
  + IF(COUNTIF(EggMilk!K$2:K$998, A101) &gt; 0, 125, 0)
  + IF(COUNTIF(EggMilk!P$2:P$998, A101) &gt; 0, 90, 0)
  + IF(COUNTIF(EggMilk!A$2:A$998, A101) &gt; 0, 90, 0)
)
* (0.8 + 0.4 * I101)
* 0.75,25)</f>
        <v>50</v>
      </c>
      <c r="H101" s="2">
        <f>MROUND(ROUNDDOWN(_xlfn.XLOOKUP(B101,'Base stats'!B:B,'Base stats'!L:L)/3.6/(23.3/11),1),0.5)</f>
        <v>0.5</v>
      </c>
      <c r="I101" s="2">
        <f>IF(_xlfn.XLOOKUP(B101,'Base stats'!B:B,'Base stats'!AI:AI)=1,0.99,MIN(MROUND((1-0.6282*EXP(-0.459*AN101))*_xlfn.XLOOKUP(_xlfn.XLOOKUP(B101,'Base stats'!B:B,'Base stats'!E:E),Groups!A:A,Groups!C:C)*IF(_xlfn.XLOOKUP(B101,'Base stats'!B:B,'Base stats'!O:O)=1,0.5,IF(_xlfn.XLOOKUP(B101,'Base stats'!B:B,'Base stats'!O:O)=2,0,1)),0.05),0.985))</f>
        <v>0.60000000000000009</v>
      </c>
      <c r="J101" s="2">
        <f>ROUNDUP(AN101*_xlfn.XLOOKUP(_xlfn.XLOOKUP(B101,'Base stats'!B:B,'Base stats'!E:E),Groups!A:A,Groups!E:E),0)</f>
        <v>1</v>
      </c>
      <c r="K101" s="2">
        <f>IF(OR(_xlfn.XLOOKUP(_xlfn.XLOOKUP(B101,'Base stats'!B:B,'Base stats'!E:E),Groups!A:A,Groups!F:F)=2,ISNUMBER(SEARCH("SeaIce",BV101)),ISNUMBER(SEARCH("IceSheet",BV101))),-50,IF(OR(ISNUMBER(SEARCH("GlacialPlain",BV101)),ISNUMBER(SEARCH("Tundra",BV101))),-40,IF(OR(ISNUMBER(SEARCH("Alpine",BV101)),ISNUMBER(SEARCH("BorealForest",BV101)),ISNUMBER(SEARCH("ColdBog",BV101))),-30,IF(OR(ISNUMBER(SEARCH("TemperateForest",BV101)),ISNUMBER(SEARCH("TemperateSwamp",BV101))),-20,IF(_xlfn.XLOOKUP(_xlfn.XLOOKUP(B101,'Base stats'!B:B,'Base stats'!E:E),Groups!A:A,Groups!F:F)=1,-15,IF(OR(ISNUMBER(SEARCH("Desert",BV101)),ISNUMBER(SEARCH("ExtremeDesert",BV101))),-10,IF(OR(ISNUMBER(SEARCH("Grasslands",BV101)),ISNUMBER(SEARCH("TropicalRainforest",BV101)),ISNUMBER(SEARCH("TropicalSwamp",BV101))),10,0)))))))-IF(CA101="False",MIN(IFERROR(MAX(MROUND(LOG10(_xlfn.XLOOKUP(B101,'Base stats'!B:B,'Base stats'!C:C)^(2/3))*10,5),5),5),30))-_xlfn.XLOOKUP(B101,'Base stats'!B:B,'Base stats'!P:P)+IF(CA101="True",5,0)</f>
        <v>-5</v>
      </c>
      <c r="L101" s="2">
        <f>IF(OR(_xlfn.XLOOKUP(_xlfn.XLOOKUP(B101,'Base stats'!B:B,'Base stats'!E:E),Groups!A:A,Groups!G:G)=2,ISNUMBER(SEARCH("Desert",BV101)),ISNUMBER(SEARCH("ExtremeDesert",BV101)),ISNUMBER(SEARCH("LavaField",BV101))),50,IF(ISNUMBER(SEARCH("Grasslands",BV101)),45,IF(OR(_xlfn.XLOOKUP(_xlfn.XLOOKUP(B101,'Base stats'!B:B,'Base stats'!E:E),Groups!A:A,Groups!G:G)=1,ISNUMBER(SEARCH("TropicalRainforest",BV101)),ISNUMBER(SEARCH("TropicalSwamp",BV101))),40,IF(OR(ISNUMBER(SEARCH("TemperateForest",BV101)),ISNUMBER(SEARCH("TemperateSwamp",BV101))),35,IF(OR(ISNUMBER(SEARCH("Alpine",BV101)),ISNUMBER(SEARCH("BorealForest",BV101)),ISNUMBER(SEARCH("ColdBog",BV101))),30,IF(ISNUMBER(OR(ISNUMBER(SEARCH("GlacialPlain",BV101)),SEARCH("Tundra",BV101))),25,IF(OR(ISNUMBER(SEARCH("SeaIce",BV101)),ISNUMBER(SEARCH("IceSheet",BV101)),ISNUMBER(SEARCH("TropicalSwamp",BV101))),10,35)))))))+_xlfn.XLOOKUP(B101,'Base stats'!B:B,'Base stats'!Q:Q)</f>
        <v>50</v>
      </c>
      <c r="M101" s="8">
        <f>IF(_xlfn.XLOOKUP(_xlfn.XLOOKUP(B101,'Base stats'!B:B,'Base stats'!E:E),Groups!A:A,Groups!L:L)=1,MIN(MROUND(_xlfn.XLOOKUP(B101,'Animals CE'!B:B,'Animals CE'!Z:Z)/2+0.05,0.05),200%),"No")</f>
        <v>0.05</v>
      </c>
      <c r="N101" s="8">
        <f>IF(_xlfn.XLOOKUP(_xlfn.XLOOKUP(B101,'Base stats'!B:B,'Base stats'!E:E),Groups!A:A,Groups!L:L)=1,MIN(MROUND(_xlfn.XLOOKUP(B101,'Animals CE'!B:B,'Animals CE'!AA:AA)/2+0.05,0.05),200%),"No")</f>
        <v>0.05</v>
      </c>
      <c r="O101" s="2" t="str">
        <f>_xlfn.XLOOKUP(B101,'Base stats'!B:B,'Base stats'!R:R)</f>
        <v>Standard</v>
      </c>
      <c r="P101" s="13">
        <f>MROUND((LOG10(_xlfn.XLOOKUP(B101,'Base stats'!B:B,'Base stats'!AO:AO))*(AN101^0.5)+(_xlfn.XLOOKUP(B101,'Base stats'!B:B,'Base stats'!AO:AO)/1000)^(2/3)+_xlfn.XLOOKUP(B101,'Base stats'!B:B,'Base stats'!AX:AX)/2)+0.5,0.5)</f>
        <v>1</v>
      </c>
      <c r="Q101" s="7">
        <f>IF(P101="No","No",MAX(1,MROUND(_xlfn.XLOOKUP(B101,'Base stats'!B:B,'Base stats'!C:C)^0.165,0.05)))</f>
        <v>1</v>
      </c>
      <c r="R101" s="13" t="str">
        <f>IF(_xlfn.XLOOKUP(_xlfn.XLOOKUP(B101,'Base stats'!B:B,'Base stats'!E:E),Groups!A:A,Groups!P:P)=0,"No",MROUND((LOG10(_xlfn.XLOOKUP(B101,'Base stats'!B:B,'Base stats'!AP:AP))*(AN101^0.5)+(_xlfn.XLOOKUP(B101,'Base stats'!B:B,'Base stats'!AP:AP)/1000)^(2/3)+_xlfn.XLOOKUP(B101,'Base stats'!B:B,'Base stats'!AX:AX))+_xlfn.XLOOKUP(B101,'Base stats'!B:B,'Base stats'!AV:AV)+0.5,0.5))</f>
        <v>No</v>
      </c>
      <c r="S101" s="7" t="str">
        <f>IF(R101="No","No",MAX(_xlfn.XLOOKUP(_xlfn.XLOOKUP(B101,'Base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T101" s="7" t="str">
        <f>IF(R101="No","No",_xlfn.XLOOKUP(_xlfn.XLOOKUP(B101,'Base stats'!B:B,'Base stats'!E:E),Groups!A:A,Groups!R:R))</f>
        <v>No</v>
      </c>
      <c r="U101" s="7" t="str">
        <f>IF(R101="No","No",_xlfn.XLOOKUP(_xlfn.XLOOKUP(B101,'Base stats'!B:B,'Base stats'!E:E),Groups!A:A,Groups!S:S))</f>
        <v>No</v>
      </c>
      <c r="V101" s="7" t="str">
        <f>IF(R101="No","No",_xlfn.XLOOKUP(_xlfn.XLOOKUP(B101,'Base stats'!B:B,'Base stats'!E:E),Groups!A:A,Groups!T:T))</f>
        <v>No</v>
      </c>
      <c r="W101" s="13" t="str">
        <f>IF(_xlfn.XLOOKUP(B101,'Base stats'!B:B,'Base stats'!W:W)="No","No",MROUND((LOG10(_xlfn.XLOOKUP(B101,'Base stats'!B:B,'Base stats'!AR:AR))*(AN101^0.5)+(_xlfn.XLOOKUP(B101,'Base stats'!B:B,'Base stats'!AR:AR)/1000)^(2/3)+_xlfn.XLOOKUP(B101,'Base stats'!B:B,'Base stats'!AW:AW))+0.5+IF(_xlfn.XLOOKUP(_xlfn.XLOOKUP(B101,'Base stats'!B:B,'Base stats'!E:E),Groups!A:A,Groups!U:U)&lt;&gt;3,_xlfn.XLOOKUP(B101,'Base stats'!B:B,'Base stats'!AX:AX),0),0.5))</f>
        <v>No</v>
      </c>
      <c r="X101" s="7" t="str">
        <f>IF(W101="No","No",MAX(_xlfn.XLOOKUP(_xlfn.XLOOKUP(B101,'Base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Y101" s="7" t="str">
        <f>IF(W101="No","No",_xlfn.XLOOKUP(_xlfn.XLOOKUP(B101,'Base stats'!B:B,'Base stats'!E:E),Groups!A:A,Groups!W:W))</f>
        <v>No</v>
      </c>
      <c r="Z101" s="7" t="str">
        <f>IF(W101="No","No",_xlfn.XLOOKUP(_xlfn.XLOOKUP(B101,'Base stats'!B:B,'Base stats'!E:E),Groups!A:A,Groups!X:X))</f>
        <v>No</v>
      </c>
      <c r="AA101" s="7" t="str">
        <f>IF(W101="No","No",_xlfn.XLOOKUP(_xlfn.XLOOKUP(B101,'Base stats'!B:B,'Base stats'!E:E),Groups!A:A,Groups!Y:Y))</f>
        <v>No</v>
      </c>
      <c r="AB101" s="7" t="str">
        <f>_xlfn.XLOOKUP(Animals!B101,'Base stats'!B:B,'Base stats'!X:X)</f>
        <v>False</v>
      </c>
      <c r="AC101" s="13" t="str">
        <f>IF(_xlfn.XLOOKUP(B101,'Base stats'!B:B,'Base stats'!AQ:AQ)="No","No",MROUND((LOG10(_xlfn.XLOOKUP(B101,'Base stats'!B:B,'Base stats'!AQ:AQ))*(AN101^0.75)+(_xlfn.XLOOKUP(B101,'Base stats'!B:B,'Base stats'!AQ:AQ)/1000)^(2/3)+_xlfn.XLOOKUP(B101,'Base stats'!B:B,'Base stats'!AU:AU)+_xlfn.XLOOKUP(B101,'Base stats'!B:B,'Base stats'!AX:AX))+0.5,0.5))</f>
        <v>No</v>
      </c>
      <c r="AD101" s="7" t="str">
        <f>IF(AC101="No","No",MAX(_xlfn.XLOOKUP(_xlfn.XLOOKUP(B101,'Base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E101" s="7" t="str">
        <f>IF(AC101="No","No",_xlfn.XLOOKUP(_xlfn.XLOOKUP(B101,'Base stats'!B:B,'Base stats'!E:E),Groups!A:A,Groups!AA:AA))</f>
        <v>No</v>
      </c>
      <c r="AF101" s="7" t="str">
        <f>IF(AC101="No","No",_xlfn.XLOOKUP(_xlfn.XLOOKUP(B101,'Base stats'!B:B,'Base stats'!E:E),Groups!A:A,Groups!AB:AB))</f>
        <v>No</v>
      </c>
      <c r="AG101" s="7" t="str">
        <f>IF(AC101="No","No",_xlfn.XLOOKUP(_xlfn.XLOOKUP(B101,'Base stats'!B:B,'Base stats'!E:E),Groups!A:A,Groups!AC:AC))</f>
        <v>No</v>
      </c>
      <c r="AH101" s="13">
        <f>IF(_xlfn.XLOOKUP(_xlfn.XLOOKUP(B101,'Base stats'!B:B,'Base stats'!E:E),Groups!A:A,Groups!AD:AD)=0,"No",MROUND((LOG10(_xlfn.XLOOKUP(B101,'Base stats'!B:B,'Base stats'!AP:AP))*(AN101^0.75)+(_xlfn.XLOOKUP(B101,'Base stats'!B:B,'Base stats'!AP:AP)/1000)^(2/3)+_xlfn.XLOOKUP(B101,'Base stats'!B:B,'Base stats'!AV:AV)+_xlfn.XLOOKUP(B101,'Base stats'!B:B,'Base stats'!AX:AX))+0.5,0.5))</f>
        <v>2.5</v>
      </c>
      <c r="AI101" s="7">
        <f>IF(AH101="No","No",MAX(_xlfn.XLOOKUP(_xlfn.XLOOKUP(B101,'Base stats'!B:B,'Base stats'!E:E),Groups!A:A,Groups!AE:AE),MROUND(_xlfn.XLOOKUP(_xlfn.XLOOKUP(B101,'Base stats'!B:B,'Base stats'!E:E),Groups!A:A,Groups!AE:AE)*_xlfn.XLOOKUP(B101,'Base stats'!B:B,'Base stats'!C:C)^0.165,0.05)))</f>
        <v>1.1000000000000001</v>
      </c>
      <c r="AJ101" s="7" t="str">
        <f>IF(AH101="No","No",_xlfn.XLOOKUP(_xlfn.XLOOKUP(B101,'Base stats'!B:B,'Base stats'!E:E),Groups!A:A,Groups!AF:AF))</f>
        <v>FrontLeftClaws, FrontRightClaws</v>
      </c>
      <c r="AK101" s="7" t="str">
        <f>IF(AH101="No","No",_xlfn.XLOOKUP(_xlfn.XLOOKUP(B101,'Base stats'!B:B,'Base stats'!E:E),Groups!A:A,Groups!AG:AG))</f>
        <v>left claw, right claw</v>
      </c>
      <c r="AL101" s="7" t="str">
        <f>IF(AH101="No","No",_xlfn.XLOOKUP(_xlfn.XLOOKUP(B101,'Base stats'!B:B,'Base stats'!E:E),Groups!A:A,Groups!AH:AH))</f>
        <v>Scratch</v>
      </c>
      <c r="AM101" s="2" t="str">
        <f t="shared" si="7"/>
        <v>No</v>
      </c>
      <c r="AN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O101" s="8">
        <f>MROUND(AN101*_xlfn.XLOOKUP(_xlfn.XLOOKUP(B101,'Base stats'!B:B,'Base stats'!E:E),Groups!A:A,Groups!AI:AI),0.05)</f>
        <v>0.1</v>
      </c>
      <c r="AP101" s="8">
        <f>MAX(0.01,MROUND(IF(CA101="True",0.196*(AN101*100*1000)^0.889,IF(_xlfn.XLOOKUP(_xlfn.XLOOKUP(B101,'Base stats'!B:B,'Base stats'!E:E),Groups!A:A,Groups!AJ:AJ)="Bird",10.5*(AN101*100*1000)^0.681,4.82*(AN101*100*1000)^0.734))/(4.82*(1*100*1000)^0.734)/IF(AN101&lt;3.5,2,IF(AN101=3.5,1.5,1.25))*(1+0.132282374779864/(AN101^0.994035016789033+0.00905238001496948)),0.05))</f>
        <v>0.05</v>
      </c>
      <c r="AQ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R101" s="35">
        <f>IFERROR(IF(_xlfn.XLOOKUP(B101,'Base stats'!B:B,'Base stats'!F:F)="Lay eggs","Lay eggs",MIN(20,MAX(5.5,ROUND(((_xlfn.XLOOKUP(B101,'Base stats'!B:B,'Base stats'!F:F)-25)*(14.5/615) + 5.5)*2,0)/2))),"Cannot breed")</f>
        <v>6</v>
      </c>
      <c r="AS101" s="8">
        <f>IF(OR(A101="Queen",A101="Larva",A101="Megachicken"),"No",IFERROR(MAX(IF(_xlfn.XLOOKUP(B101,'Base stats'!B:B,'Base stats'!G:G)&lt;0.5,0.2,0.3),MROUND(_xlfn.XLOOKUP(B101,'Base stats'!B:B,'Base stats'!G:G)/(365/60),0.2)),"Unknown"))</f>
        <v>0.4</v>
      </c>
      <c r="AT101" s="8">
        <f t="shared" si="8"/>
        <v>0.2</v>
      </c>
      <c r="AU101" s="8">
        <f>IFERROR(IFERROR(MROUND(_xlfn.XLOOKUP(B101,'Base stats'!B:B,'Base stats'!J:J),0.1),"Lay eggs"),"Cannot breed")</f>
        <v>9</v>
      </c>
      <c r="AV101" s="2" t="str">
        <f t="shared" si="9"/>
        <v>false</v>
      </c>
      <c r="AW101" s="2" t="str">
        <f>IF(_xlfn.XLOOKUP(_xlfn.XLOOKUP(Animals!B101,'Base stats'!B:B,'Base stats'!E:E),Groups!A:A,Groups!AK:AK)=1,"true","false")</f>
        <v>false</v>
      </c>
      <c r="AX101" s="25" t="str">
        <f>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</f>
        <v>OmnivoreRoughAnimal, OvivoreAnimal</v>
      </c>
      <c r="AY101" s="2">
        <f>IF(_xlfn.XLOOKUP(_xlfn.XLOOKUP(B101,'Base stats'!B:B,'Base stats'!E:E),Groups!A:A,Groups!D:D)=1,MROUND((1-I101)*5+1,2)*IF(I101&lt;=0.4,2,1),"No")</f>
        <v>4</v>
      </c>
      <c r="AZ101" s="2" t="str">
        <f>_xlfn.XLOOKUP(B101,'Base stats'!B:B,'Base stats'!AE:AE)</f>
        <v>No</v>
      </c>
      <c r="BA101" s="23" t="str">
        <f>_xlfn.XLOOKUP(_xlfn.XLOOKUP(B101,'Base stats'!B:B,'Base stats'!E:E),Groups!A:A,Groups!AL:AL)</f>
        <v>Crab</v>
      </c>
      <c r="BB101" s="23">
        <f>MROUND(IF(AND(AN101&lt;0.5,_xlfn.XLOOKUP(B101,'Base stats'!B:B,'Base stats'!Z:Z)=0),0,IF(OR(_xlfn.XLOOKUP(Animals!B101,'Base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stats'!AA:AA),0.005)</f>
        <v>0</v>
      </c>
      <c r="BC101" s="23">
        <f>MROUND(IF(AND(AN101&lt;0.5,_xlfn.XLOOKUP(B101,'Base stats'!B:B,'Base stats'!Z:Z)=0),0,IF(_xlfn.XLOOKUP(_xlfn.XLOOKUP(B101,'Base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stats'!AB:AB),0.005)</f>
        <v>0</v>
      </c>
      <c r="BD101" s="2" t="str">
        <f>IF(I101&gt;0.3,"No",_xlfn.XLOOKUP(_xlfn.XLOOKUP(Animals!B101,'Base stats'!B:B,'Base stats'!E:E),Groups!A:A,Groups!AP:AP))</f>
        <v>No</v>
      </c>
      <c r="BE101" s="2" t="str">
        <f>IF(AND(I101&lt;=0.65,_xlfn.XLOOKUP(_xlfn.XLOOKUP(Animals!B101,'Base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stats'!O:O)=2,0.2,AN101) + 24*(1-IF(BD101="No",0,BD101)) + 16/3, 12),"No")</f>
        <v>No</v>
      </c>
      <c r="BF101" s="2">
        <f>IF(AND(_xlfn.XLOOKUP(_xlfn.XLOOKUP(B101,'Base stats'!B:B,'Base stats'!E:E),Groups!A:A,Groups!AQ:AQ)=1,AN101&lt;=0.35),8,12)</f>
        <v>12</v>
      </c>
      <c r="BG101" s="2" t="str">
        <f>IF(_xlfn.XLOOKUP(_xlfn.XLOOKUP(B101,'Base stats'!B:B,'Base stats'!E:E),Groups!A:A,Groups!D:D)=0,_xlfn.XLOOKUP(_xlfn.XLOOKUP(B101,'Base stats'!B:B,'Base stats'!E:E),Groups!A:A,Groups!AR:AR),"None")</f>
        <v>None</v>
      </c>
      <c r="BH101" s="2" t="str">
        <f>IF(AND(_xlfn.XLOOKUP(_xlfn.XLOOKUP(B101,'Base stats'!B:B,'Base stats'!E:E),Groups!A:A,Groups!AS:AS)=1,OR('Base stats'!Y101="Carnivore",'Base stats'!Y101="Omnivore")),"true","false")</f>
        <v>false</v>
      </c>
      <c r="BI101" s="2" t="str">
        <f>IF(BH101="true",MROUND(IF(AND(AN101&gt;0.5,_xlfn.XLOOKUP(_xlfn.XLOOKUP(B101,'Base stats'!B:B,'Base stats'!E:E),Groups!A:A,Groups!AJ:AJ)="Mammal"),Animals!AN101*1.75*IF(AV101="true",1.5,1),Animals!AN101),IF(AN101&gt;2,0.5,IF(AN101&gt;0.5,0.25,0.1))),"No")</f>
        <v>No</v>
      </c>
      <c r="BJ101" s="2">
        <f t="shared" si="10"/>
        <v>0</v>
      </c>
      <c r="BK101" s="25" t="str">
        <f>IF('Base stats'!AK101="Standard","No",MROUND((_xlfn.XLOOKUP(B101,'Base stats'!B:B,'Base stats'!AK:AK)/3.6)/H101,0.1))</f>
        <v>No</v>
      </c>
      <c r="BL101" s="25" t="str">
        <f t="shared" si="11"/>
        <v>true</v>
      </c>
      <c r="BM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N101" s="25" t="str" cm="1">
        <f t="array" ref="BN101">IF(
  _xlfn.TEXTJOIN(", ",TRUE,
    IF(AND(BH101="true",AN101&gt;0.5,BG101&lt;&gt;"None"),"AttackTarget",""),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IF(BE101&lt;=36,"Comfort",""),
    IF(_xlfn.XLOOKUP(B101,'Base stats'!B:B,'Base stats'!AC:AC)&lt;&gt;"No",_xlfn.XLOOKUP(B101,'Base stats'!B:B,'Base stats'!AC:AC),"")
  ) = "",
  "No",
  _xlfn.TEXTJOIN(", ",TRUE,
    IF(AND(BH101="true",AN101&gt;0.5,BG101&lt;&gt;"None"),"AttackTarget",""),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IF(BE101&lt;=36,"Comfort",""),
    IF(_xlfn.XLOOKUP(B101,'Base stats'!B:B,'Base stats'!AC:AC)&lt;&gt;"No",_xlfn.XLOOKUP(B101,'Base stats'!B:B,'Base stats'!AC:AC),"")
  )
)</f>
        <v>No</v>
      </c>
      <c r="BO101" s="25">
        <f>IF(
   AND(
      'Base stats'!AK101="Standard",_xlfn.XLOOKUP(_xlfn.XLOOKUP(B101,'Base stats'!B:B,'Base stats'!E:E),Groups!A:A,Groups!AU:AU)=0,
      OR(
      BM101="True"
      )
   ),
   10,
   IF(
       OR(BK101&lt;&gt;"No",_xlfn.XLOOKUP(_xlfn.XLOOKUP(B101,'Base stats'!B:B,'Base stats'!E:E),Groups!A:A,Groups!AU:AU)=1),
      1,
      "No"
   )
)</f>
        <v>1</v>
      </c>
      <c r="BP101" s="9">
        <f>MROUND((1 + ((0.2*IF(OR(P101="No",Q101="No",Q101=0),0,P101/Q101)
+IF(OR(U101="No",R101="No",S101="No"),0,R101/S101*(LEN(U101)-LEN(SUBSTITUTE(U101,",",""))+1))
+IF(OR(W101="No",X101="No"),0,W101/X101)
+IF(OR(AC101="No",AD101="No"),0,AC101/AD101)
+IF(OR(AK101="No",AH101="No",AI101="No"),0,AH101/AI101*(LEN(AK101)-LEN(SUBSTITUTE(AK101,",",""))+1))
)/(0.2*IF(OR(P101="No",Q101="No",Q101=0),0,1)
+IF(OR(U101="No",R101="No",S101="No"),0,LEN(U101)-LEN(SUBSTITUTE(U101,",",""))+1)
+IF(OR(W101="No",X101="No"),0,1)
+IF(OR(AC101="No",AD101="No"),0,1)
+IF(OR(AK101="No",AH101="No",AI101="No"),0,LEN(AK101)-LEN(SUBSTITUTE(AK101,",",""))+1))*62%)* 2)*(1 + (AO101 + _xlfn.XLOOKUP(B101,'Base stats'!B:B,'Base stats'!AS:AS) * 1.8) * 2) * 2.5 + 10 + H101 * 2,5)+IF(_xlfn.XLOOKUP(B101,'Base stats'!B:B,'Base stats'!AH:AH)=1,50,0)</f>
        <v>25</v>
      </c>
      <c r="BQ101" s="8">
        <f t="shared" si="12"/>
        <v>0.05</v>
      </c>
      <c r="BR101" s="8" t="str">
        <f>_xlfn.XLOOKUP(B101,'Base stats'!B:B,'Base stats'!AD:AD)</f>
        <v>No</v>
      </c>
      <c r="BS101" s="2" t="str">
        <f>IF(AND(I101&lt;=0.95,OR(_xlfn.XLOOKUP(B101,'Base stats'!B:B,'Base stats'!AH:AH)=1,_xlfn.XLOOKUP(B101,'Base stats'!B:B,'Base stats'!Y:Y)="Carnivore",_xlfn.XLOOKUP(B101,'Base stats'!B:B,'Base stats'!Y:Y)="Omnivore",BC101&gt;0.1)),"true","false")</f>
        <v>false</v>
      </c>
      <c r="BT101" s="2" t="str">
        <f>IF(_xlfn.XLOOKUP(B101,'Base stats'!B:B,'Base stats'!AF:AF)=1,"true","false")</f>
        <v>false</v>
      </c>
      <c r="BU101" s="25" t="str">
        <f>IF(E101="BaseInsect","AnimalInsect",
IF(I101&gt;0.95,"AnimalExotic",
_xlfn.TEXTJOIN(", ",TRUE,
IF(AND(_xlfn.XLOOKUP(B101,'Base stats'!B:B,'Base stats'!O:O)=0,_xlfn.XLOOKUP(_xlfn.XLOOKUP(B101,'Base stats'!B:B,'Base stats'!E:E),Groups!A:A,Groups!B:B)&gt;0),"AnimalUncommon","AnimalCommon"),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stats'!AH:AH)=1,AND(BG101&lt;&gt;"None",BP101&gt;=60),ISNUMBER(SEARCH("Attack target",BN101))),"AnimalFighter","")
)))</f>
        <v>AnimalCommon</v>
      </c>
      <c r="BV101" s="25" t="str">
        <f>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</f>
        <v>TemperateForest TemperateSwamp AridShrubland Desert ExtremeDesert TropicalRainforest TropicalSwamp Grasslands Glowforest LavaField Scarlands</v>
      </c>
      <c r="BW101" s="25" t="str">
        <f>IF(_xlfn.XLOOKUP(B101,'Base stats'!B:B,'Base stats'!AG:AG)=1,"true","false")</f>
        <v>true</v>
      </c>
      <c r="BX101" s="25">
        <f>IF(_xlfn.XLOOKUP(B101,'Base stats'!B:B,'Base stats'!N:N)=1,"No",MIN(MROUND(IF(OR(_xlfn.XLOOKUP(B101,'Base stats'!B:B,'Base stats'!AJ:AJ)=1,AND(BH101="True",CA101="False")),POWER(10,3.47*LOG10(_xlfn.XLOOKUP(B101,'Base stats'!B:B,'Base stats'!C:C)*1000)^-0.96),POWER(10,4.15*LOG10(_xlfn.XLOOKUP(B101,'Base stats'!B:B,'Base stats'!C:C)*1000)^-0.73))*IF(OR(_xlfn.XLOOKUP(B101,'Base stats'!B:B,'Base stats'!AJ:AJ)=1,_xlfn.XLOOKUP(B101,'Base stats'!B:B,'Base stats'!AH:AH)=1),0.5,1)/100,0.025),1))</f>
        <v>1</v>
      </c>
      <c r="BY101" s="25" t="str">
        <f>IF(O101="Standard","No",IF(_xlfn.XLOOKUP(B101,'Base stats'!B:B,'Base stats'!N:N)=0,MROUND(BX101*O101,0.05),MIN(1,MAX(0.025,MROUND(IF(OR(CA101="true",AND(BH101="false",BM101="false")),POWER(10,4.15*LOG10(_xlfn.XLOOKUP(B101,'Base stats'!B:B,'Base stats'!C:C)*1000)^-0.73),POWER(10,3.47*LOG10(_xlfn.XLOOKUP(B101,'Base stats'!B:B,'Base stats'!C:C)*1000)^-0.96))*IF(_xlfn.XLOOKUP(B101,'Base stats'!B:B,'Base stats'!AH:AH)=1,0.5,1)/100,0.025)))))</f>
        <v>No</v>
      </c>
      <c r="BZ101" s="25" t="str">
        <f>IF(_xlfn.XLOOKUP(_xlfn.XLOOKUP(B101,'Base stats'!B:B,'Base stats'!E:E),Groups!A:A,Groups!AJ:AJ)="Mammal","True","False")</f>
        <v>False</v>
      </c>
      <c r="CA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B101" s="25" t="str">
        <f t="shared" si="13"/>
        <v>False</v>
      </c>
      <c r="CC101" s="25" t="str">
        <f>IF(_xlfn.XLOOKUP(_xlfn.XLOOKUP(B101,'Base stats'!B:B,'Base stats'!E:E),Groups!A:A,Groups!AW:AW),"True","False")</f>
        <v>False</v>
      </c>
      <c r="CD101" s="25" t="str">
        <f>IF(_xlfn.XLOOKUP(_xlfn.XLOOKUP(B101,'Base stats'!B:B,'Base stats'!E:E),Groups!A:A,Groups!AX:AX),"True","False")</f>
        <v>False</v>
      </c>
      <c r="CE101" s="25" t="str">
        <f>IF(_xlfn.XLOOKUP(B101,'Base stats'!B:B,'Base stats'!E:E)=1,"True","False")</f>
        <v>False</v>
      </c>
      <c r="CF101" s="25" t="str">
        <f>IF(
OR(
_xlfn.XLOOKUP(_xlfn.XLOOKUP(B101,'Base stats'!B:B,'Base stats'!E:E),Groups!A:A,Groups!AY:AY)=0,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stats'!E:E),Groups!A:A,Groups!AY:AY)=1,
"Flesh",
IF(
_xlfn.XLOOKUP(_xlfn.XLOOKUP(B101,'Base stats'!B:B,'Base stats'!E:E),Groups!A:A,Groups!AY:AY)=2,
"Bone",
""
)
)
)</f>
        <v>Flesh</v>
      </c>
      <c r="CG101" s="25" t="str">
        <f>IF(_xlfn.XLOOKUP(_xlfn.XLOOKUP(B101,'Base stats'!B:B,'Base stats'!E:E),Groups!A:A,Groups!BA:BA),"True","False")</f>
        <v>False</v>
      </c>
      <c r="CH101" s="25" t="str">
        <f>IF(_xlfn.XLOOKUP(_xlfn.XLOOKUP(B101,'Base stats'!B:B,'Base stats'!E:E),Groups!A:A,Groups!AZ:AZ),"True","False")</f>
        <v>False</v>
      </c>
    </row>
    <row r="102" spans="1:86" ht="16.5" thickTop="1" thickBot="1" x14ac:dyDescent="0.3">
      <c r="A102" s="26" t="str">
        <f>_xlfn.XLOOKUP(B102,'Base stats'!B:B,'Base stats'!A:A)</f>
        <v>HermitCrab</v>
      </c>
      <c r="B102" s="6" t="s">
        <v>295</v>
      </c>
      <c r="C102" s="28" t="s">
        <v>794</v>
      </c>
      <c r="D102" s="28" t="s">
        <v>882</v>
      </c>
      <c r="E102" s="28" t="s">
        <v>685</v>
      </c>
      <c r="F102" s="28" t="s">
        <v>685</v>
      </c>
      <c r="G102" s="2">
        <f>MROUND((
  (IF(AND(_xlfn.XLOOKUP(B102,'Base stats'!B:B,'Base stats'!AI:AI)=0,BG102="None",_xlfn.XLOOKUP('Base stats'!E102,Groups!A:A,Groups!B:B)=0), (18 + BP102 * 2.7) * 0.5,
    IF(AND(_xlfn.XLOOKUP(B102,'Base stats'!B:B,'Base stats'!AI:AI)=0,OR(AN102&lt;0.55,AND(BG102="Intermediate",_xlfn.XLOOKUP('Base stats'!E102,Groups!A:A,Groups!B:B)&lt;2))), (18 + BP102 * 2.7),
      IF(OR(BG102="Advanced",_xlfn.XLOOKUP(B102,'Base stats'!B:B,'Base stats'!AI:AI)=1,_xlfn.XLOOKUP('Base stats'!E102,Groups!A:A,Groups!B:B)=2), (18 + BP102 * 2.7) + 250, (18 + BP102 * 2.7))
    )
  ))
  + AN102 * 80
  + IF(COUNTIF(EggMilk!K$2:K$998, A102) &gt; 0, 125, 0)
  + IF(COUNTIF(EggMilk!P$2:P$998, A102) &gt; 0, 90, 0)
  + IF(COUNTIF(EggMilk!A$2:A$998, A102) &gt; 0, 90, 0)
)
* (0.8 + 0.4 * I102)
* 0.75,25)</f>
        <v>50</v>
      </c>
      <c r="H102" s="2">
        <f>MROUND(ROUNDDOWN(_xlfn.XLOOKUP(B102,'Base stats'!B:B,'Base stats'!L:L)/3.6/(23.3/11),1),0.5)</f>
        <v>0.5</v>
      </c>
      <c r="I102" s="2">
        <f>IF(_xlfn.XLOOKUP(B102,'Base stats'!B:B,'Base stats'!AI:AI)=1,0.99,MIN(MROUND((1-0.6282*EXP(-0.459*AN102))*_xlfn.XLOOKUP(_xlfn.XLOOKUP(B102,'Base stats'!B:B,'Base stats'!E:E),Groups!A:A,Groups!C:C)*IF(_xlfn.XLOOKUP(B102,'Base stats'!B:B,'Base stats'!O:O)=1,0.5,IF(_xlfn.XLOOKUP(B102,'Base stats'!B:B,'Base stats'!O:O)=2,0,1)),0.05),0.985))</f>
        <v>0.60000000000000009</v>
      </c>
      <c r="J102" s="2">
        <f>ROUNDUP(AN102*_xlfn.XLOOKUP(_xlfn.XLOOKUP(B102,'Base stats'!B:B,'Base stats'!E:E),Groups!A:A,Groups!E:E),0)</f>
        <v>1</v>
      </c>
      <c r="K102" s="2">
        <f>IF(OR(_xlfn.XLOOKUP(_xlfn.XLOOKUP(B102,'Base stats'!B:B,'Base stats'!E:E),Groups!A:A,Groups!F:F)=2,ISNUMBER(SEARCH("SeaIce",BV102)),ISNUMBER(SEARCH("IceSheet",BV102))),-50,IF(OR(ISNUMBER(SEARCH("GlacialPlain",BV102)),ISNUMBER(SEARCH("Tundra",BV102))),-40,IF(OR(ISNUMBER(SEARCH("Alpine",BV102)),ISNUMBER(SEARCH("BorealForest",BV102)),ISNUMBER(SEARCH("ColdBog",BV102))),-30,IF(OR(ISNUMBER(SEARCH("TemperateForest",BV102)),ISNUMBER(SEARCH("TemperateSwamp",BV102))),-20,IF(_xlfn.XLOOKUP(_xlfn.XLOOKUP(B102,'Base stats'!B:B,'Base stats'!E:E),Groups!A:A,Groups!F:F)=1,-15,IF(OR(ISNUMBER(SEARCH("Desert",BV102)),ISNUMBER(SEARCH("ExtremeDesert",BV102))),-10,IF(OR(ISNUMBER(SEARCH("Grasslands",BV102)),ISNUMBER(SEARCH("TropicalRainforest",BV102)),ISNUMBER(SEARCH("TropicalSwamp",BV102))),10,0)))))))-IF(CA102="False",MIN(IFERROR(MAX(MROUND(LOG10(_xlfn.XLOOKUP(B102,'Base stats'!B:B,'Base stats'!C:C)^(2/3))*10,5),5),5),30))-_xlfn.XLOOKUP(B102,'Base stats'!B:B,'Base stats'!P:P)+IF(CA102="True",5,0)</f>
        <v>-5</v>
      </c>
      <c r="L102" s="2">
        <f>IF(OR(_xlfn.XLOOKUP(_xlfn.XLOOKUP(B102,'Base stats'!B:B,'Base stats'!E:E),Groups!A:A,Groups!G:G)=2,ISNUMBER(SEARCH("Desert",BV102)),ISNUMBER(SEARCH("ExtremeDesert",BV102)),ISNUMBER(SEARCH("LavaField",BV102))),50,IF(ISNUMBER(SEARCH("Grasslands",BV102)),45,IF(OR(_xlfn.XLOOKUP(_xlfn.XLOOKUP(B102,'Base stats'!B:B,'Base stats'!E:E),Groups!A:A,Groups!G:G)=1,ISNUMBER(SEARCH("TropicalRainforest",BV102)),ISNUMBER(SEARCH("TropicalSwamp",BV102))),40,IF(OR(ISNUMBER(SEARCH("TemperateForest",BV102)),ISNUMBER(SEARCH("TemperateSwamp",BV102))),35,IF(OR(ISNUMBER(SEARCH("Alpine",BV102)),ISNUMBER(SEARCH("BorealForest",BV102)),ISNUMBER(SEARCH("ColdBog",BV102))),30,IF(ISNUMBER(OR(ISNUMBER(SEARCH("GlacialPlain",BV102)),SEARCH("Tundra",BV102))),25,IF(OR(ISNUMBER(SEARCH("SeaIce",BV102)),ISNUMBER(SEARCH("IceSheet",BV102)),ISNUMBER(SEARCH("TropicalSwamp",BV102))),10,35)))))))+_xlfn.XLOOKUP(B102,'Base stats'!B:B,'Base stats'!Q:Q)</f>
        <v>50</v>
      </c>
      <c r="M102" s="8">
        <f>IF(_xlfn.XLOOKUP(_xlfn.XLOOKUP(B102,'Base stats'!B:B,'Base stats'!E:E),Groups!A:A,Groups!L:L)=1,MIN(MROUND(_xlfn.XLOOKUP(B102,'Animals CE'!B:B,'Animals CE'!Z:Z)/2+0.05,0.05),200%),"No")</f>
        <v>0.05</v>
      </c>
      <c r="N102" s="8">
        <f>IF(_xlfn.XLOOKUP(_xlfn.XLOOKUP(B102,'Base stats'!B:B,'Base stats'!E:E),Groups!A:A,Groups!L:L)=1,MIN(MROUND(_xlfn.XLOOKUP(B102,'Animals CE'!B:B,'Animals CE'!AA:AA)/2+0.05,0.05),200%),"No")</f>
        <v>0.05</v>
      </c>
      <c r="O102" s="2" t="str">
        <f>_xlfn.XLOOKUP(B102,'Base stats'!B:B,'Base stats'!R:R)</f>
        <v>Standard</v>
      </c>
      <c r="P102" s="13">
        <f>MROUND((LOG10(_xlfn.XLOOKUP(B102,'Base stats'!B:B,'Base stats'!AO:AO))*(AN102^0.5)+(_xlfn.XLOOKUP(B102,'Base stats'!B:B,'Base stats'!AO:AO)/1000)^(2/3)+_xlfn.XLOOKUP(B102,'Base stats'!B:B,'Base stats'!AX:AX)/2)+0.5,0.5)</f>
        <v>1</v>
      </c>
      <c r="Q102" s="7">
        <f>IF(P102="No","No",MAX(1,MROUND(_xlfn.XLOOKUP(B102,'Base stats'!B:B,'Base stats'!C:C)^0.165,0.05)))</f>
        <v>1</v>
      </c>
      <c r="R102" s="13" t="str">
        <f>IF(_xlfn.XLOOKUP(_xlfn.XLOOKUP(B102,'Base stats'!B:B,'Base stats'!E:E),Groups!A:A,Groups!P:P)=0,"No",MROUND((LOG10(_xlfn.XLOOKUP(B102,'Base stats'!B:B,'Base stats'!AP:AP))*(AN102^0.5)+(_xlfn.XLOOKUP(B102,'Base stats'!B:B,'Base stats'!AP:AP)/1000)^(2/3)+_xlfn.XLOOKUP(B102,'Base stats'!B:B,'Base stats'!AX:AX))+_xlfn.XLOOKUP(B102,'Base stats'!B:B,'Base stats'!AV:AV)+0.5,0.5))</f>
        <v>No</v>
      </c>
      <c r="S102" s="7" t="str">
        <f>IF(R102="No","No",MAX(_xlfn.XLOOKUP(_xlfn.XLOOKUP(B102,'Base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T102" s="7" t="str">
        <f>IF(R102="No","No",_xlfn.XLOOKUP(_xlfn.XLOOKUP(B102,'Base stats'!B:B,'Base stats'!E:E),Groups!A:A,Groups!R:R))</f>
        <v>No</v>
      </c>
      <c r="U102" s="7" t="str">
        <f>IF(R102="No","No",_xlfn.XLOOKUP(_xlfn.XLOOKUP(B102,'Base stats'!B:B,'Base stats'!E:E),Groups!A:A,Groups!S:S))</f>
        <v>No</v>
      </c>
      <c r="V102" s="7" t="str">
        <f>IF(R102="No","No",_xlfn.XLOOKUP(_xlfn.XLOOKUP(B102,'Base stats'!B:B,'Base stats'!E:E),Groups!A:A,Groups!T:T))</f>
        <v>No</v>
      </c>
      <c r="W102" s="13" t="str">
        <f>IF(_xlfn.XLOOKUP(B102,'Base stats'!B:B,'Base stats'!W:W)="No","No",MROUND((LOG10(_xlfn.XLOOKUP(B102,'Base stats'!B:B,'Base stats'!AR:AR))*(AN102^0.5)+(_xlfn.XLOOKUP(B102,'Base stats'!B:B,'Base stats'!AR:AR)/1000)^(2/3)+_xlfn.XLOOKUP(B102,'Base stats'!B:B,'Base stats'!AW:AW))+0.5+IF(_xlfn.XLOOKUP(_xlfn.XLOOKUP(B102,'Base stats'!B:B,'Base stats'!E:E),Groups!A:A,Groups!U:U)&lt;&gt;3,_xlfn.XLOOKUP(B102,'Base stats'!B:B,'Base stats'!AX:AX),0),0.5))</f>
        <v>No</v>
      </c>
      <c r="X102" s="7" t="str">
        <f>IF(W102="No","No",MAX(_xlfn.XLOOKUP(_xlfn.XLOOKUP(B102,'Base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Y102" s="7" t="str">
        <f>IF(W102="No","No",_xlfn.XLOOKUP(_xlfn.XLOOKUP(B102,'Base stats'!B:B,'Base stats'!E:E),Groups!A:A,Groups!W:W))</f>
        <v>No</v>
      </c>
      <c r="Z102" s="7" t="str">
        <f>IF(W102="No","No",_xlfn.XLOOKUP(_xlfn.XLOOKUP(B102,'Base stats'!B:B,'Base stats'!E:E),Groups!A:A,Groups!X:X))</f>
        <v>No</v>
      </c>
      <c r="AA102" s="7" t="str">
        <f>IF(W102="No","No",_xlfn.XLOOKUP(_xlfn.XLOOKUP(B102,'Base stats'!B:B,'Base stats'!E:E),Groups!A:A,Groups!Y:Y))</f>
        <v>No</v>
      </c>
      <c r="AB102" s="7" t="str">
        <f>_xlfn.XLOOKUP(Animals!B102,'Base stats'!B:B,'Base stats'!X:X)</f>
        <v>False</v>
      </c>
      <c r="AC102" s="13" t="str">
        <f>IF(_xlfn.XLOOKUP(B102,'Base stats'!B:B,'Base stats'!AQ:AQ)="No","No",MROUND((LOG10(_xlfn.XLOOKUP(B102,'Base stats'!B:B,'Base stats'!AQ:AQ))*(AN102^0.75)+(_xlfn.XLOOKUP(B102,'Base stats'!B:B,'Base stats'!AQ:AQ)/1000)^(2/3)+_xlfn.XLOOKUP(B102,'Base stats'!B:B,'Base stats'!AU:AU)+_xlfn.XLOOKUP(B102,'Base stats'!B:B,'Base stats'!AX:AX))+0.5,0.5))</f>
        <v>No</v>
      </c>
      <c r="AD102" s="7" t="str">
        <f>IF(AC102="No","No",MAX(_xlfn.XLOOKUP(_xlfn.XLOOKUP(B102,'Base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E102" s="7" t="str">
        <f>IF(AC102="No","No",_xlfn.XLOOKUP(_xlfn.XLOOKUP(B102,'Base stats'!B:B,'Base stats'!E:E),Groups!A:A,Groups!AA:AA))</f>
        <v>No</v>
      </c>
      <c r="AF102" s="7" t="str">
        <f>IF(AC102="No","No",_xlfn.XLOOKUP(_xlfn.XLOOKUP(B102,'Base stats'!B:B,'Base stats'!E:E),Groups!A:A,Groups!AB:AB))</f>
        <v>No</v>
      </c>
      <c r="AG102" s="7" t="str">
        <f>IF(AC102="No","No",_xlfn.XLOOKUP(_xlfn.XLOOKUP(B102,'Base stats'!B:B,'Base stats'!E:E),Groups!A:A,Groups!AC:AC))</f>
        <v>No</v>
      </c>
      <c r="AH102" s="13">
        <f>IF(_xlfn.XLOOKUP(_xlfn.XLOOKUP(B102,'Base stats'!B:B,'Base stats'!E:E),Groups!A:A,Groups!AD:AD)=0,"No",MROUND((LOG10(_xlfn.XLOOKUP(B102,'Base stats'!B:B,'Base stats'!AP:AP))*(AN102^0.75)+(_xlfn.XLOOKUP(B102,'Base stats'!B:B,'Base stats'!AP:AP)/1000)^(2/3)+_xlfn.XLOOKUP(B102,'Base stats'!B:B,'Base stats'!AV:AV)+_xlfn.XLOOKUP(B102,'Base stats'!B:B,'Base stats'!AX:AX))+0.5,0.5))</f>
        <v>2.5</v>
      </c>
      <c r="AI102" s="7">
        <f>IF(AH102="No","No",MAX(_xlfn.XLOOKUP(_xlfn.XLOOKUP(B102,'Base stats'!B:B,'Base stats'!E:E),Groups!A:A,Groups!AE:AE),MROUND(_xlfn.XLOOKUP(_xlfn.XLOOKUP(B102,'Base stats'!B:B,'Base stats'!E:E),Groups!A:A,Groups!AE:AE)*_xlfn.XLOOKUP(B102,'Base stats'!B:B,'Base stats'!C:C)^0.165,0.05)))</f>
        <v>1.1000000000000001</v>
      </c>
      <c r="AJ102" s="7" t="str">
        <f>IF(AH102="No","No",_xlfn.XLOOKUP(_xlfn.XLOOKUP(B102,'Base stats'!B:B,'Base stats'!E:E),Groups!A:A,Groups!AF:AF))</f>
        <v>FrontLeftClaws, FrontRightClaws</v>
      </c>
      <c r="AK102" s="7" t="str">
        <f>IF(AH102="No","No",_xlfn.XLOOKUP(_xlfn.XLOOKUP(B102,'Base stats'!B:B,'Base stats'!E:E),Groups!A:A,Groups!AG:AG))</f>
        <v>left claw, right claw</v>
      </c>
      <c r="AL102" s="7" t="str">
        <f>IF(AH102="No","No",_xlfn.XLOOKUP(_xlfn.XLOOKUP(B102,'Base stats'!B:B,'Base stats'!E:E),Groups!A:A,Groups!AH:AH))</f>
        <v>Scratch</v>
      </c>
      <c r="AM102" s="2" t="str">
        <f t="shared" si="7"/>
        <v>No</v>
      </c>
      <c r="AN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O102" s="8">
        <f>MROUND(AN102*_xlfn.XLOOKUP(_xlfn.XLOOKUP(B102,'Base stats'!B:B,'Base stats'!E:E),Groups!A:A,Groups!AI:AI),0.05)</f>
        <v>0.1</v>
      </c>
      <c r="AP102" s="8">
        <f>MAX(0.01,MROUND(IF(CA102="True",0.196*(AN102*100*1000)^0.889,IF(_xlfn.XLOOKUP(_xlfn.XLOOKUP(B102,'Base stats'!B:B,'Base stats'!E:E),Groups!A:A,Groups!AJ:AJ)="Bird",10.5*(AN102*100*1000)^0.681,4.82*(AN102*100*1000)^0.734))/(4.82*(1*100*1000)^0.734)/IF(AN102&lt;3.5,2,IF(AN102=3.5,1.5,1.25))*(1+0.132282374779864/(AN102^0.994035016789033+0.00905238001496948)),0.05))</f>
        <v>0.05</v>
      </c>
      <c r="AQ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R102" s="35">
        <f>IFERROR(IF(_xlfn.XLOOKUP(B102,'Base stats'!B:B,'Base stats'!F:F)="Lay eggs","Lay eggs",MIN(20,MAX(5.5,ROUND(((_xlfn.XLOOKUP(B102,'Base stats'!B:B,'Base stats'!F:F)-25)*(14.5/615) + 5.5)*2,0)/2))),"Cannot breed")</f>
        <v>6</v>
      </c>
      <c r="AS102" s="8">
        <f>IF(OR(A102="Queen",A102="Larva",A102="Megachicken"),"No",IFERROR(MAX(IF(_xlfn.XLOOKUP(B102,'Base stats'!B:B,'Base stats'!G:G)&lt;0.5,0.2,0.3),MROUND(_xlfn.XLOOKUP(B102,'Base stats'!B:B,'Base stats'!G:G)/(365/60),0.2)),"Unknown"))</f>
        <v>0.4</v>
      </c>
      <c r="AT102" s="8">
        <f t="shared" si="8"/>
        <v>0.2</v>
      </c>
      <c r="AU102" s="8">
        <f>IFERROR(IFERROR(MROUND(_xlfn.XLOOKUP(B102,'Base stats'!B:B,'Base stats'!J:J),0.1),"Lay eggs"),"Cannot breed")</f>
        <v>9</v>
      </c>
      <c r="AV102" s="2" t="str">
        <f t="shared" si="9"/>
        <v>false</v>
      </c>
      <c r="AW102" s="2" t="str">
        <f>IF(_xlfn.XLOOKUP(_xlfn.XLOOKUP(Animals!B102,'Base stats'!B:B,'Base stats'!E:E),Groups!A:A,Groups!AK:AK)=1,"true","false")</f>
        <v>false</v>
      </c>
      <c r="AX102" s="25" t="str">
        <f>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</f>
        <v>OmnivoreRoughAnimal, OvivoreAnimal</v>
      </c>
      <c r="AY102" s="2">
        <f>IF(_xlfn.XLOOKUP(_xlfn.XLOOKUP(B102,'Base stats'!B:B,'Base stats'!E:E),Groups!A:A,Groups!D:D)=1,MROUND((1-I102)*5+1,2)*IF(I102&lt;=0.4,2,1),"No")</f>
        <v>4</v>
      </c>
      <c r="AZ102" s="2" t="str">
        <f>_xlfn.XLOOKUP(B102,'Base stats'!B:B,'Base stats'!AE:AE)</f>
        <v>No</v>
      </c>
      <c r="BA102" s="23" t="str">
        <f>_xlfn.XLOOKUP(_xlfn.XLOOKUP(B102,'Base stats'!B:B,'Base stats'!E:E),Groups!A:A,Groups!AL:AL)</f>
        <v>Crab</v>
      </c>
      <c r="BB102" s="23">
        <f>MROUND(IF(AND(AN102&lt;0.5,_xlfn.XLOOKUP(B102,'Base stats'!B:B,'Base stats'!Z:Z)=0),0,IF(OR(_xlfn.XLOOKUP(Animals!B102,'Base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stats'!AA:AA),0.005)</f>
        <v>0</v>
      </c>
      <c r="BC102" s="23">
        <f>MROUND(IF(AND(AN102&lt;0.5,_xlfn.XLOOKUP(B102,'Base stats'!B:B,'Base stats'!Z:Z)=0),0,IF(_xlfn.XLOOKUP(_xlfn.XLOOKUP(B102,'Base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stats'!AB:AB),0.005)</f>
        <v>0</v>
      </c>
      <c r="BD102" s="2" t="str">
        <f>IF(I102&gt;0.3,"No",_xlfn.XLOOKUP(_xlfn.XLOOKUP(Animals!B102,'Base stats'!B:B,'Base stats'!E:E),Groups!A:A,Groups!AP:AP))</f>
        <v>No</v>
      </c>
      <c r="BE102" s="2" t="str">
        <f>IF(AND(I102&lt;=0.65,_xlfn.XLOOKUP(_xlfn.XLOOKUP(Animals!B102,'Base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stats'!O:O)=2,0.2,AN102) + 24*(1-IF(BD102="No",0,BD102)) + 16/3, 12),"No")</f>
        <v>No</v>
      </c>
      <c r="BF102" s="2">
        <f>IF(AND(_xlfn.XLOOKUP(_xlfn.XLOOKUP(B102,'Base stats'!B:B,'Base stats'!E:E),Groups!A:A,Groups!AQ:AQ)=1,AN102&lt;=0.35),8,12)</f>
        <v>12</v>
      </c>
      <c r="BG102" s="2" t="str">
        <f>IF(_xlfn.XLOOKUP(_xlfn.XLOOKUP(B102,'Base stats'!B:B,'Base stats'!E:E),Groups!A:A,Groups!D:D)=0,_xlfn.XLOOKUP(_xlfn.XLOOKUP(B102,'Base stats'!B:B,'Base stats'!E:E),Groups!A:A,Groups!AR:AR),"None")</f>
        <v>None</v>
      </c>
      <c r="BH102" s="2" t="str">
        <f>IF(AND(_xlfn.XLOOKUP(_xlfn.XLOOKUP(B102,'Base stats'!B:B,'Base stats'!E:E),Groups!A:A,Groups!AS:AS)=1,OR('Base stats'!Y102="Carnivore",'Base stats'!Y102="Omnivore")),"true","false")</f>
        <v>false</v>
      </c>
      <c r="BI102" s="2" t="str">
        <f>IF(BH102="true",MROUND(IF(AND(AN102&gt;0.5,_xlfn.XLOOKUP(_xlfn.XLOOKUP(B102,'Base stats'!B:B,'Base stats'!E:E),Groups!A:A,Groups!AJ:AJ)="Mammal"),Animals!AN102*1.75*IF(AV102="true",1.5,1),Animals!AN102),IF(AN102&gt;2,0.5,IF(AN102&gt;0.5,0.25,0.1))),"No")</f>
        <v>No</v>
      </c>
      <c r="BJ102" s="2">
        <f t="shared" si="10"/>
        <v>0</v>
      </c>
      <c r="BK102" s="25" t="str">
        <f>IF('Base stats'!AK102="Standard","No",MROUND((_xlfn.XLOOKUP(B102,'Base stats'!B:B,'Base stats'!AK:AK)/3.6)/H102,0.1))</f>
        <v>No</v>
      </c>
      <c r="BL102" s="25" t="str">
        <f t="shared" si="11"/>
        <v>true</v>
      </c>
      <c r="BM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N102" s="25" t="str" cm="1">
        <f t="array" ref="BN102">IF(
  _xlfn.TEXTJOIN(", ",TRUE,
    IF(AND(BH102="true",AN102&gt;0.5,BG102&lt;&gt;"None"),"AttackTarget",""),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IF(BE102&lt;=36,"Comfort",""),
    IF(_xlfn.XLOOKUP(B102,'Base stats'!B:B,'Base stats'!AC:AC)&lt;&gt;"No",_xlfn.XLOOKUP(B102,'Base stats'!B:B,'Base stats'!AC:AC),"")
  ) = "",
  "No",
  _xlfn.TEXTJOIN(", ",TRUE,
    IF(AND(BH102="true",AN102&gt;0.5,BG102&lt;&gt;"None"),"AttackTarget",""),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IF(BE102&lt;=36,"Comfort",""),
    IF(_xlfn.XLOOKUP(B102,'Base stats'!B:B,'Base stats'!AC:AC)&lt;&gt;"No",_xlfn.XLOOKUP(B102,'Base stats'!B:B,'Base stats'!AC:AC),"")
  )
)</f>
        <v>No</v>
      </c>
      <c r="BO102" s="25">
        <f>IF(
   AND(
      'Base stats'!AK102="Standard",_xlfn.XLOOKUP(_xlfn.XLOOKUP(B102,'Base stats'!B:B,'Base stats'!E:E),Groups!A:A,Groups!AU:AU)=0,
      OR(
      BM102="True"
      )
   ),
   10,
   IF(
       OR(BK102&lt;&gt;"No",_xlfn.XLOOKUP(_xlfn.XLOOKUP(B102,'Base stats'!B:B,'Base stats'!E:E),Groups!A:A,Groups!AU:AU)=1),
      1,
      "No"
   )
)</f>
        <v>1</v>
      </c>
      <c r="BP102" s="9">
        <f>MROUND((1 + ((0.2*IF(OR(P102="No",Q102="No",Q102=0),0,P102/Q102)
+IF(OR(U102="No",R102="No",S102="No"),0,R102/S102*(LEN(U102)-LEN(SUBSTITUTE(U102,",",""))+1))
+IF(OR(W102="No",X102="No"),0,W102/X102)
+IF(OR(AC102="No",AD102="No"),0,AC102/AD102)
+IF(OR(AK102="No",AH102="No",AI102="No"),0,AH102/AI102*(LEN(AK102)-LEN(SUBSTITUTE(AK102,",",""))+1))
)/(0.2*IF(OR(P102="No",Q102="No",Q102=0),0,1)
+IF(OR(U102="No",R102="No",S102="No"),0,LEN(U102)-LEN(SUBSTITUTE(U102,",",""))+1)
+IF(OR(W102="No",X102="No"),0,1)
+IF(OR(AC102="No",AD102="No"),0,1)
+IF(OR(AK102="No",AH102="No",AI102="No"),0,LEN(AK102)-LEN(SUBSTITUTE(AK102,",",""))+1))*62%)* 2)*(1 + (AO102 + _xlfn.XLOOKUP(B102,'Base stats'!B:B,'Base stats'!AS:AS) * 1.8) * 2) * 2.5 + 10 + H102 * 2,5)+IF(_xlfn.XLOOKUP(B102,'Base stats'!B:B,'Base stats'!AH:AH)=1,50,0)</f>
        <v>25</v>
      </c>
      <c r="BQ102" s="8">
        <f t="shared" si="12"/>
        <v>0.05</v>
      </c>
      <c r="BR102" s="8" t="str">
        <f>_xlfn.XLOOKUP(B102,'Base stats'!B:B,'Base stats'!AD:AD)</f>
        <v>No</v>
      </c>
      <c r="BS102" s="2" t="str">
        <f>IF(AND(I102&lt;=0.95,OR(_xlfn.XLOOKUP(B102,'Base stats'!B:B,'Base stats'!AH:AH)=1,_xlfn.XLOOKUP(B102,'Base stats'!B:B,'Base stats'!Y:Y)="Carnivore",_xlfn.XLOOKUP(B102,'Base stats'!B:B,'Base stats'!Y:Y)="Omnivore",BC102&gt;0.1)),"true","false")</f>
        <v>false</v>
      </c>
      <c r="BT102" s="2" t="str">
        <f>IF(_xlfn.XLOOKUP(B102,'Base stats'!B:B,'Base stats'!AF:AF)=1,"true","false")</f>
        <v>false</v>
      </c>
      <c r="BU102" s="25" t="str">
        <f>IF(E102="BaseInsect","AnimalInsect",
IF(I102&gt;0.95,"AnimalExotic",
_xlfn.TEXTJOIN(", ",TRUE,
IF(AND(_xlfn.XLOOKUP(B102,'Base stats'!B:B,'Base stats'!O:O)=0,_xlfn.XLOOKUP(_xlfn.XLOOKUP(B102,'Base stats'!B:B,'Base stats'!E:E),Groups!A:A,Groups!B:B)&gt;0),"AnimalUncommon","AnimalCommon"),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stats'!AH:AH)=1,AND(BG102&lt;&gt;"None",BP102&gt;=60),ISNUMBER(SEARCH("Attack target",BN102))),"AnimalFighter","")
)))</f>
        <v>AnimalCommon</v>
      </c>
      <c r="BV102" s="25" t="str">
        <f>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</f>
        <v>AridShrubland Desert ExtremeDesert TropicalRainforest TropicalSwamp Grasslands Glowforest LavaField</v>
      </c>
      <c r="BW102" s="25" t="str">
        <f>IF(_xlfn.XLOOKUP(B102,'Base stats'!B:B,'Base stats'!AG:AG)=1,"true","false")</f>
        <v>true</v>
      </c>
      <c r="BX102" s="25">
        <f>IF(_xlfn.XLOOKUP(B102,'Base stats'!B:B,'Base stats'!N:N)=1,"No",MIN(MROUND(IF(OR(_xlfn.XLOOKUP(B102,'Base stats'!B:B,'Base stats'!AJ:AJ)=1,AND(BH102="True",CA102="False")),POWER(10,3.47*LOG10(_xlfn.XLOOKUP(B102,'Base stats'!B:B,'Base stats'!C:C)*1000)^-0.96),POWER(10,4.15*LOG10(_xlfn.XLOOKUP(B102,'Base stats'!B:B,'Base stats'!C:C)*1000)^-0.73))*IF(OR(_xlfn.XLOOKUP(B102,'Base stats'!B:B,'Base stats'!AJ:AJ)=1,_xlfn.XLOOKUP(B102,'Base stats'!B:B,'Base stats'!AH:AH)=1),0.5,1)/100,0.025),1))</f>
        <v>1</v>
      </c>
      <c r="BY102" s="25" t="str">
        <f>IF(O102="Standard","No",IF(_xlfn.XLOOKUP(B102,'Base stats'!B:B,'Base stats'!N:N)=0,MROUND(BX102*O102,0.05),MIN(1,MAX(0.025,MROUND(IF(OR(CA102="true",AND(BH102="false",BM102="false")),POWER(10,4.15*LOG10(_xlfn.XLOOKUP(B102,'Base stats'!B:B,'Base stats'!C:C)*1000)^-0.73),POWER(10,3.47*LOG10(_xlfn.XLOOKUP(B102,'Base stats'!B:B,'Base stats'!C:C)*1000)^-0.96))*IF(_xlfn.XLOOKUP(B102,'Base stats'!B:B,'Base stats'!AH:AH)=1,0.5,1)/100,0.025)))))</f>
        <v>No</v>
      </c>
      <c r="BZ102" s="25" t="str">
        <f>IF(_xlfn.XLOOKUP(_xlfn.XLOOKUP(B102,'Base stats'!B:B,'Base stats'!E:E),Groups!A:A,Groups!AJ:AJ)="Mammal","True","False")</f>
        <v>False</v>
      </c>
      <c r="CA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B102" s="25" t="str">
        <f t="shared" si="13"/>
        <v>False</v>
      </c>
      <c r="CC102" s="25" t="str">
        <f>IF(_xlfn.XLOOKUP(_xlfn.XLOOKUP(B102,'Base stats'!B:B,'Base stats'!E:E),Groups!A:A,Groups!AW:AW),"True","False")</f>
        <v>False</v>
      </c>
      <c r="CD102" s="25" t="str">
        <f>IF(_xlfn.XLOOKUP(_xlfn.XLOOKUP(B102,'Base stats'!B:B,'Base stats'!E:E),Groups!A:A,Groups!AX:AX),"True","False")</f>
        <v>False</v>
      </c>
      <c r="CE102" s="25" t="str">
        <f>IF(_xlfn.XLOOKUP(B102,'Base stats'!B:B,'Base stats'!E:E)=1,"True","False")</f>
        <v>False</v>
      </c>
      <c r="CF102" s="25" t="str">
        <f>IF(
OR(
_xlfn.XLOOKUP(_xlfn.XLOOKUP(B102,'Base stats'!B:B,'Base stats'!E:E),Groups!A:A,Groups!AY:AY)=0,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stats'!E:E),Groups!A:A,Groups!AY:AY)=1,
"Flesh",
IF(
_xlfn.XLOOKUP(_xlfn.XLOOKUP(B102,'Base stats'!B:B,'Base stats'!E:E),Groups!A:A,Groups!AY:AY)=2,
"Bone",
""
)
)
)</f>
        <v>Flesh</v>
      </c>
      <c r="CG102" s="25" t="str">
        <f>IF(_xlfn.XLOOKUP(_xlfn.XLOOKUP(B102,'Base stats'!B:B,'Base stats'!E:E),Groups!A:A,Groups!BA:BA),"True","False")</f>
        <v>False</v>
      </c>
      <c r="CH102" s="25" t="str">
        <f>IF(_xlfn.XLOOKUP(_xlfn.XLOOKUP(B102,'Base stats'!B:B,'Base stats'!E:E),Groups!A:A,Groups!AZ:AZ),"True","False")</f>
        <v>False</v>
      </c>
    </row>
    <row r="103" spans="1:86" ht="16.5" thickTop="1" thickBot="1" x14ac:dyDescent="0.3">
      <c r="A103" s="26" t="str">
        <f>_xlfn.XLOOKUP(B103,'Base stats'!B:B,'Base stats'!A:A)</f>
        <v>Megascarab</v>
      </c>
      <c r="B103" s="6" t="s">
        <v>432</v>
      </c>
      <c r="C103" s="28" t="s">
        <v>795</v>
      </c>
      <c r="D103" s="28" t="s">
        <v>45</v>
      </c>
      <c r="E103" s="28" t="s">
        <v>796</v>
      </c>
      <c r="F103" s="28" t="s">
        <v>797</v>
      </c>
      <c r="G103" s="2">
        <f>MROUND((
  (IF(AND(_xlfn.XLOOKUP(B103,'Base stats'!B:B,'Base stats'!AI:AI)=0,BG103="None",_xlfn.XLOOKUP('Base stats'!E103,Groups!A:A,Groups!B:B)=0), (18 + BP103 * 2.7) * 0.5,
    IF(AND(_xlfn.XLOOKUP(B103,'Base stats'!B:B,'Base stats'!AI:AI)=0,OR(AN103&lt;0.55,AND(BG103="Intermediate",_xlfn.XLOOKUP('Base stats'!E103,Groups!A:A,Groups!B:B)&lt;2))), (18 + BP103 * 2.7),
      IF(OR(BG103="Advanced",_xlfn.XLOOKUP(B103,'Base stats'!B:B,'Base stats'!AI:AI)=1,_xlfn.XLOOKUP('Base stats'!E103,Groups!A:A,Groups!B:B)=2), (18 + BP103 * 2.7) + 250, (18 + BP103 * 2.7))
    )
  ))
  + AN103 * 80
  + IF(COUNTIF(EggMilk!K$2:K$998, A103) &gt; 0, 125, 0)
  + IF(COUNTIF(EggMilk!P$2:P$998, A103) &gt; 0, 90, 0)
  + IF(COUNTIF(EggMilk!A$2:A$998, A103) &gt; 0, 90, 0)
)
* (0.8 + 0.4 * I103)
* 0.75,25)</f>
        <v>425</v>
      </c>
      <c r="H103" s="2">
        <f>MROUND(ROUNDDOWN(_xlfn.XLOOKUP(B103,'Base stats'!B:B,'Base stats'!L:L)/3.6/(23.3/11),1),0.5)</f>
        <v>3</v>
      </c>
      <c r="I103" s="2">
        <f>IF(_xlfn.XLOOKUP(B103,'Base stats'!B:B,'Base stats'!AI:AI)=1,0.99,MIN(MROUND((1-0.6282*EXP(-0.459*AN103))*_xlfn.XLOOKUP(_xlfn.XLOOKUP(B103,'Base stats'!B:B,'Base stats'!E:E),Groups!A:A,Groups!C:C)*IF(_xlfn.XLOOKUP(B103,'Base stats'!B:B,'Base stats'!O:O)=1,0.5,IF(_xlfn.XLOOKUP(B103,'Base stats'!B:B,'Base stats'!O:O)=2,0,1)),0.05),0.985))</f>
        <v>0.60000000000000009</v>
      </c>
      <c r="J103" s="2">
        <f>ROUNDUP(AN103*_xlfn.XLOOKUP(_xlfn.XLOOKUP(B103,'Base stats'!B:B,'Base stats'!E:E),Groups!A:A,Groups!E:E),0)</f>
        <v>1</v>
      </c>
      <c r="K103" s="2">
        <f>IF(OR(_xlfn.XLOOKUP(_xlfn.XLOOKUP(B103,'Base stats'!B:B,'Base stats'!E:E),Groups!A:A,Groups!F:F)=2,ISNUMBER(SEARCH("SeaIce",BV103)),ISNUMBER(SEARCH("IceSheet",BV103))),-50,IF(OR(ISNUMBER(SEARCH("GlacialPlain",BV103)),ISNUMBER(SEARCH("Tundra",BV103))),-40,IF(OR(ISNUMBER(SEARCH("Alpine",BV103)),ISNUMBER(SEARCH("BorealForest",BV103)),ISNUMBER(SEARCH("ColdBog",BV103))),-30,IF(OR(ISNUMBER(SEARCH("TemperateForest",BV103)),ISNUMBER(SEARCH("TemperateSwamp",BV103))),-20,IF(_xlfn.XLOOKUP(_xlfn.XLOOKUP(B103,'Base stats'!B:B,'Base stats'!E:E),Groups!A:A,Groups!F:F)=1,-15,IF(OR(ISNUMBER(SEARCH("Desert",BV103)),ISNUMBER(SEARCH("ExtremeDesert",BV103))),-10,IF(OR(ISNUMBER(SEARCH("Grasslands",BV103)),ISNUMBER(SEARCH("TropicalRainforest",BV103)),ISNUMBER(SEARCH("TropicalSwamp",BV103))),10,0)))))))-IF(CA103="False",MIN(IFERROR(MAX(MROUND(LOG10(_xlfn.XLOOKUP(B103,'Base stats'!B:B,'Base stats'!C:C)^(2/3))*10,5),5),5),30))-_xlfn.XLOOKUP(B103,'Base stats'!B:B,'Base stats'!P:P)+IF(CA103="True",5,0)</f>
        <v>5</v>
      </c>
      <c r="L103" s="2">
        <f>IF(OR(_xlfn.XLOOKUP(_xlfn.XLOOKUP(B103,'Base stats'!B:B,'Base stats'!E:E),Groups!A:A,Groups!G:G)=2,ISNUMBER(SEARCH("Desert",BV103)),ISNUMBER(SEARCH("ExtremeDesert",BV103)),ISNUMBER(SEARCH("LavaField",BV103))),50,IF(ISNUMBER(SEARCH("Grasslands",BV103)),45,IF(OR(_xlfn.XLOOKUP(_xlfn.XLOOKUP(B103,'Base stats'!B:B,'Base stats'!E:E),Groups!A:A,Groups!G:G)=1,ISNUMBER(SEARCH("TropicalRainforest",BV103)),ISNUMBER(SEARCH("TropicalSwamp",BV103))),40,IF(OR(ISNUMBER(SEARCH("TemperateForest",BV103)),ISNUMBER(SEARCH("TemperateSwamp",BV103))),35,IF(OR(ISNUMBER(SEARCH("Alpine",BV103)),ISNUMBER(SEARCH("BorealForest",BV103)),ISNUMBER(SEARCH("ColdBog",BV103))),30,IF(ISNUMBER(OR(ISNUMBER(SEARCH("GlacialPlain",BV103)),SEARCH("Tundra",BV103))),25,IF(OR(ISNUMBER(SEARCH("SeaIce",BV103)),ISNUMBER(SEARCH("IceSheet",BV103)),ISNUMBER(SEARCH("TropicalSwamp",BV103))),10,35)))))))+_xlfn.XLOOKUP(B103,'Base stats'!B:B,'Base stats'!Q:Q)</f>
        <v>50</v>
      </c>
      <c r="M103" s="8">
        <f>IF(_xlfn.XLOOKUP(_xlfn.XLOOKUP(B103,'Base stats'!B:B,'Base stats'!E:E),Groups!A:A,Groups!L:L)=1,MIN(MROUND(_xlfn.XLOOKUP(B103,'Animals CE'!B:B,'Animals CE'!Z:Z)/2+0.05,0.05),200%),"No")</f>
        <v>0.4</v>
      </c>
      <c r="N103" s="8">
        <f>IF(_xlfn.XLOOKUP(_xlfn.XLOOKUP(B103,'Base stats'!B:B,'Base stats'!E:E),Groups!A:A,Groups!L:L)=1,MIN(MROUND(_xlfn.XLOOKUP(B103,'Animals CE'!B:B,'Animals CE'!AA:AA)/2+0.05,0.05),200%),"No")</f>
        <v>0.05</v>
      </c>
      <c r="O103" s="2">
        <f>_xlfn.XLOOKUP(B103,'Base stats'!B:B,'Base stats'!R:R)</f>
        <v>1</v>
      </c>
      <c r="P103" s="13">
        <f>MROUND((LOG10(_xlfn.XLOOKUP(B103,'Base stats'!B:B,'Base stats'!AO:AO))*(AN103^0.5)+(_xlfn.XLOOKUP(B103,'Base stats'!B:B,'Base stats'!AO:AO)/1000)^(2/3)+_xlfn.XLOOKUP(B103,'Base stats'!B:B,'Base stats'!AX:AX)/2)+0.5,0.5)</f>
        <v>5</v>
      </c>
      <c r="Q103" s="7">
        <f>IF(P103="No","No",MAX(1,MROUND(_xlfn.XLOOKUP(B103,'Base stats'!B:B,'Base stats'!C:C)^0.165,0.05)))</f>
        <v>1.7000000000000002</v>
      </c>
      <c r="R103" s="13" t="str">
        <f>IF(_xlfn.XLOOKUP(_xlfn.XLOOKUP(B103,'Base stats'!B:B,'Base stats'!E:E),Groups!A:A,Groups!P:P)=0,"No",MROUND((LOG10(_xlfn.XLOOKUP(B103,'Base stats'!B:B,'Base stats'!AP:AP))*(AN103^0.5)+(_xlfn.XLOOKUP(B103,'Base stats'!B:B,'Base stats'!AP:AP)/1000)^(2/3)+_xlfn.XLOOKUP(B103,'Base stats'!B:B,'Base stats'!AX:AX))+_xlfn.XLOOKUP(B103,'Base stats'!B:B,'Base stats'!AV:AV)+0.5,0.5))</f>
        <v>No</v>
      </c>
      <c r="S103" s="7" t="str">
        <f>IF(R103="No","No",MAX(_xlfn.XLOOKUP(_xlfn.XLOOKUP(B103,'Base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T103" s="7" t="str">
        <f>IF(R103="No","No",_xlfn.XLOOKUP(_xlfn.XLOOKUP(B103,'Base stats'!B:B,'Base stats'!E:E),Groups!A:A,Groups!R:R))</f>
        <v>No</v>
      </c>
      <c r="U103" s="7" t="str">
        <f>IF(R103="No","No",_xlfn.XLOOKUP(_xlfn.XLOOKUP(B103,'Base stats'!B:B,'Base stats'!E:E),Groups!A:A,Groups!S:S))</f>
        <v>No</v>
      </c>
      <c r="V103" s="7" t="str">
        <f>IF(R103="No","No",_xlfn.XLOOKUP(_xlfn.XLOOKUP(B103,'Base stats'!B:B,'Base stats'!E:E),Groups!A:A,Groups!T:T))</f>
        <v>No</v>
      </c>
      <c r="W103" s="13" t="str">
        <f>IF(_xlfn.XLOOKUP(B103,'Base stats'!B:B,'Base stats'!W:W)="No","No",MROUND((LOG10(_xlfn.XLOOKUP(B103,'Base stats'!B:B,'Base stats'!AR:AR))*(AN103^0.5)+(_xlfn.XLOOKUP(B103,'Base stats'!B:B,'Base stats'!AR:AR)/1000)^(2/3)+_xlfn.XLOOKUP(B103,'Base stats'!B:B,'Base stats'!AW:AW))+0.5+IF(_xlfn.XLOOKUP(_xlfn.XLOOKUP(B103,'Base stats'!B:B,'Base stats'!E:E),Groups!A:A,Groups!U:U)&lt;&gt;3,_xlfn.XLOOKUP(B103,'Base stats'!B:B,'Base stats'!AX:AX),0),0.5))</f>
        <v>No</v>
      </c>
      <c r="X103" s="7" t="str">
        <f>IF(W103="No","No",MAX(_xlfn.XLOOKUP(_xlfn.XLOOKUP(B103,'Base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Y103" s="7" t="str">
        <f>IF(W103="No","No",_xlfn.XLOOKUP(_xlfn.XLOOKUP(B103,'Base stats'!B:B,'Base stats'!E:E),Groups!A:A,Groups!W:W))</f>
        <v>No</v>
      </c>
      <c r="Z103" s="7" t="str">
        <f>IF(W103="No","No",_xlfn.XLOOKUP(_xlfn.XLOOKUP(B103,'Base stats'!B:B,'Base stats'!E:E),Groups!A:A,Groups!X:X))</f>
        <v>No</v>
      </c>
      <c r="AA103" s="7" t="str">
        <f>IF(W103="No","No",_xlfn.XLOOKUP(_xlfn.XLOOKUP(B103,'Base stats'!B:B,'Base stats'!E:E),Groups!A:A,Groups!Y:Y))</f>
        <v>No</v>
      </c>
      <c r="AB103" s="7" t="str">
        <f>_xlfn.XLOOKUP(Animals!B103,'Base stats'!B:B,'Base stats'!X:X)</f>
        <v>False</v>
      </c>
      <c r="AC103" s="13">
        <f>IF(_xlfn.XLOOKUP(B103,'Base stats'!B:B,'Base stats'!AQ:AQ)="No","No",MROUND((LOG10(_xlfn.XLOOKUP(B103,'Base stats'!B:B,'Base stats'!AQ:AQ))*(AN103^0.75)+(_xlfn.XLOOKUP(B103,'Base stats'!B:B,'Base stats'!AQ:AQ)/1000)^(2/3)+_xlfn.XLOOKUP(B103,'Base stats'!B:B,'Base stats'!AU:AU)+_xlfn.XLOOKUP(B103,'Base stats'!B:B,'Base stats'!AX:AX))+0.5,0.5))</f>
        <v>15</v>
      </c>
      <c r="AD103" s="7">
        <f>IF(AC103="No","No",MAX(_xlfn.XLOOKUP(_xlfn.XLOOKUP(B103,'Base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2.0500000000000003</v>
      </c>
      <c r="AE103" s="7" t="str">
        <f>IF(AC103="No","No",_xlfn.XLOOKUP(_xlfn.XLOOKUP(B103,'Base stats'!B:B,'Base stats'!E:E),Groups!A:A,Groups!AA:AA))</f>
        <v>Mouth</v>
      </c>
      <c r="AF103" s="7" t="str">
        <f>IF(AC103="No","No",_xlfn.XLOOKUP(_xlfn.XLOOKUP(B103,'Base stats'!B:B,'Base stats'!E:E),Groups!A:A,Groups!AB:AB))</f>
        <v>mandibles</v>
      </c>
      <c r="AG103" s="7" t="str">
        <f>IF(AC103="No","No",_xlfn.XLOOKUP(_xlfn.XLOOKUP(B103,'Base stats'!B:B,'Base stats'!E:E),Groups!A:A,Groups!AC:AC))</f>
        <v>Bite</v>
      </c>
      <c r="AH103" s="13" t="str">
        <f>IF(_xlfn.XLOOKUP(_xlfn.XLOOKUP(B103,'Base stats'!B:B,'Base stats'!E:E),Groups!A:A,Groups!AD:AD)=0,"No",MROUND((LOG10(_xlfn.XLOOKUP(B103,'Base stats'!B:B,'Base stats'!AP:AP))*(AN103^0.75)+(_xlfn.XLOOKUP(B103,'Base stats'!B:B,'Base stats'!AP:AP)/1000)^(2/3)+_xlfn.XLOOKUP(B103,'Base stats'!B:B,'Base stats'!AV:AV)+_xlfn.XLOOKUP(B103,'Base stats'!B:B,'Base stats'!AX:AX))+0.5,0.5))</f>
        <v>No</v>
      </c>
      <c r="AI103" s="7" t="str">
        <f>IF(AH103="No","No",MAX(_xlfn.XLOOKUP(_xlfn.XLOOKUP(B103,'Base stats'!B:B,'Base stats'!E:E),Groups!A:A,Groups!AE:AE),MROUND(_xlfn.XLOOKUP(_xlfn.XLOOKUP(B103,'Base stats'!B:B,'Base stats'!E:E),Groups!A:A,Groups!AE:AE)*_xlfn.XLOOKUP(B103,'Base stats'!B:B,'Base stats'!C:C)^0.165,0.05)))</f>
        <v>No</v>
      </c>
      <c r="AJ103" s="7" t="str">
        <f>IF(AH103="No","No",_xlfn.XLOOKUP(_xlfn.XLOOKUP(B103,'Base stats'!B:B,'Base stats'!E:E),Groups!A:A,Groups!AF:AF))</f>
        <v>No</v>
      </c>
      <c r="AK103" s="7" t="str">
        <f>IF(AH103="No","No",_xlfn.XLOOKUP(_xlfn.XLOOKUP(B103,'Base stats'!B:B,'Base stats'!E:E),Groups!A:A,Groups!AG:AG))</f>
        <v>No</v>
      </c>
      <c r="AL103" s="7" t="str">
        <f>IF(AH103="No","No",_xlfn.XLOOKUP(_xlfn.XLOOKUP(B103,'Base stats'!B:B,'Base stats'!E:E),Groups!A:A,Groups!AH:AH))</f>
        <v>No</v>
      </c>
      <c r="AM103" s="2">
        <f t="shared" si="7"/>
        <v>20</v>
      </c>
      <c r="AN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0.65</v>
      </c>
      <c r="AO103" s="8">
        <f>MROUND(AN103*_xlfn.XLOOKUP(_xlfn.XLOOKUP(B103,'Base stats'!B:B,'Base stats'!E:E),Groups!A:A,Groups!AI:AI),0.05)</f>
        <v>0.65</v>
      </c>
      <c r="AP103" s="8">
        <f>MAX(0.01,MROUND(IF(CA103="True",0.196*(AN103*100*1000)^0.889,IF(_xlfn.XLOOKUP(_xlfn.XLOOKUP(B103,'Base stats'!B:B,'Base stats'!E:E),Groups!A:A,Groups!AJ:AJ)="Bird",10.5*(AN103*100*1000)^0.681,4.82*(AN103*100*1000)^0.734))/(4.82*(1*100*1000)^0.734)/IF(AN103&lt;3.5,2,IF(AN103=3.5,1.5,1.25))*(1+0.132282374779864/(AN103^0.994035016789033+0.00905238001496948)),0.05))</f>
        <v>0.1</v>
      </c>
      <c r="AQ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R103" s="35" t="str">
        <f>IFERROR(IF(_xlfn.XLOOKUP(B103,'Base stats'!B:B,'Base stats'!F:F)="Lay eggs","Lay eggs",MIN(20,MAX(5.5,ROUND(((_xlfn.XLOOKUP(B103,'Base stats'!B:B,'Base stats'!F:F)-25)*(14.5/615) + 5.5)*2,0)/2))),"Cannot breed")</f>
        <v>Lay eggs</v>
      </c>
      <c r="AS103" s="8">
        <f>IF(OR(A103="Queen",A103="Larva",A103="Megachicken"),"No",IFERROR(MAX(IF(_xlfn.XLOOKUP(B103,'Base stats'!B:B,'Base stats'!G:G)&lt;0.5,0.2,0.3),MROUND(_xlfn.XLOOKUP(B103,'Base stats'!B:B,'Base stats'!G:G)/(365/60),0.2)),"Unknown"))</f>
        <v>0.3</v>
      </c>
      <c r="AT103" s="8">
        <f t="shared" si="8"/>
        <v>0.15000000000000002</v>
      </c>
      <c r="AU103" s="8" t="str">
        <f>IFERROR(IFERROR(MROUND(_xlfn.XLOOKUP(B103,'Base stats'!B:B,'Base stats'!J:J),0.1),"Lay eggs"),"Cannot breed")</f>
        <v>Lay eggs</v>
      </c>
      <c r="AV103" s="2" t="str">
        <f t="shared" si="9"/>
        <v>false</v>
      </c>
      <c r="AW103" s="2" t="str">
        <f>IF(_xlfn.XLOOKUP(_xlfn.XLOOKUP(Animals!B103,'Base stats'!B:B,'Base stats'!E:E),Groups!A:A,Groups!AK:AK)=1,"true","false")</f>
        <v>false</v>
      </c>
      <c r="AX103" s="25" t="str">
        <f>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</f>
        <v>OmnivoreAnimal, OvivoreAnimal</v>
      </c>
      <c r="AY103" s="2" t="str">
        <f>IF(_xlfn.XLOOKUP(_xlfn.XLOOKUP(B103,'Base stats'!B:B,'Base stats'!E:E),Groups!A:A,Groups!D:D)=1,MROUND((1-I103)*5+1,2)*IF(I103&lt;=0.4,2,1),"No")</f>
        <v>No</v>
      </c>
      <c r="AZ103" s="2" t="str">
        <f>_xlfn.XLOOKUP(B103,'Base stats'!B:B,'Base stats'!AE:AE)</f>
        <v>No</v>
      </c>
      <c r="BA103" s="23" t="str">
        <f>_xlfn.XLOOKUP(_xlfn.XLOOKUP(B103,'Base stats'!B:B,'Base stats'!E:E),Groups!A:A,Groups!AL:AL)</f>
        <v>BeetleLike</v>
      </c>
      <c r="BB103" s="23">
        <f>MROUND(IF(AND(AN103&lt;0.5,_xlfn.XLOOKUP(B103,'Base stats'!B:B,'Base stats'!Z:Z)=0),0,IF(OR(_xlfn.XLOOKUP(Animals!B103,'Base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stats'!AA:AA),0.005)</f>
        <v>1</v>
      </c>
      <c r="BC103" s="23">
        <f>MROUND(IF(AND(AN103&lt;0.5,_xlfn.XLOOKUP(B103,'Base stats'!B:B,'Base stats'!Z:Z)=0),0,IF(_xlfn.XLOOKUP(_xlfn.XLOOKUP(B103,'Base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stats'!AB:AB),0.005)</f>
        <v>1</v>
      </c>
      <c r="BD103" s="2" t="str">
        <f>IF(I103&gt;0.3,"No",_xlfn.XLOOKUP(_xlfn.XLOOKUP(Animals!B103,'Base stats'!B:B,'Base stats'!E:E),Groups!A:A,Groups!AP:AP))</f>
        <v>No</v>
      </c>
      <c r="BE103" s="2" t="str">
        <f>IF(AND(I103&lt;=0.65,_xlfn.XLOOKUP(_xlfn.XLOOKUP(Animals!B103,'Base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stats'!O:O)=2,0.2,AN103) + 24*(1-IF(BD103="No",0,BD103)) + 16/3, 12),"No")</f>
        <v>No</v>
      </c>
      <c r="BF103" s="2">
        <f>IF(AND(_xlfn.XLOOKUP(_xlfn.XLOOKUP(B103,'Base stats'!B:B,'Base stats'!E:E),Groups!A:A,Groups!AQ:AQ)=1,AN103&lt;=0.35),8,12)</f>
        <v>12</v>
      </c>
      <c r="BG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H103" s="2" t="str">
        <f>IF(AND(_xlfn.XLOOKUP(_xlfn.XLOOKUP(B103,'Base stats'!B:B,'Base stats'!E:E),Groups!A:A,Groups!AS:AS)=1,OR('Base stats'!Y103="Carnivore",'Base stats'!Y103="Omnivore")),"true","false")</f>
        <v>true</v>
      </c>
      <c r="BI103" s="2">
        <f>IF(BH103="true",MROUND(IF(AND(AN103&gt;0.5,_xlfn.XLOOKUP(_xlfn.XLOOKUP(B103,'Base stats'!B:B,'Base stats'!E:E),Groups!A:A,Groups!AJ:AJ)="Mammal"),Animals!AN103*1.75*IF(AV103="true",1.5,1),Animals!AN103),IF(AN103&gt;2,0.5,IF(AN103&gt;0.5,0.25,0.1))),"No")</f>
        <v>0.75</v>
      </c>
      <c r="BJ103" s="2">
        <f t="shared" si="10"/>
        <v>1</v>
      </c>
      <c r="BK103" s="25" t="str">
        <f>IF('Base stats'!AK103="Standard","No",MROUND((_xlfn.XLOOKUP(B103,'Base stats'!B:B,'Base stats'!AK:AK)/3.6)/H103,0.1))</f>
        <v>No</v>
      </c>
      <c r="BL103" s="25" t="str">
        <f t="shared" si="11"/>
        <v>false</v>
      </c>
      <c r="BM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N103" s="25" t="str" cm="1">
        <f t="array" ref="BN103">IF(
  _xlfn.TEXTJOIN(", ",TRUE,
    IF(AND(BH103="true",AN103&gt;0.5,BG103&lt;&gt;"None"),"AttackTarget",""),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IF(BE103&lt;=36,"Comfort",""),
    IF(_xlfn.XLOOKUP(B103,'Base stats'!B:B,'Base stats'!AC:AC)&lt;&gt;"No",_xlfn.XLOOKUP(B103,'Base stats'!B:B,'Base stats'!AC:AC),"")
  ) = "",
  "No",
  _xlfn.TEXTJOIN(", ",TRUE,
    IF(AND(BH103="true",AN103&gt;0.5,BG103&lt;&gt;"None"),"AttackTarget",""),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IF(BE103&lt;=36,"Comfort",""),
    IF(_xlfn.XLOOKUP(B103,'Base stats'!B:B,'Base stats'!AC:AC)&lt;&gt;"No",_xlfn.XLOOKUP(B103,'Base stats'!B:B,'Base stats'!AC:AC),"")
  )
)</f>
        <v>AttackTarget, Forage</v>
      </c>
      <c r="BO103" s="25" t="str">
        <f>IF(
   AND(
      'Base stats'!AK103="Standard",_xlfn.XLOOKUP(_xlfn.XLOOKUP(B103,'Base stats'!B:B,'Base stats'!E:E),Groups!A:A,Groups!AU:AU)=0,
      OR(
      BM103="True"
      )
   ),
   10,
   IF(
       OR(BK103&lt;&gt;"No",_xlfn.XLOOKUP(_xlfn.XLOOKUP(B103,'Base stats'!B:B,'Base stats'!E:E),Groups!A:A,Groups!AU:AU)=1),
      1,
      "No"
   )
)</f>
        <v>No</v>
      </c>
      <c r="BP103" s="9">
        <f>MROUND((1 + ((0.2*IF(OR(P103="No",Q103="No",Q103=0),0,P103/Q103)
+IF(OR(U103="No",R103="No",S103="No"),0,R103/S103*(LEN(U103)-LEN(SUBSTITUTE(U103,",",""))+1))
+IF(OR(W103="No",X103="No"),0,W103/X103)
+IF(OR(AC103="No",AD103="No"),0,AC103/AD103)
+IF(OR(AK103="No",AH103="No",AI103="No"),0,AH103/AI103*(LEN(AK103)-LEN(SUBSTITUTE(AK103,",",""))+1))
)/(0.2*IF(OR(P103="No",Q103="No",Q103=0),0,1)
+IF(OR(U103="No",R103="No",S103="No"),0,LEN(U103)-LEN(SUBSTITUTE(U103,",",""))+1)
+IF(OR(W103="No",X103="No"),0,1)
+IF(OR(AC103="No",AD103="No"),0,1)
+IF(OR(AK103="No",AH103="No",AI103="No"),0,LEN(AK103)-LEN(SUBSTITUTE(AK103,",",""))+1))*62%)* 2)*(1 + (AO103 + _xlfn.XLOOKUP(B103,'Base stats'!B:B,'Base stats'!AS:AS) * 1.8) * 2) * 2.5 + 10 + H103 * 2,5)+IF(_xlfn.XLOOKUP(B103,'Base stats'!B:B,'Base stats'!AH:AH)=1,50,0)</f>
        <v>85</v>
      </c>
      <c r="BQ103" s="8">
        <f t="shared" si="12"/>
        <v>0.2</v>
      </c>
      <c r="BR103" s="8" t="str">
        <f>_xlfn.XLOOKUP(B103,'Base stats'!B:B,'Base stats'!AD:AD)</f>
        <v>No</v>
      </c>
      <c r="BS103" s="2" t="str">
        <f>IF(AND(I103&lt;=0.95,OR(_xlfn.XLOOKUP(B103,'Base stats'!B:B,'Base stats'!AH:AH)=1,_xlfn.XLOOKUP(B103,'Base stats'!B:B,'Base stats'!Y:Y)="Carnivore",_xlfn.XLOOKUP(B103,'Base stats'!B:B,'Base stats'!Y:Y)="Omnivore",BC103&gt;0.1)),"true","false")</f>
        <v>true</v>
      </c>
      <c r="BT103" s="2" t="str">
        <f>IF(_xlfn.XLOOKUP(B103,'Base stats'!B:B,'Base stats'!AF:AF)=1,"true","false")</f>
        <v>false</v>
      </c>
      <c r="BU103" s="25" t="str">
        <f>IF(E103="BaseInsect","AnimalInsect",
IF(I103&gt;0.95,"AnimalExotic",
_xlfn.TEXTJOIN(", ",TRUE,
IF(AND(_xlfn.XLOOKUP(B103,'Base stats'!B:B,'Base stats'!O:O)=0,_xlfn.XLOOKUP(_xlfn.XLOOKUP(B103,'Base stats'!B:B,'Base stats'!E:E),Groups!A:A,Groups!B:B)&gt;0),"AnimalUncommon","AnimalCommon"),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stats'!AH:AH)=1,AND(BG103&lt;&gt;"None",BP103&gt;=60),ISNUMBER(SEARCH("Attack target",BN103))),"AnimalFighter","")
)))</f>
        <v>AnimalInsect</v>
      </c>
      <c r="BV103" s="25" t="str">
        <f>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</f>
        <v/>
      </c>
      <c r="BW103" s="25" t="str">
        <f>IF(_xlfn.XLOOKUP(B103,'Base stats'!B:B,'Base stats'!AG:AG)=1,"true","false")</f>
        <v>false</v>
      </c>
      <c r="BX103" s="25">
        <f>IF(_xlfn.XLOOKUP(B103,'Base stats'!B:B,'Base stats'!N:N)=1,"No",MIN(MROUND(IF(OR(_xlfn.XLOOKUP(B103,'Base stats'!B:B,'Base stats'!AJ:AJ)=1,AND(BH103="True",CA103="False")),POWER(10,3.47*LOG10(_xlfn.XLOOKUP(B103,'Base stats'!B:B,'Base stats'!C:C)*1000)^-0.96),POWER(10,4.15*LOG10(_xlfn.XLOOKUP(B103,'Base stats'!B:B,'Base stats'!C:C)*1000)^-0.73))*IF(OR(_xlfn.XLOOKUP(B103,'Base stats'!B:B,'Base stats'!AJ:AJ)=1,_xlfn.XLOOKUP(B103,'Base stats'!B:B,'Base stats'!AH:AH)=1),0.5,1)/100,0.025),1))</f>
        <v>0.25</v>
      </c>
      <c r="BY103" s="25">
        <f>IF(O103="Standard","No",IF(_xlfn.XLOOKUP(B103,'Base stats'!B:B,'Base stats'!N:N)=0,MROUND(BX103*O103,0.05),MIN(1,MAX(0.025,MROUND(IF(OR(CA103="true",AND(BH103="false",BM103="false")),POWER(10,4.15*LOG10(_xlfn.XLOOKUP(B103,'Base stats'!B:B,'Base stats'!C:C)*1000)^-0.73),POWER(10,3.47*LOG10(_xlfn.XLOOKUP(B103,'Base stats'!B:B,'Base stats'!C:C)*1000)^-0.96))*IF(_xlfn.XLOOKUP(B103,'Base stats'!B:B,'Base stats'!AH:AH)=1,0.5,1)/100,0.025)))))</f>
        <v>0.25</v>
      </c>
      <c r="BZ103" s="25" t="str">
        <f>IF(_xlfn.XLOOKUP(_xlfn.XLOOKUP(B103,'Base stats'!B:B,'Base stats'!E:E),Groups!A:A,Groups!AJ:AJ)="Mammal","True","False")</f>
        <v>False</v>
      </c>
      <c r="CA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B103" s="25" t="str">
        <f t="shared" si="13"/>
        <v>False</v>
      </c>
      <c r="CC103" s="25" t="str">
        <f>IF(_xlfn.XLOOKUP(_xlfn.XLOOKUP(B103,'Base stats'!B:B,'Base stats'!E:E),Groups!A:A,Groups!AW:AW),"True","False")</f>
        <v>False</v>
      </c>
      <c r="CD103" s="25" t="str">
        <f>IF(_xlfn.XLOOKUP(_xlfn.XLOOKUP(B103,'Base stats'!B:B,'Base stats'!E:E),Groups!A:A,Groups!AX:AX),"True","False")</f>
        <v>False</v>
      </c>
      <c r="CE103" s="25" t="str">
        <f>IF(_xlfn.XLOOKUP(B103,'Base stats'!B:B,'Base stats'!E:E)=1,"True","False")</f>
        <v>False</v>
      </c>
      <c r="CF103" s="25" t="str">
        <f>IF(
OR(
_xlfn.XLOOKUP(_xlfn.XLOOKUP(B103,'Base stats'!B:B,'Base stats'!E:E),Groups!A:A,Groups!AY:AY)=0,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stats'!E:E),Groups!A:A,Groups!AY:AY)=1,
"Flesh",
IF(
_xlfn.XLOOKUP(_xlfn.XLOOKUP(B103,'Base stats'!B:B,'Base stats'!E:E),Groups!A:A,Groups!AY:AY)=2,
"Bone",
""
)
)
)</f>
        <v>Bone</v>
      </c>
      <c r="CG103" s="25" t="str">
        <f>IF(_xlfn.XLOOKUP(_xlfn.XLOOKUP(B103,'Base stats'!B:B,'Base stats'!E:E),Groups!A:A,Groups!BA:BA),"True","False")</f>
        <v>False</v>
      </c>
      <c r="CH103" s="25" t="str">
        <f>IF(_xlfn.XLOOKUP(_xlfn.XLOOKUP(B103,'Base stats'!B:B,'Base stats'!E:E),Groups!A:A,Groups!AZ:AZ),"True","False")</f>
        <v>False</v>
      </c>
    </row>
    <row r="104" spans="1:86" ht="16.5" thickTop="1" thickBot="1" x14ac:dyDescent="0.3">
      <c r="A104" s="26" t="str">
        <f>_xlfn.XLOOKUP(B104,'Base stats'!B:B,'Base stats'!A:A)</f>
        <v>Spelopede</v>
      </c>
      <c r="B104" s="6" t="s">
        <v>433</v>
      </c>
      <c r="C104" s="28" t="s">
        <v>855</v>
      </c>
      <c r="D104" s="28" t="s">
        <v>45</v>
      </c>
      <c r="E104" s="28" t="s">
        <v>796</v>
      </c>
      <c r="F104" s="28" t="s">
        <v>797</v>
      </c>
      <c r="G104" s="2">
        <f>MROUND((
  (IF(AND(_xlfn.XLOOKUP(B104,'Base stats'!B:B,'Base stats'!AI:AI)=0,BG104="None",_xlfn.XLOOKUP('Base stats'!E104,Groups!A:A,Groups!B:B)=0), (18 + BP104 * 2.7) * 0.5,
    IF(AND(_xlfn.XLOOKUP(B104,'Base stats'!B:B,'Base stats'!AI:AI)=0,OR(AN104&lt;0.55,AND(BG104="Intermediate",_xlfn.XLOOKUP('Base stats'!E104,Groups!A:A,Groups!B:B)&lt;2))), (18 + BP104 * 2.7),
      IF(OR(BG104="Advanced",_xlfn.XLOOKUP(B104,'Base stats'!B:B,'Base stats'!AI:AI)=1,_xlfn.XLOOKUP('Base stats'!E104,Groups!A:A,Groups!B:B)=2), (18 + BP104 * 2.7) + 250, (18 + BP104 * 2.7))
    )
  ))
  + AN104 * 80
  + IF(COUNTIF(EggMilk!K$2:K$998, A104) &gt; 0, 125, 0)
  + IF(COUNTIF(EggMilk!P$2:P$998, A104) &gt; 0, 90, 0)
  + IF(COUNTIF(EggMilk!A$2:A$998, A104) &gt; 0, 90, 0)
)
* (0.8 + 0.4 * I104)
* 0.75,25)</f>
        <v>725</v>
      </c>
      <c r="H104" s="2">
        <f>MROUND(ROUNDDOWN(_xlfn.XLOOKUP(B104,'Base stats'!B:B,'Base stats'!L:L)/3.6/(23.3/11),1),0.5)</f>
        <v>3.5</v>
      </c>
      <c r="I104" s="2">
        <f>IF(_xlfn.XLOOKUP(B104,'Base stats'!B:B,'Base stats'!AI:AI)=1,0.99,MIN(MROUND((1-0.6282*EXP(-0.459*AN104))*_xlfn.XLOOKUP(_xlfn.XLOOKUP(B104,'Base stats'!B:B,'Base stats'!E:E),Groups!A:A,Groups!C:C)*IF(_xlfn.XLOOKUP(B104,'Base stats'!B:B,'Base stats'!O:O)=1,0.5,IF(_xlfn.XLOOKUP(B104,'Base stats'!B:B,'Base stats'!O:O)=2,0,1)),0.05),0.985))</f>
        <v>0.75</v>
      </c>
      <c r="J104" s="2">
        <f>ROUNDUP(AN104*_xlfn.XLOOKUP(_xlfn.XLOOKUP(B104,'Base stats'!B:B,'Base stats'!E:E),Groups!A:A,Groups!E:E),0)</f>
        <v>2</v>
      </c>
      <c r="K104" s="2">
        <f>IF(OR(_xlfn.XLOOKUP(_xlfn.XLOOKUP(B104,'Base stats'!B:B,'Base stats'!E:E),Groups!A:A,Groups!F:F)=2,ISNUMBER(SEARCH("SeaIce",BV104)),ISNUMBER(SEARCH("IceSheet",BV104))),-50,IF(OR(ISNUMBER(SEARCH("GlacialPlain",BV104)),ISNUMBER(SEARCH("Tundra",BV104))),-40,IF(OR(ISNUMBER(SEARCH("Alpine",BV104)),ISNUMBER(SEARCH("BorealForest",BV104)),ISNUMBER(SEARCH("ColdBog",BV104))),-30,IF(OR(ISNUMBER(SEARCH("TemperateForest",BV104)),ISNUMBER(SEARCH("TemperateSwamp",BV104))),-20,IF(_xlfn.XLOOKUP(_xlfn.XLOOKUP(B104,'Base stats'!B:B,'Base stats'!E:E),Groups!A:A,Groups!F:F)=1,-15,IF(OR(ISNUMBER(SEARCH("Desert",BV104)),ISNUMBER(SEARCH("ExtremeDesert",BV104))),-10,IF(OR(ISNUMBER(SEARCH("Grasslands",BV104)),ISNUMBER(SEARCH("TropicalRainforest",BV104)),ISNUMBER(SEARCH("TropicalSwamp",BV104))),10,0)))))))-IF(CA104="False",MIN(IFERROR(MAX(MROUND(LOG10(_xlfn.XLOOKUP(B104,'Base stats'!B:B,'Base stats'!C:C)^(2/3))*10,5),5),5),30))-_xlfn.XLOOKUP(B104,'Base stats'!B:B,'Base stats'!P:P)+IF(CA104="True",5,0)</f>
        <v>5</v>
      </c>
      <c r="L104" s="2">
        <f>IF(OR(_xlfn.XLOOKUP(_xlfn.XLOOKUP(B104,'Base stats'!B:B,'Base stats'!E:E),Groups!A:A,Groups!G:G)=2,ISNUMBER(SEARCH("Desert",BV104)),ISNUMBER(SEARCH("ExtremeDesert",BV104)),ISNUMBER(SEARCH("LavaField",BV104))),50,IF(ISNUMBER(SEARCH("Grasslands",BV104)),45,IF(OR(_xlfn.XLOOKUP(_xlfn.XLOOKUP(B104,'Base stats'!B:B,'Base stats'!E:E),Groups!A:A,Groups!G:G)=1,ISNUMBER(SEARCH("TropicalRainforest",BV104)),ISNUMBER(SEARCH("TropicalSwamp",BV104))),40,IF(OR(ISNUMBER(SEARCH("TemperateForest",BV104)),ISNUMBER(SEARCH("TemperateSwamp",BV104))),35,IF(OR(ISNUMBER(SEARCH("Alpine",BV104)),ISNUMBER(SEARCH("BorealForest",BV104)),ISNUMBER(SEARCH("ColdBog",BV104))),30,IF(ISNUMBER(OR(ISNUMBER(SEARCH("GlacialPlain",BV104)),SEARCH("Tundra",BV104))),25,IF(OR(ISNUMBER(SEARCH("SeaIce",BV104)),ISNUMBER(SEARCH("IceSheet",BV104)),ISNUMBER(SEARCH("TropicalSwamp",BV104))),10,35)))))))+_xlfn.XLOOKUP(B104,'Base stats'!B:B,'Base stats'!Q:Q)</f>
        <v>50</v>
      </c>
      <c r="M104" s="8">
        <f>IF(_xlfn.XLOOKUP(_xlfn.XLOOKUP(B104,'Base stats'!B:B,'Base stats'!E:E),Groups!A:A,Groups!L:L)=1,MIN(MROUND(_xlfn.XLOOKUP(B104,'Animals CE'!B:B,'Animals CE'!Z:Z)/2+0.05,0.05),200%),"No")</f>
        <v>0.70000000000000007</v>
      </c>
      <c r="N104" s="8">
        <f>IF(_xlfn.XLOOKUP(_xlfn.XLOOKUP(B104,'Base stats'!B:B,'Base stats'!E:E),Groups!A:A,Groups!L:L)=1,MIN(MROUND(_xlfn.XLOOKUP(B104,'Animals CE'!B:B,'Animals CE'!AA:AA)/2+0.05,0.05),200%),"No")</f>
        <v>0.1</v>
      </c>
      <c r="O104" s="2">
        <f>_xlfn.XLOOKUP(B104,'Base stats'!B:B,'Base stats'!R:R)</f>
        <v>1</v>
      </c>
      <c r="P104" s="13">
        <f>MROUND((LOG10(_xlfn.XLOOKUP(B104,'Base stats'!B:B,'Base stats'!AO:AO))*(AN104^0.5)+(_xlfn.XLOOKUP(B104,'Base stats'!B:B,'Base stats'!AO:AO)/1000)^(2/3)+_xlfn.XLOOKUP(B104,'Base stats'!B:B,'Base stats'!AX:AX)/2)+0.5,0.5)</f>
        <v>9.5</v>
      </c>
      <c r="Q104" s="7">
        <f>IF(P104="No","No",MAX(1,MROUND(_xlfn.XLOOKUP(B104,'Base stats'!B:B,'Base stats'!C:C)^0.165,0.05)))</f>
        <v>2.3000000000000003</v>
      </c>
      <c r="R104" s="13" t="str">
        <f>IF(_xlfn.XLOOKUP(_xlfn.XLOOKUP(B104,'Base stats'!B:B,'Base stats'!E:E),Groups!A:A,Groups!P:P)=0,"No",MROUND((LOG10(_xlfn.XLOOKUP(B104,'Base stats'!B:B,'Base stats'!AP:AP))*(AN104^0.5)+(_xlfn.XLOOKUP(B104,'Base stats'!B:B,'Base stats'!AP:AP)/1000)^(2/3)+_xlfn.XLOOKUP(B104,'Base stats'!B:B,'Base stats'!AX:AX))+_xlfn.XLOOKUP(B104,'Base stats'!B:B,'Base stats'!AV:AV)+0.5,0.5))</f>
        <v>No</v>
      </c>
      <c r="S104" s="7" t="str">
        <f>IF(R104="No","No",MAX(_xlfn.XLOOKUP(_xlfn.XLOOKUP(B104,'Base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T104" s="7" t="str">
        <f>IF(R104="No","No",_xlfn.XLOOKUP(_xlfn.XLOOKUP(B104,'Base stats'!B:B,'Base stats'!E:E),Groups!A:A,Groups!R:R))</f>
        <v>No</v>
      </c>
      <c r="U104" s="7" t="str">
        <f>IF(R104="No","No",_xlfn.XLOOKUP(_xlfn.XLOOKUP(B104,'Base stats'!B:B,'Base stats'!E:E),Groups!A:A,Groups!S:S))</f>
        <v>No</v>
      </c>
      <c r="V104" s="7" t="str">
        <f>IF(R104="No","No",_xlfn.XLOOKUP(_xlfn.XLOOKUP(B104,'Base stats'!B:B,'Base stats'!E:E),Groups!A:A,Groups!T:T))</f>
        <v>No</v>
      </c>
      <c r="W104" s="13" t="str">
        <f>IF(_xlfn.XLOOKUP(B104,'Base stats'!B:B,'Base stats'!W:W)="No","No",MROUND((LOG10(_xlfn.XLOOKUP(B104,'Base stats'!B:B,'Base stats'!AR:AR))*(AN104^0.5)+(_xlfn.XLOOKUP(B104,'Base stats'!B:B,'Base stats'!AR:AR)/1000)^(2/3)+_xlfn.XLOOKUP(B104,'Base stats'!B:B,'Base stats'!AW:AW))+0.5+IF(_xlfn.XLOOKUP(_xlfn.XLOOKUP(B104,'Base stats'!B:B,'Base stats'!E:E),Groups!A:A,Groups!U:U)&lt;&gt;3,_xlfn.XLOOKUP(B104,'Base stats'!B:B,'Base stats'!AX:AX),0),0.5))</f>
        <v>No</v>
      </c>
      <c r="X104" s="7" t="str">
        <f>IF(W104="No","No",MAX(_xlfn.XLOOKUP(_xlfn.XLOOKUP(B104,'Base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Y104" s="7" t="str">
        <f>IF(W104="No","No",_xlfn.XLOOKUP(_xlfn.XLOOKUP(B104,'Base stats'!B:B,'Base stats'!E:E),Groups!A:A,Groups!W:W))</f>
        <v>No</v>
      </c>
      <c r="Z104" s="7" t="str">
        <f>IF(W104="No","No",_xlfn.XLOOKUP(_xlfn.XLOOKUP(B104,'Base stats'!B:B,'Base stats'!E:E),Groups!A:A,Groups!X:X))</f>
        <v>No</v>
      </c>
      <c r="AA104" s="7" t="str">
        <f>IF(W104="No","No",_xlfn.XLOOKUP(_xlfn.XLOOKUP(B104,'Base stats'!B:B,'Base stats'!E:E),Groups!A:A,Groups!Y:Y))</f>
        <v>No</v>
      </c>
      <c r="AB104" s="7" t="str">
        <f>_xlfn.XLOOKUP(Animals!B104,'Base stats'!B:B,'Base stats'!X:X)</f>
        <v>False</v>
      </c>
      <c r="AC104" s="13">
        <f>IF(_xlfn.XLOOKUP(B104,'Base stats'!B:B,'Base stats'!AQ:AQ)="No","No",MROUND((LOG10(_xlfn.XLOOKUP(B104,'Base stats'!B:B,'Base stats'!AQ:AQ))*(AN104^0.75)+(_xlfn.XLOOKUP(B104,'Base stats'!B:B,'Base stats'!AQ:AQ)/1000)^(2/3)+_xlfn.XLOOKUP(B104,'Base stats'!B:B,'Base stats'!AU:AU)+_xlfn.XLOOKUP(B104,'Base stats'!B:B,'Base stats'!AX:AX))+0.5,0.5))</f>
        <v>28</v>
      </c>
      <c r="AD104" s="7">
        <f>IF(AC104="No","No",MAX(_xlfn.XLOOKUP(_xlfn.XLOOKUP(B104,'Base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E104" s="7" t="str">
        <f>IF(AC104="No","No",_xlfn.XLOOKUP(_xlfn.XLOOKUP(B104,'Base stats'!B:B,'Base stats'!E:E),Groups!A:A,Groups!AA:AA))</f>
        <v>Mouth</v>
      </c>
      <c r="AF104" s="7" t="str">
        <f>IF(AC104="No","No",_xlfn.XLOOKUP(_xlfn.XLOOKUP(B104,'Base stats'!B:B,'Base stats'!E:E),Groups!A:A,Groups!AB:AB))</f>
        <v>mandibles</v>
      </c>
      <c r="AG104" s="7" t="str">
        <f>IF(AC104="No","No",_xlfn.XLOOKUP(_xlfn.XLOOKUP(B104,'Base stats'!B:B,'Base stats'!E:E),Groups!A:A,Groups!AC:AC))</f>
        <v>Bite</v>
      </c>
      <c r="AH104" s="13">
        <f>IF(_xlfn.XLOOKUP(_xlfn.XLOOKUP(B104,'Base stats'!B:B,'Base stats'!E:E),Groups!A:A,Groups!AD:AD)=0,"No",MROUND((LOG10(_xlfn.XLOOKUP(B104,'Base stats'!B:B,'Base stats'!AP:AP))*(AN104^0.75)+(_xlfn.XLOOKUP(B104,'Base stats'!B:B,'Base stats'!AP:AP)/1000)^(2/3)+_xlfn.XLOOKUP(B104,'Base stats'!B:B,'Base stats'!AV:AV)+_xlfn.XLOOKUP(B104,'Base stats'!B:B,'Base stats'!AX:AX))+0.5,0.5))</f>
        <v>23</v>
      </c>
      <c r="AI104" s="7">
        <f>IF(AH104="No","No",MAX(_xlfn.XLOOKUP(_xlfn.XLOOKUP(B104,'Base stats'!B:B,'Base stats'!E:E),Groups!A:A,Groups!AE:AE),MROUND(_xlfn.XLOOKUP(_xlfn.XLOOKUP(B104,'Base stats'!B:B,'Base stats'!E:E),Groups!A:A,Groups!AE:AE)*_xlfn.XLOOKUP(B104,'Base stats'!B:B,'Base stats'!C:C)^0.165,0.05)))</f>
        <v>2.5</v>
      </c>
      <c r="AJ104" s="7" t="str">
        <f>IF(AH104="No","No",_xlfn.XLOOKUP(_xlfn.XLOOKUP(B104,'Base stats'!B:B,'Base stats'!E:E),Groups!A:A,Groups!AF:AF))</f>
        <v>HeadClaw</v>
      </c>
      <c r="AK104" s="7" t="str">
        <f>IF(AH104="No","No",_xlfn.XLOOKUP(_xlfn.XLOOKUP(B104,'Base stats'!B:B,'Base stats'!E:E),Groups!A:A,Groups!AG:AG))</f>
        <v>head claw</v>
      </c>
      <c r="AL104" s="7" t="str">
        <f>IF(AH104="No","No",_xlfn.XLOOKUP(_xlfn.XLOOKUP(B104,'Base stats'!B:B,'Base stats'!E:E),Groups!A:A,Groups!AH:AH))</f>
        <v>Scratch</v>
      </c>
      <c r="AM104" s="2">
        <f t="shared" si="7"/>
        <v>25</v>
      </c>
      <c r="AN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O104" s="8">
        <f>MROUND(AN104*_xlfn.XLOOKUP(_xlfn.XLOOKUP(B104,'Base stats'!B:B,'Base stats'!E:E),Groups!A:A,Groups!AI:AI),0.05)</f>
        <v>1.5</v>
      </c>
      <c r="AP104" s="8">
        <f>MAX(0.01,MROUND(IF(CA104="True",0.196*(AN104*100*1000)^0.889,IF(_xlfn.XLOOKUP(_xlfn.XLOOKUP(B104,'Base stats'!B:B,'Base stats'!E:E),Groups!A:A,Groups!AJ:AJ)="Bird",10.5*(AN104*100*1000)^0.681,4.82*(AN104*100*1000)^0.734))/(4.82*(1*100*1000)^0.734)/IF(AN104&lt;3.5,2,IF(AN104=3.5,1.5,1.25))*(1+0.132282374779864/(AN104^0.994035016789033+0.00905238001496948)),0.05))</f>
        <v>0.2</v>
      </c>
      <c r="AQ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R104" s="35" t="str">
        <f>IFERROR(IF(_xlfn.XLOOKUP(B104,'Base stats'!B:B,'Base stats'!F:F)="Lay eggs","Lay eggs",MIN(20,MAX(5.5,ROUND(((_xlfn.XLOOKUP(B104,'Base stats'!B:B,'Base stats'!F:F)-25)*(14.5/615) + 5.5)*2,0)/2))),"Cannot breed")</f>
        <v>Lay eggs</v>
      </c>
      <c r="AS104" s="8">
        <f>IF(OR(A104="Queen",A104="Larva",A104="Megachicken"),"No",IFERROR(MAX(IF(_xlfn.XLOOKUP(B104,'Base stats'!B:B,'Base stats'!G:G)&lt;0.5,0.2,0.3),MROUND(_xlfn.XLOOKUP(B104,'Base stats'!B:B,'Base stats'!G:G)/(365/60),0.2)),"Unknown"))</f>
        <v>0.3</v>
      </c>
      <c r="AT104" s="8">
        <f t="shared" si="8"/>
        <v>0.15000000000000002</v>
      </c>
      <c r="AU104" s="8" t="str">
        <f>IFERROR(IFERROR(MROUND(_xlfn.XLOOKUP(B104,'Base stats'!B:B,'Base stats'!J:J),0.1),"Lay eggs"),"Cannot breed")</f>
        <v>Lay eggs</v>
      </c>
      <c r="AV104" s="2" t="str">
        <f t="shared" si="9"/>
        <v>false</v>
      </c>
      <c r="AW104" s="2" t="str">
        <f>IF(_xlfn.XLOOKUP(_xlfn.XLOOKUP(Animals!B104,'Base stats'!B:B,'Base stats'!E:E),Groups!A:A,Groups!AK:AK)=1,"true","false")</f>
        <v>false</v>
      </c>
      <c r="AX104" s="25" t="str">
        <f>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</f>
        <v>OmnivoreAnimal, OvivoreAnimal</v>
      </c>
      <c r="AY104" s="2" t="str">
        <f>IF(_xlfn.XLOOKUP(_xlfn.XLOOKUP(B104,'Base stats'!B:B,'Base stats'!E:E),Groups!A:A,Groups!D:D)=1,MROUND((1-I104)*5+1,2)*IF(I104&lt;=0.4,2,1),"No")</f>
        <v>No</v>
      </c>
      <c r="AZ104" s="2" t="str">
        <f>_xlfn.XLOOKUP(B104,'Base stats'!B:B,'Base stats'!AE:AE)</f>
        <v>No</v>
      </c>
      <c r="BA104" s="23" t="str">
        <f>_xlfn.XLOOKUP(_xlfn.XLOOKUP(B104,'Base stats'!B:B,'Base stats'!E:E),Groups!A:A,Groups!AL:AL)</f>
        <v>BeetleLikeWithClaw</v>
      </c>
      <c r="BB104" s="23">
        <f>MROUND(IF(AND(AN104&lt;0.5,_xlfn.XLOOKUP(B104,'Base stats'!B:B,'Base stats'!Z:Z)=0),0,IF(OR(_xlfn.XLOOKUP(Animals!B104,'Base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stats'!AA:AA),0.005)</f>
        <v>1</v>
      </c>
      <c r="BC104" s="23">
        <f>MROUND(IF(AND(AN104&lt;0.5,_xlfn.XLOOKUP(B104,'Base stats'!B:B,'Base stats'!Z:Z)=0),0,IF(_xlfn.XLOOKUP(_xlfn.XLOOKUP(B104,'Base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stats'!AB:AB),0.005)</f>
        <v>1</v>
      </c>
      <c r="BD104" s="2" t="str">
        <f>IF(I104&gt;0.3,"No",_xlfn.XLOOKUP(_xlfn.XLOOKUP(Animals!B104,'Base stats'!B:B,'Base stats'!E:E),Groups!A:A,Groups!AP:AP))</f>
        <v>No</v>
      </c>
      <c r="BE104" s="2" t="str">
        <f>IF(AND(I104&lt;=0.65,_xlfn.XLOOKUP(_xlfn.XLOOKUP(Animals!B104,'Base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stats'!O:O)=2,0.2,AN104) + 24*(1-IF(BD104="No",0,BD104)) + 16/3, 12),"No")</f>
        <v>No</v>
      </c>
      <c r="BF104" s="2">
        <f>IF(AND(_xlfn.XLOOKUP(_xlfn.XLOOKUP(B104,'Base stats'!B:B,'Base stats'!E:E),Groups!A:A,Groups!AQ:AQ)=1,AN104&lt;=0.35),8,12)</f>
        <v>12</v>
      </c>
      <c r="BG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H104" s="2" t="str">
        <f>IF(AND(_xlfn.XLOOKUP(_xlfn.XLOOKUP(B104,'Base stats'!B:B,'Base stats'!E:E),Groups!A:A,Groups!AS:AS)=1,OR('Base stats'!Y104="Carnivore",'Base stats'!Y104="Omnivore")),"true","false")</f>
        <v>true</v>
      </c>
      <c r="BI104" s="2">
        <f>IF(BH104="true",MROUND(IF(AND(AN104&gt;0.5,_xlfn.XLOOKUP(_xlfn.XLOOKUP(B104,'Base stats'!B:B,'Base stats'!E:E),Groups!A:A,Groups!AJ:AJ)="Mammal"),Animals!AN104*1.75*IF(AV104="true",1.5,1),Animals!AN104),IF(AN104&gt;2,0.5,IF(AN104&gt;0.5,0.25,0.1))),"No")</f>
        <v>1.5</v>
      </c>
      <c r="BJ104" s="2">
        <f t="shared" si="10"/>
        <v>1</v>
      </c>
      <c r="BK104" s="25" t="str">
        <f>IF('Base stats'!AK104="Standard","No",MROUND((_xlfn.XLOOKUP(B104,'Base stats'!B:B,'Base stats'!AK:AK)/3.6)/H104,0.1))</f>
        <v>No</v>
      </c>
      <c r="BL104" s="25" t="str">
        <f t="shared" si="11"/>
        <v>false</v>
      </c>
      <c r="BM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N104" s="25" t="str" cm="1">
        <f t="array" ref="BN104">IF(
  _xlfn.TEXTJOIN(", ",TRUE,
    IF(AND(BH104="true",AN104&gt;0.5,BG104&lt;&gt;"None"),"AttackTarget",""),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IF(BE104&lt;=36,"Comfort",""),
    IF(_xlfn.XLOOKUP(B104,'Base stats'!B:B,'Base stats'!AC:AC)&lt;&gt;"No",_xlfn.XLOOKUP(B104,'Base stats'!B:B,'Base stats'!AC:AC),"")
  ) = "",
  "No",
  _xlfn.TEXTJOIN(", ",TRUE,
    IF(AND(BH104="true",AN104&gt;0.5,BG104&lt;&gt;"None"),"AttackTarget",""),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IF(BE104&lt;=36,"Comfort",""),
    IF(_xlfn.XLOOKUP(B104,'Base stats'!B:B,'Base stats'!AC:AC)&lt;&gt;"No",_xlfn.XLOOKUP(B104,'Base stats'!B:B,'Base stats'!AC:AC),"")
  )
)</f>
        <v>AttackTarget, Dig</v>
      </c>
      <c r="BO104" s="25" t="str">
        <f>IF(
   AND(
      'Base stats'!AK104="Standard",_xlfn.XLOOKUP(_xlfn.XLOOKUP(B104,'Base stats'!B:B,'Base stats'!E:E),Groups!A:A,Groups!AU:AU)=0,
      OR(
      BM104="True"
      )
   ),
   10,
   IF(
       OR(BK104&lt;&gt;"No",_xlfn.XLOOKUP(_xlfn.XLOOKUP(B104,'Base stats'!B:B,'Base stats'!E:E),Groups!A:A,Groups!AU:AU)=1),
      1,
      "No"
   )
)</f>
        <v>No</v>
      </c>
      <c r="BP104" s="9">
        <f>MROUND((1 + ((0.2*IF(OR(P104="No",Q104="No",Q104=0),0,P104/Q104)
+IF(OR(U104="No",R104="No",S104="No"),0,R104/S104*(LEN(U104)-LEN(SUBSTITUTE(U104,",",""))+1))
+IF(OR(W104="No",X104="No"),0,W104/X104)
+IF(OR(AC104="No",AD104="No"),0,AC104/AD104)
+IF(OR(AK104="No",AH104="No",AI104="No"),0,AH104/AI104*(LEN(AK104)-LEN(SUBSTITUTE(AK104,",",""))+1))
)/(0.2*IF(OR(P104="No",Q104="No",Q104=0),0,1)
+IF(OR(U104="No",R104="No",S104="No"),0,LEN(U104)-LEN(SUBSTITUTE(U104,",",""))+1)
+IF(OR(W104="No",X104="No"),0,1)
+IF(OR(AC104="No",AD104="No"),0,1)
+IF(OR(AK104="No",AH104="No",AI104="No"),0,LEN(AK104)-LEN(SUBSTITUTE(AK104,",",""))+1))*62%)* 2)*(1 + (AO104 + _xlfn.XLOOKUP(B104,'Base stats'!B:B,'Base stats'!AS:AS) * 1.8) * 2) * 2.5 + 10 + H104 * 2,5)+IF(_xlfn.XLOOKUP(B104,'Base stats'!B:B,'Base stats'!AH:AH)=1,50,0)</f>
        <v>185</v>
      </c>
      <c r="BQ104" s="8">
        <f t="shared" si="12"/>
        <v>0.45</v>
      </c>
      <c r="BR104" s="8" t="str">
        <f>_xlfn.XLOOKUP(B104,'Base stats'!B:B,'Base stats'!AD:AD)</f>
        <v>No</v>
      </c>
      <c r="BS104" s="2" t="str">
        <f>IF(AND(I104&lt;=0.95,OR(_xlfn.XLOOKUP(B104,'Base stats'!B:B,'Base stats'!AH:AH)=1,_xlfn.XLOOKUP(B104,'Base stats'!B:B,'Base stats'!Y:Y)="Carnivore",_xlfn.XLOOKUP(B104,'Base stats'!B:B,'Base stats'!Y:Y)="Omnivore",BC104&gt;0.1)),"true","false")</f>
        <v>true</v>
      </c>
      <c r="BT104" s="2" t="str">
        <f>IF(_xlfn.XLOOKUP(B104,'Base stats'!B:B,'Base stats'!AF:AF)=1,"true","false")</f>
        <v>false</v>
      </c>
      <c r="BU104" s="25" t="str">
        <f>IF(E104="BaseInsect","AnimalInsect",
IF(I104&gt;0.95,"AnimalExotic",
_xlfn.TEXTJOIN(", ",TRUE,
IF(AND(_xlfn.XLOOKUP(B104,'Base stats'!B:B,'Base stats'!O:O)=0,_xlfn.XLOOKUP(_xlfn.XLOOKUP(B104,'Base stats'!B:B,'Base stats'!E:E),Groups!A:A,Groups!B:B)&gt;0),"AnimalUncommon","AnimalCommon"),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stats'!AH:AH)=1,AND(BG104&lt;&gt;"None",BP104&gt;=60),ISNUMBER(SEARCH("Attack target",BN104))),"AnimalFighter","")
)))</f>
        <v>AnimalInsect</v>
      </c>
      <c r="BV104" s="25" t="str">
        <f>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</f>
        <v/>
      </c>
      <c r="BW104" s="25" t="str">
        <f>IF(_xlfn.XLOOKUP(B104,'Base stats'!B:B,'Base stats'!AG:AG)=1,"true","false")</f>
        <v>false</v>
      </c>
      <c r="BX104" s="25">
        <f>IF(_xlfn.XLOOKUP(B104,'Base stats'!B:B,'Base stats'!N:N)=1,"No",MIN(MROUND(IF(OR(_xlfn.XLOOKUP(B104,'Base stats'!B:B,'Base stats'!AJ:AJ)=1,AND(BH104="True",CA104="False")),POWER(10,3.47*LOG10(_xlfn.XLOOKUP(B104,'Base stats'!B:B,'Base stats'!C:C)*1000)^-0.96),POWER(10,4.15*LOG10(_xlfn.XLOOKUP(B104,'Base stats'!B:B,'Base stats'!C:C)*1000)^-0.73))*IF(OR(_xlfn.XLOOKUP(B104,'Base stats'!B:B,'Base stats'!AJ:AJ)=1,_xlfn.XLOOKUP(B104,'Base stats'!B:B,'Base stats'!AH:AH)=1),0.5,1)/100,0.025),1))</f>
        <v>0.17500000000000002</v>
      </c>
      <c r="BY104" s="25">
        <f>IF(O104="Standard","No",IF(_xlfn.XLOOKUP(B104,'Base stats'!B:B,'Base stats'!N:N)=0,MROUND(BX104*O104,0.05),MIN(1,MAX(0.025,MROUND(IF(OR(CA104="true",AND(BH104="false",BM104="false")),POWER(10,4.15*LOG10(_xlfn.XLOOKUP(B104,'Base stats'!B:B,'Base stats'!C:C)*1000)^-0.73),POWER(10,3.47*LOG10(_xlfn.XLOOKUP(B104,'Base stats'!B:B,'Base stats'!C:C)*1000)^-0.96))*IF(_xlfn.XLOOKUP(B104,'Base stats'!B:B,'Base stats'!AH:AH)=1,0.5,1)/100,0.025)))))</f>
        <v>0.2</v>
      </c>
      <c r="BZ104" s="25" t="str">
        <f>IF(_xlfn.XLOOKUP(_xlfn.XLOOKUP(B104,'Base stats'!B:B,'Base stats'!E:E),Groups!A:A,Groups!AJ:AJ)="Mammal","True","False")</f>
        <v>False</v>
      </c>
      <c r="CA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B104" s="25" t="str">
        <f t="shared" si="13"/>
        <v>False</v>
      </c>
      <c r="CC104" s="25" t="str">
        <f>IF(_xlfn.XLOOKUP(_xlfn.XLOOKUP(B104,'Base stats'!B:B,'Base stats'!E:E),Groups!A:A,Groups!AW:AW),"True","False")</f>
        <v>False</v>
      </c>
      <c r="CD104" s="25" t="str">
        <f>IF(_xlfn.XLOOKUP(_xlfn.XLOOKUP(B104,'Base stats'!B:B,'Base stats'!E:E),Groups!A:A,Groups!AX:AX),"True","False")</f>
        <v>False</v>
      </c>
      <c r="CE104" s="25" t="str">
        <f>IF(_xlfn.XLOOKUP(B104,'Base stats'!B:B,'Base stats'!E:E)=1,"True","False")</f>
        <v>False</v>
      </c>
      <c r="CF104" s="25" t="str">
        <f>IF(
OR(
_xlfn.XLOOKUP(_xlfn.XLOOKUP(B104,'Base stats'!B:B,'Base stats'!E:E),Groups!A:A,Groups!AY:AY)=0,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stats'!E:E),Groups!A:A,Groups!AY:AY)=1,
"Flesh",
IF(
_xlfn.XLOOKUP(_xlfn.XLOOKUP(B104,'Base stats'!B:B,'Base stats'!E:E),Groups!A:A,Groups!AY:AY)=2,
"Bone",
""
)
)
)</f>
        <v>Bone</v>
      </c>
      <c r="CG104" s="25" t="str">
        <f>IF(_xlfn.XLOOKUP(_xlfn.XLOOKUP(B104,'Base stats'!B:B,'Base stats'!E:E),Groups!A:A,Groups!BA:BA),"True","False")</f>
        <v>False</v>
      </c>
      <c r="CH104" s="25" t="str">
        <f>IF(_xlfn.XLOOKUP(_xlfn.XLOOKUP(B104,'Base stats'!B:B,'Base stats'!E:E),Groups!A:A,Groups!AZ:AZ),"True","False")</f>
        <v>False</v>
      </c>
    </row>
    <row r="105" spans="1:86" ht="16.5" thickTop="1" thickBot="1" x14ac:dyDescent="0.3">
      <c r="A105" s="26" t="str">
        <f>_xlfn.XLOOKUP(B105,'Base stats'!B:B,'Base stats'!A:A)</f>
        <v>Megaspider</v>
      </c>
      <c r="B105" s="6" t="s">
        <v>434</v>
      </c>
      <c r="C105" s="28" t="s">
        <v>798</v>
      </c>
      <c r="D105" s="28" t="s">
        <v>45</v>
      </c>
      <c r="E105" s="28" t="s">
        <v>796</v>
      </c>
      <c r="F105" s="28" t="s">
        <v>797</v>
      </c>
      <c r="G105" s="2">
        <f>MROUND((
  (IF(AND(_xlfn.XLOOKUP(B105,'Base stats'!B:B,'Base stats'!AI:AI)=0,BG105="None",_xlfn.XLOOKUP('Base stats'!E105,Groups!A:A,Groups!B:B)=0), (18 + BP105 * 2.7) * 0.5,
    IF(AND(_xlfn.XLOOKUP(B105,'Base stats'!B:B,'Base stats'!AI:AI)=0,OR(AN105&lt;0.55,AND(BG105="Intermediate",_xlfn.XLOOKUP('Base stats'!E105,Groups!A:A,Groups!B:B)&lt;2))), (18 + BP105 * 2.7),
      IF(OR(BG105="Advanced",_xlfn.XLOOKUP(B105,'Base stats'!B:B,'Base stats'!AI:AI)=1,_xlfn.XLOOKUP('Base stats'!E105,Groups!A:A,Groups!B:B)=2), (18 + BP105 * 2.7) + 250, (18 + BP105 * 2.7))
    )
  ))
  + AN105 * 80
  + IF(COUNTIF(EggMilk!K$2:K$998, A105) &gt; 0, 125, 0)
  + IF(COUNTIF(EggMilk!P$2:P$998, A105) &gt; 0, 90, 0)
  + IF(COUNTIF(EggMilk!A$2:A$998, A105) &gt; 0, 90, 0)
)
* (0.8 + 0.4 * I105)
* 0.75,25)</f>
        <v>1050</v>
      </c>
      <c r="H105" s="2">
        <f>MROUND(ROUNDDOWN(_xlfn.XLOOKUP(B105,'Base stats'!B:B,'Base stats'!L:L)/3.6/(23.3/11),1),0.5)</f>
        <v>2.5</v>
      </c>
      <c r="I105" s="2">
        <f>IF(_xlfn.XLOOKUP(B105,'Base stats'!B:B,'Base stats'!AI:AI)=1,0.99,MIN(MROUND((1-0.6282*EXP(-0.459*AN105))*_xlfn.XLOOKUP(_xlfn.XLOOKUP(B105,'Base stats'!B:B,'Base stats'!E:E),Groups!A:A,Groups!C:C)*IF(_xlfn.XLOOKUP(B105,'Base stats'!B:B,'Base stats'!O:O)=1,0.5,IF(_xlfn.XLOOKUP(B105,'Base stats'!B:B,'Base stats'!O:O)=2,0,1)),0.05),0.985))</f>
        <v>0.85000000000000009</v>
      </c>
      <c r="J105" s="2">
        <f>ROUNDUP(AN105*_xlfn.XLOOKUP(_xlfn.XLOOKUP(B105,'Base stats'!B:B,'Base stats'!E:E),Groups!A:A,Groups!E:E),0)</f>
        <v>3</v>
      </c>
      <c r="K105" s="2">
        <f>IF(OR(_xlfn.XLOOKUP(_xlfn.XLOOKUP(B105,'Base stats'!B:B,'Base stats'!E:E),Groups!A:A,Groups!F:F)=2,ISNUMBER(SEARCH("SeaIce",BV105)),ISNUMBER(SEARCH("IceSheet",BV105))),-50,IF(OR(ISNUMBER(SEARCH("GlacialPlain",BV105)),ISNUMBER(SEARCH("Tundra",BV105))),-40,IF(OR(ISNUMBER(SEARCH("Alpine",BV105)),ISNUMBER(SEARCH("BorealForest",BV105)),ISNUMBER(SEARCH("ColdBog",BV105))),-30,IF(OR(ISNUMBER(SEARCH("TemperateForest",BV105)),ISNUMBER(SEARCH("TemperateSwamp",BV105))),-20,IF(_xlfn.XLOOKUP(_xlfn.XLOOKUP(B105,'Base stats'!B:B,'Base stats'!E:E),Groups!A:A,Groups!F:F)=1,-15,IF(OR(ISNUMBER(SEARCH("Desert",BV105)),ISNUMBER(SEARCH("ExtremeDesert",BV105))),-10,IF(OR(ISNUMBER(SEARCH("Grasslands",BV105)),ISNUMBER(SEARCH("TropicalRainforest",BV105)),ISNUMBER(SEARCH("TropicalSwamp",BV105))),10,0)))))))-IF(CA105="False",MIN(IFERROR(MAX(MROUND(LOG10(_xlfn.XLOOKUP(B105,'Base stats'!B:B,'Base stats'!C:C)^(2/3))*10,5),5),5),30))-_xlfn.XLOOKUP(B105,'Base stats'!B:B,'Base stats'!P:P)+IF(CA105="True",5,0)</f>
        <v>5</v>
      </c>
      <c r="L105" s="2">
        <f>IF(OR(_xlfn.XLOOKUP(_xlfn.XLOOKUP(B105,'Base stats'!B:B,'Base stats'!E:E),Groups!A:A,Groups!G:G)=2,ISNUMBER(SEARCH("Desert",BV105)),ISNUMBER(SEARCH("ExtremeDesert",BV105)),ISNUMBER(SEARCH("LavaField",BV105))),50,IF(ISNUMBER(SEARCH("Grasslands",BV105)),45,IF(OR(_xlfn.XLOOKUP(_xlfn.XLOOKUP(B105,'Base stats'!B:B,'Base stats'!E:E),Groups!A:A,Groups!G:G)=1,ISNUMBER(SEARCH("TropicalRainforest",BV105)),ISNUMBER(SEARCH("TropicalSwamp",BV105))),40,IF(OR(ISNUMBER(SEARCH("TemperateForest",BV105)),ISNUMBER(SEARCH("TemperateSwamp",BV105))),35,IF(OR(ISNUMBER(SEARCH("Alpine",BV105)),ISNUMBER(SEARCH("BorealForest",BV105)),ISNUMBER(SEARCH("ColdBog",BV105))),30,IF(ISNUMBER(OR(ISNUMBER(SEARCH("GlacialPlain",BV105)),SEARCH("Tundra",BV105))),25,IF(OR(ISNUMBER(SEARCH("SeaIce",BV105)),ISNUMBER(SEARCH("IceSheet",BV105)),ISNUMBER(SEARCH("TropicalSwamp",BV105))),10,35)))))))+_xlfn.XLOOKUP(B105,'Base stats'!B:B,'Base stats'!Q:Q)</f>
        <v>50</v>
      </c>
      <c r="M105" s="8">
        <f>IF(_xlfn.XLOOKUP(_xlfn.XLOOKUP(B105,'Base stats'!B:B,'Base stats'!E:E),Groups!A:A,Groups!L:L)=1,MIN(MROUND(_xlfn.XLOOKUP(B105,'Animals CE'!B:B,'Animals CE'!Z:Z)/2+0.05,0.05),200%),"No")</f>
        <v>0.9</v>
      </c>
      <c r="N105" s="8">
        <f>IF(_xlfn.XLOOKUP(_xlfn.XLOOKUP(B105,'Base stats'!B:B,'Base stats'!E:E),Groups!A:A,Groups!L:L)=1,MIN(MROUND(_xlfn.XLOOKUP(B105,'Animals CE'!B:B,'Animals CE'!AA:AA)/2+0.05,0.05),200%),"No")</f>
        <v>0.1</v>
      </c>
      <c r="O105" s="2">
        <f>_xlfn.XLOOKUP(B105,'Base stats'!B:B,'Base stats'!R:R)</f>
        <v>1</v>
      </c>
      <c r="P105" s="13">
        <f>MROUND((LOG10(_xlfn.XLOOKUP(B105,'Base stats'!B:B,'Base stats'!AO:AO))*(AN105^0.5)+(_xlfn.XLOOKUP(B105,'Base stats'!B:B,'Base stats'!AO:AO)/1000)^(2/3)+_xlfn.XLOOKUP(B105,'Base stats'!B:B,'Base stats'!AX:AX)/2)+0.5,0.5)</f>
        <v>13</v>
      </c>
      <c r="Q105" s="7">
        <f>IF(P105="No","No",MAX(1,MROUND(_xlfn.XLOOKUP(B105,'Base stats'!B:B,'Base stats'!C:C)^0.165,0.05)))</f>
        <v>2.5500000000000003</v>
      </c>
      <c r="R105" s="13" t="str">
        <f>IF(_xlfn.XLOOKUP(_xlfn.XLOOKUP(B105,'Base stats'!B:B,'Base stats'!E:E),Groups!A:A,Groups!P:P)=0,"No",MROUND((LOG10(_xlfn.XLOOKUP(B105,'Base stats'!B:B,'Base stats'!AP:AP))*(AN105^0.5)+(_xlfn.XLOOKUP(B105,'Base stats'!B:B,'Base stats'!AP:AP)/1000)^(2/3)+_xlfn.XLOOKUP(B105,'Base stats'!B:B,'Base stats'!AX:AX))+_xlfn.XLOOKUP(B105,'Base stats'!B:B,'Base stats'!AV:AV)+0.5,0.5))</f>
        <v>No</v>
      </c>
      <c r="S105" s="7" t="str">
        <f>IF(R105="No","No",MAX(_xlfn.XLOOKUP(_xlfn.XLOOKUP(B105,'Base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T105" s="7" t="str">
        <f>IF(R105="No","No",_xlfn.XLOOKUP(_xlfn.XLOOKUP(B105,'Base stats'!B:B,'Base stats'!E:E),Groups!A:A,Groups!R:R))</f>
        <v>No</v>
      </c>
      <c r="U105" s="7" t="str">
        <f>IF(R105="No","No",_xlfn.XLOOKUP(_xlfn.XLOOKUP(B105,'Base stats'!B:B,'Base stats'!E:E),Groups!A:A,Groups!S:S))</f>
        <v>No</v>
      </c>
      <c r="V105" s="7" t="str">
        <f>IF(R105="No","No",_xlfn.XLOOKUP(_xlfn.XLOOKUP(B105,'Base stats'!B:B,'Base stats'!E:E),Groups!A:A,Groups!T:T))</f>
        <v>No</v>
      </c>
      <c r="W105" s="13" t="str">
        <f>IF(_xlfn.XLOOKUP(B105,'Base stats'!B:B,'Base stats'!W:W)="No","No",MROUND((LOG10(_xlfn.XLOOKUP(B105,'Base stats'!B:B,'Base stats'!AR:AR))*(AN105^0.5)+(_xlfn.XLOOKUP(B105,'Base stats'!B:B,'Base stats'!AR:AR)/1000)^(2/3)+_xlfn.XLOOKUP(B105,'Base stats'!B:B,'Base stats'!AW:AW))+0.5+IF(_xlfn.XLOOKUP(_xlfn.XLOOKUP(B105,'Base stats'!B:B,'Base stats'!E:E),Groups!A:A,Groups!U:U)&lt;&gt;3,_xlfn.XLOOKUP(B105,'Base stats'!B:B,'Base stats'!AX:AX),0),0.5))</f>
        <v>No</v>
      </c>
      <c r="X105" s="7" t="str">
        <f>IF(W105="No","No",MAX(_xlfn.XLOOKUP(_xlfn.XLOOKUP(B105,'Base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Y105" s="7" t="str">
        <f>IF(W105="No","No",_xlfn.XLOOKUP(_xlfn.XLOOKUP(B105,'Base stats'!B:B,'Base stats'!E:E),Groups!A:A,Groups!W:W))</f>
        <v>No</v>
      </c>
      <c r="Z105" s="7" t="str">
        <f>IF(W105="No","No",_xlfn.XLOOKUP(_xlfn.XLOOKUP(B105,'Base stats'!B:B,'Base stats'!E:E),Groups!A:A,Groups!X:X))</f>
        <v>No</v>
      </c>
      <c r="AA105" s="7" t="str">
        <f>IF(W105="No","No",_xlfn.XLOOKUP(_xlfn.XLOOKUP(B105,'Base stats'!B:B,'Base stats'!E:E),Groups!A:A,Groups!Y:Y))</f>
        <v>No</v>
      </c>
      <c r="AB105" s="7" t="str">
        <f>_xlfn.XLOOKUP(Animals!B105,'Base stats'!B:B,'Base stats'!X:X)</f>
        <v>False</v>
      </c>
      <c r="AC105" s="13">
        <f>IF(_xlfn.XLOOKUP(B105,'Base stats'!B:B,'Base stats'!AQ:AQ)="No","No",MROUND((LOG10(_xlfn.XLOOKUP(B105,'Base stats'!B:B,'Base stats'!AQ:AQ))*(AN105^0.75)+(_xlfn.XLOOKUP(B105,'Base stats'!B:B,'Base stats'!AQ:AQ)/1000)^(2/3)+_xlfn.XLOOKUP(B105,'Base stats'!B:B,'Base stats'!AU:AU)+_xlfn.XLOOKUP(B105,'Base stats'!B:B,'Base stats'!AX:AX))+0.5,0.5))</f>
        <v>37.5</v>
      </c>
      <c r="AD105" s="7">
        <f>IF(AC105="No","No",MAX(_xlfn.XLOOKUP(_xlfn.XLOOKUP(B105,'Base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E105" s="7" t="str">
        <f>IF(AC105="No","No",_xlfn.XLOOKUP(_xlfn.XLOOKUP(B105,'Base stats'!B:B,'Base stats'!E:E),Groups!A:A,Groups!AA:AA))</f>
        <v>Mouth</v>
      </c>
      <c r="AF105" s="7" t="str">
        <f>IF(AC105="No","No",_xlfn.XLOOKUP(_xlfn.XLOOKUP(B105,'Base stats'!B:B,'Base stats'!E:E),Groups!A:A,Groups!AB:AB))</f>
        <v>mandibles</v>
      </c>
      <c r="AG105" s="7" t="str">
        <f>IF(AC105="No","No",_xlfn.XLOOKUP(_xlfn.XLOOKUP(B105,'Base stats'!B:B,'Base stats'!E:E),Groups!A:A,Groups!AC:AC))</f>
        <v>Bite</v>
      </c>
      <c r="AH105" s="13">
        <f>IF(_xlfn.XLOOKUP(_xlfn.XLOOKUP(B105,'Base stats'!B:B,'Base stats'!E:E),Groups!A:A,Groups!AD:AD)=0,"No",MROUND((LOG10(_xlfn.XLOOKUP(B105,'Base stats'!B:B,'Base stats'!AP:AP))*(AN105^0.75)+(_xlfn.XLOOKUP(B105,'Base stats'!B:B,'Base stats'!AP:AP)/1000)^(2/3)+_xlfn.XLOOKUP(B105,'Base stats'!B:B,'Base stats'!AV:AV)+_xlfn.XLOOKUP(B105,'Base stats'!B:B,'Base stats'!AX:AX))+0.5,0.5))</f>
        <v>31.5</v>
      </c>
      <c r="AI105" s="7">
        <f>IF(AH105="No","No",MAX(_xlfn.XLOOKUP(_xlfn.XLOOKUP(B105,'Base stats'!B:B,'Base stats'!E:E),Groups!A:A,Groups!AE:AE),MROUND(_xlfn.XLOOKUP(_xlfn.XLOOKUP(B105,'Base stats'!B:B,'Base stats'!E:E),Groups!A:A,Groups!AE:AE)*_xlfn.XLOOKUP(B105,'Base stats'!B:B,'Base stats'!C:C)^0.165,0.05)))</f>
        <v>2.8000000000000003</v>
      </c>
      <c r="AJ105" s="7" t="str">
        <f>IF(AH105="No","No",_xlfn.XLOOKUP(_xlfn.XLOOKUP(B105,'Base stats'!B:B,'Base stats'!E:E),Groups!A:A,Groups!AF:AF))</f>
        <v>HeadClaw</v>
      </c>
      <c r="AK105" s="7" t="str">
        <f>IF(AH105="No","No",_xlfn.XLOOKUP(_xlfn.XLOOKUP(B105,'Base stats'!B:B,'Base stats'!E:E),Groups!A:A,Groups!AG:AG))</f>
        <v>head claw</v>
      </c>
      <c r="AL105" s="7" t="str">
        <f>IF(AH105="No","No",_xlfn.XLOOKUP(_xlfn.XLOOKUP(B105,'Base stats'!B:B,'Base stats'!E:E),Groups!A:A,Groups!AH:AH))</f>
        <v>Scratch</v>
      </c>
      <c r="AM105" s="2">
        <f t="shared" si="7"/>
        <v>25</v>
      </c>
      <c r="AN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O105" s="8">
        <f>MROUND(AN105*_xlfn.XLOOKUP(_xlfn.XLOOKUP(B105,'Base stats'!B:B,'Base stats'!E:E),Groups!A:A,Groups!AI:AI),0.05)</f>
        <v>2.25</v>
      </c>
      <c r="AP105" s="8">
        <f>MAX(0.01,MROUND(IF(CA105="True",0.196*(AN105*100*1000)^0.889,IF(_xlfn.XLOOKUP(_xlfn.XLOOKUP(B105,'Base stats'!B:B,'Base stats'!E:E),Groups!A:A,Groups!AJ:AJ)="Bird",10.5*(AN105*100*1000)^0.681,4.82*(AN105*100*1000)^0.734))/(4.82*(1*100*1000)^0.734)/IF(AN105&lt;3.5,2,IF(AN105=3.5,1.5,1.25))*(1+0.132282374779864/(AN105^0.994035016789033+0.00905238001496948)),0.05))</f>
        <v>0.25</v>
      </c>
      <c r="AQ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R105" s="35" t="str">
        <f>IFERROR(IF(_xlfn.XLOOKUP(B105,'Base stats'!B:B,'Base stats'!F:F)="Lay eggs","Lay eggs",MIN(20,MAX(5.5,ROUND(((_xlfn.XLOOKUP(B105,'Base stats'!B:B,'Base stats'!F:F)-25)*(14.5/615) + 5.5)*2,0)/2))),"Cannot breed")</f>
        <v>Lay eggs</v>
      </c>
      <c r="AS105" s="8">
        <f>IF(OR(A105="Queen",A105="Larva",A105="Megachicken"),"No",IFERROR(MAX(IF(_xlfn.XLOOKUP(B105,'Base stats'!B:B,'Base stats'!G:G)&lt;0.5,0.2,0.3),MROUND(_xlfn.XLOOKUP(B105,'Base stats'!B:B,'Base stats'!G:G)/(365/60),0.2)),"Unknown"))</f>
        <v>0.4</v>
      </c>
      <c r="AT105" s="8">
        <f t="shared" si="8"/>
        <v>0.2</v>
      </c>
      <c r="AU105" s="8" t="str">
        <f>IFERROR(IFERROR(MROUND(_xlfn.XLOOKUP(B105,'Base stats'!B:B,'Base stats'!J:J),0.1),"Lay eggs"),"Cannot breed")</f>
        <v>Lay eggs</v>
      </c>
      <c r="AV105" s="2" t="str">
        <f t="shared" si="9"/>
        <v>false</v>
      </c>
      <c r="AW105" s="2" t="str">
        <f>IF(_xlfn.XLOOKUP(_xlfn.XLOOKUP(Animals!B105,'Base stats'!B:B,'Base stats'!E:E),Groups!A:A,Groups!AK:AK)=1,"true","false")</f>
        <v>false</v>
      </c>
      <c r="AX105" s="25" t="str">
        <f>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</f>
        <v>OmnivoreAnimal, OvivoreAnimal</v>
      </c>
      <c r="AY105" s="2" t="str">
        <f>IF(_xlfn.XLOOKUP(_xlfn.XLOOKUP(B105,'Base stats'!B:B,'Base stats'!E:E),Groups!A:A,Groups!D:D)=1,MROUND((1-I105)*5+1,2)*IF(I105&lt;=0.4,2,1),"No")</f>
        <v>No</v>
      </c>
      <c r="AZ105" s="2" t="str">
        <f>_xlfn.XLOOKUP(B105,'Base stats'!B:B,'Base stats'!AE:AE)</f>
        <v>No</v>
      </c>
      <c r="BA105" s="23" t="str">
        <f>_xlfn.XLOOKUP(_xlfn.XLOOKUP(B105,'Base stats'!B:B,'Base stats'!E:E),Groups!A:A,Groups!AL:AL)</f>
        <v>BeetleLikeWithClaw</v>
      </c>
      <c r="BB105" s="23">
        <f>MROUND(IF(AND(AN105&lt;0.5,_xlfn.XLOOKUP(B105,'Base stats'!B:B,'Base stats'!Z:Z)=0),0,IF(OR(_xlfn.XLOOKUP(Animals!B105,'Base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stats'!AA:AA),0.005)</f>
        <v>1</v>
      </c>
      <c r="BC105" s="23">
        <f>MROUND(IF(AND(AN105&lt;0.5,_xlfn.XLOOKUP(B105,'Base stats'!B:B,'Base stats'!Z:Z)=0),0,IF(_xlfn.XLOOKUP(_xlfn.XLOOKUP(B105,'Base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stats'!AB:AB),0.005)</f>
        <v>1</v>
      </c>
      <c r="BD105" s="2" t="str">
        <f>IF(I105&gt;0.3,"No",_xlfn.XLOOKUP(_xlfn.XLOOKUP(Animals!B105,'Base stats'!B:B,'Base stats'!E:E),Groups!A:A,Groups!AP:AP))</f>
        <v>No</v>
      </c>
      <c r="BE105" s="2" t="str">
        <f>IF(AND(I105&lt;=0.65,_xlfn.XLOOKUP(_xlfn.XLOOKUP(Animals!B105,'Base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stats'!O:O)=2,0.2,AN105) + 24*(1-IF(BD105="No",0,BD105)) + 16/3, 12),"No")</f>
        <v>No</v>
      </c>
      <c r="BF105" s="2">
        <f>IF(AND(_xlfn.XLOOKUP(_xlfn.XLOOKUP(B105,'Base stats'!B:B,'Base stats'!E:E),Groups!A:A,Groups!AQ:AQ)=1,AN105&lt;=0.35),8,12)</f>
        <v>12</v>
      </c>
      <c r="BG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H105" s="2" t="str">
        <f>IF(AND(_xlfn.XLOOKUP(_xlfn.XLOOKUP(B105,'Base stats'!B:B,'Base stats'!E:E),Groups!A:A,Groups!AS:AS)=1,OR('Base stats'!Y105="Carnivore",'Base stats'!Y105="Omnivore")),"true","false")</f>
        <v>true</v>
      </c>
      <c r="BI105" s="2">
        <f>IF(BH105="true",MROUND(IF(AND(AN105&gt;0.5,_xlfn.XLOOKUP(_xlfn.XLOOKUP(B105,'Base stats'!B:B,'Base stats'!E:E),Groups!A:A,Groups!AJ:AJ)="Mammal"),Animals!AN105*1.75*IF(AV105="true",1.5,1),Animals!AN105),IF(AN105&gt;2,0.5,IF(AN105&gt;0.5,0.25,0.1))),"No")</f>
        <v>2.5</v>
      </c>
      <c r="BJ105" s="2">
        <f t="shared" si="10"/>
        <v>1</v>
      </c>
      <c r="BK105" s="25" t="str">
        <f>IF('Base stats'!AK105="Standard","No",MROUND((_xlfn.XLOOKUP(B105,'Base stats'!B:B,'Base stats'!AK:AK)/3.6)/H105,0.1))</f>
        <v>No</v>
      </c>
      <c r="BL105" s="25" t="str">
        <f t="shared" si="11"/>
        <v>false</v>
      </c>
      <c r="BM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N105" s="25" t="str" cm="1">
        <f t="array" ref="BN105">IF(
  _xlfn.TEXTJOIN(", ",TRUE,
    IF(AND(BH105="true",AN105&gt;0.5,BG105&lt;&gt;"None"),"AttackTarget",""),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IF(BE105&lt;=36,"Comfort",""),
    IF(_xlfn.XLOOKUP(B105,'Base stats'!B:B,'Base stats'!AC:AC)&lt;&gt;"No",_xlfn.XLOOKUP(B105,'Base stats'!B:B,'Base stats'!AC:AC),"")
  ) = "",
  "No",
  _xlfn.TEXTJOIN(", ",TRUE,
    IF(AND(BH105="true",AN105&gt;0.5,BG105&lt;&gt;"None"),"AttackTarget",""),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IF(BE105&lt;=36,"Comfort",""),
    IF(_xlfn.XLOOKUP(B105,'Base stats'!B:B,'Base stats'!AC:AC)&lt;&gt;"No",_xlfn.XLOOKUP(B105,'Base stats'!B:B,'Base stats'!AC:AC),"")
  )
)</f>
        <v>AttackTarget, AttackTarget</v>
      </c>
      <c r="BO105" s="25" t="str">
        <f>IF(
   AND(
      'Base stats'!AK105="Standard",_xlfn.XLOOKUP(_xlfn.XLOOKUP(B105,'Base stats'!B:B,'Base stats'!E:E),Groups!A:A,Groups!AU:AU)=0,
      OR(
      BM105="True"
      )
   ),
   10,
   IF(
       OR(BK105&lt;&gt;"No",_xlfn.XLOOKUP(_xlfn.XLOOKUP(B105,'Base stats'!B:B,'Base stats'!E:E),Groups!A:A,Groups!AU:AU)=1),
      1,
      "No"
   )
)</f>
        <v>No</v>
      </c>
      <c r="BP105" s="9">
        <f>MROUND((1 + ((0.2*IF(OR(P105="No",Q105="No",Q105=0),0,P105/Q105)
+IF(OR(U105="No",R105="No",S105="No"),0,R105/S105*(LEN(U105)-LEN(SUBSTITUTE(U105,",",""))+1))
+IF(OR(W105="No",X105="No"),0,W105/X105)
+IF(OR(AC105="No",AD105="No"),0,AC105/AD105)
+IF(OR(AK105="No",AH105="No",AI105="No"),0,AH105/AI105*(LEN(AK105)-LEN(SUBSTITUTE(AK105,",",""))+1))
)/(0.2*IF(OR(P105="No",Q105="No",Q105=0),0,1)
+IF(OR(U105="No",R105="No",S105="No"),0,LEN(U105)-LEN(SUBSTITUTE(U105,",",""))+1)
+IF(OR(W105="No",X105="No"),0,1)
+IF(OR(AC105="No",AD105="No"),0,1)
+IF(OR(AK105="No",AH105="No",AI105="No"),0,LEN(AK105)-LEN(SUBSTITUTE(AK105,",",""))+1))*62%)* 2)*(1 + (AO105 + _xlfn.XLOOKUP(B105,'Base stats'!B:B,'Base stats'!AS:AS) * 1.8) * 2) * 2.5 + 10 + H105 * 2,5)+IF(_xlfn.XLOOKUP(B105,'Base stats'!B:B,'Base stats'!AH:AH)=1,50,0)</f>
        <v>285</v>
      </c>
      <c r="BQ105" s="8">
        <f t="shared" si="12"/>
        <v>0.65</v>
      </c>
      <c r="BR105" s="8" t="str">
        <f>_xlfn.XLOOKUP(B105,'Base stats'!B:B,'Base stats'!AD:AD)</f>
        <v>No</v>
      </c>
      <c r="BS105" s="2" t="str">
        <f>IF(AND(I105&lt;=0.95,OR(_xlfn.XLOOKUP(B105,'Base stats'!B:B,'Base stats'!AH:AH)=1,_xlfn.XLOOKUP(B105,'Base stats'!B:B,'Base stats'!Y:Y)="Carnivore",_xlfn.XLOOKUP(B105,'Base stats'!B:B,'Base stats'!Y:Y)="Omnivore",BC105&gt;0.1)),"true","false")</f>
        <v>true</v>
      </c>
      <c r="BT105" s="2" t="str">
        <f>IF(_xlfn.XLOOKUP(B105,'Base stats'!B:B,'Base stats'!AF:AF)=1,"true","false")</f>
        <v>false</v>
      </c>
      <c r="BU105" s="25" t="str">
        <f>IF(E105="BaseInsect","AnimalInsect",
IF(I105&gt;0.95,"AnimalExotic",
_xlfn.TEXTJOIN(", ",TRUE,
IF(AND(_xlfn.XLOOKUP(B105,'Base stats'!B:B,'Base stats'!O:O)=0,_xlfn.XLOOKUP(_xlfn.XLOOKUP(B105,'Base stats'!B:B,'Base stats'!E:E),Groups!A:A,Groups!B:B)&gt;0),"AnimalUncommon","AnimalCommon"),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stats'!AH:AH)=1,AND(BG105&lt;&gt;"None",BP105&gt;=60),ISNUMBER(SEARCH("Attack target",BN105))),"AnimalFighter","")
)))</f>
        <v>AnimalInsect</v>
      </c>
      <c r="BV105" s="25" t="str">
        <f>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</f>
        <v/>
      </c>
      <c r="BW105" s="25" t="str">
        <f>IF(_xlfn.XLOOKUP(B105,'Base stats'!B:B,'Base stats'!AG:AG)=1,"true","false")</f>
        <v>false</v>
      </c>
      <c r="BX105" s="25">
        <f>IF(_xlfn.XLOOKUP(B105,'Base stats'!B:B,'Base stats'!N:N)=1,"No",MIN(MROUND(IF(OR(_xlfn.XLOOKUP(B105,'Base stats'!B:B,'Base stats'!AJ:AJ)=1,AND(BH105="True",CA105="False")),POWER(10,3.47*LOG10(_xlfn.XLOOKUP(B105,'Base stats'!B:B,'Base stats'!C:C)*1000)^-0.96),POWER(10,4.15*LOG10(_xlfn.XLOOKUP(B105,'Base stats'!B:B,'Base stats'!C:C)*1000)^-0.73))*IF(OR(_xlfn.XLOOKUP(B105,'Base stats'!B:B,'Base stats'!AJ:AJ)=1,_xlfn.XLOOKUP(B105,'Base stats'!B:B,'Base stats'!AH:AH)=1),0.5,1)/100,0.025),1))</f>
        <v>0.15000000000000002</v>
      </c>
      <c r="BY105" s="25">
        <f>IF(O105="Standard","No",IF(_xlfn.XLOOKUP(B105,'Base stats'!B:B,'Base stats'!N:N)=0,MROUND(BX105*O105,0.05),MIN(1,MAX(0.025,MROUND(IF(OR(CA105="true",AND(BH105="false",BM105="false")),POWER(10,4.15*LOG10(_xlfn.XLOOKUP(B105,'Base stats'!B:B,'Base stats'!C:C)*1000)^-0.73),POWER(10,3.47*LOG10(_xlfn.XLOOKUP(B105,'Base stats'!B:B,'Base stats'!C:C)*1000)^-0.96))*IF(_xlfn.XLOOKUP(B105,'Base stats'!B:B,'Base stats'!AH:AH)=1,0.5,1)/100,0.025)))))</f>
        <v>0.15000000000000002</v>
      </c>
      <c r="BZ105" s="25" t="str">
        <f>IF(_xlfn.XLOOKUP(_xlfn.XLOOKUP(B105,'Base stats'!B:B,'Base stats'!E:E),Groups!A:A,Groups!AJ:AJ)="Mammal","True","False")</f>
        <v>False</v>
      </c>
      <c r="CA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B105" s="25" t="str">
        <f t="shared" si="13"/>
        <v>False</v>
      </c>
      <c r="CC105" s="25" t="str">
        <f>IF(_xlfn.XLOOKUP(_xlfn.XLOOKUP(B105,'Base stats'!B:B,'Base stats'!E:E),Groups!A:A,Groups!AW:AW),"True","False")</f>
        <v>False</v>
      </c>
      <c r="CD105" s="25" t="str">
        <f>IF(_xlfn.XLOOKUP(_xlfn.XLOOKUP(B105,'Base stats'!B:B,'Base stats'!E:E),Groups!A:A,Groups!AX:AX),"True","False")</f>
        <v>False</v>
      </c>
      <c r="CE105" s="25" t="str">
        <f>IF(_xlfn.XLOOKUP(B105,'Base stats'!B:B,'Base stats'!E:E)=1,"True","False")</f>
        <v>False</v>
      </c>
      <c r="CF105" s="25" t="str">
        <f>IF(
OR(
_xlfn.XLOOKUP(_xlfn.XLOOKUP(B105,'Base stats'!B:B,'Base stats'!E:E),Groups!A:A,Groups!AY:AY)=0,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stats'!E:E),Groups!A:A,Groups!AY:AY)=1,
"Flesh",
IF(
_xlfn.XLOOKUP(_xlfn.XLOOKUP(B105,'Base stats'!B:B,'Base stats'!E:E),Groups!A:A,Groups!AY:AY)=2,
"Bone",
""
)
)
)</f>
        <v>Bone</v>
      </c>
      <c r="CG105" s="25" t="str">
        <f>IF(_xlfn.XLOOKUP(_xlfn.XLOOKUP(B105,'Base stats'!B:B,'Base stats'!E:E),Groups!A:A,Groups!BA:BA),"True","False")</f>
        <v>False</v>
      </c>
      <c r="CH105" s="25" t="str">
        <f>IF(_xlfn.XLOOKUP(_xlfn.XLOOKUP(B105,'Base stats'!B:B,'Base stats'!E:E),Groups!A:A,Groups!AZ:AZ),"True","False")</f>
        <v>False</v>
      </c>
    </row>
    <row r="106" spans="1:86" ht="16.5" thickTop="1" thickBot="1" x14ac:dyDescent="0.3">
      <c r="A106" s="26" t="str">
        <f>_xlfn.XLOOKUP(B106,'Base stats'!B:B,'Base stats'!A:A)</f>
        <v>Queen</v>
      </c>
      <c r="B106" s="6" t="s">
        <v>435</v>
      </c>
      <c r="C106" s="28" t="s">
        <v>799</v>
      </c>
      <c r="D106" s="28" t="s">
        <v>882</v>
      </c>
      <c r="E106" s="28" t="s">
        <v>796</v>
      </c>
      <c r="F106" s="28" t="s">
        <v>797</v>
      </c>
      <c r="G106" s="2">
        <f>MROUND((
  (IF(AND(_xlfn.XLOOKUP(B106,'Base stats'!B:B,'Base stats'!AI:AI)=0,BG106="None",_xlfn.XLOOKUP('Base stats'!E106,Groups!A:A,Groups!B:B)=0), (18 + BP106 * 2.7) * 0.5,
    IF(AND(_xlfn.XLOOKUP(B106,'Base stats'!B:B,'Base stats'!AI:AI)=0,OR(AN106&lt;0.55,AND(BG106="Intermediate",_xlfn.XLOOKUP('Base stats'!E106,Groups!A:A,Groups!B:B)&lt;2))), (18 + BP106 * 2.7),
      IF(OR(BG106="Advanced",_xlfn.XLOOKUP(B106,'Base stats'!B:B,'Base stats'!AI:AI)=1,_xlfn.XLOOKUP('Base stats'!E106,Groups!A:A,Groups!B:B)=2), (18 + BP106 * 2.7) + 250, (18 + BP106 * 2.7))
    )
  ))
  + AN106 * 80
  + IF(COUNTIF(EggMilk!K$2:K$998, A106) &gt; 0, 125, 0)
  + IF(COUNTIF(EggMilk!P$2:P$998, A106) &gt; 0, 90, 0)
  + IF(COUNTIF(EggMilk!A$2:A$998, A106) &gt; 0, 90, 0)
)
* (0.8 + 0.4 * I106)
* 0.75,25)</f>
        <v>3150</v>
      </c>
      <c r="H106" s="2">
        <f>MROUND(ROUNDDOWN(_xlfn.XLOOKUP(B106,'Base stats'!B:B,'Base stats'!L:L)/3.6/(23.3/11),1),0.5)</f>
        <v>2</v>
      </c>
      <c r="I106" s="2">
        <f>IF(_xlfn.XLOOKUP(B106,'Base stats'!B:B,'Base stats'!AI:AI)=1,0.99,MIN(MROUND((1-0.6282*EXP(-0.459*AN106))*_xlfn.XLOOKUP(_xlfn.XLOOKUP(B106,'Base stats'!B:B,'Base stats'!E:E),Groups!A:A,Groups!C:C)*IF(_xlfn.XLOOKUP(B106,'Base stats'!B:B,'Base stats'!O:O)=1,0.5,IF(_xlfn.XLOOKUP(B106,'Base stats'!B:B,'Base stats'!O:O)=2,0,1)),0.05),0.985))</f>
        <v>0.99</v>
      </c>
      <c r="J106" s="2">
        <f>ROUNDUP(AN106*_xlfn.XLOOKUP(_xlfn.XLOOKUP(B106,'Base stats'!B:B,'Base stats'!E:E),Groups!A:A,Groups!E:E),0)</f>
        <v>6</v>
      </c>
      <c r="K106" s="2">
        <f>IF(OR(_xlfn.XLOOKUP(_xlfn.XLOOKUP(B106,'Base stats'!B:B,'Base stats'!E:E),Groups!A:A,Groups!F:F)=2,ISNUMBER(SEARCH("SeaIce",BV106)),ISNUMBER(SEARCH("IceSheet",BV106))),-50,IF(OR(ISNUMBER(SEARCH("GlacialPlain",BV106)),ISNUMBER(SEARCH("Tundra",BV106))),-40,IF(OR(ISNUMBER(SEARCH("Alpine",BV106)),ISNUMBER(SEARCH("BorealForest",BV106)),ISNUMBER(SEARCH("ColdBog",BV106))),-30,IF(OR(ISNUMBER(SEARCH("TemperateForest",BV106)),ISNUMBER(SEARCH("TemperateSwamp",BV106))),-20,IF(_xlfn.XLOOKUP(_xlfn.XLOOKUP(B106,'Base stats'!B:B,'Base stats'!E:E),Groups!A:A,Groups!F:F)=1,-15,IF(OR(ISNUMBER(SEARCH("Desert",BV106)),ISNUMBER(SEARCH("ExtremeDesert",BV106))),-10,IF(OR(ISNUMBER(SEARCH("Grasslands",BV106)),ISNUMBER(SEARCH("TropicalRainforest",BV106)),ISNUMBER(SEARCH("TropicalSwamp",BV106))),10,0)))))))-IF(CA106="False",MIN(IFERROR(MAX(MROUND(LOG10(_xlfn.XLOOKUP(B106,'Base stats'!B:B,'Base stats'!C:C)^(2/3))*10,5),5),5),30))-_xlfn.XLOOKUP(B106,'Base stats'!B:B,'Base stats'!P:P)+IF(CA106="True",5,0)</f>
        <v>5</v>
      </c>
      <c r="L106" s="2">
        <f>IF(OR(_xlfn.XLOOKUP(_xlfn.XLOOKUP(B106,'Base stats'!B:B,'Base stats'!E:E),Groups!A:A,Groups!G:G)=2,ISNUMBER(SEARCH("Desert",BV106)),ISNUMBER(SEARCH("ExtremeDesert",BV106)),ISNUMBER(SEARCH("LavaField",BV106))),50,IF(ISNUMBER(SEARCH("Grasslands",BV106)),45,IF(OR(_xlfn.XLOOKUP(_xlfn.XLOOKUP(B106,'Base stats'!B:B,'Base stats'!E:E),Groups!A:A,Groups!G:G)=1,ISNUMBER(SEARCH("TropicalRainforest",BV106)),ISNUMBER(SEARCH("TropicalSwamp",BV106))),40,IF(OR(ISNUMBER(SEARCH("TemperateForest",BV106)),ISNUMBER(SEARCH("TemperateSwamp",BV106))),35,IF(OR(ISNUMBER(SEARCH("Alpine",BV106)),ISNUMBER(SEARCH("BorealForest",BV106)),ISNUMBER(SEARCH("ColdBog",BV106))),30,IF(ISNUMBER(OR(ISNUMBER(SEARCH("GlacialPlain",BV106)),SEARCH("Tundra",BV106))),25,IF(OR(ISNUMBER(SEARCH("SeaIce",BV106)),ISNUMBER(SEARCH("IceSheet",BV106)),ISNUMBER(SEARCH("TropicalSwamp",BV106))),10,35)))))))+_xlfn.XLOOKUP(B106,'Base stats'!B:B,'Base stats'!Q:Q)</f>
        <v>50</v>
      </c>
      <c r="M106" s="8">
        <f>IF(_xlfn.XLOOKUP(_xlfn.XLOOKUP(B106,'Base stats'!B:B,'Base stats'!E:E),Groups!A:A,Groups!L:L)=1,MIN(MROUND(_xlfn.XLOOKUP(B106,'Animals CE'!B:B,'Animals CE'!Z:Z)/2+0.05,0.05),200%),"No")</f>
        <v>2</v>
      </c>
      <c r="N106" s="8">
        <f>IF(_xlfn.XLOOKUP(_xlfn.XLOOKUP(B106,'Base stats'!B:B,'Base stats'!E:E),Groups!A:A,Groups!L:L)=1,MIN(MROUND(_xlfn.XLOOKUP(B106,'Animals CE'!B:B,'Animals CE'!AA:AA)/2+0.05,0.05),200%),"No")</f>
        <v>0.2</v>
      </c>
      <c r="O106" s="2">
        <f>_xlfn.XLOOKUP(B106,'Base stats'!B:B,'Base stats'!R:R)</f>
        <v>1</v>
      </c>
      <c r="P106" s="13">
        <f>MROUND((LOG10(_xlfn.XLOOKUP(B106,'Base stats'!B:B,'Base stats'!AO:AO))*(AN106^0.5)+(_xlfn.XLOOKUP(B106,'Base stats'!B:B,'Base stats'!AO:AO)/1000)^(2/3)+_xlfn.XLOOKUP(B106,'Base stats'!B:B,'Base stats'!AX:AX)/2)+0.5,0.5)</f>
        <v>41.5</v>
      </c>
      <c r="Q106" s="7">
        <f>IF(P106="No","No",MAX(1,MROUND(_xlfn.XLOOKUP(B106,'Base stats'!B:B,'Base stats'!C:C)^0.165,0.05)))</f>
        <v>4.25</v>
      </c>
      <c r="R106" s="13" t="str">
        <f>IF(_xlfn.XLOOKUP(_xlfn.XLOOKUP(B106,'Base stats'!B:B,'Base stats'!E:E),Groups!A:A,Groups!P:P)=0,"No",MROUND((LOG10(_xlfn.XLOOKUP(B106,'Base stats'!B:B,'Base stats'!AP:AP))*(AN106^0.5)+(_xlfn.XLOOKUP(B106,'Base stats'!B:B,'Base stats'!AP:AP)/1000)^(2/3)+_xlfn.XLOOKUP(B106,'Base stats'!B:B,'Base stats'!AX:AX))+_xlfn.XLOOKUP(B106,'Base stats'!B:B,'Base stats'!AV:AV)+0.5,0.5))</f>
        <v>No</v>
      </c>
      <c r="S106" s="7" t="str">
        <f>IF(R106="No","No",MAX(_xlfn.XLOOKUP(_xlfn.XLOOKUP(B106,'Base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T106" s="7" t="str">
        <f>IF(R106="No","No",_xlfn.XLOOKUP(_xlfn.XLOOKUP(B106,'Base stats'!B:B,'Base stats'!E:E),Groups!A:A,Groups!R:R))</f>
        <v>No</v>
      </c>
      <c r="U106" s="7" t="str">
        <f>IF(R106="No","No",_xlfn.XLOOKUP(_xlfn.XLOOKUP(B106,'Base stats'!B:B,'Base stats'!E:E),Groups!A:A,Groups!S:S))</f>
        <v>No</v>
      </c>
      <c r="V106" s="7" t="str">
        <f>IF(R106="No","No",_xlfn.XLOOKUP(_xlfn.XLOOKUP(B106,'Base stats'!B:B,'Base stats'!E:E),Groups!A:A,Groups!T:T))</f>
        <v>No</v>
      </c>
      <c r="W106" s="13" t="str">
        <f>IF(_xlfn.XLOOKUP(B106,'Base stats'!B:B,'Base stats'!W:W)="No","No",MROUND((LOG10(_xlfn.XLOOKUP(B106,'Base stats'!B:B,'Base stats'!AR:AR))*(AN106^0.5)+(_xlfn.XLOOKUP(B106,'Base stats'!B:B,'Base stats'!AR:AR)/1000)^(2/3)+_xlfn.XLOOKUP(B106,'Base stats'!B:B,'Base stats'!AW:AW))+0.5+IF(_xlfn.XLOOKUP(_xlfn.XLOOKUP(B106,'Base stats'!B:B,'Base stats'!E:E),Groups!A:A,Groups!U:U)&lt;&gt;3,_xlfn.XLOOKUP(B106,'Base stats'!B:B,'Base stats'!AX:AX),0),0.5))</f>
        <v>No</v>
      </c>
      <c r="X106" s="7" t="str">
        <f>IF(W106="No","No",MAX(_xlfn.XLOOKUP(_xlfn.XLOOKUP(B106,'Base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Y106" s="7" t="str">
        <f>IF(W106="No","No",_xlfn.XLOOKUP(_xlfn.XLOOKUP(B106,'Base stats'!B:B,'Base stats'!E:E),Groups!A:A,Groups!W:W))</f>
        <v>No</v>
      </c>
      <c r="Z106" s="7" t="str">
        <f>IF(W106="No","No",_xlfn.XLOOKUP(_xlfn.XLOOKUP(B106,'Base stats'!B:B,'Base stats'!E:E),Groups!A:A,Groups!X:X))</f>
        <v>No</v>
      </c>
      <c r="AA106" s="7" t="str">
        <f>IF(W106="No","No",_xlfn.XLOOKUP(_xlfn.XLOOKUP(B106,'Base stats'!B:B,'Base stats'!E:E),Groups!A:A,Groups!Y:Y))</f>
        <v>No</v>
      </c>
      <c r="AB106" s="7" t="str">
        <f>_xlfn.XLOOKUP(Animals!B106,'Base stats'!B:B,'Base stats'!X:X)</f>
        <v>False</v>
      </c>
      <c r="AC106" s="13">
        <f>IF(_xlfn.XLOOKUP(B106,'Base stats'!B:B,'Base stats'!AQ:AQ)="No","No",MROUND((LOG10(_xlfn.XLOOKUP(B106,'Base stats'!B:B,'Base stats'!AQ:AQ))*(AN106^0.75)+(_xlfn.XLOOKUP(B106,'Base stats'!B:B,'Base stats'!AQ:AQ)/1000)^(2/3)+_xlfn.XLOOKUP(B106,'Base stats'!B:B,'Base stats'!AU:AU)+_xlfn.XLOOKUP(B106,'Base stats'!B:B,'Base stats'!AX:AX))+0.5,0.5))</f>
        <v>112</v>
      </c>
      <c r="AD106" s="7">
        <f>IF(AC106="No","No",MAX(_xlfn.XLOOKUP(_xlfn.XLOOKUP(B106,'Base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E106" s="7" t="str">
        <f>IF(AC106="No","No",_xlfn.XLOOKUP(_xlfn.XLOOKUP(B106,'Base stats'!B:B,'Base stats'!E:E),Groups!A:A,Groups!AA:AA))</f>
        <v>Mouth</v>
      </c>
      <c r="AF106" s="7" t="str">
        <f>IF(AC106="No","No",_xlfn.XLOOKUP(_xlfn.XLOOKUP(B106,'Base stats'!B:B,'Base stats'!E:E),Groups!A:A,Groups!AB:AB))</f>
        <v>mandibles</v>
      </c>
      <c r="AG106" s="7" t="str">
        <f>IF(AC106="No","No",_xlfn.XLOOKUP(_xlfn.XLOOKUP(B106,'Base stats'!B:B,'Base stats'!E:E),Groups!A:A,Groups!AC:AC))</f>
        <v>Bite</v>
      </c>
      <c r="AH106" s="13" t="str">
        <f>IF(_xlfn.XLOOKUP(_xlfn.XLOOKUP(B106,'Base stats'!B:B,'Base stats'!E:E),Groups!A:A,Groups!AD:AD)=0,"No",MROUND((LOG10(_xlfn.XLOOKUP(B106,'Base stats'!B:B,'Base stats'!AP:AP))*(AN106^0.75)+(_xlfn.XLOOKUP(B106,'Base stats'!B:B,'Base stats'!AP:AP)/1000)^(2/3)+_xlfn.XLOOKUP(B106,'Base stats'!B:B,'Base stats'!AV:AV)+_xlfn.XLOOKUP(B106,'Base stats'!B:B,'Base stats'!AX:AX))+0.5,0.5))</f>
        <v>No</v>
      </c>
      <c r="AI106" s="7" t="str">
        <f>IF(AH106="No","No",MAX(_xlfn.XLOOKUP(_xlfn.XLOOKUP(B106,'Base stats'!B:B,'Base stats'!E:E),Groups!A:A,Groups!AE:AE),MROUND(_xlfn.XLOOKUP(_xlfn.XLOOKUP(B106,'Base stats'!B:B,'Base stats'!E:E),Groups!A:A,Groups!AE:AE)*_xlfn.XLOOKUP(B106,'Base stats'!B:B,'Base stats'!C:C)^0.165,0.05)))</f>
        <v>No</v>
      </c>
      <c r="AJ106" s="7" t="str">
        <f>IF(AH106="No","No",_xlfn.XLOOKUP(_xlfn.XLOOKUP(B106,'Base stats'!B:B,'Base stats'!E:E),Groups!A:A,Groups!AF:AF))</f>
        <v>No</v>
      </c>
      <c r="AK106" s="7" t="str">
        <f>IF(AH106="No","No",_xlfn.XLOOKUP(_xlfn.XLOOKUP(B106,'Base stats'!B:B,'Base stats'!E:E),Groups!A:A,Groups!AG:AG))</f>
        <v>No</v>
      </c>
      <c r="AL106" s="7" t="str">
        <f>IF(AH106="No","No",_xlfn.XLOOKUP(_xlfn.XLOOKUP(B106,'Base stats'!B:B,'Base stats'!E:E),Groups!A:A,Groups!AH:AH))</f>
        <v>No</v>
      </c>
      <c r="AM106" s="2">
        <f t="shared" si="7"/>
        <v>45</v>
      </c>
      <c r="AN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O106" s="8">
        <f>MROUND(AN106*_xlfn.XLOOKUP(_xlfn.XLOOKUP(B106,'Base stats'!B:B,'Base stats'!E:E),Groups!A:A,Groups!AI:AI),0.05)</f>
        <v>5.5</v>
      </c>
      <c r="AP106" s="8">
        <f>MAX(0.01,MROUND(IF(CA106="True",0.196*(AN106*100*1000)^0.889,IF(_xlfn.XLOOKUP(_xlfn.XLOOKUP(B106,'Base stats'!B:B,'Base stats'!E:E),Groups!A:A,Groups!AJ:AJ)="Bird",10.5*(AN106*100*1000)^0.681,4.82*(AN106*100*1000)^0.734))/(4.82*(1*100*1000)^0.734)/IF(AN106&lt;3.5,2,IF(AN106=3.5,1.5,1.25))*(1+0.132282374779864/(AN106^0.994035016789033+0.00905238001496948)),0.05))</f>
        <v>0.9</v>
      </c>
      <c r="AQ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R106" s="35" t="str">
        <f>IFERROR(IF(_xlfn.XLOOKUP(B106,'Base stats'!B:B,'Base stats'!F:F)="Lay eggs","Lay eggs",MIN(20,MAX(5.5,ROUND(((_xlfn.XLOOKUP(B106,'Base stats'!B:B,'Base stats'!F:F)-25)*(14.5/615) + 5.5)*2,0)/2))),"Cannot breed")</f>
        <v>Lay eggs</v>
      </c>
      <c r="AS106" s="8" t="str">
        <f>IF(OR(A106="Queen",A106="Larva",A106="Megachicken"),"No",IFERROR(MAX(IF(_xlfn.XLOOKUP(B106,'Base stats'!B:B,'Base stats'!G:G)&lt;0.5,0.2,0.3),MROUND(_xlfn.XLOOKUP(B106,'Base stats'!B:B,'Base stats'!G:G)/(365/60),0.2)),"Unknown"))</f>
        <v>No</v>
      </c>
      <c r="AT106" s="8" t="str">
        <f t="shared" si="8"/>
        <v>No</v>
      </c>
      <c r="AU106" s="8" t="str">
        <f>IFERROR(IFERROR(MROUND(_xlfn.XLOOKUP(B106,'Base stats'!B:B,'Base stats'!J:J),0.1),"Lay eggs"),"Cannot breed")</f>
        <v>Lay eggs</v>
      </c>
      <c r="AV106" s="2" t="str">
        <f t="shared" si="9"/>
        <v>false</v>
      </c>
      <c r="AW106" s="2" t="str">
        <f>IF(_xlfn.XLOOKUP(_xlfn.XLOOKUP(Animals!B106,'Base stats'!B:B,'Base stats'!E:E),Groups!A:A,Groups!AK:AK)=1,"true","false")</f>
        <v>false</v>
      </c>
      <c r="AX106" s="25" t="str">
        <f>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</f>
        <v>OmnivoreAnimal, OvivoreAnimal</v>
      </c>
      <c r="AY106" s="2" t="str">
        <f>IF(_xlfn.XLOOKUP(_xlfn.XLOOKUP(B106,'Base stats'!B:B,'Base stats'!E:E),Groups!A:A,Groups!D:D)=1,MROUND((1-I106)*5+1,2)*IF(I106&lt;=0.4,2,1),"No")</f>
        <v>No</v>
      </c>
      <c r="AZ106" s="2" t="str">
        <f>_xlfn.XLOOKUP(B106,'Base stats'!B:B,'Base stats'!AE:AE)</f>
        <v>No</v>
      </c>
      <c r="BA106" s="23" t="str">
        <f>_xlfn.XLOOKUP(_xlfn.XLOOKUP(B106,'Base stats'!B:B,'Base stats'!E:E),Groups!A:A,Groups!AL:AL)</f>
        <v>BeetleLike</v>
      </c>
      <c r="BB106" s="23">
        <f>MROUND(IF(AND(AN106&lt;0.5,_xlfn.XLOOKUP(B106,'Base stats'!B:B,'Base stats'!Z:Z)=0),0,IF(OR(_xlfn.XLOOKUP(Animals!B106,'Base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stats'!AA:AA),0.005)</f>
        <v>1</v>
      </c>
      <c r="BC106" s="23">
        <f>MROUND(IF(AND(AN106&lt;0.5,_xlfn.XLOOKUP(B106,'Base stats'!B:B,'Base stats'!Z:Z)=0),0,IF(_xlfn.XLOOKUP(_xlfn.XLOOKUP(B106,'Base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stats'!AB:AB),0.005)</f>
        <v>1</v>
      </c>
      <c r="BD106" s="2" t="str">
        <f>IF(I106&gt;0.3,"No",_xlfn.XLOOKUP(_xlfn.XLOOKUP(Animals!B106,'Base stats'!B:B,'Base stats'!E:E),Groups!A:A,Groups!AP:AP))</f>
        <v>No</v>
      </c>
      <c r="BE106" s="2" t="str">
        <f>IF(AND(I106&lt;=0.65,_xlfn.XLOOKUP(_xlfn.XLOOKUP(Animals!B106,'Base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stats'!O:O)=2,0.2,AN106) + 24*(1-IF(BD106="No",0,BD106)) + 16/3, 12),"No")</f>
        <v>No</v>
      </c>
      <c r="BF106" s="2">
        <f>IF(AND(_xlfn.XLOOKUP(_xlfn.XLOOKUP(B106,'Base stats'!B:B,'Base stats'!E:E),Groups!A:A,Groups!AQ:AQ)=1,AN106&lt;=0.35),8,12)</f>
        <v>12</v>
      </c>
      <c r="BG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H106" s="2" t="str">
        <f>IF(AND(_xlfn.XLOOKUP(_xlfn.XLOOKUP(B106,'Base stats'!B:B,'Base stats'!E:E),Groups!A:A,Groups!AS:AS)=1,OR('Base stats'!Y106="Carnivore",'Base stats'!Y106="Omnivore")),"true","false")</f>
        <v>true</v>
      </c>
      <c r="BI106" s="2">
        <f>IF(BH106="true",MROUND(IF(AND(AN106&gt;0.5,_xlfn.XLOOKUP(_xlfn.XLOOKUP(B106,'Base stats'!B:B,'Base stats'!E:E),Groups!A:A,Groups!AJ:AJ)="Mammal"),Animals!AN106*1.75*IF(AV106="true",1.5,1),Animals!AN106),IF(AN106&gt;2,0.5,IF(AN106&gt;0.5,0.25,0.1))),"No")</f>
        <v>5.5</v>
      </c>
      <c r="BJ106" s="2">
        <f t="shared" si="10"/>
        <v>1</v>
      </c>
      <c r="BK106" s="25" t="str">
        <f>IF('Base stats'!AK106="Standard","No",MROUND((_xlfn.XLOOKUP(B106,'Base stats'!B:B,'Base stats'!AK:AK)/3.6)/H106,0.1))</f>
        <v>No</v>
      </c>
      <c r="BL106" s="25" t="str">
        <f t="shared" si="11"/>
        <v>false</v>
      </c>
      <c r="BM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N106" s="25" t="str" cm="1">
        <f t="array" ref="BN106">IF(
  _xlfn.TEXTJOIN(", ",TRUE,
    IF(AND(BH106="true",AN106&gt;0.5,BG106&lt;&gt;"None"),"AttackTarget",""),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IF(BE106&lt;=36,"Comfort",""),
    IF(_xlfn.XLOOKUP(B106,'Base stats'!B:B,'Base stats'!AC:AC)&lt;&gt;"No",_xlfn.XLOOKUP(B106,'Base stats'!B:B,'Base stats'!AC:AC),"")
  ) = "",
  "No",
  _xlfn.TEXTJOIN(", ",TRUE,
    IF(AND(BH106="true",AN106&gt;0.5,BG106&lt;&gt;"None"),"AttackTarget",""),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IF(BE106&lt;=36,"Comfort",""),
    IF(_xlfn.XLOOKUP(B106,'Base stats'!B:B,'Base stats'!AC:AC)&lt;&gt;"No",_xlfn.XLOOKUP(B106,'Base stats'!B:B,'Base stats'!AC:AC),"")
  )
)</f>
        <v>AttackTarget, EggSpew</v>
      </c>
      <c r="BO106" s="25" t="str">
        <f>IF(
   AND(
      'Base stats'!AK106="Standard",_xlfn.XLOOKUP(_xlfn.XLOOKUP(B106,'Base stats'!B:B,'Base stats'!E:E),Groups!A:A,Groups!AU:AU)=0,
      OR(
      BM106="True"
      )
   ),
   10,
   IF(
       OR(BK106&lt;&gt;"No",_xlfn.XLOOKUP(_xlfn.XLOOKUP(B106,'Base stats'!B:B,'Base stats'!E:E),Groups!A:A,Groups!AU:AU)=1),
      1,
      "No"
   )
)</f>
        <v>No</v>
      </c>
      <c r="BP106" s="9">
        <f>MROUND((1 + ((0.2*IF(OR(P106="No",Q106="No",Q106=0),0,P106/Q106)
+IF(OR(U106="No",R106="No",S106="No"),0,R106/S106*(LEN(U106)-LEN(SUBSTITUTE(U106,",",""))+1))
+IF(OR(W106="No",X106="No"),0,W106/X106)
+IF(OR(AC106="No",AD106="No"),0,AC106/AD106)
+IF(OR(AK106="No",AH106="No",AI106="No"),0,AH106/AI106*(LEN(AK106)-LEN(SUBSTITUTE(AK106,",",""))+1))
)/(0.2*IF(OR(P106="No",Q106="No",Q106=0),0,1)
+IF(OR(U106="No",R106="No",S106="No"),0,LEN(U106)-LEN(SUBSTITUTE(U106,",",""))+1)
+IF(OR(W106="No",X106="No"),0,1)
+IF(OR(AC106="No",AD106="No"),0,1)
+IF(OR(AK106="No",AH106="No",AI106="No"),0,LEN(AK106)-LEN(SUBSTITUTE(AK106,",",""))+1))*62%)* 2)*(1 + (AO106 + _xlfn.XLOOKUP(B106,'Base stats'!B:B,'Base stats'!AS:AS) * 1.8) * 2) * 2.5 + 10 + H106 * 2,5)+IF(_xlfn.XLOOKUP(B106,'Base stats'!B:B,'Base stats'!AH:AH)=1,50,0)</f>
        <v>1040</v>
      </c>
      <c r="BQ106" s="8">
        <f t="shared" si="12"/>
        <v>1.8</v>
      </c>
      <c r="BR106" s="8" t="str">
        <f>_xlfn.XLOOKUP(B106,'Base stats'!B:B,'Base stats'!AD:AD)</f>
        <v>No</v>
      </c>
      <c r="BS106" s="2" t="str">
        <f>IF(AND(I106&lt;=0.95,OR(_xlfn.XLOOKUP(B106,'Base stats'!B:B,'Base stats'!AH:AH)=1,_xlfn.XLOOKUP(B106,'Base stats'!B:B,'Base stats'!Y:Y)="Carnivore",_xlfn.XLOOKUP(B106,'Base stats'!B:B,'Base stats'!Y:Y)="Omnivore",BC106&gt;0.1)),"true","false")</f>
        <v>false</v>
      </c>
      <c r="BT106" s="2" t="str">
        <f>IF(_xlfn.XLOOKUP(B106,'Base stats'!B:B,'Base stats'!AF:AF)=1,"true","false")</f>
        <v>false</v>
      </c>
      <c r="BU106" s="25" t="str">
        <f>IF(E106="BaseInsect","AnimalInsect",
IF(I106&gt;0.95,"AnimalExotic",
_xlfn.TEXTJOIN(", ",TRUE,
IF(AND(_xlfn.XLOOKUP(B106,'Base stats'!B:B,'Base stats'!O:O)=0,_xlfn.XLOOKUP(_xlfn.XLOOKUP(B106,'Base stats'!B:B,'Base stats'!E:E),Groups!A:A,Groups!B:B)&gt;0),"AnimalUncommon","AnimalCommon"),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stats'!AH:AH)=1,AND(BG106&lt;&gt;"None",BP106&gt;=60),ISNUMBER(SEARCH("Attack target",BN106))),"AnimalFighter","")
)))</f>
        <v>AnimalInsect</v>
      </c>
      <c r="BV106" s="25" t="str">
        <f>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</f>
        <v/>
      </c>
      <c r="BW106" s="25" t="str">
        <f>IF(_xlfn.XLOOKUP(B106,'Base stats'!B:B,'Base stats'!AG:AG)=1,"true","false")</f>
        <v>false</v>
      </c>
      <c r="BX106" s="25">
        <f>IF(_xlfn.XLOOKUP(B106,'Base stats'!B:B,'Base stats'!N:N)=1,"No",MIN(MROUND(IF(OR(_xlfn.XLOOKUP(B106,'Base stats'!B:B,'Base stats'!AJ:AJ)=1,AND(BH106="True",CA106="False")),POWER(10,3.47*LOG10(_xlfn.XLOOKUP(B106,'Base stats'!B:B,'Base stats'!C:C)*1000)^-0.96),POWER(10,4.15*LOG10(_xlfn.XLOOKUP(B106,'Base stats'!B:B,'Base stats'!C:C)*1000)^-0.73))*IF(OR(_xlfn.XLOOKUP(B106,'Base stats'!B:B,'Base stats'!AJ:AJ)=1,_xlfn.XLOOKUP(B106,'Base stats'!B:B,'Base stats'!AH:AH)=1),0.5,1)/100,0.025),1))</f>
        <v>2.5000000000000001E-2</v>
      </c>
      <c r="BY106" s="25">
        <f>IF(O106="Standard","No",IF(_xlfn.XLOOKUP(B106,'Base stats'!B:B,'Base stats'!N:N)=0,MROUND(BX106*O106,0.05),MIN(1,MAX(0.025,MROUND(IF(OR(CA106="true",AND(BH106="false",BM106="false")),POWER(10,4.15*LOG10(_xlfn.XLOOKUP(B106,'Base stats'!B:B,'Base stats'!C:C)*1000)^-0.73),POWER(10,3.47*LOG10(_xlfn.XLOOKUP(B106,'Base stats'!B:B,'Base stats'!C:C)*1000)^-0.96))*IF(_xlfn.XLOOKUP(B106,'Base stats'!B:B,'Base stats'!AH:AH)=1,0.5,1)/100,0.025)))))</f>
        <v>0.05</v>
      </c>
      <c r="BZ106" s="25" t="str">
        <f>IF(_xlfn.XLOOKUP(_xlfn.XLOOKUP(B106,'Base stats'!B:B,'Base stats'!E:E),Groups!A:A,Groups!AJ:AJ)="Mammal","True","False")</f>
        <v>False</v>
      </c>
      <c r="CA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B106" s="25" t="str">
        <f t="shared" si="13"/>
        <v>True</v>
      </c>
      <c r="CC106" s="25" t="str">
        <f>IF(_xlfn.XLOOKUP(_xlfn.XLOOKUP(B106,'Base stats'!B:B,'Base stats'!E:E),Groups!A:A,Groups!AW:AW),"True","False")</f>
        <v>False</v>
      </c>
      <c r="CD106" s="25" t="str">
        <f>IF(_xlfn.XLOOKUP(_xlfn.XLOOKUP(B106,'Base stats'!B:B,'Base stats'!E:E),Groups!A:A,Groups!AX:AX),"True","False")</f>
        <v>False</v>
      </c>
      <c r="CE106" s="25" t="str">
        <f>IF(_xlfn.XLOOKUP(B106,'Base stats'!B:B,'Base stats'!E:E)=1,"True","False")</f>
        <v>False</v>
      </c>
      <c r="CF106" s="25" t="str">
        <f>IF(
OR(
_xlfn.XLOOKUP(_xlfn.XLOOKUP(B106,'Base stats'!B:B,'Base stats'!E:E),Groups!A:A,Groups!AY:AY)=0,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stats'!E:E),Groups!A:A,Groups!AY:AY)=1,
"Flesh",
IF(
_xlfn.XLOOKUP(_xlfn.XLOOKUP(B106,'Base stats'!B:B,'Base stats'!E:E),Groups!A:A,Groups!AY:AY)=2,
"Bone",
""
)
)
)</f>
        <v>Bone</v>
      </c>
      <c r="CG106" s="25" t="str">
        <f>IF(_xlfn.XLOOKUP(_xlfn.XLOOKUP(B106,'Base stats'!B:B,'Base stats'!E:E),Groups!A:A,Groups!BA:BA),"True","False")</f>
        <v>False</v>
      </c>
      <c r="CH106" s="25" t="str">
        <f>IF(_xlfn.XLOOKUP(_xlfn.XLOOKUP(B106,'Base stats'!B:B,'Base stats'!E:E),Groups!A:A,Groups!AZ:AZ),"True","False")</f>
        <v>False</v>
      </c>
    </row>
    <row r="107" spans="1:86" ht="16.5" thickTop="1" thickBot="1" x14ac:dyDescent="0.3">
      <c r="A107" s="26" t="str">
        <f>_xlfn.XLOOKUP(B107,'Base stats'!B:B,'Base stats'!A:A)</f>
        <v>Larva</v>
      </c>
      <c r="B107" s="6" t="s">
        <v>436</v>
      </c>
      <c r="C107" s="28" t="s">
        <v>800</v>
      </c>
      <c r="D107" s="28" t="s">
        <v>882</v>
      </c>
      <c r="E107" s="28" t="s">
        <v>796</v>
      </c>
      <c r="F107" s="28" t="s">
        <v>797</v>
      </c>
      <c r="G107" s="2">
        <f>MROUND((
  (IF(AND(_xlfn.XLOOKUP(B107,'Base stats'!B:B,'Base stats'!AI:AI)=0,BG107="None",_xlfn.XLOOKUP('Base stats'!E107,Groups!A:A,Groups!B:B)=0), (18 + BP107 * 2.7) * 0.5,
    IF(AND(_xlfn.XLOOKUP(B107,'Base stats'!B:B,'Base stats'!AI:AI)=0,OR(AN107&lt;0.55,AND(BG107="Intermediate",_xlfn.XLOOKUP('Base stats'!E107,Groups!A:A,Groups!B:B)&lt;2))), (18 + BP107 * 2.7),
      IF(OR(BG107="Advanced",_xlfn.XLOOKUP(B107,'Base stats'!B:B,'Base stats'!AI:AI)=1,_xlfn.XLOOKUP('Base stats'!E107,Groups!A:A,Groups!B:B)=2), (18 + BP107 * 2.7) + 250, (18 + BP107 * 2.7))
    )
  ))
  + AN107 * 80
  + IF(COUNTIF(EggMilk!K$2:K$998, A107) &gt; 0, 125, 0)
  + IF(COUNTIF(EggMilk!P$2:P$998, A107) &gt; 0, 90, 0)
  + IF(COUNTIF(EggMilk!A$2:A$998, A107) &gt; 0, 90, 0)
)
* (0.8 + 0.4 * I107)
* 0.75,25)</f>
        <v>200</v>
      </c>
      <c r="H107" s="2">
        <f>MROUND(ROUNDDOWN(_xlfn.XLOOKUP(B107,'Base stats'!B:B,'Base stats'!L:L)/3.6/(23.3/11),1),0.5)</f>
        <v>2</v>
      </c>
      <c r="I107" s="2">
        <f>IF(_xlfn.XLOOKUP(B107,'Base stats'!B:B,'Base stats'!AI:AI)=1,0.99,MIN(MROUND((1-0.6282*EXP(-0.459*AN107))*_xlfn.XLOOKUP(_xlfn.XLOOKUP(B107,'Base stats'!B:B,'Base stats'!E:E),Groups!A:A,Groups!C:C)*IF(_xlfn.XLOOKUP(B107,'Base stats'!B:B,'Base stats'!O:O)=1,0.5,IF(_xlfn.XLOOKUP(B107,'Base stats'!B:B,'Base stats'!O:O)=2,0,1)),0.05),0.985))</f>
        <v>0.55000000000000004</v>
      </c>
      <c r="J107" s="2">
        <f>ROUNDUP(AN107*_xlfn.XLOOKUP(_xlfn.XLOOKUP(B107,'Base stats'!B:B,'Base stats'!E:E),Groups!A:A,Groups!E:E),0)</f>
        <v>1</v>
      </c>
      <c r="K107" s="2">
        <f>IF(OR(_xlfn.XLOOKUP(_xlfn.XLOOKUP(B107,'Base stats'!B:B,'Base stats'!E:E),Groups!A:A,Groups!F:F)=2,ISNUMBER(SEARCH("SeaIce",BV107)),ISNUMBER(SEARCH("IceSheet",BV107))),-50,IF(OR(ISNUMBER(SEARCH("GlacialPlain",BV107)),ISNUMBER(SEARCH("Tundra",BV107))),-40,IF(OR(ISNUMBER(SEARCH("Alpine",BV107)),ISNUMBER(SEARCH("BorealForest",BV107)),ISNUMBER(SEARCH("ColdBog",BV107))),-30,IF(OR(ISNUMBER(SEARCH("TemperateForest",BV107)),ISNUMBER(SEARCH("TemperateSwamp",BV107))),-20,IF(_xlfn.XLOOKUP(_xlfn.XLOOKUP(B107,'Base stats'!B:B,'Base stats'!E:E),Groups!A:A,Groups!F:F)=1,-15,IF(OR(ISNUMBER(SEARCH("Desert",BV107)),ISNUMBER(SEARCH("ExtremeDesert",BV107))),-10,IF(OR(ISNUMBER(SEARCH("Grasslands",BV107)),ISNUMBER(SEARCH("TropicalRainforest",BV107)),ISNUMBER(SEARCH("TropicalSwamp",BV107))),10,0)))))))-IF(CA107="False",MIN(IFERROR(MAX(MROUND(LOG10(_xlfn.XLOOKUP(B107,'Base stats'!B:B,'Base stats'!C:C)^(2/3))*10,5),5),5),30))-_xlfn.XLOOKUP(B107,'Base stats'!B:B,'Base stats'!P:P)+IF(CA107="True",5,0)</f>
        <v>5</v>
      </c>
      <c r="L107" s="2">
        <f>IF(OR(_xlfn.XLOOKUP(_xlfn.XLOOKUP(B107,'Base stats'!B:B,'Base stats'!E:E),Groups!A:A,Groups!G:G)=2,ISNUMBER(SEARCH("Desert",BV107)),ISNUMBER(SEARCH("ExtremeDesert",BV107)),ISNUMBER(SEARCH("LavaField",BV107))),50,IF(ISNUMBER(SEARCH("Grasslands",BV107)),45,IF(OR(_xlfn.XLOOKUP(_xlfn.XLOOKUP(B107,'Base stats'!B:B,'Base stats'!E:E),Groups!A:A,Groups!G:G)=1,ISNUMBER(SEARCH("TropicalRainforest",BV107)),ISNUMBER(SEARCH("TropicalSwamp",BV107))),40,IF(OR(ISNUMBER(SEARCH("TemperateForest",BV107)),ISNUMBER(SEARCH("TemperateSwamp",BV107))),35,IF(OR(ISNUMBER(SEARCH("Alpine",BV107)),ISNUMBER(SEARCH("BorealForest",BV107)),ISNUMBER(SEARCH("ColdBog",BV107))),30,IF(ISNUMBER(OR(ISNUMBER(SEARCH("GlacialPlain",BV107)),SEARCH("Tundra",BV107))),25,IF(OR(ISNUMBER(SEARCH("SeaIce",BV107)),ISNUMBER(SEARCH("IceSheet",BV107)),ISNUMBER(SEARCH("TropicalSwamp",BV107))),10,35)))))))+_xlfn.XLOOKUP(B107,'Base stats'!B:B,'Base stats'!Q:Q)</f>
        <v>50</v>
      </c>
      <c r="M107" s="8">
        <f>IF(_xlfn.XLOOKUP(_xlfn.XLOOKUP(B107,'Base stats'!B:B,'Base stats'!E:E),Groups!A:A,Groups!L:L)=1,MIN(MROUND(_xlfn.XLOOKUP(B107,'Animals CE'!B:B,'Animals CE'!Z:Z)/2+0.05,0.05),200%),"No")</f>
        <v>0.35000000000000003</v>
      </c>
      <c r="N107" s="8">
        <f>IF(_xlfn.XLOOKUP(_xlfn.XLOOKUP(B107,'Base stats'!B:B,'Base stats'!E:E),Groups!A:A,Groups!L:L)=1,MIN(MROUND(_xlfn.XLOOKUP(B107,'Animals CE'!B:B,'Animals CE'!AA:AA)/2+0.05,0.05),200%),"No")</f>
        <v>0.05</v>
      </c>
      <c r="O107" s="2">
        <f>_xlfn.XLOOKUP(B107,'Base stats'!B:B,'Base stats'!R:R)</f>
        <v>1</v>
      </c>
      <c r="P107" s="13">
        <f>MROUND((LOG10(_xlfn.XLOOKUP(B107,'Base stats'!B:B,'Base stats'!AO:AO))*(AN107^0.5)+(_xlfn.XLOOKUP(B107,'Base stats'!B:B,'Base stats'!AO:AO)/1000)^(2/3)+_xlfn.XLOOKUP(B107,'Base stats'!B:B,'Base stats'!AX:AX)/2)+0.5,0.5)</f>
        <v>4</v>
      </c>
      <c r="Q107" s="7">
        <f>IF(P107="No","No",MAX(1,MROUND(_xlfn.XLOOKUP(B107,'Base stats'!B:B,'Base stats'!C:C)^0.165,0.05)))</f>
        <v>1.55</v>
      </c>
      <c r="R107" s="13" t="str">
        <f>IF(_xlfn.XLOOKUP(_xlfn.XLOOKUP(B107,'Base stats'!B:B,'Base stats'!E:E),Groups!A:A,Groups!P:P)=0,"No",MROUND((LOG10(_xlfn.XLOOKUP(B107,'Base stats'!B:B,'Base stats'!AP:AP))*(AN107^0.5)+(_xlfn.XLOOKUP(B107,'Base stats'!B:B,'Base stats'!AP:AP)/1000)^(2/3)+_xlfn.XLOOKUP(B107,'Base stats'!B:B,'Base stats'!AX:AX))+_xlfn.XLOOKUP(B107,'Base stats'!B:B,'Base stats'!AV:AV)+0.5,0.5))</f>
        <v>No</v>
      </c>
      <c r="S107" s="7" t="str">
        <f>IF(R107="No","No",MAX(_xlfn.XLOOKUP(_xlfn.XLOOKUP(B107,'Base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T107" s="7" t="str">
        <f>IF(R107="No","No",_xlfn.XLOOKUP(_xlfn.XLOOKUP(B107,'Base stats'!B:B,'Base stats'!E:E),Groups!A:A,Groups!R:R))</f>
        <v>No</v>
      </c>
      <c r="U107" s="7" t="str">
        <f>IF(R107="No","No",_xlfn.XLOOKUP(_xlfn.XLOOKUP(B107,'Base stats'!B:B,'Base stats'!E:E),Groups!A:A,Groups!S:S))</f>
        <v>No</v>
      </c>
      <c r="V107" s="7" t="str">
        <f>IF(R107="No","No",_xlfn.XLOOKUP(_xlfn.XLOOKUP(B107,'Base stats'!B:B,'Base stats'!E:E),Groups!A:A,Groups!T:T))</f>
        <v>No</v>
      </c>
      <c r="W107" s="13" t="str">
        <f>IF(_xlfn.XLOOKUP(B107,'Base stats'!B:B,'Base stats'!W:W)="No","No",MROUND((LOG10(_xlfn.XLOOKUP(B107,'Base stats'!B:B,'Base stats'!AR:AR))*(AN107^0.5)+(_xlfn.XLOOKUP(B107,'Base stats'!B:B,'Base stats'!AR:AR)/1000)^(2/3)+_xlfn.XLOOKUP(B107,'Base stats'!B:B,'Base stats'!AW:AW))+0.5+IF(_xlfn.XLOOKUP(_xlfn.XLOOKUP(B107,'Base stats'!B:B,'Base stats'!E:E),Groups!A:A,Groups!U:U)&lt;&gt;3,_xlfn.XLOOKUP(B107,'Base stats'!B:B,'Base stats'!AX:AX),0),0.5))</f>
        <v>No</v>
      </c>
      <c r="X107" s="7" t="str">
        <f>IF(W107="No","No",MAX(_xlfn.XLOOKUP(_xlfn.XLOOKUP(B107,'Base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Y107" s="7" t="str">
        <f>IF(W107="No","No",_xlfn.XLOOKUP(_xlfn.XLOOKUP(B107,'Base stats'!B:B,'Base stats'!E:E),Groups!A:A,Groups!W:W))</f>
        <v>No</v>
      </c>
      <c r="Z107" s="7" t="str">
        <f>IF(W107="No","No",_xlfn.XLOOKUP(_xlfn.XLOOKUP(B107,'Base stats'!B:B,'Base stats'!E:E),Groups!A:A,Groups!X:X))</f>
        <v>No</v>
      </c>
      <c r="AA107" s="7" t="str">
        <f>IF(W107="No","No",_xlfn.XLOOKUP(_xlfn.XLOOKUP(B107,'Base stats'!B:B,'Base stats'!E:E),Groups!A:A,Groups!Y:Y))</f>
        <v>No</v>
      </c>
      <c r="AB107" s="7" t="str">
        <f>_xlfn.XLOOKUP(Animals!B107,'Base stats'!B:B,'Base stats'!X:X)</f>
        <v>False</v>
      </c>
      <c r="AC107" s="13">
        <f>IF(_xlfn.XLOOKUP(B107,'Base stats'!B:B,'Base stats'!AQ:AQ)="No","No",MROUND((LOG10(_xlfn.XLOOKUP(B107,'Base stats'!B:B,'Base stats'!AQ:AQ))*(AN107^0.75)+(_xlfn.XLOOKUP(B107,'Base stats'!B:B,'Base stats'!AQ:AQ)/1000)^(2/3)+_xlfn.XLOOKUP(B107,'Base stats'!B:B,'Base stats'!AU:AU)+_xlfn.XLOOKUP(B107,'Base stats'!B:B,'Base stats'!AX:AX))+0.5,0.5))</f>
        <v>12.5</v>
      </c>
      <c r="AD107" s="7">
        <f>IF(AC107="No","No",MAX(_xlfn.XLOOKUP(_xlfn.XLOOKUP(B107,'Base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1.9000000000000001</v>
      </c>
      <c r="AE107" s="7" t="str">
        <f>IF(AC107="No","No",_xlfn.XLOOKUP(_xlfn.XLOOKUP(B107,'Base stats'!B:B,'Base stats'!E:E),Groups!A:A,Groups!AA:AA))</f>
        <v>Mouth</v>
      </c>
      <c r="AF107" s="7" t="str">
        <f>IF(AC107="No","No",_xlfn.XLOOKUP(_xlfn.XLOOKUP(B107,'Base stats'!B:B,'Base stats'!E:E),Groups!A:A,Groups!AB:AB))</f>
        <v>mandibles</v>
      </c>
      <c r="AG107" s="7" t="str">
        <f>IF(AC107="No","No",_xlfn.XLOOKUP(_xlfn.XLOOKUP(B107,'Base stats'!B:B,'Base stats'!E:E),Groups!A:A,Groups!AC:AC))</f>
        <v>Bite</v>
      </c>
      <c r="AH107" s="13" t="str">
        <f>IF(_xlfn.XLOOKUP(_xlfn.XLOOKUP(B107,'Base stats'!B:B,'Base stats'!E:E),Groups!A:A,Groups!AD:AD)=0,"No",MROUND((LOG10(_xlfn.XLOOKUP(B107,'Base stats'!B:B,'Base stats'!AP:AP))*(AN107^0.75)+(_xlfn.XLOOKUP(B107,'Base stats'!B:B,'Base stats'!AP:AP)/1000)^(2/3)+_xlfn.XLOOKUP(B107,'Base stats'!B:B,'Base stats'!AV:AV)+_xlfn.XLOOKUP(B107,'Base stats'!B:B,'Base stats'!AX:AX))+0.5,0.5))</f>
        <v>No</v>
      </c>
      <c r="AI107" s="7" t="str">
        <f>IF(AH107="No","No",MAX(_xlfn.XLOOKUP(_xlfn.XLOOKUP(B107,'Base stats'!B:B,'Base stats'!E:E),Groups!A:A,Groups!AE:AE),MROUND(_xlfn.XLOOKUP(_xlfn.XLOOKUP(B107,'Base stats'!B:B,'Base stats'!E:E),Groups!A:A,Groups!AE:AE)*_xlfn.XLOOKUP(B107,'Base stats'!B:B,'Base stats'!C:C)^0.165,0.05)))</f>
        <v>No</v>
      </c>
      <c r="AJ107" s="7" t="str">
        <f>IF(AH107="No","No",_xlfn.XLOOKUP(_xlfn.XLOOKUP(B107,'Base stats'!B:B,'Base stats'!E:E),Groups!A:A,Groups!AF:AF))</f>
        <v>No</v>
      </c>
      <c r="AK107" s="7" t="str">
        <f>IF(AH107="No","No",_xlfn.XLOOKUP(_xlfn.XLOOKUP(B107,'Base stats'!B:B,'Base stats'!E:E),Groups!A:A,Groups!AG:AG))</f>
        <v>No</v>
      </c>
      <c r="AL107" s="7" t="str">
        <f>IF(AH107="No","No",_xlfn.XLOOKUP(_xlfn.XLOOKUP(B107,'Base stats'!B:B,'Base stats'!E:E),Groups!A:A,Groups!AH:AH))</f>
        <v>No</v>
      </c>
      <c r="AM107" s="2">
        <f t="shared" si="7"/>
        <v>20</v>
      </c>
      <c r="AN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0.5</v>
      </c>
      <c r="AO107" s="8">
        <f>MROUND(AN107*_xlfn.XLOOKUP(_xlfn.XLOOKUP(B107,'Base stats'!B:B,'Base stats'!E:E),Groups!A:A,Groups!AI:AI),0.05)</f>
        <v>0.5</v>
      </c>
      <c r="AP107" s="8">
        <f>MAX(0.01,MROUND(IF(CA107="True",0.196*(AN107*100*1000)^0.889,IF(_xlfn.XLOOKUP(_xlfn.XLOOKUP(B107,'Base stats'!B:B,'Base stats'!E:E),Groups!A:A,Groups!AJ:AJ)="Bird",10.5*(AN107*100*1000)^0.681,4.82*(AN107*100*1000)^0.734))/(4.82*(1*100*1000)^0.734)/IF(AN107&lt;3.5,2,IF(AN107=3.5,1.5,1.25))*(1+0.132282374779864/(AN107^0.994035016789033+0.00905238001496948)),0.05))</f>
        <v>0.1</v>
      </c>
      <c r="AQ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R107" s="35" t="str">
        <f>IFERROR(IF(_xlfn.XLOOKUP(B107,'Base stats'!B:B,'Base stats'!F:F)="Lay eggs","Lay eggs",MIN(20,MAX(5.5,ROUND(((_xlfn.XLOOKUP(B107,'Base stats'!B:B,'Base stats'!F:F)-25)*(14.5/615) + 5.5)*2,0)/2))),"Cannot breed")</f>
        <v>Lay eggs</v>
      </c>
      <c r="AS107" s="8" t="str">
        <f>IF(OR(A107="Queen",A107="Larva",A107="Megachicken"),"No",IFERROR(MAX(IF(_xlfn.XLOOKUP(B107,'Base stats'!B:B,'Base stats'!G:G)&lt;0.5,0.2,0.3),MROUND(_xlfn.XLOOKUP(B107,'Base stats'!B:B,'Base stats'!G:G)/(365/60),0.2)),"Unknown"))</f>
        <v>No</v>
      </c>
      <c r="AT107" s="8" t="str">
        <f t="shared" si="8"/>
        <v>No</v>
      </c>
      <c r="AU107" s="8" t="str">
        <f>IFERROR(IFERROR(MROUND(_xlfn.XLOOKUP(B107,'Base stats'!B:B,'Base stats'!J:J),0.1),"Lay eggs"),"Cannot breed")</f>
        <v>Lay eggs</v>
      </c>
      <c r="AV107" s="2" t="str">
        <f t="shared" si="9"/>
        <v>false</v>
      </c>
      <c r="AW107" s="2" t="str">
        <f>IF(_xlfn.XLOOKUP(_xlfn.XLOOKUP(Animals!B107,'Base stats'!B:B,'Base stats'!E:E),Groups!A:A,Groups!AK:AK)=1,"true","false")</f>
        <v>false</v>
      </c>
      <c r="AX107" s="25" t="str">
        <f>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</f>
        <v>OmnivoreAnimal, OvivoreAnimal</v>
      </c>
      <c r="AY107" s="2" t="str">
        <f>IF(_xlfn.XLOOKUP(_xlfn.XLOOKUP(B107,'Base stats'!B:B,'Base stats'!E:E),Groups!A:A,Groups!D:D)=1,MROUND((1-I107)*5+1,2)*IF(I107&lt;=0.4,2,1),"No")</f>
        <v>No</v>
      </c>
      <c r="AZ107" s="2" t="str">
        <f>_xlfn.XLOOKUP(B107,'Base stats'!B:B,'Base stats'!AE:AE)</f>
        <v>No</v>
      </c>
      <c r="BA107" s="23" t="str">
        <f>_xlfn.XLOOKUP(_xlfn.XLOOKUP(B107,'Base stats'!B:B,'Base stats'!E:E),Groups!A:A,Groups!AL:AL)</f>
        <v>BeetleLike</v>
      </c>
      <c r="BB107" s="23">
        <f>MROUND(IF(AND(AN107&lt;0.5,_xlfn.XLOOKUP(B107,'Base stats'!B:B,'Base stats'!Z:Z)=0),0,IF(OR(_xlfn.XLOOKUP(Animals!B107,'Base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stats'!AA:AA),0.005)</f>
        <v>1</v>
      </c>
      <c r="BC107" s="23">
        <f>MROUND(IF(AND(AN107&lt;0.5,_xlfn.XLOOKUP(B107,'Base stats'!B:B,'Base stats'!Z:Z)=0),0,IF(_xlfn.XLOOKUP(_xlfn.XLOOKUP(B107,'Base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stats'!AB:AB),0.005)</f>
        <v>1</v>
      </c>
      <c r="BD107" s="2" t="str">
        <f>IF(I107&gt;0.3,"No",_xlfn.XLOOKUP(_xlfn.XLOOKUP(Animals!B107,'Base stats'!B:B,'Base stats'!E:E),Groups!A:A,Groups!AP:AP))</f>
        <v>No</v>
      </c>
      <c r="BE107" s="2" t="str">
        <f>IF(AND(I107&lt;=0.65,_xlfn.XLOOKUP(_xlfn.XLOOKUP(Animals!B107,'Base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stats'!O:O)=2,0.2,AN107) + 24*(1-IF(BD107="No",0,BD107)) + 16/3, 12),"No")</f>
        <v>No</v>
      </c>
      <c r="BF107" s="2">
        <f>IF(AND(_xlfn.XLOOKUP(_xlfn.XLOOKUP(B107,'Base stats'!B:B,'Base stats'!E:E),Groups!A:A,Groups!AQ:AQ)=1,AN107&lt;=0.35),8,12)</f>
        <v>12</v>
      </c>
      <c r="BG107" s="2" t="str">
        <f>IF(_xlfn.XLOOKUP(_xlfn.XLOOKUP(B107,'Base stats'!B:B,'Base stats'!E:E),Groups!A:A,Groups!D:D)=0,_xlfn.XLOOKUP(_xlfn.XLOOKUP(B107,'Base stats'!B:B,'Base stats'!E:E),Groups!A:A,Groups!AR:AR),"None")</f>
        <v>Advanced</v>
      </c>
      <c r="BH107" s="2" t="str">
        <f>IF(AND(_xlfn.XLOOKUP(_xlfn.XLOOKUP(B107,'Base stats'!B:B,'Base stats'!E:E),Groups!A:A,Groups!AS:AS)=1,OR('Base stats'!Y107="Carnivore",'Base stats'!Y107="Omnivore")),"true","false")</f>
        <v>true</v>
      </c>
      <c r="BI107" s="2">
        <f>IF(BH107="true",MROUND(IF(AND(AN107&gt;0.5,_xlfn.XLOOKUP(_xlfn.XLOOKUP(B107,'Base stats'!B:B,'Base stats'!E:E),Groups!A:A,Groups!AJ:AJ)="Mammal"),Animals!AN107*1.75*IF(AV107="true",1.5,1),Animals!AN107),IF(AN107&gt;2,0.5,IF(AN107&gt;0.5,0.25,0.1))),"No")</f>
        <v>0.5</v>
      </c>
      <c r="BJ107" s="2">
        <f t="shared" si="10"/>
        <v>1</v>
      </c>
      <c r="BK107" s="25" t="str">
        <f>IF('Base stats'!AK107="Standard","No",MROUND((_xlfn.XLOOKUP(B107,'Base stats'!B:B,'Base stats'!AK:AK)/3.6)/H107,0.1))</f>
        <v>No</v>
      </c>
      <c r="BL107" s="25" t="str">
        <f t="shared" si="11"/>
        <v>false</v>
      </c>
      <c r="BM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N107" s="25" t="str" cm="1">
        <f t="array" ref="BN107">IF(
  _xlfn.TEXTJOIN(", ",TRUE,
    IF(AND(BH107="true",AN107&gt;0.5,BG107&lt;&gt;"None"),"AttackTarget",""),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IF(BE107&lt;=36,"Comfort",""),
    IF(_xlfn.XLOOKUP(B107,'Base stats'!B:B,'Base stats'!AC:AC)&lt;&gt;"No",_xlfn.XLOOKUP(B107,'Base stats'!B:B,'Base stats'!AC:AC),"")
  ) = "",
  "No",
  _xlfn.TEXTJOIN(", ",TRUE,
    IF(AND(BH107="true",AN107&gt;0.5,BG107&lt;&gt;"None"),"AttackTarget",""),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IF(BE107&lt;=36,"Comfort",""),
    IF(_xlfn.XLOOKUP(B107,'Base stats'!B:B,'Base stats'!AC:AC)&lt;&gt;"No",_xlfn.XLOOKUP(B107,'Base stats'!B:B,'Base stats'!AC:AC),"")
  )
)</f>
        <v>SludgeSpew</v>
      </c>
      <c r="BO107" s="25" t="str">
        <f>IF(
   AND(
      'Base stats'!AK107="Standard",_xlfn.XLOOKUP(_xlfn.XLOOKUP(B107,'Base stats'!B:B,'Base stats'!E:E),Groups!A:A,Groups!AU:AU)=0,
      OR(
      BM107="True"
      )
   ),
   10,
   IF(
       OR(BK107&lt;&gt;"No",_xlfn.XLOOKUP(_xlfn.XLOOKUP(B107,'Base stats'!B:B,'Base stats'!E:E),Groups!A:A,Groups!AU:AU)=1),
      1,
      "No"
   )
)</f>
        <v>No</v>
      </c>
      <c r="BP107" s="9">
        <f>MROUND((1 + ((0.2*IF(OR(P107="No",Q107="No",Q107=0),0,P107/Q107)
+IF(OR(U107="No",R107="No",S107="No"),0,R107/S107*(LEN(U107)-LEN(SUBSTITUTE(U107,",",""))+1))
+IF(OR(W107="No",X107="No"),0,W107/X107)
+IF(OR(AC107="No",AD107="No"),0,AC107/AD107)
+IF(OR(AK107="No",AH107="No",AI107="No"),0,AH107/AI107*(LEN(AK107)-LEN(SUBSTITUTE(AK107,",",""))+1))
)/(0.2*IF(OR(P107="No",Q107="No",Q107=0),0,1)
+IF(OR(U107="No",R107="No",S107="No"),0,LEN(U107)-LEN(SUBSTITUTE(U107,",",""))+1)
+IF(OR(W107="No",X107="No"),0,1)
+IF(OR(AC107="No",AD107="No"),0,1)
+IF(OR(AK107="No",AH107="No",AI107="No"),0,LEN(AK107)-LEN(SUBSTITUTE(AK107,",",""))+1))*62%)* 2)*(1 + (AO107 + _xlfn.XLOOKUP(B107,'Base stats'!B:B,'Base stats'!AS:AS) * 1.8) * 2) * 2.5 + 10 + H107 * 2,5)+IF(_xlfn.XLOOKUP(B107,'Base stats'!B:B,'Base stats'!AH:AH)=1,50,0)</f>
        <v>70</v>
      </c>
      <c r="BQ107" s="8">
        <f t="shared" si="12"/>
        <v>0.2</v>
      </c>
      <c r="BR107" s="8" t="str">
        <f>_xlfn.XLOOKUP(B107,'Base stats'!B:B,'Base stats'!AD:AD)</f>
        <v>No</v>
      </c>
      <c r="BS107" s="2" t="str">
        <f>IF(AND(I107&lt;=0.95,OR(_xlfn.XLOOKUP(B107,'Base stats'!B:B,'Base stats'!AH:AH)=1,_xlfn.XLOOKUP(B107,'Base stats'!B:B,'Base stats'!Y:Y)="Carnivore",_xlfn.XLOOKUP(B107,'Base stats'!B:B,'Base stats'!Y:Y)="Omnivore",BC107&gt;0.1)),"true","false")</f>
        <v>true</v>
      </c>
      <c r="BT107" s="2" t="str">
        <f>IF(_xlfn.XLOOKUP(B107,'Base stats'!B:B,'Base stats'!AF:AF)=1,"true","false")</f>
        <v>false</v>
      </c>
      <c r="BU107" s="25" t="str">
        <f>IF(E107="BaseInsect","AnimalInsect",
IF(I107&gt;0.95,"AnimalExotic",
_xlfn.TEXTJOIN(", ",TRUE,
IF(AND(_xlfn.XLOOKUP(B107,'Base stats'!B:B,'Base stats'!O:O)=0,_xlfn.XLOOKUP(_xlfn.XLOOKUP(B107,'Base stats'!B:B,'Base stats'!E:E),Groups!A:A,Groups!B:B)&gt;0),"AnimalUncommon","AnimalCommon"),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stats'!AH:AH)=1,AND(BG107&lt;&gt;"None",BP107&gt;=60),ISNUMBER(SEARCH("Attack target",BN107))),"AnimalFighter","")
)))</f>
        <v>AnimalInsect</v>
      </c>
      <c r="BV107" s="25" t="str">
        <f>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</f>
        <v/>
      </c>
      <c r="BW107" s="25" t="str">
        <f>IF(_xlfn.XLOOKUP(B107,'Base stats'!B:B,'Base stats'!AG:AG)=1,"true","false")</f>
        <v>false</v>
      </c>
      <c r="BX107" s="25">
        <f>IF(_xlfn.XLOOKUP(B107,'Base stats'!B:B,'Base stats'!N:N)=1,"No",MIN(MROUND(IF(OR(_xlfn.XLOOKUP(B107,'Base stats'!B:B,'Base stats'!AJ:AJ)=1,AND(BH107="True",CA107="False")),POWER(10,3.47*LOG10(_xlfn.XLOOKUP(B107,'Base stats'!B:B,'Base stats'!C:C)*1000)^-0.96),POWER(10,4.15*LOG10(_xlfn.XLOOKUP(B107,'Base stats'!B:B,'Base stats'!C:C)*1000)^-0.73))*IF(OR(_xlfn.XLOOKUP(B107,'Base stats'!B:B,'Base stats'!AJ:AJ)=1,_xlfn.XLOOKUP(B107,'Base stats'!B:B,'Base stats'!AH:AH)=1),0.5,1)/100,0.025),1))</f>
        <v>0.30000000000000004</v>
      </c>
      <c r="BY107" s="25">
        <f>IF(O107="Standard","No",IF(_xlfn.XLOOKUP(B107,'Base stats'!B:B,'Base stats'!N:N)=0,MROUND(BX107*O107,0.05),MIN(1,MAX(0.025,MROUND(IF(OR(CA107="true",AND(BH107="false",BM107="false")),POWER(10,4.15*LOG10(_xlfn.XLOOKUP(B107,'Base stats'!B:B,'Base stats'!C:C)*1000)^-0.73),POWER(10,3.47*LOG10(_xlfn.XLOOKUP(B107,'Base stats'!B:B,'Base stats'!C:C)*1000)^-0.96))*IF(_xlfn.XLOOKUP(B107,'Base stats'!B:B,'Base stats'!AH:AH)=1,0.5,1)/100,0.025)))))</f>
        <v>0.30000000000000004</v>
      </c>
      <c r="BZ107" s="25" t="str">
        <f>IF(_xlfn.XLOOKUP(_xlfn.XLOOKUP(B107,'Base stats'!B:B,'Base stats'!E:E),Groups!A:A,Groups!AJ:AJ)="Mammal","True","False")</f>
        <v>False</v>
      </c>
      <c r="CA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B107" s="25" t="str">
        <f t="shared" si="13"/>
        <v>False</v>
      </c>
      <c r="CC107" s="25" t="str">
        <f>IF(_xlfn.XLOOKUP(_xlfn.XLOOKUP(B107,'Base stats'!B:B,'Base stats'!E:E),Groups!A:A,Groups!AW:AW),"True","False")</f>
        <v>False</v>
      </c>
      <c r="CD107" s="25" t="str">
        <f>IF(_xlfn.XLOOKUP(_xlfn.XLOOKUP(B107,'Base stats'!B:B,'Base stats'!E:E),Groups!A:A,Groups!AX:AX),"True","False")</f>
        <v>False</v>
      </c>
      <c r="CE107" s="25" t="str">
        <f>IF(_xlfn.XLOOKUP(B107,'Base stats'!B:B,'Base stats'!E:E)=1,"True","False")</f>
        <v>False</v>
      </c>
      <c r="CF107" s="25" t="str">
        <f>IF(
OR(
_xlfn.XLOOKUP(_xlfn.XLOOKUP(B107,'Base stats'!B:B,'Base stats'!E:E),Groups!A:A,Groups!AY:AY)=0,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stats'!E:E),Groups!A:A,Groups!AY:AY)=1,
"Flesh",
IF(
_xlfn.XLOOKUP(_xlfn.XLOOKUP(B107,'Base stats'!B:B,'Base stats'!E:E),Groups!A:A,Groups!AY:AY)=2,
"Bone",
""
)
)
)</f>
        <v>Bone</v>
      </c>
      <c r="CG107" s="25" t="str">
        <f>IF(_xlfn.XLOOKUP(_xlfn.XLOOKUP(B107,'Base stats'!B:B,'Base stats'!E:E),Groups!A:A,Groups!BA:BA),"True","False")</f>
        <v>False</v>
      </c>
      <c r="CH107" s="25" t="str">
        <f>IF(_xlfn.XLOOKUP(_xlfn.XLOOKUP(B107,'Base stats'!B:B,'Base stats'!E:E),Groups!A:A,Groups!AZ:AZ),"True","False")</f>
        <v>False</v>
      </c>
    </row>
    <row r="108" spans="1:86" ht="16.5" thickTop="1" thickBot="1" x14ac:dyDescent="0.3">
      <c r="A108" s="26" t="str">
        <f>_xlfn.XLOOKUP(B108,'Base stats'!B:B,'Base stats'!A:A)</f>
        <v>Locust</v>
      </c>
      <c r="B108" s="6" t="s">
        <v>437</v>
      </c>
      <c r="C108" s="28" t="s">
        <v>801</v>
      </c>
      <c r="D108" s="28" t="s">
        <v>882</v>
      </c>
      <c r="E108" s="28" t="s">
        <v>796</v>
      </c>
      <c r="F108" s="28" t="s">
        <v>797</v>
      </c>
      <c r="G108" s="2">
        <f>MROUND((
  (IF(AND(_xlfn.XLOOKUP(B108,'Base stats'!B:B,'Base stats'!AI:AI)=0,BG108="None",_xlfn.XLOOKUP('Base stats'!E108,Groups!A:A,Groups!B:B)=0), (18 + BP108 * 2.7) * 0.5,
    IF(AND(_xlfn.XLOOKUP(B108,'Base stats'!B:B,'Base stats'!AI:AI)=0,OR(AN108&lt;0.55,AND(BG108="Intermediate",_xlfn.XLOOKUP('Base stats'!E108,Groups!A:A,Groups!B:B)&lt;2))), (18 + BP108 * 2.7),
      IF(OR(BG108="Advanced",_xlfn.XLOOKUP(B108,'Base stats'!B:B,'Base stats'!AI:AI)=1,_xlfn.XLOOKUP('Base stats'!E108,Groups!A:A,Groups!B:B)=2), (18 + BP108 * 2.7) + 250, (18 + BP108 * 2.7))
    )
  ))
  + AN108 * 80
  + IF(COUNTIF(EggMilk!K$2:K$998, A108) &gt; 0, 125, 0)
  + IF(COUNTIF(EggMilk!P$2:P$998, A108) &gt; 0, 90, 0)
  + IF(COUNTIF(EggMilk!A$2:A$998, A108) &gt; 0, 90, 0)
)
* (0.8 + 0.4 * I108)
* 0.75,25)</f>
        <v>475</v>
      </c>
      <c r="H108" s="2">
        <f>MROUND(ROUNDDOWN(_xlfn.XLOOKUP(B108,'Base stats'!B:B,'Base stats'!L:L)/3.6/(23.3/11),1),0.5)</f>
        <v>4</v>
      </c>
      <c r="I108" s="2">
        <f>IF(_xlfn.XLOOKUP(B108,'Base stats'!B:B,'Base stats'!AI:AI)=1,0.99,MIN(MROUND((1-0.6282*EXP(-0.459*AN108))*_xlfn.XLOOKUP(_xlfn.XLOOKUP(B108,'Base stats'!B:B,'Base stats'!E:E),Groups!A:A,Groups!C:C)*IF(_xlfn.XLOOKUP(B108,'Base stats'!B:B,'Base stats'!O:O)=1,0.5,IF(_xlfn.XLOOKUP(B108,'Base stats'!B:B,'Base stats'!O:O)=2,0,1)),0.05),0.985))</f>
        <v>0.60000000000000009</v>
      </c>
      <c r="J108" s="2">
        <f>ROUNDUP(AN108*_xlfn.XLOOKUP(_xlfn.XLOOKUP(B108,'Base stats'!B:B,'Base stats'!E:E),Groups!A:A,Groups!E:E),0)</f>
        <v>1</v>
      </c>
      <c r="K108" s="2">
        <f>IF(OR(_xlfn.XLOOKUP(_xlfn.XLOOKUP(B108,'Base stats'!B:B,'Base stats'!E:E),Groups!A:A,Groups!F:F)=2,ISNUMBER(SEARCH("SeaIce",BV108)),ISNUMBER(SEARCH("IceSheet",BV108))),-50,IF(OR(ISNUMBER(SEARCH("GlacialPlain",BV108)),ISNUMBER(SEARCH("Tundra",BV108))),-40,IF(OR(ISNUMBER(SEARCH("Alpine",BV108)),ISNUMBER(SEARCH("BorealForest",BV108)),ISNUMBER(SEARCH("ColdBog",BV108))),-30,IF(OR(ISNUMBER(SEARCH("TemperateForest",BV108)),ISNUMBER(SEARCH("TemperateSwamp",BV108))),-20,IF(_xlfn.XLOOKUP(_xlfn.XLOOKUP(B108,'Base stats'!B:B,'Base stats'!E:E),Groups!A:A,Groups!F:F)=1,-15,IF(OR(ISNUMBER(SEARCH("Desert",BV108)),ISNUMBER(SEARCH("ExtremeDesert",BV108))),-10,IF(OR(ISNUMBER(SEARCH("Grasslands",BV108)),ISNUMBER(SEARCH("TropicalRainforest",BV108)),ISNUMBER(SEARCH("TropicalSwamp",BV108))),10,0)))))))-IF(CA108="False",MIN(IFERROR(MAX(MROUND(LOG10(_xlfn.XLOOKUP(B108,'Base stats'!B:B,'Base stats'!C:C)^(2/3))*10,5),5),5),30))-_xlfn.XLOOKUP(B108,'Base stats'!B:B,'Base stats'!P:P)+IF(CA108="True",5,0)</f>
        <v>5</v>
      </c>
      <c r="L108" s="2">
        <f>IF(OR(_xlfn.XLOOKUP(_xlfn.XLOOKUP(B108,'Base stats'!B:B,'Base stats'!E:E),Groups!A:A,Groups!G:G)=2,ISNUMBER(SEARCH("Desert",BV108)),ISNUMBER(SEARCH("ExtremeDesert",BV108)),ISNUMBER(SEARCH("LavaField",BV108))),50,IF(ISNUMBER(SEARCH("Grasslands",BV108)),45,IF(OR(_xlfn.XLOOKUP(_xlfn.XLOOKUP(B108,'Base stats'!B:B,'Base stats'!E:E),Groups!A:A,Groups!G:G)=1,ISNUMBER(SEARCH("TropicalRainforest",BV108)),ISNUMBER(SEARCH("TropicalSwamp",BV108))),40,IF(OR(ISNUMBER(SEARCH("TemperateForest",BV108)),ISNUMBER(SEARCH("TemperateSwamp",BV108))),35,IF(OR(ISNUMBER(SEARCH("Alpine",BV108)),ISNUMBER(SEARCH("BorealForest",BV108)),ISNUMBER(SEARCH("ColdBog",BV108))),30,IF(ISNUMBER(OR(ISNUMBER(SEARCH("GlacialPlain",BV108)),SEARCH("Tundra",BV108))),25,IF(OR(ISNUMBER(SEARCH("SeaIce",BV108)),ISNUMBER(SEARCH("IceSheet",BV108)),ISNUMBER(SEARCH("TropicalSwamp",BV108))),10,35)))))))+_xlfn.XLOOKUP(B108,'Base stats'!B:B,'Base stats'!Q:Q)</f>
        <v>50</v>
      </c>
      <c r="M108" s="8">
        <f>IF(_xlfn.XLOOKUP(_xlfn.XLOOKUP(B108,'Base stats'!B:B,'Base stats'!E:E),Groups!A:A,Groups!L:L)=1,MIN(MROUND(_xlfn.XLOOKUP(B108,'Animals CE'!B:B,'Animals CE'!Z:Z)/2+0.05,0.05),200%),"No")</f>
        <v>0.45</v>
      </c>
      <c r="N108" s="8">
        <f>IF(_xlfn.XLOOKUP(_xlfn.XLOOKUP(B108,'Base stats'!B:B,'Base stats'!E:E),Groups!A:A,Groups!L:L)=1,MIN(MROUND(_xlfn.XLOOKUP(B108,'Animals CE'!B:B,'Animals CE'!AA:AA)/2+0.05,0.05),200%),"No")</f>
        <v>0.1</v>
      </c>
      <c r="O108" s="2">
        <f>_xlfn.XLOOKUP(B108,'Base stats'!B:B,'Base stats'!R:R)</f>
        <v>1</v>
      </c>
      <c r="P108" s="13">
        <f>MROUND((LOG10(_xlfn.XLOOKUP(B108,'Base stats'!B:B,'Base stats'!AO:AO))*(AN108^0.5)+(_xlfn.XLOOKUP(B108,'Base stats'!B:B,'Base stats'!AO:AO)/1000)^(2/3)+_xlfn.XLOOKUP(B108,'Base stats'!B:B,'Base stats'!AX:AX)/2)+0.5,0.5)</f>
        <v>5.5</v>
      </c>
      <c r="Q108" s="7">
        <f>IF(P108="No","No",MAX(1,MROUND(_xlfn.XLOOKUP(B108,'Base stats'!B:B,'Base stats'!C:C)^0.165,0.05)))</f>
        <v>1.75</v>
      </c>
      <c r="R108" s="13" t="str">
        <f>IF(_xlfn.XLOOKUP(_xlfn.XLOOKUP(B108,'Base stats'!B:B,'Base stats'!E:E),Groups!A:A,Groups!P:P)=0,"No",MROUND((LOG10(_xlfn.XLOOKUP(B108,'Base stats'!B:B,'Base stats'!AP:AP))*(AN108^0.5)+(_xlfn.XLOOKUP(B108,'Base stats'!B:B,'Base stats'!AP:AP)/1000)^(2/3)+_xlfn.XLOOKUP(B108,'Base stats'!B:B,'Base stats'!AX:AX))+_xlfn.XLOOKUP(B108,'Base stats'!B:B,'Base stats'!AV:AV)+0.5,0.5))</f>
        <v>No</v>
      </c>
      <c r="S108" s="7" t="str">
        <f>IF(R108="No","No",MAX(_xlfn.XLOOKUP(_xlfn.XLOOKUP(B108,'Base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T108" s="7" t="str">
        <f>IF(R108="No","No",_xlfn.XLOOKUP(_xlfn.XLOOKUP(B108,'Base stats'!B:B,'Base stats'!E:E),Groups!A:A,Groups!R:R))</f>
        <v>No</v>
      </c>
      <c r="U108" s="7" t="str">
        <f>IF(R108="No","No",_xlfn.XLOOKUP(_xlfn.XLOOKUP(B108,'Base stats'!B:B,'Base stats'!E:E),Groups!A:A,Groups!S:S))</f>
        <v>No</v>
      </c>
      <c r="V108" s="7" t="str">
        <f>IF(R108="No","No",_xlfn.XLOOKUP(_xlfn.XLOOKUP(B108,'Base stats'!B:B,'Base stats'!E:E),Groups!A:A,Groups!T:T))</f>
        <v>No</v>
      </c>
      <c r="W108" s="13" t="str">
        <f>IF(_xlfn.XLOOKUP(B108,'Base stats'!B:B,'Base stats'!W:W)="No","No",MROUND((LOG10(_xlfn.XLOOKUP(B108,'Base stats'!B:B,'Base stats'!AR:AR))*(AN108^0.5)+(_xlfn.XLOOKUP(B108,'Base stats'!B:B,'Base stats'!AR:AR)/1000)^(2/3)+_xlfn.XLOOKUP(B108,'Base stats'!B:B,'Base stats'!AW:AW))+0.5+IF(_xlfn.XLOOKUP(_xlfn.XLOOKUP(B108,'Base stats'!B:B,'Base stats'!E:E),Groups!A:A,Groups!U:U)&lt;&gt;3,_xlfn.XLOOKUP(B108,'Base stats'!B:B,'Base stats'!AX:AX),0),0.5))</f>
        <v>No</v>
      </c>
      <c r="X108" s="7" t="str">
        <f>IF(W108="No","No",MAX(_xlfn.XLOOKUP(_xlfn.XLOOKUP(B108,'Base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Y108" s="7" t="str">
        <f>IF(W108="No","No",_xlfn.XLOOKUP(_xlfn.XLOOKUP(B108,'Base stats'!B:B,'Base stats'!E:E),Groups!A:A,Groups!W:W))</f>
        <v>No</v>
      </c>
      <c r="Z108" s="7" t="str">
        <f>IF(W108="No","No",_xlfn.XLOOKUP(_xlfn.XLOOKUP(B108,'Base stats'!B:B,'Base stats'!E:E),Groups!A:A,Groups!X:X))</f>
        <v>No</v>
      </c>
      <c r="AA108" s="7" t="str">
        <f>IF(W108="No","No",_xlfn.XLOOKUP(_xlfn.XLOOKUP(B108,'Base stats'!B:B,'Base stats'!E:E),Groups!A:A,Groups!Y:Y))</f>
        <v>No</v>
      </c>
      <c r="AB108" s="7" t="str">
        <f>_xlfn.XLOOKUP(Animals!B108,'Base stats'!B:B,'Base stats'!X:X)</f>
        <v>False</v>
      </c>
      <c r="AC108" s="13">
        <f>IF(_xlfn.XLOOKUP(B108,'Base stats'!B:B,'Base stats'!AQ:AQ)="No","No",MROUND((LOG10(_xlfn.XLOOKUP(B108,'Base stats'!B:B,'Base stats'!AQ:AQ))*(AN108^0.75)+(_xlfn.XLOOKUP(B108,'Base stats'!B:B,'Base stats'!AQ:AQ)/1000)^(2/3)+_xlfn.XLOOKUP(B108,'Base stats'!B:B,'Base stats'!AU:AU)+_xlfn.XLOOKUP(B108,'Base stats'!B:B,'Base stats'!AX:AX))+0.5,0.5))</f>
        <v>16</v>
      </c>
      <c r="AD108" s="7">
        <f>IF(AC108="No","No",MAX(_xlfn.XLOOKUP(_xlfn.XLOOKUP(B108,'Base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2.1</v>
      </c>
      <c r="AE108" s="7" t="str">
        <f>IF(AC108="No","No",_xlfn.XLOOKUP(_xlfn.XLOOKUP(B108,'Base stats'!B:B,'Base stats'!E:E),Groups!A:A,Groups!AA:AA))</f>
        <v>Mouth</v>
      </c>
      <c r="AF108" s="7" t="str">
        <f>IF(AC108="No","No",_xlfn.XLOOKUP(_xlfn.XLOOKUP(B108,'Base stats'!B:B,'Base stats'!E:E),Groups!A:A,Groups!AB:AB))</f>
        <v>mandibles</v>
      </c>
      <c r="AG108" s="7" t="str">
        <f>IF(AC108="No","No",_xlfn.XLOOKUP(_xlfn.XLOOKUP(B108,'Base stats'!B:B,'Base stats'!E:E),Groups!A:A,Groups!AC:AC))</f>
        <v>Bite</v>
      </c>
      <c r="AH108" s="13" t="str">
        <f>IF(_xlfn.XLOOKUP(_xlfn.XLOOKUP(B108,'Base stats'!B:B,'Base stats'!E:E),Groups!A:A,Groups!AD:AD)=0,"No",MROUND((LOG10(_xlfn.XLOOKUP(B108,'Base stats'!B:B,'Base stats'!AP:AP))*(AN108^0.75)+(_xlfn.XLOOKUP(B108,'Base stats'!B:B,'Base stats'!AP:AP)/1000)^(2/3)+_xlfn.XLOOKUP(B108,'Base stats'!B:B,'Base stats'!AV:AV)+_xlfn.XLOOKUP(B108,'Base stats'!B:B,'Base stats'!AX:AX))+0.5,0.5))</f>
        <v>No</v>
      </c>
      <c r="AI108" s="7" t="str">
        <f>IF(AH108="No","No",MAX(_xlfn.XLOOKUP(_xlfn.XLOOKUP(B108,'Base stats'!B:B,'Base stats'!E:E),Groups!A:A,Groups!AE:AE),MROUND(_xlfn.XLOOKUP(_xlfn.XLOOKUP(B108,'Base stats'!B:B,'Base stats'!E:E),Groups!A:A,Groups!AE:AE)*_xlfn.XLOOKUP(B108,'Base stats'!B:B,'Base stats'!C:C)^0.165,0.05)))</f>
        <v>No</v>
      </c>
      <c r="AJ108" s="7" t="str">
        <f>IF(AH108="No","No",_xlfn.XLOOKUP(_xlfn.XLOOKUP(B108,'Base stats'!B:B,'Base stats'!E:E),Groups!A:A,Groups!AF:AF))</f>
        <v>No</v>
      </c>
      <c r="AK108" s="7" t="str">
        <f>IF(AH108="No","No",_xlfn.XLOOKUP(_xlfn.XLOOKUP(B108,'Base stats'!B:B,'Base stats'!E:E),Groups!A:A,Groups!AG:AG))</f>
        <v>No</v>
      </c>
      <c r="AL108" s="7" t="str">
        <f>IF(AH108="No","No",_xlfn.XLOOKUP(_xlfn.XLOOKUP(B108,'Base stats'!B:B,'Base stats'!E:E),Groups!A:A,Groups!AH:AH))</f>
        <v>No</v>
      </c>
      <c r="AM108" s="2">
        <f t="shared" si="7"/>
        <v>20</v>
      </c>
      <c r="AN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0.70000000000000007</v>
      </c>
      <c r="AO108" s="8">
        <f>MROUND(AN108*_xlfn.XLOOKUP(_xlfn.XLOOKUP(B108,'Base stats'!B:B,'Base stats'!E:E),Groups!A:A,Groups!AI:AI),0.05)</f>
        <v>0.70000000000000007</v>
      </c>
      <c r="AP108" s="8">
        <f>MAX(0.01,MROUND(IF(CA108="True",0.196*(AN108*100*1000)^0.889,IF(_xlfn.XLOOKUP(_xlfn.XLOOKUP(B108,'Base stats'!B:B,'Base stats'!E:E),Groups!A:A,Groups!AJ:AJ)="Bird",10.5*(AN108*100*1000)^0.681,4.82*(AN108*100*1000)^0.734))/(4.82*(1*100*1000)^0.734)/IF(AN108&lt;3.5,2,IF(AN108=3.5,1.5,1.25))*(1+0.132282374779864/(AN108^0.994035016789033+0.00905238001496948)),0.05))</f>
        <v>0.1</v>
      </c>
      <c r="AQ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R108" s="35" t="str">
        <f>IFERROR(IF(_xlfn.XLOOKUP(B108,'Base stats'!B:B,'Base stats'!F:F)="Lay eggs","Lay eggs",MIN(20,MAX(5.5,ROUND(((_xlfn.XLOOKUP(B108,'Base stats'!B:B,'Base stats'!F:F)-25)*(14.5/615) + 5.5)*2,0)/2))),"Cannot breed")</f>
        <v>Lay eggs</v>
      </c>
      <c r="AS108" s="8">
        <f>IF(OR(A108="Queen",A108="Larva",A108="Megachicken"),"No",IFERROR(MAX(IF(_xlfn.XLOOKUP(B108,'Base stats'!B:B,'Base stats'!G:G)&lt;0.5,0.2,0.3),MROUND(_xlfn.XLOOKUP(B108,'Base stats'!B:B,'Base stats'!G:G)/(365/60),0.2)),"Unknown"))</f>
        <v>0.3</v>
      </c>
      <c r="AT108" s="8">
        <f t="shared" si="8"/>
        <v>0.15000000000000002</v>
      </c>
      <c r="AU108" s="8" t="str">
        <f>IFERROR(IFERROR(MROUND(_xlfn.XLOOKUP(B108,'Base stats'!B:B,'Base stats'!J:J),0.1),"Lay eggs"),"Cannot breed")</f>
        <v>Lay eggs</v>
      </c>
      <c r="AV108" s="2" t="str">
        <f t="shared" si="9"/>
        <v>false</v>
      </c>
      <c r="AW108" s="2" t="str">
        <f>IF(_xlfn.XLOOKUP(_xlfn.XLOOKUP(Animals!B108,'Base stats'!B:B,'Base stats'!E:E),Groups!A:A,Groups!AK:AK)=1,"true","false")</f>
        <v>false</v>
      </c>
      <c r="AX108" s="25" t="str">
        <f>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</f>
        <v>OmnivoreAnimal, OvivoreAnimal</v>
      </c>
      <c r="AY108" s="2" t="str">
        <f>IF(_xlfn.XLOOKUP(_xlfn.XLOOKUP(B108,'Base stats'!B:B,'Base stats'!E:E),Groups!A:A,Groups!D:D)=1,MROUND((1-I108)*5+1,2)*IF(I108&lt;=0.4,2,1),"No")</f>
        <v>No</v>
      </c>
      <c r="AZ108" s="2" t="str">
        <f>_xlfn.XLOOKUP(B108,'Base stats'!B:B,'Base stats'!AE:AE)</f>
        <v>No</v>
      </c>
      <c r="BA108" s="23" t="str">
        <f>_xlfn.XLOOKUP(_xlfn.XLOOKUP(B108,'Base stats'!B:B,'Base stats'!E:E),Groups!A:A,Groups!AL:AL)</f>
        <v>BeetleLike</v>
      </c>
      <c r="BB108" s="23">
        <f>MROUND(IF(AND(AN108&lt;0.5,_xlfn.XLOOKUP(B108,'Base stats'!B:B,'Base stats'!Z:Z)=0),0,IF(OR(_xlfn.XLOOKUP(Animals!B108,'Base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stats'!AA:AA),0.005)</f>
        <v>1</v>
      </c>
      <c r="BC108" s="23">
        <f>MROUND(IF(AND(AN108&lt;0.5,_xlfn.XLOOKUP(B108,'Base stats'!B:B,'Base stats'!Z:Z)=0),0,IF(_xlfn.XLOOKUP(_xlfn.XLOOKUP(B108,'Base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stats'!AB:AB),0.005)</f>
        <v>1</v>
      </c>
      <c r="BD108" s="2" t="str">
        <f>IF(I108&gt;0.3,"No",_xlfn.XLOOKUP(_xlfn.XLOOKUP(Animals!B108,'Base stats'!B:B,'Base stats'!E:E),Groups!A:A,Groups!AP:AP))</f>
        <v>No</v>
      </c>
      <c r="BE108" s="2" t="str">
        <f>IF(AND(I108&lt;=0.65,_xlfn.XLOOKUP(_xlfn.XLOOKUP(Animals!B108,'Base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stats'!O:O)=2,0.2,AN108) + 24*(1-IF(BD108="No",0,BD108)) + 16/3, 12),"No")</f>
        <v>No</v>
      </c>
      <c r="BF108" s="2">
        <f>IF(AND(_xlfn.XLOOKUP(_xlfn.XLOOKUP(B108,'Base stats'!B:B,'Base stats'!E:E),Groups!A:A,Groups!AQ:AQ)=1,AN108&lt;=0.35),8,12)</f>
        <v>12</v>
      </c>
      <c r="BG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H108" s="2" t="str">
        <f>IF(AND(_xlfn.XLOOKUP(_xlfn.XLOOKUP(B108,'Base stats'!B:B,'Base stats'!E:E),Groups!A:A,Groups!AS:AS)=1,OR('Base stats'!Y108="Carnivore",'Base stats'!Y108="Omnivore")),"true","false")</f>
        <v>true</v>
      </c>
      <c r="BI108" s="2">
        <f>IF(BH108="true",MROUND(IF(AND(AN108&gt;0.5,_xlfn.XLOOKUP(_xlfn.XLOOKUP(B108,'Base stats'!B:B,'Base stats'!E:E),Groups!A:A,Groups!AJ:AJ)="Mammal"),Animals!AN108*1.75*IF(AV108="true",1.5,1),Animals!AN108),IF(AN108&gt;2,0.5,IF(AN108&gt;0.5,0.25,0.1))),"No")</f>
        <v>0.75</v>
      </c>
      <c r="BJ108" s="2">
        <f t="shared" si="10"/>
        <v>1</v>
      </c>
      <c r="BK108" s="25" t="str">
        <f>IF('Base stats'!AK108="Standard","No",MROUND((_xlfn.XLOOKUP(B108,'Base stats'!B:B,'Base stats'!AK:AK)/3.6)/H108,0.1))</f>
        <v>No</v>
      </c>
      <c r="BL108" s="25" t="str">
        <f t="shared" si="11"/>
        <v>false</v>
      </c>
      <c r="BM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N108" s="25" t="str" cm="1">
        <f t="array" ref="BN108">IF(
  _xlfn.TEXTJOIN(", ",TRUE,
    IF(AND(BH108="true",AN108&gt;0.5,BG108&lt;&gt;"None"),"AttackTarget",""),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IF(BE108&lt;=36,"Comfort",""),
    IF(_xlfn.XLOOKUP(B108,'Base stats'!B:B,'Base stats'!AC:AC)&lt;&gt;"No",_xlfn.XLOOKUP(B108,'Base stats'!B:B,'Base stats'!AC:AC),"")
  ) = "",
  "No",
  _xlfn.TEXTJOIN(", ",TRUE,
    IF(AND(BH108="true",AN108&gt;0.5,BG108&lt;&gt;"None"),"AttackTarget",""),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IF(BE108&lt;=36,"Comfort",""),
    IF(_xlfn.XLOOKUP(B108,'Base stats'!B:B,'Base stats'!AC:AC)&lt;&gt;"No",_xlfn.XLOOKUP(B108,'Base stats'!B:B,'Base stats'!AC:AC),"")
  )
)</f>
        <v>AttackTarget, Forage</v>
      </c>
      <c r="BO108" s="25" t="str">
        <f>IF(
   AND(
      'Base stats'!AK108="Standard",_xlfn.XLOOKUP(_xlfn.XLOOKUP(B108,'Base stats'!B:B,'Base stats'!E:E),Groups!A:A,Groups!AU:AU)=0,
      OR(
      BM108="True"
      )
   ),
   10,
   IF(
       OR(BK108&lt;&gt;"No",_xlfn.XLOOKUP(_xlfn.XLOOKUP(B108,'Base stats'!B:B,'Base stats'!E:E),Groups!A:A,Groups!AU:AU)=1),
      1,
      "No"
   )
)</f>
        <v>No</v>
      </c>
      <c r="BP108" s="9">
        <f>MROUND((1 + ((0.2*IF(OR(P108="No",Q108="No",Q108=0),0,P108/Q108)
+IF(OR(U108="No",R108="No",S108="No"),0,R108/S108*(LEN(U108)-LEN(SUBSTITUTE(U108,",",""))+1))
+IF(OR(W108="No",X108="No"),0,W108/X108)
+IF(OR(AC108="No",AD108="No"),0,AC108/AD108)
+IF(OR(AK108="No",AH108="No",AI108="No"),0,AH108/AI108*(LEN(AK108)-LEN(SUBSTITUTE(AK108,",",""))+1))
)/(0.2*IF(OR(P108="No",Q108="No",Q108=0),0,1)
+IF(OR(U108="No",R108="No",S108="No"),0,LEN(U108)-LEN(SUBSTITUTE(U108,",",""))+1)
+IF(OR(W108="No",X108="No"),0,1)
+IF(OR(AC108="No",AD108="No"),0,1)
+IF(OR(AK108="No",AH108="No",AI108="No"),0,LEN(AK108)-LEN(SUBSTITUTE(AK108,",",""))+1))*62%)* 2)*(1 + (AO108 + _xlfn.XLOOKUP(B108,'Base stats'!B:B,'Base stats'!AS:AS) * 1.8) * 2) * 2.5 + 10 + H108 * 2,5)+IF(_xlfn.XLOOKUP(B108,'Base stats'!B:B,'Base stats'!AH:AH)=1,50,0)</f>
        <v>100</v>
      </c>
      <c r="BQ108" s="8">
        <f t="shared" si="12"/>
        <v>0.2</v>
      </c>
      <c r="BR108" s="8" t="str">
        <f>_xlfn.XLOOKUP(B108,'Base stats'!B:B,'Base stats'!AD:AD)</f>
        <v>No</v>
      </c>
      <c r="BS108" s="2" t="str">
        <f>IF(AND(I108&lt;=0.95,OR(_xlfn.XLOOKUP(B108,'Base stats'!B:B,'Base stats'!AH:AH)=1,_xlfn.XLOOKUP(B108,'Base stats'!B:B,'Base stats'!Y:Y)="Carnivore",_xlfn.XLOOKUP(B108,'Base stats'!B:B,'Base stats'!Y:Y)="Omnivore",BC108&gt;0.1)),"true","false")</f>
        <v>true</v>
      </c>
      <c r="BT108" s="2" t="str">
        <f>IF(_xlfn.XLOOKUP(B108,'Base stats'!B:B,'Base stats'!AF:AF)=1,"true","false")</f>
        <v>false</v>
      </c>
      <c r="BU108" s="25" t="str">
        <f>IF(E108="BaseInsect","AnimalInsect",
IF(I108&gt;0.95,"AnimalExotic",
_xlfn.TEXTJOIN(", ",TRUE,
IF(AND(_xlfn.XLOOKUP(B108,'Base stats'!B:B,'Base stats'!O:O)=0,_xlfn.XLOOKUP(_xlfn.XLOOKUP(B108,'Base stats'!B:B,'Base stats'!E:E),Groups!A:A,Groups!B:B)&gt;0),"AnimalUncommon","AnimalCommon"),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stats'!AH:AH)=1,AND(BG108&lt;&gt;"None",BP108&gt;=60),ISNUMBER(SEARCH("Attack target",BN108))),"AnimalFighter","")
)))</f>
        <v>AnimalInsect</v>
      </c>
      <c r="BV108" s="25" t="str">
        <f>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</f>
        <v/>
      </c>
      <c r="BW108" s="25" t="str">
        <f>IF(_xlfn.XLOOKUP(B108,'Base stats'!B:B,'Base stats'!AG:AG)=1,"true","false")</f>
        <v>false</v>
      </c>
      <c r="BX108" s="25">
        <f>IF(_xlfn.XLOOKUP(B108,'Base stats'!B:B,'Base stats'!N:N)=1,"No",MIN(MROUND(IF(OR(_xlfn.XLOOKUP(B108,'Base stats'!B:B,'Base stats'!AJ:AJ)=1,AND(BH108="True",CA108="False")),POWER(10,3.47*LOG10(_xlfn.XLOOKUP(B108,'Base stats'!B:B,'Base stats'!C:C)*1000)^-0.96),POWER(10,4.15*LOG10(_xlfn.XLOOKUP(B108,'Base stats'!B:B,'Base stats'!C:C)*1000)^-0.73))*IF(OR(_xlfn.XLOOKUP(B108,'Base stats'!B:B,'Base stats'!AJ:AJ)=1,_xlfn.XLOOKUP(B108,'Base stats'!B:B,'Base stats'!AH:AH)=1),0.5,1)/100,0.025),1))</f>
        <v>0.25</v>
      </c>
      <c r="BY108" s="25">
        <f>IF(O108="Standard","No",IF(_xlfn.XLOOKUP(B108,'Base stats'!B:B,'Base stats'!N:N)=0,MROUND(BX108*O108,0.05),MIN(1,MAX(0.025,MROUND(IF(OR(CA108="true",AND(BH108="false",BM108="false")),POWER(10,4.15*LOG10(_xlfn.XLOOKUP(B108,'Base stats'!B:B,'Base stats'!C:C)*1000)^-0.73),POWER(10,3.47*LOG10(_xlfn.XLOOKUP(B108,'Base stats'!B:B,'Base stats'!C:C)*1000)^-0.96))*IF(_xlfn.XLOOKUP(B108,'Base stats'!B:B,'Base stats'!AH:AH)=1,0.5,1)/100,0.025)))))</f>
        <v>0.25</v>
      </c>
      <c r="BZ108" s="25" t="str">
        <f>IF(_xlfn.XLOOKUP(_xlfn.XLOOKUP(B108,'Base stats'!B:B,'Base stats'!E:E),Groups!A:A,Groups!AJ:AJ)="Mammal","True","False")</f>
        <v>False</v>
      </c>
      <c r="CA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B108" s="25" t="str">
        <f t="shared" si="13"/>
        <v>False</v>
      </c>
      <c r="CC108" s="25" t="str">
        <f>IF(_xlfn.XLOOKUP(_xlfn.XLOOKUP(B108,'Base stats'!B:B,'Base stats'!E:E),Groups!A:A,Groups!AW:AW),"True","False")</f>
        <v>False</v>
      </c>
      <c r="CD108" s="25" t="str">
        <f>IF(_xlfn.XLOOKUP(_xlfn.XLOOKUP(B108,'Base stats'!B:B,'Base stats'!E:E),Groups!A:A,Groups!AX:AX),"True","False")</f>
        <v>False</v>
      </c>
      <c r="CE108" s="25" t="str">
        <f>IF(_xlfn.XLOOKUP(B108,'Base stats'!B:B,'Base stats'!E:E)=1,"True","False")</f>
        <v>False</v>
      </c>
      <c r="CF108" s="25" t="str">
        <f>IF(
OR(
_xlfn.XLOOKUP(_xlfn.XLOOKUP(B108,'Base stats'!B:B,'Base stats'!E:E),Groups!A:A,Groups!AY:AY)=0,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stats'!E:E),Groups!A:A,Groups!AY:AY)=1,
"Flesh",
IF(
_xlfn.XLOOKUP(_xlfn.XLOOKUP(B108,'Base stats'!B:B,'Base stats'!E:E),Groups!A:A,Groups!AY:AY)=2,
"Bone",
""
)
)
)</f>
        <v>Bone</v>
      </c>
      <c r="CG108" s="25" t="str">
        <f>IF(_xlfn.XLOOKUP(_xlfn.XLOOKUP(B108,'Base stats'!B:B,'Base stats'!E:E),Groups!A:A,Groups!BA:BA),"True","False")</f>
        <v>False</v>
      </c>
      <c r="CH108" s="25" t="str">
        <f>IF(_xlfn.XLOOKUP(_xlfn.XLOOKUP(B108,'Base stats'!B:B,'Base stats'!E:E),Groups!A:A,Groups!AZ:AZ),"True","False")</f>
        <v>False</v>
      </c>
    </row>
    <row r="109" spans="1:86" ht="16.5" thickTop="1" thickBot="1" x14ac:dyDescent="0.3">
      <c r="A109" s="26" t="str">
        <f>_xlfn.XLOOKUP(B109,'Base stats'!B:B,'Base stats'!A:A)</f>
        <v>Coyote</v>
      </c>
      <c r="B109" s="6" t="s">
        <v>926</v>
      </c>
      <c r="C109" s="28" t="s">
        <v>802</v>
      </c>
      <c r="D109" s="28" t="s">
        <v>884</v>
      </c>
      <c r="E109" s="28" t="s">
        <v>685</v>
      </c>
      <c r="F109" s="28" t="s">
        <v>685</v>
      </c>
      <c r="G109" s="2">
        <f>MROUND((
  (IF(AND(_xlfn.XLOOKUP(B109,'Base stats'!B:B,'Base stats'!AI:AI)=0,BG109="None",_xlfn.XLOOKUP('Base stats'!E109,Groups!A:A,Groups!B:B)=0), (18 + BP109 * 2.7) * 0.5,
    IF(AND(_xlfn.XLOOKUP(B109,'Base stats'!B:B,'Base stats'!AI:AI)=0,OR(AN109&lt;0.55,AND(BG109="Intermediate",_xlfn.XLOOKUP('Base stats'!E109,Groups!A:A,Groups!B:B)&lt;2))), (18 + BP109 * 2.7),
      IF(OR(BG109="Advanced",_xlfn.XLOOKUP(B109,'Base stats'!B:B,'Base stats'!AI:AI)=1,_xlfn.XLOOKUP('Base stats'!E109,Groups!A:A,Groups!B:B)=2), (18 + BP109 * 2.7) + 250, (18 + BP109 * 2.7))
    )
  ))
  + AN109 * 80
  + IF(COUNTIF(EggMilk!K$2:K$998, A109) &gt; 0, 125, 0)
  + IF(COUNTIF(EggMilk!P$2:P$998, A109) &gt; 0, 90, 0)
  + IF(COUNTIF(EggMilk!A$2:A$998, A109) &gt; 0, 90, 0)
)
* (0.8 + 0.4 * I109)
* 0.75,25)</f>
        <v>200</v>
      </c>
      <c r="H109" s="2">
        <f>MROUND(ROUNDDOWN(_xlfn.XLOOKUP(B109,'Base stats'!B:B,'Base stats'!L:L)/3.6/(23.3/11),1),0.5)</f>
        <v>8.5</v>
      </c>
      <c r="I109" s="2">
        <f>IF(_xlfn.XLOOKUP(B109,'Base stats'!B:B,'Base stats'!AI:AI)=1,0.99,MIN(MROUND((1-0.6282*EXP(-0.459*AN109))*_xlfn.XLOOKUP(_xlfn.XLOOKUP(B109,'Base stats'!B:B,'Base stats'!E:E),Groups!A:A,Groups!C:C)*IF(_xlfn.XLOOKUP(B109,'Base stats'!B:B,'Base stats'!O:O)=1,0.5,IF(_xlfn.XLOOKUP(B109,'Base stats'!B:B,'Base stats'!O:O)=2,0,1)),0.05),0.985))</f>
        <v>0.65</v>
      </c>
      <c r="J109" s="2">
        <f>ROUNDUP(AN109*_xlfn.XLOOKUP(_xlfn.XLOOKUP(B109,'Base stats'!B:B,'Base stats'!E:E),Groups!A:A,Groups!E:E),0)</f>
        <v>1</v>
      </c>
      <c r="K109" s="2">
        <f>IF(OR(_xlfn.XLOOKUP(_xlfn.XLOOKUP(B109,'Base stats'!B:B,'Base stats'!E:E),Groups!A:A,Groups!F:F)=2,ISNUMBER(SEARCH("SeaIce",BV109)),ISNUMBER(SEARCH("IceSheet",BV109))),-50,IF(OR(ISNUMBER(SEARCH("GlacialPlain",BV109)),ISNUMBER(SEARCH("Tundra",BV109))),-40,IF(OR(ISNUMBER(SEARCH("Alpine",BV109)),ISNUMBER(SEARCH("BorealForest",BV109)),ISNUMBER(SEARCH("ColdBog",BV109))),-30,IF(OR(ISNUMBER(SEARCH("TemperateForest",BV109)),ISNUMBER(SEARCH("TemperateSwamp",BV109))),-20,IF(_xlfn.XLOOKUP(_xlfn.XLOOKUP(B109,'Base stats'!B:B,'Base stats'!E:E),Groups!A:A,Groups!F:F)=1,-15,IF(OR(ISNUMBER(SEARCH("Desert",BV109)),ISNUMBER(SEARCH("ExtremeDesert",BV109))),-10,IF(OR(ISNUMBER(SEARCH("Grasslands",BV109)),ISNUMBER(SEARCH("TropicalRainforest",BV109)),ISNUMBER(SEARCH("TropicalSwamp",BV109))),10,0)))))))-IF(CA109="False",MIN(IFERROR(MAX(MROUND(LOG10(_xlfn.XLOOKUP(B109,'Base stats'!B:B,'Base stats'!C:C)^(2/3))*10,5),5),5),30))-_xlfn.XLOOKUP(B109,'Base stats'!B:B,'Base stats'!P:P)+IF(CA109="True",5,0)</f>
        <v>-45</v>
      </c>
      <c r="L109" s="2">
        <f>IF(OR(_xlfn.XLOOKUP(_xlfn.XLOOKUP(B109,'Base stats'!B:B,'Base stats'!E:E),Groups!A:A,Groups!G:G)=2,ISNUMBER(SEARCH("Desert",BV109)),ISNUMBER(SEARCH("ExtremeDesert",BV109)),ISNUMBER(SEARCH("LavaField",BV109))),50,IF(ISNUMBER(SEARCH("Grasslands",BV109)),45,IF(OR(_xlfn.XLOOKUP(_xlfn.XLOOKUP(B109,'Base stats'!B:B,'Base stats'!E:E),Groups!A:A,Groups!G:G)=1,ISNUMBER(SEARCH("TropicalRainforest",BV109)),ISNUMBER(SEARCH("TropicalSwamp",BV109))),40,IF(OR(ISNUMBER(SEARCH("TemperateForest",BV109)),ISNUMBER(SEARCH("TemperateSwamp",BV109))),35,IF(OR(ISNUMBER(SEARCH("Alpine",BV109)),ISNUMBER(SEARCH("BorealForest",BV109)),ISNUMBER(SEARCH("ColdBog",BV109))),30,IF(ISNUMBER(OR(ISNUMBER(SEARCH("GlacialPlain",BV109)),SEARCH("Tundra",BV109))),25,IF(OR(ISNUMBER(SEARCH("SeaIce",BV109)),ISNUMBER(SEARCH("IceSheet",BV109)),ISNUMBER(SEARCH("TropicalSwamp",BV109))),10,35)))))))+_xlfn.XLOOKUP(B109,'Base stats'!B:B,'Base stats'!Q:Q)</f>
        <v>50</v>
      </c>
      <c r="M109" s="8" t="str">
        <f>IF(_xlfn.XLOOKUP(_xlfn.XLOOKUP(B109,'Base stats'!B:B,'Base stats'!E:E),Groups!A:A,Groups!L:L)=1,MIN(MROUND(_xlfn.XLOOKUP(B109,'Animals CE'!B:B,'Animals CE'!Z:Z)/2+0.05,0.05),200%),"No")</f>
        <v>No</v>
      </c>
      <c r="N109" s="8" t="str">
        <f>IF(_xlfn.XLOOKUP(_xlfn.XLOOKUP(B109,'Base stats'!B:B,'Base stats'!E:E),Groups!A:A,Groups!L:L)=1,MIN(MROUND(_xlfn.XLOOKUP(B109,'Animals CE'!B:B,'Animals CE'!AA:AA)/2+0.05,0.05),200%),"No")</f>
        <v>No</v>
      </c>
      <c r="O109" s="2" t="str">
        <f>_xlfn.XLOOKUP(B109,'Base stats'!B:B,'Base stats'!R:R)</f>
        <v>Standard</v>
      </c>
      <c r="P109" s="13">
        <f>MROUND((LOG10(_xlfn.XLOOKUP(B109,'Base stats'!B:B,'Base stats'!AO:AO))*(AN109^0.5)+(_xlfn.XLOOKUP(B109,'Base stats'!B:B,'Base stats'!AO:AO)/1000)^(2/3)+_xlfn.XLOOKUP(B109,'Base stats'!B:B,'Base stats'!AX:AX)/2)+0.5,0.5)</f>
        <v>4</v>
      </c>
      <c r="Q109" s="7">
        <f>IF(P109="No","No",MAX(1,MROUND(_xlfn.XLOOKUP(B109,'Base stats'!B:B,'Base stats'!C:C)^0.165,0.05)))</f>
        <v>1.55</v>
      </c>
      <c r="R109" s="13" t="str">
        <f>IF(_xlfn.XLOOKUP(_xlfn.XLOOKUP(B109,'Base stats'!B:B,'Base stats'!E:E),Groups!A:A,Groups!P:P)=0,"No",MROUND((LOG10(_xlfn.XLOOKUP(B109,'Base stats'!B:B,'Base stats'!AP:AP))*(AN109^0.5)+(_xlfn.XLOOKUP(B109,'Base stats'!B:B,'Base stats'!AP:AP)/1000)^(2/3)+_xlfn.XLOOKUP(B109,'Base stats'!B:B,'Base stats'!AX:AX))+_xlfn.XLOOKUP(B109,'Base stats'!B:B,'Base stats'!AV:AV)+0.5,0.5))</f>
        <v>No</v>
      </c>
      <c r="S109" s="7" t="str">
        <f>IF(R109="No","No",MAX(_xlfn.XLOOKUP(_xlfn.XLOOKUP(B109,'Base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T109" s="7" t="str">
        <f>IF(R109="No","No",_xlfn.XLOOKUP(_xlfn.XLOOKUP(B109,'Base stats'!B:B,'Base stats'!E:E),Groups!A:A,Groups!R:R))</f>
        <v>No</v>
      </c>
      <c r="U109" s="7" t="str">
        <f>IF(R109="No","No",_xlfn.XLOOKUP(_xlfn.XLOOKUP(B109,'Base stats'!B:B,'Base stats'!E:E),Groups!A:A,Groups!S:S))</f>
        <v>No</v>
      </c>
      <c r="V109" s="7" t="str">
        <f>IF(R109="No","No",_xlfn.XLOOKUP(_xlfn.XLOOKUP(B109,'Base stats'!B:B,'Base stats'!E:E),Groups!A:A,Groups!T:T))</f>
        <v>No</v>
      </c>
      <c r="W109" s="13" t="str">
        <f>IF(_xlfn.XLOOKUP(B109,'Base stats'!B:B,'Base stats'!W:W)="No","No",MROUND((LOG10(_xlfn.XLOOKUP(B109,'Base stats'!B:B,'Base stats'!AR:AR))*(AN109^0.5)+(_xlfn.XLOOKUP(B109,'Base stats'!B:B,'Base stats'!AR:AR)/1000)^(2/3)+_xlfn.XLOOKUP(B109,'Base stats'!B:B,'Base stats'!AW:AW))+0.5+IF(_xlfn.XLOOKUP(_xlfn.XLOOKUP(B109,'Base stats'!B:B,'Base stats'!E:E),Groups!A:A,Groups!U:U)&lt;&gt;3,_xlfn.XLOOKUP(B109,'Base stats'!B:B,'Base stats'!AX:AX),0),0.5))</f>
        <v>No</v>
      </c>
      <c r="X109" s="7" t="str">
        <f>IF(W109="No","No",MAX(_xlfn.XLOOKUP(_xlfn.XLOOKUP(B109,'Base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Y109" s="7" t="str">
        <f>IF(W109="No","No",_xlfn.XLOOKUP(_xlfn.XLOOKUP(B109,'Base stats'!B:B,'Base stats'!E:E),Groups!A:A,Groups!W:W))</f>
        <v>No</v>
      </c>
      <c r="Z109" s="7" t="str">
        <f>IF(W109="No","No",_xlfn.XLOOKUP(_xlfn.XLOOKUP(B109,'Base stats'!B:B,'Base stats'!E:E),Groups!A:A,Groups!X:X))</f>
        <v>No</v>
      </c>
      <c r="AA109" s="7" t="str">
        <f>IF(W109="No","No",_xlfn.XLOOKUP(_xlfn.XLOOKUP(B109,'Base stats'!B:B,'Base stats'!E:E),Groups!A:A,Groups!Y:Y))</f>
        <v>No</v>
      </c>
      <c r="AB109" s="7" t="str">
        <f>_xlfn.XLOOKUP(Animals!B109,'Base stats'!B:B,'Base stats'!X:X)</f>
        <v>False</v>
      </c>
      <c r="AC109" s="13">
        <f>IF(_xlfn.XLOOKUP(B109,'Base stats'!B:B,'Base stats'!AQ:AQ)="No","No",MROUND((LOG10(_xlfn.XLOOKUP(B109,'Base stats'!B:B,'Base stats'!AQ:AQ))*(AN109^0.75)+(_xlfn.XLOOKUP(B109,'Base stats'!B:B,'Base stats'!AQ:AQ)/1000)^(2/3)+_xlfn.XLOOKUP(B109,'Base stats'!B:B,'Base stats'!AU:AU)+_xlfn.XLOOKUP(B109,'Base stats'!B:B,'Base stats'!AX:AX))+0.5,0.5))</f>
        <v>7.5</v>
      </c>
      <c r="AD109" s="7">
        <f>IF(AC109="No","No",MAX(_xlfn.XLOOKUP(_xlfn.XLOOKUP(B109,'Base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E109" s="7" t="str">
        <f>IF(AC109="No","No",_xlfn.XLOOKUP(_xlfn.XLOOKUP(B109,'Base stats'!B:B,'Base stats'!E:E),Groups!A:A,Groups!AA:AA))</f>
        <v>Teeth</v>
      </c>
      <c r="AF109" s="7" t="str">
        <f>IF(AC109="No","No",_xlfn.XLOOKUP(_xlfn.XLOOKUP(B109,'Base stats'!B:B,'Base stats'!E:E),Groups!A:A,Groups!AB:AB))</f>
        <v>canines</v>
      </c>
      <c r="AG109" s="7" t="str">
        <f>IF(AC109="No","No",_xlfn.XLOOKUP(_xlfn.XLOOKUP(B109,'Base stats'!B:B,'Base stats'!E:E),Groups!A:A,Groups!AC:AC))</f>
        <v>Bite</v>
      </c>
      <c r="AH109" s="13" t="str">
        <f>IF(_xlfn.XLOOKUP(_xlfn.XLOOKUP(B109,'Base stats'!B:B,'Base stats'!E:E),Groups!A:A,Groups!AD:AD)=0,"No",MROUND((LOG10(_xlfn.XLOOKUP(B109,'Base stats'!B:B,'Base stats'!AP:AP))*(AN109^0.75)+(_xlfn.XLOOKUP(B109,'Base stats'!B:B,'Base stats'!AP:AP)/1000)^(2/3)+_xlfn.XLOOKUP(B109,'Base stats'!B:B,'Base stats'!AV:AV)+_xlfn.XLOOKUP(B109,'Base stats'!B:B,'Base stats'!AX:AX))+0.5,0.5))</f>
        <v>No</v>
      </c>
      <c r="AI109" s="7" t="str">
        <f>IF(AH109="No","No",MAX(_xlfn.XLOOKUP(_xlfn.XLOOKUP(B109,'Base stats'!B:B,'Base stats'!E:E),Groups!A:A,Groups!AE:AE),MROUND(_xlfn.XLOOKUP(_xlfn.XLOOKUP(B109,'Base stats'!B:B,'Base stats'!E:E),Groups!A:A,Groups!AE:AE)*_xlfn.XLOOKUP(B109,'Base stats'!B:B,'Base stats'!C:C)^0.165,0.05)))</f>
        <v>No</v>
      </c>
      <c r="AJ109" s="7" t="str">
        <f>IF(AH109="No","No",_xlfn.XLOOKUP(_xlfn.XLOOKUP(B109,'Base stats'!B:B,'Base stats'!E:E),Groups!A:A,Groups!AF:AF))</f>
        <v>No</v>
      </c>
      <c r="AK109" s="7" t="str">
        <f>IF(AH109="No","No",_xlfn.XLOOKUP(_xlfn.XLOOKUP(B109,'Base stats'!B:B,'Base stats'!E:E),Groups!A:A,Groups!AG:AG))</f>
        <v>No</v>
      </c>
      <c r="AL109" s="7" t="str">
        <f>IF(AH109="No","No",_xlfn.XLOOKUP(_xlfn.XLOOKUP(B109,'Base stats'!B:B,'Base stats'!E:E),Groups!A:A,Groups!AH:AH))</f>
        <v>No</v>
      </c>
      <c r="AM109" s="2">
        <f t="shared" si="7"/>
        <v>20</v>
      </c>
      <c r="AN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O109" s="8">
        <f>MROUND(AN109*_xlfn.XLOOKUP(_xlfn.XLOOKUP(B109,'Base stats'!B:B,'Base stats'!E:E),Groups!A:A,Groups!AI:AI),0.05)</f>
        <v>0.60000000000000009</v>
      </c>
      <c r="AP109" s="8">
        <f>MAX(0.01,MROUND(IF(CA109="True",0.196*(AN109*100*1000)^0.889,IF(_xlfn.XLOOKUP(_xlfn.XLOOKUP(B109,'Base stats'!B:B,'Base stats'!E:E),Groups!A:A,Groups!AJ:AJ)="Bird",10.5*(AN109*100*1000)^0.681,4.82*(AN109*100*1000)^0.734))/(4.82*(1*100*1000)^0.734)/IF(AN109&lt;3.5,2,IF(AN109=3.5,1.5,1.25))*(1+0.132282374779864/(AN109^0.994035016789033+0.00905238001496948)),0.05))</f>
        <v>0.4</v>
      </c>
      <c r="AQ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R109" s="35">
        <f>IFERROR(IF(_xlfn.XLOOKUP(B109,'Base stats'!B:B,'Base stats'!F:F)="Lay eggs","Lay eggs",MIN(20,MAX(5.5,ROUND(((_xlfn.XLOOKUP(B109,'Base stats'!B:B,'Base stats'!F:F)-25)*(14.5/615) + 5.5)*2,0)/2))),"Cannot breed")</f>
        <v>6.5</v>
      </c>
      <c r="AS109" s="8">
        <f>IF(OR(A109="Queen",A109="Larva",A109="Megachicken"),"No",IFERROR(MAX(IF(_xlfn.XLOOKUP(B109,'Base stats'!B:B,'Base stats'!G:G)&lt;0.5,0.2,0.3),MROUND(_xlfn.XLOOKUP(B109,'Base stats'!B:B,'Base stats'!G:G)/(365/60),0.2)),"Unknown"))</f>
        <v>0.3</v>
      </c>
      <c r="AT109" s="8">
        <f t="shared" si="8"/>
        <v>0.15000000000000002</v>
      </c>
      <c r="AU109" s="8">
        <f>IFERROR(IFERROR(MROUND(_xlfn.XLOOKUP(B109,'Base stats'!B:B,'Base stats'!J:J),0.1),"Lay eggs"),"Cannot breed")</f>
        <v>6</v>
      </c>
      <c r="AV109" s="2" t="str">
        <f t="shared" si="9"/>
        <v>true</v>
      </c>
      <c r="AW109" s="2" t="str">
        <f>IF(_xlfn.XLOOKUP(_xlfn.XLOOKUP(Animals!B109,'Base stats'!B:B,'Base stats'!E:E),Groups!A:A,Groups!AK:AK)=1,"true","false")</f>
        <v>false</v>
      </c>
      <c r="AX109" s="25" t="str">
        <f>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</f>
        <v>CarnivoreAnimal, OvivoreAnimal</v>
      </c>
      <c r="AY109" s="2" t="str">
        <f>IF(_xlfn.XLOOKUP(_xlfn.XLOOKUP(B109,'Base stats'!B:B,'Base stats'!E:E),Groups!A:A,Groups!D:D)=1,MROUND((1-I109)*5+1,2)*IF(I109&lt;=0.4,2,1),"No")</f>
        <v>No</v>
      </c>
      <c r="AZ109" s="2" t="str">
        <f>_xlfn.XLOOKUP(B109,'Base stats'!B:B,'Base stats'!AE:AE)</f>
        <v>Leather_Wolf</v>
      </c>
      <c r="BA109" s="23" t="str">
        <f>_xlfn.XLOOKUP(_xlfn.XLOOKUP(B109,'Base stats'!B:B,'Base stats'!E:E),Groups!A:A,Groups!AL:AL)</f>
        <v>QuadrupedAnimalWithPawsAndTail</v>
      </c>
      <c r="BB109" s="23">
        <f>MROUND(IF(AND(AN109&lt;0.5,_xlfn.XLOOKUP(B109,'Base stats'!B:B,'Base stats'!Z:Z)=0),0,IF(OR(_xlfn.XLOOKUP(Animals!B109,'Base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stats'!AA:AA),0.005)</f>
        <v>0.1</v>
      </c>
      <c r="BC109" s="23">
        <f>MROUND(IF(AND(AN109&lt;0.5,_xlfn.XLOOKUP(B109,'Base stats'!B:B,'Base stats'!Z:Z)=0),0,IF(_xlfn.XLOOKUP(_xlfn.XLOOKUP(B109,'Base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stats'!AB:AB),0.005)</f>
        <v>0.3</v>
      </c>
      <c r="BD109" s="2" t="str">
        <f>IF(I109&gt;0.3,"No",_xlfn.XLOOKUP(_xlfn.XLOOKUP(Animals!B109,'Base stats'!B:B,'Base stats'!E:E),Groups!A:A,Groups!AP:AP))</f>
        <v>No</v>
      </c>
      <c r="BE109" s="2">
        <f>IF(AND(I109&lt;=0.65,_xlfn.XLOOKUP(_xlfn.XLOOKUP(Animals!B109,'Base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stats'!O:O)=2,0.2,AN109) + 24*(1-IF(BD109="No",0,BD109)) + 16/3, 12),"No")</f>
        <v>48</v>
      </c>
      <c r="BF109" s="2">
        <f>IF(AND(_xlfn.XLOOKUP(_xlfn.XLOOKUP(B109,'Base stats'!B:B,'Base stats'!E:E),Groups!A:A,Groups!AQ:AQ)=1,AN109&lt;=0.35),8,12)</f>
        <v>12</v>
      </c>
      <c r="BG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H109" s="2" t="str">
        <f>IF(AND(_xlfn.XLOOKUP(_xlfn.XLOOKUP(B109,'Base stats'!B:B,'Base stats'!E:E),Groups!A:A,Groups!AS:AS)=1,OR('Base stats'!Y109="Carnivore",'Base stats'!Y109="Omnivore")),"true","false")</f>
        <v>true</v>
      </c>
      <c r="BI109" s="2">
        <f>IF(BH109="true",MROUND(IF(AND(AN109&gt;0.5,_xlfn.XLOOKUP(_xlfn.XLOOKUP(B109,'Base stats'!B:B,'Base stats'!E:E),Groups!A:A,Groups!AJ:AJ)="Mammal"),Animals!AN109*1.75*IF(AV109="true",1.5,1),Animals!AN109),IF(AN109&gt;2,0.5,IF(AN109&gt;0.5,0.25,0.1))),"No")</f>
        <v>0.5</v>
      </c>
      <c r="BJ109" s="2">
        <f t="shared" si="10"/>
        <v>1</v>
      </c>
      <c r="BK109" s="25" t="str">
        <f>IF('Base stats'!AK109="Standard","No",MROUND((_xlfn.XLOOKUP(B109,'Base stats'!B:B,'Base stats'!AK:AK)/3.6)/H109,0.1))</f>
        <v>No</v>
      </c>
      <c r="BL109" s="25" t="str">
        <f t="shared" si="11"/>
        <v>false</v>
      </c>
      <c r="BM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N109" s="25" t="str" cm="1">
        <f t="array" ref="BN109">IF(
  _xlfn.TEXTJOIN(", ",TRUE,
    IF(AND(BH109="true",AN109&gt;0.5,BG109&lt;&gt;"None"),"AttackTarget",""),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IF(BE109&lt;=36,"Comfort",""),
    IF(_xlfn.XLOOKUP(B109,'Base stats'!B:B,'Base stats'!AC:AC)&lt;&gt;"No",_xlfn.XLOOKUP(B109,'Base stats'!B:B,'Base stats'!AC:AC),"")
  ) = "",
  "No",
  _xlfn.TEXTJOIN(", ",TRUE,
    IF(AND(BH109="true",AN109&gt;0.5,BG109&lt;&gt;"None"),"AttackTarget",""),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IF(BE109&lt;=36,"Comfort",""),
    IF(_xlfn.XLOOKUP(B109,'Base stats'!B:B,'Base stats'!AC:AC)&lt;&gt;"No",_xlfn.XLOOKUP(B109,'Base stats'!B:B,'Base stats'!AC:AC),"")
  )
)</f>
        <v>No</v>
      </c>
      <c r="BO109" s="25" t="str">
        <f>IF(
   AND(
      'Base stats'!AK109="Standard",_xlfn.XLOOKUP(_xlfn.XLOOKUP(B109,'Base stats'!B:B,'Base stats'!E:E),Groups!A:A,Groups!AU:AU)=0,
      OR(
      BM109="True"
      )
   ),
   10,
   IF(
       OR(BK109&lt;&gt;"No",_xlfn.XLOOKUP(_xlfn.XLOOKUP(B109,'Base stats'!B:B,'Base stats'!E:E),Groups!A:A,Groups!AU:AU)=1),
      1,
      "No"
   )
)</f>
        <v>No</v>
      </c>
      <c r="BP109" s="9">
        <f>MROUND((1 + ((0.2*IF(OR(P109="No",Q109="No",Q109=0),0,P109/Q109)
+IF(OR(U109="No",R109="No",S109="No"),0,R109/S109*(LEN(U109)-LEN(SUBSTITUTE(U109,",",""))+1))
+IF(OR(W109="No",X109="No"),0,W109/X109)
+IF(OR(AC109="No",AD109="No"),0,AC109/AD109)
+IF(OR(AK109="No",AH109="No",AI109="No"),0,AH109/AI109*(LEN(AK109)-LEN(SUBSTITUTE(AK109,",",""))+1))
)/(0.2*IF(OR(P109="No",Q109="No",Q109=0),0,1)
+IF(OR(U109="No",R109="No",S109="No"),0,LEN(U109)-LEN(SUBSTITUTE(U109,",",""))+1)
+IF(OR(W109="No",X109="No"),0,1)
+IF(OR(AC109="No",AD109="No"),0,1)
+IF(OR(AK109="No",AH109="No",AI109="No"),0,LEN(AK109)-LEN(SUBSTITUTE(AK109,",",""))+1))*62%)* 2)*(1 + (AO109 + _xlfn.XLOOKUP(B109,'Base stats'!B:B,'Base stats'!AS:AS) * 1.8) * 2) * 2.5 + 10 + H109 * 2,5)+IF(_xlfn.XLOOKUP(B109,'Base stats'!B:B,'Base stats'!AH:AH)=1,50,0)</f>
        <v>70</v>
      </c>
      <c r="BQ109" s="8">
        <f t="shared" si="12"/>
        <v>0.4</v>
      </c>
      <c r="BR109" s="8" t="str">
        <f>_xlfn.XLOOKUP(B109,'Base stats'!B:B,'Base stats'!AD:AD)</f>
        <v>2~6</v>
      </c>
      <c r="BS109" s="2" t="str">
        <f>IF(AND(I109&lt;=0.95,OR(_xlfn.XLOOKUP(B109,'Base stats'!B:B,'Base stats'!AH:AH)=1,_xlfn.XLOOKUP(B109,'Base stats'!B:B,'Base stats'!Y:Y)="Carnivore",_xlfn.XLOOKUP(B109,'Base stats'!B:B,'Base stats'!Y:Y)="Omnivore",BC109&gt;0.1)),"true","false")</f>
        <v>true</v>
      </c>
      <c r="BT109" s="2" t="str">
        <f>IF(_xlfn.XLOOKUP(B109,'Base stats'!B:B,'Base stats'!AF:AF)=1,"true","false")</f>
        <v>false</v>
      </c>
      <c r="BU109" s="25" t="str">
        <f>IF(E109="BaseInsect","AnimalInsect",
IF(I109&gt;0.95,"AnimalExotic",
_xlfn.TEXTJOIN(", ",TRUE,
IF(AND(_xlfn.XLOOKUP(B109,'Base stats'!B:B,'Base stats'!O:O)=0,_xlfn.XLOOKUP(_xlfn.XLOOKUP(B109,'Base stats'!B:B,'Base stats'!E:E),Groups!A:A,Groups!B:B)&gt;0),"AnimalUncommon","AnimalCommon"),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stats'!AH:AH)=1,AND(BG109&lt;&gt;"None",BP109&gt;=60),ISNUMBER(SEARCH("Attack target",BN109))),"AnimalFighter","")
)))</f>
        <v>AnimalCommon, AnimalFighter</v>
      </c>
      <c r="BV109" s="25" t="str">
        <f>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</f>
        <v>BorealForest ColdBog TemperateForest TemperateSwamp AridShrubland Desert Grasslands LavaField GlacialPlain</v>
      </c>
      <c r="BW109" s="25" t="str">
        <f>IF(_xlfn.XLOOKUP(B109,'Base stats'!B:B,'Base stats'!AG:AG)=1,"true","false")</f>
        <v>false</v>
      </c>
      <c r="BX109" s="25">
        <f>IF(_xlfn.XLOOKUP(B109,'Base stats'!B:B,'Base stats'!N:N)=1,"No",MIN(MROUND(IF(OR(_xlfn.XLOOKUP(B109,'Base stats'!B:B,'Base stats'!AJ:AJ)=1,AND(BH109="True",CA109="False")),POWER(10,3.47*LOG10(_xlfn.XLOOKUP(B109,'Base stats'!B:B,'Base stats'!C:C)*1000)^-0.96),POWER(10,4.15*LOG10(_xlfn.XLOOKUP(B109,'Base stats'!B:B,'Base stats'!C:C)*1000)^-0.73))*IF(OR(_xlfn.XLOOKUP(B109,'Base stats'!B:B,'Base stats'!AJ:AJ)=1,_xlfn.XLOOKUP(B109,'Base stats'!B:B,'Base stats'!AH:AH)=1),0.5,1)/100,0.025),1))</f>
        <v>7.5000000000000011E-2</v>
      </c>
      <c r="BY109" s="25" t="str">
        <f>IF(O109="Standard","No",IF(_xlfn.XLOOKUP(B109,'Base stats'!B:B,'Base stats'!N:N)=0,MROUND(BX109*O109,0.05),MIN(1,MAX(0.025,MROUND(IF(OR(CA109="true",AND(BH109="false",BM109="false")),POWER(10,4.15*LOG10(_xlfn.XLOOKUP(B109,'Base stats'!B:B,'Base stats'!C:C)*1000)^-0.73),POWER(10,3.47*LOG10(_xlfn.XLOOKUP(B109,'Base stats'!B:B,'Base stats'!C:C)*1000)^-0.96))*IF(_xlfn.XLOOKUP(B109,'Base stats'!B:B,'Base stats'!AH:AH)=1,0.5,1)/100,0.025)))))</f>
        <v>No</v>
      </c>
      <c r="BZ109" s="25" t="str">
        <f>IF(_xlfn.XLOOKUP(_xlfn.XLOOKUP(B109,'Base stats'!B:B,'Base stats'!E:E),Groups!A:A,Groups!AJ:AJ)="Mammal","True","False")</f>
        <v>True</v>
      </c>
      <c r="CA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B109" s="25" t="str">
        <f t="shared" si="13"/>
        <v>False</v>
      </c>
      <c r="CC109" s="25" t="str">
        <f>IF(_xlfn.XLOOKUP(_xlfn.XLOOKUP(B109,'Base stats'!B:B,'Base stats'!E:E),Groups!A:A,Groups!AW:AW),"True","False")</f>
        <v>False</v>
      </c>
      <c r="CD109" s="25" t="str">
        <f>IF(_xlfn.XLOOKUP(_xlfn.XLOOKUP(B109,'Base stats'!B:B,'Base stats'!E:E),Groups!A:A,Groups!AX:AX),"True","False")</f>
        <v>False</v>
      </c>
      <c r="CE109" s="25" t="str">
        <f>IF(_xlfn.XLOOKUP(B109,'Base stats'!B:B,'Base stats'!E:E)=1,"True","False")</f>
        <v>False</v>
      </c>
      <c r="CF109" s="25" t="str">
        <f>IF(
OR(
_xlfn.XLOOKUP(_xlfn.XLOOKUP(B109,'Base stats'!B:B,'Base stats'!E:E),Groups!A:A,Groups!AY:AY)=0,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stats'!E:E),Groups!A:A,Groups!AY:AY)=1,
"Flesh",
IF(
_xlfn.XLOOKUP(_xlfn.XLOOKUP(B109,'Base stats'!B:B,'Base stats'!E:E),Groups!A:A,Groups!AY:AY)=2,
"Bone",
""
)
)
)</f>
        <v>No</v>
      </c>
      <c r="CG109" s="25" t="str">
        <f>IF(_xlfn.XLOOKUP(_xlfn.XLOOKUP(B109,'Base stats'!B:B,'Base stats'!E:E),Groups!A:A,Groups!BA:BA),"True","False")</f>
        <v>True</v>
      </c>
      <c r="CH109" s="25" t="str">
        <f>IF(_xlfn.XLOOKUP(_xlfn.XLOOKUP(B109,'Base stats'!B:B,'Base stats'!E:E),Groups!A:A,Groups!AZ:AZ),"True","False")</f>
        <v>False</v>
      </c>
    </row>
    <row r="110" spans="1:86" ht="16.5" thickTop="1" thickBot="1" x14ac:dyDescent="0.3">
      <c r="A110" s="26" t="str">
        <f>_xlfn.XLOOKUP(B110,'Base stats'!B:B,'Base stats'!A:A)</f>
        <v>Giraffe</v>
      </c>
      <c r="B110" s="6" t="s">
        <v>141</v>
      </c>
      <c r="C110" s="28" t="s">
        <v>803</v>
      </c>
      <c r="D110" s="28" t="s">
        <v>884</v>
      </c>
      <c r="E110" s="28" t="s">
        <v>685</v>
      </c>
      <c r="F110" s="28" t="s">
        <v>685</v>
      </c>
      <c r="G110" s="2">
        <f>MROUND((
  (IF(AND(_xlfn.XLOOKUP(B110,'Base stats'!B:B,'Base stats'!AI:AI)=0,BG110="None",_xlfn.XLOOKUP('Base stats'!E110,Groups!A:A,Groups!B:B)=0), (18 + BP110 * 2.7) * 0.5,
    IF(AND(_xlfn.XLOOKUP(B110,'Base stats'!B:B,'Base stats'!AI:AI)=0,OR(AN110&lt;0.55,AND(BG110="Intermediate",_xlfn.XLOOKUP('Base stats'!E110,Groups!A:A,Groups!B:B)&lt;2))), (18 + BP110 * 2.7),
      IF(OR(BG110="Advanced",_xlfn.XLOOKUP(B110,'Base stats'!B:B,'Base stats'!AI:AI)=1,_xlfn.XLOOKUP('Base stats'!E110,Groups!A:A,Groups!B:B)=2), (18 + BP110 * 2.7) + 250, (18 + BP110 * 2.7))
    )
  ))
  + AN110 * 80
  + IF(COUNTIF(EggMilk!K$2:K$998, A110) &gt; 0, 125, 0)
  + IF(COUNTIF(EggMilk!P$2:P$998, A110) &gt; 0, 90, 0)
  + IF(COUNTIF(EggMilk!A$2:A$998, A110) &gt; 0, 90, 0)
)
* (0.8 + 0.4 * I110)
* 0.75,25)</f>
        <v>775</v>
      </c>
      <c r="H110" s="2">
        <f>MROUND(ROUNDDOWN(_xlfn.XLOOKUP(B110,'Base stats'!B:B,'Base stats'!L:L)/3.6/(23.3/11),1),0.5)</f>
        <v>8</v>
      </c>
      <c r="I110" s="2">
        <f>IF(_xlfn.XLOOKUP(B110,'Base stats'!B:B,'Base stats'!AI:AI)=1,0.99,MIN(MROUND((1-0.6282*EXP(-0.459*AN110))*_xlfn.XLOOKUP(_xlfn.XLOOKUP(B110,'Base stats'!B:B,'Base stats'!E:E),Groups!A:A,Groups!C:C)*IF(_xlfn.XLOOKUP(B110,'Base stats'!B:B,'Base stats'!O:O)=1,0.5,IF(_xlfn.XLOOKUP(B110,'Base stats'!B:B,'Base stats'!O:O)=2,0,1)),0.05),0.985))</f>
        <v>0.75</v>
      </c>
      <c r="J110" s="2">
        <f>ROUNDUP(AN110*_xlfn.XLOOKUP(_xlfn.XLOOKUP(B110,'Base stats'!B:B,'Base stats'!E:E),Groups!A:A,Groups!E:E),0)</f>
        <v>18</v>
      </c>
      <c r="K110" s="2">
        <f>IF(OR(_xlfn.XLOOKUP(_xlfn.XLOOKUP(B110,'Base stats'!B:B,'Base stats'!E:E),Groups!A:A,Groups!F:F)=2,ISNUMBER(SEARCH("SeaIce",BV110)),ISNUMBER(SEARCH("IceSheet",BV110))),-50,IF(OR(ISNUMBER(SEARCH("GlacialPlain",BV110)),ISNUMBER(SEARCH("Tundra",BV110))),-40,IF(OR(ISNUMBER(SEARCH("Alpine",BV110)),ISNUMBER(SEARCH("BorealForest",BV110)),ISNUMBER(SEARCH("ColdBog",BV110))),-30,IF(OR(ISNUMBER(SEARCH("TemperateForest",BV110)),ISNUMBER(SEARCH("TemperateSwamp",BV110))),-20,IF(_xlfn.XLOOKUP(_xlfn.XLOOKUP(B110,'Base stats'!B:B,'Base stats'!E:E),Groups!A:A,Groups!F:F)=1,-15,IF(OR(ISNUMBER(SEARCH("Desert",BV110)),ISNUMBER(SEARCH("ExtremeDesert",BV110))),-10,IF(OR(ISNUMBER(SEARCH("Grasslands",BV110)),ISNUMBER(SEARCH("TropicalRainforest",BV110)),ISNUMBER(SEARCH("TropicalSwamp",BV110))),10,0)))))))-IF(CA110="False",MIN(IFERROR(MAX(MROUND(LOG10(_xlfn.XLOOKUP(B110,'Base stats'!B:B,'Base stats'!C:C)^(2/3))*10,5),5),5),30))-_xlfn.XLOOKUP(B110,'Base stats'!B:B,'Base stats'!P:P)+IF(CA110="True",5,0)</f>
        <v>-35</v>
      </c>
      <c r="L110" s="2">
        <f>IF(OR(_xlfn.XLOOKUP(_xlfn.XLOOKUP(B110,'Base stats'!B:B,'Base stats'!E:E),Groups!A:A,Groups!G:G)=2,ISNUMBER(SEARCH("Desert",BV110)),ISNUMBER(SEARCH("ExtremeDesert",BV110)),ISNUMBER(SEARCH("LavaField",BV110))),50,IF(ISNUMBER(SEARCH("Grasslands",BV110)),45,IF(OR(_xlfn.XLOOKUP(_xlfn.XLOOKUP(B110,'Base stats'!B:B,'Base stats'!E:E),Groups!A:A,Groups!G:G)=1,ISNUMBER(SEARCH("TropicalRainforest",BV110)),ISNUMBER(SEARCH("TropicalSwamp",BV110))),40,IF(OR(ISNUMBER(SEARCH("TemperateForest",BV110)),ISNUMBER(SEARCH("TemperateSwamp",BV110))),35,IF(OR(ISNUMBER(SEARCH("Alpine",BV110)),ISNUMBER(SEARCH("BorealForest",BV110)),ISNUMBER(SEARCH("ColdBog",BV110))),30,IF(ISNUMBER(OR(ISNUMBER(SEARCH("GlacialPlain",BV110)),SEARCH("Tundra",BV110))),25,IF(OR(ISNUMBER(SEARCH("SeaIce",BV110)),ISNUMBER(SEARCH("IceSheet",BV110)),ISNUMBER(SEARCH("TropicalSwamp",BV110))),10,35)))))))+_xlfn.XLOOKUP(B110,'Base stats'!B:B,'Base stats'!Q:Q)</f>
        <v>45</v>
      </c>
      <c r="M110" s="8" t="str">
        <f>IF(_xlfn.XLOOKUP(_xlfn.XLOOKUP(B110,'Base stats'!B:B,'Base stats'!E:E),Groups!A:A,Groups!L:L)=1,MIN(MROUND(_xlfn.XLOOKUP(B110,'Animals CE'!B:B,'Animals CE'!Z:Z)/2+0.05,0.05),200%),"No")</f>
        <v>No</v>
      </c>
      <c r="N110" s="8" t="str">
        <f>IF(_xlfn.XLOOKUP(_xlfn.XLOOKUP(B110,'Base stats'!B:B,'Base stats'!E:E),Groups!A:A,Groups!L:L)=1,MIN(MROUND(_xlfn.XLOOKUP(B110,'Animals CE'!B:B,'Animals CE'!AA:AA)/2+0.05,0.05),200%),"No")</f>
        <v>No</v>
      </c>
      <c r="O110" s="2" t="str">
        <f>_xlfn.XLOOKUP(B110,'Base stats'!B:B,'Base stats'!R:R)</f>
        <v>Standard</v>
      </c>
      <c r="P110" s="13">
        <f>MROUND((LOG10(_xlfn.XLOOKUP(B110,'Base stats'!B:B,'Base stats'!AO:AO))*(AN110^0.5)+(_xlfn.XLOOKUP(B110,'Base stats'!B:B,'Base stats'!AO:AO)/1000)^(2/3)+_xlfn.XLOOKUP(B110,'Base stats'!B:B,'Base stats'!AX:AX)/2)+0.5,0.5)</f>
        <v>20.5</v>
      </c>
      <c r="Q110" s="7">
        <f>IF(P110="No","No",MAX(1,MROUND(_xlfn.XLOOKUP(B110,'Base stats'!B:B,'Base stats'!C:C)^0.165,0.05)))</f>
        <v>3.1500000000000004</v>
      </c>
      <c r="R110" s="13">
        <f>IF(_xlfn.XLOOKUP(_xlfn.XLOOKUP(B110,'Base stats'!B:B,'Base stats'!E:E),Groups!A:A,Groups!P:P)=0,"No",MROUND((LOG10(_xlfn.XLOOKUP(B110,'Base stats'!B:B,'Base stats'!AP:AP))*(AN110^0.5)+(_xlfn.XLOOKUP(B110,'Base stats'!B:B,'Base stats'!AP:AP)/1000)^(2/3)+_xlfn.XLOOKUP(B110,'Base stats'!B:B,'Base stats'!AX:AX))+_xlfn.XLOOKUP(B110,'Base stats'!B:B,'Base stats'!AV:AV)+0.5,0.5))</f>
        <v>24.5</v>
      </c>
      <c r="S110" s="7">
        <f>IF(R110="No","No",MAX(_xlfn.XLOOKUP(_xlfn.XLOOKUP(B110,'Base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T110" s="7" t="str">
        <f>IF(R110="No","No",_xlfn.XLOOKUP(_xlfn.XLOOKUP(B110,'Base stats'!B:B,'Base stats'!E:E),Groups!A:A,Groups!R:R))</f>
        <v>FrontLeftLeg, FrontRightLeg</v>
      </c>
      <c r="U110" s="7" t="str">
        <f>IF(R110="No","No",_xlfn.XLOOKUP(_xlfn.XLOOKUP(B110,'Base stats'!B:B,'Base stats'!E:E),Groups!A:A,Groups!S:S))</f>
        <v>left hoof, right hoof</v>
      </c>
      <c r="V110" s="7" t="str">
        <f>IF(R110="No","No",_xlfn.XLOOKUP(_xlfn.XLOOKUP(B110,'Base stats'!B:B,'Base stats'!E:E),Groups!A:A,Groups!T:T))</f>
        <v>Blunt</v>
      </c>
      <c r="W110" s="13" t="str">
        <f>IF(_xlfn.XLOOKUP(B110,'Base stats'!B:B,'Base stats'!W:W)="No","No",MROUND((LOG10(_xlfn.XLOOKUP(B110,'Base stats'!B:B,'Base stats'!AR:AR))*(AN110^0.5)+(_xlfn.XLOOKUP(B110,'Base stats'!B:B,'Base stats'!AR:AR)/1000)^(2/3)+_xlfn.XLOOKUP(B110,'Base stats'!B:B,'Base stats'!AW:AW))+0.5+IF(_xlfn.XLOOKUP(_xlfn.XLOOKUP(B110,'Base stats'!B:B,'Base stats'!E:E),Groups!A:A,Groups!U:U)&lt;&gt;3,_xlfn.XLOOKUP(B110,'Base stats'!B:B,'Base stats'!AX:AX),0),0.5))</f>
        <v>No</v>
      </c>
      <c r="X110" s="7" t="str">
        <f>IF(W110="No","No",MAX(_xlfn.XLOOKUP(_xlfn.XLOOKUP(B110,'Base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Y110" s="7" t="str">
        <f>IF(W110="No","No",_xlfn.XLOOKUP(_xlfn.XLOOKUP(B110,'Base stats'!B:B,'Base stats'!E:E),Groups!A:A,Groups!W:W))</f>
        <v>No</v>
      </c>
      <c r="Z110" s="7" t="str">
        <f>IF(W110="No","No",_xlfn.XLOOKUP(_xlfn.XLOOKUP(B110,'Base stats'!B:B,'Base stats'!E:E),Groups!A:A,Groups!X:X))</f>
        <v>No</v>
      </c>
      <c r="AA110" s="7" t="str">
        <f>IF(W110="No","No",_xlfn.XLOOKUP(_xlfn.XLOOKUP(B110,'Base stats'!B:B,'Base stats'!E:E),Groups!A:A,Groups!Y:Y))</f>
        <v>No</v>
      </c>
      <c r="AB110" s="7" t="str">
        <f>_xlfn.XLOOKUP(Animals!B110,'Base stats'!B:B,'Base stats'!X:X)</f>
        <v>False</v>
      </c>
      <c r="AC110" s="13" t="str">
        <f>IF(_xlfn.XLOOKUP(B110,'Base stats'!B:B,'Base stats'!AQ:AQ)="No","No",MROUND((LOG10(_xlfn.XLOOKUP(B110,'Base stats'!B:B,'Base stats'!AQ:AQ))*(AN110^0.75)+(_xlfn.XLOOKUP(B110,'Base stats'!B:B,'Base stats'!AQ:AQ)/1000)^(2/3)+_xlfn.XLOOKUP(B110,'Base stats'!B:B,'Base stats'!AU:AU)+_xlfn.XLOOKUP(B110,'Base stats'!B:B,'Base stats'!AX:AX))+0.5,0.5))</f>
        <v>No</v>
      </c>
      <c r="AD110" s="7" t="str">
        <f>IF(AC110="No","No",MAX(_xlfn.XLOOKUP(_xlfn.XLOOKUP(B110,'Base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E110" s="7" t="str">
        <f>IF(AC110="No","No",_xlfn.XLOOKUP(_xlfn.XLOOKUP(B110,'Base stats'!B:B,'Base stats'!E:E),Groups!A:A,Groups!AA:AA))</f>
        <v>No</v>
      </c>
      <c r="AF110" s="7" t="str">
        <f>IF(AC110="No","No",_xlfn.XLOOKUP(_xlfn.XLOOKUP(B110,'Base stats'!B:B,'Base stats'!E:E),Groups!A:A,Groups!AB:AB))</f>
        <v>No</v>
      </c>
      <c r="AG110" s="7" t="str">
        <f>IF(AC110="No","No",_xlfn.XLOOKUP(_xlfn.XLOOKUP(B110,'Base stats'!B:B,'Base stats'!E:E),Groups!A:A,Groups!AC:AC))</f>
        <v>No</v>
      </c>
      <c r="AH110" s="13" t="str">
        <f>IF(_xlfn.XLOOKUP(_xlfn.XLOOKUP(B110,'Base stats'!B:B,'Base stats'!E:E),Groups!A:A,Groups!AD:AD)=0,"No",MROUND((LOG10(_xlfn.XLOOKUP(B110,'Base stats'!B:B,'Base stats'!AP:AP))*(AN110^0.75)+(_xlfn.XLOOKUP(B110,'Base stats'!B:B,'Base stats'!AP:AP)/1000)^(2/3)+_xlfn.XLOOKUP(B110,'Base stats'!B:B,'Base stats'!AV:AV)+_xlfn.XLOOKUP(B110,'Base stats'!B:B,'Base stats'!AX:AX))+0.5,0.5))</f>
        <v>No</v>
      </c>
      <c r="AI110" s="7" t="str">
        <f>IF(AH110="No","No",MAX(_xlfn.XLOOKUP(_xlfn.XLOOKUP(B110,'Base stats'!B:B,'Base stats'!E:E),Groups!A:A,Groups!AE:AE),MROUND(_xlfn.XLOOKUP(_xlfn.XLOOKUP(B110,'Base stats'!B:B,'Base stats'!E:E),Groups!A:A,Groups!AE:AE)*_xlfn.XLOOKUP(B110,'Base stats'!B:B,'Base stats'!C:C)^0.165,0.05)))</f>
        <v>No</v>
      </c>
      <c r="AJ110" s="7" t="str">
        <f>IF(AH110="No","No",_xlfn.XLOOKUP(_xlfn.XLOOKUP(B110,'Base stats'!B:B,'Base stats'!E:E),Groups!A:A,Groups!AF:AF))</f>
        <v>No</v>
      </c>
      <c r="AK110" s="7" t="str">
        <f>IF(AH110="No","No",_xlfn.XLOOKUP(_xlfn.XLOOKUP(B110,'Base stats'!B:B,'Base stats'!E:E),Groups!A:A,Groups!AG:AG))</f>
        <v>No</v>
      </c>
      <c r="AL110" s="7" t="str">
        <f>IF(AH110="No","No",_xlfn.XLOOKUP(_xlfn.XLOOKUP(B110,'Base stats'!B:B,'Base stats'!E:E),Groups!A:A,Groups!AH:AH))</f>
        <v>No</v>
      </c>
      <c r="AM110" s="2" t="str">
        <f t="shared" si="7"/>
        <v>No</v>
      </c>
      <c r="AN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O110" s="8">
        <f>MROUND(AN110*_xlfn.XLOOKUP(_xlfn.XLOOKUP(B110,'Base stats'!B:B,'Base stats'!E:E),Groups!A:A,Groups!AI:AI),0.05)</f>
        <v>3.5</v>
      </c>
      <c r="AP110" s="8">
        <f>MAX(0.01,MROUND(IF(CA110="True",0.196*(AN110*100*1000)^0.889,IF(_xlfn.XLOOKUP(_xlfn.XLOOKUP(B110,'Base stats'!B:B,'Base stats'!E:E),Groups!A:A,Groups!AJ:AJ)="Bird",10.5*(AN110*100*1000)^0.681,4.82*(AN110*100*1000)^0.734))/(4.82*(1*100*1000)^0.734)/IF(AN110&lt;3.5,2,IF(AN110=3.5,1.5,1.25))*(1+0.132282374779864/(AN110^0.994035016789033+0.00905238001496948)),0.05))</f>
        <v>1.75</v>
      </c>
      <c r="AQ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R110" s="35">
        <f>IFERROR(IF(_xlfn.XLOOKUP(B110,'Base stats'!B:B,'Base stats'!F:F)="Lay eggs","Lay eggs",MIN(20,MAX(5.5,ROUND(((_xlfn.XLOOKUP(B110,'Base stats'!B:B,'Base stats'!F:F)-25)*(14.5/615) + 5.5)*2,0)/2))),"Cannot breed")</f>
        <v>15.5</v>
      </c>
      <c r="AS110" s="8">
        <f>IF(OR(A110="Queen",A110="Larva",A110="Megachicken"),"No",IFERROR(MAX(IF(_xlfn.XLOOKUP(B110,'Base stats'!B:B,'Base stats'!G:G)&lt;0.5,0.2,0.3),MROUND(_xlfn.XLOOKUP(B110,'Base stats'!B:B,'Base stats'!G:G)/(365/60),0.2)),"Unknown"))</f>
        <v>0.60000000000000009</v>
      </c>
      <c r="AT110" s="8">
        <f t="shared" si="8"/>
        <v>0.30000000000000004</v>
      </c>
      <c r="AU110" s="8">
        <f>IFERROR(IFERROR(MROUND(_xlfn.XLOOKUP(B110,'Base stats'!B:B,'Base stats'!J:J),0.1),"Lay eggs"),"Cannot breed")</f>
        <v>1</v>
      </c>
      <c r="AV110" s="2" t="str">
        <f t="shared" si="9"/>
        <v>true</v>
      </c>
      <c r="AW110" s="2" t="str">
        <f>IF(_xlfn.XLOOKUP(_xlfn.XLOOKUP(Animals!B110,'Base stats'!B:B,'Base stats'!E:E),Groups!A:A,Groups!AK:AK)=1,"true","false")</f>
        <v>true</v>
      </c>
      <c r="AX110" s="25" t="str">
        <f>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</f>
        <v>VegetarianRoughAnimal</v>
      </c>
      <c r="AY110" s="2">
        <f>IF(_xlfn.XLOOKUP(_xlfn.XLOOKUP(B110,'Base stats'!B:B,'Base stats'!E:E),Groups!A:A,Groups!D:D)=1,MROUND((1-I110)*5+1,2)*IF(I110&lt;=0.4,2,1),"No")</f>
        <v>2</v>
      </c>
      <c r="AZ110" s="2" t="str">
        <f>_xlfn.XLOOKUP(B110,'Base stats'!B:B,'Base stats'!AE:AE)</f>
        <v>Leather_Plain</v>
      </c>
      <c r="BA110" s="23" t="str">
        <f>_xlfn.XLOOKUP(_xlfn.XLOOKUP(B110,'Base stats'!B:B,'Base stats'!E:E),Groups!A:A,Groups!AL:AL)</f>
        <v>QuadrupedAnimalWithHooves</v>
      </c>
      <c r="BB110" s="23">
        <f>MROUND(IF(AND(AN110&lt;0.5,_xlfn.XLOOKUP(B110,'Base stats'!B:B,'Base stats'!Z:Z)=0),0,IF(OR(_xlfn.XLOOKUP(Animals!B110,'Base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stats'!AA:AA),0.005)</f>
        <v>0</v>
      </c>
      <c r="BC110" s="23">
        <f>MROUND(IF(AND(AN110&lt;0.5,_xlfn.XLOOKUP(B110,'Base stats'!B:B,'Base stats'!Z:Z)=0),0,IF(_xlfn.XLOOKUP(_xlfn.XLOOKUP(B110,'Base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stats'!AB:AB),0.005)</f>
        <v>0</v>
      </c>
      <c r="BD110" s="2" t="str">
        <f>IF(I110&gt;0.3,"No",_xlfn.XLOOKUP(_xlfn.XLOOKUP(Animals!B110,'Base stats'!B:B,'Base stats'!E:E),Groups!A:A,Groups!AP:AP))</f>
        <v>No</v>
      </c>
      <c r="BE110" s="2" t="str">
        <f>IF(AND(I110&lt;=0.65,_xlfn.XLOOKUP(_xlfn.XLOOKUP(Animals!B110,'Base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stats'!O:O)=2,0.2,AN110) + 24*(1-IF(BD110="No",0,BD110)) + 16/3, 12),"No")</f>
        <v>No</v>
      </c>
      <c r="BF110" s="2">
        <f>IF(AND(_xlfn.XLOOKUP(_xlfn.XLOOKUP(B110,'Base stats'!B:B,'Base stats'!E:E),Groups!A:A,Groups!AQ:AQ)=1,AN110&lt;=0.35),8,12)</f>
        <v>12</v>
      </c>
      <c r="BG110" s="2" t="str">
        <f>IF(_xlfn.XLOOKUP(_xlfn.XLOOKUP(B110,'Base stats'!B:B,'Base stats'!E:E),Groups!A:A,Groups!D:D)=0,_xlfn.XLOOKUP(_xlfn.XLOOKUP(B110,'Base stats'!B:B,'Base stats'!E:E),Groups!A:A,Groups!AR:AR),"None")</f>
        <v>None</v>
      </c>
      <c r="BH110" s="2" t="str">
        <f>IF(AND(_xlfn.XLOOKUP(_xlfn.XLOOKUP(B110,'Base stats'!B:B,'Base stats'!E:E),Groups!A:A,Groups!AS:AS)=1,OR('Base stats'!Y110="Carnivore",'Base stats'!Y110="Omnivore")),"true","false")</f>
        <v>false</v>
      </c>
      <c r="BI110" s="2" t="str">
        <f>IF(BH110="true",MROUND(IF(AND(AN110&gt;0.5,_xlfn.XLOOKUP(_xlfn.XLOOKUP(B110,'Base stats'!B:B,'Base stats'!E:E),Groups!A:A,Groups!AJ:AJ)="Mammal"),Animals!AN110*1.75*IF(AV110="true",1.5,1),Animals!AN110),IF(AN110&gt;2,0.5,IF(AN110&gt;0.5,0.25,0.1))),"No")</f>
        <v>No</v>
      </c>
      <c r="BJ110" s="2">
        <f t="shared" si="10"/>
        <v>0</v>
      </c>
      <c r="BK110" s="25" t="str">
        <f>IF('Base stats'!AK110="Standard","No",MROUND((_xlfn.XLOOKUP(B110,'Base stats'!B:B,'Base stats'!AK:AK)/3.6)/H110,0.1))</f>
        <v>No</v>
      </c>
      <c r="BL110" s="25" t="str">
        <f t="shared" si="11"/>
        <v>false</v>
      </c>
      <c r="BM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N110" s="25" t="str" cm="1">
        <f t="array" ref="BN110">IF(
  _xlfn.TEXTJOIN(", ",TRUE,
    IF(AND(BH110="true",AN110&gt;0.5,BG110&lt;&gt;"None"),"AttackTarget",""),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IF(BE110&lt;=36,"Comfort",""),
    IF(_xlfn.XLOOKUP(B110,'Base stats'!B:B,'Base stats'!AC:AC)&lt;&gt;"No",_xlfn.XLOOKUP(B110,'Base stats'!B:B,'Base stats'!AC:AC),"")
  ) = "",
  "No",
  _xlfn.TEXTJOIN(", ",TRUE,
    IF(AND(BH110="true",AN110&gt;0.5,BG110&lt;&gt;"None"),"AttackTarget",""),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IF(BE110&lt;=36,"Comfort",""),
    IF(_xlfn.XLOOKUP(B110,'Base stats'!B:B,'Base stats'!AC:AC)&lt;&gt;"No",_xlfn.XLOOKUP(B110,'Base stats'!B:B,'Base stats'!AC:AC),"")
  )
)</f>
        <v>No</v>
      </c>
      <c r="BO110" s="25" t="str">
        <f>IF(
   AND(
      'Base stats'!AK110="Standard",_xlfn.XLOOKUP(_xlfn.XLOOKUP(B110,'Base stats'!B:B,'Base stats'!E:E),Groups!A:A,Groups!AU:AU)=0,
      OR(
      BM110="True"
      )
   ),
   10,
   IF(
       OR(BK110&lt;&gt;"No",_xlfn.XLOOKUP(_xlfn.XLOOKUP(B110,'Base stats'!B:B,'Base stats'!E:E),Groups!A:A,Groups!AU:AU)=1),
      1,
      "No"
   )
)</f>
        <v>No</v>
      </c>
      <c r="BP110" s="9">
        <f>MROUND((1 + ((0.2*IF(OR(P110="No",Q110="No",Q110=0),0,P110/Q110)
+IF(OR(U110="No",R110="No",S110="No"),0,R110/S110*(LEN(U110)-LEN(SUBSTITUTE(U110,",",""))+1))
+IF(OR(W110="No",X110="No"),0,W110/X110)
+IF(OR(AC110="No",AD110="No"),0,AC110/AD110)
+IF(OR(AK110="No",AH110="No",AI110="No"),0,AH110/AI110*(LEN(AK110)-LEN(SUBSTITUTE(AK110,",",""))+1))
)/(0.2*IF(OR(P110="No",Q110="No",Q110=0),0,1)
+IF(OR(U110="No",R110="No",S110="No"),0,LEN(U110)-LEN(SUBSTITUTE(U110,",",""))+1)
+IF(OR(W110="No",X110="No"),0,1)
+IF(OR(AC110="No",AD110="No"),0,1)
+IF(OR(AK110="No",AH110="No",AI110="No"),0,LEN(AK110)-LEN(SUBSTITUTE(AK110,",",""))+1))*62%)* 2)*(1 + (AO110 + _xlfn.XLOOKUP(B110,'Base stats'!B:B,'Base stats'!AS:AS) * 1.8) * 2) * 2.5 + 10 + H110 * 2,5)+IF(_xlfn.XLOOKUP(B110,'Base stats'!B:B,'Base stats'!AH:AH)=1,50,0)</f>
        <v>235</v>
      </c>
      <c r="BQ110" s="8">
        <f t="shared" si="12"/>
        <v>2.1</v>
      </c>
      <c r="BR110" s="8" t="str">
        <f>_xlfn.XLOOKUP(B110,'Base stats'!B:B,'Base stats'!AD:AD)</f>
        <v>3~10</v>
      </c>
      <c r="BS110" s="2" t="str">
        <f>IF(AND(I110&lt;=0.95,OR(_xlfn.XLOOKUP(B110,'Base stats'!B:B,'Base stats'!AH:AH)=1,_xlfn.XLOOKUP(B110,'Base stats'!B:B,'Base stats'!Y:Y)="Carnivore",_xlfn.XLOOKUP(B110,'Base stats'!B:B,'Base stats'!Y:Y)="Omnivore",BC110&gt;0.1)),"true","false")</f>
        <v>false</v>
      </c>
      <c r="BT110" s="2" t="str">
        <f>IF(_xlfn.XLOOKUP(B110,'Base stats'!B:B,'Base stats'!AF:AF)=1,"true","false")</f>
        <v>false</v>
      </c>
      <c r="BU110" s="25" t="str">
        <f>IF(E110="BaseInsect","AnimalInsect",
IF(I110&gt;0.95,"AnimalExotic",
_xlfn.TEXTJOIN(", ",TRUE,
IF(AND(_xlfn.XLOOKUP(B110,'Base stats'!B:B,'Base stats'!O:O)=0,_xlfn.XLOOKUP(_xlfn.XLOOKUP(B110,'Base stats'!B:B,'Base stats'!E:E),Groups!A:A,Groups!B:B)&gt;0),"AnimalUncommon","AnimalCommon"),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stats'!AH:AH)=1,AND(BG110&lt;&gt;"None",BP110&gt;=60),ISNUMBER(SEARCH("Attack target",BN110))),"AnimalFighter","")
)))</f>
        <v>AnimalUncommon</v>
      </c>
      <c r="BV110" s="25" t="str">
        <f>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</f>
        <v>AridShrubland Grasslands</v>
      </c>
      <c r="BW110" s="25" t="str">
        <f>IF(_xlfn.XLOOKUP(B110,'Base stats'!B:B,'Base stats'!AG:AG)=1,"true","false")</f>
        <v>false</v>
      </c>
      <c r="BX110" s="25">
        <f>IF(_xlfn.XLOOKUP(B110,'Base stats'!B:B,'Base stats'!N:N)=1,"No",MIN(MROUND(IF(OR(_xlfn.XLOOKUP(B110,'Base stats'!B:B,'Base stats'!AJ:AJ)=1,AND(BH110="True",CA110="False")),POWER(10,3.47*LOG10(_xlfn.XLOOKUP(B110,'Base stats'!B:B,'Base stats'!C:C)*1000)^-0.96),POWER(10,4.15*LOG10(_xlfn.XLOOKUP(B110,'Base stats'!B:B,'Base stats'!C:C)*1000)^-0.73))*IF(OR(_xlfn.XLOOKUP(B110,'Base stats'!B:B,'Base stats'!AJ:AJ)=1,_xlfn.XLOOKUP(B110,'Base stats'!B:B,'Base stats'!AH:AH)=1),0.5,1)/100,0.025),1))</f>
        <v>0.125</v>
      </c>
      <c r="BY110" s="25" t="str">
        <f>IF(O110="Standard","No",IF(_xlfn.XLOOKUP(B110,'Base stats'!B:B,'Base stats'!N:N)=0,MROUND(BX110*O110,0.05),MIN(1,MAX(0.025,MROUND(IF(OR(CA110="true",AND(BH110="false",BM110="false")),POWER(10,4.15*LOG10(_xlfn.XLOOKUP(B110,'Base stats'!B:B,'Base stats'!C:C)*1000)^-0.73),POWER(10,3.47*LOG10(_xlfn.XLOOKUP(B110,'Base stats'!B:B,'Base stats'!C:C)*1000)^-0.96))*IF(_xlfn.XLOOKUP(B110,'Base stats'!B:B,'Base stats'!AH:AH)=1,0.5,1)/100,0.025)))))</f>
        <v>No</v>
      </c>
      <c r="BZ110" s="25" t="str">
        <f>IF(_xlfn.XLOOKUP(_xlfn.XLOOKUP(B110,'Base stats'!B:B,'Base stats'!E:E),Groups!A:A,Groups!AJ:AJ)="Mammal","True","False")</f>
        <v>True</v>
      </c>
      <c r="CA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B110" s="25" t="str">
        <f t="shared" si="13"/>
        <v>False</v>
      </c>
      <c r="CC110" s="25" t="str">
        <f>IF(_xlfn.XLOOKUP(_xlfn.XLOOKUP(B110,'Base stats'!B:B,'Base stats'!E:E),Groups!A:A,Groups!AW:AW),"True","False")</f>
        <v>False</v>
      </c>
      <c r="CD110" s="25" t="str">
        <f>IF(_xlfn.XLOOKUP(_xlfn.XLOOKUP(B110,'Base stats'!B:B,'Base stats'!E:E),Groups!A:A,Groups!AX:AX),"True","False")</f>
        <v>False</v>
      </c>
      <c r="CE110" s="25" t="str">
        <f>IF(_xlfn.XLOOKUP(B110,'Base stats'!B:B,'Base stats'!E:E)=1,"True","False")</f>
        <v>False</v>
      </c>
      <c r="CF110" s="25" t="str">
        <f>IF(
OR(
_xlfn.XLOOKUP(_xlfn.XLOOKUP(B110,'Base stats'!B:B,'Base stats'!E:E),Groups!A:A,Groups!AY:AY)=0,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stats'!E:E),Groups!A:A,Groups!AY:AY)=1,
"Flesh",
IF(
_xlfn.XLOOKUP(_xlfn.XLOOKUP(B110,'Base stats'!B:B,'Base stats'!E:E),Groups!A:A,Groups!AY:AY)=2,
"Bone",
""
)
)
)</f>
        <v>No</v>
      </c>
      <c r="CG110" s="25" t="str">
        <f>IF(_xlfn.XLOOKUP(_xlfn.XLOOKUP(B110,'Base stats'!B:B,'Base stats'!E:E),Groups!A:A,Groups!BA:BA),"True","False")</f>
        <v>True</v>
      </c>
      <c r="CH110" s="25" t="str">
        <f>IF(_xlfn.XLOOKUP(_xlfn.XLOOKUP(B110,'Base stats'!B:B,'Base stats'!E:E),Groups!A:A,Groups!AZ:AZ),"True","False")</f>
        <v>False</v>
      </c>
    </row>
    <row r="111" spans="1:86" ht="16.5" thickTop="1" thickBot="1" x14ac:dyDescent="0.3">
      <c r="A111" s="26" t="str">
        <f>_xlfn.XLOOKUP(B111,'Base stats'!B:B,'Base stats'!A:A)</f>
        <v>Zebra</v>
      </c>
      <c r="B111" s="6" t="s">
        <v>95</v>
      </c>
      <c r="C111" s="28" t="s">
        <v>804</v>
      </c>
      <c r="D111" s="28" t="s">
        <v>884</v>
      </c>
      <c r="E111" s="28" t="s">
        <v>685</v>
      </c>
      <c r="F111" s="28" t="s">
        <v>685</v>
      </c>
      <c r="G111" s="2">
        <f>MROUND((
  (IF(AND(_xlfn.XLOOKUP(B111,'Base stats'!B:B,'Base stats'!AI:AI)=0,BG111="None",_xlfn.XLOOKUP('Base stats'!E111,Groups!A:A,Groups!B:B)=0), (18 + BP111 * 2.7) * 0.5,
    IF(AND(_xlfn.XLOOKUP(B111,'Base stats'!B:B,'Base stats'!AI:AI)=0,OR(AN111&lt;0.55,AND(BG111="Intermediate",_xlfn.XLOOKUP('Base stats'!E111,Groups!A:A,Groups!B:B)&lt;2))), (18 + BP111 * 2.7),
      IF(OR(BG111="Advanced",_xlfn.XLOOKUP(B111,'Base stats'!B:B,'Base stats'!AI:AI)=1,_xlfn.XLOOKUP('Base stats'!E111,Groups!A:A,Groups!B:B)=2), (18 + BP111 * 2.7) + 250, (18 + BP111 * 2.7))
    )
  ))
  + AN111 * 80
  + IF(COUNTIF(EggMilk!K$2:K$998, A111) &gt; 0, 125, 0)
  + IF(COUNTIF(EggMilk!P$2:P$998, A111) &gt; 0, 90, 0)
  + IF(COUNTIF(EggMilk!A$2:A$998, A111) &gt; 0, 90, 0)
)
* (0.8 + 0.4 * I111)
* 0.75,25)</f>
        <v>350</v>
      </c>
      <c r="H111" s="2">
        <f>MROUND(ROUNDDOWN(_xlfn.XLOOKUP(B111,'Base stats'!B:B,'Base stats'!L:L)/3.6/(23.3/11),1),0.5)</f>
        <v>9</v>
      </c>
      <c r="I111" s="2">
        <f>IF(_xlfn.XLOOKUP(B111,'Base stats'!B:B,'Base stats'!AI:AI)=1,0.99,MIN(MROUND((1-0.6282*EXP(-0.459*AN111))*_xlfn.XLOOKUP(_xlfn.XLOOKUP(B111,'Base stats'!B:B,'Base stats'!E:E),Groups!A:A,Groups!C:C)*IF(_xlfn.XLOOKUP(B111,'Base stats'!B:B,'Base stats'!O:O)=1,0.5,IF(_xlfn.XLOOKUP(B111,'Base stats'!B:B,'Base stats'!O:O)=2,0,1)),0.05),0.985))</f>
        <v>0.8</v>
      </c>
      <c r="J111" s="2">
        <f>ROUNDUP(AN111*_xlfn.XLOOKUP(_xlfn.XLOOKUP(B111,'Base stats'!B:B,'Base stats'!E:E),Groups!A:A,Groups!E:E),0)</f>
        <v>12</v>
      </c>
      <c r="K111" s="2">
        <f>IF(OR(_xlfn.XLOOKUP(_xlfn.XLOOKUP(B111,'Base stats'!B:B,'Base stats'!E:E),Groups!A:A,Groups!F:F)=2,ISNUMBER(SEARCH("SeaIce",BV111)),ISNUMBER(SEARCH("IceSheet",BV111))),-50,IF(OR(ISNUMBER(SEARCH("GlacialPlain",BV111)),ISNUMBER(SEARCH("Tundra",BV111))),-40,IF(OR(ISNUMBER(SEARCH("Alpine",BV111)),ISNUMBER(SEARCH("BorealForest",BV111)),ISNUMBER(SEARCH("ColdBog",BV111))),-30,IF(OR(ISNUMBER(SEARCH("TemperateForest",BV111)),ISNUMBER(SEARCH("TemperateSwamp",BV111))),-20,IF(_xlfn.XLOOKUP(_xlfn.XLOOKUP(B111,'Base stats'!B:B,'Base stats'!E:E),Groups!A:A,Groups!F:F)=1,-15,IF(OR(ISNUMBER(SEARCH("Desert",BV111)),ISNUMBER(SEARCH("ExtremeDesert",BV111))),-10,IF(OR(ISNUMBER(SEARCH("Grasslands",BV111)),ISNUMBER(SEARCH("TropicalRainforest",BV111)),ISNUMBER(SEARCH("TropicalSwamp",BV111))),10,0)))))))-IF(CA111="False",MIN(IFERROR(MAX(MROUND(LOG10(_xlfn.XLOOKUP(B111,'Base stats'!B:B,'Base stats'!C:C)^(2/3))*10,5),5),5),30))-_xlfn.XLOOKUP(B111,'Base stats'!B:B,'Base stats'!P:P)+IF(CA111="True",5,0)</f>
        <v>-30</v>
      </c>
      <c r="L111" s="2">
        <f>IF(OR(_xlfn.XLOOKUP(_xlfn.XLOOKUP(B111,'Base stats'!B:B,'Base stats'!E:E),Groups!A:A,Groups!G:G)=2,ISNUMBER(SEARCH("Desert",BV111)),ISNUMBER(SEARCH("ExtremeDesert",BV111)),ISNUMBER(SEARCH("LavaField",BV111))),50,IF(ISNUMBER(SEARCH("Grasslands",BV111)),45,IF(OR(_xlfn.XLOOKUP(_xlfn.XLOOKUP(B111,'Base stats'!B:B,'Base stats'!E:E),Groups!A:A,Groups!G:G)=1,ISNUMBER(SEARCH("TropicalRainforest",BV111)),ISNUMBER(SEARCH("TropicalSwamp",BV111))),40,IF(OR(ISNUMBER(SEARCH("TemperateForest",BV111)),ISNUMBER(SEARCH("TemperateSwamp",BV111))),35,IF(OR(ISNUMBER(SEARCH("Alpine",BV111)),ISNUMBER(SEARCH("BorealForest",BV111)),ISNUMBER(SEARCH("ColdBog",BV111))),30,IF(ISNUMBER(OR(ISNUMBER(SEARCH("GlacialPlain",BV111)),SEARCH("Tundra",BV111))),25,IF(OR(ISNUMBER(SEARCH("SeaIce",BV111)),ISNUMBER(SEARCH("IceSheet",BV111)),ISNUMBER(SEARCH("TropicalSwamp",BV111))),10,35)))))))+_xlfn.XLOOKUP(B111,'Base stats'!B:B,'Base stats'!Q:Q)</f>
        <v>50</v>
      </c>
      <c r="M111" s="8" t="str">
        <f>IF(_xlfn.XLOOKUP(_xlfn.XLOOKUP(B111,'Base stats'!B:B,'Base stats'!E:E),Groups!A:A,Groups!L:L)=1,MIN(MROUND(_xlfn.XLOOKUP(B111,'Animals CE'!B:B,'Animals CE'!Z:Z)/2+0.05,0.05),200%),"No")</f>
        <v>No</v>
      </c>
      <c r="N111" s="8" t="str">
        <f>IF(_xlfn.XLOOKUP(_xlfn.XLOOKUP(B111,'Base stats'!B:B,'Base stats'!E:E),Groups!A:A,Groups!L:L)=1,MIN(MROUND(_xlfn.XLOOKUP(B111,'Animals CE'!B:B,'Animals CE'!AA:AA)/2+0.05,0.05),200%),"No")</f>
        <v>No</v>
      </c>
      <c r="O111" s="2" t="str">
        <f>_xlfn.XLOOKUP(B111,'Base stats'!B:B,'Base stats'!R:R)</f>
        <v>Standard</v>
      </c>
      <c r="P111" s="13">
        <f>MROUND((LOG10(_xlfn.XLOOKUP(B111,'Base stats'!B:B,'Base stats'!AO:AO))*(AN111^0.5)+(_xlfn.XLOOKUP(B111,'Base stats'!B:B,'Base stats'!AO:AO)/1000)^(2/3)+_xlfn.XLOOKUP(B111,'Base stats'!B:B,'Base stats'!AX:AX)/2)+0.5,0.5)</f>
        <v>13</v>
      </c>
      <c r="Q111" s="7">
        <f>IF(P111="No","No",MAX(1,MROUND(_xlfn.XLOOKUP(B111,'Base stats'!B:B,'Base stats'!C:C)^0.165,0.05)))</f>
        <v>2.5500000000000003</v>
      </c>
      <c r="R111" s="13">
        <f>IF(_xlfn.XLOOKUP(_xlfn.XLOOKUP(B111,'Base stats'!B:B,'Base stats'!E:E),Groups!A:A,Groups!P:P)=0,"No",MROUND((LOG10(_xlfn.XLOOKUP(B111,'Base stats'!B:B,'Base stats'!AP:AP))*(AN111^0.5)+(_xlfn.XLOOKUP(B111,'Base stats'!B:B,'Base stats'!AP:AP)/1000)^(2/3)+_xlfn.XLOOKUP(B111,'Base stats'!B:B,'Base stats'!AX:AX))+_xlfn.XLOOKUP(B111,'Base stats'!B:B,'Base stats'!AV:AV)+0.5,0.5))</f>
        <v>16</v>
      </c>
      <c r="S111" s="7">
        <f>IF(R111="No","No",MAX(_xlfn.XLOOKUP(_xlfn.XLOOKUP(B111,'Base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T111" s="7" t="str">
        <f>IF(R111="No","No",_xlfn.XLOOKUP(_xlfn.XLOOKUP(B111,'Base stats'!B:B,'Base stats'!E:E),Groups!A:A,Groups!R:R))</f>
        <v>FrontLeftLeg, FrontRightLeg</v>
      </c>
      <c r="U111" s="7" t="str">
        <f>IF(R111="No","No",_xlfn.XLOOKUP(_xlfn.XLOOKUP(B111,'Base stats'!B:B,'Base stats'!E:E),Groups!A:A,Groups!S:S))</f>
        <v>left hoof, right hoof</v>
      </c>
      <c r="V111" s="7" t="str">
        <f>IF(R111="No","No",_xlfn.XLOOKUP(_xlfn.XLOOKUP(B111,'Base stats'!B:B,'Base stats'!E:E),Groups!A:A,Groups!T:T))</f>
        <v>Blunt</v>
      </c>
      <c r="W111" s="13" t="str">
        <f>IF(_xlfn.XLOOKUP(B111,'Base stats'!B:B,'Base stats'!W:W)="No","No",MROUND((LOG10(_xlfn.XLOOKUP(B111,'Base stats'!B:B,'Base stats'!AR:AR))*(AN111^0.5)+(_xlfn.XLOOKUP(B111,'Base stats'!B:B,'Base stats'!AR:AR)/1000)^(2/3)+_xlfn.XLOOKUP(B111,'Base stats'!B:B,'Base stats'!AW:AW))+0.5+IF(_xlfn.XLOOKUP(_xlfn.XLOOKUP(B111,'Base stats'!B:B,'Base stats'!E:E),Groups!A:A,Groups!U:U)&lt;&gt;3,_xlfn.XLOOKUP(B111,'Base stats'!B:B,'Base stats'!AX:AX),0),0.5))</f>
        <v>No</v>
      </c>
      <c r="X111" s="7" t="str">
        <f>IF(W111="No","No",MAX(_xlfn.XLOOKUP(_xlfn.XLOOKUP(B111,'Base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Y111" s="7" t="str">
        <f>IF(W111="No","No",_xlfn.XLOOKUP(_xlfn.XLOOKUP(B111,'Base stats'!B:B,'Base stats'!E:E),Groups!A:A,Groups!W:W))</f>
        <v>No</v>
      </c>
      <c r="Z111" s="7" t="str">
        <f>IF(W111="No","No",_xlfn.XLOOKUP(_xlfn.XLOOKUP(B111,'Base stats'!B:B,'Base stats'!E:E),Groups!A:A,Groups!X:X))</f>
        <v>No</v>
      </c>
      <c r="AA111" s="7" t="str">
        <f>IF(W111="No","No",_xlfn.XLOOKUP(_xlfn.XLOOKUP(B111,'Base stats'!B:B,'Base stats'!E:E),Groups!A:A,Groups!Y:Y))</f>
        <v>No</v>
      </c>
      <c r="AB111" s="7" t="str">
        <f>_xlfn.XLOOKUP(Animals!B111,'Base stats'!B:B,'Base stats'!X:X)</f>
        <v>False</v>
      </c>
      <c r="AC111" s="13">
        <f>IF(_xlfn.XLOOKUP(B111,'Base stats'!B:B,'Base stats'!AQ:AQ)="No","No",MROUND((LOG10(_xlfn.XLOOKUP(B111,'Base stats'!B:B,'Base stats'!AQ:AQ))*(AN111^0.75)+(_xlfn.XLOOKUP(B111,'Base stats'!B:B,'Base stats'!AQ:AQ)/1000)^(2/3)+_xlfn.XLOOKUP(B111,'Base stats'!B:B,'Base stats'!AU:AU)+_xlfn.XLOOKUP(B111,'Base stats'!B:B,'Base stats'!AX:AX))+0.5,0.5))</f>
        <v>16.5</v>
      </c>
      <c r="AD111" s="7">
        <f>IF(AC111="No","No",MAX(_xlfn.XLOOKUP(_xlfn.XLOOKUP(B111,'Base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E111" s="7" t="str">
        <f>IF(AC111="No","No",_xlfn.XLOOKUP(_xlfn.XLOOKUP(B111,'Base stats'!B:B,'Base stats'!E:E),Groups!A:A,Groups!AA:AA))</f>
        <v>Teeth</v>
      </c>
      <c r="AF111" s="7" t="str">
        <f>IF(AC111="No","No",_xlfn.XLOOKUP(_xlfn.XLOOKUP(B111,'Base stats'!B:B,'Base stats'!E:E),Groups!A:A,Groups!AB:AB))</f>
        <v>teeth</v>
      </c>
      <c r="AG111" s="7" t="str">
        <f>IF(AC111="No","No",_xlfn.XLOOKUP(_xlfn.XLOOKUP(B111,'Base stats'!B:B,'Base stats'!E:E),Groups!A:A,Groups!AC:AC))</f>
        <v>Bite</v>
      </c>
      <c r="AH111" s="13" t="str">
        <f>IF(_xlfn.XLOOKUP(_xlfn.XLOOKUP(B111,'Base stats'!B:B,'Base stats'!E:E),Groups!A:A,Groups!AD:AD)=0,"No",MROUND((LOG10(_xlfn.XLOOKUP(B111,'Base stats'!B:B,'Base stats'!AP:AP))*(AN111^0.75)+(_xlfn.XLOOKUP(B111,'Base stats'!B:B,'Base stats'!AP:AP)/1000)^(2/3)+_xlfn.XLOOKUP(B111,'Base stats'!B:B,'Base stats'!AV:AV)+_xlfn.XLOOKUP(B111,'Base stats'!B:B,'Base stats'!AX:AX))+0.5,0.5))</f>
        <v>No</v>
      </c>
      <c r="AI111" s="7" t="str">
        <f>IF(AH111="No","No",MAX(_xlfn.XLOOKUP(_xlfn.XLOOKUP(B111,'Base stats'!B:B,'Base stats'!E:E),Groups!A:A,Groups!AE:AE),MROUND(_xlfn.XLOOKUP(_xlfn.XLOOKUP(B111,'Base stats'!B:B,'Base stats'!E:E),Groups!A:A,Groups!AE:AE)*_xlfn.XLOOKUP(B111,'Base stats'!B:B,'Base stats'!C:C)^0.165,0.05)))</f>
        <v>No</v>
      </c>
      <c r="AJ111" s="7" t="str">
        <f>IF(AH111="No","No",_xlfn.XLOOKUP(_xlfn.XLOOKUP(B111,'Base stats'!B:B,'Base stats'!E:E),Groups!A:A,Groups!AF:AF))</f>
        <v>No</v>
      </c>
      <c r="AK111" s="7" t="str">
        <f>IF(AH111="No","No",_xlfn.XLOOKUP(_xlfn.XLOOKUP(B111,'Base stats'!B:B,'Base stats'!E:E),Groups!A:A,Groups!AG:AG))</f>
        <v>No</v>
      </c>
      <c r="AL111" s="7" t="str">
        <f>IF(AH111="No","No",_xlfn.XLOOKUP(_xlfn.XLOOKUP(B111,'Base stats'!B:B,'Base stats'!E:E),Groups!A:A,Groups!AH:AH))</f>
        <v>No</v>
      </c>
      <c r="AM111" s="2" t="str">
        <f t="shared" si="7"/>
        <v>No</v>
      </c>
      <c r="AN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O111" s="8">
        <f>MROUND(AN111*_xlfn.XLOOKUP(_xlfn.XLOOKUP(B111,'Base stats'!B:B,'Base stats'!E:E),Groups!A:A,Groups!AI:AI),0.05)</f>
        <v>2.25</v>
      </c>
      <c r="AP111" s="8">
        <f>MAX(0.01,MROUND(IF(CA111="True",0.196*(AN111*100*1000)^0.889,IF(_xlfn.XLOOKUP(_xlfn.XLOOKUP(B111,'Base stats'!B:B,'Base stats'!E:E),Groups!A:A,Groups!AJ:AJ)="Bird",10.5*(AN111*100*1000)^0.681,4.82*(AN111*100*1000)^0.734))/(4.82*(1*100*1000)^0.734)/IF(AN111&lt;3.5,2,IF(AN111=3.5,1.5,1.25))*(1+0.132282374779864/(AN111^0.994035016789033+0.00905238001496948)),0.05))</f>
        <v>0.95000000000000007</v>
      </c>
      <c r="AQ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R111" s="35">
        <f>IFERROR(IF(_xlfn.XLOOKUP(B111,'Base stats'!B:B,'Base stats'!F:F)="Lay eggs","Lay eggs",MIN(20,MAX(5.5,ROUND(((_xlfn.XLOOKUP(B111,'Base stats'!B:B,'Base stats'!F:F)-25)*(14.5/615) + 5.5)*2,0)/2))),"Cannot breed")</f>
        <v>13.5</v>
      </c>
      <c r="AS111" s="8">
        <f>IF(OR(A111="Queen",A111="Larva",A111="Megachicken"),"No",IFERROR(MAX(IF(_xlfn.XLOOKUP(B111,'Base stats'!B:B,'Base stats'!G:G)&lt;0.5,0.2,0.3),MROUND(_xlfn.XLOOKUP(B111,'Base stats'!B:B,'Base stats'!G:G)/(365/60),0.2)),"Unknown"))</f>
        <v>0.4</v>
      </c>
      <c r="AT111" s="8">
        <f t="shared" si="8"/>
        <v>0.2</v>
      </c>
      <c r="AU111" s="8">
        <f>IFERROR(IFERROR(MROUND(_xlfn.XLOOKUP(B111,'Base stats'!B:B,'Base stats'!J:J),0.1),"Lay eggs"),"Cannot breed")</f>
        <v>1</v>
      </c>
      <c r="AV111" s="2" t="str">
        <f t="shared" si="9"/>
        <v>true</v>
      </c>
      <c r="AW111" s="2" t="str">
        <f>IF(_xlfn.XLOOKUP(_xlfn.XLOOKUP(Animals!B111,'Base stats'!B:B,'Base stats'!E:E),Groups!A:A,Groups!AK:AK)=1,"true","false")</f>
        <v>true</v>
      </c>
      <c r="AX111" s="25" t="str">
        <f>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</f>
        <v>VegetarianRoughAnimal</v>
      </c>
      <c r="AY111" s="2">
        <f>IF(_xlfn.XLOOKUP(_xlfn.XLOOKUP(B111,'Base stats'!B:B,'Base stats'!E:E),Groups!A:A,Groups!D:D)=1,MROUND((1-I111)*5+1,2)*IF(I111&lt;=0.4,2,1),"No")</f>
        <v>2</v>
      </c>
      <c r="AZ111" s="2" t="str">
        <f>_xlfn.XLOOKUP(B111,'Base stats'!B:B,'Base stats'!AE:AE)</f>
        <v>Leather_Plain</v>
      </c>
      <c r="BA111" s="23" t="str">
        <f>_xlfn.XLOOKUP(_xlfn.XLOOKUP(B111,'Base stats'!B:B,'Base stats'!E:E),Groups!A:A,Groups!AL:AL)</f>
        <v>QuadrupedAnimalWithHooves</v>
      </c>
      <c r="BB111" s="23">
        <f>MROUND(IF(AND(AN111&lt;0.5,_xlfn.XLOOKUP(B111,'Base stats'!B:B,'Base stats'!Z:Z)=0),0,IF(OR(_xlfn.XLOOKUP(Animals!B111,'Base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stats'!AA:AA),0.005)</f>
        <v>0</v>
      </c>
      <c r="BC111" s="23">
        <f>MROUND(IF(AND(AN111&lt;0.5,_xlfn.XLOOKUP(B111,'Base stats'!B:B,'Base stats'!Z:Z)=0),0,IF(_xlfn.XLOOKUP(_xlfn.XLOOKUP(B111,'Base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stats'!AB:AB),0.005)</f>
        <v>0</v>
      </c>
      <c r="BD111" s="2" t="str">
        <f>IF(I111&gt;0.3,"No",_xlfn.XLOOKUP(_xlfn.XLOOKUP(Animals!B111,'Base stats'!B:B,'Base stats'!E:E),Groups!A:A,Groups!AP:AP))</f>
        <v>No</v>
      </c>
      <c r="BE111" s="2" t="str">
        <f>IF(AND(I111&lt;=0.65,_xlfn.XLOOKUP(_xlfn.XLOOKUP(Animals!B111,'Base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stats'!O:O)=2,0.2,AN111) + 24*(1-IF(BD111="No",0,BD111)) + 16/3, 12),"No")</f>
        <v>No</v>
      </c>
      <c r="BF111" s="2">
        <f>IF(AND(_xlfn.XLOOKUP(_xlfn.XLOOKUP(B111,'Base stats'!B:B,'Base stats'!E:E),Groups!A:A,Groups!AQ:AQ)=1,AN111&lt;=0.35),8,12)</f>
        <v>12</v>
      </c>
      <c r="BG111" s="2" t="str">
        <f>IF(_xlfn.XLOOKUP(_xlfn.XLOOKUP(B111,'Base stats'!B:B,'Base stats'!E:E),Groups!A:A,Groups!D:D)=0,_xlfn.XLOOKUP(_xlfn.XLOOKUP(B111,'Base stats'!B:B,'Base stats'!E:E),Groups!A:A,Groups!AR:AR),"None")</f>
        <v>None</v>
      </c>
      <c r="BH111" s="2" t="str">
        <f>IF(AND(_xlfn.XLOOKUP(_xlfn.XLOOKUP(B111,'Base stats'!B:B,'Base stats'!E:E),Groups!A:A,Groups!AS:AS)=1,OR('Base stats'!Y111="Carnivore",'Base stats'!Y111="Omnivore")),"true","false")</f>
        <v>false</v>
      </c>
      <c r="BI111" s="2" t="str">
        <f>IF(BH111="true",MROUND(IF(AND(AN111&gt;0.5,_xlfn.XLOOKUP(_xlfn.XLOOKUP(B111,'Base stats'!B:B,'Base stats'!E:E),Groups!A:A,Groups!AJ:AJ)="Mammal"),Animals!AN111*1.75*IF(AV111="true",1.5,1),Animals!AN111),IF(AN111&gt;2,0.5,IF(AN111&gt;0.5,0.25,0.1))),"No")</f>
        <v>No</v>
      </c>
      <c r="BJ111" s="2">
        <f t="shared" si="10"/>
        <v>0</v>
      </c>
      <c r="BK111" s="25" t="str">
        <f>IF('Base stats'!AK111="Standard","No",MROUND((_xlfn.XLOOKUP(B111,'Base stats'!B:B,'Base stats'!AK:AK)/3.6)/H111,0.1))</f>
        <v>No</v>
      </c>
      <c r="BL111" s="25" t="str">
        <f t="shared" si="11"/>
        <v>false</v>
      </c>
      <c r="BM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N111" s="25" t="str" cm="1">
        <f t="array" ref="BN111">IF(
  _xlfn.TEXTJOIN(", ",TRUE,
    IF(AND(BH111="true",AN111&gt;0.5,BG111&lt;&gt;"None"),"AttackTarget",""),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IF(BE111&lt;=36,"Comfort",""),
    IF(_xlfn.XLOOKUP(B111,'Base stats'!B:B,'Base stats'!AC:AC)&lt;&gt;"No",_xlfn.XLOOKUP(B111,'Base stats'!B:B,'Base stats'!AC:AC),"")
  ) = "",
  "No",
  _xlfn.TEXTJOIN(", ",TRUE,
    IF(AND(BH111="true",AN111&gt;0.5,BG111&lt;&gt;"None"),"AttackTarget",""),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IF(BE111&lt;=36,"Comfort",""),
    IF(_xlfn.XLOOKUP(B111,'Base stats'!B:B,'Base stats'!AC:AC)&lt;&gt;"No",_xlfn.XLOOKUP(B111,'Base stats'!B:B,'Base stats'!AC:AC),"")
  )
)</f>
        <v>No</v>
      </c>
      <c r="BO111" s="25" t="str">
        <f>IF(
   AND(
      'Base stats'!AK111="Standard",_xlfn.XLOOKUP(_xlfn.XLOOKUP(B111,'Base stats'!B:B,'Base stats'!E:E),Groups!A:A,Groups!AU:AU)=0,
      OR(
      BM111="True"
      )
   ),
   10,
   IF(
       OR(BK111&lt;&gt;"No",_xlfn.XLOOKUP(_xlfn.XLOOKUP(B111,'Base stats'!B:B,'Base stats'!E:E),Groups!A:A,Groups!AU:AU)=1),
      1,
      "No"
   )
)</f>
        <v>No</v>
      </c>
      <c r="BP111" s="9">
        <f>MROUND((1 + ((0.2*IF(OR(P111="No",Q111="No",Q111=0),0,P111/Q111)
+IF(OR(U111="No",R111="No",S111="No"),0,R111/S111*(LEN(U111)-LEN(SUBSTITUTE(U111,",",""))+1))
+IF(OR(W111="No",X111="No"),0,W111/X111)
+IF(OR(AC111="No",AD111="No"),0,AC111/AD111)
+IF(OR(AK111="No",AH111="No",AI111="No"),0,AH111/AI111*(LEN(AK111)-LEN(SUBSTITUTE(AK111,",",""))+1))
)/(0.2*IF(OR(P111="No",Q111="No",Q111=0),0,1)
+IF(OR(U111="No",R111="No",S111="No"),0,LEN(U111)-LEN(SUBSTITUTE(U111,",",""))+1)
+IF(OR(W111="No",X111="No"),0,1)
+IF(OR(AC111="No",AD111="No"),0,1)
+IF(OR(AK111="No",AH111="No",AI111="No"),0,LEN(AK111)-LEN(SUBSTITUTE(AK111,",",""))+1))*62%)* 2)*(1 + (AO111 + _xlfn.XLOOKUP(B111,'Base stats'!B:B,'Base stats'!AS:AS) * 1.8) * 2) * 2.5 + 10 + H111 * 2,5)+IF(_xlfn.XLOOKUP(B111,'Base stats'!B:B,'Base stats'!AH:AH)=1,50,0)</f>
        <v>160</v>
      </c>
      <c r="BQ111" s="8">
        <f t="shared" si="12"/>
        <v>1.2000000000000002</v>
      </c>
      <c r="BR111" s="8" t="str">
        <f>_xlfn.XLOOKUP(B111,'Base stats'!B:B,'Base stats'!AD:AD)</f>
        <v>5~15</v>
      </c>
      <c r="BS111" s="2" t="str">
        <f>IF(AND(I111&lt;=0.95,OR(_xlfn.XLOOKUP(B111,'Base stats'!B:B,'Base stats'!AH:AH)=1,_xlfn.XLOOKUP(B111,'Base stats'!B:B,'Base stats'!Y:Y)="Carnivore",_xlfn.XLOOKUP(B111,'Base stats'!B:B,'Base stats'!Y:Y)="Omnivore",BC111&gt;0.1)),"true","false")</f>
        <v>false</v>
      </c>
      <c r="BT111" s="2" t="str">
        <f>IF(_xlfn.XLOOKUP(B111,'Base stats'!B:B,'Base stats'!AF:AF)=1,"true","false")</f>
        <v>false</v>
      </c>
      <c r="BU111" s="25" t="str">
        <f>IF(E111="BaseInsect","AnimalInsect",
IF(I111&gt;0.95,"AnimalExotic",
_xlfn.TEXTJOIN(", ",TRUE,
IF(AND(_xlfn.XLOOKUP(B111,'Base stats'!B:B,'Base stats'!O:O)=0,_xlfn.XLOOKUP(_xlfn.XLOOKUP(B111,'Base stats'!B:B,'Base stats'!E:E),Groups!A:A,Groups!B:B)&gt;0),"AnimalUncommon","AnimalCommon"),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stats'!AH:AH)=1,AND(BG111&lt;&gt;"None",BP111&gt;=60),ISNUMBER(SEARCH("Attack target",BN111))),"AnimalFighter","")
)))</f>
        <v>AnimalCommon</v>
      </c>
      <c r="BV111" s="25" t="str">
        <f>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</f>
        <v>AridShrubland Desert Grasslands LavaField</v>
      </c>
      <c r="BW111" s="25" t="str">
        <f>IF(_xlfn.XLOOKUP(B111,'Base stats'!B:B,'Base stats'!AG:AG)=1,"true","false")</f>
        <v>false</v>
      </c>
      <c r="BX111" s="25">
        <f>IF(_xlfn.XLOOKUP(B111,'Base stats'!B:B,'Base stats'!N:N)=1,"No",MIN(MROUND(IF(OR(_xlfn.XLOOKUP(B111,'Base stats'!B:B,'Base stats'!AJ:AJ)=1,AND(BH111="True",CA111="False")),POWER(10,3.47*LOG10(_xlfn.XLOOKUP(B111,'Base stats'!B:B,'Base stats'!C:C)*1000)^-0.96),POWER(10,4.15*LOG10(_xlfn.XLOOKUP(B111,'Base stats'!B:B,'Base stats'!C:C)*1000)^-0.73))*IF(OR(_xlfn.XLOOKUP(B111,'Base stats'!B:B,'Base stats'!AJ:AJ)=1,_xlfn.XLOOKUP(B111,'Base stats'!B:B,'Base stats'!AH:AH)=1),0.5,1)/100,0.025),1))</f>
        <v>0.15000000000000002</v>
      </c>
      <c r="BY111" s="25" t="str">
        <f>IF(O111="Standard","No",IF(_xlfn.XLOOKUP(B111,'Base stats'!B:B,'Base stats'!N:N)=0,MROUND(BX111*O111,0.05),MIN(1,MAX(0.025,MROUND(IF(OR(CA111="true",AND(BH111="false",BM111="false")),POWER(10,4.15*LOG10(_xlfn.XLOOKUP(B111,'Base stats'!B:B,'Base stats'!C:C)*1000)^-0.73),POWER(10,3.47*LOG10(_xlfn.XLOOKUP(B111,'Base stats'!B:B,'Base stats'!C:C)*1000)^-0.96))*IF(_xlfn.XLOOKUP(B111,'Base stats'!B:B,'Base stats'!AH:AH)=1,0.5,1)/100,0.025)))))</f>
        <v>No</v>
      </c>
      <c r="BZ111" s="25" t="str">
        <f>IF(_xlfn.XLOOKUP(_xlfn.XLOOKUP(B111,'Base stats'!B:B,'Base stats'!E:E),Groups!A:A,Groups!AJ:AJ)="Mammal","True","False")</f>
        <v>True</v>
      </c>
      <c r="CA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B111" s="25" t="str">
        <f t="shared" si="13"/>
        <v>False</v>
      </c>
      <c r="CC111" s="25" t="str">
        <f>IF(_xlfn.XLOOKUP(_xlfn.XLOOKUP(B111,'Base stats'!B:B,'Base stats'!E:E),Groups!A:A,Groups!AW:AW),"True","False")</f>
        <v>False</v>
      </c>
      <c r="CD111" s="25" t="str">
        <f>IF(_xlfn.XLOOKUP(_xlfn.XLOOKUP(B111,'Base stats'!B:B,'Base stats'!E:E),Groups!A:A,Groups!AX:AX),"True","False")</f>
        <v>False</v>
      </c>
      <c r="CE111" s="25" t="str">
        <f>IF(_xlfn.XLOOKUP(B111,'Base stats'!B:B,'Base stats'!E:E)=1,"True","False")</f>
        <v>False</v>
      </c>
      <c r="CF111" s="25" t="str">
        <f>IF(
OR(
_xlfn.XLOOKUP(_xlfn.XLOOKUP(B111,'Base stats'!B:B,'Base stats'!E:E),Groups!A:A,Groups!AY:AY)=0,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stats'!E:E),Groups!A:A,Groups!AY:AY)=1,
"Flesh",
IF(
_xlfn.XLOOKUP(_xlfn.XLOOKUP(B111,'Base stats'!B:B,'Base stats'!E:E),Groups!A:A,Groups!AY:AY)=2,
"Bone",
""
)
)
)</f>
        <v>No</v>
      </c>
      <c r="CG111" s="25" t="str">
        <f>IF(_xlfn.XLOOKUP(_xlfn.XLOOKUP(B111,'Base stats'!B:B,'Base stats'!E:E),Groups!A:A,Groups!BA:BA),"True","False")</f>
        <v>True</v>
      </c>
      <c r="CH111" s="25" t="str">
        <f>IF(_xlfn.XLOOKUP(_xlfn.XLOOKUP(B111,'Base stats'!B:B,'Base stats'!E:E),Groups!A:A,Groups!AZ:AZ),"True","False")</f>
        <v>False</v>
      </c>
    </row>
    <row r="112" spans="1:86" ht="16.5" thickTop="1" thickBot="1" x14ac:dyDescent="0.3">
      <c r="A112" s="26" t="str">
        <f>_xlfn.XLOOKUP(B112,'Base stats'!B:B,'Base stats'!A:A)</f>
        <v>Wildebeest</v>
      </c>
      <c r="B112" s="6" t="s">
        <v>153</v>
      </c>
      <c r="C112" s="28" t="s">
        <v>805</v>
      </c>
      <c r="D112" s="28" t="s">
        <v>884</v>
      </c>
      <c r="E112" s="28" t="s">
        <v>685</v>
      </c>
      <c r="F112" s="28" t="s">
        <v>685</v>
      </c>
      <c r="G112" s="2">
        <f>MROUND((
  (IF(AND(_xlfn.XLOOKUP(B112,'Base stats'!B:B,'Base stats'!AI:AI)=0,BG112="None",_xlfn.XLOOKUP('Base stats'!E112,Groups!A:A,Groups!B:B)=0), (18 + BP112 * 2.7) * 0.5,
    IF(AND(_xlfn.XLOOKUP(B112,'Base stats'!B:B,'Base stats'!AI:AI)=0,OR(AN112&lt;0.55,AND(BG112="Intermediate",_xlfn.XLOOKUP('Base stats'!E112,Groups!A:A,Groups!B:B)&lt;2))), (18 + BP112 * 2.7),
      IF(OR(BG112="Advanced",_xlfn.XLOOKUP(B112,'Base stats'!B:B,'Base stats'!AI:AI)=1,_xlfn.XLOOKUP('Base stats'!E112,Groups!A:A,Groups!B:B)=2), (18 + BP112 * 2.7) + 250, (18 + BP112 * 2.7))
    )
  ))
  + AN112 * 80
  + IF(COUNTIF(EggMilk!K$2:K$998, A112) &gt; 0, 125, 0)
  + IF(COUNTIF(EggMilk!P$2:P$998, A112) &gt; 0, 90, 0)
  + IF(COUNTIF(EggMilk!A$2:A$998, A112) &gt; 0, 90, 0)
)
* (0.8 + 0.4 * I112)
* 0.75,25)</f>
        <v>275</v>
      </c>
      <c r="H112" s="2">
        <f>MROUND(ROUNDDOWN(_xlfn.XLOOKUP(B112,'Base stats'!B:B,'Base stats'!L:L)/3.6/(23.3/11),1),0.5)</f>
        <v>10.5</v>
      </c>
      <c r="I112" s="2">
        <f>IF(_xlfn.XLOOKUP(B112,'Base stats'!B:B,'Base stats'!AI:AI)=1,0.99,MIN(MROUND((1-0.6282*EXP(-0.459*AN112))*_xlfn.XLOOKUP(_xlfn.XLOOKUP(B112,'Base stats'!B:B,'Base stats'!E:E),Groups!A:A,Groups!C:C)*IF(_xlfn.XLOOKUP(B112,'Base stats'!B:B,'Base stats'!O:O)=1,0.5,IF(_xlfn.XLOOKUP(B112,'Base stats'!B:B,'Base stats'!O:O)=2,0,1)),0.05),0.985))</f>
        <v>0.65</v>
      </c>
      <c r="J112" s="2">
        <f>ROUNDUP(AN112*_xlfn.XLOOKUP(_xlfn.XLOOKUP(B112,'Base stats'!B:B,'Base stats'!E:E),Groups!A:A,Groups!E:E),0)</f>
        <v>10</v>
      </c>
      <c r="K112" s="2">
        <f>IF(OR(_xlfn.XLOOKUP(_xlfn.XLOOKUP(B112,'Base stats'!B:B,'Base stats'!E:E),Groups!A:A,Groups!F:F)=2,ISNUMBER(SEARCH("SeaIce",BV112)),ISNUMBER(SEARCH("IceSheet",BV112))),-50,IF(OR(ISNUMBER(SEARCH("GlacialPlain",BV112)),ISNUMBER(SEARCH("Tundra",BV112))),-40,IF(OR(ISNUMBER(SEARCH("Alpine",BV112)),ISNUMBER(SEARCH("BorealForest",BV112)),ISNUMBER(SEARCH("ColdBog",BV112))),-30,IF(OR(ISNUMBER(SEARCH("TemperateForest",BV112)),ISNUMBER(SEARCH("TemperateSwamp",BV112))),-20,IF(_xlfn.XLOOKUP(_xlfn.XLOOKUP(B112,'Base stats'!B:B,'Base stats'!E:E),Groups!A:A,Groups!F:F)=1,-15,IF(OR(ISNUMBER(SEARCH("Desert",BV112)),ISNUMBER(SEARCH("ExtremeDesert",BV112))),-10,IF(OR(ISNUMBER(SEARCH("Grasslands",BV112)),ISNUMBER(SEARCH("TropicalRainforest",BV112)),ISNUMBER(SEARCH("TropicalSwamp",BV112))),10,0)))))))-IF(CA112="False",MIN(IFERROR(MAX(MROUND(LOG10(_xlfn.XLOOKUP(B112,'Base stats'!B:B,'Base stats'!C:C)^(2/3))*10,5),5),5),30))-_xlfn.XLOOKUP(B112,'Base stats'!B:B,'Base stats'!P:P)+IF(CA112="True",5,0)</f>
        <v>-30</v>
      </c>
      <c r="L112" s="2">
        <f>IF(OR(_xlfn.XLOOKUP(_xlfn.XLOOKUP(B112,'Base stats'!B:B,'Base stats'!E:E),Groups!A:A,Groups!G:G)=2,ISNUMBER(SEARCH("Desert",BV112)),ISNUMBER(SEARCH("ExtremeDesert",BV112)),ISNUMBER(SEARCH("LavaField",BV112))),50,IF(ISNUMBER(SEARCH("Grasslands",BV112)),45,IF(OR(_xlfn.XLOOKUP(_xlfn.XLOOKUP(B112,'Base stats'!B:B,'Base stats'!E:E),Groups!A:A,Groups!G:G)=1,ISNUMBER(SEARCH("TropicalRainforest",BV112)),ISNUMBER(SEARCH("TropicalSwamp",BV112))),40,IF(OR(ISNUMBER(SEARCH("TemperateForest",BV112)),ISNUMBER(SEARCH("TemperateSwamp",BV112))),35,IF(OR(ISNUMBER(SEARCH("Alpine",BV112)),ISNUMBER(SEARCH("BorealForest",BV112)),ISNUMBER(SEARCH("ColdBog",BV112))),30,IF(ISNUMBER(OR(ISNUMBER(SEARCH("GlacialPlain",BV112)),SEARCH("Tundra",BV112))),25,IF(OR(ISNUMBER(SEARCH("SeaIce",BV112)),ISNUMBER(SEARCH("IceSheet",BV112)),ISNUMBER(SEARCH("TropicalSwamp",BV112))),10,35)))))))+_xlfn.XLOOKUP(B112,'Base stats'!B:B,'Base stats'!Q:Q)</f>
        <v>50</v>
      </c>
      <c r="M112" s="8" t="str">
        <f>IF(_xlfn.XLOOKUP(_xlfn.XLOOKUP(B112,'Base stats'!B:B,'Base stats'!E:E),Groups!A:A,Groups!L:L)=1,MIN(MROUND(_xlfn.XLOOKUP(B112,'Animals CE'!B:B,'Animals CE'!Z:Z)/2+0.05,0.05),200%),"No")</f>
        <v>No</v>
      </c>
      <c r="N112" s="8" t="str">
        <f>IF(_xlfn.XLOOKUP(_xlfn.XLOOKUP(B112,'Base stats'!B:B,'Base stats'!E:E),Groups!A:A,Groups!L:L)=1,MIN(MROUND(_xlfn.XLOOKUP(B112,'Animals CE'!B:B,'Animals CE'!AA:AA)/2+0.05,0.05),200%),"No")</f>
        <v>No</v>
      </c>
      <c r="O112" s="2" t="str">
        <f>_xlfn.XLOOKUP(B112,'Base stats'!B:B,'Base stats'!R:R)</f>
        <v>Standard</v>
      </c>
      <c r="P112" s="13">
        <f>MROUND((LOG10(_xlfn.XLOOKUP(B112,'Base stats'!B:B,'Base stats'!AO:AO))*(AN112^0.5)+(_xlfn.XLOOKUP(B112,'Base stats'!B:B,'Base stats'!AO:AO)/1000)^(2/3)+_xlfn.XLOOKUP(B112,'Base stats'!B:B,'Base stats'!AX:AX)/2)+0.5,0.5)</f>
        <v>11.5</v>
      </c>
      <c r="Q112" s="7">
        <f>IF(P112="No","No",MAX(1,MROUND(_xlfn.XLOOKUP(B112,'Base stats'!B:B,'Base stats'!C:C)^0.165,0.05)))</f>
        <v>2.4500000000000002</v>
      </c>
      <c r="R112" s="13">
        <f>IF(_xlfn.XLOOKUP(_xlfn.XLOOKUP(B112,'Base stats'!B:B,'Base stats'!E:E),Groups!A:A,Groups!P:P)=0,"No",MROUND((LOG10(_xlfn.XLOOKUP(B112,'Base stats'!B:B,'Base stats'!AP:AP))*(AN112^0.5)+(_xlfn.XLOOKUP(B112,'Base stats'!B:B,'Base stats'!AP:AP)/1000)^(2/3)+_xlfn.XLOOKUP(B112,'Base stats'!B:B,'Base stats'!AX:AX))+_xlfn.XLOOKUP(B112,'Base stats'!B:B,'Base stats'!AV:AV)+0.5,0.5))</f>
        <v>14.5</v>
      </c>
      <c r="S112" s="7">
        <f>IF(R112="No","No",MAX(_xlfn.XLOOKUP(_xlfn.XLOOKUP(B112,'Base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T112" s="7" t="str">
        <f>IF(R112="No","No",_xlfn.XLOOKUP(_xlfn.XLOOKUP(B112,'Base stats'!B:B,'Base stats'!E:E),Groups!A:A,Groups!R:R))</f>
        <v>FrontLeftLeg, FrontRightLeg</v>
      </c>
      <c r="U112" s="7" t="str">
        <f>IF(R112="No","No",_xlfn.XLOOKUP(_xlfn.XLOOKUP(B112,'Base stats'!B:B,'Base stats'!E:E),Groups!A:A,Groups!S:S))</f>
        <v>left hoof, right hoof</v>
      </c>
      <c r="V112" s="7" t="str">
        <f>IF(R112="No","No",_xlfn.XLOOKUP(_xlfn.XLOOKUP(B112,'Base stats'!B:B,'Base stats'!E:E),Groups!A:A,Groups!T:T))</f>
        <v>Blunt</v>
      </c>
      <c r="W112" s="13">
        <f>IF(_xlfn.XLOOKUP(B112,'Base stats'!B:B,'Base stats'!W:W)="No","No",MROUND((LOG10(_xlfn.XLOOKUP(B112,'Base stats'!B:B,'Base stats'!AR:AR))*(AN112^0.5)+(_xlfn.XLOOKUP(B112,'Base stats'!B:B,'Base stats'!AR:AR)/1000)^(2/3)+_xlfn.XLOOKUP(B112,'Base stats'!B:B,'Base stats'!AW:AW))+0.5+IF(_xlfn.XLOOKUP(_xlfn.XLOOKUP(B112,'Base stats'!B:B,'Base stats'!E:E),Groups!A:A,Groups!U:U)&lt;&gt;3,_xlfn.XLOOKUP(B112,'Base stats'!B:B,'Base stats'!AX:AX),0),0.5))</f>
        <v>15.5</v>
      </c>
      <c r="X112" s="7">
        <f>IF(W112="No","No",MAX(_xlfn.XLOOKUP(_xlfn.XLOOKUP(B112,'Base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Y112" s="7" t="str">
        <f>IF(W112="No","No",_xlfn.XLOOKUP(_xlfn.XLOOKUP(B112,'Base stats'!B:B,'Base stats'!E:E),Groups!A:A,Groups!W:W))</f>
        <v>HeadAttackTool</v>
      </c>
      <c r="Z112" s="7" t="str">
        <f>IF(W112="No","No",_xlfn.XLOOKUP(_xlfn.XLOOKUP(B112,'Base stats'!B:B,'Base stats'!E:E),Groups!A:A,Groups!X:X))</f>
        <v>horn</v>
      </c>
      <c r="AA112" s="7" t="str">
        <f>IF(W112="No","No",_xlfn.XLOOKUP(_xlfn.XLOOKUP(B112,'Base stats'!B:B,'Base stats'!E:E),Groups!A:A,Groups!Y:Y))</f>
        <v>Scratch</v>
      </c>
      <c r="AB112" s="7" t="str">
        <f>_xlfn.XLOOKUP(Animals!B112,'Base stats'!B:B,'Base stats'!X:X)</f>
        <v>False</v>
      </c>
      <c r="AC112" s="13" t="str">
        <f>IF(_xlfn.XLOOKUP(B112,'Base stats'!B:B,'Base stats'!AQ:AQ)="No","No",MROUND((LOG10(_xlfn.XLOOKUP(B112,'Base stats'!B:B,'Base stats'!AQ:AQ))*(AN112^0.75)+(_xlfn.XLOOKUP(B112,'Base stats'!B:B,'Base stats'!AQ:AQ)/1000)^(2/3)+_xlfn.XLOOKUP(B112,'Base stats'!B:B,'Base stats'!AU:AU)+_xlfn.XLOOKUP(B112,'Base stats'!B:B,'Base stats'!AX:AX))+0.5,0.5))</f>
        <v>No</v>
      </c>
      <c r="AD112" s="7" t="str">
        <f>IF(AC112="No","No",MAX(_xlfn.XLOOKUP(_xlfn.XLOOKUP(B112,'Base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E112" s="7" t="str">
        <f>IF(AC112="No","No",_xlfn.XLOOKUP(_xlfn.XLOOKUP(B112,'Base stats'!B:B,'Base stats'!E:E),Groups!A:A,Groups!AA:AA))</f>
        <v>No</v>
      </c>
      <c r="AF112" s="7" t="str">
        <f>IF(AC112="No","No",_xlfn.XLOOKUP(_xlfn.XLOOKUP(B112,'Base stats'!B:B,'Base stats'!E:E),Groups!A:A,Groups!AB:AB))</f>
        <v>No</v>
      </c>
      <c r="AG112" s="7" t="str">
        <f>IF(AC112="No","No",_xlfn.XLOOKUP(_xlfn.XLOOKUP(B112,'Base stats'!B:B,'Base stats'!E:E),Groups!A:A,Groups!AC:AC))</f>
        <v>No</v>
      </c>
      <c r="AH112" s="13" t="str">
        <f>IF(_xlfn.XLOOKUP(_xlfn.XLOOKUP(B112,'Base stats'!B:B,'Base stats'!E:E),Groups!A:A,Groups!AD:AD)=0,"No",MROUND((LOG10(_xlfn.XLOOKUP(B112,'Base stats'!B:B,'Base stats'!AP:AP))*(AN112^0.75)+(_xlfn.XLOOKUP(B112,'Base stats'!B:B,'Base stats'!AP:AP)/1000)^(2/3)+_xlfn.XLOOKUP(B112,'Base stats'!B:B,'Base stats'!AV:AV)+_xlfn.XLOOKUP(B112,'Base stats'!B:B,'Base stats'!AX:AX))+0.5,0.5))</f>
        <v>No</v>
      </c>
      <c r="AI112" s="7" t="str">
        <f>IF(AH112="No","No",MAX(_xlfn.XLOOKUP(_xlfn.XLOOKUP(B112,'Base stats'!B:B,'Base stats'!E:E),Groups!A:A,Groups!AE:AE),MROUND(_xlfn.XLOOKUP(_xlfn.XLOOKUP(B112,'Base stats'!B:B,'Base stats'!E:E),Groups!A:A,Groups!AE:AE)*_xlfn.XLOOKUP(B112,'Base stats'!B:B,'Base stats'!C:C)^0.165,0.05)))</f>
        <v>No</v>
      </c>
      <c r="AJ112" s="7" t="str">
        <f>IF(AH112="No","No",_xlfn.XLOOKUP(_xlfn.XLOOKUP(B112,'Base stats'!B:B,'Base stats'!E:E),Groups!A:A,Groups!AF:AF))</f>
        <v>No</v>
      </c>
      <c r="AK112" s="7" t="str">
        <f>IF(AH112="No","No",_xlfn.XLOOKUP(_xlfn.XLOOKUP(B112,'Base stats'!B:B,'Base stats'!E:E),Groups!A:A,Groups!AG:AG))</f>
        <v>No</v>
      </c>
      <c r="AL112" s="7" t="str">
        <f>IF(AH112="No","No",_xlfn.XLOOKUP(_xlfn.XLOOKUP(B112,'Base stats'!B:B,'Base stats'!E:E),Groups!A:A,Groups!AH:AH))</f>
        <v>No</v>
      </c>
      <c r="AM112" s="2" t="str">
        <f t="shared" si="7"/>
        <v>No</v>
      </c>
      <c r="AN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O112" s="8">
        <f>MROUND(AN112*_xlfn.XLOOKUP(_xlfn.XLOOKUP(B112,'Base stats'!B:B,'Base stats'!E:E),Groups!A:A,Groups!AI:AI),0.05)</f>
        <v>2</v>
      </c>
      <c r="AP112" s="8">
        <f>MAX(0.01,MROUND(IF(CA112="True",0.196*(AN112*100*1000)^0.889,IF(_xlfn.XLOOKUP(_xlfn.XLOOKUP(B112,'Base stats'!B:B,'Base stats'!E:E),Groups!A:A,Groups!AJ:AJ)="Bird",10.5*(AN112*100*1000)^0.681,4.82*(AN112*100*1000)^0.734))/(4.82*(1*100*1000)^0.734)/IF(AN112&lt;3.5,2,IF(AN112=3.5,1.5,1.25))*(1+0.132282374779864/(AN112^0.994035016789033+0.00905238001496948)),0.05))</f>
        <v>0.9</v>
      </c>
      <c r="AQ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R112" s="35">
        <f>IFERROR(IF(_xlfn.XLOOKUP(B112,'Base stats'!B:B,'Base stats'!F:F)="Lay eggs","Lay eggs",MIN(20,MAX(5.5,ROUND(((_xlfn.XLOOKUP(B112,'Base stats'!B:B,'Base stats'!F:F)-25)*(14.5/615) + 5.5)*2,0)/2))),"Cannot breed")</f>
        <v>11</v>
      </c>
      <c r="AS112" s="8">
        <f>IF(OR(A112="Queen",A112="Larva",A112="Megachicken"),"No",IFERROR(MAX(IF(_xlfn.XLOOKUP(B112,'Base stats'!B:B,'Base stats'!G:G)&lt;0.5,0.2,0.3),MROUND(_xlfn.XLOOKUP(B112,'Base stats'!B:B,'Base stats'!G:G)/(365/60),0.2)),"Unknown"))</f>
        <v>0.3</v>
      </c>
      <c r="AT112" s="8">
        <f t="shared" si="8"/>
        <v>0.15000000000000002</v>
      </c>
      <c r="AU112" s="8">
        <f>IFERROR(IFERROR(MROUND(_xlfn.XLOOKUP(B112,'Base stats'!B:B,'Base stats'!J:J),0.1),"Lay eggs"),"Cannot breed")</f>
        <v>1</v>
      </c>
      <c r="AV112" s="2" t="str">
        <f t="shared" si="9"/>
        <v>true</v>
      </c>
      <c r="AW112" s="2" t="str">
        <f>IF(_xlfn.XLOOKUP(_xlfn.XLOOKUP(Animals!B112,'Base stats'!B:B,'Base stats'!E:E),Groups!A:A,Groups!AK:AK)=1,"true","false")</f>
        <v>false</v>
      </c>
      <c r="AX112" s="25" t="str">
        <f>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</f>
        <v>VegetarianRoughAnimal</v>
      </c>
      <c r="AY112" s="2">
        <f>IF(_xlfn.XLOOKUP(_xlfn.XLOOKUP(B112,'Base stats'!B:B,'Base stats'!E:E),Groups!A:A,Groups!D:D)=1,MROUND((1-I112)*5+1,2)*IF(I112&lt;=0.4,2,1),"No")</f>
        <v>2</v>
      </c>
      <c r="AZ112" s="2" t="str">
        <f>_xlfn.XLOOKUP(B112,'Base stats'!B:B,'Base stats'!AE:AE)</f>
        <v>Leather_Plain</v>
      </c>
      <c r="BA112" s="23" t="str">
        <f>_xlfn.XLOOKUP(_xlfn.XLOOKUP(B112,'Base stats'!B:B,'Base stats'!E:E),Groups!A:A,Groups!AL:AL)</f>
        <v>QuadrupedAnimalWithHooves</v>
      </c>
      <c r="BB112" s="23">
        <f>MROUND(IF(AND(AN112&lt;0.5,_xlfn.XLOOKUP(B112,'Base stats'!B:B,'Base stats'!Z:Z)=0),0,IF(OR(_xlfn.XLOOKUP(Animals!B112,'Base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stats'!AA:AA),0.005)</f>
        <v>0</v>
      </c>
      <c r="BC112" s="23">
        <f>MROUND(IF(AND(AN112&lt;0.5,_xlfn.XLOOKUP(B112,'Base stats'!B:B,'Base stats'!Z:Z)=0),0,IF(_xlfn.XLOOKUP(_xlfn.XLOOKUP(B112,'Base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stats'!AB:AB),0.005)</f>
        <v>0</v>
      </c>
      <c r="BD112" s="2" t="str">
        <f>IF(I112&gt;0.3,"No",_xlfn.XLOOKUP(_xlfn.XLOOKUP(Animals!B112,'Base stats'!B:B,'Base stats'!E:E),Groups!A:A,Groups!AP:AP))</f>
        <v>No</v>
      </c>
      <c r="BE112" s="2" t="str">
        <f>IF(AND(I112&lt;=0.65,_xlfn.XLOOKUP(_xlfn.XLOOKUP(Animals!B112,'Base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stats'!O:O)=2,0.2,AN112) + 24*(1-IF(BD112="No",0,BD112)) + 16/3, 12),"No")</f>
        <v>No</v>
      </c>
      <c r="BF112" s="2">
        <f>IF(AND(_xlfn.XLOOKUP(_xlfn.XLOOKUP(B112,'Base stats'!B:B,'Base stats'!E:E),Groups!A:A,Groups!AQ:AQ)=1,AN112&lt;=0.35),8,12)</f>
        <v>12</v>
      </c>
      <c r="BG112" s="2" t="str">
        <f>IF(_xlfn.XLOOKUP(_xlfn.XLOOKUP(B112,'Base stats'!B:B,'Base stats'!E:E),Groups!A:A,Groups!D:D)=0,_xlfn.XLOOKUP(_xlfn.XLOOKUP(B112,'Base stats'!B:B,'Base stats'!E:E),Groups!A:A,Groups!AR:AR),"None")</f>
        <v>None</v>
      </c>
      <c r="BH112" s="2" t="str">
        <f>IF(AND(_xlfn.XLOOKUP(_xlfn.XLOOKUP(B112,'Base stats'!B:B,'Base stats'!E:E),Groups!A:A,Groups!AS:AS)=1,OR('Base stats'!Y112="Carnivore",'Base stats'!Y112="Omnivore")),"true","false")</f>
        <v>false</v>
      </c>
      <c r="BI112" s="2" t="str">
        <f>IF(BH112="true",MROUND(IF(AND(AN112&gt;0.5,_xlfn.XLOOKUP(_xlfn.XLOOKUP(B112,'Base stats'!B:B,'Base stats'!E:E),Groups!A:A,Groups!AJ:AJ)="Mammal"),Animals!AN112*1.75*IF(AV112="true",1.5,1),Animals!AN112),IF(AN112&gt;2,0.5,IF(AN112&gt;0.5,0.25,0.1))),"No")</f>
        <v>No</v>
      </c>
      <c r="BJ112" s="2">
        <f t="shared" si="10"/>
        <v>0</v>
      </c>
      <c r="BK112" s="25" t="str">
        <f>IF('Base stats'!AK112="Standard","No",MROUND((_xlfn.XLOOKUP(B112,'Base stats'!B:B,'Base stats'!AK:AK)/3.6)/H112,0.1))</f>
        <v>No</v>
      </c>
      <c r="BL112" s="25" t="str">
        <f t="shared" si="11"/>
        <v>false</v>
      </c>
      <c r="BM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N112" s="25" t="str" cm="1">
        <f t="array" ref="BN112">IF(
  _xlfn.TEXTJOIN(", ",TRUE,
    IF(AND(BH112="true",AN112&gt;0.5,BG112&lt;&gt;"None"),"AttackTarget",""),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IF(BE112&lt;=36,"Comfort",""),
    IF(_xlfn.XLOOKUP(B112,'Base stats'!B:B,'Base stats'!AC:AC)&lt;&gt;"No",_xlfn.XLOOKUP(B112,'Base stats'!B:B,'Base stats'!AC:AC),"")
  ) = "",
  "No",
  _xlfn.TEXTJOIN(", ",TRUE,
    IF(AND(BH112="true",AN112&gt;0.5,BG112&lt;&gt;"None"),"AttackTarget",""),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IF(BE112&lt;=36,"Comfort",""),
    IF(_xlfn.XLOOKUP(B112,'Base stats'!B:B,'Base stats'!AC:AC)&lt;&gt;"No",_xlfn.XLOOKUP(B112,'Base stats'!B:B,'Base stats'!AC:AC),"")
  )
)</f>
        <v>No</v>
      </c>
      <c r="BO112" s="25" t="str">
        <f>IF(
   AND(
      'Base stats'!AK112="Standard",_xlfn.XLOOKUP(_xlfn.XLOOKUP(B112,'Base stats'!B:B,'Base stats'!E:E),Groups!A:A,Groups!AU:AU)=0,
      OR(
      BM112="True"
      )
   ),
   10,
   IF(
       OR(BK112&lt;&gt;"No",_xlfn.XLOOKUP(_xlfn.XLOOKUP(B112,'Base stats'!B:B,'Base stats'!E:E),Groups!A:A,Groups!AU:AU)=1),
      1,
      "No"
   )
)</f>
        <v>No</v>
      </c>
      <c r="BP112" s="9">
        <f>MROUND((1 + ((0.2*IF(OR(P112="No",Q112="No",Q112=0),0,P112/Q112)
+IF(OR(U112="No",R112="No",S112="No"),0,R112/S112*(LEN(U112)-LEN(SUBSTITUTE(U112,",",""))+1))
+IF(OR(W112="No",X112="No"),0,W112/X112)
+IF(OR(AC112="No",AD112="No"),0,AC112/AD112)
+IF(OR(AK112="No",AH112="No",AI112="No"),0,AH112/AI112*(LEN(AK112)-LEN(SUBSTITUTE(AK112,",",""))+1))
)/(0.2*IF(OR(P112="No",Q112="No",Q112=0),0,1)
+IF(OR(U112="No",R112="No",S112="No"),0,LEN(U112)-LEN(SUBSTITUTE(U112,",",""))+1)
+IF(OR(W112="No",X112="No"),0,1)
+IF(OR(AC112="No",AD112="No"),0,1)
+IF(OR(AK112="No",AH112="No",AI112="No"),0,LEN(AK112)-LEN(SUBSTITUTE(AK112,",",""))+1))*62%)* 2)*(1 + (AO112 + _xlfn.XLOOKUP(B112,'Base stats'!B:B,'Base stats'!AS:AS) * 1.8) * 2) * 2.5 + 10 + H112 * 2,5)+IF(_xlfn.XLOOKUP(B112,'Base stats'!B:B,'Base stats'!AH:AH)=1,50,0)</f>
        <v>140</v>
      </c>
      <c r="BQ112" s="8">
        <f t="shared" si="12"/>
        <v>1.1000000000000001</v>
      </c>
      <c r="BR112" s="8" t="str">
        <f>_xlfn.XLOOKUP(B112,'Base stats'!B:B,'Base stats'!AD:AD)</f>
        <v>5~15</v>
      </c>
      <c r="BS112" s="2" t="str">
        <f>IF(AND(I112&lt;=0.95,OR(_xlfn.XLOOKUP(B112,'Base stats'!B:B,'Base stats'!AH:AH)=1,_xlfn.XLOOKUP(B112,'Base stats'!B:B,'Base stats'!Y:Y)="Carnivore",_xlfn.XLOOKUP(B112,'Base stats'!B:B,'Base stats'!Y:Y)="Omnivore",BC112&gt;0.1)),"true","false")</f>
        <v>false</v>
      </c>
      <c r="BT112" s="2" t="str">
        <f>IF(_xlfn.XLOOKUP(B112,'Base stats'!B:B,'Base stats'!AF:AF)=1,"true","false")</f>
        <v>false</v>
      </c>
      <c r="BU112" s="25" t="str">
        <f>IF(E112="BaseInsect","AnimalInsect",
IF(I112&gt;0.95,"AnimalExotic",
_xlfn.TEXTJOIN(", ",TRUE,
IF(AND(_xlfn.XLOOKUP(B112,'Base stats'!B:B,'Base stats'!O:O)=0,_xlfn.XLOOKUP(_xlfn.XLOOKUP(B112,'Base stats'!B:B,'Base stats'!E:E),Groups!A:A,Groups!B:B)&gt;0),"AnimalUncommon","AnimalCommon"),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stats'!AH:AH)=1,AND(BG112&lt;&gt;"None",BP112&gt;=60),ISNUMBER(SEARCH("Attack target",BN112))),"AnimalFighter","")
)))</f>
        <v>AnimalCommon</v>
      </c>
      <c r="BV112" s="25" t="str">
        <f>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</f>
        <v>AridShrubland Desert Grasslands LavaField</v>
      </c>
      <c r="BW112" s="25" t="str">
        <f>IF(_xlfn.XLOOKUP(B112,'Base stats'!B:B,'Base stats'!AG:AG)=1,"true","false")</f>
        <v>false</v>
      </c>
      <c r="BX112" s="25">
        <f>IF(_xlfn.XLOOKUP(B112,'Base stats'!B:B,'Base stats'!N:N)=1,"No",MIN(MROUND(IF(OR(_xlfn.XLOOKUP(B112,'Base stats'!B:B,'Base stats'!AJ:AJ)=1,AND(BH112="True",CA112="False")),POWER(10,3.47*LOG10(_xlfn.XLOOKUP(B112,'Base stats'!B:B,'Base stats'!C:C)*1000)^-0.96),POWER(10,4.15*LOG10(_xlfn.XLOOKUP(B112,'Base stats'!B:B,'Base stats'!C:C)*1000)^-0.73))*IF(OR(_xlfn.XLOOKUP(B112,'Base stats'!B:B,'Base stats'!AJ:AJ)=1,_xlfn.XLOOKUP(B112,'Base stats'!B:B,'Base stats'!AH:AH)=1),0.5,1)/100,0.025),1))</f>
        <v>0.17500000000000002</v>
      </c>
      <c r="BY112" s="25" t="str">
        <f>IF(O112="Standard","No",IF(_xlfn.XLOOKUP(B112,'Base stats'!B:B,'Base stats'!N:N)=0,MROUND(BX112*O112,0.05),MIN(1,MAX(0.025,MROUND(IF(OR(CA112="true",AND(BH112="false",BM112="false")),POWER(10,4.15*LOG10(_xlfn.XLOOKUP(B112,'Base stats'!B:B,'Base stats'!C:C)*1000)^-0.73),POWER(10,3.47*LOG10(_xlfn.XLOOKUP(B112,'Base stats'!B:B,'Base stats'!C:C)*1000)^-0.96))*IF(_xlfn.XLOOKUP(B112,'Base stats'!B:B,'Base stats'!AH:AH)=1,0.5,1)/100,0.025)))))</f>
        <v>No</v>
      </c>
      <c r="BZ112" s="25" t="str">
        <f>IF(_xlfn.XLOOKUP(_xlfn.XLOOKUP(B112,'Base stats'!B:B,'Base stats'!E:E),Groups!A:A,Groups!AJ:AJ)="Mammal","True","False")</f>
        <v>True</v>
      </c>
      <c r="CA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B112" s="25" t="str">
        <f t="shared" si="13"/>
        <v>False</v>
      </c>
      <c r="CC112" s="25" t="str">
        <f>IF(_xlfn.XLOOKUP(_xlfn.XLOOKUP(B112,'Base stats'!B:B,'Base stats'!E:E),Groups!A:A,Groups!AW:AW),"True","False")</f>
        <v>False</v>
      </c>
      <c r="CD112" s="25" t="str">
        <f>IF(_xlfn.XLOOKUP(_xlfn.XLOOKUP(B112,'Base stats'!B:B,'Base stats'!E:E),Groups!A:A,Groups!AX:AX),"True","False")</f>
        <v>False</v>
      </c>
      <c r="CE112" s="25" t="str">
        <f>IF(_xlfn.XLOOKUP(B112,'Base stats'!B:B,'Base stats'!E:E)=1,"True","False")</f>
        <v>False</v>
      </c>
      <c r="CF112" s="25" t="str">
        <f>IF(
OR(
_xlfn.XLOOKUP(_xlfn.XLOOKUP(B112,'Base stats'!B:B,'Base stats'!E:E),Groups!A:A,Groups!AY:AY)=0,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stats'!E:E),Groups!A:A,Groups!AY:AY)=1,
"Flesh",
IF(
_xlfn.XLOOKUP(_xlfn.XLOOKUP(B112,'Base stats'!B:B,'Base stats'!E:E),Groups!A:A,Groups!AY:AY)=2,
"Bone",
""
)
)
)</f>
        <v>No</v>
      </c>
      <c r="CG112" s="25" t="str">
        <f>IF(_xlfn.XLOOKUP(_xlfn.XLOOKUP(B112,'Base stats'!B:B,'Base stats'!E:E),Groups!A:A,Groups!BA:BA),"True","False")</f>
        <v>True</v>
      </c>
      <c r="CH112" s="25" t="str">
        <f>IF(_xlfn.XLOOKUP(_xlfn.XLOOKUP(B112,'Base stats'!B:B,'Base stats'!E:E),Groups!A:A,Groups!AZ:AZ),"True","False")</f>
        <v>False</v>
      </c>
    </row>
    <row r="113" spans="1:86" ht="16.5" thickTop="1" thickBot="1" x14ac:dyDescent="0.3">
      <c r="A113" s="26" t="str">
        <f>_xlfn.XLOOKUP(B113,'Base stats'!B:B,'Base stats'!A:A)</f>
        <v>Crocodile</v>
      </c>
      <c r="B113" s="6" t="s">
        <v>255</v>
      </c>
      <c r="C113" s="28" t="s">
        <v>806</v>
      </c>
      <c r="D113" s="28" t="s">
        <v>884</v>
      </c>
      <c r="E113" s="28" t="s">
        <v>685</v>
      </c>
      <c r="F113" s="28" t="s">
        <v>685</v>
      </c>
      <c r="G113" s="2">
        <f>MROUND((
  (IF(AND(_xlfn.XLOOKUP(B113,'Base stats'!B:B,'Base stats'!AI:AI)=0,BG113="None",_xlfn.XLOOKUP('Base stats'!E113,Groups!A:A,Groups!B:B)=0), (18 + BP113 * 2.7) * 0.5,
    IF(AND(_xlfn.XLOOKUP(B113,'Base stats'!B:B,'Base stats'!AI:AI)=0,OR(AN113&lt;0.55,AND(BG113="Intermediate",_xlfn.XLOOKUP('Base stats'!E113,Groups!A:A,Groups!B:B)&lt;2))), (18 + BP113 * 2.7),
      IF(OR(BG113="Advanced",_xlfn.XLOOKUP(B113,'Base stats'!B:B,'Base stats'!AI:AI)=1,_xlfn.XLOOKUP('Base stats'!E113,Groups!A:A,Groups!B:B)=2), (18 + BP113 * 2.7) + 250, (18 + BP113 * 2.7))
    )
  ))
  + AN113 * 80
  + IF(COUNTIF(EggMilk!K$2:K$998, A113) &gt; 0, 125, 0)
  + IF(COUNTIF(EggMilk!P$2:P$998, A113) &gt; 0, 90, 0)
  + IF(COUNTIF(EggMilk!A$2:A$998, A113) &gt; 0, 90, 0)
)
* (0.8 + 0.4 * I113)
* 0.75,25)</f>
        <v>1125</v>
      </c>
      <c r="H113" s="2">
        <f>MROUND(ROUNDDOWN(_xlfn.XLOOKUP(B113,'Base stats'!B:B,'Base stats'!L:L)/3.6/(23.3/11),1),0.5)</f>
        <v>1.5</v>
      </c>
      <c r="I113" s="2">
        <f>IF(_xlfn.XLOOKUP(B113,'Base stats'!B:B,'Base stats'!AI:AI)=1,0.99,MIN(MROUND((1-0.6282*EXP(-0.459*AN113))*_xlfn.XLOOKUP(_xlfn.XLOOKUP(B113,'Base stats'!B:B,'Base stats'!E:E),Groups!A:A,Groups!C:C)*IF(_xlfn.XLOOKUP(B113,'Base stats'!B:B,'Base stats'!O:O)=1,0.5,IF(_xlfn.XLOOKUP(B113,'Base stats'!B:B,'Base stats'!O:O)=2,0,1)),0.05),0.985))</f>
        <v>0.9</v>
      </c>
      <c r="J113" s="2">
        <f>ROUNDUP(AN113*_xlfn.XLOOKUP(_xlfn.XLOOKUP(B113,'Base stats'!B:B,'Base stats'!E:E),Groups!A:A,Groups!E:E),0)</f>
        <v>3</v>
      </c>
      <c r="K113" s="2">
        <f>IF(OR(_xlfn.XLOOKUP(_xlfn.XLOOKUP(B113,'Base stats'!B:B,'Base stats'!E:E),Groups!A:A,Groups!F:F)=2,ISNUMBER(SEARCH("SeaIce",BV113)),ISNUMBER(SEARCH("IceSheet",BV113))),-50,IF(OR(ISNUMBER(SEARCH("GlacialPlain",BV113)),ISNUMBER(SEARCH("Tundra",BV113))),-40,IF(OR(ISNUMBER(SEARCH("Alpine",BV113)),ISNUMBER(SEARCH("BorealForest",BV113)),ISNUMBER(SEARCH("ColdBog",BV113))),-30,IF(OR(ISNUMBER(SEARCH("TemperateForest",BV113)),ISNUMBER(SEARCH("TemperateSwamp",BV113))),-20,IF(_xlfn.XLOOKUP(_xlfn.XLOOKUP(B113,'Base stats'!B:B,'Base stats'!E:E),Groups!A:A,Groups!F:F)=1,-15,IF(OR(ISNUMBER(SEARCH("Desert",BV113)),ISNUMBER(SEARCH("ExtremeDesert",BV113))),-10,IF(OR(ISNUMBER(SEARCH("Grasslands",BV113)),ISNUMBER(SEARCH("TropicalRainforest",BV113)),ISNUMBER(SEARCH("TropicalSwamp",BV113))),10,0)))))))-IF(CA113="False",MIN(IFERROR(MAX(MROUND(LOG10(_xlfn.XLOOKUP(B113,'Base stats'!B:B,'Base stats'!C:C)^(2/3))*10,5),5),5),30))-_xlfn.XLOOKUP(B113,'Base stats'!B:B,'Base stats'!P:P)+IF(CA113="True",5,0)</f>
        <v>15</v>
      </c>
      <c r="L113" s="2">
        <f>IF(OR(_xlfn.XLOOKUP(_xlfn.XLOOKUP(B113,'Base stats'!B:B,'Base stats'!E:E),Groups!A:A,Groups!G:G)=2,ISNUMBER(SEARCH("Desert",BV113)),ISNUMBER(SEARCH("ExtremeDesert",BV113)),ISNUMBER(SEARCH("LavaField",BV113))),50,IF(ISNUMBER(SEARCH("Grasslands",BV113)),45,IF(OR(_xlfn.XLOOKUP(_xlfn.XLOOKUP(B113,'Base stats'!B:B,'Base stats'!E:E),Groups!A:A,Groups!G:G)=1,ISNUMBER(SEARCH("TropicalRainforest",BV113)),ISNUMBER(SEARCH("TropicalSwamp",BV113))),40,IF(OR(ISNUMBER(SEARCH("TemperateForest",BV113)),ISNUMBER(SEARCH("TemperateSwamp",BV113))),35,IF(OR(ISNUMBER(SEARCH("Alpine",BV113)),ISNUMBER(SEARCH("BorealForest",BV113)),ISNUMBER(SEARCH("ColdBog",BV113))),30,IF(ISNUMBER(OR(ISNUMBER(SEARCH("GlacialPlain",BV113)),SEARCH("Tundra",BV113))),25,IF(OR(ISNUMBER(SEARCH("SeaIce",BV113)),ISNUMBER(SEARCH("IceSheet",BV113)),ISNUMBER(SEARCH("TropicalSwamp",BV113))),10,35)))))))+_xlfn.XLOOKUP(B113,'Base stats'!B:B,'Base stats'!Q:Q)</f>
        <v>50</v>
      </c>
      <c r="M113" s="8">
        <f>IF(_xlfn.XLOOKUP(_xlfn.XLOOKUP(B113,'Base stats'!B:B,'Base stats'!E:E),Groups!A:A,Groups!L:L)=1,MIN(MROUND(_xlfn.XLOOKUP(B113,'Animals CE'!B:B,'Animals CE'!Z:Z)/2+0.05,0.05),200%),"No")</f>
        <v>0.30000000000000004</v>
      </c>
      <c r="N113" s="8">
        <f>IF(_xlfn.XLOOKUP(_xlfn.XLOOKUP(B113,'Base stats'!B:B,'Base stats'!E:E),Groups!A:A,Groups!L:L)=1,MIN(MROUND(_xlfn.XLOOKUP(B113,'Animals CE'!B:B,'Animals CE'!AA:AA)/2+0.05,0.05),200%),"No")</f>
        <v>0.30000000000000004</v>
      </c>
      <c r="O113" s="2" t="str">
        <f>_xlfn.XLOOKUP(B113,'Base stats'!B:B,'Base stats'!R:R)</f>
        <v>Standard</v>
      </c>
      <c r="P113" s="13">
        <f>MROUND((LOG10(_xlfn.XLOOKUP(B113,'Base stats'!B:B,'Base stats'!AO:AO))*(AN113^0.5)+(_xlfn.XLOOKUP(B113,'Base stats'!B:B,'Base stats'!AO:AO)/1000)^(2/3)+_xlfn.XLOOKUP(B113,'Base stats'!B:B,'Base stats'!AX:AX)/2)+0.5,0.5)</f>
        <v>15</v>
      </c>
      <c r="Q113" s="7">
        <f>IF(P113="No","No",MAX(1,MROUND(_xlfn.XLOOKUP(B113,'Base stats'!B:B,'Base stats'!C:C)^0.165,0.05)))</f>
        <v>2.75</v>
      </c>
      <c r="R113" s="13" t="str">
        <f>IF(_xlfn.XLOOKUP(_xlfn.XLOOKUP(B113,'Base stats'!B:B,'Base stats'!E:E),Groups!A:A,Groups!P:P)=0,"No",MROUND((LOG10(_xlfn.XLOOKUP(B113,'Base stats'!B:B,'Base stats'!AP:AP))*(AN113^0.5)+(_xlfn.XLOOKUP(B113,'Base stats'!B:B,'Base stats'!AP:AP)/1000)^(2/3)+_xlfn.XLOOKUP(B113,'Base stats'!B:B,'Base stats'!AX:AX))+_xlfn.XLOOKUP(B113,'Base stats'!B:B,'Base stats'!AV:AV)+0.5,0.5))</f>
        <v>No</v>
      </c>
      <c r="S113" s="7" t="str">
        <f>IF(R113="No","No",MAX(_xlfn.XLOOKUP(_xlfn.XLOOKUP(B113,'Base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T113" s="7" t="str">
        <f>IF(R113="No","No",_xlfn.XLOOKUP(_xlfn.XLOOKUP(B113,'Base stats'!B:B,'Base stats'!E:E),Groups!A:A,Groups!R:R))</f>
        <v>No</v>
      </c>
      <c r="U113" s="7" t="str">
        <f>IF(R113="No","No",_xlfn.XLOOKUP(_xlfn.XLOOKUP(B113,'Base stats'!B:B,'Base stats'!E:E),Groups!A:A,Groups!S:S))</f>
        <v>No</v>
      </c>
      <c r="V113" s="7" t="str">
        <f>IF(R113="No","No",_xlfn.XLOOKUP(_xlfn.XLOOKUP(B113,'Base stats'!B:B,'Base stats'!E:E),Groups!A:A,Groups!T:T))</f>
        <v>No</v>
      </c>
      <c r="W113" s="13" t="str">
        <f>IF(_xlfn.XLOOKUP(B113,'Base stats'!B:B,'Base stats'!W:W)="No","No",MROUND((LOG10(_xlfn.XLOOKUP(B113,'Base stats'!B:B,'Base stats'!AR:AR))*(AN113^0.5)+(_xlfn.XLOOKUP(B113,'Base stats'!B:B,'Base stats'!AR:AR)/1000)^(2/3)+_xlfn.XLOOKUP(B113,'Base stats'!B:B,'Base stats'!AW:AW))+0.5+IF(_xlfn.XLOOKUP(_xlfn.XLOOKUP(B113,'Base stats'!B:B,'Base stats'!E:E),Groups!A:A,Groups!U:U)&lt;&gt;3,_xlfn.XLOOKUP(B113,'Base stats'!B:B,'Base stats'!AX:AX),0),0.5))</f>
        <v>No</v>
      </c>
      <c r="X113" s="7" t="str">
        <f>IF(W113="No","No",MAX(_xlfn.XLOOKUP(_xlfn.XLOOKUP(B113,'Base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Y113" s="7" t="str">
        <f>IF(W113="No","No",_xlfn.XLOOKUP(_xlfn.XLOOKUP(B113,'Base stats'!B:B,'Base stats'!E:E),Groups!A:A,Groups!W:W))</f>
        <v>No</v>
      </c>
      <c r="Z113" s="7" t="str">
        <f>IF(W113="No","No",_xlfn.XLOOKUP(_xlfn.XLOOKUP(B113,'Base stats'!B:B,'Base stats'!E:E),Groups!A:A,Groups!X:X))</f>
        <v>No</v>
      </c>
      <c r="AA113" s="7" t="str">
        <f>IF(W113="No","No",_xlfn.XLOOKUP(_xlfn.XLOOKUP(B113,'Base stats'!B:B,'Base stats'!E:E),Groups!A:A,Groups!Y:Y))</f>
        <v>No</v>
      </c>
      <c r="AB113" s="7" t="str">
        <f>_xlfn.XLOOKUP(Animals!B113,'Base stats'!B:B,'Base stats'!X:X)</f>
        <v>False</v>
      </c>
      <c r="AC113" s="13">
        <f>IF(_xlfn.XLOOKUP(B113,'Base stats'!B:B,'Base stats'!AQ:AQ)="No","No",MROUND((LOG10(_xlfn.XLOOKUP(B113,'Base stats'!B:B,'Base stats'!AQ:AQ))*(AN113^0.75)+(_xlfn.XLOOKUP(B113,'Base stats'!B:B,'Base stats'!AQ:AQ)/1000)^(2/3)+_xlfn.XLOOKUP(B113,'Base stats'!B:B,'Base stats'!AU:AU)+_xlfn.XLOOKUP(B113,'Base stats'!B:B,'Base stats'!AX:AX))+0.5,0.5))</f>
        <v>24.5</v>
      </c>
      <c r="AD113" s="7">
        <f>IF(AC113="No","No",MAX(_xlfn.XLOOKUP(_xlfn.XLOOKUP(B113,'Base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E113" s="7" t="str">
        <f>IF(AC113="No","No",_xlfn.XLOOKUP(_xlfn.XLOOKUP(B113,'Base stats'!B:B,'Base stats'!E:E),Groups!A:A,Groups!AA:AA))</f>
        <v>Teeth</v>
      </c>
      <c r="AF113" s="7" t="str">
        <f>IF(AC113="No","No",_xlfn.XLOOKUP(_xlfn.XLOOKUP(B113,'Base stats'!B:B,'Base stats'!E:E),Groups!A:A,Groups!AB:AB))</f>
        <v>teeth</v>
      </c>
      <c r="AG113" s="7" t="str">
        <f>IF(AC113="No","No",_xlfn.XLOOKUP(_xlfn.XLOOKUP(B113,'Base stats'!B:B,'Base stats'!E:E),Groups!A:A,Groups!AC:AC))</f>
        <v>Bite</v>
      </c>
      <c r="AH113" s="13" t="str">
        <f>IF(_xlfn.XLOOKUP(_xlfn.XLOOKUP(B113,'Base stats'!B:B,'Base stats'!E:E),Groups!A:A,Groups!AD:AD)=0,"No",MROUND((LOG10(_xlfn.XLOOKUP(B113,'Base stats'!B:B,'Base stats'!AP:AP))*(AN113^0.75)+(_xlfn.XLOOKUP(B113,'Base stats'!B:B,'Base stats'!AP:AP)/1000)^(2/3)+_xlfn.XLOOKUP(B113,'Base stats'!B:B,'Base stats'!AV:AV)+_xlfn.XLOOKUP(B113,'Base stats'!B:B,'Base stats'!AX:AX))+0.5,0.5))</f>
        <v>No</v>
      </c>
      <c r="AI113" s="7" t="str">
        <f>IF(AH113="No","No",MAX(_xlfn.XLOOKUP(_xlfn.XLOOKUP(B113,'Base stats'!B:B,'Base stats'!E:E),Groups!A:A,Groups!AE:AE),MROUND(_xlfn.XLOOKUP(_xlfn.XLOOKUP(B113,'Base stats'!B:B,'Base stats'!E:E),Groups!A:A,Groups!AE:AE)*_xlfn.XLOOKUP(B113,'Base stats'!B:B,'Base stats'!C:C)^0.165,0.05)))</f>
        <v>No</v>
      </c>
      <c r="AJ113" s="7" t="str">
        <f>IF(AH113="No","No",_xlfn.XLOOKUP(_xlfn.XLOOKUP(B113,'Base stats'!B:B,'Base stats'!E:E),Groups!A:A,Groups!AF:AF))</f>
        <v>No</v>
      </c>
      <c r="AK113" s="7" t="str">
        <f>IF(AH113="No","No",_xlfn.XLOOKUP(_xlfn.XLOOKUP(B113,'Base stats'!B:B,'Base stats'!E:E),Groups!A:A,Groups!AG:AG))</f>
        <v>No</v>
      </c>
      <c r="AL113" s="7" t="str">
        <f>IF(AH113="No","No",_xlfn.XLOOKUP(_xlfn.XLOOKUP(B113,'Base stats'!B:B,'Base stats'!E:E),Groups!A:A,Groups!AH:AH))</f>
        <v>No</v>
      </c>
      <c r="AM113" s="2">
        <f t="shared" si="7"/>
        <v>30</v>
      </c>
      <c r="AN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O113" s="8">
        <f>MROUND(AN113*_xlfn.XLOOKUP(_xlfn.XLOOKUP(B113,'Base stats'!B:B,'Base stats'!E:E),Groups!A:A,Groups!AI:AI),0.05)</f>
        <v>3.3000000000000003</v>
      </c>
      <c r="AP113" s="8">
        <f>MAX(0.01,MROUND(IF(CA113="True",0.196*(AN113*100*1000)^0.889,IF(_xlfn.XLOOKUP(_xlfn.XLOOKUP(B113,'Base stats'!B:B,'Base stats'!E:E),Groups!A:A,Groups!AJ:AJ)="Bird",10.5*(AN113*100*1000)^0.681,4.82*(AN113*100*1000)^0.734))/(4.82*(1*100*1000)^0.734)/IF(AN113&lt;3.5,2,IF(AN113=3.5,1.5,1.25))*(1+0.132282374779864/(AN113^0.994035016789033+0.00905238001496948)),0.05))</f>
        <v>0.30000000000000004</v>
      </c>
      <c r="AQ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R113" s="35" t="str">
        <f>IFERROR(IF(_xlfn.XLOOKUP(B113,'Base stats'!B:B,'Base stats'!F:F)="Lay eggs","Lay eggs",MIN(20,MAX(5.5,ROUND(((_xlfn.XLOOKUP(B113,'Base stats'!B:B,'Base stats'!F:F)-25)*(14.5/615) + 5.5)*2,0)/2))),"Cannot breed")</f>
        <v>Lay eggs</v>
      </c>
      <c r="AS113" s="8">
        <f>IF(OR(A113="Queen",A113="Larva",A113="Megachicken"),"No",IFERROR(MAX(IF(_xlfn.XLOOKUP(B113,'Base stats'!B:B,'Base stats'!G:G)&lt;0.5,0.2,0.3),MROUND(_xlfn.XLOOKUP(B113,'Base stats'!B:B,'Base stats'!G:G)/(365/60),0.2)),"Unknown"))</f>
        <v>1.6</v>
      </c>
      <c r="AT113" s="8">
        <f t="shared" si="8"/>
        <v>0.8</v>
      </c>
      <c r="AU113" s="8" t="str">
        <f>IFERROR(IFERROR(MROUND(_xlfn.XLOOKUP(B113,'Base stats'!B:B,'Base stats'!J:J),0.1),"Lay eggs"),"Cannot breed")</f>
        <v>Lay eggs</v>
      </c>
      <c r="AV113" s="2" t="str">
        <f t="shared" si="9"/>
        <v>false</v>
      </c>
      <c r="AW113" s="2" t="str">
        <f>IF(_xlfn.XLOOKUP(_xlfn.XLOOKUP(Animals!B113,'Base stats'!B:B,'Base stats'!E:E),Groups!A:A,Groups!AK:AK)=1,"true","false")</f>
        <v>false</v>
      </c>
      <c r="AX113" s="25" t="str">
        <f>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</f>
        <v>CarnivoreAnimal, OvivoreAnimal</v>
      </c>
      <c r="AY113" s="2" t="str">
        <f>IF(_xlfn.XLOOKUP(_xlfn.XLOOKUP(B113,'Base stats'!B:B,'Base stats'!E:E),Groups!A:A,Groups!D:D)=1,MROUND((1-I113)*5+1,2)*IF(I113&lt;=0.4,2,1),"No")</f>
        <v>No</v>
      </c>
      <c r="AZ113" s="2" t="str">
        <f>_xlfn.XLOOKUP(B113,'Base stats'!B:B,'Base stats'!AE:AE)</f>
        <v>Leather_Lizard</v>
      </c>
      <c r="BA113" s="23" t="str">
        <f>_xlfn.XLOOKUP(_xlfn.XLOOKUP(B113,'Base stats'!B:B,'Base stats'!E:E),Groups!A:A,Groups!AL:AL)</f>
        <v>QuadrupedAnimalWithClawsTailAndJowl</v>
      </c>
      <c r="BB113" s="23">
        <f>MROUND(IF(AND(AN113&lt;0.5,_xlfn.XLOOKUP(B113,'Base stats'!B:B,'Base stats'!Z:Z)=0),0,IF(OR(_xlfn.XLOOKUP(Animals!B113,'Base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stats'!AA:AA),0.005)</f>
        <v>0.1</v>
      </c>
      <c r="BC113" s="23">
        <f>MROUND(IF(AND(AN113&lt;0.5,_xlfn.XLOOKUP(B113,'Base stats'!B:B,'Base stats'!Z:Z)=0),0,IF(_xlfn.XLOOKUP(_xlfn.XLOOKUP(B113,'Base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stats'!AB:AB),0.005)</f>
        <v>0.3</v>
      </c>
      <c r="BD113" s="2" t="str">
        <f>IF(I113&gt;0.3,"No",_xlfn.XLOOKUP(_xlfn.XLOOKUP(Animals!B113,'Base stats'!B:B,'Base stats'!E:E),Groups!A:A,Groups!AP:AP))</f>
        <v>No</v>
      </c>
      <c r="BE113" s="2" t="str">
        <f>IF(AND(I113&lt;=0.65,_xlfn.XLOOKUP(_xlfn.XLOOKUP(Animals!B113,'Base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stats'!O:O)=2,0.2,AN113) + 24*(1-IF(BD113="No",0,BD113)) + 16/3, 12),"No")</f>
        <v>No</v>
      </c>
      <c r="BF113" s="2">
        <f>IF(AND(_xlfn.XLOOKUP(_xlfn.XLOOKUP(B113,'Base stats'!B:B,'Base stats'!E:E),Groups!A:A,Groups!AQ:AQ)=1,AN113&lt;=0.35),8,12)</f>
        <v>12</v>
      </c>
      <c r="BG113" s="2" t="str">
        <f>IF(_xlfn.XLOOKUP(_xlfn.XLOOKUP(B113,'Base stats'!B:B,'Base stats'!E:E),Groups!A:A,Groups!D:D)=0,_xlfn.XLOOKUP(_xlfn.XLOOKUP(B113,'Base stats'!B:B,'Base stats'!E:E),Groups!A:A,Groups!AR:AR),"None")</f>
        <v>None</v>
      </c>
      <c r="BH113" s="2" t="str">
        <f>IF(AND(_xlfn.XLOOKUP(_xlfn.XLOOKUP(B113,'Base stats'!B:B,'Base stats'!E:E),Groups!A:A,Groups!AS:AS)=1,OR('Base stats'!Y113="Carnivore",'Base stats'!Y113="Omnivore")),"true","false")</f>
        <v>true</v>
      </c>
      <c r="BI113" s="2">
        <f>IF(BH113="true",MROUND(IF(AND(AN113&gt;0.5,_xlfn.XLOOKUP(_xlfn.XLOOKUP(B113,'Base stats'!B:B,'Base stats'!E:E),Groups!A:A,Groups!AJ:AJ)="Mammal"),Animals!AN113*1.75*IF(AV113="true",1.5,1),Animals!AN113),IF(AN113&gt;2,0.5,IF(AN113&gt;0.5,0.25,0.1))),"No")</f>
        <v>3</v>
      </c>
      <c r="BJ113" s="2">
        <f t="shared" si="10"/>
        <v>0</v>
      </c>
      <c r="BK113" s="25">
        <f>IF('Base stats'!AK113="Standard","No",MROUND((_xlfn.XLOOKUP(B113,'Base stats'!B:B,'Base stats'!AK:AK)/3.6)/H113,0.1))</f>
        <v>2.8000000000000003</v>
      </c>
      <c r="BL113" s="25" t="str">
        <f t="shared" si="11"/>
        <v>true</v>
      </c>
      <c r="BM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N113" s="25" t="str" cm="1">
        <f t="array" ref="BN113">IF(
  _xlfn.TEXTJOIN(", ",TRUE,
    IF(AND(BH113="true",AN113&gt;0.5,BG113&lt;&gt;"None"),"AttackTarget",""),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IF(BE113&lt;=36,"Comfort",""),
    IF(_xlfn.XLOOKUP(B113,'Base stats'!B:B,'Base stats'!AC:AC)&lt;&gt;"No",_xlfn.XLOOKUP(B113,'Base stats'!B:B,'Base stats'!AC:AC),"")
  ) = "",
  "No",
  _xlfn.TEXTJOIN(", ",TRUE,
    IF(AND(BH113="true",AN113&gt;0.5,BG113&lt;&gt;"None"),"AttackTarget",""),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IF(BE113&lt;=36,"Comfort",""),
    IF(_xlfn.XLOOKUP(B113,'Base stats'!B:B,'Base stats'!AC:AC)&lt;&gt;"No",_xlfn.XLOOKUP(B113,'Base stats'!B:B,'Base stats'!AC:AC),"")
  )
)</f>
        <v>No</v>
      </c>
      <c r="BO113" s="25">
        <f>IF(
   AND(
      'Base stats'!AK113="Standard",_xlfn.XLOOKUP(_xlfn.XLOOKUP(B113,'Base stats'!B:B,'Base stats'!E:E),Groups!A:A,Groups!AU:AU)=0,
      OR(
      BM113="True"
      )
   ),
   10,
   IF(
       OR(BK113&lt;&gt;"No",_xlfn.XLOOKUP(_xlfn.XLOOKUP(B113,'Base stats'!B:B,'Base stats'!E:E),Groups!A:A,Groups!AU:AU)=1),
      1,
      "No"
   )
)</f>
        <v>1</v>
      </c>
      <c r="BP113" s="9">
        <f>MROUND((1 + ((0.2*IF(OR(P113="No",Q113="No",Q113=0),0,P113/Q113)
+IF(OR(U113="No",R113="No",S113="No"),0,R113/S113*(LEN(U113)-LEN(SUBSTITUTE(U113,",",""))+1))
+IF(OR(W113="No",X113="No"),0,W113/X113)
+IF(OR(AC113="No",AD113="No"),0,AC113/AD113)
+IF(OR(AK113="No",AH113="No",AI113="No"),0,AH113/AI113*(LEN(AK113)-LEN(SUBSTITUTE(AK113,",",""))+1))
)/(0.2*IF(OR(P113="No",Q113="No",Q113=0),0,1)
+IF(OR(U113="No",R113="No",S113="No"),0,LEN(U113)-LEN(SUBSTITUTE(U113,",",""))+1)
+IF(OR(W113="No",X113="No"),0,1)
+IF(OR(AC113="No",AD113="No"),0,1)
+IF(OR(AK113="No",AH113="No",AI113="No"),0,LEN(AK113)-LEN(SUBSTITUTE(AK113,",",""))+1))*62%)* 2)*(1 + (AO113 + _xlfn.XLOOKUP(B113,'Base stats'!B:B,'Base stats'!AS:AS) * 1.8) * 2) * 2.5 + 10 + H113 * 2,5)+IF(_xlfn.XLOOKUP(B113,'Base stats'!B:B,'Base stats'!AH:AH)=1,50,0)</f>
        <v>270</v>
      </c>
      <c r="BQ113" s="8">
        <f t="shared" si="12"/>
        <v>0.8</v>
      </c>
      <c r="BR113" s="8" t="str">
        <f>_xlfn.XLOOKUP(B113,'Base stats'!B:B,'Base stats'!AD:AD)</f>
        <v>No</v>
      </c>
      <c r="BS113" s="2" t="str">
        <f>IF(AND(I113&lt;=0.95,OR(_xlfn.XLOOKUP(B113,'Base stats'!B:B,'Base stats'!AH:AH)=1,_xlfn.XLOOKUP(B113,'Base stats'!B:B,'Base stats'!Y:Y)="Carnivore",_xlfn.XLOOKUP(B113,'Base stats'!B:B,'Base stats'!Y:Y)="Omnivore",BC113&gt;0.1)),"true","false")</f>
        <v>true</v>
      </c>
      <c r="BT113" s="2" t="str">
        <f>IF(_xlfn.XLOOKUP(B113,'Base stats'!B:B,'Base stats'!AF:AF)=1,"true","false")</f>
        <v>false</v>
      </c>
      <c r="BU113" s="25" t="str">
        <f>IF(E113="BaseInsect","AnimalInsect",
IF(I113&gt;0.95,"AnimalExotic",
_xlfn.TEXTJOIN(", ",TRUE,
IF(AND(_xlfn.XLOOKUP(B113,'Base stats'!B:B,'Base stats'!O:O)=0,_xlfn.XLOOKUP(_xlfn.XLOOKUP(B113,'Base stats'!B:B,'Base stats'!E:E),Groups!A:A,Groups!B:B)&gt;0),"AnimalUncommon","AnimalCommon"),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stats'!AH:AH)=1,AND(BG113&lt;&gt;"None",BP113&gt;=60),ISNUMBER(SEARCH("Attack target",BN113))),"AnimalFighter","")
)))</f>
        <v>AnimalUncommon</v>
      </c>
      <c r="BV113" s="25" t="str">
        <f>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</f>
        <v>AridShrubland TropicalRainforest TropicalSwamp Grasslands Glowforest LavaField</v>
      </c>
      <c r="BW113" s="25" t="str">
        <f>IF(_xlfn.XLOOKUP(B113,'Base stats'!B:B,'Base stats'!AG:AG)=1,"true","false")</f>
        <v>true</v>
      </c>
      <c r="BX113" s="25">
        <f>IF(_xlfn.XLOOKUP(B113,'Base stats'!B:B,'Base stats'!N:N)=1,"No",MIN(MROUND(IF(OR(_xlfn.XLOOKUP(B113,'Base stats'!B:B,'Base stats'!AJ:AJ)=1,AND(BH113="True",CA113="False")),POWER(10,3.47*LOG10(_xlfn.XLOOKUP(B113,'Base stats'!B:B,'Base stats'!C:C)*1000)^-0.96),POWER(10,4.15*LOG10(_xlfn.XLOOKUP(B113,'Base stats'!B:B,'Base stats'!C:C)*1000)^-0.73))*IF(OR(_xlfn.XLOOKUP(B113,'Base stats'!B:B,'Base stats'!AJ:AJ)=1,_xlfn.XLOOKUP(B113,'Base stats'!B:B,'Base stats'!AH:AH)=1),0.5,1)/100,0.025),1))</f>
        <v>0.15000000000000002</v>
      </c>
      <c r="BY113" s="25" t="str">
        <f>IF(O113="Standard","No",IF(_xlfn.XLOOKUP(B113,'Base stats'!B:B,'Base stats'!N:N)=0,MROUND(BX113*O113,0.05),MIN(1,MAX(0.025,MROUND(IF(OR(CA113="true",AND(BH113="false",BM113="false")),POWER(10,4.15*LOG10(_xlfn.XLOOKUP(B113,'Base stats'!B:B,'Base stats'!C:C)*1000)^-0.73),POWER(10,3.47*LOG10(_xlfn.XLOOKUP(B113,'Base stats'!B:B,'Base stats'!C:C)*1000)^-0.96))*IF(_xlfn.XLOOKUP(B113,'Base stats'!B:B,'Base stats'!AH:AH)=1,0.5,1)/100,0.025)))))</f>
        <v>No</v>
      </c>
      <c r="BZ113" s="25" t="str">
        <f>IF(_xlfn.XLOOKUP(_xlfn.XLOOKUP(B113,'Base stats'!B:B,'Base stats'!E:E),Groups!A:A,Groups!AJ:AJ)="Mammal","True","False")</f>
        <v>False</v>
      </c>
      <c r="CA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B113" s="25" t="str">
        <f t="shared" si="13"/>
        <v>False</v>
      </c>
      <c r="CC113" s="25" t="str">
        <f>IF(_xlfn.XLOOKUP(_xlfn.XLOOKUP(B113,'Base stats'!B:B,'Base stats'!E:E),Groups!A:A,Groups!AW:AW),"True","False")</f>
        <v>False</v>
      </c>
      <c r="CD113" s="25" t="str">
        <f>IF(_xlfn.XLOOKUP(_xlfn.XLOOKUP(B113,'Base stats'!B:B,'Base stats'!E:E),Groups!A:A,Groups!AX:AX),"True","False")</f>
        <v>False</v>
      </c>
      <c r="CE113" s="25" t="str">
        <f>IF(_xlfn.XLOOKUP(B113,'Base stats'!B:B,'Base stats'!E:E)=1,"True","False")</f>
        <v>False</v>
      </c>
      <c r="CF113" s="25" t="str">
        <f>IF(
OR(
_xlfn.XLOOKUP(_xlfn.XLOOKUP(B113,'Base stats'!B:B,'Base stats'!E:E),Groups!A:A,Groups!AY:AY)=0,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stats'!E:E),Groups!A:A,Groups!AY:AY)=1,
"Flesh",
IF(
_xlfn.XLOOKUP(_xlfn.XLOOKUP(B113,'Base stats'!B:B,'Base stats'!E:E),Groups!A:A,Groups!AY:AY)=2,
"Bone",
""
)
)
)</f>
        <v>Bone</v>
      </c>
      <c r="CG113" s="25" t="str">
        <f>IF(_xlfn.XLOOKUP(_xlfn.XLOOKUP(B113,'Base stats'!B:B,'Base stats'!E:E),Groups!A:A,Groups!BA:BA),"True","False")</f>
        <v>False</v>
      </c>
      <c r="CH113" s="25" t="str">
        <f>IF(_xlfn.XLOOKUP(_xlfn.XLOOKUP(B113,'Base stats'!B:B,'Base stats'!E:E),Groups!A:A,Groups!AZ:AZ),"True","False")</f>
        <v>False</v>
      </c>
    </row>
    <row r="114" spans="1:86" ht="16.5" thickTop="1" thickBot="1" x14ac:dyDescent="0.3">
      <c r="A114" s="26" t="str">
        <f>_xlfn.XLOOKUP(B114,'Base stats'!B:B,'Base stats'!A:A)</f>
        <v>Cheetah</v>
      </c>
      <c r="B114" s="6" t="s">
        <v>236</v>
      </c>
      <c r="C114" s="28" t="s">
        <v>807</v>
      </c>
      <c r="D114" s="28" t="s">
        <v>884</v>
      </c>
      <c r="E114" s="28" t="s">
        <v>701</v>
      </c>
      <c r="F114" s="28" t="s">
        <v>702</v>
      </c>
      <c r="G114" s="2">
        <f>MROUND((
  (IF(AND(_xlfn.XLOOKUP(B114,'Base stats'!B:B,'Base stats'!AI:AI)=0,BG114="None",_xlfn.XLOOKUP('Base stats'!E114,Groups!A:A,Groups!B:B)=0), (18 + BP114 * 2.7) * 0.5,
    IF(AND(_xlfn.XLOOKUP(B114,'Base stats'!B:B,'Base stats'!AI:AI)=0,OR(AN114&lt;0.55,AND(BG114="Intermediate",_xlfn.XLOOKUP('Base stats'!E114,Groups!A:A,Groups!B:B)&lt;2))), (18 + BP114 * 2.7),
      IF(OR(BG114="Advanced",_xlfn.XLOOKUP(B114,'Base stats'!B:B,'Base stats'!AI:AI)=1,_xlfn.XLOOKUP('Base stats'!E114,Groups!A:A,Groups!B:B)=2), (18 + BP114 * 2.7) + 250, (18 + BP114 * 2.7))
    )
  ))
  + AN114 * 80
  + IF(COUNTIF(EggMilk!K$2:K$998, A114) &gt; 0, 125, 0)
  + IF(COUNTIF(EggMilk!P$2:P$998, A114) &gt; 0, 90, 0)
  + IF(COUNTIF(EggMilk!A$2:A$998, A114) &gt; 0, 90, 0)
)
* (0.8 + 0.4 * I114)
* 0.75,25)</f>
        <v>500</v>
      </c>
      <c r="H114" s="2">
        <f>MROUND(ROUNDDOWN(_xlfn.XLOOKUP(B114,'Base stats'!B:B,'Base stats'!L:L)/3.6/(23.3/11),1),0.5)</f>
        <v>14.5</v>
      </c>
      <c r="I114" s="2">
        <f>IF(_xlfn.XLOOKUP(B114,'Base stats'!B:B,'Base stats'!AI:AI)=1,0.99,MIN(MROUND((1-0.6282*EXP(-0.459*AN114))*_xlfn.XLOOKUP(_xlfn.XLOOKUP(B114,'Base stats'!B:B,'Base stats'!E:E),Groups!A:A,Groups!C:C)*IF(_xlfn.XLOOKUP(B114,'Base stats'!B:B,'Base stats'!O:O)=1,0.5,IF(_xlfn.XLOOKUP(B114,'Base stats'!B:B,'Base stats'!O:O)=2,0,1)),0.05),0.985))</f>
        <v>0.70000000000000007</v>
      </c>
      <c r="J114" s="2">
        <f>ROUNDUP(AN114*_xlfn.XLOOKUP(_xlfn.XLOOKUP(B114,'Base stats'!B:B,'Base stats'!E:E),Groups!A:A,Groups!E:E),0)</f>
        <v>1</v>
      </c>
      <c r="K114" s="2">
        <f>IF(OR(_xlfn.XLOOKUP(_xlfn.XLOOKUP(B114,'Base stats'!B:B,'Base stats'!E:E),Groups!A:A,Groups!F:F)=2,ISNUMBER(SEARCH("SeaIce",BV114)),ISNUMBER(SEARCH("IceSheet",BV114))),-50,IF(OR(ISNUMBER(SEARCH("GlacialPlain",BV114)),ISNUMBER(SEARCH("Tundra",BV114))),-40,IF(OR(ISNUMBER(SEARCH("Alpine",BV114)),ISNUMBER(SEARCH("BorealForest",BV114)),ISNUMBER(SEARCH("ColdBog",BV114))),-30,IF(OR(ISNUMBER(SEARCH("TemperateForest",BV114)),ISNUMBER(SEARCH("TemperateSwamp",BV114))),-20,IF(_xlfn.XLOOKUP(_xlfn.XLOOKUP(B114,'Base stats'!B:B,'Base stats'!E:E),Groups!A:A,Groups!F:F)=1,-15,IF(OR(ISNUMBER(SEARCH("Desert",BV114)),ISNUMBER(SEARCH("ExtremeDesert",BV114))),-10,IF(OR(ISNUMBER(SEARCH("Grasslands",BV114)),ISNUMBER(SEARCH("TropicalRainforest",BV114)),ISNUMBER(SEARCH("TropicalSwamp",BV114))),10,0)))))))-IF(CA114="False",MIN(IFERROR(MAX(MROUND(LOG10(_xlfn.XLOOKUP(B114,'Base stats'!B:B,'Base stats'!C:C)^(2/3))*10,5),5),5),30))-_xlfn.XLOOKUP(B114,'Base stats'!B:B,'Base stats'!P:P)+IF(CA114="True",5,0)</f>
        <v>-25</v>
      </c>
      <c r="L114" s="2">
        <f>IF(OR(_xlfn.XLOOKUP(_xlfn.XLOOKUP(B114,'Base stats'!B:B,'Base stats'!E:E),Groups!A:A,Groups!G:G)=2,ISNUMBER(SEARCH("Desert",BV114)),ISNUMBER(SEARCH("ExtremeDesert",BV114)),ISNUMBER(SEARCH("LavaField",BV114))),50,IF(ISNUMBER(SEARCH("Grasslands",BV114)),45,IF(OR(_xlfn.XLOOKUP(_xlfn.XLOOKUP(B114,'Base stats'!B:B,'Base stats'!E:E),Groups!A:A,Groups!G:G)=1,ISNUMBER(SEARCH("TropicalRainforest",BV114)),ISNUMBER(SEARCH("TropicalSwamp",BV114))),40,IF(OR(ISNUMBER(SEARCH("TemperateForest",BV114)),ISNUMBER(SEARCH("TemperateSwamp",BV114))),35,IF(OR(ISNUMBER(SEARCH("Alpine",BV114)),ISNUMBER(SEARCH("BorealForest",BV114)),ISNUMBER(SEARCH("ColdBog",BV114))),30,IF(ISNUMBER(OR(ISNUMBER(SEARCH("GlacialPlain",BV114)),SEARCH("Tundra",BV114))),25,IF(OR(ISNUMBER(SEARCH("SeaIce",BV114)),ISNUMBER(SEARCH("IceSheet",BV114)),ISNUMBER(SEARCH("TropicalSwamp",BV114))),10,35)))))))+_xlfn.XLOOKUP(B114,'Base stats'!B:B,'Base stats'!Q:Q)</f>
        <v>50</v>
      </c>
      <c r="M114" s="8" t="str">
        <f>IF(_xlfn.XLOOKUP(_xlfn.XLOOKUP(B114,'Base stats'!B:B,'Base stats'!E:E),Groups!A:A,Groups!L:L)=1,MIN(MROUND(_xlfn.XLOOKUP(B114,'Animals CE'!B:B,'Animals CE'!Z:Z)/2+0.05,0.05),200%),"No")</f>
        <v>No</v>
      </c>
      <c r="N114" s="8" t="str">
        <f>IF(_xlfn.XLOOKUP(_xlfn.XLOOKUP(B114,'Base stats'!B:B,'Base stats'!E:E),Groups!A:A,Groups!L:L)=1,MIN(MROUND(_xlfn.XLOOKUP(B114,'Animals CE'!B:B,'Animals CE'!AA:AA)/2+0.05,0.05),200%),"No")</f>
        <v>No</v>
      </c>
      <c r="O114" s="2" t="str">
        <f>_xlfn.XLOOKUP(B114,'Base stats'!B:B,'Base stats'!R:R)</f>
        <v>Standard</v>
      </c>
      <c r="P114" s="13">
        <f>MROUND((LOG10(_xlfn.XLOOKUP(B114,'Base stats'!B:B,'Base stats'!AO:AO))*(AN114^0.5)+(_xlfn.XLOOKUP(B114,'Base stats'!B:B,'Base stats'!AO:AO)/1000)^(2/3)+_xlfn.XLOOKUP(B114,'Base stats'!B:B,'Base stats'!AX:AX)/2)+0.5,0.5)</f>
        <v>6</v>
      </c>
      <c r="Q114" s="7">
        <f>IF(P114="No","No",MAX(1,MROUND(_xlfn.XLOOKUP(B114,'Base stats'!B:B,'Base stats'!C:C)^0.165,0.05)))</f>
        <v>1.85</v>
      </c>
      <c r="R114" s="13" t="str">
        <f>IF(_xlfn.XLOOKUP(_xlfn.XLOOKUP(B114,'Base stats'!B:B,'Base stats'!E:E),Groups!A:A,Groups!P:P)=0,"No",MROUND((LOG10(_xlfn.XLOOKUP(B114,'Base stats'!B:B,'Base stats'!AP:AP))*(AN114^0.5)+(_xlfn.XLOOKUP(B114,'Base stats'!B:B,'Base stats'!AP:AP)/1000)^(2/3)+_xlfn.XLOOKUP(B114,'Base stats'!B:B,'Base stats'!AX:AX))+_xlfn.XLOOKUP(B114,'Base stats'!B:B,'Base stats'!AV:AV)+0.5,0.5))</f>
        <v>No</v>
      </c>
      <c r="S114" s="7" t="str">
        <f>IF(R114="No","No",MAX(_xlfn.XLOOKUP(_xlfn.XLOOKUP(B114,'Base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T114" s="7" t="str">
        <f>IF(R114="No","No",_xlfn.XLOOKUP(_xlfn.XLOOKUP(B114,'Base stats'!B:B,'Base stats'!E:E),Groups!A:A,Groups!R:R))</f>
        <v>No</v>
      </c>
      <c r="U114" s="7" t="str">
        <f>IF(R114="No","No",_xlfn.XLOOKUP(_xlfn.XLOOKUP(B114,'Base stats'!B:B,'Base stats'!E:E),Groups!A:A,Groups!S:S))</f>
        <v>No</v>
      </c>
      <c r="V114" s="7" t="str">
        <f>IF(R114="No","No",_xlfn.XLOOKUP(_xlfn.XLOOKUP(B114,'Base stats'!B:B,'Base stats'!E:E),Groups!A:A,Groups!T:T))</f>
        <v>No</v>
      </c>
      <c r="W114" s="13" t="str">
        <f>IF(_xlfn.XLOOKUP(B114,'Base stats'!B:B,'Base stats'!W:W)="No","No",MROUND((LOG10(_xlfn.XLOOKUP(B114,'Base stats'!B:B,'Base stats'!AR:AR))*(AN114^0.5)+(_xlfn.XLOOKUP(B114,'Base stats'!B:B,'Base stats'!AR:AR)/1000)^(2/3)+_xlfn.XLOOKUP(B114,'Base stats'!B:B,'Base stats'!AW:AW))+0.5+IF(_xlfn.XLOOKUP(_xlfn.XLOOKUP(B114,'Base stats'!B:B,'Base stats'!E:E),Groups!A:A,Groups!U:U)&lt;&gt;3,_xlfn.XLOOKUP(B114,'Base stats'!B:B,'Base stats'!AX:AX),0),0.5))</f>
        <v>No</v>
      </c>
      <c r="X114" s="7" t="str">
        <f>IF(W114="No","No",MAX(_xlfn.XLOOKUP(_xlfn.XLOOKUP(B114,'Base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Y114" s="7" t="str">
        <f>IF(W114="No","No",_xlfn.XLOOKUP(_xlfn.XLOOKUP(B114,'Base stats'!B:B,'Base stats'!E:E),Groups!A:A,Groups!W:W))</f>
        <v>No</v>
      </c>
      <c r="Z114" s="7" t="str">
        <f>IF(W114="No","No",_xlfn.XLOOKUP(_xlfn.XLOOKUP(B114,'Base stats'!B:B,'Base stats'!E:E),Groups!A:A,Groups!X:X))</f>
        <v>No</v>
      </c>
      <c r="AA114" s="7" t="str">
        <f>IF(W114="No","No",_xlfn.XLOOKUP(_xlfn.XLOOKUP(B114,'Base stats'!B:B,'Base stats'!E:E),Groups!A:A,Groups!Y:Y))</f>
        <v>No</v>
      </c>
      <c r="AB114" s="7" t="str">
        <f>_xlfn.XLOOKUP(Animals!B114,'Base stats'!B:B,'Base stats'!X:X)</f>
        <v>False</v>
      </c>
      <c r="AC114" s="13">
        <f>IF(_xlfn.XLOOKUP(B114,'Base stats'!B:B,'Base stats'!AQ:AQ)="No","No",MROUND((LOG10(_xlfn.XLOOKUP(B114,'Base stats'!B:B,'Base stats'!AQ:AQ))*(AN114^0.75)+(_xlfn.XLOOKUP(B114,'Base stats'!B:B,'Base stats'!AQ:AQ)/1000)^(2/3)+_xlfn.XLOOKUP(B114,'Base stats'!B:B,'Base stats'!AU:AU)+_xlfn.XLOOKUP(B114,'Base stats'!B:B,'Base stats'!AX:AX))+0.5,0.5))</f>
        <v>10.5</v>
      </c>
      <c r="AD114" s="7">
        <f>IF(AC114="No","No",MAX(_xlfn.XLOOKUP(_xlfn.XLOOKUP(B114,'Base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</v>
      </c>
      <c r="AE114" s="7" t="str">
        <f>IF(AC114="No","No",_xlfn.XLOOKUP(_xlfn.XLOOKUP(B114,'Base stats'!B:B,'Base stats'!E:E),Groups!A:A,Groups!AA:AA))</f>
        <v>Teeth</v>
      </c>
      <c r="AF114" s="7" t="str">
        <f>IF(AC114="No","No",_xlfn.XLOOKUP(_xlfn.XLOOKUP(B114,'Base stats'!B:B,'Base stats'!E:E),Groups!A:A,Groups!AB:AB))</f>
        <v>canines</v>
      </c>
      <c r="AG114" s="7" t="str">
        <f>IF(AC114="No","No",_xlfn.XLOOKUP(_xlfn.XLOOKUP(B114,'Base stats'!B:B,'Base stats'!E:E),Groups!A:A,Groups!AC:AC))</f>
        <v>Bite</v>
      </c>
      <c r="AH114" s="13">
        <f>IF(_xlfn.XLOOKUP(_xlfn.XLOOKUP(B114,'Base stats'!B:B,'Base stats'!E:E),Groups!A:A,Groups!AD:AD)=0,"No",MROUND((LOG10(_xlfn.XLOOKUP(B114,'Base stats'!B:B,'Base stats'!AP:AP))*(AN114^0.75)+(_xlfn.XLOOKUP(B114,'Base stats'!B:B,'Base stats'!AP:AP)/1000)^(2/3)+_xlfn.XLOOKUP(B114,'Base stats'!B:B,'Base stats'!AV:AV)+_xlfn.XLOOKUP(B114,'Base stats'!B:B,'Base stats'!AX:AX))+0.5,0.5))</f>
        <v>8.5</v>
      </c>
      <c r="AI114" s="7">
        <f>IF(AH114="No","No",MAX(_xlfn.XLOOKUP(_xlfn.XLOOKUP(B114,'Base stats'!B:B,'Base stats'!E:E),Groups!A:A,Groups!AE:AE),MROUND(_xlfn.XLOOKUP(_xlfn.XLOOKUP(B114,'Base stats'!B:B,'Base stats'!E:E),Groups!A:A,Groups!AE:AE)*_xlfn.XLOOKUP(B114,'Base stats'!B:B,'Base stats'!C:C)^0.165,0.05)))</f>
        <v>1.2000000000000002</v>
      </c>
      <c r="AJ114" s="7" t="str">
        <f>IF(AH114="No","No",_xlfn.XLOOKUP(_xlfn.XLOOKUP(B114,'Base stats'!B:B,'Base stats'!E:E),Groups!A:A,Groups!AF:AF))</f>
        <v>FrontRightPaw, FrontRightPaw</v>
      </c>
      <c r="AK114" s="7" t="str">
        <f>IF(AH114="No","No",_xlfn.XLOOKUP(_xlfn.XLOOKUP(B114,'Base stats'!B:B,'Base stats'!E:E),Groups!A:A,Groups!AG:AG))</f>
        <v>left claw, right claw</v>
      </c>
      <c r="AL114" s="7" t="str">
        <f>IF(AH114="No","No",_xlfn.XLOOKUP(_xlfn.XLOOKUP(B114,'Base stats'!B:B,'Base stats'!E:E),Groups!A:A,Groups!AH:AH))</f>
        <v>Scratch</v>
      </c>
      <c r="AM114" s="2">
        <f t="shared" si="7"/>
        <v>20</v>
      </c>
      <c r="AN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0.8</v>
      </c>
      <c r="AO114" s="8">
        <f>MROUND(AN114*_xlfn.XLOOKUP(_xlfn.XLOOKUP(B114,'Base stats'!B:B,'Base stats'!E:E),Groups!A:A,Groups!AI:AI),0.05)</f>
        <v>0.95000000000000007</v>
      </c>
      <c r="AP114" s="8">
        <f>MAX(0.01,MROUND(IF(CA114="True",0.196*(AN114*100*1000)^0.889,IF(_xlfn.XLOOKUP(_xlfn.XLOOKUP(B114,'Base stats'!B:B,'Base stats'!E:E),Groups!A:A,Groups!AJ:AJ)="Bird",10.5*(AN114*100*1000)^0.681,4.82*(AN114*100*1000)^0.734))/(4.82*(1*100*1000)^0.734)/IF(AN114&lt;3.5,2,IF(AN114=3.5,1.5,1.25))*(1+0.132282374779864/(AN114^0.994035016789033+0.00905238001496948)),0.05))</f>
        <v>0.5</v>
      </c>
      <c r="AQ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R114" s="35">
        <f>IFERROR(IF(_xlfn.XLOOKUP(B114,'Base stats'!B:B,'Base stats'!F:F)="Lay eggs","Lay eggs",MIN(20,MAX(5.5,ROUND(((_xlfn.XLOOKUP(B114,'Base stats'!B:B,'Base stats'!F:F)-25)*(14.5/615) + 5.5)*2,0)/2))),"Cannot breed")</f>
        <v>7</v>
      </c>
      <c r="AS114" s="8">
        <f>IF(OR(A114="Queen",A114="Larva",A114="Megachicken"),"No",IFERROR(MAX(IF(_xlfn.XLOOKUP(B114,'Base stats'!B:B,'Base stats'!G:G)&lt;0.5,0.2,0.3),MROUND(_xlfn.XLOOKUP(B114,'Base stats'!B:B,'Base stats'!G:G)/(365/60),0.2)),"Unknown"))</f>
        <v>0.3</v>
      </c>
      <c r="AT114" s="8">
        <f t="shared" si="8"/>
        <v>0.15000000000000002</v>
      </c>
      <c r="AU114" s="8">
        <f>IFERROR(IFERROR(MROUND(_xlfn.XLOOKUP(B114,'Base stats'!B:B,'Base stats'!J:J),0.1),"Lay eggs"),"Cannot breed")</f>
        <v>3</v>
      </c>
      <c r="AV114" s="2" t="str">
        <f t="shared" si="9"/>
        <v>false</v>
      </c>
      <c r="AW114" s="2" t="str">
        <f>IF(_xlfn.XLOOKUP(_xlfn.XLOOKUP(Animals!B114,'Base stats'!B:B,'Base stats'!E:E),Groups!A:A,Groups!AK:AK)=1,"true","false")</f>
        <v>false</v>
      </c>
      <c r="AX114" s="25" t="str">
        <f>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</f>
        <v>CarnivoreAnimal, OvivoreAnimal</v>
      </c>
      <c r="AY114" s="2" t="str">
        <f>IF(_xlfn.XLOOKUP(_xlfn.XLOOKUP(B114,'Base stats'!B:B,'Base stats'!E:E),Groups!A:A,Groups!D:D)=1,MROUND((1-I114)*5+1,2)*IF(I114&lt;=0.4,2,1),"No")</f>
        <v>No</v>
      </c>
      <c r="AZ114" s="2" t="str">
        <f>_xlfn.XLOOKUP(B114,'Base stats'!B:B,'Base stats'!AE:AE)</f>
        <v>Leather_Lizard</v>
      </c>
      <c r="BA114" s="23" t="str">
        <f>_xlfn.XLOOKUP(_xlfn.XLOOKUP(B114,'Base stats'!B:B,'Base stats'!E:E),Groups!A:A,Groups!AL:AL)</f>
        <v>QuadrupedAnimalWithPawsAndTail</v>
      </c>
      <c r="BB114" s="23">
        <f>MROUND(IF(AND(AN114&lt;0.5,_xlfn.XLOOKUP(B114,'Base stats'!B:B,'Base stats'!Z:Z)=0),0,IF(OR(_xlfn.XLOOKUP(Animals!B114,'Base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stats'!AA:AA),0.005)</f>
        <v>0.1</v>
      </c>
      <c r="BC114" s="23">
        <f>MROUND(IF(AND(AN114&lt;0.5,_xlfn.XLOOKUP(B114,'Base stats'!B:B,'Base stats'!Z:Z)=0),0,IF(_xlfn.XLOOKUP(_xlfn.XLOOKUP(B114,'Base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stats'!AB:AB),0.005)</f>
        <v>0.3</v>
      </c>
      <c r="BD114" s="2" t="str">
        <f>IF(I114&gt;0.3,"No",_xlfn.XLOOKUP(_xlfn.XLOOKUP(Animals!B114,'Base stats'!B:B,'Base stats'!E:E),Groups!A:A,Groups!AP:AP))</f>
        <v>No</v>
      </c>
      <c r="BE114" s="2" t="str">
        <f>IF(AND(I114&lt;=0.65,_xlfn.XLOOKUP(_xlfn.XLOOKUP(Animals!B114,'Base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stats'!O:O)=2,0.2,AN114) + 24*(1-IF(BD114="No",0,BD114)) + 16/3, 12),"No")</f>
        <v>No</v>
      </c>
      <c r="BF114" s="2">
        <f>IF(AND(_xlfn.XLOOKUP(_xlfn.XLOOKUP(B114,'Base stats'!B:B,'Base stats'!E:E),Groups!A:A,Groups!AQ:AQ)=1,AN114&lt;=0.35),8,12)</f>
        <v>12</v>
      </c>
      <c r="BG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H114" s="2" t="str">
        <f>IF(AND(_xlfn.XLOOKUP(_xlfn.XLOOKUP(B114,'Base stats'!B:B,'Base stats'!E:E),Groups!A:A,Groups!AS:AS)=1,OR('Base stats'!Y114="Carnivore",'Base stats'!Y114="Omnivore")),"true","false")</f>
        <v>true</v>
      </c>
      <c r="BI114" s="2">
        <f>IF(BH114="true",MROUND(IF(AND(AN114&gt;0.5,_xlfn.XLOOKUP(_xlfn.XLOOKUP(B114,'Base stats'!B:B,'Base stats'!E:E),Groups!A:A,Groups!AJ:AJ)="Mammal"),Animals!AN114*1.75*IF(AV114="true",1.5,1),Animals!AN114),IF(AN114&gt;2,0.5,IF(AN114&gt;0.5,0.25,0.1))),"No")</f>
        <v>1.5</v>
      </c>
      <c r="BJ114" s="2">
        <f t="shared" si="10"/>
        <v>1</v>
      </c>
      <c r="BK114" s="25" t="str">
        <f>IF('Base stats'!AK114="Standard","No",MROUND((_xlfn.XLOOKUP(B114,'Base stats'!B:B,'Base stats'!AK:AK)/3.6)/H114,0.1))</f>
        <v>No</v>
      </c>
      <c r="BL114" s="25" t="str">
        <f t="shared" si="11"/>
        <v>false</v>
      </c>
      <c r="BM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N114" s="25" t="str" cm="1">
        <f t="array" ref="BN114">IF(
  _xlfn.TEXTJOIN(", ",TRUE,
    IF(AND(BH114="true",AN114&gt;0.5,BG114&lt;&gt;"None"),"AttackTarget",""),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IF(BE114&lt;=36,"Comfort",""),
    IF(_xlfn.XLOOKUP(B114,'Base stats'!B:B,'Base stats'!AC:AC)&lt;&gt;"No",_xlfn.XLOOKUP(B114,'Base stats'!B:B,'Base stats'!AC:AC),"")
  ) = "",
  "No",
  _xlfn.TEXTJOIN(", ",TRUE,
    IF(AND(BH114="true",AN114&gt;0.5,BG114&lt;&gt;"None"),"AttackTarget",""),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IF(BE114&lt;=36,"Comfort",""),
    IF(_xlfn.XLOOKUP(B114,'Base stats'!B:B,'Base stats'!AC:AC)&lt;&gt;"No",_xlfn.XLOOKUP(B114,'Base stats'!B:B,'Base stats'!AC:AC),"")
  )
)</f>
        <v>AttackTarget</v>
      </c>
      <c r="BO114" s="25" t="str">
        <f>IF(
   AND(
      'Base stats'!AK114="Standard",_xlfn.XLOOKUP(_xlfn.XLOOKUP(B114,'Base stats'!B:B,'Base stats'!E:E),Groups!A:A,Groups!AU:AU)=0,
      OR(
      BM114="True"
      )
   ),
   10,
   IF(
       OR(BK114&lt;&gt;"No",_xlfn.XLOOKUP(_xlfn.XLOOKUP(B114,'Base stats'!B:B,'Base stats'!E:E),Groups!A:A,Groups!AU:AU)=1),
      1,
      "No"
   )
)</f>
        <v>No</v>
      </c>
      <c r="BP114" s="9">
        <f>MROUND((1 + ((0.2*IF(OR(P114="No",Q114="No",Q114=0),0,P114/Q114)
+IF(OR(U114="No",R114="No",S114="No"),0,R114/S114*(LEN(U114)-LEN(SUBSTITUTE(U114,",",""))+1))
+IF(OR(W114="No",X114="No"),0,W114/X114)
+IF(OR(AC114="No",AD114="No"),0,AC114/AD114)
+IF(OR(AK114="No",AH114="No",AI114="No"),0,AH114/AI114*(LEN(AK114)-LEN(SUBSTITUTE(AK114,",",""))+1))
)/(0.2*IF(OR(P114="No",Q114="No",Q114=0),0,1)
+IF(OR(U114="No",R114="No",S114="No"),0,LEN(U114)-LEN(SUBSTITUTE(U114,",",""))+1)
+IF(OR(W114="No",X114="No"),0,1)
+IF(OR(AC114="No",AD114="No"),0,1)
+IF(OR(AK114="No",AH114="No",AI114="No"),0,LEN(AK114)-LEN(SUBSTITUTE(AK114,",",""))+1))*62%)* 2)*(1 + (AO114 + _xlfn.XLOOKUP(B114,'Base stats'!B:B,'Base stats'!AS:AS) * 1.8) * 2) * 2.5 + 10 + H114 * 2,5)+IF(_xlfn.XLOOKUP(B114,'Base stats'!B:B,'Base stats'!AH:AH)=1,50,0)</f>
        <v>110</v>
      </c>
      <c r="BQ114" s="8">
        <f t="shared" si="12"/>
        <v>0.55000000000000004</v>
      </c>
      <c r="BR114" s="8" t="str">
        <f>_xlfn.XLOOKUP(B114,'Base stats'!B:B,'Base stats'!AD:AD)</f>
        <v>No</v>
      </c>
      <c r="BS114" s="2" t="str">
        <f>IF(AND(I114&lt;=0.95,OR(_xlfn.XLOOKUP(B114,'Base stats'!B:B,'Base stats'!AH:AH)=1,_xlfn.XLOOKUP(B114,'Base stats'!B:B,'Base stats'!Y:Y)="Carnivore",_xlfn.XLOOKUP(B114,'Base stats'!B:B,'Base stats'!Y:Y)="Omnivore",BC114&gt;0.1)),"true","false")</f>
        <v>true</v>
      </c>
      <c r="BT114" s="2" t="str">
        <f>IF(_xlfn.XLOOKUP(B114,'Base stats'!B:B,'Base stats'!AF:AF)=1,"true","false")</f>
        <v>false</v>
      </c>
      <c r="BU114" s="25" t="str">
        <f>IF(E114="BaseInsect","AnimalInsect",
IF(I114&gt;0.95,"AnimalExotic",
_xlfn.TEXTJOIN(", ",TRUE,
IF(AND(_xlfn.XLOOKUP(B114,'Base stats'!B:B,'Base stats'!O:O)=0,_xlfn.XLOOKUP(_xlfn.XLOOKUP(B114,'Base stats'!B:B,'Base stats'!E:E),Groups!A:A,Groups!B:B)&gt;0),"AnimalUncommon","AnimalCommon"),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stats'!AH:AH)=1,AND(BG114&lt;&gt;"None",BP114&gt;=60),ISNUMBER(SEARCH("Attack target",BN114))),"AnimalFighter","")
)))</f>
        <v>AnimalUncommon, AnimalFighter</v>
      </c>
      <c r="BV114" s="25" t="str">
        <f>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</f>
        <v>AridShrubland Desert Grasslands LavaField</v>
      </c>
      <c r="BW114" s="25" t="str">
        <f>IF(_xlfn.XLOOKUP(B114,'Base stats'!B:B,'Base stats'!AG:AG)=1,"true","false")</f>
        <v>false</v>
      </c>
      <c r="BX114" s="25">
        <f>IF(_xlfn.XLOOKUP(B114,'Base stats'!B:B,'Base stats'!N:N)=1,"No",MIN(MROUND(IF(OR(_xlfn.XLOOKUP(B114,'Base stats'!B:B,'Base stats'!AJ:AJ)=1,AND(BH114="True",CA114="False")),POWER(10,3.47*LOG10(_xlfn.XLOOKUP(B114,'Base stats'!B:B,'Base stats'!C:C)*1000)^-0.96),POWER(10,4.15*LOG10(_xlfn.XLOOKUP(B114,'Base stats'!B:B,'Base stats'!C:C)*1000)^-0.73))*IF(OR(_xlfn.XLOOKUP(B114,'Base stats'!B:B,'Base stats'!AJ:AJ)=1,_xlfn.XLOOKUP(B114,'Base stats'!B:B,'Base stats'!AH:AH)=1),0.5,1)/100,0.025),1))</f>
        <v>7.5000000000000011E-2</v>
      </c>
      <c r="BY114" s="25" t="str">
        <f>IF(O114="Standard","No",IF(_xlfn.XLOOKUP(B114,'Base stats'!B:B,'Base stats'!N:N)=0,MROUND(BX114*O114,0.05),MIN(1,MAX(0.025,MROUND(IF(OR(CA114="true",AND(BH114="false",BM114="false")),POWER(10,4.15*LOG10(_xlfn.XLOOKUP(B114,'Base stats'!B:B,'Base stats'!C:C)*1000)^-0.73),POWER(10,3.47*LOG10(_xlfn.XLOOKUP(B114,'Base stats'!B:B,'Base stats'!C:C)*1000)^-0.96))*IF(_xlfn.XLOOKUP(B114,'Base stats'!B:B,'Base stats'!AH:AH)=1,0.5,1)/100,0.025)))))</f>
        <v>No</v>
      </c>
      <c r="BZ114" s="25" t="str">
        <f>IF(_xlfn.XLOOKUP(_xlfn.XLOOKUP(B114,'Base stats'!B:B,'Base stats'!E:E),Groups!A:A,Groups!AJ:AJ)="Mammal","True","False")</f>
        <v>True</v>
      </c>
      <c r="CA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B114" s="25" t="str">
        <f t="shared" si="13"/>
        <v>False</v>
      </c>
      <c r="CC114" s="25" t="str">
        <f>IF(_xlfn.XLOOKUP(_xlfn.XLOOKUP(B114,'Base stats'!B:B,'Base stats'!E:E),Groups!A:A,Groups!AW:AW),"True","False")</f>
        <v>False</v>
      </c>
      <c r="CD114" s="25" t="str">
        <f>IF(_xlfn.XLOOKUP(_xlfn.XLOOKUP(B114,'Base stats'!B:B,'Base stats'!E:E),Groups!A:A,Groups!AX:AX),"True","False")</f>
        <v>False</v>
      </c>
      <c r="CE114" s="25" t="str">
        <f>IF(_xlfn.XLOOKUP(B114,'Base stats'!B:B,'Base stats'!E:E)=1,"True","False")</f>
        <v>False</v>
      </c>
      <c r="CF114" s="25" t="str">
        <f>IF(
OR(
_xlfn.XLOOKUP(_xlfn.XLOOKUP(B114,'Base stats'!B:B,'Base stats'!E:E),Groups!A:A,Groups!AY:AY)=0,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stats'!E:E),Groups!A:A,Groups!AY:AY)=1,
"Flesh",
IF(
_xlfn.XLOOKUP(_xlfn.XLOOKUP(B114,'Base stats'!B:B,'Base stats'!E:E),Groups!A:A,Groups!AY:AY)=2,
"Bone",
""
)
)
)</f>
        <v>No</v>
      </c>
      <c r="CG114" s="25" t="str">
        <f>IF(_xlfn.XLOOKUP(_xlfn.XLOOKUP(B114,'Base stats'!B:B,'Base stats'!E:E),Groups!A:A,Groups!BA:BA),"True","False")</f>
        <v>True</v>
      </c>
      <c r="CH114" s="25" t="str">
        <f>IF(_xlfn.XLOOKUP(_xlfn.XLOOKUP(B114,'Base stats'!B:B,'Base stats'!E:E),Groups!A:A,Groups!AZ:AZ),"True","False")</f>
        <v>False</v>
      </c>
    </row>
    <row r="115" spans="1:86" ht="16.5" thickTop="1" thickBot="1" x14ac:dyDescent="0.3">
      <c r="A115" s="26" t="str">
        <f>_xlfn.XLOOKUP(B115,'Base stats'!B:B,'Base stats'!A:A)</f>
        <v>Boombat</v>
      </c>
      <c r="B115" s="6" t="s">
        <v>471</v>
      </c>
      <c r="C115" s="28" t="s">
        <v>808</v>
      </c>
      <c r="D115" s="28" t="s">
        <v>884</v>
      </c>
      <c r="E115" s="28" t="s">
        <v>685</v>
      </c>
      <c r="F115" s="28" t="s">
        <v>685</v>
      </c>
      <c r="G115" s="2">
        <f>MROUND((
  (IF(AND(_xlfn.XLOOKUP(B115,'Base stats'!B:B,'Base stats'!AI:AI)=0,BG115="None",_xlfn.XLOOKUP('Base stats'!E115,Groups!A:A,Groups!B:B)=0), (18 + BP115 * 2.7) * 0.5,
    IF(AND(_xlfn.XLOOKUP(B115,'Base stats'!B:B,'Base stats'!AI:AI)=0,OR(AN115&lt;0.55,AND(BG115="Intermediate",_xlfn.XLOOKUP('Base stats'!E115,Groups!A:A,Groups!B:B)&lt;2))), (18 + BP115 * 2.7),
      IF(OR(BG115="Advanced",_xlfn.XLOOKUP(B115,'Base stats'!B:B,'Base stats'!AI:AI)=1,_xlfn.XLOOKUP('Base stats'!E115,Groups!A:A,Groups!B:B)=2), (18 + BP115 * 2.7) + 250, (18 + BP115 * 2.7))
    )
  ))
  + AN115 * 80
  + IF(COUNTIF(EggMilk!K$2:K$998, A115) &gt; 0, 125, 0)
  + IF(COUNTIF(EggMilk!P$2:P$998, A115) &gt; 0, 90, 0)
  + IF(COUNTIF(EggMilk!A$2:A$998, A115) &gt; 0, 90, 0)
)
* (0.8 + 0.4 * I115)
* 0.75,25)</f>
        <v>300</v>
      </c>
      <c r="H115" s="2">
        <f>MROUND(ROUNDDOWN(_xlfn.XLOOKUP(B115,'Base stats'!B:B,'Base stats'!L:L)/3.6/(23.3/11),1),0.5)</f>
        <v>2</v>
      </c>
      <c r="I115" s="2">
        <f>IF(_xlfn.XLOOKUP(B115,'Base stats'!B:B,'Base stats'!AI:AI)=1,0.99,MIN(MROUND((1-0.6282*EXP(-0.459*AN115))*_xlfn.XLOOKUP(_xlfn.XLOOKUP(B115,'Base stats'!B:B,'Base stats'!E:E),Groups!A:A,Groups!C:C)*IF(_xlfn.XLOOKUP(B115,'Base stats'!B:B,'Base stats'!O:O)=1,0.5,IF(_xlfn.XLOOKUP(B115,'Base stats'!B:B,'Base stats'!O:O)=2,0,1)),0.05),0.985))</f>
        <v>0.70000000000000007</v>
      </c>
      <c r="J115" s="2">
        <f>ROUNDUP(AN115*_xlfn.XLOOKUP(_xlfn.XLOOKUP(B115,'Base stats'!B:B,'Base stats'!E:E),Groups!A:A,Groups!E:E),0)</f>
        <v>1</v>
      </c>
      <c r="K115" s="2">
        <f>IF(OR(_xlfn.XLOOKUP(_xlfn.XLOOKUP(B115,'Base stats'!B:B,'Base stats'!E:E),Groups!A:A,Groups!F:F)=2,ISNUMBER(SEARCH("SeaIce",BV115)),ISNUMBER(SEARCH("IceSheet",BV115))),-50,IF(OR(ISNUMBER(SEARCH("GlacialPlain",BV115)),ISNUMBER(SEARCH("Tundra",BV115))),-40,IF(OR(ISNUMBER(SEARCH("Alpine",BV115)),ISNUMBER(SEARCH("BorealForest",BV115)),ISNUMBER(SEARCH("ColdBog",BV115))),-30,IF(OR(ISNUMBER(SEARCH("TemperateForest",BV115)),ISNUMBER(SEARCH("TemperateSwamp",BV115))),-20,IF(_xlfn.XLOOKUP(_xlfn.XLOOKUP(B115,'Base stats'!B:B,'Base stats'!E:E),Groups!A:A,Groups!F:F)=1,-15,IF(OR(ISNUMBER(SEARCH("Desert",BV115)),ISNUMBER(SEARCH("ExtremeDesert",BV115))),-10,IF(OR(ISNUMBER(SEARCH("Grasslands",BV115)),ISNUMBER(SEARCH("TropicalRainforest",BV115)),ISNUMBER(SEARCH("TropicalSwamp",BV115))),10,0)))))))-IF(CA115="False",MIN(IFERROR(MAX(MROUND(LOG10(_xlfn.XLOOKUP(B115,'Base stats'!B:B,'Base stats'!C:C)^(2/3))*10,5),5),5),30))-_xlfn.XLOOKUP(B115,'Base stats'!B:B,'Base stats'!P:P)+IF(CA115="True",5,0)</f>
        <v>-20</v>
      </c>
      <c r="L115" s="2">
        <f>IF(OR(_xlfn.XLOOKUP(_xlfn.XLOOKUP(B115,'Base stats'!B:B,'Base stats'!E:E),Groups!A:A,Groups!G:G)=2,ISNUMBER(SEARCH("Desert",BV115)),ISNUMBER(SEARCH("ExtremeDesert",BV115)),ISNUMBER(SEARCH("LavaField",BV115))),50,IF(ISNUMBER(SEARCH("Grasslands",BV115)),45,IF(OR(_xlfn.XLOOKUP(_xlfn.XLOOKUP(B115,'Base stats'!B:B,'Base stats'!E:E),Groups!A:A,Groups!G:G)=1,ISNUMBER(SEARCH("TropicalRainforest",BV115)),ISNUMBER(SEARCH("TropicalSwamp",BV115))),40,IF(OR(ISNUMBER(SEARCH("TemperateForest",BV115)),ISNUMBER(SEARCH("TemperateSwamp",BV115))),35,IF(OR(ISNUMBER(SEARCH("Alpine",BV115)),ISNUMBER(SEARCH("BorealForest",BV115)),ISNUMBER(SEARCH("ColdBog",BV115))),30,IF(ISNUMBER(OR(ISNUMBER(SEARCH("GlacialPlain",BV115)),SEARCH("Tundra",BV115))),25,IF(OR(ISNUMBER(SEARCH("SeaIce",BV115)),ISNUMBER(SEARCH("IceSheet",BV115)),ISNUMBER(SEARCH("TropicalSwamp",BV115))),10,35)))))))+_xlfn.XLOOKUP(B115,'Base stats'!B:B,'Base stats'!Q:Q)</f>
        <v>50</v>
      </c>
      <c r="M115" s="8" t="str">
        <f>IF(_xlfn.XLOOKUP(_xlfn.XLOOKUP(B115,'Base stats'!B:B,'Base stats'!E:E),Groups!A:A,Groups!L:L)=1,MIN(MROUND(_xlfn.XLOOKUP(B115,'Animals CE'!B:B,'Animals CE'!Z:Z)/2+0.05,0.05),200%),"No")</f>
        <v>No</v>
      </c>
      <c r="N115" s="8" t="str">
        <f>IF(_xlfn.XLOOKUP(_xlfn.XLOOKUP(B115,'Base stats'!B:B,'Base stats'!E:E),Groups!A:A,Groups!L:L)=1,MIN(MROUND(_xlfn.XLOOKUP(B115,'Animals CE'!B:B,'Animals CE'!AA:AA)/2+0.05,0.05),200%),"No")</f>
        <v>No</v>
      </c>
      <c r="O115" s="2">
        <f>_xlfn.XLOOKUP(B115,'Base stats'!B:B,'Base stats'!R:R)</f>
        <v>0.9</v>
      </c>
      <c r="P115" s="13">
        <f>MROUND((LOG10(_xlfn.XLOOKUP(B115,'Base stats'!B:B,'Base stats'!AO:AO))*(AN115^0.5)+(_xlfn.XLOOKUP(B115,'Base stats'!B:B,'Base stats'!AO:AO)/1000)^(2/3)+_xlfn.XLOOKUP(B115,'Base stats'!B:B,'Base stats'!AX:AX)/2)+0.5,0.5)</f>
        <v>5</v>
      </c>
      <c r="Q115" s="7">
        <f>IF(P115="No","No",MAX(1,MROUND(_xlfn.XLOOKUP(B115,'Base stats'!B:B,'Base stats'!C:C)^0.165,0.05)))</f>
        <v>1.7000000000000002</v>
      </c>
      <c r="R115" s="13" t="str">
        <f>IF(_xlfn.XLOOKUP(_xlfn.XLOOKUP(B115,'Base stats'!B:B,'Base stats'!E:E),Groups!A:A,Groups!P:P)=0,"No",MROUND((LOG10(_xlfn.XLOOKUP(B115,'Base stats'!B:B,'Base stats'!AP:AP))*(AN115^0.5)+(_xlfn.XLOOKUP(B115,'Base stats'!B:B,'Base stats'!AP:AP)/1000)^(2/3)+_xlfn.XLOOKUP(B115,'Base stats'!B:B,'Base stats'!AX:AX))+_xlfn.XLOOKUP(B115,'Base stats'!B:B,'Base stats'!AV:AV)+0.5,0.5))</f>
        <v>No</v>
      </c>
      <c r="S115" s="7" t="str">
        <f>IF(R115="No","No",MAX(_xlfn.XLOOKUP(_xlfn.XLOOKUP(B115,'Base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T115" s="7" t="str">
        <f>IF(R115="No","No",_xlfn.XLOOKUP(_xlfn.XLOOKUP(B115,'Base stats'!B:B,'Base stats'!E:E),Groups!A:A,Groups!R:R))</f>
        <v>No</v>
      </c>
      <c r="U115" s="7" t="str">
        <f>IF(R115="No","No",_xlfn.XLOOKUP(_xlfn.XLOOKUP(B115,'Base stats'!B:B,'Base stats'!E:E),Groups!A:A,Groups!S:S))</f>
        <v>No</v>
      </c>
      <c r="V115" s="7" t="str">
        <f>IF(R115="No","No",_xlfn.XLOOKUP(_xlfn.XLOOKUP(B115,'Base stats'!B:B,'Base stats'!E:E),Groups!A:A,Groups!T:T))</f>
        <v>No</v>
      </c>
      <c r="W115" s="13" t="str">
        <f>IF(_xlfn.XLOOKUP(B115,'Base stats'!B:B,'Base stats'!W:W)="No","No",MROUND((LOG10(_xlfn.XLOOKUP(B115,'Base stats'!B:B,'Base stats'!AR:AR))*(AN115^0.5)+(_xlfn.XLOOKUP(B115,'Base stats'!B:B,'Base stats'!AR:AR)/1000)^(2/3)+_xlfn.XLOOKUP(B115,'Base stats'!B:B,'Base stats'!AW:AW))+0.5+IF(_xlfn.XLOOKUP(_xlfn.XLOOKUP(B115,'Base stats'!B:B,'Base stats'!E:E),Groups!A:A,Groups!U:U)&lt;&gt;3,_xlfn.XLOOKUP(B115,'Base stats'!B:B,'Base stats'!AX:AX),0),0.5))</f>
        <v>No</v>
      </c>
      <c r="X115" s="7" t="str">
        <f>IF(W115="No","No",MAX(_xlfn.XLOOKUP(_xlfn.XLOOKUP(B115,'Base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Y115" s="7" t="str">
        <f>IF(W115="No","No",_xlfn.XLOOKUP(_xlfn.XLOOKUP(B115,'Base stats'!B:B,'Base stats'!E:E),Groups!A:A,Groups!W:W))</f>
        <v>No</v>
      </c>
      <c r="Z115" s="7" t="str">
        <f>IF(W115="No","No",_xlfn.XLOOKUP(_xlfn.XLOOKUP(B115,'Base stats'!B:B,'Base stats'!E:E),Groups!A:A,Groups!X:X))</f>
        <v>No</v>
      </c>
      <c r="AA115" s="7" t="str">
        <f>IF(W115="No","No",_xlfn.XLOOKUP(_xlfn.XLOOKUP(B115,'Base stats'!B:B,'Base stats'!E:E),Groups!A:A,Groups!Y:Y))</f>
        <v>No</v>
      </c>
      <c r="AB115" s="7" t="str">
        <f>_xlfn.XLOOKUP(Animals!B115,'Base stats'!B:B,'Base stats'!X:X)</f>
        <v>False</v>
      </c>
      <c r="AC115" s="13">
        <f>IF(_xlfn.XLOOKUP(B115,'Base stats'!B:B,'Base stats'!AQ:AQ)="No","No",MROUND((LOG10(_xlfn.XLOOKUP(B115,'Base stats'!B:B,'Base stats'!AQ:AQ))*(AN115^0.75)+(_xlfn.XLOOKUP(B115,'Base stats'!B:B,'Base stats'!AQ:AQ)/1000)^(2/3)+_xlfn.XLOOKUP(B115,'Base stats'!B:B,'Base stats'!AU:AU)+_xlfn.XLOOKUP(B115,'Base stats'!B:B,'Base stats'!AX:AX))+0.5,0.5))</f>
        <v>7.5</v>
      </c>
      <c r="AD115" s="7">
        <f>IF(AC115="No","No",MAX(_xlfn.XLOOKUP(_xlfn.XLOOKUP(B115,'Base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E115" s="7" t="str">
        <f>IF(AC115="No","No",_xlfn.XLOOKUP(_xlfn.XLOOKUP(B115,'Base stats'!B:B,'Base stats'!E:E),Groups!A:A,Groups!AA:AA))</f>
        <v>Teeth</v>
      </c>
      <c r="AF115" s="7" t="str">
        <f>IF(AC115="No","No",_xlfn.XLOOKUP(_xlfn.XLOOKUP(B115,'Base stats'!B:B,'Base stats'!E:E),Groups!A:A,Groups!AB:AB))</f>
        <v>teeth</v>
      </c>
      <c r="AG115" s="7" t="str">
        <f>IF(AC115="No","No",_xlfn.XLOOKUP(_xlfn.XLOOKUP(B115,'Base stats'!B:B,'Base stats'!E:E),Groups!A:A,Groups!AC:AC))</f>
        <v>Bite</v>
      </c>
      <c r="AH115" s="13">
        <f>IF(_xlfn.XLOOKUP(_xlfn.XLOOKUP(B115,'Base stats'!B:B,'Base stats'!E:E),Groups!A:A,Groups!AD:AD)=0,"No",MROUND((LOG10(_xlfn.XLOOKUP(B115,'Base stats'!B:B,'Base stats'!AP:AP))*(AN115^0.75)+(_xlfn.XLOOKUP(B115,'Base stats'!B:B,'Base stats'!AP:AP)/1000)^(2/3)+_xlfn.XLOOKUP(B115,'Base stats'!B:B,'Base stats'!AV:AV)+_xlfn.XLOOKUP(B115,'Base stats'!B:B,'Base stats'!AX:AX))+0.5,0.5))</f>
        <v>7.5</v>
      </c>
      <c r="AI115" s="7">
        <f>IF(AH115="No","No",MAX(_xlfn.XLOOKUP(_xlfn.XLOOKUP(B115,'Base stats'!B:B,'Base stats'!E:E),Groups!A:A,Groups!AE:AE),MROUND(_xlfn.XLOOKUP(_xlfn.XLOOKUP(B115,'Base stats'!B:B,'Base stats'!E:E),Groups!A:A,Groups!AE:AE)*_xlfn.XLOOKUP(B115,'Base stats'!B:B,'Base stats'!C:C)^0.165,0.05)))</f>
        <v>1.2000000000000002</v>
      </c>
      <c r="AJ115" s="7" t="str">
        <f>IF(AH115="No","No",_xlfn.XLOOKUP(_xlfn.XLOOKUP(B115,'Base stats'!B:B,'Base stats'!E:E),Groups!A:A,Groups!AF:AF))</f>
        <v>FrontRightPaw, FrontRightPaw</v>
      </c>
      <c r="AK115" s="7" t="str">
        <f>IF(AH115="No","No",_xlfn.XLOOKUP(_xlfn.XLOOKUP(B115,'Base stats'!B:B,'Base stats'!E:E),Groups!A:A,Groups!AG:AG))</f>
        <v>left claw, right claw</v>
      </c>
      <c r="AL115" s="7" t="str">
        <f>IF(AH115="No","No",_xlfn.XLOOKUP(_xlfn.XLOOKUP(B115,'Base stats'!B:B,'Base stats'!E:E),Groups!A:A,Groups!AH:AH))</f>
        <v>Scratch</v>
      </c>
      <c r="AM115" s="2" t="str">
        <f t="shared" si="7"/>
        <v>No</v>
      </c>
      <c r="AN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O115" s="8">
        <f>MROUND(AN115*_xlfn.XLOOKUP(_xlfn.XLOOKUP(B115,'Base stats'!B:B,'Base stats'!E:E),Groups!A:A,Groups!AI:AI),0.05)</f>
        <v>0.65</v>
      </c>
      <c r="AP115" s="8">
        <f>MAX(0.01,MROUND(IF(CA115="True",0.196*(AN115*100*1000)^0.889,IF(_xlfn.XLOOKUP(_xlfn.XLOOKUP(B115,'Base stats'!B:B,'Base stats'!E:E),Groups!A:A,Groups!AJ:AJ)="Bird",10.5*(AN115*100*1000)^0.681,4.82*(AN115*100*1000)^0.734))/(4.82*(1*100*1000)^0.734)/IF(AN115&lt;3.5,2,IF(AN115=3.5,1.5,1.25))*(1+0.132282374779864/(AN115^0.994035016789033+0.00905238001496948)),0.05))</f>
        <v>0.45</v>
      </c>
      <c r="AQ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R115" s="35">
        <f>IFERROR(IF(_xlfn.XLOOKUP(B115,'Base stats'!B:B,'Base stats'!F:F)="Lay eggs","Lay eggs",MIN(20,MAX(5.5,ROUND(((_xlfn.XLOOKUP(B115,'Base stats'!B:B,'Base stats'!F:F)-25)*(14.5/615) + 5.5)*2,0)/2))),"Cannot breed")</f>
        <v>5.5</v>
      </c>
      <c r="AS115" s="8">
        <f>IF(OR(A115="Queen",A115="Larva",A115="Megachicken"),"No",IFERROR(MAX(IF(_xlfn.XLOOKUP(B115,'Base stats'!B:B,'Base stats'!G:G)&lt;0.5,0.2,0.3),MROUND(_xlfn.XLOOKUP(B115,'Base stats'!B:B,'Base stats'!G:G)/(365/60),0.2)),"Unknown"))</f>
        <v>0.4</v>
      </c>
      <c r="AT115" s="8">
        <f t="shared" si="8"/>
        <v>0.2</v>
      </c>
      <c r="AU115" s="8">
        <f>IFERROR(IFERROR(MROUND(_xlfn.XLOOKUP(B115,'Base stats'!B:B,'Base stats'!J:J),0.1),"Lay eggs"),"Cannot breed")</f>
        <v>1</v>
      </c>
      <c r="AV115" s="2" t="str">
        <f t="shared" si="9"/>
        <v>false</v>
      </c>
      <c r="AW115" s="2" t="str">
        <f>IF(_xlfn.XLOOKUP(_xlfn.XLOOKUP(Animals!B115,'Base stats'!B:B,'Base stats'!E:E),Groups!A:A,Groups!AK:AK)=1,"true","false")</f>
        <v>false</v>
      </c>
      <c r="AX115" s="25" t="str">
        <f>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</f>
        <v>VegetarianRoughAnimal</v>
      </c>
      <c r="AY115" s="2" t="str">
        <f>IF(_xlfn.XLOOKUP(_xlfn.XLOOKUP(B115,'Base stats'!B:B,'Base stats'!E:E),Groups!A:A,Groups!D:D)=1,MROUND((1-I115)*5+1,2)*IF(I115&lt;=0.4,2,1),"No")</f>
        <v>No</v>
      </c>
      <c r="AZ115" s="2" t="str">
        <f>_xlfn.XLOOKUP(B115,'Base stats'!B:B,'Base stats'!AE:AE)</f>
        <v>Leather_Light</v>
      </c>
      <c r="BA115" s="23" t="str">
        <f>_xlfn.XLOOKUP(_xlfn.XLOOKUP(B115,'Base stats'!B:B,'Base stats'!E:E),Groups!A:A,Groups!AL:AL)</f>
        <v>QuadrupedAnimalWithPaws</v>
      </c>
      <c r="BB115" s="23">
        <f>MROUND(IF(AND(AN115&lt;0.5,_xlfn.XLOOKUP(B115,'Base stats'!B:B,'Base stats'!Z:Z)=0),0,IF(OR(_xlfn.XLOOKUP(Animals!B115,'Base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stats'!AA:AA),0.005)</f>
        <v>0</v>
      </c>
      <c r="BC115" s="23">
        <f>MROUND(IF(AND(AN115&lt;0.5,_xlfn.XLOOKUP(B115,'Base stats'!B:B,'Base stats'!Z:Z)=0),0,IF(_xlfn.XLOOKUP(_xlfn.XLOOKUP(B115,'Base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stats'!AB:AB),0.005)</f>
        <v>0</v>
      </c>
      <c r="BD115" s="2" t="str">
        <f>IF(I115&gt;0.3,"No",_xlfn.XLOOKUP(_xlfn.XLOOKUP(Animals!B115,'Base stats'!B:B,'Base stats'!E:E),Groups!A:A,Groups!AP:AP))</f>
        <v>No</v>
      </c>
      <c r="BE115" s="2" t="str">
        <f>IF(AND(I115&lt;=0.65,_xlfn.XLOOKUP(_xlfn.XLOOKUP(Animals!B115,'Base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stats'!O:O)=2,0.2,AN115) + 24*(1-IF(BD115="No",0,BD115)) + 16/3, 12),"No")</f>
        <v>No</v>
      </c>
      <c r="BF115" s="2">
        <f>IF(AND(_xlfn.XLOOKUP(_xlfn.XLOOKUP(B115,'Base stats'!B:B,'Base stats'!E:E),Groups!A:A,Groups!AQ:AQ)=1,AN115&lt;=0.35),8,12)</f>
        <v>12</v>
      </c>
      <c r="BG115" s="2" t="str">
        <f>IF(_xlfn.XLOOKUP(_xlfn.XLOOKUP(B115,'Base stats'!B:B,'Base stats'!E:E),Groups!A:A,Groups!D:D)=0,_xlfn.XLOOKUP(_xlfn.XLOOKUP(B115,'Base stats'!B:B,'Base stats'!E:E),Groups!A:A,Groups!AR:AR),"None")</f>
        <v>None</v>
      </c>
      <c r="BH115" s="2" t="str">
        <f>IF(AND(_xlfn.XLOOKUP(_xlfn.XLOOKUP(B115,'Base stats'!B:B,'Base stats'!E:E),Groups!A:A,Groups!AS:AS)=1,OR('Base stats'!Y115="Carnivore",'Base stats'!Y115="Omnivore")),"true","false")</f>
        <v>false</v>
      </c>
      <c r="BI115" s="2" t="str">
        <f>IF(BH115="true",MROUND(IF(AND(AN115&gt;0.5,_xlfn.XLOOKUP(_xlfn.XLOOKUP(B115,'Base stats'!B:B,'Base stats'!E:E),Groups!A:A,Groups!AJ:AJ)="Mammal"),Animals!AN115*1.75*IF(AV115="true",1.5,1),Animals!AN115),IF(AN115&gt;2,0.5,IF(AN115&gt;0.5,0.25,0.1))),"No")</f>
        <v>No</v>
      </c>
      <c r="BJ115" s="2">
        <f t="shared" si="10"/>
        <v>0</v>
      </c>
      <c r="BK115" s="25" t="str">
        <f>IF('Base stats'!AK115="Standard","No",MROUND((_xlfn.XLOOKUP(B115,'Base stats'!B:B,'Base stats'!AK:AK)/3.6)/H115,0.1))</f>
        <v>No</v>
      </c>
      <c r="BL115" s="25" t="str">
        <f t="shared" si="11"/>
        <v>false</v>
      </c>
      <c r="BM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N115" s="25" t="str" cm="1">
        <f t="array" ref="BN115">IF(
  _xlfn.TEXTJOIN(", ",TRUE,
    IF(AND(BH115="true",AN115&gt;0.5,BG115&lt;&gt;"None"),"AttackTarget",""),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IF(BE115&lt;=36,"Comfort",""),
    IF(_xlfn.XLOOKUP(B115,'Base stats'!B:B,'Base stats'!AC:AC)&lt;&gt;"No",_xlfn.XLOOKUP(B115,'Base stats'!B:B,'Base stats'!AC:AC),"")
  ) = "",
  "No",
  _xlfn.TEXTJOIN(", ",TRUE,
    IF(AND(BH115="true",AN115&gt;0.5,BG115&lt;&gt;"None"),"AttackTarget",""),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IF(BE115&lt;=36,"Comfort",""),
    IF(_xlfn.XLOOKUP(B115,'Base stats'!B:B,'Base stats'!AC:AC)&lt;&gt;"No",_xlfn.XLOOKUP(B115,'Base stats'!B:B,'Base stats'!AC:AC),"")
  )
)</f>
        <v>No</v>
      </c>
      <c r="BO115" s="25" t="str">
        <f>IF(
   AND(
      'Base stats'!AK115="Standard",_xlfn.XLOOKUP(_xlfn.XLOOKUP(B115,'Base stats'!B:B,'Base stats'!E:E),Groups!A:A,Groups!AU:AU)=0,
      OR(
      BM115="True"
      )
   ),
   10,
   IF(
       OR(BK115&lt;&gt;"No",_xlfn.XLOOKUP(_xlfn.XLOOKUP(B115,'Base stats'!B:B,'Base stats'!E:E),Groups!A:A,Groups!AU:AU)=1),
      1,
      "No"
   )
)</f>
        <v>No</v>
      </c>
      <c r="BP115" s="9">
        <f>MROUND((1 + ((0.2*IF(OR(P115="No",Q115="No",Q115=0),0,P115/Q115)
+IF(OR(U115="No",R115="No",S115="No"),0,R115/S115*(LEN(U115)-LEN(SUBSTITUTE(U115,",",""))+1))
+IF(OR(W115="No",X115="No"),0,W115/X115)
+IF(OR(AC115="No",AD115="No"),0,AC115/AD115)
+IF(OR(AK115="No",AH115="No",AI115="No"),0,AH115/AI115*(LEN(AK115)-LEN(SUBSTITUTE(AK115,",",""))+1))
)/(0.2*IF(OR(P115="No",Q115="No",Q115=0),0,1)
+IF(OR(U115="No",R115="No",S115="No"),0,LEN(U115)-LEN(SUBSTITUTE(U115,",",""))+1)
+IF(OR(W115="No",X115="No"),0,1)
+IF(OR(AC115="No",AD115="No"),0,1)
+IF(OR(AK115="No",AH115="No",AI115="No"),0,LEN(AK115)-LEN(SUBSTITUTE(AK115,",",""))+1))*62%)* 2)*(1 + (AO115 + _xlfn.XLOOKUP(B115,'Base stats'!B:B,'Base stats'!AS:AS) * 1.8) * 2) * 2.5 + 10 + H115 * 2,5)+IF(_xlfn.XLOOKUP(B115,'Base stats'!B:B,'Base stats'!AH:AH)=1,50,0)</f>
        <v>110</v>
      </c>
      <c r="BQ115" s="8">
        <f t="shared" si="12"/>
        <v>0.5</v>
      </c>
      <c r="BR115" s="8" t="str">
        <f>_xlfn.XLOOKUP(B115,'Base stats'!B:B,'Base stats'!AD:AD)</f>
        <v>No</v>
      </c>
      <c r="BS115" s="2" t="str">
        <f>IF(AND(I115&lt;=0.95,OR(_xlfn.XLOOKUP(B115,'Base stats'!B:B,'Base stats'!AH:AH)=1,_xlfn.XLOOKUP(B115,'Base stats'!B:B,'Base stats'!Y:Y)="Carnivore",_xlfn.XLOOKUP(B115,'Base stats'!B:B,'Base stats'!Y:Y)="Omnivore",BC115&gt;0.1)),"true","false")</f>
        <v>true</v>
      </c>
      <c r="BT115" s="2" t="str">
        <f>IF(_xlfn.XLOOKUP(B115,'Base stats'!B:B,'Base stats'!AF:AF)=1,"true","false")</f>
        <v>false</v>
      </c>
      <c r="BU115" s="25" t="str">
        <f>IF(E115="BaseInsect","AnimalInsect",
IF(I115&gt;0.95,"AnimalExotic",
_xlfn.TEXTJOIN(", ",TRUE,
IF(AND(_xlfn.XLOOKUP(B115,'Base stats'!B:B,'Base stats'!O:O)=0,_xlfn.XLOOKUP(_xlfn.XLOOKUP(B115,'Base stats'!B:B,'Base stats'!E:E),Groups!A:A,Groups!B:B)&gt;0),"AnimalUncommon","AnimalCommon"),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stats'!AH:AH)=1,AND(BG115&lt;&gt;"None",BP115&gt;=60),ISNUMBER(SEARCH("Attack target",BN115))),"AnimalFighter","")
)))</f>
        <v>AnimalUncommon, AnimalFighter</v>
      </c>
      <c r="BV115" s="25" t="str">
        <f>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</f>
        <v>AridShrubland Desert ExtremeDesert Grasslands LavaField</v>
      </c>
      <c r="BW115" s="25" t="str">
        <f>IF(_xlfn.XLOOKUP(B115,'Base stats'!B:B,'Base stats'!AG:AG)=1,"true","false")</f>
        <v>false</v>
      </c>
      <c r="BX115" s="25">
        <f>IF(_xlfn.XLOOKUP(B115,'Base stats'!B:B,'Base stats'!N:N)=1,"No",MIN(MROUND(IF(OR(_xlfn.XLOOKUP(B115,'Base stats'!B:B,'Base stats'!AJ:AJ)=1,AND(BH115="True",CA115="False")),POWER(10,3.47*LOG10(_xlfn.XLOOKUP(B115,'Base stats'!B:B,'Base stats'!C:C)*1000)^-0.96),POWER(10,4.15*LOG10(_xlfn.XLOOKUP(B115,'Base stats'!B:B,'Base stats'!C:C)*1000)^-0.73))*IF(OR(_xlfn.XLOOKUP(B115,'Base stats'!B:B,'Base stats'!AJ:AJ)=1,_xlfn.XLOOKUP(B115,'Base stats'!B:B,'Base stats'!AH:AH)=1),0.5,1)/100,0.025),1))</f>
        <v>0.125</v>
      </c>
      <c r="BY115" s="25">
        <f>IF(O115="Standard","No",IF(_xlfn.XLOOKUP(B115,'Base stats'!B:B,'Base stats'!N:N)=0,MROUND(BX115*O115,0.05),MIN(1,MAX(0.025,MROUND(IF(OR(CA115="true",AND(BH115="false",BM115="false")),POWER(10,4.15*LOG10(_xlfn.XLOOKUP(B115,'Base stats'!B:B,'Base stats'!C:C)*1000)^-0.73),POWER(10,3.47*LOG10(_xlfn.XLOOKUP(B115,'Base stats'!B:B,'Base stats'!C:C)*1000)^-0.96))*IF(_xlfn.XLOOKUP(B115,'Base stats'!B:B,'Base stats'!AH:AH)=1,0.5,1)/100,0.025)))))</f>
        <v>0.1</v>
      </c>
      <c r="BZ115" s="25" t="str">
        <f>IF(_xlfn.XLOOKUP(_xlfn.XLOOKUP(B115,'Base stats'!B:B,'Base stats'!E:E),Groups!A:A,Groups!AJ:AJ)="Mammal","True","False")</f>
        <v>True</v>
      </c>
      <c r="CA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B115" s="25" t="str">
        <f t="shared" si="13"/>
        <v>False</v>
      </c>
      <c r="CC115" s="25" t="str">
        <f>IF(_xlfn.XLOOKUP(_xlfn.XLOOKUP(B115,'Base stats'!B:B,'Base stats'!E:E),Groups!A:A,Groups!AW:AW),"True","False")</f>
        <v>False</v>
      </c>
      <c r="CD115" s="25" t="str">
        <f>IF(_xlfn.XLOOKUP(_xlfn.XLOOKUP(B115,'Base stats'!B:B,'Base stats'!E:E),Groups!A:A,Groups!AX:AX),"True","False")</f>
        <v>False</v>
      </c>
      <c r="CE115" s="25" t="str">
        <f>IF(_xlfn.XLOOKUP(B115,'Base stats'!B:B,'Base stats'!E:E)=1,"True","False")</f>
        <v>False</v>
      </c>
      <c r="CF115" s="25" t="str">
        <f>IF(
OR(
_xlfn.XLOOKUP(_xlfn.XLOOKUP(B115,'Base stats'!B:B,'Base stats'!E:E),Groups!A:A,Groups!AY:AY)=0,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stats'!E:E),Groups!A:A,Groups!AY:AY)=1,
"Flesh",
IF(
_xlfn.XLOOKUP(_xlfn.XLOOKUP(B115,'Base stats'!B:B,'Base stats'!E:E),Groups!A:A,Groups!AY:AY)=2,
"Bone",
""
)
)
)</f>
        <v>No</v>
      </c>
      <c r="CG115" s="25" t="str">
        <f>IF(_xlfn.XLOOKUP(_xlfn.XLOOKUP(B115,'Base stats'!B:B,'Base stats'!E:E),Groups!A:A,Groups!BA:BA),"True","False")</f>
        <v>True</v>
      </c>
      <c r="CH115" s="25" t="str">
        <f>IF(_xlfn.XLOOKUP(_xlfn.XLOOKUP(B115,'Base stats'!B:B,'Base stats'!E:E),Groups!A:A,Groups!AZ:AZ),"True","False")</f>
        <v>False</v>
      </c>
    </row>
    <row r="116" spans="1:86" s="16" customFormat="1" ht="16.5" thickTop="1" thickBot="1" x14ac:dyDescent="0.3">
      <c r="A116" s="26" t="str">
        <f>_xlfn.XLOOKUP(B116,'Base stats'!B:B,'Base stats'!A:A)</f>
        <v>Kangaroo</v>
      </c>
      <c r="B116" s="6" t="s">
        <v>611</v>
      </c>
      <c r="C116" s="28" t="s">
        <v>809</v>
      </c>
      <c r="D116" s="28" t="s">
        <v>884</v>
      </c>
      <c r="E116" s="28" t="s">
        <v>685</v>
      </c>
      <c r="F116" s="28" t="s">
        <v>685</v>
      </c>
      <c r="G116" s="2">
        <f>MROUND((
  (IF(AND(_xlfn.XLOOKUP(B116,'Base stats'!B:B,'Base stats'!AI:AI)=0,BG116="None",_xlfn.XLOOKUP('Base stats'!E116,Groups!A:A,Groups!B:B)=0), (18 + BP116 * 2.7) * 0.5,
    IF(AND(_xlfn.XLOOKUP(B116,'Base stats'!B:B,'Base stats'!AI:AI)=0,OR(AN116&lt;0.55,AND(BG116="Intermediate",_xlfn.XLOOKUP('Base stats'!E116,Groups!A:A,Groups!B:B)&lt;2))), (18 + BP116 * 2.7),
      IF(OR(BG116="Advanced",_xlfn.XLOOKUP(B116,'Base stats'!B:B,'Base stats'!AI:AI)=1,_xlfn.XLOOKUP('Base stats'!E116,Groups!A:A,Groups!B:B)=2), (18 + BP116 * 2.7) + 250, (18 + BP116 * 2.7))
    )
  ))
  + AN116 * 80
  + IF(COUNTIF(EggMilk!K$2:K$998, A116) &gt; 0, 125, 0)
  + IF(COUNTIF(EggMilk!P$2:P$998, A116) &gt; 0, 90, 0)
  + IF(COUNTIF(EggMilk!A$2:A$998, A116) &gt; 0, 90, 0)
)
* (0.8 + 0.4 * I116)
* 0.75,25)</f>
        <v>275</v>
      </c>
      <c r="H116" s="2">
        <f>MROUND(ROUNDDOWN(_xlfn.XLOOKUP(B116,'Base stats'!B:B,'Base stats'!L:L)/3.6/(23.3/11),1),0.5)</f>
        <v>8.5</v>
      </c>
      <c r="I116" s="2">
        <f>IF(_xlfn.XLOOKUP(B116,'Base stats'!B:B,'Base stats'!AI:AI)=1,0.99,MIN(MROUND((1-0.6282*EXP(-0.459*AN116))*_xlfn.XLOOKUP(_xlfn.XLOOKUP(B116,'Base stats'!B:B,'Base stats'!E:E),Groups!A:A,Groups!C:C)*IF(_xlfn.XLOOKUP(B116,'Base stats'!B:B,'Base stats'!O:O)=1,0.5,IF(_xlfn.XLOOKUP(B116,'Base stats'!B:B,'Base stats'!O:O)=2,0,1)),0.05),0.985))</f>
        <v>0.75</v>
      </c>
      <c r="J116" s="2">
        <f>ROUNDUP(AN116*_xlfn.XLOOKUP(_xlfn.XLOOKUP(B116,'Base stats'!B:B,'Base stats'!E:E),Groups!A:A,Groups!E:E),0)</f>
        <v>5</v>
      </c>
      <c r="K116" s="2">
        <f>IF(OR(_xlfn.XLOOKUP(_xlfn.XLOOKUP(B116,'Base stats'!B:B,'Base stats'!E:E),Groups!A:A,Groups!F:F)=2,ISNUMBER(SEARCH("SeaIce",BV116)),ISNUMBER(SEARCH("IceSheet",BV116))),-50,IF(OR(ISNUMBER(SEARCH("GlacialPlain",BV116)),ISNUMBER(SEARCH("Tundra",BV116))),-40,IF(OR(ISNUMBER(SEARCH("Alpine",BV116)),ISNUMBER(SEARCH("BorealForest",BV116)),ISNUMBER(SEARCH("ColdBog",BV116))),-30,IF(OR(ISNUMBER(SEARCH("TemperateForest",BV116)),ISNUMBER(SEARCH("TemperateSwamp",BV116))),-20,IF(_xlfn.XLOOKUP(_xlfn.XLOOKUP(B116,'Base stats'!B:B,'Base stats'!E:E),Groups!A:A,Groups!F:F)=1,-15,IF(OR(ISNUMBER(SEARCH("Desert",BV116)),ISNUMBER(SEARCH("ExtremeDesert",BV116))),-10,IF(OR(ISNUMBER(SEARCH("Grasslands",BV116)),ISNUMBER(SEARCH("TropicalRainforest",BV116)),ISNUMBER(SEARCH("TropicalSwamp",BV116))),10,0)))))))-IF(CA116="False",MIN(IFERROR(MAX(MROUND(LOG10(_xlfn.XLOOKUP(B116,'Base stats'!B:B,'Base stats'!C:C)^(2/3))*10,5),5),5),30))-_xlfn.XLOOKUP(B116,'Base stats'!B:B,'Base stats'!P:P)+IF(CA116="True",5,0)</f>
        <v>-20</v>
      </c>
      <c r="L116" s="2">
        <f>IF(OR(_xlfn.XLOOKUP(_xlfn.XLOOKUP(B116,'Base stats'!B:B,'Base stats'!E:E),Groups!A:A,Groups!G:G)=2,ISNUMBER(SEARCH("Desert",BV116)),ISNUMBER(SEARCH("ExtremeDesert",BV116)),ISNUMBER(SEARCH("LavaField",BV116))),50,IF(ISNUMBER(SEARCH("Grasslands",BV116)),45,IF(OR(_xlfn.XLOOKUP(_xlfn.XLOOKUP(B116,'Base stats'!B:B,'Base stats'!E:E),Groups!A:A,Groups!G:G)=1,ISNUMBER(SEARCH("TropicalRainforest",BV116)),ISNUMBER(SEARCH("TropicalSwamp",BV116))),40,IF(OR(ISNUMBER(SEARCH("TemperateForest",BV116)),ISNUMBER(SEARCH("TemperateSwamp",BV116))),35,IF(OR(ISNUMBER(SEARCH("Alpine",BV116)),ISNUMBER(SEARCH("BorealForest",BV116)),ISNUMBER(SEARCH("ColdBog",BV116))),30,IF(ISNUMBER(OR(ISNUMBER(SEARCH("GlacialPlain",BV116)),SEARCH("Tundra",BV116))),25,IF(OR(ISNUMBER(SEARCH("SeaIce",BV116)),ISNUMBER(SEARCH("IceSheet",BV116)),ISNUMBER(SEARCH("TropicalSwamp",BV116))),10,35)))))))+_xlfn.XLOOKUP(B116,'Base stats'!B:B,'Base stats'!Q:Q)</f>
        <v>50</v>
      </c>
      <c r="M116" s="8" t="str">
        <f>IF(_xlfn.XLOOKUP(_xlfn.XLOOKUP(B116,'Base stats'!B:B,'Base stats'!E:E),Groups!A:A,Groups!L:L)=1,MIN(MROUND(_xlfn.XLOOKUP(B116,'Animals CE'!B:B,'Animals CE'!Z:Z)/2+0.05,0.05),200%),"No")</f>
        <v>No</v>
      </c>
      <c r="N116" s="8" t="str">
        <f>IF(_xlfn.XLOOKUP(_xlfn.XLOOKUP(B116,'Base stats'!B:B,'Base stats'!E:E),Groups!A:A,Groups!L:L)=1,MIN(MROUND(_xlfn.XLOOKUP(B116,'Animals CE'!B:B,'Animals CE'!AA:AA)/2+0.05,0.05),200%),"No")</f>
        <v>No</v>
      </c>
      <c r="O116" s="2" t="str">
        <f>_xlfn.XLOOKUP(B116,'Base stats'!B:B,'Base stats'!R:R)</f>
        <v>Standard</v>
      </c>
      <c r="P116" s="13">
        <f>MROUND((LOG10(_xlfn.XLOOKUP(B116,'Base stats'!B:B,'Base stats'!AO:AO))*(AN116^0.5)+(_xlfn.XLOOKUP(B116,'Base stats'!B:B,'Base stats'!AO:AO)/1000)^(2/3)+_xlfn.XLOOKUP(B116,'Base stats'!B:B,'Base stats'!AX:AX)/2)+0.5,0.5)</f>
        <v>6.5</v>
      </c>
      <c r="Q116" s="7">
        <f>IF(P116="No","No",MAX(1,MROUND(_xlfn.XLOOKUP(B116,'Base stats'!B:B,'Base stats'!C:C)^0.165,0.05)))</f>
        <v>1.9500000000000002</v>
      </c>
      <c r="R116" s="13">
        <f>IF(_xlfn.XLOOKUP(_xlfn.XLOOKUP(B116,'Base stats'!B:B,'Base stats'!E:E),Groups!A:A,Groups!P:P)=0,"No",MROUND((LOG10(_xlfn.XLOOKUP(B116,'Base stats'!B:B,'Base stats'!AP:AP))*(AN116^0.5)+(_xlfn.XLOOKUP(B116,'Base stats'!B:B,'Base stats'!AP:AP)/1000)^(2/3)+_xlfn.XLOOKUP(B116,'Base stats'!B:B,'Base stats'!AX:AX))+_xlfn.XLOOKUP(B116,'Base stats'!B:B,'Base stats'!AV:AV)+0.5,0.5))</f>
        <v>10.5</v>
      </c>
      <c r="S116" s="7">
        <f>IF(R116="No","No",MAX(_xlfn.XLOOKUP(_xlfn.XLOOKUP(B116,'Base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T116" s="7" t="str">
        <f>IF(R116="No","No",_xlfn.XLOOKUP(_xlfn.XLOOKUP(B116,'Base stats'!B:B,'Base stats'!E:E),Groups!A:A,Groups!R:R))</f>
        <v xml:space="preserve">RearLeftClaws, RearRightClaws	</v>
      </c>
      <c r="U116" s="7" t="str">
        <f>IF(R116="No","No",_xlfn.XLOOKUP(_xlfn.XLOOKUP(B116,'Base stats'!B:B,'Base stats'!E:E),Groups!A:A,Groups!S:S))</f>
        <v>left claw, rear  right claw</v>
      </c>
      <c r="V116" s="7" t="str">
        <f>IF(R116="No","No",_xlfn.XLOOKUP(_xlfn.XLOOKUP(B116,'Base stats'!B:B,'Base stats'!E:E),Groups!A:A,Groups!T:T))</f>
        <v>Scratch</v>
      </c>
      <c r="W116" s="13" t="str">
        <f>IF(_xlfn.XLOOKUP(B116,'Base stats'!B:B,'Base stats'!W:W)="No","No",MROUND((LOG10(_xlfn.XLOOKUP(B116,'Base stats'!B:B,'Base stats'!AR:AR))*(AN116^0.5)+(_xlfn.XLOOKUP(B116,'Base stats'!B:B,'Base stats'!AR:AR)/1000)^(2/3)+_xlfn.XLOOKUP(B116,'Base stats'!B:B,'Base stats'!AW:AW))+0.5+IF(_xlfn.XLOOKUP(_xlfn.XLOOKUP(B116,'Base stats'!B:B,'Base stats'!E:E),Groups!A:A,Groups!U:U)&lt;&gt;3,_xlfn.XLOOKUP(B116,'Base stats'!B:B,'Base stats'!AX:AX),0),0.5))</f>
        <v>No</v>
      </c>
      <c r="X116" s="7" t="str">
        <f>IF(W116="No","No",MAX(_xlfn.XLOOKUP(_xlfn.XLOOKUP(B116,'Base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Y116" s="7" t="str">
        <f>IF(W116="No","No",_xlfn.XLOOKUP(_xlfn.XLOOKUP(B116,'Base stats'!B:B,'Base stats'!E:E),Groups!A:A,Groups!W:W))</f>
        <v>No</v>
      </c>
      <c r="Z116" s="7" t="str">
        <f>IF(W116="No","No",_xlfn.XLOOKUP(_xlfn.XLOOKUP(B116,'Base stats'!B:B,'Base stats'!E:E),Groups!A:A,Groups!X:X))</f>
        <v>No</v>
      </c>
      <c r="AA116" s="7" t="str">
        <f>IF(W116="No","No",_xlfn.XLOOKUP(_xlfn.XLOOKUP(B116,'Base stats'!B:B,'Base stats'!E:E),Groups!A:A,Groups!Y:Y))</f>
        <v>No</v>
      </c>
      <c r="AB116" s="7" t="str">
        <f>_xlfn.XLOOKUP(Animals!B116,'Base stats'!B:B,'Base stats'!X:X)</f>
        <v>False</v>
      </c>
      <c r="AC116" s="13" t="str">
        <f>IF(_xlfn.XLOOKUP(B116,'Base stats'!B:B,'Base stats'!AQ:AQ)="No","No",MROUND((LOG10(_xlfn.XLOOKUP(B116,'Base stats'!B:B,'Base stats'!AQ:AQ))*(AN116^0.75)+(_xlfn.XLOOKUP(B116,'Base stats'!B:B,'Base stats'!AQ:AQ)/1000)^(2/3)+_xlfn.XLOOKUP(B116,'Base stats'!B:B,'Base stats'!AU:AU)+_xlfn.XLOOKUP(B116,'Base stats'!B:B,'Base stats'!AX:AX))+0.5,0.5))</f>
        <v>No</v>
      </c>
      <c r="AD116" s="7" t="str">
        <f>IF(AC116="No","No",MAX(_xlfn.XLOOKUP(_xlfn.XLOOKUP(B116,'Base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E116" s="7" t="str">
        <f>IF(AC116="No","No",_xlfn.XLOOKUP(_xlfn.XLOOKUP(B116,'Base stats'!B:B,'Base stats'!E:E),Groups!A:A,Groups!AA:AA))</f>
        <v>No</v>
      </c>
      <c r="AF116" s="7" t="str">
        <f>IF(AC116="No","No",_xlfn.XLOOKUP(_xlfn.XLOOKUP(B116,'Base stats'!B:B,'Base stats'!E:E),Groups!A:A,Groups!AB:AB))</f>
        <v>No</v>
      </c>
      <c r="AG116" s="7" t="str">
        <f>IF(AC116="No","No",_xlfn.XLOOKUP(_xlfn.XLOOKUP(B116,'Base stats'!B:B,'Base stats'!E:E),Groups!A:A,Groups!AC:AC))</f>
        <v>No</v>
      </c>
      <c r="AH116" s="13">
        <f>IF(_xlfn.XLOOKUP(_xlfn.XLOOKUP(B116,'Base stats'!B:B,'Base stats'!E:E),Groups!A:A,Groups!AD:AD)=0,"No",MROUND((LOG10(_xlfn.XLOOKUP(B116,'Base stats'!B:B,'Base stats'!AP:AP))*(AN116^0.75)+(_xlfn.XLOOKUP(B116,'Base stats'!B:B,'Base stats'!AP:AP)/1000)^(2/3)+_xlfn.XLOOKUP(B116,'Base stats'!B:B,'Base stats'!AV:AV)+_xlfn.XLOOKUP(B116,'Base stats'!B:B,'Base stats'!AX:AX))+0.5,0.5))</f>
        <v>10.5</v>
      </c>
      <c r="AI116" s="7">
        <f>IF(AH116="No","No",MAX(_xlfn.XLOOKUP(_xlfn.XLOOKUP(B116,'Base stats'!B:B,'Base stats'!E:E),Groups!A:A,Groups!AE:AE),MROUND(_xlfn.XLOOKUP(_xlfn.XLOOKUP(B116,'Base stats'!B:B,'Base stats'!E:E),Groups!A:A,Groups!AE:AE)*_xlfn.XLOOKUP(B116,'Base stats'!B:B,'Base stats'!C:C)^0.165,0.05)))</f>
        <v>1.35</v>
      </c>
      <c r="AJ116" s="7" t="str">
        <f>IF(AH116="No","No",_xlfn.XLOOKUP(_xlfn.XLOOKUP(B116,'Base stats'!B:B,'Base stats'!E:E),Groups!A:A,Groups!AF:AF))</f>
        <v>FrontRightPaw, FrontRightPaw</v>
      </c>
      <c r="AK116" s="7" t="str">
        <f>IF(AH116="No","No",_xlfn.XLOOKUP(_xlfn.XLOOKUP(B116,'Base stats'!B:B,'Base stats'!E:E),Groups!A:A,Groups!AG:AG))</f>
        <v>left claw, right claw</v>
      </c>
      <c r="AL116" s="7" t="str">
        <f>IF(AH116="No","No",_xlfn.XLOOKUP(_xlfn.XLOOKUP(B116,'Base stats'!B:B,'Base stats'!E:E),Groups!A:A,Groups!AH:AH))</f>
        <v>Scratch</v>
      </c>
      <c r="AM116" s="2" t="str">
        <f t="shared" si="7"/>
        <v>No</v>
      </c>
      <c r="AN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O116" s="8">
        <f>MROUND(AN116*_xlfn.XLOOKUP(_xlfn.XLOOKUP(B116,'Base stats'!B:B,'Base stats'!E:E),Groups!A:A,Groups!AI:AI),0.05)</f>
        <v>0.9</v>
      </c>
      <c r="AP116" s="8">
        <f>MAX(0.01,MROUND(IF(CA116="True",0.196*(AN116*100*1000)^0.889,IF(_xlfn.XLOOKUP(_xlfn.XLOOKUP(B116,'Base stats'!B:B,'Base stats'!E:E),Groups!A:A,Groups!AJ:AJ)="Bird",10.5*(AN116*100*1000)^0.681,4.82*(AN116*100*1000)^0.734))/(4.82*(1*100*1000)^0.734)/IF(AN116&lt;3.5,2,IF(AN116=3.5,1.5,1.25))*(1+0.132282374779864/(AN116^0.994035016789033+0.00905238001496948)),0.05))</f>
        <v>0.55000000000000004</v>
      </c>
      <c r="AQ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R116" s="35">
        <f>IFERROR(IF(_xlfn.XLOOKUP(B116,'Base stats'!B:B,'Base stats'!F:F)="Lay eggs","Lay eggs",MIN(20,MAX(5.5,ROUND(((_xlfn.XLOOKUP(B116,'Base stats'!B:B,'Base stats'!F:F)-25)*(14.5/615) + 5.5)*2,0)/2))),"Cannot breed")</f>
        <v>5.5</v>
      </c>
      <c r="AS116" s="8">
        <f>IF(OR(A116="Queen",A116="Larva",A116="Megachicken"),"No",IFERROR(MAX(IF(_xlfn.XLOOKUP(B116,'Base stats'!B:B,'Base stats'!G:G)&lt;0.5,0.2,0.3),MROUND(_xlfn.XLOOKUP(B116,'Base stats'!B:B,'Base stats'!G:G)/(365/60),0.2)),"Unknown"))</f>
        <v>0.3</v>
      </c>
      <c r="AT116" s="8">
        <f t="shared" si="8"/>
        <v>0.15000000000000002</v>
      </c>
      <c r="AU116" s="8">
        <f>IFERROR(IFERROR(MROUND(_xlfn.XLOOKUP(B116,'Base stats'!B:B,'Base stats'!J:J),0.1),"Lay eggs"),"Cannot breed")</f>
        <v>1</v>
      </c>
      <c r="AV116" s="2" t="str">
        <f t="shared" si="9"/>
        <v>true</v>
      </c>
      <c r="AW116" s="2" t="str">
        <f>IF(_xlfn.XLOOKUP(_xlfn.XLOOKUP(Animals!B116,'Base stats'!B:B,'Base stats'!E:E),Groups!A:A,Groups!AK:AK)=1,"true","false")</f>
        <v>true</v>
      </c>
      <c r="AX116" s="25" t="str">
        <f>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</f>
        <v>VegetarianRoughAnimal</v>
      </c>
      <c r="AY116" s="2">
        <f>IF(_xlfn.XLOOKUP(_xlfn.XLOOKUP(B116,'Base stats'!B:B,'Base stats'!E:E),Groups!A:A,Groups!D:D)=1,MROUND((1-I116)*5+1,2)*IF(I116&lt;=0.4,2,1),"No")</f>
        <v>2</v>
      </c>
      <c r="AZ116" s="2" t="str">
        <f>_xlfn.XLOOKUP(B116,'Base stats'!B:B,'Base stats'!AE:AE)</f>
        <v>Leather_Plain</v>
      </c>
      <c r="BA116" s="23" t="str">
        <f>_xlfn.XLOOKUP(_xlfn.XLOOKUP(B116,'Base stats'!B:B,'Base stats'!E:E),Groups!A:A,Groups!AL:AL)</f>
        <v>BipedalAnimalWithPawsClawsAndTail</v>
      </c>
      <c r="BB116" s="23">
        <f>MROUND(IF(AND(AN116&lt;0.5,_xlfn.XLOOKUP(B116,'Base stats'!B:B,'Base stats'!Z:Z)=0),0,IF(OR(_xlfn.XLOOKUP(Animals!B116,'Base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stats'!AA:AA),0.005)</f>
        <v>0</v>
      </c>
      <c r="BC116" s="23">
        <f>MROUND(IF(AND(AN116&lt;0.5,_xlfn.XLOOKUP(B116,'Base stats'!B:B,'Base stats'!Z:Z)=0),0,IF(_xlfn.XLOOKUP(_xlfn.XLOOKUP(B116,'Base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stats'!AB:AB),0.005)</f>
        <v>0</v>
      </c>
      <c r="BD116" s="2" t="str">
        <f>IF(I116&gt;0.3,"No",_xlfn.XLOOKUP(_xlfn.XLOOKUP(Animals!B116,'Base stats'!B:B,'Base stats'!E:E),Groups!A:A,Groups!AP:AP))</f>
        <v>No</v>
      </c>
      <c r="BE116" s="2" t="str">
        <f>IF(AND(I116&lt;=0.65,_xlfn.XLOOKUP(_xlfn.XLOOKUP(Animals!B116,'Base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stats'!O:O)=2,0.2,AN116) + 24*(1-IF(BD116="No",0,BD116)) + 16/3, 12),"No")</f>
        <v>No</v>
      </c>
      <c r="BF116" s="2">
        <f>IF(AND(_xlfn.XLOOKUP(_xlfn.XLOOKUP(B116,'Base stats'!B:B,'Base stats'!E:E),Groups!A:A,Groups!AQ:AQ)=1,AN116&lt;=0.35),8,12)</f>
        <v>12</v>
      </c>
      <c r="BG116" s="2" t="str">
        <f>IF(_xlfn.XLOOKUP(_xlfn.XLOOKUP(B116,'Base stats'!B:B,'Base stats'!E:E),Groups!A:A,Groups!D:D)=0,_xlfn.XLOOKUP(_xlfn.XLOOKUP(B116,'Base stats'!B:B,'Base stats'!E:E),Groups!A:A,Groups!AR:AR),"None")</f>
        <v>None</v>
      </c>
      <c r="BH116" s="2" t="str">
        <f>IF(AND(_xlfn.XLOOKUP(_xlfn.XLOOKUP(B116,'Base stats'!B:B,'Base stats'!E:E),Groups!A:A,Groups!AS:AS)=1,OR('Base stats'!Y116="Carnivore",'Base stats'!Y116="Omnivore")),"true","false")</f>
        <v>false</v>
      </c>
      <c r="BI116" s="2" t="str">
        <f>IF(BH116="true",MROUND(IF(AND(AN116&gt;0.5,_xlfn.XLOOKUP(_xlfn.XLOOKUP(B116,'Base stats'!B:B,'Base stats'!E:E),Groups!A:A,Groups!AJ:AJ)="Mammal"),Animals!AN116*1.75*IF(AV116="true",1.5,1),Animals!AN116),IF(AN116&gt;2,0.5,IF(AN116&gt;0.5,0.25,0.1))),"No")</f>
        <v>No</v>
      </c>
      <c r="BJ116" s="2">
        <f t="shared" si="10"/>
        <v>0</v>
      </c>
      <c r="BK116" s="25" t="str">
        <f>IF('Base stats'!AK116="Standard","No",MROUND((_xlfn.XLOOKUP(B116,'Base stats'!B:B,'Base stats'!AK:AK)/3.6)/H116,0.1))</f>
        <v>No</v>
      </c>
      <c r="BL116" s="25" t="str">
        <f t="shared" si="11"/>
        <v>false</v>
      </c>
      <c r="BM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N116" s="25" t="str" cm="1">
        <f t="array" ref="BN116">IF(
  _xlfn.TEXTJOIN(", ",TRUE,
    IF(AND(BH116="true",AN116&gt;0.5,BG116&lt;&gt;"None"),"AttackTarget",""),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IF(BE116&lt;=36,"Comfort",""),
    IF(_xlfn.XLOOKUP(B116,'Base stats'!B:B,'Base stats'!AC:AC)&lt;&gt;"No",_xlfn.XLOOKUP(B116,'Base stats'!B:B,'Base stats'!AC:AC),"")
  ) = "",
  "No",
  _xlfn.TEXTJOIN(", ",TRUE,
    IF(AND(BH116="true",AN116&gt;0.5,BG116&lt;&gt;"None"),"AttackTarget",""),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IF(BE116&lt;=36,"Comfort",""),
    IF(_xlfn.XLOOKUP(B116,'Base stats'!B:B,'Base stats'!AC:AC)&lt;&gt;"No",_xlfn.XLOOKUP(B116,'Base stats'!B:B,'Base stats'!AC:AC),"")
  )
)</f>
        <v>No</v>
      </c>
      <c r="BO116" s="25" t="str">
        <f>IF(
   AND(
      'Base stats'!AK116="Standard",_xlfn.XLOOKUP(_xlfn.XLOOKUP(B116,'Base stats'!B:B,'Base stats'!E:E),Groups!A:A,Groups!AU:AU)=0,
      OR(
      BM116="True"
      )
   ),
   10,
   IF(
       OR(BK116&lt;&gt;"No",_xlfn.XLOOKUP(_xlfn.XLOOKUP(B116,'Base stats'!B:B,'Base stats'!E:E),Groups!A:A,Groups!AU:AU)=1),
      1,
      "No"
   )
)</f>
        <v>No</v>
      </c>
      <c r="BP116" s="9">
        <f>MROUND((1 + ((0.2*IF(OR(P116="No",Q116="No",Q116=0),0,P116/Q116)
+IF(OR(U116="No",R116="No",S116="No"),0,R116/S116*(LEN(U116)-LEN(SUBSTITUTE(U116,",",""))+1))
+IF(OR(W116="No",X116="No"),0,W116/X116)
+IF(OR(AC116="No",AD116="No"),0,AC116/AD116)
+IF(OR(AK116="No",AH116="No",AI116="No"),0,AH116/AI116*(LEN(AK116)-LEN(SUBSTITUTE(AK116,",",""))+1))
)/(0.2*IF(OR(P116="No",Q116="No",Q116=0),0,1)
+IF(OR(U116="No",R116="No",S116="No"),0,LEN(U116)-LEN(SUBSTITUTE(U116,",",""))+1)
+IF(OR(W116="No",X116="No"),0,1)
+IF(OR(AC116="No",AD116="No"),0,1)
+IF(OR(AK116="No",AH116="No",AI116="No"),0,LEN(AK116)-LEN(SUBSTITUTE(AK116,",",""))+1))*62%)* 2)*(1 + (AO116 + _xlfn.XLOOKUP(B116,'Base stats'!B:B,'Base stats'!AS:AS) * 1.8) * 2) * 2.5 + 10 + H116 * 2,5)+IF(_xlfn.XLOOKUP(B116,'Base stats'!B:B,'Base stats'!AH:AH)=1,50,0)</f>
        <v>90</v>
      </c>
      <c r="BQ116" s="8">
        <f t="shared" si="12"/>
        <v>0.60000000000000009</v>
      </c>
      <c r="BR116" s="8" t="str">
        <f>_xlfn.XLOOKUP(B116,'Base stats'!B:B,'Base stats'!AD:AD)</f>
        <v>3~10</v>
      </c>
      <c r="BS116" s="2" t="str">
        <f>IF(AND(I116&lt;=0.95,OR(_xlfn.XLOOKUP(B116,'Base stats'!B:B,'Base stats'!AH:AH)=1,_xlfn.XLOOKUP(B116,'Base stats'!B:B,'Base stats'!Y:Y)="Carnivore",_xlfn.XLOOKUP(B116,'Base stats'!B:B,'Base stats'!Y:Y)="Omnivore",BC116&gt;0.1)),"true","false")</f>
        <v>false</v>
      </c>
      <c r="BT116" s="2" t="str">
        <f>IF(_xlfn.XLOOKUP(B116,'Base stats'!B:B,'Base stats'!AF:AF)=1,"true","false")</f>
        <v>false</v>
      </c>
      <c r="BU116" s="25" t="str">
        <f>IF(E116="BaseInsect","AnimalInsect",
IF(I116&gt;0.95,"AnimalExotic",
_xlfn.TEXTJOIN(", ",TRUE,
IF(AND(_xlfn.XLOOKUP(B116,'Base stats'!B:B,'Base stats'!O:O)=0,_xlfn.XLOOKUP(_xlfn.XLOOKUP(B116,'Base stats'!B:B,'Base stats'!E:E),Groups!A:A,Groups!B:B)&gt;0),"AnimalUncommon","AnimalCommon"),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stats'!AH:AH)=1,AND(BG116&lt;&gt;"None",BP116&gt;=60),ISNUMBER(SEARCH("Attack target",BN116))),"AnimalFighter","")
)))</f>
        <v>AnimalUncommon</v>
      </c>
      <c r="BV116" s="25" t="str">
        <f>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</f>
        <v>AridShrubland Desert Grasslands LavaField</v>
      </c>
      <c r="BW116" s="25" t="str">
        <f>IF(_xlfn.XLOOKUP(B116,'Base stats'!B:B,'Base stats'!AG:AG)=1,"true","false")</f>
        <v>false</v>
      </c>
      <c r="BX116" s="25">
        <f>IF(_xlfn.XLOOKUP(B116,'Base stats'!B:B,'Base stats'!N:N)=1,"No",MIN(MROUND(IF(OR(_xlfn.XLOOKUP(B116,'Base stats'!B:B,'Base stats'!AJ:AJ)=1,AND(BH116="True",CA116="False")),POWER(10,3.47*LOG10(_xlfn.XLOOKUP(B116,'Base stats'!B:B,'Base stats'!C:C)*1000)^-0.96),POWER(10,4.15*LOG10(_xlfn.XLOOKUP(B116,'Base stats'!B:B,'Base stats'!C:C)*1000)^-0.73))*IF(OR(_xlfn.XLOOKUP(B116,'Base stats'!B:B,'Base stats'!AJ:AJ)=1,_xlfn.XLOOKUP(B116,'Base stats'!B:B,'Base stats'!AH:AH)=1),0.5,1)/100,0.025),1))</f>
        <v>0.22500000000000001</v>
      </c>
      <c r="BY116" s="25" t="str">
        <f>IF(O116="Standard","No",IF(_xlfn.XLOOKUP(B116,'Base stats'!B:B,'Base stats'!N:N)=0,MROUND(BX116*O116,0.05),MIN(1,MAX(0.025,MROUND(IF(OR(CA116="true",AND(BH116="false",BM116="false")),POWER(10,4.15*LOG10(_xlfn.XLOOKUP(B116,'Base stats'!B:B,'Base stats'!C:C)*1000)^-0.73),POWER(10,3.47*LOG10(_xlfn.XLOOKUP(B116,'Base stats'!B:B,'Base stats'!C:C)*1000)^-0.96))*IF(_xlfn.XLOOKUP(B116,'Base stats'!B:B,'Base stats'!AH:AH)=1,0.5,1)/100,0.025)))))</f>
        <v>No</v>
      </c>
      <c r="BZ116" s="25" t="str">
        <f>IF(_xlfn.XLOOKUP(_xlfn.XLOOKUP(B116,'Base stats'!B:B,'Base stats'!E:E),Groups!A:A,Groups!AJ:AJ)="Mammal","True","False")</f>
        <v>True</v>
      </c>
      <c r="CA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B116" s="25" t="str">
        <f t="shared" si="13"/>
        <v>False</v>
      </c>
      <c r="CC116" s="25" t="str">
        <f>IF(_xlfn.XLOOKUP(_xlfn.XLOOKUP(B116,'Base stats'!B:B,'Base stats'!E:E),Groups!A:A,Groups!AW:AW),"True","False")</f>
        <v>False</v>
      </c>
      <c r="CD116" s="25" t="str">
        <f>IF(_xlfn.XLOOKUP(_xlfn.XLOOKUP(B116,'Base stats'!B:B,'Base stats'!E:E),Groups!A:A,Groups!AX:AX),"True","False")</f>
        <v>False</v>
      </c>
      <c r="CE116" s="25" t="str">
        <f>IF(_xlfn.XLOOKUP(B116,'Base stats'!B:B,'Base stats'!E:E)=1,"True","False")</f>
        <v>False</v>
      </c>
      <c r="CF116" s="25" t="str">
        <f>IF(
OR(
_xlfn.XLOOKUP(_xlfn.XLOOKUP(B116,'Base stats'!B:B,'Base stats'!E:E),Groups!A:A,Groups!AY:AY)=0,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stats'!E:E),Groups!A:A,Groups!AY:AY)=1,
"Flesh",
IF(
_xlfn.XLOOKUP(_xlfn.XLOOKUP(B116,'Base stats'!B:B,'Base stats'!E:E),Groups!A:A,Groups!AY:AY)=2,
"Bone",
""
)
)
)</f>
        <v>No</v>
      </c>
      <c r="CG116" s="25" t="str">
        <f>IF(_xlfn.XLOOKUP(_xlfn.XLOOKUP(B116,'Base stats'!B:B,'Base stats'!E:E),Groups!A:A,Groups!BA:BA),"True","False")</f>
        <v>True</v>
      </c>
      <c r="CH116" s="25" t="str">
        <f>IF(_xlfn.XLOOKUP(_xlfn.XLOOKUP(B116,'Base stats'!B:B,'Base stats'!E:E),Groups!A:A,Groups!AZ:AZ),"True","False")</f>
        <v>False</v>
      </c>
    </row>
    <row r="117" spans="1:86" ht="16.5" thickTop="1" thickBot="1" x14ac:dyDescent="0.3">
      <c r="A117" s="26" t="str">
        <f>_xlfn.XLOOKUP(B117,'Base stats'!B:B,'Base stats'!A:A)</f>
        <v>Koala</v>
      </c>
      <c r="B117" s="6" t="s">
        <v>473</v>
      </c>
      <c r="C117" s="28" t="s">
        <v>810</v>
      </c>
      <c r="D117" s="28" t="s">
        <v>884</v>
      </c>
      <c r="E117" s="28" t="s">
        <v>685</v>
      </c>
      <c r="F117" s="28" t="s">
        <v>685</v>
      </c>
      <c r="G117" s="2">
        <f>MROUND((
  (IF(AND(_xlfn.XLOOKUP(B117,'Base stats'!B:B,'Base stats'!AI:AI)=0,BG117="None",_xlfn.XLOOKUP('Base stats'!E117,Groups!A:A,Groups!B:B)=0), (18 + BP117 * 2.7) * 0.5,
    IF(AND(_xlfn.XLOOKUP(B117,'Base stats'!B:B,'Base stats'!AI:AI)=0,OR(AN117&lt;0.55,AND(BG117="Intermediate",_xlfn.XLOOKUP('Base stats'!E117,Groups!A:A,Groups!B:B)&lt;2))), (18 + BP117 * 2.7),
      IF(OR(BG117="Advanced",_xlfn.XLOOKUP(B117,'Base stats'!B:B,'Base stats'!AI:AI)=1,_xlfn.XLOOKUP('Base stats'!E117,Groups!A:A,Groups!B:B)=2), (18 + BP117 * 2.7) + 250, (18 + BP117 * 2.7))
    )
  ))
  + AN117 * 80
  + IF(COUNTIF(EggMilk!K$2:K$998, A117) &gt; 0, 125, 0)
  + IF(COUNTIF(EggMilk!P$2:P$998, A117) &gt; 0, 90, 0)
  + IF(COUNTIF(EggMilk!A$2:A$998, A117) &gt; 0, 90, 0)
)
* (0.8 + 0.4 * I117)
* 0.75,25)</f>
        <v>125</v>
      </c>
      <c r="H117" s="2">
        <f>MROUND(ROUNDDOWN(_xlfn.XLOOKUP(B117,'Base stats'!B:B,'Base stats'!L:L)/3.6/(23.3/11),1),0.5)</f>
        <v>2</v>
      </c>
      <c r="I117" s="2">
        <f>IF(_xlfn.XLOOKUP(B117,'Base stats'!B:B,'Base stats'!AI:AI)=1,0.99,MIN(MROUND((1-0.6282*EXP(-0.459*AN117))*_xlfn.XLOOKUP(_xlfn.XLOOKUP(B117,'Base stats'!B:B,'Base stats'!E:E),Groups!A:A,Groups!C:C)*IF(_xlfn.XLOOKUP(B117,'Base stats'!B:B,'Base stats'!O:O)=1,0.5,IF(_xlfn.XLOOKUP(B117,'Base stats'!B:B,'Base stats'!O:O)=2,0,1)),0.05),0.985))</f>
        <v>0.60000000000000009</v>
      </c>
      <c r="J117" s="2">
        <f>ROUNDUP(AN117*_xlfn.XLOOKUP(_xlfn.XLOOKUP(B117,'Base stats'!B:B,'Base stats'!E:E),Groups!A:A,Groups!E:E),0)</f>
        <v>1</v>
      </c>
      <c r="K117" s="2">
        <f>IF(OR(_xlfn.XLOOKUP(_xlfn.XLOOKUP(B117,'Base stats'!B:B,'Base stats'!E:E),Groups!A:A,Groups!F:F)=2,ISNUMBER(SEARCH("SeaIce",BV117)),ISNUMBER(SEARCH("IceSheet",BV117))),-50,IF(OR(ISNUMBER(SEARCH("GlacialPlain",BV117)),ISNUMBER(SEARCH("Tundra",BV117))),-40,IF(OR(ISNUMBER(SEARCH("Alpine",BV117)),ISNUMBER(SEARCH("BorealForest",BV117)),ISNUMBER(SEARCH("ColdBog",BV117))),-30,IF(OR(ISNUMBER(SEARCH("TemperateForest",BV117)),ISNUMBER(SEARCH("TemperateSwamp",BV117))),-20,IF(_xlfn.XLOOKUP(_xlfn.XLOOKUP(B117,'Base stats'!B:B,'Base stats'!E:E),Groups!A:A,Groups!F:F)=1,-15,IF(OR(ISNUMBER(SEARCH("Desert",BV117)),ISNUMBER(SEARCH("ExtremeDesert",BV117))),-10,IF(OR(ISNUMBER(SEARCH("Grasslands",BV117)),ISNUMBER(SEARCH("TropicalRainforest",BV117)),ISNUMBER(SEARCH("TropicalSwamp",BV117))),10,0)))))))-IF(CA117="False",MIN(IFERROR(MAX(MROUND(LOG10(_xlfn.XLOOKUP(B117,'Base stats'!B:B,'Base stats'!C:C)^(2/3))*10,5),5),5),30))-_xlfn.XLOOKUP(B117,'Base stats'!B:B,'Base stats'!P:P)+IF(CA117="True",5,0)</f>
        <v>5</v>
      </c>
      <c r="L117" s="2">
        <f>IF(OR(_xlfn.XLOOKUP(_xlfn.XLOOKUP(B117,'Base stats'!B:B,'Base stats'!E:E),Groups!A:A,Groups!G:G)=2,ISNUMBER(SEARCH("Desert",BV117)),ISNUMBER(SEARCH("ExtremeDesert",BV117)),ISNUMBER(SEARCH("LavaField",BV117))),50,IF(ISNUMBER(SEARCH("Grasslands",BV117)),45,IF(OR(_xlfn.XLOOKUP(_xlfn.XLOOKUP(B117,'Base stats'!B:B,'Base stats'!E:E),Groups!A:A,Groups!G:G)=1,ISNUMBER(SEARCH("TropicalRainforest",BV117)),ISNUMBER(SEARCH("TropicalSwamp",BV117))),40,IF(OR(ISNUMBER(SEARCH("TemperateForest",BV117)),ISNUMBER(SEARCH("TemperateSwamp",BV117))),35,IF(OR(ISNUMBER(SEARCH("Alpine",BV117)),ISNUMBER(SEARCH("BorealForest",BV117)),ISNUMBER(SEARCH("ColdBog",BV117))),30,IF(ISNUMBER(OR(ISNUMBER(SEARCH("GlacialPlain",BV117)),SEARCH("Tundra",BV117))),25,IF(OR(ISNUMBER(SEARCH("SeaIce",BV117)),ISNUMBER(SEARCH("IceSheet",BV117)),ISNUMBER(SEARCH("TropicalSwamp",BV117))),10,35)))))))+_xlfn.XLOOKUP(B117,'Base stats'!B:B,'Base stats'!Q:Q)</f>
        <v>50</v>
      </c>
      <c r="M117" s="8" t="str">
        <f>IF(_xlfn.XLOOKUP(_xlfn.XLOOKUP(B117,'Base stats'!B:B,'Base stats'!E:E),Groups!A:A,Groups!L:L)=1,MIN(MROUND(_xlfn.XLOOKUP(B117,'Animals CE'!B:B,'Animals CE'!Z:Z)/2+0.05,0.05),200%),"No")</f>
        <v>No</v>
      </c>
      <c r="N117" s="8" t="str">
        <f>IF(_xlfn.XLOOKUP(_xlfn.XLOOKUP(B117,'Base stats'!B:B,'Base stats'!E:E),Groups!A:A,Groups!L:L)=1,MIN(MROUND(_xlfn.XLOOKUP(B117,'Animals CE'!B:B,'Animals CE'!AA:AA)/2+0.05,0.05),200%),"No")</f>
        <v>No</v>
      </c>
      <c r="O117" s="2" t="str">
        <f>_xlfn.XLOOKUP(B117,'Base stats'!B:B,'Base stats'!R:R)</f>
        <v>Standard</v>
      </c>
      <c r="P117" s="13">
        <f>MROUND((LOG10(_xlfn.XLOOKUP(B117,'Base stats'!B:B,'Base stats'!AO:AO))*(AN117^0.5)+(_xlfn.XLOOKUP(B117,'Base stats'!B:B,'Base stats'!AO:AO)/1000)^(2/3)+_xlfn.XLOOKUP(B117,'Base stats'!B:B,'Base stats'!AX:AX)/2)+0.5,0.5)</f>
        <v>3.5</v>
      </c>
      <c r="Q117" s="7">
        <f>IF(P117="No","No",MAX(1,MROUND(_xlfn.XLOOKUP(B117,'Base stats'!B:B,'Base stats'!C:C)^0.165,0.05)))</f>
        <v>1.4500000000000002</v>
      </c>
      <c r="R117" s="13" t="str">
        <f>IF(_xlfn.XLOOKUP(_xlfn.XLOOKUP(B117,'Base stats'!B:B,'Base stats'!E:E),Groups!A:A,Groups!P:P)=0,"No",MROUND((LOG10(_xlfn.XLOOKUP(B117,'Base stats'!B:B,'Base stats'!AP:AP))*(AN117^0.5)+(_xlfn.XLOOKUP(B117,'Base stats'!B:B,'Base stats'!AP:AP)/1000)^(2/3)+_xlfn.XLOOKUP(B117,'Base stats'!B:B,'Base stats'!AX:AX))+_xlfn.XLOOKUP(B117,'Base stats'!B:B,'Base stats'!AV:AV)+0.5,0.5))</f>
        <v>No</v>
      </c>
      <c r="S117" s="7" t="str">
        <f>IF(R117="No","No",MAX(_xlfn.XLOOKUP(_xlfn.XLOOKUP(B117,'Base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T117" s="7" t="str">
        <f>IF(R117="No","No",_xlfn.XLOOKUP(_xlfn.XLOOKUP(B117,'Base stats'!B:B,'Base stats'!E:E),Groups!A:A,Groups!R:R))</f>
        <v>No</v>
      </c>
      <c r="U117" s="7" t="str">
        <f>IF(R117="No","No",_xlfn.XLOOKUP(_xlfn.XLOOKUP(B117,'Base stats'!B:B,'Base stats'!E:E),Groups!A:A,Groups!S:S))</f>
        <v>No</v>
      </c>
      <c r="V117" s="7" t="str">
        <f>IF(R117="No","No",_xlfn.XLOOKUP(_xlfn.XLOOKUP(B117,'Base stats'!B:B,'Base stats'!E:E),Groups!A:A,Groups!T:T))</f>
        <v>No</v>
      </c>
      <c r="W117" s="13" t="str">
        <f>IF(_xlfn.XLOOKUP(B117,'Base stats'!B:B,'Base stats'!W:W)="No","No",MROUND((LOG10(_xlfn.XLOOKUP(B117,'Base stats'!B:B,'Base stats'!AR:AR))*(AN117^0.5)+(_xlfn.XLOOKUP(B117,'Base stats'!B:B,'Base stats'!AR:AR)/1000)^(2/3)+_xlfn.XLOOKUP(B117,'Base stats'!B:B,'Base stats'!AW:AW))+0.5+IF(_xlfn.XLOOKUP(_xlfn.XLOOKUP(B117,'Base stats'!B:B,'Base stats'!E:E),Groups!A:A,Groups!U:U)&lt;&gt;3,_xlfn.XLOOKUP(B117,'Base stats'!B:B,'Base stats'!AX:AX),0),0.5))</f>
        <v>No</v>
      </c>
      <c r="X117" s="7" t="str">
        <f>IF(W117="No","No",MAX(_xlfn.XLOOKUP(_xlfn.XLOOKUP(B117,'Base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Y117" s="7" t="str">
        <f>IF(W117="No","No",_xlfn.XLOOKUP(_xlfn.XLOOKUP(B117,'Base stats'!B:B,'Base stats'!E:E),Groups!A:A,Groups!W:W))</f>
        <v>No</v>
      </c>
      <c r="Z117" s="7" t="str">
        <f>IF(W117="No","No",_xlfn.XLOOKUP(_xlfn.XLOOKUP(B117,'Base stats'!B:B,'Base stats'!E:E),Groups!A:A,Groups!X:X))</f>
        <v>No</v>
      </c>
      <c r="AA117" s="7" t="str">
        <f>IF(W117="No","No",_xlfn.XLOOKUP(_xlfn.XLOOKUP(B117,'Base stats'!B:B,'Base stats'!E:E),Groups!A:A,Groups!Y:Y))</f>
        <v>No</v>
      </c>
      <c r="AB117" s="7" t="str">
        <f>_xlfn.XLOOKUP(Animals!B117,'Base stats'!B:B,'Base stats'!X:X)</f>
        <v>False</v>
      </c>
      <c r="AC117" s="13">
        <f>IF(_xlfn.XLOOKUP(B117,'Base stats'!B:B,'Base stats'!AQ:AQ)="No","No",MROUND((LOG10(_xlfn.XLOOKUP(B117,'Base stats'!B:B,'Base stats'!AQ:AQ))*(AN117^0.75)+(_xlfn.XLOOKUP(B117,'Base stats'!B:B,'Base stats'!AQ:AQ)/1000)^(2/3)+_xlfn.XLOOKUP(B117,'Base stats'!B:B,'Base stats'!AU:AU)+_xlfn.XLOOKUP(B117,'Base stats'!B:B,'Base stats'!AX:AX))+0.5,0.5))</f>
        <v>3.5</v>
      </c>
      <c r="AD117" s="7">
        <f>IF(AC117="No","No",MAX(_xlfn.XLOOKUP(_xlfn.XLOOKUP(B117,'Base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E117" s="7" t="str">
        <f>IF(AC117="No","No",_xlfn.XLOOKUP(_xlfn.XLOOKUP(B117,'Base stats'!B:B,'Base stats'!E:E),Groups!A:A,Groups!AA:AA))</f>
        <v>Teeth</v>
      </c>
      <c r="AF117" s="7" t="str">
        <f>IF(AC117="No","No",_xlfn.XLOOKUP(_xlfn.XLOOKUP(B117,'Base stats'!B:B,'Base stats'!E:E),Groups!A:A,Groups!AB:AB))</f>
        <v>teeth</v>
      </c>
      <c r="AG117" s="7" t="str">
        <f>IF(AC117="No","No",_xlfn.XLOOKUP(_xlfn.XLOOKUP(B117,'Base stats'!B:B,'Base stats'!E:E),Groups!A:A,Groups!AC:AC))</f>
        <v>Bite</v>
      </c>
      <c r="AH117" s="13">
        <f>IF(_xlfn.XLOOKUP(_xlfn.XLOOKUP(B117,'Base stats'!B:B,'Base stats'!E:E),Groups!A:A,Groups!AD:AD)=0,"No",MROUND((LOG10(_xlfn.XLOOKUP(B117,'Base stats'!B:B,'Base stats'!AP:AP))*(AN117^0.75)+(_xlfn.XLOOKUP(B117,'Base stats'!B:B,'Base stats'!AP:AP)/1000)^(2/3)+_xlfn.XLOOKUP(B117,'Base stats'!B:B,'Base stats'!AV:AV)+_xlfn.XLOOKUP(B117,'Base stats'!B:B,'Base stats'!AX:AX))+0.5,0.5))</f>
        <v>5</v>
      </c>
      <c r="AI117" s="7">
        <f>IF(AH117="No","No",MAX(_xlfn.XLOOKUP(_xlfn.XLOOKUP(B117,'Base stats'!B:B,'Base stats'!E:E),Groups!A:A,Groups!AE:AE),MROUND(_xlfn.XLOOKUP(_xlfn.XLOOKUP(B117,'Base stats'!B:B,'Base stats'!E:E),Groups!A:A,Groups!AE:AE)*_xlfn.XLOOKUP(B117,'Base stats'!B:B,'Base stats'!C:C)^0.165,0.05)))</f>
        <v>1</v>
      </c>
      <c r="AJ117" s="7" t="str">
        <f>IF(AH117="No","No",_xlfn.XLOOKUP(_xlfn.XLOOKUP(B117,'Base stats'!B:B,'Base stats'!E:E),Groups!A:A,Groups!AF:AF))</f>
        <v>FrontRightPaw, FrontRightPaw</v>
      </c>
      <c r="AK117" s="7" t="str">
        <f>IF(AH117="No","No",_xlfn.XLOOKUP(_xlfn.XLOOKUP(B117,'Base stats'!B:B,'Base stats'!E:E),Groups!A:A,Groups!AG:AG))</f>
        <v>left claw, right claw</v>
      </c>
      <c r="AL117" s="7" t="str">
        <f>IF(AH117="No","No",_xlfn.XLOOKUP(_xlfn.XLOOKUP(B117,'Base stats'!B:B,'Base stats'!E:E),Groups!A:A,Groups!AH:AH))</f>
        <v>Scratch</v>
      </c>
      <c r="AM117" s="2" t="str">
        <f t="shared" si="7"/>
        <v>No</v>
      </c>
      <c r="AN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O117" s="8">
        <f>MROUND(AN117*_xlfn.XLOOKUP(_xlfn.XLOOKUP(B117,'Base stats'!B:B,'Base stats'!E:E),Groups!A:A,Groups!AI:AI),0.05)</f>
        <v>0.4</v>
      </c>
      <c r="AP117" s="8">
        <f>MAX(0.01,MROUND(IF(CA117="True",0.196*(AN117*100*1000)^0.889,IF(_xlfn.XLOOKUP(_xlfn.XLOOKUP(B117,'Base stats'!B:B,'Base stats'!E:E),Groups!A:A,Groups!AJ:AJ)="Bird",10.5*(AN117*100*1000)^0.681,4.82*(AN117*100*1000)^0.734))/(4.82*(1*100*1000)^0.734)/IF(AN117&lt;3.5,2,IF(AN117=3.5,1.5,1.25))*(1+0.132282374779864/(AN117^0.994035016789033+0.00905238001496948)),0.05))</f>
        <v>0.35000000000000003</v>
      </c>
      <c r="AQ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R117" s="35">
        <f>IFERROR(IF(_xlfn.XLOOKUP(B117,'Base stats'!B:B,'Base stats'!F:F)="Lay eggs","Lay eggs",MIN(20,MAX(5.5,ROUND(((_xlfn.XLOOKUP(B117,'Base stats'!B:B,'Base stats'!F:F)-25)*(14.5/615) + 5.5)*2,0)/2))),"Cannot breed")</f>
        <v>5.5</v>
      </c>
      <c r="AS117" s="8">
        <f>IF(OR(A117="Queen",A117="Larva",A117="Megachicken"),"No",IFERROR(MAX(IF(_xlfn.XLOOKUP(B117,'Base stats'!B:B,'Base stats'!G:G)&lt;0.5,0.2,0.3),MROUND(_xlfn.XLOOKUP(B117,'Base stats'!B:B,'Base stats'!G:G)/(365/60),0.2)),"Unknown"))</f>
        <v>0.3</v>
      </c>
      <c r="AT117" s="8">
        <f t="shared" si="8"/>
        <v>0.15000000000000002</v>
      </c>
      <c r="AU117" s="8">
        <f>IFERROR(IFERROR(MROUND(_xlfn.XLOOKUP(B117,'Base stats'!B:B,'Base stats'!J:J),0.1),"Lay eggs"),"Cannot breed")</f>
        <v>1</v>
      </c>
      <c r="AV117" s="2" t="str">
        <f t="shared" si="9"/>
        <v>false</v>
      </c>
      <c r="AW117" s="2" t="str">
        <f>IF(_xlfn.XLOOKUP(_xlfn.XLOOKUP(Animals!B117,'Base stats'!B:B,'Base stats'!E:E),Groups!A:A,Groups!AK:AK)=1,"true","false")</f>
        <v>false</v>
      </c>
      <c r="AX117" s="25" t="str">
        <f>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</f>
        <v>VegetarianRoughAnimal</v>
      </c>
      <c r="AY117" s="2" t="str">
        <f>IF(_xlfn.XLOOKUP(_xlfn.XLOOKUP(B117,'Base stats'!B:B,'Base stats'!E:E),Groups!A:A,Groups!D:D)=1,MROUND((1-I117)*5+1,2)*IF(I117&lt;=0.4,2,1),"No")</f>
        <v>No</v>
      </c>
      <c r="AZ117" s="2" t="str">
        <f>_xlfn.XLOOKUP(B117,'Base stats'!B:B,'Base stats'!AE:AE)</f>
        <v>Leather_Light</v>
      </c>
      <c r="BA117" s="23" t="str">
        <f>_xlfn.XLOOKUP(_xlfn.XLOOKUP(B117,'Base stats'!B:B,'Base stats'!E:E),Groups!A:A,Groups!AL:AL)</f>
        <v>QuadrupedAnimalWithPaws</v>
      </c>
      <c r="BB117" s="23">
        <f>MROUND(IF(AND(AN117&lt;0.5,_xlfn.XLOOKUP(B117,'Base stats'!B:B,'Base stats'!Z:Z)=0),0,IF(OR(_xlfn.XLOOKUP(Animals!B117,'Base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stats'!AA:AA),0.005)</f>
        <v>0</v>
      </c>
      <c r="BC117" s="23">
        <f>MROUND(IF(AND(AN117&lt;0.5,_xlfn.XLOOKUP(B117,'Base stats'!B:B,'Base stats'!Z:Z)=0),0,IF(_xlfn.XLOOKUP(_xlfn.XLOOKUP(B117,'Base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stats'!AB:AB),0.005)</f>
        <v>0</v>
      </c>
      <c r="BD117" s="2" t="str">
        <f>IF(I117&gt;0.3,"No",_xlfn.XLOOKUP(_xlfn.XLOOKUP(Animals!B117,'Base stats'!B:B,'Base stats'!E:E),Groups!A:A,Groups!AP:AP))</f>
        <v>No</v>
      </c>
      <c r="BE117" s="2" t="str">
        <f>IF(AND(I117&lt;=0.65,_xlfn.XLOOKUP(_xlfn.XLOOKUP(Animals!B117,'Base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stats'!O:O)=2,0.2,AN117) + 24*(1-IF(BD117="No",0,BD117)) + 16/3, 12),"No")</f>
        <v>No</v>
      </c>
      <c r="BF117" s="2">
        <f>IF(AND(_xlfn.XLOOKUP(_xlfn.XLOOKUP(B117,'Base stats'!B:B,'Base stats'!E:E),Groups!A:A,Groups!AQ:AQ)=1,AN117&lt;=0.35),8,12)</f>
        <v>12</v>
      </c>
      <c r="BG117" s="2" t="str">
        <f>IF(_xlfn.XLOOKUP(_xlfn.XLOOKUP(B117,'Base stats'!B:B,'Base stats'!E:E),Groups!A:A,Groups!D:D)=0,_xlfn.XLOOKUP(_xlfn.XLOOKUP(B117,'Base stats'!B:B,'Base stats'!E:E),Groups!A:A,Groups!AR:AR),"None")</f>
        <v>None</v>
      </c>
      <c r="BH117" s="2" t="str">
        <f>IF(AND(_xlfn.XLOOKUP(_xlfn.XLOOKUP(B117,'Base stats'!B:B,'Base stats'!E:E),Groups!A:A,Groups!AS:AS)=1,OR('Base stats'!Y117="Carnivore",'Base stats'!Y117="Omnivore")),"true","false")</f>
        <v>false</v>
      </c>
      <c r="BI117" s="2" t="str">
        <f>IF(BH117="true",MROUND(IF(AND(AN117&gt;0.5,_xlfn.XLOOKUP(_xlfn.XLOOKUP(B117,'Base stats'!B:B,'Base stats'!E:E),Groups!A:A,Groups!AJ:AJ)="Mammal"),Animals!AN117*1.75*IF(AV117="true",1.5,1),Animals!AN117),IF(AN117&gt;2,0.5,IF(AN117&gt;0.5,0.25,0.1))),"No")</f>
        <v>No</v>
      </c>
      <c r="BJ117" s="2">
        <f t="shared" si="10"/>
        <v>0</v>
      </c>
      <c r="BK117" s="25" t="str">
        <f>IF('Base stats'!AK117="Standard","No",MROUND((_xlfn.XLOOKUP(B117,'Base stats'!B:B,'Base stats'!AK:AK)/3.6)/H117,0.1))</f>
        <v>No</v>
      </c>
      <c r="BL117" s="25" t="str">
        <f t="shared" si="11"/>
        <v>false</v>
      </c>
      <c r="BM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N117" s="25" t="str" cm="1">
        <f t="array" ref="BN117">IF(
  _xlfn.TEXTJOIN(", ",TRUE,
    IF(AND(BH117="true",AN117&gt;0.5,BG117&lt;&gt;"None"),"AttackTarget",""),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IF(BE117&lt;=36,"Comfort",""),
    IF(_xlfn.XLOOKUP(B117,'Base stats'!B:B,'Base stats'!AC:AC)&lt;&gt;"No",_xlfn.XLOOKUP(B117,'Base stats'!B:B,'Base stats'!AC:AC),"")
  ) = "",
  "No",
  _xlfn.TEXTJOIN(", ",TRUE,
    IF(AND(BH117="true",AN117&gt;0.5,BG117&lt;&gt;"None"),"AttackTarget",""),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IF(BE117&lt;=36,"Comfort",""),
    IF(_xlfn.XLOOKUP(B117,'Base stats'!B:B,'Base stats'!AC:AC)&lt;&gt;"No",_xlfn.XLOOKUP(B117,'Base stats'!B:B,'Base stats'!AC:AC),"")
  )
)</f>
        <v>No</v>
      </c>
      <c r="BO117" s="25" t="str">
        <f>IF(
   AND(
      'Base stats'!AK117="Standard",_xlfn.XLOOKUP(_xlfn.XLOOKUP(B117,'Base stats'!B:B,'Base stats'!E:E),Groups!A:A,Groups!AU:AU)=0,
      OR(
      BM117="True"
      )
   ),
   10,
   IF(
       OR(BK117&lt;&gt;"No",_xlfn.XLOOKUP(_xlfn.XLOOKUP(B117,'Base stats'!B:B,'Base stats'!E:E),Groups!A:A,Groups!AU:AU)=1),
      1,
      "No"
   )
)</f>
        <v>No</v>
      </c>
      <c r="BP117" s="9">
        <f>MROUND((1 + ((0.2*IF(OR(P117="No",Q117="No",Q117=0),0,P117/Q117)
+IF(OR(U117="No",R117="No",S117="No"),0,R117/S117*(LEN(U117)-LEN(SUBSTITUTE(U117,",",""))+1))
+IF(OR(W117="No",X117="No"),0,W117/X117)
+IF(OR(AC117="No",AD117="No"),0,AC117/AD117)
+IF(OR(AK117="No",AH117="No",AI117="No"),0,AH117/AI117*(LEN(AK117)-LEN(SUBSTITUTE(AK117,",",""))+1))
)/(0.2*IF(OR(P117="No",Q117="No",Q117=0),0,1)
+IF(OR(U117="No",R117="No",S117="No"),0,LEN(U117)-LEN(SUBSTITUTE(U117,",",""))+1)
+IF(OR(W117="No",X117="No"),0,1)
+IF(OR(AC117="No",AD117="No"),0,1)
+IF(OR(AK117="No",AH117="No",AI117="No"),0,LEN(AK117)-LEN(SUBSTITUTE(AK117,",",""))+1))*62%)* 2)*(1 + (AO117 + _xlfn.XLOOKUP(B117,'Base stats'!B:B,'Base stats'!AS:AS) * 1.8) * 2) * 2.5 + 10 + H117 * 2,5)+IF(_xlfn.XLOOKUP(B117,'Base stats'!B:B,'Base stats'!AH:AH)=1,50,0)</f>
        <v>40</v>
      </c>
      <c r="BQ117" s="8">
        <f t="shared" si="12"/>
        <v>0.35000000000000003</v>
      </c>
      <c r="BR117" s="8" t="str">
        <f>_xlfn.XLOOKUP(B117,'Base stats'!B:B,'Base stats'!AD:AD)</f>
        <v>No</v>
      </c>
      <c r="BS117" s="2" t="str">
        <f>IF(AND(I117&lt;=0.95,OR(_xlfn.XLOOKUP(B117,'Base stats'!B:B,'Base stats'!AH:AH)=1,_xlfn.XLOOKUP(B117,'Base stats'!B:B,'Base stats'!Y:Y)="Carnivore",_xlfn.XLOOKUP(B117,'Base stats'!B:B,'Base stats'!Y:Y)="Omnivore",BC117&gt;0.1)),"true","false")</f>
        <v>false</v>
      </c>
      <c r="BT117" s="2" t="str">
        <f>IF(_xlfn.XLOOKUP(B117,'Base stats'!B:B,'Base stats'!AF:AF)=1,"true","false")</f>
        <v>false</v>
      </c>
      <c r="BU117" s="25" t="str">
        <f>IF(E117="BaseInsect","AnimalInsect",
IF(I117&gt;0.95,"AnimalExotic",
_xlfn.TEXTJOIN(", ",TRUE,
IF(AND(_xlfn.XLOOKUP(B117,'Base stats'!B:B,'Base stats'!O:O)=0,_xlfn.XLOOKUP(_xlfn.XLOOKUP(B117,'Base stats'!B:B,'Base stats'!E:E),Groups!A:A,Groups!B:B)&gt;0),"AnimalUncommon","AnimalCommon"),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stats'!AH:AH)=1,AND(BG117&lt;&gt;"None",BP117&gt;=60),ISNUMBER(SEARCH("Attack target",BN117))),"AnimalFighter","")
)))</f>
        <v>AnimalUncommon</v>
      </c>
      <c r="BV117" s="25" t="str">
        <f>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</f>
        <v>AridShrubland TropicalRainforest TropicalSwamp Grasslands Glowforest LavaField</v>
      </c>
      <c r="BW117" s="25" t="str">
        <f>IF(_xlfn.XLOOKUP(B117,'Base stats'!B:B,'Base stats'!AG:AG)=1,"true","false")</f>
        <v>false</v>
      </c>
      <c r="BX117" s="25">
        <f>IF(_xlfn.XLOOKUP(B117,'Base stats'!B:B,'Base stats'!N:N)=1,"No",MIN(MROUND(IF(OR(_xlfn.XLOOKUP(B117,'Base stats'!B:B,'Base stats'!AJ:AJ)=1,AND(BH117="True",CA117="False")),POWER(10,3.47*LOG10(_xlfn.XLOOKUP(B117,'Base stats'!B:B,'Base stats'!C:C)*1000)^-0.96),POWER(10,4.15*LOG10(_xlfn.XLOOKUP(B117,'Base stats'!B:B,'Base stats'!C:C)*1000)^-0.73))*IF(OR(_xlfn.XLOOKUP(B117,'Base stats'!B:B,'Base stats'!AJ:AJ)=1,_xlfn.XLOOKUP(B117,'Base stats'!B:B,'Base stats'!AH:AH)=1),0.5,1)/100,0.025),1))</f>
        <v>0.32500000000000001</v>
      </c>
      <c r="BY117" s="25" t="str">
        <f>IF(O117="Standard","No",IF(_xlfn.XLOOKUP(B117,'Base stats'!B:B,'Base stats'!N:N)=0,MROUND(BX117*O117,0.05),MIN(1,MAX(0.025,MROUND(IF(OR(CA117="true",AND(BH117="false",BM117="false")),POWER(10,4.15*LOG10(_xlfn.XLOOKUP(B117,'Base stats'!B:B,'Base stats'!C:C)*1000)^-0.73),POWER(10,3.47*LOG10(_xlfn.XLOOKUP(B117,'Base stats'!B:B,'Base stats'!C:C)*1000)^-0.96))*IF(_xlfn.XLOOKUP(B117,'Base stats'!B:B,'Base stats'!AH:AH)=1,0.5,1)/100,0.025)))))</f>
        <v>No</v>
      </c>
      <c r="BZ117" s="25" t="str">
        <f>IF(_xlfn.XLOOKUP(_xlfn.XLOOKUP(B117,'Base stats'!B:B,'Base stats'!E:E),Groups!A:A,Groups!AJ:AJ)="Mammal","True","False")</f>
        <v>True</v>
      </c>
      <c r="CA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B117" s="25" t="str">
        <f t="shared" si="13"/>
        <v>False</v>
      </c>
      <c r="CC117" s="25" t="str">
        <f>IF(_xlfn.XLOOKUP(_xlfn.XLOOKUP(B117,'Base stats'!B:B,'Base stats'!E:E),Groups!A:A,Groups!AW:AW),"True","False")</f>
        <v>False</v>
      </c>
      <c r="CD117" s="25" t="str">
        <f>IF(_xlfn.XLOOKUP(_xlfn.XLOOKUP(B117,'Base stats'!B:B,'Base stats'!E:E),Groups!A:A,Groups!AX:AX),"True","False")</f>
        <v>False</v>
      </c>
      <c r="CE117" s="25" t="str">
        <f>IF(_xlfn.XLOOKUP(B117,'Base stats'!B:B,'Base stats'!E:E)=1,"True","False")</f>
        <v>False</v>
      </c>
      <c r="CF117" s="25" t="str">
        <f>IF(
OR(
_xlfn.XLOOKUP(_xlfn.XLOOKUP(B117,'Base stats'!B:B,'Base stats'!E:E),Groups!A:A,Groups!AY:AY)=0,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stats'!E:E),Groups!A:A,Groups!AY:AY)=1,
"Flesh",
IF(
_xlfn.XLOOKUP(_xlfn.XLOOKUP(B117,'Base stats'!B:B,'Base stats'!E:E),Groups!A:A,Groups!AY:AY)=2,
"Bone",
""
)
)
)</f>
        <v>No</v>
      </c>
      <c r="CG117" s="25" t="str">
        <f>IF(_xlfn.XLOOKUP(_xlfn.XLOOKUP(B117,'Base stats'!B:B,'Base stats'!E:E),Groups!A:A,Groups!BA:BA),"True","False")</f>
        <v>True</v>
      </c>
      <c r="CH117" s="25" t="str">
        <f>IF(_xlfn.XLOOKUP(_xlfn.XLOOKUP(B117,'Base stats'!B:B,'Base stats'!E:E),Groups!A:A,Groups!AZ:AZ),"True","False")</f>
        <v>False</v>
      </c>
    </row>
    <row r="118" spans="1:86" ht="16.5" thickTop="1" thickBot="1" x14ac:dyDescent="0.3">
      <c r="A118" s="26" t="str">
        <f>_xlfn.XLOOKUP(B118,'Base stats'!B:B,'Base stats'!A:A)</f>
        <v>Platypus</v>
      </c>
      <c r="B118" s="6" t="s">
        <v>476</v>
      </c>
      <c r="C118" s="28" t="s">
        <v>811</v>
      </c>
      <c r="D118" s="28" t="s">
        <v>884</v>
      </c>
      <c r="E118" s="28" t="s">
        <v>685</v>
      </c>
      <c r="F118" s="28" t="s">
        <v>685</v>
      </c>
      <c r="G118" s="2">
        <f>MROUND((
  (IF(AND(_xlfn.XLOOKUP(B118,'Base stats'!B:B,'Base stats'!AI:AI)=0,BG118="None",_xlfn.XLOOKUP('Base stats'!E118,Groups!A:A,Groups!B:B)=0), (18 + BP118 * 2.7) * 0.5,
    IF(AND(_xlfn.XLOOKUP(B118,'Base stats'!B:B,'Base stats'!AI:AI)=0,OR(AN118&lt;0.55,AND(BG118="Intermediate",_xlfn.XLOOKUP('Base stats'!E118,Groups!A:A,Groups!B:B)&lt;2))), (18 + BP118 * 2.7),
      IF(OR(BG118="Advanced",_xlfn.XLOOKUP(B118,'Base stats'!B:B,'Base stats'!AI:AI)=1,_xlfn.XLOOKUP('Base stats'!E118,Groups!A:A,Groups!B:B)=2), (18 + BP118 * 2.7) + 250, (18 + BP118 * 2.7))
    )
  ))
  + AN118 * 80
  + IF(COUNTIF(EggMilk!K$2:K$998, A118) &gt; 0, 125, 0)
  + IF(COUNTIF(EggMilk!P$2:P$998, A118) &gt; 0, 90, 0)
  + IF(COUNTIF(EggMilk!A$2:A$998, A118) &gt; 0, 90, 0)
)
* (0.8 + 0.4 * I118)
* 0.75,25)</f>
        <v>150</v>
      </c>
      <c r="H118" s="2">
        <f>MROUND(ROUNDDOWN(_xlfn.XLOOKUP(B118,'Base stats'!B:B,'Base stats'!L:L)/3.6/(23.3/11),1),0.5)</f>
        <v>1.5</v>
      </c>
      <c r="I118" s="2">
        <f>IF(_xlfn.XLOOKUP(B118,'Base stats'!B:B,'Base stats'!AI:AI)=1,0.99,MIN(MROUND((1-0.6282*EXP(-0.459*AN118))*_xlfn.XLOOKUP(_xlfn.XLOOKUP(B118,'Base stats'!B:B,'Base stats'!E:E),Groups!A:A,Groups!C:C)*IF(_xlfn.XLOOKUP(B118,'Base stats'!B:B,'Base stats'!O:O)=1,0.5,IF(_xlfn.XLOOKUP(B118,'Base stats'!B:B,'Base stats'!O:O)=2,0,1)),0.05),0.985))</f>
        <v>0.60000000000000009</v>
      </c>
      <c r="J118" s="2">
        <f>ROUNDUP(AN118*_xlfn.XLOOKUP(_xlfn.XLOOKUP(B118,'Base stats'!B:B,'Base stats'!E:E),Groups!A:A,Groups!E:E),0)</f>
        <v>1</v>
      </c>
      <c r="K118" s="2">
        <f>IF(OR(_xlfn.XLOOKUP(_xlfn.XLOOKUP(B118,'Base stats'!B:B,'Base stats'!E:E),Groups!A:A,Groups!F:F)=2,ISNUMBER(SEARCH("SeaIce",BV118)),ISNUMBER(SEARCH("IceSheet",BV118))),-50,IF(OR(ISNUMBER(SEARCH("GlacialPlain",BV118)),ISNUMBER(SEARCH("Tundra",BV118))),-40,IF(OR(ISNUMBER(SEARCH("Alpine",BV118)),ISNUMBER(SEARCH("BorealForest",BV118)),ISNUMBER(SEARCH("ColdBog",BV118))),-30,IF(OR(ISNUMBER(SEARCH("TemperateForest",BV118)),ISNUMBER(SEARCH("TemperateSwamp",BV118))),-20,IF(_xlfn.XLOOKUP(_xlfn.XLOOKUP(B118,'Base stats'!B:B,'Base stats'!E:E),Groups!A:A,Groups!F:F)=1,-15,IF(OR(ISNUMBER(SEARCH("Desert",BV118)),ISNUMBER(SEARCH("ExtremeDesert",BV118))),-10,IF(OR(ISNUMBER(SEARCH("Grasslands",BV118)),ISNUMBER(SEARCH("TropicalRainforest",BV118)),ISNUMBER(SEARCH("TropicalSwamp",BV118))),10,0)))))))-IF(CA118="False",MIN(IFERROR(MAX(MROUND(LOG10(_xlfn.XLOOKUP(B118,'Base stats'!B:B,'Base stats'!C:C)^(2/3))*10,5),5),5),30))-_xlfn.XLOOKUP(B118,'Base stats'!B:B,'Base stats'!P:P)+IF(CA118="True",5,0)</f>
        <v>-25</v>
      </c>
      <c r="L118" s="2">
        <f>IF(OR(_xlfn.XLOOKUP(_xlfn.XLOOKUP(B118,'Base stats'!B:B,'Base stats'!E:E),Groups!A:A,Groups!G:G)=2,ISNUMBER(SEARCH("Desert",BV118)),ISNUMBER(SEARCH("ExtremeDesert",BV118)),ISNUMBER(SEARCH("LavaField",BV118))),50,IF(ISNUMBER(SEARCH("Grasslands",BV118)),45,IF(OR(_xlfn.XLOOKUP(_xlfn.XLOOKUP(B118,'Base stats'!B:B,'Base stats'!E:E),Groups!A:A,Groups!G:G)=1,ISNUMBER(SEARCH("TropicalRainforest",BV118)),ISNUMBER(SEARCH("TropicalSwamp",BV118))),40,IF(OR(ISNUMBER(SEARCH("TemperateForest",BV118)),ISNUMBER(SEARCH("TemperateSwamp",BV118))),35,IF(OR(ISNUMBER(SEARCH("Alpine",BV118)),ISNUMBER(SEARCH("BorealForest",BV118)),ISNUMBER(SEARCH("ColdBog",BV118))),30,IF(ISNUMBER(OR(ISNUMBER(SEARCH("GlacialPlain",BV118)),SEARCH("Tundra",BV118))),25,IF(OR(ISNUMBER(SEARCH("SeaIce",BV118)),ISNUMBER(SEARCH("IceSheet",BV118)),ISNUMBER(SEARCH("TropicalSwamp",BV118))),10,35)))))))+_xlfn.XLOOKUP(B118,'Base stats'!B:B,'Base stats'!Q:Q)</f>
        <v>35</v>
      </c>
      <c r="M118" s="8" t="str">
        <f>IF(_xlfn.XLOOKUP(_xlfn.XLOOKUP(B118,'Base stats'!B:B,'Base stats'!E:E),Groups!A:A,Groups!L:L)=1,MIN(MROUND(_xlfn.XLOOKUP(B118,'Animals CE'!B:B,'Animals CE'!Z:Z)/2+0.05,0.05),200%),"No")</f>
        <v>No</v>
      </c>
      <c r="N118" s="8" t="str">
        <f>IF(_xlfn.XLOOKUP(_xlfn.XLOOKUP(B118,'Base stats'!B:B,'Base stats'!E:E),Groups!A:A,Groups!L:L)=1,MIN(MROUND(_xlfn.XLOOKUP(B118,'Animals CE'!B:B,'Animals CE'!AA:AA)/2+0.05,0.05),200%),"No")</f>
        <v>No</v>
      </c>
      <c r="O118" s="2" t="str">
        <f>_xlfn.XLOOKUP(B118,'Base stats'!B:B,'Base stats'!R:R)</f>
        <v>Standard</v>
      </c>
      <c r="P118" s="13">
        <f>MROUND((LOG10(_xlfn.XLOOKUP(B118,'Base stats'!B:B,'Base stats'!AO:AO))*(AN118^0.5)+(_xlfn.XLOOKUP(B118,'Base stats'!B:B,'Base stats'!AO:AO)/1000)^(2/3)+_xlfn.XLOOKUP(B118,'Base stats'!B:B,'Base stats'!AX:AX)/2)+0.5,0.5)</f>
        <v>1.5</v>
      </c>
      <c r="Q118" s="7">
        <f>IF(P118="No","No",MAX(1,MROUND(_xlfn.XLOOKUP(B118,'Base stats'!B:B,'Base stats'!C:C)^0.165,0.05)))</f>
        <v>1.05</v>
      </c>
      <c r="R118" s="13">
        <f>IF(_xlfn.XLOOKUP(_xlfn.XLOOKUP(B118,'Base stats'!B:B,'Base stats'!E:E),Groups!A:A,Groups!P:P)=0,"No",MROUND((LOG10(_xlfn.XLOOKUP(B118,'Base stats'!B:B,'Base stats'!AP:AP))*(AN118^0.5)+(_xlfn.XLOOKUP(B118,'Base stats'!B:B,'Base stats'!AP:AP)/1000)^(2/3)+_xlfn.XLOOKUP(B118,'Base stats'!B:B,'Base stats'!AX:AX))+_xlfn.XLOOKUP(B118,'Base stats'!B:B,'Base stats'!AV:AV)+0.5,0.5))</f>
        <v>3</v>
      </c>
      <c r="S118" s="7">
        <f>IF(R118="No","No",MAX(_xlfn.XLOOKUP(_xlfn.XLOOKUP(B118,'Base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T118" s="7" t="str">
        <f>IF(R118="No","No",_xlfn.XLOOKUP(_xlfn.XLOOKUP(B118,'Base stats'!B:B,'Base stats'!E:E),Groups!A:A,Groups!R:R))</f>
        <v>RearLeftSpur, RearRightSpur</v>
      </c>
      <c r="U118" s="7" t="str">
        <f>IF(R118="No","No",_xlfn.XLOOKUP(_xlfn.XLOOKUP(B118,'Base stats'!B:B,'Base stats'!E:E),Groups!A:A,Groups!S:S))</f>
        <v>left spur, right spur</v>
      </c>
      <c r="V118" s="7" t="str">
        <f>IF(R118="No","No",_xlfn.XLOOKUP(_xlfn.XLOOKUP(B118,'Base stats'!B:B,'Base stats'!E:E),Groups!A:A,Groups!T:T))</f>
        <v>ScratchToxic</v>
      </c>
      <c r="W118" s="13" t="str">
        <f>IF(_xlfn.XLOOKUP(B118,'Base stats'!B:B,'Base stats'!W:W)="No","No",MROUND((LOG10(_xlfn.XLOOKUP(B118,'Base stats'!B:B,'Base stats'!AR:AR))*(AN118^0.5)+(_xlfn.XLOOKUP(B118,'Base stats'!B:B,'Base stats'!AR:AR)/1000)^(2/3)+_xlfn.XLOOKUP(B118,'Base stats'!B:B,'Base stats'!AW:AW))+0.5+IF(_xlfn.XLOOKUP(_xlfn.XLOOKUP(B118,'Base stats'!B:B,'Base stats'!E:E),Groups!A:A,Groups!U:U)&lt;&gt;3,_xlfn.XLOOKUP(B118,'Base stats'!B:B,'Base stats'!AX:AX),0),0.5))</f>
        <v>No</v>
      </c>
      <c r="X118" s="7" t="str">
        <f>IF(W118="No","No",MAX(_xlfn.XLOOKUP(_xlfn.XLOOKUP(B118,'Base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Y118" s="7" t="str">
        <f>IF(W118="No","No",_xlfn.XLOOKUP(_xlfn.XLOOKUP(B118,'Base stats'!B:B,'Base stats'!E:E),Groups!A:A,Groups!W:W))</f>
        <v>No</v>
      </c>
      <c r="Z118" s="7" t="str">
        <f>IF(W118="No","No",_xlfn.XLOOKUP(_xlfn.XLOOKUP(B118,'Base stats'!B:B,'Base stats'!E:E),Groups!A:A,Groups!X:X))</f>
        <v>No</v>
      </c>
      <c r="AA118" s="7" t="str">
        <f>IF(W118="No","No",_xlfn.XLOOKUP(_xlfn.XLOOKUP(B118,'Base stats'!B:B,'Base stats'!E:E),Groups!A:A,Groups!Y:Y))</f>
        <v>No</v>
      </c>
      <c r="AB118" s="7" t="str">
        <f>_xlfn.XLOOKUP(Animals!B118,'Base stats'!B:B,'Base stats'!X:X)</f>
        <v>False</v>
      </c>
      <c r="AC118" s="13">
        <f>IF(_xlfn.XLOOKUP(B118,'Base stats'!B:B,'Base stats'!AQ:AQ)="No","No",MROUND((LOG10(_xlfn.XLOOKUP(B118,'Base stats'!B:B,'Base stats'!AQ:AQ))*(AN118^0.75)+(_xlfn.XLOOKUP(B118,'Base stats'!B:B,'Base stats'!AQ:AQ)/1000)^(2/3)+_xlfn.XLOOKUP(B118,'Base stats'!B:B,'Base stats'!AU:AU)+_xlfn.XLOOKUP(B118,'Base stats'!B:B,'Base stats'!AX:AX))+0.5,0.5))</f>
        <v>2</v>
      </c>
      <c r="AD118" s="7">
        <f>IF(AC118="No","No",MAX(_xlfn.XLOOKUP(_xlfn.XLOOKUP(B118,'Base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E118" s="7" t="str">
        <f>IF(AC118="No","No",_xlfn.XLOOKUP(_xlfn.XLOOKUP(B118,'Base stats'!B:B,'Base stats'!E:E),Groups!A:A,Groups!AA:AA))</f>
        <v>Teeth</v>
      </c>
      <c r="AF118" s="7" t="str">
        <f>IF(AC118="No","No",_xlfn.XLOOKUP(_xlfn.XLOOKUP(B118,'Base stats'!B:B,'Base stats'!E:E),Groups!A:A,Groups!AB:AB))</f>
        <v>beak</v>
      </c>
      <c r="AG118" s="7" t="str">
        <f>IF(AC118="No","No",_xlfn.XLOOKUP(_xlfn.XLOOKUP(B118,'Base stats'!B:B,'Base stats'!E:E),Groups!A:A,Groups!AC:AC))</f>
        <v>Bite</v>
      </c>
      <c r="AH118" s="13" t="str">
        <f>IF(_xlfn.XLOOKUP(_xlfn.XLOOKUP(B118,'Base stats'!B:B,'Base stats'!E:E),Groups!A:A,Groups!AD:AD)=0,"No",MROUND((LOG10(_xlfn.XLOOKUP(B118,'Base stats'!B:B,'Base stats'!AP:AP))*(AN118^0.75)+(_xlfn.XLOOKUP(B118,'Base stats'!B:B,'Base stats'!AP:AP)/1000)^(2/3)+_xlfn.XLOOKUP(B118,'Base stats'!B:B,'Base stats'!AV:AV)+_xlfn.XLOOKUP(B118,'Base stats'!B:B,'Base stats'!AX:AX))+0.5,0.5))</f>
        <v>No</v>
      </c>
      <c r="AI118" s="7" t="str">
        <f>IF(AH118="No","No",MAX(_xlfn.XLOOKUP(_xlfn.XLOOKUP(B118,'Base stats'!B:B,'Base stats'!E:E),Groups!A:A,Groups!AE:AE),MROUND(_xlfn.XLOOKUP(_xlfn.XLOOKUP(B118,'Base stats'!B:B,'Base stats'!E:E),Groups!A:A,Groups!AE:AE)*_xlfn.XLOOKUP(B118,'Base stats'!B:B,'Base stats'!C:C)^0.165,0.05)))</f>
        <v>No</v>
      </c>
      <c r="AJ118" s="7" t="str">
        <f>IF(AH118="No","No",_xlfn.XLOOKUP(_xlfn.XLOOKUP(B118,'Base stats'!B:B,'Base stats'!E:E),Groups!A:A,Groups!AF:AF))</f>
        <v>No</v>
      </c>
      <c r="AK118" s="7" t="str">
        <f>IF(AH118="No","No",_xlfn.XLOOKUP(_xlfn.XLOOKUP(B118,'Base stats'!B:B,'Base stats'!E:E),Groups!A:A,Groups!AG:AG))</f>
        <v>No</v>
      </c>
      <c r="AL118" s="7" t="str">
        <f>IF(AH118="No","No",_xlfn.XLOOKUP(_xlfn.XLOOKUP(B118,'Base stats'!B:B,'Base stats'!E:E),Groups!A:A,Groups!AH:AH))</f>
        <v>No</v>
      </c>
      <c r="AM118" s="2" t="str">
        <f t="shared" si="7"/>
        <v>No</v>
      </c>
      <c r="AN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O118" s="8">
        <f>MROUND(AN118*_xlfn.XLOOKUP(_xlfn.XLOOKUP(B118,'Base stats'!B:B,'Base stats'!E:E),Groups!A:A,Groups!AI:AI),0.05)</f>
        <v>0.15000000000000002</v>
      </c>
      <c r="AP118" s="8">
        <f>MAX(0.01,MROUND(IF(CA118="True",0.196*(AN118*100*1000)^0.889,IF(_xlfn.XLOOKUP(_xlfn.XLOOKUP(B118,'Base stats'!B:B,'Base stats'!E:E),Groups!A:A,Groups!AJ:AJ)="Bird",10.5*(AN118*100*1000)^0.681,4.82*(AN118*100*1000)^0.734))/(4.82*(1*100*1000)^0.734)/IF(AN118&lt;3.5,2,IF(AN118=3.5,1.5,1.25))*(1+0.132282374779864/(AN118^0.994035016789033+0.00905238001496948)),0.05))</f>
        <v>0.25</v>
      </c>
      <c r="AQ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R118" s="35" t="str">
        <f>IFERROR(IF(_xlfn.XLOOKUP(B118,'Base stats'!B:B,'Base stats'!F:F)="Lay eggs","Lay eggs",MIN(20,MAX(5.5,ROUND(((_xlfn.XLOOKUP(B118,'Base stats'!B:B,'Base stats'!F:F)-25)*(14.5/615) + 5.5)*2,0)/2))),"Cannot breed")</f>
        <v>Lay eggs</v>
      </c>
      <c r="AS118" s="8">
        <f>IF(OR(A118="Queen",A118="Larva",A118="Megachicken"),"No",IFERROR(MAX(IF(_xlfn.XLOOKUP(B118,'Base stats'!B:B,'Base stats'!G:G)&lt;0.5,0.2,0.3),MROUND(_xlfn.XLOOKUP(B118,'Base stats'!B:B,'Base stats'!G:G)/(365/60),0.2)),"Unknown"))</f>
        <v>0.3</v>
      </c>
      <c r="AT118" s="8">
        <f t="shared" si="8"/>
        <v>0.15000000000000002</v>
      </c>
      <c r="AU118" s="8" t="str">
        <f>IFERROR(IFERROR(MROUND(_xlfn.XLOOKUP(B118,'Base stats'!B:B,'Base stats'!J:J),0.1),"Lay eggs"),"Cannot breed")</f>
        <v>Lay eggs</v>
      </c>
      <c r="AV118" s="2" t="str">
        <f t="shared" si="9"/>
        <v>false</v>
      </c>
      <c r="AW118" s="2" t="str">
        <f>IF(_xlfn.XLOOKUP(_xlfn.XLOOKUP(Animals!B118,'Base stats'!B:B,'Base stats'!E:E),Groups!A:A,Groups!AK:AK)=1,"true","false")</f>
        <v>false</v>
      </c>
      <c r="AX118" s="25" t="str">
        <f>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</f>
        <v>CarnivoreAnimal, OvivoreAnimal</v>
      </c>
      <c r="AY118" s="2" t="str">
        <f>IF(_xlfn.XLOOKUP(_xlfn.XLOOKUP(B118,'Base stats'!B:B,'Base stats'!E:E),Groups!A:A,Groups!D:D)=1,MROUND((1-I118)*5+1,2)*IF(I118&lt;=0.4,2,1),"No")</f>
        <v>No</v>
      </c>
      <c r="AZ118" s="2" t="str">
        <f>_xlfn.XLOOKUP(B118,'Base stats'!B:B,'Base stats'!AE:AE)</f>
        <v>Leather_Light</v>
      </c>
      <c r="BA118" s="23" t="str">
        <f>_xlfn.XLOOKUP(_xlfn.XLOOKUP(B118,'Base stats'!B:B,'Base stats'!E:E),Groups!A:A,Groups!AL:AL)</f>
        <v>QuadrupedAnimalWithPawsAndTailAndSpur</v>
      </c>
      <c r="BB118" s="23">
        <f>MROUND(IF(AND(AN118&lt;0.5,_xlfn.XLOOKUP(B118,'Base stats'!B:B,'Base stats'!Z:Z)=0),0,IF(OR(_xlfn.XLOOKUP(Animals!B118,'Base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stats'!AA:AA),0.005)</f>
        <v>0</v>
      </c>
      <c r="BC118" s="23">
        <f>MROUND(IF(AND(AN118&lt;0.5,_xlfn.XLOOKUP(B118,'Base stats'!B:B,'Base stats'!Z:Z)=0),0,IF(_xlfn.XLOOKUP(_xlfn.XLOOKUP(B118,'Base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stats'!AB:AB),0.005)</f>
        <v>0</v>
      </c>
      <c r="BD118" s="2" t="str">
        <f>IF(I118&gt;0.3,"No",_xlfn.XLOOKUP(_xlfn.XLOOKUP(Animals!B118,'Base stats'!B:B,'Base stats'!E:E),Groups!A:A,Groups!AP:AP))</f>
        <v>No</v>
      </c>
      <c r="BE118" s="2" t="str">
        <f>IF(AND(I118&lt;=0.65,_xlfn.XLOOKUP(_xlfn.XLOOKUP(Animals!B118,'Base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stats'!O:O)=2,0.2,AN118) + 24*(1-IF(BD118="No",0,BD118)) + 16/3, 12),"No")</f>
        <v>No</v>
      </c>
      <c r="BF118" s="2">
        <f>IF(AND(_xlfn.XLOOKUP(_xlfn.XLOOKUP(B118,'Base stats'!B:B,'Base stats'!E:E),Groups!A:A,Groups!AQ:AQ)=1,AN118&lt;=0.35),8,12)</f>
        <v>12</v>
      </c>
      <c r="BG118" s="2" t="str">
        <f>IF(_xlfn.XLOOKUP(_xlfn.XLOOKUP(B118,'Base stats'!B:B,'Base stats'!E:E),Groups!A:A,Groups!D:D)=0,_xlfn.XLOOKUP(_xlfn.XLOOKUP(B118,'Base stats'!B:B,'Base stats'!E:E),Groups!A:A,Groups!AR:AR),"None")</f>
        <v>None</v>
      </c>
      <c r="BH118" s="2" t="str">
        <f>IF(AND(_xlfn.XLOOKUP(_xlfn.XLOOKUP(B118,'Base stats'!B:B,'Base stats'!E:E),Groups!A:A,Groups!AS:AS)=1,OR('Base stats'!Y118="Carnivore",'Base stats'!Y118="Omnivore")),"true","false")</f>
        <v>false</v>
      </c>
      <c r="BI118" s="2" t="str">
        <f>IF(BH118="true",MROUND(IF(AND(AN118&gt;0.5,_xlfn.XLOOKUP(_xlfn.XLOOKUP(B118,'Base stats'!B:B,'Base stats'!E:E),Groups!A:A,Groups!AJ:AJ)="Mammal"),Animals!AN118*1.75*IF(AV118="true",1.5,1),Animals!AN118),IF(AN118&gt;2,0.5,IF(AN118&gt;0.5,0.25,0.1))),"No")</f>
        <v>No</v>
      </c>
      <c r="BJ118" s="2">
        <f t="shared" si="10"/>
        <v>0</v>
      </c>
      <c r="BK118" s="25">
        <f>IF('Base stats'!AK118="Standard","No",MROUND((_xlfn.XLOOKUP(B118,'Base stats'!B:B,'Base stats'!AK:AK)/3.6)/H118,0.1))</f>
        <v>1.4000000000000001</v>
      </c>
      <c r="BL118" s="25" t="str">
        <f t="shared" si="11"/>
        <v>true</v>
      </c>
      <c r="BM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N118" s="25" t="str" cm="1">
        <f t="array" ref="BN118">IF(
  _xlfn.TEXTJOIN(", ",TRUE,
    IF(AND(BH118="true",AN118&gt;0.5,BG118&lt;&gt;"None"),"AttackTarget",""),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IF(BE118&lt;=36,"Comfort",""),
    IF(_xlfn.XLOOKUP(B118,'Base stats'!B:B,'Base stats'!AC:AC)&lt;&gt;"No",_xlfn.XLOOKUP(B118,'Base stats'!B:B,'Base stats'!AC:AC),"")
  ) = "",
  "No",
  _xlfn.TEXTJOIN(", ",TRUE,
    IF(AND(BH118="true",AN118&gt;0.5,BG118&lt;&gt;"None"),"AttackTarget",""),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IF(BE118&lt;=36,"Comfort",""),
    IF(_xlfn.XLOOKUP(B118,'Base stats'!B:B,'Base stats'!AC:AC)&lt;&gt;"No",_xlfn.XLOOKUP(B118,'Base stats'!B:B,'Base stats'!AC:AC),"")
  )
)</f>
        <v>No</v>
      </c>
      <c r="BO118" s="25">
        <f>IF(
   AND(
      'Base stats'!AK118="Standard",_xlfn.XLOOKUP(_xlfn.XLOOKUP(B118,'Base stats'!B:B,'Base stats'!E:E),Groups!A:A,Groups!AU:AU)=0,
      OR(
      BM118="True"
      )
   ),
   10,
   IF(
       OR(BK118&lt;&gt;"No",_xlfn.XLOOKUP(_xlfn.XLOOKUP(B118,'Base stats'!B:B,'Base stats'!E:E),Groups!A:A,Groups!AU:AU)=1),
      1,
      "No"
   )
)</f>
        <v>1</v>
      </c>
      <c r="BP118" s="9">
        <f>MROUND((1 + ((0.2*IF(OR(P118="No",Q118="No",Q118=0),0,P118/Q118)
+IF(OR(U118="No",R118="No",S118="No"),0,R118/S118*(LEN(U118)-LEN(SUBSTITUTE(U118,",",""))+1))
+IF(OR(W118="No",X118="No"),0,W118/X118)
+IF(OR(AC118="No",AD118="No"),0,AC118/AD118)
+IF(OR(AK118="No",AH118="No",AI118="No"),0,AH118/AI118*(LEN(AK118)-LEN(SUBSTITUTE(AK118,",",""))+1))
)/(0.2*IF(OR(P118="No",Q118="No",Q118=0),0,1)
+IF(OR(U118="No",R118="No",S118="No"),0,LEN(U118)-LEN(SUBSTITUTE(U118,",",""))+1)
+IF(OR(W118="No",X118="No"),0,1)
+IF(OR(AC118="No",AD118="No"),0,1)
+IF(OR(AK118="No",AH118="No",AI118="No"),0,LEN(AK118)-LEN(SUBSTITUTE(AK118,",",""))+1))*62%)* 2)*(1 + (AO118 + _xlfn.XLOOKUP(B118,'Base stats'!B:B,'Base stats'!AS:AS) * 1.8) * 2) * 2.5 + 10 + H118 * 2,5)+IF(_xlfn.XLOOKUP(B118,'Base stats'!B:B,'Base stats'!AH:AH)=1,50,0)</f>
        <v>25</v>
      </c>
      <c r="BQ118" s="8">
        <f t="shared" si="12"/>
        <v>0.25</v>
      </c>
      <c r="BR118" s="8" t="str">
        <f>_xlfn.XLOOKUP(B118,'Base stats'!B:B,'Base stats'!AD:AD)</f>
        <v>No</v>
      </c>
      <c r="BS118" s="2" t="str">
        <f>IF(AND(I118&lt;=0.95,OR(_xlfn.XLOOKUP(B118,'Base stats'!B:B,'Base stats'!AH:AH)=1,_xlfn.XLOOKUP(B118,'Base stats'!B:B,'Base stats'!Y:Y)="Carnivore",_xlfn.XLOOKUP(B118,'Base stats'!B:B,'Base stats'!Y:Y)="Omnivore",BC118&gt;0.1)),"true","false")</f>
        <v>true</v>
      </c>
      <c r="BT118" s="2" t="str">
        <f>IF(_xlfn.XLOOKUP(B118,'Base stats'!B:B,'Base stats'!AF:AF)=1,"true","false")</f>
        <v>false</v>
      </c>
      <c r="BU118" s="25" t="str">
        <f>IF(E118="BaseInsect","AnimalInsect",
IF(I118&gt;0.95,"AnimalExotic",
_xlfn.TEXTJOIN(", ",TRUE,
IF(AND(_xlfn.XLOOKUP(B118,'Base stats'!B:B,'Base stats'!O:O)=0,_xlfn.XLOOKUP(_xlfn.XLOOKUP(B118,'Base stats'!B:B,'Base stats'!E:E),Groups!A:A,Groups!B:B)&gt;0),"AnimalUncommon","AnimalCommon"),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stats'!AH:AH)=1,AND(BG118&lt;&gt;"None",BP118&gt;=60),ISNUMBER(SEARCH("Attack target",BN118))),"AnimalFighter","")
)))</f>
        <v>AnimalUncommon</v>
      </c>
      <c r="BV118" s="25" t="str">
        <f>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</f>
        <v>TemperateSwamp</v>
      </c>
      <c r="BW118" s="25" t="str">
        <f>IF(_xlfn.XLOOKUP(B118,'Base stats'!B:B,'Base stats'!AG:AG)=1,"true","false")</f>
        <v>false</v>
      </c>
      <c r="BX118" s="25">
        <f>IF(_xlfn.XLOOKUP(B118,'Base stats'!B:B,'Base stats'!N:N)=1,"No",MIN(MROUND(IF(OR(_xlfn.XLOOKUP(B118,'Base stats'!B:B,'Base stats'!AJ:AJ)=1,AND(BH118="True",CA118="False")),POWER(10,3.47*LOG10(_xlfn.XLOOKUP(B118,'Base stats'!B:B,'Base stats'!C:C)*1000)^-0.96),POWER(10,4.15*LOG10(_xlfn.XLOOKUP(B118,'Base stats'!B:B,'Base stats'!C:C)*1000)^-0.73))*IF(OR(_xlfn.XLOOKUP(B118,'Base stats'!B:B,'Base stats'!AJ:AJ)=1,_xlfn.XLOOKUP(B118,'Base stats'!B:B,'Base stats'!AH:AH)=1),0.5,1)/100,0.025),1))</f>
        <v>0.65</v>
      </c>
      <c r="BY118" s="25" t="str">
        <f>IF(O118="Standard","No",IF(_xlfn.XLOOKUP(B118,'Base stats'!B:B,'Base stats'!N:N)=0,MROUND(BX118*O118,0.05),MIN(1,MAX(0.025,MROUND(IF(OR(CA118="true",AND(BH118="false",BM118="false")),POWER(10,4.15*LOG10(_xlfn.XLOOKUP(B118,'Base stats'!B:B,'Base stats'!C:C)*1000)^-0.73),POWER(10,3.47*LOG10(_xlfn.XLOOKUP(B118,'Base stats'!B:B,'Base stats'!C:C)*1000)^-0.96))*IF(_xlfn.XLOOKUP(B118,'Base stats'!B:B,'Base stats'!AH:AH)=1,0.5,1)/100,0.025)))))</f>
        <v>No</v>
      </c>
      <c r="BZ118" s="25" t="str">
        <f>IF(_xlfn.XLOOKUP(_xlfn.XLOOKUP(B118,'Base stats'!B:B,'Base stats'!E:E),Groups!A:A,Groups!AJ:AJ)="Mammal","True","False")</f>
        <v>False</v>
      </c>
      <c r="CA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B118" s="25" t="str">
        <f t="shared" si="13"/>
        <v>False</v>
      </c>
      <c r="CC118" s="25" t="str">
        <f>IF(_xlfn.XLOOKUP(_xlfn.XLOOKUP(B118,'Base stats'!B:B,'Base stats'!E:E),Groups!A:A,Groups!AW:AW),"True","False")</f>
        <v>False</v>
      </c>
      <c r="CD118" s="25" t="str">
        <f>IF(_xlfn.XLOOKUP(_xlfn.XLOOKUP(B118,'Base stats'!B:B,'Base stats'!E:E),Groups!A:A,Groups!AX:AX),"True","False")</f>
        <v>False</v>
      </c>
      <c r="CE118" s="25" t="str">
        <f>IF(_xlfn.XLOOKUP(B118,'Base stats'!B:B,'Base stats'!E:E)=1,"True","False")</f>
        <v>False</v>
      </c>
      <c r="CF118" s="25" t="str">
        <f>IF(
OR(
_xlfn.XLOOKUP(_xlfn.XLOOKUP(B118,'Base stats'!B:B,'Base stats'!E:E),Groups!A:A,Groups!AY:AY)=0,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stats'!E:E),Groups!A:A,Groups!AY:AY)=1,
"Flesh",
IF(
_xlfn.XLOOKUP(_xlfn.XLOOKUP(B118,'Base stats'!B:B,'Base stats'!E:E),Groups!A:A,Groups!AY:AY)=2,
"Bone",
""
)
)
)</f>
        <v>No</v>
      </c>
      <c r="CG118" s="25" t="str">
        <f>IF(_xlfn.XLOOKUP(_xlfn.XLOOKUP(B118,'Base stats'!B:B,'Base stats'!E:E),Groups!A:A,Groups!BA:BA),"True","False")</f>
        <v>True</v>
      </c>
      <c r="CH118" s="25" t="str">
        <f>IF(_xlfn.XLOOKUP(_xlfn.XLOOKUP(B118,'Base stats'!B:B,'Base stats'!E:E),Groups!A:A,Groups!AZ:AZ),"True","False")</f>
        <v>False</v>
      </c>
    </row>
    <row r="119" spans="1:86" ht="16.5" thickTop="1" thickBot="1" x14ac:dyDescent="0.3">
      <c r="A119" s="26" t="str">
        <f>_xlfn.XLOOKUP(B119,'Base stats'!B:B,'Base stats'!A:A)</f>
        <v>Arctic Coyote</v>
      </c>
      <c r="B119" s="6" t="s">
        <v>925</v>
      </c>
      <c r="C119" s="28" t="s">
        <v>812</v>
      </c>
      <c r="D119" s="28" t="s">
        <v>884</v>
      </c>
      <c r="E119" s="28" t="s">
        <v>685</v>
      </c>
      <c r="F119" s="28" t="s">
        <v>685</v>
      </c>
      <c r="G119" s="2">
        <f>MROUND((
  (IF(AND(_xlfn.XLOOKUP(B119,'Base stats'!B:B,'Base stats'!AI:AI)=0,BG119="None",_xlfn.XLOOKUP('Base stats'!E119,Groups!A:A,Groups!B:B)=0), (18 + BP119 * 2.7) * 0.5,
    IF(AND(_xlfn.XLOOKUP(B119,'Base stats'!B:B,'Base stats'!AI:AI)=0,OR(AN119&lt;0.55,AND(BG119="Intermediate",_xlfn.XLOOKUP('Base stats'!E119,Groups!A:A,Groups!B:B)&lt;2))), (18 + BP119 * 2.7),
      IF(OR(BG119="Advanced",_xlfn.XLOOKUP(B119,'Base stats'!B:B,'Base stats'!AI:AI)=1,_xlfn.XLOOKUP('Base stats'!E119,Groups!A:A,Groups!B:B)=2), (18 + BP119 * 2.7) + 250, (18 + BP119 * 2.7))
    )
  ))
  + AN119 * 80
  + IF(COUNTIF(EggMilk!K$2:K$998, A119) &gt; 0, 125, 0)
  + IF(COUNTIF(EggMilk!P$2:P$998, A119) &gt; 0, 90, 0)
  + IF(COUNTIF(EggMilk!A$2:A$998, A119) &gt; 0, 90, 0)
)
* (0.8 + 0.4 * I119)
* 0.75,25)</f>
        <v>200</v>
      </c>
      <c r="H119" s="2">
        <f>MROUND(ROUNDDOWN(_xlfn.XLOOKUP(B119,'Base stats'!B:B,'Base stats'!L:L)/3.6/(23.3/11),1),0.5)</f>
        <v>8.5</v>
      </c>
      <c r="I119" s="2">
        <f>IF(_xlfn.XLOOKUP(B119,'Base stats'!B:B,'Base stats'!AI:AI)=1,0.99,MIN(MROUND((1-0.6282*EXP(-0.459*AN119))*_xlfn.XLOOKUP(_xlfn.XLOOKUP(B119,'Base stats'!B:B,'Base stats'!E:E),Groups!A:A,Groups!C:C)*IF(_xlfn.XLOOKUP(B119,'Base stats'!B:B,'Base stats'!O:O)=1,0.5,IF(_xlfn.XLOOKUP(B119,'Base stats'!B:B,'Base stats'!O:O)=2,0,1)),0.05),0.985))</f>
        <v>0.65</v>
      </c>
      <c r="J119" s="2">
        <f>ROUNDUP(AN119*_xlfn.XLOOKUP(_xlfn.XLOOKUP(B119,'Base stats'!B:B,'Base stats'!E:E),Groups!A:A,Groups!E:E),0)</f>
        <v>1</v>
      </c>
      <c r="K119" s="2">
        <f>IF(OR(_xlfn.XLOOKUP(_xlfn.XLOOKUP(B119,'Base stats'!B:B,'Base stats'!E:E),Groups!A:A,Groups!F:F)=2,ISNUMBER(SEARCH("SeaIce",BV119)),ISNUMBER(SEARCH("IceSheet",BV119))),-50,IF(OR(ISNUMBER(SEARCH("GlacialPlain",BV119)),ISNUMBER(SEARCH("Tundra",BV119))),-40,IF(OR(ISNUMBER(SEARCH("Alpine",BV119)),ISNUMBER(SEARCH("BorealForest",BV119)),ISNUMBER(SEARCH("ColdBog",BV119))),-30,IF(OR(ISNUMBER(SEARCH("TemperateForest",BV119)),ISNUMBER(SEARCH("TemperateSwamp",BV119))),-20,IF(_xlfn.XLOOKUP(_xlfn.XLOOKUP(B119,'Base stats'!B:B,'Base stats'!E:E),Groups!A:A,Groups!F:F)=1,-15,IF(OR(ISNUMBER(SEARCH("Desert",BV119)),ISNUMBER(SEARCH("ExtremeDesert",BV119))),-10,IF(OR(ISNUMBER(SEARCH("Grasslands",BV119)),ISNUMBER(SEARCH("TropicalRainforest",BV119)),ISNUMBER(SEARCH("TropicalSwamp",BV119))),10,0)))))))-IF(CA119="False",MIN(IFERROR(MAX(MROUND(LOG10(_xlfn.XLOOKUP(B119,'Base stats'!B:B,'Base stats'!C:C)^(2/3))*10,5),5),5),30))-_xlfn.XLOOKUP(B119,'Base stats'!B:B,'Base stats'!P:P)+IF(CA119="True",5,0)</f>
        <v>-45</v>
      </c>
      <c r="L119" s="2">
        <f>IF(OR(_xlfn.XLOOKUP(_xlfn.XLOOKUP(B119,'Base stats'!B:B,'Base stats'!E:E),Groups!A:A,Groups!G:G)=2,ISNUMBER(SEARCH("Desert",BV119)),ISNUMBER(SEARCH("ExtremeDesert",BV119)),ISNUMBER(SEARCH("LavaField",BV119))),50,IF(ISNUMBER(SEARCH("Grasslands",BV119)),45,IF(OR(_xlfn.XLOOKUP(_xlfn.XLOOKUP(B119,'Base stats'!B:B,'Base stats'!E:E),Groups!A:A,Groups!G:G)=1,ISNUMBER(SEARCH("TropicalRainforest",BV119)),ISNUMBER(SEARCH("TropicalSwamp",BV119))),40,IF(OR(ISNUMBER(SEARCH("TemperateForest",BV119)),ISNUMBER(SEARCH("TemperateSwamp",BV119))),35,IF(OR(ISNUMBER(SEARCH("Alpine",BV119)),ISNUMBER(SEARCH("BorealForest",BV119)),ISNUMBER(SEARCH("ColdBog",BV119))),30,IF(ISNUMBER(OR(ISNUMBER(SEARCH("GlacialPlain",BV119)),SEARCH("Tundra",BV119))),25,IF(OR(ISNUMBER(SEARCH("SeaIce",BV119)),ISNUMBER(SEARCH("IceSheet",BV119)),ISNUMBER(SEARCH("TropicalSwamp",BV119))),10,35)))))))+_xlfn.XLOOKUP(B119,'Base stats'!B:B,'Base stats'!Q:Q)</f>
        <v>35</v>
      </c>
      <c r="M119" s="8" t="str">
        <f>IF(_xlfn.XLOOKUP(_xlfn.XLOOKUP(B119,'Base stats'!B:B,'Base stats'!E:E),Groups!A:A,Groups!L:L)=1,MIN(MROUND(_xlfn.XLOOKUP(B119,'Animals CE'!B:B,'Animals CE'!Z:Z)/2+0.05,0.05),200%),"No")</f>
        <v>No</v>
      </c>
      <c r="N119" s="8" t="str">
        <f>IF(_xlfn.XLOOKUP(_xlfn.XLOOKUP(B119,'Base stats'!B:B,'Base stats'!E:E),Groups!A:A,Groups!L:L)=1,MIN(MROUND(_xlfn.XLOOKUP(B119,'Animals CE'!B:B,'Animals CE'!AA:AA)/2+0.05,0.05),200%),"No")</f>
        <v>No</v>
      </c>
      <c r="O119" s="2" t="str">
        <f>_xlfn.XLOOKUP(B119,'Base stats'!B:B,'Base stats'!R:R)</f>
        <v>Standard</v>
      </c>
      <c r="P119" s="13">
        <f>MROUND((LOG10(_xlfn.XLOOKUP(B119,'Base stats'!B:B,'Base stats'!AO:AO))*(AN119^0.5)+(_xlfn.XLOOKUP(B119,'Base stats'!B:B,'Base stats'!AO:AO)/1000)^(2/3)+_xlfn.XLOOKUP(B119,'Base stats'!B:B,'Base stats'!AX:AX)/2)+0.5,0.5)</f>
        <v>4</v>
      </c>
      <c r="Q119" s="7">
        <f>IF(P119="No","No",MAX(1,MROUND(_xlfn.XLOOKUP(B119,'Base stats'!B:B,'Base stats'!C:C)^0.165,0.05)))</f>
        <v>1.55</v>
      </c>
      <c r="R119" s="13" t="str">
        <f>IF(_xlfn.XLOOKUP(_xlfn.XLOOKUP(B119,'Base stats'!B:B,'Base stats'!E:E),Groups!A:A,Groups!P:P)=0,"No",MROUND((LOG10(_xlfn.XLOOKUP(B119,'Base stats'!B:B,'Base stats'!AP:AP))*(AN119^0.5)+(_xlfn.XLOOKUP(B119,'Base stats'!B:B,'Base stats'!AP:AP)/1000)^(2/3)+_xlfn.XLOOKUP(B119,'Base stats'!B:B,'Base stats'!AX:AX))+_xlfn.XLOOKUP(B119,'Base stats'!B:B,'Base stats'!AV:AV)+0.5,0.5))</f>
        <v>No</v>
      </c>
      <c r="S119" s="7" t="str">
        <f>IF(R119="No","No",MAX(_xlfn.XLOOKUP(_xlfn.XLOOKUP(B119,'Base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T119" s="7" t="str">
        <f>IF(R119="No","No",_xlfn.XLOOKUP(_xlfn.XLOOKUP(B119,'Base stats'!B:B,'Base stats'!E:E),Groups!A:A,Groups!R:R))</f>
        <v>No</v>
      </c>
      <c r="U119" s="7" t="str">
        <f>IF(R119="No","No",_xlfn.XLOOKUP(_xlfn.XLOOKUP(B119,'Base stats'!B:B,'Base stats'!E:E),Groups!A:A,Groups!S:S))</f>
        <v>No</v>
      </c>
      <c r="V119" s="7" t="str">
        <f>IF(R119="No","No",_xlfn.XLOOKUP(_xlfn.XLOOKUP(B119,'Base stats'!B:B,'Base stats'!E:E),Groups!A:A,Groups!T:T))</f>
        <v>No</v>
      </c>
      <c r="W119" s="13" t="str">
        <f>IF(_xlfn.XLOOKUP(B119,'Base stats'!B:B,'Base stats'!W:W)="No","No",MROUND((LOG10(_xlfn.XLOOKUP(B119,'Base stats'!B:B,'Base stats'!AR:AR))*(AN119^0.5)+(_xlfn.XLOOKUP(B119,'Base stats'!B:B,'Base stats'!AR:AR)/1000)^(2/3)+_xlfn.XLOOKUP(B119,'Base stats'!B:B,'Base stats'!AW:AW))+0.5+IF(_xlfn.XLOOKUP(_xlfn.XLOOKUP(B119,'Base stats'!B:B,'Base stats'!E:E),Groups!A:A,Groups!U:U)&lt;&gt;3,_xlfn.XLOOKUP(B119,'Base stats'!B:B,'Base stats'!AX:AX),0),0.5))</f>
        <v>No</v>
      </c>
      <c r="X119" s="7" t="str">
        <f>IF(W119="No","No",MAX(_xlfn.XLOOKUP(_xlfn.XLOOKUP(B119,'Base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Y119" s="7" t="str">
        <f>IF(W119="No","No",_xlfn.XLOOKUP(_xlfn.XLOOKUP(B119,'Base stats'!B:B,'Base stats'!E:E),Groups!A:A,Groups!W:W))</f>
        <v>No</v>
      </c>
      <c r="Z119" s="7" t="str">
        <f>IF(W119="No","No",_xlfn.XLOOKUP(_xlfn.XLOOKUP(B119,'Base stats'!B:B,'Base stats'!E:E),Groups!A:A,Groups!X:X))</f>
        <v>No</v>
      </c>
      <c r="AA119" s="7" t="str">
        <f>IF(W119="No","No",_xlfn.XLOOKUP(_xlfn.XLOOKUP(B119,'Base stats'!B:B,'Base stats'!E:E),Groups!A:A,Groups!Y:Y))</f>
        <v>No</v>
      </c>
      <c r="AB119" s="7" t="str">
        <f>_xlfn.XLOOKUP(Animals!B119,'Base stats'!B:B,'Base stats'!X:X)</f>
        <v>False</v>
      </c>
      <c r="AC119" s="13">
        <f>IF(_xlfn.XLOOKUP(B119,'Base stats'!B:B,'Base stats'!AQ:AQ)="No","No",MROUND((LOG10(_xlfn.XLOOKUP(B119,'Base stats'!B:B,'Base stats'!AQ:AQ))*(AN119^0.75)+(_xlfn.XLOOKUP(B119,'Base stats'!B:B,'Base stats'!AQ:AQ)/1000)^(2/3)+_xlfn.XLOOKUP(B119,'Base stats'!B:B,'Base stats'!AU:AU)+_xlfn.XLOOKUP(B119,'Base stats'!B:B,'Base stats'!AX:AX))+0.5,0.5))</f>
        <v>7.5</v>
      </c>
      <c r="AD119" s="7">
        <f>IF(AC119="No","No",MAX(_xlfn.XLOOKUP(_xlfn.XLOOKUP(B119,'Base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E119" s="7" t="str">
        <f>IF(AC119="No","No",_xlfn.XLOOKUP(_xlfn.XLOOKUP(B119,'Base stats'!B:B,'Base stats'!E:E),Groups!A:A,Groups!AA:AA))</f>
        <v>Teeth</v>
      </c>
      <c r="AF119" s="7" t="str">
        <f>IF(AC119="No","No",_xlfn.XLOOKUP(_xlfn.XLOOKUP(B119,'Base stats'!B:B,'Base stats'!E:E),Groups!A:A,Groups!AB:AB))</f>
        <v>canines</v>
      </c>
      <c r="AG119" s="7" t="str">
        <f>IF(AC119="No","No",_xlfn.XLOOKUP(_xlfn.XLOOKUP(B119,'Base stats'!B:B,'Base stats'!E:E),Groups!A:A,Groups!AC:AC))</f>
        <v>Bite</v>
      </c>
      <c r="AH119" s="13" t="str">
        <f>IF(_xlfn.XLOOKUP(_xlfn.XLOOKUP(B119,'Base stats'!B:B,'Base stats'!E:E),Groups!A:A,Groups!AD:AD)=0,"No",MROUND((LOG10(_xlfn.XLOOKUP(B119,'Base stats'!B:B,'Base stats'!AP:AP))*(AN119^0.75)+(_xlfn.XLOOKUP(B119,'Base stats'!B:B,'Base stats'!AP:AP)/1000)^(2/3)+_xlfn.XLOOKUP(B119,'Base stats'!B:B,'Base stats'!AV:AV)+_xlfn.XLOOKUP(B119,'Base stats'!B:B,'Base stats'!AX:AX))+0.5,0.5))</f>
        <v>No</v>
      </c>
      <c r="AI119" s="7" t="str">
        <f>IF(AH119="No","No",MAX(_xlfn.XLOOKUP(_xlfn.XLOOKUP(B119,'Base stats'!B:B,'Base stats'!E:E),Groups!A:A,Groups!AE:AE),MROUND(_xlfn.XLOOKUP(_xlfn.XLOOKUP(B119,'Base stats'!B:B,'Base stats'!E:E),Groups!A:A,Groups!AE:AE)*_xlfn.XLOOKUP(B119,'Base stats'!B:B,'Base stats'!C:C)^0.165,0.05)))</f>
        <v>No</v>
      </c>
      <c r="AJ119" s="7" t="str">
        <f>IF(AH119="No","No",_xlfn.XLOOKUP(_xlfn.XLOOKUP(B119,'Base stats'!B:B,'Base stats'!E:E),Groups!A:A,Groups!AF:AF))</f>
        <v>No</v>
      </c>
      <c r="AK119" s="7" t="str">
        <f>IF(AH119="No","No",_xlfn.XLOOKUP(_xlfn.XLOOKUP(B119,'Base stats'!B:B,'Base stats'!E:E),Groups!A:A,Groups!AG:AG))</f>
        <v>No</v>
      </c>
      <c r="AL119" s="7" t="str">
        <f>IF(AH119="No","No",_xlfn.XLOOKUP(_xlfn.XLOOKUP(B119,'Base stats'!B:B,'Base stats'!E:E),Groups!A:A,Groups!AH:AH))</f>
        <v>No</v>
      </c>
      <c r="AM119" s="2">
        <f t="shared" si="7"/>
        <v>20</v>
      </c>
      <c r="AN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O119" s="8">
        <f>MROUND(AN119*_xlfn.XLOOKUP(_xlfn.XLOOKUP(B119,'Base stats'!B:B,'Base stats'!E:E),Groups!A:A,Groups!AI:AI),0.05)</f>
        <v>0.60000000000000009</v>
      </c>
      <c r="AP119" s="8">
        <f>MAX(0.01,MROUND(IF(CA119="True",0.196*(AN119*100*1000)^0.889,IF(_xlfn.XLOOKUP(_xlfn.XLOOKUP(B119,'Base stats'!B:B,'Base stats'!E:E),Groups!A:A,Groups!AJ:AJ)="Bird",10.5*(AN119*100*1000)^0.681,4.82*(AN119*100*1000)^0.734))/(4.82*(1*100*1000)^0.734)/IF(AN119&lt;3.5,2,IF(AN119=3.5,1.5,1.25))*(1+0.132282374779864/(AN119^0.994035016789033+0.00905238001496948)),0.05))</f>
        <v>0.4</v>
      </c>
      <c r="AQ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R119" s="35">
        <f>IFERROR(IF(_xlfn.XLOOKUP(B119,'Base stats'!B:B,'Base stats'!F:F)="Lay eggs","Lay eggs",MIN(20,MAX(5.5,ROUND(((_xlfn.XLOOKUP(B119,'Base stats'!B:B,'Base stats'!F:F)-25)*(14.5/615) + 5.5)*2,0)/2))),"Cannot breed")</f>
        <v>6.5</v>
      </c>
      <c r="AS119" s="8">
        <f>IF(OR(A119="Queen",A119="Larva",A119="Megachicken"),"No",IFERROR(MAX(IF(_xlfn.XLOOKUP(B119,'Base stats'!B:B,'Base stats'!G:G)&lt;0.5,0.2,0.3),MROUND(_xlfn.XLOOKUP(B119,'Base stats'!B:B,'Base stats'!G:G)/(365/60),0.2)),"Unknown"))</f>
        <v>0.3</v>
      </c>
      <c r="AT119" s="8">
        <f t="shared" si="8"/>
        <v>0.15000000000000002</v>
      </c>
      <c r="AU119" s="8">
        <f>IFERROR(IFERROR(MROUND(_xlfn.XLOOKUP(B119,'Base stats'!B:B,'Base stats'!J:J),0.1),"Lay eggs"),"Cannot breed")</f>
        <v>6</v>
      </c>
      <c r="AV119" s="2" t="str">
        <f t="shared" si="9"/>
        <v>true</v>
      </c>
      <c r="AW119" s="2" t="str">
        <f>IF(_xlfn.XLOOKUP(_xlfn.XLOOKUP(Animals!B119,'Base stats'!B:B,'Base stats'!E:E),Groups!A:A,Groups!AK:AK)=1,"true","false")</f>
        <v>false</v>
      </c>
      <c r="AX119" s="25" t="str">
        <f>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</f>
        <v>CarnivoreAnimal, OvivoreAnimal</v>
      </c>
      <c r="AY119" s="2" t="str">
        <f>IF(_xlfn.XLOOKUP(_xlfn.XLOOKUP(B119,'Base stats'!B:B,'Base stats'!E:E),Groups!A:A,Groups!D:D)=1,MROUND((1-I119)*5+1,2)*IF(I119&lt;=0.4,2,1),"No")</f>
        <v>No</v>
      </c>
      <c r="AZ119" s="2" t="str">
        <f>_xlfn.XLOOKUP(B119,'Base stats'!B:B,'Base stats'!AE:AE)</f>
        <v>Leather_Wolf</v>
      </c>
      <c r="BA119" s="23" t="str">
        <f>_xlfn.XLOOKUP(_xlfn.XLOOKUP(B119,'Base stats'!B:B,'Base stats'!E:E),Groups!A:A,Groups!AL:AL)</f>
        <v>QuadrupedAnimalWithPawsAndTail</v>
      </c>
      <c r="BB119" s="23">
        <f>MROUND(IF(AND(AN119&lt;0.5,_xlfn.XLOOKUP(B119,'Base stats'!B:B,'Base stats'!Z:Z)=0),0,IF(OR(_xlfn.XLOOKUP(Animals!B119,'Base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stats'!AA:AA),0.005)</f>
        <v>0.1</v>
      </c>
      <c r="BC119" s="23">
        <f>MROUND(IF(AND(AN119&lt;0.5,_xlfn.XLOOKUP(B119,'Base stats'!B:B,'Base stats'!Z:Z)=0),0,IF(_xlfn.XLOOKUP(_xlfn.XLOOKUP(B119,'Base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stats'!AB:AB),0.005)</f>
        <v>0.3</v>
      </c>
      <c r="BD119" s="2" t="str">
        <f>IF(I119&gt;0.3,"No",_xlfn.XLOOKUP(_xlfn.XLOOKUP(Animals!B119,'Base stats'!B:B,'Base stats'!E:E),Groups!A:A,Groups!AP:AP))</f>
        <v>No</v>
      </c>
      <c r="BE119" s="2">
        <f>IF(AND(I119&lt;=0.65,_xlfn.XLOOKUP(_xlfn.XLOOKUP(Animals!B119,'Base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stats'!O:O)=2,0.2,AN119) + 24*(1-IF(BD119="No",0,BD119)) + 16/3, 12),"No")</f>
        <v>48</v>
      </c>
      <c r="BF119" s="2">
        <f>IF(AND(_xlfn.XLOOKUP(_xlfn.XLOOKUP(B119,'Base stats'!B:B,'Base stats'!E:E),Groups!A:A,Groups!AQ:AQ)=1,AN119&lt;=0.35),8,12)</f>
        <v>12</v>
      </c>
      <c r="BG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H119" s="2" t="str">
        <f>IF(AND(_xlfn.XLOOKUP(_xlfn.XLOOKUP(B119,'Base stats'!B:B,'Base stats'!E:E),Groups!A:A,Groups!AS:AS)=1,OR('Base stats'!Y119="Carnivore",'Base stats'!Y119="Omnivore")),"true","false")</f>
        <v>true</v>
      </c>
      <c r="BI119" s="2">
        <f>IF(BH119="true",MROUND(IF(AND(AN119&gt;0.5,_xlfn.XLOOKUP(_xlfn.XLOOKUP(B119,'Base stats'!B:B,'Base stats'!E:E),Groups!A:A,Groups!AJ:AJ)="Mammal"),Animals!AN119*1.75*IF(AV119="true",1.5,1),Animals!AN119),IF(AN119&gt;2,0.5,IF(AN119&gt;0.5,0.25,0.1))),"No")</f>
        <v>0.5</v>
      </c>
      <c r="BJ119" s="2">
        <f t="shared" si="10"/>
        <v>1</v>
      </c>
      <c r="BK119" s="25" t="str">
        <f>IF('Base stats'!AK119="Standard","No",MROUND((_xlfn.XLOOKUP(B119,'Base stats'!B:B,'Base stats'!AK:AK)/3.6)/H119,0.1))</f>
        <v>No</v>
      </c>
      <c r="BL119" s="25" t="str">
        <f t="shared" si="11"/>
        <v>false</v>
      </c>
      <c r="BM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N119" s="25" t="str" cm="1">
        <f t="array" ref="BN119">IF(
  _xlfn.TEXTJOIN(", ",TRUE,
    IF(AND(BH119="true",AN119&gt;0.5,BG119&lt;&gt;"None"),"AttackTarget",""),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IF(BE119&lt;=36,"Comfort",""),
    IF(_xlfn.XLOOKUP(B119,'Base stats'!B:B,'Base stats'!AC:AC)&lt;&gt;"No",_xlfn.XLOOKUP(B119,'Base stats'!B:B,'Base stats'!AC:AC),"")
  ) = "",
  "No",
  _xlfn.TEXTJOIN(", ",TRUE,
    IF(AND(BH119="true",AN119&gt;0.5,BG119&lt;&gt;"None"),"AttackTarget",""),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IF(BE119&lt;=36,"Comfort",""),
    IF(_xlfn.XLOOKUP(B119,'Base stats'!B:B,'Base stats'!AC:AC)&lt;&gt;"No",_xlfn.XLOOKUP(B119,'Base stats'!B:B,'Base stats'!AC:AC),"")
  )
)</f>
        <v>No</v>
      </c>
      <c r="BO119" s="25" t="str">
        <f>IF(
   AND(
      'Base stats'!AK119="Standard",_xlfn.XLOOKUP(_xlfn.XLOOKUP(B119,'Base stats'!B:B,'Base stats'!E:E),Groups!A:A,Groups!AU:AU)=0,
      OR(
      BM119="True"
      )
   ),
   10,
   IF(
       OR(BK119&lt;&gt;"No",_xlfn.XLOOKUP(_xlfn.XLOOKUP(B119,'Base stats'!B:B,'Base stats'!E:E),Groups!A:A,Groups!AU:AU)=1),
      1,
      "No"
   )
)</f>
        <v>No</v>
      </c>
      <c r="BP119" s="9">
        <f>MROUND((1 + ((0.2*IF(OR(P119="No",Q119="No",Q119=0),0,P119/Q119)
+IF(OR(U119="No",R119="No",S119="No"),0,R119/S119*(LEN(U119)-LEN(SUBSTITUTE(U119,",",""))+1))
+IF(OR(W119="No",X119="No"),0,W119/X119)
+IF(OR(AC119="No",AD119="No"),0,AC119/AD119)
+IF(OR(AK119="No",AH119="No",AI119="No"),0,AH119/AI119*(LEN(AK119)-LEN(SUBSTITUTE(AK119,",",""))+1))
)/(0.2*IF(OR(P119="No",Q119="No",Q119=0),0,1)
+IF(OR(U119="No",R119="No",S119="No"),0,LEN(U119)-LEN(SUBSTITUTE(U119,",",""))+1)
+IF(OR(W119="No",X119="No"),0,1)
+IF(OR(AC119="No",AD119="No"),0,1)
+IF(OR(AK119="No",AH119="No",AI119="No"),0,LEN(AK119)-LEN(SUBSTITUTE(AK119,",",""))+1))*62%)* 2)*(1 + (AO119 + _xlfn.XLOOKUP(B119,'Base stats'!B:B,'Base stats'!AS:AS) * 1.8) * 2) * 2.5 + 10 + H119 * 2,5)+IF(_xlfn.XLOOKUP(B119,'Base stats'!B:B,'Base stats'!AH:AH)=1,50,0)</f>
        <v>70</v>
      </c>
      <c r="BQ119" s="8">
        <f t="shared" si="12"/>
        <v>0.4</v>
      </c>
      <c r="BR119" s="8" t="str">
        <f>_xlfn.XLOOKUP(B119,'Base stats'!B:B,'Base stats'!AD:AD)</f>
        <v>2~6</v>
      </c>
      <c r="BS119" s="2" t="str">
        <f>IF(AND(I119&lt;=0.95,OR(_xlfn.XLOOKUP(B119,'Base stats'!B:B,'Base stats'!AH:AH)=1,_xlfn.XLOOKUP(B119,'Base stats'!B:B,'Base stats'!Y:Y)="Carnivore",_xlfn.XLOOKUP(B119,'Base stats'!B:B,'Base stats'!Y:Y)="Omnivore",BC119&gt;0.1)),"true","false")</f>
        <v>true</v>
      </c>
      <c r="BT119" s="2" t="str">
        <f>IF(_xlfn.XLOOKUP(B119,'Base stats'!B:B,'Base stats'!AF:AF)=1,"true","false")</f>
        <v>false</v>
      </c>
      <c r="BU119" s="25" t="str">
        <f>IF(E119="BaseInsect","AnimalInsect",
IF(I119&gt;0.95,"AnimalExotic",
_xlfn.TEXTJOIN(", ",TRUE,
IF(AND(_xlfn.XLOOKUP(B119,'Base stats'!B:B,'Base stats'!O:O)=0,_xlfn.XLOOKUP(_xlfn.XLOOKUP(B119,'Base stats'!B:B,'Base stats'!E:E),Groups!A:A,Groups!B:B)&gt;0),"AnimalUncommon","AnimalCommon"),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stats'!AH:AH)=1,AND(BG119&lt;&gt;"None",BP119&gt;=60),ISNUMBER(SEARCH("Attack target",BN119))),"AnimalFighter","")
)))</f>
        <v>AnimalCommon, AnimalFighter</v>
      </c>
      <c r="BV119" s="25" t="str">
        <f>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</f>
        <v>Tundra</v>
      </c>
      <c r="BW119" s="25" t="str">
        <f>IF(_xlfn.XLOOKUP(B119,'Base stats'!B:B,'Base stats'!AG:AG)=1,"true","false")</f>
        <v>false</v>
      </c>
      <c r="BX119" s="25">
        <f>IF(_xlfn.XLOOKUP(B119,'Base stats'!B:B,'Base stats'!N:N)=1,"No",MIN(MROUND(IF(OR(_xlfn.XLOOKUP(B119,'Base stats'!B:B,'Base stats'!AJ:AJ)=1,AND(BH119="True",CA119="False")),POWER(10,3.47*LOG10(_xlfn.XLOOKUP(B119,'Base stats'!B:B,'Base stats'!C:C)*1000)^-0.96),POWER(10,4.15*LOG10(_xlfn.XLOOKUP(B119,'Base stats'!B:B,'Base stats'!C:C)*1000)^-0.73))*IF(OR(_xlfn.XLOOKUP(B119,'Base stats'!B:B,'Base stats'!AJ:AJ)=1,_xlfn.XLOOKUP(B119,'Base stats'!B:B,'Base stats'!AH:AH)=1),0.5,1)/100,0.025),1))</f>
        <v>7.5000000000000011E-2</v>
      </c>
      <c r="BY119" s="25" t="str">
        <f>IF(O119="Standard","No",IF(_xlfn.XLOOKUP(B119,'Base stats'!B:B,'Base stats'!N:N)=0,MROUND(BX119*O119,0.05),MIN(1,MAX(0.025,MROUND(IF(OR(CA119="true",AND(BH119="false",BM119="false")),POWER(10,4.15*LOG10(_xlfn.XLOOKUP(B119,'Base stats'!B:B,'Base stats'!C:C)*1000)^-0.73),POWER(10,3.47*LOG10(_xlfn.XLOOKUP(B119,'Base stats'!B:B,'Base stats'!C:C)*1000)^-0.96))*IF(_xlfn.XLOOKUP(B119,'Base stats'!B:B,'Base stats'!AH:AH)=1,0.5,1)/100,0.025)))))</f>
        <v>No</v>
      </c>
      <c r="BZ119" s="25" t="str">
        <f>IF(_xlfn.XLOOKUP(_xlfn.XLOOKUP(B119,'Base stats'!B:B,'Base stats'!E:E),Groups!A:A,Groups!AJ:AJ)="Mammal","True","False")</f>
        <v>True</v>
      </c>
      <c r="CA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B119" s="25" t="str">
        <f t="shared" si="13"/>
        <v>False</v>
      </c>
      <c r="CC119" s="25" t="str">
        <f>IF(_xlfn.XLOOKUP(_xlfn.XLOOKUP(B119,'Base stats'!B:B,'Base stats'!E:E),Groups!A:A,Groups!AW:AW),"True","False")</f>
        <v>False</v>
      </c>
      <c r="CD119" s="25" t="str">
        <f>IF(_xlfn.XLOOKUP(_xlfn.XLOOKUP(B119,'Base stats'!B:B,'Base stats'!E:E),Groups!A:A,Groups!AX:AX),"True","False")</f>
        <v>False</v>
      </c>
      <c r="CE119" s="25" t="str">
        <f>IF(_xlfn.XLOOKUP(B119,'Base stats'!B:B,'Base stats'!E:E)=1,"True","False")</f>
        <v>False</v>
      </c>
      <c r="CF119" s="25" t="str">
        <f>IF(
OR(
_xlfn.XLOOKUP(_xlfn.XLOOKUP(B119,'Base stats'!B:B,'Base stats'!E:E),Groups!A:A,Groups!AY:AY)=0,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stats'!E:E),Groups!A:A,Groups!AY:AY)=1,
"Flesh",
IF(
_xlfn.XLOOKUP(_xlfn.XLOOKUP(B119,'Base stats'!B:B,'Base stats'!E:E),Groups!A:A,Groups!AY:AY)=2,
"Bone",
""
)
)
)</f>
        <v>No</v>
      </c>
      <c r="CG119" s="25" t="str">
        <f>IF(_xlfn.XLOOKUP(_xlfn.XLOOKUP(B119,'Base stats'!B:B,'Base stats'!E:E),Groups!A:A,Groups!BA:BA),"True","False")</f>
        <v>True</v>
      </c>
      <c r="CH119" s="25" t="str">
        <f>IF(_xlfn.XLOOKUP(_xlfn.XLOOKUP(B119,'Base stats'!B:B,'Base stats'!E:E),Groups!A:A,Groups!AZ:AZ),"True","False")</f>
        <v>False</v>
      </c>
    </row>
    <row r="120" spans="1:86" s="16" customFormat="1" ht="16.5" thickTop="1" thickBot="1" x14ac:dyDescent="0.3">
      <c r="A120" s="26" t="str">
        <f>_xlfn.XLOOKUP(B120,'Base stats'!B:B,'Base stats'!A:A)</f>
        <v>Black bear</v>
      </c>
      <c r="B120" s="6" t="s">
        <v>237</v>
      </c>
      <c r="C120" s="28" t="s">
        <v>813</v>
      </c>
      <c r="D120" s="28" t="s">
        <v>884</v>
      </c>
      <c r="E120" s="28" t="s">
        <v>427</v>
      </c>
      <c r="F120" s="28" t="s">
        <v>460</v>
      </c>
      <c r="G120" s="2">
        <f>MROUND((
  (IF(AND(_xlfn.XLOOKUP(B120,'Base stats'!B:B,'Base stats'!AI:AI)=0,BG120="None",_xlfn.XLOOKUP('Base stats'!E120,Groups!A:A,Groups!B:B)=0), (18 + BP120 * 2.7) * 0.5,
    IF(AND(_xlfn.XLOOKUP(B120,'Base stats'!B:B,'Base stats'!AI:AI)=0,OR(AN120&lt;0.55,AND(BG120="Intermediate",_xlfn.XLOOKUP('Base stats'!E120,Groups!A:A,Groups!B:B)&lt;2))), (18 + BP120 * 2.7),
      IF(OR(BG120="Advanced",_xlfn.XLOOKUP(B120,'Base stats'!B:B,'Base stats'!AI:AI)=1,_xlfn.XLOOKUP('Base stats'!E120,Groups!A:A,Groups!B:B)=2), (18 + BP120 * 2.7) + 250, (18 + BP120 * 2.7))
    )
  ))
  + AN120 * 80
  + IF(COUNTIF(EggMilk!K$2:K$998, A120) &gt; 0, 125, 0)
  + IF(COUNTIF(EggMilk!P$2:P$998, A120) &gt; 0, 90, 0)
  + IF(COUNTIF(EggMilk!A$2:A$998, A120) &gt; 0, 90, 0)
)
* (0.8 + 0.4 * I120)
* 0.75,25)</f>
        <v>700</v>
      </c>
      <c r="H120" s="2">
        <f>MROUND(ROUNDDOWN(_xlfn.XLOOKUP(B120,'Base stats'!B:B,'Base stats'!L:L)/3.6/(23.3/11),1),0.5)</f>
        <v>6</v>
      </c>
      <c r="I120" s="2">
        <f>IF(_xlfn.XLOOKUP(B120,'Base stats'!B:B,'Base stats'!AI:AI)=1,0.99,MIN(MROUND((1-0.6282*EXP(-0.459*AN120))*_xlfn.XLOOKUP(_xlfn.XLOOKUP(B120,'Base stats'!B:B,'Base stats'!E:E),Groups!A:A,Groups!C:C)*IF(_xlfn.XLOOKUP(B120,'Base stats'!B:B,'Base stats'!O:O)=1,0.5,IF(_xlfn.XLOOKUP(B120,'Base stats'!B:B,'Base stats'!O:O)=2,0,1)),0.05),0.985))</f>
        <v>0.75</v>
      </c>
      <c r="J120" s="2">
        <f>ROUNDUP(AN120*_xlfn.XLOOKUP(_xlfn.XLOOKUP(B120,'Base stats'!B:B,'Base stats'!E:E),Groups!A:A,Groups!E:E),0)</f>
        <v>2</v>
      </c>
      <c r="K120" s="2">
        <f>IF(OR(_xlfn.XLOOKUP(_xlfn.XLOOKUP(B120,'Base stats'!B:B,'Base stats'!E:E),Groups!A:A,Groups!F:F)=2,ISNUMBER(SEARCH("SeaIce",BV120)),ISNUMBER(SEARCH("IceSheet",BV120))),-50,IF(OR(ISNUMBER(SEARCH("GlacialPlain",BV120)),ISNUMBER(SEARCH("Tundra",BV120))),-40,IF(OR(ISNUMBER(SEARCH("Alpine",BV120)),ISNUMBER(SEARCH("BorealForest",BV120)),ISNUMBER(SEARCH("ColdBog",BV120))),-30,IF(OR(ISNUMBER(SEARCH("TemperateForest",BV120)),ISNUMBER(SEARCH("TemperateSwamp",BV120))),-20,IF(_xlfn.XLOOKUP(_xlfn.XLOOKUP(B120,'Base stats'!B:B,'Base stats'!E:E),Groups!A:A,Groups!F:F)=1,-15,IF(OR(ISNUMBER(SEARCH("Desert",BV120)),ISNUMBER(SEARCH("ExtremeDesert",BV120))),-10,IF(OR(ISNUMBER(SEARCH("Grasslands",BV120)),ISNUMBER(SEARCH("TropicalRainforest",BV120)),ISNUMBER(SEARCH("TropicalSwamp",BV120))),10,0)))))))-IF(CA120="False",MIN(IFERROR(MAX(MROUND(LOG10(_xlfn.XLOOKUP(B120,'Base stats'!B:B,'Base stats'!C:C)^(2/3))*10,5),5),5),30))-_xlfn.XLOOKUP(B120,'Base stats'!B:B,'Base stats'!P:P)+IF(CA120="True",5,0)</f>
        <v>-55</v>
      </c>
      <c r="L120" s="2">
        <f>IF(OR(_xlfn.XLOOKUP(_xlfn.XLOOKUP(B120,'Base stats'!B:B,'Base stats'!E:E),Groups!A:A,Groups!G:G)=2,ISNUMBER(SEARCH("Desert",BV120)),ISNUMBER(SEARCH("ExtremeDesert",BV120)),ISNUMBER(SEARCH("LavaField",BV120))),50,IF(ISNUMBER(SEARCH("Grasslands",BV120)),45,IF(OR(_xlfn.XLOOKUP(_xlfn.XLOOKUP(B120,'Base stats'!B:B,'Base stats'!E:E),Groups!A:A,Groups!G:G)=1,ISNUMBER(SEARCH("TropicalRainforest",BV120)),ISNUMBER(SEARCH("TropicalSwamp",BV120))),40,IF(OR(ISNUMBER(SEARCH("TemperateForest",BV120)),ISNUMBER(SEARCH("TemperateSwamp",BV120))),35,IF(OR(ISNUMBER(SEARCH("Alpine",BV120)),ISNUMBER(SEARCH("BorealForest",BV120)),ISNUMBER(SEARCH("ColdBog",BV120))),30,IF(ISNUMBER(OR(ISNUMBER(SEARCH("GlacialPlain",BV120)),SEARCH("Tundra",BV120))),25,IF(OR(ISNUMBER(SEARCH("SeaIce",BV120)),ISNUMBER(SEARCH("IceSheet",BV120)),ISNUMBER(SEARCH("TropicalSwamp",BV120))),10,35)))))))+_xlfn.XLOOKUP(B120,'Base stats'!B:B,'Base stats'!Q:Q)</f>
        <v>35</v>
      </c>
      <c r="M120" s="8" t="str">
        <f>IF(_xlfn.XLOOKUP(_xlfn.XLOOKUP(B120,'Base stats'!B:B,'Base stats'!E:E),Groups!A:A,Groups!L:L)=1,MIN(MROUND(_xlfn.XLOOKUP(B120,'Animals CE'!B:B,'Animals CE'!Z:Z)/2+0.05,0.05),200%),"No")</f>
        <v>No</v>
      </c>
      <c r="N120" s="8" t="str">
        <f>IF(_xlfn.XLOOKUP(_xlfn.XLOOKUP(B120,'Base stats'!B:B,'Base stats'!E:E),Groups!A:A,Groups!L:L)=1,MIN(MROUND(_xlfn.XLOOKUP(B120,'Animals CE'!B:B,'Animals CE'!AA:AA)/2+0.05,0.05),200%),"No")</f>
        <v>No</v>
      </c>
      <c r="O120" s="2" t="str">
        <f>_xlfn.XLOOKUP(B120,'Base stats'!B:B,'Base stats'!R:R)</f>
        <v>Standard</v>
      </c>
      <c r="P120" s="13">
        <f>MROUND((LOG10(_xlfn.XLOOKUP(B120,'Base stats'!B:B,'Base stats'!AO:AO))*(AN120^0.5)+(_xlfn.XLOOKUP(B120,'Base stats'!B:B,'Base stats'!AO:AO)/1000)^(2/3)+_xlfn.XLOOKUP(B120,'Base stats'!B:B,'Base stats'!AX:AX)/2)+0.5,0.5)</f>
        <v>10</v>
      </c>
      <c r="Q120" s="7">
        <f>IF(P120="No","No",MAX(1,MROUND(_xlfn.XLOOKUP(B120,'Base stats'!B:B,'Base stats'!C:C)^0.165,0.05)))</f>
        <v>2.3000000000000003</v>
      </c>
      <c r="R120" s="13" t="str">
        <f>IF(_xlfn.XLOOKUP(_xlfn.XLOOKUP(B120,'Base stats'!B:B,'Base stats'!E:E),Groups!A:A,Groups!P:P)=0,"No",MROUND((LOG10(_xlfn.XLOOKUP(B120,'Base stats'!B:B,'Base stats'!AP:AP))*(AN120^0.5)+(_xlfn.XLOOKUP(B120,'Base stats'!B:B,'Base stats'!AP:AP)/1000)^(2/3)+_xlfn.XLOOKUP(B120,'Base stats'!B:B,'Base stats'!AX:AX))+_xlfn.XLOOKUP(B120,'Base stats'!B:B,'Base stats'!AV:AV)+0.5,0.5))</f>
        <v>No</v>
      </c>
      <c r="S120" s="7" t="str">
        <f>IF(R120="No","No",MAX(_xlfn.XLOOKUP(_xlfn.XLOOKUP(B120,'Base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T120" s="7" t="str">
        <f>IF(R120="No","No",_xlfn.XLOOKUP(_xlfn.XLOOKUP(B120,'Base stats'!B:B,'Base stats'!E:E),Groups!A:A,Groups!R:R))</f>
        <v>No</v>
      </c>
      <c r="U120" s="7" t="str">
        <f>IF(R120="No","No",_xlfn.XLOOKUP(_xlfn.XLOOKUP(B120,'Base stats'!B:B,'Base stats'!E:E),Groups!A:A,Groups!S:S))</f>
        <v>No</v>
      </c>
      <c r="V120" s="7" t="str">
        <f>IF(R120="No","No",_xlfn.XLOOKUP(_xlfn.XLOOKUP(B120,'Base stats'!B:B,'Base stats'!E:E),Groups!A:A,Groups!T:T))</f>
        <v>No</v>
      </c>
      <c r="W120" s="13" t="str">
        <f>IF(_xlfn.XLOOKUP(B120,'Base stats'!B:B,'Base stats'!W:W)="No","No",MROUND((LOG10(_xlfn.XLOOKUP(B120,'Base stats'!B:B,'Base stats'!AR:AR))*(AN120^0.5)+(_xlfn.XLOOKUP(B120,'Base stats'!B:B,'Base stats'!AR:AR)/1000)^(2/3)+_xlfn.XLOOKUP(B120,'Base stats'!B:B,'Base stats'!AW:AW))+0.5+IF(_xlfn.XLOOKUP(_xlfn.XLOOKUP(B120,'Base stats'!B:B,'Base stats'!E:E),Groups!A:A,Groups!U:U)&lt;&gt;3,_xlfn.XLOOKUP(B120,'Base stats'!B:B,'Base stats'!AX:AX),0),0.5))</f>
        <v>No</v>
      </c>
      <c r="X120" s="7" t="str">
        <f>IF(W120="No","No",MAX(_xlfn.XLOOKUP(_xlfn.XLOOKUP(B120,'Base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Y120" s="7" t="str">
        <f>IF(W120="No","No",_xlfn.XLOOKUP(_xlfn.XLOOKUP(B120,'Base stats'!B:B,'Base stats'!E:E),Groups!A:A,Groups!W:W))</f>
        <v>No</v>
      </c>
      <c r="Z120" s="7" t="str">
        <f>IF(W120="No","No",_xlfn.XLOOKUP(_xlfn.XLOOKUP(B120,'Base stats'!B:B,'Base stats'!E:E),Groups!A:A,Groups!X:X))</f>
        <v>No</v>
      </c>
      <c r="AA120" s="7" t="str">
        <f>IF(W120="No","No",_xlfn.XLOOKUP(_xlfn.XLOOKUP(B120,'Base stats'!B:B,'Base stats'!E:E),Groups!A:A,Groups!Y:Y))</f>
        <v>No</v>
      </c>
      <c r="AB120" s="7" t="str">
        <f>_xlfn.XLOOKUP(Animals!B120,'Base stats'!B:B,'Base stats'!X:X)</f>
        <v>False</v>
      </c>
      <c r="AC120" s="13">
        <f>IF(_xlfn.XLOOKUP(B120,'Base stats'!B:B,'Base stats'!AQ:AQ)="No","No",MROUND((LOG10(_xlfn.XLOOKUP(B120,'Base stats'!B:B,'Base stats'!AQ:AQ))*(AN120^0.75)+(_xlfn.XLOOKUP(B120,'Base stats'!B:B,'Base stats'!AQ:AQ)/1000)^(2/3)+_xlfn.XLOOKUP(B120,'Base stats'!B:B,'Base stats'!AU:AU)+_xlfn.XLOOKUP(B120,'Base stats'!B:B,'Base stats'!AX:AX))+0.5,0.5))</f>
        <v>15.5</v>
      </c>
      <c r="AD120" s="7">
        <f>IF(AC120="No","No",MAX(_xlfn.XLOOKUP(_xlfn.XLOOKUP(B120,'Base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E120" s="7" t="str">
        <f>IF(AC120="No","No",_xlfn.XLOOKUP(_xlfn.XLOOKUP(B120,'Base stats'!B:B,'Base stats'!E:E),Groups!A:A,Groups!AA:AA))</f>
        <v>Teeth</v>
      </c>
      <c r="AF120" s="7" t="str">
        <f>IF(AC120="No","No",_xlfn.XLOOKUP(_xlfn.XLOOKUP(B120,'Base stats'!B:B,'Base stats'!E:E),Groups!A:A,Groups!AB:AB))</f>
        <v>canines</v>
      </c>
      <c r="AG120" s="7" t="str">
        <f>IF(AC120="No","No",_xlfn.XLOOKUP(_xlfn.XLOOKUP(B120,'Base stats'!B:B,'Base stats'!E:E),Groups!A:A,Groups!AC:AC))</f>
        <v>Bite</v>
      </c>
      <c r="AH120" s="13">
        <f>IF(_xlfn.XLOOKUP(_xlfn.XLOOKUP(B120,'Base stats'!B:B,'Base stats'!E:E),Groups!A:A,Groups!AD:AD)=0,"No",MROUND((LOG10(_xlfn.XLOOKUP(B120,'Base stats'!B:B,'Base stats'!AP:AP))*(AN120^0.75)+(_xlfn.XLOOKUP(B120,'Base stats'!B:B,'Base stats'!AP:AP)/1000)^(2/3)+_xlfn.XLOOKUP(B120,'Base stats'!B:B,'Base stats'!AV:AV)+_xlfn.XLOOKUP(B120,'Base stats'!B:B,'Base stats'!AX:AX))+0.5,0.5))</f>
        <v>15</v>
      </c>
      <c r="AI120" s="7">
        <f>IF(AH120="No","No",MAX(_xlfn.XLOOKUP(_xlfn.XLOOKUP(B120,'Base stats'!B:B,'Base stats'!E:E),Groups!A:A,Groups!AE:AE),MROUND(_xlfn.XLOOKUP(_xlfn.XLOOKUP(B120,'Base stats'!B:B,'Base stats'!E:E),Groups!A:A,Groups!AE:AE)*_xlfn.XLOOKUP(B120,'Base stats'!B:B,'Base stats'!C:C)^0.165,0.05)))</f>
        <v>1.5</v>
      </c>
      <c r="AJ120" s="7" t="str">
        <f>IF(AH120="No","No",_xlfn.XLOOKUP(_xlfn.XLOOKUP(B120,'Base stats'!B:B,'Base stats'!E:E),Groups!A:A,Groups!AF:AF))</f>
        <v>FrontRightPaw, FrontRightPaw</v>
      </c>
      <c r="AK120" s="7" t="str">
        <f>IF(AH120="No","No",_xlfn.XLOOKUP(_xlfn.XLOOKUP(B120,'Base stats'!B:B,'Base stats'!E:E),Groups!A:A,Groups!AG:AG))</f>
        <v>left claw, right claw</v>
      </c>
      <c r="AL120" s="7" t="str">
        <f>IF(AH120="No","No",_xlfn.XLOOKUP(_xlfn.XLOOKUP(B120,'Base stats'!B:B,'Base stats'!E:E),Groups!A:A,Groups!AH:AH))</f>
        <v>Scratch</v>
      </c>
      <c r="AM120" s="2">
        <f t="shared" si="7"/>
        <v>25</v>
      </c>
      <c r="AN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O120" s="8">
        <f>MROUND(AN120*_xlfn.XLOOKUP(_xlfn.XLOOKUP(B120,'Base stats'!B:B,'Base stats'!E:E),Groups!A:A,Groups!AI:AI),0.05)</f>
        <v>1.9000000000000001</v>
      </c>
      <c r="AP120" s="8">
        <f>MAX(0.01,MROUND(IF(CA120="True",0.196*(AN120*100*1000)^0.889,IF(_xlfn.XLOOKUP(_xlfn.XLOOKUP(B120,'Base stats'!B:B,'Base stats'!E:E),Groups!A:A,Groups!AJ:AJ)="Bird",10.5*(AN120*100*1000)^0.681,4.82*(AN120*100*1000)^0.734))/(4.82*(1*100*1000)^0.734)/IF(AN120&lt;3.5,2,IF(AN120=3.5,1.5,1.25))*(1+0.132282374779864/(AN120^0.994035016789033+0.00905238001496948)),0.05))</f>
        <v>0.75</v>
      </c>
      <c r="AQ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R120" s="35">
        <f>IFERROR(IF(_xlfn.XLOOKUP(B120,'Base stats'!B:B,'Base stats'!F:F)="Lay eggs","Lay eggs",MIN(20,MAX(5.5,ROUND(((_xlfn.XLOOKUP(B120,'Base stats'!B:B,'Base stats'!F:F)-25)*(14.5/615) + 5.5)*2,0)/2))),"Cannot breed")</f>
        <v>6.5</v>
      </c>
      <c r="AS120" s="8">
        <f>IF(OR(A120="Queen",A120="Larva",A120="Megachicken"),"No",IFERROR(MAX(IF(_xlfn.XLOOKUP(B120,'Base stats'!B:B,'Base stats'!G:G)&lt;0.5,0.2,0.3),MROUND(_xlfn.XLOOKUP(B120,'Base stats'!B:B,'Base stats'!G:G)/(365/60),0.2)),"Unknown"))</f>
        <v>0.60000000000000009</v>
      </c>
      <c r="AT120" s="8">
        <f t="shared" si="8"/>
        <v>0.30000000000000004</v>
      </c>
      <c r="AU120" s="8">
        <f>IFERROR(IFERROR(MROUND(_xlfn.XLOOKUP(B120,'Base stats'!B:B,'Base stats'!J:J),0.1),"Lay eggs"),"Cannot breed")</f>
        <v>2</v>
      </c>
      <c r="AV120" s="2" t="str">
        <f t="shared" si="9"/>
        <v>false</v>
      </c>
      <c r="AW120" s="2" t="str">
        <f>IF(_xlfn.XLOOKUP(_xlfn.XLOOKUP(Animals!B120,'Base stats'!B:B,'Base stats'!E:E),Groups!A:A,Groups!AK:AK)=1,"true","false")</f>
        <v>false</v>
      </c>
      <c r="AX120" s="25" t="str">
        <f>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</f>
        <v>OmnivoreAnimal, OvivoreAnimal</v>
      </c>
      <c r="AY120" s="2" t="str">
        <f>IF(_xlfn.XLOOKUP(_xlfn.XLOOKUP(B120,'Base stats'!B:B,'Base stats'!E:E),Groups!A:A,Groups!D:D)=1,MROUND((1-I120)*5+1,2)*IF(I120&lt;=0.4,2,1),"No")</f>
        <v>No</v>
      </c>
      <c r="AZ120" s="2" t="str">
        <f>_xlfn.XLOOKUP(B120,'Base stats'!B:B,'Base stats'!AE:AE)</f>
        <v>Leather_Bear</v>
      </c>
      <c r="BA120" s="23" t="str">
        <f>_xlfn.XLOOKUP(_xlfn.XLOOKUP(B120,'Base stats'!B:B,'Base stats'!E:E),Groups!A:A,Groups!AL:AL)</f>
        <v>QuadrupedAnimalWithPaws</v>
      </c>
      <c r="BB120" s="23">
        <f>MROUND(IF(AND(AN120&lt;0.5,_xlfn.XLOOKUP(B120,'Base stats'!B:B,'Base stats'!Z:Z)=0),0,IF(OR(_xlfn.XLOOKUP(Animals!B120,'Base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stats'!AA:AA),0.005)</f>
        <v>0.1</v>
      </c>
      <c r="BC120" s="23">
        <f>MROUND(IF(AND(AN120&lt;0.5,_xlfn.XLOOKUP(B120,'Base stats'!B:B,'Base stats'!Z:Z)=0),0,IF(_xlfn.XLOOKUP(_xlfn.XLOOKUP(B120,'Base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stats'!AB:AB),0.005)</f>
        <v>0.3</v>
      </c>
      <c r="BD120" s="2" t="str">
        <f>IF(I120&gt;0.3,"No",_xlfn.XLOOKUP(_xlfn.XLOOKUP(Animals!B120,'Base stats'!B:B,'Base stats'!E:E),Groups!A:A,Groups!AP:AP))</f>
        <v>No</v>
      </c>
      <c r="BE120" s="2" t="str">
        <f>IF(AND(I120&lt;=0.65,_xlfn.XLOOKUP(_xlfn.XLOOKUP(Animals!B120,'Base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stats'!O:O)=2,0.2,AN120) + 24*(1-IF(BD120="No",0,BD120)) + 16/3, 12),"No")</f>
        <v>No</v>
      </c>
      <c r="BF120" s="2">
        <f>IF(AND(_xlfn.XLOOKUP(_xlfn.XLOOKUP(B120,'Base stats'!B:B,'Base stats'!E:E),Groups!A:A,Groups!AQ:AQ)=1,AN120&lt;=0.35),8,12)</f>
        <v>12</v>
      </c>
      <c r="BG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H120" s="2" t="str">
        <f>IF(AND(_xlfn.XLOOKUP(_xlfn.XLOOKUP(B120,'Base stats'!B:B,'Base stats'!E:E),Groups!A:A,Groups!AS:AS)=1,OR('Base stats'!Y120="Carnivore",'Base stats'!Y120="Omnivore")),"true","false")</f>
        <v>true</v>
      </c>
      <c r="BI120" s="2">
        <f>IF(BH120="true",MROUND(IF(AND(AN120&gt;0.5,_xlfn.XLOOKUP(_xlfn.XLOOKUP(B120,'Base stats'!B:B,'Base stats'!E:E),Groups!A:A,Groups!AJ:AJ)="Mammal"),Animals!AN120*1.75*IF(AV120="true",1.5,1),Animals!AN120),IF(AN120&gt;2,0.5,IF(AN120&gt;0.5,0.25,0.1))),"No")</f>
        <v>2.75</v>
      </c>
      <c r="BJ120" s="2">
        <f t="shared" si="10"/>
        <v>1</v>
      </c>
      <c r="BK120" s="25" t="str">
        <f>IF('Base stats'!AK120="Standard","No",MROUND((_xlfn.XLOOKUP(B120,'Base stats'!B:B,'Base stats'!AK:AK)/3.6)/H120,0.1))</f>
        <v>No</v>
      </c>
      <c r="BL120" s="25" t="str">
        <f t="shared" si="11"/>
        <v>false</v>
      </c>
      <c r="BM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N120" s="25" t="str" cm="1">
        <f t="array" ref="BN120">IF(
  _xlfn.TEXTJOIN(", ",TRUE,
    IF(AND(BH120="true",AN120&gt;0.5,BG120&lt;&gt;"None"),"AttackTarget",""),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IF(BE120&lt;=36,"Comfort",""),
    IF(_xlfn.XLOOKUP(B120,'Base stats'!B:B,'Base stats'!AC:AC)&lt;&gt;"No",_xlfn.XLOOKUP(B120,'Base stats'!B:B,'Base stats'!AC:AC),"")
  ) = "",
  "No",
  _xlfn.TEXTJOIN(", ",TRUE,
    IF(AND(BH120="true",AN120&gt;0.5,BG120&lt;&gt;"None"),"AttackTarget",""),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IF(BE120&lt;=36,"Comfort",""),
    IF(_xlfn.XLOOKUP(B120,'Base stats'!B:B,'Base stats'!AC:AC)&lt;&gt;"No",_xlfn.XLOOKUP(B120,'Base stats'!B:B,'Base stats'!AC:AC),"")
  )
)</f>
        <v>AttackTarget, Forage</v>
      </c>
      <c r="BO120" s="25">
        <f>IF(
   AND(
      'Base stats'!AK120="Standard",_xlfn.XLOOKUP(_xlfn.XLOOKUP(B120,'Base stats'!B:B,'Base stats'!E:E),Groups!A:A,Groups!AU:AU)=0,
      OR(
      BM120="True"
      )
   ),
   10,
   IF(
       OR(BK120&lt;&gt;"No",_xlfn.XLOOKUP(_xlfn.XLOOKUP(B120,'Base stats'!B:B,'Base stats'!E:E),Groups!A:A,Groups!AU:AU)=1),
      1,
      "No"
   )
)</f>
        <v>10</v>
      </c>
      <c r="BP120" s="9">
        <f>MROUND((1 + ((0.2*IF(OR(P120="No",Q120="No",Q120=0),0,P120/Q120)
+IF(OR(U120="No",R120="No",S120="No"),0,R120/S120*(LEN(U120)-LEN(SUBSTITUTE(U120,",",""))+1))
+IF(OR(W120="No",X120="No"),0,W120/X120)
+IF(OR(AC120="No",AD120="No"),0,AC120/AD120)
+IF(OR(AK120="No",AH120="No",AI120="No"),0,AH120/AI120*(LEN(AK120)-LEN(SUBSTITUTE(AK120,",",""))+1))
)/(0.2*IF(OR(P120="No",Q120="No",Q120=0),0,1)
+IF(OR(U120="No",R120="No",S120="No"),0,LEN(U120)-LEN(SUBSTITUTE(U120,",",""))+1)
+IF(OR(W120="No",X120="No"),0,1)
+IF(OR(AC120="No",AD120="No"),0,1)
+IF(OR(AK120="No",AH120="No",AI120="No"),0,LEN(AK120)-LEN(SUBSTITUTE(AK120,",",""))+1))*62%)* 2)*(1 + (AO120 + _xlfn.XLOOKUP(B120,'Base stats'!B:B,'Base stats'!AS:AS) * 1.8) * 2) * 2.5 + 10 + H120 * 2,5)+IF(_xlfn.XLOOKUP(B120,'Base stats'!B:B,'Base stats'!AH:AH)=1,50,0)</f>
        <v>170</v>
      </c>
      <c r="BQ120" s="8">
        <f t="shared" si="12"/>
        <v>0.9</v>
      </c>
      <c r="BR120" s="8" t="str">
        <f>_xlfn.XLOOKUP(B120,'Base stats'!B:B,'Base stats'!AD:AD)</f>
        <v>No</v>
      </c>
      <c r="BS120" s="2" t="str">
        <f>IF(AND(I120&lt;=0.95,OR(_xlfn.XLOOKUP(B120,'Base stats'!B:B,'Base stats'!AH:AH)=1,_xlfn.XLOOKUP(B120,'Base stats'!B:B,'Base stats'!Y:Y)="Carnivore",_xlfn.XLOOKUP(B120,'Base stats'!B:B,'Base stats'!Y:Y)="Omnivore",BC120&gt;0.1)),"true","false")</f>
        <v>true</v>
      </c>
      <c r="BT120" s="2" t="str">
        <f>IF(_xlfn.XLOOKUP(B120,'Base stats'!B:B,'Base stats'!AF:AF)=1,"true","false")</f>
        <v>false</v>
      </c>
      <c r="BU120" s="25" t="str">
        <f>IF(E120="BaseInsect","AnimalInsect",
IF(I120&gt;0.95,"AnimalExotic",
_xlfn.TEXTJOIN(", ",TRUE,
IF(AND(_xlfn.XLOOKUP(B120,'Base stats'!B:B,'Base stats'!O:O)=0,_xlfn.XLOOKUP(_xlfn.XLOOKUP(B120,'Base stats'!B:B,'Base stats'!E:E),Groups!A:A,Groups!B:B)&gt;0),"AnimalUncommon","AnimalCommon"),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stats'!AH:AH)=1,AND(BG120&lt;&gt;"None",BP120&gt;=60),ISNUMBER(SEARCH("Attack target",BN120))),"AnimalFighter","")
)))</f>
        <v>AnimalUncommon, AnimalFighter</v>
      </c>
      <c r="BV120" s="25" t="str">
        <f>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</f>
        <v>BorealForest ColdBog TemperateForest TemperateSwamp GlacialPlain</v>
      </c>
      <c r="BW120" s="25" t="str">
        <f>IF(_xlfn.XLOOKUP(B120,'Base stats'!B:B,'Base stats'!AG:AG)=1,"true","false")</f>
        <v>false</v>
      </c>
      <c r="BX120" s="25">
        <f>IF(_xlfn.XLOOKUP(B120,'Base stats'!B:B,'Base stats'!N:N)=1,"No",MIN(MROUND(IF(OR(_xlfn.XLOOKUP(B120,'Base stats'!B:B,'Base stats'!AJ:AJ)=1,AND(BH120="True",CA120="False")),POWER(10,3.47*LOG10(_xlfn.XLOOKUP(B120,'Base stats'!B:B,'Base stats'!C:C)*1000)^-0.96),POWER(10,4.15*LOG10(_xlfn.XLOOKUP(B120,'Base stats'!B:B,'Base stats'!C:C)*1000)^-0.73))*IF(OR(_xlfn.XLOOKUP(B120,'Base stats'!B:B,'Base stats'!AJ:AJ)=1,_xlfn.XLOOKUP(B120,'Base stats'!B:B,'Base stats'!AH:AH)=1),0.5,1)/100,0.025),1))</f>
        <v>0.05</v>
      </c>
      <c r="BY120" s="25" t="str">
        <f>IF(O120="Standard","No",IF(_xlfn.XLOOKUP(B120,'Base stats'!B:B,'Base stats'!N:N)=0,MROUND(BX120*O120,0.05),MIN(1,MAX(0.025,MROUND(IF(OR(CA120="true",AND(BH120="false",BM120="false")),POWER(10,4.15*LOG10(_xlfn.XLOOKUP(B120,'Base stats'!B:B,'Base stats'!C:C)*1000)^-0.73),POWER(10,3.47*LOG10(_xlfn.XLOOKUP(B120,'Base stats'!B:B,'Base stats'!C:C)*1000)^-0.96))*IF(_xlfn.XLOOKUP(B120,'Base stats'!B:B,'Base stats'!AH:AH)=1,0.5,1)/100,0.025)))))</f>
        <v>No</v>
      </c>
      <c r="BZ120" s="25" t="str">
        <f>IF(_xlfn.XLOOKUP(_xlfn.XLOOKUP(B120,'Base stats'!B:B,'Base stats'!E:E),Groups!A:A,Groups!AJ:AJ)="Mammal","True","False")</f>
        <v>True</v>
      </c>
      <c r="CA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B120" s="25" t="str">
        <f t="shared" si="13"/>
        <v>False</v>
      </c>
      <c r="CC120" s="25" t="str">
        <f>IF(_xlfn.XLOOKUP(_xlfn.XLOOKUP(B120,'Base stats'!B:B,'Base stats'!E:E),Groups!A:A,Groups!AW:AW),"True","False")</f>
        <v>False</v>
      </c>
      <c r="CD120" s="25" t="str">
        <f>IF(_xlfn.XLOOKUP(_xlfn.XLOOKUP(B120,'Base stats'!B:B,'Base stats'!E:E),Groups!A:A,Groups!AX:AX),"True","False")</f>
        <v>False</v>
      </c>
      <c r="CE120" s="25" t="str">
        <f>IF(_xlfn.XLOOKUP(B120,'Base stats'!B:B,'Base stats'!E:E)=1,"True","False")</f>
        <v>False</v>
      </c>
      <c r="CF120" s="25" t="str">
        <f>IF(
OR(
_xlfn.XLOOKUP(_xlfn.XLOOKUP(B120,'Base stats'!B:B,'Base stats'!E:E),Groups!A:A,Groups!AY:AY)=0,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stats'!E:E),Groups!A:A,Groups!AY:AY)=1,
"Flesh",
IF(
_xlfn.XLOOKUP(_xlfn.XLOOKUP(B120,'Base stats'!B:B,'Base stats'!E:E),Groups!A:A,Groups!AY:AY)=2,
"Bone",
""
)
)
)</f>
        <v>Bone</v>
      </c>
      <c r="CG120" s="25" t="str">
        <f>IF(_xlfn.XLOOKUP(_xlfn.XLOOKUP(B120,'Base stats'!B:B,'Base stats'!E:E),Groups!A:A,Groups!BA:BA),"True","False")</f>
        <v>True</v>
      </c>
      <c r="CH120" s="25" t="str">
        <f>IF(_xlfn.XLOOKUP(_xlfn.XLOOKUP(B120,'Base stats'!B:B,'Base stats'!E:E),Groups!A:A,Groups!AZ:AZ),"True","False")</f>
        <v>False</v>
      </c>
    </row>
    <row r="121" spans="1:86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814</v>
      </c>
      <c r="D121" s="28" t="s">
        <v>884</v>
      </c>
      <c r="E121" s="28" t="s">
        <v>685</v>
      </c>
      <c r="F121" s="28" t="s">
        <v>685</v>
      </c>
      <c r="G121" s="2">
        <f>MROUND((
  (IF(AND(_xlfn.XLOOKUP(B121,'Base stats'!B:B,'Base stats'!AI:AI)=0,BG121="None",_xlfn.XLOOKUP('Base stats'!E121,Groups!A:A,Groups!B:B)=0), (18 + BP121 * 2.7) * 0.5,
    IF(AND(_xlfn.XLOOKUP(B121,'Base stats'!B:B,'Base stats'!AI:AI)=0,OR(AN121&lt;0.55,AND(BG121="Intermediate",_xlfn.XLOOKUP('Base stats'!E121,Groups!A:A,Groups!B:B)&lt;2))), (18 + BP121 * 2.7),
      IF(OR(BG121="Advanced",_xlfn.XLOOKUP(B121,'Base stats'!B:B,'Base stats'!AI:AI)=1,_xlfn.XLOOKUP('Base stats'!E121,Groups!A:A,Groups!B:B)=2), (18 + BP121 * 2.7) + 250, (18 + BP121 * 2.7))
    )
  ))
  + AN121 * 80
  + IF(COUNTIF(EggMilk!K$2:K$998, A121) &gt; 0, 125, 0)
  + IF(COUNTIF(EggMilk!P$2:P$998, A121) &gt; 0, 90, 0)
  + IF(COUNTIF(EggMilk!A$2:A$998, A121) &gt; 0, 90, 0)
)
* (0.8 + 0.4 * I121)
* 0.75,25)</f>
        <v>550</v>
      </c>
      <c r="H121" s="2">
        <f>MROUND(ROUNDDOWN(_xlfn.XLOOKUP(B121,'Base stats'!B:B,'Base stats'!L:L)/3.6/(23.3/11),1),0.5)</f>
        <v>8.5</v>
      </c>
      <c r="I121" s="2">
        <f>IF(_xlfn.XLOOKUP(B121,'Base stats'!B:B,'Base stats'!AI:AI)=1,0.99,MIN(MROUND((1-0.6282*EXP(-0.459*AN121))*_xlfn.XLOOKUP(_xlfn.XLOOKUP(B121,'Base stats'!B:B,'Base stats'!E:E),Groups!A:A,Groups!C:C)*IF(_xlfn.XLOOKUP(B121,'Base stats'!B:B,'Base stats'!O:O)=1,0.5,IF(_xlfn.XLOOKUP(B121,'Base stats'!B:B,'Base stats'!O:O)=2,0,1)),0.05),0.985))</f>
        <v>0.75</v>
      </c>
      <c r="J121" s="2">
        <f>ROUNDUP(AN121*_xlfn.XLOOKUP(_xlfn.XLOOKUP(B121,'Base stats'!B:B,'Base stats'!E:E),Groups!A:A,Groups!E:E),0)</f>
        <v>1</v>
      </c>
      <c r="K121" s="2">
        <f>IF(OR(_xlfn.XLOOKUP(_xlfn.XLOOKUP(B121,'Base stats'!B:B,'Base stats'!E:E),Groups!A:A,Groups!F:F)=2,ISNUMBER(SEARCH("SeaIce",BV121)),ISNUMBER(SEARCH("IceSheet",BV121))),-50,IF(OR(ISNUMBER(SEARCH("GlacialPlain",BV121)),ISNUMBER(SEARCH("Tundra",BV121))),-40,IF(OR(ISNUMBER(SEARCH("Alpine",BV121)),ISNUMBER(SEARCH("BorealForest",BV121)),ISNUMBER(SEARCH("ColdBog",BV121))),-30,IF(OR(ISNUMBER(SEARCH("TemperateForest",BV121)),ISNUMBER(SEARCH("TemperateSwamp",BV121))),-20,IF(_xlfn.XLOOKUP(_xlfn.XLOOKUP(B121,'Base stats'!B:B,'Base stats'!E:E),Groups!A:A,Groups!F:F)=1,-15,IF(OR(ISNUMBER(SEARCH("Desert",BV121)),ISNUMBER(SEARCH("ExtremeDesert",BV121))),-10,IF(OR(ISNUMBER(SEARCH("Grasslands",BV121)),ISNUMBER(SEARCH("TropicalRainforest",BV121)),ISNUMBER(SEARCH("TropicalSwamp",BV121))),10,0)))))))-IF(CA121="False",MIN(IFERROR(MAX(MROUND(LOG10(_xlfn.XLOOKUP(B121,'Base stats'!B:B,'Base stats'!C:C)^(2/3))*10,5),5),5),30))-_xlfn.XLOOKUP(B121,'Base stats'!B:B,'Base stats'!P:P)+IF(CA121="True",5,0)</f>
        <v>-25</v>
      </c>
      <c r="L121" s="2">
        <f>IF(OR(_xlfn.XLOOKUP(_xlfn.XLOOKUP(B121,'Base stats'!B:B,'Base stats'!E:E),Groups!A:A,Groups!G:G)=2,ISNUMBER(SEARCH("Desert",BV121)),ISNUMBER(SEARCH("ExtremeDesert",BV121)),ISNUMBER(SEARCH("LavaField",BV121))),50,IF(ISNUMBER(SEARCH("Grasslands",BV121)),45,IF(OR(_xlfn.XLOOKUP(_xlfn.XLOOKUP(B121,'Base stats'!B:B,'Base stats'!E:E),Groups!A:A,Groups!G:G)=1,ISNUMBER(SEARCH("TropicalRainforest",BV121)),ISNUMBER(SEARCH("TropicalSwamp",BV121))),40,IF(OR(ISNUMBER(SEARCH("TemperateForest",BV121)),ISNUMBER(SEARCH("TemperateSwamp",BV121))),35,IF(OR(ISNUMBER(SEARCH("Alpine",BV121)),ISNUMBER(SEARCH("BorealForest",BV121)),ISNUMBER(SEARCH("ColdBog",BV121))),30,IF(ISNUMBER(OR(ISNUMBER(SEARCH("GlacialPlain",BV121)),SEARCH("Tundra",BV121))),25,IF(OR(ISNUMBER(SEARCH("SeaIce",BV121)),ISNUMBER(SEARCH("IceSheet",BV121)),ISNUMBER(SEARCH("TropicalSwamp",BV121))),10,35)))))))+_xlfn.XLOOKUP(B121,'Base stats'!B:B,'Base stats'!Q:Q)</f>
        <v>50</v>
      </c>
      <c r="M121" s="8" t="str">
        <f>IF(_xlfn.XLOOKUP(_xlfn.XLOOKUP(B121,'Base stats'!B:B,'Base stats'!E:E),Groups!A:A,Groups!L:L)=1,MIN(MROUND(_xlfn.XLOOKUP(B121,'Animals CE'!B:B,'Animals CE'!Z:Z)/2+0.05,0.05),200%),"No")</f>
        <v>No</v>
      </c>
      <c r="N121" s="8" t="str">
        <f>IF(_xlfn.XLOOKUP(_xlfn.XLOOKUP(B121,'Base stats'!B:B,'Base stats'!E:E),Groups!A:A,Groups!L:L)=1,MIN(MROUND(_xlfn.XLOOKUP(B121,'Animals CE'!B:B,'Animals CE'!AA:AA)/2+0.05,0.05),200%),"No")</f>
        <v>No</v>
      </c>
      <c r="O121" s="2" t="str">
        <f>_xlfn.XLOOKUP(B121,'Base stats'!B:B,'Base stats'!R:R)</f>
        <v>Standard</v>
      </c>
      <c r="P121" s="13">
        <f>MROUND((LOG10(_xlfn.XLOOKUP(B121,'Base stats'!B:B,'Base stats'!AO:AO))*(AN121^0.5)+(_xlfn.XLOOKUP(B121,'Base stats'!B:B,'Base stats'!AO:AO)/1000)^(2/3)+_xlfn.XLOOKUP(B121,'Base stats'!B:B,'Base stats'!AX:AX)/2)+0.5,0.5)</f>
        <v>7</v>
      </c>
      <c r="Q121" s="7">
        <f>IF(P121="No","No",MAX(1,MROUND(_xlfn.XLOOKUP(B121,'Base stats'!B:B,'Base stats'!C:C)^0.165,0.05)))</f>
        <v>2</v>
      </c>
      <c r="R121" s="13" t="str">
        <f>IF(_xlfn.XLOOKUP(_xlfn.XLOOKUP(B121,'Base stats'!B:B,'Base stats'!E:E),Groups!A:A,Groups!P:P)=0,"No",MROUND((LOG10(_xlfn.XLOOKUP(B121,'Base stats'!B:B,'Base stats'!AP:AP))*(AN121^0.5)+(_xlfn.XLOOKUP(B121,'Base stats'!B:B,'Base stats'!AP:AP)/1000)^(2/3)+_xlfn.XLOOKUP(B121,'Base stats'!B:B,'Base stats'!AX:AX))+_xlfn.XLOOKUP(B121,'Base stats'!B:B,'Base stats'!AV:AV)+0.5,0.5))</f>
        <v>No</v>
      </c>
      <c r="S121" s="7" t="str">
        <f>IF(R121="No","No",MAX(_xlfn.XLOOKUP(_xlfn.XLOOKUP(B121,'Base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T121" s="7" t="str">
        <f>IF(R121="No","No",_xlfn.XLOOKUP(_xlfn.XLOOKUP(B121,'Base stats'!B:B,'Base stats'!E:E),Groups!A:A,Groups!R:R))</f>
        <v>No</v>
      </c>
      <c r="U121" s="7" t="str">
        <f>IF(R121="No","No",_xlfn.XLOOKUP(_xlfn.XLOOKUP(B121,'Base stats'!B:B,'Base stats'!E:E),Groups!A:A,Groups!S:S))</f>
        <v>No</v>
      </c>
      <c r="V121" s="7" t="str">
        <f>IF(R121="No","No",_xlfn.XLOOKUP(_xlfn.XLOOKUP(B121,'Base stats'!B:B,'Base stats'!E:E),Groups!A:A,Groups!T:T))</f>
        <v>No</v>
      </c>
      <c r="W121" s="13" t="str">
        <f>IF(_xlfn.XLOOKUP(B121,'Base stats'!B:B,'Base stats'!W:W)="No","No",MROUND((LOG10(_xlfn.XLOOKUP(B121,'Base stats'!B:B,'Base stats'!AR:AR))*(AN121^0.5)+(_xlfn.XLOOKUP(B121,'Base stats'!B:B,'Base stats'!AR:AR)/1000)^(2/3)+_xlfn.XLOOKUP(B121,'Base stats'!B:B,'Base stats'!AW:AW))+0.5+IF(_xlfn.XLOOKUP(_xlfn.XLOOKUP(B121,'Base stats'!B:B,'Base stats'!E:E),Groups!A:A,Groups!U:U)&lt;&gt;3,_xlfn.XLOOKUP(B121,'Base stats'!B:B,'Base stats'!AX:AX),0),0.5))</f>
        <v>No</v>
      </c>
      <c r="X121" s="7" t="str">
        <f>IF(W121="No","No",MAX(_xlfn.XLOOKUP(_xlfn.XLOOKUP(B121,'Base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Y121" s="7" t="str">
        <f>IF(W121="No","No",_xlfn.XLOOKUP(_xlfn.XLOOKUP(B121,'Base stats'!B:B,'Base stats'!E:E),Groups!A:A,Groups!W:W))</f>
        <v>No</v>
      </c>
      <c r="Z121" s="7" t="str">
        <f>IF(W121="No","No",_xlfn.XLOOKUP(_xlfn.XLOOKUP(B121,'Base stats'!B:B,'Base stats'!E:E),Groups!A:A,Groups!X:X))</f>
        <v>No</v>
      </c>
      <c r="AA121" s="7" t="str">
        <f>IF(W121="No","No",_xlfn.XLOOKUP(_xlfn.XLOOKUP(B121,'Base stats'!B:B,'Base stats'!E:E),Groups!A:A,Groups!Y:Y))</f>
        <v>No</v>
      </c>
      <c r="AB121" s="7" t="str">
        <f>_xlfn.XLOOKUP(Animals!B121,'Base stats'!B:B,'Base stats'!X:X)</f>
        <v>False</v>
      </c>
      <c r="AC121" s="13">
        <f>IF(_xlfn.XLOOKUP(B121,'Base stats'!B:B,'Base stats'!AQ:AQ)="No","No",MROUND((LOG10(_xlfn.XLOOKUP(B121,'Base stats'!B:B,'Base stats'!AQ:AQ))*(AN121^0.75)+(_xlfn.XLOOKUP(B121,'Base stats'!B:B,'Base stats'!AQ:AQ)/1000)^(2/3)+_xlfn.XLOOKUP(B121,'Base stats'!B:B,'Base stats'!AU:AU)+_xlfn.XLOOKUP(B121,'Base stats'!B:B,'Base stats'!AX:AX))+0.5,0.5))</f>
        <v>13.5</v>
      </c>
      <c r="AD121" s="7">
        <f>IF(AC121="No","No",MAX(_xlfn.XLOOKUP(_xlfn.XLOOKUP(B121,'Base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E121" s="7" t="str">
        <f>IF(AC121="No","No",_xlfn.XLOOKUP(_xlfn.XLOOKUP(B121,'Base stats'!B:B,'Base stats'!E:E),Groups!A:A,Groups!AA:AA))</f>
        <v>Teeth</v>
      </c>
      <c r="AF121" s="7" t="str">
        <f>IF(AC121="No","No",_xlfn.XLOOKUP(_xlfn.XLOOKUP(B121,'Base stats'!B:B,'Base stats'!E:E),Groups!A:A,Groups!AB:AB))</f>
        <v>canines</v>
      </c>
      <c r="AG121" s="7" t="str">
        <f>IF(AC121="No","No",_xlfn.XLOOKUP(_xlfn.XLOOKUP(B121,'Base stats'!B:B,'Base stats'!E:E),Groups!A:A,Groups!AC:AC))</f>
        <v>Bite</v>
      </c>
      <c r="AH121" s="13" t="str">
        <f>IF(_xlfn.XLOOKUP(_xlfn.XLOOKUP(B121,'Base stats'!B:B,'Base stats'!E:E),Groups!A:A,Groups!AD:AD)=0,"No",MROUND((LOG10(_xlfn.XLOOKUP(B121,'Base stats'!B:B,'Base stats'!AP:AP))*(AN121^0.75)+(_xlfn.XLOOKUP(B121,'Base stats'!B:B,'Base stats'!AP:AP)/1000)^(2/3)+_xlfn.XLOOKUP(B121,'Base stats'!B:B,'Base stats'!AV:AV)+_xlfn.XLOOKUP(B121,'Base stats'!B:B,'Base stats'!AX:AX))+0.5,0.5))</f>
        <v>No</v>
      </c>
      <c r="AI121" s="7" t="str">
        <f>IF(AH121="No","No",MAX(_xlfn.XLOOKUP(_xlfn.XLOOKUP(B121,'Base stats'!B:B,'Base stats'!E:E),Groups!A:A,Groups!AE:AE),MROUND(_xlfn.XLOOKUP(_xlfn.XLOOKUP(B121,'Base stats'!B:B,'Base stats'!E:E),Groups!A:A,Groups!AE:AE)*_xlfn.XLOOKUP(B121,'Base stats'!B:B,'Base stats'!C:C)^0.165,0.05)))</f>
        <v>No</v>
      </c>
      <c r="AJ121" s="7" t="str">
        <f>IF(AH121="No","No",_xlfn.XLOOKUP(_xlfn.XLOOKUP(B121,'Base stats'!B:B,'Base stats'!E:E),Groups!A:A,Groups!AF:AF))</f>
        <v>No</v>
      </c>
      <c r="AK121" s="7" t="str">
        <f>IF(AH121="No","No",_xlfn.XLOOKUP(_xlfn.XLOOKUP(B121,'Base stats'!B:B,'Base stats'!E:E),Groups!A:A,Groups!AG:AG))</f>
        <v>No</v>
      </c>
      <c r="AL121" s="7" t="str">
        <f>IF(AH121="No","No",_xlfn.XLOOKUP(_xlfn.XLOOKUP(B121,'Base stats'!B:B,'Base stats'!E:E),Groups!A:A,Groups!AH:AH))</f>
        <v>No</v>
      </c>
      <c r="AM121" s="2">
        <f t="shared" si="7"/>
        <v>20</v>
      </c>
      <c r="AN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O121" s="8">
        <f>MROUND(AN121*_xlfn.XLOOKUP(_xlfn.XLOOKUP(B121,'Base stats'!B:B,'Base stats'!E:E),Groups!A:A,Groups!AI:AI),0.05)</f>
        <v>1.1500000000000001</v>
      </c>
      <c r="AP121" s="8">
        <f>MAX(0.01,MROUND(IF(CA121="True",0.196*(AN121*100*1000)^0.889,IF(_xlfn.XLOOKUP(_xlfn.XLOOKUP(B121,'Base stats'!B:B,'Base stats'!E:E),Groups!A:A,Groups!AJ:AJ)="Bird",10.5*(AN121*100*1000)^0.681,4.82*(AN121*100*1000)^0.734))/(4.82*(1*100*1000)^0.734)/IF(AN121&lt;3.5,2,IF(AN121=3.5,1.5,1.25))*(1+0.132282374779864/(AN121^0.994035016789033+0.00905238001496948)),0.05))</f>
        <v>0.55000000000000004</v>
      </c>
      <c r="AQ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R121" s="35">
        <f>IFERROR(IF(_xlfn.XLOOKUP(B121,'Base stats'!B:B,'Base stats'!F:F)="Lay eggs","Lay eggs",MIN(20,MAX(5.5,ROUND(((_xlfn.XLOOKUP(B121,'Base stats'!B:B,'Base stats'!F:F)-25)*(14.5/615) + 5.5)*2,0)/2))),"Cannot breed")</f>
        <v>7.5</v>
      </c>
      <c r="AS121" s="8">
        <f>IF(OR(A121="Queen",A121="Larva",A121="Megachicken"),"No",IFERROR(MAX(IF(_xlfn.XLOOKUP(B121,'Base stats'!B:B,'Base stats'!G:G)&lt;0.5,0.2,0.3),MROUND(_xlfn.XLOOKUP(B121,'Base stats'!B:B,'Base stats'!G:G)/(365/60),0.2)),"Unknown"))</f>
        <v>0.4</v>
      </c>
      <c r="AT121" s="8">
        <f t="shared" si="8"/>
        <v>0.2</v>
      </c>
      <c r="AU121" s="8">
        <f>IFERROR(IFERROR(MROUND(_xlfn.XLOOKUP(B121,'Base stats'!B:B,'Base stats'!J:J),0.1),"Lay eggs"),"Cannot breed")</f>
        <v>2</v>
      </c>
      <c r="AV121" s="2" t="str">
        <f t="shared" si="9"/>
        <v>true</v>
      </c>
      <c r="AW121" s="2" t="str">
        <f>IF(_xlfn.XLOOKUP(_xlfn.XLOOKUP(Animals!B121,'Base stats'!B:B,'Base stats'!E:E),Groups!A:A,Groups!AK:AK)=1,"true","false")</f>
        <v>false</v>
      </c>
      <c r="AX121" s="25" t="str">
        <f>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</f>
        <v>CarnivoreAnimal, OvivoreAnimal</v>
      </c>
      <c r="AY121" s="2" t="str">
        <f>IF(_xlfn.XLOOKUP(_xlfn.XLOOKUP(B121,'Base stats'!B:B,'Base stats'!E:E),Groups!A:A,Groups!D:D)=1,MROUND((1-I121)*5+1,2)*IF(I121&lt;=0.4,2,1),"No")</f>
        <v>No</v>
      </c>
      <c r="AZ121" s="2" t="str">
        <f>_xlfn.XLOOKUP(B121,'Base stats'!B:B,'Base stats'!AE:AE)</f>
        <v>Leather_Wolf</v>
      </c>
      <c r="BA121" s="23" t="str">
        <f>_xlfn.XLOOKUP(_xlfn.XLOOKUP(B121,'Base stats'!B:B,'Base stats'!E:E),Groups!A:A,Groups!AL:AL)</f>
        <v>QuadrupedAnimalWithPawsAndTail</v>
      </c>
      <c r="BB121" s="23">
        <f>MROUND(IF(AND(AN121&lt;0.5,_xlfn.XLOOKUP(B121,'Base stats'!B:B,'Base stats'!Z:Z)=0),0,IF(OR(_xlfn.XLOOKUP(Animals!B121,'Base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stats'!AA:AA),0.005)</f>
        <v>0.1</v>
      </c>
      <c r="BC121" s="23">
        <f>MROUND(IF(AND(AN121&lt;0.5,_xlfn.XLOOKUP(B121,'Base stats'!B:B,'Base stats'!Z:Z)=0),0,IF(_xlfn.XLOOKUP(_xlfn.XLOOKUP(B121,'Base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stats'!AB:AB),0.005)</f>
        <v>0.3</v>
      </c>
      <c r="BD121" s="2" t="str">
        <f>IF(I121&gt;0.3,"No",_xlfn.XLOOKUP(_xlfn.XLOOKUP(Animals!B121,'Base stats'!B:B,'Base stats'!E:E),Groups!A:A,Groups!AP:AP))</f>
        <v>No</v>
      </c>
      <c r="BE121" s="2" t="str">
        <f>IF(AND(I121&lt;=0.65,_xlfn.XLOOKUP(_xlfn.XLOOKUP(Animals!B121,'Base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stats'!O:O)=2,0.2,AN121) + 24*(1-IF(BD121="No",0,BD121)) + 16/3, 12),"No")</f>
        <v>No</v>
      </c>
      <c r="BF121" s="2">
        <f>IF(AND(_xlfn.XLOOKUP(_xlfn.XLOOKUP(B121,'Base stats'!B:B,'Base stats'!E:E),Groups!A:A,Groups!AQ:AQ)=1,AN121&lt;=0.35),8,12)</f>
        <v>12</v>
      </c>
      <c r="BG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H121" s="2" t="str">
        <f>IF(AND(_xlfn.XLOOKUP(_xlfn.XLOOKUP(B121,'Base stats'!B:B,'Base stats'!E:E),Groups!A:A,Groups!AS:AS)=1,OR('Base stats'!Y121="Carnivore",'Base stats'!Y121="Omnivore")),"true","false")</f>
        <v>true</v>
      </c>
      <c r="BI121" s="2">
        <f>IF(BH121="true",MROUND(IF(AND(AN121&gt;0.5,_xlfn.XLOOKUP(_xlfn.XLOOKUP(B121,'Base stats'!B:B,'Base stats'!E:E),Groups!A:A,Groups!AJ:AJ)="Mammal"),Animals!AN121*1.75*IF(AV121="true",1.5,1),Animals!AN121),IF(AN121&gt;2,0.5,IF(AN121&gt;0.5,0.25,0.1))),"No")</f>
        <v>2.5</v>
      </c>
      <c r="BJ121" s="2">
        <f t="shared" si="10"/>
        <v>1</v>
      </c>
      <c r="BK121" s="25" t="str">
        <f>IF('Base stats'!AK121="Standard","No",MROUND((_xlfn.XLOOKUP(B121,'Base stats'!B:B,'Base stats'!AK:AK)/3.6)/H121,0.1))</f>
        <v>No</v>
      </c>
      <c r="BL121" s="25" t="str">
        <f t="shared" si="11"/>
        <v>false</v>
      </c>
      <c r="BM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N121" s="25" t="str" cm="1">
        <f t="array" ref="BN121">IF(
  _xlfn.TEXTJOIN(", ",TRUE,
    IF(AND(BH121="true",AN121&gt;0.5,BG121&lt;&gt;"None"),"AttackTarget",""),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IF(BE121&lt;=36,"Comfort",""),
    IF(_xlfn.XLOOKUP(B121,'Base stats'!B:B,'Base stats'!AC:AC)&lt;&gt;"No",_xlfn.XLOOKUP(B121,'Base stats'!B:B,'Base stats'!AC:AC),"")
  ) = "",
  "No",
  _xlfn.TEXTJOIN(", ",TRUE,
    IF(AND(BH121="true",AN121&gt;0.5,BG121&lt;&gt;"None"),"AttackTarget",""),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IF(BE121&lt;=36,"Comfort",""),
    IF(_xlfn.XLOOKUP(B121,'Base stats'!B:B,'Base stats'!AC:AC)&lt;&gt;"No",_xlfn.XLOOKUP(B121,'Base stats'!B:B,'Base stats'!AC:AC),"")
  )
)</f>
        <v>AttackTarget</v>
      </c>
      <c r="BO121" s="25" t="str">
        <f>IF(
   AND(
      'Base stats'!AK121="Standard",_xlfn.XLOOKUP(_xlfn.XLOOKUP(B121,'Base stats'!B:B,'Base stats'!E:E),Groups!A:A,Groups!AU:AU)=0,
      OR(
      BM121="True"
      )
   ),
   10,
   IF(
       OR(BK121&lt;&gt;"No",_xlfn.XLOOKUP(_xlfn.XLOOKUP(B121,'Base stats'!B:B,'Base stats'!E:E),Groups!A:A,Groups!AU:AU)=1),
      1,
      "No"
   )
)</f>
        <v>No</v>
      </c>
      <c r="BP121" s="9">
        <f>MROUND((1 + ((0.2*IF(OR(P121="No",Q121="No",Q121=0),0,P121/Q121)
+IF(OR(U121="No",R121="No",S121="No"),0,R121/S121*(LEN(U121)-LEN(SUBSTITUTE(U121,",",""))+1))
+IF(OR(W121="No",X121="No"),0,W121/X121)
+IF(OR(AC121="No",AD121="No"),0,AC121/AD121)
+IF(OR(AK121="No",AH121="No",AI121="No"),0,AH121/AI121*(LEN(AK121)-LEN(SUBSTITUTE(AK121,",",""))+1))
)/(0.2*IF(OR(P121="No",Q121="No",Q121=0),0,1)
+IF(OR(U121="No",R121="No",S121="No"),0,LEN(U121)-LEN(SUBSTITUTE(U121,",",""))+1)
+IF(OR(W121="No",X121="No"),0,1)
+IF(OR(AC121="No",AD121="No"),0,1)
+IF(OR(AK121="No",AH121="No",AI121="No"),0,LEN(AK121)-LEN(SUBSTITUTE(AK121,",",""))+1))*62%)* 2)*(1 + (AO121 + _xlfn.XLOOKUP(B121,'Base stats'!B:B,'Base stats'!AS:AS) * 1.8) * 2) * 2.5 + 10 + H121 * 2,5)+IF(_xlfn.XLOOKUP(B121,'Base stats'!B:B,'Base stats'!AH:AH)=1,50,0)</f>
        <v>115</v>
      </c>
      <c r="BQ121" s="8">
        <f t="shared" si="12"/>
        <v>0.65</v>
      </c>
      <c r="BR121" s="8" t="str">
        <f>_xlfn.XLOOKUP(B121,'Base stats'!B:B,'Base stats'!AD:AD)</f>
        <v>2~6</v>
      </c>
      <c r="BS121" s="2" t="str">
        <f>IF(AND(I121&lt;=0.95,OR(_xlfn.XLOOKUP(B121,'Base stats'!B:B,'Base stats'!AH:AH)=1,_xlfn.XLOOKUP(B121,'Base stats'!B:B,'Base stats'!Y:Y)="Carnivore",_xlfn.XLOOKUP(B121,'Base stats'!B:B,'Base stats'!Y:Y)="Omnivore",BC121&gt;0.1)),"true","false")</f>
        <v>true</v>
      </c>
      <c r="BT121" s="2" t="str">
        <f>IF(_xlfn.XLOOKUP(B121,'Base stats'!B:B,'Base stats'!AF:AF)=1,"true","false")</f>
        <v>false</v>
      </c>
      <c r="BU121" s="25" t="str">
        <f>IF(E121="BaseInsect","AnimalInsect",
IF(I121&gt;0.95,"AnimalExotic",
_xlfn.TEXTJOIN(", ",TRUE,
IF(AND(_xlfn.XLOOKUP(B121,'Base stats'!B:B,'Base stats'!O:O)=0,_xlfn.XLOOKUP(_xlfn.XLOOKUP(B121,'Base stats'!B:B,'Base stats'!E:E),Groups!A:A,Groups!B:B)&gt;0),"AnimalUncommon","AnimalCommon"),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stats'!AH:AH)=1,AND(BG121&lt;&gt;"None",BP121&gt;=60),ISNUMBER(SEARCH("Attack target",BN121))),"AnimalFighter","")
)))</f>
        <v>AnimalCommon, AnimalFighter</v>
      </c>
      <c r="BV121" s="25" t="str">
        <f>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</f>
        <v>AridShrubland Desert Grasslands</v>
      </c>
      <c r="BW121" s="25" t="str">
        <f>IF(_xlfn.XLOOKUP(B121,'Base stats'!B:B,'Base stats'!AG:AG)=1,"true","false")</f>
        <v>false</v>
      </c>
      <c r="BX121" s="25">
        <f>IF(_xlfn.XLOOKUP(B121,'Base stats'!B:B,'Base stats'!N:N)=1,"No",MIN(MROUND(IF(OR(_xlfn.XLOOKUP(B121,'Base stats'!B:B,'Base stats'!AJ:AJ)=1,AND(BH121="True",CA121="False")),POWER(10,3.47*LOG10(_xlfn.XLOOKUP(B121,'Base stats'!B:B,'Base stats'!C:C)*1000)^-0.96),POWER(10,4.15*LOG10(_xlfn.XLOOKUP(B121,'Base stats'!B:B,'Base stats'!C:C)*1000)^-0.73))*IF(OR(_xlfn.XLOOKUP(B121,'Base stats'!B:B,'Base stats'!AJ:AJ)=1,_xlfn.XLOOKUP(B121,'Base stats'!B:B,'Base stats'!AH:AH)=1),0.5,1)/100,0.025),1))</f>
        <v>0.05</v>
      </c>
      <c r="BY121" s="25" t="str">
        <f>IF(O121="Standard","No",IF(_xlfn.XLOOKUP(B121,'Base stats'!B:B,'Base stats'!N:N)=0,MROUND(BX121*O121,0.05),MIN(1,MAX(0.025,MROUND(IF(OR(CA121="true",AND(BH121="false",BM121="false")),POWER(10,4.15*LOG10(_xlfn.XLOOKUP(B121,'Base stats'!B:B,'Base stats'!C:C)*1000)^-0.73),POWER(10,3.47*LOG10(_xlfn.XLOOKUP(B121,'Base stats'!B:B,'Base stats'!C:C)*1000)^-0.96))*IF(_xlfn.XLOOKUP(B121,'Base stats'!B:B,'Base stats'!AH:AH)=1,0.5,1)/100,0.025)))))</f>
        <v>No</v>
      </c>
      <c r="BZ121" s="25" t="str">
        <f>IF(_xlfn.XLOOKUP(_xlfn.XLOOKUP(B121,'Base stats'!B:B,'Base stats'!E:E),Groups!A:A,Groups!AJ:AJ)="Mammal","True","False")</f>
        <v>True</v>
      </c>
      <c r="CA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B121" s="25" t="str">
        <f t="shared" si="13"/>
        <v>False</v>
      </c>
      <c r="CC121" s="25" t="str">
        <f>IF(_xlfn.XLOOKUP(_xlfn.XLOOKUP(B121,'Base stats'!B:B,'Base stats'!E:E),Groups!A:A,Groups!AW:AW),"True","False")</f>
        <v>False</v>
      </c>
      <c r="CD121" s="25" t="str">
        <f>IF(_xlfn.XLOOKUP(_xlfn.XLOOKUP(B121,'Base stats'!B:B,'Base stats'!E:E),Groups!A:A,Groups!AX:AX),"True","False")</f>
        <v>False</v>
      </c>
      <c r="CE121" s="25" t="str">
        <f>IF(_xlfn.XLOOKUP(B121,'Base stats'!B:B,'Base stats'!E:E)=1,"True","False")</f>
        <v>False</v>
      </c>
      <c r="CF121" s="25" t="str">
        <f>IF(
OR(
_xlfn.XLOOKUP(_xlfn.XLOOKUP(B121,'Base stats'!B:B,'Base stats'!E:E),Groups!A:A,Groups!AY:AY)=0,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stats'!E:E),Groups!A:A,Groups!AY:AY)=1,
"Flesh",
IF(
_xlfn.XLOOKUP(_xlfn.XLOOKUP(B121,'Base stats'!B:B,'Base stats'!E:E),Groups!A:A,Groups!AY:AY)=2,
"Bone",
""
)
)
)</f>
        <v>Bone</v>
      </c>
      <c r="CG121" s="25" t="str">
        <f>IF(_xlfn.XLOOKUP(_xlfn.XLOOKUP(B121,'Base stats'!B:B,'Base stats'!E:E),Groups!A:A,Groups!BA:BA),"True","False")</f>
        <v>True</v>
      </c>
      <c r="CH121" s="25" t="str">
        <f>IF(_xlfn.XLOOKUP(_xlfn.XLOOKUP(B121,'Base stats'!B:B,'Base stats'!E:E),Groups!A:A,Groups!AZ:AZ),"True","False")</f>
        <v>False</v>
      </c>
    </row>
    <row r="122" spans="1:86" s="16" customFormat="1" ht="16.5" thickTop="1" thickBot="1" x14ac:dyDescent="0.3">
      <c r="A122" s="26" t="str">
        <f>_xlfn.XLOOKUP(B122,'Base stats'!B:B,'Base stats'!A:A)</f>
        <v>Desert Tortoise</v>
      </c>
      <c r="B122" s="6" t="s">
        <v>478</v>
      </c>
      <c r="C122" s="28" t="s">
        <v>815</v>
      </c>
      <c r="D122" s="28" t="s">
        <v>884</v>
      </c>
      <c r="E122" s="28" t="s">
        <v>685</v>
      </c>
      <c r="F122" s="28" t="s">
        <v>685</v>
      </c>
      <c r="G122" s="2">
        <f>MROUND((
  (IF(AND(_xlfn.XLOOKUP(B122,'Base stats'!B:B,'Base stats'!AI:AI)=0,BG122="None",_xlfn.XLOOKUP('Base stats'!E122,Groups!A:A,Groups!B:B)=0), (18 + BP122 * 2.7) * 0.5,
    IF(AND(_xlfn.XLOOKUP(B122,'Base stats'!B:B,'Base stats'!AI:AI)=0,OR(AN122&lt;0.55,AND(BG122="Intermediate",_xlfn.XLOOKUP('Base stats'!E122,Groups!A:A,Groups!B:B)&lt;2))), (18 + BP122 * 2.7),
      IF(OR(BG122="Advanced",_xlfn.XLOOKUP(B122,'Base stats'!B:B,'Base stats'!AI:AI)=1,_xlfn.XLOOKUP('Base stats'!E122,Groups!A:A,Groups!B:B)=2), (18 + BP122 * 2.7) + 250, (18 + BP122 * 2.7))
    )
  ))
  + AN122 * 80
  + IF(COUNTIF(EggMilk!K$2:K$998, A122) &gt; 0, 125, 0)
  + IF(COUNTIF(EggMilk!P$2:P$998, A122) &gt; 0, 90, 0)
  + IF(COUNTIF(EggMilk!A$2:A$998, A122) &gt; 0, 90, 0)
)
* (0.8 + 0.4 * I122)
* 0.75,25)</f>
        <v>350</v>
      </c>
      <c r="H122" s="2">
        <f>MROUND(ROUNDDOWN(_xlfn.XLOOKUP(B122,'Base stats'!B:B,'Base stats'!L:L)/3.6/(23.3/11),1),0.5)</f>
        <v>0.5</v>
      </c>
      <c r="I122" s="2">
        <f>IF(_xlfn.XLOOKUP(B122,'Base stats'!B:B,'Base stats'!AI:AI)=1,0.99,MIN(MROUND((1-0.6282*EXP(-0.459*AN122))*_xlfn.XLOOKUP(_xlfn.XLOOKUP(B122,'Base stats'!B:B,'Base stats'!E:E),Groups!A:A,Groups!C:C)*IF(_xlfn.XLOOKUP(B122,'Base stats'!B:B,'Base stats'!O:O)=1,0.5,IF(_xlfn.XLOOKUP(B122,'Base stats'!B:B,'Base stats'!O:O)=2,0,1)),0.05),0.985))</f>
        <v>0.75</v>
      </c>
      <c r="J122" s="2">
        <f>ROUNDUP(AN122*_xlfn.XLOOKUP(_xlfn.XLOOKUP(B122,'Base stats'!B:B,'Base stats'!E:E),Groups!A:A,Groups!E:E),0)</f>
        <v>1</v>
      </c>
      <c r="K122" s="2">
        <f>IF(OR(_xlfn.XLOOKUP(_xlfn.XLOOKUP(B122,'Base stats'!B:B,'Base stats'!E:E),Groups!A:A,Groups!F:F)=2,ISNUMBER(SEARCH("SeaIce",BV122)),ISNUMBER(SEARCH("IceSheet",BV122))),-50,IF(OR(ISNUMBER(SEARCH("GlacialPlain",BV122)),ISNUMBER(SEARCH("Tundra",BV122))),-40,IF(OR(ISNUMBER(SEARCH("Alpine",BV122)),ISNUMBER(SEARCH("BorealForest",BV122)),ISNUMBER(SEARCH("ColdBog",BV122))),-30,IF(OR(ISNUMBER(SEARCH("TemperateForest",BV122)),ISNUMBER(SEARCH("TemperateSwamp",BV122))),-20,IF(_xlfn.XLOOKUP(_xlfn.XLOOKUP(B122,'Base stats'!B:B,'Base stats'!E:E),Groups!A:A,Groups!F:F)=1,-15,IF(OR(ISNUMBER(SEARCH("Desert",BV122)),ISNUMBER(SEARCH("ExtremeDesert",BV122))),-10,IF(OR(ISNUMBER(SEARCH("Grasslands",BV122)),ISNUMBER(SEARCH("TropicalRainforest",BV122)),ISNUMBER(SEARCH("TropicalSwamp",BV122))),10,0)))))))-IF(CA122="False",MIN(IFERROR(MAX(MROUND(LOG10(_xlfn.XLOOKUP(B122,'Base stats'!B:B,'Base stats'!C:C)^(2/3))*10,5),5),5),30))-_xlfn.XLOOKUP(B122,'Base stats'!B:B,'Base stats'!P:P)+IF(CA122="True",5,0)</f>
        <v>-5</v>
      </c>
      <c r="L122" s="2">
        <f>IF(OR(_xlfn.XLOOKUP(_xlfn.XLOOKUP(B122,'Base stats'!B:B,'Base stats'!E:E),Groups!A:A,Groups!G:G)=2,ISNUMBER(SEARCH("Desert",BV122)),ISNUMBER(SEARCH("ExtremeDesert",BV122)),ISNUMBER(SEARCH("LavaField",BV122))),50,IF(ISNUMBER(SEARCH("Grasslands",BV122)),45,IF(OR(_xlfn.XLOOKUP(_xlfn.XLOOKUP(B122,'Base stats'!B:B,'Base stats'!E:E),Groups!A:A,Groups!G:G)=1,ISNUMBER(SEARCH("TropicalRainforest",BV122)),ISNUMBER(SEARCH("TropicalSwamp",BV122))),40,IF(OR(ISNUMBER(SEARCH("TemperateForest",BV122)),ISNUMBER(SEARCH("TemperateSwamp",BV122))),35,IF(OR(ISNUMBER(SEARCH("Alpine",BV122)),ISNUMBER(SEARCH("BorealForest",BV122)),ISNUMBER(SEARCH("ColdBog",BV122))),30,IF(ISNUMBER(OR(ISNUMBER(SEARCH("GlacialPlain",BV122)),SEARCH("Tundra",BV122))),25,IF(OR(ISNUMBER(SEARCH("SeaIce",BV122)),ISNUMBER(SEARCH("IceSheet",BV122)),ISNUMBER(SEARCH("TropicalSwamp",BV122))),10,35)))))))+_xlfn.XLOOKUP(B122,'Base stats'!B:B,'Base stats'!Q:Q)</f>
        <v>50</v>
      </c>
      <c r="M122" s="8">
        <f>IF(_xlfn.XLOOKUP(_xlfn.XLOOKUP(B122,'Base stats'!B:B,'Base stats'!E:E),Groups!A:A,Groups!L:L)=1,MIN(MROUND(_xlfn.XLOOKUP(B122,'Animals CE'!B:B,'Animals CE'!Z:Z)/2+0.05,0.05),200%),"No")</f>
        <v>0.70000000000000007</v>
      </c>
      <c r="N122" s="8">
        <f>IF(_xlfn.XLOOKUP(_xlfn.XLOOKUP(B122,'Base stats'!B:B,'Base stats'!E:E),Groups!A:A,Groups!L:L)=1,MIN(MROUND(_xlfn.XLOOKUP(B122,'Animals CE'!B:B,'Animals CE'!AA:AA)/2+0.05,0.05),200%),"No")</f>
        <v>1.2000000000000002</v>
      </c>
      <c r="O122" s="2" t="str">
        <f>_xlfn.XLOOKUP(B122,'Base stats'!B:B,'Base stats'!R:R)</f>
        <v>Standard</v>
      </c>
      <c r="P122" s="13">
        <f>MROUND((LOG10(_xlfn.XLOOKUP(B122,'Base stats'!B:B,'Base stats'!AO:AO))*(AN122^0.5)+(_xlfn.XLOOKUP(B122,'Base stats'!B:B,'Base stats'!AO:AO)/1000)^(2/3)+_xlfn.XLOOKUP(B122,'Base stats'!B:B,'Base stats'!AX:AX)/2)+0.5,0.5)</f>
        <v>6</v>
      </c>
      <c r="Q122" s="7">
        <f>IF(P122="No","No",MAX(1,MROUND(_xlfn.XLOOKUP(B122,'Base stats'!B:B,'Base stats'!C:C)^0.165,0.05)))</f>
        <v>1.85</v>
      </c>
      <c r="R122" s="13" t="str">
        <f>IF(_xlfn.XLOOKUP(_xlfn.XLOOKUP(B122,'Base stats'!B:B,'Base stats'!E:E),Groups!A:A,Groups!P:P)=0,"No",MROUND((LOG10(_xlfn.XLOOKUP(B122,'Base stats'!B:B,'Base stats'!AP:AP))*(AN122^0.5)+(_xlfn.XLOOKUP(B122,'Base stats'!B:B,'Base stats'!AP:AP)/1000)^(2/3)+_xlfn.XLOOKUP(B122,'Base stats'!B:B,'Base stats'!AX:AX))+_xlfn.XLOOKUP(B122,'Base stats'!B:B,'Base stats'!AV:AV)+0.5,0.5))</f>
        <v>No</v>
      </c>
      <c r="S122" s="7" t="str">
        <f>IF(R122="No","No",MAX(_xlfn.XLOOKUP(_xlfn.XLOOKUP(B122,'Base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T122" s="7" t="str">
        <f>IF(R122="No","No",_xlfn.XLOOKUP(_xlfn.XLOOKUP(B122,'Base stats'!B:B,'Base stats'!E:E),Groups!A:A,Groups!R:R))</f>
        <v>No</v>
      </c>
      <c r="U122" s="7" t="str">
        <f>IF(R122="No","No",_xlfn.XLOOKUP(_xlfn.XLOOKUP(B122,'Base stats'!B:B,'Base stats'!E:E),Groups!A:A,Groups!S:S))</f>
        <v>No</v>
      </c>
      <c r="V122" s="7" t="str">
        <f>IF(R122="No","No",_xlfn.XLOOKUP(_xlfn.XLOOKUP(B122,'Base stats'!B:B,'Base stats'!E:E),Groups!A:A,Groups!T:T))</f>
        <v>No</v>
      </c>
      <c r="W122" s="13" t="str">
        <f>IF(_xlfn.XLOOKUP(B122,'Base stats'!B:B,'Base stats'!W:W)="No","No",MROUND((LOG10(_xlfn.XLOOKUP(B122,'Base stats'!B:B,'Base stats'!AR:AR))*(AN122^0.5)+(_xlfn.XLOOKUP(B122,'Base stats'!B:B,'Base stats'!AR:AR)/1000)^(2/3)+_xlfn.XLOOKUP(B122,'Base stats'!B:B,'Base stats'!AW:AW))+0.5+IF(_xlfn.XLOOKUP(_xlfn.XLOOKUP(B122,'Base stats'!B:B,'Base stats'!E:E),Groups!A:A,Groups!U:U)&lt;&gt;3,_xlfn.XLOOKUP(B122,'Base stats'!B:B,'Base stats'!AX:AX),0),0.5))</f>
        <v>No</v>
      </c>
      <c r="X122" s="7" t="str">
        <f>IF(W122="No","No",MAX(_xlfn.XLOOKUP(_xlfn.XLOOKUP(B122,'Base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Y122" s="7" t="str">
        <f>IF(W122="No","No",_xlfn.XLOOKUP(_xlfn.XLOOKUP(B122,'Base stats'!B:B,'Base stats'!E:E),Groups!A:A,Groups!W:W))</f>
        <v>No</v>
      </c>
      <c r="Z122" s="7" t="str">
        <f>IF(W122="No","No",_xlfn.XLOOKUP(_xlfn.XLOOKUP(B122,'Base stats'!B:B,'Base stats'!E:E),Groups!A:A,Groups!X:X))</f>
        <v>No</v>
      </c>
      <c r="AA122" s="7" t="str">
        <f>IF(W122="No","No",_xlfn.XLOOKUP(_xlfn.XLOOKUP(B122,'Base stats'!B:B,'Base stats'!E:E),Groups!A:A,Groups!Y:Y))</f>
        <v>No</v>
      </c>
      <c r="AB122" s="7" t="str">
        <f>_xlfn.XLOOKUP(Animals!B122,'Base stats'!B:B,'Base stats'!X:X)</f>
        <v>False</v>
      </c>
      <c r="AC122" s="13">
        <f>IF(_xlfn.XLOOKUP(B122,'Base stats'!B:B,'Base stats'!AQ:AQ)="No","No",MROUND((LOG10(_xlfn.XLOOKUP(B122,'Base stats'!B:B,'Base stats'!AQ:AQ))*(AN122^0.75)+(_xlfn.XLOOKUP(B122,'Base stats'!B:B,'Base stats'!AQ:AQ)/1000)^(2/3)+_xlfn.XLOOKUP(B122,'Base stats'!B:B,'Base stats'!AU:AU)+_xlfn.XLOOKUP(B122,'Base stats'!B:B,'Base stats'!AX:AX))+0.5,0.5))</f>
        <v>7</v>
      </c>
      <c r="AD122" s="7">
        <f>IF(AC122="No","No",MAX(_xlfn.XLOOKUP(_xlfn.XLOOKUP(B122,'Base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E122" s="7" t="str">
        <f>IF(AC122="No","No",_xlfn.XLOOKUP(_xlfn.XLOOKUP(B122,'Base stats'!B:B,'Base stats'!E:E),Groups!A:A,Groups!AA:AA))</f>
        <v>TurtleBeakAttackTool</v>
      </c>
      <c r="AF122" s="7" t="str">
        <f>IF(AC122="No","No",_xlfn.XLOOKUP(_xlfn.XLOOKUP(B122,'Base stats'!B:B,'Base stats'!E:E),Groups!A:A,Groups!AB:AB))</f>
        <v>beak</v>
      </c>
      <c r="AG122" s="7" t="str">
        <f>IF(AC122="No","No",_xlfn.XLOOKUP(_xlfn.XLOOKUP(B122,'Base stats'!B:B,'Base stats'!E:E),Groups!A:A,Groups!AC:AC))</f>
        <v>Bite</v>
      </c>
      <c r="AH122" s="13" t="str">
        <f>IF(_xlfn.XLOOKUP(_xlfn.XLOOKUP(B122,'Base stats'!B:B,'Base stats'!E:E),Groups!A:A,Groups!AD:AD)=0,"No",MROUND((LOG10(_xlfn.XLOOKUP(B122,'Base stats'!B:B,'Base stats'!AP:AP))*(AN122^0.75)+(_xlfn.XLOOKUP(B122,'Base stats'!B:B,'Base stats'!AP:AP)/1000)^(2/3)+_xlfn.XLOOKUP(B122,'Base stats'!B:B,'Base stats'!AV:AV)+_xlfn.XLOOKUP(B122,'Base stats'!B:B,'Base stats'!AX:AX))+0.5,0.5))</f>
        <v>No</v>
      </c>
      <c r="AI122" s="7" t="str">
        <f>IF(AH122="No","No",MAX(_xlfn.XLOOKUP(_xlfn.XLOOKUP(B122,'Base stats'!B:B,'Base stats'!E:E),Groups!A:A,Groups!AE:AE),MROUND(_xlfn.XLOOKUP(_xlfn.XLOOKUP(B122,'Base stats'!B:B,'Base stats'!E:E),Groups!A:A,Groups!AE:AE)*_xlfn.XLOOKUP(B122,'Base stats'!B:B,'Base stats'!C:C)^0.165,0.05)))</f>
        <v>No</v>
      </c>
      <c r="AJ122" s="7" t="str">
        <f>IF(AH122="No","No",_xlfn.XLOOKUP(_xlfn.XLOOKUP(B122,'Base stats'!B:B,'Base stats'!E:E),Groups!A:A,Groups!AF:AF))</f>
        <v>No</v>
      </c>
      <c r="AK122" s="7" t="str">
        <f>IF(AH122="No","No",_xlfn.XLOOKUP(_xlfn.XLOOKUP(B122,'Base stats'!B:B,'Base stats'!E:E),Groups!A:A,Groups!AG:AG))</f>
        <v>No</v>
      </c>
      <c r="AL122" s="7" t="str">
        <f>IF(AH122="No","No",_xlfn.XLOOKUP(_xlfn.XLOOKUP(B122,'Base stats'!B:B,'Base stats'!E:E),Groups!A:A,Groups!AH:AH))</f>
        <v>No</v>
      </c>
      <c r="AM122" s="2" t="str">
        <f t="shared" si="7"/>
        <v>No</v>
      </c>
      <c r="AN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O122" s="8">
        <f>MROUND(AN122*_xlfn.XLOOKUP(_xlfn.XLOOKUP(B122,'Base stats'!B:B,'Base stats'!E:E),Groups!A:A,Groups!AI:AI),0.05)</f>
        <v>0.8</v>
      </c>
      <c r="AP122" s="8">
        <f>MAX(0.01,MROUND(IF(CA122="True",0.196*(AN122*100*1000)^0.889,IF(_xlfn.XLOOKUP(_xlfn.XLOOKUP(B122,'Base stats'!B:B,'Base stats'!E:E),Groups!A:A,Groups!AJ:AJ)="Bird",10.5*(AN122*100*1000)^0.681,4.82*(AN122*100*1000)^0.734))/(4.82*(1*100*1000)^0.734)/IF(AN122&lt;3.5,2,IF(AN122=3.5,1.5,1.25))*(1+0.132282374779864/(AN122^0.994035016789033+0.00905238001496948)),0.05))</f>
        <v>0.1</v>
      </c>
      <c r="AQ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R122" s="35" t="str">
        <f>IFERROR(IF(_xlfn.XLOOKUP(B122,'Base stats'!B:B,'Base stats'!F:F)="Lay eggs","Lay eggs",MIN(20,MAX(5.5,ROUND(((_xlfn.XLOOKUP(B122,'Base stats'!B:B,'Base stats'!F:F)-25)*(14.5/615) + 5.5)*2,0)/2))),"Cannot breed")</f>
        <v>Lay eggs</v>
      </c>
      <c r="AS122" s="8">
        <f>IF(OR(A122="Queen",A122="Larva",A122="Megachicken"),"No",IFERROR(MAX(IF(_xlfn.XLOOKUP(B122,'Base stats'!B:B,'Base stats'!G:G)&lt;0.5,0.2,0.3),MROUND(_xlfn.XLOOKUP(B122,'Base stats'!B:B,'Base stats'!G:G)/(365/60),0.2)),"Unknown"))</f>
        <v>2.4000000000000004</v>
      </c>
      <c r="AT122" s="8">
        <f t="shared" si="8"/>
        <v>1.2000000000000002</v>
      </c>
      <c r="AU122" s="8" t="str">
        <f>IFERROR(IFERROR(MROUND(_xlfn.XLOOKUP(B122,'Base stats'!B:B,'Base stats'!J:J),0.1),"Lay eggs"),"Cannot breed")</f>
        <v>Lay eggs</v>
      </c>
      <c r="AV122" s="2" t="str">
        <f t="shared" si="9"/>
        <v>false</v>
      </c>
      <c r="AW122" s="2" t="str">
        <f>IF(_xlfn.XLOOKUP(_xlfn.XLOOKUP(Animals!B122,'Base stats'!B:B,'Base stats'!E:E),Groups!A:A,Groups!AK:AK)=1,"true","false")</f>
        <v>false</v>
      </c>
      <c r="AX122" s="25" t="str">
        <f>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</f>
        <v>VegetarianRoughAnimal</v>
      </c>
      <c r="AY122" s="2">
        <f>IF(_xlfn.XLOOKUP(_xlfn.XLOOKUP(B122,'Base stats'!B:B,'Base stats'!E:E),Groups!A:A,Groups!D:D)=1,MROUND((1-I122)*5+1,2)*IF(I122&lt;=0.4,2,1),"No")</f>
        <v>2</v>
      </c>
      <c r="AZ122" s="2" t="str">
        <f>_xlfn.XLOOKUP(B122,'Base stats'!B:B,'Base stats'!AE:AE)</f>
        <v>Leather_Lizard</v>
      </c>
      <c r="BA122" s="23" t="str">
        <f>_xlfn.XLOOKUP(_xlfn.XLOOKUP(B122,'Base stats'!B:B,'Base stats'!E:E),Groups!A:A,Groups!AL:AL)</f>
        <v>TurtleLike</v>
      </c>
      <c r="BB122" s="23">
        <f>MROUND(IF(AND(AN122&lt;0.5,_xlfn.XLOOKUP(B122,'Base stats'!B:B,'Base stats'!Z:Z)=0),0,IF(OR(_xlfn.XLOOKUP(Animals!B122,'Base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stats'!AA:AA),0.005)</f>
        <v>0</v>
      </c>
      <c r="BC122" s="23">
        <f>MROUND(IF(AND(AN122&lt;0.5,_xlfn.XLOOKUP(B122,'Base stats'!B:B,'Base stats'!Z:Z)=0),0,IF(_xlfn.XLOOKUP(_xlfn.XLOOKUP(B122,'Base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stats'!AB:AB),0.005)</f>
        <v>0</v>
      </c>
      <c r="BD122" s="2" t="str">
        <f>IF(I122&gt;0.3,"No",_xlfn.XLOOKUP(_xlfn.XLOOKUP(Animals!B122,'Base stats'!B:B,'Base stats'!E:E),Groups!A:A,Groups!AP:AP))</f>
        <v>No</v>
      </c>
      <c r="BE122" s="2" t="str">
        <f>IF(AND(I122&lt;=0.65,_xlfn.XLOOKUP(_xlfn.XLOOKUP(Animals!B122,'Base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stats'!O:O)=2,0.2,AN122) + 24*(1-IF(BD122="No",0,BD122)) + 16/3, 12),"No")</f>
        <v>No</v>
      </c>
      <c r="BF122" s="2">
        <f>IF(AND(_xlfn.XLOOKUP(_xlfn.XLOOKUP(B122,'Base stats'!B:B,'Base stats'!E:E),Groups!A:A,Groups!AQ:AQ)=1,AN122&lt;=0.35),8,12)</f>
        <v>12</v>
      </c>
      <c r="BG122" s="2" t="str">
        <f>IF(_xlfn.XLOOKUP(_xlfn.XLOOKUP(B122,'Base stats'!B:B,'Base stats'!E:E),Groups!A:A,Groups!D:D)=0,_xlfn.XLOOKUP(_xlfn.XLOOKUP(B122,'Base stats'!B:B,'Base stats'!E:E),Groups!A:A,Groups!AR:AR),"None")</f>
        <v>None</v>
      </c>
      <c r="BH122" s="2" t="str">
        <f>IF(AND(_xlfn.XLOOKUP(_xlfn.XLOOKUP(B122,'Base stats'!B:B,'Base stats'!E:E),Groups!A:A,Groups!AS:AS)=1,OR('Base stats'!Y122="Carnivore",'Base stats'!Y122="Omnivore")),"true","false")</f>
        <v>false</v>
      </c>
      <c r="BI122" s="2" t="str">
        <f>IF(BH122="true",MROUND(IF(AND(AN122&gt;0.5,_xlfn.XLOOKUP(_xlfn.XLOOKUP(B122,'Base stats'!B:B,'Base stats'!E:E),Groups!A:A,Groups!AJ:AJ)="Mammal"),Animals!AN122*1.75*IF(AV122="true",1.5,1),Animals!AN122),IF(AN122&gt;2,0.5,IF(AN122&gt;0.5,0.25,0.1))),"No")</f>
        <v>No</v>
      </c>
      <c r="BJ122" s="2">
        <f t="shared" si="10"/>
        <v>0</v>
      </c>
      <c r="BK122" s="25" t="str">
        <f>IF('Base stats'!AK122="Standard","No",MROUND((_xlfn.XLOOKUP(B122,'Base stats'!B:B,'Base stats'!AK:AK)/3.6)/H122,0.1))</f>
        <v>No</v>
      </c>
      <c r="BL122" s="25" t="str">
        <f t="shared" si="11"/>
        <v>false</v>
      </c>
      <c r="BM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N122" s="25" t="str" cm="1">
        <f t="array" ref="BN122">IF(
  _xlfn.TEXTJOIN(", ",TRUE,
    IF(AND(BH122="true",AN122&gt;0.5,BG122&lt;&gt;"None"),"AttackTarget",""),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IF(BE122&lt;=36,"Comfort",""),
    IF(_xlfn.XLOOKUP(B122,'Base stats'!B:B,'Base stats'!AC:AC)&lt;&gt;"No",_xlfn.XLOOKUP(B122,'Base stats'!B:B,'Base stats'!AC:AC),"")
  ) = "",
  "No",
  _xlfn.TEXTJOIN(", ",TRUE,
    IF(AND(BH122="true",AN122&gt;0.5,BG122&lt;&gt;"None"),"AttackTarget",""),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IF(BE122&lt;=36,"Comfort",""),
    IF(_xlfn.XLOOKUP(B122,'Base stats'!B:B,'Base stats'!AC:AC)&lt;&gt;"No",_xlfn.XLOOKUP(B122,'Base stats'!B:B,'Base stats'!AC:AC),"")
  )
)</f>
        <v>No</v>
      </c>
      <c r="BO122" s="25" t="str">
        <f>IF(
   AND(
      'Base stats'!AK122="Standard",_xlfn.XLOOKUP(_xlfn.XLOOKUP(B122,'Base stats'!B:B,'Base stats'!E:E),Groups!A:A,Groups!AU:AU)=0,
      OR(
      BM122="True"
      )
   ),
   10,
   IF(
       OR(BK122&lt;&gt;"No",_xlfn.XLOOKUP(_xlfn.XLOOKUP(B122,'Base stats'!B:B,'Base stats'!E:E),Groups!A:A,Groups!AU:AU)=1),
      1,
      "No"
   )
)</f>
        <v>No</v>
      </c>
      <c r="BP122" s="9">
        <f>MROUND((1 + ((0.2*IF(OR(P122="No",Q122="No",Q122=0),0,P122/Q122)
+IF(OR(U122="No",R122="No",S122="No"),0,R122/S122*(LEN(U122)-LEN(SUBSTITUTE(U122,",",""))+1))
+IF(OR(W122="No",X122="No"),0,W122/X122)
+IF(OR(AC122="No",AD122="No"),0,AC122/AD122)
+IF(OR(AK122="No",AH122="No",AI122="No"),0,AH122/AI122*(LEN(AK122)-LEN(SUBSTITUTE(AK122,",",""))+1))
)/(0.2*IF(OR(P122="No",Q122="No",Q122=0),0,1)
+IF(OR(U122="No",R122="No",S122="No"),0,LEN(U122)-LEN(SUBSTITUTE(U122,",",""))+1)
+IF(OR(W122="No",X122="No"),0,1)
+IF(OR(AC122="No",AD122="No"),0,1)
+IF(OR(AK122="No",AH122="No",AI122="No"),0,LEN(AK122)-LEN(SUBSTITUTE(AK122,",",""))+1))*62%)* 2)*(1 + (AO122 + _xlfn.XLOOKUP(B122,'Base stats'!B:B,'Base stats'!AS:AS) * 1.8) * 2) * 2.5 + 10 + H122 * 2,5)+IF(_xlfn.XLOOKUP(B122,'Base stats'!B:B,'Base stats'!AH:AH)=1,50,0)</f>
        <v>95</v>
      </c>
      <c r="BQ122" s="8">
        <f t="shared" si="12"/>
        <v>0.25</v>
      </c>
      <c r="BR122" s="8" t="str">
        <f>_xlfn.XLOOKUP(B122,'Base stats'!B:B,'Base stats'!AD:AD)</f>
        <v>No</v>
      </c>
      <c r="BS122" s="2" t="str">
        <f>IF(AND(I122&lt;=0.95,OR(_xlfn.XLOOKUP(B122,'Base stats'!B:B,'Base stats'!AH:AH)=1,_xlfn.XLOOKUP(B122,'Base stats'!B:B,'Base stats'!Y:Y)="Carnivore",_xlfn.XLOOKUP(B122,'Base stats'!B:B,'Base stats'!Y:Y)="Omnivore",BC122&gt;0.1)),"true","false")</f>
        <v>false</v>
      </c>
      <c r="BT122" s="2" t="str">
        <f>IF(_xlfn.XLOOKUP(B122,'Base stats'!B:B,'Base stats'!AF:AF)=1,"true","false")</f>
        <v>false</v>
      </c>
      <c r="BU122" s="25" t="str">
        <f>IF(E122="BaseInsect","AnimalInsect",
IF(I122&gt;0.95,"AnimalExotic",
_xlfn.TEXTJOIN(", ",TRUE,
IF(AND(_xlfn.XLOOKUP(B122,'Base stats'!B:B,'Base stats'!O:O)=0,_xlfn.XLOOKUP(_xlfn.XLOOKUP(B122,'Base stats'!B:B,'Base stats'!E:E),Groups!A:A,Groups!B:B)&gt;0),"AnimalUncommon","AnimalCommon"),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stats'!AH:AH)=1,AND(BG122&lt;&gt;"None",BP122&gt;=60),ISNUMBER(SEARCH("Attack target",BN122))),"AnimalFighter","")
)))</f>
        <v>AnimalUncommon</v>
      </c>
      <c r="BV122" s="25" t="str">
        <f>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</f>
        <v>AridShrubland Desert ExtremeDesert Grasslands LavaField</v>
      </c>
      <c r="BW122" s="25" t="str">
        <f>IF(_xlfn.XLOOKUP(B122,'Base stats'!B:B,'Base stats'!AG:AG)=1,"true","false")</f>
        <v>false</v>
      </c>
      <c r="BX122" s="25">
        <f>IF(_xlfn.XLOOKUP(B122,'Base stats'!B:B,'Base stats'!N:N)=1,"No",MIN(MROUND(IF(OR(_xlfn.XLOOKUP(B122,'Base stats'!B:B,'Base stats'!AJ:AJ)=1,AND(BH122="True",CA122="False")),POWER(10,3.47*LOG10(_xlfn.XLOOKUP(B122,'Base stats'!B:B,'Base stats'!C:C)*1000)^-0.96),POWER(10,4.15*LOG10(_xlfn.XLOOKUP(B122,'Base stats'!B:B,'Base stats'!C:C)*1000)^-0.73))*IF(OR(_xlfn.XLOOKUP(B122,'Base stats'!B:B,'Base stats'!AJ:AJ)=1,_xlfn.XLOOKUP(B122,'Base stats'!B:B,'Base stats'!AH:AH)=1),0.5,1)/100,0.025),1))</f>
        <v>0.22500000000000001</v>
      </c>
      <c r="BY122" s="25" t="str">
        <f>IF(O122="Standard","No",IF(_xlfn.XLOOKUP(B122,'Base stats'!B:B,'Base stats'!N:N)=0,MROUND(BX122*O122,0.05),MIN(1,MAX(0.025,MROUND(IF(OR(CA122="true",AND(BH122="false",BM122="false")),POWER(10,4.15*LOG10(_xlfn.XLOOKUP(B122,'Base stats'!B:B,'Base stats'!C:C)*1000)^-0.73),POWER(10,3.47*LOG10(_xlfn.XLOOKUP(B122,'Base stats'!B:B,'Base stats'!C:C)*1000)^-0.96))*IF(_xlfn.XLOOKUP(B122,'Base stats'!B:B,'Base stats'!AH:AH)=1,0.5,1)/100,0.025)))))</f>
        <v>No</v>
      </c>
      <c r="BZ122" s="25" t="str">
        <f>IF(_xlfn.XLOOKUP(_xlfn.XLOOKUP(B122,'Base stats'!B:B,'Base stats'!E:E),Groups!A:A,Groups!AJ:AJ)="Mammal","True","False")</f>
        <v>False</v>
      </c>
      <c r="CA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B122" s="25" t="str">
        <f t="shared" si="13"/>
        <v>False</v>
      </c>
      <c r="CC122" s="25" t="str">
        <f>IF(_xlfn.XLOOKUP(_xlfn.XLOOKUP(B122,'Base stats'!B:B,'Base stats'!E:E),Groups!A:A,Groups!AW:AW),"True","False")</f>
        <v>False</v>
      </c>
      <c r="CD122" s="25" t="str">
        <f>IF(_xlfn.XLOOKUP(_xlfn.XLOOKUP(B122,'Base stats'!B:B,'Base stats'!E:E),Groups!A:A,Groups!AX:AX),"True","False")</f>
        <v>False</v>
      </c>
      <c r="CE122" s="25" t="str">
        <f>IF(_xlfn.XLOOKUP(B122,'Base stats'!B:B,'Base stats'!E:E)=1,"True","False")</f>
        <v>False</v>
      </c>
      <c r="CF122" s="25" t="str">
        <f>IF(
OR(
_xlfn.XLOOKUP(_xlfn.XLOOKUP(B122,'Base stats'!B:B,'Base stats'!E:E),Groups!A:A,Groups!AY:AY)=0,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stats'!E:E),Groups!A:A,Groups!AY:AY)=1,
"Flesh",
IF(
_xlfn.XLOOKUP(_xlfn.XLOOKUP(B122,'Base stats'!B:B,'Base stats'!E:E),Groups!A:A,Groups!AY:AY)=2,
"Bone",
""
)
)
)</f>
        <v>No</v>
      </c>
      <c r="CG122" s="25" t="str">
        <f>IF(_xlfn.XLOOKUP(_xlfn.XLOOKUP(B122,'Base stats'!B:B,'Base stats'!E:E),Groups!A:A,Groups!BA:BA),"True","False")</f>
        <v>False</v>
      </c>
      <c r="CH122" s="25" t="str">
        <f>IF(_xlfn.XLOOKUP(_xlfn.XLOOKUP(B122,'Base stats'!B:B,'Base stats'!E:E),Groups!A:A,Groups!AZ:AZ),"True","False")</f>
        <v>False</v>
      </c>
    </row>
    <row r="123" spans="1:86" ht="16.5" thickTop="1" thickBot="1" x14ac:dyDescent="0.3">
      <c r="A123" s="26" t="str">
        <f>_xlfn.XLOOKUP(B123,'Base stats'!B:B,'Base stats'!A:A)</f>
        <v>Lion</v>
      </c>
      <c r="B123" s="6" t="s">
        <v>77</v>
      </c>
      <c r="C123" s="28" t="s">
        <v>816</v>
      </c>
      <c r="D123" s="28" t="s">
        <v>884</v>
      </c>
      <c r="E123" s="28" t="s">
        <v>685</v>
      </c>
      <c r="F123" s="28" t="s">
        <v>685</v>
      </c>
      <c r="G123" s="2">
        <f>MROUND((
  (IF(AND(_xlfn.XLOOKUP(B123,'Base stats'!B:B,'Base stats'!AI:AI)=0,BG123="None",_xlfn.XLOOKUP('Base stats'!E123,Groups!A:A,Groups!B:B)=0), (18 + BP123 * 2.7) * 0.5,
    IF(AND(_xlfn.XLOOKUP(B123,'Base stats'!B:B,'Base stats'!AI:AI)=0,OR(AN123&lt;0.55,AND(BG123="Intermediate",_xlfn.XLOOKUP('Base stats'!E123,Groups!A:A,Groups!B:B)&lt;2))), (18 + BP123 * 2.7),
      IF(OR(BG123="Advanced",_xlfn.XLOOKUP(B123,'Base stats'!B:B,'Base stats'!AI:AI)=1,_xlfn.XLOOKUP('Base stats'!E123,Groups!A:A,Groups!B:B)=2), (18 + BP123 * 2.7) + 250, (18 + BP123 * 2.7))
    )
  ))
  + AN123 * 80
  + IF(COUNTIF(EggMilk!K$2:K$998, A123) &gt; 0, 125, 0)
  + IF(COUNTIF(EggMilk!P$2:P$998, A123) &gt; 0, 90, 0)
  + IF(COUNTIF(EggMilk!A$2:A$998, A123) &gt; 0, 90, 0)
)
* (0.8 + 0.4 * I123)
* 0.75,25)</f>
        <v>825</v>
      </c>
      <c r="H123" s="2">
        <f>MROUND(ROUNDDOWN(_xlfn.XLOOKUP(B123,'Base stats'!B:B,'Base stats'!L:L)/3.6/(23.3/11),1),0.5)</f>
        <v>7.5</v>
      </c>
      <c r="I123" s="2">
        <f>IF(_xlfn.XLOOKUP(B123,'Base stats'!B:B,'Base stats'!AI:AI)=1,0.99,MIN(MROUND((1-0.6282*EXP(-0.459*AN123))*_xlfn.XLOOKUP(_xlfn.XLOOKUP(B123,'Base stats'!B:B,'Base stats'!E:E),Groups!A:A,Groups!C:C)*IF(_xlfn.XLOOKUP(B123,'Base stats'!B:B,'Base stats'!O:O)=1,0.5,IF(_xlfn.XLOOKUP(B123,'Base stats'!B:B,'Base stats'!O:O)=2,0,1)),0.05),0.985))</f>
        <v>0.9</v>
      </c>
      <c r="J123" s="2">
        <f>ROUNDUP(AN123*_xlfn.XLOOKUP(_xlfn.XLOOKUP(B123,'Base stats'!B:B,'Base stats'!E:E),Groups!A:A,Groups!E:E),0)</f>
        <v>2</v>
      </c>
      <c r="K123" s="2">
        <f>IF(OR(_xlfn.XLOOKUP(_xlfn.XLOOKUP(B123,'Base stats'!B:B,'Base stats'!E:E),Groups!A:A,Groups!F:F)=2,ISNUMBER(SEARCH("SeaIce",BV123)),ISNUMBER(SEARCH("IceSheet",BV123))),-50,IF(OR(ISNUMBER(SEARCH("GlacialPlain",BV123)),ISNUMBER(SEARCH("Tundra",BV123))),-40,IF(OR(ISNUMBER(SEARCH("Alpine",BV123)),ISNUMBER(SEARCH("BorealForest",BV123)),ISNUMBER(SEARCH("ColdBog",BV123))),-30,IF(OR(ISNUMBER(SEARCH("TemperateForest",BV123)),ISNUMBER(SEARCH("TemperateSwamp",BV123))),-20,IF(_xlfn.XLOOKUP(_xlfn.XLOOKUP(B123,'Base stats'!B:B,'Base stats'!E:E),Groups!A:A,Groups!F:F)=1,-15,IF(OR(ISNUMBER(SEARCH("Desert",BV123)),ISNUMBER(SEARCH("ExtremeDesert",BV123))),-10,IF(OR(ISNUMBER(SEARCH("Grasslands",BV123)),ISNUMBER(SEARCH("TropicalRainforest",BV123)),ISNUMBER(SEARCH("TropicalSwamp",BV123))),10,0)))))))-IF(CA123="False",MIN(IFERROR(MAX(MROUND(LOG10(_xlfn.XLOOKUP(B123,'Base stats'!B:B,'Base stats'!C:C)^(2/3))*10,5),5),5),30))-_xlfn.XLOOKUP(B123,'Base stats'!B:B,'Base stats'!P:P)+IF(CA123="True",5,0)</f>
        <v>-30</v>
      </c>
      <c r="L123" s="2">
        <f>IF(OR(_xlfn.XLOOKUP(_xlfn.XLOOKUP(B123,'Base stats'!B:B,'Base stats'!E:E),Groups!A:A,Groups!G:G)=2,ISNUMBER(SEARCH("Desert",BV123)),ISNUMBER(SEARCH("ExtremeDesert",BV123)),ISNUMBER(SEARCH("LavaField",BV123))),50,IF(ISNUMBER(SEARCH("Grasslands",BV123)),45,IF(OR(_xlfn.XLOOKUP(_xlfn.XLOOKUP(B123,'Base stats'!B:B,'Base stats'!E:E),Groups!A:A,Groups!G:G)=1,ISNUMBER(SEARCH("TropicalRainforest",BV123)),ISNUMBER(SEARCH("TropicalSwamp",BV123))),40,IF(OR(ISNUMBER(SEARCH("TemperateForest",BV123)),ISNUMBER(SEARCH("TemperateSwamp",BV123))),35,IF(OR(ISNUMBER(SEARCH("Alpine",BV123)),ISNUMBER(SEARCH("BorealForest",BV123)),ISNUMBER(SEARCH("ColdBog",BV123))),30,IF(ISNUMBER(OR(ISNUMBER(SEARCH("GlacialPlain",BV123)),SEARCH("Tundra",BV123))),25,IF(OR(ISNUMBER(SEARCH("SeaIce",BV123)),ISNUMBER(SEARCH("IceSheet",BV123)),ISNUMBER(SEARCH("TropicalSwamp",BV123))),10,35)))))))+_xlfn.XLOOKUP(B123,'Base stats'!B:B,'Base stats'!Q:Q)</f>
        <v>50</v>
      </c>
      <c r="M123" s="8" t="str">
        <f>IF(_xlfn.XLOOKUP(_xlfn.XLOOKUP(B123,'Base stats'!B:B,'Base stats'!E:E),Groups!A:A,Groups!L:L)=1,MIN(MROUND(_xlfn.XLOOKUP(B123,'Animals CE'!B:B,'Animals CE'!Z:Z)/2+0.05,0.05),200%),"No")</f>
        <v>No</v>
      </c>
      <c r="N123" s="8" t="str">
        <f>IF(_xlfn.XLOOKUP(_xlfn.XLOOKUP(B123,'Base stats'!B:B,'Base stats'!E:E),Groups!A:A,Groups!L:L)=1,MIN(MROUND(_xlfn.XLOOKUP(B123,'Animals CE'!B:B,'Animals CE'!AA:AA)/2+0.05,0.05),200%),"No")</f>
        <v>No</v>
      </c>
      <c r="O123" s="2" t="str">
        <f>_xlfn.XLOOKUP(B123,'Base stats'!B:B,'Base stats'!R:R)</f>
        <v>Standard</v>
      </c>
      <c r="P123" s="13">
        <f>MROUND((LOG10(_xlfn.XLOOKUP(B123,'Base stats'!B:B,'Base stats'!AO:AO))*(AN123^0.5)+(_xlfn.XLOOKUP(B123,'Base stats'!B:B,'Base stats'!AO:AO)/1000)^(2/3)+_xlfn.XLOOKUP(B123,'Base stats'!B:B,'Base stats'!AX:AX)/2)+0.5,0.5)</f>
        <v>10.5</v>
      </c>
      <c r="Q123" s="7">
        <f>IF(P123="No","No",MAX(1,MROUND(_xlfn.XLOOKUP(B123,'Base stats'!B:B,'Base stats'!C:C)^0.165,0.05)))</f>
        <v>2.35</v>
      </c>
      <c r="R123" s="13" t="str">
        <f>IF(_xlfn.XLOOKUP(_xlfn.XLOOKUP(B123,'Base stats'!B:B,'Base stats'!E:E),Groups!A:A,Groups!P:P)=0,"No",MROUND((LOG10(_xlfn.XLOOKUP(B123,'Base stats'!B:B,'Base stats'!AP:AP))*(AN123^0.5)+(_xlfn.XLOOKUP(B123,'Base stats'!B:B,'Base stats'!AP:AP)/1000)^(2/3)+_xlfn.XLOOKUP(B123,'Base stats'!B:B,'Base stats'!AX:AX))+_xlfn.XLOOKUP(B123,'Base stats'!B:B,'Base stats'!AV:AV)+0.5,0.5))</f>
        <v>No</v>
      </c>
      <c r="S123" s="7" t="str">
        <f>IF(R123="No","No",MAX(_xlfn.XLOOKUP(_xlfn.XLOOKUP(B123,'Base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T123" s="7" t="str">
        <f>IF(R123="No","No",_xlfn.XLOOKUP(_xlfn.XLOOKUP(B123,'Base stats'!B:B,'Base stats'!E:E),Groups!A:A,Groups!R:R))</f>
        <v>No</v>
      </c>
      <c r="U123" s="7" t="str">
        <f>IF(R123="No","No",_xlfn.XLOOKUP(_xlfn.XLOOKUP(B123,'Base stats'!B:B,'Base stats'!E:E),Groups!A:A,Groups!S:S))</f>
        <v>No</v>
      </c>
      <c r="V123" s="7" t="str">
        <f>IF(R123="No","No",_xlfn.XLOOKUP(_xlfn.XLOOKUP(B123,'Base stats'!B:B,'Base stats'!E:E),Groups!A:A,Groups!T:T))</f>
        <v>No</v>
      </c>
      <c r="W123" s="13" t="str">
        <f>IF(_xlfn.XLOOKUP(B123,'Base stats'!B:B,'Base stats'!W:W)="No","No",MROUND((LOG10(_xlfn.XLOOKUP(B123,'Base stats'!B:B,'Base stats'!AR:AR))*(AN123^0.5)+(_xlfn.XLOOKUP(B123,'Base stats'!B:B,'Base stats'!AR:AR)/1000)^(2/3)+_xlfn.XLOOKUP(B123,'Base stats'!B:B,'Base stats'!AW:AW))+0.5+IF(_xlfn.XLOOKUP(_xlfn.XLOOKUP(B123,'Base stats'!B:B,'Base stats'!E:E),Groups!A:A,Groups!U:U)&lt;&gt;3,_xlfn.XLOOKUP(B123,'Base stats'!B:B,'Base stats'!AX:AX),0),0.5))</f>
        <v>No</v>
      </c>
      <c r="X123" s="7" t="str">
        <f>IF(W123="No","No",MAX(_xlfn.XLOOKUP(_xlfn.XLOOKUP(B123,'Base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Y123" s="7" t="str">
        <f>IF(W123="No","No",_xlfn.XLOOKUP(_xlfn.XLOOKUP(B123,'Base stats'!B:B,'Base stats'!E:E),Groups!A:A,Groups!W:W))</f>
        <v>No</v>
      </c>
      <c r="Z123" s="7" t="str">
        <f>IF(W123="No","No",_xlfn.XLOOKUP(_xlfn.XLOOKUP(B123,'Base stats'!B:B,'Base stats'!E:E),Groups!A:A,Groups!X:X))</f>
        <v>No</v>
      </c>
      <c r="AA123" s="7" t="str">
        <f>IF(W123="No","No",_xlfn.XLOOKUP(_xlfn.XLOOKUP(B123,'Base stats'!B:B,'Base stats'!E:E),Groups!A:A,Groups!Y:Y))</f>
        <v>No</v>
      </c>
      <c r="AB123" s="7" t="str">
        <f>_xlfn.XLOOKUP(Animals!B123,'Base stats'!B:B,'Base stats'!X:X)</f>
        <v>False</v>
      </c>
      <c r="AC123" s="13">
        <f>IF(_xlfn.XLOOKUP(B123,'Base stats'!B:B,'Base stats'!AQ:AQ)="No","No",MROUND((LOG10(_xlfn.XLOOKUP(B123,'Base stats'!B:B,'Base stats'!AQ:AQ))*(AN123^0.75)+(_xlfn.XLOOKUP(B123,'Base stats'!B:B,'Base stats'!AQ:AQ)/1000)^(2/3)+_xlfn.XLOOKUP(B123,'Base stats'!B:B,'Base stats'!AU:AU)+_xlfn.XLOOKUP(B123,'Base stats'!B:B,'Base stats'!AX:AX))+0.5,0.5))</f>
        <v>19</v>
      </c>
      <c r="AD123" s="7">
        <f>IF(AC123="No","No",MAX(_xlfn.XLOOKUP(_xlfn.XLOOKUP(B123,'Base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E123" s="7" t="str">
        <f>IF(AC123="No","No",_xlfn.XLOOKUP(_xlfn.XLOOKUP(B123,'Base stats'!B:B,'Base stats'!E:E),Groups!A:A,Groups!AA:AA))</f>
        <v>Teeth</v>
      </c>
      <c r="AF123" s="7" t="str">
        <f>IF(AC123="No","No",_xlfn.XLOOKUP(_xlfn.XLOOKUP(B123,'Base stats'!B:B,'Base stats'!E:E),Groups!A:A,Groups!AB:AB))</f>
        <v>canines</v>
      </c>
      <c r="AG123" s="7" t="str">
        <f>IF(AC123="No","No",_xlfn.XLOOKUP(_xlfn.XLOOKUP(B123,'Base stats'!B:B,'Base stats'!E:E),Groups!A:A,Groups!AC:AC))</f>
        <v>Bite</v>
      </c>
      <c r="AH123" s="13">
        <f>IF(_xlfn.XLOOKUP(_xlfn.XLOOKUP(B123,'Base stats'!B:B,'Base stats'!E:E),Groups!A:A,Groups!AD:AD)=0,"No",MROUND((LOG10(_xlfn.XLOOKUP(B123,'Base stats'!B:B,'Base stats'!AP:AP))*(AN123^0.75)+(_xlfn.XLOOKUP(B123,'Base stats'!B:B,'Base stats'!AP:AP)/1000)^(2/3)+_xlfn.XLOOKUP(B123,'Base stats'!B:B,'Base stats'!AV:AV)+_xlfn.XLOOKUP(B123,'Base stats'!B:B,'Base stats'!AX:AX))+0.5,0.5))</f>
        <v>16</v>
      </c>
      <c r="AI123" s="7">
        <f>IF(AH123="No","No",MAX(_xlfn.XLOOKUP(_xlfn.XLOOKUP(B123,'Base stats'!B:B,'Base stats'!E:E),Groups!A:A,Groups!AE:AE),MROUND(_xlfn.XLOOKUP(_xlfn.XLOOKUP(B123,'Base stats'!B:B,'Base stats'!E:E),Groups!A:A,Groups!AE:AE)*_xlfn.XLOOKUP(B123,'Base stats'!B:B,'Base stats'!C:C)^0.165,0.05)))</f>
        <v>1.5</v>
      </c>
      <c r="AJ123" s="7" t="str">
        <f>IF(AH123="No","No",_xlfn.XLOOKUP(_xlfn.XLOOKUP(B123,'Base stats'!B:B,'Base stats'!E:E),Groups!A:A,Groups!AF:AF))</f>
        <v>FrontRightPaw, FrontRightPaw</v>
      </c>
      <c r="AK123" s="7" t="str">
        <f>IF(AH123="No","No",_xlfn.XLOOKUP(_xlfn.XLOOKUP(B123,'Base stats'!B:B,'Base stats'!E:E),Groups!A:A,Groups!AG:AG))</f>
        <v>left claw, right claw</v>
      </c>
      <c r="AL123" s="7" t="str">
        <f>IF(AH123="No","No",_xlfn.XLOOKUP(_xlfn.XLOOKUP(B123,'Base stats'!B:B,'Base stats'!E:E),Groups!A:A,Groups!AH:AH))</f>
        <v>Scratch</v>
      </c>
      <c r="AM123" s="2">
        <f t="shared" si="7"/>
        <v>25</v>
      </c>
      <c r="AN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O123" s="8">
        <f>MROUND(AN123*_xlfn.XLOOKUP(_xlfn.XLOOKUP(B123,'Base stats'!B:B,'Base stats'!E:E),Groups!A:A,Groups!AI:AI),0.05)</f>
        <v>2.0500000000000003</v>
      </c>
      <c r="AP123" s="8">
        <f>MAX(0.01,MROUND(IF(CA123="True",0.196*(AN123*100*1000)^0.889,IF(_xlfn.XLOOKUP(_xlfn.XLOOKUP(B123,'Base stats'!B:B,'Base stats'!E:E),Groups!A:A,Groups!AJ:AJ)="Bird",10.5*(AN123*100*1000)^0.681,4.82*(AN123*100*1000)^0.734))/(4.82*(1*100*1000)^0.734)/IF(AN123&lt;3.5,2,IF(AN123=3.5,1.5,1.25))*(1+0.132282374779864/(AN123^0.994035016789033+0.00905238001496948)),0.05))</f>
        <v>0.8</v>
      </c>
      <c r="AQ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R123" s="35">
        <f>IFERROR(IF(_xlfn.XLOOKUP(B123,'Base stats'!B:B,'Base stats'!F:F)="Lay eggs","Lay eggs",MIN(20,MAX(5.5,ROUND(((_xlfn.XLOOKUP(B123,'Base stats'!B:B,'Base stats'!F:F)-25)*(14.5/615) + 5.5)*2,0)/2))),"Cannot breed")</f>
        <v>7.5</v>
      </c>
      <c r="AS123" s="8">
        <f>IF(OR(A123="Queen",A123="Larva",A123="Megachicken"),"No",IFERROR(MAX(IF(_xlfn.XLOOKUP(B123,'Base stats'!B:B,'Base stats'!G:G)&lt;0.5,0.2,0.3),MROUND(_xlfn.XLOOKUP(B123,'Base stats'!B:B,'Base stats'!G:G)/(365/60),0.2)),"Unknown"))</f>
        <v>0.4</v>
      </c>
      <c r="AT123" s="8">
        <f t="shared" si="8"/>
        <v>0.2</v>
      </c>
      <c r="AU123" s="8">
        <f>IFERROR(IFERROR(MROUND(_xlfn.XLOOKUP(B123,'Base stats'!B:B,'Base stats'!J:J),0.1),"Lay eggs"),"Cannot breed")</f>
        <v>3</v>
      </c>
      <c r="AV123" s="2" t="str">
        <f t="shared" si="9"/>
        <v>true</v>
      </c>
      <c r="AW123" s="2" t="str">
        <f>IF(_xlfn.XLOOKUP(_xlfn.XLOOKUP(Animals!B123,'Base stats'!B:B,'Base stats'!E:E),Groups!A:A,Groups!AK:AK)=1,"true","false")</f>
        <v>false</v>
      </c>
      <c r="AX123" s="25" t="str">
        <f>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</f>
        <v>CarnivoreAnimal, OvivoreAnimal</v>
      </c>
      <c r="AY123" s="2" t="str">
        <f>IF(_xlfn.XLOOKUP(_xlfn.XLOOKUP(B123,'Base stats'!B:B,'Base stats'!E:E),Groups!A:A,Groups!D:D)=1,MROUND((1-I123)*5+1,2)*IF(I123&lt;=0.4,2,1),"No")</f>
        <v>No</v>
      </c>
      <c r="AZ123" s="2" t="str">
        <f>_xlfn.XLOOKUP(B123,'Base stats'!B:B,'Base stats'!AE:AE)</f>
        <v>Leather_Panthera</v>
      </c>
      <c r="BA123" s="23" t="str">
        <f>_xlfn.XLOOKUP(_xlfn.XLOOKUP(B123,'Base stats'!B:B,'Base stats'!E:E),Groups!A:A,Groups!AL:AL)</f>
        <v>QuadrupedAnimalWithPawsAndTail</v>
      </c>
      <c r="BB123" s="23">
        <f>MROUND(IF(AND(AN123&lt;0.5,_xlfn.XLOOKUP(B123,'Base stats'!B:B,'Base stats'!Z:Z)=0),0,IF(OR(_xlfn.XLOOKUP(Animals!B123,'Base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stats'!AA:AA),0.005)</f>
        <v>0.1</v>
      </c>
      <c r="BC123" s="23">
        <f>MROUND(IF(AND(AN123&lt;0.5,_xlfn.XLOOKUP(B123,'Base stats'!B:B,'Base stats'!Z:Z)=0),0,IF(_xlfn.XLOOKUP(_xlfn.XLOOKUP(B123,'Base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stats'!AB:AB),0.005)</f>
        <v>0.3</v>
      </c>
      <c r="BD123" s="2" t="str">
        <f>IF(I123&gt;0.3,"No",_xlfn.XLOOKUP(_xlfn.XLOOKUP(Animals!B123,'Base stats'!B:B,'Base stats'!E:E),Groups!A:A,Groups!AP:AP))</f>
        <v>No</v>
      </c>
      <c r="BE123" s="2" t="str">
        <f>IF(AND(I123&lt;=0.65,_xlfn.XLOOKUP(_xlfn.XLOOKUP(Animals!B123,'Base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stats'!O:O)=2,0.2,AN123) + 24*(1-IF(BD123="No",0,BD123)) + 16/3, 12),"No")</f>
        <v>No</v>
      </c>
      <c r="BF123" s="2">
        <f>IF(AND(_xlfn.XLOOKUP(_xlfn.XLOOKUP(B123,'Base stats'!B:B,'Base stats'!E:E),Groups!A:A,Groups!AQ:AQ)=1,AN123&lt;=0.35),8,12)</f>
        <v>12</v>
      </c>
      <c r="BG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H123" s="2" t="str">
        <f>IF(AND(_xlfn.XLOOKUP(_xlfn.XLOOKUP(B123,'Base stats'!B:B,'Base stats'!E:E),Groups!A:A,Groups!AS:AS)=1,OR('Base stats'!Y123="Carnivore",'Base stats'!Y123="Omnivore")),"true","false")</f>
        <v>true</v>
      </c>
      <c r="BI123" s="2">
        <f>IF(BH123="true",MROUND(IF(AND(AN123&gt;0.5,_xlfn.XLOOKUP(_xlfn.XLOOKUP(B123,'Base stats'!B:B,'Base stats'!E:E),Groups!A:A,Groups!AJ:AJ)="Mammal"),Animals!AN123*1.75*IF(AV123="true",1.5,1),Animals!AN123),IF(AN123&gt;2,0.5,IF(AN123&gt;0.5,0.25,0.1))),"No")</f>
        <v>4.5</v>
      </c>
      <c r="BJ123" s="2">
        <f t="shared" si="10"/>
        <v>1</v>
      </c>
      <c r="BK123" s="25" t="str">
        <f>IF('Base stats'!AK123="Standard","No",MROUND((_xlfn.XLOOKUP(B123,'Base stats'!B:B,'Base stats'!AK:AK)/3.6)/H123,0.1))</f>
        <v>No</v>
      </c>
      <c r="BL123" s="25" t="str">
        <f t="shared" si="11"/>
        <v>false</v>
      </c>
      <c r="BM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N123" s="25" t="str" cm="1">
        <f t="array" ref="BN123">IF(
  _xlfn.TEXTJOIN(", ",TRUE,
    IF(AND(BH123="true",AN123&gt;0.5,BG123&lt;&gt;"None"),"AttackTarget",""),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IF(BE123&lt;=36,"Comfort",""),
    IF(_xlfn.XLOOKUP(B123,'Base stats'!B:B,'Base stats'!AC:AC)&lt;&gt;"No",_xlfn.XLOOKUP(B123,'Base stats'!B:B,'Base stats'!AC:AC),"")
  ) = "",
  "No",
  _xlfn.TEXTJOIN(", ",TRUE,
    IF(AND(BH123="true",AN123&gt;0.5,BG123&lt;&gt;"None"),"AttackTarget",""),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IF(BE123&lt;=36,"Comfort",""),
    IF(_xlfn.XLOOKUP(B123,'Base stats'!B:B,'Base stats'!AC:AC)&lt;&gt;"No",_xlfn.XLOOKUP(B123,'Base stats'!B:B,'Base stats'!AC:AC),"")
  )
)</f>
        <v>AttackTarget</v>
      </c>
      <c r="BO123" s="25" t="str">
        <f>IF(
   AND(
      'Base stats'!AK123="Standard",_xlfn.XLOOKUP(_xlfn.XLOOKUP(B123,'Base stats'!B:B,'Base stats'!E:E),Groups!A:A,Groups!AU:AU)=0,
      OR(
      BM123="True"
      )
   ),
   10,
   IF(
       OR(BK123&lt;&gt;"No",_xlfn.XLOOKUP(_xlfn.XLOOKUP(B123,'Base stats'!B:B,'Base stats'!E:E),Groups!A:A,Groups!AU:AU)=1),
      1,
      "No"
   )
)</f>
        <v>No</v>
      </c>
      <c r="BP123" s="9">
        <f>MROUND((1 + ((0.2*IF(OR(P123="No",Q123="No",Q123=0),0,P123/Q123)
+IF(OR(U123="No",R123="No",S123="No"),0,R123/S123*(LEN(U123)-LEN(SUBSTITUTE(U123,",",""))+1))
+IF(OR(W123="No",X123="No"),0,W123/X123)
+IF(OR(AC123="No",AD123="No"),0,AC123/AD123)
+IF(OR(AK123="No",AH123="No",AI123="No"),0,AH123/AI123*(LEN(AK123)-LEN(SUBSTITUTE(AK123,",",""))+1))
)/(0.2*IF(OR(P123="No",Q123="No",Q123=0),0,1)
+IF(OR(U123="No",R123="No",S123="No"),0,LEN(U123)-LEN(SUBSTITUTE(U123,",",""))+1)
+IF(OR(W123="No",X123="No"),0,1)
+IF(OR(AC123="No",AD123="No"),0,1)
+IF(OR(AK123="No",AH123="No",AI123="No"),0,LEN(AK123)-LEN(SUBSTITUTE(AK123,",",""))+1))*62%)* 2)*(1 + (AO123 + _xlfn.XLOOKUP(B123,'Base stats'!B:B,'Base stats'!AS:AS) * 1.8) * 2) * 2.5 + 10 + H123 * 2,5)+IF(_xlfn.XLOOKUP(B123,'Base stats'!B:B,'Base stats'!AH:AH)=1,50,0)</f>
        <v>205</v>
      </c>
      <c r="BQ123" s="8">
        <f t="shared" si="12"/>
        <v>1</v>
      </c>
      <c r="BR123" s="8" t="str">
        <f>_xlfn.XLOOKUP(B123,'Base stats'!B:B,'Base stats'!AD:AD)</f>
        <v>2~6</v>
      </c>
      <c r="BS123" s="2" t="str">
        <f>IF(AND(I123&lt;=0.95,OR(_xlfn.XLOOKUP(B123,'Base stats'!B:B,'Base stats'!AH:AH)=1,_xlfn.XLOOKUP(B123,'Base stats'!B:B,'Base stats'!Y:Y)="Carnivore",_xlfn.XLOOKUP(B123,'Base stats'!B:B,'Base stats'!Y:Y)="Omnivore",BC123&gt;0.1)),"true","false")</f>
        <v>true</v>
      </c>
      <c r="BT123" s="2" t="str">
        <f>IF(_xlfn.XLOOKUP(B123,'Base stats'!B:B,'Base stats'!AF:AF)=1,"true","false")</f>
        <v>false</v>
      </c>
      <c r="BU123" s="25" t="str">
        <f>IF(E123="BaseInsect","AnimalInsect",
IF(I123&gt;0.95,"AnimalExotic",
_xlfn.TEXTJOIN(", ",TRUE,
IF(AND(_xlfn.XLOOKUP(B123,'Base stats'!B:B,'Base stats'!O:O)=0,_xlfn.XLOOKUP(_xlfn.XLOOKUP(B123,'Base stats'!B:B,'Base stats'!E:E),Groups!A:A,Groups!B:B)&gt;0),"AnimalUncommon","AnimalCommon"),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stats'!AH:AH)=1,AND(BG123&lt;&gt;"None",BP123&gt;=60),ISNUMBER(SEARCH("Attack target",BN123))),"AnimalFighter","")
)))</f>
        <v>AnimalUncommon, AnimalFighter</v>
      </c>
      <c r="BV123" s="25" t="str">
        <f>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</f>
        <v>AridShrubland Desert Grasslands LavaField</v>
      </c>
      <c r="BW123" s="25" t="str">
        <f>IF(_xlfn.XLOOKUP(B123,'Base stats'!B:B,'Base stats'!AG:AG)=1,"true","false")</f>
        <v>false</v>
      </c>
      <c r="BX123" s="25">
        <f>IF(_xlfn.XLOOKUP(B123,'Base stats'!B:B,'Base stats'!N:N)=1,"No",MIN(MROUND(IF(OR(_xlfn.XLOOKUP(B123,'Base stats'!B:B,'Base stats'!AJ:AJ)=1,AND(BH123="True",CA123="False")),POWER(10,3.47*LOG10(_xlfn.XLOOKUP(B123,'Base stats'!B:B,'Base stats'!C:C)*1000)^-0.96),POWER(10,4.15*LOG10(_xlfn.XLOOKUP(B123,'Base stats'!B:B,'Base stats'!C:C)*1000)^-0.73))*IF(OR(_xlfn.XLOOKUP(B123,'Base stats'!B:B,'Base stats'!AJ:AJ)=1,_xlfn.XLOOKUP(B123,'Base stats'!B:B,'Base stats'!AH:AH)=1),0.5,1)/100,0.025),1))</f>
        <v>0.05</v>
      </c>
      <c r="BY123" s="25" t="str">
        <f>IF(O123="Standard","No",IF(_xlfn.XLOOKUP(B123,'Base stats'!B:B,'Base stats'!N:N)=0,MROUND(BX123*O123,0.05),MIN(1,MAX(0.025,MROUND(IF(OR(CA123="true",AND(BH123="false",BM123="false")),POWER(10,4.15*LOG10(_xlfn.XLOOKUP(B123,'Base stats'!B:B,'Base stats'!C:C)*1000)^-0.73),POWER(10,3.47*LOG10(_xlfn.XLOOKUP(B123,'Base stats'!B:B,'Base stats'!C:C)*1000)^-0.96))*IF(_xlfn.XLOOKUP(B123,'Base stats'!B:B,'Base stats'!AH:AH)=1,0.5,1)/100,0.025)))))</f>
        <v>No</v>
      </c>
      <c r="BZ123" s="25" t="str">
        <f>IF(_xlfn.XLOOKUP(_xlfn.XLOOKUP(B123,'Base stats'!B:B,'Base stats'!E:E),Groups!A:A,Groups!AJ:AJ)="Mammal","True","False")</f>
        <v>True</v>
      </c>
      <c r="CA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B123" s="25" t="str">
        <f t="shared" si="13"/>
        <v>False</v>
      </c>
      <c r="CC123" s="25" t="str">
        <f>IF(_xlfn.XLOOKUP(_xlfn.XLOOKUP(B123,'Base stats'!B:B,'Base stats'!E:E),Groups!A:A,Groups!AW:AW),"True","False")</f>
        <v>False</v>
      </c>
      <c r="CD123" s="25" t="str">
        <f>IF(_xlfn.XLOOKUP(_xlfn.XLOOKUP(B123,'Base stats'!B:B,'Base stats'!E:E),Groups!A:A,Groups!AX:AX),"True","False")</f>
        <v>False</v>
      </c>
      <c r="CE123" s="25" t="str">
        <f>IF(_xlfn.XLOOKUP(B123,'Base stats'!B:B,'Base stats'!E:E)=1,"True","False")</f>
        <v>False</v>
      </c>
      <c r="CF123" s="25" t="str">
        <f>IF(
OR(
_xlfn.XLOOKUP(_xlfn.XLOOKUP(B123,'Base stats'!B:B,'Base stats'!E:E),Groups!A:A,Groups!AY:AY)=0,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stats'!E:E),Groups!A:A,Groups!AY:AY)=1,
"Flesh",
IF(
_xlfn.XLOOKUP(_xlfn.XLOOKUP(B123,'Base stats'!B:B,'Base stats'!E:E),Groups!A:A,Groups!AY:AY)=2,
"Bone",
""
)
)
)</f>
        <v>No</v>
      </c>
      <c r="CG123" s="25" t="str">
        <f>IF(_xlfn.XLOOKUP(_xlfn.XLOOKUP(B123,'Base stats'!B:B,'Base stats'!E:E),Groups!A:A,Groups!BA:BA),"True","False")</f>
        <v>True</v>
      </c>
      <c r="CH123" s="25" t="str">
        <f>IF(_xlfn.XLOOKUP(_xlfn.XLOOKUP(B123,'Base stats'!B:B,'Base stats'!E:E),Groups!A:A,Groups!AZ:AZ),"True","False")</f>
        <v>False</v>
      </c>
    </row>
    <row r="124" spans="1:86" s="16" customFormat="1" ht="16.5" thickTop="1" thickBot="1" x14ac:dyDescent="0.3">
      <c r="A124" s="26" t="str">
        <f>_xlfn.XLOOKUP(B124,'Base stats'!B:B,'Base stats'!A:A)</f>
        <v>Gila Monster</v>
      </c>
      <c r="B124" s="6" t="s">
        <v>614</v>
      </c>
      <c r="C124" s="28" t="s">
        <v>817</v>
      </c>
      <c r="D124" s="28" t="s">
        <v>884</v>
      </c>
      <c r="E124" s="28" t="s">
        <v>685</v>
      </c>
      <c r="F124" s="28" t="s">
        <v>685</v>
      </c>
      <c r="G124" s="2">
        <f>MROUND((
  (IF(AND(_xlfn.XLOOKUP(B124,'Base stats'!B:B,'Base stats'!AI:AI)=0,BG124="None",_xlfn.XLOOKUP('Base stats'!E124,Groups!A:A,Groups!B:B)=0), (18 + BP124 * 2.7) * 0.5,
    IF(AND(_xlfn.XLOOKUP(B124,'Base stats'!B:B,'Base stats'!AI:AI)=0,OR(AN124&lt;0.55,AND(BG124="Intermediate",_xlfn.XLOOKUP('Base stats'!E124,Groups!A:A,Groups!B:B)&lt;2))), (18 + BP124 * 2.7),
      IF(OR(BG124="Advanced",_xlfn.XLOOKUP(B124,'Base stats'!B:B,'Base stats'!AI:AI)=1,_xlfn.XLOOKUP('Base stats'!E124,Groups!A:A,Groups!B:B)=2), (18 + BP124 * 2.7) + 250, (18 + BP124 * 2.7))
    )
  ))
  + AN124 * 80
  + IF(COUNTIF(EggMilk!K$2:K$998, A124) &gt; 0, 125, 0)
  + IF(COUNTIF(EggMilk!P$2:P$998, A124) &gt; 0, 90, 0)
  + IF(COUNTIF(EggMilk!A$2:A$998, A124) &gt; 0, 90, 0)
)
* (0.8 + 0.4 * I124)
* 0.75,25)</f>
        <v>150</v>
      </c>
      <c r="H124" s="2">
        <f>MROUND(ROUNDDOWN(_xlfn.XLOOKUP(B124,'Base stats'!B:B,'Base stats'!L:L)/3.6/(23.3/11),1),0.5)</f>
        <v>1.5</v>
      </c>
      <c r="I124" s="2">
        <f>IF(_xlfn.XLOOKUP(B124,'Base stats'!B:B,'Base stats'!AI:AI)=1,0.99,MIN(MROUND((1-0.6282*EXP(-0.459*AN124))*_xlfn.XLOOKUP(_xlfn.XLOOKUP(B124,'Base stats'!B:B,'Base stats'!E:E),Groups!A:A,Groups!C:C)*IF(_xlfn.XLOOKUP(B124,'Base stats'!B:B,'Base stats'!O:O)=1,0.5,IF(_xlfn.XLOOKUP(B124,'Base stats'!B:B,'Base stats'!O:O)=2,0,1)),0.05),0.985))</f>
        <v>0.55000000000000004</v>
      </c>
      <c r="J124" s="2">
        <f>ROUNDUP(AN124*_xlfn.XLOOKUP(_xlfn.XLOOKUP(B124,'Base stats'!B:B,'Base stats'!E:E),Groups!A:A,Groups!E:E),0)</f>
        <v>1</v>
      </c>
      <c r="K124" s="2">
        <f>IF(OR(_xlfn.XLOOKUP(_xlfn.XLOOKUP(B124,'Base stats'!B:B,'Base stats'!E:E),Groups!A:A,Groups!F:F)=2,ISNUMBER(SEARCH("SeaIce",BV124)),ISNUMBER(SEARCH("IceSheet",BV124))),-50,IF(OR(ISNUMBER(SEARCH("GlacialPlain",BV124)),ISNUMBER(SEARCH("Tundra",BV124))),-40,IF(OR(ISNUMBER(SEARCH("Alpine",BV124)),ISNUMBER(SEARCH("BorealForest",BV124)),ISNUMBER(SEARCH("ColdBog",BV124))),-30,IF(OR(ISNUMBER(SEARCH("TemperateForest",BV124)),ISNUMBER(SEARCH("TemperateSwamp",BV124))),-20,IF(_xlfn.XLOOKUP(_xlfn.XLOOKUP(B124,'Base stats'!B:B,'Base stats'!E:E),Groups!A:A,Groups!F:F)=1,-15,IF(OR(ISNUMBER(SEARCH("Desert",BV124)),ISNUMBER(SEARCH("ExtremeDesert",BV124))),-10,IF(OR(ISNUMBER(SEARCH("Grasslands",BV124)),ISNUMBER(SEARCH("TropicalRainforest",BV124)),ISNUMBER(SEARCH("TropicalSwamp",BV124))),10,0)))))))-IF(CA124="False",MIN(IFERROR(MAX(MROUND(LOG10(_xlfn.XLOOKUP(B124,'Base stats'!B:B,'Base stats'!C:C)^(2/3))*10,5),5),5),30))-_xlfn.XLOOKUP(B124,'Base stats'!B:B,'Base stats'!P:P)+IF(CA124="True",5,0)</f>
        <v>-5</v>
      </c>
      <c r="L124" s="2">
        <f>IF(OR(_xlfn.XLOOKUP(_xlfn.XLOOKUP(B124,'Base stats'!B:B,'Base stats'!E:E),Groups!A:A,Groups!G:G)=2,ISNUMBER(SEARCH("Desert",BV124)),ISNUMBER(SEARCH("ExtremeDesert",BV124)),ISNUMBER(SEARCH("LavaField",BV124))),50,IF(ISNUMBER(SEARCH("Grasslands",BV124)),45,IF(OR(_xlfn.XLOOKUP(_xlfn.XLOOKUP(B124,'Base stats'!B:B,'Base stats'!E:E),Groups!A:A,Groups!G:G)=1,ISNUMBER(SEARCH("TropicalRainforest",BV124)),ISNUMBER(SEARCH("TropicalSwamp",BV124))),40,IF(OR(ISNUMBER(SEARCH("TemperateForest",BV124)),ISNUMBER(SEARCH("TemperateSwamp",BV124))),35,IF(OR(ISNUMBER(SEARCH("Alpine",BV124)),ISNUMBER(SEARCH("BorealForest",BV124)),ISNUMBER(SEARCH("ColdBog",BV124))),30,IF(ISNUMBER(OR(ISNUMBER(SEARCH("GlacialPlain",BV124)),SEARCH("Tundra",BV124))),25,IF(OR(ISNUMBER(SEARCH("SeaIce",BV124)),ISNUMBER(SEARCH("IceSheet",BV124)),ISNUMBER(SEARCH("TropicalSwamp",BV124))),10,35)))))))+_xlfn.XLOOKUP(B124,'Base stats'!B:B,'Base stats'!Q:Q)</f>
        <v>50</v>
      </c>
      <c r="M124" s="8" t="str">
        <f>IF(_xlfn.XLOOKUP(_xlfn.XLOOKUP(B124,'Base stats'!B:B,'Base stats'!E:E),Groups!A:A,Groups!L:L)=1,MIN(MROUND(_xlfn.XLOOKUP(B124,'Animals CE'!B:B,'Animals CE'!Z:Z)/2+0.05,0.05),200%),"No")</f>
        <v>No</v>
      </c>
      <c r="N124" s="8" t="str">
        <f>IF(_xlfn.XLOOKUP(_xlfn.XLOOKUP(B124,'Base stats'!B:B,'Base stats'!E:E),Groups!A:A,Groups!L:L)=1,MIN(MROUND(_xlfn.XLOOKUP(B124,'Animals CE'!B:B,'Animals CE'!AA:AA)/2+0.05,0.05),200%),"No")</f>
        <v>No</v>
      </c>
      <c r="O124" s="2" t="str">
        <f>_xlfn.XLOOKUP(B124,'Base stats'!B:B,'Base stats'!R:R)</f>
        <v>Standard</v>
      </c>
      <c r="P124" s="13">
        <f>MROUND((LOG10(_xlfn.XLOOKUP(B124,'Base stats'!B:B,'Base stats'!AO:AO))*(AN124^0.5)+(_xlfn.XLOOKUP(B124,'Base stats'!B:B,'Base stats'!AO:AO)/1000)^(2/3)+_xlfn.XLOOKUP(B124,'Base stats'!B:B,'Base stats'!AX:AX)/2)+0.5,0.5)</f>
        <v>1.5</v>
      </c>
      <c r="Q124" s="7">
        <f>IF(P124="No","No",MAX(1,MROUND(_xlfn.XLOOKUP(B124,'Base stats'!B:B,'Base stats'!C:C)^0.165,0.05)))</f>
        <v>1.05</v>
      </c>
      <c r="R124" s="13" t="str">
        <f>IF(_xlfn.XLOOKUP(_xlfn.XLOOKUP(B124,'Base stats'!B:B,'Base stats'!E:E),Groups!A:A,Groups!P:P)=0,"No",MROUND((LOG10(_xlfn.XLOOKUP(B124,'Base stats'!B:B,'Base stats'!AP:AP))*(AN124^0.5)+(_xlfn.XLOOKUP(B124,'Base stats'!B:B,'Base stats'!AP:AP)/1000)^(2/3)+_xlfn.XLOOKUP(B124,'Base stats'!B:B,'Base stats'!AX:AX))+_xlfn.XLOOKUP(B124,'Base stats'!B:B,'Base stats'!AV:AV)+0.5,0.5))</f>
        <v>No</v>
      </c>
      <c r="S124" s="7" t="str">
        <f>IF(R124="No","No",MAX(_xlfn.XLOOKUP(_xlfn.XLOOKUP(B124,'Base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T124" s="7" t="str">
        <f>IF(R124="No","No",_xlfn.XLOOKUP(_xlfn.XLOOKUP(B124,'Base stats'!B:B,'Base stats'!E:E),Groups!A:A,Groups!R:R))</f>
        <v>No</v>
      </c>
      <c r="U124" s="7" t="str">
        <f>IF(R124="No","No",_xlfn.XLOOKUP(_xlfn.XLOOKUP(B124,'Base stats'!B:B,'Base stats'!E:E),Groups!A:A,Groups!S:S))</f>
        <v>No</v>
      </c>
      <c r="V124" s="7" t="str">
        <f>IF(R124="No","No",_xlfn.XLOOKUP(_xlfn.XLOOKUP(B124,'Base stats'!B:B,'Base stats'!E:E),Groups!A:A,Groups!T:T))</f>
        <v>No</v>
      </c>
      <c r="W124" s="13" t="str">
        <f>IF(_xlfn.XLOOKUP(B124,'Base stats'!B:B,'Base stats'!W:W)="No","No",MROUND((LOG10(_xlfn.XLOOKUP(B124,'Base stats'!B:B,'Base stats'!AR:AR))*(AN124^0.5)+(_xlfn.XLOOKUP(B124,'Base stats'!B:B,'Base stats'!AR:AR)/1000)^(2/3)+_xlfn.XLOOKUP(B124,'Base stats'!B:B,'Base stats'!AW:AW))+0.5+IF(_xlfn.XLOOKUP(_xlfn.XLOOKUP(B124,'Base stats'!B:B,'Base stats'!E:E),Groups!A:A,Groups!U:U)&lt;&gt;3,_xlfn.XLOOKUP(B124,'Base stats'!B:B,'Base stats'!AX:AX),0),0.5))</f>
        <v>No</v>
      </c>
      <c r="X124" s="7" t="str">
        <f>IF(W124="No","No",MAX(_xlfn.XLOOKUP(_xlfn.XLOOKUP(B124,'Base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Y124" s="7" t="str">
        <f>IF(W124="No","No",_xlfn.XLOOKUP(_xlfn.XLOOKUP(B124,'Base stats'!B:B,'Base stats'!E:E),Groups!A:A,Groups!W:W))</f>
        <v>No</v>
      </c>
      <c r="Z124" s="7" t="str">
        <f>IF(W124="No","No",_xlfn.XLOOKUP(_xlfn.XLOOKUP(B124,'Base stats'!B:B,'Base stats'!E:E),Groups!A:A,Groups!X:X))</f>
        <v>No</v>
      </c>
      <c r="AA124" s="7" t="str">
        <f>IF(W124="No","No",_xlfn.XLOOKUP(_xlfn.XLOOKUP(B124,'Base stats'!B:B,'Base stats'!E:E),Groups!A:A,Groups!Y:Y))</f>
        <v>No</v>
      </c>
      <c r="AB124" s="7" t="str">
        <f>_xlfn.XLOOKUP(Animals!B124,'Base stats'!B:B,'Base stats'!X:X)</f>
        <v>False</v>
      </c>
      <c r="AC124" s="13">
        <f>IF(_xlfn.XLOOKUP(B124,'Base stats'!B:B,'Base stats'!AQ:AQ)="No","No",MROUND((LOG10(_xlfn.XLOOKUP(B124,'Base stats'!B:B,'Base stats'!AQ:AQ))*(AN124^0.75)+(_xlfn.XLOOKUP(B124,'Base stats'!B:B,'Base stats'!AQ:AQ)/1000)^(2/3)+_xlfn.XLOOKUP(B124,'Base stats'!B:B,'Base stats'!AU:AU)+_xlfn.XLOOKUP(B124,'Base stats'!B:B,'Base stats'!AX:AX))+0.5,0.5))</f>
        <v>2</v>
      </c>
      <c r="AD124" s="7">
        <f>IF(AC124="No","No",MAX(_xlfn.XLOOKUP(_xlfn.XLOOKUP(B124,'Base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E124" s="7" t="str">
        <f>IF(AC124="No","No",_xlfn.XLOOKUP(_xlfn.XLOOKUP(B124,'Base stats'!B:B,'Base stats'!E:E),Groups!A:A,Groups!AA:AA))</f>
        <v>Teeth</v>
      </c>
      <c r="AF124" s="7" t="str">
        <f>IF(AC124="No","No",_xlfn.XLOOKUP(_xlfn.XLOOKUP(B124,'Base stats'!B:B,'Base stats'!E:E),Groups!A:A,Groups!AB:AB))</f>
        <v>teeth</v>
      </c>
      <c r="AG124" s="7" t="str">
        <f>IF(AC124="No","No",_xlfn.XLOOKUP(_xlfn.XLOOKUP(B124,'Base stats'!B:B,'Base stats'!E:E),Groups!A:A,Groups!AC:AC))</f>
        <v>ToxicBite</v>
      </c>
      <c r="AH124" s="13">
        <f>IF(_xlfn.XLOOKUP(_xlfn.XLOOKUP(B124,'Base stats'!B:B,'Base stats'!E:E),Groups!A:A,Groups!AD:AD)=0,"No",MROUND((LOG10(_xlfn.XLOOKUP(B124,'Base stats'!B:B,'Base stats'!AP:AP))*(AN124^0.75)+(_xlfn.XLOOKUP(B124,'Base stats'!B:B,'Base stats'!AP:AP)/1000)^(2/3)+_xlfn.XLOOKUP(B124,'Base stats'!B:B,'Base stats'!AV:AV)+_xlfn.XLOOKUP(B124,'Base stats'!B:B,'Base stats'!AX:AX))+0.5,0.5))</f>
        <v>2</v>
      </c>
      <c r="AI124" s="7">
        <f>IF(AH124="No","No",MAX(_xlfn.XLOOKUP(_xlfn.XLOOKUP(B124,'Base stats'!B:B,'Base stats'!E:E),Groups!A:A,Groups!AE:AE),MROUND(_xlfn.XLOOKUP(_xlfn.XLOOKUP(B124,'Base stats'!B:B,'Base stats'!E:E),Groups!A:A,Groups!AE:AE)*_xlfn.XLOOKUP(B124,'Base stats'!B:B,'Base stats'!C:C)^0.165,0.05)))</f>
        <v>0.75</v>
      </c>
      <c r="AJ124" s="7" t="str">
        <f>IF(AH124="No","No",_xlfn.XLOOKUP(_xlfn.XLOOKUP(B124,'Base stats'!B:B,'Base stats'!E:E),Groups!A:A,Groups!AF:AF))</f>
        <v>FrontLeftClaws, FrontRightClaws</v>
      </c>
      <c r="AK124" s="7" t="str">
        <f>IF(AH124="No","No",_xlfn.XLOOKUP(_xlfn.XLOOKUP(B124,'Base stats'!B:B,'Base stats'!E:E),Groups!A:A,Groups!AG:AG))</f>
        <v>left claw, right claw</v>
      </c>
      <c r="AL124" s="7" t="str">
        <f>IF(AH124="No","No",_xlfn.XLOOKUP(_xlfn.XLOOKUP(B124,'Base stats'!B:B,'Base stats'!E:E),Groups!A:A,Groups!AH:AH))</f>
        <v>Scratch</v>
      </c>
      <c r="AM124" s="2">
        <f t="shared" si="7"/>
        <v>15</v>
      </c>
      <c r="AN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O124" s="8">
        <f>MROUND(AN124*_xlfn.XLOOKUP(_xlfn.XLOOKUP(B124,'Base stats'!B:B,'Base stats'!E:E),Groups!A:A,Groups!AI:AI),0.05)</f>
        <v>0.2</v>
      </c>
      <c r="AP124" s="8">
        <f>MAX(0.01,MROUND(IF(CA124="True",0.196*(AN124*100*1000)^0.889,IF(_xlfn.XLOOKUP(_xlfn.XLOOKUP(B124,'Base stats'!B:B,'Base stats'!E:E),Groups!A:A,Groups!AJ:AJ)="Bird",10.5*(AN124*100*1000)^0.681,4.82*(AN124*100*1000)^0.734))/(4.82*(1*100*1000)^0.734)/IF(AN124&lt;3.5,2,IF(AN124=3.5,1.5,1.25))*(1+0.132282374779864/(AN124^0.994035016789033+0.00905238001496948)),0.05))</f>
        <v>0.05</v>
      </c>
      <c r="AQ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R124" s="35" t="str">
        <f>IFERROR(IF(_xlfn.XLOOKUP(B124,'Base stats'!B:B,'Base stats'!F:F)="Lay eggs","Lay eggs",MIN(20,MAX(5.5,ROUND(((_xlfn.XLOOKUP(B124,'Base stats'!B:B,'Base stats'!F:F)-25)*(14.5/615) + 5.5)*2,0)/2))),"Cannot breed")</f>
        <v>Lay eggs</v>
      </c>
      <c r="AS124" s="8">
        <f>IF(OR(A124="Queen",A124="Larva",A124="Megachicken"),"No",IFERROR(MAX(IF(_xlfn.XLOOKUP(B124,'Base stats'!B:B,'Base stats'!G:G)&lt;0.5,0.2,0.3),MROUND(_xlfn.XLOOKUP(B124,'Base stats'!B:B,'Base stats'!G:G)/(365/60),0.2)),"Unknown"))</f>
        <v>0.4</v>
      </c>
      <c r="AT124" s="8">
        <f t="shared" si="8"/>
        <v>0.2</v>
      </c>
      <c r="AU124" s="8" t="str">
        <f>IFERROR(IFERROR(MROUND(_xlfn.XLOOKUP(B124,'Base stats'!B:B,'Base stats'!J:J),0.1),"Lay eggs"),"Cannot breed")</f>
        <v>Lay eggs</v>
      </c>
      <c r="AV124" s="2" t="str">
        <f t="shared" si="9"/>
        <v>false</v>
      </c>
      <c r="AW124" s="2" t="str">
        <f>IF(_xlfn.XLOOKUP(_xlfn.XLOOKUP(Animals!B124,'Base stats'!B:B,'Base stats'!E:E),Groups!A:A,Groups!AK:AK)=1,"true","false")</f>
        <v>false</v>
      </c>
      <c r="AX124" s="25" t="str">
        <f>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</f>
        <v>CarnivoreAnimal, OvivoreAnimal</v>
      </c>
      <c r="AY124" s="2" t="str">
        <f>IF(_xlfn.XLOOKUP(_xlfn.XLOOKUP(B124,'Base stats'!B:B,'Base stats'!E:E),Groups!A:A,Groups!D:D)=1,MROUND((1-I124)*5+1,2)*IF(I124&lt;=0.4,2,1),"No")</f>
        <v>No</v>
      </c>
      <c r="AZ124" s="2" t="str">
        <f>_xlfn.XLOOKUP(B124,'Base stats'!B:B,'Base stats'!AE:AE)</f>
        <v>Leather_Lizard</v>
      </c>
      <c r="BA124" s="23" t="str">
        <f>_xlfn.XLOOKUP(_xlfn.XLOOKUP(B124,'Base stats'!B:B,'Base stats'!E:E),Groups!A:A,Groups!AL:AL)</f>
        <v>QuadrupedAnimalWithClawsTailAndJowl</v>
      </c>
      <c r="BB124" s="23">
        <f>MROUND(IF(AND(AN124&lt;0.5,_xlfn.XLOOKUP(B124,'Base stats'!B:B,'Base stats'!Z:Z)=0),0,IF(OR(_xlfn.XLOOKUP(Animals!B124,'Base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stats'!AA:AA),0.005)</f>
        <v>0</v>
      </c>
      <c r="BC124" s="23">
        <f>MROUND(IF(AND(AN124&lt;0.5,_xlfn.XLOOKUP(B124,'Base stats'!B:B,'Base stats'!Z:Z)=0),0,IF(_xlfn.XLOOKUP(_xlfn.XLOOKUP(B124,'Base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stats'!AB:AB),0.005)</f>
        <v>0</v>
      </c>
      <c r="BD124" s="2" t="str">
        <f>IF(I124&gt;0.3,"No",_xlfn.XLOOKUP(_xlfn.XLOOKUP(Animals!B124,'Base stats'!B:B,'Base stats'!E:E),Groups!A:A,Groups!AP:AP))</f>
        <v>No</v>
      </c>
      <c r="BE124" s="2" t="str">
        <f>IF(AND(I124&lt;=0.65,_xlfn.XLOOKUP(_xlfn.XLOOKUP(Animals!B124,'Base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stats'!O:O)=2,0.2,AN124) + 24*(1-IF(BD124="No",0,BD124)) + 16/3, 12),"No")</f>
        <v>No</v>
      </c>
      <c r="BF124" s="2">
        <f>IF(AND(_xlfn.XLOOKUP(_xlfn.XLOOKUP(B124,'Base stats'!B:B,'Base stats'!E:E),Groups!A:A,Groups!AQ:AQ)=1,AN124&lt;=0.35),8,12)</f>
        <v>12</v>
      </c>
      <c r="BG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H124" s="2" t="str">
        <f>IF(AND(_xlfn.XLOOKUP(_xlfn.XLOOKUP(B124,'Base stats'!B:B,'Base stats'!E:E),Groups!A:A,Groups!AS:AS)=1,OR('Base stats'!Y124="Carnivore",'Base stats'!Y124="Omnivore")),"true","false")</f>
        <v>true</v>
      </c>
      <c r="BI124" s="2">
        <f>IF(BH124="true",MROUND(IF(AND(AN124&gt;0.5,_xlfn.XLOOKUP(_xlfn.XLOOKUP(B124,'Base stats'!B:B,'Base stats'!E:E),Groups!A:A,Groups!AJ:AJ)="Mammal"),Animals!AN124*1.75*IF(AV124="true",1.5,1),Animals!AN124),IF(AN124&gt;2,0.5,IF(AN124&gt;0.5,0.25,0.1))),"No")</f>
        <v>0.2</v>
      </c>
      <c r="BJ124" s="2">
        <f t="shared" si="10"/>
        <v>1</v>
      </c>
      <c r="BK124" s="25" t="str">
        <f>IF('Base stats'!AK124="Standard","No",MROUND((_xlfn.XLOOKUP(B124,'Base stats'!B:B,'Base stats'!AK:AK)/3.6)/H124,0.1))</f>
        <v>No</v>
      </c>
      <c r="BL124" s="25" t="str">
        <f t="shared" si="11"/>
        <v>false</v>
      </c>
      <c r="BM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N124" s="25" t="str" cm="1">
        <f t="array" ref="BN124">IF(
  _xlfn.TEXTJOIN(", ",TRUE,
    IF(AND(BH124="true",AN124&gt;0.5,BG124&lt;&gt;"None"),"AttackTarget",""),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IF(BE124&lt;=36,"Comfort",""),
    IF(_xlfn.XLOOKUP(B124,'Base stats'!B:B,'Base stats'!AC:AC)&lt;&gt;"No",_xlfn.XLOOKUP(B124,'Base stats'!B:B,'Base stats'!AC:AC),"")
  ) = "",
  "No",
  _xlfn.TEXTJOIN(", ",TRUE,
    IF(AND(BH124="true",AN124&gt;0.5,BG124&lt;&gt;"None"),"AttackTarget",""),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IF(BE124&lt;=36,"Comfort",""),
    IF(_xlfn.XLOOKUP(B124,'Base stats'!B:B,'Base stats'!AC:AC)&lt;&gt;"No",_xlfn.XLOOKUP(B124,'Base stats'!B:B,'Base stats'!AC:AC),"")
  )
)</f>
        <v>No</v>
      </c>
      <c r="BO124" s="25" t="str">
        <f>IF(
   AND(
      'Base stats'!AK124="Standard",_xlfn.XLOOKUP(_xlfn.XLOOKUP(B124,'Base stats'!B:B,'Base stats'!E:E),Groups!A:A,Groups!AU:AU)=0,
      OR(
      BM124="True"
      )
   ),
   10,
   IF(
       OR(BK124&lt;&gt;"No",_xlfn.XLOOKUP(_xlfn.XLOOKUP(B124,'Base stats'!B:B,'Base stats'!E:E),Groups!A:A,Groups!AU:AU)=1),
      1,
      "No"
   )
)</f>
        <v>No</v>
      </c>
      <c r="BP124" s="9">
        <f>MROUND((1 + ((0.2*IF(OR(P124="No",Q124="No",Q124=0),0,P124/Q124)
+IF(OR(U124="No",R124="No",S124="No"),0,R124/S124*(LEN(U124)-LEN(SUBSTITUTE(U124,",",""))+1))
+IF(OR(W124="No",X124="No"),0,W124/X124)
+IF(OR(AC124="No",AD124="No"),0,AC124/AD124)
+IF(OR(AK124="No",AH124="No",AI124="No"),0,AH124/AI124*(LEN(AK124)-LEN(SUBSTITUTE(AK124,",",""))+1))
)/(0.2*IF(OR(P124="No",Q124="No",Q124=0),0,1)
+IF(OR(U124="No",R124="No",S124="No"),0,LEN(U124)-LEN(SUBSTITUTE(U124,",",""))+1)
+IF(OR(W124="No",X124="No"),0,1)
+IF(OR(AC124="No",AD124="No"),0,1)
+IF(OR(AK124="No",AH124="No",AI124="No"),0,LEN(AK124)-LEN(SUBSTITUTE(AK124,",",""))+1))*62%)* 2)*(1 + (AO124 + _xlfn.XLOOKUP(B124,'Base stats'!B:B,'Base stats'!AS:AS) * 1.8) * 2) * 2.5 + 10 + H124 * 2,5)+IF(_xlfn.XLOOKUP(B124,'Base stats'!B:B,'Base stats'!AH:AH)=1,50,0)</f>
        <v>25</v>
      </c>
      <c r="BQ124" s="8">
        <f t="shared" si="12"/>
        <v>0.05</v>
      </c>
      <c r="BR124" s="8" t="str">
        <f>_xlfn.XLOOKUP(B124,'Base stats'!B:B,'Base stats'!AD:AD)</f>
        <v>No</v>
      </c>
      <c r="BS124" s="2" t="str">
        <f>IF(AND(I124&lt;=0.95,OR(_xlfn.XLOOKUP(B124,'Base stats'!B:B,'Base stats'!AH:AH)=1,_xlfn.XLOOKUP(B124,'Base stats'!B:B,'Base stats'!Y:Y)="Carnivore",_xlfn.XLOOKUP(B124,'Base stats'!B:B,'Base stats'!Y:Y)="Omnivore",BC124&gt;0.1)),"true","false")</f>
        <v>true</v>
      </c>
      <c r="BT124" s="2" t="str">
        <f>IF(_xlfn.XLOOKUP(B124,'Base stats'!B:B,'Base stats'!AF:AF)=1,"true","false")</f>
        <v>false</v>
      </c>
      <c r="BU124" s="25" t="str">
        <f>IF(E124="BaseInsect","AnimalInsect",
IF(I124&gt;0.95,"AnimalExotic",
_xlfn.TEXTJOIN(", ",TRUE,
IF(AND(_xlfn.XLOOKUP(B124,'Base stats'!B:B,'Base stats'!O:O)=0,_xlfn.XLOOKUP(_xlfn.XLOOKUP(B124,'Base stats'!B:B,'Base stats'!E:E),Groups!A:A,Groups!B:B)&gt;0),"AnimalUncommon","AnimalCommon"),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stats'!AH:AH)=1,AND(BG124&lt;&gt;"None",BP124&gt;=60),ISNUMBER(SEARCH("Attack target",BN124))),"AnimalFighter","")
)))</f>
        <v>AnimalUncommon</v>
      </c>
      <c r="BV124" s="25" t="str">
        <f>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</f>
        <v>AridShrubland Desert ExtremeDesert LavaField</v>
      </c>
      <c r="BW124" s="25" t="str">
        <f>IF(_xlfn.XLOOKUP(B124,'Base stats'!B:B,'Base stats'!AG:AG)=1,"true","false")</f>
        <v>false</v>
      </c>
      <c r="BX124" s="25">
        <f>IF(_xlfn.XLOOKUP(B124,'Base stats'!B:B,'Base stats'!N:N)=1,"No",MIN(MROUND(IF(OR(_xlfn.XLOOKUP(B124,'Base stats'!B:B,'Base stats'!AJ:AJ)=1,AND(BH124="True",CA124="False")),POWER(10,3.47*LOG10(_xlfn.XLOOKUP(B124,'Base stats'!B:B,'Base stats'!C:C)*1000)^-0.96),POWER(10,4.15*LOG10(_xlfn.XLOOKUP(B124,'Base stats'!B:B,'Base stats'!C:C)*1000)^-0.73))*IF(OR(_xlfn.XLOOKUP(B124,'Base stats'!B:B,'Base stats'!AJ:AJ)=1,_xlfn.XLOOKUP(B124,'Base stats'!B:B,'Base stats'!AH:AH)=1),0.5,1)/100,0.025),1))</f>
        <v>0.65</v>
      </c>
      <c r="BY124" s="25" t="str">
        <f>IF(O124="Standard","No",IF(_xlfn.XLOOKUP(B124,'Base stats'!B:B,'Base stats'!N:N)=0,MROUND(BX124*O124,0.05),MIN(1,MAX(0.025,MROUND(IF(OR(CA124="true",AND(BH124="false",BM124="false")),POWER(10,4.15*LOG10(_xlfn.XLOOKUP(B124,'Base stats'!B:B,'Base stats'!C:C)*1000)^-0.73),POWER(10,3.47*LOG10(_xlfn.XLOOKUP(B124,'Base stats'!B:B,'Base stats'!C:C)*1000)^-0.96))*IF(_xlfn.XLOOKUP(B124,'Base stats'!B:B,'Base stats'!AH:AH)=1,0.5,1)/100,0.025)))))</f>
        <v>No</v>
      </c>
      <c r="BZ124" s="25" t="str">
        <f>IF(_xlfn.XLOOKUP(_xlfn.XLOOKUP(B124,'Base stats'!B:B,'Base stats'!E:E),Groups!A:A,Groups!AJ:AJ)="Mammal","True","False")</f>
        <v>False</v>
      </c>
      <c r="CA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B124" s="25" t="str">
        <f t="shared" si="13"/>
        <v>False</v>
      </c>
      <c r="CC124" s="25" t="str">
        <f>IF(_xlfn.XLOOKUP(_xlfn.XLOOKUP(B124,'Base stats'!B:B,'Base stats'!E:E),Groups!A:A,Groups!AW:AW),"True","False")</f>
        <v>False</v>
      </c>
      <c r="CD124" s="25" t="str">
        <f>IF(_xlfn.XLOOKUP(_xlfn.XLOOKUP(B124,'Base stats'!B:B,'Base stats'!E:E),Groups!A:A,Groups!AX:AX),"True","False")</f>
        <v>False</v>
      </c>
      <c r="CE124" s="25" t="str">
        <f>IF(_xlfn.XLOOKUP(B124,'Base stats'!B:B,'Base stats'!E:E)=1,"True","False")</f>
        <v>False</v>
      </c>
      <c r="CF124" s="25" t="str">
        <f>IF(
OR(
_xlfn.XLOOKUP(_xlfn.XLOOKUP(B124,'Base stats'!B:B,'Base stats'!E:E),Groups!A:A,Groups!AY:AY)=0,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stats'!E:E),Groups!A:A,Groups!AY:AY)=1,
"Flesh",
IF(
_xlfn.XLOOKUP(_xlfn.XLOOKUP(B124,'Base stats'!B:B,'Base stats'!E:E),Groups!A:A,Groups!AY:AY)=2,
"Bone",
""
)
)
)</f>
        <v>Flesh</v>
      </c>
      <c r="CG124" s="25" t="str">
        <f>IF(_xlfn.XLOOKUP(_xlfn.XLOOKUP(B124,'Base stats'!B:B,'Base stats'!E:E),Groups!A:A,Groups!BA:BA),"True","False")</f>
        <v>False</v>
      </c>
      <c r="CH124" s="25" t="str">
        <f>IF(_xlfn.XLOOKUP(_xlfn.XLOOKUP(B124,'Base stats'!B:B,'Base stats'!E:E),Groups!A:A,Groups!AZ:AZ),"True","False")</f>
        <v>False</v>
      </c>
    </row>
    <row r="125" spans="1:86" ht="16.5" thickTop="1" thickBot="1" x14ac:dyDescent="0.3">
      <c r="A125" s="26" t="str">
        <f>_xlfn.XLOOKUP(B125,'Base stats'!B:B,'Base stats'!A:A)</f>
        <v>Camel</v>
      </c>
      <c r="B125" s="6" t="s">
        <v>88</v>
      </c>
      <c r="C125" s="28" t="s">
        <v>818</v>
      </c>
      <c r="D125" s="28" t="s">
        <v>884</v>
      </c>
      <c r="E125" s="28" t="s">
        <v>685</v>
      </c>
      <c r="F125" s="28" t="s">
        <v>685</v>
      </c>
      <c r="G125" s="2">
        <f>MROUND((
  (IF(AND(_xlfn.XLOOKUP(B125,'Base stats'!B:B,'Base stats'!AI:AI)=0,BG125="None",_xlfn.XLOOKUP('Base stats'!E125,Groups!A:A,Groups!B:B)=0), (18 + BP125 * 2.7) * 0.5,
    IF(AND(_xlfn.XLOOKUP(B125,'Base stats'!B:B,'Base stats'!AI:AI)=0,OR(AN125&lt;0.55,AND(BG125="Intermediate",_xlfn.XLOOKUP('Base stats'!E125,Groups!A:A,Groups!B:B)&lt;2))), (18 + BP125 * 2.7),
      IF(OR(BG125="Advanced",_xlfn.XLOOKUP(B125,'Base stats'!B:B,'Base stats'!AI:AI)=1,_xlfn.XLOOKUP('Base stats'!E125,Groups!A:A,Groups!B:B)=2), (18 + BP125 * 2.7) + 250, (18 + BP125 * 2.7))
    )
  ))
  + AN125 * 80
  + IF(COUNTIF(EggMilk!K$2:K$998, A125) &gt; 0, 125, 0)
  + IF(COUNTIF(EggMilk!P$2:P$998, A125) &gt; 0, 90, 0)
  + IF(COUNTIF(EggMilk!A$2:A$998, A125) &gt; 0, 90, 0)
)
* (0.8 + 0.4 * I125)
* 0.75,25)</f>
        <v>500</v>
      </c>
      <c r="H125" s="2">
        <f>MROUND(ROUNDDOWN(_xlfn.XLOOKUP(B125,'Base stats'!B:B,'Base stats'!L:L)/3.6/(23.3/11),1),0.5)</f>
        <v>5</v>
      </c>
      <c r="I125" s="2">
        <f>IF(_xlfn.XLOOKUP(B125,'Base stats'!B:B,'Base stats'!AI:AI)=1,0.99,MIN(MROUND((1-0.6282*EXP(-0.459*AN125))*_xlfn.XLOOKUP(_xlfn.XLOOKUP(B125,'Base stats'!B:B,'Base stats'!E:E),Groups!A:A,Groups!C:C)*IF(_xlfn.XLOOKUP(B125,'Base stats'!B:B,'Base stats'!O:O)=1,0.5,IF(_xlfn.XLOOKUP(B125,'Base stats'!B:B,'Base stats'!O:O)=2,0,1)),0.05),0.985))</f>
        <v>0.30000000000000004</v>
      </c>
      <c r="J125" s="2">
        <f>ROUNDUP(AN125*_xlfn.XLOOKUP(_xlfn.XLOOKUP(B125,'Base stats'!B:B,'Base stats'!E:E),Groups!A:A,Groups!E:E),0)</f>
        <v>15</v>
      </c>
      <c r="K125" s="2">
        <f>IF(OR(_xlfn.XLOOKUP(_xlfn.XLOOKUP(B125,'Base stats'!B:B,'Base stats'!E:E),Groups!A:A,Groups!F:F)=2,ISNUMBER(SEARCH("SeaIce",BV125)),ISNUMBER(SEARCH("IceSheet",BV125))),-50,IF(OR(ISNUMBER(SEARCH("GlacialPlain",BV125)),ISNUMBER(SEARCH("Tundra",BV125))),-40,IF(OR(ISNUMBER(SEARCH("Alpine",BV125)),ISNUMBER(SEARCH("BorealForest",BV125)),ISNUMBER(SEARCH("ColdBog",BV125))),-30,IF(OR(ISNUMBER(SEARCH("TemperateForest",BV125)),ISNUMBER(SEARCH("TemperateSwamp",BV125))),-20,IF(_xlfn.XLOOKUP(_xlfn.XLOOKUP(B125,'Base stats'!B:B,'Base stats'!E:E),Groups!A:A,Groups!F:F)=1,-15,IF(OR(ISNUMBER(SEARCH("Desert",BV125)),ISNUMBER(SEARCH("ExtremeDesert",BV125))),-10,IF(OR(ISNUMBER(SEARCH("Grasslands",BV125)),ISNUMBER(SEARCH("TropicalRainforest",BV125)),ISNUMBER(SEARCH("TropicalSwamp",BV125))),10,0)))))))-IF(CA125="False",MIN(IFERROR(MAX(MROUND(LOG10(_xlfn.XLOOKUP(B125,'Base stats'!B:B,'Base stats'!C:C)^(2/3))*10,5),5),5),30))-_xlfn.XLOOKUP(B125,'Base stats'!B:B,'Base stats'!P:P)+IF(CA125="True",5,0)</f>
        <v>-50</v>
      </c>
      <c r="L125" s="2">
        <f>IF(OR(_xlfn.XLOOKUP(_xlfn.XLOOKUP(B125,'Base stats'!B:B,'Base stats'!E:E),Groups!A:A,Groups!G:G)=2,ISNUMBER(SEARCH("Desert",BV125)),ISNUMBER(SEARCH("ExtremeDesert",BV125)),ISNUMBER(SEARCH("LavaField",BV125))),50,IF(ISNUMBER(SEARCH("Grasslands",BV125)),45,IF(OR(_xlfn.XLOOKUP(_xlfn.XLOOKUP(B125,'Base stats'!B:B,'Base stats'!E:E),Groups!A:A,Groups!G:G)=1,ISNUMBER(SEARCH("TropicalRainforest",BV125)),ISNUMBER(SEARCH("TropicalSwamp",BV125))),40,IF(OR(ISNUMBER(SEARCH("TemperateForest",BV125)),ISNUMBER(SEARCH("TemperateSwamp",BV125))),35,IF(OR(ISNUMBER(SEARCH("Alpine",BV125)),ISNUMBER(SEARCH("BorealForest",BV125)),ISNUMBER(SEARCH("ColdBog",BV125))),30,IF(ISNUMBER(OR(ISNUMBER(SEARCH("GlacialPlain",BV125)),SEARCH("Tundra",BV125))),25,IF(OR(ISNUMBER(SEARCH("SeaIce",BV125)),ISNUMBER(SEARCH("IceSheet",BV125)),ISNUMBER(SEARCH("TropicalSwamp",BV125))),10,35)))))))+_xlfn.XLOOKUP(B125,'Base stats'!B:B,'Base stats'!Q:Q)</f>
        <v>30</v>
      </c>
      <c r="M125" s="8" t="str">
        <f>IF(_xlfn.XLOOKUP(_xlfn.XLOOKUP(B125,'Base stats'!B:B,'Base stats'!E:E),Groups!A:A,Groups!L:L)=1,MIN(MROUND(_xlfn.XLOOKUP(B125,'Animals CE'!B:B,'Animals CE'!Z:Z)/2+0.05,0.05),200%),"No")</f>
        <v>No</v>
      </c>
      <c r="N125" s="8" t="str">
        <f>IF(_xlfn.XLOOKUP(_xlfn.XLOOKUP(B125,'Base stats'!B:B,'Base stats'!E:E),Groups!A:A,Groups!L:L)=1,MIN(MROUND(_xlfn.XLOOKUP(B125,'Animals CE'!B:B,'Animals CE'!AA:AA)/2+0.05,0.05),200%),"No")</f>
        <v>No</v>
      </c>
      <c r="O125" s="2" t="str">
        <f>_xlfn.XLOOKUP(B125,'Base stats'!B:B,'Base stats'!R:R)</f>
        <v>Standard</v>
      </c>
      <c r="P125" s="13">
        <f>MROUND((LOG10(_xlfn.XLOOKUP(B125,'Base stats'!B:B,'Base stats'!AO:AO))*(AN125^0.5)+(_xlfn.XLOOKUP(B125,'Base stats'!B:B,'Base stats'!AO:AO)/1000)^(2/3)+_xlfn.XLOOKUP(B125,'Base stats'!B:B,'Base stats'!AX:AX)/2)+0.5,0.5)</f>
        <v>17.5</v>
      </c>
      <c r="Q125" s="7">
        <f>IF(P125="No","No",MAX(1,MROUND(_xlfn.XLOOKUP(B125,'Base stats'!B:B,'Base stats'!C:C)^0.165,0.05)))</f>
        <v>2.95</v>
      </c>
      <c r="R125" s="13">
        <f>IF(_xlfn.XLOOKUP(_xlfn.XLOOKUP(B125,'Base stats'!B:B,'Base stats'!E:E),Groups!A:A,Groups!P:P)=0,"No",MROUND((LOG10(_xlfn.XLOOKUP(B125,'Base stats'!B:B,'Base stats'!AP:AP))*(AN125^0.5)+(_xlfn.XLOOKUP(B125,'Base stats'!B:B,'Base stats'!AP:AP)/1000)^(2/3)+_xlfn.XLOOKUP(B125,'Base stats'!B:B,'Base stats'!AX:AX))+_xlfn.XLOOKUP(B125,'Base stats'!B:B,'Base stats'!AV:AV)+0.5,0.5))</f>
        <v>21.5</v>
      </c>
      <c r="S125" s="7">
        <f>IF(R125="No","No",MAX(_xlfn.XLOOKUP(_xlfn.XLOOKUP(B125,'Base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T125" s="7" t="str">
        <f>IF(R125="No","No",_xlfn.XLOOKUP(_xlfn.XLOOKUP(B125,'Base stats'!B:B,'Base stats'!E:E),Groups!A:A,Groups!R:R))</f>
        <v>FrontLeftLeg, FrontRightLeg</v>
      </c>
      <c r="U125" s="7" t="str">
        <f>IF(R125="No","No",_xlfn.XLOOKUP(_xlfn.XLOOKUP(B125,'Base stats'!B:B,'Base stats'!E:E),Groups!A:A,Groups!S:S))</f>
        <v>left hoof, right hoof</v>
      </c>
      <c r="V125" s="7" t="str">
        <f>IF(R125="No","No",_xlfn.XLOOKUP(_xlfn.XLOOKUP(B125,'Base stats'!B:B,'Base stats'!E:E),Groups!A:A,Groups!T:T))</f>
        <v>Blunt</v>
      </c>
      <c r="W125" s="13" t="str">
        <f>IF(_xlfn.XLOOKUP(B125,'Base stats'!B:B,'Base stats'!W:W)="No","No",MROUND((LOG10(_xlfn.XLOOKUP(B125,'Base stats'!B:B,'Base stats'!AR:AR))*(AN125^0.5)+(_xlfn.XLOOKUP(B125,'Base stats'!B:B,'Base stats'!AR:AR)/1000)^(2/3)+_xlfn.XLOOKUP(B125,'Base stats'!B:B,'Base stats'!AW:AW))+0.5+IF(_xlfn.XLOOKUP(_xlfn.XLOOKUP(B125,'Base stats'!B:B,'Base stats'!E:E),Groups!A:A,Groups!U:U)&lt;&gt;3,_xlfn.XLOOKUP(B125,'Base stats'!B:B,'Base stats'!AX:AX),0),0.5))</f>
        <v>No</v>
      </c>
      <c r="X125" s="7" t="str">
        <f>IF(W125="No","No",MAX(_xlfn.XLOOKUP(_xlfn.XLOOKUP(B125,'Base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Y125" s="7" t="str">
        <f>IF(W125="No","No",_xlfn.XLOOKUP(_xlfn.XLOOKUP(B125,'Base stats'!B:B,'Base stats'!E:E),Groups!A:A,Groups!W:W))</f>
        <v>No</v>
      </c>
      <c r="Z125" s="7" t="str">
        <f>IF(W125="No","No",_xlfn.XLOOKUP(_xlfn.XLOOKUP(B125,'Base stats'!B:B,'Base stats'!E:E),Groups!A:A,Groups!X:X))</f>
        <v>No</v>
      </c>
      <c r="AA125" s="7" t="str">
        <f>IF(W125="No","No",_xlfn.XLOOKUP(_xlfn.XLOOKUP(B125,'Base stats'!B:B,'Base stats'!E:E),Groups!A:A,Groups!Y:Y))</f>
        <v>No</v>
      </c>
      <c r="AB125" s="7" t="str">
        <f>_xlfn.XLOOKUP(Animals!B125,'Base stats'!B:B,'Base stats'!X:X)</f>
        <v>False</v>
      </c>
      <c r="AC125" s="13">
        <f>IF(_xlfn.XLOOKUP(B125,'Base stats'!B:B,'Base stats'!AQ:AQ)="No","No",MROUND((LOG10(_xlfn.XLOOKUP(B125,'Base stats'!B:B,'Base stats'!AQ:AQ))*(AN125^0.75)+(_xlfn.XLOOKUP(B125,'Base stats'!B:B,'Base stats'!AQ:AQ)/1000)^(2/3)+_xlfn.XLOOKUP(B125,'Base stats'!B:B,'Base stats'!AU:AU)+_xlfn.XLOOKUP(B125,'Base stats'!B:B,'Base stats'!AX:AX))+0.5,0.5))</f>
        <v>23</v>
      </c>
      <c r="AD125" s="7">
        <f>IF(AC125="No","No",MAX(_xlfn.XLOOKUP(_xlfn.XLOOKUP(B125,'Base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E125" s="7" t="str">
        <f>IF(AC125="No","No",_xlfn.XLOOKUP(_xlfn.XLOOKUP(B125,'Base stats'!B:B,'Base stats'!E:E),Groups!A:A,Groups!AA:AA))</f>
        <v>Teeth</v>
      </c>
      <c r="AF125" s="7" t="str">
        <f>IF(AC125="No","No",_xlfn.XLOOKUP(_xlfn.XLOOKUP(B125,'Base stats'!B:B,'Base stats'!E:E),Groups!A:A,Groups!AB:AB))</f>
        <v>teeth</v>
      </c>
      <c r="AG125" s="7" t="str">
        <f>IF(AC125="No","No",_xlfn.XLOOKUP(_xlfn.XLOOKUP(B125,'Base stats'!B:B,'Base stats'!E:E),Groups!A:A,Groups!AC:AC))</f>
        <v>Bite</v>
      </c>
      <c r="AH125" s="13" t="str">
        <f>IF(_xlfn.XLOOKUP(_xlfn.XLOOKUP(B125,'Base stats'!B:B,'Base stats'!E:E),Groups!A:A,Groups!AD:AD)=0,"No",MROUND((LOG10(_xlfn.XLOOKUP(B125,'Base stats'!B:B,'Base stats'!AP:AP))*(AN125^0.75)+(_xlfn.XLOOKUP(B125,'Base stats'!B:B,'Base stats'!AP:AP)/1000)^(2/3)+_xlfn.XLOOKUP(B125,'Base stats'!B:B,'Base stats'!AV:AV)+_xlfn.XLOOKUP(B125,'Base stats'!B:B,'Base stats'!AX:AX))+0.5,0.5))</f>
        <v>No</v>
      </c>
      <c r="AI125" s="7" t="str">
        <f>IF(AH125="No","No",MAX(_xlfn.XLOOKUP(_xlfn.XLOOKUP(B125,'Base stats'!B:B,'Base stats'!E:E),Groups!A:A,Groups!AE:AE),MROUND(_xlfn.XLOOKUP(_xlfn.XLOOKUP(B125,'Base stats'!B:B,'Base stats'!E:E),Groups!A:A,Groups!AE:AE)*_xlfn.XLOOKUP(B125,'Base stats'!B:B,'Base stats'!C:C)^0.165,0.05)))</f>
        <v>No</v>
      </c>
      <c r="AJ125" s="7" t="str">
        <f>IF(AH125="No","No",_xlfn.XLOOKUP(_xlfn.XLOOKUP(B125,'Base stats'!B:B,'Base stats'!E:E),Groups!A:A,Groups!AF:AF))</f>
        <v>No</v>
      </c>
      <c r="AK125" s="7" t="str">
        <f>IF(AH125="No","No",_xlfn.XLOOKUP(_xlfn.XLOOKUP(B125,'Base stats'!B:B,'Base stats'!E:E),Groups!A:A,Groups!AG:AG))</f>
        <v>No</v>
      </c>
      <c r="AL125" s="7" t="str">
        <f>IF(AH125="No","No",_xlfn.XLOOKUP(_xlfn.XLOOKUP(B125,'Base stats'!B:B,'Base stats'!E:E),Groups!A:A,Groups!AH:AH))</f>
        <v>No</v>
      </c>
      <c r="AM125" s="2" t="str">
        <f t="shared" si="7"/>
        <v>No</v>
      </c>
      <c r="AN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O125" s="8">
        <f>MROUND(AN125*_xlfn.XLOOKUP(_xlfn.XLOOKUP(B125,'Base stats'!B:B,'Base stats'!E:E),Groups!A:A,Groups!AI:AI),0.05)</f>
        <v>3</v>
      </c>
      <c r="AP125" s="8">
        <f>MAX(0.01,MROUND(IF(CA125="True",0.196*(AN125*100*1000)^0.889,IF(_xlfn.XLOOKUP(_xlfn.XLOOKUP(B125,'Base stats'!B:B,'Base stats'!E:E),Groups!A:A,Groups!AJ:AJ)="Bird",10.5*(AN125*100*1000)^0.681,4.82*(AN125*100*1000)^0.734))/(4.82*(1*100*1000)^0.734)/IF(AN125&lt;3.5,2,IF(AN125=3.5,1.5,1.25))*(1+0.132282374779864/(AN125^0.994035016789033+0.00905238001496948)),0.05))</f>
        <v>1.1500000000000001</v>
      </c>
      <c r="AQ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R125" s="35">
        <f>IFERROR(IF(_xlfn.XLOOKUP(B125,'Base stats'!B:B,'Base stats'!F:F)="Lay eggs","Lay eggs",MIN(20,MAX(5.5,ROUND(((_xlfn.XLOOKUP(B125,'Base stats'!B:B,'Base stats'!F:F)-25)*(14.5/615) + 5.5)*2,0)/2))),"Cannot breed")</f>
        <v>14</v>
      </c>
      <c r="AS125" s="8">
        <f>IF(OR(A125="Queen",A125="Larva",A125="Megachicken"),"No",IFERROR(MAX(IF(_xlfn.XLOOKUP(B125,'Base stats'!B:B,'Base stats'!G:G)&lt;0.5,0.2,0.3),MROUND(_xlfn.XLOOKUP(B125,'Base stats'!B:B,'Base stats'!G:G)/(365/60),0.2)),"Unknown"))</f>
        <v>0.60000000000000009</v>
      </c>
      <c r="AT125" s="8">
        <f t="shared" si="8"/>
        <v>0.30000000000000004</v>
      </c>
      <c r="AU125" s="8">
        <f>IFERROR(IFERROR(MROUND(_xlfn.XLOOKUP(B125,'Base stats'!B:B,'Base stats'!J:J),0.1),"Lay eggs"),"Cannot breed")</f>
        <v>1</v>
      </c>
      <c r="AV125" s="2" t="str">
        <f t="shared" si="9"/>
        <v>true</v>
      </c>
      <c r="AW125" s="2" t="str">
        <f>IF(_xlfn.XLOOKUP(_xlfn.XLOOKUP(Animals!B125,'Base stats'!B:B,'Base stats'!E:E),Groups!A:A,Groups!AK:AK)=1,"true","false")</f>
        <v>true</v>
      </c>
      <c r="AX125" s="25" t="str">
        <f>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</f>
        <v>VegetarianRoughAnimal</v>
      </c>
      <c r="AY125" s="2">
        <f>IF(_xlfn.XLOOKUP(_xlfn.XLOOKUP(B125,'Base stats'!B:B,'Base stats'!E:E),Groups!A:A,Groups!D:D)=1,MROUND((1-I125)*5+1,2)*IF(I125&lt;=0.4,2,1),"No")</f>
        <v>8</v>
      </c>
      <c r="AZ125" s="2" t="str">
        <f>_xlfn.XLOOKUP(B125,'Base stats'!B:B,'Base stats'!AE:AE)</f>
        <v>Leather_Camel</v>
      </c>
      <c r="BA125" s="23" t="str">
        <f>_xlfn.XLOOKUP(_xlfn.XLOOKUP(B125,'Base stats'!B:B,'Base stats'!E:E),Groups!A:A,Groups!AL:AL)</f>
        <v>QuadrupedAnimalWithHoovesAndHump</v>
      </c>
      <c r="BB125" s="23">
        <f>MROUND(IF(AND(AN125&lt;0.5,_xlfn.XLOOKUP(B125,'Base stats'!B:B,'Base stats'!Z:Z)=0),0,IF(OR(_xlfn.XLOOKUP(Animals!B125,'Base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stats'!AA:AA),0.005)</f>
        <v>0</v>
      </c>
      <c r="BC125" s="23">
        <f>MROUND(IF(AND(AN125&lt;0.5,_xlfn.XLOOKUP(B125,'Base stats'!B:B,'Base stats'!Z:Z)=0),0,IF(_xlfn.XLOOKUP(_xlfn.XLOOKUP(B125,'Base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stats'!AB:AB),0.005)</f>
        <v>0</v>
      </c>
      <c r="BD125" s="2" t="str">
        <f>IF(I125&gt;0.3,"No",_xlfn.XLOOKUP(_xlfn.XLOOKUP(Animals!B125,'Base stats'!B:B,'Base stats'!E:E),Groups!A:A,Groups!AP:AP))</f>
        <v>No</v>
      </c>
      <c r="BE125" s="2" t="str">
        <f>IF(AND(I125&lt;=0.65,_xlfn.XLOOKUP(_xlfn.XLOOKUP(Animals!B125,'Base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stats'!O:O)=2,0.2,AN125) + 24*(1-IF(BD125="No",0,BD125)) + 16/3, 12),"No")</f>
        <v>No</v>
      </c>
      <c r="BF125" s="2">
        <f>IF(AND(_xlfn.XLOOKUP(_xlfn.XLOOKUP(B125,'Base stats'!B:B,'Base stats'!E:E),Groups!A:A,Groups!AQ:AQ)=1,AN125&lt;=0.35),8,12)</f>
        <v>12</v>
      </c>
      <c r="BG125" s="2" t="str">
        <f>IF(_xlfn.XLOOKUP(_xlfn.XLOOKUP(B125,'Base stats'!B:B,'Base stats'!E:E),Groups!A:A,Groups!D:D)=0,_xlfn.XLOOKUP(_xlfn.XLOOKUP(B125,'Base stats'!B:B,'Base stats'!E:E),Groups!A:A,Groups!AR:AR),"None")</f>
        <v>None</v>
      </c>
      <c r="BH125" s="2" t="str">
        <f>IF(AND(_xlfn.XLOOKUP(_xlfn.XLOOKUP(B125,'Base stats'!B:B,'Base stats'!E:E),Groups!A:A,Groups!AS:AS)=1,OR('Base stats'!Y125="Carnivore",'Base stats'!Y125="Omnivore")),"true","false")</f>
        <v>false</v>
      </c>
      <c r="BI125" s="2" t="str">
        <f>IF(BH125="true",MROUND(IF(AND(AN125&gt;0.5,_xlfn.XLOOKUP(_xlfn.XLOOKUP(B125,'Base stats'!B:B,'Base stats'!E:E),Groups!A:A,Groups!AJ:AJ)="Mammal"),Animals!AN125*1.75*IF(AV125="true",1.5,1),Animals!AN125),IF(AN125&gt;2,0.5,IF(AN125&gt;0.5,0.25,0.1))),"No")</f>
        <v>No</v>
      </c>
      <c r="BJ125" s="2">
        <f t="shared" si="10"/>
        <v>0</v>
      </c>
      <c r="BK125" s="25" t="str">
        <f>IF('Base stats'!AK125="Standard","No",MROUND((_xlfn.XLOOKUP(B125,'Base stats'!B:B,'Base stats'!AK:AK)/3.6)/H125,0.1))</f>
        <v>No</v>
      </c>
      <c r="BL125" s="25" t="str">
        <f t="shared" si="11"/>
        <v>false</v>
      </c>
      <c r="BM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N125" s="25" t="str" cm="1">
        <f t="array" ref="BN125">IF(
  _xlfn.TEXTJOIN(", ",TRUE,
    IF(AND(BH125="true",AN125&gt;0.5,BG125&lt;&gt;"None"),"AttackTarget",""),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IF(BE125&lt;=36,"Comfort",""),
    IF(_xlfn.XLOOKUP(B125,'Base stats'!B:B,'Base stats'!AC:AC)&lt;&gt;"No",_xlfn.XLOOKUP(B125,'Base stats'!B:B,'Base stats'!AC:AC),"")
  ) = "",
  "No",
  _xlfn.TEXTJOIN(", ",TRUE,
    IF(AND(BH125="true",AN125&gt;0.5,BG125&lt;&gt;"None"),"AttackTarget",""),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IF(BE125&lt;=36,"Comfort",""),
    IF(_xlfn.XLOOKUP(B125,'Base stats'!B:B,'Base stats'!AC:AC)&lt;&gt;"No",_xlfn.XLOOKUP(B125,'Base stats'!B:B,'Base stats'!AC:AC),"")
  )
)</f>
        <v>No</v>
      </c>
      <c r="BO125" s="25" t="str">
        <f>IF(
   AND(
      'Base stats'!AK125="Standard",_xlfn.XLOOKUP(_xlfn.XLOOKUP(B125,'Base stats'!B:B,'Base stats'!E:E),Groups!A:A,Groups!AU:AU)=0,
      OR(
      BM125="True"
      )
   ),
   10,
   IF(
       OR(BK125&lt;&gt;"No",_xlfn.XLOOKUP(_xlfn.XLOOKUP(B125,'Base stats'!B:B,'Base stats'!E:E),Groups!A:A,Groups!AU:AU)=1),
      1,
      "No"
   )
)</f>
        <v>No</v>
      </c>
      <c r="BP125" s="9">
        <f>MROUND((1 + ((0.2*IF(OR(P125="No",Q125="No",Q125=0),0,P125/Q125)
+IF(OR(U125="No",R125="No",S125="No"),0,R125/S125*(LEN(U125)-LEN(SUBSTITUTE(U125,",",""))+1))
+IF(OR(W125="No",X125="No"),0,W125/X125)
+IF(OR(AC125="No",AD125="No"),0,AC125/AD125)
+IF(OR(AK125="No",AH125="No",AI125="No"),0,AH125/AI125*(LEN(AK125)-LEN(SUBSTITUTE(AK125,",",""))+1))
)/(0.2*IF(OR(P125="No",Q125="No",Q125=0),0,1)
+IF(OR(U125="No",R125="No",S125="No"),0,LEN(U125)-LEN(SUBSTITUTE(U125,",",""))+1)
+IF(OR(W125="No",X125="No"),0,1)
+IF(OR(AC125="No",AD125="No"),0,1)
+IF(OR(AK125="No",AH125="No",AI125="No"),0,LEN(AK125)-LEN(SUBSTITUTE(AK125,",",""))+1))*62%)* 2)*(1 + (AO125 + _xlfn.XLOOKUP(B125,'Base stats'!B:B,'Base stats'!AS:AS) * 1.8) * 2) * 2.5 + 10 + H125 * 2,5)+IF(_xlfn.XLOOKUP(B125,'Base stats'!B:B,'Base stats'!AH:AH)=1,50,0)</f>
        <v>205</v>
      </c>
      <c r="BQ125" s="8">
        <f t="shared" si="12"/>
        <v>1.5</v>
      </c>
      <c r="BR125" s="8" t="str">
        <f>_xlfn.XLOOKUP(B125,'Base stats'!B:B,'Base stats'!AD:AD)</f>
        <v>3~10</v>
      </c>
      <c r="BS125" s="2" t="str">
        <f>IF(AND(I125&lt;=0.95,OR(_xlfn.XLOOKUP(B125,'Base stats'!B:B,'Base stats'!AH:AH)=1,_xlfn.XLOOKUP(B125,'Base stats'!B:B,'Base stats'!Y:Y)="Carnivore",_xlfn.XLOOKUP(B125,'Base stats'!B:B,'Base stats'!Y:Y)="Omnivore",BC125&gt;0.1)),"true","false")</f>
        <v>false</v>
      </c>
      <c r="BT125" s="2" t="str">
        <f>IF(_xlfn.XLOOKUP(B125,'Base stats'!B:B,'Base stats'!AF:AF)=1,"true","false")</f>
        <v>true</v>
      </c>
      <c r="BU125" s="25" t="str">
        <f>IF(E125="BaseInsect","AnimalInsect",
IF(I125&gt;0.95,"AnimalExotic",
_xlfn.TEXTJOIN(", ",TRUE,
IF(AND(_xlfn.XLOOKUP(B125,'Base stats'!B:B,'Base stats'!O:O)=0,_xlfn.XLOOKUP(_xlfn.XLOOKUP(B125,'Base stats'!B:B,'Base stats'!E:E),Groups!A:A,Groups!B:B)&gt;0),"AnimalUncommon","AnimalCommon"),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stats'!AH:AH)=1,AND(BG125&lt;&gt;"None",BP125&gt;=60),ISNUMBER(SEARCH("Attack target",BN125))),"AnimalFighter","")
)))</f>
        <v>AnimalCommon, AnimalFarm</v>
      </c>
      <c r="BV125" s="25" t="str">
        <f>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</f>
        <v>Alpine</v>
      </c>
      <c r="BW125" s="25" t="str">
        <f>IF(_xlfn.XLOOKUP(B125,'Base stats'!B:B,'Base stats'!AG:AG)=1,"true","false")</f>
        <v>false</v>
      </c>
      <c r="BX125" s="25">
        <f>IF(_xlfn.XLOOKUP(B125,'Base stats'!B:B,'Base stats'!N:N)=1,"No",MIN(MROUND(IF(OR(_xlfn.XLOOKUP(B125,'Base stats'!B:B,'Base stats'!AJ:AJ)=1,AND(BH125="True",CA125="False")),POWER(10,3.47*LOG10(_xlfn.XLOOKUP(B125,'Base stats'!B:B,'Base stats'!C:C)*1000)^-0.96),POWER(10,4.15*LOG10(_xlfn.XLOOKUP(B125,'Base stats'!B:B,'Base stats'!C:C)*1000)^-0.73))*IF(OR(_xlfn.XLOOKUP(B125,'Base stats'!B:B,'Base stats'!AJ:AJ)=1,_xlfn.XLOOKUP(B125,'Base stats'!B:B,'Base stats'!AH:AH)=1),0.5,1)/100,0.025),1))</f>
        <v>0.15000000000000002</v>
      </c>
      <c r="BY125" s="25" t="str">
        <f>IF(O125="Standard","No",IF(_xlfn.XLOOKUP(B125,'Base stats'!B:B,'Base stats'!N:N)=0,MROUND(BX125*O125,0.05),MIN(1,MAX(0.025,MROUND(IF(OR(CA125="true",AND(BH125="false",BM125="false")),POWER(10,4.15*LOG10(_xlfn.XLOOKUP(B125,'Base stats'!B:B,'Base stats'!C:C)*1000)^-0.73),POWER(10,3.47*LOG10(_xlfn.XLOOKUP(B125,'Base stats'!B:B,'Base stats'!C:C)*1000)^-0.96))*IF(_xlfn.XLOOKUP(B125,'Base stats'!B:B,'Base stats'!AH:AH)=1,0.5,1)/100,0.025)))))</f>
        <v>No</v>
      </c>
      <c r="BZ125" s="25" t="str">
        <f>IF(_xlfn.XLOOKUP(_xlfn.XLOOKUP(B125,'Base stats'!B:B,'Base stats'!E:E),Groups!A:A,Groups!AJ:AJ)="Mammal","True","False")</f>
        <v>True</v>
      </c>
      <c r="CA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B125" s="25" t="str">
        <f t="shared" si="13"/>
        <v>False</v>
      </c>
      <c r="CC125" s="25" t="str">
        <f>IF(_xlfn.XLOOKUP(_xlfn.XLOOKUP(B125,'Base stats'!B:B,'Base stats'!E:E),Groups!A:A,Groups!AW:AW),"True","False")</f>
        <v>False</v>
      </c>
      <c r="CD125" s="25" t="str">
        <f>IF(_xlfn.XLOOKUP(_xlfn.XLOOKUP(B125,'Base stats'!B:B,'Base stats'!E:E),Groups!A:A,Groups!AX:AX),"True","False")</f>
        <v>False</v>
      </c>
      <c r="CE125" s="25" t="str">
        <f>IF(_xlfn.XLOOKUP(B125,'Base stats'!B:B,'Base stats'!E:E)=1,"True","False")</f>
        <v>False</v>
      </c>
      <c r="CF125" s="25" t="str">
        <f>IF(
OR(
_xlfn.XLOOKUP(_xlfn.XLOOKUP(B125,'Base stats'!B:B,'Base stats'!E:E),Groups!A:A,Groups!AY:AY)=0,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stats'!E:E),Groups!A:A,Groups!AY:AY)=1,
"Flesh",
IF(
_xlfn.XLOOKUP(_xlfn.XLOOKUP(B125,'Base stats'!B:B,'Base stats'!E:E),Groups!A:A,Groups!AY:AY)=2,
"Bone",
""
)
)
)</f>
        <v>No</v>
      </c>
      <c r="CG125" s="25" t="str">
        <f>IF(_xlfn.XLOOKUP(_xlfn.XLOOKUP(B125,'Base stats'!B:B,'Base stats'!E:E),Groups!A:A,Groups!BA:BA),"True","False")</f>
        <v>True</v>
      </c>
      <c r="CH125" s="25" t="str">
        <f>IF(_xlfn.XLOOKUP(_xlfn.XLOOKUP(B125,'Base stats'!B:B,'Base stats'!E:E),Groups!A:A,Groups!AZ:AZ),"True","False")</f>
        <v>False</v>
      </c>
    </row>
    <row r="126" spans="1:86" s="16" customFormat="1" ht="16.5" thickTop="1" thickBot="1" x14ac:dyDescent="0.3">
      <c r="A126" s="26" t="str">
        <f>_xlfn.XLOOKUP(B126,'Base stats'!B:B,'Base stats'!A:A)</f>
        <v>Rattlesnake</v>
      </c>
      <c r="B126" s="6" t="s">
        <v>482</v>
      </c>
      <c r="C126" s="28" t="s">
        <v>819</v>
      </c>
      <c r="D126" s="28" t="s">
        <v>884</v>
      </c>
      <c r="E126" s="28" t="s">
        <v>685</v>
      </c>
      <c r="F126" s="28" t="s">
        <v>685</v>
      </c>
      <c r="G126" s="2">
        <f>MROUND((
  (IF(AND(_xlfn.XLOOKUP(B126,'Base stats'!B:B,'Base stats'!AI:AI)=0,BG126="None",_xlfn.XLOOKUP('Base stats'!E126,Groups!A:A,Groups!B:B)=0), (18 + BP126 * 2.7) * 0.5,
    IF(AND(_xlfn.XLOOKUP(B126,'Base stats'!B:B,'Base stats'!AI:AI)=0,OR(AN126&lt;0.55,AND(BG126="Intermediate",_xlfn.XLOOKUP('Base stats'!E126,Groups!A:A,Groups!B:B)&lt;2))), (18 + BP126 * 2.7),
      IF(OR(BG126="Advanced",_xlfn.XLOOKUP(B126,'Base stats'!B:B,'Base stats'!AI:AI)=1,_xlfn.XLOOKUP('Base stats'!E126,Groups!A:A,Groups!B:B)=2), (18 + BP126 * 2.7) + 250, (18 + BP126 * 2.7))
    )
  ))
  + AN126 * 80
  + IF(COUNTIF(EggMilk!K$2:K$998, A126) &gt; 0, 125, 0)
  + IF(COUNTIF(EggMilk!P$2:P$998, A126) &gt; 0, 90, 0)
  + IF(COUNTIF(EggMilk!A$2:A$998, A126) &gt; 0, 90, 0)
)
* (0.8 + 0.4 * I126)
* 0.75,25)</f>
        <v>125</v>
      </c>
      <c r="H126" s="2">
        <f>MROUND(ROUNDDOWN(_xlfn.XLOOKUP(B126,'Base stats'!B:B,'Base stats'!L:L)/3.6/(23.3/11),1),0.5)</f>
        <v>2</v>
      </c>
      <c r="I126" s="2">
        <f>IF(_xlfn.XLOOKUP(B126,'Base stats'!B:B,'Base stats'!AI:AI)=1,0.99,MIN(MROUND((1-0.6282*EXP(-0.459*AN126))*_xlfn.XLOOKUP(_xlfn.XLOOKUP(B126,'Base stats'!B:B,'Base stats'!E:E),Groups!A:A,Groups!C:C)*IF(_xlfn.XLOOKUP(B126,'Base stats'!B:B,'Base stats'!O:O)=1,0.5,IF(_xlfn.XLOOKUP(B126,'Base stats'!B:B,'Base stats'!O:O)=2,0,1)),0.05),0.985))</f>
        <v>0.70000000000000007</v>
      </c>
      <c r="J126" s="2">
        <f>ROUNDUP(AN126*_xlfn.XLOOKUP(_xlfn.XLOOKUP(B126,'Base stats'!B:B,'Base stats'!E:E),Groups!A:A,Groups!E:E),0)</f>
        <v>1</v>
      </c>
      <c r="K126" s="2">
        <f>IF(OR(_xlfn.XLOOKUP(_xlfn.XLOOKUP(B126,'Base stats'!B:B,'Base stats'!E:E),Groups!A:A,Groups!F:F)=2,ISNUMBER(SEARCH("SeaIce",BV126)),ISNUMBER(SEARCH("IceSheet",BV126))),-50,IF(OR(ISNUMBER(SEARCH("GlacialPlain",BV126)),ISNUMBER(SEARCH("Tundra",BV126))),-40,IF(OR(ISNUMBER(SEARCH("Alpine",BV126)),ISNUMBER(SEARCH("BorealForest",BV126)),ISNUMBER(SEARCH("ColdBog",BV126))),-30,IF(OR(ISNUMBER(SEARCH("TemperateForest",BV126)),ISNUMBER(SEARCH("TemperateSwamp",BV126))),-20,IF(_xlfn.XLOOKUP(_xlfn.XLOOKUP(B126,'Base stats'!B:B,'Base stats'!E:E),Groups!A:A,Groups!F:F)=1,-15,IF(OR(ISNUMBER(SEARCH("Desert",BV126)),ISNUMBER(SEARCH("ExtremeDesert",BV126))),-10,IF(OR(ISNUMBER(SEARCH("Grasslands",BV126)),ISNUMBER(SEARCH("TropicalRainforest",BV126)),ISNUMBER(SEARCH("TropicalSwamp",BV126))),10,0)))))))-IF(CA126="False",MIN(IFERROR(MAX(MROUND(LOG10(_xlfn.XLOOKUP(B126,'Base stats'!B:B,'Base stats'!C:C)^(2/3))*10,5),5),5),30))-_xlfn.XLOOKUP(B126,'Base stats'!B:B,'Base stats'!P:P)+IF(CA126="True",5,0)</f>
        <v>-5</v>
      </c>
      <c r="L126" s="2">
        <f>IF(OR(_xlfn.XLOOKUP(_xlfn.XLOOKUP(B126,'Base stats'!B:B,'Base stats'!E:E),Groups!A:A,Groups!G:G)=2,ISNUMBER(SEARCH("Desert",BV126)),ISNUMBER(SEARCH("ExtremeDesert",BV126)),ISNUMBER(SEARCH("LavaField",BV126))),50,IF(ISNUMBER(SEARCH("Grasslands",BV126)),45,IF(OR(_xlfn.XLOOKUP(_xlfn.XLOOKUP(B126,'Base stats'!B:B,'Base stats'!E:E),Groups!A:A,Groups!G:G)=1,ISNUMBER(SEARCH("TropicalRainforest",BV126)),ISNUMBER(SEARCH("TropicalSwamp",BV126))),40,IF(OR(ISNUMBER(SEARCH("TemperateForest",BV126)),ISNUMBER(SEARCH("TemperateSwamp",BV126))),35,IF(OR(ISNUMBER(SEARCH("Alpine",BV126)),ISNUMBER(SEARCH("BorealForest",BV126)),ISNUMBER(SEARCH("ColdBog",BV126))),30,IF(ISNUMBER(OR(ISNUMBER(SEARCH("GlacialPlain",BV126)),SEARCH("Tundra",BV126))),25,IF(OR(ISNUMBER(SEARCH("SeaIce",BV126)),ISNUMBER(SEARCH("IceSheet",BV126)),ISNUMBER(SEARCH("TropicalSwamp",BV126))),10,35)))))))+_xlfn.XLOOKUP(B126,'Base stats'!B:B,'Base stats'!Q:Q)</f>
        <v>50</v>
      </c>
      <c r="M126" s="8" t="str">
        <f>IF(_xlfn.XLOOKUP(_xlfn.XLOOKUP(B126,'Base stats'!B:B,'Base stats'!E:E),Groups!A:A,Groups!L:L)=1,MIN(MROUND(_xlfn.XLOOKUP(B126,'Animals CE'!B:B,'Animals CE'!Z:Z)/2+0.05,0.05),200%),"No")</f>
        <v>No</v>
      </c>
      <c r="N126" s="8" t="str">
        <f>IF(_xlfn.XLOOKUP(_xlfn.XLOOKUP(B126,'Base stats'!B:B,'Base stats'!E:E),Groups!A:A,Groups!L:L)=1,MIN(MROUND(_xlfn.XLOOKUP(B126,'Animals CE'!B:B,'Animals CE'!AA:AA)/2+0.05,0.05),200%),"No")</f>
        <v>No</v>
      </c>
      <c r="O126" s="2" t="str">
        <f>_xlfn.XLOOKUP(B126,'Base stats'!B:B,'Base stats'!R:R)</f>
        <v>Standard</v>
      </c>
      <c r="P126" s="13">
        <f>MROUND((LOG10(_xlfn.XLOOKUP(B126,'Base stats'!B:B,'Base stats'!AO:AO))*(AN126^0.5)+(_xlfn.XLOOKUP(B126,'Base stats'!B:B,'Base stats'!AO:AO)/1000)^(2/3)+_xlfn.XLOOKUP(B126,'Base stats'!B:B,'Base stats'!AX:AX)/2)+0.5,0.5)</f>
        <v>3</v>
      </c>
      <c r="Q126" s="7">
        <f>IF(P126="No","No",MAX(1,MROUND(_xlfn.XLOOKUP(B126,'Base stats'!B:B,'Base stats'!C:C)^0.165,0.05)))</f>
        <v>1.35</v>
      </c>
      <c r="R126" s="13" t="str">
        <f>IF(_xlfn.XLOOKUP(_xlfn.XLOOKUP(B126,'Base stats'!B:B,'Base stats'!E:E),Groups!A:A,Groups!P:P)=0,"No",MROUND((LOG10(_xlfn.XLOOKUP(B126,'Base stats'!B:B,'Base stats'!AP:AP))*(AN126^0.5)+(_xlfn.XLOOKUP(B126,'Base stats'!B:B,'Base stats'!AP:AP)/1000)^(2/3)+_xlfn.XLOOKUP(B126,'Base stats'!B:B,'Base stats'!AX:AX))+_xlfn.XLOOKUP(B126,'Base stats'!B:B,'Base stats'!AV:AV)+0.5,0.5))</f>
        <v>No</v>
      </c>
      <c r="S126" s="7" t="str">
        <f>IF(R126="No","No",MAX(_xlfn.XLOOKUP(_xlfn.XLOOKUP(B126,'Base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T126" s="7" t="str">
        <f>IF(R126="No","No",_xlfn.XLOOKUP(_xlfn.XLOOKUP(B126,'Base stats'!B:B,'Base stats'!E:E),Groups!A:A,Groups!R:R))</f>
        <v>No</v>
      </c>
      <c r="U126" s="7" t="str">
        <f>IF(R126="No","No",_xlfn.XLOOKUP(_xlfn.XLOOKUP(B126,'Base stats'!B:B,'Base stats'!E:E),Groups!A:A,Groups!S:S))</f>
        <v>No</v>
      </c>
      <c r="V126" s="7" t="str">
        <f>IF(R126="No","No",_xlfn.XLOOKUP(_xlfn.XLOOKUP(B126,'Base stats'!B:B,'Base stats'!E:E),Groups!A:A,Groups!T:T))</f>
        <v>No</v>
      </c>
      <c r="W126" s="13" t="str">
        <f>IF(_xlfn.XLOOKUP(B126,'Base stats'!B:B,'Base stats'!W:W)="No","No",MROUND((LOG10(_xlfn.XLOOKUP(B126,'Base stats'!B:B,'Base stats'!AR:AR))*(AN126^0.5)+(_xlfn.XLOOKUP(B126,'Base stats'!B:B,'Base stats'!AR:AR)/1000)^(2/3)+_xlfn.XLOOKUP(B126,'Base stats'!B:B,'Base stats'!AW:AW))+0.5+IF(_xlfn.XLOOKUP(_xlfn.XLOOKUP(B126,'Base stats'!B:B,'Base stats'!E:E),Groups!A:A,Groups!U:U)&lt;&gt;3,_xlfn.XLOOKUP(B126,'Base stats'!B:B,'Base stats'!AX:AX),0),0.5))</f>
        <v>No</v>
      </c>
      <c r="X126" s="7" t="str">
        <f>IF(W126="No","No",MAX(_xlfn.XLOOKUP(_xlfn.XLOOKUP(B126,'Base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Y126" s="7" t="str">
        <f>IF(W126="No","No",_xlfn.XLOOKUP(_xlfn.XLOOKUP(B126,'Base stats'!B:B,'Base stats'!E:E),Groups!A:A,Groups!W:W))</f>
        <v>No</v>
      </c>
      <c r="Z126" s="7" t="str">
        <f>IF(W126="No","No",_xlfn.XLOOKUP(_xlfn.XLOOKUP(B126,'Base stats'!B:B,'Base stats'!E:E),Groups!A:A,Groups!X:X))</f>
        <v>No</v>
      </c>
      <c r="AA126" s="7" t="str">
        <f>IF(W126="No","No",_xlfn.XLOOKUP(_xlfn.XLOOKUP(B126,'Base stats'!B:B,'Base stats'!E:E),Groups!A:A,Groups!Y:Y))</f>
        <v>No</v>
      </c>
      <c r="AB126" s="7" t="str">
        <f>_xlfn.XLOOKUP(Animals!B126,'Base stats'!B:B,'Base stats'!X:X)</f>
        <v>False</v>
      </c>
      <c r="AC126" s="13">
        <f>IF(_xlfn.XLOOKUP(B126,'Base stats'!B:B,'Base stats'!AQ:AQ)="No","No",MROUND((LOG10(_xlfn.XLOOKUP(B126,'Base stats'!B:B,'Base stats'!AQ:AQ))*(AN126^0.75)+(_xlfn.XLOOKUP(B126,'Base stats'!B:B,'Base stats'!AQ:AQ)/1000)^(2/3)+_xlfn.XLOOKUP(B126,'Base stats'!B:B,'Base stats'!AU:AU)+_xlfn.XLOOKUP(B126,'Base stats'!B:B,'Base stats'!AX:AX))+0.5,0.5))</f>
        <v>5.5</v>
      </c>
      <c r="AD126" s="7">
        <f>IF(AC126="No","No",MAX(_xlfn.XLOOKUP(_xlfn.XLOOKUP(B126,'Base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E126" s="7" t="str">
        <f>IF(AC126="No","No",_xlfn.XLOOKUP(_xlfn.XLOOKUP(B126,'Base stats'!B:B,'Base stats'!E:E),Groups!A:A,Groups!AA:AA))</f>
        <v>Mouth</v>
      </c>
      <c r="AF126" s="7" t="str">
        <f>IF(AC126="No","No",_xlfn.XLOOKUP(_xlfn.XLOOKUP(B126,'Base stats'!B:B,'Base stats'!E:E),Groups!A:A,Groups!AB:AB))</f>
        <v>fangs</v>
      </c>
      <c r="AG126" s="7" t="str">
        <f>IF(AC126="No","No",_xlfn.XLOOKUP(_xlfn.XLOOKUP(B126,'Base stats'!B:B,'Base stats'!E:E),Groups!A:A,Groups!AC:AC))</f>
        <v>ToxicBite</v>
      </c>
      <c r="AH126" s="13" t="str">
        <f>IF(_xlfn.XLOOKUP(_xlfn.XLOOKUP(B126,'Base stats'!B:B,'Base stats'!E:E),Groups!A:A,Groups!AD:AD)=0,"No",MROUND((LOG10(_xlfn.XLOOKUP(B126,'Base stats'!B:B,'Base stats'!AP:AP))*(AN126^0.75)+(_xlfn.XLOOKUP(B126,'Base stats'!B:B,'Base stats'!AP:AP)/1000)^(2/3)+_xlfn.XLOOKUP(B126,'Base stats'!B:B,'Base stats'!AV:AV)+_xlfn.XLOOKUP(B126,'Base stats'!B:B,'Base stats'!AX:AX))+0.5,0.5))</f>
        <v>No</v>
      </c>
      <c r="AI126" s="7" t="str">
        <f>IF(AH126="No","No",MAX(_xlfn.XLOOKUP(_xlfn.XLOOKUP(B126,'Base stats'!B:B,'Base stats'!E:E),Groups!A:A,Groups!AE:AE),MROUND(_xlfn.XLOOKUP(_xlfn.XLOOKUP(B126,'Base stats'!B:B,'Base stats'!E:E),Groups!A:A,Groups!AE:AE)*_xlfn.XLOOKUP(B126,'Base stats'!B:B,'Base stats'!C:C)^0.165,0.05)))</f>
        <v>No</v>
      </c>
      <c r="AJ126" s="7" t="str">
        <f>IF(AH126="No","No",_xlfn.XLOOKUP(_xlfn.XLOOKUP(B126,'Base stats'!B:B,'Base stats'!E:E),Groups!A:A,Groups!AF:AF))</f>
        <v>No</v>
      </c>
      <c r="AK126" s="7" t="str">
        <f>IF(AH126="No","No",_xlfn.XLOOKUP(_xlfn.XLOOKUP(B126,'Base stats'!B:B,'Base stats'!E:E),Groups!A:A,Groups!AG:AG))</f>
        <v>No</v>
      </c>
      <c r="AL126" s="7" t="str">
        <f>IF(AH126="No","No",_xlfn.XLOOKUP(_xlfn.XLOOKUP(B126,'Base stats'!B:B,'Base stats'!E:E),Groups!A:A,Groups!AH:AH))</f>
        <v>No</v>
      </c>
      <c r="AM126" s="2">
        <f t="shared" si="7"/>
        <v>15</v>
      </c>
      <c r="AN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O126" s="8">
        <f>MROUND(AN126*_xlfn.XLOOKUP(_xlfn.XLOOKUP(B126,'Base stats'!B:B,'Base stats'!E:E),Groups!A:A,Groups!AI:AI),0.05)</f>
        <v>0.35000000000000003</v>
      </c>
      <c r="AP126" s="8">
        <f>MAX(0.01,MROUND(IF(CA126="True",0.196*(AN126*100*1000)^0.889,IF(_xlfn.XLOOKUP(_xlfn.XLOOKUP(B126,'Base stats'!B:B,'Base stats'!E:E),Groups!A:A,Groups!AJ:AJ)="Bird",10.5*(AN126*100*1000)^0.681,4.82*(AN126*100*1000)^0.734))/(4.82*(1*100*1000)^0.734)/IF(AN126&lt;3.5,2,IF(AN126=3.5,1.5,1.25))*(1+0.132282374779864/(AN126^0.994035016789033+0.00905238001496948)),0.05))</f>
        <v>0.05</v>
      </c>
      <c r="AQ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R126" s="35">
        <f>IFERROR(IF(_xlfn.XLOOKUP(B126,'Base stats'!B:B,'Base stats'!F:F)="Lay eggs","Lay eggs",MIN(20,MAX(5.5,ROUND(((_xlfn.XLOOKUP(B126,'Base stats'!B:B,'Base stats'!F:F)-25)*(14.5/615) + 5.5)*2,0)/2))),"Cannot breed")</f>
        <v>8.5</v>
      </c>
      <c r="AS126" s="8">
        <f>IF(OR(A126="Queen",A126="Larva",A126="Megachicken"),"No",IFERROR(MAX(IF(_xlfn.XLOOKUP(B126,'Base stats'!B:B,'Base stats'!G:G)&lt;0.5,0.2,0.3),MROUND(_xlfn.XLOOKUP(B126,'Base stats'!B:B,'Base stats'!G:G)/(365/60),0.2)),"Unknown"))</f>
        <v>0.4</v>
      </c>
      <c r="AT126" s="8">
        <f t="shared" si="8"/>
        <v>0.2</v>
      </c>
      <c r="AU126" s="8">
        <f>IFERROR(IFERROR(MROUND(_xlfn.XLOOKUP(B126,'Base stats'!B:B,'Base stats'!J:J),0.1),"Lay eggs"),"Cannot breed")</f>
        <v>18</v>
      </c>
      <c r="AV126" s="2" t="str">
        <f t="shared" si="9"/>
        <v>false</v>
      </c>
      <c r="AW126" s="2" t="str">
        <f>IF(_xlfn.XLOOKUP(_xlfn.XLOOKUP(Animals!B126,'Base stats'!B:B,'Base stats'!E:E),Groups!A:A,Groups!AK:AK)=1,"true","false")</f>
        <v>false</v>
      </c>
      <c r="AX126" s="25" t="str">
        <f>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</f>
        <v>CarnivoreAnimal, OvivoreAnimal</v>
      </c>
      <c r="AY126" s="2" t="str">
        <f>IF(_xlfn.XLOOKUP(_xlfn.XLOOKUP(B126,'Base stats'!B:B,'Base stats'!E:E),Groups!A:A,Groups!D:D)=1,MROUND((1-I126)*5+1,2)*IF(I126&lt;=0.4,2,1),"No")</f>
        <v>No</v>
      </c>
      <c r="AZ126" s="2" t="str">
        <f>_xlfn.XLOOKUP(B126,'Base stats'!B:B,'Base stats'!AE:AE)</f>
        <v>Leather_Lizard</v>
      </c>
      <c r="BA126" s="23" t="str">
        <f>_xlfn.XLOOKUP(_xlfn.XLOOKUP(B126,'Base stats'!B:B,'Base stats'!E:E),Groups!A:A,Groups!AL:AL)</f>
        <v>Snake</v>
      </c>
      <c r="BB126" s="23">
        <f>MROUND(IF(AND(AN126&lt;0.5,_xlfn.XLOOKUP(B126,'Base stats'!B:B,'Base stats'!Z:Z)=0),0,IF(OR(_xlfn.XLOOKUP(Animals!B126,'Base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stats'!AA:AA),0.005)</f>
        <v>0</v>
      </c>
      <c r="BC126" s="23">
        <f>MROUND(IF(AND(AN126&lt;0.5,_xlfn.XLOOKUP(B126,'Base stats'!B:B,'Base stats'!Z:Z)=0),0,IF(_xlfn.XLOOKUP(_xlfn.XLOOKUP(B126,'Base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stats'!AB:AB),0.005)</f>
        <v>0</v>
      </c>
      <c r="BD126" s="2" t="str">
        <f>IF(I126&gt;0.3,"No",_xlfn.XLOOKUP(_xlfn.XLOOKUP(Animals!B126,'Base stats'!B:B,'Base stats'!E:E),Groups!A:A,Groups!AP:AP))</f>
        <v>No</v>
      </c>
      <c r="BE126" s="2" t="str">
        <f>IF(AND(I126&lt;=0.65,_xlfn.XLOOKUP(_xlfn.XLOOKUP(Animals!B126,'Base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stats'!O:O)=2,0.2,AN126) + 24*(1-IF(BD126="No",0,BD126)) + 16/3, 12),"No")</f>
        <v>No</v>
      </c>
      <c r="BF126" s="2">
        <f>IF(AND(_xlfn.XLOOKUP(_xlfn.XLOOKUP(B126,'Base stats'!B:B,'Base stats'!E:E),Groups!A:A,Groups!AQ:AQ)=1,AN126&lt;=0.35),8,12)</f>
        <v>12</v>
      </c>
      <c r="BG126" s="2" t="str">
        <f>IF(_xlfn.XLOOKUP(_xlfn.XLOOKUP(B126,'Base stats'!B:B,'Base stats'!E:E),Groups!A:A,Groups!D:D)=0,_xlfn.XLOOKUP(_xlfn.XLOOKUP(B126,'Base stats'!B:B,'Base stats'!E:E),Groups!A:A,Groups!AR:AR),"None")</f>
        <v>None</v>
      </c>
      <c r="BH126" s="2" t="str">
        <f>IF(AND(_xlfn.XLOOKUP(_xlfn.XLOOKUP(B126,'Base stats'!B:B,'Base stats'!E:E),Groups!A:A,Groups!AS:AS)=1,OR('Base stats'!Y126="Carnivore",'Base stats'!Y126="Omnivore")),"true","false")</f>
        <v>true</v>
      </c>
      <c r="BI126" s="2">
        <f>IF(BH126="true",MROUND(IF(AND(AN126&gt;0.5,_xlfn.XLOOKUP(_xlfn.XLOOKUP(B126,'Base stats'!B:B,'Base stats'!E:E),Groups!A:A,Groups!AJ:AJ)="Mammal"),Animals!AN126*1.75*IF(AV126="true",1.5,1),Animals!AN126),IF(AN126&gt;2,0.5,IF(AN126&gt;0.5,0.25,0.1))),"No")</f>
        <v>0.4</v>
      </c>
      <c r="BJ126" s="2">
        <f t="shared" si="10"/>
        <v>0</v>
      </c>
      <c r="BK126" s="25" t="str">
        <f>IF('Base stats'!AK126="Standard","No",MROUND((_xlfn.XLOOKUP(B126,'Base stats'!B:B,'Base stats'!AK:AK)/3.6)/H126,0.1))</f>
        <v>No</v>
      </c>
      <c r="BL126" s="25" t="str">
        <f t="shared" si="11"/>
        <v>false</v>
      </c>
      <c r="BM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N126" s="25" t="str" cm="1">
        <f t="array" ref="BN126">IF(
  _xlfn.TEXTJOIN(", ",TRUE,
    IF(AND(BH126="true",AN126&gt;0.5,BG126&lt;&gt;"None"),"AttackTarget",""),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IF(BE126&lt;=36,"Comfort",""),
    IF(_xlfn.XLOOKUP(B126,'Base stats'!B:B,'Base stats'!AC:AC)&lt;&gt;"No",_xlfn.XLOOKUP(B126,'Base stats'!B:B,'Base stats'!AC:AC),"")
  ) = "",
  "No",
  _xlfn.TEXTJOIN(", ",TRUE,
    IF(AND(BH126="true",AN126&gt;0.5,BG126&lt;&gt;"None"),"AttackTarget",""),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IF(BE126&lt;=36,"Comfort",""),
    IF(_xlfn.XLOOKUP(B126,'Base stats'!B:B,'Base stats'!AC:AC)&lt;&gt;"No",_xlfn.XLOOKUP(B126,'Base stats'!B:B,'Base stats'!AC:AC),"")
  )
)</f>
        <v>No</v>
      </c>
      <c r="BO126" s="25" t="str">
        <f>IF(
   AND(
      'Base stats'!AK126="Standard",_xlfn.XLOOKUP(_xlfn.XLOOKUP(B126,'Base stats'!B:B,'Base stats'!E:E),Groups!A:A,Groups!AU:AU)=0,
      OR(
      BM126="True"
      )
   ),
   10,
   IF(
       OR(BK126&lt;&gt;"No",_xlfn.XLOOKUP(_xlfn.XLOOKUP(B126,'Base stats'!B:B,'Base stats'!E:E),Groups!A:A,Groups!AU:AU)=1),
      1,
      "No"
   )
)</f>
        <v>No</v>
      </c>
      <c r="BP126" s="9">
        <f>MROUND((1 + ((0.2*IF(OR(P126="No",Q126="No",Q126=0),0,P126/Q126)
+IF(OR(U126="No",R126="No",S126="No"),0,R126/S126*(LEN(U126)-LEN(SUBSTITUTE(U126,",",""))+1))
+IF(OR(W126="No",X126="No"),0,W126/X126)
+IF(OR(AC126="No",AD126="No"),0,AC126/AD126)
+IF(OR(AK126="No",AH126="No",AI126="No"),0,AH126/AI126*(LEN(AK126)-LEN(SUBSTITUTE(AK126,",",""))+1))
)/(0.2*IF(OR(P126="No",Q126="No",Q126=0),0,1)
+IF(OR(U126="No",R126="No",S126="No"),0,LEN(U126)-LEN(SUBSTITUTE(U126,",",""))+1)
+IF(OR(W126="No",X126="No"),0,1)
+IF(OR(AC126="No",AD126="No"),0,1)
+IF(OR(AK126="No",AH126="No",AI126="No"),0,LEN(AK126)-LEN(SUBSTITUTE(AK126,",",""))+1))*62%)* 2)*(1 + (AO126 + _xlfn.XLOOKUP(B126,'Base stats'!B:B,'Base stats'!AS:AS) * 1.8) * 2) * 2.5 + 10 + H126 * 2,5)+IF(_xlfn.XLOOKUP(B126,'Base stats'!B:B,'Base stats'!AH:AH)=1,50,0)</f>
        <v>45</v>
      </c>
      <c r="BQ126" s="8">
        <f t="shared" si="12"/>
        <v>0.1</v>
      </c>
      <c r="BR126" s="8" t="str">
        <f>_xlfn.XLOOKUP(B126,'Base stats'!B:B,'Base stats'!AD:AD)</f>
        <v>No</v>
      </c>
      <c r="BS126" s="2" t="str">
        <f>IF(AND(I126&lt;=0.95,OR(_xlfn.XLOOKUP(B126,'Base stats'!B:B,'Base stats'!AH:AH)=1,_xlfn.XLOOKUP(B126,'Base stats'!B:B,'Base stats'!Y:Y)="Carnivore",_xlfn.XLOOKUP(B126,'Base stats'!B:B,'Base stats'!Y:Y)="Omnivore",BC126&gt;0.1)),"true","false")</f>
        <v>true</v>
      </c>
      <c r="BT126" s="2" t="str">
        <f>IF(_xlfn.XLOOKUP(B126,'Base stats'!B:B,'Base stats'!AF:AF)=1,"true","false")</f>
        <v>false</v>
      </c>
      <c r="BU126" s="25" t="str">
        <f>IF(E126="BaseInsect","AnimalInsect",
IF(I126&gt;0.95,"AnimalExotic",
_xlfn.TEXTJOIN(", ",TRUE,
IF(AND(_xlfn.XLOOKUP(B126,'Base stats'!B:B,'Base stats'!O:O)=0,_xlfn.XLOOKUP(_xlfn.XLOOKUP(B126,'Base stats'!B:B,'Base stats'!E:E),Groups!A:A,Groups!B:B)&gt;0),"AnimalUncommon","AnimalCommon"),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stats'!AH:AH)=1,AND(BG126&lt;&gt;"None",BP126&gt;=60),ISNUMBER(SEARCH("Attack target",BN126))),"AnimalFighter","")
)))</f>
        <v>AnimalUncommon</v>
      </c>
      <c r="BV126" s="25" t="str">
        <f>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</f>
        <v>AridShrubland Desert ExtremeDesert LavaField</v>
      </c>
      <c r="BW126" s="25" t="str">
        <f>IF(_xlfn.XLOOKUP(B126,'Base stats'!B:B,'Base stats'!AG:AG)=1,"true","false")</f>
        <v>false</v>
      </c>
      <c r="BX126" s="25">
        <f>IF(_xlfn.XLOOKUP(B126,'Base stats'!B:B,'Base stats'!N:N)=1,"No",MIN(MROUND(IF(OR(_xlfn.XLOOKUP(B126,'Base stats'!B:B,'Base stats'!AJ:AJ)=1,AND(BH126="True",CA126="False")),POWER(10,3.47*LOG10(_xlfn.XLOOKUP(B126,'Base stats'!B:B,'Base stats'!C:C)*1000)^-0.96),POWER(10,4.15*LOG10(_xlfn.XLOOKUP(B126,'Base stats'!B:B,'Base stats'!C:C)*1000)^-0.73))*IF(OR(_xlfn.XLOOKUP(B126,'Base stats'!B:B,'Base stats'!AJ:AJ)=1,_xlfn.XLOOKUP(B126,'Base stats'!B:B,'Base stats'!AH:AH)=1),0.5,1)/100,0.025),1))</f>
        <v>0.375</v>
      </c>
      <c r="BY126" s="25" t="str">
        <f>IF(O126="Standard","No",IF(_xlfn.XLOOKUP(B126,'Base stats'!B:B,'Base stats'!N:N)=0,MROUND(BX126*O126,0.05),MIN(1,MAX(0.025,MROUND(IF(OR(CA126="true",AND(BH126="false",BM126="false")),POWER(10,4.15*LOG10(_xlfn.XLOOKUP(B126,'Base stats'!B:B,'Base stats'!C:C)*1000)^-0.73),POWER(10,3.47*LOG10(_xlfn.XLOOKUP(B126,'Base stats'!B:B,'Base stats'!C:C)*1000)^-0.96))*IF(_xlfn.XLOOKUP(B126,'Base stats'!B:B,'Base stats'!AH:AH)=1,0.5,1)/100,0.025)))))</f>
        <v>No</v>
      </c>
      <c r="BZ126" s="25" t="str">
        <f>IF(_xlfn.XLOOKUP(_xlfn.XLOOKUP(B126,'Base stats'!B:B,'Base stats'!E:E),Groups!A:A,Groups!AJ:AJ)="Mammal","True","False")</f>
        <v>False</v>
      </c>
      <c r="CA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B126" s="25" t="str">
        <f t="shared" si="13"/>
        <v>False</v>
      </c>
      <c r="CC126" s="25" t="str">
        <f>IF(_xlfn.XLOOKUP(_xlfn.XLOOKUP(B126,'Base stats'!B:B,'Base stats'!E:E),Groups!A:A,Groups!AW:AW),"True","False")</f>
        <v>False</v>
      </c>
      <c r="CD126" s="25" t="str">
        <f>IF(_xlfn.XLOOKUP(_xlfn.XLOOKUP(B126,'Base stats'!B:B,'Base stats'!E:E),Groups!A:A,Groups!AX:AX),"True","False")</f>
        <v>False</v>
      </c>
      <c r="CE126" s="25" t="str">
        <f>IF(_xlfn.XLOOKUP(B126,'Base stats'!B:B,'Base stats'!E:E)=1,"True","False")</f>
        <v>False</v>
      </c>
      <c r="CF126" s="25" t="str">
        <f>IF(
OR(
_xlfn.XLOOKUP(_xlfn.XLOOKUP(B126,'Base stats'!B:B,'Base stats'!E:E),Groups!A:A,Groups!AY:AY)=0,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stats'!E:E),Groups!A:A,Groups!AY:AY)=1,
"Flesh",
IF(
_xlfn.XLOOKUP(_xlfn.XLOOKUP(B126,'Base stats'!B:B,'Base stats'!E:E),Groups!A:A,Groups!AY:AY)=2,
"Bone",
""
)
)
)</f>
        <v>No</v>
      </c>
      <c r="CG126" s="25" t="str">
        <f>IF(_xlfn.XLOOKUP(_xlfn.XLOOKUP(B126,'Base stats'!B:B,'Base stats'!E:E),Groups!A:A,Groups!BA:BA),"True","False")</f>
        <v>False</v>
      </c>
      <c r="CH126" s="25" t="str">
        <f>IF(_xlfn.XLOOKUP(_xlfn.XLOOKUP(B126,'Base stats'!B:B,'Base stats'!E:E),Groups!A:A,Groups!AZ:AZ),"True","False")</f>
        <v>True</v>
      </c>
    </row>
    <row r="127" spans="1:86" s="16" customFormat="1" ht="16.5" thickTop="1" thickBot="1" x14ac:dyDescent="0.3">
      <c r="A127" s="26" t="str">
        <f>_xlfn.XLOOKUP(B127,'Base stats'!B:B,'Base stats'!A:A)</f>
        <v>Megascorpion</v>
      </c>
      <c r="B127" s="6" t="s">
        <v>495</v>
      </c>
      <c r="C127" s="28" t="s">
        <v>820</v>
      </c>
      <c r="D127" s="28" t="s">
        <v>884</v>
      </c>
      <c r="E127" s="28" t="s">
        <v>796</v>
      </c>
      <c r="F127" s="28" t="s">
        <v>797</v>
      </c>
      <c r="G127" s="2">
        <f>MROUND((
  (IF(AND(_xlfn.XLOOKUP(B127,'Base stats'!B:B,'Base stats'!AI:AI)=0,BG127="None",_xlfn.XLOOKUP('Base stats'!E127,Groups!A:A,Groups!B:B)=0), (18 + BP127 * 2.7) * 0.5,
    IF(AND(_xlfn.XLOOKUP(B127,'Base stats'!B:B,'Base stats'!AI:AI)=0,OR(AN127&lt;0.55,AND(BG127="Intermediate",_xlfn.XLOOKUP('Base stats'!E127,Groups!A:A,Groups!B:B)&lt;2))), (18 + BP127 * 2.7),
      IF(OR(BG127="Advanced",_xlfn.XLOOKUP(B127,'Base stats'!B:B,'Base stats'!AI:AI)=1,_xlfn.XLOOKUP('Base stats'!E127,Groups!A:A,Groups!B:B)=2), (18 + BP127 * 2.7) + 250, (18 + BP127 * 2.7))
    )
  ))
  + AN127 * 80
  + IF(COUNTIF(EggMilk!K$2:K$998, A127) &gt; 0, 125, 0)
  + IF(COUNTIF(EggMilk!P$2:P$998, A127) &gt; 0, 90, 0)
  + IF(COUNTIF(EggMilk!A$2:A$998, A127) &gt; 0, 90, 0)
)
* (0.8 + 0.4 * I127)
* 0.75,25)</f>
        <v>1250</v>
      </c>
      <c r="H127" s="2">
        <f>MROUND(ROUNDDOWN(_xlfn.XLOOKUP(B127,'Base stats'!B:B,'Base stats'!L:L)/3.6/(23.3/11),1),0.5)</f>
        <v>2</v>
      </c>
      <c r="I127" s="2">
        <f>IF(_xlfn.XLOOKUP(B127,'Base stats'!B:B,'Base stats'!AI:AI)=1,0.99,MIN(MROUND((1-0.6282*EXP(-0.459*AN127))*_xlfn.XLOOKUP(_xlfn.XLOOKUP(B127,'Base stats'!B:B,'Base stats'!E:E),Groups!A:A,Groups!C:C)*IF(_xlfn.XLOOKUP(B127,'Base stats'!B:B,'Base stats'!O:O)=1,0.5,IF(_xlfn.XLOOKUP(B127,'Base stats'!B:B,'Base stats'!O:O)=2,0,1)),0.05),0.985))</f>
        <v>0.9</v>
      </c>
      <c r="J127" s="2">
        <f>ROUNDUP(AN127*_xlfn.XLOOKUP(_xlfn.XLOOKUP(B127,'Base stats'!B:B,'Base stats'!E:E),Groups!A:A,Groups!E:E),0)</f>
        <v>3</v>
      </c>
      <c r="K127" s="2">
        <f>IF(OR(_xlfn.XLOOKUP(_xlfn.XLOOKUP(B127,'Base stats'!B:B,'Base stats'!E:E),Groups!A:A,Groups!F:F)=2,ISNUMBER(SEARCH("SeaIce",BV127)),ISNUMBER(SEARCH("IceSheet",BV127))),-50,IF(OR(ISNUMBER(SEARCH("GlacialPlain",BV127)),ISNUMBER(SEARCH("Tundra",BV127))),-40,IF(OR(ISNUMBER(SEARCH("Alpine",BV127)),ISNUMBER(SEARCH("BorealForest",BV127)),ISNUMBER(SEARCH("ColdBog",BV127))),-30,IF(OR(ISNUMBER(SEARCH("TemperateForest",BV127)),ISNUMBER(SEARCH("TemperateSwamp",BV127))),-20,IF(_xlfn.XLOOKUP(_xlfn.XLOOKUP(B127,'Base stats'!B:B,'Base stats'!E:E),Groups!A:A,Groups!F:F)=1,-15,IF(OR(ISNUMBER(SEARCH("Desert",BV127)),ISNUMBER(SEARCH("ExtremeDesert",BV127))),-10,IF(OR(ISNUMBER(SEARCH("Grasslands",BV127)),ISNUMBER(SEARCH("TropicalRainforest",BV127)),ISNUMBER(SEARCH("TropicalSwamp",BV127))),10,0)))))))-IF(CA127="False",MIN(IFERROR(MAX(MROUND(LOG10(_xlfn.XLOOKUP(B127,'Base stats'!B:B,'Base stats'!C:C)^(2/3))*10,5),5),5),30))-_xlfn.XLOOKUP(B127,'Base stats'!B:B,'Base stats'!P:P)+IF(CA127="True",5,0)</f>
        <v>5</v>
      </c>
      <c r="L127" s="2">
        <f>IF(OR(_xlfn.XLOOKUP(_xlfn.XLOOKUP(B127,'Base stats'!B:B,'Base stats'!E:E),Groups!A:A,Groups!G:G)=2,ISNUMBER(SEARCH("Desert",BV127)),ISNUMBER(SEARCH("ExtremeDesert",BV127)),ISNUMBER(SEARCH("LavaField",BV127))),50,IF(ISNUMBER(SEARCH("Grasslands",BV127)),45,IF(OR(_xlfn.XLOOKUP(_xlfn.XLOOKUP(B127,'Base stats'!B:B,'Base stats'!E:E),Groups!A:A,Groups!G:G)=1,ISNUMBER(SEARCH("TropicalRainforest",BV127)),ISNUMBER(SEARCH("TropicalSwamp",BV127))),40,IF(OR(ISNUMBER(SEARCH("TemperateForest",BV127)),ISNUMBER(SEARCH("TemperateSwamp",BV127))),35,IF(OR(ISNUMBER(SEARCH("Alpine",BV127)),ISNUMBER(SEARCH("BorealForest",BV127)),ISNUMBER(SEARCH("ColdBog",BV127))),30,IF(ISNUMBER(OR(ISNUMBER(SEARCH("GlacialPlain",BV127)),SEARCH("Tundra",BV127))),25,IF(OR(ISNUMBER(SEARCH("SeaIce",BV127)),ISNUMBER(SEARCH("IceSheet",BV127)),ISNUMBER(SEARCH("TropicalSwamp",BV127))),10,35)))))))+_xlfn.XLOOKUP(B127,'Base stats'!B:B,'Base stats'!Q:Q)</f>
        <v>50</v>
      </c>
      <c r="M127" s="8">
        <f>IF(_xlfn.XLOOKUP(_xlfn.XLOOKUP(B127,'Base stats'!B:B,'Base stats'!E:E),Groups!A:A,Groups!L:L)=1,MIN(MROUND(_xlfn.XLOOKUP(B127,'Animals CE'!B:B,'Animals CE'!Z:Z)/2+0.05,0.05),200%),"No")</f>
        <v>1</v>
      </c>
      <c r="N127" s="8">
        <f>IF(_xlfn.XLOOKUP(_xlfn.XLOOKUP(B127,'Base stats'!B:B,'Base stats'!E:E),Groups!A:A,Groups!L:L)=1,MIN(MROUND(_xlfn.XLOOKUP(B127,'Animals CE'!B:B,'Animals CE'!AA:AA)/2+0.05,0.05),200%),"No")</f>
        <v>0.1</v>
      </c>
      <c r="O127" s="2">
        <f>_xlfn.XLOOKUP(B127,'Base stats'!B:B,'Base stats'!R:R)</f>
        <v>1</v>
      </c>
      <c r="P127" s="13">
        <f>MROUND((LOG10(_xlfn.XLOOKUP(B127,'Base stats'!B:B,'Base stats'!AO:AO))*(AN127^0.5)+(_xlfn.XLOOKUP(B127,'Base stats'!B:B,'Base stats'!AO:AO)/1000)^(2/3)+_xlfn.XLOOKUP(B127,'Base stats'!B:B,'Base stats'!AX:AX)/2)+0.5,0.5)</f>
        <v>14.5</v>
      </c>
      <c r="Q127" s="7">
        <f>IF(P127="No","No",MAX(1,MROUND(_xlfn.XLOOKUP(B127,'Base stats'!B:B,'Base stats'!C:C)^0.165,0.05)))</f>
        <v>2.7</v>
      </c>
      <c r="R127" s="13" t="str">
        <f>IF(_xlfn.XLOOKUP(_xlfn.XLOOKUP(B127,'Base stats'!B:B,'Base stats'!E:E),Groups!A:A,Groups!P:P)=0,"No",MROUND((LOG10(_xlfn.XLOOKUP(B127,'Base stats'!B:B,'Base stats'!AP:AP))*(AN127^0.5)+(_xlfn.XLOOKUP(B127,'Base stats'!B:B,'Base stats'!AP:AP)/1000)^(2/3)+_xlfn.XLOOKUP(B127,'Base stats'!B:B,'Base stats'!AX:AX))+_xlfn.XLOOKUP(B127,'Base stats'!B:B,'Base stats'!AV:AV)+0.5,0.5))</f>
        <v>No</v>
      </c>
      <c r="S127" s="7" t="str">
        <f>IF(R127="No","No",MAX(_xlfn.XLOOKUP(_xlfn.XLOOKUP(B127,'Base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T127" s="7" t="str">
        <f>IF(R127="No","No",_xlfn.XLOOKUP(_xlfn.XLOOKUP(B127,'Base stats'!B:B,'Base stats'!E:E),Groups!A:A,Groups!R:R))</f>
        <v>No</v>
      </c>
      <c r="U127" s="7" t="str">
        <f>IF(R127="No","No",_xlfn.XLOOKUP(_xlfn.XLOOKUP(B127,'Base stats'!B:B,'Base stats'!E:E),Groups!A:A,Groups!S:S))</f>
        <v>No</v>
      </c>
      <c r="V127" s="7" t="str">
        <f>IF(R127="No","No",_xlfn.XLOOKUP(_xlfn.XLOOKUP(B127,'Base stats'!B:B,'Base stats'!E:E),Groups!A:A,Groups!T:T))</f>
        <v>No</v>
      </c>
      <c r="W127" s="13" t="str">
        <f>IF(_xlfn.XLOOKUP(B127,'Base stats'!B:B,'Base stats'!W:W)="No","No",MROUND((LOG10(_xlfn.XLOOKUP(B127,'Base stats'!B:B,'Base stats'!AR:AR))*(AN127^0.5)+(_xlfn.XLOOKUP(B127,'Base stats'!B:B,'Base stats'!AR:AR)/1000)^(2/3)+_xlfn.XLOOKUP(B127,'Base stats'!B:B,'Base stats'!AW:AW))+0.5+IF(_xlfn.XLOOKUP(_xlfn.XLOOKUP(B127,'Base stats'!B:B,'Base stats'!E:E),Groups!A:A,Groups!U:U)&lt;&gt;3,_xlfn.XLOOKUP(B127,'Base stats'!B:B,'Base stats'!AX:AX),0),0.5))</f>
        <v>No</v>
      </c>
      <c r="X127" s="7" t="str">
        <f>IF(W127="No","No",MAX(_xlfn.XLOOKUP(_xlfn.XLOOKUP(B127,'Base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No</v>
      </c>
      <c r="Y127" s="7" t="str">
        <f>IF(W127="No","No",_xlfn.XLOOKUP(_xlfn.XLOOKUP(B127,'Base stats'!B:B,'Base stats'!E:E),Groups!A:A,Groups!W:W))</f>
        <v>No</v>
      </c>
      <c r="Z127" s="7" t="str">
        <f>IF(W127="No","No",_xlfn.XLOOKUP(_xlfn.XLOOKUP(B127,'Base stats'!B:B,'Base stats'!E:E),Groups!A:A,Groups!X:X))</f>
        <v>No</v>
      </c>
      <c r="AA127" s="7" t="str">
        <f>IF(W127="No","No",_xlfn.XLOOKUP(_xlfn.XLOOKUP(B127,'Base stats'!B:B,'Base stats'!E:E),Groups!A:A,Groups!Y:Y))</f>
        <v>No</v>
      </c>
      <c r="AB127" s="7" t="str">
        <f>_xlfn.XLOOKUP(Animals!B127,'Base stats'!B:B,'Base stats'!X:X)</f>
        <v>False</v>
      </c>
      <c r="AC127" s="13">
        <f>IF(_xlfn.XLOOKUP(B127,'Base stats'!B:B,'Base stats'!AQ:AQ)="No","No",MROUND((LOG10(_xlfn.XLOOKUP(B127,'Base stats'!B:B,'Base stats'!AQ:AQ))*(AN127^0.75)+(_xlfn.XLOOKUP(B127,'Base stats'!B:B,'Base stats'!AQ:AQ)/1000)^(2/3)+_xlfn.XLOOKUP(B127,'Base stats'!B:B,'Base stats'!AU:AU)+_xlfn.XLOOKUP(B127,'Base stats'!B:B,'Base stats'!AX:AX))+0.5,0.5))</f>
        <v>42.5</v>
      </c>
      <c r="AD127" s="7">
        <f>IF(AC127="No","No",MAX(_xlfn.XLOOKUP(_xlfn.XLOOKUP(B127,'Base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3.2</v>
      </c>
      <c r="AE127" s="7" t="str">
        <f>IF(AC127="No","No",_xlfn.XLOOKUP(_xlfn.XLOOKUP(B127,'Base stats'!B:B,'Base stats'!E:E),Groups!A:A,Groups!AA:AA))</f>
        <v>Mouth</v>
      </c>
      <c r="AF127" s="7" t="str">
        <f>IF(AC127="No","No",_xlfn.XLOOKUP(_xlfn.XLOOKUP(B127,'Base stats'!B:B,'Base stats'!E:E),Groups!A:A,Groups!AB:AB))</f>
        <v>mandibles</v>
      </c>
      <c r="AG127" s="7" t="str">
        <f>IF(AC127="No","No",_xlfn.XLOOKUP(_xlfn.XLOOKUP(B127,'Base stats'!B:B,'Base stats'!E:E),Groups!A:A,Groups!AC:AC))</f>
        <v>Bite</v>
      </c>
      <c r="AH127" s="13">
        <f>IF(_xlfn.XLOOKUP(_xlfn.XLOOKUP(B127,'Base stats'!B:B,'Base stats'!E:E),Groups!A:A,Groups!AD:AD)=0,"No",MROUND((LOG10(_xlfn.XLOOKUP(B127,'Base stats'!B:B,'Base stats'!AP:AP))*(AN127^0.75)+(_xlfn.XLOOKUP(B127,'Base stats'!B:B,'Base stats'!AP:AP)/1000)^(2/3)+_xlfn.XLOOKUP(B127,'Base stats'!B:B,'Base stats'!AV:AV)+_xlfn.XLOOKUP(B127,'Base stats'!B:B,'Base stats'!AX:AX))+0.5,0.5))</f>
        <v>36</v>
      </c>
      <c r="AI127" s="7">
        <f>IF(AH127="No","No",MAX(_xlfn.XLOOKUP(_xlfn.XLOOKUP(B127,'Base stats'!B:B,'Base stats'!E:E),Groups!A:A,Groups!AE:AE),MROUND(_xlfn.XLOOKUP(_xlfn.XLOOKUP(B127,'Base stats'!B:B,'Base stats'!E:E),Groups!A:A,Groups!AE:AE)*_xlfn.XLOOKUP(B127,'Base stats'!B:B,'Base stats'!C:C)^0.165,0.05)))</f>
        <v>2.95</v>
      </c>
      <c r="AJ127" s="7" t="str">
        <f>IF(AH127="No","No",_xlfn.XLOOKUP(_xlfn.XLOOKUP(B127,'Base stats'!B:B,'Base stats'!E:E),Groups!A:A,Groups!AF:AF))</f>
        <v>HeadAttackTool</v>
      </c>
      <c r="AK127" s="7" t="str">
        <f>IF(AH127="No","No",_xlfn.XLOOKUP(_xlfn.XLOOKUP(B127,'Base stats'!B:B,'Base stats'!E:E),Groups!A:A,Groups!AG:AG))</f>
        <v>stinger</v>
      </c>
      <c r="AL127" s="7" t="str">
        <f>IF(AH127="No","No",_xlfn.XLOOKUP(_xlfn.XLOOKUP(B127,'Base stats'!B:B,'Base stats'!E:E),Groups!A:A,Groups!AH:AH))</f>
        <v>ScratchToxic</v>
      </c>
      <c r="AM127" s="2">
        <f t="shared" si="7"/>
        <v>30</v>
      </c>
      <c r="AN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2.75</v>
      </c>
      <c r="AO127" s="8">
        <f>MROUND(AN127*_xlfn.XLOOKUP(_xlfn.XLOOKUP(B127,'Base stats'!B:B,'Base stats'!E:E),Groups!A:A,Groups!AI:AI),0.05)</f>
        <v>2.75</v>
      </c>
      <c r="AP127" s="8">
        <f>MAX(0.01,MROUND(IF(CA127="True",0.196*(AN127*100*1000)^0.889,IF(_xlfn.XLOOKUP(_xlfn.XLOOKUP(B127,'Base stats'!B:B,'Base stats'!E:E),Groups!A:A,Groups!AJ:AJ)="Bird",10.5*(AN127*100*1000)^0.681,4.82*(AN127*100*1000)^0.734))/(4.82*(1*100*1000)^0.734)/IF(AN127&lt;3.5,2,IF(AN127=3.5,1.5,1.25))*(1+0.132282374779864/(AN127^0.994035016789033+0.00905238001496948)),0.05))</f>
        <v>0.30000000000000004</v>
      </c>
      <c r="AQ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12</v>
      </c>
      <c r="AR127" s="35" t="str">
        <f>IFERROR(IF(_xlfn.XLOOKUP(B127,'Base stats'!B:B,'Base stats'!F:F)="Lay eggs","Lay eggs",MIN(20,MAX(5.5,ROUND(((_xlfn.XLOOKUP(B127,'Base stats'!B:B,'Base stats'!F:F)-25)*(14.5/615) + 5.5)*2,0)/2))),"Cannot breed")</f>
        <v>Lay eggs</v>
      </c>
      <c r="AS127" s="8">
        <f>IF(OR(A127="Queen",A127="Larva",A127="Megachicken"),"No",IFERROR(MAX(IF(_xlfn.XLOOKUP(B127,'Base stats'!B:B,'Base stats'!G:G)&lt;0.5,0.2,0.3),MROUND(_xlfn.XLOOKUP(B127,'Base stats'!B:B,'Base stats'!G:G)/(365/60),0.2)),"Unknown"))</f>
        <v>0.4</v>
      </c>
      <c r="AT127" s="8">
        <f t="shared" si="8"/>
        <v>0.2</v>
      </c>
      <c r="AU127" s="8" t="str">
        <f>IFERROR(IFERROR(MROUND(_xlfn.XLOOKUP(B127,'Base stats'!B:B,'Base stats'!J:J),0.1),"Lay eggs"),"Cannot breed")</f>
        <v>Lay eggs</v>
      </c>
      <c r="AV127" s="2" t="str">
        <f t="shared" si="9"/>
        <v>false</v>
      </c>
      <c r="AW127" s="2" t="str">
        <f>IF(_xlfn.XLOOKUP(_xlfn.XLOOKUP(Animals!B127,'Base stats'!B:B,'Base stats'!E:E),Groups!A:A,Groups!AK:AK)=1,"true","false")</f>
        <v>false</v>
      </c>
      <c r="AX127" s="25" t="str">
        <f>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</f>
        <v>OmnivoreAnimal, OvivoreAnimal</v>
      </c>
      <c r="AY127" s="2" t="str">
        <f>IF(_xlfn.XLOOKUP(_xlfn.XLOOKUP(B127,'Base stats'!B:B,'Base stats'!E:E),Groups!A:A,Groups!D:D)=1,MROUND((1-I127)*5+1,2)*IF(I127&lt;=0.4,2,1),"No")</f>
        <v>No</v>
      </c>
      <c r="AZ127" s="2" t="str">
        <f>_xlfn.XLOOKUP(B127,'Base stats'!B:B,'Base stats'!AE:AE)</f>
        <v>No</v>
      </c>
      <c r="BA127" s="23" t="str">
        <f>_xlfn.XLOOKUP(_xlfn.XLOOKUP(B127,'Base stats'!B:B,'Base stats'!E:E),Groups!A:A,Groups!AL:AL)</f>
        <v>BeetleLike</v>
      </c>
      <c r="BB127" s="23">
        <f>MROUND(IF(AND(AN127&lt;0.5,_xlfn.XLOOKUP(B127,'Base stats'!B:B,'Base stats'!Z:Z)=0),0,IF(OR(_xlfn.XLOOKUP(Animals!B127,'Base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stats'!AA:AA),0.005)</f>
        <v>1</v>
      </c>
      <c r="BC127" s="23">
        <f>MROUND(IF(AND(AN127&lt;0.5,_xlfn.XLOOKUP(B127,'Base stats'!B:B,'Base stats'!Z:Z)=0),0,IF(_xlfn.XLOOKUP(_xlfn.XLOOKUP(B127,'Base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stats'!AB:AB),0.005)</f>
        <v>1</v>
      </c>
      <c r="BD127" s="2" t="str">
        <f>IF(I127&gt;0.3,"No",_xlfn.XLOOKUP(_xlfn.XLOOKUP(Animals!B127,'Base stats'!B:B,'Base stats'!E:E),Groups!A:A,Groups!AP:AP))</f>
        <v>No</v>
      </c>
      <c r="BE127" s="2" t="str">
        <f>IF(AND(I127&lt;=0.65,_xlfn.XLOOKUP(_xlfn.XLOOKUP(Animals!B127,'Base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stats'!O:O)=2,0.2,AN127) + 24*(1-IF(BD127="No",0,BD127)) + 16/3, 12),"No")</f>
        <v>No</v>
      </c>
      <c r="BF127" s="2">
        <f>IF(AND(_xlfn.XLOOKUP(_xlfn.XLOOKUP(B127,'Base stats'!B:B,'Base stats'!E:E),Groups!A:A,Groups!AQ:AQ)=1,AN127&lt;=0.35),8,12)</f>
        <v>12</v>
      </c>
      <c r="BG127" s="2" t="str">
        <f>IF(_xlfn.XLOOKUP(_xlfn.XLOOKUP(B127,'Base stats'!B:B,'Base stats'!E:E),Groups!A:A,Groups!D:D)=0,_xlfn.XLOOKUP(_xlfn.XLOOKUP(B127,'Base stats'!B:B,'Base stats'!E:E),Groups!A:A,Groups!AR:AR),"None")</f>
        <v>Advanced</v>
      </c>
      <c r="BH127" s="2" t="str">
        <f>IF(AND(_xlfn.XLOOKUP(_xlfn.XLOOKUP(B127,'Base stats'!B:B,'Base stats'!E:E),Groups!A:A,Groups!AS:AS)=1,OR('Base stats'!Y127="Carnivore",'Base stats'!Y127="Omnivore")),"true","false")</f>
        <v>true</v>
      </c>
      <c r="BI127" s="2">
        <f>IF(BH127="true",MROUND(IF(AND(AN127&gt;0.5,_xlfn.XLOOKUP(_xlfn.XLOOKUP(B127,'Base stats'!B:B,'Base stats'!E:E),Groups!A:A,Groups!AJ:AJ)="Mammal"),Animals!AN127*1.75*IF(AV127="true",1.5,1),Animals!AN127),IF(AN127&gt;2,0.5,IF(AN127&gt;0.5,0.25,0.1))),"No")</f>
        <v>3</v>
      </c>
      <c r="BJ127" s="2">
        <f t="shared" si="10"/>
        <v>1</v>
      </c>
      <c r="BK127" s="25" t="str">
        <f>IF('Base stats'!AK127="Standard","No",MROUND((_xlfn.XLOOKUP(B127,'Base stats'!B:B,'Base stats'!AK:AK)/3.6)/H127,0.1))</f>
        <v>No</v>
      </c>
      <c r="BL127" s="25" t="str">
        <f t="shared" si="11"/>
        <v>false</v>
      </c>
      <c r="BM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N127" s="25" t="str" cm="1">
        <f t="array" ref="BN127">IF(
  _xlfn.TEXTJOIN(", ",TRUE,
    IF(AND(BH127="true",AN127&gt;0.5,BG127&lt;&gt;"None"),"AttackTarget",""),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IF(BE127&lt;=36,"Comfort",""),
    IF(_xlfn.XLOOKUP(B127,'Base stats'!B:B,'Base stats'!AC:AC)&lt;&gt;"No",_xlfn.XLOOKUP(B127,'Base stats'!B:B,'Base stats'!AC:AC),"")
  ) = "",
  "No",
  _xlfn.TEXTJOIN(", ",TRUE,
    IF(AND(BH127="true",AN127&gt;0.5,BG127&lt;&gt;"None"),"AttackTarget",""),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IF(BE127&lt;=36,"Comfort",""),
    IF(_xlfn.XLOOKUP(B127,'Base stats'!B:B,'Base stats'!AC:AC)&lt;&gt;"No",_xlfn.XLOOKUP(B127,'Base stats'!B:B,'Base stats'!AC:AC),"")
  )
)</f>
        <v>AttackTarget, AttackTarget</v>
      </c>
      <c r="BO127" s="25" t="str">
        <f>IF(
   AND(
      'Base stats'!AK127="Standard",_xlfn.XLOOKUP(_xlfn.XLOOKUP(B127,'Base stats'!B:B,'Base stats'!E:E),Groups!A:A,Groups!AU:AU)=0,
      OR(
      BM127="True"
      )
   ),
   10,
   IF(
       OR(BK127&lt;&gt;"No",_xlfn.XLOOKUP(_xlfn.XLOOKUP(B127,'Base stats'!B:B,'Base stats'!E:E),Groups!A:A,Groups!AU:AU)=1),
      1,
      "No"
   )
)</f>
        <v>No</v>
      </c>
      <c r="BP127" s="9">
        <f>MROUND((1 + ((0.2*IF(OR(P127="No",Q127="No",Q127=0),0,P127/Q127)
+IF(OR(U127="No",R127="No",S127="No"),0,R127/S127*(LEN(U127)-LEN(SUBSTITUTE(U127,",",""))+1))
+IF(OR(W127="No",X127="No"),0,W127/X127)
+IF(OR(AC127="No",AD127="No"),0,AC127/AD127)
+IF(OR(AK127="No",AH127="No",AI127="No"),0,AH127/AI127*(LEN(AK127)-LEN(SUBSTITUTE(AK127,",",""))+1))
)/(0.2*IF(OR(P127="No",Q127="No",Q127=0),0,1)
+IF(OR(U127="No",R127="No",S127="No"),0,LEN(U127)-LEN(SUBSTITUTE(U127,",",""))+1)
+IF(OR(W127="No",X127="No"),0,1)
+IF(OR(AC127="No",AD127="No"),0,1)
+IF(OR(AK127="No",AH127="No",AI127="No"),0,LEN(AK127)-LEN(SUBSTITUTE(AK127,",",""))+1))*62%)* 2)*(1 + (AO127 + _xlfn.XLOOKUP(B127,'Base stats'!B:B,'Base stats'!AS:AS) * 1.8) * 2) * 2.5 + 10 + H127 * 2,5)+IF(_xlfn.XLOOKUP(B127,'Base stats'!B:B,'Base stats'!AH:AH)=1,50,0)</f>
        <v>355</v>
      </c>
      <c r="BQ127" s="8">
        <f t="shared" si="12"/>
        <v>0.8</v>
      </c>
      <c r="BR127" s="8" t="str">
        <f>_xlfn.XLOOKUP(B127,'Base stats'!B:B,'Base stats'!AD:AD)</f>
        <v>No</v>
      </c>
      <c r="BS127" s="2" t="str">
        <f>IF(AND(I127&lt;=0.95,OR(_xlfn.XLOOKUP(B127,'Base stats'!B:B,'Base stats'!AH:AH)=1,_xlfn.XLOOKUP(B127,'Base stats'!B:B,'Base stats'!Y:Y)="Carnivore",_xlfn.XLOOKUP(B127,'Base stats'!B:B,'Base stats'!Y:Y)="Omnivore",BC127&gt;0.1)),"true","false")</f>
        <v>true</v>
      </c>
      <c r="BT127" s="2" t="str">
        <f>IF(_xlfn.XLOOKUP(B127,'Base stats'!B:B,'Base stats'!AF:AF)=1,"true","false")</f>
        <v>false</v>
      </c>
      <c r="BU127" s="25" t="str">
        <f>IF(E127="BaseInsect","AnimalInsect",
IF(I127&gt;0.95,"AnimalExotic",
_xlfn.TEXTJOIN(", ",TRUE,
IF(AND(_xlfn.XLOOKUP(B127,'Base stats'!B:B,'Base stats'!O:O)=0,_xlfn.XLOOKUP(_xlfn.XLOOKUP(B127,'Base stats'!B:B,'Base stats'!E:E),Groups!A:A,Groups!B:B)&gt;0),"AnimalUncommon","AnimalCommon"),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stats'!AH:AH)=1,AND(BG127&lt;&gt;"None",BP127&gt;=60),ISNUMBER(SEARCH("Attack target",BN127))),"AnimalFighter","")
)))</f>
        <v>AnimalInsect</v>
      </c>
      <c r="BV127" s="25" t="str">
        <f>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</f>
        <v/>
      </c>
      <c r="BW127" s="25" t="str">
        <f>IF(_xlfn.XLOOKUP(B127,'Base stats'!B:B,'Base stats'!AG:AG)=1,"true","false")</f>
        <v>false</v>
      </c>
      <c r="BX127" s="25">
        <f>IF(_xlfn.XLOOKUP(B127,'Base stats'!B:B,'Base stats'!N:N)=1,"No",MIN(MROUND(IF(OR(_xlfn.XLOOKUP(B127,'Base stats'!B:B,'Base stats'!AJ:AJ)=1,AND(BH127="True",CA127="False")),POWER(10,3.47*LOG10(_xlfn.XLOOKUP(B127,'Base stats'!B:B,'Base stats'!C:C)*1000)^-0.96),POWER(10,4.15*LOG10(_xlfn.XLOOKUP(B127,'Base stats'!B:B,'Base stats'!C:C)*1000)^-0.73))*IF(OR(_xlfn.XLOOKUP(B127,'Base stats'!B:B,'Base stats'!AJ:AJ)=1,_xlfn.XLOOKUP(B127,'Base stats'!B:B,'Base stats'!AH:AH)=1),0.5,1)/100,0.025),1))</f>
        <v>0.15000000000000002</v>
      </c>
      <c r="BY127" s="25">
        <f>IF(O127="Standard","No",IF(_xlfn.XLOOKUP(B127,'Base stats'!B:B,'Base stats'!N:N)=0,MROUND(BX127*O127,0.05),MIN(1,MAX(0.025,MROUND(IF(OR(CA127="true",AND(BH127="false",BM127="false")),POWER(10,4.15*LOG10(_xlfn.XLOOKUP(B127,'Base stats'!B:B,'Base stats'!C:C)*1000)^-0.73),POWER(10,3.47*LOG10(_xlfn.XLOOKUP(B127,'Base stats'!B:B,'Base stats'!C:C)*1000)^-0.96))*IF(_xlfn.XLOOKUP(B127,'Base stats'!B:B,'Base stats'!AH:AH)=1,0.5,1)/100,0.025)))))</f>
        <v>0.15000000000000002</v>
      </c>
      <c r="BZ127" s="25" t="str">
        <f>IF(_xlfn.XLOOKUP(_xlfn.XLOOKUP(B127,'Base stats'!B:B,'Base stats'!E:E),Groups!A:A,Groups!AJ:AJ)="Mammal","True","False")</f>
        <v>False</v>
      </c>
      <c r="CA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B127" s="25" t="str">
        <f t="shared" si="13"/>
        <v>False</v>
      </c>
      <c r="CC127" s="25" t="str">
        <f>IF(_xlfn.XLOOKUP(_xlfn.XLOOKUP(B127,'Base stats'!B:B,'Base stats'!E:E),Groups!A:A,Groups!AW:AW),"True","False")</f>
        <v>False</v>
      </c>
      <c r="CD127" s="25" t="str">
        <f>IF(_xlfn.XLOOKUP(_xlfn.XLOOKUP(B127,'Base stats'!B:B,'Base stats'!E:E),Groups!A:A,Groups!AX:AX),"True","False")</f>
        <v>False</v>
      </c>
      <c r="CE127" s="25" t="str">
        <f>IF(_xlfn.XLOOKUP(B127,'Base stats'!B:B,'Base stats'!E:E)=1,"True","False")</f>
        <v>False</v>
      </c>
      <c r="CF127" s="25" t="str">
        <f>IF(
OR(
_xlfn.XLOOKUP(_xlfn.XLOOKUP(B127,'Base stats'!B:B,'Base stats'!E:E),Groups!A:A,Groups!AY:AY)=0,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stats'!E:E),Groups!A:A,Groups!AY:AY)=1,
"Flesh",
IF(
_xlfn.XLOOKUP(_xlfn.XLOOKUP(B127,'Base stats'!B:B,'Base stats'!E:E),Groups!A:A,Groups!AY:AY)=2,
"Bone",
""
)
)
)</f>
        <v>Bone</v>
      </c>
      <c r="CG127" s="25" t="str">
        <f>IF(_xlfn.XLOOKUP(_xlfn.XLOOKUP(B127,'Base stats'!B:B,'Base stats'!E:E),Groups!A:A,Groups!BA:BA),"True","False")</f>
        <v>False</v>
      </c>
      <c r="CH127" s="25" t="str">
        <f>IF(_xlfn.XLOOKUP(_xlfn.XLOOKUP(B127,'Base stats'!B:B,'Base stats'!E:E),Groups!A:A,Groups!AZ:AZ),"True","False")</f>
        <v>False</v>
      </c>
    </row>
    <row r="128" spans="1:86" ht="16.5" thickTop="1" thickBot="1" x14ac:dyDescent="0.3">
      <c r="A128" s="26" t="str">
        <f>_xlfn.XLOOKUP(B128,'Base stats'!B:B,'Base stats'!A:A)</f>
        <v>Red Panda</v>
      </c>
      <c r="B128" s="6" t="s">
        <v>253</v>
      </c>
      <c r="C128" s="28" t="s">
        <v>821</v>
      </c>
      <c r="D128" s="28" t="s">
        <v>884</v>
      </c>
      <c r="E128" s="28" t="s">
        <v>685</v>
      </c>
      <c r="F128" s="28" t="s">
        <v>685</v>
      </c>
      <c r="G128" s="2">
        <f>MROUND((
  (IF(AND(_xlfn.XLOOKUP(B128,'Base stats'!B:B,'Base stats'!AI:AI)=0,BG128="None",_xlfn.XLOOKUP('Base stats'!E128,Groups!A:A,Groups!B:B)=0), (18 + BP128 * 2.7) * 0.5,
    IF(AND(_xlfn.XLOOKUP(B128,'Base stats'!B:B,'Base stats'!AI:AI)=0,OR(AN128&lt;0.55,AND(BG128="Intermediate",_xlfn.XLOOKUP('Base stats'!E128,Groups!A:A,Groups!B:B)&lt;2))), (18 + BP128 * 2.7),
      IF(OR(BG128="Advanced",_xlfn.XLOOKUP(B128,'Base stats'!B:B,'Base stats'!AI:AI)=1,_xlfn.XLOOKUP('Base stats'!E128,Groups!A:A,Groups!B:B)=2), (18 + BP128 * 2.7) + 250, (18 + BP128 * 2.7))
    )
  ))
  + AN128 * 80
  + IF(COUNTIF(EggMilk!K$2:K$998, A128) &gt; 0, 125, 0)
  + IF(COUNTIF(EggMilk!P$2:P$998, A128) &gt; 0, 90, 0)
  + IF(COUNTIF(EggMilk!A$2:A$998, A128) &gt; 0, 90, 0)
)
* (0.8 + 0.4 * I128)
* 0.75,25)</f>
        <v>125</v>
      </c>
      <c r="H128" s="2">
        <f>MROUND(ROUNDDOWN(_xlfn.XLOOKUP(B128,'Base stats'!B:B,'Base stats'!L:L)/3.6/(23.3/11),1),0.5)</f>
        <v>3</v>
      </c>
      <c r="I128" s="2">
        <f>IF(_xlfn.XLOOKUP(B128,'Base stats'!B:B,'Base stats'!AI:AI)=1,0.99,MIN(MROUND((1-0.6282*EXP(-0.459*AN128))*_xlfn.XLOOKUP(_xlfn.XLOOKUP(B128,'Base stats'!B:B,'Base stats'!E:E),Groups!A:A,Groups!C:C)*IF(_xlfn.XLOOKUP(B128,'Base stats'!B:B,'Base stats'!O:O)=1,0.5,IF(_xlfn.XLOOKUP(B128,'Base stats'!B:B,'Base stats'!O:O)=2,0,1)),0.05),0.985))</f>
        <v>0.70000000000000007</v>
      </c>
      <c r="J128" s="2">
        <f>ROUNDUP(AN128*_xlfn.XLOOKUP(_xlfn.XLOOKUP(B128,'Base stats'!B:B,'Base stats'!E:E),Groups!A:A,Groups!E:E),0)</f>
        <v>1</v>
      </c>
      <c r="K128" s="2">
        <f>IF(OR(_xlfn.XLOOKUP(_xlfn.XLOOKUP(B128,'Base stats'!B:B,'Base stats'!E:E),Groups!A:A,Groups!F:F)=2,ISNUMBER(SEARCH("SeaIce",BV128)),ISNUMBER(SEARCH("IceSheet",BV128))),-50,IF(OR(ISNUMBER(SEARCH("GlacialPlain",BV128)),ISNUMBER(SEARCH("Tundra",BV128))),-40,IF(OR(ISNUMBER(SEARCH("Alpine",BV128)),ISNUMBER(SEARCH("BorealForest",BV128)),ISNUMBER(SEARCH("ColdBog",BV128))),-30,IF(OR(ISNUMBER(SEARCH("TemperateForest",BV128)),ISNUMBER(SEARCH("TemperateSwamp",BV128))),-20,IF(_xlfn.XLOOKUP(_xlfn.XLOOKUP(B128,'Base stats'!B:B,'Base stats'!E:E),Groups!A:A,Groups!F:F)=1,-15,IF(OR(ISNUMBER(SEARCH("Desert",BV128)),ISNUMBER(SEARCH("ExtremeDesert",BV128))),-10,IF(OR(ISNUMBER(SEARCH("Grasslands",BV128)),ISNUMBER(SEARCH("TropicalRainforest",BV128)),ISNUMBER(SEARCH("TropicalSwamp",BV128))),10,0)))))))-IF(CA128="False",MIN(IFERROR(MAX(MROUND(LOG10(_xlfn.XLOOKUP(B128,'Base stats'!B:B,'Base stats'!C:C)^(2/3))*10,5),5),5),30))-_xlfn.XLOOKUP(B128,'Base stats'!B:B,'Base stats'!P:P)+IF(CA128="True",5,0)</f>
        <v>-25</v>
      </c>
      <c r="L128" s="2">
        <f>IF(OR(_xlfn.XLOOKUP(_xlfn.XLOOKUP(B128,'Base stats'!B:B,'Base stats'!E:E),Groups!A:A,Groups!G:G)=2,ISNUMBER(SEARCH("Desert",BV128)),ISNUMBER(SEARCH("ExtremeDesert",BV128)),ISNUMBER(SEARCH("LavaField",BV128))),50,IF(ISNUMBER(SEARCH("Grasslands",BV128)),45,IF(OR(_xlfn.XLOOKUP(_xlfn.XLOOKUP(B128,'Base stats'!B:B,'Base stats'!E:E),Groups!A:A,Groups!G:G)=1,ISNUMBER(SEARCH("TropicalRainforest",BV128)),ISNUMBER(SEARCH("TropicalSwamp",BV128))),40,IF(OR(ISNUMBER(SEARCH("TemperateForest",BV128)),ISNUMBER(SEARCH("TemperateSwamp",BV128))),35,IF(OR(ISNUMBER(SEARCH("Alpine",BV128)),ISNUMBER(SEARCH("BorealForest",BV128)),ISNUMBER(SEARCH("ColdBog",BV128))),30,IF(ISNUMBER(OR(ISNUMBER(SEARCH("GlacialPlain",BV128)),SEARCH("Tundra",BV128))),25,IF(OR(ISNUMBER(SEARCH("SeaIce",BV128)),ISNUMBER(SEARCH("IceSheet",BV128)),ISNUMBER(SEARCH("TropicalSwamp",BV128))),10,35)))))))+_xlfn.XLOOKUP(B128,'Base stats'!B:B,'Base stats'!Q:Q)</f>
        <v>35</v>
      </c>
      <c r="M128" s="8" t="str">
        <f>IF(_xlfn.XLOOKUP(_xlfn.XLOOKUP(B128,'Base stats'!B:B,'Base stats'!E:E),Groups!A:A,Groups!L:L)=1,MIN(MROUND(_xlfn.XLOOKUP(B128,'Animals CE'!B:B,'Animals CE'!Z:Z)/2+0.05,0.05),200%),"No")</f>
        <v>No</v>
      </c>
      <c r="N128" s="8" t="str">
        <f>IF(_xlfn.XLOOKUP(_xlfn.XLOOKUP(B128,'Base stats'!B:B,'Base stats'!E:E),Groups!A:A,Groups!L:L)=1,MIN(MROUND(_xlfn.XLOOKUP(B128,'Animals CE'!B:B,'Animals CE'!AA:AA)/2+0.05,0.05),200%),"No")</f>
        <v>No</v>
      </c>
      <c r="O128" s="2" t="str">
        <f>_xlfn.XLOOKUP(B128,'Base stats'!B:B,'Base stats'!R:R)</f>
        <v>Standard</v>
      </c>
      <c r="P128" s="13">
        <f>MROUND((LOG10(_xlfn.XLOOKUP(B128,'Base stats'!B:B,'Base stats'!AO:AO))*(AN128^0.5)+(_xlfn.XLOOKUP(B128,'Base stats'!B:B,'Base stats'!AO:AO)/1000)^(2/3)+_xlfn.XLOOKUP(B128,'Base stats'!B:B,'Base stats'!AX:AX)/2)+0.5,0.5)</f>
        <v>2.5</v>
      </c>
      <c r="Q128" s="7">
        <f>IF(P128="No","No",MAX(1,MROUND(_xlfn.XLOOKUP(B128,'Base stats'!B:B,'Base stats'!C:C)^0.165,0.05)))</f>
        <v>1.25</v>
      </c>
      <c r="R128" s="13" t="str">
        <f>IF(_xlfn.XLOOKUP(_xlfn.XLOOKUP(B128,'Base stats'!B:B,'Base stats'!E:E),Groups!A:A,Groups!P:P)=0,"No",MROUND((LOG10(_xlfn.XLOOKUP(B128,'Base stats'!B:B,'Base stats'!AP:AP))*(AN128^0.5)+(_xlfn.XLOOKUP(B128,'Base stats'!B:B,'Base stats'!AP:AP)/1000)^(2/3)+_xlfn.XLOOKUP(B128,'Base stats'!B:B,'Base stats'!AX:AX))+_xlfn.XLOOKUP(B128,'Base stats'!B:B,'Base stats'!AV:AV)+0.5,0.5))</f>
        <v>No</v>
      </c>
      <c r="S128" s="7" t="str">
        <f>IF(R128="No","No",MAX(_xlfn.XLOOKUP(_xlfn.XLOOKUP(B128,'Base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T128" s="7" t="str">
        <f>IF(R128="No","No",_xlfn.XLOOKUP(_xlfn.XLOOKUP(B128,'Base stats'!B:B,'Base stats'!E:E),Groups!A:A,Groups!R:R))</f>
        <v>No</v>
      </c>
      <c r="U128" s="7" t="str">
        <f>IF(R128="No","No",_xlfn.XLOOKUP(_xlfn.XLOOKUP(B128,'Base stats'!B:B,'Base stats'!E:E),Groups!A:A,Groups!S:S))</f>
        <v>No</v>
      </c>
      <c r="V128" s="7" t="str">
        <f>IF(R128="No","No",_xlfn.XLOOKUP(_xlfn.XLOOKUP(B128,'Base stats'!B:B,'Base stats'!E:E),Groups!A:A,Groups!T:T))</f>
        <v>No</v>
      </c>
      <c r="W128" s="13" t="str">
        <f>IF(_xlfn.XLOOKUP(B128,'Base stats'!B:B,'Base stats'!W:W)="No","No",MROUND((LOG10(_xlfn.XLOOKUP(B128,'Base stats'!B:B,'Base stats'!AR:AR))*(AN128^0.5)+(_xlfn.XLOOKUP(B128,'Base stats'!B:B,'Base stats'!AR:AR)/1000)^(2/3)+_xlfn.XLOOKUP(B128,'Base stats'!B:B,'Base stats'!AW:AW))+0.5+IF(_xlfn.XLOOKUP(_xlfn.XLOOKUP(B128,'Base stats'!B:B,'Base stats'!E:E),Groups!A:A,Groups!U:U)&lt;&gt;3,_xlfn.XLOOKUP(B128,'Base stats'!B:B,'Base stats'!AX:AX),0),0.5))</f>
        <v>No</v>
      </c>
      <c r="X128" s="7" t="str">
        <f>IF(W128="No","No",MAX(_xlfn.XLOOKUP(_xlfn.XLOOKUP(B128,'Base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Y128" s="7" t="str">
        <f>IF(W128="No","No",_xlfn.XLOOKUP(_xlfn.XLOOKUP(B128,'Base stats'!B:B,'Base stats'!E:E),Groups!A:A,Groups!W:W))</f>
        <v>No</v>
      </c>
      <c r="Z128" s="7" t="str">
        <f>IF(W128="No","No",_xlfn.XLOOKUP(_xlfn.XLOOKUP(B128,'Base stats'!B:B,'Base stats'!E:E),Groups!A:A,Groups!X:X))</f>
        <v>No</v>
      </c>
      <c r="AA128" s="7" t="str">
        <f>IF(W128="No","No",_xlfn.XLOOKUP(_xlfn.XLOOKUP(B128,'Base stats'!B:B,'Base stats'!E:E),Groups!A:A,Groups!Y:Y))</f>
        <v>No</v>
      </c>
      <c r="AB128" s="7" t="str">
        <f>_xlfn.XLOOKUP(Animals!B128,'Base stats'!B:B,'Base stats'!X:X)</f>
        <v>False</v>
      </c>
      <c r="AC128" s="13">
        <f>IF(_xlfn.XLOOKUP(B128,'Base stats'!B:B,'Base stats'!AQ:AQ)="No","No",MROUND((LOG10(_xlfn.XLOOKUP(B128,'Base stats'!B:B,'Base stats'!AQ:AQ))*(AN128^0.75)+(_xlfn.XLOOKUP(B128,'Base stats'!B:B,'Base stats'!AQ:AQ)/1000)^(2/3)+_xlfn.XLOOKUP(B128,'Base stats'!B:B,'Base stats'!AU:AU)+_xlfn.XLOOKUP(B128,'Base stats'!B:B,'Base stats'!AX:AX))+0.5,0.5))</f>
        <v>3.5</v>
      </c>
      <c r="AD128" s="7">
        <f>IF(AC128="No","No",MAX(_xlfn.XLOOKUP(_xlfn.XLOOKUP(B128,'Base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E128" s="7" t="str">
        <f>IF(AC128="No","No",_xlfn.XLOOKUP(_xlfn.XLOOKUP(B128,'Base stats'!B:B,'Base stats'!E:E),Groups!A:A,Groups!AA:AA))</f>
        <v>Teeth</v>
      </c>
      <c r="AF128" s="7" t="str">
        <f>IF(AC128="No","No",_xlfn.XLOOKUP(_xlfn.XLOOKUP(B128,'Base stats'!B:B,'Base stats'!E:E),Groups!A:A,Groups!AB:AB))</f>
        <v>canines</v>
      </c>
      <c r="AG128" s="7" t="str">
        <f>IF(AC128="No","No",_xlfn.XLOOKUP(_xlfn.XLOOKUP(B128,'Base stats'!B:B,'Base stats'!E:E),Groups!A:A,Groups!AC:AC))</f>
        <v>Bite</v>
      </c>
      <c r="AH128" s="13">
        <f>IF(_xlfn.XLOOKUP(_xlfn.XLOOKUP(B128,'Base stats'!B:B,'Base stats'!E:E),Groups!A:A,Groups!AD:AD)=0,"No",MROUND((LOG10(_xlfn.XLOOKUP(B128,'Base stats'!B:B,'Base stats'!AP:AP))*(AN128^0.75)+(_xlfn.XLOOKUP(B128,'Base stats'!B:B,'Base stats'!AP:AP)/1000)^(2/3)+_xlfn.XLOOKUP(B128,'Base stats'!B:B,'Base stats'!AV:AV)+_xlfn.XLOOKUP(B128,'Base stats'!B:B,'Base stats'!AX:AX))+0.5,0.5))</f>
        <v>3</v>
      </c>
      <c r="AI128" s="7">
        <f>IF(AH128="No","No",MAX(_xlfn.XLOOKUP(_xlfn.XLOOKUP(B128,'Base stats'!B:B,'Base stats'!E:E),Groups!A:A,Groups!AE:AE),MROUND(_xlfn.XLOOKUP(_xlfn.XLOOKUP(B128,'Base stats'!B:B,'Base stats'!E:E),Groups!A:A,Groups!AE:AE)*_xlfn.XLOOKUP(B128,'Base stats'!B:B,'Base stats'!C:C)^0.165,0.05)))</f>
        <v>0.85000000000000009</v>
      </c>
      <c r="AJ128" s="7" t="str">
        <f>IF(AH128="No","No",_xlfn.XLOOKUP(_xlfn.XLOOKUP(B128,'Base stats'!B:B,'Base stats'!E:E),Groups!A:A,Groups!AF:AF))</f>
        <v>FrontRightPaw, FrontRightPaw</v>
      </c>
      <c r="AK128" s="7" t="str">
        <f>IF(AH128="No","No",_xlfn.XLOOKUP(_xlfn.XLOOKUP(B128,'Base stats'!B:B,'Base stats'!E:E),Groups!A:A,Groups!AG:AG))</f>
        <v>left claw, right claw</v>
      </c>
      <c r="AL128" s="7" t="str">
        <f>IF(AH128="No","No",_xlfn.XLOOKUP(_xlfn.XLOOKUP(B128,'Base stats'!B:B,'Base stats'!E:E),Groups!A:A,Groups!AH:AH))</f>
        <v>Scratch</v>
      </c>
      <c r="AM128" s="2" t="str">
        <f t="shared" si="7"/>
        <v>No</v>
      </c>
      <c r="AN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O128" s="8">
        <f>MROUND(AN128*_xlfn.XLOOKUP(_xlfn.XLOOKUP(B128,'Base stats'!B:B,'Base stats'!E:E),Groups!A:A,Groups!AI:AI),0.05)</f>
        <v>0.35000000000000003</v>
      </c>
      <c r="AP128" s="8">
        <f>MAX(0.01,MROUND(IF(CA128="True",0.196*(AN128*100*1000)^0.889,IF(_xlfn.XLOOKUP(_xlfn.XLOOKUP(B128,'Base stats'!B:B,'Base stats'!E:E),Groups!A:A,Groups!AJ:AJ)="Bird",10.5*(AN128*100*1000)^0.681,4.82*(AN128*100*1000)^0.734))/(4.82*(1*100*1000)^0.734)/IF(AN128&lt;3.5,2,IF(AN128=3.5,1.5,1.25))*(1+0.132282374779864/(AN128^0.994035016789033+0.00905238001496948)),0.05))</f>
        <v>0.30000000000000004</v>
      </c>
      <c r="AQ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R128" s="35">
        <f>IFERROR(IF(_xlfn.XLOOKUP(B128,'Base stats'!B:B,'Base stats'!F:F)="Lay eggs","Lay eggs",MIN(20,MAX(5.5,ROUND(((_xlfn.XLOOKUP(B128,'Base stats'!B:B,'Base stats'!F:F)-25)*(14.5/615) + 5.5)*2,0)/2))),"Cannot breed")</f>
        <v>7.5</v>
      </c>
      <c r="AS128" s="8">
        <f>IF(OR(A128="Queen",A128="Larva",A128="Megachicken"),"No",IFERROR(MAX(IF(_xlfn.XLOOKUP(B128,'Base stats'!B:B,'Base stats'!G:G)&lt;0.5,0.2,0.3),MROUND(_xlfn.XLOOKUP(B128,'Base stats'!B:B,'Base stats'!G:G)/(365/60),0.2)),"Unknown"))</f>
        <v>0.3</v>
      </c>
      <c r="AT128" s="8">
        <f t="shared" si="8"/>
        <v>0.15000000000000002</v>
      </c>
      <c r="AU128" s="8">
        <f>IFERROR(IFERROR(MROUND(_xlfn.XLOOKUP(B128,'Base stats'!B:B,'Base stats'!J:J),0.1),"Lay eggs"),"Cannot breed")</f>
        <v>2</v>
      </c>
      <c r="AV128" s="2" t="str">
        <f t="shared" si="9"/>
        <v>false</v>
      </c>
      <c r="AW128" s="2" t="str">
        <f>IF(_xlfn.XLOOKUP(_xlfn.XLOOKUP(Animals!B128,'Base stats'!B:B,'Base stats'!E:E),Groups!A:A,Groups!AK:AK)=1,"true","false")</f>
        <v>false</v>
      </c>
      <c r="AX128" s="25" t="str">
        <f>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</f>
        <v>VegetarianRoughAnimal</v>
      </c>
      <c r="AY128" s="2" t="str">
        <f>IF(_xlfn.XLOOKUP(_xlfn.XLOOKUP(B128,'Base stats'!B:B,'Base stats'!E:E),Groups!A:A,Groups!D:D)=1,MROUND((1-I128)*5+1,2)*IF(I128&lt;=0.4,2,1),"No")</f>
        <v>No</v>
      </c>
      <c r="AZ128" s="2" t="str">
        <f>_xlfn.XLOOKUP(B128,'Base stats'!B:B,'Base stats'!AE:AE)</f>
        <v>Leather_Light</v>
      </c>
      <c r="BA128" s="23" t="str">
        <f>_xlfn.XLOOKUP(_xlfn.XLOOKUP(B128,'Base stats'!B:B,'Base stats'!E:E),Groups!A:A,Groups!AL:AL)</f>
        <v>QuadrupedAnimalWithPawsAndTail</v>
      </c>
      <c r="BB128" s="23">
        <f>MROUND(IF(AND(AN128&lt;0.5,_xlfn.XLOOKUP(B128,'Base stats'!B:B,'Base stats'!Z:Z)=0),0,IF(OR(_xlfn.XLOOKUP(Animals!B128,'Base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stats'!AA:AA),0.005)</f>
        <v>0</v>
      </c>
      <c r="BC128" s="23">
        <f>MROUND(IF(AND(AN128&lt;0.5,_xlfn.XLOOKUP(B128,'Base stats'!B:B,'Base stats'!Z:Z)=0),0,IF(_xlfn.XLOOKUP(_xlfn.XLOOKUP(B128,'Base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stats'!AB:AB),0.005)</f>
        <v>0</v>
      </c>
      <c r="BD128" s="2" t="str">
        <f>IF(I128&gt;0.3,"No",_xlfn.XLOOKUP(_xlfn.XLOOKUP(Animals!B128,'Base stats'!B:B,'Base stats'!E:E),Groups!A:A,Groups!AP:AP))</f>
        <v>No</v>
      </c>
      <c r="BE128" s="2" t="str">
        <f>IF(AND(I128&lt;=0.65,_xlfn.XLOOKUP(_xlfn.XLOOKUP(Animals!B128,'Base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stats'!O:O)=2,0.2,AN128) + 24*(1-IF(BD128="No",0,BD128)) + 16/3, 12),"No")</f>
        <v>No</v>
      </c>
      <c r="BF128" s="2">
        <f>IF(AND(_xlfn.XLOOKUP(_xlfn.XLOOKUP(B128,'Base stats'!B:B,'Base stats'!E:E),Groups!A:A,Groups!AQ:AQ)=1,AN128&lt;=0.35),8,12)</f>
        <v>12</v>
      </c>
      <c r="BG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H128" s="2" t="str">
        <f>IF(AND(_xlfn.XLOOKUP(_xlfn.XLOOKUP(B128,'Base stats'!B:B,'Base stats'!E:E),Groups!A:A,Groups!AS:AS)=1,OR('Base stats'!Y128="Carnivore",'Base stats'!Y128="Omnivore")),"true","false")</f>
        <v>false</v>
      </c>
      <c r="BI128" s="2" t="str">
        <f>IF(BH128="true",MROUND(IF(AND(AN128&gt;0.5,_xlfn.XLOOKUP(_xlfn.XLOOKUP(B128,'Base stats'!B:B,'Base stats'!E:E),Groups!A:A,Groups!AJ:AJ)="Mammal"),Animals!AN128*1.75*IF(AV128="true",1.5,1),Animals!AN128),IF(AN128&gt;2,0.5,IF(AN128&gt;0.5,0.25,0.1))),"No")</f>
        <v>No</v>
      </c>
      <c r="BJ128" s="2">
        <f t="shared" si="10"/>
        <v>1</v>
      </c>
      <c r="BK128" s="25" t="str">
        <f>IF('Base stats'!AK128="Standard","No",MROUND((_xlfn.XLOOKUP(B128,'Base stats'!B:B,'Base stats'!AK:AK)/3.6)/H128,0.1))</f>
        <v>No</v>
      </c>
      <c r="BL128" s="25" t="str">
        <f t="shared" si="11"/>
        <v>false</v>
      </c>
      <c r="BM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N128" s="25" t="str" cm="1">
        <f t="array" ref="BN128">IF(
  _xlfn.TEXTJOIN(", ",TRUE,
    IF(AND(BH128="true",AN128&gt;0.5,BG128&lt;&gt;"None"),"AttackTarget",""),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IF(BE128&lt;=36,"Comfort",""),
    IF(_xlfn.XLOOKUP(B128,'Base stats'!B:B,'Base stats'!AC:AC)&lt;&gt;"No",_xlfn.XLOOKUP(B128,'Base stats'!B:B,'Base stats'!AC:AC),"")
  ) = "",
  "No",
  _xlfn.TEXTJOIN(", ",TRUE,
    IF(AND(BH128="true",AN128&gt;0.5,BG128&lt;&gt;"None"),"AttackTarget",""),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IF(BE128&lt;=36,"Comfort",""),
    IF(_xlfn.XLOOKUP(B128,'Base stats'!B:B,'Base stats'!AC:AC)&lt;&gt;"No",_xlfn.XLOOKUP(B128,'Base stats'!B:B,'Base stats'!AC:AC),"")
  )
)</f>
        <v>No</v>
      </c>
      <c r="BO128" s="25" t="str">
        <f>IF(
   AND(
      'Base stats'!AK128="Standard",_xlfn.XLOOKUP(_xlfn.XLOOKUP(B128,'Base stats'!B:B,'Base stats'!E:E),Groups!A:A,Groups!AU:AU)=0,
      OR(
      BM128="True"
      )
   ),
   10,
   IF(
       OR(BK128&lt;&gt;"No",_xlfn.XLOOKUP(_xlfn.XLOOKUP(B128,'Base stats'!B:B,'Base stats'!E:E),Groups!A:A,Groups!AU:AU)=1),
      1,
      "No"
   )
)</f>
        <v>No</v>
      </c>
      <c r="BP128" s="9">
        <f>MROUND((1 + ((0.2*IF(OR(P128="No",Q128="No",Q128=0),0,P128/Q128)
+IF(OR(U128="No",R128="No",S128="No"),0,R128/S128*(LEN(U128)-LEN(SUBSTITUTE(U128,",",""))+1))
+IF(OR(W128="No",X128="No"),0,W128/X128)
+IF(OR(AC128="No",AD128="No"),0,AC128/AD128)
+IF(OR(AK128="No",AH128="No",AI128="No"),0,AH128/AI128*(LEN(AK128)-LEN(SUBSTITUTE(AK128,",",""))+1))
)/(0.2*IF(OR(P128="No",Q128="No",Q128=0),0,1)
+IF(OR(U128="No",R128="No",S128="No"),0,LEN(U128)-LEN(SUBSTITUTE(U128,",",""))+1)
+IF(OR(W128="No",X128="No"),0,1)
+IF(OR(AC128="No",AD128="No"),0,1)
+IF(OR(AK128="No",AH128="No",AI128="No"),0,LEN(AK128)-LEN(SUBSTITUTE(AK128,",",""))+1))*62%)* 2)*(1 + (AO128 + _xlfn.XLOOKUP(B128,'Base stats'!B:B,'Base stats'!AS:AS) * 1.8) * 2) * 2.5 + 10 + H128 * 2,5)+IF(_xlfn.XLOOKUP(B128,'Base stats'!B:B,'Base stats'!AH:AH)=1,50,0)</f>
        <v>40</v>
      </c>
      <c r="BQ128" s="8">
        <f t="shared" si="12"/>
        <v>0.30000000000000004</v>
      </c>
      <c r="BR128" s="8" t="str">
        <f>_xlfn.XLOOKUP(B128,'Base stats'!B:B,'Base stats'!AD:AD)</f>
        <v>No</v>
      </c>
      <c r="BS128" s="2" t="str">
        <f>IF(AND(I128&lt;=0.95,OR(_xlfn.XLOOKUP(B128,'Base stats'!B:B,'Base stats'!AH:AH)=1,_xlfn.XLOOKUP(B128,'Base stats'!B:B,'Base stats'!Y:Y)="Carnivore",_xlfn.XLOOKUP(B128,'Base stats'!B:B,'Base stats'!Y:Y)="Omnivore",BC128&gt;0.1)),"true","false")</f>
        <v>false</v>
      </c>
      <c r="BT128" s="2" t="str">
        <f>IF(_xlfn.XLOOKUP(B128,'Base stats'!B:B,'Base stats'!AF:AF)=1,"true","false")</f>
        <v>false</v>
      </c>
      <c r="BU128" s="25" t="str">
        <f>IF(E128="BaseInsect","AnimalInsect",
IF(I128&gt;0.95,"AnimalExotic",
_xlfn.TEXTJOIN(", ",TRUE,
IF(AND(_xlfn.XLOOKUP(B128,'Base stats'!B:B,'Base stats'!O:O)=0,_xlfn.XLOOKUP(_xlfn.XLOOKUP(B128,'Base stats'!B:B,'Base stats'!E:E),Groups!A:A,Groups!B:B)&gt;0),"AnimalUncommon","AnimalCommon"),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stats'!AH:AH)=1,AND(BG128&lt;&gt;"None",BP128&gt;=60),ISNUMBER(SEARCH("Attack target",BN128))),"AnimalFighter","")
)))</f>
        <v>AnimalUncommon</v>
      </c>
      <c r="BV128" s="25" t="str">
        <f>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</f>
        <v>TemperateForest TemperateSwamp</v>
      </c>
      <c r="BW128" s="25" t="str">
        <f>IF(_xlfn.XLOOKUP(B128,'Base stats'!B:B,'Base stats'!AG:AG)=1,"true","false")</f>
        <v>false</v>
      </c>
      <c r="BX128" s="25">
        <f>IF(_xlfn.XLOOKUP(B128,'Base stats'!B:B,'Base stats'!N:N)=1,"No",MIN(MROUND(IF(OR(_xlfn.XLOOKUP(B128,'Base stats'!B:B,'Base stats'!AJ:AJ)=1,AND(BH128="True",CA128="False")),POWER(10,3.47*LOG10(_xlfn.XLOOKUP(B128,'Base stats'!B:B,'Base stats'!C:C)*1000)^-0.96),POWER(10,4.15*LOG10(_xlfn.XLOOKUP(B128,'Base stats'!B:B,'Base stats'!C:C)*1000)^-0.73))*IF(OR(_xlfn.XLOOKUP(B128,'Base stats'!B:B,'Base stats'!AJ:AJ)=1,_xlfn.XLOOKUP(B128,'Base stats'!B:B,'Base stats'!AH:AH)=1),0.5,1)/100,0.025),1))</f>
        <v>0.42500000000000004</v>
      </c>
      <c r="BY128" s="25" t="str">
        <f>IF(O128="Standard","No",IF(_xlfn.XLOOKUP(B128,'Base stats'!B:B,'Base stats'!N:N)=0,MROUND(BX128*O128,0.05),MIN(1,MAX(0.025,MROUND(IF(OR(CA128="true",AND(BH128="false",BM128="false")),POWER(10,4.15*LOG10(_xlfn.XLOOKUP(B128,'Base stats'!B:B,'Base stats'!C:C)*1000)^-0.73),POWER(10,3.47*LOG10(_xlfn.XLOOKUP(B128,'Base stats'!B:B,'Base stats'!C:C)*1000)^-0.96))*IF(_xlfn.XLOOKUP(B128,'Base stats'!B:B,'Base stats'!AH:AH)=1,0.5,1)/100,0.025)))))</f>
        <v>No</v>
      </c>
      <c r="BZ128" s="25" t="str">
        <f>IF(_xlfn.XLOOKUP(_xlfn.XLOOKUP(B128,'Base stats'!B:B,'Base stats'!E:E),Groups!A:A,Groups!AJ:AJ)="Mammal","True","False")</f>
        <v>True</v>
      </c>
      <c r="CA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B128" s="25" t="str">
        <f t="shared" si="13"/>
        <v>False</v>
      </c>
      <c r="CC128" s="25" t="str">
        <f>IF(_xlfn.XLOOKUP(_xlfn.XLOOKUP(B128,'Base stats'!B:B,'Base stats'!E:E),Groups!A:A,Groups!AW:AW),"True","False")</f>
        <v>False</v>
      </c>
      <c r="CD128" s="25" t="str">
        <f>IF(_xlfn.XLOOKUP(_xlfn.XLOOKUP(B128,'Base stats'!B:B,'Base stats'!E:E),Groups!A:A,Groups!AX:AX),"True","False")</f>
        <v>False</v>
      </c>
      <c r="CE128" s="25" t="str">
        <f>IF(_xlfn.XLOOKUP(B128,'Base stats'!B:B,'Base stats'!E:E)=1,"True","False")</f>
        <v>False</v>
      </c>
      <c r="CF128" s="25" t="str">
        <f>IF(
OR(
_xlfn.XLOOKUP(_xlfn.XLOOKUP(B128,'Base stats'!B:B,'Base stats'!E:E),Groups!A:A,Groups!AY:AY)=0,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stats'!E:E),Groups!A:A,Groups!AY:AY)=1,
"Flesh",
IF(
_xlfn.XLOOKUP(_xlfn.XLOOKUP(B128,'Base stats'!B:B,'Base stats'!E:E),Groups!A:A,Groups!AY:AY)=2,
"Bone",
""
)
)
)</f>
        <v>No</v>
      </c>
      <c r="CG128" s="25" t="str">
        <f>IF(_xlfn.XLOOKUP(_xlfn.XLOOKUP(B128,'Base stats'!B:B,'Base stats'!E:E),Groups!A:A,Groups!BA:BA),"True","False")</f>
        <v>True</v>
      </c>
      <c r="CH128" s="25" t="str">
        <f>IF(_xlfn.XLOOKUP(_xlfn.XLOOKUP(B128,'Base stats'!B:B,'Base stats'!E:E),Groups!A:A,Groups!AZ:AZ),"True","False")</f>
        <v>False</v>
      </c>
    </row>
    <row r="129" spans="1:86" ht="16.5" thickTop="1" thickBot="1" x14ac:dyDescent="0.3">
      <c r="A129" s="26" t="str">
        <f>_xlfn.XLOOKUP(B129,'Base stats'!B:B,'Base stats'!A:A)</f>
        <v>WildGoose</v>
      </c>
      <c r="B129" s="6" t="s">
        <v>490</v>
      </c>
      <c r="C129" s="28" t="s">
        <v>822</v>
      </c>
      <c r="D129" s="28" t="s">
        <v>884</v>
      </c>
      <c r="E129" s="28" t="s">
        <v>685</v>
      </c>
      <c r="F129" s="28" t="s">
        <v>685</v>
      </c>
      <c r="G129" s="2">
        <f>MROUND((
  (IF(AND(_xlfn.XLOOKUP(B129,'Base stats'!B:B,'Base stats'!AI:AI)=0,BG129="None",_xlfn.XLOOKUP('Base stats'!E129,Groups!A:A,Groups!B:B)=0), (18 + BP129 * 2.7) * 0.5,
    IF(AND(_xlfn.XLOOKUP(B129,'Base stats'!B:B,'Base stats'!AI:AI)=0,OR(AN129&lt;0.55,AND(BG129="Intermediate",_xlfn.XLOOKUP('Base stats'!E129,Groups!A:A,Groups!B:B)&lt;2))), (18 + BP129 * 2.7),
      IF(OR(BG129="Advanced",_xlfn.XLOOKUP(B129,'Base stats'!B:B,'Base stats'!AI:AI)=1,_xlfn.XLOOKUP('Base stats'!E129,Groups!A:A,Groups!B:B)=2), (18 + BP129 * 2.7) + 250, (18 + BP129 * 2.7))
    )
  ))
  + AN129 * 80
  + IF(COUNTIF(EggMilk!K$2:K$998, A129) &gt; 0, 125, 0)
  + IF(COUNTIF(EggMilk!P$2:P$998, A129) &gt; 0, 90, 0)
  + IF(COUNTIF(EggMilk!A$2:A$998, A129) &gt; 0, 90, 0)
)
* (0.8 + 0.4 * I129)
* 0.75,25)</f>
        <v>150</v>
      </c>
      <c r="H129" s="2">
        <f>MROUND(ROUNDDOWN(_xlfn.XLOOKUP(B129,'Base stats'!B:B,'Base stats'!L:L)/3.6/(23.3/11),1),0.5)</f>
        <v>1.5</v>
      </c>
      <c r="I129" s="2">
        <f>IF(_xlfn.XLOOKUP(B129,'Base stats'!B:B,'Base stats'!AI:AI)=1,0.99,MIN(MROUND((1-0.6282*EXP(-0.459*AN129))*_xlfn.XLOOKUP(_xlfn.XLOOKUP(B129,'Base stats'!B:B,'Base stats'!E:E),Groups!A:A,Groups!C:C)*IF(_xlfn.XLOOKUP(B129,'Base stats'!B:B,'Base stats'!O:O)=1,0.5,IF(_xlfn.XLOOKUP(B129,'Base stats'!B:B,'Base stats'!O:O)=2,0,1)),0.05),0.985))</f>
        <v>0.55000000000000004</v>
      </c>
      <c r="J129" s="2">
        <f>ROUNDUP(AN129*_xlfn.XLOOKUP(_xlfn.XLOOKUP(B129,'Base stats'!B:B,'Base stats'!E:E),Groups!A:A,Groups!E:E),0)</f>
        <v>3</v>
      </c>
      <c r="K129" s="2">
        <f>IF(OR(_xlfn.XLOOKUP(_xlfn.XLOOKUP(B129,'Base stats'!B:B,'Base stats'!E:E),Groups!A:A,Groups!F:F)=2,ISNUMBER(SEARCH("SeaIce",BV129)),ISNUMBER(SEARCH("IceSheet",BV129))),-50,IF(OR(ISNUMBER(SEARCH("GlacialPlain",BV129)),ISNUMBER(SEARCH("Tundra",BV129))),-40,IF(OR(ISNUMBER(SEARCH("Alpine",BV129)),ISNUMBER(SEARCH("BorealForest",BV129)),ISNUMBER(SEARCH("ColdBog",BV129))),-30,IF(OR(ISNUMBER(SEARCH("TemperateForest",BV129)),ISNUMBER(SEARCH("TemperateSwamp",BV129))),-20,IF(_xlfn.XLOOKUP(_xlfn.XLOOKUP(B129,'Base stats'!B:B,'Base stats'!E:E),Groups!A:A,Groups!F:F)=1,-15,IF(OR(ISNUMBER(SEARCH("Desert",BV129)),ISNUMBER(SEARCH("ExtremeDesert",BV129))),-10,IF(OR(ISNUMBER(SEARCH("Grasslands",BV129)),ISNUMBER(SEARCH("TropicalRainforest",BV129)),ISNUMBER(SEARCH("TropicalSwamp",BV129))),10,0)))))))-IF(CA129="False",MIN(IFERROR(MAX(MROUND(LOG10(_xlfn.XLOOKUP(B129,'Base stats'!B:B,'Base stats'!C:C)^(2/3))*10,5),5),5),30))-_xlfn.XLOOKUP(B129,'Base stats'!B:B,'Base stats'!P:P)+IF(CA129="True",5,0)</f>
        <v>-35</v>
      </c>
      <c r="L129" s="2">
        <f>IF(OR(_xlfn.XLOOKUP(_xlfn.XLOOKUP(B129,'Base stats'!B:B,'Base stats'!E:E),Groups!A:A,Groups!G:G)=2,ISNUMBER(SEARCH("Desert",BV129)),ISNUMBER(SEARCH("ExtremeDesert",BV129)),ISNUMBER(SEARCH("LavaField",BV129))),50,IF(ISNUMBER(SEARCH("Grasslands",BV129)),45,IF(OR(_xlfn.XLOOKUP(_xlfn.XLOOKUP(B129,'Base stats'!B:B,'Base stats'!E:E),Groups!A:A,Groups!G:G)=1,ISNUMBER(SEARCH("TropicalRainforest",BV129)),ISNUMBER(SEARCH("TropicalSwamp",BV129))),40,IF(OR(ISNUMBER(SEARCH("TemperateForest",BV129)),ISNUMBER(SEARCH("TemperateSwamp",BV129))),35,IF(OR(ISNUMBER(SEARCH("Alpine",BV129)),ISNUMBER(SEARCH("BorealForest",BV129)),ISNUMBER(SEARCH("ColdBog",BV129))),30,IF(ISNUMBER(OR(ISNUMBER(SEARCH("GlacialPlain",BV129)),SEARCH("Tundra",BV129))),25,IF(OR(ISNUMBER(SEARCH("SeaIce",BV129)),ISNUMBER(SEARCH("IceSheet",BV129)),ISNUMBER(SEARCH("TropicalSwamp",BV129))),10,35)))))))+_xlfn.XLOOKUP(B129,'Base stats'!B:B,'Base stats'!Q:Q)</f>
        <v>35</v>
      </c>
      <c r="M129" s="8" t="str">
        <f>IF(_xlfn.XLOOKUP(_xlfn.XLOOKUP(B129,'Base stats'!B:B,'Base stats'!E:E),Groups!A:A,Groups!L:L)=1,MIN(MROUND(_xlfn.XLOOKUP(B129,'Animals CE'!B:B,'Animals CE'!Z:Z)/2+0.05,0.05),200%),"No")</f>
        <v>No</v>
      </c>
      <c r="N129" s="8" t="str">
        <f>IF(_xlfn.XLOOKUP(_xlfn.XLOOKUP(B129,'Base stats'!B:B,'Base stats'!E:E),Groups!A:A,Groups!L:L)=1,MIN(MROUND(_xlfn.XLOOKUP(B129,'Animals CE'!B:B,'Animals CE'!AA:AA)/2+0.05,0.05),200%),"No")</f>
        <v>No</v>
      </c>
      <c r="O129" s="2" t="str">
        <f>_xlfn.XLOOKUP(B129,'Base stats'!B:B,'Base stats'!R:R)</f>
        <v>Standard</v>
      </c>
      <c r="P129" s="13">
        <f>MROUND((LOG10(_xlfn.XLOOKUP(B129,'Base stats'!B:B,'Base stats'!AO:AO))*(AN129^0.5)+(_xlfn.XLOOKUP(B129,'Base stats'!B:B,'Base stats'!AO:AO)/1000)^(2/3)+_xlfn.XLOOKUP(B129,'Base stats'!B:B,'Base stats'!AX:AX)/2)+0.5,0.5)</f>
        <v>2.5</v>
      </c>
      <c r="Q129" s="7">
        <f>IF(P129="No","No",MAX(1,MROUND(_xlfn.XLOOKUP(B129,'Base stats'!B:B,'Base stats'!C:C)^0.165,0.05)))</f>
        <v>1.2000000000000002</v>
      </c>
      <c r="R129" s="13" t="str">
        <f>IF(_xlfn.XLOOKUP(_xlfn.XLOOKUP(B129,'Base stats'!B:B,'Base stats'!E:E),Groups!A:A,Groups!P:P)=0,"No",MROUND((LOG10(_xlfn.XLOOKUP(B129,'Base stats'!B:B,'Base stats'!AP:AP))*(AN129^0.5)+(_xlfn.XLOOKUP(B129,'Base stats'!B:B,'Base stats'!AP:AP)/1000)^(2/3)+_xlfn.XLOOKUP(B129,'Base stats'!B:B,'Base stats'!AX:AX))+_xlfn.XLOOKUP(B129,'Base stats'!B:B,'Base stats'!AV:AV)+0.5,0.5))</f>
        <v>No</v>
      </c>
      <c r="S129" s="7" t="str">
        <f>IF(R129="No","No",MAX(_xlfn.XLOOKUP(_xlfn.XLOOKUP(B129,'Base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T129" s="7" t="str">
        <f>IF(R129="No","No",_xlfn.XLOOKUP(_xlfn.XLOOKUP(B129,'Base stats'!B:B,'Base stats'!E:E),Groups!A:A,Groups!R:R))</f>
        <v>No</v>
      </c>
      <c r="U129" s="7" t="str">
        <f>IF(R129="No","No",_xlfn.XLOOKUP(_xlfn.XLOOKUP(B129,'Base stats'!B:B,'Base stats'!E:E),Groups!A:A,Groups!S:S))</f>
        <v>No</v>
      </c>
      <c r="V129" s="7" t="str">
        <f>IF(R129="No","No",_xlfn.XLOOKUP(_xlfn.XLOOKUP(B129,'Base stats'!B:B,'Base stats'!E:E),Groups!A:A,Groups!T:T))</f>
        <v>No</v>
      </c>
      <c r="W129" s="13" t="str">
        <f>IF(_xlfn.XLOOKUP(B129,'Base stats'!B:B,'Base stats'!W:W)="No","No",MROUND((LOG10(_xlfn.XLOOKUP(B129,'Base stats'!B:B,'Base stats'!AR:AR))*(AN129^0.5)+(_xlfn.XLOOKUP(B129,'Base stats'!B:B,'Base stats'!AR:AR)/1000)^(2/3)+_xlfn.XLOOKUP(B129,'Base stats'!B:B,'Base stats'!AW:AW))+0.5+IF(_xlfn.XLOOKUP(_xlfn.XLOOKUP(B129,'Base stats'!B:B,'Base stats'!E:E),Groups!A:A,Groups!U:U)&lt;&gt;3,_xlfn.XLOOKUP(B129,'Base stats'!B:B,'Base stats'!AX:AX),0),0.5))</f>
        <v>No</v>
      </c>
      <c r="X129" s="7" t="str">
        <f>IF(W129="No","No",MAX(_xlfn.XLOOKUP(_xlfn.XLOOKUP(B129,'Base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Y129" s="7" t="str">
        <f>IF(W129="No","No",_xlfn.XLOOKUP(_xlfn.XLOOKUP(B129,'Base stats'!B:B,'Base stats'!E:E),Groups!A:A,Groups!W:W))</f>
        <v>No</v>
      </c>
      <c r="Z129" s="7" t="str">
        <f>IF(W129="No","No",_xlfn.XLOOKUP(_xlfn.XLOOKUP(B129,'Base stats'!B:B,'Base stats'!E:E),Groups!A:A,Groups!X:X))</f>
        <v>No</v>
      </c>
      <c r="AA129" s="7" t="str">
        <f>IF(W129="No","No",_xlfn.XLOOKUP(_xlfn.XLOOKUP(B129,'Base stats'!B:B,'Base stats'!E:E),Groups!A:A,Groups!Y:Y))</f>
        <v>No</v>
      </c>
      <c r="AB129" s="7" t="str">
        <f>_xlfn.XLOOKUP(Animals!B129,'Base stats'!B:B,'Base stats'!X:X)</f>
        <v>False</v>
      </c>
      <c r="AC129" s="13">
        <f>IF(_xlfn.XLOOKUP(B129,'Base stats'!B:B,'Base stats'!AQ:AQ)="No","No",MROUND((LOG10(_xlfn.XLOOKUP(B129,'Base stats'!B:B,'Base stats'!AQ:AQ))*(AN129^0.75)+(_xlfn.XLOOKUP(B129,'Base stats'!B:B,'Base stats'!AQ:AQ)/1000)^(2/3)+_xlfn.XLOOKUP(B129,'Base stats'!B:B,'Base stats'!AU:AU)+_xlfn.XLOOKUP(B129,'Base stats'!B:B,'Base stats'!AX:AX))+0.5,0.5))</f>
        <v>2</v>
      </c>
      <c r="AD129" s="7">
        <f>IF(AC129="No","No",MAX(_xlfn.XLOOKUP(_xlfn.XLOOKUP(B129,'Base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E129" s="7" t="str">
        <f>IF(AC129="No","No",_xlfn.XLOOKUP(_xlfn.XLOOKUP(B129,'Base stats'!B:B,'Base stats'!E:E),Groups!A:A,Groups!AA:AA))</f>
        <v>Beak</v>
      </c>
      <c r="AF129" s="7" t="str">
        <f>IF(AC129="No","No",_xlfn.XLOOKUP(_xlfn.XLOOKUP(B129,'Base stats'!B:B,'Base stats'!E:E),Groups!A:A,Groups!AB:AB))</f>
        <v>beak</v>
      </c>
      <c r="AG129" s="7" t="str">
        <f>IF(AC129="No","No",_xlfn.XLOOKUP(_xlfn.XLOOKUP(B129,'Base stats'!B:B,'Base stats'!E:E),Groups!A:A,Groups!AC:AC))</f>
        <v>Blunt</v>
      </c>
      <c r="AH129" s="13" t="str">
        <f>IF(_xlfn.XLOOKUP(_xlfn.XLOOKUP(B129,'Base stats'!B:B,'Base stats'!E:E),Groups!A:A,Groups!AD:AD)=0,"No",MROUND((LOG10(_xlfn.XLOOKUP(B129,'Base stats'!B:B,'Base stats'!AP:AP))*(AN129^0.75)+(_xlfn.XLOOKUP(B129,'Base stats'!B:B,'Base stats'!AP:AP)/1000)^(2/3)+_xlfn.XLOOKUP(B129,'Base stats'!B:B,'Base stats'!AV:AV)+_xlfn.XLOOKUP(B129,'Base stats'!B:B,'Base stats'!AX:AX))+0.5,0.5))</f>
        <v>No</v>
      </c>
      <c r="AI129" s="7" t="str">
        <f>IF(AH129="No","No",MAX(_xlfn.XLOOKUP(_xlfn.XLOOKUP(B129,'Base stats'!B:B,'Base stats'!E:E),Groups!A:A,Groups!AE:AE),MROUND(_xlfn.XLOOKUP(_xlfn.XLOOKUP(B129,'Base stats'!B:B,'Base stats'!E:E),Groups!A:A,Groups!AE:AE)*_xlfn.XLOOKUP(B129,'Base stats'!B:B,'Base stats'!C:C)^0.165,0.05)))</f>
        <v>No</v>
      </c>
      <c r="AJ129" s="7" t="str">
        <f>IF(AH129="No","No",_xlfn.XLOOKUP(_xlfn.XLOOKUP(B129,'Base stats'!B:B,'Base stats'!E:E),Groups!A:A,Groups!AF:AF))</f>
        <v>No</v>
      </c>
      <c r="AK129" s="7" t="str">
        <f>IF(AH129="No","No",_xlfn.XLOOKUP(_xlfn.XLOOKUP(B129,'Base stats'!B:B,'Base stats'!E:E),Groups!A:A,Groups!AG:AG))</f>
        <v>No</v>
      </c>
      <c r="AL129" s="7" t="str">
        <f>IF(AH129="No","No",_xlfn.XLOOKUP(_xlfn.XLOOKUP(B129,'Base stats'!B:B,'Base stats'!E:E),Groups!A:A,Groups!AH:AH))</f>
        <v>No</v>
      </c>
      <c r="AM129" s="2" t="str">
        <f t="shared" si="7"/>
        <v>No</v>
      </c>
      <c r="AN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O129" s="8">
        <f>MROUND(AN129*_xlfn.XLOOKUP(_xlfn.XLOOKUP(B129,'Base stats'!B:B,'Base stats'!E:E),Groups!A:A,Groups!AI:AI),0.05)</f>
        <v>0.25</v>
      </c>
      <c r="AP129" s="8">
        <f>MAX(0.01,MROUND(IF(CA129="True",0.196*(AN129*100*1000)^0.889,IF(_xlfn.XLOOKUP(_xlfn.XLOOKUP(B129,'Base stats'!B:B,'Base stats'!E:E),Groups!A:A,Groups!AJ:AJ)="Bird",10.5*(AN129*100*1000)^0.681,4.82*(AN129*100*1000)^0.734))/(4.82*(1*100*1000)^0.734)/IF(AN129&lt;3.5,2,IF(AN129=3.5,1.5,1.25))*(1+0.132282374779864/(AN129^0.994035016789033+0.00905238001496948)),0.05))</f>
        <v>0.35000000000000003</v>
      </c>
      <c r="AQ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R129" s="35" t="str">
        <f>IFERROR(IF(_xlfn.XLOOKUP(B129,'Base stats'!B:B,'Base stats'!F:F)="Lay eggs","Lay eggs",MIN(20,MAX(5.5,ROUND(((_xlfn.XLOOKUP(B129,'Base stats'!B:B,'Base stats'!F:F)-25)*(14.5/615) + 5.5)*2,0)/2))),"Cannot breed")</f>
        <v>Lay eggs</v>
      </c>
      <c r="AS129" s="8">
        <f>IF(OR(A129="Queen",A129="Larva",A129="Megachicken"),"No",IFERROR(MAX(IF(_xlfn.XLOOKUP(B129,'Base stats'!B:B,'Base stats'!G:G)&lt;0.5,0.2,0.3),MROUND(_xlfn.XLOOKUP(B129,'Base stats'!B:B,'Base stats'!G:G)/(365/60),0.2)),"Unknown"))</f>
        <v>0.4</v>
      </c>
      <c r="AT129" s="8">
        <f t="shared" si="8"/>
        <v>0.2</v>
      </c>
      <c r="AU129" s="8" t="str">
        <f>IFERROR(IFERROR(MROUND(_xlfn.XLOOKUP(B129,'Base stats'!B:B,'Base stats'!J:J),0.1),"Lay eggs"),"Cannot breed")</f>
        <v>Lay eggs</v>
      </c>
      <c r="AV129" s="2" t="str">
        <f t="shared" si="9"/>
        <v>true</v>
      </c>
      <c r="AW129" s="2" t="str">
        <f>IF(_xlfn.XLOOKUP(_xlfn.XLOOKUP(Animals!B129,'Base stats'!B:B,'Base stats'!E:E),Groups!A:A,Groups!AK:AK)=1,"true","false")</f>
        <v>false</v>
      </c>
      <c r="AX129" s="25" t="str">
        <f>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</f>
        <v>VegetarianRoughAnimal</v>
      </c>
      <c r="AY129" s="2">
        <f>IF(_xlfn.XLOOKUP(_xlfn.XLOOKUP(B129,'Base stats'!B:B,'Base stats'!E:E),Groups!A:A,Groups!D:D)=1,MROUND((1-I129)*5+1,2)*IF(I129&lt;=0.4,2,1),"No")</f>
        <v>4</v>
      </c>
      <c r="AZ129" s="2" t="str">
        <f>_xlfn.XLOOKUP(B129,'Base stats'!B:B,'Base stats'!AE:AE)</f>
        <v>No</v>
      </c>
      <c r="BA129" s="23" t="str">
        <f>_xlfn.XLOOKUP(_xlfn.XLOOKUP(B129,'Base stats'!B:B,'Base stats'!E:E),Groups!A:A,Groups!AL:AL)</f>
        <v>Bird</v>
      </c>
      <c r="BB129" s="23">
        <f>MROUND(IF(AND(AN129&lt;0.5,_xlfn.XLOOKUP(B129,'Base stats'!B:B,'Base stats'!Z:Z)=0),0,IF(OR(_xlfn.XLOOKUP(Animals!B129,'Base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stats'!AA:AA),0.005)</f>
        <v>0</v>
      </c>
      <c r="BC129" s="23">
        <f>MROUND(IF(AND(AN129&lt;0.5,_xlfn.XLOOKUP(B129,'Base stats'!B:B,'Base stats'!Z:Z)=0),0,IF(_xlfn.XLOOKUP(_xlfn.XLOOKUP(B129,'Base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stats'!AB:AB),0.005)</f>
        <v>0</v>
      </c>
      <c r="BD129" s="2" t="str">
        <f>IF(I129&gt;0.3,"No",_xlfn.XLOOKUP(_xlfn.XLOOKUP(Animals!B129,'Base stats'!B:B,'Base stats'!E:E),Groups!A:A,Groups!AP:AP))</f>
        <v>No</v>
      </c>
      <c r="BE129" s="2" t="str">
        <f>IF(AND(I129&lt;=0.65,_xlfn.XLOOKUP(_xlfn.XLOOKUP(Animals!B129,'Base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stats'!O:O)=2,0.2,AN129) + 24*(1-IF(BD129="No",0,BD129)) + 16/3, 12),"No")</f>
        <v>No</v>
      </c>
      <c r="BF129" s="2">
        <f>IF(AND(_xlfn.XLOOKUP(_xlfn.XLOOKUP(B129,'Base stats'!B:B,'Base stats'!E:E),Groups!A:A,Groups!AQ:AQ)=1,AN129&lt;=0.35),8,12)</f>
        <v>8</v>
      </c>
      <c r="BG129" s="2" t="str">
        <f>IF(_xlfn.XLOOKUP(_xlfn.XLOOKUP(B129,'Base stats'!B:B,'Base stats'!E:E),Groups!A:A,Groups!D:D)=0,_xlfn.XLOOKUP(_xlfn.XLOOKUP(B129,'Base stats'!B:B,'Base stats'!E:E),Groups!A:A,Groups!AR:AR),"None")</f>
        <v>None</v>
      </c>
      <c r="BH129" s="2" t="str">
        <f>IF(AND(_xlfn.XLOOKUP(_xlfn.XLOOKUP(B129,'Base stats'!B:B,'Base stats'!E:E),Groups!A:A,Groups!AS:AS)=1,OR('Base stats'!Y129="Carnivore",'Base stats'!Y129="Omnivore")),"true","false")</f>
        <v>false</v>
      </c>
      <c r="BI129" s="2" t="str">
        <f>IF(BH129="true",MROUND(IF(AND(AN129&gt;0.5,_xlfn.XLOOKUP(_xlfn.XLOOKUP(B129,'Base stats'!B:B,'Base stats'!E:E),Groups!A:A,Groups!AJ:AJ)="Mammal"),Animals!AN129*1.75*IF(AV129="true",1.5,1),Animals!AN129),IF(AN129&gt;2,0.5,IF(AN129&gt;0.5,0.25,0.1))),"No")</f>
        <v>No</v>
      </c>
      <c r="BJ129" s="2">
        <f t="shared" si="10"/>
        <v>0</v>
      </c>
      <c r="BK129" s="25" t="str">
        <f>IF('Base stats'!AK129="Standard","No",MROUND((_xlfn.XLOOKUP(B129,'Base stats'!B:B,'Base stats'!AK:AK)/3.6)/H129,0.1))</f>
        <v>No</v>
      </c>
      <c r="BL129" s="25" t="str">
        <f t="shared" si="11"/>
        <v>true</v>
      </c>
      <c r="BM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N129" s="25" t="str" cm="1">
        <f t="array" ref="BN129">IF(
  _xlfn.TEXTJOIN(", ",TRUE,
    IF(AND(BH129="true",AN129&gt;0.5,BG129&lt;&gt;"None"),"AttackTarget",""),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IF(BE129&lt;=36,"Comfort",""),
    IF(_xlfn.XLOOKUP(B129,'Base stats'!B:B,'Base stats'!AC:AC)&lt;&gt;"No",_xlfn.XLOOKUP(B129,'Base stats'!B:B,'Base stats'!AC:AC),"")
  ) = "",
  "No",
  _xlfn.TEXTJOIN(", ",TRUE,
    IF(AND(BH129="true",AN129&gt;0.5,BG129&lt;&gt;"None"),"AttackTarget",""),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IF(BE129&lt;=36,"Comfort",""),
    IF(_xlfn.XLOOKUP(B129,'Base stats'!B:B,'Base stats'!AC:AC)&lt;&gt;"No",_xlfn.XLOOKUP(B129,'Base stats'!B:B,'Base stats'!AC:AC),"")
  )
)</f>
        <v>No</v>
      </c>
      <c r="BO129" s="25">
        <f>IF(
   AND(
      'Base stats'!AK129="Standard",_xlfn.XLOOKUP(_xlfn.XLOOKUP(B129,'Base stats'!B:B,'Base stats'!E:E),Groups!A:A,Groups!AU:AU)=0,
      OR(
      BM129="True"
      )
   ),
   10,
   IF(
       OR(BK129&lt;&gt;"No",_xlfn.XLOOKUP(_xlfn.XLOOKUP(B129,'Base stats'!B:B,'Base stats'!E:E),Groups!A:A,Groups!AU:AU)=1),
      1,
      "No"
   )
)</f>
        <v>1</v>
      </c>
      <c r="BP129" s="9">
        <f>MROUND((1 + ((0.2*IF(OR(P129="No",Q129="No",Q129=0),0,P129/Q129)
+IF(OR(U129="No",R129="No",S129="No"),0,R129/S129*(LEN(U129)-LEN(SUBSTITUTE(U129,",",""))+1))
+IF(OR(W129="No",X129="No"),0,W129/X129)
+IF(OR(AC129="No",AD129="No"),0,AC129/AD129)
+IF(OR(AK129="No",AH129="No",AI129="No"),0,AH129/AI129*(LEN(AK129)-LEN(SUBSTITUTE(AK129,",",""))+1))
)/(0.2*IF(OR(P129="No",Q129="No",Q129=0),0,1)
+IF(OR(U129="No",R129="No",S129="No"),0,LEN(U129)-LEN(SUBSTITUTE(U129,",",""))+1)
+IF(OR(W129="No",X129="No"),0,1)
+IF(OR(AC129="No",AD129="No"),0,1)
+IF(OR(AK129="No",AH129="No",AI129="No"),0,LEN(AK129)-LEN(SUBSTITUTE(AK129,",",""))+1))*62%)* 2)*(1 + (AO129 + _xlfn.XLOOKUP(B129,'Base stats'!B:B,'Base stats'!AS:AS) * 1.8) * 2) * 2.5 + 10 + H129 * 2,5)+IF(_xlfn.XLOOKUP(B129,'Base stats'!B:B,'Base stats'!AH:AH)=1,50,0)</f>
        <v>25</v>
      </c>
      <c r="BQ129" s="8">
        <f t="shared" si="12"/>
        <v>0.35000000000000003</v>
      </c>
      <c r="BR129" s="8" t="str">
        <f>_xlfn.XLOOKUP(B129,'Base stats'!B:B,'Base stats'!AD:AD)</f>
        <v>3~8</v>
      </c>
      <c r="BS129" s="2" t="str">
        <f>IF(AND(I129&lt;=0.95,OR(_xlfn.XLOOKUP(B129,'Base stats'!B:B,'Base stats'!AH:AH)=1,_xlfn.XLOOKUP(B129,'Base stats'!B:B,'Base stats'!Y:Y)="Carnivore",_xlfn.XLOOKUP(B129,'Base stats'!B:B,'Base stats'!Y:Y)="Omnivore",BC129&gt;0.1)),"true","false")</f>
        <v>false</v>
      </c>
      <c r="BT129" s="2" t="str">
        <f>IF(_xlfn.XLOOKUP(B129,'Base stats'!B:B,'Base stats'!AF:AF)=1,"true","false")</f>
        <v>false</v>
      </c>
      <c r="BU129" s="25" t="str">
        <f>IF(E129="BaseInsect","AnimalInsect",
IF(I129&gt;0.95,"AnimalExotic",
_xlfn.TEXTJOIN(", ",TRUE,
IF(AND(_xlfn.XLOOKUP(B129,'Base stats'!B:B,'Base stats'!O:O)=0,_xlfn.XLOOKUP(_xlfn.XLOOKUP(B129,'Base stats'!B:B,'Base stats'!E:E),Groups!A:A,Groups!B:B)&gt;0),"AnimalUncommon","AnimalCommon"),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stats'!AH:AH)=1,AND(BG129&lt;&gt;"None",BP129&gt;=60),ISNUMBER(SEARCH("Attack target",BN129))),"AnimalFighter","")
)))</f>
        <v>AnimalUncommon</v>
      </c>
      <c r="BV129" s="25" t="str">
        <f>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</f>
        <v>ColdBog TemperateSwamp</v>
      </c>
      <c r="BW129" s="25" t="str">
        <f>IF(_xlfn.XLOOKUP(B129,'Base stats'!B:B,'Base stats'!AG:AG)=1,"true","false")</f>
        <v>false</v>
      </c>
      <c r="BX129" s="25">
        <f>IF(_xlfn.XLOOKUP(B129,'Base stats'!B:B,'Base stats'!N:N)=1,"No",MIN(MROUND(IF(OR(_xlfn.XLOOKUP(B129,'Base stats'!B:B,'Base stats'!AJ:AJ)=1,AND(BH129="True",CA129="False")),POWER(10,3.47*LOG10(_xlfn.XLOOKUP(B129,'Base stats'!B:B,'Base stats'!C:C)*1000)^-0.96),POWER(10,4.15*LOG10(_xlfn.XLOOKUP(B129,'Base stats'!B:B,'Base stats'!C:C)*1000)^-0.73))*IF(OR(_xlfn.XLOOKUP(B129,'Base stats'!B:B,'Base stats'!AJ:AJ)=1,_xlfn.XLOOKUP(B129,'Base stats'!B:B,'Base stats'!AH:AH)=1),0.5,1)/100,0.025),1))</f>
        <v>0.45</v>
      </c>
      <c r="BY129" s="25" t="str">
        <f>IF(O129="Standard","No",IF(_xlfn.XLOOKUP(B129,'Base stats'!B:B,'Base stats'!N:N)=0,MROUND(BX129*O129,0.05),MIN(1,MAX(0.025,MROUND(IF(OR(CA129="true",AND(BH129="false",BM129="false")),POWER(10,4.15*LOG10(_xlfn.XLOOKUP(B129,'Base stats'!B:B,'Base stats'!C:C)*1000)^-0.73),POWER(10,3.47*LOG10(_xlfn.XLOOKUP(B129,'Base stats'!B:B,'Base stats'!C:C)*1000)^-0.96))*IF(_xlfn.XLOOKUP(B129,'Base stats'!B:B,'Base stats'!AH:AH)=1,0.5,1)/100,0.025)))))</f>
        <v>No</v>
      </c>
      <c r="BZ129" s="25" t="str">
        <f>IF(_xlfn.XLOOKUP(_xlfn.XLOOKUP(B129,'Base stats'!B:B,'Base stats'!E:E),Groups!A:A,Groups!AJ:AJ)="Mammal","True","False")</f>
        <v>False</v>
      </c>
      <c r="CA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B129" s="25" t="str">
        <f t="shared" si="13"/>
        <v>False</v>
      </c>
      <c r="CC129" s="25" t="str">
        <f>IF(_xlfn.XLOOKUP(_xlfn.XLOOKUP(B129,'Base stats'!B:B,'Base stats'!E:E),Groups!A:A,Groups!AW:AW),"True","False")</f>
        <v>False</v>
      </c>
      <c r="CD129" s="25" t="str">
        <f>IF(_xlfn.XLOOKUP(_xlfn.XLOOKUP(B129,'Base stats'!B:B,'Base stats'!E:E),Groups!A:A,Groups!AX:AX),"True","False")</f>
        <v>False</v>
      </c>
      <c r="CE129" s="25" t="str">
        <f>IF(_xlfn.XLOOKUP(B129,'Base stats'!B:B,'Base stats'!E:E)=1,"True","False")</f>
        <v>False</v>
      </c>
      <c r="CF129" s="25" t="str">
        <f>IF(
OR(
_xlfn.XLOOKUP(_xlfn.XLOOKUP(B129,'Base stats'!B:B,'Base stats'!E:E),Groups!A:A,Groups!AY:AY)=0,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stats'!E:E),Groups!A:A,Groups!AY:AY)=1,
"Flesh",
IF(
_xlfn.XLOOKUP(_xlfn.XLOOKUP(B129,'Base stats'!B:B,'Base stats'!E:E),Groups!A:A,Groups!AY:AY)=2,
"Bone",
""
)
)
)</f>
        <v>No</v>
      </c>
      <c r="CG129" s="25" t="str">
        <f>IF(_xlfn.XLOOKUP(_xlfn.XLOOKUP(B129,'Base stats'!B:B,'Base stats'!E:E),Groups!A:A,Groups!BA:BA),"True","False")</f>
        <v>True</v>
      </c>
      <c r="CH129" s="25" t="str">
        <f>IF(_xlfn.XLOOKUP(_xlfn.XLOOKUP(B129,'Base stats'!B:B,'Base stats'!E:E),Groups!A:A,Groups!AZ:AZ),"True","False")</f>
        <v>False</v>
      </c>
    </row>
    <row r="130" spans="1:86" ht="16.5" thickTop="1" thickBot="1" x14ac:dyDescent="0.3">
      <c r="A130" s="26" t="str">
        <f>_xlfn.XLOOKUP(B130,'Base stats'!B:B,'Base stats'!A:A)</f>
        <v>Beaver</v>
      </c>
      <c r="B130" s="6" t="s">
        <v>491</v>
      </c>
      <c r="C130" s="28" t="s">
        <v>823</v>
      </c>
      <c r="D130" s="28" t="s">
        <v>884</v>
      </c>
      <c r="E130" s="28" t="s">
        <v>685</v>
      </c>
      <c r="F130" s="28" t="s">
        <v>685</v>
      </c>
      <c r="G130" s="2">
        <f>MROUND((
  (IF(AND(_xlfn.XLOOKUP(B130,'Base stats'!B:B,'Base stats'!AI:AI)=0,BG130="None",_xlfn.XLOOKUP('Base stats'!E130,Groups!A:A,Groups!B:B)=0), (18 + BP130 * 2.7) * 0.5,
    IF(AND(_xlfn.XLOOKUP(B130,'Base stats'!B:B,'Base stats'!AI:AI)=0,OR(AN130&lt;0.55,AND(BG130="Intermediate",_xlfn.XLOOKUP('Base stats'!E130,Groups!A:A,Groups!B:B)&lt;2))), (18 + BP130 * 2.7),
      IF(OR(BG130="Advanced",_xlfn.XLOOKUP(B130,'Base stats'!B:B,'Base stats'!AI:AI)=1,_xlfn.XLOOKUP('Base stats'!E130,Groups!A:A,Groups!B:B)=2), (18 + BP130 * 2.7) + 250, (18 + BP130 * 2.7))
    )
  ))
  + AN130 * 80
  + IF(COUNTIF(EggMilk!K$2:K$998, A130) &gt; 0, 125, 0)
  + IF(COUNTIF(EggMilk!P$2:P$998, A130) &gt; 0, 90, 0)
  + IF(COUNTIF(EggMilk!A$2:A$998, A130) &gt; 0, 90, 0)
)
* (0.8 + 0.4 * I130)
* 0.75,25)</f>
        <v>100</v>
      </c>
      <c r="H130" s="2">
        <f>MROUND(ROUNDDOWN(_xlfn.XLOOKUP(B130,'Base stats'!B:B,'Base stats'!L:L)/3.6/(23.3/11),1),0.5)</f>
        <v>2</v>
      </c>
      <c r="I130" s="2">
        <f>IF(_xlfn.XLOOKUP(B130,'Base stats'!B:B,'Base stats'!AI:AI)=1,0.99,MIN(MROUND((1-0.6282*EXP(-0.459*AN130))*_xlfn.XLOOKUP(_xlfn.XLOOKUP(B130,'Base stats'!B:B,'Base stats'!E:E),Groups!A:A,Groups!C:C)*IF(_xlfn.XLOOKUP(B130,'Base stats'!B:B,'Base stats'!O:O)=1,0.5,IF(_xlfn.XLOOKUP(B130,'Base stats'!B:B,'Base stats'!O:O)=2,0,1)),0.05),0.985))</f>
        <v>0.65</v>
      </c>
      <c r="J130" s="2">
        <f>ROUNDUP(AN130*_xlfn.XLOOKUP(_xlfn.XLOOKUP(B130,'Base stats'!B:B,'Base stats'!E:E),Groups!A:A,Groups!E:E),0)</f>
        <v>1</v>
      </c>
      <c r="K130" s="2">
        <f>IF(OR(_xlfn.XLOOKUP(_xlfn.XLOOKUP(B130,'Base stats'!B:B,'Base stats'!E:E),Groups!A:A,Groups!F:F)=2,ISNUMBER(SEARCH("SeaIce",BV130)),ISNUMBER(SEARCH("IceSheet",BV130))),-50,IF(OR(ISNUMBER(SEARCH("GlacialPlain",BV130)),ISNUMBER(SEARCH("Tundra",BV130))),-40,IF(OR(ISNUMBER(SEARCH("Alpine",BV130)),ISNUMBER(SEARCH("BorealForest",BV130)),ISNUMBER(SEARCH("ColdBog",BV130))),-30,IF(OR(ISNUMBER(SEARCH("TemperateForest",BV130)),ISNUMBER(SEARCH("TemperateSwamp",BV130))),-20,IF(_xlfn.XLOOKUP(_xlfn.XLOOKUP(B130,'Base stats'!B:B,'Base stats'!E:E),Groups!A:A,Groups!F:F)=1,-15,IF(OR(ISNUMBER(SEARCH("Desert",BV130)),ISNUMBER(SEARCH("ExtremeDesert",BV130))),-10,IF(OR(ISNUMBER(SEARCH("Grasslands",BV130)),ISNUMBER(SEARCH("TropicalRainforest",BV130)),ISNUMBER(SEARCH("TropicalSwamp",BV130))),10,0)))))))-IF(CA130="False",MIN(IFERROR(MAX(MROUND(LOG10(_xlfn.XLOOKUP(B130,'Base stats'!B:B,'Base stats'!C:C)^(2/3))*10,5),5),5),30))-_xlfn.XLOOKUP(B130,'Base stats'!B:B,'Base stats'!P:P)+IF(CA130="True",5,0)</f>
        <v>-40</v>
      </c>
      <c r="L130" s="2">
        <f>IF(OR(_xlfn.XLOOKUP(_xlfn.XLOOKUP(B130,'Base stats'!B:B,'Base stats'!E:E),Groups!A:A,Groups!G:G)=2,ISNUMBER(SEARCH("Desert",BV130)),ISNUMBER(SEARCH("ExtremeDesert",BV130)),ISNUMBER(SEARCH("LavaField",BV130))),50,IF(ISNUMBER(SEARCH("Grasslands",BV130)),45,IF(OR(_xlfn.XLOOKUP(_xlfn.XLOOKUP(B130,'Base stats'!B:B,'Base stats'!E:E),Groups!A:A,Groups!G:G)=1,ISNUMBER(SEARCH("TropicalRainforest",BV130)),ISNUMBER(SEARCH("TropicalSwamp",BV130))),40,IF(OR(ISNUMBER(SEARCH("TemperateForest",BV130)),ISNUMBER(SEARCH("TemperateSwamp",BV130))),35,IF(OR(ISNUMBER(SEARCH("Alpine",BV130)),ISNUMBER(SEARCH("BorealForest",BV130)),ISNUMBER(SEARCH("ColdBog",BV130))),30,IF(ISNUMBER(OR(ISNUMBER(SEARCH("GlacialPlain",BV130)),SEARCH("Tundra",BV130))),25,IF(OR(ISNUMBER(SEARCH("SeaIce",BV130)),ISNUMBER(SEARCH("IceSheet",BV130)),ISNUMBER(SEARCH("TropicalSwamp",BV130))),10,35)))))))+_xlfn.XLOOKUP(B130,'Base stats'!B:B,'Base stats'!Q:Q)</f>
        <v>35</v>
      </c>
      <c r="M130" s="8" t="str">
        <f>IF(_xlfn.XLOOKUP(_xlfn.XLOOKUP(B130,'Base stats'!B:B,'Base stats'!E:E),Groups!A:A,Groups!L:L)=1,MIN(MROUND(_xlfn.XLOOKUP(B130,'Animals CE'!B:B,'Animals CE'!Z:Z)/2+0.05,0.05),200%),"No")</f>
        <v>No</v>
      </c>
      <c r="N130" s="8" t="str">
        <f>IF(_xlfn.XLOOKUP(_xlfn.XLOOKUP(B130,'Base stats'!B:B,'Base stats'!E:E),Groups!A:A,Groups!L:L)=1,MIN(MROUND(_xlfn.XLOOKUP(B130,'Animals CE'!B:B,'Animals CE'!AA:AA)/2+0.05,0.05),200%),"No")</f>
        <v>No</v>
      </c>
      <c r="O130" s="2" t="str">
        <f>_xlfn.XLOOKUP(B130,'Base stats'!B:B,'Base stats'!R:R)</f>
        <v>Standard</v>
      </c>
      <c r="P130" s="13">
        <f>MROUND((LOG10(_xlfn.XLOOKUP(B130,'Base stats'!B:B,'Base stats'!AO:AO))*(AN130^0.5)+(_xlfn.XLOOKUP(B130,'Base stats'!B:B,'Base stats'!AO:AO)/1000)^(2/3)+_xlfn.XLOOKUP(B130,'Base stats'!B:B,'Base stats'!AX:AX)/2)+0.5,0.5)</f>
        <v>5</v>
      </c>
      <c r="Q130" s="7">
        <f>IF(P130="No","No",MAX(1,MROUND(_xlfn.XLOOKUP(B130,'Base stats'!B:B,'Base stats'!C:C)^0.165,0.05)))</f>
        <v>1.7000000000000002</v>
      </c>
      <c r="R130" s="13" t="str">
        <f>IF(_xlfn.XLOOKUP(_xlfn.XLOOKUP(B130,'Base stats'!B:B,'Base stats'!E:E),Groups!A:A,Groups!P:P)=0,"No",MROUND((LOG10(_xlfn.XLOOKUP(B130,'Base stats'!B:B,'Base stats'!AP:AP))*(AN130^0.5)+(_xlfn.XLOOKUP(B130,'Base stats'!B:B,'Base stats'!AP:AP)/1000)^(2/3)+_xlfn.XLOOKUP(B130,'Base stats'!B:B,'Base stats'!AX:AX))+_xlfn.XLOOKUP(B130,'Base stats'!B:B,'Base stats'!AV:AV)+0.5,0.5))</f>
        <v>No</v>
      </c>
      <c r="S130" s="7" t="str">
        <f>IF(R130="No","No",MAX(_xlfn.XLOOKUP(_xlfn.XLOOKUP(B130,'Base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T130" s="7" t="str">
        <f>IF(R130="No","No",_xlfn.XLOOKUP(_xlfn.XLOOKUP(B130,'Base stats'!B:B,'Base stats'!E:E),Groups!A:A,Groups!R:R))</f>
        <v>No</v>
      </c>
      <c r="U130" s="7" t="str">
        <f>IF(R130="No","No",_xlfn.XLOOKUP(_xlfn.XLOOKUP(B130,'Base stats'!B:B,'Base stats'!E:E),Groups!A:A,Groups!S:S))</f>
        <v>No</v>
      </c>
      <c r="V130" s="7" t="str">
        <f>IF(R130="No","No",_xlfn.XLOOKUP(_xlfn.XLOOKUP(B130,'Base stats'!B:B,'Base stats'!E:E),Groups!A:A,Groups!T:T))</f>
        <v>No</v>
      </c>
      <c r="W130" s="13" t="str">
        <f>IF(_xlfn.XLOOKUP(B130,'Base stats'!B:B,'Base stats'!W:W)="No","No",MROUND((LOG10(_xlfn.XLOOKUP(B130,'Base stats'!B:B,'Base stats'!AR:AR))*(AN130^0.5)+(_xlfn.XLOOKUP(B130,'Base stats'!B:B,'Base stats'!AR:AR)/1000)^(2/3)+_xlfn.XLOOKUP(B130,'Base stats'!B:B,'Base stats'!AW:AW))+0.5+IF(_xlfn.XLOOKUP(_xlfn.XLOOKUP(B130,'Base stats'!B:B,'Base stats'!E:E),Groups!A:A,Groups!U:U)&lt;&gt;3,_xlfn.XLOOKUP(B130,'Base stats'!B:B,'Base stats'!AX:AX),0),0.5))</f>
        <v>No</v>
      </c>
      <c r="X130" s="7" t="str">
        <f>IF(W130="No","No",MAX(_xlfn.XLOOKUP(_xlfn.XLOOKUP(B130,'Base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Y130" s="7" t="str">
        <f>IF(W130="No","No",_xlfn.XLOOKUP(_xlfn.XLOOKUP(B130,'Base stats'!B:B,'Base stats'!E:E),Groups!A:A,Groups!W:W))</f>
        <v>No</v>
      </c>
      <c r="Z130" s="7" t="str">
        <f>IF(W130="No","No",_xlfn.XLOOKUP(_xlfn.XLOOKUP(B130,'Base stats'!B:B,'Base stats'!E:E),Groups!A:A,Groups!X:X))</f>
        <v>No</v>
      </c>
      <c r="AA130" s="7" t="str">
        <f>IF(W130="No","No",_xlfn.XLOOKUP(_xlfn.XLOOKUP(B130,'Base stats'!B:B,'Base stats'!E:E),Groups!A:A,Groups!Y:Y))</f>
        <v>No</v>
      </c>
      <c r="AB130" s="7" t="str">
        <f>_xlfn.XLOOKUP(Animals!B130,'Base stats'!B:B,'Base stats'!X:X)</f>
        <v>False</v>
      </c>
      <c r="AC130" s="13">
        <f>IF(_xlfn.XLOOKUP(B130,'Base stats'!B:B,'Base stats'!AQ:AQ)="No","No",MROUND((LOG10(_xlfn.XLOOKUP(B130,'Base stats'!B:B,'Base stats'!AQ:AQ))*(AN130^0.75)+(_xlfn.XLOOKUP(B130,'Base stats'!B:B,'Base stats'!AQ:AQ)/1000)^(2/3)+_xlfn.XLOOKUP(B130,'Base stats'!B:B,'Base stats'!AU:AU)+_xlfn.XLOOKUP(B130,'Base stats'!B:B,'Base stats'!AX:AX))+0.5,0.5))</f>
        <v>8</v>
      </c>
      <c r="AD130" s="7">
        <f>IF(AC130="No","No",MAX(_xlfn.XLOOKUP(_xlfn.XLOOKUP(B130,'Base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E130" s="7" t="str">
        <f>IF(AC130="No","No",_xlfn.XLOOKUP(_xlfn.XLOOKUP(B130,'Base stats'!B:B,'Base stats'!E:E),Groups!A:A,Groups!AA:AA))</f>
        <v>Teeth</v>
      </c>
      <c r="AF130" s="7" t="str">
        <f>IF(AC130="No","No",_xlfn.XLOOKUP(_xlfn.XLOOKUP(B130,'Base stats'!B:B,'Base stats'!E:E),Groups!A:A,Groups!AB:AB))</f>
        <v>Incisors</v>
      </c>
      <c r="AG130" s="7" t="str">
        <f>IF(AC130="No","No",_xlfn.XLOOKUP(_xlfn.XLOOKUP(B130,'Base stats'!B:B,'Base stats'!E:E),Groups!A:A,Groups!AC:AC))</f>
        <v>Bite</v>
      </c>
      <c r="AH130" s="13" t="str">
        <f>IF(_xlfn.XLOOKUP(_xlfn.XLOOKUP(B130,'Base stats'!B:B,'Base stats'!E:E),Groups!A:A,Groups!AD:AD)=0,"No",MROUND((LOG10(_xlfn.XLOOKUP(B130,'Base stats'!B:B,'Base stats'!AP:AP))*(AN130^0.75)+(_xlfn.XLOOKUP(B130,'Base stats'!B:B,'Base stats'!AP:AP)/1000)^(2/3)+_xlfn.XLOOKUP(B130,'Base stats'!B:B,'Base stats'!AV:AV)+_xlfn.XLOOKUP(B130,'Base stats'!B:B,'Base stats'!AX:AX))+0.5,0.5))</f>
        <v>No</v>
      </c>
      <c r="AI130" s="7" t="str">
        <f>IF(AH130="No","No",MAX(_xlfn.XLOOKUP(_xlfn.XLOOKUP(B130,'Base stats'!B:B,'Base stats'!E:E),Groups!A:A,Groups!AE:AE),MROUND(_xlfn.XLOOKUP(_xlfn.XLOOKUP(B130,'Base stats'!B:B,'Base stats'!E:E),Groups!A:A,Groups!AE:AE)*_xlfn.XLOOKUP(B130,'Base stats'!B:B,'Base stats'!C:C)^0.165,0.05)))</f>
        <v>No</v>
      </c>
      <c r="AJ130" s="7" t="str">
        <f>IF(AH130="No","No",_xlfn.XLOOKUP(_xlfn.XLOOKUP(B130,'Base stats'!B:B,'Base stats'!E:E),Groups!A:A,Groups!AF:AF))</f>
        <v>No</v>
      </c>
      <c r="AK130" s="7" t="str">
        <f>IF(AH130="No","No",_xlfn.XLOOKUP(_xlfn.XLOOKUP(B130,'Base stats'!B:B,'Base stats'!E:E),Groups!A:A,Groups!AG:AG))</f>
        <v>No</v>
      </c>
      <c r="AL130" s="7" t="str">
        <f>IF(AH130="No","No",_xlfn.XLOOKUP(_xlfn.XLOOKUP(B130,'Base stats'!B:B,'Base stats'!E:E),Groups!A:A,Groups!AH:AH))</f>
        <v>No</v>
      </c>
      <c r="AM130" s="2" t="str">
        <f t="shared" si="7"/>
        <v>No</v>
      </c>
      <c r="AN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O130" s="8">
        <f>MROUND(AN130*_xlfn.XLOOKUP(_xlfn.XLOOKUP(B130,'Base stats'!B:B,'Base stats'!E:E),Groups!A:A,Groups!AI:AI),0.05)</f>
        <v>0.65</v>
      </c>
      <c r="AP130" s="8">
        <f>MAX(0.01,MROUND(IF(CA130="True",0.196*(AN130*100*1000)^0.889,IF(_xlfn.XLOOKUP(_xlfn.XLOOKUP(B130,'Base stats'!B:B,'Base stats'!E:E),Groups!A:A,Groups!AJ:AJ)="Bird",10.5*(AN130*100*1000)^0.681,4.82*(AN130*100*1000)^0.734))/(4.82*(1*100*1000)^0.734)/IF(AN130&lt;3.5,2,IF(AN130=3.5,1.5,1.25))*(1+0.132282374779864/(AN130^0.994035016789033+0.00905238001496948)),0.05))</f>
        <v>0.45</v>
      </c>
      <c r="AQ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R130" s="35">
        <f>IFERROR(IF(_xlfn.XLOOKUP(B130,'Base stats'!B:B,'Base stats'!F:F)="Lay eggs","Lay eggs",MIN(20,MAX(5.5,ROUND(((_xlfn.XLOOKUP(B130,'Base stats'!B:B,'Base stats'!F:F)-25)*(14.5/615) + 5.5)*2,0)/2))),"Cannot breed")</f>
        <v>7.5</v>
      </c>
      <c r="AS130" s="8">
        <f>IF(OR(A130="Queen",A130="Larva",A130="Megachicken"),"No",IFERROR(MAX(IF(_xlfn.XLOOKUP(B130,'Base stats'!B:B,'Base stats'!G:G)&lt;0.5,0.2,0.3),MROUND(_xlfn.XLOOKUP(B130,'Base stats'!B:B,'Base stats'!G:G)/(365/60),0.2)),"Unknown"))</f>
        <v>0.3</v>
      </c>
      <c r="AT130" s="8">
        <f t="shared" si="8"/>
        <v>0.15000000000000002</v>
      </c>
      <c r="AU130" s="8">
        <f>IFERROR(IFERROR(MROUND(_xlfn.XLOOKUP(B130,'Base stats'!B:B,'Base stats'!J:J),0.1),"Lay eggs"),"Cannot breed")</f>
        <v>3</v>
      </c>
      <c r="AV130" s="2" t="str">
        <f t="shared" si="9"/>
        <v>true</v>
      </c>
      <c r="AW130" s="2" t="str">
        <f>IF(_xlfn.XLOOKUP(_xlfn.XLOOKUP(Animals!B130,'Base stats'!B:B,'Base stats'!E:E),Groups!A:A,Groups!AK:AK)=1,"true","false")</f>
        <v>false</v>
      </c>
      <c r="AX130" s="25" t="str">
        <f>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</f>
        <v>VegetarianRoughAnimal</v>
      </c>
      <c r="AY130" s="2" t="str">
        <f>IF(_xlfn.XLOOKUP(_xlfn.XLOOKUP(B130,'Base stats'!B:B,'Base stats'!E:E),Groups!A:A,Groups!D:D)=1,MROUND((1-I130)*5+1,2)*IF(I130&lt;=0.4,2,1),"No")</f>
        <v>No</v>
      </c>
      <c r="AZ130" s="2" t="str">
        <f>_xlfn.XLOOKUP(B130,'Base stats'!B:B,'Base stats'!AE:AE)</f>
        <v>Leather_Light</v>
      </c>
      <c r="BA130" s="23" t="str">
        <f>_xlfn.XLOOKUP(_xlfn.XLOOKUP(B130,'Base stats'!B:B,'Base stats'!E:E),Groups!A:A,Groups!AL:AL)</f>
        <v>QuadrupedAnimalWithPawsAndTail</v>
      </c>
      <c r="BB130" s="23">
        <f>MROUND(IF(AND(AN130&lt;0.5,_xlfn.XLOOKUP(B130,'Base stats'!B:B,'Base stats'!Z:Z)=0),0,IF(OR(_xlfn.XLOOKUP(Animals!B130,'Base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stats'!AA:AA),0.005)</f>
        <v>0</v>
      </c>
      <c r="BC130" s="23">
        <f>MROUND(IF(AND(AN130&lt;0.5,_xlfn.XLOOKUP(B130,'Base stats'!B:B,'Base stats'!Z:Z)=0),0,IF(_xlfn.XLOOKUP(_xlfn.XLOOKUP(B130,'Base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stats'!AB:AB),0.005)</f>
        <v>0</v>
      </c>
      <c r="BD130" s="2" t="str">
        <f>IF(I130&gt;0.3,"No",_xlfn.XLOOKUP(_xlfn.XLOOKUP(Animals!B130,'Base stats'!B:B,'Base stats'!E:E),Groups!A:A,Groups!AP:AP))</f>
        <v>No</v>
      </c>
      <c r="BE130" s="2">
        <f>IF(AND(I130&lt;=0.65,_xlfn.XLOOKUP(_xlfn.XLOOKUP(Animals!B130,'Base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stats'!O:O)=2,0.2,AN130) + 24*(1-IF(BD130="No",0,BD130)) + 16/3, 12),"No")</f>
        <v>48</v>
      </c>
      <c r="BF130" s="2">
        <f>IF(AND(_xlfn.XLOOKUP(_xlfn.XLOOKUP(B130,'Base stats'!B:B,'Base stats'!E:E),Groups!A:A,Groups!AQ:AQ)=1,AN130&lt;=0.35),8,12)</f>
        <v>12</v>
      </c>
      <c r="BG130" s="2" t="str">
        <f>IF(_xlfn.XLOOKUP(_xlfn.XLOOKUP(B130,'Base stats'!B:B,'Base stats'!E:E),Groups!A:A,Groups!D:D)=0,_xlfn.XLOOKUP(_xlfn.XLOOKUP(B130,'Base stats'!B:B,'Base stats'!E:E),Groups!A:A,Groups!AR:AR),"None")</f>
        <v>None</v>
      </c>
      <c r="BH130" s="2" t="str">
        <f>IF(AND(_xlfn.XLOOKUP(_xlfn.XLOOKUP(B130,'Base stats'!B:B,'Base stats'!E:E),Groups!A:A,Groups!AS:AS)=1,OR('Base stats'!Y130="Carnivore",'Base stats'!Y130="Omnivore")),"true","false")</f>
        <v>false</v>
      </c>
      <c r="BI130" s="2" t="str">
        <f>IF(BH130="true",MROUND(IF(AND(AN130&gt;0.5,_xlfn.XLOOKUP(_xlfn.XLOOKUP(B130,'Base stats'!B:B,'Base stats'!E:E),Groups!A:A,Groups!AJ:AJ)="Mammal"),Animals!AN130*1.75*IF(AV130="true",1.5,1),Animals!AN130),IF(AN130&gt;2,0.5,IF(AN130&gt;0.5,0.25,0.1))),"No")</f>
        <v>No</v>
      </c>
      <c r="BJ130" s="2">
        <f t="shared" si="10"/>
        <v>0</v>
      </c>
      <c r="BK130" s="25">
        <f>IF('Base stats'!AK130="Standard","No",MROUND((_xlfn.XLOOKUP(B130,'Base stats'!B:B,'Base stats'!AK:AK)/3.6)/H130,0.1))</f>
        <v>1.4000000000000001</v>
      </c>
      <c r="BL130" s="25" t="str">
        <f t="shared" si="11"/>
        <v>true</v>
      </c>
      <c r="BM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N130" s="25" t="str" cm="1">
        <f t="array" ref="BN130">IF(
  _xlfn.TEXTJOIN(", ",TRUE,
    IF(AND(BH130="true",AN130&gt;0.5,BG130&lt;&gt;"None"),"AttackTarget",""),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IF(BE130&lt;=36,"Comfort",""),
    IF(_xlfn.XLOOKUP(B130,'Base stats'!B:B,'Base stats'!AC:AC)&lt;&gt;"No",_xlfn.XLOOKUP(B130,'Base stats'!B:B,'Base stats'!AC:AC),"")
  ) = "",
  "No",
  _xlfn.TEXTJOIN(", ",TRUE,
    IF(AND(BH130="true",AN130&gt;0.5,BG130&lt;&gt;"None"),"AttackTarget",""),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IF(BE130&lt;=36,"Comfort",""),
    IF(_xlfn.XLOOKUP(B130,'Base stats'!B:B,'Base stats'!AC:AC)&lt;&gt;"No",_xlfn.XLOOKUP(B130,'Base stats'!B:B,'Base stats'!AC:AC),"")
  )
)</f>
        <v>No</v>
      </c>
      <c r="BO130" s="25">
        <f>IF(
   AND(
      'Base stats'!AK130="Standard",_xlfn.XLOOKUP(_xlfn.XLOOKUP(B130,'Base stats'!B:B,'Base stats'!E:E),Groups!A:A,Groups!AU:AU)=0,
      OR(
      BM130="True"
      )
   ),
   10,
   IF(
       OR(BK130&lt;&gt;"No",_xlfn.XLOOKUP(_xlfn.XLOOKUP(B130,'Base stats'!B:B,'Base stats'!E:E),Groups!A:A,Groups!AU:AU)=1),
      1,
      "No"
   )
)</f>
        <v>1</v>
      </c>
      <c r="BP130" s="9">
        <f>MROUND((1 + ((0.2*IF(OR(P130="No",Q130="No",Q130=0),0,P130/Q130)
+IF(OR(U130="No",R130="No",S130="No"),0,R130/S130*(LEN(U130)-LEN(SUBSTITUTE(U130,",",""))+1))
+IF(OR(W130="No",X130="No"),0,W130/X130)
+IF(OR(AC130="No",AD130="No"),0,AC130/AD130)
+IF(OR(AK130="No",AH130="No",AI130="No"),0,AH130/AI130*(LEN(AK130)-LEN(SUBSTITUTE(AK130,",",""))+1))
)/(0.2*IF(OR(P130="No",Q130="No",Q130=0),0,1)
+IF(OR(U130="No",R130="No",S130="No"),0,LEN(U130)-LEN(SUBSTITUTE(U130,",",""))+1)
+IF(OR(W130="No",X130="No"),0,1)
+IF(OR(AC130="No",AD130="No"),0,1)
+IF(OR(AK130="No",AH130="No",AI130="No"),0,LEN(AK130)-LEN(SUBSTITUTE(AK130,",",""))+1))*62%)* 2)*(1 + (AO130 + _xlfn.XLOOKUP(B130,'Base stats'!B:B,'Base stats'!AS:AS) * 1.8) * 2) * 2.5 + 10 + H130 * 2,5)+IF(_xlfn.XLOOKUP(B130,'Base stats'!B:B,'Base stats'!AH:AH)=1,50,0)</f>
        <v>55</v>
      </c>
      <c r="BQ130" s="8">
        <f t="shared" si="12"/>
        <v>0.5</v>
      </c>
      <c r="BR130" s="8" t="str">
        <f>_xlfn.XLOOKUP(B130,'Base stats'!B:B,'Base stats'!AD:AD)</f>
        <v>3~8</v>
      </c>
      <c r="BS130" s="2" t="str">
        <f>IF(AND(I130&lt;=0.95,OR(_xlfn.XLOOKUP(B130,'Base stats'!B:B,'Base stats'!AH:AH)=1,_xlfn.XLOOKUP(B130,'Base stats'!B:B,'Base stats'!Y:Y)="Carnivore",_xlfn.XLOOKUP(B130,'Base stats'!B:B,'Base stats'!Y:Y)="Omnivore",BC130&gt;0.1)),"true","false")</f>
        <v>false</v>
      </c>
      <c r="BT130" s="2" t="str">
        <f>IF(_xlfn.XLOOKUP(B130,'Base stats'!B:B,'Base stats'!AF:AF)=1,"true","false")</f>
        <v>false</v>
      </c>
      <c r="BU130" s="25" t="str">
        <f>IF(E130="BaseInsect","AnimalInsect",
IF(I130&gt;0.95,"AnimalExotic",
_xlfn.TEXTJOIN(", ",TRUE,
IF(AND(_xlfn.XLOOKUP(B130,'Base stats'!B:B,'Base stats'!O:O)=0,_xlfn.XLOOKUP(_xlfn.XLOOKUP(B130,'Base stats'!B:B,'Base stats'!E:E),Groups!A:A,Groups!B:B)&gt;0),"AnimalUncommon","AnimalCommon"),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stats'!AH:AH)=1,AND(BG130&lt;&gt;"None",BP130&gt;=60),ISNUMBER(SEARCH("Attack target",BN130))),"AnimalFighter","")
)))</f>
        <v>AnimalCommon</v>
      </c>
      <c r="BV130" s="25" t="str">
        <f>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</f>
        <v>ColdBog TemperateSwamp</v>
      </c>
      <c r="BW130" s="25" t="str">
        <f>IF(_xlfn.XLOOKUP(B130,'Base stats'!B:B,'Base stats'!AG:AG)=1,"true","false")</f>
        <v>false</v>
      </c>
      <c r="BX130" s="25">
        <f>IF(_xlfn.XLOOKUP(B130,'Base stats'!B:B,'Base stats'!N:N)=1,"No",MIN(MROUND(IF(OR(_xlfn.XLOOKUP(B130,'Base stats'!B:B,'Base stats'!AJ:AJ)=1,AND(BH130="True",CA130="False")),POWER(10,3.47*LOG10(_xlfn.XLOOKUP(B130,'Base stats'!B:B,'Base stats'!C:C)*1000)^-0.96),POWER(10,4.15*LOG10(_xlfn.XLOOKUP(B130,'Base stats'!B:B,'Base stats'!C:C)*1000)^-0.73))*IF(OR(_xlfn.XLOOKUP(B130,'Base stats'!B:B,'Base stats'!AJ:AJ)=1,_xlfn.XLOOKUP(B130,'Base stats'!B:B,'Base stats'!AH:AH)=1),0.5,1)/100,0.025),1))</f>
        <v>0.25</v>
      </c>
      <c r="BY130" s="25" t="str">
        <f>IF(O130="Standard","No",IF(_xlfn.XLOOKUP(B130,'Base stats'!B:B,'Base stats'!N:N)=0,MROUND(BX130*O130,0.05),MIN(1,MAX(0.025,MROUND(IF(OR(CA130="true",AND(BH130="false",BM130="false")),POWER(10,4.15*LOG10(_xlfn.XLOOKUP(B130,'Base stats'!B:B,'Base stats'!C:C)*1000)^-0.73),POWER(10,3.47*LOG10(_xlfn.XLOOKUP(B130,'Base stats'!B:B,'Base stats'!C:C)*1000)^-0.96))*IF(_xlfn.XLOOKUP(B130,'Base stats'!B:B,'Base stats'!AH:AH)=1,0.5,1)/100,0.025)))))</f>
        <v>No</v>
      </c>
      <c r="BZ130" s="25" t="str">
        <f>IF(_xlfn.XLOOKUP(_xlfn.XLOOKUP(B130,'Base stats'!B:B,'Base stats'!E:E),Groups!A:A,Groups!AJ:AJ)="Mammal","True","False")</f>
        <v>True</v>
      </c>
      <c r="CA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B130" s="25" t="str">
        <f t="shared" si="13"/>
        <v>False</v>
      </c>
      <c r="CC130" s="25" t="str">
        <f>IF(_xlfn.XLOOKUP(_xlfn.XLOOKUP(B130,'Base stats'!B:B,'Base stats'!E:E),Groups!A:A,Groups!AW:AW),"True","False")</f>
        <v>False</v>
      </c>
      <c r="CD130" s="25" t="str">
        <f>IF(_xlfn.XLOOKUP(_xlfn.XLOOKUP(B130,'Base stats'!B:B,'Base stats'!E:E),Groups!A:A,Groups!AX:AX),"True","False")</f>
        <v>False</v>
      </c>
      <c r="CE130" s="25" t="str">
        <f>IF(_xlfn.XLOOKUP(B130,'Base stats'!B:B,'Base stats'!E:E)=1,"True","False")</f>
        <v>False</v>
      </c>
      <c r="CF130" s="25" t="str">
        <f>IF(
OR(
_xlfn.XLOOKUP(_xlfn.XLOOKUP(B130,'Base stats'!B:B,'Base stats'!E:E),Groups!A:A,Groups!AY:AY)=0,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stats'!E:E),Groups!A:A,Groups!AY:AY)=1,
"Flesh",
IF(
_xlfn.XLOOKUP(_xlfn.XLOOKUP(B130,'Base stats'!B:B,'Base stats'!E:E),Groups!A:A,Groups!AY:AY)=2,
"Bone",
""
)
)
)</f>
        <v>No</v>
      </c>
      <c r="CG130" s="25" t="str">
        <f>IF(_xlfn.XLOOKUP(_xlfn.XLOOKUP(B130,'Base stats'!B:B,'Base stats'!E:E),Groups!A:A,Groups!BA:BA),"True","False")</f>
        <v>True</v>
      </c>
      <c r="CH130" s="25" t="str">
        <f>IF(_xlfn.XLOOKUP(_xlfn.XLOOKUP(B130,'Base stats'!B:B,'Base stats'!E:E),Groups!A:A,Groups!AZ:AZ),"True","False")</f>
        <v>False</v>
      </c>
    </row>
    <row r="131" spans="1:86" ht="16.5" thickTop="1" thickBot="1" x14ac:dyDescent="0.3">
      <c r="A131" s="26" t="str">
        <f>_xlfn.XLOOKUP(B131,'Base stats'!B:B,'Base stats'!A:A)</f>
        <v>Hedgehog</v>
      </c>
      <c r="B131" s="6" t="s">
        <v>492</v>
      </c>
      <c r="C131" s="28" t="s">
        <v>824</v>
      </c>
      <c r="D131" s="28" t="s">
        <v>884</v>
      </c>
      <c r="E131" s="28" t="s">
        <v>685</v>
      </c>
      <c r="F131" s="28" t="s">
        <v>685</v>
      </c>
      <c r="G131" s="2">
        <f>MROUND((
  (IF(AND(_xlfn.XLOOKUP(B131,'Base stats'!B:B,'Base stats'!AI:AI)=0,BG131="None",_xlfn.XLOOKUP('Base stats'!E131,Groups!A:A,Groups!B:B)=0), (18 + BP131 * 2.7) * 0.5,
    IF(AND(_xlfn.XLOOKUP(B131,'Base stats'!B:B,'Base stats'!AI:AI)=0,OR(AN131&lt;0.55,AND(BG131="Intermediate",_xlfn.XLOOKUP('Base stats'!E131,Groups!A:A,Groups!B:B)&lt;2))), (18 + BP131 * 2.7),
      IF(OR(BG131="Advanced",_xlfn.XLOOKUP(B131,'Base stats'!B:B,'Base stats'!AI:AI)=1,_xlfn.XLOOKUP('Base stats'!E131,Groups!A:A,Groups!B:B)=2), (18 + BP131 * 2.7) + 250, (18 + BP131 * 2.7))
    )
  ))
  + AN131 * 80
  + IF(COUNTIF(EggMilk!K$2:K$998, A131) &gt; 0, 125, 0)
  + IF(COUNTIF(EggMilk!P$2:P$998, A131) &gt; 0, 90, 0)
  + IF(COUNTIF(EggMilk!A$2:A$998, A131) &gt; 0, 90, 0)
)
* (0.8 + 0.4 * I131)
* 0.75,25)</f>
        <v>50</v>
      </c>
      <c r="H131" s="2">
        <f>MROUND(ROUNDDOWN(_xlfn.XLOOKUP(B131,'Base stats'!B:B,'Base stats'!L:L)/3.6/(23.3/11),1),0.5)</f>
        <v>1.5</v>
      </c>
      <c r="I131" s="2">
        <f>IF(_xlfn.XLOOKUP(B131,'Base stats'!B:B,'Base stats'!AI:AI)=1,0.99,MIN(MROUND((1-0.6282*EXP(-0.459*AN131))*_xlfn.XLOOKUP(_xlfn.XLOOKUP(B131,'Base stats'!B:B,'Base stats'!E:E),Groups!A:A,Groups!C:C)*IF(_xlfn.XLOOKUP(B131,'Base stats'!B:B,'Base stats'!O:O)=1,0.5,IF(_xlfn.XLOOKUP(B131,'Base stats'!B:B,'Base stats'!O:O)=2,0,1)),0.05),0.985))</f>
        <v>0.5</v>
      </c>
      <c r="J131" s="2">
        <f>ROUNDUP(AN131*_xlfn.XLOOKUP(_xlfn.XLOOKUP(B131,'Base stats'!B:B,'Base stats'!E:E),Groups!A:A,Groups!E:E),0)</f>
        <v>1</v>
      </c>
      <c r="K131" s="2">
        <f>IF(OR(_xlfn.XLOOKUP(_xlfn.XLOOKUP(B131,'Base stats'!B:B,'Base stats'!E:E),Groups!A:A,Groups!F:F)=2,ISNUMBER(SEARCH("SeaIce",BV131)),ISNUMBER(SEARCH("IceSheet",BV131))),-50,IF(OR(ISNUMBER(SEARCH("GlacialPlain",BV131)),ISNUMBER(SEARCH("Tundra",BV131))),-40,IF(OR(ISNUMBER(SEARCH("Alpine",BV131)),ISNUMBER(SEARCH("BorealForest",BV131)),ISNUMBER(SEARCH("ColdBog",BV131))),-30,IF(OR(ISNUMBER(SEARCH("TemperateForest",BV131)),ISNUMBER(SEARCH("TemperateSwamp",BV131))),-20,IF(_xlfn.XLOOKUP(_xlfn.XLOOKUP(B131,'Base stats'!B:B,'Base stats'!E:E),Groups!A:A,Groups!F:F)=1,-15,IF(OR(ISNUMBER(SEARCH("Desert",BV131)),ISNUMBER(SEARCH("ExtremeDesert",BV131))),-10,IF(OR(ISNUMBER(SEARCH("Grasslands",BV131)),ISNUMBER(SEARCH("TropicalRainforest",BV131)),ISNUMBER(SEARCH("TropicalSwamp",BV131))),10,0)))))))-IF(CA131="False",MIN(IFERROR(MAX(MROUND(LOG10(_xlfn.XLOOKUP(B131,'Base stats'!B:B,'Base stats'!C:C)^(2/3))*10,5),5),5),30))-_xlfn.XLOOKUP(B131,'Base stats'!B:B,'Base stats'!P:P)+IF(CA131="True",5,0)</f>
        <v>-25</v>
      </c>
      <c r="L131" s="2">
        <f>IF(OR(_xlfn.XLOOKUP(_xlfn.XLOOKUP(B131,'Base stats'!B:B,'Base stats'!E:E),Groups!A:A,Groups!G:G)=2,ISNUMBER(SEARCH("Desert",BV131)),ISNUMBER(SEARCH("ExtremeDesert",BV131)),ISNUMBER(SEARCH("LavaField",BV131))),50,IF(ISNUMBER(SEARCH("Grasslands",BV131)),45,IF(OR(_xlfn.XLOOKUP(_xlfn.XLOOKUP(B131,'Base stats'!B:B,'Base stats'!E:E),Groups!A:A,Groups!G:G)=1,ISNUMBER(SEARCH("TropicalRainforest",BV131)),ISNUMBER(SEARCH("TropicalSwamp",BV131))),40,IF(OR(ISNUMBER(SEARCH("TemperateForest",BV131)),ISNUMBER(SEARCH("TemperateSwamp",BV131))),35,IF(OR(ISNUMBER(SEARCH("Alpine",BV131)),ISNUMBER(SEARCH("BorealForest",BV131)),ISNUMBER(SEARCH("ColdBog",BV131))),30,IF(ISNUMBER(OR(ISNUMBER(SEARCH("GlacialPlain",BV131)),SEARCH("Tundra",BV131))),25,IF(OR(ISNUMBER(SEARCH("SeaIce",BV131)),ISNUMBER(SEARCH("IceSheet",BV131)),ISNUMBER(SEARCH("TropicalSwamp",BV131))),10,35)))))))+_xlfn.XLOOKUP(B131,'Base stats'!B:B,'Base stats'!Q:Q)</f>
        <v>35</v>
      </c>
      <c r="M131" s="8" t="str">
        <f>IF(_xlfn.XLOOKUP(_xlfn.XLOOKUP(B131,'Base stats'!B:B,'Base stats'!E:E),Groups!A:A,Groups!L:L)=1,MIN(MROUND(_xlfn.XLOOKUP(B131,'Animals CE'!B:B,'Animals CE'!Z:Z)/2+0.05,0.05),200%),"No")</f>
        <v>No</v>
      </c>
      <c r="N131" s="8" t="str">
        <f>IF(_xlfn.XLOOKUP(_xlfn.XLOOKUP(B131,'Base stats'!B:B,'Base stats'!E:E),Groups!A:A,Groups!L:L)=1,MIN(MROUND(_xlfn.XLOOKUP(B131,'Animals CE'!B:B,'Animals CE'!AA:AA)/2+0.05,0.05),200%),"No")</f>
        <v>No</v>
      </c>
      <c r="O131" s="2" t="str">
        <f>_xlfn.XLOOKUP(B131,'Base stats'!B:B,'Base stats'!R:R)</f>
        <v>Standard</v>
      </c>
      <c r="P131" s="13">
        <f>MROUND((LOG10(_xlfn.XLOOKUP(B131,'Base stats'!B:B,'Base stats'!AO:AO))*(AN131^0.5)+(_xlfn.XLOOKUP(B131,'Base stats'!B:B,'Base stats'!AO:AO)/1000)^(2/3)+_xlfn.XLOOKUP(B131,'Base stats'!B:B,'Base stats'!AX:AX)/2)+0.5,0.5)</f>
        <v>1.5</v>
      </c>
      <c r="Q131" s="7">
        <f>IF(P131="No","No",MAX(1,MROUND(_xlfn.XLOOKUP(B131,'Base stats'!B:B,'Base stats'!C:C)^0.165,0.05)))</f>
        <v>1.05</v>
      </c>
      <c r="R131" s="13" t="str">
        <f>IF(_xlfn.XLOOKUP(_xlfn.XLOOKUP(B131,'Base stats'!B:B,'Base stats'!E:E),Groups!A:A,Groups!P:P)=0,"No",MROUND((LOG10(_xlfn.XLOOKUP(B131,'Base stats'!B:B,'Base stats'!AP:AP))*(AN131^0.5)+(_xlfn.XLOOKUP(B131,'Base stats'!B:B,'Base stats'!AP:AP)/1000)^(2/3)+_xlfn.XLOOKUP(B131,'Base stats'!B:B,'Base stats'!AX:AX))+_xlfn.XLOOKUP(B131,'Base stats'!B:B,'Base stats'!AV:AV)+0.5,0.5))</f>
        <v>No</v>
      </c>
      <c r="S131" s="7" t="str">
        <f>IF(R131="No","No",MAX(_xlfn.XLOOKUP(_xlfn.XLOOKUP(B131,'Base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T131" s="7" t="str">
        <f>IF(R131="No","No",_xlfn.XLOOKUP(_xlfn.XLOOKUP(B131,'Base stats'!B:B,'Base stats'!E:E),Groups!A:A,Groups!R:R))</f>
        <v>No</v>
      </c>
      <c r="U131" s="7" t="str">
        <f>IF(R131="No","No",_xlfn.XLOOKUP(_xlfn.XLOOKUP(B131,'Base stats'!B:B,'Base stats'!E:E),Groups!A:A,Groups!S:S))</f>
        <v>No</v>
      </c>
      <c r="V131" s="7" t="str">
        <f>IF(R131="No","No",_xlfn.XLOOKUP(_xlfn.XLOOKUP(B131,'Base stats'!B:B,'Base stats'!E:E),Groups!A:A,Groups!T:T))</f>
        <v>No</v>
      </c>
      <c r="W131" s="13" t="str">
        <f>IF(_xlfn.XLOOKUP(B131,'Base stats'!B:B,'Base stats'!W:W)="No","No",MROUND((LOG10(_xlfn.XLOOKUP(B131,'Base stats'!B:B,'Base stats'!AR:AR))*(AN131^0.5)+(_xlfn.XLOOKUP(B131,'Base stats'!B:B,'Base stats'!AR:AR)/1000)^(2/3)+_xlfn.XLOOKUP(B131,'Base stats'!B:B,'Base stats'!AW:AW))+0.5+IF(_xlfn.XLOOKUP(_xlfn.XLOOKUP(B131,'Base stats'!B:B,'Base stats'!E:E),Groups!A:A,Groups!U:U)&lt;&gt;3,_xlfn.XLOOKUP(B131,'Base stats'!B:B,'Base stats'!AX:AX),0),0.5))</f>
        <v>No</v>
      </c>
      <c r="X131" s="7" t="str">
        <f>IF(W131="No","No",MAX(_xlfn.XLOOKUP(_xlfn.XLOOKUP(B131,'Base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Y131" s="7" t="str">
        <f>IF(W131="No","No",_xlfn.XLOOKUP(_xlfn.XLOOKUP(B131,'Base stats'!B:B,'Base stats'!E:E),Groups!A:A,Groups!W:W))</f>
        <v>No</v>
      </c>
      <c r="Z131" s="7" t="str">
        <f>IF(W131="No","No",_xlfn.XLOOKUP(_xlfn.XLOOKUP(B131,'Base stats'!B:B,'Base stats'!E:E),Groups!A:A,Groups!X:X))</f>
        <v>No</v>
      </c>
      <c r="AA131" s="7" t="str">
        <f>IF(W131="No","No",_xlfn.XLOOKUP(_xlfn.XLOOKUP(B131,'Base stats'!B:B,'Base stats'!E:E),Groups!A:A,Groups!Y:Y))</f>
        <v>No</v>
      </c>
      <c r="AB131" s="7" t="str">
        <f>_xlfn.XLOOKUP(Animals!B131,'Base stats'!B:B,'Base stats'!X:X)</f>
        <v>False</v>
      </c>
      <c r="AC131" s="13">
        <f>IF(_xlfn.XLOOKUP(B131,'Base stats'!B:B,'Base stats'!AQ:AQ)="No","No",MROUND((LOG10(_xlfn.XLOOKUP(B131,'Base stats'!B:B,'Base stats'!AQ:AQ))*(AN131^0.75)+(_xlfn.XLOOKUP(B131,'Base stats'!B:B,'Base stats'!AQ:AQ)/1000)^(2/3)+_xlfn.XLOOKUP(B131,'Base stats'!B:B,'Base stats'!AU:AU)+_xlfn.XLOOKUP(B131,'Base stats'!B:B,'Base stats'!AX:AX))+0.5,0.5))</f>
        <v>1.5</v>
      </c>
      <c r="AD131" s="7">
        <f>IF(AC131="No","No",MAX(_xlfn.XLOOKUP(_xlfn.XLOOKUP(B131,'Base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E131" s="7" t="str">
        <f>IF(AC131="No","No",_xlfn.XLOOKUP(_xlfn.XLOOKUP(B131,'Base stats'!B:B,'Base stats'!E:E),Groups!A:A,Groups!AA:AA))</f>
        <v>Teeth</v>
      </c>
      <c r="AF131" s="7" t="str">
        <f>IF(AC131="No","No",_xlfn.XLOOKUP(_xlfn.XLOOKUP(B131,'Base stats'!B:B,'Base stats'!E:E),Groups!A:A,Groups!AB:AB))</f>
        <v>teeth</v>
      </c>
      <c r="AG131" s="7" t="str">
        <f>IF(AC131="No","No",_xlfn.XLOOKUP(_xlfn.XLOOKUP(B131,'Base stats'!B:B,'Base stats'!E:E),Groups!A:A,Groups!AC:AC))</f>
        <v>Bite</v>
      </c>
      <c r="AH131" s="13" t="str">
        <f>IF(_xlfn.XLOOKUP(_xlfn.XLOOKUP(B131,'Base stats'!B:B,'Base stats'!E:E),Groups!A:A,Groups!AD:AD)=0,"No",MROUND((LOG10(_xlfn.XLOOKUP(B131,'Base stats'!B:B,'Base stats'!AP:AP))*(AN131^0.75)+(_xlfn.XLOOKUP(B131,'Base stats'!B:B,'Base stats'!AP:AP)/1000)^(2/3)+_xlfn.XLOOKUP(B131,'Base stats'!B:B,'Base stats'!AV:AV)+_xlfn.XLOOKUP(B131,'Base stats'!B:B,'Base stats'!AX:AX))+0.5,0.5))</f>
        <v>No</v>
      </c>
      <c r="AI131" s="7" t="str">
        <f>IF(AH131="No","No",MAX(_xlfn.XLOOKUP(_xlfn.XLOOKUP(B131,'Base stats'!B:B,'Base stats'!E:E),Groups!A:A,Groups!AE:AE),MROUND(_xlfn.XLOOKUP(_xlfn.XLOOKUP(B131,'Base stats'!B:B,'Base stats'!E:E),Groups!A:A,Groups!AE:AE)*_xlfn.XLOOKUP(B131,'Base stats'!B:B,'Base stats'!C:C)^0.165,0.05)))</f>
        <v>No</v>
      </c>
      <c r="AJ131" s="7" t="str">
        <f>IF(AH131="No","No",_xlfn.XLOOKUP(_xlfn.XLOOKUP(B131,'Base stats'!B:B,'Base stats'!E:E),Groups!A:A,Groups!AF:AF))</f>
        <v>No</v>
      </c>
      <c r="AK131" s="7" t="str">
        <f>IF(AH131="No","No",_xlfn.XLOOKUP(_xlfn.XLOOKUP(B131,'Base stats'!B:B,'Base stats'!E:E),Groups!A:A,Groups!AG:AG))</f>
        <v>No</v>
      </c>
      <c r="AL131" s="7" t="str">
        <f>IF(AH131="No","No",_xlfn.XLOOKUP(_xlfn.XLOOKUP(B131,'Base stats'!B:B,'Base stats'!E:E),Groups!A:A,Groups!AH:AH))</f>
        <v>No</v>
      </c>
      <c r="AM131" s="2" t="str">
        <f t="shared" ref="AM131:AM162" si="14">IF(BH131="false","No",MROUND(AN131*5+15*1,5))</f>
        <v>No</v>
      </c>
      <c r="AN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O131" s="8">
        <f>MROUND(AN131*_xlfn.XLOOKUP(_xlfn.XLOOKUP(B131,'Base stats'!B:B,'Base stats'!E:E),Groups!A:A,Groups!AI:AI),0.05)</f>
        <v>0.15000000000000002</v>
      </c>
      <c r="AP131" s="8">
        <f>MAX(0.01,MROUND(IF(CA131="True",0.196*(AN131*100*1000)^0.889,IF(_xlfn.XLOOKUP(_xlfn.XLOOKUP(B131,'Base stats'!B:B,'Base stats'!E:E),Groups!A:A,Groups!AJ:AJ)="Bird",10.5*(AN131*100*1000)^0.681,4.82*(AN131*100*1000)^0.734))/(4.82*(1*100*1000)^0.734)/IF(AN131&lt;3.5,2,IF(AN131=3.5,1.5,1.25))*(1+0.132282374779864/(AN131^0.994035016789033+0.00905238001496948)),0.05))</f>
        <v>0.25</v>
      </c>
      <c r="AQ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R131" s="35">
        <f>IFERROR(IF(_xlfn.XLOOKUP(B131,'Base stats'!B:B,'Base stats'!F:F)="Lay eggs","Lay eggs",MIN(20,MAX(5.5,ROUND(((_xlfn.XLOOKUP(B131,'Base stats'!B:B,'Base stats'!F:F)-25)*(14.5/615) + 5.5)*2,0)/2))),"Cannot breed")</f>
        <v>5.5</v>
      </c>
      <c r="AS131" s="8">
        <f>IF(OR(A131="Queen",A131="Larva",A131="Megachicken"),"No",IFERROR(MAX(IF(_xlfn.XLOOKUP(B131,'Base stats'!B:B,'Base stats'!G:G)&lt;0.5,0.2,0.3),MROUND(_xlfn.XLOOKUP(B131,'Base stats'!B:B,'Base stats'!G:G)/(365/60),0.2)),"Unknown"))</f>
        <v>0.3</v>
      </c>
      <c r="AT131" s="8">
        <f t="shared" ref="AT131:AT166" si="15">IF(OR(A131="Queen",A131="Larva",A131="Megachicken"),"No",IFERROR(MROUND(AS131/2,0.05),"Unknown"))</f>
        <v>0.15000000000000002</v>
      </c>
      <c r="AU131" s="8">
        <f>IFERROR(IFERROR(MROUND(_xlfn.XLOOKUP(B131,'Base stats'!B:B,'Base stats'!J:J),0.1),"Lay eggs"),"Cannot breed")</f>
        <v>1.5</v>
      </c>
      <c r="AV131" s="2" t="str">
        <f t="shared" ref="AV131:AV162" si="16">IF(BR131="No","false","true")</f>
        <v>false</v>
      </c>
      <c r="AW131" s="2" t="str">
        <f>IF(_xlfn.XLOOKUP(_xlfn.XLOOKUP(Animals!B131,'Base stats'!B:B,'Base stats'!E:E),Groups!A:A,Groups!AK:AK)=1,"true","false")</f>
        <v>false</v>
      </c>
      <c r="AX131" s="25" t="str">
        <f>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</f>
        <v>CarnivoreAnimal, OvivoreAnimal</v>
      </c>
      <c r="AY131" s="2" t="str">
        <f>IF(_xlfn.XLOOKUP(_xlfn.XLOOKUP(B131,'Base stats'!B:B,'Base stats'!E:E),Groups!A:A,Groups!D:D)=1,MROUND((1-I131)*5+1,2)*IF(I131&lt;=0.4,2,1),"No")</f>
        <v>No</v>
      </c>
      <c r="AZ131" s="2" t="str">
        <f>_xlfn.XLOOKUP(B131,'Base stats'!B:B,'Base stats'!AE:AE)</f>
        <v>Leather_Light</v>
      </c>
      <c r="BA131" s="23" t="str">
        <f>_xlfn.XLOOKUP(_xlfn.XLOOKUP(B131,'Base stats'!B:B,'Base stats'!E:E),Groups!A:A,Groups!AL:AL)</f>
        <v>QuadrupedAnimalWithPaws</v>
      </c>
      <c r="BB131" s="23">
        <f>MROUND(IF(AND(AN131&lt;0.5,_xlfn.XLOOKUP(B131,'Base stats'!B:B,'Base stats'!Z:Z)=0),0,IF(OR(_xlfn.XLOOKUP(Animals!B131,'Base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stats'!AA:AA),0.005)</f>
        <v>0</v>
      </c>
      <c r="BC131" s="23">
        <f>MROUND(IF(AND(AN131&lt;0.5,_xlfn.XLOOKUP(B131,'Base stats'!B:B,'Base stats'!Z:Z)=0),0,IF(_xlfn.XLOOKUP(_xlfn.XLOOKUP(B131,'Base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stats'!AB:AB),0.005)</f>
        <v>0</v>
      </c>
      <c r="BD131" s="2" t="str">
        <f>IF(I131&gt;0.3,"No",_xlfn.XLOOKUP(_xlfn.XLOOKUP(Animals!B131,'Base stats'!B:B,'Base stats'!E:E),Groups!A:A,Groups!AP:AP))</f>
        <v>No</v>
      </c>
      <c r="BE131" s="2" t="str">
        <f>IF(AND(I131&lt;=0.65,_xlfn.XLOOKUP(_xlfn.XLOOKUP(Animals!B131,'Base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stats'!O:O)=2,0.2,AN131) + 24*(1-IF(BD131="No",0,BD131)) + 16/3, 12),"No")</f>
        <v>No</v>
      </c>
      <c r="BF131" s="2">
        <f>IF(AND(_xlfn.XLOOKUP(_xlfn.XLOOKUP(B131,'Base stats'!B:B,'Base stats'!E:E),Groups!A:A,Groups!AQ:AQ)=1,AN131&lt;=0.35),8,12)</f>
        <v>12</v>
      </c>
      <c r="BG131" s="2" t="str">
        <f>IF(_xlfn.XLOOKUP(_xlfn.XLOOKUP(B131,'Base stats'!B:B,'Base stats'!E:E),Groups!A:A,Groups!D:D)=0,_xlfn.XLOOKUP(_xlfn.XLOOKUP(B131,'Base stats'!B:B,'Base stats'!E:E),Groups!A:A,Groups!AR:AR),"None")</f>
        <v>None</v>
      </c>
      <c r="BH131" s="2" t="str">
        <f>IF(AND(_xlfn.XLOOKUP(_xlfn.XLOOKUP(B131,'Base stats'!B:B,'Base stats'!E:E),Groups!A:A,Groups!AS:AS)=1,OR('Base stats'!Y131="Carnivore",'Base stats'!Y131="Omnivore")),"true","false")</f>
        <v>false</v>
      </c>
      <c r="BI131" s="2" t="str">
        <f>IF(BH131="true",MROUND(IF(AND(AN131&gt;0.5,_xlfn.XLOOKUP(_xlfn.XLOOKUP(B131,'Base stats'!B:B,'Base stats'!E:E),Groups!A:A,Groups!AJ:AJ)="Mammal"),Animals!AN131*1.75*IF(AV131="true",1.5,1),Animals!AN131),IF(AN131&gt;2,0.5,IF(AN131&gt;0.5,0.25,0.1))),"No")</f>
        <v>No</v>
      </c>
      <c r="BJ131" s="2">
        <f t="shared" ref="BJ131:BJ162" si="17">IF(BG131&lt;&gt;"None",1,0)</f>
        <v>0</v>
      </c>
      <c r="BK131" s="25" t="str">
        <f>IF('Base stats'!AK131="Standard","No",MROUND((_xlfn.XLOOKUP(B131,'Base stats'!B:B,'Base stats'!AK:AK)/3.6)/H131,0.1))</f>
        <v>No</v>
      </c>
      <c r="BL131" s="25" t="str">
        <f t="shared" ref="BL131:BL162" si="18">IF(OR(BK131&lt;&gt;"No",BO131=1),"true","false")</f>
        <v>false</v>
      </c>
      <c r="BM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N131" s="25" t="str" cm="1">
        <f t="array" ref="BN131">IF(
  _xlfn.TEXTJOIN(", ",TRUE,
    IF(AND(BH131="true",AN131&gt;0.5,BG131&lt;&gt;"None"),"AttackTarget",""),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IF(BE131&lt;=36,"Comfort",""),
    IF(_xlfn.XLOOKUP(B131,'Base stats'!B:B,'Base stats'!AC:AC)&lt;&gt;"No",_xlfn.XLOOKUP(B131,'Base stats'!B:B,'Base stats'!AC:AC),"")
  ) = "",
  "No",
  _xlfn.TEXTJOIN(", ",TRUE,
    IF(AND(BH131="true",AN131&gt;0.5,BG131&lt;&gt;"None"),"AttackTarget",""),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IF(BE131&lt;=36,"Comfort",""),
    IF(_xlfn.XLOOKUP(B131,'Base stats'!B:B,'Base stats'!AC:AC)&lt;&gt;"No",_xlfn.XLOOKUP(B131,'Base stats'!B:B,'Base stats'!AC:AC),"")
  )
)</f>
        <v>No</v>
      </c>
      <c r="BO131" s="25" t="str">
        <f>IF(
   AND(
      'Base stats'!AK131="Standard",_xlfn.XLOOKUP(_xlfn.XLOOKUP(B131,'Base stats'!B:B,'Base stats'!E:E),Groups!A:A,Groups!AU:AU)=0,
      OR(
      BM131="True"
      )
   ),
   10,
   IF(
       OR(BK131&lt;&gt;"No",_xlfn.XLOOKUP(_xlfn.XLOOKUP(B131,'Base stats'!B:B,'Base stats'!E:E),Groups!A:A,Groups!AU:AU)=1),
      1,
      "No"
   )
)</f>
        <v>No</v>
      </c>
      <c r="BP131" s="9">
        <f>MROUND((1 + ((0.2*IF(OR(P131="No",Q131="No",Q131=0),0,P131/Q131)
+IF(OR(U131="No",R131="No",S131="No"),0,R131/S131*(LEN(U131)-LEN(SUBSTITUTE(U131,",",""))+1))
+IF(OR(W131="No",X131="No"),0,W131/X131)
+IF(OR(AC131="No",AD131="No"),0,AC131/AD131)
+IF(OR(AK131="No",AH131="No",AI131="No"),0,AH131/AI131*(LEN(AK131)-LEN(SUBSTITUTE(AK131,",",""))+1))
)/(0.2*IF(OR(P131="No",Q131="No",Q131=0),0,1)
+IF(OR(U131="No",R131="No",S131="No"),0,LEN(U131)-LEN(SUBSTITUTE(U131,",",""))+1)
+IF(OR(W131="No",X131="No"),0,1)
+IF(OR(AC131="No",AD131="No"),0,1)
+IF(OR(AK131="No",AH131="No",AI131="No"),0,LEN(AK131)-LEN(SUBSTITUTE(AK131,",",""))+1))*62%)* 2)*(1 + (AO131 + _xlfn.XLOOKUP(B131,'Base stats'!B:B,'Base stats'!AS:AS) * 1.8) * 2) * 2.5 + 10 + H131 * 2,5)+IF(_xlfn.XLOOKUP(B131,'Base stats'!B:B,'Base stats'!AH:AH)=1,50,0)</f>
        <v>25</v>
      </c>
      <c r="BQ131" s="8">
        <f t="shared" ref="BQ131:BQ162" si="19">MROUND(AN131 * 0.2 + AP131 * 0.8,0.05)</f>
        <v>0.25</v>
      </c>
      <c r="BR131" s="8" t="str">
        <f>_xlfn.XLOOKUP(B131,'Base stats'!B:B,'Base stats'!AD:AD)</f>
        <v>No</v>
      </c>
      <c r="BS131" s="2" t="str">
        <f>IF(AND(I131&lt;=0.95,OR(_xlfn.XLOOKUP(B131,'Base stats'!B:B,'Base stats'!AH:AH)=1,_xlfn.XLOOKUP(B131,'Base stats'!B:B,'Base stats'!Y:Y)="Carnivore",_xlfn.XLOOKUP(B131,'Base stats'!B:B,'Base stats'!Y:Y)="Omnivore",BC131&gt;0.1)),"true","false")</f>
        <v>true</v>
      </c>
      <c r="BT131" s="2" t="str">
        <f>IF(_xlfn.XLOOKUP(B131,'Base stats'!B:B,'Base stats'!AF:AF)=1,"true","false")</f>
        <v>false</v>
      </c>
      <c r="BU131" s="25" t="str">
        <f>IF(E131="BaseInsect","AnimalInsect",
IF(I131&gt;0.95,"AnimalExotic",
_xlfn.TEXTJOIN(", ",TRUE,
IF(AND(_xlfn.XLOOKUP(B131,'Base stats'!B:B,'Base stats'!O:O)=0,_xlfn.XLOOKUP(_xlfn.XLOOKUP(B131,'Base stats'!B:B,'Base stats'!E:E),Groups!A:A,Groups!B:B)&gt;0),"AnimalUncommon","AnimalCommon"),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stats'!AH:AH)=1,AND(BG131&lt;&gt;"None",BP131&gt;=60),ISNUMBER(SEARCH("Attack target",BN131))),"AnimalFighter","")
)))</f>
        <v>AnimalCommon</v>
      </c>
      <c r="BV131" s="25" t="str">
        <f>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</f>
        <v>TemperateForest TemperateSwamp</v>
      </c>
      <c r="BW131" s="25" t="str">
        <f>IF(_xlfn.XLOOKUP(B131,'Base stats'!B:B,'Base stats'!AG:AG)=1,"true","false")</f>
        <v>false</v>
      </c>
      <c r="BX131" s="25">
        <f>IF(_xlfn.XLOOKUP(B131,'Base stats'!B:B,'Base stats'!N:N)=1,"No",MIN(MROUND(IF(OR(_xlfn.XLOOKUP(B131,'Base stats'!B:B,'Base stats'!AJ:AJ)=1,AND(BH131="True",CA131="False")),POWER(10,3.47*LOG10(_xlfn.XLOOKUP(B131,'Base stats'!B:B,'Base stats'!C:C)*1000)^-0.96),POWER(10,4.15*LOG10(_xlfn.XLOOKUP(B131,'Base stats'!B:B,'Base stats'!C:C)*1000)^-0.73))*IF(OR(_xlfn.XLOOKUP(B131,'Base stats'!B:B,'Base stats'!AJ:AJ)=1,_xlfn.XLOOKUP(B131,'Base stats'!B:B,'Base stats'!AH:AH)=1),0.5,1)/100,0.025),1))</f>
        <v>0.67500000000000004</v>
      </c>
      <c r="BY131" s="25" t="str">
        <f>IF(O131="Standard","No",IF(_xlfn.XLOOKUP(B131,'Base stats'!B:B,'Base stats'!N:N)=0,MROUND(BX131*O131,0.05),MIN(1,MAX(0.025,MROUND(IF(OR(CA131="true",AND(BH131="false",BM131="false")),POWER(10,4.15*LOG10(_xlfn.XLOOKUP(B131,'Base stats'!B:B,'Base stats'!C:C)*1000)^-0.73),POWER(10,3.47*LOG10(_xlfn.XLOOKUP(B131,'Base stats'!B:B,'Base stats'!C:C)*1000)^-0.96))*IF(_xlfn.XLOOKUP(B131,'Base stats'!B:B,'Base stats'!AH:AH)=1,0.5,1)/100,0.025)))))</f>
        <v>No</v>
      </c>
      <c r="BZ131" s="25" t="str">
        <f>IF(_xlfn.XLOOKUP(_xlfn.XLOOKUP(B131,'Base stats'!B:B,'Base stats'!E:E),Groups!A:A,Groups!AJ:AJ)="Mammal","True","False")</f>
        <v>True</v>
      </c>
      <c r="CA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B131" s="25" t="str">
        <f t="shared" ref="CB131:CB162" si="20">IF(I131&gt;0.95,"True","False")</f>
        <v>False</v>
      </c>
      <c r="CC131" s="25" t="str">
        <f>IF(_xlfn.XLOOKUP(_xlfn.XLOOKUP(B131,'Base stats'!B:B,'Base stats'!E:E),Groups!A:A,Groups!AW:AW),"True","False")</f>
        <v>False</v>
      </c>
      <c r="CD131" s="25" t="str">
        <f>IF(_xlfn.XLOOKUP(_xlfn.XLOOKUP(B131,'Base stats'!B:B,'Base stats'!E:E),Groups!A:A,Groups!AX:AX),"True","False")</f>
        <v>False</v>
      </c>
      <c r="CE131" s="25" t="str">
        <f>IF(_xlfn.XLOOKUP(B131,'Base stats'!B:B,'Base stats'!E:E)=1,"True","False")</f>
        <v>False</v>
      </c>
      <c r="CF131" s="25" t="str">
        <f>IF(
OR(
_xlfn.XLOOKUP(_xlfn.XLOOKUP(B131,'Base stats'!B:B,'Base stats'!E:E),Groups!A:A,Groups!AY:AY)=0,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stats'!E:E),Groups!A:A,Groups!AY:AY)=1,
"Flesh",
IF(
_xlfn.XLOOKUP(_xlfn.XLOOKUP(B131,'Base stats'!B:B,'Base stats'!E:E),Groups!A:A,Groups!AY:AY)=2,
"Bone",
""
)
)
)</f>
        <v>No</v>
      </c>
      <c r="CG131" s="25" t="str">
        <f>IF(_xlfn.XLOOKUP(_xlfn.XLOOKUP(B131,'Base stats'!B:B,'Base stats'!E:E),Groups!A:A,Groups!BA:BA),"True","False")</f>
        <v>True</v>
      </c>
      <c r="CH131" s="25" t="str">
        <f>IF(_xlfn.XLOOKUP(_xlfn.XLOOKUP(B131,'Base stats'!B:B,'Base stats'!E:E),Groups!A:A,Groups!AZ:AZ),"True","False")</f>
        <v>False</v>
      </c>
    </row>
    <row r="132" spans="1:86" s="16" customFormat="1" ht="16.5" thickTop="1" thickBot="1" x14ac:dyDescent="0.3">
      <c r="A132" s="26" t="str">
        <f>_xlfn.XLOOKUP(B132,'Base stats'!B:B,'Base stats'!A:A)</f>
        <v>Jaguar</v>
      </c>
      <c r="B132" s="6" t="s">
        <v>79</v>
      </c>
      <c r="C132" s="28" t="s">
        <v>825</v>
      </c>
      <c r="D132" s="28" t="s">
        <v>884</v>
      </c>
      <c r="E132" s="28" t="s">
        <v>701</v>
      </c>
      <c r="F132" s="28" t="s">
        <v>702</v>
      </c>
      <c r="G132" s="2">
        <f>MROUND((
  (IF(AND(_xlfn.XLOOKUP(B132,'Base stats'!B:B,'Base stats'!AI:AI)=0,BG132="None",_xlfn.XLOOKUP('Base stats'!E132,Groups!A:A,Groups!B:B)=0), (18 + BP132 * 2.7) * 0.5,
    IF(AND(_xlfn.XLOOKUP(B132,'Base stats'!B:B,'Base stats'!AI:AI)=0,OR(AN132&lt;0.55,AND(BG132="Intermediate",_xlfn.XLOOKUP('Base stats'!E132,Groups!A:A,Groups!B:B)&lt;2))), (18 + BP132 * 2.7),
      IF(OR(BG132="Advanced",_xlfn.XLOOKUP(B132,'Base stats'!B:B,'Base stats'!AI:AI)=1,_xlfn.XLOOKUP('Base stats'!E132,Groups!A:A,Groups!B:B)=2), (18 + BP132 * 2.7) + 250, (18 + BP132 * 2.7))
    )
  ))
  + AN132 * 80
  + IF(COUNTIF(EggMilk!K$2:K$998, A132) &gt; 0, 125, 0)
  + IF(COUNTIF(EggMilk!P$2:P$998, A132) &gt; 0, 90, 0)
  + IF(COUNTIF(EggMilk!A$2:A$998, A132) &gt; 0, 90, 0)
)
* (0.8 + 0.4 * I132)
* 0.75,25)</f>
        <v>625</v>
      </c>
      <c r="H132" s="2">
        <f>MROUND(ROUNDDOWN(_xlfn.XLOOKUP(B132,'Base stats'!B:B,'Base stats'!L:L)/3.6/(23.3/11),1),0.5)</f>
        <v>7.5</v>
      </c>
      <c r="I132" s="2">
        <f>IF(_xlfn.XLOOKUP(B132,'Base stats'!B:B,'Base stats'!AI:AI)=1,0.99,MIN(MROUND((1-0.6282*EXP(-0.459*AN132))*_xlfn.XLOOKUP(_xlfn.XLOOKUP(B132,'Base stats'!B:B,'Base stats'!E:E),Groups!A:A,Groups!C:C)*IF(_xlfn.XLOOKUP(B132,'Base stats'!B:B,'Base stats'!O:O)=1,0.5,IF(_xlfn.XLOOKUP(B132,'Base stats'!B:B,'Base stats'!O:O)=2,0,1)),0.05),0.985))</f>
        <v>0.8</v>
      </c>
      <c r="J132" s="2">
        <f>ROUNDUP(AN132*_xlfn.XLOOKUP(_xlfn.XLOOKUP(B132,'Base stats'!B:B,'Base stats'!E:E),Groups!A:A,Groups!E:E),0)</f>
        <v>2</v>
      </c>
      <c r="K132" s="2">
        <f>IF(OR(_xlfn.XLOOKUP(_xlfn.XLOOKUP(B132,'Base stats'!B:B,'Base stats'!E:E),Groups!A:A,Groups!F:F)=2,ISNUMBER(SEARCH("SeaIce",BV132)),ISNUMBER(SEARCH("IceSheet",BV132))),-50,IF(OR(ISNUMBER(SEARCH("GlacialPlain",BV132)),ISNUMBER(SEARCH("Tundra",BV132))),-40,IF(OR(ISNUMBER(SEARCH("Alpine",BV132)),ISNUMBER(SEARCH("BorealForest",BV132)),ISNUMBER(SEARCH("ColdBog",BV132))),-30,IF(OR(ISNUMBER(SEARCH("TemperateForest",BV132)),ISNUMBER(SEARCH("TemperateSwamp",BV132))),-20,IF(_xlfn.XLOOKUP(_xlfn.XLOOKUP(B132,'Base stats'!B:B,'Base stats'!E:E),Groups!A:A,Groups!F:F)=1,-15,IF(OR(ISNUMBER(SEARCH("Desert",BV132)),ISNUMBER(SEARCH("ExtremeDesert",BV132))),-10,IF(OR(ISNUMBER(SEARCH("Grasslands",BV132)),ISNUMBER(SEARCH("TropicalRainforest",BV132)),ISNUMBER(SEARCH("TropicalSwamp",BV132))),10,0)))))))-IF(CA132="False",MIN(IFERROR(MAX(MROUND(LOG10(_xlfn.XLOOKUP(B132,'Base stats'!B:B,'Base stats'!C:C)^(2/3))*10,5),5),5),30))-_xlfn.XLOOKUP(B132,'Base stats'!B:B,'Base stats'!P:P)+IF(CA132="True",5,0)</f>
        <v>-30</v>
      </c>
      <c r="L132" s="2">
        <f>IF(OR(_xlfn.XLOOKUP(_xlfn.XLOOKUP(B132,'Base stats'!B:B,'Base stats'!E:E),Groups!A:A,Groups!G:G)=2,ISNUMBER(SEARCH("Desert",BV132)),ISNUMBER(SEARCH("ExtremeDesert",BV132)),ISNUMBER(SEARCH("LavaField",BV132))),50,IF(ISNUMBER(SEARCH("Grasslands",BV132)),45,IF(OR(_xlfn.XLOOKUP(_xlfn.XLOOKUP(B132,'Base stats'!B:B,'Base stats'!E:E),Groups!A:A,Groups!G:G)=1,ISNUMBER(SEARCH("TropicalRainforest",BV132)),ISNUMBER(SEARCH("TropicalSwamp",BV132))),40,IF(OR(ISNUMBER(SEARCH("TemperateForest",BV132)),ISNUMBER(SEARCH("TemperateSwamp",BV132))),35,IF(OR(ISNUMBER(SEARCH("Alpine",BV132)),ISNUMBER(SEARCH("BorealForest",BV132)),ISNUMBER(SEARCH("ColdBog",BV132))),30,IF(ISNUMBER(OR(ISNUMBER(SEARCH("GlacialPlain",BV132)),SEARCH("Tundra",BV132))),25,IF(OR(ISNUMBER(SEARCH("SeaIce",BV132)),ISNUMBER(SEARCH("IceSheet",BV132)),ISNUMBER(SEARCH("TropicalSwamp",BV132))),10,35)))))))+_xlfn.XLOOKUP(B132,'Base stats'!B:B,'Base stats'!Q:Q)</f>
        <v>40</v>
      </c>
      <c r="M132" s="8" t="str">
        <f>IF(_xlfn.XLOOKUP(_xlfn.XLOOKUP(B132,'Base stats'!B:B,'Base stats'!E:E),Groups!A:A,Groups!L:L)=1,MIN(MROUND(_xlfn.XLOOKUP(B132,'Animals CE'!B:B,'Animals CE'!Z:Z)/2+0.05,0.05),200%),"No")</f>
        <v>No</v>
      </c>
      <c r="N132" s="8" t="str">
        <f>IF(_xlfn.XLOOKUP(_xlfn.XLOOKUP(B132,'Base stats'!B:B,'Base stats'!E:E),Groups!A:A,Groups!L:L)=1,MIN(MROUND(_xlfn.XLOOKUP(B132,'Animals CE'!B:B,'Animals CE'!AA:AA)/2+0.05,0.05),200%),"No")</f>
        <v>No</v>
      </c>
      <c r="O132" s="2" t="str">
        <f>_xlfn.XLOOKUP(B132,'Base stats'!B:B,'Base stats'!R:R)</f>
        <v>Standard</v>
      </c>
      <c r="P132" s="13">
        <f>MROUND((LOG10(_xlfn.XLOOKUP(B132,'Base stats'!B:B,'Base stats'!AO:AO))*(AN132^0.5)+(_xlfn.XLOOKUP(B132,'Base stats'!B:B,'Base stats'!AO:AO)/1000)^(2/3)+_xlfn.XLOOKUP(B132,'Base stats'!B:B,'Base stats'!AX:AX)/2)+0.5,0.5)</f>
        <v>8</v>
      </c>
      <c r="Q132" s="7">
        <f>IF(P132="No","No",MAX(1,MROUND(_xlfn.XLOOKUP(B132,'Base stats'!B:B,'Base stats'!C:C)^0.165,0.05)))</f>
        <v>2.1</v>
      </c>
      <c r="R132" s="13" t="str">
        <f>IF(_xlfn.XLOOKUP(_xlfn.XLOOKUP(B132,'Base stats'!B:B,'Base stats'!E:E),Groups!A:A,Groups!P:P)=0,"No",MROUND((LOG10(_xlfn.XLOOKUP(B132,'Base stats'!B:B,'Base stats'!AP:AP))*(AN132^0.5)+(_xlfn.XLOOKUP(B132,'Base stats'!B:B,'Base stats'!AP:AP)/1000)^(2/3)+_xlfn.XLOOKUP(B132,'Base stats'!B:B,'Base stats'!AX:AX))+_xlfn.XLOOKUP(B132,'Base stats'!B:B,'Base stats'!AV:AV)+0.5,0.5))</f>
        <v>No</v>
      </c>
      <c r="S132" s="7" t="str">
        <f>IF(R132="No","No",MAX(_xlfn.XLOOKUP(_xlfn.XLOOKUP(B132,'Base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T132" s="7" t="str">
        <f>IF(R132="No","No",_xlfn.XLOOKUP(_xlfn.XLOOKUP(B132,'Base stats'!B:B,'Base stats'!E:E),Groups!A:A,Groups!R:R))</f>
        <v>No</v>
      </c>
      <c r="U132" s="7" t="str">
        <f>IF(R132="No","No",_xlfn.XLOOKUP(_xlfn.XLOOKUP(B132,'Base stats'!B:B,'Base stats'!E:E),Groups!A:A,Groups!S:S))</f>
        <v>No</v>
      </c>
      <c r="V132" s="7" t="str">
        <f>IF(R132="No","No",_xlfn.XLOOKUP(_xlfn.XLOOKUP(B132,'Base stats'!B:B,'Base stats'!E:E),Groups!A:A,Groups!T:T))</f>
        <v>No</v>
      </c>
      <c r="W132" s="13" t="str">
        <f>IF(_xlfn.XLOOKUP(B132,'Base stats'!B:B,'Base stats'!W:W)="No","No",MROUND((LOG10(_xlfn.XLOOKUP(B132,'Base stats'!B:B,'Base stats'!AR:AR))*(AN132^0.5)+(_xlfn.XLOOKUP(B132,'Base stats'!B:B,'Base stats'!AR:AR)/1000)^(2/3)+_xlfn.XLOOKUP(B132,'Base stats'!B:B,'Base stats'!AW:AW))+0.5+IF(_xlfn.XLOOKUP(_xlfn.XLOOKUP(B132,'Base stats'!B:B,'Base stats'!E:E),Groups!A:A,Groups!U:U)&lt;&gt;3,_xlfn.XLOOKUP(B132,'Base stats'!B:B,'Base stats'!AX:AX),0),0.5))</f>
        <v>No</v>
      </c>
      <c r="X132" s="7" t="str">
        <f>IF(W132="No","No",MAX(_xlfn.XLOOKUP(_xlfn.XLOOKUP(B132,'Base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Y132" s="7" t="str">
        <f>IF(W132="No","No",_xlfn.XLOOKUP(_xlfn.XLOOKUP(B132,'Base stats'!B:B,'Base stats'!E:E),Groups!A:A,Groups!W:W))</f>
        <v>No</v>
      </c>
      <c r="Z132" s="7" t="str">
        <f>IF(W132="No","No",_xlfn.XLOOKUP(_xlfn.XLOOKUP(B132,'Base stats'!B:B,'Base stats'!E:E),Groups!A:A,Groups!X:X))</f>
        <v>No</v>
      </c>
      <c r="AA132" s="7" t="str">
        <f>IF(W132="No","No",_xlfn.XLOOKUP(_xlfn.XLOOKUP(B132,'Base stats'!B:B,'Base stats'!E:E),Groups!A:A,Groups!Y:Y))</f>
        <v>No</v>
      </c>
      <c r="AB132" s="7" t="str">
        <f>_xlfn.XLOOKUP(Animals!B132,'Base stats'!B:B,'Base stats'!X:X)</f>
        <v>False</v>
      </c>
      <c r="AC132" s="13">
        <f>IF(_xlfn.XLOOKUP(B132,'Base stats'!B:B,'Base stats'!AQ:AQ)="No","No",MROUND((LOG10(_xlfn.XLOOKUP(B132,'Base stats'!B:B,'Base stats'!AQ:AQ))*(AN132^0.75)+(_xlfn.XLOOKUP(B132,'Base stats'!B:B,'Base stats'!AQ:AQ)/1000)^(2/3)+_xlfn.XLOOKUP(B132,'Base stats'!B:B,'Base stats'!AU:AU)+_xlfn.XLOOKUP(B132,'Base stats'!B:B,'Base stats'!AX:AX))+0.5,0.5))</f>
        <v>16</v>
      </c>
      <c r="AD132" s="7">
        <f>IF(AC132="No","No",MAX(_xlfn.XLOOKUP(_xlfn.XLOOKUP(B132,'Base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E132" s="7" t="str">
        <f>IF(AC132="No","No",_xlfn.XLOOKUP(_xlfn.XLOOKUP(B132,'Base stats'!B:B,'Base stats'!E:E),Groups!A:A,Groups!AA:AA))</f>
        <v>Teeth</v>
      </c>
      <c r="AF132" s="7" t="str">
        <f>IF(AC132="No","No",_xlfn.XLOOKUP(_xlfn.XLOOKUP(B132,'Base stats'!B:B,'Base stats'!E:E),Groups!A:A,Groups!AB:AB))</f>
        <v>canines</v>
      </c>
      <c r="AG132" s="7" t="str">
        <f>IF(AC132="No","No",_xlfn.XLOOKUP(_xlfn.XLOOKUP(B132,'Base stats'!B:B,'Base stats'!E:E),Groups!A:A,Groups!AC:AC))</f>
        <v>Bite</v>
      </c>
      <c r="AH132" s="13">
        <f>IF(_xlfn.XLOOKUP(_xlfn.XLOOKUP(B132,'Base stats'!B:B,'Base stats'!E:E),Groups!A:A,Groups!AD:AD)=0,"No",MROUND((LOG10(_xlfn.XLOOKUP(B132,'Base stats'!B:B,'Base stats'!AP:AP))*(AN132^0.75)+(_xlfn.XLOOKUP(B132,'Base stats'!B:B,'Base stats'!AP:AP)/1000)^(2/3)+_xlfn.XLOOKUP(B132,'Base stats'!B:B,'Base stats'!AV:AV)+_xlfn.XLOOKUP(B132,'Base stats'!B:B,'Base stats'!AX:AX))+0.5,0.5))</f>
        <v>12.5</v>
      </c>
      <c r="AI132" s="7">
        <f>IF(AH132="No","No",MAX(_xlfn.XLOOKUP(_xlfn.XLOOKUP(B132,'Base stats'!B:B,'Base stats'!E:E),Groups!A:A,Groups!AE:AE),MROUND(_xlfn.XLOOKUP(_xlfn.XLOOKUP(B132,'Base stats'!B:B,'Base stats'!E:E),Groups!A:A,Groups!AE:AE)*_xlfn.XLOOKUP(B132,'Base stats'!B:B,'Base stats'!C:C)^0.165,0.05)))</f>
        <v>1.35</v>
      </c>
      <c r="AJ132" s="7" t="str">
        <f>IF(AH132="No","No",_xlfn.XLOOKUP(_xlfn.XLOOKUP(B132,'Base stats'!B:B,'Base stats'!E:E),Groups!A:A,Groups!AF:AF))</f>
        <v>FrontRightPaw, FrontRightPaw</v>
      </c>
      <c r="AK132" s="7" t="str">
        <f>IF(AH132="No","No",_xlfn.XLOOKUP(_xlfn.XLOOKUP(B132,'Base stats'!B:B,'Base stats'!E:E),Groups!A:A,Groups!AG:AG))</f>
        <v>left claw, right claw</v>
      </c>
      <c r="AL132" s="7" t="str">
        <f>IF(AH132="No","No",_xlfn.XLOOKUP(_xlfn.XLOOKUP(B132,'Base stats'!B:B,'Base stats'!E:E),Groups!A:A,Groups!AH:AH))</f>
        <v>Scratch</v>
      </c>
      <c r="AM132" s="2">
        <f t="shared" si="14"/>
        <v>20</v>
      </c>
      <c r="AN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O132" s="8">
        <f>MROUND(AN132*_xlfn.XLOOKUP(_xlfn.XLOOKUP(B132,'Base stats'!B:B,'Base stats'!E:E),Groups!A:A,Groups!AI:AI),0.05)</f>
        <v>1.4000000000000001</v>
      </c>
      <c r="AP132" s="8">
        <f>MAX(0.01,MROUND(IF(CA132="True",0.196*(AN132*100*1000)^0.889,IF(_xlfn.XLOOKUP(_xlfn.XLOOKUP(B132,'Base stats'!B:B,'Base stats'!E:E),Groups!A:A,Groups!AJ:AJ)="Bird",10.5*(AN132*100*1000)^0.681,4.82*(AN132*100*1000)^0.734))/(4.82*(1*100*1000)^0.734)/IF(AN132&lt;3.5,2,IF(AN132=3.5,1.5,1.25))*(1+0.132282374779864/(AN132^0.994035016789033+0.00905238001496948)),0.05))</f>
        <v>0.60000000000000009</v>
      </c>
      <c r="AQ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R132" s="35">
        <f>IFERROR(IF(_xlfn.XLOOKUP(B132,'Base stats'!B:B,'Base stats'!F:F)="Lay eggs","Lay eggs",MIN(20,MAX(5.5,ROUND(((_xlfn.XLOOKUP(B132,'Base stats'!B:B,'Base stats'!F:F)-25)*(14.5/615) + 5.5)*2,0)/2))),"Cannot breed")</f>
        <v>7</v>
      </c>
      <c r="AS132" s="8">
        <f>IF(OR(A132="Queen",A132="Larva",A132="Megachicken"),"No",IFERROR(MAX(IF(_xlfn.XLOOKUP(B132,'Base stats'!B:B,'Base stats'!G:G)&lt;0.5,0.2,0.3),MROUND(_xlfn.XLOOKUP(B132,'Base stats'!B:B,'Base stats'!G:G)/(365/60),0.2)),"Unknown"))</f>
        <v>0.4</v>
      </c>
      <c r="AT132" s="8">
        <f t="shared" si="15"/>
        <v>0.2</v>
      </c>
      <c r="AU132" s="8">
        <f>IFERROR(IFERROR(MROUND(_xlfn.XLOOKUP(B132,'Base stats'!B:B,'Base stats'!J:J),0.1),"Lay eggs"),"Cannot breed")</f>
        <v>2</v>
      </c>
      <c r="AV132" s="2" t="str">
        <f t="shared" si="16"/>
        <v>false</v>
      </c>
      <c r="AW132" s="2" t="str">
        <f>IF(_xlfn.XLOOKUP(_xlfn.XLOOKUP(Animals!B132,'Base stats'!B:B,'Base stats'!E:E),Groups!A:A,Groups!AK:AK)=1,"true","false")</f>
        <v>false</v>
      </c>
      <c r="AX132" s="25" t="str">
        <f>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</f>
        <v>CarnivoreAnimal, OvivoreAnimal</v>
      </c>
      <c r="AY132" s="2" t="str">
        <f>IF(_xlfn.XLOOKUP(_xlfn.XLOOKUP(B132,'Base stats'!B:B,'Base stats'!E:E),Groups!A:A,Groups!D:D)=1,MROUND((1-I132)*5+1,2)*IF(I132&lt;=0.4,2,1),"No")</f>
        <v>No</v>
      </c>
      <c r="AZ132" s="2" t="str">
        <f>_xlfn.XLOOKUP(B132,'Base stats'!B:B,'Base stats'!AE:AE)</f>
        <v>Leather_Panthera</v>
      </c>
      <c r="BA132" s="23" t="str">
        <f>_xlfn.XLOOKUP(_xlfn.XLOOKUP(B132,'Base stats'!B:B,'Base stats'!E:E),Groups!A:A,Groups!AL:AL)</f>
        <v>QuadrupedAnimalWithPawsAndTail</v>
      </c>
      <c r="BB132" s="23">
        <f>MROUND(IF(AND(AN132&lt;0.5,_xlfn.XLOOKUP(B132,'Base stats'!B:B,'Base stats'!Z:Z)=0),0,IF(OR(_xlfn.XLOOKUP(Animals!B132,'Base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stats'!AA:AA),0.005)</f>
        <v>0.1</v>
      </c>
      <c r="BC132" s="23">
        <f>MROUND(IF(AND(AN132&lt;0.5,_xlfn.XLOOKUP(B132,'Base stats'!B:B,'Base stats'!Z:Z)=0),0,IF(_xlfn.XLOOKUP(_xlfn.XLOOKUP(B132,'Base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stats'!AB:AB),0.005)</f>
        <v>0.3</v>
      </c>
      <c r="BD132" s="2" t="str">
        <f>IF(I132&gt;0.3,"No",_xlfn.XLOOKUP(_xlfn.XLOOKUP(Animals!B132,'Base stats'!B:B,'Base stats'!E:E),Groups!A:A,Groups!AP:AP))</f>
        <v>No</v>
      </c>
      <c r="BE132" s="2" t="str">
        <f>IF(AND(I132&lt;=0.65,_xlfn.XLOOKUP(_xlfn.XLOOKUP(Animals!B132,'Base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stats'!O:O)=2,0.2,AN132) + 24*(1-IF(BD132="No",0,BD132)) + 16/3, 12),"No")</f>
        <v>No</v>
      </c>
      <c r="BF132" s="2">
        <f>IF(AND(_xlfn.XLOOKUP(_xlfn.XLOOKUP(B132,'Base stats'!B:B,'Base stats'!E:E),Groups!A:A,Groups!AQ:AQ)=1,AN132&lt;=0.35),8,12)</f>
        <v>12</v>
      </c>
      <c r="BG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H132" s="2" t="str">
        <f>IF(AND(_xlfn.XLOOKUP(_xlfn.XLOOKUP(B132,'Base stats'!B:B,'Base stats'!E:E),Groups!A:A,Groups!AS:AS)=1,OR('Base stats'!Y132="Carnivore",'Base stats'!Y132="Omnivore")),"true","false")</f>
        <v>true</v>
      </c>
      <c r="BI132" s="2">
        <f>IF(BH132="true",MROUND(IF(AND(AN132&gt;0.5,_xlfn.XLOOKUP(_xlfn.XLOOKUP(B132,'Base stats'!B:B,'Base stats'!E:E),Groups!A:A,Groups!AJ:AJ)="Mammal"),Animals!AN132*1.75*IF(AV132="true",1.5,1),Animals!AN132),IF(AN132&gt;2,0.5,IF(AN132&gt;0.5,0.25,0.1))),"No")</f>
        <v>2</v>
      </c>
      <c r="BJ132" s="2">
        <f t="shared" si="17"/>
        <v>1</v>
      </c>
      <c r="BK132" s="25" t="str">
        <f>IF('Base stats'!AK132="Standard","No",MROUND((_xlfn.XLOOKUP(B132,'Base stats'!B:B,'Base stats'!AK:AK)/3.6)/H132,0.1))</f>
        <v>No</v>
      </c>
      <c r="BL132" s="25" t="str">
        <f t="shared" si="18"/>
        <v>false</v>
      </c>
      <c r="BM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N132" s="25" t="str" cm="1">
        <f t="array" ref="BN132">IF(
  _xlfn.TEXTJOIN(", ",TRUE,
    IF(AND(BH132="true",AN132&gt;0.5,BG132&lt;&gt;"None"),"AttackTarget",""),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IF(BE132&lt;=36,"Comfort",""),
    IF(_xlfn.XLOOKUP(B132,'Base stats'!B:B,'Base stats'!AC:AC)&lt;&gt;"No",_xlfn.XLOOKUP(B132,'Base stats'!B:B,'Base stats'!AC:AC),"")
  ) = "",
  "No",
  _xlfn.TEXTJOIN(", ",TRUE,
    IF(AND(BH132="true",AN132&gt;0.5,BG132&lt;&gt;"None"),"AttackTarget",""),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IF(BE132&lt;=36,"Comfort",""),
    IF(_xlfn.XLOOKUP(B132,'Base stats'!B:B,'Base stats'!AC:AC)&lt;&gt;"No",_xlfn.XLOOKUP(B132,'Base stats'!B:B,'Base stats'!AC:AC),"")
  )
)</f>
        <v>AttackTarget</v>
      </c>
      <c r="BO132" s="25">
        <f>IF(
   AND(
      'Base stats'!AK132="Standard",_xlfn.XLOOKUP(_xlfn.XLOOKUP(B132,'Base stats'!B:B,'Base stats'!E:E),Groups!A:A,Groups!AU:AU)=0,
      OR(
      BM132="True"
      )
   ),
   10,
   IF(
       OR(BK132&lt;&gt;"No",_xlfn.XLOOKUP(_xlfn.XLOOKUP(B132,'Base stats'!B:B,'Base stats'!E:E),Groups!A:A,Groups!AU:AU)=1),
      1,
      "No"
   )
)</f>
        <v>10</v>
      </c>
      <c r="BP132" s="9">
        <f>MROUND((1 + ((0.2*IF(OR(P132="No",Q132="No",Q132=0),0,P132/Q132)
+IF(OR(U132="No",R132="No",S132="No"),0,R132/S132*(LEN(U132)-LEN(SUBSTITUTE(U132,",",""))+1))
+IF(OR(W132="No",X132="No"),0,W132/X132)
+IF(OR(AC132="No",AD132="No"),0,AC132/AD132)
+IF(OR(AK132="No",AH132="No",AI132="No"),0,AH132/AI132*(LEN(AK132)-LEN(SUBSTITUTE(AK132,",",""))+1))
)/(0.2*IF(OR(P132="No",Q132="No",Q132=0),0,1)
+IF(OR(U132="No",R132="No",S132="No"),0,LEN(U132)-LEN(SUBSTITUTE(U132,",",""))+1)
+IF(OR(W132="No",X132="No"),0,1)
+IF(OR(AC132="No",AD132="No"),0,1)
+IF(OR(AK132="No",AH132="No",AI132="No"),0,LEN(AK132)-LEN(SUBSTITUTE(AK132,",",""))+1))*62%)* 2)*(1 + (AO132 + _xlfn.XLOOKUP(B132,'Base stats'!B:B,'Base stats'!AS:AS) * 1.8) * 2) * 2.5 + 10 + H132 * 2,5)+IF(_xlfn.XLOOKUP(B132,'Base stats'!B:B,'Base stats'!AH:AH)=1,50,0)</f>
        <v>145</v>
      </c>
      <c r="BQ132" s="8">
        <f t="shared" si="19"/>
        <v>0.70000000000000007</v>
      </c>
      <c r="BR132" s="8" t="str">
        <f>_xlfn.XLOOKUP(B132,'Base stats'!B:B,'Base stats'!AD:AD)</f>
        <v>No</v>
      </c>
      <c r="BS132" s="2" t="str">
        <f>IF(AND(I132&lt;=0.95,OR(_xlfn.XLOOKUP(B132,'Base stats'!B:B,'Base stats'!AH:AH)=1,_xlfn.XLOOKUP(B132,'Base stats'!B:B,'Base stats'!Y:Y)="Carnivore",_xlfn.XLOOKUP(B132,'Base stats'!B:B,'Base stats'!Y:Y)="Omnivore",BC132&gt;0.1)),"true","false")</f>
        <v>true</v>
      </c>
      <c r="BT132" s="2" t="str">
        <f>IF(_xlfn.XLOOKUP(B132,'Base stats'!B:B,'Base stats'!AF:AF)=1,"true","false")</f>
        <v>false</v>
      </c>
      <c r="BU132" s="25" t="str">
        <f>IF(E132="BaseInsect","AnimalInsect",
IF(I132&gt;0.95,"AnimalExotic",
_xlfn.TEXTJOIN(", ",TRUE,
IF(AND(_xlfn.XLOOKUP(B132,'Base stats'!B:B,'Base stats'!O:O)=0,_xlfn.XLOOKUP(_xlfn.XLOOKUP(B132,'Base stats'!B:B,'Base stats'!E:E),Groups!A:A,Groups!B:B)&gt;0),"AnimalUncommon","AnimalCommon"),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stats'!AH:AH)=1,AND(BG132&lt;&gt;"None",BP132&gt;=60),ISNUMBER(SEARCH("Attack target",BN132))),"AnimalFighter","")
)))</f>
        <v>AnimalUncommon, AnimalFighter</v>
      </c>
      <c r="BV132" s="25" t="str">
        <f>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</f>
        <v>TropicalRainforest TropicalSwamp Glowforest</v>
      </c>
      <c r="BW132" s="25" t="str">
        <f>IF(_xlfn.XLOOKUP(B132,'Base stats'!B:B,'Base stats'!AG:AG)=1,"true","false")</f>
        <v>false</v>
      </c>
      <c r="BX132" s="25">
        <f>IF(_xlfn.XLOOKUP(B132,'Base stats'!B:B,'Base stats'!N:N)=1,"No",MIN(MROUND(IF(OR(_xlfn.XLOOKUP(B132,'Base stats'!B:B,'Base stats'!AJ:AJ)=1,AND(BH132="True",CA132="False")),POWER(10,3.47*LOG10(_xlfn.XLOOKUP(B132,'Base stats'!B:B,'Base stats'!C:C)*1000)^-0.96),POWER(10,4.15*LOG10(_xlfn.XLOOKUP(B132,'Base stats'!B:B,'Base stats'!C:C)*1000)^-0.73))*IF(OR(_xlfn.XLOOKUP(B132,'Base stats'!B:B,'Base stats'!AJ:AJ)=1,_xlfn.XLOOKUP(B132,'Base stats'!B:B,'Base stats'!AH:AH)=1),0.5,1)/100,0.025),1))</f>
        <v>0.05</v>
      </c>
      <c r="BY132" s="25" t="str">
        <f>IF(O132="Standard","No",IF(_xlfn.XLOOKUP(B132,'Base stats'!B:B,'Base stats'!N:N)=0,MROUND(BX132*O132,0.05),MIN(1,MAX(0.025,MROUND(IF(OR(CA132="true",AND(BH132="false",BM132="false")),POWER(10,4.15*LOG10(_xlfn.XLOOKUP(B132,'Base stats'!B:B,'Base stats'!C:C)*1000)^-0.73),POWER(10,3.47*LOG10(_xlfn.XLOOKUP(B132,'Base stats'!B:B,'Base stats'!C:C)*1000)^-0.96))*IF(_xlfn.XLOOKUP(B132,'Base stats'!B:B,'Base stats'!AH:AH)=1,0.5,1)/100,0.025)))))</f>
        <v>No</v>
      </c>
      <c r="BZ132" s="25" t="str">
        <f>IF(_xlfn.XLOOKUP(_xlfn.XLOOKUP(B132,'Base stats'!B:B,'Base stats'!E:E),Groups!A:A,Groups!AJ:AJ)="Mammal","True","False")</f>
        <v>True</v>
      </c>
      <c r="CA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B132" s="25" t="str">
        <f t="shared" si="20"/>
        <v>False</v>
      </c>
      <c r="CC132" s="25" t="str">
        <f>IF(_xlfn.XLOOKUP(_xlfn.XLOOKUP(B132,'Base stats'!B:B,'Base stats'!E:E),Groups!A:A,Groups!AW:AW),"True","False")</f>
        <v>False</v>
      </c>
      <c r="CD132" s="25" t="str">
        <f>IF(_xlfn.XLOOKUP(_xlfn.XLOOKUP(B132,'Base stats'!B:B,'Base stats'!E:E),Groups!A:A,Groups!AX:AX),"True","False")</f>
        <v>False</v>
      </c>
      <c r="CE132" s="25" t="str">
        <f>IF(_xlfn.XLOOKUP(B132,'Base stats'!B:B,'Base stats'!E:E)=1,"True","False")</f>
        <v>False</v>
      </c>
      <c r="CF132" s="25" t="str">
        <f>IF(
OR(
_xlfn.XLOOKUP(_xlfn.XLOOKUP(B132,'Base stats'!B:B,'Base stats'!E:E),Groups!A:A,Groups!AY:AY)=0,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stats'!E:E),Groups!A:A,Groups!AY:AY)=1,
"Flesh",
IF(
_xlfn.XLOOKUP(_xlfn.XLOOKUP(B132,'Base stats'!B:B,'Base stats'!E:E),Groups!A:A,Groups!AY:AY)=2,
"Bone",
""
)
)
)</f>
        <v>No</v>
      </c>
      <c r="CG132" s="25" t="str">
        <f>IF(_xlfn.XLOOKUP(_xlfn.XLOOKUP(B132,'Base stats'!B:B,'Base stats'!E:E),Groups!A:A,Groups!BA:BA),"True","False")</f>
        <v>True</v>
      </c>
      <c r="CH132" s="25" t="str">
        <f>IF(_xlfn.XLOOKUP(_xlfn.XLOOKUP(B132,'Base stats'!B:B,'Base stats'!E:E),Groups!A:A,Groups!AZ:AZ),"True","False")</f>
        <v>False</v>
      </c>
    </row>
    <row r="133" spans="1:86" ht="16.5" thickTop="1" thickBot="1" x14ac:dyDescent="0.3">
      <c r="A133" s="26" t="str">
        <f>_xlfn.XLOOKUP(B133,'Base stats'!B:B,'Base stats'!A:A)</f>
        <v>Lemur</v>
      </c>
      <c r="B133" s="6" t="s">
        <v>256</v>
      </c>
      <c r="C133" s="28" t="s">
        <v>826</v>
      </c>
      <c r="D133" s="28" t="s">
        <v>884</v>
      </c>
      <c r="E133" s="28" t="s">
        <v>685</v>
      </c>
      <c r="F133" s="28" t="s">
        <v>685</v>
      </c>
      <c r="G133" s="2">
        <f>MROUND((
  (IF(AND(_xlfn.XLOOKUP(B133,'Base stats'!B:B,'Base stats'!AI:AI)=0,BG133="None",_xlfn.XLOOKUP('Base stats'!E133,Groups!A:A,Groups!B:B)=0), (18 + BP133 * 2.7) * 0.5,
    IF(AND(_xlfn.XLOOKUP(B133,'Base stats'!B:B,'Base stats'!AI:AI)=0,OR(AN133&lt;0.55,AND(BG133="Intermediate",_xlfn.XLOOKUP('Base stats'!E133,Groups!A:A,Groups!B:B)&lt;2))), (18 + BP133 * 2.7),
      IF(OR(BG133="Advanced",_xlfn.XLOOKUP(B133,'Base stats'!B:B,'Base stats'!AI:AI)=1,_xlfn.XLOOKUP('Base stats'!E133,Groups!A:A,Groups!B:B)=2), (18 + BP133 * 2.7) + 250, (18 + BP133 * 2.7))
    )
  ))
  + AN133 * 80
  + IF(COUNTIF(EggMilk!K$2:K$998, A133) &gt; 0, 125, 0)
  + IF(COUNTIF(EggMilk!P$2:P$998, A133) &gt; 0, 90, 0)
  + IF(COUNTIF(EggMilk!A$2:A$998, A133) &gt; 0, 90, 0)
)
* (0.8 + 0.4 * I133)
* 0.75,25)</f>
        <v>100</v>
      </c>
      <c r="H133" s="2">
        <f>MROUND(ROUNDDOWN(_xlfn.XLOOKUP(B133,'Base stats'!B:B,'Base stats'!L:L)/3.6/(23.3/11),1),0.5)</f>
        <v>3.5</v>
      </c>
      <c r="I133" s="2">
        <f>IF(_xlfn.XLOOKUP(B133,'Base stats'!B:B,'Base stats'!AI:AI)=1,0.99,MIN(MROUND((1-0.6282*EXP(-0.459*AN133))*_xlfn.XLOOKUP(_xlfn.XLOOKUP(B133,'Base stats'!B:B,'Base stats'!E:E),Groups!A:A,Groups!C:C)*IF(_xlfn.XLOOKUP(B133,'Base stats'!B:B,'Base stats'!O:O)=1,0.5,IF(_xlfn.XLOOKUP(B133,'Base stats'!B:B,'Base stats'!O:O)=2,0,1)),0.05),0.985))</f>
        <v>0.55000000000000004</v>
      </c>
      <c r="J133" s="2">
        <f>ROUNDUP(AN133*_xlfn.XLOOKUP(_xlfn.XLOOKUP(B133,'Base stats'!B:B,'Base stats'!E:E),Groups!A:A,Groups!E:E),0)</f>
        <v>1</v>
      </c>
      <c r="K133" s="2">
        <f>IF(OR(_xlfn.XLOOKUP(_xlfn.XLOOKUP(B133,'Base stats'!B:B,'Base stats'!E:E),Groups!A:A,Groups!F:F)=2,ISNUMBER(SEARCH("SeaIce",BV133)),ISNUMBER(SEARCH("IceSheet",BV133))),-50,IF(OR(ISNUMBER(SEARCH("GlacialPlain",BV133)),ISNUMBER(SEARCH("Tundra",BV133))),-40,IF(OR(ISNUMBER(SEARCH("Alpine",BV133)),ISNUMBER(SEARCH("BorealForest",BV133)),ISNUMBER(SEARCH("ColdBog",BV133))),-30,IF(OR(ISNUMBER(SEARCH("TemperateForest",BV133)),ISNUMBER(SEARCH("TemperateSwamp",BV133))),-20,IF(_xlfn.XLOOKUP(_xlfn.XLOOKUP(B133,'Base stats'!B:B,'Base stats'!E:E),Groups!A:A,Groups!F:F)=1,-15,IF(OR(ISNUMBER(SEARCH("Desert",BV133)),ISNUMBER(SEARCH("ExtremeDesert",BV133))),-10,IF(OR(ISNUMBER(SEARCH("Grasslands",BV133)),ISNUMBER(SEARCH("TropicalRainforest",BV133)),ISNUMBER(SEARCH("TropicalSwamp",BV133))),10,0)))))))-IF(CA133="False",MIN(IFERROR(MAX(MROUND(LOG10(_xlfn.XLOOKUP(B133,'Base stats'!B:B,'Base stats'!C:C)^(2/3))*10,5),5),5),30))-_xlfn.XLOOKUP(B133,'Base stats'!B:B,'Base stats'!P:P)+IF(CA133="True",5,0)</f>
        <v>5</v>
      </c>
      <c r="L133" s="2">
        <f>IF(OR(_xlfn.XLOOKUP(_xlfn.XLOOKUP(B133,'Base stats'!B:B,'Base stats'!E:E),Groups!A:A,Groups!G:G)=2,ISNUMBER(SEARCH("Desert",BV133)),ISNUMBER(SEARCH("ExtremeDesert",BV133)),ISNUMBER(SEARCH("LavaField",BV133))),50,IF(ISNUMBER(SEARCH("Grasslands",BV133)),45,IF(OR(_xlfn.XLOOKUP(_xlfn.XLOOKUP(B133,'Base stats'!B:B,'Base stats'!E:E),Groups!A:A,Groups!G:G)=1,ISNUMBER(SEARCH("TropicalRainforest",BV133)),ISNUMBER(SEARCH("TropicalSwamp",BV133))),40,IF(OR(ISNUMBER(SEARCH("TemperateForest",BV133)),ISNUMBER(SEARCH("TemperateSwamp",BV133))),35,IF(OR(ISNUMBER(SEARCH("Alpine",BV133)),ISNUMBER(SEARCH("BorealForest",BV133)),ISNUMBER(SEARCH("ColdBog",BV133))),30,IF(ISNUMBER(OR(ISNUMBER(SEARCH("GlacialPlain",BV133)),SEARCH("Tundra",BV133))),25,IF(OR(ISNUMBER(SEARCH("SeaIce",BV133)),ISNUMBER(SEARCH("IceSheet",BV133)),ISNUMBER(SEARCH("TropicalSwamp",BV133))),10,35)))))))+_xlfn.XLOOKUP(B133,'Base stats'!B:B,'Base stats'!Q:Q)</f>
        <v>40</v>
      </c>
      <c r="M133" s="8" t="str">
        <f>IF(_xlfn.XLOOKUP(_xlfn.XLOOKUP(B133,'Base stats'!B:B,'Base stats'!E:E),Groups!A:A,Groups!L:L)=1,MIN(MROUND(_xlfn.XLOOKUP(B133,'Animals CE'!B:B,'Animals CE'!Z:Z)/2+0.05,0.05),200%),"No")</f>
        <v>No</v>
      </c>
      <c r="N133" s="8" t="str">
        <f>IF(_xlfn.XLOOKUP(_xlfn.XLOOKUP(B133,'Base stats'!B:B,'Base stats'!E:E),Groups!A:A,Groups!L:L)=1,MIN(MROUND(_xlfn.XLOOKUP(B133,'Animals CE'!B:B,'Animals CE'!AA:AA)/2+0.05,0.05),200%),"No")</f>
        <v>No</v>
      </c>
      <c r="O133" s="2" t="str">
        <f>_xlfn.XLOOKUP(B133,'Base stats'!B:B,'Base stats'!R:R)</f>
        <v>Standard</v>
      </c>
      <c r="P133" s="13">
        <f>MROUND((LOG10(_xlfn.XLOOKUP(B133,'Base stats'!B:B,'Base stats'!AO:AO))*(AN133^0.5)+(_xlfn.XLOOKUP(B133,'Base stats'!B:B,'Base stats'!AO:AO)/1000)^(2/3)+_xlfn.XLOOKUP(B133,'Base stats'!B:B,'Base stats'!AX:AX)/2)+0.5,0.5)</f>
        <v>2</v>
      </c>
      <c r="Q133" s="7">
        <f>IF(P133="No","No",MAX(1,MROUND(_xlfn.XLOOKUP(B133,'Base stats'!B:B,'Base stats'!C:C)^0.165,0.05)))</f>
        <v>1.1500000000000001</v>
      </c>
      <c r="R133" s="13" t="str">
        <f>IF(_xlfn.XLOOKUP(_xlfn.XLOOKUP(B133,'Base stats'!B:B,'Base stats'!E:E),Groups!A:A,Groups!P:P)=0,"No",MROUND((LOG10(_xlfn.XLOOKUP(B133,'Base stats'!B:B,'Base stats'!AP:AP))*(AN133^0.5)+(_xlfn.XLOOKUP(B133,'Base stats'!B:B,'Base stats'!AP:AP)/1000)^(2/3)+_xlfn.XLOOKUP(B133,'Base stats'!B:B,'Base stats'!AX:AX))+_xlfn.XLOOKUP(B133,'Base stats'!B:B,'Base stats'!AV:AV)+0.5,0.5))</f>
        <v>No</v>
      </c>
      <c r="S133" s="7" t="str">
        <f>IF(R133="No","No",MAX(_xlfn.XLOOKUP(_xlfn.XLOOKUP(B133,'Base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T133" s="7" t="str">
        <f>IF(R133="No","No",_xlfn.XLOOKUP(_xlfn.XLOOKUP(B133,'Base stats'!B:B,'Base stats'!E:E),Groups!A:A,Groups!R:R))</f>
        <v>No</v>
      </c>
      <c r="U133" s="7" t="str">
        <f>IF(R133="No","No",_xlfn.XLOOKUP(_xlfn.XLOOKUP(B133,'Base stats'!B:B,'Base stats'!E:E),Groups!A:A,Groups!S:S))</f>
        <v>No</v>
      </c>
      <c r="V133" s="7" t="str">
        <f>IF(R133="No","No",_xlfn.XLOOKUP(_xlfn.XLOOKUP(B133,'Base stats'!B:B,'Base stats'!E:E),Groups!A:A,Groups!T:T))</f>
        <v>No</v>
      </c>
      <c r="W133" s="13" t="str">
        <f>IF(_xlfn.XLOOKUP(B133,'Base stats'!B:B,'Base stats'!W:W)="No","No",MROUND((LOG10(_xlfn.XLOOKUP(B133,'Base stats'!B:B,'Base stats'!AR:AR))*(AN133^0.5)+(_xlfn.XLOOKUP(B133,'Base stats'!B:B,'Base stats'!AR:AR)/1000)^(2/3)+_xlfn.XLOOKUP(B133,'Base stats'!B:B,'Base stats'!AW:AW))+0.5+IF(_xlfn.XLOOKUP(_xlfn.XLOOKUP(B133,'Base stats'!B:B,'Base stats'!E:E),Groups!A:A,Groups!U:U)&lt;&gt;3,_xlfn.XLOOKUP(B133,'Base stats'!B:B,'Base stats'!AX:AX),0),0.5))</f>
        <v>No</v>
      </c>
      <c r="X133" s="7" t="str">
        <f>IF(W133="No","No",MAX(_xlfn.XLOOKUP(_xlfn.XLOOKUP(B133,'Base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Y133" s="7" t="str">
        <f>IF(W133="No","No",_xlfn.XLOOKUP(_xlfn.XLOOKUP(B133,'Base stats'!B:B,'Base stats'!E:E),Groups!A:A,Groups!W:W))</f>
        <v>No</v>
      </c>
      <c r="Z133" s="7" t="str">
        <f>IF(W133="No","No",_xlfn.XLOOKUP(_xlfn.XLOOKUP(B133,'Base stats'!B:B,'Base stats'!E:E),Groups!A:A,Groups!X:X))</f>
        <v>No</v>
      </c>
      <c r="AA133" s="7" t="str">
        <f>IF(W133="No","No",_xlfn.XLOOKUP(_xlfn.XLOOKUP(B133,'Base stats'!B:B,'Base stats'!E:E),Groups!A:A,Groups!Y:Y))</f>
        <v>No</v>
      </c>
      <c r="AB133" s="7" t="str">
        <f>_xlfn.XLOOKUP(Animals!B133,'Base stats'!B:B,'Base stats'!X:X)</f>
        <v>False</v>
      </c>
      <c r="AC133" s="13">
        <f>IF(_xlfn.XLOOKUP(B133,'Base stats'!B:B,'Base stats'!AQ:AQ)="No","No",MROUND((LOG10(_xlfn.XLOOKUP(B133,'Base stats'!B:B,'Base stats'!AQ:AQ))*(AN133^0.75)+(_xlfn.XLOOKUP(B133,'Base stats'!B:B,'Base stats'!AQ:AQ)/1000)^(2/3)+_xlfn.XLOOKUP(B133,'Base stats'!B:B,'Base stats'!AU:AU)+_xlfn.XLOOKUP(B133,'Base stats'!B:B,'Base stats'!AX:AX))+0.5,0.5))</f>
        <v>2.5</v>
      </c>
      <c r="AD133" s="7">
        <f>IF(AC133="No","No",MAX(_xlfn.XLOOKUP(_xlfn.XLOOKUP(B133,'Base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E133" s="7" t="str">
        <f>IF(AC133="No","No",_xlfn.XLOOKUP(_xlfn.XLOOKUP(B133,'Base stats'!B:B,'Base stats'!E:E),Groups!A:A,Groups!AA:AA))</f>
        <v>Teeth</v>
      </c>
      <c r="AF133" s="7" t="str">
        <f>IF(AC133="No","No",_xlfn.XLOOKUP(_xlfn.XLOOKUP(B133,'Base stats'!B:B,'Base stats'!E:E),Groups!A:A,Groups!AB:AB))</f>
        <v>canines</v>
      </c>
      <c r="AG133" s="7" t="str">
        <f>IF(AC133="No","No",_xlfn.XLOOKUP(_xlfn.XLOOKUP(B133,'Base stats'!B:B,'Base stats'!E:E),Groups!A:A,Groups!AC:AC))</f>
        <v>Bite</v>
      </c>
      <c r="AH133" s="13">
        <f>IF(_xlfn.XLOOKUP(_xlfn.XLOOKUP(B133,'Base stats'!B:B,'Base stats'!E:E),Groups!A:A,Groups!AD:AD)=0,"No",MROUND((LOG10(_xlfn.XLOOKUP(B133,'Base stats'!B:B,'Base stats'!AP:AP))*(AN133^0.75)+(_xlfn.XLOOKUP(B133,'Base stats'!B:B,'Base stats'!AP:AP)/1000)^(2/3)+_xlfn.XLOOKUP(B133,'Base stats'!B:B,'Base stats'!AV:AV)+_xlfn.XLOOKUP(B133,'Base stats'!B:B,'Base stats'!AX:AX))+0.5,0.5))</f>
        <v>2.5</v>
      </c>
      <c r="AI133" s="7">
        <f>IF(AH133="No","No",MAX(_xlfn.XLOOKUP(_xlfn.XLOOKUP(B133,'Base stats'!B:B,'Base stats'!E:E),Groups!A:A,Groups!AE:AE),MROUND(_xlfn.XLOOKUP(_xlfn.XLOOKUP(B133,'Base stats'!B:B,'Base stats'!E:E),Groups!A:A,Groups!AE:AE)*_xlfn.XLOOKUP(B133,'Base stats'!B:B,'Base stats'!C:C)^0.165,0.05)))</f>
        <v>0.75</v>
      </c>
      <c r="AJ133" s="7" t="str">
        <f>IF(AH133="No","No",_xlfn.XLOOKUP(_xlfn.XLOOKUP(B133,'Base stats'!B:B,'Base stats'!E:E),Groups!A:A,Groups!AF:AF))</f>
        <v>LeftHand, RightHand</v>
      </c>
      <c r="AK133" s="7" t="str">
        <f>IF(AH133="No","No",_xlfn.XLOOKUP(_xlfn.XLOOKUP(B133,'Base stats'!B:B,'Base stats'!E:E),Groups!A:A,Groups!AG:AG))</f>
        <v>left fist, right fist</v>
      </c>
      <c r="AL133" s="7" t="str">
        <f>IF(AH133="No","No",_xlfn.XLOOKUP(_xlfn.XLOOKUP(B133,'Base stats'!B:B,'Base stats'!E:E),Groups!A:A,Groups!AH:AH))</f>
        <v>Blunt</v>
      </c>
      <c r="AM133" s="2" t="str">
        <f t="shared" si="14"/>
        <v>No</v>
      </c>
      <c r="AN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O133" s="8">
        <f>MROUND(AN133*_xlfn.XLOOKUP(_xlfn.XLOOKUP(B133,'Base stats'!B:B,'Base stats'!E:E),Groups!A:A,Groups!AI:AI),0.05)</f>
        <v>0.25</v>
      </c>
      <c r="AP133" s="8">
        <f>MAX(0.01,MROUND(IF(CA133="True",0.196*(AN133*100*1000)^0.889,IF(_xlfn.XLOOKUP(_xlfn.XLOOKUP(B133,'Base stats'!B:B,'Base stats'!E:E),Groups!A:A,Groups!AJ:AJ)="Bird",10.5*(AN133*100*1000)^0.681,4.82*(AN133*100*1000)^0.734))/(4.82*(1*100*1000)^0.734)/IF(AN133&lt;3.5,2,IF(AN133=3.5,1.5,1.25))*(1+0.132282374779864/(AN133^0.994035016789033+0.00905238001496948)),0.05))</f>
        <v>0.25</v>
      </c>
      <c r="AQ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R133" s="35">
        <f>IFERROR(IF(_xlfn.XLOOKUP(B133,'Base stats'!B:B,'Base stats'!F:F)="Lay eggs","Lay eggs",MIN(20,MAX(5.5,ROUND(((_xlfn.XLOOKUP(B133,'Base stats'!B:B,'Base stats'!F:F)-25)*(14.5/615) + 5.5)*2,0)/2))),"Cannot breed")</f>
        <v>8</v>
      </c>
      <c r="AS133" s="8">
        <f>IF(OR(A133="Queen",A133="Larva",A133="Megachicken"),"No",IFERROR(MAX(IF(_xlfn.XLOOKUP(B133,'Base stats'!B:B,'Base stats'!G:G)&lt;0.5,0.2,0.3),MROUND(_xlfn.XLOOKUP(B133,'Base stats'!B:B,'Base stats'!G:G)/(365/60),0.2)),"Unknown"))</f>
        <v>0.3</v>
      </c>
      <c r="AT133" s="8">
        <f t="shared" si="15"/>
        <v>0.15000000000000002</v>
      </c>
      <c r="AU133" s="8">
        <f>IFERROR(IFERROR(MROUND(_xlfn.XLOOKUP(B133,'Base stats'!B:B,'Base stats'!J:J),0.1),"Lay eggs"),"Cannot breed")</f>
        <v>1.1000000000000001</v>
      </c>
      <c r="AV133" s="2" t="str">
        <f t="shared" si="16"/>
        <v>true</v>
      </c>
      <c r="AW133" s="2" t="str">
        <f>IF(_xlfn.XLOOKUP(_xlfn.XLOOKUP(Animals!B133,'Base stats'!B:B,'Base stats'!E:E),Groups!A:A,Groups!AK:AK)=1,"true","false")</f>
        <v>false</v>
      </c>
      <c r="AX133" s="25" t="str">
        <f>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</f>
        <v>OmnivoreRoughAnimal, OvivoreAnimal</v>
      </c>
      <c r="AY133" s="2" t="str">
        <f>IF(_xlfn.XLOOKUP(_xlfn.XLOOKUP(B133,'Base stats'!B:B,'Base stats'!E:E),Groups!A:A,Groups!D:D)=1,MROUND((1-I133)*5+1,2)*IF(I133&lt;=0.4,2,1),"No")</f>
        <v>No</v>
      </c>
      <c r="AZ133" s="2" t="str">
        <f>_xlfn.XLOOKUP(B133,'Base stats'!B:B,'Base stats'!AE:AE)</f>
        <v>Leather_Light</v>
      </c>
      <c r="BA133" s="23" t="str">
        <f>_xlfn.XLOOKUP(_xlfn.XLOOKUP(B133,'Base stats'!B:B,'Base stats'!E:E),Groups!A:A,Groups!AL:AL)</f>
        <v>Monkey</v>
      </c>
      <c r="BB133" s="23">
        <f>MROUND(IF(AND(AN133&lt;0.5,_xlfn.XLOOKUP(B133,'Base stats'!B:B,'Base stats'!Z:Z)=0),0,IF(OR(_xlfn.XLOOKUP(Animals!B133,'Base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stats'!AA:AA),0.005)</f>
        <v>0</v>
      </c>
      <c r="BC133" s="23">
        <f>MROUND(IF(AND(AN133&lt;0.5,_xlfn.XLOOKUP(B133,'Base stats'!B:B,'Base stats'!Z:Z)=0),0,IF(_xlfn.XLOOKUP(_xlfn.XLOOKUP(B133,'Base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stats'!AB:AB),0.005)</f>
        <v>0</v>
      </c>
      <c r="BD133" s="2" t="str">
        <f>IF(I133&gt;0.3,"No",_xlfn.XLOOKUP(_xlfn.XLOOKUP(Animals!B133,'Base stats'!B:B,'Base stats'!E:E),Groups!A:A,Groups!AP:AP))</f>
        <v>No</v>
      </c>
      <c r="BE133" s="2">
        <f>IF(AND(I133&lt;=0.65,_xlfn.XLOOKUP(_xlfn.XLOOKUP(Animals!B133,'Base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stats'!O:O)=2,0.2,AN133) + 24*(1-IF(BD133="No",0,BD133)) + 16/3, 12),"No")</f>
        <v>36</v>
      </c>
      <c r="BF133" s="2">
        <f>IF(AND(_xlfn.XLOOKUP(_xlfn.XLOOKUP(B133,'Base stats'!B:B,'Base stats'!E:E),Groups!A:A,Groups!AQ:AQ)=1,AN133&lt;=0.35),8,12)</f>
        <v>12</v>
      </c>
      <c r="BG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H133" s="2" t="str">
        <f>IF(AND(_xlfn.XLOOKUP(_xlfn.XLOOKUP(B133,'Base stats'!B:B,'Base stats'!E:E),Groups!A:A,Groups!AS:AS)=1,OR('Base stats'!Y133="Carnivore",'Base stats'!Y133="Omnivore")),"true","false")</f>
        <v>false</v>
      </c>
      <c r="BI133" s="2" t="str">
        <f>IF(BH133="true",MROUND(IF(AND(AN133&gt;0.5,_xlfn.XLOOKUP(_xlfn.XLOOKUP(B133,'Base stats'!B:B,'Base stats'!E:E),Groups!A:A,Groups!AJ:AJ)="Mammal"),Animals!AN133*1.75*IF(AV133="true",1.5,1),Animals!AN133),IF(AN133&gt;2,0.5,IF(AN133&gt;0.5,0.25,0.1))),"No")</f>
        <v>No</v>
      </c>
      <c r="BJ133" s="2">
        <f t="shared" si="17"/>
        <v>1</v>
      </c>
      <c r="BK133" s="25" t="str">
        <f>IF('Base stats'!AK133="Standard","No",MROUND((_xlfn.XLOOKUP(B133,'Base stats'!B:B,'Base stats'!AK:AK)/3.6)/H133,0.1))</f>
        <v>No</v>
      </c>
      <c r="BL133" s="25" t="str">
        <f t="shared" si="18"/>
        <v>false</v>
      </c>
      <c r="BM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N133" s="25" t="str" cm="1">
        <f t="array" ref="BN133">IF(
  _xlfn.TEXTJOIN(", ",TRUE,
    IF(AND(BH133="true",AN133&gt;0.5,BG133&lt;&gt;"None"),"AttackTarget",""),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IF(BE133&lt;=36,"Comfort",""),
    IF(_xlfn.XLOOKUP(B133,'Base stats'!B:B,'Base stats'!AC:AC)&lt;&gt;"No",_xlfn.XLOOKUP(B133,'Base stats'!B:B,'Base stats'!AC:AC),"")
  ) = "",
  "No",
  _xlfn.TEXTJOIN(", ",TRUE,
    IF(AND(BH133="true",AN133&gt;0.5,BG133&lt;&gt;"None"),"AttackTarget",""),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IF(BE133&lt;=36,"Comfort",""),
    IF(_xlfn.XLOOKUP(B133,'Base stats'!B:B,'Base stats'!AC:AC)&lt;&gt;"No",_xlfn.XLOOKUP(B133,'Base stats'!B:B,'Base stats'!AC:AC),"")
  )
)</f>
        <v>Forage, Comfort</v>
      </c>
      <c r="BO133" s="25" t="str">
        <f>IF(
   AND(
      'Base stats'!AK133="Standard",_xlfn.XLOOKUP(_xlfn.XLOOKUP(B133,'Base stats'!B:B,'Base stats'!E:E),Groups!A:A,Groups!AU:AU)=0,
      OR(
      BM133="True"
      )
   ),
   10,
   IF(
       OR(BK133&lt;&gt;"No",_xlfn.XLOOKUP(_xlfn.XLOOKUP(B133,'Base stats'!B:B,'Base stats'!E:E),Groups!A:A,Groups!AU:AU)=1),
      1,
      "No"
   )
)</f>
        <v>No</v>
      </c>
      <c r="BP133" s="9">
        <f>MROUND((1 + ((0.2*IF(OR(P133="No",Q133="No",Q133=0),0,P133/Q133)
+IF(OR(U133="No",R133="No",S133="No"),0,R133/S133*(LEN(U133)-LEN(SUBSTITUTE(U133,",",""))+1))
+IF(OR(W133="No",X133="No"),0,W133/X133)
+IF(OR(AC133="No",AD133="No"),0,AC133/AD133)
+IF(OR(AK133="No",AH133="No",AI133="No"),0,AH133/AI133*(LEN(AK133)-LEN(SUBSTITUTE(AK133,",",""))+1))
)/(0.2*IF(OR(P133="No",Q133="No",Q133=0),0,1)
+IF(OR(U133="No",R133="No",S133="No"),0,LEN(U133)-LEN(SUBSTITUTE(U133,",",""))+1)
+IF(OR(W133="No",X133="No"),0,1)
+IF(OR(AC133="No",AD133="No"),0,1)
+IF(OR(AK133="No",AH133="No",AI133="No"),0,LEN(AK133)-LEN(SUBSTITUTE(AK133,",",""))+1))*62%)* 2)*(1 + (AO133 + _xlfn.XLOOKUP(B133,'Base stats'!B:B,'Base stats'!AS:AS) * 1.8) * 2) * 2.5 + 10 + H133 * 2,5)+IF(_xlfn.XLOOKUP(B133,'Base stats'!B:B,'Base stats'!AH:AH)=1,50,0)</f>
        <v>35</v>
      </c>
      <c r="BQ133" s="8">
        <f t="shared" si="19"/>
        <v>0.25</v>
      </c>
      <c r="BR133" s="8" t="str">
        <f>_xlfn.XLOOKUP(B133,'Base stats'!B:B,'Base stats'!AD:AD)</f>
        <v>3~10</v>
      </c>
      <c r="BS133" s="2" t="str">
        <f>IF(AND(I133&lt;=0.95,OR(_xlfn.XLOOKUP(B133,'Base stats'!B:B,'Base stats'!AH:AH)=1,_xlfn.XLOOKUP(B133,'Base stats'!B:B,'Base stats'!Y:Y)="Carnivore",_xlfn.XLOOKUP(B133,'Base stats'!B:B,'Base stats'!Y:Y)="Omnivore",BC133&gt;0.1)),"true","false")</f>
        <v>false</v>
      </c>
      <c r="BT133" s="2" t="str">
        <f>IF(_xlfn.XLOOKUP(B133,'Base stats'!B:B,'Base stats'!AF:AF)=1,"true","false")</f>
        <v>false</v>
      </c>
      <c r="BU133" s="25" t="str">
        <f>IF(E133="BaseInsect","AnimalInsect",
IF(I133&gt;0.95,"AnimalExotic",
_xlfn.TEXTJOIN(", ",TRUE,
IF(AND(_xlfn.XLOOKUP(B133,'Base stats'!B:B,'Base stats'!O:O)=0,_xlfn.XLOOKUP(_xlfn.XLOOKUP(B133,'Base stats'!B:B,'Base stats'!E:E),Groups!A:A,Groups!B:B)&gt;0),"AnimalUncommon","AnimalCommon"),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stats'!AH:AH)=1,AND(BG133&lt;&gt;"None",BP133&gt;=60),ISNUMBER(SEARCH("Attack target",BN133))),"AnimalFighter","")
)))</f>
        <v>AnimalUncommon</v>
      </c>
      <c r="BV133" s="25" t="str">
        <f>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</f>
        <v>TropicalRainforest TropicalSwamp Glowforest</v>
      </c>
      <c r="BW133" s="25" t="str">
        <f>IF(_xlfn.XLOOKUP(B133,'Base stats'!B:B,'Base stats'!AG:AG)=1,"true","false")</f>
        <v>false</v>
      </c>
      <c r="BX133" s="25">
        <f>IF(_xlfn.XLOOKUP(B133,'Base stats'!B:B,'Base stats'!N:N)=1,"No",MIN(MROUND(IF(OR(_xlfn.XLOOKUP(B133,'Base stats'!B:B,'Base stats'!AJ:AJ)=1,AND(BH133="True",CA133="False")),POWER(10,3.47*LOG10(_xlfn.XLOOKUP(B133,'Base stats'!B:B,'Base stats'!C:C)*1000)^-0.96),POWER(10,4.15*LOG10(_xlfn.XLOOKUP(B133,'Base stats'!B:B,'Base stats'!C:C)*1000)^-0.73))*IF(OR(_xlfn.XLOOKUP(B133,'Base stats'!B:B,'Base stats'!AJ:AJ)=1,_xlfn.XLOOKUP(B133,'Base stats'!B:B,'Base stats'!AH:AH)=1),0.5,1)/100,0.025),1))</f>
        <v>0.5</v>
      </c>
      <c r="BY133" s="25" t="str">
        <f>IF(O133="Standard","No",IF(_xlfn.XLOOKUP(B133,'Base stats'!B:B,'Base stats'!N:N)=0,MROUND(BX133*O133,0.05),MIN(1,MAX(0.025,MROUND(IF(OR(CA133="true",AND(BH133="false",BM133="false")),POWER(10,4.15*LOG10(_xlfn.XLOOKUP(B133,'Base stats'!B:B,'Base stats'!C:C)*1000)^-0.73),POWER(10,3.47*LOG10(_xlfn.XLOOKUP(B133,'Base stats'!B:B,'Base stats'!C:C)*1000)^-0.96))*IF(_xlfn.XLOOKUP(B133,'Base stats'!B:B,'Base stats'!AH:AH)=1,0.5,1)/100,0.025)))))</f>
        <v>No</v>
      </c>
      <c r="BZ133" s="25" t="str">
        <f>IF(_xlfn.XLOOKUP(_xlfn.XLOOKUP(B133,'Base stats'!B:B,'Base stats'!E:E),Groups!A:A,Groups!AJ:AJ)="Mammal","True","False")</f>
        <v>True</v>
      </c>
      <c r="CA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B133" s="25" t="str">
        <f t="shared" si="20"/>
        <v>False</v>
      </c>
      <c r="CC133" s="25" t="str">
        <f>IF(_xlfn.XLOOKUP(_xlfn.XLOOKUP(B133,'Base stats'!B:B,'Base stats'!E:E),Groups!A:A,Groups!AW:AW),"True","False")</f>
        <v>False</v>
      </c>
      <c r="CD133" s="25" t="str">
        <f>IF(_xlfn.XLOOKUP(_xlfn.XLOOKUP(B133,'Base stats'!B:B,'Base stats'!E:E),Groups!A:A,Groups!AX:AX),"True","False")</f>
        <v>False</v>
      </c>
      <c r="CE133" s="25" t="str">
        <f>IF(_xlfn.XLOOKUP(B133,'Base stats'!B:B,'Base stats'!E:E)=1,"True","False")</f>
        <v>False</v>
      </c>
      <c r="CF133" s="25" t="str">
        <f>IF(
OR(
_xlfn.XLOOKUP(_xlfn.XLOOKUP(B133,'Base stats'!B:B,'Base stats'!E:E),Groups!A:A,Groups!AY:AY)=0,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stats'!E:E),Groups!A:A,Groups!AY:AY)=1,
"Flesh",
IF(
_xlfn.XLOOKUP(_xlfn.XLOOKUP(B133,'Base stats'!B:B,'Base stats'!E:E),Groups!A:A,Groups!AY:AY)=2,
"Bone",
""
)
)
)</f>
        <v>No</v>
      </c>
      <c r="CG133" s="25" t="str">
        <f>IF(_xlfn.XLOOKUP(_xlfn.XLOOKUP(B133,'Base stats'!B:B,'Base stats'!E:E),Groups!A:A,Groups!BA:BA),"True","False")</f>
        <v>True</v>
      </c>
      <c r="CH133" s="25" t="str">
        <f>IF(_xlfn.XLOOKUP(_xlfn.XLOOKUP(B133,'Base stats'!B:B,'Base stats'!E:E),Groups!A:A,Groups!AZ:AZ),"True","False")</f>
        <v>False</v>
      </c>
    </row>
    <row r="134" spans="1:86" ht="16.5" thickTop="1" thickBot="1" x14ac:dyDescent="0.3">
      <c r="A134" s="26" t="str">
        <f>_xlfn.XLOOKUP(B134,'Base stats'!B:B,'Base stats'!A:A)</f>
        <v>Mandrill</v>
      </c>
      <c r="B134" s="6" t="s">
        <v>115</v>
      </c>
      <c r="C134" s="28" t="s">
        <v>827</v>
      </c>
      <c r="D134" s="28" t="s">
        <v>884</v>
      </c>
      <c r="E134" s="28" t="s">
        <v>685</v>
      </c>
      <c r="F134" s="28" t="s">
        <v>685</v>
      </c>
      <c r="G134" s="2">
        <f>MROUND((
  (IF(AND(_xlfn.XLOOKUP(B134,'Base stats'!B:B,'Base stats'!AI:AI)=0,BG134="None",_xlfn.XLOOKUP('Base stats'!E134,Groups!A:A,Groups!B:B)=0), (18 + BP134 * 2.7) * 0.5,
    IF(AND(_xlfn.XLOOKUP(B134,'Base stats'!B:B,'Base stats'!AI:AI)=0,OR(AN134&lt;0.55,AND(BG134="Intermediate",_xlfn.XLOOKUP('Base stats'!E134,Groups!A:A,Groups!B:B)&lt;2))), (18 + BP134 * 2.7),
      IF(OR(BG134="Advanced",_xlfn.XLOOKUP(B134,'Base stats'!B:B,'Base stats'!AI:AI)=1,_xlfn.XLOOKUP('Base stats'!E134,Groups!A:A,Groups!B:B)=2), (18 + BP134 * 2.7) + 250, (18 + BP134 * 2.7))
    )
  ))
  + AN134 * 80
  + IF(COUNTIF(EggMilk!K$2:K$998, A134) &gt; 0, 125, 0)
  + IF(COUNTIF(EggMilk!P$2:P$998, A134) &gt; 0, 90, 0)
  + IF(COUNTIF(EggMilk!A$2:A$998, A134) &gt; 0, 90, 0)
)
* (0.8 + 0.4 * I134)
* 0.75,25)</f>
        <v>375</v>
      </c>
      <c r="H134" s="2">
        <f>MROUND(ROUNDDOWN(_xlfn.XLOOKUP(B134,'Base stats'!B:B,'Base stats'!L:L)/3.6/(23.3/11),1),0.5)</f>
        <v>5</v>
      </c>
      <c r="I134" s="2">
        <f>IF(_xlfn.XLOOKUP(B134,'Base stats'!B:B,'Base stats'!AI:AI)=1,0.99,MIN(MROUND((1-0.6282*EXP(-0.459*AN134))*_xlfn.XLOOKUP(_xlfn.XLOOKUP(B134,'Base stats'!B:B,'Base stats'!E:E),Groups!A:A,Groups!C:C)*IF(_xlfn.XLOOKUP(B134,'Base stats'!B:B,'Base stats'!O:O)=1,0.5,IF(_xlfn.XLOOKUP(B134,'Base stats'!B:B,'Base stats'!O:O)=2,0,1)),0.05),0.985))</f>
        <v>0.65</v>
      </c>
      <c r="J134" s="2">
        <f>ROUNDUP(AN134*_xlfn.XLOOKUP(_xlfn.XLOOKUP(B134,'Base stats'!B:B,'Base stats'!E:E),Groups!A:A,Groups!E:E),0)</f>
        <v>1</v>
      </c>
      <c r="K134" s="2">
        <f>IF(OR(_xlfn.XLOOKUP(_xlfn.XLOOKUP(B134,'Base stats'!B:B,'Base stats'!E:E),Groups!A:A,Groups!F:F)=2,ISNUMBER(SEARCH("SeaIce",BV134)),ISNUMBER(SEARCH("IceSheet",BV134))),-50,IF(OR(ISNUMBER(SEARCH("GlacialPlain",BV134)),ISNUMBER(SEARCH("Tundra",BV134))),-40,IF(OR(ISNUMBER(SEARCH("Alpine",BV134)),ISNUMBER(SEARCH("BorealForest",BV134)),ISNUMBER(SEARCH("ColdBog",BV134))),-30,IF(OR(ISNUMBER(SEARCH("TemperateForest",BV134)),ISNUMBER(SEARCH("TemperateSwamp",BV134))),-20,IF(_xlfn.XLOOKUP(_xlfn.XLOOKUP(B134,'Base stats'!B:B,'Base stats'!E:E),Groups!A:A,Groups!F:F)=1,-15,IF(OR(ISNUMBER(SEARCH("Desert",BV134)),ISNUMBER(SEARCH("ExtremeDesert",BV134))),-10,IF(OR(ISNUMBER(SEARCH("Grasslands",BV134)),ISNUMBER(SEARCH("TropicalRainforest",BV134)),ISNUMBER(SEARCH("TropicalSwamp",BV134))),10,0)))))))-IF(CA134="False",MIN(IFERROR(MAX(MROUND(LOG10(_xlfn.XLOOKUP(B134,'Base stats'!B:B,'Base stats'!C:C)^(2/3))*10,5),5),5),30))-_xlfn.XLOOKUP(B134,'Base stats'!B:B,'Base stats'!P:P)+IF(CA134="True",5,0)</f>
        <v>0</v>
      </c>
      <c r="L134" s="2">
        <f>IF(OR(_xlfn.XLOOKUP(_xlfn.XLOOKUP(B134,'Base stats'!B:B,'Base stats'!E:E),Groups!A:A,Groups!G:G)=2,ISNUMBER(SEARCH("Desert",BV134)),ISNUMBER(SEARCH("ExtremeDesert",BV134)),ISNUMBER(SEARCH("LavaField",BV134))),50,IF(ISNUMBER(SEARCH("Grasslands",BV134)),45,IF(OR(_xlfn.XLOOKUP(_xlfn.XLOOKUP(B134,'Base stats'!B:B,'Base stats'!E:E),Groups!A:A,Groups!G:G)=1,ISNUMBER(SEARCH("TropicalRainforest",BV134)),ISNUMBER(SEARCH("TropicalSwamp",BV134))),40,IF(OR(ISNUMBER(SEARCH("TemperateForest",BV134)),ISNUMBER(SEARCH("TemperateSwamp",BV134))),35,IF(OR(ISNUMBER(SEARCH("Alpine",BV134)),ISNUMBER(SEARCH("BorealForest",BV134)),ISNUMBER(SEARCH("ColdBog",BV134))),30,IF(ISNUMBER(OR(ISNUMBER(SEARCH("GlacialPlain",BV134)),SEARCH("Tundra",BV134))),25,IF(OR(ISNUMBER(SEARCH("SeaIce",BV134)),ISNUMBER(SEARCH("IceSheet",BV134)),ISNUMBER(SEARCH("TropicalSwamp",BV134))),10,35)))))))+_xlfn.XLOOKUP(B134,'Base stats'!B:B,'Base stats'!Q:Q)</f>
        <v>40</v>
      </c>
      <c r="M134" s="8" t="str">
        <f>IF(_xlfn.XLOOKUP(_xlfn.XLOOKUP(B134,'Base stats'!B:B,'Base stats'!E:E),Groups!A:A,Groups!L:L)=1,MIN(MROUND(_xlfn.XLOOKUP(B134,'Animals CE'!B:B,'Animals CE'!Z:Z)/2+0.05,0.05),200%),"No")</f>
        <v>No</v>
      </c>
      <c r="N134" s="8" t="str">
        <f>IF(_xlfn.XLOOKUP(_xlfn.XLOOKUP(B134,'Base stats'!B:B,'Base stats'!E:E),Groups!A:A,Groups!L:L)=1,MIN(MROUND(_xlfn.XLOOKUP(B134,'Animals CE'!B:B,'Animals CE'!AA:AA)/2+0.05,0.05),200%),"No")</f>
        <v>No</v>
      </c>
      <c r="O134" s="2" t="str">
        <f>_xlfn.XLOOKUP(B134,'Base stats'!B:B,'Base stats'!R:R)</f>
        <v>Standard</v>
      </c>
      <c r="P134" s="13">
        <f>MROUND((LOG10(_xlfn.XLOOKUP(B134,'Base stats'!B:B,'Base stats'!AO:AO))*(AN134^0.5)+(_xlfn.XLOOKUP(B134,'Base stats'!B:B,'Base stats'!AO:AO)/1000)^(2/3)+_xlfn.XLOOKUP(B134,'Base stats'!B:B,'Base stats'!AX:AX)/2)+0.5,0.5)</f>
        <v>4.5</v>
      </c>
      <c r="Q134" s="7">
        <f>IF(P134="No","No",MAX(1,MROUND(_xlfn.XLOOKUP(B134,'Base stats'!B:B,'Base stats'!C:C)^0.165,0.05)))</f>
        <v>1.6</v>
      </c>
      <c r="R134" s="13" t="str">
        <f>IF(_xlfn.XLOOKUP(_xlfn.XLOOKUP(B134,'Base stats'!B:B,'Base stats'!E:E),Groups!A:A,Groups!P:P)=0,"No",MROUND((LOG10(_xlfn.XLOOKUP(B134,'Base stats'!B:B,'Base stats'!AP:AP))*(AN134^0.5)+(_xlfn.XLOOKUP(B134,'Base stats'!B:B,'Base stats'!AP:AP)/1000)^(2/3)+_xlfn.XLOOKUP(B134,'Base stats'!B:B,'Base stats'!AX:AX))+_xlfn.XLOOKUP(B134,'Base stats'!B:B,'Base stats'!AV:AV)+0.5,0.5))</f>
        <v>No</v>
      </c>
      <c r="S134" s="7" t="str">
        <f>IF(R134="No","No",MAX(_xlfn.XLOOKUP(_xlfn.XLOOKUP(B134,'Base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T134" s="7" t="str">
        <f>IF(R134="No","No",_xlfn.XLOOKUP(_xlfn.XLOOKUP(B134,'Base stats'!B:B,'Base stats'!E:E),Groups!A:A,Groups!R:R))</f>
        <v>No</v>
      </c>
      <c r="U134" s="7" t="str">
        <f>IF(R134="No","No",_xlfn.XLOOKUP(_xlfn.XLOOKUP(B134,'Base stats'!B:B,'Base stats'!E:E),Groups!A:A,Groups!S:S))</f>
        <v>No</v>
      </c>
      <c r="V134" s="7" t="str">
        <f>IF(R134="No","No",_xlfn.XLOOKUP(_xlfn.XLOOKUP(B134,'Base stats'!B:B,'Base stats'!E:E),Groups!A:A,Groups!T:T))</f>
        <v>No</v>
      </c>
      <c r="W134" s="13" t="str">
        <f>IF(_xlfn.XLOOKUP(B134,'Base stats'!B:B,'Base stats'!W:W)="No","No",MROUND((LOG10(_xlfn.XLOOKUP(B134,'Base stats'!B:B,'Base stats'!AR:AR))*(AN134^0.5)+(_xlfn.XLOOKUP(B134,'Base stats'!B:B,'Base stats'!AR:AR)/1000)^(2/3)+_xlfn.XLOOKUP(B134,'Base stats'!B:B,'Base stats'!AW:AW))+0.5+IF(_xlfn.XLOOKUP(_xlfn.XLOOKUP(B134,'Base stats'!B:B,'Base stats'!E:E),Groups!A:A,Groups!U:U)&lt;&gt;3,_xlfn.XLOOKUP(B134,'Base stats'!B:B,'Base stats'!AX:AX),0),0.5))</f>
        <v>No</v>
      </c>
      <c r="X134" s="7" t="str">
        <f>IF(W134="No","No",MAX(_xlfn.XLOOKUP(_xlfn.XLOOKUP(B134,'Base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Y134" s="7" t="str">
        <f>IF(W134="No","No",_xlfn.XLOOKUP(_xlfn.XLOOKUP(B134,'Base stats'!B:B,'Base stats'!E:E),Groups!A:A,Groups!W:W))</f>
        <v>No</v>
      </c>
      <c r="Z134" s="7" t="str">
        <f>IF(W134="No","No",_xlfn.XLOOKUP(_xlfn.XLOOKUP(B134,'Base stats'!B:B,'Base stats'!E:E),Groups!A:A,Groups!X:X))</f>
        <v>No</v>
      </c>
      <c r="AA134" s="7" t="str">
        <f>IF(W134="No","No",_xlfn.XLOOKUP(_xlfn.XLOOKUP(B134,'Base stats'!B:B,'Base stats'!E:E),Groups!A:A,Groups!Y:Y))</f>
        <v>No</v>
      </c>
      <c r="AB134" s="7" t="str">
        <f>_xlfn.XLOOKUP(Animals!B134,'Base stats'!B:B,'Base stats'!X:X)</f>
        <v>False</v>
      </c>
      <c r="AC134" s="13">
        <f>IF(_xlfn.XLOOKUP(B134,'Base stats'!B:B,'Base stats'!AQ:AQ)="No","No",MROUND((LOG10(_xlfn.XLOOKUP(B134,'Base stats'!B:B,'Base stats'!AQ:AQ))*(AN134^0.75)+(_xlfn.XLOOKUP(B134,'Base stats'!B:B,'Base stats'!AQ:AQ)/1000)^(2/3)+_xlfn.XLOOKUP(B134,'Base stats'!B:B,'Base stats'!AU:AU)+_xlfn.XLOOKUP(B134,'Base stats'!B:B,'Base stats'!AX:AX))+0.5,0.5))</f>
        <v>8.5</v>
      </c>
      <c r="AD134" s="7">
        <f>IF(AC134="No","No",MAX(_xlfn.XLOOKUP(_xlfn.XLOOKUP(B134,'Base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E134" s="7" t="str">
        <f>IF(AC134="No","No",_xlfn.XLOOKUP(_xlfn.XLOOKUP(B134,'Base stats'!B:B,'Base stats'!E:E),Groups!A:A,Groups!AA:AA))</f>
        <v>Teeth</v>
      </c>
      <c r="AF134" s="7" t="str">
        <f>IF(AC134="No","No",_xlfn.XLOOKUP(_xlfn.XLOOKUP(B134,'Base stats'!B:B,'Base stats'!E:E),Groups!A:A,Groups!AB:AB))</f>
        <v>canines</v>
      </c>
      <c r="AG134" s="7" t="str">
        <f>IF(AC134="No","No",_xlfn.XLOOKUP(_xlfn.XLOOKUP(B134,'Base stats'!B:B,'Base stats'!E:E),Groups!A:A,Groups!AC:AC))</f>
        <v>Bite</v>
      </c>
      <c r="AH134" s="13">
        <f>IF(_xlfn.XLOOKUP(_xlfn.XLOOKUP(B134,'Base stats'!B:B,'Base stats'!E:E),Groups!A:A,Groups!AD:AD)=0,"No",MROUND((LOG10(_xlfn.XLOOKUP(B134,'Base stats'!B:B,'Base stats'!AP:AP))*(AN134^0.75)+(_xlfn.XLOOKUP(B134,'Base stats'!B:B,'Base stats'!AP:AP)/1000)^(2/3)+_xlfn.XLOOKUP(B134,'Base stats'!B:B,'Base stats'!AV:AV)+_xlfn.XLOOKUP(B134,'Base stats'!B:B,'Base stats'!AX:AX))+0.5,0.5))</f>
        <v>5.5</v>
      </c>
      <c r="AI134" s="7">
        <f>IF(AH134="No","No",MAX(_xlfn.XLOOKUP(_xlfn.XLOOKUP(B134,'Base stats'!B:B,'Base stats'!E:E),Groups!A:A,Groups!AE:AE),MROUND(_xlfn.XLOOKUP(_xlfn.XLOOKUP(B134,'Base stats'!B:B,'Base stats'!E:E),Groups!A:A,Groups!AE:AE)*_xlfn.XLOOKUP(B134,'Base stats'!B:B,'Base stats'!C:C)^0.165,0.05)))</f>
        <v>1.05</v>
      </c>
      <c r="AJ134" s="7" t="str">
        <f>IF(AH134="No","No",_xlfn.XLOOKUP(_xlfn.XLOOKUP(B134,'Base stats'!B:B,'Base stats'!E:E),Groups!A:A,Groups!AF:AF))</f>
        <v>LeftHand, RightHand</v>
      </c>
      <c r="AK134" s="7" t="str">
        <f>IF(AH134="No","No",_xlfn.XLOOKUP(_xlfn.XLOOKUP(B134,'Base stats'!B:B,'Base stats'!E:E),Groups!A:A,Groups!AG:AG))</f>
        <v>left fist, right fist</v>
      </c>
      <c r="AL134" s="7" t="str">
        <f>IF(AH134="No","No",_xlfn.XLOOKUP(_xlfn.XLOOKUP(B134,'Base stats'!B:B,'Base stats'!E:E),Groups!A:A,Groups!AH:AH))</f>
        <v>Blunt</v>
      </c>
      <c r="AM134" s="2" t="str">
        <f t="shared" si="14"/>
        <v>No</v>
      </c>
      <c r="AN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O134" s="8">
        <f>MROUND(AN134*_xlfn.XLOOKUP(_xlfn.XLOOKUP(B134,'Base stats'!B:B,'Base stats'!E:E),Groups!A:A,Groups!AI:AI),0.05)</f>
        <v>0.55000000000000004</v>
      </c>
      <c r="AP134" s="8">
        <f>MAX(0.01,MROUND(IF(CA134="True",0.196*(AN134*100*1000)^0.889,IF(_xlfn.XLOOKUP(_xlfn.XLOOKUP(B134,'Base stats'!B:B,'Base stats'!E:E),Groups!A:A,Groups!AJ:AJ)="Bird",10.5*(AN134*100*1000)^0.681,4.82*(AN134*100*1000)^0.734))/(4.82*(1*100*1000)^0.734)/IF(AN134&lt;3.5,2,IF(AN134=3.5,1.5,1.25))*(1+0.132282374779864/(AN134^0.994035016789033+0.00905238001496948)),0.05))</f>
        <v>0.4</v>
      </c>
      <c r="AQ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R134" s="35">
        <f>IFERROR(IF(_xlfn.XLOOKUP(B134,'Base stats'!B:B,'Base stats'!F:F)="Lay eggs","Lay eggs",MIN(20,MAX(5.5,ROUND(((_xlfn.XLOOKUP(B134,'Base stats'!B:B,'Base stats'!F:F)-25)*(14.5/615) + 5.5)*2,0)/2))),"Cannot breed")</f>
        <v>9</v>
      </c>
      <c r="AS134" s="8">
        <f>IF(OR(A134="Queen",A134="Larva",A134="Megachicken"),"No",IFERROR(MAX(IF(_xlfn.XLOOKUP(B134,'Base stats'!B:B,'Base stats'!G:G)&lt;0.5,0.2,0.3),MROUND(_xlfn.XLOOKUP(B134,'Base stats'!B:B,'Base stats'!G:G)/(365/60),0.2)),"Unknown"))</f>
        <v>0.60000000000000009</v>
      </c>
      <c r="AT134" s="8">
        <f t="shared" si="15"/>
        <v>0.30000000000000004</v>
      </c>
      <c r="AU134" s="8">
        <f>IFERROR(IFERROR(MROUND(_xlfn.XLOOKUP(B134,'Base stats'!B:B,'Base stats'!J:J),0.1),"Lay eggs"),"Cannot breed")</f>
        <v>1</v>
      </c>
      <c r="AV134" s="2" t="str">
        <f t="shared" si="16"/>
        <v>true</v>
      </c>
      <c r="AW134" s="2" t="str">
        <f>IF(_xlfn.XLOOKUP(_xlfn.XLOOKUP(Animals!B134,'Base stats'!B:B,'Base stats'!E:E),Groups!A:A,Groups!AK:AK)=1,"true","false")</f>
        <v>false</v>
      </c>
      <c r="AX134" s="25" t="str">
        <f>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</f>
        <v>OmnivoreRoughAnimal, OvivoreAnimal</v>
      </c>
      <c r="AY134" s="2" t="str">
        <f>IF(_xlfn.XLOOKUP(_xlfn.XLOOKUP(B134,'Base stats'!B:B,'Base stats'!E:E),Groups!A:A,Groups!D:D)=1,MROUND((1-I134)*5+1,2)*IF(I134&lt;=0.4,2,1),"No")</f>
        <v>No</v>
      </c>
      <c r="AZ134" s="2" t="str">
        <f>_xlfn.XLOOKUP(B134,'Base stats'!B:B,'Base stats'!AE:AE)</f>
        <v>Leather_Light</v>
      </c>
      <c r="BA134" s="23" t="str">
        <f>_xlfn.XLOOKUP(_xlfn.XLOOKUP(B134,'Base stats'!B:B,'Base stats'!E:E),Groups!A:A,Groups!AL:AL)</f>
        <v>Monkey</v>
      </c>
      <c r="BB134" s="23">
        <f>MROUND(IF(AND(AN134&lt;0.5,_xlfn.XLOOKUP(B134,'Base stats'!B:B,'Base stats'!Z:Z)=0),0,IF(OR(_xlfn.XLOOKUP(Animals!B134,'Base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stats'!AA:AA),0.005)</f>
        <v>0</v>
      </c>
      <c r="BC134" s="23">
        <f>MROUND(IF(AND(AN134&lt;0.5,_xlfn.XLOOKUP(B134,'Base stats'!B:B,'Base stats'!Z:Z)=0),0,IF(_xlfn.XLOOKUP(_xlfn.XLOOKUP(B134,'Base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stats'!AB:AB),0.005)</f>
        <v>0</v>
      </c>
      <c r="BD134" s="2" t="str">
        <f>IF(I134&gt;0.3,"No",_xlfn.XLOOKUP(_xlfn.XLOOKUP(Animals!B134,'Base stats'!B:B,'Base stats'!E:E),Groups!A:A,Groups!AP:AP))</f>
        <v>No</v>
      </c>
      <c r="BE134" s="2">
        <f>IF(AND(I134&lt;=0.65,_xlfn.XLOOKUP(_xlfn.XLOOKUP(Animals!B134,'Base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stats'!O:O)=2,0.2,AN134) + 24*(1-IF(BD134="No",0,BD134)) + 16/3, 12),"No")</f>
        <v>48</v>
      </c>
      <c r="BF134" s="2">
        <f>IF(AND(_xlfn.XLOOKUP(_xlfn.XLOOKUP(B134,'Base stats'!B:B,'Base stats'!E:E),Groups!A:A,Groups!AQ:AQ)=1,AN134&lt;=0.35),8,12)</f>
        <v>12</v>
      </c>
      <c r="BG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H134" s="2" t="str">
        <f>IF(AND(_xlfn.XLOOKUP(_xlfn.XLOOKUP(B134,'Base stats'!B:B,'Base stats'!E:E),Groups!A:A,Groups!AS:AS)=1,OR('Base stats'!Y134="Carnivore",'Base stats'!Y134="Omnivore")),"true","false")</f>
        <v>false</v>
      </c>
      <c r="BI134" s="2" t="str">
        <f>IF(BH134="true",MROUND(IF(AND(AN134&gt;0.5,_xlfn.XLOOKUP(_xlfn.XLOOKUP(B134,'Base stats'!B:B,'Base stats'!E:E),Groups!A:A,Groups!AJ:AJ)="Mammal"),Animals!AN134*1.75*IF(AV134="true",1.5,1),Animals!AN134),IF(AN134&gt;2,0.5,IF(AN134&gt;0.5,0.25,0.1))),"No")</f>
        <v>No</v>
      </c>
      <c r="BJ134" s="2">
        <f t="shared" si="17"/>
        <v>1</v>
      </c>
      <c r="BK134" s="25" t="str">
        <f>IF('Base stats'!AK134="Standard","No",MROUND((_xlfn.XLOOKUP(B134,'Base stats'!B:B,'Base stats'!AK:AK)/3.6)/H134,0.1))</f>
        <v>No</v>
      </c>
      <c r="BL134" s="25" t="str">
        <f t="shared" si="18"/>
        <v>false</v>
      </c>
      <c r="BM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N134" s="25" t="str" cm="1">
        <f t="array" ref="BN134">IF(
  _xlfn.TEXTJOIN(", ",TRUE,
    IF(AND(BH134="true",AN134&gt;0.5,BG134&lt;&gt;"None"),"AttackTarget",""),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IF(BE134&lt;=36,"Comfort",""),
    IF(_xlfn.XLOOKUP(B134,'Base stats'!B:B,'Base stats'!AC:AC)&lt;&gt;"No",_xlfn.XLOOKUP(B134,'Base stats'!B:B,'Base stats'!AC:AC),"")
  ) = "",
  "No",
  _xlfn.TEXTJOIN(", ",TRUE,
    IF(AND(BH134="true",AN134&gt;0.5,BG134&lt;&gt;"None"),"AttackTarget",""),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IF(BE134&lt;=36,"Comfort",""),
    IF(_xlfn.XLOOKUP(B134,'Base stats'!B:B,'Base stats'!AC:AC)&lt;&gt;"No",_xlfn.XLOOKUP(B134,'Base stats'!B:B,'Base stats'!AC:AC),"")
  )
)</f>
        <v>Forage</v>
      </c>
      <c r="BO134" s="25" t="str">
        <f>IF(
   AND(
      'Base stats'!AK134="Standard",_xlfn.XLOOKUP(_xlfn.XLOOKUP(B134,'Base stats'!B:B,'Base stats'!E:E),Groups!A:A,Groups!AU:AU)=0,
      OR(
      BM134="True"
      )
   ),
   10,
   IF(
       OR(BK134&lt;&gt;"No",_xlfn.XLOOKUP(_xlfn.XLOOKUP(B134,'Base stats'!B:B,'Base stats'!E:E),Groups!A:A,Groups!AU:AU)=1),
      1,
      "No"
   )
)</f>
        <v>No</v>
      </c>
      <c r="BP134" s="9">
        <f>MROUND((1 + ((0.2*IF(OR(P134="No",Q134="No",Q134=0),0,P134/Q134)
+IF(OR(U134="No",R134="No",S134="No"),0,R134/S134*(LEN(U134)-LEN(SUBSTITUTE(U134,",",""))+1))
+IF(OR(W134="No",X134="No"),0,W134/X134)
+IF(OR(AC134="No",AD134="No"),0,AC134/AD134)
+IF(OR(AK134="No",AH134="No",AI134="No"),0,AH134/AI134*(LEN(AK134)-LEN(SUBSTITUTE(AK134,",",""))+1))
)/(0.2*IF(OR(P134="No",Q134="No",Q134=0),0,1)
+IF(OR(U134="No",R134="No",S134="No"),0,LEN(U134)-LEN(SUBSTITUTE(U134,",",""))+1)
+IF(OR(W134="No",X134="No"),0,1)
+IF(OR(AC134="No",AD134="No"),0,1)
+IF(OR(AK134="No",AH134="No",AI134="No"),0,LEN(AK134)-LEN(SUBSTITUTE(AK134,",",""))+1))*62%)* 2)*(1 + (AO134 + _xlfn.XLOOKUP(B134,'Base stats'!B:B,'Base stats'!AS:AS) * 1.8) * 2) * 2.5 + 10 + H134 * 2,5)+IF(_xlfn.XLOOKUP(B134,'Base stats'!B:B,'Base stats'!AH:AH)=1,50,0)</f>
        <v>60</v>
      </c>
      <c r="BQ134" s="8">
        <f t="shared" si="19"/>
        <v>0.45</v>
      </c>
      <c r="BR134" s="8" t="str">
        <f>_xlfn.XLOOKUP(B134,'Base stats'!B:B,'Base stats'!AD:AD)</f>
        <v>3~10</v>
      </c>
      <c r="BS134" s="2" t="str">
        <f>IF(AND(I134&lt;=0.95,OR(_xlfn.XLOOKUP(B134,'Base stats'!B:B,'Base stats'!AH:AH)=1,_xlfn.XLOOKUP(B134,'Base stats'!B:B,'Base stats'!Y:Y)="Carnivore",_xlfn.XLOOKUP(B134,'Base stats'!B:B,'Base stats'!Y:Y)="Omnivore",BC134&gt;0.1)),"true","false")</f>
        <v>false</v>
      </c>
      <c r="BT134" s="2" t="str">
        <f>IF(_xlfn.XLOOKUP(B134,'Base stats'!B:B,'Base stats'!AF:AF)=1,"true","false")</f>
        <v>false</v>
      </c>
      <c r="BU134" s="25" t="str">
        <f>IF(E134="BaseInsect","AnimalInsect",
IF(I134&gt;0.95,"AnimalExotic",
_xlfn.TEXTJOIN(", ",TRUE,
IF(AND(_xlfn.XLOOKUP(B134,'Base stats'!B:B,'Base stats'!O:O)=0,_xlfn.XLOOKUP(_xlfn.XLOOKUP(B134,'Base stats'!B:B,'Base stats'!E:E),Groups!A:A,Groups!B:B)&gt;0),"AnimalUncommon","AnimalCommon"),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stats'!AH:AH)=1,AND(BG134&lt;&gt;"None",BP134&gt;=60),ISNUMBER(SEARCH("Attack target",BN134))),"AnimalFighter","")
)))</f>
        <v>AnimalUncommon, AnimalFighter</v>
      </c>
      <c r="BV134" s="25" t="str">
        <f>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</f>
        <v>TropicalRainforest TropicalSwamp Glowforest</v>
      </c>
      <c r="BW134" s="25" t="str">
        <f>IF(_xlfn.XLOOKUP(B134,'Base stats'!B:B,'Base stats'!AG:AG)=1,"true","false")</f>
        <v>false</v>
      </c>
      <c r="BX134" s="25">
        <f>IF(_xlfn.XLOOKUP(B134,'Base stats'!B:B,'Base stats'!N:N)=1,"No",MIN(MROUND(IF(OR(_xlfn.XLOOKUP(B134,'Base stats'!B:B,'Base stats'!AJ:AJ)=1,AND(BH134="True",CA134="False")),POWER(10,3.47*LOG10(_xlfn.XLOOKUP(B134,'Base stats'!B:B,'Base stats'!C:C)*1000)^-0.96),POWER(10,4.15*LOG10(_xlfn.XLOOKUP(B134,'Base stats'!B:B,'Base stats'!C:C)*1000)^-0.73))*IF(OR(_xlfn.XLOOKUP(B134,'Base stats'!B:B,'Base stats'!AJ:AJ)=1,_xlfn.XLOOKUP(B134,'Base stats'!B:B,'Base stats'!AH:AH)=1),0.5,1)/100,0.025),1))</f>
        <v>0.27500000000000002</v>
      </c>
      <c r="BY134" s="25" t="str">
        <f>IF(O134="Standard","No",IF(_xlfn.XLOOKUP(B134,'Base stats'!B:B,'Base stats'!N:N)=0,MROUND(BX134*O134,0.05),MIN(1,MAX(0.025,MROUND(IF(OR(CA134="true",AND(BH134="false",BM134="false")),POWER(10,4.15*LOG10(_xlfn.XLOOKUP(B134,'Base stats'!B:B,'Base stats'!C:C)*1000)^-0.73),POWER(10,3.47*LOG10(_xlfn.XLOOKUP(B134,'Base stats'!B:B,'Base stats'!C:C)*1000)^-0.96))*IF(_xlfn.XLOOKUP(B134,'Base stats'!B:B,'Base stats'!AH:AH)=1,0.5,1)/100,0.025)))))</f>
        <v>No</v>
      </c>
      <c r="BZ134" s="25" t="str">
        <f>IF(_xlfn.XLOOKUP(_xlfn.XLOOKUP(B134,'Base stats'!B:B,'Base stats'!E:E),Groups!A:A,Groups!AJ:AJ)="Mammal","True","False")</f>
        <v>True</v>
      </c>
      <c r="CA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B134" s="25" t="str">
        <f t="shared" si="20"/>
        <v>False</v>
      </c>
      <c r="CC134" s="25" t="str">
        <f>IF(_xlfn.XLOOKUP(_xlfn.XLOOKUP(B134,'Base stats'!B:B,'Base stats'!E:E),Groups!A:A,Groups!AW:AW),"True","False")</f>
        <v>False</v>
      </c>
      <c r="CD134" s="25" t="str">
        <f>IF(_xlfn.XLOOKUP(_xlfn.XLOOKUP(B134,'Base stats'!B:B,'Base stats'!E:E),Groups!A:A,Groups!AX:AX),"True","False")</f>
        <v>False</v>
      </c>
      <c r="CE134" s="25" t="str">
        <f>IF(_xlfn.XLOOKUP(B134,'Base stats'!B:B,'Base stats'!E:E)=1,"True","False")</f>
        <v>False</v>
      </c>
      <c r="CF134" s="25" t="str">
        <f>IF(
OR(
_xlfn.XLOOKUP(_xlfn.XLOOKUP(B134,'Base stats'!B:B,'Base stats'!E:E),Groups!A:A,Groups!AY:AY)=0,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stats'!E:E),Groups!A:A,Groups!AY:AY)=1,
"Flesh",
IF(
_xlfn.XLOOKUP(_xlfn.XLOOKUP(B134,'Base stats'!B:B,'Base stats'!E:E),Groups!A:A,Groups!AY:AY)=2,
"Bone",
""
)
)
)</f>
        <v>No</v>
      </c>
      <c r="CG134" s="25" t="str">
        <f>IF(_xlfn.XLOOKUP(_xlfn.XLOOKUP(B134,'Base stats'!B:B,'Base stats'!E:E),Groups!A:A,Groups!BA:BA),"True","False")</f>
        <v>True</v>
      </c>
      <c r="CH134" s="25" t="str">
        <f>IF(_xlfn.XLOOKUP(_xlfn.XLOOKUP(B134,'Base stats'!B:B,'Base stats'!E:E),Groups!A:A,Groups!AZ:AZ),"True","False")</f>
        <v>False</v>
      </c>
    </row>
    <row r="135" spans="1:86" ht="16.5" thickTop="1" thickBot="1" x14ac:dyDescent="0.3">
      <c r="A135" s="26" t="str">
        <f>_xlfn.XLOOKUP(B135,'Base stats'!B:B,'Base stats'!A:A)</f>
        <v>Tapir</v>
      </c>
      <c r="B135" s="6" t="s">
        <v>97</v>
      </c>
      <c r="C135" s="28" t="s">
        <v>828</v>
      </c>
      <c r="D135" s="28" t="s">
        <v>884</v>
      </c>
      <c r="E135" s="28" t="s">
        <v>685</v>
      </c>
      <c r="F135" s="28" t="s">
        <v>685</v>
      </c>
      <c r="G135" s="2">
        <f>MROUND((
  (IF(AND(_xlfn.XLOOKUP(B135,'Base stats'!B:B,'Base stats'!AI:AI)=0,BG135="None",_xlfn.XLOOKUP('Base stats'!E135,Groups!A:A,Groups!B:B)=0), (18 + BP135 * 2.7) * 0.5,
    IF(AND(_xlfn.XLOOKUP(B135,'Base stats'!B:B,'Base stats'!AI:AI)=0,OR(AN135&lt;0.55,AND(BG135="Intermediate",_xlfn.XLOOKUP('Base stats'!E135,Groups!A:A,Groups!B:B)&lt;2))), (18 + BP135 * 2.7),
      IF(OR(BG135="Advanced",_xlfn.XLOOKUP(B135,'Base stats'!B:B,'Base stats'!AI:AI)=1,_xlfn.XLOOKUP('Base stats'!E135,Groups!A:A,Groups!B:B)=2), (18 + BP135 * 2.7) + 250, (18 + BP135 * 2.7))
    )
  ))
  + AN135 * 80
  + IF(COUNTIF(EggMilk!K$2:K$998, A135) &gt; 0, 125, 0)
  + IF(COUNTIF(EggMilk!P$2:P$998, A135) &gt; 0, 90, 0)
  + IF(COUNTIF(EggMilk!A$2:A$998, A135) &gt; 0, 90, 0)
)
* (0.8 + 0.4 * I135)
* 0.75,25)</f>
        <v>325</v>
      </c>
      <c r="H135" s="2">
        <f>MROUND(ROUNDDOWN(_xlfn.XLOOKUP(B135,'Base stats'!B:B,'Base stats'!L:L)/3.6/(23.3/11),1),0.5)</f>
        <v>5</v>
      </c>
      <c r="I135" s="2">
        <f>IF(_xlfn.XLOOKUP(B135,'Base stats'!B:B,'Base stats'!AI:AI)=1,0.99,MIN(MROUND((1-0.6282*EXP(-0.459*AN135))*_xlfn.XLOOKUP(_xlfn.XLOOKUP(B135,'Base stats'!B:B,'Base stats'!E:E),Groups!A:A,Groups!C:C)*IF(_xlfn.XLOOKUP(B135,'Base stats'!B:B,'Base stats'!O:O)=1,0.5,IF(_xlfn.XLOOKUP(B135,'Base stats'!B:B,'Base stats'!O:O)=2,0,1)),0.05),0.985))</f>
        <v>0.8</v>
      </c>
      <c r="J135" s="2">
        <f>ROUNDUP(AN135*_xlfn.XLOOKUP(_xlfn.XLOOKUP(B135,'Base stats'!B:B,'Base stats'!E:E),Groups!A:A,Groups!E:E),0)</f>
        <v>12</v>
      </c>
      <c r="K135" s="2">
        <f>IF(OR(_xlfn.XLOOKUP(_xlfn.XLOOKUP(B135,'Base stats'!B:B,'Base stats'!E:E),Groups!A:A,Groups!F:F)=2,ISNUMBER(SEARCH("SeaIce",BV135)),ISNUMBER(SEARCH("IceSheet",BV135))),-50,IF(OR(ISNUMBER(SEARCH("GlacialPlain",BV135)),ISNUMBER(SEARCH("Tundra",BV135))),-40,IF(OR(ISNUMBER(SEARCH("Alpine",BV135)),ISNUMBER(SEARCH("BorealForest",BV135)),ISNUMBER(SEARCH("ColdBog",BV135))),-30,IF(OR(ISNUMBER(SEARCH("TemperateForest",BV135)),ISNUMBER(SEARCH("TemperateSwamp",BV135))),-20,IF(_xlfn.XLOOKUP(_xlfn.XLOOKUP(B135,'Base stats'!B:B,'Base stats'!E:E),Groups!A:A,Groups!F:F)=1,-15,IF(OR(ISNUMBER(SEARCH("Desert",BV135)),ISNUMBER(SEARCH("ExtremeDesert",BV135))),-10,IF(OR(ISNUMBER(SEARCH("Grasslands",BV135)),ISNUMBER(SEARCH("TropicalRainforest",BV135)),ISNUMBER(SEARCH("TropicalSwamp",BV135))),10,0)))))))-IF(CA135="False",MIN(IFERROR(MAX(MROUND(LOG10(_xlfn.XLOOKUP(B135,'Base stats'!B:B,'Base stats'!C:C)^(2/3))*10,5),5),5),30))-_xlfn.XLOOKUP(B135,'Base stats'!B:B,'Base stats'!P:P)+IF(CA135="True",5,0)</f>
        <v>-30</v>
      </c>
      <c r="L135" s="2">
        <f>IF(OR(_xlfn.XLOOKUP(_xlfn.XLOOKUP(B135,'Base stats'!B:B,'Base stats'!E:E),Groups!A:A,Groups!G:G)=2,ISNUMBER(SEARCH("Desert",BV135)),ISNUMBER(SEARCH("ExtremeDesert",BV135)),ISNUMBER(SEARCH("LavaField",BV135))),50,IF(ISNUMBER(SEARCH("Grasslands",BV135)),45,IF(OR(_xlfn.XLOOKUP(_xlfn.XLOOKUP(B135,'Base stats'!B:B,'Base stats'!E:E),Groups!A:A,Groups!G:G)=1,ISNUMBER(SEARCH("TropicalRainforest",BV135)),ISNUMBER(SEARCH("TropicalSwamp",BV135))),40,IF(OR(ISNUMBER(SEARCH("TemperateForest",BV135)),ISNUMBER(SEARCH("TemperateSwamp",BV135))),35,IF(OR(ISNUMBER(SEARCH("Alpine",BV135)),ISNUMBER(SEARCH("BorealForest",BV135)),ISNUMBER(SEARCH("ColdBog",BV135))),30,IF(ISNUMBER(OR(ISNUMBER(SEARCH("GlacialPlain",BV135)),SEARCH("Tundra",BV135))),25,IF(OR(ISNUMBER(SEARCH("SeaIce",BV135)),ISNUMBER(SEARCH("IceSheet",BV135)),ISNUMBER(SEARCH("TropicalSwamp",BV135))),10,35)))))))+_xlfn.XLOOKUP(B135,'Base stats'!B:B,'Base stats'!Q:Q)</f>
        <v>40</v>
      </c>
      <c r="M135" s="8" t="str">
        <f>IF(_xlfn.XLOOKUP(_xlfn.XLOOKUP(B135,'Base stats'!B:B,'Base stats'!E:E),Groups!A:A,Groups!L:L)=1,MIN(MROUND(_xlfn.XLOOKUP(B135,'Animals CE'!B:B,'Animals CE'!Z:Z)/2+0.05,0.05),200%),"No")</f>
        <v>No</v>
      </c>
      <c r="N135" s="8" t="str">
        <f>IF(_xlfn.XLOOKUP(_xlfn.XLOOKUP(B135,'Base stats'!B:B,'Base stats'!E:E),Groups!A:A,Groups!L:L)=1,MIN(MROUND(_xlfn.XLOOKUP(B135,'Animals CE'!B:B,'Animals CE'!AA:AA)/2+0.05,0.05),200%),"No")</f>
        <v>No</v>
      </c>
      <c r="O135" s="2" t="str">
        <f>_xlfn.XLOOKUP(B135,'Base stats'!B:B,'Base stats'!R:R)</f>
        <v>Standard</v>
      </c>
      <c r="P135" s="13">
        <f>MROUND((LOG10(_xlfn.XLOOKUP(B135,'Base stats'!B:B,'Base stats'!AO:AO))*(AN135^0.5)+(_xlfn.XLOOKUP(B135,'Base stats'!B:B,'Base stats'!AO:AO)/1000)^(2/3)+_xlfn.XLOOKUP(B135,'Base stats'!B:B,'Base stats'!AX:AX)/2)+0.5,0.5)</f>
        <v>13</v>
      </c>
      <c r="Q135" s="7">
        <f>IF(P135="No","No",MAX(1,MROUND(_xlfn.XLOOKUP(B135,'Base stats'!B:B,'Base stats'!C:C)^0.165,0.05)))</f>
        <v>2.5500000000000003</v>
      </c>
      <c r="R135" s="13">
        <f>IF(_xlfn.XLOOKUP(_xlfn.XLOOKUP(B135,'Base stats'!B:B,'Base stats'!E:E),Groups!A:A,Groups!P:P)=0,"No",MROUND((LOG10(_xlfn.XLOOKUP(B135,'Base stats'!B:B,'Base stats'!AP:AP))*(AN135^0.5)+(_xlfn.XLOOKUP(B135,'Base stats'!B:B,'Base stats'!AP:AP)/1000)^(2/3)+_xlfn.XLOOKUP(B135,'Base stats'!B:B,'Base stats'!AX:AX))+_xlfn.XLOOKUP(B135,'Base stats'!B:B,'Base stats'!AV:AV)+0.5,0.5))</f>
        <v>16</v>
      </c>
      <c r="S135" s="7">
        <f>IF(R135="No","No",MAX(_xlfn.XLOOKUP(_xlfn.XLOOKUP(B135,'Base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T135" s="7" t="str">
        <f>IF(R135="No","No",_xlfn.XLOOKUP(_xlfn.XLOOKUP(B135,'Base stats'!B:B,'Base stats'!E:E),Groups!A:A,Groups!R:R))</f>
        <v>FrontLeftLeg, FrontRightLeg</v>
      </c>
      <c r="U135" s="7" t="str">
        <f>IF(R135="No","No",_xlfn.XLOOKUP(_xlfn.XLOOKUP(B135,'Base stats'!B:B,'Base stats'!E:E),Groups!A:A,Groups!S:S))</f>
        <v>left hoof, right hoof</v>
      </c>
      <c r="V135" s="7" t="str">
        <f>IF(R135="No","No",_xlfn.XLOOKUP(_xlfn.XLOOKUP(B135,'Base stats'!B:B,'Base stats'!E:E),Groups!A:A,Groups!T:T))</f>
        <v>Blunt</v>
      </c>
      <c r="W135" s="13" t="str">
        <f>IF(_xlfn.XLOOKUP(B135,'Base stats'!B:B,'Base stats'!W:W)="No","No",MROUND((LOG10(_xlfn.XLOOKUP(B135,'Base stats'!B:B,'Base stats'!AR:AR))*(AN135^0.5)+(_xlfn.XLOOKUP(B135,'Base stats'!B:B,'Base stats'!AR:AR)/1000)^(2/3)+_xlfn.XLOOKUP(B135,'Base stats'!B:B,'Base stats'!AW:AW))+0.5+IF(_xlfn.XLOOKUP(_xlfn.XLOOKUP(B135,'Base stats'!B:B,'Base stats'!E:E),Groups!A:A,Groups!U:U)&lt;&gt;3,_xlfn.XLOOKUP(B135,'Base stats'!B:B,'Base stats'!AX:AX),0),0.5))</f>
        <v>No</v>
      </c>
      <c r="X135" s="7" t="str">
        <f>IF(W135="No","No",MAX(_xlfn.XLOOKUP(_xlfn.XLOOKUP(B135,'Base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Y135" s="7" t="str">
        <f>IF(W135="No","No",_xlfn.XLOOKUP(_xlfn.XLOOKUP(B135,'Base stats'!B:B,'Base stats'!E:E),Groups!A:A,Groups!W:W))</f>
        <v>No</v>
      </c>
      <c r="Z135" s="7" t="str">
        <f>IF(W135="No","No",_xlfn.XLOOKUP(_xlfn.XLOOKUP(B135,'Base stats'!B:B,'Base stats'!E:E),Groups!A:A,Groups!X:X))</f>
        <v>No</v>
      </c>
      <c r="AA135" s="7" t="str">
        <f>IF(W135="No","No",_xlfn.XLOOKUP(_xlfn.XLOOKUP(B135,'Base stats'!B:B,'Base stats'!E:E),Groups!A:A,Groups!Y:Y))</f>
        <v>No</v>
      </c>
      <c r="AB135" s="7" t="str">
        <f>_xlfn.XLOOKUP(Animals!B135,'Base stats'!B:B,'Base stats'!X:X)</f>
        <v>False</v>
      </c>
      <c r="AC135" s="13">
        <f>IF(_xlfn.XLOOKUP(B135,'Base stats'!B:B,'Base stats'!AQ:AQ)="No","No",MROUND((LOG10(_xlfn.XLOOKUP(B135,'Base stats'!B:B,'Base stats'!AQ:AQ))*(AN135^0.75)+(_xlfn.XLOOKUP(B135,'Base stats'!B:B,'Base stats'!AQ:AQ)/1000)^(2/3)+_xlfn.XLOOKUP(B135,'Base stats'!B:B,'Base stats'!AU:AU)+_xlfn.XLOOKUP(B135,'Base stats'!B:B,'Base stats'!AX:AX))+0.5,0.5))</f>
        <v>16.5</v>
      </c>
      <c r="AD135" s="7">
        <f>IF(AC135="No","No",MAX(_xlfn.XLOOKUP(_xlfn.XLOOKUP(B135,'Base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E135" s="7" t="str">
        <f>IF(AC135="No","No",_xlfn.XLOOKUP(_xlfn.XLOOKUP(B135,'Base stats'!B:B,'Base stats'!E:E),Groups!A:A,Groups!AA:AA))</f>
        <v>Teeth</v>
      </c>
      <c r="AF135" s="7" t="str">
        <f>IF(AC135="No","No",_xlfn.XLOOKUP(_xlfn.XLOOKUP(B135,'Base stats'!B:B,'Base stats'!E:E),Groups!A:A,Groups!AB:AB))</f>
        <v>teeth</v>
      </c>
      <c r="AG135" s="7" t="str">
        <f>IF(AC135="No","No",_xlfn.XLOOKUP(_xlfn.XLOOKUP(B135,'Base stats'!B:B,'Base stats'!E:E),Groups!A:A,Groups!AC:AC))</f>
        <v>Bite</v>
      </c>
      <c r="AH135" s="13" t="str">
        <f>IF(_xlfn.XLOOKUP(_xlfn.XLOOKUP(B135,'Base stats'!B:B,'Base stats'!E:E),Groups!A:A,Groups!AD:AD)=0,"No",MROUND((LOG10(_xlfn.XLOOKUP(B135,'Base stats'!B:B,'Base stats'!AP:AP))*(AN135^0.75)+(_xlfn.XLOOKUP(B135,'Base stats'!B:B,'Base stats'!AP:AP)/1000)^(2/3)+_xlfn.XLOOKUP(B135,'Base stats'!B:B,'Base stats'!AV:AV)+_xlfn.XLOOKUP(B135,'Base stats'!B:B,'Base stats'!AX:AX))+0.5,0.5))</f>
        <v>No</v>
      </c>
      <c r="AI135" s="7" t="str">
        <f>IF(AH135="No","No",MAX(_xlfn.XLOOKUP(_xlfn.XLOOKUP(B135,'Base stats'!B:B,'Base stats'!E:E),Groups!A:A,Groups!AE:AE),MROUND(_xlfn.XLOOKUP(_xlfn.XLOOKUP(B135,'Base stats'!B:B,'Base stats'!E:E),Groups!A:A,Groups!AE:AE)*_xlfn.XLOOKUP(B135,'Base stats'!B:B,'Base stats'!C:C)^0.165,0.05)))</f>
        <v>No</v>
      </c>
      <c r="AJ135" s="7" t="str">
        <f>IF(AH135="No","No",_xlfn.XLOOKUP(_xlfn.XLOOKUP(B135,'Base stats'!B:B,'Base stats'!E:E),Groups!A:A,Groups!AF:AF))</f>
        <v>No</v>
      </c>
      <c r="AK135" s="7" t="str">
        <f>IF(AH135="No","No",_xlfn.XLOOKUP(_xlfn.XLOOKUP(B135,'Base stats'!B:B,'Base stats'!E:E),Groups!A:A,Groups!AG:AG))</f>
        <v>No</v>
      </c>
      <c r="AL135" s="7" t="str">
        <f>IF(AH135="No","No",_xlfn.XLOOKUP(_xlfn.XLOOKUP(B135,'Base stats'!B:B,'Base stats'!E:E),Groups!A:A,Groups!AH:AH))</f>
        <v>No</v>
      </c>
      <c r="AM135" s="2" t="str">
        <f t="shared" si="14"/>
        <v>No</v>
      </c>
      <c r="AN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O135" s="8">
        <f>MROUND(AN135*_xlfn.XLOOKUP(_xlfn.XLOOKUP(B135,'Base stats'!B:B,'Base stats'!E:E),Groups!A:A,Groups!AI:AI),0.05)</f>
        <v>2.25</v>
      </c>
      <c r="AP135" s="8">
        <f>MAX(0.01,MROUND(IF(CA135="True",0.196*(AN135*100*1000)^0.889,IF(_xlfn.XLOOKUP(_xlfn.XLOOKUP(B135,'Base stats'!B:B,'Base stats'!E:E),Groups!A:A,Groups!AJ:AJ)="Bird",10.5*(AN135*100*1000)^0.681,4.82*(AN135*100*1000)^0.734))/(4.82*(1*100*1000)^0.734)/IF(AN135&lt;3.5,2,IF(AN135=3.5,1.5,1.25))*(1+0.132282374779864/(AN135^0.994035016789033+0.00905238001496948)),0.05))</f>
        <v>0.95000000000000007</v>
      </c>
      <c r="AQ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R135" s="35">
        <f>IFERROR(IF(_xlfn.XLOOKUP(B135,'Base stats'!B:B,'Base stats'!F:F)="Lay eggs","Lay eggs",MIN(20,MAX(5.5,ROUND(((_xlfn.XLOOKUP(B135,'Base stats'!B:B,'Base stats'!F:F)-25)*(14.5/615) + 5.5)*2,0)/2))),"Cannot breed")</f>
        <v>14.5</v>
      </c>
      <c r="AS135" s="8">
        <f>IF(OR(A135="Queen",A135="Larva",A135="Megachicken"),"No",IFERROR(MAX(IF(_xlfn.XLOOKUP(B135,'Base stats'!B:B,'Base stats'!G:G)&lt;0.5,0.2,0.3),MROUND(_xlfn.XLOOKUP(B135,'Base stats'!B:B,'Base stats'!G:G)/(365/60),0.2)),"Unknown"))</f>
        <v>0.4</v>
      </c>
      <c r="AT135" s="8">
        <f t="shared" si="15"/>
        <v>0.2</v>
      </c>
      <c r="AU135" s="8">
        <f>IFERROR(IFERROR(MROUND(_xlfn.XLOOKUP(B135,'Base stats'!B:B,'Base stats'!J:J),0.1),"Lay eggs"),"Cannot breed")</f>
        <v>1</v>
      </c>
      <c r="AV135" s="2" t="str">
        <f t="shared" si="16"/>
        <v>false</v>
      </c>
      <c r="AW135" s="2" t="str">
        <f>IF(_xlfn.XLOOKUP(_xlfn.XLOOKUP(Animals!B135,'Base stats'!B:B,'Base stats'!E:E),Groups!A:A,Groups!AK:AK)=1,"true","false")</f>
        <v>true</v>
      </c>
      <c r="AX135" s="25" t="str">
        <f>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</f>
        <v>VegetarianRoughAnimal</v>
      </c>
      <c r="AY135" s="2">
        <f>IF(_xlfn.XLOOKUP(_xlfn.XLOOKUP(B135,'Base stats'!B:B,'Base stats'!E:E),Groups!A:A,Groups!D:D)=1,MROUND((1-I135)*5+1,2)*IF(I135&lt;=0.4,2,1),"No")</f>
        <v>2</v>
      </c>
      <c r="AZ135" s="2" t="str">
        <f>_xlfn.XLOOKUP(B135,'Base stats'!B:B,'Base stats'!AE:AE)</f>
        <v>Leather_Plain</v>
      </c>
      <c r="BA135" s="23" t="str">
        <f>_xlfn.XLOOKUP(_xlfn.XLOOKUP(B135,'Base stats'!B:B,'Base stats'!E:E),Groups!A:A,Groups!AL:AL)</f>
        <v>QuadrupedAnimalWithHooves</v>
      </c>
      <c r="BB135" s="23">
        <f>MROUND(IF(AND(AN135&lt;0.5,_xlfn.XLOOKUP(B135,'Base stats'!B:B,'Base stats'!Z:Z)=0),0,IF(OR(_xlfn.XLOOKUP(Animals!B135,'Base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stats'!AA:AA),0.005)</f>
        <v>0</v>
      </c>
      <c r="BC135" s="23">
        <f>MROUND(IF(AND(AN135&lt;0.5,_xlfn.XLOOKUP(B135,'Base stats'!B:B,'Base stats'!Z:Z)=0),0,IF(_xlfn.XLOOKUP(_xlfn.XLOOKUP(B135,'Base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stats'!AB:AB),0.005)</f>
        <v>0</v>
      </c>
      <c r="BD135" s="2" t="str">
        <f>IF(I135&gt;0.3,"No",_xlfn.XLOOKUP(_xlfn.XLOOKUP(Animals!B135,'Base stats'!B:B,'Base stats'!E:E),Groups!A:A,Groups!AP:AP))</f>
        <v>No</v>
      </c>
      <c r="BE135" s="2" t="str">
        <f>IF(AND(I135&lt;=0.65,_xlfn.XLOOKUP(_xlfn.XLOOKUP(Animals!B135,'Base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stats'!O:O)=2,0.2,AN135) + 24*(1-IF(BD135="No",0,BD135)) + 16/3, 12),"No")</f>
        <v>No</v>
      </c>
      <c r="BF135" s="2">
        <f>IF(AND(_xlfn.XLOOKUP(_xlfn.XLOOKUP(B135,'Base stats'!B:B,'Base stats'!E:E),Groups!A:A,Groups!AQ:AQ)=1,AN135&lt;=0.35),8,12)</f>
        <v>12</v>
      </c>
      <c r="BG135" s="2" t="str">
        <f>IF(_xlfn.XLOOKUP(_xlfn.XLOOKUP(B135,'Base stats'!B:B,'Base stats'!E:E),Groups!A:A,Groups!D:D)=0,_xlfn.XLOOKUP(_xlfn.XLOOKUP(B135,'Base stats'!B:B,'Base stats'!E:E),Groups!A:A,Groups!AR:AR),"None")</f>
        <v>None</v>
      </c>
      <c r="BH135" s="2" t="str">
        <f>IF(AND(_xlfn.XLOOKUP(_xlfn.XLOOKUP(B135,'Base stats'!B:B,'Base stats'!E:E),Groups!A:A,Groups!AS:AS)=1,OR('Base stats'!Y135="Carnivore",'Base stats'!Y135="Omnivore")),"true","false")</f>
        <v>false</v>
      </c>
      <c r="BI135" s="2" t="str">
        <f>IF(BH135="true",MROUND(IF(AND(AN135&gt;0.5,_xlfn.XLOOKUP(_xlfn.XLOOKUP(B135,'Base stats'!B:B,'Base stats'!E:E),Groups!A:A,Groups!AJ:AJ)="Mammal"),Animals!AN135*1.75*IF(AV135="true",1.5,1),Animals!AN135),IF(AN135&gt;2,0.5,IF(AN135&gt;0.5,0.25,0.1))),"No")</f>
        <v>No</v>
      </c>
      <c r="BJ135" s="2">
        <f t="shared" si="17"/>
        <v>0</v>
      </c>
      <c r="BK135" s="25" t="str">
        <f>IF('Base stats'!AK135="Standard","No",MROUND((_xlfn.XLOOKUP(B135,'Base stats'!B:B,'Base stats'!AK:AK)/3.6)/H135,0.1))</f>
        <v>No</v>
      </c>
      <c r="BL135" s="25" t="str">
        <f t="shared" si="18"/>
        <v>false</v>
      </c>
      <c r="BM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N135" s="25" t="str" cm="1">
        <f t="array" ref="BN135">IF(
  _xlfn.TEXTJOIN(", ",TRUE,
    IF(AND(BH135="true",AN135&gt;0.5,BG135&lt;&gt;"None"),"AttackTarget",""),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IF(BE135&lt;=36,"Comfort",""),
    IF(_xlfn.XLOOKUP(B135,'Base stats'!B:B,'Base stats'!AC:AC)&lt;&gt;"No",_xlfn.XLOOKUP(B135,'Base stats'!B:B,'Base stats'!AC:AC),"")
  ) = "",
  "No",
  _xlfn.TEXTJOIN(", ",TRUE,
    IF(AND(BH135="true",AN135&gt;0.5,BG135&lt;&gt;"None"),"AttackTarget",""),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IF(BE135&lt;=36,"Comfort",""),
    IF(_xlfn.XLOOKUP(B135,'Base stats'!B:B,'Base stats'!AC:AC)&lt;&gt;"No",_xlfn.XLOOKUP(B135,'Base stats'!B:B,'Base stats'!AC:AC),"")
  )
)</f>
        <v>No</v>
      </c>
      <c r="BO135" s="25" t="str">
        <f>IF(
   AND(
      'Base stats'!AK135="Standard",_xlfn.XLOOKUP(_xlfn.XLOOKUP(B135,'Base stats'!B:B,'Base stats'!E:E),Groups!A:A,Groups!AU:AU)=0,
      OR(
      BM135="True"
      )
   ),
   10,
   IF(
       OR(BK135&lt;&gt;"No",_xlfn.XLOOKUP(_xlfn.XLOOKUP(B135,'Base stats'!B:B,'Base stats'!E:E),Groups!A:A,Groups!AU:AU)=1),
      1,
      "No"
   )
)</f>
        <v>No</v>
      </c>
      <c r="BP135" s="9">
        <f>MROUND((1 + ((0.2*IF(OR(P135="No",Q135="No",Q135=0),0,P135/Q135)
+IF(OR(U135="No",R135="No",S135="No"),0,R135/S135*(LEN(U135)-LEN(SUBSTITUTE(U135,",",""))+1))
+IF(OR(W135="No",X135="No"),0,W135/X135)
+IF(OR(AC135="No",AD135="No"),0,AC135/AD135)
+IF(OR(AK135="No",AH135="No",AI135="No"),0,AH135/AI135*(LEN(AK135)-LEN(SUBSTITUTE(AK135,",",""))+1))
)/(0.2*IF(OR(P135="No",Q135="No",Q135=0),0,1)
+IF(OR(U135="No",R135="No",S135="No"),0,LEN(U135)-LEN(SUBSTITUTE(U135,",",""))+1)
+IF(OR(W135="No",X135="No"),0,1)
+IF(OR(AC135="No",AD135="No"),0,1)
+IF(OR(AK135="No",AH135="No",AI135="No"),0,LEN(AK135)-LEN(SUBSTITUTE(AK135,",",""))+1))*62%)* 2)*(1 + (AO135 + _xlfn.XLOOKUP(B135,'Base stats'!B:B,'Base stats'!AS:AS) * 1.8) * 2) * 2.5 + 10 + H135 * 2,5)+IF(_xlfn.XLOOKUP(B135,'Base stats'!B:B,'Base stats'!AH:AH)=1,50,0)</f>
        <v>150</v>
      </c>
      <c r="BQ135" s="8">
        <f t="shared" si="19"/>
        <v>1.2000000000000002</v>
      </c>
      <c r="BR135" s="8" t="str">
        <f>_xlfn.XLOOKUP(B135,'Base stats'!B:B,'Base stats'!AD:AD)</f>
        <v>No</v>
      </c>
      <c r="BS135" s="2" t="str">
        <f>IF(AND(I135&lt;=0.95,OR(_xlfn.XLOOKUP(B135,'Base stats'!B:B,'Base stats'!AH:AH)=1,_xlfn.XLOOKUP(B135,'Base stats'!B:B,'Base stats'!Y:Y)="Carnivore",_xlfn.XLOOKUP(B135,'Base stats'!B:B,'Base stats'!Y:Y)="Omnivore",BC135&gt;0.1)),"true","false")</f>
        <v>false</v>
      </c>
      <c r="BT135" s="2" t="str">
        <f>IF(_xlfn.XLOOKUP(B135,'Base stats'!B:B,'Base stats'!AF:AF)=1,"true","false")</f>
        <v>false</v>
      </c>
      <c r="BU135" s="25" t="str">
        <f>IF(E135="BaseInsect","AnimalInsect",
IF(I135&gt;0.95,"AnimalExotic",
_xlfn.TEXTJOIN(", ",TRUE,
IF(AND(_xlfn.XLOOKUP(B135,'Base stats'!B:B,'Base stats'!O:O)=0,_xlfn.XLOOKUP(_xlfn.XLOOKUP(B135,'Base stats'!B:B,'Base stats'!E:E),Groups!A:A,Groups!B:B)&gt;0),"AnimalUncommon","AnimalCommon"),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stats'!AH:AH)=1,AND(BG135&lt;&gt;"None",BP135&gt;=60),ISNUMBER(SEARCH("Attack target",BN135))),"AnimalFighter","")
)))</f>
        <v>AnimalCommon</v>
      </c>
      <c r="BV135" s="25" t="str">
        <f>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</f>
        <v>TropicalRainforest TropicalSwamp Glowforest</v>
      </c>
      <c r="BW135" s="25" t="str">
        <f>IF(_xlfn.XLOOKUP(B135,'Base stats'!B:B,'Base stats'!AG:AG)=1,"true","false")</f>
        <v>false</v>
      </c>
      <c r="BX135" s="25">
        <f>IF(_xlfn.XLOOKUP(B135,'Base stats'!B:B,'Base stats'!N:N)=1,"No",MIN(MROUND(IF(OR(_xlfn.XLOOKUP(B135,'Base stats'!B:B,'Base stats'!AJ:AJ)=1,AND(BH135="True",CA135="False")),POWER(10,3.47*LOG10(_xlfn.XLOOKUP(B135,'Base stats'!B:B,'Base stats'!C:C)*1000)^-0.96),POWER(10,4.15*LOG10(_xlfn.XLOOKUP(B135,'Base stats'!B:B,'Base stats'!C:C)*1000)^-0.73))*IF(OR(_xlfn.XLOOKUP(B135,'Base stats'!B:B,'Base stats'!AJ:AJ)=1,_xlfn.XLOOKUP(B135,'Base stats'!B:B,'Base stats'!AH:AH)=1),0.5,1)/100,0.025),1))</f>
        <v>0.15000000000000002</v>
      </c>
      <c r="BY135" s="25" t="str">
        <f>IF(O135="Standard","No",IF(_xlfn.XLOOKUP(B135,'Base stats'!B:B,'Base stats'!N:N)=0,MROUND(BX135*O135,0.05),MIN(1,MAX(0.025,MROUND(IF(OR(CA135="true",AND(BH135="false",BM135="false")),POWER(10,4.15*LOG10(_xlfn.XLOOKUP(B135,'Base stats'!B:B,'Base stats'!C:C)*1000)^-0.73),POWER(10,3.47*LOG10(_xlfn.XLOOKUP(B135,'Base stats'!B:B,'Base stats'!C:C)*1000)^-0.96))*IF(_xlfn.XLOOKUP(B135,'Base stats'!B:B,'Base stats'!AH:AH)=1,0.5,1)/100,0.025)))))</f>
        <v>No</v>
      </c>
      <c r="BZ135" s="25" t="str">
        <f>IF(_xlfn.XLOOKUP(_xlfn.XLOOKUP(B135,'Base stats'!B:B,'Base stats'!E:E),Groups!A:A,Groups!AJ:AJ)="Mammal","True","False")</f>
        <v>True</v>
      </c>
      <c r="CA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B135" s="25" t="str">
        <f t="shared" si="20"/>
        <v>False</v>
      </c>
      <c r="CC135" s="25" t="str">
        <f>IF(_xlfn.XLOOKUP(_xlfn.XLOOKUP(B135,'Base stats'!B:B,'Base stats'!E:E),Groups!A:A,Groups!AW:AW),"True","False")</f>
        <v>False</v>
      </c>
      <c r="CD135" s="25" t="str">
        <f>IF(_xlfn.XLOOKUP(_xlfn.XLOOKUP(B135,'Base stats'!B:B,'Base stats'!E:E),Groups!A:A,Groups!AX:AX),"True","False")</f>
        <v>False</v>
      </c>
      <c r="CE135" s="25" t="str">
        <f>IF(_xlfn.XLOOKUP(B135,'Base stats'!B:B,'Base stats'!E:E)=1,"True","False")</f>
        <v>False</v>
      </c>
      <c r="CF135" s="25" t="str">
        <f>IF(
OR(
_xlfn.XLOOKUP(_xlfn.XLOOKUP(B135,'Base stats'!B:B,'Base stats'!E:E),Groups!A:A,Groups!AY:AY)=0,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stats'!E:E),Groups!A:A,Groups!AY:AY)=1,
"Flesh",
IF(
_xlfn.XLOOKUP(_xlfn.XLOOKUP(B135,'Base stats'!B:B,'Base stats'!E:E),Groups!A:A,Groups!AY:AY)=2,
"Bone",
""
)
)
)</f>
        <v>No</v>
      </c>
      <c r="CG135" s="25" t="str">
        <f>IF(_xlfn.XLOOKUP(_xlfn.XLOOKUP(B135,'Base stats'!B:B,'Base stats'!E:E),Groups!A:A,Groups!BA:BA),"True","False")</f>
        <v>True</v>
      </c>
      <c r="CH135" s="25" t="str">
        <f>IF(_xlfn.XLOOKUP(_xlfn.XLOOKUP(B135,'Base stats'!B:B,'Base stats'!E:E),Groups!A:A,Groups!AZ:AZ),"True","False")</f>
        <v>False</v>
      </c>
    </row>
    <row r="136" spans="1:86" ht="16.5" thickTop="1" thickBot="1" x14ac:dyDescent="0.3">
      <c r="A136" s="26" t="str">
        <f>_xlfn.XLOOKUP(B136,'Base stats'!B:B,'Base stats'!A:A)</f>
        <v>Anaconda</v>
      </c>
      <c r="B136" s="6" t="s">
        <v>493</v>
      </c>
      <c r="C136" s="28" t="s">
        <v>829</v>
      </c>
      <c r="D136" s="28" t="s">
        <v>884</v>
      </c>
      <c r="E136" s="28" t="s">
        <v>685</v>
      </c>
      <c r="F136" s="28" t="s">
        <v>685</v>
      </c>
      <c r="G136" s="2">
        <f>MROUND((
  (IF(AND(_xlfn.XLOOKUP(B136,'Base stats'!B:B,'Base stats'!AI:AI)=0,BG136="None",_xlfn.XLOOKUP('Base stats'!E136,Groups!A:A,Groups!B:B)=0), (18 + BP136 * 2.7) * 0.5,
    IF(AND(_xlfn.XLOOKUP(B136,'Base stats'!B:B,'Base stats'!AI:AI)=0,OR(AN136&lt;0.55,AND(BG136="Intermediate",_xlfn.XLOOKUP('Base stats'!E136,Groups!A:A,Groups!B:B)&lt;2))), (18 + BP136 * 2.7),
      IF(OR(BG136="Advanced",_xlfn.XLOOKUP(B136,'Base stats'!B:B,'Base stats'!AI:AI)=1,_xlfn.XLOOKUP('Base stats'!E136,Groups!A:A,Groups!B:B)=2), (18 + BP136 * 2.7) + 250, (18 + BP136 * 2.7))
    )
  ))
  + AN136 * 80
  + IF(COUNTIF(EggMilk!K$2:K$998, A136) &gt; 0, 125, 0)
  + IF(COUNTIF(EggMilk!P$2:P$998, A136) &gt; 0, 90, 0)
  + IF(COUNTIF(EggMilk!A$2:A$998, A136) &gt; 0, 90, 0)
)
* (0.8 + 0.4 * I136)
* 0.75,25)</f>
        <v>525</v>
      </c>
      <c r="H136" s="2">
        <f>MROUND(ROUNDDOWN(_xlfn.XLOOKUP(B136,'Base stats'!B:B,'Base stats'!L:L)/3.6/(23.3/11),1),0.5)</f>
        <v>1.5</v>
      </c>
      <c r="I136" s="2">
        <f>IF(_xlfn.XLOOKUP(B136,'Base stats'!B:B,'Base stats'!AI:AI)=1,0.99,MIN(MROUND((1-0.6282*EXP(-0.459*AN136))*_xlfn.XLOOKUP(_xlfn.XLOOKUP(B136,'Base stats'!B:B,'Base stats'!E:E),Groups!A:A,Groups!C:C)*IF(_xlfn.XLOOKUP(B136,'Base stats'!B:B,'Base stats'!O:O)=1,0.5,IF(_xlfn.XLOOKUP(B136,'Base stats'!B:B,'Base stats'!O:O)=2,0,1)),0.05),0.985))</f>
        <v>0.95000000000000007</v>
      </c>
      <c r="J136" s="2">
        <f>ROUNDUP(AN136*_xlfn.XLOOKUP(_xlfn.XLOOKUP(B136,'Base stats'!B:B,'Base stats'!E:E),Groups!A:A,Groups!E:E),0)</f>
        <v>2</v>
      </c>
      <c r="K136" s="2">
        <f>IF(OR(_xlfn.XLOOKUP(_xlfn.XLOOKUP(B136,'Base stats'!B:B,'Base stats'!E:E),Groups!A:A,Groups!F:F)=2,ISNUMBER(SEARCH("SeaIce",BV136)),ISNUMBER(SEARCH("IceSheet",BV136))),-50,IF(OR(ISNUMBER(SEARCH("GlacialPlain",BV136)),ISNUMBER(SEARCH("Tundra",BV136))),-40,IF(OR(ISNUMBER(SEARCH("Alpine",BV136)),ISNUMBER(SEARCH("BorealForest",BV136)),ISNUMBER(SEARCH("ColdBog",BV136))),-30,IF(OR(ISNUMBER(SEARCH("TemperateForest",BV136)),ISNUMBER(SEARCH("TemperateSwamp",BV136))),-20,IF(_xlfn.XLOOKUP(_xlfn.XLOOKUP(B136,'Base stats'!B:B,'Base stats'!E:E),Groups!A:A,Groups!F:F)=1,-15,IF(OR(ISNUMBER(SEARCH("Desert",BV136)),ISNUMBER(SEARCH("ExtremeDesert",BV136))),-10,IF(OR(ISNUMBER(SEARCH("Grasslands",BV136)),ISNUMBER(SEARCH("TropicalRainforest",BV136)),ISNUMBER(SEARCH("TropicalSwamp",BV136))),10,0)))))))-IF(CA136="False",MIN(IFERROR(MAX(MROUND(LOG10(_xlfn.XLOOKUP(B136,'Base stats'!B:B,'Base stats'!C:C)^(2/3))*10,5),5),5),30))-_xlfn.XLOOKUP(B136,'Base stats'!B:B,'Base stats'!P:P)+IF(CA136="True",5,0)</f>
        <v>15</v>
      </c>
      <c r="L136" s="2">
        <f>IF(OR(_xlfn.XLOOKUP(_xlfn.XLOOKUP(B136,'Base stats'!B:B,'Base stats'!E:E),Groups!A:A,Groups!G:G)=2,ISNUMBER(SEARCH("Desert",BV136)),ISNUMBER(SEARCH("ExtremeDesert",BV136)),ISNUMBER(SEARCH("LavaField",BV136))),50,IF(ISNUMBER(SEARCH("Grasslands",BV136)),45,IF(OR(_xlfn.XLOOKUP(_xlfn.XLOOKUP(B136,'Base stats'!B:B,'Base stats'!E:E),Groups!A:A,Groups!G:G)=1,ISNUMBER(SEARCH("TropicalRainforest",BV136)),ISNUMBER(SEARCH("TropicalSwamp",BV136))),40,IF(OR(ISNUMBER(SEARCH("TemperateForest",BV136)),ISNUMBER(SEARCH("TemperateSwamp",BV136))),35,IF(OR(ISNUMBER(SEARCH("Alpine",BV136)),ISNUMBER(SEARCH("BorealForest",BV136)),ISNUMBER(SEARCH("ColdBog",BV136))),30,IF(ISNUMBER(OR(ISNUMBER(SEARCH("GlacialPlain",BV136)),SEARCH("Tundra",BV136))),25,IF(OR(ISNUMBER(SEARCH("SeaIce",BV136)),ISNUMBER(SEARCH("IceSheet",BV136)),ISNUMBER(SEARCH("TropicalSwamp",BV136))),10,35)))))))+_xlfn.XLOOKUP(B136,'Base stats'!B:B,'Base stats'!Q:Q)</f>
        <v>40</v>
      </c>
      <c r="M136" s="8" t="str">
        <f>IF(_xlfn.XLOOKUP(_xlfn.XLOOKUP(B136,'Base stats'!B:B,'Base stats'!E:E),Groups!A:A,Groups!L:L)=1,MIN(MROUND(_xlfn.XLOOKUP(B136,'Animals CE'!B:B,'Animals CE'!Z:Z)/2+0.05,0.05),200%),"No")</f>
        <v>No</v>
      </c>
      <c r="N136" s="8" t="str">
        <f>IF(_xlfn.XLOOKUP(_xlfn.XLOOKUP(B136,'Base stats'!B:B,'Base stats'!E:E),Groups!A:A,Groups!L:L)=1,MIN(MROUND(_xlfn.XLOOKUP(B136,'Animals CE'!B:B,'Animals CE'!AA:AA)/2+0.05,0.05),200%),"No")</f>
        <v>No</v>
      </c>
      <c r="O136" s="2" t="str">
        <f>_xlfn.XLOOKUP(B136,'Base stats'!B:B,'Base stats'!R:R)</f>
        <v>Standard</v>
      </c>
      <c r="P136" s="13">
        <f>MROUND((LOG10(_xlfn.XLOOKUP(B136,'Base stats'!B:B,'Base stats'!AO:AO))*(AN136^0.5)+(_xlfn.XLOOKUP(B136,'Base stats'!B:B,'Base stats'!AO:AO)/1000)^(2/3)+_xlfn.XLOOKUP(B136,'Base stats'!B:B,'Base stats'!AX:AX)/2)+0.5,0.5)</f>
        <v>8</v>
      </c>
      <c r="Q136" s="7">
        <f>IF(P136="No","No",MAX(1,MROUND(_xlfn.XLOOKUP(B136,'Base stats'!B:B,'Base stats'!C:C)^0.165,0.05)))</f>
        <v>2.15</v>
      </c>
      <c r="R136" s="13" t="str">
        <f>IF(_xlfn.XLOOKUP(_xlfn.XLOOKUP(B136,'Base stats'!B:B,'Base stats'!E:E),Groups!A:A,Groups!P:P)=0,"No",MROUND((LOG10(_xlfn.XLOOKUP(B136,'Base stats'!B:B,'Base stats'!AP:AP))*(AN136^0.5)+(_xlfn.XLOOKUP(B136,'Base stats'!B:B,'Base stats'!AP:AP)/1000)^(2/3)+_xlfn.XLOOKUP(B136,'Base stats'!B:B,'Base stats'!AX:AX))+_xlfn.XLOOKUP(B136,'Base stats'!B:B,'Base stats'!AV:AV)+0.5,0.5))</f>
        <v>No</v>
      </c>
      <c r="S136" s="7" t="str">
        <f>IF(R136="No","No",MAX(_xlfn.XLOOKUP(_xlfn.XLOOKUP(B136,'Base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T136" s="7" t="str">
        <f>IF(R136="No","No",_xlfn.XLOOKUP(_xlfn.XLOOKUP(B136,'Base stats'!B:B,'Base stats'!E:E),Groups!A:A,Groups!R:R))</f>
        <v>No</v>
      </c>
      <c r="U136" s="7" t="str">
        <f>IF(R136="No","No",_xlfn.XLOOKUP(_xlfn.XLOOKUP(B136,'Base stats'!B:B,'Base stats'!E:E),Groups!A:A,Groups!S:S))</f>
        <v>No</v>
      </c>
      <c r="V136" s="7" t="str">
        <f>IF(R136="No","No",_xlfn.XLOOKUP(_xlfn.XLOOKUP(B136,'Base stats'!B:B,'Base stats'!E:E),Groups!A:A,Groups!T:T))</f>
        <v>No</v>
      </c>
      <c r="W136" s="13" t="str">
        <f>IF(_xlfn.XLOOKUP(B136,'Base stats'!B:B,'Base stats'!W:W)="No","No",MROUND((LOG10(_xlfn.XLOOKUP(B136,'Base stats'!B:B,'Base stats'!AR:AR))*(AN136^0.5)+(_xlfn.XLOOKUP(B136,'Base stats'!B:B,'Base stats'!AR:AR)/1000)^(2/3)+_xlfn.XLOOKUP(B136,'Base stats'!B:B,'Base stats'!AW:AW))+0.5+IF(_xlfn.XLOOKUP(_xlfn.XLOOKUP(B136,'Base stats'!B:B,'Base stats'!E:E),Groups!A:A,Groups!U:U)&lt;&gt;3,_xlfn.XLOOKUP(B136,'Base stats'!B:B,'Base stats'!AX:AX),0),0.5))</f>
        <v>No</v>
      </c>
      <c r="X136" s="7" t="str">
        <f>IF(W136="No","No",MAX(_xlfn.XLOOKUP(_xlfn.XLOOKUP(B136,'Base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Y136" s="7" t="str">
        <f>IF(W136="No","No",_xlfn.XLOOKUP(_xlfn.XLOOKUP(B136,'Base stats'!B:B,'Base stats'!E:E),Groups!A:A,Groups!W:W))</f>
        <v>No</v>
      </c>
      <c r="Z136" s="7" t="str">
        <f>IF(W136="No","No",_xlfn.XLOOKUP(_xlfn.XLOOKUP(B136,'Base stats'!B:B,'Base stats'!E:E),Groups!A:A,Groups!X:X))</f>
        <v>No</v>
      </c>
      <c r="AA136" s="7" t="str">
        <f>IF(W136="No","No",_xlfn.XLOOKUP(_xlfn.XLOOKUP(B136,'Base stats'!B:B,'Base stats'!E:E),Groups!A:A,Groups!Y:Y))</f>
        <v>No</v>
      </c>
      <c r="AB136" s="7" t="str">
        <f>_xlfn.XLOOKUP(Animals!B136,'Base stats'!B:B,'Base stats'!X:X)</f>
        <v>False</v>
      </c>
      <c r="AC136" s="13">
        <f>IF(_xlfn.XLOOKUP(B136,'Base stats'!B:B,'Base stats'!AQ:AQ)="No","No",MROUND((LOG10(_xlfn.XLOOKUP(B136,'Base stats'!B:B,'Base stats'!AQ:AQ))*(AN136^0.75)+(_xlfn.XLOOKUP(B136,'Base stats'!B:B,'Base stats'!AQ:AQ)/1000)^(2/3)+_xlfn.XLOOKUP(B136,'Base stats'!B:B,'Base stats'!AU:AU)+_xlfn.XLOOKUP(B136,'Base stats'!B:B,'Base stats'!AX:AX))+0.5,0.5))</f>
        <v>11.5</v>
      </c>
      <c r="AD136" s="7">
        <f>IF(AC136="No","No",MAX(_xlfn.XLOOKUP(_xlfn.XLOOKUP(B136,'Base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E136" s="7" t="str">
        <f>IF(AC136="No","No",_xlfn.XLOOKUP(_xlfn.XLOOKUP(B136,'Base stats'!B:B,'Base stats'!E:E),Groups!A:A,Groups!AA:AA))</f>
        <v>Mouth</v>
      </c>
      <c r="AF136" s="7" t="str">
        <f>IF(AC136="No","No",_xlfn.XLOOKUP(_xlfn.XLOOKUP(B136,'Base stats'!B:B,'Base stats'!E:E),Groups!A:A,Groups!AB:AB))</f>
        <v>fangs</v>
      </c>
      <c r="AG136" s="7" t="str">
        <f>IF(AC136="No","No",_xlfn.XLOOKUP(_xlfn.XLOOKUP(B136,'Base stats'!B:B,'Base stats'!E:E),Groups!A:A,Groups!AC:AC))</f>
        <v>Bite</v>
      </c>
      <c r="AH136" s="13" t="str">
        <f>IF(_xlfn.XLOOKUP(_xlfn.XLOOKUP(B136,'Base stats'!B:B,'Base stats'!E:E),Groups!A:A,Groups!AD:AD)=0,"No",MROUND((LOG10(_xlfn.XLOOKUP(B136,'Base stats'!B:B,'Base stats'!AP:AP))*(AN136^0.75)+(_xlfn.XLOOKUP(B136,'Base stats'!B:B,'Base stats'!AP:AP)/1000)^(2/3)+_xlfn.XLOOKUP(B136,'Base stats'!B:B,'Base stats'!AV:AV)+_xlfn.XLOOKUP(B136,'Base stats'!B:B,'Base stats'!AX:AX))+0.5,0.5))</f>
        <v>No</v>
      </c>
      <c r="AI136" s="7" t="str">
        <f>IF(AH136="No","No",MAX(_xlfn.XLOOKUP(_xlfn.XLOOKUP(B136,'Base stats'!B:B,'Base stats'!E:E),Groups!A:A,Groups!AE:AE),MROUND(_xlfn.XLOOKUP(_xlfn.XLOOKUP(B136,'Base stats'!B:B,'Base stats'!E:E),Groups!A:A,Groups!AE:AE)*_xlfn.XLOOKUP(B136,'Base stats'!B:B,'Base stats'!C:C)^0.165,0.05)))</f>
        <v>No</v>
      </c>
      <c r="AJ136" s="7" t="str">
        <f>IF(AH136="No","No",_xlfn.XLOOKUP(_xlfn.XLOOKUP(B136,'Base stats'!B:B,'Base stats'!E:E),Groups!A:A,Groups!AF:AF))</f>
        <v>No</v>
      </c>
      <c r="AK136" s="7" t="str">
        <f>IF(AH136="No","No",_xlfn.XLOOKUP(_xlfn.XLOOKUP(B136,'Base stats'!B:B,'Base stats'!E:E),Groups!A:A,Groups!AG:AG))</f>
        <v>No</v>
      </c>
      <c r="AL136" s="7" t="str">
        <f>IF(AH136="No","No",_xlfn.XLOOKUP(_xlfn.XLOOKUP(B136,'Base stats'!B:B,'Base stats'!E:E),Groups!A:A,Groups!AH:AH))</f>
        <v>No</v>
      </c>
      <c r="AM136" s="2">
        <f t="shared" si="14"/>
        <v>20</v>
      </c>
      <c r="AN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O136" s="8">
        <f>MROUND(AN136*_xlfn.XLOOKUP(_xlfn.XLOOKUP(B136,'Base stats'!B:B,'Base stats'!E:E),Groups!A:A,Groups!AI:AI),0.05)</f>
        <v>1.2000000000000002</v>
      </c>
      <c r="AP136" s="8">
        <f>MAX(0.01,MROUND(IF(CA136="True",0.196*(AN136*100*1000)^0.889,IF(_xlfn.XLOOKUP(_xlfn.XLOOKUP(B136,'Base stats'!B:B,'Base stats'!E:E),Groups!A:A,Groups!AJ:AJ)="Bird",10.5*(AN136*100*1000)^0.681,4.82*(AN136*100*1000)^0.734))/(4.82*(1*100*1000)^0.734)/IF(AN136&lt;3.5,2,IF(AN136=3.5,1.5,1.25))*(1+0.132282374779864/(AN136^0.994035016789033+0.00905238001496948)),0.05))</f>
        <v>0.15000000000000002</v>
      </c>
      <c r="AQ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R136" s="35">
        <f>IFERROR(IF(_xlfn.XLOOKUP(B136,'Base stats'!B:B,'Base stats'!F:F)="Lay eggs","Lay eggs",MIN(20,MAX(5.5,ROUND(((_xlfn.XLOOKUP(B136,'Base stats'!B:B,'Base stats'!F:F)-25)*(14.5/615) + 5.5)*2,0)/2))),"Cannot breed")</f>
        <v>10</v>
      </c>
      <c r="AS136" s="8">
        <f>IF(OR(A136="Queen",A136="Larva",A136="Megachicken"),"No",IFERROR(MAX(IF(_xlfn.XLOOKUP(B136,'Base stats'!B:B,'Base stats'!G:G)&lt;0.5,0.2,0.3),MROUND(_xlfn.XLOOKUP(B136,'Base stats'!B:B,'Base stats'!G:G)/(365/60),0.2)),"Unknown"))</f>
        <v>0.4</v>
      </c>
      <c r="AT136" s="8">
        <f t="shared" si="15"/>
        <v>0.2</v>
      </c>
      <c r="AU136" s="8">
        <f>IFERROR(IFERROR(MROUND(_xlfn.XLOOKUP(B136,'Base stats'!B:B,'Base stats'!J:J),0.1),"Lay eggs"),"Cannot breed")</f>
        <v>29</v>
      </c>
      <c r="AV136" s="2" t="str">
        <f t="shared" si="16"/>
        <v>false</v>
      </c>
      <c r="AW136" s="2" t="str">
        <f>IF(_xlfn.XLOOKUP(_xlfn.XLOOKUP(Animals!B136,'Base stats'!B:B,'Base stats'!E:E),Groups!A:A,Groups!AK:AK)=1,"true","false")</f>
        <v>false</v>
      </c>
      <c r="AX136" s="25" t="str">
        <f>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</f>
        <v>CarnivoreAnimal, OvivoreAnimal</v>
      </c>
      <c r="AY136" s="2" t="str">
        <f>IF(_xlfn.XLOOKUP(_xlfn.XLOOKUP(B136,'Base stats'!B:B,'Base stats'!E:E),Groups!A:A,Groups!D:D)=1,MROUND((1-I136)*5+1,2)*IF(I136&lt;=0.4,2,1),"No")</f>
        <v>No</v>
      </c>
      <c r="AZ136" s="2" t="str">
        <f>_xlfn.XLOOKUP(B136,'Base stats'!B:B,'Base stats'!AE:AE)</f>
        <v>Leather_Lizard</v>
      </c>
      <c r="BA136" s="23" t="str">
        <f>_xlfn.XLOOKUP(_xlfn.XLOOKUP(B136,'Base stats'!B:B,'Base stats'!E:E),Groups!A:A,Groups!AL:AL)</f>
        <v>Snake</v>
      </c>
      <c r="BB136" s="23">
        <f>MROUND(IF(AND(AN136&lt;0.5,_xlfn.XLOOKUP(B136,'Base stats'!B:B,'Base stats'!Z:Z)=0),0,IF(OR(_xlfn.XLOOKUP(Animals!B136,'Base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stats'!AA:AA),0.005)</f>
        <v>0.1</v>
      </c>
      <c r="BC136" s="23">
        <f>MROUND(IF(AND(AN136&lt;0.5,_xlfn.XLOOKUP(B136,'Base stats'!B:B,'Base stats'!Z:Z)=0),0,IF(_xlfn.XLOOKUP(_xlfn.XLOOKUP(B136,'Base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stats'!AB:AB),0.005)</f>
        <v>0.3</v>
      </c>
      <c r="BD136" s="2" t="str">
        <f>IF(I136&gt;0.3,"No",_xlfn.XLOOKUP(_xlfn.XLOOKUP(Animals!B136,'Base stats'!B:B,'Base stats'!E:E),Groups!A:A,Groups!AP:AP))</f>
        <v>No</v>
      </c>
      <c r="BE136" s="2" t="str">
        <f>IF(AND(I136&lt;=0.65,_xlfn.XLOOKUP(_xlfn.XLOOKUP(Animals!B136,'Base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stats'!O:O)=2,0.2,AN136) + 24*(1-IF(BD136="No",0,BD136)) + 16/3, 12),"No")</f>
        <v>No</v>
      </c>
      <c r="BF136" s="2">
        <f>IF(AND(_xlfn.XLOOKUP(_xlfn.XLOOKUP(B136,'Base stats'!B:B,'Base stats'!E:E),Groups!A:A,Groups!AQ:AQ)=1,AN136&lt;=0.35),8,12)</f>
        <v>12</v>
      </c>
      <c r="BG136" s="2" t="str">
        <f>IF(_xlfn.XLOOKUP(_xlfn.XLOOKUP(B136,'Base stats'!B:B,'Base stats'!E:E),Groups!A:A,Groups!D:D)=0,_xlfn.XLOOKUP(_xlfn.XLOOKUP(B136,'Base stats'!B:B,'Base stats'!E:E),Groups!A:A,Groups!AR:AR),"None")</f>
        <v>None</v>
      </c>
      <c r="BH136" s="2" t="str">
        <f>IF(AND(_xlfn.XLOOKUP(_xlfn.XLOOKUP(B136,'Base stats'!B:B,'Base stats'!E:E),Groups!A:A,Groups!AS:AS)=1,OR('Base stats'!Y136="Carnivore",'Base stats'!Y136="Omnivore")),"true","false")</f>
        <v>true</v>
      </c>
      <c r="BI136" s="2">
        <f>IF(BH136="true",MROUND(IF(AND(AN136&gt;0.5,_xlfn.XLOOKUP(_xlfn.XLOOKUP(B136,'Base stats'!B:B,'Base stats'!E:E),Groups!A:A,Groups!AJ:AJ)="Mammal"),Animals!AN136*1.75*IF(AV136="true",1.5,1),Animals!AN136),IF(AN136&gt;2,0.5,IF(AN136&gt;0.5,0.25,0.1))),"No")</f>
        <v>1.25</v>
      </c>
      <c r="BJ136" s="2">
        <f t="shared" si="17"/>
        <v>0</v>
      </c>
      <c r="BK136" s="25">
        <f>IF('Base stats'!AK136="Standard","No",MROUND((_xlfn.XLOOKUP(B136,'Base stats'!B:B,'Base stats'!AK:AK)/3.6)/H136,0.1))</f>
        <v>2.8000000000000003</v>
      </c>
      <c r="BL136" s="25" t="str">
        <f t="shared" si="18"/>
        <v>true</v>
      </c>
      <c r="BM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N136" s="25" t="str" cm="1">
        <f t="array" ref="BN136">IF(
  _xlfn.TEXTJOIN(", ",TRUE,
    IF(AND(BH136="true",AN136&gt;0.5,BG136&lt;&gt;"None"),"AttackTarget",""),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IF(BE136&lt;=36,"Comfort",""),
    IF(_xlfn.XLOOKUP(B136,'Base stats'!B:B,'Base stats'!AC:AC)&lt;&gt;"No",_xlfn.XLOOKUP(B136,'Base stats'!B:B,'Base stats'!AC:AC),"")
  ) = "",
  "No",
  _xlfn.TEXTJOIN(", ",TRUE,
    IF(AND(BH136="true",AN136&gt;0.5,BG136&lt;&gt;"None"),"AttackTarget",""),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IF(BE136&lt;=36,"Comfort",""),
    IF(_xlfn.XLOOKUP(B136,'Base stats'!B:B,'Base stats'!AC:AC)&lt;&gt;"No",_xlfn.XLOOKUP(B136,'Base stats'!B:B,'Base stats'!AC:AC),"")
  )
)</f>
        <v>No</v>
      </c>
      <c r="BO136" s="25">
        <f>IF(
   AND(
      'Base stats'!AK136="Standard",_xlfn.XLOOKUP(_xlfn.XLOOKUP(B136,'Base stats'!B:B,'Base stats'!E:E),Groups!A:A,Groups!AU:AU)=0,
      OR(
      BM136="True"
      )
   ),
   10,
   IF(
       OR(BK136&lt;&gt;"No",_xlfn.XLOOKUP(_xlfn.XLOOKUP(B136,'Base stats'!B:B,'Base stats'!E:E),Groups!A:A,Groups!AU:AU)=1),
      1,
      "No"
   )
)</f>
        <v>1</v>
      </c>
      <c r="BP136" s="9">
        <f>MROUND((1 + ((0.2*IF(OR(P136="No",Q136="No",Q136=0),0,P136/Q136)
+IF(OR(U136="No",R136="No",S136="No"),0,R136/S136*(LEN(U136)-LEN(SUBSTITUTE(U136,",",""))+1))
+IF(OR(W136="No",X136="No"),0,W136/X136)
+IF(OR(AC136="No",AD136="No"),0,AC136/AD136)
+IF(OR(AK136="No",AH136="No",AI136="No"),0,AH136/AI136*(LEN(AK136)-LEN(SUBSTITUTE(AK136,",",""))+1))
)/(0.2*IF(OR(P136="No",Q136="No",Q136=0),0,1)
+IF(OR(U136="No",R136="No",S136="No"),0,LEN(U136)-LEN(SUBSTITUTE(U136,",",""))+1)
+IF(OR(W136="No",X136="No"),0,1)
+IF(OR(AC136="No",AD136="No"),0,1)
+IF(OR(AK136="No",AH136="No",AI136="No"),0,LEN(AK136)-LEN(SUBSTITUTE(AK136,",",""))+1))*62%)* 2)*(1 + (AO136 + _xlfn.XLOOKUP(B136,'Base stats'!B:B,'Base stats'!AS:AS) * 1.8) * 2) * 2.5 + 10 + H136 * 2,5)+IF(_xlfn.XLOOKUP(B136,'Base stats'!B:B,'Base stats'!AH:AH)=1,50,0)</f>
        <v>85</v>
      </c>
      <c r="BQ136" s="8">
        <f t="shared" si="19"/>
        <v>0.35000000000000003</v>
      </c>
      <c r="BR136" s="8" t="str">
        <f>_xlfn.XLOOKUP(B136,'Base stats'!B:B,'Base stats'!AD:AD)</f>
        <v>No</v>
      </c>
      <c r="BS136" s="2" t="str">
        <f>IF(AND(I136&lt;=0.95,OR(_xlfn.XLOOKUP(B136,'Base stats'!B:B,'Base stats'!AH:AH)=1,_xlfn.XLOOKUP(B136,'Base stats'!B:B,'Base stats'!Y:Y)="Carnivore",_xlfn.XLOOKUP(B136,'Base stats'!B:B,'Base stats'!Y:Y)="Omnivore",BC136&gt;0.1)),"true","false")</f>
        <v>true</v>
      </c>
      <c r="BT136" s="2" t="str">
        <f>IF(_xlfn.XLOOKUP(B136,'Base stats'!B:B,'Base stats'!AF:AF)=1,"true","false")</f>
        <v>false</v>
      </c>
      <c r="BU136" s="25" t="str">
        <f>IF(E136="BaseInsect","AnimalInsect",
IF(I136&gt;0.95,"AnimalExotic",
_xlfn.TEXTJOIN(", ",TRUE,
IF(AND(_xlfn.XLOOKUP(B136,'Base stats'!B:B,'Base stats'!O:O)=0,_xlfn.XLOOKUP(_xlfn.XLOOKUP(B136,'Base stats'!B:B,'Base stats'!E:E),Groups!A:A,Groups!B:B)&gt;0),"AnimalUncommon","AnimalCommon"),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stats'!AH:AH)=1,AND(BG136&lt;&gt;"None",BP136&gt;=60),ISNUMBER(SEARCH("Attack target",BN136))),"AnimalFighter","")
)))</f>
        <v>AnimalUncommon</v>
      </c>
      <c r="BV136" s="25" t="str">
        <f>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</f>
        <v>TropicalSwamp Glowforest</v>
      </c>
      <c r="BW136" s="25" t="str">
        <f>IF(_xlfn.XLOOKUP(B136,'Base stats'!B:B,'Base stats'!AG:AG)=1,"true","false")</f>
        <v>false</v>
      </c>
      <c r="BX136" s="25">
        <f>IF(_xlfn.XLOOKUP(B136,'Base stats'!B:B,'Base stats'!N:N)=1,"No",MIN(MROUND(IF(OR(_xlfn.XLOOKUP(B136,'Base stats'!B:B,'Base stats'!AJ:AJ)=1,AND(BH136="True",CA136="False")),POWER(10,3.47*LOG10(_xlfn.XLOOKUP(B136,'Base stats'!B:B,'Base stats'!C:C)*1000)^-0.96),POWER(10,4.15*LOG10(_xlfn.XLOOKUP(B136,'Base stats'!B:B,'Base stats'!C:C)*1000)^-0.73))*IF(OR(_xlfn.XLOOKUP(B136,'Base stats'!B:B,'Base stats'!AJ:AJ)=1,_xlfn.XLOOKUP(B136,'Base stats'!B:B,'Base stats'!AH:AH)=1),0.5,1)/100,0.025),1))</f>
        <v>0.2</v>
      </c>
      <c r="BY136" s="25" t="str">
        <f>IF(O136="Standard","No",IF(_xlfn.XLOOKUP(B136,'Base stats'!B:B,'Base stats'!N:N)=0,MROUND(BX136*O136,0.05),MIN(1,MAX(0.025,MROUND(IF(OR(CA136="true",AND(BH136="false",BM136="false")),POWER(10,4.15*LOG10(_xlfn.XLOOKUP(B136,'Base stats'!B:B,'Base stats'!C:C)*1000)^-0.73),POWER(10,3.47*LOG10(_xlfn.XLOOKUP(B136,'Base stats'!B:B,'Base stats'!C:C)*1000)^-0.96))*IF(_xlfn.XLOOKUP(B136,'Base stats'!B:B,'Base stats'!AH:AH)=1,0.5,1)/100,0.025)))))</f>
        <v>No</v>
      </c>
      <c r="BZ136" s="25" t="str">
        <f>IF(_xlfn.XLOOKUP(_xlfn.XLOOKUP(B136,'Base stats'!B:B,'Base stats'!E:E),Groups!A:A,Groups!AJ:AJ)="Mammal","True","False")</f>
        <v>False</v>
      </c>
      <c r="CA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B136" s="25" t="str">
        <f t="shared" si="20"/>
        <v>False</v>
      </c>
      <c r="CC136" s="25" t="str">
        <f>IF(_xlfn.XLOOKUP(_xlfn.XLOOKUP(B136,'Base stats'!B:B,'Base stats'!E:E),Groups!A:A,Groups!AW:AW),"True","False")</f>
        <v>False</v>
      </c>
      <c r="CD136" s="25" t="str">
        <f>IF(_xlfn.XLOOKUP(_xlfn.XLOOKUP(B136,'Base stats'!B:B,'Base stats'!E:E),Groups!A:A,Groups!AX:AX),"True","False")</f>
        <v>False</v>
      </c>
      <c r="CE136" s="25" t="str">
        <f>IF(_xlfn.XLOOKUP(B136,'Base stats'!B:B,'Base stats'!E:E)=1,"True","False")</f>
        <v>False</v>
      </c>
      <c r="CF136" s="25" t="str">
        <f>IF(
OR(
_xlfn.XLOOKUP(_xlfn.XLOOKUP(B136,'Base stats'!B:B,'Base stats'!E:E),Groups!A:A,Groups!AY:AY)=0,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stats'!E:E),Groups!A:A,Groups!AY:AY)=1,
"Flesh",
IF(
_xlfn.XLOOKUP(_xlfn.XLOOKUP(B136,'Base stats'!B:B,'Base stats'!E:E),Groups!A:A,Groups!AY:AY)=2,
"Bone",
""
)
)
)</f>
        <v>No</v>
      </c>
      <c r="CG136" s="25" t="str">
        <f>IF(_xlfn.XLOOKUP(_xlfn.XLOOKUP(B136,'Base stats'!B:B,'Base stats'!E:E),Groups!A:A,Groups!BA:BA),"True","False")</f>
        <v>False</v>
      </c>
      <c r="CH136" s="25" t="str">
        <f>IF(_xlfn.XLOOKUP(_xlfn.XLOOKUP(B136,'Base stats'!B:B,'Base stats'!E:E),Groups!A:A,Groups!AZ:AZ),"True","False")</f>
        <v>True</v>
      </c>
    </row>
    <row r="137" spans="1:86" s="16" customFormat="1" ht="16.5" thickTop="1" thickBot="1" x14ac:dyDescent="0.3">
      <c r="A137" s="26" t="str">
        <f>_xlfn.XLOOKUP(B137,'Base stats'!B:B,'Base stats'!A:A)</f>
        <v>IndianElephant</v>
      </c>
      <c r="B137" s="6" t="s">
        <v>239</v>
      </c>
      <c r="C137" s="28" t="s">
        <v>830</v>
      </c>
      <c r="D137" s="28" t="s">
        <v>884</v>
      </c>
      <c r="E137" s="28" t="s">
        <v>685</v>
      </c>
      <c r="F137" s="28" t="s">
        <v>685</v>
      </c>
      <c r="G137" s="2">
        <f>MROUND((
  (IF(AND(_xlfn.XLOOKUP(B137,'Base stats'!B:B,'Base stats'!AI:AI)=0,BG137="None",_xlfn.XLOOKUP('Base stats'!E137,Groups!A:A,Groups!B:B)=0), (18 + BP137 * 2.7) * 0.5,
    IF(AND(_xlfn.XLOOKUP(B137,'Base stats'!B:B,'Base stats'!AI:AI)=0,OR(AN137&lt;0.55,AND(BG137="Intermediate",_xlfn.XLOOKUP('Base stats'!E137,Groups!A:A,Groups!B:B)&lt;2))), (18 + BP137 * 2.7),
      IF(OR(BG137="Advanced",_xlfn.XLOOKUP(B137,'Base stats'!B:B,'Base stats'!AI:AI)=1,_xlfn.XLOOKUP('Base stats'!E137,Groups!A:A,Groups!B:B)=2), (18 + BP137 * 2.7) + 250, (18 + BP137 * 2.7))
    )
  ))
  + AN137 * 80
  + IF(COUNTIF(EggMilk!K$2:K$998, A137) &gt; 0, 125, 0)
  + IF(COUNTIF(EggMilk!P$2:P$998, A137) &gt; 0, 90, 0)
  + IF(COUNTIF(EggMilk!A$2:A$998, A137) &gt; 0, 90, 0)
)
* (0.8 + 0.4 * I137)
* 0.75,25)</f>
        <v>1475</v>
      </c>
      <c r="H137" s="2">
        <f>MROUND(ROUNDDOWN(_xlfn.XLOOKUP(B137,'Base stats'!B:B,'Base stats'!L:L)/3.6/(23.3/11),1),0.5)</f>
        <v>3.5</v>
      </c>
      <c r="I137" s="2">
        <f>IF(_xlfn.XLOOKUP(B137,'Base stats'!B:B,'Base stats'!AI:AI)=1,0.99,MIN(MROUND((1-0.6282*EXP(-0.459*AN137))*_xlfn.XLOOKUP(_xlfn.XLOOKUP(B137,'Base stats'!B:B,'Base stats'!E:E),Groups!A:A,Groups!C:C)*IF(_xlfn.XLOOKUP(B137,'Base stats'!B:B,'Base stats'!O:O)=1,0.5,IF(_xlfn.XLOOKUP(B137,'Base stats'!B:B,'Base stats'!O:O)=2,0,1)),0.05),0.985))</f>
        <v>0.9</v>
      </c>
      <c r="J137" s="2">
        <f>ROUNDUP(AN137*_xlfn.XLOOKUP(_xlfn.XLOOKUP(B137,'Base stats'!B:B,'Base stats'!E:E),Groups!A:A,Groups!E:E),0)</f>
        <v>23</v>
      </c>
      <c r="K137" s="2">
        <f>IF(OR(_xlfn.XLOOKUP(_xlfn.XLOOKUP(B137,'Base stats'!B:B,'Base stats'!E:E),Groups!A:A,Groups!F:F)=2,ISNUMBER(SEARCH("SeaIce",BV137)),ISNUMBER(SEARCH("IceSheet",BV137))),-50,IF(OR(ISNUMBER(SEARCH("GlacialPlain",BV137)),ISNUMBER(SEARCH("Tundra",BV137))),-40,IF(OR(ISNUMBER(SEARCH("Alpine",BV137)),ISNUMBER(SEARCH("BorealForest",BV137)),ISNUMBER(SEARCH("ColdBog",BV137))),-30,IF(OR(ISNUMBER(SEARCH("TemperateForest",BV137)),ISNUMBER(SEARCH("TemperateSwamp",BV137))),-20,IF(_xlfn.XLOOKUP(_xlfn.XLOOKUP(B137,'Base stats'!B:B,'Base stats'!E:E),Groups!A:A,Groups!F:F)=1,-15,IF(OR(ISNUMBER(SEARCH("Desert",BV137)),ISNUMBER(SEARCH("ExtremeDesert",BV137))),-10,IF(OR(ISNUMBER(SEARCH("Grasslands",BV137)),ISNUMBER(SEARCH("TropicalRainforest",BV137)),ISNUMBER(SEARCH("TropicalSwamp",BV137))),10,0)))))))-IF(CA137="False",MIN(IFERROR(MAX(MROUND(LOG10(_xlfn.XLOOKUP(B137,'Base stats'!B:B,'Base stats'!C:C)^(2/3))*10,5),5),5),30))-_xlfn.XLOOKUP(B137,'Base stats'!B:B,'Base stats'!P:P)+IF(CA137="True",5,0)</f>
        <v>-15</v>
      </c>
      <c r="L137" s="2">
        <f>IF(OR(_xlfn.XLOOKUP(_xlfn.XLOOKUP(B137,'Base stats'!B:B,'Base stats'!E:E),Groups!A:A,Groups!G:G)=2,ISNUMBER(SEARCH("Desert",BV137)),ISNUMBER(SEARCH("ExtremeDesert",BV137)),ISNUMBER(SEARCH("LavaField",BV137))),50,IF(ISNUMBER(SEARCH("Grasslands",BV137)),45,IF(OR(_xlfn.XLOOKUP(_xlfn.XLOOKUP(B137,'Base stats'!B:B,'Base stats'!E:E),Groups!A:A,Groups!G:G)=1,ISNUMBER(SEARCH("TropicalRainforest",BV137)),ISNUMBER(SEARCH("TropicalSwamp",BV137))),40,IF(OR(ISNUMBER(SEARCH("TemperateForest",BV137)),ISNUMBER(SEARCH("TemperateSwamp",BV137))),35,IF(OR(ISNUMBER(SEARCH("Alpine",BV137)),ISNUMBER(SEARCH("BorealForest",BV137)),ISNUMBER(SEARCH("ColdBog",BV137))),30,IF(ISNUMBER(OR(ISNUMBER(SEARCH("GlacialPlain",BV137)),SEARCH("Tundra",BV137))),25,IF(OR(ISNUMBER(SEARCH("SeaIce",BV137)),ISNUMBER(SEARCH("IceSheet",BV137)),ISNUMBER(SEARCH("TropicalSwamp",BV137))),10,35)))))))+_xlfn.XLOOKUP(B137,'Base stats'!B:B,'Base stats'!Q:Q)</f>
        <v>40</v>
      </c>
      <c r="M137" s="8" t="str">
        <f>IF(_xlfn.XLOOKUP(_xlfn.XLOOKUP(B137,'Base stats'!B:B,'Base stats'!E:E),Groups!A:A,Groups!L:L)=1,MIN(MROUND(_xlfn.XLOOKUP(B137,'Animals CE'!B:B,'Animals CE'!Z:Z)/2+0.05,0.05),200%),"No")</f>
        <v>No</v>
      </c>
      <c r="N137" s="8" t="str">
        <f>IF(_xlfn.XLOOKUP(_xlfn.XLOOKUP(B137,'Base stats'!B:B,'Base stats'!E:E),Groups!A:A,Groups!L:L)=1,MIN(MROUND(_xlfn.XLOOKUP(B137,'Animals CE'!B:B,'Animals CE'!AA:AA)/2+0.05,0.05),200%),"No")</f>
        <v>No</v>
      </c>
      <c r="O137" s="2" t="str">
        <f>_xlfn.XLOOKUP(B137,'Base stats'!B:B,'Base stats'!R:R)</f>
        <v>Standard</v>
      </c>
      <c r="P137" s="13">
        <f>MROUND((LOG10(_xlfn.XLOOKUP(B137,'Base stats'!B:B,'Base stats'!AO:AO))*(AN137^0.5)+(_xlfn.XLOOKUP(B137,'Base stats'!B:B,'Base stats'!AO:AO)/1000)^(2/3)+_xlfn.XLOOKUP(B137,'Base stats'!B:B,'Base stats'!AX:AX)/2)+0.5,0.5)</f>
        <v>31.5</v>
      </c>
      <c r="Q137" s="7">
        <f>IF(P137="No","No",MAX(1,MROUND(_xlfn.XLOOKUP(B137,'Base stats'!B:B,'Base stats'!C:C)^0.165,0.05)))</f>
        <v>3.8000000000000003</v>
      </c>
      <c r="R137" s="13">
        <f>IF(_xlfn.XLOOKUP(_xlfn.XLOOKUP(B137,'Base stats'!B:B,'Base stats'!E:E),Groups!A:A,Groups!P:P)=0,"No",MROUND((LOG10(_xlfn.XLOOKUP(B137,'Base stats'!B:B,'Base stats'!AP:AP))*(AN137^0.5)+(_xlfn.XLOOKUP(B137,'Base stats'!B:B,'Base stats'!AP:AP)/1000)^(2/3)+_xlfn.XLOOKUP(B137,'Base stats'!B:B,'Base stats'!AX:AX))+_xlfn.XLOOKUP(B137,'Base stats'!B:B,'Base stats'!AV:AV)+0.5,0.5))</f>
        <v>37.5</v>
      </c>
      <c r="S137" s="7">
        <f>IF(R137="No","No",MAX(_xlfn.XLOOKUP(_xlfn.XLOOKUP(B137,'Base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T137" s="7" t="str">
        <f>IF(R137="No","No",_xlfn.XLOOKUP(_xlfn.XLOOKUP(B137,'Base stats'!B:B,'Base stats'!E:E),Groups!A:A,Groups!R:R))</f>
        <v>FrontLeftLeg, FrontRightLeg</v>
      </c>
      <c r="U137" s="7" t="str">
        <f>IF(R137="No","No",_xlfn.XLOOKUP(_xlfn.XLOOKUP(B137,'Base stats'!B:B,'Base stats'!E:E),Groups!A:A,Groups!S:S))</f>
        <v>left foot, right foot</v>
      </c>
      <c r="V137" s="7" t="str">
        <f>IF(R137="No","No",_xlfn.XLOOKUP(_xlfn.XLOOKUP(B137,'Base stats'!B:B,'Base stats'!E:E),Groups!A:A,Groups!T:T))</f>
        <v>Blunt</v>
      </c>
      <c r="W137" s="13">
        <f>IF(_xlfn.XLOOKUP(B137,'Base stats'!B:B,'Base stats'!W:W)="No","No",MROUND((LOG10(_xlfn.XLOOKUP(B137,'Base stats'!B:B,'Base stats'!AR:AR))*(AN137^0.5)+(_xlfn.XLOOKUP(B137,'Base stats'!B:B,'Base stats'!AR:AR)/1000)^(2/3)+_xlfn.XLOOKUP(B137,'Base stats'!B:B,'Base stats'!AW:AW))+0.5+IF(_xlfn.XLOOKUP(_xlfn.XLOOKUP(B137,'Base stats'!B:B,'Base stats'!E:E),Groups!A:A,Groups!U:U)&lt;&gt;3,_xlfn.XLOOKUP(B137,'Base stats'!B:B,'Base stats'!AX:AX),0),0.5))</f>
        <v>34.5</v>
      </c>
      <c r="X137" s="7">
        <f>IF(W137="No","No",MAX(_xlfn.XLOOKUP(_xlfn.XLOOKUP(B137,'Base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Y137" s="7" t="str">
        <f>IF(W137="No","No",_xlfn.XLOOKUP(_xlfn.XLOOKUP(B137,'Base stats'!B:B,'Base stats'!E:E),Groups!A:A,Groups!W:W))</f>
        <v>TuskAttackTool</v>
      </c>
      <c r="Z137" s="7" t="str">
        <f>IF(W137="No","No",_xlfn.XLOOKUP(_xlfn.XLOOKUP(B137,'Base stats'!B:B,'Base stats'!E:E),Groups!A:A,Groups!X:X))</f>
        <v>tusk</v>
      </c>
      <c r="AA137" s="7" t="str">
        <f>IF(W137="No","No",_xlfn.XLOOKUP(_xlfn.XLOOKUP(B137,'Base stats'!B:B,'Base stats'!E:E),Groups!A:A,Groups!Y:Y))</f>
        <v>Scratch</v>
      </c>
      <c r="AB137" s="7" t="str">
        <f>_xlfn.XLOOKUP(Animals!B137,'Base stats'!B:B,'Base stats'!X:X)</f>
        <v>True</v>
      </c>
      <c r="AC137" s="13" t="str">
        <f>IF(_xlfn.XLOOKUP(B137,'Base stats'!B:B,'Base stats'!AQ:AQ)="No","No",MROUND((LOG10(_xlfn.XLOOKUP(B137,'Base stats'!B:B,'Base stats'!AQ:AQ))*(AN137^0.75)+(_xlfn.XLOOKUP(B137,'Base stats'!B:B,'Base stats'!AQ:AQ)/1000)^(2/3)+_xlfn.XLOOKUP(B137,'Base stats'!B:B,'Base stats'!AU:AU)+_xlfn.XLOOKUP(B137,'Base stats'!B:B,'Base stats'!AX:AX))+0.5,0.5))</f>
        <v>No</v>
      </c>
      <c r="AD137" s="7" t="str">
        <f>IF(AC137="No","No",MAX(_xlfn.XLOOKUP(_xlfn.XLOOKUP(B137,'Base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E137" s="7" t="str">
        <f>IF(AC137="No","No",_xlfn.XLOOKUP(_xlfn.XLOOKUP(B137,'Base stats'!B:B,'Base stats'!E:E),Groups!A:A,Groups!AA:AA))</f>
        <v>No</v>
      </c>
      <c r="AF137" s="7" t="str">
        <f>IF(AC137="No","No",_xlfn.XLOOKUP(_xlfn.XLOOKUP(B137,'Base stats'!B:B,'Base stats'!E:E),Groups!A:A,Groups!AB:AB))</f>
        <v>No</v>
      </c>
      <c r="AG137" s="7" t="str">
        <f>IF(AC137="No","No",_xlfn.XLOOKUP(_xlfn.XLOOKUP(B137,'Base stats'!B:B,'Base stats'!E:E),Groups!A:A,Groups!AC:AC))</f>
        <v>No</v>
      </c>
      <c r="AH137" s="13" t="str">
        <f>IF(_xlfn.XLOOKUP(_xlfn.XLOOKUP(B137,'Base stats'!B:B,'Base stats'!E:E),Groups!A:A,Groups!AD:AD)=0,"No",MROUND((LOG10(_xlfn.XLOOKUP(B137,'Base stats'!B:B,'Base stats'!AP:AP))*(AN137^0.75)+(_xlfn.XLOOKUP(B137,'Base stats'!B:B,'Base stats'!AP:AP)/1000)^(2/3)+_xlfn.XLOOKUP(B137,'Base stats'!B:B,'Base stats'!AV:AV)+_xlfn.XLOOKUP(B137,'Base stats'!B:B,'Base stats'!AX:AX))+0.5,0.5))</f>
        <v>No</v>
      </c>
      <c r="AI137" s="7" t="str">
        <f>IF(AH137="No","No",MAX(_xlfn.XLOOKUP(_xlfn.XLOOKUP(B137,'Base stats'!B:B,'Base stats'!E:E),Groups!A:A,Groups!AE:AE),MROUND(_xlfn.XLOOKUP(_xlfn.XLOOKUP(B137,'Base stats'!B:B,'Base stats'!E:E),Groups!A:A,Groups!AE:AE)*_xlfn.XLOOKUP(B137,'Base stats'!B:B,'Base stats'!C:C)^0.165,0.05)))</f>
        <v>No</v>
      </c>
      <c r="AJ137" s="7" t="str">
        <f>IF(AH137="No","No",_xlfn.XLOOKUP(_xlfn.XLOOKUP(B137,'Base stats'!B:B,'Base stats'!E:E),Groups!A:A,Groups!AF:AF))</f>
        <v>No</v>
      </c>
      <c r="AK137" s="7" t="str">
        <f>IF(AH137="No","No",_xlfn.XLOOKUP(_xlfn.XLOOKUP(B137,'Base stats'!B:B,'Base stats'!E:E),Groups!A:A,Groups!AG:AG))</f>
        <v>No</v>
      </c>
      <c r="AL137" s="7" t="str">
        <f>IF(AH137="No","No",_xlfn.XLOOKUP(_xlfn.XLOOKUP(B137,'Base stats'!B:B,'Base stats'!E:E),Groups!A:A,Groups!AH:AH))</f>
        <v>No</v>
      </c>
      <c r="AM137" s="2" t="str">
        <f t="shared" si="14"/>
        <v>No</v>
      </c>
      <c r="AN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O137" s="8">
        <f>MROUND(AN137*_xlfn.XLOOKUP(_xlfn.XLOOKUP(B137,'Base stats'!B:B,'Base stats'!E:E),Groups!A:A,Groups!AI:AI),0.05)</f>
        <v>4.5</v>
      </c>
      <c r="AP137" s="8">
        <f>MAX(0.01,MROUND(IF(CA137="True",0.196*(AN137*100*1000)^0.889,IF(_xlfn.XLOOKUP(_xlfn.XLOOKUP(B137,'Base stats'!B:B,'Base stats'!E:E),Groups!A:A,Groups!AJ:AJ)="Bird",10.5*(AN137*100*1000)^0.681,4.82*(AN137*100*1000)^0.734))/(4.82*(1*100*1000)^0.734)/IF(AN137&lt;3.5,2,IF(AN137=3.5,1.5,1.25))*(1+0.132282374779864/(AN137^0.994035016789033+0.00905238001496948)),0.05))</f>
        <v>2.5</v>
      </c>
      <c r="AQ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R137" s="35">
        <f>IFERROR(IF(_xlfn.XLOOKUP(B137,'Base stats'!B:B,'Base stats'!F:F)="Lay eggs","Lay eggs",MIN(20,MAX(5.5,ROUND(((_xlfn.XLOOKUP(B137,'Base stats'!B:B,'Base stats'!F:F)-25)*(14.5/615) + 5.5)*2,0)/2))),"Cannot breed")</f>
        <v>20</v>
      </c>
      <c r="AS137" s="8">
        <f>IF(OR(A137="Queen",A137="Larva",A137="Megachicken"),"No",IFERROR(MAX(IF(_xlfn.XLOOKUP(B137,'Base stats'!B:B,'Base stats'!G:G)&lt;0.5,0.2,0.3),MROUND(_xlfn.XLOOKUP(B137,'Base stats'!B:B,'Base stats'!G:G)/(365/60),0.2)),"Unknown"))</f>
        <v>1.4000000000000001</v>
      </c>
      <c r="AT137" s="8">
        <f t="shared" si="15"/>
        <v>0.70000000000000007</v>
      </c>
      <c r="AU137" s="8">
        <f>IFERROR(IFERROR(MROUND(_xlfn.XLOOKUP(B137,'Base stats'!B:B,'Base stats'!J:J),0.1),"Lay eggs"),"Cannot breed")</f>
        <v>1</v>
      </c>
      <c r="AV137" s="2" t="str">
        <f t="shared" si="16"/>
        <v>true</v>
      </c>
      <c r="AW137" s="2" t="str">
        <f>IF(_xlfn.XLOOKUP(_xlfn.XLOOKUP(Animals!B137,'Base stats'!B:B,'Base stats'!E:E),Groups!A:A,Groups!AK:AK)=1,"true","false")</f>
        <v>true</v>
      </c>
      <c r="AX137" s="25" t="str">
        <f>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</f>
        <v>VegetarianRoughAnimal</v>
      </c>
      <c r="AY137" s="2" t="str">
        <f>IF(_xlfn.XLOOKUP(_xlfn.XLOOKUP(B137,'Base stats'!B:B,'Base stats'!E:E),Groups!A:A,Groups!D:D)=1,MROUND((1-I137)*5+1,2)*IF(I137&lt;=0.4,2,1),"No")</f>
        <v>No</v>
      </c>
      <c r="AZ137" s="2" t="str">
        <f>_xlfn.XLOOKUP(B137,'Base stats'!B:B,'Base stats'!AE:AE)</f>
        <v>Leather_Elephant</v>
      </c>
      <c r="BA137" s="23" t="str">
        <f>_xlfn.XLOOKUP(_xlfn.XLOOKUP(B137,'Base stats'!B:B,'Base stats'!E:E),Groups!A:A,Groups!AL:AL)</f>
        <v>QuadrupedAnimalWithHoovesTusksAndTrunk</v>
      </c>
      <c r="BB137" s="23">
        <f>MROUND(IF(AND(AN137&lt;0.5,_xlfn.XLOOKUP(B137,'Base stats'!B:B,'Base stats'!Z:Z)=0),0,IF(OR(_xlfn.XLOOKUP(Animals!B137,'Base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stats'!AA:AA),0.005)</f>
        <v>2.5000000000000001E-2</v>
      </c>
      <c r="BC137" s="23">
        <f>MROUND(IF(AND(AN137&lt;0.5,_xlfn.XLOOKUP(B137,'Base stats'!B:B,'Base stats'!Z:Z)=0),0,IF(_xlfn.XLOOKUP(_xlfn.XLOOKUP(B137,'Base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stats'!AB:AB),0.005)</f>
        <v>0.3</v>
      </c>
      <c r="BD137" s="2" t="str">
        <f>IF(I137&gt;0.3,"No",_xlfn.XLOOKUP(_xlfn.XLOOKUP(Animals!B137,'Base stats'!B:B,'Base stats'!E:E),Groups!A:A,Groups!AP:AP))</f>
        <v>No</v>
      </c>
      <c r="BE137" s="2" t="str">
        <f>IF(AND(I137&lt;=0.65,_xlfn.XLOOKUP(_xlfn.XLOOKUP(Animals!B137,'Base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stats'!O:O)=2,0.2,AN137) + 24*(1-IF(BD137="No",0,BD137)) + 16/3, 12),"No")</f>
        <v>No</v>
      </c>
      <c r="BF137" s="2">
        <f>IF(AND(_xlfn.XLOOKUP(_xlfn.XLOOKUP(B137,'Base stats'!B:B,'Base stats'!E:E),Groups!A:A,Groups!AQ:AQ)=1,AN137&lt;=0.35),8,12)</f>
        <v>12</v>
      </c>
      <c r="BG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H137" s="2" t="str">
        <f>IF(AND(_xlfn.XLOOKUP(_xlfn.XLOOKUP(B137,'Base stats'!B:B,'Base stats'!E:E),Groups!A:A,Groups!AS:AS)=1,OR('Base stats'!Y137="Carnivore",'Base stats'!Y137="Omnivore")),"true","false")</f>
        <v>false</v>
      </c>
      <c r="BI137" s="2" t="str">
        <f>IF(BH137="true",MROUND(IF(AND(AN137&gt;0.5,_xlfn.XLOOKUP(_xlfn.XLOOKUP(B137,'Base stats'!B:B,'Base stats'!E:E),Groups!A:A,Groups!AJ:AJ)="Mammal"),Animals!AN137*1.75*IF(AV137="true",1.5,1),Animals!AN137),IF(AN137&gt;2,0.5,IF(AN137&gt;0.5,0.25,0.1))),"No")</f>
        <v>No</v>
      </c>
      <c r="BJ137" s="2">
        <f t="shared" si="17"/>
        <v>1</v>
      </c>
      <c r="BK137" s="25" t="str">
        <f>IF('Base stats'!AK137="Standard","No",MROUND((_xlfn.XLOOKUP(B137,'Base stats'!B:B,'Base stats'!AK:AK)/3.6)/H137,0.1))</f>
        <v>No</v>
      </c>
      <c r="BL137" s="25" t="str">
        <f t="shared" si="18"/>
        <v>false</v>
      </c>
      <c r="BM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N137" s="25" t="str" cm="1">
        <f t="array" ref="BN137">IF(
  _xlfn.TEXTJOIN(", ",TRUE,
    IF(AND(BH137="true",AN137&gt;0.5,BG137&lt;&gt;"None"),"AttackTarget",""),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IF(BE137&lt;=36,"Comfort",""),
    IF(_xlfn.XLOOKUP(B137,'Base stats'!B:B,'Base stats'!AC:AC)&lt;&gt;"No",_xlfn.XLOOKUP(B137,'Base stats'!B:B,'Base stats'!AC:AC),"")
  ) = "",
  "No",
  _xlfn.TEXTJOIN(", ",TRUE,
    IF(AND(BH137="true",AN137&gt;0.5,BG137&lt;&gt;"None"),"AttackTarget",""),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IF(BE137&lt;=36,"Comfort",""),
    IF(_xlfn.XLOOKUP(B137,'Base stats'!B:B,'Base stats'!AC:AC)&lt;&gt;"No",_xlfn.XLOOKUP(B137,'Base stats'!B:B,'Base stats'!AC:AC),"")
  )
)</f>
        <v>No</v>
      </c>
      <c r="BO137" s="25" t="str">
        <f>IF(
   AND(
      'Base stats'!AK137="Standard",_xlfn.XLOOKUP(_xlfn.XLOOKUP(B137,'Base stats'!B:B,'Base stats'!E:E),Groups!A:A,Groups!AU:AU)=0,
      OR(
      BM137="True"
      )
   ),
   10,
   IF(
       OR(BK137&lt;&gt;"No",_xlfn.XLOOKUP(_xlfn.XLOOKUP(B137,'Base stats'!B:B,'Base stats'!E:E),Groups!A:A,Groups!AU:AU)=1),
      1,
      "No"
   )
)</f>
        <v>No</v>
      </c>
      <c r="BP137" s="9">
        <f>MROUND((1 + ((0.2*IF(OR(P137="No",Q137="No",Q137=0),0,P137/Q137)
+IF(OR(U137="No",R137="No",S137="No"),0,R137/S137*(LEN(U137)-LEN(SUBSTITUTE(U137,",",""))+1))
+IF(OR(W137="No",X137="No"),0,W137/X137)
+IF(OR(AC137="No",AD137="No"),0,AC137/AD137)
+IF(OR(AK137="No",AH137="No",AI137="No"),0,AH137/AI137*(LEN(AK137)-LEN(SUBSTITUTE(AK137,",",""))+1))
)/(0.2*IF(OR(P137="No",Q137="No",Q137=0),0,1)
+IF(OR(U137="No",R137="No",S137="No"),0,LEN(U137)-LEN(SUBSTITUTE(U137,",",""))+1)
+IF(OR(W137="No",X137="No"),0,1)
+IF(OR(AC137="No",AD137="No"),0,1)
+IF(OR(AK137="No",AH137="No",AI137="No"),0,LEN(AK137)-LEN(SUBSTITUTE(AK137,",",""))+1))*62%)* 2)*(1 + (AO137 + _xlfn.XLOOKUP(B137,'Base stats'!B:B,'Base stats'!AS:AS) * 1.8) * 2) * 2.5 + 10 + H137 * 2,5)+IF(_xlfn.XLOOKUP(B137,'Base stats'!B:B,'Base stats'!AH:AH)=1,50,0)</f>
        <v>395</v>
      </c>
      <c r="BQ137" s="8">
        <f t="shared" si="19"/>
        <v>2.9000000000000004</v>
      </c>
      <c r="BR137" s="8" t="str">
        <f>_xlfn.XLOOKUP(B137,'Base stats'!B:B,'Base stats'!AD:AD)</f>
        <v>3~10</v>
      </c>
      <c r="BS137" s="2" t="str">
        <f>IF(AND(I137&lt;=0.95,OR(_xlfn.XLOOKUP(B137,'Base stats'!B:B,'Base stats'!AH:AH)=1,_xlfn.XLOOKUP(B137,'Base stats'!B:B,'Base stats'!Y:Y)="Carnivore",_xlfn.XLOOKUP(B137,'Base stats'!B:B,'Base stats'!Y:Y)="Omnivore",BC137&gt;0.1)),"true","false")</f>
        <v>true</v>
      </c>
      <c r="BT137" s="2" t="str">
        <f>IF(_xlfn.XLOOKUP(B137,'Base stats'!B:B,'Base stats'!AF:AF)=1,"true","false")</f>
        <v>true</v>
      </c>
      <c r="BU137" s="25" t="str">
        <f>IF(E137="BaseInsect","AnimalInsect",
IF(I137&gt;0.95,"AnimalExotic",
_xlfn.TEXTJOIN(", ",TRUE,
IF(AND(_xlfn.XLOOKUP(B137,'Base stats'!B:B,'Base stats'!O:O)=0,_xlfn.XLOOKUP(_xlfn.XLOOKUP(B137,'Base stats'!B:B,'Base stats'!E:E),Groups!A:A,Groups!B:B)&gt;0),"AnimalUncommon","AnimalCommon"),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stats'!AH:AH)=1,AND(BG137&lt;&gt;"None",BP137&gt;=60),ISNUMBER(SEARCH("Attack target",BN137))),"AnimalFighter","")
)))</f>
        <v>AnimalUncommon, AnimalFighter</v>
      </c>
      <c r="BV137" s="25" t="str">
        <f>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</f>
        <v>TropicalRainforest TropicalSwamp Glowforest</v>
      </c>
      <c r="BW137" s="25" t="str">
        <f>IF(_xlfn.XLOOKUP(B137,'Base stats'!B:B,'Base stats'!AG:AG)=1,"true","false")</f>
        <v>false</v>
      </c>
      <c r="BX137" s="25">
        <f>IF(_xlfn.XLOOKUP(B137,'Base stats'!B:B,'Base stats'!N:N)=1,"No",MIN(MROUND(IF(OR(_xlfn.XLOOKUP(B137,'Base stats'!B:B,'Base stats'!AJ:AJ)=1,AND(BH137="True",CA137="False")),POWER(10,3.47*LOG10(_xlfn.XLOOKUP(B137,'Base stats'!B:B,'Base stats'!C:C)*1000)^-0.96),POWER(10,4.15*LOG10(_xlfn.XLOOKUP(B137,'Base stats'!B:B,'Base stats'!C:C)*1000)^-0.73))*IF(OR(_xlfn.XLOOKUP(B137,'Base stats'!B:B,'Base stats'!AJ:AJ)=1,_xlfn.XLOOKUP(B137,'Base stats'!B:B,'Base stats'!AH:AH)=1),0.5,1)/100,0.025),1))</f>
        <v>0.125</v>
      </c>
      <c r="BY137" s="25" t="str">
        <f>IF(O137="Standard","No",IF(_xlfn.XLOOKUP(B137,'Base stats'!B:B,'Base stats'!N:N)=0,MROUND(BX137*O137,0.05),MIN(1,MAX(0.025,MROUND(IF(OR(CA137="true",AND(BH137="false",BM137="false")),POWER(10,4.15*LOG10(_xlfn.XLOOKUP(B137,'Base stats'!B:B,'Base stats'!C:C)*1000)^-0.73),POWER(10,3.47*LOG10(_xlfn.XLOOKUP(B137,'Base stats'!B:B,'Base stats'!C:C)*1000)^-0.96))*IF(_xlfn.XLOOKUP(B137,'Base stats'!B:B,'Base stats'!AH:AH)=1,0.5,1)/100,0.025)))))</f>
        <v>No</v>
      </c>
      <c r="BZ137" s="25" t="str">
        <f>IF(_xlfn.XLOOKUP(_xlfn.XLOOKUP(B137,'Base stats'!B:B,'Base stats'!E:E),Groups!A:A,Groups!AJ:AJ)="Mammal","True","False")</f>
        <v>True</v>
      </c>
      <c r="CA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B137" s="25" t="str">
        <f t="shared" si="20"/>
        <v>False</v>
      </c>
      <c r="CC137" s="25" t="str">
        <f>IF(_xlfn.XLOOKUP(_xlfn.XLOOKUP(B137,'Base stats'!B:B,'Base stats'!E:E),Groups!A:A,Groups!AW:AW),"True","False")</f>
        <v>False</v>
      </c>
      <c r="CD137" s="25" t="str">
        <f>IF(_xlfn.XLOOKUP(_xlfn.XLOOKUP(B137,'Base stats'!B:B,'Base stats'!E:E),Groups!A:A,Groups!AX:AX),"True","False")</f>
        <v>False</v>
      </c>
      <c r="CE137" s="25" t="str">
        <f>IF(_xlfn.XLOOKUP(B137,'Base stats'!B:B,'Base stats'!E:E)=1,"True","False")</f>
        <v>False</v>
      </c>
      <c r="CF137" s="25" t="str">
        <f>IF(
OR(
_xlfn.XLOOKUP(_xlfn.XLOOKUP(B137,'Base stats'!B:B,'Base stats'!E:E),Groups!A:A,Groups!AY:AY)=0,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stats'!E:E),Groups!A:A,Groups!AY:AY)=1,
"Flesh",
IF(
_xlfn.XLOOKUP(_xlfn.XLOOKUP(B137,'Base stats'!B:B,'Base stats'!E:E),Groups!A:A,Groups!AY:AY)=2,
"Bone",
""
)
)
)</f>
        <v>No</v>
      </c>
      <c r="CG137" s="25" t="str">
        <f>IF(_xlfn.XLOOKUP(_xlfn.XLOOKUP(B137,'Base stats'!B:B,'Base stats'!E:E),Groups!A:A,Groups!BA:BA),"True","False")</f>
        <v>True</v>
      </c>
      <c r="CH137" s="25" t="str">
        <f>IF(_xlfn.XLOOKUP(_xlfn.XLOOKUP(B137,'Base stats'!B:B,'Base stats'!E:E),Groups!A:A,Groups!AZ:AZ),"True","False")</f>
        <v>False</v>
      </c>
    </row>
    <row r="138" spans="1:86" ht="16.5" thickTop="1" thickBot="1" x14ac:dyDescent="0.3">
      <c r="A138" s="26" t="str">
        <f>_xlfn.XLOOKUP(B138,'Base stats'!B:B,'Base stats'!A:A)</f>
        <v>MegaWolverine</v>
      </c>
      <c r="B138" s="6" t="s">
        <v>494</v>
      </c>
      <c r="C138" s="28" t="s">
        <v>831</v>
      </c>
      <c r="D138" s="28" t="s">
        <v>884</v>
      </c>
      <c r="E138" s="28" t="s">
        <v>685</v>
      </c>
      <c r="F138" s="28" t="s">
        <v>685</v>
      </c>
      <c r="G138" s="2">
        <f>MROUND((
  (IF(AND(_xlfn.XLOOKUP(B138,'Base stats'!B:B,'Base stats'!AI:AI)=0,BG138="None",_xlfn.XLOOKUP('Base stats'!E138,Groups!A:A,Groups!B:B)=0), (18 + BP138 * 2.7) * 0.5,
    IF(AND(_xlfn.XLOOKUP(B138,'Base stats'!B:B,'Base stats'!AI:AI)=0,OR(AN138&lt;0.55,AND(BG138="Intermediate",_xlfn.XLOOKUP('Base stats'!E138,Groups!A:A,Groups!B:B)&lt;2))), (18 + BP138 * 2.7),
      IF(OR(BG138="Advanced",_xlfn.XLOOKUP(B138,'Base stats'!B:B,'Base stats'!AI:AI)=1,_xlfn.XLOOKUP('Base stats'!E138,Groups!A:A,Groups!B:B)=2), (18 + BP138 * 2.7) + 250, (18 + BP138 * 2.7))
    )
  ))
  + AN138 * 80
  + IF(COUNTIF(EggMilk!K$2:K$998, A138) &gt; 0, 125, 0)
  + IF(COUNTIF(EggMilk!P$2:P$998, A138) &gt; 0, 90, 0)
  + IF(COUNTIF(EggMilk!A$2:A$998, A138) &gt; 0, 90, 0)
)
* (0.8 + 0.4 * I138)
* 0.75,25)</f>
        <v>1025</v>
      </c>
      <c r="H138" s="2">
        <f>MROUND(ROUNDDOWN(_xlfn.XLOOKUP(B138,'Base stats'!B:B,'Base stats'!L:L)/3.6/(23.3/11),1),0.5)</f>
        <v>6.5</v>
      </c>
      <c r="I138" s="2">
        <f>IF(_xlfn.XLOOKUP(B138,'Base stats'!B:B,'Base stats'!AI:AI)=1,0.99,MIN(MROUND((1-0.6282*EXP(-0.459*AN138))*_xlfn.XLOOKUP(_xlfn.XLOOKUP(B138,'Base stats'!B:B,'Base stats'!E:E),Groups!A:A,Groups!C:C)*IF(_xlfn.XLOOKUP(B138,'Base stats'!B:B,'Base stats'!O:O)=1,0.5,IF(_xlfn.XLOOKUP(B138,'Base stats'!B:B,'Base stats'!O:O)=2,0,1)),0.05),0.985))</f>
        <v>0.98499999999999999</v>
      </c>
      <c r="J138" s="2">
        <f>ROUNDUP(AN138*_xlfn.XLOOKUP(_xlfn.XLOOKUP(B138,'Base stats'!B:B,'Base stats'!E:E),Groups!A:A,Groups!E:E),0)</f>
        <v>3</v>
      </c>
      <c r="K138" s="2">
        <f>IF(OR(_xlfn.XLOOKUP(_xlfn.XLOOKUP(B138,'Base stats'!B:B,'Base stats'!E:E),Groups!A:A,Groups!F:F)=2,ISNUMBER(SEARCH("SeaIce",BV138)),ISNUMBER(SEARCH("IceSheet",BV138))),-50,IF(OR(ISNUMBER(SEARCH("GlacialPlain",BV138)),ISNUMBER(SEARCH("Tundra",BV138))),-40,IF(OR(ISNUMBER(SEARCH("Alpine",BV138)),ISNUMBER(SEARCH("BorealForest",BV138)),ISNUMBER(SEARCH("ColdBog",BV138))),-30,IF(OR(ISNUMBER(SEARCH("TemperateForest",BV138)),ISNUMBER(SEARCH("TemperateSwamp",BV138))),-20,IF(_xlfn.XLOOKUP(_xlfn.XLOOKUP(B138,'Base stats'!B:B,'Base stats'!E:E),Groups!A:A,Groups!F:F)=1,-15,IF(OR(ISNUMBER(SEARCH("Desert",BV138)),ISNUMBER(SEARCH("ExtremeDesert",BV138))),-10,IF(OR(ISNUMBER(SEARCH("Grasslands",BV138)),ISNUMBER(SEARCH("TropicalRainforest",BV138)),ISNUMBER(SEARCH("TropicalSwamp",BV138))),10,0)))))))-IF(CA138="False",MIN(IFERROR(MAX(MROUND(LOG10(_xlfn.XLOOKUP(B138,'Base stats'!B:B,'Base stats'!C:C)^(2/3))*10,5),5),5),30))-_xlfn.XLOOKUP(B138,'Base stats'!B:B,'Base stats'!P:P)+IF(CA138="True",5,0)</f>
        <v>-35</v>
      </c>
      <c r="L138" s="2">
        <f>IF(OR(_xlfn.XLOOKUP(_xlfn.XLOOKUP(B138,'Base stats'!B:B,'Base stats'!E:E),Groups!A:A,Groups!G:G)=2,ISNUMBER(SEARCH("Desert",BV138)),ISNUMBER(SEARCH("ExtremeDesert",BV138)),ISNUMBER(SEARCH("LavaField",BV138))),50,IF(ISNUMBER(SEARCH("Grasslands",BV138)),45,IF(OR(_xlfn.XLOOKUP(_xlfn.XLOOKUP(B138,'Base stats'!B:B,'Base stats'!E:E),Groups!A:A,Groups!G:G)=1,ISNUMBER(SEARCH("TropicalRainforest",BV138)),ISNUMBER(SEARCH("TropicalSwamp",BV138))),40,IF(OR(ISNUMBER(SEARCH("TemperateForest",BV138)),ISNUMBER(SEARCH("TemperateSwamp",BV138))),35,IF(OR(ISNUMBER(SEARCH("Alpine",BV138)),ISNUMBER(SEARCH("BorealForest",BV138)),ISNUMBER(SEARCH("ColdBog",BV138))),30,IF(ISNUMBER(OR(ISNUMBER(SEARCH("GlacialPlain",BV138)),SEARCH("Tundra",BV138))),25,IF(OR(ISNUMBER(SEARCH("SeaIce",BV138)),ISNUMBER(SEARCH("IceSheet",BV138)),ISNUMBER(SEARCH("TropicalSwamp",BV138))),10,35)))))))+_xlfn.XLOOKUP(B138,'Base stats'!B:B,'Base stats'!Q:Q)</f>
        <v>35</v>
      </c>
      <c r="M138" s="8" t="str">
        <f>IF(_xlfn.XLOOKUP(_xlfn.XLOOKUP(B138,'Base stats'!B:B,'Base stats'!E:E),Groups!A:A,Groups!L:L)=1,MIN(MROUND(_xlfn.XLOOKUP(B138,'Animals CE'!B:B,'Animals CE'!Z:Z)/2+0.05,0.05),200%),"No")</f>
        <v>No</v>
      </c>
      <c r="N138" s="8" t="str">
        <f>IF(_xlfn.XLOOKUP(_xlfn.XLOOKUP(B138,'Base stats'!B:B,'Base stats'!E:E),Groups!A:A,Groups!L:L)=1,MIN(MROUND(_xlfn.XLOOKUP(B138,'Animals CE'!B:B,'Animals CE'!AA:AA)/2+0.05,0.05),200%),"No")</f>
        <v>No</v>
      </c>
      <c r="O138" s="2" t="str">
        <f>_xlfn.XLOOKUP(B138,'Base stats'!B:B,'Base stats'!R:R)</f>
        <v>Standard</v>
      </c>
      <c r="P138" s="13">
        <f>MROUND((LOG10(_xlfn.XLOOKUP(B138,'Base stats'!B:B,'Base stats'!AO:AO))*(AN138^0.5)+(_xlfn.XLOOKUP(B138,'Base stats'!B:B,'Base stats'!AO:AO)/1000)^(2/3)+_xlfn.XLOOKUP(B138,'Base stats'!B:B,'Base stats'!AX:AX)/2)+0.5,0.5)</f>
        <v>15.5</v>
      </c>
      <c r="Q138" s="7">
        <f>IF(P138="No","No",MAX(1,MROUND(_xlfn.XLOOKUP(B138,'Base stats'!B:B,'Base stats'!C:C)^0.165,0.05)))</f>
        <v>2.8000000000000003</v>
      </c>
      <c r="R138" s="13" t="str">
        <f>IF(_xlfn.XLOOKUP(_xlfn.XLOOKUP(B138,'Base stats'!B:B,'Base stats'!E:E),Groups!A:A,Groups!P:P)=0,"No",MROUND((LOG10(_xlfn.XLOOKUP(B138,'Base stats'!B:B,'Base stats'!AP:AP))*(AN138^0.5)+(_xlfn.XLOOKUP(B138,'Base stats'!B:B,'Base stats'!AP:AP)/1000)^(2/3)+_xlfn.XLOOKUP(B138,'Base stats'!B:B,'Base stats'!AX:AX))+_xlfn.XLOOKUP(B138,'Base stats'!B:B,'Base stats'!AV:AV)+0.5,0.5))</f>
        <v>No</v>
      </c>
      <c r="S138" s="7" t="str">
        <f>IF(R138="No","No",MAX(_xlfn.XLOOKUP(_xlfn.XLOOKUP(B138,'Base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T138" s="7" t="str">
        <f>IF(R138="No","No",_xlfn.XLOOKUP(_xlfn.XLOOKUP(B138,'Base stats'!B:B,'Base stats'!E:E),Groups!A:A,Groups!R:R))</f>
        <v>No</v>
      </c>
      <c r="U138" s="7" t="str">
        <f>IF(R138="No","No",_xlfn.XLOOKUP(_xlfn.XLOOKUP(B138,'Base stats'!B:B,'Base stats'!E:E),Groups!A:A,Groups!S:S))</f>
        <v>No</v>
      </c>
      <c r="V138" s="7" t="str">
        <f>IF(R138="No","No",_xlfn.XLOOKUP(_xlfn.XLOOKUP(B138,'Base stats'!B:B,'Base stats'!E:E),Groups!A:A,Groups!T:T))</f>
        <v>No</v>
      </c>
      <c r="W138" s="13" t="str">
        <f>IF(_xlfn.XLOOKUP(B138,'Base stats'!B:B,'Base stats'!W:W)="No","No",MROUND((LOG10(_xlfn.XLOOKUP(B138,'Base stats'!B:B,'Base stats'!AR:AR))*(AN138^0.5)+(_xlfn.XLOOKUP(B138,'Base stats'!B:B,'Base stats'!AR:AR)/1000)^(2/3)+_xlfn.XLOOKUP(B138,'Base stats'!B:B,'Base stats'!AW:AW))+0.5+IF(_xlfn.XLOOKUP(_xlfn.XLOOKUP(B138,'Base stats'!B:B,'Base stats'!E:E),Groups!A:A,Groups!U:U)&lt;&gt;3,_xlfn.XLOOKUP(B138,'Base stats'!B:B,'Base stats'!AX:AX),0),0.5))</f>
        <v>No</v>
      </c>
      <c r="X138" s="7" t="str">
        <f>IF(W138="No","No",MAX(_xlfn.XLOOKUP(_xlfn.XLOOKUP(B138,'Base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Y138" s="7" t="str">
        <f>IF(W138="No","No",_xlfn.XLOOKUP(_xlfn.XLOOKUP(B138,'Base stats'!B:B,'Base stats'!E:E),Groups!A:A,Groups!W:W))</f>
        <v>No</v>
      </c>
      <c r="Z138" s="7" t="str">
        <f>IF(W138="No","No",_xlfn.XLOOKUP(_xlfn.XLOOKUP(B138,'Base stats'!B:B,'Base stats'!E:E),Groups!A:A,Groups!X:X))</f>
        <v>No</v>
      </c>
      <c r="AA138" s="7" t="str">
        <f>IF(W138="No","No",_xlfn.XLOOKUP(_xlfn.XLOOKUP(B138,'Base stats'!B:B,'Base stats'!E:E),Groups!A:A,Groups!Y:Y))</f>
        <v>No</v>
      </c>
      <c r="AB138" s="7" t="str">
        <f>_xlfn.XLOOKUP(Animals!B138,'Base stats'!B:B,'Base stats'!X:X)</f>
        <v>False</v>
      </c>
      <c r="AC138" s="13">
        <f>IF(_xlfn.XLOOKUP(B138,'Base stats'!B:B,'Base stats'!AQ:AQ)="No","No",MROUND((LOG10(_xlfn.XLOOKUP(B138,'Base stats'!B:B,'Base stats'!AQ:AQ))*(AN138^0.75)+(_xlfn.XLOOKUP(B138,'Base stats'!B:B,'Base stats'!AQ:AQ)/1000)^(2/3)+_xlfn.XLOOKUP(B138,'Base stats'!B:B,'Base stats'!AU:AU)+_xlfn.XLOOKUP(B138,'Base stats'!B:B,'Base stats'!AX:AX))+0.5,0.5))</f>
        <v>28.5</v>
      </c>
      <c r="AD138" s="7">
        <f>IF(AC138="No","No",MAX(_xlfn.XLOOKUP(_xlfn.XLOOKUP(B138,'Base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2.25</v>
      </c>
      <c r="AE138" s="7" t="str">
        <f>IF(AC138="No","No",_xlfn.XLOOKUP(_xlfn.XLOOKUP(B138,'Base stats'!B:B,'Base stats'!E:E),Groups!A:A,Groups!AA:AA))</f>
        <v>Teeth</v>
      </c>
      <c r="AF138" s="7" t="str">
        <f>IF(AC138="No","No",_xlfn.XLOOKUP(_xlfn.XLOOKUP(B138,'Base stats'!B:B,'Base stats'!E:E),Groups!A:A,Groups!AB:AB))</f>
        <v>canines</v>
      </c>
      <c r="AG138" s="7" t="str">
        <f>IF(AC138="No","No",_xlfn.XLOOKUP(_xlfn.XLOOKUP(B138,'Base stats'!B:B,'Base stats'!E:E),Groups!A:A,Groups!AC:AC))</f>
        <v>Bite</v>
      </c>
      <c r="AH138" s="13">
        <f>IF(_xlfn.XLOOKUP(_xlfn.XLOOKUP(B138,'Base stats'!B:B,'Base stats'!E:E),Groups!A:A,Groups!AD:AD)=0,"No",MROUND((LOG10(_xlfn.XLOOKUP(B138,'Base stats'!B:B,'Base stats'!AP:AP))*(AN138^0.75)+(_xlfn.XLOOKUP(B138,'Base stats'!B:B,'Base stats'!AP:AP)/1000)^(2/3)+_xlfn.XLOOKUP(B138,'Base stats'!B:B,'Base stats'!AV:AV)+_xlfn.XLOOKUP(B138,'Base stats'!B:B,'Base stats'!AX:AX))+0.5,0.5))</f>
        <v>24</v>
      </c>
      <c r="AI138" s="7">
        <f>IF(AH138="No","No",MAX(_xlfn.XLOOKUP(_xlfn.XLOOKUP(B138,'Base stats'!B:B,'Base stats'!E:E),Groups!A:A,Groups!AE:AE),MROUND(_xlfn.XLOOKUP(_xlfn.XLOOKUP(B138,'Base stats'!B:B,'Base stats'!E:E),Groups!A:A,Groups!AE:AE)*_xlfn.XLOOKUP(B138,'Base stats'!B:B,'Base stats'!C:C)^0.165,0.05)))</f>
        <v>1.8</v>
      </c>
      <c r="AJ138" s="7" t="str">
        <f>IF(AH138="No","No",_xlfn.XLOOKUP(_xlfn.XLOOKUP(B138,'Base stats'!B:B,'Base stats'!E:E),Groups!A:A,Groups!AF:AF))</f>
        <v>FrontRightPaw, FrontRightPaw</v>
      </c>
      <c r="AK138" s="7" t="str">
        <f>IF(AH138="No","No",_xlfn.XLOOKUP(_xlfn.XLOOKUP(B138,'Base stats'!B:B,'Base stats'!E:E),Groups!A:A,Groups!AG:AG))</f>
        <v>left claw, right claw</v>
      </c>
      <c r="AL138" s="7" t="str">
        <f>IF(AH138="No","No",_xlfn.XLOOKUP(_xlfn.XLOOKUP(B138,'Base stats'!B:B,'Base stats'!E:E),Groups!A:A,Groups!AH:AH))</f>
        <v>Scratch</v>
      </c>
      <c r="AM138" s="2">
        <f t="shared" si="14"/>
        <v>30</v>
      </c>
      <c r="AN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2.75</v>
      </c>
      <c r="AO138" s="8">
        <f>MROUND(AN138*_xlfn.XLOOKUP(_xlfn.XLOOKUP(B138,'Base stats'!B:B,'Base stats'!E:E),Groups!A:A,Groups!AI:AI),0.05)</f>
        <v>3.3000000000000003</v>
      </c>
      <c r="AP138" s="8">
        <f>MAX(0.01,MROUND(IF(CA138="True",0.196*(AN138*100*1000)^0.889,IF(_xlfn.XLOOKUP(_xlfn.XLOOKUP(B138,'Base stats'!B:B,'Base stats'!E:E),Groups!A:A,Groups!AJ:AJ)="Bird",10.5*(AN138*100*1000)^0.681,4.82*(AN138*100*1000)^0.734))/(4.82*(1*100*1000)^0.734)/IF(AN138&lt;3.5,2,IF(AN138=3.5,1.5,1.25))*(1+0.132282374779864/(AN138^0.994035016789033+0.00905238001496948)),0.05))</f>
        <v>1.1000000000000001</v>
      </c>
      <c r="AQ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15</v>
      </c>
      <c r="AR138" s="35">
        <f>IFERROR(IF(_xlfn.XLOOKUP(B138,'Base stats'!B:B,'Base stats'!F:F)="Lay eggs","Lay eggs",MIN(20,MAX(5.5,ROUND(((_xlfn.XLOOKUP(B138,'Base stats'!B:B,'Base stats'!F:F)-25)*(14.5/615) + 5.5)*2,0)/2))),"Cannot breed")</f>
        <v>6.5</v>
      </c>
      <c r="AS138" s="8">
        <f>IF(OR(A138="Queen",A138="Larva",A138="Megachicken"),"No",IFERROR(MAX(IF(_xlfn.XLOOKUP(B138,'Base stats'!B:B,'Base stats'!G:G)&lt;0.5,0.2,0.3),MROUND(_xlfn.XLOOKUP(B138,'Base stats'!B:B,'Base stats'!G:G)/(365/60),0.2)),"Unknown"))</f>
        <v>0.8</v>
      </c>
      <c r="AT138" s="8">
        <f t="shared" si="15"/>
        <v>0.4</v>
      </c>
      <c r="AU138" s="8">
        <f>IFERROR(IFERROR(MROUND(_xlfn.XLOOKUP(B138,'Base stats'!B:B,'Base stats'!J:J),0.1),"Lay eggs"),"Cannot breed")</f>
        <v>3</v>
      </c>
      <c r="AV138" s="2" t="str">
        <f t="shared" si="16"/>
        <v>false</v>
      </c>
      <c r="AW138" s="2" t="str">
        <f>IF(_xlfn.XLOOKUP(_xlfn.XLOOKUP(Animals!B138,'Base stats'!B:B,'Base stats'!E:E),Groups!A:A,Groups!AK:AK)=1,"true","false")</f>
        <v>false</v>
      </c>
      <c r="AX138" s="25" t="str">
        <f>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</f>
        <v>CarnivoreAnimal, OvivoreAnimal</v>
      </c>
      <c r="AY138" s="2" t="str">
        <f>IF(_xlfn.XLOOKUP(_xlfn.XLOOKUP(B138,'Base stats'!B:B,'Base stats'!E:E),Groups!A:A,Groups!D:D)=1,MROUND((1-I138)*5+1,2)*IF(I138&lt;=0.4,2,1),"No")</f>
        <v>No</v>
      </c>
      <c r="AZ138" s="2" t="str">
        <f>_xlfn.XLOOKUP(B138,'Base stats'!B:B,'Base stats'!AE:AE)</f>
        <v>Leather_Heavy</v>
      </c>
      <c r="BA138" s="23" t="str">
        <f>_xlfn.XLOOKUP(_xlfn.XLOOKUP(B138,'Base stats'!B:B,'Base stats'!E:E),Groups!A:A,Groups!AL:AL)</f>
        <v>QuadrupedAnimalWithPawsAndTail</v>
      </c>
      <c r="BB138" s="23">
        <f>MROUND(IF(AND(AN138&lt;0.5,_xlfn.XLOOKUP(B138,'Base stats'!B:B,'Base stats'!Z:Z)=0),0,IF(OR(_xlfn.XLOOKUP(Animals!B138,'Base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stats'!AA:AA),0.005)</f>
        <v>0.1</v>
      </c>
      <c r="BC138" s="23">
        <f>MROUND(IF(AND(AN138&lt;0.5,_xlfn.XLOOKUP(B138,'Base stats'!B:B,'Base stats'!Z:Z)=0),0,IF(_xlfn.XLOOKUP(_xlfn.XLOOKUP(B138,'Base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stats'!AB:AB),0.005)</f>
        <v>0.3</v>
      </c>
      <c r="BD138" s="2" t="str">
        <f>IF(I138&gt;0.3,"No",_xlfn.XLOOKUP(_xlfn.XLOOKUP(Animals!B138,'Base stats'!B:B,'Base stats'!E:E),Groups!A:A,Groups!AP:AP))</f>
        <v>No</v>
      </c>
      <c r="BE138" s="2" t="str">
        <f>IF(AND(I138&lt;=0.65,_xlfn.XLOOKUP(_xlfn.XLOOKUP(Animals!B138,'Base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stats'!O:O)=2,0.2,AN138) + 24*(1-IF(BD138="No",0,BD138)) + 16/3, 12),"No")</f>
        <v>No</v>
      </c>
      <c r="BF138" s="2">
        <f>IF(AND(_xlfn.XLOOKUP(_xlfn.XLOOKUP(B138,'Base stats'!B:B,'Base stats'!E:E),Groups!A:A,Groups!AQ:AQ)=1,AN138&lt;=0.35),8,12)</f>
        <v>12</v>
      </c>
      <c r="BG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H138" s="2" t="str">
        <f>IF(AND(_xlfn.XLOOKUP(_xlfn.XLOOKUP(B138,'Base stats'!B:B,'Base stats'!E:E),Groups!A:A,Groups!AS:AS)=1,OR('Base stats'!Y138="Carnivore",'Base stats'!Y138="Omnivore")),"true","false")</f>
        <v>true</v>
      </c>
      <c r="BI138" s="2">
        <f>IF(BH138="true",MROUND(IF(AND(AN138&gt;0.5,_xlfn.XLOOKUP(_xlfn.XLOOKUP(B138,'Base stats'!B:B,'Base stats'!E:E),Groups!A:A,Groups!AJ:AJ)="Mammal"),Animals!AN138*1.75*IF(AV138="true",1.5,1),Animals!AN138),IF(AN138&gt;2,0.5,IF(AN138&gt;0.5,0.25,0.1))),"No")</f>
        <v>5</v>
      </c>
      <c r="BJ138" s="2">
        <f t="shared" si="17"/>
        <v>1</v>
      </c>
      <c r="BK138" s="25" t="str">
        <f>IF('Base stats'!AK138="Standard","No",MROUND((_xlfn.XLOOKUP(B138,'Base stats'!B:B,'Base stats'!AK:AK)/3.6)/H138,0.1))</f>
        <v>No</v>
      </c>
      <c r="BL138" s="25" t="str">
        <f t="shared" si="18"/>
        <v>false</v>
      </c>
      <c r="BM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N138" s="25" t="str" cm="1">
        <f t="array" ref="BN138">IF(
  _xlfn.TEXTJOIN(", ",TRUE,
    IF(AND(BH138="true",AN138&gt;0.5,BG138&lt;&gt;"None"),"AttackTarget",""),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IF(BE138&lt;=36,"Comfort",""),
    IF(_xlfn.XLOOKUP(B138,'Base stats'!B:B,'Base stats'!AC:AC)&lt;&gt;"No",_xlfn.XLOOKUP(B138,'Base stats'!B:B,'Base stats'!AC:AC),"")
  ) = "",
  "No",
  _xlfn.TEXTJOIN(", ",TRUE,
    IF(AND(BH138="true",AN138&gt;0.5,BG138&lt;&gt;"None"),"AttackTarget",""),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IF(BE138&lt;=36,"Comfort",""),
    IF(_xlfn.XLOOKUP(B138,'Base stats'!B:B,'Base stats'!AC:AC)&lt;&gt;"No",_xlfn.XLOOKUP(B138,'Base stats'!B:B,'Base stats'!AC:AC),"")
  )
)</f>
        <v>AttackTarget</v>
      </c>
      <c r="BO138" s="25" t="str">
        <f>IF(
   AND(
      'Base stats'!AK138="Standard",_xlfn.XLOOKUP(_xlfn.XLOOKUP(B138,'Base stats'!B:B,'Base stats'!E:E),Groups!A:A,Groups!AU:AU)=0,
      OR(
      BM138="True"
      )
   ),
   10,
   IF(
       OR(BK138&lt;&gt;"No",_xlfn.XLOOKUP(_xlfn.XLOOKUP(B138,'Base stats'!B:B,'Base stats'!E:E),Groups!A:A,Groups!AU:AU)=1),
      1,
      "No"
   )
)</f>
        <v>No</v>
      </c>
      <c r="BP138" s="9">
        <f>MROUND((1 + ((0.2*IF(OR(P138="No",Q138="No",Q138=0),0,P138/Q138)
+IF(OR(U138="No",R138="No",S138="No"),0,R138/S138*(LEN(U138)-LEN(SUBSTITUTE(U138,",",""))+1))
+IF(OR(W138="No",X138="No"),0,W138/X138)
+IF(OR(AC138="No",AD138="No"),0,AC138/AD138)
+IF(OR(AK138="No",AH138="No",AI138="No"),0,AH138/AI138*(LEN(AK138)-LEN(SUBSTITUTE(AK138,",",""))+1))
)/(0.2*IF(OR(P138="No",Q138="No",Q138=0),0,1)
+IF(OR(U138="No",R138="No",S138="No"),0,LEN(U138)-LEN(SUBSTITUTE(U138,",",""))+1)
+IF(OR(W138="No",X138="No"),0,1)
+IF(OR(AC138="No",AD138="No"),0,1)
+IF(OR(AK138="No",AH138="No",AI138="No"),0,LEN(AK138)-LEN(SUBSTITUTE(AK138,",",""))+1))*62%)* 2)*(1 + (AO138 + _xlfn.XLOOKUP(B138,'Base stats'!B:B,'Base stats'!AS:AS) * 1.8) * 2) * 2.5 + 10 + H138 * 2,5)+IF(_xlfn.XLOOKUP(B138,'Base stats'!B:B,'Base stats'!AH:AH)=1,50,0)</f>
        <v>340</v>
      </c>
      <c r="BQ138" s="8">
        <f t="shared" si="19"/>
        <v>1.4500000000000002</v>
      </c>
      <c r="BR138" s="8" t="str">
        <f>_xlfn.XLOOKUP(B138,'Base stats'!B:B,'Base stats'!AD:AD)</f>
        <v>No</v>
      </c>
      <c r="BS138" s="2" t="str">
        <f>IF(AND(I138&lt;=0.95,OR(_xlfn.XLOOKUP(B138,'Base stats'!B:B,'Base stats'!AH:AH)=1,_xlfn.XLOOKUP(B138,'Base stats'!B:B,'Base stats'!Y:Y)="Carnivore",_xlfn.XLOOKUP(B138,'Base stats'!B:B,'Base stats'!Y:Y)="Omnivore",BC138&gt;0.1)),"true","false")</f>
        <v>false</v>
      </c>
      <c r="BT138" s="2" t="str">
        <f>IF(_xlfn.XLOOKUP(B138,'Base stats'!B:B,'Base stats'!AF:AF)=1,"true","false")</f>
        <v>false</v>
      </c>
      <c r="BU138" s="25" t="str">
        <f>IF(E138="BaseInsect","AnimalInsect",
IF(I138&gt;0.95,"AnimalExotic",
_xlfn.TEXTJOIN(", ",TRUE,
IF(AND(_xlfn.XLOOKUP(B138,'Base stats'!B:B,'Base stats'!O:O)=0,_xlfn.XLOOKUP(_xlfn.XLOOKUP(B138,'Base stats'!B:B,'Base stats'!E:E),Groups!A:A,Groups!B:B)&gt;0),"AnimalUncommon","AnimalCommon"),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stats'!AH:AH)=1,AND(BG138&lt;&gt;"None",BP138&gt;=60),ISNUMBER(SEARCH("Attack target",BN138))),"AnimalFighter","")
)))</f>
        <v>AnimalExotic</v>
      </c>
      <c r="BV138" s="25" t="str">
        <f>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</f>
        <v/>
      </c>
      <c r="BW138" s="25" t="str">
        <f>IF(_xlfn.XLOOKUP(B138,'Base stats'!B:B,'Base stats'!AG:AG)=1,"true","false")</f>
        <v>false</v>
      </c>
      <c r="BX138" s="25">
        <f>IF(_xlfn.XLOOKUP(B138,'Base stats'!B:B,'Base stats'!N:N)=1,"No",MIN(MROUND(IF(OR(_xlfn.XLOOKUP(B138,'Base stats'!B:B,'Base stats'!AJ:AJ)=1,AND(BH138="True",CA138="False")),POWER(10,3.47*LOG10(_xlfn.XLOOKUP(B138,'Base stats'!B:B,'Base stats'!C:C)*1000)^-0.96),POWER(10,4.15*LOG10(_xlfn.XLOOKUP(B138,'Base stats'!B:B,'Base stats'!C:C)*1000)^-0.73))*IF(OR(_xlfn.XLOOKUP(B138,'Base stats'!B:B,'Base stats'!AJ:AJ)=1,_xlfn.XLOOKUP(B138,'Base stats'!B:B,'Base stats'!AH:AH)=1),0.5,1)/100,0.025),1))</f>
        <v>0.05</v>
      </c>
      <c r="BY138" s="25" t="str">
        <f>IF(O138="Standard","No",IF(_xlfn.XLOOKUP(B138,'Base stats'!B:B,'Base stats'!N:N)=0,MROUND(BX138*O138,0.05),MIN(1,MAX(0.025,MROUND(IF(OR(CA138="true",AND(BH138="false",BM138="false")),POWER(10,4.15*LOG10(_xlfn.XLOOKUP(B138,'Base stats'!B:B,'Base stats'!C:C)*1000)^-0.73),POWER(10,3.47*LOG10(_xlfn.XLOOKUP(B138,'Base stats'!B:B,'Base stats'!C:C)*1000)^-0.96))*IF(_xlfn.XLOOKUP(B138,'Base stats'!B:B,'Base stats'!AH:AH)=1,0.5,1)/100,0.025)))))</f>
        <v>No</v>
      </c>
      <c r="BZ138" s="25" t="str">
        <f>IF(_xlfn.XLOOKUP(_xlfn.XLOOKUP(B138,'Base stats'!B:B,'Base stats'!E:E),Groups!A:A,Groups!AJ:AJ)="Mammal","True","False")</f>
        <v>True</v>
      </c>
      <c r="CA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B138" s="25" t="str">
        <f t="shared" si="20"/>
        <v>True</v>
      </c>
      <c r="CC138" s="25" t="str">
        <f>IF(_xlfn.XLOOKUP(_xlfn.XLOOKUP(B138,'Base stats'!B:B,'Base stats'!E:E),Groups!A:A,Groups!AW:AW),"True","False")</f>
        <v>False</v>
      </c>
      <c r="CD138" s="25" t="str">
        <f>IF(_xlfn.XLOOKUP(_xlfn.XLOOKUP(B138,'Base stats'!B:B,'Base stats'!E:E),Groups!A:A,Groups!AX:AX),"True","False")</f>
        <v>False</v>
      </c>
      <c r="CE138" s="25" t="str">
        <f>IF(_xlfn.XLOOKUP(B138,'Base stats'!B:B,'Base stats'!E:E)=1,"True","False")</f>
        <v>False</v>
      </c>
      <c r="CF138" s="25" t="str">
        <f>IF(
OR(
_xlfn.XLOOKUP(_xlfn.XLOOKUP(B138,'Base stats'!B:B,'Base stats'!E:E),Groups!A:A,Groups!AY:AY)=0,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stats'!E:E),Groups!A:A,Groups!AY:AY)=1,
"Flesh",
IF(
_xlfn.XLOOKUP(_xlfn.XLOOKUP(B138,'Base stats'!B:B,'Base stats'!E:E),Groups!A:A,Groups!AY:AY)=2,
"Bone",
""
)
)
)</f>
        <v>No</v>
      </c>
      <c r="CG138" s="25" t="str">
        <f>IF(_xlfn.XLOOKUP(_xlfn.XLOOKUP(B138,'Base stats'!B:B,'Base stats'!E:E),Groups!A:A,Groups!BA:BA),"True","False")</f>
        <v>True</v>
      </c>
      <c r="CH138" s="25" t="str">
        <f>IF(_xlfn.XLOOKUP(_xlfn.XLOOKUP(B138,'Base stats'!B:B,'Base stats'!E:E),Groups!A:A,Groups!AZ:AZ),"True","False")</f>
        <v>False</v>
      </c>
    </row>
    <row r="139" spans="1:86" ht="16.5" thickTop="1" thickBot="1" x14ac:dyDescent="0.3">
      <c r="A139" s="26" t="str">
        <f>_xlfn.XLOOKUP(B139,'Base stats'!B:B,'Base stats'!A:A)</f>
        <v>Beagle</v>
      </c>
      <c r="B139" s="6" t="s">
        <v>904</v>
      </c>
      <c r="C139" s="28" t="s">
        <v>832</v>
      </c>
      <c r="D139" s="28" t="s">
        <v>884</v>
      </c>
      <c r="E139" s="28" t="s">
        <v>685</v>
      </c>
      <c r="F139" s="28" t="s">
        <v>685</v>
      </c>
      <c r="G139" s="2">
        <f>MROUND((
  (IF(AND(_xlfn.XLOOKUP(B139,'Base stats'!B:B,'Base stats'!AI:AI)=0,BG139="None",_xlfn.XLOOKUP('Base stats'!E139,Groups!A:A,Groups!B:B)=0), (18 + BP139 * 2.7) * 0.5,
    IF(AND(_xlfn.XLOOKUP(B139,'Base stats'!B:B,'Base stats'!AI:AI)=0,OR(AN139&lt;0.55,AND(BG139="Intermediate",_xlfn.XLOOKUP('Base stats'!E139,Groups!A:A,Groups!B:B)&lt;2))), (18 + BP139 * 2.7),
      IF(OR(BG139="Advanced",_xlfn.XLOOKUP(B139,'Base stats'!B:B,'Base stats'!AI:AI)=1,_xlfn.XLOOKUP('Base stats'!E139,Groups!A:A,Groups!B:B)=2), (18 + BP139 * 2.7) + 250, (18 + BP139 * 2.7))
    )
  ))
  + AN139 * 80
  + IF(COUNTIF(EggMilk!K$2:K$998, A139) &gt; 0, 125, 0)
  + IF(COUNTIF(EggMilk!P$2:P$998, A139) &gt; 0, 90, 0)
  + IF(COUNTIF(EggMilk!A$2:A$998, A139) &gt; 0, 90, 0)
)
* (0.8 + 0.4 * I139)
* 0.75,25)</f>
        <v>125</v>
      </c>
      <c r="H139" s="2">
        <f>MROUND(ROUNDDOWN(_xlfn.XLOOKUP(B139,'Base stats'!B:B,'Base stats'!L:L)/3.6/(23.3/11),1),0.5)</f>
        <v>6</v>
      </c>
      <c r="I139" s="2">
        <f>IF(_xlfn.XLOOKUP(B139,'Base stats'!B:B,'Base stats'!AI:AI)=1,0.99,MIN(MROUND((1-0.6282*EXP(-0.459*AN139))*_xlfn.XLOOKUP(_xlfn.XLOOKUP(B139,'Base stats'!B:B,'Base stats'!E:E),Groups!A:A,Groups!C:C)*IF(_xlfn.XLOOKUP(B139,'Base stats'!B:B,'Base stats'!O:O)=1,0.5,IF(_xlfn.XLOOKUP(B139,'Base stats'!B:B,'Base stats'!O:O)=2,0,1)),0.05),0.985))</f>
        <v>0</v>
      </c>
      <c r="J139" s="2">
        <f>ROUNDUP(AN139*_xlfn.XLOOKUP(_xlfn.XLOOKUP(B139,'Base stats'!B:B,'Base stats'!E:E),Groups!A:A,Groups!E:E),0)</f>
        <v>1</v>
      </c>
      <c r="K139" s="2">
        <f>IF(OR(_xlfn.XLOOKUP(_xlfn.XLOOKUP(B139,'Base stats'!B:B,'Base stats'!E:E),Groups!A:A,Groups!F:F)=2,ISNUMBER(SEARCH("SeaIce",BV139)),ISNUMBER(SEARCH("IceSheet",BV139))),-50,IF(OR(ISNUMBER(SEARCH("GlacialPlain",BV139)),ISNUMBER(SEARCH("Tundra",BV139))),-40,IF(OR(ISNUMBER(SEARCH("Alpine",BV139)),ISNUMBER(SEARCH("BorealForest",BV139)),ISNUMBER(SEARCH("ColdBog",BV139))),-30,IF(OR(ISNUMBER(SEARCH("TemperateForest",BV139)),ISNUMBER(SEARCH("TemperateSwamp",BV139))),-20,IF(_xlfn.XLOOKUP(_xlfn.XLOOKUP(B139,'Base stats'!B:B,'Base stats'!E:E),Groups!A:A,Groups!F:F)=1,-15,IF(OR(ISNUMBER(SEARCH("Desert",BV139)),ISNUMBER(SEARCH("ExtremeDesert",BV139))),-10,IF(OR(ISNUMBER(SEARCH("Grasslands",BV139)),ISNUMBER(SEARCH("TropicalRainforest",BV139)),ISNUMBER(SEARCH("TropicalSwamp",BV139))),10,0)))))))-IF(CA139="False",MIN(IFERROR(MAX(MROUND(LOG10(_xlfn.XLOOKUP(B139,'Base stats'!B:B,'Base stats'!C:C)^(2/3))*10,5),5),5),30))-_xlfn.XLOOKUP(B139,'Base stats'!B:B,'Base stats'!P:P)+IF(CA139="True",5,0)</f>
        <v>-20</v>
      </c>
      <c r="L139" s="2">
        <f>IF(OR(_xlfn.XLOOKUP(_xlfn.XLOOKUP(B139,'Base stats'!B:B,'Base stats'!E:E),Groups!A:A,Groups!G:G)=2,ISNUMBER(SEARCH("Desert",BV139)),ISNUMBER(SEARCH("ExtremeDesert",BV139)),ISNUMBER(SEARCH("LavaField",BV139))),50,IF(ISNUMBER(SEARCH("Grasslands",BV139)),45,IF(OR(_xlfn.XLOOKUP(_xlfn.XLOOKUP(B139,'Base stats'!B:B,'Base stats'!E:E),Groups!A:A,Groups!G:G)=1,ISNUMBER(SEARCH("TropicalRainforest",BV139)),ISNUMBER(SEARCH("TropicalSwamp",BV139))),40,IF(OR(ISNUMBER(SEARCH("TemperateForest",BV139)),ISNUMBER(SEARCH("TemperateSwamp",BV139))),35,IF(OR(ISNUMBER(SEARCH("Alpine",BV139)),ISNUMBER(SEARCH("BorealForest",BV139)),ISNUMBER(SEARCH("ColdBog",BV139))),30,IF(ISNUMBER(OR(ISNUMBER(SEARCH("GlacialPlain",BV139)),SEARCH("Tundra",BV139))),25,IF(OR(ISNUMBER(SEARCH("SeaIce",BV139)),ISNUMBER(SEARCH("IceSheet",BV139)),ISNUMBER(SEARCH("TropicalSwamp",BV139))),10,35)))))))+_xlfn.XLOOKUP(B139,'Base stats'!B:B,'Base stats'!Q:Q)</f>
        <v>35</v>
      </c>
      <c r="M139" s="8" t="str">
        <f>IF(_xlfn.XLOOKUP(_xlfn.XLOOKUP(B139,'Base stats'!B:B,'Base stats'!E:E),Groups!A:A,Groups!L:L)=1,MIN(MROUND(_xlfn.XLOOKUP(B139,'Animals CE'!B:B,'Animals CE'!Z:Z)/2+0.05,0.05),200%),"No")</f>
        <v>No</v>
      </c>
      <c r="N139" s="8" t="str">
        <f>IF(_xlfn.XLOOKUP(_xlfn.XLOOKUP(B139,'Base stats'!B:B,'Base stats'!E:E),Groups!A:A,Groups!L:L)=1,MIN(MROUND(_xlfn.XLOOKUP(B139,'Animals CE'!B:B,'Animals CE'!AA:AA)/2+0.05,0.05),200%),"No")</f>
        <v>No</v>
      </c>
      <c r="O139" s="2" t="str">
        <f>_xlfn.XLOOKUP(B139,'Base stats'!B:B,'Base stats'!R:R)</f>
        <v>Standard</v>
      </c>
      <c r="P139" s="13">
        <f>MROUND((LOG10(_xlfn.XLOOKUP(B139,'Base stats'!B:B,'Base stats'!AO:AO))*(AN139^0.5)+(_xlfn.XLOOKUP(B139,'Base stats'!B:B,'Base stats'!AO:AO)/1000)^(2/3)+_xlfn.XLOOKUP(B139,'Base stats'!B:B,'Base stats'!AX:AX)/2)+0.5,0.5)</f>
        <v>3.5</v>
      </c>
      <c r="Q139" s="7">
        <f>IF(P139="No","No",MAX(1,MROUND(_xlfn.XLOOKUP(B139,'Base stats'!B:B,'Base stats'!C:C)^0.165,0.05)))</f>
        <v>1.4500000000000002</v>
      </c>
      <c r="R139" s="13" t="str">
        <f>IF(_xlfn.XLOOKUP(_xlfn.XLOOKUP(B139,'Base stats'!B:B,'Base stats'!E:E),Groups!A:A,Groups!P:P)=0,"No",MROUND((LOG10(_xlfn.XLOOKUP(B139,'Base stats'!B:B,'Base stats'!AP:AP))*(AN139^0.5)+(_xlfn.XLOOKUP(B139,'Base stats'!B:B,'Base stats'!AP:AP)/1000)^(2/3)+_xlfn.XLOOKUP(B139,'Base stats'!B:B,'Base stats'!AX:AX))+_xlfn.XLOOKUP(B139,'Base stats'!B:B,'Base stats'!AV:AV)+0.5,0.5))</f>
        <v>No</v>
      </c>
      <c r="S139" s="7" t="str">
        <f>IF(R139="No","No",MAX(_xlfn.XLOOKUP(_xlfn.XLOOKUP(B139,'Base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T139" s="7" t="str">
        <f>IF(R139="No","No",_xlfn.XLOOKUP(_xlfn.XLOOKUP(B139,'Base stats'!B:B,'Base stats'!E:E),Groups!A:A,Groups!R:R))</f>
        <v>No</v>
      </c>
      <c r="U139" s="7" t="str">
        <f>IF(R139="No","No",_xlfn.XLOOKUP(_xlfn.XLOOKUP(B139,'Base stats'!B:B,'Base stats'!E:E),Groups!A:A,Groups!S:S))</f>
        <v>No</v>
      </c>
      <c r="V139" s="7" t="str">
        <f>IF(R139="No","No",_xlfn.XLOOKUP(_xlfn.XLOOKUP(B139,'Base stats'!B:B,'Base stats'!E:E),Groups!A:A,Groups!T:T))</f>
        <v>No</v>
      </c>
      <c r="W139" s="13" t="str">
        <f>IF(_xlfn.XLOOKUP(B139,'Base stats'!B:B,'Base stats'!W:W)="No","No",MROUND((LOG10(_xlfn.XLOOKUP(B139,'Base stats'!B:B,'Base stats'!AR:AR))*(AN139^0.5)+(_xlfn.XLOOKUP(B139,'Base stats'!B:B,'Base stats'!AR:AR)/1000)^(2/3)+_xlfn.XLOOKUP(B139,'Base stats'!B:B,'Base stats'!AW:AW))+0.5+IF(_xlfn.XLOOKUP(_xlfn.XLOOKUP(B139,'Base stats'!B:B,'Base stats'!E:E),Groups!A:A,Groups!U:U)&lt;&gt;3,_xlfn.XLOOKUP(B139,'Base stats'!B:B,'Base stats'!AX:AX),0),0.5))</f>
        <v>No</v>
      </c>
      <c r="X139" s="7" t="str">
        <f>IF(W139="No","No",MAX(_xlfn.XLOOKUP(_xlfn.XLOOKUP(B139,'Base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Y139" s="7" t="str">
        <f>IF(W139="No","No",_xlfn.XLOOKUP(_xlfn.XLOOKUP(B139,'Base stats'!B:B,'Base stats'!E:E),Groups!A:A,Groups!W:W))</f>
        <v>No</v>
      </c>
      <c r="Z139" s="7" t="str">
        <f>IF(W139="No","No",_xlfn.XLOOKUP(_xlfn.XLOOKUP(B139,'Base stats'!B:B,'Base stats'!E:E),Groups!A:A,Groups!X:X))</f>
        <v>No</v>
      </c>
      <c r="AA139" s="7" t="str">
        <f>IF(W139="No","No",_xlfn.XLOOKUP(_xlfn.XLOOKUP(B139,'Base stats'!B:B,'Base stats'!E:E),Groups!A:A,Groups!Y:Y))</f>
        <v>No</v>
      </c>
      <c r="AB139" s="7" t="str">
        <f>_xlfn.XLOOKUP(Animals!B139,'Base stats'!B:B,'Base stats'!X:X)</f>
        <v>False</v>
      </c>
      <c r="AC139" s="13">
        <f>IF(_xlfn.XLOOKUP(B139,'Base stats'!B:B,'Base stats'!AQ:AQ)="No","No",MROUND((LOG10(_xlfn.XLOOKUP(B139,'Base stats'!B:B,'Base stats'!AQ:AQ))*(AN139^0.75)+(_xlfn.XLOOKUP(B139,'Base stats'!B:B,'Base stats'!AQ:AQ)/1000)^(2/3)+_xlfn.XLOOKUP(B139,'Base stats'!B:B,'Base stats'!AU:AU)+_xlfn.XLOOKUP(B139,'Base stats'!B:B,'Base stats'!AX:AX))+0.5,0.5))</f>
        <v>6</v>
      </c>
      <c r="AD139" s="7">
        <f>IF(AC139="No","No",MAX(_xlfn.XLOOKUP(_xlfn.XLOOKUP(B139,'Base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E139" s="7" t="str">
        <f>IF(AC139="No","No",_xlfn.XLOOKUP(_xlfn.XLOOKUP(B139,'Base stats'!B:B,'Base stats'!E:E),Groups!A:A,Groups!AA:AA))</f>
        <v>Teeth</v>
      </c>
      <c r="AF139" s="7" t="str">
        <f>IF(AC139="No","No",_xlfn.XLOOKUP(_xlfn.XLOOKUP(B139,'Base stats'!B:B,'Base stats'!E:E),Groups!A:A,Groups!AB:AB))</f>
        <v>canines</v>
      </c>
      <c r="AG139" s="7" t="str">
        <f>IF(AC139="No","No",_xlfn.XLOOKUP(_xlfn.XLOOKUP(B139,'Base stats'!B:B,'Base stats'!E:E),Groups!A:A,Groups!AC:AC))</f>
        <v>Bite</v>
      </c>
      <c r="AH139" s="13" t="str">
        <f>IF(_xlfn.XLOOKUP(_xlfn.XLOOKUP(B139,'Base stats'!B:B,'Base stats'!E:E),Groups!A:A,Groups!AD:AD)=0,"No",MROUND((LOG10(_xlfn.XLOOKUP(B139,'Base stats'!B:B,'Base stats'!AP:AP))*(AN139^0.75)+(_xlfn.XLOOKUP(B139,'Base stats'!B:B,'Base stats'!AP:AP)/1000)^(2/3)+_xlfn.XLOOKUP(B139,'Base stats'!B:B,'Base stats'!AV:AV)+_xlfn.XLOOKUP(B139,'Base stats'!B:B,'Base stats'!AX:AX))+0.5,0.5))</f>
        <v>No</v>
      </c>
      <c r="AI139" s="7" t="str">
        <f>IF(AH139="No","No",MAX(_xlfn.XLOOKUP(_xlfn.XLOOKUP(B139,'Base stats'!B:B,'Base stats'!E:E),Groups!A:A,Groups!AE:AE),MROUND(_xlfn.XLOOKUP(_xlfn.XLOOKUP(B139,'Base stats'!B:B,'Base stats'!E:E),Groups!A:A,Groups!AE:AE)*_xlfn.XLOOKUP(B139,'Base stats'!B:B,'Base stats'!C:C)^0.165,0.05)))</f>
        <v>No</v>
      </c>
      <c r="AJ139" s="7" t="str">
        <f>IF(AH139="No","No",_xlfn.XLOOKUP(_xlfn.XLOOKUP(B139,'Base stats'!B:B,'Base stats'!E:E),Groups!A:A,Groups!AF:AF))</f>
        <v>No</v>
      </c>
      <c r="AK139" s="7" t="str">
        <f>IF(AH139="No","No",_xlfn.XLOOKUP(_xlfn.XLOOKUP(B139,'Base stats'!B:B,'Base stats'!E:E),Groups!A:A,Groups!AG:AG))</f>
        <v>No</v>
      </c>
      <c r="AL139" s="7" t="str">
        <f>IF(AH139="No","No",_xlfn.XLOOKUP(_xlfn.XLOOKUP(B139,'Base stats'!B:B,'Base stats'!E:E),Groups!A:A,Groups!AH:AH))</f>
        <v>No</v>
      </c>
      <c r="AM139" s="2">
        <f t="shared" si="14"/>
        <v>15</v>
      </c>
      <c r="AN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O139" s="8">
        <f>MROUND(AN139*_xlfn.XLOOKUP(_xlfn.XLOOKUP(B139,'Base stats'!B:B,'Base stats'!E:E),Groups!A:A,Groups!AI:AI),0.05)</f>
        <v>0.5</v>
      </c>
      <c r="AP139" s="8">
        <f>MAX(0.01,MROUND(IF(CA139="True",0.196*(AN139*100*1000)^0.889,IF(_xlfn.XLOOKUP(_xlfn.XLOOKUP(B139,'Base stats'!B:B,'Base stats'!E:E),Groups!A:A,Groups!AJ:AJ)="Bird",10.5*(AN139*100*1000)^0.681,4.82*(AN139*100*1000)^0.734))/(4.82*(1*100*1000)^0.734)/IF(AN139&lt;3.5,2,IF(AN139=3.5,1.5,1.25))*(1+0.132282374779864/(AN139^0.994035016789033+0.00905238001496948)),0.05))</f>
        <v>0.35000000000000003</v>
      </c>
      <c r="AQ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R139" s="35">
        <f>IFERROR(IF(_xlfn.XLOOKUP(B139,'Base stats'!B:B,'Base stats'!F:F)="Lay eggs","Lay eggs",MIN(20,MAX(5.5,ROUND(((_xlfn.XLOOKUP(B139,'Base stats'!B:B,'Base stats'!F:F)-25)*(14.5/615) + 5.5)*2,0)/2))),"Cannot breed")</f>
        <v>6.5</v>
      </c>
      <c r="AS139" s="8">
        <f>IF(OR(A139="Queen",A139="Larva",A139="Megachicken"),"No",IFERROR(MAX(IF(_xlfn.XLOOKUP(B139,'Base stats'!B:B,'Base stats'!G:G)&lt;0.5,0.2,0.3),MROUND(_xlfn.XLOOKUP(B139,'Base stats'!B:B,'Base stats'!G:G)/(365/60),0.2)),"Unknown"))</f>
        <v>0.3</v>
      </c>
      <c r="AT139" s="8">
        <f t="shared" si="15"/>
        <v>0.15000000000000002</v>
      </c>
      <c r="AU139" s="8">
        <f>IFERROR(IFERROR(MROUND(_xlfn.XLOOKUP(B139,'Base stats'!B:B,'Base stats'!J:J),0.1),"Lay eggs"),"Cannot breed")</f>
        <v>6</v>
      </c>
      <c r="AV139" s="2" t="str">
        <f t="shared" si="16"/>
        <v>true</v>
      </c>
      <c r="AW139" s="2" t="str">
        <f>IF(_xlfn.XLOOKUP(_xlfn.XLOOKUP(Animals!B139,'Base stats'!B:B,'Base stats'!E:E),Groups!A:A,Groups!AK:AK)=1,"true","false")</f>
        <v>false</v>
      </c>
      <c r="AX139" s="25" t="str">
        <f>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</f>
        <v>OmnivoreAnimal, OvivoreAnimal</v>
      </c>
      <c r="AY139" s="2" t="str">
        <f>IF(_xlfn.XLOOKUP(_xlfn.XLOOKUP(B139,'Base stats'!B:B,'Base stats'!E:E),Groups!A:A,Groups!D:D)=1,MROUND((1-I139)*5+1,2)*IF(I139&lt;=0.4,2,1),"No")</f>
        <v>No</v>
      </c>
      <c r="AZ139" s="2" t="str">
        <f>_xlfn.XLOOKUP(B139,'Base stats'!B:B,'Base stats'!AE:AE)</f>
        <v>Leather_Dog</v>
      </c>
      <c r="BA139" s="23" t="str">
        <f>_xlfn.XLOOKUP(_xlfn.XLOOKUP(B139,'Base stats'!B:B,'Base stats'!E:E),Groups!A:A,Groups!AL:AL)</f>
        <v>QuadrupedAnimalWithPawsAndTail</v>
      </c>
      <c r="BB139" s="23">
        <f>MROUND(IF(AND(AN139&lt;0.5,_xlfn.XLOOKUP(B139,'Base stats'!B:B,'Base stats'!Z:Z)=0),0,IF(OR(_xlfn.XLOOKUP(Animals!B139,'Base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stats'!AA:AA),0.005)</f>
        <v>0</v>
      </c>
      <c r="BC139" s="23">
        <f>MROUND(IF(AND(AN139&lt;0.5,_xlfn.XLOOKUP(B139,'Base stats'!B:B,'Base stats'!Z:Z)=0),0,IF(_xlfn.XLOOKUP(_xlfn.XLOOKUP(B139,'Base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stats'!AB:AB),0.005)</f>
        <v>0</v>
      </c>
      <c r="BD139" s="2">
        <f>IF(I139&gt;0.3,"No",_xlfn.XLOOKUP(_xlfn.XLOOKUP(Animals!B139,'Base stats'!B:B,'Base stats'!E:E),Groups!A:A,Groups!AP:AP))</f>
        <v>1</v>
      </c>
      <c r="BE139" s="2">
        <f>IF(AND(I139&lt;=0.65,_xlfn.XLOOKUP(_xlfn.XLOOKUP(Animals!B139,'Base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stats'!O:O)=2,0.2,AN139) + 24*(1-IF(BD139="No",0,BD139)) + 16/3, 12),"No")</f>
        <v>12</v>
      </c>
      <c r="BF139" s="2">
        <f>IF(AND(_xlfn.XLOOKUP(_xlfn.XLOOKUP(B139,'Base stats'!B:B,'Base stats'!E:E),Groups!A:A,Groups!AQ:AQ)=1,AN139&lt;=0.35),8,12)</f>
        <v>12</v>
      </c>
      <c r="BG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H139" s="2" t="str">
        <f>IF(AND(_xlfn.XLOOKUP(_xlfn.XLOOKUP(B139,'Base stats'!B:B,'Base stats'!E:E),Groups!A:A,Groups!AS:AS)=1,OR('Base stats'!Y139="Carnivore",'Base stats'!Y139="Omnivore")),"true","false")</f>
        <v>true</v>
      </c>
      <c r="BI139" s="2">
        <f>IF(BH139="true",MROUND(IF(AND(AN139&gt;0.5,_xlfn.XLOOKUP(_xlfn.XLOOKUP(B139,'Base stats'!B:B,'Base stats'!E:E),Groups!A:A,Groups!AJ:AJ)="Mammal"),Animals!AN139*1.75*IF(AV139="true",1.5,1),Animals!AN139),IF(AN139&gt;2,0.5,IF(AN139&gt;0.5,0.25,0.1))),"No")</f>
        <v>0.4</v>
      </c>
      <c r="BJ139" s="2">
        <f t="shared" si="17"/>
        <v>1</v>
      </c>
      <c r="BK139" s="25" t="str">
        <f>IF('Base stats'!AK139="Standard","No",MROUND((_xlfn.XLOOKUP(B139,'Base stats'!B:B,'Base stats'!AK:AK)/3.6)/H139,0.1))</f>
        <v>No</v>
      </c>
      <c r="BL139" s="25" t="str">
        <f t="shared" si="18"/>
        <v>false</v>
      </c>
      <c r="BM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N139" s="25" t="str" cm="1">
        <f t="array" ref="BN139">IF(
  _xlfn.TEXTJOIN(", ",TRUE,
    IF(AND(BH139="true",AN139&gt;0.5,BG139&lt;&gt;"None"),"AttackTarget",""),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IF(BE139&lt;=36,"Comfort",""),
    IF(_xlfn.XLOOKUP(B139,'Base stats'!B:B,'Base stats'!AC:AC)&lt;&gt;"No",_xlfn.XLOOKUP(B139,'Base stats'!B:B,'Base stats'!AC:AC),"")
  ) = "",
  "No",
  _xlfn.TEXTJOIN(", ",TRUE,
    IF(AND(BH139="true",AN139&gt;0.5,BG139&lt;&gt;"None"),"AttackTarget",""),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IF(BE139&lt;=36,"Comfort",""),
    IF(_xlfn.XLOOKUP(B139,'Base stats'!B:B,'Base stats'!AC:AC)&lt;&gt;"No",_xlfn.XLOOKUP(B139,'Base stats'!B:B,'Base stats'!AC:AC),"")
  )
)</f>
        <v>Forage, Comfort</v>
      </c>
      <c r="BO139" s="25" t="str">
        <f>IF(
   AND(
      'Base stats'!AK139="Standard",_xlfn.XLOOKUP(_xlfn.XLOOKUP(B139,'Base stats'!B:B,'Base stats'!E:E),Groups!A:A,Groups!AU:AU)=0,
      OR(
      BM139="True"
      )
   ),
   10,
   IF(
       OR(BK139&lt;&gt;"No",_xlfn.XLOOKUP(_xlfn.XLOOKUP(B139,'Base stats'!B:B,'Base stats'!E:E),Groups!A:A,Groups!AU:AU)=1),
      1,
      "No"
   )
)</f>
        <v>No</v>
      </c>
      <c r="BP139" s="9">
        <f>MROUND((1 + ((0.2*IF(OR(P139="No",Q139="No",Q139=0),0,P139/Q139)
+IF(OR(U139="No",R139="No",S139="No"),0,R139/S139*(LEN(U139)-LEN(SUBSTITUTE(U139,",",""))+1))
+IF(OR(W139="No",X139="No"),0,W139/X139)
+IF(OR(AC139="No",AD139="No"),0,AC139/AD139)
+IF(OR(AK139="No",AH139="No",AI139="No"),0,AH139/AI139*(LEN(AK139)-LEN(SUBSTITUTE(AK139,",",""))+1))
)/(0.2*IF(OR(P139="No",Q139="No",Q139=0),0,1)
+IF(OR(U139="No",R139="No",S139="No"),0,LEN(U139)-LEN(SUBSTITUTE(U139,",",""))+1)
+IF(OR(W139="No",X139="No"),0,1)
+IF(OR(AC139="No",AD139="No"),0,1)
+IF(OR(AK139="No",AH139="No",AI139="No"),0,LEN(AK139)-LEN(SUBSTITUTE(AK139,",",""))+1))*62%)* 2)*(1 + (AO139 + _xlfn.XLOOKUP(B139,'Base stats'!B:B,'Base stats'!AS:AS) * 1.8) * 2) * 2.5 + 10 + H139 * 2,5)+IF(_xlfn.XLOOKUP(B139,'Base stats'!B:B,'Base stats'!AH:AH)=1,50,0)</f>
        <v>55</v>
      </c>
      <c r="BQ139" s="8">
        <f t="shared" si="19"/>
        <v>0.35000000000000003</v>
      </c>
      <c r="BR139" s="8" t="str">
        <f>_xlfn.XLOOKUP(B139,'Base stats'!B:B,'Base stats'!AD:AD)</f>
        <v>2~4</v>
      </c>
      <c r="BS139" s="2" t="str">
        <f>IF(AND(I139&lt;=0.95,OR(_xlfn.XLOOKUP(B139,'Base stats'!B:B,'Base stats'!AH:AH)=1,_xlfn.XLOOKUP(B139,'Base stats'!B:B,'Base stats'!Y:Y)="Carnivore",_xlfn.XLOOKUP(B139,'Base stats'!B:B,'Base stats'!Y:Y)="Omnivore",BC139&gt;0.1)),"true","false")</f>
        <v>true</v>
      </c>
      <c r="BT139" s="2" t="str">
        <f>IF(_xlfn.XLOOKUP(B139,'Base stats'!B:B,'Base stats'!AF:AF)=1,"true","false")</f>
        <v>false</v>
      </c>
      <c r="BU139" s="25" t="str">
        <f>IF(E139="BaseInsect","AnimalInsect",
IF(I139&gt;0.95,"AnimalExotic",
_xlfn.TEXTJOIN(", ",TRUE,
IF(AND(_xlfn.XLOOKUP(B139,'Base stats'!B:B,'Base stats'!O:O)=0,_xlfn.XLOOKUP(_xlfn.XLOOKUP(B139,'Base stats'!B:B,'Base stats'!E:E),Groups!A:A,Groups!B:B)&gt;0),"AnimalUncommon","AnimalCommon"),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stats'!AH:AH)=1,AND(BG139&lt;&gt;"None",BP139&gt;=60),ISNUMBER(SEARCH("Attack target",BN139))),"AnimalFighter","")
)))</f>
        <v>AnimalCommon, AnimalPet</v>
      </c>
      <c r="BV139" s="25" t="str">
        <f>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</f>
        <v/>
      </c>
      <c r="BW139" s="25" t="str">
        <f>IF(_xlfn.XLOOKUP(B139,'Base stats'!B:B,'Base stats'!AG:AG)=1,"true","false")</f>
        <v>false</v>
      </c>
      <c r="BX139" s="25">
        <f>IF(_xlfn.XLOOKUP(B139,'Base stats'!B:B,'Base stats'!N:N)=1,"No",MIN(MROUND(IF(OR(_xlfn.XLOOKUP(B139,'Base stats'!B:B,'Base stats'!AJ:AJ)=1,AND(BH139="True",CA139="False")),POWER(10,3.47*LOG10(_xlfn.XLOOKUP(B139,'Base stats'!B:B,'Base stats'!C:C)*1000)^-0.96),POWER(10,4.15*LOG10(_xlfn.XLOOKUP(B139,'Base stats'!B:B,'Base stats'!C:C)*1000)^-0.73))*IF(OR(_xlfn.XLOOKUP(B139,'Base stats'!B:B,'Base stats'!AJ:AJ)=1,_xlfn.XLOOKUP(B139,'Base stats'!B:B,'Base stats'!AH:AH)=1),0.5,1)/100,0.025),1))</f>
        <v>7.5000000000000011E-2</v>
      </c>
      <c r="BY139" s="25" t="str">
        <f>IF(O139="Standard","No",IF(_xlfn.XLOOKUP(B139,'Base stats'!B:B,'Base stats'!N:N)=0,MROUND(BX139*O139,0.05),MIN(1,MAX(0.025,MROUND(IF(OR(CA139="true",AND(BH139="false",BM139="false")),POWER(10,4.15*LOG10(_xlfn.XLOOKUP(B139,'Base stats'!B:B,'Base stats'!C:C)*1000)^-0.73),POWER(10,3.47*LOG10(_xlfn.XLOOKUP(B139,'Base stats'!B:B,'Base stats'!C:C)*1000)^-0.96))*IF(_xlfn.XLOOKUP(B139,'Base stats'!B:B,'Base stats'!AH:AH)=1,0.5,1)/100,0.025)))))</f>
        <v>No</v>
      </c>
      <c r="BZ139" s="25" t="str">
        <f>IF(_xlfn.XLOOKUP(_xlfn.XLOOKUP(B139,'Base stats'!B:B,'Base stats'!E:E),Groups!A:A,Groups!AJ:AJ)="Mammal","True","False")</f>
        <v>True</v>
      </c>
      <c r="CA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B139" s="25" t="str">
        <f t="shared" si="20"/>
        <v>False</v>
      </c>
      <c r="CC139" s="25" t="str">
        <f>IF(_xlfn.XLOOKUP(_xlfn.XLOOKUP(B139,'Base stats'!B:B,'Base stats'!E:E),Groups!A:A,Groups!AW:AW),"True","False")</f>
        <v>False</v>
      </c>
      <c r="CD139" s="25" t="str">
        <f>IF(_xlfn.XLOOKUP(_xlfn.XLOOKUP(B139,'Base stats'!B:B,'Base stats'!E:E),Groups!A:A,Groups!AX:AX),"True","False")</f>
        <v>False</v>
      </c>
      <c r="CE139" s="25" t="str">
        <f>IF(_xlfn.XLOOKUP(B139,'Base stats'!B:B,'Base stats'!E:E)=1,"True","False")</f>
        <v>False</v>
      </c>
      <c r="CF139" s="25" t="str">
        <f>IF(
OR(
_xlfn.XLOOKUP(_xlfn.XLOOKUP(B139,'Base stats'!B:B,'Base stats'!E:E),Groups!A:A,Groups!AY:AY)=0,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stats'!E:E),Groups!A:A,Groups!AY:AY)=1,
"Flesh",
IF(
_xlfn.XLOOKUP(_xlfn.XLOOKUP(B139,'Base stats'!B:B,'Base stats'!E:E),Groups!A:A,Groups!AY:AY)=2,
"Bone",
""
)
)
)</f>
        <v>No</v>
      </c>
      <c r="CG139" s="25" t="str">
        <f>IF(_xlfn.XLOOKUP(_xlfn.XLOOKUP(B139,'Base stats'!B:B,'Base stats'!E:E),Groups!A:A,Groups!BA:BA),"True","False")</f>
        <v>True</v>
      </c>
      <c r="CH139" s="25" t="str">
        <f>IF(_xlfn.XLOOKUP(_xlfn.XLOOKUP(B139,'Base stats'!B:B,'Base stats'!E:E),Groups!A:A,Groups!AZ:AZ),"True","False")</f>
        <v>False</v>
      </c>
    </row>
    <row r="140" spans="1:86" ht="16.5" thickTop="1" thickBot="1" x14ac:dyDescent="0.3">
      <c r="A140" s="26" t="str">
        <f>_xlfn.XLOOKUP(B140,'Base stats'!B:B,'Base stats'!A:A)</f>
        <v>Chihuahua</v>
      </c>
      <c r="B140" s="6" t="s">
        <v>905</v>
      </c>
      <c r="C140" s="28" t="s">
        <v>833</v>
      </c>
      <c r="D140" s="28" t="s">
        <v>884</v>
      </c>
      <c r="E140" s="28" t="s">
        <v>685</v>
      </c>
      <c r="F140" s="28" t="s">
        <v>685</v>
      </c>
      <c r="G140" s="2">
        <f>MROUND((
  (IF(AND(_xlfn.XLOOKUP(B140,'Base stats'!B:B,'Base stats'!AI:AI)=0,BG140="None",_xlfn.XLOOKUP('Base stats'!E140,Groups!A:A,Groups!B:B)=0), (18 + BP140 * 2.7) * 0.5,
    IF(AND(_xlfn.XLOOKUP(B140,'Base stats'!B:B,'Base stats'!AI:AI)=0,OR(AN140&lt;0.55,AND(BG140="Intermediate",_xlfn.XLOOKUP('Base stats'!E140,Groups!A:A,Groups!B:B)&lt;2))), (18 + BP140 * 2.7),
      IF(OR(BG140="Advanced",_xlfn.XLOOKUP(B140,'Base stats'!B:B,'Base stats'!AI:AI)=1,_xlfn.XLOOKUP('Base stats'!E140,Groups!A:A,Groups!B:B)=2), (18 + BP140 * 2.7) + 250, (18 + BP140 * 2.7))
    )
  ))
  + AN140 * 80
  + IF(COUNTIF(EggMilk!K$2:K$998, A140) &gt; 0, 125, 0)
  + IF(COUNTIF(EggMilk!P$2:P$998, A140) &gt; 0, 90, 0)
  + IF(COUNTIF(EggMilk!A$2:A$998, A140) &gt; 0, 90, 0)
)
* (0.8 + 0.4 * I140)
* 0.75,25)</f>
        <v>75</v>
      </c>
      <c r="H140" s="2">
        <f>MROUND(ROUNDDOWN(_xlfn.XLOOKUP(B140,'Base stats'!B:B,'Base stats'!L:L)/3.6/(23.3/11),1),0.5)</f>
        <v>5</v>
      </c>
      <c r="I140" s="2">
        <f>IF(_xlfn.XLOOKUP(B140,'Base stats'!B:B,'Base stats'!AI:AI)=1,0.99,MIN(MROUND((1-0.6282*EXP(-0.459*AN140))*_xlfn.XLOOKUP(_xlfn.XLOOKUP(B140,'Base stats'!B:B,'Base stats'!E:E),Groups!A:A,Groups!C:C)*IF(_xlfn.XLOOKUP(B140,'Base stats'!B:B,'Base stats'!O:O)=1,0.5,IF(_xlfn.XLOOKUP(B140,'Base stats'!B:B,'Base stats'!O:O)=2,0,1)),0.05),0.985))</f>
        <v>0</v>
      </c>
      <c r="J140" s="2">
        <f>ROUNDUP(AN140*_xlfn.XLOOKUP(_xlfn.XLOOKUP(B140,'Base stats'!B:B,'Base stats'!E:E),Groups!A:A,Groups!E:E),0)</f>
        <v>1</v>
      </c>
      <c r="K140" s="2">
        <f>IF(OR(_xlfn.XLOOKUP(_xlfn.XLOOKUP(B140,'Base stats'!B:B,'Base stats'!E:E),Groups!A:A,Groups!F:F)=2,ISNUMBER(SEARCH("SeaIce",BV140)),ISNUMBER(SEARCH("IceSheet",BV140))),-50,IF(OR(ISNUMBER(SEARCH("GlacialPlain",BV140)),ISNUMBER(SEARCH("Tundra",BV140))),-40,IF(OR(ISNUMBER(SEARCH("Alpine",BV140)),ISNUMBER(SEARCH("BorealForest",BV140)),ISNUMBER(SEARCH("ColdBog",BV140))),-30,IF(OR(ISNUMBER(SEARCH("TemperateForest",BV140)),ISNUMBER(SEARCH("TemperateSwamp",BV140))),-20,IF(_xlfn.XLOOKUP(_xlfn.XLOOKUP(B140,'Base stats'!B:B,'Base stats'!E:E),Groups!A:A,Groups!F:F)=1,-15,IF(OR(ISNUMBER(SEARCH("Desert",BV140)),ISNUMBER(SEARCH("ExtremeDesert",BV140))),-10,IF(OR(ISNUMBER(SEARCH("Grasslands",BV140)),ISNUMBER(SEARCH("TropicalRainforest",BV140)),ISNUMBER(SEARCH("TropicalSwamp",BV140))),10,0)))))))-IF(CA140="False",MIN(IFERROR(MAX(MROUND(LOG10(_xlfn.XLOOKUP(B140,'Base stats'!B:B,'Base stats'!C:C)^(2/3))*10,5),5),5),30))-_xlfn.XLOOKUP(B140,'Base stats'!B:B,'Base stats'!P:P)+IF(CA140="True",5,0)</f>
        <v>-20</v>
      </c>
      <c r="L140" s="2">
        <f>IF(OR(_xlfn.XLOOKUP(_xlfn.XLOOKUP(B140,'Base stats'!B:B,'Base stats'!E:E),Groups!A:A,Groups!G:G)=2,ISNUMBER(SEARCH("Desert",BV140)),ISNUMBER(SEARCH("ExtremeDesert",BV140)),ISNUMBER(SEARCH("LavaField",BV140))),50,IF(ISNUMBER(SEARCH("Grasslands",BV140)),45,IF(OR(_xlfn.XLOOKUP(_xlfn.XLOOKUP(B140,'Base stats'!B:B,'Base stats'!E:E),Groups!A:A,Groups!G:G)=1,ISNUMBER(SEARCH("TropicalRainforest",BV140)),ISNUMBER(SEARCH("TropicalSwamp",BV140))),40,IF(OR(ISNUMBER(SEARCH("TemperateForest",BV140)),ISNUMBER(SEARCH("TemperateSwamp",BV140))),35,IF(OR(ISNUMBER(SEARCH("Alpine",BV140)),ISNUMBER(SEARCH("BorealForest",BV140)),ISNUMBER(SEARCH("ColdBog",BV140))),30,IF(ISNUMBER(OR(ISNUMBER(SEARCH("GlacialPlain",BV140)),SEARCH("Tundra",BV140))),25,IF(OR(ISNUMBER(SEARCH("SeaIce",BV140)),ISNUMBER(SEARCH("IceSheet",BV140)),ISNUMBER(SEARCH("TropicalSwamp",BV140))),10,35)))))))+_xlfn.XLOOKUP(B140,'Base stats'!B:B,'Base stats'!Q:Q)</f>
        <v>35</v>
      </c>
      <c r="M140" s="8" t="str">
        <f>IF(_xlfn.XLOOKUP(_xlfn.XLOOKUP(B140,'Base stats'!B:B,'Base stats'!E:E),Groups!A:A,Groups!L:L)=1,MIN(MROUND(_xlfn.XLOOKUP(B140,'Animals CE'!B:B,'Animals CE'!Z:Z)/2+0.05,0.05),200%),"No")</f>
        <v>No</v>
      </c>
      <c r="N140" s="8" t="str">
        <f>IF(_xlfn.XLOOKUP(_xlfn.XLOOKUP(B140,'Base stats'!B:B,'Base stats'!E:E),Groups!A:A,Groups!L:L)=1,MIN(MROUND(_xlfn.XLOOKUP(B140,'Animals CE'!B:B,'Animals CE'!AA:AA)/2+0.05,0.05),200%),"No")</f>
        <v>No</v>
      </c>
      <c r="O140" s="2" t="str">
        <f>_xlfn.XLOOKUP(B140,'Base stats'!B:B,'Base stats'!R:R)</f>
        <v>Standard</v>
      </c>
      <c r="P140" s="13">
        <f>MROUND((LOG10(_xlfn.XLOOKUP(B140,'Base stats'!B:B,'Base stats'!AO:AO))*(AN140^0.5)+(_xlfn.XLOOKUP(B140,'Base stats'!B:B,'Base stats'!AO:AO)/1000)^(2/3)+_xlfn.XLOOKUP(B140,'Base stats'!B:B,'Base stats'!AX:AX)/2)+0.5,0.5)</f>
        <v>2</v>
      </c>
      <c r="Q140" s="7">
        <f>IF(P140="No","No",MAX(1,MROUND(_xlfn.XLOOKUP(B140,'Base stats'!B:B,'Base stats'!C:C)^0.165,0.05)))</f>
        <v>1.1000000000000001</v>
      </c>
      <c r="R140" s="13" t="str">
        <f>IF(_xlfn.XLOOKUP(_xlfn.XLOOKUP(B140,'Base stats'!B:B,'Base stats'!E:E),Groups!A:A,Groups!P:P)=0,"No",MROUND((LOG10(_xlfn.XLOOKUP(B140,'Base stats'!B:B,'Base stats'!AP:AP))*(AN140^0.5)+(_xlfn.XLOOKUP(B140,'Base stats'!B:B,'Base stats'!AP:AP)/1000)^(2/3)+_xlfn.XLOOKUP(B140,'Base stats'!B:B,'Base stats'!AX:AX))+_xlfn.XLOOKUP(B140,'Base stats'!B:B,'Base stats'!AV:AV)+0.5,0.5))</f>
        <v>No</v>
      </c>
      <c r="S140" s="7" t="str">
        <f>IF(R140="No","No",MAX(_xlfn.XLOOKUP(_xlfn.XLOOKUP(B140,'Base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T140" s="7" t="str">
        <f>IF(R140="No","No",_xlfn.XLOOKUP(_xlfn.XLOOKUP(B140,'Base stats'!B:B,'Base stats'!E:E),Groups!A:A,Groups!R:R))</f>
        <v>No</v>
      </c>
      <c r="U140" s="7" t="str">
        <f>IF(R140="No","No",_xlfn.XLOOKUP(_xlfn.XLOOKUP(B140,'Base stats'!B:B,'Base stats'!E:E),Groups!A:A,Groups!S:S))</f>
        <v>No</v>
      </c>
      <c r="V140" s="7" t="str">
        <f>IF(R140="No","No",_xlfn.XLOOKUP(_xlfn.XLOOKUP(B140,'Base stats'!B:B,'Base stats'!E:E),Groups!A:A,Groups!T:T))</f>
        <v>No</v>
      </c>
      <c r="W140" s="13" t="str">
        <f>IF(_xlfn.XLOOKUP(B140,'Base stats'!B:B,'Base stats'!W:W)="No","No",MROUND((LOG10(_xlfn.XLOOKUP(B140,'Base stats'!B:B,'Base stats'!AR:AR))*(AN140^0.5)+(_xlfn.XLOOKUP(B140,'Base stats'!B:B,'Base stats'!AR:AR)/1000)^(2/3)+_xlfn.XLOOKUP(B140,'Base stats'!B:B,'Base stats'!AW:AW))+0.5+IF(_xlfn.XLOOKUP(_xlfn.XLOOKUP(B140,'Base stats'!B:B,'Base stats'!E:E),Groups!A:A,Groups!U:U)&lt;&gt;3,_xlfn.XLOOKUP(B140,'Base stats'!B:B,'Base stats'!AX:AX),0),0.5))</f>
        <v>No</v>
      </c>
      <c r="X140" s="7" t="str">
        <f>IF(W140="No","No",MAX(_xlfn.XLOOKUP(_xlfn.XLOOKUP(B140,'Base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Y140" s="7" t="str">
        <f>IF(W140="No","No",_xlfn.XLOOKUP(_xlfn.XLOOKUP(B140,'Base stats'!B:B,'Base stats'!E:E),Groups!A:A,Groups!W:W))</f>
        <v>No</v>
      </c>
      <c r="Z140" s="7" t="str">
        <f>IF(W140="No","No",_xlfn.XLOOKUP(_xlfn.XLOOKUP(B140,'Base stats'!B:B,'Base stats'!E:E),Groups!A:A,Groups!X:X))</f>
        <v>No</v>
      </c>
      <c r="AA140" s="7" t="str">
        <f>IF(W140="No","No",_xlfn.XLOOKUP(_xlfn.XLOOKUP(B140,'Base stats'!B:B,'Base stats'!E:E),Groups!A:A,Groups!Y:Y))</f>
        <v>No</v>
      </c>
      <c r="AB140" s="7" t="str">
        <f>_xlfn.XLOOKUP(Animals!B140,'Base stats'!B:B,'Base stats'!X:X)</f>
        <v>False</v>
      </c>
      <c r="AC140" s="13">
        <f>IF(_xlfn.XLOOKUP(B140,'Base stats'!B:B,'Base stats'!AQ:AQ)="No","No",MROUND((LOG10(_xlfn.XLOOKUP(B140,'Base stats'!B:B,'Base stats'!AQ:AQ))*(AN140^0.75)+(_xlfn.XLOOKUP(B140,'Base stats'!B:B,'Base stats'!AQ:AQ)/1000)^(2/3)+_xlfn.XLOOKUP(B140,'Base stats'!B:B,'Base stats'!AU:AU)+_xlfn.XLOOKUP(B140,'Base stats'!B:B,'Base stats'!AX:AX))+0.5,0.5))</f>
        <v>2.5</v>
      </c>
      <c r="AD140" s="7">
        <f>IF(AC140="No","No",MAX(_xlfn.XLOOKUP(_xlfn.XLOOKUP(B140,'Base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E140" s="7" t="str">
        <f>IF(AC140="No","No",_xlfn.XLOOKUP(_xlfn.XLOOKUP(B140,'Base stats'!B:B,'Base stats'!E:E),Groups!A:A,Groups!AA:AA))</f>
        <v>Teeth</v>
      </c>
      <c r="AF140" s="7" t="str">
        <f>IF(AC140="No","No",_xlfn.XLOOKUP(_xlfn.XLOOKUP(B140,'Base stats'!B:B,'Base stats'!E:E),Groups!A:A,Groups!AB:AB))</f>
        <v>canines</v>
      </c>
      <c r="AG140" s="7" t="str">
        <f>IF(AC140="No","No",_xlfn.XLOOKUP(_xlfn.XLOOKUP(B140,'Base stats'!B:B,'Base stats'!E:E),Groups!A:A,Groups!AC:AC))</f>
        <v>Bite</v>
      </c>
      <c r="AH140" s="13" t="str">
        <f>IF(_xlfn.XLOOKUP(_xlfn.XLOOKUP(B140,'Base stats'!B:B,'Base stats'!E:E),Groups!A:A,Groups!AD:AD)=0,"No",MROUND((LOG10(_xlfn.XLOOKUP(B140,'Base stats'!B:B,'Base stats'!AP:AP))*(AN140^0.75)+(_xlfn.XLOOKUP(B140,'Base stats'!B:B,'Base stats'!AP:AP)/1000)^(2/3)+_xlfn.XLOOKUP(B140,'Base stats'!B:B,'Base stats'!AV:AV)+_xlfn.XLOOKUP(B140,'Base stats'!B:B,'Base stats'!AX:AX))+0.5,0.5))</f>
        <v>No</v>
      </c>
      <c r="AI140" s="7" t="str">
        <f>IF(AH140="No","No",MAX(_xlfn.XLOOKUP(_xlfn.XLOOKUP(B140,'Base stats'!B:B,'Base stats'!E:E),Groups!A:A,Groups!AE:AE),MROUND(_xlfn.XLOOKUP(_xlfn.XLOOKUP(B140,'Base stats'!B:B,'Base stats'!E:E),Groups!A:A,Groups!AE:AE)*_xlfn.XLOOKUP(B140,'Base stats'!B:B,'Base stats'!C:C)^0.165,0.05)))</f>
        <v>No</v>
      </c>
      <c r="AJ140" s="7" t="str">
        <f>IF(AH140="No","No",_xlfn.XLOOKUP(_xlfn.XLOOKUP(B140,'Base stats'!B:B,'Base stats'!E:E),Groups!A:A,Groups!AF:AF))</f>
        <v>No</v>
      </c>
      <c r="AK140" s="7" t="str">
        <f>IF(AH140="No","No",_xlfn.XLOOKUP(_xlfn.XLOOKUP(B140,'Base stats'!B:B,'Base stats'!E:E),Groups!A:A,Groups!AG:AG))</f>
        <v>No</v>
      </c>
      <c r="AL140" s="7" t="str">
        <f>IF(AH140="No","No",_xlfn.XLOOKUP(_xlfn.XLOOKUP(B140,'Base stats'!B:B,'Base stats'!E:E),Groups!A:A,Groups!AH:AH))</f>
        <v>No</v>
      </c>
      <c r="AM140" s="2">
        <f t="shared" si="14"/>
        <v>15</v>
      </c>
      <c r="AN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O140" s="8">
        <f>MROUND(AN140*_xlfn.XLOOKUP(_xlfn.XLOOKUP(B140,'Base stats'!B:B,'Base stats'!E:E),Groups!A:A,Groups!AI:AI),0.05)</f>
        <v>0.25</v>
      </c>
      <c r="AP140" s="8">
        <f>MAX(0.01,MROUND(IF(CA140="True",0.196*(AN140*100*1000)^0.889,IF(_xlfn.XLOOKUP(_xlfn.XLOOKUP(B140,'Base stats'!B:B,'Base stats'!E:E),Groups!A:A,Groups!AJ:AJ)="Bird",10.5*(AN140*100*1000)^0.681,4.82*(AN140*100*1000)^0.734))/(4.82*(1*100*1000)^0.734)/IF(AN140&lt;3.5,2,IF(AN140=3.5,1.5,1.25))*(1+0.132282374779864/(AN140^0.994035016789033+0.00905238001496948)),0.05))</f>
        <v>0.25</v>
      </c>
      <c r="AQ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R140" s="35">
        <f>IFERROR(IF(_xlfn.XLOOKUP(B140,'Base stats'!B:B,'Base stats'!F:F)="Lay eggs","Lay eggs",MIN(20,MAX(5.5,ROUND(((_xlfn.XLOOKUP(B140,'Base stats'!B:B,'Base stats'!F:F)-25)*(14.5/615) + 5.5)*2,0)/2))),"Cannot breed")</f>
        <v>6.5</v>
      </c>
      <c r="AS140" s="8">
        <f>IF(OR(A140="Queen",A140="Larva",A140="Megachicken"),"No",IFERROR(MAX(IF(_xlfn.XLOOKUP(B140,'Base stats'!B:B,'Base stats'!G:G)&lt;0.5,0.2,0.3),MROUND(_xlfn.XLOOKUP(B140,'Base stats'!B:B,'Base stats'!G:G)/(365/60),0.2)),"Unknown"))</f>
        <v>0.3</v>
      </c>
      <c r="AT140" s="8">
        <f t="shared" si="15"/>
        <v>0.15000000000000002</v>
      </c>
      <c r="AU140" s="8">
        <f>IFERROR(IFERROR(MROUND(_xlfn.XLOOKUP(B140,'Base stats'!B:B,'Base stats'!J:J),0.1),"Lay eggs"),"Cannot breed")</f>
        <v>6</v>
      </c>
      <c r="AV140" s="2" t="str">
        <f t="shared" si="16"/>
        <v>true</v>
      </c>
      <c r="AW140" s="2" t="str">
        <f>IF(_xlfn.XLOOKUP(_xlfn.XLOOKUP(Animals!B140,'Base stats'!B:B,'Base stats'!E:E),Groups!A:A,Groups!AK:AK)=1,"true","false")</f>
        <v>false</v>
      </c>
      <c r="AX140" s="25" t="str">
        <f>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</f>
        <v>OmnivoreAnimal, OvivoreAnimal</v>
      </c>
      <c r="AY140" s="2" t="str">
        <f>IF(_xlfn.XLOOKUP(_xlfn.XLOOKUP(B140,'Base stats'!B:B,'Base stats'!E:E),Groups!A:A,Groups!D:D)=1,MROUND((1-I140)*5+1,2)*IF(I140&lt;=0.4,2,1),"No")</f>
        <v>No</v>
      </c>
      <c r="AZ140" s="2" t="str">
        <f>_xlfn.XLOOKUP(B140,'Base stats'!B:B,'Base stats'!AE:AE)</f>
        <v>Leather_Dog</v>
      </c>
      <c r="BA140" s="23" t="str">
        <f>_xlfn.XLOOKUP(_xlfn.XLOOKUP(B140,'Base stats'!B:B,'Base stats'!E:E),Groups!A:A,Groups!AL:AL)</f>
        <v>QuadrupedAnimalWithPawsAndTail</v>
      </c>
      <c r="BB140" s="23">
        <f>MROUND(IF(AND(AN140&lt;0.5,_xlfn.XLOOKUP(B140,'Base stats'!B:B,'Base stats'!Z:Z)=0),0,IF(OR(_xlfn.XLOOKUP(Animals!B140,'Base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stats'!AA:AA),0.005)</f>
        <v>0</v>
      </c>
      <c r="BC140" s="23">
        <f>MROUND(IF(AND(AN140&lt;0.5,_xlfn.XLOOKUP(B140,'Base stats'!B:B,'Base stats'!Z:Z)=0),0,IF(_xlfn.XLOOKUP(_xlfn.XLOOKUP(B140,'Base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stats'!AB:AB),0.005)</f>
        <v>0</v>
      </c>
      <c r="BD140" s="2">
        <f>IF(I140&gt;0.3,"No",_xlfn.XLOOKUP(_xlfn.XLOOKUP(Animals!B140,'Base stats'!B:B,'Base stats'!E:E),Groups!A:A,Groups!AP:AP))</f>
        <v>1</v>
      </c>
      <c r="BE140" s="2">
        <f>IF(AND(I140&lt;=0.65,_xlfn.XLOOKUP(_xlfn.XLOOKUP(Animals!B140,'Base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stats'!O:O)=2,0.2,AN140) + 24*(1-IF(BD140="No",0,BD140)) + 16/3, 12),"No")</f>
        <v>12</v>
      </c>
      <c r="BF140" s="2">
        <f>IF(AND(_xlfn.XLOOKUP(_xlfn.XLOOKUP(B140,'Base stats'!B:B,'Base stats'!E:E),Groups!A:A,Groups!AQ:AQ)=1,AN140&lt;=0.35),8,12)</f>
        <v>12</v>
      </c>
      <c r="BG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H140" s="2" t="str">
        <f>IF(AND(_xlfn.XLOOKUP(_xlfn.XLOOKUP(B140,'Base stats'!B:B,'Base stats'!E:E),Groups!A:A,Groups!AS:AS)=1,OR('Base stats'!Y140="Carnivore",'Base stats'!Y140="Omnivore")),"true","false")</f>
        <v>true</v>
      </c>
      <c r="BI140" s="2">
        <f>IF(BH140="true",MROUND(IF(AND(AN140&gt;0.5,_xlfn.XLOOKUP(_xlfn.XLOOKUP(B140,'Base stats'!B:B,'Base stats'!E:E),Groups!A:A,Groups!AJ:AJ)="Mammal"),Animals!AN140*1.75*IF(AV140="true",1.5,1),Animals!AN140),IF(AN140&gt;2,0.5,IF(AN140&gt;0.5,0.25,0.1))),"No")</f>
        <v>0.2</v>
      </c>
      <c r="BJ140" s="2">
        <f t="shared" si="17"/>
        <v>1</v>
      </c>
      <c r="BK140" s="25" t="str">
        <f>IF('Base stats'!AK140="Standard","No",MROUND((_xlfn.XLOOKUP(B140,'Base stats'!B:B,'Base stats'!AK:AK)/3.6)/H140,0.1))</f>
        <v>No</v>
      </c>
      <c r="BL140" s="25" t="str">
        <f t="shared" si="18"/>
        <v>false</v>
      </c>
      <c r="BM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N140" s="25" t="str" cm="1">
        <f t="array" ref="BN140">IF(
  _xlfn.TEXTJOIN(", ",TRUE,
    IF(AND(BH140="true",AN140&gt;0.5,BG140&lt;&gt;"None"),"AttackTarget",""),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IF(BE140&lt;=36,"Comfort",""),
    IF(_xlfn.XLOOKUP(B140,'Base stats'!B:B,'Base stats'!AC:AC)&lt;&gt;"No",_xlfn.XLOOKUP(B140,'Base stats'!B:B,'Base stats'!AC:AC),"")
  ) = "",
  "No",
  _xlfn.TEXTJOIN(", ",TRUE,
    IF(AND(BH140="true",AN140&gt;0.5,BG140&lt;&gt;"None"),"AttackTarget",""),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IF(BE140&lt;=36,"Comfort",""),
    IF(_xlfn.XLOOKUP(B140,'Base stats'!B:B,'Base stats'!AC:AC)&lt;&gt;"No",_xlfn.XLOOKUP(B140,'Base stats'!B:B,'Base stats'!AC:AC),"")
  )
)</f>
        <v>Forage, Comfort</v>
      </c>
      <c r="BO140" s="25" t="str">
        <f>IF(
   AND(
      'Base stats'!AK140="Standard",_xlfn.XLOOKUP(_xlfn.XLOOKUP(B140,'Base stats'!B:B,'Base stats'!E:E),Groups!A:A,Groups!AU:AU)=0,
      OR(
      BM140="True"
      )
   ),
   10,
   IF(
       OR(BK140&lt;&gt;"No",_xlfn.XLOOKUP(_xlfn.XLOOKUP(B140,'Base stats'!B:B,'Base stats'!E:E),Groups!A:A,Groups!AU:AU)=1),
      1,
      "No"
   )
)</f>
        <v>No</v>
      </c>
      <c r="BP140" s="9">
        <f>MROUND((1 + ((0.2*IF(OR(P140="No",Q140="No",Q140=0),0,P140/Q140)
+IF(OR(U140="No",R140="No",S140="No"),0,R140/S140*(LEN(U140)-LEN(SUBSTITUTE(U140,",",""))+1))
+IF(OR(W140="No",X140="No"),0,W140/X140)
+IF(OR(AC140="No",AD140="No"),0,AC140/AD140)
+IF(OR(AK140="No",AH140="No",AI140="No"),0,AH140/AI140*(LEN(AK140)-LEN(SUBSTITUTE(AK140,",",""))+1))
)/(0.2*IF(OR(P140="No",Q140="No",Q140=0),0,1)
+IF(OR(U140="No",R140="No",S140="No"),0,LEN(U140)-LEN(SUBSTITUTE(U140,",",""))+1)
+IF(OR(W140="No",X140="No"),0,1)
+IF(OR(AC140="No",AD140="No"),0,1)
+IF(OR(AK140="No",AH140="No",AI140="No"),0,LEN(AK140)-LEN(SUBSTITUTE(AK140,",",""))+1))*62%)* 2)*(1 + (AO140 + _xlfn.XLOOKUP(B140,'Base stats'!B:B,'Base stats'!AS:AS) * 1.8) * 2) * 2.5 + 10 + H140 * 2,5)+IF(_xlfn.XLOOKUP(B140,'Base stats'!B:B,'Base stats'!AH:AH)=1,50,0)</f>
        <v>35</v>
      </c>
      <c r="BQ140" s="8">
        <f t="shared" si="19"/>
        <v>0.25</v>
      </c>
      <c r="BR140" s="8" t="str">
        <f>_xlfn.XLOOKUP(B140,'Base stats'!B:B,'Base stats'!AD:AD)</f>
        <v>2~4</v>
      </c>
      <c r="BS140" s="2" t="str">
        <f>IF(AND(I140&lt;=0.95,OR(_xlfn.XLOOKUP(B140,'Base stats'!B:B,'Base stats'!AH:AH)=1,_xlfn.XLOOKUP(B140,'Base stats'!B:B,'Base stats'!Y:Y)="Carnivore",_xlfn.XLOOKUP(B140,'Base stats'!B:B,'Base stats'!Y:Y)="Omnivore",BC140&gt;0.1)),"true","false")</f>
        <v>true</v>
      </c>
      <c r="BT140" s="2" t="str">
        <f>IF(_xlfn.XLOOKUP(B140,'Base stats'!B:B,'Base stats'!AF:AF)=1,"true","false")</f>
        <v>false</v>
      </c>
      <c r="BU140" s="25" t="str">
        <f>IF(E140="BaseInsect","AnimalInsect",
IF(I140&gt;0.95,"AnimalExotic",
_xlfn.TEXTJOIN(", ",TRUE,
IF(AND(_xlfn.XLOOKUP(B140,'Base stats'!B:B,'Base stats'!O:O)=0,_xlfn.XLOOKUP(_xlfn.XLOOKUP(B140,'Base stats'!B:B,'Base stats'!E:E),Groups!A:A,Groups!B:B)&gt;0),"AnimalUncommon","AnimalCommon"),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stats'!AH:AH)=1,AND(BG140&lt;&gt;"None",BP140&gt;=60),ISNUMBER(SEARCH("Attack target",BN140))),"AnimalFighter","")
)))</f>
        <v>AnimalCommon, AnimalPet</v>
      </c>
      <c r="BV140" s="25" t="str">
        <f>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</f>
        <v/>
      </c>
      <c r="BW140" s="25" t="str">
        <f>IF(_xlfn.XLOOKUP(B140,'Base stats'!B:B,'Base stats'!AG:AG)=1,"true","false")</f>
        <v>false</v>
      </c>
      <c r="BX140" s="25">
        <f>IF(_xlfn.XLOOKUP(B140,'Base stats'!B:B,'Base stats'!N:N)=1,"No",MIN(MROUND(IF(OR(_xlfn.XLOOKUP(B140,'Base stats'!B:B,'Base stats'!AJ:AJ)=1,AND(BH140="True",CA140="False")),POWER(10,3.47*LOG10(_xlfn.XLOOKUP(B140,'Base stats'!B:B,'Base stats'!C:C)*1000)^-0.96),POWER(10,4.15*LOG10(_xlfn.XLOOKUP(B140,'Base stats'!B:B,'Base stats'!C:C)*1000)^-0.73))*IF(OR(_xlfn.XLOOKUP(B140,'Base stats'!B:B,'Base stats'!AJ:AJ)=1,_xlfn.XLOOKUP(B140,'Base stats'!B:B,'Base stats'!AH:AH)=1),0.5,1)/100,0.025),1))</f>
        <v>0.125</v>
      </c>
      <c r="BY140" s="25" t="str">
        <f>IF(O140="Standard","No",IF(_xlfn.XLOOKUP(B140,'Base stats'!B:B,'Base stats'!N:N)=0,MROUND(BX140*O140,0.05),MIN(1,MAX(0.025,MROUND(IF(OR(CA140="true",AND(BH140="false",BM140="false")),POWER(10,4.15*LOG10(_xlfn.XLOOKUP(B140,'Base stats'!B:B,'Base stats'!C:C)*1000)^-0.73),POWER(10,3.47*LOG10(_xlfn.XLOOKUP(B140,'Base stats'!B:B,'Base stats'!C:C)*1000)^-0.96))*IF(_xlfn.XLOOKUP(B140,'Base stats'!B:B,'Base stats'!AH:AH)=1,0.5,1)/100,0.025)))))</f>
        <v>No</v>
      </c>
      <c r="BZ140" s="25" t="str">
        <f>IF(_xlfn.XLOOKUP(_xlfn.XLOOKUP(B140,'Base stats'!B:B,'Base stats'!E:E),Groups!A:A,Groups!AJ:AJ)="Mammal","True","False")</f>
        <v>True</v>
      </c>
      <c r="CA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B140" s="25" t="str">
        <f t="shared" si="20"/>
        <v>False</v>
      </c>
      <c r="CC140" s="25" t="str">
        <f>IF(_xlfn.XLOOKUP(_xlfn.XLOOKUP(B140,'Base stats'!B:B,'Base stats'!E:E),Groups!A:A,Groups!AW:AW),"True","False")</f>
        <v>False</v>
      </c>
      <c r="CD140" s="25" t="str">
        <f>IF(_xlfn.XLOOKUP(_xlfn.XLOOKUP(B140,'Base stats'!B:B,'Base stats'!E:E),Groups!A:A,Groups!AX:AX),"True","False")</f>
        <v>False</v>
      </c>
      <c r="CE140" s="25" t="str">
        <f>IF(_xlfn.XLOOKUP(B140,'Base stats'!B:B,'Base stats'!E:E)=1,"True","False")</f>
        <v>False</v>
      </c>
      <c r="CF140" s="25" t="str">
        <f>IF(
OR(
_xlfn.XLOOKUP(_xlfn.XLOOKUP(B140,'Base stats'!B:B,'Base stats'!E:E),Groups!A:A,Groups!AY:AY)=0,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stats'!E:E),Groups!A:A,Groups!AY:AY)=1,
"Flesh",
IF(
_xlfn.XLOOKUP(_xlfn.XLOOKUP(B140,'Base stats'!B:B,'Base stats'!E:E),Groups!A:A,Groups!AY:AY)=2,
"Bone",
""
)
)
)</f>
        <v>No</v>
      </c>
      <c r="CG140" s="25" t="str">
        <f>IF(_xlfn.XLOOKUP(_xlfn.XLOOKUP(B140,'Base stats'!B:B,'Base stats'!E:E),Groups!A:A,Groups!BA:BA),"True","False")</f>
        <v>True</v>
      </c>
      <c r="CH140" s="25" t="str">
        <f>IF(_xlfn.XLOOKUP(_xlfn.XLOOKUP(B140,'Base stats'!B:B,'Base stats'!E:E),Groups!A:A,Groups!AZ:AZ),"True","False")</f>
        <v>False</v>
      </c>
    </row>
    <row r="141" spans="1:86" ht="16.5" thickTop="1" thickBot="1" x14ac:dyDescent="0.3">
      <c r="A141" s="26" t="str">
        <f>_xlfn.XLOOKUP(B141,'Base stats'!B:B,'Base stats'!A:A)</f>
        <v>Corgi</v>
      </c>
      <c r="B141" s="6" t="s">
        <v>906</v>
      </c>
      <c r="C141" s="28" t="s">
        <v>834</v>
      </c>
      <c r="D141" s="28" t="s">
        <v>884</v>
      </c>
      <c r="E141" s="28" t="s">
        <v>685</v>
      </c>
      <c r="F141" s="28" t="s">
        <v>685</v>
      </c>
      <c r="G141" s="2">
        <f>MROUND((
  (IF(AND(_xlfn.XLOOKUP(B141,'Base stats'!B:B,'Base stats'!AI:AI)=0,BG141="None",_xlfn.XLOOKUP('Base stats'!E141,Groups!A:A,Groups!B:B)=0), (18 + BP141 * 2.7) * 0.5,
    IF(AND(_xlfn.XLOOKUP(B141,'Base stats'!B:B,'Base stats'!AI:AI)=0,OR(AN141&lt;0.55,AND(BG141="Intermediate",_xlfn.XLOOKUP('Base stats'!E141,Groups!A:A,Groups!B:B)&lt;2))), (18 + BP141 * 2.7),
      IF(OR(BG141="Advanced",_xlfn.XLOOKUP(B141,'Base stats'!B:B,'Base stats'!AI:AI)=1,_xlfn.XLOOKUP('Base stats'!E141,Groups!A:A,Groups!B:B)=2), (18 + BP141 * 2.7) + 250, (18 + BP141 * 2.7))
    )
  ))
  + AN141 * 80
  + IF(COUNTIF(EggMilk!K$2:K$998, A141) &gt; 0, 125, 0)
  + IF(COUNTIF(EggMilk!P$2:P$998, A141) &gt; 0, 90, 0)
  + IF(COUNTIF(EggMilk!A$2:A$998, A141) &gt; 0, 90, 0)
)
* (0.8 + 0.4 * I141)
* 0.75,25)</f>
        <v>150</v>
      </c>
      <c r="H141" s="2">
        <f>MROUND(ROUNDDOWN(_xlfn.XLOOKUP(B141,'Base stats'!B:B,'Base stats'!L:L)/3.6/(23.3/11),1),0.5)</f>
        <v>6</v>
      </c>
      <c r="I141" s="2">
        <f>IF(_xlfn.XLOOKUP(B141,'Base stats'!B:B,'Base stats'!AI:AI)=1,0.99,MIN(MROUND((1-0.6282*EXP(-0.459*AN141))*_xlfn.XLOOKUP(_xlfn.XLOOKUP(B141,'Base stats'!B:B,'Base stats'!E:E),Groups!A:A,Groups!C:C)*IF(_xlfn.XLOOKUP(B141,'Base stats'!B:B,'Base stats'!O:O)=1,0.5,IF(_xlfn.XLOOKUP(B141,'Base stats'!B:B,'Base stats'!O:O)=2,0,1)),0.05),0.985))</f>
        <v>0</v>
      </c>
      <c r="J141" s="2">
        <f>ROUNDUP(AN141*_xlfn.XLOOKUP(_xlfn.XLOOKUP(B141,'Base stats'!B:B,'Base stats'!E:E),Groups!A:A,Groups!E:E),0)</f>
        <v>1</v>
      </c>
      <c r="K141" s="2">
        <f>IF(OR(_xlfn.XLOOKUP(_xlfn.XLOOKUP(B141,'Base stats'!B:B,'Base stats'!E:E),Groups!A:A,Groups!F:F)=2,ISNUMBER(SEARCH("SeaIce",BV141)),ISNUMBER(SEARCH("IceSheet",BV141))),-50,IF(OR(ISNUMBER(SEARCH("GlacialPlain",BV141)),ISNUMBER(SEARCH("Tundra",BV141))),-40,IF(OR(ISNUMBER(SEARCH("Alpine",BV141)),ISNUMBER(SEARCH("BorealForest",BV141)),ISNUMBER(SEARCH("ColdBog",BV141))),-30,IF(OR(ISNUMBER(SEARCH("TemperateForest",BV141)),ISNUMBER(SEARCH("TemperateSwamp",BV141))),-20,IF(_xlfn.XLOOKUP(_xlfn.XLOOKUP(B141,'Base stats'!B:B,'Base stats'!E:E),Groups!A:A,Groups!F:F)=1,-15,IF(OR(ISNUMBER(SEARCH("Desert",BV141)),ISNUMBER(SEARCH("ExtremeDesert",BV141))),-10,IF(OR(ISNUMBER(SEARCH("Grasslands",BV141)),ISNUMBER(SEARCH("TropicalRainforest",BV141)),ISNUMBER(SEARCH("TropicalSwamp",BV141))),10,0)))))))-IF(CA141="False",MIN(IFERROR(MAX(MROUND(LOG10(_xlfn.XLOOKUP(B141,'Base stats'!B:B,'Base stats'!C:C)^(2/3))*10,5),5),5),30))-_xlfn.XLOOKUP(B141,'Base stats'!B:B,'Base stats'!P:P)+IF(CA141="True",5,0)</f>
        <v>-25</v>
      </c>
      <c r="L141" s="2">
        <f>IF(OR(_xlfn.XLOOKUP(_xlfn.XLOOKUP(B141,'Base stats'!B:B,'Base stats'!E:E),Groups!A:A,Groups!G:G)=2,ISNUMBER(SEARCH("Desert",BV141)),ISNUMBER(SEARCH("ExtremeDesert",BV141)),ISNUMBER(SEARCH("LavaField",BV141))),50,IF(ISNUMBER(SEARCH("Grasslands",BV141)),45,IF(OR(_xlfn.XLOOKUP(_xlfn.XLOOKUP(B141,'Base stats'!B:B,'Base stats'!E:E),Groups!A:A,Groups!G:G)=1,ISNUMBER(SEARCH("TropicalRainforest",BV141)),ISNUMBER(SEARCH("TropicalSwamp",BV141))),40,IF(OR(ISNUMBER(SEARCH("TemperateForest",BV141)),ISNUMBER(SEARCH("TemperateSwamp",BV141))),35,IF(OR(ISNUMBER(SEARCH("Alpine",BV141)),ISNUMBER(SEARCH("BorealForest",BV141)),ISNUMBER(SEARCH("ColdBog",BV141))),30,IF(ISNUMBER(OR(ISNUMBER(SEARCH("GlacialPlain",BV141)),SEARCH("Tundra",BV141))),25,IF(OR(ISNUMBER(SEARCH("SeaIce",BV141)),ISNUMBER(SEARCH("IceSheet",BV141)),ISNUMBER(SEARCH("TropicalSwamp",BV141))),10,35)))))))+_xlfn.XLOOKUP(B141,'Base stats'!B:B,'Base stats'!Q:Q)</f>
        <v>35</v>
      </c>
      <c r="M141" s="8" t="str">
        <f>IF(_xlfn.XLOOKUP(_xlfn.XLOOKUP(B141,'Base stats'!B:B,'Base stats'!E:E),Groups!A:A,Groups!L:L)=1,MIN(MROUND(_xlfn.XLOOKUP(B141,'Animals CE'!B:B,'Animals CE'!Z:Z)/2+0.05,0.05),200%),"No")</f>
        <v>No</v>
      </c>
      <c r="N141" s="8" t="str">
        <f>IF(_xlfn.XLOOKUP(_xlfn.XLOOKUP(B141,'Base stats'!B:B,'Base stats'!E:E),Groups!A:A,Groups!L:L)=1,MIN(MROUND(_xlfn.XLOOKUP(B141,'Animals CE'!B:B,'Animals CE'!AA:AA)/2+0.05,0.05),200%),"No")</f>
        <v>No</v>
      </c>
      <c r="O141" s="2" t="str">
        <f>_xlfn.XLOOKUP(B141,'Base stats'!B:B,'Base stats'!R:R)</f>
        <v>Standard</v>
      </c>
      <c r="P141" s="13">
        <f>MROUND((LOG10(_xlfn.XLOOKUP(B141,'Base stats'!B:B,'Base stats'!AO:AO))*(AN141^0.5)+(_xlfn.XLOOKUP(B141,'Base stats'!B:B,'Base stats'!AO:AO)/1000)^(2/3)+_xlfn.XLOOKUP(B141,'Base stats'!B:B,'Base stats'!AX:AX)/2)+0.5,0.5)</f>
        <v>4</v>
      </c>
      <c r="Q141" s="7">
        <f>IF(P141="No","No",MAX(1,MROUND(_xlfn.XLOOKUP(B141,'Base stats'!B:B,'Base stats'!C:C)^0.165,0.05)))</f>
        <v>1.55</v>
      </c>
      <c r="R141" s="13" t="str">
        <f>IF(_xlfn.XLOOKUP(_xlfn.XLOOKUP(B141,'Base stats'!B:B,'Base stats'!E:E),Groups!A:A,Groups!P:P)=0,"No",MROUND((LOG10(_xlfn.XLOOKUP(B141,'Base stats'!B:B,'Base stats'!AP:AP))*(AN141^0.5)+(_xlfn.XLOOKUP(B141,'Base stats'!B:B,'Base stats'!AP:AP)/1000)^(2/3)+_xlfn.XLOOKUP(B141,'Base stats'!B:B,'Base stats'!AX:AX))+_xlfn.XLOOKUP(B141,'Base stats'!B:B,'Base stats'!AV:AV)+0.5,0.5))</f>
        <v>No</v>
      </c>
      <c r="S141" s="7" t="str">
        <f>IF(R141="No","No",MAX(_xlfn.XLOOKUP(_xlfn.XLOOKUP(B141,'Base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T141" s="7" t="str">
        <f>IF(R141="No","No",_xlfn.XLOOKUP(_xlfn.XLOOKUP(B141,'Base stats'!B:B,'Base stats'!E:E),Groups!A:A,Groups!R:R))</f>
        <v>No</v>
      </c>
      <c r="U141" s="7" t="str">
        <f>IF(R141="No","No",_xlfn.XLOOKUP(_xlfn.XLOOKUP(B141,'Base stats'!B:B,'Base stats'!E:E),Groups!A:A,Groups!S:S))</f>
        <v>No</v>
      </c>
      <c r="V141" s="7" t="str">
        <f>IF(R141="No","No",_xlfn.XLOOKUP(_xlfn.XLOOKUP(B141,'Base stats'!B:B,'Base stats'!E:E),Groups!A:A,Groups!T:T))</f>
        <v>No</v>
      </c>
      <c r="W141" s="13" t="str">
        <f>IF(_xlfn.XLOOKUP(B141,'Base stats'!B:B,'Base stats'!W:W)="No","No",MROUND((LOG10(_xlfn.XLOOKUP(B141,'Base stats'!B:B,'Base stats'!AR:AR))*(AN141^0.5)+(_xlfn.XLOOKUP(B141,'Base stats'!B:B,'Base stats'!AR:AR)/1000)^(2/3)+_xlfn.XLOOKUP(B141,'Base stats'!B:B,'Base stats'!AW:AW))+0.5+IF(_xlfn.XLOOKUP(_xlfn.XLOOKUP(B141,'Base stats'!B:B,'Base stats'!E:E),Groups!A:A,Groups!U:U)&lt;&gt;3,_xlfn.XLOOKUP(B141,'Base stats'!B:B,'Base stats'!AX:AX),0),0.5))</f>
        <v>No</v>
      </c>
      <c r="X141" s="7" t="str">
        <f>IF(W141="No","No",MAX(_xlfn.XLOOKUP(_xlfn.XLOOKUP(B141,'Base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Y141" s="7" t="str">
        <f>IF(W141="No","No",_xlfn.XLOOKUP(_xlfn.XLOOKUP(B141,'Base stats'!B:B,'Base stats'!E:E),Groups!A:A,Groups!W:W))</f>
        <v>No</v>
      </c>
      <c r="Z141" s="7" t="str">
        <f>IF(W141="No","No",_xlfn.XLOOKUP(_xlfn.XLOOKUP(B141,'Base stats'!B:B,'Base stats'!E:E),Groups!A:A,Groups!X:X))</f>
        <v>No</v>
      </c>
      <c r="AA141" s="7" t="str">
        <f>IF(W141="No","No",_xlfn.XLOOKUP(_xlfn.XLOOKUP(B141,'Base stats'!B:B,'Base stats'!E:E),Groups!A:A,Groups!Y:Y))</f>
        <v>No</v>
      </c>
      <c r="AB141" s="7" t="str">
        <f>_xlfn.XLOOKUP(Animals!B141,'Base stats'!B:B,'Base stats'!X:X)</f>
        <v>False</v>
      </c>
      <c r="AC141" s="13">
        <f>IF(_xlfn.XLOOKUP(B141,'Base stats'!B:B,'Base stats'!AQ:AQ)="No","No",MROUND((LOG10(_xlfn.XLOOKUP(B141,'Base stats'!B:B,'Base stats'!AQ:AQ))*(AN141^0.75)+(_xlfn.XLOOKUP(B141,'Base stats'!B:B,'Base stats'!AQ:AQ)/1000)^(2/3)+_xlfn.XLOOKUP(B141,'Base stats'!B:B,'Base stats'!AU:AU)+_xlfn.XLOOKUP(B141,'Base stats'!B:B,'Base stats'!AX:AX))+0.5,0.5))</f>
        <v>7.5</v>
      </c>
      <c r="AD141" s="7">
        <f>IF(AC141="No","No",MAX(_xlfn.XLOOKUP(_xlfn.XLOOKUP(B141,'Base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E141" s="7" t="str">
        <f>IF(AC141="No","No",_xlfn.XLOOKUP(_xlfn.XLOOKUP(B141,'Base stats'!B:B,'Base stats'!E:E),Groups!A:A,Groups!AA:AA))</f>
        <v>Teeth</v>
      </c>
      <c r="AF141" s="7" t="str">
        <f>IF(AC141="No","No",_xlfn.XLOOKUP(_xlfn.XLOOKUP(B141,'Base stats'!B:B,'Base stats'!E:E),Groups!A:A,Groups!AB:AB))</f>
        <v>canines</v>
      </c>
      <c r="AG141" s="7" t="str">
        <f>IF(AC141="No","No",_xlfn.XLOOKUP(_xlfn.XLOOKUP(B141,'Base stats'!B:B,'Base stats'!E:E),Groups!A:A,Groups!AC:AC))</f>
        <v>Bite</v>
      </c>
      <c r="AH141" s="13" t="str">
        <f>IF(_xlfn.XLOOKUP(_xlfn.XLOOKUP(B141,'Base stats'!B:B,'Base stats'!E:E),Groups!A:A,Groups!AD:AD)=0,"No",MROUND((LOG10(_xlfn.XLOOKUP(B141,'Base stats'!B:B,'Base stats'!AP:AP))*(AN141^0.75)+(_xlfn.XLOOKUP(B141,'Base stats'!B:B,'Base stats'!AP:AP)/1000)^(2/3)+_xlfn.XLOOKUP(B141,'Base stats'!B:B,'Base stats'!AV:AV)+_xlfn.XLOOKUP(B141,'Base stats'!B:B,'Base stats'!AX:AX))+0.5,0.5))</f>
        <v>No</v>
      </c>
      <c r="AI141" s="7" t="str">
        <f>IF(AH141="No","No",MAX(_xlfn.XLOOKUP(_xlfn.XLOOKUP(B141,'Base stats'!B:B,'Base stats'!E:E),Groups!A:A,Groups!AE:AE),MROUND(_xlfn.XLOOKUP(_xlfn.XLOOKUP(B141,'Base stats'!B:B,'Base stats'!E:E),Groups!A:A,Groups!AE:AE)*_xlfn.XLOOKUP(B141,'Base stats'!B:B,'Base stats'!C:C)^0.165,0.05)))</f>
        <v>No</v>
      </c>
      <c r="AJ141" s="7" t="str">
        <f>IF(AH141="No","No",_xlfn.XLOOKUP(_xlfn.XLOOKUP(B141,'Base stats'!B:B,'Base stats'!E:E),Groups!A:A,Groups!AF:AF))</f>
        <v>No</v>
      </c>
      <c r="AK141" s="7" t="str">
        <f>IF(AH141="No","No",_xlfn.XLOOKUP(_xlfn.XLOOKUP(B141,'Base stats'!B:B,'Base stats'!E:E),Groups!A:A,Groups!AG:AG))</f>
        <v>No</v>
      </c>
      <c r="AL141" s="7" t="str">
        <f>IF(AH141="No","No",_xlfn.XLOOKUP(_xlfn.XLOOKUP(B141,'Base stats'!B:B,'Base stats'!E:E),Groups!A:A,Groups!AH:AH))</f>
        <v>No</v>
      </c>
      <c r="AM141" s="2">
        <f t="shared" si="14"/>
        <v>20</v>
      </c>
      <c r="AN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O141" s="8">
        <f>MROUND(AN141*_xlfn.XLOOKUP(_xlfn.XLOOKUP(B141,'Base stats'!B:B,'Base stats'!E:E),Groups!A:A,Groups!AI:AI),0.05)</f>
        <v>0.60000000000000009</v>
      </c>
      <c r="AP141" s="8">
        <f>MAX(0.01,MROUND(IF(CA141="True",0.196*(AN141*100*1000)^0.889,IF(_xlfn.XLOOKUP(_xlfn.XLOOKUP(B141,'Base stats'!B:B,'Base stats'!E:E),Groups!A:A,Groups!AJ:AJ)="Bird",10.5*(AN141*100*1000)^0.681,4.82*(AN141*100*1000)^0.734))/(4.82*(1*100*1000)^0.734)/IF(AN141&lt;3.5,2,IF(AN141=3.5,1.5,1.25))*(1+0.132282374779864/(AN141^0.994035016789033+0.00905238001496948)),0.05))</f>
        <v>0.4</v>
      </c>
      <c r="AQ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R141" s="35">
        <f>IFERROR(IF(_xlfn.XLOOKUP(B141,'Base stats'!B:B,'Base stats'!F:F)="Lay eggs","Lay eggs",MIN(20,MAX(5.5,ROUND(((_xlfn.XLOOKUP(B141,'Base stats'!B:B,'Base stats'!F:F)-25)*(14.5/615) + 5.5)*2,0)/2))),"Cannot breed")</f>
        <v>6.5</v>
      </c>
      <c r="AS141" s="8">
        <f>IF(OR(A141="Queen",A141="Larva",A141="Megachicken"),"No",IFERROR(MAX(IF(_xlfn.XLOOKUP(B141,'Base stats'!B:B,'Base stats'!G:G)&lt;0.5,0.2,0.3),MROUND(_xlfn.XLOOKUP(B141,'Base stats'!B:B,'Base stats'!G:G)/(365/60),0.2)),"Unknown"))</f>
        <v>0.3</v>
      </c>
      <c r="AT141" s="8">
        <f t="shared" si="15"/>
        <v>0.15000000000000002</v>
      </c>
      <c r="AU141" s="8">
        <f>IFERROR(IFERROR(MROUND(_xlfn.XLOOKUP(B141,'Base stats'!B:B,'Base stats'!J:J),0.1),"Lay eggs"),"Cannot breed")</f>
        <v>6</v>
      </c>
      <c r="AV141" s="2" t="str">
        <f t="shared" si="16"/>
        <v>true</v>
      </c>
      <c r="AW141" s="2" t="str">
        <f>IF(_xlfn.XLOOKUP(_xlfn.XLOOKUP(Animals!B141,'Base stats'!B:B,'Base stats'!E:E),Groups!A:A,Groups!AK:AK)=1,"true","false")</f>
        <v>false</v>
      </c>
      <c r="AX141" s="25" t="str">
        <f>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</f>
        <v>OmnivoreAnimal, OvivoreAnimal</v>
      </c>
      <c r="AY141" s="2" t="str">
        <f>IF(_xlfn.XLOOKUP(_xlfn.XLOOKUP(B141,'Base stats'!B:B,'Base stats'!E:E),Groups!A:A,Groups!D:D)=1,MROUND((1-I141)*5+1,2)*IF(I141&lt;=0.4,2,1),"No")</f>
        <v>No</v>
      </c>
      <c r="AZ141" s="2" t="str">
        <f>_xlfn.XLOOKUP(B141,'Base stats'!B:B,'Base stats'!AE:AE)</f>
        <v>Leather_Dog</v>
      </c>
      <c r="BA141" s="23" t="str">
        <f>_xlfn.XLOOKUP(_xlfn.XLOOKUP(B141,'Base stats'!B:B,'Base stats'!E:E),Groups!A:A,Groups!AL:AL)</f>
        <v>QuadrupedAnimalWithPawsAndTail</v>
      </c>
      <c r="BB141" s="23">
        <f>MROUND(IF(AND(AN141&lt;0.5,_xlfn.XLOOKUP(B141,'Base stats'!B:B,'Base stats'!Z:Z)=0),0,IF(OR(_xlfn.XLOOKUP(Animals!B141,'Base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stats'!AA:AA),0.005)</f>
        <v>0</v>
      </c>
      <c r="BC141" s="23">
        <f>MROUND(IF(AND(AN141&lt;0.5,_xlfn.XLOOKUP(B141,'Base stats'!B:B,'Base stats'!Z:Z)=0),0,IF(_xlfn.XLOOKUP(_xlfn.XLOOKUP(B141,'Base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stats'!AB:AB),0.005)</f>
        <v>0.1</v>
      </c>
      <c r="BD141" s="2">
        <f>IF(I141&gt;0.3,"No",_xlfn.XLOOKUP(_xlfn.XLOOKUP(Animals!B141,'Base stats'!B:B,'Base stats'!E:E),Groups!A:A,Groups!AP:AP))</f>
        <v>1</v>
      </c>
      <c r="BE141" s="2">
        <f>IF(AND(I141&lt;=0.65,_xlfn.XLOOKUP(_xlfn.XLOOKUP(Animals!B141,'Base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stats'!O:O)=2,0.2,AN141) + 24*(1-IF(BD141="No",0,BD141)) + 16/3, 12),"No")</f>
        <v>12</v>
      </c>
      <c r="BF141" s="2">
        <f>IF(AND(_xlfn.XLOOKUP(_xlfn.XLOOKUP(B141,'Base stats'!B:B,'Base stats'!E:E),Groups!A:A,Groups!AQ:AQ)=1,AN141&lt;=0.35),8,12)</f>
        <v>12</v>
      </c>
      <c r="BG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H141" s="2" t="str">
        <f>IF(AND(_xlfn.XLOOKUP(_xlfn.XLOOKUP(B141,'Base stats'!B:B,'Base stats'!E:E),Groups!A:A,Groups!AS:AS)=1,OR('Base stats'!Y141="Carnivore",'Base stats'!Y141="Omnivore")),"true","false")</f>
        <v>true</v>
      </c>
      <c r="BI141" s="2">
        <f>IF(BH141="true",MROUND(IF(AND(AN141&gt;0.5,_xlfn.XLOOKUP(_xlfn.XLOOKUP(B141,'Base stats'!B:B,'Base stats'!E:E),Groups!A:A,Groups!AJ:AJ)="Mammal"),Animals!AN141*1.75*IF(AV141="true",1.5,1),Animals!AN141),IF(AN141&gt;2,0.5,IF(AN141&gt;0.5,0.25,0.1))),"No")</f>
        <v>0.5</v>
      </c>
      <c r="BJ141" s="2">
        <f t="shared" si="17"/>
        <v>1</v>
      </c>
      <c r="BK141" s="25" t="str">
        <f>IF('Base stats'!AK141="Standard","No",MROUND((_xlfn.XLOOKUP(B141,'Base stats'!B:B,'Base stats'!AK:AK)/3.6)/H141,0.1))</f>
        <v>No</v>
      </c>
      <c r="BL141" s="25" t="str">
        <f t="shared" si="18"/>
        <v>false</v>
      </c>
      <c r="BM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N141" s="25" t="str" cm="1">
        <f t="array" ref="BN141">IF(
  _xlfn.TEXTJOIN(", ",TRUE,
    IF(AND(BH141="true",AN141&gt;0.5,BG141&lt;&gt;"None"),"AttackTarget",""),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IF(BE141&lt;=36,"Comfort",""),
    IF(_xlfn.XLOOKUP(B141,'Base stats'!B:B,'Base stats'!AC:AC)&lt;&gt;"No",_xlfn.XLOOKUP(B141,'Base stats'!B:B,'Base stats'!AC:AC),"")
  ) = "",
  "No",
  _xlfn.TEXTJOIN(", ",TRUE,
    IF(AND(BH141="true",AN141&gt;0.5,BG141&lt;&gt;"None"),"AttackTarget",""),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IF(BE141&lt;=36,"Comfort",""),
    IF(_xlfn.XLOOKUP(B141,'Base stats'!B:B,'Base stats'!AC:AC)&lt;&gt;"No",_xlfn.XLOOKUP(B141,'Base stats'!B:B,'Base stats'!AC:AC),"")
  )
)</f>
        <v>Forage, Comfort</v>
      </c>
      <c r="BO141" s="25" t="str">
        <f>IF(
   AND(
      'Base stats'!AK141="Standard",_xlfn.XLOOKUP(_xlfn.XLOOKUP(B141,'Base stats'!B:B,'Base stats'!E:E),Groups!A:A,Groups!AU:AU)=0,
      OR(
      BM141="True"
      )
   ),
   10,
   IF(
       OR(BK141&lt;&gt;"No",_xlfn.XLOOKUP(_xlfn.XLOOKUP(B141,'Base stats'!B:B,'Base stats'!E:E),Groups!A:A,Groups!AU:AU)=1),
      1,
      "No"
   )
)</f>
        <v>No</v>
      </c>
      <c r="BP141" s="9">
        <f>MROUND((1 + ((0.2*IF(OR(P141="No",Q141="No",Q141=0),0,P141/Q141)
+IF(OR(U141="No",R141="No",S141="No"),0,R141/S141*(LEN(U141)-LEN(SUBSTITUTE(U141,",",""))+1))
+IF(OR(W141="No",X141="No"),0,W141/X141)
+IF(OR(AC141="No",AD141="No"),0,AC141/AD141)
+IF(OR(AK141="No",AH141="No",AI141="No"),0,AH141/AI141*(LEN(AK141)-LEN(SUBSTITUTE(AK141,",",""))+1))
)/(0.2*IF(OR(P141="No",Q141="No",Q141=0),0,1)
+IF(OR(U141="No",R141="No",S141="No"),0,LEN(U141)-LEN(SUBSTITUTE(U141,",",""))+1)
+IF(OR(W141="No",X141="No"),0,1)
+IF(OR(AC141="No",AD141="No"),0,1)
+IF(OR(AK141="No",AH141="No",AI141="No"),0,LEN(AK141)-LEN(SUBSTITUTE(AK141,",",""))+1))*62%)* 2)*(1 + (AO141 + _xlfn.XLOOKUP(B141,'Base stats'!B:B,'Base stats'!AS:AS) * 1.8) * 2) * 2.5 + 10 + H141 * 2,5)+IF(_xlfn.XLOOKUP(B141,'Base stats'!B:B,'Base stats'!AH:AH)=1,50,0)</f>
        <v>65</v>
      </c>
      <c r="BQ141" s="8">
        <f t="shared" si="19"/>
        <v>0.4</v>
      </c>
      <c r="BR141" s="8" t="str">
        <f>_xlfn.XLOOKUP(B141,'Base stats'!B:B,'Base stats'!AD:AD)</f>
        <v>2~4</v>
      </c>
      <c r="BS141" s="2" t="str">
        <f>IF(AND(I141&lt;=0.95,OR(_xlfn.XLOOKUP(B141,'Base stats'!B:B,'Base stats'!AH:AH)=1,_xlfn.XLOOKUP(B141,'Base stats'!B:B,'Base stats'!Y:Y)="Carnivore",_xlfn.XLOOKUP(B141,'Base stats'!B:B,'Base stats'!Y:Y)="Omnivore",BC141&gt;0.1)),"true","false")</f>
        <v>true</v>
      </c>
      <c r="BT141" s="2" t="str">
        <f>IF(_xlfn.XLOOKUP(B141,'Base stats'!B:B,'Base stats'!AF:AF)=1,"true","false")</f>
        <v>false</v>
      </c>
      <c r="BU141" s="25" t="str">
        <f>IF(E141="BaseInsect","AnimalInsect",
IF(I141&gt;0.95,"AnimalExotic",
_xlfn.TEXTJOIN(", ",TRUE,
IF(AND(_xlfn.XLOOKUP(B141,'Base stats'!B:B,'Base stats'!O:O)=0,_xlfn.XLOOKUP(_xlfn.XLOOKUP(B141,'Base stats'!B:B,'Base stats'!E:E),Groups!A:A,Groups!B:B)&gt;0),"AnimalUncommon","AnimalCommon"),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stats'!AH:AH)=1,AND(BG141&lt;&gt;"None",BP141&gt;=60),ISNUMBER(SEARCH("Attack target",BN141))),"AnimalFighter","")
)))</f>
        <v>AnimalCommon, AnimalPet, AnimalFighter</v>
      </c>
      <c r="BV141" s="25" t="str">
        <f>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</f>
        <v/>
      </c>
      <c r="BW141" s="25" t="str">
        <f>IF(_xlfn.XLOOKUP(B141,'Base stats'!B:B,'Base stats'!AG:AG)=1,"true","false")</f>
        <v>false</v>
      </c>
      <c r="BX141" s="25">
        <f>IF(_xlfn.XLOOKUP(B141,'Base stats'!B:B,'Base stats'!N:N)=1,"No",MIN(MROUND(IF(OR(_xlfn.XLOOKUP(B141,'Base stats'!B:B,'Base stats'!AJ:AJ)=1,AND(BH141="True",CA141="False")),POWER(10,3.47*LOG10(_xlfn.XLOOKUP(B141,'Base stats'!B:B,'Base stats'!C:C)*1000)^-0.96),POWER(10,4.15*LOG10(_xlfn.XLOOKUP(B141,'Base stats'!B:B,'Base stats'!C:C)*1000)^-0.73))*IF(OR(_xlfn.XLOOKUP(B141,'Base stats'!B:B,'Base stats'!AJ:AJ)=1,_xlfn.XLOOKUP(B141,'Base stats'!B:B,'Base stats'!AH:AH)=1),0.5,1)/100,0.025),1))</f>
        <v>7.5000000000000011E-2</v>
      </c>
      <c r="BY141" s="25" t="str">
        <f>IF(O141="Standard","No",IF(_xlfn.XLOOKUP(B141,'Base stats'!B:B,'Base stats'!N:N)=0,MROUND(BX141*O141,0.05),MIN(1,MAX(0.025,MROUND(IF(OR(CA141="true",AND(BH141="false",BM141="false")),POWER(10,4.15*LOG10(_xlfn.XLOOKUP(B141,'Base stats'!B:B,'Base stats'!C:C)*1000)^-0.73),POWER(10,3.47*LOG10(_xlfn.XLOOKUP(B141,'Base stats'!B:B,'Base stats'!C:C)*1000)^-0.96))*IF(_xlfn.XLOOKUP(B141,'Base stats'!B:B,'Base stats'!AH:AH)=1,0.5,1)/100,0.025)))))</f>
        <v>No</v>
      </c>
      <c r="BZ141" s="25" t="str">
        <f>IF(_xlfn.XLOOKUP(_xlfn.XLOOKUP(B141,'Base stats'!B:B,'Base stats'!E:E),Groups!A:A,Groups!AJ:AJ)="Mammal","True","False")</f>
        <v>True</v>
      </c>
      <c r="CA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B141" s="25" t="str">
        <f t="shared" si="20"/>
        <v>False</v>
      </c>
      <c r="CC141" s="25" t="str">
        <f>IF(_xlfn.XLOOKUP(_xlfn.XLOOKUP(B141,'Base stats'!B:B,'Base stats'!E:E),Groups!A:A,Groups!AW:AW),"True","False")</f>
        <v>False</v>
      </c>
      <c r="CD141" s="25" t="str">
        <f>IF(_xlfn.XLOOKUP(_xlfn.XLOOKUP(B141,'Base stats'!B:B,'Base stats'!E:E),Groups!A:A,Groups!AX:AX),"True","False")</f>
        <v>False</v>
      </c>
      <c r="CE141" s="25" t="str">
        <f>IF(_xlfn.XLOOKUP(B141,'Base stats'!B:B,'Base stats'!E:E)=1,"True","False")</f>
        <v>False</v>
      </c>
      <c r="CF141" s="25" t="str">
        <f>IF(
OR(
_xlfn.XLOOKUP(_xlfn.XLOOKUP(B141,'Base stats'!B:B,'Base stats'!E:E),Groups!A:A,Groups!AY:AY)=0,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stats'!E:E),Groups!A:A,Groups!AY:AY)=1,
"Flesh",
IF(
_xlfn.XLOOKUP(_xlfn.XLOOKUP(B141,'Base stats'!B:B,'Base stats'!E:E),Groups!A:A,Groups!AY:AY)=2,
"Bone",
""
)
)
)</f>
        <v>No</v>
      </c>
      <c r="CG141" s="25" t="str">
        <f>IF(_xlfn.XLOOKUP(_xlfn.XLOOKUP(B141,'Base stats'!B:B,'Base stats'!E:E),Groups!A:A,Groups!BA:BA),"True","False")</f>
        <v>True</v>
      </c>
      <c r="CH141" s="25" t="str">
        <f>IF(_xlfn.XLOOKUP(_xlfn.XLOOKUP(B141,'Base stats'!B:B,'Base stats'!E:E),Groups!A:A,Groups!AZ:AZ),"True","False")</f>
        <v>False</v>
      </c>
    </row>
    <row r="142" spans="1:86" ht="16.5" thickTop="1" thickBot="1" x14ac:dyDescent="0.3">
      <c r="A142" s="26" t="str">
        <f>_xlfn.XLOOKUP(B142,'Base stats'!B:B,'Base stats'!A:A)</f>
        <v>French bulldog</v>
      </c>
      <c r="B142" s="6" t="s">
        <v>907</v>
      </c>
      <c r="C142" s="28" t="s">
        <v>835</v>
      </c>
      <c r="D142" s="28" t="s">
        <v>884</v>
      </c>
      <c r="E142" s="28" t="s">
        <v>685</v>
      </c>
      <c r="F142" s="28" t="s">
        <v>685</v>
      </c>
      <c r="G142" s="2">
        <f>MROUND((
  (IF(AND(_xlfn.XLOOKUP(B142,'Base stats'!B:B,'Base stats'!AI:AI)=0,BG142="None",_xlfn.XLOOKUP('Base stats'!E142,Groups!A:A,Groups!B:B)=0), (18 + BP142 * 2.7) * 0.5,
    IF(AND(_xlfn.XLOOKUP(B142,'Base stats'!B:B,'Base stats'!AI:AI)=0,OR(AN142&lt;0.55,AND(BG142="Intermediate",_xlfn.XLOOKUP('Base stats'!E142,Groups!A:A,Groups!B:B)&lt;2))), (18 + BP142 * 2.7),
      IF(OR(BG142="Advanced",_xlfn.XLOOKUP(B142,'Base stats'!B:B,'Base stats'!AI:AI)=1,_xlfn.XLOOKUP('Base stats'!E142,Groups!A:A,Groups!B:B)=2), (18 + BP142 * 2.7) + 250, (18 + BP142 * 2.7))
    )
  ))
  + AN142 * 80
  + IF(COUNTIF(EggMilk!K$2:K$998, A142) &gt; 0, 125, 0)
  + IF(COUNTIF(EggMilk!P$2:P$998, A142) &gt; 0, 90, 0)
  + IF(COUNTIF(EggMilk!A$2:A$998, A142) &gt; 0, 90, 0)
)
* (0.8 + 0.4 * I142)
* 0.75,25)</f>
        <v>125</v>
      </c>
      <c r="H142" s="2">
        <f>MROUND(ROUNDDOWN(_xlfn.XLOOKUP(B142,'Base stats'!B:B,'Base stats'!L:L)/3.6/(23.3/11),1),0.5)</f>
        <v>6</v>
      </c>
      <c r="I142" s="2">
        <f>IF(_xlfn.XLOOKUP(B142,'Base stats'!B:B,'Base stats'!AI:AI)=1,0.99,MIN(MROUND((1-0.6282*EXP(-0.459*AN142))*_xlfn.XLOOKUP(_xlfn.XLOOKUP(B142,'Base stats'!B:B,'Base stats'!E:E),Groups!A:A,Groups!C:C)*IF(_xlfn.XLOOKUP(B142,'Base stats'!B:B,'Base stats'!O:O)=1,0.5,IF(_xlfn.XLOOKUP(B142,'Base stats'!B:B,'Base stats'!O:O)=2,0,1)),0.05),0.985))</f>
        <v>0</v>
      </c>
      <c r="J142" s="2">
        <f>ROUNDUP(AN142*_xlfn.XLOOKUP(_xlfn.XLOOKUP(B142,'Base stats'!B:B,'Base stats'!E:E),Groups!A:A,Groups!E:E),0)</f>
        <v>1</v>
      </c>
      <c r="K142" s="2">
        <f>IF(OR(_xlfn.XLOOKUP(_xlfn.XLOOKUP(B142,'Base stats'!B:B,'Base stats'!E:E),Groups!A:A,Groups!F:F)=2,ISNUMBER(SEARCH("SeaIce",BV142)),ISNUMBER(SEARCH("IceSheet",BV142))),-50,IF(OR(ISNUMBER(SEARCH("GlacialPlain",BV142)),ISNUMBER(SEARCH("Tundra",BV142))),-40,IF(OR(ISNUMBER(SEARCH("Alpine",BV142)),ISNUMBER(SEARCH("BorealForest",BV142)),ISNUMBER(SEARCH("ColdBog",BV142))),-30,IF(OR(ISNUMBER(SEARCH("TemperateForest",BV142)),ISNUMBER(SEARCH("TemperateSwamp",BV142))),-20,IF(_xlfn.XLOOKUP(_xlfn.XLOOKUP(B142,'Base stats'!B:B,'Base stats'!E:E),Groups!A:A,Groups!F:F)=1,-15,IF(OR(ISNUMBER(SEARCH("Desert",BV142)),ISNUMBER(SEARCH("ExtremeDesert",BV142))),-10,IF(OR(ISNUMBER(SEARCH("Grasslands",BV142)),ISNUMBER(SEARCH("TropicalRainforest",BV142)),ISNUMBER(SEARCH("TropicalSwamp",BV142))),10,0)))))))-IF(CA142="False",MIN(IFERROR(MAX(MROUND(LOG10(_xlfn.XLOOKUP(B142,'Base stats'!B:B,'Base stats'!C:C)^(2/3))*10,5),5),5),30))-_xlfn.XLOOKUP(B142,'Base stats'!B:B,'Base stats'!P:P)+IF(CA142="True",5,0)</f>
        <v>-20</v>
      </c>
      <c r="L142" s="2">
        <f>IF(OR(_xlfn.XLOOKUP(_xlfn.XLOOKUP(B142,'Base stats'!B:B,'Base stats'!E:E),Groups!A:A,Groups!G:G)=2,ISNUMBER(SEARCH("Desert",BV142)),ISNUMBER(SEARCH("ExtremeDesert",BV142)),ISNUMBER(SEARCH("LavaField",BV142))),50,IF(ISNUMBER(SEARCH("Grasslands",BV142)),45,IF(OR(_xlfn.XLOOKUP(_xlfn.XLOOKUP(B142,'Base stats'!B:B,'Base stats'!E:E),Groups!A:A,Groups!G:G)=1,ISNUMBER(SEARCH("TropicalRainforest",BV142)),ISNUMBER(SEARCH("TropicalSwamp",BV142))),40,IF(OR(ISNUMBER(SEARCH("TemperateForest",BV142)),ISNUMBER(SEARCH("TemperateSwamp",BV142))),35,IF(OR(ISNUMBER(SEARCH("Alpine",BV142)),ISNUMBER(SEARCH("BorealForest",BV142)),ISNUMBER(SEARCH("ColdBog",BV142))),30,IF(ISNUMBER(OR(ISNUMBER(SEARCH("GlacialPlain",BV142)),SEARCH("Tundra",BV142))),25,IF(OR(ISNUMBER(SEARCH("SeaIce",BV142)),ISNUMBER(SEARCH("IceSheet",BV142)),ISNUMBER(SEARCH("TropicalSwamp",BV142))),10,35)))))))+_xlfn.XLOOKUP(B142,'Base stats'!B:B,'Base stats'!Q:Q)</f>
        <v>35</v>
      </c>
      <c r="M142" s="8" t="str">
        <f>IF(_xlfn.XLOOKUP(_xlfn.XLOOKUP(B142,'Base stats'!B:B,'Base stats'!E:E),Groups!A:A,Groups!L:L)=1,MIN(MROUND(_xlfn.XLOOKUP(B142,'Animals CE'!B:B,'Animals CE'!Z:Z)/2+0.05,0.05),200%),"No")</f>
        <v>No</v>
      </c>
      <c r="N142" s="8" t="str">
        <f>IF(_xlfn.XLOOKUP(_xlfn.XLOOKUP(B142,'Base stats'!B:B,'Base stats'!E:E),Groups!A:A,Groups!L:L)=1,MIN(MROUND(_xlfn.XLOOKUP(B142,'Animals CE'!B:B,'Animals CE'!AA:AA)/2+0.05,0.05),200%),"No")</f>
        <v>No</v>
      </c>
      <c r="O142" s="2" t="str">
        <f>_xlfn.XLOOKUP(B142,'Base stats'!B:B,'Base stats'!R:R)</f>
        <v>Standard</v>
      </c>
      <c r="P142" s="13">
        <f>MROUND((LOG10(_xlfn.XLOOKUP(B142,'Base stats'!B:B,'Base stats'!AO:AO))*(AN142^0.5)+(_xlfn.XLOOKUP(B142,'Base stats'!B:B,'Base stats'!AO:AO)/1000)^(2/3)+_xlfn.XLOOKUP(B142,'Base stats'!B:B,'Base stats'!AX:AX)/2)+0.5,0.5)</f>
        <v>3.5</v>
      </c>
      <c r="Q142" s="7">
        <f>IF(P142="No","No",MAX(1,MROUND(_xlfn.XLOOKUP(B142,'Base stats'!B:B,'Base stats'!C:C)^0.165,0.05)))</f>
        <v>1.5</v>
      </c>
      <c r="R142" s="13" t="str">
        <f>IF(_xlfn.XLOOKUP(_xlfn.XLOOKUP(B142,'Base stats'!B:B,'Base stats'!E:E),Groups!A:A,Groups!P:P)=0,"No",MROUND((LOG10(_xlfn.XLOOKUP(B142,'Base stats'!B:B,'Base stats'!AP:AP))*(AN142^0.5)+(_xlfn.XLOOKUP(B142,'Base stats'!B:B,'Base stats'!AP:AP)/1000)^(2/3)+_xlfn.XLOOKUP(B142,'Base stats'!B:B,'Base stats'!AX:AX))+_xlfn.XLOOKUP(B142,'Base stats'!B:B,'Base stats'!AV:AV)+0.5,0.5))</f>
        <v>No</v>
      </c>
      <c r="S142" s="7" t="str">
        <f>IF(R142="No","No",MAX(_xlfn.XLOOKUP(_xlfn.XLOOKUP(B142,'Base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T142" s="7" t="str">
        <f>IF(R142="No","No",_xlfn.XLOOKUP(_xlfn.XLOOKUP(B142,'Base stats'!B:B,'Base stats'!E:E),Groups!A:A,Groups!R:R))</f>
        <v>No</v>
      </c>
      <c r="U142" s="7" t="str">
        <f>IF(R142="No","No",_xlfn.XLOOKUP(_xlfn.XLOOKUP(B142,'Base stats'!B:B,'Base stats'!E:E),Groups!A:A,Groups!S:S))</f>
        <v>No</v>
      </c>
      <c r="V142" s="7" t="str">
        <f>IF(R142="No","No",_xlfn.XLOOKUP(_xlfn.XLOOKUP(B142,'Base stats'!B:B,'Base stats'!E:E),Groups!A:A,Groups!T:T))</f>
        <v>No</v>
      </c>
      <c r="W142" s="13" t="str">
        <f>IF(_xlfn.XLOOKUP(B142,'Base stats'!B:B,'Base stats'!W:W)="No","No",MROUND((LOG10(_xlfn.XLOOKUP(B142,'Base stats'!B:B,'Base stats'!AR:AR))*(AN142^0.5)+(_xlfn.XLOOKUP(B142,'Base stats'!B:B,'Base stats'!AR:AR)/1000)^(2/3)+_xlfn.XLOOKUP(B142,'Base stats'!B:B,'Base stats'!AW:AW))+0.5+IF(_xlfn.XLOOKUP(_xlfn.XLOOKUP(B142,'Base stats'!B:B,'Base stats'!E:E),Groups!A:A,Groups!U:U)&lt;&gt;3,_xlfn.XLOOKUP(B142,'Base stats'!B:B,'Base stats'!AX:AX),0),0.5))</f>
        <v>No</v>
      </c>
      <c r="X142" s="7" t="str">
        <f>IF(W142="No","No",MAX(_xlfn.XLOOKUP(_xlfn.XLOOKUP(B142,'Base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Y142" s="7" t="str">
        <f>IF(W142="No","No",_xlfn.XLOOKUP(_xlfn.XLOOKUP(B142,'Base stats'!B:B,'Base stats'!E:E),Groups!A:A,Groups!W:W))</f>
        <v>No</v>
      </c>
      <c r="Z142" s="7" t="str">
        <f>IF(W142="No","No",_xlfn.XLOOKUP(_xlfn.XLOOKUP(B142,'Base stats'!B:B,'Base stats'!E:E),Groups!A:A,Groups!X:X))</f>
        <v>No</v>
      </c>
      <c r="AA142" s="7" t="str">
        <f>IF(W142="No","No",_xlfn.XLOOKUP(_xlfn.XLOOKUP(B142,'Base stats'!B:B,'Base stats'!E:E),Groups!A:A,Groups!Y:Y))</f>
        <v>No</v>
      </c>
      <c r="AB142" s="7" t="str">
        <f>_xlfn.XLOOKUP(Animals!B142,'Base stats'!B:B,'Base stats'!X:X)</f>
        <v>False</v>
      </c>
      <c r="AC142" s="13">
        <f>IF(_xlfn.XLOOKUP(B142,'Base stats'!B:B,'Base stats'!AQ:AQ)="No","No",MROUND((LOG10(_xlfn.XLOOKUP(B142,'Base stats'!B:B,'Base stats'!AQ:AQ))*(AN142^0.75)+(_xlfn.XLOOKUP(B142,'Base stats'!B:B,'Base stats'!AQ:AQ)/1000)^(2/3)+_xlfn.XLOOKUP(B142,'Base stats'!B:B,'Base stats'!AU:AU)+_xlfn.XLOOKUP(B142,'Base stats'!B:B,'Base stats'!AX:AX))+0.5,0.5))</f>
        <v>6.5</v>
      </c>
      <c r="AD142" s="7">
        <f>IF(AC142="No","No",MAX(_xlfn.XLOOKUP(_xlfn.XLOOKUP(B142,'Base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E142" s="7" t="str">
        <f>IF(AC142="No","No",_xlfn.XLOOKUP(_xlfn.XLOOKUP(B142,'Base stats'!B:B,'Base stats'!E:E),Groups!A:A,Groups!AA:AA))</f>
        <v>Teeth</v>
      </c>
      <c r="AF142" s="7" t="str">
        <f>IF(AC142="No","No",_xlfn.XLOOKUP(_xlfn.XLOOKUP(B142,'Base stats'!B:B,'Base stats'!E:E),Groups!A:A,Groups!AB:AB))</f>
        <v>canines</v>
      </c>
      <c r="AG142" s="7" t="str">
        <f>IF(AC142="No","No",_xlfn.XLOOKUP(_xlfn.XLOOKUP(B142,'Base stats'!B:B,'Base stats'!E:E),Groups!A:A,Groups!AC:AC))</f>
        <v>Bite</v>
      </c>
      <c r="AH142" s="13" t="str">
        <f>IF(_xlfn.XLOOKUP(_xlfn.XLOOKUP(B142,'Base stats'!B:B,'Base stats'!E:E),Groups!A:A,Groups!AD:AD)=0,"No",MROUND((LOG10(_xlfn.XLOOKUP(B142,'Base stats'!B:B,'Base stats'!AP:AP))*(AN142^0.75)+(_xlfn.XLOOKUP(B142,'Base stats'!B:B,'Base stats'!AP:AP)/1000)^(2/3)+_xlfn.XLOOKUP(B142,'Base stats'!B:B,'Base stats'!AV:AV)+_xlfn.XLOOKUP(B142,'Base stats'!B:B,'Base stats'!AX:AX))+0.5,0.5))</f>
        <v>No</v>
      </c>
      <c r="AI142" s="7" t="str">
        <f>IF(AH142="No","No",MAX(_xlfn.XLOOKUP(_xlfn.XLOOKUP(B142,'Base stats'!B:B,'Base stats'!E:E),Groups!A:A,Groups!AE:AE),MROUND(_xlfn.XLOOKUP(_xlfn.XLOOKUP(B142,'Base stats'!B:B,'Base stats'!E:E),Groups!A:A,Groups!AE:AE)*_xlfn.XLOOKUP(B142,'Base stats'!B:B,'Base stats'!C:C)^0.165,0.05)))</f>
        <v>No</v>
      </c>
      <c r="AJ142" s="7" t="str">
        <f>IF(AH142="No","No",_xlfn.XLOOKUP(_xlfn.XLOOKUP(B142,'Base stats'!B:B,'Base stats'!E:E),Groups!A:A,Groups!AF:AF))</f>
        <v>No</v>
      </c>
      <c r="AK142" s="7" t="str">
        <f>IF(AH142="No","No",_xlfn.XLOOKUP(_xlfn.XLOOKUP(B142,'Base stats'!B:B,'Base stats'!E:E),Groups!A:A,Groups!AG:AG))</f>
        <v>No</v>
      </c>
      <c r="AL142" s="7" t="str">
        <f>IF(AH142="No","No",_xlfn.XLOOKUP(_xlfn.XLOOKUP(B142,'Base stats'!B:B,'Base stats'!E:E),Groups!A:A,Groups!AH:AH))</f>
        <v>No</v>
      </c>
      <c r="AM142" s="2">
        <f t="shared" si="14"/>
        <v>15</v>
      </c>
      <c r="AN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O142" s="8">
        <f>MROUND(AN142*_xlfn.XLOOKUP(_xlfn.XLOOKUP(B142,'Base stats'!B:B,'Base stats'!E:E),Groups!A:A,Groups!AI:AI),0.05)</f>
        <v>0.55000000000000004</v>
      </c>
      <c r="AP142" s="8">
        <f>MAX(0.01,MROUND(IF(CA142="True",0.196*(AN142*100*1000)^0.889,IF(_xlfn.XLOOKUP(_xlfn.XLOOKUP(B142,'Base stats'!B:B,'Base stats'!E:E),Groups!A:A,Groups!AJ:AJ)="Bird",10.5*(AN142*100*1000)^0.681,4.82*(AN142*100*1000)^0.734))/(4.82*(1*100*1000)^0.734)/IF(AN142&lt;3.5,2,IF(AN142=3.5,1.5,1.25))*(1+0.132282374779864/(AN142^0.994035016789033+0.00905238001496948)),0.05))</f>
        <v>0.35000000000000003</v>
      </c>
      <c r="AQ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R142" s="35">
        <f>IFERROR(IF(_xlfn.XLOOKUP(B142,'Base stats'!B:B,'Base stats'!F:F)="Lay eggs","Lay eggs",MIN(20,MAX(5.5,ROUND(((_xlfn.XLOOKUP(B142,'Base stats'!B:B,'Base stats'!F:F)-25)*(14.5/615) + 5.5)*2,0)/2))),"Cannot breed")</f>
        <v>6.5</v>
      </c>
      <c r="AS142" s="8">
        <f>IF(OR(A142="Queen",A142="Larva",A142="Megachicken"),"No",IFERROR(MAX(IF(_xlfn.XLOOKUP(B142,'Base stats'!B:B,'Base stats'!G:G)&lt;0.5,0.2,0.3),MROUND(_xlfn.XLOOKUP(B142,'Base stats'!B:B,'Base stats'!G:G)/(365/60),0.2)),"Unknown"))</f>
        <v>0.3</v>
      </c>
      <c r="AT142" s="8">
        <f t="shared" si="15"/>
        <v>0.15000000000000002</v>
      </c>
      <c r="AU142" s="8">
        <f>IFERROR(IFERROR(MROUND(_xlfn.XLOOKUP(B142,'Base stats'!B:B,'Base stats'!J:J),0.1),"Lay eggs"),"Cannot breed")</f>
        <v>6</v>
      </c>
      <c r="AV142" s="2" t="str">
        <f t="shared" si="16"/>
        <v>true</v>
      </c>
      <c r="AW142" s="2" t="str">
        <f>IF(_xlfn.XLOOKUP(_xlfn.XLOOKUP(Animals!B142,'Base stats'!B:B,'Base stats'!E:E),Groups!A:A,Groups!AK:AK)=1,"true","false")</f>
        <v>false</v>
      </c>
      <c r="AX142" s="25" t="str">
        <f>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</f>
        <v>OmnivoreAnimal, OvivoreAnimal</v>
      </c>
      <c r="AY142" s="2" t="str">
        <f>IF(_xlfn.XLOOKUP(_xlfn.XLOOKUP(B142,'Base stats'!B:B,'Base stats'!E:E),Groups!A:A,Groups!D:D)=1,MROUND((1-I142)*5+1,2)*IF(I142&lt;=0.4,2,1),"No")</f>
        <v>No</v>
      </c>
      <c r="AZ142" s="2" t="str">
        <f>_xlfn.XLOOKUP(B142,'Base stats'!B:B,'Base stats'!AE:AE)</f>
        <v>Leather_Dog</v>
      </c>
      <c r="BA142" s="23" t="str">
        <f>_xlfn.XLOOKUP(_xlfn.XLOOKUP(B142,'Base stats'!B:B,'Base stats'!E:E),Groups!A:A,Groups!AL:AL)</f>
        <v>QuadrupedAnimalWithPawsAndTail</v>
      </c>
      <c r="BB142" s="23">
        <f>MROUND(IF(AND(AN142&lt;0.5,_xlfn.XLOOKUP(B142,'Base stats'!B:B,'Base stats'!Z:Z)=0),0,IF(OR(_xlfn.XLOOKUP(Animals!B142,'Base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stats'!AA:AA),0.005)</f>
        <v>0</v>
      </c>
      <c r="BC142" s="23">
        <f>MROUND(IF(AND(AN142&lt;0.5,_xlfn.XLOOKUP(B142,'Base stats'!B:B,'Base stats'!Z:Z)=0),0,IF(_xlfn.XLOOKUP(_xlfn.XLOOKUP(B142,'Base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stats'!AB:AB),0.005)</f>
        <v>0</v>
      </c>
      <c r="BD142" s="2">
        <f>IF(I142&gt;0.3,"No",_xlfn.XLOOKUP(_xlfn.XLOOKUP(Animals!B142,'Base stats'!B:B,'Base stats'!E:E),Groups!A:A,Groups!AP:AP))</f>
        <v>1</v>
      </c>
      <c r="BE142" s="2">
        <f>IF(AND(I142&lt;=0.65,_xlfn.XLOOKUP(_xlfn.XLOOKUP(Animals!B142,'Base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stats'!O:O)=2,0.2,AN142) + 24*(1-IF(BD142="No",0,BD142)) + 16/3, 12),"No")</f>
        <v>12</v>
      </c>
      <c r="BF142" s="2">
        <f>IF(AND(_xlfn.XLOOKUP(_xlfn.XLOOKUP(B142,'Base stats'!B:B,'Base stats'!E:E),Groups!A:A,Groups!AQ:AQ)=1,AN142&lt;=0.35),8,12)</f>
        <v>12</v>
      </c>
      <c r="BG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H142" s="2" t="str">
        <f>IF(AND(_xlfn.XLOOKUP(_xlfn.XLOOKUP(B142,'Base stats'!B:B,'Base stats'!E:E),Groups!A:A,Groups!AS:AS)=1,OR('Base stats'!Y142="Carnivore",'Base stats'!Y142="Omnivore")),"true","false")</f>
        <v>true</v>
      </c>
      <c r="BI142" s="2">
        <f>IF(BH142="true",MROUND(IF(AND(AN142&gt;0.5,_xlfn.XLOOKUP(_xlfn.XLOOKUP(B142,'Base stats'!B:B,'Base stats'!E:E),Groups!A:A,Groups!AJ:AJ)="Mammal"),Animals!AN142*1.75*IF(AV142="true",1.5,1),Animals!AN142),IF(AN142&gt;2,0.5,IF(AN142&gt;0.5,0.25,0.1))),"No")</f>
        <v>0.5</v>
      </c>
      <c r="BJ142" s="2">
        <f t="shared" si="17"/>
        <v>1</v>
      </c>
      <c r="BK142" s="25" t="str">
        <f>IF('Base stats'!AK142="Standard","No",MROUND((_xlfn.XLOOKUP(B142,'Base stats'!B:B,'Base stats'!AK:AK)/3.6)/H142,0.1))</f>
        <v>No</v>
      </c>
      <c r="BL142" s="25" t="str">
        <f t="shared" si="18"/>
        <v>false</v>
      </c>
      <c r="BM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N142" s="25" t="str" cm="1">
        <f t="array" ref="BN142">IF(
  _xlfn.TEXTJOIN(", ",TRUE,
    IF(AND(BH142="true",AN142&gt;0.5,BG142&lt;&gt;"None"),"AttackTarget",""),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IF(BE142&lt;=36,"Comfort",""),
    IF(_xlfn.XLOOKUP(B142,'Base stats'!B:B,'Base stats'!AC:AC)&lt;&gt;"No",_xlfn.XLOOKUP(B142,'Base stats'!B:B,'Base stats'!AC:AC),"")
  ) = "",
  "No",
  _xlfn.TEXTJOIN(", ",TRUE,
    IF(AND(BH142="true",AN142&gt;0.5,BG142&lt;&gt;"None"),"AttackTarget",""),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IF(BE142&lt;=36,"Comfort",""),
    IF(_xlfn.XLOOKUP(B142,'Base stats'!B:B,'Base stats'!AC:AC)&lt;&gt;"No",_xlfn.XLOOKUP(B142,'Base stats'!B:B,'Base stats'!AC:AC),"")
  )
)</f>
        <v>Forage, Comfort</v>
      </c>
      <c r="BO142" s="25" t="str">
        <f>IF(
   AND(
      'Base stats'!AK142="Standard",_xlfn.XLOOKUP(_xlfn.XLOOKUP(B142,'Base stats'!B:B,'Base stats'!E:E),Groups!A:A,Groups!AU:AU)=0,
      OR(
      BM142="True"
      )
   ),
   10,
   IF(
       OR(BK142&lt;&gt;"No",_xlfn.XLOOKUP(_xlfn.XLOOKUP(B142,'Base stats'!B:B,'Base stats'!E:E),Groups!A:A,Groups!AU:AU)=1),
      1,
      "No"
   )
)</f>
        <v>No</v>
      </c>
      <c r="BP142" s="9">
        <f>MROUND((1 + ((0.2*IF(OR(P142="No",Q142="No",Q142=0),0,P142/Q142)
+IF(OR(U142="No",R142="No",S142="No"),0,R142/S142*(LEN(U142)-LEN(SUBSTITUTE(U142,",",""))+1))
+IF(OR(W142="No",X142="No"),0,W142/X142)
+IF(OR(AC142="No",AD142="No"),0,AC142/AD142)
+IF(OR(AK142="No",AH142="No",AI142="No"),0,AH142/AI142*(LEN(AK142)-LEN(SUBSTITUTE(AK142,",",""))+1))
)/(0.2*IF(OR(P142="No",Q142="No",Q142=0),0,1)
+IF(OR(U142="No",R142="No",S142="No"),0,LEN(U142)-LEN(SUBSTITUTE(U142,",",""))+1)
+IF(OR(W142="No",X142="No"),0,1)
+IF(OR(AC142="No",AD142="No"),0,1)
+IF(OR(AK142="No",AH142="No",AI142="No"),0,LEN(AK142)-LEN(SUBSTITUTE(AK142,",",""))+1))*62%)* 2)*(1 + (AO142 + _xlfn.XLOOKUP(B142,'Base stats'!B:B,'Base stats'!AS:AS) * 1.8) * 2) * 2.5 + 10 + H142 * 2,5)+IF(_xlfn.XLOOKUP(B142,'Base stats'!B:B,'Base stats'!AH:AH)=1,50,0)</f>
        <v>60</v>
      </c>
      <c r="BQ142" s="8">
        <f t="shared" si="19"/>
        <v>0.35000000000000003</v>
      </c>
      <c r="BR142" s="8" t="str">
        <f>_xlfn.XLOOKUP(B142,'Base stats'!B:B,'Base stats'!AD:AD)</f>
        <v>2~4</v>
      </c>
      <c r="BS142" s="2" t="str">
        <f>IF(AND(I142&lt;=0.95,OR(_xlfn.XLOOKUP(B142,'Base stats'!B:B,'Base stats'!AH:AH)=1,_xlfn.XLOOKUP(B142,'Base stats'!B:B,'Base stats'!Y:Y)="Carnivore",_xlfn.XLOOKUP(B142,'Base stats'!B:B,'Base stats'!Y:Y)="Omnivore",BC142&gt;0.1)),"true","false")</f>
        <v>true</v>
      </c>
      <c r="BT142" s="2" t="str">
        <f>IF(_xlfn.XLOOKUP(B142,'Base stats'!B:B,'Base stats'!AF:AF)=1,"true","false")</f>
        <v>false</v>
      </c>
      <c r="BU142" s="25" t="str">
        <f>IF(E142="BaseInsect","AnimalInsect",
IF(I142&gt;0.95,"AnimalExotic",
_xlfn.TEXTJOIN(", ",TRUE,
IF(AND(_xlfn.XLOOKUP(B142,'Base stats'!B:B,'Base stats'!O:O)=0,_xlfn.XLOOKUP(_xlfn.XLOOKUP(B142,'Base stats'!B:B,'Base stats'!E:E),Groups!A:A,Groups!B:B)&gt;0),"AnimalUncommon","AnimalCommon"),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stats'!AH:AH)=1,AND(BG142&lt;&gt;"None",BP142&gt;=60),ISNUMBER(SEARCH("Attack target",BN142))),"AnimalFighter","")
)))</f>
        <v>AnimalCommon, AnimalPet, AnimalFighter</v>
      </c>
      <c r="BV142" s="25" t="str">
        <f>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</f>
        <v/>
      </c>
      <c r="BW142" s="25" t="str">
        <f>IF(_xlfn.XLOOKUP(B142,'Base stats'!B:B,'Base stats'!AG:AG)=1,"true","false")</f>
        <v>false</v>
      </c>
      <c r="BX142" s="25">
        <f>IF(_xlfn.XLOOKUP(B142,'Base stats'!B:B,'Base stats'!N:N)=1,"No",MIN(MROUND(IF(OR(_xlfn.XLOOKUP(B142,'Base stats'!B:B,'Base stats'!AJ:AJ)=1,AND(BH142="True",CA142="False")),POWER(10,3.47*LOG10(_xlfn.XLOOKUP(B142,'Base stats'!B:B,'Base stats'!C:C)*1000)^-0.96),POWER(10,4.15*LOG10(_xlfn.XLOOKUP(B142,'Base stats'!B:B,'Base stats'!C:C)*1000)^-0.73))*IF(OR(_xlfn.XLOOKUP(B142,'Base stats'!B:B,'Base stats'!AJ:AJ)=1,_xlfn.XLOOKUP(B142,'Base stats'!B:B,'Base stats'!AH:AH)=1),0.5,1)/100,0.025),1))</f>
        <v>7.5000000000000011E-2</v>
      </c>
      <c r="BY142" s="25" t="str">
        <f>IF(O142="Standard","No",IF(_xlfn.XLOOKUP(B142,'Base stats'!B:B,'Base stats'!N:N)=0,MROUND(BX142*O142,0.05),MIN(1,MAX(0.025,MROUND(IF(OR(CA142="true",AND(BH142="false",BM142="false")),POWER(10,4.15*LOG10(_xlfn.XLOOKUP(B142,'Base stats'!B:B,'Base stats'!C:C)*1000)^-0.73),POWER(10,3.47*LOG10(_xlfn.XLOOKUP(B142,'Base stats'!B:B,'Base stats'!C:C)*1000)^-0.96))*IF(_xlfn.XLOOKUP(B142,'Base stats'!B:B,'Base stats'!AH:AH)=1,0.5,1)/100,0.025)))))</f>
        <v>No</v>
      </c>
      <c r="BZ142" s="25" t="str">
        <f>IF(_xlfn.XLOOKUP(_xlfn.XLOOKUP(B142,'Base stats'!B:B,'Base stats'!E:E),Groups!A:A,Groups!AJ:AJ)="Mammal","True","False")</f>
        <v>True</v>
      </c>
      <c r="CA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B142" s="25" t="str">
        <f t="shared" si="20"/>
        <v>False</v>
      </c>
      <c r="CC142" s="25" t="str">
        <f>IF(_xlfn.XLOOKUP(_xlfn.XLOOKUP(B142,'Base stats'!B:B,'Base stats'!E:E),Groups!A:A,Groups!AW:AW),"True","False")</f>
        <v>False</v>
      </c>
      <c r="CD142" s="25" t="str">
        <f>IF(_xlfn.XLOOKUP(_xlfn.XLOOKUP(B142,'Base stats'!B:B,'Base stats'!E:E),Groups!A:A,Groups!AX:AX),"True","False")</f>
        <v>False</v>
      </c>
      <c r="CE142" s="25" t="str">
        <f>IF(_xlfn.XLOOKUP(B142,'Base stats'!B:B,'Base stats'!E:E)=1,"True","False")</f>
        <v>False</v>
      </c>
      <c r="CF142" s="25" t="str">
        <f>IF(
OR(
_xlfn.XLOOKUP(_xlfn.XLOOKUP(B142,'Base stats'!B:B,'Base stats'!E:E),Groups!A:A,Groups!AY:AY)=0,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stats'!E:E),Groups!A:A,Groups!AY:AY)=1,
"Flesh",
IF(
_xlfn.XLOOKUP(_xlfn.XLOOKUP(B142,'Base stats'!B:B,'Base stats'!E:E),Groups!A:A,Groups!AY:AY)=2,
"Bone",
""
)
)
)</f>
        <v>No</v>
      </c>
      <c r="CG142" s="25" t="str">
        <f>IF(_xlfn.XLOOKUP(_xlfn.XLOOKUP(B142,'Base stats'!B:B,'Base stats'!E:E),Groups!A:A,Groups!BA:BA),"True","False")</f>
        <v>True</v>
      </c>
      <c r="CH142" s="25" t="str">
        <f>IF(_xlfn.XLOOKUP(_xlfn.XLOOKUP(B142,'Base stats'!B:B,'Base stats'!E:E),Groups!A:A,Groups!AZ:AZ),"True","False")</f>
        <v>False</v>
      </c>
    </row>
    <row r="143" spans="1:86" s="16" customFormat="1" ht="16.5" thickTop="1" thickBot="1" x14ac:dyDescent="0.3">
      <c r="A143" s="26" t="str">
        <f>_xlfn.XLOOKUP(B143,'Base stats'!B:B,'Base stats'!A:A)</f>
        <v>German shepherd</v>
      </c>
      <c r="B143" s="6" t="s">
        <v>908</v>
      </c>
      <c r="C143" s="28" t="s">
        <v>836</v>
      </c>
      <c r="D143" s="28" t="s">
        <v>884</v>
      </c>
      <c r="E143" s="28" t="s">
        <v>685</v>
      </c>
      <c r="F143" s="28" t="s">
        <v>685</v>
      </c>
      <c r="G143" s="2">
        <f>MROUND((
  (IF(AND(_xlfn.XLOOKUP(B143,'Base stats'!B:B,'Base stats'!AI:AI)=0,BG143="None",_xlfn.XLOOKUP('Base stats'!E143,Groups!A:A,Groups!B:B)=0), (18 + BP143 * 2.7) * 0.5,
    IF(AND(_xlfn.XLOOKUP(B143,'Base stats'!B:B,'Base stats'!AI:AI)=0,OR(AN143&lt;0.55,AND(BG143="Intermediate",_xlfn.XLOOKUP('Base stats'!E143,Groups!A:A,Groups!B:B)&lt;2))), (18 + BP143 * 2.7),
      IF(OR(BG143="Advanced",_xlfn.XLOOKUP(B143,'Base stats'!B:B,'Base stats'!AI:AI)=1,_xlfn.XLOOKUP('Base stats'!E143,Groups!A:A,Groups!B:B)=2), (18 + BP143 * 2.7) + 250, (18 + BP143 * 2.7))
    )
  ))
  + AN143 * 80
  + IF(COUNTIF(EggMilk!K$2:K$998, A143) &gt; 0, 125, 0)
  + IF(COUNTIF(EggMilk!P$2:P$998, A143) &gt; 0, 90, 0)
  + IF(COUNTIF(EggMilk!A$2:A$998, A143) &gt; 0, 90, 0)
)
* (0.8 + 0.4 * I143)
* 0.75,25)</f>
        <v>325</v>
      </c>
      <c r="H143" s="2">
        <f>MROUND(ROUNDDOWN(_xlfn.XLOOKUP(B143,'Base stats'!B:B,'Base stats'!L:L)/3.6/(23.3/11),1),0.5)</f>
        <v>6.5</v>
      </c>
      <c r="I143" s="2">
        <f>IF(_xlfn.XLOOKUP(B143,'Base stats'!B:B,'Base stats'!AI:AI)=1,0.99,MIN(MROUND((1-0.6282*EXP(-0.459*AN143))*_xlfn.XLOOKUP(_xlfn.XLOOKUP(B143,'Base stats'!B:B,'Base stats'!E:E),Groups!A:A,Groups!C:C)*IF(_xlfn.XLOOKUP(B143,'Base stats'!B:B,'Base stats'!O:O)=1,0.5,IF(_xlfn.XLOOKUP(B143,'Base stats'!B:B,'Base stats'!O:O)=2,0,1)),0.05),0.985))</f>
        <v>0</v>
      </c>
      <c r="J143" s="2">
        <f>ROUNDUP(AN143*_xlfn.XLOOKUP(_xlfn.XLOOKUP(B143,'Base stats'!B:B,'Base stats'!E:E),Groups!A:A,Groups!E:E),0)</f>
        <v>1</v>
      </c>
      <c r="K143" s="2">
        <f>IF(OR(_xlfn.XLOOKUP(_xlfn.XLOOKUP(B143,'Base stats'!B:B,'Base stats'!E:E),Groups!A:A,Groups!F:F)=2,ISNUMBER(SEARCH("SeaIce",BV143)),ISNUMBER(SEARCH("IceSheet",BV143))),-50,IF(OR(ISNUMBER(SEARCH("GlacialPlain",BV143)),ISNUMBER(SEARCH("Tundra",BV143))),-40,IF(OR(ISNUMBER(SEARCH("Alpine",BV143)),ISNUMBER(SEARCH("BorealForest",BV143)),ISNUMBER(SEARCH("ColdBog",BV143))),-30,IF(OR(ISNUMBER(SEARCH("TemperateForest",BV143)),ISNUMBER(SEARCH("TemperateSwamp",BV143))),-20,IF(_xlfn.XLOOKUP(_xlfn.XLOOKUP(B143,'Base stats'!B:B,'Base stats'!E:E),Groups!A:A,Groups!F:F)=1,-15,IF(OR(ISNUMBER(SEARCH("Desert",BV143)),ISNUMBER(SEARCH("ExtremeDesert",BV143))),-10,IF(OR(ISNUMBER(SEARCH("Grasslands",BV143)),ISNUMBER(SEARCH("TropicalRainforest",BV143)),ISNUMBER(SEARCH("TropicalSwamp",BV143))),10,0)))))))-IF(CA143="False",MIN(IFERROR(MAX(MROUND(LOG10(_xlfn.XLOOKUP(B143,'Base stats'!B:B,'Base stats'!C:C)^(2/3))*10,5),5),5),30))-_xlfn.XLOOKUP(B143,'Base stats'!B:B,'Base stats'!P:P)+IF(CA143="True",5,0)</f>
        <v>-35</v>
      </c>
      <c r="L143" s="2">
        <f>IF(OR(_xlfn.XLOOKUP(_xlfn.XLOOKUP(B143,'Base stats'!B:B,'Base stats'!E:E),Groups!A:A,Groups!G:G)=2,ISNUMBER(SEARCH("Desert",BV143)),ISNUMBER(SEARCH("ExtremeDesert",BV143)),ISNUMBER(SEARCH("LavaField",BV143))),50,IF(ISNUMBER(SEARCH("Grasslands",BV143)),45,IF(OR(_xlfn.XLOOKUP(_xlfn.XLOOKUP(B143,'Base stats'!B:B,'Base stats'!E:E),Groups!A:A,Groups!G:G)=1,ISNUMBER(SEARCH("TropicalRainforest",BV143)),ISNUMBER(SEARCH("TropicalSwamp",BV143))),40,IF(OR(ISNUMBER(SEARCH("TemperateForest",BV143)),ISNUMBER(SEARCH("TemperateSwamp",BV143))),35,IF(OR(ISNUMBER(SEARCH("Alpine",BV143)),ISNUMBER(SEARCH("BorealForest",BV143)),ISNUMBER(SEARCH("ColdBog",BV143))),30,IF(ISNUMBER(OR(ISNUMBER(SEARCH("GlacialPlain",BV143)),SEARCH("Tundra",BV143))),25,IF(OR(ISNUMBER(SEARCH("SeaIce",BV143)),ISNUMBER(SEARCH("IceSheet",BV143)),ISNUMBER(SEARCH("TropicalSwamp",BV143))),10,35)))))))+_xlfn.XLOOKUP(B143,'Base stats'!B:B,'Base stats'!Q:Q)</f>
        <v>35</v>
      </c>
      <c r="M143" s="8" t="str">
        <f>IF(_xlfn.XLOOKUP(_xlfn.XLOOKUP(B143,'Base stats'!B:B,'Base stats'!E:E),Groups!A:A,Groups!L:L)=1,MIN(MROUND(_xlfn.XLOOKUP(B143,'Animals CE'!B:B,'Animals CE'!Z:Z)/2+0.05,0.05),200%),"No")</f>
        <v>No</v>
      </c>
      <c r="N143" s="8" t="str">
        <f>IF(_xlfn.XLOOKUP(_xlfn.XLOOKUP(B143,'Base stats'!B:B,'Base stats'!E:E),Groups!A:A,Groups!L:L)=1,MIN(MROUND(_xlfn.XLOOKUP(B143,'Animals CE'!B:B,'Animals CE'!AA:AA)/2+0.05,0.05),200%),"No")</f>
        <v>No</v>
      </c>
      <c r="O143" s="2" t="str">
        <f>_xlfn.XLOOKUP(B143,'Base stats'!B:B,'Base stats'!R:R)</f>
        <v>Standard</v>
      </c>
      <c r="P143" s="13">
        <f>MROUND((LOG10(_xlfn.XLOOKUP(B143,'Base stats'!B:B,'Base stats'!AO:AO))*(AN143^0.5)+(_xlfn.XLOOKUP(B143,'Base stats'!B:B,'Base stats'!AO:AO)/1000)^(2/3)+_xlfn.XLOOKUP(B143,'Base stats'!B:B,'Base stats'!AX:AX)/2)+0.5,0.5)</f>
        <v>5.5</v>
      </c>
      <c r="Q143" s="7">
        <f>IF(P143="No","No",MAX(1,MROUND(_xlfn.XLOOKUP(B143,'Base stats'!B:B,'Base stats'!C:C)^0.165,0.05)))</f>
        <v>1.8</v>
      </c>
      <c r="R143" s="13" t="str">
        <f>IF(_xlfn.XLOOKUP(_xlfn.XLOOKUP(B143,'Base stats'!B:B,'Base stats'!E:E),Groups!A:A,Groups!P:P)=0,"No",MROUND((LOG10(_xlfn.XLOOKUP(B143,'Base stats'!B:B,'Base stats'!AP:AP))*(AN143^0.5)+(_xlfn.XLOOKUP(B143,'Base stats'!B:B,'Base stats'!AP:AP)/1000)^(2/3)+_xlfn.XLOOKUP(B143,'Base stats'!B:B,'Base stats'!AX:AX))+_xlfn.XLOOKUP(B143,'Base stats'!B:B,'Base stats'!AV:AV)+0.5,0.5))</f>
        <v>No</v>
      </c>
      <c r="S143" s="7" t="str">
        <f>IF(R143="No","No",MAX(_xlfn.XLOOKUP(_xlfn.XLOOKUP(B143,'Base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T143" s="7" t="str">
        <f>IF(R143="No","No",_xlfn.XLOOKUP(_xlfn.XLOOKUP(B143,'Base stats'!B:B,'Base stats'!E:E),Groups!A:A,Groups!R:R))</f>
        <v>No</v>
      </c>
      <c r="U143" s="7" t="str">
        <f>IF(R143="No","No",_xlfn.XLOOKUP(_xlfn.XLOOKUP(B143,'Base stats'!B:B,'Base stats'!E:E),Groups!A:A,Groups!S:S))</f>
        <v>No</v>
      </c>
      <c r="V143" s="7" t="str">
        <f>IF(R143="No","No",_xlfn.XLOOKUP(_xlfn.XLOOKUP(B143,'Base stats'!B:B,'Base stats'!E:E),Groups!A:A,Groups!T:T))</f>
        <v>No</v>
      </c>
      <c r="W143" s="13" t="str">
        <f>IF(_xlfn.XLOOKUP(B143,'Base stats'!B:B,'Base stats'!W:W)="No","No",MROUND((LOG10(_xlfn.XLOOKUP(B143,'Base stats'!B:B,'Base stats'!AR:AR))*(AN143^0.5)+(_xlfn.XLOOKUP(B143,'Base stats'!B:B,'Base stats'!AR:AR)/1000)^(2/3)+_xlfn.XLOOKUP(B143,'Base stats'!B:B,'Base stats'!AW:AW))+0.5+IF(_xlfn.XLOOKUP(_xlfn.XLOOKUP(B143,'Base stats'!B:B,'Base stats'!E:E),Groups!A:A,Groups!U:U)&lt;&gt;3,_xlfn.XLOOKUP(B143,'Base stats'!B:B,'Base stats'!AX:AX),0),0.5))</f>
        <v>No</v>
      </c>
      <c r="X143" s="7" t="str">
        <f>IF(W143="No","No",MAX(_xlfn.XLOOKUP(_xlfn.XLOOKUP(B143,'Base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Y143" s="7" t="str">
        <f>IF(W143="No","No",_xlfn.XLOOKUP(_xlfn.XLOOKUP(B143,'Base stats'!B:B,'Base stats'!E:E),Groups!A:A,Groups!W:W))</f>
        <v>No</v>
      </c>
      <c r="Z143" s="7" t="str">
        <f>IF(W143="No","No",_xlfn.XLOOKUP(_xlfn.XLOOKUP(B143,'Base stats'!B:B,'Base stats'!E:E),Groups!A:A,Groups!X:X))</f>
        <v>No</v>
      </c>
      <c r="AA143" s="7" t="str">
        <f>IF(W143="No","No",_xlfn.XLOOKUP(_xlfn.XLOOKUP(B143,'Base stats'!B:B,'Base stats'!E:E),Groups!A:A,Groups!Y:Y))</f>
        <v>No</v>
      </c>
      <c r="AB143" s="7" t="str">
        <f>_xlfn.XLOOKUP(Animals!B143,'Base stats'!B:B,'Base stats'!X:X)</f>
        <v>False</v>
      </c>
      <c r="AC143" s="13">
        <f>IF(_xlfn.XLOOKUP(B143,'Base stats'!B:B,'Base stats'!AQ:AQ)="No","No",MROUND((LOG10(_xlfn.XLOOKUP(B143,'Base stats'!B:B,'Base stats'!AQ:AQ))*(AN143^0.75)+(_xlfn.XLOOKUP(B143,'Base stats'!B:B,'Base stats'!AQ:AQ)/1000)^(2/3)+_xlfn.XLOOKUP(B143,'Base stats'!B:B,'Base stats'!AU:AU)+_xlfn.XLOOKUP(B143,'Base stats'!B:B,'Base stats'!AX:AX))+0.5,0.5))</f>
        <v>10.5</v>
      </c>
      <c r="AD143" s="7">
        <f>IF(AC143="No","No",MAX(_xlfn.XLOOKUP(_xlfn.XLOOKUP(B143,'Base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E143" s="7" t="str">
        <f>IF(AC143="No","No",_xlfn.XLOOKUP(_xlfn.XLOOKUP(B143,'Base stats'!B:B,'Base stats'!E:E),Groups!A:A,Groups!AA:AA))</f>
        <v>Teeth</v>
      </c>
      <c r="AF143" s="7" t="str">
        <f>IF(AC143="No","No",_xlfn.XLOOKUP(_xlfn.XLOOKUP(B143,'Base stats'!B:B,'Base stats'!E:E),Groups!A:A,Groups!AB:AB))</f>
        <v>canines</v>
      </c>
      <c r="AG143" s="7" t="str">
        <f>IF(AC143="No","No",_xlfn.XLOOKUP(_xlfn.XLOOKUP(B143,'Base stats'!B:B,'Base stats'!E:E),Groups!A:A,Groups!AC:AC))</f>
        <v>Bite</v>
      </c>
      <c r="AH143" s="13" t="str">
        <f>IF(_xlfn.XLOOKUP(_xlfn.XLOOKUP(B143,'Base stats'!B:B,'Base stats'!E:E),Groups!A:A,Groups!AD:AD)=0,"No",MROUND((LOG10(_xlfn.XLOOKUP(B143,'Base stats'!B:B,'Base stats'!AP:AP))*(AN143^0.75)+(_xlfn.XLOOKUP(B143,'Base stats'!B:B,'Base stats'!AP:AP)/1000)^(2/3)+_xlfn.XLOOKUP(B143,'Base stats'!B:B,'Base stats'!AV:AV)+_xlfn.XLOOKUP(B143,'Base stats'!B:B,'Base stats'!AX:AX))+0.5,0.5))</f>
        <v>No</v>
      </c>
      <c r="AI143" s="7" t="str">
        <f>IF(AH143="No","No",MAX(_xlfn.XLOOKUP(_xlfn.XLOOKUP(B143,'Base stats'!B:B,'Base stats'!E:E),Groups!A:A,Groups!AE:AE),MROUND(_xlfn.XLOOKUP(_xlfn.XLOOKUP(B143,'Base stats'!B:B,'Base stats'!E:E),Groups!A:A,Groups!AE:AE)*_xlfn.XLOOKUP(B143,'Base stats'!B:B,'Base stats'!C:C)^0.165,0.05)))</f>
        <v>No</v>
      </c>
      <c r="AJ143" s="7" t="str">
        <f>IF(AH143="No","No",_xlfn.XLOOKUP(_xlfn.XLOOKUP(B143,'Base stats'!B:B,'Base stats'!E:E),Groups!A:A,Groups!AF:AF))</f>
        <v>No</v>
      </c>
      <c r="AK143" s="7" t="str">
        <f>IF(AH143="No","No",_xlfn.XLOOKUP(_xlfn.XLOOKUP(B143,'Base stats'!B:B,'Base stats'!E:E),Groups!A:A,Groups!AG:AG))</f>
        <v>No</v>
      </c>
      <c r="AL143" s="7" t="str">
        <f>IF(AH143="No","No",_xlfn.XLOOKUP(_xlfn.XLOOKUP(B143,'Base stats'!B:B,'Base stats'!E:E),Groups!A:A,Groups!AH:AH))</f>
        <v>No</v>
      </c>
      <c r="AM143" s="2">
        <f t="shared" si="14"/>
        <v>20</v>
      </c>
      <c r="AN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O143" s="8">
        <f>MROUND(AN143*_xlfn.XLOOKUP(_xlfn.XLOOKUP(B143,'Base stats'!B:B,'Base stats'!E:E),Groups!A:A,Groups!AI:AI),0.05)</f>
        <v>0.9</v>
      </c>
      <c r="AP143" s="8">
        <f>MAX(0.01,MROUND(IF(CA143="True",0.196*(AN143*100*1000)^0.889,IF(_xlfn.XLOOKUP(_xlfn.XLOOKUP(B143,'Base stats'!B:B,'Base stats'!E:E),Groups!A:A,Groups!AJ:AJ)="Bird",10.5*(AN143*100*1000)^0.681,4.82*(AN143*100*1000)^0.734))/(4.82*(1*100*1000)^0.734)/IF(AN143&lt;3.5,2,IF(AN143=3.5,1.5,1.25))*(1+0.132282374779864/(AN143^0.994035016789033+0.00905238001496948)),0.05))</f>
        <v>0.5</v>
      </c>
      <c r="AQ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R143" s="35">
        <f>IFERROR(IF(_xlfn.XLOOKUP(B143,'Base stats'!B:B,'Base stats'!F:F)="Lay eggs","Lay eggs",MIN(20,MAX(5.5,ROUND(((_xlfn.XLOOKUP(B143,'Base stats'!B:B,'Base stats'!F:F)-25)*(14.5/615) + 5.5)*2,0)/2))),"Cannot breed")</f>
        <v>6.5</v>
      </c>
      <c r="AS143" s="8">
        <f>IF(OR(A143="Queen",A143="Larva",A143="Megachicken"),"No",IFERROR(MAX(IF(_xlfn.XLOOKUP(B143,'Base stats'!B:B,'Base stats'!G:G)&lt;0.5,0.2,0.3),MROUND(_xlfn.XLOOKUP(B143,'Base stats'!B:B,'Base stats'!G:G)/(365/60),0.2)),"Unknown"))</f>
        <v>0.3</v>
      </c>
      <c r="AT143" s="8">
        <f t="shared" si="15"/>
        <v>0.15000000000000002</v>
      </c>
      <c r="AU143" s="8">
        <f>IFERROR(IFERROR(MROUND(_xlfn.XLOOKUP(B143,'Base stats'!B:B,'Base stats'!J:J),0.1),"Lay eggs"),"Cannot breed")</f>
        <v>6</v>
      </c>
      <c r="AV143" s="2" t="str">
        <f t="shared" si="16"/>
        <v>true</v>
      </c>
      <c r="AW143" s="2" t="str">
        <f>IF(_xlfn.XLOOKUP(_xlfn.XLOOKUP(Animals!B143,'Base stats'!B:B,'Base stats'!E:E),Groups!A:A,Groups!AK:AK)=1,"true","false")</f>
        <v>false</v>
      </c>
      <c r="AX143" s="25" t="str">
        <f>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</f>
        <v>OmnivoreAnimal, OvivoreAnimal</v>
      </c>
      <c r="AY143" s="2" t="str">
        <f>IF(_xlfn.XLOOKUP(_xlfn.XLOOKUP(B143,'Base stats'!B:B,'Base stats'!E:E),Groups!A:A,Groups!D:D)=1,MROUND((1-I143)*5+1,2)*IF(I143&lt;=0.4,2,1),"No")</f>
        <v>No</v>
      </c>
      <c r="AZ143" s="2" t="str">
        <f>_xlfn.XLOOKUP(B143,'Base stats'!B:B,'Base stats'!AE:AE)</f>
        <v>Leather_Dog</v>
      </c>
      <c r="BA143" s="23" t="str">
        <f>_xlfn.XLOOKUP(_xlfn.XLOOKUP(B143,'Base stats'!B:B,'Base stats'!E:E),Groups!A:A,Groups!AL:AL)</f>
        <v>QuadrupedAnimalWithPawsAndTail</v>
      </c>
      <c r="BB143" s="23">
        <f>MROUND(IF(AND(AN143&lt;0.5,_xlfn.XLOOKUP(B143,'Base stats'!B:B,'Base stats'!Z:Z)=0),0,IF(OR(_xlfn.XLOOKUP(Animals!B143,'Base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stats'!AA:AA),0.005)</f>
        <v>0</v>
      </c>
      <c r="BC143" s="23">
        <f>MROUND(IF(AND(AN143&lt;0.5,_xlfn.XLOOKUP(B143,'Base stats'!B:B,'Base stats'!Z:Z)=0),0,IF(_xlfn.XLOOKUP(_xlfn.XLOOKUP(B143,'Base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stats'!AB:AB),0.005)</f>
        <v>0.1</v>
      </c>
      <c r="BD143" s="2">
        <f>IF(I143&gt;0.3,"No",_xlfn.XLOOKUP(_xlfn.XLOOKUP(Animals!B143,'Base stats'!B:B,'Base stats'!E:E),Groups!A:A,Groups!AP:AP))</f>
        <v>1</v>
      </c>
      <c r="BE143" s="2">
        <f>IF(AND(I143&lt;=0.65,_xlfn.XLOOKUP(_xlfn.XLOOKUP(Animals!B143,'Base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stats'!O:O)=2,0.2,AN143) + 24*(1-IF(BD143="No",0,BD143)) + 16/3, 12),"No")</f>
        <v>12</v>
      </c>
      <c r="BF143" s="2">
        <f>IF(AND(_xlfn.XLOOKUP(_xlfn.XLOOKUP(B143,'Base stats'!B:B,'Base stats'!E:E),Groups!A:A,Groups!AQ:AQ)=1,AN143&lt;=0.35),8,12)</f>
        <v>12</v>
      </c>
      <c r="BG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H143" s="2" t="str">
        <f>IF(AND(_xlfn.XLOOKUP(_xlfn.XLOOKUP(B143,'Base stats'!B:B,'Base stats'!E:E),Groups!A:A,Groups!AS:AS)=1,OR('Base stats'!Y143="Carnivore",'Base stats'!Y143="Omnivore")),"true","false")</f>
        <v>true</v>
      </c>
      <c r="BI143" s="2">
        <f>IF(BH143="true",MROUND(IF(AND(AN143&gt;0.5,_xlfn.XLOOKUP(_xlfn.XLOOKUP(B143,'Base stats'!B:B,'Base stats'!E:E),Groups!A:A,Groups!AJ:AJ)="Mammal"),Animals!AN143*1.75*IF(AV143="true",1.5,1),Animals!AN143),IF(AN143&gt;2,0.5,IF(AN143&gt;0.5,0.25,0.1))),"No")</f>
        <v>2</v>
      </c>
      <c r="BJ143" s="2">
        <f t="shared" si="17"/>
        <v>1</v>
      </c>
      <c r="BK143" s="25" t="str">
        <f>IF('Base stats'!AK143="Standard","No",MROUND((_xlfn.XLOOKUP(B143,'Base stats'!B:B,'Base stats'!AK:AK)/3.6)/H143,0.1))</f>
        <v>No</v>
      </c>
      <c r="BL143" s="25" t="str">
        <f t="shared" si="18"/>
        <v>false</v>
      </c>
      <c r="BM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N143" s="25" t="str" cm="1">
        <f t="array" ref="BN143">IF(
  _xlfn.TEXTJOIN(", ",TRUE,
    IF(AND(BH143="true",AN143&gt;0.5,BG143&lt;&gt;"None"),"AttackTarget",""),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IF(BE143&lt;=36,"Comfort",""),
    IF(_xlfn.XLOOKUP(B143,'Base stats'!B:B,'Base stats'!AC:AC)&lt;&gt;"No",_xlfn.XLOOKUP(B143,'Base stats'!B:B,'Base stats'!AC:AC),"")
  ) = "",
  "No",
  _xlfn.TEXTJOIN(", ",TRUE,
    IF(AND(BH143="true",AN143&gt;0.5,BG143&lt;&gt;"None"),"AttackTarget",""),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IF(BE143&lt;=36,"Comfort",""),
    IF(_xlfn.XLOOKUP(B143,'Base stats'!B:B,'Base stats'!AC:AC)&lt;&gt;"No",_xlfn.XLOOKUP(B143,'Base stats'!B:B,'Base stats'!AC:AC),"")
  )
)</f>
        <v>AttackTarget, Forage, Comfort</v>
      </c>
      <c r="BO143" s="25" t="str">
        <f>IF(
   AND(
      'Base stats'!AK143="Standard",_xlfn.XLOOKUP(_xlfn.XLOOKUP(B143,'Base stats'!B:B,'Base stats'!E:E),Groups!A:A,Groups!AU:AU)=0,
      OR(
      BM143="True"
      )
   ),
   10,
   IF(
       OR(BK143&lt;&gt;"No",_xlfn.XLOOKUP(_xlfn.XLOOKUP(B143,'Base stats'!B:B,'Base stats'!E:E),Groups!A:A,Groups!AU:AU)=1),
      1,
      "No"
   )
)</f>
        <v>No</v>
      </c>
      <c r="BP143" s="9">
        <f>MROUND((1 + ((0.2*IF(OR(P143="No",Q143="No",Q143=0),0,P143/Q143)
+IF(OR(U143="No",R143="No",S143="No"),0,R143/S143*(LEN(U143)-LEN(SUBSTITUTE(U143,",",""))+1))
+IF(OR(W143="No",X143="No"),0,W143/X143)
+IF(OR(AC143="No",AD143="No"),0,AC143/AD143)
+IF(OR(AK143="No",AH143="No",AI143="No"),0,AH143/AI143*(LEN(AK143)-LEN(SUBSTITUTE(AK143,",",""))+1))
)/(0.2*IF(OR(P143="No",Q143="No",Q143=0),0,1)
+IF(OR(U143="No",R143="No",S143="No"),0,LEN(U143)-LEN(SUBSTITUTE(U143,",",""))+1)
+IF(OR(W143="No",X143="No"),0,1)
+IF(OR(AC143="No",AD143="No"),0,1)
+IF(OR(AK143="No",AH143="No",AI143="No"),0,LEN(AK143)-LEN(SUBSTITUTE(AK143,",",""))+1))*62%)* 2)*(1 + (AO143 + _xlfn.XLOOKUP(B143,'Base stats'!B:B,'Base stats'!AS:AS) * 1.8) * 2) * 2.5 + 10 + H143 * 2,5)+IF(_xlfn.XLOOKUP(B143,'Base stats'!B:B,'Base stats'!AH:AH)=1,50,0)</f>
        <v>85</v>
      </c>
      <c r="BQ143" s="8">
        <f t="shared" si="19"/>
        <v>0.55000000000000004</v>
      </c>
      <c r="BR143" s="8" t="str">
        <f>_xlfn.XLOOKUP(B143,'Base stats'!B:B,'Base stats'!AD:AD)</f>
        <v>2~4</v>
      </c>
      <c r="BS143" s="2" t="str">
        <f>IF(AND(I143&lt;=0.95,OR(_xlfn.XLOOKUP(B143,'Base stats'!B:B,'Base stats'!AH:AH)=1,_xlfn.XLOOKUP(B143,'Base stats'!B:B,'Base stats'!Y:Y)="Carnivore",_xlfn.XLOOKUP(B143,'Base stats'!B:B,'Base stats'!Y:Y)="Omnivore",BC143&gt;0.1)),"true","false")</f>
        <v>true</v>
      </c>
      <c r="BT143" s="2" t="str">
        <f>IF(_xlfn.XLOOKUP(B143,'Base stats'!B:B,'Base stats'!AF:AF)=1,"true","false")</f>
        <v>false</v>
      </c>
      <c r="BU143" s="25" t="str">
        <f>IF(E143="BaseInsect","AnimalInsect",
IF(I143&gt;0.95,"AnimalExotic",
_xlfn.TEXTJOIN(", ",TRUE,
IF(AND(_xlfn.XLOOKUP(B143,'Base stats'!B:B,'Base stats'!O:O)=0,_xlfn.XLOOKUP(_xlfn.XLOOKUP(B143,'Base stats'!B:B,'Base stats'!E:E),Groups!A:A,Groups!B:B)&gt;0),"AnimalUncommon","AnimalCommon"),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stats'!AH:AH)=1,AND(BG143&lt;&gt;"None",BP143&gt;=60),ISNUMBER(SEARCH("Attack target",BN143))),"AnimalFighter","")
)))</f>
        <v>AnimalCommon, AnimalPet, AnimalFighter</v>
      </c>
      <c r="BV143" s="25" t="str">
        <f>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</f>
        <v/>
      </c>
      <c r="BW143" s="25" t="str">
        <f>IF(_xlfn.XLOOKUP(B143,'Base stats'!B:B,'Base stats'!AG:AG)=1,"true","false")</f>
        <v>false</v>
      </c>
      <c r="BX143" s="25">
        <f>IF(_xlfn.XLOOKUP(B143,'Base stats'!B:B,'Base stats'!N:N)=1,"No",MIN(MROUND(IF(OR(_xlfn.XLOOKUP(B143,'Base stats'!B:B,'Base stats'!AJ:AJ)=1,AND(BH143="True",CA143="False")),POWER(10,3.47*LOG10(_xlfn.XLOOKUP(B143,'Base stats'!B:B,'Base stats'!C:C)*1000)^-0.96),POWER(10,4.15*LOG10(_xlfn.XLOOKUP(B143,'Base stats'!B:B,'Base stats'!C:C)*1000)^-0.73))*IF(OR(_xlfn.XLOOKUP(B143,'Base stats'!B:B,'Base stats'!AJ:AJ)=1,_xlfn.XLOOKUP(B143,'Base stats'!B:B,'Base stats'!AH:AH)=1),0.5,1)/100,0.025),1))</f>
        <v>7.5000000000000011E-2</v>
      </c>
      <c r="BY143" s="25" t="str">
        <f>IF(O143="Standard","No",IF(_xlfn.XLOOKUP(B143,'Base stats'!B:B,'Base stats'!N:N)=0,MROUND(BX143*O143,0.05),MIN(1,MAX(0.025,MROUND(IF(OR(CA143="true",AND(BH143="false",BM143="false")),POWER(10,4.15*LOG10(_xlfn.XLOOKUP(B143,'Base stats'!B:B,'Base stats'!C:C)*1000)^-0.73),POWER(10,3.47*LOG10(_xlfn.XLOOKUP(B143,'Base stats'!B:B,'Base stats'!C:C)*1000)^-0.96))*IF(_xlfn.XLOOKUP(B143,'Base stats'!B:B,'Base stats'!AH:AH)=1,0.5,1)/100,0.025)))))</f>
        <v>No</v>
      </c>
      <c r="BZ143" s="25" t="str">
        <f>IF(_xlfn.XLOOKUP(_xlfn.XLOOKUP(B143,'Base stats'!B:B,'Base stats'!E:E),Groups!A:A,Groups!AJ:AJ)="Mammal","True","False")</f>
        <v>True</v>
      </c>
      <c r="CA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B143" s="25" t="str">
        <f t="shared" si="20"/>
        <v>False</v>
      </c>
      <c r="CC143" s="25" t="str">
        <f>IF(_xlfn.XLOOKUP(_xlfn.XLOOKUP(B143,'Base stats'!B:B,'Base stats'!E:E),Groups!A:A,Groups!AW:AW),"True","False")</f>
        <v>False</v>
      </c>
      <c r="CD143" s="25" t="str">
        <f>IF(_xlfn.XLOOKUP(_xlfn.XLOOKUP(B143,'Base stats'!B:B,'Base stats'!E:E),Groups!A:A,Groups!AX:AX),"True","False")</f>
        <v>False</v>
      </c>
      <c r="CE143" s="25" t="str">
        <f>IF(_xlfn.XLOOKUP(B143,'Base stats'!B:B,'Base stats'!E:E)=1,"True","False")</f>
        <v>False</v>
      </c>
      <c r="CF143" s="25" t="str">
        <f>IF(
OR(
_xlfn.XLOOKUP(_xlfn.XLOOKUP(B143,'Base stats'!B:B,'Base stats'!E:E),Groups!A:A,Groups!AY:AY)=0,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stats'!E:E),Groups!A:A,Groups!AY:AY)=1,
"Flesh",
IF(
_xlfn.XLOOKUP(_xlfn.XLOOKUP(B143,'Base stats'!B:B,'Base stats'!E:E),Groups!A:A,Groups!AY:AY)=2,
"Bone",
""
)
)
)</f>
        <v>No</v>
      </c>
      <c r="CG143" s="25" t="str">
        <f>IF(_xlfn.XLOOKUP(_xlfn.XLOOKUP(B143,'Base stats'!B:B,'Base stats'!E:E),Groups!A:A,Groups!BA:BA),"True","False")</f>
        <v>True</v>
      </c>
      <c r="CH143" s="25" t="str">
        <f>IF(_xlfn.XLOOKUP(_xlfn.XLOOKUP(B143,'Base stats'!B:B,'Base stats'!E:E),Groups!A:A,Groups!AZ:AZ),"True","False")</f>
        <v>False</v>
      </c>
    </row>
    <row r="144" spans="1:86" ht="16.5" thickTop="1" thickBot="1" x14ac:dyDescent="0.3">
      <c r="A144" s="26" t="str">
        <f>_xlfn.XLOOKUP(B144,'Base stats'!B:B,'Base stats'!A:A)</f>
        <v>Great dane</v>
      </c>
      <c r="B144" s="6" t="s">
        <v>909</v>
      </c>
      <c r="C144" s="28" t="s">
        <v>837</v>
      </c>
      <c r="D144" s="28" t="s">
        <v>884</v>
      </c>
      <c r="E144" s="28" t="s">
        <v>685</v>
      </c>
      <c r="F144" s="28" t="s">
        <v>685</v>
      </c>
      <c r="G144" s="2">
        <f>MROUND((
  (IF(AND(_xlfn.XLOOKUP(B144,'Base stats'!B:B,'Base stats'!AI:AI)=0,BG144="None",_xlfn.XLOOKUP('Base stats'!E144,Groups!A:A,Groups!B:B)=0), (18 + BP144 * 2.7) * 0.5,
    IF(AND(_xlfn.XLOOKUP(B144,'Base stats'!B:B,'Base stats'!AI:AI)=0,OR(AN144&lt;0.55,AND(BG144="Intermediate",_xlfn.XLOOKUP('Base stats'!E144,Groups!A:A,Groups!B:B)&lt;2))), (18 + BP144 * 2.7),
      IF(OR(BG144="Advanced",_xlfn.XLOOKUP(B144,'Base stats'!B:B,'Base stats'!AI:AI)=1,_xlfn.XLOOKUP('Base stats'!E144,Groups!A:A,Groups!B:B)=2), (18 + BP144 * 2.7) + 250, (18 + BP144 * 2.7))
    )
  ))
  + AN144 * 80
  + IF(COUNTIF(EggMilk!K$2:K$998, A144) &gt; 0, 125, 0)
  + IF(COUNTIF(EggMilk!P$2:P$998, A144) &gt; 0, 90, 0)
  + IF(COUNTIF(EggMilk!A$2:A$998, A144) &gt; 0, 90, 0)
)
* (0.8 + 0.4 * I144)
* 0.75,25)</f>
        <v>375</v>
      </c>
      <c r="H144" s="2">
        <f>MROUND(ROUNDDOWN(_xlfn.XLOOKUP(B144,'Base stats'!B:B,'Base stats'!L:L)/3.6/(23.3/11),1),0.5)</f>
        <v>7</v>
      </c>
      <c r="I144" s="2">
        <f>IF(_xlfn.XLOOKUP(B144,'Base stats'!B:B,'Base stats'!AI:AI)=1,0.99,MIN(MROUND((1-0.6282*EXP(-0.459*AN144))*_xlfn.XLOOKUP(_xlfn.XLOOKUP(B144,'Base stats'!B:B,'Base stats'!E:E),Groups!A:A,Groups!C:C)*IF(_xlfn.XLOOKUP(B144,'Base stats'!B:B,'Base stats'!O:O)=1,0.5,IF(_xlfn.XLOOKUP(B144,'Base stats'!B:B,'Base stats'!O:O)=2,0,1)),0.05),0.985))</f>
        <v>0</v>
      </c>
      <c r="J144" s="2">
        <f>ROUNDUP(AN144*_xlfn.XLOOKUP(_xlfn.XLOOKUP(B144,'Base stats'!B:B,'Base stats'!E:E),Groups!A:A,Groups!E:E),0)</f>
        <v>1</v>
      </c>
      <c r="K144" s="2">
        <f>IF(OR(_xlfn.XLOOKUP(_xlfn.XLOOKUP(B144,'Base stats'!B:B,'Base stats'!E:E),Groups!A:A,Groups!F:F)=2,ISNUMBER(SEARCH("SeaIce",BV144)),ISNUMBER(SEARCH("IceSheet",BV144))),-50,IF(OR(ISNUMBER(SEARCH("GlacialPlain",BV144)),ISNUMBER(SEARCH("Tundra",BV144))),-40,IF(OR(ISNUMBER(SEARCH("Alpine",BV144)),ISNUMBER(SEARCH("BorealForest",BV144)),ISNUMBER(SEARCH("ColdBog",BV144))),-30,IF(OR(ISNUMBER(SEARCH("TemperateForest",BV144)),ISNUMBER(SEARCH("TemperateSwamp",BV144))),-20,IF(_xlfn.XLOOKUP(_xlfn.XLOOKUP(B144,'Base stats'!B:B,'Base stats'!E:E),Groups!A:A,Groups!F:F)=1,-15,IF(OR(ISNUMBER(SEARCH("Desert",BV144)),ISNUMBER(SEARCH("ExtremeDesert",BV144))),-10,IF(OR(ISNUMBER(SEARCH("Grasslands",BV144)),ISNUMBER(SEARCH("TropicalRainforest",BV144)),ISNUMBER(SEARCH("TropicalSwamp",BV144))),10,0)))))))-IF(CA144="False",MIN(IFERROR(MAX(MROUND(LOG10(_xlfn.XLOOKUP(B144,'Base stats'!B:B,'Base stats'!C:C)^(2/3))*10,5),5),5),30))-_xlfn.XLOOKUP(B144,'Base stats'!B:B,'Base stats'!P:P)+IF(CA144="True",5,0)</f>
        <v>-25</v>
      </c>
      <c r="L144" s="2">
        <f>IF(OR(_xlfn.XLOOKUP(_xlfn.XLOOKUP(B144,'Base stats'!B:B,'Base stats'!E:E),Groups!A:A,Groups!G:G)=2,ISNUMBER(SEARCH("Desert",BV144)),ISNUMBER(SEARCH("ExtremeDesert",BV144)),ISNUMBER(SEARCH("LavaField",BV144))),50,IF(ISNUMBER(SEARCH("Grasslands",BV144)),45,IF(OR(_xlfn.XLOOKUP(_xlfn.XLOOKUP(B144,'Base stats'!B:B,'Base stats'!E:E),Groups!A:A,Groups!G:G)=1,ISNUMBER(SEARCH("TropicalRainforest",BV144)),ISNUMBER(SEARCH("TropicalSwamp",BV144))),40,IF(OR(ISNUMBER(SEARCH("TemperateForest",BV144)),ISNUMBER(SEARCH("TemperateSwamp",BV144))),35,IF(OR(ISNUMBER(SEARCH("Alpine",BV144)),ISNUMBER(SEARCH("BorealForest",BV144)),ISNUMBER(SEARCH("ColdBog",BV144))),30,IF(ISNUMBER(OR(ISNUMBER(SEARCH("GlacialPlain",BV144)),SEARCH("Tundra",BV144))),25,IF(OR(ISNUMBER(SEARCH("SeaIce",BV144)),ISNUMBER(SEARCH("IceSheet",BV144)),ISNUMBER(SEARCH("TropicalSwamp",BV144))),10,35)))))))+_xlfn.XLOOKUP(B144,'Base stats'!B:B,'Base stats'!Q:Q)</f>
        <v>35</v>
      </c>
      <c r="M144" s="8" t="str">
        <f>IF(_xlfn.XLOOKUP(_xlfn.XLOOKUP(B144,'Base stats'!B:B,'Base stats'!E:E),Groups!A:A,Groups!L:L)=1,MIN(MROUND(_xlfn.XLOOKUP(B144,'Animals CE'!B:B,'Animals CE'!Z:Z)/2+0.05,0.05),200%),"No")</f>
        <v>No</v>
      </c>
      <c r="N144" s="8" t="str">
        <f>IF(_xlfn.XLOOKUP(_xlfn.XLOOKUP(B144,'Base stats'!B:B,'Base stats'!E:E),Groups!A:A,Groups!L:L)=1,MIN(MROUND(_xlfn.XLOOKUP(B144,'Animals CE'!B:B,'Animals CE'!AA:AA)/2+0.05,0.05),200%),"No")</f>
        <v>No</v>
      </c>
      <c r="O144" s="2" t="str">
        <f>_xlfn.XLOOKUP(B144,'Base stats'!B:B,'Base stats'!R:R)</f>
        <v>Standard</v>
      </c>
      <c r="P144" s="13">
        <f>MROUND((LOG10(_xlfn.XLOOKUP(B144,'Base stats'!B:B,'Base stats'!AO:AO))*(AN144^0.5)+(_xlfn.XLOOKUP(B144,'Base stats'!B:B,'Base stats'!AO:AO)/1000)^(2/3)+_xlfn.XLOOKUP(B144,'Base stats'!B:B,'Base stats'!AX:AX)/2)+0.5,0.5)</f>
        <v>7</v>
      </c>
      <c r="Q144" s="7">
        <f>IF(P144="No","No",MAX(1,MROUND(_xlfn.XLOOKUP(B144,'Base stats'!B:B,'Base stats'!C:C)^0.165,0.05)))</f>
        <v>2</v>
      </c>
      <c r="R144" s="13" t="str">
        <f>IF(_xlfn.XLOOKUP(_xlfn.XLOOKUP(B144,'Base stats'!B:B,'Base stats'!E:E),Groups!A:A,Groups!P:P)=0,"No",MROUND((LOG10(_xlfn.XLOOKUP(B144,'Base stats'!B:B,'Base stats'!AP:AP))*(AN144^0.5)+(_xlfn.XLOOKUP(B144,'Base stats'!B:B,'Base stats'!AP:AP)/1000)^(2/3)+_xlfn.XLOOKUP(B144,'Base stats'!B:B,'Base stats'!AX:AX))+_xlfn.XLOOKUP(B144,'Base stats'!B:B,'Base stats'!AV:AV)+0.5,0.5))</f>
        <v>No</v>
      </c>
      <c r="S144" s="7" t="str">
        <f>IF(R144="No","No",MAX(_xlfn.XLOOKUP(_xlfn.XLOOKUP(B144,'Base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T144" s="7" t="str">
        <f>IF(R144="No","No",_xlfn.XLOOKUP(_xlfn.XLOOKUP(B144,'Base stats'!B:B,'Base stats'!E:E),Groups!A:A,Groups!R:R))</f>
        <v>No</v>
      </c>
      <c r="U144" s="7" t="str">
        <f>IF(R144="No","No",_xlfn.XLOOKUP(_xlfn.XLOOKUP(B144,'Base stats'!B:B,'Base stats'!E:E),Groups!A:A,Groups!S:S))</f>
        <v>No</v>
      </c>
      <c r="V144" s="7" t="str">
        <f>IF(R144="No","No",_xlfn.XLOOKUP(_xlfn.XLOOKUP(B144,'Base stats'!B:B,'Base stats'!E:E),Groups!A:A,Groups!T:T))</f>
        <v>No</v>
      </c>
      <c r="W144" s="13" t="str">
        <f>IF(_xlfn.XLOOKUP(B144,'Base stats'!B:B,'Base stats'!W:W)="No","No",MROUND((LOG10(_xlfn.XLOOKUP(B144,'Base stats'!B:B,'Base stats'!AR:AR))*(AN144^0.5)+(_xlfn.XLOOKUP(B144,'Base stats'!B:B,'Base stats'!AR:AR)/1000)^(2/3)+_xlfn.XLOOKUP(B144,'Base stats'!B:B,'Base stats'!AW:AW))+0.5+IF(_xlfn.XLOOKUP(_xlfn.XLOOKUP(B144,'Base stats'!B:B,'Base stats'!E:E),Groups!A:A,Groups!U:U)&lt;&gt;3,_xlfn.XLOOKUP(B144,'Base stats'!B:B,'Base stats'!AX:AX),0),0.5))</f>
        <v>No</v>
      </c>
      <c r="X144" s="7" t="str">
        <f>IF(W144="No","No",MAX(_xlfn.XLOOKUP(_xlfn.XLOOKUP(B144,'Base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Y144" s="7" t="str">
        <f>IF(W144="No","No",_xlfn.XLOOKUP(_xlfn.XLOOKUP(B144,'Base stats'!B:B,'Base stats'!E:E),Groups!A:A,Groups!W:W))</f>
        <v>No</v>
      </c>
      <c r="Z144" s="7" t="str">
        <f>IF(W144="No","No",_xlfn.XLOOKUP(_xlfn.XLOOKUP(B144,'Base stats'!B:B,'Base stats'!E:E),Groups!A:A,Groups!X:X))</f>
        <v>No</v>
      </c>
      <c r="AA144" s="7" t="str">
        <f>IF(W144="No","No",_xlfn.XLOOKUP(_xlfn.XLOOKUP(B144,'Base stats'!B:B,'Base stats'!E:E),Groups!A:A,Groups!Y:Y))</f>
        <v>No</v>
      </c>
      <c r="AB144" s="7" t="str">
        <f>_xlfn.XLOOKUP(Animals!B144,'Base stats'!B:B,'Base stats'!X:X)</f>
        <v>False</v>
      </c>
      <c r="AC144" s="13">
        <f>IF(_xlfn.XLOOKUP(B144,'Base stats'!B:B,'Base stats'!AQ:AQ)="No","No",MROUND((LOG10(_xlfn.XLOOKUP(B144,'Base stats'!B:B,'Base stats'!AQ:AQ))*(AN144^0.75)+(_xlfn.XLOOKUP(B144,'Base stats'!B:B,'Base stats'!AQ:AQ)/1000)^(2/3)+_xlfn.XLOOKUP(B144,'Base stats'!B:B,'Base stats'!AU:AU)+_xlfn.XLOOKUP(B144,'Base stats'!B:B,'Base stats'!AX:AX))+0.5,0.5))</f>
        <v>12.5</v>
      </c>
      <c r="AD144" s="7">
        <f>IF(AC144="No","No",MAX(_xlfn.XLOOKUP(_xlfn.XLOOKUP(B144,'Base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E144" s="7" t="str">
        <f>IF(AC144="No","No",_xlfn.XLOOKUP(_xlfn.XLOOKUP(B144,'Base stats'!B:B,'Base stats'!E:E),Groups!A:A,Groups!AA:AA))</f>
        <v>Teeth</v>
      </c>
      <c r="AF144" s="7" t="str">
        <f>IF(AC144="No","No",_xlfn.XLOOKUP(_xlfn.XLOOKUP(B144,'Base stats'!B:B,'Base stats'!E:E),Groups!A:A,Groups!AB:AB))</f>
        <v>canines</v>
      </c>
      <c r="AG144" s="7" t="str">
        <f>IF(AC144="No","No",_xlfn.XLOOKUP(_xlfn.XLOOKUP(B144,'Base stats'!B:B,'Base stats'!E:E),Groups!A:A,Groups!AC:AC))</f>
        <v>Bite</v>
      </c>
      <c r="AH144" s="13" t="str">
        <f>IF(_xlfn.XLOOKUP(_xlfn.XLOOKUP(B144,'Base stats'!B:B,'Base stats'!E:E),Groups!A:A,Groups!AD:AD)=0,"No",MROUND((LOG10(_xlfn.XLOOKUP(B144,'Base stats'!B:B,'Base stats'!AP:AP))*(AN144^0.75)+(_xlfn.XLOOKUP(B144,'Base stats'!B:B,'Base stats'!AP:AP)/1000)^(2/3)+_xlfn.XLOOKUP(B144,'Base stats'!B:B,'Base stats'!AV:AV)+_xlfn.XLOOKUP(B144,'Base stats'!B:B,'Base stats'!AX:AX))+0.5,0.5))</f>
        <v>No</v>
      </c>
      <c r="AI144" s="7" t="str">
        <f>IF(AH144="No","No",MAX(_xlfn.XLOOKUP(_xlfn.XLOOKUP(B144,'Base stats'!B:B,'Base stats'!E:E),Groups!A:A,Groups!AE:AE),MROUND(_xlfn.XLOOKUP(_xlfn.XLOOKUP(B144,'Base stats'!B:B,'Base stats'!E:E),Groups!A:A,Groups!AE:AE)*_xlfn.XLOOKUP(B144,'Base stats'!B:B,'Base stats'!C:C)^0.165,0.05)))</f>
        <v>No</v>
      </c>
      <c r="AJ144" s="7" t="str">
        <f>IF(AH144="No","No",_xlfn.XLOOKUP(_xlfn.XLOOKUP(B144,'Base stats'!B:B,'Base stats'!E:E),Groups!A:A,Groups!AF:AF))</f>
        <v>No</v>
      </c>
      <c r="AK144" s="7" t="str">
        <f>IF(AH144="No","No",_xlfn.XLOOKUP(_xlfn.XLOOKUP(B144,'Base stats'!B:B,'Base stats'!E:E),Groups!A:A,Groups!AG:AG))</f>
        <v>No</v>
      </c>
      <c r="AL144" s="7" t="str">
        <f>IF(AH144="No","No",_xlfn.XLOOKUP(_xlfn.XLOOKUP(B144,'Base stats'!B:B,'Base stats'!E:E),Groups!A:A,Groups!AH:AH))</f>
        <v>No</v>
      </c>
      <c r="AM144" s="2">
        <f t="shared" si="14"/>
        <v>20</v>
      </c>
      <c r="AN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O144" s="8">
        <f>MROUND(AN144*_xlfn.XLOOKUP(_xlfn.XLOOKUP(B144,'Base stats'!B:B,'Base stats'!E:E),Groups!A:A,Groups!AI:AI),0.05)</f>
        <v>1.1500000000000001</v>
      </c>
      <c r="AP144" s="8">
        <f>MAX(0.01,MROUND(IF(CA144="True",0.196*(AN144*100*1000)^0.889,IF(_xlfn.XLOOKUP(_xlfn.XLOOKUP(B144,'Base stats'!B:B,'Base stats'!E:E),Groups!A:A,Groups!AJ:AJ)="Bird",10.5*(AN144*100*1000)^0.681,4.82*(AN144*100*1000)^0.734))/(4.82*(1*100*1000)^0.734)/IF(AN144&lt;3.5,2,IF(AN144=3.5,1.5,1.25))*(1+0.132282374779864/(AN144^0.994035016789033+0.00905238001496948)),0.05))</f>
        <v>0.55000000000000004</v>
      </c>
      <c r="AQ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R144" s="35">
        <f>IFERROR(IF(_xlfn.XLOOKUP(B144,'Base stats'!B:B,'Base stats'!F:F)="Lay eggs","Lay eggs",MIN(20,MAX(5.5,ROUND(((_xlfn.XLOOKUP(B144,'Base stats'!B:B,'Base stats'!F:F)-25)*(14.5/615) + 5.5)*2,0)/2))),"Cannot breed")</f>
        <v>6.5</v>
      </c>
      <c r="AS144" s="8">
        <f>IF(OR(A144="Queen",A144="Larva",A144="Megachicken"),"No",IFERROR(MAX(IF(_xlfn.XLOOKUP(B144,'Base stats'!B:B,'Base stats'!G:G)&lt;0.5,0.2,0.3),MROUND(_xlfn.XLOOKUP(B144,'Base stats'!B:B,'Base stats'!G:G)/(365/60),0.2)),"Unknown"))</f>
        <v>0.3</v>
      </c>
      <c r="AT144" s="8">
        <f t="shared" si="15"/>
        <v>0.15000000000000002</v>
      </c>
      <c r="AU144" s="8">
        <f>IFERROR(IFERROR(MROUND(_xlfn.XLOOKUP(B144,'Base stats'!B:B,'Base stats'!J:J),0.1),"Lay eggs"),"Cannot breed")</f>
        <v>6</v>
      </c>
      <c r="AV144" s="2" t="str">
        <f t="shared" si="16"/>
        <v>true</v>
      </c>
      <c r="AW144" s="2" t="str">
        <f>IF(_xlfn.XLOOKUP(_xlfn.XLOOKUP(Animals!B144,'Base stats'!B:B,'Base stats'!E:E),Groups!A:A,Groups!AK:AK)=1,"true","false")</f>
        <v>false</v>
      </c>
      <c r="AX144" s="25" t="str">
        <f>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</f>
        <v>OmnivoreAnimal, OvivoreAnimal</v>
      </c>
      <c r="AY144" s="2" t="str">
        <f>IF(_xlfn.XLOOKUP(_xlfn.XLOOKUP(B144,'Base stats'!B:B,'Base stats'!E:E),Groups!A:A,Groups!D:D)=1,MROUND((1-I144)*5+1,2)*IF(I144&lt;=0.4,2,1),"No")</f>
        <v>No</v>
      </c>
      <c r="AZ144" s="2" t="str">
        <f>_xlfn.XLOOKUP(B144,'Base stats'!B:B,'Base stats'!AE:AE)</f>
        <v>Leather_Dog</v>
      </c>
      <c r="BA144" s="23" t="str">
        <f>_xlfn.XLOOKUP(_xlfn.XLOOKUP(B144,'Base stats'!B:B,'Base stats'!E:E),Groups!A:A,Groups!AL:AL)</f>
        <v>QuadrupedAnimalWithPawsAndTail</v>
      </c>
      <c r="BB144" s="23">
        <f>MROUND(IF(AND(AN144&lt;0.5,_xlfn.XLOOKUP(B144,'Base stats'!B:B,'Base stats'!Z:Z)=0),0,IF(OR(_xlfn.XLOOKUP(Animals!B144,'Base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stats'!AA:AA),0.005)</f>
        <v>0</v>
      </c>
      <c r="BC144" s="23">
        <f>MROUND(IF(AND(AN144&lt;0.5,_xlfn.XLOOKUP(B144,'Base stats'!B:B,'Base stats'!Z:Z)=0),0,IF(_xlfn.XLOOKUP(_xlfn.XLOOKUP(B144,'Base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stats'!AB:AB),0.005)</f>
        <v>0.1</v>
      </c>
      <c r="BD144" s="2">
        <f>IF(I144&gt;0.3,"No",_xlfn.XLOOKUP(_xlfn.XLOOKUP(Animals!B144,'Base stats'!B:B,'Base stats'!E:E),Groups!A:A,Groups!AP:AP))</f>
        <v>1</v>
      </c>
      <c r="BE144" s="2">
        <f>IF(AND(I144&lt;=0.65,_xlfn.XLOOKUP(_xlfn.XLOOKUP(Animals!B144,'Base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stats'!O:O)=2,0.2,AN144) + 24*(1-IF(BD144="No",0,BD144)) + 16/3, 12),"No")</f>
        <v>12</v>
      </c>
      <c r="BF144" s="2">
        <f>IF(AND(_xlfn.XLOOKUP(_xlfn.XLOOKUP(B144,'Base stats'!B:B,'Base stats'!E:E),Groups!A:A,Groups!AQ:AQ)=1,AN144&lt;=0.35),8,12)</f>
        <v>12</v>
      </c>
      <c r="BG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H144" s="2" t="str">
        <f>IF(AND(_xlfn.XLOOKUP(_xlfn.XLOOKUP(B144,'Base stats'!B:B,'Base stats'!E:E),Groups!A:A,Groups!AS:AS)=1,OR('Base stats'!Y144="Carnivore",'Base stats'!Y144="Omnivore")),"true","false")</f>
        <v>true</v>
      </c>
      <c r="BI144" s="2">
        <f>IF(BH144="true",MROUND(IF(AND(AN144&gt;0.5,_xlfn.XLOOKUP(_xlfn.XLOOKUP(B144,'Base stats'!B:B,'Base stats'!E:E),Groups!A:A,Groups!AJ:AJ)="Mammal"),Animals!AN144*1.75*IF(AV144="true",1.5,1),Animals!AN144),IF(AN144&gt;2,0.5,IF(AN144&gt;0.5,0.25,0.1))),"No")</f>
        <v>2.5</v>
      </c>
      <c r="BJ144" s="2">
        <f t="shared" si="17"/>
        <v>1</v>
      </c>
      <c r="BK144" s="25" t="str">
        <f>IF('Base stats'!AK144="Standard","No",MROUND((_xlfn.XLOOKUP(B144,'Base stats'!B:B,'Base stats'!AK:AK)/3.6)/H144,0.1))</f>
        <v>No</v>
      </c>
      <c r="BL144" s="25" t="str">
        <f t="shared" si="18"/>
        <v>false</v>
      </c>
      <c r="BM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N144" s="25" t="str" cm="1">
        <f t="array" ref="BN144">IF(
  _xlfn.TEXTJOIN(", ",TRUE,
    IF(AND(BH144="true",AN144&gt;0.5,BG144&lt;&gt;"None"),"AttackTarget",""),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IF(BE144&lt;=36,"Comfort",""),
    IF(_xlfn.XLOOKUP(B144,'Base stats'!B:B,'Base stats'!AC:AC)&lt;&gt;"No",_xlfn.XLOOKUP(B144,'Base stats'!B:B,'Base stats'!AC:AC),"")
  ) = "",
  "No",
  _xlfn.TEXTJOIN(", ",TRUE,
    IF(AND(BH144="true",AN144&gt;0.5,BG144&lt;&gt;"None"),"AttackTarget",""),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IF(BE144&lt;=36,"Comfort",""),
    IF(_xlfn.XLOOKUP(B144,'Base stats'!B:B,'Base stats'!AC:AC)&lt;&gt;"No",_xlfn.XLOOKUP(B144,'Base stats'!B:B,'Base stats'!AC:AC),"")
  )
)</f>
        <v>AttackTarget, Forage, Comfort</v>
      </c>
      <c r="BO144" s="25" t="str">
        <f>IF(
   AND(
      'Base stats'!AK144="Standard",_xlfn.XLOOKUP(_xlfn.XLOOKUP(B144,'Base stats'!B:B,'Base stats'!E:E),Groups!A:A,Groups!AU:AU)=0,
      OR(
      BM144="True"
      )
   ),
   10,
   IF(
       OR(BK144&lt;&gt;"No",_xlfn.XLOOKUP(_xlfn.XLOOKUP(B144,'Base stats'!B:B,'Base stats'!E:E),Groups!A:A,Groups!AU:AU)=1),
      1,
      "No"
   )
)</f>
        <v>No</v>
      </c>
      <c r="BP144" s="9">
        <f>MROUND((1 + ((0.2*IF(OR(P144="No",Q144="No",Q144=0),0,P144/Q144)
+IF(OR(U144="No",R144="No",S144="No"),0,R144/S144*(LEN(U144)-LEN(SUBSTITUTE(U144,",",""))+1))
+IF(OR(W144="No",X144="No"),0,W144/X144)
+IF(OR(AC144="No",AD144="No"),0,AC144/AD144)
+IF(OR(AK144="No",AH144="No",AI144="No"),0,AH144/AI144*(LEN(AK144)-LEN(SUBSTITUTE(AK144,",",""))+1))
)/(0.2*IF(OR(P144="No",Q144="No",Q144=0),0,1)
+IF(OR(U144="No",R144="No",S144="No"),0,LEN(U144)-LEN(SUBSTITUTE(U144,",",""))+1)
+IF(OR(W144="No",X144="No"),0,1)
+IF(OR(AC144="No",AD144="No"),0,1)
+IF(OR(AK144="No",AH144="No",AI144="No"),0,LEN(AK144)-LEN(SUBSTITUTE(AK144,",",""))+1))*62%)* 2)*(1 + (AO144 + _xlfn.XLOOKUP(B144,'Base stats'!B:B,'Base stats'!AS:AS) * 1.8) * 2) * 2.5 + 10 + H144 * 2,5)+IF(_xlfn.XLOOKUP(B144,'Base stats'!B:B,'Base stats'!AH:AH)=1,50,0)</f>
        <v>105</v>
      </c>
      <c r="BQ144" s="8">
        <f t="shared" si="19"/>
        <v>0.65</v>
      </c>
      <c r="BR144" s="8" t="str">
        <f>_xlfn.XLOOKUP(B144,'Base stats'!B:B,'Base stats'!AD:AD)</f>
        <v>2~4</v>
      </c>
      <c r="BS144" s="2" t="str">
        <f>IF(AND(I144&lt;=0.95,OR(_xlfn.XLOOKUP(B144,'Base stats'!B:B,'Base stats'!AH:AH)=1,_xlfn.XLOOKUP(B144,'Base stats'!B:B,'Base stats'!Y:Y)="Carnivore",_xlfn.XLOOKUP(B144,'Base stats'!B:B,'Base stats'!Y:Y)="Omnivore",BC144&gt;0.1)),"true","false")</f>
        <v>true</v>
      </c>
      <c r="BT144" s="2" t="str">
        <f>IF(_xlfn.XLOOKUP(B144,'Base stats'!B:B,'Base stats'!AF:AF)=1,"true","false")</f>
        <v>false</v>
      </c>
      <c r="BU144" s="25" t="str">
        <f>IF(E144="BaseInsect","AnimalInsect",
IF(I144&gt;0.95,"AnimalExotic",
_xlfn.TEXTJOIN(", ",TRUE,
IF(AND(_xlfn.XLOOKUP(B144,'Base stats'!B:B,'Base stats'!O:O)=0,_xlfn.XLOOKUP(_xlfn.XLOOKUP(B144,'Base stats'!B:B,'Base stats'!E:E),Groups!A:A,Groups!B:B)&gt;0),"AnimalUncommon","AnimalCommon"),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stats'!AH:AH)=1,AND(BG144&lt;&gt;"None",BP144&gt;=60),ISNUMBER(SEARCH("Attack target",BN144))),"AnimalFighter","")
)))</f>
        <v>AnimalCommon, AnimalPet, AnimalFighter</v>
      </c>
      <c r="BV144" s="25" t="str">
        <f>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</f>
        <v/>
      </c>
      <c r="BW144" s="25" t="str">
        <f>IF(_xlfn.XLOOKUP(B144,'Base stats'!B:B,'Base stats'!AG:AG)=1,"true","false")</f>
        <v>false</v>
      </c>
      <c r="BX144" s="25">
        <f>IF(_xlfn.XLOOKUP(B144,'Base stats'!B:B,'Base stats'!N:N)=1,"No",MIN(MROUND(IF(OR(_xlfn.XLOOKUP(B144,'Base stats'!B:B,'Base stats'!AJ:AJ)=1,AND(BH144="True",CA144="False")),POWER(10,3.47*LOG10(_xlfn.XLOOKUP(B144,'Base stats'!B:B,'Base stats'!C:C)*1000)^-0.96),POWER(10,4.15*LOG10(_xlfn.XLOOKUP(B144,'Base stats'!B:B,'Base stats'!C:C)*1000)^-0.73))*IF(OR(_xlfn.XLOOKUP(B144,'Base stats'!B:B,'Base stats'!AJ:AJ)=1,_xlfn.XLOOKUP(B144,'Base stats'!B:B,'Base stats'!AH:AH)=1),0.5,1)/100,0.025),1))</f>
        <v>0.05</v>
      </c>
      <c r="BY144" s="25" t="str">
        <f>IF(O144="Standard","No",IF(_xlfn.XLOOKUP(B144,'Base stats'!B:B,'Base stats'!N:N)=0,MROUND(BX144*O144,0.05),MIN(1,MAX(0.025,MROUND(IF(OR(CA144="true",AND(BH144="false",BM144="false")),POWER(10,4.15*LOG10(_xlfn.XLOOKUP(B144,'Base stats'!B:B,'Base stats'!C:C)*1000)^-0.73),POWER(10,3.47*LOG10(_xlfn.XLOOKUP(B144,'Base stats'!B:B,'Base stats'!C:C)*1000)^-0.96))*IF(_xlfn.XLOOKUP(B144,'Base stats'!B:B,'Base stats'!AH:AH)=1,0.5,1)/100,0.025)))))</f>
        <v>No</v>
      </c>
      <c r="BZ144" s="25" t="str">
        <f>IF(_xlfn.XLOOKUP(_xlfn.XLOOKUP(B144,'Base stats'!B:B,'Base stats'!E:E),Groups!A:A,Groups!AJ:AJ)="Mammal","True","False")</f>
        <v>True</v>
      </c>
      <c r="CA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B144" s="25" t="str">
        <f t="shared" si="20"/>
        <v>False</v>
      </c>
      <c r="CC144" s="25" t="str">
        <f>IF(_xlfn.XLOOKUP(_xlfn.XLOOKUP(B144,'Base stats'!B:B,'Base stats'!E:E),Groups!A:A,Groups!AW:AW),"True","False")</f>
        <v>False</v>
      </c>
      <c r="CD144" s="25" t="str">
        <f>IF(_xlfn.XLOOKUP(_xlfn.XLOOKUP(B144,'Base stats'!B:B,'Base stats'!E:E),Groups!A:A,Groups!AX:AX),"True","False")</f>
        <v>False</v>
      </c>
      <c r="CE144" s="25" t="str">
        <f>IF(_xlfn.XLOOKUP(B144,'Base stats'!B:B,'Base stats'!E:E)=1,"True","False")</f>
        <v>False</v>
      </c>
      <c r="CF144" s="25" t="str">
        <f>IF(
OR(
_xlfn.XLOOKUP(_xlfn.XLOOKUP(B144,'Base stats'!B:B,'Base stats'!E:E),Groups!A:A,Groups!AY:AY)=0,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stats'!E:E),Groups!A:A,Groups!AY:AY)=1,
"Flesh",
IF(
_xlfn.XLOOKUP(_xlfn.XLOOKUP(B144,'Base stats'!B:B,'Base stats'!E:E),Groups!A:A,Groups!AY:AY)=2,
"Bone",
""
)
)
)</f>
        <v>No</v>
      </c>
      <c r="CG144" s="25" t="str">
        <f>IF(_xlfn.XLOOKUP(_xlfn.XLOOKUP(B144,'Base stats'!B:B,'Base stats'!E:E),Groups!A:A,Groups!BA:BA),"True","False")</f>
        <v>True</v>
      </c>
      <c r="CH144" s="25" t="str">
        <f>IF(_xlfn.XLOOKUP(_xlfn.XLOOKUP(B144,'Base stats'!B:B,'Base stats'!E:E),Groups!A:A,Groups!AZ:AZ),"True","False")</f>
        <v>False</v>
      </c>
    </row>
    <row r="145" spans="1:86" ht="16.5" thickTop="1" thickBot="1" x14ac:dyDescent="0.3">
      <c r="A145" s="26" t="str">
        <f>_xlfn.XLOOKUP(B145,'Base stats'!B:B,'Base stats'!A:A)</f>
        <v>Poodle</v>
      </c>
      <c r="B145" s="6" t="s">
        <v>910</v>
      </c>
      <c r="C145" s="28" t="s">
        <v>838</v>
      </c>
      <c r="D145" s="28" t="s">
        <v>884</v>
      </c>
      <c r="E145" s="28" t="s">
        <v>685</v>
      </c>
      <c r="F145" s="28" t="s">
        <v>685</v>
      </c>
      <c r="G145" s="2">
        <f>MROUND((
  (IF(AND(_xlfn.XLOOKUP(B145,'Base stats'!B:B,'Base stats'!AI:AI)=0,BG145="None",_xlfn.XLOOKUP('Base stats'!E145,Groups!A:A,Groups!B:B)=0), (18 + BP145 * 2.7) * 0.5,
    IF(AND(_xlfn.XLOOKUP(B145,'Base stats'!B:B,'Base stats'!AI:AI)=0,OR(AN145&lt;0.55,AND(BG145="Intermediate",_xlfn.XLOOKUP('Base stats'!E145,Groups!A:A,Groups!B:B)&lt;2))), (18 + BP145 * 2.7),
      IF(OR(BG145="Advanced",_xlfn.XLOOKUP(B145,'Base stats'!B:B,'Base stats'!AI:AI)=1,_xlfn.XLOOKUP('Base stats'!E145,Groups!A:A,Groups!B:B)=2), (18 + BP145 * 2.7) + 250, (18 + BP145 * 2.7))
    )
  ))
  + AN145 * 80
  + IF(COUNTIF(EggMilk!K$2:K$998, A145) &gt; 0, 125, 0)
  + IF(COUNTIF(EggMilk!P$2:P$998, A145) &gt; 0, 90, 0)
  + IF(COUNTIF(EggMilk!A$2:A$998, A145) &gt; 0, 90, 0)
)
* (0.8 + 0.4 * I145)
* 0.75,25)</f>
        <v>325</v>
      </c>
      <c r="H145" s="2">
        <f>MROUND(ROUNDDOWN(_xlfn.XLOOKUP(B145,'Base stats'!B:B,'Base stats'!L:L)/3.6/(23.3/11),1),0.5)</f>
        <v>6.5</v>
      </c>
      <c r="I145" s="2">
        <f>IF(_xlfn.XLOOKUP(B145,'Base stats'!B:B,'Base stats'!AI:AI)=1,0.99,MIN(MROUND((1-0.6282*EXP(-0.459*AN145))*_xlfn.XLOOKUP(_xlfn.XLOOKUP(B145,'Base stats'!B:B,'Base stats'!E:E),Groups!A:A,Groups!C:C)*IF(_xlfn.XLOOKUP(B145,'Base stats'!B:B,'Base stats'!O:O)=1,0.5,IF(_xlfn.XLOOKUP(B145,'Base stats'!B:B,'Base stats'!O:O)=2,0,1)),0.05),0.985))</f>
        <v>0</v>
      </c>
      <c r="J145" s="2">
        <f>ROUNDUP(AN145*_xlfn.XLOOKUP(_xlfn.XLOOKUP(B145,'Base stats'!B:B,'Base stats'!E:E),Groups!A:A,Groups!E:E),0)</f>
        <v>1</v>
      </c>
      <c r="K145" s="2">
        <f>IF(OR(_xlfn.XLOOKUP(_xlfn.XLOOKUP(B145,'Base stats'!B:B,'Base stats'!E:E),Groups!A:A,Groups!F:F)=2,ISNUMBER(SEARCH("SeaIce",BV145)),ISNUMBER(SEARCH("IceSheet",BV145))),-50,IF(OR(ISNUMBER(SEARCH("GlacialPlain",BV145)),ISNUMBER(SEARCH("Tundra",BV145))),-40,IF(OR(ISNUMBER(SEARCH("Alpine",BV145)),ISNUMBER(SEARCH("BorealForest",BV145)),ISNUMBER(SEARCH("ColdBog",BV145))),-30,IF(OR(ISNUMBER(SEARCH("TemperateForest",BV145)),ISNUMBER(SEARCH("TemperateSwamp",BV145))),-20,IF(_xlfn.XLOOKUP(_xlfn.XLOOKUP(B145,'Base stats'!B:B,'Base stats'!E:E),Groups!A:A,Groups!F:F)=1,-15,IF(OR(ISNUMBER(SEARCH("Desert",BV145)),ISNUMBER(SEARCH("ExtremeDesert",BV145))),-10,IF(OR(ISNUMBER(SEARCH("Grasslands",BV145)),ISNUMBER(SEARCH("TropicalRainforest",BV145)),ISNUMBER(SEARCH("TropicalSwamp",BV145))),10,0)))))))-IF(CA145="False",MIN(IFERROR(MAX(MROUND(LOG10(_xlfn.XLOOKUP(B145,'Base stats'!B:B,'Base stats'!C:C)^(2/3))*10,5),5),5),30))-_xlfn.XLOOKUP(B145,'Base stats'!B:B,'Base stats'!P:P)+IF(CA145="True",5,0)</f>
        <v>-25</v>
      </c>
      <c r="L145" s="2">
        <f>IF(OR(_xlfn.XLOOKUP(_xlfn.XLOOKUP(B145,'Base stats'!B:B,'Base stats'!E:E),Groups!A:A,Groups!G:G)=2,ISNUMBER(SEARCH("Desert",BV145)),ISNUMBER(SEARCH("ExtremeDesert",BV145)),ISNUMBER(SEARCH("LavaField",BV145))),50,IF(ISNUMBER(SEARCH("Grasslands",BV145)),45,IF(OR(_xlfn.XLOOKUP(_xlfn.XLOOKUP(B145,'Base stats'!B:B,'Base stats'!E:E),Groups!A:A,Groups!G:G)=1,ISNUMBER(SEARCH("TropicalRainforest",BV145)),ISNUMBER(SEARCH("TropicalSwamp",BV145))),40,IF(OR(ISNUMBER(SEARCH("TemperateForest",BV145)),ISNUMBER(SEARCH("TemperateSwamp",BV145))),35,IF(OR(ISNUMBER(SEARCH("Alpine",BV145)),ISNUMBER(SEARCH("BorealForest",BV145)),ISNUMBER(SEARCH("ColdBog",BV145))),30,IF(ISNUMBER(OR(ISNUMBER(SEARCH("GlacialPlain",BV145)),SEARCH("Tundra",BV145))),25,IF(OR(ISNUMBER(SEARCH("SeaIce",BV145)),ISNUMBER(SEARCH("IceSheet",BV145)),ISNUMBER(SEARCH("TropicalSwamp",BV145))),10,35)))))))+_xlfn.XLOOKUP(B145,'Base stats'!B:B,'Base stats'!Q:Q)</f>
        <v>35</v>
      </c>
      <c r="M145" s="8" t="str">
        <f>IF(_xlfn.XLOOKUP(_xlfn.XLOOKUP(B145,'Base stats'!B:B,'Base stats'!E:E),Groups!A:A,Groups!L:L)=1,MIN(MROUND(_xlfn.XLOOKUP(B145,'Animals CE'!B:B,'Animals CE'!Z:Z)/2+0.05,0.05),200%),"No")</f>
        <v>No</v>
      </c>
      <c r="N145" s="8" t="str">
        <f>IF(_xlfn.XLOOKUP(_xlfn.XLOOKUP(B145,'Base stats'!B:B,'Base stats'!E:E),Groups!A:A,Groups!L:L)=1,MIN(MROUND(_xlfn.XLOOKUP(B145,'Animals CE'!B:B,'Animals CE'!AA:AA)/2+0.05,0.05),200%),"No")</f>
        <v>No</v>
      </c>
      <c r="O145" s="2" t="str">
        <f>_xlfn.XLOOKUP(B145,'Base stats'!B:B,'Base stats'!R:R)</f>
        <v>Standard</v>
      </c>
      <c r="P145" s="13">
        <f>MROUND((LOG10(_xlfn.XLOOKUP(B145,'Base stats'!B:B,'Base stats'!AO:AO))*(AN145^0.5)+(_xlfn.XLOOKUP(B145,'Base stats'!B:B,'Base stats'!AO:AO)/1000)^(2/3)+_xlfn.XLOOKUP(B145,'Base stats'!B:B,'Base stats'!AX:AX)/2)+0.5,0.5)</f>
        <v>5</v>
      </c>
      <c r="Q145" s="7">
        <f>IF(P145="No","No",MAX(1,MROUND(_xlfn.XLOOKUP(B145,'Base stats'!B:B,'Base stats'!C:C)^0.165,0.05)))</f>
        <v>1.7000000000000002</v>
      </c>
      <c r="R145" s="13" t="str">
        <f>IF(_xlfn.XLOOKUP(_xlfn.XLOOKUP(B145,'Base stats'!B:B,'Base stats'!E:E),Groups!A:A,Groups!P:P)=0,"No",MROUND((LOG10(_xlfn.XLOOKUP(B145,'Base stats'!B:B,'Base stats'!AP:AP))*(AN145^0.5)+(_xlfn.XLOOKUP(B145,'Base stats'!B:B,'Base stats'!AP:AP)/1000)^(2/3)+_xlfn.XLOOKUP(B145,'Base stats'!B:B,'Base stats'!AX:AX))+_xlfn.XLOOKUP(B145,'Base stats'!B:B,'Base stats'!AV:AV)+0.5,0.5))</f>
        <v>No</v>
      </c>
      <c r="S145" s="7" t="str">
        <f>IF(R145="No","No",MAX(_xlfn.XLOOKUP(_xlfn.XLOOKUP(B145,'Base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T145" s="7" t="str">
        <f>IF(R145="No","No",_xlfn.XLOOKUP(_xlfn.XLOOKUP(B145,'Base stats'!B:B,'Base stats'!E:E),Groups!A:A,Groups!R:R))</f>
        <v>No</v>
      </c>
      <c r="U145" s="7" t="str">
        <f>IF(R145="No","No",_xlfn.XLOOKUP(_xlfn.XLOOKUP(B145,'Base stats'!B:B,'Base stats'!E:E),Groups!A:A,Groups!S:S))</f>
        <v>No</v>
      </c>
      <c r="V145" s="7" t="str">
        <f>IF(R145="No","No",_xlfn.XLOOKUP(_xlfn.XLOOKUP(B145,'Base stats'!B:B,'Base stats'!E:E),Groups!A:A,Groups!T:T))</f>
        <v>No</v>
      </c>
      <c r="W145" s="13" t="str">
        <f>IF(_xlfn.XLOOKUP(B145,'Base stats'!B:B,'Base stats'!W:W)="No","No",MROUND((LOG10(_xlfn.XLOOKUP(B145,'Base stats'!B:B,'Base stats'!AR:AR))*(AN145^0.5)+(_xlfn.XLOOKUP(B145,'Base stats'!B:B,'Base stats'!AR:AR)/1000)^(2/3)+_xlfn.XLOOKUP(B145,'Base stats'!B:B,'Base stats'!AW:AW))+0.5+IF(_xlfn.XLOOKUP(_xlfn.XLOOKUP(B145,'Base stats'!B:B,'Base stats'!E:E),Groups!A:A,Groups!U:U)&lt;&gt;3,_xlfn.XLOOKUP(B145,'Base stats'!B:B,'Base stats'!AX:AX),0),0.5))</f>
        <v>No</v>
      </c>
      <c r="X145" s="7" t="str">
        <f>IF(W145="No","No",MAX(_xlfn.XLOOKUP(_xlfn.XLOOKUP(B145,'Base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Y145" s="7" t="str">
        <f>IF(W145="No","No",_xlfn.XLOOKUP(_xlfn.XLOOKUP(B145,'Base stats'!B:B,'Base stats'!E:E),Groups!A:A,Groups!W:W))</f>
        <v>No</v>
      </c>
      <c r="Z145" s="7" t="str">
        <f>IF(W145="No","No",_xlfn.XLOOKUP(_xlfn.XLOOKUP(B145,'Base stats'!B:B,'Base stats'!E:E),Groups!A:A,Groups!X:X))</f>
        <v>No</v>
      </c>
      <c r="AA145" s="7" t="str">
        <f>IF(W145="No","No",_xlfn.XLOOKUP(_xlfn.XLOOKUP(B145,'Base stats'!B:B,'Base stats'!E:E),Groups!A:A,Groups!Y:Y))</f>
        <v>No</v>
      </c>
      <c r="AB145" s="7" t="str">
        <f>_xlfn.XLOOKUP(Animals!B145,'Base stats'!B:B,'Base stats'!X:X)</f>
        <v>False</v>
      </c>
      <c r="AC145" s="13">
        <f>IF(_xlfn.XLOOKUP(B145,'Base stats'!B:B,'Base stats'!AQ:AQ)="No","No",MROUND((LOG10(_xlfn.XLOOKUP(B145,'Base stats'!B:B,'Base stats'!AQ:AQ))*(AN145^0.75)+(_xlfn.XLOOKUP(B145,'Base stats'!B:B,'Base stats'!AQ:AQ)/1000)^(2/3)+_xlfn.XLOOKUP(B145,'Base stats'!B:B,'Base stats'!AU:AU)+_xlfn.XLOOKUP(B145,'Base stats'!B:B,'Base stats'!AX:AX))+0.5,0.5))</f>
        <v>9</v>
      </c>
      <c r="AD145" s="7">
        <f>IF(AC145="No","No",MAX(_xlfn.XLOOKUP(_xlfn.XLOOKUP(B145,'Base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E145" s="7" t="str">
        <f>IF(AC145="No","No",_xlfn.XLOOKUP(_xlfn.XLOOKUP(B145,'Base stats'!B:B,'Base stats'!E:E),Groups!A:A,Groups!AA:AA))</f>
        <v>Teeth</v>
      </c>
      <c r="AF145" s="7" t="str">
        <f>IF(AC145="No","No",_xlfn.XLOOKUP(_xlfn.XLOOKUP(B145,'Base stats'!B:B,'Base stats'!E:E),Groups!A:A,Groups!AB:AB))</f>
        <v>canines</v>
      </c>
      <c r="AG145" s="7" t="str">
        <f>IF(AC145="No","No",_xlfn.XLOOKUP(_xlfn.XLOOKUP(B145,'Base stats'!B:B,'Base stats'!E:E),Groups!A:A,Groups!AC:AC))</f>
        <v>Bite</v>
      </c>
      <c r="AH145" s="13" t="str">
        <f>IF(_xlfn.XLOOKUP(_xlfn.XLOOKUP(B145,'Base stats'!B:B,'Base stats'!E:E),Groups!A:A,Groups!AD:AD)=0,"No",MROUND((LOG10(_xlfn.XLOOKUP(B145,'Base stats'!B:B,'Base stats'!AP:AP))*(AN145^0.75)+(_xlfn.XLOOKUP(B145,'Base stats'!B:B,'Base stats'!AP:AP)/1000)^(2/3)+_xlfn.XLOOKUP(B145,'Base stats'!B:B,'Base stats'!AV:AV)+_xlfn.XLOOKUP(B145,'Base stats'!B:B,'Base stats'!AX:AX))+0.5,0.5))</f>
        <v>No</v>
      </c>
      <c r="AI145" s="7" t="str">
        <f>IF(AH145="No","No",MAX(_xlfn.XLOOKUP(_xlfn.XLOOKUP(B145,'Base stats'!B:B,'Base stats'!E:E),Groups!A:A,Groups!AE:AE),MROUND(_xlfn.XLOOKUP(_xlfn.XLOOKUP(B145,'Base stats'!B:B,'Base stats'!E:E),Groups!A:A,Groups!AE:AE)*_xlfn.XLOOKUP(B145,'Base stats'!B:B,'Base stats'!C:C)^0.165,0.05)))</f>
        <v>No</v>
      </c>
      <c r="AJ145" s="7" t="str">
        <f>IF(AH145="No","No",_xlfn.XLOOKUP(_xlfn.XLOOKUP(B145,'Base stats'!B:B,'Base stats'!E:E),Groups!A:A,Groups!AF:AF))</f>
        <v>No</v>
      </c>
      <c r="AK145" s="7" t="str">
        <f>IF(AH145="No","No",_xlfn.XLOOKUP(_xlfn.XLOOKUP(B145,'Base stats'!B:B,'Base stats'!E:E),Groups!A:A,Groups!AG:AG))</f>
        <v>No</v>
      </c>
      <c r="AL145" s="7" t="str">
        <f>IF(AH145="No","No",_xlfn.XLOOKUP(_xlfn.XLOOKUP(B145,'Base stats'!B:B,'Base stats'!E:E),Groups!A:A,Groups!AH:AH))</f>
        <v>No</v>
      </c>
      <c r="AM145" s="2">
        <f t="shared" si="14"/>
        <v>20</v>
      </c>
      <c r="AN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O145" s="8">
        <f>MROUND(AN145*_xlfn.XLOOKUP(_xlfn.XLOOKUP(B145,'Base stats'!B:B,'Base stats'!E:E),Groups!A:A,Groups!AI:AI),0.05)</f>
        <v>0.8</v>
      </c>
      <c r="AP145" s="8">
        <f>MAX(0.01,MROUND(IF(CA145="True",0.196*(AN145*100*1000)^0.889,IF(_xlfn.XLOOKUP(_xlfn.XLOOKUP(B145,'Base stats'!B:B,'Base stats'!E:E),Groups!A:A,Groups!AJ:AJ)="Bird",10.5*(AN145*100*1000)^0.681,4.82*(AN145*100*1000)^0.734))/(4.82*(1*100*1000)^0.734)/IF(AN145&lt;3.5,2,IF(AN145=3.5,1.5,1.25))*(1+0.132282374779864/(AN145^0.994035016789033+0.00905238001496948)),0.05))</f>
        <v>0.45</v>
      </c>
      <c r="AQ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R145" s="35">
        <f>IFERROR(IF(_xlfn.XLOOKUP(B145,'Base stats'!B:B,'Base stats'!F:F)="Lay eggs","Lay eggs",MIN(20,MAX(5.5,ROUND(((_xlfn.XLOOKUP(B145,'Base stats'!B:B,'Base stats'!F:F)-25)*(14.5/615) + 5.5)*2,0)/2))),"Cannot breed")</f>
        <v>6.5</v>
      </c>
      <c r="AS145" s="8">
        <f>IF(OR(A145="Queen",A145="Larva",A145="Megachicken"),"No",IFERROR(MAX(IF(_xlfn.XLOOKUP(B145,'Base stats'!B:B,'Base stats'!G:G)&lt;0.5,0.2,0.3),MROUND(_xlfn.XLOOKUP(B145,'Base stats'!B:B,'Base stats'!G:G)/(365/60),0.2)),"Unknown"))</f>
        <v>0.3</v>
      </c>
      <c r="AT145" s="8">
        <f t="shared" si="15"/>
        <v>0.15000000000000002</v>
      </c>
      <c r="AU145" s="8">
        <f>IFERROR(IFERROR(MROUND(_xlfn.XLOOKUP(B145,'Base stats'!B:B,'Base stats'!J:J),0.1),"Lay eggs"),"Cannot breed")</f>
        <v>6</v>
      </c>
      <c r="AV145" s="2" t="str">
        <f t="shared" si="16"/>
        <v>true</v>
      </c>
      <c r="AW145" s="2" t="str">
        <f>IF(_xlfn.XLOOKUP(_xlfn.XLOOKUP(Animals!B145,'Base stats'!B:B,'Base stats'!E:E),Groups!A:A,Groups!AK:AK)=1,"true","false")</f>
        <v>false</v>
      </c>
      <c r="AX145" s="25" t="str">
        <f>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</f>
        <v>OmnivoreAnimal, OvivoreAnimal</v>
      </c>
      <c r="AY145" s="2" t="str">
        <f>IF(_xlfn.XLOOKUP(_xlfn.XLOOKUP(B145,'Base stats'!B:B,'Base stats'!E:E),Groups!A:A,Groups!D:D)=1,MROUND((1-I145)*5+1,2)*IF(I145&lt;=0.4,2,1),"No")</f>
        <v>No</v>
      </c>
      <c r="AZ145" s="2" t="str">
        <f>_xlfn.XLOOKUP(B145,'Base stats'!B:B,'Base stats'!AE:AE)</f>
        <v>Leather_Dog</v>
      </c>
      <c r="BA145" s="23" t="str">
        <f>_xlfn.XLOOKUP(_xlfn.XLOOKUP(B145,'Base stats'!B:B,'Base stats'!E:E),Groups!A:A,Groups!AL:AL)</f>
        <v>QuadrupedAnimalWithPawsAndTail</v>
      </c>
      <c r="BB145" s="23">
        <f>MROUND(IF(AND(AN145&lt;0.5,_xlfn.XLOOKUP(B145,'Base stats'!B:B,'Base stats'!Z:Z)=0),0,IF(OR(_xlfn.XLOOKUP(Animals!B145,'Base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stats'!AA:AA),0.005)</f>
        <v>0</v>
      </c>
      <c r="BC145" s="23">
        <f>MROUND(IF(AND(AN145&lt;0.5,_xlfn.XLOOKUP(B145,'Base stats'!B:B,'Base stats'!Z:Z)=0),0,IF(_xlfn.XLOOKUP(_xlfn.XLOOKUP(B145,'Base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stats'!AB:AB),0.005)</f>
        <v>0.1</v>
      </c>
      <c r="BD145" s="2">
        <f>IF(I145&gt;0.3,"No",_xlfn.XLOOKUP(_xlfn.XLOOKUP(Animals!B145,'Base stats'!B:B,'Base stats'!E:E),Groups!A:A,Groups!AP:AP))</f>
        <v>1</v>
      </c>
      <c r="BE145" s="2">
        <f>IF(AND(I145&lt;=0.65,_xlfn.XLOOKUP(_xlfn.XLOOKUP(Animals!B145,'Base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stats'!O:O)=2,0.2,AN145) + 24*(1-IF(BD145="No",0,BD145)) + 16/3, 12),"No")</f>
        <v>12</v>
      </c>
      <c r="BF145" s="2">
        <f>IF(AND(_xlfn.XLOOKUP(_xlfn.XLOOKUP(B145,'Base stats'!B:B,'Base stats'!E:E),Groups!A:A,Groups!AQ:AQ)=1,AN145&lt;=0.35),8,12)</f>
        <v>12</v>
      </c>
      <c r="BG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H145" s="2" t="str">
        <f>IF(AND(_xlfn.XLOOKUP(_xlfn.XLOOKUP(B145,'Base stats'!B:B,'Base stats'!E:E),Groups!A:A,Groups!AS:AS)=1,OR('Base stats'!Y145="Carnivore",'Base stats'!Y145="Omnivore")),"true","false")</f>
        <v>true</v>
      </c>
      <c r="BI145" s="2">
        <f>IF(BH145="true",MROUND(IF(AND(AN145&gt;0.5,_xlfn.XLOOKUP(_xlfn.XLOOKUP(B145,'Base stats'!B:B,'Base stats'!E:E),Groups!A:A,Groups!AJ:AJ)="Mammal"),Animals!AN145*1.75*IF(AV145="true",1.5,1),Animals!AN145),IF(AN145&gt;2,0.5,IF(AN145&gt;0.5,0.25,0.1))),"No")</f>
        <v>1.75</v>
      </c>
      <c r="BJ145" s="2">
        <f t="shared" si="17"/>
        <v>1</v>
      </c>
      <c r="BK145" s="25" t="str">
        <f>IF('Base stats'!AK145="Standard","No",MROUND((_xlfn.XLOOKUP(B145,'Base stats'!B:B,'Base stats'!AK:AK)/3.6)/H145,0.1))</f>
        <v>No</v>
      </c>
      <c r="BL145" s="25" t="str">
        <f t="shared" si="18"/>
        <v>false</v>
      </c>
      <c r="BM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N145" s="25" t="str" cm="1">
        <f t="array" ref="BN145">IF(
  _xlfn.TEXTJOIN(", ",TRUE,
    IF(AND(BH145="true",AN145&gt;0.5,BG145&lt;&gt;"None"),"AttackTarget",""),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IF(BE145&lt;=36,"Comfort",""),
    IF(_xlfn.XLOOKUP(B145,'Base stats'!B:B,'Base stats'!AC:AC)&lt;&gt;"No",_xlfn.XLOOKUP(B145,'Base stats'!B:B,'Base stats'!AC:AC),"")
  ) = "",
  "No",
  _xlfn.TEXTJOIN(", ",TRUE,
    IF(AND(BH145="true",AN145&gt;0.5,BG145&lt;&gt;"None"),"AttackTarget",""),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IF(BE145&lt;=36,"Comfort",""),
    IF(_xlfn.XLOOKUP(B145,'Base stats'!B:B,'Base stats'!AC:AC)&lt;&gt;"No",_xlfn.XLOOKUP(B145,'Base stats'!B:B,'Base stats'!AC:AC),"")
  )
)</f>
        <v>AttackTarget, Forage, Comfort</v>
      </c>
      <c r="BO145" s="25" t="str">
        <f>IF(
   AND(
      'Base stats'!AK145="Standard",_xlfn.XLOOKUP(_xlfn.XLOOKUP(B145,'Base stats'!B:B,'Base stats'!E:E),Groups!A:A,Groups!AU:AU)=0,
      OR(
      BM145="True"
      )
   ),
   10,
   IF(
       OR(BK145&lt;&gt;"No",_xlfn.XLOOKUP(_xlfn.XLOOKUP(B145,'Base stats'!B:B,'Base stats'!E:E),Groups!A:A,Groups!AU:AU)=1),
      1,
      "No"
   )
)</f>
        <v>No</v>
      </c>
      <c r="BP145" s="9">
        <f>MROUND((1 + ((0.2*IF(OR(P145="No",Q145="No",Q145=0),0,P145/Q145)
+IF(OR(U145="No",R145="No",S145="No"),0,R145/S145*(LEN(U145)-LEN(SUBSTITUTE(U145,",",""))+1))
+IF(OR(W145="No",X145="No"),0,W145/X145)
+IF(OR(AC145="No",AD145="No"),0,AC145/AD145)
+IF(OR(AK145="No",AH145="No",AI145="No"),0,AH145/AI145*(LEN(AK145)-LEN(SUBSTITUTE(AK145,",",""))+1))
)/(0.2*IF(OR(P145="No",Q145="No",Q145=0),0,1)
+IF(OR(U145="No",R145="No",S145="No"),0,LEN(U145)-LEN(SUBSTITUTE(U145,",",""))+1)
+IF(OR(W145="No",X145="No"),0,1)
+IF(OR(AC145="No",AD145="No"),0,1)
+IF(OR(AK145="No",AH145="No",AI145="No"),0,LEN(AK145)-LEN(SUBSTITUTE(AK145,",",""))+1))*62%)* 2)*(1 + (AO145 + _xlfn.XLOOKUP(B145,'Base stats'!B:B,'Base stats'!AS:AS) * 1.8) * 2) * 2.5 + 10 + H145 * 2,5)+IF(_xlfn.XLOOKUP(B145,'Base stats'!B:B,'Base stats'!AH:AH)=1,50,0)</f>
        <v>80</v>
      </c>
      <c r="BQ145" s="8">
        <f t="shared" si="19"/>
        <v>0.5</v>
      </c>
      <c r="BR145" s="8" t="str">
        <f>_xlfn.XLOOKUP(B145,'Base stats'!B:B,'Base stats'!AD:AD)</f>
        <v>2~4</v>
      </c>
      <c r="BS145" s="2" t="str">
        <f>IF(AND(I145&lt;=0.95,OR(_xlfn.XLOOKUP(B145,'Base stats'!B:B,'Base stats'!AH:AH)=1,_xlfn.XLOOKUP(B145,'Base stats'!B:B,'Base stats'!Y:Y)="Carnivore",_xlfn.XLOOKUP(B145,'Base stats'!B:B,'Base stats'!Y:Y)="Omnivore",BC145&gt;0.1)),"true","false")</f>
        <v>true</v>
      </c>
      <c r="BT145" s="2" t="str">
        <f>IF(_xlfn.XLOOKUP(B145,'Base stats'!B:B,'Base stats'!AF:AF)=1,"true","false")</f>
        <v>false</v>
      </c>
      <c r="BU145" s="25" t="str">
        <f>IF(E145="BaseInsect","AnimalInsect",
IF(I145&gt;0.95,"AnimalExotic",
_xlfn.TEXTJOIN(", ",TRUE,
IF(AND(_xlfn.XLOOKUP(B145,'Base stats'!B:B,'Base stats'!O:O)=0,_xlfn.XLOOKUP(_xlfn.XLOOKUP(B145,'Base stats'!B:B,'Base stats'!E:E),Groups!A:A,Groups!B:B)&gt;0),"AnimalUncommon","AnimalCommon"),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stats'!AH:AH)=1,AND(BG145&lt;&gt;"None",BP145&gt;=60),ISNUMBER(SEARCH("Attack target",BN145))),"AnimalFighter","")
)))</f>
        <v>AnimalCommon, AnimalPet, AnimalFighter</v>
      </c>
      <c r="BV145" s="25" t="str">
        <f>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</f>
        <v/>
      </c>
      <c r="BW145" s="25" t="str">
        <f>IF(_xlfn.XLOOKUP(B145,'Base stats'!B:B,'Base stats'!AG:AG)=1,"true","false")</f>
        <v>false</v>
      </c>
      <c r="BX145" s="25">
        <f>IF(_xlfn.XLOOKUP(B145,'Base stats'!B:B,'Base stats'!N:N)=1,"No",MIN(MROUND(IF(OR(_xlfn.XLOOKUP(B145,'Base stats'!B:B,'Base stats'!AJ:AJ)=1,AND(BH145="True",CA145="False")),POWER(10,3.47*LOG10(_xlfn.XLOOKUP(B145,'Base stats'!B:B,'Base stats'!C:C)*1000)^-0.96),POWER(10,4.15*LOG10(_xlfn.XLOOKUP(B145,'Base stats'!B:B,'Base stats'!C:C)*1000)^-0.73))*IF(OR(_xlfn.XLOOKUP(B145,'Base stats'!B:B,'Base stats'!AJ:AJ)=1,_xlfn.XLOOKUP(B145,'Base stats'!B:B,'Base stats'!AH:AH)=1),0.5,1)/100,0.025),1))</f>
        <v>7.5000000000000011E-2</v>
      </c>
      <c r="BY145" s="25" t="str">
        <f>IF(O145="Standard","No",IF(_xlfn.XLOOKUP(B145,'Base stats'!B:B,'Base stats'!N:N)=0,MROUND(BX145*O145,0.05),MIN(1,MAX(0.025,MROUND(IF(OR(CA145="true",AND(BH145="false",BM145="false")),POWER(10,4.15*LOG10(_xlfn.XLOOKUP(B145,'Base stats'!B:B,'Base stats'!C:C)*1000)^-0.73),POWER(10,3.47*LOG10(_xlfn.XLOOKUP(B145,'Base stats'!B:B,'Base stats'!C:C)*1000)^-0.96))*IF(_xlfn.XLOOKUP(B145,'Base stats'!B:B,'Base stats'!AH:AH)=1,0.5,1)/100,0.025)))))</f>
        <v>No</v>
      </c>
      <c r="BZ145" s="25" t="str">
        <f>IF(_xlfn.XLOOKUP(_xlfn.XLOOKUP(B145,'Base stats'!B:B,'Base stats'!E:E),Groups!A:A,Groups!AJ:AJ)="Mammal","True","False")</f>
        <v>True</v>
      </c>
      <c r="CA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B145" s="25" t="str">
        <f t="shared" si="20"/>
        <v>False</v>
      </c>
      <c r="CC145" s="25" t="str">
        <f>IF(_xlfn.XLOOKUP(_xlfn.XLOOKUP(B145,'Base stats'!B:B,'Base stats'!E:E),Groups!A:A,Groups!AW:AW),"True","False")</f>
        <v>False</v>
      </c>
      <c r="CD145" s="25" t="str">
        <f>IF(_xlfn.XLOOKUP(_xlfn.XLOOKUP(B145,'Base stats'!B:B,'Base stats'!E:E),Groups!A:A,Groups!AX:AX),"True","False")</f>
        <v>False</v>
      </c>
      <c r="CE145" s="25" t="str">
        <f>IF(_xlfn.XLOOKUP(B145,'Base stats'!B:B,'Base stats'!E:E)=1,"True","False")</f>
        <v>False</v>
      </c>
      <c r="CF145" s="25" t="str">
        <f>IF(
OR(
_xlfn.XLOOKUP(_xlfn.XLOOKUP(B145,'Base stats'!B:B,'Base stats'!E:E),Groups!A:A,Groups!AY:AY)=0,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stats'!E:E),Groups!A:A,Groups!AY:AY)=1,
"Flesh",
IF(
_xlfn.XLOOKUP(_xlfn.XLOOKUP(B145,'Base stats'!B:B,'Base stats'!E:E),Groups!A:A,Groups!AY:AY)=2,
"Bone",
""
)
)
)</f>
        <v>No</v>
      </c>
      <c r="CG145" s="25" t="str">
        <f>IF(_xlfn.XLOOKUP(_xlfn.XLOOKUP(B145,'Base stats'!B:B,'Base stats'!E:E),Groups!A:A,Groups!BA:BA),"True","False")</f>
        <v>True</v>
      </c>
      <c r="CH145" s="25" t="str">
        <f>IF(_xlfn.XLOOKUP(_xlfn.XLOOKUP(B145,'Base stats'!B:B,'Base stats'!E:E),Groups!A:A,Groups!AZ:AZ),"True","False")</f>
        <v>False</v>
      </c>
    </row>
    <row r="146" spans="1:86" ht="16.5" thickTop="1" thickBot="1" x14ac:dyDescent="0.3">
      <c r="A146" s="26" t="str">
        <f>_xlfn.XLOOKUP(B146,'Base stats'!B:B,'Base stats'!A:A)</f>
        <v>Pug</v>
      </c>
      <c r="B146" s="6" t="s">
        <v>911</v>
      </c>
      <c r="C146" s="28" t="s">
        <v>839</v>
      </c>
      <c r="D146" s="28" t="s">
        <v>884</v>
      </c>
      <c r="E146" s="28" t="s">
        <v>685</v>
      </c>
      <c r="F146" s="28" t="s">
        <v>685</v>
      </c>
      <c r="G146" s="2">
        <f>MROUND((
  (IF(AND(_xlfn.XLOOKUP(B146,'Base stats'!B:B,'Base stats'!AI:AI)=0,BG146="None",_xlfn.XLOOKUP('Base stats'!E146,Groups!A:A,Groups!B:B)=0), (18 + BP146 * 2.7) * 0.5,
    IF(AND(_xlfn.XLOOKUP(B146,'Base stats'!B:B,'Base stats'!AI:AI)=0,OR(AN146&lt;0.55,AND(BG146="Intermediate",_xlfn.XLOOKUP('Base stats'!E146,Groups!A:A,Groups!B:B)&lt;2))), (18 + BP146 * 2.7),
      IF(OR(BG146="Advanced",_xlfn.XLOOKUP(B146,'Base stats'!B:B,'Base stats'!AI:AI)=1,_xlfn.XLOOKUP('Base stats'!E146,Groups!A:A,Groups!B:B)=2), (18 + BP146 * 2.7) + 250, (18 + BP146 * 2.7))
    )
  ))
  + AN146 * 80
  + IF(COUNTIF(EggMilk!K$2:K$998, A146) &gt; 0, 125, 0)
  + IF(COUNTIF(EggMilk!P$2:P$998, A146) &gt; 0, 90, 0)
  + IF(COUNTIF(EggMilk!A$2:A$998, A146) &gt; 0, 90, 0)
)
* (0.8 + 0.4 * I146)
* 0.75,25)</f>
        <v>100</v>
      </c>
      <c r="H146" s="2">
        <f>MROUND(ROUNDDOWN(_xlfn.XLOOKUP(B146,'Base stats'!B:B,'Base stats'!L:L)/3.6/(23.3/11),1),0.5)</f>
        <v>6</v>
      </c>
      <c r="I146" s="2">
        <f>IF(_xlfn.XLOOKUP(B146,'Base stats'!B:B,'Base stats'!AI:AI)=1,0.99,MIN(MROUND((1-0.6282*EXP(-0.459*AN146))*_xlfn.XLOOKUP(_xlfn.XLOOKUP(B146,'Base stats'!B:B,'Base stats'!E:E),Groups!A:A,Groups!C:C)*IF(_xlfn.XLOOKUP(B146,'Base stats'!B:B,'Base stats'!O:O)=1,0.5,IF(_xlfn.XLOOKUP(B146,'Base stats'!B:B,'Base stats'!O:O)=2,0,1)),0.05),0.985))</f>
        <v>0</v>
      </c>
      <c r="J146" s="2">
        <f>ROUNDUP(AN146*_xlfn.XLOOKUP(_xlfn.XLOOKUP(B146,'Base stats'!B:B,'Base stats'!E:E),Groups!A:A,Groups!E:E),0)</f>
        <v>1</v>
      </c>
      <c r="K146" s="2">
        <f>IF(OR(_xlfn.XLOOKUP(_xlfn.XLOOKUP(B146,'Base stats'!B:B,'Base stats'!E:E),Groups!A:A,Groups!F:F)=2,ISNUMBER(SEARCH("SeaIce",BV146)),ISNUMBER(SEARCH("IceSheet",BV146))),-50,IF(OR(ISNUMBER(SEARCH("GlacialPlain",BV146)),ISNUMBER(SEARCH("Tundra",BV146))),-40,IF(OR(ISNUMBER(SEARCH("Alpine",BV146)),ISNUMBER(SEARCH("BorealForest",BV146)),ISNUMBER(SEARCH("ColdBog",BV146))),-30,IF(OR(ISNUMBER(SEARCH("TemperateForest",BV146)),ISNUMBER(SEARCH("TemperateSwamp",BV146))),-20,IF(_xlfn.XLOOKUP(_xlfn.XLOOKUP(B146,'Base stats'!B:B,'Base stats'!E:E),Groups!A:A,Groups!F:F)=1,-15,IF(OR(ISNUMBER(SEARCH("Desert",BV146)),ISNUMBER(SEARCH("ExtremeDesert",BV146))),-10,IF(OR(ISNUMBER(SEARCH("Grasslands",BV146)),ISNUMBER(SEARCH("TropicalRainforest",BV146)),ISNUMBER(SEARCH("TropicalSwamp",BV146))),10,0)))))))-IF(CA146="False",MIN(IFERROR(MAX(MROUND(LOG10(_xlfn.XLOOKUP(B146,'Base stats'!B:B,'Base stats'!C:C)^(2/3))*10,5),5),5),30))-_xlfn.XLOOKUP(B146,'Base stats'!B:B,'Base stats'!P:P)+IF(CA146="True",5,0)</f>
        <v>-20</v>
      </c>
      <c r="L146" s="2">
        <f>IF(OR(_xlfn.XLOOKUP(_xlfn.XLOOKUP(B146,'Base stats'!B:B,'Base stats'!E:E),Groups!A:A,Groups!G:G)=2,ISNUMBER(SEARCH("Desert",BV146)),ISNUMBER(SEARCH("ExtremeDesert",BV146)),ISNUMBER(SEARCH("LavaField",BV146))),50,IF(ISNUMBER(SEARCH("Grasslands",BV146)),45,IF(OR(_xlfn.XLOOKUP(_xlfn.XLOOKUP(B146,'Base stats'!B:B,'Base stats'!E:E),Groups!A:A,Groups!G:G)=1,ISNUMBER(SEARCH("TropicalRainforest",BV146)),ISNUMBER(SEARCH("TropicalSwamp",BV146))),40,IF(OR(ISNUMBER(SEARCH("TemperateForest",BV146)),ISNUMBER(SEARCH("TemperateSwamp",BV146))),35,IF(OR(ISNUMBER(SEARCH("Alpine",BV146)),ISNUMBER(SEARCH("BorealForest",BV146)),ISNUMBER(SEARCH("ColdBog",BV146))),30,IF(ISNUMBER(OR(ISNUMBER(SEARCH("GlacialPlain",BV146)),SEARCH("Tundra",BV146))),25,IF(OR(ISNUMBER(SEARCH("SeaIce",BV146)),ISNUMBER(SEARCH("IceSheet",BV146)),ISNUMBER(SEARCH("TropicalSwamp",BV146))),10,35)))))))+_xlfn.XLOOKUP(B146,'Base stats'!B:B,'Base stats'!Q:Q)</f>
        <v>35</v>
      </c>
      <c r="M146" s="8" t="str">
        <f>IF(_xlfn.XLOOKUP(_xlfn.XLOOKUP(B146,'Base stats'!B:B,'Base stats'!E:E),Groups!A:A,Groups!L:L)=1,MIN(MROUND(_xlfn.XLOOKUP(B146,'Animals CE'!B:B,'Animals CE'!Z:Z)/2+0.05,0.05),200%),"No")</f>
        <v>No</v>
      </c>
      <c r="N146" s="8" t="str">
        <f>IF(_xlfn.XLOOKUP(_xlfn.XLOOKUP(B146,'Base stats'!B:B,'Base stats'!E:E),Groups!A:A,Groups!L:L)=1,MIN(MROUND(_xlfn.XLOOKUP(B146,'Animals CE'!B:B,'Animals CE'!AA:AA)/2+0.05,0.05),200%),"No")</f>
        <v>No</v>
      </c>
      <c r="O146" s="2" t="str">
        <f>_xlfn.XLOOKUP(B146,'Base stats'!B:B,'Base stats'!R:R)</f>
        <v>Standard</v>
      </c>
      <c r="P146" s="13">
        <f>MROUND((LOG10(_xlfn.XLOOKUP(B146,'Base stats'!B:B,'Base stats'!AO:AO))*(AN146^0.5)+(_xlfn.XLOOKUP(B146,'Base stats'!B:B,'Base stats'!AO:AO)/1000)^(2/3)+_xlfn.XLOOKUP(B146,'Base stats'!B:B,'Base stats'!AX:AX)/2)+0.5,0.5)</f>
        <v>3</v>
      </c>
      <c r="Q146" s="7">
        <f>IF(P146="No","No",MAX(1,MROUND(_xlfn.XLOOKUP(B146,'Base stats'!B:B,'Base stats'!C:C)^0.165,0.05)))</f>
        <v>1.4000000000000001</v>
      </c>
      <c r="R146" s="13" t="str">
        <f>IF(_xlfn.XLOOKUP(_xlfn.XLOOKUP(B146,'Base stats'!B:B,'Base stats'!E:E),Groups!A:A,Groups!P:P)=0,"No",MROUND((LOG10(_xlfn.XLOOKUP(B146,'Base stats'!B:B,'Base stats'!AP:AP))*(AN146^0.5)+(_xlfn.XLOOKUP(B146,'Base stats'!B:B,'Base stats'!AP:AP)/1000)^(2/3)+_xlfn.XLOOKUP(B146,'Base stats'!B:B,'Base stats'!AX:AX))+_xlfn.XLOOKUP(B146,'Base stats'!B:B,'Base stats'!AV:AV)+0.5,0.5))</f>
        <v>No</v>
      </c>
      <c r="S146" s="7" t="str">
        <f>IF(R146="No","No",MAX(_xlfn.XLOOKUP(_xlfn.XLOOKUP(B146,'Base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T146" s="7" t="str">
        <f>IF(R146="No","No",_xlfn.XLOOKUP(_xlfn.XLOOKUP(B146,'Base stats'!B:B,'Base stats'!E:E),Groups!A:A,Groups!R:R))</f>
        <v>No</v>
      </c>
      <c r="U146" s="7" t="str">
        <f>IF(R146="No","No",_xlfn.XLOOKUP(_xlfn.XLOOKUP(B146,'Base stats'!B:B,'Base stats'!E:E),Groups!A:A,Groups!S:S))</f>
        <v>No</v>
      </c>
      <c r="V146" s="7" t="str">
        <f>IF(R146="No","No",_xlfn.XLOOKUP(_xlfn.XLOOKUP(B146,'Base stats'!B:B,'Base stats'!E:E),Groups!A:A,Groups!T:T))</f>
        <v>No</v>
      </c>
      <c r="W146" s="13" t="str">
        <f>IF(_xlfn.XLOOKUP(B146,'Base stats'!B:B,'Base stats'!W:W)="No","No",MROUND((LOG10(_xlfn.XLOOKUP(B146,'Base stats'!B:B,'Base stats'!AR:AR))*(AN146^0.5)+(_xlfn.XLOOKUP(B146,'Base stats'!B:B,'Base stats'!AR:AR)/1000)^(2/3)+_xlfn.XLOOKUP(B146,'Base stats'!B:B,'Base stats'!AW:AW))+0.5+IF(_xlfn.XLOOKUP(_xlfn.XLOOKUP(B146,'Base stats'!B:B,'Base stats'!E:E),Groups!A:A,Groups!U:U)&lt;&gt;3,_xlfn.XLOOKUP(B146,'Base stats'!B:B,'Base stats'!AX:AX),0),0.5))</f>
        <v>No</v>
      </c>
      <c r="X146" s="7" t="str">
        <f>IF(W146="No","No",MAX(_xlfn.XLOOKUP(_xlfn.XLOOKUP(B146,'Base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Y146" s="7" t="str">
        <f>IF(W146="No","No",_xlfn.XLOOKUP(_xlfn.XLOOKUP(B146,'Base stats'!B:B,'Base stats'!E:E),Groups!A:A,Groups!W:W))</f>
        <v>No</v>
      </c>
      <c r="Z146" s="7" t="str">
        <f>IF(W146="No","No",_xlfn.XLOOKUP(_xlfn.XLOOKUP(B146,'Base stats'!B:B,'Base stats'!E:E),Groups!A:A,Groups!X:X))</f>
        <v>No</v>
      </c>
      <c r="AA146" s="7" t="str">
        <f>IF(W146="No","No",_xlfn.XLOOKUP(_xlfn.XLOOKUP(B146,'Base stats'!B:B,'Base stats'!E:E),Groups!A:A,Groups!Y:Y))</f>
        <v>No</v>
      </c>
      <c r="AB146" s="7" t="str">
        <f>_xlfn.XLOOKUP(Animals!B146,'Base stats'!B:B,'Base stats'!X:X)</f>
        <v>False</v>
      </c>
      <c r="AC146" s="13">
        <f>IF(_xlfn.XLOOKUP(B146,'Base stats'!B:B,'Base stats'!AQ:AQ)="No","No",MROUND((LOG10(_xlfn.XLOOKUP(B146,'Base stats'!B:B,'Base stats'!AQ:AQ))*(AN146^0.75)+(_xlfn.XLOOKUP(B146,'Base stats'!B:B,'Base stats'!AQ:AQ)/1000)^(2/3)+_xlfn.XLOOKUP(B146,'Base stats'!B:B,'Base stats'!AU:AU)+_xlfn.XLOOKUP(B146,'Base stats'!B:B,'Base stats'!AX:AX))+0.5,0.5))</f>
        <v>5</v>
      </c>
      <c r="AD146" s="7">
        <f>IF(AC146="No","No",MAX(_xlfn.XLOOKUP(_xlfn.XLOOKUP(B146,'Base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E146" s="7" t="str">
        <f>IF(AC146="No","No",_xlfn.XLOOKUP(_xlfn.XLOOKUP(B146,'Base stats'!B:B,'Base stats'!E:E),Groups!A:A,Groups!AA:AA))</f>
        <v>Teeth</v>
      </c>
      <c r="AF146" s="7" t="str">
        <f>IF(AC146="No","No",_xlfn.XLOOKUP(_xlfn.XLOOKUP(B146,'Base stats'!B:B,'Base stats'!E:E),Groups!A:A,Groups!AB:AB))</f>
        <v>canines</v>
      </c>
      <c r="AG146" s="7" t="str">
        <f>IF(AC146="No","No",_xlfn.XLOOKUP(_xlfn.XLOOKUP(B146,'Base stats'!B:B,'Base stats'!E:E),Groups!A:A,Groups!AC:AC))</f>
        <v>Bite</v>
      </c>
      <c r="AH146" s="13" t="str">
        <f>IF(_xlfn.XLOOKUP(_xlfn.XLOOKUP(B146,'Base stats'!B:B,'Base stats'!E:E),Groups!A:A,Groups!AD:AD)=0,"No",MROUND((LOG10(_xlfn.XLOOKUP(B146,'Base stats'!B:B,'Base stats'!AP:AP))*(AN146^0.75)+(_xlfn.XLOOKUP(B146,'Base stats'!B:B,'Base stats'!AP:AP)/1000)^(2/3)+_xlfn.XLOOKUP(B146,'Base stats'!B:B,'Base stats'!AV:AV)+_xlfn.XLOOKUP(B146,'Base stats'!B:B,'Base stats'!AX:AX))+0.5,0.5))</f>
        <v>No</v>
      </c>
      <c r="AI146" s="7" t="str">
        <f>IF(AH146="No","No",MAX(_xlfn.XLOOKUP(_xlfn.XLOOKUP(B146,'Base stats'!B:B,'Base stats'!E:E),Groups!A:A,Groups!AE:AE),MROUND(_xlfn.XLOOKUP(_xlfn.XLOOKUP(B146,'Base stats'!B:B,'Base stats'!E:E),Groups!A:A,Groups!AE:AE)*_xlfn.XLOOKUP(B146,'Base stats'!B:B,'Base stats'!C:C)^0.165,0.05)))</f>
        <v>No</v>
      </c>
      <c r="AJ146" s="7" t="str">
        <f>IF(AH146="No","No",_xlfn.XLOOKUP(_xlfn.XLOOKUP(B146,'Base stats'!B:B,'Base stats'!E:E),Groups!A:A,Groups!AF:AF))</f>
        <v>No</v>
      </c>
      <c r="AK146" s="7" t="str">
        <f>IF(AH146="No","No",_xlfn.XLOOKUP(_xlfn.XLOOKUP(B146,'Base stats'!B:B,'Base stats'!E:E),Groups!A:A,Groups!AG:AG))</f>
        <v>No</v>
      </c>
      <c r="AL146" s="7" t="str">
        <f>IF(AH146="No","No",_xlfn.XLOOKUP(_xlfn.XLOOKUP(B146,'Base stats'!B:B,'Base stats'!E:E),Groups!A:A,Groups!AH:AH))</f>
        <v>No</v>
      </c>
      <c r="AM146" s="2">
        <f t="shared" si="14"/>
        <v>15</v>
      </c>
      <c r="AN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O146" s="8">
        <f>MROUND(AN146*_xlfn.XLOOKUP(_xlfn.XLOOKUP(B146,'Base stats'!B:B,'Base stats'!E:E),Groups!A:A,Groups!AI:AI),0.05)</f>
        <v>0.4</v>
      </c>
      <c r="AP146" s="8">
        <f>MAX(0.01,MROUND(IF(CA146="True",0.196*(AN146*100*1000)^0.889,IF(_xlfn.XLOOKUP(_xlfn.XLOOKUP(B146,'Base stats'!B:B,'Base stats'!E:E),Groups!A:A,Groups!AJ:AJ)="Bird",10.5*(AN146*100*1000)^0.681,4.82*(AN146*100*1000)^0.734))/(4.82*(1*100*1000)^0.734)/IF(AN146&lt;3.5,2,IF(AN146=3.5,1.5,1.25))*(1+0.132282374779864/(AN146^0.994035016789033+0.00905238001496948)),0.05))</f>
        <v>0.30000000000000004</v>
      </c>
      <c r="AQ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R146" s="35">
        <f>IFERROR(IF(_xlfn.XLOOKUP(B146,'Base stats'!B:B,'Base stats'!F:F)="Lay eggs","Lay eggs",MIN(20,MAX(5.5,ROUND(((_xlfn.XLOOKUP(B146,'Base stats'!B:B,'Base stats'!F:F)-25)*(14.5/615) + 5.5)*2,0)/2))),"Cannot breed")</f>
        <v>6.5</v>
      </c>
      <c r="AS146" s="8">
        <f>IF(OR(A146="Queen",A146="Larva",A146="Megachicken"),"No",IFERROR(MAX(IF(_xlfn.XLOOKUP(B146,'Base stats'!B:B,'Base stats'!G:G)&lt;0.5,0.2,0.3),MROUND(_xlfn.XLOOKUP(B146,'Base stats'!B:B,'Base stats'!G:G)/(365/60),0.2)),"Unknown"))</f>
        <v>0.3</v>
      </c>
      <c r="AT146" s="8">
        <f t="shared" si="15"/>
        <v>0.15000000000000002</v>
      </c>
      <c r="AU146" s="8">
        <f>IFERROR(IFERROR(MROUND(_xlfn.XLOOKUP(B146,'Base stats'!B:B,'Base stats'!J:J),0.1),"Lay eggs"),"Cannot breed")</f>
        <v>6</v>
      </c>
      <c r="AV146" s="2" t="str">
        <f t="shared" si="16"/>
        <v>true</v>
      </c>
      <c r="AW146" s="2" t="str">
        <f>IF(_xlfn.XLOOKUP(_xlfn.XLOOKUP(Animals!B146,'Base stats'!B:B,'Base stats'!E:E),Groups!A:A,Groups!AK:AK)=1,"true","false")</f>
        <v>false</v>
      </c>
      <c r="AX146" s="25" t="str">
        <f>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</f>
        <v>OmnivoreAnimal, OvivoreAnimal</v>
      </c>
      <c r="AY146" s="2" t="str">
        <f>IF(_xlfn.XLOOKUP(_xlfn.XLOOKUP(B146,'Base stats'!B:B,'Base stats'!E:E),Groups!A:A,Groups!D:D)=1,MROUND((1-I146)*5+1,2)*IF(I146&lt;=0.4,2,1),"No")</f>
        <v>No</v>
      </c>
      <c r="AZ146" s="2" t="str">
        <f>_xlfn.XLOOKUP(B146,'Base stats'!B:B,'Base stats'!AE:AE)</f>
        <v>Leather_Dog</v>
      </c>
      <c r="BA146" s="23" t="str">
        <f>_xlfn.XLOOKUP(_xlfn.XLOOKUP(B146,'Base stats'!B:B,'Base stats'!E:E),Groups!A:A,Groups!AL:AL)</f>
        <v>QuadrupedAnimalWithPawsAndTail</v>
      </c>
      <c r="BB146" s="23">
        <f>MROUND(IF(AND(AN146&lt;0.5,_xlfn.XLOOKUP(B146,'Base stats'!B:B,'Base stats'!Z:Z)=0),0,IF(OR(_xlfn.XLOOKUP(Animals!B146,'Base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stats'!AA:AA),0.005)</f>
        <v>0</v>
      </c>
      <c r="BC146" s="23">
        <f>MROUND(IF(AND(AN146&lt;0.5,_xlfn.XLOOKUP(B146,'Base stats'!B:B,'Base stats'!Z:Z)=0),0,IF(_xlfn.XLOOKUP(_xlfn.XLOOKUP(B146,'Base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stats'!AB:AB),0.005)</f>
        <v>0</v>
      </c>
      <c r="BD146" s="2">
        <f>IF(I146&gt;0.3,"No",_xlfn.XLOOKUP(_xlfn.XLOOKUP(Animals!B146,'Base stats'!B:B,'Base stats'!E:E),Groups!A:A,Groups!AP:AP))</f>
        <v>1</v>
      </c>
      <c r="BE146" s="2">
        <f>IF(AND(I146&lt;=0.65,_xlfn.XLOOKUP(_xlfn.XLOOKUP(Animals!B146,'Base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stats'!O:O)=2,0.2,AN146) + 24*(1-IF(BD146="No",0,BD146)) + 16/3, 12),"No")</f>
        <v>12</v>
      </c>
      <c r="BF146" s="2">
        <f>IF(AND(_xlfn.XLOOKUP(_xlfn.XLOOKUP(B146,'Base stats'!B:B,'Base stats'!E:E),Groups!A:A,Groups!AQ:AQ)=1,AN146&lt;=0.35),8,12)</f>
        <v>12</v>
      </c>
      <c r="BG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H146" s="2" t="str">
        <f>IF(AND(_xlfn.XLOOKUP(_xlfn.XLOOKUP(B146,'Base stats'!B:B,'Base stats'!E:E),Groups!A:A,Groups!AS:AS)=1,OR('Base stats'!Y146="Carnivore",'Base stats'!Y146="Omnivore")),"true","false")</f>
        <v>true</v>
      </c>
      <c r="BI146" s="2">
        <f>IF(BH146="true",MROUND(IF(AND(AN146&gt;0.5,_xlfn.XLOOKUP(_xlfn.XLOOKUP(B146,'Base stats'!B:B,'Base stats'!E:E),Groups!A:A,Groups!AJ:AJ)="Mammal"),Animals!AN146*1.75*IF(AV146="true",1.5,1),Animals!AN146),IF(AN146&gt;2,0.5,IF(AN146&gt;0.5,0.25,0.1))),"No")</f>
        <v>0.4</v>
      </c>
      <c r="BJ146" s="2">
        <f t="shared" si="17"/>
        <v>1</v>
      </c>
      <c r="BK146" s="25" t="str">
        <f>IF('Base stats'!AK146="Standard","No",MROUND((_xlfn.XLOOKUP(B146,'Base stats'!B:B,'Base stats'!AK:AK)/3.6)/H146,0.1))</f>
        <v>No</v>
      </c>
      <c r="BL146" s="25" t="str">
        <f t="shared" si="18"/>
        <v>false</v>
      </c>
      <c r="BM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N146" s="25" t="str" cm="1">
        <f t="array" ref="BN146">IF(
  _xlfn.TEXTJOIN(", ",TRUE,
    IF(AND(BH146="true",AN146&gt;0.5,BG146&lt;&gt;"None"),"AttackTarget",""),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IF(BE146&lt;=36,"Comfort",""),
    IF(_xlfn.XLOOKUP(B146,'Base stats'!B:B,'Base stats'!AC:AC)&lt;&gt;"No",_xlfn.XLOOKUP(B146,'Base stats'!B:B,'Base stats'!AC:AC),"")
  ) = "",
  "No",
  _xlfn.TEXTJOIN(", ",TRUE,
    IF(AND(BH146="true",AN146&gt;0.5,BG146&lt;&gt;"None"),"AttackTarget",""),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IF(BE146&lt;=36,"Comfort",""),
    IF(_xlfn.XLOOKUP(B146,'Base stats'!B:B,'Base stats'!AC:AC)&lt;&gt;"No",_xlfn.XLOOKUP(B146,'Base stats'!B:B,'Base stats'!AC:AC),"")
  )
)</f>
        <v>Forage, Comfort</v>
      </c>
      <c r="BO146" s="25" t="str">
        <f>IF(
   AND(
      'Base stats'!AK146="Standard",_xlfn.XLOOKUP(_xlfn.XLOOKUP(B146,'Base stats'!B:B,'Base stats'!E:E),Groups!A:A,Groups!AU:AU)=0,
      OR(
      BM146="True"
      )
   ),
   10,
   IF(
       OR(BK146&lt;&gt;"No",_xlfn.XLOOKUP(_xlfn.XLOOKUP(B146,'Base stats'!B:B,'Base stats'!E:E),Groups!A:A,Groups!AU:AU)=1),
      1,
      "No"
   )
)</f>
        <v>No</v>
      </c>
      <c r="BP146" s="9">
        <f>MROUND((1 + ((0.2*IF(OR(P146="No",Q146="No",Q146=0),0,P146/Q146)
+IF(OR(U146="No",R146="No",S146="No"),0,R146/S146*(LEN(U146)-LEN(SUBSTITUTE(U146,",",""))+1))
+IF(OR(W146="No",X146="No"),0,W146/X146)
+IF(OR(AC146="No",AD146="No"),0,AC146/AD146)
+IF(OR(AK146="No",AH146="No",AI146="No"),0,AH146/AI146*(LEN(AK146)-LEN(SUBSTITUTE(AK146,",",""))+1))
)/(0.2*IF(OR(P146="No",Q146="No",Q146=0),0,1)
+IF(OR(U146="No",R146="No",S146="No"),0,LEN(U146)-LEN(SUBSTITUTE(U146,",",""))+1)
+IF(OR(W146="No",X146="No"),0,1)
+IF(OR(AC146="No",AD146="No"),0,1)
+IF(OR(AK146="No",AH146="No",AI146="No"),0,LEN(AK146)-LEN(SUBSTITUTE(AK146,",",""))+1))*62%)* 2)*(1 + (AO146 + _xlfn.XLOOKUP(B146,'Base stats'!B:B,'Base stats'!AS:AS) * 1.8) * 2) * 2.5 + 10 + H146 * 2,5)+IF(_xlfn.XLOOKUP(B146,'Base stats'!B:B,'Base stats'!AH:AH)=1,50,0)</f>
        <v>50</v>
      </c>
      <c r="BQ146" s="8">
        <f t="shared" si="19"/>
        <v>0.30000000000000004</v>
      </c>
      <c r="BR146" s="8" t="str">
        <f>_xlfn.XLOOKUP(B146,'Base stats'!B:B,'Base stats'!AD:AD)</f>
        <v>2~4</v>
      </c>
      <c r="BS146" s="2" t="str">
        <f>IF(AND(I146&lt;=0.95,OR(_xlfn.XLOOKUP(B146,'Base stats'!B:B,'Base stats'!AH:AH)=1,_xlfn.XLOOKUP(B146,'Base stats'!B:B,'Base stats'!Y:Y)="Carnivore",_xlfn.XLOOKUP(B146,'Base stats'!B:B,'Base stats'!Y:Y)="Omnivore",BC146&gt;0.1)),"true","false")</f>
        <v>true</v>
      </c>
      <c r="BT146" s="2" t="str">
        <f>IF(_xlfn.XLOOKUP(B146,'Base stats'!B:B,'Base stats'!AF:AF)=1,"true","false")</f>
        <v>false</v>
      </c>
      <c r="BU146" s="25" t="str">
        <f>IF(E146="BaseInsect","AnimalInsect",
IF(I146&gt;0.95,"AnimalExotic",
_xlfn.TEXTJOIN(", ",TRUE,
IF(AND(_xlfn.XLOOKUP(B146,'Base stats'!B:B,'Base stats'!O:O)=0,_xlfn.XLOOKUP(_xlfn.XLOOKUP(B146,'Base stats'!B:B,'Base stats'!E:E),Groups!A:A,Groups!B:B)&gt;0),"AnimalUncommon","AnimalCommon"),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stats'!AH:AH)=1,AND(BG146&lt;&gt;"None",BP146&gt;=60),ISNUMBER(SEARCH("Attack target",BN146))),"AnimalFighter","")
)))</f>
        <v>AnimalCommon, AnimalPet</v>
      </c>
      <c r="BV146" s="25" t="str">
        <f>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</f>
        <v/>
      </c>
      <c r="BW146" s="25" t="str">
        <f>IF(_xlfn.XLOOKUP(B146,'Base stats'!B:B,'Base stats'!AG:AG)=1,"true","false")</f>
        <v>false</v>
      </c>
      <c r="BX146" s="25">
        <f>IF(_xlfn.XLOOKUP(B146,'Base stats'!B:B,'Base stats'!N:N)=1,"No",MIN(MROUND(IF(OR(_xlfn.XLOOKUP(B146,'Base stats'!B:B,'Base stats'!AJ:AJ)=1,AND(BH146="True",CA146="False")),POWER(10,3.47*LOG10(_xlfn.XLOOKUP(B146,'Base stats'!B:B,'Base stats'!C:C)*1000)^-0.96),POWER(10,4.15*LOG10(_xlfn.XLOOKUP(B146,'Base stats'!B:B,'Base stats'!C:C)*1000)^-0.73))*IF(OR(_xlfn.XLOOKUP(B146,'Base stats'!B:B,'Base stats'!AJ:AJ)=1,_xlfn.XLOOKUP(B146,'Base stats'!B:B,'Base stats'!AH:AH)=1),0.5,1)/100,0.025),1))</f>
        <v>0.1</v>
      </c>
      <c r="BY146" s="25" t="str">
        <f>IF(O146="Standard","No",IF(_xlfn.XLOOKUP(B146,'Base stats'!B:B,'Base stats'!N:N)=0,MROUND(BX146*O146,0.05),MIN(1,MAX(0.025,MROUND(IF(OR(CA146="true",AND(BH146="false",BM146="false")),POWER(10,4.15*LOG10(_xlfn.XLOOKUP(B146,'Base stats'!B:B,'Base stats'!C:C)*1000)^-0.73),POWER(10,3.47*LOG10(_xlfn.XLOOKUP(B146,'Base stats'!B:B,'Base stats'!C:C)*1000)^-0.96))*IF(_xlfn.XLOOKUP(B146,'Base stats'!B:B,'Base stats'!AH:AH)=1,0.5,1)/100,0.025)))))</f>
        <v>No</v>
      </c>
      <c r="BZ146" s="25" t="str">
        <f>IF(_xlfn.XLOOKUP(_xlfn.XLOOKUP(B146,'Base stats'!B:B,'Base stats'!E:E),Groups!A:A,Groups!AJ:AJ)="Mammal","True","False")</f>
        <v>True</v>
      </c>
      <c r="CA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B146" s="25" t="str">
        <f t="shared" si="20"/>
        <v>False</v>
      </c>
      <c r="CC146" s="25" t="str">
        <f>IF(_xlfn.XLOOKUP(_xlfn.XLOOKUP(B146,'Base stats'!B:B,'Base stats'!E:E),Groups!A:A,Groups!AW:AW),"True","False")</f>
        <v>False</v>
      </c>
      <c r="CD146" s="25" t="str">
        <f>IF(_xlfn.XLOOKUP(_xlfn.XLOOKUP(B146,'Base stats'!B:B,'Base stats'!E:E),Groups!A:A,Groups!AX:AX),"True","False")</f>
        <v>False</v>
      </c>
      <c r="CE146" s="25" t="str">
        <f>IF(_xlfn.XLOOKUP(B146,'Base stats'!B:B,'Base stats'!E:E)=1,"True","False")</f>
        <v>False</v>
      </c>
      <c r="CF146" s="25" t="str">
        <f>IF(
OR(
_xlfn.XLOOKUP(_xlfn.XLOOKUP(B146,'Base stats'!B:B,'Base stats'!E:E),Groups!A:A,Groups!AY:AY)=0,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stats'!E:E),Groups!A:A,Groups!AY:AY)=1,
"Flesh",
IF(
_xlfn.XLOOKUP(_xlfn.XLOOKUP(B146,'Base stats'!B:B,'Base stats'!E:E),Groups!A:A,Groups!AY:AY)=2,
"Bone",
""
)
)
)</f>
        <v>No</v>
      </c>
      <c r="CG146" s="25" t="str">
        <f>IF(_xlfn.XLOOKUP(_xlfn.XLOOKUP(B146,'Base stats'!B:B,'Base stats'!E:E),Groups!A:A,Groups!BA:BA),"True","False")</f>
        <v>True</v>
      </c>
      <c r="CH146" s="25" t="str">
        <f>IF(_xlfn.XLOOKUP(_xlfn.XLOOKUP(B146,'Base stats'!B:B,'Base stats'!E:E),Groups!A:A,Groups!AZ:AZ),"True","False")</f>
        <v>False</v>
      </c>
    </row>
    <row r="147" spans="1:86" s="16" customFormat="1" ht="16.5" thickTop="1" thickBot="1" x14ac:dyDescent="0.3">
      <c r="A147" s="26" t="str">
        <f>_xlfn.XLOOKUP(B147,'Base stats'!B:B,'Base stats'!A:A)</f>
        <v>Rottweiler</v>
      </c>
      <c r="B147" s="6" t="s">
        <v>912</v>
      </c>
      <c r="C147" s="28" t="s">
        <v>840</v>
      </c>
      <c r="D147" s="28" t="s">
        <v>884</v>
      </c>
      <c r="E147" s="28" t="s">
        <v>685</v>
      </c>
      <c r="F147" s="28" t="s">
        <v>685</v>
      </c>
      <c r="G147" s="2">
        <f>MROUND((
  (IF(AND(_xlfn.XLOOKUP(B147,'Base stats'!B:B,'Base stats'!AI:AI)=0,BG147="None",_xlfn.XLOOKUP('Base stats'!E147,Groups!A:A,Groups!B:B)=0), (18 + BP147 * 2.7) * 0.5,
    IF(AND(_xlfn.XLOOKUP(B147,'Base stats'!B:B,'Base stats'!AI:AI)=0,OR(AN147&lt;0.55,AND(BG147="Intermediate",_xlfn.XLOOKUP('Base stats'!E147,Groups!A:A,Groups!B:B)&lt;2))), (18 + BP147 * 2.7),
      IF(OR(BG147="Advanced",_xlfn.XLOOKUP(B147,'Base stats'!B:B,'Base stats'!AI:AI)=1,_xlfn.XLOOKUP('Base stats'!E147,Groups!A:A,Groups!B:B)=2), (18 + BP147 * 2.7) + 250, (18 + BP147 * 2.7))
    )
  ))
  + AN147 * 80
  + IF(COUNTIF(EggMilk!K$2:K$998, A147) &gt; 0, 125, 0)
  + IF(COUNTIF(EggMilk!P$2:P$998, A147) &gt; 0, 90, 0)
  + IF(COUNTIF(EggMilk!A$2:A$998, A147) &gt; 0, 90, 0)
)
* (0.8 + 0.4 * I147)
* 0.75,25)</f>
        <v>350</v>
      </c>
      <c r="H147" s="2">
        <f>MROUND(ROUNDDOWN(_xlfn.XLOOKUP(B147,'Base stats'!B:B,'Base stats'!L:L)/3.6/(23.3/11),1),0.5)</f>
        <v>7</v>
      </c>
      <c r="I147" s="2">
        <f>IF(_xlfn.XLOOKUP(B147,'Base stats'!B:B,'Base stats'!AI:AI)=1,0.99,MIN(MROUND((1-0.6282*EXP(-0.459*AN147))*_xlfn.XLOOKUP(_xlfn.XLOOKUP(B147,'Base stats'!B:B,'Base stats'!E:E),Groups!A:A,Groups!C:C)*IF(_xlfn.XLOOKUP(B147,'Base stats'!B:B,'Base stats'!O:O)=1,0.5,IF(_xlfn.XLOOKUP(B147,'Base stats'!B:B,'Base stats'!O:O)=2,0,1)),0.05),0.985))</f>
        <v>0</v>
      </c>
      <c r="J147" s="2">
        <f>ROUNDUP(AN147*_xlfn.XLOOKUP(_xlfn.XLOOKUP(B147,'Base stats'!B:B,'Base stats'!E:E),Groups!A:A,Groups!E:E),0)</f>
        <v>1</v>
      </c>
      <c r="K147" s="2">
        <f>IF(OR(_xlfn.XLOOKUP(_xlfn.XLOOKUP(B147,'Base stats'!B:B,'Base stats'!E:E),Groups!A:A,Groups!F:F)=2,ISNUMBER(SEARCH("SeaIce",BV147)),ISNUMBER(SEARCH("IceSheet",BV147))),-50,IF(OR(ISNUMBER(SEARCH("GlacialPlain",BV147)),ISNUMBER(SEARCH("Tundra",BV147))),-40,IF(OR(ISNUMBER(SEARCH("Alpine",BV147)),ISNUMBER(SEARCH("BorealForest",BV147)),ISNUMBER(SEARCH("ColdBog",BV147))),-30,IF(OR(ISNUMBER(SEARCH("TemperateForest",BV147)),ISNUMBER(SEARCH("TemperateSwamp",BV147))),-20,IF(_xlfn.XLOOKUP(_xlfn.XLOOKUP(B147,'Base stats'!B:B,'Base stats'!E:E),Groups!A:A,Groups!F:F)=1,-15,IF(OR(ISNUMBER(SEARCH("Desert",BV147)),ISNUMBER(SEARCH("ExtremeDesert",BV147))),-10,IF(OR(ISNUMBER(SEARCH("Grasslands",BV147)),ISNUMBER(SEARCH("TropicalRainforest",BV147)),ISNUMBER(SEARCH("TropicalSwamp",BV147))),10,0)))))))-IF(CA147="False",MIN(IFERROR(MAX(MROUND(LOG10(_xlfn.XLOOKUP(B147,'Base stats'!B:B,'Base stats'!C:C)^(2/3))*10,5),5),5),30))-_xlfn.XLOOKUP(B147,'Base stats'!B:B,'Base stats'!P:P)+IF(CA147="True",5,0)</f>
        <v>-25</v>
      </c>
      <c r="L147" s="2">
        <f>IF(OR(_xlfn.XLOOKUP(_xlfn.XLOOKUP(B147,'Base stats'!B:B,'Base stats'!E:E),Groups!A:A,Groups!G:G)=2,ISNUMBER(SEARCH("Desert",BV147)),ISNUMBER(SEARCH("ExtremeDesert",BV147)),ISNUMBER(SEARCH("LavaField",BV147))),50,IF(ISNUMBER(SEARCH("Grasslands",BV147)),45,IF(OR(_xlfn.XLOOKUP(_xlfn.XLOOKUP(B147,'Base stats'!B:B,'Base stats'!E:E),Groups!A:A,Groups!G:G)=1,ISNUMBER(SEARCH("TropicalRainforest",BV147)),ISNUMBER(SEARCH("TropicalSwamp",BV147))),40,IF(OR(ISNUMBER(SEARCH("TemperateForest",BV147)),ISNUMBER(SEARCH("TemperateSwamp",BV147))),35,IF(OR(ISNUMBER(SEARCH("Alpine",BV147)),ISNUMBER(SEARCH("BorealForest",BV147)),ISNUMBER(SEARCH("ColdBog",BV147))),30,IF(ISNUMBER(OR(ISNUMBER(SEARCH("GlacialPlain",BV147)),SEARCH("Tundra",BV147))),25,IF(OR(ISNUMBER(SEARCH("SeaIce",BV147)),ISNUMBER(SEARCH("IceSheet",BV147)),ISNUMBER(SEARCH("TropicalSwamp",BV147))),10,35)))))))+_xlfn.XLOOKUP(B147,'Base stats'!B:B,'Base stats'!Q:Q)</f>
        <v>35</v>
      </c>
      <c r="M147" s="8" t="str">
        <f>IF(_xlfn.XLOOKUP(_xlfn.XLOOKUP(B147,'Base stats'!B:B,'Base stats'!E:E),Groups!A:A,Groups!L:L)=1,MIN(MROUND(_xlfn.XLOOKUP(B147,'Animals CE'!B:B,'Animals CE'!Z:Z)/2+0.05,0.05),200%),"No")</f>
        <v>No</v>
      </c>
      <c r="N147" s="8" t="str">
        <f>IF(_xlfn.XLOOKUP(_xlfn.XLOOKUP(B147,'Base stats'!B:B,'Base stats'!E:E),Groups!A:A,Groups!L:L)=1,MIN(MROUND(_xlfn.XLOOKUP(B147,'Animals CE'!B:B,'Animals CE'!AA:AA)/2+0.05,0.05),200%),"No")</f>
        <v>No</v>
      </c>
      <c r="O147" s="2" t="str">
        <f>_xlfn.XLOOKUP(B147,'Base stats'!B:B,'Base stats'!R:R)</f>
        <v>Standard</v>
      </c>
      <c r="P147" s="13">
        <f>MROUND((LOG10(_xlfn.XLOOKUP(B147,'Base stats'!B:B,'Base stats'!AO:AO))*(AN147^0.5)+(_xlfn.XLOOKUP(B147,'Base stats'!B:B,'Base stats'!AO:AO)/1000)^(2/3)+_xlfn.XLOOKUP(B147,'Base stats'!B:B,'Base stats'!AX:AX)/2)+0.5,0.5)</f>
        <v>6.5</v>
      </c>
      <c r="Q147" s="7">
        <f>IF(P147="No","No",MAX(1,MROUND(_xlfn.XLOOKUP(B147,'Base stats'!B:B,'Base stats'!C:C)^0.165,0.05)))</f>
        <v>1.9000000000000001</v>
      </c>
      <c r="R147" s="13" t="str">
        <f>IF(_xlfn.XLOOKUP(_xlfn.XLOOKUP(B147,'Base stats'!B:B,'Base stats'!E:E),Groups!A:A,Groups!P:P)=0,"No",MROUND((LOG10(_xlfn.XLOOKUP(B147,'Base stats'!B:B,'Base stats'!AP:AP))*(AN147^0.5)+(_xlfn.XLOOKUP(B147,'Base stats'!B:B,'Base stats'!AP:AP)/1000)^(2/3)+_xlfn.XLOOKUP(B147,'Base stats'!B:B,'Base stats'!AX:AX))+_xlfn.XLOOKUP(B147,'Base stats'!B:B,'Base stats'!AV:AV)+0.5,0.5))</f>
        <v>No</v>
      </c>
      <c r="S147" s="7" t="str">
        <f>IF(R147="No","No",MAX(_xlfn.XLOOKUP(_xlfn.XLOOKUP(B147,'Base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T147" s="7" t="str">
        <f>IF(R147="No","No",_xlfn.XLOOKUP(_xlfn.XLOOKUP(B147,'Base stats'!B:B,'Base stats'!E:E),Groups!A:A,Groups!R:R))</f>
        <v>No</v>
      </c>
      <c r="U147" s="7" t="str">
        <f>IF(R147="No","No",_xlfn.XLOOKUP(_xlfn.XLOOKUP(B147,'Base stats'!B:B,'Base stats'!E:E),Groups!A:A,Groups!S:S))</f>
        <v>No</v>
      </c>
      <c r="V147" s="7" t="str">
        <f>IF(R147="No","No",_xlfn.XLOOKUP(_xlfn.XLOOKUP(B147,'Base stats'!B:B,'Base stats'!E:E),Groups!A:A,Groups!T:T))</f>
        <v>No</v>
      </c>
      <c r="W147" s="13" t="str">
        <f>IF(_xlfn.XLOOKUP(B147,'Base stats'!B:B,'Base stats'!W:W)="No","No",MROUND((LOG10(_xlfn.XLOOKUP(B147,'Base stats'!B:B,'Base stats'!AR:AR))*(AN147^0.5)+(_xlfn.XLOOKUP(B147,'Base stats'!B:B,'Base stats'!AR:AR)/1000)^(2/3)+_xlfn.XLOOKUP(B147,'Base stats'!B:B,'Base stats'!AW:AW))+0.5+IF(_xlfn.XLOOKUP(_xlfn.XLOOKUP(B147,'Base stats'!B:B,'Base stats'!E:E),Groups!A:A,Groups!U:U)&lt;&gt;3,_xlfn.XLOOKUP(B147,'Base stats'!B:B,'Base stats'!AX:AX),0),0.5))</f>
        <v>No</v>
      </c>
      <c r="X147" s="7" t="str">
        <f>IF(W147="No","No",MAX(_xlfn.XLOOKUP(_xlfn.XLOOKUP(B147,'Base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Y147" s="7" t="str">
        <f>IF(W147="No","No",_xlfn.XLOOKUP(_xlfn.XLOOKUP(B147,'Base stats'!B:B,'Base stats'!E:E),Groups!A:A,Groups!W:W))</f>
        <v>No</v>
      </c>
      <c r="Z147" s="7" t="str">
        <f>IF(W147="No","No",_xlfn.XLOOKUP(_xlfn.XLOOKUP(B147,'Base stats'!B:B,'Base stats'!E:E),Groups!A:A,Groups!X:X))</f>
        <v>No</v>
      </c>
      <c r="AA147" s="7" t="str">
        <f>IF(W147="No","No",_xlfn.XLOOKUP(_xlfn.XLOOKUP(B147,'Base stats'!B:B,'Base stats'!E:E),Groups!A:A,Groups!Y:Y))</f>
        <v>No</v>
      </c>
      <c r="AB147" s="7" t="str">
        <f>_xlfn.XLOOKUP(Animals!B147,'Base stats'!B:B,'Base stats'!X:X)</f>
        <v>False</v>
      </c>
      <c r="AC147" s="13">
        <f>IF(_xlfn.XLOOKUP(B147,'Base stats'!B:B,'Base stats'!AQ:AQ)="No","No",MROUND((LOG10(_xlfn.XLOOKUP(B147,'Base stats'!B:B,'Base stats'!AQ:AQ))*(AN147^0.75)+(_xlfn.XLOOKUP(B147,'Base stats'!B:B,'Base stats'!AQ:AQ)/1000)^(2/3)+_xlfn.XLOOKUP(B147,'Base stats'!B:B,'Base stats'!AU:AU)+_xlfn.XLOOKUP(B147,'Base stats'!B:B,'Base stats'!AX:AX))+0.5,0.5))</f>
        <v>11.5</v>
      </c>
      <c r="AD147" s="7">
        <f>IF(AC147="No","No",MAX(_xlfn.XLOOKUP(_xlfn.XLOOKUP(B147,'Base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E147" s="7" t="str">
        <f>IF(AC147="No","No",_xlfn.XLOOKUP(_xlfn.XLOOKUP(B147,'Base stats'!B:B,'Base stats'!E:E),Groups!A:A,Groups!AA:AA))</f>
        <v>Teeth</v>
      </c>
      <c r="AF147" s="7" t="str">
        <f>IF(AC147="No","No",_xlfn.XLOOKUP(_xlfn.XLOOKUP(B147,'Base stats'!B:B,'Base stats'!E:E),Groups!A:A,Groups!AB:AB))</f>
        <v>canines</v>
      </c>
      <c r="AG147" s="7" t="str">
        <f>IF(AC147="No","No",_xlfn.XLOOKUP(_xlfn.XLOOKUP(B147,'Base stats'!B:B,'Base stats'!E:E),Groups!A:A,Groups!AC:AC))</f>
        <v>Bite</v>
      </c>
      <c r="AH147" s="13" t="str">
        <f>IF(_xlfn.XLOOKUP(_xlfn.XLOOKUP(B147,'Base stats'!B:B,'Base stats'!E:E),Groups!A:A,Groups!AD:AD)=0,"No",MROUND((LOG10(_xlfn.XLOOKUP(B147,'Base stats'!B:B,'Base stats'!AP:AP))*(AN147^0.75)+(_xlfn.XLOOKUP(B147,'Base stats'!B:B,'Base stats'!AP:AP)/1000)^(2/3)+_xlfn.XLOOKUP(B147,'Base stats'!B:B,'Base stats'!AV:AV)+_xlfn.XLOOKUP(B147,'Base stats'!B:B,'Base stats'!AX:AX))+0.5,0.5))</f>
        <v>No</v>
      </c>
      <c r="AI147" s="7" t="str">
        <f>IF(AH147="No","No",MAX(_xlfn.XLOOKUP(_xlfn.XLOOKUP(B147,'Base stats'!B:B,'Base stats'!E:E),Groups!A:A,Groups!AE:AE),MROUND(_xlfn.XLOOKUP(_xlfn.XLOOKUP(B147,'Base stats'!B:B,'Base stats'!E:E),Groups!A:A,Groups!AE:AE)*_xlfn.XLOOKUP(B147,'Base stats'!B:B,'Base stats'!C:C)^0.165,0.05)))</f>
        <v>No</v>
      </c>
      <c r="AJ147" s="7" t="str">
        <f>IF(AH147="No","No",_xlfn.XLOOKUP(_xlfn.XLOOKUP(B147,'Base stats'!B:B,'Base stats'!E:E),Groups!A:A,Groups!AF:AF))</f>
        <v>No</v>
      </c>
      <c r="AK147" s="7" t="str">
        <f>IF(AH147="No","No",_xlfn.XLOOKUP(_xlfn.XLOOKUP(B147,'Base stats'!B:B,'Base stats'!E:E),Groups!A:A,Groups!AG:AG))</f>
        <v>No</v>
      </c>
      <c r="AL147" s="7" t="str">
        <f>IF(AH147="No","No",_xlfn.XLOOKUP(_xlfn.XLOOKUP(B147,'Base stats'!B:B,'Base stats'!E:E),Groups!A:A,Groups!AH:AH))</f>
        <v>No</v>
      </c>
      <c r="AM147" s="2">
        <f t="shared" si="14"/>
        <v>20</v>
      </c>
      <c r="AN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O147" s="8">
        <f>MROUND(AN147*_xlfn.XLOOKUP(_xlfn.XLOOKUP(B147,'Base stats'!B:B,'Base stats'!E:E),Groups!A:A,Groups!AI:AI),0.05)</f>
        <v>1</v>
      </c>
      <c r="AP147" s="8">
        <f>MAX(0.01,MROUND(IF(CA147="True",0.196*(AN147*100*1000)^0.889,IF(_xlfn.XLOOKUP(_xlfn.XLOOKUP(B147,'Base stats'!B:B,'Base stats'!E:E),Groups!A:A,Groups!AJ:AJ)="Bird",10.5*(AN147*100*1000)^0.681,4.82*(AN147*100*1000)^0.734))/(4.82*(1*100*1000)^0.734)/IF(AN147&lt;3.5,2,IF(AN147=3.5,1.5,1.25))*(1+0.132282374779864/(AN147^0.994035016789033+0.00905238001496948)),0.05))</f>
        <v>0.5</v>
      </c>
      <c r="AQ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R147" s="35">
        <f>IFERROR(IF(_xlfn.XLOOKUP(B147,'Base stats'!B:B,'Base stats'!F:F)="Lay eggs","Lay eggs",MIN(20,MAX(5.5,ROUND(((_xlfn.XLOOKUP(B147,'Base stats'!B:B,'Base stats'!F:F)-25)*(14.5/615) + 5.5)*2,0)/2))),"Cannot breed")</f>
        <v>6.5</v>
      </c>
      <c r="AS147" s="8">
        <f>IF(OR(A147="Queen",A147="Larva",A147="Megachicken"),"No",IFERROR(MAX(IF(_xlfn.XLOOKUP(B147,'Base stats'!B:B,'Base stats'!G:G)&lt;0.5,0.2,0.3),MROUND(_xlfn.XLOOKUP(B147,'Base stats'!B:B,'Base stats'!G:G)/(365/60),0.2)),"Unknown"))</f>
        <v>0.3</v>
      </c>
      <c r="AT147" s="8">
        <f t="shared" si="15"/>
        <v>0.15000000000000002</v>
      </c>
      <c r="AU147" s="8">
        <f>IFERROR(IFERROR(MROUND(_xlfn.XLOOKUP(B147,'Base stats'!B:B,'Base stats'!J:J),0.1),"Lay eggs"),"Cannot breed")</f>
        <v>6</v>
      </c>
      <c r="AV147" s="2" t="str">
        <f t="shared" si="16"/>
        <v>true</v>
      </c>
      <c r="AW147" s="2" t="str">
        <f>IF(_xlfn.XLOOKUP(_xlfn.XLOOKUP(Animals!B147,'Base stats'!B:B,'Base stats'!E:E),Groups!A:A,Groups!AK:AK)=1,"true","false")</f>
        <v>false</v>
      </c>
      <c r="AX147" s="25" t="str">
        <f>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</f>
        <v>OmnivoreAnimal, OvivoreAnimal</v>
      </c>
      <c r="AY147" s="2" t="str">
        <f>IF(_xlfn.XLOOKUP(_xlfn.XLOOKUP(B147,'Base stats'!B:B,'Base stats'!E:E),Groups!A:A,Groups!D:D)=1,MROUND((1-I147)*5+1,2)*IF(I147&lt;=0.4,2,1),"No")</f>
        <v>No</v>
      </c>
      <c r="AZ147" s="2" t="str">
        <f>_xlfn.XLOOKUP(B147,'Base stats'!B:B,'Base stats'!AE:AE)</f>
        <v>Leather_Dog</v>
      </c>
      <c r="BA147" s="23" t="str">
        <f>_xlfn.XLOOKUP(_xlfn.XLOOKUP(B147,'Base stats'!B:B,'Base stats'!E:E),Groups!A:A,Groups!AL:AL)</f>
        <v>QuadrupedAnimalWithPawsAndTail</v>
      </c>
      <c r="BB147" s="23">
        <f>MROUND(IF(AND(AN147&lt;0.5,_xlfn.XLOOKUP(B147,'Base stats'!B:B,'Base stats'!Z:Z)=0),0,IF(OR(_xlfn.XLOOKUP(Animals!B147,'Base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stats'!AA:AA),0.005)</f>
        <v>0</v>
      </c>
      <c r="BC147" s="23">
        <f>MROUND(IF(AND(AN147&lt;0.5,_xlfn.XLOOKUP(B147,'Base stats'!B:B,'Base stats'!Z:Z)=0),0,IF(_xlfn.XLOOKUP(_xlfn.XLOOKUP(B147,'Base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stats'!AB:AB),0.005)</f>
        <v>0.1</v>
      </c>
      <c r="BD147" s="2">
        <f>IF(I147&gt;0.3,"No",_xlfn.XLOOKUP(_xlfn.XLOOKUP(Animals!B147,'Base stats'!B:B,'Base stats'!E:E),Groups!A:A,Groups!AP:AP))</f>
        <v>1</v>
      </c>
      <c r="BE147" s="2">
        <f>IF(AND(I147&lt;=0.65,_xlfn.XLOOKUP(_xlfn.XLOOKUP(Animals!B147,'Base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stats'!O:O)=2,0.2,AN147) + 24*(1-IF(BD147="No",0,BD147)) + 16/3, 12),"No")</f>
        <v>12</v>
      </c>
      <c r="BF147" s="2">
        <f>IF(AND(_xlfn.XLOOKUP(_xlfn.XLOOKUP(B147,'Base stats'!B:B,'Base stats'!E:E),Groups!A:A,Groups!AQ:AQ)=1,AN147&lt;=0.35),8,12)</f>
        <v>12</v>
      </c>
      <c r="BG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H147" s="2" t="str">
        <f>IF(AND(_xlfn.XLOOKUP(_xlfn.XLOOKUP(B147,'Base stats'!B:B,'Base stats'!E:E),Groups!A:A,Groups!AS:AS)=1,OR('Base stats'!Y147="Carnivore",'Base stats'!Y147="Omnivore")),"true","false")</f>
        <v>true</v>
      </c>
      <c r="BI147" s="2">
        <f>IF(BH147="true",MROUND(IF(AND(AN147&gt;0.5,_xlfn.XLOOKUP(_xlfn.XLOOKUP(B147,'Base stats'!B:B,'Base stats'!E:E),Groups!A:A,Groups!AJ:AJ)="Mammal"),Animals!AN147*1.75*IF(AV147="true",1.5,1),Animals!AN147),IF(AN147&gt;2,0.5,IF(AN147&gt;0.5,0.25,0.1))),"No")</f>
        <v>2.25</v>
      </c>
      <c r="BJ147" s="2">
        <f t="shared" si="17"/>
        <v>1</v>
      </c>
      <c r="BK147" s="25" t="str">
        <f>IF('Base stats'!AK147="Standard","No",MROUND((_xlfn.XLOOKUP(B147,'Base stats'!B:B,'Base stats'!AK:AK)/3.6)/H147,0.1))</f>
        <v>No</v>
      </c>
      <c r="BL147" s="25" t="str">
        <f t="shared" si="18"/>
        <v>false</v>
      </c>
      <c r="BM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N147" s="25" t="str" cm="1">
        <f t="array" ref="BN147">IF(
  _xlfn.TEXTJOIN(", ",TRUE,
    IF(AND(BH147="true",AN147&gt;0.5,BG147&lt;&gt;"None"),"AttackTarget",""),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IF(BE147&lt;=36,"Comfort",""),
    IF(_xlfn.XLOOKUP(B147,'Base stats'!B:B,'Base stats'!AC:AC)&lt;&gt;"No",_xlfn.XLOOKUP(B147,'Base stats'!B:B,'Base stats'!AC:AC),"")
  ) = "",
  "No",
  _xlfn.TEXTJOIN(", ",TRUE,
    IF(AND(BH147="true",AN147&gt;0.5,BG147&lt;&gt;"None"),"AttackTarget",""),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IF(BE147&lt;=36,"Comfort",""),
    IF(_xlfn.XLOOKUP(B147,'Base stats'!B:B,'Base stats'!AC:AC)&lt;&gt;"No",_xlfn.XLOOKUP(B147,'Base stats'!B:B,'Base stats'!AC:AC),"")
  )
)</f>
        <v>AttackTarget, Forage, Comfort</v>
      </c>
      <c r="BO147" s="25" t="str">
        <f>IF(
   AND(
      'Base stats'!AK147="Standard",_xlfn.XLOOKUP(_xlfn.XLOOKUP(B147,'Base stats'!B:B,'Base stats'!E:E),Groups!A:A,Groups!AU:AU)=0,
      OR(
      BM147="True"
      )
   ),
   10,
   IF(
       OR(BK147&lt;&gt;"No",_xlfn.XLOOKUP(_xlfn.XLOOKUP(B147,'Base stats'!B:B,'Base stats'!E:E),Groups!A:A,Groups!AU:AU)=1),
      1,
      "No"
   )
)</f>
        <v>No</v>
      </c>
      <c r="BP147" s="9">
        <f>MROUND((1 + ((0.2*IF(OR(P147="No",Q147="No",Q147=0),0,P147/Q147)
+IF(OR(U147="No",R147="No",S147="No"),0,R147/S147*(LEN(U147)-LEN(SUBSTITUTE(U147,",",""))+1))
+IF(OR(W147="No",X147="No"),0,W147/X147)
+IF(OR(AC147="No",AD147="No"),0,AC147/AD147)
+IF(OR(AK147="No",AH147="No",AI147="No"),0,AH147/AI147*(LEN(AK147)-LEN(SUBSTITUTE(AK147,",",""))+1))
)/(0.2*IF(OR(P147="No",Q147="No",Q147=0),0,1)
+IF(OR(U147="No",R147="No",S147="No"),0,LEN(U147)-LEN(SUBSTITUTE(U147,",",""))+1)
+IF(OR(W147="No",X147="No"),0,1)
+IF(OR(AC147="No",AD147="No"),0,1)
+IF(OR(AK147="No",AH147="No",AI147="No"),0,LEN(AK147)-LEN(SUBSTITUTE(AK147,",",""))+1))*62%)* 2)*(1 + (AO147 + _xlfn.XLOOKUP(B147,'Base stats'!B:B,'Base stats'!AS:AS) * 1.8) * 2) * 2.5 + 10 + H147 * 2,5)+IF(_xlfn.XLOOKUP(B147,'Base stats'!B:B,'Base stats'!AH:AH)=1,50,0)</f>
        <v>95</v>
      </c>
      <c r="BQ147" s="8">
        <f t="shared" si="19"/>
        <v>0.55000000000000004</v>
      </c>
      <c r="BR147" s="8" t="str">
        <f>_xlfn.XLOOKUP(B147,'Base stats'!B:B,'Base stats'!AD:AD)</f>
        <v>2~4</v>
      </c>
      <c r="BS147" s="2" t="str">
        <f>IF(AND(I147&lt;=0.95,OR(_xlfn.XLOOKUP(B147,'Base stats'!B:B,'Base stats'!AH:AH)=1,_xlfn.XLOOKUP(B147,'Base stats'!B:B,'Base stats'!Y:Y)="Carnivore",_xlfn.XLOOKUP(B147,'Base stats'!B:B,'Base stats'!Y:Y)="Omnivore",BC147&gt;0.1)),"true","false")</f>
        <v>true</v>
      </c>
      <c r="BT147" s="2" t="str">
        <f>IF(_xlfn.XLOOKUP(B147,'Base stats'!B:B,'Base stats'!AF:AF)=1,"true","false")</f>
        <v>false</v>
      </c>
      <c r="BU147" s="25" t="str">
        <f>IF(E147="BaseInsect","AnimalInsect",
IF(I147&gt;0.95,"AnimalExotic",
_xlfn.TEXTJOIN(", ",TRUE,
IF(AND(_xlfn.XLOOKUP(B147,'Base stats'!B:B,'Base stats'!O:O)=0,_xlfn.XLOOKUP(_xlfn.XLOOKUP(B147,'Base stats'!B:B,'Base stats'!E:E),Groups!A:A,Groups!B:B)&gt;0),"AnimalUncommon","AnimalCommon"),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stats'!AH:AH)=1,AND(BG147&lt;&gt;"None",BP147&gt;=60),ISNUMBER(SEARCH("Attack target",BN147))),"AnimalFighter","")
)))</f>
        <v>AnimalCommon, AnimalPet, AnimalFighter</v>
      </c>
      <c r="BV147" s="25" t="str">
        <f>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</f>
        <v/>
      </c>
      <c r="BW147" s="25" t="str">
        <f>IF(_xlfn.XLOOKUP(B147,'Base stats'!B:B,'Base stats'!AG:AG)=1,"true","false")</f>
        <v>false</v>
      </c>
      <c r="BX147" s="25">
        <f>IF(_xlfn.XLOOKUP(B147,'Base stats'!B:B,'Base stats'!N:N)=1,"No",MIN(MROUND(IF(OR(_xlfn.XLOOKUP(B147,'Base stats'!B:B,'Base stats'!AJ:AJ)=1,AND(BH147="True",CA147="False")),POWER(10,3.47*LOG10(_xlfn.XLOOKUP(B147,'Base stats'!B:B,'Base stats'!C:C)*1000)^-0.96),POWER(10,4.15*LOG10(_xlfn.XLOOKUP(B147,'Base stats'!B:B,'Base stats'!C:C)*1000)^-0.73))*IF(OR(_xlfn.XLOOKUP(B147,'Base stats'!B:B,'Base stats'!AJ:AJ)=1,_xlfn.XLOOKUP(B147,'Base stats'!B:B,'Base stats'!AH:AH)=1),0.5,1)/100,0.025),1))</f>
        <v>0.05</v>
      </c>
      <c r="BY147" s="25" t="str">
        <f>IF(O147="Standard","No",IF(_xlfn.XLOOKUP(B147,'Base stats'!B:B,'Base stats'!N:N)=0,MROUND(BX147*O147,0.05),MIN(1,MAX(0.025,MROUND(IF(OR(CA147="true",AND(BH147="false",BM147="false")),POWER(10,4.15*LOG10(_xlfn.XLOOKUP(B147,'Base stats'!B:B,'Base stats'!C:C)*1000)^-0.73),POWER(10,3.47*LOG10(_xlfn.XLOOKUP(B147,'Base stats'!B:B,'Base stats'!C:C)*1000)^-0.96))*IF(_xlfn.XLOOKUP(B147,'Base stats'!B:B,'Base stats'!AH:AH)=1,0.5,1)/100,0.025)))))</f>
        <v>No</v>
      </c>
      <c r="BZ147" s="25" t="str">
        <f>IF(_xlfn.XLOOKUP(_xlfn.XLOOKUP(B147,'Base stats'!B:B,'Base stats'!E:E),Groups!A:A,Groups!AJ:AJ)="Mammal","True","False")</f>
        <v>True</v>
      </c>
      <c r="CA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B147" s="25" t="str">
        <f t="shared" si="20"/>
        <v>False</v>
      </c>
      <c r="CC147" s="25" t="str">
        <f>IF(_xlfn.XLOOKUP(_xlfn.XLOOKUP(B147,'Base stats'!B:B,'Base stats'!E:E),Groups!A:A,Groups!AW:AW),"True","False")</f>
        <v>False</v>
      </c>
      <c r="CD147" s="25" t="str">
        <f>IF(_xlfn.XLOOKUP(_xlfn.XLOOKUP(B147,'Base stats'!B:B,'Base stats'!E:E),Groups!A:A,Groups!AX:AX),"True","False")</f>
        <v>False</v>
      </c>
      <c r="CE147" s="25" t="str">
        <f>IF(_xlfn.XLOOKUP(B147,'Base stats'!B:B,'Base stats'!E:E)=1,"True","False")</f>
        <v>False</v>
      </c>
      <c r="CF147" s="25" t="str">
        <f>IF(
OR(
_xlfn.XLOOKUP(_xlfn.XLOOKUP(B147,'Base stats'!B:B,'Base stats'!E:E),Groups!A:A,Groups!AY:AY)=0,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stats'!E:E),Groups!A:A,Groups!AY:AY)=1,
"Flesh",
IF(
_xlfn.XLOOKUP(_xlfn.XLOOKUP(B147,'Base stats'!B:B,'Base stats'!E:E),Groups!A:A,Groups!AY:AY)=2,
"Bone",
""
)
)
)</f>
        <v>No</v>
      </c>
      <c r="CG147" s="25" t="str">
        <f>IF(_xlfn.XLOOKUP(_xlfn.XLOOKUP(B147,'Base stats'!B:B,'Base stats'!E:E),Groups!A:A,Groups!BA:BA),"True","False")</f>
        <v>True</v>
      </c>
      <c r="CH147" s="25" t="str">
        <f>IF(_xlfn.XLOOKUP(_xlfn.XLOOKUP(B147,'Base stats'!B:B,'Base stats'!E:E),Groups!A:A,Groups!AZ:AZ),"True","False")</f>
        <v>False</v>
      </c>
    </row>
    <row r="148" spans="1:86" ht="16.5" thickTop="1" thickBot="1" x14ac:dyDescent="0.3">
      <c r="A148" s="26" t="str">
        <f>_xlfn.XLOOKUP(B148,'Base stats'!B:B,'Base stats'!A:A)</f>
        <v>Shih-Tzu</v>
      </c>
      <c r="B148" s="6" t="s">
        <v>913</v>
      </c>
      <c r="C148" s="28" t="s">
        <v>841</v>
      </c>
      <c r="D148" s="28" t="s">
        <v>884</v>
      </c>
      <c r="E148" s="28" t="s">
        <v>685</v>
      </c>
      <c r="F148" s="28" t="s">
        <v>685</v>
      </c>
      <c r="G148" s="2">
        <f>MROUND((
  (IF(AND(_xlfn.XLOOKUP(B148,'Base stats'!B:B,'Base stats'!AI:AI)=0,BG148="None",_xlfn.XLOOKUP('Base stats'!E148,Groups!A:A,Groups!B:B)=0), (18 + BP148 * 2.7) * 0.5,
    IF(AND(_xlfn.XLOOKUP(B148,'Base stats'!B:B,'Base stats'!AI:AI)=0,OR(AN148&lt;0.55,AND(BG148="Intermediate",_xlfn.XLOOKUP('Base stats'!E148,Groups!A:A,Groups!B:B)&lt;2))), (18 + BP148 * 2.7),
      IF(OR(BG148="Advanced",_xlfn.XLOOKUP(B148,'Base stats'!B:B,'Base stats'!AI:AI)=1,_xlfn.XLOOKUP('Base stats'!E148,Groups!A:A,Groups!B:B)=2), (18 + BP148 * 2.7) + 250, (18 + BP148 * 2.7))
    )
  ))
  + AN148 * 80
  + IF(COUNTIF(EggMilk!K$2:K$998, A148) &gt; 0, 125, 0)
  + IF(COUNTIF(EggMilk!P$2:P$998, A148) &gt; 0, 90, 0)
  + IF(COUNTIF(EggMilk!A$2:A$998, A148) &gt; 0, 90, 0)
)
* (0.8 + 0.4 * I148)
* 0.75,25)</f>
        <v>100</v>
      </c>
      <c r="H148" s="2">
        <f>MROUND(ROUNDDOWN(_xlfn.XLOOKUP(B148,'Base stats'!B:B,'Base stats'!L:L)/3.6/(23.3/11),1),0.5)</f>
        <v>5.5</v>
      </c>
      <c r="I148" s="2">
        <f>IF(_xlfn.XLOOKUP(B148,'Base stats'!B:B,'Base stats'!AI:AI)=1,0.99,MIN(MROUND((1-0.6282*EXP(-0.459*AN148))*_xlfn.XLOOKUP(_xlfn.XLOOKUP(B148,'Base stats'!B:B,'Base stats'!E:E),Groups!A:A,Groups!C:C)*IF(_xlfn.XLOOKUP(B148,'Base stats'!B:B,'Base stats'!O:O)=1,0.5,IF(_xlfn.XLOOKUP(B148,'Base stats'!B:B,'Base stats'!O:O)=2,0,1)),0.05),0.985))</f>
        <v>0</v>
      </c>
      <c r="J148" s="2">
        <f>ROUNDUP(AN148*_xlfn.XLOOKUP(_xlfn.XLOOKUP(B148,'Base stats'!B:B,'Base stats'!E:E),Groups!A:A,Groups!E:E),0)</f>
        <v>1</v>
      </c>
      <c r="K148" s="2">
        <f>IF(OR(_xlfn.XLOOKUP(_xlfn.XLOOKUP(B148,'Base stats'!B:B,'Base stats'!E:E),Groups!A:A,Groups!F:F)=2,ISNUMBER(SEARCH("SeaIce",BV148)),ISNUMBER(SEARCH("IceSheet",BV148))),-50,IF(OR(ISNUMBER(SEARCH("GlacialPlain",BV148)),ISNUMBER(SEARCH("Tundra",BV148))),-40,IF(OR(ISNUMBER(SEARCH("Alpine",BV148)),ISNUMBER(SEARCH("BorealForest",BV148)),ISNUMBER(SEARCH("ColdBog",BV148))),-30,IF(OR(ISNUMBER(SEARCH("TemperateForest",BV148)),ISNUMBER(SEARCH("TemperateSwamp",BV148))),-20,IF(_xlfn.XLOOKUP(_xlfn.XLOOKUP(B148,'Base stats'!B:B,'Base stats'!E:E),Groups!A:A,Groups!F:F)=1,-15,IF(OR(ISNUMBER(SEARCH("Desert",BV148)),ISNUMBER(SEARCH("ExtremeDesert",BV148))),-10,IF(OR(ISNUMBER(SEARCH("Grasslands",BV148)),ISNUMBER(SEARCH("TropicalRainforest",BV148)),ISNUMBER(SEARCH("TropicalSwamp",BV148))),10,0)))))))-IF(CA148="False",MIN(IFERROR(MAX(MROUND(LOG10(_xlfn.XLOOKUP(B148,'Base stats'!B:B,'Base stats'!C:C)^(2/3))*10,5),5),5),30))-_xlfn.XLOOKUP(B148,'Base stats'!B:B,'Base stats'!P:P)+IF(CA148="True",5,0)</f>
        <v>-20</v>
      </c>
      <c r="L148" s="2">
        <f>IF(OR(_xlfn.XLOOKUP(_xlfn.XLOOKUP(B148,'Base stats'!B:B,'Base stats'!E:E),Groups!A:A,Groups!G:G)=2,ISNUMBER(SEARCH("Desert",BV148)),ISNUMBER(SEARCH("ExtremeDesert",BV148)),ISNUMBER(SEARCH("LavaField",BV148))),50,IF(ISNUMBER(SEARCH("Grasslands",BV148)),45,IF(OR(_xlfn.XLOOKUP(_xlfn.XLOOKUP(B148,'Base stats'!B:B,'Base stats'!E:E),Groups!A:A,Groups!G:G)=1,ISNUMBER(SEARCH("TropicalRainforest",BV148)),ISNUMBER(SEARCH("TropicalSwamp",BV148))),40,IF(OR(ISNUMBER(SEARCH("TemperateForest",BV148)),ISNUMBER(SEARCH("TemperateSwamp",BV148))),35,IF(OR(ISNUMBER(SEARCH("Alpine",BV148)),ISNUMBER(SEARCH("BorealForest",BV148)),ISNUMBER(SEARCH("ColdBog",BV148))),30,IF(ISNUMBER(OR(ISNUMBER(SEARCH("GlacialPlain",BV148)),SEARCH("Tundra",BV148))),25,IF(OR(ISNUMBER(SEARCH("SeaIce",BV148)),ISNUMBER(SEARCH("IceSheet",BV148)),ISNUMBER(SEARCH("TropicalSwamp",BV148))),10,35)))))))+_xlfn.XLOOKUP(B148,'Base stats'!B:B,'Base stats'!Q:Q)</f>
        <v>35</v>
      </c>
      <c r="M148" s="8" t="str">
        <f>IF(_xlfn.XLOOKUP(_xlfn.XLOOKUP(B148,'Base stats'!B:B,'Base stats'!E:E),Groups!A:A,Groups!L:L)=1,MIN(MROUND(_xlfn.XLOOKUP(B148,'Animals CE'!B:B,'Animals CE'!Z:Z)/2+0.05,0.05),200%),"No")</f>
        <v>No</v>
      </c>
      <c r="N148" s="8" t="str">
        <f>IF(_xlfn.XLOOKUP(_xlfn.XLOOKUP(B148,'Base stats'!B:B,'Base stats'!E:E),Groups!A:A,Groups!L:L)=1,MIN(MROUND(_xlfn.XLOOKUP(B148,'Animals CE'!B:B,'Animals CE'!AA:AA)/2+0.05,0.05),200%),"No")</f>
        <v>No</v>
      </c>
      <c r="O148" s="2" t="str">
        <f>_xlfn.XLOOKUP(B148,'Base stats'!B:B,'Base stats'!R:R)</f>
        <v>Standard</v>
      </c>
      <c r="P148" s="13">
        <f>MROUND((LOG10(_xlfn.XLOOKUP(B148,'Base stats'!B:B,'Base stats'!AO:AO))*(AN148^0.5)+(_xlfn.XLOOKUP(B148,'Base stats'!B:B,'Base stats'!AO:AO)/1000)^(2/3)+_xlfn.XLOOKUP(B148,'Base stats'!B:B,'Base stats'!AX:AX)/2)+0.5,0.5)</f>
        <v>3</v>
      </c>
      <c r="Q148" s="7">
        <f>IF(P148="No","No",MAX(1,MROUND(_xlfn.XLOOKUP(B148,'Base stats'!B:B,'Base stats'!C:C)^0.165,0.05)))</f>
        <v>1.35</v>
      </c>
      <c r="R148" s="13" t="str">
        <f>IF(_xlfn.XLOOKUP(_xlfn.XLOOKUP(B148,'Base stats'!B:B,'Base stats'!E:E),Groups!A:A,Groups!P:P)=0,"No",MROUND((LOG10(_xlfn.XLOOKUP(B148,'Base stats'!B:B,'Base stats'!AP:AP))*(AN148^0.5)+(_xlfn.XLOOKUP(B148,'Base stats'!B:B,'Base stats'!AP:AP)/1000)^(2/3)+_xlfn.XLOOKUP(B148,'Base stats'!B:B,'Base stats'!AX:AX))+_xlfn.XLOOKUP(B148,'Base stats'!B:B,'Base stats'!AV:AV)+0.5,0.5))</f>
        <v>No</v>
      </c>
      <c r="S148" s="7" t="str">
        <f>IF(R148="No","No",MAX(_xlfn.XLOOKUP(_xlfn.XLOOKUP(B148,'Base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T148" s="7" t="str">
        <f>IF(R148="No","No",_xlfn.XLOOKUP(_xlfn.XLOOKUP(B148,'Base stats'!B:B,'Base stats'!E:E),Groups!A:A,Groups!R:R))</f>
        <v>No</v>
      </c>
      <c r="U148" s="7" t="str">
        <f>IF(R148="No","No",_xlfn.XLOOKUP(_xlfn.XLOOKUP(B148,'Base stats'!B:B,'Base stats'!E:E),Groups!A:A,Groups!S:S))</f>
        <v>No</v>
      </c>
      <c r="V148" s="7" t="str">
        <f>IF(R148="No","No",_xlfn.XLOOKUP(_xlfn.XLOOKUP(B148,'Base stats'!B:B,'Base stats'!E:E),Groups!A:A,Groups!T:T))</f>
        <v>No</v>
      </c>
      <c r="W148" s="13" t="str">
        <f>IF(_xlfn.XLOOKUP(B148,'Base stats'!B:B,'Base stats'!W:W)="No","No",MROUND((LOG10(_xlfn.XLOOKUP(B148,'Base stats'!B:B,'Base stats'!AR:AR))*(AN148^0.5)+(_xlfn.XLOOKUP(B148,'Base stats'!B:B,'Base stats'!AR:AR)/1000)^(2/3)+_xlfn.XLOOKUP(B148,'Base stats'!B:B,'Base stats'!AW:AW))+0.5+IF(_xlfn.XLOOKUP(_xlfn.XLOOKUP(B148,'Base stats'!B:B,'Base stats'!E:E),Groups!A:A,Groups!U:U)&lt;&gt;3,_xlfn.XLOOKUP(B148,'Base stats'!B:B,'Base stats'!AX:AX),0),0.5))</f>
        <v>No</v>
      </c>
      <c r="X148" s="7" t="str">
        <f>IF(W148="No","No",MAX(_xlfn.XLOOKUP(_xlfn.XLOOKUP(B148,'Base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Y148" s="7" t="str">
        <f>IF(W148="No","No",_xlfn.XLOOKUP(_xlfn.XLOOKUP(B148,'Base stats'!B:B,'Base stats'!E:E),Groups!A:A,Groups!W:W))</f>
        <v>No</v>
      </c>
      <c r="Z148" s="7" t="str">
        <f>IF(W148="No","No",_xlfn.XLOOKUP(_xlfn.XLOOKUP(B148,'Base stats'!B:B,'Base stats'!E:E),Groups!A:A,Groups!X:X))</f>
        <v>No</v>
      </c>
      <c r="AA148" s="7" t="str">
        <f>IF(W148="No","No",_xlfn.XLOOKUP(_xlfn.XLOOKUP(B148,'Base stats'!B:B,'Base stats'!E:E),Groups!A:A,Groups!Y:Y))</f>
        <v>No</v>
      </c>
      <c r="AB148" s="7" t="str">
        <f>_xlfn.XLOOKUP(Animals!B148,'Base stats'!B:B,'Base stats'!X:X)</f>
        <v>False</v>
      </c>
      <c r="AC148" s="13">
        <f>IF(_xlfn.XLOOKUP(B148,'Base stats'!B:B,'Base stats'!AQ:AQ)="No","No",MROUND((LOG10(_xlfn.XLOOKUP(B148,'Base stats'!B:B,'Base stats'!AQ:AQ))*(AN148^0.75)+(_xlfn.XLOOKUP(B148,'Base stats'!B:B,'Base stats'!AQ:AQ)/1000)^(2/3)+_xlfn.XLOOKUP(B148,'Base stats'!B:B,'Base stats'!AU:AU)+_xlfn.XLOOKUP(B148,'Base stats'!B:B,'Base stats'!AX:AX))+0.5,0.5))</f>
        <v>4.5</v>
      </c>
      <c r="AD148" s="7">
        <f>IF(AC148="No","No",MAX(_xlfn.XLOOKUP(_xlfn.XLOOKUP(B148,'Base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E148" s="7" t="str">
        <f>IF(AC148="No","No",_xlfn.XLOOKUP(_xlfn.XLOOKUP(B148,'Base stats'!B:B,'Base stats'!E:E),Groups!A:A,Groups!AA:AA))</f>
        <v>Teeth</v>
      </c>
      <c r="AF148" s="7" t="str">
        <f>IF(AC148="No","No",_xlfn.XLOOKUP(_xlfn.XLOOKUP(B148,'Base stats'!B:B,'Base stats'!E:E),Groups!A:A,Groups!AB:AB))</f>
        <v>canines</v>
      </c>
      <c r="AG148" s="7" t="str">
        <f>IF(AC148="No","No",_xlfn.XLOOKUP(_xlfn.XLOOKUP(B148,'Base stats'!B:B,'Base stats'!E:E),Groups!A:A,Groups!AC:AC))</f>
        <v>Bite</v>
      </c>
      <c r="AH148" s="13" t="str">
        <f>IF(_xlfn.XLOOKUP(_xlfn.XLOOKUP(B148,'Base stats'!B:B,'Base stats'!E:E),Groups!A:A,Groups!AD:AD)=0,"No",MROUND((LOG10(_xlfn.XLOOKUP(B148,'Base stats'!B:B,'Base stats'!AP:AP))*(AN148^0.75)+(_xlfn.XLOOKUP(B148,'Base stats'!B:B,'Base stats'!AP:AP)/1000)^(2/3)+_xlfn.XLOOKUP(B148,'Base stats'!B:B,'Base stats'!AV:AV)+_xlfn.XLOOKUP(B148,'Base stats'!B:B,'Base stats'!AX:AX))+0.5,0.5))</f>
        <v>No</v>
      </c>
      <c r="AI148" s="7" t="str">
        <f>IF(AH148="No","No",MAX(_xlfn.XLOOKUP(_xlfn.XLOOKUP(B148,'Base stats'!B:B,'Base stats'!E:E),Groups!A:A,Groups!AE:AE),MROUND(_xlfn.XLOOKUP(_xlfn.XLOOKUP(B148,'Base stats'!B:B,'Base stats'!E:E),Groups!A:A,Groups!AE:AE)*_xlfn.XLOOKUP(B148,'Base stats'!B:B,'Base stats'!C:C)^0.165,0.05)))</f>
        <v>No</v>
      </c>
      <c r="AJ148" s="7" t="str">
        <f>IF(AH148="No","No",_xlfn.XLOOKUP(_xlfn.XLOOKUP(B148,'Base stats'!B:B,'Base stats'!E:E),Groups!A:A,Groups!AF:AF))</f>
        <v>No</v>
      </c>
      <c r="AK148" s="7" t="str">
        <f>IF(AH148="No","No",_xlfn.XLOOKUP(_xlfn.XLOOKUP(B148,'Base stats'!B:B,'Base stats'!E:E),Groups!A:A,Groups!AG:AG))</f>
        <v>No</v>
      </c>
      <c r="AL148" s="7" t="str">
        <f>IF(AH148="No","No",_xlfn.XLOOKUP(_xlfn.XLOOKUP(B148,'Base stats'!B:B,'Base stats'!E:E),Groups!A:A,Groups!AH:AH))</f>
        <v>No</v>
      </c>
      <c r="AM148" s="2">
        <f t="shared" si="14"/>
        <v>15</v>
      </c>
      <c r="AN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O148" s="8">
        <f>MROUND(AN148*_xlfn.XLOOKUP(_xlfn.XLOOKUP(B148,'Base stats'!B:B,'Base stats'!E:E),Groups!A:A,Groups!AI:AI),0.05)</f>
        <v>0.4</v>
      </c>
      <c r="AP148" s="8">
        <f>MAX(0.01,MROUND(IF(CA148="True",0.196*(AN148*100*1000)^0.889,IF(_xlfn.XLOOKUP(_xlfn.XLOOKUP(B148,'Base stats'!B:B,'Base stats'!E:E),Groups!A:A,Groups!AJ:AJ)="Bird",10.5*(AN148*100*1000)^0.681,4.82*(AN148*100*1000)^0.734))/(4.82*(1*100*1000)^0.734)/IF(AN148&lt;3.5,2,IF(AN148=3.5,1.5,1.25))*(1+0.132282374779864/(AN148^0.994035016789033+0.00905238001496948)),0.05))</f>
        <v>0.30000000000000004</v>
      </c>
      <c r="AQ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R148" s="35">
        <f>IFERROR(IF(_xlfn.XLOOKUP(B148,'Base stats'!B:B,'Base stats'!F:F)="Lay eggs","Lay eggs",MIN(20,MAX(5.5,ROUND(((_xlfn.XLOOKUP(B148,'Base stats'!B:B,'Base stats'!F:F)-25)*(14.5/615) + 5.5)*2,0)/2))),"Cannot breed")</f>
        <v>6.5</v>
      </c>
      <c r="AS148" s="8">
        <f>IF(OR(A148="Queen",A148="Larva",A148="Megachicken"),"No",IFERROR(MAX(IF(_xlfn.XLOOKUP(B148,'Base stats'!B:B,'Base stats'!G:G)&lt;0.5,0.2,0.3),MROUND(_xlfn.XLOOKUP(B148,'Base stats'!B:B,'Base stats'!G:G)/(365/60),0.2)),"Unknown"))</f>
        <v>0.3</v>
      </c>
      <c r="AT148" s="8">
        <f t="shared" si="15"/>
        <v>0.15000000000000002</v>
      </c>
      <c r="AU148" s="8">
        <f>IFERROR(IFERROR(MROUND(_xlfn.XLOOKUP(B148,'Base stats'!B:B,'Base stats'!J:J),0.1),"Lay eggs"),"Cannot breed")</f>
        <v>6</v>
      </c>
      <c r="AV148" s="2" t="str">
        <f t="shared" si="16"/>
        <v>true</v>
      </c>
      <c r="AW148" s="2" t="str">
        <f>IF(_xlfn.XLOOKUP(_xlfn.XLOOKUP(Animals!B148,'Base stats'!B:B,'Base stats'!E:E),Groups!A:A,Groups!AK:AK)=1,"true","false")</f>
        <v>false</v>
      </c>
      <c r="AX148" s="25" t="str">
        <f>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</f>
        <v>OmnivoreAnimal, OvivoreAnimal</v>
      </c>
      <c r="AY148" s="2" t="str">
        <f>IF(_xlfn.XLOOKUP(_xlfn.XLOOKUP(B148,'Base stats'!B:B,'Base stats'!E:E),Groups!A:A,Groups!D:D)=1,MROUND((1-I148)*5+1,2)*IF(I148&lt;=0.4,2,1),"No")</f>
        <v>No</v>
      </c>
      <c r="AZ148" s="2" t="str">
        <f>_xlfn.XLOOKUP(B148,'Base stats'!B:B,'Base stats'!AE:AE)</f>
        <v>Leather_Dog</v>
      </c>
      <c r="BA148" s="23" t="str">
        <f>_xlfn.XLOOKUP(_xlfn.XLOOKUP(B148,'Base stats'!B:B,'Base stats'!E:E),Groups!A:A,Groups!AL:AL)</f>
        <v>QuadrupedAnimalWithPawsAndTail</v>
      </c>
      <c r="BB148" s="23">
        <f>MROUND(IF(AND(AN148&lt;0.5,_xlfn.XLOOKUP(B148,'Base stats'!B:B,'Base stats'!Z:Z)=0),0,IF(OR(_xlfn.XLOOKUP(Animals!B148,'Base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stats'!AA:AA),0.005)</f>
        <v>0</v>
      </c>
      <c r="BC148" s="23">
        <f>MROUND(IF(AND(AN148&lt;0.5,_xlfn.XLOOKUP(B148,'Base stats'!B:B,'Base stats'!Z:Z)=0),0,IF(_xlfn.XLOOKUP(_xlfn.XLOOKUP(B148,'Base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stats'!AB:AB),0.005)</f>
        <v>0</v>
      </c>
      <c r="BD148" s="2">
        <f>IF(I148&gt;0.3,"No",_xlfn.XLOOKUP(_xlfn.XLOOKUP(Animals!B148,'Base stats'!B:B,'Base stats'!E:E),Groups!A:A,Groups!AP:AP))</f>
        <v>1</v>
      </c>
      <c r="BE148" s="2">
        <f>IF(AND(I148&lt;=0.65,_xlfn.XLOOKUP(_xlfn.XLOOKUP(Animals!B148,'Base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stats'!O:O)=2,0.2,AN148) + 24*(1-IF(BD148="No",0,BD148)) + 16/3, 12),"No")</f>
        <v>12</v>
      </c>
      <c r="BF148" s="2">
        <f>IF(AND(_xlfn.XLOOKUP(_xlfn.XLOOKUP(B148,'Base stats'!B:B,'Base stats'!E:E),Groups!A:A,Groups!AQ:AQ)=1,AN148&lt;=0.35),8,12)</f>
        <v>12</v>
      </c>
      <c r="BG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H148" s="2" t="str">
        <f>IF(AND(_xlfn.XLOOKUP(_xlfn.XLOOKUP(B148,'Base stats'!B:B,'Base stats'!E:E),Groups!A:A,Groups!AS:AS)=1,OR('Base stats'!Y148="Carnivore",'Base stats'!Y148="Omnivore")),"true","false")</f>
        <v>true</v>
      </c>
      <c r="BI148" s="2">
        <f>IF(BH148="true",MROUND(IF(AND(AN148&gt;0.5,_xlfn.XLOOKUP(_xlfn.XLOOKUP(B148,'Base stats'!B:B,'Base stats'!E:E),Groups!A:A,Groups!AJ:AJ)="Mammal"),Animals!AN148*1.75*IF(AV148="true",1.5,1),Animals!AN148),IF(AN148&gt;2,0.5,IF(AN148&gt;0.5,0.25,0.1))),"No")</f>
        <v>0.4</v>
      </c>
      <c r="BJ148" s="2">
        <f t="shared" si="17"/>
        <v>1</v>
      </c>
      <c r="BK148" s="25" t="str">
        <f>IF('Base stats'!AK148="Standard","No",MROUND((_xlfn.XLOOKUP(B148,'Base stats'!B:B,'Base stats'!AK:AK)/3.6)/H148,0.1))</f>
        <v>No</v>
      </c>
      <c r="BL148" s="25" t="str">
        <f t="shared" si="18"/>
        <v>false</v>
      </c>
      <c r="BM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N148" s="25" t="str" cm="1">
        <f t="array" ref="BN148">IF(
  _xlfn.TEXTJOIN(", ",TRUE,
    IF(AND(BH148="true",AN148&gt;0.5,BG148&lt;&gt;"None"),"AttackTarget",""),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IF(BE148&lt;=36,"Comfort",""),
    IF(_xlfn.XLOOKUP(B148,'Base stats'!B:B,'Base stats'!AC:AC)&lt;&gt;"No",_xlfn.XLOOKUP(B148,'Base stats'!B:B,'Base stats'!AC:AC),"")
  ) = "",
  "No",
  _xlfn.TEXTJOIN(", ",TRUE,
    IF(AND(BH148="true",AN148&gt;0.5,BG148&lt;&gt;"None"),"AttackTarget",""),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IF(BE148&lt;=36,"Comfort",""),
    IF(_xlfn.XLOOKUP(B148,'Base stats'!B:B,'Base stats'!AC:AC)&lt;&gt;"No",_xlfn.XLOOKUP(B148,'Base stats'!B:B,'Base stats'!AC:AC),"")
  )
)</f>
        <v>Forage, Comfort</v>
      </c>
      <c r="BO148" s="25" t="str">
        <f>IF(
   AND(
      'Base stats'!AK148="Standard",_xlfn.XLOOKUP(_xlfn.XLOOKUP(B148,'Base stats'!B:B,'Base stats'!E:E),Groups!A:A,Groups!AU:AU)=0,
      OR(
      BM148="True"
      )
   ),
   10,
   IF(
       OR(BK148&lt;&gt;"No",_xlfn.XLOOKUP(_xlfn.XLOOKUP(B148,'Base stats'!B:B,'Base stats'!E:E),Groups!A:A,Groups!AU:AU)=1),
      1,
      "No"
   )
)</f>
        <v>No</v>
      </c>
      <c r="BP148" s="9">
        <f>MROUND((1 + ((0.2*IF(OR(P148="No",Q148="No",Q148=0),0,P148/Q148)
+IF(OR(U148="No",R148="No",S148="No"),0,R148/S148*(LEN(U148)-LEN(SUBSTITUTE(U148,",",""))+1))
+IF(OR(W148="No",X148="No"),0,W148/X148)
+IF(OR(AC148="No",AD148="No"),0,AC148/AD148)
+IF(OR(AK148="No",AH148="No",AI148="No"),0,AH148/AI148*(LEN(AK148)-LEN(SUBSTITUTE(AK148,",",""))+1))
)/(0.2*IF(OR(P148="No",Q148="No",Q148=0),0,1)
+IF(OR(U148="No",R148="No",S148="No"),0,LEN(U148)-LEN(SUBSTITUTE(U148,",",""))+1)
+IF(OR(W148="No",X148="No"),0,1)
+IF(OR(AC148="No",AD148="No"),0,1)
+IF(OR(AK148="No",AH148="No",AI148="No"),0,LEN(AK148)-LEN(SUBSTITUTE(AK148,",",""))+1))*62%)* 2)*(1 + (AO148 + _xlfn.XLOOKUP(B148,'Base stats'!B:B,'Base stats'!AS:AS) * 1.8) * 2) * 2.5 + 10 + H148 * 2,5)+IF(_xlfn.XLOOKUP(B148,'Base stats'!B:B,'Base stats'!AH:AH)=1,50,0)</f>
        <v>45</v>
      </c>
      <c r="BQ148" s="8">
        <f t="shared" si="19"/>
        <v>0.30000000000000004</v>
      </c>
      <c r="BR148" s="8" t="str">
        <f>_xlfn.XLOOKUP(B148,'Base stats'!B:B,'Base stats'!AD:AD)</f>
        <v>2~4</v>
      </c>
      <c r="BS148" s="2" t="str">
        <f>IF(AND(I148&lt;=0.95,OR(_xlfn.XLOOKUP(B148,'Base stats'!B:B,'Base stats'!AH:AH)=1,_xlfn.XLOOKUP(B148,'Base stats'!B:B,'Base stats'!Y:Y)="Carnivore",_xlfn.XLOOKUP(B148,'Base stats'!B:B,'Base stats'!Y:Y)="Omnivore",BC148&gt;0.1)),"true","false")</f>
        <v>true</v>
      </c>
      <c r="BT148" s="2" t="str">
        <f>IF(_xlfn.XLOOKUP(B148,'Base stats'!B:B,'Base stats'!AF:AF)=1,"true","false")</f>
        <v>false</v>
      </c>
      <c r="BU148" s="25" t="str">
        <f>IF(E148="BaseInsect","AnimalInsect",
IF(I148&gt;0.95,"AnimalExotic",
_xlfn.TEXTJOIN(", ",TRUE,
IF(AND(_xlfn.XLOOKUP(B148,'Base stats'!B:B,'Base stats'!O:O)=0,_xlfn.XLOOKUP(_xlfn.XLOOKUP(B148,'Base stats'!B:B,'Base stats'!E:E),Groups!A:A,Groups!B:B)&gt;0),"AnimalUncommon","AnimalCommon"),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stats'!AH:AH)=1,AND(BG148&lt;&gt;"None",BP148&gt;=60),ISNUMBER(SEARCH("Attack target",BN148))),"AnimalFighter","")
)))</f>
        <v>AnimalCommon, AnimalPet</v>
      </c>
      <c r="BV148" s="25" t="str">
        <f>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</f>
        <v/>
      </c>
      <c r="BW148" s="25" t="str">
        <f>IF(_xlfn.XLOOKUP(B148,'Base stats'!B:B,'Base stats'!AG:AG)=1,"true","false")</f>
        <v>false</v>
      </c>
      <c r="BX148" s="25">
        <f>IF(_xlfn.XLOOKUP(B148,'Base stats'!B:B,'Base stats'!N:N)=1,"No",MIN(MROUND(IF(OR(_xlfn.XLOOKUP(B148,'Base stats'!B:B,'Base stats'!AJ:AJ)=1,AND(BH148="True",CA148="False")),POWER(10,3.47*LOG10(_xlfn.XLOOKUP(B148,'Base stats'!B:B,'Base stats'!C:C)*1000)^-0.96),POWER(10,4.15*LOG10(_xlfn.XLOOKUP(B148,'Base stats'!B:B,'Base stats'!C:C)*1000)^-0.73))*IF(OR(_xlfn.XLOOKUP(B148,'Base stats'!B:B,'Base stats'!AJ:AJ)=1,_xlfn.XLOOKUP(B148,'Base stats'!B:B,'Base stats'!AH:AH)=1),0.5,1)/100,0.025),1))</f>
        <v>0.1</v>
      </c>
      <c r="BY148" s="25" t="str">
        <f>IF(O148="Standard","No",IF(_xlfn.XLOOKUP(B148,'Base stats'!B:B,'Base stats'!N:N)=0,MROUND(BX148*O148,0.05),MIN(1,MAX(0.025,MROUND(IF(OR(CA148="true",AND(BH148="false",BM148="false")),POWER(10,4.15*LOG10(_xlfn.XLOOKUP(B148,'Base stats'!B:B,'Base stats'!C:C)*1000)^-0.73),POWER(10,3.47*LOG10(_xlfn.XLOOKUP(B148,'Base stats'!B:B,'Base stats'!C:C)*1000)^-0.96))*IF(_xlfn.XLOOKUP(B148,'Base stats'!B:B,'Base stats'!AH:AH)=1,0.5,1)/100,0.025)))))</f>
        <v>No</v>
      </c>
      <c r="BZ148" s="25" t="str">
        <f>IF(_xlfn.XLOOKUP(_xlfn.XLOOKUP(B148,'Base stats'!B:B,'Base stats'!E:E),Groups!A:A,Groups!AJ:AJ)="Mammal","True","False")</f>
        <v>True</v>
      </c>
      <c r="CA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B148" s="25" t="str">
        <f t="shared" si="20"/>
        <v>False</v>
      </c>
      <c r="CC148" s="25" t="str">
        <f>IF(_xlfn.XLOOKUP(_xlfn.XLOOKUP(B148,'Base stats'!B:B,'Base stats'!E:E),Groups!A:A,Groups!AW:AW),"True","False")</f>
        <v>False</v>
      </c>
      <c r="CD148" s="25" t="str">
        <f>IF(_xlfn.XLOOKUP(_xlfn.XLOOKUP(B148,'Base stats'!B:B,'Base stats'!E:E),Groups!A:A,Groups!AX:AX),"True","False")</f>
        <v>False</v>
      </c>
      <c r="CE148" s="25" t="str">
        <f>IF(_xlfn.XLOOKUP(B148,'Base stats'!B:B,'Base stats'!E:E)=1,"True","False")</f>
        <v>False</v>
      </c>
      <c r="CF148" s="25" t="str">
        <f>IF(
OR(
_xlfn.XLOOKUP(_xlfn.XLOOKUP(B148,'Base stats'!B:B,'Base stats'!E:E),Groups!A:A,Groups!AY:AY)=0,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stats'!E:E),Groups!A:A,Groups!AY:AY)=1,
"Flesh",
IF(
_xlfn.XLOOKUP(_xlfn.XLOOKUP(B148,'Base stats'!B:B,'Base stats'!E:E),Groups!A:A,Groups!AY:AY)=2,
"Bone",
""
)
)
)</f>
        <v>No</v>
      </c>
      <c r="CG148" s="25" t="str">
        <f>IF(_xlfn.XLOOKUP(_xlfn.XLOOKUP(B148,'Base stats'!B:B,'Base stats'!E:E),Groups!A:A,Groups!BA:BA),"True","False")</f>
        <v>True</v>
      </c>
      <c r="CH148" s="25" t="str">
        <f>IF(_xlfn.XLOOKUP(_xlfn.XLOOKUP(B148,'Base stats'!B:B,'Base stats'!E:E),Groups!A:A,Groups!AZ:AZ),"True","False")</f>
        <v>False</v>
      </c>
    </row>
    <row r="149" spans="1:86" ht="16.5" thickTop="1" thickBot="1" x14ac:dyDescent="0.3">
      <c r="A149" s="26" t="str">
        <f>_xlfn.XLOOKUP(B149,'Base stats'!B:B,'Base stats'!A:A)</f>
        <v>AiredaleTerrier</v>
      </c>
      <c r="B149" s="6" t="s">
        <v>914</v>
      </c>
      <c r="C149" s="28" t="s">
        <v>842</v>
      </c>
      <c r="D149" s="28" t="s">
        <v>884</v>
      </c>
      <c r="E149" s="28" t="s">
        <v>685</v>
      </c>
      <c r="F149" s="28" t="s">
        <v>685</v>
      </c>
      <c r="G149" s="2">
        <f>MROUND((
  (IF(AND(_xlfn.XLOOKUP(B149,'Base stats'!B:B,'Base stats'!AI:AI)=0,BG149="None",_xlfn.XLOOKUP('Base stats'!E149,Groups!A:A,Groups!B:B)=0), (18 + BP149 * 2.7) * 0.5,
    IF(AND(_xlfn.XLOOKUP(B149,'Base stats'!B:B,'Base stats'!AI:AI)=0,OR(AN149&lt;0.55,AND(BG149="Intermediate",_xlfn.XLOOKUP('Base stats'!E149,Groups!A:A,Groups!B:B)&lt;2))), (18 + BP149 * 2.7),
      IF(OR(BG149="Advanced",_xlfn.XLOOKUP(B149,'Base stats'!B:B,'Base stats'!AI:AI)=1,_xlfn.XLOOKUP('Base stats'!E149,Groups!A:A,Groups!B:B)=2), (18 + BP149 * 2.7) + 250, (18 + BP149 * 2.7))
    )
  ))
  + AN149 * 80
  + IF(COUNTIF(EggMilk!K$2:K$998, A149) &gt; 0, 125, 0)
  + IF(COUNTIF(EggMilk!P$2:P$998, A149) &gt; 0, 90, 0)
  + IF(COUNTIF(EggMilk!A$2:A$998, A149) &gt; 0, 90, 0)
)
* (0.8 + 0.4 * I149)
* 0.75,25)</f>
        <v>300</v>
      </c>
      <c r="H149" s="2">
        <f>MROUND(ROUNDDOWN(_xlfn.XLOOKUP(B149,'Base stats'!B:B,'Base stats'!L:L)/3.6/(23.3/11),1),0.5)</f>
        <v>6.5</v>
      </c>
      <c r="I149" s="2">
        <f>IF(_xlfn.XLOOKUP(B149,'Base stats'!B:B,'Base stats'!AI:AI)=1,0.99,MIN(MROUND((1-0.6282*EXP(-0.459*AN149))*_xlfn.XLOOKUP(_xlfn.XLOOKUP(B149,'Base stats'!B:B,'Base stats'!E:E),Groups!A:A,Groups!C:C)*IF(_xlfn.XLOOKUP(B149,'Base stats'!B:B,'Base stats'!O:O)=1,0.5,IF(_xlfn.XLOOKUP(B149,'Base stats'!B:B,'Base stats'!O:O)=2,0,1)),0.05),0.985))</f>
        <v>0</v>
      </c>
      <c r="J149" s="2">
        <f>ROUNDUP(AN149*_xlfn.XLOOKUP(_xlfn.XLOOKUP(B149,'Base stats'!B:B,'Base stats'!E:E),Groups!A:A,Groups!E:E),0)</f>
        <v>1</v>
      </c>
      <c r="K149" s="2">
        <f>IF(OR(_xlfn.XLOOKUP(_xlfn.XLOOKUP(B149,'Base stats'!B:B,'Base stats'!E:E),Groups!A:A,Groups!F:F)=2,ISNUMBER(SEARCH("SeaIce",BV149)),ISNUMBER(SEARCH("IceSheet",BV149))),-50,IF(OR(ISNUMBER(SEARCH("GlacialPlain",BV149)),ISNUMBER(SEARCH("Tundra",BV149))),-40,IF(OR(ISNUMBER(SEARCH("Alpine",BV149)),ISNUMBER(SEARCH("BorealForest",BV149)),ISNUMBER(SEARCH("ColdBog",BV149))),-30,IF(OR(ISNUMBER(SEARCH("TemperateForest",BV149)),ISNUMBER(SEARCH("TemperateSwamp",BV149))),-20,IF(_xlfn.XLOOKUP(_xlfn.XLOOKUP(B149,'Base stats'!B:B,'Base stats'!E:E),Groups!A:A,Groups!F:F)=1,-15,IF(OR(ISNUMBER(SEARCH("Desert",BV149)),ISNUMBER(SEARCH("ExtremeDesert",BV149))),-10,IF(OR(ISNUMBER(SEARCH("Grasslands",BV149)),ISNUMBER(SEARCH("TropicalRainforest",BV149)),ISNUMBER(SEARCH("TropicalSwamp",BV149))),10,0)))))))-IF(CA149="False",MIN(IFERROR(MAX(MROUND(LOG10(_xlfn.XLOOKUP(B149,'Base stats'!B:B,'Base stats'!C:C)^(2/3))*10,5),5),5),30))-_xlfn.XLOOKUP(B149,'Base stats'!B:B,'Base stats'!P:P)+IF(CA149="True",5,0)</f>
        <v>-25</v>
      </c>
      <c r="L149" s="2">
        <f>IF(OR(_xlfn.XLOOKUP(_xlfn.XLOOKUP(B149,'Base stats'!B:B,'Base stats'!E:E),Groups!A:A,Groups!G:G)=2,ISNUMBER(SEARCH("Desert",BV149)),ISNUMBER(SEARCH("ExtremeDesert",BV149)),ISNUMBER(SEARCH("LavaField",BV149))),50,IF(ISNUMBER(SEARCH("Grasslands",BV149)),45,IF(OR(_xlfn.XLOOKUP(_xlfn.XLOOKUP(B149,'Base stats'!B:B,'Base stats'!E:E),Groups!A:A,Groups!G:G)=1,ISNUMBER(SEARCH("TropicalRainforest",BV149)),ISNUMBER(SEARCH("TropicalSwamp",BV149))),40,IF(OR(ISNUMBER(SEARCH("TemperateForest",BV149)),ISNUMBER(SEARCH("TemperateSwamp",BV149))),35,IF(OR(ISNUMBER(SEARCH("Alpine",BV149)),ISNUMBER(SEARCH("BorealForest",BV149)),ISNUMBER(SEARCH("ColdBog",BV149))),30,IF(ISNUMBER(OR(ISNUMBER(SEARCH("GlacialPlain",BV149)),SEARCH("Tundra",BV149))),25,IF(OR(ISNUMBER(SEARCH("SeaIce",BV149)),ISNUMBER(SEARCH("IceSheet",BV149)),ISNUMBER(SEARCH("TropicalSwamp",BV149))),10,35)))))))+_xlfn.XLOOKUP(B149,'Base stats'!B:B,'Base stats'!Q:Q)</f>
        <v>35</v>
      </c>
      <c r="M149" s="8" t="str">
        <f>IF(_xlfn.XLOOKUP(_xlfn.XLOOKUP(B149,'Base stats'!B:B,'Base stats'!E:E),Groups!A:A,Groups!L:L)=1,MIN(MROUND(_xlfn.XLOOKUP(B149,'Animals CE'!B:B,'Animals CE'!Z:Z)/2+0.05,0.05),200%),"No")</f>
        <v>No</v>
      </c>
      <c r="N149" s="8" t="str">
        <f>IF(_xlfn.XLOOKUP(_xlfn.XLOOKUP(B149,'Base stats'!B:B,'Base stats'!E:E),Groups!A:A,Groups!L:L)=1,MIN(MROUND(_xlfn.XLOOKUP(B149,'Animals CE'!B:B,'Animals CE'!AA:AA)/2+0.05,0.05),200%),"No")</f>
        <v>No</v>
      </c>
      <c r="O149" s="2" t="str">
        <f>_xlfn.XLOOKUP(B149,'Base stats'!B:B,'Base stats'!R:R)</f>
        <v>Standard</v>
      </c>
      <c r="P149" s="13">
        <f>MROUND((LOG10(_xlfn.XLOOKUP(B149,'Base stats'!B:B,'Base stats'!AO:AO))*(AN149^0.5)+(_xlfn.XLOOKUP(B149,'Base stats'!B:B,'Base stats'!AO:AO)/1000)^(2/3)+_xlfn.XLOOKUP(B149,'Base stats'!B:B,'Base stats'!AX:AX)/2)+0.5,0.5)</f>
        <v>5</v>
      </c>
      <c r="Q149" s="7">
        <f>IF(P149="No","No",MAX(1,MROUND(_xlfn.XLOOKUP(B149,'Base stats'!B:B,'Base stats'!C:C)^0.165,0.05)))</f>
        <v>1.6500000000000001</v>
      </c>
      <c r="R149" s="13" t="str">
        <f>IF(_xlfn.XLOOKUP(_xlfn.XLOOKUP(B149,'Base stats'!B:B,'Base stats'!E:E),Groups!A:A,Groups!P:P)=0,"No",MROUND((LOG10(_xlfn.XLOOKUP(B149,'Base stats'!B:B,'Base stats'!AP:AP))*(AN149^0.5)+(_xlfn.XLOOKUP(B149,'Base stats'!B:B,'Base stats'!AP:AP)/1000)^(2/3)+_xlfn.XLOOKUP(B149,'Base stats'!B:B,'Base stats'!AX:AX))+_xlfn.XLOOKUP(B149,'Base stats'!B:B,'Base stats'!AV:AV)+0.5,0.5))</f>
        <v>No</v>
      </c>
      <c r="S149" s="7" t="str">
        <f>IF(R149="No","No",MAX(_xlfn.XLOOKUP(_xlfn.XLOOKUP(B149,'Base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T149" s="7" t="str">
        <f>IF(R149="No","No",_xlfn.XLOOKUP(_xlfn.XLOOKUP(B149,'Base stats'!B:B,'Base stats'!E:E),Groups!A:A,Groups!R:R))</f>
        <v>No</v>
      </c>
      <c r="U149" s="7" t="str">
        <f>IF(R149="No","No",_xlfn.XLOOKUP(_xlfn.XLOOKUP(B149,'Base stats'!B:B,'Base stats'!E:E),Groups!A:A,Groups!S:S))</f>
        <v>No</v>
      </c>
      <c r="V149" s="7" t="str">
        <f>IF(R149="No","No",_xlfn.XLOOKUP(_xlfn.XLOOKUP(B149,'Base stats'!B:B,'Base stats'!E:E),Groups!A:A,Groups!T:T))</f>
        <v>No</v>
      </c>
      <c r="W149" s="13" t="str">
        <f>IF(_xlfn.XLOOKUP(B149,'Base stats'!B:B,'Base stats'!W:W)="No","No",MROUND((LOG10(_xlfn.XLOOKUP(B149,'Base stats'!B:B,'Base stats'!AR:AR))*(AN149^0.5)+(_xlfn.XLOOKUP(B149,'Base stats'!B:B,'Base stats'!AR:AR)/1000)^(2/3)+_xlfn.XLOOKUP(B149,'Base stats'!B:B,'Base stats'!AW:AW))+0.5+IF(_xlfn.XLOOKUP(_xlfn.XLOOKUP(B149,'Base stats'!B:B,'Base stats'!E:E),Groups!A:A,Groups!U:U)&lt;&gt;3,_xlfn.XLOOKUP(B149,'Base stats'!B:B,'Base stats'!AX:AX),0),0.5))</f>
        <v>No</v>
      </c>
      <c r="X149" s="7" t="str">
        <f>IF(W149="No","No",MAX(_xlfn.XLOOKUP(_xlfn.XLOOKUP(B149,'Base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Y149" s="7" t="str">
        <f>IF(W149="No","No",_xlfn.XLOOKUP(_xlfn.XLOOKUP(B149,'Base stats'!B:B,'Base stats'!E:E),Groups!A:A,Groups!W:W))</f>
        <v>No</v>
      </c>
      <c r="Z149" s="7" t="str">
        <f>IF(W149="No","No",_xlfn.XLOOKUP(_xlfn.XLOOKUP(B149,'Base stats'!B:B,'Base stats'!E:E),Groups!A:A,Groups!X:X))</f>
        <v>No</v>
      </c>
      <c r="AA149" s="7" t="str">
        <f>IF(W149="No","No",_xlfn.XLOOKUP(_xlfn.XLOOKUP(B149,'Base stats'!B:B,'Base stats'!E:E),Groups!A:A,Groups!Y:Y))</f>
        <v>No</v>
      </c>
      <c r="AB149" s="7" t="str">
        <f>_xlfn.XLOOKUP(Animals!B149,'Base stats'!B:B,'Base stats'!X:X)</f>
        <v>False</v>
      </c>
      <c r="AC149" s="13">
        <f>IF(_xlfn.XLOOKUP(B149,'Base stats'!B:B,'Base stats'!AQ:AQ)="No","No",MROUND((LOG10(_xlfn.XLOOKUP(B149,'Base stats'!B:B,'Base stats'!AQ:AQ))*(AN149^0.75)+(_xlfn.XLOOKUP(B149,'Base stats'!B:B,'Base stats'!AQ:AQ)/1000)^(2/3)+_xlfn.XLOOKUP(B149,'Base stats'!B:B,'Base stats'!AU:AU)+_xlfn.XLOOKUP(B149,'Base stats'!B:B,'Base stats'!AX:AX))+0.5,0.5))</f>
        <v>8.5</v>
      </c>
      <c r="AD149" s="7">
        <f>IF(AC149="No","No",MAX(_xlfn.XLOOKUP(_xlfn.XLOOKUP(B149,'Base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E149" s="7" t="str">
        <f>IF(AC149="No","No",_xlfn.XLOOKUP(_xlfn.XLOOKUP(B149,'Base stats'!B:B,'Base stats'!E:E),Groups!A:A,Groups!AA:AA))</f>
        <v>Teeth</v>
      </c>
      <c r="AF149" s="7" t="str">
        <f>IF(AC149="No","No",_xlfn.XLOOKUP(_xlfn.XLOOKUP(B149,'Base stats'!B:B,'Base stats'!E:E),Groups!A:A,Groups!AB:AB))</f>
        <v>canines</v>
      </c>
      <c r="AG149" s="7" t="str">
        <f>IF(AC149="No","No",_xlfn.XLOOKUP(_xlfn.XLOOKUP(B149,'Base stats'!B:B,'Base stats'!E:E),Groups!A:A,Groups!AC:AC))</f>
        <v>Bite</v>
      </c>
      <c r="AH149" s="13" t="str">
        <f>IF(_xlfn.XLOOKUP(_xlfn.XLOOKUP(B149,'Base stats'!B:B,'Base stats'!E:E),Groups!A:A,Groups!AD:AD)=0,"No",MROUND((LOG10(_xlfn.XLOOKUP(B149,'Base stats'!B:B,'Base stats'!AP:AP))*(AN149^0.75)+(_xlfn.XLOOKUP(B149,'Base stats'!B:B,'Base stats'!AP:AP)/1000)^(2/3)+_xlfn.XLOOKUP(B149,'Base stats'!B:B,'Base stats'!AV:AV)+_xlfn.XLOOKUP(B149,'Base stats'!B:B,'Base stats'!AX:AX))+0.5,0.5))</f>
        <v>No</v>
      </c>
      <c r="AI149" s="7" t="str">
        <f>IF(AH149="No","No",MAX(_xlfn.XLOOKUP(_xlfn.XLOOKUP(B149,'Base stats'!B:B,'Base stats'!E:E),Groups!A:A,Groups!AE:AE),MROUND(_xlfn.XLOOKUP(_xlfn.XLOOKUP(B149,'Base stats'!B:B,'Base stats'!E:E),Groups!A:A,Groups!AE:AE)*_xlfn.XLOOKUP(B149,'Base stats'!B:B,'Base stats'!C:C)^0.165,0.05)))</f>
        <v>No</v>
      </c>
      <c r="AJ149" s="7" t="str">
        <f>IF(AH149="No","No",_xlfn.XLOOKUP(_xlfn.XLOOKUP(B149,'Base stats'!B:B,'Base stats'!E:E),Groups!A:A,Groups!AF:AF))</f>
        <v>No</v>
      </c>
      <c r="AK149" s="7" t="str">
        <f>IF(AH149="No","No",_xlfn.XLOOKUP(_xlfn.XLOOKUP(B149,'Base stats'!B:B,'Base stats'!E:E),Groups!A:A,Groups!AG:AG))</f>
        <v>No</v>
      </c>
      <c r="AL149" s="7" t="str">
        <f>IF(AH149="No","No",_xlfn.XLOOKUP(_xlfn.XLOOKUP(B149,'Base stats'!B:B,'Base stats'!E:E),Groups!A:A,Groups!AH:AH))</f>
        <v>No</v>
      </c>
      <c r="AM149" s="2">
        <f t="shared" si="14"/>
        <v>20</v>
      </c>
      <c r="AN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O149" s="8">
        <f>MROUND(AN149*_xlfn.XLOOKUP(_xlfn.XLOOKUP(B149,'Base stats'!B:B,'Base stats'!E:E),Groups!A:A,Groups!AI:AI),0.05)</f>
        <v>0.70000000000000007</v>
      </c>
      <c r="AP149" s="8">
        <f>MAX(0.01,MROUND(IF(CA149="True",0.196*(AN149*100*1000)^0.889,IF(_xlfn.XLOOKUP(_xlfn.XLOOKUP(B149,'Base stats'!B:B,'Base stats'!E:E),Groups!A:A,Groups!AJ:AJ)="Bird",10.5*(AN149*100*1000)^0.681,4.82*(AN149*100*1000)^0.734))/(4.82*(1*100*1000)^0.734)/IF(AN149&lt;3.5,2,IF(AN149=3.5,1.5,1.25))*(1+0.132282374779864/(AN149^0.994035016789033+0.00905238001496948)),0.05))</f>
        <v>0.4</v>
      </c>
      <c r="AQ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R149" s="35">
        <f>IFERROR(IF(_xlfn.XLOOKUP(B149,'Base stats'!B:B,'Base stats'!F:F)="Lay eggs","Lay eggs",MIN(20,MAX(5.5,ROUND(((_xlfn.XLOOKUP(B149,'Base stats'!B:B,'Base stats'!F:F)-25)*(14.5/615) + 5.5)*2,0)/2))),"Cannot breed")</f>
        <v>6.5</v>
      </c>
      <c r="AS149" s="8">
        <f>IF(OR(A149="Queen",A149="Larva",A149="Megachicken"),"No",IFERROR(MAX(IF(_xlfn.XLOOKUP(B149,'Base stats'!B:B,'Base stats'!G:G)&lt;0.5,0.2,0.3),MROUND(_xlfn.XLOOKUP(B149,'Base stats'!B:B,'Base stats'!G:G)/(365/60),0.2)),"Unknown"))</f>
        <v>0.3</v>
      </c>
      <c r="AT149" s="8">
        <f t="shared" si="15"/>
        <v>0.15000000000000002</v>
      </c>
      <c r="AU149" s="8">
        <f>IFERROR(IFERROR(MROUND(_xlfn.XLOOKUP(B149,'Base stats'!B:B,'Base stats'!J:J),0.1),"Lay eggs"),"Cannot breed")</f>
        <v>6</v>
      </c>
      <c r="AV149" s="2" t="str">
        <f t="shared" si="16"/>
        <v>true</v>
      </c>
      <c r="AW149" s="2" t="str">
        <f>IF(_xlfn.XLOOKUP(_xlfn.XLOOKUP(Animals!B149,'Base stats'!B:B,'Base stats'!E:E),Groups!A:A,Groups!AK:AK)=1,"true","false")</f>
        <v>false</v>
      </c>
      <c r="AX149" s="25" t="str">
        <f>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</f>
        <v>OmnivoreAnimal, OvivoreAnimal</v>
      </c>
      <c r="AY149" s="2" t="str">
        <f>IF(_xlfn.XLOOKUP(_xlfn.XLOOKUP(B149,'Base stats'!B:B,'Base stats'!E:E),Groups!A:A,Groups!D:D)=1,MROUND((1-I149)*5+1,2)*IF(I149&lt;=0.4,2,1),"No")</f>
        <v>No</v>
      </c>
      <c r="AZ149" s="2" t="str">
        <f>_xlfn.XLOOKUP(B149,'Base stats'!B:B,'Base stats'!AE:AE)</f>
        <v>Leather_Dog</v>
      </c>
      <c r="BA149" s="23" t="str">
        <f>_xlfn.XLOOKUP(_xlfn.XLOOKUP(B149,'Base stats'!B:B,'Base stats'!E:E),Groups!A:A,Groups!AL:AL)</f>
        <v>QuadrupedAnimalWithPawsAndTail</v>
      </c>
      <c r="BB149" s="23">
        <f>MROUND(IF(AND(AN149&lt;0.5,_xlfn.XLOOKUP(B149,'Base stats'!B:B,'Base stats'!Z:Z)=0),0,IF(OR(_xlfn.XLOOKUP(Animals!B149,'Base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stats'!AA:AA),0.005)</f>
        <v>0</v>
      </c>
      <c r="BC149" s="23">
        <f>MROUND(IF(AND(AN149&lt;0.5,_xlfn.XLOOKUP(B149,'Base stats'!B:B,'Base stats'!Z:Z)=0),0,IF(_xlfn.XLOOKUP(_xlfn.XLOOKUP(B149,'Base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stats'!AB:AB),0.005)</f>
        <v>0.1</v>
      </c>
      <c r="BD149" s="2">
        <f>IF(I149&gt;0.3,"No",_xlfn.XLOOKUP(_xlfn.XLOOKUP(Animals!B149,'Base stats'!B:B,'Base stats'!E:E),Groups!A:A,Groups!AP:AP))</f>
        <v>1</v>
      </c>
      <c r="BE149" s="2">
        <f>IF(AND(I149&lt;=0.65,_xlfn.XLOOKUP(_xlfn.XLOOKUP(Animals!B149,'Base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stats'!O:O)=2,0.2,AN149) + 24*(1-IF(BD149="No",0,BD149)) + 16/3, 12),"No")</f>
        <v>12</v>
      </c>
      <c r="BF149" s="2">
        <f>IF(AND(_xlfn.XLOOKUP(_xlfn.XLOOKUP(B149,'Base stats'!B:B,'Base stats'!E:E),Groups!A:A,Groups!AQ:AQ)=1,AN149&lt;=0.35),8,12)</f>
        <v>12</v>
      </c>
      <c r="BG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H149" s="2" t="str">
        <f>IF(AND(_xlfn.XLOOKUP(_xlfn.XLOOKUP(B149,'Base stats'!B:B,'Base stats'!E:E),Groups!A:A,Groups!AS:AS)=1,OR('Base stats'!Y149="Carnivore",'Base stats'!Y149="Omnivore")),"true","false")</f>
        <v>true</v>
      </c>
      <c r="BI149" s="2">
        <f>IF(BH149="true",MROUND(IF(AND(AN149&gt;0.5,_xlfn.XLOOKUP(_xlfn.XLOOKUP(B149,'Base stats'!B:B,'Base stats'!E:E),Groups!A:A,Groups!AJ:AJ)="Mammal"),Animals!AN149*1.75*IF(AV149="true",1.5,1),Animals!AN149),IF(AN149&gt;2,0.5,IF(AN149&gt;0.5,0.25,0.1))),"No")</f>
        <v>1.5</v>
      </c>
      <c r="BJ149" s="2">
        <f t="shared" si="17"/>
        <v>1</v>
      </c>
      <c r="BK149" s="25" t="str">
        <f>IF('Base stats'!AK149="Standard","No",MROUND((_xlfn.XLOOKUP(B149,'Base stats'!B:B,'Base stats'!AK:AK)/3.6)/H149,0.1))</f>
        <v>No</v>
      </c>
      <c r="BL149" s="25" t="str">
        <f t="shared" si="18"/>
        <v>false</v>
      </c>
      <c r="BM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N149" s="25" t="str" cm="1">
        <f t="array" ref="BN149">IF(
  _xlfn.TEXTJOIN(", ",TRUE,
    IF(AND(BH149="true",AN149&gt;0.5,BG149&lt;&gt;"None"),"AttackTarget",""),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IF(BE149&lt;=36,"Comfort",""),
    IF(_xlfn.XLOOKUP(B149,'Base stats'!B:B,'Base stats'!AC:AC)&lt;&gt;"No",_xlfn.XLOOKUP(B149,'Base stats'!B:B,'Base stats'!AC:AC),"")
  ) = "",
  "No",
  _xlfn.TEXTJOIN(", ",TRUE,
    IF(AND(BH149="true",AN149&gt;0.5,BG149&lt;&gt;"None"),"AttackTarget",""),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IF(BE149&lt;=36,"Comfort",""),
    IF(_xlfn.XLOOKUP(B149,'Base stats'!B:B,'Base stats'!AC:AC)&lt;&gt;"No",_xlfn.XLOOKUP(B149,'Base stats'!B:B,'Base stats'!AC:AC),"")
  )
)</f>
        <v>AttackTarget, Forage, Comfort</v>
      </c>
      <c r="BO149" s="25" t="str">
        <f>IF(
   AND(
      'Base stats'!AK149="Standard",_xlfn.XLOOKUP(_xlfn.XLOOKUP(B149,'Base stats'!B:B,'Base stats'!E:E),Groups!A:A,Groups!AU:AU)=0,
      OR(
      BM149="True"
      )
   ),
   10,
   IF(
       OR(BK149&lt;&gt;"No",_xlfn.XLOOKUP(_xlfn.XLOOKUP(B149,'Base stats'!B:B,'Base stats'!E:E),Groups!A:A,Groups!AU:AU)=1),
      1,
      "No"
   )
)</f>
        <v>No</v>
      </c>
      <c r="BP149" s="9">
        <f>MROUND((1 + ((0.2*IF(OR(P149="No",Q149="No",Q149=0),0,P149/Q149)
+IF(OR(U149="No",R149="No",S149="No"),0,R149/S149*(LEN(U149)-LEN(SUBSTITUTE(U149,",",""))+1))
+IF(OR(W149="No",X149="No"),0,W149/X149)
+IF(OR(AC149="No",AD149="No"),0,AC149/AD149)
+IF(OR(AK149="No",AH149="No",AI149="No"),0,AH149/AI149*(LEN(AK149)-LEN(SUBSTITUTE(AK149,",",""))+1))
)/(0.2*IF(OR(P149="No",Q149="No",Q149=0),0,1)
+IF(OR(U149="No",R149="No",S149="No"),0,LEN(U149)-LEN(SUBSTITUTE(U149,",",""))+1)
+IF(OR(W149="No",X149="No"),0,1)
+IF(OR(AC149="No",AD149="No"),0,1)
+IF(OR(AK149="No",AH149="No",AI149="No"),0,LEN(AK149)-LEN(SUBSTITUTE(AK149,",",""))+1))*62%)* 2)*(1 + (AO149 + _xlfn.XLOOKUP(B149,'Base stats'!B:B,'Base stats'!AS:AS) * 1.8) * 2) * 2.5 + 10 + H149 * 2,5)+IF(_xlfn.XLOOKUP(B149,'Base stats'!B:B,'Base stats'!AH:AH)=1,50,0)</f>
        <v>70</v>
      </c>
      <c r="BQ149" s="8">
        <f t="shared" si="19"/>
        <v>0.45</v>
      </c>
      <c r="BR149" s="8" t="str">
        <f>_xlfn.XLOOKUP(B149,'Base stats'!B:B,'Base stats'!AD:AD)</f>
        <v>2~4</v>
      </c>
      <c r="BS149" s="2" t="str">
        <f>IF(AND(I149&lt;=0.95,OR(_xlfn.XLOOKUP(B149,'Base stats'!B:B,'Base stats'!AH:AH)=1,_xlfn.XLOOKUP(B149,'Base stats'!B:B,'Base stats'!Y:Y)="Carnivore",_xlfn.XLOOKUP(B149,'Base stats'!B:B,'Base stats'!Y:Y)="Omnivore",BC149&gt;0.1)),"true","false")</f>
        <v>true</v>
      </c>
      <c r="BT149" s="2" t="str">
        <f>IF(_xlfn.XLOOKUP(B149,'Base stats'!B:B,'Base stats'!AF:AF)=1,"true","false")</f>
        <v>false</v>
      </c>
      <c r="BU149" s="25" t="str">
        <f>IF(E149="BaseInsect","AnimalInsect",
IF(I149&gt;0.95,"AnimalExotic",
_xlfn.TEXTJOIN(", ",TRUE,
IF(AND(_xlfn.XLOOKUP(B149,'Base stats'!B:B,'Base stats'!O:O)=0,_xlfn.XLOOKUP(_xlfn.XLOOKUP(B149,'Base stats'!B:B,'Base stats'!E:E),Groups!A:A,Groups!B:B)&gt;0),"AnimalUncommon","AnimalCommon"),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stats'!AH:AH)=1,AND(BG149&lt;&gt;"None",BP149&gt;=60),ISNUMBER(SEARCH("Attack target",BN149))),"AnimalFighter","")
)))</f>
        <v>AnimalCommon, AnimalPet, AnimalFighter</v>
      </c>
      <c r="BV149" s="25" t="str">
        <f>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</f>
        <v/>
      </c>
      <c r="BW149" s="25" t="str">
        <f>IF(_xlfn.XLOOKUP(B149,'Base stats'!B:B,'Base stats'!AG:AG)=1,"true","false")</f>
        <v>false</v>
      </c>
      <c r="BX149" s="25">
        <f>IF(_xlfn.XLOOKUP(B149,'Base stats'!B:B,'Base stats'!N:N)=1,"No",MIN(MROUND(IF(OR(_xlfn.XLOOKUP(B149,'Base stats'!B:B,'Base stats'!AJ:AJ)=1,AND(BH149="True",CA149="False")),POWER(10,3.47*LOG10(_xlfn.XLOOKUP(B149,'Base stats'!B:B,'Base stats'!C:C)*1000)^-0.96),POWER(10,4.15*LOG10(_xlfn.XLOOKUP(B149,'Base stats'!B:B,'Base stats'!C:C)*1000)^-0.73))*IF(OR(_xlfn.XLOOKUP(B149,'Base stats'!B:B,'Base stats'!AJ:AJ)=1,_xlfn.XLOOKUP(B149,'Base stats'!B:B,'Base stats'!AH:AH)=1),0.5,1)/100,0.025),1))</f>
        <v>7.5000000000000011E-2</v>
      </c>
      <c r="BY149" s="25" t="str">
        <f>IF(O149="Standard","No",IF(_xlfn.XLOOKUP(B149,'Base stats'!B:B,'Base stats'!N:N)=0,MROUND(BX149*O149,0.05),MIN(1,MAX(0.025,MROUND(IF(OR(CA149="true",AND(BH149="false",BM149="false")),POWER(10,4.15*LOG10(_xlfn.XLOOKUP(B149,'Base stats'!B:B,'Base stats'!C:C)*1000)^-0.73),POWER(10,3.47*LOG10(_xlfn.XLOOKUP(B149,'Base stats'!B:B,'Base stats'!C:C)*1000)^-0.96))*IF(_xlfn.XLOOKUP(B149,'Base stats'!B:B,'Base stats'!AH:AH)=1,0.5,1)/100,0.025)))))</f>
        <v>No</v>
      </c>
      <c r="BZ149" s="25" t="str">
        <f>IF(_xlfn.XLOOKUP(_xlfn.XLOOKUP(B149,'Base stats'!B:B,'Base stats'!E:E),Groups!A:A,Groups!AJ:AJ)="Mammal","True","False")</f>
        <v>True</v>
      </c>
      <c r="CA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B149" s="25" t="str">
        <f t="shared" si="20"/>
        <v>False</v>
      </c>
      <c r="CC149" s="25" t="str">
        <f>IF(_xlfn.XLOOKUP(_xlfn.XLOOKUP(B149,'Base stats'!B:B,'Base stats'!E:E),Groups!A:A,Groups!AW:AW),"True","False")</f>
        <v>False</v>
      </c>
      <c r="CD149" s="25" t="str">
        <f>IF(_xlfn.XLOOKUP(_xlfn.XLOOKUP(B149,'Base stats'!B:B,'Base stats'!E:E),Groups!A:A,Groups!AX:AX),"True","False")</f>
        <v>False</v>
      </c>
      <c r="CE149" s="25" t="str">
        <f>IF(_xlfn.XLOOKUP(B149,'Base stats'!B:B,'Base stats'!E:E)=1,"True","False")</f>
        <v>False</v>
      </c>
      <c r="CF149" s="25" t="str">
        <f>IF(
OR(
_xlfn.XLOOKUP(_xlfn.XLOOKUP(B149,'Base stats'!B:B,'Base stats'!E:E),Groups!A:A,Groups!AY:AY)=0,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stats'!E:E),Groups!A:A,Groups!AY:AY)=1,
"Flesh",
IF(
_xlfn.XLOOKUP(_xlfn.XLOOKUP(B149,'Base stats'!B:B,'Base stats'!E:E),Groups!A:A,Groups!AY:AY)=2,
"Bone",
""
)
)
)</f>
        <v>No</v>
      </c>
      <c r="CG149" s="25" t="str">
        <f>IF(_xlfn.XLOOKUP(_xlfn.XLOOKUP(B149,'Base stats'!B:B,'Base stats'!E:E),Groups!A:A,Groups!BA:BA),"True","False")</f>
        <v>True</v>
      </c>
      <c r="CH149" s="25" t="str">
        <f>IF(_xlfn.XLOOKUP(_xlfn.XLOOKUP(B149,'Base stats'!B:B,'Base stats'!E:E),Groups!A:A,Groups!AZ:AZ),"True","False")</f>
        <v>False</v>
      </c>
    </row>
    <row r="150" spans="1:86" s="16" customFormat="1" ht="16.5" thickTop="1" thickBot="1" x14ac:dyDescent="0.3">
      <c r="A150" s="26" t="str">
        <f>_xlfn.XLOOKUP(B150,'Base stats'!B:B,'Base stats'!A:A)</f>
        <v>Abyssinian cat</v>
      </c>
      <c r="B150" s="6" t="s">
        <v>915</v>
      </c>
      <c r="C150" s="28" t="s">
        <v>843</v>
      </c>
      <c r="D150" s="28" t="s">
        <v>884</v>
      </c>
      <c r="E150" s="28" t="s">
        <v>685</v>
      </c>
      <c r="F150" s="28" t="s">
        <v>685</v>
      </c>
      <c r="G150" s="2">
        <f>MROUND((
  (IF(AND(_xlfn.XLOOKUP(B150,'Base stats'!B:B,'Base stats'!AI:AI)=0,BG150="None",_xlfn.XLOOKUP('Base stats'!E150,Groups!A:A,Groups!B:B)=0), (18 + BP150 * 2.7) * 0.5,
    IF(AND(_xlfn.XLOOKUP(B150,'Base stats'!B:B,'Base stats'!AI:AI)=0,OR(AN150&lt;0.55,AND(BG150="Intermediate",_xlfn.XLOOKUP('Base stats'!E150,Groups!A:A,Groups!B:B)&lt;2))), (18 + BP150 * 2.7),
      IF(OR(BG150="Advanced",_xlfn.XLOOKUP(B150,'Base stats'!B:B,'Base stats'!AI:AI)=1,_xlfn.XLOOKUP('Base stats'!E150,Groups!A:A,Groups!B:B)=2), (18 + BP150 * 2.7) + 250, (18 + BP150 * 2.7))
    )
  ))
  + AN150 * 80
  + IF(COUNTIF(EggMilk!K$2:K$998, A150) &gt; 0, 125, 0)
  + IF(COUNTIF(EggMilk!P$2:P$998, A150) &gt; 0, 90, 0)
  + IF(COUNTIF(EggMilk!A$2:A$998, A150) &gt; 0, 90, 0)
)
* (0.8 + 0.4 * I150)
* 0.75,25)</f>
        <v>100</v>
      </c>
      <c r="H150" s="2">
        <f>MROUND(ROUNDDOWN(_xlfn.XLOOKUP(B150,'Base stats'!B:B,'Base stats'!L:L)/3.6/(23.3/11),1),0.5)</f>
        <v>5.5</v>
      </c>
      <c r="I150" s="2">
        <f>IF(_xlfn.XLOOKUP(B150,'Base stats'!B:B,'Base stats'!AI:AI)=1,0.99,MIN(MROUND((1-0.6282*EXP(-0.459*AN150))*_xlfn.XLOOKUP(_xlfn.XLOOKUP(B150,'Base stats'!B:B,'Base stats'!E:E),Groups!A:A,Groups!C:C)*IF(_xlfn.XLOOKUP(B150,'Base stats'!B:B,'Base stats'!O:O)=1,0.5,IF(_xlfn.XLOOKUP(B150,'Base stats'!B:B,'Base stats'!O:O)=2,0,1)),0.05),0.985))</f>
        <v>0</v>
      </c>
      <c r="J150" s="2">
        <f>ROUNDUP(AN150*_xlfn.XLOOKUP(_xlfn.XLOOKUP(B150,'Base stats'!B:B,'Base stats'!E:E),Groups!A:A,Groups!E:E),0)</f>
        <v>1</v>
      </c>
      <c r="K150" s="2">
        <f>IF(OR(_xlfn.XLOOKUP(_xlfn.XLOOKUP(B150,'Base stats'!B:B,'Base stats'!E:E),Groups!A:A,Groups!F:F)=2,ISNUMBER(SEARCH("SeaIce",BV150)),ISNUMBER(SEARCH("IceSheet",BV150))),-50,IF(OR(ISNUMBER(SEARCH("GlacialPlain",BV150)),ISNUMBER(SEARCH("Tundra",BV150))),-40,IF(OR(ISNUMBER(SEARCH("Alpine",BV150)),ISNUMBER(SEARCH("BorealForest",BV150)),ISNUMBER(SEARCH("ColdBog",BV150))),-30,IF(OR(ISNUMBER(SEARCH("TemperateForest",BV150)),ISNUMBER(SEARCH("TemperateSwamp",BV150))),-20,IF(_xlfn.XLOOKUP(_xlfn.XLOOKUP(B150,'Base stats'!B:B,'Base stats'!E:E),Groups!A:A,Groups!F:F)=1,-15,IF(OR(ISNUMBER(SEARCH("Desert",BV150)),ISNUMBER(SEARCH("ExtremeDesert",BV150))),-10,IF(OR(ISNUMBER(SEARCH("Grasslands",BV150)),ISNUMBER(SEARCH("TropicalRainforest",BV150)),ISNUMBER(SEARCH("TropicalSwamp",BV150))),10,0)))))))-IF(CA150="False",MIN(IFERROR(MAX(MROUND(LOG10(_xlfn.XLOOKUP(B150,'Base stats'!B:B,'Base stats'!C:C)^(2/3))*10,5),5),5),30))-_xlfn.XLOOKUP(B150,'Base stats'!B:B,'Base stats'!P:P)+IF(CA150="True",5,0)</f>
        <v>-15</v>
      </c>
      <c r="L150" s="2">
        <f>IF(OR(_xlfn.XLOOKUP(_xlfn.XLOOKUP(B150,'Base stats'!B:B,'Base stats'!E:E),Groups!A:A,Groups!G:G)=2,ISNUMBER(SEARCH("Desert",BV150)),ISNUMBER(SEARCH("ExtremeDesert",BV150)),ISNUMBER(SEARCH("LavaField",BV150))),50,IF(ISNUMBER(SEARCH("Grasslands",BV150)),45,IF(OR(_xlfn.XLOOKUP(_xlfn.XLOOKUP(B150,'Base stats'!B:B,'Base stats'!E:E),Groups!A:A,Groups!G:G)=1,ISNUMBER(SEARCH("TropicalRainforest",BV150)),ISNUMBER(SEARCH("TropicalSwamp",BV150))),40,IF(OR(ISNUMBER(SEARCH("TemperateForest",BV150)),ISNUMBER(SEARCH("TemperateSwamp",BV150))),35,IF(OR(ISNUMBER(SEARCH("Alpine",BV150)),ISNUMBER(SEARCH("BorealForest",BV150)),ISNUMBER(SEARCH("ColdBog",BV150))),30,IF(ISNUMBER(OR(ISNUMBER(SEARCH("GlacialPlain",BV150)),SEARCH("Tundra",BV150))),25,IF(OR(ISNUMBER(SEARCH("SeaIce",BV150)),ISNUMBER(SEARCH("IceSheet",BV150)),ISNUMBER(SEARCH("TropicalSwamp",BV150))),10,35)))))))+_xlfn.XLOOKUP(B150,'Base stats'!B:B,'Base stats'!Q:Q)</f>
        <v>40</v>
      </c>
      <c r="M150" s="8" t="str">
        <f>IF(_xlfn.XLOOKUP(_xlfn.XLOOKUP(B150,'Base stats'!B:B,'Base stats'!E:E),Groups!A:A,Groups!L:L)=1,MIN(MROUND(_xlfn.XLOOKUP(B150,'Animals CE'!B:B,'Animals CE'!Z:Z)/2+0.05,0.05),200%),"No")</f>
        <v>No</v>
      </c>
      <c r="N150" s="8" t="str">
        <f>IF(_xlfn.XLOOKUP(_xlfn.XLOOKUP(B150,'Base stats'!B:B,'Base stats'!E:E),Groups!A:A,Groups!L:L)=1,MIN(MROUND(_xlfn.XLOOKUP(B150,'Animals CE'!B:B,'Animals CE'!AA:AA)/2+0.05,0.05),200%),"No")</f>
        <v>No</v>
      </c>
      <c r="O150" s="2" t="str">
        <f>_xlfn.XLOOKUP(B150,'Base stats'!B:B,'Base stats'!R:R)</f>
        <v>Standard</v>
      </c>
      <c r="P150" s="13">
        <f>MROUND((LOG10(_xlfn.XLOOKUP(B150,'Base stats'!B:B,'Base stats'!AO:AO))*(AN150^0.5)+(_xlfn.XLOOKUP(B150,'Base stats'!B:B,'Base stats'!AO:AO)/1000)^(2/3)+_xlfn.XLOOKUP(B150,'Base stats'!B:B,'Base stats'!AX:AX)/2)+0.5,0.5)</f>
        <v>2.5</v>
      </c>
      <c r="Q150" s="7">
        <f>IF(P150="No","No",MAX(1,MROUND(_xlfn.XLOOKUP(B150,'Base stats'!B:B,'Base stats'!C:C)^0.165,0.05)))</f>
        <v>1.3</v>
      </c>
      <c r="R150" s="13" t="str">
        <f>IF(_xlfn.XLOOKUP(_xlfn.XLOOKUP(B150,'Base stats'!B:B,'Base stats'!E:E),Groups!A:A,Groups!P:P)=0,"No",MROUND((LOG10(_xlfn.XLOOKUP(B150,'Base stats'!B:B,'Base stats'!AP:AP))*(AN150^0.5)+(_xlfn.XLOOKUP(B150,'Base stats'!B:B,'Base stats'!AP:AP)/1000)^(2/3)+_xlfn.XLOOKUP(B150,'Base stats'!B:B,'Base stats'!AX:AX))+_xlfn.XLOOKUP(B150,'Base stats'!B:B,'Base stats'!AV:AV)+0.5,0.5))</f>
        <v>No</v>
      </c>
      <c r="S150" s="7" t="str">
        <f>IF(R150="No","No",MAX(_xlfn.XLOOKUP(_xlfn.XLOOKUP(B150,'Base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T150" s="7" t="str">
        <f>IF(R150="No","No",_xlfn.XLOOKUP(_xlfn.XLOOKUP(B150,'Base stats'!B:B,'Base stats'!E:E),Groups!A:A,Groups!R:R))</f>
        <v>No</v>
      </c>
      <c r="U150" s="7" t="str">
        <f>IF(R150="No","No",_xlfn.XLOOKUP(_xlfn.XLOOKUP(B150,'Base stats'!B:B,'Base stats'!E:E),Groups!A:A,Groups!S:S))</f>
        <v>No</v>
      </c>
      <c r="V150" s="7" t="str">
        <f>IF(R150="No","No",_xlfn.XLOOKUP(_xlfn.XLOOKUP(B150,'Base stats'!B:B,'Base stats'!E:E),Groups!A:A,Groups!T:T))</f>
        <v>No</v>
      </c>
      <c r="W150" s="13" t="str">
        <f>IF(_xlfn.XLOOKUP(B150,'Base stats'!B:B,'Base stats'!W:W)="No","No",MROUND((LOG10(_xlfn.XLOOKUP(B150,'Base stats'!B:B,'Base stats'!AR:AR))*(AN150^0.5)+(_xlfn.XLOOKUP(B150,'Base stats'!B:B,'Base stats'!AR:AR)/1000)^(2/3)+_xlfn.XLOOKUP(B150,'Base stats'!B:B,'Base stats'!AW:AW))+0.5+IF(_xlfn.XLOOKUP(_xlfn.XLOOKUP(B150,'Base stats'!B:B,'Base stats'!E:E),Groups!A:A,Groups!U:U)&lt;&gt;3,_xlfn.XLOOKUP(B150,'Base stats'!B:B,'Base stats'!AX:AX),0),0.5))</f>
        <v>No</v>
      </c>
      <c r="X150" s="7" t="str">
        <f>IF(W150="No","No",MAX(_xlfn.XLOOKUP(_xlfn.XLOOKUP(B150,'Base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Y150" s="7" t="str">
        <f>IF(W150="No","No",_xlfn.XLOOKUP(_xlfn.XLOOKUP(B150,'Base stats'!B:B,'Base stats'!E:E),Groups!A:A,Groups!W:W))</f>
        <v>No</v>
      </c>
      <c r="Z150" s="7" t="str">
        <f>IF(W150="No","No",_xlfn.XLOOKUP(_xlfn.XLOOKUP(B150,'Base stats'!B:B,'Base stats'!E:E),Groups!A:A,Groups!X:X))</f>
        <v>No</v>
      </c>
      <c r="AA150" s="7" t="str">
        <f>IF(W150="No","No",_xlfn.XLOOKUP(_xlfn.XLOOKUP(B150,'Base stats'!B:B,'Base stats'!E:E),Groups!A:A,Groups!Y:Y))</f>
        <v>No</v>
      </c>
      <c r="AB150" s="7" t="str">
        <f>_xlfn.XLOOKUP(Animals!B150,'Base stats'!B:B,'Base stats'!X:X)</f>
        <v>False</v>
      </c>
      <c r="AC150" s="13">
        <f>IF(_xlfn.XLOOKUP(B150,'Base stats'!B:B,'Base stats'!AQ:AQ)="No","No",MROUND((LOG10(_xlfn.XLOOKUP(B150,'Base stats'!B:B,'Base stats'!AQ:AQ))*(AN150^0.75)+(_xlfn.XLOOKUP(B150,'Base stats'!B:B,'Base stats'!AQ:AQ)/1000)^(2/3)+_xlfn.XLOOKUP(B150,'Base stats'!B:B,'Base stats'!AU:AU)+_xlfn.XLOOKUP(B150,'Base stats'!B:B,'Base stats'!AX:AX))+0.5,0.5))</f>
        <v>4</v>
      </c>
      <c r="AD150" s="7">
        <f>IF(AC150="No","No",MAX(_xlfn.XLOOKUP(_xlfn.XLOOKUP(B150,'Base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E150" s="7" t="str">
        <f>IF(AC150="No","No",_xlfn.XLOOKUP(_xlfn.XLOOKUP(B150,'Base stats'!B:B,'Base stats'!E:E),Groups!A:A,Groups!AA:AA))</f>
        <v>Teeth</v>
      </c>
      <c r="AF150" s="7" t="str">
        <f>IF(AC150="No","No",_xlfn.XLOOKUP(_xlfn.XLOOKUP(B150,'Base stats'!B:B,'Base stats'!E:E),Groups!A:A,Groups!AB:AB))</f>
        <v>canines</v>
      </c>
      <c r="AG150" s="7" t="str">
        <f>IF(AC150="No","No",_xlfn.XLOOKUP(_xlfn.XLOOKUP(B150,'Base stats'!B:B,'Base stats'!E:E),Groups!A:A,Groups!AC:AC))</f>
        <v>Bite</v>
      </c>
      <c r="AH150" s="13">
        <f>IF(_xlfn.XLOOKUP(_xlfn.XLOOKUP(B150,'Base stats'!B:B,'Base stats'!E:E),Groups!A:A,Groups!AD:AD)=0,"No",MROUND((LOG10(_xlfn.XLOOKUP(B150,'Base stats'!B:B,'Base stats'!AP:AP))*(AN150^0.75)+(_xlfn.XLOOKUP(B150,'Base stats'!B:B,'Base stats'!AP:AP)/1000)^(2/3)+_xlfn.XLOOKUP(B150,'Base stats'!B:B,'Base stats'!AV:AV)+_xlfn.XLOOKUP(B150,'Base stats'!B:B,'Base stats'!AX:AX))+0.5,0.5))</f>
        <v>3</v>
      </c>
      <c r="AI150" s="7">
        <f>IF(AH150="No","No",MAX(_xlfn.XLOOKUP(_xlfn.XLOOKUP(B150,'Base stats'!B:B,'Base stats'!E:E),Groups!A:A,Groups!AE:AE),MROUND(_xlfn.XLOOKUP(_xlfn.XLOOKUP(B150,'Base stats'!B:B,'Base stats'!E:E),Groups!A:A,Groups!AE:AE)*_xlfn.XLOOKUP(B150,'Base stats'!B:B,'Base stats'!C:C)^0.165,0.05)))</f>
        <v>0.85000000000000009</v>
      </c>
      <c r="AJ150" s="7" t="str">
        <f>IF(AH150="No","No",_xlfn.XLOOKUP(_xlfn.XLOOKUP(B150,'Base stats'!B:B,'Base stats'!E:E),Groups!A:A,Groups!AF:AF))</f>
        <v>FrontRightPaw, FrontRightPaw</v>
      </c>
      <c r="AK150" s="7" t="str">
        <f>IF(AH150="No","No",_xlfn.XLOOKUP(_xlfn.XLOOKUP(B150,'Base stats'!B:B,'Base stats'!E:E),Groups!A:A,Groups!AG:AG))</f>
        <v>left claw, right claw</v>
      </c>
      <c r="AL150" s="7" t="str">
        <f>IF(AH150="No","No",_xlfn.XLOOKUP(_xlfn.XLOOKUP(B150,'Base stats'!B:B,'Base stats'!E:E),Groups!A:A,Groups!AH:AH))</f>
        <v>Scratch</v>
      </c>
      <c r="AM150" s="2">
        <f t="shared" si="14"/>
        <v>15</v>
      </c>
      <c r="AN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O150" s="8">
        <f>MROUND(AN150*_xlfn.XLOOKUP(_xlfn.XLOOKUP(B150,'Base stats'!B:B,'Base stats'!E:E),Groups!A:A,Groups!AI:AI),0.05)</f>
        <v>0.35000000000000003</v>
      </c>
      <c r="AP150" s="8">
        <f>MAX(0.01,MROUND(IF(CA150="True",0.196*(AN150*100*1000)^0.889,IF(_xlfn.XLOOKUP(_xlfn.XLOOKUP(B150,'Base stats'!B:B,'Base stats'!E:E),Groups!A:A,Groups!AJ:AJ)="Bird",10.5*(AN150*100*1000)^0.681,4.82*(AN150*100*1000)^0.734))/(4.82*(1*100*1000)^0.734)/IF(AN150&lt;3.5,2,IF(AN150=3.5,1.5,1.25))*(1+0.132282374779864/(AN150^0.994035016789033+0.00905238001496948)),0.05))</f>
        <v>0.30000000000000004</v>
      </c>
      <c r="AQ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R150" s="35">
        <f>IFERROR(IF(_xlfn.XLOOKUP(B150,'Base stats'!B:B,'Base stats'!F:F)="Lay eggs","Lay eggs",MIN(20,MAX(5.5,ROUND(((_xlfn.XLOOKUP(B150,'Base stats'!B:B,'Base stats'!F:F)-25)*(14.5/615) + 5.5)*2,0)/2))),"Cannot breed")</f>
        <v>6.5</v>
      </c>
      <c r="AS150" s="8">
        <f>IF(OR(A150="Queen",A150="Larva",A150="Megachicken"),"No",IFERROR(MAX(IF(_xlfn.XLOOKUP(B150,'Base stats'!B:B,'Base stats'!G:G)&lt;0.5,0.2,0.3),MROUND(_xlfn.XLOOKUP(B150,'Base stats'!B:B,'Base stats'!G:G)/(365/60),0.2)),"Unknown"))</f>
        <v>0.3</v>
      </c>
      <c r="AT150" s="8">
        <f t="shared" si="15"/>
        <v>0.15000000000000002</v>
      </c>
      <c r="AU150" s="8">
        <f>IFERROR(IFERROR(MROUND(_xlfn.XLOOKUP(B150,'Base stats'!B:B,'Base stats'!J:J),0.1),"Lay eggs"),"Cannot breed")</f>
        <v>4</v>
      </c>
      <c r="AV150" s="2" t="str">
        <f t="shared" si="16"/>
        <v>false</v>
      </c>
      <c r="AW150" s="2" t="str">
        <f>IF(_xlfn.XLOOKUP(_xlfn.XLOOKUP(Animals!B150,'Base stats'!B:B,'Base stats'!E:E),Groups!A:A,Groups!AK:AK)=1,"true","false")</f>
        <v>false</v>
      </c>
      <c r="AX150" s="25" t="str">
        <f>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</f>
        <v>CarnivoreAnimal, OvivoreAnimal</v>
      </c>
      <c r="AY150" s="2" t="str">
        <f>IF(_xlfn.XLOOKUP(_xlfn.XLOOKUP(B150,'Base stats'!B:B,'Base stats'!E:E),Groups!A:A,Groups!D:D)=1,MROUND((1-I150)*5+1,2)*IF(I150&lt;=0.4,2,1),"No")</f>
        <v>No</v>
      </c>
      <c r="AZ150" s="2" t="str">
        <f>_xlfn.XLOOKUP(B150,'Base stats'!B:B,'Base stats'!AE:AE)</f>
        <v>Leather_Light</v>
      </c>
      <c r="BA150" s="23" t="str">
        <f>_xlfn.XLOOKUP(_xlfn.XLOOKUP(B150,'Base stats'!B:B,'Base stats'!E:E),Groups!A:A,Groups!AL:AL)</f>
        <v>QuadrupedAnimalWithPawsAndTail</v>
      </c>
      <c r="BB150" s="23">
        <f>MROUND(IF(AND(AN150&lt;0.5,_xlfn.XLOOKUP(B150,'Base stats'!B:B,'Base stats'!Z:Z)=0),0,IF(OR(_xlfn.XLOOKUP(Animals!B150,'Base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stats'!AA:AA),0.005)</f>
        <v>0</v>
      </c>
      <c r="BC150" s="23">
        <f>MROUND(IF(AND(AN150&lt;0.5,_xlfn.XLOOKUP(B150,'Base stats'!B:B,'Base stats'!Z:Z)=0),0,IF(_xlfn.XLOOKUP(_xlfn.XLOOKUP(B150,'Base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stats'!AB:AB),0.005)</f>
        <v>0</v>
      </c>
      <c r="BD150" s="2">
        <f>IF(I150&gt;0.3,"No",_xlfn.XLOOKUP(_xlfn.XLOOKUP(Animals!B150,'Base stats'!B:B,'Base stats'!E:E),Groups!A:A,Groups!AP:AP))</f>
        <v>1</v>
      </c>
      <c r="BE150" s="2">
        <f>IF(AND(I150&lt;=0.65,_xlfn.XLOOKUP(_xlfn.XLOOKUP(Animals!B150,'Base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stats'!O:O)=2,0.2,AN150) + 24*(1-IF(BD150="No",0,BD150)) + 16/3, 12),"No")</f>
        <v>12</v>
      </c>
      <c r="BF150" s="2">
        <f>IF(AND(_xlfn.XLOOKUP(_xlfn.XLOOKUP(B150,'Base stats'!B:B,'Base stats'!E:E),Groups!A:A,Groups!AQ:AQ)=1,AN150&lt;=0.35),8,12)</f>
        <v>12</v>
      </c>
      <c r="BG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H150" s="2" t="str">
        <f>IF(AND(_xlfn.XLOOKUP(_xlfn.XLOOKUP(B150,'Base stats'!B:B,'Base stats'!E:E),Groups!A:A,Groups!AS:AS)=1,OR('Base stats'!Y150="Carnivore",'Base stats'!Y150="Omnivore")),"true","false")</f>
        <v>true</v>
      </c>
      <c r="BI150" s="2">
        <f>IF(BH150="true",MROUND(IF(AND(AN150&gt;0.5,_xlfn.XLOOKUP(_xlfn.XLOOKUP(B150,'Base stats'!B:B,'Base stats'!E:E),Groups!A:A,Groups!AJ:AJ)="Mammal"),Animals!AN150*1.75*IF(AV150="true",1.5,1),Animals!AN150),IF(AN150&gt;2,0.5,IF(AN150&gt;0.5,0.25,0.1))),"No")</f>
        <v>0.30000000000000004</v>
      </c>
      <c r="BJ150" s="2">
        <f t="shared" si="17"/>
        <v>1</v>
      </c>
      <c r="BK150" s="25" t="str">
        <f>IF('Base stats'!AK150="Standard","No",MROUND((_xlfn.XLOOKUP(B150,'Base stats'!B:B,'Base stats'!AK:AK)/3.6)/H150,0.1))</f>
        <v>No</v>
      </c>
      <c r="BL150" s="25" t="str">
        <f t="shared" si="18"/>
        <v>false</v>
      </c>
      <c r="BM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N150" s="25" t="str" cm="1">
        <f t="array" ref="BN150">IF(
  _xlfn.TEXTJOIN(", ",TRUE,
    IF(AND(BH150="true",AN150&gt;0.5,BG150&lt;&gt;"None"),"AttackTarget",""),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IF(BE150&lt;=36,"Comfort",""),
    IF(_xlfn.XLOOKUP(B150,'Base stats'!B:B,'Base stats'!AC:AC)&lt;&gt;"No",_xlfn.XLOOKUP(B150,'Base stats'!B:B,'Base stats'!AC:AC),"")
  ) = "",
  "No",
  _xlfn.TEXTJOIN(", ",TRUE,
    IF(AND(BH150="true",AN150&gt;0.5,BG150&lt;&gt;"None"),"AttackTarget",""),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IF(BE150&lt;=36,"Comfort",""),
    IF(_xlfn.XLOOKUP(B150,'Base stats'!B:B,'Base stats'!AC:AC)&lt;&gt;"No",_xlfn.XLOOKUP(B150,'Base stats'!B:B,'Base stats'!AC:AC),"")
  )
)</f>
        <v>Comfort</v>
      </c>
      <c r="BO150" s="25" t="str">
        <f>IF(
   AND(
      'Base stats'!AK150="Standard",_xlfn.XLOOKUP(_xlfn.XLOOKUP(B150,'Base stats'!B:B,'Base stats'!E:E),Groups!A:A,Groups!AU:AU)=0,
      OR(
      BM150="True"
      )
   ),
   10,
   IF(
       OR(BK150&lt;&gt;"No",_xlfn.XLOOKUP(_xlfn.XLOOKUP(B150,'Base stats'!B:B,'Base stats'!E:E),Groups!A:A,Groups!AU:AU)=1),
      1,
      "No"
   )
)</f>
        <v>No</v>
      </c>
      <c r="BP150" s="9">
        <f>MROUND((1 + ((0.2*IF(OR(P150="No",Q150="No",Q150=0),0,P150/Q150)
+IF(OR(U150="No",R150="No",S150="No"),0,R150/S150*(LEN(U150)-LEN(SUBSTITUTE(U150,",",""))+1))
+IF(OR(W150="No",X150="No"),0,W150/X150)
+IF(OR(AC150="No",AD150="No"),0,AC150/AD150)
+IF(OR(AK150="No",AH150="No",AI150="No"),0,AH150/AI150*(LEN(AK150)-LEN(SUBSTITUTE(AK150,",",""))+1))
)/(0.2*IF(OR(P150="No",Q150="No",Q150=0),0,1)
+IF(OR(U150="No",R150="No",S150="No"),0,LEN(U150)-LEN(SUBSTITUTE(U150,",",""))+1)
+IF(OR(W150="No",X150="No"),0,1)
+IF(OR(AC150="No",AD150="No"),0,1)
+IF(OR(AK150="No",AH150="No",AI150="No"),0,LEN(AK150)-LEN(SUBSTITUTE(AK150,",",""))+1))*62%)* 2)*(1 + (AO150 + _xlfn.XLOOKUP(B150,'Base stats'!B:B,'Base stats'!AS:AS) * 1.8) * 2) * 2.5 + 10 + H150 * 2,5)+IF(_xlfn.XLOOKUP(B150,'Base stats'!B:B,'Base stats'!AH:AH)=1,50,0)</f>
        <v>45</v>
      </c>
      <c r="BQ150" s="8">
        <f t="shared" si="19"/>
        <v>0.30000000000000004</v>
      </c>
      <c r="BR150" s="8" t="str">
        <f>_xlfn.XLOOKUP(B150,'Base stats'!B:B,'Base stats'!AD:AD)</f>
        <v>No</v>
      </c>
      <c r="BS150" s="2" t="str">
        <f>IF(AND(I150&lt;=0.95,OR(_xlfn.XLOOKUP(B150,'Base stats'!B:B,'Base stats'!AH:AH)=1,_xlfn.XLOOKUP(B150,'Base stats'!B:B,'Base stats'!Y:Y)="Carnivore",_xlfn.XLOOKUP(B150,'Base stats'!B:B,'Base stats'!Y:Y)="Omnivore",BC150&gt;0.1)),"true","false")</f>
        <v>true</v>
      </c>
      <c r="BT150" s="2" t="str">
        <f>IF(_xlfn.XLOOKUP(B150,'Base stats'!B:B,'Base stats'!AF:AF)=1,"true","false")</f>
        <v>false</v>
      </c>
      <c r="BU150" s="25" t="str">
        <f>IF(E150="BaseInsect","AnimalInsect",
IF(I150&gt;0.95,"AnimalExotic",
_xlfn.TEXTJOIN(", ",TRUE,
IF(AND(_xlfn.XLOOKUP(B150,'Base stats'!B:B,'Base stats'!O:O)=0,_xlfn.XLOOKUP(_xlfn.XLOOKUP(B150,'Base stats'!B:B,'Base stats'!E:E),Groups!A:A,Groups!B:B)&gt;0),"AnimalUncommon","AnimalCommon"),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stats'!AH:AH)=1,AND(BG150&lt;&gt;"None",BP150&gt;=60),ISNUMBER(SEARCH("Attack target",BN150))),"AnimalFighter","")
)))</f>
        <v>AnimalCommon, AnimalPet</v>
      </c>
      <c r="BV150" s="25" t="str">
        <f>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</f>
        <v/>
      </c>
      <c r="BW150" s="25" t="str">
        <f>IF(_xlfn.XLOOKUP(B150,'Base stats'!B:B,'Base stats'!AG:AG)=1,"true","false")</f>
        <v>false</v>
      </c>
      <c r="BX150" s="25">
        <f>IF(_xlfn.XLOOKUP(B150,'Base stats'!B:B,'Base stats'!N:N)=1,"No",MIN(MROUND(IF(OR(_xlfn.XLOOKUP(B150,'Base stats'!B:B,'Base stats'!AJ:AJ)=1,AND(BH150="True",CA150="False")),POWER(10,3.47*LOG10(_xlfn.XLOOKUP(B150,'Base stats'!B:B,'Base stats'!C:C)*1000)^-0.96),POWER(10,4.15*LOG10(_xlfn.XLOOKUP(B150,'Base stats'!B:B,'Base stats'!C:C)*1000)^-0.73))*IF(OR(_xlfn.XLOOKUP(B150,'Base stats'!B:B,'Base stats'!AJ:AJ)=1,_xlfn.XLOOKUP(B150,'Base stats'!B:B,'Base stats'!AH:AH)=1),0.5,1)/100,0.025),1))</f>
        <v>0.1</v>
      </c>
      <c r="BY150" s="25" t="str">
        <f>IF(O150="Standard","No",IF(_xlfn.XLOOKUP(B150,'Base stats'!B:B,'Base stats'!N:N)=0,MROUND(BX150*O150,0.05),MIN(1,MAX(0.025,MROUND(IF(OR(CA150="true",AND(BH150="false",BM150="false")),POWER(10,4.15*LOG10(_xlfn.XLOOKUP(B150,'Base stats'!B:B,'Base stats'!C:C)*1000)^-0.73),POWER(10,3.47*LOG10(_xlfn.XLOOKUP(B150,'Base stats'!B:B,'Base stats'!C:C)*1000)^-0.96))*IF(_xlfn.XLOOKUP(B150,'Base stats'!B:B,'Base stats'!AH:AH)=1,0.5,1)/100,0.025)))))</f>
        <v>No</v>
      </c>
      <c r="BZ150" s="25" t="str">
        <f>IF(_xlfn.XLOOKUP(_xlfn.XLOOKUP(B150,'Base stats'!B:B,'Base stats'!E:E),Groups!A:A,Groups!AJ:AJ)="Mammal","True","False")</f>
        <v>True</v>
      </c>
      <c r="CA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B150" s="25" t="str">
        <f t="shared" si="20"/>
        <v>False</v>
      </c>
      <c r="CC150" s="25" t="str">
        <f>IF(_xlfn.XLOOKUP(_xlfn.XLOOKUP(B150,'Base stats'!B:B,'Base stats'!E:E),Groups!A:A,Groups!AW:AW),"True","False")</f>
        <v>False</v>
      </c>
      <c r="CD150" s="25" t="str">
        <f>IF(_xlfn.XLOOKUP(_xlfn.XLOOKUP(B150,'Base stats'!B:B,'Base stats'!E:E),Groups!A:A,Groups!AX:AX),"True","False")</f>
        <v>False</v>
      </c>
      <c r="CE150" s="25" t="str">
        <f>IF(_xlfn.XLOOKUP(B150,'Base stats'!B:B,'Base stats'!E:E)=1,"True","False")</f>
        <v>False</v>
      </c>
      <c r="CF150" s="25" t="str">
        <f>IF(
OR(
_xlfn.XLOOKUP(_xlfn.XLOOKUP(B150,'Base stats'!B:B,'Base stats'!E:E),Groups!A:A,Groups!AY:AY)=0,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stats'!E:E),Groups!A:A,Groups!AY:AY)=1,
"Flesh",
IF(
_xlfn.XLOOKUP(_xlfn.XLOOKUP(B150,'Base stats'!B:B,'Base stats'!E:E),Groups!A:A,Groups!AY:AY)=2,
"Bone",
""
)
)
)</f>
        <v>No</v>
      </c>
      <c r="CG150" s="25" t="str">
        <f>IF(_xlfn.XLOOKUP(_xlfn.XLOOKUP(B150,'Base stats'!B:B,'Base stats'!E:E),Groups!A:A,Groups!BA:BA),"True","False")</f>
        <v>True</v>
      </c>
      <c r="CH150" s="25" t="str">
        <f>IF(_xlfn.XLOOKUP(_xlfn.XLOOKUP(B150,'Base stats'!B:B,'Base stats'!E:E),Groups!A:A,Groups!AZ:AZ),"True","False")</f>
        <v>False</v>
      </c>
    </row>
    <row r="151" spans="1:86" ht="16.5" thickTop="1" thickBot="1" x14ac:dyDescent="0.3">
      <c r="A151" s="26" t="str">
        <f>_xlfn.XLOOKUP(B151,'Base stats'!B:B,'Base stats'!A:A)</f>
        <v>Bengal cat</v>
      </c>
      <c r="B151" s="6" t="s">
        <v>916</v>
      </c>
      <c r="C151" s="28" t="s">
        <v>844</v>
      </c>
      <c r="D151" s="28" t="s">
        <v>884</v>
      </c>
      <c r="E151" s="28" t="s">
        <v>685</v>
      </c>
      <c r="F151" s="28" t="s">
        <v>685</v>
      </c>
      <c r="G151" s="2">
        <f>MROUND((
  (IF(AND(_xlfn.XLOOKUP(B151,'Base stats'!B:B,'Base stats'!AI:AI)=0,BG151="None",_xlfn.XLOOKUP('Base stats'!E151,Groups!A:A,Groups!B:B)=0), (18 + BP151 * 2.7) * 0.5,
    IF(AND(_xlfn.XLOOKUP(B151,'Base stats'!B:B,'Base stats'!AI:AI)=0,OR(AN151&lt;0.55,AND(BG151="Intermediate",_xlfn.XLOOKUP('Base stats'!E151,Groups!A:A,Groups!B:B)&lt;2))), (18 + BP151 * 2.7),
      IF(OR(BG151="Advanced",_xlfn.XLOOKUP(B151,'Base stats'!B:B,'Base stats'!AI:AI)=1,_xlfn.XLOOKUP('Base stats'!E151,Groups!A:A,Groups!B:B)=2), (18 + BP151 * 2.7) + 250, (18 + BP151 * 2.7))
    )
  ))
  + AN151 * 80
  + IF(COUNTIF(EggMilk!K$2:K$998, A151) &gt; 0, 125, 0)
  + IF(COUNTIF(EggMilk!P$2:P$998, A151) &gt; 0, 90, 0)
  + IF(COUNTIF(EggMilk!A$2:A$998, A151) &gt; 0, 90, 0)
)
* (0.8 + 0.4 * I151)
* 0.75,25)</f>
        <v>100</v>
      </c>
      <c r="H151" s="2">
        <f>MROUND(ROUNDDOWN(_xlfn.XLOOKUP(B151,'Base stats'!B:B,'Base stats'!L:L)/3.6/(23.3/11),1),0.5)</f>
        <v>5.5</v>
      </c>
      <c r="I151" s="2">
        <f>IF(_xlfn.XLOOKUP(B151,'Base stats'!B:B,'Base stats'!AI:AI)=1,0.99,MIN(MROUND((1-0.6282*EXP(-0.459*AN151))*_xlfn.XLOOKUP(_xlfn.XLOOKUP(B151,'Base stats'!B:B,'Base stats'!E:E),Groups!A:A,Groups!C:C)*IF(_xlfn.XLOOKUP(B151,'Base stats'!B:B,'Base stats'!O:O)=1,0.5,IF(_xlfn.XLOOKUP(B151,'Base stats'!B:B,'Base stats'!O:O)=2,0,1)),0.05),0.985))</f>
        <v>0</v>
      </c>
      <c r="J151" s="2">
        <f>ROUNDUP(AN151*_xlfn.XLOOKUP(_xlfn.XLOOKUP(B151,'Base stats'!B:B,'Base stats'!E:E),Groups!A:A,Groups!E:E),0)</f>
        <v>1</v>
      </c>
      <c r="K151" s="2">
        <f>IF(OR(_xlfn.XLOOKUP(_xlfn.XLOOKUP(B151,'Base stats'!B:B,'Base stats'!E:E),Groups!A:A,Groups!F:F)=2,ISNUMBER(SEARCH("SeaIce",BV151)),ISNUMBER(SEARCH("IceSheet",BV151))),-50,IF(OR(ISNUMBER(SEARCH("GlacialPlain",BV151)),ISNUMBER(SEARCH("Tundra",BV151))),-40,IF(OR(ISNUMBER(SEARCH("Alpine",BV151)),ISNUMBER(SEARCH("BorealForest",BV151)),ISNUMBER(SEARCH("ColdBog",BV151))),-30,IF(OR(ISNUMBER(SEARCH("TemperateForest",BV151)),ISNUMBER(SEARCH("TemperateSwamp",BV151))),-20,IF(_xlfn.XLOOKUP(_xlfn.XLOOKUP(B151,'Base stats'!B:B,'Base stats'!E:E),Groups!A:A,Groups!F:F)=1,-15,IF(OR(ISNUMBER(SEARCH("Desert",BV151)),ISNUMBER(SEARCH("ExtremeDesert",BV151))),-10,IF(OR(ISNUMBER(SEARCH("Grasslands",BV151)),ISNUMBER(SEARCH("TropicalRainforest",BV151)),ISNUMBER(SEARCH("TropicalSwamp",BV151))),10,0)))))))-IF(CA151="False",MIN(IFERROR(MAX(MROUND(LOG10(_xlfn.XLOOKUP(B151,'Base stats'!B:B,'Base stats'!C:C)^(2/3))*10,5),5),5),30))-_xlfn.XLOOKUP(B151,'Base stats'!B:B,'Base stats'!P:P)+IF(CA151="True",5,0)</f>
        <v>-15</v>
      </c>
      <c r="L151" s="2">
        <f>IF(OR(_xlfn.XLOOKUP(_xlfn.XLOOKUP(B151,'Base stats'!B:B,'Base stats'!E:E),Groups!A:A,Groups!G:G)=2,ISNUMBER(SEARCH("Desert",BV151)),ISNUMBER(SEARCH("ExtremeDesert",BV151)),ISNUMBER(SEARCH("LavaField",BV151))),50,IF(ISNUMBER(SEARCH("Grasslands",BV151)),45,IF(OR(_xlfn.XLOOKUP(_xlfn.XLOOKUP(B151,'Base stats'!B:B,'Base stats'!E:E),Groups!A:A,Groups!G:G)=1,ISNUMBER(SEARCH("TropicalRainforest",BV151)),ISNUMBER(SEARCH("TropicalSwamp",BV151))),40,IF(OR(ISNUMBER(SEARCH("TemperateForest",BV151)),ISNUMBER(SEARCH("TemperateSwamp",BV151))),35,IF(OR(ISNUMBER(SEARCH("Alpine",BV151)),ISNUMBER(SEARCH("BorealForest",BV151)),ISNUMBER(SEARCH("ColdBog",BV151))),30,IF(ISNUMBER(OR(ISNUMBER(SEARCH("GlacialPlain",BV151)),SEARCH("Tundra",BV151))),25,IF(OR(ISNUMBER(SEARCH("SeaIce",BV151)),ISNUMBER(SEARCH("IceSheet",BV151)),ISNUMBER(SEARCH("TropicalSwamp",BV151))),10,35)))))))+_xlfn.XLOOKUP(B151,'Base stats'!B:B,'Base stats'!Q:Q)</f>
        <v>40</v>
      </c>
      <c r="M151" s="8" t="str">
        <f>IF(_xlfn.XLOOKUP(_xlfn.XLOOKUP(B151,'Base stats'!B:B,'Base stats'!E:E),Groups!A:A,Groups!L:L)=1,MIN(MROUND(_xlfn.XLOOKUP(B151,'Animals CE'!B:B,'Animals CE'!Z:Z)/2+0.05,0.05),200%),"No")</f>
        <v>No</v>
      </c>
      <c r="N151" s="8" t="str">
        <f>IF(_xlfn.XLOOKUP(_xlfn.XLOOKUP(B151,'Base stats'!B:B,'Base stats'!E:E),Groups!A:A,Groups!L:L)=1,MIN(MROUND(_xlfn.XLOOKUP(B151,'Animals CE'!B:B,'Animals CE'!AA:AA)/2+0.05,0.05),200%),"No")</f>
        <v>No</v>
      </c>
      <c r="O151" s="2" t="str">
        <f>_xlfn.XLOOKUP(B151,'Base stats'!B:B,'Base stats'!R:R)</f>
        <v>Standard</v>
      </c>
      <c r="P151" s="13">
        <f>MROUND((LOG10(_xlfn.XLOOKUP(B151,'Base stats'!B:B,'Base stats'!AO:AO))*(AN151^0.5)+(_xlfn.XLOOKUP(B151,'Base stats'!B:B,'Base stats'!AO:AO)/1000)^(2/3)+_xlfn.XLOOKUP(B151,'Base stats'!B:B,'Base stats'!AX:AX)/2)+0.5,0.5)</f>
        <v>2.5</v>
      </c>
      <c r="Q151" s="7">
        <f>IF(P151="No","No",MAX(1,MROUND(_xlfn.XLOOKUP(B151,'Base stats'!B:B,'Base stats'!C:C)^0.165,0.05)))</f>
        <v>1.3</v>
      </c>
      <c r="R151" s="13" t="str">
        <f>IF(_xlfn.XLOOKUP(_xlfn.XLOOKUP(B151,'Base stats'!B:B,'Base stats'!E:E),Groups!A:A,Groups!P:P)=0,"No",MROUND((LOG10(_xlfn.XLOOKUP(B151,'Base stats'!B:B,'Base stats'!AP:AP))*(AN151^0.5)+(_xlfn.XLOOKUP(B151,'Base stats'!B:B,'Base stats'!AP:AP)/1000)^(2/3)+_xlfn.XLOOKUP(B151,'Base stats'!B:B,'Base stats'!AX:AX))+_xlfn.XLOOKUP(B151,'Base stats'!B:B,'Base stats'!AV:AV)+0.5,0.5))</f>
        <v>No</v>
      </c>
      <c r="S151" s="7" t="str">
        <f>IF(R151="No","No",MAX(_xlfn.XLOOKUP(_xlfn.XLOOKUP(B151,'Base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T151" s="7" t="str">
        <f>IF(R151="No","No",_xlfn.XLOOKUP(_xlfn.XLOOKUP(B151,'Base stats'!B:B,'Base stats'!E:E),Groups!A:A,Groups!R:R))</f>
        <v>No</v>
      </c>
      <c r="U151" s="7" t="str">
        <f>IF(R151="No","No",_xlfn.XLOOKUP(_xlfn.XLOOKUP(B151,'Base stats'!B:B,'Base stats'!E:E),Groups!A:A,Groups!S:S))</f>
        <v>No</v>
      </c>
      <c r="V151" s="7" t="str">
        <f>IF(R151="No","No",_xlfn.XLOOKUP(_xlfn.XLOOKUP(B151,'Base stats'!B:B,'Base stats'!E:E),Groups!A:A,Groups!T:T))</f>
        <v>No</v>
      </c>
      <c r="W151" s="13" t="str">
        <f>IF(_xlfn.XLOOKUP(B151,'Base stats'!B:B,'Base stats'!W:W)="No","No",MROUND((LOG10(_xlfn.XLOOKUP(B151,'Base stats'!B:B,'Base stats'!AR:AR))*(AN151^0.5)+(_xlfn.XLOOKUP(B151,'Base stats'!B:B,'Base stats'!AR:AR)/1000)^(2/3)+_xlfn.XLOOKUP(B151,'Base stats'!B:B,'Base stats'!AW:AW))+0.5+IF(_xlfn.XLOOKUP(_xlfn.XLOOKUP(B151,'Base stats'!B:B,'Base stats'!E:E),Groups!A:A,Groups!U:U)&lt;&gt;3,_xlfn.XLOOKUP(B151,'Base stats'!B:B,'Base stats'!AX:AX),0),0.5))</f>
        <v>No</v>
      </c>
      <c r="X151" s="7" t="str">
        <f>IF(W151="No","No",MAX(_xlfn.XLOOKUP(_xlfn.XLOOKUP(B151,'Base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Y151" s="7" t="str">
        <f>IF(W151="No","No",_xlfn.XLOOKUP(_xlfn.XLOOKUP(B151,'Base stats'!B:B,'Base stats'!E:E),Groups!A:A,Groups!W:W))</f>
        <v>No</v>
      </c>
      <c r="Z151" s="7" t="str">
        <f>IF(W151="No","No",_xlfn.XLOOKUP(_xlfn.XLOOKUP(B151,'Base stats'!B:B,'Base stats'!E:E),Groups!A:A,Groups!X:X))</f>
        <v>No</v>
      </c>
      <c r="AA151" s="7" t="str">
        <f>IF(W151="No","No",_xlfn.XLOOKUP(_xlfn.XLOOKUP(B151,'Base stats'!B:B,'Base stats'!E:E),Groups!A:A,Groups!Y:Y))</f>
        <v>No</v>
      </c>
      <c r="AB151" s="7" t="str">
        <f>_xlfn.XLOOKUP(Animals!B151,'Base stats'!B:B,'Base stats'!X:X)</f>
        <v>False</v>
      </c>
      <c r="AC151" s="13">
        <f>IF(_xlfn.XLOOKUP(B151,'Base stats'!B:B,'Base stats'!AQ:AQ)="No","No",MROUND((LOG10(_xlfn.XLOOKUP(B151,'Base stats'!B:B,'Base stats'!AQ:AQ))*(AN151^0.75)+(_xlfn.XLOOKUP(B151,'Base stats'!B:B,'Base stats'!AQ:AQ)/1000)^(2/3)+_xlfn.XLOOKUP(B151,'Base stats'!B:B,'Base stats'!AU:AU)+_xlfn.XLOOKUP(B151,'Base stats'!B:B,'Base stats'!AX:AX))+0.5,0.5))</f>
        <v>4.5</v>
      </c>
      <c r="AD151" s="7">
        <f>IF(AC151="No","No",MAX(_xlfn.XLOOKUP(_xlfn.XLOOKUP(B151,'Base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E151" s="7" t="str">
        <f>IF(AC151="No","No",_xlfn.XLOOKUP(_xlfn.XLOOKUP(B151,'Base stats'!B:B,'Base stats'!E:E),Groups!A:A,Groups!AA:AA))</f>
        <v>Teeth</v>
      </c>
      <c r="AF151" s="7" t="str">
        <f>IF(AC151="No","No",_xlfn.XLOOKUP(_xlfn.XLOOKUP(B151,'Base stats'!B:B,'Base stats'!E:E),Groups!A:A,Groups!AB:AB))</f>
        <v>canines</v>
      </c>
      <c r="AG151" s="7" t="str">
        <f>IF(AC151="No","No",_xlfn.XLOOKUP(_xlfn.XLOOKUP(B151,'Base stats'!B:B,'Base stats'!E:E),Groups!A:A,Groups!AC:AC))</f>
        <v>Bite</v>
      </c>
      <c r="AH151" s="13">
        <f>IF(_xlfn.XLOOKUP(_xlfn.XLOOKUP(B151,'Base stats'!B:B,'Base stats'!E:E),Groups!A:A,Groups!AD:AD)=0,"No",MROUND((LOG10(_xlfn.XLOOKUP(B151,'Base stats'!B:B,'Base stats'!AP:AP))*(AN151^0.75)+(_xlfn.XLOOKUP(B151,'Base stats'!B:B,'Base stats'!AP:AP)/1000)^(2/3)+_xlfn.XLOOKUP(B151,'Base stats'!B:B,'Base stats'!AV:AV)+_xlfn.XLOOKUP(B151,'Base stats'!B:B,'Base stats'!AX:AX))+0.5,0.5))</f>
        <v>3.5</v>
      </c>
      <c r="AI151" s="7">
        <f>IF(AH151="No","No",MAX(_xlfn.XLOOKUP(_xlfn.XLOOKUP(B151,'Base stats'!B:B,'Base stats'!E:E),Groups!A:A,Groups!AE:AE),MROUND(_xlfn.XLOOKUP(_xlfn.XLOOKUP(B151,'Base stats'!B:B,'Base stats'!E:E),Groups!A:A,Groups!AE:AE)*_xlfn.XLOOKUP(B151,'Base stats'!B:B,'Base stats'!C:C)^0.165,0.05)))</f>
        <v>0.85000000000000009</v>
      </c>
      <c r="AJ151" s="7" t="str">
        <f>IF(AH151="No","No",_xlfn.XLOOKUP(_xlfn.XLOOKUP(B151,'Base stats'!B:B,'Base stats'!E:E),Groups!A:A,Groups!AF:AF))</f>
        <v>FrontRightPaw, FrontRightPaw</v>
      </c>
      <c r="AK151" s="7" t="str">
        <f>IF(AH151="No","No",_xlfn.XLOOKUP(_xlfn.XLOOKUP(B151,'Base stats'!B:B,'Base stats'!E:E),Groups!A:A,Groups!AG:AG))</f>
        <v>left claw, right claw</v>
      </c>
      <c r="AL151" s="7" t="str">
        <f>IF(AH151="No","No",_xlfn.XLOOKUP(_xlfn.XLOOKUP(B151,'Base stats'!B:B,'Base stats'!E:E),Groups!A:A,Groups!AH:AH))</f>
        <v>Scratch</v>
      </c>
      <c r="AM151" s="2">
        <f t="shared" si="14"/>
        <v>15</v>
      </c>
      <c r="AN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O151" s="8">
        <f>MROUND(AN151*_xlfn.XLOOKUP(_xlfn.XLOOKUP(B151,'Base stats'!B:B,'Base stats'!E:E),Groups!A:A,Groups!AI:AI),0.05)</f>
        <v>0.35000000000000003</v>
      </c>
      <c r="AP151" s="8">
        <f>MAX(0.01,MROUND(IF(CA151="True",0.196*(AN151*100*1000)^0.889,IF(_xlfn.XLOOKUP(_xlfn.XLOOKUP(B151,'Base stats'!B:B,'Base stats'!E:E),Groups!A:A,Groups!AJ:AJ)="Bird",10.5*(AN151*100*1000)^0.681,4.82*(AN151*100*1000)^0.734))/(4.82*(1*100*1000)^0.734)/IF(AN151&lt;3.5,2,IF(AN151=3.5,1.5,1.25))*(1+0.132282374779864/(AN151^0.994035016789033+0.00905238001496948)),0.05))</f>
        <v>0.30000000000000004</v>
      </c>
      <c r="AQ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R151" s="35">
        <f>IFERROR(IF(_xlfn.XLOOKUP(B151,'Base stats'!B:B,'Base stats'!F:F)="Lay eggs","Lay eggs",MIN(20,MAX(5.5,ROUND(((_xlfn.XLOOKUP(B151,'Base stats'!B:B,'Base stats'!F:F)-25)*(14.5/615) + 5.5)*2,0)/2))),"Cannot breed")</f>
        <v>6.5</v>
      </c>
      <c r="AS151" s="8">
        <f>IF(OR(A151="Queen",A151="Larva",A151="Megachicken"),"No",IFERROR(MAX(IF(_xlfn.XLOOKUP(B151,'Base stats'!B:B,'Base stats'!G:G)&lt;0.5,0.2,0.3),MROUND(_xlfn.XLOOKUP(B151,'Base stats'!B:B,'Base stats'!G:G)/(365/60),0.2)),"Unknown"))</f>
        <v>0.3</v>
      </c>
      <c r="AT151" s="8">
        <f t="shared" si="15"/>
        <v>0.15000000000000002</v>
      </c>
      <c r="AU151" s="8">
        <f>IFERROR(IFERROR(MROUND(_xlfn.XLOOKUP(B151,'Base stats'!B:B,'Base stats'!J:J),0.1),"Lay eggs"),"Cannot breed")</f>
        <v>4</v>
      </c>
      <c r="AV151" s="2" t="str">
        <f t="shared" si="16"/>
        <v>false</v>
      </c>
      <c r="AW151" s="2" t="str">
        <f>IF(_xlfn.XLOOKUP(_xlfn.XLOOKUP(Animals!B151,'Base stats'!B:B,'Base stats'!E:E),Groups!A:A,Groups!AK:AK)=1,"true","false")</f>
        <v>false</v>
      </c>
      <c r="AX151" s="25" t="str">
        <f>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</f>
        <v>CarnivoreAnimal, OvivoreAnimal</v>
      </c>
      <c r="AY151" s="2" t="str">
        <f>IF(_xlfn.XLOOKUP(_xlfn.XLOOKUP(B151,'Base stats'!B:B,'Base stats'!E:E),Groups!A:A,Groups!D:D)=1,MROUND((1-I151)*5+1,2)*IF(I151&lt;=0.4,2,1),"No")</f>
        <v>No</v>
      </c>
      <c r="AZ151" s="2" t="str">
        <f>_xlfn.XLOOKUP(B151,'Base stats'!B:B,'Base stats'!AE:AE)</f>
        <v>Leather_Light</v>
      </c>
      <c r="BA151" s="23" t="str">
        <f>_xlfn.XLOOKUP(_xlfn.XLOOKUP(B151,'Base stats'!B:B,'Base stats'!E:E),Groups!A:A,Groups!AL:AL)</f>
        <v>QuadrupedAnimalWithPawsAndTail</v>
      </c>
      <c r="BB151" s="23">
        <f>MROUND(IF(AND(AN151&lt;0.5,_xlfn.XLOOKUP(B151,'Base stats'!B:B,'Base stats'!Z:Z)=0),0,IF(OR(_xlfn.XLOOKUP(Animals!B151,'Base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stats'!AA:AA),0.005)</f>
        <v>0</v>
      </c>
      <c r="BC151" s="23">
        <f>MROUND(IF(AND(AN151&lt;0.5,_xlfn.XLOOKUP(B151,'Base stats'!B:B,'Base stats'!Z:Z)=0),0,IF(_xlfn.XLOOKUP(_xlfn.XLOOKUP(B151,'Base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stats'!AB:AB),0.005)</f>
        <v>0</v>
      </c>
      <c r="BD151" s="2">
        <f>IF(I151&gt;0.3,"No",_xlfn.XLOOKUP(_xlfn.XLOOKUP(Animals!B151,'Base stats'!B:B,'Base stats'!E:E),Groups!A:A,Groups!AP:AP))</f>
        <v>1</v>
      </c>
      <c r="BE151" s="2">
        <f>IF(AND(I151&lt;=0.65,_xlfn.XLOOKUP(_xlfn.XLOOKUP(Animals!B151,'Base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stats'!O:O)=2,0.2,AN151) + 24*(1-IF(BD151="No",0,BD151)) + 16/3, 12),"No")</f>
        <v>12</v>
      </c>
      <c r="BF151" s="2">
        <f>IF(AND(_xlfn.XLOOKUP(_xlfn.XLOOKUP(B151,'Base stats'!B:B,'Base stats'!E:E),Groups!A:A,Groups!AQ:AQ)=1,AN151&lt;=0.35),8,12)</f>
        <v>12</v>
      </c>
      <c r="BG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H151" s="2" t="str">
        <f>IF(AND(_xlfn.XLOOKUP(_xlfn.XLOOKUP(B151,'Base stats'!B:B,'Base stats'!E:E),Groups!A:A,Groups!AS:AS)=1,OR('Base stats'!Y151="Carnivore",'Base stats'!Y151="Omnivore")),"true","false")</f>
        <v>true</v>
      </c>
      <c r="BI151" s="2">
        <f>IF(BH151="true",MROUND(IF(AND(AN151&gt;0.5,_xlfn.XLOOKUP(_xlfn.XLOOKUP(B151,'Base stats'!B:B,'Base stats'!E:E),Groups!A:A,Groups!AJ:AJ)="Mammal"),Animals!AN151*1.75*IF(AV151="true",1.5,1),Animals!AN151),IF(AN151&gt;2,0.5,IF(AN151&gt;0.5,0.25,0.1))),"No")</f>
        <v>0.30000000000000004</v>
      </c>
      <c r="BJ151" s="2">
        <f t="shared" si="17"/>
        <v>1</v>
      </c>
      <c r="BK151" s="25" t="str">
        <f>IF('Base stats'!AK151="Standard","No",MROUND((_xlfn.XLOOKUP(B151,'Base stats'!B:B,'Base stats'!AK:AK)/3.6)/H151,0.1))</f>
        <v>No</v>
      </c>
      <c r="BL151" s="25" t="str">
        <f t="shared" si="18"/>
        <v>false</v>
      </c>
      <c r="BM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N151" s="25" t="str" cm="1">
        <f t="array" ref="BN151">IF(
  _xlfn.TEXTJOIN(", ",TRUE,
    IF(AND(BH151="true",AN151&gt;0.5,BG151&lt;&gt;"None"),"AttackTarget",""),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IF(BE151&lt;=36,"Comfort",""),
    IF(_xlfn.XLOOKUP(B151,'Base stats'!B:B,'Base stats'!AC:AC)&lt;&gt;"No",_xlfn.XLOOKUP(B151,'Base stats'!B:B,'Base stats'!AC:AC),"")
  ) = "",
  "No",
  _xlfn.TEXTJOIN(", ",TRUE,
    IF(AND(BH151="true",AN151&gt;0.5,BG151&lt;&gt;"None"),"AttackTarget",""),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IF(BE151&lt;=36,"Comfort",""),
    IF(_xlfn.XLOOKUP(B151,'Base stats'!B:B,'Base stats'!AC:AC)&lt;&gt;"No",_xlfn.XLOOKUP(B151,'Base stats'!B:B,'Base stats'!AC:AC),"")
  )
)</f>
        <v>Comfort</v>
      </c>
      <c r="BO151" s="25" t="str">
        <f>IF(
   AND(
      'Base stats'!AK151="Standard",_xlfn.XLOOKUP(_xlfn.XLOOKUP(B151,'Base stats'!B:B,'Base stats'!E:E),Groups!A:A,Groups!AU:AU)=0,
      OR(
      BM151="True"
      )
   ),
   10,
   IF(
       OR(BK151&lt;&gt;"No",_xlfn.XLOOKUP(_xlfn.XLOOKUP(B151,'Base stats'!B:B,'Base stats'!E:E),Groups!A:A,Groups!AU:AU)=1),
      1,
      "No"
   )
)</f>
        <v>No</v>
      </c>
      <c r="BP151" s="9">
        <f>MROUND((1 + ((0.2*IF(OR(P151="No",Q151="No",Q151=0),0,P151/Q151)
+IF(OR(U151="No",R151="No",S151="No"),0,R151/S151*(LEN(U151)-LEN(SUBSTITUTE(U151,",",""))+1))
+IF(OR(W151="No",X151="No"),0,W151/X151)
+IF(OR(AC151="No",AD151="No"),0,AC151/AD151)
+IF(OR(AK151="No",AH151="No",AI151="No"),0,AH151/AI151*(LEN(AK151)-LEN(SUBSTITUTE(AK151,",",""))+1))
)/(0.2*IF(OR(P151="No",Q151="No",Q151=0),0,1)
+IF(OR(U151="No",R151="No",S151="No"),0,LEN(U151)-LEN(SUBSTITUTE(U151,",",""))+1)
+IF(OR(W151="No",X151="No"),0,1)
+IF(OR(AC151="No",AD151="No"),0,1)
+IF(OR(AK151="No",AH151="No",AI151="No"),0,LEN(AK151)-LEN(SUBSTITUTE(AK151,",",""))+1))*62%)* 2)*(1 + (AO151 + _xlfn.XLOOKUP(B151,'Base stats'!B:B,'Base stats'!AS:AS) * 1.8) * 2) * 2.5 + 10 + H151 * 2,5)+IF(_xlfn.XLOOKUP(B151,'Base stats'!B:B,'Base stats'!AH:AH)=1,50,0)</f>
        <v>45</v>
      </c>
      <c r="BQ151" s="8">
        <f t="shared" si="19"/>
        <v>0.30000000000000004</v>
      </c>
      <c r="BR151" s="8" t="str">
        <f>_xlfn.XLOOKUP(B151,'Base stats'!B:B,'Base stats'!AD:AD)</f>
        <v>No</v>
      </c>
      <c r="BS151" s="2" t="str">
        <f>IF(AND(I151&lt;=0.95,OR(_xlfn.XLOOKUP(B151,'Base stats'!B:B,'Base stats'!AH:AH)=1,_xlfn.XLOOKUP(B151,'Base stats'!B:B,'Base stats'!Y:Y)="Carnivore",_xlfn.XLOOKUP(B151,'Base stats'!B:B,'Base stats'!Y:Y)="Omnivore",BC151&gt;0.1)),"true","false")</f>
        <v>true</v>
      </c>
      <c r="BT151" s="2" t="str">
        <f>IF(_xlfn.XLOOKUP(B151,'Base stats'!B:B,'Base stats'!AF:AF)=1,"true","false")</f>
        <v>false</v>
      </c>
      <c r="BU151" s="25" t="str">
        <f>IF(E151="BaseInsect","AnimalInsect",
IF(I151&gt;0.95,"AnimalExotic",
_xlfn.TEXTJOIN(", ",TRUE,
IF(AND(_xlfn.XLOOKUP(B151,'Base stats'!B:B,'Base stats'!O:O)=0,_xlfn.XLOOKUP(_xlfn.XLOOKUP(B151,'Base stats'!B:B,'Base stats'!E:E),Groups!A:A,Groups!B:B)&gt;0),"AnimalUncommon","AnimalCommon"),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stats'!AH:AH)=1,AND(BG151&lt;&gt;"None",BP151&gt;=60),ISNUMBER(SEARCH("Attack target",BN151))),"AnimalFighter","")
)))</f>
        <v>AnimalCommon, AnimalPet</v>
      </c>
      <c r="BV151" s="25" t="str">
        <f>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</f>
        <v/>
      </c>
      <c r="BW151" s="25" t="str">
        <f>IF(_xlfn.XLOOKUP(B151,'Base stats'!B:B,'Base stats'!AG:AG)=1,"true","false")</f>
        <v>false</v>
      </c>
      <c r="BX151" s="25">
        <f>IF(_xlfn.XLOOKUP(B151,'Base stats'!B:B,'Base stats'!N:N)=1,"No",MIN(MROUND(IF(OR(_xlfn.XLOOKUP(B151,'Base stats'!B:B,'Base stats'!AJ:AJ)=1,AND(BH151="True",CA151="False")),POWER(10,3.47*LOG10(_xlfn.XLOOKUP(B151,'Base stats'!B:B,'Base stats'!C:C)*1000)^-0.96),POWER(10,4.15*LOG10(_xlfn.XLOOKUP(B151,'Base stats'!B:B,'Base stats'!C:C)*1000)^-0.73))*IF(OR(_xlfn.XLOOKUP(B151,'Base stats'!B:B,'Base stats'!AJ:AJ)=1,_xlfn.XLOOKUP(B151,'Base stats'!B:B,'Base stats'!AH:AH)=1),0.5,1)/100,0.025),1))</f>
        <v>0.1</v>
      </c>
      <c r="BY151" s="25" t="str">
        <f>IF(O151="Standard","No",IF(_xlfn.XLOOKUP(B151,'Base stats'!B:B,'Base stats'!N:N)=0,MROUND(BX151*O151,0.05),MIN(1,MAX(0.025,MROUND(IF(OR(CA151="true",AND(BH151="false",BM151="false")),POWER(10,4.15*LOG10(_xlfn.XLOOKUP(B151,'Base stats'!B:B,'Base stats'!C:C)*1000)^-0.73),POWER(10,3.47*LOG10(_xlfn.XLOOKUP(B151,'Base stats'!B:B,'Base stats'!C:C)*1000)^-0.96))*IF(_xlfn.XLOOKUP(B151,'Base stats'!B:B,'Base stats'!AH:AH)=1,0.5,1)/100,0.025)))))</f>
        <v>No</v>
      </c>
      <c r="BZ151" s="25" t="str">
        <f>IF(_xlfn.XLOOKUP(_xlfn.XLOOKUP(B151,'Base stats'!B:B,'Base stats'!E:E),Groups!A:A,Groups!AJ:AJ)="Mammal","True","False")</f>
        <v>True</v>
      </c>
      <c r="CA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B151" s="25" t="str">
        <f t="shared" si="20"/>
        <v>False</v>
      </c>
      <c r="CC151" s="25" t="str">
        <f>IF(_xlfn.XLOOKUP(_xlfn.XLOOKUP(B151,'Base stats'!B:B,'Base stats'!E:E),Groups!A:A,Groups!AW:AW),"True","False")</f>
        <v>False</v>
      </c>
      <c r="CD151" s="25" t="str">
        <f>IF(_xlfn.XLOOKUP(_xlfn.XLOOKUP(B151,'Base stats'!B:B,'Base stats'!E:E),Groups!A:A,Groups!AX:AX),"True","False")</f>
        <v>False</v>
      </c>
      <c r="CE151" s="25" t="str">
        <f>IF(_xlfn.XLOOKUP(B151,'Base stats'!B:B,'Base stats'!E:E)=1,"True","False")</f>
        <v>False</v>
      </c>
      <c r="CF151" s="25" t="str">
        <f>IF(
OR(
_xlfn.XLOOKUP(_xlfn.XLOOKUP(B151,'Base stats'!B:B,'Base stats'!E:E),Groups!A:A,Groups!AY:AY)=0,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stats'!E:E),Groups!A:A,Groups!AY:AY)=1,
"Flesh",
IF(
_xlfn.XLOOKUP(_xlfn.XLOOKUP(B151,'Base stats'!B:B,'Base stats'!E:E),Groups!A:A,Groups!AY:AY)=2,
"Bone",
""
)
)
)</f>
        <v>No</v>
      </c>
      <c r="CG151" s="25" t="str">
        <f>IF(_xlfn.XLOOKUP(_xlfn.XLOOKUP(B151,'Base stats'!B:B,'Base stats'!E:E),Groups!A:A,Groups!BA:BA),"True","False")</f>
        <v>True</v>
      </c>
      <c r="CH151" s="25" t="str">
        <f>IF(_xlfn.XLOOKUP(_xlfn.XLOOKUP(B151,'Base stats'!B:B,'Base stats'!E:E),Groups!A:A,Groups!AZ:AZ),"True","False")</f>
        <v>False</v>
      </c>
    </row>
    <row r="152" spans="1:86" ht="16.5" thickTop="1" thickBot="1" x14ac:dyDescent="0.3">
      <c r="A152" s="26" t="str">
        <f>_xlfn.XLOOKUP(B152,'Base stats'!B:B,'Base stats'!A:A)</f>
        <v>British Shorthair cat</v>
      </c>
      <c r="B152" s="6" t="s">
        <v>917</v>
      </c>
      <c r="C152" s="28" t="s">
        <v>845</v>
      </c>
      <c r="D152" s="28" t="s">
        <v>884</v>
      </c>
      <c r="E152" s="28" t="s">
        <v>685</v>
      </c>
      <c r="F152" s="28" t="s">
        <v>685</v>
      </c>
      <c r="G152" s="2">
        <f>MROUND((
  (IF(AND(_xlfn.XLOOKUP(B152,'Base stats'!B:B,'Base stats'!AI:AI)=0,BG152="None",_xlfn.XLOOKUP('Base stats'!E152,Groups!A:A,Groups!B:B)=0), (18 + BP152 * 2.7) * 0.5,
    IF(AND(_xlfn.XLOOKUP(B152,'Base stats'!B:B,'Base stats'!AI:AI)=0,OR(AN152&lt;0.55,AND(BG152="Intermediate",_xlfn.XLOOKUP('Base stats'!E152,Groups!A:A,Groups!B:B)&lt;2))), (18 + BP152 * 2.7),
      IF(OR(BG152="Advanced",_xlfn.XLOOKUP(B152,'Base stats'!B:B,'Base stats'!AI:AI)=1,_xlfn.XLOOKUP('Base stats'!E152,Groups!A:A,Groups!B:B)=2), (18 + BP152 * 2.7) + 250, (18 + BP152 * 2.7))
    )
  ))
  + AN152 * 80
  + IF(COUNTIF(EggMilk!K$2:K$998, A152) &gt; 0, 125, 0)
  + IF(COUNTIF(EggMilk!P$2:P$998, A152) &gt; 0, 90, 0)
  + IF(COUNTIF(EggMilk!A$2:A$998, A152) &gt; 0, 90, 0)
)
* (0.8 + 0.4 * I152)
* 0.75,25)</f>
        <v>100</v>
      </c>
      <c r="H152" s="2">
        <f>MROUND(ROUNDDOWN(_xlfn.XLOOKUP(B152,'Base stats'!B:B,'Base stats'!L:L)/3.6/(23.3/11),1),0.5)</f>
        <v>5.5</v>
      </c>
      <c r="I152" s="2">
        <f>IF(_xlfn.XLOOKUP(B152,'Base stats'!B:B,'Base stats'!AI:AI)=1,0.99,MIN(MROUND((1-0.6282*EXP(-0.459*AN152))*_xlfn.XLOOKUP(_xlfn.XLOOKUP(B152,'Base stats'!B:B,'Base stats'!E:E),Groups!A:A,Groups!C:C)*IF(_xlfn.XLOOKUP(B152,'Base stats'!B:B,'Base stats'!O:O)=1,0.5,IF(_xlfn.XLOOKUP(B152,'Base stats'!B:B,'Base stats'!O:O)=2,0,1)),0.05),0.985))</f>
        <v>0</v>
      </c>
      <c r="J152" s="2">
        <f>ROUNDUP(AN152*_xlfn.XLOOKUP(_xlfn.XLOOKUP(B152,'Base stats'!B:B,'Base stats'!E:E),Groups!A:A,Groups!E:E),0)</f>
        <v>1</v>
      </c>
      <c r="K152" s="2">
        <f>IF(OR(_xlfn.XLOOKUP(_xlfn.XLOOKUP(B152,'Base stats'!B:B,'Base stats'!E:E),Groups!A:A,Groups!F:F)=2,ISNUMBER(SEARCH("SeaIce",BV152)),ISNUMBER(SEARCH("IceSheet",BV152))),-50,IF(OR(ISNUMBER(SEARCH("GlacialPlain",BV152)),ISNUMBER(SEARCH("Tundra",BV152))),-40,IF(OR(ISNUMBER(SEARCH("Alpine",BV152)),ISNUMBER(SEARCH("BorealForest",BV152)),ISNUMBER(SEARCH("ColdBog",BV152))),-30,IF(OR(ISNUMBER(SEARCH("TemperateForest",BV152)),ISNUMBER(SEARCH("TemperateSwamp",BV152))),-20,IF(_xlfn.XLOOKUP(_xlfn.XLOOKUP(B152,'Base stats'!B:B,'Base stats'!E:E),Groups!A:A,Groups!F:F)=1,-15,IF(OR(ISNUMBER(SEARCH("Desert",BV152)),ISNUMBER(SEARCH("ExtremeDesert",BV152))),-10,IF(OR(ISNUMBER(SEARCH("Grasslands",BV152)),ISNUMBER(SEARCH("TropicalRainforest",BV152)),ISNUMBER(SEARCH("TropicalSwamp",BV152))),10,0)))))))-IF(CA152="False",MIN(IFERROR(MAX(MROUND(LOG10(_xlfn.XLOOKUP(B152,'Base stats'!B:B,'Base stats'!C:C)^(2/3))*10,5),5),5),30))-_xlfn.XLOOKUP(B152,'Base stats'!B:B,'Base stats'!P:P)+IF(CA152="True",5,0)</f>
        <v>-20</v>
      </c>
      <c r="L152" s="2">
        <f>IF(OR(_xlfn.XLOOKUP(_xlfn.XLOOKUP(B152,'Base stats'!B:B,'Base stats'!E:E),Groups!A:A,Groups!G:G)=2,ISNUMBER(SEARCH("Desert",BV152)),ISNUMBER(SEARCH("ExtremeDesert",BV152)),ISNUMBER(SEARCH("LavaField",BV152))),50,IF(ISNUMBER(SEARCH("Grasslands",BV152)),45,IF(OR(_xlfn.XLOOKUP(_xlfn.XLOOKUP(B152,'Base stats'!B:B,'Base stats'!E:E),Groups!A:A,Groups!G:G)=1,ISNUMBER(SEARCH("TropicalRainforest",BV152)),ISNUMBER(SEARCH("TropicalSwamp",BV152))),40,IF(OR(ISNUMBER(SEARCH("TemperateForest",BV152)),ISNUMBER(SEARCH("TemperateSwamp",BV152))),35,IF(OR(ISNUMBER(SEARCH("Alpine",BV152)),ISNUMBER(SEARCH("BorealForest",BV152)),ISNUMBER(SEARCH("ColdBog",BV152))),30,IF(ISNUMBER(OR(ISNUMBER(SEARCH("GlacialPlain",BV152)),SEARCH("Tundra",BV152))),25,IF(OR(ISNUMBER(SEARCH("SeaIce",BV152)),ISNUMBER(SEARCH("IceSheet",BV152)),ISNUMBER(SEARCH("TropicalSwamp",BV152))),10,35)))))))+_xlfn.XLOOKUP(B152,'Base stats'!B:B,'Base stats'!Q:Q)</f>
        <v>40</v>
      </c>
      <c r="M152" s="8" t="str">
        <f>IF(_xlfn.XLOOKUP(_xlfn.XLOOKUP(B152,'Base stats'!B:B,'Base stats'!E:E),Groups!A:A,Groups!L:L)=1,MIN(MROUND(_xlfn.XLOOKUP(B152,'Animals CE'!B:B,'Animals CE'!Z:Z)/2+0.05,0.05),200%),"No")</f>
        <v>No</v>
      </c>
      <c r="N152" s="8" t="str">
        <f>IF(_xlfn.XLOOKUP(_xlfn.XLOOKUP(B152,'Base stats'!B:B,'Base stats'!E:E),Groups!A:A,Groups!L:L)=1,MIN(MROUND(_xlfn.XLOOKUP(B152,'Animals CE'!B:B,'Animals CE'!AA:AA)/2+0.05,0.05),200%),"No")</f>
        <v>No</v>
      </c>
      <c r="O152" s="2" t="str">
        <f>_xlfn.XLOOKUP(B152,'Base stats'!B:B,'Base stats'!R:R)</f>
        <v>Standard</v>
      </c>
      <c r="P152" s="13">
        <f>MROUND((LOG10(_xlfn.XLOOKUP(B152,'Base stats'!B:B,'Base stats'!AO:AO))*(AN152^0.5)+(_xlfn.XLOOKUP(B152,'Base stats'!B:B,'Base stats'!AO:AO)/1000)^(2/3)+_xlfn.XLOOKUP(B152,'Base stats'!B:B,'Base stats'!AX:AX)/2)+0.5,0.5)</f>
        <v>2.5</v>
      </c>
      <c r="Q152" s="7">
        <f>IF(P152="No","No",MAX(1,MROUND(_xlfn.XLOOKUP(B152,'Base stats'!B:B,'Base stats'!C:C)^0.165,0.05)))</f>
        <v>1.3</v>
      </c>
      <c r="R152" s="13" t="str">
        <f>IF(_xlfn.XLOOKUP(_xlfn.XLOOKUP(B152,'Base stats'!B:B,'Base stats'!E:E),Groups!A:A,Groups!P:P)=0,"No",MROUND((LOG10(_xlfn.XLOOKUP(B152,'Base stats'!B:B,'Base stats'!AP:AP))*(AN152^0.5)+(_xlfn.XLOOKUP(B152,'Base stats'!B:B,'Base stats'!AP:AP)/1000)^(2/3)+_xlfn.XLOOKUP(B152,'Base stats'!B:B,'Base stats'!AX:AX))+_xlfn.XLOOKUP(B152,'Base stats'!B:B,'Base stats'!AV:AV)+0.5,0.5))</f>
        <v>No</v>
      </c>
      <c r="S152" s="7" t="str">
        <f>IF(R152="No","No",MAX(_xlfn.XLOOKUP(_xlfn.XLOOKUP(B152,'Base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T152" s="7" t="str">
        <f>IF(R152="No","No",_xlfn.XLOOKUP(_xlfn.XLOOKUP(B152,'Base stats'!B:B,'Base stats'!E:E),Groups!A:A,Groups!R:R))</f>
        <v>No</v>
      </c>
      <c r="U152" s="7" t="str">
        <f>IF(R152="No","No",_xlfn.XLOOKUP(_xlfn.XLOOKUP(B152,'Base stats'!B:B,'Base stats'!E:E),Groups!A:A,Groups!S:S))</f>
        <v>No</v>
      </c>
      <c r="V152" s="7" t="str">
        <f>IF(R152="No","No",_xlfn.XLOOKUP(_xlfn.XLOOKUP(B152,'Base stats'!B:B,'Base stats'!E:E),Groups!A:A,Groups!T:T))</f>
        <v>No</v>
      </c>
      <c r="W152" s="13" t="str">
        <f>IF(_xlfn.XLOOKUP(B152,'Base stats'!B:B,'Base stats'!W:W)="No","No",MROUND((LOG10(_xlfn.XLOOKUP(B152,'Base stats'!B:B,'Base stats'!AR:AR))*(AN152^0.5)+(_xlfn.XLOOKUP(B152,'Base stats'!B:B,'Base stats'!AR:AR)/1000)^(2/3)+_xlfn.XLOOKUP(B152,'Base stats'!B:B,'Base stats'!AW:AW))+0.5+IF(_xlfn.XLOOKUP(_xlfn.XLOOKUP(B152,'Base stats'!B:B,'Base stats'!E:E),Groups!A:A,Groups!U:U)&lt;&gt;3,_xlfn.XLOOKUP(B152,'Base stats'!B:B,'Base stats'!AX:AX),0),0.5))</f>
        <v>No</v>
      </c>
      <c r="X152" s="7" t="str">
        <f>IF(W152="No","No",MAX(_xlfn.XLOOKUP(_xlfn.XLOOKUP(B152,'Base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Y152" s="7" t="str">
        <f>IF(W152="No","No",_xlfn.XLOOKUP(_xlfn.XLOOKUP(B152,'Base stats'!B:B,'Base stats'!E:E),Groups!A:A,Groups!W:W))</f>
        <v>No</v>
      </c>
      <c r="Z152" s="7" t="str">
        <f>IF(W152="No","No",_xlfn.XLOOKUP(_xlfn.XLOOKUP(B152,'Base stats'!B:B,'Base stats'!E:E),Groups!A:A,Groups!X:X))</f>
        <v>No</v>
      </c>
      <c r="AA152" s="7" t="str">
        <f>IF(W152="No","No",_xlfn.XLOOKUP(_xlfn.XLOOKUP(B152,'Base stats'!B:B,'Base stats'!E:E),Groups!A:A,Groups!Y:Y))</f>
        <v>No</v>
      </c>
      <c r="AB152" s="7" t="str">
        <f>_xlfn.XLOOKUP(Animals!B152,'Base stats'!B:B,'Base stats'!X:X)</f>
        <v>False</v>
      </c>
      <c r="AC152" s="13">
        <f>IF(_xlfn.XLOOKUP(B152,'Base stats'!B:B,'Base stats'!AQ:AQ)="No","No",MROUND((LOG10(_xlfn.XLOOKUP(B152,'Base stats'!B:B,'Base stats'!AQ:AQ))*(AN152^0.75)+(_xlfn.XLOOKUP(B152,'Base stats'!B:B,'Base stats'!AQ:AQ)/1000)^(2/3)+_xlfn.XLOOKUP(B152,'Base stats'!B:B,'Base stats'!AU:AU)+_xlfn.XLOOKUP(B152,'Base stats'!B:B,'Base stats'!AX:AX))+0.5,0.5))</f>
        <v>4</v>
      </c>
      <c r="AD152" s="7">
        <f>IF(AC152="No","No",MAX(_xlfn.XLOOKUP(_xlfn.XLOOKUP(B152,'Base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E152" s="7" t="str">
        <f>IF(AC152="No","No",_xlfn.XLOOKUP(_xlfn.XLOOKUP(B152,'Base stats'!B:B,'Base stats'!E:E),Groups!A:A,Groups!AA:AA))</f>
        <v>Teeth</v>
      </c>
      <c r="AF152" s="7" t="str">
        <f>IF(AC152="No","No",_xlfn.XLOOKUP(_xlfn.XLOOKUP(B152,'Base stats'!B:B,'Base stats'!E:E),Groups!A:A,Groups!AB:AB))</f>
        <v>canines</v>
      </c>
      <c r="AG152" s="7" t="str">
        <f>IF(AC152="No","No",_xlfn.XLOOKUP(_xlfn.XLOOKUP(B152,'Base stats'!B:B,'Base stats'!E:E),Groups!A:A,Groups!AC:AC))</f>
        <v>Bite</v>
      </c>
      <c r="AH152" s="13">
        <f>IF(_xlfn.XLOOKUP(_xlfn.XLOOKUP(B152,'Base stats'!B:B,'Base stats'!E:E),Groups!A:A,Groups!AD:AD)=0,"No",MROUND((LOG10(_xlfn.XLOOKUP(B152,'Base stats'!B:B,'Base stats'!AP:AP))*(AN152^0.75)+(_xlfn.XLOOKUP(B152,'Base stats'!B:B,'Base stats'!AP:AP)/1000)^(2/3)+_xlfn.XLOOKUP(B152,'Base stats'!B:B,'Base stats'!AV:AV)+_xlfn.XLOOKUP(B152,'Base stats'!B:B,'Base stats'!AX:AX))+0.5,0.5))</f>
        <v>3.5</v>
      </c>
      <c r="AI152" s="7">
        <f>IF(AH152="No","No",MAX(_xlfn.XLOOKUP(_xlfn.XLOOKUP(B152,'Base stats'!B:B,'Base stats'!E:E),Groups!A:A,Groups!AE:AE),MROUND(_xlfn.XLOOKUP(_xlfn.XLOOKUP(B152,'Base stats'!B:B,'Base stats'!E:E),Groups!A:A,Groups!AE:AE)*_xlfn.XLOOKUP(B152,'Base stats'!B:B,'Base stats'!C:C)^0.165,0.05)))</f>
        <v>0.85000000000000009</v>
      </c>
      <c r="AJ152" s="7" t="str">
        <f>IF(AH152="No","No",_xlfn.XLOOKUP(_xlfn.XLOOKUP(B152,'Base stats'!B:B,'Base stats'!E:E),Groups!A:A,Groups!AF:AF))</f>
        <v>FrontRightPaw, FrontRightPaw</v>
      </c>
      <c r="AK152" s="7" t="str">
        <f>IF(AH152="No","No",_xlfn.XLOOKUP(_xlfn.XLOOKUP(B152,'Base stats'!B:B,'Base stats'!E:E),Groups!A:A,Groups!AG:AG))</f>
        <v>left claw, right claw</v>
      </c>
      <c r="AL152" s="7" t="str">
        <f>IF(AH152="No","No",_xlfn.XLOOKUP(_xlfn.XLOOKUP(B152,'Base stats'!B:B,'Base stats'!E:E),Groups!A:A,Groups!AH:AH))</f>
        <v>Scratch</v>
      </c>
      <c r="AM152" s="2">
        <f t="shared" si="14"/>
        <v>15</v>
      </c>
      <c r="AN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O152" s="8">
        <f>MROUND(AN152*_xlfn.XLOOKUP(_xlfn.XLOOKUP(B152,'Base stats'!B:B,'Base stats'!E:E),Groups!A:A,Groups!AI:AI),0.05)</f>
        <v>0.35000000000000003</v>
      </c>
      <c r="AP152" s="8">
        <f>MAX(0.01,MROUND(IF(CA152="True",0.196*(AN152*100*1000)^0.889,IF(_xlfn.XLOOKUP(_xlfn.XLOOKUP(B152,'Base stats'!B:B,'Base stats'!E:E),Groups!A:A,Groups!AJ:AJ)="Bird",10.5*(AN152*100*1000)^0.681,4.82*(AN152*100*1000)^0.734))/(4.82*(1*100*1000)^0.734)/IF(AN152&lt;3.5,2,IF(AN152=3.5,1.5,1.25))*(1+0.132282374779864/(AN152^0.994035016789033+0.00905238001496948)),0.05))</f>
        <v>0.30000000000000004</v>
      </c>
      <c r="AQ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R152" s="35">
        <f>IFERROR(IF(_xlfn.XLOOKUP(B152,'Base stats'!B:B,'Base stats'!F:F)="Lay eggs","Lay eggs",MIN(20,MAX(5.5,ROUND(((_xlfn.XLOOKUP(B152,'Base stats'!B:B,'Base stats'!F:F)-25)*(14.5/615) + 5.5)*2,0)/2))),"Cannot breed")</f>
        <v>6.5</v>
      </c>
      <c r="AS152" s="8">
        <f>IF(OR(A152="Queen",A152="Larva",A152="Megachicken"),"No",IFERROR(MAX(IF(_xlfn.XLOOKUP(B152,'Base stats'!B:B,'Base stats'!G:G)&lt;0.5,0.2,0.3),MROUND(_xlfn.XLOOKUP(B152,'Base stats'!B:B,'Base stats'!G:G)/(365/60),0.2)),"Unknown"))</f>
        <v>0.3</v>
      </c>
      <c r="AT152" s="8">
        <f t="shared" si="15"/>
        <v>0.15000000000000002</v>
      </c>
      <c r="AU152" s="8">
        <f>IFERROR(IFERROR(MROUND(_xlfn.XLOOKUP(B152,'Base stats'!B:B,'Base stats'!J:J),0.1),"Lay eggs"),"Cannot breed")</f>
        <v>4</v>
      </c>
      <c r="AV152" s="2" t="str">
        <f t="shared" si="16"/>
        <v>false</v>
      </c>
      <c r="AW152" s="2" t="str">
        <f>IF(_xlfn.XLOOKUP(_xlfn.XLOOKUP(Animals!B152,'Base stats'!B:B,'Base stats'!E:E),Groups!A:A,Groups!AK:AK)=1,"true","false")</f>
        <v>false</v>
      </c>
      <c r="AX152" s="25" t="str">
        <f>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</f>
        <v>CarnivoreAnimal, OvivoreAnimal</v>
      </c>
      <c r="AY152" s="2" t="str">
        <f>IF(_xlfn.XLOOKUP(_xlfn.XLOOKUP(B152,'Base stats'!B:B,'Base stats'!E:E),Groups!A:A,Groups!D:D)=1,MROUND((1-I152)*5+1,2)*IF(I152&lt;=0.4,2,1),"No")</f>
        <v>No</v>
      </c>
      <c r="AZ152" s="2" t="str">
        <f>_xlfn.XLOOKUP(B152,'Base stats'!B:B,'Base stats'!AE:AE)</f>
        <v>Leather_Light</v>
      </c>
      <c r="BA152" s="23" t="str">
        <f>_xlfn.XLOOKUP(_xlfn.XLOOKUP(B152,'Base stats'!B:B,'Base stats'!E:E),Groups!A:A,Groups!AL:AL)</f>
        <v>QuadrupedAnimalWithPawsAndTail</v>
      </c>
      <c r="BB152" s="23">
        <f>MROUND(IF(AND(AN152&lt;0.5,_xlfn.XLOOKUP(B152,'Base stats'!B:B,'Base stats'!Z:Z)=0),0,IF(OR(_xlfn.XLOOKUP(Animals!B152,'Base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stats'!AA:AA),0.005)</f>
        <v>0</v>
      </c>
      <c r="BC152" s="23">
        <f>MROUND(IF(AND(AN152&lt;0.5,_xlfn.XLOOKUP(B152,'Base stats'!B:B,'Base stats'!Z:Z)=0),0,IF(_xlfn.XLOOKUP(_xlfn.XLOOKUP(B152,'Base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stats'!AB:AB),0.005)</f>
        <v>0</v>
      </c>
      <c r="BD152" s="2">
        <f>IF(I152&gt;0.3,"No",_xlfn.XLOOKUP(_xlfn.XLOOKUP(Animals!B152,'Base stats'!B:B,'Base stats'!E:E),Groups!A:A,Groups!AP:AP))</f>
        <v>1</v>
      </c>
      <c r="BE152" s="2">
        <f>IF(AND(I152&lt;=0.65,_xlfn.XLOOKUP(_xlfn.XLOOKUP(Animals!B152,'Base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stats'!O:O)=2,0.2,AN152) + 24*(1-IF(BD152="No",0,BD152)) + 16/3, 12),"No")</f>
        <v>12</v>
      </c>
      <c r="BF152" s="2">
        <f>IF(AND(_xlfn.XLOOKUP(_xlfn.XLOOKUP(B152,'Base stats'!B:B,'Base stats'!E:E),Groups!A:A,Groups!AQ:AQ)=1,AN152&lt;=0.35),8,12)</f>
        <v>12</v>
      </c>
      <c r="BG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H152" s="2" t="str">
        <f>IF(AND(_xlfn.XLOOKUP(_xlfn.XLOOKUP(B152,'Base stats'!B:B,'Base stats'!E:E),Groups!A:A,Groups!AS:AS)=1,OR('Base stats'!Y152="Carnivore",'Base stats'!Y152="Omnivore")),"true","false")</f>
        <v>true</v>
      </c>
      <c r="BI152" s="2">
        <f>IF(BH152="true",MROUND(IF(AND(AN152&gt;0.5,_xlfn.XLOOKUP(_xlfn.XLOOKUP(B152,'Base stats'!B:B,'Base stats'!E:E),Groups!A:A,Groups!AJ:AJ)="Mammal"),Animals!AN152*1.75*IF(AV152="true",1.5,1),Animals!AN152),IF(AN152&gt;2,0.5,IF(AN152&gt;0.5,0.25,0.1))),"No")</f>
        <v>0.30000000000000004</v>
      </c>
      <c r="BJ152" s="2">
        <f t="shared" si="17"/>
        <v>1</v>
      </c>
      <c r="BK152" s="25" t="str">
        <f>IF('Base stats'!AK152="Standard","No",MROUND((_xlfn.XLOOKUP(B152,'Base stats'!B:B,'Base stats'!AK:AK)/3.6)/H152,0.1))</f>
        <v>No</v>
      </c>
      <c r="BL152" s="25" t="str">
        <f t="shared" si="18"/>
        <v>false</v>
      </c>
      <c r="BM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N152" s="25" t="str" cm="1">
        <f t="array" ref="BN152">IF(
  _xlfn.TEXTJOIN(", ",TRUE,
    IF(AND(BH152="true",AN152&gt;0.5,BG152&lt;&gt;"None"),"AttackTarget",""),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IF(BE152&lt;=36,"Comfort",""),
    IF(_xlfn.XLOOKUP(B152,'Base stats'!B:B,'Base stats'!AC:AC)&lt;&gt;"No",_xlfn.XLOOKUP(B152,'Base stats'!B:B,'Base stats'!AC:AC),"")
  ) = "",
  "No",
  _xlfn.TEXTJOIN(", ",TRUE,
    IF(AND(BH152="true",AN152&gt;0.5,BG152&lt;&gt;"None"),"AttackTarget",""),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IF(BE152&lt;=36,"Comfort",""),
    IF(_xlfn.XLOOKUP(B152,'Base stats'!B:B,'Base stats'!AC:AC)&lt;&gt;"No",_xlfn.XLOOKUP(B152,'Base stats'!B:B,'Base stats'!AC:AC),"")
  )
)</f>
        <v>Comfort</v>
      </c>
      <c r="BO152" s="25" t="str">
        <f>IF(
   AND(
      'Base stats'!AK152="Standard",_xlfn.XLOOKUP(_xlfn.XLOOKUP(B152,'Base stats'!B:B,'Base stats'!E:E),Groups!A:A,Groups!AU:AU)=0,
      OR(
      BM152="True"
      )
   ),
   10,
   IF(
       OR(BK152&lt;&gt;"No",_xlfn.XLOOKUP(_xlfn.XLOOKUP(B152,'Base stats'!B:B,'Base stats'!E:E),Groups!A:A,Groups!AU:AU)=1),
      1,
      "No"
   )
)</f>
        <v>No</v>
      </c>
      <c r="BP152" s="9">
        <f>MROUND((1 + ((0.2*IF(OR(P152="No",Q152="No",Q152=0),0,P152/Q152)
+IF(OR(U152="No",R152="No",S152="No"),0,R152/S152*(LEN(U152)-LEN(SUBSTITUTE(U152,",",""))+1))
+IF(OR(W152="No",X152="No"),0,W152/X152)
+IF(OR(AC152="No",AD152="No"),0,AC152/AD152)
+IF(OR(AK152="No",AH152="No",AI152="No"),0,AH152/AI152*(LEN(AK152)-LEN(SUBSTITUTE(AK152,",",""))+1))
)/(0.2*IF(OR(P152="No",Q152="No",Q152=0),0,1)
+IF(OR(U152="No",R152="No",S152="No"),0,LEN(U152)-LEN(SUBSTITUTE(U152,",",""))+1)
+IF(OR(W152="No",X152="No"),0,1)
+IF(OR(AC152="No",AD152="No"),0,1)
+IF(OR(AK152="No",AH152="No",AI152="No"),0,LEN(AK152)-LEN(SUBSTITUTE(AK152,",",""))+1))*62%)* 2)*(1 + (AO152 + _xlfn.XLOOKUP(B152,'Base stats'!B:B,'Base stats'!AS:AS) * 1.8) * 2) * 2.5 + 10 + H152 * 2,5)+IF(_xlfn.XLOOKUP(B152,'Base stats'!B:B,'Base stats'!AH:AH)=1,50,0)</f>
        <v>45</v>
      </c>
      <c r="BQ152" s="8">
        <f t="shared" si="19"/>
        <v>0.30000000000000004</v>
      </c>
      <c r="BR152" s="8" t="str">
        <f>_xlfn.XLOOKUP(B152,'Base stats'!B:B,'Base stats'!AD:AD)</f>
        <v>No</v>
      </c>
      <c r="BS152" s="2" t="str">
        <f>IF(AND(I152&lt;=0.95,OR(_xlfn.XLOOKUP(B152,'Base stats'!B:B,'Base stats'!AH:AH)=1,_xlfn.XLOOKUP(B152,'Base stats'!B:B,'Base stats'!Y:Y)="Carnivore",_xlfn.XLOOKUP(B152,'Base stats'!B:B,'Base stats'!Y:Y)="Omnivore",BC152&gt;0.1)),"true","false")</f>
        <v>true</v>
      </c>
      <c r="BT152" s="2" t="str">
        <f>IF(_xlfn.XLOOKUP(B152,'Base stats'!B:B,'Base stats'!AF:AF)=1,"true","false")</f>
        <v>false</v>
      </c>
      <c r="BU152" s="25" t="str">
        <f>IF(E152="BaseInsect","AnimalInsect",
IF(I152&gt;0.95,"AnimalExotic",
_xlfn.TEXTJOIN(", ",TRUE,
IF(AND(_xlfn.XLOOKUP(B152,'Base stats'!B:B,'Base stats'!O:O)=0,_xlfn.XLOOKUP(_xlfn.XLOOKUP(B152,'Base stats'!B:B,'Base stats'!E:E),Groups!A:A,Groups!B:B)&gt;0),"AnimalUncommon","AnimalCommon"),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stats'!AH:AH)=1,AND(BG152&lt;&gt;"None",BP152&gt;=60),ISNUMBER(SEARCH("Attack target",BN152))),"AnimalFighter","")
)))</f>
        <v>AnimalCommon, AnimalPet</v>
      </c>
      <c r="BV152" s="25" t="str">
        <f>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</f>
        <v/>
      </c>
      <c r="BW152" s="25" t="str">
        <f>IF(_xlfn.XLOOKUP(B152,'Base stats'!B:B,'Base stats'!AG:AG)=1,"true","false")</f>
        <v>false</v>
      </c>
      <c r="BX152" s="25">
        <f>IF(_xlfn.XLOOKUP(B152,'Base stats'!B:B,'Base stats'!N:N)=1,"No",MIN(MROUND(IF(OR(_xlfn.XLOOKUP(B152,'Base stats'!B:B,'Base stats'!AJ:AJ)=1,AND(BH152="True",CA152="False")),POWER(10,3.47*LOG10(_xlfn.XLOOKUP(B152,'Base stats'!B:B,'Base stats'!C:C)*1000)^-0.96),POWER(10,4.15*LOG10(_xlfn.XLOOKUP(B152,'Base stats'!B:B,'Base stats'!C:C)*1000)^-0.73))*IF(OR(_xlfn.XLOOKUP(B152,'Base stats'!B:B,'Base stats'!AJ:AJ)=1,_xlfn.XLOOKUP(B152,'Base stats'!B:B,'Base stats'!AH:AH)=1),0.5,1)/100,0.025),1))</f>
        <v>0.1</v>
      </c>
      <c r="BY152" s="25" t="str">
        <f>IF(O152="Standard","No",IF(_xlfn.XLOOKUP(B152,'Base stats'!B:B,'Base stats'!N:N)=0,MROUND(BX152*O152,0.05),MIN(1,MAX(0.025,MROUND(IF(OR(CA152="true",AND(BH152="false",BM152="false")),POWER(10,4.15*LOG10(_xlfn.XLOOKUP(B152,'Base stats'!B:B,'Base stats'!C:C)*1000)^-0.73),POWER(10,3.47*LOG10(_xlfn.XLOOKUP(B152,'Base stats'!B:B,'Base stats'!C:C)*1000)^-0.96))*IF(_xlfn.XLOOKUP(B152,'Base stats'!B:B,'Base stats'!AH:AH)=1,0.5,1)/100,0.025)))))</f>
        <v>No</v>
      </c>
      <c r="BZ152" s="25" t="str">
        <f>IF(_xlfn.XLOOKUP(_xlfn.XLOOKUP(B152,'Base stats'!B:B,'Base stats'!E:E),Groups!A:A,Groups!AJ:AJ)="Mammal","True","False")</f>
        <v>True</v>
      </c>
      <c r="CA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B152" s="25" t="str">
        <f t="shared" si="20"/>
        <v>False</v>
      </c>
      <c r="CC152" s="25" t="str">
        <f>IF(_xlfn.XLOOKUP(_xlfn.XLOOKUP(B152,'Base stats'!B:B,'Base stats'!E:E),Groups!A:A,Groups!AW:AW),"True","False")</f>
        <v>False</v>
      </c>
      <c r="CD152" s="25" t="str">
        <f>IF(_xlfn.XLOOKUP(_xlfn.XLOOKUP(B152,'Base stats'!B:B,'Base stats'!E:E),Groups!A:A,Groups!AX:AX),"True","False")</f>
        <v>False</v>
      </c>
      <c r="CE152" s="25" t="str">
        <f>IF(_xlfn.XLOOKUP(B152,'Base stats'!B:B,'Base stats'!E:E)=1,"True","False")</f>
        <v>False</v>
      </c>
      <c r="CF152" s="25" t="str">
        <f>IF(
OR(
_xlfn.XLOOKUP(_xlfn.XLOOKUP(B152,'Base stats'!B:B,'Base stats'!E:E),Groups!A:A,Groups!AY:AY)=0,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stats'!E:E),Groups!A:A,Groups!AY:AY)=1,
"Flesh",
IF(
_xlfn.XLOOKUP(_xlfn.XLOOKUP(B152,'Base stats'!B:B,'Base stats'!E:E),Groups!A:A,Groups!AY:AY)=2,
"Bone",
""
)
)
)</f>
        <v>No</v>
      </c>
      <c r="CG152" s="25" t="str">
        <f>IF(_xlfn.XLOOKUP(_xlfn.XLOOKUP(B152,'Base stats'!B:B,'Base stats'!E:E),Groups!A:A,Groups!BA:BA),"True","False")</f>
        <v>True</v>
      </c>
      <c r="CH152" s="25" t="str">
        <f>IF(_xlfn.XLOOKUP(_xlfn.XLOOKUP(B152,'Base stats'!B:B,'Base stats'!E:E),Groups!A:A,Groups!AZ:AZ),"True","False")</f>
        <v>False</v>
      </c>
    </row>
    <row r="153" spans="1:86" ht="16.5" thickTop="1" thickBot="1" x14ac:dyDescent="0.3">
      <c r="A153" s="26" t="str">
        <f>_xlfn.XLOOKUP(B153,'Base stats'!B:B,'Base stats'!A:A)</f>
        <v>Maine Coon cat</v>
      </c>
      <c r="B153" s="6" t="s">
        <v>918</v>
      </c>
      <c r="C153" s="28" t="s">
        <v>846</v>
      </c>
      <c r="D153" s="28" t="s">
        <v>884</v>
      </c>
      <c r="E153" s="28" t="s">
        <v>685</v>
      </c>
      <c r="F153" s="28" t="s">
        <v>685</v>
      </c>
      <c r="G153" s="2">
        <f>MROUND((
  (IF(AND(_xlfn.XLOOKUP(B153,'Base stats'!B:B,'Base stats'!AI:AI)=0,BG153="None",_xlfn.XLOOKUP('Base stats'!E153,Groups!A:A,Groups!B:B)=0), (18 + BP153 * 2.7) * 0.5,
    IF(AND(_xlfn.XLOOKUP(B153,'Base stats'!B:B,'Base stats'!AI:AI)=0,OR(AN153&lt;0.55,AND(BG153="Intermediate",_xlfn.XLOOKUP('Base stats'!E153,Groups!A:A,Groups!B:B)&lt;2))), (18 + BP153 * 2.7),
      IF(OR(BG153="Advanced",_xlfn.XLOOKUP(B153,'Base stats'!B:B,'Base stats'!AI:AI)=1,_xlfn.XLOOKUP('Base stats'!E153,Groups!A:A,Groups!B:B)=2), (18 + BP153 * 2.7) + 250, (18 + BP153 * 2.7))
    )
  ))
  + AN153 * 80
  + IF(COUNTIF(EggMilk!K$2:K$998, A153) &gt; 0, 125, 0)
  + IF(COUNTIF(EggMilk!P$2:P$998, A153) &gt; 0, 90, 0)
  + IF(COUNTIF(EggMilk!A$2:A$998, A153) &gt; 0, 90, 0)
)
* (0.8 + 0.4 * I153)
* 0.75,25)</f>
        <v>100</v>
      </c>
      <c r="H153" s="2">
        <f>MROUND(ROUNDDOWN(_xlfn.XLOOKUP(B153,'Base stats'!B:B,'Base stats'!L:L)/3.6/(23.3/11),1),0.5)</f>
        <v>6</v>
      </c>
      <c r="I153" s="2">
        <f>IF(_xlfn.XLOOKUP(B153,'Base stats'!B:B,'Base stats'!AI:AI)=1,0.99,MIN(MROUND((1-0.6282*EXP(-0.459*AN153))*_xlfn.XLOOKUP(_xlfn.XLOOKUP(B153,'Base stats'!B:B,'Base stats'!E:E),Groups!A:A,Groups!C:C)*IF(_xlfn.XLOOKUP(B153,'Base stats'!B:B,'Base stats'!O:O)=1,0.5,IF(_xlfn.XLOOKUP(B153,'Base stats'!B:B,'Base stats'!O:O)=2,0,1)),0.05),0.985))</f>
        <v>0</v>
      </c>
      <c r="J153" s="2">
        <f>ROUNDUP(AN153*_xlfn.XLOOKUP(_xlfn.XLOOKUP(B153,'Base stats'!B:B,'Base stats'!E:E),Groups!A:A,Groups!E:E),0)</f>
        <v>1</v>
      </c>
      <c r="K153" s="2">
        <f>IF(OR(_xlfn.XLOOKUP(_xlfn.XLOOKUP(B153,'Base stats'!B:B,'Base stats'!E:E),Groups!A:A,Groups!F:F)=2,ISNUMBER(SEARCH("SeaIce",BV153)),ISNUMBER(SEARCH("IceSheet",BV153))),-50,IF(OR(ISNUMBER(SEARCH("GlacialPlain",BV153)),ISNUMBER(SEARCH("Tundra",BV153))),-40,IF(OR(ISNUMBER(SEARCH("Alpine",BV153)),ISNUMBER(SEARCH("BorealForest",BV153)),ISNUMBER(SEARCH("ColdBog",BV153))),-30,IF(OR(ISNUMBER(SEARCH("TemperateForest",BV153)),ISNUMBER(SEARCH("TemperateSwamp",BV153))),-20,IF(_xlfn.XLOOKUP(_xlfn.XLOOKUP(B153,'Base stats'!B:B,'Base stats'!E:E),Groups!A:A,Groups!F:F)=1,-15,IF(OR(ISNUMBER(SEARCH("Desert",BV153)),ISNUMBER(SEARCH("ExtremeDesert",BV153))),-10,IF(OR(ISNUMBER(SEARCH("Grasslands",BV153)),ISNUMBER(SEARCH("TropicalRainforest",BV153)),ISNUMBER(SEARCH("TropicalSwamp",BV153))),10,0)))))))-IF(CA153="False",MIN(IFERROR(MAX(MROUND(LOG10(_xlfn.XLOOKUP(B153,'Base stats'!B:B,'Base stats'!C:C)^(2/3))*10,5),5),5),30))-_xlfn.XLOOKUP(B153,'Base stats'!B:B,'Base stats'!P:P)+IF(CA153="True",5,0)</f>
        <v>-30</v>
      </c>
      <c r="L153" s="2">
        <f>IF(OR(_xlfn.XLOOKUP(_xlfn.XLOOKUP(B153,'Base stats'!B:B,'Base stats'!E:E),Groups!A:A,Groups!G:G)=2,ISNUMBER(SEARCH("Desert",BV153)),ISNUMBER(SEARCH("ExtremeDesert",BV153)),ISNUMBER(SEARCH("LavaField",BV153))),50,IF(ISNUMBER(SEARCH("Grasslands",BV153)),45,IF(OR(_xlfn.XLOOKUP(_xlfn.XLOOKUP(B153,'Base stats'!B:B,'Base stats'!E:E),Groups!A:A,Groups!G:G)=1,ISNUMBER(SEARCH("TropicalRainforest",BV153)),ISNUMBER(SEARCH("TropicalSwamp",BV153))),40,IF(OR(ISNUMBER(SEARCH("TemperateForest",BV153)),ISNUMBER(SEARCH("TemperateSwamp",BV153))),35,IF(OR(ISNUMBER(SEARCH("Alpine",BV153)),ISNUMBER(SEARCH("BorealForest",BV153)),ISNUMBER(SEARCH("ColdBog",BV153))),30,IF(ISNUMBER(OR(ISNUMBER(SEARCH("GlacialPlain",BV153)),SEARCH("Tundra",BV153))),25,IF(OR(ISNUMBER(SEARCH("SeaIce",BV153)),ISNUMBER(SEARCH("IceSheet",BV153)),ISNUMBER(SEARCH("TropicalSwamp",BV153))),10,35)))))))+_xlfn.XLOOKUP(B153,'Base stats'!B:B,'Base stats'!Q:Q)</f>
        <v>40</v>
      </c>
      <c r="M153" s="8" t="str">
        <f>IF(_xlfn.XLOOKUP(_xlfn.XLOOKUP(B153,'Base stats'!B:B,'Base stats'!E:E),Groups!A:A,Groups!L:L)=1,MIN(MROUND(_xlfn.XLOOKUP(B153,'Animals CE'!B:B,'Animals CE'!Z:Z)/2+0.05,0.05),200%),"No")</f>
        <v>No</v>
      </c>
      <c r="N153" s="8" t="str">
        <f>IF(_xlfn.XLOOKUP(_xlfn.XLOOKUP(B153,'Base stats'!B:B,'Base stats'!E:E),Groups!A:A,Groups!L:L)=1,MIN(MROUND(_xlfn.XLOOKUP(B153,'Animals CE'!B:B,'Animals CE'!AA:AA)/2+0.05,0.05),200%),"No")</f>
        <v>No</v>
      </c>
      <c r="O153" s="2" t="str">
        <f>_xlfn.XLOOKUP(B153,'Base stats'!B:B,'Base stats'!R:R)</f>
        <v>Standard</v>
      </c>
      <c r="P153" s="13">
        <f>MROUND((LOG10(_xlfn.XLOOKUP(B153,'Base stats'!B:B,'Base stats'!AO:AO))*(AN153^0.5)+(_xlfn.XLOOKUP(B153,'Base stats'!B:B,'Base stats'!AO:AO)/1000)^(2/3)+_xlfn.XLOOKUP(B153,'Base stats'!B:B,'Base stats'!AX:AX)/2)+0.5,0.5)</f>
        <v>3</v>
      </c>
      <c r="Q153" s="7">
        <f>IF(P153="No","No",MAX(1,MROUND(_xlfn.XLOOKUP(B153,'Base stats'!B:B,'Base stats'!C:C)^0.165,0.05)))</f>
        <v>1.4000000000000001</v>
      </c>
      <c r="R153" s="13" t="str">
        <f>IF(_xlfn.XLOOKUP(_xlfn.XLOOKUP(B153,'Base stats'!B:B,'Base stats'!E:E),Groups!A:A,Groups!P:P)=0,"No",MROUND((LOG10(_xlfn.XLOOKUP(B153,'Base stats'!B:B,'Base stats'!AP:AP))*(AN153^0.5)+(_xlfn.XLOOKUP(B153,'Base stats'!B:B,'Base stats'!AP:AP)/1000)^(2/3)+_xlfn.XLOOKUP(B153,'Base stats'!B:B,'Base stats'!AX:AX))+_xlfn.XLOOKUP(B153,'Base stats'!B:B,'Base stats'!AV:AV)+0.5,0.5))</f>
        <v>No</v>
      </c>
      <c r="S153" s="7" t="str">
        <f>IF(R153="No","No",MAX(_xlfn.XLOOKUP(_xlfn.XLOOKUP(B153,'Base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T153" s="7" t="str">
        <f>IF(R153="No","No",_xlfn.XLOOKUP(_xlfn.XLOOKUP(B153,'Base stats'!B:B,'Base stats'!E:E),Groups!A:A,Groups!R:R))</f>
        <v>No</v>
      </c>
      <c r="U153" s="7" t="str">
        <f>IF(R153="No","No",_xlfn.XLOOKUP(_xlfn.XLOOKUP(B153,'Base stats'!B:B,'Base stats'!E:E),Groups!A:A,Groups!S:S))</f>
        <v>No</v>
      </c>
      <c r="V153" s="7" t="str">
        <f>IF(R153="No","No",_xlfn.XLOOKUP(_xlfn.XLOOKUP(B153,'Base stats'!B:B,'Base stats'!E:E),Groups!A:A,Groups!T:T))</f>
        <v>No</v>
      </c>
      <c r="W153" s="13" t="str">
        <f>IF(_xlfn.XLOOKUP(B153,'Base stats'!B:B,'Base stats'!W:W)="No","No",MROUND((LOG10(_xlfn.XLOOKUP(B153,'Base stats'!B:B,'Base stats'!AR:AR))*(AN153^0.5)+(_xlfn.XLOOKUP(B153,'Base stats'!B:B,'Base stats'!AR:AR)/1000)^(2/3)+_xlfn.XLOOKUP(B153,'Base stats'!B:B,'Base stats'!AW:AW))+0.5+IF(_xlfn.XLOOKUP(_xlfn.XLOOKUP(B153,'Base stats'!B:B,'Base stats'!E:E),Groups!A:A,Groups!U:U)&lt;&gt;3,_xlfn.XLOOKUP(B153,'Base stats'!B:B,'Base stats'!AX:AX),0),0.5))</f>
        <v>No</v>
      </c>
      <c r="X153" s="7" t="str">
        <f>IF(W153="No","No",MAX(_xlfn.XLOOKUP(_xlfn.XLOOKUP(B153,'Base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Y153" s="7" t="str">
        <f>IF(W153="No","No",_xlfn.XLOOKUP(_xlfn.XLOOKUP(B153,'Base stats'!B:B,'Base stats'!E:E),Groups!A:A,Groups!W:W))</f>
        <v>No</v>
      </c>
      <c r="Z153" s="7" t="str">
        <f>IF(W153="No","No",_xlfn.XLOOKUP(_xlfn.XLOOKUP(B153,'Base stats'!B:B,'Base stats'!E:E),Groups!A:A,Groups!X:X))</f>
        <v>No</v>
      </c>
      <c r="AA153" s="7" t="str">
        <f>IF(W153="No","No",_xlfn.XLOOKUP(_xlfn.XLOOKUP(B153,'Base stats'!B:B,'Base stats'!E:E),Groups!A:A,Groups!Y:Y))</f>
        <v>No</v>
      </c>
      <c r="AB153" s="7" t="str">
        <f>_xlfn.XLOOKUP(Animals!B153,'Base stats'!B:B,'Base stats'!X:X)</f>
        <v>False</v>
      </c>
      <c r="AC153" s="13">
        <f>IF(_xlfn.XLOOKUP(B153,'Base stats'!B:B,'Base stats'!AQ:AQ)="No","No",MROUND((LOG10(_xlfn.XLOOKUP(B153,'Base stats'!B:B,'Base stats'!AQ:AQ))*(AN153^0.75)+(_xlfn.XLOOKUP(B153,'Base stats'!B:B,'Base stats'!AQ:AQ)/1000)^(2/3)+_xlfn.XLOOKUP(B153,'Base stats'!B:B,'Base stats'!AU:AU)+_xlfn.XLOOKUP(B153,'Base stats'!B:B,'Base stats'!AX:AX))+0.5,0.5))</f>
        <v>5</v>
      </c>
      <c r="AD153" s="7">
        <f>IF(AC153="No","No",MAX(_xlfn.XLOOKUP(_xlfn.XLOOKUP(B153,'Base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E153" s="7" t="str">
        <f>IF(AC153="No","No",_xlfn.XLOOKUP(_xlfn.XLOOKUP(B153,'Base stats'!B:B,'Base stats'!E:E),Groups!A:A,Groups!AA:AA))</f>
        <v>Teeth</v>
      </c>
      <c r="AF153" s="7" t="str">
        <f>IF(AC153="No","No",_xlfn.XLOOKUP(_xlfn.XLOOKUP(B153,'Base stats'!B:B,'Base stats'!E:E),Groups!A:A,Groups!AB:AB))</f>
        <v>canines</v>
      </c>
      <c r="AG153" s="7" t="str">
        <f>IF(AC153="No","No",_xlfn.XLOOKUP(_xlfn.XLOOKUP(B153,'Base stats'!B:B,'Base stats'!E:E),Groups!A:A,Groups!AC:AC))</f>
        <v>Bite</v>
      </c>
      <c r="AH153" s="13">
        <f>IF(_xlfn.XLOOKUP(_xlfn.XLOOKUP(B153,'Base stats'!B:B,'Base stats'!E:E),Groups!A:A,Groups!AD:AD)=0,"No",MROUND((LOG10(_xlfn.XLOOKUP(B153,'Base stats'!B:B,'Base stats'!AP:AP))*(AN153^0.75)+(_xlfn.XLOOKUP(B153,'Base stats'!B:B,'Base stats'!AP:AP)/1000)^(2/3)+_xlfn.XLOOKUP(B153,'Base stats'!B:B,'Base stats'!AV:AV)+_xlfn.XLOOKUP(B153,'Base stats'!B:B,'Base stats'!AX:AX))+0.5,0.5))</f>
        <v>4</v>
      </c>
      <c r="AI153" s="7">
        <f>IF(AH153="No","No",MAX(_xlfn.XLOOKUP(_xlfn.XLOOKUP(B153,'Base stats'!B:B,'Base stats'!E:E),Groups!A:A,Groups!AE:AE),MROUND(_xlfn.XLOOKUP(_xlfn.XLOOKUP(B153,'Base stats'!B:B,'Base stats'!E:E),Groups!A:A,Groups!AE:AE)*_xlfn.XLOOKUP(B153,'Base stats'!B:B,'Base stats'!C:C)^0.165,0.05)))</f>
        <v>0.9</v>
      </c>
      <c r="AJ153" s="7" t="str">
        <f>IF(AH153="No","No",_xlfn.XLOOKUP(_xlfn.XLOOKUP(B153,'Base stats'!B:B,'Base stats'!E:E),Groups!A:A,Groups!AF:AF))</f>
        <v>FrontRightPaw, FrontRightPaw</v>
      </c>
      <c r="AK153" s="7" t="str">
        <f>IF(AH153="No","No",_xlfn.XLOOKUP(_xlfn.XLOOKUP(B153,'Base stats'!B:B,'Base stats'!E:E),Groups!A:A,Groups!AG:AG))</f>
        <v>left claw, right claw</v>
      </c>
      <c r="AL153" s="7" t="str">
        <f>IF(AH153="No","No",_xlfn.XLOOKUP(_xlfn.XLOOKUP(B153,'Base stats'!B:B,'Base stats'!E:E),Groups!A:A,Groups!AH:AH))</f>
        <v>Scratch</v>
      </c>
      <c r="AM153" s="2">
        <f t="shared" si="14"/>
        <v>15</v>
      </c>
      <c r="AN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O153" s="8">
        <f>MROUND(AN153*_xlfn.XLOOKUP(_xlfn.XLOOKUP(B153,'Base stats'!B:B,'Base stats'!E:E),Groups!A:A,Groups!AI:AI),0.05)</f>
        <v>0.4</v>
      </c>
      <c r="AP153" s="8">
        <f>MAX(0.01,MROUND(IF(CA153="True",0.196*(AN153*100*1000)^0.889,IF(_xlfn.XLOOKUP(_xlfn.XLOOKUP(B153,'Base stats'!B:B,'Base stats'!E:E),Groups!A:A,Groups!AJ:AJ)="Bird",10.5*(AN153*100*1000)^0.681,4.82*(AN153*100*1000)^0.734))/(4.82*(1*100*1000)^0.734)/IF(AN153&lt;3.5,2,IF(AN153=3.5,1.5,1.25))*(1+0.132282374779864/(AN153^0.994035016789033+0.00905238001496948)),0.05))</f>
        <v>0.30000000000000004</v>
      </c>
      <c r="AQ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R153" s="35">
        <f>IFERROR(IF(_xlfn.XLOOKUP(B153,'Base stats'!B:B,'Base stats'!F:F)="Lay eggs","Lay eggs",MIN(20,MAX(5.5,ROUND(((_xlfn.XLOOKUP(B153,'Base stats'!B:B,'Base stats'!F:F)-25)*(14.5/615) + 5.5)*2,0)/2))),"Cannot breed")</f>
        <v>6.5</v>
      </c>
      <c r="AS153" s="8">
        <f>IF(OR(A153="Queen",A153="Larva",A153="Megachicken"),"No",IFERROR(MAX(IF(_xlfn.XLOOKUP(B153,'Base stats'!B:B,'Base stats'!G:G)&lt;0.5,0.2,0.3),MROUND(_xlfn.XLOOKUP(B153,'Base stats'!B:B,'Base stats'!G:G)/(365/60),0.2)),"Unknown"))</f>
        <v>0.3</v>
      </c>
      <c r="AT153" s="8">
        <f t="shared" si="15"/>
        <v>0.15000000000000002</v>
      </c>
      <c r="AU153" s="8">
        <f>IFERROR(IFERROR(MROUND(_xlfn.XLOOKUP(B153,'Base stats'!B:B,'Base stats'!J:J),0.1),"Lay eggs"),"Cannot breed")</f>
        <v>4</v>
      </c>
      <c r="AV153" s="2" t="str">
        <f t="shared" si="16"/>
        <v>false</v>
      </c>
      <c r="AW153" s="2" t="str">
        <f>IF(_xlfn.XLOOKUP(_xlfn.XLOOKUP(Animals!B153,'Base stats'!B:B,'Base stats'!E:E),Groups!A:A,Groups!AK:AK)=1,"true","false")</f>
        <v>false</v>
      </c>
      <c r="AX153" s="25" t="str">
        <f>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</f>
        <v>CarnivoreAnimal, OvivoreAnimal</v>
      </c>
      <c r="AY153" s="2" t="str">
        <f>IF(_xlfn.XLOOKUP(_xlfn.XLOOKUP(B153,'Base stats'!B:B,'Base stats'!E:E),Groups!A:A,Groups!D:D)=1,MROUND((1-I153)*5+1,2)*IF(I153&lt;=0.4,2,1),"No")</f>
        <v>No</v>
      </c>
      <c r="AZ153" s="2" t="str">
        <f>_xlfn.XLOOKUP(B153,'Base stats'!B:B,'Base stats'!AE:AE)</f>
        <v>Leather_Light</v>
      </c>
      <c r="BA153" s="23" t="str">
        <f>_xlfn.XLOOKUP(_xlfn.XLOOKUP(B153,'Base stats'!B:B,'Base stats'!E:E),Groups!A:A,Groups!AL:AL)</f>
        <v>QuadrupedAnimalWithPawsAndTail</v>
      </c>
      <c r="BB153" s="23">
        <f>MROUND(IF(AND(AN153&lt;0.5,_xlfn.XLOOKUP(B153,'Base stats'!B:B,'Base stats'!Z:Z)=0),0,IF(OR(_xlfn.XLOOKUP(Animals!B153,'Base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stats'!AA:AA),0.005)</f>
        <v>0</v>
      </c>
      <c r="BC153" s="23">
        <f>MROUND(IF(AND(AN153&lt;0.5,_xlfn.XLOOKUP(B153,'Base stats'!B:B,'Base stats'!Z:Z)=0),0,IF(_xlfn.XLOOKUP(_xlfn.XLOOKUP(B153,'Base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stats'!AB:AB),0.005)</f>
        <v>0</v>
      </c>
      <c r="BD153" s="2">
        <f>IF(I153&gt;0.3,"No",_xlfn.XLOOKUP(_xlfn.XLOOKUP(Animals!B153,'Base stats'!B:B,'Base stats'!E:E),Groups!A:A,Groups!AP:AP))</f>
        <v>1</v>
      </c>
      <c r="BE153" s="2">
        <f>IF(AND(I153&lt;=0.65,_xlfn.XLOOKUP(_xlfn.XLOOKUP(Animals!B153,'Base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stats'!O:O)=2,0.2,AN153) + 24*(1-IF(BD153="No",0,BD153)) + 16/3, 12),"No")</f>
        <v>12</v>
      </c>
      <c r="BF153" s="2">
        <f>IF(AND(_xlfn.XLOOKUP(_xlfn.XLOOKUP(B153,'Base stats'!B:B,'Base stats'!E:E),Groups!A:A,Groups!AQ:AQ)=1,AN153&lt;=0.35),8,12)</f>
        <v>12</v>
      </c>
      <c r="BG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H153" s="2" t="str">
        <f>IF(AND(_xlfn.XLOOKUP(_xlfn.XLOOKUP(B153,'Base stats'!B:B,'Base stats'!E:E),Groups!A:A,Groups!AS:AS)=1,OR('Base stats'!Y153="Carnivore",'Base stats'!Y153="Omnivore")),"true","false")</f>
        <v>true</v>
      </c>
      <c r="BI153" s="2">
        <f>IF(BH153="true",MROUND(IF(AND(AN153&gt;0.5,_xlfn.XLOOKUP(_xlfn.XLOOKUP(B153,'Base stats'!B:B,'Base stats'!E:E),Groups!A:A,Groups!AJ:AJ)="Mammal"),Animals!AN153*1.75*IF(AV153="true",1.5,1),Animals!AN153),IF(AN153&gt;2,0.5,IF(AN153&gt;0.5,0.25,0.1))),"No")</f>
        <v>0.4</v>
      </c>
      <c r="BJ153" s="2">
        <f t="shared" si="17"/>
        <v>1</v>
      </c>
      <c r="BK153" s="25" t="str">
        <f>IF('Base stats'!AK153="Standard","No",MROUND((_xlfn.XLOOKUP(B153,'Base stats'!B:B,'Base stats'!AK:AK)/3.6)/H153,0.1))</f>
        <v>No</v>
      </c>
      <c r="BL153" s="25" t="str">
        <f t="shared" si="18"/>
        <v>false</v>
      </c>
      <c r="BM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N153" s="25" t="str" cm="1">
        <f t="array" ref="BN153">IF(
  _xlfn.TEXTJOIN(", ",TRUE,
    IF(AND(BH153="true",AN153&gt;0.5,BG153&lt;&gt;"None"),"AttackTarget",""),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IF(BE153&lt;=36,"Comfort",""),
    IF(_xlfn.XLOOKUP(B153,'Base stats'!B:B,'Base stats'!AC:AC)&lt;&gt;"No",_xlfn.XLOOKUP(B153,'Base stats'!B:B,'Base stats'!AC:AC),"")
  ) = "",
  "No",
  _xlfn.TEXTJOIN(", ",TRUE,
    IF(AND(BH153="true",AN153&gt;0.5,BG153&lt;&gt;"None"),"AttackTarget",""),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IF(BE153&lt;=36,"Comfort",""),
    IF(_xlfn.XLOOKUP(B153,'Base stats'!B:B,'Base stats'!AC:AC)&lt;&gt;"No",_xlfn.XLOOKUP(B153,'Base stats'!B:B,'Base stats'!AC:AC),"")
  )
)</f>
        <v>Comfort</v>
      </c>
      <c r="BO153" s="25" t="str">
        <f>IF(
   AND(
      'Base stats'!AK153="Standard",_xlfn.XLOOKUP(_xlfn.XLOOKUP(B153,'Base stats'!B:B,'Base stats'!E:E),Groups!A:A,Groups!AU:AU)=0,
      OR(
      BM153="True"
      )
   ),
   10,
   IF(
       OR(BK153&lt;&gt;"No",_xlfn.XLOOKUP(_xlfn.XLOOKUP(B153,'Base stats'!B:B,'Base stats'!E:E),Groups!A:A,Groups!AU:AU)=1),
      1,
      "No"
   )
)</f>
        <v>No</v>
      </c>
      <c r="BP153" s="9">
        <f>MROUND((1 + ((0.2*IF(OR(P153="No",Q153="No",Q153=0),0,P153/Q153)
+IF(OR(U153="No",R153="No",S153="No"),0,R153/S153*(LEN(U153)-LEN(SUBSTITUTE(U153,",",""))+1))
+IF(OR(W153="No",X153="No"),0,W153/X153)
+IF(OR(AC153="No",AD153="No"),0,AC153/AD153)
+IF(OR(AK153="No",AH153="No",AI153="No"),0,AH153/AI153*(LEN(AK153)-LEN(SUBSTITUTE(AK153,",",""))+1))
)/(0.2*IF(OR(P153="No",Q153="No",Q153=0),0,1)
+IF(OR(U153="No",R153="No",S153="No"),0,LEN(U153)-LEN(SUBSTITUTE(U153,",",""))+1)
+IF(OR(W153="No",X153="No"),0,1)
+IF(OR(AC153="No",AD153="No"),0,1)
+IF(OR(AK153="No",AH153="No",AI153="No"),0,LEN(AK153)-LEN(SUBSTITUTE(AK153,",",""))+1))*62%)* 2)*(1 + (AO153 + _xlfn.XLOOKUP(B153,'Base stats'!B:B,'Base stats'!AS:AS) * 1.8) * 2) * 2.5 + 10 + H153 * 2,5)+IF(_xlfn.XLOOKUP(B153,'Base stats'!B:B,'Base stats'!AH:AH)=1,50,0)</f>
        <v>50</v>
      </c>
      <c r="BQ153" s="8">
        <f t="shared" si="19"/>
        <v>0.30000000000000004</v>
      </c>
      <c r="BR153" s="8" t="str">
        <f>_xlfn.XLOOKUP(B153,'Base stats'!B:B,'Base stats'!AD:AD)</f>
        <v>No</v>
      </c>
      <c r="BS153" s="2" t="str">
        <f>IF(AND(I153&lt;=0.95,OR(_xlfn.XLOOKUP(B153,'Base stats'!B:B,'Base stats'!AH:AH)=1,_xlfn.XLOOKUP(B153,'Base stats'!B:B,'Base stats'!Y:Y)="Carnivore",_xlfn.XLOOKUP(B153,'Base stats'!B:B,'Base stats'!Y:Y)="Omnivore",BC153&gt;0.1)),"true","false")</f>
        <v>true</v>
      </c>
      <c r="BT153" s="2" t="str">
        <f>IF(_xlfn.XLOOKUP(B153,'Base stats'!B:B,'Base stats'!AF:AF)=1,"true","false")</f>
        <v>false</v>
      </c>
      <c r="BU153" s="25" t="str">
        <f>IF(E153="BaseInsect","AnimalInsect",
IF(I153&gt;0.95,"AnimalExotic",
_xlfn.TEXTJOIN(", ",TRUE,
IF(AND(_xlfn.XLOOKUP(B153,'Base stats'!B:B,'Base stats'!O:O)=0,_xlfn.XLOOKUP(_xlfn.XLOOKUP(B153,'Base stats'!B:B,'Base stats'!E:E),Groups!A:A,Groups!B:B)&gt;0),"AnimalUncommon","AnimalCommon"),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stats'!AH:AH)=1,AND(BG153&lt;&gt;"None",BP153&gt;=60),ISNUMBER(SEARCH("Attack target",BN153))),"AnimalFighter","")
)))</f>
        <v>AnimalCommon, AnimalPet</v>
      </c>
      <c r="BV153" s="25" t="str">
        <f>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</f>
        <v/>
      </c>
      <c r="BW153" s="25" t="str">
        <f>IF(_xlfn.XLOOKUP(B153,'Base stats'!B:B,'Base stats'!AG:AG)=1,"true","false")</f>
        <v>false</v>
      </c>
      <c r="BX153" s="25">
        <f>IF(_xlfn.XLOOKUP(B153,'Base stats'!B:B,'Base stats'!N:N)=1,"No",MIN(MROUND(IF(OR(_xlfn.XLOOKUP(B153,'Base stats'!B:B,'Base stats'!AJ:AJ)=1,AND(BH153="True",CA153="False")),POWER(10,3.47*LOG10(_xlfn.XLOOKUP(B153,'Base stats'!B:B,'Base stats'!C:C)*1000)^-0.96),POWER(10,4.15*LOG10(_xlfn.XLOOKUP(B153,'Base stats'!B:B,'Base stats'!C:C)*1000)^-0.73))*IF(OR(_xlfn.XLOOKUP(B153,'Base stats'!B:B,'Base stats'!AJ:AJ)=1,_xlfn.XLOOKUP(B153,'Base stats'!B:B,'Base stats'!AH:AH)=1),0.5,1)/100,0.025),1))</f>
        <v>0.1</v>
      </c>
      <c r="BY153" s="25" t="str">
        <f>IF(O153="Standard","No",IF(_xlfn.XLOOKUP(B153,'Base stats'!B:B,'Base stats'!N:N)=0,MROUND(BX153*O153,0.05),MIN(1,MAX(0.025,MROUND(IF(OR(CA153="true",AND(BH153="false",BM153="false")),POWER(10,4.15*LOG10(_xlfn.XLOOKUP(B153,'Base stats'!B:B,'Base stats'!C:C)*1000)^-0.73),POWER(10,3.47*LOG10(_xlfn.XLOOKUP(B153,'Base stats'!B:B,'Base stats'!C:C)*1000)^-0.96))*IF(_xlfn.XLOOKUP(B153,'Base stats'!B:B,'Base stats'!AH:AH)=1,0.5,1)/100,0.025)))))</f>
        <v>No</v>
      </c>
      <c r="BZ153" s="25" t="str">
        <f>IF(_xlfn.XLOOKUP(_xlfn.XLOOKUP(B153,'Base stats'!B:B,'Base stats'!E:E),Groups!A:A,Groups!AJ:AJ)="Mammal","True","False")</f>
        <v>True</v>
      </c>
      <c r="CA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B153" s="25" t="str">
        <f t="shared" si="20"/>
        <v>False</v>
      </c>
      <c r="CC153" s="25" t="str">
        <f>IF(_xlfn.XLOOKUP(_xlfn.XLOOKUP(B153,'Base stats'!B:B,'Base stats'!E:E),Groups!A:A,Groups!AW:AW),"True","False")</f>
        <v>False</v>
      </c>
      <c r="CD153" s="25" t="str">
        <f>IF(_xlfn.XLOOKUP(_xlfn.XLOOKUP(B153,'Base stats'!B:B,'Base stats'!E:E),Groups!A:A,Groups!AX:AX),"True","False")</f>
        <v>False</v>
      </c>
      <c r="CE153" s="25" t="str">
        <f>IF(_xlfn.XLOOKUP(B153,'Base stats'!B:B,'Base stats'!E:E)=1,"True","False")</f>
        <v>False</v>
      </c>
      <c r="CF153" s="25" t="str">
        <f>IF(
OR(
_xlfn.XLOOKUP(_xlfn.XLOOKUP(B153,'Base stats'!B:B,'Base stats'!E:E),Groups!A:A,Groups!AY:AY)=0,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stats'!E:E),Groups!A:A,Groups!AY:AY)=1,
"Flesh",
IF(
_xlfn.XLOOKUP(_xlfn.XLOOKUP(B153,'Base stats'!B:B,'Base stats'!E:E),Groups!A:A,Groups!AY:AY)=2,
"Bone",
""
)
)
)</f>
        <v>No</v>
      </c>
      <c r="CG153" s="25" t="str">
        <f>IF(_xlfn.XLOOKUP(_xlfn.XLOOKUP(B153,'Base stats'!B:B,'Base stats'!E:E),Groups!A:A,Groups!BA:BA),"True","False")</f>
        <v>True</v>
      </c>
      <c r="CH153" s="25" t="str">
        <f>IF(_xlfn.XLOOKUP(_xlfn.XLOOKUP(B153,'Base stats'!B:B,'Base stats'!E:E),Groups!A:A,Groups!AZ:AZ),"True","False")</f>
        <v>False</v>
      </c>
    </row>
    <row r="154" spans="1:86" ht="16.5" thickTop="1" thickBot="1" x14ac:dyDescent="0.3">
      <c r="A154" s="26" t="str">
        <f>_xlfn.XLOOKUP(B154,'Base stats'!B:B,'Base stats'!A:A)</f>
        <v>Munchkin cat</v>
      </c>
      <c r="B154" s="6" t="s">
        <v>919</v>
      </c>
      <c r="C154" s="28" t="s">
        <v>847</v>
      </c>
      <c r="D154" s="28" t="s">
        <v>884</v>
      </c>
      <c r="E154" s="28" t="s">
        <v>685</v>
      </c>
      <c r="F154" s="28" t="s">
        <v>685</v>
      </c>
      <c r="G154" s="2">
        <f>MROUND((
  (IF(AND(_xlfn.XLOOKUP(B154,'Base stats'!B:B,'Base stats'!AI:AI)=0,BG154="None",_xlfn.XLOOKUP('Base stats'!E154,Groups!A:A,Groups!B:B)=0), (18 + BP154 * 2.7) * 0.5,
    IF(AND(_xlfn.XLOOKUP(B154,'Base stats'!B:B,'Base stats'!AI:AI)=0,OR(AN154&lt;0.55,AND(BG154="Intermediate",_xlfn.XLOOKUP('Base stats'!E154,Groups!A:A,Groups!B:B)&lt;2))), (18 + BP154 * 2.7),
      IF(OR(BG154="Advanced",_xlfn.XLOOKUP(B154,'Base stats'!B:B,'Base stats'!AI:AI)=1,_xlfn.XLOOKUP('Base stats'!E154,Groups!A:A,Groups!B:B)=2), (18 + BP154 * 2.7) + 250, (18 + BP154 * 2.7))
    )
  ))
  + AN154 * 80
  + IF(COUNTIF(EggMilk!K$2:K$998, A154) &gt; 0, 125, 0)
  + IF(COUNTIF(EggMilk!P$2:P$998, A154) &gt; 0, 90, 0)
  + IF(COUNTIF(EggMilk!A$2:A$998, A154) &gt; 0, 90, 0)
)
* (0.8 + 0.4 * I154)
* 0.75,25)</f>
        <v>100</v>
      </c>
      <c r="H154" s="2">
        <f>MROUND(ROUNDDOWN(_xlfn.XLOOKUP(B154,'Base stats'!B:B,'Base stats'!L:L)/3.6/(23.3/11),1),0.5)</f>
        <v>5.5</v>
      </c>
      <c r="I154" s="2">
        <f>IF(_xlfn.XLOOKUP(B154,'Base stats'!B:B,'Base stats'!AI:AI)=1,0.99,MIN(MROUND((1-0.6282*EXP(-0.459*AN154))*_xlfn.XLOOKUP(_xlfn.XLOOKUP(B154,'Base stats'!B:B,'Base stats'!E:E),Groups!A:A,Groups!C:C)*IF(_xlfn.XLOOKUP(B154,'Base stats'!B:B,'Base stats'!O:O)=1,0.5,IF(_xlfn.XLOOKUP(B154,'Base stats'!B:B,'Base stats'!O:O)=2,0,1)),0.05),0.985))</f>
        <v>0</v>
      </c>
      <c r="J154" s="2">
        <f>ROUNDUP(AN154*_xlfn.XLOOKUP(_xlfn.XLOOKUP(B154,'Base stats'!B:B,'Base stats'!E:E),Groups!A:A,Groups!E:E),0)</f>
        <v>1</v>
      </c>
      <c r="K154" s="2">
        <f>IF(OR(_xlfn.XLOOKUP(_xlfn.XLOOKUP(B154,'Base stats'!B:B,'Base stats'!E:E),Groups!A:A,Groups!F:F)=2,ISNUMBER(SEARCH("SeaIce",BV154)),ISNUMBER(SEARCH("IceSheet",BV154))),-50,IF(OR(ISNUMBER(SEARCH("GlacialPlain",BV154)),ISNUMBER(SEARCH("Tundra",BV154))),-40,IF(OR(ISNUMBER(SEARCH("Alpine",BV154)),ISNUMBER(SEARCH("BorealForest",BV154)),ISNUMBER(SEARCH("ColdBog",BV154))),-30,IF(OR(ISNUMBER(SEARCH("TemperateForest",BV154)),ISNUMBER(SEARCH("TemperateSwamp",BV154))),-20,IF(_xlfn.XLOOKUP(_xlfn.XLOOKUP(B154,'Base stats'!B:B,'Base stats'!E:E),Groups!A:A,Groups!F:F)=1,-15,IF(OR(ISNUMBER(SEARCH("Desert",BV154)),ISNUMBER(SEARCH("ExtremeDesert",BV154))),-10,IF(OR(ISNUMBER(SEARCH("Grasslands",BV154)),ISNUMBER(SEARCH("TropicalRainforest",BV154)),ISNUMBER(SEARCH("TropicalSwamp",BV154))),10,0)))))))-IF(CA154="False",MIN(IFERROR(MAX(MROUND(LOG10(_xlfn.XLOOKUP(B154,'Base stats'!B:B,'Base stats'!C:C)^(2/3))*10,5),5),5),30))-_xlfn.XLOOKUP(B154,'Base stats'!B:B,'Base stats'!P:P)+IF(CA154="True",5,0)</f>
        <v>-20</v>
      </c>
      <c r="L154" s="2">
        <f>IF(OR(_xlfn.XLOOKUP(_xlfn.XLOOKUP(B154,'Base stats'!B:B,'Base stats'!E:E),Groups!A:A,Groups!G:G)=2,ISNUMBER(SEARCH("Desert",BV154)),ISNUMBER(SEARCH("ExtremeDesert",BV154)),ISNUMBER(SEARCH("LavaField",BV154))),50,IF(ISNUMBER(SEARCH("Grasslands",BV154)),45,IF(OR(_xlfn.XLOOKUP(_xlfn.XLOOKUP(B154,'Base stats'!B:B,'Base stats'!E:E),Groups!A:A,Groups!G:G)=1,ISNUMBER(SEARCH("TropicalRainforest",BV154)),ISNUMBER(SEARCH("TropicalSwamp",BV154))),40,IF(OR(ISNUMBER(SEARCH("TemperateForest",BV154)),ISNUMBER(SEARCH("TemperateSwamp",BV154))),35,IF(OR(ISNUMBER(SEARCH("Alpine",BV154)),ISNUMBER(SEARCH("BorealForest",BV154)),ISNUMBER(SEARCH("ColdBog",BV154))),30,IF(ISNUMBER(OR(ISNUMBER(SEARCH("GlacialPlain",BV154)),SEARCH("Tundra",BV154))),25,IF(OR(ISNUMBER(SEARCH("SeaIce",BV154)),ISNUMBER(SEARCH("IceSheet",BV154)),ISNUMBER(SEARCH("TropicalSwamp",BV154))),10,35)))))))+_xlfn.XLOOKUP(B154,'Base stats'!B:B,'Base stats'!Q:Q)</f>
        <v>40</v>
      </c>
      <c r="M154" s="8" t="str">
        <f>IF(_xlfn.XLOOKUP(_xlfn.XLOOKUP(B154,'Base stats'!B:B,'Base stats'!E:E),Groups!A:A,Groups!L:L)=1,MIN(MROUND(_xlfn.XLOOKUP(B154,'Animals CE'!B:B,'Animals CE'!Z:Z)/2+0.05,0.05),200%),"No")</f>
        <v>No</v>
      </c>
      <c r="N154" s="8" t="str">
        <f>IF(_xlfn.XLOOKUP(_xlfn.XLOOKUP(B154,'Base stats'!B:B,'Base stats'!E:E),Groups!A:A,Groups!L:L)=1,MIN(MROUND(_xlfn.XLOOKUP(B154,'Animals CE'!B:B,'Animals CE'!AA:AA)/2+0.05,0.05),200%),"No")</f>
        <v>No</v>
      </c>
      <c r="O154" s="2" t="str">
        <f>_xlfn.XLOOKUP(B154,'Base stats'!B:B,'Base stats'!R:R)</f>
        <v>Standard</v>
      </c>
      <c r="P154" s="13">
        <f>MROUND((LOG10(_xlfn.XLOOKUP(B154,'Base stats'!B:B,'Base stats'!AO:AO))*(AN154^0.5)+(_xlfn.XLOOKUP(B154,'Base stats'!B:B,'Base stats'!AO:AO)/1000)^(2/3)+_xlfn.XLOOKUP(B154,'Base stats'!B:B,'Base stats'!AX:AX)/2)+0.5,0.5)</f>
        <v>2.5</v>
      </c>
      <c r="Q154" s="7">
        <f>IF(P154="No","No",MAX(1,MROUND(_xlfn.XLOOKUP(B154,'Base stats'!B:B,'Base stats'!C:C)^0.165,0.05)))</f>
        <v>1.2000000000000002</v>
      </c>
      <c r="R154" s="13" t="str">
        <f>IF(_xlfn.XLOOKUP(_xlfn.XLOOKUP(B154,'Base stats'!B:B,'Base stats'!E:E),Groups!A:A,Groups!P:P)=0,"No",MROUND((LOG10(_xlfn.XLOOKUP(B154,'Base stats'!B:B,'Base stats'!AP:AP))*(AN154^0.5)+(_xlfn.XLOOKUP(B154,'Base stats'!B:B,'Base stats'!AP:AP)/1000)^(2/3)+_xlfn.XLOOKUP(B154,'Base stats'!B:B,'Base stats'!AX:AX))+_xlfn.XLOOKUP(B154,'Base stats'!B:B,'Base stats'!AV:AV)+0.5,0.5))</f>
        <v>No</v>
      </c>
      <c r="S154" s="7" t="str">
        <f>IF(R154="No","No",MAX(_xlfn.XLOOKUP(_xlfn.XLOOKUP(B154,'Base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T154" s="7" t="str">
        <f>IF(R154="No","No",_xlfn.XLOOKUP(_xlfn.XLOOKUP(B154,'Base stats'!B:B,'Base stats'!E:E),Groups!A:A,Groups!R:R))</f>
        <v>No</v>
      </c>
      <c r="U154" s="7" t="str">
        <f>IF(R154="No","No",_xlfn.XLOOKUP(_xlfn.XLOOKUP(B154,'Base stats'!B:B,'Base stats'!E:E),Groups!A:A,Groups!S:S))</f>
        <v>No</v>
      </c>
      <c r="V154" s="7" t="str">
        <f>IF(R154="No","No",_xlfn.XLOOKUP(_xlfn.XLOOKUP(B154,'Base stats'!B:B,'Base stats'!E:E),Groups!A:A,Groups!T:T))</f>
        <v>No</v>
      </c>
      <c r="W154" s="13" t="str">
        <f>IF(_xlfn.XLOOKUP(B154,'Base stats'!B:B,'Base stats'!W:W)="No","No",MROUND((LOG10(_xlfn.XLOOKUP(B154,'Base stats'!B:B,'Base stats'!AR:AR))*(AN154^0.5)+(_xlfn.XLOOKUP(B154,'Base stats'!B:B,'Base stats'!AR:AR)/1000)^(2/3)+_xlfn.XLOOKUP(B154,'Base stats'!B:B,'Base stats'!AW:AW))+0.5+IF(_xlfn.XLOOKUP(_xlfn.XLOOKUP(B154,'Base stats'!B:B,'Base stats'!E:E),Groups!A:A,Groups!U:U)&lt;&gt;3,_xlfn.XLOOKUP(B154,'Base stats'!B:B,'Base stats'!AX:AX),0),0.5))</f>
        <v>No</v>
      </c>
      <c r="X154" s="7" t="str">
        <f>IF(W154="No","No",MAX(_xlfn.XLOOKUP(_xlfn.XLOOKUP(B154,'Base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Y154" s="7" t="str">
        <f>IF(W154="No","No",_xlfn.XLOOKUP(_xlfn.XLOOKUP(B154,'Base stats'!B:B,'Base stats'!E:E),Groups!A:A,Groups!W:W))</f>
        <v>No</v>
      </c>
      <c r="Z154" s="7" t="str">
        <f>IF(W154="No","No",_xlfn.XLOOKUP(_xlfn.XLOOKUP(B154,'Base stats'!B:B,'Base stats'!E:E),Groups!A:A,Groups!X:X))</f>
        <v>No</v>
      </c>
      <c r="AA154" s="7" t="str">
        <f>IF(W154="No","No",_xlfn.XLOOKUP(_xlfn.XLOOKUP(B154,'Base stats'!B:B,'Base stats'!E:E),Groups!A:A,Groups!Y:Y))</f>
        <v>No</v>
      </c>
      <c r="AB154" s="7" t="str">
        <f>_xlfn.XLOOKUP(Animals!B154,'Base stats'!B:B,'Base stats'!X:X)</f>
        <v>False</v>
      </c>
      <c r="AC154" s="13">
        <f>IF(_xlfn.XLOOKUP(B154,'Base stats'!B:B,'Base stats'!AQ:AQ)="No","No",MROUND((LOG10(_xlfn.XLOOKUP(B154,'Base stats'!B:B,'Base stats'!AQ:AQ))*(AN154^0.75)+(_xlfn.XLOOKUP(B154,'Base stats'!B:B,'Base stats'!AQ:AQ)/1000)^(2/3)+_xlfn.XLOOKUP(B154,'Base stats'!B:B,'Base stats'!AU:AU)+_xlfn.XLOOKUP(B154,'Base stats'!B:B,'Base stats'!AX:AX))+0.5,0.5))</f>
        <v>3.5</v>
      </c>
      <c r="AD154" s="7">
        <f>IF(AC154="No","No",MAX(_xlfn.XLOOKUP(_xlfn.XLOOKUP(B154,'Base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E154" s="7" t="str">
        <f>IF(AC154="No","No",_xlfn.XLOOKUP(_xlfn.XLOOKUP(B154,'Base stats'!B:B,'Base stats'!E:E),Groups!A:A,Groups!AA:AA))</f>
        <v>Teeth</v>
      </c>
      <c r="AF154" s="7" t="str">
        <f>IF(AC154="No","No",_xlfn.XLOOKUP(_xlfn.XLOOKUP(B154,'Base stats'!B:B,'Base stats'!E:E),Groups!A:A,Groups!AB:AB))</f>
        <v>canines</v>
      </c>
      <c r="AG154" s="7" t="str">
        <f>IF(AC154="No","No",_xlfn.XLOOKUP(_xlfn.XLOOKUP(B154,'Base stats'!B:B,'Base stats'!E:E),Groups!A:A,Groups!AC:AC))</f>
        <v>Bite</v>
      </c>
      <c r="AH154" s="13">
        <f>IF(_xlfn.XLOOKUP(_xlfn.XLOOKUP(B154,'Base stats'!B:B,'Base stats'!E:E),Groups!A:A,Groups!AD:AD)=0,"No",MROUND((LOG10(_xlfn.XLOOKUP(B154,'Base stats'!B:B,'Base stats'!AP:AP))*(AN154^0.75)+(_xlfn.XLOOKUP(B154,'Base stats'!B:B,'Base stats'!AP:AP)/1000)^(2/3)+_xlfn.XLOOKUP(B154,'Base stats'!B:B,'Base stats'!AV:AV)+_xlfn.XLOOKUP(B154,'Base stats'!B:B,'Base stats'!AX:AX))+0.5,0.5))</f>
        <v>3</v>
      </c>
      <c r="AI154" s="7">
        <f>IF(AH154="No","No",MAX(_xlfn.XLOOKUP(_xlfn.XLOOKUP(B154,'Base stats'!B:B,'Base stats'!E:E),Groups!A:A,Groups!AE:AE),MROUND(_xlfn.XLOOKUP(_xlfn.XLOOKUP(B154,'Base stats'!B:B,'Base stats'!E:E),Groups!A:A,Groups!AE:AE)*_xlfn.XLOOKUP(B154,'Base stats'!B:B,'Base stats'!C:C)^0.165,0.05)))</f>
        <v>0.8</v>
      </c>
      <c r="AJ154" s="7" t="str">
        <f>IF(AH154="No","No",_xlfn.XLOOKUP(_xlfn.XLOOKUP(B154,'Base stats'!B:B,'Base stats'!E:E),Groups!A:A,Groups!AF:AF))</f>
        <v>FrontRightPaw, FrontRightPaw</v>
      </c>
      <c r="AK154" s="7" t="str">
        <f>IF(AH154="No","No",_xlfn.XLOOKUP(_xlfn.XLOOKUP(B154,'Base stats'!B:B,'Base stats'!E:E),Groups!A:A,Groups!AG:AG))</f>
        <v>left claw, right claw</v>
      </c>
      <c r="AL154" s="7" t="str">
        <f>IF(AH154="No","No",_xlfn.XLOOKUP(_xlfn.XLOOKUP(B154,'Base stats'!B:B,'Base stats'!E:E),Groups!A:A,Groups!AH:AH))</f>
        <v>Scratch</v>
      </c>
      <c r="AM154" s="2">
        <f t="shared" si="14"/>
        <v>15</v>
      </c>
      <c r="AN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O154" s="8">
        <f>MROUND(AN154*_xlfn.XLOOKUP(_xlfn.XLOOKUP(B154,'Base stats'!B:B,'Base stats'!E:E),Groups!A:A,Groups!AI:AI),0.05)</f>
        <v>0.30000000000000004</v>
      </c>
      <c r="AP154" s="8">
        <f>MAX(0.01,MROUND(IF(CA154="True",0.196*(AN154*100*1000)^0.889,IF(_xlfn.XLOOKUP(_xlfn.XLOOKUP(B154,'Base stats'!B:B,'Base stats'!E:E),Groups!A:A,Groups!AJ:AJ)="Bird",10.5*(AN154*100*1000)^0.681,4.82*(AN154*100*1000)^0.734))/(4.82*(1*100*1000)^0.734)/IF(AN154&lt;3.5,2,IF(AN154=3.5,1.5,1.25))*(1+0.132282374779864/(AN154^0.994035016789033+0.00905238001496948)),0.05))</f>
        <v>0.25</v>
      </c>
      <c r="AQ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R154" s="35">
        <f>IFERROR(IF(_xlfn.XLOOKUP(B154,'Base stats'!B:B,'Base stats'!F:F)="Lay eggs","Lay eggs",MIN(20,MAX(5.5,ROUND(((_xlfn.XLOOKUP(B154,'Base stats'!B:B,'Base stats'!F:F)-25)*(14.5/615) + 5.5)*2,0)/2))),"Cannot breed")</f>
        <v>6.5</v>
      </c>
      <c r="AS154" s="8">
        <f>IF(OR(A154="Queen",A154="Larva",A154="Megachicken"),"No",IFERROR(MAX(IF(_xlfn.XLOOKUP(B154,'Base stats'!B:B,'Base stats'!G:G)&lt;0.5,0.2,0.3),MROUND(_xlfn.XLOOKUP(B154,'Base stats'!B:B,'Base stats'!G:G)/(365/60),0.2)),"Unknown"))</f>
        <v>0.3</v>
      </c>
      <c r="AT154" s="8">
        <f t="shared" si="15"/>
        <v>0.15000000000000002</v>
      </c>
      <c r="AU154" s="8">
        <f>IFERROR(IFERROR(MROUND(_xlfn.XLOOKUP(B154,'Base stats'!B:B,'Base stats'!J:J),0.1),"Lay eggs"),"Cannot breed")</f>
        <v>4</v>
      </c>
      <c r="AV154" s="2" t="str">
        <f t="shared" si="16"/>
        <v>false</v>
      </c>
      <c r="AW154" s="2" t="str">
        <f>IF(_xlfn.XLOOKUP(_xlfn.XLOOKUP(Animals!B154,'Base stats'!B:B,'Base stats'!E:E),Groups!A:A,Groups!AK:AK)=1,"true","false")</f>
        <v>false</v>
      </c>
      <c r="AX154" s="25" t="str">
        <f>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</f>
        <v>CarnivoreAnimal, OvivoreAnimal</v>
      </c>
      <c r="AY154" s="2" t="str">
        <f>IF(_xlfn.XLOOKUP(_xlfn.XLOOKUP(B154,'Base stats'!B:B,'Base stats'!E:E),Groups!A:A,Groups!D:D)=1,MROUND((1-I154)*5+1,2)*IF(I154&lt;=0.4,2,1),"No")</f>
        <v>No</v>
      </c>
      <c r="AZ154" s="2" t="str">
        <f>_xlfn.XLOOKUP(B154,'Base stats'!B:B,'Base stats'!AE:AE)</f>
        <v>Leather_Light</v>
      </c>
      <c r="BA154" s="23" t="str">
        <f>_xlfn.XLOOKUP(_xlfn.XLOOKUP(B154,'Base stats'!B:B,'Base stats'!E:E),Groups!A:A,Groups!AL:AL)</f>
        <v>QuadrupedAnimalWithPawsAndTail</v>
      </c>
      <c r="BB154" s="23">
        <f>MROUND(IF(AND(AN154&lt;0.5,_xlfn.XLOOKUP(B154,'Base stats'!B:B,'Base stats'!Z:Z)=0),0,IF(OR(_xlfn.XLOOKUP(Animals!B154,'Base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stats'!AA:AA),0.005)</f>
        <v>0</v>
      </c>
      <c r="BC154" s="23">
        <f>MROUND(IF(AND(AN154&lt;0.5,_xlfn.XLOOKUP(B154,'Base stats'!B:B,'Base stats'!Z:Z)=0),0,IF(_xlfn.XLOOKUP(_xlfn.XLOOKUP(B154,'Base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stats'!AB:AB),0.005)</f>
        <v>0</v>
      </c>
      <c r="BD154" s="2">
        <f>IF(I154&gt;0.3,"No",_xlfn.XLOOKUP(_xlfn.XLOOKUP(Animals!B154,'Base stats'!B:B,'Base stats'!E:E),Groups!A:A,Groups!AP:AP))</f>
        <v>1</v>
      </c>
      <c r="BE154" s="2">
        <f>IF(AND(I154&lt;=0.65,_xlfn.XLOOKUP(_xlfn.XLOOKUP(Animals!B154,'Base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stats'!O:O)=2,0.2,AN154) + 24*(1-IF(BD154="No",0,BD154)) + 16/3, 12),"No")</f>
        <v>12</v>
      </c>
      <c r="BF154" s="2">
        <f>IF(AND(_xlfn.XLOOKUP(_xlfn.XLOOKUP(B154,'Base stats'!B:B,'Base stats'!E:E),Groups!A:A,Groups!AQ:AQ)=1,AN154&lt;=0.35),8,12)</f>
        <v>12</v>
      </c>
      <c r="BG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H154" s="2" t="str">
        <f>IF(AND(_xlfn.XLOOKUP(_xlfn.XLOOKUP(B154,'Base stats'!B:B,'Base stats'!E:E),Groups!A:A,Groups!AS:AS)=1,OR('Base stats'!Y154="Carnivore",'Base stats'!Y154="Omnivore")),"true","false")</f>
        <v>true</v>
      </c>
      <c r="BI154" s="2">
        <f>IF(BH154="true",MROUND(IF(AND(AN154&gt;0.5,_xlfn.XLOOKUP(_xlfn.XLOOKUP(B154,'Base stats'!B:B,'Base stats'!E:E),Groups!A:A,Groups!AJ:AJ)="Mammal"),Animals!AN154*1.75*IF(AV154="true",1.5,1),Animals!AN154),IF(AN154&gt;2,0.5,IF(AN154&gt;0.5,0.25,0.1))),"No")</f>
        <v>0.30000000000000004</v>
      </c>
      <c r="BJ154" s="2">
        <f t="shared" si="17"/>
        <v>1</v>
      </c>
      <c r="BK154" s="25" t="str">
        <f>IF('Base stats'!AK154="Standard","No",MROUND((_xlfn.XLOOKUP(B154,'Base stats'!B:B,'Base stats'!AK:AK)/3.6)/H154,0.1))</f>
        <v>No</v>
      </c>
      <c r="BL154" s="25" t="str">
        <f t="shared" si="18"/>
        <v>false</v>
      </c>
      <c r="BM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N154" s="25" t="str" cm="1">
        <f t="array" ref="BN154">IF(
  _xlfn.TEXTJOIN(", ",TRUE,
    IF(AND(BH154="true",AN154&gt;0.5,BG154&lt;&gt;"None"),"AttackTarget",""),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IF(BE154&lt;=36,"Comfort",""),
    IF(_xlfn.XLOOKUP(B154,'Base stats'!B:B,'Base stats'!AC:AC)&lt;&gt;"No",_xlfn.XLOOKUP(B154,'Base stats'!B:B,'Base stats'!AC:AC),"")
  ) = "",
  "No",
  _xlfn.TEXTJOIN(", ",TRUE,
    IF(AND(BH154="true",AN154&gt;0.5,BG154&lt;&gt;"None"),"AttackTarget",""),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IF(BE154&lt;=36,"Comfort",""),
    IF(_xlfn.XLOOKUP(B154,'Base stats'!B:B,'Base stats'!AC:AC)&lt;&gt;"No",_xlfn.XLOOKUP(B154,'Base stats'!B:B,'Base stats'!AC:AC),"")
  )
)</f>
        <v>Comfort</v>
      </c>
      <c r="BO154" s="25" t="str">
        <f>IF(
   AND(
      'Base stats'!AK154="Standard",_xlfn.XLOOKUP(_xlfn.XLOOKUP(B154,'Base stats'!B:B,'Base stats'!E:E),Groups!A:A,Groups!AU:AU)=0,
      OR(
      BM154="True"
      )
   ),
   10,
   IF(
       OR(BK154&lt;&gt;"No",_xlfn.XLOOKUP(_xlfn.XLOOKUP(B154,'Base stats'!B:B,'Base stats'!E:E),Groups!A:A,Groups!AU:AU)=1),
      1,
      "No"
   )
)</f>
        <v>No</v>
      </c>
      <c r="BP154" s="9">
        <f>MROUND((1 + ((0.2*IF(OR(P154="No",Q154="No",Q154=0),0,P154/Q154)
+IF(OR(U154="No",R154="No",S154="No"),0,R154/S154*(LEN(U154)-LEN(SUBSTITUTE(U154,",",""))+1))
+IF(OR(W154="No",X154="No"),0,W154/X154)
+IF(OR(AC154="No",AD154="No"),0,AC154/AD154)
+IF(OR(AK154="No",AH154="No",AI154="No"),0,AH154/AI154*(LEN(AK154)-LEN(SUBSTITUTE(AK154,",",""))+1))
)/(0.2*IF(OR(P154="No",Q154="No",Q154=0),0,1)
+IF(OR(U154="No",R154="No",S154="No"),0,LEN(U154)-LEN(SUBSTITUTE(U154,",",""))+1)
+IF(OR(W154="No",X154="No"),0,1)
+IF(OR(AC154="No",AD154="No"),0,1)
+IF(OR(AK154="No",AH154="No",AI154="No"),0,LEN(AK154)-LEN(SUBSTITUTE(AK154,",",""))+1))*62%)* 2)*(1 + (AO154 + _xlfn.XLOOKUP(B154,'Base stats'!B:B,'Base stats'!AS:AS) * 1.8) * 2) * 2.5 + 10 + H154 * 2,5)+IF(_xlfn.XLOOKUP(B154,'Base stats'!B:B,'Base stats'!AH:AH)=1,50,0)</f>
        <v>45</v>
      </c>
      <c r="BQ154" s="8">
        <f t="shared" si="19"/>
        <v>0.25</v>
      </c>
      <c r="BR154" s="8" t="str">
        <f>_xlfn.XLOOKUP(B154,'Base stats'!B:B,'Base stats'!AD:AD)</f>
        <v>No</v>
      </c>
      <c r="BS154" s="2" t="str">
        <f>IF(AND(I154&lt;=0.95,OR(_xlfn.XLOOKUP(B154,'Base stats'!B:B,'Base stats'!AH:AH)=1,_xlfn.XLOOKUP(B154,'Base stats'!B:B,'Base stats'!Y:Y)="Carnivore",_xlfn.XLOOKUP(B154,'Base stats'!B:B,'Base stats'!Y:Y)="Omnivore",BC154&gt;0.1)),"true","false")</f>
        <v>true</v>
      </c>
      <c r="BT154" s="2" t="str">
        <f>IF(_xlfn.XLOOKUP(B154,'Base stats'!B:B,'Base stats'!AF:AF)=1,"true","false")</f>
        <v>false</v>
      </c>
      <c r="BU154" s="25" t="str">
        <f>IF(E154="BaseInsect","AnimalInsect",
IF(I154&gt;0.95,"AnimalExotic",
_xlfn.TEXTJOIN(", ",TRUE,
IF(AND(_xlfn.XLOOKUP(B154,'Base stats'!B:B,'Base stats'!O:O)=0,_xlfn.XLOOKUP(_xlfn.XLOOKUP(B154,'Base stats'!B:B,'Base stats'!E:E),Groups!A:A,Groups!B:B)&gt;0),"AnimalUncommon","AnimalCommon"),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stats'!AH:AH)=1,AND(BG154&lt;&gt;"None",BP154&gt;=60),ISNUMBER(SEARCH("Attack target",BN154))),"AnimalFighter","")
)))</f>
        <v>AnimalCommon, AnimalPet</v>
      </c>
      <c r="BV154" s="25" t="str">
        <f>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</f>
        <v/>
      </c>
      <c r="BW154" s="25" t="str">
        <f>IF(_xlfn.XLOOKUP(B154,'Base stats'!B:B,'Base stats'!AG:AG)=1,"true","false")</f>
        <v>false</v>
      </c>
      <c r="BX154" s="25">
        <f>IF(_xlfn.XLOOKUP(B154,'Base stats'!B:B,'Base stats'!N:N)=1,"No",MIN(MROUND(IF(OR(_xlfn.XLOOKUP(B154,'Base stats'!B:B,'Base stats'!AJ:AJ)=1,AND(BH154="True",CA154="False")),POWER(10,3.47*LOG10(_xlfn.XLOOKUP(B154,'Base stats'!B:B,'Base stats'!C:C)*1000)^-0.96),POWER(10,4.15*LOG10(_xlfn.XLOOKUP(B154,'Base stats'!B:B,'Base stats'!C:C)*1000)^-0.73))*IF(OR(_xlfn.XLOOKUP(B154,'Base stats'!B:B,'Base stats'!AJ:AJ)=1,_xlfn.XLOOKUP(B154,'Base stats'!B:B,'Base stats'!AH:AH)=1),0.5,1)/100,0.025),1))</f>
        <v>0.1</v>
      </c>
      <c r="BY154" s="25" t="str">
        <f>IF(O154="Standard","No",IF(_xlfn.XLOOKUP(B154,'Base stats'!B:B,'Base stats'!N:N)=0,MROUND(BX154*O154,0.05),MIN(1,MAX(0.025,MROUND(IF(OR(CA154="true",AND(BH154="false",BM154="false")),POWER(10,4.15*LOG10(_xlfn.XLOOKUP(B154,'Base stats'!B:B,'Base stats'!C:C)*1000)^-0.73),POWER(10,3.47*LOG10(_xlfn.XLOOKUP(B154,'Base stats'!B:B,'Base stats'!C:C)*1000)^-0.96))*IF(_xlfn.XLOOKUP(B154,'Base stats'!B:B,'Base stats'!AH:AH)=1,0.5,1)/100,0.025)))))</f>
        <v>No</v>
      </c>
      <c r="BZ154" s="25" t="str">
        <f>IF(_xlfn.XLOOKUP(_xlfn.XLOOKUP(B154,'Base stats'!B:B,'Base stats'!E:E),Groups!A:A,Groups!AJ:AJ)="Mammal","True","False")</f>
        <v>True</v>
      </c>
      <c r="CA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B154" s="25" t="str">
        <f t="shared" si="20"/>
        <v>False</v>
      </c>
      <c r="CC154" s="25" t="str">
        <f>IF(_xlfn.XLOOKUP(_xlfn.XLOOKUP(B154,'Base stats'!B:B,'Base stats'!E:E),Groups!A:A,Groups!AW:AW),"True","False")</f>
        <v>False</v>
      </c>
      <c r="CD154" s="25" t="str">
        <f>IF(_xlfn.XLOOKUP(_xlfn.XLOOKUP(B154,'Base stats'!B:B,'Base stats'!E:E),Groups!A:A,Groups!AX:AX),"True","False")</f>
        <v>False</v>
      </c>
      <c r="CE154" s="25" t="str">
        <f>IF(_xlfn.XLOOKUP(B154,'Base stats'!B:B,'Base stats'!E:E)=1,"True","False")</f>
        <v>False</v>
      </c>
      <c r="CF154" s="25" t="str">
        <f>IF(
OR(
_xlfn.XLOOKUP(_xlfn.XLOOKUP(B154,'Base stats'!B:B,'Base stats'!E:E),Groups!A:A,Groups!AY:AY)=0,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stats'!E:E),Groups!A:A,Groups!AY:AY)=1,
"Flesh",
IF(
_xlfn.XLOOKUP(_xlfn.XLOOKUP(B154,'Base stats'!B:B,'Base stats'!E:E),Groups!A:A,Groups!AY:AY)=2,
"Bone",
""
)
)
)</f>
        <v>No</v>
      </c>
      <c r="CG154" s="25" t="str">
        <f>IF(_xlfn.XLOOKUP(_xlfn.XLOOKUP(B154,'Base stats'!B:B,'Base stats'!E:E),Groups!A:A,Groups!BA:BA),"True","False")</f>
        <v>True</v>
      </c>
      <c r="CH154" s="25" t="str">
        <f>IF(_xlfn.XLOOKUP(_xlfn.XLOOKUP(B154,'Base stats'!B:B,'Base stats'!E:E),Groups!A:A,Groups!AZ:AZ),"True","False")</f>
        <v>False</v>
      </c>
    </row>
    <row r="155" spans="1:86" ht="16.5" thickTop="1" thickBot="1" x14ac:dyDescent="0.3">
      <c r="A155" s="26" t="str">
        <f>_xlfn.XLOOKUP(B155,'Base stats'!B:B,'Base stats'!A:A)</f>
        <v>Norwegian Forest cat</v>
      </c>
      <c r="B155" s="6" t="s">
        <v>920</v>
      </c>
      <c r="C155" s="28" t="s">
        <v>848</v>
      </c>
      <c r="D155" s="28" t="s">
        <v>884</v>
      </c>
      <c r="E155" s="28" t="s">
        <v>685</v>
      </c>
      <c r="F155" s="28" t="s">
        <v>685</v>
      </c>
      <c r="G155" s="2">
        <f>MROUND((
  (IF(AND(_xlfn.XLOOKUP(B155,'Base stats'!B:B,'Base stats'!AI:AI)=0,BG155="None",_xlfn.XLOOKUP('Base stats'!E155,Groups!A:A,Groups!B:B)=0), (18 + BP155 * 2.7) * 0.5,
    IF(AND(_xlfn.XLOOKUP(B155,'Base stats'!B:B,'Base stats'!AI:AI)=0,OR(AN155&lt;0.55,AND(BG155="Intermediate",_xlfn.XLOOKUP('Base stats'!E155,Groups!A:A,Groups!B:B)&lt;2))), (18 + BP155 * 2.7),
      IF(OR(BG155="Advanced",_xlfn.XLOOKUP(B155,'Base stats'!B:B,'Base stats'!AI:AI)=1,_xlfn.XLOOKUP('Base stats'!E155,Groups!A:A,Groups!B:B)=2), (18 + BP155 * 2.7) + 250, (18 + BP155 * 2.7))
    )
  ))
  + AN155 * 80
  + IF(COUNTIF(EggMilk!K$2:K$998, A155) &gt; 0, 125, 0)
  + IF(COUNTIF(EggMilk!P$2:P$998, A155) &gt; 0, 90, 0)
  + IF(COUNTIF(EggMilk!A$2:A$998, A155) &gt; 0, 90, 0)
)
* (0.8 + 0.4 * I155)
* 0.75,25)</f>
        <v>100</v>
      </c>
      <c r="H155" s="2">
        <f>MROUND(ROUNDDOWN(_xlfn.XLOOKUP(B155,'Base stats'!B:B,'Base stats'!L:L)/3.6/(23.3/11),1),0.5)</f>
        <v>5.5</v>
      </c>
      <c r="I155" s="2">
        <f>IF(_xlfn.XLOOKUP(B155,'Base stats'!B:B,'Base stats'!AI:AI)=1,0.99,MIN(MROUND((1-0.6282*EXP(-0.459*AN155))*_xlfn.XLOOKUP(_xlfn.XLOOKUP(B155,'Base stats'!B:B,'Base stats'!E:E),Groups!A:A,Groups!C:C)*IF(_xlfn.XLOOKUP(B155,'Base stats'!B:B,'Base stats'!O:O)=1,0.5,IF(_xlfn.XLOOKUP(B155,'Base stats'!B:B,'Base stats'!O:O)=2,0,1)),0.05),0.985))</f>
        <v>0</v>
      </c>
      <c r="J155" s="2">
        <f>ROUNDUP(AN155*_xlfn.XLOOKUP(_xlfn.XLOOKUP(B155,'Base stats'!B:B,'Base stats'!E:E),Groups!A:A,Groups!E:E),0)</f>
        <v>1</v>
      </c>
      <c r="K155" s="2">
        <f>IF(OR(_xlfn.XLOOKUP(_xlfn.XLOOKUP(B155,'Base stats'!B:B,'Base stats'!E:E),Groups!A:A,Groups!F:F)=2,ISNUMBER(SEARCH("SeaIce",BV155)),ISNUMBER(SEARCH("IceSheet",BV155))),-50,IF(OR(ISNUMBER(SEARCH("GlacialPlain",BV155)),ISNUMBER(SEARCH("Tundra",BV155))),-40,IF(OR(ISNUMBER(SEARCH("Alpine",BV155)),ISNUMBER(SEARCH("BorealForest",BV155)),ISNUMBER(SEARCH("ColdBog",BV155))),-30,IF(OR(ISNUMBER(SEARCH("TemperateForest",BV155)),ISNUMBER(SEARCH("TemperateSwamp",BV155))),-20,IF(_xlfn.XLOOKUP(_xlfn.XLOOKUP(B155,'Base stats'!B:B,'Base stats'!E:E),Groups!A:A,Groups!F:F)=1,-15,IF(OR(ISNUMBER(SEARCH("Desert",BV155)),ISNUMBER(SEARCH("ExtremeDesert",BV155))),-10,IF(OR(ISNUMBER(SEARCH("Grasslands",BV155)),ISNUMBER(SEARCH("TropicalRainforest",BV155)),ISNUMBER(SEARCH("TropicalSwamp",BV155))),10,0)))))))-IF(CA155="False",MIN(IFERROR(MAX(MROUND(LOG10(_xlfn.XLOOKUP(B155,'Base stats'!B:B,'Base stats'!C:C)^(2/3))*10,5),5),5),30))-_xlfn.XLOOKUP(B155,'Base stats'!B:B,'Base stats'!P:P)+IF(CA155="True",5,0)</f>
        <v>-30</v>
      </c>
      <c r="L155" s="2">
        <f>IF(OR(_xlfn.XLOOKUP(_xlfn.XLOOKUP(B155,'Base stats'!B:B,'Base stats'!E:E),Groups!A:A,Groups!G:G)=2,ISNUMBER(SEARCH("Desert",BV155)),ISNUMBER(SEARCH("ExtremeDesert",BV155)),ISNUMBER(SEARCH("LavaField",BV155))),50,IF(ISNUMBER(SEARCH("Grasslands",BV155)),45,IF(OR(_xlfn.XLOOKUP(_xlfn.XLOOKUP(B155,'Base stats'!B:B,'Base stats'!E:E),Groups!A:A,Groups!G:G)=1,ISNUMBER(SEARCH("TropicalRainforest",BV155)),ISNUMBER(SEARCH("TropicalSwamp",BV155))),40,IF(OR(ISNUMBER(SEARCH("TemperateForest",BV155)),ISNUMBER(SEARCH("TemperateSwamp",BV155))),35,IF(OR(ISNUMBER(SEARCH("Alpine",BV155)),ISNUMBER(SEARCH("BorealForest",BV155)),ISNUMBER(SEARCH("ColdBog",BV155))),30,IF(ISNUMBER(OR(ISNUMBER(SEARCH("GlacialPlain",BV155)),SEARCH("Tundra",BV155))),25,IF(OR(ISNUMBER(SEARCH("SeaIce",BV155)),ISNUMBER(SEARCH("IceSheet",BV155)),ISNUMBER(SEARCH("TropicalSwamp",BV155))),10,35)))))))+_xlfn.XLOOKUP(B155,'Base stats'!B:B,'Base stats'!Q:Q)</f>
        <v>40</v>
      </c>
      <c r="M155" s="8" t="str">
        <f>IF(_xlfn.XLOOKUP(_xlfn.XLOOKUP(B155,'Base stats'!B:B,'Base stats'!E:E),Groups!A:A,Groups!L:L)=1,MIN(MROUND(_xlfn.XLOOKUP(B155,'Animals CE'!B:B,'Animals CE'!Z:Z)/2+0.05,0.05),200%),"No")</f>
        <v>No</v>
      </c>
      <c r="N155" s="8" t="str">
        <f>IF(_xlfn.XLOOKUP(_xlfn.XLOOKUP(B155,'Base stats'!B:B,'Base stats'!E:E),Groups!A:A,Groups!L:L)=1,MIN(MROUND(_xlfn.XLOOKUP(B155,'Animals CE'!B:B,'Animals CE'!AA:AA)/2+0.05,0.05),200%),"No")</f>
        <v>No</v>
      </c>
      <c r="O155" s="2" t="str">
        <f>_xlfn.XLOOKUP(B155,'Base stats'!B:B,'Base stats'!R:R)</f>
        <v>Standard</v>
      </c>
      <c r="P155" s="13">
        <f>MROUND((LOG10(_xlfn.XLOOKUP(B155,'Base stats'!B:B,'Base stats'!AO:AO))*(AN155^0.5)+(_xlfn.XLOOKUP(B155,'Base stats'!B:B,'Base stats'!AO:AO)/1000)^(2/3)+_xlfn.XLOOKUP(B155,'Base stats'!B:B,'Base stats'!AX:AX)/2)+0.5,0.5)</f>
        <v>3</v>
      </c>
      <c r="Q155" s="7">
        <f>IF(P155="No","No",MAX(1,MROUND(_xlfn.XLOOKUP(B155,'Base stats'!B:B,'Base stats'!C:C)^0.165,0.05)))</f>
        <v>1.35</v>
      </c>
      <c r="R155" s="13" t="str">
        <f>IF(_xlfn.XLOOKUP(_xlfn.XLOOKUP(B155,'Base stats'!B:B,'Base stats'!E:E),Groups!A:A,Groups!P:P)=0,"No",MROUND((LOG10(_xlfn.XLOOKUP(B155,'Base stats'!B:B,'Base stats'!AP:AP))*(AN155^0.5)+(_xlfn.XLOOKUP(B155,'Base stats'!B:B,'Base stats'!AP:AP)/1000)^(2/3)+_xlfn.XLOOKUP(B155,'Base stats'!B:B,'Base stats'!AX:AX))+_xlfn.XLOOKUP(B155,'Base stats'!B:B,'Base stats'!AV:AV)+0.5,0.5))</f>
        <v>No</v>
      </c>
      <c r="S155" s="7" t="str">
        <f>IF(R155="No","No",MAX(_xlfn.XLOOKUP(_xlfn.XLOOKUP(B155,'Base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T155" s="7" t="str">
        <f>IF(R155="No","No",_xlfn.XLOOKUP(_xlfn.XLOOKUP(B155,'Base stats'!B:B,'Base stats'!E:E),Groups!A:A,Groups!R:R))</f>
        <v>No</v>
      </c>
      <c r="U155" s="7" t="str">
        <f>IF(R155="No","No",_xlfn.XLOOKUP(_xlfn.XLOOKUP(B155,'Base stats'!B:B,'Base stats'!E:E),Groups!A:A,Groups!S:S))</f>
        <v>No</v>
      </c>
      <c r="V155" s="7" t="str">
        <f>IF(R155="No","No",_xlfn.XLOOKUP(_xlfn.XLOOKUP(B155,'Base stats'!B:B,'Base stats'!E:E),Groups!A:A,Groups!T:T))</f>
        <v>No</v>
      </c>
      <c r="W155" s="13" t="str">
        <f>IF(_xlfn.XLOOKUP(B155,'Base stats'!B:B,'Base stats'!W:W)="No","No",MROUND((LOG10(_xlfn.XLOOKUP(B155,'Base stats'!B:B,'Base stats'!AR:AR))*(AN155^0.5)+(_xlfn.XLOOKUP(B155,'Base stats'!B:B,'Base stats'!AR:AR)/1000)^(2/3)+_xlfn.XLOOKUP(B155,'Base stats'!B:B,'Base stats'!AW:AW))+0.5+IF(_xlfn.XLOOKUP(_xlfn.XLOOKUP(B155,'Base stats'!B:B,'Base stats'!E:E),Groups!A:A,Groups!U:U)&lt;&gt;3,_xlfn.XLOOKUP(B155,'Base stats'!B:B,'Base stats'!AX:AX),0),0.5))</f>
        <v>No</v>
      </c>
      <c r="X155" s="7" t="str">
        <f>IF(W155="No","No",MAX(_xlfn.XLOOKUP(_xlfn.XLOOKUP(B155,'Base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Y155" s="7" t="str">
        <f>IF(W155="No","No",_xlfn.XLOOKUP(_xlfn.XLOOKUP(B155,'Base stats'!B:B,'Base stats'!E:E),Groups!A:A,Groups!W:W))</f>
        <v>No</v>
      </c>
      <c r="Z155" s="7" t="str">
        <f>IF(W155="No","No",_xlfn.XLOOKUP(_xlfn.XLOOKUP(B155,'Base stats'!B:B,'Base stats'!E:E),Groups!A:A,Groups!X:X))</f>
        <v>No</v>
      </c>
      <c r="AA155" s="7" t="str">
        <f>IF(W155="No","No",_xlfn.XLOOKUP(_xlfn.XLOOKUP(B155,'Base stats'!B:B,'Base stats'!E:E),Groups!A:A,Groups!Y:Y))</f>
        <v>No</v>
      </c>
      <c r="AB155" s="7" t="str">
        <f>_xlfn.XLOOKUP(Animals!B155,'Base stats'!B:B,'Base stats'!X:X)</f>
        <v>False</v>
      </c>
      <c r="AC155" s="13">
        <f>IF(_xlfn.XLOOKUP(B155,'Base stats'!B:B,'Base stats'!AQ:AQ)="No","No",MROUND((LOG10(_xlfn.XLOOKUP(B155,'Base stats'!B:B,'Base stats'!AQ:AQ))*(AN155^0.75)+(_xlfn.XLOOKUP(B155,'Base stats'!B:B,'Base stats'!AQ:AQ)/1000)^(2/3)+_xlfn.XLOOKUP(B155,'Base stats'!B:B,'Base stats'!AU:AU)+_xlfn.XLOOKUP(B155,'Base stats'!B:B,'Base stats'!AX:AX))+0.5,0.5))</f>
        <v>5</v>
      </c>
      <c r="AD155" s="7">
        <f>IF(AC155="No","No",MAX(_xlfn.XLOOKUP(_xlfn.XLOOKUP(B155,'Base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E155" s="7" t="str">
        <f>IF(AC155="No","No",_xlfn.XLOOKUP(_xlfn.XLOOKUP(B155,'Base stats'!B:B,'Base stats'!E:E),Groups!A:A,Groups!AA:AA))</f>
        <v>Teeth</v>
      </c>
      <c r="AF155" s="7" t="str">
        <f>IF(AC155="No","No",_xlfn.XLOOKUP(_xlfn.XLOOKUP(B155,'Base stats'!B:B,'Base stats'!E:E),Groups!A:A,Groups!AB:AB))</f>
        <v>canines</v>
      </c>
      <c r="AG155" s="7" t="str">
        <f>IF(AC155="No","No",_xlfn.XLOOKUP(_xlfn.XLOOKUP(B155,'Base stats'!B:B,'Base stats'!E:E),Groups!A:A,Groups!AC:AC))</f>
        <v>Bite</v>
      </c>
      <c r="AH155" s="13">
        <f>IF(_xlfn.XLOOKUP(_xlfn.XLOOKUP(B155,'Base stats'!B:B,'Base stats'!E:E),Groups!A:A,Groups!AD:AD)=0,"No",MROUND((LOG10(_xlfn.XLOOKUP(B155,'Base stats'!B:B,'Base stats'!AP:AP))*(AN155^0.75)+(_xlfn.XLOOKUP(B155,'Base stats'!B:B,'Base stats'!AP:AP)/1000)^(2/3)+_xlfn.XLOOKUP(B155,'Base stats'!B:B,'Base stats'!AV:AV)+_xlfn.XLOOKUP(B155,'Base stats'!B:B,'Base stats'!AX:AX))+0.5,0.5))</f>
        <v>4</v>
      </c>
      <c r="AI155" s="7">
        <f>IF(AH155="No","No",MAX(_xlfn.XLOOKUP(_xlfn.XLOOKUP(B155,'Base stats'!B:B,'Base stats'!E:E),Groups!A:A,Groups!AE:AE),MROUND(_xlfn.XLOOKUP(_xlfn.XLOOKUP(B155,'Base stats'!B:B,'Base stats'!E:E),Groups!A:A,Groups!AE:AE)*_xlfn.XLOOKUP(B155,'Base stats'!B:B,'Base stats'!C:C)^0.165,0.05)))</f>
        <v>0.9</v>
      </c>
      <c r="AJ155" s="7" t="str">
        <f>IF(AH155="No","No",_xlfn.XLOOKUP(_xlfn.XLOOKUP(B155,'Base stats'!B:B,'Base stats'!E:E),Groups!A:A,Groups!AF:AF))</f>
        <v>FrontRightPaw, FrontRightPaw</v>
      </c>
      <c r="AK155" s="7" t="str">
        <f>IF(AH155="No","No",_xlfn.XLOOKUP(_xlfn.XLOOKUP(B155,'Base stats'!B:B,'Base stats'!E:E),Groups!A:A,Groups!AG:AG))</f>
        <v>left claw, right claw</v>
      </c>
      <c r="AL155" s="7" t="str">
        <f>IF(AH155="No","No",_xlfn.XLOOKUP(_xlfn.XLOOKUP(B155,'Base stats'!B:B,'Base stats'!E:E),Groups!A:A,Groups!AH:AH))</f>
        <v>Scratch</v>
      </c>
      <c r="AM155" s="2">
        <f t="shared" si="14"/>
        <v>15</v>
      </c>
      <c r="AN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O155" s="8">
        <f>MROUND(AN155*_xlfn.XLOOKUP(_xlfn.XLOOKUP(B155,'Base stats'!B:B,'Base stats'!E:E),Groups!A:A,Groups!AI:AI),0.05)</f>
        <v>0.4</v>
      </c>
      <c r="AP155" s="8">
        <f>MAX(0.01,MROUND(IF(CA155="True",0.196*(AN155*100*1000)^0.889,IF(_xlfn.XLOOKUP(_xlfn.XLOOKUP(B155,'Base stats'!B:B,'Base stats'!E:E),Groups!A:A,Groups!AJ:AJ)="Bird",10.5*(AN155*100*1000)^0.681,4.82*(AN155*100*1000)^0.734))/(4.82*(1*100*1000)^0.734)/IF(AN155&lt;3.5,2,IF(AN155=3.5,1.5,1.25))*(1+0.132282374779864/(AN155^0.994035016789033+0.00905238001496948)),0.05))</f>
        <v>0.30000000000000004</v>
      </c>
      <c r="AQ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R155" s="35">
        <f>IFERROR(IF(_xlfn.XLOOKUP(B155,'Base stats'!B:B,'Base stats'!F:F)="Lay eggs","Lay eggs",MIN(20,MAX(5.5,ROUND(((_xlfn.XLOOKUP(B155,'Base stats'!B:B,'Base stats'!F:F)-25)*(14.5/615) + 5.5)*2,0)/2))),"Cannot breed")</f>
        <v>6.5</v>
      </c>
      <c r="AS155" s="8">
        <f>IF(OR(A155="Queen",A155="Larva",A155="Megachicken"),"No",IFERROR(MAX(IF(_xlfn.XLOOKUP(B155,'Base stats'!B:B,'Base stats'!G:G)&lt;0.5,0.2,0.3),MROUND(_xlfn.XLOOKUP(B155,'Base stats'!B:B,'Base stats'!G:G)/(365/60),0.2)),"Unknown"))</f>
        <v>0.3</v>
      </c>
      <c r="AT155" s="8">
        <f t="shared" si="15"/>
        <v>0.15000000000000002</v>
      </c>
      <c r="AU155" s="8">
        <f>IFERROR(IFERROR(MROUND(_xlfn.XLOOKUP(B155,'Base stats'!B:B,'Base stats'!J:J),0.1),"Lay eggs"),"Cannot breed")</f>
        <v>4</v>
      </c>
      <c r="AV155" s="2" t="str">
        <f t="shared" si="16"/>
        <v>false</v>
      </c>
      <c r="AW155" s="2" t="str">
        <f>IF(_xlfn.XLOOKUP(_xlfn.XLOOKUP(Animals!B155,'Base stats'!B:B,'Base stats'!E:E),Groups!A:A,Groups!AK:AK)=1,"true","false")</f>
        <v>false</v>
      </c>
      <c r="AX155" s="25" t="str">
        <f>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</f>
        <v>CarnivoreAnimal, OvivoreAnimal</v>
      </c>
      <c r="AY155" s="2" t="str">
        <f>IF(_xlfn.XLOOKUP(_xlfn.XLOOKUP(B155,'Base stats'!B:B,'Base stats'!E:E),Groups!A:A,Groups!D:D)=1,MROUND((1-I155)*5+1,2)*IF(I155&lt;=0.4,2,1),"No")</f>
        <v>No</v>
      </c>
      <c r="AZ155" s="2" t="str">
        <f>_xlfn.XLOOKUP(B155,'Base stats'!B:B,'Base stats'!AE:AE)</f>
        <v>Leather_Light</v>
      </c>
      <c r="BA155" s="23" t="str">
        <f>_xlfn.XLOOKUP(_xlfn.XLOOKUP(B155,'Base stats'!B:B,'Base stats'!E:E),Groups!A:A,Groups!AL:AL)</f>
        <v>QuadrupedAnimalWithPawsAndTail</v>
      </c>
      <c r="BB155" s="23">
        <f>MROUND(IF(AND(AN155&lt;0.5,_xlfn.XLOOKUP(B155,'Base stats'!B:B,'Base stats'!Z:Z)=0),0,IF(OR(_xlfn.XLOOKUP(Animals!B155,'Base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stats'!AA:AA),0.005)</f>
        <v>0</v>
      </c>
      <c r="BC155" s="23">
        <f>MROUND(IF(AND(AN155&lt;0.5,_xlfn.XLOOKUP(B155,'Base stats'!B:B,'Base stats'!Z:Z)=0),0,IF(_xlfn.XLOOKUP(_xlfn.XLOOKUP(B155,'Base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stats'!AB:AB),0.005)</f>
        <v>0</v>
      </c>
      <c r="BD155" s="2">
        <f>IF(I155&gt;0.3,"No",_xlfn.XLOOKUP(_xlfn.XLOOKUP(Animals!B155,'Base stats'!B:B,'Base stats'!E:E),Groups!A:A,Groups!AP:AP))</f>
        <v>1</v>
      </c>
      <c r="BE155" s="2">
        <f>IF(AND(I155&lt;=0.65,_xlfn.XLOOKUP(_xlfn.XLOOKUP(Animals!B155,'Base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stats'!O:O)=2,0.2,AN155) + 24*(1-IF(BD155="No",0,BD155)) + 16/3, 12),"No")</f>
        <v>12</v>
      </c>
      <c r="BF155" s="2">
        <f>IF(AND(_xlfn.XLOOKUP(_xlfn.XLOOKUP(B155,'Base stats'!B:B,'Base stats'!E:E),Groups!A:A,Groups!AQ:AQ)=1,AN155&lt;=0.35),8,12)</f>
        <v>12</v>
      </c>
      <c r="BG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H155" s="2" t="str">
        <f>IF(AND(_xlfn.XLOOKUP(_xlfn.XLOOKUP(B155,'Base stats'!B:B,'Base stats'!E:E),Groups!A:A,Groups!AS:AS)=1,OR('Base stats'!Y155="Carnivore",'Base stats'!Y155="Omnivore")),"true","false")</f>
        <v>true</v>
      </c>
      <c r="BI155" s="2">
        <f>IF(BH155="true",MROUND(IF(AND(AN155&gt;0.5,_xlfn.XLOOKUP(_xlfn.XLOOKUP(B155,'Base stats'!B:B,'Base stats'!E:E),Groups!A:A,Groups!AJ:AJ)="Mammal"),Animals!AN155*1.75*IF(AV155="true",1.5,1),Animals!AN155),IF(AN155&gt;2,0.5,IF(AN155&gt;0.5,0.25,0.1))),"No")</f>
        <v>0.4</v>
      </c>
      <c r="BJ155" s="2">
        <f t="shared" si="17"/>
        <v>1</v>
      </c>
      <c r="BK155" s="25" t="str">
        <f>IF('Base stats'!AK155="Standard","No",MROUND((_xlfn.XLOOKUP(B155,'Base stats'!B:B,'Base stats'!AK:AK)/3.6)/H155,0.1))</f>
        <v>No</v>
      </c>
      <c r="BL155" s="25" t="str">
        <f t="shared" si="18"/>
        <v>false</v>
      </c>
      <c r="BM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N155" s="25" t="str" cm="1">
        <f t="array" ref="BN155">IF(
  _xlfn.TEXTJOIN(", ",TRUE,
    IF(AND(BH155="true",AN155&gt;0.5,BG155&lt;&gt;"None"),"AttackTarget",""),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IF(BE155&lt;=36,"Comfort",""),
    IF(_xlfn.XLOOKUP(B155,'Base stats'!B:B,'Base stats'!AC:AC)&lt;&gt;"No",_xlfn.XLOOKUP(B155,'Base stats'!B:B,'Base stats'!AC:AC),"")
  ) = "",
  "No",
  _xlfn.TEXTJOIN(", ",TRUE,
    IF(AND(BH155="true",AN155&gt;0.5,BG155&lt;&gt;"None"),"AttackTarget",""),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IF(BE155&lt;=36,"Comfort",""),
    IF(_xlfn.XLOOKUP(B155,'Base stats'!B:B,'Base stats'!AC:AC)&lt;&gt;"No",_xlfn.XLOOKUP(B155,'Base stats'!B:B,'Base stats'!AC:AC),"")
  )
)</f>
        <v>Comfort</v>
      </c>
      <c r="BO155" s="25" t="str">
        <f>IF(
   AND(
      'Base stats'!AK155="Standard",_xlfn.XLOOKUP(_xlfn.XLOOKUP(B155,'Base stats'!B:B,'Base stats'!E:E),Groups!A:A,Groups!AU:AU)=0,
      OR(
      BM155="True"
      )
   ),
   10,
   IF(
       OR(BK155&lt;&gt;"No",_xlfn.XLOOKUP(_xlfn.XLOOKUP(B155,'Base stats'!B:B,'Base stats'!E:E),Groups!A:A,Groups!AU:AU)=1),
      1,
      "No"
   )
)</f>
        <v>No</v>
      </c>
      <c r="BP155" s="9">
        <f>MROUND((1 + ((0.2*IF(OR(P155="No",Q155="No",Q155=0),0,P155/Q155)
+IF(OR(U155="No",R155="No",S155="No"),0,R155/S155*(LEN(U155)-LEN(SUBSTITUTE(U155,",",""))+1))
+IF(OR(W155="No",X155="No"),0,W155/X155)
+IF(OR(AC155="No",AD155="No"),0,AC155/AD155)
+IF(OR(AK155="No",AH155="No",AI155="No"),0,AH155/AI155*(LEN(AK155)-LEN(SUBSTITUTE(AK155,",",""))+1))
)/(0.2*IF(OR(P155="No",Q155="No",Q155=0),0,1)
+IF(OR(U155="No",R155="No",S155="No"),0,LEN(U155)-LEN(SUBSTITUTE(U155,",",""))+1)
+IF(OR(W155="No",X155="No"),0,1)
+IF(OR(AC155="No",AD155="No"),0,1)
+IF(OR(AK155="No",AH155="No",AI155="No"),0,LEN(AK155)-LEN(SUBSTITUTE(AK155,",",""))+1))*62%)* 2)*(1 + (AO155 + _xlfn.XLOOKUP(B155,'Base stats'!B:B,'Base stats'!AS:AS) * 1.8) * 2) * 2.5 + 10 + H155 * 2,5)+IF(_xlfn.XLOOKUP(B155,'Base stats'!B:B,'Base stats'!AH:AH)=1,50,0)</f>
        <v>50</v>
      </c>
      <c r="BQ155" s="8">
        <f t="shared" si="19"/>
        <v>0.30000000000000004</v>
      </c>
      <c r="BR155" s="8" t="str">
        <f>_xlfn.XLOOKUP(B155,'Base stats'!B:B,'Base stats'!AD:AD)</f>
        <v>No</v>
      </c>
      <c r="BS155" s="2" t="str">
        <f>IF(AND(I155&lt;=0.95,OR(_xlfn.XLOOKUP(B155,'Base stats'!B:B,'Base stats'!AH:AH)=1,_xlfn.XLOOKUP(B155,'Base stats'!B:B,'Base stats'!Y:Y)="Carnivore",_xlfn.XLOOKUP(B155,'Base stats'!B:B,'Base stats'!Y:Y)="Omnivore",BC155&gt;0.1)),"true","false")</f>
        <v>true</v>
      </c>
      <c r="BT155" s="2" t="str">
        <f>IF(_xlfn.XLOOKUP(B155,'Base stats'!B:B,'Base stats'!AF:AF)=1,"true","false")</f>
        <v>false</v>
      </c>
      <c r="BU155" s="25" t="str">
        <f>IF(E155="BaseInsect","AnimalInsect",
IF(I155&gt;0.95,"AnimalExotic",
_xlfn.TEXTJOIN(", ",TRUE,
IF(AND(_xlfn.XLOOKUP(B155,'Base stats'!B:B,'Base stats'!O:O)=0,_xlfn.XLOOKUP(_xlfn.XLOOKUP(B155,'Base stats'!B:B,'Base stats'!E:E),Groups!A:A,Groups!B:B)&gt;0),"AnimalUncommon","AnimalCommon"),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stats'!AH:AH)=1,AND(BG155&lt;&gt;"None",BP155&gt;=60),ISNUMBER(SEARCH("Attack target",BN155))),"AnimalFighter","")
)))</f>
        <v>AnimalCommon, AnimalPet</v>
      </c>
      <c r="BV155" s="25" t="str">
        <f>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</f>
        <v/>
      </c>
      <c r="BW155" s="25" t="str">
        <f>IF(_xlfn.XLOOKUP(B155,'Base stats'!B:B,'Base stats'!AG:AG)=1,"true","false")</f>
        <v>false</v>
      </c>
      <c r="BX155" s="25">
        <f>IF(_xlfn.XLOOKUP(B155,'Base stats'!B:B,'Base stats'!N:N)=1,"No",MIN(MROUND(IF(OR(_xlfn.XLOOKUP(B155,'Base stats'!B:B,'Base stats'!AJ:AJ)=1,AND(BH155="True",CA155="False")),POWER(10,3.47*LOG10(_xlfn.XLOOKUP(B155,'Base stats'!B:B,'Base stats'!C:C)*1000)^-0.96),POWER(10,4.15*LOG10(_xlfn.XLOOKUP(B155,'Base stats'!B:B,'Base stats'!C:C)*1000)^-0.73))*IF(OR(_xlfn.XLOOKUP(B155,'Base stats'!B:B,'Base stats'!AJ:AJ)=1,_xlfn.XLOOKUP(B155,'Base stats'!B:B,'Base stats'!AH:AH)=1),0.5,1)/100,0.025),1))</f>
        <v>0.1</v>
      </c>
      <c r="BY155" s="25" t="str">
        <f>IF(O155="Standard","No",IF(_xlfn.XLOOKUP(B155,'Base stats'!B:B,'Base stats'!N:N)=0,MROUND(BX155*O155,0.05),MIN(1,MAX(0.025,MROUND(IF(OR(CA155="true",AND(BH155="false",BM155="false")),POWER(10,4.15*LOG10(_xlfn.XLOOKUP(B155,'Base stats'!B:B,'Base stats'!C:C)*1000)^-0.73),POWER(10,3.47*LOG10(_xlfn.XLOOKUP(B155,'Base stats'!B:B,'Base stats'!C:C)*1000)^-0.96))*IF(_xlfn.XLOOKUP(B155,'Base stats'!B:B,'Base stats'!AH:AH)=1,0.5,1)/100,0.025)))))</f>
        <v>No</v>
      </c>
      <c r="BZ155" s="25" t="str">
        <f>IF(_xlfn.XLOOKUP(_xlfn.XLOOKUP(B155,'Base stats'!B:B,'Base stats'!E:E),Groups!A:A,Groups!AJ:AJ)="Mammal","True","False")</f>
        <v>True</v>
      </c>
      <c r="CA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B155" s="25" t="str">
        <f t="shared" si="20"/>
        <v>False</v>
      </c>
      <c r="CC155" s="25" t="str">
        <f>IF(_xlfn.XLOOKUP(_xlfn.XLOOKUP(B155,'Base stats'!B:B,'Base stats'!E:E),Groups!A:A,Groups!AW:AW),"True","False")</f>
        <v>False</v>
      </c>
      <c r="CD155" s="25" t="str">
        <f>IF(_xlfn.XLOOKUP(_xlfn.XLOOKUP(B155,'Base stats'!B:B,'Base stats'!E:E),Groups!A:A,Groups!AX:AX),"True","False")</f>
        <v>False</v>
      </c>
      <c r="CE155" s="25" t="str">
        <f>IF(_xlfn.XLOOKUP(B155,'Base stats'!B:B,'Base stats'!E:E)=1,"True","False")</f>
        <v>False</v>
      </c>
      <c r="CF155" s="25" t="str">
        <f>IF(
OR(
_xlfn.XLOOKUP(_xlfn.XLOOKUP(B155,'Base stats'!B:B,'Base stats'!E:E),Groups!A:A,Groups!AY:AY)=0,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stats'!E:E),Groups!A:A,Groups!AY:AY)=1,
"Flesh",
IF(
_xlfn.XLOOKUP(_xlfn.XLOOKUP(B155,'Base stats'!B:B,'Base stats'!E:E),Groups!A:A,Groups!AY:AY)=2,
"Bone",
""
)
)
)</f>
        <v>No</v>
      </c>
      <c r="CG155" s="25" t="str">
        <f>IF(_xlfn.XLOOKUP(_xlfn.XLOOKUP(B155,'Base stats'!B:B,'Base stats'!E:E),Groups!A:A,Groups!BA:BA),"True","False")</f>
        <v>True</v>
      </c>
      <c r="CH155" s="25" t="str">
        <f>IF(_xlfn.XLOOKUP(_xlfn.XLOOKUP(B155,'Base stats'!B:B,'Base stats'!E:E),Groups!A:A,Groups!AZ:AZ),"True","False")</f>
        <v>False</v>
      </c>
    </row>
    <row r="156" spans="1:86" ht="16.5" thickTop="1" thickBot="1" x14ac:dyDescent="0.3">
      <c r="A156" s="26" t="str">
        <f>_xlfn.XLOOKUP(B156,'Base stats'!B:B,'Base stats'!A:A)</f>
        <v>Persian cat</v>
      </c>
      <c r="B156" s="6" t="s">
        <v>921</v>
      </c>
      <c r="C156" s="28" t="s">
        <v>849</v>
      </c>
      <c r="D156" s="28" t="s">
        <v>884</v>
      </c>
      <c r="E156" s="28" t="s">
        <v>685</v>
      </c>
      <c r="F156" s="28" t="s">
        <v>685</v>
      </c>
      <c r="G156" s="2">
        <f>MROUND((
  (IF(AND(_xlfn.XLOOKUP(B156,'Base stats'!B:B,'Base stats'!AI:AI)=0,BG156="None",_xlfn.XLOOKUP('Base stats'!E156,Groups!A:A,Groups!B:B)=0), (18 + BP156 * 2.7) * 0.5,
    IF(AND(_xlfn.XLOOKUP(B156,'Base stats'!B:B,'Base stats'!AI:AI)=0,OR(AN156&lt;0.55,AND(BG156="Intermediate",_xlfn.XLOOKUP('Base stats'!E156,Groups!A:A,Groups!B:B)&lt;2))), (18 + BP156 * 2.7),
      IF(OR(BG156="Advanced",_xlfn.XLOOKUP(B156,'Base stats'!B:B,'Base stats'!AI:AI)=1,_xlfn.XLOOKUP('Base stats'!E156,Groups!A:A,Groups!B:B)=2), (18 + BP156 * 2.7) + 250, (18 + BP156 * 2.7))
    )
  ))
  + AN156 * 80
  + IF(COUNTIF(EggMilk!K$2:K$998, A156) &gt; 0, 125, 0)
  + IF(COUNTIF(EggMilk!P$2:P$998, A156) &gt; 0, 90, 0)
  + IF(COUNTIF(EggMilk!A$2:A$998, A156) &gt; 0, 90, 0)
)
* (0.8 + 0.4 * I156)
* 0.75,25)</f>
        <v>100</v>
      </c>
      <c r="H156" s="2">
        <f>MROUND(ROUNDDOWN(_xlfn.XLOOKUP(B156,'Base stats'!B:B,'Base stats'!L:L)/3.6/(23.3/11),1),0.5)</f>
        <v>5.5</v>
      </c>
      <c r="I156" s="2">
        <f>IF(_xlfn.XLOOKUP(B156,'Base stats'!B:B,'Base stats'!AI:AI)=1,0.99,MIN(MROUND((1-0.6282*EXP(-0.459*AN156))*_xlfn.XLOOKUP(_xlfn.XLOOKUP(B156,'Base stats'!B:B,'Base stats'!E:E),Groups!A:A,Groups!C:C)*IF(_xlfn.XLOOKUP(B156,'Base stats'!B:B,'Base stats'!O:O)=1,0.5,IF(_xlfn.XLOOKUP(B156,'Base stats'!B:B,'Base stats'!O:O)=2,0,1)),0.05),0.985))</f>
        <v>0</v>
      </c>
      <c r="J156" s="2">
        <f>ROUNDUP(AN156*_xlfn.XLOOKUP(_xlfn.XLOOKUP(B156,'Base stats'!B:B,'Base stats'!E:E),Groups!A:A,Groups!E:E),0)</f>
        <v>1</v>
      </c>
      <c r="K156" s="2">
        <f>IF(OR(_xlfn.XLOOKUP(_xlfn.XLOOKUP(B156,'Base stats'!B:B,'Base stats'!E:E),Groups!A:A,Groups!F:F)=2,ISNUMBER(SEARCH("SeaIce",BV156)),ISNUMBER(SEARCH("IceSheet",BV156))),-50,IF(OR(ISNUMBER(SEARCH("GlacialPlain",BV156)),ISNUMBER(SEARCH("Tundra",BV156))),-40,IF(OR(ISNUMBER(SEARCH("Alpine",BV156)),ISNUMBER(SEARCH("BorealForest",BV156)),ISNUMBER(SEARCH("ColdBog",BV156))),-30,IF(OR(ISNUMBER(SEARCH("TemperateForest",BV156)),ISNUMBER(SEARCH("TemperateSwamp",BV156))),-20,IF(_xlfn.XLOOKUP(_xlfn.XLOOKUP(B156,'Base stats'!B:B,'Base stats'!E:E),Groups!A:A,Groups!F:F)=1,-15,IF(OR(ISNUMBER(SEARCH("Desert",BV156)),ISNUMBER(SEARCH("ExtremeDesert",BV156))),-10,IF(OR(ISNUMBER(SEARCH("Grasslands",BV156)),ISNUMBER(SEARCH("TropicalRainforest",BV156)),ISNUMBER(SEARCH("TropicalSwamp",BV156))),10,0)))))))-IF(CA156="False",MIN(IFERROR(MAX(MROUND(LOG10(_xlfn.XLOOKUP(B156,'Base stats'!B:B,'Base stats'!C:C)^(2/3))*10,5),5),5),30))-_xlfn.XLOOKUP(B156,'Base stats'!B:B,'Base stats'!P:P)+IF(CA156="True",5,0)</f>
        <v>-20</v>
      </c>
      <c r="L156" s="2">
        <f>IF(OR(_xlfn.XLOOKUP(_xlfn.XLOOKUP(B156,'Base stats'!B:B,'Base stats'!E:E),Groups!A:A,Groups!G:G)=2,ISNUMBER(SEARCH("Desert",BV156)),ISNUMBER(SEARCH("ExtremeDesert",BV156)),ISNUMBER(SEARCH("LavaField",BV156))),50,IF(ISNUMBER(SEARCH("Grasslands",BV156)),45,IF(OR(_xlfn.XLOOKUP(_xlfn.XLOOKUP(B156,'Base stats'!B:B,'Base stats'!E:E),Groups!A:A,Groups!G:G)=1,ISNUMBER(SEARCH("TropicalRainforest",BV156)),ISNUMBER(SEARCH("TropicalSwamp",BV156))),40,IF(OR(ISNUMBER(SEARCH("TemperateForest",BV156)),ISNUMBER(SEARCH("TemperateSwamp",BV156))),35,IF(OR(ISNUMBER(SEARCH("Alpine",BV156)),ISNUMBER(SEARCH("BorealForest",BV156)),ISNUMBER(SEARCH("ColdBog",BV156))),30,IF(ISNUMBER(OR(ISNUMBER(SEARCH("GlacialPlain",BV156)),SEARCH("Tundra",BV156))),25,IF(OR(ISNUMBER(SEARCH("SeaIce",BV156)),ISNUMBER(SEARCH("IceSheet",BV156)),ISNUMBER(SEARCH("TropicalSwamp",BV156))),10,35)))))))+_xlfn.XLOOKUP(B156,'Base stats'!B:B,'Base stats'!Q:Q)</f>
        <v>40</v>
      </c>
      <c r="M156" s="8" t="str">
        <f>IF(_xlfn.XLOOKUP(_xlfn.XLOOKUP(B156,'Base stats'!B:B,'Base stats'!E:E),Groups!A:A,Groups!L:L)=1,MIN(MROUND(_xlfn.XLOOKUP(B156,'Animals CE'!B:B,'Animals CE'!Z:Z)/2+0.05,0.05),200%),"No")</f>
        <v>No</v>
      </c>
      <c r="N156" s="8" t="str">
        <f>IF(_xlfn.XLOOKUP(_xlfn.XLOOKUP(B156,'Base stats'!B:B,'Base stats'!E:E),Groups!A:A,Groups!L:L)=1,MIN(MROUND(_xlfn.XLOOKUP(B156,'Animals CE'!B:B,'Animals CE'!AA:AA)/2+0.05,0.05),200%),"No")</f>
        <v>No</v>
      </c>
      <c r="O156" s="2" t="str">
        <f>_xlfn.XLOOKUP(B156,'Base stats'!B:B,'Base stats'!R:R)</f>
        <v>Standard</v>
      </c>
      <c r="P156" s="13">
        <f>MROUND((LOG10(_xlfn.XLOOKUP(B156,'Base stats'!B:B,'Base stats'!AO:AO))*(AN156^0.5)+(_xlfn.XLOOKUP(B156,'Base stats'!B:B,'Base stats'!AO:AO)/1000)^(2/3)+_xlfn.XLOOKUP(B156,'Base stats'!B:B,'Base stats'!AX:AX)/2)+0.5,0.5)</f>
        <v>2.5</v>
      </c>
      <c r="Q156" s="7">
        <f>IF(P156="No","No",MAX(1,MROUND(_xlfn.XLOOKUP(B156,'Base stats'!B:B,'Base stats'!C:C)^0.165,0.05)))</f>
        <v>1.25</v>
      </c>
      <c r="R156" s="13" t="str">
        <f>IF(_xlfn.XLOOKUP(_xlfn.XLOOKUP(B156,'Base stats'!B:B,'Base stats'!E:E),Groups!A:A,Groups!P:P)=0,"No",MROUND((LOG10(_xlfn.XLOOKUP(B156,'Base stats'!B:B,'Base stats'!AP:AP))*(AN156^0.5)+(_xlfn.XLOOKUP(B156,'Base stats'!B:B,'Base stats'!AP:AP)/1000)^(2/3)+_xlfn.XLOOKUP(B156,'Base stats'!B:B,'Base stats'!AX:AX))+_xlfn.XLOOKUP(B156,'Base stats'!B:B,'Base stats'!AV:AV)+0.5,0.5))</f>
        <v>No</v>
      </c>
      <c r="S156" s="7" t="str">
        <f>IF(R156="No","No",MAX(_xlfn.XLOOKUP(_xlfn.XLOOKUP(B156,'Base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T156" s="7" t="str">
        <f>IF(R156="No","No",_xlfn.XLOOKUP(_xlfn.XLOOKUP(B156,'Base stats'!B:B,'Base stats'!E:E),Groups!A:A,Groups!R:R))</f>
        <v>No</v>
      </c>
      <c r="U156" s="7" t="str">
        <f>IF(R156="No","No",_xlfn.XLOOKUP(_xlfn.XLOOKUP(B156,'Base stats'!B:B,'Base stats'!E:E),Groups!A:A,Groups!S:S))</f>
        <v>No</v>
      </c>
      <c r="V156" s="7" t="str">
        <f>IF(R156="No","No",_xlfn.XLOOKUP(_xlfn.XLOOKUP(B156,'Base stats'!B:B,'Base stats'!E:E),Groups!A:A,Groups!T:T))</f>
        <v>No</v>
      </c>
      <c r="W156" s="13" t="str">
        <f>IF(_xlfn.XLOOKUP(B156,'Base stats'!B:B,'Base stats'!W:W)="No","No",MROUND((LOG10(_xlfn.XLOOKUP(B156,'Base stats'!B:B,'Base stats'!AR:AR))*(AN156^0.5)+(_xlfn.XLOOKUP(B156,'Base stats'!B:B,'Base stats'!AR:AR)/1000)^(2/3)+_xlfn.XLOOKUP(B156,'Base stats'!B:B,'Base stats'!AW:AW))+0.5+IF(_xlfn.XLOOKUP(_xlfn.XLOOKUP(B156,'Base stats'!B:B,'Base stats'!E:E),Groups!A:A,Groups!U:U)&lt;&gt;3,_xlfn.XLOOKUP(B156,'Base stats'!B:B,'Base stats'!AX:AX),0),0.5))</f>
        <v>No</v>
      </c>
      <c r="X156" s="7" t="str">
        <f>IF(W156="No","No",MAX(_xlfn.XLOOKUP(_xlfn.XLOOKUP(B156,'Base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Y156" s="7" t="str">
        <f>IF(W156="No","No",_xlfn.XLOOKUP(_xlfn.XLOOKUP(B156,'Base stats'!B:B,'Base stats'!E:E),Groups!A:A,Groups!W:W))</f>
        <v>No</v>
      </c>
      <c r="Z156" s="7" t="str">
        <f>IF(W156="No","No",_xlfn.XLOOKUP(_xlfn.XLOOKUP(B156,'Base stats'!B:B,'Base stats'!E:E),Groups!A:A,Groups!X:X))</f>
        <v>No</v>
      </c>
      <c r="AA156" s="7" t="str">
        <f>IF(W156="No","No",_xlfn.XLOOKUP(_xlfn.XLOOKUP(B156,'Base stats'!B:B,'Base stats'!E:E),Groups!A:A,Groups!Y:Y))</f>
        <v>No</v>
      </c>
      <c r="AB156" s="7" t="str">
        <f>_xlfn.XLOOKUP(Animals!B156,'Base stats'!B:B,'Base stats'!X:X)</f>
        <v>False</v>
      </c>
      <c r="AC156" s="13">
        <f>IF(_xlfn.XLOOKUP(B156,'Base stats'!B:B,'Base stats'!AQ:AQ)="No","No",MROUND((LOG10(_xlfn.XLOOKUP(B156,'Base stats'!B:B,'Base stats'!AQ:AQ))*(AN156^0.75)+(_xlfn.XLOOKUP(B156,'Base stats'!B:B,'Base stats'!AQ:AQ)/1000)^(2/3)+_xlfn.XLOOKUP(B156,'Base stats'!B:B,'Base stats'!AU:AU)+_xlfn.XLOOKUP(B156,'Base stats'!B:B,'Base stats'!AX:AX))+0.5,0.5))</f>
        <v>3.5</v>
      </c>
      <c r="AD156" s="7">
        <f>IF(AC156="No","No",MAX(_xlfn.XLOOKUP(_xlfn.XLOOKUP(B156,'Base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E156" s="7" t="str">
        <f>IF(AC156="No","No",_xlfn.XLOOKUP(_xlfn.XLOOKUP(B156,'Base stats'!B:B,'Base stats'!E:E),Groups!A:A,Groups!AA:AA))</f>
        <v>Teeth</v>
      </c>
      <c r="AF156" s="7" t="str">
        <f>IF(AC156="No","No",_xlfn.XLOOKUP(_xlfn.XLOOKUP(B156,'Base stats'!B:B,'Base stats'!E:E),Groups!A:A,Groups!AB:AB))</f>
        <v>canines</v>
      </c>
      <c r="AG156" s="7" t="str">
        <f>IF(AC156="No","No",_xlfn.XLOOKUP(_xlfn.XLOOKUP(B156,'Base stats'!B:B,'Base stats'!E:E),Groups!A:A,Groups!AC:AC))</f>
        <v>Bite</v>
      </c>
      <c r="AH156" s="13">
        <f>IF(_xlfn.XLOOKUP(_xlfn.XLOOKUP(B156,'Base stats'!B:B,'Base stats'!E:E),Groups!A:A,Groups!AD:AD)=0,"No",MROUND((LOG10(_xlfn.XLOOKUP(B156,'Base stats'!B:B,'Base stats'!AP:AP))*(AN156^0.75)+(_xlfn.XLOOKUP(B156,'Base stats'!B:B,'Base stats'!AP:AP)/1000)^(2/3)+_xlfn.XLOOKUP(B156,'Base stats'!B:B,'Base stats'!AV:AV)+_xlfn.XLOOKUP(B156,'Base stats'!B:B,'Base stats'!AX:AX))+0.5,0.5))</f>
        <v>3</v>
      </c>
      <c r="AI156" s="7">
        <f>IF(AH156="No","No",MAX(_xlfn.XLOOKUP(_xlfn.XLOOKUP(B156,'Base stats'!B:B,'Base stats'!E:E),Groups!A:A,Groups!AE:AE),MROUND(_xlfn.XLOOKUP(_xlfn.XLOOKUP(B156,'Base stats'!B:B,'Base stats'!E:E),Groups!A:A,Groups!AE:AE)*_xlfn.XLOOKUP(B156,'Base stats'!B:B,'Base stats'!C:C)^0.165,0.05)))</f>
        <v>0.8</v>
      </c>
      <c r="AJ156" s="7" t="str">
        <f>IF(AH156="No","No",_xlfn.XLOOKUP(_xlfn.XLOOKUP(B156,'Base stats'!B:B,'Base stats'!E:E),Groups!A:A,Groups!AF:AF))</f>
        <v>FrontRightPaw, FrontRightPaw</v>
      </c>
      <c r="AK156" s="7" t="str">
        <f>IF(AH156="No","No",_xlfn.XLOOKUP(_xlfn.XLOOKUP(B156,'Base stats'!B:B,'Base stats'!E:E),Groups!A:A,Groups!AG:AG))</f>
        <v>left claw, right claw</v>
      </c>
      <c r="AL156" s="7" t="str">
        <f>IF(AH156="No","No",_xlfn.XLOOKUP(_xlfn.XLOOKUP(B156,'Base stats'!B:B,'Base stats'!E:E),Groups!A:A,Groups!AH:AH))</f>
        <v>Scratch</v>
      </c>
      <c r="AM156" s="2">
        <f t="shared" si="14"/>
        <v>15</v>
      </c>
      <c r="AN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O156" s="8">
        <f>MROUND(AN156*_xlfn.XLOOKUP(_xlfn.XLOOKUP(B156,'Base stats'!B:B,'Base stats'!E:E),Groups!A:A,Groups!AI:AI),0.05)</f>
        <v>0.30000000000000004</v>
      </c>
      <c r="AP156" s="8">
        <f>MAX(0.01,MROUND(IF(CA156="True",0.196*(AN156*100*1000)^0.889,IF(_xlfn.XLOOKUP(_xlfn.XLOOKUP(B156,'Base stats'!B:B,'Base stats'!E:E),Groups!A:A,Groups!AJ:AJ)="Bird",10.5*(AN156*100*1000)^0.681,4.82*(AN156*100*1000)^0.734))/(4.82*(1*100*1000)^0.734)/IF(AN156&lt;3.5,2,IF(AN156=3.5,1.5,1.25))*(1+0.132282374779864/(AN156^0.994035016789033+0.00905238001496948)),0.05))</f>
        <v>0.25</v>
      </c>
      <c r="AQ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R156" s="35">
        <f>IFERROR(IF(_xlfn.XLOOKUP(B156,'Base stats'!B:B,'Base stats'!F:F)="Lay eggs","Lay eggs",MIN(20,MAX(5.5,ROUND(((_xlfn.XLOOKUP(B156,'Base stats'!B:B,'Base stats'!F:F)-25)*(14.5/615) + 5.5)*2,0)/2))),"Cannot breed")</f>
        <v>6.5</v>
      </c>
      <c r="AS156" s="8">
        <f>IF(OR(A156="Queen",A156="Larva",A156="Megachicken"),"No",IFERROR(MAX(IF(_xlfn.XLOOKUP(B156,'Base stats'!B:B,'Base stats'!G:G)&lt;0.5,0.2,0.3),MROUND(_xlfn.XLOOKUP(B156,'Base stats'!B:B,'Base stats'!G:G)/(365/60),0.2)),"Unknown"))</f>
        <v>0.3</v>
      </c>
      <c r="AT156" s="8">
        <f t="shared" si="15"/>
        <v>0.15000000000000002</v>
      </c>
      <c r="AU156" s="8">
        <f>IFERROR(IFERROR(MROUND(_xlfn.XLOOKUP(B156,'Base stats'!B:B,'Base stats'!J:J),0.1),"Lay eggs"),"Cannot breed")</f>
        <v>4</v>
      </c>
      <c r="AV156" s="2" t="str">
        <f t="shared" si="16"/>
        <v>false</v>
      </c>
      <c r="AW156" s="2" t="str">
        <f>IF(_xlfn.XLOOKUP(_xlfn.XLOOKUP(Animals!B156,'Base stats'!B:B,'Base stats'!E:E),Groups!A:A,Groups!AK:AK)=1,"true","false")</f>
        <v>false</v>
      </c>
      <c r="AX156" s="25" t="str">
        <f>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</f>
        <v>CarnivoreAnimal, OvivoreAnimal</v>
      </c>
      <c r="AY156" s="2" t="str">
        <f>IF(_xlfn.XLOOKUP(_xlfn.XLOOKUP(B156,'Base stats'!B:B,'Base stats'!E:E),Groups!A:A,Groups!D:D)=1,MROUND((1-I156)*5+1,2)*IF(I156&lt;=0.4,2,1),"No")</f>
        <v>No</v>
      </c>
      <c r="AZ156" s="2" t="str">
        <f>_xlfn.XLOOKUP(B156,'Base stats'!B:B,'Base stats'!AE:AE)</f>
        <v>Leather_Light</v>
      </c>
      <c r="BA156" s="23" t="str">
        <f>_xlfn.XLOOKUP(_xlfn.XLOOKUP(B156,'Base stats'!B:B,'Base stats'!E:E),Groups!A:A,Groups!AL:AL)</f>
        <v>QuadrupedAnimalWithPawsAndTail</v>
      </c>
      <c r="BB156" s="23">
        <f>MROUND(IF(AND(AN156&lt;0.5,_xlfn.XLOOKUP(B156,'Base stats'!B:B,'Base stats'!Z:Z)=0),0,IF(OR(_xlfn.XLOOKUP(Animals!B156,'Base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stats'!AA:AA),0.005)</f>
        <v>0</v>
      </c>
      <c r="BC156" s="23">
        <f>MROUND(IF(AND(AN156&lt;0.5,_xlfn.XLOOKUP(B156,'Base stats'!B:B,'Base stats'!Z:Z)=0),0,IF(_xlfn.XLOOKUP(_xlfn.XLOOKUP(B156,'Base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stats'!AB:AB),0.005)</f>
        <v>0</v>
      </c>
      <c r="BD156" s="2">
        <f>IF(I156&gt;0.3,"No",_xlfn.XLOOKUP(_xlfn.XLOOKUP(Animals!B156,'Base stats'!B:B,'Base stats'!E:E),Groups!A:A,Groups!AP:AP))</f>
        <v>1</v>
      </c>
      <c r="BE156" s="2">
        <f>IF(AND(I156&lt;=0.65,_xlfn.XLOOKUP(_xlfn.XLOOKUP(Animals!B156,'Base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stats'!O:O)=2,0.2,AN156) + 24*(1-IF(BD156="No",0,BD156)) + 16/3, 12),"No")</f>
        <v>12</v>
      </c>
      <c r="BF156" s="2">
        <f>IF(AND(_xlfn.XLOOKUP(_xlfn.XLOOKUP(B156,'Base stats'!B:B,'Base stats'!E:E),Groups!A:A,Groups!AQ:AQ)=1,AN156&lt;=0.35),8,12)</f>
        <v>12</v>
      </c>
      <c r="BG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H156" s="2" t="str">
        <f>IF(AND(_xlfn.XLOOKUP(_xlfn.XLOOKUP(B156,'Base stats'!B:B,'Base stats'!E:E),Groups!A:A,Groups!AS:AS)=1,OR('Base stats'!Y156="Carnivore",'Base stats'!Y156="Omnivore")),"true","false")</f>
        <v>true</v>
      </c>
      <c r="BI156" s="2">
        <f>IF(BH156="true",MROUND(IF(AND(AN156&gt;0.5,_xlfn.XLOOKUP(_xlfn.XLOOKUP(B156,'Base stats'!B:B,'Base stats'!E:E),Groups!A:A,Groups!AJ:AJ)="Mammal"),Animals!AN156*1.75*IF(AV156="true",1.5,1),Animals!AN156),IF(AN156&gt;2,0.5,IF(AN156&gt;0.5,0.25,0.1))),"No")</f>
        <v>0.30000000000000004</v>
      </c>
      <c r="BJ156" s="2">
        <f t="shared" si="17"/>
        <v>1</v>
      </c>
      <c r="BK156" s="25" t="str">
        <f>IF('Base stats'!AK156="Standard","No",MROUND((_xlfn.XLOOKUP(B156,'Base stats'!B:B,'Base stats'!AK:AK)/3.6)/H156,0.1))</f>
        <v>No</v>
      </c>
      <c r="BL156" s="25" t="str">
        <f t="shared" si="18"/>
        <v>false</v>
      </c>
      <c r="BM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N156" s="25" t="str" cm="1">
        <f t="array" ref="BN156">IF(
  _xlfn.TEXTJOIN(", ",TRUE,
    IF(AND(BH156="true",AN156&gt;0.5,BG156&lt;&gt;"None"),"AttackTarget",""),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IF(BE156&lt;=36,"Comfort",""),
    IF(_xlfn.XLOOKUP(B156,'Base stats'!B:B,'Base stats'!AC:AC)&lt;&gt;"No",_xlfn.XLOOKUP(B156,'Base stats'!B:B,'Base stats'!AC:AC),"")
  ) = "",
  "No",
  _xlfn.TEXTJOIN(", ",TRUE,
    IF(AND(BH156="true",AN156&gt;0.5,BG156&lt;&gt;"None"),"AttackTarget",""),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IF(BE156&lt;=36,"Comfort",""),
    IF(_xlfn.XLOOKUP(B156,'Base stats'!B:B,'Base stats'!AC:AC)&lt;&gt;"No",_xlfn.XLOOKUP(B156,'Base stats'!B:B,'Base stats'!AC:AC),"")
  )
)</f>
        <v>Comfort</v>
      </c>
      <c r="BO156" s="25" t="str">
        <f>IF(
   AND(
      'Base stats'!AK156="Standard",_xlfn.XLOOKUP(_xlfn.XLOOKUP(B156,'Base stats'!B:B,'Base stats'!E:E),Groups!A:A,Groups!AU:AU)=0,
      OR(
      BM156="True"
      )
   ),
   10,
   IF(
       OR(BK156&lt;&gt;"No",_xlfn.XLOOKUP(_xlfn.XLOOKUP(B156,'Base stats'!B:B,'Base stats'!E:E),Groups!A:A,Groups!AU:AU)=1),
      1,
      "No"
   )
)</f>
        <v>No</v>
      </c>
      <c r="BP156" s="9">
        <f>MROUND((1 + ((0.2*IF(OR(P156="No",Q156="No",Q156=0),0,P156/Q156)
+IF(OR(U156="No",R156="No",S156="No"),0,R156/S156*(LEN(U156)-LEN(SUBSTITUTE(U156,",",""))+1))
+IF(OR(W156="No",X156="No"),0,W156/X156)
+IF(OR(AC156="No",AD156="No"),0,AC156/AD156)
+IF(OR(AK156="No",AH156="No",AI156="No"),0,AH156/AI156*(LEN(AK156)-LEN(SUBSTITUTE(AK156,",",""))+1))
)/(0.2*IF(OR(P156="No",Q156="No",Q156=0),0,1)
+IF(OR(U156="No",R156="No",S156="No"),0,LEN(U156)-LEN(SUBSTITUTE(U156,",",""))+1)
+IF(OR(W156="No",X156="No"),0,1)
+IF(OR(AC156="No",AD156="No"),0,1)
+IF(OR(AK156="No",AH156="No",AI156="No"),0,LEN(AK156)-LEN(SUBSTITUTE(AK156,",",""))+1))*62%)* 2)*(1 + (AO156 + _xlfn.XLOOKUP(B156,'Base stats'!B:B,'Base stats'!AS:AS) * 1.8) * 2) * 2.5 + 10 + H156 * 2,5)+IF(_xlfn.XLOOKUP(B156,'Base stats'!B:B,'Base stats'!AH:AH)=1,50,0)</f>
        <v>45</v>
      </c>
      <c r="BQ156" s="8">
        <f t="shared" si="19"/>
        <v>0.25</v>
      </c>
      <c r="BR156" s="8" t="str">
        <f>_xlfn.XLOOKUP(B156,'Base stats'!B:B,'Base stats'!AD:AD)</f>
        <v>No</v>
      </c>
      <c r="BS156" s="2" t="str">
        <f>IF(AND(I156&lt;=0.95,OR(_xlfn.XLOOKUP(B156,'Base stats'!B:B,'Base stats'!AH:AH)=1,_xlfn.XLOOKUP(B156,'Base stats'!B:B,'Base stats'!Y:Y)="Carnivore",_xlfn.XLOOKUP(B156,'Base stats'!B:B,'Base stats'!Y:Y)="Omnivore",BC156&gt;0.1)),"true","false")</f>
        <v>true</v>
      </c>
      <c r="BT156" s="2" t="str">
        <f>IF(_xlfn.XLOOKUP(B156,'Base stats'!B:B,'Base stats'!AF:AF)=1,"true","false")</f>
        <v>false</v>
      </c>
      <c r="BU156" s="25" t="str">
        <f>IF(E156="BaseInsect","AnimalInsect",
IF(I156&gt;0.95,"AnimalExotic",
_xlfn.TEXTJOIN(", ",TRUE,
IF(AND(_xlfn.XLOOKUP(B156,'Base stats'!B:B,'Base stats'!O:O)=0,_xlfn.XLOOKUP(_xlfn.XLOOKUP(B156,'Base stats'!B:B,'Base stats'!E:E),Groups!A:A,Groups!B:B)&gt;0),"AnimalUncommon","AnimalCommon"),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stats'!AH:AH)=1,AND(BG156&lt;&gt;"None",BP156&gt;=60),ISNUMBER(SEARCH("Attack target",BN156))),"AnimalFighter","")
)))</f>
        <v>AnimalCommon, AnimalPet</v>
      </c>
      <c r="BV156" s="25" t="str">
        <f>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</f>
        <v/>
      </c>
      <c r="BW156" s="25" t="str">
        <f>IF(_xlfn.XLOOKUP(B156,'Base stats'!B:B,'Base stats'!AG:AG)=1,"true","false")</f>
        <v>false</v>
      </c>
      <c r="BX156" s="25">
        <f>IF(_xlfn.XLOOKUP(B156,'Base stats'!B:B,'Base stats'!N:N)=1,"No",MIN(MROUND(IF(OR(_xlfn.XLOOKUP(B156,'Base stats'!B:B,'Base stats'!AJ:AJ)=1,AND(BH156="True",CA156="False")),POWER(10,3.47*LOG10(_xlfn.XLOOKUP(B156,'Base stats'!B:B,'Base stats'!C:C)*1000)^-0.96),POWER(10,4.15*LOG10(_xlfn.XLOOKUP(B156,'Base stats'!B:B,'Base stats'!C:C)*1000)^-0.73))*IF(OR(_xlfn.XLOOKUP(B156,'Base stats'!B:B,'Base stats'!AJ:AJ)=1,_xlfn.XLOOKUP(B156,'Base stats'!B:B,'Base stats'!AH:AH)=1),0.5,1)/100,0.025),1))</f>
        <v>0.1</v>
      </c>
      <c r="BY156" s="25" t="str">
        <f>IF(O156="Standard","No",IF(_xlfn.XLOOKUP(B156,'Base stats'!B:B,'Base stats'!N:N)=0,MROUND(BX156*O156,0.05),MIN(1,MAX(0.025,MROUND(IF(OR(CA156="true",AND(BH156="false",BM156="false")),POWER(10,4.15*LOG10(_xlfn.XLOOKUP(B156,'Base stats'!B:B,'Base stats'!C:C)*1000)^-0.73),POWER(10,3.47*LOG10(_xlfn.XLOOKUP(B156,'Base stats'!B:B,'Base stats'!C:C)*1000)^-0.96))*IF(_xlfn.XLOOKUP(B156,'Base stats'!B:B,'Base stats'!AH:AH)=1,0.5,1)/100,0.025)))))</f>
        <v>No</v>
      </c>
      <c r="BZ156" s="25" t="str">
        <f>IF(_xlfn.XLOOKUP(_xlfn.XLOOKUP(B156,'Base stats'!B:B,'Base stats'!E:E),Groups!A:A,Groups!AJ:AJ)="Mammal","True","False")</f>
        <v>True</v>
      </c>
      <c r="CA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B156" s="25" t="str">
        <f t="shared" si="20"/>
        <v>False</v>
      </c>
      <c r="CC156" s="25" t="str">
        <f>IF(_xlfn.XLOOKUP(_xlfn.XLOOKUP(B156,'Base stats'!B:B,'Base stats'!E:E),Groups!A:A,Groups!AW:AW),"True","False")</f>
        <v>False</v>
      </c>
      <c r="CD156" s="25" t="str">
        <f>IF(_xlfn.XLOOKUP(_xlfn.XLOOKUP(B156,'Base stats'!B:B,'Base stats'!E:E),Groups!A:A,Groups!AX:AX),"True","False")</f>
        <v>False</v>
      </c>
      <c r="CE156" s="25" t="str">
        <f>IF(_xlfn.XLOOKUP(B156,'Base stats'!B:B,'Base stats'!E:E)=1,"True","False")</f>
        <v>False</v>
      </c>
      <c r="CF156" s="25" t="str">
        <f>IF(
OR(
_xlfn.XLOOKUP(_xlfn.XLOOKUP(B156,'Base stats'!B:B,'Base stats'!E:E),Groups!A:A,Groups!AY:AY)=0,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stats'!E:E),Groups!A:A,Groups!AY:AY)=1,
"Flesh",
IF(
_xlfn.XLOOKUP(_xlfn.XLOOKUP(B156,'Base stats'!B:B,'Base stats'!E:E),Groups!A:A,Groups!AY:AY)=2,
"Bone",
""
)
)
)</f>
        <v>No</v>
      </c>
      <c r="CG156" s="25" t="str">
        <f>IF(_xlfn.XLOOKUP(_xlfn.XLOOKUP(B156,'Base stats'!B:B,'Base stats'!E:E),Groups!A:A,Groups!BA:BA),"True","False")</f>
        <v>True</v>
      </c>
      <c r="CH156" s="25" t="str">
        <f>IF(_xlfn.XLOOKUP(_xlfn.XLOOKUP(B156,'Base stats'!B:B,'Base stats'!E:E),Groups!A:A,Groups!AZ:AZ),"True","False")</f>
        <v>False</v>
      </c>
    </row>
    <row r="157" spans="1:86" ht="16.5" thickTop="1" thickBot="1" x14ac:dyDescent="0.3">
      <c r="A157" s="26" t="str">
        <f>_xlfn.XLOOKUP(B157,'Base stats'!B:B,'Base stats'!A:A)</f>
        <v>Siamese cat</v>
      </c>
      <c r="B157" s="6" t="s">
        <v>922</v>
      </c>
      <c r="C157" s="28" t="s">
        <v>850</v>
      </c>
      <c r="D157" s="28" t="s">
        <v>884</v>
      </c>
      <c r="E157" s="28" t="s">
        <v>685</v>
      </c>
      <c r="F157" s="28" t="s">
        <v>685</v>
      </c>
      <c r="G157" s="2">
        <f>MROUND((
  (IF(AND(_xlfn.XLOOKUP(B157,'Base stats'!B:B,'Base stats'!AI:AI)=0,BG157="None",_xlfn.XLOOKUP('Base stats'!E157,Groups!A:A,Groups!B:B)=0), (18 + BP157 * 2.7) * 0.5,
    IF(AND(_xlfn.XLOOKUP(B157,'Base stats'!B:B,'Base stats'!AI:AI)=0,OR(AN157&lt;0.55,AND(BG157="Intermediate",_xlfn.XLOOKUP('Base stats'!E157,Groups!A:A,Groups!B:B)&lt;2))), (18 + BP157 * 2.7),
      IF(OR(BG157="Advanced",_xlfn.XLOOKUP(B157,'Base stats'!B:B,'Base stats'!AI:AI)=1,_xlfn.XLOOKUP('Base stats'!E157,Groups!A:A,Groups!B:B)=2), (18 + BP157 * 2.7) + 250, (18 + BP157 * 2.7))
    )
  ))
  + AN157 * 80
  + IF(COUNTIF(EggMilk!K$2:K$998, A157) &gt; 0, 125, 0)
  + IF(COUNTIF(EggMilk!P$2:P$998, A157) &gt; 0, 90, 0)
  + IF(COUNTIF(EggMilk!A$2:A$998, A157) &gt; 0, 90, 0)
)
* (0.8 + 0.4 * I157)
* 0.75,25)</f>
        <v>100</v>
      </c>
      <c r="H157" s="2">
        <f>MROUND(ROUNDDOWN(_xlfn.XLOOKUP(B157,'Base stats'!B:B,'Base stats'!L:L)/3.6/(23.3/11),1),0.5)</f>
        <v>5.5</v>
      </c>
      <c r="I157" s="2">
        <f>IF(_xlfn.XLOOKUP(B157,'Base stats'!B:B,'Base stats'!AI:AI)=1,0.99,MIN(MROUND((1-0.6282*EXP(-0.459*AN157))*_xlfn.XLOOKUP(_xlfn.XLOOKUP(B157,'Base stats'!B:B,'Base stats'!E:E),Groups!A:A,Groups!C:C)*IF(_xlfn.XLOOKUP(B157,'Base stats'!B:B,'Base stats'!O:O)=1,0.5,IF(_xlfn.XLOOKUP(B157,'Base stats'!B:B,'Base stats'!O:O)=2,0,1)),0.05),0.985))</f>
        <v>0</v>
      </c>
      <c r="J157" s="2">
        <f>ROUNDUP(AN157*_xlfn.XLOOKUP(_xlfn.XLOOKUP(B157,'Base stats'!B:B,'Base stats'!E:E),Groups!A:A,Groups!E:E),0)</f>
        <v>1</v>
      </c>
      <c r="K157" s="2">
        <f>IF(OR(_xlfn.XLOOKUP(_xlfn.XLOOKUP(B157,'Base stats'!B:B,'Base stats'!E:E),Groups!A:A,Groups!F:F)=2,ISNUMBER(SEARCH("SeaIce",BV157)),ISNUMBER(SEARCH("IceSheet",BV157))),-50,IF(OR(ISNUMBER(SEARCH("GlacialPlain",BV157)),ISNUMBER(SEARCH("Tundra",BV157))),-40,IF(OR(ISNUMBER(SEARCH("Alpine",BV157)),ISNUMBER(SEARCH("BorealForest",BV157)),ISNUMBER(SEARCH("ColdBog",BV157))),-30,IF(OR(ISNUMBER(SEARCH("TemperateForest",BV157)),ISNUMBER(SEARCH("TemperateSwamp",BV157))),-20,IF(_xlfn.XLOOKUP(_xlfn.XLOOKUP(B157,'Base stats'!B:B,'Base stats'!E:E),Groups!A:A,Groups!F:F)=1,-15,IF(OR(ISNUMBER(SEARCH("Desert",BV157)),ISNUMBER(SEARCH("ExtremeDesert",BV157))),-10,IF(OR(ISNUMBER(SEARCH("Grasslands",BV157)),ISNUMBER(SEARCH("TropicalRainforest",BV157)),ISNUMBER(SEARCH("TropicalSwamp",BV157))),10,0)))))))-IF(CA157="False",MIN(IFERROR(MAX(MROUND(LOG10(_xlfn.XLOOKUP(B157,'Base stats'!B:B,'Base stats'!C:C)^(2/3))*10,5),5),5),30))-_xlfn.XLOOKUP(B157,'Base stats'!B:B,'Base stats'!P:P)+IF(CA157="True",5,0)</f>
        <v>-20</v>
      </c>
      <c r="L157" s="2">
        <f>IF(OR(_xlfn.XLOOKUP(_xlfn.XLOOKUP(B157,'Base stats'!B:B,'Base stats'!E:E),Groups!A:A,Groups!G:G)=2,ISNUMBER(SEARCH("Desert",BV157)),ISNUMBER(SEARCH("ExtremeDesert",BV157)),ISNUMBER(SEARCH("LavaField",BV157))),50,IF(ISNUMBER(SEARCH("Grasslands",BV157)),45,IF(OR(_xlfn.XLOOKUP(_xlfn.XLOOKUP(B157,'Base stats'!B:B,'Base stats'!E:E),Groups!A:A,Groups!G:G)=1,ISNUMBER(SEARCH("TropicalRainforest",BV157)),ISNUMBER(SEARCH("TropicalSwamp",BV157))),40,IF(OR(ISNUMBER(SEARCH("TemperateForest",BV157)),ISNUMBER(SEARCH("TemperateSwamp",BV157))),35,IF(OR(ISNUMBER(SEARCH("Alpine",BV157)),ISNUMBER(SEARCH("BorealForest",BV157)),ISNUMBER(SEARCH("ColdBog",BV157))),30,IF(ISNUMBER(OR(ISNUMBER(SEARCH("GlacialPlain",BV157)),SEARCH("Tundra",BV157))),25,IF(OR(ISNUMBER(SEARCH("SeaIce",BV157)),ISNUMBER(SEARCH("IceSheet",BV157)),ISNUMBER(SEARCH("TropicalSwamp",BV157))),10,35)))))))+_xlfn.XLOOKUP(B157,'Base stats'!B:B,'Base stats'!Q:Q)</f>
        <v>40</v>
      </c>
      <c r="M157" s="8" t="str">
        <f>IF(_xlfn.XLOOKUP(_xlfn.XLOOKUP(B157,'Base stats'!B:B,'Base stats'!E:E),Groups!A:A,Groups!L:L)=1,MIN(MROUND(_xlfn.XLOOKUP(B157,'Animals CE'!B:B,'Animals CE'!Z:Z)/2+0.05,0.05),200%),"No")</f>
        <v>No</v>
      </c>
      <c r="N157" s="8" t="str">
        <f>IF(_xlfn.XLOOKUP(_xlfn.XLOOKUP(B157,'Base stats'!B:B,'Base stats'!E:E),Groups!A:A,Groups!L:L)=1,MIN(MROUND(_xlfn.XLOOKUP(B157,'Animals CE'!B:B,'Animals CE'!AA:AA)/2+0.05,0.05),200%),"No")</f>
        <v>No</v>
      </c>
      <c r="O157" s="2" t="str">
        <f>_xlfn.XLOOKUP(B157,'Base stats'!B:B,'Base stats'!R:R)</f>
        <v>Standard</v>
      </c>
      <c r="P157" s="13">
        <f>MROUND((LOG10(_xlfn.XLOOKUP(B157,'Base stats'!B:B,'Base stats'!AO:AO))*(AN157^0.5)+(_xlfn.XLOOKUP(B157,'Base stats'!B:B,'Base stats'!AO:AO)/1000)^(2/3)+_xlfn.XLOOKUP(B157,'Base stats'!B:B,'Base stats'!AX:AX)/2)+0.5,0.5)</f>
        <v>2.5</v>
      </c>
      <c r="Q157" s="7">
        <f>IF(P157="No","No",MAX(1,MROUND(_xlfn.XLOOKUP(B157,'Base stats'!B:B,'Base stats'!C:C)^0.165,0.05)))</f>
        <v>1.3</v>
      </c>
      <c r="R157" s="13" t="str">
        <f>IF(_xlfn.XLOOKUP(_xlfn.XLOOKUP(B157,'Base stats'!B:B,'Base stats'!E:E),Groups!A:A,Groups!P:P)=0,"No",MROUND((LOG10(_xlfn.XLOOKUP(B157,'Base stats'!B:B,'Base stats'!AP:AP))*(AN157^0.5)+(_xlfn.XLOOKUP(B157,'Base stats'!B:B,'Base stats'!AP:AP)/1000)^(2/3)+_xlfn.XLOOKUP(B157,'Base stats'!B:B,'Base stats'!AX:AX))+_xlfn.XLOOKUP(B157,'Base stats'!B:B,'Base stats'!AV:AV)+0.5,0.5))</f>
        <v>No</v>
      </c>
      <c r="S157" s="7" t="str">
        <f>IF(R157="No","No",MAX(_xlfn.XLOOKUP(_xlfn.XLOOKUP(B157,'Base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T157" s="7" t="str">
        <f>IF(R157="No","No",_xlfn.XLOOKUP(_xlfn.XLOOKUP(B157,'Base stats'!B:B,'Base stats'!E:E),Groups!A:A,Groups!R:R))</f>
        <v>No</v>
      </c>
      <c r="U157" s="7" t="str">
        <f>IF(R157="No","No",_xlfn.XLOOKUP(_xlfn.XLOOKUP(B157,'Base stats'!B:B,'Base stats'!E:E),Groups!A:A,Groups!S:S))</f>
        <v>No</v>
      </c>
      <c r="V157" s="7" t="str">
        <f>IF(R157="No","No",_xlfn.XLOOKUP(_xlfn.XLOOKUP(B157,'Base stats'!B:B,'Base stats'!E:E),Groups!A:A,Groups!T:T))</f>
        <v>No</v>
      </c>
      <c r="W157" s="13" t="str">
        <f>IF(_xlfn.XLOOKUP(B157,'Base stats'!B:B,'Base stats'!W:W)="No","No",MROUND((LOG10(_xlfn.XLOOKUP(B157,'Base stats'!B:B,'Base stats'!AR:AR))*(AN157^0.5)+(_xlfn.XLOOKUP(B157,'Base stats'!B:B,'Base stats'!AR:AR)/1000)^(2/3)+_xlfn.XLOOKUP(B157,'Base stats'!B:B,'Base stats'!AW:AW))+0.5+IF(_xlfn.XLOOKUP(_xlfn.XLOOKUP(B157,'Base stats'!B:B,'Base stats'!E:E),Groups!A:A,Groups!U:U)&lt;&gt;3,_xlfn.XLOOKUP(B157,'Base stats'!B:B,'Base stats'!AX:AX),0),0.5))</f>
        <v>No</v>
      </c>
      <c r="X157" s="7" t="str">
        <f>IF(W157="No","No",MAX(_xlfn.XLOOKUP(_xlfn.XLOOKUP(B157,'Base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Y157" s="7" t="str">
        <f>IF(W157="No","No",_xlfn.XLOOKUP(_xlfn.XLOOKUP(B157,'Base stats'!B:B,'Base stats'!E:E),Groups!A:A,Groups!W:W))</f>
        <v>No</v>
      </c>
      <c r="Z157" s="7" t="str">
        <f>IF(W157="No","No",_xlfn.XLOOKUP(_xlfn.XLOOKUP(B157,'Base stats'!B:B,'Base stats'!E:E),Groups!A:A,Groups!X:X))</f>
        <v>No</v>
      </c>
      <c r="AA157" s="7" t="str">
        <f>IF(W157="No","No",_xlfn.XLOOKUP(_xlfn.XLOOKUP(B157,'Base stats'!B:B,'Base stats'!E:E),Groups!A:A,Groups!Y:Y))</f>
        <v>No</v>
      </c>
      <c r="AB157" s="7" t="str">
        <f>_xlfn.XLOOKUP(Animals!B157,'Base stats'!B:B,'Base stats'!X:X)</f>
        <v>False</v>
      </c>
      <c r="AC157" s="13">
        <f>IF(_xlfn.XLOOKUP(B157,'Base stats'!B:B,'Base stats'!AQ:AQ)="No","No",MROUND((LOG10(_xlfn.XLOOKUP(B157,'Base stats'!B:B,'Base stats'!AQ:AQ))*(AN157^0.75)+(_xlfn.XLOOKUP(B157,'Base stats'!B:B,'Base stats'!AQ:AQ)/1000)^(2/3)+_xlfn.XLOOKUP(B157,'Base stats'!B:B,'Base stats'!AU:AU)+_xlfn.XLOOKUP(B157,'Base stats'!B:B,'Base stats'!AX:AX))+0.5,0.5))</f>
        <v>4</v>
      </c>
      <c r="AD157" s="7">
        <f>IF(AC157="No","No",MAX(_xlfn.XLOOKUP(_xlfn.XLOOKUP(B157,'Base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E157" s="7" t="str">
        <f>IF(AC157="No","No",_xlfn.XLOOKUP(_xlfn.XLOOKUP(B157,'Base stats'!B:B,'Base stats'!E:E),Groups!A:A,Groups!AA:AA))</f>
        <v>Teeth</v>
      </c>
      <c r="AF157" s="7" t="str">
        <f>IF(AC157="No","No",_xlfn.XLOOKUP(_xlfn.XLOOKUP(B157,'Base stats'!B:B,'Base stats'!E:E),Groups!A:A,Groups!AB:AB))</f>
        <v>canines</v>
      </c>
      <c r="AG157" s="7" t="str">
        <f>IF(AC157="No","No",_xlfn.XLOOKUP(_xlfn.XLOOKUP(B157,'Base stats'!B:B,'Base stats'!E:E),Groups!A:A,Groups!AC:AC))</f>
        <v>Bite</v>
      </c>
      <c r="AH157" s="13">
        <f>IF(_xlfn.XLOOKUP(_xlfn.XLOOKUP(B157,'Base stats'!B:B,'Base stats'!E:E),Groups!A:A,Groups!AD:AD)=0,"No",MROUND((LOG10(_xlfn.XLOOKUP(B157,'Base stats'!B:B,'Base stats'!AP:AP))*(AN157^0.75)+(_xlfn.XLOOKUP(B157,'Base stats'!B:B,'Base stats'!AP:AP)/1000)^(2/3)+_xlfn.XLOOKUP(B157,'Base stats'!B:B,'Base stats'!AV:AV)+_xlfn.XLOOKUP(B157,'Base stats'!B:B,'Base stats'!AX:AX))+0.5,0.5))</f>
        <v>3.5</v>
      </c>
      <c r="AI157" s="7">
        <f>IF(AH157="No","No",MAX(_xlfn.XLOOKUP(_xlfn.XLOOKUP(B157,'Base stats'!B:B,'Base stats'!E:E),Groups!A:A,Groups!AE:AE),MROUND(_xlfn.XLOOKUP(_xlfn.XLOOKUP(B157,'Base stats'!B:B,'Base stats'!E:E),Groups!A:A,Groups!AE:AE)*_xlfn.XLOOKUP(B157,'Base stats'!B:B,'Base stats'!C:C)^0.165,0.05)))</f>
        <v>0.85000000000000009</v>
      </c>
      <c r="AJ157" s="7" t="str">
        <f>IF(AH157="No","No",_xlfn.XLOOKUP(_xlfn.XLOOKUP(B157,'Base stats'!B:B,'Base stats'!E:E),Groups!A:A,Groups!AF:AF))</f>
        <v>FrontRightPaw, FrontRightPaw</v>
      </c>
      <c r="AK157" s="7" t="str">
        <f>IF(AH157="No","No",_xlfn.XLOOKUP(_xlfn.XLOOKUP(B157,'Base stats'!B:B,'Base stats'!E:E),Groups!A:A,Groups!AG:AG))</f>
        <v>left claw, right claw</v>
      </c>
      <c r="AL157" s="7" t="str">
        <f>IF(AH157="No","No",_xlfn.XLOOKUP(_xlfn.XLOOKUP(B157,'Base stats'!B:B,'Base stats'!E:E),Groups!A:A,Groups!AH:AH))</f>
        <v>Scratch</v>
      </c>
      <c r="AM157" s="2">
        <f t="shared" si="14"/>
        <v>15</v>
      </c>
      <c r="AN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O157" s="8">
        <f>MROUND(AN157*_xlfn.XLOOKUP(_xlfn.XLOOKUP(B157,'Base stats'!B:B,'Base stats'!E:E),Groups!A:A,Groups!AI:AI),0.05)</f>
        <v>0.35000000000000003</v>
      </c>
      <c r="AP157" s="8">
        <f>MAX(0.01,MROUND(IF(CA157="True",0.196*(AN157*100*1000)^0.889,IF(_xlfn.XLOOKUP(_xlfn.XLOOKUP(B157,'Base stats'!B:B,'Base stats'!E:E),Groups!A:A,Groups!AJ:AJ)="Bird",10.5*(AN157*100*1000)^0.681,4.82*(AN157*100*1000)^0.734))/(4.82*(1*100*1000)^0.734)/IF(AN157&lt;3.5,2,IF(AN157=3.5,1.5,1.25))*(1+0.132282374779864/(AN157^0.994035016789033+0.00905238001496948)),0.05))</f>
        <v>0.30000000000000004</v>
      </c>
      <c r="AQ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R157" s="35">
        <f>IFERROR(IF(_xlfn.XLOOKUP(B157,'Base stats'!B:B,'Base stats'!F:F)="Lay eggs","Lay eggs",MIN(20,MAX(5.5,ROUND(((_xlfn.XLOOKUP(B157,'Base stats'!B:B,'Base stats'!F:F)-25)*(14.5/615) + 5.5)*2,0)/2))),"Cannot breed")</f>
        <v>6.5</v>
      </c>
      <c r="AS157" s="8">
        <f>IF(OR(A157="Queen",A157="Larva",A157="Megachicken"),"No",IFERROR(MAX(IF(_xlfn.XLOOKUP(B157,'Base stats'!B:B,'Base stats'!G:G)&lt;0.5,0.2,0.3),MROUND(_xlfn.XLOOKUP(B157,'Base stats'!B:B,'Base stats'!G:G)/(365/60),0.2)),"Unknown"))</f>
        <v>0.3</v>
      </c>
      <c r="AT157" s="8">
        <f t="shared" si="15"/>
        <v>0.15000000000000002</v>
      </c>
      <c r="AU157" s="8">
        <f>IFERROR(IFERROR(MROUND(_xlfn.XLOOKUP(B157,'Base stats'!B:B,'Base stats'!J:J),0.1),"Lay eggs"),"Cannot breed")</f>
        <v>4</v>
      </c>
      <c r="AV157" s="2" t="str">
        <f t="shared" si="16"/>
        <v>false</v>
      </c>
      <c r="AW157" s="2" t="str">
        <f>IF(_xlfn.XLOOKUP(_xlfn.XLOOKUP(Animals!B157,'Base stats'!B:B,'Base stats'!E:E),Groups!A:A,Groups!AK:AK)=1,"true","false")</f>
        <v>false</v>
      </c>
      <c r="AX157" s="25" t="str">
        <f>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</f>
        <v>CarnivoreAnimal, OvivoreAnimal</v>
      </c>
      <c r="AY157" s="2" t="str">
        <f>IF(_xlfn.XLOOKUP(_xlfn.XLOOKUP(B157,'Base stats'!B:B,'Base stats'!E:E),Groups!A:A,Groups!D:D)=1,MROUND((1-I157)*5+1,2)*IF(I157&lt;=0.4,2,1),"No")</f>
        <v>No</v>
      </c>
      <c r="AZ157" s="2" t="str">
        <f>_xlfn.XLOOKUP(B157,'Base stats'!B:B,'Base stats'!AE:AE)</f>
        <v>Leather_Light</v>
      </c>
      <c r="BA157" s="23" t="str">
        <f>_xlfn.XLOOKUP(_xlfn.XLOOKUP(B157,'Base stats'!B:B,'Base stats'!E:E),Groups!A:A,Groups!AL:AL)</f>
        <v>QuadrupedAnimalWithPawsAndTail</v>
      </c>
      <c r="BB157" s="23">
        <f>MROUND(IF(AND(AN157&lt;0.5,_xlfn.XLOOKUP(B157,'Base stats'!B:B,'Base stats'!Z:Z)=0),0,IF(OR(_xlfn.XLOOKUP(Animals!B157,'Base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stats'!AA:AA),0.005)</f>
        <v>0</v>
      </c>
      <c r="BC157" s="23">
        <f>MROUND(IF(AND(AN157&lt;0.5,_xlfn.XLOOKUP(B157,'Base stats'!B:B,'Base stats'!Z:Z)=0),0,IF(_xlfn.XLOOKUP(_xlfn.XLOOKUP(B157,'Base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stats'!AB:AB),0.005)</f>
        <v>0</v>
      </c>
      <c r="BD157" s="2">
        <f>IF(I157&gt;0.3,"No",_xlfn.XLOOKUP(_xlfn.XLOOKUP(Animals!B157,'Base stats'!B:B,'Base stats'!E:E),Groups!A:A,Groups!AP:AP))</f>
        <v>1</v>
      </c>
      <c r="BE157" s="2">
        <f>IF(AND(I157&lt;=0.65,_xlfn.XLOOKUP(_xlfn.XLOOKUP(Animals!B157,'Base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stats'!O:O)=2,0.2,AN157) + 24*(1-IF(BD157="No",0,BD157)) + 16/3, 12),"No")</f>
        <v>12</v>
      </c>
      <c r="BF157" s="2">
        <f>IF(AND(_xlfn.XLOOKUP(_xlfn.XLOOKUP(B157,'Base stats'!B:B,'Base stats'!E:E),Groups!A:A,Groups!AQ:AQ)=1,AN157&lt;=0.35),8,12)</f>
        <v>12</v>
      </c>
      <c r="BG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H157" s="2" t="str">
        <f>IF(AND(_xlfn.XLOOKUP(_xlfn.XLOOKUP(B157,'Base stats'!B:B,'Base stats'!E:E),Groups!A:A,Groups!AS:AS)=1,OR('Base stats'!Y157="Carnivore",'Base stats'!Y157="Omnivore")),"true","false")</f>
        <v>true</v>
      </c>
      <c r="BI157" s="2">
        <f>IF(BH157="true",MROUND(IF(AND(AN157&gt;0.5,_xlfn.XLOOKUP(_xlfn.XLOOKUP(B157,'Base stats'!B:B,'Base stats'!E:E),Groups!A:A,Groups!AJ:AJ)="Mammal"),Animals!AN157*1.75*IF(AV157="true",1.5,1),Animals!AN157),IF(AN157&gt;2,0.5,IF(AN157&gt;0.5,0.25,0.1))),"No")</f>
        <v>0.30000000000000004</v>
      </c>
      <c r="BJ157" s="2">
        <f t="shared" si="17"/>
        <v>1</v>
      </c>
      <c r="BK157" s="25" t="str">
        <f>IF('Base stats'!AK157="Standard","No",MROUND((_xlfn.XLOOKUP(B157,'Base stats'!B:B,'Base stats'!AK:AK)/3.6)/H157,0.1))</f>
        <v>No</v>
      </c>
      <c r="BL157" s="25" t="str">
        <f t="shared" si="18"/>
        <v>false</v>
      </c>
      <c r="BM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N157" s="25" t="str" cm="1">
        <f t="array" ref="BN157">IF(
  _xlfn.TEXTJOIN(", ",TRUE,
    IF(AND(BH157="true",AN157&gt;0.5,BG157&lt;&gt;"None"),"AttackTarget",""),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IF(BE157&lt;=36,"Comfort",""),
    IF(_xlfn.XLOOKUP(B157,'Base stats'!B:B,'Base stats'!AC:AC)&lt;&gt;"No",_xlfn.XLOOKUP(B157,'Base stats'!B:B,'Base stats'!AC:AC),"")
  ) = "",
  "No",
  _xlfn.TEXTJOIN(", ",TRUE,
    IF(AND(BH157="true",AN157&gt;0.5,BG157&lt;&gt;"None"),"AttackTarget",""),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IF(BE157&lt;=36,"Comfort",""),
    IF(_xlfn.XLOOKUP(B157,'Base stats'!B:B,'Base stats'!AC:AC)&lt;&gt;"No",_xlfn.XLOOKUP(B157,'Base stats'!B:B,'Base stats'!AC:AC),"")
  )
)</f>
        <v>Comfort</v>
      </c>
      <c r="BO157" s="25" t="str">
        <f>IF(
   AND(
      'Base stats'!AK157="Standard",_xlfn.XLOOKUP(_xlfn.XLOOKUP(B157,'Base stats'!B:B,'Base stats'!E:E),Groups!A:A,Groups!AU:AU)=0,
      OR(
      BM157="True"
      )
   ),
   10,
   IF(
       OR(BK157&lt;&gt;"No",_xlfn.XLOOKUP(_xlfn.XLOOKUP(B157,'Base stats'!B:B,'Base stats'!E:E),Groups!A:A,Groups!AU:AU)=1),
      1,
      "No"
   )
)</f>
        <v>No</v>
      </c>
      <c r="BP157" s="9">
        <f>MROUND((1 + ((0.2*IF(OR(P157="No",Q157="No",Q157=0),0,P157/Q157)
+IF(OR(U157="No",R157="No",S157="No"),0,R157/S157*(LEN(U157)-LEN(SUBSTITUTE(U157,",",""))+1))
+IF(OR(W157="No",X157="No"),0,W157/X157)
+IF(OR(AC157="No",AD157="No"),0,AC157/AD157)
+IF(OR(AK157="No",AH157="No",AI157="No"),0,AH157/AI157*(LEN(AK157)-LEN(SUBSTITUTE(AK157,",",""))+1))
)/(0.2*IF(OR(P157="No",Q157="No",Q157=0),0,1)
+IF(OR(U157="No",R157="No",S157="No"),0,LEN(U157)-LEN(SUBSTITUTE(U157,",",""))+1)
+IF(OR(W157="No",X157="No"),0,1)
+IF(OR(AC157="No",AD157="No"),0,1)
+IF(OR(AK157="No",AH157="No",AI157="No"),0,LEN(AK157)-LEN(SUBSTITUTE(AK157,",",""))+1))*62%)* 2)*(1 + (AO157 + _xlfn.XLOOKUP(B157,'Base stats'!B:B,'Base stats'!AS:AS) * 1.8) * 2) * 2.5 + 10 + H157 * 2,5)+IF(_xlfn.XLOOKUP(B157,'Base stats'!B:B,'Base stats'!AH:AH)=1,50,0)</f>
        <v>45</v>
      </c>
      <c r="BQ157" s="8">
        <f t="shared" si="19"/>
        <v>0.30000000000000004</v>
      </c>
      <c r="BR157" s="8" t="str">
        <f>_xlfn.XLOOKUP(B157,'Base stats'!B:B,'Base stats'!AD:AD)</f>
        <v>No</v>
      </c>
      <c r="BS157" s="2" t="str">
        <f>IF(AND(I157&lt;=0.95,OR(_xlfn.XLOOKUP(B157,'Base stats'!B:B,'Base stats'!AH:AH)=1,_xlfn.XLOOKUP(B157,'Base stats'!B:B,'Base stats'!Y:Y)="Carnivore",_xlfn.XLOOKUP(B157,'Base stats'!B:B,'Base stats'!Y:Y)="Omnivore",BC157&gt;0.1)),"true","false")</f>
        <v>true</v>
      </c>
      <c r="BT157" s="2" t="str">
        <f>IF(_xlfn.XLOOKUP(B157,'Base stats'!B:B,'Base stats'!AF:AF)=1,"true","false")</f>
        <v>false</v>
      </c>
      <c r="BU157" s="25" t="str">
        <f>IF(E157="BaseInsect","AnimalInsect",
IF(I157&gt;0.95,"AnimalExotic",
_xlfn.TEXTJOIN(", ",TRUE,
IF(AND(_xlfn.XLOOKUP(B157,'Base stats'!B:B,'Base stats'!O:O)=0,_xlfn.XLOOKUP(_xlfn.XLOOKUP(B157,'Base stats'!B:B,'Base stats'!E:E),Groups!A:A,Groups!B:B)&gt;0),"AnimalUncommon","AnimalCommon"),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stats'!AH:AH)=1,AND(BG157&lt;&gt;"None",BP157&gt;=60),ISNUMBER(SEARCH("Attack target",BN157))),"AnimalFighter","")
)))</f>
        <v>AnimalCommon, AnimalPet</v>
      </c>
      <c r="BV157" s="25" t="str">
        <f>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</f>
        <v/>
      </c>
      <c r="BW157" s="25" t="str">
        <f>IF(_xlfn.XLOOKUP(B157,'Base stats'!B:B,'Base stats'!AG:AG)=1,"true","false")</f>
        <v>false</v>
      </c>
      <c r="BX157" s="25">
        <f>IF(_xlfn.XLOOKUP(B157,'Base stats'!B:B,'Base stats'!N:N)=1,"No",MIN(MROUND(IF(OR(_xlfn.XLOOKUP(B157,'Base stats'!B:B,'Base stats'!AJ:AJ)=1,AND(BH157="True",CA157="False")),POWER(10,3.47*LOG10(_xlfn.XLOOKUP(B157,'Base stats'!B:B,'Base stats'!C:C)*1000)^-0.96),POWER(10,4.15*LOG10(_xlfn.XLOOKUP(B157,'Base stats'!B:B,'Base stats'!C:C)*1000)^-0.73))*IF(OR(_xlfn.XLOOKUP(B157,'Base stats'!B:B,'Base stats'!AJ:AJ)=1,_xlfn.XLOOKUP(B157,'Base stats'!B:B,'Base stats'!AH:AH)=1),0.5,1)/100,0.025),1))</f>
        <v>0.1</v>
      </c>
      <c r="BY157" s="25" t="str">
        <f>IF(O157="Standard","No",IF(_xlfn.XLOOKUP(B157,'Base stats'!B:B,'Base stats'!N:N)=0,MROUND(BX157*O157,0.05),MIN(1,MAX(0.025,MROUND(IF(OR(CA157="true",AND(BH157="false",BM157="false")),POWER(10,4.15*LOG10(_xlfn.XLOOKUP(B157,'Base stats'!B:B,'Base stats'!C:C)*1000)^-0.73),POWER(10,3.47*LOG10(_xlfn.XLOOKUP(B157,'Base stats'!B:B,'Base stats'!C:C)*1000)^-0.96))*IF(_xlfn.XLOOKUP(B157,'Base stats'!B:B,'Base stats'!AH:AH)=1,0.5,1)/100,0.025)))))</f>
        <v>No</v>
      </c>
      <c r="BZ157" s="25" t="str">
        <f>IF(_xlfn.XLOOKUP(_xlfn.XLOOKUP(B157,'Base stats'!B:B,'Base stats'!E:E),Groups!A:A,Groups!AJ:AJ)="Mammal","True","False")</f>
        <v>True</v>
      </c>
      <c r="CA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B157" s="25" t="str">
        <f t="shared" si="20"/>
        <v>False</v>
      </c>
      <c r="CC157" s="25" t="str">
        <f>IF(_xlfn.XLOOKUP(_xlfn.XLOOKUP(B157,'Base stats'!B:B,'Base stats'!E:E),Groups!A:A,Groups!AW:AW),"True","False")</f>
        <v>False</v>
      </c>
      <c r="CD157" s="25" t="str">
        <f>IF(_xlfn.XLOOKUP(_xlfn.XLOOKUP(B157,'Base stats'!B:B,'Base stats'!E:E),Groups!A:A,Groups!AX:AX),"True","False")</f>
        <v>False</v>
      </c>
      <c r="CE157" s="25" t="str">
        <f>IF(_xlfn.XLOOKUP(B157,'Base stats'!B:B,'Base stats'!E:E)=1,"True","False")</f>
        <v>False</v>
      </c>
      <c r="CF157" s="25" t="str">
        <f>IF(
OR(
_xlfn.XLOOKUP(_xlfn.XLOOKUP(B157,'Base stats'!B:B,'Base stats'!E:E),Groups!A:A,Groups!AY:AY)=0,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stats'!E:E),Groups!A:A,Groups!AY:AY)=1,
"Flesh",
IF(
_xlfn.XLOOKUP(_xlfn.XLOOKUP(B157,'Base stats'!B:B,'Base stats'!E:E),Groups!A:A,Groups!AY:AY)=2,
"Bone",
""
)
)
)</f>
        <v>No</v>
      </c>
      <c r="CG157" s="25" t="str">
        <f>IF(_xlfn.XLOOKUP(_xlfn.XLOOKUP(B157,'Base stats'!B:B,'Base stats'!E:E),Groups!A:A,Groups!BA:BA),"True","False")</f>
        <v>True</v>
      </c>
      <c r="CH157" s="25" t="str">
        <f>IF(_xlfn.XLOOKUP(_xlfn.XLOOKUP(B157,'Base stats'!B:B,'Base stats'!E:E),Groups!A:A,Groups!AZ:AZ),"True","False")</f>
        <v>False</v>
      </c>
    </row>
    <row r="158" spans="1:86" ht="16.5" thickTop="1" thickBot="1" x14ac:dyDescent="0.3">
      <c r="A158" s="26" t="str">
        <f>_xlfn.XLOOKUP(B158,'Base stats'!B:B,'Base stats'!A:A)</f>
        <v>Somali cat</v>
      </c>
      <c r="B158" s="6" t="s">
        <v>923</v>
      </c>
      <c r="C158" s="28" t="s">
        <v>851</v>
      </c>
      <c r="D158" s="28" t="s">
        <v>884</v>
      </c>
      <c r="E158" s="28" t="s">
        <v>685</v>
      </c>
      <c r="F158" s="28" t="s">
        <v>685</v>
      </c>
      <c r="G158" s="2">
        <f>MROUND((
  (IF(AND(_xlfn.XLOOKUP(B158,'Base stats'!B:B,'Base stats'!AI:AI)=0,BG158="None",_xlfn.XLOOKUP('Base stats'!E158,Groups!A:A,Groups!B:B)=0), (18 + BP158 * 2.7) * 0.5,
    IF(AND(_xlfn.XLOOKUP(B158,'Base stats'!B:B,'Base stats'!AI:AI)=0,OR(AN158&lt;0.55,AND(BG158="Intermediate",_xlfn.XLOOKUP('Base stats'!E158,Groups!A:A,Groups!B:B)&lt;2))), (18 + BP158 * 2.7),
      IF(OR(BG158="Advanced",_xlfn.XLOOKUP(B158,'Base stats'!B:B,'Base stats'!AI:AI)=1,_xlfn.XLOOKUP('Base stats'!E158,Groups!A:A,Groups!B:B)=2), (18 + BP158 * 2.7) + 250, (18 + BP158 * 2.7))
    )
  ))
  + AN158 * 80
  + IF(COUNTIF(EggMilk!K$2:K$998, A158) &gt; 0, 125, 0)
  + IF(COUNTIF(EggMilk!P$2:P$998, A158) &gt; 0, 90, 0)
  + IF(COUNTIF(EggMilk!A$2:A$998, A158) &gt; 0, 90, 0)
)
* (0.8 + 0.4 * I158)
* 0.75,25)</f>
        <v>100</v>
      </c>
      <c r="H158" s="2">
        <f>MROUND(ROUNDDOWN(_xlfn.XLOOKUP(B158,'Base stats'!B:B,'Base stats'!L:L)/3.6/(23.3/11),1),0.5)</f>
        <v>5.5</v>
      </c>
      <c r="I158" s="2">
        <f>IF(_xlfn.XLOOKUP(B158,'Base stats'!B:B,'Base stats'!AI:AI)=1,0.99,MIN(MROUND((1-0.6282*EXP(-0.459*AN158))*_xlfn.XLOOKUP(_xlfn.XLOOKUP(B158,'Base stats'!B:B,'Base stats'!E:E),Groups!A:A,Groups!C:C)*IF(_xlfn.XLOOKUP(B158,'Base stats'!B:B,'Base stats'!O:O)=1,0.5,IF(_xlfn.XLOOKUP(B158,'Base stats'!B:B,'Base stats'!O:O)=2,0,1)),0.05),0.985))</f>
        <v>0</v>
      </c>
      <c r="J158" s="2">
        <f>ROUNDUP(AN158*_xlfn.XLOOKUP(_xlfn.XLOOKUP(B158,'Base stats'!B:B,'Base stats'!E:E),Groups!A:A,Groups!E:E),0)</f>
        <v>1</v>
      </c>
      <c r="K158" s="2">
        <f>IF(OR(_xlfn.XLOOKUP(_xlfn.XLOOKUP(B158,'Base stats'!B:B,'Base stats'!E:E),Groups!A:A,Groups!F:F)=2,ISNUMBER(SEARCH("SeaIce",BV158)),ISNUMBER(SEARCH("IceSheet",BV158))),-50,IF(OR(ISNUMBER(SEARCH("GlacialPlain",BV158)),ISNUMBER(SEARCH("Tundra",BV158))),-40,IF(OR(ISNUMBER(SEARCH("Alpine",BV158)),ISNUMBER(SEARCH("BorealForest",BV158)),ISNUMBER(SEARCH("ColdBog",BV158))),-30,IF(OR(ISNUMBER(SEARCH("TemperateForest",BV158)),ISNUMBER(SEARCH("TemperateSwamp",BV158))),-20,IF(_xlfn.XLOOKUP(_xlfn.XLOOKUP(B158,'Base stats'!B:B,'Base stats'!E:E),Groups!A:A,Groups!F:F)=1,-15,IF(OR(ISNUMBER(SEARCH("Desert",BV158)),ISNUMBER(SEARCH("ExtremeDesert",BV158))),-10,IF(OR(ISNUMBER(SEARCH("Grasslands",BV158)),ISNUMBER(SEARCH("TropicalRainforest",BV158)),ISNUMBER(SEARCH("TropicalSwamp",BV158))),10,0)))))))-IF(CA158="False",MIN(IFERROR(MAX(MROUND(LOG10(_xlfn.XLOOKUP(B158,'Base stats'!B:B,'Base stats'!C:C)^(2/3))*10,5),5),5),30))-_xlfn.XLOOKUP(B158,'Base stats'!B:B,'Base stats'!P:P)+IF(CA158="True",5,0)</f>
        <v>-20</v>
      </c>
      <c r="L158" s="2">
        <f>IF(OR(_xlfn.XLOOKUP(_xlfn.XLOOKUP(B158,'Base stats'!B:B,'Base stats'!E:E),Groups!A:A,Groups!G:G)=2,ISNUMBER(SEARCH("Desert",BV158)),ISNUMBER(SEARCH("ExtremeDesert",BV158)),ISNUMBER(SEARCH("LavaField",BV158))),50,IF(ISNUMBER(SEARCH("Grasslands",BV158)),45,IF(OR(_xlfn.XLOOKUP(_xlfn.XLOOKUP(B158,'Base stats'!B:B,'Base stats'!E:E),Groups!A:A,Groups!G:G)=1,ISNUMBER(SEARCH("TropicalRainforest",BV158)),ISNUMBER(SEARCH("TropicalSwamp",BV158))),40,IF(OR(ISNUMBER(SEARCH("TemperateForest",BV158)),ISNUMBER(SEARCH("TemperateSwamp",BV158))),35,IF(OR(ISNUMBER(SEARCH("Alpine",BV158)),ISNUMBER(SEARCH("BorealForest",BV158)),ISNUMBER(SEARCH("ColdBog",BV158))),30,IF(ISNUMBER(OR(ISNUMBER(SEARCH("GlacialPlain",BV158)),SEARCH("Tundra",BV158))),25,IF(OR(ISNUMBER(SEARCH("SeaIce",BV158)),ISNUMBER(SEARCH("IceSheet",BV158)),ISNUMBER(SEARCH("TropicalSwamp",BV158))),10,35)))))))+_xlfn.XLOOKUP(B158,'Base stats'!B:B,'Base stats'!Q:Q)</f>
        <v>40</v>
      </c>
      <c r="M158" s="8" t="str">
        <f>IF(_xlfn.XLOOKUP(_xlfn.XLOOKUP(B158,'Base stats'!B:B,'Base stats'!E:E),Groups!A:A,Groups!L:L)=1,MIN(MROUND(_xlfn.XLOOKUP(B158,'Animals CE'!B:B,'Animals CE'!Z:Z)/2+0.05,0.05),200%),"No")</f>
        <v>No</v>
      </c>
      <c r="N158" s="8" t="str">
        <f>IF(_xlfn.XLOOKUP(_xlfn.XLOOKUP(B158,'Base stats'!B:B,'Base stats'!E:E),Groups!A:A,Groups!L:L)=1,MIN(MROUND(_xlfn.XLOOKUP(B158,'Animals CE'!B:B,'Animals CE'!AA:AA)/2+0.05,0.05),200%),"No")</f>
        <v>No</v>
      </c>
      <c r="O158" s="2" t="str">
        <f>_xlfn.XLOOKUP(B158,'Base stats'!B:B,'Base stats'!R:R)</f>
        <v>Standard</v>
      </c>
      <c r="P158" s="13">
        <f>MROUND((LOG10(_xlfn.XLOOKUP(B158,'Base stats'!B:B,'Base stats'!AO:AO))*(AN158^0.5)+(_xlfn.XLOOKUP(B158,'Base stats'!B:B,'Base stats'!AO:AO)/1000)^(2/3)+_xlfn.XLOOKUP(B158,'Base stats'!B:B,'Base stats'!AX:AX)/2)+0.5,0.5)</f>
        <v>2.5</v>
      </c>
      <c r="Q158" s="7">
        <f>IF(P158="No","No",MAX(1,MROUND(_xlfn.XLOOKUP(B158,'Base stats'!B:B,'Base stats'!C:C)^0.165,0.05)))</f>
        <v>1.3</v>
      </c>
      <c r="R158" s="13" t="str">
        <f>IF(_xlfn.XLOOKUP(_xlfn.XLOOKUP(B158,'Base stats'!B:B,'Base stats'!E:E),Groups!A:A,Groups!P:P)=0,"No",MROUND((LOG10(_xlfn.XLOOKUP(B158,'Base stats'!B:B,'Base stats'!AP:AP))*(AN158^0.5)+(_xlfn.XLOOKUP(B158,'Base stats'!B:B,'Base stats'!AP:AP)/1000)^(2/3)+_xlfn.XLOOKUP(B158,'Base stats'!B:B,'Base stats'!AX:AX))+_xlfn.XLOOKUP(B158,'Base stats'!B:B,'Base stats'!AV:AV)+0.5,0.5))</f>
        <v>No</v>
      </c>
      <c r="S158" s="7" t="str">
        <f>IF(R158="No","No",MAX(_xlfn.XLOOKUP(_xlfn.XLOOKUP(B158,'Base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T158" s="7" t="str">
        <f>IF(R158="No","No",_xlfn.XLOOKUP(_xlfn.XLOOKUP(B158,'Base stats'!B:B,'Base stats'!E:E),Groups!A:A,Groups!R:R))</f>
        <v>No</v>
      </c>
      <c r="U158" s="7" t="str">
        <f>IF(R158="No","No",_xlfn.XLOOKUP(_xlfn.XLOOKUP(B158,'Base stats'!B:B,'Base stats'!E:E),Groups!A:A,Groups!S:S))</f>
        <v>No</v>
      </c>
      <c r="V158" s="7" t="str">
        <f>IF(R158="No","No",_xlfn.XLOOKUP(_xlfn.XLOOKUP(B158,'Base stats'!B:B,'Base stats'!E:E),Groups!A:A,Groups!T:T))</f>
        <v>No</v>
      </c>
      <c r="W158" s="13" t="str">
        <f>IF(_xlfn.XLOOKUP(B158,'Base stats'!B:B,'Base stats'!W:W)="No","No",MROUND((LOG10(_xlfn.XLOOKUP(B158,'Base stats'!B:B,'Base stats'!AR:AR))*(AN158^0.5)+(_xlfn.XLOOKUP(B158,'Base stats'!B:B,'Base stats'!AR:AR)/1000)^(2/3)+_xlfn.XLOOKUP(B158,'Base stats'!B:B,'Base stats'!AW:AW))+0.5+IF(_xlfn.XLOOKUP(_xlfn.XLOOKUP(B158,'Base stats'!B:B,'Base stats'!E:E),Groups!A:A,Groups!U:U)&lt;&gt;3,_xlfn.XLOOKUP(B158,'Base stats'!B:B,'Base stats'!AX:AX),0),0.5))</f>
        <v>No</v>
      </c>
      <c r="X158" s="7" t="str">
        <f>IF(W158="No","No",MAX(_xlfn.XLOOKUP(_xlfn.XLOOKUP(B158,'Base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Y158" s="7" t="str">
        <f>IF(W158="No","No",_xlfn.XLOOKUP(_xlfn.XLOOKUP(B158,'Base stats'!B:B,'Base stats'!E:E),Groups!A:A,Groups!W:W))</f>
        <v>No</v>
      </c>
      <c r="Z158" s="7" t="str">
        <f>IF(W158="No","No",_xlfn.XLOOKUP(_xlfn.XLOOKUP(B158,'Base stats'!B:B,'Base stats'!E:E),Groups!A:A,Groups!X:X))</f>
        <v>No</v>
      </c>
      <c r="AA158" s="7" t="str">
        <f>IF(W158="No","No",_xlfn.XLOOKUP(_xlfn.XLOOKUP(B158,'Base stats'!B:B,'Base stats'!E:E),Groups!A:A,Groups!Y:Y))</f>
        <v>No</v>
      </c>
      <c r="AB158" s="7" t="str">
        <f>_xlfn.XLOOKUP(Animals!B158,'Base stats'!B:B,'Base stats'!X:X)</f>
        <v>False</v>
      </c>
      <c r="AC158" s="13">
        <f>IF(_xlfn.XLOOKUP(B158,'Base stats'!B:B,'Base stats'!AQ:AQ)="No","No",MROUND((LOG10(_xlfn.XLOOKUP(B158,'Base stats'!B:B,'Base stats'!AQ:AQ))*(AN158^0.75)+(_xlfn.XLOOKUP(B158,'Base stats'!B:B,'Base stats'!AQ:AQ)/1000)^(2/3)+_xlfn.XLOOKUP(B158,'Base stats'!B:B,'Base stats'!AU:AU)+_xlfn.XLOOKUP(B158,'Base stats'!B:B,'Base stats'!AX:AX))+0.5,0.5))</f>
        <v>4</v>
      </c>
      <c r="AD158" s="7">
        <f>IF(AC158="No","No",MAX(_xlfn.XLOOKUP(_xlfn.XLOOKUP(B158,'Base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E158" s="7" t="str">
        <f>IF(AC158="No","No",_xlfn.XLOOKUP(_xlfn.XLOOKUP(B158,'Base stats'!B:B,'Base stats'!E:E),Groups!A:A,Groups!AA:AA))</f>
        <v>Teeth</v>
      </c>
      <c r="AF158" s="7" t="str">
        <f>IF(AC158="No","No",_xlfn.XLOOKUP(_xlfn.XLOOKUP(B158,'Base stats'!B:B,'Base stats'!E:E),Groups!A:A,Groups!AB:AB))</f>
        <v>canines</v>
      </c>
      <c r="AG158" s="7" t="str">
        <f>IF(AC158="No","No",_xlfn.XLOOKUP(_xlfn.XLOOKUP(B158,'Base stats'!B:B,'Base stats'!E:E),Groups!A:A,Groups!AC:AC))</f>
        <v>Bite</v>
      </c>
      <c r="AH158" s="13">
        <f>IF(_xlfn.XLOOKUP(_xlfn.XLOOKUP(B158,'Base stats'!B:B,'Base stats'!E:E),Groups!A:A,Groups!AD:AD)=0,"No",MROUND((LOG10(_xlfn.XLOOKUP(B158,'Base stats'!B:B,'Base stats'!AP:AP))*(AN158^0.75)+(_xlfn.XLOOKUP(B158,'Base stats'!B:B,'Base stats'!AP:AP)/1000)^(2/3)+_xlfn.XLOOKUP(B158,'Base stats'!B:B,'Base stats'!AV:AV)+_xlfn.XLOOKUP(B158,'Base stats'!B:B,'Base stats'!AX:AX))+0.5,0.5))</f>
        <v>3</v>
      </c>
      <c r="AI158" s="7">
        <f>IF(AH158="No","No",MAX(_xlfn.XLOOKUP(_xlfn.XLOOKUP(B158,'Base stats'!B:B,'Base stats'!E:E),Groups!A:A,Groups!AE:AE),MROUND(_xlfn.XLOOKUP(_xlfn.XLOOKUP(B158,'Base stats'!B:B,'Base stats'!E:E),Groups!A:A,Groups!AE:AE)*_xlfn.XLOOKUP(B158,'Base stats'!B:B,'Base stats'!C:C)^0.165,0.05)))</f>
        <v>0.85000000000000009</v>
      </c>
      <c r="AJ158" s="7" t="str">
        <f>IF(AH158="No","No",_xlfn.XLOOKUP(_xlfn.XLOOKUP(B158,'Base stats'!B:B,'Base stats'!E:E),Groups!A:A,Groups!AF:AF))</f>
        <v>FrontRightPaw, FrontRightPaw</v>
      </c>
      <c r="AK158" s="7" t="str">
        <f>IF(AH158="No","No",_xlfn.XLOOKUP(_xlfn.XLOOKUP(B158,'Base stats'!B:B,'Base stats'!E:E),Groups!A:A,Groups!AG:AG))</f>
        <v>left claw, right claw</v>
      </c>
      <c r="AL158" s="7" t="str">
        <f>IF(AH158="No","No",_xlfn.XLOOKUP(_xlfn.XLOOKUP(B158,'Base stats'!B:B,'Base stats'!E:E),Groups!A:A,Groups!AH:AH))</f>
        <v>Scratch</v>
      </c>
      <c r="AM158" s="2">
        <f t="shared" si="14"/>
        <v>15</v>
      </c>
      <c r="AN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O158" s="8">
        <f>MROUND(AN158*_xlfn.XLOOKUP(_xlfn.XLOOKUP(B158,'Base stats'!B:B,'Base stats'!E:E),Groups!A:A,Groups!AI:AI),0.05)</f>
        <v>0.35000000000000003</v>
      </c>
      <c r="AP158" s="8">
        <f>MAX(0.01,MROUND(IF(CA158="True",0.196*(AN158*100*1000)^0.889,IF(_xlfn.XLOOKUP(_xlfn.XLOOKUP(B158,'Base stats'!B:B,'Base stats'!E:E),Groups!A:A,Groups!AJ:AJ)="Bird",10.5*(AN158*100*1000)^0.681,4.82*(AN158*100*1000)^0.734))/(4.82*(1*100*1000)^0.734)/IF(AN158&lt;3.5,2,IF(AN158=3.5,1.5,1.25))*(1+0.132282374779864/(AN158^0.994035016789033+0.00905238001496948)),0.05))</f>
        <v>0.30000000000000004</v>
      </c>
      <c r="AQ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R158" s="35">
        <f>IFERROR(IF(_xlfn.XLOOKUP(B158,'Base stats'!B:B,'Base stats'!F:F)="Lay eggs","Lay eggs",MIN(20,MAX(5.5,ROUND(((_xlfn.XLOOKUP(B158,'Base stats'!B:B,'Base stats'!F:F)-25)*(14.5/615) + 5.5)*2,0)/2))),"Cannot breed")</f>
        <v>6.5</v>
      </c>
      <c r="AS158" s="8">
        <f>IF(OR(A158="Queen",A158="Larva",A158="Megachicken"),"No",IFERROR(MAX(IF(_xlfn.XLOOKUP(B158,'Base stats'!B:B,'Base stats'!G:G)&lt;0.5,0.2,0.3),MROUND(_xlfn.XLOOKUP(B158,'Base stats'!B:B,'Base stats'!G:G)/(365/60),0.2)),"Unknown"))</f>
        <v>0.3</v>
      </c>
      <c r="AT158" s="8">
        <f t="shared" si="15"/>
        <v>0.15000000000000002</v>
      </c>
      <c r="AU158" s="8">
        <f>IFERROR(IFERROR(MROUND(_xlfn.XLOOKUP(B158,'Base stats'!B:B,'Base stats'!J:J),0.1),"Lay eggs"),"Cannot breed")</f>
        <v>4</v>
      </c>
      <c r="AV158" s="2" t="str">
        <f t="shared" si="16"/>
        <v>false</v>
      </c>
      <c r="AW158" s="2" t="str">
        <f>IF(_xlfn.XLOOKUP(_xlfn.XLOOKUP(Animals!B158,'Base stats'!B:B,'Base stats'!E:E),Groups!A:A,Groups!AK:AK)=1,"true","false")</f>
        <v>false</v>
      </c>
      <c r="AX158" s="25" t="str">
        <f>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</f>
        <v>CarnivoreAnimal, OvivoreAnimal</v>
      </c>
      <c r="AY158" s="2" t="str">
        <f>IF(_xlfn.XLOOKUP(_xlfn.XLOOKUP(B158,'Base stats'!B:B,'Base stats'!E:E),Groups!A:A,Groups!D:D)=1,MROUND((1-I158)*5+1,2)*IF(I158&lt;=0.4,2,1),"No")</f>
        <v>No</v>
      </c>
      <c r="AZ158" s="2" t="str">
        <f>_xlfn.XLOOKUP(B158,'Base stats'!B:B,'Base stats'!AE:AE)</f>
        <v>Leather_Light</v>
      </c>
      <c r="BA158" s="23" t="str">
        <f>_xlfn.XLOOKUP(_xlfn.XLOOKUP(B158,'Base stats'!B:B,'Base stats'!E:E),Groups!A:A,Groups!AL:AL)</f>
        <v>QuadrupedAnimalWithPawsAndTail</v>
      </c>
      <c r="BB158" s="23">
        <f>MROUND(IF(AND(AN158&lt;0.5,_xlfn.XLOOKUP(B158,'Base stats'!B:B,'Base stats'!Z:Z)=0),0,IF(OR(_xlfn.XLOOKUP(Animals!B158,'Base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stats'!AA:AA),0.005)</f>
        <v>0</v>
      </c>
      <c r="BC158" s="23">
        <f>MROUND(IF(AND(AN158&lt;0.5,_xlfn.XLOOKUP(B158,'Base stats'!B:B,'Base stats'!Z:Z)=0),0,IF(_xlfn.XLOOKUP(_xlfn.XLOOKUP(B158,'Base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stats'!AB:AB),0.005)</f>
        <v>0</v>
      </c>
      <c r="BD158" s="2">
        <f>IF(I158&gt;0.3,"No",_xlfn.XLOOKUP(_xlfn.XLOOKUP(Animals!B158,'Base stats'!B:B,'Base stats'!E:E),Groups!A:A,Groups!AP:AP))</f>
        <v>1</v>
      </c>
      <c r="BE158" s="2">
        <f>IF(AND(I158&lt;=0.65,_xlfn.XLOOKUP(_xlfn.XLOOKUP(Animals!B158,'Base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stats'!O:O)=2,0.2,AN158) + 24*(1-IF(BD158="No",0,BD158)) + 16/3, 12),"No")</f>
        <v>12</v>
      </c>
      <c r="BF158" s="2">
        <f>IF(AND(_xlfn.XLOOKUP(_xlfn.XLOOKUP(B158,'Base stats'!B:B,'Base stats'!E:E),Groups!A:A,Groups!AQ:AQ)=1,AN158&lt;=0.35),8,12)</f>
        <v>12</v>
      </c>
      <c r="BG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H158" s="2" t="str">
        <f>IF(AND(_xlfn.XLOOKUP(_xlfn.XLOOKUP(B158,'Base stats'!B:B,'Base stats'!E:E),Groups!A:A,Groups!AS:AS)=1,OR('Base stats'!Y158="Carnivore",'Base stats'!Y158="Omnivore")),"true","false")</f>
        <v>true</v>
      </c>
      <c r="BI158" s="2">
        <f>IF(BH158="true",MROUND(IF(AND(AN158&gt;0.5,_xlfn.XLOOKUP(_xlfn.XLOOKUP(B158,'Base stats'!B:B,'Base stats'!E:E),Groups!A:A,Groups!AJ:AJ)="Mammal"),Animals!AN158*1.75*IF(AV158="true",1.5,1),Animals!AN158),IF(AN158&gt;2,0.5,IF(AN158&gt;0.5,0.25,0.1))),"No")</f>
        <v>0.30000000000000004</v>
      </c>
      <c r="BJ158" s="2">
        <f t="shared" si="17"/>
        <v>1</v>
      </c>
      <c r="BK158" s="25" t="str">
        <f>IF('Base stats'!AK158="Standard","No",MROUND((_xlfn.XLOOKUP(B158,'Base stats'!B:B,'Base stats'!AK:AK)/3.6)/H158,0.1))</f>
        <v>No</v>
      </c>
      <c r="BL158" s="25" t="str">
        <f t="shared" si="18"/>
        <v>false</v>
      </c>
      <c r="BM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N158" s="25" t="str" cm="1">
        <f t="array" ref="BN158">IF(
  _xlfn.TEXTJOIN(", ",TRUE,
    IF(AND(BH158="true",AN158&gt;0.5,BG158&lt;&gt;"None"),"AttackTarget",""),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IF(BE158&lt;=36,"Comfort",""),
    IF(_xlfn.XLOOKUP(B158,'Base stats'!B:B,'Base stats'!AC:AC)&lt;&gt;"No",_xlfn.XLOOKUP(B158,'Base stats'!B:B,'Base stats'!AC:AC),"")
  ) = "",
  "No",
  _xlfn.TEXTJOIN(", ",TRUE,
    IF(AND(BH158="true",AN158&gt;0.5,BG158&lt;&gt;"None"),"AttackTarget",""),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IF(BE158&lt;=36,"Comfort",""),
    IF(_xlfn.XLOOKUP(B158,'Base stats'!B:B,'Base stats'!AC:AC)&lt;&gt;"No",_xlfn.XLOOKUP(B158,'Base stats'!B:B,'Base stats'!AC:AC),"")
  )
)</f>
        <v>Comfort</v>
      </c>
      <c r="BO158" s="25" t="str">
        <f>IF(
   AND(
      'Base stats'!AK158="Standard",_xlfn.XLOOKUP(_xlfn.XLOOKUP(B158,'Base stats'!B:B,'Base stats'!E:E),Groups!A:A,Groups!AU:AU)=0,
      OR(
      BM158="True"
      )
   ),
   10,
   IF(
       OR(BK158&lt;&gt;"No",_xlfn.XLOOKUP(_xlfn.XLOOKUP(B158,'Base stats'!B:B,'Base stats'!E:E),Groups!A:A,Groups!AU:AU)=1),
      1,
      "No"
   )
)</f>
        <v>No</v>
      </c>
      <c r="BP158" s="9">
        <f>MROUND((1 + ((0.2*IF(OR(P158="No",Q158="No",Q158=0),0,P158/Q158)
+IF(OR(U158="No",R158="No",S158="No"),0,R158/S158*(LEN(U158)-LEN(SUBSTITUTE(U158,",",""))+1))
+IF(OR(W158="No",X158="No"),0,W158/X158)
+IF(OR(AC158="No",AD158="No"),0,AC158/AD158)
+IF(OR(AK158="No",AH158="No",AI158="No"),0,AH158/AI158*(LEN(AK158)-LEN(SUBSTITUTE(AK158,",",""))+1))
)/(0.2*IF(OR(P158="No",Q158="No",Q158=0),0,1)
+IF(OR(U158="No",R158="No",S158="No"),0,LEN(U158)-LEN(SUBSTITUTE(U158,",",""))+1)
+IF(OR(W158="No",X158="No"),0,1)
+IF(OR(AC158="No",AD158="No"),0,1)
+IF(OR(AK158="No",AH158="No",AI158="No"),0,LEN(AK158)-LEN(SUBSTITUTE(AK158,",",""))+1))*62%)* 2)*(1 + (AO158 + _xlfn.XLOOKUP(B158,'Base stats'!B:B,'Base stats'!AS:AS) * 1.8) * 2) * 2.5 + 10 + H158 * 2,5)+IF(_xlfn.XLOOKUP(B158,'Base stats'!B:B,'Base stats'!AH:AH)=1,50,0)</f>
        <v>45</v>
      </c>
      <c r="BQ158" s="8">
        <f t="shared" si="19"/>
        <v>0.30000000000000004</v>
      </c>
      <c r="BR158" s="8" t="str">
        <f>_xlfn.XLOOKUP(B158,'Base stats'!B:B,'Base stats'!AD:AD)</f>
        <v>No</v>
      </c>
      <c r="BS158" s="2" t="str">
        <f>IF(AND(I158&lt;=0.95,OR(_xlfn.XLOOKUP(B158,'Base stats'!B:B,'Base stats'!AH:AH)=1,_xlfn.XLOOKUP(B158,'Base stats'!B:B,'Base stats'!Y:Y)="Carnivore",_xlfn.XLOOKUP(B158,'Base stats'!B:B,'Base stats'!Y:Y)="Omnivore",BC158&gt;0.1)),"true","false")</f>
        <v>true</v>
      </c>
      <c r="BT158" s="2" t="str">
        <f>IF(_xlfn.XLOOKUP(B158,'Base stats'!B:B,'Base stats'!AF:AF)=1,"true","false")</f>
        <v>false</v>
      </c>
      <c r="BU158" s="25" t="str">
        <f>IF(E158="BaseInsect","AnimalInsect",
IF(I158&gt;0.95,"AnimalExotic",
_xlfn.TEXTJOIN(", ",TRUE,
IF(AND(_xlfn.XLOOKUP(B158,'Base stats'!B:B,'Base stats'!O:O)=0,_xlfn.XLOOKUP(_xlfn.XLOOKUP(B158,'Base stats'!B:B,'Base stats'!E:E),Groups!A:A,Groups!B:B)&gt;0),"AnimalUncommon","AnimalCommon"),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stats'!AH:AH)=1,AND(BG158&lt;&gt;"None",BP158&gt;=60),ISNUMBER(SEARCH("Attack target",BN158))),"AnimalFighter","")
)))</f>
        <v>AnimalCommon, AnimalPet</v>
      </c>
      <c r="BV158" s="25" t="str">
        <f>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</f>
        <v/>
      </c>
      <c r="BW158" s="25" t="str">
        <f>IF(_xlfn.XLOOKUP(B158,'Base stats'!B:B,'Base stats'!AG:AG)=1,"true","false")</f>
        <v>false</v>
      </c>
      <c r="BX158" s="25">
        <f>IF(_xlfn.XLOOKUP(B158,'Base stats'!B:B,'Base stats'!N:N)=1,"No",MIN(MROUND(IF(OR(_xlfn.XLOOKUP(B158,'Base stats'!B:B,'Base stats'!AJ:AJ)=1,AND(BH158="True",CA158="False")),POWER(10,3.47*LOG10(_xlfn.XLOOKUP(B158,'Base stats'!B:B,'Base stats'!C:C)*1000)^-0.96),POWER(10,4.15*LOG10(_xlfn.XLOOKUP(B158,'Base stats'!B:B,'Base stats'!C:C)*1000)^-0.73))*IF(OR(_xlfn.XLOOKUP(B158,'Base stats'!B:B,'Base stats'!AJ:AJ)=1,_xlfn.XLOOKUP(B158,'Base stats'!B:B,'Base stats'!AH:AH)=1),0.5,1)/100,0.025),1))</f>
        <v>0.1</v>
      </c>
      <c r="BY158" s="25" t="str">
        <f>IF(O158="Standard","No",IF(_xlfn.XLOOKUP(B158,'Base stats'!B:B,'Base stats'!N:N)=0,MROUND(BX158*O158,0.05),MIN(1,MAX(0.025,MROUND(IF(OR(CA158="true",AND(BH158="false",BM158="false")),POWER(10,4.15*LOG10(_xlfn.XLOOKUP(B158,'Base stats'!B:B,'Base stats'!C:C)*1000)^-0.73),POWER(10,3.47*LOG10(_xlfn.XLOOKUP(B158,'Base stats'!B:B,'Base stats'!C:C)*1000)^-0.96))*IF(_xlfn.XLOOKUP(B158,'Base stats'!B:B,'Base stats'!AH:AH)=1,0.5,1)/100,0.025)))))</f>
        <v>No</v>
      </c>
      <c r="BZ158" s="25" t="str">
        <f>IF(_xlfn.XLOOKUP(_xlfn.XLOOKUP(B158,'Base stats'!B:B,'Base stats'!E:E),Groups!A:A,Groups!AJ:AJ)="Mammal","True","False")</f>
        <v>True</v>
      </c>
      <c r="CA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B158" s="25" t="str">
        <f t="shared" si="20"/>
        <v>False</v>
      </c>
      <c r="CC158" s="25" t="str">
        <f>IF(_xlfn.XLOOKUP(_xlfn.XLOOKUP(B158,'Base stats'!B:B,'Base stats'!E:E),Groups!A:A,Groups!AW:AW),"True","False")</f>
        <v>False</v>
      </c>
      <c r="CD158" s="25" t="str">
        <f>IF(_xlfn.XLOOKUP(_xlfn.XLOOKUP(B158,'Base stats'!B:B,'Base stats'!E:E),Groups!A:A,Groups!AX:AX),"True","False")</f>
        <v>False</v>
      </c>
      <c r="CE158" s="25" t="str">
        <f>IF(_xlfn.XLOOKUP(B158,'Base stats'!B:B,'Base stats'!E:E)=1,"True","False")</f>
        <v>False</v>
      </c>
      <c r="CF158" s="25" t="str">
        <f>IF(
OR(
_xlfn.XLOOKUP(_xlfn.XLOOKUP(B158,'Base stats'!B:B,'Base stats'!E:E),Groups!A:A,Groups!AY:AY)=0,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stats'!E:E),Groups!A:A,Groups!AY:AY)=1,
"Flesh",
IF(
_xlfn.XLOOKUP(_xlfn.XLOOKUP(B158,'Base stats'!B:B,'Base stats'!E:E),Groups!A:A,Groups!AY:AY)=2,
"Bone",
""
)
)
)</f>
        <v>No</v>
      </c>
      <c r="CG158" s="25" t="str">
        <f>IF(_xlfn.XLOOKUP(_xlfn.XLOOKUP(B158,'Base stats'!B:B,'Base stats'!E:E),Groups!A:A,Groups!BA:BA),"True","False")</f>
        <v>True</v>
      </c>
      <c r="CH158" s="25" t="str">
        <f>IF(_xlfn.XLOOKUP(_xlfn.XLOOKUP(B158,'Base stats'!B:B,'Base stats'!E:E),Groups!A:A,Groups!AZ:AZ),"True","False")</f>
        <v>False</v>
      </c>
    </row>
    <row r="159" spans="1:86" ht="16.5" thickTop="1" thickBot="1" x14ac:dyDescent="0.3">
      <c r="A159" s="26" t="str">
        <f>_xlfn.XLOOKUP(B159,'Base stats'!B:B,'Base stats'!A:A)</f>
        <v>Sphynx cat</v>
      </c>
      <c r="B159" s="6" t="s">
        <v>924</v>
      </c>
      <c r="C159" s="28" t="s">
        <v>852</v>
      </c>
      <c r="D159" s="28" t="s">
        <v>884</v>
      </c>
      <c r="E159" s="28" t="s">
        <v>685</v>
      </c>
      <c r="F159" s="28" t="s">
        <v>685</v>
      </c>
      <c r="G159" s="2">
        <f>MROUND((
  (IF(AND(_xlfn.XLOOKUP(B159,'Base stats'!B:B,'Base stats'!AI:AI)=0,BG159="None",_xlfn.XLOOKUP('Base stats'!E159,Groups!A:A,Groups!B:B)=0), (18 + BP159 * 2.7) * 0.5,
    IF(AND(_xlfn.XLOOKUP(B159,'Base stats'!B:B,'Base stats'!AI:AI)=0,OR(AN159&lt;0.55,AND(BG159="Intermediate",_xlfn.XLOOKUP('Base stats'!E159,Groups!A:A,Groups!B:B)&lt;2))), (18 + BP159 * 2.7),
      IF(OR(BG159="Advanced",_xlfn.XLOOKUP(B159,'Base stats'!B:B,'Base stats'!AI:AI)=1,_xlfn.XLOOKUP('Base stats'!E159,Groups!A:A,Groups!B:B)=2), (18 + BP159 * 2.7) + 250, (18 + BP159 * 2.7))
    )
  ))
  + AN159 * 80
  + IF(COUNTIF(EggMilk!K$2:K$998, A159) &gt; 0, 125, 0)
  + IF(COUNTIF(EggMilk!P$2:P$998, A159) &gt; 0, 90, 0)
  + IF(COUNTIF(EggMilk!A$2:A$998, A159) &gt; 0, 90, 0)
)
* (0.8 + 0.4 * I159)
* 0.75,25)</f>
        <v>100</v>
      </c>
      <c r="H159" s="2">
        <f>MROUND(ROUNDDOWN(_xlfn.XLOOKUP(B159,'Base stats'!B:B,'Base stats'!L:L)/3.6/(23.3/11),1),0.5)</f>
        <v>5.5</v>
      </c>
      <c r="I159" s="2">
        <f>IF(_xlfn.XLOOKUP(B159,'Base stats'!B:B,'Base stats'!AI:AI)=1,0.99,MIN(MROUND((1-0.6282*EXP(-0.459*AN159))*_xlfn.XLOOKUP(_xlfn.XLOOKUP(B159,'Base stats'!B:B,'Base stats'!E:E),Groups!A:A,Groups!C:C)*IF(_xlfn.XLOOKUP(B159,'Base stats'!B:B,'Base stats'!O:O)=1,0.5,IF(_xlfn.XLOOKUP(B159,'Base stats'!B:B,'Base stats'!O:O)=2,0,1)),0.05),0.985))</f>
        <v>0</v>
      </c>
      <c r="J159" s="2">
        <f>ROUNDUP(AN159*_xlfn.XLOOKUP(_xlfn.XLOOKUP(B159,'Base stats'!B:B,'Base stats'!E:E),Groups!A:A,Groups!E:E),0)</f>
        <v>1</v>
      </c>
      <c r="K159" s="2">
        <f>IF(OR(_xlfn.XLOOKUP(_xlfn.XLOOKUP(B159,'Base stats'!B:B,'Base stats'!E:E),Groups!A:A,Groups!F:F)=2,ISNUMBER(SEARCH("SeaIce",BV159)),ISNUMBER(SEARCH("IceSheet",BV159))),-50,IF(OR(ISNUMBER(SEARCH("GlacialPlain",BV159)),ISNUMBER(SEARCH("Tundra",BV159))),-40,IF(OR(ISNUMBER(SEARCH("Alpine",BV159)),ISNUMBER(SEARCH("BorealForest",BV159)),ISNUMBER(SEARCH("ColdBog",BV159))),-30,IF(OR(ISNUMBER(SEARCH("TemperateForest",BV159)),ISNUMBER(SEARCH("TemperateSwamp",BV159))),-20,IF(_xlfn.XLOOKUP(_xlfn.XLOOKUP(B159,'Base stats'!B:B,'Base stats'!E:E),Groups!A:A,Groups!F:F)=1,-15,IF(OR(ISNUMBER(SEARCH("Desert",BV159)),ISNUMBER(SEARCH("ExtremeDesert",BV159))),-10,IF(OR(ISNUMBER(SEARCH("Grasslands",BV159)),ISNUMBER(SEARCH("TropicalRainforest",BV159)),ISNUMBER(SEARCH("TropicalSwamp",BV159))),10,0)))))))-IF(CA159="False",MIN(IFERROR(MAX(MROUND(LOG10(_xlfn.XLOOKUP(B159,'Base stats'!B:B,'Base stats'!C:C)^(2/3))*10,5),5),5),30))-_xlfn.XLOOKUP(B159,'Base stats'!B:B,'Base stats'!P:P)+IF(CA159="True",5,0)</f>
        <v>0</v>
      </c>
      <c r="L159" s="2">
        <f>IF(OR(_xlfn.XLOOKUP(_xlfn.XLOOKUP(B159,'Base stats'!B:B,'Base stats'!E:E),Groups!A:A,Groups!G:G)=2,ISNUMBER(SEARCH("Desert",BV159)),ISNUMBER(SEARCH("ExtremeDesert",BV159)),ISNUMBER(SEARCH("LavaField",BV159))),50,IF(ISNUMBER(SEARCH("Grasslands",BV159)),45,IF(OR(_xlfn.XLOOKUP(_xlfn.XLOOKUP(B159,'Base stats'!B:B,'Base stats'!E:E),Groups!A:A,Groups!G:G)=1,ISNUMBER(SEARCH("TropicalRainforest",BV159)),ISNUMBER(SEARCH("TropicalSwamp",BV159))),40,IF(OR(ISNUMBER(SEARCH("TemperateForest",BV159)),ISNUMBER(SEARCH("TemperateSwamp",BV159))),35,IF(OR(ISNUMBER(SEARCH("Alpine",BV159)),ISNUMBER(SEARCH("BorealForest",BV159)),ISNUMBER(SEARCH("ColdBog",BV159))),30,IF(ISNUMBER(OR(ISNUMBER(SEARCH("GlacialPlain",BV159)),SEARCH("Tundra",BV159))),25,IF(OR(ISNUMBER(SEARCH("SeaIce",BV159)),ISNUMBER(SEARCH("IceSheet",BV159)),ISNUMBER(SEARCH("TropicalSwamp",BV159))),10,35)))))))+_xlfn.XLOOKUP(B159,'Base stats'!B:B,'Base stats'!Q:Q)</f>
        <v>40</v>
      </c>
      <c r="M159" s="8" t="str">
        <f>IF(_xlfn.XLOOKUP(_xlfn.XLOOKUP(B159,'Base stats'!B:B,'Base stats'!E:E),Groups!A:A,Groups!L:L)=1,MIN(MROUND(_xlfn.XLOOKUP(B159,'Animals CE'!B:B,'Animals CE'!Z:Z)/2+0.05,0.05),200%),"No")</f>
        <v>No</v>
      </c>
      <c r="N159" s="8" t="str">
        <f>IF(_xlfn.XLOOKUP(_xlfn.XLOOKUP(B159,'Base stats'!B:B,'Base stats'!E:E),Groups!A:A,Groups!L:L)=1,MIN(MROUND(_xlfn.XLOOKUP(B159,'Animals CE'!B:B,'Animals CE'!AA:AA)/2+0.05,0.05),200%),"No")</f>
        <v>No</v>
      </c>
      <c r="O159" s="2" t="str">
        <f>_xlfn.XLOOKUP(B159,'Base stats'!B:B,'Base stats'!R:R)</f>
        <v>Standard</v>
      </c>
      <c r="P159" s="13">
        <f>MROUND((LOG10(_xlfn.XLOOKUP(B159,'Base stats'!B:B,'Base stats'!AO:AO))*(AN159^0.5)+(_xlfn.XLOOKUP(B159,'Base stats'!B:B,'Base stats'!AO:AO)/1000)^(2/3)+_xlfn.XLOOKUP(B159,'Base stats'!B:B,'Base stats'!AX:AX)/2)+0.5,0.5)</f>
        <v>2.5</v>
      </c>
      <c r="Q159" s="7">
        <f>IF(P159="No","No",MAX(1,MROUND(_xlfn.XLOOKUP(B159,'Base stats'!B:B,'Base stats'!C:C)^0.165,0.05)))</f>
        <v>1.3</v>
      </c>
      <c r="R159" s="13" t="str">
        <f>IF(_xlfn.XLOOKUP(_xlfn.XLOOKUP(B159,'Base stats'!B:B,'Base stats'!E:E),Groups!A:A,Groups!P:P)=0,"No",MROUND((LOG10(_xlfn.XLOOKUP(B159,'Base stats'!B:B,'Base stats'!AP:AP))*(AN159^0.5)+(_xlfn.XLOOKUP(B159,'Base stats'!B:B,'Base stats'!AP:AP)/1000)^(2/3)+_xlfn.XLOOKUP(B159,'Base stats'!B:B,'Base stats'!AX:AX))+_xlfn.XLOOKUP(B159,'Base stats'!B:B,'Base stats'!AV:AV)+0.5,0.5))</f>
        <v>No</v>
      </c>
      <c r="S159" s="7" t="str">
        <f>IF(R159="No","No",MAX(_xlfn.XLOOKUP(_xlfn.XLOOKUP(B159,'Base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T159" s="7" t="str">
        <f>IF(R159="No","No",_xlfn.XLOOKUP(_xlfn.XLOOKUP(B159,'Base stats'!B:B,'Base stats'!E:E),Groups!A:A,Groups!R:R))</f>
        <v>No</v>
      </c>
      <c r="U159" s="7" t="str">
        <f>IF(R159="No","No",_xlfn.XLOOKUP(_xlfn.XLOOKUP(B159,'Base stats'!B:B,'Base stats'!E:E),Groups!A:A,Groups!S:S))</f>
        <v>No</v>
      </c>
      <c r="V159" s="7" t="str">
        <f>IF(R159="No","No",_xlfn.XLOOKUP(_xlfn.XLOOKUP(B159,'Base stats'!B:B,'Base stats'!E:E),Groups!A:A,Groups!T:T))</f>
        <v>No</v>
      </c>
      <c r="W159" s="13" t="str">
        <f>IF(_xlfn.XLOOKUP(B159,'Base stats'!B:B,'Base stats'!W:W)="No","No",MROUND((LOG10(_xlfn.XLOOKUP(B159,'Base stats'!B:B,'Base stats'!AR:AR))*(AN159^0.5)+(_xlfn.XLOOKUP(B159,'Base stats'!B:B,'Base stats'!AR:AR)/1000)^(2/3)+_xlfn.XLOOKUP(B159,'Base stats'!B:B,'Base stats'!AW:AW))+0.5+IF(_xlfn.XLOOKUP(_xlfn.XLOOKUP(B159,'Base stats'!B:B,'Base stats'!E:E),Groups!A:A,Groups!U:U)&lt;&gt;3,_xlfn.XLOOKUP(B159,'Base stats'!B:B,'Base stats'!AX:AX),0),0.5))</f>
        <v>No</v>
      </c>
      <c r="X159" s="7" t="str">
        <f>IF(W159="No","No",MAX(_xlfn.XLOOKUP(_xlfn.XLOOKUP(B159,'Base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Y159" s="7" t="str">
        <f>IF(W159="No","No",_xlfn.XLOOKUP(_xlfn.XLOOKUP(B159,'Base stats'!B:B,'Base stats'!E:E),Groups!A:A,Groups!W:W))</f>
        <v>No</v>
      </c>
      <c r="Z159" s="7" t="str">
        <f>IF(W159="No","No",_xlfn.XLOOKUP(_xlfn.XLOOKUP(B159,'Base stats'!B:B,'Base stats'!E:E),Groups!A:A,Groups!X:X))</f>
        <v>No</v>
      </c>
      <c r="AA159" s="7" t="str">
        <f>IF(W159="No","No",_xlfn.XLOOKUP(_xlfn.XLOOKUP(B159,'Base stats'!B:B,'Base stats'!E:E),Groups!A:A,Groups!Y:Y))</f>
        <v>No</v>
      </c>
      <c r="AB159" s="7" t="str">
        <f>_xlfn.XLOOKUP(Animals!B159,'Base stats'!B:B,'Base stats'!X:X)</f>
        <v>False</v>
      </c>
      <c r="AC159" s="13">
        <f>IF(_xlfn.XLOOKUP(B159,'Base stats'!B:B,'Base stats'!AQ:AQ)="No","No",MROUND((LOG10(_xlfn.XLOOKUP(B159,'Base stats'!B:B,'Base stats'!AQ:AQ))*(AN159^0.75)+(_xlfn.XLOOKUP(B159,'Base stats'!B:B,'Base stats'!AQ:AQ)/1000)^(2/3)+_xlfn.XLOOKUP(B159,'Base stats'!B:B,'Base stats'!AU:AU)+_xlfn.XLOOKUP(B159,'Base stats'!B:B,'Base stats'!AX:AX))+0.5,0.5))</f>
        <v>4.5</v>
      </c>
      <c r="AD159" s="7">
        <f>IF(AC159="No","No",MAX(_xlfn.XLOOKUP(_xlfn.XLOOKUP(B159,'Base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E159" s="7" t="str">
        <f>IF(AC159="No","No",_xlfn.XLOOKUP(_xlfn.XLOOKUP(B159,'Base stats'!B:B,'Base stats'!E:E),Groups!A:A,Groups!AA:AA))</f>
        <v>Teeth</v>
      </c>
      <c r="AF159" s="7" t="str">
        <f>IF(AC159="No","No",_xlfn.XLOOKUP(_xlfn.XLOOKUP(B159,'Base stats'!B:B,'Base stats'!E:E),Groups!A:A,Groups!AB:AB))</f>
        <v>canines</v>
      </c>
      <c r="AG159" s="7" t="str">
        <f>IF(AC159="No","No",_xlfn.XLOOKUP(_xlfn.XLOOKUP(B159,'Base stats'!B:B,'Base stats'!E:E),Groups!A:A,Groups!AC:AC))</f>
        <v>Bite</v>
      </c>
      <c r="AH159" s="13">
        <f>IF(_xlfn.XLOOKUP(_xlfn.XLOOKUP(B159,'Base stats'!B:B,'Base stats'!E:E),Groups!A:A,Groups!AD:AD)=0,"No",MROUND((LOG10(_xlfn.XLOOKUP(B159,'Base stats'!B:B,'Base stats'!AP:AP))*(AN159^0.75)+(_xlfn.XLOOKUP(B159,'Base stats'!B:B,'Base stats'!AP:AP)/1000)^(2/3)+_xlfn.XLOOKUP(B159,'Base stats'!B:B,'Base stats'!AV:AV)+_xlfn.XLOOKUP(B159,'Base stats'!B:B,'Base stats'!AX:AX))+0.5,0.5))</f>
        <v>3.5</v>
      </c>
      <c r="AI159" s="7">
        <f>IF(AH159="No","No",MAX(_xlfn.XLOOKUP(_xlfn.XLOOKUP(B159,'Base stats'!B:B,'Base stats'!E:E),Groups!A:A,Groups!AE:AE),MROUND(_xlfn.XLOOKUP(_xlfn.XLOOKUP(B159,'Base stats'!B:B,'Base stats'!E:E),Groups!A:A,Groups!AE:AE)*_xlfn.XLOOKUP(B159,'Base stats'!B:B,'Base stats'!C:C)^0.165,0.05)))</f>
        <v>0.85000000000000009</v>
      </c>
      <c r="AJ159" s="7" t="str">
        <f>IF(AH159="No","No",_xlfn.XLOOKUP(_xlfn.XLOOKUP(B159,'Base stats'!B:B,'Base stats'!E:E),Groups!A:A,Groups!AF:AF))</f>
        <v>FrontRightPaw, FrontRightPaw</v>
      </c>
      <c r="AK159" s="7" t="str">
        <f>IF(AH159="No","No",_xlfn.XLOOKUP(_xlfn.XLOOKUP(B159,'Base stats'!B:B,'Base stats'!E:E),Groups!A:A,Groups!AG:AG))</f>
        <v>left claw, right claw</v>
      </c>
      <c r="AL159" s="7" t="str">
        <f>IF(AH159="No","No",_xlfn.XLOOKUP(_xlfn.XLOOKUP(B159,'Base stats'!B:B,'Base stats'!E:E),Groups!A:A,Groups!AH:AH))</f>
        <v>Scratch</v>
      </c>
      <c r="AM159" s="2">
        <f t="shared" si="14"/>
        <v>15</v>
      </c>
      <c r="AN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O159" s="8">
        <f>MROUND(AN159*_xlfn.XLOOKUP(_xlfn.XLOOKUP(B159,'Base stats'!B:B,'Base stats'!E:E),Groups!A:A,Groups!AI:AI),0.05)</f>
        <v>0.35000000000000003</v>
      </c>
      <c r="AP159" s="8">
        <f>MAX(0.01,MROUND(IF(CA159="True",0.196*(AN159*100*1000)^0.889,IF(_xlfn.XLOOKUP(_xlfn.XLOOKUP(B159,'Base stats'!B:B,'Base stats'!E:E),Groups!A:A,Groups!AJ:AJ)="Bird",10.5*(AN159*100*1000)^0.681,4.82*(AN159*100*1000)^0.734))/(4.82*(1*100*1000)^0.734)/IF(AN159&lt;3.5,2,IF(AN159=3.5,1.5,1.25))*(1+0.132282374779864/(AN159^0.994035016789033+0.00905238001496948)),0.05))</f>
        <v>0.30000000000000004</v>
      </c>
      <c r="AQ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R159" s="35">
        <f>IFERROR(IF(_xlfn.XLOOKUP(B159,'Base stats'!B:B,'Base stats'!F:F)="Lay eggs","Lay eggs",MIN(20,MAX(5.5,ROUND(((_xlfn.XLOOKUP(B159,'Base stats'!B:B,'Base stats'!F:F)-25)*(14.5/615) + 5.5)*2,0)/2))),"Cannot breed")</f>
        <v>6.5</v>
      </c>
      <c r="AS159" s="8">
        <f>IF(OR(A159="Queen",A159="Larva",A159="Megachicken"),"No",IFERROR(MAX(IF(_xlfn.XLOOKUP(B159,'Base stats'!B:B,'Base stats'!G:G)&lt;0.5,0.2,0.3),MROUND(_xlfn.XLOOKUP(B159,'Base stats'!B:B,'Base stats'!G:G)/(365/60),0.2)),"Unknown"))</f>
        <v>0.3</v>
      </c>
      <c r="AT159" s="8">
        <f t="shared" si="15"/>
        <v>0.15000000000000002</v>
      </c>
      <c r="AU159" s="8">
        <f>IFERROR(IFERROR(MROUND(_xlfn.XLOOKUP(B159,'Base stats'!B:B,'Base stats'!J:J),0.1),"Lay eggs"),"Cannot breed")</f>
        <v>4</v>
      </c>
      <c r="AV159" s="2" t="str">
        <f t="shared" si="16"/>
        <v>false</v>
      </c>
      <c r="AW159" s="2" t="str">
        <f>IF(_xlfn.XLOOKUP(_xlfn.XLOOKUP(Animals!B159,'Base stats'!B:B,'Base stats'!E:E),Groups!A:A,Groups!AK:AK)=1,"true","false")</f>
        <v>false</v>
      </c>
      <c r="AX159" s="25" t="str">
        <f>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</f>
        <v>CarnivoreAnimal, OvivoreAnimal</v>
      </c>
      <c r="AY159" s="2" t="str">
        <f>IF(_xlfn.XLOOKUP(_xlfn.XLOOKUP(B159,'Base stats'!B:B,'Base stats'!E:E),Groups!A:A,Groups!D:D)=1,MROUND((1-I159)*5+1,2)*IF(I159&lt;=0.4,2,1),"No")</f>
        <v>No</v>
      </c>
      <c r="AZ159" s="2" t="str">
        <f>_xlfn.XLOOKUP(B159,'Base stats'!B:B,'Base stats'!AE:AE)</f>
        <v>Leather_Light</v>
      </c>
      <c r="BA159" s="23" t="str">
        <f>_xlfn.XLOOKUP(_xlfn.XLOOKUP(B159,'Base stats'!B:B,'Base stats'!E:E),Groups!A:A,Groups!AL:AL)</f>
        <v>QuadrupedAnimalWithPawsAndTail</v>
      </c>
      <c r="BB159" s="23">
        <f>MROUND(IF(AND(AN159&lt;0.5,_xlfn.XLOOKUP(B159,'Base stats'!B:B,'Base stats'!Z:Z)=0),0,IF(OR(_xlfn.XLOOKUP(Animals!B159,'Base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stats'!AA:AA),0.005)</f>
        <v>0</v>
      </c>
      <c r="BC159" s="23">
        <f>MROUND(IF(AND(AN159&lt;0.5,_xlfn.XLOOKUP(B159,'Base stats'!B:B,'Base stats'!Z:Z)=0),0,IF(_xlfn.XLOOKUP(_xlfn.XLOOKUP(B159,'Base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stats'!AB:AB),0.005)</f>
        <v>0</v>
      </c>
      <c r="BD159" s="2">
        <f>IF(I159&gt;0.3,"No",_xlfn.XLOOKUP(_xlfn.XLOOKUP(Animals!B159,'Base stats'!B:B,'Base stats'!E:E),Groups!A:A,Groups!AP:AP))</f>
        <v>1</v>
      </c>
      <c r="BE159" s="2">
        <f>IF(AND(I159&lt;=0.65,_xlfn.XLOOKUP(_xlfn.XLOOKUP(Animals!B159,'Base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stats'!O:O)=2,0.2,AN159) + 24*(1-IF(BD159="No",0,BD159)) + 16/3, 12),"No")</f>
        <v>12</v>
      </c>
      <c r="BF159" s="2">
        <f>IF(AND(_xlfn.XLOOKUP(_xlfn.XLOOKUP(B159,'Base stats'!B:B,'Base stats'!E:E),Groups!A:A,Groups!AQ:AQ)=1,AN159&lt;=0.35),8,12)</f>
        <v>12</v>
      </c>
      <c r="BG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H159" s="2" t="str">
        <f>IF(AND(_xlfn.XLOOKUP(_xlfn.XLOOKUP(B159,'Base stats'!B:B,'Base stats'!E:E),Groups!A:A,Groups!AS:AS)=1,OR('Base stats'!Y159="Carnivore",'Base stats'!Y159="Omnivore")),"true","false")</f>
        <v>true</v>
      </c>
      <c r="BI159" s="2">
        <f>IF(BH159="true",MROUND(IF(AND(AN159&gt;0.5,_xlfn.XLOOKUP(_xlfn.XLOOKUP(B159,'Base stats'!B:B,'Base stats'!E:E),Groups!A:A,Groups!AJ:AJ)="Mammal"),Animals!AN159*1.75*IF(AV159="true",1.5,1),Animals!AN159),IF(AN159&gt;2,0.5,IF(AN159&gt;0.5,0.25,0.1))),"No")</f>
        <v>0.30000000000000004</v>
      </c>
      <c r="BJ159" s="2">
        <f t="shared" si="17"/>
        <v>1</v>
      </c>
      <c r="BK159" s="25" t="str">
        <f>IF('Base stats'!AK159="Standard","No",MROUND((_xlfn.XLOOKUP(B159,'Base stats'!B:B,'Base stats'!AK:AK)/3.6)/H159,0.1))</f>
        <v>No</v>
      </c>
      <c r="BL159" s="25" t="str">
        <f t="shared" si="18"/>
        <v>false</v>
      </c>
      <c r="BM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N159" s="25" t="str" cm="1">
        <f t="array" ref="BN159">IF(
  _xlfn.TEXTJOIN(", ",TRUE,
    IF(AND(BH159="true",AN159&gt;0.5,BG159&lt;&gt;"None"),"AttackTarget",""),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IF(BE159&lt;=36,"Comfort",""),
    IF(_xlfn.XLOOKUP(B159,'Base stats'!B:B,'Base stats'!AC:AC)&lt;&gt;"No",_xlfn.XLOOKUP(B159,'Base stats'!B:B,'Base stats'!AC:AC),"")
  ) = "",
  "No",
  _xlfn.TEXTJOIN(", ",TRUE,
    IF(AND(BH159="true",AN159&gt;0.5,BG159&lt;&gt;"None"),"AttackTarget",""),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IF(BE159&lt;=36,"Comfort",""),
    IF(_xlfn.XLOOKUP(B159,'Base stats'!B:B,'Base stats'!AC:AC)&lt;&gt;"No",_xlfn.XLOOKUP(B159,'Base stats'!B:B,'Base stats'!AC:AC),"")
  )
)</f>
        <v>Comfort</v>
      </c>
      <c r="BO159" s="25" t="str">
        <f>IF(
   AND(
      'Base stats'!AK159="Standard",_xlfn.XLOOKUP(_xlfn.XLOOKUP(B159,'Base stats'!B:B,'Base stats'!E:E),Groups!A:A,Groups!AU:AU)=0,
      OR(
      BM159="True"
      )
   ),
   10,
   IF(
       OR(BK159&lt;&gt;"No",_xlfn.XLOOKUP(_xlfn.XLOOKUP(B159,'Base stats'!B:B,'Base stats'!E:E),Groups!A:A,Groups!AU:AU)=1),
      1,
      "No"
   )
)</f>
        <v>No</v>
      </c>
      <c r="BP159" s="9">
        <f>MROUND((1 + ((0.2*IF(OR(P159="No",Q159="No",Q159=0),0,P159/Q159)
+IF(OR(U159="No",R159="No",S159="No"),0,R159/S159*(LEN(U159)-LEN(SUBSTITUTE(U159,",",""))+1))
+IF(OR(W159="No",X159="No"),0,W159/X159)
+IF(OR(AC159="No",AD159="No"),0,AC159/AD159)
+IF(OR(AK159="No",AH159="No",AI159="No"),0,AH159/AI159*(LEN(AK159)-LEN(SUBSTITUTE(AK159,",",""))+1))
)/(0.2*IF(OR(P159="No",Q159="No",Q159=0),0,1)
+IF(OR(U159="No",R159="No",S159="No"),0,LEN(U159)-LEN(SUBSTITUTE(U159,",",""))+1)
+IF(OR(W159="No",X159="No"),0,1)
+IF(OR(AC159="No",AD159="No"),0,1)
+IF(OR(AK159="No",AH159="No",AI159="No"),0,LEN(AK159)-LEN(SUBSTITUTE(AK159,",",""))+1))*62%)* 2)*(1 + (AO159 + _xlfn.XLOOKUP(B159,'Base stats'!B:B,'Base stats'!AS:AS) * 1.8) * 2) * 2.5 + 10 + H159 * 2,5)+IF(_xlfn.XLOOKUP(B159,'Base stats'!B:B,'Base stats'!AH:AH)=1,50,0)</f>
        <v>50</v>
      </c>
      <c r="BQ159" s="8">
        <f t="shared" si="19"/>
        <v>0.30000000000000004</v>
      </c>
      <c r="BR159" s="8" t="str">
        <f>_xlfn.XLOOKUP(B159,'Base stats'!B:B,'Base stats'!AD:AD)</f>
        <v>No</v>
      </c>
      <c r="BS159" s="2" t="str">
        <f>IF(AND(I159&lt;=0.95,OR(_xlfn.XLOOKUP(B159,'Base stats'!B:B,'Base stats'!AH:AH)=1,_xlfn.XLOOKUP(B159,'Base stats'!B:B,'Base stats'!Y:Y)="Carnivore",_xlfn.XLOOKUP(B159,'Base stats'!B:B,'Base stats'!Y:Y)="Omnivore",BC159&gt;0.1)),"true","false")</f>
        <v>true</v>
      </c>
      <c r="BT159" s="2" t="str">
        <f>IF(_xlfn.XLOOKUP(B159,'Base stats'!B:B,'Base stats'!AF:AF)=1,"true","false")</f>
        <v>false</v>
      </c>
      <c r="BU159" s="25" t="str">
        <f>IF(E159="BaseInsect","AnimalInsect",
IF(I159&gt;0.95,"AnimalExotic",
_xlfn.TEXTJOIN(", ",TRUE,
IF(AND(_xlfn.XLOOKUP(B159,'Base stats'!B:B,'Base stats'!O:O)=0,_xlfn.XLOOKUP(_xlfn.XLOOKUP(B159,'Base stats'!B:B,'Base stats'!E:E),Groups!A:A,Groups!B:B)&gt;0),"AnimalUncommon","AnimalCommon"),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stats'!AH:AH)=1,AND(BG159&lt;&gt;"None",BP159&gt;=60),ISNUMBER(SEARCH("Attack target",BN159))),"AnimalFighter","")
)))</f>
        <v>AnimalCommon, AnimalPet</v>
      </c>
      <c r="BV159" s="25" t="str">
        <f>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</f>
        <v/>
      </c>
      <c r="BW159" s="25" t="str">
        <f>IF(_xlfn.XLOOKUP(B159,'Base stats'!B:B,'Base stats'!AG:AG)=1,"true","false")</f>
        <v>false</v>
      </c>
      <c r="BX159" s="25">
        <f>IF(_xlfn.XLOOKUP(B159,'Base stats'!B:B,'Base stats'!N:N)=1,"No",MIN(MROUND(IF(OR(_xlfn.XLOOKUP(B159,'Base stats'!B:B,'Base stats'!AJ:AJ)=1,AND(BH159="True",CA159="False")),POWER(10,3.47*LOG10(_xlfn.XLOOKUP(B159,'Base stats'!B:B,'Base stats'!C:C)*1000)^-0.96),POWER(10,4.15*LOG10(_xlfn.XLOOKUP(B159,'Base stats'!B:B,'Base stats'!C:C)*1000)^-0.73))*IF(OR(_xlfn.XLOOKUP(B159,'Base stats'!B:B,'Base stats'!AJ:AJ)=1,_xlfn.XLOOKUP(B159,'Base stats'!B:B,'Base stats'!AH:AH)=1),0.5,1)/100,0.025),1))</f>
        <v>0.1</v>
      </c>
      <c r="BY159" s="25" t="str">
        <f>IF(O159="Standard","No",IF(_xlfn.XLOOKUP(B159,'Base stats'!B:B,'Base stats'!N:N)=0,MROUND(BX159*O159,0.05),MIN(1,MAX(0.025,MROUND(IF(OR(CA159="true",AND(BH159="false",BM159="false")),POWER(10,4.15*LOG10(_xlfn.XLOOKUP(B159,'Base stats'!B:B,'Base stats'!C:C)*1000)^-0.73),POWER(10,3.47*LOG10(_xlfn.XLOOKUP(B159,'Base stats'!B:B,'Base stats'!C:C)*1000)^-0.96))*IF(_xlfn.XLOOKUP(B159,'Base stats'!B:B,'Base stats'!AH:AH)=1,0.5,1)/100,0.025)))))</f>
        <v>No</v>
      </c>
      <c r="BZ159" s="25" t="str">
        <f>IF(_xlfn.XLOOKUP(_xlfn.XLOOKUP(B159,'Base stats'!B:B,'Base stats'!E:E),Groups!A:A,Groups!AJ:AJ)="Mammal","True","False")</f>
        <v>True</v>
      </c>
      <c r="CA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B159" s="25" t="str">
        <f t="shared" si="20"/>
        <v>False</v>
      </c>
      <c r="CC159" s="25" t="str">
        <f>IF(_xlfn.XLOOKUP(_xlfn.XLOOKUP(B159,'Base stats'!B:B,'Base stats'!E:E),Groups!A:A,Groups!AW:AW),"True","False")</f>
        <v>False</v>
      </c>
      <c r="CD159" s="25" t="str">
        <f>IF(_xlfn.XLOOKUP(_xlfn.XLOOKUP(B159,'Base stats'!B:B,'Base stats'!E:E),Groups!A:A,Groups!AX:AX),"True","False")</f>
        <v>False</v>
      </c>
      <c r="CE159" s="25" t="str">
        <f>IF(_xlfn.XLOOKUP(B159,'Base stats'!B:B,'Base stats'!E:E)=1,"True","False")</f>
        <v>False</v>
      </c>
      <c r="CF159" s="25" t="str">
        <f>IF(
OR(
_xlfn.XLOOKUP(_xlfn.XLOOKUP(B159,'Base stats'!B:B,'Base stats'!E:E),Groups!A:A,Groups!AY:AY)=0,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stats'!E:E),Groups!A:A,Groups!AY:AY)=1,
"Flesh",
IF(
_xlfn.XLOOKUP(_xlfn.XLOOKUP(B159,'Base stats'!B:B,'Base stats'!E:E),Groups!A:A,Groups!AY:AY)=2,
"Bone",
""
)
)
)</f>
        <v>No</v>
      </c>
      <c r="CG159" s="25" t="str">
        <f>IF(_xlfn.XLOOKUP(_xlfn.XLOOKUP(B159,'Base stats'!B:B,'Base stats'!E:E),Groups!A:A,Groups!BA:BA),"True","False")</f>
        <v>True</v>
      </c>
      <c r="CH159" s="25" t="str">
        <f>IF(_xlfn.XLOOKUP(_xlfn.XLOOKUP(B159,'Base stats'!B:B,'Base stats'!E:E),Groups!A:A,Groups!AZ:AZ),"True","False")</f>
        <v>False</v>
      </c>
    </row>
    <row r="160" spans="1:86" ht="16.5" thickTop="1" thickBot="1" x14ac:dyDescent="0.3">
      <c r="A160" s="26" t="str">
        <f>_xlfn.XLOOKUP(B160,'Base stats'!B:B,'Base stats'!A:A)</f>
        <v>Kalisk</v>
      </c>
      <c r="B160" s="6" t="s">
        <v>464</v>
      </c>
      <c r="C160" s="28" t="s">
        <v>853</v>
      </c>
      <c r="D160" s="28" t="s">
        <v>959</v>
      </c>
      <c r="E160" s="28" t="s">
        <v>685</v>
      </c>
      <c r="F160" s="28" t="s">
        <v>685</v>
      </c>
      <c r="G160" s="2">
        <f>MROUND((
  (IF(AND(_xlfn.XLOOKUP(B160,'Base stats'!B:B,'Base stats'!AI:AI)=0,BG160="None",_xlfn.XLOOKUP('Base stats'!E160,Groups!A:A,Groups!B:B)=0), (18 + BP160 * 2.7) * 0.5,
    IF(AND(_xlfn.XLOOKUP(B160,'Base stats'!B:B,'Base stats'!AI:AI)=0,OR(AN160&lt;0.55,AND(BG160="Intermediate",_xlfn.XLOOKUP('Base stats'!E160,Groups!A:A,Groups!B:B)&lt;2))), (18 + BP160 * 2.7),
      IF(OR(BG160="Advanced",_xlfn.XLOOKUP(B160,'Base stats'!B:B,'Base stats'!AI:AI)=1,_xlfn.XLOOKUP('Base stats'!E160,Groups!A:A,Groups!B:B)=2), (18 + BP160 * 2.7) + 250, (18 + BP160 * 2.7))
    )
  ))
  + AN160 * 80
  + IF(COUNTIF(EggMilk!K$2:K$998, A160) &gt; 0, 125, 0)
  + IF(COUNTIF(EggMilk!P$2:P$998, A160) &gt; 0, 90, 0)
  + IF(COUNTIF(EggMilk!A$2:A$998, A160) &gt; 0, 90, 0)
)
* (0.8 + 0.4 * I160)
* 0.75,25)</f>
        <v>4775</v>
      </c>
      <c r="H160" s="2">
        <f>MROUND(ROUNDDOWN(_xlfn.XLOOKUP(B160,'Base stats'!B:B,'Base stats'!L:L)/3.6/(23.3/11),1),0.5)</f>
        <v>5.5</v>
      </c>
      <c r="I160" s="2">
        <f>IF(_xlfn.XLOOKUP(B160,'Base stats'!B:B,'Base stats'!AI:AI)=1,0.99,MIN(MROUND((1-0.6282*EXP(-0.459*AN160))*_xlfn.XLOOKUP(_xlfn.XLOOKUP(B160,'Base stats'!B:B,'Base stats'!E:E),Groups!A:A,Groups!C:C)*IF(_xlfn.XLOOKUP(B160,'Base stats'!B:B,'Base stats'!O:O)=1,0.5,IF(_xlfn.XLOOKUP(B160,'Base stats'!B:B,'Base stats'!O:O)=2,0,1)),0.05),0.985))</f>
        <v>0.99</v>
      </c>
      <c r="J160" s="2">
        <f>ROUNDUP(AN160*_xlfn.XLOOKUP(_xlfn.XLOOKUP(B160,'Base stats'!B:B,'Base stats'!E:E),Groups!A:A,Groups!E:E),0)</f>
        <v>7</v>
      </c>
      <c r="K160" s="2">
        <f>IF(OR(_xlfn.XLOOKUP(_xlfn.XLOOKUP(B160,'Base stats'!B:B,'Base stats'!E:E),Groups!A:A,Groups!F:F)=2,ISNUMBER(SEARCH("SeaIce",BV160)),ISNUMBER(SEARCH("IceSheet",BV160))),-50,IF(OR(ISNUMBER(SEARCH("GlacialPlain",BV160)),ISNUMBER(SEARCH("Tundra",BV160))),-40,IF(OR(ISNUMBER(SEARCH("Alpine",BV160)),ISNUMBER(SEARCH("BorealForest",BV160)),ISNUMBER(SEARCH("ColdBog",BV160))),-30,IF(OR(ISNUMBER(SEARCH("TemperateForest",BV160)),ISNUMBER(SEARCH("TemperateSwamp",BV160))),-20,IF(_xlfn.XLOOKUP(_xlfn.XLOOKUP(B160,'Base stats'!B:B,'Base stats'!E:E),Groups!A:A,Groups!F:F)=1,-15,IF(OR(ISNUMBER(SEARCH("Desert",BV160)),ISNUMBER(SEARCH("ExtremeDesert",BV160))),-10,IF(OR(ISNUMBER(SEARCH("Grasslands",BV160)),ISNUMBER(SEARCH("TropicalRainforest",BV160)),ISNUMBER(SEARCH("TropicalSwamp",BV160))),10,0)))))))-IF(CA160="False",MIN(IFERROR(MAX(MROUND(LOG10(_xlfn.XLOOKUP(B160,'Base stats'!B:B,'Base stats'!C:C)^(2/3))*10,5),5),5),30))-_xlfn.XLOOKUP(B160,'Base stats'!B:B,'Base stats'!P:P)+IF(CA160="True",5,0)</f>
        <v>-25</v>
      </c>
      <c r="L160" s="2">
        <f>IF(OR(_xlfn.XLOOKUP(_xlfn.XLOOKUP(B160,'Base stats'!B:B,'Base stats'!E:E),Groups!A:A,Groups!G:G)=2,ISNUMBER(SEARCH("Desert",BV160)),ISNUMBER(SEARCH("ExtremeDesert",BV160)),ISNUMBER(SEARCH("LavaField",BV160))),50,IF(ISNUMBER(SEARCH("Grasslands",BV160)),45,IF(OR(_xlfn.XLOOKUP(_xlfn.XLOOKUP(B160,'Base stats'!B:B,'Base stats'!E:E),Groups!A:A,Groups!G:G)=1,ISNUMBER(SEARCH("TropicalRainforest",BV160)),ISNUMBER(SEARCH("TropicalSwamp",BV160))),40,IF(OR(ISNUMBER(SEARCH("TemperateForest",BV160)),ISNUMBER(SEARCH("TemperateSwamp",BV160))),35,IF(OR(ISNUMBER(SEARCH("Alpine",BV160)),ISNUMBER(SEARCH("BorealForest",BV160)),ISNUMBER(SEARCH("ColdBog",BV160))),30,IF(ISNUMBER(OR(ISNUMBER(SEARCH("GlacialPlain",BV160)),SEARCH("Tundra",BV160))),25,IF(OR(ISNUMBER(SEARCH("SeaIce",BV160)),ISNUMBER(SEARCH("IceSheet",BV160)),ISNUMBER(SEARCH("TropicalSwamp",BV160))),10,35)))))))+_xlfn.XLOOKUP(B160,'Base stats'!B:B,'Base stats'!Q:Q)</f>
        <v>35</v>
      </c>
      <c r="M160" s="8">
        <f>IF(_xlfn.XLOOKUP(_xlfn.XLOOKUP(B160,'Base stats'!B:B,'Base stats'!E:E),Groups!A:A,Groups!L:L)=1,MIN(MROUND(_xlfn.XLOOKUP(B160,'Animals CE'!B:B,'Animals CE'!Z:Z)/2+0.05,0.05),200%),"No")</f>
        <v>1.3</v>
      </c>
      <c r="N160" s="8">
        <f>IF(_xlfn.XLOOKUP(_xlfn.XLOOKUP(B160,'Base stats'!B:B,'Base stats'!E:E),Groups!A:A,Groups!L:L)=1,MIN(MROUND(_xlfn.XLOOKUP(B160,'Animals CE'!B:B,'Animals CE'!AA:AA)/2+0.05,0.05),200%),"No")</f>
        <v>1.3</v>
      </c>
      <c r="O160" s="2">
        <f>_xlfn.XLOOKUP(B160,'Base stats'!B:B,'Base stats'!R:R)</f>
        <v>1</v>
      </c>
      <c r="P160" s="13">
        <f>MROUND((LOG10(_xlfn.XLOOKUP(B160,'Base stats'!B:B,'Base stats'!AO:AO))*(AN160^0.5)+(_xlfn.XLOOKUP(B160,'Base stats'!B:B,'Base stats'!AO:AO)/1000)^(2/3)+_xlfn.XLOOKUP(B160,'Base stats'!B:B,'Base stats'!AX:AX)/2)+0.5,0.5)</f>
        <v>50</v>
      </c>
      <c r="Q160" s="7">
        <f>IF(P160="No","No",MAX(1,MROUND(_xlfn.XLOOKUP(B160,'Base stats'!B:B,'Base stats'!C:C)^0.165,0.05)))</f>
        <v>4.55</v>
      </c>
      <c r="R160" s="13" t="str">
        <f>IF(_xlfn.XLOOKUP(_xlfn.XLOOKUP(B160,'Base stats'!B:B,'Base stats'!E:E),Groups!A:A,Groups!P:P)=0,"No",MROUND((LOG10(_xlfn.XLOOKUP(B160,'Base stats'!B:B,'Base stats'!AP:AP))*(AN160^0.5)+(_xlfn.XLOOKUP(B160,'Base stats'!B:B,'Base stats'!AP:AP)/1000)^(2/3)+_xlfn.XLOOKUP(B160,'Base stats'!B:B,'Base stats'!AX:AX))+_xlfn.XLOOKUP(B160,'Base stats'!B:B,'Base stats'!AV:AV)+0.5,0.5))</f>
        <v>No</v>
      </c>
      <c r="S160" s="7" t="str">
        <f>IF(R160="No","No",MAX(_xlfn.XLOOKUP(_xlfn.XLOOKUP(B160,'Base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T160" s="7" t="str">
        <f>IF(R160="No","No",_xlfn.XLOOKUP(_xlfn.XLOOKUP(B160,'Base stats'!B:B,'Base stats'!E:E),Groups!A:A,Groups!R:R))</f>
        <v>No</v>
      </c>
      <c r="U160" s="7" t="str">
        <f>IF(R160="No","No",_xlfn.XLOOKUP(_xlfn.XLOOKUP(B160,'Base stats'!B:B,'Base stats'!E:E),Groups!A:A,Groups!S:S))</f>
        <v>No</v>
      </c>
      <c r="V160" s="7" t="str">
        <f>IF(R160="No","No",_xlfn.XLOOKUP(_xlfn.XLOOKUP(B160,'Base stats'!B:B,'Base stats'!E:E),Groups!A:A,Groups!T:T))</f>
        <v>No</v>
      </c>
      <c r="W160" s="13" t="str">
        <f>IF(_xlfn.XLOOKUP(B160,'Base stats'!B:B,'Base stats'!W:W)="No","No",MROUND((LOG10(_xlfn.XLOOKUP(B160,'Base stats'!B:B,'Base stats'!AR:AR))*(AN160^0.5)+(_xlfn.XLOOKUP(B160,'Base stats'!B:B,'Base stats'!AR:AR)/1000)^(2/3)+_xlfn.XLOOKUP(B160,'Base stats'!B:B,'Base stats'!AW:AW))+0.5+IF(_xlfn.XLOOKUP(_xlfn.XLOOKUP(B160,'Base stats'!B:B,'Base stats'!E:E),Groups!A:A,Groups!U:U)&lt;&gt;3,_xlfn.XLOOKUP(B160,'Base stats'!B:B,'Base stats'!AX:AX),0),0.5))</f>
        <v>No</v>
      </c>
      <c r="X160" s="7" t="str">
        <f>IF(W160="No","No",MAX(_xlfn.XLOOKUP(_xlfn.XLOOKUP(B160,'Base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Y160" s="7" t="str">
        <f>IF(W160="No","No",_xlfn.XLOOKUP(_xlfn.XLOOKUP(B160,'Base stats'!B:B,'Base stats'!E:E),Groups!A:A,Groups!W:W))</f>
        <v>No</v>
      </c>
      <c r="Z160" s="7" t="str">
        <f>IF(W160="No","No",_xlfn.XLOOKUP(_xlfn.XLOOKUP(B160,'Base stats'!B:B,'Base stats'!E:E),Groups!A:A,Groups!X:X))</f>
        <v>No</v>
      </c>
      <c r="AA160" s="7" t="str">
        <f>IF(W160="No","No",_xlfn.XLOOKUP(_xlfn.XLOOKUP(B160,'Base stats'!B:B,'Base stats'!E:E),Groups!A:A,Groups!Y:Y))</f>
        <v>No</v>
      </c>
      <c r="AB160" s="7" t="str">
        <f>_xlfn.XLOOKUP(Animals!B160,'Base stats'!B:B,'Base stats'!X:X)</f>
        <v>False</v>
      </c>
      <c r="AC160" s="13">
        <f>IF(_xlfn.XLOOKUP(B160,'Base stats'!B:B,'Base stats'!AQ:AQ)="No","No",MROUND((LOG10(_xlfn.XLOOKUP(B160,'Base stats'!B:B,'Base stats'!AQ:AQ))*(AN160^0.75)+(_xlfn.XLOOKUP(B160,'Base stats'!B:B,'Base stats'!AQ:AQ)/1000)^(2/3)+_xlfn.XLOOKUP(B160,'Base stats'!B:B,'Base stats'!AU:AU)+_xlfn.XLOOKUP(B160,'Base stats'!B:B,'Base stats'!AX:AX))+0.5,0.5))</f>
        <v>62.5</v>
      </c>
      <c r="AD160" s="7">
        <f>IF(AC160="No","No",MAX(_xlfn.XLOOKUP(_xlfn.XLOOKUP(B160,'Base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E160" s="7" t="str">
        <f>IF(AC160="No","No",_xlfn.XLOOKUP(_xlfn.XLOOKUP(B160,'Base stats'!B:B,'Base stats'!E:E),Groups!A:A,Groups!AA:AA))</f>
        <v>Teeth</v>
      </c>
      <c r="AF160" s="7" t="str">
        <f>IF(AC160="No","No",_xlfn.XLOOKUP(_xlfn.XLOOKUP(B160,'Base stats'!B:B,'Base stats'!E:E),Groups!A:A,Groups!AB:AB))</f>
        <v>teeth</v>
      </c>
      <c r="AG160" s="7" t="str">
        <f>IF(AC160="No","No",_xlfn.XLOOKUP(_xlfn.XLOOKUP(B160,'Base stats'!B:B,'Base stats'!E:E),Groups!A:A,Groups!AC:AC))</f>
        <v>Bite</v>
      </c>
      <c r="AH160" s="13">
        <f>IF(_xlfn.XLOOKUP(_xlfn.XLOOKUP(B160,'Base stats'!B:B,'Base stats'!E:E),Groups!A:A,Groups!AD:AD)=0,"No",MROUND((LOG10(_xlfn.XLOOKUP(B160,'Base stats'!B:B,'Base stats'!AP:AP))*(AN160^0.75)+(_xlfn.XLOOKUP(B160,'Base stats'!B:B,'Base stats'!AP:AP)/1000)^(2/3)+_xlfn.XLOOKUP(B160,'Base stats'!B:B,'Base stats'!AV:AV)+_xlfn.XLOOKUP(B160,'Base stats'!B:B,'Base stats'!AX:AX))+0.5,0.5))</f>
        <v>68</v>
      </c>
      <c r="AI160" s="7">
        <f>IF(AH160="No","No",MAX(_xlfn.XLOOKUP(_xlfn.XLOOKUP(B160,'Base stats'!B:B,'Base stats'!E:E),Groups!A:A,Groups!AE:AE),MROUND(_xlfn.XLOOKUP(_xlfn.XLOOKUP(B160,'Base stats'!B:B,'Base stats'!E:E),Groups!A:A,Groups!AE:AE)*_xlfn.XLOOKUP(B160,'Base stats'!B:B,'Base stats'!C:C)^0.165,0.05)))</f>
        <v>2.95</v>
      </c>
      <c r="AJ160" s="7" t="str">
        <f>IF(AH160="No","No",_xlfn.XLOOKUP(_xlfn.XLOOKUP(B160,'Base stats'!B:B,'Base stats'!E:E),Groups!A:A,Groups!AF:AF))</f>
        <v>FrontRightPaw, FrontRightPaw</v>
      </c>
      <c r="AK160" s="7" t="str">
        <f>IF(AH160="No","No",_xlfn.XLOOKUP(_xlfn.XLOOKUP(B160,'Base stats'!B:B,'Base stats'!E:E),Groups!A:A,Groups!AG:AG))</f>
        <v>left claw, right claw</v>
      </c>
      <c r="AL160" s="7" t="str">
        <f>IF(AH160="No","No",_xlfn.XLOOKUP(_xlfn.XLOOKUP(B160,'Base stats'!B:B,'Base stats'!E:E),Groups!A:A,Groups!AH:AH))</f>
        <v>Scratch</v>
      </c>
      <c r="AM160" s="2">
        <f t="shared" si="14"/>
        <v>50</v>
      </c>
      <c r="AN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O160" s="8">
        <f>MROUND(AN160*_xlfn.XLOOKUP(_xlfn.XLOOKUP(B160,'Base stats'!B:B,'Base stats'!E:E),Groups!A:A,Groups!AI:AI),0.05)</f>
        <v>9.75</v>
      </c>
      <c r="AP160" s="8">
        <f>MAX(0.01,MROUND(IF(CA160="True",0.196*(AN160*100*1000)^0.889,IF(_xlfn.XLOOKUP(_xlfn.XLOOKUP(B160,'Base stats'!B:B,'Base stats'!E:E),Groups!A:A,Groups!AJ:AJ)="Bird",10.5*(AN160*100*1000)^0.681,4.82*(AN160*100*1000)^0.734))/(4.82*(1*100*1000)^0.734)/IF(AN160&lt;3.5,2,IF(AN160=3.5,1.5,1.25))*(1+0.132282374779864/(AN160^0.994035016789033+0.00905238001496948)),0.05))</f>
        <v>3.45</v>
      </c>
      <c r="AQ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R160" s="35">
        <f>IFERROR(IF(_xlfn.XLOOKUP(B160,'Base stats'!B:B,'Base stats'!F:F)="Lay eggs","Lay eggs",MIN(20,MAX(5.5,ROUND(((_xlfn.XLOOKUP(B160,'Base stats'!B:B,'Base stats'!F:F)-25)*(14.5/615) + 5.5)*2,0)/2))),"Cannot breed")</f>
        <v>18.5</v>
      </c>
      <c r="AS160" s="8">
        <f>IF(OR(A160="Queen",A160="Larva",A160="Megachicken"),"No",IFERROR(MAX(IF(_xlfn.XLOOKUP(B160,'Base stats'!B:B,'Base stats'!G:G)&lt;0.5,0.2,0.3),MROUND(_xlfn.XLOOKUP(B160,'Base stats'!B:B,'Base stats'!G:G)/(365/60),0.2)),"Unknown"))</f>
        <v>2.4000000000000004</v>
      </c>
      <c r="AT160" s="8">
        <f t="shared" si="15"/>
        <v>1.2000000000000002</v>
      </c>
      <c r="AU160" s="8">
        <f>IFERROR(IFERROR(MROUND(_xlfn.XLOOKUP(B160,'Base stats'!B:B,'Base stats'!J:J),0.1),"Lay eggs"),"Cannot breed")</f>
        <v>1</v>
      </c>
      <c r="AV160" s="2" t="str">
        <f t="shared" si="16"/>
        <v>false</v>
      </c>
      <c r="AW160" s="2" t="str">
        <f>IF(_xlfn.XLOOKUP(_xlfn.XLOOKUP(Animals!B160,'Base stats'!B:B,'Base stats'!E:E),Groups!A:A,Groups!AK:AK)=1,"true","false")</f>
        <v>false</v>
      </c>
      <c r="AX160" s="25" t="str">
        <f>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</f>
        <v>CarnivoreAnimal, OvivoreAnimal</v>
      </c>
      <c r="AY160" s="2" t="str">
        <f>IF(_xlfn.XLOOKUP(_xlfn.XLOOKUP(B160,'Base stats'!B:B,'Base stats'!E:E),Groups!A:A,Groups!D:D)=1,MROUND((1-I160)*5+1,2)*IF(I160&lt;=0.4,2,1),"No")</f>
        <v>No</v>
      </c>
      <c r="AZ160" s="2" t="str">
        <f>_xlfn.XLOOKUP(B160,'Base stats'!B:B,'Base stats'!AE:AE)</f>
        <v>Leather_Kalisk</v>
      </c>
      <c r="BA160" s="23" t="str">
        <f>_xlfn.XLOOKUP(_xlfn.XLOOKUP(B160,'Base stats'!B:B,'Base stats'!E:E),Groups!A:A,Groups!AL:AL)</f>
        <v>QuadrupedAnimalWithPawsAndTail</v>
      </c>
      <c r="BB160" s="23">
        <f>MROUND(IF(AND(AN160&lt;0.5,_xlfn.XLOOKUP(B160,'Base stats'!B:B,'Base stats'!Z:Z)=0),0,IF(OR(_xlfn.XLOOKUP(Animals!B160,'Base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stats'!AA:AA),0.005)</f>
        <v>1</v>
      </c>
      <c r="BC160" s="23">
        <f>MROUND(IF(AND(AN160&lt;0.5,_xlfn.XLOOKUP(B160,'Base stats'!B:B,'Base stats'!Z:Z)=0),0,IF(_xlfn.XLOOKUP(_xlfn.XLOOKUP(B160,'Base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stats'!AB:AB),0.005)</f>
        <v>1</v>
      </c>
      <c r="BD160" s="2" t="str">
        <f>IF(I160&gt;0.3,"No",_xlfn.XLOOKUP(_xlfn.XLOOKUP(Animals!B160,'Base stats'!B:B,'Base stats'!E:E),Groups!A:A,Groups!AP:AP))</f>
        <v>No</v>
      </c>
      <c r="BE160" s="2" t="str">
        <f>IF(AND(I160&lt;=0.65,_xlfn.XLOOKUP(_xlfn.XLOOKUP(Animals!B160,'Base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stats'!O:O)=2,0.2,AN160) + 24*(1-IF(BD160="No",0,BD160)) + 16/3, 12),"No")</f>
        <v>No</v>
      </c>
      <c r="BF160" s="2">
        <f>IF(AND(_xlfn.XLOOKUP(_xlfn.XLOOKUP(B160,'Base stats'!B:B,'Base stats'!E:E),Groups!A:A,Groups!AQ:AQ)=1,AN160&lt;=0.35),8,12)</f>
        <v>12</v>
      </c>
      <c r="BG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H160" s="2" t="str">
        <f>IF(AND(_xlfn.XLOOKUP(_xlfn.XLOOKUP(B160,'Base stats'!B:B,'Base stats'!E:E),Groups!A:A,Groups!AS:AS)=1,OR('Base stats'!Y160="Carnivore",'Base stats'!Y160="Omnivore")),"true","false")</f>
        <v>true</v>
      </c>
      <c r="BI160" s="2">
        <f>IF(BH160="true",MROUND(IF(AND(AN160&gt;0.5,_xlfn.XLOOKUP(_xlfn.XLOOKUP(B160,'Base stats'!B:B,'Base stats'!E:E),Groups!A:A,Groups!AJ:AJ)="Mammal"),Animals!AN160*1.75*IF(AV160="true",1.5,1),Animals!AN160),IF(AN160&gt;2,0.5,IF(AN160&gt;0.5,0.25,0.1))),"No")</f>
        <v>6.5</v>
      </c>
      <c r="BJ160" s="2">
        <f t="shared" si="17"/>
        <v>1</v>
      </c>
      <c r="BK160" s="25" t="str">
        <f>IF('Base stats'!AK160="Standard","No",MROUND((_xlfn.XLOOKUP(B160,'Base stats'!B:B,'Base stats'!AK:AK)/3.6)/H160,0.1))</f>
        <v>No</v>
      </c>
      <c r="BL160" s="25" t="str">
        <f t="shared" si="18"/>
        <v>false</v>
      </c>
      <c r="BM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N160" s="25" t="str" cm="1">
        <f t="array" ref="BN160">IF(
  _xlfn.TEXTJOIN(", ",TRUE,
    IF(AND(BH160="true",AN160&gt;0.5,BG160&lt;&gt;"None"),"AttackTarget",""),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IF(BE160&lt;=36,"Comfort",""),
    IF(_xlfn.XLOOKUP(B160,'Base stats'!B:B,'Base stats'!AC:AC)&lt;&gt;"No",_xlfn.XLOOKUP(B160,'Base stats'!B:B,'Base stats'!AC:AC),"")
  ) = "",
  "No",
  _xlfn.TEXTJOIN(", ",TRUE,
    IF(AND(BH160="true",AN160&gt;0.5,BG160&lt;&gt;"None"),"AttackTarget",""),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IF(BE160&lt;=36,"Comfort",""),
    IF(_xlfn.XLOOKUP(B160,'Base stats'!B:B,'Base stats'!AC:AC)&lt;&gt;"No",_xlfn.XLOOKUP(B160,'Base stats'!B:B,'Base stats'!AC:AC),"")
  )
)</f>
        <v>AttackTarget</v>
      </c>
      <c r="BO160" s="25" t="str">
        <f>IF(
   AND(
      'Base stats'!AK160="Standard",_xlfn.XLOOKUP(_xlfn.XLOOKUP(B160,'Base stats'!B:B,'Base stats'!E:E),Groups!A:A,Groups!AU:AU)=0,
      OR(
      BM160="True"
      )
   ),
   10,
   IF(
       OR(BK160&lt;&gt;"No",_xlfn.XLOOKUP(_xlfn.XLOOKUP(B160,'Base stats'!B:B,'Base stats'!E:E),Groups!A:A,Groups!AU:AU)=1),
      1,
      "No"
   )
)</f>
        <v>No</v>
      </c>
      <c r="BP160" s="9">
        <f>MROUND((1 + ((0.2*IF(OR(P160="No",Q160="No",Q160=0),0,P160/Q160)
+IF(OR(U160="No",R160="No",S160="No"),0,R160/S160*(LEN(U160)-LEN(SUBSTITUTE(U160,",",""))+1))
+IF(OR(W160="No",X160="No"),0,W160/X160)
+IF(OR(AC160="No",AD160="No"),0,AC160/AD160)
+IF(OR(AK160="No",AH160="No",AI160="No"),0,AH160/AI160*(LEN(AK160)-LEN(SUBSTITUTE(AK160,",",""))+1))
)/(0.2*IF(OR(P160="No",Q160="No",Q160=0),0,1)
+IF(OR(U160="No",R160="No",S160="No"),0,LEN(U160)-LEN(SUBSTITUTE(U160,",",""))+1)
+IF(OR(W160="No",X160="No"),0,1)
+IF(OR(AC160="No",AD160="No"),0,1)
+IF(OR(AK160="No",AH160="No",AI160="No"),0,LEN(AK160)-LEN(SUBSTITUTE(AK160,",",""))+1))*62%)* 2)*(1 + (AO160 + _xlfn.XLOOKUP(B160,'Base stats'!B:B,'Base stats'!AS:AS) * 1.8) * 2) * 2.5 + 10 + H160 * 2,5)+IF(_xlfn.XLOOKUP(B160,'Base stats'!B:B,'Base stats'!AH:AH)=1,50,0)</f>
        <v>1680</v>
      </c>
      <c r="BQ160" s="8">
        <f t="shared" si="19"/>
        <v>4.05</v>
      </c>
      <c r="BR160" s="8" t="str">
        <f>_xlfn.XLOOKUP(B160,'Base stats'!B:B,'Base stats'!AD:AD)</f>
        <v>No</v>
      </c>
      <c r="BS160" s="2" t="str">
        <f>IF(AND(I160&lt;=0.95,OR(_xlfn.XLOOKUP(B160,'Base stats'!B:B,'Base stats'!AH:AH)=1,_xlfn.XLOOKUP(B160,'Base stats'!B:B,'Base stats'!Y:Y)="Carnivore",_xlfn.XLOOKUP(B160,'Base stats'!B:B,'Base stats'!Y:Y)="Omnivore",BC160&gt;0.1)),"true","false")</f>
        <v>false</v>
      </c>
      <c r="BT160" s="2" t="str">
        <f>IF(_xlfn.XLOOKUP(B160,'Base stats'!B:B,'Base stats'!AF:AF)=1,"true","false")</f>
        <v>false</v>
      </c>
      <c r="BU160" s="25" t="str">
        <f>IF(E160="BaseInsect","AnimalInsect",
IF(I160&gt;0.95,"AnimalExotic",
_xlfn.TEXTJOIN(", ",TRUE,
IF(AND(_xlfn.XLOOKUP(B160,'Base stats'!B:B,'Base stats'!O:O)=0,_xlfn.XLOOKUP(_xlfn.XLOOKUP(B160,'Base stats'!B:B,'Base stats'!E:E),Groups!A:A,Groups!B:B)&gt;0),"AnimalUncommon","AnimalCommon"),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stats'!AH:AH)=1,AND(BG160&lt;&gt;"None",BP160&gt;=60),ISNUMBER(SEARCH("Attack target",BN160))),"AnimalFighter","")
)))</f>
        <v>AnimalExotic</v>
      </c>
      <c r="BV160" s="25" t="str">
        <f>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</f>
        <v/>
      </c>
      <c r="BW160" s="25" t="str">
        <f>IF(_xlfn.XLOOKUP(B160,'Base stats'!B:B,'Base stats'!AG:AG)=1,"true","false")</f>
        <v>false</v>
      </c>
      <c r="BX160" s="25">
        <f>IF(_xlfn.XLOOKUP(B160,'Base stats'!B:B,'Base stats'!N:N)=1,"No",MIN(MROUND(IF(OR(_xlfn.XLOOKUP(B160,'Base stats'!B:B,'Base stats'!AJ:AJ)=1,AND(BH160="True",CA160="False")),POWER(10,3.47*LOG10(_xlfn.XLOOKUP(B160,'Base stats'!B:B,'Base stats'!C:C)*1000)^-0.96),POWER(10,4.15*LOG10(_xlfn.XLOOKUP(B160,'Base stats'!B:B,'Base stats'!C:C)*1000)^-0.73))*IF(OR(_xlfn.XLOOKUP(B160,'Base stats'!B:B,'Base stats'!AJ:AJ)=1,_xlfn.XLOOKUP(B160,'Base stats'!B:B,'Base stats'!AH:AH)=1),0.5,1)/100,0.025),1))</f>
        <v>2.5000000000000001E-2</v>
      </c>
      <c r="BY160" s="25">
        <f>IF(O160="Standard","No",IF(_xlfn.XLOOKUP(B160,'Base stats'!B:B,'Base stats'!N:N)=0,MROUND(BX160*O160,0.05),MIN(1,MAX(0.025,MROUND(IF(OR(CA160="true",AND(BH160="false",BM160="false")),POWER(10,4.15*LOG10(_xlfn.XLOOKUP(B160,'Base stats'!B:B,'Base stats'!C:C)*1000)^-0.73),POWER(10,3.47*LOG10(_xlfn.XLOOKUP(B160,'Base stats'!B:B,'Base stats'!C:C)*1000)^-0.96))*IF(_xlfn.XLOOKUP(B160,'Base stats'!B:B,'Base stats'!AH:AH)=1,0.5,1)/100,0.025)))))</f>
        <v>0.05</v>
      </c>
      <c r="BZ160" s="25" t="str">
        <f>IF(_xlfn.XLOOKUP(_xlfn.XLOOKUP(B160,'Base stats'!B:B,'Base stats'!E:E),Groups!A:A,Groups!AJ:AJ)="Mammal","True","False")</f>
        <v>False</v>
      </c>
      <c r="CA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B160" s="25" t="str">
        <f t="shared" si="20"/>
        <v>True</v>
      </c>
      <c r="CC160" s="25" t="str">
        <f>IF(_xlfn.XLOOKUP(_xlfn.XLOOKUP(B160,'Base stats'!B:B,'Base stats'!E:E),Groups!A:A,Groups!AW:AW),"True","False")</f>
        <v>True</v>
      </c>
      <c r="CD160" s="25" t="str">
        <f>IF(_xlfn.XLOOKUP(_xlfn.XLOOKUP(B160,'Base stats'!B:B,'Base stats'!E:E),Groups!A:A,Groups!AX:AX),"True","False")</f>
        <v>True</v>
      </c>
      <c r="CE160" s="25" t="str">
        <f>IF(_xlfn.XLOOKUP(B160,'Base stats'!B:B,'Base stats'!E:E)=1,"True","False")</f>
        <v>False</v>
      </c>
      <c r="CF160" s="25" t="str">
        <f>IF(
OR(
_xlfn.XLOOKUP(_xlfn.XLOOKUP(B160,'Base stats'!B:B,'Base stats'!E:E),Groups!A:A,Groups!AY:AY)=0,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stats'!E:E),Groups!A:A,Groups!AY:AY)=1,
"Flesh",
IF(
_xlfn.XLOOKUP(_xlfn.XLOOKUP(B160,'Base stats'!B:B,'Base stats'!E:E),Groups!A:A,Groups!AY:AY)=2,
"Bone",
""
)
)
)</f>
        <v>No</v>
      </c>
      <c r="CG160" s="25" t="str">
        <f>IF(_xlfn.XLOOKUP(_xlfn.XLOOKUP(B160,'Base stats'!B:B,'Base stats'!E:E),Groups!A:A,Groups!BA:BA),"True","False")</f>
        <v>True</v>
      </c>
      <c r="CH160" s="25" t="str">
        <f>IF(_xlfn.XLOOKUP(_xlfn.XLOOKUP(B160,'Base stats'!B:B,'Base stats'!E:E),Groups!A:A,Groups!AZ:AZ),"True","False")</f>
        <v>False</v>
      </c>
    </row>
    <row r="161" spans="1:86" s="16" customFormat="1" ht="16.5" thickTop="1" thickBot="1" x14ac:dyDescent="0.3">
      <c r="A161" s="26" t="str">
        <f>_xlfn.XLOOKUP(B161,'Base stats'!B:B,'Base stats'!A:A)</f>
        <v>RoyalTiger</v>
      </c>
      <c r="B161" s="6" t="s">
        <v>1161</v>
      </c>
      <c r="C161" s="28" t="s">
        <v>1162</v>
      </c>
      <c r="D161" s="28" t="s">
        <v>1163</v>
      </c>
      <c r="E161" s="28" t="s">
        <v>685</v>
      </c>
      <c r="F161" s="28" t="s">
        <v>685</v>
      </c>
      <c r="G161" s="2">
        <f>MROUND((
  (IF(AND(_xlfn.XLOOKUP(B161,'Base stats'!B:B,'Base stats'!AI:AI)=0,BG161="None",_xlfn.XLOOKUP('Base stats'!E161,Groups!A:A,Groups!B:B)=0), (18 + BP161 * 2.7) * 0.5,
    IF(AND(_xlfn.XLOOKUP(B161,'Base stats'!B:B,'Base stats'!AI:AI)=0,OR(AN161&lt;0.55,AND(BG161="Intermediate",_xlfn.XLOOKUP('Base stats'!E161,Groups!A:A,Groups!B:B)&lt;2))), (18 + BP161 * 2.7),
      IF(OR(BG161="Advanced",_xlfn.XLOOKUP(B161,'Base stats'!B:B,'Base stats'!AI:AI)=1,_xlfn.XLOOKUP('Base stats'!E161,Groups!A:A,Groups!B:B)=2), (18 + BP161 * 2.7) + 250, (18 + BP161 * 2.7))
    )
  ))
  + AN161 * 80
  + IF(COUNTIF(EggMilk!K$2:K$998, A161) &gt; 0, 125, 0)
  + IF(COUNTIF(EggMilk!P$2:P$998, A161) &gt; 0, 90, 0)
  + IF(COUNTIF(EggMilk!A$2:A$998, A161) &gt; 0, 90, 0)
)
* (0.8 + 0.4 * I161)
* 0.75,25)</f>
        <v>1000</v>
      </c>
      <c r="H161" s="2">
        <f>MROUND(ROUNDDOWN(_xlfn.XLOOKUP(B161,'Base stats'!B:B,'Base stats'!L:L)/3.6/(23.3/11),1),0.5)</f>
        <v>6.5</v>
      </c>
      <c r="I161" s="2">
        <f>IF(_xlfn.XLOOKUP(B161,'Base stats'!B:B,'Base stats'!AI:AI)=1,0.99,MIN(MROUND((1-0.6282*EXP(-0.459*AN161))*_xlfn.XLOOKUP(_xlfn.XLOOKUP(B161,'Base stats'!B:B,'Base stats'!E:E),Groups!A:A,Groups!C:C)*IF(_xlfn.XLOOKUP(B161,'Base stats'!B:B,'Base stats'!O:O)=1,0.5,IF(_xlfn.XLOOKUP(B161,'Base stats'!B:B,'Base stats'!O:O)=2,0,1)),0.05),0.985))</f>
        <v>0.5</v>
      </c>
      <c r="J161" s="2">
        <f>ROUNDUP(AN161*_xlfn.XLOOKUP(_xlfn.XLOOKUP(B161,'Base stats'!B:B,'Base stats'!E:E),Groups!A:A,Groups!E:E),0)</f>
        <v>3</v>
      </c>
      <c r="K161" s="2">
        <f>IF(OR(_xlfn.XLOOKUP(_xlfn.XLOOKUP(B161,'Base stats'!B:B,'Base stats'!E:E),Groups!A:A,Groups!F:F)=2,ISNUMBER(SEARCH("SeaIce",BV161)),ISNUMBER(SEARCH("IceSheet",BV161))),-50,IF(OR(ISNUMBER(SEARCH("GlacialPlain",BV161)),ISNUMBER(SEARCH("Tundra",BV161))),-40,IF(OR(ISNUMBER(SEARCH("Alpine",BV161)),ISNUMBER(SEARCH("BorealForest",BV161)),ISNUMBER(SEARCH("ColdBog",BV161))),-30,IF(OR(ISNUMBER(SEARCH("TemperateForest",BV161)),ISNUMBER(SEARCH("TemperateSwamp",BV161))),-20,IF(_xlfn.XLOOKUP(_xlfn.XLOOKUP(B161,'Base stats'!B:B,'Base stats'!E:E),Groups!A:A,Groups!F:F)=1,-15,IF(OR(ISNUMBER(SEARCH("Desert",BV161)),ISNUMBER(SEARCH("ExtremeDesert",BV161))),-10,IF(OR(ISNUMBER(SEARCH("Grasslands",BV161)),ISNUMBER(SEARCH("TropicalRainforest",BV161)),ISNUMBER(SEARCH("TropicalSwamp",BV161))),10,0)))))))-IF(CA161="False",MIN(IFERROR(MAX(MROUND(LOG10(_xlfn.XLOOKUP(B161,'Base stats'!B:B,'Base stats'!C:C)^(2/3))*10,5),5),5),30))-_xlfn.XLOOKUP(B161,'Base stats'!B:B,'Base stats'!P:P)+IF(CA161="True",5,0)</f>
        <v>-30</v>
      </c>
      <c r="L161" s="2">
        <f>IF(OR(_xlfn.XLOOKUP(_xlfn.XLOOKUP(B161,'Base stats'!B:B,'Base stats'!E:E),Groups!A:A,Groups!G:G)=2,ISNUMBER(SEARCH("Desert",BV161)),ISNUMBER(SEARCH("ExtremeDesert",BV161)),ISNUMBER(SEARCH("LavaField",BV161))),50,IF(ISNUMBER(SEARCH("Grasslands",BV161)),45,IF(OR(_xlfn.XLOOKUP(_xlfn.XLOOKUP(B161,'Base stats'!B:B,'Base stats'!E:E),Groups!A:A,Groups!G:G)=1,ISNUMBER(SEARCH("TropicalRainforest",BV161)),ISNUMBER(SEARCH("TropicalSwamp",BV161))),40,IF(OR(ISNUMBER(SEARCH("TemperateForest",BV161)),ISNUMBER(SEARCH("TemperateSwamp",BV161))),35,IF(OR(ISNUMBER(SEARCH("Alpine",BV161)),ISNUMBER(SEARCH("BorealForest",BV161)),ISNUMBER(SEARCH("ColdBog",BV161))),30,IF(ISNUMBER(OR(ISNUMBER(SEARCH("GlacialPlain",BV161)),SEARCH("Tundra",BV161))),25,IF(OR(ISNUMBER(SEARCH("SeaIce",BV161)),ISNUMBER(SEARCH("IceSheet",BV161)),ISNUMBER(SEARCH("TropicalSwamp",BV161))),10,35)))))))+_xlfn.XLOOKUP(B161,'Base stats'!B:B,'Base stats'!Q:Q)</f>
        <v>40</v>
      </c>
      <c r="M161" s="8" t="str">
        <f>IF(_xlfn.XLOOKUP(_xlfn.XLOOKUP(B161,'Base stats'!B:B,'Base stats'!E:E),Groups!A:A,Groups!L:L)=1,MIN(MROUND(_xlfn.XLOOKUP(B161,'Animals CE'!B:B,'Animals CE'!Z:Z)/2+0.05,0.05),200%),"No")</f>
        <v>No</v>
      </c>
      <c r="N161" s="8" t="str">
        <f>IF(_xlfn.XLOOKUP(_xlfn.XLOOKUP(B161,'Base stats'!B:B,'Base stats'!E:E),Groups!A:A,Groups!L:L)=1,MIN(MROUND(_xlfn.XLOOKUP(B161,'Animals CE'!B:B,'Animals CE'!AA:AA)/2+0.05,0.05),200%),"No")</f>
        <v>No</v>
      </c>
      <c r="O161" s="2" t="str">
        <f>_xlfn.XLOOKUP(B161,'Base stats'!B:B,'Base stats'!R:R)</f>
        <v>Standard</v>
      </c>
      <c r="P161" s="13">
        <f>MROUND((LOG10(_xlfn.XLOOKUP(B161,'Base stats'!B:B,'Base stats'!AO:AO))*(AN161^0.5)+(_xlfn.XLOOKUP(B161,'Base stats'!B:B,'Base stats'!AO:AO)/1000)^(2/3)+_xlfn.XLOOKUP(B161,'Base stats'!B:B,'Base stats'!AX:AX)/2)+0.5,0.5)</f>
        <v>14</v>
      </c>
      <c r="Q161" s="7">
        <f>IF(P161="No","No",MAX(1,MROUND(_xlfn.XLOOKUP(B161,'Base stats'!B:B,'Base stats'!C:C)^0.165,0.05)))</f>
        <v>2.6500000000000004</v>
      </c>
      <c r="R161" s="13" t="str">
        <f>IF(_xlfn.XLOOKUP(_xlfn.XLOOKUP(B161,'Base stats'!B:B,'Base stats'!E:E),Groups!A:A,Groups!P:P)=0,"No",MROUND((LOG10(_xlfn.XLOOKUP(B161,'Base stats'!B:B,'Base stats'!AP:AP))*(AN161^0.5)+(_xlfn.XLOOKUP(B161,'Base stats'!B:B,'Base stats'!AP:AP)/1000)^(2/3)+_xlfn.XLOOKUP(B161,'Base stats'!B:B,'Base stats'!AX:AX))+_xlfn.XLOOKUP(B161,'Base stats'!B:B,'Base stats'!AV:AV)+0.5,0.5))</f>
        <v>No</v>
      </c>
      <c r="S161" s="7" t="str">
        <f>IF(R161="No","No",MAX(_xlfn.XLOOKUP(_xlfn.XLOOKUP(B161,'Base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T161" s="7" t="str">
        <f>IF(R161="No","No",_xlfn.XLOOKUP(_xlfn.XLOOKUP(B161,'Base stats'!B:B,'Base stats'!E:E),Groups!A:A,Groups!R:R))</f>
        <v>No</v>
      </c>
      <c r="U161" s="7" t="str">
        <f>IF(R161="No","No",_xlfn.XLOOKUP(_xlfn.XLOOKUP(B161,'Base stats'!B:B,'Base stats'!E:E),Groups!A:A,Groups!S:S))</f>
        <v>No</v>
      </c>
      <c r="V161" s="7" t="str">
        <f>IF(R161="No","No",_xlfn.XLOOKUP(_xlfn.XLOOKUP(B161,'Base stats'!B:B,'Base stats'!E:E),Groups!A:A,Groups!T:T))</f>
        <v>No</v>
      </c>
      <c r="W161" s="13" t="str">
        <f>IF(_xlfn.XLOOKUP(B161,'Base stats'!B:B,'Base stats'!W:W)="No","No",MROUND((LOG10(_xlfn.XLOOKUP(B161,'Base stats'!B:B,'Base stats'!AR:AR))*(AN161^0.5)+(_xlfn.XLOOKUP(B161,'Base stats'!B:B,'Base stats'!AR:AR)/1000)^(2/3)+_xlfn.XLOOKUP(B161,'Base stats'!B:B,'Base stats'!AW:AW))+0.5+IF(_xlfn.XLOOKUP(_xlfn.XLOOKUP(B161,'Base stats'!B:B,'Base stats'!E:E),Groups!A:A,Groups!U:U)&lt;&gt;3,_xlfn.XLOOKUP(B161,'Base stats'!B:B,'Base stats'!AX:AX),0),0.5))</f>
        <v>No</v>
      </c>
      <c r="X161" s="7" t="str">
        <f>IF(W161="No","No",MAX(_xlfn.XLOOKUP(_xlfn.XLOOKUP(B161,'Base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Y161" s="7" t="str">
        <f>IF(W161="No","No",_xlfn.XLOOKUP(_xlfn.XLOOKUP(B161,'Base stats'!B:B,'Base stats'!E:E),Groups!A:A,Groups!W:W))</f>
        <v>No</v>
      </c>
      <c r="Z161" s="7" t="str">
        <f>IF(W161="No","No",_xlfn.XLOOKUP(_xlfn.XLOOKUP(B161,'Base stats'!B:B,'Base stats'!E:E),Groups!A:A,Groups!X:X))</f>
        <v>No</v>
      </c>
      <c r="AA161" s="7" t="str">
        <f>IF(W161="No","No",_xlfn.XLOOKUP(_xlfn.XLOOKUP(B161,'Base stats'!B:B,'Base stats'!E:E),Groups!A:A,Groups!Y:Y))</f>
        <v>No</v>
      </c>
      <c r="AB161" s="7" t="str">
        <f>_xlfn.XLOOKUP(Animals!B161,'Base stats'!B:B,'Base stats'!X:X)</f>
        <v>False</v>
      </c>
      <c r="AC161" s="13">
        <f>IF(_xlfn.XLOOKUP(B161,'Base stats'!B:B,'Base stats'!AQ:AQ)="No","No",MROUND((LOG10(_xlfn.XLOOKUP(B161,'Base stats'!B:B,'Base stats'!AQ:AQ))*(AN161^0.75)+(_xlfn.XLOOKUP(B161,'Base stats'!B:B,'Base stats'!AQ:AQ)/1000)^(2/3)+_xlfn.XLOOKUP(B161,'Base stats'!B:B,'Base stats'!AU:AU)+_xlfn.XLOOKUP(B161,'Base stats'!B:B,'Base stats'!AX:AX))+0.5,0.5))</f>
        <v>26.5</v>
      </c>
      <c r="AD161" s="7">
        <f>IF(AC161="No","No",MAX(_xlfn.XLOOKUP(_xlfn.XLOOKUP(B161,'Base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E161" s="7" t="str">
        <f>IF(AC161="No","No",_xlfn.XLOOKUP(_xlfn.XLOOKUP(B161,'Base stats'!B:B,'Base stats'!E:E),Groups!A:A,Groups!AA:AA))</f>
        <v>Teeth</v>
      </c>
      <c r="AF161" s="7" t="str">
        <f>IF(AC161="No","No",_xlfn.XLOOKUP(_xlfn.XLOOKUP(B161,'Base stats'!B:B,'Base stats'!E:E),Groups!A:A,Groups!AB:AB))</f>
        <v>canines</v>
      </c>
      <c r="AG161" s="7" t="str">
        <f>IF(AC161="No","No",_xlfn.XLOOKUP(_xlfn.XLOOKUP(B161,'Base stats'!B:B,'Base stats'!E:E),Groups!A:A,Groups!AC:AC))</f>
        <v>Bite</v>
      </c>
      <c r="AH161" s="13">
        <f>IF(_xlfn.XLOOKUP(_xlfn.XLOOKUP(B161,'Base stats'!B:B,'Base stats'!E:E),Groups!A:A,Groups!AD:AD)=0,"No",MROUND((LOG10(_xlfn.XLOOKUP(B161,'Base stats'!B:B,'Base stats'!AP:AP))*(AN161^0.75)+(_xlfn.XLOOKUP(B161,'Base stats'!B:B,'Base stats'!AP:AP)/1000)^(2/3)+_xlfn.XLOOKUP(B161,'Base stats'!B:B,'Base stats'!AV:AV)+_xlfn.XLOOKUP(B161,'Base stats'!B:B,'Base stats'!AX:AX))+0.5,0.5))</f>
        <v>22</v>
      </c>
      <c r="AI161" s="7">
        <f>IF(AH161="No","No",MAX(_xlfn.XLOOKUP(_xlfn.XLOOKUP(B161,'Base stats'!B:B,'Base stats'!E:E),Groups!A:A,Groups!AE:AE),MROUND(_xlfn.XLOOKUP(_xlfn.XLOOKUP(B161,'Base stats'!B:B,'Base stats'!E:E),Groups!A:A,Groups!AE:AE)*_xlfn.XLOOKUP(B161,'Base stats'!B:B,'Base stats'!C:C)^0.165,0.05)))</f>
        <v>1.7000000000000002</v>
      </c>
      <c r="AJ161" s="7" t="str">
        <f>IF(AH161="No","No",_xlfn.XLOOKUP(_xlfn.XLOOKUP(B161,'Base stats'!B:B,'Base stats'!E:E),Groups!A:A,Groups!AF:AF))</f>
        <v>FrontRightPaw, FrontRightPaw</v>
      </c>
      <c r="AK161" s="7" t="str">
        <f>IF(AH161="No","No",_xlfn.XLOOKUP(_xlfn.XLOOKUP(B161,'Base stats'!B:B,'Base stats'!E:E),Groups!A:A,Groups!AG:AG))</f>
        <v>left claw, right claw</v>
      </c>
      <c r="AL161" s="7" t="str">
        <f>IF(AH161="No","No",_xlfn.XLOOKUP(_xlfn.XLOOKUP(B161,'Base stats'!B:B,'Base stats'!E:E),Groups!A:A,Groups!AH:AH))</f>
        <v>Scratch</v>
      </c>
      <c r="AM161" s="2">
        <f t="shared" si="14"/>
        <v>30</v>
      </c>
      <c r="AN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O161" s="8">
        <f>MROUND(AN161*_xlfn.XLOOKUP(_xlfn.XLOOKUP(B161,'Base stats'!B:B,'Base stats'!E:E),Groups!A:A,Groups!AI:AI),0.05)</f>
        <v>3</v>
      </c>
      <c r="AP161" s="8">
        <f>MAX(0.01,MROUND(IF(CA161="True",0.196*(AN161*100*1000)^0.889,IF(_xlfn.XLOOKUP(_xlfn.XLOOKUP(B161,'Base stats'!B:B,'Base stats'!E:E),Groups!A:A,Groups!AJ:AJ)="Bird",10.5*(AN161*100*1000)^0.681,4.82*(AN161*100*1000)^0.734))/(4.82*(1*100*1000)^0.734)/IF(AN161&lt;3.5,2,IF(AN161=3.5,1.5,1.25))*(1+0.132282374779864/(AN161^0.994035016789033+0.00905238001496948)),0.05))</f>
        <v>1.05</v>
      </c>
      <c r="AQ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R161" s="35">
        <f>IFERROR(IF(_xlfn.XLOOKUP(B161,'Base stats'!B:B,'Base stats'!F:F)="Lay eggs","Lay eggs",MIN(20,MAX(5.5,ROUND(((_xlfn.XLOOKUP(B161,'Base stats'!B:B,'Base stats'!F:F)-25)*(14.5/615) + 5.5)*2,0)/2))),"Cannot breed")</f>
        <v>7.5</v>
      </c>
      <c r="AS161" s="8">
        <f>IF(OR(A161="Queen",A161="Larva",A161="Megachicken"),"No",IFERROR(MAX(IF(_xlfn.XLOOKUP(B161,'Base stats'!B:B,'Base stats'!G:G)&lt;0.5,0.2,0.3),MROUND(_xlfn.XLOOKUP(B161,'Base stats'!B:B,'Base stats'!G:G)/(365/60),0.2)),"Unknown"))</f>
        <v>0.60000000000000009</v>
      </c>
      <c r="AT161" s="8">
        <f t="shared" si="15"/>
        <v>0.30000000000000004</v>
      </c>
      <c r="AU161" s="8">
        <f>IFERROR(IFERROR(MROUND(_xlfn.XLOOKUP(B161,'Base stats'!B:B,'Base stats'!J:J),0.1),"Lay eggs"),"Cannot breed")</f>
        <v>2.5</v>
      </c>
      <c r="AV161" s="2" t="str">
        <f t="shared" si="16"/>
        <v>false</v>
      </c>
      <c r="AW161" s="2" t="str">
        <f>IF(_xlfn.XLOOKUP(_xlfn.XLOOKUP(Animals!B161,'Base stats'!B:B,'Base stats'!E:E),Groups!A:A,Groups!AK:AK)=1,"true","false")</f>
        <v>false</v>
      </c>
      <c r="AX161" s="25" t="str">
        <f>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</f>
        <v>CarnivoreAnimal, OvivoreAnimal</v>
      </c>
      <c r="AY161" s="2" t="str">
        <f>IF(_xlfn.XLOOKUP(_xlfn.XLOOKUP(B161,'Base stats'!B:B,'Base stats'!E:E),Groups!A:A,Groups!D:D)=1,MROUND((1-I161)*5+1,2)*IF(I161&lt;=0.4,2,1),"No")</f>
        <v>No</v>
      </c>
      <c r="AZ161" s="2" t="str">
        <f>_xlfn.XLOOKUP(B161,'Base stats'!B:B,'Base stats'!AE:AE)</f>
        <v>Leather_Panthera</v>
      </c>
      <c r="BA161" s="23" t="str">
        <f>_xlfn.XLOOKUP(_xlfn.XLOOKUP(B161,'Base stats'!B:B,'Base stats'!E:E),Groups!A:A,Groups!AL:AL)</f>
        <v>QuadrupedAnimalWithPawsAndTail</v>
      </c>
      <c r="BB161" s="23">
        <f>MROUND(IF(AND(AN161&lt;0.5,_xlfn.XLOOKUP(B161,'Base stats'!B:B,'Base stats'!Z:Z)=0),0,IF(OR(_xlfn.XLOOKUP(Animals!B161,'Base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stats'!AA:AA),0.005)</f>
        <v>0.05</v>
      </c>
      <c r="BC161" s="23">
        <f>MROUND(IF(AND(AN161&lt;0.5,_xlfn.XLOOKUP(B161,'Base stats'!B:B,'Base stats'!Z:Z)=0),0,IF(_xlfn.XLOOKUP(_xlfn.XLOOKUP(B161,'Base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stats'!AB:AB),0.005)</f>
        <v>0.3</v>
      </c>
      <c r="BD161" s="2" t="str">
        <f>IF(I161&gt;0.3,"No",_xlfn.XLOOKUP(_xlfn.XLOOKUP(Animals!B161,'Base stats'!B:B,'Base stats'!E:E),Groups!A:A,Groups!AP:AP))</f>
        <v>No</v>
      </c>
      <c r="BE161" s="2">
        <f>IF(AND(I161&lt;=0.65,_xlfn.XLOOKUP(_xlfn.XLOOKUP(Animals!B161,'Base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stats'!O:O)=2,0.2,AN161) + 24*(1-IF(BD161="No",0,BD161)) + 16/3, 12),"No")</f>
        <v>96</v>
      </c>
      <c r="BF161" s="2">
        <f>IF(AND(_xlfn.XLOOKUP(_xlfn.XLOOKUP(B161,'Base stats'!B:B,'Base stats'!E:E),Groups!A:A,Groups!AQ:AQ)=1,AN161&lt;=0.35),8,12)</f>
        <v>12</v>
      </c>
      <c r="BG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H161" s="2" t="str">
        <f>IF(AND(_xlfn.XLOOKUP(_xlfn.XLOOKUP(B161,'Base stats'!B:B,'Base stats'!E:E),Groups!A:A,Groups!AS:AS)=1,OR('Base stats'!Y161="Carnivore",'Base stats'!Y161="Omnivore")),"true","false")</f>
        <v>true</v>
      </c>
      <c r="BI161" s="2">
        <f>IF(BH161="true",MROUND(IF(AND(AN161&gt;0.5,_xlfn.XLOOKUP(_xlfn.XLOOKUP(B161,'Base stats'!B:B,'Base stats'!E:E),Groups!A:A,Groups!AJ:AJ)="Mammal"),Animals!AN161*1.75*IF(AV161="true",1.5,1),Animals!AN161),IF(AN161&gt;2,0.5,IF(AN161&gt;0.5,0.25,0.1))),"No")</f>
        <v>4.5</v>
      </c>
      <c r="BJ161" s="2">
        <f t="shared" si="17"/>
        <v>1</v>
      </c>
      <c r="BK161" s="25" t="str">
        <f>IF('Base stats'!AK161="Standard","No",MROUND((_xlfn.XLOOKUP(B161,'Base stats'!B:B,'Base stats'!AK:AK)/3.6)/H161,0.1))</f>
        <v>No</v>
      </c>
      <c r="BL161" s="25" t="str">
        <f t="shared" si="18"/>
        <v>false</v>
      </c>
      <c r="BM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N161" s="25" t="str" cm="1">
        <f t="array" ref="BN161">IF(
  _xlfn.TEXTJOIN(", ",TRUE,
    IF(AND(BH161="true",AN161&gt;0.5,BG161&lt;&gt;"None"),"AttackTarget",""),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IF(BE161&lt;=36,"Comfort",""),
    IF(_xlfn.XLOOKUP(B161,'Base stats'!B:B,'Base stats'!AC:AC)&lt;&gt;"No",_xlfn.XLOOKUP(B161,'Base stats'!B:B,'Base stats'!AC:AC),"")
  ) = "",
  "No",
  _xlfn.TEXTJOIN(", ",TRUE,
    IF(AND(BH161="true",AN161&gt;0.5,BG161&lt;&gt;"None"),"AttackTarget",""),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IF(BE161&lt;=36,"Comfort",""),
    IF(_xlfn.XLOOKUP(B161,'Base stats'!B:B,'Base stats'!AC:AC)&lt;&gt;"No",_xlfn.XLOOKUP(B161,'Base stats'!B:B,'Base stats'!AC:AC),"")
  )
)</f>
        <v>AttackTarget</v>
      </c>
      <c r="BO161" s="25" t="str">
        <f>IF(
   AND(
      'Base stats'!AK161="Standard",_xlfn.XLOOKUP(_xlfn.XLOOKUP(B161,'Base stats'!B:B,'Base stats'!E:E),Groups!A:A,Groups!AU:AU)=0,
      OR(
      BM161="True"
      )
   ),
   10,
   IF(
       OR(BK161&lt;&gt;"No",_xlfn.XLOOKUP(_xlfn.XLOOKUP(B161,'Base stats'!B:B,'Base stats'!E:E),Groups!A:A,Groups!AU:AU)=1),
      1,
      "No"
   )
)</f>
        <v>No</v>
      </c>
      <c r="BP161" s="9">
        <f>MROUND((1 + ((0.2*IF(OR(P161="No",Q161="No",Q161=0),0,P161/Q161)
+IF(OR(U161="No",R161="No",S161="No"),0,R161/S161*(LEN(U161)-LEN(SUBSTITUTE(U161,",",""))+1))
+IF(OR(W161="No",X161="No"),0,W161/X161)
+IF(OR(AC161="No",AD161="No"),0,AC161/AD161)
+IF(OR(AK161="No",AH161="No",AI161="No"),0,AH161/AI161*(LEN(AK161)-LEN(SUBSTITUTE(AK161,",",""))+1))
)/(0.2*IF(OR(P161="No",Q161="No",Q161=0),0,1)
+IF(OR(U161="No",R161="No",S161="No"),0,LEN(U161)-LEN(SUBSTITUTE(U161,",",""))+1)
+IF(OR(W161="No",X161="No"),0,1)
+IF(OR(AC161="No",AD161="No"),0,1)
+IF(OR(AK161="No",AH161="No",AI161="No"),0,LEN(AK161)-LEN(SUBSTITUTE(AK161,",",""))+1))*62%)* 2)*(1 + (AO161 + _xlfn.XLOOKUP(B161,'Base stats'!B:B,'Base stats'!AS:AS) * 1.8) * 2) * 2.5 + 10 + H161 * 2,5)+IF(_xlfn.XLOOKUP(B161,'Base stats'!B:B,'Base stats'!AH:AH)=1,50,0)</f>
        <v>320</v>
      </c>
      <c r="BQ161" s="8">
        <f t="shared" si="19"/>
        <v>1.35</v>
      </c>
      <c r="BR161" s="8" t="str">
        <f>_xlfn.XLOOKUP(B161,'Base stats'!B:B,'Base stats'!AD:AD)</f>
        <v>No</v>
      </c>
      <c r="BS161" s="2" t="str">
        <f>IF(AND(I161&lt;=0.95,OR(_xlfn.XLOOKUP(B161,'Base stats'!B:B,'Base stats'!AH:AH)=1,_xlfn.XLOOKUP(B161,'Base stats'!B:B,'Base stats'!Y:Y)="Carnivore",_xlfn.XLOOKUP(B161,'Base stats'!B:B,'Base stats'!Y:Y)="Omnivore",BC161&gt;0.1)),"true","false")</f>
        <v>true</v>
      </c>
      <c r="BT161" s="2" t="str">
        <f>IF(_xlfn.XLOOKUP(B161,'Base stats'!B:B,'Base stats'!AF:AF)=1,"true","false")</f>
        <v>false</v>
      </c>
      <c r="BU161" s="25" t="str">
        <f>IF(E161="BaseInsect","AnimalInsect",
IF(I161&gt;0.95,"AnimalExotic",
_xlfn.TEXTJOIN(", ",TRUE,
IF(AND(_xlfn.XLOOKUP(B161,'Base stats'!B:B,'Base stats'!O:O)=0,_xlfn.XLOOKUP(_xlfn.XLOOKUP(B161,'Base stats'!B:B,'Base stats'!E:E),Groups!A:A,Groups!B:B)&gt;0),"AnimalUncommon","AnimalCommon"),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stats'!AH:AH)=1,AND(BG161&lt;&gt;"None",BP161&gt;=60),ISNUMBER(SEARCH("Attack target",BN161))),"AnimalFighter","")
)))</f>
        <v>AnimalCommon, AnimalFighter</v>
      </c>
      <c r="BV161" s="25" t="str">
        <f>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</f>
        <v/>
      </c>
      <c r="BW161" s="25" t="str">
        <f>IF(_xlfn.XLOOKUP(B161,'Base stats'!B:B,'Base stats'!AG:AG)=1,"true","false")</f>
        <v>false</v>
      </c>
      <c r="BX161" s="25">
        <f>IF(_xlfn.XLOOKUP(B161,'Base stats'!B:B,'Base stats'!N:N)=1,"No",MIN(MROUND(IF(OR(_xlfn.XLOOKUP(B161,'Base stats'!B:B,'Base stats'!AJ:AJ)=1,AND(BH161="True",CA161="False")),POWER(10,3.47*LOG10(_xlfn.XLOOKUP(B161,'Base stats'!B:B,'Base stats'!C:C)*1000)^-0.96),POWER(10,4.15*LOG10(_xlfn.XLOOKUP(B161,'Base stats'!B:B,'Base stats'!C:C)*1000)^-0.73))*IF(OR(_xlfn.XLOOKUP(B161,'Base stats'!B:B,'Base stats'!AJ:AJ)=1,_xlfn.XLOOKUP(B161,'Base stats'!B:B,'Base stats'!AH:AH)=1),0.5,1)/100,0.025),1))</f>
        <v>0.05</v>
      </c>
      <c r="BY161" s="25" t="str">
        <f>IF(O161="Standard","No",IF(_xlfn.XLOOKUP(B161,'Base stats'!B:B,'Base stats'!N:N)=0,MROUND(BX161*O161,0.05),MIN(1,MAX(0.025,MROUND(IF(OR(CA161="true",AND(BH161="false",BM161="false")),POWER(10,4.15*LOG10(_xlfn.XLOOKUP(B161,'Base stats'!B:B,'Base stats'!C:C)*1000)^-0.73),POWER(10,3.47*LOG10(_xlfn.XLOOKUP(B161,'Base stats'!B:B,'Base stats'!C:C)*1000)^-0.96))*IF(_xlfn.XLOOKUP(B161,'Base stats'!B:B,'Base stats'!AH:AH)=1,0.5,1)/100,0.025)))))</f>
        <v>No</v>
      </c>
      <c r="BZ161" s="25" t="str">
        <f>IF(_xlfn.XLOOKUP(_xlfn.XLOOKUP(B161,'Base stats'!B:B,'Base stats'!E:E),Groups!A:A,Groups!AJ:AJ)="Mammal","True","False")</f>
        <v>True</v>
      </c>
      <c r="CA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B161" s="25" t="str">
        <f t="shared" si="20"/>
        <v>False</v>
      </c>
      <c r="CC161" s="25" t="str">
        <f>IF(_xlfn.XLOOKUP(_xlfn.XLOOKUP(B161,'Base stats'!B:B,'Base stats'!E:E),Groups!A:A,Groups!AW:AW),"True","False")</f>
        <v>False</v>
      </c>
      <c r="CD161" s="25" t="str">
        <f>IF(_xlfn.XLOOKUP(_xlfn.XLOOKUP(B161,'Base stats'!B:B,'Base stats'!E:E),Groups!A:A,Groups!AX:AX),"True","False")</f>
        <v>False</v>
      </c>
      <c r="CE161" s="25" t="str">
        <f>IF(_xlfn.XLOOKUP(B161,'Base stats'!B:B,'Base stats'!E:E)=1,"True","False")</f>
        <v>False</v>
      </c>
      <c r="CF161" s="25" t="str">
        <f>IF(
OR(
_xlfn.XLOOKUP(_xlfn.XLOOKUP(B161,'Base stats'!B:B,'Base stats'!E:E),Groups!A:A,Groups!AY:AY)=0,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stats'!E:E),Groups!A:A,Groups!AY:AY)=1,
"Flesh",
IF(
_xlfn.XLOOKUP(_xlfn.XLOOKUP(B161,'Base stats'!B:B,'Base stats'!E:E),Groups!A:A,Groups!AY:AY)=2,
"Bone",
""
)
)
)</f>
        <v>No</v>
      </c>
      <c r="CG161" s="25" t="str">
        <f>IF(_xlfn.XLOOKUP(_xlfn.XLOOKUP(B161,'Base stats'!B:B,'Base stats'!E:E),Groups!A:A,Groups!BA:BA),"True","False")</f>
        <v>True</v>
      </c>
      <c r="CH161" s="25" t="str">
        <f>IF(_xlfn.XLOOKUP(_xlfn.XLOOKUP(B161,'Base stats'!B:B,'Base stats'!E:E),Groups!A:A,Groups!AZ:AZ),"True","False")</f>
        <v>False</v>
      </c>
    </row>
    <row r="162" spans="1:86" s="16" customFormat="1" ht="16.5" thickTop="1" thickBot="1" x14ac:dyDescent="0.3">
      <c r="A162" s="26" t="str">
        <f>_xlfn.XLOOKUP(B162,'Base stats'!B:B,'Base stats'!A:A)</f>
        <v>Pheasant</v>
      </c>
      <c r="B162" s="6" t="s">
        <v>1164</v>
      </c>
      <c r="C162" s="28" t="s">
        <v>1166</v>
      </c>
      <c r="D162" s="28" t="s">
        <v>1163</v>
      </c>
      <c r="E162" s="28" t="s">
        <v>685</v>
      </c>
      <c r="F162" s="28" t="s">
        <v>685</v>
      </c>
      <c r="G162" s="2">
        <f>MROUND((
  (IF(AND(_xlfn.XLOOKUP(B162,'Base stats'!B:B,'Base stats'!AI:AI)=0,BG162="None",_xlfn.XLOOKUP('Base stats'!E162,Groups!A:A,Groups!B:B)=0), (18 + BP162 * 2.7) * 0.5,
    IF(AND(_xlfn.XLOOKUP(B162,'Base stats'!B:B,'Base stats'!AI:AI)=0,OR(AN162&lt;0.55,AND(BG162="Intermediate",_xlfn.XLOOKUP('Base stats'!E162,Groups!A:A,Groups!B:B)&lt;2))), (18 + BP162 * 2.7),
      IF(OR(BG162="Advanced",_xlfn.XLOOKUP(B162,'Base stats'!B:B,'Base stats'!AI:AI)=1,_xlfn.XLOOKUP('Base stats'!E162,Groups!A:A,Groups!B:B)=2), (18 + BP162 * 2.7) + 250, (18 + BP162 * 2.7))
    )
  ))
  + AN162 * 80
  + IF(COUNTIF(EggMilk!K$2:K$998, A162) &gt; 0, 125, 0)
  + IF(COUNTIF(EggMilk!P$2:P$998, A162) &gt; 0, 90, 0)
  + IF(COUNTIF(EggMilk!A$2:A$998, A162) &gt; 0, 90, 0)
)
* (0.8 + 0.4 * I162)
* 0.75,25)</f>
        <v>100</v>
      </c>
      <c r="H162" s="2">
        <f>MROUND(ROUNDDOWN(_xlfn.XLOOKUP(B162,'Base stats'!B:B,'Base stats'!L:L)/3.6/(23.3/11),1),0.5)</f>
        <v>2</v>
      </c>
      <c r="I162" s="2">
        <f>IF(_xlfn.XLOOKUP(B162,'Base stats'!B:B,'Base stats'!AI:AI)=1,0.99,MIN(MROUND((1-0.6282*EXP(-0.459*AN162))*_xlfn.XLOOKUP(_xlfn.XLOOKUP(B162,'Base stats'!B:B,'Base stats'!E:E),Groups!A:A,Groups!C:C)*IF(_xlfn.XLOOKUP(B162,'Base stats'!B:B,'Base stats'!O:O)=1,0.5,IF(_xlfn.XLOOKUP(B162,'Base stats'!B:B,'Base stats'!O:O)=2,0,1)),0.05),0.985))</f>
        <v>0.5</v>
      </c>
      <c r="J162" s="2">
        <f>ROUNDUP(AN162*_xlfn.XLOOKUP(_xlfn.XLOOKUP(B162,'Base stats'!B:B,'Base stats'!E:E),Groups!A:A,Groups!E:E),0)</f>
        <v>2</v>
      </c>
      <c r="K162" s="2">
        <f>IF(OR(_xlfn.XLOOKUP(_xlfn.XLOOKUP(B162,'Base stats'!B:B,'Base stats'!E:E),Groups!A:A,Groups!F:F)=2,ISNUMBER(SEARCH("SeaIce",BV162)),ISNUMBER(SEARCH("IceSheet",BV162))),-50,IF(OR(ISNUMBER(SEARCH("GlacialPlain",BV162)),ISNUMBER(SEARCH("Tundra",BV162))),-40,IF(OR(ISNUMBER(SEARCH("Alpine",BV162)),ISNUMBER(SEARCH("BorealForest",BV162)),ISNUMBER(SEARCH("ColdBog",BV162))),-30,IF(OR(ISNUMBER(SEARCH("TemperateForest",BV162)),ISNUMBER(SEARCH("TemperateSwamp",BV162))),-20,IF(_xlfn.XLOOKUP(_xlfn.XLOOKUP(B162,'Base stats'!B:B,'Base stats'!E:E),Groups!A:A,Groups!F:F)=1,-15,IF(OR(ISNUMBER(SEARCH("Desert",BV162)),ISNUMBER(SEARCH("ExtremeDesert",BV162))),-10,IF(OR(ISNUMBER(SEARCH("Grasslands",BV162)),ISNUMBER(SEARCH("TropicalRainforest",BV162)),ISNUMBER(SEARCH("TropicalSwamp",BV162))),10,0)))))))-IF(CA162="False",MIN(IFERROR(MAX(MROUND(LOG10(_xlfn.XLOOKUP(B162,'Base stats'!B:B,'Base stats'!C:C)^(2/3))*10,5),5),5),30))-_xlfn.XLOOKUP(B162,'Base stats'!B:B,'Base stats'!P:P)+IF(CA162="True",5,0)</f>
        <v>-5</v>
      </c>
      <c r="L162" s="2">
        <f>IF(OR(_xlfn.XLOOKUP(_xlfn.XLOOKUP(B162,'Base stats'!B:B,'Base stats'!E:E),Groups!A:A,Groups!G:G)=2,ISNUMBER(SEARCH("Desert",BV162)),ISNUMBER(SEARCH("ExtremeDesert",BV162)),ISNUMBER(SEARCH("LavaField",BV162))),50,IF(ISNUMBER(SEARCH("Grasslands",BV162)),45,IF(OR(_xlfn.XLOOKUP(_xlfn.XLOOKUP(B162,'Base stats'!B:B,'Base stats'!E:E),Groups!A:A,Groups!G:G)=1,ISNUMBER(SEARCH("TropicalRainforest",BV162)),ISNUMBER(SEARCH("TropicalSwamp",BV162))),40,IF(OR(ISNUMBER(SEARCH("TemperateForest",BV162)),ISNUMBER(SEARCH("TemperateSwamp",BV162))),35,IF(OR(ISNUMBER(SEARCH("Alpine",BV162)),ISNUMBER(SEARCH("BorealForest",BV162)),ISNUMBER(SEARCH("ColdBog",BV162))),30,IF(ISNUMBER(OR(ISNUMBER(SEARCH("GlacialPlain",BV162)),SEARCH("Tundra",BV162))),25,IF(OR(ISNUMBER(SEARCH("SeaIce",BV162)),ISNUMBER(SEARCH("IceSheet",BV162)),ISNUMBER(SEARCH("TropicalSwamp",BV162))),10,35)))))))+_xlfn.XLOOKUP(B162,'Base stats'!B:B,'Base stats'!Q:Q)</f>
        <v>35</v>
      </c>
      <c r="M162" s="8" t="str">
        <f>IF(_xlfn.XLOOKUP(_xlfn.XLOOKUP(B162,'Base stats'!B:B,'Base stats'!E:E),Groups!A:A,Groups!L:L)=1,MIN(MROUND(_xlfn.XLOOKUP(B162,'Animals CE'!B:B,'Animals CE'!Z:Z)/2+0.05,0.05),200%),"No")</f>
        <v>No</v>
      </c>
      <c r="N162" s="8" t="str">
        <f>IF(_xlfn.XLOOKUP(_xlfn.XLOOKUP(B162,'Base stats'!B:B,'Base stats'!E:E),Groups!A:A,Groups!L:L)=1,MIN(MROUND(_xlfn.XLOOKUP(B162,'Animals CE'!B:B,'Animals CE'!AA:AA)/2+0.05,0.05),200%),"No")</f>
        <v>No</v>
      </c>
      <c r="O162" s="2" t="str">
        <f>_xlfn.XLOOKUP(B162,'Base stats'!B:B,'Base stats'!R:R)</f>
        <v>Standard</v>
      </c>
      <c r="P162" s="13">
        <f>MROUND((LOG10(_xlfn.XLOOKUP(B162,'Base stats'!B:B,'Base stats'!AO:AO))*(AN162^0.5)+(_xlfn.XLOOKUP(B162,'Base stats'!B:B,'Base stats'!AO:AO)/1000)^(2/3)+_xlfn.XLOOKUP(B162,'Base stats'!B:B,'Base stats'!AX:AX)/2)+0.5,0.5)</f>
        <v>1.5</v>
      </c>
      <c r="Q162" s="7">
        <f>IF(P162="No","No",MAX(1,MROUND(_xlfn.XLOOKUP(B162,'Base stats'!B:B,'Base stats'!C:C)^0.165,0.05)))</f>
        <v>1</v>
      </c>
      <c r="R162" s="13">
        <f>IF(_xlfn.XLOOKUP(_xlfn.XLOOKUP(B162,'Base stats'!B:B,'Base stats'!E:E),Groups!A:A,Groups!P:P)=0,"No",MROUND((LOG10(_xlfn.XLOOKUP(B162,'Base stats'!B:B,'Base stats'!AP:AP))*(AN162^0.5)+(_xlfn.XLOOKUP(B162,'Base stats'!B:B,'Base stats'!AP:AP)/1000)^(2/3)+_xlfn.XLOOKUP(B162,'Base stats'!B:B,'Base stats'!AX:AX))+_xlfn.XLOOKUP(B162,'Base stats'!B:B,'Base stats'!AV:AV)+0.5,0.5))</f>
        <v>2</v>
      </c>
      <c r="S162" s="7">
        <f>IF(R162="No","No",MAX(_xlfn.XLOOKUP(_xlfn.XLOOKUP(B162,'Base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T162" s="7" t="str">
        <f>IF(R162="No","No",_xlfn.XLOOKUP(_xlfn.XLOOKUP(B162,'Base stats'!B:B,'Base stats'!E:E),Groups!A:A,Groups!R:R))</f>
        <v>Feet</v>
      </c>
      <c r="U162" s="7" t="str">
        <f>IF(R162="No","No",_xlfn.XLOOKUP(_xlfn.XLOOKUP(B162,'Base stats'!B:B,'Base stats'!E:E),Groups!A:A,Groups!S:S))</f>
        <v>rear left claw, rear  right claw</v>
      </c>
      <c r="V162" s="7" t="str">
        <f>IF(R162="No","No",_xlfn.XLOOKUP(_xlfn.XLOOKUP(B162,'Base stats'!B:B,'Base stats'!E:E),Groups!A:A,Groups!T:T))</f>
        <v>Scratch</v>
      </c>
      <c r="W162" s="13" t="str">
        <f>IF(_xlfn.XLOOKUP(B162,'Base stats'!B:B,'Base stats'!W:W)="No","No",MROUND((LOG10(_xlfn.XLOOKUP(B162,'Base stats'!B:B,'Base stats'!AR:AR))*(AN162^0.5)+(_xlfn.XLOOKUP(B162,'Base stats'!B:B,'Base stats'!AR:AR)/1000)^(2/3)+_xlfn.XLOOKUP(B162,'Base stats'!B:B,'Base stats'!AW:AW))+0.5+IF(_xlfn.XLOOKUP(_xlfn.XLOOKUP(B162,'Base stats'!B:B,'Base stats'!E:E),Groups!A:A,Groups!U:U)&lt;&gt;3,_xlfn.XLOOKUP(B162,'Base stats'!B:B,'Base stats'!AX:AX),0),0.5))</f>
        <v>No</v>
      </c>
      <c r="X162" s="7" t="str">
        <f>IF(W162="No","No",MAX(_xlfn.XLOOKUP(_xlfn.XLOOKUP(B162,'Base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Y162" s="7" t="str">
        <f>IF(W162="No","No",_xlfn.XLOOKUP(_xlfn.XLOOKUP(B162,'Base stats'!B:B,'Base stats'!E:E),Groups!A:A,Groups!W:W))</f>
        <v>No</v>
      </c>
      <c r="Z162" s="7" t="str">
        <f>IF(W162="No","No",_xlfn.XLOOKUP(_xlfn.XLOOKUP(B162,'Base stats'!B:B,'Base stats'!E:E),Groups!A:A,Groups!X:X))</f>
        <v>No</v>
      </c>
      <c r="AA162" s="7" t="str">
        <f>IF(W162="No","No",_xlfn.XLOOKUP(_xlfn.XLOOKUP(B162,'Base stats'!B:B,'Base stats'!E:E),Groups!A:A,Groups!Y:Y))</f>
        <v>No</v>
      </c>
      <c r="AB162" s="7" t="str">
        <f>_xlfn.XLOOKUP(Animals!B162,'Base stats'!B:B,'Base stats'!X:X)</f>
        <v>False</v>
      </c>
      <c r="AC162" s="13">
        <f>IF(_xlfn.XLOOKUP(B162,'Base stats'!B:B,'Base stats'!AQ:AQ)="No","No",MROUND((LOG10(_xlfn.XLOOKUP(B162,'Base stats'!B:B,'Base stats'!AQ:AQ))*(AN162^0.75)+(_xlfn.XLOOKUP(B162,'Base stats'!B:B,'Base stats'!AQ:AQ)/1000)^(2/3)+_xlfn.XLOOKUP(B162,'Base stats'!B:B,'Base stats'!AU:AU)+_xlfn.XLOOKUP(B162,'Base stats'!B:B,'Base stats'!AX:AX))+0.5,0.5))</f>
        <v>1.5</v>
      </c>
      <c r="AD162" s="7">
        <f>IF(AC162="No","No",MAX(_xlfn.XLOOKUP(_xlfn.XLOOKUP(B162,'Base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E162" s="7" t="str">
        <f>IF(AC162="No","No",_xlfn.XLOOKUP(_xlfn.XLOOKUP(B162,'Base stats'!B:B,'Base stats'!E:E),Groups!A:A,Groups!AA:AA))</f>
        <v>Beak</v>
      </c>
      <c r="AF162" s="7" t="str">
        <f>IF(AC162="No","No",_xlfn.XLOOKUP(_xlfn.XLOOKUP(B162,'Base stats'!B:B,'Base stats'!E:E),Groups!A:A,Groups!AB:AB))</f>
        <v>beak</v>
      </c>
      <c r="AG162" s="7" t="str">
        <f>IF(AC162="No","No",_xlfn.XLOOKUP(_xlfn.XLOOKUP(B162,'Base stats'!B:B,'Base stats'!E:E),Groups!A:A,Groups!AC:AC))</f>
        <v>Blunt</v>
      </c>
      <c r="AH162" s="13" t="str">
        <f>IF(_xlfn.XLOOKUP(_xlfn.XLOOKUP(B162,'Base stats'!B:B,'Base stats'!E:E),Groups!A:A,Groups!AD:AD)=0,"No",MROUND((LOG10(_xlfn.XLOOKUP(B162,'Base stats'!B:B,'Base stats'!AP:AP))*(AN162^0.75)+(_xlfn.XLOOKUP(B162,'Base stats'!B:B,'Base stats'!AP:AP)/1000)^(2/3)+_xlfn.XLOOKUP(B162,'Base stats'!B:B,'Base stats'!AV:AV)+_xlfn.XLOOKUP(B162,'Base stats'!B:B,'Base stats'!AX:AX))+0.5,0.5))</f>
        <v>No</v>
      </c>
      <c r="AI162" s="7" t="str">
        <f>IF(AH162="No","No",MAX(_xlfn.XLOOKUP(_xlfn.XLOOKUP(B162,'Base stats'!B:B,'Base stats'!E:E),Groups!A:A,Groups!AE:AE),MROUND(_xlfn.XLOOKUP(_xlfn.XLOOKUP(B162,'Base stats'!B:B,'Base stats'!E:E),Groups!A:A,Groups!AE:AE)*_xlfn.XLOOKUP(B162,'Base stats'!B:B,'Base stats'!C:C)^0.165,0.05)))</f>
        <v>No</v>
      </c>
      <c r="AJ162" s="7" t="str">
        <f>IF(AH162="No","No",_xlfn.XLOOKUP(_xlfn.XLOOKUP(B162,'Base stats'!B:B,'Base stats'!E:E),Groups!A:A,Groups!AF:AF))</f>
        <v>No</v>
      </c>
      <c r="AK162" s="7" t="str">
        <f>IF(AH162="No","No",_xlfn.XLOOKUP(_xlfn.XLOOKUP(B162,'Base stats'!B:B,'Base stats'!E:E),Groups!A:A,Groups!AG:AG))</f>
        <v>No</v>
      </c>
      <c r="AL162" s="7" t="str">
        <f>IF(AH162="No","No",_xlfn.XLOOKUP(_xlfn.XLOOKUP(B162,'Base stats'!B:B,'Base stats'!E:E),Groups!A:A,Groups!AH:AH))</f>
        <v>No</v>
      </c>
      <c r="AM162" s="2" t="str">
        <f t="shared" si="14"/>
        <v>No</v>
      </c>
      <c r="AN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O162" s="8">
        <f>MROUND(AN162*_xlfn.XLOOKUP(_xlfn.XLOOKUP(B162,'Base stats'!B:B,'Base stats'!E:E),Groups!A:A,Groups!AI:AI),0.05)</f>
        <v>0.15000000000000002</v>
      </c>
      <c r="AP162" s="8">
        <f>MAX(0.01,MROUND(IF(CA162="True",0.196*(AN162*100*1000)^0.889,IF(_xlfn.XLOOKUP(_xlfn.XLOOKUP(B162,'Base stats'!B:B,'Base stats'!E:E),Groups!A:A,Groups!AJ:AJ)="Bird",10.5*(AN162*100*1000)^0.681,4.82*(AN162*100*1000)^0.734))/(4.82*(1*100*1000)^0.734)/IF(AN162&lt;3.5,2,IF(AN162=3.5,1.5,1.25))*(1+0.132282374779864/(AN162^0.994035016789033+0.00905238001496948)),0.05))</f>
        <v>0.30000000000000004</v>
      </c>
      <c r="AQ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R162" s="35" t="str">
        <f>IFERROR(IF(_xlfn.XLOOKUP(B162,'Base stats'!B:B,'Base stats'!F:F)="Lay eggs","Lay eggs",MIN(20,MAX(5.5,ROUND(((_xlfn.XLOOKUP(B162,'Base stats'!B:B,'Base stats'!F:F)-25)*(14.5/615) + 5.5)*2,0)/2))),"Cannot breed")</f>
        <v>Lay eggs</v>
      </c>
      <c r="AS162" s="8">
        <f>IF(OR(A162="Queen",A162="Larva",A162="Megachicken"),"No",IFERROR(MAX(IF(_xlfn.XLOOKUP(B162,'Base stats'!B:B,'Base stats'!G:G)&lt;0.5,0.2,0.3),MROUND(_xlfn.XLOOKUP(B162,'Base stats'!B:B,'Base stats'!G:G)/(365/60),0.2)),"Unknown"))</f>
        <v>0.3</v>
      </c>
      <c r="AT162" s="8">
        <f t="shared" si="15"/>
        <v>0.15000000000000002</v>
      </c>
      <c r="AU162" s="8" t="str">
        <f>IFERROR(IFERROR(MROUND(_xlfn.XLOOKUP(B162,'Base stats'!B:B,'Base stats'!J:J),0.1),"Lay eggs"),"Cannot breed")</f>
        <v>Lay eggs</v>
      </c>
      <c r="AV162" s="2" t="str">
        <f t="shared" si="16"/>
        <v>true</v>
      </c>
      <c r="AW162" s="2" t="str">
        <f>IF(_xlfn.XLOOKUP(_xlfn.XLOOKUP(Animals!B162,'Base stats'!B:B,'Base stats'!E:E),Groups!A:A,Groups!AK:AK)=1,"true","false")</f>
        <v>false</v>
      </c>
      <c r="AX162" s="25" t="str">
        <f>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</f>
        <v>VegetarianRoughAnimal</v>
      </c>
      <c r="AY162" s="2">
        <f>IF(_xlfn.XLOOKUP(_xlfn.XLOOKUP(B162,'Base stats'!B:B,'Base stats'!E:E),Groups!A:A,Groups!D:D)=1,MROUND((1-I162)*5+1,2)*IF(I162&lt;=0.4,2,1),"No")</f>
        <v>4</v>
      </c>
      <c r="AZ162" s="2" t="str">
        <f>_xlfn.XLOOKUP(B162,'Base stats'!B:B,'Base stats'!AE:AE)</f>
        <v>No</v>
      </c>
      <c r="BA162" s="23" t="str">
        <f>_xlfn.XLOOKUP(_xlfn.XLOOKUP(B162,'Base stats'!B:B,'Base stats'!E:E),Groups!A:A,Groups!AL:AL)</f>
        <v>Bird</v>
      </c>
      <c r="BB162" s="23">
        <f>MROUND(IF(AND(AN162&lt;0.5,_xlfn.XLOOKUP(B162,'Base stats'!B:B,'Base stats'!Z:Z)=0),0,IF(OR(_xlfn.XLOOKUP(Animals!B162,'Base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stats'!AA:AA),0.005)</f>
        <v>0</v>
      </c>
      <c r="BC162" s="23">
        <f>MROUND(IF(AND(AN162&lt;0.5,_xlfn.XLOOKUP(B162,'Base stats'!B:B,'Base stats'!Z:Z)=0),0,IF(_xlfn.XLOOKUP(_xlfn.XLOOKUP(B162,'Base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stats'!AB:AB),0.005)</f>
        <v>0</v>
      </c>
      <c r="BD162" s="2" t="str">
        <f>IF(I162&gt;0.3,"No",_xlfn.XLOOKUP(_xlfn.XLOOKUP(Animals!B162,'Base stats'!B:B,'Base stats'!E:E),Groups!A:A,Groups!AP:AP))</f>
        <v>No</v>
      </c>
      <c r="BE162" s="2" t="str">
        <f>IF(AND(I162&lt;=0.65,_xlfn.XLOOKUP(_xlfn.XLOOKUP(Animals!B162,'Base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stats'!O:O)=2,0.2,AN162) + 24*(1-IF(BD162="No",0,BD162)) + 16/3, 12),"No")</f>
        <v>No</v>
      </c>
      <c r="BF162" s="2">
        <f>IF(AND(_xlfn.XLOOKUP(_xlfn.XLOOKUP(B162,'Base stats'!B:B,'Base stats'!E:E),Groups!A:A,Groups!AQ:AQ)=1,AN162&lt;=0.35),8,12)</f>
        <v>8</v>
      </c>
      <c r="BG162" s="2" t="str">
        <f>IF(_xlfn.XLOOKUP(_xlfn.XLOOKUP(B162,'Base stats'!B:B,'Base stats'!E:E),Groups!A:A,Groups!D:D)=0,_xlfn.XLOOKUP(_xlfn.XLOOKUP(B162,'Base stats'!B:B,'Base stats'!E:E),Groups!A:A,Groups!AR:AR),"None")</f>
        <v>None</v>
      </c>
      <c r="BH162" s="2" t="str">
        <f>IF(AND(_xlfn.XLOOKUP(_xlfn.XLOOKUP(B162,'Base stats'!B:B,'Base stats'!E:E),Groups!A:A,Groups!AS:AS)=1,OR('Base stats'!Y162="Carnivore",'Base stats'!Y162="Omnivore")),"true","false")</f>
        <v>false</v>
      </c>
      <c r="BI162" s="2" t="str">
        <f>IF(BH162="true",MROUND(IF(AND(AN162&gt;0.5,_xlfn.XLOOKUP(_xlfn.XLOOKUP(B162,'Base stats'!B:B,'Base stats'!E:E),Groups!A:A,Groups!AJ:AJ)="Mammal"),Animals!AN162*1.75*IF(AV162="true",1.5,1),Animals!AN162),IF(AN162&gt;2,0.5,IF(AN162&gt;0.5,0.25,0.1))),"No")</f>
        <v>No</v>
      </c>
      <c r="BJ162" s="2">
        <f t="shared" si="17"/>
        <v>0</v>
      </c>
      <c r="BK162" s="25" t="str">
        <f>IF('Base stats'!AK162="Standard","No",MROUND((_xlfn.XLOOKUP(B162,'Base stats'!B:B,'Base stats'!AK:AK)/3.6)/H162,0.1))</f>
        <v>No</v>
      </c>
      <c r="BL162" s="25" t="str">
        <f t="shared" si="18"/>
        <v>false</v>
      </c>
      <c r="BM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N162" s="25" t="str" cm="1">
        <f t="array" ref="BN162">IF(
  _xlfn.TEXTJOIN(", ",TRUE,
    IF(AND(BH162="true",AN162&gt;0.5,BG162&lt;&gt;"None"),"AttackTarget",""),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IF(BE162&lt;=36,"Comfort",""),
    IF(_xlfn.XLOOKUP(B162,'Base stats'!B:B,'Base stats'!AC:AC)&lt;&gt;"No",_xlfn.XLOOKUP(B162,'Base stats'!B:B,'Base stats'!AC:AC),"")
  ) = "",
  "No",
  _xlfn.TEXTJOIN(", ",TRUE,
    IF(AND(BH162="true",AN162&gt;0.5,BG162&lt;&gt;"None"),"AttackTarget",""),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IF(BE162&lt;=36,"Comfort",""),
    IF(_xlfn.XLOOKUP(B162,'Base stats'!B:B,'Base stats'!AC:AC)&lt;&gt;"No",_xlfn.XLOOKUP(B162,'Base stats'!B:B,'Base stats'!AC:AC),"")
  )
)</f>
        <v>No</v>
      </c>
      <c r="BO162" s="25" t="str">
        <f>IF(
   AND(
      'Base stats'!AK162="Standard",_xlfn.XLOOKUP(_xlfn.XLOOKUP(B162,'Base stats'!B:B,'Base stats'!E:E),Groups!A:A,Groups!AU:AU)=0,
      OR(
      BM162="True"
      )
   ),
   10,
   IF(
       OR(BK162&lt;&gt;"No",_xlfn.XLOOKUP(_xlfn.XLOOKUP(B162,'Base stats'!B:B,'Base stats'!E:E),Groups!A:A,Groups!AU:AU)=1),
      1,
      "No"
   )
)</f>
        <v>No</v>
      </c>
      <c r="BP162" s="9">
        <f>MROUND((1 + ((0.2*IF(OR(P162="No",Q162="No",Q162=0),0,P162/Q162)
+IF(OR(U162="No",R162="No",S162="No"),0,R162/S162*(LEN(U162)-LEN(SUBSTITUTE(U162,",",""))+1))
+IF(OR(W162="No",X162="No"),0,W162/X162)
+IF(OR(AC162="No",AD162="No"),0,AC162/AD162)
+IF(OR(AK162="No",AH162="No",AI162="No"),0,AH162/AI162*(LEN(AK162)-LEN(SUBSTITUTE(AK162,",",""))+1))
)/(0.2*IF(OR(P162="No",Q162="No",Q162=0),0,1)
+IF(OR(U162="No",R162="No",S162="No"),0,LEN(U162)-LEN(SUBSTITUTE(U162,",",""))+1)
+IF(OR(W162="No",X162="No"),0,1)
+IF(OR(AC162="No",AD162="No"),0,1)
+IF(OR(AK162="No",AH162="No",AI162="No"),0,LEN(AK162)-LEN(SUBSTITUTE(AK162,",",""))+1))*62%)* 2)*(1 + (AO162 + _xlfn.XLOOKUP(B162,'Base stats'!B:B,'Base stats'!AS:AS) * 1.8) * 2) * 2.5 + 10 + H162 * 2,5)+IF(_xlfn.XLOOKUP(B162,'Base stats'!B:B,'Base stats'!AH:AH)=1,50,0)</f>
        <v>25</v>
      </c>
      <c r="BQ162" s="8">
        <f t="shared" si="19"/>
        <v>0.25</v>
      </c>
      <c r="BR162" s="8" t="str">
        <f>_xlfn.XLOOKUP(B162,'Base stats'!B:B,'Base stats'!AD:AD)</f>
        <v>3~8</v>
      </c>
      <c r="BS162" s="2" t="str">
        <f>IF(AND(I162&lt;=0.95,OR(_xlfn.XLOOKUP(B162,'Base stats'!B:B,'Base stats'!AH:AH)=1,_xlfn.XLOOKUP(B162,'Base stats'!B:B,'Base stats'!Y:Y)="Carnivore",_xlfn.XLOOKUP(B162,'Base stats'!B:B,'Base stats'!Y:Y)="Omnivore",BC162&gt;0.1)),"true","false")</f>
        <v>false</v>
      </c>
      <c r="BT162" s="2" t="str">
        <f>IF(_xlfn.XLOOKUP(B162,'Base stats'!B:B,'Base stats'!AF:AF)=1,"true","false")</f>
        <v>false</v>
      </c>
      <c r="BU162" s="25" t="str">
        <f>IF(E162="BaseInsect","AnimalInsect",
IF(I162&gt;0.95,"AnimalExotic",
_xlfn.TEXTJOIN(", ",TRUE,
IF(AND(_xlfn.XLOOKUP(B162,'Base stats'!B:B,'Base stats'!O:O)=0,_xlfn.XLOOKUP(_xlfn.XLOOKUP(B162,'Base stats'!B:B,'Base stats'!E:E),Groups!A:A,Groups!B:B)&gt;0),"AnimalUncommon","AnimalCommon"),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stats'!AH:AH)=1,AND(BG162&lt;&gt;"None",BP162&gt;=60),ISNUMBER(SEARCH("Attack target",BN162))),"AnimalFighter","")
)))</f>
        <v>AnimalCommon</v>
      </c>
      <c r="BV162" s="25" t="str">
        <f>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</f>
        <v/>
      </c>
      <c r="BW162" s="25" t="str">
        <f>IF(_xlfn.XLOOKUP(B162,'Base stats'!B:B,'Base stats'!AG:AG)=1,"true","false")</f>
        <v>false</v>
      </c>
      <c r="BX162" s="25">
        <f>IF(_xlfn.XLOOKUP(B162,'Base stats'!B:B,'Base stats'!N:N)=1,"No",MIN(MROUND(IF(OR(_xlfn.XLOOKUP(B162,'Base stats'!B:B,'Base stats'!AJ:AJ)=1,AND(BH162="True",CA162="False")),POWER(10,3.47*LOG10(_xlfn.XLOOKUP(B162,'Base stats'!B:B,'Base stats'!C:C)*1000)^-0.96),POWER(10,4.15*LOG10(_xlfn.XLOOKUP(B162,'Base stats'!B:B,'Base stats'!C:C)*1000)^-0.73))*IF(OR(_xlfn.XLOOKUP(B162,'Base stats'!B:B,'Base stats'!AJ:AJ)=1,_xlfn.XLOOKUP(B162,'Base stats'!B:B,'Base stats'!AH:AH)=1),0.5,1)/100,0.025),1))</f>
        <v>0.70000000000000007</v>
      </c>
      <c r="BY162" s="25" t="str">
        <f>IF(O162="Standard","No",IF(_xlfn.XLOOKUP(B162,'Base stats'!B:B,'Base stats'!N:N)=0,MROUND(BX162*O162,0.05),MIN(1,MAX(0.025,MROUND(IF(OR(CA162="true",AND(BH162="false",BM162="false")),POWER(10,4.15*LOG10(_xlfn.XLOOKUP(B162,'Base stats'!B:B,'Base stats'!C:C)*1000)^-0.73),POWER(10,3.47*LOG10(_xlfn.XLOOKUP(B162,'Base stats'!B:B,'Base stats'!C:C)*1000)^-0.96))*IF(_xlfn.XLOOKUP(B162,'Base stats'!B:B,'Base stats'!AH:AH)=1,0.5,1)/100,0.025)))))</f>
        <v>No</v>
      </c>
      <c r="BZ162" s="25" t="str">
        <f>IF(_xlfn.XLOOKUP(_xlfn.XLOOKUP(B162,'Base stats'!B:B,'Base stats'!E:E),Groups!A:A,Groups!AJ:AJ)="Mammal","True","False")</f>
        <v>False</v>
      </c>
      <c r="CA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B162" s="25" t="str">
        <f t="shared" si="20"/>
        <v>False</v>
      </c>
      <c r="CC162" s="25" t="str">
        <f>IF(_xlfn.XLOOKUP(_xlfn.XLOOKUP(B162,'Base stats'!B:B,'Base stats'!E:E),Groups!A:A,Groups!AW:AW),"True","False")</f>
        <v>False</v>
      </c>
      <c r="CD162" s="25" t="str">
        <f>IF(_xlfn.XLOOKUP(_xlfn.XLOOKUP(B162,'Base stats'!B:B,'Base stats'!E:E),Groups!A:A,Groups!AX:AX),"True","False")</f>
        <v>False</v>
      </c>
      <c r="CE162" s="25" t="str">
        <f>IF(_xlfn.XLOOKUP(B162,'Base stats'!B:B,'Base stats'!E:E)=1,"True","False")</f>
        <v>False</v>
      </c>
      <c r="CF162" s="25" t="str">
        <f>IF(
OR(
_xlfn.XLOOKUP(_xlfn.XLOOKUP(B162,'Base stats'!B:B,'Base stats'!E:E),Groups!A:A,Groups!AY:AY)=0,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stats'!E:E),Groups!A:A,Groups!AY:AY)=1,
"Flesh",
IF(
_xlfn.XLOOKUP(_xlfn.XLOOKUP(B162,'Base stats'!B:B,'Base stats'!E:E),Groups!A:A,Groups!AY:AY)=2,
"Bone",
""
)
)
)</f>
        <v>No</v>
      </c>
      <c r="CG162" s="25" t="str">
        <f>IF(_xlfn.XLOOKUP(_xlfn.XLOOKUP(B162,'Base stats'!B:B,'Base stats'!E:E),Groups!A:A,Groups!BA:BA),"True","False")</f>
        <v>True</v>
      </c>
      <c r="CH162" s="25" t="str">
        <f>IF(_xlfn.XLOOKUP(_xlfn.XLOOKUP(B162,'Base stats'!B:B,'Base stats'!E:E),Groups!A:A,Groups!AZ:AZ),"True","False")</f>
        <v>False</v>
      </c>
    </row>
    <row r="163" spans="1:86" s="16" customFormat="1" ht="16.5" thickTop="1" thickBot="1" x14ac:dyDescent="0.3">
      <c r="A163" s="26" t="str">
        <f>_xlfn.XLOOKUP(B163,'Base stats'!B:B,'Base stats'!A:A)</f>
        <v>Orangutan</v>
      </c>
      <c r="B163" s="6" t="s">
        <v>1168</v>
      </c>
      <c r="C163" s="28" t="s">
        <v>1169</v>
      </c>
      <c r="D163" s="28" t="s">
        <v>1163</v>
      </c>
      <c r="E163" s="28" t="s">
        <v>685</v>
      </c>
      <c r="F163" s="28" t="s">
        <v>685</v>
      </c>
      <c r="G163" s="2">
        <f>MROUND((
  (IF(AND(_xlfn.XLOOKUP(B163,'Base stats'!B:B,'Base stats'!AI:AI)=0,BG163="None",_xlfn.XLOOKUP('Base stats'!E163,Groups!A:A,Groups!B:B)=0), (18 + BP163 * 2.7) * 0.5,
    IF(AND(_xlfn.XLOOKUP(B163,'Base stats'!B:B,'Base stats'!AI:AI)=0,OR(AN163&lt;0.55,AND(BG163="Intermediate",_xlfn.XLOOKUP('Base stats'!E163,Groups!A:A,Groups!B:B)&lt;2))), (18 + BP163 * 2.7),
      IF(OR(BG163="Advanced",_xlfn.XLOOKUP(B163,'Base stats'!B:B,'Base stats'!AI:AI)=1,_xlfn.XLOOKUP('Base stats'!E163,Groups!A:A,Groups!B:B)=2), (18 + BP163 * 2.7) + 250, (18 + BP163 * 2.7))
    )
  ))
  + AN163 * 80
  + IF(COUNTIF(EggMilk!K$2:K$998, A163) &gt; 0, 125, 0)
  + IF(COUNTIF(EggMilk!P$2:P$998, A163) &gt; 0, 90, 0)
  + IF(COUNTIF(EggMilk!A$2:A$998, A163) &gt; 0, 90, 0)
)
* (0.8 + 0.4 * I163)
* 0.75,25)</f>
        <v>475</v>
      </c>
      <c r="H163" s="2">
        <f>MROUND(ROUNDDOWN(_xlfn.XLOOKUP(B163,'Base stats'!B:B,'Base stats'!L:L)/3.6/(23.3/11),1),0.5)</f>
        <v>4</v>
      </c>
      <c r="I163" s="2">
        <f>IF(_xlfn.XLOOKUP(B163,'Base stats'!B:B,'Base stats'!AI:AI)=1,0.99,MIN(MROUND((1-0.6282*EXP(-0.459*AN163))*_xlfn.XLOOKUP(_xlfn.XLOOKUP(B163,'Base stats'!B:B,'Base stats'!E:E),Groups!A:A,Groups!C:C)*IF(_xlfn.XLOOKUP(B163,'Base stats'!B:B,'Base stats'!O:O)=1,0.5,IF(_xlfn.XLOOKUP(B163,'Base stats'!B:B,'Base stats'!O:O)=2,0,1)),0.05),0.985))</f>
        <v>0.75</v>
      </c>
      <c r="J163" s="2">
        <f>ROUNDUP(AN163*_xlfn.XLOOKUP(_xlfn.XLOOKUP(B163,'Base stats'!B:B,'Base stats'!E:E),Groups!A:A,Groups!E:E),0)</f>
        <v>1</v>
      </c>
      <c r="K163" s="2">
        <f>IF(OR(_xlfn.XLOOKUP(_xlfn.XLOOKUP(B163,'Base stats'!B:B,'Base stats'!E:E),Groups!A:A,Groups!F:F)=2,ISNUMBER(SEARCH("SeaIce",BV163)),ISNUMBER(SEARCH("IceSheet",BV163))),-50,IF(OR(ISNUMBER(SEARCH("GlacialPlain",BV163)),ISNUMBER(SEARCH("Tundra",BV163))),-40,IF(OR(ISNUMBER(SEARCH("Alpine",BV163)),ISNUMBER(SEARCH("BorealForest",BV163)),ISNUMBER(SEARCH("ColdBog",BV163))),-30,IF(OR(ISNUMBER(SEARCH("TemperateForest",BV163)),ISNUMBER(SEARCH("TemperateSwamp",BV163))),-20,IF(_xlfn.XLOOKUP(_xlfn.XLOOKUP(B163,'Base stats'!B:B,'Base stats'!E:E),Groups!A:A,Groups!F:F)=1,-15,IF(OR(ISNUMBER(SEARCH("Desert",BV163)),ISNUMBER(SEARCH("ExtremeDesert",BV163))),-10,IF(OR(ISNUMBER(SEARCH("Grasslands",BV163)),ISNUMBER(SEARCH("TropicalRainforest",BV163)),ISNUMBER(SEARCH("TropicalSwamp",BV163))),10,0)))))))-IF(CA163="False",MIN(IFERROR(MAX(MROUND(LOG10(_xlfn.XLOOKUP(B163,'Base stats'!B:B,'Base stats'!C:C)^(2/3))*10,5),5),5),30))-_xlfn.XLOOKUP(B163,'Base stats'!B:B,'Base stats'!P:P)+IF(CA163="True",5,0)</f>
        <v>-10</v>
      </c>
      <c r="L163" s="2">
        <f>IF(OR(_xlfn.XLOOKUP(_xlfn.XLOOKUP(B163,'Base stats'!B:B,'Base stats'!E:E),Groups!A:A,Groups!G:G)=2,ISNUMBER(SEARCH("Desert",BV163)),ISNUMBER(SEARCH("ExtremeDesert",BV163)),ISNUMBER(SEARCH("LavaField",BV163))),50,IF(ISNUMBER(SEARCH("Grasslands",BV163)),45,IF(OR(_xlfn.XLOOKUP(_xlfn.XLOOKUP(B163,'Base stats'!B:B,'Base stats'!E:E),Groups!A:A,Groups!G:G)=1,ISNUMBER(SEARCH("TropicalRainforest",BV163)),ISNUMBER(SEARCH("TropicalSwamp",BV163))),40,IF(OR(ISNUMBER(SEARCH("TemperateForest",BV163)),ISNUMBER(SEARCH("TemperateSwamp",BV163))),35,IF(OR(ISNUMBER(SEARCH("Alpine",BV163)),ISNUMBER(SEARCH("BorealForest",BV163)),ISNUMBER(SEARCH("ColdBog",BV163))),30,IF(ISNUMBER(OR(ISNUMBER(SEARCH("GlacialPlain",BV163)),SEARCH("Tundra",BV163))),25,IF(OR(ISNUMBER(SEARCH("SeaIce",BV163)),ISNUMBER(SEARCH("IceSheet",BV163)),ISNUMBER(SEARCH("TropicalSwamp",BV163))),10,35)))))))+_xlfn.XLOOKUP(B163,'Base stats'!B:B,'Base stats'!Q:Q)</f>
        <v>35</v>
      </c>
      <c r="M163" s="8" t="str">
        <f>IF(_xlfn.XLOOKUP(_xlfn.XLOOKUP(B163,'Base stats'!B:B,'Base stats'!E:E),Groups!A:A,Groups!L:L)=1,MIN(MROUND(_xlfn.XLOOKUP(B163,'Animals CE'!B:B,'Animals CE'!Z:Z)/2+0.05,0.05),200%),"No")</f>
        <v>No</v>
      </c>
      <c r="N163" s="8" t="str">
        <f>IF(_xlfn.XLOOKUP(_xlfn.XLOOKUP(B163,'Base stats'!B:B,'Base stats'!E:E),Groups!A:A,Groups!L:L)=1,MIN(MROUND(_xlfn.XLOOKUP(B163,'Animals CE'!B:B,'Animals CE'!AA:AA)/2+0.05,0.05),200%),"No")</f>
        <v>No</v>
      </c>
      <c r="O163" s="2" t="str">
        <f>_xlfn.XLOOKUP(B163,'Base stats'!B:B,'Base stats'!R:R)</f>
        <v>Standard</v>
      </c>
      <c r="P163" s="13">
        <f>MROUND((LOG10(_xlfn.XLOOKUP(B163,'Base stats'!B:B,'Base stats'!AO:AO))*(AN163^0.5)+(_xlfn.XLOOKUP(B163,'Base stats'!B:B,'Base stats'!AO:AO)/1000)^(2/3)+_xlfn.XLOOKUP(B163,'Base stats'!B:B,'Base stats'!AX:AX)/2)+0.5,0.5)</f>
        <v>7</v>
      </c>
      <c r="Q163" s="7">
        <f>IF(P163="No","No",MAX(1,MROUND(_xlfn.XLOOKUP(B163,'Base stats'!B:B,'Base stats'!C:C)^0.165,0.05)))</f>
        <v>2</v>
      </c>
      <c r="R163" s="13" t="str">
        <f>IF(_xlfn.XLOOKUP(_xlfn.XLOOKUP(B163,'Base stats'!B:B,'Base stats'!E:E),Groups!A:A,Groups!P:P)=0,"No",MROUND((LOG10(_xlfn.XLOOKUP(B163,'Base stats'!B:B,'Base stats'!AP:AP))*(AN163^0.5)+(_xlfn.XLOOKUP(B163,'Base stats'!B:B,'Base stats'!AP:AP)/1000)^(2/3)+_xlfn.XLOOKUP(B163,'Base stats'!B:B,'Base stats'!AX:AX))+_xlfn.XLOOKUP(B163,'Base stats'!B:B,'Base stats'!AV:AV)+0.5,0.5))</f>
        <v>No</v>
      </c>
      <c r="S163" s="7" t="str">
        <f>IF(R163="No","No",MAX(_xlfn.XLOOKUP(_xlfn.XLOOKUP(B163,'Base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T163" s="7" t="str">
        <f>IF(R163="No","No",_xlfn.XLOOKUP(_xlfn.XLOOKUP(B163,'Base stats'!B:B,'Base stats'!E:E),Groups!A:A,Groups!R:R))</f>
        <v>No</v>
      </c>
      <c r="U163" s="7" t="str">
        <f>IF(R163="No","No",_xlfn.XLOOKUP(_xlfn.XLOOKUP(B163,'Base stats'!B:B,'Base stats'!E:E),Groups!A:A,Groups!S:S))</f>
        <v>No</v>
      </c>
      <c r="V163" s="7" t="str">
        <f>IF(R163="No","No",_xlfn.XLOOKUP(_xlfn.XLOOKUP(B163,'Base stats'!B:B,'Base stats'!E:E),Groups!A:A,Groups!T:T))</f>
        <v>No</v>
      </c>
      <c r="W163" s="13" t="str">
        <f>IF(_xlfn.XLOOKUP(B163,'Base stats'!B:B,'Base stats'!W:W)="No","No",MROUND((LOG10(_xlfn.XLOOKUP(B163,'Base stats'!B:B,'Base stats'!AR:AR))*(AN163^0.5)+(_xlfn.XLOOKUP(B163,'Base stats'!B:B,'Base stats'!AR:AR)/1000)^(2/3)+_xlfn.XLOOKUP(B163,'Base stats'!B:B,'Base stats'!AW:AW))+0.5+IF(_xlfn.XLOOKUP(_xlfn.XLOOKUP(B163,'Base stats'!B:B,'Base stats'!E:E),Groups!A:A,Groups!U:U)&lt;&gt;3,_xlfn.XLOOKUP(B163,'Base stats'!B:B,'Base stats'!AX:AX),0),0.5))</f>
        <v>No</v>
      </c>
      <c r="X163" s="7" t="str">
        <f>IF(W163="No","No",MAX(_xlfn.XLOOKUP(_xlfn.XLOOKUP(B163,'Base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Y163" s="7" t="str">
        <f>IF(W163="No","No",_xlfn.XLOOKUP(_xlfn.XLOOKUP(B163,'Base stats'!B:B,'Base stats'!E:E),Groups!A:A,Groups!W:W))</f>
        <v>No</v>
      </c>
      <c r="Z163" s="7" t="str">
        <f>IF(W163="No","No",_xlfn.XLOOKUP(_xlfn.XLOOKUP(B163,'Base stats'!B:B,'Base stats'!E:E),Groups!A:A,Groups!X:X))</f>
        <v>No</v>
      </c>
      <c r="AA163" s="7" t="str">
        <f>IF(W163="No","No",_xlfn.XLOOKUP(_xlfn.XLOOKUP(B163,'Base stats'!B:B,'Base stats'!E:E),Groups!A:A,Groups!Y:Y))</f>
        <v>No</v>
      </c>
      <c r="AB163" s="7" t="str">
        <f>_xlfn.XLOOKUP(Animals!B163,'Base stats'!B:B,'Base stats'!X:X)</f>
        <v>False</v>
      </c>
      <c r="AC163" s="13">
        <f>IF(_xlfn.XLOOKUP(B163,'Base stats'!B:B,'Base stats'!AQ:AQ)="No","No",MROUND((LOG10(_xlfn.XLOOKUP(B163,'Base stats'!B:B,'Base stats'!AQ:AQ))*(AN163^0.75)+(_xlfn.XLOOKUP(B163,'Base stats'!B:B,'Base stats'!AQ:AQ)/1000)^(2/3)+_xlfn.XLOOKUP(B163,'Base stats'!B:B,'Base stats'!AU:AU)+_xlfn.XLOOKUP(B163,'Base stats'!B:B,'Base stats'!AX:AX))+0.5,0.5))</f>
        <v>11.5</v>
      </c>
      <c r="AD163" s="7">
        <f>IF(AC163="No","No",MAX(_xlfn.XLOOKUP(_xlfn.XLOOKUP(B163,'Base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E163" s="7" t="str">
        <f>IF(AC163="No","No",_xlfn.XLOOKUP(_xlfn.XLOOKUP(B163,'Base stats'!B:B,'Base stats'!E:E),Groups!A:A,Groups!AA:AA))</f>
        <v>Teeth</v>
      </c>
      <c r="AF163" s="7" t="str">
        <f>IF(AC163="No","No",_xlfn.XLOOKUP(_xlfn.XLOOKUP(B163,'Base stats'!B:B,'Base stats'!E:E),Groups!A:A,Groups!AB:AB))</f>
        <v>canines</v>
      </c>
      <c r="AG163" s="7" t="str">
        <f>IF(AC163="No","No",_xlfn.XLOOKUP(_xlfn.XLOOKUP(B163,'Base stats'!B:B,'Base stats'!E:E),Groups!A:A,Groups!AC:AC))</f>
        <v>Bite</v>
      </c>
      <c r="AH163" s="13">
        <f>IF(_xlfn.XLOOKUP(_xlfn.XLOOKUP(B163,'Base stats'!B:B,'Base stats'!E:E),Groups!A:A,Groups!AD:AD)=0,"No",MROUND((LOG10(_xlfn.XLOOKUP(B163,'Base stats'!B:B,'Base stats'!AP:AP))*(AN163^0.75)+(_xlfn.XLOOKUP(B163,'Base stats'!B:B,'Base stats'!AP:AP)/1000)^(2/3)+_xlfn.XLOOKUP(B163,'Base stats'!B:B,'Base stats'!AV:AV)+_xlfn.XLOOKUP(B163,'Base stats'!B:B,'Base stats'!AX:AX))+0.5,0.5))</f>
        <v>9</v>
      </c>
      <c r="AI163" s="7">
        <f>IF(AH163="No","No",MAX(_xlfn.XLOOKUP(_xlfn.XLOOKUP(B163,'Base stats'!B:B,'Base stats'!E:E),Groups!A:A,Groups!AE:AE),MROUND(_xlfn.XLOOKUP(_xlfn.XLOOKUP(B163,'Base stats'!B:B,'Base stats'!E:E),Groups!A:A,Groups!AE:AE)*_xlfn.XLOOKUP(B163,'Base stats'!B:B,'Base stats'!C:C)^0.165,0.05)))</f>
        <v>1.3</v>
      </c>
      <c r="AJ163" s="7" t="str">
        <f>IF(AH163="No","No",_xlfn.XLOOKUP(_xlfn.XLOOKUP(B163,'Base stats'!B:B,'Base stats'!E:E),Groups!A:A,Groups!AF:AF))</f>
        <v>LeftHand, RightHand</v>
      </c>
      <c r="AK163" s="7" t="str">
        <f>IF(AH163="No","No",_xlfn.XLOOKUP(_xlfn.XLOOKUP(B163,'Base stats'!B:B,'Base stats'!E:E),Groups!A:A,Groups!AG:AG))</f>
        <v>left fist, right fist</v>
      </c>
      <c r="AL163" s="7" t="str">
        <f>IF(AH163="No","No",_xlfn.XLOOKUP(_xlfn.XLOOKUP(B163,'Base stats'!B:B,'Base stats'!E:E),Groups!A:A,Groups!AH:AH))</f>
        <v>Blunt</v>
      </c>
      <c r="AM163" s="2" t="str">
        <f t="shared" ref="AM163:AM166" si="21">IF(BH163="false","No",MROUND(AN163*5+15*1,5))</f>
        <v>No</v>
      </c>
      <c r="AN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O163" s="8">
        <f>MROUND(AN163*_xlfn.XLOOKUP(_xlfn.XLOOKUP(B163,'Base stats'!B:B,'Base stats'!E:E),Groups!A:A,Groups!AI:AI),0.05)</f>
        <v>0.95000000000000007</v>
      </c>
      <c r="AP163" s="8">
        <f>MAX(0.01,MROUND(IF(CA163="True",0.196*(AN163*100*1000)^0.889,IF(_xlfn.XLOOKUP(_xlfn.XLOOKUP(B163,'Base stats'!B:B,'Base stats'!E:E),Groups!A:A,Groups!AJ:AJ)="Bird",10.5*(AN163*100*1000)^0.681,4.82*(AN163*100*1000)^0.734))/(4.82*(1*100*1000)^0.734)/IF(AN163&lt;3.5,2,IF(AN163=3.5,1.5,1.25))*(1+0.132282374779864/(AN163^0.994035016789033+0.00905238001496948)),0.05))</f>
        <v>0.55000000000000004</v>
      </c>
      <c r="AQ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R163" s="35">
        <f>IFERROR(IF(_xlfn.XLOOKUP(B163,'Base stats'!B:B,'Base stats'!F:F)="Lay eggs","Lay eggs",MIN(20,MAX(5.5,ROUND(((_xlfn.XLOOKUP(B163,'Base stats'!B:B,'Base stats'!F:F)-25)*(14.5/615) + 5.5)*2,0)/2))),"Cannot breed")</f>
        <v>11</v>
      </c>
      <c r="AS163" s="8">
        <f>IF(OR(A163="Queen",A163="Larva",A163="Megachicken"),"No",IFERROR(MAX(IF(_xlfn.XLOOKUP(B163,'Base stats'!B:B,'Base stats'!G:G)&lt;0.5,0.2,0.3),MROUND(_xlfn.XLOOKUP(B163,'Base stats'!B:B,'Base stats'!G:G)/(365/60),0.2)),"Unknown"))</f>
        <v>1.2000000000000002</v>
      </c>
      <c r="AT163" s="8">
        <f t="shared" si="15"/>
        <v>0.60000000000000009</v>
      </c>
      <c r="AU163" s="8">
        <f>IFERROR(IFERROR(MROUND(_xlfn.XLOOKUP(B163,'Base stats'!B:B,'Base stats'!J:J),0.1),"Lay eggs"),"Cannot breed")</f>
        <v>1</v>
      </c>
      <c r="AV163" s="2" t="str">
        <f t="shared" ref="AV163:AV166" si="22">IF(BR163="No","false","true")</f>
        <v>false</v>
      </c>
      <c r="AW163" s="2" t="str">
        <f>IF(_xlfn.XLOOKUP(_xlfn.XLOOKUP(Animals!B163,'Base stats'!B:B,'Base stats'!E:E),Groups!A:A,Groups!AK:AK)=1,"true","false")</f>
        <v>false</v>
      </c>
      <c r="AX163" s="25" t="str">
        <f>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</f>
        <v>VegetarianRoughAnimal</v>
      </c>
      <c r="AY163" s="2" t="str">
        <f>IF(_xlfn.XLOOKUP(_xlfn.XLOOKUP(B163,'Base stats'!B:B,'Base stats'!E:E),Groups!A:A,Groups!D:D)=1,MROUND((1-I163)*5+1,2)*IF(I163&lt;=0.4,2,1),"No")</f>
        <v>No</v>
      </c>
      <c r="AZ163" s="2" t="str">
        <f>_xlfn.XLOOKUP(B163,'Base stats'!B:B,'Base stats'!AE:AE)</f>
        <v>Leather_Light</v>
      </c>
      <c r="BA163" s="23" t="str">
        <f>_xlfn.XLOOKUP(_xlfn.XLOOKUP(B163,'Base stats'!B:B,'Base stats'!E:E),Groups!A:A,Groups!AL:AL)</f>
        <v>Ape</v>
      </c>
      <c r="BB163" s="23">
        <f>MROUND(IF(AND(AN163&lt;0.5,_xlfn.XLOOKUP(B163,'Base stats'!B:B,'Base stats'!Z:Z)=0),0,IF(OR(_xlfn.XLOOKUP(Animals!B163,'Base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stats'!AA:AA),0.005)</f>
        <v>2.5000000000000001E-2</v>
      </c>
      <c r="BC163" s="23">
        <f>MROUND(IF(AND(AN163&lt;0.5,_xlfn.XLOOKUP(B163,'Base stats'!B:B,'Base stats'!Z:Z)=0),0,IF(_xlfn.XLOOKUP(_xlfn.XLOOKUP(B163,'Base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stats'!AB:AB),0.005)</f>
        <v>0.1</v>
      </c>
      <c r="BD163" s="2" t="str">
        <f>IF(I163&gt;0.3,"No",_xlfn.XLOOKUP(_xlfn.XLOOKUP(Animals!B163,'Base stats'!B:B,'Base stats'!E:E),Groups!A:A,Groups!AP:AP))</f>
        <v>No</v>
      </c>
      <c r="BE163" s="2" t="str">
        <f>IF(AND(I163&lt;=0.65,_xlfn.XLOOKUP(_xlfn.XLOOKUP(Animals!B163,'Base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stats'!O:O)=2,0.2,AN163) + 24*(1-IF(BD163="No",0,BD163)) + 16/3, 12),"No")</f>
        <v>No</v>
      </c>
      <c r="BF163" s="2">
        <f>IF(AND(_xlfn.XLOOKUP(_xlfn.XLOOKUP(B163,'Base stats'!B:B,'Base stats'!E:E),Groups!A:A,Groups!AQ:AQ)=1,AN163&lt;=0.35),8,12)</f>
        <v>12</v>
      </c>
      <c r="BG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H163" s="2" t="str">
        <f>IF(AND(_xlfn.XLOOKUP(_xlfn.XLOOKUP(B163,'Base stats'!B:B,'Base stats'!E:E),Groups!A:A,Groups!AS:AS)=1,OR('Base stats'!Y163="Carnivore",'Base stats'!Y163="Omnivore")),"true","false")</f>
        <v>false</v>
      </c>
      <c r="BI163" s="2" t="str">
        <f>IF(BH163="true",MROUND(IF(AND(AN163&gt;0.5,_xlfn.XLOOKUP(_xlfn.XLOOKUP(B163,'Base stats'!B:B,'Base stats'!E:E),Groups!A:A,Groups!AJ:AJ)="Mammal"),Animals!AN163*1.75*IF(AV163="true",1.5,1),Animals!AN163),IF(AN163&gt;2,0.5,IF(AN163&gt;0.5,0.25,0.1))),"No")</f>
        <v>No</v>
      </c>
      <c r="BJ163" s="2">
        <f t="shared" ref="BJ163:BJ166" si="23">IF(BG163&lt;&gt;"None",1,0)</f>
        <v>1</v>
      </c>
      <c r="BK163" s="25" t="str">
        <f>IF('Base stats'!AK163="Standard","No",MROUND((_xlfn.XLOOKUP(B163,'Base stats'!B:B,'Base stats'!AK:AK)/3.6)/H163,0.1))</f>
        <v>No</v>
      </c>
      <c r="BL163" s="25" t="str">
        <f t="shared" ref="BL163:BL166" si="24">IF(OR(BK163&lt;&gt;"No",BO163=1),"true","false")</f>
        <v>false</v>
      </c>
      <c r="BM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N163" s="25" t="str" cm="1">
        <f t="array" ref="BN163">IF(
  _xlfn.TEXTJOIN(", ",TRUE,
    IF(AND(BH163="true",AN163&gt;0.5,BG163&lt;&gt;"None"),"AttackTarget",""),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IF(BE163&lt;=36,"Comfort",""),
    IF(_xlfn.XLOOKUP(B163,'Base stats'!B:B,'Base stats'!AC:AC)&lt;&gt;"No",_xlfn.XLOOKUP(B163,'Base stats'!B:B,'Base stats'!AC:AC),"")
  ) = "",
  "No",
  _xlfn.TEXTJOIN(", ",TRUE,
    IF(AND(BH163="true",AN163&gt;0.5,BG163&lt;&gt;"None"),"AttackTarget",""),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IF(BE163&lt;=36,"Comfort",""),
    IF(_xlfn.XLOOKUP(B163,'Base stats'!B:B,'Base stats'!AC:AC)&lt;&gt;"No",_xlfn.XLOOKUP(B163,'Base stats'!B:B,'Base stats'!AC:AC),"")
  )
)</f>
        <v>No</v>
      </c>
      <c r="BO163" s="25" t="str">
        <f>IF(
   AND(
      'Base stats'!AK163="Standard",_xlfn.XLOOKUP(_xlfn.XLOOKUP(B163,'Base stats'!B:B,'Base stats'!E:E),Groups!A:A,Groups!AU:AU)=0,
      OR(
      BM163="True"
      )
   ),
   10,
   IF(
       OR(BK163&lt;&gt;"No",_xlfn.XLOOKUP(_xlfn.XLOOKUP(B163,'Base stats'!B:B,'Base stats'!E:E),Groups!A:A,Groups!AU:AU)=1),
      1,
      "No"
   )
)</f>
        <v>No</v>
      </c>
      <c r="BP163" s="9">
        <f>MROUND((1 + ((0.2*IF(OR(P163="No",Q163="No",Q163=0),0,P163/Q163)
+IF(OR(U163="No",R163="No",S163="No"),0,R163/S163*(LEN(U163)-LEN(SUBSTITUTE(U163,",",""))+1))
+IF(OR(W163="No",X163="No"),0,W163/X163)
+IF(OR(AC163="No",AD163="No"),0,AC163/AD163)
+IF(OR(AK163="No",AH163="No",AI163="No"),0,AH163/AI163*(LEN(AK163)-LEN(SUBSTITUTE(AK163,",",""))+1))
)/(0.2*IF(OR(P163="No",Q163="No",Q163=0),0,1)
+IF(OR(U163="No",R163="No",S163="No"),0,LEN(U163)-LEN(SUBSTITUTE(U163,",",""))+1)
+IF(OR(W163="No",X163="No"),0,1)
+IF(OR(AC163="No",AD163="No"),0,1)
+IF(OR(AK163="No",AH163="No",AI163="No"),0,LEN(AK163)-LEN(SUBSTITUTE(AK163,",",""))+1))*62%)* 2)*(1 + (AO163 + _xlfn.XLOOKUP(B163,'Base stats'!B:B,'Base stats'!AS:AS) * 1.8) * 2) * 2.5 + 10 + H163 * 2,5)+IF(_xlfn.XLOOKUP(B163,'Base stats'!B:B,'Base stats'!AH:AH)=1,50,0)</f>
        <v>85</v>
      </c>
      <c r="BQ163" s="8">
        <f t="shared" ref="BQ163:BQ166" si="25">MROUND(AN163 * 0.2 + AP163 * 0.8,0.05)</f>
        <v>0.65</v>
      </c>
      <c r="BR163" s="8" t="str">
        <f>_xlfn.XLOOKUP(B163,'Base stats'!B:B,'Base stats'!AD:AD)</f>
        <v>No</v>
      </c>
      <c r="BS163" s="2" t="str">
        <f>IF(AND(I163&lt;=0.95,OR(_xlfn.XLOOKUP(B163,'Base stats'!B:B,'Base stats'!AH:AH)=1,_xlfn.XLOOKUP(B163,'Base stats'!B:B,'Base stats'!Y:Y)="Carnivore",_xlfn.XLOOKUP(B163,'Base stats'!B:B,'Base stats'!Y:Y)="Omnivore",BC163&gt;0.1)),"true","false")</f>
        <v>false</v>
      </c>
      <c r="BT163" s="2" t="str">
        <f>IF(_xlfn.XLOOKUP(B163,'Base stats'!B:B,'Base stats'!AF:AF)=1,"true","false")</f>
        <v>false</v>
      </c>
      <c r="BU163" s="25" t="str">
        <f>IF(E163="BaseInsect","AnimalInsect",
IF(I163&gt;0.95,"AnimalExotic",
_xlfn.TEXTJOIN(", ",TRUE,
IF(AND(_xlfn.XLOOKUP(B163,'Base stats'!B:B,'Base stats'!O:O)=0,_xlfn.XLOOKUP(_xlfn.XLOOKUP(B163,'Base stats'!B:B,'Base stats'!E:E),Groups!A:A,Groups!B:B)&gt;0),"AnimalUncommon","AnimalCommon"),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stats'!AH:AH)=1,AND(BG163&lt;&gt;"None",BP163&gt;=60),ISNUMBER(SEARCH("Attack target",BN163))),"AnimalFighter","")
)))</f>
        <v>AnimalUncommon, AnimalFighter</v>
      </c>
      <c r="BV163" s="25" t="str">
        <f>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</f>
        <v/>
      </c>
      <c r="BW163" s="25" t="str">
        <f>IF(_xlfn.XLOOKUP(B163,'Base stats'!B:B,'Base stats'!AG:AG)=1,"true","false")</f>
        <v>false</v>
      </c>
      <c r="BX163" s="25">
        <f>IF(_xlfn.XLOOKUP(B163,'Base stats'!B:B,'Base stats'!N:N)=1,"No",MIN(MROUND(IF(OR(_xlfn.XLOOKUP(B163,'Base stats'!B:B,'Base stats'!AJ:AJ)=1,AND(BH163="True",CA163="False")),POWER(10,3.47*LOG10(_xlfn.XLOOKUP(B163,'Base stats'!B:B,'Base stats'!C:C)*1000)^-0.96),POWER(10,4.15*LOG10(_xlfn.XLOOKUP(B163,'Base stats'!B:B,'Base stats'!C:C)*1000)^-0.73))*IF(OR(_xlfn.XLOOKUP(B163,'Base stats'!B:B,'Base stats'!AJ:AJ)=1,_xlfn.XLOOKUP(B163,'Base stats'!B:B,'Base stats'!AH:AH)=1),0.5,1)/100,0.025),1))</f>
        <v>0.2</v>
      </c>
      <c r="BY163" s="25" t="str">
        <f>IF(O163="Standard","No",IF(_xlfn.XLOOKUP(B163,'Base stats'!B:B,'Base stats'!N:N)=0,MROUND(BX163*O163,0.05),MIN(1,MAX(0.025,MROUND(IF(OR(CA163="true",AND(BH163="false",BM163="false")),POWER(10,4.15*LOG10(_xlfn.XLOOKUP(B163,'Base stats'!B:B,'Base stats'!C:C)*1000)^-0.73),POWER(10,3.47*LOG10(_xlfn.XLOOKUP(B163,'Base stats'!B:B,'Base stats'!C:C)*1000)^-0.96))*IF(_xlfn.XLOOKUP(B163,'Base stats'!B:B,'Base stats'!AH:AH)=1,0.5,1)/100,0.025)))))</f>
        <v>No</v>
      </c>
      <c r="BZ163" s="25" t="str">
        <f>IF(_xlfn.XLOOKUP(_xlfn.XLOOKUP(B163,'Base stats'!B:B,'Base stats'!E:E),Groups!A:A,Groups!AJ:AJ)="Mammal","True","False")</f>
        <v>True</v>
      </c>
      <c r="CA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B163" s="25" t="str">
        <f t="shared" ref="CB163:CB166" si="26">IF(I163&gt;0.95,"True","False")</f>
        <v>False</v>
      </c>
      <c r="CC163" s="25" t="str">
        <f>IF(_xlfn.XLOOKUP(_xlfn.XLOOKUP(B163,'Base stats'!B:B,'Base stats'!E:E),Groups!A:A,Groups!AW:AW),"True","False")</f>
        <v>False</v>
      </c>
      <c r="CD163" s="25" t="str">
        <f>IF(_xlfn.XLOOKUP(_xlfn.XLOOKUP(B163,'Base stats'!B:B,'Base stats'!E:E),Groups!A:A,Groups!AX:AX),"True","False")</f>
        <v>False</v>
      </c>
      <c r="CE163" s="25" t="str">
        <f>IF(_xlfn.XLOOKUP(B163,'Base stats'!B:B,'Base stats'!E:E)=1,"True","False")</f>
        <v>False</v>
      </c>
      <c r="CF163" s="25" t="str">
        <f>IF(
OR(
_xlfn.XLOOKUP(_xlfn.XLOOKUP(B163,'Base stats'!B:B,'Base stats'!E:E),Groups!A:A,Groups!AY:AY)=0,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stats'!E:E),Groups!A:A,Groups!AY:AY)=1,
"Flesh",
IF(
_xlfn.XLOOKUP(_xlfn.XLOOKUP(B163,'Base stats'!B:B,'Base stats'!E:E),Groups!A:A,Groups!AY:AY)=2,
"Bone",
""
)
)
)</f>
        <v>No</v>
      </c>
      <c r="CG163" s="25" t="str">
        <f>IF(_xlfn.XLOOKUP(_xlfn.XLOOKUP(B163,'Base stats'!B:B,'Base stats'!E:E),Groups!A:A,Groups!BA:BA),"True","False")</f>
        <v>True</v>
      </c>
      <c r="CH163" s="25" t="str">
        <f>IF(_xlfn.XLOOKUP(_xlfn.XLOOKUP(B163,'Base stats'!B:B,'Base stats'!E:E),Groups!A:A,Groups!AZ:AZ),"True","False")</f>
        <v>False</v>
      </c>
    </row>
    <row r="164" spans="1:86" s="16" customFormat="1" ht="16.5" thickTop="1" thickBot="1" x14ac:dyDescent="0.3">
      <c r="A164" s="26" t="str">
        <f>_xlfn.XLOOKUP(B164,'Base stats'!B:B,'Base stats'!A:A)</f>
        <v>Megachicken</v>
      </c>
      <c r="B164" s="6" t="s">
        <v>1171</v>
      </c>
      <c r="C164" s="28" t="s">
        <v>1170</v>
      </c>
      <c r="D164" s="28" t="s">
        <v>1163</v>
      </c>
      <c r="E164" s="28" t="s">
        <v>685</v>
      </c>
      <c r="F164" s="28" t="s">
        <v>685</v>
      </c>
      <c r="G164" s="2">
        <f>MROUND((
  (IF(AND(_xlfn.XLOOKUP(B164,'Base stats'!B:B,'Base stats'!AI:AI)=0,BG164="None",_xlfn.XLOOKUP('Base stats'!E164,Groups!A:A,Groups!B:B)=0), (18 + BP164 * 2.7) * 0.5,
    IF(AND(_xlfn.XLOOKUP(B164,'Base stats'!B:B,'Base stats'!AI:AI)=0,OR(AN164&lt;0.55,AND(BG164="Intermediate",_xlfn.XLOOKUP('Base stats'!E164,Groups!A:A,Groups!B:B)&lt;2))), (18 + BP164 * 2.7),
      IF(OR(BG164="Advanced",_xlfn.XLOOKUP(B164,'Base stats'!B:B,'Base stats'!AI:AI)=1,_xlfn.XLOOKUP('Base stats'!E164,Groups!A:A,Groups!B:B)=2), (18 + BP164 * 2.7) + 250, (18 + BP164 * 2.7))
    )
  ))
  + AN164 * 80
  + IF(COUNTIF(EggMilk!K$2:K$998, A164) &gt; 0, 125, 0)
  + IF(COUNTIF(EggMilk!P$2:P$998, A164) &gt; 0, 90, 0)
  + IF(COUNTIF(EggMilk!A$2:A$998, A164) &gt; 0, 90, 0)
)
* (0.8 + 0.4 * I164)
* 0.75,25)</f>
        <v>425</v>
      </c>
      <c r="H164" s="2">
        <f>MROUND(ROUNDDOWN(_xlfn.XLOOKUP(B164,'Base stats'!B:B,'Base stats'!L:L)/3.6/(23.3/11),1),0.5)</f>
        <v>3</v>
      </c>
      <c r="I164" s="2">
        <f>IF(_xlfn.XLOOKUP(B164,'Base stats'!B:B,'Base stats'!AI:AI)=1,0.99,MIN(MROUND((1-0.6282*EXP(-0.459*AN164))*_xlfn.XLOOKUP(_xlfn.XLOOKUP(B164,'Base stats'!B:B,'Base stats'!E:E),Groups!A:A,Groups!C:C)*IF(_xlfn.XLOOKUP(B164,'Base stats'!B:B,'Base stats'!O:O)=1,0.5,IF(_xlfn.XLOOKUP(B164,'Base stats'!B:B,'Base stats'!O:O)=2,0,1)),0.05),0.985))</f>
        <v>0.99</v>
      </c>
      <c r="J164" s="2">
        <f>ROUNDUP(AN164*_xlfn.XLOOKUP(_xlfn.XLOOKUP(B164,'Base stats'!B:B,'Base stats'!E:E),Groups!A:A,Groups!E:E),0)</f>
        <v>4</v>
      </c>
      <c r="K164" s="2">
        <f>IF(OR(_xlfn.XLOOKUP(_xlfn.XLOOKUP(B164,'Base stats'!B:B,'Base stats'!E:E),Groups!A:A,Groups!F:F)=2,ISNUMBER(SEARCH("SeaIce",BV164)),ISNUMBER(SEARCH("IceSheet",BV164))),-50,IF(OR(ISNUMBER(SEARCH("GlacialPlain",BV164)),ISNUMBER(SEARCH("Tundra",BV164))),-40,IF(OR(ISNUMBER(SEARCH("Alpine",BV164)),ISNUMBER(SEARCH("BorealForest",BV164)),ISNUMBER(SEARCH("ColdBog",BV164))),-30,IF(OR(ISNUMBER(SEARCH("TemperateForest",BV164)),ISNUMBER(SEARCH("TemperateSwamp",BV164))),-20,IF(_xlfn.XLOOKUP(_xlfn.XLOOKUP(B164,'Base stats'!B:B,'Base stats'!E:E),Groups!A:A,Groups!F:F)=1,-15,IF(OR(ISNUMBER(SEARCH("Desert",BV164)),ISNUMBER(SEARCH("ExtremeDesert",BV164))),-10,IF(OR(ISNUMBER(SEARCH("Grasslands",BV164)),ISNUMBER(SEARCH("TropicalRainforest",BV164)),ISNUMBER(SEARCH("TropicalSwamp",BV164))),10,0)))))))-IF(CA164="False",MIN(IFERROR(MAX(MROUND(LOG10(_xlfn.XLOOKUP(B164,'Base stats'!B:B,'Base stats'!C:C)^(2/3))*10,5),5),5),30))-_xlfn.XLOOKUP(B164,'Base stats'!B:B,'Base stats'!P:P)+IF(CA164="True",5,0)</f>
        <v>-5</v>
      </c>
      <c r="L164" s="2">
        <f>IF(OR(_xlfn.XLOOKUP(_xlfn.XLOOKUP(B164,'Base stats'!B:B,'Base stats'!E:E),Groups!A:A,Groups!G:G)=2,ISNUMBER(SEARCH("Desert",BV164)),ISNUMBER(SEARCH("ExtremeDesert",BV164)),ISNUMBER(SEARCH("LavaField",BV164))),50,IF(ISNUMBER(SEARCH("Grasslands",BV164)),45,IF(OR(_xlfn.XLOOKUP(_xlfn.XLOOKUP(B164,'Base stats'!B:B,'Base stats'!E:E),Groups!A:A,Groups!G:G)=1,ISNUMBER(SEARCH("TropicalRainforest",BV164)),ISNUMBER(SEARCH("TropicalSwamp",BV164))),40,IF(OR(ISNUMBER(SEARCH("TemperateForest",BV164)),ISNUMBER(SEARCH("TemperateSwamp",BV164))),35,IF(OR(ISNUMBER(SEARCH("Alpine",BV164)),ISNUMBER(SEARCH("BorealForest",BV164)),ISNUMBER(SEARCH("ColdBog",BV164))),30,IF(ISNUMBER(OR(ISNUMBER(SEARCH("GlacialPlain",BV164)),SEARCH("Tundra",BV164))),25,IF(OR(ISNUMBER(SEARCH("SeaIce",BV164)),ISNUMBER(SEARCH("IceSheet",BV164)),ISNUMBER(SEARCH("TropicalSwamp",BV164))),10,35)))))))+_xlfn.XLOOKUP(B164,'Base stats'!B:B,'Base stats'!Q:Q)</f>
        <v>35</v>
      </c>
      <c r="M164" s="8" t="str">
        <f>IF(_xlfn.XLOOKUP(_xlfn.XLOOKUP(B164,'Base stats'!B:B,'Base stats'!E:E),Groups!A:A,Groups!L:L)=1,MIN(MROUND(_xlfn.XLOOKUP(B164,'Animals CE'!B:B,'Animals CE'!Z:Z)/2+0.05,0.05),200%),"No")</f>
        <v>No</v>
      </c>
      <c r="N164" s="8" t="str">
        <f>IF(_xlfn.XLOOKUP(_xlfn.XLOOKUP(B164,'Base stats'!B:B,'Base stats'!E:E),Groups!A:A,Groups!L:L)=1,MIN(MROUND(_xlfn.XLOOKUP(B164,'Animals CE'!B:B,'Animals CE'!AA:AA)/2+0.05,0.05),200%),"No")</f>
        <v>No</v>
      </c>
      <c r="O164" s="2" t="str">
        <f>_xlfn.XLOOKUP(B164,'Base stats'!B:B,'Base stats'!R:R)</f>
        <v>Standard</v>
      </c>
      <c r="P164" s="13">
        <f>MROUND((LOG10(_xlfn.XLOOKUP(B164,'Base stats'!B:B,'Base stats'!AO:AO))*(AN164^0.5)+(_xlfn.XLOOKUP(B164,'Base stats'!B:B,'Base stats'!AO:AO)/1000)^(2/3)+_xlfn.XLOOKUP(B164,'Base stats'!B:B,'Base stats'!AX:AX)/2)+0.5,0.5)</f>
        <v>2.5</v>
      </c>
      <c r="Q164" s="7">
        <f>IF(P164="No","No",MAX(1,MROUND(_xlfn.XLOOKUP(B164,'Base stats'!B:B,'Base stats'!C:C)^0.165,0.05)))</f>
        <v>1.3</v>
      </c>
      <c r="R164" s="13">
        <f>IF(_xlfn.XLOOKUP(_xlfn.XLOOKUP(B164,'Base stats'!B:B,'Base stats'!E:E),Groups!A:A,Groups!P:P)=0,"No",MROUND((LOG10(_xlfn.XLOOKUP(B164,'Base stats'!B:B,'Base stats'!AP:AP))*(AN164^0.5)+(_xlfn.XLOOKUP(B164,'Base stats'!B:B,'Base stats'!AP:AP)/1000)^(2/3)+_xlfn.XLOOKUP(B164,'Base stats'!B:B,'Base stats'!AX:AX))+_xlfn.XLOOKUP(B164,'Base stats'!B:B,'Base stats'!AV:AV)+0.5,0.5))</f>
        <v>4.5</v>
      </c>
      <c r="S164" s="7">
        <f>IF(R164="No","No",MAX(_xlfn.XLOOKUP(_xlfn.XLOOKUP(B164,'Base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T164" s="7" t="str">
        <f>IF(R164="No","No",_xlfn.XLOOKUP(_xlfn.XLOOKUP(B164,'Base stats'!B:B,'Base stats'!E:E),Groups!A:A,Groups!R:R))</f>
        <v>Feet</v>
      </c>
      <c r="U164" s="7" t="str">
        <f>IF(R164="No","No",_xlfn.XLOOKUP(_xlfn.XLOOKUP(B164,'Base stats'!B:B,'Base stats'!E:E),Groups!A:A,Groups!S:S))</f>
        <v>rear left claw, rear  right claw</v>
      </c>
      <c r="V164" s="7" t="str">
        <f>IF(R164="No","No",_xlfn.XLOOKUP(_xlfn.XLOOKUP(B164,'Base stats'!B:B,'Base stats'!E:E),Groups!A:A,Groups!T:T))</f>
        <v>Scratch</v>
      </c>
      <c r="W164" s="13" t="str">
        <f>IF(_xlfn.XLOOKUP(B164,'Base stats'!B:B,'Base stats'!W:W)="No","No",MROUND((LOG10(_xlfn.XLOOKUP(B164,'Base stats'!B:B,'Base stats'!AR:AR))*(AN164^0.5)+(_xlfn.XLOOKUP(B164,'Base stats'!B:B,'Base stats'!AR:AR)/1000)^(2/3)+_xlfn.XLOOKUP(B164,'Base stats'!B:B,'Base stats'!AW:AW))+0.5+IF(_xlfn.XLOOKUP(_xlfn.XLOOKUP(B164,'Base stats'!B:B,'Base stats'!E:E),Groups!A:A,Groups!U:U)&lt;&gt;3,_xlfn.XLOOKUP(B164,'Base stats'!B:B,'Base stats'!AX:AX),0),0.5))</f>
        <v>No</v>
      </c>
      <c r="X164" s="7" t="str">
        <f>IF(W164="No","No",MAX(_xlfn.XLOOKUP(_xlfn.XLOOKUP(B164,'Base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Y164" s="7" t="str">
        <f>IF(W164="No","No",_xlfn.XLOOKUP(_xlfn.XLOOKUP(B164,'Base stats'!B:B,'Base stats'!E:E),Groups!A:A,Groups!W:W))</f>
        <v>No</v>
      </c>
      <c r="Z164" s="7" t="str">
        <f>IF(W164="No","No",_xlfn.XLOOKUP(_xlfn.XLOOKUP(B164,'Base stats'!B:B,'Base stats'!E:E),Groups!A:A,Groups!X:X))</f>
        <v>No</v>
      </c>
      <c r="AA164" s="7" t="str">
        <f>IF(W164="No","No",_xlfn.XLOOKUP(_xlfn.XLOOKUP(B164,'Base stats'!B:B,'Base stats'!E:E),Groups!A:A,Groups!Y:Y))</f>
        <v>No</v>
      </c>
      <c r="AB164" s="7" t="str">
        <f>_xlfn.XLOOKUP(Animals!B164,'Base stats'!B:B,'Base stats'!X:X)</f>
        <v>False</v>
      </c>
      <c r="AC164" s="13">
        <f>IF(_xlfn.XLOOKUP(B164,'Base stats'!B:B,'Base stats'!AQ:AQ)="No","No",MROUND((LOG10(_xlfn.XLOOKUP(B164,'Base stats'!B:B,'Base stats'!AQ:AQ))*(AN164^0.75)+(_xlfn.XLOOKUP(B164,'Base stats'!B:B,'Base stats'!AQ:AQ)/1000)^(2/3)+_xlfn.XLOOKUP(B164,'Base stats'!B:B,'Base stats'!AU:AU)+_xlfn.XLOOKUP(B164,'Base stats'!B:B,'Base stats'!AX:AX))+0.5,0.5))</f>
        <v>2.5</v>
      </c>
      <c r="AD164" s="7">
        <f>IF(AC164="No","No",MAX(_xlfn.XLOOKUP(_xlfn.XLOOKUP(B164,'Base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E164" s="7" t="str">
        <f>IF(AC164="No","No",_xlfn.XLOOKUP(_xlfn.XLOOKUP(B164,'Base stats'!B:B,'Base stats'!E:E),Groups!A:A,Groups!AA:AA))</f>
        <v>Beak</v>
      </c>
      <c r="AF164" s="7" t="str">
        <f>IF(AC164="No","No",_xlfn.XLOOKUP(_xlfn.XLOOKUP(B164,'Base stats'!B:B,'Base stats'!E:E),Groups!A:A,Groups!AB:AB))</f>
        <v>beak</v>
      </c>
      <c r="AG164" s="7" t="str">
        <f>IF(AC164="No","No",_xlfn.XLOOKUP(_xlfn.XLOOKUP(B164,'Base stats'!B:B,'Base stats'!E:E),Groups!A:A,Groups!AC:AC))</f>
        <v>Blunt</v>
      </c>
      <c r="AH164" s="13" t="str">
        <f>IF(_xlfn.XLOOKUP(_xlfn.XLOOKUP(B164,'Base stats'!B:B,'Base stats'!E:E),Groups!A:A,Groups!AD:AD)=0,"No",MROUND((LOG10(_xlfn.XLOOKUP(B164,'Base stats'!B:B,'Base stats'!AP:AP))*(AN164^0.75)+(_xlfn.XLOOKUP(B164,'Base stats'!B:B,'Base stats'!AP:AP)/1000)^(2/3)+_xlfn.XLOOKUP(B164,'Base stats'!B:B,'Base stats'!AV:AV)+_xlfn.XLOOKUP(B164,'Base stats'!B:B,'Base stats'!AX:AX))+0.5,0.5))</f>
        <v>No</v>
      </c>
      <c r="AI164" s="7" t="str">
        <f>IF(AH164="No","No",MAX(_xlfn.XLOOKUP(_xlfn.XLOOKUP(B164,'Base stats'!B:B,'Base stats'!E:E),Groups!A:A,Groups!AE:AE),MROUND(_xlfn.XLOOKUP(_xlfn.XLOOKUP(B164,'Base stats'!B:B,'Base stats'!E:E),Groups!A:A,Groups!AE:AE)*_xlfn.XLOOKUP(B164,'Base stats'!B:B,'Base stats'!C:C)^0.165,0.05)))</f>
        <v>No</v>
      </c>
      <c r="AJ164" s="7" t="str">
        <f>IF(AH164="No","No",_xlfn.XLOOKUP(_xlfn.XLOOKUP(B164,'Base stats'!B:B,'Base stats'!E:E),Groups!A:A,Groups!AF:AF))</f>
        <v>No</v>
      </c>
      <c r="AK164" s="7" t="str">
        <f>IF(AH164="No","No",_xlfn.XLOOKUP(_xlfn.XLOOKUP(B164,'Base stats'!B:B,'Base stats'!E:E),Groups!A:A,Groups!AG:AG))</f>
        <v>No</v>
      </c>
      <c r="AL164" s="7" t="str">
        <f>IF(AH164="No","No",_xlfn.XLOOKUP(_xlfn.XLOOKUP(B164,'Base stats'!B:B,'Base stats'!E:E),Groups!A:A,Groups!AH:AH))</f>
        <v>No</v>
      </c>
      <c r="AM164" s="2" t="str">
        <f t="shared" si="21"/>
        <v>No</v>
      </c>
      <c r="AN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O164" s="8">
        <f>MROUND(AN164*_xlfn.XLOOKUP(_xlfn.XLOOKUP(B164,'Base stats'!B:B,'Base stats'!E:E),Groups!A:A,Groups!AI:AI),0.05)</f>
        <v>0.30000000000000004</v>
      </c>
      <c r="AP164" s="8">
        <f>MAX(0.01,MROUND(IF(CA164="True",0.196*(AN164*100*1000)^0.889,IF(_xlfn.XLOOKUP(_xlfn.XLOOKUP(B164,'Base stats'!B:B,'Base stats'!E:E),Groups!A:A,Groups!AJ:AJ)="Bird",10.5*(AN164*100*1000)^0.681,4.82*(AN164*100*1000)^0.734))/(4.82*(1*100*1000)^0.734)/IF(AN164&lt;3.5,2,IF(AN164=3.5,1.5,1.25))*(1+0.132282374779864/(AN164^0.994035016789033+0.00905238001496948)),0.05))</f>
        <v>0.35000000000000003</v>
      </c>
      <c r="AQ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R164" s="35" t="str">
        <f>IFERROR(IF(_xlfn.XLOOKUP(B164,'Base stats'!B:B,'Base stats'!F:F)="Lay eggs","Lay eggs",MIN(20,MAX(5.5,ROUND(((_xlfn.XLOOKUP(B164,'Base stats'!B:B,'Base stats'!F:F)-25)*(14.5/615) + 5.5)*2,0)/2))),"Cannot breed")</f>
        <v>Lay eggs</v>
      </c>
      <c r="AS164" s="8" t="str">
        <f>IF(OR(A164="Queen",A164="Larva",A164="Megachicken"),"No",IFERROR(MAX(IF(_xlfn.XLOOKUP(B164,'Base stats'!B:B,'Base stats'!G:G)&lt;0.5,0.2,0.3),MROUND(_xlfn.XLOOKUP(B164,'Base stats'!B:B,'Base stats'!G:G)/(365/60),0.2)),"Unknown"))</f>
        <v>No</v>
      </c>
      <c r="AT164" s="8" t="str">
        <f t="shared" si="15"/>
        <v>No</v>
      </c>
      <c r="AU164" s="8" t="str">
        <f>IFERROR(IFERROR(MROUND(_xlfn.XLOOKUP(B164,'Base stats'!B:B,'Base stats'!J:J),0.1),"Lay eggs"),"Cannot breed")</f>
        <v>Lay eggs</v>
      </c>
      <c r="AV164" s="2" t="str">
        <f t="shared" si="22"/>
        <v>false</v>
      </c>
      <c r="AW164" s="2" t="str">
        <f>IF(_xlfn.XLOOKUP(_xlfn.XLOOKUP(Animals!B164,'Base stats'!B:B,'Base stats'!E:E),Groups!A:A,Groups!AK:AK)=1,"true","false")</f>
        <v>false</v>
      </c>
      <c r="AX164" s="25" t="str">
        <f>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</f>
        <v>OmnivoreRoughAnimal, OvivoreAnimal</v>
      </c>
      <c r="AY164" s="2">
        <f>IF(_xlfn.XLOOKUP(_xlfn.XLOOKUP(B164,'Base stats'!B:B,'Base stats'!E:E),Groups!A:A,Groups!D:D)=1,MROUND((1-I164)*5+1,2)*IF(I164&lt;=0.4,2,1),"No")</f>
        <v>2</v>
      </c>
      <c r="AZ164" s="2" t="str">
        <f>_xlfn.XLOOKUP(B164,'Base stats'!B:B,'Base stats'!AE:AE)</f>
        <v>No</v>
      </c>
      <c r="BA164" s="23" t="str">
        <f>_xlfn.XLOOKUP(_xlfn.XLOOKUP(B164,'Base stats'!B:B,'Base stats'!E:E),Groups!A:A,Groups!AL:AL)</f>
        <v>Bird</v>
      </c>
      <c r="BB164" s="23">
        <f>MROUND(IF(AND(AN164&lt;0.5,_xlfn.XLOOKUP(B164,'Base stats'!B:B,'Base stats'!Z:Z)=0),0,IF(OR(_xlfn.XLOOKUP(Animals!B164,'Base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stats'!AA:AA),0.005)</f>
        <v>0</v>
      </c>
      <c r="BC164" s="23">
        <f>MROUND(IF(AND(AN164&lt;0.5,_xlfn.XLOOKUP(B164,'Base stats'!B:B,'Base stats'!Z:Z)=0),0,IF(_xlfn.XLOOKUP(_xlfn.XLOOKUP(B164,'Base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stats'!AB:AB),0.005)</f>
        <v>0</v>
      </c>
      <c r="BD164" s="2" t="str">
        <f>IF(I164&gt;0.3,"No",_xlfn.XLOOKUP(_xlfn.XLOOKUP(Animals!B164,'Base stats'!B:B,'Base stats'!E:E),Groups!A:A,Groups!AP:AP))</f>
        <v>No</v>
      </c>
      <c r="BE164" s="2" t="str">
        <f>IF(AND(I164&lt;=0.65,_xlfn.XLOOKUP(_xlfn.XLOOKUP(Animals!B164,'Base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stats'!O:O)=2,0.2,AN164) + 24*(1-IF(BD164="No",0,BD164)) + 16/3, 12),"No")</f>
        <v>No</v>
      </c>
      <c r="BF164" s="2">
        <f>IF(AND(_xlfn.XLOOKUP(_xlfn.XLOOKUP(B164,'Base stats'!B:B,'Base stats'!E:E),Groups!A:A,Groups!AQ:AQ)=1,AN164&lt;=0.35),8,12)</f>
        <v>8</v>
      </c>
      <c r="BG164" s="2" t="str">
        <f>IF(_xlfn.XLOOKUP(_xlfn.XLOOKUP(B164,'Base stats'!B:B,'Base stats'!E:E),Groups!A:A,Groups!D:D)=0,_xlfn.XLOOKUP(_xlfn.XLOOKUP(B164,'Base stats'!B:B,'Base stats'!E:E),Groups!A:A,Groups!AR:AR),"None")</f>
        <v>None</v>
      </c>
      <c r="BH164" s="2" t="str">
        <f>IF(AND(_xlfn.XLOOKUP(_xlfn.XLOOKUP(B164,'Base stats'!B:B,'Base stats'!E:E),Groups!A:A,Groups!AS:AS)=1,OR('Base stats'!Y164="Carnivore",'Base stats'!Y164="Omnivore")),"true","false")</f>
        <v>false</v>
      </c>
      <c r="BI164" s="2" t="str">
        <f>IF(BH164="true",MROUND(IF(AND(AN164&gt;0.5,_xlfn.XLOOKUP(_xlfn.XLOOKUP(B164,'Base stats'!B:B,'Base stats'!E:E),Groups!A:A,Groups!AJ:AJ)="Mammal"),Animals!AN164*1.75*IF(AV164="true",1.5,1),Animals!AN164),IF(AN164&gt;2,0.5,IF(AN164&gt;0.5,0.25,0.1))),"No")</f>
        <v>No</v>
      </c>
      <c r="BJ164" s="2">
        <f t="shared" si="23"/>
        <v>0</v>
      </c>
      <c r="BK164" s="25" t="str">
        <f>IF('Base stats'!AK164="Standard","No",MROUND((_xlfn.XLOOKUP(B164,'Base stats'!B:B,'Base stats'!AK:AK)/3.6)/H164,0.1))</f>
        <v>No</v>
      </c>
      <c r="BL164" s="25" t="str">
        <f t="shared" si="24"/>
        <v>false</v>
      </c>
      <c r="BM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N164" s="25" t="str" cm="1">
        <f t="array" ref="BN164">IF(
  _xlfn.TEXTJOIN(", ",TRUE,
    IF(AND(BH164="true",AN164&gt;0.5,BG164&lt;&gt;"None"),"AttackTarget",""),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IF(BE164&lt;=36,"Comfort",""),
    IF(_xlfn.XLOOKUP(B164,'Base stats'!B:B,'Base stats'!AC:AC)&lt;&gt;"No",_xlfn.XLOOKUP(B164,'Base stats'!B:B,'Base stats'!AC:AC),"")
  ) = "",
  "No",
  _xlfn.TEXTJOIN(", ",TRUE,
    IF(AND(BH164="true",AN164&gt;0.5,BG164&lt;&gt;"None"),"AttackTarget",""),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IF(BE164&lt;=36,"Comfort",""),
    IF(_xlfn.XLOOKUP(B164,'Base stats'!B:B,'Base stats'!AC:AC)&lt;&gt;"No",_xlfn.XLOOKUP(B164,'Base stats'!B:B,'Base stats'!AC:AC),"")
  )
)</f>
        <v>No</v>
      </c>
      <c r="BO164" s="25" t="str">
        <f>IF(
   AND(
      'Base stats'!AK164="Standard",_xlfn.XLOOKUP(_xlfn.XLOOKUP(B164,'Base stats'!B:B,'Base stats'!E:E),Groups!A:A,Groups!AU:AU)=0,
      OR(
      BM164="True"
      )
   ),
   10,
   IF(
       OR(BK164&lt;&gt;"No",_xlfn.XLOOKUP(_xlfn.XLOOKUP(B164,'Base stats'!B:B,'Base stats'!E:E),Groups!A:A,Groups!AU:AU)=1),
      1,
      "No"
   )
)</f>
        <v>No</v>
      </c>
      <c r="BP164" s="9">
        <f>MROUND((1 + ((0.2*IF(OR(P164="No",Q164="No",Q164=0),0,P164/Q164)
+IF(OR(U164="No",R164="No",S164="No"),0,R164/S164*(LEN(U164)-LEN(SUBSTITUTE(U164,",",""))+1))
+IF(OR(W164="No",X164="No"),0,W164/X164)
+IF(OR(AC164="No",AD164="No"),0,AC164/AD164)
+IF(OR(AK164="No",AH164="No",AI164="No"),0,AH164/AI164*(LEN(AK164)-LEN(SUBSTITUTE(AK164,",",""))+1))
)/(0.2*IF(OR(P164="No",Q164="No",Q164=0),0,1)
+IF(OR(U164="No",R164="No",S164="No"),0,LEN(U164)-LEN(SUBSTITUTE(U164,",",""))+1)
+IF(OR(W164="No",X164="No"),0,1)
+IF(OR(AC164="No",AD164="No"),0,1)
+IF(OR(AK164="No",AH164="No",AI164="No"),0,LEN(AK164)-LEN(SUBSTITUTE(AK164,",",""))+1))*62%)* 2)*(1 + (AO164 + _xlfn.XLOOKUP(B164,'Base stats'!B:B,'Base stats'!AS:AS) * 1.8) * 2) * 2.5 + 10 + H164 * 2,5)+IF(_xlfn.XLOOKUP(B164,'Base stats'!B:B,'Base stats'!AH:AH)=1,50,0)</f>
        <v>35</v>
      </c>
      <c r="BQ164" s="8">
        <f t="shared" si="25"/>
        <v>0.35000000000000003</v>
      </c>
      <c r="BR164" s="8" t="str">
        <f>_xlfn.XLOOKUP(B164,'Base stats'!B:B,'Base stats'!AD:AD)</f>
        <v>No</v>
      </c>
      <c r="BS164" s="2" t="str">
        <f>IF(AND(I164&lt;=0.95,OR(_xlfn.XLOOKUP(B164,'Base stats'!B:B,'Base stats'!AH:AH)=1,_xlfn.XLOOKUP(B164,'Base stats'!B:B,'Base stats'!Y:Y)="Carnivore",_xlfn.XLOOKUP(B164,'Base stats'!B:B,'Base stats'!Y:Y)="Omnivore",BC164&gt;0.1)),"true","false")</f>
        <v>false</v>
      </c>
      <c r="BT164" s="2" t="str">
        <f>IF(_xlfn.XLOOKUP(B164,'Base stats'!B:B,'Base stats'!AF:AF)=1,"true","false")</f>
        <v>false</v>
      </c>
      <c r="BU164" s="25" t="str">
        <f>IF(E164="BaseInsect","AnimalInsect",
IF(I164&gt;0.95,"AnimalExotic",
_xlfn.TEXTJOIN(", ",TRUE,
IF(AND(_xlfn.XLOOKUP(B164,'Base stats'!B:B,'Base stats'!O:O)=0,_xlfn.XLOOKUP(_xlfn.XLOOKUP(B164,'Base stats'!B:B,'Base stats'!E:E),Groups!A:A,Groups!B:B)&gt;0),"AnimalUncommon","AnimalCommon"),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stats'!AH:AH)=1,AND(BG164&lt;&gt;"None",BP164&gt;=60),ISNUMBER(SEARCH("Attack target",BN164))),"AnimalFighter","")
)))</f>
        <v>AnimalExotic</v>
      </c>
      <c r="BV164" s="25" t="str">
        <f>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</f>
        <v/>
      </c>
      <c r="BW164" s="25" t="str">
        <f>IF(_xlfn.XLOOKUP(B164,'Base stats'!B:B,'Base stats'!AG:AG)=1,"true","false")</f>
        <v>false</v>
      </c>
      <c r="BX164" s="25">
        <f>IF(_xlfn.XLOOKUP(B164,'Base stats'!B:B,'Base stats'!N:N)=1,"No",MIN(MROUND(IF(OR(_xlfn.XLOOKUP(B164,'Base stats'!B:B,'Base stats'!AJ:AJ)=1,AND(BH164="True",CA164="False")),POWER(10,3.47*LOG10(_xlfn.XLOOKUP(B164,'Base stats'!B:B,'Base stats'!C:C)*1000)^-0.96),POWER(10,4.15*LOG10(_xlfn.XLOOKUP(B164,'Base stats'!B:B,'Base stats'!C:C)*1000)^-0.73))*IF(OR(_xlfn.XLOOKUP(B164,'Base stats'!B:B,'Base stats'!AJ:AJ)=1,_xlfn.XLOOKUP(B164,'Base stats'!B:B,'Base stats'!AH:AH)=1),0.5,1)/100,0.025),1))</f>
        <v>0.4</v>
      </c>
      <c r="BY164" s="25" t="str">
        <f>IF(O164="Standard","No",IF(_xlfn.XLOOKUP(B164,'Base stats'!B:B,'Base stats'!N:N)=0,MROUND(BX164*O164,0.05),MIN(1,MAX(0.025,MROUND(IF(OR(CA164="true",AND(BH164="false",BM164="false")),POWER(10,4.15*LOG10(_xlfn.XLOOKUP(B164,'Base stats'!B:B,'Base stats'!C:C)*1000)^-0.73),POWER(10,3.47*LOG10(_xlfn.XLOOKUP(B164,'Base stats'!B:B,'Base stats'!C:C)*1000)^-0.96))*IF(_xlfn.XLOOKUP(B164,'Base stats'!B:B,'Base stats'!AH:AH)=1,0.5,1)/100,0.025)))))</f>
        <v>No</v>
      </c>
      <c r="BZ164" s="25" t="str">
        <f>IF(_xlfn.XLOOKUP(_xlfn.XLOOKUP(B164,'Base stats'!B:B,'Base stats'!E:E),Groups!A:A,Groups!AJ:AJ)="Mammal","True","False")</f>
        <v>False</v>
      </c>
      <c r="CA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B164" s="25" t="str">
        <f t="shared" si="26"/>
        <v>True</v>
      </c>
      <c r="CC164" s="25" t="str">
        <f>IF(_xlfn.XLOOKUP(_xlfn.XLOOKUP(B164,'Base stats'!B:B,'Base stats'!E:E),Groups!A:A,Groups!AW:AW),"True","False")</f>
        <v>False</v>
      </c>
      <c r="CD164" s="25" t="str">
        <f>IF(_xlfn.XLOOKUP(_xlfn.XLOOKUP(B164,'Base stats'!B:B,'Base stats'!E:E),Groups!A:A,Groups!AX:AX),"True","False")</f>
        <v>False</v>
      </c>
      <c r="CE164" s="25" t="str">
        <f>IF(_xlfn.XLOOKUP(B164,'Base stats'!B:B,'Base stats'!E:E)=1,"True","False")</f>
        <v>False</v>
      </c>
      <c r="CF164" s="25" t="str">
        <f>IF(
OR(
_xlfn.XLOOKUP(_xlfn.XLOOKUP(B164,'Base stats'!B:B,'Base stats'!E:E),Groups!A:A,Groups!AY:AY)=0,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stats'!E:E),Groups!A:A,Groups!AY:AY)=1,
"Flesh",
IF(
_xlfn.XLOOKUP(_xlfn.XLOOKUP(B164,'Base stats'!B:B,'Base stats'!E:E),Groups!A:A,Groups!AY:AY)=2,
"Bone",
""
)
)
)</f>
        <v>No</v>
      </c>
      <c r="CG164" s="25" t="str">
        <f>IF(_xlfn.XLOOKUP(_xlfn.XLOOKUP(B164,'Base stats'!B:B,'Base stats'!E:E),Groups!A:A,Groups!BA:BA),"True","False")</f>
        <v>True</v>
      </c>
      <c r="CH164" s="25" t="str">
        <f>IF(_xlfn.XLOOKUP(_xlfn.XLOOKUP(B164,'Base stats'!B:B,'Base stats'!E:E),Groups!A:A,Groups!AZ:AZ),"True","False")</f>
        <v>False</v>
      </c>
    </row>
    <row r="165" spans="1:86" s="16" customFormat="1" ht="16.5" thickTop="1" thickBot="1" x14ac:dyDescent="0.3">
      <c r="A165" s="26" t="str">
        <f>_xlfn.XLOOKUP(B165,'Base stats'!B:B,'Base stats'!A:A)</f>
        <v>Crane</v>
      </c>
      <c r="B165" s="6" t="s">
        <v>1173</v>
      </c>
      <c r="C165" s="28" t="s">
        <v>1172</v>
      </c>
      <c r="D165" s="28" t="s">
        <v>1163</v>
      </c>
      <c r="E165" s="28" t="s">
        <v>685</v>
      </c>
      <c r="F165" s="28" t="s">
        <v>685</v>
      </c>
      <c r="G165" s="2">
        <f>MROUND((
  (IF(AND(_xlfn.XLOOKUP(B165,'Base stats'!B:B,'Base stats'!AI:AI)=0,BG165="None",_xlfn.XLOOKUP('Base stats'!E165,Groups!A:A,Groups!B:B)=0), (18 + BP165 * 2.7) * 0.5,
    IF(AND(_xlfn.XLOOKUP(B165,'Base stats'!B:B,'Base stats'!AI:AI)=0,OR(AN165&lt;0.55,AND(BG165="Intermediate",_xlfn.XLOOKUP('Base stats'!E165,Groups!A:A,Groups!B:B)&lt;2))), (18 + BP165 * 2.7),
      IF(OR(BG165="Advanced",_xlfn.XLOOKUP(B165,'Base stats'!B:B,'Base stats'!AI:AI)=1,_xlfn.XLOOKUP('Base stats'!E165,Groups!A:A,Groups!B:B)=2), (18 + BP165 * 2.7) + 250, (18 + BP165 * 2.7))
    )
  ))
  + AN165 * 80
  + IF(COUNTIF(EggMilk!K$2:K$998, A165) &gt; 0, 125, 0)
  + IF(COUNTIF(EggMilk!P$2:P$998, A165) &gt; 0, 90, 0)
  + IF(COUNTIF(EggMilk!A$2:A$998, A165) &gt; 0, 90, 0)
)
* (0.8 + 0.4 * I165)
* 0.75,25)</f>
        <v>175</v>
      </c>
      <c r="H165" s="2">
        <f>MROUND(ROUNDDOWN(_xlfn.XLOOKUP(B165,'Base stats'!B:B,'Base stats'!L:L)/3.6/(23.3/11),1),0.5)</f>
        <v>1.5</v>
      </c>
      <c r="I165" s="2">
        <f>IF(_xlfn.XLOOKUP(B165,'Base stats'!B:B,'Base stats'!AI:AI)=1,0.99,MIN(MROUND((1-0.6282*EXP(-0.459*AN165))*_xlfn.XLOOKUP(_xlfn.XLOOKUP(B165,'Base stats'!B:B,'Base stats'!E:E),Groups!A:A,Groups!C:C)*IF(_xlfn.XLOOKUP(B165,'Base stats'!B:B,'Base stats'!O:O)=1,0.5,IF(_xlfn.XLOOKUP(B165,'Base stats'!B:B,'Base stats'!O:O)=2,0,1)),0.05),0.985))</f>
        <v>0.60000000000000009</v>
      </c>
      <c r="J165" s="2">
        <f>ROUNDUP(AN165*_xlfn.XLOOKUP(_xlfn.XLOOKUP(B165,'Base stats'!B:B,'Base stats'!E:E),Groups!A:A,Groups!E:E),0)</f>
        <v>5</v>
      </c>
      <c r="K165" s="2">
        <f>IF(OR(_xlfn.XLOOKUP(_xlfn.XLOOKUP(B165,'Base stats'!B:B,'Base stats'!E:E),Groups!A:A,Groups!F:F)=2,ISNUMBER(SEARCH("SeaIce",BV165)),ISNUMBER(SEARCH("IceSheet",BV165))),-50,IF(OR(ISNUMBER(SEARCH("GlacialPlain",BV165)),ISNUMBER(SEARCH("Tundra",BV165))),-40,IF(OR(ISNUMBER(SEARCH("Alpine",BV165)),ISNUMBER(SEARCH("BorealForest",BV165)),ISNUMBER(SEARCH("ColdBog",BV165))),-30,IF(OR(ISNUMBER(SEARCH("TemperateForest",BV165)),ISNUMBER(SEARCH("TemperateSwamp",BV165))),-20,IF(_xlfn.XLOOKUP(_xlfn.XLOOKUP(B165,'Base stats'!B:B,'Base stats'!E:E),Groups!A:A,Groups!F:F)=1,-15,IF(OR(ISNUMBER(SEARCH("Desert",BV165)),ISNUMBER(SEARCH("ExtremeDesert",BV165))),-10,IF(OR(ISNUMBER(SEARCH("Grasslands",BV165)),ISNUMBER(SEARCH("TropicalRainforest",BV165)),ISNUMBER(SEARCH("TropicalSwamp",BV165))),10,0)))))))-IF(CA165="False",MIN(IFERROR(MAX(MROUND(LOG10(_xlfn.XLOOKUP(B165,'Base stats'!B:B,'Base stats'!C:C)^(2/3))*10,5),5),5),30))-_xlfn.XLOOKUP(B165,'Base stats'!B:B,'Base stats'!P:P)+IF(CA165="True",5,0)</f>
        <v>-5</v>
      </c>
      <c r="L165" s="2">
        <f>IF(OR(_xlfn.XLOOKUP(_xlfn.XLOOKUP(B165,'Base stats'!B:B,'Base stats'!E:E),Groups!A:A,Groups!G:G)=2,ISNUMBER(SEARCH("Desert",BV165)),ISNUMBER(SEARCH("ExtremeDesert",BV165)),ISNUMBER(SEARCH("LavaField",BV165))),50,IF(ISNUMBER(SEARCH("Grasslands",BV165)),45,IF(OR(_xlfn.XLOOKUP(_xlfn.XLOOKUP(B165,'Base stats'!B:B,'Base stats'!E:E),Groups!A:A,Groups!G:G)=1,ISNUMBER(SEARCH("TropicalRainforest",BV165)),ISNUMBER(SEARCH("TropicalSwamp",BV165))),40,IF(OR(ISNUMBER(SEARCH("TemperateForest",BV165)),ISNUMBER(SEARCH("TemperateSwamp",BV165))),35,IF(OR(ISNUMBER(SEARCH("Alpine",BV165)),ISNUMBER(SEARCH("BorealForest",BV165)),ISNUMBER(SEARCH("ColdBog",BV165))),30,IF(ISNUMBER(OR(ISNUMBER(SEARCH("GlacialPlain",BV165)),SEARCH("Tundra",BV165))),25,IF(OR(ISNUMBER(SEARCH("SeaIce",BV165)),ISNUMBER(SEARCH("IceSheet",BV165)),ISNUMBER(SEARCH("TropicalSwamp",BV165))),10,35)))))))+_xlfn.XLOOKUP(B165,'Base stats'!B:B,'Base stats'!Q:Q)</f>
        <v>35</v>
      </c>
      <c r="M165" s="8" t="str">
        <f>IF(_xlfn.XLOOKUP(_xlfn.XLOOKUP(B165,'Base stats'!B:B,'Base stats'!E:E),Groups!A:A,Groups!L:L)=1,MIN(MROUND(_xlfn.XLOOKUP(B165,'Animals CE'!B:B,'Animals CE'!Z:Z)/2+0.05,0.05),200%),"No")</f>
        <v>No</v>
      </c>
      <c r="N165" s="8" t="str">
        <f>IF(_xlfn.XLOOKUP(_xlfn.XLOOKUP(B165,'Base stats'!B:B,'Base stats'!E:E),Groups!A:A,Groups!L:L)=1,MIN(MROUND(_xlfn.XLOOKUP(B165,'Animals CE'!B:B,'Animals CE'!AA:AA)/2+0.05,0.05),200%),"No")</f>
        <v>No</v>
      </c>
      <c r="O165" s="2" t="str">
        <f>_xlfn.XLOOKUP(B165,'Base stats'!B:B,'Base stats'!R:R)</f>
        <v>Standard</v>
      </c>
      <c r="P165" s="13">
        <f>MROUND((LOG10(_xlfn.XLOOKUP(B165,'Base stats'!B:B,'Base stats'!AO:AO))*(AN165^0.5)+(_xlfn.XLOOKUP(B165,'Base stats'!B:B,'Base stats'!AO:AO)/1000)^(2/3)+_xlfn.XLOOKUP(B165,'Base stats'!B:B,'Base stats'!AX:AX)/2)+0.5,0.5)</f>
        <v>3.5</v>
      </c>
      <c r="Q165" s="7">
        <f>IF(P165="No","No",MAX(1,MROUND(_xlfn.XLOOKUP(B165,'Base stats'!B:B,'Base stats'!C:C)^0.165,0.05)))</f>
        <v>1.4000000000000001</v>
      </c>
      <c r="R165" s="13" t="str">
        <f>IF(_xlfn.XLOOKUP(_xlfn.XLOOKUP(B165,'Base stats'!B:B,'Base stats'!E:E),Groups!A:A,Groups!P:P)=0,"No",MROUND((LOG10(_xlfn.XLOOKUP(B165,'Base stats'!B:B,'Base stats'!AP:AP))*(AN165^0.5)+(_xlfn.XLOOKUP(B165,'Base stats'!B:B,'Base stats'!AP:AP)/1000)^(2/3)+_xlfn.XLOOKUP(B165,'Base stats'!B:B,'Base stats'!AX:AX))+_xlfn.XLOOKUP(B165,'Base stats'!B:B,'Base stats'!AV:AV)+0.5,0.5))</f>
        <v>No</v>
      </c>
      <c r="S165" s="7" t="str">
        <f>IF(R165="No","No",MAX(_xlfn.XLOOKUP(_xlfn.XLOOKUP(B165,'Base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T165" s="7" t="str">
        <f>IF(R165="No","No",_xlfn.XLOOKUP(_xlfn.XLOOKUP(B165,'Base stats'!B:B,'Base stats'!E:E),Groups!A:A,Groups!R:R))</f>
        <v>No</v>
      </c>
      <c r="U165" s="7" t="str">
        <f>IF(R165="No","No",_xlfn.XLOOKUP(_xlfn.XLOOKUP(B165,'Base stats'!B:B,'Base stats'!E:E),Groups!A:A,Groups!S:S))</f>
        <v>No</v>
      </c>
      <c r="V165" s="7" t="str">
        <f>IF(R165="No","No",_xlfn.XLOOKUP(_xlfn.XLOOKUP(B165,'Base stats'!B:B,'Base stats'!E:E),Groups!A:A,Groups!T:T))</f>
        <v>No</v>
      </c>
      <c r="W165" s="13" t="str">
        <f>IF(_xlfn.XLOOKUP(B165,'Base stats'!B:B,'Base stats'!W:W)="No","No",MROUND((LOG10(_xlfn.XLOOKUP(B165,'Base stats'!B:B,'Base stats'!AR:AR))*(AN165^0.5)+(_xlfn.XLOOKUP(B165,'Base stats'!B:B,'Base stats'!AR:AR)/1000)^(2/3)+_xlfn.XLOOKUP(B165,'Base stats'!B:B,'Base stats'!AW:AW))+0.5+IF(_xlfn.XLOOKUP(_xlfn.XLOOKUP(B165,'Base stats'!B:B,'Base stats'!E:E),Groups!A:A,Groups!U:U)&lt;&gt;3,_xlfn.XLOOKUP(B165,'Base stats'!B:B,'Base stats'!AX:AX),0),0.5))</f>
        <v>No</v>
      </c>
      <c r="X165" s="7" t="str">
        <f>IF(W165="No","No",MAX(_xlfn.XLOOKUP(_xlfn.XLOOKUP(B165,'Base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Y165" s="7" t="str">
        <f>IF(W165="No","No",_xlfn.XLOOKUP(_xlfn.XLOOKUP(B165,'Base stats'!B:B,'Base stats'!E:E),Groups!A:A,Groups!W:W))</f>
        <v>No</v>
      </c>
      <c r="Z165" s="7" t="str">
        <f>IF(W165="No","No",_xlfn.XLOOKUP(_xlfn.XLOOKUP(B165,'Base stats'!B:B,'Base stats'!E:E),Groups!A:A,Groups!X:X))</f>
        <v>No</v>
      </c>
      <c r="AA165" s="7" t="str">
        <f>IF(W165="No","No",_xlfn.XLOOKUP(_xlfn.XLOOKUP(B165,'Base stats'!B:B,'Base stats'!E:E),Groups!A:A,Groups!Y:Y))</f>
        <v>No</v>
      </c>
      <c r="AB165" s="7" t="str">
        <f>_xlfn.XLOOKUP(Animals!B165,'Base stats'!B:B,'Base stats'!X:X)</f>
        <v>False</v>
      </c>
      <c r="AC165" s="13">
        <f>IF(_xlfn.XLOOKUP(B165,'Base stats'!B:B,'Base stats'!AQ:AQ)="No","No",MROUND((LOG10(_xlfn.XLOOKUP(B165,'Base stats'!B:B,'Base stats'!AQ:AQ))*(AN165^0.75)+(_xlfn.XLOOKUP(B165,'Base stats'!B:B,'Base stats'!AQ:AQ)/1000)^(2/3)+_xlfn.XLOOKUP(B165,'Base stats'!B:B,'Base stats'!AU:AU)+_xlfn.XLOOKUP(B165,'Base stats'!B:B,'Base stats'!AX:AX))+0.5,0.5))</f>
        <v>3.5</v>
      </c>
      <c r="AD165" s="7">
        <f>IF(AC165="No","No",MAX(_xlfn.XLOOKUP(_xlfn.XLOOKUP(B165,'Base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E165" s="7" t="str">
        <f>IF(AC165="No","No",_xlfn.XLOOKUP(_xlfn.XLOOKUP(B165,'Base stats'!B:B,'Base stats'!E:E),Groups!A:A,Groups!AA:AA))</f>
        <v>Beak</v>
      </c>
      <c r="AF165" s="7" t="str">
        <f>IF(AC165="No","No",_xlfn.XLOOKUP(_xlfn.XLOOKUP(B165,'Base stats'!B:B,'Base stats'!E:E),Groups!A:A,Groups!AB:AB))</f>
        <v>beak</v>
      </c>
      <c r="AG165" s="7" t="str">
        <f>IF(AC165="No","No",_xlfn.XLOOKUP(_xlfn.XLOOKUP(B165,'Base stats'!B:B,'Base stats'!E:E),Groups!A:A,Groups!AC:AC))</f>
        <v>Blunt</v>
      </c>
      <c r="AH165" s="13" t="str">
        <f>IF(_xlfn.XLOOKUP(_xlfn.XLOOKUP(B165,'Base stats'!B:B,'Base stats'!E:E),Groups!A:A,Groups!AD:AD)=0,"No",MROUND((LOG10(_xlfn.XLOOKUP(B165,'Base stats'!B:B,'Base stats'!AP:AP))*(AN165^0.75)+(_xlfn.XLOOKUP(B165,'Base stats'!B:B,'Base stats'!AP:AP)/1000)^(2/3)+_xlfn.XLOOKUP(B165,'Base stats'!B:B,'Base stats'!AV:AV)+_xlfn.XLOOKUP(B165,'Base stats'!B:B,'Base stats'!AX:AX))+0.5,0.5))</f>
        <v>No</v>
      </c>
      <c r="AI165" s="7" t="str">
        <f>IF(AH165="No","No",MAX(_xlfn.XLOOKUP(_xlfn.XLOOKUP(B165,'Base stats'!B:B,'Base stats'!E:E),Groups!A:A,Groups!AE:AE),MROUND(_xlfn.XLOOKUP(_xlfn.XLOOKUP(B165,'Base stats'!B:B,'Base stats'!E:E),Groups!A:A,Groups!AE:AE)*_xlfn.XLOOKUP(B165,'Base stats'!B:B,'Base stats'!C:C)^0.165,0.05)))</f>
        <v>No</v>
      </c>
      <c r="AJ165" s="7" t="str">
        <f>IF(AH165="No","No",_xlfn.XLOOKUP(_xlfn.XLOOKUP(B165,'Base stats'!B:B,'Base stats'!E:E),Groups!A:A,Groups!AF:AF))</f>
        <v>No</v>
      </c>
      <c r="AK165" s="7" t="str">
        <f>IF(AH165="No","No",_xlfn.XLOOKUP(_xlfn.XLOOKUP(B165,'Base stats'!B:B,'Base stats'!E:E),Groups!A:A,Groups!AG:AG))</f>
        <v>No</v>
      </c>
      <c r="AL165" s="7" t="str">
        <f>IF(AH165="No","No",_xlfn.XLOOKUP(_xlfn.XLOOKUP(B165,'Base stats'!B:B,'Base stats'!E:E),Groups!A:A,Groups!AH:AH))</f>
        <v>No</v>
      </c>
      <c r="AM165" s="2" t="str">
        <f t="shared" si="21"/>
        <v>No</v>
      </c>
      <c r="AN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O165" s="8">
        <f>MROUND(AN165*_xlfn.XLOOKUP(_xlfn.XLOOKUP(B165,'Base stats'!B:B,'Base stats'!E:E),Groups!A:A,Groups!AI:AI),0.05)</f>
        <v>0.4</v>
      </c>
      <c r="AP165" s="8">
        <f>MAX(0.01,MROUND(IF(CA165="True",0.196*(AN165*100*1000)^0.889,IF(_xlfn.XLOOKUP(_xlfn.XLOOKUP(B165,'Base stats'!B:B,'Base stats'!E:E),Groups!A:A,Groups!AJ:AJ)="Bird",10.5*(AN165*100*1000)^0.681,4.82*(AN165*100*1000)^0.734))/(4.82*(1*100*1000)^0.734)/IF(AN165&lt;3.5,2,IF(AN165=3.5,1.5,1.25))*(1+0.132282374779864/(AN165^0.994035016789033+0.00905238001496948)),0.05))</f>
        <v>0.4</v>
      </c>
      <c r="AQ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R165" s="35" t="str">
        <f>IFERROR(IF(_xlfn.XLOOKUP(B165,'Base stats'!B:B,'Base stats'!F:F)="Lay eggs","Lay eggs",MIN(20,MAX(5.5,ROUND(((_xlfn.XLOOKUP(B165,'Base stats'!B:B,'Base stats'!F:F)-25)*(14.5/615) + 5.5)*2,0)/2))),"Cannot breed")</f>
        <v>Lay eggs</v>
      </c>
      <c r="AS165" s="8">
        <f>IF(OR(A165="Queen",A165="Larva",A165="Megachicken"),"No",IFERROR(MAX(IF(_xlfn.XLOOKUP(B165,'Base stats'!B:B,'Base stats'!G:G)&lt;0.5,0.2,0.3),MROUND(_xlfn.XLOOKUP(B165,'Base stats'!B:B,'Base stats'!G:G)/(365/60),0.2)),"Unknown"))</f>
        <v>0.4</v>
      </c>
      <c r="AT165" s="8">
        <f t="shared" si="15"/>
        <v>0.2</v>
      </c>
      <c r="AU165" s="8" t="str">
        <f>IFERROR(IFERROR(MROUND(_xlfn.XLOOKUP(B165,'Base stats'!B:B,'Base stats'!J:J),0.1),"Lay eggs"),"Cannot breed")</f>
        <v>Lay eggs</v>
      </c>
      <c r="AV165" s="2" t="str">
        <f t="shared" si="22"/>
        <v>false</v>
      </c>
      <c r="AW165" s="2" t="str">
        <f>IF(_xlfn.XLOOKUP(_xlfn.XLOOKUP(Animals!B165,'Base stats'!B:B,'Base stats'!E:E),Groups!A:A,Groups!AK:AK)=1,"true","false")</f>
        <v>false</v>
      </c>
      <c r="AX165" s="25" t="str">
        <f>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</f>
        <v>CarnivoreAnimal, OvivoreAnimal</v>
      </c>
      <c r="AY165" s="2">
        <f>IF(_xlfn.XLOOKUP(_xlfn.XLOOKUP(B165,'Base stats'!B:B,'Base stats'!E:E),Groups!A:A,Groups!D:D)=1,MROUND((1-I165)*5+1,2)*IF(I165&lt;=0.4,2,1),"No")</f>
        <v>4</v>
      </c>
      <c r="AZ165" s="2" t="str">
        <f>_xlfn.XLOOKUP(B165,'Base stats'!B:B,'Base stats'!AE:AE)</f>
        <v>No</v>
      </c>
      <c r="BA165" s="23" t="str">
        <f>_xlfn.XLOOKUP(_xlfn.XLOOKUP(B165,'Base stats'!B:B,'Base stats'!E:E),Groups!A:A,Groups!AL:AL)</f>
        <v>Bird</v>
      </c>
      <c r="BB165" s="23">
        <f>MROUND(IF(AND(AN165&lt;0.5,_xlfn.XLOOKUP(B165,'Base stats'!B:B,'Base stats'!Z:Z)=0),0,IF(OR(_xlfn.XLOOKUP(Animals!B165,'Base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stats'!AA:AA),0.005)</f>
        <v>0</v>
      </c>
      <c r="BC165" s="23">
        <f>MROUND(IF(AND(AN165&lt;0.5,_xlfn.XLOOKUP(B165,'Base stats'!B:B,'Base stats'!Z:Z)=0),0,IF(_xlfn.XLOOKUP(_xlfn.XLOOKUP(B165,'Base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stats'!AB:AB),0.005)</f>
        <v>0</v>
      </c>
      <c r="BD165" s="2" t="str">
        <f>IF(I165&gt;0.3,"No",_xlfn.XLOOKUP(_xlfn.XLOOKUP(Animals!B165,'Base stats'!B:B,'Base stats'!E:E),Groups!A:A,Groups!AP:AP))</f>
        <v>No</v>
      </c>
      <c r="BE165" s="2" t="str">
        <f>IF(AND(I165&lt;=0.65,_xlfn.XLOOKUP(_xlfn.XLOOKUP(Animals!B165,'Base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stats'!O:O)=2,0.2,AN165) + 24*(1-IF(BD165="No",0,BD165)) + 16/3, 12),"No")</f>
        <v>No</v>
      </c>
      <c r="BF165" s="2">
        <f>IF(AND(_xlfn.XLOOKUP(_xlfn.XLOOKUP(B165,'Base stats'!B:B,'Base stats'!E:E),Groups!A:A,Groups!AQ:AQ)=1,AN165&lt;=0.35),8,12)</f>
        <v>12</v>
      </c>
      <c r="BG165" s="2" t="str">
        <f>IF(_xlfn.XLOOKUP(_xlfn.XLOOKUP(B165,'Base stats'!B:B,'Base stats'!E:E),Groups!A:A,Groups!D:D)=0,_xlfn.XLOOKUP(_xlfn.XLOOKUP(B165,'Base stats'!B:B,'Base stats'!E:E),Groups!A:A,Groups!AR:AR),"None")</f>
        <v>None</v>
      </c>
      <c r="BH165" s="2" t="str">
        <f>IF(AND(_xlfn.XLOOKUP(_xlfn.XLOOKUP(B165,'Base stats'!B:B,'Base stats'!E:E),Groups!A:A,Groups!AS:AS)=1,OR('Base stats'!Y165="Carnivore",'Base stats'!Y165="Omnivore")),"true","false")</f>
        <v>false</v>
      </c>
      <c r="BI165" s="2" t="str">
        <f>IF(BH165="true",MROUND(IF(AND(AN165&gt;0.5,_xlfn.XLOOKUP(_xlfn.XLOOKUP(B165,'Base stats'!B:B,'Base stats'!E:E),Groups!A:A,Groups!AJ:AJ)="Mammal"),Animals!AN165*1.75*IF(AV165="true",1.5,1),Animals!AN165),IF(AN165&gt;2,0.5,IF(AN165&gt;0.5,0.25,0.1))),"No")</f>
        <v>No</v>
      </c>
      <c r="BJ165" s="2">
        <f t="shared" si="23"/>
        <v>0</v>
      </c>
      <c r="BK165" s="25" t="str">
        <f>IF('Base stats'!AK165="Standard","No",MROUND((_xlfn.XLOOKUP(B165,'Base stats'!B:B,'Base stats'!AK:AK)/3.6)/H165,0.1))</f>
        <v>No</v>
      </c>
      <c r="BL165" s="25" t="str">
        <f t="shared" si="24"/>
        <v>true</v>
      </c>
      <c r="BM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N165" s="25" t="str" cm="1">
        <f t="array" ref="BN165">IF(
  _xlfn.TEXTJOIN(", ",TRUE,
    IF(AND(BH165="true",AN165&gt;0.5,BG165&lt;&gt;"None"),"AttackTarget",""),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IF(BE165&lt;=36,"Comfort",""),
    IF(_xlfn.XLOOKUP(B165,'Base stats'!B:B,'Base stats'!AC:AC)&lt;&gt;"No",_xlfn.XLOOKUP(B165,'Base stats'!B:B,'Base stats'!AC:AC),"")
  ) = "",
  "No",
  _xlfn.TEXTJOIN(", ",TRUE,
    IF(AND(BH165="true",AN165&gt;0.5,BG165&lt;&gt;"None"),"AttackTarget",""),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IF(BE165&lt;=36,"Comfort",""),
    IF(_xlfn.XLOOKUP(B165,'Base stats'!B:B,'Base stats'!AC:AC)&lt;&gt;"No",_xlfn.XLOOKUP(B165,'Base stats'!B:B,'Base stats'!AC:AC),"")
  )
)</f>
        <v>No</v>
      </c>
      <c r="BO165" s="25">
        <f>IF(
   AND(
      'Base stats'!AK165="Standard",_xlfn.XLOOKUP(_xlfn.XLOOKUP(B165,'Base stats'!B:B,'Base stats'!E:E),Groups!A:A,Groups!AU:AU)=0,
      OR(
      BM165="True"
      )
   ),
   10,
   IF(
       OR(BK165&lt;&gt;"No",_xlfn.XLOOKUP(_xlfn.XLOOKUP(B165,'Base stats'!B:B,'Base stats'!E:E),Groups!A:A,Groups!AU:AU)=1),
      1,
      "No"
   )
)</f>
        <v>1</v>
      </c>
      <c r="BP165" s="9">
        <f>MROUND((1 + ((0.2*IF(OR(P165="No",Q165="No",Q165=0),0,P165/Q165)
+IF(OR(U165="No",R165="No",S165="No"),0,R165/S165*(LEN(U165)-LEN(SUBSTITUTE(U165,",",""))+1))
+IF(OR(W165="No",X165="No"),0,W165/X165)
+IF(OR(AC165="No",AD165="No"),0,AC165/AD165)
+IF(OR(AK165="No",AH165="No",AI165="No"),0,AH165/AI165*(LEN(AK165)-LEN(SUBSTITUTE(AK165,",",""))+1))
)/(0.2*IF(OR(P165="No",Q165="No",Q165=0),0,1)
+IF(OR(U165="No",R165="No",S165="No"),0,LEN(U165)-LEN(SUBSTITUTE(U165,",",""))+1)
+IF(OR(W165="No",X165="No"),0,1)
+IF(OR(AC165="No",AD165="No"),0,1)
+IF(OR(AK165="No",AH165="No",AI165="No"),0,LEN(AK165)-LEN(SUBSTITUTE(AK165,",",""))+1))*62%)* 2)*(1 + (AO165 + _xlfn.XLOOKUP(B165,'Base stats'!B:B,'Base stats'!AS:AS) * 1.8) * 2) * 2.5 + 10 + H165 * 2,5)+IF(_xlfn.XLOOKUP(B165,'Base stats'!B:B,'Base stats'!AH:AH)=1,50,0)</f>
        <v>35</v>
      </c>
      <c r="BQ165" s="8">
        <f t="shared" si="25"/>
        <v>0.4</v>
      </c>
      <c r="BR165" s="8" t="str">
        <f>_xlfn.XLOOKUP(B165,'Base stats'!B:B,'Base stats'!AD:AD)</f>
        <v>No</v>
      </c>
      <c r="BS165" s="2" t="str">
        <f>IF(AND(I165&lt;=0.95,OR(_xlfn.XLOOKUP(B165,'Base stats'!B:B,'Base stats'!AH:AH)=1,_xlfn.XLOOKUP(B165,'Base stats'!B:B,'Base stats'!Y:Y)="Carnivore",_xlfn.XLOOKUP(B165,'Base stats'!B:B,'Base stats'!Y:Y)="Omnivore",BC165&gt;0.1)),"true","false")</f>
        <v>true</v>
      </c>
      <c r="BT165" s="2" t="str">
        <f>IF(_xlfn.XLOOKUP(B165,'Base stats'!B:B,'Base stats'!AF:AF)=1,"true","false")</f>
        <v>false</v>
      </c>
      <c r="BU165" s="25" t="str">
        <f>IF(E165="BaseInsect","AnimalInsect",
IF(I165&gt;0.95,"AnimalExotic",
_xlfn.TEXTJOIN(", ",TRUE,
IF(AND(_xlfn.XLOOKUP(B165,'Base stats'!B:B,'Base stats'!O:O)=0,_xlfn.XLOOKUP(_xlfn.XLOOKUP(B165,'Base stats'!B:B,'Base stats'!E:E),Groups!A:A,Groups!B:B)&gt;0),"AnimalUncommon","AnimalCommon"),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stats'!AH:AH)=1,AND(BG165&lt;&gt;"None",BP165&gt;=60),ISNUMBER(SEARCH("Attack target",BN165))),"AnimalFighter","")
)))</f>
        <v>AnimalUncommon</v>
      </c>
      <c r="BV165" s="25" t="str">
        <f>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</f>
        <v/>
      </c>
      <c r="BW165" s="25" t="str">
        <f>IF(_xlfn.XLOOKUP(B165,'Base stats'!B:B,'Base stats'!AG:AG)=1,"true","false")</f>
        <v>false</v>
      </c>
      <c r="BX165" s="25">
        <f>IF(_xlfn.XLOOKUP(B165,'Base stats'!B:B,'Base stats'!N:N)=1,"No",MIN(MROUND(IF(OR(_xlfn.XLOOKUP(B165,'Base stats'!B:B,'Base stats'!AJ:AJ)=1,AND(BH165="True",CA165="False")),POWER(10,3.47*LOG10(_xlfn.XLOOKUP(B165,'Base stats'!B:B,'Base stats'!C:C)*1000)^-0.96),POWER(10,4.15*LOG10(_xlfn.XLOOKUP(B165,'Base stats'!B:B,'Base stats'!C:C)*1000)^-0.73))*IF(OR(_xlfn.XLOOKUP(B165,'Base stats'!B:B,'Base stats'!AJ:AJ)=1,_xlfn.XLOOKUP(B165,'Base stats'!B:B,'Base stats'!AH:AH)=1),0.5,1)/100,0.025),1))</f>
        <v>0.32500000000000001</v>
      </c>
      <c r="BY165" s="25" t="str">
        <f>IF(O165="Standard","No",IF(_xlfn.XLOOKUP(B165,'Base stats'!B:B,'Base stats'!N:N)=0,MROUND(BX165*O165,0.05),MIN(1,MAX(0.025,MROUND(IF(OR(CA165="true",AND(BH165="false",BM165="false")),POWER(10,4.15*LOG10(_xlfn.XLOOKUP(B165,'Base stats'!B:B,'Base stats'!C:C)*1000)^-0.73),POWER(10,3.47*LOG10(_xlfn.XLOOKUP(B165,'Base stats'!B:B,'Base stats'!C:C)*1000)^-0.96))*IF(_xlfn.XLOOKUP(B165,'Base stats'!B:B,'Base stats'!AH:AH)=1,0.5,1)/100,0.025)))))</f>
        <v>No</v>
      </c>
      <c r="BZ165" s="25" t="str">
        <f>IF(_xlfn.XLOOKUP(_xlfn.XLOOKUP(B165,'Base stats'!B:B,'Base stats'!E:E),Groups!A:A,Groups!AJ:AJ)="Mammal","True","False")</f>
        <v>False</v>
      </c>
      <c r="CA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B165" s="25" t="str">
        <f t="shared" si="26"/>
        <v>False</v>
      </c>
      <c r="CC165" s="25" t="str">
        <f>IF(_xlfn.XLOOKUP(_xlfn.XLOOKUP(B165,'Base stats'!B:B,'Base stats'!E:E),Groups!A:A,Groups!AW:AW),"True","False")</f>
        <v>False</v>
      </c>
      <c r="CD165" s="25" t="str">
        <f>IF(_xlfn.XLOOKUP(_xlfn.XLOOKUP(B165,'Base stats'!B:B,'Base stats'!E:E),Groups!A:A,Groups!AX:AX),"True","False")</f>
        <v>False</v>
      </c>
      <c r="CE165" s="25" t="str">
        <f>IF(_xlfn.XLOOKUP(B165,'Base stats'!B:B,'Base stats'!E:E)=1,"True","False")</f>
        <v>False</v>
      </c>
      <c r="CF165" s="25" t="str">
        <f>IF(
OR(
_xlfn.XLOOKUP(_xlfn.XLOOKUP(B165,'Base stats'!B:B,'Base stats'!E:E),Groups!A:A,Groups!AY:AY)=0,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stats'!E:E),Groups!A:A,Groups!AY:AY)=1,
"Flesh",
IF(
_xlfn.XLOOKUP(_xlfn.XLOOKUP(B165,'Base stats'!B:B,'Base stats'!E:E),Groups!A:A,Groups!AY:AY)=2,
"Bone",
""
)
)
)</f>
        <v>No</v>
      </c>
      <c r="CG165" s="25" t="str">
        <f>IF(_xlfn.XLOOKUP(_xlfn.XLOOKUP(B165,'Base stats'!B:B,'Base stats'!E:E),Groups!A:A,Groups!BA:BA),"True","False")</f>
        <v>True</v>
      </c>
      <c r="CH165" s="25" t="str">
        <f>IF(_xlfn.XLOOKUP(_xlfn.XLOOKUP(B165,'Base stats'!B:B,'Base stats'!E:E),Groups!A:A,Groups!AZ:AZ),"True","False")</f>
        <v>False</v>
      </c>
    </row>
    <row r="166" spans="1:86" s="16" customFormat="1" ht="16.5" thickTop="1" thickBot="1" x14ac:dyDescent="0.3">
      <c r="A166" s="26" t="str">
        <f>_xlfn.XLOOKUP(B166,'Base stats'!B:B,'Base stats'!A:A)</f>
        <v>AngoraRabbit</v>
      </c>
      <c r="B166" s="6" t="s">
        <v>1175</v>
      </c>
      <c r="C166" s="28" t="s">
        <v>1174</v>
      </c>
      <c r="D166" s="28" t="s">
        <v>1163</v>
      </c>
      <c r="E166" s="28" t="s">
        <v>685</v>
      </c>
      <c r="F166" s="28" t="s">
        <v>685</v>
      </c>
      <c r="G166" s="2">
        <f>MROUND((
  (IF(AND(_xlfn.XLOOKUP(B166,'Base stats'!B:B,'Base stats'!AI:AI)=0,BG166="None",_xlfn.XLOOKUP('Base stats'!E166,Groups!A:A,Groups!B:B)=0), (18 + BP166 * 2.7) * 0.5,
    IF(AND(_xlfn.XLOOKUP(B166,'Base stats'!B:B,'Base stats'!AI:AI)=0,OR(AN166&lt;0.55,AND(BG166="Intermediate",_xlfn.XLOOKUP('Base stats'!E166,Groups!A:A,Groups!B:B)&lt;2))), (18 + BP166 * 2.7),
      IF(OR(BG166="Advanced",_xlfn.XLOOKUP(B166,'Base stats'!B:B,'Base stats'!AI:AI)=1,_xlfn.XLOOKUP('Base stats'!E166,Groups!A:A,Groups!B:B)=2), (18 + BP166 * 2.7) + 250, (18 + BP166 * 2.7))
    )
  ))
  + AN166 * 80
  + IF(COUNTIF(EggMilk!K$2:K$998, A166) &gt; 0, 125, 0)
  + IF(COUNTIF(EggMilk!P$2:P$998, A166) &gt; 0, 90, 0)
  + IF(COUNTIF(EggMilk!A$2:A$998, A166) &gt; 0, 90, 0)
)
* (0.8 + 0.4 * I166)
* 0.75,25)</f>
        <v>50</v>
      </c>
      <c r="H166" s="2">
        <f>MROUND(ROUNDDOWN(_xlfn.XLOOKUP(B166,'Base stats'!B:B,'Base stats'!L:L)/3.6/(23.3/11),1),0.5)</f>
        <v>7.5</v>
      </c>
      <c r="I166" s="2">
        <f>IF(_xlfn.XLOOKUP(B166,'Base stats'!B:B,'Base stats'!AI:AI)=1,0.99,MIN(MROUND((1-0.6282*EXP(-0.459*AN166))*_xlfn.XLOOKUP(_xlfn.XLOOKUP(B166,'Base stats'!B:B,'Base stats'!E:E),Groups!A:A,Groups!C:C)*IF(_xlfn.XLOOKUP(B166,'Base stats'!B:B,'Base stats'!O:O)=1,0.5,IF(_xlfn.XLOOKUP(B166,'Base stats'!B:B,'Base stats'!O:O)=2,0,1)),0.05),0.985))</f>
        <v>0.25</v>
      </c>
      <c r="J166" s="2">
        <f>ROUNDUP(AN166*_xlfn.XLOOKUP(_xlfn.XLOOKUP(B166,'Base stats'!B:B,'Base stats'!E:E),Groups!A:A,Groups!E:E),0)</f>
        <v>1</v>
      </c>
      <c r="K166" s="2">
        <f>IF(OR(_xlfn.XLOOKUP(_xlfn.XLOOKUP(B166,'Base stats'!B:B,'Base stats'!E:E),Groups!A:A,Groups!F:F)=2,ISNUMBER(SEARCH("SeaIce",BV166)),ISNUMBER(SEARCH("IceSheet",BV166))),-50,IF(OR(ISNUMBER(SEARCH("GlacialPlain",BV166)),ISNUMBER(SEARCH("Tundra",BV166))),-40,IF(OR(ISNUMBER(SEARCH("Alpine",BV166)),ISNUMBER(SEARCH("BorealForest",BV166)),ISNUMBER(SEARCH("ColdBog",BV166))),-30,IF(OR(ISNUMBER(SEARCH("TemperateForest",BV166)),ISNUMBER(SEARCH("TemperateSwamp",BV166))),-20,IF(_xlfn.XLOOKUP(_xlfn.XLOOKUP(B166,'Base stats'!B:B,'Base stats'!E:E),Groups!A:A,Groups!F:F)=1,-15,IF(OR(ISNUMBER(SEARCH("Desert",BV166)),ISNUMBER(SEARCH("ExtremeDesert",BV166))),-10,IF(OR(ISNUMBER(SEARCH("Grasslands",BV166)),ISNUMBER(SEARCH("TropicalRainforest",BV166)),ISNUMBER(SEARCH("TropicalSwamp",BV166))),10,0)))))))-IF(CA166="False",MIN(IFERROR(MAX(MROUND(LOG10(_xlfn.XLOOKUP(B166,'Base stats'!B:B,'Base stats'!C:C)^(2/3))*10,5),5),5),30))-_xlfn.XLOOKUP(B166,'Base stats'!B:B,'Base stats'!P:P)+IF(CA166="True",5,0)</f>
        <v>-5</v>
      </c>
      <c r="L166" s="2">
        <f>IF(OR(_xlfn.XLOOKUP(_xlfn.XLOOKUP(B166,'Base stats'!B:B,'Base stats'!E:E),Groups!A:A,Groups!G:G)=2,ISNUMBER(SEARCH("Desert",BV166)),ISNUMBER(SEARCH("ExtremeDesert",BV166)),ISNUMBER(SEARCH("LavaField",BV166))),50,IF(ISNUMBER(SEARCH("Grasslands",BV166)),45,IF(OR(_xlfn.XLOOKUP(_xlfn.XLOOKUP(B166,'Base stats'!B:B,'Base stats'!E:E),Groups!A:A,Groups!G:G)=1,ISNUMBER(SEARCH("TropicalRainforest",BV166)),ISNUMBER(SEARCH("TropicalSwamp",BV166))),40,IF(OR(ISNUMBER(SEARCH("TemperateForest",BV166)),ISNUMBER(SEARCH("TemperateSwamp",BV166))),35,IF(OR(ISNUMBER(SEARCH("Alpine",BV166)),ISNUMBER(SEARCH("BorealForest",BV166)),ISNUMBER(SEARCH("ColdBog",BV166))),30,IF(ISNUMBER(OR(ISNUMBER(SEARCH("GlacialPlain",BV166)),SEARCH("Tundra",BV166))),25,IF(OR(ISNUMBER(SEARCH("SeaIce",BV166)),ISNUMBER(SEARCH("IceSheet",BV166)),ISNUMBER(SEARCH("TropicalSwamp",BV166))),10,35)))))))+_xlfn.XLOOKUP(B166,'Base stats'!B:B,'Base stats'!Q:Q)</f>
        <v>35</v>
      </c>
      <c r="M166" s="8" t="str">
        <f>IF(_xlfn.XLOOKUP(_xlfn.XLOOKUP(B166,'Base stats'!B:B,'Base stats'!E:E),Groups!A:A,Groups!L:L)=1,MIN(MROUND(_xlfn.XLOOKUP(B166,'Animals CE'!B:B,'Animals CE'!Z:Z)/2+0.05,0.05),200%),"No")</f>
        <v>No</v>
      </c>
      <c r="N166" s="8" t="str">
        <f>IF(_xlfn.XLOOKUP(_xlfn.XLOOKUP(B166,'Base stats'!B:B,'Base stats'!E:E),Groups!A:A,Groups!L:L)=1,MIN(MROUND(_xlfn.XLOOKUP(B166,'Animals CE'!B:B,'Animals CE'!AA:AA)/2+0.05,0.05),200%),"No")</f>
        <v>No</v>
      </c>
      <c r="O166" s="2" t="str">
        <f>_xlfn.XLOOKUP(B166,'Base stats'!B:B,'Base stats'!R:R)</f>
        <v>Standard</v>
      </c>
      <c r="P166" s="13">
        <f>MROUND((LOG10(_xlfn.XLOOKUP(B166,'Base stats'!B:B,'Base stats'!AO:AO))*(AN166^0.5)+(_xlfn.XLOOKUP(B166,'Base stats'!B:B,'Base stats'!AO:AO)/1000)^(2/3)+_xlfn.XLOOKUP(B166,'Base stats'!B:B,'Base stats'!AX:AX)/2)+0.5,0.5)</f>
        <v>2.5</v>
      </c>
      <c r="Q166" s="7">
        <f>IF(P166="No","No",MAX(1,MROUND(_xlfn.XLOOKUP(B166,'Base stats'!B:B,'Base stats'!C:C)^0.165,0.05)))</f>
        <v>1.25</v>
      </c>
      <c r="R166" s="13" t="str">
        <f>IF(_xlfn.XLOOKUP(_xlfn.XLOOKUP(B166,'Base stats'!B:B,'Base stats'!E:E),Groups!A:A,Groups!P:P)=0,"No",MROUND((LOG10(_xlfn.XLOOKUP(B166,'Base stats'!B:B,'Base stats'!AP:AP))*(AN166^0.5)+(_xlfn.XLOOKUP(B166,'Base stats'!B:B,'Base stats'!AP:AP)/1000)^(2/3)+_xlfn.XLOOKUP(B166,'Base stats'!B:B,'Base stats'!AX:AX))+_xlfn.XLOOKUP(B166,'Base stats'!B:B,'Base stats'!AV:AV)+0.5,0.5))</f>
        <v>No</v>
      </c>
      <c r="S166" s="7" t="str">
        <f>IF(R166="No","No",MAX(_xlfn.XLOOKUP(_xlfn.XLOOKUP(B166,'Base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T166" s="7" t="str">
        <f>IF(R166="No","No",_xlfn.XLOOKUP(_xlfn.XLOOKUP(B166,'Base stats'!B:B,'Base stats'!E:E),Groups!A:A,Groups!R:R))</f>
        <v>No</v>
      </c>
      <c r="U166" s="7" t="str">
        <f>IF(R166="No","No",_xlfn.XLOOKUP(_xlfn.XLOOKUP(B166,'Base stats'!B:B,'Base stats'!E:E),Groups!A:A,Groups!S:S))</f>
        <v>No</v>
      </c>
      <c r="V166" s="7" t="str">
        <f>IF(R166="No","No",_xlfn.XLOOKUP(_xlfn.XLOOKUP(B166,'Base stats'!B:B,'Base stats'!E:E),Groups!A:A,Groups!T:T))</f>
        <v>No</v>
      </c>
      <c r="W166" s="13" t="str">
        <f>IF(_xlfn.XLOOKUP(B166,'Base stats'!B:B,'Base stats'!W:W)="No","No",MROUND((LOG10(_xlfn.XLOOKUP(B166,'Base stats'!B:B,'Base stats'!AR:AR))*(AN166^0.5)+(_xlfn.XLOOKUP(B166,'Base stats'!B:B,'Base stats'!AR:AR)/1000)^(2/3)+_xlfn.XLOOKUP(B166,'Base stats'!B:B,'Base stats'!AW:AW))+0.5+IF(_xlfn.XLOOKUP(_xlfn.XLOOKUP(B166,'Base stats'!B:B,'Base stats'!E:E),Groups!A:A,Groups!U:U)&lt;&gt;3,_xlfn.XLOOKUP(B166,'Base stats'!B:B,'Base stats'!AX:AX),0),0.5))</f>
        <v>No</v>
      </c>
      <c r="X166" s="7" t="str">
        <f>IF(W166="No","No",MAX(_xlfn.XLOOKUP(_xlfn.XLOOKUP(B166,'Base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Y166" s="7" t="str">
        <f>IF(W166="No","No",_xlfn.XLOOKUP(_xlfn.XLOOKUP(B166,'Base stats'!B:B,'Base stats'!E:E),Groups!A:A,Groups!W:W))</f>
        <v>No</v>
      </c>
      <c r="Z166" s="7" t="str">
        <f>IF(W166="No","No",_xlfn.XLOOKUP(_xlfn.XLOOKUP(B166,'Base stats'!B:B,'Base stats'!E:E),Groups!A:A,Groups!X:X))</f>
        <v>No</v>
      </c>
      <c r="AA166" s="7" t="str">
        <f>IF(W166="No","No",_xlfn.XLOOKUP(_xlfn.XLOOKUP(B166,'Base stats'!B:B,'Base stats'!E:E),Groups!A:A,Groups!Y:Y))</f>
        <v>No</v>
      </c>
      <c r="AB166" s="7" t="str">
        <f>_xlfn.XLOOKUP(Animals!B166,'Base stats'!B:B,'Base stats'!X:X)</f>
        <v>False</v>
      </c>
      <c r="AC166" s="13">
        <f>IF(_xlfn.XLOOKUP(B166,'Base stats'!B:B,'Base stats'!AQ:AQ)="No","No",MROUND((LOG10(_xlfn.XLOOKUP(B166,'Base stats'!B:B,'Base stats'!AQ:AQ))*(AN166^0.75)+(_xlfn.XLOOKUP(B166,'Base stats'!B:B,'Base stats'!AQ:AQ)/1000)^(2/3)+_xlfn.XLOOKUP(B166,'Base stats'!B:B,'Base stats'!AU:AU)+_xlfn.XLOOKUP(B166,'Base stats'!B:B,'Base stats'!AX:AX))+0.5,0.5))</f>
        <v>2.5</v>
      </c>
      <c r="AD166" s="7">
        <f>IF(AC166="No","No",MAX(_xlfn.XLOOKUP(_xlfn.XLOOKUP(B166,'Base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E166" s="7" t="str">
        <f>IF(AC166="No","No",_xlfn.XLOOKUP(_xlfn.XLOOKUP(B166,'Base stats'!B:B,'Base stats'!E:E),Groups!A:A,Groups!AA:AA))</f>
        <v>Teeth</v>
      </c>
      <c r="AF166" s="7" t="str">
        <f>IF(AC166="No","No",_xlfn.XLOOKUP(_xlfn.XLOOKUP(B166,'Base stats'!B:B,'Base stats'!E:E),Groups!A:A,Groups!AB:AB))</f>
        <v>Incisors</v>
      </c>
      <c r="AG166" s="7" t="str">
        <f>IF(AC166="No","No",_xlfn.XLOOKUP(_xlfn.XLOOKUP(B166,'Base stats'!B:B,'Base stats'!E:E),Groups!A:A,Groups!AC:AC))</f>
        <v>Bite</v>
      </c>
      <c r="AH166" s="13" t="str">
        <f>IF(_xlfn.XLOOKUP(_xlfn.XLOOKUP(B166,'Base stats'!B:B,'Base stats'!E:E),Groups!A:A,Groups!AD:AD)=0,"No",MROUND((LOG10(_xlfn.XLOOKUP(B166,'Base stats'!B:B,'Base stats'!AP:AP))*(AN166^0.75)+(_xlfn.XLOOKUP(B166,'Base stats'!B:B,'Base stats'!AP:AP)/1000)^(2/3)+_xlfn.XLOOKUP(B166,'Base stats'!B:B,'Base stats'!AV:AV)+_xlfn.XLOOKUP(B166,'Base stats'!B:B,'Base stats'!AX:AX))+0.5,0.5))</f>
        <v>No</v>
      </c>
      <c r="AI166" s="7" t="str">
        <f>IF(AH166="No","No",MAX(_xlfn.XLOOKUP(_xlfn.XLOOKUP(B166,'Base stats'!B:B,'Base stats'!E:E),Groups!A:A,Groups!AE:AE),MROUND(_xlfn.XLOOKUP(_xlfn.XLOOKUP(B166,'Base stats'!B:B,'Base stats'!E:E),Groups!A:A,Groups!AE:AE)*_xlfn.XLOOKUP(B166,'Base stats'!B:B,'Base stats'!C:C)^0.165,0.05)))</f>
        <v>No</v>
      </c>
      <c r="AJ166" s="7" t="str">
        <f>IF(AH166="No","No",_xlfn.XLOOKUP(_xlfn.XLOOKUP(B166,'Base stats'!B:B,'Base stats'!E:E),Groups!A:A,Groups!AF:AF))</f>
        <v>No</v>
      </c>
      <c r="AK166" s="7" t="str">
        <f>IF(AH166="No","No",_xlfn.XLOOKUP(_xlfn.XLOOKUP(B166,'Base stats'!B:B,'Base stats'!E:E),Groups!A:A,Groups!AG:AG))</f>
        <v>No</v>
      </c>
      <c r="AL166" s="7" t="str">
        <f>IF(AH166="No","No",_xlfn.XLOOKUP(_xlfn.XLOOKUP(B166,'Base stats'!B:B,'Base stats'!E:E),Groups!A:A,Groups!AH:AH))</f>
        <v>No</v>
      </c>
      <c r="AM166" s="2" t="str">
        <f t="shared" si="21"/>
        <v>No</v>
      </c>
      <c r="AN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O166" s="8">
        <f>MROUND(AN166*_xlfn.XLOOKUP(_xlfn.XLOOKUP(B166,'Base stats'!B:B,'Base stats'!E:E),Groups!A:A,Groups!AI:AI),0.05)</f>
        <v>0.25</v>
      </c>
      <c r="AP166" s="8">
        <f>MAX(0.01,MROUND(IF(CA166="True",0.196*(AN166*100*1000)^0.889,IF(_xlfn.XLOOKUP(_xlfn.XLOOKUP(B166,'Base stats'!B:B,'Base stats'!E:E),Groups!A:A,Groups!AJ:AJ)="Bird",10.5*(AN166*100*1000)^0.681,4.82*(AN166*100*1000)^0.734))/(4.82*(1*100*1000)^0.734)/IF(AN166&lt;3.5,2,IF(AN166=3.5,1.5,1.25))*(1+0.132282374779864/(AN166^0.994035016789033+0.00905238001496948)),0.05))</f>
        <v>0.25</v>
      </c>
      <c r="AQ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R166" s="35">
        <f>IFERROR(IF(_xlfn.XLOOKUP(B166,'Base stats'!B:B,'Base stats'!F:F)="Lay eggs","Lay eggs",MIN(20,MAX(5.5,ROUND(((_xlfn.XLOOKUP(B166,'Base stats'!B:B,'Base stats'!F:F)-25)*(14.5/615) + 5.5)*2,0)/2))),"Cannot breed")</f>
        <v>5.5</v>
      </c>
      <c r="AS166" s="8">
        <f>IF(OR(A166="Queen",A166="Larva",A166="Megachicken"),"No",IFERROR(MAX(IF(_xlfn.XLOOKUP(B166,'Base stats'!B:B,'Base stats'!G:G)&lt;0.5,0.2,0.3),MROUND(_xlfn.XLOOKUP(B166,'Base stats'!B:B,'Base stats'!G:G)/(365/60),0.2)),"Unknown"))</f>
        <v>0.4</v>
      </c>
      <c r="AT166" s="8">
        <f t="shared" si="15"/>
        <v>0.2</v>
      </c>
      <c r="AU166" s="8">
        <f>IFERROR(IFERROR(MROUND(_xlfn.XLOOKUP(B166,'Base stats'!B:B,'Base stats'!J:J),0.1),"Lay eggs"),"Cannot breed")</f>
        <v>5</v>
      </c>
      <c r="AV166" s="2" t="str">
        <f t="shared" si="22"/>
        <v>true</v>
      </c>
      <c r="AW166" s="2" t="str">
        <f>IF(_xlfn.XLOOKUP(_xlfn.XLOOKUP(Animals!B166,'Base stats'!B:B,'Base stats'!E:E),Groups!A:A,Groups!AK:AK)=1,"true","false")</f>
        <v>false</v>
      </c>
      <c r="AX166" s="25" t="str">
        <f>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</f>
        <v>VegetarianRoughAnimal</v>
      </c>
      <c r="AY166" s="2" t="str">
        <f>IF(_xlfn.XLOOKUP(_xlfn.XLOOKUP(B166,'Base stats'!B:B,'Base stats'!E:E),Groups!A:A,Groups!D:D)=1,MROUND((1-I166)*5+1,2)*IF(I166&lt;=0.4,2,1),"No")</f>
        <v>No</v>
      </c>
      <c r="AZ166" s="2" t="str">
        <f>_xlfn.XLOOKUP(B166,'Base stats'!B:B,'Base stats'!AE:AE)</f>
        <v>Leather_Light</v>
      </c>
      <c r="BA166" s="23" t="str">
        <f>_xlfn.XLOOKUP(_xlfn.XLOOKUP(B166,'Base stats'!B:B,'Base stats'!E:E),Groups!A:A,Groups!AL:AL)</f>
        <v>QuadrupedAnimalWithPaws</v>
      </c>
      <c r="BB166" s="23">
        <f>MROUND(IF(AND(AN166&lt;0.5,_xlfn.XLOOKUP(B166,'Base stats'!B:B,'Base stats'!Z:Z)=0),0,IF(OR(_xlfn.XLOOKUP(Animals!B166,'Base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stats'!AA:AA),0.005)</f>
        <v>0</v>
      </c>
      <c r="BC166" s="23">
        <f>MROUND(IF(AND(AN166&lt;0.5,_xlfn.XLOOKUP(B166,'Base stats'!B:B,'Base stats'!Z:Z)=0),0,IF(_xlfn.XLOOKUP(_xlfn.XLOOKUP(B166,'Base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stats'!AB:AB),0.005)</f>
        <v>0</v>
      </c>
      <c r="BD166" s="2">
        <f>IF(I166&gt;0.3,"No",_xlfn.XLOOKUP(_xlfn.XLOOKUP(Animals!B166,'Base stats'!B:B,'Base stats'!E:E),Groups!A:A,Groups!AP:AP))</f>
        <v>0.5</v>
      </c>
      <c r="BE166" s="2">
        <f>IF(AND(I166&lt;=0.65,_xlfn.XLOOKUP(_xlfn.XLOOKUP(Animals!B166,'Base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stats'!O:O)=2,0.2,AN166) + 24*(1-IF(BD166="No",0,BD166)) + 16/3, 12),"No")</f>
        <v>24</v>
      </c>
      <c r="BF166" s="2">
        <f>IF(AND(_xlfn.XLOOKUP(_xlfn.XLOOKUP(B166,'Base stats'!B:B,'Base stats'!E:E),Groups!A:A,Groups!AQ:AQ)=1,AN166&lt;=0.35),8,12)</f>
        <v>8</v>
      </c>
      <c r="BG166" s="2" t="str">
        <f>IF(_xlfn.XLOOKUP(_xlfn.XLOOKUP(B166,'Base stats'!B:B,'Base stats'!E:E),Groups!A:A,Groups!D:D)=0,_xlfn.XLOOKUP(_xlfn.XLOOKUP(B166,'Base stats'!B:B,'Base stats'!E:E),Groups!A:A,Groups!AR:AR),"None")</f>
        <v>None</v>
      </c>
      <c r="BH166" s="2" t="str">
        <f>IF(AND(_xlfn.XLOOKUP(_xlfn.XLOOKUP(B166,'Base stats'!B:B,'Base stats'!E:E),Groups!A:A,Groups!AS:AS)=1,OR('Base stats'!Y166="Carnivore",'Base stats'!Y166="Omnivore")),"true","false")</f>
        <v>false</v>
      </c>
      <c r="BI166" s="2" t="str">
        <f>IF(BH166="true",MROUND(IF(AND(AN166&gt;0.5,_xlfn.XLOOKUP(_xlfn.XLOOKUP(B166,'Base stats'!B:B,'Base stats'!E:E),Groups!A:A,Groups!AJ:AJ)="Mammal"),Animals!AN166*1.75*IF(AV166="true",1.5,1),Animals!AN166),IF(AN166&gt;2,0.5,IF(AN166&gt;0.5,0.25,0.1))),"No")</f>
        <v>No</v>
      </c>
      <c r="BJ166" s="2">
        <f t="shared" si="23"/>
        <v>0</v>
      </c>
      <c r="BK166" s="25" t="str">
        <f>IF('Base stats'!AK166="Standard","No",MROUND((_xlfn.XLOOKUP(B166,'Base stats'!B:B,'Base stats'!AK:AK)/3.6)/H166,0.1))</f>
        <v>No</v>
      </c>
      <c r="BL166" s="25" t="str">
        <f t="shared" si="24"/>
        <v>false</v>
      </c>
      <c r="BM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N166" s="25" t="str" cm="1">
        <f t="array" ref="BN166">IF(
  _xlfn.TEXTJOIN(", ",TRUE,
    IF(AND(BH166="true",AN166&gt;0.5,BG166&lt;&gt;"None"),"AttackTarget",""),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IF(BE166&lt;=36,"Comfort",""),
    IF(_xlfn.XLOOKUP(B166,'Base stats'!B:B,'Base stats'!AC:AC)&lt;&gt;"No",_xlfn.XLOOKUP(B166,'Base stats'!B:B,'Base stats'!AC:AC),"")
  ) = "",
  "No",
  _xlfn.TEXTJOIN(", ",TRUE,
    IF(AND(BH166="true",AN166&gt;0.5,BG166&lt;&gt;"None"),"AttackTarget",""),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IF(BE166&lt;=36,"Comfort",""),
    IF(_xlfn.XLOOKUP(B166,'Base stats'!B:B,'Base stats'!AC:AC)&lt;&gt;"No",_xlfn.XLOOKUP(B166,'Base stats'!B:B,'Base stats'!AC:AC),"")
  )
)</f>
        <v>Comfort</v>
      </c>
      <c r="BO166" s="25" t="str">
        <f>IF(
   AND(
      'Base stats'!AK166="Standard",_xlfn.XLOOKUP(_xlfn.XLOOKUP(B166,'Base stats'!B:B,'Base stats'!E:E),Groups!A:A,Groups!AU:AU)=0,
      OR(
      BM166="True"
      )
   ),
   10,
   IF(
       OR(BK166&lt;&gt;"No",_xlfn.XLOOKUP(_xlfn.XLOOKUP(B166,'Base stats'!B:B,'Base stats'!E:E),Groups!A:A,Groups!AU:AU)=1),
      1,
      "No"
   )
)</f>
        <v>No</v>
      </c>
      <c r="BP166" s="9">
        <f>MROUND((1 + ((0.2*IF(OR(P166="No",Q166="No",Q166=0),0,P166/Q166)
+IF(OR(U166="No",R166="No",S166="No"),0,R166/S166*(LEN(U166)-LEN(SUBSTITUTE(U166,",",""))+1))
+IF(OR(W166="No",X166="No"),0,W166/X166)
+IF(OR(AC166="No",AD166="No"),0,AC166/AD166)
+IF(OR(AK166="No",AH166="No",AI166="No"),0,AH166/AI166*(LEN(AK166)-LEN(SUBSTITUTE(AK166,",",""))+1))
)/(0.2*IF(OR(P166="No",Q166="No",Q166=0),0,1)
+IF(OR(U166="No",R166="No",S166="No"),0,LEN(U166)-LEN(SUBSTITUTE(U166,",",""))+1)
+IF(OR(W166="No",X166="No"),0,1)
+IF(OR(AC166="No",AD166="No"),0,1)
+IF(OR(AK166="No",AH166="No",AI166="No"),0,LEN(AK166)-LEN(SUBSTITUTE(AK166,",",""))+1))*62%)* 2)*(1 + (AO166 + _xlfn.XLOOKUP(B166,'Base stats'!B:B,'Base stats'!AS:AS) * 1.8) * 2) * 2.5 + 10 + H166 * 2,5)+IF(_xlfn.XLOOKUP(B166,'Base stats'!B:B,'Base stats'!AH:AH)=1,50,0)</f>
        <v>40</v>
      </c>
      <c r="BQ166" s="8">
        <f t="shared" si="25"/>
        <v>0.25</v>
      </c>
      <c r="BR166" s="8" t="str">
        <f>_xlfn.XLOOKUP(B166,'Base stats'!B:B,'Base stats'!AD:AD)</f>
        <v>3~8</v>
      </c>
      <c r="BS166" s="2" t="str">
        <f>IF(AND(I166&lt;=0.95,OR(_xlfn.XLOOKUP(B166,'Base stats'!B:B,'Base stats'!AH:AH)=1,_xlfn.XLOOKUP(B166,'Base stats'!B:B,'Base stats'!Y:Y)="Carnivore",_xlfn.XLOOKUP(B166,'Base stats'!B:B,'Base stats'!Y:Y)="Omnivore",BC166&gt;0.1)),"true","false")</f>
        <v>false</v>
      </c>
      <c r="BT166" s="2" t="str">
        <f>IF(_xlfn.XLOOKUP(B166,'Base stats'!B:B,'Base stats'!AF:AF)=1,"true","false")</f>
        <v>false</v>
      </c>
      <c r="BU166" s="25" t="str">
        <f>IF(E166="BaseInsect","AnimalInsect",
IF(I166&gt;0.95,"AnimalExotic",
_xlfn.TEXTJOIN(", ",TRUE,
IF(AND(_xlfn.XLOOKUP(B166,'Base stats'!B:B,'Base stats'!O:O)=0,_xlfn.XLOOKUP(_xlfn.XLOOKUP(B166,'Base stats'!B:B,'Base stats'!E:E),Groups!A:A,Groups!B:B)&gt;0),"AnimalUncommon","AnimalCommon"),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stats'!AH:AH)=1,AND(BG166&lt;&gt;"None",BP166&gt;=60),ISNUMBER(SEARCH("Attack target",BN166))),"AnimalFighter","")
)))</f>
        <v>AnimalCommon</v>
      </c>
      <c r="BV166" s="25" t="str">
        <f>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</f>
        <v/>
      </c>
      <c r="BW166" s="25" t="str">
        <f>IF(_xlfn.XLOOKUP(B166,'Base stats'!B:B,'Base stats'!AG:AG)=1,"true","false")</f>
        <v>false</v>
      </c>
      <c r="BX166" s="25">
        <f>IF(_xlfn.XLOOKUP(B166,'Base stats'!B:B,'Base stats'!N:N)=1,"No",MIN(MROUND(IF(OR(_xlfn.XLOOKUP(B166,'Base stats'!B:B,'Base stats'!AJ:AJ)=1,AND(BH166="True",CA166="False")),POWER(10,3.47*LOG10(_xlfn.XLOOKUP(B166,'Base stats'!B:B,'Base stats'!C:C)*1000)^-0.96),POWER(10,4.15*LOG10(_xlfn.XLOOKUP(B166,'Base stats'!B:B,'Base stats'!C:C)*1000)^-0.73))*IF(OR(_xlfn.XLOOKUP(B166,'Base stats'!B:B,'Base stats'!AJ:AJ)=1,_xlfn.XLOOKUP(B166,'Base stats'!B:B,'Base stats'!AH:AH)=1),0.5,1)/100,0.025),1))</f>
        <v>0.42500000000000004</v>
      </c>
      <c r="BY166" s="25" t="str">
        <f>IF(O166="Standard","No",IF(_xlfn.XLOOKUP(B166,'Base stats'!B:B,'Base stats'!N:N)=0,MROUND(BX166*O166,0.05),MIN(1,MAX(0.025,MROUND(IF(OR(CA166="true",AND(BH166="false",BM166="false")),POWER(10,4.15*LOG10(_xlfn.XLOOKUP(B166,'Base stats'!B:B,'Base stats'!C:C)*1000)^-0.73),POWER(10,3.47*LOG10(_xlfn.XLOOKUP(B166,'Base stats'!B:B,'Base stats'!C:C)*1000)^-0.96))*IF(_xlfn.XLOOKUP(B166,'Base stats'!B:B,'Base stats'!AH:AH)=1,0.5,1)/100,0.025)))))</f>
        <v>No</v>
      </c>
      <c r="BZ166" s="25" t="str">
        <f>IF(_xlfn.XLOOKUP(_xlfn.XLOOKUP(B166,'Base stats'!B:B,'Base stats'!E:E),Groups!A:A,Groups!AJ:AJ)="Mammal","True","False")</f>
        <v>True</v>
      </c>
      <c r="CA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B166" s="25" t="str">
        <f t="shared" si="26"/>
        <v>False</v>
      </c>
      <c r="CC166" s="25" t="str">
        <f>IF(_xlfn.XLOOKUP(_xlfn.XLOOKUP(B166,'Base stats'!B:B,'Base stats'!E:E),Groups!A:A,Groups!AW:AW),"True","False")</f>
        <v>False</v>
      </c>
      <c r="CD166" s="25" t="str">
        <f>IF(_xlfn.XLOOKUP(_xlfn.XLOOKUP(B166,'Base stats'!B:B,'Base stats'!E:E),Groups!A:A,Groups!AX:AX),"True","False")</f>
        <v>False</v>
      </c>
      <c r="CE166" s="25" t="str">
        <f>IF(_xlfn.XLOOKUP(B166,'Base stats'!B:B,'Base stats'!E:E)=1,"True","False")</f>
        <v>False</v>
      </c>
      <c r="CF166" s="25" t="str">
        <f>IF(
OR(
_xlfn.XLOOKUP(_xlfn.XLOOKUP(B166,'Base stats'!B:B,'Base stats'!E:E),Groups!A:A,Groups!AY:AY)=0,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stats'!E:E),Groups!A:A,Groups!AY:AY)=1,
"Flesh",
IF(
_xlfn.XLOOKUP(_xlfn.XLOOKUP(B166,'Base stats'!B:B,'Base stats'!E:E),Groups!A:A,Groups!AY:AY)=2,
"Bone",
""
)
)
)</f>
        <v>No</v>
      </c>
      <c r="CG166" s="25" t="str">
        <f>IF(_xlfn.XLOOKUP(_xlfn.XLOOKUP(B166,'Base stats'!B:B,'Base stats'!E:E),Groups!A:A,Groups!BA:BA),"True","False")</f>
        <v>True</v>
      </c>
      <c r="CH166" s="25" t="str">
        <f>IF(_xlfn.XLOOKUP(_xlfn.XLOOKUP(B166,'Base stats'!B:B,'Base stats'!E:E),Groups!A:A,Groups!AZ:AZ),"True","False")</f>
        <v>False</v>
      </c>
    </row>
    <row r="167" spans="1:86" ht="15.75" thickTop="1" x14ac:dyDescent="0.25"/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65AB59-D1CD-4262-915C-55F60400DCE6}">
          <x14:formula1>
            <xm:f>Leathers!$A$2:$A$100</xm:f>
          </x14:formula1>
          <xm:sqref>AZ2:AZ166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162"/>
  <sheetViews>
    <sheetView zoomScaleNormal="100" workbookViewId="0">
      <pane xSplit="1" topLeftCell="G1" activePane="topRight" state="frozen"/>
      <selection pane="topRight" activeCell="H27" sqref="H27"/>
    </sheetView>
  </sheetViews>
  <sheetFormatPr defaultRowHeight="15" x14ac:dyDescent="0.25"/>
  <cols>
    <col min="1" max="1" width="17" bestFit="1" customWidth="1"/>
    <col min="2" max="2" width="26.4257812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Animals!P1</f>
        <v>Head damage</v>
      </c>
      <c r="E1" s="1" t="s">
        <v>651</v>
      </c>
      <c r="F1" s="4" t="str">
        <f>Animals!Q1</f>
        <v>Head attack interval</v>
      </c>
      <c r="G1" s="3" t="str">
        <f>Animals!R1</f>
        <v>Poke/leg claws damage</v>
      </c>
      <c r="H1" s="1" t="s">
        <v>652</v>
      </c>
      <c r="I1" s="1" t="s">
        <v>653</v>
      </c>
      <c r="J1" s="4" t="str">
        <f>Animals!S1</f>
        <v>Poke/leg claws attack interval</v>
      </c>
      <c r="K1" s="3" t="str">
        <f>Animals!W1</f>
        <v>Horn/Antler/Tusks damage</v>
      </c>
      <c r="L1" s="1" t="s">
        <v>654</v>
      </c>
      <c r="M1" s="1" t="s">
        <v>655</v>
      </c>
      <c r="N1" s="4" t="s">
        <v>274</v>
      </c>
      <c r="O1" s="3" t="str">
        <f>Animals!AC1</f>
        <v>Bite damage</v>
      </c>
      <c r="P1" s="1" t="s">
        <v>656</v>
      </c>
      <c r="Q1" s="1" t="s">
        <v>657</v>
      </c>
      <c r="R1" s="4" t="str">
        <f>Animals!AD1</f>
        <v>Bite attack interval</v>
      </c>
      <c r="S1" s="3" t="str">
        <f>Animals!AH1</f>
        <v>Paw claw/punch damage</v>
      </c>
      <c r="T1" s="1" t="s">
        <v>658</v>
      </c>
      <c r="U1" s="1" t="s">
        <v>659</v>
      </c>
      <c r="V1" s="4" t="str">
        <f>Animals!AI1</f>
        <v>Paw claw/punch attack interval</v>
      </c>
      <c r="W1" s="2" t="s">
        <v>300</v>
      </c>
      <c r="X1" s="1" t="s">
        <v>301</v>
      </c>
      <c r="Y1" s="1" t="s">
        <v>302</v>
      </c>
      <c r="Z1" s="1" t="s">
        <v>448</v>
      </c>
      <c r="AA1" s="1" t="s">
        <v>449</v>
      </c>
      <c r="AB1" s="1" t="s">
        <v>461</v>
      </c>
      <c r="AC1" s="1" t="s">
        <v>677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stats'!BP:BP) * (_xlfn.XLOOKUP(B2,'Base stats'!B:B,'Base stats'!AL:AL)*5%)^0.9 / 21,0.1),0.05)</f>
        <v>8.1</v>
      </c>
      <c r="E2" s="11">
        <f>MAX(0.01,MROUND(_xlfn.XLOOKUP(B2,'Base stats'!B:B,'Base stats'!BD:BD) * 0.01 * 2, 0.01))</f>
        <v>7.38</v>
      </c>
      <c r="F2" s="7">
        <f>MROUND(_xlfn.XLOOKUP(B2,'Base stats'!B:B,'Base stats'!BA:BA)^0.25 / (_xlfn.XLOOKUP(B2,'Base stats'!B:B,'Base stats'!BH:BH) * 10) * 150 + 0.5 + _xlfn.XLOOKUP(B2,'Base stats'!B:B,'Base stats'!BT:BT), 0.05)</f>
        <v>2.35</v>
      </c>
      <c r="G2" s="3" t="str">
        <f>IF(Animals!R2="No","No",
IF(_xlfn.XLOOKUP(B2,'Base stats'!B:B,'Base stats'!U:U)="No",
MAX(MROUND(_xlfn.XLOOKUP(B2,'Base stats'!B:B,'Base stats'!BQ:BQ) * _xlfn.XLOOKUP(B2,'Base stats'!B:B,'Base stats'!BM:BM)^0.9 / 21 * _xlfn.XLOOKUP(B2,'Base stats'!B:B,'Base stats'!BU:BU),0.1),0.05),
MAX(MROUND(((MIN(10,_xlfn.XLOOKUP(B2,'Base stats'!B:B,'Base stats'!U:U)))^0.4*_xlfn.XLOOKUP(B2,'Base stats'!B:B,'Base stats'!BE:BE)^0.73)^0.6 * _xlfn.XLOOKUP(B2,'Base stats'!B:B,'Base stats'!BU:BU),0.1),0.05)
))</f>
        <v>No</v>
      </c>
      <c r="H2" s="11" t="str">
        <f>IF(G2="No","No",
MAX(0.01,MROUND(_xlfn.XLOOKUP(B2,'Base stats'!B:B,'Base stats'!BE:BE) * 0.01 * 2, 0.01))
)</f>
        <v>No</v>
      </c>
      <c r="I2" s="11" t="str">
        <f>IF(G2="No","No",IF(_xlfn.XLOOKUP(B2,'Base stats'!B:B,'Base stats'!U:U)="No","No",
MAX(0.01,MROUND(_xlfn.XLOOKUP(B2,'Base stats'!B:B,'Base stats'!BQ:BQ)/10000,0.01))
))</f>
        <v>No</v>
      </c>
      <c r="J2" s="4" t="str">
        <f>IF(G2="No","No",
MROUND(_xlfn.XLOOKUP(B2,'Base stats'!B:B,'Base stats'!BB:BB)^0.25
/((_xlfn.XLOOKUP(B2,'Base stats'!B:B,'Base stats'!BI:BI))*10)*_xlfn.XLOOKUP(_xlfn.XLOOKUP(B2,'Base stats'!B:B,'Base stats'!E:E),Groups!A:A,Groups!Q:Q)*150 + 0.5 + _xlfn.XLOOKUP(B2,'Base stats'!B:B,'Base stats'!BT:BT),
0.05))</f>
        <v>No</v>
      </c>
      <c r="K2" s="3" t="str">
        <f>IF(Animals!W2="No","No",
IF(_xlfn.XLOOKUP(_xlfn.XLOOKUP(B2,'Base stats'!B:B,'Base stats'!E:E),Groups!A:A,Groups!BC:BC)=1,
MAX(MROUND(_xlfn.XLOOKUP(B2,'Base stats'!B:B,'Base stats'!BR:BR) * _xlfn.XLOOKUP(B2,'Base stats'!B:B,'Base stats'!BN:BN)^0.9 / 21 *_xlfn.XLOOKUP(B2,'Base stats'!B:B,'Base stats'!BU:BU),0.1),0.05),
MAX(MROUND(((MIN(10,_xlfn.XLOOKUP(B2,'Base stats'!B:B,'Base stats'!W:W)))^0.4*_xlfn.XLOOKUP(B2,'Base stats'!B:B,'Base stats'!BF:BF)^0.73)^0.6 *_xlfn.XLOOKUP(B2,'Base stats'!B:B,'Base stats'!BU:BU),0.1),0.05)
))</f>
        <v>No</v>
      </c>
      <c r="L2" s="11" t="str">
        <f>IF(K2="No","No",
MAX(0.01,MROUND(_xlfn.XLOOKUP(B2,'Base stats'!B:B,'Base stats'!BF:BF) * 0.01 *2, 0.01))
)</f>
        <v>No</v>
      </c>
      <c r="M2" s="5" t="str">
        <f>IF(K2="No","No",IF(_xlfn.XLOOKUP(_xlfn.XLOOKUP(B2,'Base stats'!B:B,'Base stats'!E:E),Groups!A:A,Groups!BC:BC)=1,"No",
MAX(0.01,MROUND(_xlfn.XLOOKUP(B2,'Base stats'!B:B,'Base stats'!BR:BR)/10000,0.01))
))</f>
        <v>No</v>
      </c>
      <c r="N2" s="4" t="str">
        <f>IF(K2="No","No",
MROUND(
  _xlfn.XLOOKUP(B2,'Base stats'!B:B,'Base stats'!AZ:AZ)^0.25
  / (_xlfn.XLOOKUP(B2,'Base stats'!B:B,'Base stats'!BJ:BJ)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stats'!BT:BT),
0.05))</f>
        <v>No</v>
      </c>
      <c r="O2" s="3">
        <f>IF(Animals!AC2="No","No",
MAX(MROUND((MIN(10,_xlfn.XLOOKUP(B2,'Base stats'!B:B,'Base stats'!V:V)*IF(_xlfn.XLOOKUP(_xlfn.XLOOKUP(B2,'Base stats'!B:B,'Base stats'!E:E),Groups!A:A,Groups!O:O)=0,1,0.33))^0.4*_xlfn.XLOOKUP(B2,'Base stats'!B:B,'Base stats'!BG:BG)^0.73)^0.6 *_xlfn.XLOOKUP(B2,'Base stats'!B:B,'Base stats'!BU:BU),0.1),0.05)
)</f>
        <v>19.600000000000001</v>
      </c>
      <c r="P2" s="11">
        <f>IF(O2="No","No",
MAX(0.01,MROUND(_xlfn.XLOOKUP(B2,'Base stats'!B:B,'Base stats'!BG:BG) * 0.01 * 2, 0.01))
)</f>
        <v>7.18</v>
      </c>
      <c r="Q2" s="5">
        <f>IF(O2="No","No",
MAX(0.01,MROUND(_xlfn.XLOOKUP(B2,'Base stats'!B:B,'Base stats'!BS:BS)/10000,0.01))
)</f>
        <v>0.23</v>
      </c>
      <c r="R2" s="4">
        <f>IF(O2="No","No",
MROUND(_xlfn.XLOOKUP(B2,'Base stats'!B:B,'Base stats'!AY:AY)^0.25
/((_xlfn.XLOOKUP(B2,'Base stats'!B:B,'Base stats'!BK:BK))*10)*_xlfn.XLOOKUP(_xlfn.XLOOKUP(B2,'Base stats'!B:B,'Base stats'!E:E),Groups!A:A,Groups!Z:Z)*150 + 0.5 + _xlfn.XLOOKUP(B2,'Base stats'!B:B,'Base stats'!BT:BT),
0.05))</f>
        <v>2.25</v>
      </c>
      <c r="S2" s="3">
        <f>IF(Animals!AH2="No","No",
IF(_xlfn.XLOOKUP(B2,'Base stats'!B:B,'Base stats'!U:U)="No",
MAX(MROUND(_xlfn.XLOOKUP(B2,'Base stats'!B:B,'Base stats'!BQ:BQ) * _xlfn.XLOOKUP(B2,'Base stats'!B:B,'Base stats'!BM:BM)^0.9 / 21 * _xlfn.XLOOKUP(B2,'Base stats'!B:B,'Base stats'!BU:BU),0.1),0.05),
MAX(MROUND(((MIN(12,_xlfn.XLOOKUP(B2,'Base stats'!B:B,'Base stats'!U:U)))^0.4*_xlfn.XLOOKUP(B2,'Base stats'!B:B,'Base stats'!BE:BE)^0.73)^0.6 * _xlfn.XLOOKUP(B2,'Base stats'!B:B,'Base stats'!BU:BU),0.1),0.05)
))</f>
        <v>24.6</v>
      </c>
      <c r="T2" s="11">
        <f>IF(S2="No","No",
MAX(0.01,MROUND(_xlfn.XLOOKUP(B2,'Base stats'!B:B,'Base stats'!BE:BE) * 0.01 * 2, 0.01))
)</f>
        <v>8.7100000000000009</v>
      </c>
      <c r="U2" s="5">
        <f>IF(S2="No","No",IF(_xlfn.XLOOKUP(B2,'Base stats'!B:B,'Base stats'!U:U)="No","No",
MAX(0.01,MROUND(_xlfn.XLOOKUP(B2,'Base stats'!B:B,'Base stats'!BQ:BQ)/10000,0.01))
))</f>
        <v>0.28000000000000003</v>
      </c>
      <c r="V2" s="4">
        <f>IF(S2="No","No",
MROUND(_xlfn.XLOOKUP(B2,'Base stats'!B:B,'Base stats'!BC:BC)^0.25
/((_xlfn.XLOOKUP(B2,'Base stats'!B:B,'Base stats'!BL:BL))*10)*_xlfn.XLOOKUP(_xlfn.XLOOKUP(B2,'Base stats'!B:B,'Base stats'!E:E),Groups!A:A,Groups!AE:AE)*150 + 0.5 + _xlfn.XLOOKUP(B2,'Base stats'!B:B,'Base stats'!BT:BT),
0.05))</f>
        <v>1.6</v>
      </c>
      <c r="W2" s="8">
        <f>MROUND(_xlfn.XLOOKUP(_xlfn.XLOOKUP(B2,'Base stats'!B:B,'Base stats'!E:E),Groups!A:A,Groups!BF:BF)*_xlfn.XLOOKUP(B2,'Base stats'!B:B,'Base stats'!C:C)^-0.165,0.01)</f>
        <v>0.27</v>
      </c>
      <c r="X2" s="1">
        <f>MROUND(_xlfn.XLOOKUP(_xlfn.XLOOKUP(B2,'Base stats'!B:B,'Base stats'!E:E),Groups!A:A,Groups!BG:BG)*_xlfn.XLOOKUP(B2,'Base stats'!B:B,'Base stats'!C:C)^0.165,0.01)</f>
        <v>0.39</v>
      </c>
      <c r="Y2" s="8">
        <f>MROUND(_xlfn.XLOOKUP(_xlfn.XLOOKUP(B2,'Base stats'!B:B,'Base stats'!E:E),Groups!A:A,Groups!BH:BH)*_xlfn.XLOOKUP(B2,'Base stats'!B:B,'Base stats'!C:C)^0.165,0.01)</f>
        <v>0.06</v>
      </c>
      <c r="Z2" s="18">
        <f>_xlfn.XLOOKUP(B2,'Base stats'!B:B,'Base stats'!AN:AN)*_xlfn.XLOOKUP(_xlfn.XLOOKUP(B2,'Base stats'!B:B,'Base stats'!E:E),Groups!A:A,Groups!H:H)/1000</f>
        <v>0.16713507956091248</v>
      </c>
      <c r="AA2" s="18">
        <f>(1/2)*(_xlfn.XLOOKUP(_xlfn.XLOOKUP(B2,'Base stats'!B:B,'Base stats'!E:E),Groups!A:A,Groups!H:H)*_xlfn.XLOOKUP(_xlfn.XLOOKUP(B2,'Base stats'!B:B,'Base stats'!E:E),Groups!A:A,Groups!I:I))*_xlfn.XLOOKUP(B2,'Base stats'!B:B,'Base stats'!AN:AN)*0.01</f>
        <v>1.253513096706844</v>
      </c>
      <c r="AB2" s="18">
        <f>250*(Animals!AN2+Animals!AO2)</f>
        <v>1237.5</v>
      </c>
      <c r="AC2" s="18" t="str">
        <f>_xlfn.XLOOKUP(_xlfn.XLOOKUP(B2,'Base stats'!B:B,'Base stats'!E:E),Groups!A:A,Groups!BI:BI)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stats'!BP:BP) * (_xlfn.XLOOKUP(B3,'Base stats'!B:B,'Base stats'!AL:AL)*5%)^0.9 / 21,0.1),0.05)</f>
        <v>6.7</v>
      </c>
      <c r="E3" s="11">
        <f>MAX(0.01,MROUND(_xlfn.XLOOKUP(B3,'Base stats'!B:B,'Base stats'!BD:BD) * 0.01 * 2, 0.01))</f>
        <v>6.0600000000000005</v>
      </c>
      <c r="F3" s="7">
        <f>MROUND(_xlfn.XLOOKUP(B3,'Base stats'!B:B,'Base stats'!BA:BA)^0.25 / (_xlfn.XLOOKUP(B3,'Base stats'!B:B,'Base stats'!BH:BH) * 10) * 150 + 0.5 + _xlfn.XLOOKUP(B3,'Base stats'!B:B,'Base stats'!BT:BT), 0.05)</f>
        <v>2.25</v>
      </c>
      <c r="G3" s="3" t="str">
        <f>IF(Animals!R3="No","No",
IF(_xlfn.XLOOKUP(B3,'Base stats'!B:B,'Base stats'!U:U)="No",
MAX(MROUND(_xlfn.XLOOKUP(B3,'Base stats'!B:B,'Base stats'!BQ:BQ) * _xlfn.XLOOKUP(B3,'Base stats'!B:B,'Base stats'!BM:BM)^0.9 / 21 * _xlfn.XLOOKUP(B3,'Base stats'!B:B,'Base stats'!BU:BU),0.1),0.05),
MAX(MROUND(((MIN(10,_xlfn.XLOOKUP(B3,'Base stats'!B:B,'Base stats'!U:U)))^0.4*_xlfn.XLOOKUP(B3,'Base stats'!B:B,'Base stats'!BE:BE)^0.73)^0.6 * _xlfn.XLOOKUP(B3,'Base stats'!B:B,'Base stats'!BU:BU),0.1),0.05)
))</f>
        <v>No</v>
      </c>
      <c r="H3" s="11" t="str">
        <f>IF(G3="No","No",
MAX(0.01,MROUND(_xlfn.XLOOKUP(B3,'Base stats'!B:B,'Base stats'!BE:BE) * 0.01 * 2, 0.01))
)</f>
        <v>No</v>
      </c>
      <c r="I3" s="11" t="str">
        <f>IF(G3="No","No",IF(_xlfn.XLOOKUP(B3,'Base stats'!B:B,'Base stats'!U:U)="No","No",
MAX(0.01,MROUND(_xlfn.XLOOKUP(B3,'Base stats'!B:B,'Base stats'!BQ:BQ)/10000,0.01))
))</f>
        <v>No</v>
      </c>
      <c r="J3" s="4" t="str">
        <f>IF(G3="No","No",
MROUND(_xlfn.XLOOKUP(B3,'Base stats'!B:B,'Base stats'!BB:BB)^0.25
/((_xlfn.XLOOKUP(B3,'Base stats'!B:B,'Base stats'!BI:BI))*10)*_xlfn.XLOOKUP(_xlfn.XLOOKUP(B3,'Base stats'!B:B,'Base stats'!E:E),Groups!A:A,Groups!Q:Q)*150 + 0.5 + _xlfn.XLOOKUP(B3,'Base stats'!B:B,'Base stats'!BT:BT),
0.05))</f>
        <v>No</v>
      </c>
      <c r="K3" s="3" t="str">
        <f>IF(Animals!W3="No","No",
IF(_xlfn.XLOOKUP(_xlfn.XLOOKUP(B3,'Base stats'!B:B,'Base stats'!E:E),Groups!A:A,Groups!BC:BC)=1,
MAX(MROUND(_xlfn.XLOOKUP(B3,'Base stats'!B:B,'Base stats'!BR:BR) * _xlfn.XLOOKUP(B3,'Base stats'!B:B,'Base stats'!BN:BN)^0.9 / 21 *_xlfn.XLOOKUP(B3,'Base stats'!B:B,'Base stats'!BU:BU),0.1),0.05),
MAX(MROUND(((MIN(10,_xlfn.XLOOKUP(B3,'Base stats'!B:B,'Base stats'!W:W)))^0.4*_xlfn.XLOOKUP(B3,'Base stats'!B:B,'Base stats'!BF:BF)^0.73)^0.6 *_xlfn.XLOOKUP(B3,'Base stats'!B:B,'Base stats'!BU:BU),0.1),0.05)
))</f>
        <v>No</v>
      </c>
      <c r="L3" s="11" t="str">
        <f>IF(K3="No","No",
MAX(0.01,MROUND(_xlfn.XLOOKUP(B3,'Base stats'!B:B,'Base stats'!BF:BF) * 0.01 *2, 0.01))
)</f>
        <v>No</v>
      </c>
      <c r="M3" s="5" t="str">
        <f>IF(K3="No","No",IF(_xlfn.XLOOKUP(_xlfn.XLOOKUP(B3,'Base stats'!B:B,'Base stats'!E:E),Groups!A:A,Groups!BC:BC)=1,"No",
MAX(0.01,MROUND(_xlfn.XLOOKUP(B3,'Base stats'!B:B,'Base stats'!BR:BR)/10000,0.01))
))</f>
        <v>No</v>
      </c>
      <c r="N3" s="4" t="str">
        <f>IF(K3="No","No",
MROUND(
  _xlfn.XLOOKUP(B3,'Base stats'!B:B,'Base stats'!AZ:AZ)^0.25
  / (_xlfn.XLOOKUP(B3,'Base stats'!B:B,'Base stats'!BJ:BJ)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stats'!BT:BT),
0.05))</f>
        <v>No</v>
      </c>
      <c r="O3" s="3">
        <f>IF(Animals!AC3="No","No",
MAX(MROUND((MIN(10,_xlfn.XLOOKUP(B3,'Base stats'!B:B,'Base stats'!V:V)*IF(_xlfn.XLOOKUP(_xlfn.XLOOKUP(B3,'Base stats'!B:B,'Base stats'!E:E),Groups!A:A,Groups!O:O)=0,1,0.33))^0.4*_xlfn.XLOOKUP(B3,'Base stats'!B:B,'Base stats'!BG:BG)^0.73)^0.6 *_xlfn.XLOOKUP(B3,'Base stats'!B:B,'Base stats'!BU:BU),0.1),0.05)
)</f>
        <v>18.2</v>
      </c>
      <c r="P3" s="11">
        <f>IF(O3="No","No",
MAX(0.01,MROUND(_xlfn.XLOOKUP(B3,'Base stats'!B:B,'Base stats'!BG:BG) * 0.01 * 2, 0.01))
)</f>
        <v>6.49</v>
      </c>
      <c r="Q3" s="5">
        <f>IF(O3="No","No",
MAX(0.01,MROUND(_xlfn.XLOOKUP(B3,'Base stats'!B:B,'Base stats'!BS:BS)/10000,0.01))
)</f>
        <v>0.23</v>
      </c>
      <c r="R3" s="4">
        <f>IF(O3="No","No",
MROUND(_xlfn.XLOOKUP(B3,'Base stats'!B:B,'Base stats'!AY:AY)^0.25
/((_xlfn.XLOOKUP(B3,'Base stats'!B:B,'Base stats'!BK:BK))*10)*_xlfn.XLOOKUP(_xlfn.XLOOKUP(B3,'Base stats'!B:B,'Base stats'!E:E),Groups!A:A,Groups!Z:Z)*150 + 0.5 + _xlfn.XLOOKUP(B3,'Base stats'!B:B,'Base stats'!BT:BT),
0.05))</f>
        <v>2.25</v>
      </c>
      <c r="S3" s="3">
        <f>IF(Animals!AH3="No","No",
IF(_xlfn.XLOOKUP(B3,'Base stats'!B:B,'Base stats'!U:U)="No",
MAX(MROUND(_xlfn.XLOOKUP(B3,'Base stats'!B:B,'Base stats'!BQ:BQ) * _xlfn.XLOOKUP(B3,'Base stats'!B:B,'Base stats'!BM:BM)^0.9 / 21 * _xlfn.XLOOKUP(B3,'Base stats'!B:B,'Base stats'!BU:BU),0.1),0.05),
MAX(MROUND(((MIN(12,_xlfn.XLOOKUP(B3,'Base stats'!B:B,'Base stats'!U:U)))^0.4*_xlfn.XLOOKUP(B3,'Base stats'!B:B,'Base stats'!BE:BE)^0.73)^0.6 * _xlfn.XLOOKUP(B3,'Base stats'!B:B,'Base stats'!BU:BU),0.1),0.05)
))</f>
        <v>21.5</v>
      </c>
      <c r="T3" s="11">
        <f>IF(S3="No","No",
MAX(0.01,MROUND(_xlfn.XLOOKUP(B3,'Base stats'!B:B,'Base stats'!BE:BE) * 0.01 * 2, 0.01))
)</f>
        <v>7.24</v>
      </c>
      <c r="U3" s="5">
        <f>IF(S3="No","No",IF(_xlfn.XLOOKUP(B3,'Base stats'!B:B,'Base stats'!U:U)="No","No",
MAX(0.01,MROUND(_xlfn.XLOOKUP(B3,'Base stats'!B:B,'Base stats'!BQ:BQ)/10000,0.01))
))</f>
        <v>0.26</v>
      </c>
      <c r="V3" s="4">
        <f>IF(S3="No","No",
MROUND(_xlfn.XLOOKUP(B3,'Base stats'!B:B,'Base stats'!BC:BC)^0.25
/((_xlfn.XLOOKUP(B3,'Base stats'!B:B,'Base stats'!BL:BL))*10)*_xlfn.XLOOKUP(_xlfn.XLOOKUP(B3,'Base stats'!B:B,'Base stats'!E:E),Groups!A:A,Groups!AE:AE)*150 + 0.5 + _xlfn.XLOOKUP(B3,'Base stats'!B:B,'Base stats'!BT:BT),
0.05))</f>
        <v>1.55</v>
      </c>
      <c r="W3" s="8">
        <f>MROUND(_xlfn.XLOOKUP(_xlfn.XLOOKUP(B3,'Base stats'!B:B,'Base stats'!E:E),Groups!A:A,Groups!BF:BF)*_xlfn.XLOOKUP(B3,'Base stats'!B:B,'Base stats'!C:C)^-0.165,0.01)</f>
        <v>0.28000000000000003</v>
      </c>
      <c r="X3" s="1">
        <f>MROUND(_xlfn.XLOOKUP(_xlfn.XLOOKUP(B3,'Base stats'!B:B,'Base stats'!E:E),Groups!A:A,Groups!BG:BG)*_xlfn.XLOOKUP(B3,'Base stats'!B:B,'Base stats'!C:C)^0.165,0.01)</f>
        <v>0.37</v>
      </c>
      <c r="Y3" s="8">
        <f>MROUND(_xlfn.XLOOKUP(_xlfn.XLOOKUP(B3,'Base stats'!B:B,'Base stats'!E:E),Groups!A:A,Groups!BH:BH)*_xlfn.XLOOKUP(B3,'Base stats'!B:B,'Base stats'!C:C)^0.165,0.01)</f>
        <v>0.06</v>
      </c>
      <c r="Z3" s="18">
        <f>_xlfn.XLOOKUP(B3,'Base stats'!B:B,'Base stats'!AN:AN)*_xlfn.XLOOKUP(_xlfn.XLOOKUP(B3,'Base stats'!B:B,'Base stats'!E:E),Groups!A:A,Groups!H:H)/1000</f>
        <v>0.15497221452330392</v>
      </c>
      <c r="AA3" s="18">
        <f>(1/2)*(_xlfn.XLOOKUP(_xlfn.XLOOKUP(B3,'Base stats'!B:B,'Base stats'!E:E),Groups!A:A,Groups!H:H)*_xlfn.XLOOKUP(_xlfn.XLOOKUP(B3,'Base stats'!B:B,'Base stats'!E:E),Groups!A:A,Groups!I:I))*_xlfn.XLOOKUP(B3,'Base stats'!B:B,'Base stats'!AN:AN)*0.01</f>
        <v>1.1622916089247795</v>
      </c>
      <c r="AB3" s="18">
        <f>250*(Animals!AN3+Animals!AO3)</f>
        <v>1100</v>
      </c>
      <c r="AC3" s="18" t="str">
        <f>_xlfn.XLOOKUP(_xlfn.XLOOKUP(B3,'Base stats'!B:B,'Base stats'!E:E),Groups!A:A,Groups!BI:BI)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stats'!BP:BP) * (_xlfn.XLOOKUP(B4,'Base stats'!B:B,'Base stats'!AL:AL)*5%)^0.9 / 21,0.1),0.05)</f>
        <v>0.30000000000000004</v>
      </c>
      <c r="E4" s="11">
        <f>MAX(0.01,MROUND(_xlfn.XLOOKUP(B4,'Base stats'!B:B,'Base stats'!BD:BD) * 0.01 * 2, 0.01))</f>
        <v>0.2</v>
      </c>
      <c r="F4" s="7">
        <f>MROUND(_xlfn.XLOOKUP(B4,'Base stats'!B:B,'Base stats'!BA:BA)^0.25 / (_xlfn.XLOOKUP(B4,'Base stats'!B:B,'Base stats'!BH:BH) * 10) * 150 + 0.5 + _xlfn.XLOOKUP(B4,'Base stats'!B:B,'Base stats'!BT:BT), 0.05)</f>
        <v>1.4500000000000002</v>
      </c>
      <c r="G4" s="3" t="str">
        <f>IF(Animals!R4="No","No",
IF(_xlfn.XLOOKUP(B4,'Base stats'!B:B,'Base stats'!U:U)="No",
MAX(MROUND(_xlfn.XLOOKUP(B4,'Base stats'!B:B,'Base stats'!BQ:BQ) * _xlfn.XLOOKUP(B4,'Base stats'!B:B,'Base stats'!BM:BM)^0.9 / 21 * _xlfn.XLOOKUP(B4,'Base stats'!B:B,'Base stats'!BU:BU),0.1),0.05),
MAX(MROUND(((MIN(10,_xlfn.XLOOKUP(B4,'Base stats'!B:B,'Base stats'!U:U)))^0.4*_xlfn.XLOOKUP(B4,'Base stats'!B:B,'Base stats'!BE:BE)^0.73)^0.6 * _xlfn.XLOOKUP(B4,'Base stats'!B:B,'Base stats'!BU:BU),0.1),0.05)
))</f>
        <v>No</v>
      </c>
      <c r="H4" s="11" t="str">
        <f>IF(G4="No","No",
MAX(0.01,MROUND(_xlfn.XLOOKUP(B4,'Base stats'!B:B,'Base stats'!BE:BE) * 0.01 * 2, 0.01))
)</f>
        <v>No</v>
      </c>
      <c r="I4" s="11" t="str">
        <f>IF(G4="No","No",IF(_xlfn.XLOOKUP(B4,'Base stats'!B:B,'Base stats'!U:U)="No","No",
MAX(0.01,MROUND(_xlfn.XLOOKUP(B4,'Base stats'!B:B,'Base stats'!BQ:BQ)/10000,0.01))
))</f>
        <v>No</v>
      </c>
      <c r="J4" s="4" t="str">
        <f>IF(G4="No","No",
MROUND(_xlfn.XLOOKUP(B4,'Base stats'!B:B,'Base stats'!BB:BB)^0.25
/((_xlfn.XLOOKUP(B4,'Base stats'!B:B,'Base stats'!BI:BI))*10)*_xlfn.XLOOKUP(_xlfn.XLOOKUP(B4,'Base stats'!B:B,'Base stats'!E:E),Groups!A:A,Groups!Q:Q)*150 + 0.5 + _xlfn.XLOOKUP(B4,'Base stats'!B:B,'Base stats'!BT:BT),
0.05))</f>
        <v>No</v>
      </c>
      <c r="K4" s="3" t="str">
        <f>IF(Animals!W4="No","No",
IF(_xlfn.XLOOKUP(_xlfn.XLOOKUP(B4,'Base stats'!B:B,'Base stats'!E:E),Groups!A:A,Groups!BC:BC)=1,
MAX(MROUND(_xlfn.XLOOKUP(B4,'Base stats'!B:B,'Base stats'!BR:BR) * _xlfn.XLOOKUP(B4,'Base stats'!B:B,'Base stats'!BN:BN)^0.9 / 21 *_xlfn.XLOOKUP(B4,'Base stats'!B:B,'Base stats'!BU:BU),0.1),0.05),
MAX(MROUND(((MIN(10,_xlfn.XLOOKUP(B4,'Base stats'!B:B,'Base stats'!W:W)))^0.4*_xlfn.XLOOKUP(B4,'Base stats'!B:B,'Base stats'!BF:BF)^0.73)^0.6 *_xlfn.XLOOKUP(B4,'Base stats'!B:B,'Base stats'!BU:BU),0.1),0.05)
))</f>
        <v>No</v>
      </c>
      <c r="L4" s="11" t="str">
        <f>IF(K4="No","No",
MAX(0.01,MROUND(_xlfn.XLOOKUP(B4,'Base stats'!B:B,'Base stats'!BF:BF) * 0.01 *2, 0.01))
)</f>
        <v>No</v>
      </c>
      <c r="M4" s="5" t="str">
        <f>IF(K4="No","No",IF(_xlfn.XLOOKUP(_xlfn.XLOOKUP(B4,'Base stats'!B:B,'Base stats'!E:E),Groups!A:A,Groups!BC:BC)=1,"No",
MAX(0.01,MROUND(_xlfn.XLOOKUP(B4,'Base stats'!B:B,'Base stats'!BR:BR)/10000,0.01))
))</f>
        <v>No</v>
      </c>
      <c r="N4" s="4" t="str">
        <f>IF(K4="No","No",
MROUND(
  _xlfn.XLOOKUP(B4,'Base stats'!B:B,'Base stats'!AZ:AZ)^0.25
  / (_xlfn.XLOOKUP(B4,'Base stats'!B:B,'Base stats'!BJ:BJ)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stats'!BT:BT),
0.05))</f>
        <v>No</v>
      </c>
      <c r="O4" s="3">
        <f>IF(Animals!AC4="No","No",
MAX(MROUND((MIN(10,_xlfn.XLOOKUP(B4,'Base stats'!B:B,'Base stats'!V:V)*IF(_xlfn.XLOOKUP(_xlfn.XLOOKUP(B4,'Base stats'!B:B,'Base stats'!E:E),Groups!A:A,Groups!O:O)=0,1,0.33))^0.4*_xlfn.XLOOKUP(B4,'Base stats'!B:B,'Base stats'!BG:BG)^0.73)^0.6 *_xlfn.XLOOKUP(B4,'Base stats'!B:B,'Base stats'!BU:BU),0.1),0.05)
)</f>
        <v>3.2</v>
      </c>
      <c r="P4" s="11">
        <f>IF(O4="No","No",
MAX(0.01,MROUND(_xlfn.XLOOKUP(B4,'Base stats'!B:B,'Base stats'!BG:BG) * 0.01 * 2, 0.01))
)</f>
        <v>0.21</v>
      </c>
      <c r="Q4" s="5">
        <f>IF(O4="No","No",
MAX(0.01,MROUND(_xlfn.XLOOKUP(B4,'Base stats'!B:B,'Base stats'!BS:BS)/10000,0.01))
)</f>
        <v>0.04</v>
      </c>
      <c r="R4" s="4">
        <f>IF(O4="No","No",
MROUND(_xlfn.XLOOKUP(B4,'Base stats'!B:B,'Base stats'!AY:AY)^0.25
/((_xlfn.XLOOKUP(B4,'Base stats'!B:B,'Base stats'!BK:BK))*10)*_xlfn.XLOOKUP(_xlfn.XLOOKUP(B4,'Base stats'!B:B,'Base stats'!E:E),Groups!A:A,Groups!Z:Z)*150 + 0.5 + _xlfn.XLOOKUP(B4,'Base stats'!B:B,'Base stats'!BT:BT),
0.05))</f>
        <v>1.9000000000000001</v>
      </c>
      <c r="S4" s="3">
        <f>IF(Animals!AH4="No","No",
IF(_xlfn.XLOOKUP(B4,'Base stats'!B:B,'Base stats'!U:U)="No",
MAX(MROUND(_xlfn.XLOOKUP(B4,'Base stats'!B:B,'Base stats'!BQ:BQ) * _xlfn.XLOOKUP(B4,'Base stats'!B:B,'Base stats'!BM:BM)^0.9 / 21 * _xlfn.XLOOKUP(B4,'Base stats'!B:B,'Base stats'!BU:BU),0.1),0.05),
MAX(MROUND(((MIN(12,_xlfn.XLOOKUP(B4,'Base stats'!B:B,'Base stats'!U:U)))^0.4*_xlfn.XLOOKUP(B4,'Base stats'!B:B,'Base stats'!BE:BE)^0.73)^0.6 * _xlfn.XLOOKUP(B4,'Base stats'!B:B,'Base stats'!BU:BU),0.1),0.05)
))</f>
        <v>3.4000000000000004</v>
      </c>
      <c r="T4" s="11">
        <f>IF(S4="No","No",
MAX(0.01,MROUND(_xlfn.XLOOKUP(B4,'Base stats'!B:B,'Base stats'!BE:BE) * 0.01 * 2, 0.01))
)</f>
        <v>0.3</v>
      </c>
      <c r="U4" s="5">
        <f>IF(S4="No","No",IF(_xlfn.XLOOKUP(B4,'Base stats'!B:B,'Base stats'!U:U)="No","No",
MAX(0.01,MROUND(_xlfn.XLOOKUP(B4,'Base stats'!B:B,'Base stats'!BQ:BQ)/10000,0.01))
))</f>
        <v>0.05</v>
      </c>
      <c r="V4" s="4">
        <f>IF(S4="No","No",
MROUND(_xlfn.XLOOKUP(B4,'Base stats'!B:B,'Base stats'!BC:BC)^0.25
/((_xlfn.XLOOKUP(B4,'Base stats'!B:B,'Base stats'!BL:BL))*10)*_xlfn.XLOOKUP(_xlfn.XLOOKUP(B4,'Base stats'!B:B,'Base stats'!E:E),Groups!A:A,Groups!AE:AE)*150 + 0.5 + _xlfn.XLOOKUP(B4,'Base stats'!B:B,'Base stats'!BT:BT),
0.05))</f>
        <v>1.1000000000000001</v>
      </c>
      <c r="W4" s="8">
        <f>MROUND(_xlfn.XLOOKUP(_xlfn.XLOOKUP(B4,'Base stats'!B:B,'Base stats'!E:E),Groups!A:A,Groups!BF:BF)*_xlfn.XLOOKUP(B4,'Base stats'!B:B,'Base stats'!C:C)^-0.165,0.01)</f>
        <v>0.52</v>
      </c>
      <c r="X4" s="1">
        <f>MROUND(_xlfn.XLOOKUP(_xlfn.XLOOKUP(B4,'Base stats'!B:B,'Base stats'!E:E),Groups!A:A,Groups!BG:BG)*_xlfn.XLOOKUP(B4,'Base stats'!B:B,'Base stats'!C:C)^0.165,0.01)</f>
        <v>0.13</v>
      </c>
      <c r="Y4" s="8">
        <f>MROUND(_xlfn.XLOOKUP(_xlfn.XLOOKUP(B4,'Base stats'!B:B,'Base stats'!E:E),Groups!A:A,Groups!BH:BH)*_xlfn.XLOOKUP(B4,'Base stats'!B:B,'Base stats'!C:C)^0.165,0.01)</f>
        <v>0.03</v>
      </c>
      <c r="Z4" s="18">
        <f>_xlfn.XLOOKUP(B4,'Base stats'!B:B,'Base stats'!AN:AN)*_xlfn.XLOOKUP(_xlfn.XLOOKUP(B4,'Base stats'!B:B,'Base stats'!E:E),Groups!A:A,Groups!H:H)/1000</f>
        <v>4.1696323773021411E-2</v>
      </c>
      <c r="AA4" s="18">
        <f>(1/2)*(_xlfn.XLOOKUP(_xlfn.XLOOKUP(B4,'Base stats'!B:B,'Base stats'!E:E),Groups!A:A,Groups!H:H)*_xlfn.XLOOKUP(_xlfn.XLOOKUP(B4,'Base stats'!B:B,'Base stats'!E:E),Groups!A:A,Groups!I:I))*_xlfn.XLOOKUP(B4,'Base stats'!B:B,'Base stats'!AN:AN)*0.01</f>
        <v>0.31272242829766067</v>
      </c>
      <c r="AB4" s="18">
        <f>250*(Animals!AN4+Animals!AO4)</f>
        <v>187.5</v>
      </c>
      <c r="AC4" s="18" t="str">
        <f>_xlfn.XLOOKUP(_xlfn.XLOOKUP(B4,'Base stats'!B:B,'Base stats'!E:E),Groups!A:A,Groups!BI:BI)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stats'!BP:BP) * (_xlfn.XLOOKUP(B5,'Base stats'!B:B,'Base stats'!AL:AL)*5%)^0.9 / 21,0.1),0.05)</f>
        <v>3.3000000000000003</v>
      </c>
      <c r="E5" s="11">
        <f>MAX(0.01,MROUND(_xlfn.XLOOKUP(B5,'Base stats'!B:B,'Base stats'!BD:BD) * 0.01 * 2, 0.01))</f>
        <v>2.84</v>
      </c>
      <c r="F5" s="7">
        <f>MROUND(_xlfn.XLOOKUP(B5,'Base stats'!B:B,'Base stats'!BA:BA)^0.25 / (_xlfn.XLOOKUP(B5,'Base stats'!B:B,'Base stats'!BH:BH) * 10) * 150 + 0.5 + _xlfn.XLOOKUP(B5,'Base stats'!B:B,'Base stats'!BT:BT), 0.05)</f>
        <v>1.6500000000000001</v>
      </c>
      <c r="G5" s="3">
        <f>IF(Animals!R5="No","No",
IF(_xlfn.XLOOKUP(B5,'Base stats'!B:B,'Base stats'!U:U)="No",
MAX(MROUND(_xlfn.XLOOKUP(B5,'Base stats'!B:B,'Base stats'!BQ:BQ) * _xlfn.XLOOKUP(B5,'Base stats'!B:B,'Base stats'!BM:BM)^0.9 / 21 * _xlfn.XLOOKUP(B5,'Base stats'!B:B,'Base stats'!BU:BU),0.1),0.05),
MAX(MROUND(((MIN(10,_xlfn.XLOOKUP(B5,'Base stats'!B:B,'Base stats'!U:U)))^0.4*_xlfn.XLOOKUP(B5,'Base stats'!B:B,'Base stats'!BE:BE)^0.73)^0.6 * _xlfn.XLOOKUP(B5,'Base stats'!B:B,'Base stats'!BU:BU),0.1),0.05)
))</f>
        <v>14.5</v>
      </c>
      <c r="H5" s="11">
        <f>IF(G5="No","No",
MAX(0.01,MROUND(_xlfn.XLOOKUP(B5,'Base stats'!B:B,'Base stats'!BE:BE) * 0.01 * 2, 0.01))
)</f>
        <v>3.56</v>
      </c>
      <c r="I5" s="11">
        <f>IF(G5="No","No",IF(_xlfn.XLOOKUP(B5,'Base stats'!B:B,'Base stats'!U:U)="No","No",
MAX(0.01,MROUND(_xlfn.XLOOKUP(B5,'Base stats'!B:B,'Base stats'!BQ:BQ)/10000,0.01))
))</f>
        <v>0.18</v>
      </c>
      <c r="J5" s="4">
        <f>IF(G5="No","No",
MROUND(_xlfn.XLOOKUP(B5,'Base stats'!B:B,'Base stats'!BB:BB)^0.25
/((_xlfn.XLOOKUP(B5,'Base stats'!B:B,'Base stats'!BI:BI))*10)*_xlfn.XLOOKUP(_xlfn.XLOOKUP(B5,'Base stats'!B:B,'Base stats'!E:E),Groups!A:A,Groups!Q:Q)*150 + 0.5 + _xlfn.XLOOKUP(B5,'Base stats'!B:B,'Base stats'!BT:BT),
0.05))</f>
        <v>3.25</v>
      </c>
      <c r="K5" s="3" t="str">
        <f>IF(Animals!W5="No","No",
IF(_xlfn.XLOOKUP(_xlfn.XLOOKUP(B5,'Base stats'!B:B,'Base stats'!E:E),Groups!A:A,Groups!BC:BC)=1,
MAX(MROUND(_xlfn.XLOOKUP(B5,'Base stats'!B:B,'Base stats'!BR:BR) * _xlfn.XLOOKUP(B5,'Base stats'!B:B,'Base stats'!BN:BN)^0.9 / 21 *_xlfn.XLOOKUP(B5,'Base stats'!B:B,'Base stats'!BU:BU),0.1),0.05),
MAX(MROUND(((MIN(10,_xlfn.XLOOKUP(B5,'Base stats'!B:B,'Base stats'!W:W)))^0.4*_xlfn.XLOOKUP(B5,'Base stats'!B:B,'Base stats'!BF:BF)^0.73)^0.6 *_xlfn.XLOOKUP(B5,'Base stats'!B:B,'Base stats'!BU:BU),0.1),0.05)
))</f>
        <v>No</v>
      </c>
      <c r="L5" s="11" t="str">
        <f>IF(K5="No","No",
MAX(0.01,MROUND(_xlfn.XLOOKUP(B5,'Base stats'!B:B,'Base stats'!BF:BF) * 0.01 *2, 0.01))
)</f>
        <v>No</v>
      </c>
      <c r="M5" s="5" t="str">
        <f>IF(K5="No","No",IF(_xlfn.XLOOKUP(_xlfn.XLOOKUP(B5,'Base stats'!B:B,'Base stats'!E:E),Groups!A:A,Groups!BC:BC)=1,"No",
MAX(0.01,MROUND(_xlfn.XLOOKUP(B5,'Base stats'!B:B,'Base stats'!BR:BR)/10000,0.01))
))</f>
        <v>No</v>
      </c>
      <c r="N5" s="4" t="str">
        <f>IF(K5="No","No",
MROUND(
  _xlfn.XLOOKUP(B5,'Base stats'!B:B,'Base stats'!AZ:AZ)^0.25
  / (_xlfn.XLOOKUP(B5,'Base stats'!B:B,'Base stats'!BJ:BJ)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stats'!BT:BT),
0.05))</f>
        <v>No</v>
      </c>
      <c r="O5" s="3">
        <f>IF(Animals!AC5="No","No",
MAX(MROUND((MIN(10,_xlfn.XLOOKUP(B5,'Base stats'!B:B,'Base stats'!V:V)*IF(_xlfn.XLOOKUP(_xlfn.XLOOKUP(B5,'Base stats'!B:B,'Base stats'!E:E),Groups!A:A,Groups!O:O)=0,1,0.33))^0.4*_xlfn.XLOOKUP(B5,'Base stats'!B:B,'Base stats'!BG:BG)^0.73)^0.6 *_xlfn.XLOOKUP(B5,'Base stats'!B:B,'Base stats'!BU:BU),0.1),0.05)
)</f>
        <v>4.7</v>
      </c>
      <c r="P5" s="11">
        <f>IF(O5="No","No",
MAX(0.01,MROUND(_xlfn.XLOOKUP(B5,'Base stats'!B:B,'Base stats'!BG:BG) * 0.01 * 2, 0.01))
)</f>
        <v>0.46</v>
      </c>
      <c r="Q5" s="5">
        <f>IF(O5="No","No",
MAX(0.01,MROUND(_xlfn.XLOOKUP(B5,'Base stats'!B:B,'Base stats'!BS:BS)/10000,0.01))
)</f>
        <v>0.02</v>
      </c>
      <c r="R5" s="4">
        <f>IF(O5="No","No",
MROUND(_xlfn.XLOOKUP(B5,'Base stats'!B:B,'Base stats'!AY:AY)^0.25
/((_xlfn.XLOOKUP(B5,'Base stats'!B:B,'Base stats'!BK:BK))*10)*_xlfn.XLOOKUP(_xlfn.XLOOKUP(B5,'Base stats'!B:B,'Base stats'!E:E),Groups!A:A,Groups!Z:Z)*150 + 0.5 + _xlfn.XLOOKUP(B5,'Base stats'!B:B,'Base stats'!BT:BT),
0.05))</f>
        <v>2.5</v>
      </c>
      <c r="S5" s="3" t="str">
        <f>IF(Animals!AH5="No","No",
IF(_xlfn.XLOOKUP(B5,'Base stats'!B:B,'Base stats'!U:U)="No",
MAX(MROUND(_xlfn.XLOOKUP(B5,'Base stats'!B:B,'Base stats'!BQ:BQ) * _xlfn.XLOOKUP(B5,'Base stats'!B:B,'Base stats'!BM:BM)^0.9 / 21 * _xlfn.XLOOKUP(B5,'Base stats'!B:B,'Base stats'!BU:BU),0.1),0.05),
MAX(MROUND(((MIN(12,_xlfn.XLOOKUP(B5,'Base stats'!B:B,'Base stats'!U:U)))^0.4*_xlfn.XLOOKUP(B5,'Base stats'!B:B,'Base stats'!BE:BE)^0.73)^0.6 * _xlfn.XLOOKUP(B5,'Base stats'!B:B,'Base stats'!BU:BU),0.1),0.05)
))</f>
        <v>No</v>
      </c>
      <c r="T5" s="11" t="str">
        <f>IF(S5="No","No",
MAX(0.01,MROUND(_xlfn.XLOOKUP(B5,'Base stats'!B:B,'Base stats'!BE:BE) * 0.01 * 2, 0.01))
)</f>
        <v>No</v>
      </c>
      <c r="U5" s="5" t="str">
        <f>IF(S5="No","No",IF(_xlfn.XLOOKUP(B5,'Base stats'!B:B,'Base stats'!U:U)="No","No",
MAX(0.01,MROUND(_xlfn.XLOOKUP(B5,'Base stats'!B:B,'Base stats'!BQ:BQ)/10000,0.01))
))</f>
        <v>No</v>
      </c>
      <c r="V5" s="4" t="str">
        <f>IF(S5="No","No",
MROUND(_xlfn.XLOOKUP(B5,'Base stats'!B:B,'Base stats'!BC:BC)^0.25
/((_xlfn.XLOOKUP(B5,'Base stats'!B:B,'Base stats'!BL:BL))*10)*_xlfn.XLOOKUP(_xlfn.XLOOKUP(B5,'Base stats'!B:B,'Base stats'!E:E),Groups!A:A,Groups!AE:AE)*150 + 0.5 + _xlfn.XLOOKUP(B5,'Base stats'!B:B,'Base stats'!BT:BT),
0.05))</f>
        <v>No</v>
      </c>
      <c r="W5" s="8">
        <f>MROUND(_xlfn.XLOOKUP(_xlfn.XLOOKUP(B5,'Base stats'!B:B,'Base stats'!E:E),Groups!A:A,Groups!BF:BF)*_xlfn.XLOOKUP(B5,'Base stats'!B:B,'Base stats'!C:C)^-0.165,0.01)</f>
        <v>0.46</v>
      </c>
      <c r="X5" s="1">
        <f>MROUND(_xlfn.XLOOKUP(_xlfn.XLOOKUP(B5,'Base stats'!B:B,'Base stats'!E:E),Groups!A:A,Groups!BG:BG)*_xlfn.XLOOKUP(B5,'Base stats'!B:B,'Base stats'!C:C)^0.165,0.01)</f>
        <v>0</v>
      </c>
      <c r="Y5" s="8">
        <f>MROUND(_xlfn.XLOOKUP(_xlfn.XLOOKUP(B5,'Base stats'!B:B,'Base stats'!E:E),Groups!A:A,Groups!BH:BH)*_xlfn.XLOOKUP(B5,'Base stats'!B:B,'Base stats'!C:C)^0.165,0.01)</f>
        <v>0</v>
      </c>
      <c r="Z5" s="18">
        <f>_xlfn.XLOOKUP(B5,'Base stats'!B:B,'Base stats'!AN:AN)*_xlfn.XLOOKUP(_xlfn.XLOOKUP(B5,'Base stats'!B:B,'Base stats'!E:E),Groups!A:A,Groups!H:H)/1000</f>
        <v>3.4332074983824748E-3</v>
      </c>
      <c r="AA5" s="18">
        <f>(1/2)*(_xlfn.XLOOKUP(_xlfn.XLOOKUP(B5,'Base stats'!B:B,'Base stats'!E:E),Groups!A:A,Groups!H:H)*_xlfn.XLOOKUP(_xlfn.XLOOKUP(B5,'Base stats'!B:B,'Base stats'!E:E),Groups!A:A,Groups!I:I))*_xlfn.XLOOKUP(B5,'Base stats'!B:B,'Base stats'!AN:AN)*0.01</f>
        <v>1.7166037491912374E-2</v>
      </c>
      <c r="AB5" s="18">
        <f>250*(Animals!AN5+Animals!AO5)</f>
        <v>650</v>
      </c>
      <c r="AC5" s="18" t="str">
        <f>_xlfn.XLOOKUP(_xlfn.XLOOKUP(B5,'Base stats'!B:B,'Base stats'!E:E),Groups!A:A,Groups!BI:BI)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stats'!BP:BP) * (_xlfn.XLOOKUP(B6,'Base stats'!B:B,'Base stats'!AL:AL)*5%)^0.9 / 21,0.1),0.05)</f>
        <v>1.5</v>
      </c>
      <c r="E6" s="11">
        <f>MAX(0.01,MROUND(_xlfn.XLOOKUP(B6,'Base stats'!B:B,'Base stats'!BD:BD) * 0.01 * 2, 0.01))</f>
        <v>1.23</v>
      </c>
      <c r="F6" s="7">
        <f>MROUND(_xlfn.XLOOKUP(B6,'Base stats'!B:B,'Base stats'!BA:BA)^0.25 / (_xlfn.XLOOKUP(B6,'Base stats'!B:B,'Base stats'!BH:BH) * 10) * 150 + 0.5 + _xlfn.XLOOKUP(B6,'Base stats'!B:B,'Base stats'!BT:BT), 0.05)</f>
        <v>1.55</v>
      </c>
      <c r="G6" s="3">
        <f>IF(Animals!R6="No","No",
IF(_xlfn.XLOOKUP(B6,'Base stats'!B:B,'Base stats'!U:U)="No",
MAX(MROUND(_xlfn.XLOOKUP(B6,'Base stats'!B:B,'Base stats'!BQ:BQ) * _xlfn.XLOOKUP(B6,'Base stats'!B:B,'Base stats'!BM:BM)^0.9 / 21 * _xlfn.XLOOKUP(B6,'Base stats'!B:B,'Base stats'!BU:BU),0.1),0.05),
MAX(MROUND(((MIN(10,_xlfn.XLOOKUP(B6,'Base stats'!B:B,'Base stats'!U:U)))^0.4*_xlfn.XLOOKUP(B6,'Base stats'!B:B,'Base stats'!BE:BE)^0.73)^0.6 * _xlfn.XLOOKUP(B6,'Base stats'!B:B,'Base stats'!BU:BU),0.1),0.05)
))</f>
        <v>11.9</v>
      </c>
      <c r="H6" s="11">
        <f>IF(G6="No","No",
MAX(0.01,MROUND(_xlfn.XLOOKUP(B6,'Base stats'!B:B,'Base stats'!BE:BE) * 0.01 * 2, 0.01))
)</f>
        <v>1.62</v>
      </c>
      <c r="I6" s="11">
        <f>IF(G6="No","No",IF(_xlfn.XLOOKUP(B6,'Base stats'!B:B,'Base stats'!U:U)="No","No",
MAX(0.01,MROUND(_xlfn.XLOOKUP(B6,'Base stats'!B:B,'Base stats'!BQ:BQ)/10000,0.01))
))</f>
        <v>0.12</v>
      </c>
      <c r="J6" s="4">
        <f>IF(G6="No","No",
MROUND(_xlfn.XLOOKUP(B6,'Base stats'!B:B,'Base stats'!BB:BB)^0.25
/((_xlfn.XLOOKUP(B6,'Base stats'!B:B,'Base stats'!BI:BI))*10)*_xlfn.XLOOKUP(_xlfn.XLOOKUP(B6,'Base stats'!B:B,'Base stats'!E:E),Groups!A:A,Groups!Q:Q)*150 + 0.5 + _xlfn.XLOOKUP(B6,'Base stats'!B:B,'Base stats'!BT:BT),
0.05))</f>
        <v>2.5500000000000003</v>
      </c>
      <c r="K6" s="3" t="str">
        <f>IF(Animals!W6="No","No",
IF(_xlfn.XLOOKUP(_xlfn.XLOOKUP(B6,'Base stats'!B:B,'Base stats'!E:E),Groups!A:A,Groups!BC:BC)=1,
MAX(MROUND(_xlfn.XLOOKUP(B6,'Base stats'!B:B,'Base stats'!BR:BR) * _xlfn.XLOOKUP(B6,'Base stats'!B:B,'Base stats'!BN:BN)^0.9 / 21 *_xlfn.XLOOKUP(B6,'Base stats'!B:B,'Base stats'!BU:BU),0.1),0.05),
MAX(MROUND(((MIN(10,_xlfn.XLOOKUP(B6,'Base stats'!B:B,'Base stats'!W:W)))^0.4*_xlfn.XLOOKUP(B6,'Base stats'!B:B,'Base stats'!BF:BF)^0.73)^0.6 *_xlfn.XLOOKUP(B6,'Base stats'!B:B,'Base stats'!BU:BU),0.1),0.05)
))</f>
        <v>No</v>
      </c>
      <c r="L6" s="11" t="str">
        <f>IF(K6="No","No",
MAX(0.01,MROUND(_xlfn.XLOOKUP(B6,'Base stats'!B:B,'Base stats'!BF:BF) * 0.01 *2, 0.01))
)</f>
        <v>No</v>
      </c>
      <c r="M6" s="5" t="str">
        <f>IF(K6="No","No",IF(_xlfn.XLOOKUP(_xlfn.XLOOKUP(B6,'Base stats'!B:B,'Base stats'!E:E),Groups!A:A,Groups!BC:BC)=1,"No",
MAX(0.01,MROUND(_xlfn.XLOOKUP(B6,'Base stats'!B:B,'Base stats'!BR:BR)/10000,0.01))
))</f>
        <v>No</v>
      </c>
      <c r="N6" s="4" t="str">
        <f>IF(K6="No","No",
MROUND(
  _xlfn.XLOOKUP(B6,'Base stats'!B:B,'Base stats'!AZ:AZ)^0.25
  / (_xlfn.XLOOKUP(B6,'Base stats'!B:B,'Base stats'!BJ:BJ)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stats'!BT:BT),
0.05))</f>
        <v>No</v>
      </c>
      <c r="O6" s="3">
        <f>IF(Animals!AC6="No","No",
MAX(MROUND((MIN(10,_xlfn.XLOOKUP(B6,'Base stats'!B:B,'Base stats'!V:V)*IF(_xlfn.XLOOKUP(_xlfn.XLOOKUP(B6,'Base stats'!B:B,'Base stats'!E:E),Groups!A:A,Groups!O:O)=0,1,0.33))^0.4*_xlfn.XLOOKUP(B6,'Base stats'!B:B,'Base stats'!BG:BG)^0.73)^0.6 *_xlfn.XLOOKUP(B6,'Base stats'!B:B,'Base stats'!BU:BU),0.1),0.05)
)</f>
        <v>4.2</v>
      </c>
      <c r="P6" s="11">
        <f>IF(O6="No","No",
MAX(0.01,MROUND(_xlfn.XLOOKUP(B6,'Base stats'!B:B,'Base stats'!BG:BG) * 0.01 * 2, 0.01))
)</f>
        <v>0.23</v>
      </c>
      <c r="Q6" s="5">
        <f>IF(O6="No","No",
MAX(0.01,MROUND(_xlfn.XLOOKUP(B6,'Base stats'!B:B,'Base stats'!BS:BS)/10000,0.01))
)</f>
        <v>0.02</v>
      </c>
      <c r="R6" s="4">
        <f>IF(O6="No","No",
MROUND(_xlfn.XLOOKUP(B6,'Base stats'!B:B,'Base stats'!AY:AY)^0.25
/((_xlfn.XLOOKUP(B6,'Base stats'!B:B,'Base stats'!BK:BK))*10)*_xlfn.XLOOKUP(_xlfn.XLOOKUP(B6,'Base stats'!B:B,'Base stats'!E:E),Groups!A:A,Groups!Z:Z)*150 + 0.5 + _xlfn.XLOOKUP(B6,'Base stats'!B:B,'Base stats'!BT:BT),
0.05))</f>
        <v>2.25</v>
      </c>
      <c r="S6" s="3" t="str">
        <f>IF(Animals!AH6="No","No",
IF(_xlfn.XLOOKUP(B6,'Base stats'!B:B,'Base stats'!U:U)="No",
MAX(MROUND(_xlfn.XLOOKUP(B6,'Base stats'!B:B,'Base stats'!BQ:BQ) * _xlfn.XLOOKUP(B6,'Base stats'!B:B,'Base stats'!BM:BM)^0.9 / 21 * _xlfn.XLOOKUP(B6,'Base stats'!B:B,'Base stats'!BU:BU),0.1),0.05),
MAX(MROUND(((MIN(12,_xlfn.XLOOKUP(B6,'Base stats'!B:B,'Base stats'!U:U)))^0.4*_xlfn.XLOOKUP(B6,'Base stats'!B:B,'Base stats'!BE:BE)^0.73)^0.6 * _xlfn.XLOOKUP(B6,'Base stats'!B:B,'Base stats'!BU:BU),0.1),0.05)
))</f>
        <v>No</v>
      </c>
      <c r="T6" s="11" t="str">
        <f>IF(S6="No","No",
MAX(0.01,MROUND(_xlfn.XLOOKUP(B6,'Base stats'!B:B,'Base stats'!BE:BE) * 0.01 * 2, 0.01))
)</f>
        <v>No</v>
      </c>
      <c r="U6" s="5" t="str">
        <f>IF(S6="No","No",IF(_xlfn.XLOOKUP(B6,'Base stats'!B:B,'Base stats'!U:U)="No","No",
MAX(0.01,MROUND(_xlfn.XLOOKUP(B6,'Base stats'!B:B,'Base stats'!BQ:BQ)/10000,0.01))
))</f>
        <v>No</v>
      </c>
      <c r="V6" s="4" t="str">
        <f>IF(S6="No","No",
MROUND(_xlfn.XLOOKUP(B6,'Base stats'!B:B,'Base stats'!BC:BC)^0.25
/((_xlfn.XLOOKUP(B6,'Base stats'!B:B,'Base stats'!BL:BL))*10)*_xlfn.XLOOKUP(_xlfn.XLOOKUP(B6,'Base stats'!B:B,'Base stats'!E:E),Groups!A:A,Groups!AE:AE)*150 + 0.5 + _xlfn.XLOOKUP(B6,'Base stats'!B:B,'Base stats'!BT:BT),
0.05))</f>
        <v>No</v>
      </c>
      <c r="W6" s="8">
        <f>MROUND(_xlfn.XLOOKUP(_xlfn.XLOOKUP(B6,'Base stats'!B:B,'Base stats'!E:E),Groups!A:A,Groups!BF:BF)*_xlfn.XLOOKUP(B6,'Base stats'!B:B,'Base stats'!C:C)^-0.165,0.01)</f>
        <v>0.54</v>
      </c>
      <c r="X6" s="1">
        <f>MROUND(_xlfn.XLOOKUP(_xlfn.XLOOKUP(B6,'Base stats'!B:B,'Base stats'!E:E),Groups!A:A,Groups!BG:BG)*_xlfn.XLOOKUP(B6,'Base stats'!B:B,'Base stats'!C:C)^0.165,0.01)</f>
        <v>0</v>
      </c>
      <c r="Y6" s="8">
        <f>MROUND(_xlfn.XLOOKUP(_xlfn.XLOOKUP(B6,'Base stats'!B:B,'Base stats'!E:E),Groups!A:A,Groups!BH:BH)*_xlfn.XLOOKUP(B6,'Base stats'!B:B,'Base stats'!C:C)^0.165,0.01)</f>
        <v>0</v>
      </c>
      <c r="Z6" s="18">
        <f>_xlfn.XLOOKUP(B6,'Base stats'!B:B,'Base stats'!AN:AN)*_xlfn.XLOOKUP(_xlfn.XLOOKUP(B6,'Base stats'!B:B,'Base stats'!E:E),Groups!A:A,Groups!H:H)/1000</f>
        <v>2.6251714032681662E-3</v>
      </c>
      <c r="AA6" s="18">
        <f>(1/2)*(_xlfn.XLOOKUP(_xlfn.XLOOKUP(B6,'Base stats'!B:B,'Base stats'!E:E),Groups!A:A,Groups!H:H)*_xlfn.XLOOKUP(_xlfn.XLOOKUP(B6,'Base stats'!B:B,'Base stats'!E:E),Groups!A:A,Groups!I:I))*_xlfn.XLOOKUP(B6,'Base stats'!B:B,'Base stats'!AN:AN)*0.01</f>
        <v>1.3125857016340833E-2</v>
      </c>
      <c r="AB6" s="18">
        <f>250*(Animals!AN6+Animals!AO6)</f>
        <v>400</v>
      </c>
      <c r="AC6" s="18" t="str">
        <f>_xlfn.XLOOKUP(_xlfn.XLOOKUP(B6,'Base stats'!B:B,'Base stats'!E:E),Groups!A:A,Groups!BI:BI)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stats'!BP:BP) * (_xlfn.XLOOKUP(B7,'Base stats'!B:B,'Base stats'!AL:AL)*5%)^0.9 / 21,0.1),0.05)</f>
        <v>1.4000000000000001</v>
      </c>
      <c r="E7" s="11">
        <f>MAX(0.01,MROUND(_xlfn.XLOOKUP(B7,'Base stats'!B:B,'Base stats'!BD:BD) * 0.01 * 2, 0.01))</f>
        <v>1.1000000000000001</v>
      </c>
      <c r="F7" s="7">
        <f>MROUND(_xlfn.XLOOKUP(B7,'Base stats'!B:B,'Base stats'!BA:BA)^0.25 / (_xlfn.XLOOKUP(B7,'Base stats'!B:B,'Base stats'!BH:BH) * 10) * 150 + 0.5 + _xlfn.XLOOKUP(B7,'Base stats'!B:B,'Base stats'!BT:BT), 0.05)</f>
        <v>1.5</v>
      </c>
      <c r="G7" s="3">
        <f>IF(Animals!R7="No","No",
IF(_xlfn.XLOOKUP(B7,'Base stats'!B:B,'Base stats'!U:U)="No",
MAX(MROUND(_xlfn.XLOOKUP(B7,'Base stats'!B:B,'Base stats'!BQ:BQ) * _xlfn.XLOOKUP(B7,'Base stats'!B:B,'Base stats'!BM:BM)^0.9 / 21 * _xlfn.XLOOKUP(B7,'Base stats'!B:B,'Base stats'!BU:BU),0.1),0.05),
MAX(MROUND(((MIN(10,_xlfn.XLOOKUP(B7,'Base stats'!B:B,'Base stats'!U:U)))^0.4*_xlfn.XLOOKUP(B7,'Base stats'!B:B,'Base stats'!BE:BE)^0.73)^0.6 * _xlfn.XLOOKUP(B7,'Base stats'!B:B,'Base stats'!BU:BU),0.1),0.05)
))</f>
        <v>8.2000000000000011</v>
      </c>
      <c r="H7" s="11">
        <f>IF(G7="No","No",
MAX(0.01,MROUND(_xlfn.XLOOKUP(B7,'Base stats'!B:B,'Base stats'!BE:BE) * 0.01 * 2, 0.01))
)</f>
        <v>1.46</v>
      </c>
      <c r="I7" s="11">
        <f>IF(G7="No","No",IF(_xlfn.XLOOKUP(B7,'Base stats'!B:B,'Base stats'!U:U)="No","No",
MAX(0.01,MROUND(_xlfn.XLOOKUP(B7,'Base stats'!B:B,'Base stats'!BQ:BQ)/10000,0.01))
))</f>
        <v>0.11</v>
      </c>
      <c r="J7" s="4">
        <f>IF(G7="No","No",
MROUND(_xlfn.XLOOKUP(B7,'Base stats'!B:B,'Base stats'!BB:BB)^0.25
/((_xlfn.XLOOKUP(B7,'Base stats'!B:B,'Base stats'!BI:BI))*10)*_xlfn.XLOOKUP(_xlfn.XLOOKUP(B7,'Base stats'!B:B,'Base stats'!E:E),Groups!A:A,Groups!Q:Q)*150 + 0.5 + _xlfn.XLOOKUP(B7,'Base stats'!B:B,'Base stats'!BT:BT),
0.05))</f>
        <v>2.75</v>
      </c>
      <c r="K7" s="3" t="str">
        <f>IF(Animals!W7="No","No",
IF(_xlfn.XLOOKUP(_xlfn.XLOOKUP(B7,'Base stats'!B:B,'Base stats'!E:E),Groups!A:A,Groups!BC:BC)=1,
MAX(MROUND(_xlfn.XLOOKUP(B7,'Base stats'!B:B,'Base stats'!BR:BR) * _xlfn.XLOOKUP(B7,'Base stats'!B:B,'Base stats'!BN:BN)^0.9 / 21 *_xlfn.XLOOKUP(B7,'Base stats'!B:B,'Base stats'!BU:BU),0.1),0.05),
MAX(MROUND(((MIN(10,_xlfn.XLOOKUP(B7,'Base stats'!B:B,'Base stats'!W:W)))^0.4*_xlfn.XLOOKUP(B7,'Base stats'!B:B,'Base stats'!BF:BF)^0.73)^0.6 *_xlfn.XLOOKUP(B7,'Base stats'!B:B,'Base stats'!BU:BU),0.1),0.05)
))</f>
        <v>No</v>
      </c>
      <c r="L7" s="11" t="str">
        <f>IF(K7="No","No",
MAX(0.01,MROUND(_xlfn.XLOOKUP(B7,'Base stats'!B:B,'Base stats'!BF:BF) * 0.01 *2, 0.01))
)</f>
        <v>No</v>
      </c>
      <c r="M7" s="5" t="str">
        <f>IF(K7="No","No",IF(_xlfn.XLOOKUP(_xlfn.XLOOKUP(B7,'Base stats'!B:B,'Base stats'!E:E),Groups!A:A,Groups!BC:BC)=1,"No",
MAX(0.01,MROUND(_xlfn.XLOOKUP(B7,'Base stats'!B:B,'Base stats'!BR:BR)/10000,0.01))
))</f>
        <v>No</v>
      </c>
      <c r="N7" s="4" t="str">
        <f>IF(K7="No","No",
MROUND(
  _xlfn.XLOOKUP(B7,'Base stats'!B:B,'Base stats'!AZ:AZ)^0.25
  / (_xlfn.XLOOKUP(B7,'Base stats'!B:B,'Base stats'!BJ:BJ)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stats'!BT:BT),
0.05))</f>
        <v>No</v>
      </c>
      <c r="O7" s="3">
        <f>IF(Animals!AC7="No","No",
MAX(MROUND((MIN(10,_xlfn.XLOOKUP(B7,'Base stats'!B:B,'Base stats'!V:V)*IF(_xlfn.XLOOKUP(_xlfn.XLOOKUP(B7,'Base stats'!B:B,'Base stats'!E:E),Groups!A:A,Groups!O:O)=0,1,0.33))^0.4*_xlfn.XLOOKUP(B7,'Base stats'!B:B,'Base stats'!BG:BG)^0.73)^0.6 *_xlfn.XLOOKUP(B7,'Base stats'!B:B,'Base stats'!BU:BU),0.1),0.05)
)</f>
        <v>3.3000000000000003</v>
      </c>
      <c r="P7" s="11">
        <f>IF(O7="No","No",
MAX(0.01,MROUND(_xlfn.XLOOKUP(B7,'Base stats'!B:B,'Base stats'!BG:BG) * 0.01 * 2, 0.01))
)</f>
        <v>0.21</v>
      </c>
      <c r="Q7" s="5">
        <f>IF(O7="No","No",
MAX(0.01,MROUND(_xlfn.XLOOKUP(B7,'Base stats'!B:B,'Base stats'!BS:BS)/10000,0.01))
)</f>
        <v>0.02</v>
      </c>
      <c r="R7" s="4">
        <f>IF(O7="No","No",
MROUND(_xlfn.XLOOKUP(B7,'Base stats'!B:B,'Base stats'!AY:AY)^0.25
/((_xlfn.XLOOKUP(B7,'Base stats'!B:B,'Base stats'!BK:BK))*10)*_xlfn.XLOOKUP(_xlfn.XLOOKUP(B7,'Base stats'!B:B,'Base stats'!E:E),Groups!A:A,Groups!Z:Z)*150 + 0.5 + _xlfn.XLOOKUP(B7,'Base stats'!B:B,'Base stats'!BT:BT),
0.05))</f>
        <v>2.2000000000000002</v>
      </c>
      <c r="S7" s="3" t="str">
        <f>IF(Animals!AH7="No","No",
IF(_xlfn.XLOOKUP(B7,'Base stats'!B:B,'Base stats'!U:U)="No",
MAX(MROUND(_xlfn.XLOOKUP(B7,'Base stats'!B:B,'Base stats'!BQ:BQ) * _xlfn.XLOOKUP(B7,'Base stats'!B:B,'Base stats'!BM:BM)^0.9 / 21 * _xlfn.XLOOKUP(B7,'Base stats'!B:B,'Base stats'!BU:BU),0.1),0.05),
MAX(MROUND(((MIN(12,_xlfn.XLOOKUP(B7,'Base stats'!B:B,'Base stats'!U:U)))^0.4*_xlfn.XLOOKUP(B7,'Base stats'!B:B,'Base stats'!BE:BE)^0.73)^0.6 * _xlfn.XLOOKUP(B7,'Base stats'!B:B,'Base stats'!BU:BU),0.1),0.05)
))</f>
        <v>No</v>
      </c>
      <c r="T7" s="11" t="str">
        <f>IF(S7="No","No",
MAX(0.01,MROUND(_xlfn.XLOOKUP(B7,'Base stats'!B:B,'Base stats'!BE:BE) * 0.01 * 2, 0.01))
)</f>
        <v>No</v>
      </c>
      <c r="U7" s="5" t="str">
        <f>IF(S7="No","No",IF(_xlfn.XLOOKUP(B7,'Base stats'!B:B,'Base stats'!U:U)="No","No",
MAX(0.01,MROUND(_xlfn.XLOOKUP(B7,'Base stats'!B:B,'Base stats'!BQ:BQ)/10000,0.01))
))</f>
        <v>No</v>
      </c>
      <c r="V7" s="4" t="str">
        <f>IF(S7="No","No",
MROUND(_xlfn.XLOOKUP(B7,'Base stats'!B:B,'Base stats'!BC:BC)^0.25
/((_xlfn.XLOOKUP(B7,'Base stats'!B:B,'Base stats'!BL:BL))*10)*_xlfn.XLOOKUP(_xlfn.XLOOKUP(B7,'Base stats'!B:B,'Base stats'!E:E),Groups!A:A,Groups!AE:AE)*150 + 0.5 + _xlfn.XLOOKUP(B7,'Base stats'!B:B,'Base stats'!BT:BT),
0.05))</f>
        <v>No</v>
      </c>
      <c r="W7" s="8">
        <f>MROUND(_xlfn.XLOOKUP(_xlfn.XLOOKUP(B7,'Base stats'!B:B,'Base stats'!E:E),Groups!A:A,Groups!BF:BF)*_xlfn.XLOOKUP(B7,'Base stats'!B:B,'Base stats'!C:C)^-0.165,0.01)</f>
        <v>0.55000000000000004</v>
      </c>
      <c r="X7" s="1">
        <f>MROUND(_xlfn.XLOOKUP(_xlfn.XLOOKUP(B7,'Base stats'!B:B,'Base stats'!E:E),Groups!A:A,Groups!BG:BG)*_xlfn.XLOOKUP(B7,'Base stats'!B:B,'Base stats'!C:C)^0.165,0.01)</f>
        <v>0</v>
      </c>
      <c r="Y7" s="8">
        <f>MROUND(_xlfn.XLOOKUP(_xlfn.XLOOKUP(B7,'Base stats'!B:B,'Base stats'!E:E),Groups!A:A,Groups!BH:BH)*_xlfn.XLOOKUP(B7,'Base stats'!B:B,'Base stats'!C:C)^0.165,0.01)</f>
        <v>0</v>
      </c>
      <c r="Z7" s="18">
        <f>_xlfn.XLOOKUP(B7,'Base stats'!B:B,'Base stats'!AN:AN)*_xlfn.XLOOKUP(_xlfn.XLOOKUP(B7,'Base stats'!B:B,'Base stats'!E:E),Groups!A:A,Groups!H:H)/1000</f>
        <v>2.5335103842390417E-3</v>
      </c>
      <c r="AA7" s="18">
        <f>(1/2)*(_xlfn.XLOOKUP(_xlfn.XLOOKUP(B7,'Base stats'!B:B,'Base stats'!E:E),Groups!A:A,Groups!H:H)*_xlfn.XLOOKUP(_xlfn.XLOOKUP(B7,'Base stats'!B:B,'Base stats'!E:E),Groups!A:A,Groups!I:I))*_xlfn.XLOOKUP(B7,'Base stats'!B:B,'Base stats'!AN:AN)*0.01</f>
        <v>1.2667551921195208E-2</v>
      </c>
      <c r="AB7" s="18">
        <f>250*(Animals!AN7+Animals!AO7)</f>
        <v>375</v>
      </c>
      <c r="AC7" s="18" t="str">
        <f>_xlfn.XLOOKUP(_xlfn.XLOOKUP(B7,'Base stats'!B:B,'Base stats'!E:E),Groups!A:A,Groups!BI:BI)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stats'!BP:BP) * (_xlfn.XLOOKUP(B8,'Base stats'!B:B,'Base stats'!AL:AL)*5%)^0.9 / 21,0.1),0.05)</f>
        <v>0.30000000000000004</v>
      </c>
      <c r="E8" s="11">
        <f>MAX(0.01,MROUND(_xlfn.XLOOKUP(B8,'Base stats'!B:B,'Base stats'!BD:BD) * 0.01 * 2, 0.01))</f>
        <v>0.2</v>
      </c>
      <c r="F8" s="7">
        <f>MROUND(_xlfn.XLOOKUP(B8,'Base stats'!B:B,'Base stats'!BA:BA)^0.25 / (_xlfn.XLOOKUP(B8,'Base stats'!B:B,'Base stats'!BH:BH) * 10) * 150 + 0.5 + _xlfn.XLOOKUP(B8,'Base stats'!B:B,'Base stats'!BT:BT), 0.05)</f>
        <v>1.35</v>
      </c>
      <c r="G8" s="3">
        <f>IF(Animals!R8="No","No",
IF(_xlfn.XLOOKUP(B8,'Base stats'!B:B,'Base stats'!U:U)="No",
MAX(MROUND(_xlfn.XLOOKUP(B8,'Base stats'!B:B,'Base stats'!BQ:BQ) * _xlfn.XLOOKUP(B8,'Base stats'!B:B,'Base stats'!BM:BM)^0.9 / 21 * _xlfn.XLOOKUP(B8,'Base stats'!B:B,'Base stats'!BU:BU),0.1),0.05),
MAX(MROUND(((MIN(10,_xlfn.XLOOKUP(B8,'Base stats'!B:B,'Base stats'!U:U)))^0.4*_xlfn.XLOOKUP(B8,'Base stats'!B:B,'Base stats'!BE:BE)^0.73)^0.6 * _xlfn.XLOOKUP(B8,'Base stats'!B:B,'Base stats'!BU:BU),0.1),0.05)
))</f>
        <v>4.5</v>
      </c>
      <c r="H8" s="11">
        <f>IF(G8="No","No",
MAX(0.01,MROUND(_xlfn.XLOOKUP(B8,'Base stats'!B:B,'Base stats'!BE:BE) * 0.01 * 2, 0.01))
)</f>
        <v>0.3</v>
      </c>
      <c r="I8" s="11">
        <f>IF(G8="No","No",IF(_xlfn.XLOOKUP(B8,'Base stats'!B:B,'Base stats'!U:U)="No","No",
MAX(0.01,MROUND(_xlfn.XLOOKUP(B8,'Base stats'!B:B,'Base stats'!BQ:BQ)/10000,0.01))
))</f>
        <v>0.05</v>
      </c>
      <c r="J8" s="4">
        <f>IF(G8="No","No",
MROUND(_xlfn.XLOOKUP(B8,'Base stats'!B:B,'Base stats'!BB:BB)^0.25
/((_xlfn.XLOOKUP(B8,'Base stats'!B:B,'Base stats'!BI:BI))*10)*_xlfn.XLOOKUP(_xlfn.XLOOKUP(B8,'Base stats'!B:B,'Base stats'!E:E),Groups!A:A,Groups!Q:Q)*150 + 0.5 + _xlfn.XLOOKUP(B8,'Base stats'!B:B,'Base stats'!BT:BT),
0.05))</f>
        <v>2.3000000000000003</v>
      </c>
      <c r="K8" s="3" t="str">
        <f>IF(Animals!W8="No","No",
IF(_xlfn.XLOOKUP(_xlfn.XLOOKUP(B8,'Base stats'!B:B,'Base stats'!E:E),Groups!A:A,Groups!BC:BC)=1,
MAX(MROUND(_xlfn.XLOOKUP(B8,'Base stats'!B:B,'Base stats'!BR:BR) * _xlfn.XLOOKUP(B8,'Base stats'!B:B,'Base stats'!BN:BN)^0.9 / 21 *_xlfn.XLOOKUP(B8,'Base stats'!B:B,'Base stats'!BU:BU),0.1),0.05),
MAX(MROUND(((MIN(10,_xlfn.XLOOKUP(B8,'Base stats'!B:B,'Base stats'!W:W)))^0.4*_xlfn.XLOOKUP(B8,'Base stats'!B:B,'Base stats'!BF:BF)^0.73)^0.6 *_xlfn.XLOOKUP(B8,'Base stats'!B:B,'Base stats'!BU:BU),0.1),0.05)
))</f>
        <v>No</v>
      </c>
      <c r="L8" s="11" t="str">
        <f>IF(K8="No","No",
MAX(0.01,MROUND(_xlfn.XLOOKUP(B8,'Base stats'!B:B,'Base stats'!BF:BF) * 0.01 *2, 0.01))
)</f>
        <v>No</v>
      </c>
      <c r="M8" s="5" t="str">
        <f>IF(K8="No","No",IF(_xlfn.XLOOKUP(_xlfn.XLOOKUP(B8,'Base stats'!B:B,'Base stats'!E:E),Groups!A:A,Groups!BC:BC)=1,"No",
MAX(0.01,MROUND(_xlfn.XLOOKUP(B8,'Base stats'!B:B,'Base stats'!BR:BR)/10000,0.01))
))</f>
        <v>No</v>
      </c>
      <c r="N8" s="4" t="str">
        <f>IF(K8="No","No",
MROUND(
  _xlfn.XLOOKUP(B8,'Base stats'!B:B,'Base stats'!AZ:AZ)^0.25
  / (_xlfn.XLOOKUP(B8,'Base stats'!B:B,'Base stats'!BJ:BJ)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stats'!BT:BT),
0.05))</f>
        <v>No</v>
      </c>
      <c r="O8" s="3">
        <f>IF(Animals!AC8="No","No",
MAX(MROUND((MIN(10,_xlfn.XLOOKUP(B8,'Base stats'!B:B,'Base stats'!V:V)*IF(_xlfn.XLOOKUP(_xlfn.XLOOKUP(B8,'Base stats'!B:B,'Base stats'!E:E),Groups!A:A,Groups!O:O)=0,1,0.33))^0.4*_xlfn.XLOOKUP(B8,'Base stats'!B:B,'Base stats'!BG:BG)^0.73)^0.6 *_xlfn.XLOOKUP(B8,'Base stats'!B:B,'Base stats'!BU:BU),0.1),0.05)
)</f>
        <v>1.8</v>
      </c>
      <c r="P8" s="11">
        <f>IF(O8="No","No",
MAX(0.01,MROUND(_xlfn.XLOOKUP(B8,'Base stats'!B:B,'Base stats'!BG:BG) * 0.01 * 2, 0.01))
)</f>
        <v>0.05</v>
      </c>
      <c r="Q8" s="5">
        <f>IF(O8="No","No",
MAX(0.01,MROUND(_xlfn.XLOOKUP(B8,'Base stats'!B:B,'Base stats'!BS:BS)/10000,0.01))
)</f>
        <v>0.01</v>
      </c>
      <c r="R8" s="4">
        <f>IF(O8="No","No",
MROUND(_xlfn.XLOOKUP(B8,'Base stats'!B:B,'Base stats'!AY:AY)^0.25
/((_xlfn.XLOOKUP(B8,'Base stats'!B:B,'Base stats'!BK:BK))*10)*_xlfn.XLOOKUP(_xlfn.XLOOKUP(B8,'Base stats'!B:B,'Base stats'!E:E),Groups!A:A,Groups!Z:Z)*150 + 0.5 + _xlfn.XLOOKUP(B8,'Base stats'!B:B,'Base stats'!BT:BT),
0.05))</f>
        <v>2</v>
      </c>
      <c r="S8" s="3" t="str">
        <f>IF(Animals!AH8="No","No",
IF(_xlfn.XLOOKUP(B8,'Base stats'!B:B,'Base stats'!U:U)="No",
MAX(MROUND(_xlfn.XLOOKUP(B8,'Base stats'!B:B,'Base stats'!BQ:BQ) * _xlfn.XLOOKUP(B8,'Base stats'!B:B,'Base stats'!BM:BM)^0.9 / 21 * _xlfn.XLOOKUP(B8,'Base stats'!B:B,'Base stats'!BU:BU),0.1),0.05),
MAX(MROUND(((MIN(12,_xlfn.XLOOKUP(B8,'Base stats'!B:B,'Base stats'!U:U)))^0.4*_xlfn.XLOOKUP(B8,'Base stats'!B:B,'Base stats'!BE:BE)^0.73)^0.6 * _xlfn.XLOOKUP(B8,'Base stats'!B:B,'Base stats'!BU:BU),0.1),0.05)
))</f>
        <v>No</v>
      </c>
      <c r="T8" s="11" t="str">
        <f>IF(S8="No","No",
MAX(0.01,MROUND(_xlfn.XLOOKUP(B8,'Base stats'!B:B,'Base stats'!BE:BE) * 0.01 * 2, 0.01))
)</f>
        <v>No</v>
      </c>
      <c r="U8" s="5" t="str">
        <f>IF(S8="No","No",IF(_xlfn.XLOOKUP(B8,'Base stats'!B:B,'Base stats'!U:U)="No","No",
MAX(0.01,MROUND(_xlfn.XLOOKUP(B8,'Base stats'!B:B,'Base stats'!BQ:BQ)/10000,0.01))
))</f>
        <v>No</v>
      </c>
      <c r="V8" s="4" t="str">
        <f>IF(S8="No","No",
MROUND(_xlfn.XLOOKUP(B8,'Base stats'!B:B,'Base stats'!BC:BC)^0.25
/((_xlfn.XLOOKUP(B8,'Base stats'!B:B,'Base stats'!BL:BL))*10)*_xlfn.XLOOKUP(_xlfn.XLOOKUP(B8,'Base stats'!B:B,'Base stats'!E:E),Groups!A:A,Groups!AE:AE)*150 + 0.5 + _xlfn.XLOOKUP(B8,'Base stats'!B:B,'Base stats'!BT:BT),
0.05))</f>
        <v>No</v>
      </c>
      <c r="W8" s="8">
        <f>MROUND(_xlfn.XLOOKUP(_xlfn.XLOOKUP(B8,'Base stats'!B:B,'Base stats'!E:E),Groups!A:A,Groups!BF:BF)*_xlfn.XLOOKUP(B8,'Base stats'!B:B,'Base stats'!C:C)^-0.165,0.01)</f>
        <v>0.74</v>
      </c>
      <c r="X8" s="1">
        <f>MROUND(_xlfn.XLOOKUP(_xlfn.XLOOKUP(B8,'Base stats'!B:B,'Base stats'!E:E),Groups!A:A,Groups!BG:BG)*_xlfn.XLOOKUP(B8,'Base stats'!B:B,'Base stats'!C:C)^0.165,0.01)</f>
        <v>0</v>
      </c>
      <c r="Y8" s="8">
        <f>MROUND(_xlfn.XLOOKUP(_xlfn.XLOOKUP(B8,'Base stats'!B:B,'Base stats'!E:E),Groups!A:A,Groups!BH:BH)*_xlfn.XLOOKUP(B8,'Base stats'!B:B,'Base stats'!C:C)^0.165,0.01)</f>
        <v>0</v>
      </c>
      <c r="Z8" s="18">
        <f>_xlfn.XLOOKUP(B8,'Base stats'!B:B,'Base stats'!AN:AN)*_xlfn.XLOOKUP(_xlfn.XLOOKUP(B8,'Base stats'!B:B,'Base stats'!E:E),Groups!A:A,Groups!H:H)/1000</f>
        <v>1.4766087825596329E-3</v>
      </c>
      <c r="AA8" s="18">
        <f>(1/2)*(_xlfn.XLOOKUP(_xlfn.XLOOKUP(B8,'Base stats'!B:B,'Base stats'!E:E),Groups!A:A,Groups!H:H)*_xlfn.XLOOKUP(_xlfn.XLOOKUP(B8,'Base stats'!B:B,'Base stats'!E:E),Groups!A:A,Groups!I:I))*_xlfn.XLOOKUP(B8,'Base stats'!B:B,'Base stats'!AN:AN)*0.01</f>
        <v>7.383043912798164E-3</v>
      </c>
      <c r="AB8" s="18">
        <f>250*(Animals!AN8+Animals!AO8)</f>
        <v>175.00000000000003</v>
      </c>
      <c r="AC8" s="18" t="str">
        <f>_xlfn.XLOOKUP(_xlfn.XLOOKUP(B8,'Base stats'!B:B,'Base stats'!E:E),Groups!A:A,Groups!BI:BI)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stats'!BP:BP) * (_xlfn.XLOOKUP(B9,'Base stats'!B:B,'Base stats'!AL:AL)*5%)^0.9 / 21,0.1),0.05)</f>
        <v>0.30000000000000004</v>
      </c>
      <c r="E9" s="11">
        <f>MAX(0.01,MROUND(_xlfn.XLOOKUP(B9,'Base stats'!B:B,'Base stats'!BD:BD) * 0.01 * 2, 0.01))</f>
        <v>0.23</v>
      </c>
      <c r="F9" s="7">
        <f>MROUND(_xlfn.XLOOKUP(B9,'Base stats'!B:B,'Base stats'!BA:BA)^0.25 / (_xlfn.XLOOKUP(B9,'Base stats'!B:B,'Base stats'!BH:BH) * 10) * 150 + 0.5 + _xlfn.XLOOKUP(B9,'Base stats'!B:B,'Base stats'!BT:BT), 0.05)</f>
        <v>1.4000000000000001</v>
      </c>
      <c r="G9" s="3" t="str">
        <f>IF(Animals!R9="No","No",
IF(_xlfn.XLOOKUP(B9,'Base stats'!B:B,'Base stats'!U:U)="No",
MAX(MROUND(_xlfn.XLOOKUP(B9,'Base stats'!B:B,'Base stats'!BQ:BQ) * _xlfn.XLOOKUP(B9,'Base stats'!B:B,'Base stats'!BM:BM)^0.9 / 21 * _xlfn.XLOOKUP(B9,'Base stats'!B:B,'Base stats'!BU:BU),0.1),0.05),
MAX(MROUND(((MIN(10,_xlfn.XLOOKUP(B9,'Base stats'!B:B,'Base stats'!U:U)))^0.4*_xlfn.XLOOKUP(B9,'Base stats'!B:B,'Base stats'!BE:BE)^0.73)^0.6 * _xlfn.XLOOKUP(B9,'Base stats'!B:B,'Base stats'!BU:BU),0.1),0.05)
))</f>
        <v>No</v>
      </c>
      <c r="H9" s="11" t="str">
        <f>IF(G9="No","No",
MAX(0.01,MROUND(_xlfn.XLOOKUP(B9,'Base stats'!B:B,'Base stats'!BE:BE) * 0.01 * 2, 0.01))
)</f>
        <v>No</v>
      </c>
      <c r="I9" s="11" t="str">
        <f>IF(G9="No","No",IF(_xlfn.XLOOKUP(B9,'Base stats'!B:B,'Base stats'!U:U)="No","No",
MAX(0.01,MROUND(_xlfn.XLOOKUP(B9,'Base stats'!B:B,'Base stats'!BQ:BQ)/10000,0.01))
))</f>
        <v>No</v>
      </c>
      <c r="J9" s="4" t="str">
        <f>IF(G9="No","No",
MROUND(_xlfn.XLOOKUP(B9,'Base stats'!B:B,'Base stats'!BB:BB)^0.25
/((_xlfn.XLOOKUP(B9,'Base stats'!B:B,'Base stats'!BI:BI))*10)*_xlfn.XLOOKUP(_xlfn.XLOOKUP(B9,'Base stats'!B:B,'Base stats'!E:E),Groups!A:A,Groups!Q:Q)*150 + 0.5 + _xlfn.XLOOKUP(B9,'Base stats'!B:B,'Base stats'!BT:BT),
0.05))</f>
        <v>No</v>
      </c>
      <c r="K9" s="3" t="str">
        <f>IF(Animals!W9="No","No",
IF(_xlfn.XLOOKUP(_xlfn.XLOOKUP(B9,'Base stats'!B:B,'Base stats'!E:E),Groups!A:A,Groups!BC:BC)=1,
MAX(MROUND(_xlfn.XLOOKUP(B9,'Base stats'!B:B,'Base stats'!BR:BR) * _xlfn.XLOOKUP(B9,'Base stats'!B:B,'Base stats'!BN:BN)^0.9 / 21 *_xlfn.XLOOKUP(B9,'Base stats'!B:B,'Base stats'!BU:BU),0.1),0.05),
MAX(MROUND(((MIN(10,_xlfn.XLOOKUP(B9,'Base stats'!B:B,'Base stats'!W:W)))^0.4*_xlfn.XLOOKUP(B9,'Base stats'!B:B,'Base stats'!BF:BF)^0.73)^0.6 *_xlfn.XLOOKUP(B9,'Base stats'!B:B,'Base stats'!BU:BU),0.1),0.05)
))</f>
        <v>No</v>
      </c>
      <c r="L9" s="11" t="str">
        <f>IF(K9="No","No",
MAX(0.01,MROUND(_xlfn.XLOOKUP(B9,'Base stats'!B:B,'Base stats'!BF:BF) * 0.01 *2, 0.01))
)</f>
        <v>No</v>
      </c>
      <c r="M9" s="5" t="str">
        <f>IF(K9="No","No",IF(_xlfn.XLOOKUP(_xlfn.XLOOKUP(B9,'Base stats'!B:B,'Base stats'!E:E),Groups!A:A,Groups!BC:BC)=1,"No",
MAX(0.01,MROUND(_xlfn.XLOOKUP(B9,'Base stats'!B:B,'Base stats'!BR:BR)/10000,0.01))
))</f>
        <v>No</v>
      </c>
      <c r="N9" s="4" t="str">
        <f>IF(K9="No","No",
MROUND(
  _xlfn.XLOOKUP(B9,'Base stats'!B:B,'Base stats'!AZ:AZ)^0.25
  / (_xlfn.XLOOKUP(B9,'Base stats'!B:B,'Base stats'!BJ:BJ)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stats'!BT:BT),
0.05))</f>
        <v>No</v>
      </c>
      <c r="O9" s="3">
        <f>IF(Animals!AC9="No","No",
MAX(MROUND((MIN(10,_xlfn.XLOOKUP(B9,'Base stats'!B:B,'Base stats'!V:V)*IF(_xlfn.XLOOKUP(_xlfn.XLOOKUP(B9,'Base stats'!B:B,'Base stats'!E:E),Groups!A:A,Groups!O:O)=0,1,0.33))^0.4*_xlfn.XLOOKUP(B9,'Base stats'!B:B,'Base stats'!BG:BG)^0.73)^0.6 *_xlfn.XLOOKUP(B9,'Base stats'!B:B,'Base stats'!BU:BU),0.1),0.05)
)</f>
        <v>1.9000000000000001</v>
      </c>
      <c r="P9" s="11">
        <f>IF(O9="No","No",
MAX(0.01,MROUND(_xlfn.XLOOKUP(B9,'Base stats'!B:B,'Base stats'!BG:BG) * 0.01 * 2, 0.01))
)</f>
        <v>0.06</v>
      </c>
      <c r="Q9" s="5">
        <f>IF(O9="No","No",
MAX(0.01,MROUND(_xlfn.XLOOKUP(B9,'Base stats'!B:B,'Base stats'!BS:BS)/10000,0.01))
)</f>
        <v>0.01</v>
      </c>
      <c r="R9" s="4">
        <f>IF(O9="No","No",
MROUND(_xlfn.XLOOKUP(B9,'Base stats'!B:B,'Base stats'!AY:AY)^0.25
/((_xlfn.XLOOKUP(B9,'Base stats'!B:B,'Base stats'!BK:BK))*10)*_xlfn.XLOOKUP(_xlfn.XLOOKUP(B9,'Base stats'!B:B,'Base stats'!E:E),Groups!A:A,Groups!Z:Z)*150 + 0.5 + _xlfn.XLOOKUP(B9,'Base stats'!B:B,'Base stats'!BT:BT),
0.05))</f>
        <v>1.75</v>
      </c>
      <c r="S9" s="3" t="str">
        <f>IF(Animals!AH9="No","No",
IF(_xlfn.XLOOKUP(B9,'Base stats'!B:B,'Base stats'!U:U)="No",
MAX(MROUND(_xlfn.XLOOKUP(B9,'Base stats'!B:B,'Base stats'!BQ:BQ) * _xlfn.XLOOKUP(B9,'Base stats'!B:B,'Base stats'!BM:BM)^0.9 / 21 * _xlfn.XLOOKUP(B9,'Base stats'!B:B,'Base stats'!BU:BU),0.1),0.05),
MAX(MROUND(((MIN(12,_xlfn.XLOOKUP(B9,'Base stats'!B:B,'Base stats'!U:U)))^0.4*_xlfn.XLOOKUP(B9,'Base stats'!B:B,'Base stats'!BE:BE)^0.73)^0.6 * _xlfn.XLOOKUP(B9,'Base stats'!B:B,'Base stats'!BU:BU),0.1),0.05)
))</f>
        <v>No</v>
      </c>
      <c r="T9" s="11" t="str">
        <f>IF(S9="No","No",
MAX(0.01,MROUND(_xlfn.XLOOKUP(B9,'Base stats'!B:B,'Base stats'!BE:BE) * 0.01 * 2, 0.01))
)</f>
        <v>No</v>
      </c>
      <c r="U9" s="5" t="str">
        <f>IF(S9="No","No",IF(_xlfn.XLOOKUP(B9,'Base stats'!B:B,'Base stats'!U:U)="No","No",
MAX(0.01,MROUND(_xlfn.XLOOKUP(B9,'Base stats'!B:B,'Base stats'!BQ:BQ)/10000,0.01))
))</f>
        <v>No</v>
      </c>
      <c r="V9" s="4" t="str">
        <f>IF(S9="No","No",
MROUND(_xlfn.XLOOKUP(B9,'Base stats'!B:B,'Base stats'!BC:BC)^0.25
/((_xlfn.XLOOKUP(B9,'Base stats'!B:B,'Base stats'!BL:BL))*10)*_xlfn.XLOOKUP(_xlfn.XLOOKUP(B9,'Base stats'!B:B,'Base stats'!E:E),Groups!A:A,Groups!AE:AE)*150 + 0.5 + _xlfn.XLOOKUP(B9,'Base stats'!B:B,'Base stats'!BT:BT),
0.05))</f>
        <v>No</v>
      </c>
      <c r="W9" s="8">
        <f>MROUND(_xlfn.XLOOKUP(_xlfn.XLOOKUP(B9,'Base stats'!B:B,'Base stats'!E:E),Groups!A:A,Groups!BF:BF)*_xlfn.XLOOKUP(B9,'Base stats'!B:B,'Base stats'!C:C)^-0.165,0.01)</f>
        <v>0.73</v>
      </c>
      <c r="X9" s="1">
        <f>MROUND(_xlfn.XLOOKUP(_xlfn.XLOOKUP(B9,'Base stats'!B:B,'Base stats'!E:E),Groups!A:A,Groups!BG:BG)*_xlfn.XLOOKUP(B9,'Base stats'!B:B,'Base stats'!C:C)^0.165,0.01)</f>
        <v>0</v>
      </c>
      <c r="Y9" s="8">
        <f>MROUND(_xlfn.XLOOKUP(_xlfn.XLOOKUP(B9,'Base stats'!B:B,'Base stats'!E:E),Groups!A:A,Groups!BH:BH)*_xlfn.XLOOKUP(B9,'Base stats'!B:B,'Base stats'!C:C)^0.165,0.01)</f>
        <v>0</v>
      </c>
      <c r="Z9" s="18">
        <f>_xlfn.XLOOKUP(B9,'Base stats'!B:B,'Base stats'!AN:AN)*_xlfn.XLOOKUP(_xlfn.XLOOKUP(B9,'Base stats'!B:B,'Base stats'!E:E),Groups!A:A,Groups!H:H)/1000</f>
        <v>1.5404046471259409E-3</v>
      </c>
      <c r="AA9" s="18">
        <f>(1/2)*(_xlfn.XLOOKUP(_xlfn.XLOOKUP(B9,'Base stats'!B:B,'Base stats'!E:E),Groups!A:A,Groups!H:H)*_xlfn.XLOOKUP(_xlfn.XLOOKUP(B9,'Base stats'!B:B,'Base stats'!E:E),Groups!A:A,Groups!I:I))*_xlfn.XLOOKUP(B9,'Base stats'!B:B,'Base stats'!AN:AN)*0.01</f>
        <v>7.7020232356297047E-3</v>
      </c>
      <c r="AB9" s="18">
        <f>250*(Animals!AN9+Animals!AO9)</f>
        <v>175.00000000000003</v>
      </c>
      <c r="AC9" s="18" t="str">
        <f>_xlfn.XLOOKUP(_xlfn.XLOOKUP(B9,'Base stats'!B:B,'Base stats'!E:E),Groups!A:A,Groups!BI:BI)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stats'!BP:BP) * (_xlfn.XLOOKUP(B10,'Base stats'!B:B,'Base stats'!AL:AL)*5%)^0.9 / 21,0.1),0.05)</f>
        <v>0.1</v>
      </c>
      <c r="E10" s="11">
        <f>MAX(0.01,MROUND(_xlfn.XLOOKUP(B10,'Base stats'!B:B,'Base stats'!BD:BD) * 0.01 * 2, 0.01))</f>
        <v>0.04</v>
      </c>
      <c r="F10" s="7">
        <f>MROUND(_xlfn.XLOOKUP(B10,'Base stats'!B:B,'Base stats'!BA:BA)^0.25 / (_xlfn.XLOOKUP(B10,'Base stats'!B:B,'Base stats'!BH:BH) * 10) * 150 + 0.5 + _xlfn.XLOOKUP(B10,'Base stats'!B:B,'Base stats'!BT:BT), 0.05)</f>
        <v>1.1500000000000001</v>
      </c>
      <c r="G10" s="3" t="str">
        <f>IF(Animals!R10="No","No",
IF(_xlfn.XLOOKUP(B10,'Base stats'!B:B,'Base stats'!U:U)="No",
MAX(MROUND(_xlfn.XLOOKUP(B10,'Base stats'!B:B,'Base stats'!BQ:BQ) * _xlfn.XLOOKUP(B10,'Base stats'!B:B,'Base stats'!BM:BM)^0.9 / 21 * _xlfn.XLOOKUP(B10,'Base stats'!B:B,'Base stats'!BU:BU),0.1),0.05),
MAX(MROUND(((MIN(10,_xlfn.XLOOKUP(B10,'Base stats'!B:B,'Base stats'!U:U)))^0.4*_xlfn.XLOOKUP(B10,'Base stats'!B:B,'Base stats'!BE:BE)^0.73)^0.6 * _xlfn.XLOOKUP(B10,'Base stats'!B:B,'Base stats'!BU:BU),0.1),0.05)
))</f>
        <v>No</v>
      </c>
      <c r="H10" s="11" t="str">
        <f>IF(G10="No","No",
MAX(0.01,MROUND(_xlfn.XLOOKUP(B10,'Base stats'!B:B,'Base stats'!BE:BE) * 0.01 * 2, 0.01))
)</f>
        <v>No</v>
      </c>
      <c r="I10" s="11" t="str">
        <f>IF(G10="No","No",IF(_xlfn.XLOOKUP(B10,'Base stats'!B:B,'Base stats'!U:U)="No","No",
MAX(0.01,MROUND(_xlfn.XLOOKUP(B10,'Base stats'!B:B,'Base stats'!BQ:BQ)/10000,0.01))
))</f>
        <v>No</v>
      </c>
      <c r="J10" s="4" t="str">
        <f>IF(G10="No","No",
MROUND(_xlfn.XLOOKUP(B10,'Base stats'!B:B,'Base stats'!BB:BB)^0.25
/((_xlfn.XLOOKUP(B10,'Base stats'!B:B,'Base stats'!BI:BI))*10)*_xlfn.XLOOKUP(_xlfn.XLOOKUP(B10,'Base stats'!B:B,'Base stats'!E:E),Groups!A:A,Groups!Q:Q)*150 + 0.5 + _xlfn.XLOOKUP(B10,'Base stats'!B:B,'Base stats'!BT:BT),
0.05))</f>
        <v>No</v>
      </c>
      <c r="K10" s="3" t="str">
        <f>IF(Animals!W10="No","No",
IF(_xlfn.XLOOKUP(_xlfn.XLOOKUP(B10,'Base stats'!B:B,'Base stats'!E:E),Groups!A:A,Groups!BC:BC)=1,
MAX(MROUND(_xlfn.XLOOKUP(B10,'Base stats'!B:B,'Base stats'!BR:BR) * _xlfn.XLOOKUP(B10,'Base stats'!B:B,'Base stats'!BN:BN)^0.9 / 21 *_xlfn.XLOOKUP(B10,'Base stats'!B:B,'Base stats'!BU:BU),0.1),0.05),
MAX(MROUND(((MIN(10,_xlfn.XLOOKUP(B10,'Base stats'!B:B,'Base stats'!W:W)))^0.4*_xlfn.XLOOKUP(B10,'Base stats'!B:B,'Base stats'!BF:BF)^0.73)^0.6 *_xlfn.XLOOKUP(B10,'Base stats'!B:B,'Base stats'!BU:BU),0.1),0.05)
))</f>
        <v>No</v>
      </c>
      <c r="L10" s="11" t="str">
        <f>IF(K10="No","No",
MAX(0.01,MROUND(_xlfn.XLOOKUP(B10,'Base stats'!B:B,'Base stats'!BF:BF) * 0.01 *2, 0.01))
)</f>
        <v>No</v>
      </c>
      <c r="M10" s="5" t="str">
        <f>IF(K10="No","No",IF(_xlfn.XLOOKUP(_xlfn.XLOOKUP(B10,'Base stats'!B:B,'Base stats'!E:E),Groups!A:A,Groups!BC:BC)=1,"No",
MAX(0.01,MROUND(_xlfn.XLOOKUP(B10,'Base stats'!B:B,'Base stats'!BR:BR)/10000,0.01))
))</f>
        <v>No</v>
      </c>
      <c r="N10" s="4" t="str">
        <f>IF(K10="No","No",
MROUND(
  _xlfn.XLOOKUP(B10,'Base stats'!B:B,'Base stats'!AZ:AZ)^0.25
  / (_xlfn.XLOOKUP(B10,'Base stats'!B:B,'Base stats'!BJ:BJ)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stats'!BT:BT),
0.05))</f>
        <v>No</v>
      </c>
      <c r="O10" s="3">
        <f>IF(Animals!AC10="No","No",
MAX(MROUND((MIN(10,_xlfn.XLOOKUP(B10,'Base stats'!B:B,'Base stats'!V:V)*IF(_xlfn.XLOOKUP(_xlfn.XLOOKUP(B10,'Base stats'!B:B,'Base stats'!E:E),Groups!A:A,Groups!O:O)=0,1,0.33))^0.4*_xlfn.XLOOKUP(B10,'Base stats'!B:B,'Base stats'!BG:BG)^0.73)^0.6 *_xlfn.XLOOKUP(B10,'Base stats'!B:B,'Base stats'!BU:BU),0.1),0.05)
)</f>
        <v>0.8</v>
      </c>
      <c r="P10" s="11">
        <f>IF(O10="No","No",
MAX(0.01,MROUND(_xlfn.XLOOKUP(B10,'Base stats'!B:B,'Base stats'!BG:BG) * 0.01 * 2, 0.01))
)</f>
        <v>0.01</v>
      </c>
      <c r="Q10" s="5">
        <f>IF(O10="No","No",
MAX(0.01,MROUND(_xlfn.XLOOKUP(B10,'Base stats'!B:B,'Base stats'!BS:BS)/10000,0.01))
)</f>
        <v>0.01</v>
      </c>
      <c r="R10" s="4">
        <f>IF(O10="No","No",
MROUND(_xlfn.XLOOKUP(B10,'Base stats'!B:B,'Base stats'!AY:AY)^0.25
/((_xlfn.XLOOKUP(B10,'Base stats'!B:B,'Base stats'!BK:BK))*10)*_xlfn.XLOOKUP(_xlfn.XLOOKUP(B10,'Base stats'!B:B,'Base stats'!E:E),Groups!A:A,Groups!Z:Z)*150 + 0.5 + _xlfn.XLOOKUP(B10,'Base stats'!B:B,'Base stats'!BT:BT),
0.05))</f>
        <v>1.6500000000000001</v>
      </c>
      <c r="S10" s="3" t="str">
        <f>IF(Animals!AH10="No","No",
IF(_xlfn.XLOOKUP(B10,'Base stats'!B:B,'Base stats'!U:U)="No",
MAX(MROUND(_xlfn.XLOOKUP(B10,'Base stats'!B:B,'Base stats'!BQ:BQ) * _xlfn.XLOOKUP(B10,'Base stats'!B:B,'Base stats'!BM:BM)^0.9 / 21 * _xlfn.XLOOKUP(B10,'Base stats'!B:B,'Base stats'!BU:BU),0.1),0.05),
MAX(MROUND(((MIN(12,_xlfn.XLOOKUP(B10,'Base stats'!B:B,'Base stats'!U:U)))^0.4*_xlfn.XLOOKUP(B10,'Base stats'!B:B,'Base stats'!BE:BE)^0.73)^0.6 * _xlfn.XLOOKUP(B10,'Base stats'!B:B,'Base stats'!BU:BU),0.1),0.05)
))</f>
        <v>No</v>
      </c>
      <c r="T10" s="11" t="str">
        <f>IF(S10="No","No",
MAX(0.01,MROUND(_xlfn.XLOOKUP(B10,'Base stats'!B:B,'Base stats'!BE:BE) * 0.01 * 2, 0.01))
)</f>
        <v>No</v>
      </c>
      <c r="U10" s="5" t="str">
        <f>IF(S10="No","No",IF(_xlfn.XLOOKUP(B10,'Base stats'!B:B,'Base stats'!U:U)="No","No",
MAX(0.01,MROUND(_xlfn.XLOOKUP(B10,'Base stats'!B:B,'Base stats'!BQ:BQ)/10000,0.01))
))</f>
        <v>No</v>
      </c>
      <c r="V10" s="4" t="str">
        <f>IF(S10="No","No",
MROUND(_xlfn.XLOOKUP(B10,'Base stats'!B:B,'Base stats'!BC:BC)^0.25
/((_xlfn.XLOOKUP(B10,'Base stats'!B:B,'Base stats'!BL:BL))*10)*_xlfn.XLOOKUP(_xlfn.XLOOKUP(B10,'Base stats'!B:B,'Base stats'!E:E),Groups!A:A,Groups!AE:AE)*150 + 0.5 + _xlfn.XLOOKUP(B10,'Base stats'!B:B,'Base stats'!BT:BT),
0.05))</f>
        <v>No</v>
      </c>
      <c r="W10" s="8">
        <f>MROUND(_xlfn.XLOOKUP(_xlfn.XLOOKUP(B10,'Base stats'!B:B,'Base stats'!E:E),Groups!A:A,Groups!BF:BF)*_xlfn.XLOOKUP(B10,'Base stats'!B:B,'Base stats'!C:C)^-0.165,0.01)</f>
        <v>0.99</v>
      </c>
      <c r="X10" s="1">
        <f>MROUND(_xlfn.XLOOKUP(_xlfn.XLOOKUP(B10,'Base stats'!B:B,'Base stats'!E:E),Groups!A:A,Groups!BG:BG)*_xlfn.XLOOKUP(B10,'Base stats'!B:B,'Base stats'!C:C)^0.165,0.01)</f>
        <v>0</v>
      </c>
      <c r="Y10" s="8">
        <f>MROUND(_xlfn.XLOOKUP(_xlfn.XLOOKUP(B10,'Base stats'!B:B,'Base stats'!E:E),Groups!A:A,Groups!BH:BH)*_xlfn.XLOOKUP(B10,'Base stats'!B:B,'Base stats'!C:C)^0.165,0.01)</f>
        <v>0</v>
      </c>
      <c r="Z10" s="18">
        <f>_xlfn.XLOOKUP(B10,'Base stats'!B:B,'Base stats'!AN:AN)*_xlfn.XLOOKUP(_xlfn.XLOOKUP(B10,'Base stats'!B:B,'Base stats'!E:E),Groups!A:A,Groups!H:H)/1000</f>
        <v>8.8809854901188286E-4</v>
      </c>
      <c r="AA10" s="18">
        <f>(1/2)*(_xlfn.XLOOKUP(_xlfn.XLOOKUP(B10,'Base stats'!B:B,'Base stats'!E:E),Groups!A:A,Groups!H:H)*_xlfn.XLOOKUP(_xlfn.XLOOKUP(B10,'Base stats'!B:B,'Base stats'!E:E),Groups!A:A,Groups!I:I))*_xlfn.XLOOKUP(B10,'Base stats'!B:B,'Base stats'!AN:AN)*0.01</f>
        <v>4.4404927450594142E-3</v>
      </c>
      <c r="AB10" s="18">
        <f>250*(Animals!AN10+Animals!AO10)</f>
        <v>75.000000000000014</v>
      </c>
      <c r="AC10" s="18" t="str">
        <f>_xlfn.XLOOKUP(_xlfn.XLOOKUP(B10,'Base stats'!B:B,'Base stats'!E:E),Groups!A:A,Groups!BI:BI)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stats'!BP:BP) * (_xlfn.XLOOKUP(B11,'Base stats'!B:B,'Base stats'!AL:AL)*5%)^0.9 / 21,0.1),0.05)</f>
        <v>0.1</v>
      </c>
      <c r="E11" s="11">
        <f>MAX(0.01,MROUND(_xlfn.XLOOKUP(B11,'Base stats'!B:B,'Base stats'!BD:BD) * 0.01 * 2, 0.01))</f>
        <v>0.09</v>
      </c>
      <c r="F11" s="7">
        <f>MROUND(_xlfn.XLOOKUP(B11,'Base stats'!B:B,'Base stats'!BA:BA)^0.25 / (_xlfn.XLOOKUP(B11,'Base stats'!B:B,'Base stats'!BH:BH) * 10) * 150 + 0.5 + _xlfn.XLOOKUP(B11,'Base stats'!B:B,'Base stats'!BT:BT), 0.05)</f>
        <v>1.3</v>
      </c>
      <c r="G11" s="3">
        <f>IF(Animals!R11="No","No",
IF(_xlfn.XLOOKUP(B11,'Base stats'!B:B,'Base stats'!U:U)="No",
MAX(MROUND(_xlfn.XLOOKUP(B11,'Base stats'!B:B,'Base stats'!BQ:BQ) * _xlfn.XLOOKUP(B11,'Base stats'!B:B,'Base stats'!BM:BM)^0.9 / 21 * _xlfn.XLOOKUP(B11,'Base stats'!B:B,'Base stats'!BU:BU),0.1),0.05),
MAX(MROUND(((MIN(10,_xlfn.XLOOKUP(B11,'Base stats'!B:B,'Base stats'!U:U)))^0.4*_xlfn.XLOOKUP(B11,'Base stats'!B:B,'Base stats'!BE:BE)^0.73)^0.6 * _xlfn.XLOOKUP(B11,'Base stats'!B:B,'Base stats'!BU:BU),0.1),0.05)
))</f>
        <v>2.7</v>
      </c>
      <c r="H11" s="11">
        <f>IF(G11="No","No",
MAX(0.01,MROUND(_xlfn.XLOOKUP(B11,'Base stats'!B:B,'Base stats'!BE:BE) * 0.01 * 2, 0.01))
)</f>
        <v>0.13</v>
      </c>
      <c r="I11" s="11">
        <f>IF(G11="No","No",IF(_xlfn.XLOOKUP(B11,'Base stats'!B:B,'Base stats'!U:U)="No","No",
MAX(0.01,MROUND(_xlfn.XLOOKUP(B11,'Base stats'!B:B,'Base stats'!BQ:BQ)/10000,0.01))
))</f>
        <v>0.03</v>
      </c>
      <c r="J11" s="4">
        <f>IF(G11="No","No",
MROUND(_xlfn.XLOOKUP(B11,'Base stats'!B:B,'Base stats'!BB:BB)^0.25
/((_xlfn.XLOOKUP(B11,'Base stats'!B:B,'Base stats'!BI:BI))*10)*_xlfn.XLOOKUP(_xlfn.XLOOKUP(B11,'Base stats'!B:B,'Base stats'!E:E),Groups!A:A,Groups!Q:Q)*150 + 0.5 + _xlfn.XLOOKUP(B11,'Base stats'!B:B,'Base stats'!BT:BT),
0.05))</f>
        <v>2</v>
      </c>
      <c r="K11" s="3" t="str">
        <f>IF(Animals!W11="No","No",
IF(_xlfn.XLOOKUP(_xlfn.XLOOKUP(B11,'Base stats'!B:B,'Base stats'!E:E),Groups!A:A,Groups!BC:BC)=1,
MAX(MROUND(_xlfn.XLOOKUP(B11,'Base stats'!B:B,'Base stats'!BR:BR) * _xlfn.XLOOKUP(B11,'Base stats'!B:B,'Base stats'!BN:BN)^0.9 / 21 *_xlfn.XLOOKUP(B11,'Base stats'!B:B,'Base stats'!BU:BU),0.1),0.05),
MAX(MROUND(((MIN(10,_xlfn.XLOOKUP(B11,'Base stats'!B:B,'Base stats'!W:W)))^0.4*_xlfn.XLOOKUP(B11,'Base stats'!B:B,'Base stats'!BF:BF)^0.73)^0.6 *_xlfn.XLOOKUP(B11,'Base stats'!B:B,'Base stats'!BU:BU),0.1),0.05)
))</f>
        <v>No</v>
      </c>
      <c r="L11" s="11" t="str">
        <f>IF(K11="No","No",
MAX(0.01,MROUND(_xlfn.XLOOKUP(B11,'Base stats'!B:B,'Base stats'!BF:BF) * 0.01 *2, 0.01))
)</f>
        <v>No</v>
      </c>
      <c r="M11" s="5" t="str">
        <f>IF(K11="No","No",IF(_xlfn.XLOOKUP(_xlfn.XLOOKUP(B11,'Base stats'!B:B,'Base stats'!E:E),Groups!A:A,Groups!BC:BC)=1,"No",
MAX(0.01,MROUND(_xlfn.XLOOKUP(B11,'Base stats'!B:B,'Base stats'!BR:BR)/10000,0.01))
))</f>
        <v>No</v>
      </c>
      <c r="N11" s="4" t="str">
        <f>IF(K11="No","No",
MROUND(
  _xlfn.XLOOKUP(B11,'Base stats'!B:B,'Base stats'!AZ:AZ)^0.25
  / (_xlfn.XLOOKUP(B11,'Base stats'!B:B,'Base stats'!BJ:BJ)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stats'!BT:BT),
0.05))</f>
        <v>No</v>
      </c>
      <c r="O11" s="3">
        <f>IF(Animals!AC11="No","No",
MAX(MROUND((MIN(10,_xlfn.XLOOKUP(B11,'Base stats'!B:B,'Base stats'!V:V)*IF(_xlfn.XLOOKUP(_xlfn.XLOOKUP(B11,'Base stats'!B:B,'Base stats'!E:E),Groups!A:A,Groups!O:O)=0,1,0.33))^0.4*_xlfn.XLOOKUP(B11,'Base stats'!B:B,'Base stats'!BG:BG)^0.73)^0.6 *_xlfn.XLOOKUP(B11,'Base stats'!B:B,'Base stats'!BU:BU),0.1),0.05)
)</f>
        <v>1</v>
      </c>
      <c r="P11" s="11">
        <f>IF(O11="No","No",
MAX(0.01,MROUND(_xlfn.XLOOKUP(B11,'Base stats'!B:B,'Base stats'!BG:BG) * 0.01 * 2, 0.01))
)</f>
        <v>0.03</v>
      </c>
      <c r="Q11" s="5">
        <f>IF(O11="No","No",
MAX(0.01,MROUND(_xlfn.XLOOKUP(B11,'Base stats'!B:B,'Base stats'!BS:BS)/10000,0.01))
)</f>
        <v>0.01</v>
      </c>
      <c r="R11" s="4">
        <f>IF(O11="No","No",
MROUND(_xlfn.XLOOKUP(B11,'Base stats'!B:B,'Base stats'!AY:AY)^0.25
/((_xlfn.XLOOKUP(B11,'Base stats'!B:B,'Base stats'!BK:BK))*10)*_xlfn.XLOOKUP(_xlfn.XLOOKUP(B11,'Base stats'!B:B,'Base stats'!E:E),Groups!A:A,Groups!Z:Z)*150 + 0.5 + _xlfn.XLOOKUP(B11,'Base stats'!B:B,'Base stats'!BT:BT),
0.05))</f>
        <v>2.1</v>
      </c>
      <c r="S11" s="3" t="str">
        <f>IF(Animals!AH11="No","No",
IF(_xlfn.XLOOKUP(B11,'Base stats'!B:B,'Base stats'!U:U)="No",
MAX(MROUND(_xlfn.XLOOKUP(B11,'Base stats'!B:B,'Base stats'!BQ:BQ) * _xlfn.XLOOKUP(B11,'Base stats'!B:B,'Base stats'!BM:BM)^0.9 / 21 * _xlfn.XLOOKUP(B11,'Base stats'!B:B,'Base stats'!BU:BU),0.1),0.05),
MAX(MROUND(((MIN(12,_xlfn.XLOOKUP(B11,'Base stats'!B:B,'Base stats'!U:U)))^0.4*_xlfn.XLOOKUP(B11,'Base stats'!B:B,'Base stats'!BE:BE)^0.73)^0.6 * _xlfn.XLOOKUP(B11,'Base stats'!B:B,'Base stats'!BU:BU),0.1),0.05)
))</f>
        <v>No</v>
      </c>
      <c r="T11" s="11" t="str">
        <f>IF(S11="No","No",
MAX(0.01,MROUND(_xlfn.XLOOKUP(B11,'Base stats'!B:B,'Base stats'!BE:BE) * 0.01 * 2, 0.01))
)</f>
        <v>No</v>
      </c>
      <c r="U11" s="5" t="str">
        <f>IF(S11="No","No",IF(_xlfn.XLOOKUP(B11,'Base stats'!B:B,'Base stats'!U:U)="No","No",
MAX(0.01,MROUND(_xlfn.XLOOKUP(B11,'Base stats'!B:B,'Base stats'!BQ:BQ)/10000,0.01))
))</f>
        <v>No</v>
      </c>
      <c r="V11" s="4" t="str">
        <f>IF(S11="No","No",
MROUND(_xlfn.XLOOKUP(B11,'Base stats'!B:B,'Base stats'!BC:BC)^0.25
/((_xlfn.XLOOKUP(B11,'Base stats'!B:B,'Base stats'!BL:BL))*10)*_xlfn.XLOOKUP(_xlfn.XLOOKUP(B11,'Base stats'!B:B,'Base stats'!E:E),Groups!A:A,Groups!AE:AE)*150 + 0.5 + _xlfn.XLOOKUP(B11,'Base stats'!B:B,'Base stats'!BT:BT),
0.05))</f>
        <v>No</v>
      </c>
      <c r="W11" s="8">
        <f>MROUND(_xlfn.XLOOKUP(_xlfn.XLOOKUP(B11,'Base stats'!B:B,'Base stats'!E:E),Groups!A:A,Groups!BF:BF)*_xlfn.XLOOKUP(B11,'Base stats'!B:B,'Base stats'!C:C)^-0.165,0.01)</f>
        <v>0.87</v>
      </c>
      <c r="X11" s="1">
        <f>MROUND(_xlfn.XLOOKUP(_xlfn.XLOOKUP(B11,'Base stats'!B:B,'Base stats'!E:E),Groups!A:A,Groups!BG:BG)*_xlfn.XLOOKUP(B11,'Base stats'!B:B,'Base stats'!C:C)^0.165,0.01)</f>
        <v>0</v>
      </c>
      <c r="Y11" s="8">
        <f>MROUND(_xlfn.XLOOKUP(_xlfn.XLOOKUP(B11,'Base stats'!B:B,'Base stats'!E:E),Groups!A:A,Groups!BH:BH)*_xlfn.XLOOKUP(B11,'Base stats'!B:B,'Base stats'!C:C)^0.165,0.01)</f>
        <v>0</v>
      </c>
      <c r="Z11" s="18">
        <f>_xlfn.XLOOKUP(B11,'Base stats'!B:B,'Base stats'!AN:AN)*_xlfn.XLOOKUP(_xlfn.XLOOKUP(B11,'Base stats'!B:B,'Base stats'!E:E),Groups!A:A,Groups!H:H)/1000</f>
        <v>1.1258974527699282E-3</v>
      </c>
      <c r="AA11" s="18">
        <f>(1/2)*(_xlfn.XLOOKUP(_xlfn.XLOOKUP(B11,'Base stats'!B:B,'Base stats'!E:E),Groups!A:A,Groups!H:H)*_xlfn.XLOOKUP(_xlfn.XLOOKUP(B11,'Base stats'!B:B,'Base stats'!E:E),Groups!A:A,Groups!I:I))*_xlfn.XLOOKUP(B11,'Base stats'!B:B,'Base stats'!AN:AN)*0.01</f>
        <v>5.6294872638496408E-3</v>
      </c>
      <c r="AB11" s="18">
        <f>250*(Animals!AN11+Animals!AO11)</f>
        <v>100</v>
      </c>
      <c r="AC11" s="18" t="str">
        <f>_xlfn.XLOOKUP(_xlfn.XLOOKUP(B11,'Base stats'!B:B,'Base stats'!E:E),Groups!A:A,Groups!BI:BI)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stats'!BP:BP) * (_xlfn.XLOOKUP(B12,'Base stats'!B:B,'Base stats'!AL:AL)*5%)^0.9 / 21,0.1),0.05)</f>
        <v>10.5</v>
      </c>
      <c r="E12" s="11">
        <f>MAX(0.01,MROUND(_xlfn.XLOOKUP(B12,'Base stats'!B:B,'Base stats'!BD:BD) * 0.01 * 2, 0.01))</f>
        <v>9.82</v>
      </c>
      <c r="F12" s="7">
        <f>MROUND(_xlfn.XLOOKUP(B12,'Base stats'!B:B,'Base stats'!BA:BA)^0.25 / (_xlfn.XLOOKUP(B12,'Base stats'!B:B,'Base stats'!BH:BH) * 10) * 150 + 0.5 + _xlfn.XLOOKUP(B12,'Base stats'!B:B,'Base stats'!BT:BT), 0.05)</f>
        <v>1.8</v>
      </c>
      <c r="G12" s="3">
        <f>IF(Animals!R12="No","No",
IF(_xlfn.XLOOKUP(B12,'Base stats'!B:B,'Base stats'!U:U)="No",
MAX(MROUND(_xlfn.XLOOKUP(B12,'Base stats'!B:B,'Base stats'!BQ:BQ) * _xlfn.XLOOKUP(B12,'Base stats'!B:B,'Base stats'!BM:BM)^0.9 / 21 * _xlfn.XLOOKUP(B12,'Base stats'!B:B,'Base stats'!BU:BU),0.1),0.05),
MAX(MROUND(((MIN(10,_xlfn.XLOOKUP(B12,'Base stats'!B:B,'Base stats'!U:U)))^0.4*_xlfn.XLOOKUP(B12,'Base stats'!B:B,'Base stats'!BE:BE)^0.73)^0.6 * _xlfn.XLOOKUP(B12,'Base stats'!B:B,'Base stats'!BU:BU),0.1),0.05)
))</f>
        <v>17.5</v>
      </c>
      <c r="H12" s="11">
        <f>IF(G12="No","No",
MAX(0.01,MROUND(_xlfn.XLOOKUP(B12,'Base stats'!B:B,'Base stats'!BE:BE) * 0.01 * 2, 0.01))
)</f>
        <v>11.38</v>
      </c>
      <c r="I12" s="11" t="str">
        <f>IF(G12="No","No",IF(_xlfn.XLOOKUP(B12,'Base stats'!B:B,'Base stats'!U:U)="No","No",
MAX(0.01,MROUND(_xlfn.XLOOKUP(B12,'Base stats'!B:B,'Base stats'!BQ:BQ)/10000,0.01))
))</f>
        <v>No</v>
      </c>
      <c r="J12" s="4">
        <f>IF(G12="No","No",
MROUND(_xlfn.XLOOKUP(B12,'Base stats'!B:B,'Base stats'!BB:BB)^0.25
/((_xlfn.XLOOKUP(B12,'Base stats'!B:B,'Base stats'!BI:BI))*10)*_xlfn.XLOOKUP(_xlfn.XLOOKUP(B12,'Base stats'!B:B,'Base stats'!E:E),Groups!A:A,Groups!Q:Q)*150 + 0.5 + _xlfn.XLOOKUP(B12,'Base stats'!B:B,'Base stats'!BT:BT),
0.05))</f>
        <v>2.7</v>
      </c>
      <c r="K12" s="3" t="str">
        <f>IF(Animals!W12="No","No",
IF(_xlfn.XLOOKUP(_xlfn.XLOOKUP(B12,'Base stats'!B:B,'Base stats'!E:E),Groups!A:A,Groups!BC:BC)=1,
MAX(MROUND(_xlfn.XLOOKUP(B12,'Base stats'!B:B,'Base stats'!BR:BR) * _xlfn.XLOOKUP(B12,'Base stats'!B:B,'Base stats'!BN:BN)^0.9 / 21 *_xlfn.XLOOKUP(B12,'Base stats'!B:B,'Base stats'!BU:BU),0.1),0.05),
MAX(MROUND(((MIN(10,_xlfn.XLOOKUP(B12,'Base stats'!B:B,'Base stats'!W:W)))^0.4*_xlfn.XLOOKUP(B12,'Base stats'!B:B,'Base stats'!BF:BF)^0.73)^0.6 *_xlfn.XLOOKUP(B12,'Base stats'!B:B,'Base stats'!BU:BU),0.1),0.05)
))</f>
        <v>No</v>
      </c>
      <c r="L12" s="11" t="str">
        <f>IF(K12="No","No",
MAX(0.01,MROUND(_xlfn.XLOOKUP(B12,'Base stats'!B:B,'Base stats'!BF:BF) * 0.01 *2, 0.01))
)</f>
        <v>No</v>
      </c>
      <c r="M12" s="5" t="str">
        <f>IF(K12="No","No",IF(_xlfn.XLOOKUP(_xlfn.XLOOKUP(B12,'Base stats'!B:B,'Base stats'!E:E),Groups!A:A,Groups!BC:BC)=1,"No",
MAX(0.01,MROUND(_xlfn.XLOOKUP(B12,'Base stats'!B:B,'Base stats'!BR:BR)/10000,0.01))
))</f>
        <v>No</v>
      </c>
      <c r="N12" s="4" t="str">
        <f>IF(K12="No","No",
MROUND(
  _xlfn.XLOOKUP(B12,'Base stats'!B:B,'Base stats'!AZ:AZ)^0.25
  / (_xlfn.XLOOKUP(B12,'Base stats'!B:B,'Base stats'!BJ:BJ)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stats'!BT:BT),
0.05))</f>
        <v>No</v>
      </c>
      <c r="O12" s="3">
        <f>IF(Animals!AC12="No","No",
MAX(MROUND((MIN(10,_xlfn.XLOOKUP(B12,'Base stats'!B:B,'Base stats'!V:V)*IF(_xlfn.XLOOKUP(_xlfn.XLOOKUP(B12,'Base stats'!B:B,'Base stats'!E:E),Groups!A:A,Groups!O:O)=0,1,0.33))^0.4*_xlfn.XLOOKUP(B12,'Base stats'!B:B,'Base stats'!BG:BG)^0.73)^0.6 *_xlfn.XLOOKUP(B12,'Base stats'!B:B,'Base stats'!BU:BU),0.1),0.05)
)</f>
        <v>18.8</v>
      </c>
      <c r="P12" s="11">
        <f>IF(O12="No","No",
MAX(0.01,MROUND(_xlfn.XLOOKUP(B12,'Base stats'!B:B,'Base stats'!BG:BG) * 0.01 * 2, 0.01))
)</f>
        <v>7.13</v>
      </c>
      <c r="Q12" s="5">
        <f>IF(O12="No","No",
MAX(0.01,MROUND(_xlfn.XLOOKUP(B12,'Base stats'!B:B,'Base stats'!BS:BS)/10000,0.01))
)</f>
        <v>0.11</v>
      </c>
      <c r="R12" s="4">
        <f>IF(O12="No","No",
MROUND(_xlfn.XLOOKUP(B12,'Base stats'!B:B,'Base stats'!AY:AY)^0.25
/((_xlfn.XLOOKUP(B12,'Base stats'!B:B,'Base stats'!BK:BK))*10)*_xlfn.XLOOKUP(_xlfn.XLOOKUP(B12,'Base stats'!B:B,'Base stats'!E:E),Groups!A:A,Groups!Z:Z)*150 + 0.5 + _xlfn.XLOOKUP(B12,'Base stats'!B:B,'Base stats'!BT:BT),
0.05))</f>
        <v>2.9000000000000004</v>
      </c>
      <c r="S12" s="3" t="str">
        <f>IF(Animals!AH12="No","No",
IF(_xlfn.XLOOKUP(B12,'Base stats'!B:B,'Base stats'!U:U)="No",
MAX(MROUND(_xlfn.XLOOKUP(B12,'Base stats'!B:B,'Base stats'!BQ:BQ) * _xlfn.XLOOKUP(B12,'Base stats'!B:B,'Base stats'!BM:BM)^0.9 / 21 * _xlfn.XLOOKUP(B12,'Base stats'!B:B,'Base stats'!BU:BU),0.1),0.05),
MAX(MROUND(((MIN(12,_xlfn.XLOOKUP(B12,'Base stats'!B:B,'Base stats'!U:U)))^0.4*_xlfn.XLOOKUP(B12,'Base stats'!B:B,'Base stats'!BE:BE)^0.73)^0.6 * _xlfn.XLOOKUP(B12,'Base stats'!B:B,'Base stats'!BU:BU),0.1),0.05)
))</f>
        <v>No</v>
      </c>
      <c r="T12" s="11" t="str">
        <f>IF(S12="No","No",
MAX(0.01,MROUND(_xlfn.XLOOKUP(B12,'Base stats'!B:B,'Base stats'!BE:BE) * 0.01 * 2, 0.01))
)</f>
        <v>No</v>
      </c>
      <c r="U12" s="5" t="str">
        <f>IF(S12="No","No",IF(_xlfn.XLOOKUP(B12,'Base stats'!B:B,'Base stats'!U:U)="No","No",
MAX(0.01,MROUND(_xlfn.XLOOKUP(B12,'Base stats'!B:B,'Base stats'!BQ:BQ)/10000,0.01))
))</f>
        <v>No</v>
      </c>
      <c r="V12" s="4" t="str">
        <f>IF(S12="No","No",
MROUND(_xlfn.XLOOKUP(B12,'Base stats'!B:B,'Base stats'!BC:BC)^0.25
/((_xlfn.XLOOKUP(B12,'Base stats'!B:B,'Base stats'!BL:BL))*10)*_xlfn.XLOOKUP(_xlfn.XLOOKUP(B12,'Base stats'!B:B,'Base stats'!E:E),Groups!A:A,Groups!AE:AE)*150 + 0.5 + _xlfn.XLOOKUP(B12,'Base stats'!B:B,'Base stats'!BT:BT),
0.05))</f>
        <v>No</v>
      </c>
      <c r="W12" s="8">
        <f>MROUND(_xlfn.XLOOKUP(_xlfn.XLOOKUP(B12,'Base stats'!B:B,'Base stats'!E:E),Groups!A:A,Groups!BF:BF)*_xlfn.XLOOKUP(B12,'Base stats'!B:B,'Base stats'!C:C)^-0.165,0.01)</f>
        <v>0.18</v>
      </c>
      <c r="X12" s="1">
        <f>MROUND(_xlfn.XLOOKUP(_xlfn.XLOOKUP(B12,'Base stats'!B:B,'Base stats'!E:E),Groups!A:A,Groups!BG:BG)*_xlfn.XLOOKUP(B12,'Base stats'!B:B,'Base stats'!C:C)^0.165,0.01)</f>
        <v>0</v>
      </c>
      <c r="Y12" s="8">
        <f>MROUND(_xlfn.XLOOKUP(_xlfn.XLOOKUP(B12,'Base stats'!B:B,'Base stats'!E:E),Groups!A:A,Groups!BH:BH)*_xlfn.XLOOKUP(B12,'Base stats'!B:B,'Base stats'!C:C)^0.165,0.01)</f>
        <v>0</v>
      </c>
      <c r="Z12" s="18">
        <f>_xlfn.XLOOKUP(B12,'Base stats'!B:B,'Base stats'!AN:AN)*_xlfn.XLOOKUP(_xlfn.XLOOKUP(B12,'Base stats'!B:B,'Base stats'!E:E),Groups!A:A,Groups!H:H)/1000</f>
        <v>7.2268905534548539E-2</v>
      </c>
      <c r="AA12" s="18">
        <f>(1/2)*(_xlfn.XLOOKUP(_xlfn.XLOOKUP(B12,'Base stats'!B:B,'Base stats'!E:E),Groups!A:A,Groups!H:H)*_xlfn.XLOOKUP(_xlfn.XLOOKUP(B12,'Base stats'!B:B,'Base stats'!E:E),Groups!A:A,Groups!I:I))*_xlfn.XLOOKUP(B12,'Base stats'!B:B,'Base stats'!AN:AN)*0.01</f>
        <v>0.397478980440017</v>
      </c>
      <c r="AB12" s="18">
        <f>250*(Animals!AN12+Animals!AO12)</f>
        <v>1375</v>
      </c>
      <c r="AC12" s="18" t="str">
        <f>_xlfn.XLOOKUP(_xlfn.XLOOKUP(B12,'Base stats'!B:B,'Base stats'!E:E),Groups!A:A,Groups!BI:BI)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stats'!BP:BP) * (_xlfn.XLOOKUP(B13,'Base stats'!B:B,'Base stats'!AL:AL)*5%)^0.9 / 21,0.1),0.05)</f>
        <v>2.5</v>
      </c>
      <c r="E13" s="11">
        <f>MAX(0.01,MROUND(_xlfn.XLOOKUP(B13,'Base stats'!B:B,'Base stats'!BD:BD) * 0.01 * 2, 0.01))</f>
        <v>2.0499999999999998</v>
      </c>
      <c r="F13" s="7">
        <f>MROUND(_xlfn.XLOOKUP(B13,'Base stats'!B:B,'Base stats'!BA:BA)^0.25 / (_xlfn.XLOOKUP(B13,'Base stats'!B:B,'Base stats'!BH:BH) * 10) * 150 + 0.5 + _xlfn.XLOOKUP(B13,'Base stats'!B:B,'Base stats'!BT:BT), 0.05)</f>
        <v>1.6</v>
      </c>
      <c r="G13" s="3">
        <f>IF(Animals!R13="No","No",
IF(_xlfn.XLOOKUP(B13,'Base stats'!B:B,'Base stats'!U:U)="No",
MAX(MROUND(_xlfn.XLOOKUP(B13,'Base stats'!B:B,'Base stats'!BQ:BQ) * _xlfn.XLOOKUP(B13,'Base stats'!B:B,'Base stats'!BM:BM)^0.9 / 21 * _xlfn.XLOOKUP(B13,'Base stats'!B:B,'Base stats'!BU:BU),0.1),0.05),
MAX(MROUND(((MIN(10,_xlfn.XLOOKUP(B13,'Base stats'!B:B,'Base stats'!U:U)))^0.4*_xlfn.XLOOKUP(B13,'Base stats'!B:B,'Base stats'!BE:BE)^0.73)^0.6 * _xlfn.XLOOKUP(B13,'Base stats'!B:B,'Base stats'!BU:BU),0.1),0.05)
))</f>
        <v>4.7</v>
      </c>
      <c r="H13" s="11">
        <f>IF(G13="No","No",
MAX(0.01,MROUND(_xlfn.XLOOKUP(B13,'Base stats'!B:B,'Base stats'!BE:BE) * 0.01 * 2, 0.01))
)</f>
        <v>2.62</v>
      </c>
      <c r="I13" s="11" t="str">
        <f>IF(G13="No","No",IF(_xlfn.XLOOKUP(B13,'Base stats'!B:B,'Base stats'!U:U)="No","No",
MAX(0.01,MROUND(_xlfn.XLOOKUP(B13,'Base stats'!B:B,'Base stats'!BQ:BQ)/10000,0.01))
))</f>
        <v>No</v>
      </c>
      <c r="J13" s="4">
        <f>IF(G13="No","No",
MROUND(_xlfn.XLOOKUP(B13,'Base stats'!B:B,'Base stats'!BB:BB)^0.25
/((_xlfn.XLOOKUP(B13,'Base stats'!B:B,'Base stats'!BI:BI))*10)*_xlfn.XLOOKUP(_xlfn.XLOOKUP(B13,'Base stats'!B:B,'Base stats'!E:E),Groups!A:A,Groups!Q:Q)*150 + 0.5 + _xlfn.XLOOKUP(B13,'Base stats'!B:B,'Base stats'!BT:BT),
0.05))</f>
        <v>2.0500000000000003</v>
      </c>
      <c r="K13" s="3" t="str">
        <f>IF(Animals!W13="No","No",
IF(_xlfn.XLOOKUP(_xlfn.XLOOKUP(B13,'Base stats'!B:B,'Base stats'!E:E),Groups!A:A,Groups!BC:BC)=1,
MAX(MROUND(_xlfn.XLOOKUP(B13,'Base stats'!B:B,'Base stats'!BR:BR) * _xlfn.XLOOKUP(B13,'Base stats'!B:B,'Base stats'!BN:BN)^0.9 / 21 *_xlfn.XLOOKUP(B13,'Base stats'!B:B,'Base stats'!BU:BU),0.1),0.05),
MAX(MROUND(((MIN(10,_xlfn.XLOOKUP(B13,'Base stats'!B:B,'Base stats'!W:W)))^0.4*_xlfn.XLOOKUP(B13,'Base stats'!B:B,'Base stats'!BF:BF)^0.73)^0.6 *_xlfn.XLOOKUP(B13,'Base stats'!B:B,'Base stats'!BU:BU),0.1),0.05)
))</f>
        <v>No</v>
      </c>
      <c r="L13" s="11" t="str">
        <f>IF(K13="No","No",
MAX(0.01,MROUND(_xlfn.XLOOKUP(B13,'Base stats'!B:B,'Base stats'!BF:BF) * 0.01 *2, 0.01))
)</f>
        <v>No</v>
      </c>
      <c r="M13" s="5" t="str">
        <f>IF(K13="No","No",IF(_xlfn.XLOOKUP(_xlfn.XLOOKUP(B13,'Base stats'!B:B,'Base stats'!E:E),Groups!A:A,Groups!BC:BC)=1,"No",
MAX(0.01,MROUND(_xlfn.XLOOKUP(B13,'Base stats'!B:B,'Base stats'!BR:BR)/10000,0.01))
))</f>
        <v>No</v>
      </c>
      <c r="N13" s="4" t="str">
        <f>IF(K13="No","No",
MROUND(
  _xlfn.XLOOKUP(B13,'Base stats'!B:B,'Base stats'!AZ:AZ)^0.25
  / (_xlfn.XLOOKUP(B13,'Base stats'!B:B,'Base stats'!BJ:BJ)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stats'!BT:BT),
0.05))</f>
        <v>No</v>
      </c>
      <c r="O13" s="3">
        <f>IF(Animals!AC13="No","No",
MAX(MROUND((MIN(10,_xlfn.XLOOKUP(B13,'Base stats'!B:B,'Base stats'!V:V)*IF(_xlfn.XLOOKUP(_xlfn.XLOOKUP(B13,'Base stats'!B:B,'Base stats'!E:E),Groups!A:A,Groups!O:O)=0,1,0.33))^0.4*_xlfn.XLOOKUP(B13,'Base stats'!B:B,'Base stats'!BG:BG)^0.73)^0.6 *_xlfn.XLOOKUP(B13,'Base stats'!B:B,'Base stats'!BU:BU),0.1),0.05)
)</f>
        <v>9.6000000000000014</v>
      </c>
      <c r="P13" s="11">
        <f>IF(O13="No","No",
MAX(0.01,MROUND(_xlfn.XLOOKUP(B13,'Base stats'!B:B,'Base stats'!BG:BG) * 0.01 * 2, 0.01))
)</f>
        <v>2.0699999999999998</v>
      </c>
      <c r="Q13" s="5">
        <f>IF(O13="No","No",
MAX(0.01,MROUND(_xlfn.XLOOKUP(B13,'Base stats'!B:B,'Base stats'!BS:BS)/10000,0.01))
)</f>
        <v>0.11</v>
      </c>
      <c r="R13" s="4">
        <f>IF(O13="No","No",
MROUND(_xlfn.XLOOKUP(B13,'Base stats'!B:B,'Base stats'!AY:AY)^0.25
/((_xlfn.XLOOKUP(B13,'Base stats'!B:B,'Base stats'!BK:BK))*10)*_xlfn.XLOOKUP(_xlfn.XLOOKUP(B13,'Base stats'!B:B,'Base stats'!E:E),Groups!A:A,Groups!Z:Z)*150 + 0.5 + _xlfn.XLOOKUP(B13,'Base stats'!B:B,'Base stats'!BT:BT),
0.05))</f>
        <v>2.6</v>
      </c>
      <c r="S13" s="3" t="str">
        <f>IF(Animals!AH13="No","No",
IF(_xlfn.XLOOKUP(B13,'Base stats'!B:B,'Base stats'!U:U)="No",
MAX(MROUND(_xlfn.XLOOKUP(B13,'Base stats'!B:B,'Base stats'!BQ:BQ) * _xlfn.XLOOKUP(B13,'Base stats'!B:B,'Base stats'!BM:BM)^0.9 / 21 * _xlfn.XLOOKUP(B13,'Base stats'!B:B,'Base stats'!BU:BU),0.1),0.05),
MAX(MROUND(((MIN(12,_xlfn.XLOOKUP(B13,'Base stats'!B:B,'Base stats'!U:U)))^0.4*_xlfn.XLOOKUP(B13,'Base stats'!B:B,'Base stats'!BE:BE)^0.73)^0.6 * _xlfn.XLOOKUP(B13,'Base stats'!B:B,'Base stats'!BU:BU),0.1),0.05)
))</f>
        <v>No</v>
      </c>
      <c r="T13" s="11" t="str">
        <f>IF(S13="No","No",
MAX(0.01,MROUND(_xlfn.XLOOKUP(B13,'Base stats'!B:B,'Base stats'!BE:BE) * 0.01 * 2, 0.01))
)</f>
        <v>No</v>
      </c>
      <c r="U13" s="5" t="str">
        <f>IF(S13="No","No",IF(_xlfn.XLOOKUP(B13,'Base stats'!B:B,'Base stats'!U:U)="No","No",
MAX(0.01,MROUND(_xlfn.XLOOKUP(B13,'Base stats'!B:B,'Base stats'!BQ:BQ)/10000,0.01))
))</f>
        <v>No</v>
      </c>
      <c r="V13" s="4" t="str">
        <f>IF(S13="No","No",
MROUND(_xlfn.XLOOKUP(B13,'Base stats'!B:B,'Base stats'!BC:BC)^0.25
/((_xlfn.XLOOKUP(B13,'Base stats'!B:B,'Base stats'!BL:BL))*10)*_xlfn.XLOOKUP(_xlfn.XLOOKUP(B13,'Base stats'!B:B,'Base stats'!E:E),Groups!A:A,Groups!AE:AE)*150 + 0.5 + _xlfn.XLOOKUP(B13,'Base stats'!B:B,'Base stats'!BT:BT),
0.05))</f>
        <v>No</v>
      </c>
      <c r="W13" s="8">
        <f>MROUND(_xlfn.XLOOKUP(_xlfn.XLOOKUP(B13,'Base stats'!B:B,'Base stats'!E:E),Groups!A:A,Groups!BF:BF)*_xlfn.XLOOKUP(B13,'Base stats'!B:B,'Base stats'!C:C)^-0.165,0.01)</f>
        <v>0.24</v>
      </c>
      <c r="X13" s="1">
        <f>MROUND(_xlfn.XLOOKUP(_xlfn.XLOOKUP(B13,'Base stats'!B:B,'Base stats'!E:E),Groups!A:A,Groups!BG:BG)*_xlfn.XLOOKUP(B13,'Base stats'!B:B,'Base stats'!C:C)^0.165,0.01)</f>
        <v>0</v>
      </c>
      <c r="Y13" s="8">
        <f>MROUND(_xlfn.XLOOKUP(_xlfn.XLOOKUP(B13,'Base stats'!B:B,'Base stats'!E:E),Groups!A:A,Groups!BH:BH)*_xlfn.XLOOKUP(B13,'Base stats'!B:B,'Base stats'!C:C)^0.165,0.01)</f>
        <v>0</v>
      </c>
      <c r="Z13" s="18">
        <f>_xlfn.XLOOKUP(B13,'Base stats'!B:B,'Base stats'!AN:AN)*_xlfn.XLOOKUP(_xlfn.XLOOKUP(B13,'Base stats'!B:B,'Base stats'!E:E),Groups!A:A,Groups!H:H)/1000</f>
        <v>4.3850742338482754E-2</v>
      </c>
      <c r="AA13" s="18">
        <f>(1/2)*(_xlfn.XLOOKUP(_xlfn.XLOOKUP(B13,'Base stats'!B:B,'Base stats'!E:E),Groups!A:A,Groups!H:H)*_xlfn.XLOOKUP(_xlfn.XLOOKUP(B13,'Base stats'!B:B,'Base stats'!E:E),Groups!A:A,Groups!I:I))*_xlfn.XLOOKUP(B13,'Base stats'!B:B,'Base stats'!AN:AN)*0.01</f>
        <v>0.24117908286165515</v>
      </c>
      <c r="AB13" s="18">
        <f>250*(Animals!AN13+Animals!AO13)</f>
        <v>525</v>
      </c>
      <c r="AC13" s="18" t="str">
        <f>_xlfn.XLOOKUP(_xlfn.XLOOKUP(B13,'Base stats'!B:B,'Base stats'!E:E),Groups!A:A,Groups!BI:BI)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stats'!BP:BP) * (_xlfn.XLOOKUP(B14,'Base stats'!B:B,'Base stats'!AL:AL)*5%)^0.9 / 21,0.1),0.05)</f>
        <v>0.1</v>
      </c>
      <c r="E14" s="11">
        <f>MAX(0.01,MROUND(_xlfn.XLOOKUP(B14,'Base stats'!B:B,'Base stats'!BD:BD) * 0.01 * 2, 0.01))</f>
        <v>0.08</v>
      </c>
      <c r="F14" s="7">
        <f>MROUND(_xlfn.XLOOKUP(B14,'Base stats'!B:B,'Base stats'!BA:BA)^0.25 / (_xlfn.XLOOKUP(B14,'Base stats'!B:B,'Base stats'!BH:BH) * 10) * 150 + 0.5 + _xlfn.XLOOKUP(B14,'Base stats'!B:B,'Base stats'!BT:BT), 0.05)</f>
        <v>1.3</v>
      </c>
      <c r="G14" s="3" t="str">
        <f>IF(Animals!R14="No","No",
IF(_xlfn.XLOOKUP(B14,'Base stats'!B:B,'Base stats'!U:U)="No",
MAX(MROUND(_xlfn.XLOOKUP(B14,'Base stats'!B:B,'Base stats'!BQ:BQ) * _xlfn.XLOOKUP(B14,'Base stats'!B:B,'Base stats'!BM:BM)^0.9 / 21 * _xlfn.XLOOKUP(B14,'Base stats'!B:B,'Base stats'!BU:BU),0.1),0.05),
MAX(MROUND(((MIN(10,_xlfn.XLOOKUP(B14,'Base stats'!B:B,'Base stats'!U:U)))^0.4*_xlfn.XLOOKUP(B14,'Base stats'!B:B,'Base stats'!BE:BE)^0.73)^0.6 * _xlfn.XLOOKUP(B14,'Base stats'!B:B,'Base stats'!BU:BU),0.1),0.05)
))</f>
        <v>No</v>
      </c>
      <c r="H14" s="11" t="str">
        <f>IF(G14="No","No",
MAX(0.01,MROUND(_xlfn.XLOOKUP(B14,'Base stats'!B:B,'Base stats'!BE:BE) * 0.01 * 2, 0.01))
)</f>
        <v>No</v>
      </c>
      <c r="I14" s="11" t="str">
        <f>IF(G14="No","No",IF(_xlfn.XLOOKUP(B14,'Base stats'!B:B,'Base stats'!U:U)="No","No",
MAX(0.01,MROUND(_xlfn.XLOOKUP(B14,'Base stats'!B:B,'Base stats'!BQ:BQ)/10000,0.01))
))</f>
        <v>No</v>
      </c>
      <c r="J14" s="4" t="str">
        <f>IF(G14="No","No",
MROUND(_xlfn.XLOOKUP(B14,'Base stats'!B:B,'Base stats'!BB:BB)^0.25
/((_xlfn.XLOOKUP(B14,'Base stats'!B:B,'Base stats'!BI:BI))*10)*_xlfn.XLOOKUP(_xlfn.XLOOKUP(B14,'Base stats'!B:B,'Base stats'!E:E),Groups!A:A,Groups!Q:Q)*150 + 0.5 + _xlfn.XLOOKUP(B14,'Base stats'!B:B,'Base stats'!BT:BT),
0.05))</f>
        <v>No</v>
      </c>
      <c r="K14" s="3" t="str">
        <f>IF(Animals!W14="No","No",
IF(_xlfn.XLOOKUP(_xlfn.XLOOKUP(B14,'Base stats'!B:B,'Base stats'!E:E),Groups!A:A,Groups!BC:BC)=1,
MAX(MROUND(_xlfn.XLOOKUP(B14,'Base stats'!B:B,'Base stats'!BR:BR) * _xlfn.XLOOKUP(B14,'Base stats'!B:B,'Base stats'!BN:BN)^0.9 / 21 *_xlfn.XLOOKUP(B14,'Base stats'!B:B,'Base stats'!BU:BU),0.1),0.05),
MAX(MROUND(((MIN(10,_xlfn.XLOOKUP(B14,'Base stats'!B:B,'Base stats'!W:W)))^0.4*_xlfn.XLOOKUP(B14,'Base stats'!B:B,'Base stats'!BF:BF)^0.73)^0.6 *_xlfn.XLOOKUP(B14,'Base stats'!B:B,'Base stats'!BU:BU),0.1),0.05)
))</f>
        <v>No</v>
      </c>
      <c r="L14" s="11" t="str">
        <f>IF(K14="No","No",
MAX(0.01,MROUND(_xlfn.XLOOKUP(B14,'Base stats'!B:B,'Base stats'!BF:BF) * 0.01 *2, 0.01))
)</f>
        <v>No</v>
      </c>
      <c r="M14" s="5" t="str">
        <f>IF(K14="No","No",IF(_xlfn.XLOOKUP(_xlfn.XLOOKUP(B14,'Base stats'!B:B,'Base stats'!E:E),Groups!A:A,Groups!BC:BC)=1,"No",
MAX(0.01,MROUND(_xlfn.XLOOKUP(B14,'Base stats'!B:B,'Base stats'!BR:BR)/10000,0.01))
))</f>
        <v>No</v>
      </c>
      <c r="N14" s="4" t="str">
        <f>IF(K14="No","No",
MROUND(
  _xlfn.XLOOKUP(B14,'Base stats'!B:B,'Base stats'!AZ:AZ)^0.25
  / (_xlfn.XLOOKUP(B14,'Base stats'!B:B,'Base stats'!BJ:BJ)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stats'!BT:BT),
0.05))</f>
        <v>No</v>
      </c>
      <c r="O14" s="3">
        <f>IF(Animals!AC14="No","No",
MAX(MROUND((MIN(10,_xlfn.XLOOKUP(B14,'Base stats'!B:B,'Base stats'!V:V)*IF(_xlfn.XLOOKUP(_xlfn.XLOOKUP(B14,'Base stats'!B:B,'Base stats'!E:E),Groups!A:A,Groups!O:O)=0,1,0.33))^0.4*_xlfn.XLOOKUP(B14,'Base stats'!B:B,'Base stats'!BG:BG)^0.73)^0.6 *_xlfn.XLOOKUP(B14,'Base stats'!B:B,'Base stats'!BU:BU),0.1),0.05)
)</f>
        <v>2.9000000000000004</v>
      </c>
      <c r="P14" s="11">
        <f>IF(O14="No","No",
MAX(0.01,MROUND(_xlfn.XLOOKUP(B14,'Base stats'!B:B,'Base stats'!BG:BG) * 0.01 * 2, 0.01))
)</f>
        <v>0.22</v>
      </c>
      <c r="Q14" s="5">
        <f>IF(O14="No","No",
MAX(0.01,MROUND(_xlfn.XLOOKUP(B14,'Base stats'!B:B,'Base stats'!BS:BS)/10000,0.01))
)</f>
        <v>0.05</v>
      </c>
      <c r="R14" s="4">
        <f>IF(O14="No","No",
MROUND(_xlfn.XLOOKUP(B14,'Base stats'!B:B,'Base stats'!AY:AY)^0.25
/((_xlfn.XLOOKUP(B14,'Base stats'!B:B,'Base stats'!BK:BK))*10)*_xlfn.XLOOKUP(_xlfn.XLOOKUP(B14,'Base stats'!B:B,'Base stats'!E:E),Groups!A:A,Groups!Z:Z)*150 + 0.5 + _xlfn.XLOOKUP(B14,'Base stats'!B:B,'Base stats'!BT:BT),
0.05))</f>
        <v>1.85</v>
      </c>
      <c r="S14" s="3" t="str">
        <f>IF(Animals!AH14="No","No",
IF(_xlfn.XLOOKUP(B14,'Base stats'!B:B,'Base stats'!U:U)="No",
MAX(MROUND(_xlfn.XLOOKUP(B14,'Base stats'!B:B,'Base stats'!BQ:BQ) * _xlfn.XLOOKUP(B14,'Base stats'!B:B,'Base stats'!BM:BM)^0.9 / 21 * _xlfn.XLOOKUP(B14,'Base stats'!B:B,'Base stats'!BU:BU),0.1),0.05),
MAX(MROUND(((MIN(12,_xlfn.XLOOKUP(B14,'Base stats'!B:B,'Base stats'!U:U)))^0.4*_xlfn.XLOOKUP(B14,'Base stats'!B:B,'Base stats'!BE:BE)^0.73)^0.6 * _xlfn.XLOOKUP(B14,'Base stats'!B:B,'Base stats'!BU:BU),0.1),0.05)
))</f>
        <v>No</v>
      </c>
      <c r="T14" s="11" t="str">
        <f>IF(S14="No","No",
MAX(0.01,MROUND(_xlfn.XLOOKUP(B14,'Base stats'!B:B,'Base stats'!BE:BE) * 0.01 * 2, 0.01))
)</f>
        <v>No</v>
      </c>
      <c r="U14" s="5" t="str">
        <f>IF(S14="No","No",IF(_xlfn.XLOOKUP(B14,'Base stats'!B:B,'Base stats'!U:U)="No","No",
MAX(0.01,MROUND(_xlfn.XLOOKUP(B14,'Base stats'!B:B,'Base stats'!BQ:BQ)/10000,0.01))
))</f>
        <v>No</v>
      </c>
      <c r="V14" s="4" t="str">
        <f>IF(S14="No","No",
MROUND(_xlfn.XLOOKUP(B14,'Base stats'!B:B,'Base stats'!BC:BC)^0.25
/((_xlfn.XLOOKUP(B14,'Base stats'!B:B,'Base stats'!BL:BL))*10)*_xlfn.XLOOKUP(_xlfn.XLOOKUP(B14,'Base stats'!B:B,'Base stats'!E:E),Groups!A:A,Groups!AE:AE)*150 + 0.5 + _xlfn.XLOOKUP(B14,'Base stats'!B:B,'Base stats'!BT:BT),
0.05))</f>
        <v>No</v>
      </c>
      <c r="W14" s="8">
        <f>MROUND(_xlfn.XLOOKUP(_xlfn.XLOOKUP(B14,'Base stats'!B:B,'Base stats'!E:E),Groups!A:A,Groups!BF:BF)*_xlfn.XLOOKUP(B14,'Base stats'!B:B,'Base stats'!C:C)^-0.165,0.01)</f>
        <v>0.87</v>
      </c>
      <c r="X14" s="1">
        <f>MROUND(_xlfn.XLOOKUP(_xlfn.XLOOKUP(B14,'Base stats'!B:B,'Base stats'!E:E),Groups!A:A,Groups!BG:BG)*_xlfn.XLOOKUP(B14,'Base stats'!B:B,'Base stats'!C:C)^0.165,0.01)</f>
        <v>0.23</v>
      </c>
      <c r="Y14" s="8">
        <f>MROUND(_xlfn.XLOOKUP(_xlfn.XLOOKUP(B14,'Base stats'!B:B,'Base stats'!E:E),Groups!A:A,Groups!BH:BH)*_xlfn.XLOOKUP(B14,'Base stats'!B:B,'Base stats'!C:C)^0.165,0.01)</f>
        <v>0.03</v>
      </c>
      <c r="Z14" s="18">
        <f>_xlfn.XLOOKUP(B14,'Base stats'!B:B,'Base stats'!AN:AN)*_xlfn.XLOOKUP(_xlfn.XLOOKUP(B14,'Base stats'!B:B,'Base stats'!E:E),Groups!A:A,Groups!H:H)/1000</f>
        <v>2.9649590594199655E-2</v>
      </c>
      <c r="AA14" s="18">
        <f>(1/2)*(_xlfn.XLOOKUP(_xlfn.XLOOKUP(B14,'Base stats'!B:B,'Base stats'!E:E),Groups!A:A,Groups!H:H)*_xlfn.XLOOKUP(_xlfn.XLOOKUP(B14,'Base stats'!B:B,'Base stats'!E:E),Groups!A:A,Groups!I:I))*_xlfn.XLOOKUP(B14,'Base stats'!B:B,'Base stats'!AN:AN)*0.01</f>
        <v>0.22237192945649745</v>
      </c>
      <c r="AB14" s="18">
        <f>250*(Animals!AN14+Animals!AO14)</f>
        <v>112.5</v>
      </c>
      <c r="AC14" s="18" t="str">
        <f>_xlfn.XLOOKUP(_xlfn.XLOOKUP(B14,'Base stats'!B:B,'Base stats'!E:E),Groups!A:A,Groups!BI:BI)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stats'!BP:BP) * (_xlfn.XLOOKUP(B15,'Base stats'!B:B,'Base stats'!AL:AL)*5%)^0.9 / 21,0.1),0.05)</f>
        <v>1.1000000000000001</v>
      </c>
      <c r="E15" s="11">
        <f>MAX(0.01,MROUND(_xlfn.XLOOKUP(B15,'Base stats'!B:B,'Base stats'!BD:BD) * 0.01 * 2, 0.01))</f>
        <v>0.88</v>
      </c>
      <c r="F15" s="7">
        <f>MROUND(_xlfn.XLOOKUP(B15,'Base stats'!B:B,'Base stats'!BA:BA)^0.25 / (_xlfn.XLOOKUP(B15,'Base stats'!B:B,'Base stats'!BH:BH) * 10) * 150 + 0.5 + _xlfn.XLOOKUP(B15,'Base stats'!B:B,'Base stats'!BT:BT), 0.05)</f>
        <v>1.75</v>
      </c>
      <c r="G15" s="3" t="str">
        <f>IF(Animals!R15="No","No",
IF(_xlfn.XLOOKUP(B15,'Base stats'!B:B,'Base stats'!U:U)="No",
MAX(MROUND(_xlfn.XLOOKUP(B15,'Base stats'!B:B,'Base stats'!BQ:BQ) * _xlfn.XLOOKUP(B15,'Base stats'!B:B,'Base stats'!BM:BM)^0.9 / 21 * _xlfn.XLOOKUP(B15,'Base stats'!B:B,'Base stats'!BU:BU),0.1),0.05),
MAX(MROUND(((MIN(10,_xlfn.XLOOKUP(B15,'Base stats'!B:B,'Base stats'!U:U)))^0.4*_xlfn.XLOOKUP(B15,'Base stats'!B:B,'Base stats'!BE:BE)^0.73)^0.6 * _xlfn.XLOOKUP(B15,'Base stats'!B:B,'Base stats'!BU:BU),0.1),0.05)
))</f>
        <v>No</v>
      </c>
      <c r="H15" s="11" t="str">
        <f>IF(G15="No","No",
MAX(0.01,MROUND(_xlfn.XLOOKUP(B15,'Base stats'!B:B,'Base stats'!BE:BE) * 0.01 * 2, 0.01))
)</f>
        <v>No</v>
      </c>
      <c r="I15" s="11" t="str">
        <f>IF(G15="No","No",IF(_xlfn.XLOOKUP(B15,'Base stats'!B:B,'Base stats'!U:U)="No","No",
MAX(0.01,MROUND(_xlfn.XLOOKUP(B15,'Base stats'!B:B,'Base stats'!BQ:BQ)/10000,0.01))
))</f>
        <v>No</v>
      </c>
      <c r="J15" s="4" t="str">
        <f>IF(G15="No","No",
MROUND(_xlfn.XLOOKUP(B15,'Base stats'!B:B,'Base stats'!BB:BB)^0.25
/((_xlfn.XLOOKUP(B15,'Base stats'!B:B,'Base stats'!BI:BI))*10)*_xlfn.XLOOKUP(_xlfn.XLOOKUP(B15,'Base stats'!B:B,'Base stats'!E:E),Groups!A:A,Groups!Q:Q)*150 + 0.5 + _xlfn.XLOOKUP(B15,'Base stats'!B:B,'Base stats'!BT:BT),
0.05))</f>
        <v>No</v>
      </c>
      <c r="K15" s="3" t="str">
        <f>IF(Animals!W15="No","No",
IF(_xlfn.XLOOKUP(_xlfn.XLOOKUP(B15,'Base stats'!B:B,'Base stats'!E:E),Groups!A:A,Groups!BC:BC)=1,
MAX(MROUND(_xlfn.XLOOKUP(B15,'Base stats'!B:B,'Base stats'!BR:BR) * _xlfn.XLOOKUP(B15,'Base stats'!B:B,'Base stats'!BN:BN)^0.9 / 21 *_xlfn.XLOOKUP(B15,'Base stats'!B:B,'Base stats'!BU:BU),0.1),0.05),
MAX(MROUND(((MIN(10,_xlfn.XLOOKUP(B15,'Base stats'!B:B,'Base stats'!W:W)))^0.4*_xlfn.XLOOKUP(B15,'Base stats'!B:B,'Base stats'!BF:BF)^0.73)^0.6 *_xlfn.XLOOKUP(B15,'Base stats'!B:B,'Base stats'!BU:BU),0.1),0.05)
))</f>
        <v>No</v>
      </c>
      <c r="L15" s="11" t="str">
        <f>IF(K15="No","No",
MAX(0.01,MROUND(_xlfn.XLOOKUP(B15,'Base stats'!B:B,'Base stats'!BF:BF) * 0.01 *2, 0.01))
)</f>
        <v>No</v>
      </c>
      <c r="M15" s="5" t="str">
        <f>IF(K15="No","No",IF(_xlfn.XLOOKUP(_xlfn.XLOOKUP(B15,'Base stats'!B:B,'Base stats'!E:E),Groups!A:A,Groups!BC:BC)=1,"No",
MAX(0.01,MROUND(_xlfn.XLOOKUP(B15,'Base stats'!B:B,'Base stats'!BR:BR)/10000,0.01))
))</f>
        <v>No</v>
      </c>
      <c r="N15" s="4" t="str">
        <f>IF(K15="No","No",
MROUND(
  _xlfn.XLOOKUP(B15,'Base stats'!B:B,'Base stats'!AZ:AZ)^0.25
  / (_xlfn.XLOOKUP(B15,'Base stats'!B:B,'Base stats'!BJ:BJ)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stats'!BT:BT),
0.05))</f>
        <v>No</v>
      </c>
      <c r="O15" s="3">
        <f>IF(Animals!AC15="No","No",
MAX(MROUND((MIN(10,_xlfn.XLOOKUP(B15,'Base stats'!B:B,'Base stats'!V:V)*IF(_xlfn.XLOOKUP(_xlfn.XLOOKUP(B15,'Base stats'!B:B,'Base stats'!E:E),Groups!A:A,Groups!O:O)=0,1,0.33))^0.4*_xlfn.XLOOKUP(B15,'Base stats'!B:B,'Base stats'!BG:BG)^0.73)^0.6 *_xlfn.XLOOKUP(B15,'Base stats'!B:B,'Base stats'!BU:BU),0.1),0.05)
)</f>
        <v>10</v>
      </c>
      <c r="P15" s="11">
        <f>IF(O15="No","No",
MAX(0.01,MROUND(_xlfn.XLOOKUP(B15,'Base stats'!B:B,'Base stats'!BG:BG) * 0.01 * 2, 0.01))
)</f>
        <v>2.3000000000000003</v>
      </c>
      <c r="Q15" s="5">
        <f>IF(O15="No","No",
MAX(0.01,MROUND(_xlfn.XLOOKUP(B15,'Base stats'!B:B,'Base stats'!BS:BS)/10000,0.01))
)</f>
        <v>0.19</v>
      </c>
      <c r="R15" s="4">
        <f>IF(O15="No","No",
MROUND(_xlfn.XLOOKUP(B15,'Base stats'!B:B,'Base stats'!AY:AY)^0.25
/((_xlfn.XLOOKUP(B15,'Base stats'!B:B,'Base stats'!BK:BK))*10)*_xlfn.XLOOKUP(_xlfn.XLOOKUP(B15,'Base stats'!B:B,'Base stats'!E:E),Groups!A:A,Groups!Z:Z)*150 + 0.5 + _xlfn.XLOOKUP(B15,'Base stats'!B:B,'Base stats'!BT:BT),
0.05))</f>
        <v>2.15</v>
      </c>
      <c r="S15" s="3" t="str">
        <f>IF(Animals!AH15="No","No",
IF(_xlfn.XLOOKUP(B15,'Base stats'!B:B,'Base stats'!U:U)="No",
MAX(MROUND(_xlfn.XLOOKUP(B15,'Base stats'!B:B,'Base stats'!BQ:BQ) * _xlfn.XLOOKUP(B15,'Base stats'!B:B,'Base stats'!BM:BM)^0.9 / 21 * _xlfn.XLOOKUP(B15,'Base stats'!B:B,'Base stats'!BU:BU),0.1),0.05),
MAX(MROUND(((MIN(12,_xlfn.XLOOKUP(B15,'Base stats'!B:B,'Base stats'!U:U)))^0.4*_xlfn.XLOOKUP(B15,'Base stats'!B:B,'Base stats'!BE:BE)^0.73)^0.6 * _xlfn.XLOOKUP(B15,'Base stats'!B:B,'Base stats'!BU:BU),0.1),0.05)
))</f>
        <v>No</v>
      </c>
      <c r="T15" s="11" t="str">
        <f>IF(S15="No","No",
MAX(0.01,MROUND(_xlfn.XLOOKUP(B15,'Base stats'!B:B,'Base stats'!BE:BE) * 0.01 * 2, 0.01))
)</f>
        <v>No</v>
      </c>
      <c r="U15" s="5" t="str">
        <f>IF(S15="No","No",IF(_xlfn.XLOOKUP(B15,'Base stats'!B:B,'Base stats'!U:U)="No","No",
MAX(0.01,MROUND(_xlfn.XLOOKUP(B15,'Base stats'!B:B,'Base stats'!BQ:BQ)/10000,0.01))
))</f>
        <v>No</v>
      </c>
      <c r="V15" s="4" t="str">
        <f>IF(S15="No","No",
MROUND(_xlfn.XLOOKUP(B15,'Base stats'!B:B,'Base stats'!BC:BC)^0.25
/((_xlfn.XLOOKUP(B15,'Base stats'!B:B,'Base stats'!BL:BL))*10)*_xlfn.XLOOKUP(_xlfn.XLOOKUP(B15,'Base stats'!B:B,'Base stats'!E:E),Groups!A:A,Groups!AE:AE)*150 + 0.5 + _xlfn.XLOOKUP(B15,'Base stats'!B:B,'Base stats'!BT:BT),
0.05))</f>
        <v>No</v>
      </c>
      <c r="W15" s="8">
        <f>MROUND(_xlfn.XLOOKUP(_xlfn.XLOOKUP(B15,'Base stats'!B:B,'Base stats'!E:E),Groups!A:A,Groups!BF:BF)*_xlfn.XLOOKUP(B15,'Base stats'!B:B,'Base stats'!C:C)^-0.165,0.01)</f>
        <v>0.57000000000000006</v>
      </c>
      <c r="X15" s="1">
        <f>MROUND(_xlfn.XLOOKUP(_xlfn.XLOOKUP(B15,'Base stats'!B:B,'Base stats'!E:E),Groups!A:A,Groups!BG:BG)*_xlfn.XLOOKUP(B15,'Base stats'!B:B,'Base stats'!C:C)^0.165,0.01)</f>
        <v>0.35000000000000003</v>
      </c>
      <c r="Y15" s="8">
        <f>MROUND(_xlfn.XLOOKUP(_xlfn.XLOOKUP(B15,'Base stats'!B:B,'Base stats'!E:E),Groups!A:A,Groups!BH:BH)*_xlfn.XLOOKUP(B15,'Base stats'!B:B,'Base stats'!C:C)^0.165,0.01)</f>
        <v>0.04</v>
      </c>
      <c r="Z15" s="18">
        <f>_xlfn.XLOOKUP(B15,'Base stats'!B:B,'Base stats'!AN:AN)*_xlfn.XLOOKUP(_xlfn.XLOOKUP(B15,'Base stats'!B:B,'Base stats'!E:E),Groups!A:A,Groups!H:H)/1000</f>
        <v>7.3663062847663566E-2</v>
      </c>
      <c r="AA15" s="18">
        <f>(1/2)*(_xlfn.XLOOKUP(_xlfn.XLOOKUP(B15,'Base stats'!B:B,'Base stats'!E:E),Groups!A:A,Groups!H:H)*_xlfn.XLOOKUP(_xlfn.XLOOKUP(B15,'Base stats'!B:B,'Base stats'!E:E),Groups!A:A,Groups!I:I))*_xlfn.XLOOKUP(B15,'Base stats'!B:B,'Base stats'!AN:AN)*0.01</f>
        <v>0.55247297135747686</v>
      </c>
      <c r="AB15" s="18">
        <f>250*(Animals!AN15+Animals!AO15)</f>
        <v>387.50000000000006</v>
      </c>
      <c r="AC15" s="18" t="str">
        <f>_xlfn.XLOOKUP(_xlfn.XLOOKUP(B15,'Base stats'!B:B,'Base stats'!E:E),Groups!A:A,Groups!BI:BI)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stats'!BP:BP) * (_xlfn.XLOOKUP(B16,'Base stats'!B:B,'Base stats'!AL:AL)*5%)^0.9 / 21,0.1),0.05)</f>
        <v>1.3</v>
      </c>
      <c r="E16" s="11">
        <f>MAX(0.01,MROUND(_xlfn.XLOOKUP(B16,'Base stats'!B:B,'Base stats'!BD:BD) * 0.01 * 2, 0.01))</f>
        <v>1.02</v>
      </c>
      <c r="F16" s="7">
        <f>MROUND(_xlfn.XLOOKUP(B16,'Base stats'!B:B,'Base stats'!BA:BA)^0.25 / (_xlfn.XLOOKUP(B16,'Base stats'!B:B,'Base stats'!BH:BH) * 10) * 150 + 0.5 + _xlfn.XLOOKUP(B16,'Base stats'!B:B,'Base stats'!BT:BT), 0.05)</f>
        <v>1.8</v>
      </c>
      <c r="G16" s="3" t="str">
        <f>IF(Animals!R16="No","No",
IF(_xlfn.XLOOKUP(B16,'Base stats'!B:B,'Base stats'!U:U)="No",
MAX(MROUND(_xlfn.XLOOKUP(B16,'Base stats'!B:B,'Base stats'!BQ:BQ) * _xlfn.XLOOKUP(B16,'Base stats'!B:B,'Base stats'!BM:BM)^0.9 / 21 * _xlfn.XLOOKUP(B16,'Base stats'!B:B,'Base stats'!BU:BU),0.1),0.05),
MAX(MROUND(((MIN(10,_xlfn.XLOOKUP(B16,'Base stats'!B:B,'Base stats'!U:U)))^0.4*_xlfn.XLOOKUP(B16,'Base stats'!B:B,'Base stats'!BE:BE)^0.73)^0.6 * _xlfn.XLOOKUP(B16,'Base stats'!B:B,'Base stats'!BU:BU),0.1),0.05)
))</f>
        <v>No</v>
      </c>
      <c r="H16" s="11" t="str">
        <f>IF(G16="No","No",
MAX(0.01,MROUND(_xlfn.XLOOKUP(B16,'Base stats'!B:B,'Base stats'!BE:BE) * 0.01 * 2, 0.01))
)</f>
        <v>No</v>
      </c>
      <c r="I16" s="11" t="str">
        <f>IF(G16="No","No",IF(_xlfn.XLOOKUP(B16,'Base stats'!B:B,'Base stats'!U:U)="No","No",
MAX(0.01,MROUND(_xlfn.XLOOKUP(B16,'Base stats'!B:B,'Base stats'!BQ:BQ)/10000,0.01))
))</f>
        <v>No</v>
      </c>
      <c r="J16" s="4" t="str">
        <f>IF(G16="No","No",
MROUND(_xlfn.XLOOKUP(B16,'Base stats'!B:B,'Base stats'!BB:BB)^0.25
/((_xlfn.XLOOKUP(B16,'Base stats'!B:B,'Base stats'!BI:BI))*10)*_xlfn.XLOOKUP(_xlfn.XLOOKUP(B16,'Base stats'!B:B,'Base stats'!E:E),Groups!A:A,Groups!Q:Q)*150 + 0.5 + _xlfn.XLOOKUP(B16,'Base stats'!B:B,'Base stats'!BT:BT),
0.05))</f>
        <v>No</v>
      </c>
      <c r="K16" s="3" t="str">
        <f>IF(Animals!W16="No","No",
IF(_xlfn.XLOOKUP(_xlfn.XLOOKUP(B16,'Base stats'!B:B,'Base stats'!E:E),Groups!A:A,Groups!BC:BC)=1,
MAX(MROUND(_xlfn.XLOOKUP(B16,'Base stats'!B:B,'Base stats'!BR:BR) * _xlfn.XLOOKUP(B16,'Base stats'!B:B,'Base stats'!BN:BN)^0.9 / 21 *_xlfn.XLOOKUP(B16,'Base stats'!B:B,'Base stats'!BU:BU),0.1),0.05),
MAX(MROUND(((MIN(10,_xlfn.XLOOKUP(B16,'Base stats'!B:B,'Base stats'!W:W)))^0.4*_xlfn.XLOOKUP(B16,'Base stats'!B:B,'Base stats'!BF:BF)^0.73)^0.6 *_xlfn.XLOOKUP(B16,'Base stats'!B:B,'Base stats'!BU:BU),0.1),0.05)
))</f>
        <v>No</v>
      </c>
      <c r="L16" s="11" t="str">
        <f>IF(K16="No","No",
MAX(0.01,MROUND(_xlfn.XLOOKUP(B16,'Base stats'!B:B,'Base stats'!BF:BF) * 0.01 *2, 0.01))
)</f>
        <v>No</v>
      </c>
      <c r="M16" s="5" t="str">
        <f>IF(K16="No","No",IF(_xlfn.XLOOKUP(_xlfn.XLOOKUP(B16,'Base stats'!B:B,'Base stats'!E:E),Groups!A:A,Groups!BC:BC)=1,"No",
MAX(0.01,MROUND(_xlfn.XLOOKUP(B16,'Base stats'!B:B,'Base stats'!BR:BR)/10000,0.01))
))</f>
        <v>No</v>
      </c>
      <c r="N16" s="4" t="str">
        <f>IF(K16="No","No",
MROUND(
  _xlfn.XLOOKUP(B16,'Base stats'!B:B,'Base stats'!AZ:AZ)^0.25
  / (_xlfn.XLOOKUP(B16,'Base stats'!B:B,'Base stats'!BJ:BJ)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stats'!BT:BT),
0.05))</f>
        <v>No</v>
      </c>
      <c r="O16" s="3">
        <f>IF(Animals!AC16="No","No",
MAX(MROUND((MIN(10,_xlfn.XLOOKUP(B16,'Base stats'!B:B,'Base stats'!V:V)*IF(_xlfn.XLOOKUP(_xlfn.XLOOKUP(B16,'Base stats'!B:B,'Base stats'!E:E),Groups!A:A,Groups!O:O)=0,1,0.33))^0.4*_xlfn.XLOOKUP(B16,'Base stats'!B:B,'Base stats'!BG:BG)^0.73)^0.6 *_xlfn.XLOOKUP(B16,'Base stats'!B:B,'Base stats'!BU:BU),0.1),0.05)
)</f>
        <v>10.9</v>
      </c>
      <c r="P16" s="11">
        <f>IF(O16="No","No",
MAX(0.01,MROUND(_xlfn.XLOOKUP(B16,'Base stats'!B:B,'Base stats'!BG:BG) * 0.01 * 2, 0.01))
)</f>
        <v>2.67</v>
      </c>
      <c r="Q16" s="5">
        <f>IF(O16="No","No",
MAX(0.01,MROUND(_xlfn.XLOOKUP(B16,'Base stats'!B:B,'Base stats'!BS:BS)/10000,0.01))
)</f>
        <v>0.21</v>
      </c>
      <c r="R16" s="4">
        <f>IF(O16="No","No",
MROUND(_xlfn.XLOOKUP(B16,'Base stats'!B:B,'Base stats'!AY:AY)^0.25
/((_xlfn.XLOOKUP(B16,'Base stats'!B:B,'Base stats'!BK:BK))*10)*_xlfn.XLOOKUP(_xlfn.XLOOKUP(B16,'Base stats'!B:B,'Base stats'!E:E),Groups!A:A,Groups!Z:Z)*150 + 0.5 + _xlfn.XLOOKUP(B16,'Base stats'!B:B,'Base stats'!BT:BT),
0.05))</f>
        <v>2</v>
      </c>
      <c r="S16" s="3" t="str">
        <f>IF(Animals!AH16="No","No",
IF(_xlfn.XLOOKUP(B16,'Base stats'!B:B,'Base stats'!U:U)="No",
MAX(MROUND(_xlfn.XLOOKUP(B16,'Base stats'!B:B,'Base stats'!BQ:BQ) * _xlfn.XLOOKUP(B16,'Base stats'!B:B,'Base stats'!BM:BM)^0.9 / 21 * _xlfn.XLOOKUP(B16,'Base stats'!B:B,'Base stats'!BU:BU),0.1),0.05),
MAX(MROUND(((MIN(12,_xlfn.XLOOKUP(B16,'Base stats'!B:B,'Base stats'!U:U)))^0.4*_xlfn.XLOOKUP(B16,'Base stats'!B:B,'Base stats'!BE:BE)^0.73)^0.6 * _xlfn.XLOOKUP(B16,'Base stats'!B:B,'Base stats'!BU:BU),0.1),0.05)
))</f>
        <v>No</v>
      </c>
      <c r="T16" s="11" t="str">
        <f>IF(S16="No","No",
MAX(0.01,MROUND(_xlfn.XLOOKUP(B16,'Base stats'!B:B,'Base stats'!BE:BE) * 0.01 * 2, 0.01))
)</f>
        <v>No</v>
      </c>
      <c r="U16" s="5" t="str">
        <f>IF(S16="No","No",IF(_xlfn.XLOOKUP(B16,'Base stats'!B:B,'Base stats'!U:U)="No","No",
MAX(0.01,MROUND(_xlfn.XLOOKUP(B16,'Base stats'!B:B,'Base stats'!BQ:BQ)/10000,0.01))
))</f>
        <v>No</v>
      </c>
      <c r="V16" s="4" t="str">
        <f>IF(S16="No","No",
MROUND(_xlfn.XLOOKUP(B16,'Base stats'!B:B,'Base stats'!BC:BC)^0.25
/((_xlfn.XLOOKUP(B16,'Base stats'!B:B,'Base stats'!BL:BL))*10)*_xlfn.XLOOKUP(_xlfn.XLOOKUP(B16,'Base stats'!B:B,'Base stats'!E:E),Groups!A:A,Groups!AE:AE)*150 + 0.5 + _xlfn.XLOOKUP(B16,'Base stats'!B:B,'Base stats'!BT:BT),
0.05))</f>
        <v>No</v>
      </c>
      <c r="W16" s="8">
        <f>MROUND(_xlfn.XLOOKUP(_xlfn.XLOOKUP(B16,'Base stats'!B:B,'Base stats'!E:E),Groups!A:A,Groups!BF:BF)*_xlfn.XLOOKUP(B16,'Base stats'!B:B,'Base stats'!C:C)^-0.165,0.01)</f>
        <v>0.55000000000000004</v>
      </c>
      <c r="X16" s="1">
        <f>MROUND(_xlfn.XLOOKUP(_xlfn.XLOOKUP(B16,'Base stats'!B:B,'Base stats'!E:E),Groups!A:A,Groups!BG:BG)*_xlfn.XLOOKUP(B16,'Base stats'!B:B,'Base stats'!C:C)^0.165,0.01)</f>
        <v>0.36</v>
      </c>
      <c r="Y16" s="8">
        <f>MROUND(_xlfn.XLOOKUP(_xlfn.XLOOKUP(B16,'Base stats'!B:B,'Base stats'!E:E),Groups!A:A,Groups!BH:BH)*_xlfn.XLOOKUP(B16,'Base stats'!B:B,'Base stats'!C:C)^0.165,0.01)</f>
        <v>0.05</v>
      </c>
      <c r="Z16" s="18">
        <f>_xlfn.XLOOKUP(B16,'Base stats'!B:B,'Base stats'!AN:AN)*_xlfn.XLOOKUP(_xlfn.XLOOKUP(B16,'Base stats'!B:B,'Base stats'!E:E),Groups!A:A,Groups!H:H)/1000</f>
        <v>7.8063982603792229E-2</v>
      </c>
      <c r="AA16" s="18">
        <f>(1/2)*(_xlfn.XLOOKUP(_xlfn.XLOOKUP(B16,'Base stats'!B:B,'Base stats'!E:E),Groups!A:A,Groups!H:H)*_xlfn.XLOOKUP(_xlfn.XLOOKUP(B16,'Base stats'!B:B,'Base stats'!E:E),Groups!A:A,Groups!I:I))*_xlfn.XLOOKUP(B16,'Base stats'!B:B,'Base stats'!AN:AN)*0.01</f>
        <v>0.58547986952844178</v>
      </c>
      <c r="AB16" s="18">
        <f>250*(Animals!AN16+Animals!AO16)</f>
        <v>412.5</v>
      </c>
      <c r="AC16" s="18" t="str">
        <f>_xlfn.XLOOKUP(_xlfn.XLOOKUP(B16,'Base stats'!B:B,'Base stats'!E:E),Groups!A:A,Groups!BI:BI)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stats'!BP:BP) * (_xlfn.XLOOKUP(B17,'Base stats'!B:B,'Base stats'!AL:AL)*5%)^0.9 / 21,0.1),0.05)</f>
        <v>2.1</v>
      </c>
      <c r="E17" s="11">
        <f>MAX(0.01,MROUND(_xlfn.XLOOKUP(B17,'Base stats'!B:B,'Base stats'!BD:BD) * 0.01 * 2, 0.01))</f>
        <v>1.7</v>
      </c>
      <c r="F17" s="7">
        <f>MROUND(_xlfn.XLOOKUP(B17,'Base stats'!B:B,'Base stats'!BA:BA)^0.25 / (_xlfn.XLOOKUP(B17,'Base stats'!B:B,'Base stats'!BH:BH) * 10) * 150 + 0.5 + _xlfn.XLOOKUP(B17,'Base stats'!B:B,'Base stats'!BT:BT), 0.05)</f>
        <v>1.9500000000000002</v>
      </c>
      <c r="G17" s="3" t="str">
        <f>IF(Animals!R17="No","No",
IF(_xlfn.XLOOKUP(B17,'Base stats'!B:B,'Base stats'!U:U)="No",
MAX(MROUND(_xlfn.XLOOKUP(B17,'Base stats'!B:B,'Base stats'!BQ:BQ) * _xlfn.XLOOKUP(B17,'Base stats'!B:B,'Base stats'!BM:BM)^0.9 / 21 * _xlfn.XLOOKUP(B17,'Base stats'!B:B,'Base stats'!BU:BU),0.1),0.05),
MAX(MROUND(((MIN(10,_xlfn.XLOOKUP(B17,'Base stats'!B:B,'Base stats'!U:U)))^0.4*_xlfn.XLOOKUP(B17,'Base stats'!B:B,'Base stats'!BE:BE)^0.73)^0.6 * _xlfn.XLOOKUP(B17,'Base stats'!B:B,'Base stats'!BU:BU),0.1),0.05)
))</f>
        <v>No</v>
      </c>
      <c r="H17" s="11" t="str">
        <f>IF(G17="No","No",
MAX(0.01,MROUND(_xlfn.XLOOKUP(B17,'Base stats'!B:B,'Base stats'!BE:BE) * 0.01 * 2, 0.01))
)</f>
        <v>No</v>
      </c>
      <c r="I17" s="11" t="str">
        <f>IF(G17="No","No",IF(_xlfn.XLOOKUP(B17,'Base stats'!B:B,'Base stats'!U:U)="No","No",
MAX(0.01,MROUND(_xlfn.XLOOKUP(B17,'Base stats'!B:B,'Base stats'!BQ:BQ)/10000,0.01))
))</f>
        <v>No</v>
      </c>
      <c r="J17" s="4" t="str">
        <f>IF(G17="No","No",
MROUND(_xlfn.XLOOKUP(B17,'Base stats'!B:B,'Base stats'!BB:BB)^0.25
/((_xlfn.XLOOKUP(B17,'Base stats'!B:B,'Base stats'!BI:BI))*10)*_xlfn.XLOOKUP(_xlfn.XLOOKUP(B17,'Base stats'!B:B,'Base stats'!E:E),Groups!A:A,Groups!Q:Q)*150 + 0.5 + _xlfn.XLOOKUP(B17,'Base stats'!B:B,'Base stats'!BT:BT),
0.05))</f>
        <v>No</v>
      </c>
      <c r="K17" s="3" t="str">
        <f>IF(Animals!W17="No","No",
IF(_xlfn.XLOOKUP(_xlfn.XLOOKUP(B17,'Base stats'!B:B,'Base stats'!E:E),Groups!A:A,Groups!BC:BC)=1,
MAX(MROUND(_xlfn.XLOOKUP(B17,'Base stats'!B:B,'Base stats'!BR:BR) * _xlfn.XLOOKUP(B17,'Base stats'!B:B,'Base stats'!BN:BN)^0.9 / 21 *_xlfn.XLOOKUP(B17,'Base stats'!B:B,'Base stats'!BU:BU),0.1),0.05),
MAX(MROUND(((MIN(10,_xlfn.XLOOKUP(B17,'Base stats'!B:B,'Base stats'!W:W)))^0.4*_xlfn.XLOOKUP(B17,'Base stats'!B:B,'Base stats'!BF:BF)^0.73)^0.6 *_xlfn.XLOOKUP(B17,'Base stats'!B:B,'Base stats'!BU:BU),0.1),0.05)
))</f>
        <v>No</v>
      </c>
      <c r="L17" s="11" t="str">
        <f>IF(K17="No","No",
MAX(0.01,MROUND(_xlfn.XLOOKUP(B17,'Base stats'!B:B,'Base stats'!BF:BF) * 0.01 *2, 0.01))
)</f>
        <v>No</v>
      </c>
      <c r="M17" s="5" t="str">
        <f>IF(K17="No","No",IF(_xlfn.XLOOKUP(_xlfn.XLOOKUP(B17,'Base stats'!B:B,'Base stats'!E:E),Groups!A:A,Groups!BC:BC)=1,"No",
MAX(0.01,MROUND(_xlfn.XLOOKUP(B17,'Base stats'!B:B,'Base stats'!BR:BR)/10000,0.01))
))</f>
        <v>No</v>
      </c>
      <c r="N17" s="4" t="str">
        <f>IF(K17="No","No",
MROUND(
  _xlfn.XLOOKUP(B17,'Base stats'!B:B,'Base stats'!AZ:AZ)^0.25
  / (_xlfn.XLOOKUP(B17,'Base stats'!B:B,'Base stats'!BJ:BJ)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stats'!BT:BT),
0.05))</f>
        <v>No</v>
      </c>
      <c r="O17" s="3">
        <f>IF(Animals!AC17="No","No",
MAX(MROUND((MIN(10,_xlfn.XLOOKUP(B17,'Base stats'!B:B,'Base stats'!V:V)*IF(_xlfn.XLOOKUP(_xlfn.XLOOKUP(B17,'Base stats'!B:B,'Base stats'!E:E),Groups!A:A,Groups!O:O)=0,1,0.33))^0.4*_xlfn.XLOOKUP(B17,'Base stats'!B:B,'Base stats'!BG:BG)^0.73)^0.6 *_xlfn.XLOOKUP(B17,'Base stats'!B:B,'Base stats'!BU:BU),0.1),0.05)
)</f>
        <v>13.200000000000001</v>
      </c>
      <c r="P17" s="11">
        <f>IF(O17="No","No",
MAX(0.01,MROUND(_xlfn.XLOOKUP(B17,'Base stats'!B:B,'Base stats'!BG:BG) * 0.01 * 2, 0.01))
)</f>
        <v>3.5300000000000002</v>
      </c>
      <c r="Q17" s="5">
        <f>IF(O17="No","No",
MAX(0.01,MROUND(_xlfn.XLOOKUP(B17,'Base stats'!B:B,'Base stats'!BS:BS)/10000,0.01))
)</f>
        <v>0.22</v>
      </c>
      <c r="R17" s="4">
        <f>IF(O17="No","No",
MROUND(_xlfn.XLOOKUP(B17,'Base stats'!B:B,'Base stats'!AY:AY)^0.25
/((_xlfn.XLOOKUP(B17,'Base stats'!B:B,'Base stats'!BK:BK))*10)*_xlfn.XLOOKUP(_xlfn.XLOOKUP(B17,'Base stats'!B:B,'Base stats'!E:E),Groups!A:A,Groups!Z:Z)*150 + 0.5 + _xlfn.XLOOKUP(B17,'Base stats'!B:B,'Base stats'!BT:BT),
0.05))</f>
        <v>1.9000000000000001</v>
      </c>
      <c r="S17" s="3">
        <f>IF(Animals!AH17="No","No",
IF(_xlfn.XLOOKUP(B17,'Base stats'!B:B,'Base stats'!U:U)="No",
MAX(MROUND(_xlfn.XLOOKUP(B17,'Base stats'!B:B,'Base stats'!BQ:BQ) * _xlfn.XLOOKUP(B17,'Base stats'!B:B,'Base stats'!BM:BM)^0.9 / 21 * _xlfn.XLOOKUP(B17,'Base stats'!B:B,'Base stats'!BU:BU),0.1),0.05),
MAX(MROUND(((MIN(12,_xlfn.XLOOKUP(B17,'Base stats'!B:B,'Base stats'!U:U)))^0.4*_xlfn.XLOOKUP(B17,'Base stats'!B:B,'Base stats'!BE:BE)^0.73)^0.6 * _xlfn.XLOOKUP(B17,'Base stats'!B:B,'Base stats'!BU:BU),0.1),0.05)
))</f>
        <v>11.9</v>
      </c>
      <c r="T17" s="11">
        <f>IF(S17="No","No",
MAX(0.01,MROUND(_xlfn.XLOOKUP(B17,'Base stats'!B:B,'Base stats'!BE:BE) * 0.01 * 2, 0.01))
)</f>
        <v>2.19</v>
      </c>
      <c r="U17" s="5">
        <f>IF(S17="No","No",IF(_xlfn.XLOOKUP(B17,'Base stats'!B:B,'Base stats'!U:U)="No","No",
MAX(0.01,MROUND(_xlfn.XLOOKUP(B17,'Base stats'!B:B,'Base stats'!BQ:BQ)/10000,0.01))
))</f>
        <v>0.14000000000000001</v>
      </c>
      <c r="V17" s="4">
        <f>IF(S17="No","No",
MROUND(_xlfn.XLOOKUP(B17,'Base stats'!B:B,'Base stats'!BC:BC)^0.25
/((_xlfn.XLOOKUP(B17,'Base stats'!B:B,'Base stats'!BL:BL))*10)*_xlfn.XLOOKUP(_xlfn.XLOOKUP(B17,'Base stats'!B:B,'Base stats'!E:E),Groups!A:A,Groups!AE:AE)*150 + 0.5 + _xlfn.XLOOKUP(B17,'Base stats'!B:B,'Base stats'!BT:BT),
0.05))</f>
        <v>1.4000000000000001</v>
      </c>
      <c r="W17" s="8">
        <f>MROUND(_xlfn.XLOOKUP(_xlfn.XLOOKUP(B17,'Base stats'!B:B,'Base stats'!E:E),Groups!A:A,Groups!BF:BF)*_xlfn.XLOOKUP(B17,'Base stats'!B:B,'Base stats'!C:C)^-0.165,0.01)</f>
        <v>0.63</v>
      </c>
      <c r="X17" s="1">
        <f>MROUND(_xlfn.XLOOKUP(_xlfn.XLOOKUP(B17,'Base stats'!B:B,'Base stats'!E:E),Groups!A:A,Groups!BG:BG)*_xlfn.XLOOKUP(B17,'Base stats'!B:B,'Base stats'!C:C)^0.165,0.01)</f>
        <v>0.5</v>
      </c>
      <c r="Y17" s="8">
        <f>MROUND(_xlfn.XLOOKUP(_xlfn.XLOOKUP(B17,'Base stats'!B:B,'Base stats'!E:E),Groups!A:A,Groups!BH:BH)*_xlfn.XLOOKUP(B17,'Base stats'!B:B,'Base stats'!C:C)^0.165,0.01)</f>
        <v>0.05</v>
      </c>
      <c r="Z17" s="18">
        <f>_xlfn.XLOOKUP(B17,'Base stats'!B:B,'Base stats'!AN:AN)*_xlfn.XLOOKUP(_xlfn.XLOOKUP(B17,'Base stats'!B:B,'Base stats'!E:E),Groups!A:A,Groups!H:H)/1000</f>
        <v>9.4954165428902809E-2</v>
      </c>
      <c r="AA17" s="18">
        <f>(1/2)*(_xlfn.XLOOKUP(_xlfn.XLOOKUP(B17,'Base stats'!B:B,'Base stats'!E:E),Groups!A:A,Groups!H:H)*_xlfn.XLOOKUP(_xlfn.XLOOKUP(B17,'Base stats'!B:B,'Base stats'!E:E),Groups!A:A,Groups!I:I))*_xlfn.XLOOKUP(B17,'Base stats'!B:B,'Base stats'!AN:AN)*0.01</f>
        <v>0.71215624071677108</v>
      </c>
      <c r="AB17" s="18">
        <f>250*(Animals!AN17+Animals!AO17)</f>
        <v>525</v>
      </c>
      <c r="AC17" s="18" t="str">
        <f>_xlfn.XLOOKUP(_xlfn.XLOOKUP(B17,'Base stats'!B:B,'Base stats'!E:E),Groups!A:A,Groups!BI:BI)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stats'!BP:BP) * (_xlfn.XLOOKUP(B18,'Base stats'!B:B,'Base stats'!AL:AL)*5%)^0.9 / 21,0.1),0.05)</f>
        <v>1.8</v>
      </c>
      <c r="E18" s="11">
        <f>MAX(0.01,MROUND(_xlfn.XLOOKUP(B18,'Base stats'!B:B,'Base stats'!BD:BD) * 0.01 * 2, 0.01))</f>
        <v>1.47</v>
      </c>
      <c r="F18" s="7">
        <f>MROUND(_xlfn.XLOOKUP(B18,'Base stats'!B:B,'Base stats'!BA:BA)^0.25 / (_xlfn.XLOOKUP(B18,'Base stats'!B:B,'Base stats'!BH:BH) * 10) * 150 + 0.5 + _xlfn.XLOOKUP(B18,'Base stats'!B:B,'Base stats'!BT:BT), 0.05)</f>
        <v>1.9000000000000001</v>
      </c>
      <c r="G18" s="3" t="str">
        <f>IF(Animals!R18="No","No",
IF(_xlfn.XLOOKUP(B18,'Base stats'!B:B,'Base stats'!U:U)="No",
MAX(MROUND(_xlfn.XLOOKUP(B18,'Base stats'!B:B,'Base stats'!BQ:BQ) * _xlfn.XLOOKUP(B18,'Base stats'!B:B,'Base stats'!BM:BM)^0.9 / 21 * _xlfn.XLOOKUP(B18,'Base stats'!B:B,'Base stats'!BU:BU),0.1),0.05),
MAX(MROUND(((MIN(10,_xlfn.XLOOKUP(B18,'Base stats'!B:B,'Base stats'!U:U)))^0.4*_xlfn.XLOOKUP(B18,'Base stats'!B:B,'Base stats'!BE:BE)^0.73)^0.6 * _xlfn.XLOOKUP(B18,'Base stats'!B:B,'Base stats'!BU:BU),0.1),0.05)
))</f>
        <v>No</v>
      </c>
      <c r="H18" s="11" t="str">
        <f>IF(G18="No","No",
MAX(0.01,MROUND(_xlfn.XLOOKUP(B18,'Base stats'!B:B,'Base stats'!BE:BE) * 0.01 * 2, 0.01))
)</f>
        <v>No</v>
      </c>
      <c r="I18" s="11" t="str">
        <f>IF(G18="No","No",IF(_xlfn.XLOOKUP(B18,'Base stats'!B:B,'Base stats'!U:U)="No","No",
MAX(0.01,MROUND(_xlfn.XLOOKUP(B18,'Base stats'!B:B,'Base stats'!BQ:BQ)/10000,0.01))
))</f>
        <v>No</v>
      </c>
      <c r="J18" s="4" t="str">
        <f>IF(G18="No","No",
MROUND(_xlfn.XLOOKUP(B18,'Base stats'!B:B,'Base stats'!BB:BB)^0.25
/((_xlfn.XLOOKUP(B18,'Base stats'!B:B,'Base stats'!BI:BI))*10)*_xlfn.XLOOKUP(_xlfn.XLOOKUP(B18,'Base stats'!B:B,'Base stats'!E:E),Groups!A:A,Groups!Q:Q)*150 + 0.5 + _xlfn.XLOOKUP(B18,'Base stats'!B:B,'Base stats'!BT:BT),
0.05))</f>
        <v>No</v>
      </c>
      <c r="K18" s="3" t="str">
        <f>IF(Animals!W18="No","No",
IF(_xlfn.XLOOKUP(_xlfn.XLOOKUP(B18,'Base stats'!B:B,'Base stats'!E:E),Groups!A:A,Groups!BC:BC)=1,
MAX(MROUND(_xlfn.XLOOKUP(B18,'Base stats'!B:B,'Base stats'!BR:BR) * _xlfn.XLOOKUP(B18,'Base stats'!B:B,'Base stats'!BN:BN)^0.9 / 21 *_xlfn.XLOOKUP(B18,'Base stats'!B:B,'Base stats'!BU:BU),0.1),0.05),
MAX(MROUND(((MIN(10,_xlfn.XLOOKUP(B18,'Base stats'!B:B,'Base stats'!W:W)))^0.4*_xlfn.XLOOKUP(B18,'Base stats'!B:B,'Base stats'!BF:BF)^0.73)^0.6 *_xlfn.XLOOKUP(B18,'Base stats'!B:B,'Base stats'!BU:BU),0.1),0.05)
))</f>
        <v>No</v>
      </c>
      <c r="L18" s="11" t="str">
        <f>IF(K18="No","No",
MAX(0.01,MROUND(_xlfn.XLOOKUP(B18,'Base stats'!B:B,'Base stats'!BF:BF) * 0.01 *2, 0.01))
)</f>
        <v>No</v>
      </c>
      <c r="M18" s="5" t="str">
        <f>IF(K18="No","No",IF(_xlfn.XLOOKUP(_xlfn.XLOOKUP(B18,'Base stats'!B:B,'Base stats'!E:E),Groups!A:A,Groups!BC:BC)=1,"No",
MAX(0.01,MROUND(_xlfn.XLOOKUP(B18,'Base stats'!B:B,'Base stats'!BR:BR)/10000,0.01))
))</f>
        <v>No</v>
      </c>
      <c r="N18" s="4" t="str">
        <f>IF(K18="No","No",
MROUND(
  _xlfn.XLOOKUP(B18,'Base stats'!B:B,'Base stats'!AZ:AZ)^0.25
  / (_xlfn.XLOOKUP(B18,'Base stats'!B:B,'Base stats'!BJ:BJ)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stats'!BT:BT),
0.05))</f>
        <v>No</v>
      </c>
      <c r="O18" s="3">
        <f>IF(Animals!AC18="No","No",
MAX(MROUND((MIN(10,_xlfn.XLOOKUP(B18,'Base stats'!B:B,'Base stats'!V:V)*IF(_xlfn.XLOOKUP(_xlfn.XLOOKUP(B18,'Base stats'!B:B,'Base stats'!E:E),Groups!A:A,Groups!O:O)=0,1,0.33))^0.4*_xlfn.XLOOKUP(B18,'Base stats'!B:B,'Base stats'!BG:BG)^0.73)^0.6 *_xlfn.XLOOKUP(B18,'Base stats'!B:B,'Base stats'!BU:BU),0.1),0.05)
)</f>
        <v>14.9</v>
      </c>
      <c r="P18" s="11">
        <f>IF(O18="No","No",
MAX(0.01,MROUND(_xlfn.XLOOKUP(B18,'Base stats'!B:B,'Base stats'!BG:BG) * 0.01 * 2, 0.01))
)</f>
        <v>4.79</v>
      </c>
      <c r="Q18" s="5">
        <f>IF(O18="No","No",
MAX(0.01,MROUND(_xlfn.XLOOKUP(B18,'Base stats'!B:B,'Base stats'!BS:BS)/10000,0.01))
)</f>
        <v>0.32</v>
      </c>
      <c r="R18" s="4">
        <f>IF(O18="No","No",
MROUND(_xlfn.XLOOKUP(B18,'Base stats'!B:B,'Base stats'!AY:AY)^0.25
/((_xlfn.XLOOKUP(B18,'Base stats'!B:B,'Base stats'!BK:BK))*10)*_xlfn.XLOOKUP(_xlfn.XLOOKUP(B18,'Base stats'!B:B,'Base stats'!E:E),Groups!A:A,Groups!Z:Z)*150 + 0.5 + _xlfn.XLOOKUP(B18,'Base stats'!B:B,'Base stats'!BT:BT),
0.05))</f>
        <v>2</v>
      </c>
      <c r="S18" s="3">
        <f>IF(Animals!AH18="No","No",
IF(_xlfn.XLOOKUP(B18,'Base stats'!B:B,'Base stats'!U:U)="No",
MAX(MROUND(_xlfn.XLOOKUP(B18,'Base stats'!B:B,'Base stats'!BQ:BQ) * _xlfn.XLOOKUP(B18,'Base stats'!B:B,'Base stats'!BM:BM)^0.9 / 21 * _xlfn.XLOOKUP(B18,'Base stats'!B:B,'Base stats'!BU:BU),0.1),0.05),
MAX(MROUND(((MIN(12,_xlfn.XLOOKUP(B18,'Base stats'!B:B,'Base stats'!U:U)))^0.4*_xlfn.XLOOKUP(B18,'Base stats'!B:B,'Base stats'!BE:BE)^0.73)^0.6 * _xlfn.XLOOKUP(B18,'Base stats'!B:B,'Base stats'!BU:BU),0.1),0.05)
))</f>
        <v>11.100000000000001</v>
      </c>
      <c r="T18" s="11">
        <f>IF(S18="No","No",
MAX(0.01,MROUND(_xlfn.XLOOKUP(B18,'Base stats'!B:B,'Base stats'!BE:BE) * 0.01 * 2, 0.01))
)</f>
        <v>1.92</v>
      </c>
      <c r="U18" s="5">
        <f>IF(S18="No","No",IF(_xlfn.XLOOKUP(B18,'Base stats'!B:B,'Base stats'!U:U)="No","No",
MAX(0.01,MROUND(_xlfn.XLOOKUP(B18,'Base stats'!B:B,'Base stats'!BQ:BQ)/10000,0.01))
))</f>
        <v>0.13</v>
      </c>
      <c r="V18" s="4">
        <f>IF(S18="No","No",
MROUND(_xlfn.XLOOKUP(B18,'Base stats'!B:B,'Base stats'!BC:BC)^0.25
/((_xlfn.XLOOKUP(B18,'Base stats'!B:B,'Base stats'!BL:BL))*10)*_xlfn.XLOOKUP(_xlfn.XLOOKUP(B18,'Base stats'!B:B,'Base stats'!E:E),Groups!A:A,Groups!AE:AE)*150 + 0.5 + _xlfn.XLOOKUP(B18,'Base stats'!B:B,'Base stats'!BT:BT),
0.05))</f>
        <v>1.35</v>
      </c>
      <c r="W18" s="8">
        <f>MROUND(_xlfn.XLOOKUP(_xlfn.XLOOKUP(B18,'Base stats'!B:B,'Base stats'!E:E),Groups!A:A,Groups!BF:BF)*_xlfn.XLOOKUP(B18,'Base stats'!B:B,'Base stats'!C:C)^-0.165,0.01)</f>
        <v>0.65</v>
      </c>
      <c r="X18" s="1">
        <f>MROUND(_xlfn.XLOOKUP(_xlfn.XLOOKUP(B18,'Base stats'!B:B,'Base stats'!E:E),Groups!A:A,Groups!BG:BG)*_xlfn.XLOOKUP(B18,'Base stats'!B:B,'Base stats'!C:C)^0.165,0.01)</f>
        <v>0.48</v>
      </c>
      <c r="Y18" s="8">
        <f>MROUND(_xlfn.XLOOKUP(_xlfn.XLOOKUP(B18,'Base stats'!B:B,'Base stats'!E:E),Groups!A:A,Groups!BH:BH)*_xlfn.XLOOKUP(B18,'Base stats'!B:B,'Base stats'!C:C)^0.165,0.01)</f>
        <v>0.05</v>
      </c>
      <c r="Z18" s="18">
        <f>_xlfn.XLOOKUP(B18,'Base stats'!B:B,'Base stats'!AN:AN)*_xlfn.XLOOKUP(_xlfn.XLOOKUP(B18,'Base stats'!B:B,'Base stats'!E:E),Groups!A:A,Groups!H:H)/1000</f>
        <v>8.9820877326657597E-2</v>
      </c>
      <c r="AA18" s="18">
        <f>(1/2)*(_xlfn.XLOOKUP(_xlfn.XLOOKUP(B18,'Base stats'!B:B,'Base stats'!E:E),Groups!A:A,Groups!H:H)*_xlfn.XLOOKUP(_xlfn.XLOOKUP(B18,'Base stats'!B:B,'Base stats'!E:E),Groups!A:A,Groups!I:I))*_xlfn.XLOOKUP(B18,'Base stats'!B:B,'Base stats'!AN:AN)*0.01</f>
        <v>0.673656579949932</v>
      </c>
      <c r="AB18" s="18">
        <f>250*(Animals!AN18+Animals!AO18)</f>
        <v>500</v>
      </c>
      <c r="AC18" s="18" t="str">
        <f>_xlfn.XLOOKUP(_xlfn.XLOOKUP(B18,'Base stats'!B:B,'Base stats'!E:E),Groups!A:A,Groups!BI:BI)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stats'!BP:BP) * (_xlfn.XLOOKUP(B19,'Base stats'!B:B,'Base stats'!AL:AL)*5%)^0.9 / 21,0.1),0.05)</f>
        <v>0.9</v>
      </c>
      <c r="E19" s="11">
        <f>MAX(0.01,MROUND(_xlfn.XLOOKUP(B19,'Base stats'!B:B,'Base stats'!BD:BD) * 0.01 * 2, 0.01))</f>
        <v>0.68</v>
      </c>
      <c r="F19" s="7">
        <f>MROUND(_xlfn.XLOOKUP(B19,'Base stats'!B:B,'Base stats'!BA:BA)^0.25 / (_xlfn.XLOOKUP(B19,'Base stats'!B:B,'Base stats'!BH:BH) * 10) * 150 + 0.5 + _xlfn.XLOOKUP(B19,'Base stats'!B:B,'Base stats'!BT:BT), 0.05)</f>
        <v>1.6500000000000001</v>
      </c>
      <c r="G19" s="3" t="str">
        <f>IF(Animals!R19="No","No",
IF(_xlfn.XLOOKUP(B19,'Base stats'!B:B,'Base stats'!U:U)="No",
MAX(MROUND(_xlfn.XLOOKUP(B19,'Base stats'!B:B,'Base stats'!BQ:BQ) * _xlfn.XLOOKUP(B19,'Base stats'!B:B,'Base stats'!BM:BM)^0.9 / 21 * _xlfn.XLOOKUP(B19,'Base stats'!B:B,'Base stats'!BU:BU),0.1),0.05),
MAX(MROUND(((MIN(10,_xlfn.XLOOKUP(B19,'Base stats'!B:B,'Base stats'!U:U)))^0.4*_xlfn.XLOOKUP(B19,'Base stats'!B:B,'Base stats'!BE:BE)^0.73)^0.6 * _xlfn.XLOOKUP(B19,'Base stats'!B:B,'Base stats'!BU:BU),0.1),0.05)
))</f>
        <v>No</v>
      </c>
      <c r="H19" s="11" t="str">
        <f>IF(G19="No","No",
MAX(0.01,MROUND(_xlfn.XLOOKUP(B19,'Base stats'!B:B,'Base stats'!BE:BE) * 0.01 * 2, 0.01))
)</f>
        <v>No</v>
      </c>
      <c r="I19" s="11" t="str">
        <f>IF(G19="No","No",IF(_xlfn.XLOOKUP(B19,'Base stats'!B:B,'Base stats'!U:U)="No","No",
MAX(0.01,MROUND(_xlfn.XLOOKUP(B19,'Base stats'!B:B,'Base stats'!BQ:BQ)/10000,0.01))
))</f>
        <v>No</v>
      </c>
      <c r="J19" s="4" t="str">
        <f>IF(G19="No","No",
MROUND(_xlfn.XLOOKUP(B19,'Base stats'!B:B,'Base stats'!BB:BB)^0.25
/((_xlfn.XLOOKUP(B19,'Base stats'!B:B,'Base stats'!BI:BI))*10)*_xlfn.XLOOKUP(_xlfn.XLOOKUP(B19,'Base stats'!B:B,'Base stats'!E:E),Groups!A:A,Groups!Q:Q)*150 + 0.5 + _xlfn.XLOOKUP(B19,'Base stats'!B:B,'Base stats'!BT:BT),
0.05))</f>
        <v>No</v>
      </c>
      <c r="K19" s="3" t="str">
        <f>IF(Animals!W19="No","No",
IF(_xlfn.XLOOKUP(_xlfn.XLOOKUP(B19,'Base stats'!B:B,'Base stats'!E:E),Groups!A:A,Groups!BC:BC)=1,
MAX(MROUND(_xlfn.XLOOKUP(B19,'Base stats'!B:B,'Base stats'!BR:BR) * _xlfn.XLOOKUP(B19,'Base stats'!B:B,'Base stats'!BN:BN)^0.9 / 21 *_xlfn.XLOOKUP(B19,'Base stats'!B:B,'Base stats'!BU:BU),0.1),0.05),
MAX(MROUND(((MIN(10,_xlfn.XLOOKUP(B19,'Base stats'!B:B,'Base stats'!W:W)))^0.4*_xlfn.XLOOKUP(B19,'Base stats'!B:B,'Base stats'!BF:BF)^0.73)^0.6 *_xlfn.XLOOKUP(B19,'Base stats'!B:B,'Base stats'!BU:BU),0.1),0.05)
))</f>
        <v>No</v>
      </c>
      <c r="L19" s="11" t="str">
        <f>IF(K19="No","No",
MAX(0.01,MROUND(_xlfn.XLOOKUP(B19,'Base stats'!B:B,'Base stats'!BF:BF) * 0.01 *2, 0.01))
)</f>
        <v>No</v>
      </c>
      <c r="M19" s="5" t="str">
        <f>IF(K19="No","No",IF(_xlfn.XLOOKUP(_xlfn.XLOOKUP(B19,'Base stats'!B:B,'Base stats'!E:E),Groups!A:A,Groups!BC:BC)=1,"No",
MAX(0.01,MROUND(_xlfn.XLOOKUP(B19,'Base stats'!B:B,'Base stats'!BR:BR)/10000,0.01))
))</f>
        <v>No</v>
      </c>
      <c r="N19" s="4" t="str">
        <f>IF(K19="No","No",
MROUND(
  _xlfn.XLOOKUP(B19,'Base stats'!B:B,'Base stats'!AZ:AZ)^0.25
  / (_xlfn.XLOOKUP(B19,'Base stats'!B:B,'Base stats'!BJ:BJ)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stats'!BT:BT),
0.05))</f>
        <v>No</v>
      </c>
      <c r="O19" s="3">
        <f>IF(Animals!AC19="No","No",
MAX(MROUND((MIN(10,_xlfn.XLOOKUP(B19,'Base stats'!B:B,'Base stats'!V:V)*IF(_xlfn.XLOOKUP(_xlfn.XLOOKUP(B19,'Base stats'!B:B,'Base stats'!E:E),Groups!A:A,Groups!O:O)=0,1,0.33))^0.4*_xlfn.XLOOKUP(B19,'Base stats'!B:B,'Base stats'!BG:BG)^0.73)^0.6 *_xlfn.XLOOKUP(B19,'Base stats'!B:B,'Base stats'!BU:BU),0.1),0.05)
)</f>
        <v>8</v>
      </c>
      <c r="P19" s="11">
        <f>IF(O19="No","No",
MAX(0.01,MROUND(_xlfn.XLOOKUP(B19,'Base stats'!B:B,'Base stats'!BG:BG) * 0.01 * 2, 0.01))
)</f>
        <v>1.37</v>
      </c>
      <c r="Q19" s="5">
        <f>IF(O19="No","No",
MAX(0.01,MROUND(_xlfn.XLOOKUP(B19,'Base stats'!B:B,'Base stats'!BS:BS)/10000,0.01))
)</f>
        <v>0.13</v>
      </c>
      <c r="R19" s="4">
        <f>IF(O19="No","No",
MROUND(_xlfn.XLOOKUP(B19,'Base stats'!B:B,'Base stats'!AY:AY)^0.25
/((_xlfn.XLOOKUP(B19,'Base stats'!B:B,'Base stats'!BK:BK))*10)*_xlfn.XLOOKUP(_xlfn.XLOOKUP(B19,'Base stats'!B:B,'Base stats'!E:E),Groups!A:A,Groups!Z:Z)*150 + 0.5 + _xlfn.XLOOKUP(B19,'Base stats'!B:B,'Base stats'!BT:BT),
0.05))</f>
        <v>1.8</v>
      </c>
      <c r="S19" s="3">
        <f>IF(Animals!AH19="No","No",
IF(_xlfn.XLOOKUP(B19,'Base stats'!B:B,'Base stats'!U:U)="No",
MAX(MROUND(_xlfn.XLOOKUP(B19,'Base stats'!B:B,'Base stats'!BQ:BQ) * _xlfn.XLOOKUP(B19,'Base stats'!B:B,'Base stats'!BM:BM)^0.9 / 21 * _xlfn.XLOOKUP(B19,'Base stats'!B:B,'Base stats'!BU:BU),0.1),0.05),
MAX(MROUND(((MIN(12,_xlfn.XLOOKUP(B19,'Base stats'!B:B,'Base stats'!U:U)))^0.4*_xlfn.XLOOKUP(B19,'Base stats'!B:B,'Base stats'!BE:BE)^0.73)^0.6 * _xlfn.XLOOKUP(B19,'Base stats'!B:B,'Base stats'!BU:BU),0.1),0.05)
))</f>
        <v>7.4</v>
      </c>
      <c r="T19" s="11">
        <f>IF(S19="No","No",
MAX(0.01,MROUND(_xlfn.XLOOKUP(B19,'Base stats'!B:B,'Base stats'!BE:BE) * 0.01 * 2, 0.01))
)</f>
        <v>0.93</v>
      </c>
      <c r="U19" s="5">
        <f>IF(S19="No","No",IF(_xlfn.XLOOKUP(B19,'Base stats'!B:B,'Base stats'!U:U)="No","No",
MAX(0.01,MROUND(_xlfn.XLOOKUP(B19,'Base stats'!B:B,'Base stats'!BQ:BQ)/10000,0.01))
))</f>
        <v>0.09</v>
      </c>
      <c r="V19" s="4">
        <f>IF(S19="No","No",
MROUND(_xlfn.XLOOKUP(B19,'Base stats'!B:B,'Base stats'!BC:BC)^0.25
/((_xlfn.XLOOKUP(B19,'Base stats'!B:B,'Base stats'!BL:BL))*10)*_xlfn.XLOOKUP(_xlfn.XLOOKUP(B19,'Base stats'!B:B,'Base stats'!E:E),Groups!A:A,Groups!AE:AE)*150 + 0.5 + _xlfn.XLOOKUP(B19,'Base stats'!B:B,'Base stats'!BT:BT),
0.05))</f>
        <v>1.3</v>
      </c>
      <c r="W19" s="8">
        <f>MROUND(_xlfn.XLOOKUP(_xlfn.XLOOKUP(B19,'Base stats'!B:B,'Base stats'!E:E),Groups!A:A,Groups!BF:BF)*_xlfn.XLOOKUP(B19,'Base stats'!B:B,'Base stats'!C:C)^-0.165,0.01)</f>
        <v>0.75</v>
      </c>
      <c r="X19" s="1">
        <f>MROUND(_xlfn.XLOOKUP(_xlfn.XLOOKUP(B19,'Base stats'!B:B,'Base stats'!E:E),Groups!A:A,Groups!BG:BG)*_xlfn.XLOOKUP(B19,'Base stats'!B:B,'Base stats'!C:C)^0.165,0.01)</f>
        <v>0.42</v>
      </c>
      <c r="Y19" s="8">
        <f>MROUND(_xlfn.XLOOKUP(_xlfn.XLOOKUP(B19,'Base stats'!B:B,'Base stats'!E:E),Groups!A:A,Groups!BH:BH)*_xlfn.XLOOKUP(B19,'Base stats'!B:B,'Base stats'!C:C)^0.165,0.01)</f>
        <v>0.04</v>
      </c>
      <c r="Z19" s="18">
        <f>_xlfn.XLOOKUP(B19,'Base stats'!B:B,'Base stats'!AN:AN)*_xlfn.XLOOKUP(_xlfn.XLOOKUP(B19,'Base stats'!B:B,'Base stats'!E:E),Groups!A:A,Groups!H:H)/1000</f>
        <v>6.6734370986712838E-2</v>
      </c>
      <c r="AA19" s="18">
        <f>(1/2)*(_xlfn.XLOOKUP(_xlfn.XLOOKUP(B19,'Base stats'!B:B,'Base stats'!E:E),Groups!A:A,Groups!H:H)*_xlfn.XLOOKUP(_xlfn.XLOOKUP(B19,'Base stats'!B:B,'Base stats'!E:E),Groups!A:A,Groups!I:I))*_xlfn.XLOOKUP(B19,'Base stats'!B:B,'Base stats'!AN:AN)*0.01</f>
        <v>0.50050778240034632</v>
      </c>
      <c r="AB19" s="18">
        <f>250*(Animals!AN19+Animals!AO19)</f>
        <v>325.00000000000006</v>
      </c>
      <c r="AC19" s="18" t="str">
        <f>_xlfn.XLOOKUP(_xlfn.XLOOKUP(B19,'Base stats'!B:B,'Base stats'!E:E),Groups!A:A,Groups!BI:BI)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stats'!BP:BP) * (_xlfn.XLOOKUP(B20,'Base stats'!B:B,'Base stats'!AL:AL)*5%)^0.9 / 21,0.1),0.05)</f>
        <v>0.2</v>
      </c>
      <c r="E20" s="11">
        <f>MAX(0.01,MROUND(_xlfn.XLOOKUP(B20,'Base stats'!B:B,'Base stats'!BD:BD) * 0.01 * 2, 0.01))</f>
        <v>0.14000000000000001</v>
      </c>
      <c r="F20" s="7">
        <f>MROUND(_xlfn.XLOOKUP(B20,'Base stats'!B:B,'Base stats'!BA:BA)^0.25 / (_xlfn.XLOOKUP(B20,'Base stats'!B:B,'Base stats'!BH:BH) * 10) * 150 + 0.5 + _xlfn.XLOOKUP(B20,'Base stats'!B:B,'Base stats'!BT:BT), 0.05)</f>
        <v>1.4000000000000001</v>
      </c>
      <c r="G20" s="3" t="str">
        <f>IF(Animals!R20="No","No",
IF(_xlfn.XLOOKUP(B20,'Base stats'!B:B,'Base stats'!U:U)="No",
MAX(MROUND(_xlfn.XLOOKUP(B20,'Base stats'!B:B,'Base stats'!BQ:BQ) * _xlfn.XLOOKUP(B20,'Base stats'!B:B,'Base stats'!BM:BM)^0.9 / 21 * _xlfn.XLOOKUP(B20,'Base stats'!B:B,'Base stats'!BU:BU),0.1),0.05),
MAX(MROUND(((MIN(10,_xlfn.XLOOKUP(B20,'Base stats'!B:B,'Base stats'!U:U)))^0.4*_xlfn.XLOOKUP(B20,'Base stats'!B:B,'Base stats'!BE:BE)^0.73)^0.6 * _xlfn.XLOOKUP(B20,'Base stats'!B:B,'Base stats'!BU:BU),0.1),0.05)
))</f>
        <v>No</v>
      </c>
      <c r="H20" s="11" t="str">
        <f>IF(G20="No","No",
MAX(0.01,MROUND(_xlfn.XLOOKUP(B20,'Base stats'!B:B,'Base stats'!BE:BE) * 0.01 * 2, 0.01))
)</f>
        <v>No</v>
      </c>
      <c r="I20" s="11" t="str">
        <f>IF(G20="No","No",IF(_xlfn.XLOOKUP(B20,'Base stats'!B:B,'Base stats'!U:U)="No","No",
MAX(0.01,MROUND(_xlfn.XLOOKUP(B20,'Base stats'!B:B,'Base stats'!BQ:BQ)/10000,0.01))
))</f>
        <v>No</v>
      </c>
      <c r="J20" s="4" t="str">
        <f>IF(G20="No","No",
MROUND(_xlfn.XLOOKUP(B20,'Base stats'!B:B,'Base stats'!BB:BB)^0.25
/((_xlfn.XLOOKUP(B20,'Base stats'!B:B,'Base stats'!BI:BI))*10)*_xlfn.XLOOKUP(_xlfn.XLOOKUP(B20,'Base stats'!B:B,'Base stats'!E:E),Groups!A:A,Groups!Q:Q)*150 + 0.5 + _xlfn.XLOOKUP(B20,'Base stats'!B:B,'Base stats'!BT:BT),
0.05))</f>
        <v>No</v>
      </c>
      <c r="K20" s="3" t="str">
        <f>IF(Animals!W20="No","No",
IF(_xlfn.XLOOKUP(_xlfn.XLOOKUP(B20,'Base stats'!B:B,'Base stats'!E:E),Groups!A:A,Groups!BC:BC)=1,
MAX(MROUND(_xlfn.XLOOKUP(B20,'Base stats'!B:B,'Base stats'!BR:BR) * _xlfn.XLOOKUP(B20,'Base stats'!B:B,'Base stats'!BN:BN)^0.9 / 21 *_xlfn.XLOOKUP(B20,'Base stats'!B:B,'Base stats'!BU:BU),0.1),0.05),
MAX(MROUND(((MIN(10,_xlfn.XLOOKUP(B20,'Base stats'!B:B,'Base stats'!W:W)))^0.4*_xlfn.XLOOKUP(B20,'Base stats'!B:B,'Base stats'!BF:BF)^0.73)^0.6 *_xlfn.XLOOKUP(B20,'Base stats'!B:B,'Base stats'!BU:BU),0.1),0.05)
))</f>
        <v>No</v>
      </c>
      <c r="L20" s="11" t="str">
        <f>IF(K20="No","No",
MAX(0.01,MROUND(_xlfn.XLOOKUP(B20,'Base stats'!B:B,'Base stats'!BF:BF) * 0.01 *2, 0.01))
)</f>
        <v>No</v>
      </c>
      <c r="M20" s="5" t="str">
        <f>IF(K20="No","No",IF(_xlfn.XLOOKUP(_xlfn.XLOOKUP(B20,'Base stats'!B:B,'Base stats'!E:E),Groups!A:A,Groups!BC:BC)=1,"No",
MAX(0.01,MROUND(_xlfn.XLOOKUP(B20,'Base stats'!B:B,'Base stats'!BR:BR)/10000,0.01))
))</f>
        <v>No</v>
      </c>
      <c r="N20" s="4" t="str">
        <f>IF(K20="No","No",
MROUND(
  _xlfn.XLOOKUP(B20,'Base stats'!B:B,'Base stats'!AZ:AZ)^0.25
  / (_xlfn.XLOOKUP(B20,'Base stats'!B:B,'Base stats'!BJ:BJ)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stats'!BT:BT),
0.05))</f>
        <v>No</v>
      </c>
      <c r="O20" s="3">
        <f>IF(Animals!AC20="No","No",
MAX(MROUND((MIN(10,_xlfn.XLOOKUP(B20,'Base stats'!B:B,'Base stats'!V:V)*IF(_xlfn.XLOOKUP(_xlfn.XLOOKUP(B20,'Base stats'!B:B,'Base stats'!E:E),Groups!A:A,Groups!O:O)=0,1,0.33))^0.4*_xlfn.XLOOKUP(B20,'Base stats'!B:B,'Base stats'!BG:BG)^0.73)^0.6 *_xlfn.XLOOKUP(B20,'Base stats'!B:B,'Base stats'!BU:BU),0.1),0.05)
)</f>
        <v>3.7</v>
      </c>
      <c r="P20" s="11">
        <f>IF(O20="No","No",
MAX(0.01,MROUND(_xlfn.XLOOKUP(B20,'Base stats'!B:B,'Base stats'!BG:BG) * 0.01 * 2, 0.01))
)</f>
        <v>0.37</v>
      </c>
      <c r="Q20" s="5">
        <f>IF(O20="No","No",
MAX(0.01,MROUND(_xlfn.XLOOKUP(B20,'Base stats'!B:B,'Base stats'!BS:BS)/10000,0.01))
)</f>
        <v>7.0000000000000007E-2</v>
      </c>
      <c r="R20" s="4">
        <f>IF(O20="No","No",
MROUND(_xlfn.XLOOKUP(B20,'Base stats'!B:B,'Base stats'!AY:AY)^0.25
/((_xlfn.XLOOKUP(B20,'Base stats'!B:B,'Base stats'!BK:BK))*10)*_xlfn.XLOOKUP(_xlfn.XLOOKUP(B20,'Base stats'!B:B,'Base stats'!E:E),Groups!A:A,Groups!Z:Z)*150 + 0.5 + _xlfn.XLOOKUP(B20,'Base stats'!B:B,'Base stats'!BT:BT),
0.05))</f>
        <v>1.6500000000000001</v>
      </c>
      <c r="S20" s="3">
        <f>IF(Animals!AH20="No","No",
IF(_xlfn.XLOOKUP(B20,'Base stats'!B:B,'Base stats'!U:U)="No",
MAX(MROUND(_xlfn.XLOOKUP(B20,'Base stats'!B:B,'Base stats'!BQ:BQ) * _xlfn.XLOOKUP(B20,'Base stats'!B:B,'Base stats'!BM:BM)^0.9 / 21 * _xlfn.XLOOKUP(B20,'Base stats'!B:B,'Base stats'!BU:BU),0.1),0.05),
MAX(MROUND(((MIN(12,_xlfn.XLOOKUP(B20,'Base stats'!B:B,'Base stats'!U:U)))^0.4*_xlfn.XLOOKUP(B20,'Base stats'!B:B,'Base stats'!BE:BE)^0.73)^0.6 * _xlfn.XLOOKUP(B20,'Base stats'!B:B,'Base stats'!BU:BU),0.1),0.05)
))</f>
        <v>2.9000000000000004</v>
      </c>
      <c r="T20" s="11">
        <f>IF(S20="No","No",
MAX(0.01,MROUND(_xlfn.XLOOKUP(B20,'Base stats'!B:B,'Base stats'!BE:BE) * 0.01 * 2, 0.01))
)</f>
        <v>0.2</v>
      </c>
      <c r="U20" s="5">
        <f>IF(S20="No","No",IF(_xlfn.XLOOKUP(B20,'Base stats'!B:B,'Base stats'!U:U)="No","No",
MAX(0.01,MROUND(_xlfn.XLOOKUP(B20,'Base stats'!B:B,'Base stats'!BQ:BQ)/10000,0.01))
))</f>
        <v>0.04</v>
      </c>
      <c r="V20" s="4">
        <f>IF(S20="No","No",
MROUND(_xlfn.XLOOKUP(B20,'Base stats'!B:B,'Base stats'!BC:BC)^0.25
/((_xlfn.XLOOKUP(B20,'Base stats'!B:B,'Base stats'!BL:BL))*10)*_xlfn.XLOOKUP(_xlfn.XLOOKUP(B20,'Base stats'!B:B,'Base stats'!E:E),Groups!A:A,Groups!AE:AE)*150 + 0.5 + _xlfn.XLOOKUP(B20,'Base stats'!B:B,'Base stats'!BT:BT),
0.05))</f>
        <v>1.05</v>
      </c>
      <c r="W20" s="8">
        <f>MROUND(_xlfn.XLOOKUP(_xlfn.XLOOKUP(B20,'Base stats'!B:B,'Base stats'!E:E),Groups!A:A,Groups!BF:BF)*_xlfn.XLOOKUP(B20,'Base stats'!B:B,'Base stats'!C:C)^-0.165,0.01)</f>
        <v>1</v>
      </c>
      <c r="X20" s="1">
        <f>MROUND(_xlfn.XLOOKUP(_xlfn.XLOOKUP(B20,'Base stats'!B:B,'Base stats'!E:E),Groups!A:A,Groups!BG:BG)*_xlfn.XLOOKUP(B20,'Base stats'!B:B,'Base stats'!C:C)^0.165,0.01)</f>
        <v>0.31</v>
      </c>
      <c r="Y20" s="8">
        <f>MROUND(_xlfn.XLOOKUP(_xlfn.XLOOKUP(B20,'Base stats'!B:B,'Base stats'!E:E),Groups!A:A,Groups!BH:BH)*_xlfn.XLOOKUP(B20,'Base stats'!B:B,'Base stats'!C:C)^0.165,0.01)</f>
        <v>0.03</v>
      </c>
      <c r="Z20" s="18">
        <f>_xlfn.XLOOKUP(B20,'Base stats'!B:B,'Base stats'!AN:AN)*_xlfn.XLOOKUP(_xlfn.XLOOKUP(B20,'Base stats'!B:B,'Base stats'!E:E),Groups!A:A,Groups!H:H)/1000</f>
        <v>3.5860590876859583E-2</v>
      </c>
      <c r="AA20" s="18">
        <f>(1/2)*(_xlfn.XLOOKUP(_xlfn.XLOOKUP(B20,'Base stats'!B:B,'Base stats'!E:E),Groups!A:A,Groups!H:H)*_xlfn.XLOOKUP(_xlfn.XLOOKUP(B20,'Base stats'!B:B,'Base stats'!E:E),Groups!A:A,Groups!I:I))*_xlfn.XLOOKUP(B20,'Base stats'!B:B,'Base stats'!AN:AN)*0.01</f>
        <v>0.26895443157644688</v>
      </c>
      <c r="AB20" s="18">
        <f>250*(Animals!AN20+Animals!AO20)</f>
        <v>162.50000000000003</v>
      </c>
      <c r="AC20" s="18" t="str">
        <f>_xlfn.XLOOKUP(_xlfn.XLOOKUP(B20,'Base stats'!B:B,'Base stats'!E:E),Groups!A:A,Groups!BI:BI)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stats'!BP:BP) * (_xlfn.XLOOKUP(B21,'Base stats'!B:B,'Base stats'!AL:AL)*5%)^0.9 / 21,0.1),0.05)</f>
        <v>10.100000000000001</v>
      </c>
      <c r="E21" s="11">
        <f>MAX(0.01,MROUND(_xlfn.XLOOKUP(B21,'Base stats'!B:B,'Base stats'!BD:BD) * 0.01 * 2, 0.01))</f>
        <v>9.33</v>
      </c>
      <c r="F21" s="7">
        <f>MROUND(_xlfn.XLOOKUP(B21,'Base stats'!B:B,'Base stats'!BA:BA)^0.25 / (_xlfn.XLOOKUP(B21,'Base stats'!B:B,'Base stats'!BH:BH) * 10) * 150 + 0.5 + _xlfn.XLOOKUP(B21,'Base stats'!B:B,'Base stats'!BT:BT), 0.05)</f>
        <v>1.9000000000000001</v>
      </c>
      <c r="G21" s="3">
        <f>IF(Animals!R21="No","No",
IF(_xlfn.XLOOKUP(B21,'Base stats'!B:B,'Base stats'!U:U)="No",
MAX(MROUND(_xlfn.XLOOKUP(B21,'Base stats'!B:B,'Base stats'!BQ:BQ) * _xlfn.XLOOKUP(B21,'Base stats'!B:B,'Base stats'!BM:BM)^0.9 / 21 * _xlfn.XLOOKUP(B21,'Base stats'!B:B,'Base stats'!BU:BU),0.1),0.05),
MAX(MROUND(((MIN(10,_xlfn.XLOOKUP(B21,'Base stats'!B:B,'Base stats'!U:U)))^0.4*_xlfn.XLOOKUP(B21,'Base stats'!B:B,'Base stats'!BE:BE)^0.73)^0.6 * _xlfn.XLOOKUP(B21,'Base stats'!B:B,'Base stats'!BU:BU),0.1),0.05)
))</f>
        <v>16.8</v>
      </c>
      <c r="H21" s="11">
        <f>IF(G21="No","No",
MAX(0.01,MROUND(_xlfn.XLOOKUP(B21,'Base stats'!B:B,'Base stats'!BE:BE) * 0.01 * 2, 0.01))
)</f>
        <v>10.85</v>
      </c>
      <c r="I21" s="11" t="str">
        <f>IF(G21="No","No",IF(_xlfn.XLOOKUP(B21,'Base stats'!B:B,'Base stats'!U:U)="No","No",
MAX(0.01,MROUND(_xlfn.XLOOKUP(B21,'Base stats'!B:B,'Base stats'!BQ:BQ)/10000,0.01))
))</f>
        <v>No</v>
      </c>
      <c r="J21" s="4">
        <f>IF(G21="No","No",
MROUND(_xlfn.XLOOKUP(B21,'Base stats'!B:B,'Base stats'!BB:BB)^0.25
/((_xlfn.XLOOKUP(B21,'Base stats'!B:B,'Base stats'!BI:BI))*10)*_xlfn.XLOOKUP(_xlfn.XLOOKUP(B21,'Base stats'!B:B,'Base stats'!E:E),Groups!A:A,Groups!Q:Q)*150 + 0.5 + _xlfn.XLOOKUP(B21,'Base stats'!B:B,'Base stats'!BT:BT),
0.05))</f>
        <v>2.4500000000000002</v>
      </c>
      <c r="K21" s="3" t="str">
        <f>IF(Animals!W21="No","No",
IF(_xlfn.XLOOKUP(_xlfn.XLOOKUP(B21,'Base stats'!B:B,'Base stats'!E:E),Groups!A:A,Groups!BC:BC)=1,
MAX(MROUND(_xlfn.XLOOKUP(B21,'Base stats'!B:B,'Base stats'!BR:BR) * _xlfn.XLOOKUP(B21,'Base stats'!B:B,'Base stats'!BN:BN)^0.9 / 21 *_xlfn.XLOOKUP(B21,'Base stats'!B:B,'Base stats'!BU:BU),0.1),0.05),
MAX(MROUND(((MIN(10,_xlfn.XLOOKUP(B21,'Base stats'!B:B,'Base stats'!W:W)))^0.4*_xlfn.XLOOKUP(B21,'Base stats'!B:B,'Base stats'!BF:BF)^0.73)^0.6 *_xlfn.XLOOKUP(B21,'Base stats'!B:B,'Base stats'!BU:BU),0.1),0.05)
))</f>
        <v>No</v>
      </c>
      <c r="L21" s="11" t="str">
        <f>IF(K21="No","No",
MAX(0.01,MROUND(_xlfn.XLOOKUP(B21,'Base stats'!B:B,'Base stats'!BF:BF) * 0.01 *2, 0.01))
)</f>
        <v>No</v>
      </c>
      <c r="M21" s="5" t="str">
        <f>IF(K21="No","No",IF(_xlfn.XLOOKUP(_xlfn.XLOOKUP(B21,'Base stats'!B:B,'Base stats'!E:E),Groups!A:A,Groups!BC:BC)=1,"No",
MAX(0.01,MROUND(_xlfn.XLOOKUP(B21,'Base stats'!B:B,'Base stats'!BR:BR)/10000,0.01))
))</f>
        <v>No</v>
      </c>
      <c r="N21" s="4" t="str">
        <f>IF(K21="No","No",
MROUND(
  _xlfn.XLOOKUP(B21,'Base stats'!B:B,'Base stats'!AZ:AZ)^0.25
  / (_xlfn.XLOOKUP(B21,'Base stats'!B:B,'Base stats'!BJ:BJ)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stats'!BT:BT),
0.05))</f>
        <v>No</v>
      </c>
      <c r="O21" s="3">
        <f>IF(Animals!AC21="No","No",
MAX(MROUND((MIN(10,_xlfn.XLOOKUP(B21,'Base stats'!B:B,'Base stats'!V:V)*IF(_xlfn.XLOOKUP(_xlfn.XLOOKUP(B21,'Base stats'!B:B,'Base stats'!E:E),Groups!A:A,Groups!O:O)=0,1,0.33))^0.4*_xlfn.XLOOKUP(B21,'Base stats'!B:B,'Base stats'!BG:BG)^0.73)^0.6 *_xlfn.XLOOKUP(B21,'Base stats'!B:B,'Base stats'!BU:BU),0.1),0.05)
)</f>
        <v>14.200000000000001</v>
      </c>
      <c r="P21" s="11">
        <f>IF(O21="No","No",
MAX(0.01,MROUND(_xlfn.XLOOKUP(B21,'Base stats'!B:B,'Base stats'!BG:BG) * 0.01 * 2, 0.01))
)</f>
        <v>6.8500000000000005</v>
      </c>
      <c r="Q21" s="5">
        <f>IF(O21="No","No",
MAX(0.01,MROUND(_xlfn.XLOOKUP(B21,'Base stats'!B:B,'Base stats'!BS:BS)/10000,0.01))
)</f>
        <v>0.11</v>
      </c>
      <c r="R21" s="4">
        <f>IF(O21="No","No",
MROUND(_xlfn.XLOOKUP(B21,'Base stats'!B:B,'Base stats'!AY:AY)^0.25
/((_xlfn.XLOOKUP(B21,'Base stats'!B:B,'Base stats'!BK:BK))*10)*_xlfn.XLOOKUP(_xlfn.XLOOKUP(B21,'Base stats'!B:B,'Base stats'!E:E),Groups!A:A,Groups!Z:Z)*150 + 0.5 + _xlfn.XLOOKUP(B21,'Base stats'!B:B,'Base stats'!BT:BT),
0.05))</f>
        <v>2.85</v>
      </c>
      <c r="S21" s="3" t="str">
        <f>IF(Animals!AH21="No","No",
IF(_xlfn.XLOOKUP(B21,'Base stats'!B:B,'Base stats'!U:U)="No",
MAX(MROUND(_xlfn.XLOOKUP(B21,'Base stats'!B:B,'Base stats'!BQ:BQ) * _xlfn.XLOOKUP(B21,'Base stats'!B:B,'Base stats'!BM:BM)^0.9 / 21 * _xlfn.XLOOKUP(B21,'Base stats'!B:B,'Base stats'!BU:BU),0.1),0.05),
MAX(MROUND(((MIN(12,_xlfn.XLOOKUP(B21,'Base stats'!B:B,'Base stats'!U:U)))^0.4*_xlfn.XLOOKUP(B21,'Base stats'!B:B,'Base stats'!BE:BE)^0.73)^0.6 * _xlfn.XLOOKUP(B21,'Base stats'!B:B,'Base stats'!BU:BU),0.1),0.05)
))</f>
        <v>No</v>
      </c>
      <c r="T21" s="11" t="str">
        <f>IF(S21="No","No",
MAX(0.01,MROUND(_xlfn.XLOOKUP(B21,'Base stats'!B:B,'Base stats'!BE:BE) * 0.01 * 2, 0.01))
)</f>
        <v>No</v>
      </c>
      <c r="U21" s="5" t="str">
        <f>IF(S21="No","No",IF(_xlfn.XLOOKUP(B21,'Base stats'!B:B,'Base stats'!U:U)="No","No",
MAX(0.01,MROUND(_xlfn.XLOOKUP(B21,'Base stats'!B:B,'Base stats'!BQ:BQ)/10000,0.01))
))</f>
        <v>No</v>
      </c>
      <c r="V21" s="4" t="str">
        <f>IF(S21="No","No",
MROUND(_xlfn.XLOOKUP(B21,'Base stats'!B:B,'Base stats'!BC:BC)^0.25
/((_xlfn.XLOOKUP(B21,'Base stats'!B:B,'Base stats'!BL:BL))*10)*_xlfn.XLOOKUP(_xlfn.XLOOKUP(B21,'Base stats'!B:B,'Base stats'!E:E),Groups!A:A,Groups!AE:AE)*150 + 0.5 + _xlfn.XLOOKUP(B21,'Base stats'!B:B,'Base stats'!BT:BT),
0.05))</f>
        <v>No</v>
      </c>
      <c r="W21" s="8">
        <f>MROUND(_xlfn.XLOOKUP(_xlfn.XLOOKUP(B21,'Base stats'!B:B,'Base stats'!E:E),Groups!A:A,Groups!BF:BF)*_xlfn.XLOOKUP(B21,'Base stats'!B:B,'Base stats'!C:C)^-0.165,0.01)</f>
        <v>0.26</v>
      </c>
      <c r="X21" s="1">
        <f>MROUND(_xlfn.XLOOKUP(_xlfn.XLOOKUP(B21,'Base stats'!B:B,'Base stats'!E:E),Groups!A:A,Groups!BG:BG)*_xlfn.XLOOKUP(B21,'Base stats'!B:B,'Base stats'!C:C)^0.165,0.01)</f>
        <v>0</v>
      </c>
      <c r="Y21" s="8">
        <f>MROUND(_xlfn.XLOOKUP(_xlfn.XLOOKUP(B21,'Base stats'!B:B,'Base stats'!E:E),Groups!A:A,Groups!BH:BH)*_xlfn.XLOOKUP(B21,'Base stats'!B:B,'Base stats'!C:C)^0.165,0.01)</f>
        <v>0</v>
      </c>
      <c r="Z21" s="18">
        <f>_xlfn.XLOOKUP(B21,'Base stats'!B:B,'Base stats'!AN:AN)*_xlfn.XLOOKUP(_xlfn.XLOOKUP(B21,'Base stats'!B:B,'Base stats'!E:E),Groups!A:A,Groups!H:H)/1000</f>
        <v>7.1101521784037336E-2</v>
      </c>
      <c r="AA21" s="18">
        <f>(1/2)*(_xlfn.XLOOKUP(_xlfn.XLOOKUP(B21,'Base stats'!B:B,'Base stats'!E:E),Groups!A:A,Groups!H:H)*_xlfn.XLOOKUP(_xlfn.XLOOKUP(B21,'Base stats'!B:B,'Base stats'!E:E),Groups!A:A,Groups!I:I))*_xlfn.XLOOKUP(B21,'Base stats'!B:B,'Base stats'!AN:AN)*0.01</f>
        <v>0.39105836981220543</v>
      </c>
      <c r="AB21" s="18">
        <f>250*(Animals!AN21+Animals!AO21)</f>
        <v>1375</v>
      </c>
      <c r="AC21" s="18" t="str">
        <f>_xlfn.XLOOKUP(_xlfn.XLOOKUP(B21,'Base stats'!B:B,'Base stats'!E:E),Groups!A:A,Groups!BI:BI)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stats'!BP:BP) * (_xlfn.XLOOKUP(B22,'Base stats'!B:B,'Base stats'!AL:AL)*5%)^0.9 / 21,0.1),0.05)</f>
        <v>4.7</v>
      </c>
      <c r="E22" s="11">
        <f>MAX(0.01,MROUND(_xlfn.XLOOKUP(B22,'Base stats'!B:B,'Base stats'!BD:BD) * 0.01 * 2, 0.01))</f>
        <v>4.08</v>
      </c>
      <c r="F22" s="7">
        <f>MROUND(_xlfn.XLOOKUP(B22,'Base stats'!B:B,'Base stats'!BA:BA)^0.25 / (_xlfn.XLOOKUP(B22,'Base stats'!B:B,'Base stats'!BH:BH) * 10) * 150 + 0.5 + _xlfn.XLOOKUP(B22,'Base stats'!B:B,'Base stats'!BT:BT), 0.05)</f>
        <v>1.75</v>
      </c>
      <c r="G22" s="3">
        <f>IF(Animals!R22="No","No",
IF(_xlfn.XLOOKUP(B22,'Base stats'!B:B,'Base stats'!U:U)="No",
MAX(MROUND(_xlfn.XLOOKUP(B22,'Base stats'!B:B,'Base stats'!BQ:BQ) * _xlfn.XLOOKUP(B22,'Base stats'!B:B,'Base stats'!BM:BM)^0.9 / 21 * _xlfn.XLOOKUP(B22,'Base stats'!B:B,'Base stats'!BU:BU),0.1),0.05),
MAX(MROUND(((MIN(10,_xlfn.XLOOKUP(B22,'Base stats'!B:B,'Base stats'!U:U)))^0.4*_xlfn.XLOOKUP(B22,'Base stats'!B:B,'Base stats'!BE:BE)^0.73)^0.6 * _xlfn.XLOOKUP(B22,'Base stats'!B:B,'Base stats'!BU:BU),0.1),0.05)
))</f>
        <v>8.4</v>
      </c>
      <c r="H22" s="11">
        <f>IF(G22="No","No",
MAX(0.01,MROUND(_xlfn.XLOOKUP(B22,'Base stats'!B:B,'Base stats'!BE:BE) * 0.01 * 2, 0.01))
)</f>
        <v>4.99</v>
      </c>
      <c r="I22" s="11" t="str">
        <f>IF(G22="No","No",IF(_xlfn.XLOOKUP(B22,'Base stats'!B:B,'Base stats'!U:U)="No","No",
MAX(0.01,MROUND(_xlfn.XLOOKUP(B22,'Base stats'!B:B,'Base stats'!BQ:BQ)/10000,0.01))
))</f>
        <v>No</v>
      </c>
      <c r="J22" s="4">
        <f>IF(G22="No","No",
MROUND(_xlfn.XLOOKUP(B22,'Base stats'!B:B,'Base stats'!BB:BB)^0.25
/((_xlfn.XLOOKUP(B22,'Base stats'!B:B,'Base stats'!BI:BI))*10)*_xlfn.XLOOKUP(_xlfn.XLOOKUP(B22,'Base stats'!B:B,'Base stats'!E:E),Groups!A:A,Groups!Q:Q)*150 + 0.5 + _xlfn.XLOOKUP(B22,'Base stats'!B:B,'Base stats'!BT:BT),
0.05))</f>
        <v>2.1</v>
      </c>
      <c r="K22" s="3" t="str">
        <f>IF(Animals!W22="No","No",
IF(_xlfn.XLOOKUP(_xlfn.XLOOKUP(B22,'Base stats'!B:B,'Base stats'!E:E),Groups!A:A,Groups!BC:BC)=1,
MAX(MROUND(_xlfn.XLOOKUP(B22,'Base stats'!B:B,'Base stats'!BR:BR) * _xlfn.XLOOKUP(B22,'Base stats'!B:B,'Base stats'!BN:BN)^0.9 / 21 *_xlfn.XLOOKUP(B22,'Base stats'!B:B,'Base stats'!BU:BU),0.1),0.05),
MAX(MROUND(((MIN(10,_xlfn.XLOOKUP(B22,'Base stats'!B:B,'Base stats'!W:W)))^0.4*_xlfn.XLOOKUP(B22,'Base stats'!B:B,'Base stats'!BF:BF)^0.73)^0.6 *_xlfn.XLOOKUP(B22,'Base stats'!B:B,'Base stats'!BU:BU),0.1),0.05)
))</f>
        <v>No</v>
      </c>
      <c r="L22" s="11" t="str">
        <f>IF(K22="No","No",
MAX(0.01,MROUND(_xlfn.XLOOKUP(B22,'Base stats'!B:B,'Base stats'!BF:BF) * 0.01 *2, 0.01))
)</f>
        <v>No</v>
      </c>
      <c r="M22" s="5" t="str">
        <f>IF(K22="No","No",IF(_xlfn.XLOOKUP(_xlfn.XLOOKUP(B22,'Base stats'!B:B,'Base stats'!E:E),Groups!A:A,Groups!BC:BC)=1,"No",
MAX(0.01,MROUND(_xlfn.XLOOKUP(B22,'Base stats'!B:B,'Base stats'!BR:BR)/10000,0.01))
))</f>
        <v>No</v>
      </c>
      <c r="N22" s="4" t="str">
        <f>IF(K22="No","No",
MROUND(
  _xlfn.XLOOKUP(B22,'Base stats'!B:B,'Base stats'!AZ:AZ)^0.25
  / (_xlfn.XLOOKUP(B22,'Base stats'!B:B,'Base stats'!BJ:BJ)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stats'!BT:BT),
0.05))</f>
        <v>No</v>
      </c>
      <c r="O22" s="3">
        <f>IF(Animals!AC22="No","No",
MAX(MROUND((MIN(10,_xlfn.XLOOKUP(B22,'Base stats'!B:B,'Base stats'!V:V)*IF(_xlfn.XLOOKUP(_xlfn.XLOOKUP(B22,'Base stats'!B:B,'Base stats'!E:E),Groups!A:A,Groups!O:O)=0,1,0.33))^0.4*_xlfn.XLOOKUP(B22,'Base stats'!B:B,'Base stats'!BG:BG)^0.73)^0.6 *_xlfn.XLOOKUP(B22,'Base stats'!B:B,'Base stats'!BU:BU),0.1),0.05)
)</f>
        <v>10.700000000000001</v>
      </c>
      <c r="P22" s="11">
        <f>IF(O22="No","No",
MAX(0.01,MROUND(_xlfn.XLOOKUP(B22,'Base stats'!B:B,'Base stats'!BG:BG) * 0.01 * 2, 0.01))
)</f>
        <v>3.56</v>
      </c>
      <c r="Q22" s="5">
        <f>IF(O22="No","No",
MAX(0.01,MROUND(_xlfn.XLOOKUP(B22,'Base stats'!B:B,'Base stats'!BS:BS)/10000,0.01))
)</f>
        <v>0.12</v>
      </c>
      <c r="R22" s="4">
        <f>IF(O22="No","No",
MROUND(_xlfn.XLOOKUP(B22,'Base stats'!B:B,'Base stats'!AY:AY)^0.25
/((_xlfn.XLOOKUP(B22,'Base stats'!B:B,'Base stats'!BK:BK))*10)*_xlfn.XLOOKUP(_xlfn.XLOOKUP(B22,'Base stats'!B:B,'Base stats'!E:E),Groups!A:A,Groups!Z:Z)*150 + 0.5 + _xlfn.XLOOKUP(B22,'Base stats'!B:B,'Base stats'!BT:BT),
0.05))</f>
        <v>2.85</v>
      </c>
      <c r="S22" s="3" t="str">
        <f>IF(Animals!AH22="No","No",
IF(_xlfn.XLOOKUP(B22,'Base stats'!B:B,'Base stats'!U:U)="No",
MAX(MROUND(_xlfn.XLOOKUP(B22,'Base stats'!B:B,'Base stats'!BQ:BQ) * _xlfn.XLOOKUP(B22,'Base stats'!B:B,'Base stats'!BM:BM)^0.9 / 21 * _xlfn.XLOOKUP(B22,'Base stats'!B:B,'Base stats'!BU:BU),0.1),0.05),
MAX(MROUND(((MIN(12,_xlfn.XLOOKUP(B22,'Base stats'!B:B,'Base stats'!U:U)))^0.4*_xlfn.XLOOKUP(B22,'Base stats'!B:B,'Base stats'!BE:BE)^0.73)^0.6 * _xlfn.XLOOKUP(B22,'Base stats'!B:B,'Base stats'!BU:BU),0.1),0.05)
))</f>
        <v>No</v>
      </c>
      <c r="T22" s="11" t="str">
        <f>IF(S22="No","No",
MAX(0.01,MROUND(_xlfn.XLOOKUP(B22,'Base stats'!B:B,'Base stats'!BE:BE) * 0.01 * 2, 0.01))
)</f>
        <v>No</v>
      </c>
      <c r="U22" s="5" t="str">
        <f>IF(S22="No","No",IF(_xlfn.XLOOKUP(B22,'Base stats'!B:B,'Base stats'!U:U)="No","No",
MAX(0.01,MROUND(_xlfn.XLOOKUP(B22,'Base stats'!B:B,'Base stats'!BQ:BQ)/10000,0.01))
))</f>
        <v>No</v>
      </c>
      <c r="V22" s="4" t="str">
        <f>IF(S22="No","No",
MROUND(_xlfn.XLOOKUP(B22,'Base stats'!B:B,'Base stats'!BC:BC)^0.25
/((_xlfn.XLOOKUP(B22,'Base stats'!B:B,'Base stats'!BL:BL))*10)*_xlfn.XLOOKUP(_xlfn.XLOOKUP(B22,'Base stats'!B:B,'Base stats'!E:E),Groups!A:A,Groups!AE:AE)*150 + 0.5 + _xlfn.XLOOKUP(B22,'Base stats'!B:B,'Base stats'!BT:BT),
0.05))</f>
        <v>No</v>
      </c>
      <c r="W22" s="8">
        <f>MROUND(_xlfn.XLOOKUP(_xlfn.XLOOKUP(B22,'Base stats'!B:B,'Base stats'!E:E),Groups!A:A,Groups!BF:BF)*_xlfn.XLOOKUP(B22,'Base stats'!B:B,'Base stats'!C:C)^-0.165,0.01)</f>
        <v>0.3</v>
      </c>
      <c r="X22" s="1">
        <f>MROUND(_xlfn.XLOOKUP(_xlfn.XLOOKUP(B22,'Base stats'!B:B,'Base stats'!E:E),Groups!A:A,Groups!BG:BG)*_xlfn.XLOOKUP(B22,'Base stats'!B:B,'Base stats'!C:C)^0.165,0.01)</f>
        <v>0</v>
      </c>
      <c r="Y22" s="8">
        <f>MROUND(_xlfn.XLOOKUP(_xlfn.XLOOKUP(B22,'Base stats'!B:B,'Base stats'!E:E),Groups!A:A,Groups!BH:BH)*_xlfn.XLOOKUP(B22,'Base stats'!B:B,'Base stats'!C:C)^0.165,0.01)</f>
        <v>0</v>
      </c>
      <c r="Z22" s="18">
        <f>_xlfn.XLOOKUP(B22,'Base stats'!B:B,'Base stats'!AN:AN)*_xlfn.XLOOKUP(_xlfn.XLOOKUP(B22,'Base stats'!B:B,'Base stats'!E:E),Groups!A:A,Groups!H:H)/1000</f>
        <v>5.4594422113062556E-2</v>
      </c>
      <c r="AA22" s="18">
        <f>(1/2)*(_xlfn.XLOOKUP(_xlfn.XLOOKUP(B22,'Base stats'!B:B,'Base stats'!E:E),Groups!A:A,Groups!H:H)*_xlfn.XLOOKUP(_xlfn.XLOOKUP(B22,'Base stats'!B:B,'Base stats'!E:E),Groups!A:A,Groups!I:I))*_xlfn.XLOOKUP(B22,'Base stats'!B:B,'Base stats'!AN:AN)*0.01</f>
        <v>0.30026932162184411</v>
      </c>
      <c r="AB22" s="18">
        <f>250*(Animals!AN22+Animals!AO22)</f>
        <v>800</v>
      </c>
      <c r="AC22" s="18" t="str">
        <f>_xlfn.XLOOKUP(_xlfn.XLOOKUP(B22,'Base stats'!B:B,'Base stats'!E:E),Groups!A:A,Groups!BI:BI)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stats'!BP:BP) * (_xlfn.XLOOKUP(B23,'Base stats'!B:B,'Base stats'!AL:AL)*5%)^0.9 / 21,0.1),0.05)</f>
        <v>0.2</v>
      </c>
      <c r="E23" s="11">
        <f>MAX(0.01,MROUND(_xlfn.XLOOKUP(B23,'Base stats'!B:B,'Base stats'!BD:BD) * 0.01 * 2, 0.01))</f>
        <v>0.14000000000000001</v>
      </c>
      <c r="F23" s="7">
        <f>MROUND(_xlfn.XLOOKUP(B23,'Base stats'!B:B,'Base stats'!BA:BA)^0.25 / (_xlfn.XLOOKUP(B23,'Base stats'!B:B,'Base stats'!BH:BH) * 10) * 150 + 0.5 + _xlfn.XLOOKUP(B23,'Base stats'!B:B,'Base stats'!BT:BT), 0.05)</f>
        <v>1.3</v>
      </c>
      <c r="G23" s="3" t="str">
        <f>IF(Animals!R23="No","No",
IF(_xlfn.XLOOKUP(B23,'Base stats'!B:B,'Base stats'!U:U)="No",
MAX(MROUND(_xlfn.XLOOKUP(B23,'Base stats'!B:B,'Base stats'!BQ:BQ) * _xlfn.XLOOKUP(B23,'Base stats'!B:B,'Base stats'!BM:BM)^0.9 / 21 * _xlfn.XLOOKUP(B23,'Base stats'!B:B,'Base stats'!BU:BU),0.1),0.05),
MAX(MROUND(((MIN(10,_xlfn.XLOOKUP(B23,'Base stats'!B:B,'Base stats'!U:U)))^0.4*_xlfn.XLOOKUP(B23,'Base stats'!B:B,'Base stats'!BE:BE)^0.73)^0.6 * _xlfn.XLOOKUP(B23,'Base stats'!B:B,'Base stats'!BU:BU),0.1),0.05)
))</f>
        <v>No</v>
      </c>
      <c r="H23" s="11" t="str">
        <f>IF(G23="No","No",
MAX(0.01,MROUND(_xlfn.XLOOKUP(B23,'Base stats'!B:B,'Base stats'!BE:BE) * 0.01 * 2, 0.01))
)</f>
        <v>No</v>
      </c>
      <c r="I23" s="11" t="str">
        <f>IF(G23="No","No",IF(_xlfn.XLOOKUP(B23,'Base stats'!B:B,'Base stats'!U:U)="No","No",
MAX(0.01,MROUND(_xlfn.XLOOKUP(B23,'Base stats'!B:B,'Base stats'!BQ:BQ)/10000,0.01))
))</f>
        <v>No</v>
      </c>
      <c r="J23" s="4" t="str">
        <f>IF(G23="No","No",
MROUND(_xlfn.XLOOKUP(B23,'Base stats'!B:B,'Base stats'!BB:BB)^0.25
/((_xlfn.XLOOKUP(B23,'Base stats'!B:B,'Base stats'!BI:BI))*10)*_xlfn.XLOOKUP(_xlfn.XLOOKUP(B23,'Base stats'!B:B,'Base stats'!E:E),Groups!A:A,Groups!Q:Q)*150 + 0.5 + _xlfn.XLOOKUP(B23,'Base stats'!B:B,'Base stats'!BT:BT),
0.05))</f>
        <v>No</v>
      </c>
      <c r="K23" s="3" t="str">
        <f>IF(Animals!W23="No","No",
IF(_xlfn.XLOOKUP(_xlfn.XLOOKUP(B23,'Base stats'!B:B,'Base stats'!E:E),Groups!A:A,Groups!BC:BC)=1,
MAX(MROUND(_xlfn.XLOOKUP(B23,'Base stats'!B:B,'Base stats'!BR:BR) * _xlfn.XLOOKUP(B23,'Base stats'!B:B,'Base stats'!BN:BN)^0.9 / 21 *_xlfn.XLOOKUP(B23,'Base stats'!B:B,'Base stats'!BU:BU),0.1),0.05),
MAX(MROUND(((MIN(10,_xlfn.XLOOKUP(B23,'Base stats'!B:B,'Base stats'!W:W)))^0.4*_xlfn.XLOOKUP(B23,'Base stats'!B:B,'Base stats'!BF:BF)^0.73)^0.6 *_xlfn.XLOOKUP(B23,'Base stats'!B:B,'Base stats'!BU:BU),0.1),0.05)
))</f>
        <v>No</v>
      </c>
      <c r="L23" s="11" t="str">
        <f>IF(K23="No","No",
MAX(0.01,MROUND(_xlfn.XLOOKUP(B23,'Base stats'!B:B,'Base stats'!BF:BF) * 0.01 *2, 0.01))
)</f>
        <v>No</v>
      </c>
      <c r="M23" s="5" t="str">
        <f>IF(K23="No","No",IF(_xlfn.XLOOKUP(_xlfn.XLOOKUP(B23,'Base stats'!B:B,'Base stats'!E:E),Groups!A:A,Groups!BC:BC)=1,"No",
MAX(0.01,MROUND(_xlfn.XLOOKUP(B23,'Base stats'!B:B,'Base stats'!BR:BR)/10000,0.01))
))</f>
        <v>No</v>
      </c>
      <c r="N23" s="4" t="str">
        <f>IF(K23="No","No",
MROUND(
  _xlfn.XLOOKUP(B23,'Base stats'!B:B,'Base stats'!AZ:AZ)^0.25
  / (_xlfn.XLOOKUP(B23,'Base stats'!B:B,'Base stats'!BJ:BJ)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stats'!BT:BT),
0.05))</f>
        <v>No</v>
      </c>
      <c r="O23" s="3">
        <f>IF(Animals!AC23="No","No",
MAX(MROUND((MIN(10,_xlfn.XLOOKUP(B23,'Base stats'!B:B,'Base stats'!V:V)*IF(_xlfn.XLOOKUP(_xlfn.XLOOKUP(B23,'Base stats'!B:B,'Base stats'!E:E),Groups!A:A,Groups!O:O)=0,1,0.33))^0.4*_xlfn.XLOOKUP(B23,'Base stats'!B:B,'Base stats'!BG:BG)^0.73)^0.6 *_xlfn.XLOOKUP(B23,'Base stats'!B:B,'Base stats'!BU:BU),0.1),0.05)
)</f>
        <v>2.4000000000000004</v>
      </c>
      <c r="P23" s="11">
        <f>IF(O23="No","No",
MAX(0.01,MROUND(_xlfn.XLOOKUP(B23,'Base stats'!B:B,'Base stats'!BG:BG) * 0.01 * 2, 0.01))
)</f>
        <v>0.19</v>
      </c>
      <c r="Q23" s="5">
        <f>IF(O23="No","No",
MAX(0.01,MROUND(_xlfn.XLOOKUP(B23,'Base stats'!B:B,'Base stats'!BS:BS)/10000,0.01))
)</f>
        <v>0.04</v>
      </c>
      <c r="R23" s="4">
        <f>IF(O23="No","No",
MROUND(_xlfn.XLOOKUP(B23,'Base stats'!B:B,'Base stats'!AY:AY)^0.25
/((_xlfn.XLOOKUP(B23,'Base stats'!B:B,'Base stats'!BK:BK))*10)*_xlfn.XLOOKUP(_xlfn.XLOOKUP(B23,'Base stats'!B:B,'Base stats'!E:E),Groups!A:A,Groups!Z:Z)*150 + 0.5 + _xlfn.XLOOKUP(B23,'Base stats'!B:B,'Base stats'!BT:BT),
0.05))</f>
        <v>2.1</v>
      </c>
      <c r="S23" s="3" t="str">
        <f>IF(Animals!AH23="No","No",
IF(_xlfn.XLOOKUP(B23,'Base stats'!B:B,'Base stats'!U:U)="No",
MAX(MROUND(_xlfn.XLOOKUP(B23,'Base stats'!B:B,'Base stats'!BQ:BQ) * _xlfn.XLOOKUP(B23,'Base stats'!B:B,'Base stats'!BM:BM)^0.9 / 21 * _xlfn.XLOOKUP(B23,'Base stats'!B:B,'Base stats'!BU:BU),0.1),0.05),
MAX(MROUND(((MIN(12,_xlfn.XLOOKUP(B23,'Base stats'!B:B,'Base stats'!U:U)))^0.4*_xlfn.XLOOKUP(B23,'Base stats'!B:B,'Base stats'!BE:BE)^0.73)^0.6 * _xlfn.XLOOKUP(B23,'Base stats'!B:B,'Base stats'!BU:BU),0.1),0.05)
))</f>
        <v>No</v>
      </c>
      <c r="T23" s="11" t="str">
        <f>IF(S23="No","No",
MAX(0.01,MROUND(_xlfn.XLOOKUP(B23,'Base stats'!B:B,'Base stats'!BE:BE) * 0.01 * 2, 0.01))
)</f>
        <v>No</v>
      </c>
      <c r="U23" s="5" t="str">
        <f>IF(S23="No","No",IF(_xlfn.XLOOKUP(B23,'Base stats'!B:B,'Base stats'!U:U)="No","No",
MAX(0.01,MROUND(_xlfn.XLOOKUP(B23,'Base stats'!B:B,'Base stats'!BQ:BQ)/10000,0.01))
))</f>
        <v>No</v>
      </c>
      <c r="V23" s="4" t="str">
        <f>IF(S23="No","No",
MROUND(_xlfn.XLOOKUP(B23,'Base stats'!B:B,'Base stats'!BC:BC)^0.25
/((_xlfn.XLOOKUP(B23,'Base stats'!B:B,'Base stats'!BL:BL))*10)*_xlfn.XLOOKUP(_xlfn.XLOOKUP(B23,'Base stats'!B:B,'Base stats'!E:E),Groups!A:A,Groups!AE:AE)*150 + 0.5 + _xlfn.XLOOKUP(B23,'Base stats'!B:B,'Base stats'!BT:BT),
0.05))</f>
        <v>No</v>
      </c>
      <c r="W23" s="8">
        <f>MROUND(_xlfn.XLOOKUP(_xlfn.XLOOKUP(B23,'Base stats'!B:B,'Base stats'!E:E),Groups!A:A,Groups!BF:BF)*_xlfn.XLOOKUP(B23,'Base stats'!B:B,'Base stats'!C:C)^-0.165,0.01)</f>
        <v>0.55000000000000004</v>
      </c>
      <c r="X23" s="1">
        <f>MROUND(_xlfn.XLOOKUP(_xlfn.XLOOKUP(B23,'Base stats'!B:B,'Base stats'!E:E),Groups!A:A,Groups!BG:BG)*_xlfn.XLOOKUP(B23,'Base stats'!B:B,'Base stats'!C:C)^0.165,0.01)</f>
        <v>0</v>
      </c>
      <c r="Y23" s="8">
        <f>MROUND(_xlfn.XLOOKUP(_xlfn.XLOOKUP(B23,'Base stats'!B:B,'Base stats'!E:E),Groups!A:A,Groups!BH:BH)*_xlfn.XLOOKUP(B23,'Base stats'!B:B,'Base stats'!C:C)^0.165,0.01)</f>
        <v>0</v>
      </c>
      <c r="Z23" s="18">
        <f>_xlfn.XLOOKUP(B23,'Base stats'!B:B,'Base stats'!AN:AN)*_xlfn.XLOOKUP(_xlfn.XLOOKUP(B23,'Base stats'!B:B,'Base stats'!E:E),Groups!A:A,Groups!H:H)/1000</f>
        <v>1.8796190382636017E-2</v>
      </c>
      <c r="AA23" s="18">
        <f>(1/2)*(_xlfn.XLOOKUP(_xlfn.XLOOKUP(B23,'Base stats'!B:B,'Base stats'!E:E),Groups!A:A,Groups!H:H)*_xlfn.XLOOKUP(_xlfn.XLOOKUP(B23,'Base stats'!B:B,'Base stats'!E:E),Groups!A:A,Groups!I:I))*_xlfn.XLOOKUP(B23,'Base stats'!B:B,'Base stats'!AN:AN)*0.01</f>
        <v>0.10337904710449811</v>
      </c>
      <c r="AB23" s="18">
        <f>250*(Animals!AN23+Animals!AO23)</f>
        <v>150.00000000000003</v>
      </c>
      <c r="AC23" s="18" t="str">
        <f>_xlfn.XLOOKUP(_xlfn.XLOOKUP(B23,'Base stats'!B:B,'Base stats'!E:E),Groups!A:A,Groups!BI:BI)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stats'!BP:BP) * (_xlfn.XLOOKUP(B24,'Base stats'!B:B,'Base stats'!AL:AL)*5%)^0.9 / 21,0.1),0.05)</f>
        <v>0.2</v>
      </c>
      <c r="E24" s="11">
        <f>MAX(0.01,MROUND(_xlfn.XLOOKUP(B24,'Base stats'!B:B,'Base stats'!BD:BD) * 0.01 * 2, 0.01))</f>
        <v>0.14000000000000001</v>
      </c>
      <c r="F24" s="7">
        <f>MROUND(_xlfn.XLOOKUP(B24,'Base stats'!B:B,'Base stats'!BA:BA)^0.25 / (_xlfn.XLOOKUP(B24,'Base stats'!B:B,'Base stats'!BH:BH) * 10) * 150 + 0.5 + _xlfn.XLOOKUP(B24,'Base stats'!B:B,'Base stats'!BT:BT), 0.05)</f>
        <v>1.3</v>
      </c>
      <c r="G24" s="3" t="str">
        <f>IF(Animals!R24="No","No",
IF(_xlfn.XLOOKUP(B24,'Base stats'!B:B,'Base stats'!U:U)="No",
MAX(MROUND(_xlfn.XLOOKUP(B24,'Base stats'!B:B,'Base stats'!BQ:BQ) * _xlfn.XLOOKUP(B24,'Base stats'!B:B,'Base stats'!BM:BM)^0.9 / 21 * _xlfn.XLOOKUP(B24,'Base stats'!B:B,'Base stats'!BU:BU),0.1),0.05),
MAX(MROUND(((MIN(10,_xlfn.XLOOKUP(B24,'Base stats'!B:B,'Base stats'!U:U)))^0.4*_xlfn.XLOOKUP(B24,'Base stats'!B:B,'Base stats'!BE:BE)^0.73)^0.6 * _xlfn.XLOOKUP(B24,'Base stats'!B:B,'Base stats'!BU:BU),0.1),0.05)
))</f>
        <v>No</v>
      </c>
      <c r="H24" s="11" t="str">
        <f>IF(G24="No","No",
MAX(0.01,MROUND(_xlfn.XLOOKUP(B24,'Base stats'!B:B,'Base stats'!BE:BE) * 0.01 * 2, 0.01))
)</f>
        <v>No</v>
      </c>
      <c r="I24" s="11" t="str">
        <f>IF(G24="No","No",IF(_xlfn.XLOOKUP(B24,'Base stats'!B:B,'Base stats'!U:U)="No","No",
MAX(0.01,MROUND(_xlfn.XLOOKUP(B24,'Base stats'!B:B,'Base stats'!BQ:BQ)/10000,0.01))
))</f>
        <v>No</v>
      </c>
      <c r="J24" s="4" t="str">
        <f>IF(G24="No","No",
MROUND(_xlfn.XLOOKUP(B24,'Base stats'!B:B,'Base stats'!BB:BB)^0.25
/((_xlfn.XLOOKUP(B24,'Base stats'!B:B,'Base stats'!BI:BI))*10)*_xlfn.XLOOKUP(_xlfn.XLOOKUP(B24,'Base stats'!B:B,'Base stats'!E:E),Groups!A:A,Groups!Q:Q)*150 + 0.5 + _xlfn.XLOOKUP(B24,'Base stats'!B:B,'Base stats'!BT:BT),
0.05))</f>
        <v>No</v>
      </c>
      <c r="K24" s="3" t="str">
        <f>IF(Animals!W24="No","No",
IF(_xlfn.XLOOKUP(_xlfn.XLOOKUP(B24,'Base stats'!B:B,'Base stats'!E:E),Groups!A:A,Groups!BC:BC)=1,
MAX(MROUND(_xlfn.XLOOKUP(B24,'Base stats'!B:B,'Base stats'!BR:BR) * _xlfn.XLOOKUP(B24,'Base stats'!B:B,'Base stats'!BN:BN)^0.9 / 21 *_xlfn.XLOOKUP(B24,'Base stats'!B:B,'Base stats'!BU:BU),0.1),0.05),
MAX(MROUND(((MIN(10,_xlfn.XLOOKUP(B24,'Base stats'!B:B,'Base stats'!W:W)))^0.4*_xlfn.XLOOKUP(B24,'Base stats'!B:B,'Base stats'!BF:BF)^0.73)^0.6 *_xlfn.XLOOKUP(B24,'Base stats'!B:B,'Base stats'!BU:BU),0.1),0.05)
))</f>
        <v>No</v>
      </c>
      <c r="L24" s="11" t="str">
        <f>IF(K24="No","No",
MAX(0.01,MROUND(_xlfn.XLOOKUP(B24,'Base stats'!B:B,'Base stats'!BF:BF) * 0.01 *2, 0.01))
)</f>
        <v>No</v>
      </c>
      <c r="M24" s="5" t="str">
        <f>IF(K24="No","No",IF(_xlfn.XLOOKUP(_xlfn.XLOOKUP(B24,'Base stats'!B:B,'Base stats'!E:E),Groups!A:A,Groups!BC:BC)=1,"No",
MAX(0.01,MROUND(_xlfn.XLOOKUP(B24,'Base stats'!B:B,'Base stats'!BR:BR)/10000,0.01))
))</f>
        <v>No</v>
      </c>
      <c r="N24" s="4" t="str">
        <f>IF(K24="No","No",
MROUND(
  _xlfn.XLOOKUP(B24,'Base stats'!B:B,'Base stats'!AZ:AZ)^0.25
  / (_xlfn.XLOOKUP(B24,'Base stats'!B:B,'Base stats'!BJ:BJ)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stats'!BT:BT),
0.05))</f>
        <v>No</v>
      </c>
      <c r="O24" s="3">
        <f>IF(Animals!AC24="No","No",
MAX(MROUND((MIN(10,_xlfn.XLOOKUP(B24,'Base stats'!B:B,'Base stats'!V:V)*IF(_xlfn.XLOOKUP(_xlfn.XLOOKUP(B24,'Base stats'!B:B,'Base stats'!E:E),Groups!A:A,Groups!O:O)=0,1,0.33))^0.4*_xlfn.XLOOKUP(B24,'Base stats'!B:B,'Base stats'!BG:BG)^0.73)^0.6 *_xlfn.XLOOKUP(B24,'Base stats'!B:B,'Base stats'!BU:BU),0.1),0.05)
)</f>
        <v>2.4000000000000004</v>
      </c>
      <c r="P24" s="11">
        <f>IF(O24="No","No",
MAX(0.01,MROUND(_xlfn.XLOOKUP(B24,'Base stats'!B:B,'Base stats'!BG:BG) * 0.01 * 2, 0.01))
)</f>
        <v>0.19</v>
      </c>
      <c r="Q24" s="5">
        <f>IF(O24="No","No",
MAX(0.01,MROUND(_xlfn.XLOOKUP(B24,'Base stats'!B:B,'Base stats'!BS:BS)/10000,0.01))
)</f>
        <v>0.04</v>
      </c>
      <c r="R24" s="4">
        <f>IF(O24="No","No",
MROUND(_xlfn.XLOOKUP(B24,'Base stats'!B:B,'Base stats'!AY:AY)^0.25
/((_xlfn.XLOOKUP(B24,'Base stats'!B:B,'Base stats'!BK:BK))*10)*_xlfn.XLOOKUP(_xlfn.XLOOKUP(B24,'Base stats'!B:B,'Base stats'!E:E),Groups!A:A,Groups!Z:Z)*150 + 0.5 + _xlfn.XLOOKUP(B24,'Base stats'!B:B,'Base stats'!BT:BT),
0.05))</f>
        <v>2.1</v>
      </c>
      <c r="S24" s="3" t="str">
        <f>IF(Animals!AH24="No","No",
IF(_xlfn.XLOOKUP(B24,'Base stats'!B:B,'Base stats'!U:U)="No",
MAX(MROUND(_xlfn.XLOOKUP(B24,'Base stats'!B:B,'Base stats'!BQ:BQ) * _xlfn.XLOOKUP(B24,'Base stats'!B:B,'Base stats'!BM:BM)^0.9 / 21 * _xlfn.XLOOKUP(B24,'Base stats'!B:B,'Base stats'!BU:BU),0.1),0.05),
MAX(MROUND(((MIN(12,_xlfn.XLOOKUP(B24,'Base stats'!B:B,'Base stats'!U:U)))^0.4*_xlfn.XLOOKUP(B24,'Base stats'!B:B,'Base stats'!BE:BE)^0.73)^0.6 * _xlfn.XLOOKUP(B24,'Base stats'!B:B,'Base stats'!BU:BU),0.1),0.05)
))</f>
        <v>No</v>
      </c>
      <c r="T24" s="11" t="str">
        <f>IF(S24="No","No",
MAX(0.01,MROUND(_xlfn.XLOOKUP(B24,'Base stats'!B:B,'Base stats'!BE:BE) * 0.01 * 2, 0.01))
)</f>
        <v>No</v>
      </c>
      <c r="U24" s="5" t="str">
        <f>IF(S24="No","No",IF(_xlfn.XLOOKUP(B24,'Base stats'!B:B,'Base stats'!U:U)="No","No",
MAX(0.01,MROUND(_xlfn.XLOOKUP(B24,'Base stats'!B:B,'Base stats'!BQ:BQ)/10000,0.01))
))</f>
        <v>No</v>
      </c>
      <c r="V24" s="4" t="str">
        <f>IF(S24="No","No",
MROUND(_xlfn.XLOOKUP(B24,'Base stats'!B:B,'Base stats'!BC:BC)^0.25
/((_xlfn.XLOOKUP(B24,'Base stats'!B:B,'Base stats'!BL:BL))*10)*_xlfn.XLOOKUP(_xlfn.XLOOKUP(B24,'Base stats'!B:B,'Base stats'!E:E),Groups!A:A,Groups!AE:AE)*150 + 0.5 + _xlfn.XLOOKUP(B24,'Base stats'!B:B,'Base stats'!BT:BT),
0.05))</f>
        <v>No</v>
      </c>
      <c r="W24" s="8">
        <f>MROUND(_xlfn.XLOOKUP(_xlfn.XLOOKUP(B24,'Base stats'!B:B,'Base stats'!E:E),Groups!A:A,Groups!BF:BF)*_xlfn.XLOOKUP(B24,'Base stats'!B:B,'Base stats'!C:C)^-0.165,0.01)</f>
        <v>0.55000000000000004</v>
      </c>
      <c r="X24" s="1">
        <f>MROUND(_xlfn.XLOOKUP(_xlfn.XLOOKUP(B24,'Base stats'!B:B,'Base stats'!E:E),Groups!A:A,Groups!BG:BG)*_xlfn.XLOOKUP(B24,'Base stats'!B:B,'Base stats'!C:C)^0.165,0.01)</f>
        <v>0</v>
      </c>
      <c r="Y24" s="8">
        <f>MROUND(_xlfn.XLOOKUP(_xlfn.XLOOKUP(B24,'Base stats'!B:B,'Base stats'!E:E),Groups!A:A,Groups!BH:BH)*_xlfn.XLOOKUP(B24,'Base stats'!B:B,'Base stats'!C:C)^0.165,0.01)</f>
        <v>0</v>
      </c>
      <c r="Z24" s="18">
        <f>_xlfn.XLOOKUP(B24,'Base stats'!B:B,'Base stats'!AN:AN)*_xlfn.XLOOKUP(_xlfn.XLOOKUP(B24,'Base stats'!B:B,'Base stats'!E:E),Groups!A:A,Groups!H:H)/1000</f>
        <v>1.8796190382636017E-2</v>
      </c>
      <c r="AA24" s="18">
        <f>(1/2)*(_xlfn.XLOOKUP(_xlfn.XLOOKUP(B24,'Base stats'!B:B,'Base stats'!E:E),Groups!A:A,Groups!H:H)*_xlfn.XLOOKUP(_xlfn.XLOOKUP(B24,'Base stats'!B:B,'Base stats'!E:E),Groups!A:A,Groups!I:I))*_xlfn.XLOOKUP(B24,'Base stats'!B:B,'Base stats'!AN:AN)*0.01</f>
        <v>0.10337904710449811</v>
      </c>
      <c r="AB24" s="18">
        <f>250*(Animals!AN24+Animals!AO24)</f>
        <v>150.00000000000003</v>
      </c>
      <c r="AC24" s="18" t="str">
        <f>_xlfn.XLOOKUP(_xlfn.XLOOKUP(B24,'Base stats'!B:B,'Base stats'!E:E),Groups!A:A,Groups!BI:BI)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stats'!BP:BP) * (_xlfn.XLOOKUP(B25,'Base stats'!B:B,'Base stats'!AL:AL)*5%)^0.9 / 21,0.1),0.05)</f>
        <v>41.1</v>
      </c>
      <c r="E25" s="11">
        <f>MAX(0.01,MROUND(_xlfn.XLOOKUP(B25,'Base stats'!B:B,'Base stats'!BD:BD) * 0.01 * 2, 0.01))</f>
        <v>42.480000000000004</v>
      </c>
      <c r="F25" s="7">
        <f>MROUND(_xlfn.XLOOKUP(B25,'Base stats'!B:B,'Base stats'!BA:BA)^0.25 / (_xlfn.XLOOKUP(B25,'Base stats'!B:B,'Base stats'!BH:BH) * 10) * 150 + 0.5 + _xlfn.XLOOKUP(B25,'Base stats'!B:B,'Base stats'!BT:BT), 0.05)</f>
        <v>2.1</v>
      </c>
      <c r="G25" s="3" t="str">
        <f>IF(Animals!R25="No","No",
IF(_xlfn.XLOOKUP(B25,'Base stats'!B:B,'Base stats'!U:U)="No",
MAX(MROUND(_xlfn.XLOOKUP(B25,'Base stats'!B:B,'Base stats'!BQ:BQ) * _xlfn.XLOOKUP(B25,'Base stats'!B:B,'Base stats'!BM:BM)^0.9 / 21 * _xlfn.XLOOKUP(B25,'Base stats'!B:B,'Base stats'!BU:BU),0.1),0.05),
MAX(MROUND(((MIN(10,_xlfn.XLOOKUP(B25,'Base stats'!B:B,'Base stats'!U:U)))^0.4*_xlfn.XLOOKUP(B25,'Base stats'!B:B,'Base stats'!BE:BE)^0.73)^0.6 * _xlfn.XLOOKUP(B25,'Base stats'!B:B,'Base stats'!BU:BU),0.1),0.05)
))</f>
        <v>No</v>
      </c>
      <c r="H25" s="11" t="str">
        <f>IF(G25="No","No",
MAX(0.01,MROUND(_xlfn.XLOOKUP(B25,'Base stats'!B:B,'Base stats'!BE:BE) * 0.01 * 2, 0.01))
)</f>
        <v>No</v>
      </c>
      <c r="I25" s="11" t="str">
        <f>IF(G25="No","No",IF(_xlfn.XLOOKUP(B25,'Base stats'!B:B,'Base stats'!U:U)="No","No",
MAX(0.01,MROUND(_xlfn.XLOOKUP(B25,'Base stats'!B:B,'Base stats'!BQ:BQ)/10000,0.01))
))</f>
        <v>No</v>
      </c>
      <c r="J25" s="4" t="str">
        <f>IF(G25="No","No",
MROUND(_xlfn.XLOOKUP(B25,'Base stats'!B:B,'Base stats'!BB:BB)^0.25
/((_xlfn.XLOOKUP(B25,'Base stats'!B:B,'Base stats'!BI:BI))*10)*_xlfn.XLOOKUP(_xlfn.XLOOKUP(B25,'Base stats'!B:B,'Base stats'!E:E),Groups!A:A,Groups!Q:Q)*150 + 0.5 + _xlfn.XLOOKUP(B25,'Base stats'!B:B,'Base stats'!BT:BT),
0.05))</f>
        <v>No</v>
      </c>
      <c r="K25" s="3">
        <f>IF(Animals!W25="No","No",
IF(_xlfn.XLOOKUP(_xlfn.XLOOKUP(B25,'Base stats'!B:B,'Base stats'!E:E),Groups!A:A,Groups!BC:BC)=1,
MAX(MROUND(_xlfn.XLOOKUP(B25,'Base stats'!B:B,'Base stats'!BR:BR) * _xlfn.XLOOKUP(B25,'Base stats'!B:B,'Base stats'!BN:BN)^0.9 / 21 *_xlfn.XLOOKUP(B25,'Base stats'!B:B,'Base stats'!BU:BU),0.1),0.05),
MAX(MROUND(((MIN(10,_xlfn.XLOOKUP(B25,'Base stats'!B:B,'Base stats'!W:W)))^0.4*_xlfn.XLOOKUP(B25,'Base stats'!B:B,'Base stats'!BF:BF)^0.73)^0.6 *_xlfn.XLOOKUP(B25,'Base stats'!B:B,'Base stats'!BU:BU),0.1),0.05)
))</f>
        <v>53.900000000000006</v>
      </c>
      <c r="L25" s="11">
        <f>IF(K25="No","No",
MAX(0.01,MROUND(_xlfn.XLOOKUP(B25,'Base stats'!B:B,'Base stats'!BF:BF) * 0.01 *2, 0.01))
)</f>
        <v>50.97</v>
      </c>
      <c r="M25" s="5">
        <f>IF(K25="No","No",IF(_xlfn.XLOOKUP(_xlfn.XLOOKUP(B25,'Base stats'!B:B,'Base stats'!E:E),Groups!A:A,Groups!BC:BC)=1,"No",
MAX(0.01,MROUND(_xlfn.XLOOKUP(B25,'Base stats'!B:B,'Base stats'!BR:BR)/10000,0.01))
))</f>
        <v>2.35</v>
      </c>
      <c r="N25" s="4">
        <f>IF(K25="No","No",
MROUND(
  _xlfn.XLOOKUP(B25,'Base stats'!B:B,'Base stats'!AZ:AZ)^0.25
  / (_xlfn.XLOOKUP(B25,'Base stats'!B:B,'Base stats'!BJ:BJ)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stats'!BT:BT),
0.05))</f>
        <v>2.85</v>
      </c>
      <c r="O25" s="3">
        <f>IF(Animals!AC25="No","No",
MAX(MROUND((MIN(10,_xlfn.XLOOKUP(B25,'Base stats'!B:B,'Base stats'!V:V)*IF(_xlfn.XLOOKUP(_xlfn.XLOOKUP(B25,'Base stats'!B:B,'Base stats'!E:E),Groups!A:A,Groups!O:O)=0,1,0.33))^0.4*_xlfn.XLOOKUP(B25,'Base stats'!B:B,'Base stats'!BG:BG)^0.73)^0.6 *_xlfn.XLOOKUP(B25,'Base stats'!B:B,'Base stats'!BU:BU),0.1),0.05)
)</f>
        <v>26.400000000000002</v>
      </c>
      <c r="P25" s="11">
        <f>IF(O25="No","No",
MAX(0.01,MROUND(_xlfn.XLOOKUP(B25,'Base stats'!B:B,'Base stats'!BG:BG) * 0.01 * 2, 0.01))
)</f>
        <v>22.650000000000002</v>
      </c>
      <c r="Q25" s="5">
        <f>IF(O25="No","No",
MAX(0.01,MROUND(_xlfn.XLOOKUP(B25,'Base stats'!B:B,'Base stats'!BS:BS)/10000,0.01))
)</f>
        <v>0.34</v>
      </c>
      <c r="R25" s="4">
        <f>IF(O25="No","No",
MROUND(_xlfn.XLOOKUP(B25,'Base stats'!B:B,'Base stats'!AY:AY)^0.25
/((_xlfn.XLOOKUP(B25,'Base stats'!B:B,'Base stats'!BK:BK))*10)*_xlfn.XLOOKUP(_xlfn.XLOOKUP(B25,'Base stats'!B:B,'Base stats'!E:E),Groups!A:A,Groups!Z:Z)*150 + 0.5 + _xlfn.XLOOKUP(B25,'Base stats'!B:B,'Base stats'!BT:BT),
0.05))</f>
        <v>3</v>
      </c>
      <c r="S25" s="3" t="str">
        <f>IF(Animals!AH25="No","No",
IF(_xlfn.XLOOKUP(B25,'Base stats'!B:B,'Base stats'!U:U)="No",
MAX(MROUND(_xlfn.XLOOKUP(B25,'Base stats'!B:B,'Base stats'!BQ:BQ) * _xlfn.XLOOKUP(B25,'Base stats'!B:B,'Base stats'!BM:BM)^0.9 / 21 * _xlfn.XLOOKUP(B25,'Base stats'!B:B,'Base stats'!BU:BU),0.1),0.05),
MAX(MROUND(((MIN(12,_xlfn.XLOOKUP(B25,'Base stats'!B:B,'Base stats'!U:U)))^0.4*_xlfn.XLOOKUP(B25,'Base stats'!B:B,'Base stats'!BE:BE)^0.73)^0.6 * _xlfn.XLOOKUP(B25,'Base stats'!B:B,'Base stats'!BU:BU),0.1),0.05)
))</f>
        <v>No</v>
      </c>
      <c r="T25" s="11" t="str">
        <f>IF(S25="No","No",
MAX(0.01,MROUND(_xlfn.XLOOKUP(B25,'Base stats'!B:B,'Base stats'!BE:BE) * 0.01 * 2, 0.01))
)</f>
        <v>No</v>
      </c>
      <c r="U25" s="5" t="str">
        <f>IF(S25="No","No",IF(_xlfn.XLOOKUP(B25,'Base stats'!B:B,'Base stats'!U:U)="No","No",
MAX(0.01,MROUND(_xlfn.XLOOKUP(B25,'Base stats'!B:B,'Base stats'!BQ:BQ)/10000,0.01))
))</f>
        <v>No</v>
      </c>
      <c r="V25" s="4" t="str">
        <f>IF(S25="No","No",
MROUND(_xlfn.XLOOKUP(B25,'Base stats'!B:B,'Base stats'!BC:BC)^0.25
/((_xlfn.XLOOKUP(B25,'Base stats'!B:B,'Base stats'!BL:BL))*10)*_xlfn.XLOOKUP(_xlfn.XLOOKUP(B25,'Base stats'!B:B,'Base stats'!E:E),Groups!A:A,Groups!AE:AE)*150 + 0.5 + _xlfn.XLOOKUP(B25,'Base stats'!B:B,'Base stats'!BT:BT),
0.05))</f>
        <v>No</v>
      </c>
      <c r="W25" s="8">
        <f>MROUND(_xlfn.XLOOKUP(_xlfn.XLOOKUP(B25,'Base stats'!B:B,'Base stats'!E:E),Groups!A:A,Groups!BF:BF)*_xlfn.XLOOKUP(B25,'Base stats'!B:B,'Base stats'!C:C)^-0.165,0.01)</f>
        <v>0.14000000000000001</v>
      </c>
      <c r="X25" s="1">
        <f>MROUND(_xlfn.XLOOKUP(_xlfn.XLOOKUP(B25,'Base stats'!B:B,'Base stats'!E:E),Groups!A:A,Groups!BG:BG)*_xlfn.XLOOKUP(B25,'Base stats'!B:B,'Base stats'!C:C)^0.165,0.01)</f>
        <v>0.53</v>
      </c>
      <c r="Y25" s="8">
        <f>MROUND(_xlfn.XLOOKUP(_xlfn.XLOOKUP(B25,'Base stats'!B:B,'Base stats'!E:E),Groups!A:A,Groups!BH:BH)*_xlfn.XLOOKUP(B25,'Base stats'!B:B,'Base stats'!C:C)^0.165,0.01)</f>
        <v>0.09</v>
      </c>
      <c r="Z25" s="18">
        <f>_xlfn.XLOOKUP(B25,'Base stats'!B:B,'Base stats'!AN:AN)*_xlfn.XLOOKUP(_xlfn.XLOOKUP(B25,'Base stats'!B:B,'Base stats'!E:E),Groups!A:A,Groups!H:H)/1000</f>
        <v>0.24815293358713453</v>
      </c>
      <c r="AA25" s="18">
        <f>(1/2)*(_xlfn.XLOOKUP(_xlfn.XLOOKUP(B25,'Base stats'!B:B,'Base stats'!E:E),Groups!A:A,Groups!H:H)*_xlfn.XLOOKUP(_xlfn.XLOOKUP(B25,'Base stats'!B:B,'Base stats'!E:E),Groups!A:A,Groups!I:I))*_xlfn.XLOOKUP(B25,'Base stats'!B:B,'Base stats'!AN:AN)*0.01</f>
        <v>0.2977835203045614</v>
      </c>
      <c r="AB25" s="18">
        <f>250*(Animals!AN25+Animals!AO25)</f>
        <v>2062.5</v>
      </c>
      <c r="AC25" s="18" t="str">
        <f>_xlfn.XLOOKUP(_xlfn.XLOOKUP(B25,'Base stats'!B:B,'Base stats'!E:E),Groups!A:A,Groups!BI:BI)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stats'!BP:BP) * (_xlfn.XLOOKUP(B26,'Base stats'!B:B,'Base stats'!AL:AL)*5%)^0.9 / 21,0.1),0.05)</f>
        <v>37.9</v>
      </c>
      <c r="E26" s="11">
        <f>MAX(0.01,MROUND(_xlfn.XLOOKUP(B26,'Base stats'!B:B,'Base stats'!BD:BD) * 0.01 * 2, 0.01))</f>
        <v>41.12</v>
      </c>
      <c r="F26" s="7">
        <f>MROUND(_xlfn.XLOOKUP(B26,'Base stats'!B:B,'Base stats'!BA:BA)^0.25 / (_xlfn.XLOOKUP(B26,'Base stats'!B:B,'Base stats'!BH:BH) * 10) * 150 + 0.5 + _xlfn.XLOOKUP(B26,'Base stats'!B:B,'Base stats'!BT:BT), 0.05)</f>
        <v>3</v>
      </c>
      <c r="G26" s="3">
        <f>IF(Animals!R26="No","No",
IF(_xlfn.XLOOKUP(B26,'Base stats'!B:B,'Base stats'!U:U)="No",
MAX(MROUND(_xlfn.XLOOKUP(B26,'Base stats'!B:B,'Base stats'!BQ:BQ) * _xlfn.XLOOKUP(B26,'Base stats'!B:B,'Base stats'!BM:BM)^0.9 / 21 * _xlfn.XLOOKUP(B26,'Base stats'!B:B,'Base stats'!BU:BU),0.1),0.05),
MAX(MROUND(((MIN(10,_xlfn.XLOOKUP(B26,'Base stats'!B:B,'Base stats'!U:U)))^0.4*_xlfn.XLOOKUP(B26,'Base stats'!B:B,'Base stats'!BE:BE)^0.73)^0.6 * _xlfn.XLOOKUP(B26,'Base stats'!B:B,'Base stats'!BU:BU),0.1),0.05)
))</f>
        <v>45</v>
      </c>
      <c r="H26" s="11">
        <f>IF(G26="No","No",
MAX(0.01,MROUND(_xlfn.XLOOKUP(B26,'Base stats'!B:B,'Base stats'!BE:BE) * 0.01 * 2, 0.01))
)</f>
        <v>36.26</v>
      </c>
      <c r="I26" s="11" t="str">
        <f>IF(G26="No","No",IF(_xlfn.XLOOKUP(B26,'Base stats'!B:B,'Base stats'!U:U)="No","No",
MAX(0.01,MROUND(_xlfn.XLOOKUP(B26,'Base stats'!B:B,'Base stats'!BQ:BQ)/10000,0.01))
))</f>
        <v>No</v>
      </c>
      <c r="J26" s="4">
        <f>IF(G26="No","No",
MROUND(_xlfn.XLOOKUP(B26,'Base stats'!B:B,'Base stats'!BB:BB)^0.25
/((_xlfn.XLOOKUP(B26,'Base stats'!B:B,'Base stats'!BI:BI))*10)*_xlfn.XLOOKUP(_xlfn.XLOOKUP(B26,'Base stats'!B:B,'Base stats'!E:E),Groups!A:A,Groups!Q:Q)*150 + 0.5 + _xlfn.XLOOKUP(B26,'Base stats'!B:B,'Base stats'!BT:BT),
0.05))</f>
        <v>3.35</v>
      </c>
      <c r="K26" s="3">
        <f>IF(Animals!W26="No","No",
IF(_xlfn.XLOOKUP(_xlfn.XLOOKUP(B26,'Base stats'!B:B,'Base stats'!E:E),Groups!A:A,Groups!BC:BC)=1,
MAX(MROUND(_xlfn.XLOOKUP(B26,'Base stats'!B:B,'Base stats'!BR:BR) * _xlfn.XLOOKUP(B26,'Base stats'!B:B,'Base stats'!BN:BN)^0.9 / 21 *_xlfn.XLOOKUP(B26,'Base stats'!B:B,'Base stats'!BU:BU),0.1),0.05),
MAX(MROUND(((MIN(10,_xlfn.XLOOKUP(B26,'Base stats'!B:B,'Base stats'!W:W)))^0.4*_xlfn.XLOOKUP(B26,'Base stats'!B:B,'Base stats'!BF:BF)^0.73)^0.6 *_xlfn.XLOOKUP(B26,'Base stats'!B:B,'Base stats'!BU:BU),0.1),0.05)
))</f>
        <v>50.300000000000004</v>
      </c>
      <c r="L26" s="11">
        <f>IF(K26="No","No",
MAX(0.01,MROUND(_xlfn.XLOOKUP(B26,'Base stats'!B:B,'Base stats'!BF:BF) * 0.01 *2, 0.01))
)</f>
        <v>43.51</v>
      </c>
      <c r="M26" s="5">
        <f>IF(K26="No","No",IF(_xlfn.XLOOKUP(_xlfn.XLOOKUP(B26,'Base stats'!B:B,'Base stats'!E:E),Groups!A:A,Groups!BC:BC)=1,"No",
MAX(0.01,MROUND(_xlfn.XLOOKUP(B26,'Base stats'!B:B,'Base stats'!BR:BR)/10000,0.01))
))</f>
        <v>1.8900000000000001</v>
      </c>
      <c r="N26" s="4">
        <f>IF(K26="No","No",
MROUND(
  _xlfn.XLOOKUP(B26,'Base stats'!B:B,'Base stats'!AZ:AZ)^0.25
  / (_xlfn.XLOOKUP(B26,'Base stats'!B:B,'Base stats'!BJ:BJ)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stats'!BT:BT),
0.05))</f>
        <v>3.8000000000000003</v>
      </c>
      <c r="O26" s="3" t="str">
        <f>IF(Animals!AC26="No","No",
MAX(MROUND((MIN(10,_xlfn.XLOOKUP(B26,'Base stats'!B:B,'Base stats'!V:V)*IF(_xlfn.XLOOKUP(_xlfn.XLOOKUP(B26,'Base stats'!B:B,'Base stats'!E:E),Groups!A:A,Groups!O:O)=0,1,0.33))^0.4*_xlfn.XLOOKUP(B26,'Base stats'!B:B,'Base stats'!BG:BG)^0.73)^0.6 *_xlfn.XLOOKUP(B26,'Base stats'!B:B,'Base stats'!BU:BU),0.1),0.05)
)</f>
        <v>No</v>
      </c>
      <c r="P26" s="11" t="str">
        <f>IF(O26="No","No",
MAX(0.01,MROUND(_xlfn.XLOOKUP(B26,'Base stats'!B:B,'Base stats'!BG:BG) * 0.01 * 2, 0.01))
)</f>
        <v>No</v>
      </c>
      <c r="Q26" s="5" t="str">
        <f>IF(O26="No","No",
MAX(0.01,MROUND(_xlfn.XLOOKUP(B26,'Base stats'!B:B,'Base stats'!BS:BS)/10000,0.01))
)</f>
        <v>No</v>
      </c>
      <c r="R26" s="4" t="str">
        <f>IF(O26="No","No",
MROUND(_xlfn.XLOOKUP(B26,'Base stats'!B:B,'Base stats'!AY:AY)^0.25
/((_xlfn.XLOOKUP(B26,'Base stats'!B:B,'Base stats'!BK:BK))*10)*_xlfn.XLOOKUP(_xlfn.XLOOKUP(B26,'Base stats'!B:B,'Base stats'!E:E),Groups!A:A,Groups!Z:Z)*150 + 0.5 + _xlfn.XLOOKUP(B26,'Base stats'!B:B,'Base stats'!BT:BT),
0.05))</f>
        <v>No</v>
      </c>
      <c r="S26" s="3" t="str">
        <f>IF(Animals!AH26="No","No",
IF(_xlfn.XLOOKUP(B26,'Base stats'!B:B,'Base stats'!U:U)="No",
MAX(MROUND(_xlfn.XLOOKUP(B26,'Base stats'!B:B,'Base stats'!BQ:BQ) * _xlfn.XLOOKUP(B26,'Base stats'!B:B,'Base stats'!BM:BM)^0.9 / 21 * _xlfn.XLOOKUP(B26,'Base stats'!B:B,'Base stats'!BU:BU),0.1),0.05),
MAX(MROUND(((MIN(12,_xlfn.XLOOKUP(B26,'Base stats'!B:B,'Base stats'!U:U)))^0.4*_xlfn.XLOOKUP(B26,'Base stats'!B:B,'Base stats'!BE:BE)^0.73)^0.6 * _xlfn.XLOOKUP(B26,'Base stats'!B:B,'Base stats'!BU:BU),0.1),0.05)
))</f>
        <v>No</v>
      </c>
      <c r="T26" s="11" t="str">
        <f>IF(S26="No","No",
MAX(0.01,MROUND(_xlfn.XLOOKUP(B26,'Base stats'!B:B,'Base stats'!BE:BE) * 0.01 * 2, 0.01))
)</f>
        <v>No</v>
      </c>
      <c r="U26" s="5" t="str">
        <f>IF(S26="No","No",IF(_xlfn.XLOOKUP(B26,'Base stats'!B:B,'Base stats'!U:U)="No","No",
MAX(0.01,MROUND(_xlfn.XLOOKUP(B26,'Base stats'!B:B,'Base stats'!BQ:BQ)/10000,0.01))
))</f>
        <v>No</v>
      </c>
      <c r="V26" s="4" t="str">
        <f>IF(S26="No","No",
MROUND(_xlfn.XLOOKUP(B26,'Base stats'!B:B,'Base stats'!BC:BC)^0.25
/((_xlfn.XLOOKUP(B26,'Base stats'!B:B,'Base stats'!BL:BL))*10)*_xlfn.XLOOKUP(_xlfn.XLOOKUP(B26,'Base stats'!B:B,'Base stats'!E:E),Groups!A:A,Groups!AE:AE)*150 + 0.5 + _xlfn.XLOOKUP(B26,'Base stats'!B:B,'Base stats'!BT:BT),
0.05))</f>
        <v>No</v>
      </c>
      <c r="W26" s="8">
        <f>MROUND(_xlfn.XLOOKUP(_xlfn.XLOOKUP(B26,'Base stats'!B:B,'Base stats'!E:E),Groups!A:A,Groups!BF:BF)*_xlfn.XLOOKUP(B26,'Base stats'!B:B,'Base stats'!C:C)^-0.165,0.01)</f>
        <v>0.06</v>
      </c>
      <c r="X26" s="1">
        <f>MROUND(_xlfn.XLOOKUP(_xlfn.XLOOKUP(B26,'Base stats'!B:B,'Base stats'!E:E),Groups!A:A,Groups!BG:BG)*_xlfn.XLOOKUP(B26,'Base stats'!B:B,'Base stats'!C:C)^0.165,0.01)</f>
        <v>0.4</v>
      </c>
      <c r="Y26" s="8">
        <f>MROUND(_xlfn.XLOOKUP(_xlfn.XLOOKUP(B26,'Base stats'!B:B,'Base stats'!E:E),Groups!A:A,Groups!BH:BH)*_xlfn.XLOOKUP(B26,'Base stats'!B:B,'Base stats'!C:C)^0.165,0.01)</f>
        <v>0.2</v>
      </c>
      <c r="Z26" s="18">
        <f>_xlfn.XLOOKUP(B26,'Base stats'!B:B,'Base stats'!AN:AN)*_xlfn.XLOOKUP(_xlfn.XLOOKUP(B26,'Base stats'!B:B,'Base stats'!E:E),Groups!A:A,Groups!H:H)/1000</f>
        <v>0.17802785436563573</v>
      </c>
      <c r="AA26" s="18">
        <f>(1/2)*(_xlfn.XLOOKUP(_xlfn.XLOOKUP(B26,'Base stats'!B:B,'Base stats'!E:E),Groups!A:A,Groups!H:H)*_xlfn.XLOOKUP(_xlfn.XLOOKUP(B26,'Base stats'!B:B,'Base stats'!E:E),Groups!A:A,Groups!I:I))*_xlfn.XLOOKUP(B26,'Base stats'!B:B,'Base stats'!AN:AN)*0.01</f>
        <v>0.97915319901099662</v>
      </c>
      <c r="AB26" s="18">
        <f>250*(Animals!AN26+Animals!AO26)</f>
        <v>2500</v>
      </c>
      <c r="AC26" s="18" t="str">
        <f>_xlfn.XLOOKUP(_xlfn.XLOOKUP(B26,'Base stats'!B:B,'Base stats'!E:E),Groups!A:A,Groups!BI:BI)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stats'!BP:BP) * (_xlfn.XLOOKUP(B27,'Base stats'!B:B,'Base stats'!AL:AL)*5%)^0.9 / 21,0.1),0.05)</f>
        <v>48.400000000000006</v>
      </c>
      <c r="E27" s="11">
        <f>MAX(0.01,MROUND(_xlfn.XLOOKUP(B27,'Base stats'!B:B,'Base stats'!BD:BD) * 0.01 * 2, 0.01))</f>
        <v>53.410000000000004</v>
      </c>
      <c r="F27" s="7">
        <f>MROUND(_xlfn.XLOOKUP(B27,'Base stats'!B:B,'Base stats'!BA:BA)^0.25 / (_xlfn.XLOOKUP(B27,'Base stats'!B:B,'Base stats'!BH:BH) * 10) * 150 + 0.5 + _xlfn.XLOOKUP(B27,'Base stats'!B:B,'Base stats'!BT:BT), 0.05)</f>
        <v>3.1500000000000004</v>
      </c>
      <c r="G27" s="3">
        <f>IF(Animals!R27="No","No",
IF(_xlfn.XLOOKUP(B27,'Base stats'!B:B,'Base stats'!U:U)="No",
MAX(MROUND(_xlfn.XLOOKUP(B27,'Base stats'!B:B,'Base stats'!BQ:BQ) * _xlfn.XLOOKUP(B27,'Base stats'!B:B,'Base stats'!BM:BM)^0.9 / 21 * _xlfn.XLOOKUP(B27,'Base stats'!B:B,'Base stats'!BU:BU),0.1),0.05),
MAX(MROUND(((MIN(10,_xlfn.XLOOKUP(B27,'Base stats'!B:B,'Base stats'!U:U)))^0.4*_xlfn.XLOOKUP(B27,'Base stats'!B:B,'Base stats'!BE:BE)^0.73)^0.6 * _xlfn.XLOOKUP(B27,'Base stats'!B:B,'Base stats'!BU:BU),0.1),0.05)
))</f>
        <v>55.900000000000006</v>
      </c>
      <c r="H27" s="11">
        <f>IF(G27="No","No",
MAX(0.01,MROUND(_xlfn.XLOOKUP(B27,'Base stats'!B:B,'Base stats'!BE:BE) * 0.01 * 2, 0.01))
)</f>
        <v>46.35</v>
      </c>
      <c r="I27" s="11" t="str">
        <f>IF(G27="No","No",IF(_xlfn.XLOOKUP(B27,'Base stats'!B:B,'Base stats'!U:U)="No","No",
MAX(0.01,MROUND(_xlfn.XLOOKUP(B27,'Base stats'!B:B,'Base stats'!BQ:BQ)/10000,0.01))
))</f>
        <v>No</v>
      </c>
      <c r="J27" s="4">
        <f>IF(G27="No","No",
MROUND(_xlfn.XLOOKUP(B27,'Base stats'!B:B,'Base stats'!BB:BB)^0.25
/((_xlfn.XLOOKUP(B27,'Base stats'!B:B,'Base stats'!BI:BI))*10)*_xlfn.XLOOKUP(_xlfn.XLOOKUP(B27,'Base stats'!B:B,'Base stats'!E:E),Groups!A:A,Groups!Q:Q)*150 + 0.5 + _xlfn.XLOOKUP(B27,'Base stats'!B:B,'Base stats'!BT:BT),
0.05))</f>
        <v>3.5500000000000003</v>
      </c>
      <c r="K27" s="3">
        <f>IF(Animals!W27="No","No",
IF(_xlfn.XLOOKUP(_xlfn.XLOOKUP(B27,'Base stats'!B:B,'Base stats'!E:E),Groups!A:A,Groups!BC:BC)=1,
MAX(MROUND(_xlfn.XLOOKUP(B27,'Base stats'!B:B,'Base stats'!BR:BR) * _xlfn.XLOOKUP(B27,'Base stats'!B:B,'Base stats'!BN:BN)^0.9 / 21 *_xlfn.XLOOKUP(B27,'Base stats'!B:B,'Base stats'!BU:BU),0.1),0.05),
MAX(MROUND(((MIN(10,_xlfn.XLOOKUP(B27,'Base stats'!B:B,'Base stats'!W:W)))^0.4*_xlfn.XLOOKUP(B27,'Base stats'!B:B,'Base stats'!BF:BF)^0.73)^0.6 *_xlfn.XLOOKUP(B27,'Base stats'!B:B,'Base stats'!BU:BU),0.1),0.05)
))</f>
        <v>59.6</v>
      </c>
      <c r="L27" s="11">
        <f>IF(K27="No","No",
MAX(0.01,MROUND(_xlfn.XLOOKUP(B27,'Base stats'!B:B,'Base stats'!BF:BF) * 0.01 *2, 0.01))
)</f>
        <v>64.099999999999994</v>
      </c>
      <c r="M27" s="5">
        <f>IF(K27="No","No",IF(_xlfn.XLOOKUP(_xlfn.XLOOKUP(B27,'Base stats'!B:B,'Base stats'!E:E),Groups!A:A,Groups!BC:BC)=1,"No",
MAX(0.01,MROUND(_xlfn.XLOOKUP(B27,'Base stats'!B:B,'Base stats'!BR:BR)/10000,0.01))
))</f>
        <v>27.11</v>
      </c>
      <c r="N27" s="4">
        <f>IF(K27="No","No",
MROUND(
  _xlfn.XLOOKUP(B27,'Base stats'!B:B,'Base stats'!AZ:AZ)^0.25
  / (_xlfn.XLOOKUP(B27,'Base stats'!B:B,'Base stats'!BJ:BJ)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stats'!BT:BT),
0.05))</f>
        <v>3.1500000000000004</v>
      </c>
      <c r="O27" s="3" t="str">
        <f>IF(Animals!AC27="No","No",
MAX(MROUND((MIN(10,_xlfn.XLOOKUP(B27,'Base stats'!B:B,'Base stats'!V:V)*IF(_xlfn.XLOOKUP(_xlfn.XLOOKUP(B27,'Base stats'!B:B,'Base stats'!E:E),Groups!A:A,Groups!O:O)=0,1,0.33))^0.4*_xlfn.XLOOKUP(B27,'Base stats'!B:B,'Base stats'!BG:BG)^0.73)^0.6 *_xlfn.XLOOKUP(B27,'Base stats'!B:B,'Base stats'!BU:BU),0.1),0.05)
)</f>
        <v>No</v>
      </c>
      <c r="P27" s="11" t="str">
        <f>IF(O27="No","No",
MAX(0.01,MROUND(_xlfn.XLOOKUP(B27,'Base stats'!B:B,'Base stats'!BG:BG) * 0.01 * 2, 0.01))
)</f>
        <v>No</v>
      </c>
      <c r="Q27" s="5" t="str">
        <f>IF(O27="No","No",
MAX(0.01,MROUND(_xlfn.XLOOKUP(B27,'Base stats'!B:B,'Base stats'!BS:BS)/10000,0.01))
)</f>
        <v>No</v>
      </c>
      <c r="R27" s="4" t="str">
        <f>IF(O27="No","No",
MROUND(_xlfn.XLOOKUP(B27,'Base stats'!B:B,'Base stats'!AY:AY)^0.25
/((_xlfn.XLOOKUP(B27,'Base stats'!B:B,'Base stats'!BK:BK))*10)*_xlfn.XLOOKUP(_xlfn.XLOOKUP(B27,'Base stats'!B:B,'Base stats'!E:E),Groups!A:A,Groups!Z:Z)*150 + 0.5 + _xlfn.XLOOKUP(B27,'Base stats'!B:B,'Base stats'!BT:BT),
0.05))</f>
        <v>No</v>
      </c>
      <c r="S27" s="3" t="str">
        <f>IF(Animals!AH27="No","No",
IF(_xlfn.XLOOKUP(B27,'Base stats'!B:B,'Base stats'!U:U)="No",
MAX(MROUND(_xlfn.XLOOKUP(B27,'Base stats'!B:B,'Base stats'!BQ:BQ) * _xlfn.XLOOKUP(B27,'Base stats'!B:B,'Base stats'!BM:BM)^0.9 / 21 * _xlfn.XLOOKUP(B27,'Base stats'!B:B,'Base stats'!BU:BU),0.1),0.05),
MAX(MROUND(((MIN(12,_xlfn.XLOOKUP(B27,'Base stats'!B:B,'Base stats'!U:U)))^0.4*_xlfn.XLOOKUP(B27,'Base stats'!B:B,'Base stats'!BE:BE)^0.73)^0.6 * _xlfn.XLOOKUP(B27,'Base stats'!B:B,'Base stats'!BU:BU),0.1),0.05)
))</f>
        <v>No</v>
      </c>
      <c r="T27" s="11" t="str">
        <f>IF(S27="No","No",
MAX(0.01,MROUND(_xlfn.XLOOKUP(B27,'Base stats'!B:B,'Base stats'!BE:BE) * 0.01 * 2, 0.01))
)</f>
        <v>No</v>
      </c>
      <c r="U27" s="5" t="str">
        <f>IF(S27="No","No",IF(_xlfn.XLOOKUP(B27,'Base stats'!B:B,'Base stats'!U:U)="No","No",
MAX(0.01,MROUND(_xlfn.XLOOKUP(B27,'Base stats'!B:B,'Base stats'!BQ:BQ)/10000,0.01))
))</f>
        <v>No</v>
      </c>
      <c r="V27" s="4" t="str">
        <f>IF(S27="No","No",
MROUND(_xlfn.XLOOKUP(B27,'Base stats'!B:B,'Base stats'!BC:BC)^0.25
/((_xlfn.XLOOKUP(B27,'Base stats'!B:B,'Base stats'!BL:BL))*10)*_xlfn.XLOOKUP(_xlfn.XLOOKUP(B27,'Base stats'!B:B,'Base stats'!E:E),Groups!A:A,Groups!AE:AE)*150 + 0.5 + _xlfn.XLOOKUP(B27,'Base stats'!B:B,'Base stats'!BT:BT),
0.05))</f>
        <v>No</v>
      </c>
      <c r="W27" s="8">
        <f>MROUND(_xlfn.XLOOKUP(_xlfn.XLOOKUP(B27,'Base stats'!B:B,'Base stats'!E:E),Groups!A:A,Groups!BF:BF)*_xlfn.XLOOKUP(B27,'Base stats'!B:B,'Base stats'!C:C)^-0.165,0.01)</f>
        <v>0.17</v>
      </c>
      <c r="X27" s="1">
        <f>MROUND(_xlfn.XLOOKUP(_xlfn.XLOOKUP(B27,'Base stats'!B:B,'Base stats'!E:E),Groups!A:A,Groups!BG:BG)*_xlfn.XLOOKUP(B27,'Base stats'!B:B,'Base stats'!C:C)^0.165,0.01)</f>
        <v>0.63</v>
      </c>
      <c r="Y27" s="8">
        <f>MROUND(_xlfn.XLOOKUP(_xlfn.XLOOKUP(B27,'Base stats'!B:B,'Base stats'!E:E),Groups!A:A,Groups!BH:BH)*_xlfn.XLOOKUP(B27,'Base stats'!B:B,'Base stats'!C:C)^0.165,0.01)</f>
        <v>0.21</v>
      </c>
      <c r="Z27" s="18">
        <f>_xlfn.XLOOKUP(B27,'Base stats'!B:B,'Base stats'!AN:AN)*_xlfn.XLOOKUP(_xlfn.XLOOKUP(B27,'Base stats'!B:B,'Base stats'!E:E),Groups!A:A,Groups!H:H)/1000</f>
        <v>2.1839879950717567</v>
      </c>
      <c r="AA27" s="18">
        <f>(1/2)*(_xlfn.XLOOKUP(_xlfn.XLOOKUP(B27,'Base stats'!B:B,'Base stats'!E:E),Groups!A:A,Groups!H:H)*_xlfn.XLOOKUP(_xlfn.XLOOKUP(B27,'Base stats'!B:B,'Base stats'!E:E),Groups!A:A,Groups!I:I))*_xlfn.XLOOKUP(B27,'Base stats'!B:B,'Base stats'!AN:AN)*0.01</f>
        <v>2.1839879950717567</v>
      </c>
      <c r="AB27" s="18">
        <f>250*(Animals!AN27+Animals!AO27)</f>
        <v>3437.5</v>
      </c>
      <c r="AC27" s="18" t="str">
        <f>_xlfn.XLOOKUP(_xlfn.XLOOKUP(B27,'Base stats'!B:B,'Base stats'!E:E),Groups!A:A,Groups!BI:BI)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stats'!BP:BP) * (_xlfn.XLOOKUP(B28,'Base stats'!B:B,'Base stats'!AL:AL)*5%)^0.9 / 21,0.1),0.05)</f>
        <v>32.200000000000003</v>
      </c>
      <c r="E28" s="11">
        <f>MAX(0.01,MROUND(_xlfn.XLOOKUP(B28,'Base stats'!B:B,'Base stats'!BD:BD) * 0.01 * 2, 0.01))</f>
        <v>34.47</v>
      </c>
      <c r="F28" s="7">
        <f>MROUND(_xlfn.XLOOKUP(B28,'Base stats'!B:B,'Base stats'!BA:BA)^0.25 / (_xlfn.XLOOKUP(B28,'Base stats'!B:B,'Base stats'!BH:BH) * 10) * 150 + 0.5 + _xlfn.XLOOKUP(B28,'Base stats'!B:B,'Base stats'!BT:BT), 0.05)</f>
        <v>2.9000000000000004</v>
      </c>
      <c r="G28" s="3" t="str">
        <f>IF(Animals!R28="No","No",
IF(_xlfn.XLOOKUP(B28,'Base stats'!B:B,'Base stats'!U:U)="No",
MAX(MROUND(_xlfn.XLOOKUP(B28,'Base stats'!B:B,'Base stats'!BQ:BQ) * _xlfn.XLOOKUP(B28,'Base stats'!B:B,'Base stats'!BM:BM)^0.9 / 21 * _xlfn.XLOOKUP(B28,'Base stats'!B:B,'Base stats'!BU:BU),0.1),0.05),
MAX(MROUND(((MIN(10,_xlfn.XLOOKUP(B28,'Base stats'!B:B,'Base stats'!U:U)))^0.4*_xlfn.XLOOKUP(B28,'Base stats'!B:B,'Base stats'!BE:BE)^0.73)^0.6 * _xlfn.XLOOKUP(B28,'Base stats'!B:B,'Base stats'!BU:BU),0.1),0.05)
))</f>
        <v>No</v>
      </c>
      <c r="H28" s="11" t="str">
        <f>IF(G28="No","No",
MAX(0.01,MROUND(_xlfn.XLOOKUP(B28,'Base stats'!B:B,'Base stats'!BE:BE) * 0.01 * 2, 0.01))
)</f>
        <v>No</v>
      </c>
      <c r="I28" s="11" t="str">
        <f>IF(G28="No","No",IF(_xlfn.XLOOKUP(B28,'Base stats'!B:B,'Base stats'!U:U)="No","No",
MAX(0.01,MROUND(_xlfn.XLOOKUP(B28,'Base stats'!B:B,'Base stats'!BQ:BQ)/10000,0.01))
))</f>
        <v>No</v>
      </c>
      <c r="J28" s="4" t="str">
        <f>IF(G28="No","No",
MROUND(_xlfn.XLOOKUP(B28,'Base stats'!B:B,'Base stats'!BB:BB)^0.25
/((_xlfn.XLOOKUP(B28,'Base stats'!B:B,'Base stats'!BI:BI))*10)*_xlfn.XLOOKUP(_xlfn.XLOOKUP(B28,'Base stats'!B:B,'Base stats'!E:E),Groups!A:A,Groups!Q:Q)*150 + 0.5 + _xlfn.XLOOKUP(B28,'Base stats'!B:B,'Base stats'!BT:BT),
0.05))</f>
        <v>No</v>
      </c>
      <c r="K28" s="3" t="str">
        <f>IF(Animals!W28="No","No",
IF(_xlfn.XLOOKUP(_xlfn.XLOOKUP(B28,'Base stats'!B:B,'Base stats'!E:E),Groups!A:A,Groups!BC:BC)=1,
MAX(MROUND(_xlfn.XLOOKUP(B28,'Base stats'!B:B,'Base stats'!BR:BR) * _xlfn.XLOOKUP(B28,'Base stats'!B:B,'Base stats'!BN:BN)^0.9 / 21 *_xlfn.XLOOKUP(B28,'Base stats'!B:B,'Base stats'!BU:BU),0.1),0.05),
MAX(MROUND(((MIN(10,_xlfn.XLOOKUP(B28,'Base stats'!B:B,'Base stats'!W:W)))^0.4*_xlfn.XLOOKUP(B28,'Base stats'!B:B,'Base stats'!BF:BF)^0.73)^0.6 *_xlfn.XLOOKUP(B28,'Base stats'!B:B,'Base stats'!BU:BU),0.1),0.05)
))</f>
        <v>No</v>
      </c>
      <c r="L28" s="11" t="str">
        <f>IF(K28="No","No",
MAX(0.01,MROUND(_xlfn.XLOOKUP(B28,'Base stats'!B:B,'Base stats'!BF:BF) * 0.01 *2, 0.01))
)</f>
        <v>No</v>
      </c>
      <c r="M28" s="5" t="str">
        <f>IF(K28="No","No",IF(_xlfn.XLOOKUP(_xlfn.XLOOKUP(B28,'Base stats'!B:B,'Base stats'!E:E),Groups!A:A,Groups!BC:BC)=1,"No",
MAX(0.01,MROUND(_xlfn.XLOOKUP(B28,'Base stats'!B:B,'Base stats'!BR:BR)/10000,0.01))
))</f>
        <v>No</v>
      </c>
      <c r="N28" s="4" t="str">
        <f>IF(K28="No","No",
MROUND(
  _xlfn.XLOOKUP(B28,'Base stats'!B:B,'Base stats'!AZ:AZ)^0.25
  / (_xlfn.XLOOKUP(B28,'Base stats'!B:B,'Base stats'!BJ:BJ)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stats'!BT:BT),
0.05))</f>
        <v>No</v>
      </c>
      <c r="O28" s="3">
        <f>IF(Animals!AC28="No","No",
MAX(MROUND((MIN(10,_xlfn.XLOOKUP(B28,'Base stats'!B:B,'Base stats'!V:V)*IF(_xlfn.XLOOKUP(_xlfn.XLOOKUP(B28,'Base stats'!B:B,'Base stats'!E:E),Groups!A:A,Groups!O:O)=0,1,0.33))^0.4*_xlfn.XLOOKUP(B28,'Base stats'!B:B,'Base stats'!BG:BG)^0.73)^0.6 *_xlfn.XLOOKUP(B28,'Base stats'!B:B,'Base stats'!BU:BU),0.1),0.05)
)</f>
        <v>30.400000000000002</v>
      </c>
      <c r="P28" s="11">
        <f>IF(O28="No","No",
MAX(0.01,MROUND(_xlfn.XLOOKUP(B28,'Base stats'!B:B,'Base stats'!BG:BG) * 0.01 * 2, 0.01))
)</f>
        <v>33.200000000000003</v>
      </c>
      <c r="Q28" s="5">
        <f>IF(O28="No","No",
MAX(0.01,MROUND(_xlfn.XLOOKUP(B28,'Base stats'!B:B,'Base stats'!BS:BS)/10000,0.01))
)</f>
        <v>7.0000000000000007E-2</v>
      </c>
      <c r="R28" s="4">
        <f>IF(O28="No","No",
MROUND(_xlfn.XLOOKUP(B28,'Base stats'!B:B,'Base stats'!AY:AY)^0.25
/((_xlfn.XLOOKUP(B28,'Base stats'!B:B,'Base stats'!BK:BK))*10)*_xlfn.XLOOKUP(_xlfn.XLOOKUP(B28,'Base stats'!B:B,'Base stats'!E:E),Groups!A:A,Groups!Z:Z)*150 + 0.5 + _xlfn.XLOOKUP(B28,'Base stats'!B:B,'Base stats'!BT:BT),
0.05))</f>
        <v>2.75</v>
      </c>
      <c r="S28" s="3">
        <f>IF(Animals!AH28="No","No",
IF(_xlfn.XLOOKUP(B28,'Base stats'!B:B,'Base stats'!U:U)="No",
MAX(MROUND(_xlfn.XLOOKUP(B28,'Base stats'!B:B,'Base stats'!BQ:BQ) * _xlfn.XLOOKUP(B28,'Base stats'!B:B,'Base stats'!BM:BM)^0.9 / 21 * _xlfn.XLOOKUP(B28,'Base stats'!B:B,'Base stats'!BU:BU),0.1),0.05),
MAX(MROUND(((MIN(12,_xlfn.XLOOKUP(B28,'Base stats'!B:B,'Base stats'!U:U)))^0.4*_xlfn.XLOOKUP(B28,'Base stats'!B:B,'Base stats'!BE:BE)^0.73)^0.6 * _xlfn.XLOOKUP(B28,'Base stats'!B:B,'Base stats'!BU:BU),0.1),0.05)
))</f>
        <v>45.2</v>
      </c>
      <c r="T28" s="11">
        <f>IF(S28="No","No",
MAX(0.01,MROUND(_xlfn.XLOOKUP(B28,'Base stats'!B:B,'Base stats'!BE:BE) * 0.01 * 2, 0.01))
)</f>
        <v>30.73</v>
      </c>
      <c r="U28" s="5">
        <f>IF(S28="No","No",IF(_xlfn.XLOOKUP(B28,'Base stats'!B:B,'Base stats'!U:U)="No","No",
MAX(0.01,MROUND(_xlfn.XLOOKUP(B28,'Base stats'!B:B,'Base stats'!BQ:BQ)/10000,0.01))
))</f>
        <v>0.37</v>
      </c>
      <c r="V28" s="4">
        <f>IF(S28="No","No",
MROUND(_xlfn.XLOOKUP(B28,'Base stats'!B:B,'Base stats'!BC:BC)^0.25
/((_xlfn.XLOOKUP(B28,'Base stats'!B:B,'Base stats'!BL:BL))*10)*_xlfn.XLOOKUP(_xlfn.XLOOKUP(B28,'Base stats'!B:B,'Base stats'!E:E),Groups!A:A,Groups!AE:AE)*150 + 0.5 + _xlfn.XLOOKUP(B28,'Base stats'!B:B,'Base stats'!BT:BT),
0.05))</f>
        <v>3.0500000000000003</v>
      </c>
      <c r="W28" s="8">
        <f>MROUND(_xlfn.XLOOKUP(_xlfn.XLOOKUP(B28,'Base stats'!B:B,'Base stats'!E:E),Groups!A:A,Groups!BF:BF)*_xlfn.XLOOKUP(B28,'Base stats'!B:B,'Base stats'!C:C)^-0.165,0.01)</f>
        <v>0.06</v>
      </c>
      <c r="X28" s="1">
        <f>MROUND(_xlfn.XLOOKUP(_xlfn.XLOOKUP(B28,'Base stats'!B:B,'Base stats'!E:E),Groups!A:A,Groups!BG:BG)*_xlfn.XLOOKUP(B28,'Base stats'!B:B,'Base stats'!C:C)^0.165,0.01)</f>
        <v>0.39</v>
      </c>
      <c r="Y28" s="8">
        <f>MROUND(_xlfn.XLOOKUP(_xlfn.XLOOKUP(B28,'Base stats'!B:B,'Base stats'!E:E),Groups!A:A,Groups!BH:BH)*_xlfn.XLOOKUP(B28,'Base stats'!B:B,'Base stats'!C:C)^0.165,0.01)</f>
        <v>0.1</v>
      </c>
      <c r="Z28" s="18">
        <f>_xlfn.XLOOKUP(B28,'Base stats'!B:B,'Base stats'!AN:AN)*_xlfn.XLOOKUP(_xlfn.XLOOKUP(B28,'Base stats'!B:B,'Base stats'!E:E),Groups!A:A,Groups!H:H)/1000</f>
        <v>0.30754281726685945</v>
      </c>
      <c r="AA28" s="18">
        <f>(1/2)*(_xlfn.XLOOKUP(_xlfn.XLOOKUP(B28,'Base stats'!B:B,'Base stats'!E:E),Groups!A:A,Groups!H:H)*_xlfn.XLOOKUP(_xlfn.XLOOKUP(B28,'Base stats'!B:B,'Base stats'!E:E),Groups!A:A,Groups!I:I))*_xlfn.XLOOKUP(B28,'Base stats'!B:B,'Base stats'!AN:AN)*0.01</f>
        <v>0.34588315515279461</v>
      </c>
      <c r="AB28" s="18">
        <f>250*(Animals!AN28+Animals!AO28)</f>
        <v>2612.5</v>
      </c>
      <c r="AC28" s="18" t="str">
        <f>_xlfn.XLOOKUP(_xlfn.XLOOKUP(B28,'Base stats'!B:B,'Base stats'!E:E),Groups!A:A,Groups!BI:BI)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stats'!BP:BP) * (_xlfn.XLOOKUP(B29,'Base stats'!B:B,'Base stats'!AL:AL)*5%)^0.9 / 21,0.1),0.05)</f>
        <v>4.3</v>
      </c>
      <c r="E29" s="11">
        <f>MAX(0.01,MROUND(_xlfn.XLOOKUP(B29,'Base stats'!B:B,'Base stats'!BD:BD) * 0.01 * 2, 0.01))</f>
        <v>3.74</v>
      </c>
      <c r="F29" s="7">
        <f>MROUND(_xlfn.XLOOKUP(B29,'Base stats'!B:B,'Base stats'!BA:BA)^0.25 / (_xlfn.XLOOKUP(B29,'Base stats'!B:B,'Base stats'!BH:BH) * 10) * 150 + 0.5 + _xlfn.XLOOKUP(B29,'Base stats'!B:B,'Base stats'!BT:BT), 0.05)</f>
        <v>1.75</v>
      </c>
      <c r="G29" s="3" t="str">
        <f>IF(Animals!R29="No","No",
IF(_xlfn.XLOOKUP(B29,'Base stats'!B:B,'Base stats'!U:U)="No",
MAX(MROUND(_xlfn.XLOOKUP(B29,'Base stats'!B:B,'Base stats'!BQ:BQ) * _xlfn.XLOOKUP(B29,'Base stats'!B:B,'Base stats'!BM:BM)^0.9 / 21 * _xlfn.XLOOKUP(B29,'Base stats'!B:B,'Base stats'!BU:BU),0.1),0.05),
MAX(MROUND(((MIN(10,_xlfn.XLOOKUP(B29,'Base stats'!B:B,'Base stats'!U:U)))^0.4*_xlfn.XLOOKUP(B29,'Base stats'!B:B,'Base stats'!BE:BE)^0.73)^0.6 * _xlfn.XLOOKUP(B29,'Base stats'!B:B,'Base stats'!BU:BU),0.1),0.05)
))</f>
        <v>No</v>
      </c>
      <c r="H29" s="11" t="str">
        <f>IF(G29="No","No",
MAX(0.01,MROUND(_xlfn.XLOOKUP(B29,'Base stats'!B:B,'Base stats'!BE:BE) * 0.01 * 2, 0.01))
)</f>
        <v>No</v>
      </c>
      <c r="I29" s="11" t="str">
        <f>IF(G29="No","No",IF(_xlfn.XLOOKUP(B29,'Base stats'!B:B,'Base stats'!U:U)="No","No",
MAX(0.01,MROUND(_xlfn.XLOOKUP(B29,'Base stats'!B:B,'Base stats'!BQ:BQ)/10000,0.01))
))</f>
        <v>No</v>
      </c>
      <c r="J29" s="4" t="str">
        <f>IF(G29="No","No",
MROUND(_xlfn.XLOOKUP(B29,'Base stats'!B:B,'Base stats'!BB:BB)^0.25
/((_xlfn.XLOOKUP(B29,'Base stats'!B:B,'Base stats'!BI:BI))*10)*_xlfn.XLOOKUP(_xlfn.XLOOKUP(B29,'Base stats'!B:B,'Base stats'!E:E),Groups!A:A,Groups!Q:Q)*150 + 0.5 + _xlfn.XLOOKUP(B29,'Base stats'!B:B,'Base stats'!BT:BT),
0.05))</f>
        <v>No</v>
      </c>
      <c r="K29" s="3">
        <f>IF(Animals!W29="No","No",
IF(_xlfn.XLOOKUP(_xlfn.XLOOKUP(B29,'Base stats'!B:B,'Base stats'!E:E),Groups!A:A,Groups!BC:BC)=1,
MAX(MROUND(_xlfn.XLOOKUP(B29,'Base stats'!B:B,'Base stats'!BR:BR) * _xlfn.XLOOKUP(B29,'Base stats'!B:B,'Base stats'!BN:BN)^0.9 / 21 *_xlfn.XLOOKUP(B29,'Base stats'!B:B,'Base stats'!BU:BU),0.1),0.05),
MAX(MROUND(((MIN(10,_xlfn.XLOOKUP(B29,'Base stats'!B:B,'Base stats'!W:W)))^0.4*_xlfn.XLOOKUP(B29,'Base stats'!B:B,'Base stats'!BF:BF)^0.73)^0.6 *_xlfn.XLOOKUP(B29,'Base stats'!B:B,'Base stats'!BU:BU),0.1),0.05)
))</f>
        <v>26.8</v>
      </c>
      <c r="L29" s="11">
        <f>IF(K29="No","No",
MAX(0.01,MROUND(_xlfn.XLOOKUP(B29,'Base stats'!B:B,'Base stats'!BF:BF) * 0.01 *2, 0.01))
)</f>
        <v>10.36</v>
      </c>
      <c r="M29" s="5">
        <f>IF(K29="No","No",IF(_xlfn.XLOOKUP(_xlfn.XLOOKUP(B29,'Base stats'!B:B,'Base stats'!E:E),Groups!A:A,Groups!BC:BC)=1,"No",
MAX(0.01,MROUND(_xlfn.XLOOKUP(B29,'Base stats'!B:B,'Base stats'!BR:BR)/10000,0.01))
))</f>
        <v>0.63</v>
      </c>
      <c r="N29" s="4">
        <f>IF(K29="No","No",
MROUND(
  _xlfn.XLOOKUP(B29,'Base stats'!B:B,'Base stats'!AZ:AZ)^0.25
  / (_xlfn.XLOOKUP(B29,'Base stats'!B:B,'Base stats'!BJ:BJ)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stats'!BT:BT),
0.05))</f>
        <v>3.35</v>
      </c>
      <c r="O29" s="3">
        <f>IF(Animals!AC29="No","No",
MAX(MROUND((MIN(10,_xlfn.XLOOKUP(B29,'Base stats'!B:B,'Base stats'!V:V)*IF(_xlfn.XLOOKUP(_xlfn.XLOOKUP(B29,'Base stats'!B:B,'Base stats'!E:E),Groups!A:A,Groups!O:O)=0,1,0.33))^0.4*_xlfn.XLOOKUP(B29,'Base stats'!B:B,'Base stats'!BG:BG)^0.73)^0.6 *_xlfn.XLOOKUP(B29,'Base stats'!B:B,'Base stats'!BU:BU),0.1),0.05)
)</f>
        <v>24.6</v>
      </c>
      <c r="P29" s="11">
        <f>IF(O29="No","No",
MAX(0.01,MROUND(_xlfn.XLOOKUP(B29,'Base stats'!B:B,'Base stats'!BG:BG) * 0.01 * 2, 0.01))
)</f>
        <v>8.6300000000000008</v>
      </c>
      <c r="Q29" s="5">
        <f>IF(O29="No","No",
MAX(0.01,MROUND(_xlfn.XLOOKUP(B29,'Base stats'!B:B,'Base stats'!BS:BS)/10000,0.01))
)</f>
        <v>0.38</v>
      </c>
      <c r="R29" s="4">
        <f>IF(O29="No","No",
MROUND(_xlfn.XLOOKUP(B29,'Base stats'!B:B,'Base stats'!AY:AY)^0.25
/((_xlfn.XLOOKUP(B29,'Base stats'!B:B,'Base stats'!BK:BK))*10)*_xlfn.XLOOKUP(_xlfn.XLOOKUP(B29,'Base stats'!B:B,'Base stats'!E:E),Groups!A:A,Groups!Z:Z)*150 + 0.5 + _xlfn.XLOOKUP(B29,'Base stats'!B:B,'Base stats'!BT:BT),
0.05))</f>
        <v>2.9000000000000004</v>
      </c>
      <c r="S29" s="3" t="str">
        <f>IF(Animals!AH29="No","No",
IF(_xlfn.XLOOKUP(B29,'Base stats'!B:B,'Base stats'!U:U)="No",
MAX(MROUND(_xlfn.XLOOKUP(B29,'Base stats'!B:B,'Base stats'!BQ:BQ) * _xlfn.XLOOKUP(B29,'Base stats'!B:B,'Base stats'!BM:BM)^0.9 / 21 * _xlfn.XLOOKUP(B29,'Base stats'!B:B,'Base stats'!BU:BU),0.1),0.05),
MAX(MROUND(((MIN(12,_xlfn.XLOOKUP(B29,'Base stats'!B:B,'Base stats'!U:U)))^0.4*_xlfn.XLOOKUP(B29,'Base stats'!B:B,'Base stats'!BE:BE)^0.73)^0.6 * _xlfn.XLOOKUP(B29,'Base stats'!B:B,'Base stats'!BU:BU),0.1),0.05)
))</f>
        <v>No</v>
      </c>
      <c r="T29" s="11" t="str">
        <f>IF(S29="No","No",
MAX(0.01,MROUND(_xlfn.XLOOKUP(B29,'Base stats'!B:B,'Base stats'!BE:BE) * 0.01 * 2, 0.01))
)</f>
        <v>No</v>
      </c>
      <c r="U29" s="5" t="str">
        <f>IF(S29="No","No",IF(_xlfn.XLOOKUP(B29,'Base stats'!B:B,'Base stats'!U:U)="No","No",
MAX(0.01,MROUND(_xlfn.XLOOKUP(B29,'Base stats'!B:B,'Base stats'!BQ:BQ)/10000,0.01))
))</f>
        <v>No</v>
      </c>
      <c r="V29" s="4" t="str">
        <f>IF(S29="No","No",
MROUND(_xlfn.XLOOKUP(B29,'Base stats'!B:B,'Base stats'!BC:BC)^0.25
/((_xlfn.XLOOKUP(B29,'Base stats'!B:B,'Base stats'!BL:BL))*10)*_xlfn.XLOOKUP(_xlfn.XLOOKUP(B29,'Base stats'!B:B,'Base stats'!E:E),Groups!A:A,Groups!AE:AE)*150 + 0.5 + _xlfn.XLOOKUP(B29,'Base stats'!B:B,'Base stats'!BT:BT),
0.05))</f>
        <v>No</v>
      </c>
      <c r="W29" s="8">
        <f>MROUND(_xlfn.XLOOKUP(_xlfn.XLOOKUP(B29,'Base stats'!B:B,'Base stats'!E:E),Groups!A:A,Groups!BF:BF)*_xlfn.XLOOKUP(B29,'Base stats'!B:B,'Base stats'!C:C)^-0.165,0.01)</f>
        <v>0.22</v>
      </c>
      <c r="X29" s="1">
        <f>MROUND(_xlfn.XLOOKUP(_xlfn.XLOOKUP(B29,'Base stats'!B:B,'Base stats'!E:E),Groups!A:A,Groups!BG:BG)*_xlfn.XLOOKUP(B29,'Base stats'!B:B,'Base stats'!C:C)^0.165,0.01)</f>
        <v>0.23</v>
      </c>
      <c r="Y29" s="8">
        <f>MROUND(_xlfn.XLOOKUP(_xlfn.XLOOKUP(B29,'Base stats'!B:B,'Base stats'!E:E),Groups!A:A,Groups!BH:BH)*_xlfn.XLOOKUP(B29,'Base stats'!B:B,'Base stats'!C:C)^0.165,0.01)</f>
        <v>0.06</v>
      </c>
      <c r="Z29" s="18">
        <f>_xlfn.XLOOKUP(B29,'Base stats'!B:B,'Base stats'!AN:AN)*_xlfn.XLOOKUP(_xlfn.XLOOKUP(B29,'Base stats'!B:B,'Base stats'!E:E),Groups!A:A,Groups!H:H)/1000</f>
        <v>5.3106284927497957E-2</v>
      </c>
      <c r="AA29" s="18">
        <f>(1/2)*(_xlfn.XLOOKUP(_xlfn.XLOOKUP(B29,'Base stats'!B:B,'Base stats'!E:E),Groups!A:A,Groups!H:H)*_xlfn.XLOOKUP(_xlfn.XLOOKUP(B29,'Base stats'!B:B,'Base stats'!E:E),Groups!A:A,Groups!I:I))*_xlfn.XLOOKUP(B29,'Base stats'!B:B,'Base stats'!AN:AN)*0.01</f>
        <v>0.29208456710123881</v>
      </c>
      <c r="AB29" s="18">
        <f>250*(Animals!AN29+Animals!AO29)</f>
        <v>750</v>
      </c>
      <c r="AC29" s="18" t="str">
        <f>_xlfn.XLOOKUP(_xlfn.XLOOKUP(B29,'Base stats'!B:B,'Base stats'!E:E),Groups!A:A,Groups!BI:BI)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stats'!BP:BP) * (_xlfn.XLOOKUP(B30,'Base stats'!B:B,'Base stats'!AL:AL)*5%)^0.9 / 21,0.1),0.05)</f>
        <v>7.4</v>
      </c>
      <c r="E30" s="11">
        <f>MAX(0.01,MROUND(_xlfn.XLOOKUP(B30,'Base stats'!B:B,'Base stats'!BD:BD) * 0.01 * 2, 0.01))</f>
        <v>6.67</v>
      </c>
      <c r="F30" s="7">
        <f>MROUND(_xlfn.XLOOKUP(B30,'Base stats'!B:B,'Base stats'!BA:BA)^0.25 / (_xlfn.XLOOKUP(B30,'Base stats'!B:B,'Base stats'!BH:BH) * 10) * 150 + 0.5 + _xlfn.XLOOKUP(B30,'Base stats'!B:B,'Base stats'!BT:BT), 0.05)</f>
        <v>1.8</v>
      </c>
      <c r="G30" s="3" t="str">
        <f>IF(Animals!R30="No","No",
IF(_xlfn.XLOOKUP(B30,'Base stats'!B:B,'Base stats'!U:U)="No",
MAX(MROUND(_xlfn.XLOOKUP(B30,'Base stats'!B:B,'Base stats'!BQ:BQ) * _xlfn.XLOOKUP(B30,'Base stats'!B:B,'Base stats'!BM:BM)^0.9 / 21 * _xlfn.XLOOKUP(B30,'Base stats'!B:B,'Base stats'!BU:BU),0.1),0.05),
MAX(MROUND(((MIN(10,_xlfn.XLOOKUP(B30,'Base stats'!B:B,'Base stats'!U:U)))^0.4*_xlfn.XLOOKUP(B30,'Base stats'!B:B,'Base stats'!BE:BE)^0.73)^0.6 * _xlfn.XLOOKUP(B30,'Base stats'!B:B,'Base stats'!BU:BU),0.1),0.05)
))</f>
        <v>No</v>
      </c>
      <c r="H30" s="11" t="str">
        <f>IF(G30="No","No",
MAX(0.01,MROUND(_xlfn.XLOOKUP(B30,'Base stats'!B:B,'Base stats'!BE:BE) * 0.01 * 2, 0.01))
)</f>
        <v>No</v>
      </c>
      <c r="I30" s="11" t="str">
        <f>IF(G30="No","No",IF(_xlfn.XLOOKUP(B30,'Base stats'!B:B,'Base stats'!U:U)="No","No",
MAX(0.01,MROUND(_xlfn.XLOOKUP(B30,'Base stats'!B:B,'Base stats'!BQ:BQ)/10000,0.01))
))</f>
        <v>No</v>
      </c>
      <c r="J30" s="4" t="str">
        <f>IF(G30="No","No",
MROUND(_xlfn.XLOOKUP(B30,'Base stats'!B:B,'Base stats'!BB:BB)^0.25
/((_xlfn.XLOOKUP(B30,'Base stats'!B:B,'Base stats'!BI:BI))*10)*_xlfn.XLOOKUP(_xlfn.XLOOKUP(B30,'Base stats'!B:B,'Base stats'!E:E),Groups!A:A,Groups!Q:Q)*150 + 0.5 + _xlfn.XLOOKUP(B30,'Base stats'!B:B,'Base stats'!BT:BT),
0.05))</f>
        <v>No</v>
      </c>
      <c r="K30" s="3" t="str">
        <f>IF(Animals!W30="No","No",
IF(_xlfn.XLOOKUP(_xlfn.XLOOKUP(B30,'Base stats'!B:B,'Base stats'!E:E),Groups!A:A,Groups!BC:BC)=1,
MAX(MROUND(_xlfn.XLOOKUP(B30,'Base stats'!B:B,'Base stats'!BR:BR) * _xlfn.XLOOKUP(B30,'Base stats'!B:B,'Base stats'!BN:BN)^0.9 / 21 *_xlfn.XLOOKUP(B30,'Base stats'!B:B,'Base stats'!BU:BU),0.1),0.05),
MAX(MROUND(((MIN(10,_xlfn.XLOOKUP(B30,'Base stats'!B:B,'Base stats'!W:W)))^0.4*_xlfn.XLOOKUP(B30,'Base stats'!B:B,'Base stats'!BF:BF)^0.73)^0.6 *_xlfn.XLOOKUP(B30,'Base stats'!B:B,'Base stats'!BU:BU),0.1),0.05)
))</f>
        <v>No</v>
      </c>
      <c r="L30" s="11" t="str">
        <f>IF(K30="No","No",
MAX(0.01,MROUND(_xlfn.XLOOKUP(B30,'Base stats'!B:B,'Base stats'!BF:BF) * 0.01 *2, 0.01))
)</f>
        <v>No</v>
      </c>
      <c r="M30" s="5" t="str">
        <f>IF(K30="No","No",IF(_xlfn.XLOOKUP(_xlfn.XLOOKUP(B30,'Base stats'!B:B,'Base stats'!E:E),Groups!A:A,Groups!BC:BC)=1,"No",
MAX(0.01,MROUND(_xlfn.XLOOKUP(B30,'Base stats'!B:B,'Base stats'!BR:BR)/10000,0.01))
))</f>
        <v>No</v>
      </c>
      <c r="N30" s="4" t="str">
        <f>IF(K30="No","No",
MROUND(
  _xlfn.XLOOKUP(B30,'Base stats'!B:B,'Base stats'!AZ:AZ)^0.25
  / (_xlfn.XLOOKUP(B30,'Base stats'!B:B,'Base stats'!BJ:BJ)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stats'!BT:BT),
0.05))</f>
        <v>No</v>
      </c>
      <c r="O30" s="3">
        <f>IF(Animals!AC30="No","No",
MAX(MROUND((MIN(10,_xlfn.XLOOKUP(B30,'Base stats'!B:B,'Base stats'!V:V)*IF(_xlfn.XLOOKUP(_xlfn.XLOOKUP(B30,'Base stats'!B:B,'Base stats'!E:E),Groups!A:A,Groups!O:O)=0,1,0.33))^0.4*_xlfn.XLOOKUP(B30,'Base stats'!B:B,'Base stats'!BG:BG)^0.73)^0.6 *_xlfn.XLOOKUP(B30,'Base stats'!B:B,'Base stats'!BU:BU),0.1),0.05)
)</f>
        <v>16.2</v>
      </c>
      <c r="P30" s="11">
        <f>IF(O30="No","No",
MAX(0.01,MROUND(_xlfn.XLOOKUP(B30,'Base stats'!B:B,'Base stats'!BG:BG) * 0.01 * 2, 0.01))
)</f>
        <v>9.31</v>
      </c>
      <c r="Q30" s="5">
        <f>IF(O30="No","No",
MAX(0.01,MROUND(_xlfn.XLOOKUP(B30,'Base stats'!B:B,'Base stats'!BS:BS)/10000,0.01))
)</f>
        <v>0.21</v>
      </c>
      <c r="R30" s="4">
        <f>IF(O30="No","No",
MROUND(_xlfn.XLOOKUP(B30,'Base stats'!B:B,'Base stats'!AY:AY)^0.25
/((_xlfn.XLOOKUP(B30,'Base stats'!B:B,'Base stats'!BK:BK))*10)*_xlfn.XLOOKUP(_xlfn.XLOOKUP(B30,'Base stats'!B:B,'Base stats'!E:E),Groups!A:A,Groups!Z:Z)*150 + 0.5 + _xlfn.XLOOKUP(B30,'Base stats'!B:B,'Base stats'!BT:BT),
0.05))</f>
        <v>3.3000000000000003</v>
      </c>
      <c r="S30" s="3" t="str">
        <f>IF(Animals!AH30="No","No",
IF(_xlfn.XLOOKUP(B30,'Base stats'!B:B,'Base stats'!U:U)="No",
MAX(MROUND(_xlfn.XLOOKUP(B30,'Base stats'!B:B,'Base stats'!BQ:BQ) * _xlfn.XLOOKUP(B30,'Base stats'!B:B,'Base stats'!BM:BM)^0.9 / 21 * _xlfn.XLOOKUP(B30,'Base stats'!B:B,'Base stats'!BU:BU),0.1),0.05),
MAX(MROUND(((MIN(12,_xlfn.XLOOKUP(B30,'Base stats'!B:B,'Base stats'!U:U)))^0.4*_xlfn.XLOOKUP(B30,'Base stats'!B:B,'Base stats'!BE:BE)^0.73)^0.6 * _xlfn.XLOOKUP(B30,'Base stats'!B:B,'Base stats'!BU:BU),0.1),0.05)
))</f>
        <v>No</v>
      </c>
      <c r="T30" s="11" t="str">
        <f>IF(S30="No","No",
MAX(0.01,MROUND(_xlfn.XLOOKUP(B30,'Base stats'!B:B,'Base stats'!BE:BE) * 0.01 * 2, 0.01))
)</f>
        <v>No</v>
      </c>
      <c r="U30" s="5" t="str">
        <f>IF(S30="No","No",IF(_xlfn.XLOOKUP(B30,'Base stats'!B:B,'Base stats'!U:U)="No","No",
MAX(0.01,MROUND(_xlfn.XLOOKUP(B30,'Base stats'!B:B,'Base stats'!BQ:BQ)/10000,0.01))
))</f>
        <v>No</v>
      </c>
      <c r="V30" s="4" t="str">
        <f>IF(S30="No","No",
MROUND(_xlfn.XLOOKUP(B30,'Base stats'!B:B,'Base stats'!BC:BC)^0.25
/((_xlfn.XLOOKUP(B30,'Base stats'!B:B,'Base stats'!BL:BL))*10)*_xlfn.XLOOKUP(_xlfn.XLOOKUP(B30,'Base stats'!B:B,'Base stats'!E:E),Groups!A:A,Groups!AE:AE)*150 + 0.5 + _xlfn.XLOOKUP(B30,'Base stats'!B:B,'Base stats'!BT:BT),
0.05))</f>
        <v>No</v>
      </c>
      <c r="W30" s="8">
        <f>MROUND(_xlfn.XLOOKUP(_xlfn.XLOOKUP(B30,'Base stats'!B:B,'Base stats'!E:E),Groups!A:A,Groups!BF:BF)*_xlfn.XLOOKUP(B30,'Base stats'!B:B,'Base stats'!C:C)^-0.165,0.01)</f>
        <v>0.2</v>
      </c>
      <c r="X30" s="1">
        <f>MROUND(_xlfn.XLOOKUP(_xlfn.XLOOKUP(B30,'Base stats'!B:B,'Base stats'!E:E),Groups!A:A,Groups!BG:BG)*_xlfn.XLOOKUP(B30,'Base stats'!B:B,'Base stats'!C:C)^0.165,0.01)</f>
        <v>0</v>
      </c>
      <c r="Y30" s="8">
        <f>MROUND(_xlfn.XLOOKUP(_xlfn.XLOOKUP(B30,'Base stats'!B:B,'Base stats'!E:E),Groups!A:A,Groups!BH:BH)*_xlfn.XLOOKUP(B30,'Base stats'!B:B,'Base stats'!C:C)^0.165,0.01)</f>
        <v>0</v>
      </c>
      <c r="Z30" s="18">
        <f>_xlfn.XLOOKUP(B30,'Base stats'!B:B,'Base stats'!AN:AN)*_xlfn.XLOOKUP(_xlfn.XLOOKUP(B30,'Base stats'!B:B,'Base stats'!E:E),Groups!A:A,Groups!H:H)/1000</f>
        <v>6.387337206208113E-2</v>
      </c>
      <c r="AA30" s="18">
        <f>(1/2)*(_xlfn.XLOOKUP(_xlfn.XLOOKUP(B30,'Base stats'!B:B,'Base stats'!E:E),Groups!A:A,Groups!H:H)*_xlfn.XLOOKUP(_xlfn.XLOOKUP(B30,'Base stats'!B:B,'Base stats'!E:E),Groups!A:A,Groups!I:I))*_xlfn.XLOOKUP(B30,'Base stats'!B:B,'Base stats'!AN:AN)*0.01</f>
        <v>0.35130354634144623</v>
      </c>
      <c r="AB30" s="18">
        <f>250*(Animals!AN30+Animals!AO30)</f>
        <v>1125</v>
      </c>
      <c r="AC30" s="18" t="str">
        <f>_xlfn.XLOOKUP(_xlfn.XLOOKUP(B30,'Base stats'!B:B,'Base stats'!E:E),Groups!A:A,Groups!BI:BI)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stats'!BP:BP) * (_xlfn.XLOOKUP(B31,'Base stats'!B:B,'Base stats'!AL:AL)*5%)^0.9 / 21,0.1),0.05)</f>
        <v>0.30000000000000004</v>
      </c>
      <c r="E31" s="11">
        <f>MAX(0.01,MROUND(_xlfn.XLOOKUP(B31,'Base stats'!B:B,'Base stats'!BD:BD) * 0.01 * 2, 0.01))</f>
        <v>0.22</v>
      </c>
      <c r="F31" s="7">
        <f>MROUND(_xlfn.XLOOKUP(B31,'Base stats'!B:B,'Base stats'!BA:BA)^0.25 / (_xlfn.XLOOKUP(B31,'Base stats'!B:B,'Base stats'!BH:BH) * 10) * 150 + 0.5 + _xlfn.XLOOKUP(B31,'Base stats'!B:B,'Base stats'!BT:BT), 0.05)</f>
        <v>1.35</v>
      </c>
      <c r="G31" s="3" t="str">
        <f>IF(Animals!R31="No","No",
IF(_xlfn.XLOOKUP(B31,'Base stats'!B:B,'Base stats'!U:U)="No",
MAX(MROUND(_xlfn.XLOOKUP(B31,'Base stats'!B:B,'Base stats'!BQ:BQ) * _xlfn.XLOOKUP(B31,'Base stats'!B:B,'Base stats'!BM:BM)^0.9 / 21 * _xlfn.XLOOKUP(B31,'Base stats'!B:B,'Base stats'!BU:BU),0.1),0.05),
MAX(MROUND(((MIN(10,_xlfn.XLOOKUP(B31,'Base stats'!B:B,'Base stats'!U:U)))^0.4*_xlfn.XLOOKUP(B31,'Base stats'!B:B,'Base stats'!BE:BE)^0.73)^0.6 * _xlfn.XLOOKUP(B31,'Base stats'!B:B,'Base stats'!BU:BU),0.1),0.05)
))</f>
        <v>No</v>
      </c>
      <c r="H31" s="11" t="str">
        <f>IF(G31="No","No",
MAX(0.01,MROUND(_xlfn.XLOOKUP(B31,'Base stats'!B:B,'Base stats'!BE:BE) * 0.01 * 2, 0.01))
)</f>
        <v>No</v>
      </c>
      <c r="I31" s="11" t="str">
        <f>IF(G31="No","No",IF(_xlfn.XLOOKUP(B31,'Base stats'!B:B,'Base stats'!U:U)="No","No",
MAX(0.01,MROUND(_xlfn.XLOOKUP(B31,'Base stats'!B:B,'Base stats'!BQ:BQ)/10000,0.01))
))</f>
        <v>No</v>
      </c>
      <c r="J31" s="4" t="str">
        <f>IF(G31="No","No",
MROUND(_xlfn.XLOOKUP(B31,'Base stats'!B:B,'Base stats'!BB:BB)^0.25
/((_xlfn.XLOOKUP(B31,'Base stats'!B:B,'Base stats'!BI:BI))*10)*_xlfn.XLOOKUP(_xlfn.XLOOKUP(B31,'Base stats'!B:B,'Base stats'!E:E),Groups!A:A,Groups!Q:Q)*150 + 0.5 + _xlfn.XLOOKUP(B31,'Base stats'!B:B,'Base stats'!BT:BT),
0.05))</f>
        <v>No</v>
      </c>
      <c r="K31" s="3" t="str">
        <f>IF(Animals!W31="No","No",
IF(_xlfn.XLOOKUP(_xlfn.XLOOKUP(B31,'Base stats'!B:B,'Base stats'!E:E),Groups!A:A,Groups!BC:BC)=1,
MAX(MROUND(_xlfn.XLOOKUP(B31,'Base stats'!B:B,'Base stats'!BR:BR) * _xlfn.XLOOKUP(B31,'Base stats'!B:B,'Base stats'!BN:BN)^0.9 / 21 *_xlfn.XLOOKUP(B31,'Base stats'!B:B,'Base stats'!BU:BU),0.1),0.05),
MAX(MROUND(((MIN(10,_xlfn.XLOOKUP(B31,'Base stats'!B:B,'Base stats'!W:W)))^0.4*_xlfn.XLOOKUP(B31,'Base stats'!B:B,'Base stats'!BF:BF)^0.73)^0.6 *_xlfn.XLOOKUP(B31,'Base stats'!B:B,'Base stats'!BU:BU),0.1),0.05)
))</f>
        <v>No</v>
      </c>
      <c r="L31" s="11" t="str">
        <f>IF(K31="No","No",
MAX(0.01,MROUND(_xlfn.XLOOKUP(B31,'Base stats'!B:B,'Base stats'!BF:BF) * 0.01 *2, 0.01))
)</f>
        <v>No</v>
      </c>
      <c r="M31" s="5" t="str">
        <f>IF(K31="No","No",IF(_xlfn.XLOOKUP(_xlfn.XLOOKUP(B31,'Base stats'!B:B,'Base stats'!E:E),Groups!A:A,Groups!BC:BC)=1,"No",
MAX(0.01,MROUND(_xlfn.XLOOKUP(B31,'Base stats'!B:B,'Base stats'!BR:BR)/10000,0.01))
))</f>
        <v>No</v>
      </c>
      <c r="N31" s="4" t="str">
        <f>IF(K31="No","No",
MROUND(
  _xlfn.XLOOKUP(B31,'Base stats'!B:B,'Base stats'!AZ:AZ)^0.25
  / (_xlfn.XLOOKUP(B31,'Base stats'!B:B,'Base stats'!BJ:BJ)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stats'!BT:BT),
0.05))</f>
        <v>No</v>
      </c>
      <c r="O31" s="3">
        <f>IF(Animals!AC31="No","No",
MAX(MROUND((MIN(10,_xlfn.XLOOKUP(B31,'Base stats'!B:B,'Base stats'!V:V)*IF(_xlfn.XLOOKUP(_xlfn.XLOOKUP(B31,'Base stats'!B:B,'Base stats'!E:E),Groups!A:A,Groups!O:O)=0,1,0.33))^0.4*_xlfn.XLOOKUP(B31,'Base stats'!B:B,'Base stats'!BG:BG)^0.73)^0.6 *_xlfn.XLOOKUP(B31,'Base stats'!B:B,'Base stats'!BU:BU),0.1),0.05)
)</f>
        <v>4.3</v>
      </c>
      <c r="P31" s="11">
        <f>IF(O31="No","No",
MAX(0.01,MROUND(_xlfn.XLOOKUP(B31,'Base stats'!B:B,'Base stats'!BG:BG) * 0.01 * 2, 0.01))
)</f>
        <v>0.42</v>
      </c>
      <c r="Q31" s="5">
        <f>IF(O31="No","No",
MAX(0.01,MROUND(_xlfn.XLOOKUP(B31,'Base stats'!B:B,'Base stats'!BS:BS)/10000,0.01))
)</f>
        <v>7.0000000000000007E-2</v>
      </c>
      <c r="R31" s="4">
        <f>IF(O31="No","No",
MROUND(_xlfn.XLOOKUP(B31,'Base stats'!B:B,'Base stats'!AY:AY)^0.25
/((_xlfn.XLOOKUP(B31,'Base stats'!B:B,'Base stats'!BK:BK))*10)*_xlfn.XLOOKUP(_xlfn.XLOOKUP(B31,'Base stats'!B:B,'Base stats'!E:E),Groups!A:A,Groups!Z:Z)*150 + 0.5 + _xlfn.XLOOKUP(B31,'Base stats'!B:B,'Base stats'!BT:BT),
0.05))</f>
        <v>1.9000000000000001</v>
      </c>
      <c r="S31" s="3">
        <f>IF(Animals!AH31="No","No",
IF(_xlfn.XLOOKUP(B31,'Base stats'!B:B,'Base stats'!U:U)="No",
MAX(MROUND(_xlfn.XLOOKUP(B31,'Base stats'!B:B,'Base stats'!BQ:BQ) * _xlfn.XLOOKUP(B31,'Base stats'!B:B,'Base stats'!BM:BM)^0.9 / 21 * _xlfn.XLOOKUP(B31,'Base stats'!B:B,'Base stats'!BU:BU),0.1),0.05),
MAX(MROUND(((MIN(12,_xlfn.XLOOKUP(B31,'Base stats'!B:B,'Base stats'!U:U)))^0.4*_xlfn.XLOOKUP(B31,'Base stats'!B:B,'Base stats'!BE:BE)^0.73)^0.6 * _xlfn.XLOOKUP(B31,'Base stats'!B:B,'Base stats'!BU:BU),0.1),0.05)
))</f>
        <v>0.8</v>
      </c>
      <c r="T31" s="11">
        <f>IF(S31="No","No",
MAX(0.01,MROUND(_xlfn.XLOOKUP(B31,'Base stats'!B:B,'Base stats'!BE:BE) * 0.01 * 2, 0.01))
)</f>
        <v>0.32</v>
      </c>
      <c r="U31" s="5" t="str">
        <f>IF(S31="No","No",IF(_xlfn.XLOOKUP(B31,'Base stats'!B:B,'Base stats'!U:U)="No","No",
MAX(0.01,MROUND(_xlfn.XLOOKUP(B31,'Base stats'!B:B,'Base stats'!BQ:BQ)/10000,0.01))
))</f>
        <v>No</v>
      </c>
      <c r="V31" s="4">
        <f>IF(S31="No","No",
MROUND(_xlfn.XLOOKUP(B31,'Base stats'!B:B,'Base stats'!BC:BC)^0.25
/((_xlfn.XLOOKUP(B31,'Base stats'!B:B,'Base stats'!BL:BL))*10)*_xlfn.XLOOKUP(_xlfn.XLOOKUP(B31,'Base stats'!B:B,'Base stats'!E:E),Groups!A:A,Groups!AE:AE)*150 + 0.5 + _xlfn.XLOOKUP(B31,'Base stats'!B:B,'Base stats'!BT:BT),
0.05))</f>
        <v>1.1500000000000001</v>
      </c>
      <c r="W31" s="8">
        <f>MROUND(_xlfn.XLOOKUP(_xlfn.XLOOKUP(B31,'Base stats'!B:B,'Base stats'!E:E),Groups!A:A,Groups!BF:BF)*_xlfn.XLOOKUP(B31,'Base stats'!B:B,'Base stats'!C:C)^-0.165,0.01)</f>
        <v>0.73</v>
      </c>
      <c r="X31" s="1">
        <f>MROUND(_xlfn.XLOOKUP(_xlfn.XLOOKUP(B31,'Base stats'!B:B,'Base stats'!E:E),Groups!A:A,Groups!BG:BG)*_xlfn.XLOOKUP(B31,'Base stats'!B:B,'Base stats'!C:C)^0.165,0.01)</f>
        <v>0.14000000000000001</v>
      </c>
      <c r="Y31" s="8">
        <f>MROUND(_xlfn.XLOOKUP(_xlfn.XLOOKUP(B31,'Base stats'!B:B,'Base stats'!E:E),Groups!A:A,Groups!BH:BH)*_xlfn.XLOOKUP(B31,'Base stats'!B:B,'Base stats'!C:C)^0.165,0.01)</f>
        <v>7.0000000000000007E-2</v>
      </c>
      <c r="Z31" s="18">
        <f>_xlfn.XLOOKUP(B31,'Base stats'!B:B,'Base stats'!AN:AN)*_xlfn.XLOOKUP(_xlfn.XLOOKUP(B31,'Base stats'!B:B,'Base stats'!E:E),Groups!A:A,Groups!H:H)/1000</f>
        <v>2.1390023360039569E-2</v>
      </c>
      <c r="AA31" s="18">
        <f>(1/2)*(_xlfn.XLOOKUP(_xlfn.XLOOKUP(B31,'Base stats'!B:B,'Base stats'!E:E),Groups!A:A,Groups!H:H)*_xlfn.XLOOKUP(_xlfn.XLOOKUP(B31,'Base stats'!B:B,'Base stats'!E:E),Groups!A:A,Groups!I:I))*_xlfn.XLOOKUP(B31,'Base stats'!B:B,'Base stats'!AN:AN)*0.01</f>
        <v>0.11764512848021763</v>
      </c>
      <c r="AB31" s="18">
        <f>250*(Animals!AN31+Animals!AO31)</f>
        <v>175.00000000000003</v>
      </c>
      <c r="AC31" s="18" t="str">
        <f>_xlfn.XLOOKUP(_xlfn.XLOOKUP(B31,'Base stats'!B:B,'Base stats'!E:E),Groups!A:A,Groups!BI:BI)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stats'!BP:BP) * (_xlfn.XLOOKUP(B32,'Base stats'!B:B,'Base stats'!AL:AL)*5%)^0.9 / 21,0.1),0.05)</f>
        <v>0.1</v>
      </c>
      <c r="E32" s="11">
        <f>MAX(0.01,MROUND(_xlfn.XLOOKUP(B32,'Base stats'!B:B,'Base stats'!BD:BD) * 0.01 * 2, 0.01))</f>
        <v>0.06</v>
      </c>
      <c r="F32" s="7">
        <f>MROUND(_xlfn.XLOOKUP(B32,'Base stats'!B:B,'Base stats'!BA:BA)^0.25 / (_xlfn.XLOOKUP(B32,'Base stats'!B:B,'Base stats'!BH:BH) * 10) * 150 + 0.5 + _xlfn.XLOOKUP(B32,'Base stats'!B:B,'Base stats'!BT:BT), 0.05)</f>
        <v>1.2000000000000002</v>
      </c>
      <c r="G32" s="3" t="str">
        <f>IF(Animals!R32="No","No",
IF(_xlfn.XLOOKUP(B32,'Base stats'!B:B,'Base stats'!U:U)="No",
MAX(MROUND(_xlfn.XLOOKUP(B32,'Base stats'!B:B,'Base stats'!BQ:BQ) * _xlfn.XLOOKUP(B32,'Base stats'!B:B,'Base stats'!BM:BM)^0.9 / 21 * _xlfn.XLOOKUP(B32,'Base stats'!B:B,'Base stats'!BU:BU),0.1),0.05),
MAX(MROUND(((MIN(10,_xlfn.XLOOKUP(B32,'Base stats'!B:B,'Base stats'!U:U)))^0.4*_xlfn.XLOOKUP(B32,'Base stats'!B:B,'Base stats'!BE:BE)^0.73)^0.6 * _xlfn.XLOOKUP(B32,'Base stats'!B:B,'Base stats'!BU:BU),0.1),0.05)
))</f>
        <v>No</v>
      </c>
      <c r="H32" s="11" t="str">
        <f>IF(G32="No","No",
MAX(0.01,MROUND(_xlfn.XLOOKUP(B32,'Base stats'!B:B,'Base stats'!BE:BE) * 0.01 * 2, 0.01))
)</f>
        <v>No</v>
      </c>
      <c r="I32" s="11" t="str">
        <f>IF(G32="No","No",IF(_xlfn.XLOOKUP(B32,'Base stats'!B:B,'Base stats'!U:U)="No","No",
MAX(0.01,MROUND(_xlfn.XLOOKUP(B32,'Base stats'!B:B,'Base stats'!BQ:BQ)/10000,0.01))
))</f>
        <v>No</v>
      </c>
      <c r="J32" s="4" t="str">
        <f>IF(G32="No","No",
MROUND(_xlfn.XLOOKUP(B32,'Base stats'!B:B,'Base stats'!BB:BB)^0.25
/((_xlfn.XLOOKUP(B32,'Base stats'!B:B,'Base stats'!BI:BI))*10)*_xlfn.XLOOKUP(_xlfn.XLOOKUP(B32,'Base stats'!B:B,'Base stats'!E:E),Groups!A:A,Groups!Q:Q)*150 + 0.5 + _xlfn.XLOOKUP(B32,'Base stats'!B:B,'Base stats'!BT:BT),
0.05))</f>
        <v>No</v>
      </c>
      <c r="K32" s="3" t="str">
        <f>IF(Animals!W32="No","No",
IF(_xlfn.XLOOKUP(_xlfn.XLOOKUP(B32,'Base stats'!B:B,'Base stats'!E:E),Groups!A:A,Groups!BC:BC)=1,
MAX(MROUND(_xlfn.XLOOKUP(B32,'Base stats'!B:B,'Base stats'!BR:BR) * _xlfn.XLOOKUP(B32,'Base stats'!B:B,'Base stats'!BN:BN)^0.9 / 21 *_xlfn.XLOOKUP(B32,'Base stats'!B:B,'Base stats'!BU:BU),0.1),0.05),
MAX(MROUND(((MIN(10,_xlfn.XLOOKUP(B32,'Base stats'!B:B,'Base stats'!W:W)))^0.4*_xlfn.XLOOKUP(B32,'Base stats'!B:B,'Base stats'!BF:BF)^0.73)^0.6 *_xlfn.XLOOKUP(B32,'Base stats'!B:B,'Base stats'!BU:BU),0.1),0.05)
))</f>
        <v>No</v>
      </c>
      <c r="L32" s="11" t="str">
        <f>IF(K32="No","No",
MAX(0.01,MROUND(_xlfn.XLOOKUP(B32,'Base stats'!B:B,'Base stats'!BF:BF) * 0.01 *2, 0.01))
)</f>
        <v>No</v>
      </c>
      <c r="M32" s="5" t="str">
        <f>IF(K32="No","No",IF(_xlfn.XLOOKUP(_xlfn.XLOOKUP(B32,'Base stats'!B:B,'Base stats'!E:E),Groups!A:A,Groups!BC:BC)=1,"No",
MAX(0.01,MROUND(_xlfn.XLOOKUP(B32,'Base stats'!B:B,'Base stats'!BR:BR)/10000,0.01))
))</f>
        <v>No</v>
      </c>
      <c r="N32" s="4" t="str">
        <f>IF(K32="No","No",
MROUND(
  _xlfn.XLOOKUP(B32,'Base stats'!B:B,'Base stats'!AZ:AZ)^0.25
  / (_xlfn.XLOOKUP(B32,'Base stats'!B:B,'Base stats'!BJ:BJ)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stats'!BT:BT),
0.05))</f>
        <v>No</v>
      </c>
      <c r="O32" s="3">
        <f>IF(Animals!AC32="No","No",
MAX(MROUND((MIN(10,_xlfn.XLOOKUP(B32,'Base stats'!B:B,'Base stats'!V:V)*IF(_xlfn.XLOOKUP(_xlfn.XLOOKUP(B32,'Base stats'!B:B,'Base stats'!E:E),Groups!A:A,Groups!O:O)=0,1,0.33))^0.4*_xlfn.XLOOKUP(B32,'Base stats'!B:B,'Base stats'!BG:BG)^0.73)^0.6 *_xlfn.XLOOKUP(B32,'Base stats'!B:B,'Base stats'!BU:BU),0.1),0.05)
)</f>
        <v>3.6</v>
      </c>
      <c r="P32" s="11">
        <f>IF(O32="No","No",
MAX(0.01,MROUND(_xlfn.XLOOKUP(B32,'Base stats'!B:B,'Base stats'!BG:BG) * 0.01 * 2, 0.01))
)</f>
        <v>0.44</v>
      </c>
      <c r="Q32" s="5">
        <f>IF(O32="No","No",
MAX(0.01,MROUND(_xlfn.XLOOKUP(B32,'Base stats'!B:B,'Base stats'!BS:BS)/10000,0.01))
)</f>
        <v>0.13</v>
      </c>
      <c r="R32" s="4">
        <f>IF(O32="No","No",
MROUND(_xlfn.XLOOKUP(B32,'Base stats'!B:B,'Base stats'!AY:AY)^0.25
/((_xlfn.XLOOKUP(B32,'Base stats'!B:B,'Base stats'!BK:BK))*10)*_xlfn.XLOOKUP(_xlfn.XLOOKUP(B32,'Base stats'!B:B,'Base stats'!E:E),Groups!A:A,Groups!Z:Z)*150 + 0.5 + _xlfn.XLOOKUP(B32,'Base stats'!B:B,'Base stats'!BT:BT),
0.05))</f>
        <v>2.25</v>
      </c>
      <c r="S32" s="3">
        <f>IF(Animals!AH32="No","No",
IF(_xlfn.XLOOKUP(B32,'Base stats'!B:B,'Base stats'!U:U)="No",
MAX(MROUND(_xlfn.XLOOKUP(B32,'Base stats'!B:B,'Base stats'!BQ:BQ) * _xlfn.XLOOKUP(B32,'Base stats'!B:B,'Base stats'!BM:BM)^0.9 / 21 * _xlfn.XLOOKUP(B32,'Base stats'!B:B,'Base stats'!BU:BU),0.1),0.05),
MAX(MROUND(((MIN(12,_xlfn.XLOOKUP(B32,'Base stats'!B:B,'Base stats'!U:U)))^0.4*_xlfn.XLOOKUP(B32,'Base stats'!B:B,'Base stats'!BE:BE)^0.73)^0.6 * _xlfn.XLOOKUP(B32,'Base stats'!B:B,'Base stats'!BU:BU),0.1),0.05)
))</f>
        <v>2</v>
      </c>
      <c r="T32" s="11">
        <f>IF(S32="No","No",
MAX(0.01,MROUND(_xlfn.XLOOKUP(B32,'Base stats'!B:B,'Base stats'!BE:BE) * 0.01 * 2, 0.01))
)</f>
        <v>0.09</v>
      </c>
      <c r="U32" s="5">
        <f>IF(S32="No","No",IF(_xlfn.XLOOKUP(B32,'Base stats'!B:B,'Base stats'!U:U)="No","No",
MAX(0.01,MROUND(_xlfn.XLOOKUP(B32,'Base stats'!B:B,'Base stats'!BQ:BQ)/10000,0.01))
))</f>
        <v>0.03</v>
      </c>
      <c r="V32" s="4">
        <f>IF(S32="No","No",
MROUND(_xlfn.XLOOKUP(B32,'Base stats'!B:B,'Base stats'!BC:BC)^0.25
/((_xlfn.XLOOKUP(B32,'Base stats'!B:B,'Base stats'!BL:BL))*10)*_xlfn.XLOOKUP(_xlfn.XLOOKUP(B32,'Base stats'!B:B,'Base stats'!E:E),Groups!A:A,Groups!AE:AE)*150 + 0.5 + _xlfn.XLOOKUP(B32,'Base stats'!B:B,'Base stats'!BT:BT),
0.05))</f>
        <v>1.05</v>
      </c>
      <c r="W32" s="8">
        <f>MROUND(_xlfn.XLOOKUP(_xlfn.XLOOKUP(B32,'Base stats'!B:B,'Base stats'!E:E),Groups!A:A,Groups!BF:BF)*_xlfn.XLOOKUP(B32,'Base stats'!B:B,'Base stats'!C:C)^-0.165,0.01)</f>
        <v>0.47000000000000003</v>
      </c>
      <c r="X32" s="1">
        <f>MROUND(_xlfn.XLOOKUP(_xlfn.XLOOKUP(B32,'Base stats'!B:B,'Base stats'!E:E),Groups!A:A,Groups!BG:BG)*_xlfn.XLOOKUP(B32,'Base stats'!B:B,'Base stats'!C:C)^0.165,0.01)</f>
        <v>0</v>
      </c>
      <c r="Y32" s="8">
        <f>MROUND(_xlfn.XLOOKUP(_xlfn.XLOOKUP(B32,'Base stats'!B:B,'Base stats'!E:E),Groups!A:A,Groups!BH:BH)*_xlfn.XLOOKUP(B32,'Base stats'!B:B,'Base stats'!C:C)^0.165,0.01)</f>
        <v>0</v>
      </c>
      <c r="Z32" s="18">
        <f>_xlfn.XLOOKUP(B32,'Base stats'!B:B,'Base stats'!AN:AN)*_xlfn.XLOOKUP(_xlfn.XLOOKUP(B32,'Base stats'!B:B,'Base stats'!E:E),Groups!A:A,Groups!H:H)/1000</f>
        <v>2.0813072555769002E-2</v>
      </c>
      <c r="AA32" s="18">
        <f>(1/2)*(_xlfn.XLOOKUP(_xlfn.XLOOKUP(B32,'Base stats'!B:B,'Base stats'!E:E),Groups!A:A,Groups!H:H)*_xlfn.XLOOKUP(_xlfn.XLOOKUP(B32,'Base stats'!B:B,'Base stats'!E:E),Groups!A:A,Groups!I:I))*_xlfn.XLOOKUP(B32,'Base stats'!B:B,'Base stats'!AN:AN)*0.01</f>
        <v>8.8455558362018238E-2</v>
      </c>
      <c r="AB32" s="18">
        <f>250*(Animals!AN32+Animals!AO32)</f>
        <v>112.5</v>
      </c>
      <c r="AC32" s="18" t="str">
        <f>_xlfn.XLOOKUP(_xlfn.XLOOKUP(B32,'Base stats'!B:B,'Base stats'!E:E),Groups!A:A,Groups!BI:BI)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stats'!BP:BP) * (_xlfn.XLOOKUP(B33,'Base stats'!B:B,'Base stats'!AL:AL)*5%)^0.9 / 21,0.1),0.05)</f>
        <v>0.4</v>
      </c>
      <c r="E33" s="11">
        <f>MAX(0.01,MROUND(_xlfn.XLOOKUP(B33,'Base stats'!B:B,'Base stats'!BD:BD) * 0.01 * 2, 0.01))</f>
        <v>0.26</v>
      </c>
      <c r="F33" s="7">
        <f>MROUND(_xlfn.XLOOKUP(B33,'Base stats'!B:B,'Base stats'!BA:BA)^0.25 / (_xlfn.XLOOKUP(B33,'Base stats'!B:B,'Base stats'!BH:BH) * 10) * 150 + 0.5 + _xlfn.XLOOKUP(B33,'Base stats'!B:B,'Base stats'!BT:BT), 0.05)</f>
        <v>1.55</v>
      </c>
      <c r="G33" s="3" t="str">
        <f>IF(Animals!R33="No","No",
IF(_xlfn.XLOOKUP(B33,'Base stats'!B:B,'Base stats'!U:U)="No",
MAX(MROUND(_xlfn.XLOOKUP(B33,'Base stats'!B:B,'Base stats'!BQ:BQ) * _xlfn.XLOOKUP(B33,'Base stats'!B:B,'Base stats'!BM:BM)^0.9 / 21 * _xlfn.XLOOKUP(B33,'Base stats'!B:B,'Base stats'!BU:BU),0.1),0.05),
MAX(MROUND(((MIN(10,_xlfn.XLOOKUP(B33,'Base stats'!B:B,'Base stats'!U:U)))^0.4*_xlfn.XLOOKUP(B33,'Base stats'!B:B,'Base stats'!BE:BE)^0.73)^0.6 * _xlfn.XLOOKUP(B33,'Base stats'!B:B,'Base stats'!BU:BU),0.1),0.05)
))</f>
        <v>No</v>
      </c>
      <c r="H33" s="11" t="str">
        <f>IF(G33="No","No",
MAX(0.01,MROUND(_xlfn.XLOOKUP(B33,'Base stats'!B:B,'Base stats'!BE:BE) * 0.01 * 2, 0.01))
)</f>
        <v>No</v>
      </c>
      <c r="I33" s="11" t="str">
        <f>IF(G33="No","No",IF(_xlfn.XLOOKUP(B33,'Base stats'!B:B,'Base stats'!U:U)="No","No",
MAX(0.01,MROUND(_xlfn.XLOOKUP(B33,'Base stats'!B:B,'Base stats'!BQ:BQ)/10000,0.01))
))</f>
        <v>No</v>
      </c>
      <c r="J33" s="4" t="str">
        <f>IF(G33="No","No",
MROUND(_xlfn.XLOOKUP(B33,'Base stats'!B:B,'Base stats'!BB:BB)^0.25
/((_xlfn.XLOOKUP(B33,'Base stats'!B:B,'Base stats'!BI:BI))*10)*_xlfn.XLOOKUP(_xlfn.XLOOKUP(B33,'Base stats'!B:B,'Base stats'!E:E),Groups!A:A,Groups!Q:Q)*150 + 0.5 + _xlfn.XLOOKUP(B33,'Base stats'!B:B,'Base stats'!BT:BT),
0.05))</f>
        <v>No</v>
      </c>
      <c r="K33" s="3" t="str">
        <f>IF(Animals!W33="No","No",
IF(_xlfn.XLOOKUP(_xlfn.XLOOKUP(B33,'Base stats'!B:B,'Base stats'!E:E),Groups!A:A,Groups!BC:BC)=1,
MAX(MROUND(_xlfn.XLOOKUP(B33,'Base stats'!B:B,'Base stats'!BR:BR) * _xlfn.XLOOKUP(B33,'Base stats'!B:B,'Base stats'!BN:BN)^0.9 / 21 *_xlfn.XLOOKUP(B33,'Base stats'!B:B,'Base stats'!BU:BU),0.1),0.05),
MAX(MROUND(((MIN(10,_xlfn.XLOOKUP(B33,'Base stats'!B:B,'Base stats'!W:W)))^0.4*_xlfn.XLOOKUP(B33,'Base stats'!B:B,'Base stats'!BF:BF)^0.73)^0.6 *_xlfn.XLOOKUP(B33,'Base stats'!B:B,'Base stats'!BU:BU),0.1),0.05)
))</f>
        <v>No</v>
      </c>
      <c r="L33" s="11" t="str">
        <f>IF(K33="No","No",
MAX(0.01,MROUND(_xlfn.XLOOKUP(B33,'Base stats'!B:B,'Base stats'!BF:BF) * 0.01 *2, 0.01))
)</f>
        <v>No</v>
      </c>
      <c r="M33" s="5" t="str">
        <f>IF(K33="No","No",IF(_xlfn.XLOOKUP(_xlfn.XLOOKUP(B33,'Base stats'!B:B,'Base stats'!E:E),Groups!A:A,Groups!BC:BC)=1,"No",
MAX(0.01,MROUND(_xlfn.XLOOKUP(B33,'Base stats'!B:B,'Base stats'!BR:BR)/10000,0.01))
))</f>
        <v>No</v>
      </c>
      <c r="N33" s="4" t="str">
        <f>IF(K33="No","No",
MROUND(
  _xlfn.XLOOKUP(B33,'Base stats'!B:B,'Base stats'!AZ:AZ)^0.25
  / (_xlfn.XLOOKUP(B33,'Base stats'!B:B,'Base stats'!BJ:BJ)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stats'!BT:BT),
0.05))</f>
        <v>No</v>
      </c>
      <c r="O33" s="3">
        <f>IF(Animals!AC33="No","No",
MAX(MROUND((MIN(10,_xlfn.XLOOKUP(B33,'Base stats'!B:B,'Base stats'!V:V)*IF(_xlfn.XLOOKUP(_xlfn.XLOOKUP(B33,'Base stats'!B:B,'Base stats'!E:E),Groups!A:A,Groups!O:O)=0,1,0.33))^0.4*_xlfn.XLOOKUP(B33,'Base stats'!B:B,'Base stats'!BG:BG)^0.73)^0.6 *_xlfn.XLOOKUP(B33,'Base stats'!B:B,'Base stats'!BU:BU),0.1),0.05)
)</f>
        <v>3.1</v>
      </c>
      <c r="P33" s="11">
        <f>IF(O33="No","No",
MAX(0.01,MROUND(_xlfn.XLOOKUP(B33,'Base stats'!B:B,'Base stats'!BG:BG) * 0.01 * 2, 0.01))
)</f>
        <v>0.24</v>
      </c>
      <c r="Q33" s="5">
        <f>IF(O33="No","No",
MAX(0.01,MROUND(_xlfn.XLOOKUP(B33,'Base stats'!B:B,'Base stats'!BS:BS)/10000,0.01))
)</f>
        <v>0.03</v>
      </c>
      <c r="R33" s="4">
        <f>IF(O33="No","No",
MROUND(_xlfn.XLOOKUP(B33,'Base stats'!B:B,'Base stats'!AY:AY)^0.25
/((_xlfn.XLOOKUP(B33,'Base stats'!B:B,'Base stats'!BK:BK))*10)*_xlfn.XLOOKUP(_xlfn.XLOOKUP(B33,'Base stats'!B:B,'Base stats'!E:E),Groups!A:A,Groups!Z:Z)*150 + 0.5 + _xlfn.XLOOKUP(B33,'Base stats'!B:B,'Base stats'!BT:BT),
0.05))</f>
        <v>1.85</v>
      </c>
      <c r="S33" s="3" t="str">
        <f>IF(Animals!AH33="No","No",
IF(_xlfn.XLOOKUP(B33,'Base stats'!B:B,'Base stats'!U:U)="No",
MAX(MROUND(_xlfn.XLOOKUP(B33,'Base stats'!B:B,'Base stats'!BQ:BQ) * _xlfn.XLOOKUP(B33,'Base stats'!B:B,'Base stats'!BM:BM)^0.9 / 21 * _xlfn.XLOOKUP(B33,'Base stats'!B:B,'Base stats'!BU:BU),0.1),0.05),
MAX(MROUND(((MIN(12,_xlfn.XLOOKUP(B33,'Base stats'!B:B,'Base stats'!U:U)))^0.4*_xlfn.XLOOKUP(B33,'Base stats'!B:B,'Base stats'!BE:BE)^0.73)^0.6 * _xlfn.XLOOKUP(B33,'Base stats'!B:B,'Base stats'!BU:BU),0.1),0.05)
))</f>
        <v>No</v>
      </c>
      <c r="T33" s="11" t="str">
        <f>IF(S33="No","No",
MAX(0.01,MROUND(_xlfn.XLOOKUP(B33,'Base stats'!B:B,'Base stats'!BE:BE) * 0.01 * 2, 0.01))
)</f>
        <v>No</v>
      </c>
      <c r="U33" s="5" t="str">
        <f>IF(S33="No","No",IF(_xlfn.XLOOKUP(B33,'Base stats'!B:B,'Base stats'!U:U)="No","No",
MAX(0.01,MROUND(_xlfn.XLOOKUP(B33,'Base stats'!B:B,'Base stats'!BQ:BQ)/10000,0.01))
))</f>
        <v>No</v>
      </c>
      <c r="V33" s="4" t="str">
        <f>IF(S33="No","No",
MROUND(_xlfn.XLOOKUP(B33,'Base stats'!B:B,'Base stats'!BC:BC)^0.25
/((_xlfn.XLOOKUP(B33,'Base stats'!B:B,'Base stats'!BL:BL))*10)*_xlfn.XLOOKUP(_xlfn.XLOOKUP(B33,'Base stats'!B:B,'Base stats'!E:E),Groups!A:A,Groups!AE:AE)*150 + 0.5 + _xlfn.XLOOKUP(B33,'Base stats'!B:B,'Base stats'!BT:BT),
0.05))</f>
        <v>No</v>
      </c>
      <c r="W33" s="8">
        <f>MROUND(_xlfn.XLOOKUP(_xlfn.XLOOKUP(B33,'Base stats'!B:B,'Base stats'!E:E),Groups!A:A,Groups!BF:BF)*_xlfn.XLOOKUP(B33,'Base stats'!B:B,'Base stats'!C:C)^-0.165,0.01)</f>
        <v>0.35000000000000003</v>
      </c>
      <c r="X33" s="1">
        <f>MROUND(_xlfn.XLOOKUP(_xlfn.XLOOKUP(B33,'Base stats'!B:B,'Base stats'!E:E),Groups!A:A,Groups!BG:BG)*_xlfn.XLOOKUP(B33,'Base stats'!B:B,'Base stats'!C:C)^0.165,0.01)</f>
        <v>0.14000000000000001</v>
      </c>
      <c r="Y33" s="8">
        <f>MROUND(_xlfn.XLOOKUP(_xlfn.XLOOKUP(B33,'Base stats'!B:B,'Base stats'!E:E),Groups!A:A,Groups!BH:BH)*_xlfn.XLOOKUP(B33,'Base stats'!B:B,'Base stats'!C:C)^0.165,0.01)</f>
        <v>0.04</v>
      </c>
      <c r="Z33" s="18">
        <f>_xlfn.XLOOKUP(B33,'Base stats'!B:B,'Base stats'!AN:AN)*_xlfn.XLOOKUP(_xlfn.XLOOKUP(B33,'Base stats'!B:B,'Base stats'!E:E),Groups!A:A,Groups!H:H)/1000</f>
        <v>3.3625734493935772E-2</v>
      </c>
      <c r="AA33" s="18">
        <f>(1/2)*(_xlfn.XLOOKUP(_xlfn.XLOOKUP(B33,'Base stats'!B:B,'Base stats'!E:E),Groups!A:A,Groups!H:H)*_xlfn.XLOOKUP(_xlfn.XLOOKUP(B33,'Base stats'!B:B,'Base stats'!E:E),Groups!A:A,Groups!I:I))*_xlfn.XLOOKUP(B33,'Base stats'!B:B,'Base stats'!AN:AN)*0.01</f>
        <v>0.14290937159922704</v>
      </c>
      <c r="AB33" s="18">
        <f>250*(Animals!AN33+Animals!AO33)</f>
        <v>200</v>
      </c>
      <c r="AC33" s="18" t="str">
        <f>_xlfn.XLOOKUP(_xlfn.XLOOKUP(B33,'Base stats'!B:B,'Base stats'!E:E),Groups!A:A,Groups!BI:BI)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stats'!BP:BP) * (_xlfn.XLOOKUP(B34,'Base stats'!B:B,'Base stats'!AL:AL)*5%)^0.9 / 21,0.1),0.05)</f>
        <v>0.5</v>
      </c>
      <c r="E34" s="11">
        <f>MAX(0.01,MROUND(_xlfn.XLOOKUP(B34,'Base stats'!B:B,'Base stats'!BD:BD) * 0.01 * 2, 0.01))</f>
        <v>0.38</v>
      </c>
      <c r="F34" s="7">
        <f>MROUND(_xlfn.XLOOKUP(B34,'Base stats'!B:B,'Base stats'!BA:BA)^0.25 / (_xlfn.XLOOKUP(B34,'Base stats'!B:B,'Base stats'!BH:BH) * 10) * 150 + 0.5 + _xlfn.XLOOKUP(B34,'Base stats'!B:B,'Base stats'!BT:BT), 0.05)</f>
        <v>1.85</v>
      </c>
      <c r="G34" s="3" t="str">
        <f>IF(Animals!R34="No","No",
IF(_xlfn.XLOOKUP(B34,'Base stats'!B:B,'Base stats'!U:U)="No",
MAX(MROUND(_xlfn.XLOOKUP(B34,'Base stats'!B:B,'Base stats'!BQ:BQ) * _xlfn.XLOOKUP(B34,'Base stats'!B:B,'Base stats'!BM:BM)^0.9 / 21 * _xlfn.XLOOKUP(B34,'Base stats'!B:B,'Base stats'!BU:BU),0.1),0.05),
MAX(MROUND(((MIN(10,_xlfn.XLOOKUP(B34,'Base stats'!B:B,'Base stats'!U:U)))^0.4*_xlfn.XLOOKUP(B34,'Base stats'!B:B,'Base stats'!BE:BE)^0.73)^0.6 * _xlfn.XLOOKUP(B34,'Base stats'!B:B,'Base stats'!BU:BU),0.1),0.05)
))</f>
        <v>No</v>
      </c>
      <c r="H34" s="11" t="str">
        <f>IF(G34="No","No",
MAX(0.01,MROUND(_xlfn.XLOOKUP(B34,'Base stats'!B:B,'Base stats'!BE:BE) * 0.01 * 2, 0.01))
)</f>
        <v>No</v>
      </c>
      <c r="I34" s="11" t="str">
        <f>IF(G34="No","No",IF(_xlfn.XLOOKUP(B34,'Base stats'!B:B,'Base stats'!U:U)="No","No",
MAX(0.01,MROUND(_xlfn.XLOOKUP(B34,'Base stats'!B:B,'Base stats'!BQ:BQ)/10000,0.01))
))</f>
        <v>No</v>
      </c>
      <c r="J34" s="4" t="str">
        <f>IF(G34="No","No",
MROUND(_xlfn.XLOOKUP(B34,'Base stats'!B:B,'Base stats'!BB:BB)^0.25
/((_xlfn.XLOOKUP(B34,'Base stats'!B:B,'Base stats'!BI:BI))*10)*_xlfn.XLOOKUP(_xlfn.XLOOKUP(B34,'Base stats'!B:B,'Base stats'!E:E),Groups!A:A,Groups!Q:Q)*150 + 0.5 + _xlfn.XLOOKUP(B34,'Base stats'!B:B,'Base stats'!BT:BT),
0.05))</f>
        <v>No</v>
      </c>
      <c r="K34" s="3" t="str">
        <f>IF(Animals!W34="No","No",
IF(_xlfn.XLOOKUP(_xlfn.XLOOKUP(B34,'Base stats'!B:B,'Base stats'!E:E),Groups!A:A,Groups!BC:BC)=1,
MAX(MROUND(_xlfn.XLOOKUP(B34,'Base stats'!B:B,'Base stats'!BR:BR) * _xlfn.XLOOKUP(B34,'Base stats'!B:B,'Base stats'!BN:BN)^0.9 / 21 *_xlfn.XLOOKUP(B34,'Base stats'!B:B,'Base stats'!BU:BU),0.1),0.05),
MAX(MROUND(((MIN(10,_xlfn.XLOOKUP(B34,'Base stats'!B:B,'Base stats'!W:W)))^0.4*_xlfn.XLOOKUP(B34,'Base stats'!B:B,'Base stats'!BF:BF)^0.73)^0.6 *_xlfn.XLOOKUP(B34,'Base stats'!B:B,'Base stats'!BU:BU),0.1),0.05)
))</f>
        <v>No</v>
      </c>
      <c r="L34" s="11" t="str">
        <f>IF(K34="No","No",
MAX(0.01,MROUND(_xlfn.XLOOKUP(B34,'Base stats'!B:B,'Base stats'!BF:BF) * 0.01 *2, 0.01))
)</f>
        <v>No</v>
      </c>
      <c r="M34" s="5" t="str">
        <f>IF(K34="No","No",IF(_xlfn.XLOOKUP(_xlfn.XLOOKUP(B34,'Base stats'!B:B,'Base stats'!E:E),Groups!A:A,Groups!BC:BC)=1,"No",
MAX(0.01,MROUND(_xlfn.XLOOKUP(B34,'Base stats'!B:B,'Base stats'!BR:BR)/10000,0.01))
))</f>
        <v>No</v>
      </c>
      <c r="N34" s="4" t="str">
        <f>IF(K34="No","No",
MROUND(
  _xlfn.XLOOKUP(B34,'Base stats'!B:B,'Base stats'!AZ:AZ)^0.25
  / (_xlfn.XLOOKUP(B34,'Base stats'!B:B,'Base stats'!BJ:BJ)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stats'!BT:BT),
0.05))</f>
        <v>No</v>
      </c>
      <c r="O34" s="3">
        <f>IF(Animals!AC34="No","No",
MAX(MROUND((MIN(10,_xlfn.XLOOKUP(B34,'Base stats'!B:B,'Base stats'!V:V)*IF(_xlfn.XLOOKUP(_xlfn.XLOOKUP(B34,'Base stats'!B:B,'Base stats'!E:E),Groups!A:A,Groups!O:O)=0,1,0.33))^0.4*_xlfn.XLOOKUP(B34,'Base stats'!B:B,'Base stats'!BG:BG)^0.73)^0.6 *_xlfn.XLOOKUP(B34,'Base stats'!B:B,'Base stats'!BU:BU),0.1),0.05)
)</f>
        <v>5.3000000000000007</v>
      </c>
      <c r="P34" s="11">
        <f>IF(O34="No","No",
MAX(0.01,MROUND(_xlfn.XLOOKUP(B34,'Base stats'!B:B,'Base stats'!BG:BG) * 0.01 * 2, 0.01))
)</f>
        <v>0.67</v>
      </c>
      <c r="Q34" s="5">
        <f>IF(O34="No","No",
MAX(0.01,MROUND(_xlfn.XLOOKUP(B34,'Base stats'!B:B,'Base stats'!BS:BS)/10000,0.01))
)</f>
        <v>0.06</v>
      </c>
      <c r="R34" s="4">
        <f>IF(O34="No","No",
MROUND(_xlfn.XLOOKUP(B34,'Base stats'!B:B,'Base stats'!AY:AY)^0.25
/((_xlfn.XLOOKUP(B34,'Base stats'!B:B,'Base stats'!BK:BK))*10)*_xlfn.XLOOKUP(_xlfn.XLOOKUP(B34,'Base stats'!B:B,'Base stats'!E:E),Groups!A:A,Groups!Z:Z)*150 + 0.5 + _xlfn.XLOOKUP(B34,'Base stats'!B:B,'Base stats'!BT:BT),
0.05))</f>
        <v>2.3000000000000003</v>
      </c>
      <c r="S34" s="3" t="str">
        <f>IF(Animals!AH34="No","No",
IF(_xlfn.XLOOKUP(B34,'Base stats'!B:B,'Base stats'!U:U)="No",
MAX(MROUND(_xlfn.XLOOKUP(B34,'Base stats'!B:B,'Base stats'!BQ:BQ) * _xlfn.XLOOKUP(B34,'Base stats'!B:B,'Base stats'!BM:BM)^0.9 / 21 * _xlfn.XLOOKUP(B34,'Base stats'!B:B,'Base stats'!BU:BU),0.1),0.05),
MAX(MROUND(((MIN(12,_xlfn.XLOOKUP(B34,'Base stats'!B:B,'Base stats'!U:U)))^0.4*_xlfn.XLOOKUP(B34,'Base stats'!B:B,'Base stats'!BE:BE)^0.73)^0.6 * _xlfn.XLOOKUP(B34,'Base stats'!B:B,'Base stats'!BU:BU),0.1),0.05)
))</f>
        <v>No</v>
      </c>
      <c r="T34" s="11" t="str">
        <f>IF(S34="No","No",
MAX(0.01,MROUND(_xlfn.XLOOKUP(B34,'Base stats'!B:B,'Base stats'!BE:BE) * 0.01 * 2, 0.01))
)</f>
        <v>No</v>
      </c>
      <c r="U34" s="5" t="str">
        <f>IF(S34="No","No",IF(_xlfn.XLOOKUP(B34,'Base stats'!B:B,'Base stats'!U:U)="No","No",
MAX(0.01,MROUND(_xlfn.XLOOKUP(B34,'Base stats'!B:B,'Base stats'!BQ:BQ)/10000,0.01))
))</f>
        <v>No</v>
      </c>
      <c r="V34" s="4" t="str">
        <f>IF(S34="No","No",
MROUND(_xlfn.XLOOKUP(B34,'Base stats'!B:B,'Base stats'!BC:BC)^0.25
/((_xlfn.XLOOKUP(B34,'Base stats'!B:B,'Base stats'!BL:BL))*10)*_xlfn.XLOOKUP(_xlfn.XLOOKUP(B34,'Base stats'!B:B,'Base stats'!E:E),Groups!A:A,Groups!AE:AE)*150 + 0.5 + _xlfn.XLOOKUP(B34,'Base stats'!B:B,'Base stats'!BT:BT),
0.05))</f>
        <v>No</v>
      </c>
      <c r="W34" s="8">
        <f>MROUND(_xlfn.XLOOKUP(_xlfn.XLOOKUP(B34,'Base stats'!B:B,'Base stats'!E:E),Groups!A:A,Groups!BF:BF)*_xlfn.XLOOKUP(B34,'Base stats'!B:B,'Base stats'!C:C)^-0.165,0.01)</f>
        <v>0.15</v>
      </c>
      <c r="X34" s="1">
        <f>MROUND(_xlfn.XLOOKUP(_xlfn.XLOOKUP(B34,'Base stats'!B:B,'Base stats'!E:E),Groups!A:A,Groups!BG:BG)*_xlfn.XLOOKUP(B34,'Base stats'!B:B,'Base stats'!C:C)^0.165,0.01)</f>
        <v>0</v>
      </c>
      <c r="Y34" s="8">
        <f>MROUND(_xlfn.XLOOKUP(_xlfn.XLOOKUP(B34,'Base stats'!B:B,'Base stats'!E:E),Groups!A:A,Groups!BH:BH)*_xlfn.XLOOKUP(B34,'Base stats'!B:B,'Base stats'!C:C)^0.165,0.01)</f>
        <v>0</v>
      </c>
      <c r="Z34" s="18">
        <f>_xlfn.XLOOKUP(B34,'Base stats'!B:B,'Base stats'!AN:AN)*_xlfn.XLOOKUP(_xlfn.XLOOKUP(B34,'Base stats'!B:B,'Base stats'!E:E),Groups!A:A,Groups!H:H)/1000</f>
        <v>1.1193427833583229</v>
      </c>
      <c r="AA34" s="18">
        <f>(1/2)*(_xlfn.XLOOKUP(_xlfn.XLOOKUP(B34,'Base stats'!B:B,'Base stats'!E:E),Groups!A:A,Groups!H:H)*_xlfn.XLOOKUP(_xlfn.XLOOKUP(B34,'Base stats'!B:B,'Base stats'!E:E),Groups!A:A,Groups!I:I))*_xlfn.XLOOKUP(B34,'Base stats'!B:B,'Base stats'!AN:AN)*0.01</f>
        <v>1.9687872180304595</v>
      </c>
      <c r="AB34" s="18">
        <f>250*(Animals!AN34+Animals!AO34)</f>
        <v>325</v>
      </c>
      <c r="AC34" s="18" t="str">
        <f>_xlfn.XLOOKUP(_xlfn.XLOOKUP(B34,'Base stats'!B:B,'Base stats'!E:E),Groups!A:A,Groups!BI:BI)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stats'!BP:BP) * (_xlfn.XLOOKUP(B35,'Base stats'!B:B,'Base stats'!AL:AL)*5%)^0.9 / 21,0.1),0.05)</f>
        <v>0.05</v>
      </c>
      <c r="E35" s="11">
        <f>MAX(0.01,MROUND(_xlfn.XLOOKUP(B35,'Base stats'!B:B,'Base stats'!BD:BD) * 0.01 * 2, 0.01))</f>
        <v>0.01</v>
      </c>
      <c r="F35" s="7">
        <f>MROUND(_xlfn.XLOOKUP(B35,'Base stats'!B:B,'Base stats'!BA:BA)^0.25 / (_xlfn.XLOOKUP(B35,'Base stats'!B:B,'Base stats'!BH:BH) * 10) * 150 + 0.5 + _xlfn.XLOOKUP(B35,'Base stats'!B:B,'Base stats'!BT:BT), 0.05)</f>
        <v>1.1000000000000001</v>
      </c>
      <c r="G35" s="3" t="str">
        <f>IF(Animals!R35="No","No",
IF(_xlfn.XLOOKUP(B35,'Base stats'!B:B,'Base stats'!U:U)="No",
MAX(MROUND(_xlfn.XLOOKUP(B35,'Base stats'!B:B,'Base stats'!BQ:BQ) * _xlfn.XLOOKUP(B35,'Base stats'!B:B,'Base stats'!BM:BM)^0.9 / 21 * _xlfn.XLOOKUP(B35,'Base stats'!B:B,'Base stats'!BU:BU),0.1),0.05),
MAX(MROUND(((MIN(10,_xlfn.XLOOKUP(B35,'Base stats'!B:B,'Base stats'!U:U)))^0.4*_xlfn.XLOOKUP(B35,'Base stats'!B:B,'Base stats'!BE:BE)^0.73)^0.6 * _xlfn.XLOOKUP(B35,'Base stats'!B:B,'Base stats'!BU:BU),0.1),0.05)
))</f>
        <v>No</v>
      </c>
      <c r="H35" s="11" t="str">
        <f>IF(G35="No","No",
MAX(0.01,MROUND(_xlfn.XLOOKUP(B35,'Base stats'!B:B,'Base stats'!BE:BE) * 0.01 * 2, 0.01))
)</f>
        <v>No</v>
      </c>
      <c r="I35" s="11" t="str">
        <f>IF(G35="No","No",IF(_xlfn.XLOOKUP(B35,'Base stats'!B:B,'Base stats'!U:U)="No","No",
MAX(0.01,MROUND(_xlfn.XLOOKUP(B35,'Base stats'!B:B,'Base stats'!BQ:BQ)/10000,0.01))
))</f>
        <v>No</v>
      </c>
      <c r="J35" s="4" t="str">
        <f>IF(G35="No","No",
MROUND(_xlfn.XLOOKUP(B35,'Base stats'!B:B,'Base stats'!BB:BB)^0.25
/((_xlfn.XLOOKUP(B35,'Base stats'!B:B,'Base stats'!BI:BI))*10)*_xlfn.XLOOKUP(_xlfn.XLOOKUP(B35,'Base stats'!B:B,'Base stats'!E:E),Groups!A:A,Groups!Q:Q)*150 + 0.5 + _xlfn.XLOOKUP(B35,'Base stats'!B:B,'Base stats'!BT:BT),
0.05))</f>
        <v>No</v>
      </c>
      <c r="K35" s="3" t="str">
        <f>IF(Animals!W35="No","No",
IF(_xlfn.XLOOKUP(_xlfn.XLOOKUP(B35,'Base stats'!B:B,'Base stats'!E:E),Groups!A:A,Groups!BC:BC)=1,
MAX(MROUND(_xlfn.XLOOKUP(B35,'Base stats'!B:B,'Base stats'!BR:BR) * _xlfn.XLOOKUP(B35,'Base stats'!B:B,'Base stats'!BN:BN)^0.9 / 21 *_xlfn.XLOOKUP(B35,'Base stats'!B:B,'Base stats'!BU:BU),0.1),0.05),
MAX(MROUND(((MIN(10,_xlfn.XLOOKUP(B35,'Base stats'!B:B,'Base stats'!W:W)))^0.4*_xlfn.XLOOKUP(B35,'Base stats'!B:B,'Base stats'!BF:BF)^0.73)^0.6 *_xlfn.XLOOKUP(B35,'Base stats'!B:B,'Base stats'!BU:BU),0.1),0.05)
))</f>
        <v>No</v>
      </c>
      <c r="L35" s="11" t="str">
        <f>IF(K35="No","No",
MAX(0.01,MROUND(_xlfn.XLOOKUP(B35,'Base stats'!B:B,'Base stats'!BF:BF) * 0.01 *2, 0.01))
)</f>
        <v>No</v>
      </c>
      <c r="M35" s="5" t="str">
        <f>IF(K35="No","No",IF(_xlfn.XLOOKUP(_xlfn.XLOOKUP(B35,'Base stats'!B:B,'Base stats'!E:E),Groups!A:A,Groups!BC:BC)=1,"No",
MAX(0.01,MROUND(_xlfn.XLOOKUP(B35,'Base stats'!B:B,'Base stats'!BR:BR)/10000,0.01))
))</f>
        <v>No</v>
      </c>
      <c r="N35" s="4" t="str">
        <f>IF(K35="No","No",
MROUND(
  _xlfn.XLOOKUP(B35,'Base stats'!B:B,'Base stats'!AZ:AZ)^0.25
  / (_xlfn.XLOOKUP(B35,'Base stats'!B:B,'Base stats'!BJ:BJ)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stats'!BT:BT),
0.05))</f>
        <v>No</v>
      </c>
      <c r="O35" s="3">
        <f>IF(Animals!AC35="No","No",
MAX(MROUND((MIN(10,_xlfn.XLOOKUP(B35,'Base stats'!B:B,'Base stats'!V:V)*IF(_xlfn.XLOOKUP(_xlfn.XLOOKUP(B35,'Base stats'!B:B,'Base stats'!E:E),Groups!A:A,Groups!O:O)=0,1,0.33))^0.4*_xlfn.XLOOKUP(B35,'Base stats'!B:B,'Base stats'!BG:BG)^0.73)^0.6 *_xlfn.XLOOKUP(B35,'Base stats'!B:B,'Base stats'!BU:BU),0.1),0.05)
)</f>
        <v>1.3</v>
      </c>
      <c r="P35" s="11">
        <f>IF(O35="No","No",
MAX(0.01,MROUND(_xlfn.XLOOKUP(B35,'Base stats'!B:B,'Base stats'!BG:BG) * 0.01 * 2, 0.01))
)</f>
        <v>0.05</v>
      </c>
      <c r="Q35" s="5">
        <f>IF(O35="No","No",
MAX(0.01,MROUND(_xlfn.XLOOKUP(B35,'Base stats'!B:B,'Base stats'!BS:BS)/10000,0.01))
)</f>
        <v>0.03</v>
      </c>
      <c r="R35" s="4">
        <f>IF(O35="No","No",
MROUND(_xlfn.XLOOKUP(B35,'Base stats'!B:B,'Base stats'!AY:AY)^0.25
/((_xlfn.XLOOKUP(B35,'Base stats'!B:B,'Base stats'!BK:BK))*10)*_xlfn.XLOOKUP(_xlfn.XLOOKUP(B35,'Base stats'!B:B,'Base stats'!E:E),Groups!A:A,Groups!Z:Z)*150 + 0.5 + _xlfn.XLOOKUP(B35,'Base stats'!B:B,'Base stats'!BT:BT),
0.05))</f>
        <v>1.8</v>
      </c>
      <c r="S35" s="3" t="str">
        <f>IF(Animals!AH35="No","No",
IF(_xlfn.XLOOKUP(B35,'Base stats'!B:B,'Base stats'!U:U)="No",
MAX(MROUND(_xlfn.XLOOKUP(B35,'Base stats'!B:B,'Base stats'!BQ:BQ) * _xlfn.XLOOKUP(B35,'Base stats'!B:B,'Base stats'!BM:BM)^0.9 / 21 * _xlfn.XLOOKUP(B35,'Base stats'!B:B,'Base stats'!BU:BU),0.1),0.05),
MAX(MROUND(((MIN(12,_xlfn.XLOOKUP(B35,'Base stats'!B:B,'Base stats'!U:U)))^0.4*_xlfn.XLOOKUP(B35,'Base stats'!B:B,'Base stats'!BE:BE)^0.73)^0.6 * _xlfn.XLOOKUP(B35,'Base stats'!B:B,'Base stats'!BU:BU),0.1),0.05)
))</f>
        <v>No</v>
      </c>
      <c r="T35" s="11" t="str">
        <f>IF(S35="No","No",
MAX(0.01,MROUND(_xlfn.XLOOKUP(B35,'Base stats'!B:B,'Base stats'!BE:BE) * 0.01 * 2, 0.01))
)</f>
        <v>No</v>
      </c>
      <c r="U35" s="5" t="str">
        <f>IF(S35="No","No",IF(_xlfn.XLOOKUP(B35,'Base stats'!B:B,'Base stats'!U:U)="No","No",
MAX(0.01,MROUND(_xlfn.XLOOKUP(B35,'Base stats'!B:B,'Base stats'!BQ:BQ)/10000,0.01))
))</f>
        <v>No</v>
      </c>
      <c r="V35" s="4" t="str">
        <f>IF(S35="No","No",
MROUND(_xlfn.XLOOKUP(B35,'Base stats'!B:B,'Base stats'!BC:BC)^0.25
/((_xlfn.XLOOKUP(B35,'Base stats'!B:B,'Base stats'!BL:BL))*10)*_xlfn.XLOOKUP(_xlfn.XLOOKUP(B35,'Base stats'!B:B,'Base stats'!E:E),Groups!A:A,Groups!AE:AE)*150 + 0.5 + _xlfn.XLOOKUP(B35,'Base stats'!B:B,'Base stats'!BT:BT),
0.05))</f>
        <v>No</v>
      </c>
      <c r="W35" s="8">
        <f>MROUND(_xlfn.XLOOKUP(_xlfn.XLOOKUP(B35,'Base stats'!B:B,'Base stats'!E:E),Groups!A:A,Groups!BF:BF)*_xlfn.XLOOKUP(B35,'Base stats'!B:B,'Base stats'!C:C)^-0.165,0.01)</f>
        <v>0.85</v>
      </c>
      <c r="X35" s="1">
        <f>MROUND(_xlfn.XLOOKUP(_xlfn.XLOOKUP(B35,'Base stats'!B:B,'Base stats'!E:E),Groups!A:A,Groups!BG:BG)*_xlfn.XLOOKUP(B35,'Base stats'!B:B,'Base stats'!C:C)^0.165,0.01)</f>
        <v>0.08</v>
      </c>
      <c r="Y35" s="8">
        <f>MROUND(_xlfn.XLOOKUP(_xlfn.XLOOKUP(B35,'Base stats'!B:B,'Base stats'!E:E),Groups!A:A,Groups!BH:BH)*_xlfn.XLOOKUP(B35,'Base stats'!B:B,'Base stats'!C:C)^0.165,0.01)</f>
        <v>0.02</v>
      </c>
      <c r="Z35" s="18">
        <f>_xlfn.XLOOKUP(B35,'Base stats'!B:B,'Base stats'!AN:AN)*_xlfn.XLOOKUP(_xlfn.XLOOKUP(B35,'Base stats'!B:B,'Base stats'!E:E),Groups!A:A,Groups!H:H)/1000</f>
        <v>8.7588002071852557E-3</v>
      </c>
      <c r="AA35" s="18">
        <f>(1/2)*(_xlfn.XLOOKUP(_xlfn.XLOOKUP(B35,'Base stats'!B:B,'Base stats'!E:E),Groups!A:A,Groups!H:H)*_xlfn.XLOOKUP(_xlfn.XLOOKUP(B35,'Base stats'!B:B,'Base stats'!E:E),Groups!A:A,Groups!I:I))*_xlfn.XLOOKUP(B35,'Base stats'!B:B,'Base stats'!AN:AN)*0.01</f>
        <v>4.8173401139518922E-2</v>
      </c>
      <c r="AB35" s="18">
        <f>250*(Animals!AN35+Animals!AO35)</f>
        <v>50</v>
      </c>
      <c r="AC35" s="18" t="str">
        <f>_xlfn.XLOOKUP(_xlfn.XLOOKUP(B35,'Base stats'!B:B,'Base stats'!E:E),Groups!A:A,Groups!BI:BI)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stats'!BP:BP) * (_xlfn.XLOOKUP(B36,'Base stats'!B:B,'Base stats'!AL:AL)*5%)^0.9 / 21,0.1),0.05)</f>
        <v>0.05</v>
      </c>
      <c r="E36" s="11">
        <f>MAX(0.01,MROUND(_xlfn.XLOOKUP(B36,'Base stats'!B:B,'Base stats'!BD:BD) * 0.01 * 2, 0.01))</f>
        <v>0.02</v>
      </c>
      <c r="F36" s="7">
        <f>MROUND(_xlfn.XLOOKUP(B36,'Base stats'!B:B,'Base stats'!BA:BA)^0.25 / (_xlfn.XLOOKUP(B36,'Base stats'!B:B,'Base stats'!BH:BH) * 10) * 150 + 0.5 + _xlfn.XLOOKUP(B36,'Base stats'!B:B,'Base stats'!BT:BT), 0.05)</f>
        <v>1.1500000000000001</v>
      </c>
      <c r="G36" s="3" t="str">
        <f>IF(Animals!R36="No","No",
IF(_xlfn.XLOOKUP(B36,'Base stats'!B:B,'Base stats'!U:U)="No",
MAX(MROUND(_xlfn.XLOOKUP(B36,'Base stats'!B:B,'Base stats'!BQ:BQ) * _xlfn.XLOOKUP(B36,'Base stats'!B:B,'Base stats'!BM:BM)^0.9 / 21 * _xlfn.XLOOKUP(B36,'Base stats'!B:B,'Base stats'!BU:BU),0.1),0.05),
MAX(MROUND(((MIN(10,_xlfn.XLOOKUP(B36,'Base stats'!B:B,'Base stats'!U:U)))^0.4*_xlfn.XLOOKUP(B36,'Base stats'!B:B,'Base stats'!BE:BE)^0.73)^0.6 * _xlfn.XLOOKUP(B36,'Base stats'!B:B,'Base stats'!BU:BU),0.1),0.05)
))</f>
        <v>No</v>
      </c>
      <c r="H36" s="11" t="str">
        <f>IF(G36="No","No",
MAX(0.01,MROUND(_xlfn.XLOOKUP(B36,'Base stats'!B:B,'Base stats'!BE:BE) * 0.01 * 2, 0.01))
)</f>
        <v>No</v>
      </c>
      <c r="I36" s="11" t="str">
        <f>IF(G36="No","No",IF(_xlfn.XLOOKUP(B36,'Base stats'!B:B,'Base stats'!U:U)="No","No",
MAX(0.01,MROUND(_xlfn.XLOOKUP(B36,'Base stats'!B:B,'Base stats'!BQ:BQ)/10000,0.01))
))</f>
        <v>No</v>
      </c>
      <c r="J36" s="4" t="str">
        <f>IF(G36="No","No",
MROUND(_xlfn.XLOOKUP(B36,'Base stats'!B:B,'Base stats'!BB:BB)^0.25
/((_xlfn.XLOOKUP(B36,'Base stats'!B:B,'Base stats'!BI:BI))*10)*_xlfn.XLOOKUP(_xlfn.XLOOKUP(B36,'Base stats'!B:B,'Base stats'!E:E),Groups!A:A,Groups!Q:Q)*150 + 0.5 + _xlfn.XLOOKUP(B36,'Base stats'!B:B,'Base stats'!BT:BT),
0.05))</f>
        <v>No</v>
      </c>
      <c r="K36" s="3" t="str">
        <f>IF(Animals!W36="No","No",
IF(_xlfn.XLOOKUP(_xlfn.XLOOKUP(B36,'Base stats'!B:B,'Base stats'!E:E),Groups!A:A,Groups!BC:BC)=1,
MAX(MROUND(_xlfn.XLOOKUP(B36,'Base stats'!B:B,'Base stats'!BR:BR) * _xlfn.XLOOKUP(B36,'Base stats'!B:B,'Base stats'!BN:BN)^0.9 / 21 *_xlfn.XLOOKUP(B36,'Base stats'!B:B,'Base stats'!BU:BU),0.1),0.05),
MAX(MROUND(((MIN(10,_xlfn.XLOOKUP(B36,'Base stats'!B:B,'Base stats'!W:W)))^0.4*_xlfn.XLOOKUP(B36,'Base stats'!B:B,'Base stats'!BF:BF)^0.73)^0.6 *_xlfn.XLOOKUP(B36,'Base stats'!B:B,'Base stats'!BU:BU),0.1),0.05)
))</f>
        <v>No</v>
      </c>
      <c r="L36" s="11" t="str">
        <f>IF(K36="No","No",
MAX(0.01,MROUND(_xlfn.XLOOKUP(B36,'Base stats'!B:B,'Base stats'!BF:BF) * 0.01 *2, 0.01))
)</f>
        <v>No</v>
      </c>
      <c r="M36" s="5" t="str">
        <f>IF(K36="No","No",IF(_xlfn.XLOOKUP(_xlfn.XLOOKUP(B36,'Base stats'!B:B,'Base stats'!E:E),Groups!A:A,Groups!BC:BC)=1,"No",
MAX(0.01,MROUND(_xlfn.XLOOKUP(B36,'Base stats'!B:B,'Base stats'!BR:BR)/10000,0.01))
))</f>
        <v>No</v>
      </c>
      <c r="N36" s="4" t="str">
        <f>IF(K36="No","No",
MROUND(
  _xlfn.XLOOKUP(B36,'Base stats'!B:B,'Base stats'!AZ:AZ)^0.25
  / (_xlfn.XLOOKUP(B36,'Base stats'!B:B,'Base stats'!BJ:BJ)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stats'!BT:BT),
0.05))</f>
        <v>No</v>
      </c>
      <c r="O36" s="3">
        <f>IF(Animals!AC36="No","No",
MAX(MROUND((MIN(10,_xlfn.XLOOKUP(B36,'Base stats'!B:B,'Base stats'!V:V)*IF(_xlfn.XLOOKUP(_xlfn.XLOOKUP(B36,'Base stats'!B:B,'Base stats'!E:E),Groups!A:A,Groups!O:O)=0,1,0.33))^0.4*_xlfn.XLOOKUP(B36,'Base stats'!B:B,'Base stats'!BG:BG)^0.73)^0.6 *_xlfn.XLOOKUP(B36,'Base stats'!B:B,'Base stats'!BU:BU),0.1),0.05)
)</f>
        <v>1.6</v>
      </c>
      <c r="P36" s="11">
        <f>IF(O36="No","No",
MAX(0.01,MROUND(_xlfn.XLOOKUP(B36,'Base stats'!B:B,'Base stats'!BG:BG) * 0.01 * 2, 0.01))
)</f>
        <v>0.08</v>
      </c>
      <c r="Q36" s="5">
        <f>IF(O36="No","No",
MAX(0.01,MROUND(_xlfn.XLOOKUP(B36,'Base stats'!B:B,'Base stats'!BS:BS)/10000,0.01))
)</f>
        <v>0.03</v>
      </c>
      <c r="R36" s="4">
        <f>IF(O36="No","No",
MROUND(_xlfn.XLOOKUP(B36,'Base stats'!B:B,'Base stats'!AY:AY)^0.25
/((_xlfn.XLOOKUP(B36,'Base stats'!B:B,'Base stats'!BK:BK))*10)*_xlfn.XLOOKUP(_xlfn.XLOOKUP(B36,'Base stats'!B:B,'Base stats'!E:E),Groups!A:A,Groups!Z:Z)*150 + 0.5 + _xlfn.XLOOKUP(B36,'Base stats'!B:B,'Base stats'!BT:BT),
0.05))</f>
        <v>2.0500000000000003</v>
      </c>
      <c r="S36" s="3" t="str">
        <f>IF(Animals!AH36="No","No",
IF(_xlfn.XLOOKUP(B36,'Base stats'!B:B,'Base stats'!U:U)="No",
MAX(MROUND(_xlfn.XLOOKUP(B36,'Base stats'!B:B,'Base stats'!BQ:BQ) * _xlfn.XLOOKUP(B36,'Base stats'!B:B,'Base stats'!BM:BM)^0.9 / 21 * _xlfn.XLOOKUP(B36,'Base stats'!B:B,'Base stats'!BU:BU),0.1),0.05),
MAX(MROUND(((MIN(12,_xlfn.XLOOKUP(B36,'Base stats'!B:B,'Base stats'!U:U)))^0.4*_xlfn.XLOOKUP(B36,'Base stats'!B:B,'Base stats'!BE:BE)^0.73)^0.6 * _xlfn.XLOOKUP(B36,'Base stats'!B:B,'Base stats'!BU:BU),0.1),0.05)
))</f>
        <v>No</v>
      </c>
      <c r="T36" s="11" t="str">
        <f>IF(S36="No","No",
MAX(0.01,MROUND(_xlfn.XLOOKUP(B36,'Base stats'!B:B,'Base stats'!BE:BE) * 0.01 * 2, 0.01))
)</f>
        <v>No</v>
      </c>
      <c r="U36" s="5" t="str">
        <f>IF(S36="No","No",IF(_xlfn.XLOOKUP(B36,'Base stats'!B:B,'Base stats'!U:U)="No","No",
MAX(0.01,MROUND(_xlfn.XLOOKUP(B36,'Base stats'!B:B,'Base stats'!BQ:BQ)/10000,0.01))
))</f>
        <v>No</v>
      </c>
      <c r="V36" s="4" t="str">
        <f>IF(S36="No","No",
MROUND(_xlfn.XLOOKUP(B36,'Base stats'!B:B,'Base stats'!BC:BC)^0.25
/((_xlfn.XLOOKUP(B36,'Base stats'!B:B,'Base stats'!BL:BL))*10)*_xlfn.XLOOKUP(_xlfn.XLOOKUP(B36,'Base stats'!B:B,'Base stats'!E:E),Groups!A:A,Groups!AE:AE)*150 + 0.5 + _xlfn.XLOOKUP(B36,'Base stats'!B:B,'Base stats'!BT:BT),
0.05))</f>
        <v>No</v>
      </c>
      <c r="W36" s="8">
        <f>MROUND(_xlfn.XLOOKUP(_xlfn.XLOOKUP(B36,'Base stats'!B:B,'Base stats'!E:E),Groups!A:A,Groups!BF:BF)*_xlfn.XLOOKUP(B36,'Base stats'!B:B,'Base stats'!C:C)^-0.165,0.01)</f>
        <v>0.76</v>
      </c>
      <c r="X36" s="1">
        <f>MROUND(_xlfn.XLOOKUP(_xlfn.XLOOKUP(B36,'Base stats'!B:B,'Base stats'!E:E),Groups!A:A,Groups!BG:BG)*_xlfn.XLOOKUP(B36,'Base stats'!B:B,'Base stats'!C:C)^0.165,0.01)</f>
        <v>0</v>
      </c>
      <c r="Y36" s="8">
        <f>MROUND(_xlfn.XLOOKUP(_xlfn.XLOOKUP(B36,'Base stats'!B:B,'Base stats'!E:E),Groups!A:A,Groups!BH:BH)*_xlfn.XLOOKUP(B36,'Base stats'!B:B,'Base stats'!C:C)^0.165,0.01)</f>
        <v>0</v>
      </c>
      <c r="Z36" s="18">
        <f>_xlfn.XLOOKUP(B36,'Base stats'!B:B,'Base stats'!AN:AN)*_xlfn.XLOOKUP(_xlfn.XLOOKUP(B36,'Base stats'!B:B,'Base stats'!E:E),Groups!A:A,Groups!H:H)/1000</f>
        <v>1.0708861917562328E-2</v>
      </c>
      <c r="AA36" s="18">
        <f>(1/2)*(_xlfn.XLOOKUP(_xlfn.XLOOKUP(B36,'Base stats'!B:B,'Base stats'!E:E),Groups!A:A,Groups!H:H)*_xlfn.XLOOKUP(_xlfn.XLOOKUP(B36,'Base stats'!B:B,'Base stats'!E:E),Groups!A:A,Groups!I:I))*_xlfn.XLOOKUP(B36,'Base stats'!B:B,'Base stats'!AN:AN)*0.01</f>
        <v>5.8898740546592818E-2</v>
      </c>
      <c r="AB36" s="18">
        <f>250*(Animals!AN36+Animals!AO36)</f>
        <v>75.000000000000014</v>
      </c>
      <c r="AC36" s="18" t="str">
        <f>_xlfn.XLOOKUP(_xlfn.XLOOKUP(B36,'Base stats'!B:B,'Base stats'!E:E),Groups!A:A,Groups!BI:BI)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stats'!BP:BP) * (_xlfn.XLOOKUP(B37,'Base stats'!B:B,'Base stats'!AL:AL)*5%)^0.9 / 21,0.1),0.05)</f>
        <v>0.05</v>
      </c>
      <c r="E37" s="11">
        <f>MAX(0.01,MROUND(_xlfn.XLOOKUP(B37,'Base stats'!B:B,'Base stats'!BD:BD) * 0.01 * 2, 0.01))</f>
        <v>0.03</v>
      </c>
      <c r="F37" s="7">
        <f>MROUND(_xlfn.XLOOKUP(B37,'Base stats'!B:B,'Base stats'!BA:BA)^0.25 / (_xlfn.XLOOKUP(B37,'Base stats'!B:B,'Base stats'!BH:BH) * 10) * 150 + 0.5 + _xlfn.XLOOKUP(B37,'Base stats'!B:B,'Base stats'!BT:BT), 0.05)</f>
        <v>1.2000000000000002</v>
      </c>
      <c r="G37" s="3" t="str">
        <f>IF(Animals!R37="No","No",
IF(_xlfn.XLOOKUP(B37,'Base stats'!B:B,'Base stats'!U:U)="No",
MAX(MROUND(_xlfn.XLOOKUP(B37,'Base stats'!B:B,'Base stats'!BQ:BQ) * _xlfn.XLOOKUP(B37,'Base stats'!B:B,'Base stats'!BM:BM)^0.9 / 21 * _xlfn.XLOOKUP(B37,'Base stats'!B:B,'Base stats'!BU:BU),0.1),0.05),
MAX(MROUND(((MIN(10,_xlfn.XLOOKUP(B37,'Base stats'!B:B,'Base stats'!U:U)))^0.4*_xlfn.XLOOKUP(B37,'Base stats'!B:B,'Base stats'!BE:BE)^0.73)^0.6 * _xlfn.XLOOKUP(B37,'Base stats'!B:B,'Base stats'!BU:BU),0.1),0.05)
))</f>
        <v>No</v>
      </c>
      <c r="H37" s="11" t="str">
        <f>IF(G37="No","No",
MAX(0.01,MROUND(_xlfn.XLOOKUP(B37,'Base stats'!B:B,'Base stats'!BE:BE) * 0.01 * 2, 0.01))
)</f>
        <v>No</v>
      </c>
      <c r="I37" s="11" t="str">
        <f>IF(G37="No","No",IF(_xlfn.XLOOKUP(B37,'Base stats'!B:B,'Base stats'!U:U)="No","No",
MAX(0.01,MROUND(_xlfn.XLOOKUP(B37,'Base stats'!B:B,'Base stats'!BQ:BQ)/10000,0.01))
))</f>
        <v>No</v>
      </c>
      <c r="J37" s="4" t="str">
        <f>IF(G37="No","No",
MROUND(_xlfn.XLOOKUP(B37,'Base stats'!B:B,'Base stats'!BB:BB)^0.25
/((_xlfn.XLOOKUP(B37,'Base stats'!B:B,'Base stats'!BI:BI))*10)*_xlfn.XLOOKUP(_xlfn.XLOOKUP(B37,'Base stats'!B:B,'Base stats'!E:E),Groups!A:A,Groups!Q:Q)*150 + 0.5 + _xlfn.XLOOKUP(B37,'Base stats'!B:B,'Base stats'!BT:BT),
0.05))</f>
        <v>No</v>
      </c>
      <c r="K37" s="3" t="str">
        <f>IF(Animals!W37="No","No",
IF(_xlfn.XLOOKUP(_xlfn.XLOOKUP(B37,'Base stats'!B:B,'Base stats'!E:E),Groups!A:A,Groups!BC:BC)=1,
MAX(MROUND(_xlfn.XLOOKUP(B37,'Base stats'!B:B,'Base stats'!BR:BR) * _xlfn.XLOOKUP(B37,'Base stats'!B:B,'Base stats'!BN:BN)^0.9 / 21 *_xlfn.XLOOKUP(B37,'Base stats'!B:B,'Base stats'!BU:BU),0.1),0.05),
MAX(MROUND(((MIN(10,_xlfn.XLOOKUP(B37,'Base stats'!B:B,'Base stats'!W:W)))^0.4*_xlfn.XLOOKUP(B37,'Base stats'!B:B,'Base stats'!BF:BF)^0.73)^0.6 *_xlfn.XLOOKUP(B37,'Base stats'!B:B,'Base stats'!BU:BU),0.1),0.05)
))</f>
        <v>No</v>
      </c>
      <c r="L37" s="11" t="str">
        <f>IF(K37="No","No",
MAX(0.01,MROUND(_xlfn.XLOOKUP(B37,'Base stats'!B:B,'Base stats'!BF:BF) * 0.01 *2, 0.01))
)</f>
        <v>No</v>
      </c>
      <c r="M37" s="5" t="str">
        <f>IF(K37="No","No",IF(_xlfn.XLOOKUP(_xlfn.XLOOKUP(B37,'Base stats'!B:B,'Base stats'!E:E),Groups!A:A,Groups!BC:BC)=1,"No",
MAX(0.01,MROUND(_xlfn.XLOOKUP(B37,'Base stats'!B:B,'Base stats'!BR:BR)/10000,0.01))
))</f>
        <v>No</v>
      </c>
      <c r="N37" s="4" t="str">
        <f>IF(K37="No","No",
MROUND(
  _xlfn.XLOOKUP(B37,'Base stats'!B:B,'Base stats'!AZ:AZ)^0.25
  / (_xlfn.XLOOKUP(B37,'Base stats'!B:B,'Base stats'!BJ:BJ)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stats'!BT:BT),
0.05))</f>
        <v>No</v>
      </c>
      <c r="O37" s="3">
        <f>IF(Animals!AC37="No","No",
MAX(MROUND((MIN(10,_xlfn.XLOOKUP(B37,'Base stats'!B:B,'Base stats'!V:V)*IF(_xlfn.XLOOKUP(_xlfn.XLOOKUP(B37,'Base stats'!B:B,'Base stats'!E:E),Groups!A:A,Groups!O:O)=0,1,0.33))^0.4*_xlfn.XLOOKUP(B37,'Base stats'!B:B,'Base stats'!BG:BG)^0.73)^0.6 *_xlfn.XLOOKUP(B37,'Base stats'!B:B,'Base stats'!BU:BU),0.1),0.05)
)</f>
        <v>1.5</v>
      </c>
      <c r="P37" s="11">
        <f>IF(O37="No","No",
MAX(0.01,MROUND(_xlfn.XLOOKUP(B37,'Base stats'!B:B,'Base stats'!BG:BG) * 0.01 * 2, 0.01))
)</f>
        <v>7.0000000000000007E-2</v>
      </c>
      <c r="Q37" s="5">
        <f>IF(O37="No","No",
MAX(0.01,MROUND(_xlfn.XLOOKUP(B37,'Base stats'!B:B,'Base stats'!BS:BS)/10000,0.01))
)</f>
        <v>0.03</v>
      </c>
      <c r="R37" s="4">
        <f>IF(O37="No","No",
MROUND(_xlfn.XLOOKUP(B37,'Base stats'!B:B,'Base stats'!AY:AY)^0.25
/((_xlfn.XLOOKUP(B37,'Base stats'!B:B,'Base stats'!BK:BK))*10)*_xlfn.XLOOKUP(_xlfn.XLOOKUP(B37,'Base stats'!B:B,'Base stats'!E:E),Groups!A:A,Groups!Z:Z)*150 + 0.5 + _xlfn.XLOOKUP(B37,'Base stats'!B:B,'Base stats'!BT:BT),
0.05))</f>
        <v>2.0500000000000003</v>
      </c>
      <c r="S37" s="3" t="str">
        <f>IF(Animals!AH37="No","No",
IF(_xlfn.XLOOKUP(B37,'Base stats'!B:B,'Base stats'!U:U)="No",
MAX(MROUND(_xlfn.XLOOKUP(B37,'Base stats'!B:B,'Base stats'!BQ:BQ) * _xlfn.XLOOKUP(B37,'Base stats'!B:B,'Base stats'!BM:BM)^0.9 / 21 * _xlfn.XLOOKUP(B37,'Base stats'!B:B,'Base stats'!BU:BU),0.1),0.05),
MAX(MROUND(((MIN(12,_xlfn.XLOOKUP(B37,'Base stats'!B:B,'Base stats'!U:U)))^0.4*_xlfn.XLOOKUP(B37,'Base stats'!B:B,'Base stats'!BE:BE)^0.73)^0.6 * _xlfn.XLOOKUP(B37,'Base stats'!B:B,'Base stats'!BU:BU),0.1),0.05)
))</f>
        <v>No</v>
      </c>
      <c r="T37" s="11" t="str">
        <f>IF(S37="No","No",
MAX(0.01,MROUND(_xlfn.XLOOKUP(B37,'Base stats'!B:B,'Base stats'!BE:BE) * 0.01 * 2, 0.01))
)</f>
        <v>No</v>
      </c>
      <c r="U37" s="5" t="str">
        <f>IF(S37="No","No",IF(_xlfn.XLOOKUP(B37,'Base stats'!B:B,'Base stats'!U:U)="No","No",
MAX(0.01,MROUND(_xlfn.XLOOKUP(B37,'Base stats'!B:B,'Base stats'!BQ:BQ)/10000,0.01))
))</f>
        <v>No</v>
      </c>
      <c r="V37" s="4" t="str">
        <f>IF(S37="No","No",
MROUND(_xlfn.XLOOKUP(B37,'Base stats'!B:B,'Base stats'!BC:BC)^0.25
/((_xlfn.XLOOKUP(B37,'Base stats'!B:B,'Base stats'!BL:BL))*10)*_xlfn.XLOOKUP(_xlfn.XLOOKUP(B37,'Base stats'!B:B,'Base stats'!E:E),Groups!A:A,Groups!AE:AE)*150 + 0.5 + _xlfn.XLOOKUP(B37,'Base stats'!B:B,'Base stats'!BT:BT),
0.05))</f>
        <v>No</v>
      </c>
      <c r="W37" s="8">
        <f>MROUND(_xlfn.XLOOKUP(_xlfn.XLOOKUP(B37,'Base stats'!B:B,'Base stats'!E:E),Groups!A:A,Groups!BF:BF)*_xlfn.XLOOKUP(B37,'Base stats'!B:B,'Base stats'!C:C)^-0.165,0.01)</f>
        <v>0.74</v>
      </c>
      <c r="X37" s="1">
        <f>MROUND(_xlfn.XLOOKUP(_xlfn.XLOOKUP(B37,'Base stats'!B:B,'Base stats'!E:E),Groups!A:A,Groups!BG:BG)*_xlfn.XLOOKUP(B37,'Base stats'!B:B,'Base stats'!C:C)^0.165,0.01)</f>
        <v>0</v>
      </c>
      <c r="Y37" s="8">
        <f>MROUND(_xlfn.XLOOKUP(_xlfn.XLOOKUP(B37,'Base stats'!B:B,'Base stats'!E:E),Groups!A:A,Groups!BH:BH)*_xlfn.XLOOKUP(B37,'Base stats'!B:B,'Base stats'!C:C)^0.165,0.01)</f>
        <v>0</v>
      </c>
      <c r="Z37" s="18">
        <f>_xlfn.XLOOKUP(B37,'Base stats'!B:B,'Base stats'!AN:AN)*_xlfn.XLOOKUP(_xlfn.XLOOKUP(B37,'Base stats'!B:B,'Base stats'!E:E),Groups!A:A,Groups!H:H)/1000</f>
        <v>1.1326547642930019E-2</v>
      </c>
      <c r="AA37" s="18">
        <f>(1/2)*(_xlfn.XLOOKUP(_xlfn.XLOOKUP(B37,'Base stats'!B:B,'Base stats'!E:E),Groups!A:A,Groups!H:H)*_xlfn.XLOOKUP(_xlfn.XLOOKUP(B37,'Base stats'!B:B,'Base stats'!E:E),Groups!A:A,Groups!I:I))*_xlfn.XLOOKUP(B37,'Base stats'!B:B,'Base stats'!AN:AN)*0.01</f>
        <v>6.2296012036115123E-2</v>
      </c>
      <c r="AB37" s="18">
        <f>250*(Animals!AN37+Animals!AO37)</f>
        <v>75.000000000000014</v>
      </c>
      <c r="AC37" s="18" t="str">
        <f>_xlfn.XLOOKUP(_xlfn.XLOOKUP(B37,'Base stats'!B:B,'Base stats'!E:E),Groups!A:A,Groups!BI:BI)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stats'!BP:BP) * (_xlfn.XLOOKUP(B38,'Base stats'!B:B,'Base stats'!AL:AL)*5%)^0.9 / 21,0.1),0.05)</f>
        <v>0.05</v>
      </c>
      <c r="E38" s="11">
        <f>MAX(0.01,MROUND(_xlfn.XLOOKUP(B38,'Base stats'!B:B,'Base stats'!BD:BD) * 0.01 * 2, 0.01))</f>
        <v>0.03</v>
      </c>
      <c r="F38" s="7">
        <f>MROUND(_xlfn.XLOOKUP(B38,'Base stats'!B:B,'Base stats'!BA:BA)^0.25 / (_xlfn.XLOOKUP(B38,'Base stats'!B:B,'Base stats'!BH:BH) * 10) * 150 + 0.5 + _xlfn.XLOOKUP(B38,'Base stats'!B:B,'Base stats'!BT:BT), 0.05)</f>
        <v>1.2000000000000002</v>
      </c>
      <c r="G38" s="3" t="str">
        <f>IF(Animals!R38="No","No",
IF(_xlfn.XLOOKUP(B38,'Base stats'!B:B,'Base stats'!U:U)="No",
MAX(MROUND(_xlfn.XLOOKUP(B38,'Base stats'!B:B,'Base stats'!BQ:BQ) * _xlfn.XLOOKUP(B38,'Base stats'!B:B,'Base stats'!BM:BM)^0.9 / 21 * _xlfn.XLOOKUP(B38,'Base stats'!B:B,'Base stats'!BU:BU),0.1),0.05),
MAX(MROUND(((MIN(10,_xlfn.XLOOKUP(B38,'Base stats'!B:B,'Base stats'!U:U)))^0.4*_xlfn.XLOOKUP(B38,'Base stats'!B:B,'Base stats'!BE:BE)^0.73)^0.6 * _xlfn.XLOOKUP(B38,'Base stats'!B:B,'Base stats'!BU:BU),0.1),0.05)
))</f>
        <v>No</v>
      </c>
      <c r="H38" s="11" t="str">
        <f>IF(G38="No","No",
MAX(0.01,MROUND(_xlfn.XLOOKUP(B38,'Base stats'!B:B,'Base stats'!BE:BE) * 0.01 * 2, 0.01))
)</f>
        <v>No</v>
      </c>
      <c r="I38" s="11" t="str">
        <f>IF(G38="No","No",IF(_xlfn.XLOOKUP(B38,'Base stats'!B:B,'Base stats'!U:U)="No","No",
MAX(0.01,MROUND(_xlfn.XLOOKUP(B38,'Base stats'!B:B,'Base stats'!BQ:BQ)/10000,0.01))
))</f>
        <v>No</v>
      </c>
      <c r="J38" s="4" t="str">
        <f>IF(G38="No","No",
MROUND(_xlfn.XLOOKUP(B38,'Base stats'!B:B,'Base stats'!BB:BB)^0.25
/((_xlfn.XLOOKUP(B38,'Base stats'!B:B,'Base stats'!BI:BI))*10)*_xlfn.XLOOKUP(_xlfn.XLOOKUP(B38,'Base stats'!B:B,'Base stats'!E:E),Groups!A:A,Groups!Q:Q)*150 + 0.5 + _xlfn.XLOOKUP(B38,'Base stats'!B:B,'Base stats'!BT:BT),
0.05))</f>
        <v>No</v>
      </c>
      <c r="K38" s="3" t="str">
        <f>IF(Animals!W38="No","No",
IF(_xlfn.XLOOKUP(_xlfn.XLOOKUP(B38,'Base stats'!B:B,'Base stats'!E:E),Groups!A:A,Groups!BC:BC)=1,
MAX(MROUND(_xlfn.XLOOKUP(B38,'Base stats'!B:B,'Base stats'!BR:BR) * _xlfn.XLOOKUP(B38,'Base stats'!B:B,'Base stats'!BN:BN)^0.9 / 21 *_xlfn.XLOOKUP(B38,'Base stats'!B:B,'Base stats'!BU:BU),0.1),0.05),
MAX(MROUND(((MIN(10,_xlfn.XLOOKUP(B38,'Base stats'!B:B,'Base stats'!W:W)))^0.4*_xlfn.XLOOKUP(B38,'Base stats'!B:B,'Base stats'!BF:BF)^0.73)^0.6 *_xlfn.XLOOKUP(B38,'Base stats'!B:B,'Base stats'!BU:BU),0.1),0.05)
))</f>
        <v>No</v>
      </c>
      <c r="L38" s="11" t="str">
        <f>IF(K38="No","No",
MAX(0.01,MROUND(_xlfn.XLOOKUP(B38,'Base stats'!B:B,'Base stats'!BF:BF) * 0.01 *2, 0.01))
)</f>
        <v>No</v>
      </c>
      <c r="M38" s="5" t="str">
        <f>IF(K38="No","No",IF(_xlfn.XLOOKUP(_xlfn.XLOOKUP(B38,'Base stats'!B:B,'Base stats'!E:E),Groups!A:A,Groups!BC:BC)=1,"No",
MAX(0.01,MROUND(_xlfn.XLOOKUP(B38,'Base stats'!B:B,'Base stats'!BR:BR)/10000,0.01))
))</f>
        <v>No</v>
      </c>
      <c r="N38" s="4" t="str">
        <f>IF(K38="No","No",
MROUND(
  _xlfn.XLOOKUP(B38,'Base stats'!B:B,'Base stats'!AZ:AZ)^0.25
  / (_xlfn.XLOOKUP(B38,'Base stats'!B:B,'Base stats'!BJ:BJ)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stats'!BT:BT),
0.05))</f>
        <v>No</v>
      </c>
      <c r="O38" s="3">
        <f>IF(Animals!AC38="No","No",
MAX(MROUND((MIN(10,_xlfn.XLOOKUP(B38,'Base stats'!B:B,'Base stats'!V:V)*IF(_xlfn.XLOOKUP(_xlfn.XLOOKUP(B38,'Base stats'!B:B,'Base stats'!E:E),Groups!A:A,Groups!O:O)=0,1,0.33))^0.4*_xlfn.XLOOKUP(B38,'Base stats'!B:B,'Base stats'!BG:BG)^0.73)^0.6 *_xlfn.XLOOKUP(B38,'Base stats'!B:B,'Base stats'!BU:BU),0.1),0.05)
)</f>
        <v>1.6</v>
      </c>
      <c r="P38" s="11">
        <f>IF(O38="No","No",
MAX(0.01,MROUND(_xlfn.XLOOKUP(B38,'Base stats'!B:B,'Base stats'!BG:BG) * 0.01 * 2, 0.01))
)</f>
        <v>0.06</v>
      </c>
      <c r="Q38" s="5">
        <f>IF(O38="No","No",
MAX(0.01,MROUND(_xlfn.XLOOKUP(B38,'Base stats'!B:B,'Base stats'!BS:BS)/10000,0.01))
)</f>
        <v>0.03</v>
      </c>
      <c r="R38" s="4">
        <f>IF(O38="No","No",
MROUND(_xlfn.XLOOKUP(B38,'Base stats'!B:B,'Base stats'!AY:AY)^0.25
/((_xlfn.XLOOKUP(B38,'Base stats'!B:B,'Base stats'!BK:BK))*10)*_xlfn.XLOOKUP(_xlfn.XLOOKUP(B38,'Base stats'!B:B,'Base stats'!E:E),Groups!A:A,Groups!Z:Z)*150 + 0.5 + _xlfn.XLOOKUP(B38,'Base stats'!B:B,'Base stats'!BT:BT),
0.05))</f>
        <v>1.9500000000000002</v>
      </c>
      <c r="S38" s="3" t="str">
        <f>IF(Animals!AH38="No","No",
IF(_xlfn.XLOOKUP(B38,'Base stats'!B:B,'Base stats'!U:U)="No",
MAX(MROUND(_xlfn.XLOOKUP(B38,'Base stats'!B:B,'Base stats'!BQ:BQ) * _xlfn.XLOOKUP(B38,'Base stats'!B:B,'Base stats'!BM:BM)^0.9 / 21 * _xlfn.XLOOKUP(B38,'Base stats'!B:B,'Base stats'!BU:BU),0.1),0.05),
MAX(MROUND(((MIN(12,_xlfn.XLOOKUP(B38,'Base stats'!B:B,'Base stats'!U:U)))^0.4*_xlfn.XLOOKUP(B38,'Base stats'!B:B,'Base stats'!BE:BE)^0.73)^0.6 * _xlfn.XLOOKUP(B38,'Base stats'!B:B,'Base stats'!BU:BU),0.1),0.05)
))</f>
        <v>No</v>
      </c>
      <c r="T38" s="11" t="str">
        <f>IF(S38="No","No",
MAX(0.01,MROUND(_xlfn.XLOOKUP(B38,'Base stats'!B:B,'Base stats'!BE:BE) * 0.01 * 2, 0.01))
)</f>
        <v>No</v>
      </c>
      <c r="U38" s="5" t="str">
        <f>IF(S38="No","No",IF(_xlfn.XLOOKUP(B38,'Base stats'!B:B,'Base stats'!U:U)="No","No",
MAX(0.01,MROUND(_xlfn.XLOOKUP(B38,'Base stats'!B:B,'Base stats'!BQ:BQ)/10000,0.01))
))</f>
        <v>No</v>
      </c>
      <c r="V38" s="4" t="str">
        <f>IF(S38="No","No",
MROUND(_xlfn.XLOOKUP(B38,'Base stats'!B:B,'Base stats'!BC:BC)^0.25
/((_xlfn.XLOOKUP(B38,'Base stats'!B:B,'Base stats'!BL:BL))*10)*_xlfn.XLOOKUP(_xlfn.XLOOKUP(B38,'Base stats'!B:B,'Base stats'!E:E),Groups!A:A,Groups!AE:AE)*150 + 0.5 + _xlfn.XLOOKUP(B38,'Base stats'!B:B,'Base stats'!BT:BT),
0.05))</f>
        <v>No</v>
      </c>
      <c r="W38" s="8">
        <f>MROUND(_xlfn.XLOOKUP(_xlfn.XLOOKUP(B38,'Base stats'!B:B,'Base stats'!E:E),Groups!A:A,Groups!BF:BF)*_xlfn.XLOOKUP(B38,'Base stats'!B:B,'Base stats'!C:C)^-0.165,0.01)</f>
        <v>0.75</v>
      </c>
      <c r="X38" s="1">
        <f>MROUND(_xlfn.XLOOKUP(_xlfn.XLOOKUP(B38,'Base stats'!B:B,'Base stats'!E:E),Groups!A:A,Groups!BG:BG)*_xlfn.XLOOKUP(B38,'Base stats'!B:B,'Base stats'!C:C)^0.165,0.01)</f>
        <v>0</v>
      </c>
      <c r="Y38" s="8">
        <f>MROUND(_xlfn.XLOOKUP(_xlfn.XLOOKUP(B38,'Base stats'!B:B,'Base stats'!E:E),Groups!A:A,Groups!BH:BH)*_xlfn.XLOOKUP(B38,'Base stats'!B:B,'Base stats'!C:C)^0.165,0.01)</f>
        <v>0</v>
      </c>
      <c r="Z38" s="18">
        <f>_xlfn.XLOOKUP(B38,'Base stats'!B:B,'Base stats'!AN:AN)*_xlfn.XLOOKUP(_xlfn.XLOOKUP(B38,'Base stats'!B:B,'Base stats'!E:E),Groups!A:A,Groups!H:H)/1000</f>
        <v>1.0923521413869096E-2</v>
      </c>
      <c r="AA38" s="18">
        <f>(1/2)*(_xlfn.XLOOKUP(_xlfn.XLOOKUP(B38,'Base stats'!B:B,'Base stats'!E:E),Groups!A:A,Groups!H:H)*_xlfn.XLOOKUP(_xlfn.XLOOKUP(B38,'Base stats'!B:B,'Base stats'!E:E),Groups!A:A,Groups!I:I))*_xlfn.XLOOKUP(B38,'Base stats'!B:B,'Base stats'!AN:AN)*0.01</f>
        <v>6.0079367776280035E-2</v>
      </c>
      <c r="AB38" s="18">
        <f>250*(Animals!AN38+Animals!AO38)</f>
        <v>75.000000000000014</v>
      </c>
      <c r="AC38" s="18" t="str">
        <f>_xlfn.XLOOKUP(_xlfn.XLOOKUP(B38,'Base stats'!B:B,'Base stats'!E:E),Groups!A:A,Groups!BI:BI)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stats'!BP:BP) * (_xlfn.XLOOKUP(B39,'Base stats'!B:B,'Base stats'!AL:AL)*5%)^0.9 / 21,0.1),0.05)</f>
        <v>1.9000000000000001</v>
      </c>
      <c r="E39" s="11">
        <f>MAX(0.01,MROUND(_xlfn.XLOOKUP(B39,'Base stats'!B:B,'Base stats'!BD:BD) * 0.01 * 2, 0.01))</f>
        <v>1.57</v>
      </c>
      <c r="F39" s="7">
        <f>MROUND(_xlfn.XLOOKUP(B39,'Base stats'!B:B,'Base stats'!BA:BA)^0.25 / (_xlfn.XLOOKUP(B39,'Base stats'!B:B,'Base stats'!BH:BH) * 10) * 150 + 0.5 + _xlfn.XLOOKUP(B39,'Base stats'!B:B,'Base stats'!BT:BT), 0.05)</f>
        <v>1.6</v>
      </c>
      <c r="G39" s="3" t="str">
        <f>IF(Animals!R39="No","No",
IF(_xlfn.XLOOKUP(B39,'Base stats'!B:B,'Base stats'!U:U)="No",
MAX(MROUND(_xlfn.XLOOKUP(B39,'Base stats'!B:B,'Base stats'!BQ:BQ) * _xlfn.XLOOKUP(B39,'Base stats'!B:B,'Base stats'!BM:BM)^0.9 / 21 * _xlfn.XLOOKUP(B39,'Base stats'!B:B,'Base stats'!BU:BU),0.1),0.05),
MAX(MROUND(((MIN(10,_xlfn.XLOOKUP(B39,'Base stats'!B:B,'Base stats'!U:U)))^0.4*_xlfn.XLOOKUP(B39,'Base stats'!B:B,'Base stats'!BE:BE)^0.73)^0.6 * _xlfn.XLOOKUP(B39,'Base stats'!B:B,'Base stats'!BU:BU),0.1),0.05)
))</f>
        <v>No</v>
      </c>
      <c r="H39" s="11" t="str">
        <f>IF(G39="No","No",
MAX(0.01,MROUND(_xlfn.XLOOKUP(B39,'Base stats'!B:B,'Base stats'!BE:BE) * 0.01 * 2, 0.01))
)</f>
        <v>No</v>
      </c>
      <c r="I39" s="11" t="str">
        <f>IF(G39="No","No",IF(_xlfn.XLOOKUP(B39,'Base stats'!B:B,'Base stats'!U:U)="No","No",
MAX(0.01,MROUND(_xlfn.XLOOKUP(B39,'Base stats'!B:B,'Base stats'!BQ:BQ)/10000,0.01))
))</f>
        <v>No</v>
      </c>
      <c r="J39" s="4" t="str">
        <f>IF(G39="No","No",
MROUND(_xlfn.XLOOKUP(B39,'Base stats'!B:B,'Base stats'!BB:BB)^0.25
/((_xlfn.XLOOKUP(B39,'Base stats'!B:B,'Base stats'!BI:BI))*10)*_xlfn.XLOOKUP(_xlfn.XLOOKUP(B39,'Base stats'!B:B,'Base stats'!E:E),Groups!A:A,Groups!Q:Q)*150 + 0.5 + _xlfn.XLOOKUP(B39,'Base stats'!B:B,'Base stats'!BT:BT),
0.05))</f>
        <v>No</v>
      </c>
      <c r="K39" s="3" t="str">
        <f>IF(Animals!W39="No","No",
IF(_xlfn.XLOOKUP(_xlfn.XLOOKUP(B39,'Base stats'!B:B,'Base stats'!E:E),Groups!A:A,Groups!BC:BC)=1,
MAX(MROUND(_xlfn.XLOOKUP(B39,'Base stats'!B:B,'Base stats'!BR:BR) * _xlfn.XLOOKUP(B39,'Base stats'!B:B,'Base stats'!BN:BN)^0.9 / 21 *_xlfn.XLOOKUP(B39,'Base stats'!B:B,'Base stats'!BU:BU),0.1),0.05),
MAX(MROUND(((MIN(10,_xlfn.XLOOKUP(B39,'Base stats'!B:B,'Base stats'!W:W)))^0.4*_xlfn.XLOOKUP(B39,'Base stats'!B:B,'Base stats'!BF:BF)^0.73)^0.6 *_xlfn.XLOOKUP(B39,'Base stats'!B:B,'Base stats'!BU:BU),0.1),0.05)
))</f>
        <v>No</v>
      </c>
      <c r="L39" s="11" t="str">
        <f>IF(K39="No","No",
MAX(0.01,MROUND(_xlfn.XLOOKUP(B39,'Base stats'!B:B,'Base stats'!BF:BF) * 0.01 *2, 0.01))
)</f>
        <v>No</v>
      </c>
      <c r="M39" s="5" t="str">
        <f>IF(K39="No","No",IF(_xlfn.XLOOKUP(_xlfn.XLOOKUP(B39,'Base stats'!B:B,'Base stats'!E:E),Groups!A:A,Groups!BC:BC)=1,"No",
MAX(0.01,MROUND(_xlfn.XLOOKUP(B39,'Base stats'!B:B,'Base stats'!BR:BR)/10000,0.01))
))</f>
        <v>No</v>
      </c>
      <c r="N39" s="4" t="str">
        <f>IF(K39="No","No",
MROUND(
  _xlfn.XLOOKUP(B39,'Base stats'!B:B,'Base stats'!AZ:AZ)^0.25
  / (_xlfn.XLOOKUP(B39,'Base stats'!B:B,'Base stats'!BJ:BJ)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stats'!BT:BT),
0.05))</f>
        <v>No</v>
      </c>
      <c r="O39" s="3">
        <f>IF(Animals!AC39="No","No",
MAX(MROUND((MIN(10,_xlfn.XLOOKUP(B39,'Base stats'!B:B,'Base stats'!V:V)*IF(_xlfn.XLOOKUP(_xlfn.XLOOKUP(B39,'Base stats'!B:B,'Base stats'!E:E),Groups!A:A,Groups!O:O)=0,1,0.33))^0.4*_xlfn.XLOOKUP(B39,'Base stats'!B:B,'Base stats'!BG:BG)^0.73)^0.6 *_xlfn.XLOOKUP(B39,'Base stats'!B:B,'Base stats'!BU:BU),0.1),0.05)
)</f>
        <v>8.8000000000000007</v>
      </c>
      <c r="P39" s="11">
        <f>IF(O39="No","No",
MAX(0.01,MROUND(_xlfn.XLOOKUP(B39,'Base stats'!B:B,'Base stats'!BG:BG) * 0.01 * 2, 0.01))
)</f>
        <v>0.95000000000000007</v>
      </c>
      <c r="Q39" s="5">
        <f>IF(O39="No","No",
MAX(0.01,MROUND(_xlfn.XLOOKUP(B39,'Base stats'!B:B,'Base stats'!BS:BS)/10000,0.01))
)</f>
        <v>0.06</v>
      </c>
      <c r="R39" s="4">
        <f>IF(O39="No","No",
MROUND(_xlfn.XLOOKUP(B39,'Base stats'!B:B,'Base stats'!AY:AY)^0.25
/((_xlfn.XLOOKUP(B39,'Base stats'!B:B,'Base stats'!BK:BK))*10)*_xlfn.XLOOKUP(_xlfn.XLOOKUP(B39,'Base stats'!B:B,'Base stats'!E:E),Groups!A:A,Groups!Z:Z)*150 + 0.5 + _xlfn.XLOOKUP(B39,'Base stats'!B:B,'Base stats'!BT:BT),
0.05))</f>
        <v>2.1</v>
      </c>
      <c r="S39" s="3" t="str">
        <f>IF(Animals!AH39="No","No",
IF(_xlfn.XLOOKUP(B39,'Base stats'!B:B,'Base stats'!U:U)="No",
MAX(MROUND(_xlfn.XLOOKUP(B39,'Base stats'!B:B,'Base stats'!BQ:BQ) * _xlfn.XLOOKUP(B39,'Base stats'!B:B,'Base stats'!BM:BM)^0.9 / 21 * _xlfn.XLOOKUP(B39,'Base stats'!B:B,'Base stats'!BU:BU),0.1),0.05),
MAX(MROUND(((MIN(12,_xlfn.XLOOKUP(B39,'Base stats'!B:B,'Base stats'!U:U)))^0.4*_xlfn.XLOOKUP(B39,'Base stats'!B:B,'Base stats'!BE:BE)^0.73)^0.6 * _xlfn.XLOOKUP(B39,'Base stats'!B:B,'Base stats'!BU:BU),0.1),0.05)
))</f>
        <v>No</v>
      </c>
      <c r="T39" s="11" t="str">
        <f>IF(S39="No","No",
MAX(0.01,MROUND(_xlfn.XLOOKUP(B39,'Base stats'!B:B,'Base stats'!BE:BE) * 0.01 * 2, 0.01))
)</f>
        <v>No</v>
      </c>
      <c r="U39" s="5" t="str">
        <f>IF(S39="No","No",IF(_xlfn.XLOOKUP(B39,'Base stats'!B:B,'Base stats'!U:U)="No","No",
MAX(0.01,MROUND(_xlfn.XLOOKUP(B39,'Base stats'!B:B,'Base stats'!BQ:BQ)/10000,0.01))
))</f>
        <v>No</v>
      </c>
      <c r="V39" s="4" t="str">
        <f>IF(S39="No","No",
MROUND(_xlfn.XLOOKUP(B39,'Base stats'!B:B,'Base stats'!BC:BC)^0.25
/((_xlfn.XLOOKUP(B39,'Base stats'!B:B,'Base stats'!BL:BL))*10)*_xlfn.XLOOKUP(_xlfn.XLOOKUP(B39,'Base stats'!B:B,'Base stats'!E:E),Groups!A:A,Groups!AE:AE)*150 + 0.5 + _xlfn.XLOOKUP(B39,'Base stats'!B:B,'Base stats'!BT:BT),
0.05))</f>
        <v>No</v>
      </c>
      <c r="W39" s="8">
        <f>MROUND(_xlfn.XLOOKUP(_xlfn.XLOOKUP(B39,'Base stats'!B:B,'Base stats'!E:E),Groups!A:A,Groups!BF:BF)*_xlfn.XLOOKUP(B39,'Base stats'!B:B,'Base stats'!C:C)^-0.165,0.01)</f>
        <v>0.36</v>
      </c>
      <c r="X39" s="1">
        <f>MROUND(_xlfn.XLOOKUP(_xlfn.XLOOKUP(B39,'Base stats'!B:B,'Base stats'!E:E),Groups!A:A,Groups!BG:BG)*_xlfn.XLOOKUP(B39,'Base stats'!B:B,'Base stats'!C:C)^0.165,0.01)</f>
        <v>0</v>
      </c>
      <c r="Y39" s="8">
        <f>MROUND(_xlfn.XLOOKUP(_xlfn.XLOOKUP(B39,'Base stats'!B:B,'Base stats'!E:E),Groups!A:A,Groups!BH:BH)*_xlfn.XLOOKUP(B39,'Base stats'!B:B,'Base stats'!C:C)^0.165,0.01)</f>
        <v>0</v>
      </c>
      <c r="Z39" s="18">
        <f>_xlfn.XLOOKUP(B39,'Base stats'!B:B,'Base stats'!AN:AN)*_xlfn.XLOOKUP(_xlfn.XLOOKUP(B39,'Base stats'!B:B,'Base stats'!E:E),Groups!A:A,Groups!H:H)/1000</f>
        <v>4.0255056628343541E-2</v>
      </c>
      <c r="AA39" s="18">
        <f>(1/2)*(_xlfn.XLOOKUP(_xlfn.XLOOKUP(B39,'Base stats'!B:B,'Base stats'!E:E),Groups!A:A,Groups!H:H)*_xlfn.XLOOKUP(_xlfn.XLOOKUP(B39,'Base stats'!B:B,'Base stats'!E:E),Groups!A:A,Groups!I:I))*_xlfn.XLOOKUP(B39,'Base stats'!B:B,'Base stats'!AN:AN)*0.01</f>
        <v>0.22140281145588947</v>
      </c>
      <c r="AB39" s="18">
        <f>250*(Animals!AN39+Animals!AO39)</f>
        <v>450</v>
      </c>
      <c r="AC39" s="18" t="str">
        <f>_xlfn.XLOOKUP(_xlfn.XLOOKUP(B39,'Base stats'!B:B,'Base stats'!E:E),Groups!A:A,Groups!BI:BI)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stats'!BP:BP) * (_xlfn.XLOOKUP(B40,'Base stats'!B:B,'Base stats'!AL:AL)*5%)^0.9 / 21,0.1),0.05)</f>
        <v>1.3</v>
      </c>
      <c r="E40" s="11">
        <f>MAX(0.01,MROUND(_xlfn.XLOOKUP(B40,'Base stats'!B:B,'Base stats'!BD:BD) * 0.01 * 2, 0.01))</f>
        <v>1</v>
      </c>
      <c r="F40" s="7">
        <f>MROUND(_xlfn.XLOOKUP(B40,'Base stats'!B:B,'Base stats'!BA:BA)^0.25 / (_xlfn.XLOOKUP(B40,'Base stats'!B:B,'Base stats'!BH:BH) * 10) * 150 + 0.5 + _xlfn.XLOOKUP(B40,'Base stats'!B:B,'Base stats'!BT:BT), 0.05)</f>
        <v>1.5</v>
      </c>
      <c r="G40" s="3" t="str">
        <f>IF(Animals!R40="No","No",
IF(_xlfn.XLOOKUP(B40,'Base stats'!B:B,'Base stats'!U:U)="No",
MAX(MROUND(_xlfn.XLOOKUP(B40,'Base stats'!B:B,'Base stats'!BQ:BQ) * _xlfn.XLOOKUP(B40,'Base stats'!B:B,'Base stats'!BM:BM)^0.9 / 21 * _xlfn.XLOOKUP(B40,'Base stats'!B:B,'Base stats'!BU:BU),0.1),0.05),
MAX(MROUND(((MIN(10,_xlfn.XLOOKUP(B40,'Base stats'!B:B,'Base stats'!U:U)))^0.4*_xlfn.XLOOKUP(B40,'Base stats'!B:B,'Base stats'!BE:BE)^0.73)^0.6 * _xlfn.XLOOKUP(B40,'Base stats'!B:B,'Base stats'!BU:BU),0.1),0.05)
))</f>
        <v>No</v>
      </c>
      <c r="H40" s="11" t="str">
        <f>IF(G40="No","No",
MAX(0.01,MROUND(_xlfn.XLOOKUP(B40,'Base stats'!B:B,'Base stats'!BE:BE) * 0.01 * 2, 0.01))
)</f>
        <v>No</v>
      </c>
      <c r="I40" s="11" t="str">
        <f>IF(G40="No","No",IF(_xlfn.XLOOKUP(B40,'Base stats'!B:B,'Base stats'!U:U)="No","No",
MAX(0.01,MROUND(_xlfn.XLOOKUP(B40,'Base stats'!B:B,'Base stats'!BQ:BQ)/10000,0.01))
))</f>
        <v>No</v>
      </c>
      <c r="J40" s="4" t="str">
        <f>IF(G40="No","No",
MROUND(_xlfn.XLOOKUP(B40,'Base stats'!B:B,'Base stats'!BB:BB)^0.25
/((_xlfn.XLOOKUP(B40,'Base stats'!B:B,'Base stats'!BI:BI))*10)*_xlfn.XLOOKUP(_xlfn.XLOOKUP(B40,'Base stats'!B:B,'Base stats'!E:E),Groups!A:A,Groups!Q:Q)*150 + 0.5 + _xlfn.XLOOKUP(B40,'Base stats'!B:B,'Base stats'!BT:BT),
0.05))</f>
        <v>No</v>
      </c>
      <c r="K40" s="3" t="str">
        <f>IF(Animals!W40="No","No",
IF(_xlfn.XLOOKUP(_xlfn.XLOOKUP(B40,'Base stats'!B:B,'Base stats'!E:E),Groups!A:A,Groups!BC:BC)=1,
MAX(MROUND(_xlfn.XLOOKUP(B40,'Base stats'!B:B,'Base stats'!BR:BR) * _xlfn.XLOOKUP(B40,'Base stats'!B:B,'Base stats'!BN:BN)^0.9 / 21 *_xlfn.XLOOKUP(B40,'Base stats'!B:B,'Base stats'!BU:BU),0.1),0.05),
MAX(MROUND(((MIN(10,_xlfn.XLOOKUP(B40,'Base stats'!B:B,'Base stats'!W:W)))^0.4*_xlfn.XLOOKUP(B40,'Base stats'!B:B,'Base stats'!BF:BF)^0.73)^0.6 *_xlfn.XLOOKUP(B40,'Base stats'!B:B,'Base stats'!BU:BU),0.1),0.05)
))</f>
        <v>No</v>
      </c>
      <c r="L40" s="11" t="str">
        <f>IF(K40="No","No",
MAX(0.01,MROUND(_xlfn.XLOOKUP(B40,'Base stats'!B:B,'Base stats'!BF:BF) * 0.01 *2, 0.01))
)</f>
        <v>No</v>
      </c>
      <c r="M40" s="5" t="str">
        <f>IF(K40="No","No",IF(_xlfn.XLOOKUP(_xlfn.XLOOKUP(B40,'Base stats'!B:B,'Base stats'!E:E),Groups!A:A,Groups!BC:BC)=1,"No",
MAX(0.01,MROUND(_xlfn.XLOOKUP(B40,'Base stats'!B:B,'Base stats'!BR:BR)/10000,0.01))
))</f>
        <v>No</v>
      </c>
      <c r="N40" s="4" t="str">
        <f>IF(K40="No","No",
MROUND(
  _xlfn.XLOOKUP(B40,'Base stats'!B:B,'Base stats'!AZ:AZ)^0.25
  / (_xlfn.XLOOKUP(B40,'Base stats'!B:B,'Base stats'!BJ:BJ)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stats'!BT:BT),
0.05))</f>
        <v>No</v>
      </c>
      <c r="O40" s="3">
        <f>IF(Animals!AC40="No","No",
MAX(MROUND((MIN(10,_xlfn.XLOOKUP(B40,'Base stats'!B:B,'Base stats'!V:V)*IF(_xlfn.XLOOKUP(_xlfn.XLOOKUP(B40,'Base stats'!B:B,'Base stats'!E:E),Groups!A:A,Groups!O:O)=0,1,0.33))^0.4*_xlfn.XLOOKUP(B40,'Base stats'!B:B,'Base stats'!BG:BG)^0.73)^0.6 *_xlfn.XLOOKUP(B40,'Base stats'!B:B,'Base stats'!BU:BU),0.1),0.05)
)</f>
        <v>7.4</v>
      </c>
      <c r="P40" s="11">
        <f>IF(O40="No","No",
MAX(0.01,MROUND(_xlfn.XLOOKUP(B40,'Base stats'!B:B,'Base stats'!BG:BG) * 0.01 * 2, 0.01))
)</f>
        <v>1.1500000000000001</v>
      </c>
      <c r="Q40" s="5">
        <f>IF(O40="No","No",
MAX(0.01,MROUND(_xlfn.XLOOKUP(B40,'Base stats'!B:B,'Base stats'!BS:BS)/10000,0.01))
)</f>
        <v>0.09</v>
      </c>
      <c r="R40" s="4">
        <f>IF(O40="No","No",
MROUND(_xlfn.XLOOKUP(B40,'Base stats'!B:B,'Base stats'!AY:AY)^0.25
/((_xlfn.XLOOKUP(B40,'Base stats'!B:B,'Base stats'!BK:BK))*10)*_xlfn.XLOOKUP(_xlfn.XLOOKUP(B40,'Base stats'!B:B,'Base stats'!E:E),Groups!A:A,Groups!Z:Z)*150 + 0.5 + _xlfn.XLOOKUP(B40,'Base stats'!B:B,'Base stats'!BT:BT),
0.05))</f>
        <v>2.2000000000000002</v>
      </c>
      <c r="S40" s="3" t="str">
        <f>IF(Animals!AH40="No","No",
IF(_xlfn.XLOOKUP(B40,'Base stats'!B:B,'Base stats'!U:U)="No",
MAX(MROUND(_xlfn.XLOOKUP(B40,'Base stats'!B:B,'Base stats'!BQ:BQ) * _xlfn.XLOOKUP(B40,'Base stats'!B:B,'Base stats'!BM:BM)^0.9 / 21 * _xlfn.XLOOKUP(B40,'Base stats'!B:B,'Base stats'!BU:BU),0.1),0.05),
MAX(MROUND(((MIN(12,_xlfn.XLOOKUP(B40,'Base stats'!B:B,'Base stats'!U:U)))^0.4*_xlfn.XLOOKUP(B40,'Base stats'!B:B,'Base stats'!BE:BE)^0.73)^0.6 * _xlfn.XLOOKUP(B40,'Base stats'!B:B,'Base stats'!BU:BU),0.1),0.05)
))</f>
        <v>No</v>
      </c>
      <c r="T40" s="11" t="str">
        <f>IF(S40="No","No",
MAX(0.01,MROUND(_xlfn.XLOOKUP(B40,'Base stats'!B:B,'Base stats'!BE:BE) * 0.01 * 2, 0.01))
)</f>
        <v>No</v>
      </c>
      <c r="U40" s="5" t="str">
        <f>IF(S40="No","No",IF(_xlfn.XLOOKUP(B40,'Base stats'!B:B,'Base stats'!U:U)="No","No",
MAX(0.01,MROUND(_xlfn.XLOOKUP(B40,'Base stats'!B:B,'Base stats'!BQ:BQ)/10000,0.01))
))</f>
        <v>No</v>
      </c>
      <c r="V40" s="4" t="str">
        <f>IF(S40="No","No",
MROUND(_xlfn.XLOOKUP(B40,'Base stats'!B:B,'Base stats'!BC:BC)^0.25
/((_xlfn.XLOOKUP(B40,'Base stats'!B:B,'Base stats'!BL:BL))*10)*_xlfn.XLOOKUP(_xlfn.XLOOKUP(B40,'Base stats'!B:B,'Base stats'!E:E),Groups!A:A,Groups!AE:AE)*150 + 0.5 + _xlfn.XLOOKUP(B40,'Base stats'!B:B,'Base stats'!BT:BT),
0.05))</f>
        <v>No</v>
      </c>
      <c r="W40" s="8">
        <f>MROUND(_xlfn.XLOOKUP(_xlfn.XLOOKUP(B40,'Base stats'!B:B,'Base stats'!E:E),Groups!A:A,Groups!BF:BF)*_xlfn.XLOOKUP(B40,'Base stats'!B:B,'Base stats'!C:C)^-0.165,0.01)</f>
        <v>0.39</v>
      </c>
      <c r="X40" s="1">
        <f>MROUND(_xlfn.XLOOKUP(_xlfn.XLOOKUP(B40,'Base stats'!B:B,'Base stats'!E:E),Groups!A:A,Groups!BG:BG)*_xlfn.XLOOKUP(B40,'Base stats'!B:B,'Base stats'!C:C)^0.165,0.01)</f>
        <v>0</v>
      </c>
      <c r="Y40" s="8">
        <f>MROUND(_xlfn.XLOOKUP(_xlfn.XLOOKUP(B40,'Base stats'!B:B,'Base stats'!E:E),Groups!A:A,Groups!BH:BH)*_xlfn.XLOOKUP(B40,'Base stats'!B:B,'Base stats'!C:C)^0.165,0.01)</f>
        <v>0</v>
      </c>
      <c r="Z40" s="18">
        <f>_xlfn.XLOOKUP(B40,'Base stats'!B:B,'Base stats'!AN:AN)*_xlfn.XLOOKUP(_xlfn.XLOOKUP(B40,'Base stats'!B:B,'Base stats'!E:E),Groups!A:A,Groups!H:H)/1000</f>
        <v>3.4822439214745898E-2</v>
      </c>
      <c r="AA40" s="18">
        <f>(1/2)*(_xlfn.XLOOKUP(_xlfn.XLOOKUP(B40,'Base stats'!B:B,'Base stats'!E:E),Groups!A:A,Groups!H:H)*_xlfn.XLOOKUP(_xlfn.XLOOKUP(B40,'Base stats'!B:B,'Base stats'!E:E),Groups!A:A,Groups!I:I))*_xlfn.XLOOKUP(B40,'Base stats'!B:B,'Base stats'!AN:AN)*0.01</f>
        <v>0.19152341568110248</v>
      </c>
      <c r="AB40" s="18">
        <f>250*(Animals!AN40+Animals!AO40)</f>
        <v>375</v>
      </c>
      <c r="AC40" s="18" t="str">
        <f>_xlfn.XLOOKUP(_xlfn.XLOOKUP(B40,'Base stats'!B:B,'Base stats'!E:E),Groups!A:A,Groups!BI:BI)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stats'!BP:BP) * (_xlfn.XLOOKUP(B41,'Base stats'!B:B,'Base stats'!AL:AL)*5%)^0.9 / 21,0.1),0.05)</f>
        <v>0.4</v>
      </c>
      <c r="E41" s="11">
        <f>MAX(0.01,MROUND(_xlfn.XLOOKUP(B41,'Base stats'!B:B,'Base stats'!BD:BD) * 0.01 * 2, 0.01))</f>
        <v>0.32</v>
      </c>
      <c r="F41" s="7">
        <f>MROUND(_xlfn.XLOOKUP(B41,'Base stats'!B:B,'Base stats'!BA:BA)^0.25 / (_xlfn.XLOOKUP(B41,'Base stats'!B:B,'Base stats'!BH:BH) * 10) * 150 + 0.5 + _xlfn.XLOOKUP(B41,'Base stats'!B:B,'Base stats'!BT:BT), 0.05)</f>
        <v>1.4500000000000002</v>
      </c>
      <c r="G41" s="3" t="str">
        <f>IF(Animals!R41="No","No",
IF(_xlfn.XLOOKUP(B41,'Base stats'!B:B,'Base stats'!U:U)="No",
MAX(MROUND(_xlfn.XLOOKUP(B41,'Base stats'!B:B,'Base stats'!BQ:BQ) * _xlfn.XLOOKUP(B41,'Base stats'!B:B,'Base stats'!BM:BM)^0.9 / 21 * _xlfn.XLOOKUP(B41,'Base stats'!B:B,'Base stats'!BU:BU),0.1),0.05),
MAX(MROUND(((MIN(10,_xlfn.XLOOKUP(B41,'Base stats'!B:B,'Base stats'!U:U)))^0.4*_xlfn.XLOOKUP(B41,'Base stats'!B:B,'Base stats'!BE:BE)^0.73)^0.6 * _xlfn.XLOOKUP(B41,'Base stats'!B:B,'Base stats'!BU:BU),0.1),0.05)
))</f>
        <v>No</v>
      </c>
      <c r="H41" s="11" t="str">
        <f>IF(G41="No","No",
MAX(0.01,MROUND(_xlfn.XLOOKUP(B41,'Base stats'!B:B,'Base stats'!BE:BE) * 0.01 * 2, 0.01))
)</f>
        <v>No</v>
      </c>
      <c r="I41" s="11" t="str">
        <f>IF(G41="No","No",IF(_xlfn.XLOOKUP(B41,'Base stats'!B:B,'Base stats'!U:U)="No","No",
MAX(0.01,MROUND(_xlfn.XLOOKUP(B41,'Base stats'!B:B,'Base stats'!BQ:BQ)/10000,0.01))
))</f>
        <v>No</v>
      </c>
      <c r="J41" s="4" t="str">
        <f>IF(G41="No","No",
MROUND(_xlfn.XLOOKUP(B41,'Base stats'!B:B,'Base stats'!BB:BB)^0.25
/((_xlfn.XLOOKUP(B41,'Base stats'!B:B,'Base stats'!BI:BI))*10)*_xlfn.XLOOKUP(_xlfn.XLOOKUP(B41,'Base stats'!B:B,'Base stats'!E:E),Groups!A:A,Groups!Q:Q)*150 + 0.5 + _xlfn.XLOOKUP(B41,'Base stats'!B:B,'Base stats'!BT:BT),
0.05))</f>
        <v>No</v>
      </c>
      <c r="K41" s="3" t="str">
        <f>IF(Animals!W41="No","No",
IF(_xlfn.XLOOKUP(_xlfn.XLOOKUP(B41,'Base stats'!B:B,'Base stats'!E:E),Groups!A:A,Groups!BC:BC)=1,
MAX(MROUND(_xlfn.XLOOKUP(B41,'Base stats'!B:B,'Base stats'!BR:BR) * _xlfn.XLOOKUP(B41,'Base stats'!B:B,'Base stats'!BN:BN)^0.9 / 21 *_xlfn.XLOOKUP(B41,'Base stats'!B:B,'Base stats'!BU:BU),0.1),0.05),
MAX(MROUND(((MIN(10,_xlfn.XLOOKUP(B41,'Base stats'!B:B,'Base stats'!W:W)))^0.4*_xlfn.XLOOKUP(B41,'Base stats'!B:B,'Base stats'!BF:BF)^0.73)^0.6 *_xlfn.XLOOKUP(B41,'Base stats'!B:B,'Base stats'!BU:BU),0.1),0.05)
))</f>
        <v>No</v>
      </c>
      <c r="L41" s="11" t="str">
        <f>IF(K41="No","No",
MAX(0.01,MROUND(_xlfn.XLOOKUP(B41,'Base stats'!B:B,'Base stats'!BF:BF) * 0.01 *2, 0.01))
)</f>
        <v>No</v>
      </c>
      <c r="M41" s="5" t="str">
        <f>IF(K41="No","No",IF(_xlfn.XLOOKUP(_xlfn.XLOOKUP(B41,'Base stats'!B:B,'Base stats'!E:E),Groups!A:A,Groups!BC:BC)=1,"No",
MAX(0.01,MROUND(_xlfn.XLOOKUP(B41,'Base stats'!B:B,'Base stats'!BR:BR)/10000,0.01))
))</f>
        <v>No</v>
      </c>
      <c r="N41" s="4" t="str">
        <f>IF(K41="No","No",
MROUND(
  _xlfn.XLOOKUP(B41,'Base stats'!B:B,'Base stats'!AZ:AZ)^0.25
  / (_xlfn.XLOOKUP(B41,'Base stats'!B:B,'Base stats'!BJ:BJ)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stats'!BT:BT),
0.05))</f>
        <v>No</v>
      </c>
      <c r="O41" s="3">
        <f>IF(Animals!AC41="No","No",
MAX(MROUND((MIN(10,_xlfn.XLOOKUP(B41,'Base stats'!B:B,'Base stats'!V:V)*IF(_xlfn.XLOOKUP(_xlfn.XLOOKUP(B41,'Base stats'!B:B,'Base stats'!E:E),Groups!A:A,Groups!O:O)=0,1,0.33))^0.4*_xlfn.XLOOKUP(B41,'Base stats'!B:B,'Base stats'!BG:BG)^0.73)^0.6 *_xlfn.XLOOKUP(B41,'Base stats'!B:B,'Base stats'!BU:BU),0.1),0.05)
)</f>
        <v>4.9000000000000004</v>
      </c>
      <c r="P41" s="11">
        <f>IF(O41="No","No",
MAX(0.01,MROUND(_xlfn.XLOOKUP(B41,'Base stats'!B:B,'Base stats'!BG:BG) * 0.01 * 2, 0.01))
)</f>
        <v>0.33</v>
      </c>
      <c r="Q41" s="5">
        <f>IF(O41="No","No",
MAX(0.01,MROUND(_xlfn.XLOOKUP(B41,'Base stats'!B:B,'Base stats'!BS:BS)/10000,0.01))
)</f>
        <v>0.04</v>
      </c>
      <c r="R41" s="4">
        <f>IF(O41="No","No",
MROUND(_xlfn.XLOOKUP(B41,'Base stats'!B:B,'Base stats'!AY:AY)^0.25
/((_xlfn.XLOOKUP(B41,'Base stats'!B:B,'Base stats'!BK:BK))*10)*_xlfn.XLOOKUP(_xlfn.XLOOKUP(B41,'Base stats'!B:B,'Base stats'!E:E),Groups!A:A,Groups!Z:Z)*150 + 0.5 + _xlfn.XLOOKUP(B41,'Base stats'!B:B,'Base stats'!BT:BT),
0.05))</f>
        <v>1.9000000000000001</v>
      </c>
      <c r="S41" s="3" t="str">
        <f>IF(Animals!AH41="No","No",
IF(_xlfn.XLOOKUP(B41,'Base stats'!B:B,'Base stats'!U:U)="No",
MAX(MROUND(_xlfn.XLOOKUP(B41,'Base stats'!B:B,'Base stats'!BQ:BQ) * _xlfn.XLOOKUP(B41,'Base stats'!B:B,'Base stats'!BM:BM)^0.9 / 21 * _xlfn.XLOOKUP(B41,'Base stats'!B:B,'Base stats'!BU:BU),0.1),0.05),
MAX(MROUND(((MIN(12,_xlfn.XLOOKUP(B41,'Base stats'!B:B,'Base stats'!U:U)))^0.4*_xlfn.XLOOKUP(B41,'Base stats'!B:B,'Base stats'!BE:BE)^0.73)^0.6 * _xlfn.XLOOKUP(B41,'Base stats'!B:B,'Base stats'!BU:BU),0.1),0.05)
))</f>
        <v>No</v>
      </c>
      <c r="T41" s="11" t="str">
        <f>IF(S41="No","No",
MAX(0.01,MROUND(_xlfn.XLOOKUP(B41,'Base stats'!B:B,'Base stats'!BE:BE) * 0.01 * 2, 0.01))
)</f>
        <v>No</v>
      </c>
      <c r="U41" s="5" t="str">
        <f>IF(S41="No","No",IF(_xlfn.XLOOKUP(B41,'Base stats'!B:B,'Base stats'!U:U)="No","No",
MAX(0.01,MROUND(_xlfn.XLOOKUP(B41,'Base stats'!B:B,'Base stats'!BQ:BQ)/10000,0.01))
))</f>
        <v>No</v>
      </c>
      <c r="V41" s="4" t="str">
        <f>IF(S41="No","No",
MROUND(_xlfn.XLOOKUP(B41,'Base stats'!B:B,'Base stats'!BC:BC)^0.25
/((_xlfn.XLOOKUP(B41,'Base stats'!B:B,'Base stats'!BL:BL))*10)*_xlfn.XLOOKUP(_xlfn.XLOOKUP(B41,'Base stats'!B:B,'Base stats'!E:E),Groups!A:A,Groups!AE:AE)*150 + 0.5 + _xlfn.XLOOKUP(B41,'Base stats'!B:B,'Base stats'!BT:BT),
0.05))</f>
        <v>No</v>
      </c>
      <c r="W41" s="8">
        <f>MROUND(_xlfn.XLOOKUP(_xlfn.XLOOKUP(B41,'Base stats'!B:B,'Base stats'!E:E),Groups!A:A,Groups!BF:BF)*_xlfn.XLOOKUP(B41,'Base stats'!B:B,'Base stats'!C:C)^-0.165,0.01)</f>
        <v>0.48</v>
      </c>
      <c r="X41" s="1">
        <f>MROUND(_xlfn.XLOOKUP(_xlfn.XLOOKUP(B41,'Base stats'!B:B,'Base stats'!E:E),Groups!A:A,Groups!BG:BG)*_xlfn.XLOOKUP(B41,'Base stats'!B:B,'Base stats'!C:C)^0.165,0.01)</f>
        <v>0.15</v>
      </c>
      <c r="Y41" s="8">
        <f>MROUND(_xlfn.XLOOKUP(_xlfn.XLOOKUP(B41,'Base stats'!B:B,'Base stats'!E:E),Groups!A:A,Groups!BH:BH)*_xlfn.XLOOKUP(B41,'Base stats'!B:B,'Base stats'!C:C)^0.165,0.01)</f>
        <v>0.04</v>
      </c>
      <c r="Z41" s="18">
        <f>_xlfn.XLOOKUP(B41,'Base stats'!B:B,'Base stats'!AN:AN)*_xlfn.XLOOKUP(_xlfn.XLOOKUP(B41,'Base stats'!B:B,'Base stats'!E:E),Groups!A:A,Groups!H:H)/1000</f>
        <v>2.4214720252636171E-2</v>
      </c>
      <c r="AA41" s="18">
        <f>(1/2)*(_xlfn.XLOOKUP(_xlfn.XLOOKUP(B41,'Base stats'!B:B,'Base stats'!E:E),Groups!A:A,Groups!H:H)*_xlfn.XLOOKUP(_xlfn.XLOOKUP(B41,'Base stats'!B:B,'Base stats'!E:E),Groups!A:A,Groups!I:I))*_xlfn.XLOOKUP(B41,'Base stats'!B:B,'Base stats'!AN:AN)*0.01</f>
        <v>0.13318096138949895</v>
      </c>
      <c r="AB41" s="18">
        <f>250*(Animals!AN41+Animals!AO41)</f>
        <v>200</v>
      </c>
      <c r="AC41" s="18" t="str">
        <f>_xlfn.XLOOKUP(_xlfn.XLOOKUP(B41,'Base stats'!B:B,'Base stats'!E:E),Groups!A:A,Groups!BI:BI)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stats'!BP:BP) * (_xlfn.XLOOKUP(B42,'Base stats'!B:B,'Base stats'!AL:AL)*5%)^0.9 / 21,0.1),0.05)</f>
        <v>14.4</v>
      </c>
      <c r="E42" s="11">
        <f>MAX(0.01,MROUND(_xlfn.XLOOKUP(B42,'Base stats'!B:B,'Base stats'!BD:BD) * 0.01 * 2, 0.01))</f>
        <v>13.77</v>
      </c>
      <c r="F42" s="7">
        <f>MROUND(_xlfn.XLOOKUP(B42,'Base stats'!B:B,'Base stats'!BA:BA)^0.25 / (_xlfn.XLOOKUP(B42,'Base stats'!B:B,'Base stats'!BH:BH) * 10) * 150 + 0.5 + _xlfn.XLOOKUP(B42,'Base stats'!B:B,'Base stats'!BT:BT), 0.05)</f>
        <v>1.9000000000000001</v>
      </c>
      <c r="G42" s="3">
        <f>IF(Animals!R42="No","No",
IF(_xlfn.XLOOKUP(B42,'Base stats'!B:B,'Base stats'!U:U)="No",
MAX(MROUND(_xlfn.XLOOKUP(B42,'Base stats'!B:B,'Base stats'!BQ:BQ) * _xlfn.XLOOKUP(B42,'Base stats'!B:B,'Base stats'!BM:BM)^0.9 / 21 * _xlfn.XLOOKUP(B42,'Base stats'!B:B,'Base stats'!BU:BU),0.1),0.05),
MAX(MROUND(((MIN(10,_xlfn.XLOOKUP(B42,'Base stats'!B:B,'Base stats'!U:U)))^0.4*_xlfn.XLOOKUP(B42,'Base stats'!B:B,'Base stats'!BE:BE)^0.73)^0.6 * _xlfn.XLOOKUP(B42,'Base stats'!B:B,'Base stats'!BU:BU),0.1),0.05)
))</f>
        <v>23.3</v>
      </c>
      <c r="H42" s="11">
        <f>IF(G42="No","No",
MAX(0.01,MROUND(_xlfn.XLOOKUP(B42,'Base stats'!B:B,'Base stats'!BE:BE) * 0.01 * 2, 0.01))
)</f>
        <v>15.64</v>
      </c>
      <c r="I42" s="11" t="str">
        <f>IF(G42="No","No",IF(_xlfn.XLOOKUP(B42,'Base stats'!B:B,'Base stats'!U:U)="No","No",
MAX(0.01,MROUND(_xlfn.XLOOKUP(B42,'Base stats'!B:B,'Base stats'!BQ:BQ)/10000,0.01))
))</f>
        <v>No</v>
      </c>
      <c r="J42" s="4">
        <f>IF(G42="No","No",
MROUND(_xlfn.XLOOKUP(B42,'Base stats'!B:B,'Base stats'!BB:BB)^0.25
/((_xlfn.XLOOKUP(B42,'Base stats'!B:B,'Base stats'!BI:BI))*10)*_xlfn.XLOOKUP(_xlfn.XLOOKUP(B42,'Base stats'!B:B,'Base stats'!E:E),Groups!A:A,Groups!Q:Q)*150 + 0.5 + _xlfn.XLOOKUP(B42,'Base stats'!B:B,'Base stats'!BT:BT),
0.05))</f>
        <v>2.75</v>
      </c>
      <c r="K42" s="3">
        <f>IF(Animals!W42="No","No",
IF(_xlfn.XLOOKUP(_xlfn.XLOOKUP(B42,'Base stats'!B:B,'Base stats'!E:E),Groups!A:A,Groups!BC:BC)=1,
MAX(MROUND(_xlfn.XLOOKUP(B42,'Base stats'!B:B,'Base stats'!BR:BR) * _xlfn.XLOOKUP(B42,'Base stats'!B:B,'Base stats'!BN:BN)^0.9 / 21 *_xlfn.XLOOKUP(B42,'Base stats'!B:B,'Base stats'!BU:BU),0.1),0.05),
MAX(MROUND(((MIN(10,_xlfn.XLOOKUP(B42,'Base stats'!B:B,'Base stats'!W:W)))^0.4*_xlfn.XLOOKUP(B42,'Base stats'!B:B,'Base stats'!BF:BF)^0.73)^0.6 *_xlfn.XLOOKUP(B42,'Base stats'!B:B,'Base stats'!BU:BU),0.1),0.05)
))</f>
        <v>34.800000000000004</v>
      </c>
      <c r="L42" s="11">
        <f>IF(K42="No","No",
MAX(0.01,MROUND(_xlfn.XLOOKUP(B42,'Base stats'!B:B,'Base stats'!BF:BF) * 0.01 *2, 0.01))
)</f>
        <v>18.77</v>
      </c>
      <c r="M42" s="5">
        <f>IF(K42="No","No",IF(_xlfn.XLOOKUP(_xlfn.XLOOKUP(B42,'Base stats'!B:B,'Base stats'!E:E),Groups!A:A,Groups!BC:BC)=1,"No",
MAX(0.01,MROUND(_xlfn.XLOOKUP(B42,'Base stats'!B:B,'Base stats'!BR:BR)/10000,0.01))
))</f>
        <v>0.97</v>
      </c>
      <c r="N42" s="4">
        <f>IF(K42="No","No",
MROUND(
  _xlfn.XLOOKUP(B42,'Base stats'!B:B,'Base stats'!AZ:AZ)^0.25
  / (_xlfn.XLOOKUP(B42,'Base stats'!B:B,'Base stats'!BJ:BJ)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stats'!BT:BT),
0.05))</f>
        <v>3.2</v>
      </c>
      <c r="O42" s="3" t="str">
        <f>IF(Animals!AC42="No","No",
MAX(MROUND((MIN(10,_xlfn.XLOOKUP(B42,'Base stats'!B:B,'Base stats'!V:V)*IF(_xlfn.XLOOKUP(_xlfn.XLOOKUP(B42,'Base stats'!B:B,'Base stats'!E:E),Groups!A:A,Groups!O:O)=0,1,0.33))^0.4*_xlfn.XLOOKUP(B42,'Base stats'!B:B,'Base stats'!BG:BG)^0.73)^0.6 *_xlfn.XLOOKUP(B42,'Base stats'!B:B,'Base stats'!BU:BU),0.1),0.05)
)</f>
        <v>No</v>
      </c>
      <c r="P42" s="11" t="str">
        <f>IF(O42="No","No",
MAX(0.01,MROUND(_xlfn.XLOOKUP(B42,'Base stats'!B:B,'Base stats'!BG:BG) * 0.01 * 2, 0.01))
)</f>
        <v>No</v>
      </c>
      <c r="Q42" s="5" t="str">
        <f>IF(O42="No","No",
MAX(0.01,MROUND(_xlfn.XLOOKUP(B42,'Base stats'!B:B,'Base stats'!BS:BS)/10000,0.01))
)</f>
        <v>No</v>
      </c>
      <c r="R42" s="4" t="str">
        <f>IF(O42="No","No",
MROUND(_xlfn.XLOOKUP(B42,'Base stats'!B:B,'Base stats'!AY:AY)^0.25
/((_xlfn.XLOOKUP(B42,'Base stats'!B:B,'Base stats'!BK:BK))*10)*_xlfn.XLOOKUP(_xlfn.XLOOKUP(B42,'Base stats'!B:B,'Base stats'!E:E),Groups!A:A,Groups!Z:Z)*150 + 0.5 + _xlfn.XLOOKUP(B42,'Base stats'!B:B,'Base stats'!BT:BT),
0.05))</f>
        <v>No</v>
      </c>
      <c r="S42" s="3" t="str">
        <f>IF(Animals!AH42="No","No",
IF(_xlfn.XLOOKUP(B42,'Base stats'!B:B,'Base stats'!U:U)="No",
MAX(MROUND(_xlfn.XLOOKUP(B42,'Base stats'!B:B,'Base stats'!BQ:BQ) * _xlfn.XLOOKUP(B42,'Base stats'!B:B,'Base stats'!BM:BM)^0.9 / 21 * _xlfn.XLOOKUP(B42,'Base stats'!B:B,'Base stats'!BU:BU),0.1),0.05),
MAX(MROUND(((MIN(12,_xlfn.XLOOKUP(B42,'Base stats'!B:B,'Base stats'!U:U)))^0.4*_xlfn.XLOOKUP(B42,'Base stats'!B:B,'Base stats'!BE:BE)^0.73)^0.6 * _xlfn.XLOOKUP(B42,'Base stats'!B:B,'Base stats'!BU:BU),0.1),0.05)
))</f>
        <v>No</v>
      </c>
      <c r="T42" s="11" t="str">
        <f>IF(S42="No","No",
MAX(0.01,MROUND(_xlfn.XLOOKUP(B42,'Base stats'!B:B,'Base stats'!BE:BE) * 0.01 * 2, 0.01))
)</f>
        <v>No</v>
      </c>
      <c r="U42" s="5" t="str">
        <f>IF(S42="No","No",IF(_xlfn.XLOOKUP(B42,'Base stats'!B:B,'Base stats'!U:U)="No","No",
MAX(0.01,MROUND(_xlfn.XLOOKUP(B42,'Base stats'!B:B,'Base stats'!BQ:BQ)/10000,0.01))
))</f>
        <v>No</v>
      </c>
      <c r="V42" s="4" t="str">
        <f>IF(S42="No","No",
MROUND(_xlfn.XLOOKUP(B42,'Base stats'!B:B,'Base stats'!BC:BC)^0.25
/((_xlfn.XLOOKUP(B42,'Base stats'!B:B,'Base stats'!BL:BL))*10)*_xlfn.XLOOKUP(_xlfn.XLOOKUP(B42,'Base stats'!B:B,'Base stats'!E:E),Groups!A:A,Groups!AE:AE)*150 + 0.5 + _xlfn.XLOOKUP(B42,'Base stats'!B:B,'Base stats'!BT:BT),
0.05))</f>
        <v>No</v>
      </c>
      <c r="W42" s="8">
        <f>MROUND(_xlfn.XLOOKUP(_xlfn.XLOOKUP(B42,'Base stats'!B:B,'Base stats'!E:E),Groups!A:A,Groups!BF:BF)*_xlfn.XLOOKUP(B42,'Base stats'!B:B,'Base stats'!C:C)^-0.165,0.01)</f>
        <v>0.17</v>
      </c>
      <c r="X42" s="1">
        <f>MROUND(_xlfn.XLOOKUP(_xlfn.XLOOKUP(B42,'Base stats'!B:B,'Base stats'!E:E),Groups!A:A,Groups!BG:BG)*_xlfn.XLOOKUP(B42,'Base stats'!B:B,'Base stats'!C:C)^0.165,0.01)</f>
        <v>0</v>
      </c>
      <c r="Y42" s="8">
        <f>MROUND(_xlfn.XLOOKUP(_xlfn.XLOOKUP(B42,'Base stats'!B:B,'Base stats'!E:E),Groups!A:A,Groups!BH:BH)*_xlfn.XLOOKUP(B42,'Base stats'!B:B,'Base stats'!C:C)^0.165,0.01)</f>
        <v>0</v>
      </c>
      <c r="Z42" s="18">
        <f>_xlfn.XLOOKUP(B42,'Base stats'!B:B,'Base stats'!AN:AN)*_xlfn.XLOOKUP(_xlfn.XLOOKUP(B42,'Base stats'!B:B,'Base stats'!E:E),Groups!A:A,Groups!H:H)/1000</f>
        <v>8.051711687380797E-2</v>
      </c>
      <c r="AA42" s="18">
        <f>(1/2)*(_xlfn.XLOOKUP(_xlfn.XLOOKUP(B42,'Base stats'!B:B,'Base stats'!E:E),Groups!A:A,Groups!H:H)*_xlfn.XLOOKUP(_xlfn.XLOOKUP(B42,'Base stats'!B:B,'Base stats'!E:E),Groups!A:A,Groups!I:I))*_xlfn.XLOOKUP(B42,'Base stats'!B:B,'Base stats'!AN:AN)*0.01</f>
        <v>0.44284414280594392</v>
      </c>
      <c r="AB42" s="18">
        <f>250*(Animals!AN42+Animals!AO42)</f>
        <v>1500</v>
      </c>
      <c r="AC42" s="18" t="str">
        <f>_xlfn.XLOOKUP(_xlfn.XLOOKUP(B42,'Base stats'!B:B,'Base stats'!E:E),Groups!A:A,Groups!BI:BI)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stats'!BP:BP) * (_xlfn.XLOOKUP(B43,'Base stats'!B:B,'Base stats'!AL:AL)*5%)^0.9 / 21,0.1),0.05)</f>
        <v>15.700000000000001</v>
      </c>
      <c r="E43" s="11">
        <f>MAX(0.01,MROUND(_xlfn.XLOOKUP(B43,'Base stats'!B:B,'Base stats'!BD:BD) * 0.01 * 2, 0.01))</f>
        <v>15.06</v>
      </c>
      <c r="F43" s="7">
        <f>MROUND(_xlfn.XLOOKUP(B43,'Base stats'!B:B,'Base stats'!BA:BA)^0.25 / (_xlfn.XLOOKUP(B43,'Base stats'!B:B,'Base stats'!BH:BH) * 10) * 150 + 0.5 + _xlfn.XLOOKUP(B43,'Base stats'!B:B,'Base stats'!BT:BT), 0.05)</f>
        <v>2.2000000000000002</v>
      </c>
      <c r="G43" s="3">
        <f>IF(Animals!R43="No","No",
IF(_xlfn.XLOOKUP(B43,'Base stats'!B:B,'Base stats'!U:U)="No",
MAX(MROUND(_xlfn.XLOOKUP(B43,'Base stats'!B:B,'Base stats'!BQ:BQ) * _xlfn.XLOOKUP(B43,'Base stats'!B:B,'Base stats'!BM:BM)^0.9 / 21 * _xlfn.XLOOKUP(B43,'Base stats'!B:B,'Base stats'!BU:BU),0.1),0.05),
MAX(MROUND(((MIN(10,_xlfn.XLOOKUP(B43,'Base stats'!B:B,'Base stats'!U:U)))^0.4*_xlfn.XLOOKUP(B43,'Base stats'!B:B,'Base stats'!BE:BE)^0.73)^0.6 * _xlfn.XLOOKUP(B43,'Base stats'!B:B,'Base stats'!BU:BU),0.1),0.05)
))</f>
        <v>18.8</v>
      </c>
      <c r="H43" s="11">
        <f>IF(G43="No","No",
MAX(0.01,MROUND(_xlfn.XLOOKUP(B43,'Base stats'!B:B,'Base stats'!BE:BE) * 0.01 * 2, 0.01))
)</f>
        <v>17.010000000000002</v>
      </c>
      <c r="I43" s="11" t="str">
        <f>IF(G43="No","No",IF(_xlfn.XLOOKUP(B43,'Base stats'!B:B,'Base stats'!U:U)="No","No",
MAX(0.01,MROUND(_xlfn.XLOOKUP(B43,'Base stats'!B:B,'Base stats'!BQ:BQ)/10000,0.01))
))</f>
        <v>No</v>
      </c>
      <c r="J43" s="4">
        <f>IF(G43="No","No",
MROUND(_xlfn.XLOOKUP(B43,'Base stats'!B:B,'Base stats'!BB:BB)^0.25
/((_xlfn.XLOOKUP(B43,'Base stats'!B:B,'Base stats'!BI:BI))*10)*_xlfn.XLOOKUP(_xlfn.XLOOKUP(B43,'Base stats'!B:B,'Base stats'!E:E),Groups!A:A,Groups!Q:Q)*150 + 0.5 + _xlfn.XLOOKUP(B43,'Base stats'!B:B,'Base stats'!BT:BT),
0.05))</f>
        <v>3.0500000000000003</v>
      </c>
      <c r="K43" s="3">
        <f>IF(Animals!W43="No","No",
IF(_xlfn.XLOOKUP(_xlfn.XLOOKUP(B43,'Base stats'!B:B,'Base stats'!E:E),Groups!A:A,Groups!BC:BC)=1,
MAX(MROUND(_xlfn.XLOOKUP(B43,'Base stats'!B:B,'Base stats'!BR:BR) * _xlfn.XLOOKUP(B43,'Base stats'!B:B,'Base stats'!BN:BN)^0.9 / 21 *_xlfn.XLOOKUP(B43,'Base stats'!B:B,'Base stats'!BU:BU),0.1),0.05),
MAX(MROUND(((MIN(10,_xlfn.XLOOKUP(B43,'Base stats'!B:B,'Base stats'!W:W)))^0.4*_xlfn.XLOOKUP(B43,'Base stats'!B:B,'Base stats'!BF:BF)^0.73)^0.6 *_xlfn.XLOOKUP(B43,'Base stats'!B:B,'Base stats'!BU:BU),0.1),0.05)
))</f>
        <v>27.1</v>
      </c>
      <c r="L43" s="11">
        <f>IF(K43="No","No",
MAX(0.01,MROUND(_xlfn.XLOOKUP(B43,'Base stats'!B:B,'Base stats'!BF:BF) * 0.01 *2, 0.01))
)</f>
        <v>20.41</v>
      </c>
      <c r="M43" s="5">
        <f>IF(K43="No","No",IF(_xlfn.XLOOKUP(_xlfn.XLOOKUP(B43,'Base stats'!B:B,'Base stats'!E:E),Groups!A:A,Groups!BC:BC)=1,"No",
MAX(0.01,MROUND(_xlfn.XLOOKUP(B43,'Base stats'!B:B,'Base stats'!BR:BR)/10000,0.01))
))</f>
        <v>1.05</v>
      </c>
      <c r="N43" s="4">
        <f>IF(K43="No","No",
MROUND(
  _xlfn.XLOOKUP(B43,'Base stats'!B:B,'Base stats'!AZ:AZ)^0.25
  / (_xlfn.XLOOKUP(B43,'Base stats'!B:B,'Base stats'!BJ:BJ)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stats'!BT:BT),
0.05))</f>
        <v>3.5</v>
      </c>
      <c r="O43" s="3" t="str">
        <f>IF(Animals!AC43="No","No",
MAX(MROUND((MIN(10,_xlfn.XLOOKUP(B43,'Base stats'!B:B,'Base stats'!V:V)*IF(_xlfn.XLOOKUP(_xlfn.XLOOKUP(B43,'Base stats'!B:B,'Base stats'!E:E),Groups!A:A,Groups!O:O)=0,1,0.33))^0.4*_xlfn.XLOOKUP(B43,'Base stats'!B:B,'Base stats'!BG:BG)^0.73)^0.6 *_xlfn.XLOOKUP(B43,'Base stats'!B:B,'Base stats'!BU:BU),0.1),0.05)
)</f>
        <v>No</v>
      </c>
      <c r="P43" s="11" t="str">
        <f>IF(O43="No","No",
MAX(0.01,MROUND(_xlfn.XLOOKUP(B43,'Base stats'!B:B,'Base stats'!BG:BG) * 0.01 * 2, 0.01))
)</f>
        <v>No</v>
      </c>
      <c r="Q43" s="5" t="str">
        <f>IF(O43="No","No",
MAX(0.01,MROUND(_xlfn.XLOOKUP(B43,'Base stats'!B:B,'Base stats'!BS:BS)/10000,0.01))
)</f>
        <v>No</v>
      </c>
      <c r="R43" s="4" t="str">
        <f>IF(O43="No","No",
MROUND(_xlfn.XLOOKUP(B43,'Base stats'!B:B,'Base stats'!AY:AY)^0.25
/((_xlfn.XLOOKUP(B43,'Base stats'!B:B,'Base stats'!BK:BK))*10)*_xlfn.XLOOKUP(_xlfn.XLOOKUP(B43,'Base stats'!B:B,'Base stats'!E:E),Groups!A:A,Groups!Z:Z)*150 + 0.5 + _xlfn.XLOOKUP(B43,'Base stats'!B:B,'Base stats'!BT:BT),
0.05))</f>
        <v>No</v>
      </c>
      <c r="S43" s="3" t="str">
        <f>IF(Animals!AH43="No","No",
IF(_xlfn.XLOOKUP(B43,'Base stats'!B:B,'Base stats'!U:U)="No",
MAX(MROUND(_xlfn.XLOOKUP(B43,'Base stats'!B:B,'Base stats'!BQ:BQ) * _xlfn.XLOOKUP(B43,'Base stats'!B:B,'Base stats'!BM:BM)^0.9 / 21 * _xlfn.XLOOKUP(B43,'Base stats'!B:B,'Base stats'!BU:BU),0.1),0.05),
MAX(MROUND(((MIN(12,_xlfn.XLOOKUP(B43,'Base stats'!B:B,'Base stats'!U:U)))^0.4*_xlfn.XLOOKUP(B43,'Base stats'!B:B,'Base stats'!BE:BE)^0.73)^0.6 * _xlfn.XLOOKUP(B43,'Base stats'!B:B,'Base stats'!BU:BU),0.1),0.05)
))</f>
        <v>No</v>
      </c>
      <c r="T43" s="11" t="str">
        <f>IF(S43="No","No",
MAX(0.01,MROUND(_xlfn.XLOOKUP(B43,'Base stats'!B:B,'Base stats'!BE:BE) * 0.01 * 2, 0.01))
)</f>
        <v>No</v>
      </c>
      <c r="U43" s="5" t="str">
        <f>IF(S43="No","No",IF(_xlfn.XLOOKUP(B43,'Base stats'!B:B,'Base stats'!U:U)="No","No",
MAX(0.01,MROUND(_xlfn.XLOOKUP(B43,'Base stats'!B:B,'Base stats'!BQ:BQ)/10000,0.01))
))</f>
        <v>No</v>
      </c>
      <c r="V43" s="4" t="str">
        <f>IF(S43="No","No",
MROUND(_xlfn.XLOOKUP(B43,'Base stats'!B:B,'Base stats'!BC:BC)^0.25
/((_xlfn.XLOOKUP(B43,'Base stats'!B:B,'Base stats'!BL:BL))*10)*_xlfn.XLOOKUP(_xlfn.XLOOKUP(B43,'Base stats'!B:B,'Base stats'!E:E),Groups!A:A,Groups!AE:AE)*150 + 0.5 + _xlfn.XLOOKUP(B43,'Base stats'!B:B,'Base stats'!BT:BT),
0.05))</f>
        <v>No</v>
      </c>
      <c r="W43" s="8">
        <f>MROUND(_xlfn.XLOOKUP(_xlfn.XLOOKUP(B43,'Base stats'!B:B,'Base stats'!E:E),Groups!A:A,Groups!BF:BF)*_xlfn.XLOOKUP(B43,'Base stats'!B:B,'Base stats'!C:C)^-0.165,0.01)</f>
        <v>0.17</v>
      </c>
      <c r="X43" s="1">
        <f>MROUND(_xlfn.XLOOKUP(_xlfn.XLOOKUP(B43,'Base stats'!B:B,'Base stats'!E:E),Groups!A:A,Groups!BG:BG)*_xlfn.XLOOKUP(B43,'Base stats'!B:B,'Base stats'!C:C)^0.165,0.01)</f>
        <v>0</v>
      </c>
      <c r="Y43" s="8">
        <f>MROUND(_xlfn.XLOOKUP(_xlfn.XLOOKUP(B43,'Base stats'!B:B,'Base stats'!E:E),Groups!A:A,Groups!BH:BH)*_xlfn.XLOOKUP(B43,'Base stats'!B:B,'Base stats'!C:C)^0.165,0.01)</f>
        <v>0</v>
      </c>
      <c r="Z43" s="18">
        <f>_xlfn.XLOOKUP(B43,'Base stats'!B:B,'Base stats'!AN:AN)*_xlfn.XLOOKUP(_xlfn.XLOOKUP(B43,'Base stats'!B:B,'Base stats'!E:E),Groups!A:A,Groups!H:H)/1000</f>
        <v>8.2842853461254723E-2</v>
      </c>
      <c r="AA43" s="18">
        <f>(1/2)*(_xlfn.XLOOKUP(_xlfn.XLOOKUP(B43,'Base stats'!B:B,'Base stats'!E:E),Groups!A:A,Groups!H:H)*_xlfn.XLOOKUP(_xlfn.XLOOKUP(B43,'Base stats'!B:B,'Base stats'!E:E),Groups!A:A,Groups!I:I))*_xlfn.XLOOKUP(B43,'Base stats'!B:B,'Base stats'!AN:AN)*0.01</f>
        <v>0.45563569403690102</v>
      </c>
      <c r="AB43" s="18">
        <f>250*(Animals!AN43+Animals!AO43)</f>
        <v>1500</v>
      </c>
      <c r="AC43" s="18" t="str">
        <f>_xlfn.XLOOKUP(_xlfn.XLOOKUP(B43,'Base stats'!B:B,'Base stats'!E:E),Groups!A:A,Groups!BI:BI)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stats'!BP:BP) * (_xlfn.XLOOKUP(B44,'Base stats'!B:B,'Base stats'!AL:AL)*5%)^0.9 / 21,0.1),0.05)</f>
        <v>8.8000000000000007</v>
      </c>
      <c r="E44" s="11">
        <f>MAX(0.01,MROUND(_xlfn.XLOOKUP(B44,'Base stats'!B:B,'Base stats'!BD:BD) * 0.01 * 2, 0.01))</f>
        <v>8.07</v>
      </c>
      <c r="F44" s="7">
        <f>MROUND(_xlfn.XLOOKUP(B44,'Base stats'!B:B,'Base stats'!BA:BA)^0.25 / (_xlfn.XLOOKUP(B44,'Base stats'!B:B,'Base stats'!BH:BH) * 10) * 150 + 0.5 + _xlfn.XLOOKUP(B44,'Base stats'!B:B,'Base stats'!BT:BT), 0.05)</f>
        <v>1.85</v>
      </c>
      <c r="G44" s="3">
        <f>IF(Animals!R44="No","No",
IF(_xlfn.XLOOKUP(B44,'Base stats'!B:B,'Base stats'!U:U)="No",
MAX(MROUND(_xlfn.XLOOKUP(B44,'Base stats'!B:B,'Base stats'!BQ:BQ) * _xlfn.XLOOKUP(B44,'Base stats'!B:B,'Base stats'!BM:BM)^0.9 / 21 * _xlfn.XLOOKUP(B44,'Base stats'!B:B,'Base stats'!BU:BU),0.1),0.05),
MAX(MROUND(((MIN(10,_xlfn.XLOOKUP(B44,'Base stats'!B:B,'Base stats'!U:U)))^0.4*_xlfn.XLOOKUP(B44,'Base stats'!B:B,'Base stats'!BE:BE)^0.73)^0.6 * _xlfn.XLOOKUP(B44,'Base stats'!B:B,'Base stats'!BU:BU),0.1),0.05)
))</f>
        <v>14.9</v>
      </c>
      <c r="H44" s="11">
        <f>IF(G44="No","No",
MAX(0.01,MROUND(_xlfn.XLOOKUP(B44,'Base stats'!B:B,'Base stats'!BE:BE) * 0.01 * 2, 0.01))
)</f>
        <v>9.48</v>
      </c>
      <c r="I44" s="11" t="str">
        <f>IF(G44="No","No",IF(_xlfn.XLOOKUP(B44,'Base stats'!B:B,'Base stats'!U:U)="No","No",
MAX(0.01,MROUND(_xlfn.XLOOKUP(B44,'Base stats'!B:B,'Base stats'!BQ:BQ)/10000,0.01))
))</f>
        <v>No</v>
      </c>
      <c r="J44" s="4">
        <f>IF(G44="No","No",
MROUND(_xlfn.XLOOKUP(B44,'Base stats'!B:B,'Base stats'!BB:BB)^0.25
/((_xlfn.XLOOKUP(B44,'Base stats'!B:B,'Base stats'!BI:BI))*10)*_xlfn.XLOOKUP(_xlfn.XLOOKUP(B44,'Base stats'!B:B,'Base stats'!E:E),Groups!A:A,Groups!Q:Q)*150 + 0.5 + _xlfn.XLOOKUP(B44,'Base stats'!B:B,'Base stats'!BT:BT),
0.05))</f>
        <v>2.7</v>
      </c>
      <c r="K44" s="3">
        <f>IF(Animals!W44="No","No",
IF(_xlfn.XLOOKUP(_xlfn.XLOOKUP(B44,'Base stats'!B:B,'Base stats'!E:E),Groups!A:A,Groups!BC:BC)=1,
MAX(MROUND(_xlfn.XLOOKUP(B44,'Base stats'!B:B,'Base stats'!BR:BR) * _xlfn.XLOOKUP(B44,'Base stats'!B:B,'Base stats'!BN:BN)^0.9 / 21 *_xlfn.XLOOKUP(B44,'Base stats'!B:B,'Base stats'!BU:BU),0.1),0.05),
MAX(MROUND(((MIN(10,_xlfn.XLOOKUP(B44,'Base stats'!B:B,'Base stats'!W:W)))^0.4*_xlfn.XLOOKUP(B44,'Base stats'!B:B,'Base stats'!BF:BF)^0.73)^0.6 *_xlfn.XLOOKUP(B44,'Base stats'!B:B,'Base stats'!BU:BU),0.1),0.05)
))</f>
        <v>28</v>
      </c>
      <c r="L44" s="11">
        <f>IF(K44="No","No",
MAX(0.01,MROUND(_xlfn.XLOOKUP(B44,'Base stats'!B:B,'Base stats'!BF:BF) * 0.01 *2, 0.01))
)</f>
        <v>11.370000000000001</v>
      </c>
      <c r="M44" s="5">
        <f>IF(K44="No","No",IF(_xlfn.XLOOKUP(_xlfn.XLOOKUP(B44,'Base stats'!B:B,'Base stats'!E:E),Groups!A:A,Groups!BC:BC)=1,"No",
MAX(0.01,MROUND(_xlfn.XLOOKUP(B44,'Base stats'!B:B,'Base stats'!BR:BR)/10000,0.01))
))</f>
        <v>0.63</v>
      </c>
      <c r="N44" s="4">
        <f>IF(K44="No","No",
MROUND(
  _xlfn.XLOOKUP(B44,'Base stats'!B:B,'Base stats'!AZ:AZ)^0.25
  / (_xlfn.XLOOKUP(B44,'Base stats'!B:B,'Base stats'!BJ:BJ)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stats'!BT:BT),
0.05))</f>
        <v>3.1500000000000004</v>
      </c>
      <c r="O44" s="3" t="str">
        <f>IF(Animals!AC44="No","No",
MAX(MROUND((MIN(10,_xlfn.XLOOKUP(B44,'Base stats'!B:B,'Base stats'!V:V)*IF(_xlfn.XLOOKUP(_xlfn.XLOOKUP(B44,'Base stats'!B:B,'Base stats'!E:E),Groups!A:A,Groups!O:O)=0,1,0.33))^0.4*_xlfn.XLOOKUP(B44,'Base stats'!B:B,'Base stats'!BG:BG)^0.73)^0.6 *_xlfn.XLOOKUP(B44,'Base stats'!B:B,'Base stats'!BU:BU),0.1),0.05)
)</f>
        <v>No</v>
      </c>
      <c r="P44" s="11" t="str">
        <f>IF(O44="No","No",
MAX(0.01,MROUND(_xlfn.XLOOKUP(B44,'Base stats'!B:B,'Base stats'!BG:BG) * 0.01 * 2, 0.01))
)</f>
        <v>No</v>
      </c>
      <c r="Q44" s="5" t="str">
        <f>IF(O44="No","No",
MAX(0.01,MROUND(_xlfn.XLOOKUP(B44,'Base stats'!B:B,'Base stats'!BS:BS)/10000,0.01))
)</f>
        <v>No</v>
      </c>
      <c r="R44" s="4" t="str">
        <f>IF(O44="No","No",
MROUND(_xlfn.XLOOKUP(B44,'Base stats'!B:B,'Base stats'!AY:AY)^0.25
/((_xlfn.XLOOKUP(B44,'Base stats'!B:B,'Base stats'!BK:BK))*10)*_xlfn.XLOOKUP(_xlfn.XLOOKUP(B44,'Base stats'!B:B,'Base stats'!E:E),Groups!A:A,Groups!Z:Z)*150 + 0.5 + _xlfn.XLOOKUP(B44,'Base stats'!B:B,'Base stats'!BT:BT),
0.05))</f>
        <v>No</v>
      </c>
      <c r="S44" s="3" t="str">
        <f>IF(Animals!AH44="No","No",
IF(_xlfn.XLOOKUP(B44,'Base stats'!B:B,'Base stats'!U:U)="No",
MAX(MROUND(_xlfn.XLOOKUP(B44,'Base stats'!B:B,'Base stats'!BQ:BQ) * _xlfn.XLOOKUP(B44,'Base stats'!B:B,'Base stats'!BM:BM)^0.9 / 21 * _xlfn.XLOOKUP(B44,'Base stats'!B:B,'Base stats'!BU:BU),0.1),0.05),
MAX(MROUND(((MIN(12,_xlfn.XLOOKUP(B44,'Base stats'!B:B,'Base stats'!U:U)))^0.4*_xlfn.XLOOKUP(B44,'Base stats'!B:B,'Base stats'!BE:BE)^0.73)^0.6 * _xlfn.XLOOKUP(B44,'Base stats'!B:B,'Base stats'!BU:BU),0.1),0.05)
))</f>
        <v>No</v>
      </c>
      <c r="T44" s="11" t="str">
        <f>IF(S44="No","No",
MAX(0.01,MROUND(_xlfn.XLOOKUP(B44,'Base stats'!B:B,'Base stats'!BE:BE) * 0.01 * 2, 0.01))
)</f>
        <v>No</v>
      </c>
      <c r="U44" s="5" t="str">
        <f>IF(S44="No","No",IF(_xlfn.XLOOKUP(B44,'Base stats'!B:B,'Base stats'!U:U)="No","No",
MAX(0.01,MROUND(_xlfn.XLOOKUP(B44,'Base stats'!B:B,'Base stats'!BQ:BQ)/10000,0.01))
))</f>
        <v>No</v>
      </c>
      <c r="V44" s="4" t="str">
        <f>IF(S44="No","No",
MROUND(_xlfn.XLOOKUP(B44,'Base stats'!B:B,'Base stats'!BC:BC)^0.25
/((_xlfn.XLOOKUP(B44,'Base stats'!B:B,'Base stats'!BL:BL))*10)*_xlfn.XLOOKUP(_xlfn.XLOOKUP(B44,'Base stats'!B:B,'Base stats'!E:E),Groups!A:A,Groups!AE:AE)*150 + 0.5 + _xlfn.XLOOKUP(B44,'Base stats'!B:B,'Base stats'!BT:BT),
0.05))</f>
        <v>No</v>
      </c>
      <c r="W44" s="8">
        <f>MROUND(_xlfn.XLOOKUP(_xlfn.XLOOKUP(B44,'Base stats'!B:B,'Base stats'!E:E),Groups!A:A,Groups!BF:BF)*_xlfn.XLOOKUP(B44,'Base stats'!B:B,'Base stats'!C:C)^-0.165,0.01)</f>
        <v>0.19</v>
      </c>
      <c r="X44" s="1">
        <f>MROUND(_xlfn.XLOOKUP(_xlfn.XLOOKUP(B44,'Base stats'!B:B,'Base stats'!E:E),Groups!A:A,Groups!BG:BG)*_xlfn.XLOOKUP(B44,'Base stats'!B:B,'Base stats'!C:C)^0.165,0.01)</f>
        <v>0</v>
      </c>
      <c r="Y44" s="8">
        <f>MROUND(_xlfn.XLOOKUP(_xlfn.XLOOKUP(B44,'Base stats'!B:B,'Base stats'!E:E),Groups!A:A,Groups!BH:BH)*_xlfn.XLOOKUP(B44,'Base stats'!B:B,'Base stats'!C:C)^0.165,0.01)</f>
        <v>0</v>
      </c>
      <c r="Z44" s="18">
        <f>_xlfn.XLOOKUP(B44,'Base stats'!B:B,'Base stats'!AN:AN)*_xlfn.XLOOKUP(_xlfn.XLOOKUP(B44,'Base stats'!B:B,'Base stats'!E:E),Groups!A:A,Groups!H:H)/1000</f>
        <v>6.7898345053275078E-2</v>
      </c>
      <c r="AA44" s="18">
        <f>(1/2)*(_xlfn.XLOOKUP(_xlfn.XLOOKUP(B44,'Base stats'!B:B,'Base stats'!E:E),Groups!A:A,Groups!H:H)*_xlfn.XLOOKUP(_xlfn.XLOOKUP(B44,'Base stats'!B:B,'Base stats'!E:E),Groups!A:A,Groups!I:I))*_xlfn.XLOOKUP(B44,'Base stats'!B:B,'Base stats'!AN:AN)*0.01</f>
        <v>0.37344089779301298</v>
      </c>
      <c r="AB44" s="18">
        <f>250*(Animals!AN44+Animals!AO44)</f>
        <v>1250</v>
      </c>
      <c r="AC44" s="18" t="str">
        <f>_xlfn.XLOOKUP(_xlfn.XLOOKUP(B44,'Base stats'!B:B,'Base stats'!E:E),Groups!A:A,Groups!BI:BI)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stats'!BP:BP) * (_xlfn.XLOOKUP(B45,'Base stats'!B:B,'Base stats'!AL:AL)*5%)^0.9 / 21,0.1),0.05)</f>
        <v>15.100000000000001</v>
      </c>
      <c r="E45" s="11">
        <f>MAX(0.01,MROUND(_xlfn.XLOOKUP(B45,'Base stats'!B:B,'Base stats'!BD:BD) * 0.01 * 2, 0.01))</f>
        <v>14.51</v>
      </c>
      <c r="F45" s="7">
        <f>MROUND(_xlfn.XLOOKUP(B45,'Base stats'!B:B,'Base stats'!BA:BA)^0.25 / (_xlfn.XLOOKUP(B45,'Base stats'!B:B,'Base stats'!BH:BH) * 10) * 150 + 0.5 + _xlfn.XLOOKUP(B45,'Base stats'!B:B,'Base stats'!BT:BT), 0.05)</f>
        <v>1.9000000000000001</v>
      </c>
      <c r="G45" s="3">
        <f>IF(Animals!R45="No","No",
IF(_xlfn.XLOOKUP(B45,'Base stats'!B:B,'Base stats'!U:U)="No",
MAX(MROUND(_xlfn.XLOOKUP(B45,'Base stats'!B:B,'Base stats'!BQ:BQ) * _xlfn.XLOOKUP(B45,'Base stats'!B:B,'Base stats'!BM:BM)^0.9 / 21 * _xlfn.XLOOKUP(B45,'Base stats'!B:B,'Base stats'!BU:BU),0.1),0.05),
MAX(MROUND(((MIN(10,_xlfn.XLOOKUP(B45,'Base stats'!B:B,'Base stats'!U:U)))^0.4*_xlfn.XLOOKUP(B45,'Base stats'!B:B,'Base stats'!BE:BE)^0.73)^0.6 * _xlfn.XLOOKUP(B45,'Base stats'!B:B,'Base stats'!BU:BU),0.1),0.05)
))</f>
        <v>24.3</v>
      </c>
      <c r="H45" s="11">
        <f>IF(G45="No","No",
MAX(0.01,MROUND(_xlfn.XLOOKUP(B45,'Base stats'!B:B,'Base stats'!BE:BE) * 0.01 * 2, 0.01))
)</f>
        <v>16.420000000000002</v>
      </c>
      <c r="I45" s="11" t="str">
        <f>IF(G45="No","No",IF(_xlfn.XLOOKUP(B45,'Base stats'!B:B,'Base stats'!U:U)="No","No",
MAX(0.01,MROUND(_xlfn.XLOOKUP(B45,'Base stats'!B:B,'Base stats'!BQ:BQ)/10000,0.01))
))</f>
        <v>No</v>
      </c>
      <c r="J45" s="4">
        <f>IF(G45="No","No",
MROUND(_xlfn.XLOOKUP(B45,'Base stats'!B:B,'Base stats'!BB:BB)^0.25
/((_xlfn.XLOOKUP(B45,'Base stats'!B:B,'Base stats'!BI:BI))*10)*_xlfn.XLOOKUP(_xlfn.XLOOKUP(B45,'Base stats'!B:B,'Base stats'!E:E),Groups!A:A,Groups!Q:Q)*150 + 0.5 + _xlfn.XLOOKUP(B45,'Base stats'!B:B,'Base stats'!BT:BT),
0.05))</f>
        <v>2.8000000000000003</v>
      </c>
      <c r="K45" s="3">
        <f>IF(Animals!W45="No","No",
IF(_xlfn.XLOOKUP(_xlfn.XLOOKUP(B45,'Base stats'!B:B,'Base stats'!E:E),Groups!A:A,Groups!BC:BC)=1,
MAX(MROUND(_xlfn.XLOOKUP(B45,'Base stats'!B:B,'Base stats'!BR:BR) * _xlfn.XLOOKUP(B45,'Base stats'!B:B,'Base stats'!BN:BN)^0.9 / 21 *_xlfn.XLOOKUP(B45,'Base stats'!B:B,'Base stats'!BU:BU),0.1),0.05),
MAX(MROUND(((MIN(10,_xlfn.XLOOKUP(B45,'Base stats'!B:B,'Base stats'!W:W)))^0.4*_xlfn.XLOOKUP(B45,'Base stats'!B:B,'Base stats'!BF:BF)^0.73)^0.6 *_xlfn.XLOOKUP(B45,'Base stats'!B:B,'Base stats'!BU:BU),0.1),0.05)
))</f>
        <v>35.6</v>
      </c>
      <c r="L45" s="11">
        <f>IF(K45="No","No",
MAX(0.01,MROUND(_xlfn.XLOOKUP(B45,'Base stats'!B:B,'Base stats'!BF:BF) * 0.01 *2, 0.01))
)</f>
        <v>19.71</v>
      </c>
      <c r="M45" s="5">
        <f>IF(K45="No","No",IF(_xlfn.XLOOKUP(_xlfn.XLOOKUP(B45,'Base stats'!B:B,'Base stats'!E:E),Groups!A:A,Groups!BC:BC)=1,"No",
MAX(0.01,MROUND(_xlfn.XLOOKUP(B45,'Base stats'!B:B,'Base stats'!BR:BR)/10000,0.01))
))</f>
        <v>1.02</v>
      </c>
      <c r="N45" s="4">
        <f>IF(K45="No","No",
MROUND(
  _xlfn.XLOOKUP(B45,'Base stats'!B:B,'Base stats'!AZ:AZ)^0.25
  / (_xlfn.XLOOKUP(B45,'Base stats'!B:B,'Base stats'!BJ:BJ)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stats'!BT:BT),
0.05))</f>
        <v>3.25</v>
      </c>
      <c r="O45" s="3" t="str">
        <f>IF(Animals!AC45="No","No",
MAX(MROUND((MIN(10,_xlfn.XLOOKUP(B45,'Base stats'!B:B,'Base stats'!V:V)*IF(_xlfn.XLOOKUP(_xlfn.XLOOKUP(B45,'Base stats'!B:B,'Base stats'!E:E),Groups!A:A,Groups!O:O)=0,1,0.33))^0.4*_xlfn.XLOOKUP(B45,'Base stats'!B:B,'Base stats'!BG:BG)^0.73)^0.6 *_xlfn.XLOOKUP(B45,'Base stats'!B:B,'Base stats'!BU:BU),0.1),0.05)
)</f>
        <v>No</v>
      </c>
      <c r="P45" s="11" t="str">
        <f>IF(O45="No","No",
MAX(0.01,MROUND(_xlfn.XLOOKUP(B45,'Base stats'!B:B,'Base stats'!BG:BG) * 0.01 * 2, 0.01))
)</f>
        <v>No</v>
      </c>
      <c r="Q45" s="5" t="str">
        <f>IF(O45="No","No",
MAX(0.01,MROUND(_xlfn.XLOOKUP(B45,'Base stats'!B:B,'Base stats'!BS:BS)/10000,0.01))
)</f>
        <v>No</v>
      </c>
      <c r="R45" s="4" t="str">
        <f>IF(O45="No","No",
MROUND(_xlfn.XLOOKUP(B45,'Base stats'!B:B,'Base stats'!AY:AY)^0.25
/((_xlfn.XLOOKUP(B45,'Base stats'!B:B,'Base stats'!BK:BK))*10)*_xlfn.XLOOKUP(_xlfn.XLOOKUP(B45,'Base stats'!B:B,'Base stats'!E:E),Groups!A:A,Groups!Z:Z)*150 + 0.5 + _xlfn.XLOOKUP(B45,'Base stats'!B:B,'Base stats'!BT:BT),
0.05))</f>
        <v>No</v>
      </c>
      <c r="S45" s="3" t="str">
        <f>IF(Animals!AH45="No","No",
IF(_xlfn.XLOOKUP(B45,'Base stats'!B:B,'Base stats'!U:U)="No",
MAX(MROUND(_xlfn.XLOOKUP(B45,'Base stats'!B:B,'Base stats'!BQ:BQ) * _xlfn.XLOOKUP(B45,'Base stats'!B:B,'Base stats'!BM:BM)^0.9 / 21 * _xlfn.XLOOKUP(B45,'Base stats'!B:B,'Base stats'!BU:BU),0.1),0.05),
MAX(MROUND(((MIN(12,_xlfn.XLOOKUP(B45,'Base stats'!B:B,'Base stats'!U:U)))^0.4*_xlfn.XLOOKUP(B45,'Base stats'!B:B,'Base stats'!BE:BE)^0.73)^0.6 * _xlfn.XLOOKUP(B45,'Base stats'!B:B,'Base stats'!BU:BU),0.1),0.05)
))</f>
        <v>No</v>
      </c>
      <c r="T45" s="11" t="str">
        <f>IF(S45="No","No",
MAX(0.01,MROUND(_xlfn.XLOOKUP(B45,'Base stats'!B:B,'Base stats'!BE:BE) * 0.01 * 2, 0.01))
)</f>
        <v>No</v>
      </c>
      <c r="U45" s="5" t="str">
        <f>IF(S45="No","No",IF(_xlfn.XLOOKUP(B45,'Base stats'!B:B,'Base stats'!U:U)="No","No",
MAX(0.01,MROUND(_xlfn.XLOOKUP(B45,'Base stats'!B:B,'Base stats'!BQ:BQ)/10000,0.01))
))</f>
        <v>No</v>
      </c>
      <c r="V45" s="4" t="str">
        <f>IF(S45="No","No",
MROUND(_xlfn.XLOOKUP(B45,'Base stats'!B:B,'Base stats'!BC:BC)^0.25
/((_xlfn.XLOOKUP(B45,'Base stats'!B:B,'Base stats'!BL:BL))*10)*_xlfn.XLOOKUP(_xlfn.XLOOKUP(B45,'Base stats'!B:B,'Base stats'!E:E),Groups!A:A,Groups!AE:AE)*150 + 0.5 + _xlfn.XLOOKUP(B45,'Base stats'!B:B,'Base stats'!BT:BT),
0.05))</f>
        <v>No</v>
      </c>
      <c r="W45" s="8">
        <f>MROUND(_xlfn.XLOOKUP(_xlfn.XLOOKUP(B45,'Base stats'!B:B,'Base stats'!E:E),Groups!A:A,Groups!BF:BF)*_xlfn.XLOOKUP(B45,'Base stats'!B:B,'Base stats'!C:C)^-0.165,0.01)</f>
        <v>0.17</v>
      </c>
      <c r="X45" s="1">
        <f>MROUND(_xlfn.XLOOKUP(_xlfn.XLOOKUP(B45,'Base stats'!B:B,'Base stats'!E:E),Groups!A:A,Groups!BG:BG)*_xlfn.XLOOKUP(B45,'Base stats'!B:B,'Base stats'!C:C)^0.165,0.01)</f>
        <v>0</v>
      </c>
      <c r="Y45" s="8">
        <f>MROUND(_xlfn.XLOOKUP(_xlfn.XLOOKUP(B45,'Base stats'!B:B,'Base stats'!E:E),Groups!A:A,Groups!BH:BH)*_xlfn.XLOOKUP(B45,'Base stats'!B:B,'Base stats'!C:C)^0.165,0.01)</f>
        <v>0</v>
      </c>
      <c r="Z45" s="18">
        <f>_xlfn.XLOOKUP(B45,'Base stats'!B:B,'Base stats'!AN:AN)*_xlfn.XLOOKUP(_xlfn.XLOOKUP(B45,'Base stats'!B:B,'Base stats'!E:E),Groups!A:A,Groups!H:H)/1000</f>
        <v>8.1860793098211718E-2</v>
      </c>
      <c r="AA45" s="18">
        <f>(1/2)*(_xlfn.XLOOKUP(_xlfn.XLOOKUP(B45,'Base stats'!B:B,'Base stats'!E:E),Groups!A:A,Groups!H:H)*_xlfn.XLOOKUP(_xlfn.XLOOKUP(B45,'Base stats'!B:B,'Base stats'!E:E),Groups!A:A,Groups!I:I))*_xlfn.XLOOKUP(B45,'Base stats'!B:B,'Base stats'!AN:AN)*0.01</f>
        <v>0.45023436204016448</v>
      </c>
      <c r="AB45" s="18">
        <f>250*(Animals!AN45+Animals!AO45)</f>
        <v>1500</v>
      </c>
      <c r="AC45" s="18" t="str">
        <f>_xlfn.XLOOKUP(_xlfn.XLOOKUP(B45,'Base stats'!B:B,'Base stats'!E:E),Groups!A:A,Groups!BI:BI)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stats'!BP:BP) * (_xlfn.XLOOKUP(B46,'Base stats'!B:B,'Base stats'!AL:AL)*5%)^0.9 / 21,0.1),0.05)</f>
        <v>5.5</v>
      </c>
      <c r="E46" s="11">
        <f>MAX(0.01,MROUND(_xlfn.XLOOKUP(B46,'Base stats'!B:B,'Base stats'!BD:BD) * 0.01 * 2, 0.01))</f>
        <v>4.8500000000000005</v>
      </c>
      <c r="F46" s="7">
        <f>MROUND(_xlfn.XLOOKUP(B46,'Base stats'!B:B,'Base stats'!BA:BA)^0.25 / (_xlfn.XLOOKUP(B46,'Base stats'!B:B,'Base stats'!BH:BH) * 10) * 150 + 0.5 + _xlfn.XLOOKUP(B46,'Base stats'!B:B,'Base stats'!BT:BT), 0.05)</f>
        <v>1.7000000000000002</v>
      </c>
      <c r="G46" s="3">
        <f>IF(Animals!R46="No","No",
IF(_xlfn.XLOOKUP(B46,'Base stats'!B:B,'Base stats'!U:U)="No",
MAX(MROUND(_xlfn.XLOOKUP(B46,'Base stats'!B:B,'Base stats'!BQ:BQ) * _xlfn.XLOOKUP(B46,'Base stats'!B:B,'Base stats'!BM:BM)^0.9 / 21 * _xlfn.XLOOKUP(B46,'Base stats'!B:B,'Base stats'!BU:BU),0.1),0.05),
MAX(MROUND(((MIN(10,_xlfn.XLOOKUP(B46,'Base stats'!B:B,'Base stats'!U:U)))^0.4*_xlfn.XLOOKUP(B46,'Base stats'!B:B,'Base stats'!BE:BE)^0.73)^0.6 * _xlfn.XLOOKUP(B46,'Base stats'!B:B,'Base stats'!BU:BU),0.1),0.05)
))</f>
        <v>9.7000000000000011</v>
      </c>
      <c r="H46" s="11">
        <f>IF(G46="No","No",
MAX(0.01,MROUND(_xlfn.XLOOKUP(B46,'Base stats'!B:B,'Base stats'!BE:BE) * 0.01 * 2, 0.01))
)</f>
        <v>5.88</v>
      </c>
      <c r="I46" s="11" t="str">
        <f>IF(G46="No","No",IF(_xlfn.XLOOKUP(B46,'Base stats'!B:B,'Base stats'!U:U)="No","No",
MAX(0.01,MROUND(_xlfn.XLOOKUP(B46,'Base stats'!B:B,'Base stats'!BQ:BQ)/10000,0.01))
))</f>
        <v>No</v>
      </c>
      <c r="J46" s="4">
        <f>IF(G46="No","No",
MROUND(_xlfn.XLOOKUP(B46,'Base stats'!B:B,'Base stats'!BB:BB)^0.25
/((_xlfn.XLOOKUP(B46,'Base stats'!B:B,'Base stats'!BI:BI))*10)*_xlfn.XLOOKUP(_xlfn.XLOOKUP(B46,'Base stats'!B:B,'Base stats'!E:E),Groups!A:A,Groups!Q:Q)*150 + 0.5 + _xlfn.XLOOKUP(B46,'Base stats'!B:B,'Base stats'!BT:BT),
0.05))</f>
        <v>2.5</v>
      </c>
      <c r="K46" s="3">
        <f>IF(Animals!W46="No","No",
IF(_xlfn.XLOOKUP(_xlfn.XLOOKUP(B46,'Base stats'!B:B,'Base stats'!E:E),Groups!A:A,Groups!BC:BC)=1,
MAX(MROUND(_xlfn.XLOOKUP(B46,'Base stats'!B:B,'Base stats'!BR:BR) * _xlfn.XLOOKUP(B46,'Base stats'!B:B,'Base stats'!BN:BN)^0.9 / 21 *_xlfn.XLOOKUP(B46,'Base stats'!B:B,'Base stats'!BU:BU),0.1),0.05),
MAX(MROUND(((MIN(10,_xlfn.XLOOKUP(B46,'Base stats'!B:B,'Base stats'!W:W)))^0.4*_xlfn.XLOOKUP(B46,'Base stats'!B:B,'Base stats'!BF:BF)^0.73)^0.6 *_xlfn.XLOOKUP(B46,'Base stats'!B:B,'Base stats'!BU:BU),0.1),0.05)
))</f>
        <v>22.700000000000003</v>
      </c>
      <c r="L46" s="11">
        <f>IF(K46="No","No",
MAX(0.01,MROUND(_xlfn.XLOOKUP(B46,'Base stats'!B:B,'Base stats'!BF:BF) * 0.01 *2, 0.01))
)</f>
        <v>7.05</v>
      </c>
      <c r="M46" s="5">
        <f>IF(K46="No","No",IF(_xlfn.XLOOKUP(_xlfn.XLOOKUP(B46,'Base stats'!B:B,'Base stats'!E:E),Groups!A:A,Groups!BC:BC)=1,"No",
MAX(0.01,MROUND(_xlfn.XLOOKUP(B46,'Base stats'!B:B,'Base stats'!BR:BR)/10000,0.01))
))</f>
        <v>0.41000000000000003</v>
      </c>
      <c r="N46" s="4">
        <f>IF(K46="No","No",
MROUND(
  _xlfn.XLOOKUP(B46,'Base stats'!B:B,'Base stats'!AZ:AZ)^0.25
  / (_xlfn.XLOOKUP(B46,'Base stats'!B:B,'Base stats'!BJ:BJ)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stats'!BT:BT),
0.05))</f>
        <v>3</v>
      </c>
      <c r="O46" s="3" t="str">
        <f>IF(Animals!AC46="No","No",
MAX(MROUND((MIN(10,_xlfn.XLOOKUP(B46,'Base stats'!B:B,'Base stats'!V:V)*IF(_xlfn.XLOOKUP(_xlfn.XLOOKUP(B46,'Base stats'!B:B,'Base stats'!E:E),Groups!A:A,Groups!O:O)=0,1,0.33))^0.4*_xlfn.XLOOKUP(B46,'Base stats'!B:B,'Base stats'!BG:BG)^0.73)^0.6 *_xlfn.XLOOKUP(B46,'Base stats'!B:B,'Base stats'!BU:BU),0.1),0.05)
)</f>
        <v>No</v>
      </c>
      <c r="P46" s="11" t="str">
        <f>IF(O46="No","No",
MAX(0.01,MROUND(_xlfn.XLOOKUP(B46,'Base stats'!B:B,'Base stats'!BG:BG) * 0.01 * 2, 0.01))
)</f>
        <v>No</v>
      </c>
      <c r="Q46" s="5" t="str">
        <f>IF(O46="No","No",
MAX(0.01,MROUND(_xlfn.XLOOKUP(B46,'Base stats'!B:B,'Base stats'!BS:BS)/10000,0.01))
)</f>
        <v>No</v>
      </c>
      <c r="R46" s="4" t="str">
        <f>IF(O46="No","No",
MROUND(_xlfn.XLOOKUP(B46,'Base stats'!B:B,'Base stats'!AY:AY)^0.25
/((_xlfn.XLOOKUP(B46,'Base stats'!B:B,'Base stats'!BK:BK))*10)*_xlfn.XLOOKUP(_xlfn.XLOOKUP(B46,'Base stats'!B:B,'Base stats'!E:E),Groups!A:A,Groups!Z:Z)*150 + 0.5 + _xlfn.XLOOKUP(B46,'Base stats'!B:B,'Base stats'!BT:BT),
0.05))</f>
        <v>No</v>
      </c>
      <c r="S46" s="3" t="str">
        <f>IF(Animals!AH46="No","No",
IF(_xlfn.XLOOKUP(B46,'Base stats'!B:B,'Base stats'!U:U)="No",
MAX(MROUND(_xlfn.XLOOKUP(B46,'Base stats'!B:B,'Base stats'!BQ:BQ) * _xlfn.XLOOKUP(B46,'Base stats'!B:B,'Base stats'!BM:BM)^0.9 / 21 * _xlfn.XLOOKUP(B46,'Base stats'!B:B,'Base stats'!BU:BU),0.1),0.05),
MAX(MROUND(((MIN(12,_xlfn.XLOOKUP(B46,'Base stats'!B:B,'Base stats'!U:U)))^0.4*_xlfn.XLOOKUP(B46,'Base stats'!B:B,'Base stats'!BE:BE)^0.73)^0.6 * _xlfn.XLOOKUP(B46,'Base stats'!B:B,'Base stats'!BU:BU),0.1),0.05)
))</f>
        <v>No</v>
      </c>
      <c r="T46" s="11" t="str">
        <f>IF(S46="No","No",
MAX(0.01,MROUND(_xlfn.XLOOKUP(B46,'Base stats'!B:B,'Base stats'!BE:BE) * 0.01 * 2, 0.01))
)</f>
        <v>No</v>
      </c>
      <c r="U46" s="5" t="str">
        <f>IF(S46="No","No",IF(_xlfn.XLOOKUP(B46,'Base stats'!B:B,'Base stats'!U:U)="No","No",
MAX(0.01,MROUND(_xlfn.XLOOKUP(B46,'Base stats'!B:B,'Base stats'!BQ:BQ)/10000,0.01))
))</f>
        <v>No</v>
      </c>
      <c r="V46" s="4" t="str">
        <f>IF(S46="No","No",
MROUND(_xlfn.XLOOKUP(B46,'Base stats'!B:B,'Base stats'!BC:BC)^0.25
/((_xlfn.XLOOKUP(B46,'Base stats'!B:B,'Base stats'!BL:BL))*10)*_xlfn.XLOOKUP(_xlfn.XLOOKUP(B46,'Base stats'!B:B,'Base stats'!E:E),Groups!A:A,Groups!AE:AE)*150 + 0.5 + _xlfn.XLOOKUP(B46,'Base stats'!B:B,'Base stats'!BT:BT),
0.05))</f>
        <v>No</v>
      </c>
      <c r="W46" s="8">
        <f>MROUND(_xlfn.XLOOKUP(_xlfn.XLOOKUP(B46,'Base stats'!B:B,'Base stats'!E:E),Groups!A:A,Groups!BF:BF)*_xlfn.XLOOKUP(B46,'Base stats'!B:B,'Base stats'!C:C)^-0.165,0.01)</f>
        <v>0.21</v>
      </c>
      <c r="X46" s="1">
        <f>MROUND(_xlfn.XLOOKUP(_xlfn.XLOOKUP(B46,'Base stats'!B:B,'Base stats'!E:E),Groups!A:A,Groups!BG:BG)*_xlfn.XLOOKUP(B46,'Base stats'!B:B,'Base stats'!C:C)^0.165,0.01)</f>
        <v>0</v>
      </c>
      <c r="Y46" s="8">
        <f>MROUND(_xlfn.XLOOKUP(_xlfn.XLOOKUP(B46,'Base stats'!B:B,'Base stats'!E:E),Groups!A:A,Groups!BH:BH)*_xlfn.XLOOKUP(B46,'Base stats'!B:B,'Base stats'!C:C)^0.165,0.01)</f>
        <v>0</v>
      </c>
      <c r="Z46" s="18">
        <f>_xlfn.XLOOKUP(B46,'Base stats'!B:B,'Base stats'!AN:AN)*_xlfn.XLOOKUP(_xlfn.XLOOKUP(B46,'Base stats'!B:B,'Base stats'!E:E),Groups!A:A,Groups!H:H)/1000</f>
        <v>5.7726889210315928E-2</v>
      </c>
      <c r="AA46" s="18">
        <f>(1/2)*(_xlfn.XLOOKUP(_xlfn.XLOOKUP(B46,'Base stats'!B:B,'Base stats'!E:E),Groups!A:A,Groups!H:H)*_xlfn.XLOOKUP(_xlfn.XLOOKUP(B46,'Base stats'!B:B,'Base stats'!E:E),Groups!A:A,Groups!I:I))*_xlfn.XLOOKUP(B46,'Base stats'!B:B,'Base stats'!AN:AN)*0.01</f>
        <v>0.31749789065673761</v>
      </c>
      <c r="AB46" s="18">
        <f>250*(Animals!AN46+Animals!AO46)</f>
        <v>900</v>
      </c>
      <c r="AC46" s="18" t="str">
        <f>_xlfn.XLOOKUP(_xlfn.XLOOKUP(B46,'Base stats'!B:B,'Base stats'!E:E),Groups!A:A,Groups!BI:BI)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stats'!BP:BP) * (_xlfn.XLOOKUP(B47,'Base stats'!B:B,'Base stats'!AL:AL)*5%)^0.9 / 21,0.1),0.05)</f>
        <v>4.3</v>
      </c>
      <c r="E47" s="11">
        <f>MAX(0.01,MROUND(_xlfn.XLOOKUP(B47,'Base stats'!B:B,'Base stats'!BD:BD) * 0.01 * 2, 0.01))</f>
        <v>3.74</v>
      </c>
      <c r="F47" s="7">
        <f>MROUND(_xlfn.XLOOKUP(B47,'Base stats'!B:B,'Base stats'!BA:BA)^0.25 / (_xlfn.XLOOKUP(B47,'Base stats'!B:B,'Base stats'!BH:BH) * 10) * 150 + 0.5 + _xlfn.XLOOKUP(B47,'Base stats'!B:B,'Base stats'!BT:BT), 0.05)</f>
        <v>1.75</v>
      </c>
      <c r="G47" s="3">
        <f>IF(Animals!R47="No","No",
IF(_xlfn.XLOOKUP(B47,'Base stats'!B:B,'Base stats'!U:U)="No",
MAX(MROUND(_xlfn.XLOOKUP(B47,'Base stats'!B:B,'Base stats'!BQ:BQ) * _xlfn.XLOOKUP(B47,'Base stats'!B:B,'Base stats'!BM:BM)^0.9 / 21 * _xlfn.XLOOKUP(B47,'Base stats'!B:B,'Base stats'!BU:BU),0.1),0.05),
MAX(MROUND(((MIN(10,_xlfn.XLOOKUP(B47,'Base stats'!B:B,'Base stats'!U:U)))^0.4*_xlfn.XLOOKUP(B47,'Base stats'!B:B,'Base stats'!BE:BE)^0.73)^0.6 * _xlfn.XLOOKUP(B47,'Base stats'!B:B,'Base stats'!BU:BU),0.1),0.05)
))</f>
        <v>7.8000000000000007</v>
      </c>
      <c r="H47" s="11">
        <f>IF(G47="No","No",
MAX(0.01,MROUND(_xlfn.XLOOKUP(B47,'Base stats'!B:B,'Base stats'!BE:BE) * 0.01 * 2, 0.01))
)</f>
        <v>4.6000000000000005</v>
      </c>
      <c r="I47" s="11" t="str">
        <f>IF(G47="No","No",IF(_xlfn.XLOOKUP(B47,'Base stats'!B:B,'Base stats'!U:U)="No","No",
MAX(0.01,MROUND(_xlfn.XLOOKUP(B47,'Base stats'!B:B,'Base stats'!BQ:BQ)/10000,0.01))
))</f>
        <v>No</v>
      </c>
      <c r="J47" s="4">
        <f>IF(G47="No","No",
MROUND(_xlfn.XLOOKUP(B47,'Base stats'!B:B,'Base stats'!BB:BB)^0.25
/((_xlfn.XLOOKUP(B47,'Base stats'!B:B,'Base stats'!BI:BI))*10)*_xlfn.XLOOKUP(_xlfn.XLOOKUP(B47,'Base stats'!B:B,'Base stats'!E:E),Groups!A:A,Groups!Q:Q)*150 + 0.5 + _xlfn.XLOOKUP(B47,'Base stats'!B:B,'Base stats'!BT:BT),
0.05))</f>
        <v>2.3000000000000003</v>
      </c>
      <c r="K47" s="3" t="str">
        <f>IF(Animals!W47="No","No",
IF(_xlfn.XLOOKUP(_xlfn.XLOOKUP(B47,'Base stats'!B:B,'Base stats'!E:E),Groups!A:A,Groups!BC:BC)=1,
MAX(MROUND(_xlfn.XLOOKUP(B47,'Base stats'!B:B,'Base stats'!BR:BR) * _xlfn.XLOOKUP(B47,'Base stats'!B:B,'Base stats'!BN:BN)^0.9 / 21 *_xlfn.XLOOKUP(B47,'Base stats'!B:B,'Base stats'!BU:BU),0.1),0.05),
MAX(MROUND(((MIN(10,_xlfn.XLOOKUP(B47,'Base stats'!B:B,'Base stats'!W:W)))^0.4*_xlfn.XLOOKUP(B47,'Base stats'!B:B,'Base stats'!BF:BF)^0.73)^0.6 *_xlfn.XLOOKUP(B47,'Base stats'!B:B,'Base stats'!BU:BU),0.1),0.05)
))</f>
        <v>No</v>
      </c>
      <c r="L47" s="11" t="str">
        <f>IF(K47="No","No",
MAX(0.01,MROUND(_xlfn.XLOOKUP(B47,'Base stats'!B:B,'Base stats'!BF:BF) * 0.01 *2, 0.01))
)</f>
        <v>No</v>
      </c>
      <c r="M47" s="5" t="str">
        <f>IF(K47="No","No",IF(_xlfn.XLOOKUP(_xlfn.XLOOKUP(B47,'Base stats'!B:B,'Base stats'!E:E),Groups!A:A,Groups!BC:BC)=1,"No",
MAX(0.01,MROUND(_xlfn.XLOOKUP(B47,'Base stats'!B:B,'Base stats'!BR:BR)/10000,0.01))
))</f>
        <v>No</v>
      </c>
      <c r="N47" s="4" t="str">
        <f>IF(K47="No","No",
MROUND(
  _xlfn.XLOOKUP(B47,'Base stats'!B:B,'Base stats'!AZ:AZ)^0.25
  / (_xlfn.XLOOKUP(B47,'Base stats'!B:B,'Base stats'!BJ:BJ)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stats'!BT:BT),
0.05))</f>
        <v>No</v>
      </c>
      <c r="O47" s="3">
        <f>IF(Animals!AC47="No","No",
MAX(MROUND((MIN(10,_xlfn.XLOOKUP(B47,'Base stats'!B:B,'Base stats'!V:V)*IF(_xlfn.XLOOKUP(_xlfn.XLOOKUP(B47,'Base stats'!B:B,'Base stats'!E:E),Groups!A:A,Groups!O:O)=0,1,0.33))^0.4*_xlfn.XLOOKUP(B47,'Base stats'!B:B,'Base stats'!BG:BG)^0.73)^0.6 *_xlfn.XLOOKUP(B47,'Base stats'!B:B,'Base stats'!BU:BU),0.1),0.05)
)</f>
        <v>9.9</v>
      </c>
      <c r="P47" s="11">
        <f>IF(O47="No","No",
MAX(0.01,MROUND(_xlfn.XLOOKUP(B47,'Base stats'!B:B,'Base stats'!BG:BG) * 0.01 * 2, 0.01))
)</f>
        <v>3.33</v>
      </c>
      <c r="Q47" s="5">
        <f>IF(O47="No","No",
MAX(0.01,MROUND(_xlfn.XLOOKUP(B47,'Base stats'!B:B,'Base stats'!BS:BS)/10000,0.01))
)</f>
        <v>0.12</v>
      </c>
      <c r="R47" s="4">
        <f>IF(O47="No","No",
MROUND(_xlfn.XLOOKUP(B47,'Base stats'!B:B,'Base stats'!AY:AY)^0.25
/((_xlfn.XLOOKUP(B47,'Base stats'!B:B,'Base stats'!BK:BK))*10)*_xlfn.XLOOKUP(_xlfn.XLOOKUP(B47,'Base stats'!B:B,'Base stats'!E:E),Groups!A:A,Groups!Z:Z)*150 + 0.5 + _xlfn.XLOOKUP(B47,'Base stats'!B:B,'Base stats'!BT:BT),
0.05))</f>
        <v>2.8000000000000003</v>
      </c>
      <c r="S47" s="3" t="str">
        <f>IF(Animals!AH47="No","No",
IF(_xlfn.XLOOKUP(B47,'Base stats'!B:B,'Base stats'!U:U)="No",
MAX(MROUND(_xlfn.XLOOKUP(B47,'Base stats'!B:B,'Base stats'!BQ:BQ) * _xlfn.XLOOKUP(B47,'Base stats'!B:B,'Base stats'!BM:BM)^0.9 / 21 * _xlfn.XLOOKUP(B47,'Base stats'!B:B,'Base stats'!BU:BU),0.1),0.05),
MAX(MROUND(((MIN(12,_xlfn.XLOOKUP(B47,'Base stats'!B:B,'Base stats'!U:U)))^0.4*_xlfn.XLOOKUP(B47,'Base stats'!B:B,'Base stats'!BE:BE)^0.73)^0.6 * _xlfn.XLOOKUP(B47,'Base stats'!B:B,'Base stats'!BU:BU),0.1),0.05)
))</f>
        <v>No</v>
      </c>
      <c r="T47" s="11" t="str">
        <f>IF(S47="No","No",
MAX(0.01,MROUND(_xlfn.XLOOKUP(B47,'Base stats'!B:B,'Base stats'!BE:BE) * 0.01 * 2, 0.01))
)</f>
        <v>No</v>
      </c>
      <c r="U47" s="5" t="str">
        <f>IF(S47="No","No",IF(_xlfn.XLOOKUP(B47,'Base stats'!B:B,'Base stats'!U:U)="No","No",
MAX(0.01,MROUND(_xlfn.XLOOKUP(B47,'Base stats'!B:B,'Base stats'!BQ:BQ)/10000,0.01))
))</f>
        <v>No</v>
      </c>
      <c r="V47" s="4" t="str">
        <f>IF(S47="No","No",
MROUND(_xlfn.XLOOKUP(B47,'Base stats'!B:B,'Base stats'!BC:BC)^0.25
/((_xlfn.XLOOKUP(B47,'Base stats'!B:B,'Base stats'!BL:BL))*10)*_xlfn.XLOOKUP(_xlfn.XLOOKUP(B47,'Base stats'!B:B,'Base stats'!E:E),Groups!A:A,Groups!AE:AE)*150 + 0.5 + _xlfn.XLOOKUP(B47,'Base stats'!B:B,'Base stats'!BT:BT),
0.05))</f>
        <v>No</v>
      </c>
      <c r="W47" s="8">
        <f>MROUND(_xlfn.XLOOKUP(_xlfn.XLOOKUP(B47,'Base stats'!B:B,'Base stats'!E:E),Groups!A:A,Groups!BF:BF)*_xlfn.XLOOKUP(B47,'Base stats'!B:B,'Base stats'!C:C)^-0.165,0.01)</f>
        <v>0.22</v>
      </c>
      <c r="X47" s="1">
        <f>MROUND(_xlfn.XLOOKUP(_xlfn.XLOOKUP(B47,'Base stats'!B:B,'Base stats'!E:E),Groups!A:A,Groups!BG:BG)*_xlfn.XLOOKUP(B47,'Base stats'!B:B,'Base stats'!C:C)^0.165,0.01)</f>
        <v>0</v>
      </c>
      <c r="Y47" s="8">
        <f>MROUND(_xlfn.XLOOKUP(_xlfn.XLOOKUP(B47,'Base stats'!B:B,'Base stats'!E:E),Groups!A:A,Groups!BH:BH)*_xlfn.XLOOKUP(B47,'Base stats'!B:B,'Base stats'!C:C)^0.165,0.01)</f>
        <v>0</v>
      </c>
      <c r="Z47" s="18">
        <f>_xlfn.XLOOKUP(B47,'Base stats'!B:B,'Base stats'!AN:AN)*_xlfn.XLOOKUP(_xlfn.XLOOKUP(B47,'Base stats'!B:B,'Base stats'!E:E),Groups!A:A,Groups!H:H)/1000</f>
        <v>5.3106284927497957E-2</v>
      </c>
      <c r="AA47" s="18">
        <f>(1/2)*(_xlfn.XLOOKUP(_xlfn.XLOOKUP(B47,'Base stats'!B:B,'Base stats'!E:E),Groups!A:A,Groups!H:H)*_xlfn.XLOOKUP(_xlfn.XLOOKUP(B47,'Base stats'!B:B,'Base stats'!E:E),Groups!A:A,Groups!I:I))*_xlfn.XLOOKUP(B47,'Base stats'!B:B,'Base stats'!AN:AN)*0.01</f>
        <v>0.29208456710123881</v>
      </c>
      <c r="AB47" s="18">
        <f>250*(Animals!AN47+Animals!AO47)</f>
        <v>750</v>
      </c>
      <c r="AC47" s="18" t="str">
        <f>_xlfn.XLOOKUP(_xlfn.XLOOKUP(B47,'Base stats'!B:B,'Base stats'!E:E),Groups!A:A,Groups!BI:BI)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stats'!BP:BP) * (_xlfn.XLOOKUP(B48,'Base stats'!B:B,'Base stats'!AL:AL)*5%)^0.9 / 21,0.1),0.05)</f>
        <v>4.3</v>
      </c>
      <c r="E48" s="11">
        <f>MAX(0.01,MROUND(_xlfn.XLOOKUP(B48,'Base stats'!B:B,'Base stats'!BD:BD) * 0.01 * 2, 0.01))</f>
        <v>3.74</v>
      </c>
      <c r="F48" s="7">
        <f>MROUND(_xlfn.XLOOKUP(B48,'Base stats'!B:B,'Base stats'!BA:BA)^0.25 / (_xlfn.XLOOKUP(B48,'Base stats'!B:B,'Base stats'!BH:BH) * 10) * 150 + 0.5 + _xlfn.XLOOKUP(B48,'Base stats'!B:B,'Base stats'!BT:BT), 0.05)</f>
        <v>1.75</v>
      </c>
      <c r="G48" s="3">
        <f>IF(Animals!R48="No","No",
IF(_xlfn.XLOOKUP(B48,'Base stats'!B:B,'Base stats'!U:U)="No",
MAX(MROUND(_xlfn.XLOOKUP(B48,'Base stats'!B:B,'Base stats'!BQ:BQ) * _xlfn.XLOOKUP(B48,'Base stats'!B:B,'Base stats'!BM:BM)^0.9 / 21 * _xlfn.XLOOKUP(B48,'Base stats'!B:B,'Base stats'!BU:BU),0.1),0.05),
MAX(MROUND(((MIN(10,_xlfn.XLOOKUP(B48,'Base stats'!B:B,'Base stats'!U:U)))^0.4*_xlfn.XLOOKUP(B48,'Base stats'!B:B,'Base stats'!BE:BE)^0.73)^0.6 * _xlfn.XLOOKUP(B48,'Base stats'!B:B,'Base stats'!BU:BU),0.1),0.05)
))</f>
        <v>7.8000000000000007</v>
      </c>
      <c r="H48" s="11">
        <f>IF(G48="No","No",
MAX(0.01,MROUND(_xlfn.XLOOKUP(B48,'Base stats'!B:B,'Base stats'!BE:BE) * 0.01 * 2, 0.01))
)</f>
        <v>4.6000000000000005</v>
      </c>
      <c r="I48" s="11" t="str">
        <f>IF(G48="No","No",IF(_xlfn.XLOOKUP(B48,'Base stats'!B:B,'Base stats'!U:U)="No","No",
MAX(0.01,MROUND(_xlfn.XLOOKUP(B48,'Base stats'!B:B,'Base stats'!BQ:BQ)/10000,0.01))
))</f>
        <v>No</v>
      </c>
      <c r="J48" s="4">
        <f>IF(G48="No","No",
MROUND(_xlfn.XLOOKUP(B48,'Base stats'!B:B,'Base stats'!BB:BB)^0.25
/((_xlfn.XLOOKUP(B48,'Base stats'!B:B,'Base stats'!BI:BI))*10)*_xlfn.XLOOKUP(_xlfn.XLOOKUP(B48,'Base stats'!B:B,'Base stats'!E:E),Groups!A:A,Groups!Q:Q)*150 + 0.5 + _xlfn.XLOOKUP(B48,'Base stats'!B:B,'Base stats'!BT:BT),
0.05))</f>
        <v>2.3000000000000003</v>
      </c>
      <c r="K48" s="3" t="str">
        <f>IF(Animals!W48="No","No",
IF(_xlfn.XLOOKUP(_xlfn.XLOOKUP(B48,'Base stats'!B:B,'Base stats'!E:E),Groups!A:A,Groups!BC:BC)=1,
MAX(MROUND(_xlfn.XLOOKUP(B48,'Base stats'!B:B,'Base stats'!BR:BR) * _xlfn.XLOOKUP(B48,'Base stats'!B:B,'Base stats'!BN:BN)^0.9 / 21 *_xlfn.XLOOKUP(B48,'Base stats'!B:B,'Base stats'!BU:BU),0.1),0.05),
MAX(MROUND(((MIN(10,_xlfn.XLOOKUP(B48,'Base stats'!B:B,'Base stats'!W:W)))^0.4*_xlfn.XLOOKUP(B48,'Base stats'!B:B,'Base stats'!BF:BF)^0.73)^0.6 *_xlfn.XLOOKUP(B48,'Base stats'!B:B,'Base stats'!BU:BU),0.1),0.05)
))</f>
        <v>No</v>
      </c>
      <c r="L48" s="11" t="str">
        <f>IF(K48="No","No",
MAX(0.01,MROUND(_xlfn.XLOOKUP(B48,'Base stats'!B:B,'Base stats'!BF:BF) * 0.01 *2, 0.01))
)</f>
        <v>No</v>
      </c>
      <c r="M48" s="5" t="str">
        <f>IF(K48="No","No",IF(_xlfn.XLOOKUP(_xlfn.XLOOKUP(B48,'Base stats'!B:B,'Base stats'!E:E),Groups!A:A,Groups!BC:BC)=1,"No",
MAX(0.01,MROUND(_xlfn.XLOOKUP(B48,'Base stats'!B:B,'Base stats'!BR:BR)/10000,0.01))
))</f>
        <v>No</v>
      </c>
      <c r="N48" s="4" t="str">
        <f>IF(K48="No","No",
MROUND(
  _xlfn.XLOOKUP(B48,'Base stats'!B:B,'Base stats'!AZ:AZ)^0.25
  / (_xlfn.XLOOKUP(B48,'Base stats'!B:B,'Base stats'!BJ:BJ)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stats'!BT:BT),
0.05))</f>
        <v>No</v>
      </c>
      <c r="O48" s="3">
        <f>IF(Animals!AC48="No","No",
MAX(MROUND((MIN(10,_xlfn.XLOOKUP(B48,'Base stats'!B:B,'Base stats'!V:V)*IF(_xlfn.XLOOKUP(_xlfn.XLOOKUP(B48,'Base stats'!B:B,'Base stats'!E:E),Groups!A:A,Groups!O:O)=0,1,0.33))^0.4*_xlfn.XLOOKUP(B48,'Base stats'!B:B,'Base stats'!BG:BG)^0.73)^0.6 *_xlfn.XLOOKUP(B48,'Base stats'!B:B,'Base stats'!BU:BU),0.1),0.05)
)</f>
        <v>9.9</v>
      </c>
      <c r="P48" s="11">
        <f>IF(O48="No","No",
MAX(0.01,MROUND(_xlfn.XLOOKUP(B48,'Base stats'!B:B,'Base stats'!BG:BG) * 0.01 * 2, 0.01))
)</f>
        <v>3.33</v>
      </c>
      <c r="Q48" s="5">
        <f>IF(O48="No","No",
MAX(0.01,MROUND(_xlfn.XLOOKUP(B48,'Base stats'!B:B,'Base stats'!BS:BS)/10000,0.01))
)</f>
        <v>0.12</v>
      </c>
      <c r="R48" s="4">
        <f>IF(O48="No","No",
MROUND(_xlfn.XLOOKUP(B48,'Base stats'!B:B,'Base stats'!AY:AY)^0.25
/((_xlfn.XLOOKUP(B48,'Base stats'!B:B,'Base stats'!BK:BK))*10)*_xlfn.XLOOKUP(_xlfn.XLOOKUP(B48,'Base stats'!B:B,'Base stats'!E:E),Groups!A:A,Groups!Z:Z)*150 + 0.5 + _xlfn.XLOOKUP(B48,'Base stats'!B:B,'Base stats'!BT:BT),
0.05))</f>
        <v>2.8000000000000003</v>
      </c>
      <c r="S48" s="3" t="str">
        <f>IF(Animals!AH48="No","No",
IF(_xlfn.XLOOKUP(B48,'Base stats'!B:B,'Base stats'!U:U)="No",
MAX(MROUND(_xlfn.XLOOKUP(B48,'Base stats'!B:B,'Base stats'!BQ:BQ) * _xlfn.XLOOKUP(B48,'Base stats'!B:B,'Base stats'!BM:BM)^0.9 / 21 * _xlfn.XLOOKUP(B48,'Base stats'!B:B,'Base stats'!BU:BU),0.1),0.05),
MAX(MROUND(((MIN(12,_xlfn.XLOOKUP(B48,'Base stats'!B:B,'Base stats'!U:U)))^0.4*_xlfn.XLOOKUP(B48,'Base stats'!B:B,'Base stats'!BE:BE)^0.73)^0.6 * _xlfn.XLOOKUP(B48,'Base stats'!B:B,'Base stats'!BU:BU),0.1),0.05)
))</f>
        <v>No</v>
      </c>
      <c r="T48" s="11" t="str">
        <f>IF(S48="No","No",
MAX(0.01,MROUND(_xlfn.XLOOKUP(B48,'Base stats'!B:B,'Base stats'!BE:BE) * 0.01 * 2, 0.01))
)</f>
        <v>No</v>
      </c>
      <c r="U48" s="5" t="str">
        <f>IF(S48="No","No",IF(_xlfn.XLOOKUP(B48,'Base stats'!B:B,'Base stats'!U:U)="No","No",
MAX(0.01,MROUND(_xlfn.XLOOKUP(B48,'Base stats'!B:B,'Base stats'!BQ:BQ)/10000,0.01))
))</f>
        <v>No</v>
      </c>
      <c r="V48" s="4" t="str">
        <f>IF(S48="No","No",
MROUND(_xlfn.XLOOKUP(B48,'Base stats'!B:B,'Base stats'!BC:BC)^0.25
/((_xlfn.XLOOKUP(B48,'Base stats'!B:B,'Base stats'!BL:BL))*10)*_xlfn.XLOOKUP(_xlfn.XLOOKUP(B48,'Base stats'!B:B,'Base stats'!E:E),Groups!A:A,Groups!AE:AE)*150 + 0.5 + _xlfn.XLOOKUP(B48,'Base stats'!B:B,'Base stats'!BT:BT),
0.05))</f>
        <v>No</v>
      </c>
      <c r="W48" s="8">
        <f>MROUND(_xlfn.XLOOKUP(_xlfn.XLOOKUP(B48,'Base stats'!B:B,'Base stats'!E:E),Groups!A:A,Groups!BF:BF)*_xlfn.XLOOKUP(B48,'Base stats'!B:B,'Base stats'!C:C)^-0.165,0.01)</f>
        <v>0.22</v>
      </c>
      <c r="X48" s="1">
        <f>MROUND(_xlfn.XLOOKUP(_xlfn.XLOOKUP(B48,'Base stats'!B:B,'Base stats'!E:E),Groups!A:A,Groups!BG:BG)*_xlfn.XLOOKUP(B48,'Base stats'!B:B,'Base stats'!C:C)^0.165,0.01)</f>
        <v>0</v>
      </c>
      <c r="Y48" s="8">
        <f>MROUND(_xlfn.XLOOKUP(_xlfn.XLOOKUP(B48,'Base stats'!B:B,'Base stats'!E:E),Groups!A:A,Groups!BH:BH)*_xlfn.XLOOKUP(B48,'Base stats'!B:B,'Base stats'!C:C)^0.165,0.01)</f>
        <v>0</v>
      </c>
      <c r="Z48" s="18">
        <f>_xlfn.XLOOKUP(B48,'Base stats'!B:B,'Base stats'!AN:AN)*_xlfn.XLOOKUP(_xlfn.XLOOKUP(B48,'Base stats'!B:B,'Base stats'!E:E),Groups!A:A,Groups!H:H)/1000</f>
        <v>5.3106284927497957E-2</v>
      </c>
      <c r="AA48" s="18">
        <f>(1/2)*(_xlfn.XLOOKUP(_xlfn.XLOOKUP(B48,'Base stats'!B:B,'Base stats'!E:E),Groups!A:A,Groups!H:H)*_xlfn.XLOOKUP(_xlfn.XLOOKUP(B48,'Base stats'!B:B,'Base stats'!E:E),Groups!A:A,Groups!I:I))*_xlfn.XLOOKUP(B48,'Base stats'!B:B,'Base stats'!AN:AN)*0.01</f>
        <v>0.29208456710123881</v>
      </c>
      <c r="AB48" s="18">
        <f>250*(Animals!AN48+Animals!AO48)</f>
        <v>750</v>
      </c>
      <c r="AC48" s="18" t="str">
        <f>_xlfn.XLOOKUP(_xlfn.XLOOKUP(B48,'Base stats'!B:B,'Base stats'!E:E),Groups!A:A,Groups!BI:BI)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stats'!BP:BP) * (_xlfn.XLOOKUP(B49,'Base stats'!B:B,'Base stats'!AL:AL)*5%)^0.9 / 21,0.1),0.05)</f>
        <v>3.4000000000000004</v>
      </c>
      <c r="E49" s="11">
        <f>MAX(0.01,MROUND(_xlfn.XLOOKUP(B49,'Base stats'!B:B,'Base stats'!BD:BD) * 0.01 * 2, 0.01))</f>
        <v>2.95</v>
      </c>
      <c r="F49" s="7">
        <f>MROUND(_xlfn.XLOOKUP(B49,'Base stats'!B:B,'Base stats'!BA:BA)^0.25 / (_xlfn.XLOOKUP(B49,'Base stats'!B:B,'Base stats'!BH:BH) * 10) * 150 + 0.5 + _xlfn.XLOOKUP(B49,'Base stats'!B:B,'Base stats'!BT:BT), 0.05)</f>
        <v>1.6500000000000001</v>
      </c>
      <c r="G49" s="3">
        <f>IF(Animals!R49="No","No",
IF(_xlfn.XLOOKUP(B49,'Base stats'!B:B,'Base stats'!U:U)="No",
MAX(MROUND(_xlfn.XLOOKUP(B49,'Base stats'!B:B,'Base stats'!BQ:BQ) * _xlfn.XLOOKUP(B49,'Base stats'!B:B,'Base stats'!BM:BM)^0.9 / 21 * _xlfn.XLOOKUP(B49,'Base stats'!B:B,'Base stats'!BU:BU),0.1),0.05),
MAX(MROUND(((MIN(10,_xlfn.XLOOKUP(B49,'Base stats'!B:B,'Base stats'!U:U)))^0.4*_xlfn.XLOOKUP(B49,'Base stats'!B:B,'Base stats'!BE:BE)^0.73)^0.6 * _xlfn.XLOOKUP(B49,'Base stats'!B:B,'Base stats'!BU:BU),0.1),0.05)
))</f>
        <v>6.4</v>
      </c>
      <c r="H49" s="11">
        <f>IF(G49="No","No",
MAX(0.01,MROUND(_xlfn.XLOOKUP(B49,'Base stats'!B:B,'Base stats'!BE:BE) * 0.01 * 2, 0.01))
)</f>
        <v>3.68</v>
      </c>
      <c r="I49" s="11" t="str">
        <f>IF(G49="No","No",IF(_xlfn.XLOOKUP(B49,'Base stats'!B:B,'Base stats'!U:U)="No","No",
MAX(0.01,MROUND(_xlfn.XLOOKUP(B49,'Base stats'!B:B,'Base stats'!BQ:BQ)/10000,0.01))
))</f>
        <v>No</v>
      </c>
      <c r="J49" s="4">
        <f>IF(G49="No","No",
MROUND(_xlfn.XLOOKUP(B49,'Base stats'!B:B,'Base stats'!BB:BB)^0.25
/((_xlfn.XLOOKUP(B49,'Base stats'!B:B,'Base stats'!BI:BI))*10)*_xlfn.XLOOKUP(_xlfn.XLOOKUP(B49,'Base stats'!B:B,'Base stats'!E:E),Groups!A:A,Groups!Q:Q)*150 + 0.5 + _xlfn.XLOOKUP(B49,'Base stats'!B:B,'Base stats'!BT:BT),
0.05))</f>
        <v>2.3000000000000003</v>
      </c>
      <c r="K49" s="3">
        <f>IF(Animals!W49="No","No",
IF(_xlfn.XLOOKUP(_xlfn.XLOOKUP(B49,'Base stats'!B:B,'Base stats'!E:E),Groups!A:A,Groups!BC:BC)=1,
MAX(MROUND(_xlfn.XLOOKUP(B49,'Base stats'!B:B,'Base stats'!BR:BR) * _xlfn.XLOOKUP(B49,'Base stats'!B:B,'Base stats'!BN:BN)^0.9 / 21 *_xlfn.XLOOKUP(B49,'Base stats'!B:B,'Base stats'!BU:BU),0.1),0.05),
MAX(MROUND(((MIN(10,_xlfn.XLOOKUP(B49,'Base stats'!B:B,'Base stats'!W:W)))^0.4*_xlfn.XLOOKUP(B49,'Base stats'!B:B,'Base stats'!BF:BF)^0.73)^0.6 *_xlfn.XLOOKUP(B49,'Base stats'!B:B,'Base stats'!BU:BU),0.1),0.05)
))</f>
        <v>18.5</v>
      </c>
      <c r="L49" s="11">
        <f>IF(K49="No","No",
MAX(0.01,MROUND(_xlfn.XLOOKUP(B49,'Base stats'!B:B,'Base stats'!BF:BF) * 0.01 *2, 0.01))
)</f>
        <v>4.42</v>
      </c>
      <c r="M49" s="5">
        <f>IF(K49="No","No",IF(_xlfn.XLOOKUP(_xlfn.XLOOKUP(B49,'Base stats'!B:B,'Base stats'!E:E),Groups!A:A,Groups!BC:BC)=1,"No",
MAX(0.01,MROUND(_xlfn.XLOOKUP(B49,'Base stats'!B:B,'Base stats'!BR:BR)/10000,0.01))
))</f>
        <v>0.28000000000000003</v>
      </c>
      <c r="N49" s="4">
        <f>IF(K49="No","No",
MROUND(
  _xlfn.XLOOKUP(B49,'Base stats'!B:B,'Base stats'!AZ:AZ)^0.25
  / (_xlfn.XLOOKUP(B49,'Base stats'!B:B,'Base stats'!BJ:BJ)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stats'!BT:BT),
0.05))</f>
        <v>2.9000000000000004</v>
      </c>
      <c r="O49" s="3" t="str">
        <f>IF(Animals!AC49="No","No",
MAX(MROUND((MIN(10,_xlfn.XLOOKUP(B49,'Base stats'!B:B,'Base stats'!V:V)*IF(_xlfn.XLOOKUP(_xlfn.XLOOKUP(B49,'Base stats'!B:B,'Base stats'!E:E),Groups!A:A,Groups!O:O)=0,1,0.33))^0.4*_xlfn.XLOOKUP(B49,'Base stats'!B:B,'Base stats'!BG:BG)^0.73)^0.6 *_xlfn.XLOOKUP(B49,'Base stats'!B:B,'Base stats'!BU:BU),0.1),0.05)
)</f>
        <v>No</v>
      </c>
      <c r="P49" s="11" t="str">
        <f>IF(O49="No","No",
MAX(0.01,MROUND(_xlfn.XLOOKUP(B49,'Base stats'!B:B,'Base stats'!BG:BG) * 0.01 * 2, 0.01))
)</f>
        <v>No</v>
      </c>
      <c r="Q49" s="5" t="str">
        <f>IF(O49="No","No",
MAX(0.01,MROUND(_xlfn.XLOOKUP(B49,'Base stats'!B:B,'Base stats'!BS:BS)/10000,0.01))
)</f>
        <v>No</v>
      </c>
      <c r="R49" s="4" t="str">
        <f>IF(O49="No","No",
MROUND(_xlfn.XLOOKUP(B49,'Base stats'!B:B,'Base stats'!AY:AY)^0.25
/((_xlfn.XLOOKUP(B49,'Base stats'!B:B,'Base stats'!BK:BK))*10)*_xlfn.XLOOKUP(_xlfn.XLOOKUP(B49,'Base stats'!B:B,'Base stats'!E:E),Groups!A:A,Groups!Z:Z)*150 + 0.5 + _xlfn.XLOOKUP(B49,'Base stats'!B:B,'Base stats'!BT:BT),
0.05))</f>
        <v>No</v>
      </c>
      <c r="S49" s="3" t="str">
        <f>IF(Animals!AH49="No","No",
IF(_xlfn.XLOOKUP(B49,'Base stats'!B:B,'Base stats'!U:U)="No",
MAX(MROUND(_xlfn.XLOOKUP(B49,'Base stats'!B:B,'Base stats'!BQ:BQ) * _xlfn.XLOOKUP(B49,'Base stats'!B:B,'Base stats'!BM:BM)^0.9 / 21 * _xlfn.XLOOKUP(B49,'Base stats'!B:B,'Base stats'!BU:BU),0.1),0.05),
MAX(MROUND(((MIN(12,_xlfn.XLOOKUP(B49,'Base stats'!B:B,'Base stats'!U:U)))^0.4*_xlfn.XLOOKUP(B49,'Base stats'!B:B,'Base stats'!BE:BE)^0.73)^0.6 * _xlfn.XLOOKUP(B49,'Base stats'!B:B,'Base stats'!BU:BU),0.1),0.05)
))</f>
        <v>No</v>
      </c>
      <c r="T49" s="11" t="str">
        <f>IF(S49="No","No",
MAX(0.01,MROUND(_xlfn.XLOOKUP(B49,'Base stats'!B:B,'Base stats'!BE:BE) * 0.01 * 2, 0.01))
)</f>
        <v>No</v>
      </c>
      <c r="U49" s="5" t="str">
        <f>IF(S49="No","No",IF(_xlfn.XLOOKUP(B49,'Base stats'!B:B,'Base stats'!U:U)="No","No",
MAX(0.01,MROUND(_xlfn.XLOOKUP(B49,'Base stats'!B:B,'Base stats'!BQ:BQ)/10000,0.01))
))</f>
        <v>No</v>
      </c>
      <c r="V49" s="4" t="str">
        <f>IF(S49="No","No",
MROUND(_xlfn.XLOOKUP(B49,'Base stats'!B:B,'Base stats'!BC:BC)^0.25
/((_xlfn.XLOOKUP(B49,'Base stats'!B:B,'Base stats'!BL:BL))*10)*_xlfn.XLOOKUP(_xlfn.XLOOKUP(B49,'Base stats'!B:B,'Base stats'!E:E),Groups!A:A,Groups!AE:AE)*150 + 0.5 + _xlfn.XLOOKUP(B49,'Base stats'!B:B,'Base stats'!BT:BT),
0.05))</f>
        <v>No</v>
      </c>
      <c r="W49" s="8">
        <f>MROUND(_xlfn.XLOOKUP(_xlfn.XLOOKUP(B49,'Base stats'!B:B,'Base stats'!E:E),Groups!A:A,Groups!BF:BF)*_xlfn.XLOOKUP(B49,'Base stats'!B:B,'Base stats'!C:C)^-0.165,0.01)</f>
        <v>0.23</v>
      </c>
      <c r="X49" s="1">
        <f>MROUND(_xlfn.XLOOKUP(_xlfn.XLOOKUP(B49,'Base stats'!B:B,'Base stats'!E:E),Groups!A:A,Groups!BG:BG)*_xlfn.XLOOKUP(B49,'Base stats'!B:B,'Base stats'!C:C)^0.165,0.01)</f>
        <v>0</v>
      </c>
      <c r="Y49" s="8">
        <f>MROUND(_xlfn.XLOOKUP(_xlfn.XLOOKUP(B49,'Base stats'!B:B,'Base stats'!E:E),Groups!A:A,Groups!BH:BH)*_xlfn.XLOOKUP(B49,'Base stats'!B:B,'Base stats'!C:C)^0.165,0.01)</f>
        <v>0</v>
      </c>
      <c r="Z49" s="18">
        <f>_xlfn.XLOOKUP(B49,'Base stats'!B:B,'Base stats'!AN:AN)*_xlfn.XLOOKUP(_xlfn.XLOOKUP(B49,'Base stats'!B:B,'Base stats'!E:E),Groups!A:A,Groups!H:H)/1000</f>
        <v>4.9232290143971499E-2</v>
      </c>
      <c r="AA49" s="18">
        <f>(1/2)*(_xlfn.XLOOKUP(_xlfn.XLOOKUP(B49,'Base stats'!B:B,'Base stats'!E:E),Groups!A:A,Groups!H:H)*_xlfn.XLOOKUP(_xlfn.XLOOKUP(B49,'Base stats'!B:B,'Base stats'!E:E),Groups!A:A,Groups!I:I))*_xlfn.XLOOKUP(B49,'Base stats'!B:B,'Base stats'!AN:AN)*0.01</f>
        <v>0.2707775957918433</v>
      </c>
      <c r="AB49" s="18">
        <f>250*(Animals!AN49+Animals!AO49)</f>
        <v>650</v>
      </c>
      <c r="AC49" s="18" t="str">
        <f>_xlfn.XLOOKUP(_xlfn.XLOOKUP(B49,'Base stats'!B:B,'Base stats'!E:E),Groups!A:A,Groups!BI:BI)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stats'!BP:BP) * (_xlfn.XLOOKUP(B50,'Base stats'!B:B,'Base stats'!AL:AL)*5%)^0.9 / 21,0.1),0.05)</f>
        <v>3.6</v>
      </c>
      <c r="E50" s="11">
        <f>MAX(0.01,MROUND(_xlfn.XLOOKUP(B50,'Base stats'!B:B,'Base stats'!BD:BD) * 0.01 * 2, 0.01))</f>
        <v>3.04</v>
      </c>
      <c r="F50" s="7">
        <f>MROUND(_xlfn.XLOOKUP(B50,'Base stats'!B:B,'Base stats'!BA:BA)^0.25 / (_xlfn.XLOOKUP(B50,'Base stats'!B:B,'Base stats'!BH:BH) * 10) * 150 + 0.5 + _xlfn.XLOOKUP(B50,'Base stats'!B:B,'Base stats'!BT:BT), 0.05)</f>
        <v>1.4500000000000002</v>
      </c>
      <c r="G50" s="3">
        <f>IF(Animals!R50="No","No",
IF(_xlfn.XLOOKUP(B50,'Base stats'!B:B,'Base stats'!U:U)="No",
MAX(MROUND(_xlfn.XLOOKUP(B50,'Base stats'!B:B,'Base stats'!BQ:BQ) * _xlfn.XLOOKUP(B50,'Base stats'!B:B,'Base stats'!BM:BM)^0.9 / 21 * _xlfn.XLOOKUP(B50,'Base stats'!B:B,'Base stats'!BU:BU),0.1),0.05),
MAX(MROUND(((MIN(10,_xlfn.XLOOKUP(B50,'Base stats'!B:B,'Base stats'!U:U)))^0.4*_xlfn.XLOOKUP(B50,'Base stats'!B:B,'Base stats'!BE:BE)^0.73)^0.6 * _xlfn.XLOOKUP(B50,'Base stats'!B:B,'Base stats'!BU:BU),0.1),0.05)
))</f>
        <v>4.9000000000000004</v>
      </c>
      <c r="H50" s="11">
        <f>IF(G50="No","No",
MAX(0.01,MROUND(_xlfn.XLOOKUP(B50,'Base stats'!B:B,'Base stats'!BE:BE) * 0.01 * 2, 0.01))
)</f>
        <v>2.7600000000000002</v>
      </c>
      <c r="I50" s="11" t="str">
        <f>IF(G50="No","No",IF(_xlfn.XLOOKUP(B50,'Base stats'!B:B,'Base stats'!U:U)="No","No",
MAX(0.01,MROUND(_xlfn.XLOOKUP(B50,'Base stats'!B:B,'Base stats'!BQ:BQ)/10000,0.01))
))</f>
        <v>No</v>
      </c>
      <c r="J50" s="4">
        <f>IF(G50="No","No",
MROUND(_xlfn.XLOOKUP(B50,'Base stats'!B:B,'Base stats'!BB:BB)^0.25
/((_xlfn.XLOOKUP(B50,'Base stats'!B:B,'Base stats'!BI:BI))*10)*_xlfn.XLOOKUP(_xlfn.XLOOKUP(B50,'Base stats'!B:B,'Base stats'!E:E),Groups!A:A,Groups!Q:Q)*150 + 0.5 + _xlfn.XLOOKUP(B50,'Base stats'!B:B,'Base stats'!BT:BT),
0.05))</f>
        <v>2.15</v>
      </c>
      <c r="K50" s="3">
        <f>IF(Animals!W50="No","No",
IF(_xlfn.XLOOKUP(_xlfn.XLOOKUP(B50,'Base stats'!B:B,'Base stats'!E:E),Groups!A:A,Groups!BC:BC)=1,
MAX(MROUND(_xlfn.XLOOKUP(B50,'Base stats'!B:B,'Base stats'!BR:BR) * _xlfn.XLOOKUP(B50,'Base stats'!B:B,'Base stats'!BN:BN)^0.9 / 21 *_xlfn.XLOOKUP(B50,'Base stats'!B:B,'Base stats'!BU:BU),0.1),0.05),
MAX(MROUND(((MIN(10,_xlfn.XLOOKUP(B50,'Base stats'!B:B,'Base stats'!W:W)))^0.4*_xlfn.XLOOKUP(B50,'Base stats'!B:B,'Base stats'!BF:BF)^0.73)^0.6 *_xlfn.XLOOKUP(B50,'Base stats'!B:B,'Base stats'!BU:BU),0.1),0.05)
))</f>
        <v>4.4000000000000004</v>
      </c>
      <c r="L50" s="11">
        <f>IF(K50="No","No",
MAX(0.01,MROUND(_xlfn.XLOOKUP(B50,'Base stats'!B:B,'Base stats'!BF:BF) * 0.01 *2, 0.01))
)</f>
        <v>3.65</v>
      </c>
      <c r="M50" s="5" t="str">
        <f>IF(K50="No","No",IF(_xlfn.XLOOKUP(_xlfn.XLOOKUP(B50,'Base stats'!B:B,'Base stats'!E:E),Groups!A:A,Groups!BC:BC)=1,"No",
MAX(0.01,MROUND(_xlfn.XLOOKUP(B50,'Base stats'!B:B,'Base stats'!BR:BR)/10000,0.01))
))</f>
        <v>No</v>
      </c>
      <c r="N50" s="4">
        <f>IF(K50="No","No",
MROUND(
  _xlfn.XLOOKUP(B50,'Base stats'!B:B,'Base stats'!AZ:AZ)^0.25
  / (_xlfn.XLOOKUP(B50,'Base stats'!B:B,'Base stats'!BJ:BJ)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stats'!BT:BT),
0.05))</f>
        <v>2.5</v>
      </c>
      <c r="O50" s="3" t="str">
        <f>IF(Animals!AC50="No","No",
MAX(MROUND((MIN(10,_xlfn.XLOOKUP(B50,'Base stats'!B:B,'Base stats'!V:V)*IF(_xlfn.XLOOKUP(_xlfn.XLOOKUP(B50,'Base stats'!B:B,'Base stats'!E:E),Groups!A:A,Groups!O:O)=0,1,0.33))^0.4*_xlfn.XLOOKUP(B50,'Base stats'!B:B,'Base stats'!BG:BG)^0.73)^0.6 *_xlfn.XLOOKUP(B50,'Base stats'!B:B,'Base stats'!BU:BU),0.1),0.05)
)</f>
        <v>No</v>
      </c>
      <c r="P50" s="11" t="str">
        <f>IF(O50="No","No",
MAX(0.01,MROUND(_xlfn.XLOOKUP(B50,'Base stats'!B:B,'Base stats'!BG:BG) * 0.01 * 2, 0.01))
)</f>
        <v>No</v>
      </c>
      <c r="Q50" s="5" t="str">
        <f>IF(O50="No","No",
MAX(0.01,MROUND(_xlfn.XLOOKUP(B50,'Base stats'!B:B,'Base stats'!BS:BS)/10000,0.01))
)</f>
        <v>No</v>
      </c>
      <c r="R50" s="4" t="str">
        <f>IF(O50="No","No",
MROUND(_xlfn.XLOOKUP(B50,'Base stats'!B:B,'Base stats'!AY:AY)^0.25
/((_xlfn.XLOOKUP(B50,'Base stats'!B:B,'Base stats'!BK:BK))*10)*_xlfn.XLOOKUP(_xlfn.XLOOKUP(B50,'Base stats'!B:B,'Base stats'!E:E),Groups!A:A,Groups!Z:Z)*150 + 0.5 + _xlfn.XLOOKUP(B50,'Base stats'!B:B,'Base stats'!BT:BT),
0.05))</f>
        <v>No</v>
      </c>
      <c r="S50" s="3" t="str">
        <f>IF(Animals!AH50="No","No",
IF(_xlfn.XLOOKUP(B50,'Base stats'!B:B,'Base stats'!U:U)="No",
MAX(MROUND(_xlfn.XLOOKUP(B50,'Base stats'!B:B,'Base stats'!BQ:BQ) * _xlfn.XLOOKUP(B50,'Base stats'!B:B,'Base stats'!BM:BM)^0.9 / 21 * _xlfn.XLOOKUP(B50,'Base stats'!B:B,'Base stats'!BU:BU),0.1),0.05),
MAX(MROUND(((MIN(12,_xlfn.XLOOKUP(B50,'Base stats'!B:B,'Base stats'!U:U)))^0.4*_xlfn.XLOOKUP(B50,'Base stats'!B:B,'Base stats'!BE:BE)^0.73)^0.6 * _xlfn.XLOOKUP(B50,'Base stats'!B:B,'Base stats'!BU:BU),0.1),0.05)
))</f>
        <v>No</v>
      </c>
      <c r="T50" s="11" t="str">
        <f>IF(S50="No","No",
MAX(0.01,MROUND(_xlfn.XLOOKUP(B50,'Base stats'!B:B,'Base stats'!BE:BE) * 0.01 * 2, 0.01))
)</f>
        <v>No</v>
      </c>
      <c r="U50" s="5" t="str">
        <f>IF(S50="No","No",IF(_xlfn.XLOOKUP(B50,'Base stats'!B:B,'Base stats'!U:U)="No","No",
MAX(0.01,MROUND(_xlfn.XLOOKUP(B50,'Base stats'!B:B,'Base stats'!BQ:BQ)/10000,0.01))
))</f>
        <v>No</v>
      </c>
      <c r="V50" s="4" t="str">
        <f>IF(S50="No","No",
MROUND(_xlfn.XLOOKUP(B50,'Base stats'!B:B,'Base stats'!BC:BC)^0.25
/((_xlfn.XLOOKUP(B50,'Base stats'!B:B,'Base stats'!BL:BL))*10)*_xlfn.XLOOKUP(_xlfn.XLOOKUP(B50,'Base stats'!B:B,'Base stats'!E:E),Groups!A:A,Groups!AE:AE)*150 + 0.5 + _xlfn.XLOOKUP(B50,'Base stats'!B:B,'Base stats'!BT:BT),
0.05))</f>
        <v>No</v>
      </c>
      <c r="W50" s="8">
        <f>MROUND(_xlfn.XLOOKUP(_xlfn.XLOOKUP(B50,'Base stats'!B:B,'Base stats'!E:E),Groups!A:A,Groups!BF:BF)*_xlfn.XLOOKUP(B50,'Base stats'!B:B,'Base stats'!C:C)^-0.165,0.01)</f>
        <v>0.24</v>
      </c>
      <c r="X50" s="1">
        <f>MROUND(_xlfn.XLOOKUP(_xlfn.XLOOKUP(B50,'Base stats'!B:B,'Base stats'!E:E),Groups!A:A,Groups!BG:BG)*_xlfn.XLOOKUP(B50,'Base stats'!B:B,'Base stats'!C:C)^0.165,0.01)</f>
        <v>0</v>
      </c>
      <c r="Y50" s="8">
        <f>MROUND(_xlfn.XLOOKUP(_xlfn.XLOOKUP(B50,'Base stats'!B:B,'Base stats'!E:E),Groups!A:A,Groups!BH:BH)*_xlfn.XLOOKUP(B50,'Base stats'!B:B,'Base stats'!C:C)^0.165,0.01)</f>
        <v>0</v>
      </c>
      <c r="Z50" s="18">
        <f>_xlfn.XLOOKUP(B50,'Base stats'!B:B,'Base stats'!AN:AN)*_xlfn.XLOOKUP(_xlfn.XLOOKUP(B50,'Base stats'!B:B,'Base stats'!E:E),Groups!A:A,Groups!H:H)/1000</f>
        <v>4.4653047194948239E-2</v>
      </c>
      <c r="AA50" s="18">
        <f>(1/2)*(_xlfn.XLOOKUP(_xlfn.XLOOKUP(B50,'Base stats'!B:B,'Base stats'!E:E),Groups!A:A,Groups!H:H)*_xlfn.XLOOKUP(_xlfn.XLOOKUP(B50,'Base stats'!B:B,'Base stats'!E:E),Groups!A:A,Groups!I:I))*_xlfn.XLOOKUP(B50,'Base stats'!B:B,'Base stats'!AN:AN)*0.01</f>
        <v>0.24559175957221535</v>
      </c>
      <c r="AB50" s="18">
        <f>250*(Animals!AN50+Animals!AO50)</f>
        <v>550</v>
      </c>
      <c r="AC50" s="18" t="str">
        <f>_xlfn.XLOOKUP(_xlfn.XLOOKUP(B50,'Base stats'!B:B,'Base stats'!E:E),Groups!A:A,Groups!BI:BI)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stats'!BP:BP) * (_xlfn.XLOOKUP(B51,'Base stats'!B:B,'Base stats'!AL:AL)*5%)^0.9 / 21,0.1),0.05)</f>
        <v>2.1</v>
      </c>
      <c r="E51" s="11">
        <f>MAX(0.01,MROUND(_xlfn.XLOOKUP(B51,'Base stats'!B:B,'Base stats'!BD:BD) * 0.01 * 2, 0.01))</f>
        <v>1.74</v>
      </c>
      <c r="F51" s="7">
        <f>MROUND(_xlfn.XLOOKUP(B51,'Base stats'!B:B,'Base stats'!BA:BA)^0.25 / (_xlfn.XLOOKUP(B51,'Base stats'!B:B,'Base stats'!BH:BH) * 10) * 150 + 0.5 + _xlfn.XLOOKUP(B51,'Base stats'!B:B,'Base stats'!BT:BT), 0.05)</f>
        <v>1.6500000000000001</v>
      </c>
      <c r="G51" s="3">
        <f>IF(Animals!R51="No","No",
IF(_xlfn.XLOOKUP(B51,'Base stats'!B:B,'Base stats'!U:U)="No",
MAX(MROUND(_xlfn.XLOOKUP(B51,'Base stats'!B:B,'Base stats'!BQ:BQ) * _xlfn.XLOOKUP(B51,'Base stats'!B:B,'Base stats'!BM:BM)^0.9 / 21 * _xlfn.XLOOKUP(B51,'Base stats'!B:B,'Base stats'!BU:BU),0.1),0.05),
MAX(MROUND(((MIN(10,_xlfn.XLOOKUP(B51,'Base stats'!B:B,'Base stats'!U:U)))^0.4*_xlfn.XLOOKUP(B51,'Base stats'!B:B,'Base stats'!BE:BE)^0.73)^0.6 * _xlfn.XLOOKUP(B51,'Base stats'!B:B,'Base stats'!BU:BU),0.1),0.05)
))</f>
        <v>4.1000000000000005</v>
      </c>
      <c r="H51" s="11">
        <f>IF(G51="No","No",
MAX(0.01,MROUND(_xlfn.XLOOKUP(B51,'Base stats'!B:B,'Base stats'!BE:BE) * 0.01 * 2, 0.01))
)</f>
        <v>2.2400000000000002</v>
      </c>
      <c r="I51" s="11" t="str">
        <f>IF(G51="No","No",IF(_xlfn.XLOOKUP(B51,'Base stats'!B:B,'Base stats'!U:U)="No","No",
MAX(0.01,MROUND(_xlfn.XLOOKUP(B51,'Base stats'!B:B,'Base stats'!BQ:BQ)/10000,0.01))
))</f>
        <v>No</v>
      </c>
      <c r="J51" s="4">
        <f>IF(G51="No","No",
MROUND(_xlfn.XLOOKUP(B51,'Base stats'!B:B,'Base stats'!BB:BB)^0.25
/((_xlfn.XLOOKUP(B51,'Base stats'!B:B,'Base stats'!BI:BI))*10)*_xlfn.XLOOKUP(_xlfn.XLOOKUP(B51,'Base stats'!B:B,'Base stats'!E:E),Groups!A:A,Groups!Q:Q)*150 + 0.5 + _xlfn.XLOOKUP(B51,'Base stats'!B:B,'Base stats'!BT:BT),
0.05))</f>
        <v>2.1</v>
      </c>
      <c r="K51" s="3">
        <f>IF(Animals!W51="No","No",
IF(_xlfn.XLOOKUP(_xlfn.XLOOKUP(B51,'Base stats'!B:B,'Base stats'!E:E),Groups!A:A,Groups!BC:BC)=1,
MAX(MROUND(_xlfn.XLOOKUP(B51,'Base stats'!B:B,'Base stats'!BR:BR) * _xlfn.XLOOKUP(B51,'Base stats'!B:B,'Base stats'!BN:BN)^0.9 / 21 *_xlfn.XLOOKUP(B51,'Base stats'!B:B,'Base stats'!BU:BU),0.1),0.05),
MAX(MROUND(((MIN(10,_xlfn.XLOOKUP(B51,'Base stats'!B:B,'Base stats'!W:W)))^0.4*_xlfn.XLOOKUP(B51,'Base stats'!B:B,'Base stats'!BF:BF)^0.73)^0.6 *_xlfn.XLOOKUP(B51,'Base stats'!B:B,'Base stats'!BU:BU),0.1),0.05)
))</f>
        <v>14.9</v>
      </c>
      <c r="L51" s="11">
        <f>IF(K51="No","No",
MAX(0.01,MROUND(_xlfn.XLOOKUP(B51,'Base stats'!B:B,'Base stats'!BF:BF) * 0.01 *2, 0.01))
)</f>
        <v>2.69</v>
      </c>
      <c r="M51" s="5">
        <f>IF(K51="No","No",IF(_xlfn.XLOOKUP(_xlfn.XLOOKUP(B51,'Base stats'!B:B,'Base stats'!E:E),Groups!A:A,Groups!BC:BC)=1,"No",
MAX(0.01,MROUND(_xlfn.XLOOKUP(B51,'Base stats'!B:B,'Base stats'!BR:BR)/10000,0.01))
))</f>
        <v>0.18</v>
      </c>
      <c r="N51" s="4">
        <f>IF(K51="No","No",
MROUND(
  _xlfn.XLOOKUP(B51,'Base stats'!B:B,'Base stats'!AZ:AZ)^0.25
  / (_xlfn.XLOOKUP(B51,'Base stats'!B:B,'Base stats'!BJ:BJ)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stats'!BT:BT),
0.05))</f>
        <v>2.85</v>
      </c>
      <c r="O51" s="3" t="str">
        <f>IF(Animals!AC51="No","No",
MAX(MROUND((MIN(10,_xlfn.XLOOKUP(B51,'Base stats'!B:B,'Base stats'!V:V)*IF(_xlfn.XLOOKUP(_xlfn.XLOOKUP(B51,'Base stats'!B:B,'Base stats'!E:E),Groups!A:A,Groups!O:O)=0,1,0.33))^0.4*_xlfn.XLOOKUP(B51,'Base stats'!B:B,'Base stats'!BG:BG)^0.73)^0.6 *_xlfn.XLOOKUP(B51,'Base stats'!B:B,'Base stats'!BU:BU),0.1),0.05)
)</f>
        <v>No</v>
      </c>
      <c r="P51" s="11" t="str">
        <f>IF(O51="No","No",
MAX(0.01,MROUND(_xlfn.XLOOKUP(B51,'Base stats'!B:B,'Base stats'!BG:BG) * 0.01 * 2, 0.01))
)</f>
        <v>No</v>
      </c>
      <c r="Q51" s="5" t="str">
        <f>IF(O51="No","No",
MAX(0.01,MROUND(_xlfn.XLOOKUP(B51,'Base stats'!B:B,'Base stats'!BS:BS)/10000,0.01))
)</f>
        <v>No</v>
      </c>
      <c r="R51" s="4" t="str">
        <f>IF(O51="No","No",
MROUND(_xlfn.XLOOKUP(B51,'Base stats'!B:B,'Base stats'!AY:AY)^0.25
/((_xlfn.XLOOKUP(B51,'Base stats'!B:B,'Base stats'!BK:BK))*10)*_xlfn.XLOOKUP(_xlfn.XLOOKUP(B51,'Base stats'!B:B,'Base stats'!E:E),Groups!A:A,Groups!Z:Z)*150 + 0.5 + _xlfn.XLOOKUP(B51,'Base stats'!B:B,'Base stats'!BT:BT),
0.05))</f>
        <v>No</v>
      </c>
      <c r="S51" s="3" t="str">
        <f>IF(Animals!AH51="No","No",
IF(_xlfn.XLOOKUP(B51,'Base stats'!B:B,'Base stats'!U:U)="No",
MAX(MROUND(_xlfn.XLOOKUP(B51,'Base stats'!B:B,'Base stats'!BQ:BQ) * _xlfn.XLOOKUP(B51,'Base stats'!B:B,'Base stats'!BM:BM)^0.9 / 21 * _xlfn.XLOOKUP(B51,'Base stats'!B:B,'Base stats'!BU:BU),0.1),0.05),
MAX(MROUND(((MIN(12,_xlfn.XLOOKUP(B51,'Base stats'!B:B,'Base stats'!U:U)))^0.4*_xlfn.XLOOKUP(B51,'Base stats'!B:B,'Base stats'!BE:BE)^0.73)^0.6 * _xlfn.XLOOKUP(B51,'Base stats'!B:B,'Base stats'!BU:BU),0.1),0.05)
))</f>
        <v>No</v>
      </c>
      <c r="T51" s="11" t="str">
        <f>IF(S51="No","No",
MAX(0.01,MROUND(_xlfn.XLOOKUP(B51,'Base stats'!B:B,'Base stats'!BE:BE) * 0.01 * 2, 0.01))
)</f>
        <v>No</v>
      </c>
      <c r="U51" s="5" t="str">
        <f>IF(S51="No","No",IF(_xlfn.XLOOKUP(B51,'Base stats'!B:B,'Base stats'!U:U)="No","No",
MAX(0.01,MROUND(_xlfn.XLOOKUP(B51,'Base stats'!B:B,'Base stats'!BQ:BQ)/10000,0.01))
))</f>
        <v>No</v>
      </c>
      <c r="V51" s="4" t="str">
        <f>IF(S51="No","No",
MROUND(_xlfn.XLOOKUP(B51,'Base stats'!B:B,'Base stats'!BC:BC)^0.25
/((_xlfn.XLOOKUP(B51,'Base stats'!B:B,'Base stats'!BL:BL))*10)*_xlfn.XLOOKUP(_xlfn.XLOOKUP(B51,'Base stats'!B:B,'Base stats'!E:E),Groups!A:A,Groups!AE:AE)*150 + 0.5 + _xlfn.XLOOKUP(B51,'Base stats'!B:B,'Base stats'!BT:BT),
0.05))</f>
        <v>No</v>
      </c>
      <c r="W51" s="8">
        <f>MROUND(_xlfn.XLOOKUP(_xlfn.XLOOKUP(B51,'Base stats'!B:B,'Base stats'!E:E),Groups!A:A,Groups!BF:BF)*_xlfn.XLOOKUP(B51,'Base stats'!B:B,'Base stats'!C:C)^-0.165,0.01)</f>
        <v>0.25</v>
      </c>
      <c r="X51" s="1">
        <f>MROUND(_xlfn.XLOOKUP(_xlfn.XLOOKUP(B51,'Base stats'!B:B,'Base stats'!E:E),Groups!A:A,Groups!BG:BG)*_xlfn.XLOOKUP(B51,'Base stats'!B:B,'Base stats'!C:C)^0.165,0.01)</f>
        <v>0</v>
      </c>
      <c r="Y51" s="8">
        <f>MROUND(_xlfn.XLOOKUP(_xlfn.XLOOKUP(B51,'Base stats'!B:B,'Base stats'!E:E),Groups!A:A,Groups!BH:BH)*_xlfn.XLOOKUP(B51,'Base stats'!B:B,'Base stats'!C:C)^0.165,0.01)</f>
        <v>0</v>
      </c>
      <c r="Z51" s="18">
        <f>_xlfn.XLOOKUP(B51,'Base stats'!B:B,'Base stats'!AN:AN)*_xlfn.XLOOKUP(_xlfn.XLOOKUP(B51,'Base stats'!B:B,'Base stats'!E:E),Groups!A:A,Groups!H:H)/1000</f>
        <v>4.1576868256009578E-2</v>
      </c>
      <c r="AA51" s="18">
        <f>(1/2)*(_xlfn.XLOOKUP(_xlfn.XLOOKUP(B51,'Base stats'!B:B,'Base stats'!E:E),Groups!A:A,Groups!H:H)*_xlfn.XLOOKUP(_xlfn.XLOOKUP(B51,'Base stats'!B:B,'Base stats'!E:E),Groups!A:A,Groups!I:I))*_xlfn.XLOOKUP(B51,'Base stats'!B:B,'Base stats'!AN:AN)*0.01</f>
        <v>0.22867277540805273</v>
      </c>
      <c r="AB51" s="18">
        <f>250*(Animals!AN51+Animals!AO51)</f>
        <v>475.00000000000006</v>
      </c>
      <c r="AC51" s="18" t="str">
        <f>_xlfn.XLOOKUP(_xlfn.XLOOKUP(B51,'Base stats'!B:B,'Base stats'!E:E),Groups!A:A,Groups!BI:BI)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stats'!BP:BP) * (_xlfn.XLOOKUP(B52,'Base stats'!B:B,'Base stats'!AL:AL)*5%)^0.9 / 21,0.1),0.05)</f>
        <v>3</v>
      </c>
      <c r="E52" s="11">
        <f>MAX(0.01,MROUND(_xlfn.XLOOKUP(B52,'Base stats'!B:B,'Base stats'!BD:BD) * 0.01 * 2, 0.01))</f>
        <v>2.4500000000000002</v>
      </c>
      <c r="F52" s="7">
        <f>MROUND(_xlfn.XLOOKUP(B52,'Base stats'!B:B,'Base stats'!BA:BA)^0.25 / (_xlfn.XLOOKUP(B52,'Base stats'!B:B,'Base stats'!BH:BH) * 10) * 150 + 0.5 + _xlfn.XLOOKUP(B52,'Base stats'!B:B,'Base stats'!BT:BT), 0.05)</f>
        <v>1.4000000000000001</v>
      </c>
      <c r="G52" s="3">
        <f>IF(Animals!R52="No","No",
IF(_xlfn.XLOOKUP(B52,'Base stats'!B:B,'Base stats'!U:U)="No",
MAX(MROUND(_xlfn.XLOOKUP(B52,'Base stats'!B:B,'Base stats'!BQ:BQ) * _xlfn.XLOOKUP(B52,'Base stats'!B:B,'Base stats'!BM:BM)^0.9 / 21 * _xlfn.XLOOKUP(B52,'Base stats'!B:B,'Base stats'!BU:BU),0.1),0.05),
MAX(MROUND(((MIN(10,_xlfn.XLOOKUP(B52,'Base stats'!B:B,'Base stats'!U:U)))^0.4*_xlfn.XLOOKUP(B52,'Base stats'!B:B,'Base stats'!BE:BE)^0.73)^0.6 * _xlfn.XLOOKUP(B52,'Base stats'!B:B,'Base stats'!BU:BU),0.1),0.05)
))</f>
        <v>4.1000000000000005</v>
      </c>
      <c r="H52" s="11">
        <f>IF(G52="No","No",
MAX(0.01,MROUND(_xlfn.XLOOKUP(B52,'Base stats'!B:B,'Base stats'!BE:BE) * 0.01 * 2, 0.01))
)</f>
        <v>2.25</v>
      </c>
      <c r="I52" s="11" t="str">
        <f>IF(G52="No","No",IF(_xlfn.XLOOKUP(B52,'Base stats'!B:B,'Base stats'!U:U)="No","No",
MAX(0.01,MROUND(_xlfn.XLOOKUP(B52,'Base stats'!B:B,'Base stats'!BQ:BQ)/10000,0.01))
))</f>
        <v>No</v>
      </c>
      <c r="J52" s="4">
        <f>IF(G52="No","No",
MROUND(_xlfn.XLOOKUP(B52,'Base stats'!B:B,'Base stats'!BB:BB)^0.25
/((_xlfn.XLOOKUP(B52,'Base stats'!B:B,'Base stats'!BI:BI))*10)*_xlfn.XLOOKUP(_xlfn.XLOOKUP(B52,'Base stats'!B:B,'Base stats'!E:E),Groups!A:A,Groups!Q:Q)*150 + 0.5 + _xlfn.XLOOKUP(B52,'Base stats'!B:B,'Base stats'!BT:BT),
0.05))</f>
        <v>2.1</v>
      </c>
      <c r="K52" s="3">
        <f>IF(Animals!W52="No","No",
IF(_xlfn.XLOOKUP(_xlfn.XLOOKUP(B52,'Base stats'!B:B,'Base stats'!E:E),Groups!A:A,Groups!BC:BC)=1,
MAX(MROUND(_xlfn.XLOOKUP(B52,'Base stats'!B:B,'Base stats'!BR:BR) * _xlfn.XLOOKUP(B52,'Base stats'!B:B,'Base stats'!BN:BN)^0.9 / 21 *_xlfn.XLOOKUP(B52,'Base stats'!B:B,'Base stats'!BU:BU),0.1),0.05),
MAX(MROUND(((MIN(10,_xlfn.XLOOKUP(B52,'Base stats'!B:B,'Base stats'!W:W)))^0.4*_xlfn.XLOOKUP(B52,'Base stats'!B:B,'Base stats'!BF:BF)^0.73)^0.6 *_xlfn.XLOOKUP(B52,'Base stats'!B:B,'Base stats'!BU:BU),0.1),0.05)
))</f>
        <v>3.6</v>
      </c>
      <c r="L52" s="11">
        <f>IF(K52="No","No",
MAX(0.01,MROUND(_xlfn.XLOOKUP(B52,'Base stats'!B:B,'Base stats'!BF:BF) * 0.01 *2, 0.01))
)</f>
        <v>2.94</v>
      </c>
      <c r="M52" s="5" t="str">
        <f>IF(K52="No","No",IF(_xlfn.XLOOKUP(_xlfn.XLOOKUP(B52,'Base stats'!B:B,'Base stats'!E:E),Groups!A:A,Groups!BC:BC)=1,"No",
MAX(0.01,MROUND(_xlfn.XLOOKUP(B52,'Base stats'!B:B,'Base stats'!BR:BR)/10000,0.01))
))</f>
        <v>No</v>
      </c>
      <c r="N52" s="4">
        <f>IF(K52="No","No",
MROUND(
  _xlfn.XLOOKUP(B52,'Base stats'!B:B,'Base stats'!AZ:AZ)^0.25
  / (_xlfn.XLOOKUP(B52,'Base stats'!B:B,'Base stats'!BJ:BJ)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stats'!BT:BT),
0.05))</f>
        <v>2.5</v>
      </c>
      <c r="O52" s="3" t="str">
        <f>IF(Animals!AC52="No","No",
MAX(MROUND((MIN(10,_xlfn.XLOOKUP(B52,'Base stats'!B:B,'Base stats'!V:V)*IF(_xlfn.XLOOKUP(_xlfn.XLOOKUP(B52,'Base stats'!B:B,'Base stats'!E:E),Groups!A:A,Groups!O:O)=0,1,0.33))^0.4*_xlfn.XLOOKUP(B52,'Base stats'!B:B,'Base stats'!BG:BG)^0.73)^0.6 *_xlfn.XLOOKUP(B52,'Base stats'!B:B,'Base stats'!BU:BU),0.1),0.05)
)</f>
        <v>No</v>
      </c>
      <c r="P52" s="11" t="str">
        <f>IF(O52="No","No",
MAX(0.01,MROUND(_xlfn.XLOOKUP(B52,'Base stats'!B:B,'Base stats'!BG:BG) * 0.01 * 2, 0.01))
)</f>
        <v>No</v>
      </c>
      <c r="Q52" s="5" t="str">
        <f>IF(O52="No","No",
MAX(0.01,MROUND(_xlfn.XLOOKUP(B52,'Base stats'!B:B,'Base stats'!BS:BS)/10000,0.01))
)</f>
        <v>No</v>
      </c>
      <c r="R52" s="4" t="str">
        <f>IF(O52="No","No",
MROUND(_xlfn.XLOOKUP(B52,'Base stats'!B:B,'Base stats'!AY:AY)^0.25
/((_xlfn.XLOOKUP(B52,'Base stats'!B:B,'Base stats'!BK:BK))*10)*_xlfn.XLOOKUP(_xlfn.XLOOKUP(B52,'Base stats'!B:B,'Base stats'!E:E),Groups!A:A,Groups!Z:Z)*150 + 0.5 + _xlfn.XLOOKUP(B52,'Base stats'!B:B,'Base stats'!BT:BT),
0.05))</f>
        <v>No</v>
      </c>
      <c r="S52" s="3" t="str">
        <f>IF(Animals!AH52="No","No",
IF(_xlfn.XLOOKUP(B52,'Base stats'!B:B,'Base stats'!U:U)="No",
MAX(MROUND(_xlfn.XLOOKUP(B52,'Base stats'!B:B,'Base stats'!BQ:BQ) * _xlfn.XLOOKUP(B52,'Base stats'!B:B,'Base stats'!BM:BM)^0.9 / 21 * _xlfn.XLOOKUP(B52,'Base stats'!B:B,'Base stats'!BU:BU),0.1),0.05),
MAX(MROUND(((MIN(12,_xlfn.XLOOKUP(B52,'Base stats'!B:B,'Base stats'!U:U)))^0.4*_xlfn.XLOOKUP(B52,'Base stats'!B:B,'Base stats'!BE:BE)^0.73)^0.6 * _xlfn.XLOOKUP(B52,'Base stats'!B:B,'Base stats'!BU:BU),0.1),0.05)
))</f>
        <v>No</v>
      </c>
      <c r="T52" s="11" t="str">
        <f>IF(S52="No","No",
MAX(0.01,MROUND(_xlfn.XLOOKUP(B52,'Base stats'!B:B,'Base stats'!BE:BE) * 0.01 * 2, 0.01))
)</f>
        <v>No</v>
      </c>
      <c r="U52" s="5" t="str">
        <f>IF(S52="No","No",IF(_xlfn.XLOOKUP(B52,'Base stats'!B:B,'Base stats'!U:U)="No","No",
MAX(0.01,MROUND(_xlfn.XLOOKUP(B52,'Base stats'!B:B,'Base stats'!BQ:BQ)/10000,0.01))
))</f>
        <v>No</v>
      </c>
      <c r="V52" s="4" t="str">
        <f>IF(S52="No","No",
MROUND(_xlfn.XLOOKUP(B52,'Base stats'!B:B,'Base stats'!BC:BC)^0.25
/((_xlfn.XLOOKUP(B52,'Base stats'!B:B,'Base stats'!BL:BL))*10)*_xlfn.XLOOKUP(_xlfn.XLOOKUP(B52,'Base stats'!B:B,'Base stats'!E:E),Groups!A:A,Groups!AE:AE)*150 + 0.5 + _xlfn.XLOOKUP(B52,'Base stats'!B:B,'Base stats'!BT:BT),
0.05))</f>
        <v>No</v>
      </c>
      <c r="W52" s="8">
        <f>MROUND(_xlfn.XLOOKUP(_xlfn.XLOOKUP(B52,'Base stats'!B:B,'Base stats'!E:E),Groups!A:A,Groups!BF:BF)*_xlfn.XLOOKUP(B52,'Base stats'!B:B,'Base stats'!C:C)^-0.165,0.01)</f>
        <v>0.25</v>
      </c>
      <c r="X52" s="1">
        <f>MROUND(_xlfn.XLOOKUP(_xlfn.XLOOKUP(B52,'Base stats'!B:B,'Base stats'!E:E),Groups!A:A,Groups!BG:BG)*_xlfn.XLOOKUP(B52,'Base stats'!B:B,'Base stats'!C:C)^0.165,0.01)</f>
        <v>0</v>
      </c>
      <c r="Y52" s="8">
        <f>MROUND(_xlfn.XLOOKUP(_xlfn.XLOOKUP(B52,'Base stats'!B:B,'Base stats'!E:E),Groups!A:A,Groups!BH:BH)*_xlfn.XLOOKUP(B52,'Base stats'!B:B,'Base stats'!C:C)^0.165,0.01)</f>
        <v>0</v>
      </c>
      <c r="Z52" s="18">
        <f>_xlfn.XLOOKUP(B52,'Base stats'!B:B,'Base stats'!AN:AN)*_xlfn.XLOOKUP(_xlfn.XLOOKUP(B52,'Base stats'!B:B,'Base stats'!E:E),Groups!A:A,Groups!H:H)/1000</f>
        <v>4.1666360888962896E-2</v>
      </c>
      <c r="AA52" s="18">
        <f>(1/2)*(_xlfn.XLOOKUP(_xlfn.XLOOKUP(B52,'Base stats'!B:B,'Base stats'!E:E),Groups!A:A,Groups!H:H)*_xlfn.XLOOKUP(_xlfn.XLOOKUP(B52,'Base stats'!B:B,'Base stats'!E:E),Groups!A:A,Groups!I:I))*_xlfn.XLOOKUP(B52,'Base stats'!B:B,'Base stats'!AN:AN)*0.01</f>
        <v>0.22916498488929599</v>
      </c>
      <c r="AB52" s="18">
        <f>250*(Animals!AN52+Animals!AO52)</f>
        <v>475.00000000000006</v>
      </c>
      <c r="AC52" s="18" t="str">
        <f>_xlfn.XLOOKUP(_xlfn.XLOOKUP(B52,'Base stats'!B:B,'Base stats'!E:E),Groups!A:A,Groups!BI:BI)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stats'!BP:BP) * (_xlfn.XLOOKUP(B53,'Base stats'!B:B,'Base stats'!AL:AL)*5%)^0.9 / 21,0.1),0.05)</f>
        <v>1.9000000000000001</v>
      </c>
      <c r="E53" s="11">
        <f>MAX(0.01,MROUND(_xlfn.XLOOKUP(B53,'Base stats'!B:B,'Base stats'!BD:BD) * 0.01 * 2, 0.01))</f>
        <v>1.55</v>
      </c>
      <c r="F53" s="7">
        <f>MROUND(_xlfn.XLOOKUP(B53,'Base stats'!B:B,'Base stats'!BA:BA)^0.25 / (_xlfn.XLOOKUP(B53,'Base stats'!B:B,'Base stats'!BH:BH) * 10) * 150 + 0.5 + _xlfn.XLOOKUP(B53,'Base stats'!B:B,'Base stats'!BT:BT), 0.05)</f>
        <v>1.6</v>
      </c>
      <c r="G53" s="3">
        <f>IF(Animals!R53="No","No",
IF(_xlfn.XLOOKUP(B53,'Base stats'!B:B,'Base stats'!U:U)="No",
MAX(MROUND(_xlfn.XLOOKUP(B53,'Base stats'!B:B,'Base stats'!BQ:BQ) * _xlfn.XLOOKUP(B53,'Base stats'!B:B,'Base stats'!BM:BM)^0.9 / 21 * _xlfn.XLOOKUP(B53,'Base stats'!B:B,'Base stats'!BU:BU),0.1),0.05),
MAX(MROUND(((MIN(10,_xlfn.XLOOKUP(B53,'Base stats'!B:B,'Base stats'!U:U)))^0.4*_xlfn.XLOOKUP(B53,'Base stats'!B:B,'Base stats'!BE:BE)^0.73)^0.6 * _xlfn.XLOOKUP(B53,'Base stats'!B:B,'Base stats'!BU:BU),0.1),0.05)
))</f>
        <v>3.7</v>
      </c>
      <c r="H53" s="11">
        <f>IF(G53="No","No",
MAX(0.01,MROUND(_xlfn.XLOOKUP(B53,'Base stats'!B:B,'Base stats'!BE:BE) * 0.01 * 2, 0.01))
)</f>
        <v>2.02</v>
      </c>
      <c r="I53" s="11" t="str">
        <f>IF(G53="No","No",IF(_xlfn.XLOOKUP(B53,'Base stats'!B:B,'Base stats'!U:U)="No","No",
MAX(0.01,MROUND(_xlfn.XLOOKUP(B53,'Base stats'!B:B,'Base stats'!BQ:BQ)/10000,0.01))
))</f>
        <v>No</v>
      </c>
      <c r="J53" s="4">
        <f>IF(G53="No","No",
MROUND(_xlfn.XLOOKUP(B53,'Base stats'!B:B,'Base stats'!BB:BB)^0.25
/((_xlfn.XLOOKUP(B53,'Base stats'!B:B,'Base stats'!BI:BI))*10)*_xlfn.XLOOKUP(_xlfn.XLOOKUP(B53,'Base stats'!B:B,'Base stats'!E:E),Groups!A:A,Groups!Q:Q)*150 + 0.5 + _xlfn.XLOOKUP(B53,'Base stats'!B:B,'Base stats'!BT:BT),
0.05))</f>
        <v>2.0500000000000003</v>
      </c>
      <c r="K53" s="3">
        <f>IF(Animals!W53="No","No",
IF(_xlfn.XLOOKUP(_xlfn.XLOOKUP(B53,'Base stats'!B:B,'Base stats'!E:E),Groups!A:A,Groups!BC:BC)=1,
MAX(MROUND(_xlfn.XLOOKUP(B53,'Base stats'!B:B,'Base stats'!BR:BR) * _xlfn.XLOOKUP(B53,'Base stats'!B:B,'Base stats'!BN:BN)^0.9 / 21 *_xlfn.XLOOKUP(B53,'Base stats'!B:B,'Base stats'!BU:BU),0.1),0.05),
MAX(MROUND(((MIN(10,_xlfn.XLOOKUP(B53,'Base stats'!B:B,'Base stats'!W:W)))^0.4*_xlfn.XLOOKUP(B53,'Base stats'!B:B,'Base stats'!BF:BF)^0.73)^0.6 *_xlfn.XLOOKUP(B53,'Base stats'!B:B,'Base stats'!BU:BU),0.1),0.05)
))</f>
        <v>14.200000000000001</v>
      </c>
      <c r="L53" s="11">
        <f>IF(K53="No","No",
MAX(0.01,MROUND(_xlfn.XLOOKUP(B53,'Base stats'!B:B,'Base stats'!BF:BF) * 0.01 *2, 0.01))
)</f>
        <v>2.42</v>
      </c>
      <c r="M53" s="5">
        <f>IF(K53="No","No",IF(_xlfn.XLOOKUP(_xlfn.XLOOKUP(B53,'Base stats'!B:B,'Base stats'!E:E),Groups!A:A,Groups!BC:BC)=1,"No",
MAX(0.01,MROUND(_xlfn.XLOOKUP(B53,'Base stats'!B:B,'Base stats'!BR:BR)/10000,0.01))
))</f>
        <v>0.16</v>
      </c>
      <c r="N53" s="4">
        <f>IF(K53="No","No",
MROUND(
  _xlfn.XLOOKUP(B53,'Base stats'!B:B,'Base stats'!AZ:AZ)^0.25
  / (_xlfn.XLOOKUP(B53,'Base stats'!B:B,'Base stats'!BJ:BJ)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stats'!BT:BT),
0.05))</f>
        <v>2.85</v>
      </c>
      <c r="O53" s="3" t="str">
        <f>IF(Animals!AC53="No","No",
MAX(MROUND((MIN(10,_xlfn.XLOOKUP(B53,'Base stats'!B:B,'Base stats'!V:V)*IF(_xlfn.XLOOKUP(_xlfn.XLOOKUP(B53,'Base stats'!B:B,'Base stats'!E:E),Groups!A:A,Groups!O:O)=0,1,0.33))^0.4*_xlfn.XLOOKUP(B53,'Base stats'!B:B,'Base stats'!BG:BG)^0.73)^0.6 *_xlfn.XLOOKUP(B53,'Base stats'!B:B,'Base stats'!BU:BU),0.1),0.05)
)</f>
        <v>No</v>
      </c>
      <c r="P53" s="11" t="str">
        <f>IF(O53="No","No",
MAX(0.01,MROUND(_xlfn.XLOOKUP(B53,'Base stats'!B:B,'Base stats'!BG:BG) * 0.01 * 2, 0.01))
)</f>
        <v>No</v>
      </c>
      <c r="Q53" s="5" t="str">
        <f>IF(O53="No","No",
MAX(0.01,MROUND(_xlfn.XLOOKUP(B53,'Base stats'!B:B,'Base stats'!BS:BS)/10000,0.01))
)</f>
        <v>No</v>
      </c>
      <c r="R53" s="4" t="str">
        <f>IF(O53="No","No",
MROUND(_xlfn.XLOOKUP(B53,'Base stats'!B:B,'Base stats'!AY:AY)^0.25
/((_xlfn.XLOOKUP(B53,'Base stats'!B:B,'Base stats'!BK:BK))*10)*_xlfn.XLOOKUP(_xlfn.XLOOKUP(B53,'Base stats'!B:B,'Base stats'!E:E),Groups!A:A,Groups!Z:Z)*150 + 0.5 + _xlfn.XLOOKUP(B53,'Base stats'!B:B,'Base stats'!BT:BT),
0.05))</f>
        <v>No</v>
      </c>
      <c r="S53" s="3" t="str">
        <f>IF(Animals!AH53="No","No",
IF(_xlfn.XLOOKUP(B53,'Base stats'!B:B,'Base stats'!U:U)="No",
MAX(MROUND(_xlfn.XLOOKUP(B53,'Base stats'!B:B,'Base stats'!BQ:BQ) * _xlfn.XLOOKUP(B53,'Base stats'!B:B,'Base stats'!BM:BM)^0.9 / 21 * _xlfn.XLOOKUP(B53,'Base stats'!B:B,'Base stats'!BU:BU),0.1),0.05),
MAX(MROUND(((MIN(12,_xlfn.XLOOKUP(B53,'Base stats'!B:B,'Base stats'!U:U)))^0.4*_xlfn.XLOOKUP(B53,'Base stats'!B:B,'Base stats'!BE:BE)^0.73)^0.6 * _xlfn.XLOOKUP(B53,'Base stats'!B:B,'Base stats'!BU:BU),0.1),0.05)
))</f>
        <v>No</v>
      </c>
      <c r="T53" s="11" t="str">
        <f>IF(S53="No","No",
MAX(0.01,MROUND(_xlfn.XLOOKUP(B53,'Base stats'!B:B,'Base stats'!BE:BE) * 0.01 * 2, 0.01))
)</f>
        <v>No</v>
      </c>
      <c r="U53" s="5" t="str">
        <f>IF(S53="No","No",IF(_xlfn.XLOOKUP(B53,'Base stats'!B:B,'Base stats'!U:U)="No","No",
MAX(0.01,MROUND(_xlfn.XLOOKUP(B53,'Base stats'!B:B,'Base stats'!BQ:BQ)/10000,0.01))
))</f>
        <v>No</v>
      </c>
      <c r="V53" s="4" t="str">
        <f>IF(S53="No","No",
MROUND(_xlfn.XLOOKUP(B53,'Base stats'!B:B,'Base stats'!BC:BC)^0.25
/((_xlfn.XLOOKUP(B53,'Base stats'!B:B,'Base stats'!BL:BL))*10)*_xlfn.XLOOKUP(_xlfn.XLOOKUP(B53,'Base stats'!B:B,'Base stats'!E:E),Groups!A:A,Groups!AE:AE)*150 + 0.5 + _xlfn.XLOOKUP(B53,'Base stats'!B:B,'Base stats'!BT:BT),
0.05))</f>
        <v>No</v>
      </c>
      <c r="W53" s="8">
        <f>MROUND(_xlfn.XLOOKUP(_xlfn.XLOOKUP(B53,'Base stats'!B:B,'Base stats'!E:E),Groups!A:A,Groups!BF:BF)*_xlfn.XLOOKUP(B53,'Base stats'!B:B,'Base stats'!C:C)^-0.165,0.01)</f>
        <v>0.26</v>
      </c>
      <c r="X53" s="1">
        <f>MROUND(_xlfn.XLOOKUP(_xlfn.XLOOKUP(B53,'Base stats'!B:B,'Base stats'!E:E),Groups!A:A,Groups!BG:BG)*_xlfn.XLOOKUP(B53,'Base stats'!B:B,'Base stats'!C:C)^0.165,0.01)</f>
        <v>0</v>
      </c>
      <c r="Y53" s="8">
        <f>MROUND(_xlfn.XLOOKUP(_xlfn.XLOOKUP(B53,'Base stats'!B:B,'Base stats'!E:E),Groups!A:A,Groups!BH:BH)*_xlfn.XLOOKUP(B53,'Base stats'!B:B,'Base stats'!C:C)^0.165,0.01)</f>
        <v>0</v>
      </c>
      <c r="Z53" s="18">
        <f>_xlfn.XLOOKUP(B53,'Base stats'!B:B,'Base stats'!AN:AN)*_xlfn.XLOOKUP(_xlfn.XLOOKUP(B53,'Base stats'!B:B,'Base stats'!E:E),Groups!A:A,Groups!H:H)/1000</f>
        <v>4.0112817187179149E-2</v>
      </c>
      <c r="AA53" s="18">
        <f>(1/2)*(_xlfn.XLOOKUP(_xlfn.XLOOKUP(B53,'Base stats'!B:B,'Base stats'!E:E),Groups!A:A,Groups!H:H)*_xlfn.XLOOKUP(_xlfn.XLOOKUP(B53,'Base stats'!B:B,'Base stats'!E:E),Groups!A:A,Groups!I:I))*_xlfn.XLOOKUP(B53,'Base stats'!B:B,'Base stats'!AN:AN)*0.01</f>
        <v>0.22062049452948532</v>
      </c>
      <c r="AB53" s="18">
        <f>250*(Animals!AN53+Animals!AO53)</f>
        <v>450</v>
      </c>
      <c r="AC53" s="18" t="str">
        <f>_xlfn.XLOOKUP(_xlfn.XLOOKUP(B53,'Base stats'!B:B,'Base stats'!E:E),Groups!A:A,Groups!BI:BI)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stats'!BP:BP) * (_xlfn.XLOOKUP(B54,'Base stats'!B:B,'Base stats'!AL:AL)*5%)^0.9 / 21,0.1),0.05)</f>
        <v>0.9</v>
      </c>
      <c r="E54" s="11">
        <f>MAX(0.01,MROUND(_xlfn.XLOOKUP(B54,'Base stats'!B:B,'Base stats'!BD:BD) * 0.01 * 2, 0.01))</f>
        <v>0.69000000000000006</v>
      </c>
      <c r="F54" s="7">
        <f>MROUND(_xlfn.XLOOKUP(B54,'Base stats'!B:B,'Base stats'!BA:BA)^0.25 / (_xlfn.XLOOKUP(B54,'Base stats'!B:B,'Base stats'!BH:BH) * 10) * 150 + 0.5 + _xlfn.XLOOKUP(B54,'Base stats'!B:B,'Base stats'!BT:BT), 0.05)</f>
        <v>1.5</v>
      </c>
      <c r="G54" s="3">
        <f>IF(Animals!R54="No","No",
IF(_xlfn.XLOOKUP(B54,'Base stats'!B:B,'Base stats'!U:U)="No",
MAX(MROUND(_xlfn.XLOOKUP(B54,'Base stats'!B:B,'Base stats'!BQ:BQ) * _xlfn.XLOOKUP(B54,'Base stats'!B:B,'Base stats'!BM:BM)^0.9 / 21 * _xlfn.XLOOKUP(B54,'Base stats'!B:B,'Base stats'!BU:BU),0.1),0.05),
MAX(MROUND(((MIN(10,_xlfn.XLOOKUP(B54,'Base stats'!B:B,'Base stats'!U:U)))^0.4*_xlfn.XLOOKUP(B54,'Base stats'!B:B,'Base stats'!BE:BE)^0.73)^0.6 * _xlfn.XLOOKUP(B54,'Base stats'!B:B,'Base stats'!BU:BU),0.1),0.05)
))</f>
        <v>1.9000000000000001</v>
      </c>
      <c r="H54" s="11">
        <f>IF(G54="No","No",
MAX(0.01,MROUND(_xlfn.XLOOKUP(B54,'Base stats'!B:B,'Base stats'!BE:BE) * 0.01 * 2, 0.01))
)</f>
        <v>0.94000000000000006</v>
      </c>
      <c r="I54" s="11" t="str">
        <f>IF(G54="No","No",IF(_xlfn.XLOOKUP(B54,'Base stats'!B:B,'Base stats'!U:U)="No","No",
MAX(0.01,MROUND(_xlfn.XLOOKUP(B54,'Base stats'!B:B,'Base stats'!BQ:BQ)/10000,0.01))
))</f>
        <v>No</v>
      </c>
      <c r="J54" s="4">
        <f>IF(G54="No","No",
MROUND(_xlfn.XLOOKUP(B54,'Base stats'!B:B,'Base stats'!BB:BB)^0.25
/((_xlfn.XLOOKUP(B54,'Base stats'!B:B,'Base stats'!BI:BI))*10)*_xlfn.XLOOKUP(_xlfn.XLOOKUP(B54,'Base stats'!B:B,'Base stats'!E:E),Groups!A:A,Groups!Q:Q)*150 + 0.5 + _xlfn.XLOOKUP(B54,'Base stats'!B:B,'Base stats'!BT:BT),
0.05))</f>
        <v>1.9500000000000002</v>
      </c>
      <c r="K54" s="3">
        <f>IF(Animals!W54="No","No",
IF(_xlfn.XLOOKUP(_xlfn.XLOOKUP(B54,'Base stats'!B:B,'Base stats'!E:E),Groups!A:A,Groups!BC:BC)=1,
MAX(MROUND(_xlfn.XLOOKUP(B54,'Base stats'!B:B,'Base stats'!BR:BR) * _xlfn.XLOOKUP(B54,'Base stats'!B:B,'Base stats'!BN:BN)^0.9 / 21 *_xlfn.XLOOKUP(B54,'Base stats'!B:B,'Base stats'!BU:BU),0.1),0.05),
MAX(MROUND(((MIN(10,_xlfn.XLOOKUP(B54,'Base stats'!B:B,'Base stats'!W:W)))^0.4*_xlfn.XLOOKUP(B54,'Base stats'!B:B,'Base stats'!BF:BF)^0.73)^0.6 *_xlfn.XLOOKUP(B54,'Base stats'!B:B,'Base stats'!BU:BU),0.1),0.05)
))</f>
        <v>10.200000000000001</v>
      </c>
      <c r="L54" s="11">
        <f>IF(K54="No","No",
MAX(0.01,MROUND(_xlfn.XLOOKUP(B54,'Base stats'!B:B,'Base stats'!BF:BF) * 0.01 *2, 0.01))
)</f>
        <v>1.1300000000000001</v>
      </c>
      <c r="M54" s="5">
        <f>IF(K54="No","No",IF(_xlfn.XLOOKUP(_xlfn.XLOOKUP(B54,'Base stats'!B:B,'Base stats'!E:E),Groups!A:A,Groups!BC:BC)=1,"No",
MAX(0.01,MROUND(_xlfn.XLOOKUP(B54,'Base stats'!B:B,'Base stats'!BR:BR)/10000,0.01))
))</f>
        <v>0.09</v>
      </c>
      <c r="N54" s="4">
        <f>IF(K54="No","No",
MROUND(
  _xlfn.XLOOKUP(B54,'Base stats'!B:B,'Base stats'!AZ:AZ)^0.25
  / (_xlfn.XLOOKUP(B54,'Base stats'!B:B,'Base stats'!BJ:BJ)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stats'!BT:BT),
0.05))</f>
        <v>2.6500000000000004</v>
      </c>
      <c r="O54" s="3" t="str">
        <f>IF(Animals!AC54="No","No",
MAX(MROUND((MIN(10,_xlfn.XLOOKUP(B54,'Base stats'!B:B,'Base stats'!V:V)*IF(_xlfn.XLOOKUP(_xlfn.XLOOKUP(B54,'Base stats'!B:B,'Base stats'!E:E),Groups!A:A,Groups!O:O)=0,1,0.33))^0.4*_xlfn.XLOOKUP(B54,'Base stats'!B:B,'Base stats'!BG:BG)^0.73)^0.6 *_xlfn.XLOOKUP(B54,'Base stats'!B:B,'Base stats'!BU:BU),0.1),0.05)
)</f>
        <v>No</v>
      </c>
      <c r="P54" s="11" t="str">
        <f>IF(O54="No","No",
MAX(0.01,MROUND(_xlfn.XLOOKUP(B54,'Base stats'!B:B,'Base stats'!BG:BG) * 0.01 * 2, 0.01))
)</f>
        <v>No</v>
      </c>
      <c r="Q54" s="5" t="str">
        <f>IF(O54="No","No",
MAX(0.01,MROUND(_xlfn.XLOOKUP(B54,'Base stats'!B:B,'Base stats'!BS:BS)/10000,0.01))
)</f>
        <v>No</v>
      </c>
      <c r="R54" s="4" t="str">
        <f>IF(O54="No","No",
MROUND(_xlfn.XLOOKUP(B54,'Base stats'!B:B,'Base stats'!AY:AY)^0.25
/((_xlfn.XLOOKUP(B54,'Base stats'!B:B,'Base stats'!BK:BK))*10)*_xlfn.XLOOKUP(_xlfn.XLOOKUP(B54,'Base stats'!B:B,'Base stats'!E:E),Groups!A:A,Groups!Z:Z)*150 + 0.5 + _xlfn.XLOOKUP(B54,'Base stats'!B:B,'Base stats'!BT:BT),
0.05))</f>
        <v>No</v>
      </c>
      <c r="S54" s="3" t="str">
        <f>IF(Animals!AH54="No","No",
IF(_xlfn.XLOOKUP(B54,'Base stats'!B:B,'Base stats'!U:U)="No",
MAX(MROUND(_xlfn.XLOOKUP(B54,'Base stats'!B:B,'Base stats'!BQ:BQ) * _xlfn.XLOOKUP(B54,'Base stats'!B:B,'Base stats'!BM:BM)^0.9 / 21 * _xlfn.XLOOKUP(B54,'Base stats'!B:B,'Base stats'!BU:BU),0.1),0.05),
MAX(MROUND(((MIN(12,_xlfn.XLOOKUP(B54,'Base stats'!B:B,'Base stats'!U:U)))^0.4*_xlfn.XLOOKUP(B54,'Base stats'!B:B,'Base stats'!BE:BE)^0.73)^0.6 * _xlfn.XLOOKUP(B54,'Base stats'!B:B,'Base stats'!BU:BU),0.1),0.05)
))</f>
        <v>No</v>
      </c>
      <c r="T54" s="11" t="str">
        <f>IF(S54="No","No",
MAX(0.01,MROUND(_xlfn.XLOOKUP(B54,'Base stats'!B:B,'Base stats'!BE:BE) * 0.01 * 2, 0.01))
)</f>
        <v>No</v>
      </c>
      <c r="U54" s="5" t="str">
        <f>IF(S54="No","No",IF(_xlfn.XLOOKUP(B54,'Base stats'!B:B,'Base stats'!U:U)="No","No",
MAX(0.01,MROUND(_xlfn.XLOOKUP(B54,'Base stats'!B:B,'Base stats'!BQ:BQ)/10000,0.01))
))</f>
        <v>No</v>
      </c>
      <c r="V54" s="4" t="str">
        <f>IF(S54="No","No",
MROUND(_xlfn.XLOOKUP(B54,'Base stats'!B:B,'Base stats'!BC:BC)^0.25
/((_xlfn.XLOOKUP(B54,'Base stats'!B:B,'Base stats'!BL:BL))*10)*_xlfn.XLOOKUP(_xlfn.XLOOKUP(B54,'Base stats'!B:B,'Base stats'!E:E),Groups!A:A,Groups!AE:AE)*150 + 0.5 + _xlfn.XLOOKUP(B54,'Base stats'!B:B,'Base stats'!BT:BT),
0.05))</f>
        <v>No</v>
      </c>
      <c r="W54" s="8">
        <f>MROUND(_xlfn.XLOOKUP(_xlfn.XLOOKUP(B54,'Base stats'!B:B,'Base stats'!E:E),Groups!A:A,Groups!BF:BF)*_xlfn.XLOOKUP(B54,'Base stats'!B:B,'Base stats'!C:C)^-0.165,0.01)</f>
        <v>0.3</v>
      </c>
      <c r="X54" s="1">
        <f>MROUND(_xlfn.XLOOKUP(_xlfn.XLOOKUP(B54,'Base stats'!B:B,'Base stats'!E:E),Groups!A:A,Groups!BG:BG)*_xlfn.XLOOKUP(B54,'Base stats'!B:B,'Base stats'!C:C)^0.165,0.01)</f>
        <v>0</v>
      </c>
      <c r="Y54" s="8">
        <f>MROUND(_xlfn.XLOOKUP(_xlfn.XLOOKUP(B54,'Base stats'!B:B,'Base stats'!E:E),Groups!A:A,Groups!BH:BH)*_xlfn.XLOOKUP(B54,'Base stats'!B:B,'Base stats'!C:C)^0.165,0.01)</f>
        <v>0</v>
      </c>
      <c r="Z54" s="18">
        <f>_xlfn.XLOOKUP(B54,'Base stats'!B:B,'Base stats'!AN:AN)*_xlfn.XLOOKUP(_xlfn.XLOOKUP(B54,'Base stats'!B:B,'Base stats'!E:E),Groups!A:A,Groups!H:H)/1000</f>
        <v>3.0927307591569225E-2</v>
      </c>
      <c r="AA54" s="18">
        <f>(1/2)*(_xlfn.XLOOKUP(_xlfn.XLOOKUP(B54,'Base stats'!B:B,'Base stats'!E:E),Groups!A:A,Groups!H:H)*_xlfn.XLOOKUP(_xlfn.XLOOKUP(B54,'Base stats'!B:B,'Base stats'!E:E),Groups!A:A,Groups!I:I))*_xlfn.XLOOKUP(B54,'Base stats'!B:B,'Base stats'!AN:AN)*0.01</f>
        <v>0.17010019175363078</v>
      </c>
      <c r="AB54" s="18">
        <f>250*(Animals!AN54+Animals!AO54)</f>
        <v>300.00000000000006</v>
      </c>
      <c r="AC54" s="18" t="str">
        <f>_xlfn.XLOOKUP(_xlfn.XLOOKUP(B54,'Base stats'!B:B,'Base stats'!E:E),Groups!A:A,Groups!BI:BI)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stats'!BP:BP) * (_xlfn.XLOOKUP(B55,'Base stats'!B:B,'Base stats'!AL:AL)*5%)^0.9 / 21,0.1),0.05)</f>
        <v>5.5</v>
      </c>
      <c r="E55" s="11">
        <f>MAX(0.01,MROUND(_xlfn.XLOOKUP(B55,'Base stats'!B:B,'Base stats'!BD:BD) * 0.01 * 2, 0.01))</f>
        <v>4.8500000000000005</v>
      </c>
      <c r="F55" s="7">
        <f>MROUND(_xlfn.XLOOKUP(B55,'Base stats'!B:B,'Base stats'!BA:BA)^0.25 / (_xlfn.XLOOKUP(B55,'Base stats'!B:B,'Base stats'!BH:BH) * 10) * 150 + 0.5 + _xlfn.XLOOKUP(B55,'Base stats'!B:B,'Base stats'!BT:BT), 0.05)</f>
        <v>2.15</v>
      </c>
      <c r="G55" s="3" t="str">
        <f>IF(Animals!R55="No","No",
IF(_xlfn.XLOOKUP(B55,'Base stats'!B:B,'Base stats'!U:U)="No",
MAX(MROUND(_xlfn.XLOOKUP(B55,'Base stats'!B:B,'Base stats'!BQ:BQ) * _xlfn.XLOOKUP(B55,'Base stats'!B:B,'Base stats'!BM:BM)^0.9 / 21 * _xlfn.XLOOKUP(B55,'Base stats'!B:B,'Base stats'!BU:BU),0.1),0.05),
MAX(MROUND(((MIN(10,_xlfn.XLOOKUP(B55,'Base stats'!B:B,'Base stats'!U:U)))^0.4*_xlfn.XLOOKUP(B55,'Base stats'!B:B,'Base stats'!BE:BE)^0.73)^0.6 * _xlfn.XLOOKUP(B55,'Base stats'!B:B,'Base stats'!BU:BU),0.1),0.05)
))</f>
        <v>No</v>
      </c>
      <c r="H55" s="11" t="str">
        <f>IF(G55="No","No",
MAX(0.01,MROUND(_xlfn.XLOOKUP(B55,'Base stats'!B:B,'Base stats'!BE:BE) * 0.01 * 2, 0.01))
)</f>
        <v>No</v>
      </c>
      <c r="I55" s="11" t="str">
        <f>IF(G55="No","No",IF(_xlfn.XLOOKUP(B55,'Base stats'!B:B,'Base stats'!U:U)="No","No",
MAX(0.01,MROUND(_xlfn.XLOOKUP(B55,'Base stats'!B:B,'Base stats'!BQ:BQ)/10000,0.01))
))</f>
        <v>No</v>
      </c>
      <c r="J55" s="4" t="str">
        <f>IF(G55="No","No",
MROUND(_xlfn.XLOOKUP(B55,'Base stats'!B:B,'Base stats'!BB:BB)^0.25
/((_xlfn.XLOOKUP(B55,'Base stats'!B:B,'Base stats'!BI:BI))*10)*_xlfn.XLOOKUP(_xlfn.XLOOKUP(B55,'Base stats'!B:B,'Base stats'!E:E),Groups!A:A,Groups!Q:Q)*150 + 0.5 + _xlfn.XLOOKUP(B55,'Base stats'!B:B,'Base stats'!BT:BT),
0.05))</f>
        <v>No</v>
      </c>
      <c r="K55" s="3" t="str">
        <f>IF(Animals!W55="No","No",
IF(_xlfn.XLOOKUP(_xlfn.XLOOKUP(B55,'Base stats'!B:B,'Base stats'!E:E),Groups!A:A,Groups!BC:BC)=1,
MAX(MROUND(_xlfn.XLOOKUP(B55,'Base stats'!B:B,'Base stats'!BR:BR) * _xlfn.XLOOKUP(B55,'Base stats'!B:B,'Base stats'!BN:BN)^0.9 / 21 *_xlfn.XLOOKUP(B55,'Base stats'!B:B,'Base stats'!BU:BU),0.1),0.05),
MAX(MROUND(((MIN(10,_xlfn.XLOOKUP(B55,'Base stats'!B:B,'Base stats'!W:W)))^0.4*_xlfn.XLOOKUP(B55,'Base stats'!B:B,'Base stats'!BF:BF)^0.73)^0.6 *_xlfn.XLOOKUP(B55,'Base stats'!B:B,'Base stats'!BU:BU),0.1),0.05)
))</f>
        <v>No</v>
      </c>
      <c r="L55" s="11" t="str">
        <f>IF(K55="No","No",
MAX(0.01,MROUND(_xlfn.XLOOKUP(B55,'Base stats'!B:B,'Base stats'!BF:BF) * 0.01 *2, 0.01))
)</f>
        <v>No</v>
      </c>
      <c r="M55" s="5" t="str">
        <f>IF(K55="No","No",IF(_xlfn.XLOOKUP(_xlfn.XLOOKUP(B55,'Base stats'!B:B,'Base stats'!E:E),Groups!A:A,Groups!BC:BC)=1,"No",
MAX(0.01,MROUND(_xlfn.XLOOKUP(B55,'Base stats'!B:B,'Base stats'!BR:BR)/10000,0.01))
))</f>
        <v>No</v>
      </c>
      <c r="N55" s="4" t="str">
        <f>IF(K55="No","No",
MROUND(
  _xlfn.XLOOKUP(B55,'Base stats'!B:B,'Base stats'!AZ:AZ)^0.25
  / (_xlfn.XLOOKUP(B55,'Base stats'!B:B,'Base stats'!BJ:BJ)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stats'!BT:BT),
0.05))</f>
        <v>No</v>
      </c>
      <c r="O55" s="3">
        <f>IF(Animals!AC55="No","No",
MAX(MROUND((MIN(10,_xlfn.XLOOKUP(B55,'Base stats'!B:B,'Base stats'!V:V)*IF(_xlfn.XLOOKUP(_xlfn.XLOOKUP(B55,'Base stats'!B:B,'Base stats'!E:E),Groups!A:A,Groups!O:O)=0,1,0.33))^0.4*_xlfn.XLOOKUP(B55,'Base stats'!B:B,'Base stats'!BG:BG)^0.73)^0.6 *_xlfn.XLOOKUP(B55,'Base stats'!B:B,'Base stats'!BU:BU),0.1),0.05)
)</f>
        <v>30.200000000000003</v>
      </c>
      <c r="P55" s="11">
        <f>IF(O55="No","No",
MAX(0.01,MROUND(_xlfn.XLOOKUP(B55,'Base stats'!B:B,'Base stats'!BG:BG) * 0.01 * 2, 0.01))
)</f>
        <v>18.760000000000002</v>
      </c>
      <c r="Q55" s="5">
        <f>IF(O55="No","No",
MAX(0.01,MROUND(_xlfn.XLOOKUP(B55,'Base stats'!B:B,'Base stats'!BS:BS)/10000,0.01))
)</f>
        <v>0.74</v>
      </c>
      <c r="R55" s="4">
        <f>IF(O55="No","No",
MROUND(_xlfn.XLOOKUP(B55,'Base stats'!B:B,'Base stats'!AY:AY)^0.25
/((_xlfn.XLOOKUP(B55,'Base stats'!B:B,'Base stats'!BK:BK))*10)*_xlfn.XLOOKUP(_xlfn.XLOOKUP(B55,'Base stats'!B:B,'Base stats'!E:E),Groups!A:A,Groups!Z:Z)*150 + 0.5 + _xlfn.XLOOKUP(B55,'Base stats'!B:B,'Base stats'!BT:BT),
0.05))</f>
        <v>2.35</v>
      </c>
      <c r="S55" s="3" t="str">
        <f>IF(Animals!AH55="No","No",
IF(_xlfn.XLOOKUP(B55,'Base stats'!B:B,'Base stats'!U:U)="No",
MAX(MROUND(_xlfn.XLOOKUP(B55,'Base stats'!B:B,'Base stats'!BQ:BQ) * _xlfn.XLOOKUP(B55,'Base stats'!B:B,'Base stats'!BM:BM)^0.9 / 21 * _xlfn.XLOOKUP(B55,'Base stats'!B:B,'Base stats'!BU:BU),0.1),0.05),
MAX(MROUND(((MIN(12,_xlfn.XLOOKUP(B55,'Base stats'!B:B,'Base stats'!U:U)))^0.4*_xlfn.XLOOKUP(B55,'Base stats'!B:B,'Base stats'!BE:BE)^0.73)^0.6 * _xlfn.XLOOKUP(B55,'Base stats'!B:B,'Base stats'!BU:BU),0.1),0.05)
))</f>
        <v>No</v>
      </c>
      <c r="T55" s="11" t="str">
        <f>IF(S55="No","No",
MAX(0.01,MROUND(_xlfn.XLOOKUP(B55,'Base stats'!B:B,'Base stats'!BE:BE) * 0.01 * 2, 0.01))
)</f>
        <v>No</v>
      </c>
      <c r="U55" s="5" t="str">
        <f>IF(S55="No","No",IF(_xlfn.XLOOKUP(B55,'Base stats'!B:B,'Base stats'!U:U)="No","No",
MAX(0.01,MROUND(_xlfn.XLOOKUP(B55,'Base stats'!B:B,'Base stats'!BQ:BQ)/10000,0.01))
))</f>
        <v>No</v>
      </c>
      <c r="V55" s="4" t="str">
        <f>IF(S55="No","No",
MROUND(_xlfn.XLOOKUP(B55,'Base stats'!B:B,'Base stats'!BC:BC)^0.25
/((_xlfn.XLOOKUP(B55,'Base stats'!B:B,'Base stats'!BL:BL))*10)*_xlfn.XLOOKUP(_xlfn.XLOOKUP(B55,'Base stats'!B:B,'Base stats'!E:E),Groups!A:A,Groups!AE:AE)*150 + 0.5 + _xlfn.XLOOKUP(B55,'Base stats'!B:B,'Base stats'!BT:BT),
0.05))</f>
        <v>No</v>
      </c>
      <c r="W55" s="8">
        <f>MROUND(_xlfn.XLOOKUP(_xlfn.XLOOKUP(B55,'Base stats'!B:B,'Base stats'!E:E),Groups!A:A,Groups!BF:BF)*_xlfn.XLOOKUP(B55,'Base stats'!B:B,'Base stats'!C:C)^-0.165,0.01)</f>
        <v>0.42</v>
      </c>
      <c r="X55" s="1">
        <f>MROUND(_xlfn.XLOOKUP(_xlfn.XLOOKUP(B55,'Base stats'!B:B,'Base stats'!E:E),Groups!A:A,Groups!BG:BG)*_xlfn.XLOOKUP(B55,'Base stats'!B:B,'Base stats'!C:C)^0.165,0.01)</f>
        <v>0.48</v>
      </c>
      <c r="Y55" s="8">
        <f>MROUND(_xlfn.XLOOKUP(_xlfn.XLOOKUP(B55,'Base stats'!B:B,'Base stats'!E:E),Groups!A:A,Groups!BH:BH)*_xlfn.XLOOKUP(B55,'Base stats'!B:B,'Base stats'!C:C)^0.165,0.01)</f>
        <v>0.06</v>
      </c>
      <c r="Z55" s="18">
        <f>_xlfn.XLOOKUP(B55,'Base stats'!B:B,'Base stats'!AN:AN)*_xlfn.XLOOKUP(_xlfn.XLOOKUP(B55,'Base stats'!B:B,'Base stats'!E:E),Groups!A:A,Groups!H:H)/1000</f>
        <v>0.14226737790228861</v>
      </c>
      <c r="AA55" s="18">
        <f>(1/2)*(_xlfn.XLOOKUP(_xlfn.XLOOKUP(B55,'Base stats'!B:B,'Base stats'!E:E),Groups!A:A,Groups!H:H)*_xlfn.XLOOKUP(_xlfn.XLOOKUP(B55,'Base stats'!B:B,'Base stats'!E:E),Groups!A:A,Groups!I:I))*_xlfn.XLOOKUP(B55,'Base stats'!B:B,'Base stats'!AN:AN)*0.01</f>
        <v>1.0670053342671648</v>
      </c>
      <c r="AB55" s="18">
        <f>250*(Animals!AN55+Animals!AO55)</f>
        <v>987.5</v>
      </c>
      <c r="AC55" s="18" t="str">
        <f>_xlfn.XLOOKUP(_xlfn.XLOOKUP(B55,'Base stats'!B:B,'Base stats'!E:E),Groups!A:A,Groups!BI:BI)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stats'!BP:BP) * (_xlfn.XLOOKUP(B56,'Base stats'!B:B,'Base stats'!AL:AL)*5%)^0.9 / 21,0.1),0.05)</f>
        <v>1.4000000000000001</v>
      </c>
      <c r="E56" s="11">
        <f>MAX(0.01,MROUND(_xlfn.XLOOKUP(B56,'Base stats'!B:B,'Base stats'!BD:BD) * 0.01 * 2, 0.01))</f>
        <v>1.1200000000000001</v>
      </c>
      <c r="F56" s="7">
        <f>MROUND(_xlfn.XLOOKUP(B56,'Base stats'!B:B,'Base stats'!BA:BA)^0.25 / (_xlfn.XLOOKUP(B56,'Base stats'!B:B,'Base stats'!BH:BH) * 10) * 150 + 0.5 + _xlfn.XLOOKUP(B56,'Base stats'!B:B,'Base stats'!BT:BT), 0.05)</f>
        <v>1.8</v>
      </c>
      <c r="G56" s="3" t="str">
        <f>IF(Animals!R56="No","No",
IF(_xlfn.XLOOKUP(B56,'Base stats'!B:B,'Base stats'!U:U)="No",
MAX(MROUND(_xlfn.XLOOKUP(B56,'Base stats'!B:B,'Base stats'!BQ:BQ) * _xlfn.XLOOKUP(B56,'Base stats'!B:B,'Base stats'!BM:BM)^0.9 / 21 * _xlfn.XLOOKUP(B56,'Base stats'!B:B,'Base stats'!BU:BU),0.1),0.05),
MAX(MROUND(((MIN(10,_xlfn.XLOOKUP(B56,'Base stats'!B:B,'Base stats'!U:U)))^0.4*_xlfn.XLOOKUP(B56,'Base stats'!B:B,'Base stats'!BE:BE)^0.73)^0.6 * _xlfn.XLOOKUP(B56,'Base stats'!B:B,'Base stats'!BU:BU),0.1),0.05)
))</f>
        <v>No</v>
      </c>
      <c r="H56" s="11" t="str">
        <f>IF(G56="No","No",
MAX(0.01,MROUND(_xlfn.XLOOKUP(B56,'Base stats'!B:B,'Base stats'!BE:BE) * 0.01 * 2, 0.01))
)</f>
        <v>No</v>
      </c>
      <c r="I56" s="11" t="str">
        <f>IF(G56="No","No",IF(_xlfn.XLOOKUP(B56,'Base stats'!B:B,'Base stats'!U:U)="No","No",
MAX(0.01,MROUND(_xlfn.XLOOKUP(B56,'Base stats'!B:B,'Base stats'!BQ:BQ)/10000,0.01))
))</f>
        <v>No</v>
      </c>
      <c r="J56" s="4" t="str">
        <f>IF(G56="No","No",
MROUND(_xlfn.XLOOKUP(B56,'Base stats'!B:B,'Base stats'!BB:BB)^0.25
/((_xlfn.XLOOKUP(B56,'Base stats'!B:B,'Base stats'!BI:BI))*10)*_xlfn.XLOOKUP(_xlfn.XLOOKUP(B56,'Base stats'!B:B,'Base stats'!E:E),Groups!A:A,Groups!Q:Q)*150 + 0.5 + _xlfn.XLOOKUP(B56,'Base stats'!B:B,'Base stats'!BT:BT),
0.05))</f>
        <v>No</v>
      </c>
      <c r="K56" s="3" t="str">
        <f>IF(Animals!W56="No","No",
IF(_xlfn.XLOOKUP(_xlfn.XLOOKUP(B56,'Base stats'!B:B,'Base stats'!E:E),Groups!A:A,Groups!BC:BC)=1,
MAX(MROUND(_xlfn.XLOOKUP(B56,'Base stats'!B:B,'Base stats'!BR:BR) * _xlfn.XLOOKUP(B56,'Base stats'!B:B,'Base stats'!BN:BN)^0.9 / 21 *_xlfn.XLOOKUP(B56,'Base stats'!B:B,'Base stats'!BU:BU),0.1),0.05),
MAX(MROUND(((MIN(10,_xlfn.XLOOKUP(B56,'Base stats'!B:B,'Base stats'!W:W)))^0.4*_xlfn.XLOOKUP(B56,'Base stats'!B:B,'Base stats'!BF:BF)^0.73)^0.6 *_xlfn.XLOOKUP(B56,'Base stats'!B:B,'Base stats'!BU:BU),0.1),0.05)
))</f>
        <v>No</v>
      </c>
      <c r="L56" s="11" t="str">
        <f>IF(K56="No","No",
MAX(0.01,MROUND(_xlfn.XLOOKUP(B56,'Base stats'!B:B,'Base stats'!BF:BF) * 0.01 *2, 0.01))
)</f>
        <v>No</v>
      </c>
      <c r="M56" s="5" t="str">
        <f>IF(K56="No","No",IF(_xlfn.XLOOKUP(_xlfn.XLOOKUP(B56,'Base stats'!B:B,'Base stats'!E:E),Groups!A:A,Groups!BC:BC)=1,"No",
MAX(0.01,MROUND(_xlfn.XLOOKUP(B56,'Base stats'!B:B,'Base stats'!BR:BR)/10000,0.01))
))</f>
        <v>No</v>
      </c>
      <c r="N56" s="4" t="str">
        <f>IF(K56="No","No",
MROUND(
  _xlfn.XLOOKUP(B56,'Base stats'!B:B,'Base stats'!AZ:AZ)^0.25
  / (_xlfn.XLOOKUP(B56,'Base stats'!B:B,'Base stats'!BJ:BJ)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stats'!BT:BT),
0.05))</f>
        <v>No</v>
      </c>
      <c r="O56" s="3">
        <f>IF(Animals!AC56="No","No",
MAX(MROUND((MIN(10,_xlfn.XLOOKUP(B56,'Base stats'!B:B,'Base stats'!V:V)*IF(_xlfn.XLOOKUP(_xlfn.XLOOKUP(B56,'Base stats'!B:B,'Base stats'!E:E),Groups!A:A,Groups!O:O)=0,1,0.33))^0.4*_xlfn.XLOOKUP(B56,'Base stats'!B:B,'Base stats'!BG:BG)^0.73)^0.6 *_xlfn.XLOOKUP(B56,'Base stats'!B:B,'Base stats'!BU:BU),0.1),0.05)
)</f>
        <v>13.3</v>
      </c>
      <c r="P56" s="11">
        <f>IF(O56="No","No",
MAX(0.01,MROUND(_xlfn.XLOOKUP(B56,'Base stats'!B:B,'Base stats'!BG:BG) * 0.01 * 2, 0.01))
)</f>
        <v>3.85</v>
      </c>
      <c r="Q56" s="5">
        <f>IF(O56="No","No",
MAX(0.01,MROUND(_xlfn.XLOOKUP(B56,'Base stats'!B:B,'Base stats'!BS:BS)/10000,0.01))
)</f>
        <v>0.28999999999999998</v>
      </c>
      <c r="R56" s="4">
        <f>IF(O56="No","No",
MROUND(_xlfn.XLOOKUP(B56,'Base stats'!B:B,'Base stats'!AY:AY)^0.25
/((_xlfn.XLOOKUP(B56,'Base stats'!B:B,'Base stats'!BK:BK))*10)*_xlfn.XLOOKUP(_xlfn.XLOOKUP(B56,'Base stats'!B:B,'Base stats'!E:E),Groups!A:A,Groups!Z:Z)*150 + 0.5 + _xlfn.XLOOKUP(B56,'Base stats'!B:B,'Base stats'!BT:BT),
0.05))</f>
        <v>2.15</v>
      </c>
      <c r="S56" s="3" t="str">
        <f>IF(Animals!AH56="No","No",
IF(_xlfn.XLOOKUP(B56,'Base stats'!B:B,'Base stats'!U:U)="No",
MAX(MROUND(_xlfn.XLOOKUP(B56,'Base stats'!B:B,'Base stats'!BQ:BQ) * _xlfn.XLOOKUP(B56,'Base stats'!B:B,'Base stats'!BM:BM)^0.9 / 21 * _xlfn.XLOOKUP(B56,'Base stats'!B:B,'Base stats'!BU:BU),0.1),0.05),
MAX(MROUND(((MIN(12,_xlfn.XLOOKUP(B56,'Base stats'!B:B,'Base stats'!U:U)))^0.4*_xlfn.XLOOKUP(B56,'Base stats'!B:B,'Base stats'!BE:BE)^0.73)^0.6 * _xlfn.XLOOKUP(B56,'Base stats'!B:B,'Base stats'!BU:BU),0.1),0.05)
))</f>
        <v>No</v>
      </c>
      <c r="T56" s="11" t="str">
        <f>IF(S56="No","No",
MAX(0.01,MROUND(_xlfn.XLOOKUP(B56,'Base stats'!B:B,'Base stats'!BE:BE) * 0.01 * 2, 0.01))
)</f>
        <v>No</v>
      </c>
      <c r="U56" s="5" t="str">
        <f>IF(S56="No","No",IF(_xlfn.XLOOKUP(B56,'Base stats'!B:B,'Base stats'!U:U)="No","No",
MAX(0.01,MROUND(_xlfn.XLOOKUP(B56,'Base stats'!B:B,'Base stats'!BQ:BQ)/10000,0.01))
))</f>
        <v>No</v>
      </c>
      <c r="V56" s="4" t="str">
        <f>IF(S56="No","No",
MROUND(_xlfn.XLOOKUP(B56,'Base stats'!B:B,'Base stats'!BC:BC)^0.25
/((_xlfn.XLOOKUP(B56,'Base stats'!B:B,'Base stats'!BL:BL))*10)*_xlfn.XLOOKUP(_xlfn.XLOOKUP(B56,'Base stats'!B:B,'Base stats'!E:E),Groups!A:A,Groups!AE:AE)*150 + 0.5 + _xlfn.XLOOKUP(B56,'Base stats'!B:B,'Base stats'!BT:BT),
0.05))</f>
        <v>No</v>
      </c>
      <c r="W56" s="8">
        <f>MROUND(_xlfn.XLOOKUP(_xlfn.XLOOKUP(B56,'Base stats'!B:B,'Base stats'!E:E),Groups!A:A,Groups!BF:BF)*_xlfn.XLOOKUP(B56,'Base stats'!B:B,'Base stats'!C:C)^-0.165,0.01)</f>
        <v>0.54</v>
      </c>
      <c r="X56" s="1">
        <f>MROUND(_xlfn.XLOOKUP(_xlfn.XLOOKUP(B56,'Base stats'!B:B,'Base stats'!E:E),Groups!A:A,Groups!BG:BG)*_xlfn.XLOOKUP(B56,'Base stats'!B:B,'Base stats'!C:C)^0.165,0.01)</f>
        <v>0.37</v>
      </c>
      <c r="Y56" s="8">
        <f>MROUND(_xlfn.XLOOKUP(_xlfn.XLOOKUP(B56,'Base stats'!B:B,'Base stats'!E:E),Groups!A:A,Groups!BH:BH)*_xlfn.XLOOKUP(B56,'Base stats'!B:B,'Base stats'!C:C)^0.165,0.01)</f>
        <v>0.05</v>
      </c>
      <c r="Z56" s="18">
        <f>_xlfn.XLOOKUP(B56,'Base stats'!B:B,'Base stats'!AN:AN)*_xlfn.XLOOKUP(_xlfn.XLOOKUP(B56,'Base stats'!B:B,'Base stats'!E:E),Groups!A:A,Groups!H:H)/1000</f>
        <v>8.0996420367999422E-2</v>
      </c>
      <c r="AA56" s="18">
        <f>(1/2)*(_xlfn.XLOOKUP(_xlfn.XLOOKUP(B56,'Base stats'!B:B,'Base stats'!E:E),Groups!A:A,Groups!H:H)*_xlfn.XLOOKUP(_xlfn.XLOOKUP(B56,'Base stats'!B:B,'Base stats'!E:E),Groups!A:A,Groups!I:I))*_xlfn.XLOOKUP(B56,'Base stats'!B:B,'Base stats'!AN:AN)*0.01</f>
        <v>0.6074731527599958</v>
      </c>
      <c r="AB56" s="18">
        <f>250*(Animals!AN56+Animals!AO56)</f>
        <v>437.5</v>
      </c>
      <c r="AC56" s="18" t="str">
        <f>_xlfn.XLOOKUP(_xlfn.XLOOKUP(B56,'Base stats'!B:B,'Base stats'!E:E),Groups!A:A,Groups!BI:BI)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stats'!BP:BP) * (_xlfn.XLOOKUP(B57,'Base stats'!B:B,'Base stats'!AL:AL)*5%)^0.9 / 21,0.1),0.05)</f>
        <v>1.4000000000000001</v>
      </c>
      <c r="E57" s="11">
        <f>MAX(0.01,MROUND(_xlfn.XLOOKUP(B57,'Base stats'!B:B,'Base stats'!BD:BD) * 0.01 * 2, 0.01))</f>
        <v>1.1200000000000001</v>
      </c>
      <c r="F57" s="7">
        <f>MROUND(_xlfn.XLOOKUP(B57,'Base stats'!B:B,'Base stats'!BA:BA)^0.25 / (_xlfn.XLOOKUP(B57,'Base stats'!B:B,'Base stats'!BH:BH) * 10) * 150 + 0.5 + _xlfn.XLOOKUP(B57,'Base stats'!B:B,'Base stats'!BT:BT), 0.05)</f>
        <v>1.8</v>
      </c>
      <c r="G57" s="3" t="str">
        <f>IF(Animals!R57="No","No",
IF(_xlfn.XLOOKUP(B57,'Base stats'!B:B,'Base stats'!U:U)="No",
MAX(MROUND(_xlfn.XLOOKUP(B57,'Base stats'!B:B,'Base stats'!BQ:BQ) * _xlfn.XLOOKUP(B57,'Base stats'!B:B,'Base stats'!BM:BM)^0.9 / 21 * _xlfn.XLOOKUP(B57,'Base stats'!B:B,'Base stats'!BU:BU),0.1),0.05),
MAX(MROUND(((MIN(10,_xlfn.XLOOKUP(B57,'Base stats'!B:B,'Base stats'!U:U)))^0.4*_xlfn.XLOOKUP(B57,'Base stats'!B:B,'Base stats'!BE:BE)^0.73)^0.6 * _xlfn.XLOOKUP(B57,'Base stats'!B:B,'Base stats'!BU:BU),0.1),0.05)
))</f>
        <v>No</v>
      </c>
      <c r="H57" s="11" t="str">
        <f>IF(G57="No","No",
MAX(0.01,MROUND(_xlfn.XLOOKUP(B57,'Base stats'!B:B,'Base stats'!BE:BE) * 0.01 * 2, 0.01))
)</f>
        <v>No</v>
      </c>
      <c r="I57" s="11" t="str">
        <f>IF(G57="No","No",IF(_xlfn.XLOOKUP(B57,'Base stats'!B:B,'Base stats'!U:U)="No","No",
MAX(0.01,MROUND(_xlfn.XLOOKUP(B57,'Base stats'!B:B,'Base stats'!BQ:BQ)/10000,0.01))
))</f>
        <v>No</v>
      </c>
      <c r="J57" s="4" t="str">
        <f>IF(G57="No","No",
MROUND(_xlfn.XLOOKUP(B57,'Base stats'!B:B,'Base stats'!BB:BB)^0.25
/((_xlfn.XLOOKUP(B57,'Base stats'!B:B,'Base stats'!BI:BI))*10)*_xlfn.XLOOKUP(_xlfn.XLOOKUP(B57,'Base stats'!B:B,'Base stats'!E:E),Groups!A:A,Groups!Q:Q)*150 + 0.5 + _xlfn.XLOOKUP(B57,'Base stats'!B:B,'Base stats'!BT:BT),
0.05))</f>
        <v>No</v>
      </c>
      <c r="K57" s="3" t="str">
        <f>IF(Animals!W57="No","No",
IF(_xlfn.XLOOKUP(_xlfn.XLOOKUP(B57,'Base stats'!B:B,'Base stats'!E:E),Groups!A:A,Groups!BC:BC)=1,
MAX(MROUND(_xlfn.XLOOKUP(B57,'Base stats'!B:B,'Base stats'!BR:BR) * _xlfn.XLOOKUP(B57,'Base stats'!B:B,'Base stats'!BN:BN)^0.9 / 21 *_xlfn.XLOOKUP(B57,'Base stats'!B:B,'Base stats'!BU:BU),0.1),0.05),
MAX(MROUND(((MIN(10,_xlfn.XLOOKUP(B57,'Base stats'!B:B,'Base stats'!W:W)))^0.4*_xlfn.XLOOKUP(B57,'Base stats'!B:B,'Base stats'!BF:BF)^0.73)^0.6 *_xlfn.XLOOKUP(B57,'Base stats'!B:B,'Base stats'!BU:BU),0.1),0.05)
))</f>
        <v>No</v>
      </c>
      <c r="L57" s="11" t="str">
        <f>IF(K57="No","No",
MAX(0.01,MROUND(_xlfn.XLOOKUP(B57,'Base stats'!B:B,'Base stats'!BF:BF) * 0.01 *2, 0.01))
)</f>
        <v>No</v>
      </c>
      <c r="M57" s="5" t="str">
        <f>IF(K57="No","No",IF(_xlfn.XLOOKUP(_xlfn.XLOOKUP(B57,'Base stats'!B:B,'Base stats'!E:E),Groups!A:A,Groups!BC:BC)=1,"No",
MAX(0.01,MROUND(_xlfn.XLOOKUP(B57,'Base stats'!B:B,'Base stats'!BR:BR)/10000,0.01))
))</f>
        <v>No</v>
      </c>
      <c r="N57" s="4" t="str">
        <f>IF(K57="No","No",
MROUND(
  _xlfn.XLOOKUP(B57,'Base stats'!B:B,'Base stats'!AZ:AZ)^0.25
  / (_xlfn.XLOOKUP(B57,'Base stats'!B:B,'Base stats'!BJ:BJ)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stats'!BT:BT),
0.05))</f>
        <v>No</v>
      </c>
      <c r="O57" s="3">
        <f>IF(Animals!AC57="No","No",
MAX(MROUND((MIN(10,_xlfn.XLOOKUP(B57,'Base stats'!B:B,'Base stats'!V:V)*IF(_xlfn.XLOOKUP(_xlfn.XLOOKUP(B57,'Base stats'!B:B,'Base stats'!E:E),Groups!A:A,Groups!O:O)=0,1,0.33))^0.4*_xlfn.XLOOKUP(B57,'Base stats'!B:B,'Base stats'!BG:BG)^0.73)^0.6 *_xlfn.XLOOKUP(B57,'Base stats'!B:B,'Base stats'!BU:BU),0.1),0.05)
)</f>
        <v>13.3</v>
      </c>
      <c r="P57" s="11">
        <f>IF(O57="No","No",
MAX(0.01,MROUND(_xlfn.XLOOKUP(B57,'Base stats'!B:B,'Base stats'!BG:BG) * 0.01 * 2, 0.01))
)</f>
        <v>3.85</v>
      </c>
      <c r="Q57" s="5">
        <f>IF(O57="No","No",
MAX(0.01,MROUND(_xlfn.XLOOKUP(B57,'Base stats'!B:B,'Base stats'!BS:BS)/10000,0.01))
)</f>
        <v>0.28999999999999998</v>
      </c>
      <c r="R57" s="4">
        <f>IF(O57="No","No",
MROUND(_xlfn.XLOOKUP(B57,'Base stats'!B:B,'Base stats'!AY:AY)^0.25
/((_xlfn.XLOOKUP(B57,'Base stats'!B:B,'Base stats'!BK:BK))*10)*_xlfn.XLOOKUP(_xlfn.XLOOKUP(B57,'Base stats'!B:B,'Base stats'!E:E),Groups!A:A,Groups!Z:Z)*150 + 0.5 + _xlfn.XLOOKUP(B57,'Base stats'!B:B,'Base stats'!BT:BT),
0.05))</f>
        <v>2.15</v>
      </c>
      <c r="S57" s="3" t="str">
        <f>IF(Animals!AH57="No","No",
IF(_xlfn.XLOOKUP(B57,'Base stats'!B:B,'Base stats'!U:U)="No",
MAX(MROUND(_xlfn.XLOOKUP(B57,'Base stats'!B:B,'Base stats'!BQ:BQ) * _xlfn.XLOOKUP(B57,'Base stats'!B:B,'Base stats'!BM:BM)^0.9 / 21 * _xlfn.XLOOKUP(B57,'Base stats'!B:B,'Base stats'!BU:BU),0.1),0.05),
MAX(MROUND(((MIN(12,_xlfn.XLOOKUP(B57,'Base stats'!B:B,'Base stats'!U:U)))^0.4*_xlfn.XLOOKUP(B57,'Base stats'!B:B,'Base stats'!BE:BE)^0.73)^0.6 * _xlfn.XLOOKUP(B57,'Base stats'!B:B,'Base stats'!BU:BU),0.1),0.05)
))</f>
        <v>No</v>
      </c>
      <c r="T57" s="11" t="str">
        <f>IF(S57="No","No",
MAX(0.01,MROUND(_xlfn.XLOOKUP(B57,'Base stats'!B:B,'Base stats'!BE:BE) * 0.01 * 2, 0.01))
)</f>
        <v>No</v>
      </c>
      <c r="U57" s="5" t="str">
        <f>IF(S57="No","No",IF(_xlfn.XLOOKUP(B57,'Base stats'!B:B,'Base stats'!U:U)="No","No",
MAX(0.01,MROUND(_xlfn.XLOOKUP(B57,'Base stats'!B:B,'Base stats'!BQ:BQ)/10000,0.01))
))</f>
        <v>No</v>
      </c>
      <c r="V57" s="4" t="str">
        <f>IF(S57="No","No",
MROUND(_xlfn.XLOOKUP(B57,'Base stats'!B:B,'Base stats'!BC:BC)^0.25
/((_xlfn.XLOOKUP(B57,'Base stats'!B:B,'Base stats'!BL:BL))*10)*_xlfn.XLOOKUP(_xlfn.XLOOKUP(B57,'Base stats'!B:B,'Base stats'!E:E),Groups!A:A,Groups!AE:AE)*150 + 0.5 + _xlfn.XLOOKUP(B57,'Base stats'!B:B,'Base stats'!BT:BT),
0.05))</f>
        <v>No</v>
      </c>
      <c r="W57" s="8">
        <f>MROUND(_xlfn.XLOOKUP(_xlfn.XLOOKUP(B57,'Base stats'!B:B,'Base stats'!E:E),Groups!A:A,Groups!BF:BF)*_xlfn.XLOOKUP(B57,'Base stats'!B:B,'Base stats'!C:C)^-0.165,0.01)</f>
        <v>0.54</v>
      </c>
      <c r="X57" s="1">
        <f>MROUND(_xlfn.XLOOKUP(_xlfn.XLOOKUP(B57,'Base stats'!B:B,'Base stats'!E:E),Groups!A:A,Groups!BG:BG)*_xlfn.XLOOKUP(B57,'Base stats'!B:B,'Base stats'!C:C)^0.165,0.01)</f>
        <v>0.37</v>
      </c>
      <c r="Y57" s="8">
        <f>MROUND(_xlfn.XLOOKUP(_xlfn.XLOOKUP(B57,'Base stats'!B:B,'Base stats'!E:E),Groups!A:A,Groups!BH:BH)*_xlfn.XLOOKUP(B57,'Base stats'!B:B,'Base stats'!C:C)^0.165,0.01)</f>
        <v>0.05</v>
      </c>
      <c r="Z57" s="18">
        <f>_xlfn.XLOOKUP(B57,'Base stats'!B:B,'Base stats'!AN:AN)*_xlfn.XLOOKUP(_xlfn.XLOOKUP(B57,'Base stats'!B:B,'Base stats'!E:E),Groups!A:A,Groups!H:H)/1000</f>
        <v>8.0996420367999422E-2</v>
      </c>
      <c r="AA57" s="18">
        <f>(1/2)*(_xlfn.XLOOKUP(_xlfn.XLOOKUP(B57,'Base stats'!B:B,'Base stats'!E:E),Groups!A:A,Groups!H:H)*_xlfn.XLOOKUP(_xlfn.XLOOKUP(B57,'Base stats'!B:B,'Base stats'!E:E),Groups!A:A,Groups!I:I))*_xlfn.XLOOKUP(B57,'Base stats'!B:B,'Base stats'!AN:AN)*0.01</f>
        <v>0.6074731527599958</v>
      </c>
      <c r="AB57" s="18">
        <f>250*(Animals!AN57+Animals!AO57)</f>
        <v>437.5</v>
      </c>
      <c r="AC57" s="18" t="str">
        <f>_xlfn.XLOOKUP(_xlfn.XLOOKUP(B57,'Base stats'!B:B,'Base stats'!E:E),Groups!A:A,Groups!BI:BI)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stats'!BP:BP) * (_xlfn.XLOOKUP(B58,'Base stats'!B:B,'Base stats'!AL:AL)*5%)^0.9 / 21,0.1),0.05)</f>
        <v>0.30000000000000004</v>
      </c>
      <c r="E58" s="11">
        <f>MAX(0.01,MROUND(_xlfn.XLOOKUP(B58,'Base stats'!B:B,'Base stats'!BD:BD) * 0.01 * 2, 0.01))</f>
        <v>0.21</v>
      </c>
      <c r="F58" s="7">
        <f>MROUND(_xlfn.XLOOKUP(B58,'Base stats'!B:B,'Base stats'!BA:BA)^0.25 / (_xlfn.XLOOKUP(B58,'Base stats'!B:B,'Base stats'!BH:BH) * 10) * 150 + 0.5 + _xlfn.XLOOKUP(B58,'Base stats'!B:B,'Base stats'!BT:BT), 0.05)</f>
        <v>1.5</v>
      </c>
      <c r="G58" s="3" t="str">
        <f>IF(Animals!R58="No","No",
IF(_xlfn.XLOOKUP(B58,'Base stats'!B:B,'Base stats'!U:U)="No",
MAX(MROUND(_xlfn.XLOOKUP(B58,'Base stats'!B:B,'Base stats'!BQ:BQ) * _xlfn.XLOOKUP(B58,'Base stats'!B:B,'Base stats'!BM:BM)^0.9 / 21 * _xlfn.XLOOKUP(B58,'Base stats'!B:B,'Base stats'!BU:BU),0.1),0.05),
MAX(MROUND(((MIN(10,_xlfn.XLOOKUP(B58,'Base stats'!B:B,'Base stats'!U:U)))^0.4*_xlfn.XLOOKUP(B58,'Base stats'!B:B,'Base stats'!BE:BE)^0.73)^0.6 * _xlfn.XLOOKUP(B58,'Base stats'!B:B,'Base stats'!BU:BU),0.1),0.05)
))</f>
        <v>No</v>
      </c>
      <c r="H58" s="11" t="str">
        <f>IF(G58="No","No",
MAX(0.01,MROUND(_xlfn.XLOOKUP(B58,'Base stats'!B:B,'Base stats'!BE:BE) * 0.01 * 2, 0.01))
)</f>
        <v>No</v>
      </c>
      <c r="I58" s="11" t="str">
        <f>IF(G58="No","No",IF(_xlfn.XLOOKUP(B58,'Base stats'!B:B,'Base stats'!U:U)="No","No",
MAX(0.01,MROUND(_xlfn.XLOOKUP(B58,'Base stats'!B:B,'Base stats'!BQ:BQ)/10000,0.01))
))</f>
        <v>No</v>
      </c>
      <c r="J58" s="4" t="str">
        <f>IF(G58="No","No",
MROUND(_xlfn.XLOOKUP(B58,'Base stats'!B:B,'Base stats'!BB:BB)^0.25
/((_xlfn.XLOOKUP(B58,'Base stats'!B:B,'Base stats'!BI:BI))*10)*_xlfn.XLOOKUP(_xlfn.XLOOKUP(B58,'Base stats'!B:B,'Base stats'!E:E),Groups!A:A,Groups!Q:Q)*150 + 0.5 + _xlfn.XLOOKUP(B58,'Base stats'!B:B,'Base stats'!BT:BT),
0.05))</f>
        <v>No</v>
      </c>
      <c r="K58" s="3" t="str">
        <f>IF(Animals!W58="No","No",
IF(_xlfn.XLOOKUP(_xlfn.XLOOKUP(B58,'Base stats'!B:B,'Base stats'!E:E),Groups!A:A,Groups!BC:BC)=1,
MAX(MROUND(_xlfn.XLOOKUP(B58,'Base stats'!B:B,'Base stats'!BR:BR) * _xlfn.XLOOKUP(B58,'Base stats'!B:B,'Base stats'!BN:BN)^0.9 / 21 *_xlfn.XLOOKUP(B58,'Base stats'!B:B,'Base stats'!BU:BU),0.1),0.05),
MAX(MROUND(((MIN(10,_xlfn.XLOOKUP(B58,'Base stats'!B:B,'Base stats'!W:W)))^0.4*_xlfn.XLOOKUP(B58,'Base stats'!B:B,'Base stats'!BF:BF)^0.73)^0.6 *_xlfn.XLOOKUP(B58,'Base stats'!B:B,'Base stats'!BU:BU),0.1),0.05)
))</f>
        <v>No</v>
      </c>
      <c r="L58" s="11" t="str">
        <f>IF(K58="No","No",
MAX(0.01,MROUND(_xlfn.XLOOKUP(B58,'Base stats'!B:B,'Base stats'!BF:BF) * 0.01 *2, 0.01))
)</f>
        <v>No</v>
      </c>
      <c r="M58" s="5" t="str">
        <f>IF(K58="No","No",IF(_xlfn.XLOOKUP(_xlfn.XLOOKUP(B58,'Base stats'!B:B,'Base stats'!E:E),Groups!A:A,Groups!BC:BC)=1,"No",
MAX(0.01,MROUND(_xlfn.XLOOKUP(B58,'Base stats'!B:B,'Base stats'!BR:BR)/10000,0.01))
))</f>
        <v>No</v>
      </c>
      <c r="N58" s="4" t="str">
        <f>IF(K58="No","No",
MROUND(
  _xlfn.XLOOKUP(B58,'Base stats'!B:B,'Base stats'!AZ:AZ)^0.25
  / (_xlfn.XLOOKUP(B58,'Base stats'!B:B,'Base stats'!BJ:BJ)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stats'!BT:BT),
0.05))</f>
        <v>No</v>
      </c>
      <c r="O58" s="3">
        <f>IF(Animals!AC58="No","No",
MAX(MROUND((MIN(10,_xlfn.XLOOKUP(B58,'Base stats'!B:B,'Base stats'!V:V)*IF(_xlfn.XLOOKUP(_xlfn.XLOOKUP(B58,'Base stats'!B:B,'Base stats'!E:E),Groups!A:A,Groups!O:O)=0,1,0.33))^0.4*_xlfn.XLOOKUP(B58,'Base stats'!B:B,'Base stats'!BG:BG)^0.73)^0.6 *_xlfn.XLOOKUP(B58,'Base stats'!B:B,'Base stats'!BU:BU),0.1),0.05)
)</f>
        <v>6.5</v>
      </c>
      <c r="P58" s="11">
        <f>IF(O58="No","No",
MAX(0.01,MROUND(_xlfn.XLOOKUP(B58,'Base stats'!B:B,'Base stats'!BG:BG) * 0.01 * 2, 0.01))
)</f>
        <v>0.93</v>
      </c>
      <c r="Q58" s="5">
        <f>IF(O58="No","No",
MAX(0.01,MROUND(_xlfn.XLOOKUP(B58,'Base stats'!B:B,'Base stats'!BS:BS)/10000,0.01))
)</f>
        <v>0.15</v>
      </c>
      <c r="R58" s="4">
        <f>IF(O58="No","No",
MROUND(_xlfn.XLOOKUP(B58,'Base stats'!B:B,'Base stats'!AY:AY)^0.25
/((_xlfn.XLOOKUP(B58,'Base stats'!B:B,'Base stats'!BK:BK))*10)*_xlfn.XLOOKUP(_xlfn.XLOOKUP(B58,'Base stats'!B:B,'Base stats'!E:E),Groups!A:A,Groups!Z:Z)*150 + 0.5 + _xlfn.XLOOKUP(B58,'Base stats'!B:B,'Base stats'!BT:BT),
0.05))</f>
        <v>2.0500000000000003</v>
      </c>
      <c r="S58" s="3" t="str">
        <f>IF(Animals!AH58="No","No",
IF(_xlfn.XLOOKUP(B58,'Base stats'!B:B,'Base stats'!U:U)="No",
MAX(MROUND(_xlfn.XLOOKUP(B58,'Base stats'!B:B,'Base stats'!BQ:BQ) * _xlfn.XLOOKUP(B58,'Base stats'!B:B,'Base stats'!BM:BM)^0.9 / 21 * _xlfn.XLOOKUP(B58,'Base stats'!B:B,'Base stats'!BU:BU),0.1),0.05),
MAX(MROUND(((MIN(12,_xlfn.XLOOKUP(B58,'Base stats'!B:B,'Base stats'!U:U)))^0.4*_xlfn.XLOOKUP(B58,'Base stats'!B:B,'Base stats'!BE:BE)^0.73)^0.6 * _xlfn.XLOOKUP(B58,'Base stats'!B:B,'Base stats'!BU:BU),0.1),0.05)
))</f>
        <v>No</v>
      </c>
      <c r="T58" s="11" t="str">
        <f>IF(S58="No","No",
MAX(0.01,MROUND(_xlfn.XLOOKUP(B58,'Base stats'!B:B,'Base stats'!BE:BE) * 0.01 * 2, 0.01))
)</f>
        <v>No</v>
      </c>
      <c r="U58" s="5" t="str">
        <f>IF(S58="No","No",IF(_xlfn.XLOOKUP(B58,'Base stats'!B:B,'Base stats'!U:U)="No","No",
MAX(0.01,MROUND(_xlfn.XLOOKUP(B58,'Base stats'!B:B,'Base stats'!BQ:BQ)/10000,0.01))
))</f>
        <v>No</v>
      </c>
      <c r="V58" s="4" t="str">
        <f>IF(S58="No","No",
MROUND(_xlfn.XLOOKUP(B58,'Base stats'!B:B,'Base stats'!BC:BC)^0.25
/((_xlfn.XLOOKUP(B58,'Base stats'!B:B,'Base stats'!BL:BL))*10)*_xlfn.XLOOKUP(_xlfn.XLOOKUP(B58,'Base stats'!B:B,'Base stats'!E:E),Groups!A:A,Groups!AE:AE)*150 + 0.5 + _xlfn.XLOOKUP(B58,'Base stats'!B:B,'Base stats'!BT:BT),
0.05))</f>
        <v>No</v>
      </c>
      <c r="W58" s="8">
        <f>MROUND(_xlfn.XLOOKUP(_xlfn.XLOOKUP(B58,'Base stats'!B:B,'Base stats'!E:E),Groups!A:A,Groups!BF:BF)*_xlfn.XLOOKUP(B58,'Base stats'!B:B,'Base stats'!C:C)^-0.165,0.01)</f>
        <v>0.74</v>
      </c>
      <c r="X58" s="1">
        <f>MROUND(_xlfn.XLOOKUP(_xlfn.XLOOKUP(B58,'Base stats'!B:B,'Base stats'!E:E),Groups!A:A,Groups!BG:BG)*_xlfn.XLOOKUP(B58,'Base stats'!B:B,'Base stats'!C:C)^0.165,0.01)</f>
        <v>0.27</v>
      </c>
      <c r="Y58" s="8">
        <f>MROUND(_xlfn.XLOOKUP(_xlfn.XLOOKUP(B58,'Base stats'!B:B,'Base stats'!E:E),Groups!A:A,Groups!BH:BH)*_xlfn.XLOOKUP(B58,'Base stats'!B:B,'Base stats'!C:C)^0.165,0.01)</f>
        <v>0.03</v>
      </c>
      <c r="Z58" s="18">
        <f>_xlfn.XLOOKUP(B58,'Base stats'!B:B,'Base stats'!AN:AN)*_xlfn.XLOOKUP(_xlfn.XLOOKUP(B58,'Base stats'!B:B,'Base stats'!E:E),Groups!A:A,Groups!H:H)/1000</f>
        <v>4.2492800064537831E-2</v>
      </c>
      <c r="AA58" s="18">
        <f>(1/2)*(_xlfn.XLOOKUP(_xlfn.XLOOKUP(B58,'Base stats'!B:B,'Base stats'!E:E),Groups!A:A,Groups!H:H)*_xlfn.XLOOKUP(_xlfn.XLOOKUP(B58,'Base stats'!B:B,'Base stats'!E:E),Groups!A:A,Groups!I:I))*_xlfn.XLOOKUP(B58,'Base stats'!B:B,'Base stats'!AN:AN)*0.01</f>
        <v>0.31869600048403379</v>
      </c>
      <c r="AB58" s="18">
        <f>250*(Animals!AN58+Animals!AO58)</f>
        <v>187.5</v>
      </c>
      <c r="AC58" s="18" t="str">
        <f>_xlfn.XLOOKUP(_xlfn.XLOOKUP(B58,'Base stats'!B:B,'Base stats'!E:E),Groups!A:A,Groups!BI:BI)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stats'!BP:BP) * (_xlfn.XLOOKUP(B59,'Base stats'!B:B,'Base stats'!AL:AL)*5%)^0.9 / 21,0.1),0.05)</f>
        <v>0.2</v>
      </c>
      <c r="E59" s="11">
        <f>MAX(0.01,MROUND(_xlfn.XLOOKUP(B59,'Base stats'!B:B,'Base stats'!BD:BD) * 0.01 * 2, 0.01))</f>
        <v>0.12</v>
      </c>
      <c r="F59" s="7">
        <f>MROUND(_xlfn.XLOOKUP(B59,'Base stats'!B:B,'Base stats'!BA:BA)^0.25 / (_xlfn.XLOOKUP(B59,'Base stats'!B:B,'Base stats'!BH:BH) * 10) * 150 + 0.5 + _xlfn.XLOOKUP(B59,'Base stats'!B:B,'Base stats'!BT:BT), 0.05)</f>
        <v>1.35</v>
      </c>
      <c r="G59" s="3" t="str">
        <f>IF(Animals!R59="No","No",
IF(_xlfn.XLOOKUP(B59,'Base stats'!B:B,'Base stats'!U:U)="No",
MAX(MROUND(_xlfn.XLOOKUP(B59,'Base stats'!B:B,'Base stats'!BQ:BQ) * _xlfn.XLOOKUP(B59,'Base stats'!B:B,'Base stats'!BM:BM)^0.9 / 21 * _xlfn.XLOOKUP(B59,'Base stats'!B:B,'Base stats'!BU:BU),0.1),0.05),
MAX(MROUND(((MIN(10,_xlfn.XLOOKUP(B59,'Base stats'!B:B,'Base stats'!U:U)))^0.4*_xlfn.XLOOKUP(B59,'Base stats'!B:B,'Base stats'!BE:BE)^0.73)^0.6 * _xlfn.XLOOKUP(B59,'Base stats'!B:B,'Base stats'!BU:BU),0.1),0.05)
))</f>
        <v>No</v>
      </c>
      <c r="H59" s="11" t="str">
        <f>IF(G59="No","No",
MAX(0.01,MROUND(_xlfn.XLOOKUP(B59,'Base stats'!B:B,'Base stats'!BE:BE) * 0.01 * 2, 0.01))
)</f>
        <v>No</v>
      </c>
      <c r="I59" s="11" t="str">
        <f>IF(G59="No","No",IF(_xlfn.XLOOKUP(B59,'Base stats'!B:B,'Base stats'!U:U)="No","No",
MAX(0.01,MROUND(_xlfn.XLOOKUP(B59,'Base stats'!B:B,'Base stats'!BQ:BQ)/10000,0.01))
))</f>
        <v>No</v>
      </c>
      <c r="J59" s="4" t="str">
        <f>IF(G59="No","No",
MROUND(_xlfn.XLOOKUP(B59,'Base stats'!B:B,'Base stats'!BB:BB)^0.25
/((_xlfn.XLOOKUP(B59,'Base stats'!B:B,'Base stats'!BI:BI))*10)*_xlfn.XLOOKUP(_xlfn.XLOOKUP(B59,'Base stats'!B:B,'Base stats'!E:E),Groups!A:A,Groups!Q:Q)*150 + 0.5 + _xlfn.XLOOKUP(B59,'Base stats'!B:B,'Base stats'!BT:BT),
0.05))</f>
        <v>No</v>
      </c>
      <c r="K59" s="3" t="str">
        <f>IF(Animals!W59="No","No",
IF(_xlfn.XLOOKUP(_xlfn.XLOOKUP(B59,'Base stats'!B:B,'Base stats'!E:E),Groups!A:A,Groups!BC:BC)=1,
MAX(MROUND(_xlfn.XLOOKUP(B59,'Base stats'!B:B,'Base stats'!BR:BR) * _xlfn.XLOOKUP(B59,'Base stats'!B:B,'Base stats'!BN:BN)^0.9 / 21 *_xlfn.XLOOKUP(B59,'Base stats'!B:B,'Base stats'!BU:BU),0.1),0.05),
MAX(MROUND(((MIN(10,_xlfn.XLOOKUP(B59,'Base stats'!B:B,'Base stats'!W:W)))^0.4*_xlfn.XLOOKUP(B59,'Base stats'!B:B,'Base stats'!BF:BF)^0.73)^0.6 *_xlfn.XLOOKUP(B59,'Base stats'!B:B,'Base stats'!BU:BU),0.1),0.05)
))</f>
        <v>No</v>
      </c>
      <c r="L59" s="11" t="str">
        <f>IF(K59="No","No",
MAX(0.01,MROUND(_xlfn.XLOOKUP(B59,'Base stats'!B:B,'Base stats'!BF:BF) * 0.01 *2, 0.01))
)</f>
        <v>No</v>
      </c>
      <c r="M59" s="5" t="str">
        <f>IF(K59="No","No",IF(_xlfn.XLOOKUP(_xlfn.XLOOKUP(B59,'Base stats'!B:B,'Base stats'!E:E),Groups!A:A,Groups!BC:BC)=1,"No",
MAX(0.01,MROUND(_xlfn.XLOOKUP(B59,'Base stats'!B:B,'Base stats'!BR:BR)/10000,0.01))
))</f>
        <v>No</v>
      </c>
      <c r="N59" s="4" t="str">
        <f>IF(K59="No","No",
MROUND(
  _xlfn.XLOOKUP(B59,'Base stats'!B:B,'Base stats'!AZ:AZ)^0.25
  / (_xlfn.XLOOKUP(B59,'Base stats'!B:B,'Base stats'!BJ:BJ)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stats'!BT:BT),
0.05))</f>
        <v>No</v>
      </c>
      <c r="O59" s="3">
        <f>IF(Animals!AC59="No","No",
MAX(MROUND((MIN(10,_xlfn.XLOOKUP(B59,'Base stats'!B:B,'Base stats'!V:V)*IF(_xlfn.XLOOKUP(_xlfn.XLOOKUP(B59,'Base stats'!B:B,'Base stats'!E:E),Groups!A:A,Groups!O:O)=0,1,0.33))^0.4*_xlfn.XLOOKUP(B59,'Base stats'!B:B,'Base stats'!BG:BG)^0.73)^0.6 *_xlfn.XLOOKUP(B59,'Base stats'!B:B,'Base stats'!BU:BU),0.1),0.05)
)</f>
        <v>4.4000000000000004</v>
      </c>
      <c r="P59" s="11">
        <f>IF(O59="No","No",
MAX(0.01,MROUND(_xlfn.XLOOKUP(B59,'Base stats'!B:B,'Base stats'!BG:BG) * 0.01 * 2, 0.01))
)</f>
        <v>0.48</v>
      </c>
      <c r="Q59" s="5">
        <f>IF(O59="No","No",
MAX(0.01,MROUND(_xlfn.XLOOKUP(B59,'Base stats'!B:B,'Base stats'!BS:BS)/10000,0.01))
)</f>
        <v>0.1</v>
      </c>
      <c r="R59" s="4">
        <f>IF(O59="No","No",
MROUND(_xlfn.XLOOKUP(B59,'Base stats'!B:B,'Base stats'!AY:AY)^0.25
/((_xlfn.XLOOKUP(B59,'Base stats'!B:B,'Base stats'!BK:BK))*10)*_xlfn.XLOOKUP(_xlfn.XLOOKUP(B59,'Base stats'!B:B,'Base stats'!E:E),Groups!A:A,Groups!Z:Z)*150 + 0.5 + _xlfn.XLOOKUP(B59,'Base stats'!B:B,'Base stats'!BT:BT),
0.05))</f>
        <v>1.85</v>
      </c>
      <c r="S59" s="3" t="str">
        <f>IF(Animals!AH59="No","No",
IF(_xlfn.XLOOKUP(B59,'Base stats'!B:B,'Base stats'!U:U)="No",
MAX(MROUND(_xlfn.XLOOKUP(B59,'Base stats'!B:B,'Base stats'!BQ:BQ) * _xlfn.XLOOKUP(B59,'Base stats'!B:B,'Base stats'!BM:BM)^0.9 / 21 * _xlfn.XLOOKUP(B59,'Base stats'!B:B,'Base stats'!BU:BU),0.1),0.05),
MAX(MROUND(((MIN(12,_xlfn.XLOOKUP(B59,'Base stats'!B:B,'Base stats'!U:U)))^0.4*_xlfn.XLOOKUP(B59,'Base stats'!B:B,'Base stats'!BE:BE)^0.73)^0.6 * _xlfn.XLOOKUP(B59,'Base stats'!B:B,'Base stats'!BU:BU),0.1),0.05)
))</f>
        <v>No</v>
      </c>
      <c r="T59" s="11" t="str">
        <f>IF(S59="No","No",
MAX(0.01,MROUND(_xlfn.XLOOKUP(B59,'Base stats'!B:B,'Base stats'!BE:BE) * 0.01 * 2, 0.01))
)</f>
        <v>No</v>
      </c>
      <c r="U59" s="5" t="str">
        <f>IF(S59="No","No",IF(_xlfn.XLOOKUP(B59,'Base stats'!B:B,'Base stats'!U:U)="No","No",
MAX(0.01,MROUND(_xlfn.XLOOKUP(B59,'Base stats'!B:B,'Base stats'!BQ:BQ)/10000,0.01))
))</f>
        <v>No</v>
      </c>
      <c r="V59" s="4" t="str">
        <f>IF(S59="No","No",
MROUND(_xlfn.XLOOKUP(B59,'Base stats'!B:B,'Base stats'!BC:BC)^0.25
/((_xlfn.XLOOKUP(B59,'Base stats'!B:B,'Base stats'!BL:BL))*10)*_xlfn.XLOOKUP(_xlfn.XLOOKUP(B59,'Base stats'!B:B,'Base stats'!E:E),Groups!A:A,Groups!AE:AE)*150 + 0.5 + _xlfn.XLOOKUP(B59,'Base stats'!B:B,'Base stats'!BT:BT),
0.05))</f>
        <v>No</v>
      </c>
      <c r="W59" s="8">
        <f>MROUND(_xlfn.XLOOKUP(_xlfn.XLOOKUP(B59,'Base stats'!B:B,'Base stats'!E:E),Groups!A:A,Groups!BF:BF)*_xlfn.XLOOKUP(B59,'Base stats'!B:B,'Base stats'!C:C)^-0.165,0.01)</f>
        <v>0.82000000000000006</v>
      </c>
      <c r="X59" s="1">
        <f>MROUND(_xlfn.XLOOKUP(_xlfn.XLOOKUP(B59,'Base stats'!B:B,'Base stats'!E:E),Groups!A:A,Groups!BG:BG)*_xlfn.XLOOKUP(B59,'Base stats'!B:B,'Base stats'!C:C)^0.165,0.01)</f>
        <v>0.25</v>
      </c>
      <c r="Y59" s="8">
        <f>MROUND(_xlfn.XLOOKUP(_xlfn.XLOOKUP(B59,'Base stats'!B:B,'Base stats'!E:E),Groups!A:A,Groups!BH:BH)*_xlfn.XLOOKUP(B59,'Base stats'!B:B,'Base stats'!C:C)^0.165,0.01)</f>
        <v>0.03</v>
      </c>
      <c r="Z59" s="18">
        <f>_xlfn.XLOOKUP(B59,'Base stats'!B:B,'Base stats'!AN:AN)*_xlfn.XLOOKUP(_xlfn.XLOOKUP(B59,'Base stats'!B:B,'Base stats'!E:E),Groups!A:A,Groups!H:H)/1000</f>
        <v>3.4354332287878035E-2</v>
      </c>
      <c r="AA59" s="18">
        <f>(1/2)*(_xlfn.XLOOKUP(_xlfn.XLOOKUP(B59,'Base stats'!B:B,'Base stats'!E:E),Groups!A:A,Groups!H:H)*_xlfn.XLOOKUP(_xlfn.XLOOKUP(B59,'Base stats'!B:B,'Base stats'!E:E),Groups!A:A,Groups!I:I))*_xlfn.XLOOKUP(B59,'Base stats'!B:B,'Base stats'!AN:AN)*0.01</f>
        <v>0.25765749215908534</v>
      </c>
      <c r="AB59" s="18">
        <f>250*(Animals!AN59+Animals!AO59)</f>
        <v>137.5</v>
      </c>
      <c r="AC59" s="18" t="str">
        <f>_xlfn.XLOOKUP(_xlfn.XLOOKUP(B59,'Base stats'!B:B,'Base stats'!E:E),Groups!A:A,Groups!BI:BI)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stats'!BP:BP) * (_xlfn.XLOOKUP(B60,'Base stats'!B:B,'Base stats'!AL:AL)*5%)^0.9 / 21,0.1),0.05)</f>
        <v>0.1</v>
      </c>
      <c r="E60" s="11">
        <f>MAX(0.01,MROUND(_xlfn.XLOOKUP(B60,'Base stats'!B:B,'Base stats'!BD:BD) * 0.01 * 2, 0.01))</f>
        <v>0.09</v>
      </c>
      <c r="F60" s="7">
        <f>MROUND(_xlfn.XLOOKUP(B60,'Base stats'!B:B,'Base stats'!BA:BA)^0.25 / (_xlfn.XLOOKUP(B60,'Base stats'!B:B,'Base stats'!BH:BH) * 10) * 150 + 0.5 + _xlfn.XLOOKUP(B60,'Base stats'!B:B,'Base stats'!BT:BT), 0.05)</f>
        <v>1.3</v>
      </c>
      <c r="G60" s="3" t="str">
        <f>IF(Animals!R60="No","No",
IF(_xlfn.XLOOKUP(B60,'Base stats'!B:B,'Base stats'!U:U)="No",
MAX(MROUND(_xlfn.XLOOKUP(B60,'Base stats'!B:B,'Base stats'!BQ:BQ) * _xlfn.XLOOKUP(B60,'Base stats'!B:B,'Base stats'!BM:BM)^0.9 / 21 * _xlfn.XLOOKUP(B60,'Base stats'!B:B,'Base stats'!BU:BU),0.1),0.05),
MAX(MROUND(((MIN(10,_xlfn.XLOOKUP(B60,'Base stats'!B:B,'Base stats'!U:U)))^0.4*_xlfn.XLOOKUP(B60,'Base stats'!B:B,'Base stats'!BE:BE)^0.73)^0.6 * _xlfn.XLOOKUP(B60,'Base stats'!B:B,'Base stats'!BU:BU),0.1),0.05)
))</f>
        <v>No</v>
      </c>
      <c r="H60" s="11" t="str">
        <f>IF(G60="No","No",
MAX(0.01,MROUND(_xlfn.XLOOKUP(B60,'Base stats'!B:B,'Base stats'!BE:BE) * 0.01 * 2, 0.01))
)</f>
        <v>No</v>
      </c>
      <c r="I60" s="11" t="str">
        <f>IF(G60="No","No",IF(_xlfn.XLOOKUP(B60,'Base stats'!B:B,'Base stats'!U:U)="No","No",
MAX(0.01,MROUND(_xlfn.XLOOKUP(B60,'Base stats'!B:B,'Base stats'!BQ:BQ)/10000,0.01))
))</f>
        <v>No</v>
      </c>
      <c r="J60" s="4" t="str">
        <f>IF(G60="No","No",
MROUND(_xlfn.XLOOKUP(B60,'Base stats'!B:B,'Base stats'!BB:BB)^0.25
/((_xlfn.XLOOKUP(B60,'Base stats'!B:B,'Base stats'!BI:BI))*10)*_xlfn.XLOOKUP(_xlfn.XLOOKUP(B60,'Base stats'!B:B,'Base stats'!E:E),Groups!A:A,Groups!Q:Q)*150 + 0.5 + _xlfn.XLOOKUP(B60,'Base stats'!B:B,'Base stats'!BT:BT),
0.05))</f>
        <v>No</v>
      </c>
      <c r="K60" s="3" t="str">
        <f>IF(Animals!W60="No","No",
IF(_xlfn.XLOOKUP(_xlfn.XLOOKUP(B60,'Base stats'!B:B,'Base stats'!E:E),Groups!A:A,Groups!BC:BC)=1,
MAX(MROUND(_xlfn.XLOOKUP(B60,'Base stats'!B:B,'Base stats'!BR:BR) * _xlfn.XLOOKUP(B60,'Base stats'!B:B,'Base stats'!BN:BN)^0.9 / 21 *_xlfn.XLOOKUP(B60,'Base stats'!B:B,'Base stats'!BU:BU),0.1),0.05),
MAX(MROUND(((MIN(10,_xlfn.XLOOKUP(B60,'Base stats'!B:B,'Base stats'!W:W)))^0.4*_xlfn.XLOOKUP(B60,'Base stats'!B:B,'Base stats'!BF:BF)^0.73)^0.6 *_xlfn.XLOOKUP(B60,'Base stats'!B:B,'Base stats'!BU:BU),0.1),0.05)
))</f>
        <v>No</v>
      </c>
      <c r="L60" s="11" t="str">
        <f>IF(K60="No","No",
MAX(0.01,MROUND(_xlfn.XLOOKUP(B60,'Base stats'!B:B,'Base stats'!BF:BF) * 0.01 *2, 0.01))
)</f>
        <v>No</v>
      </c>
      <c r="M60" s="5" t="str">
        <f>IF(K60="No","No",IF(_xlfn.XLOOKUP(_xlfn.XLOOKUP(B60,'Base stats'!B:B,'Base stats'!E:E),Groups!A:A,Groups!BC:BC)=1,"No",
MAX(0.01,MROUND(_xlfn.XLOOKUP(B60,'Base stats'!B:B,'Base stats'!BR:BR)/10000,0.01))
))</f>
        <v>No</v>
      </c>
      <c r="N60" s="4" t="str">
        <f>IF(K60="No","No",
MROUND(
  _xlfn.XLOOKUP(B60,'Base stats'!B:B,'Base stats'!AZ:AZ)^0.25
  / (_xlfn.XLOOKUP(B60,'Base stats'!B:B,'Base stats'!BJ:BJ)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stats'!BT:BT),
0.05))</f>
        <v>No</v>
      </c>
      <c r="O60" s="3">
        <f>IF(Animals!AC60="No","No",
MAX(MROUND((MIN(10,_xlfn.XLOOKUP(B60,'Base stats'!B:B,'Base stats'!V:V)*IF(_xlfn.XLOOKUP(_xlfn.XLOOKUP(B60,'Base stats'!B:B,'Base stats'!E:E),Groups!A:A,Groups!O:O)=0,1,0.33))^0.4*_xlfn.XLOOKUP(B60,'Base stats'!B:B,'Base stats'!BG:BG)^0.73)^0.6 *_xlfn.XLOOKUP(B60,'Base stats'!B:B,'Base stats'!BU:BU),0.1),0.05)
)</f>
        <v>2.7</v>
      </c>
      <c r="P60" s="11">
        <f>IF(O60="No","No",
MAX(0.01,MROUND(_xlfn.XLOOKUP(B60,'Base stats'!B:B,'Base stats'!BG:BG) * 0.01 * 2, 0.01))
)</f>
        <v>0.17</v>
      </c>
      <c r="Q60" s="5">
        <f>IF(O60="No","No",
MAX(0.01,MROUND(_xlfn.XLOOKUP(B60,'Base stats'!B:B,'Base stats'!BS:BS)/10000,0.01))
)</f>
        <v>0.04</v>
      </c>
      <c r="R60" s="4">
        <f>IF(O60="No","No",
MROUND(_xlfn.XLOOKUP(B60,'Base stats'!B:B,'Base stats'!AY:AY)^0.25
/((_xlfn.XLOOKUP(B60,'Base stats'!B:B,'Base stats'!BK:BK))*10)*_xlfn.XLOOKUP(_xlfn.XLOOKUP(B60,'Base stats'!B:B,'Base stats'!E:E),Groups!A:A,Groups!Z:Z)*150 + 0.5 + _xlfn.XLOOKUP(B60,'Base stats'!B:B,'Base stats'!BT:BT),
0.05))</f>
        <v>1.75</v>
      </c>
      <c r="S60" s="3" t="str">
        <f>IF(Animals!AH60="No","No",
IF(_xlfn.XLOOKUP(B60,'Base stats'!B:B,'Base stats'!U:U)="No",
MAX(MROUND(_xlfn.XLOOKUP(B60,'Base stats'!B:B,'Base stats'!BQ:BQ) * _xlfn.XLOOKUP(B60,'Base stats'!B:B,'Base stats'!BM:BM)^0.9 / 21 * _xlfn.XLOOKUP(B60,'Base stats'!B:B,'Base stats'!BU:BU),0.1),0.05),
MAX(MROUND(((MIN(12,_xlfn.XLOOKUP(B60,'Base stats'!B:B,'Base stats'!U:U)))^0.4*_xlfn.XLOOKUP(B60,'Base stats'!B:B,'Base stats'!BE:BE)^0.73)^0.6 * _xlfn.XLOOKUP(B60,'Base stats'!B:B,'Base stats'!BU:BU),0.1),0.05)
))</f>
        <v>No</v>
      </c>
      <c r="T60" s="11" t="str">
        <f>IF(S60="No","No",
MAX(0.01,MROUND(_xlfn.XLOOKUP(B60,'Base stats'!B:B,'Base stats'!BE:BE) * 0.01 * 2, 0.01))
)</f>
        <v>No</v>
      </c>
      <c r="U60" s="5" t="str">
        <f>IF(S60="No","No",IF(_xlfn.XLOOKUP(B60,'Base stats'!B:B,'Base stats'!U:U)="No","No",
MAX(0.01,MROUND(_xlfn.XLOOKUP(B60,'Base stats'!B:B,'Base stats'!BQ:BQ)/10000,0.01))
))</f>
        <v>No</v>
      </c>
      <c r="V60" s="4" t="str">
        <f>IF(S60="No","No",
MROUND(_xlfn.XLOOKUP(B60,'Base stats'!B:B,'Base stats'!BC:BC)^0.25
/((_xlfn.XLOOKUP(B60,'Base stats'!B:B,'Base stats'!BL:BL))*10)*_xlfn.XLOOKUP(_xlfn.XLOOKUP(B60,'Base stats'!B:B,'Base stats'!E:E),Groups!A:A,Groups!AE:AE)*150 + 0.5 + _xlfn.XLOOKUP(B60,'Base stats'!B:B,'Base stats'!BT:BT),
0.05))</f>
        <v>No</v>
      </c>
      <c r="W60" s="8">
        <f>MROUND(_xlfn.XLOOKUP(_xlfn.XLOOKUP(B60,'Base stats'!B:B,'Base stats'!E:E),Groups!A:A,Groups!BF:BF)*_xlfn.XLOOKUP(B60,'Base stats'!B:B,'Base stats'!C:C)^-0.165,0.01)</f>
        <v>0.87</v>
      </c>
      <c r="X60" s="1">
        <f>MROUND(_xlfn.XLOOKUP(_xlfn.XLOOKUP(B60,'Base stats'!B:B,'Base stats'!E:E),Groups!A:A,Groups!BG:BG)*_xlfn.XLOOKUP(B60,'Base stats'!B:B,'Base stats'!C:C)^0.165,0.01)</f>
        <v>0.23</v>
      </c>
      <c r="Y60" s="8">
        <f>MROUND(_xlfn.XLOOKUP(_xlfn.XLOOKUP(B60,'Base stats'!B:B,'Base stats'!E:E),Groups!A:A,Groups!BH:BH)*_xlfn.XLOOKUP(B60,'Base stats'!B:B,'Base stats'!C:C)^0.165,0.01)</f>
        <v>0.03</v>
      </c>
      <c r="Z60" s="18">
        <f>_xlfn.XLOOKUP(B60,'Base stats'!B:B,'Base stats'!AN:AN)*_xlfn.XLOOKUP(_xlfn.XLOOKUP(B60,'Base stats'!B:B,'Base stats'!E:E),Groups!A:A,Groups!H:H)/1000</f>
        <v>3.0256505216670841E-2</v>
      </c>
      <c r="AA60" s="18">
        <f>(1/2)*(_xlfn.XLOOKUP(_xlfn.XLOOKUP(B60,'Base stats'!B:B,'Base stats'!E:E),Groups!A:A,Groups!H:H)*_xlfn.XLOOKUP(_xlfn.XLOOKUP(B60,'Base stats'!B:B,'Base stats'!E:E),Groups!A:A,Groups!I:I))*_xlfn.XLOOKUP(B60,'Base stats'!B:B,'Base stats'!AN:AN)*0.01</f>
        <v>0.22692378912503133</v>
      </c>
      <c r="AB60" s="18">
        <f>250*(Animals!AN60+Animals!AO60)</f>
        <v>112.5</v>
      </c>
      <c r="AC60" s="18" t="str">
        <f>_xlfn.XLOOKUP(_xlfn.XLOOKUP(B60,'Base stats'!B:B,'Base stats'!E:E),Groups!A:A,Groups!BI:BI)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stats'!BP:BP) * (_xlfn.XLOOKUP(B61,'Base stats'!B:B,'Base stats'!AL:AL)*5%)^0.9 / 21,0.1),0.05)</f>
        <v>0.4</v>
      </c>
      <c r="E61" s="11">
        <f>MAX(0.01,MROUND(_xlfn.XLOOKUP(B61,'Base stats'!B:B,'Base stats'!BD:BD) * 0.01 * 2, 0.01))</f>
        <v>0.32</v>
      </c>
      <c r="F61" s="7">
        <f>MROUND(_xlfn.XLOOKUP(B61,'Base stats'!B:B,'Base stats'!BA:BA)^0.25 / (_xlfn.XLOOKUP(B61,'Base stats'!B:B,'Base stats'!BH:BH) * 10) * 150 + 0.5 + _xlfn.XLOOKUP(B61,'Base stats'!B:B,'Base stats'!BT:BT), 0.05)</f>
        <v>1.6</v>
      </c>
      <c r="G61" s="3" t="str">
        <f>IF(Animals!R61="No","No",
IF(_xlfn.XLOOKUP(B61,'Base stats'!B:B,'Base stats'!U:U)="No",
MAX(MROUND(_xlfn.XLOOKUP(B61,'Base stats'!B:B,'Base stats'!BQ:BQ) * _xlfn.XLOOKUP(B61,'Base stats'!B:B,'Base stats'!BM:BM)^0.9 / 21 * _xlfn.XLOOKUP(B61,'Base stats'!B:B,'Base stats'!BU:BU),0.1),0.05),
MAX(MROUND(((MIN(10,_xlfn.XLOOKUP(B61,'Base stats'!B:B,'Base stats'!U:U)))^0.4*_xlfn.XLOOKUP(B61,'Base stats'!B:B,'Base stats'!BE:BE)^0.73)^0.6 * _xlfn.XLOOKUP(B61,'Base stats'!B:B,'Base stats'!BU:BU),0.1),0.05)
))</f>
        <v>No</v>
      </c>
      <c r="H61" s="11" t="str">
        <f>IF(G61="No","No",
MAX(0.01,MROUND(_xlfn.XLOOKUP(B61,'Base stats'!B:B,'Base stats'!BE:BE) * 0.01 * 2, 0.01))
)</f>
        <v>No</v>
      </c>
      <c r="I61" s="11" t="str">
        <f>IF(G61="No","No",IF(_xlfn.XLOOKUP(B61,'Base stats'!B:B,'Base stats'!U:U)="No","No",
MAX(0.01,MROUND(_xlfn.XLOOKUP(B61,'Base stats'!B:B,'Base stats'!BQ:BQ)/10000,0.01))
))</f>
        <v>No</v>
      </c>
      <c r="J61" s="4" t="str">
        <f>IF(G61="No","No",
MROUND(_xlfn.XLOOKUP(B61,'Base stats'!B:B,'Base stats'!BB:BB)^0.25
/((_xlfn.XLOOKUP(B61,'Base stats'!B:B,'Base stats'!BI:BI))*10)*_xlfn.XLOOKUP(_xlfn.XLOOKUP(B61,'Base stats'!B:B,'Base stats'!E:E),Groups!A:A,Groups!Q:Q)*150 + 0.5 + _xlfn.XLOOKUP(B61,'Base stats'!B:B,'Base stats'!BT:BT),
0.05))</f>
        <v>No</v>
      </c>
      <c r="K61" s="3" t="str">
        <f>IF(Animals!W61="No","No",
IF(_xlfn.XLOOKUP(_xlfn.XLOOKUP(B61,'Base stats'!B:B,'Base stats'!E:E),Groups!A:A,Groups!BC:BC)=1,
MAX(MROUND(_xlfn.XLOOKUP(B61,'Base stats'!B:B,'Base stats'!BR:BR) * _xlfn.XLOOKUP(B61,'Base stats'!B:B,'Base stats'!BN:BN)^0.9 / 21 *_xlfn.XLOOKUP(B61,'Base stats'!B:B,'Base stats'!BU:BU),0.1),0.05),
MAX(MROUND(((MIN(10,_xlfn.XLOOKUP(B61,'Base stats'!B:B,'Base stats'!W:W)))^0.4*_xlfn.XLOOKUP(B61,'Base stats'!B:B,'Base stats'!BF:BF)^0.73)^0.6 *_xlfn.XLOOKUP(B61,'Base stats'!B:B,'Base stats'!BU:BU),0.1),0.05)
))</f>
        <v>No</v>
      </c>
      <c r="L61" s="11" t="str">
        <f>IF(K61="No","No",
MAX(0.01,MROUND(_xlfn.XLOOKUP(B61,'Base stats'!B:B,'Base stats'!BF:BF) * 0.01 *2, 0.01))
)</f>
        <v>No</v>
      </c>
      <c r="M61" s="5" t="str">
        <f>IF(K61="No","No",IF(_xlfn.XLOOKUP(_xlfn.XLOOKUP(B61,'Base stats'!B:B,'Base stats'!E:E),Groups!A:A,Groups!BC:BC)=1,"No",
MAX(0.01,MROUND(_xlfn.XLOOKUP(B61,'Base stats'!B:B,'Base stats'!BR:BR)/10000,0.01))
))</f>
        <v>No</v>
      </c>
      <c r="N61" s="4" t="str">
        <f>IF(K61="No","No",
MROUND(
  _xlfn.XLOOKUP(B61,'Base stats'!B:B,'Base stats'!AZ:AZ)^0.25
  / (_xlfn.XLOOKUP(B61,'Base stats'!B:B,'Base stats'!BJ:BJ)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stats'!BT:BT),
0.05))</f>
        <v>No</v>
      </c>
      <c r="O61" s="3">
        <f>IF(Animals!AC61="No","No",
MAX(MROUND((MIN(10,_xlfn.XLOOKUP(B61,'Base stats'!B:B,'Base stats'!V:V)*IF(_xlfn.XLOOKUP(_xlfn.XLOOKUP(B61,'Base stats'!B:B,'Base stats'!E:E),Groups!A:A,Groups!O:O)=0,1,0.33))^0.4*_xlfn.XLOOKUP(B61,'Base stats'!B:B,'Base stats'!BG:BG)^0.73)^0.6 *_xlfn.XLOOKUP(B61,'Base stats'!B:B,'Base stats'!BU:BU),0.1),0.05)
)</f>
        <v>4.8000000000000007</v>
      </c>
      <c r="P61" s="11">
        <f>IF(O61="No","No",
MAX(0.01,MROUND(_xlfn.XLOOKUP(B61,'Base stats'!B:B,'Base stats'!BG:BG) * 0.01 * 2, 0.01))
)</f>
        <v>0.28999999999999998</v>
      </c>
      <c r="Q61" s="5">
        <f>IF(O61="No","No",
MAX(0.01,MROUND(_xlfn.XLOOKUP(B61,'Base stats'!B:B,'Base stats'!BS:BS)/10000,0.01))
)</f>
        <v>0.04</v>
      </c>
      <c r="R61" s="4">
        <f>IF(O61="No","No",
MROUND(_xlfn.XLOOKUP(B61,'Base stats'!B:B,'Base stats'!AY:AY)^0.25
/((_xlfn.XLOOKUP(B61,'Base stats'!B:B,'Base stats'!BK:BK))*10)*_xlfn.XLOOKUP(_xlfn.XLOOKUP(B61,'Base stats'!B:B,'Base stats'!E:E),Groups!A:A,Groups!Z:Z)*150 + 0.5 + _xlfn.XLOOKUP(B61,'Base stats'!B:B,'Base stats'!BT:BT),
0.05))</f>
        <v>2.1</v>
      </c>
      <c r="S61" s="3" t="str">
        <f>IF(Animals!AH61="No","No",
IF(_xlfn.XLOOKUP(B61,'Base stats'!B:B,'Base stats'!U:U)="No",
MAX(MROUND(_xlfn.XLOOKUP(B61,'Base stats'!B:B,'Base stats'!BQ:BQ) * _xlfn.XLOOKUP(B61,'Base stats'!B:B,'Base stats'!BM:BM)^0.9 / 21 * _xlfn.XLOOKUP(B61,'Base stats'!B:B,'Base stats'!BU:BU),0.1),0.05),
MAX(MROUND(((MIN(12,_xlfn.XLOOKUP(B61,'Base stats'!B:B,'Base stats'!U:U)))^0.4*_xlfn.XLOOKUP(B61,'Base stats'!B:B,'Base stats'!BE:BE)^0.73)^0.6 * _xlfn.XLOOKUP(B61,'Base stats'!B:B,'Base stats'!BU:BU),0.1),0.05)
))</f>
        <v>No</v>
      </c>
      <c r="T61" s="11" t="str">
        <f>IF(S61="No","No",
MAX(0.01,MROUND(_xlfn.XLOOKUP(B61,'Base stats'!B:B,'Base stats'!BE:BE) * 0.01 * 2, 0.01))
)</f>
        <v>No</v>
      </c>
      <c r="U61" s="5" t="str">
        <f>IF(S61="No","No",IF(_xlfn.XLOOKUP(B61,'Base stats'!B:B,'Base stats'!U:U)="No","No",
MAX(0.01,MROUND(_xlfn.XLOOKUP(B61,'Base stats'!B:B,'Base stats'!BQ:BQ)/10000,0.01))
))</f>
        <v>No</v>
      </c>
      <c r="V61" s="4" t="str">
        <f>IF(S61="No","No",
MROUND(_xlfn.XLOOKUP(B61,'Base stats'!B:B,'Base stats'!BC:BC)^0.25
/((_xlfn.XLOOKUP(B61,'Base stats'!B:B,'Base stats'!BL:BL))*10)*_xlfn.XLOOKUP(_xlfn.XLOOKUP(B61,'Base stats'!B:B,'Base stats'!E:E),Groups!A:A,Groups!AE:AE)*150 + 0.5 + _xlfn.XLOOKUP(B61,'Base stats'!B:B,'Base stats'!BT:BT),
0.05))</f>
        <v>No</v>
      </c>
      <c r="W61" s="8">
        <f>MROUND(_xlfn.XLOOKUP(_xlfn.XLOOKUP(B61,'Base stats'!B:B,'Base stats'!E:E),Groups!A:A,Groups!BF:BF)*_xlfn.XLOOKUP(B61,'Base stats'!B:B,'Base stats'!C:C)^-0.165,0.01)</f>
        <v>0.48</v>
      </c>
      <c r="X61" s="1">
        <f>MROUND(_xlfn.XLOOKUP(_xlfn.XLOOKUP(B61,'Base stats'!B:B,'Base stats'!E:E),Groups!A:A,Groups!BG:BG)*_xlfn.XLOOKUP(B61,'Base stats'!B:B,'Base stats'!C:C)^0.165,0.01)</f>
        <v>0.15</v>
      </c>
      <c r="Y61" s="8">
        <f>MROUND(_xlfn.XLOOKUP(_xlfn.XLOOKUP(B61,'Base stats'!B:B,'Base stats'!E:E),Groups!A:A,Groups!BH:BH)*_xlfn.XLOOKUP(B61,'Base stats'!B:B,'Base stats'!C:C)^0.165,0.01)</f>
        <v>0.04</v>
      </c>
      <c r="Z61" s="18">
        <f>_xlfn.XLOOKUP(B61,'Base stats'!B:B,'Base stats'!AN:AN)*_xlfn.XLOOKUP(_xlfn.XLOOKUP(B61,'Base stats'!B:B,'Base stats'!E:E),Groups!A:A,Groups!H:H)/1000</f>
        <v>2.4214720252636171E-2</v>
      </c>
      <c r="AA61" s="18">
        <f>(1/2)*(_xlfn.XLOOKUP(_xlfn.XLOOKUP(B61,'Base stats'!B:B,'Base stats'!E:E),Groups!A:A,Groups!H:H)*_xlfn.XLOOKUP(_xlfn.XLOOKUP(B61,'Base stats'!B:B,'Base stats'!E:E),Groups!A:A,Groups!I:I))*_xlfn.XLOOKUP(B61,'Base stats'!B:B,'Base stats'!AN:AN)*0.01</f>
        <v>0.13318096138949895</v>
      </c>
      <c r="AB61" s="18">
        <f>250*(Animals!AN61+Animals!AO61)</f>
        <v>200</v>
      </c>
      <c r="AC61" s="18" t="str">
        <f>_xlfn.XLOOKUP(_xlfn.XLOOKUP(B61,'Base stats'!B:B,'Base stats'!E:E),Groups!A:A,Groups!BI:BI)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stats'!BP:BP) * (_xlfn.XLOOKUP(B62,'Base stats'!B:B,'Base stats'!AL:AL)*5%)^0.9 / 21,0.1),0.05)</f>
        <v>3.5</v>
      </c>
      <c r="E62" s="11">
        <f>MAX(0.01,MROUND(_xlfn.XLOOKUP(B62,'Base stats'!B:B,'Base stats'!BD:BD) * 0.01 * 2, 0.01))</f>
        <v>2.99</v>
      </c>
      <c r="F62" s="7">
        <f>MROUND(_xlfn.XLOOKUP(B62,'Base stats'!B:B,'Base stats'!BA:BA)^0.25 / (_xlfn.XLOOKUP(B62,'Base stats'!B:B,'Base stats'!BH:BH) * 10) * 150 + 0.5 + _xlfn.XLOOKUP(B62,'Base stats'!B:B,'Base stats'!BT:BT), 0.05)</f>
        <v>1.6500000000000001</v>
      </c>
      <c r="G62" s="3" t="str">
        <f>IF(Animals!R62="No","No",
IF(_xlfn.XLOOKUP(B62,'Base stats'!B:B,'Base stats'!U:U)="No",
MAX(MROUND(_xlfn.XLOOKUP(B62,'Base stats'!B:B,'Base stats'!BQ:BQ) * _xlfn.XLOOKUP(B62,'Base stats'!B:B,'Base stats'!BM:BM)^0.9 / 21 * _xlfn.XLOOKUP(B62,'Base stats'!B:B,'Base stats'!BU:BU),0.1),0.05),
MAX(MROUND(((MIN(10,_xlfn.XLOOKUP(B62,'Base stats'!B:B,'Base stats'!U:U)))^0.4*_xlfn.XLOOKUP(B62,'Base stats'!B:B,'Base stats'!BE:BE)^0.73)^0.6 * _xlfn.XLOOKUP(B62,'Base stats'!B:B,'Base stats'!BU:BU),0.1),0.05)
))</f>
        <v>No</v>
      </c>
      <c r="H62" s="11" t="str">
        <f>IF(G62="No","No",
MAX(0.01,MROUND(_xlfn.XLOOKUP(B62,'Base stats'!B:B,'Base stats'!BE:BE) * 0.01 * 2, 0.01))
)</f>
        <v>No</v>
      </c>
      <c r="I62" s="11" t="str">
        <f>IF(G62="No","No",IF(_xlfn.XLOOKUP(B62,'Base stats'!B:B,'Base stats'!U:U)="No","No",
MAX(0.01,MROUND(_xlfn.XLOOKUP(B62,'Base stats'!B:B,'Base stats'!BQ:BQ)/10000,0.01))
))</f>
        <v>No</v>
      </c>
      <c r="J62" s="4" t="str">
        <f>IF(G62="No","No",
MROUND(_xlfn.XLOOKUP(B62,'Base stats'!B:B,'Base stats'!BB:BB)^0.25
/((_xlfn.XLOOKUP(B62,'Base stats'!B:B,'Base stats'!BI:BI))*10)*_xlfn.XLOOKUP(_xlfn.XLOOKUP(B62,'Base stats'!B:B,'Base stats'!E:E),Groups!A:A,Groups!Q:Q)*150 + 0.5 + _xlfn.XLOOKUP(B62,'Base stats'!B:B,'Base stats'!BT:BT),
0.05))</f>
        <v>No</v>
      </c>
      <c r="K62" s="3" t="str">
        <f>IF(Animals!W62="No","No",
IF(_xlfn.XLOOKUP(_xlfn.XLOOKUP(B62,'Base stats'!B:B,'Base stats'!E:E),Groups!A:A,Groups!BC:BC)=1,
MAX(MROUND(_xlfn.XLOOKUP(B62,'Base stats'!B:B,'Base stats'!BR:BR) * _xlfn.XLOOKUP(B62,'Base stats'!B:B,'Base stats'!BN:BN)^0.9 / 21 *_xlfn.XLOOKUP(B62,'Base stats'!B:B,'Base stats'!BU:BU),0.1),0.05),
MAX(MROUND(((MIN(10,_xlfn.XLOOKUP(B62,'Base stats'!B:B,'Base stats'!W:W)))^0.4*_xlfn.XLOOKUP(B62,'Base stats'!B:B,'Base stats'!BF:BF)^0.73)^0.6 *_xlfn.XLOOKUP(B62,'Base stats'!B:B,'Base stats'!BU:BU),0.1),0.05)
))</f>
        <v>No</v>
      </c>
      <c r="L62" s="11" t="str">
        <f>IF(K62="No","No",
MAX(0.01,MROUND(_xlfn.XLOOKUP(B62,'Base stats'!B:B,'Base stats'!BF:BF) * 0.01 *2, 0.01))
)</f>
        <v>No</v>
      </c>
      <c r="M62" s="5" t="str">
        <f>IF(K62="No","No",IF(_xlfn.XLOOKUP(_xlfn.XLOOKUP(B62,'Base stats'!B:B,'Base stats'!E:E),Groups!A:A,Groups!BC:BC)=1,"No",
MAX(0.01,MROUND(_xlfn.XLOOKUP(B62,'Base stats'!B:B,'Base stats'!BR:BR)/10000,0.01))
))</f>
        <v>No</v>
      </c>
      <c r="N62" s="4" t="str">
        <f>IF(K62="No","No",
MROUND(
  _xlfn.XLOOKUP(B62,'Base stats'!B:B,'Base stats'!AZ:AZ)^0.25
  / (_xlfn.XLOOKUP(B62,'Base stats'!B:B,'Base stats'!BJ:BJ)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stats'!BT:BT),
0.05))</f>
        <v>No</v>
      </c>
      <c r="O62" s="3">
        <f>IF(Animals!AC62="No","No",
MAX(MROUND((MIN(10,_xlfn.XLOOKUP(B62,'Base stats'!B:B,'Base stats'!V:V)*IF(_xlfn.XLOOKUP(_xlfn.XLOOKUP(B62,'Base stats'!B:B,'Base stats'!E:E),Groups!A:A,Groups!O:O)=0,1,0.33))^0.4*_xlfn.XLOOKUP(B62,'Base stats'!B:B,'Base stats'!BG:BG)^0.73)^0.6 *_xlfn.XLOOKUP(B62,'Base stats'!B:B,'Base stats'!BU:BU),0.1),0.05)
)</f>
        <v>17</v>
      </c>
      <c r="P62" s="11">
        <f>IF(O62="No","No",
MAX(0.01,MROUND(_xlfn.XLOOKUP(B62,'Base stats'!B:B,'Base stats'!BG:BG) * 0.01 * 2, 0.01))
)</f>
        <v>5.71</v>
      </c>
      <c r="Q62" s="5">
        <f>IF(O62="No","No",
MAX(0.01,MROUND(_xlfn.XLOOKUP(B62,'Base stats'!B:B,'Base stats'!BS:BS)/10000,0.01))
)</f>
        <v>0.28000000000000003</v>
      </c>
      <c r="R62" s="4">
        <f>IF(O62="No","No",
MROUND(_xlfn.XLOOKUP(B62,'Base stats'!B:B,'Base stats'!AY:AY)^0.25
/((_xlfn.XLOOKUP(B62,'Base stats'!B:B,'Base stats'!BK:BK))*10)*_xlfn.XLOOKUP(_xlfn.XLOOKUP(B62,'Base stats'!B:B,'Base stats'!E:E),Groups!A:A,Groups!Z:Z)*150 + 0.5 + _xlfn.XLOOKUP(B62,'Base stats'!B:B,'Base stats'!BT:BT),
0.05))</f>
        <v>2.2000000000000002</v>
      </c>
      <c r="S62" s="3">
        <f>IF(Animals!AH62="No","No",
IF(_xlfn.XLOOKUP(B62,'Base stats'!B:B,'Base stats'!U:U)="No",
MAX(MROUND(_xlfn.XLOOKUP(B62,'Base stats'!B:B,'Base stats'!BQ:BQ) * _xlfn.XLOOKUP(B62,'Base stats'!B:B,'Base stats'!BM:BM)^0.9 / 21 * _xlfn.XLOOKUP(B62,'Base stats'!B:B,'Base stats'!BU:BU),0.1),0.05),
MAX(MROUND(((MIN(12,_xlfn.XLOOKUP(B62,'Base stats'!B:B,'Base stats'!U:U)))^0.4*_xlfn.XLOOKUP(B62,'Base stats'!B:B,'Base stats'!BE:BE)^0.73)^0.6 * _xlfn.XLOOKUP(B62,'Base stats'!B:B,'Base stats'!BU:BU),0.1),0.05)
))</f>
        <v>14.5</v>
      </c>
      <c r="T62" s="11">
        <f>IF(S62="No","No",
MAX(0.01,MROUND(_xlfn.XLOOKUP(B62,'Base stats'!B:B,'Base stats'!BE:BE) * 0.01 * 2, 0.01))
)</f>
        <v>3.73</v>
      </c>
      <c r="U62" s="5">
        <f>IF(S62="No","No",IF(_xlfn.XLOOKUP(B62,'Base stats'!B:B,'Base stats'!U:U)="No","No",
MAX(0.01,MROUND(_xlfn.XLOOKUP(B62,'Base stats'!B:B,'Base stats'!BQ:BQ)/10000,0.01))
))</f>
        <v>0.18</v>
      </c>
      <c r="V62" s="4">
        <f>IF(S62="No","No",
MROUND(_xlfn.XLOOKUP(B62,'Base stats'!B:B,'Base stats'!BC:BC)^0.25
/((_xlfn.XLOOKUP(B62,'Base stats'!B:B,'Base stats'!BL:BL))*10)*_xlfn.XLOOKUP(_xlfn.XLOOKUP(B62,'Base stats'!B:B,'Base stats'!E:E),Groups!A:A,Groups!AE:AE)*150 + 0.5 + _xlfn.XLOOKUP(B62,'Base stats'!B:B,'Base stats'!BT:BT),
0.05))</f>
        <v>1.5</v>
      </c>
      <c r="W62" s="8">
        <f>MROUND(_xlfn.XLOOKUP(_xlfn.XLOOKUP(B62,'Base stats'!B:B,'Base stats'!E:E),Groups!A:A,Groups!BF:BF)*_xlfn.XLOOKUP(B62,'Base stats'!B:B,'Base stats'!C:C)^-0.165,0.01)</f>
        <v>0.32</v>
      </c>
      <c r="X62" s="1">
        <f>MROUND(_xlfn.XLOOKUP(_xlfn.XLOOKUP(B62,'Base stats'!B:B,'Base stats'!E:E),Groups!A:A,Groups!BG:BG)*_xlfn.XLOOKUP(B62,'Base stats'!B:B,'Base stats'!C:C)^0.165,0.01)</f>
        <v>0.33</v>
      </c>
      <c r="Y62" s="8">
        <f>MROUND(_xlfn.XLOOKUP(_xlfn.XLOOKUP(B62,'Base stats'!B:B,'Base stats'!E:E),Groups!A:A,Groups!BH:BH)*_xlfn.XLOOKUP(B62,'Base stats'!B:B,'Base stats'!C:C)^0.165,0.01)</f>
        <v>0.05</v>
      </c>
      <c r="Z62" s="18">
        <f>_xlfn.XLOOKUP(B62,'Base stats'!B:B,'Base stats'!AN:AN)*_xlfn.XLOOKUP(_xlfn.XLOOKUP(B62,'Base stats'!B:B,'Base stats'!E:E),Groups!A:A,Groups!H:H)/1000</f>
        <v>0.1181022256532067</v>
      </c>
      <c r="AA62" s="18">
        <f>(1/2)*(_xlfn.XLOOKUP(_xlfn.XLOOKUP(B62,'Base stats'!B:B,'Base stats'!E:E),Groups!A:A,Groups!H:H)*_xlfn.XLOOKUP(_xlfn.XLOOKUP(B62,'Base stats'!B:B,'Base stats'!E:E),Groups!A:A,Groups!I:I))*_xlfn.XLOOKUP(B62,'Base stats'!B:B,'Base stats'!AN:AN)*0.01</f>
        <v>0.88576669239905037</v>
      </c>
      <c r="AB62" s="18">
        <f>250*(Animals!AN62+Animals!AO62)</f>
        <v>712.5</v>
      </c>
      <c r="AC62" s="18" t="str">
        <f>_xlfn.XLOOKUP(_xlfn.XLOOKUP(B62,'Base stats'!B:B,'Base stats'!E:E),Groups!A:A,Groups!BI:BI)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stats'!BP:BP) * (_xlfn.XLOOKUP(B63,'Base stats'!B:B,'Base stats'!AL:AL)*5%)^0.9 / 21,0.1),0.05)</f>
        <v>0.05</v>
      </c>
      <c r="E63" s="11">
        <f>MAX(0.01,MROUND(_xlfn.XLOOKUP(B63,'Base stats'!B:B,'Base stats'!BD:BD) * 0.01 * 2, 0.01))</f>
        <v>0.01</v>
      </c>
      <c r="F63" s="7">
        <f>MROUND(_xlfn.XLOOKUP(B63,'Base stats'!B:B,'Base stats'!BA:BA)^0.25 / (_xlfn.XLOOKUP(B63,'Base stats'!B:B,'Base stats'!BH:BH) * 10) * 150 + 0.5 + _xlfn.XLOOKUP(B63,'Base stats'!B:B,'Base stats'!BT:BT), 0.05)</f>
        <v>1</v>
      </c>
      <c r="G63" s="3">
        <f>IF(Animals!R63="No","No",
IF(_xlfn.XLOOKUP(B63,'Base stats'!B:B,'Base stats'!U:U)="No",
MAX(MROUND(_xlfn.XLOOKUP(B63,'Base stats'!B:B,'Base stats'!BQ:BQ) * _xlfn.XLOOKUP(B63,'Base stats'!B:B,'Base stats'!BM:BM)^0.9 / 21 * _xlfn.XLOOKUP(B63,'Base stats'!B:B,'Base stats'!BU:BU),0.1),0.05),
MAX(MROUND(((MIN(10,_xlfn.XLOOKUP(B63,'Base stats'!B:B,'Base stats'!U:U)))^0.4*_xlfn.XLOOKUP(B63,'Base stats'!B:B,'Base stats'!BE:BE)^0.73)^0.6 * _xlfn.XLOOKUP(B63,'Base stats'!B:B,'Base stats'!BU:BU),0.1),0.05)
))</f>
        <v>0.2</v>
      </c>
      <c r="H63" s="11">
        <f>IF(G63="No","No",
MAX(0.01,MROUND(_xlfn.XLOOKUP(B63,'Base stats'!B:B,'Base stats'!BE:BE) * 0.01 * 2, 0.01))
)</f>
        <v>0.01</v>
      </c>
      <c r="I63" s="11">
        <f>IF(G63="No","No",IF(_xlfn.XLOOKUP(B63,'Base stats'!B:B,'Base stats'!U:U)="No","No",
MAX(0.01,MROUND(_xlfn.XLOOKUP(B63,'Base stats'!B:B,'Base stats'!BQ:BQ)/10000,0.01))
))</f>
        <v>0.01</v>
      </c>
      <c r="J63" s="4">
        <f>IF(G63="No","No",
MROUND(_xlfn.XLOOKUP(B63,'Base stats'!B:B,'Base stats'!BB:BB)^0.25
/((_xlfn.XLOOKUP(B63,'Base stats'!B:B,'Base stats'!BI:BI))*10)*_xlfn.XLOOKUP(_xlfn.XLOOKUP(B63,'Base stats'!B:B,'Base stats'!E:E),Groups!A:A,Groups!Q:Q)*150 + 0.5 + _xlfn.XLOOKUP(B63,'Base stats'!B:B,'Base stats'!BT:BT),
0.05))</f>
        <v>1.25</v>
      </c>
      <c r="K63" s="3" t="str">
        <f>IF(Animals!W63="No","No",
IF(_xlfn.XLOOKUP(_xlfn.XLOOKUP(B63,'Base stats'!B:B,'Base stats'!E:E),Groups!A:A,Groups!BC:BC)=1,
MAX(MROUND(_xlfn.XLOOKUP(B63,'Base stats'!B:B,'Base stats'!BR:BR) * _xlfn.XLOOKUP(B63,'Base stats'!B:B,'Base stats'!BN:BN)^0.9 / 21 *_xlfn.XLOOKUP(B63,'Base stats'!B:B,'Base stats'!BU:BU),0.1),0.05),
MAX(MROUND(((MIN(10,_xlfn.XLOOKUP(B63,'Base stats'!B:B,'Base stats'!W:W)))^0.4*_xlfn.XLOOKUP(B63,'Base stats'!B:B,'Base stats'!BF:BF)^0.73)^0.6 *_xlfn.XLOOKUP(B63,'Base stats'!B:B,'Base stats'!BU:BU),0.1),0.05)
))</f>
        <v>No</v>
      </c>
      <c r="L63" s="11" t="str">
        <f>IF(K63="No","No",
MAX(0.01,MROUND(_xlfn.XLOOKUP(B63,'Base stats'!B:B,'Base stats'!BF:BF) * 0.01 *2, 0.01))
)</f>
        <v>No</v>
      </c>
      <c r="M63" s="5" t="str">
        <f>IF(K63="No","No",IF(_xlfn.XLOOKUP(_xlfn.XLOOKUP(B63,'Base stats'!B:B,'Base stats'!E:E),Groups!A:A,Groups!BC:BC)=1,"No",
MAX(0.01,MROUND(_xlfn.XLOOKUP(B63,'Base stats'!B:B,'Base stats'!BR:BR)/10000,0.01))
))</f>
        <v>No</v>
      </c>
      <c r="N63" s="4" t="str">
        <f>IF(K63="No","No",
MROUND(
  _xlfn.XLOOKUP(B63,'Base stats'!B:B,'Base stats'!AZ:AZ)^0.25
  / (_xlfn.XLOOKUP(B63,'Base stats'!B:B,'Base stats'!BJ:BJ)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stats'!BT:BT),
0.05))</f>
        <v>No</v>
      </c>
      <c r="O63" s="3">
        <f>IF(Animals!AC63="No","No",
MAX(MROUND((MIN(10,_xlfn.XLOOKUP(B63,'Base stats'!B:B,'Base stats'!V:V)*IF(_xlfn.XLOOKUP(_xlfn.XLOOKUP(B63,'Base stats'!B:B,'Base stats'!E:E),Groups!A:A,Groups!O:O)=0,1,0.33))^0.4*_xlfn.XLOOKUP(B63,'Base stats'!B:B,'Base stats'!BG:BG)^0.73)^0.6 *_xlfn.XLOOKUP(B63,'Base stats'!B:B,'Base stats'!BU:BU),0.1),0.05)
)</f>
        <v>0.2</v>
      </c>
      <c r="P63" s="11">
        <f>IF(O63="No","No",
MAX(0.01,MROUND(_xlfn.XLOOKUP(B63,'Base stats'!B:B,'Base stats'!BG:BG) * 0.01 * 2, 0.01))
)</f>
        <v>0.01</v>
      </c>
      <c r="Q63" s="5">
        <f>IF(O63="No","No",
MAX(0.01,MROUND(_xlfn.XLOOKUP(B63,'Base stats'!B:B,'Base stats'!BS:BS)/10000,0.01))
)</f>
        <v>0.01</v>
      </c>
      <c r="R63" s="4">
        <f>IF(O63="No","No",
MROUND(_xlfn.XLOOKUP(B63,'Base stats'!B:B,'Base stats'!AY:AY)^0.25
/((_xlfn.XLOOKUP(B63,'Base stats'!B:B,'Base stats'!BK:BK))*10)*_xlfn.XLOOKUP(_xlfn.XLOOKUP(B63,'Base stats'!B:B,'Base stats'!E:E),Groups!A:A,Groups!Z:Z)*150 + 0.5 + _xlfn.XLOOKUP(B63,'Base stats'!B:B,'Base stats'!BT:BT),
0.05))</f>
        <v>1.55</v>
      </c>
      <c r="S63" s="3" t="str">
        <f>IF(Animals!AH63="No","No",
IF(_xlfn.XLOOKUP(B63,'Base stats'!B:B,'Base stats'!U:U)="No",
MAX(MROUND(_xlfn.XLOOKUP(B63,'Base stats'!B:B,'Base stats'!BQ:BQ) * _xlfn.XLOOKUP(B63,'Base stats'!B:B,'Base stats'!BM:BM)^0.9 / 21 * _xlfn.XLOOKUP(B63,'Base stats'!B:B,'Base stats'!BU:BU),0.1),0.05),
MAX(MROUND(((MIN(12,_xlfn.XLOOKUP(B63,'Base stats'!B:B,'Base stats'!U:U)))^0.4*_xlfn.XLOOKUP(B63,'Base stats'!B:B,'Base stats'!BE:BE)^0.73)^0.6 * _xlfn.XLOOKUP(B63,'Base stats'!B:B,'Base stats'!BU:BU),0.1),0.05)
))</f>
        <v>No</v>
      </c>
      <c r="T63" s="11" t="str">
        <f>IF(S63="No","No",
MAX(0.01,MROUND(_xlfn.XLOOKUP(B63,'Base stats'!B:B,'Base stats'!BE:BE) * 0.01 * 2, 0.01))
)</f>
        <v>No</v>
      </c>
      <c r="U63" s="5" t="str">
        <f>IF(S63="No","No",IF(_xlfn.XLOOKUP(B63,'Base stats'!B:B,'Base stats'!U:U)="No","No",
MAX(0.01,MROUND(_xlfn.XLOOKUP(B63,'Base stats'!B:B,'Base stats'!BQ:BQ)/10000,0.01))
))</f>
        <v>No</v>
      </c>
      <c r="V63" s="4" t="str">
        <f>IF(S63="No","No",
MROUND(_xlfn.XLOOKUP(B63,'Base stats'!B:B,'Base stats'!BC:BC)^0.25
/((_xlfn.XLOOKUP(B63,'Base stats'!B:B,'Base stats'!BL:BL))*10)*_xlfn.XLOOKUP(_xlfn.XLOOKUP(B63,'Base stats'!B:B,'Base stats'!E:E),Groups!A:A,Groups!AE:AE)*150 + 0.5 + _xlfn.XLOOKUP(B63,'Base stats'!B:B,'Base stats'!BT:BT),
0.05))</f>
        <v>No</v>
      </c>
      <c r="W63" s="8">
        <f>MROUND(_xlfn.XLOOKUP(_xlfn.XLOOKUP(B63,'Base stats'!B:B,'Base stats'!E:E),Groups!A:A,Groups!BF:BF)*_xlfn.XLOOKUP(B63,'Base stats'!B:B,'Base stats'!C:C)^-0.165,0.01)</f>
        <v>1.81</v>
      </c>
      <c r="X63" s="1">
        <f>MROUND(_xlfn.XLOOKUP(_xlfn.XLOOKUP(B63,'Base stats'!B:B,'Base stats'!E:E),Groups!A:A,Groups!BG:BG)*_xlfn.XLOOKUP(B63,'Base stats'!B:B,'Base stats'!C:C)^0.165,0.01)</f>
        <v>0</v>
      </c>
      <c r="Y63" s="8">
        <f>MROUND(_xlfn.XLOOKUP(_xlfn.XLOOKUP(B63,'Base stats'!B:B,'Base stats'!E:E),Groups!A:A,Groups!BH:BH)*_xlfn.XLOOKUP(B63,'Base stats'!B:B,'Base stats'!C:C)^0.165,0.01)</f>
        <v>0</v>
      </c>
      <c r="Z63" s="18">
        <f>_xlfn.XLOOKUP(B63,'Base stats'!B:B,'Base stats'!AN:AN)*_xlfn.XLOOKUP(_xlfn.XLOOKUP(B63,'Base stats'!B:B,'Base stats'!E:E),Groups!A:A,Groups!H:H)/1000</f>
        <v>3.0834971842534978E-4</v>
      </c>
      <c r="AA63" s="18">
        <f>(1/2)*(_xlfn.XLOOKUP(_xlfn.XLOOKUP(B63,'Base stats'!B:B,'Base stats'!E:E),Groups!A:A,Groups!H:H)*_xlfn.XLOOKUP(_xlfn.XLOOKUP(B63,'Base stats'!B:B,'Base stats'!E:E),Groups!A:A,Groups!I:I))*_xlfn.XLOOKUP(B63,'Base stats'!B:B,'Base stats'!AN:AN)*0.01</f>
        <v>1.541748592126749E-3</v>
      </c>
      <c r="AB63" s="18">
        <f>250*(Animals!AN63+Animals!AO63)</f>
        <v>25</v>
      </c>
      <c r="AC63" s="18" t="str">
        <f>_xlfn.XLOOKUP(_xlfn.XLOOKUP(B63,'Base stats'!B:B,'Base stats'!E:E),Groups!A:A,Groups!BI:BI)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stats'!BP:BP) * (_xlfn.XLOOKUP(B64,'Base stats'!B:B,'Base stats'!AL:AL)*5%)^0.9 / 21,0.1),0.05)</f>
        <v>0.05</v>
      </c>
      <c r="E64" s="11">
        <f>MAX(0.01,MROUND(_xlfn.XLOOKUP(B64,'Base stats'!B:B,'Base stats'!BD:BD) * 0.01 * 2, 0.01))</f>
        <v>0.01</v>
      </c>
      <c r="F64" s="7">
        <f>MROUND(_xlfn.XLOOKUP(B64,'Base stats'!B:B,'Base stats'!BA:BA)^0.25 / (_xlfn.XLOOKUP(B64,'Base stats'!B:B,'Base stats'!BH:BH) * 10) * 150 + 0.5 + _xlfn.XLOOKUP(B64,'Base stats'!B:B,'Base stats'!BT:BT), 0.05)</f>
        <v>1</v>
      </c>
      <c r="G64" s="3">
        <f>IF(Animals!R64="No","No",
IF(_xlfn.XLOOKUP(B64,'Base stats'!B:B,'Base stats'!U:U)="No",
MAX(MROUND(_xlfn.XLOOKUP(B64,'Base stats'!B:B,'Base stats'!BQ:BQ) * _xlfn.XLOOKUP(B64,'Base stats'!B:B,'Base stats'!BM:BM)^0.9 / 21 * _xlfn.XLOOKUP(B64,'Base stats'!B:B,'Base stats'!BU:BU),0.1),0.05),
MAX(MROUND(((MIN(10,_xlfn.XLOOKUP(B64,'Base stats'!B:B,'Base stats'!U:U)))^0.4*_xlfn.XLOOKUP(B64,'Base stats'!B:B,'Base stats'!BE:BE)^0.73)^0.6 * _xlfn.XLOOKUP(B64,'Base stats'!B:B,'Base stats'!BU:BU),0.1),0.05)
))</f>
        <v>0.30000000000000004</v>
      </c>
      <c r="H64" s="11">
        <f>IF(G64="No","No",
MAX(0.01,MROUND(_xlfn.XLOOKUP(B64,'Base stats'!B:B,'Base stats'!BE:BE) * 0.01 * 2, 0.01))
)</f>
        <v>0.01</v>
      </c>
      <c r="I64" s="11">
        <f>IF(G64="No","No",IF(_xlfn.XLOOKUP(B64,'Base stats'!B:B,'Base stats'!U:U)="No","No",
MAX(0.01,MROUND(_xlfn.XLOOKUP(B64,'Base stats'!B:B,'Base stats'!BQ:BQ)/10000,0.01))
))</f>
        <v>0.01</v>
      </c>
      <c r="J64" s="4">
        <f>IF(G64="No","No",
MROUND(_xlfn.XLOOKUP(B64,'Base stats'!B:B,'Base stats'!BB:BB)^0.25
/((_xlfn.XLOOKUP(B64,'Base stats'!B:B,'Base stats'!BI:BI))*10)*_xlfn.XLOOKUP(_xlfn.XLOOKUP(B64,'Base stats'!B:B,'Base stats'!E:E),Groups!A:A,Groups!Q:Q)*150 + 0.5 + _xlfn.XLOOKUP(B64,'Base stats'!B:B,'Base stats'!BT:BT),
0.05))</f>
        <v>1.25</v>
      </c>
      <c r="K64" s="3" t="str">
        <f>IF(Animals!W64="No","No",
IF(_xlfn.XLOOKUP(_xlfn.XLOOKUP(B64,'Base stats'!B:B,'Base stats'!E:E),Groups!A:A,Groups!BC:BC)=1,
MAX(MROUND(_xlfn.XLOOKUP(B64,'Base stats'!B:B,'Base stats'!BR:BR) * _xlfn.XLOOKUP(B64,'Base stats'!B:B,'Base stats'!BN:BN)^0.9 / 21 *_xlfn.XLOOKUP(B64,'Base stats'!B:B,'Base stats'!BU:BU),0.1),0.05),
MAX(MROUND(((MIN(10,_xlfn.XLOOKUP(B64,'Base stats'!B:B,'Base stats'!W:W)))^0.4*_xlfn.XLOOKUP(B64,'Base stats'!B:B,'Base stats'!BF:BF)^0.73)^0.6 *_xlfn.XLOOKUP(B64,'Base stats'!B:B,'Base stats'!BU:BU),0.1),0.05)
))</f>
        <v>No</v>
      </c>
      <c r="L64" s="11" t="str">
        <f>IF(K64="No","No",
MAX(0.01,MROUND(_xlfn.XLOOKUP(B64,'Base stats'!B:B,'Base stats'!BF:BF) * 0.01 *2, 0.01))
)</f>
        <v>No</v>
      </c>
      <c r="M64" s="5" t="str">
        <f>IF(K64="No","No",IF(_xlfn.XLOOKUP(_xlfn.XLOOKUP(B64,'Base stats'!B:B,'Base stats'!E:E),Groups!A:A,Groups!BC:BC)=1,"No",
MAX(0.01,MROUND(_xlfn.XLOOKUP(B64,'Base stats'!B:B,'Base stats'!BR:BR)/10000,0.01))
))</f>
        <v>No</v>
      </c>
      <c r="N64" s="4" t="str">
        <f>IF(K64="No","No",
MROUND(
  _xlfn.XLOOKUP(B64,'Base stats'!B:B,'Base stats'!AZ:AZ)^0.25
  / (_xlfn.XLOOKUP(B64,'Base stats'!B:B,'Base stats'!BJ:BJ)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stats'!BT:BT),
0.05))</f>
        <v>No</v>
      </c>
      <c r="O64" s="3">
        <f>IF(Animals!AC64="No","No",
MAX(MROUND((MIN(10,_xlfn.XLOOKUP(B64,'Base stats'!B:B,'Base stats'!V:V)*IF(_xlfn.XLOOKUP(_xlfn.XLOOKUP(B64,'Base stats'!B:B,'Base stats'!E:E),Groups!A:A,Groups!O:O)=0,1,0.33))^0.4*_xlfn.XLOOKUP(B64,'Base stats'!B:B,'Base stats'!BG:BG)^0.73)^0.6 *_xlfn.XLOOKUP(B64,'Base stats'!B:B,'Base stats'!BU:BU),0.1),0.05)
)</f>
        <v>0.2</v>
      </c>
      <c r="P64" s="11">
        <f>IF(O64="No","No",
MAX(0.01,MROUND(_xlfn.XLOOKUP(B64,'Base stats'!B:B,'Base stats'!BG:BG) * 0.01 * 2, 0.01))
)</f>
        <v>0.01</v>
      </c>
      <c r="Q64" s="5">
        <f>IF(O64="No","No",
MAX(0.01,MROUND(_xlfn.XLOOKUP(B64,'Base stats'!B:B,'Base stats'!BS:BS)/10000,0.01))
)</f>
        <v>0.01</v>
      </c>
      <c r="R64" s="4">
        <f>IF(O64="No","No",
MROUND(_xlfn.XLOOKUP(B64,'Base stats'!B:B,'Base stats'!AY:AY)^0.25
/((_xlfn.XLOOKUP(B64,'Base stats'!B:B,'Base stats'!BK:BK))*10)*_xlfn.XLOOKUP(_xlfn.XLOOKUP(B64,'Base stats'!B:B,'Base stats'!E:E),Groups!A:A,Groups!Z:Z)*150 + 0.5 + _xlfn.XLOOKUP(B64,'Base stats'!B:B,'Base stats'!BT:BT),
0.05))</f>
        <v>1.6500000000000001</v>
      </c>
      <c r="S64" s="3" t="str">
        <f>IF(Animals!AH64="No","No",
IF(_xlfn.XLOOKUP(B64,'Base stats'!B:B,'Base stats'!U:U)="No",
MAX(MROUND(_xlfn.XLOOKUP(B64,'Base stats'!B:B,'Base stats'!BQ:BQ) * _xlfn.XLOOKUP(B64,'Base stats'!B:B,'Base stats'!BM:BM)^0.9 / 21 * _xlfn.XLOOKUP(B64,'Base stats'!B:B,'Base stats'!BU:BU),0.1),0.05),
MAX(MROUND(((MIN(12,_xlfn.XLOOKUP(B64,'Base stats'!B:B,'Base stats'!U:U)))^0.4*_xlfn.XLOOKUP(B64,'Base stats'!B:B,'Base stats'!BE:BE)^0.73)^0.6 * _xlfn.XLOOKUP(B64,'Base stats'!B:B,'Base stats'!BU:BU),0.1),0.05)
))</f>
        <v>No</v>
      </c>
      <c r="T64" s="11" t="str">
        <f>IF(S64="No","No",
MAX(0.01,MROUND(_xlfn.XLOOKUP(B64,'Base stats'!B:B,'Base stats'!BE:BE) * 0.01 * 2, 0.01))
)</f>
        <v>No</v>
      </c>
      <c r="U64" s="5" t="str">
        <f>IF(S64="No","No",IF(_xlfn.XLOOKUP(B64,'Base stats'!B:B,'Base stats'!U:U)="No","No",
MAX(0.01,MROUND(_xlfn.XLOOKUP(B64,'Base stats'!B:B,'Base stats'!BQ:BQ)/10000,0.01))
))</f>
        <v>No</v>
      </c>
      <c r="V64" s="4" t="str">
        <f>IF(S64="No","No",
MROUND(_xlfn.XLOOKUP(B64,'Base stats'!B:B,'Base stats'!BC:BC)^0.25
/((_xlfn.XLOOKUP(B64,'Base stats'!B:B,'Base stats'!BL:BL))*10)*_xlfn.XLOOKUP(_xlfn.XLOOKUP(B64,'Base stats'!B:B,'Base stats'!E:E),Groups!A:A,Groups!AE:AE)*150 + 0.5 + _xlfn.XLOOKUP(B64,'Base stats'!B:B,'Base stats'!BT:BT),
0.05))</f>
        <v>No</v>
      </c>
      <c r="W64" s="8">
        <f>MROUND(_xlfn.XLOOKUP(_xlfn.XLOOKUP(B64,'Base stats'!B:B,'Base stats'!E:E),Groups!A:A,Groups!BF:BF)*_xlfn.XLOOKUP(B64,'Base stats'!B:B,'Base stats'!C:C)^-0.165,0.01)</f>
        <v>1.74</v>
      </c>
      <c r="X64" s="1">
        <f>MROUND(_xlfn.XLOOKUP(_xlfn.XLOOKUP(B64,'Base stats'!B:B,'Base stats'!E:E),Groups!A:A,Groups!BG:BG)*_xlfn.XLOOKUP(B64,'Base stats'!B:B,'Base stats'!C:C)^0.165,0.01)</f>
        <v>0</v>
      </c>
      <c r="Y64" s="8">
        <f>MROUND(_xlfn.XLOOKUP(_xlfn.XLOOKUP(B64,'Base stats'!B:B,'Base stats'!E:E),Groups!A:A,Groups!BH:BH)*_xlfn.XLOOKUP(B64,'Base stats'!B:B,'Base stats'!C:C)^0.165,0.01)</f>
        <v>0</v>
      </c>
      <c r="Z64" s="18">
        <f>_xlfn.XLOOKUP(B64,'Base stats'!B:B,'Base stats'!AN:AN)*_xlfn.XLOOKUP(_xlfn.XLOOKUP(B64,'Base stats'!B:B,'Base stats'!E:E),Groups!A:A,Groups!H:H)/1000</f>
        <v>3.3138749899115562E-4</v>
      </c>
      <c r="AA64" s="18">
        <f>(1/2)*(_xlfn.XLOOKUP(_xlfn.XLOOKUP(B64,'Base stats'!B:B,'Base stats'!E:E),Groups!A:A,Groups!H:H)*_xlfn.XLOOKUP(_xlfn.XLOOKUP(B64,'Base stats'!B:B,'Base stats'!E:E),Groups!A:A,Groups!I:I))*_xlfn.XLOOKUP(B64,'Base stats'!B:B,'Base stats'!AN:AN)*0.01</f>
        <v>1.656937494955778E-3</v>
      </c>
      <c r="AB64" s="18">
        <f>250*(Animals!AN64+Animals!AO64)</f>
        <v>25</v>
      </c>
      <c r="AC64" s="18" t="str">
        <f>_xlfn.XLOOKUP(_xlfn.XLOOKUP(B64,'Base stats'!B:B,'Base stats'!E:E),Groups!A:A,Groups!BI:BI)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stats'!BP:BP) * (_xlfn.XLOOKUP(B65,'Base stats'!B:B,'Base stats'!AL:AL)*5%)^0.9 / 21,0.1),0.05)</f>
        <v>0.05</v>
      </c>
      <c r="E65" s="11">
        <f>MAX(0.01,MROUND(_xlfn.XLOOKUP(B65,'Base stats'!B:B,'Base stats'!BD:BD) * 0.01 * 2, 0.01))</f>
        <v>0.02</v>
      </c>
      <c r="F65" s="7">
        <f>MROUND(_xlfn.XLOOKUP(B65,'Base stats'!B:B,'Base stats'!BA:BA)^0.25 / (_xlfn.XLOOKUP(B65,'Base stats'!B:B,'Base stats'!BH:BH) * 10) * 150 + 0.5 + _xlfn.XLOOKUP(B65,'Base stats'!B:B,'Base stats'!BT:BT), 0.05)</f>
        <v>1.1500000000000001</v>
      </c>
      <c r="G65" s="3">
        <f>IF(Animals!R65="No","No",
IF(_xlfn.XLOOKUP(B65,'Base stats'!B:B,'Base stats'!U:U)="No",
MAX(MROUND(_xlfn.XLOOKUP(B65,'Base stats'!B:B,'Base stats'!BQ:BQ) * _xlfn.XLOOKUP(B65,'Base stats'!B:B,'Base stats'!BM:BM)^0.9 / 21 * _xlfn.XLOOKUP(B65,'Base stats'!B:B,'Base stats'!BU:BU),0.1),0.05),
MAX(MROUND(((MIN(10,_xlfn.XLOOKUP(B65,'Base stats'!B:B,'Base stats'!U:U)))^0.4*_xlfn.XLOOKUP(B65,'Base stats'!B:B,'Base stats'!BE:BE)^0.73)^0.6 * _xlfn.XLOOKUP(B65,'Base stats'!B:B,'Base stats'!BU:BU),0.1),0.05)
))</f>
        <v>1.3</v>
      </c>
      <c r="H65" s="11">
        <f>IF(G65="No","No",
MAX(0.01,MROUND(_xlfn.XLOOKUP(B65,'Base stats'!B:B,'Base stats'!BE:BE) * 0.01 * 2, 0.01))
)</f>
        <v>0.03</v>
      </c>
      <c r="I65" s="11">
        <f>IF(G65="No","No",IF(_xlfn.XLOOKUP(B65,'Base stats'!B:B,'Base stats'!U:U)="No","No",
MAX(0.01,MROUND(_xlfn.XLOOKUP(B65,'Base stats'!B:B,'Base stats'!BQ:BQ)/10000,0.01))
))</f>
        <v>0.02</v>
      </c>
      <c r="J65" s="4">
        <f>IF(G65="No","No",
MROUND(_xlfn.XLOOKUP(B65,'Base stats'!B:B,'Base stats'!BB:BB)^0.25
/((_xlfn.XLOOKUP(B65,'Base stats'!B:B,'Base stats'!BI:BI))*10)*_xlfn.XLOOKUP(_xlfn.XLOOKUP(B65,'Base stats'!B:B,'Base stats'!E:E),Groups!A:A,Groups!Q:Q)*150 + 0.5 + _xlfn.XLOOKUP(B65,'Base stats'!B:B,'Base stats'!BT:BT),
0.05))</f>
        <v>1.6</v>
      </c>
      <c r="K65" s="3" t="str">
        <f>IF(Animals!W65="No","No",
IF(_xlfn.XLOOKUP(_xlfn.XLOOKUP(B65,'Base stats'!B:B,'Base stats'!E:E),Groups!A:A,Groups!BC:BC)=1,
MAX(MROUND(_xlfn.XLOOKUP(B65,'Base stats'!B:B,'Base stats'!BR:BR) * _xlfn.XLOOKUP(B65,'Base stats'!B:B,'Base stats'!BN:BN)^0.9 / 21 *_xlfn.XLOOKUP(B65,'Base stats'!B:B,'Base stats'!BU:BU),0.1),0.05),
MAX(MROUND(((MIN(10,_xlfn.XLOOKUP(B65,'Base stats'!B:B,'Base stats'!W:W)))^0.4*_xlfn.XLOOKUP(B65,'Base stats'!B:B,'Base stats'!BF:BF)^0.73)^0.6 *_xlfn.XLOOKUP(B65,'Base stats'!B:B,'Base stats'!BU:BU),0.1),0.05)
))</f>
        <v>No</v>
      </c>
      <c r="L65" s="11" t="str">
        <f>IF(K65="No","No",
MAX(0.01,MROUND(_xlfn.XLOOKUP(B65,'Base stats'!B:B,'Base stats'!BF:BF) * 0.01 *2, 0.01))
)</f>
        <v>No</v>
      </c>
      <c r="M65" s="5" t="str">
        <f>IF(K65="No","No",IF(_xlfn.XLOOKUP(_xlfn.XLOOKUP(B65,'Base stats'!B:B,'Base stats'!E:E),Groups!A:A,Groups!BC:BC)=1,"No",
MAX(0.01,MROUND(_xlfn.XLOOKUP(B65,'Base stats'!B:B,'Base stats'!BR:BR)/10000,0.01))
))</f>
        <v>No</v>
      </c>
      <c r="N65" s="4" t="str">
        <f>IF(K65="No","No",
MROUND(
  _xlfn.XLOOKUP(B65,'Base stats'!B:B,'Base stats'!AZ:AZ)^0.25
  / (_xlfn.XLOOKUP(B65,'Base stats'!B:B,'Base stats'!BJ:BJ)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stats'!BT:BT),
0.05))</f>
        <v>No</v>
      </c>
      <c r="O65" s="3">
        <f>IF(Animals!AC65="No","No",
MAX(MROUND((MIN(10,_xlfn.XLOOKUP(B65,'Base stats'!B:B,'Base stats'!V:V)*IF(_xlfn.XLOOKUP(_xlfn.XLOOKUP(B65,'Base stats'!B:B,'Base stats'!E:E),Groups!A:A,Groups!O:O)=0,1,0.33))^0.4*_xlfn.XLOOKUP(B65,'Base stats'!B:B,'Base stats'!BG:BG)^0.73)^0.6 *_xlfn.XLOOKUP(B65,'Base stats'!B:B,'Base stats'!BU:BU),0.1),0.05)
)</f>
        <v>3.6</v>
      </c>
      <c r="P65" s="11">
        <f>IF(O65="No","No",
MAX(0.01,MROUND(_xlfn.XLOOKUP(B65,'Base stats'!B:B,'Base stats'!BG:BG) * 0.01 * 2, 0.01))
)</f>
        <v>0.23</v>
      </c>
      <c r="Q65" s="5">
        <f>IF(O65="No","No",
MAX(0.01,MROUND(_xlfn.XLOOKUP(B65,'Base stats'!B:B,'Base stats'!BS:BS)/10000,0.01))
)</f>
        <v>0.03</v>
      </c>
      <c r="R65" s="4">
        <f>IF(O65="No","No",
MROUND(_xlfn.XLOOKUP(B65,'Base stats'!B:B,'Base stats'!AY:AY)^0.25
/((_xlfn.XLOOKUP(B65,'Base stats'!B:B,'Base stats'!BK:BK))*10)*_xlfn.XLOOKUP(_xlfn.XLOOKUP(B65,'Base stats'!B:B,'Base stats'!E:E),Groups!A:A,Groups!Z:Z)*150 + 0.5 + _xlfn.XLOOKUP(B65,'Base stats'!B:B,'Base stats'!BT:BT),
0.05))</f>
        <v>1.9000000000000001</v>
      </c>
      <c r="S65" s="3" t="str">
        <f>IF(Animals!AH65="No","No",
IF(_xlfn.XLOOKUP(B65,'Base stats'!B:B,'Base stats'!U:U)="No",
MAX(MROUND(_xlfn.XLOOKUP(B65,'Base stats'!B:B,'Base stats'!BQ:BQ) * _xlfn.XLOOKUP(B65,'Base stats'!B:B,'Base stats'!BM:BM)^0.9 / 21 * _xlfn.XLOOKUP(B65,'Base stats'!B:B,'Base stats'!BU:BU),0.1),0.05),
MAX(MROUND(((MIN(12,_xlfn.XLOOKUP(B65,'Base stats'!B:B,'Base stats'!U:U)))^0.4*_xlfn.XLOOKUP(B65,'Base stats'!B:B,'Base stats'!BE:BE)^0.73)^0.6 * _xlfn.XLOOKUP(B65,'Base stats'!B:B,'Base stats'!BU:BU),0.1),0.05)
))</f>
        <v>No</v>
      </c>
      <c r="T65" s="11" t="str">
        <f>IF(S65="No","No",
MAX(0.01,MROUND(_xlfn.XLOOKUP(B65,'Base stats'!B:B,'Base stats'!BE:BE) * 0.01 * 2, 0.01))
)</f>
        <v>No</v>
      </c>
      <c r="U65" s="5" t="str">
        <f>IF(S65="No","No",IF(_xlfn.XLOOKUP(B65,'Base stats'!B:B,'Base stats'!U:U)="No","No",
MAX(0.01,MROUND(_xlfn.XLOOKUP(B65,'Base stats'!B:B,'Base stats'!BQ:BQ)/10000,0.01))
))</f>
        <v>No</v>
      </c>
      <c r="V65" s="4" t="str">
        <f>IF(S65="No","No",
MROUND(_xlfn.XLOOKUP(B65,'Base stats'!B:B,'Base stats'!BC:BC)^0.25
/((_xlfn.XLOOKUP(B65,'Base stats'!B:B,'Base stats'!BL:BL))*10)*_xlfn.XLOOKUP(_xlfn.XLOOKUP(B65,'Base stats'!B:B,'Base stats'!E:E),Groups!A:A,Groups!AE:AE)*150 + 0.5 + _xlfn.XLOOKUP(B65,'Base stats'!B:B,'Base stats'!BT:BT),
0.05))</f>
        <v>No</v>
      </c>
      <c r="W65" s="8">
        <f>MROUND(_xlfn.XLOOKUP(_xlfn.XLOOKUP(B65,'Base stats'!B:B,'Base stats'!E:E),Groups!A:A,Groups!BF:BF)*_xlfn.XLOOKUP(B65,'Base stats'!B:B,'Base stats'!C:C)^-0.165,0.01)</f>
        <v>1.1300000000000001</v>
      </c>
      <c r="X65" s="1">
        <f>MROUND(_xlfn.XLOOKUP(_xlfn.XLOOKUP(B65,'Base stats'!B:B,'Base stats'!E:E),Groups!A:A,Groups!BG:BG)*_xlfn.XLOOKUP(B65,'Base stats'!B:B,'Base stats'!C:C)^0.165,0.01)</f>
        <v>0.09</v>
      </c>
      <c r="Y65" s="8">
        <f>MROUND(_xlfn.XLOOKUP(_xlfn.XLOOKUP(B65,'Base stats'!B:B,'Base stats'!E:E),Groups!A:A,Groups!BH:BH)*_xlfn.XLOOKUP(B65,'Base stats'!B:B,'Base stats'!C:C)^0.165,0.01)</f>
        <v>0.02</v>
      </c>
      <c r="Z65" s="18">
        <f>_xlfn.XLOOKUP(B65,'Base stats'!B:B,'Base stats'!AN:AN)*_xlfn.XLOOKUP(_xlfn.XLOOKUP(B65,'Base stats'!B:B,'Base stats'!E:E),Groups!A:A,Groups!H:H)/1000</f>
        <v>7.0499528623453221E-4</v>
      </c>
      <c r="AA65" s="18">
        <f>(1/2)*(_xlfn.XLOOKUP(_xlfn.XLOOKUP(B65,'Base stats'!B:B,'Base stats'!E:E),Groups!A:A,Groups!H:H)*_xlfn.XLOOKUP(_xlfn.XLOOKUP(B65,'Base stats'!B:B,'Base stats'!E:E),Groups!A:A,Groups!I:I))*_xlfn.XLOOKUP(B65,'Base stats'!B:B,'Base stats'!AN:AN)*0.01</f>
        <v>3.5249764311726614E-3</v>
      </c>
      <c r="AB65" s="18">
        <f>250*(Animals!AN65+Animals!AO65)</f>
        <v>50</v>
      </c>
      <c r="AC65" s="18" t="str">
        <f>_xlfn.XLOOKUP(_xlfn.XLOOKUP(B65,'Base stats'!B:B,'Base stats'!E:E),Groups!A:A,Groups!BI:BI)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stats'!BP:BP) * (_xlfn.XLOOKUP(B66,'Base stats'!B:B,'Base stats'!AL:AL)*5%)^0.9 / 21,0.1),0.05)</f>
        <v>0.1</v>
      </c>
      <c r="E66" s="11">
        <f>MAX(0.01,MROUND(_xlfn.XLOOKUP(B66,'Base stats'!B:B,'Base stats'!BD:BD) * 0.01 * 2, 0.01))</f>
        <v>0.04</v>
      </c>
      <c r="F66" s="7">
        <f>MROUND(_xlfn.XLOOKUP(B66,'Base stats'!B:B,'Base stats'!BA:BA)^0.25 / (_xlfn.XLOOKUP(B66,'Base stats'!B:B,'Base stats'!BH:BH) * 10) * 150 + 0.5 + _xlfn.XLOOKUP(B66,'Base stats'!B:B,'Base stats'!BT:BT), 0.05)</f>
        <v>1.1500000000000001</v>
      </c>
      <c r="G66" s="3">
        <f>IF(Animals!R66="No","No",
IF(_xlfn.XLOOKUP(B66,'Base stats'!B:B,'Base stats'!U:U)="No",
MAX(MROUND(_xlfn.XLOOKUP(B66,'Base stats'!B:B,'Base stats'!BQ:BQ) * _xlfn.XLOOKUP(B66,'Base stats'!B:B,'Base stats'!BM:BM)^0.9 / 21 * _xlfn.XLOOKUP(B66,'Base stats'!B:B,'Base stats'!BU:BU),0.1),0.05),
MAX(MROUND(((MIN(10,_xlfn.XLOOKUP(B66,'Base stats'!B:B,'Base stats'!U:U)))^0.4*_xlfn.XLOOKUP(B66,'Base stats'!B:B,'Base stats'!BE:BE)^0.73)^0.6 * _xlfn.XLOOKUP(B66,'Base stats'!B:B,'Base stats'!BU:BU),0.1),0.05)
))</f>
        <v>1.7000000000000002</v>
      </c>
      <c r="H66" s="11">
        <f>IF(G66="No","No",
MAX(0.01,MROUND(_xlfn.XLOOKUP(B66,'Base stats'!B:B,'Base stats'!BE:BE) * 0.01 * 2, 0.01))
)</f>
        <v>0.06</v>
      </c>
      <c r="I66" s="11">
        <f>IF(G66="No","No",IF(_xlfn.XLOOKUP(B66,'Base stats'!B:B,'Base stats'!U:U)="No","No",
MAX(0.01,MROUND(_xlfn.XLOOKUP(B66,'Base stats'!B:B,'Base stats'!BQ:BQ)/10000,0.01))
))</f>
        <v>0.02</v>
      </c>
      <c r="J66" s="4">
        <f>IF(G66="No","No",
MROUND(_xlfn.XLOOKUP(B66,'Base stats'!B:B,'Base stats'!BB:BB)^0.25
/((_xlfn.XLOOKUP(B66,'Base stats'!B:B,'Base stats'!BI:BI))*10)*_xlfn.XLOOKUP(_xlfn.XLOOKUP(B66,'Base stats'!B:B,'Base stats'!E:E),Groups!A:A,Groups!Q:Q)*150 + 0.5 + _xlfn.XLOOKUP(B66,'Base stats'!B:B,'Base stats'!BT:BT),
0.05))</f>
        <v>1.75</v>
      </c>
      <c r="K66" s="3" t="str">
        <f>IF(Animals!W66="No","No",
IF(_xlfn.XLOOKUP(_xlfn.XLOOKUP(B66,'Base stats'!B:B,'Base stats'!E:E),Groups!A:A,Groups!BC:BC)=1,
MAX(MROUND(_xlfn.XLOOKUP(B66,'Base stats'!B:B,'Base stats'!BR:BR) * _xlfn.XLOOKUP(B66,'Base stats'!B:B,'Base stats'!BN:BN)^0.9 / 21 *_xlfn.XLOOKUP(B66,'Base stats'!B:B,'Base stats'!BU:BU),0.1),0.05),
MAX(MROUND(((MIN(10,_xlfn.XLOOKUP(B66,'Base stats'!B:B,'Base stats'!W:W)))^0.4*_xlfn.XLOOKUP(B66,'Base stats'!B:B,'Base stats'!BF:BF)^0.73)^0.6 *_xlfn.XLOOKUP(B66,'Base stats'!B:B,'Base stats'!BU:BU),0.1),0.05)
))</f>
        <v>No</v>
      </c>
      <c r="L66" s="11" t="str">
        <f>IF(K66="No","No",
MAX(0.01,MROUND(_xlfn.XLOOKUP(B66,'Base stats'!B:B,'Base stats'!BF:BF) * 0.01 *2, 0.01))
)</f>
        <v>No</v>
      </c>
      <c r="M66" s="5" t="str">
        <f>IF(K66="No","No",IF(_xlfn.XLOOKUP(_xlfn.XLOOKUP(B66,'Base stats'!B:B,'Base stats'!E:E),Groups!A:A,Groups!BC:BC)=1,"No",
MAX(0.01,MROUND(_xlfn.XLOOKUP(B66,'Base stats'!B:B,'Base stats'!BR:BR)/10000,0.01))
))</f>
        <v>No</v>
      </c>
      <c r="N66" s="4" t="str">
        <f>IF(K66="No","No",
MROUND(
  _xlfn.XLOOKUP(B66,'Base stats'!B:B,'Base stats'!AZ:AZ)^0.25
  / (_xlfn.XLOOKUP(B66,'Base stats'!B:B,'Base stats'!BJ:BJ)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stats'!BT:BT),
0.05))</f>
        <v>No</v>
      </c>
      <c r="O66" s="3">
        <f>IF(Animals!AC66="No","No",
MAX(MROUND((MIN(10,_xlfn.XLOOKUP(B66,'Base stats'!B:B,'Base stats'!V:V)*IF(_xlfn.XLOOKUP(_xlfn.XLOOKUP(B66,'Base stats'!B:B,'Base stats'!E:E),Groups!A:A,Groups!O:O)=0,1,0.33))^0.4*_xlfn.XLOOKUP(B66,'Base stats'!B:B,'Base stats'!BG:BG)^0.73)^0.6 *_xlfn.XLOOKUP(B66,'Base stats'!B:B,'Base stats'!BU:BU),0.1),0.05)
)</f>
        <v>5.2</v>
      </c>
      <c r="P66" s="11">
        <f>IF(O66="No","No",
MAX(0.01,MROUND(_xlfn.XLOOKUP(B66,'Base stats'!B:B,'Base stats'!BG:BG) * 0.01 * 2, 0.01))
)</f>
        <v>0.71</v>
      </c>
      <c r="Q66" s="5">
        <f>IF(O66="No","No",
MAX(0.01,MROUND(_xlfn.XLOOKUP(B66,'Base stats'!B:B,'Base stats'!BS:BS)/10000,0.01))
)</f>
        <v>0.08</v>
      </c>
      <c r="R66" s="4">
        <f>IF(O66="No","No",
MROUND(_xlfn.XLOOKUP(B66,'Base stats'!B:B,'Base stats'!AY:AY)^0.25
/((_xlfn.XLOOKUP(B66,'Base stats'!B:B,'Base stats'!BK:BK))*10)*_xlfn.XLOOKUP(_xlfn.XLOOKUP(B66,'Base stats'!B:B,'Base stats'!E:E),Groups!A:A,Groups!Z:Z)*150 + 0.5 + _xlfn.XLOOKUP(B66,'Base stats'!B:B,'Base stats'!BT:BT),
0.05))</f>
        <v>2.25</v>
      </c>
      <c r="S66" s="3" t="str">
        <f>IF(Animals!AH66="No","No",
IF(_xlfn.XLOOKUP(B66,'Base stats'!B:B,'Base stats'!U:U)="No",
MAX(MROUND(_xlfn.XLOOKUP(B66,'Base stats'!B:B,'Base stats'!BQ:BQ) * _xlfn.XLOOKUP(B66,'Base stats'!B:B,'Base stats'!BM:BM)^0.9 / 21 * _xlfn.XLOOKUP(B66,'Base stats'!B:B,'Base stats'!BU:BU),0.1),0.05),
MAX(MROUND(((MIN(12,_xlfn.XLOOKUP(B66,'Base stats'!B:B,'Base stats'!U:U)))^0.4*_xlfn.XLOOKUP(B66,'Base stats'!B:B,'Base stats'!BE:BE)^0.73)^0.6 * _xlfn.XLOOKUP(B66,'Base stats'!B:B,'Base stats'!BU:BU),0.1),0.05)
))</f>
        <v>No</v>
      </c>
      <c r="T66" s="11" t="str">
        <f>IF(S66="No","No",
MAX(0.01,MROUND(_xlfn.XLOOKUP(B66,'Base stats'!B:B,'Base stats'!BE:BE) * 0.01 * 2, 0.01))
)</f>
        <v>No</v>
      </c>
      <c r="U66" s="5" t="str">
        <f>IF(S66="No","No",IF(_xlfn.XLOOKUP(B66,'Base stats'!B:B,'Base stats'!U:U)="No","No",
MAX(0.01,MROUND(_xlfn.XLOOKUP(B66,'Base stats'!B:B,'Base stats'!BQ:BQ)/10000,0.01))
))</f>
        <v>No</v>
      </c>
      <c r="V66" s="4" t="str">
        <f>IF(S66="No","No",
MROUND(_xlfn.XLOOKUP(B66,'Base stats'!B:B,'Base stats'!BC:BC)^0.25
/((_xlfn.XLOOKUP(B66,'Base stats'!B:B,'Base stats'!BL:BL))*10)*_xlfn.XLOOKUP(_xlfn.XLOOKUP(B66,'Base stats'!B:B,'Base stats'!E:E),Groups!A:A,Groups!AE:AE)*150 + 0.5 + _xlfn.XLOOKUP(B66,'Base stats'!B:B,'Base stats'!BT:BT),
0.05))</f>
        <v>No</v>
      </c>
      <c r="W66" s="8">
        <f>MROUND(_xlfn.XLOOKUP(_xlfn.XLOOKUP(B66,'Base stats'!B:B,'Base stats'!E:E),Groups!A:A,Groups!BF:BF)*_xlfn.XLOOKUP(B66,'Base stats'!B:B,'Base stats'!C:C)^-0.165,0.01)</f>
        <v>1</v>
      </c>
      <c r="X66" s="1">
        <f>MROUND(_xlfn.XLOOKUP(_xlfn.XLOOKUP(B66,'Base stats'!B:B,'Base stats'!E:E),Groups!A:A,Groups!BG:BG)*_xlfn.XLOOKUP(B66,'Base stats'!B:B,'Base stats'!C:C)^0.165,0.01)</f>
        <v>0.1</v>
      </c>
      <c r="Y66" s="8">
        <f>MROUND(_xlfn.XLOOKUP(_xlfn.XLOOKUP(B66,'Base stats'!B:B,'Base stats'!E:E),Groups!A:A,Groups!BH:BH)*_xlfn.XLOOKUP(B66,'Base stats'!B:B,'Base stats'!C:C)^0.165,0.01)</f>
        <v>0.03</v>
      </c>
      <c r="Z66" s="18">
        <f>_xlfn.XLOOKUP(B66,'Base stats'!B:B,'Base stats'!AN:AN)*_xlfn.XLOOKUP(_xlfn.XLOOKUP(B66,'Base stats'!B:B,'Base stats'!E:E),Groups!A:A,Groups!H:H)/1000</f>
        <v>8.7610546326142647E-4</v>
      </c>
      <c r="AA66" s="18">
        <f>(1/2)*(_xlfn.XLOOKUP(_xlfn.XLOOKUP(B66,'Base stats'!B:B,'Base stats'!E:E),Groups!A:A,Groups!H:H)*_xlfn.XLOOKUP(_xlfn.XLOOKUP(B66,'Base stats'!B:B,'Base stats'!E:E),Groups!A:A,Groups!I:I))*_xlfn.XLOOKUP(B66,'Base stats'!B:B,'Base stats'!AN:AN)*0.01</f>
        <v>4.3805273163071328E-3</v>
      </c>
      <c r="AB66" s="18">
        <f>250*(Animals!AN66+Animals!AO66)</f>
        <v>75.000000000000014</v>
      </c>
      <c r="AC66" s="18" t="str">
        <f>_xlfn.XLOOKUP(_xlfn.XLOOKUP(B66,'Base stats'!B:B,'Base stats'!E:E),Groups!A:A,Groups!BI:BI)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stats'!BP:BP) * (_xlfn.XLOOKUP(B67,'Base stats'!B:B,'Base stats'!AL:AL)*5%)^0.9 / 21,0.1),0.05)</f>
        <v>0.05</v>
      </c>
      <c r="E67" s="11">
        <f>MAX(0.01,MROUND(_xlfn.XLOOKUP(B67,'Base stats'!B:B,'Base stats'!BD:BD) * 0.01 * 2, 0.01))</f>
        <v>0.01</v>
      </c>
      <c r="F67" s="7">
        <f>MROUND(_xlfn.XLOOKUP(B67,'Base stats'!B:B,'Base stats'!BA:BA)^0.25 / (_xlfn.XLOOKUP(B67,'Base stats'!B:B,'Base stats'!BH:BH) * 10) * 150 + 0.5 + _xlfn.XLOOKUP(B67,'Base stats'!B:B,'Base stats'!BT:BT), 0.05)</f>
        <v>1.05</v>
      </c>
      <c r="G67" s="3">
        <f>IF(Animals!R67="No","No",
IF(_xlfn.XLOOKUP(B67,'Base stats'!B:B,'Base stats'!U:U)="No",
MAX(MROUND(_xlfn.XLOOKUP(B67,'Base stats'!B:B,'Base stats'!BQ:BQ) * _xlfn.XLOOKUP(B67,'Base stats'!B:B,'Base stats'!BM:BM)^0.9 / 21 * _xlfn.XLOOKUP(B67,'Base stats'!B:B,'Base stats'!BU:BU),0.1),0.05),
MAX(MROUND(((MIN(10,_xlfn.XLOOKUP(B67,'Base stats'!B:B,'Base stats'!U:U)))^0.4*_xlfn.XLOOKUP(B67,'Base stats'!B:B,'Base stats'!BE:BE)^0.73)^0.6 * _xlfn.XLOOKUP(B67,'Base stats'!B:B,'Base stats'!BU:BU),0.1),0.05)
))</f>
        <v>0.60000000000000009</v>
      </c>
      <c r="H67" s="11">
        <f>IF(G67="No","No",
MAX(0.01,MROUND(_xlfn.XLOOKUP(B67,'Base stats'!B:B,'Base stats'!BE:BE) * 0.01 * 2, 0.01))
)</f>
        <v>0.01</v>
      </c>
      <c r="I67" s="11">
        <f>IF(G67="No","No",IF(_xlfn.XLOOKUP(B67,'Base stats'!B:B,'Base stats'!U:U)="No","No",
MAX(0.01,MROUND(_xlfn.XLOOKUP(B67,'Base stats'!B:B,'Base stats'!BQ:BQ)/10000,0.01))
))</f>
        <v>0.01</v>
      </c>
      <c r="J67" s="4">
        <f>IF(G67="No","No",
MROUND(_xlfn.XLOOKUP(B67,'Base stats'!B:B,'Base stats'!BB:BB)^0.25
/((_xlfn.XLOOKUP(B67,'Base stats'!B:B,'Base stats'!BI:BI))*10)*_xlfn.XLOOKUP(_xlfn.XLOOKUP(B67,'Base stats'!B:B,'Base stats'!E:E),Groups!A:A,Groups!Q:Q)*150 + 0.5 + _xlfn.XLOOKUP(B67,'Base stats'!B:B,'Base stats'!BT:BT),
0.05))</f>
        <v>1.4500000000000002</v>
      </c>
      <c r="K67" s="3" t="str">
        <f>IF(Animals!W67="No","No",
IF(_xlfn.XLOOKUP(_xlfn.XLOOKUP(B67,'Base stats'!B:B,'Base stats'!E:E),Groups!A:A,Groups!BC:BC)=1,
MAX(MROUND(_xlfn.XLOOKUP(B67,'Base stats'!B:B,'Base stats'!BR:BR) * _xlfn.XLOOKUP(B67,'Base stats'!B:B,'Base stats'!BN:BN)^0.9 / 21 *_xlfn.XLOOKUP(B67,'Base stats'!B:B,'Base stats'!BU:BU),0.1),0.05),
MAX(MROUND(((MIN(10,_xlfn.XLOOKUP(B67,'Base stats'!B:B,'Base stats'!W:W)))^0.4*_xlfn.XLOOKUP(B67,'Base stats'!B:B,'Base stats'!BF:BF)^0.73)^0.6 *_xlfn.XLOOKUP(B67,'Base stats'!B:B,'Base stats'!BU:BU),0.1),0.05)
))</f>
        <v>No</v>
      </c>
      <c r="L67" s="11" t="str">
        <f>IF(K67="No","No",
MAX(0.01,MROUND(_xlfn.XLOOKUP(B67,'Base stats'!B:B,'Base stats'!BF:BF) * 0.01 *2, 0.01))
)</f>
        <v>No</v>
      </c>
      <c r="M67" s="5" t="str">
        <f>IF(K67="No","No",IF(_xlfn.XLOOKUP(_xlfn.XLOOKUP(B67,'Base stats'!B:B,'Base stats'!E:E),Groups!A:A,Groups!BC:BC)=1,"No",
MAX(0.01,MROUND(_xlfn.XLOOKUP(B67,'Base stats'!B:B,'Base stats'!BR:BR)/10000,0.01))
))</f>
        <v>No</v>
      </c>
      <c r="N67" s="4" t="str">
        <f>IF(K67="No","No",
MROUND(
  _xlfn.XLOOKUP(B67,'Base stats'!B:B,'Base stats'!AZ:AZ)^0.25
  / (_xlfn.XLOOKUP(B67,'Base stats'!B:B,'Base stats'!BJ:BJ)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stats'!BT:BT),
0.05))</f>
        <v>No</v>
      </c>
      <c r="O67" s="3">
        <f>IF(Animals!AC67="No","No",
MAX(MROUND((MIN(10,_xlfn.XLOOKUP(B67,'Base stats'!B:B,'Base stats'!V:V)*IF(_xlfn.XLOOKUP(_xlfn.XLOOKUP(B67,'Base stats'!B:B,'Base stats'!E:E),Groups!A:A,Groups!O:O)=0,1,0.33))^0.4*_xlfn.XLOOKUP(B67,'Base stats'!B:B,'Base stats'!BG:BG)^0.73)^0.6 *_xlfn.XLOOKUP(B67,'Base stats'!B:B,'Base stats'!BU:BU),0.1),0.05)
)</f>
        <v>0.30000000000000004</v>
      </c>
      <c r="P67" s="11">
        <f>IF(O67="No","No",
MAX(0.01,MROUND(_xlfn.XLOOKUP(B67,'Base stats'!B:B,'Base stats'!BG:BG) * 0.01 * 2, 0.01))
)</f>
        <v>0.01</v>
      </c>
      <c r="Q67" s="5">
        <f>IF(O67="No","No",
MAX(0.01,MROUND(_xlfn.XLOOKUP(B67,'Base stats'!B:B,'Base stats'!BS:BS)/10000,0.01))
)</f>
        <v>0.01</v>
      </c>
      <c r="R67" s="4">
        <f>IF(O67="No","No",
MROUND(_xlfn.XLOOKUP(B67,'Base stats'!B:B,'Base stats'!AY:AY)^0.25
/((_xlfn.XLOOKUP(B67,'Base stats'!B:B,'Base stats'!BK:BK))*10)*_xlfn.XLOOKUP(_xlfn.XLOOKUP(B67,'Base stats'!B:B,'Base stats'!E:E),Groups!A:A,Groups!Z:Z)*150 + 0.5 + _xlfn.XLOOKUP(B67,'Base stats'!B:B,'Base stats'!BT:BT),
0.05))</f>
        <v>1.75</v>
      </c>
      <c r="S67" s="3" t="str">
        <f>IF(Animals!AH67="No","No",
IF(_xlfn.XLOOKUP(B67,'Base stats'!B:B,'Base stats'!U:U)="No",
MAX(MROUND(_xlfn.XLOOKUP(B67,'Base stats'!B:B,'Base stats'!BQ:BQ) * _xlfn.XLOOKUP(B67,'Base stats'!B:B,'Base stats'!BM:BM)^0.9 / 21 * _xlfn.XLOOKUP(B67,'Base stats'!B:B,'Base stats'!BU:BU),0.1),0.05),
MAX(MROUND(((MIN(12,_xlfn.XLOOKUP(B67,'Base stats'!B:B,'Base stats'!U:U)))^0.4*_xlfn.XLOOKUP(B67,'Base stats'!B:B,'Base stats'!BE:BE)^0.73)^0.6 * _xlfn.XLOOKUP(B67,'Base stats'!B:B,'Base stats'!BU:BU),0.1),0.05)
))</f>
        <v>No</v>
      </c>
      <c r="T67" s="11" t="str">
        <f>IF(S67="No","No",
MAX(0.01,MROUND(_xlfn.XLOOKUP(B67,'Base stats'!B:B,'Base stats'!BE:BE) * 0.01 * 2, 0.01))
)</f>
        <v>No</v>
      </c>
      <c r="U67" s="5" t="str">
        <f>IF(S67="No","No",IF(_xlfn.XLOOKUP(B67,'Base stats'!B:B,'Base stats'!U:U)="No","No",
MAX(0.01,MROUND(_xlfn.XLOOKUP(B67,'Base stats'!B:B,'Base stats'!BQ:BQ)/10000,0.01))
))</f>
        <v>No</v>
      </c>
      <c r="V67" s="4" t="str">
        <f>IF(S67="No","No",
MROUND(_xlfn.XLOOKUP(B67,'Base stats'!B:B,'Base stats'!BC:BC)^0.25
/((_xlfn.XLOOKUP(B67,'Base stats'!B:B,'Base stats'!BL:BL))*10)*_xlfn.XLOOKUP(_xlfn.XLOOKUP(B67,'Base stats'!B:B,'Base stats'!E:E),Groups!A:A,Groups!AE:AE)*150 + 0.5 + _xlfn.XLOOKUP(B67,'Base stats'!B:B,'Base stats'!BT:BT),
0.05))</f>
        <v>No</v>
      </c>
      <c r="W67" s="8">
        <f>MROUND(_xlfn.XLOOKUP(_xlfn.XLOOKUP(B67,'Base stats'!B:B,'Base stats'!E:E),Groups!A:A,Groups!BF:BF)*_xlfn.XLOOKUP(B67,'Base stats'!B:B,'Base stats'!C:C)^-0.165,0.01)</f>
        <v>1.45</v>
      </c>
      <c r="X67" s="1">
        <f>MROUND(_xlfn.XLOOKUP(_xlfn.XLOOKUP(B67,'Base stats'!B:B,'Base stats'!E:E),Groups!A:A,Groups!BG:BG)*_xlfn.XLOOKUP(B67,'Base stats'!B:B,'Base stats'!C:C)^0.165,0.01)</f>
        <v>0</v>
      </c>
      <c r="Y67" s="8">
        <f>MROUND(_xlfn.XLOOKUP(_xlfn.XLOOKUP(B67,'Base stats'!B:B,'Base stats'!E:E),Groups!A:A,Groups!BH:BH)*_xlfn.XLOOKUP(B67,'Base stats'!B:B,'Base stats'!C:C)^0.165,0.01)</f>
        <v>0</v>
      </c>
      <c r="Z67" s="18">
        <f>_xlfn.XLOOKUP(B67,'Base stats'!B:B,'Base stats'!AN:AN)*_xlfn.XLOOKUP(_xlfn.XLOOKUP(B67,'Base stats'!B:B,'Base stats'!E:E),Groups!A:A,Groups!H:H)/1000</f>
        <v>4.5420678874047741E-4</v>
      </c>
      <c r="AA67" s="18">
        <f>(1/2)*(_xlfn.XLOOKUP(_xlfn.XLOOKUP(B67,'Base stats'!B:B,'Base stats'!E:E),Groups!A:A,Groups!H:H)*_xlfn.XLOOKUP(_xlfn.XLOOKUP(B67,'Base stats'!B:B,'Base stats'!E:E),Groups!A:A,Groups!I:I))*_xlfn.XLOOKUP(B67,'Base stats'!B:B,'Base stats'!AN:AN)*0.01</f>
        <v>2.2710339437023871E-3</v>
      </c>
      <c r="AB67" s="18">
        <f>250*(Animals!AN67+Animals!AO67)</f>
        <v>50</v>
      </c>
      <c r="AC67" s="18" t="str">
        <f>_xlfn.XLOOKUP(_xlfn.XLOOKUP(B67,'Base stats'!B:B,'Base stats'!E:E),Groups!A:A,Groups!BI:BI)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stats'!BP:BP) * (_xlfn.XLOOKUP(B68,'Base stats'!B:B,'Base stats'!AL:AL)*5%)^0.9 / 21,0.1),0.05)</f>
        <v>0.4</v>
      </c>
      <c r="E68" s="11">
        <f>MAX(0.01,MROUND(_xlfn.XLOOKUP(B68,'Base stats'!B:B,'Base stats'!BD:BD) * 0.01 * 2, 0.01))</f>
        <v>0.3</v>
      </c>
      <c r="F68" s="7">
        <f>MROUND(_xlfn.XLOOKUP(B68,'Base stats'!B:B,'Base stats'!BA:BA)^0.25 / (_xlfn.XLOOKUP(B68,'Base stats'!B:B,'Base stats'!BH:BH) * 10) * 150 + 0.5 + _xlfn.XLOOKUP(B68,'Base stats'!B:B,'Base stats'!BT:BT), 0.05)</f>
        <v>1.4500000000000002</v>
      </c>
      <c r="G68" s="3" t="str">
        <f>IF(Animals!R68="No","No",
IF(_xlfn.XLOOKUP(B68,'Base stats'!B:B,'Base stats'!U:U)="No",
MAX(MROUND(_xlfn.XLOOKUP(B68,'Base stats'!B:B,'Base stats'!BQ:BQ) * _xlfn.XLOOKUP(B68,'Base stats'!B:B,'Base stats'!BM:BM)^0.9 / 21 * _xlfn.XLOOKUP(B68,'Base stats'!B:B,'Base stats'!BU:BU),0.1),0.05),
MAX(MROUND(((MIN(10,_xlfn.XLOOKUP(B68,'Base stats'!B:B,'Base stats'!U:U)))^0.4*_xlfn.XLOOKUP(B68,'Base stats'!B:B,'Base stats'!BE:BE)^0.73)^0.6 * _xlfn.XLOOKUP(B68,'Base stats'!B:B,'Base stats'!BU:BU),0.1),0.05)
))</f>
        <v>No</v>
      </c>
      <c r="H68" s="11" t="str">
        <f>IF(G68="No","No",
MAX(0.01,MROUND(_xlfn.XLOOKUP(B68,'Base stats'!B:B,'Base stats'!BE:BE) * 0.01 * 2, 0.01))
)</f>
        <v>No</v>
      </c>
      <c r="I68" s="11" t="str">
        <f>IF(G68="No","No",IF(_xlfn.XLOOKUP(B68,'Base stats'!B:B,'Base stats'!U:U)="No","No",
MAX(0.01,MROUND(_xlfn.XLOOKUP(B68,'Base stats'!B:B,'Base stats'!BQ:BQ)/10000,0.01))
))</f>
        <v>No</v>
      </c>
      <c r="J68" s="4" t="str">
        <f>IF(G68="No","No",
MROUND(_xlfn.XLOOKUP(B68,'Base stats'!B:B,'Base stats'!BB:BB)^0.25
/((_xlfn.XLOOKUP(B68,'Base stats'!B:B,'Base stats'!BI:BI))*10)*_xlfn.XLOOKUP(_xlfn.XLOOKUP(B68,'Base stats'!B:B,'Base stats'!E:E),Groups!A:A,Groups!Q:Q)*150 + 0.5 + _xlfn.XLOOKUP(B68,'Base stats'!B:B,'Base stats'!BT:BT),
0.05))</f>
        <v>No</v>
      </c>
      <c r="K68" s="3" t="str">
        <f>IF(Animals!W68="No","No",
IF(_xlfn.XLOOKUP(_xlfn.XLOOKUP(B68,'Base stats'!B:B,'Base stats'!E:E),Groups!A:A,Groups!BC:BC)=1,
MAX(MROUND(_xlfn.XLOOKUP(B68,'Base stats'!B:B,'Base stats'!BR:BR) * _xlfn.XLOOKUP(B68,'Base stats'!B:B,'Base stats'!BN:BN)^0.9 / 21 *_xlfn.XLOOKUP(B68,'Base stats'!B:B,'Base stats'!BU:BU),0.1),0.05),
MAX(MROUND(((MIN(10,_xlfn.XLOOKUP(B68,'Base stats'!B:B,'Base stats'!W:W)))^0.4*_xlfn.XLOOKUP(B68,'Base stats'!B:B,'Base stats'!BF:BF)^0.73)^0.6 *_xlfn.XLOOKUP(B68,'Base stats'!B:B,'Base stats'!BU:BU),0.1),0.05)
))</f>
        <v>No</v>
      </c>
      <c r="L68" s="11" t="str">
        <f>IF(K68="No","No",
MAX(0.01,MROUND(_xlfn.XLOOKUP(B68,'Base stats'!B:B,'Base stats'!BF:BF) * 0.01 *2, 0.01))
)</f>
        <v>No</v>
      </c>
      <c r="M68" s="5" t="str">
        <f>IF(K68="No","No",IF(_xlfn.XLOOKUP(_xlfn.XLOOKUP(B68,'Base stats'!B:B,'Base stats'!E:E),Groups!A:A,Groups!BC:BC)=1,"No",
MAX(0.01,MROUND(_xlfn.XLOOKUP(B68,'Base stats'!B:B,'Base stats'!BR:BR)/10000,0.01))
))</f>
        <v>No</v>
      </c>
      <c r="N68" s="4" t="str">
        <f>IF(K68="No","No",
MROUND(
  _xlfn.XLOOKUP(B68,'Base stats'!B:B,'Base stats'!AZ:AZ)^0.25
  / (_xlfn.XLOOKUP(B68,'Base stats'!B:B,'Base stats'!BJ:BJ)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stats'!BT:BT),
0.05))</f>
        <v>No</v>
      </c>
      <c r="O68" s="3">
        <f>IF(Animals!AC68="No","No",
MAX(MROUND((MIN(10,_xlfn.XLOOKUP(B68,'Base stats'!B:B,'Base stats'!V:V)*IF(_xlfn.XLOOKUP(_xlfn.XLOOKUP(B68,'Base stats'!B:B,'Base stats'!E:E),Groups!A:A,Groups!O:O)=0,1,0.33))^0.4*_xlfn.XLOOKUP(B68,'Base stats'!B:B,'Base stats'!BG:BG)^0.73)^0.6 *_xlfn.XLOOKUP(B68,'Base stats'!B:B,'Base stats'!BU:BU),0.1),0.05)
)</f>
        <v>2.1</v>
      </c>
      <c r="P68" s="11">
        <f>IF(O68="No","No",
MAX(0.01,MROUND(_xlfn.XLOOKUP(B68,'Base stats'!B:B,'Base stats'!BG:BG) * 0.01 * 2, 0.01))
)</f>
        <v>7.0000000000000007E-2</v>
      </c>
      <c r="Q68" s="5">
        <f>IF(O68="No","No",
MAX(0.01,MROUND(_xlfn.XLOOKUP(B68,'Base stats'!B:B,'Base stats'!BS:BS)/10000,0.01))
)</f>
        <v>0.01</v>
      </c>
      <c r="R68" s="4">
        <f>IF(O68="No","No",
MROUND(_xlfn.XLOOKUP(B68,'Base stats'!B:B,'Base stats'!AY:AY)^0.25
/((_xlfn.XLOOKUP(B68,'Base stats'!B:B,'Base stats'!BK:BK))*10)*_xlfn.XLOOKUP(_xlfn.XLOOKUP(B68,'Base stats'!B:B,'Base stats'!E:E),Groups!A:A,Groups!Z:Z)*150 + 0.5 + _xlfn.XLOOKUP(B68,'Base stats'!B:B,'Base stats'!BT:BT),
0.05))</f>
        <v>1.8</v>
      </c>
      <c r="S68" s="3" t="str">
        <f>IF(Animals!AH68="No","No",
IF(_xlfn.XLOOKUP(B68,'Base stats'!B:B,'Base stats'!U:U)="No",
MAX(MROUND(_xlfn.XLOOKUP(B68,'Base stats'!B:B,'Base stats'!BQ:BQ) * _xlfn.XLOOKUP(B68,'Base stats'!B:B,'Base stats'!BM:BM)^0.9 / 21 * _xlfn.XLOOKUP(B68,'Base stats'!B:B,'Base stats'!BU:BU),0.1),0.05),
MAX(MROUND(((MIN(12,_xlfn.XLOOKUP(B68,'Base stats'!B:B,'Base stats'!U:U)))^0.4*_xlfn.XLOOKUP(B68,'Base stats'!B:B,'Base stats'!BE:BE)^0.73)^0.6 * _xlfn.XLOOKUP(B68,'Base stats'!B:B,'Base stats'!BU:BU),0.1),0.05)
))</f>
        <v>No</v>
      </c>
      <c r="T68" s="11" t="str">
        <f>IF(S68="No","No",
MAX(0.01,MROUND(_xlfn.XLOOKUP(B68,'Base stats'!B:B,'Base stats'!BE:BE) * 0.01 * 2, 0.01))
)</f>
        <v>No</v>
      </c>
      <c r="U68" s="5" t="str">
        <f>IF(S68="No","No",IF(_xlfn.XLOOKUP(B68,'Base stats'!B:B,'Base stats'!U:U)="No","No",
MAX(0.01,MROUND(_xlfn.XLOOKUP(B68,'Base stats'!B:B,'Base stats'!BQ:BQ)/10000,0.01))
))</f>
        <v>No</v>
      </c>
      <c r="V68" s="4" t="str">
        <f>IF(S68="No","No",
MROUND(_xlfn.XLOOKUP(B68,'Base stats'!B:B,'Base stats'!BC:BC)^0.25
/((_xlfn.XLOOKUP(B68,'Base stats'!B:B,'Base stats'!BL:BL))*10)*_xlfn.XLOOKUP(_xlfn.XLOOKUP(B68,'Base stats'!B:B,'Base stats'!E:E),Groups!A:A,Groups!AE:AE)*150 + 0.5 + _xlfn.XLOOKUP(B68,'Base stats'!B:B,'Base stats'!BT:BT),
0.05))</f>
        <v>No</v>
      </c>
      <c r="W68" s="8">
        <f>MROUND(_xlfn.XLOOKUP(_xlfn.XLOOKUP(B68,'Base stats'!B:B,'Base stats'!E:E),Groups!A:A,Groups!BF:BF)*_xlfn.XLOOKUP(B68,'Base stats'!B:B,'Base stats'!C:C)^-0.165,0.01)</f>
        <v>0.69000000000000006</v>
      </c>
      <c r="X68" s="1">
        <f>MROUND(_xlfn.XLOOKUP(_xlfn.XLOOKUP(B68,'Base stats'!B:B,'Base stats'!E:E),Groups!A:A,Groups!BG:BG)*_xlfn.XLOOKUP(B68,'Base stats'!B:B,'Base stats'!C:C)^0.165,0.01)</f>
        <v>0</v>
      </c>
      <c r="Y68" s="8">
        <f>MROUND(_xlfn.XLOOKUP(_xlfn.XLOOKUP(B68,'Base stats'!B:B,'Base stats'!E:E),Groups!A:A,Groups!BH:BH)*_xlfn.XLOOKUP(B68,'Base stats'!B:B,'Base stats'!C:C)^0.165,0.01)</f>
        <v>0</v>
      </c>
      <c r="Z68" s="18">
        <f>_xlfn.XLOOKUP(B68,'Base stats'!B:B,'Base stats'!AN:AN)*_xlfn.XLOOKUP(_xlfn.XLOOKUP(B68,'Base stats'!B:B,'Base stats'!E:E),Groups!A:A,Groups!H:H)/1000</f>
        <v>1.6789244368847608E-3</v>
      </c>
      <c r="AA68" s="18">
        <f>(1/2)*(_xlfn.XLOOKUP(_xlfn.XLOOKUP(B68,'Base stats'!B:B,'Base stats'!E:E),Groups!A:A,Groups!H:H)*_xlfn.XLOOKUP(_xlfn.XLOOKUP(B68,'Base stats'!B:B,'Base stats'!E:E),Groups!A:A,Groups!I:I))*_xlfn.XLOOKUP(B68,'Base stats'!B:B,'Base stats'!AN:AN)*0.01</f>
        <v>8.3946221844238052E-3</v>
      </c>
      <c r="AB68" s="18">
        <f>250*(Animals!AN68+Animals!AO68)</f>
        <v>200</v>
      </c>
      <c r="AC68" s="18" t="str">
        <f>_xlfn.XLOOKUP(_xlfn.XLOOKUP(B68,'Base stats'!B:B,'Base stats'!E:E),Groups!A:A,Groups!BI:BI)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stats'!BP:BP) * (_xlfn.XLOOKUP(B69,'Base stats'!B:B,'Base stats'!AL:AL)*5%)^0.9 / 21,0.1),0.05)</f>
        <v>0.1</v>
      </c>
      <c r="E69" s="11">
        <f>MAX(0.01,MROUND(_xlfn.XLOOKUP(B69,'Base stats'!B:B,'Base stats'!BD:BD) * 0.01 * 2, 0.01))</f>
        <v>0.06</v>
      </c>
      <c r="F69" s="7">
        <f>MROUND(_xlfn.XLOOKUP(B69,'Base stats'!B:B,'Base stats'!BA:BA)^0.25 / (_xlfn.XLOOKUP(B69,'Base stats'!B:B,'Base stats'!BH:BH) * 10) * 150 + 0.5 + _xlfn.XLOOKUP(B69,'Base stats'!B:B,'Base stats'!BT:BT), 0.05)</f>
        <v>1.25</v>
      </c>
      <c r="G69" s="3" t="str">
        <f>IF(Animals!R69="No","No",
IF(_xlfn.XLOOKUP(B69,'Base stats'!B:B,'Base stats'!U:U)="No",
MAX(MROUND(_xlfn.XLOOKUP(B69,'Base stats'!B:B,'Base stats'!BQ:BQ) * _xlfn.XLOOKUP(B69,'Base stats'!B:B,'Base stats'!BM:BM)^0.9 / 21 * _xlfn.XLOOKUP(B69,'Base stats'!B:B,'Base stats'!BU:BU),0.1),0.05),
MAX(MROUND(((MIN(10,_xlfn.XLOOKUP(B69,'Base stats'!B:B,'Base stats'!U:U)))^0.4*_xlfn.XLOOKUP(B69,'Base stats'!B:B,'Base stats'!BE:BE)^0.73)^0.6 * _xlfn.XLOOKUP(B69,'Base stats'!B:B,'Base stats'!BU:BU),0.1),0.05)
))</f>
        <v>No</v>
      </c>
      <c r="H69" s="11" t="str">
        <f>IF(G69="No","No",
MAX(0.01,MROUND(_xlfn.XLOOKUP(B69,'Base stats'!B:B,'Base stats'!BE:BE) * 0.01 * 2, 0.01))
)</f>
        <v>No</v>
      </c>
      <c r="I69" s="11" t="str">
        <f>IF(G69="No","No",IF(_xlfn.XLOOKUP(B69,'Base stats'!B:B,'Base stats'!U:U)="No","No",
MAX(0.01,MROUND(_xlfn.XLOOKUP(B69,'Base stats'!B:B,'Base stats'!BQ:BQ)/10000,0.01))
))</f>
        <v>No</v>
      </c>
      <c r="J69" s="4" t="str">
        <f>IF(G69="No","No",
MROUND(_xlfn.XLOOKUP(B69,'Base stats'!B:B,'Base stats'!BB:BB)^0.25
/((_xlfn.XLOOKUP(B69,'Base stats'!B:B,'Base stats'!BI:BI))*10)*_xlfn.XLOOKUP(_xlfn.XLOOKUP(B69,'Base stats'!B:B,'Base stats'!E:E),Groups!A:A,Groups!Q:Q)*150 + 0.5 + _xlfn.XLOOKUP(B69,'Base stats'!B:B,'Base stats'!BT:BT),
0.05))</f>
        <v>No</v>
      </c>
      <c r="K69" s="3" t="str">
        <f>IF(Animals!W69="No","No",
IF(_xlfn.XLOOKUP(_xlfn.XLOOKUP(B69,'Base stats'!B:B,'Base stats'!E:E),Groups!A:A,Groups!BC:BC)=1,
MAX(MROUND(_xlfn.XLOOKUP(B69,'Base stats'!B:B,'Base stats'!BR:BR) * _xlfn.XLOOKUP(B69,'Base stats'!B:B,'Base stats'!BN:BN)^0.9 / 21 *_xlfn.XLOOKUP(B69,'Base stats'!B:B,'Base stats'!BU:BU),0.1),0.05),
MAX(MROUND(((MIN(10,_xlfn.XLOOKUP(B69,'Base stats'!B:B,'Base stats'!W:W)))^0.4*_xlfn.XLOOKUP(B69,'Base stats'!B:B,'Base stats'!BF:BF)^0.73)^0.6 *_xlfn.XLOOKUP(B69,'Base stats'!B:B,'Base stats'!BU:BU),0.1),0.05)
))</f>
        <v>No</v>
      </c>
      <c r="L69" s="11" t="str">
        <f>IF(K69="No","No",
MAX(0.01,MROUND(_xlfn.XLOOKUP(B69,'Base stats'!B:B,'Base stats'!BF:BF) * 0.01 *2, 0.01))
)</f>
        <v>No</v>
      </c>
      <c r="M69" s="5" t="str">
        <f>IF(K69="No","No",IF(_xlfn.XLOOKUP(_xlfn.XLOOKUP(B69,'Base stats'!B:B,'Base stats'!E:E),Groups!A:A,Groups!BC:BC)=1,"No",
MAX(0.01,MROUND(_xlfn.XLOOKUP(B69,'Base stats'!B:B,'Base stats'!BR:BR)/10000,0.01))
))</f>
        <v>No</v>
      </c>
      <c r="N69" s="4" t="str">
        <f>IF(K69="No","No",
MROUND(
  _xlfn.XLOOKUP(B69,'Base stats'!B:B,'Base stats'!AZ:AZ)^0.25
  / (_xlfn.XLOOKUP(B69,'Base stats'!B:B,'Base stats'!BJ:BJ)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stats'!BT:BT),
0.05))</f>
        <v>No</v>
      </c>
      <c r="O69" s="3">
        <f>IF(Animals!AC69="No","No",
MAX(MROUND((MIN(10,_xlfn.XLOOKUP(B69,'Base stats'!B:B,'Base stats'!V:V)*IF(_xlfn.XLOOKUP(_xlfn.XLOOKUP(B69,'Base stats'!B:B,'Base stats'!E:E),Groups!A:A,Groups!O:O)=0,1,0.33))^0.4*_xlfn.XLOOKUP(B69,'Base stats'!B:B,'Base stats'!BG:BG)^0.73)^0.6 *_xlfn.XLOOKUP(B69,'Base stats'!B:B,'Base stats'!BU:BU),0.1),0.05)
)</f>
        <v>1.3</v>
      </c>
      <c r="P69" s="11">
        <f>IF(O69="No","No",
MAX(0.01,MROUND(_xlfn.XLOOKUP(B69,'Base stats'!B:B,'Base stats'!BG:BG) * 0.01 * 2, 0.01))
)</f>
        <v>0.02</v>
      </c>
      <c r="Q69" s="5">
        <f>IF(O69="No","No",
MAX(0.01,MROUND(_xlfn.XLOOKUP(B69,'Base stats'!B:B,'Base stats'!BS:BS)/10000,0.01))
)</f>
        <v>0.01</v>
      </c>
      <c r="R69" s="4">
        <f>IF(O69="No","No",
MROUND(_xlfn.XLOOKUP(B69,'Base stats'!B:B,'Base stats'!AY:AY)^0.25
/((_xlfn.XLOOKUP(B69,'Base stats'!B:B,'Base stats'!BK:BK))*10)*_xlfn.XLOOKUP(_xlfn.XLOOKUP(B69,'Base stats'!B:B,'Base stats'!E:E),Groups!A:A,Groups!Z:Z)*150 + 0.5 + _xlfn.XLOOKUP(B69,'Base stats'!B:B,'Base stats'!BT:BT),
0.05))</f>
        <v>1.7000000000000002</v>
      </c>
      <c r="S69" s="3" t="str">
        <f>IF(Animals!AH69="No","No",
IF(_xlfn.XLOOKUP(B69,'Base stats'!B:B,'Base stats'!U:U)="No",
MAX(MROUND(_xlfn.XLOOKUP(B69,'Base stats'!B:B,'Base stats'!BQ:BQ) * _xlfn.XLOOKUP(B69,'Base stats'!B:B,'Base stats'!BM:BM)^0.9 / 21 * _xlfn.XLOOKUP(B69,'Base stats'!B:B,'Base stats'!BU:BU),0.1),0.05),
MAX(MROUND(((MIN(12,_xlfn.XLOOKUP(B69,'Base stats'!B:B,'Base stats'!U:U)))^0.4*_xlfn.XLOOKUP(B69,'Base stats'!B:B,'Base stats'!BE:BE)^0.73)^0.6 * _xlfn.XLOOKUP(B69,'Base stats'!B:B,'Base stats'!BU:BU),0.1),0.05)
))</f>
        <v>No</v>
      </c>
      <c r="T69" s="11" t="str">
        <f>IF(S69="No","No",
MAX(0.01,MROUND(_xlfn.XLOOKUP(B69,'Base stats'!B:B,'Base stats'!BE:BE) * 0.01 * 2, 0.01))
)</f>
        <v>No</v>
      </c>
      <c r="U69" s="5" t="str">
        <f>IF(S69="No","No",IF(_xlfn.XLOOKUP(B69,'Base stats'!B:B,'Base stats'!U:U)="No","No",
MAX(0.01,MROUND(_xlfn.XLOOKUP(B69,'Base stats'!B:B,'Base stats'!BQ:BQ)/10000,0.01))
))</f>
        <v>No</v>
      </c>
      <c r="V69" s="4" t="str">
        <f>IF(S69="No","No",
MROUND(_xlfn.XLOOKUP(B69,'Base stats'!B:B,'Base stats'!BC:BC)^0.25
/((_xlfn.XLOOKUP(B69,'Base stats'!B:B,'Base stats'!BL:BL))*10)*_xlfn.XLOOKUP(_xlfn.XLOOKUP(B69,'Base stats'!B:B,'Base stats'!E:E),Groups!A:A,Groups!AE:AE)*150 + 0.5 + _xlfn.XLOOKUP(B69,'Base stats'!B:B,'Base stats'!BT:BT),
0.05))</f>
        <v>No</v>
      </c>
      <c r="W69" s="8">
        <f>MROUND(_xlfn.XLOOKUP(_xlfn.XLOOKUP(B69,'Base stats'!B:B,'Base stats'!E:E),Groups!A:A,Groups!BF:BF)*_xlfn.XLOOKUP(B69,'Base stats'!B:B,'Base stats'!C:C)^-0.165,0.01)</f>
        <v>0.94000000000000006</v>
      </c>
      <c r="X69" s="1">
        <f>MROUND(_xlfn.XLOOKUP(_xlfn.XLOOKUP(B69,'Base stats'!B:B,'Base stats'!E:E),Groups!A:A,Groups!BG:BG)*_xlfn.XLOOKUP(B69,'Base stats'!B:B,'Base stats'!C:C)^0.165,0.01)</f>
        <v>0</v>
      </c>
      <c r="Y69" s="8">
        <f>MROUND(_xlfn.XLOOKUP(_xlfn.XLOOKUP(B69,'Base stats'!B:B,'Base stats'!E:E),Groups!A:A,Groups!BH:BH)*_xlfn.XLOOKUP(B69,'Base stats'!B:B,'Base stats'!C:C)^0.165,0.01)</f>
        <v>0</v>
      </c>
      <c r="Z69" s="18">
        <f>_xlfn.XLOOKUP(B69,'Base stats'!B:B,'Base stats'!AN:AN)*_xlfn.XLOOKUP(_xlfn.XLOOKUP(B69,'Base stats'!B:B,'Base stats'!E:E),Groups!A:A,Groups!H:H)/1000</f>
        <v>9.8542336094020614E-4</v>
      </c>
      <c r="AA69" s="18">
        <f>(1/2)*(_xlfn.XLOOKUP(_xlfn.XLOOKUP(B69,'Base stats'!B:B,'Base stats'!E:E),Groups!A:A,Groups!H:H)*_xlfn.XLOOKUP(_xlfn.XLOOKUP(B69,'Base stats'!B:B,'Base stats'!E:E),Groups!A:A,Groups!I:I))*_xlfn.XLOOKUP(B69,'Base stats'!B:B,'Base stats'!AN:AN)*0.01</f>
        <v>4.9271168047010303E-3</v>
      </c>
      <c r="AB69" s="18">
        <f>250*(Animals!AN69+Animals!AO69)</f>
        <v>100</v>
      </c>
      <c r="AC69" s="18" t="str">
        <f>_xlfn.XLOOKUP(_xlfn.XLOOKUP(B69,'Base stats'!B:B,'Base stats'!E:E),Groups!A:A,Groups!BI:BI)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stats'!BP:BP) * (_xlfn.XLOOKUP(B70,'Base stats'!B:B,'Base stats'!AL:AL)*5%)^0.9 / 21,0.1),0.05)</f>
        <v>0.2</v>
      </c>
      <c r="E70" s="11">
        <f>MAX(0.01,MROUND(_xlfn.XLOOKUP(B70,'Base stats'!B:B,'Base stats'!BD:BD) * 0.01 * 2, 0.01))</f>
        <v>0.11</v>
      </c>
      <c r="F70" s="7">
        <f>MROUND(_xlfn.XLOOKUP(B70,'Base stats'!B:B,'Base stats'!BA:BA)^0.25 / (_xlfn.XLOOKUP(B70,'Base stats'!B:B,'Base stats'!BH:BH) * 10) * 150 + 0.5 + _xlfn.XLOOKUP(B70,'Base stats'!B:B,'Base stats'!BT:BT), 0.05)</f>
        <v>1.35</v>
      </c>
      <c r="G70" s="3" t="str">
        <f>IF(Animals!R70="No","No",
IF(_xlfn.XLOOKUP(B70,'Base stats'!B:B,'Base stats'!U:U)="No",
MAX(MROUND(_xlfn.XLOOKUP(B70,'Base stats'!B:B,'Base stats'!BQ:BQ) * _xlfn.XLOOKUP(B70,'Base stats'!B:B,'Base stats'!BM:BM)^0.9 / 21 * _xlfn.XLOOKUP(B70,'Base stats'!B:B,'Base stats'!BU:BU),0.1),0.05),
MAX(MROUND(((MIN(10,_xlfn.XLOOKUP(B70,'Base stats'!B:B,'Base stats'!U:U)))^0.4*_xlfn.XLOOKUP(B70,'Base stats'!B:B,'Base stats'!BE:BE)^0.73)^0.6 * _xlfn.XLOOKUP(B70,'Base stats'!B:B,'Base stats'!BU:BU),0.1),0.05)
))</f>
        <v>No</v>
      </c>
      <c r="H70" s="11" t="str">
        <f>IF(G70="No","No",
MAX(0.01,MROUND(_xlfn.XLOOKUP(B70,'Base stats'!B:B,'Base stats'!BE:BE) * 0.01 * 2, 0.01))
)</f>
        <v>No</v>
      </c>
      <c r="I70" s="11" t="str">
        <f>IF(G70="No","No",IF(_xlfn.XLOOKUP(B70,'Base stats'!B:B,'Base stats'!U:U)="No","No",
MAX(0.01,MROUND(_xlfn.XLOOKUP(B70,'Base stats'!B:B,'Base stats'!BQ:BQ)/10000,0.01))
))</f>
        <v>No</v>
      </c>
      <c r="J70" s="4" t="str">
        <f>IF(G70="No","No",
MROUND(_xlfn.XLOOKUP(B70,'Base stats'!B:B,'Base stats'!BB:BB)^0.25
/((_xlfn.XLOOKUP(B70,'Base stats'!B:B,'Base stats'!BI:BI))*10)*_xlfn.XLOOKUP(_xlfn.XLOOKUP(B70,'Base stats'!B:B,'Base stats'!E:E),Groups!A:A,Groups!Q:Q)*150 + 0.5 + _xlfn.XLOOKUP(B70,'Base stats'!B:B,'Base stats'!BT:BT),
0.05))</f>
        <v>No</v>
      </c>
      <c r="K70" s="3" t="str">
        <f>IF(Animals!W70="No","No",
IF(_xlfn.XLOOKUP(_xlfn.XLOOKUP(B70,'Base stats'!B:B,'Base stats'!E:E),Groups!A:A,Groups!BC:BC)=1,
MAX(MROUND(_xlfn.XLOOKUP(B70,'Base stats'!B:B,'Base stats'!BR:BR) * _xlfn.XLOOKUP(B70,'Base stats'!B:B,'Base stats'!BN:BN)^0.9 / 21 *_xlfn.XLOOKUP(B70,'Base stats'!B:B,'Base stats'!BU:BU),0.1),0.05),
MAX(MROUND(((MIN(10,_xlfn.XLOOKUP(B70,'Base stats'!B:B,'Base stats'!W:W)))^0.4*_xlfn.XLOOKUP(B70,'Base stats'!B:B,'Base stats'!BF:BF)^0.73)^0.6 *_xlfn.XLOOKUP(B70,'Base stats'!B:B,'Base stats'!BU:BU),0.1),0.05)
))</f>
        <v>No</v>
      </c>
      <c r="L70" s="11" t="str">
        <f>IF(K70="No","No",
MAX(0.01,MROUND(_xlfn.XLOOKUP(B70,'Base stats'!B:B,'Base stats'!BF:BF) * 0.01 *2, 0.01))
)</f>
        <v>No</v>
      </c>
      <c r="M70" s="5" t="str">
        <f>IF(K70="No","No",IF(_xlfn.XLOOKUP(_xlfn.XLOOKUP(B70,'Base stats'!B:B,'Base stats'!E:E),Groups!A:A,Groups!BC:BC)=1,"No",
MAX(0.01,MROUND(_xlfn.XLOOKUP(B70,'Base stats'!B:B,'Base stats'!BR:BR)/10000,0.01))
))</f>
        <v>No</v>
      </c>
      <c r="N70" s="4" t="str">
        <f>IF(K70="No","No",
MROUND(
  _xlfn.XLOOKUP(B70,'Base stats'!B:B,'Base stats'!AZ:AZ)^0.25
  / (_xlfn.XLOOKUP(B70,'Base stats'!B:B,'Base stats'!BJ:BJ)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stats'!BT:BT),
0.05))</f>
        <v>No</v>
      </c>
      <c r="O70" s="3">
        <f>IF(Animals!AC70="No","No",
MAX(MROUND((MIN(10,_xlfn.XLOOKUP(B70,'Base stats'!B:B,'Base stats'!V:V)*IF(_xlfn.XLOOKUP(_xlfn.XLOOKUP(B70,'Base stats'!B:B,'Base stats'!E:E),Groups!A:A,Groups!O:O)=0,1,0.33))^0.4*_xlfn.XLOOKUP(B70,'Base stats'!B:B,'Base stats'!BG:BG)^0.73)^0.6 *_xlfn.XLOOKUP(B70,'Base stats'!B:B,'Base stats'!BU:BU),0.1),0.05)
)</f>
        <v>1.7000000000000002</v>
      </c>
      <c r="P70" s="11">
        <f>IF(O70="No","No",
MAX(0.01,MROUND(_xlfn.XLOOKUP(B70,'Base stats'!B:B,'Base stats'!BG:BG) * 0.01 * 2, 0.01))
)</f>
        <v>0.03</v>
      </c>
      <c r="Q70" s="5">
        <f>IF(O70="No","No",
MAX(0.01,MROUND(_xlfn.XLOOKUP(B70,'Base stats'!B:B,'Base stats'!BS:BS)/10000,0.01))
)</f>
        <v>0.01</v>
      </c>
      <c r="R70" s="4">
        <f>IF(O70="No","No",
MROUND(_xlfn.XLOOKUP(B70,'Base stats'!B:B,'Base stats'!AY:AY)^0.25
/((_xlfn.XLOOKUP(B70,'Base stats'!B:B,'Base stats'!BK:BK))*10)*_xlfn.XLOOKUP(_xlfn.XLOOKUP(B70,'Base stats'!B:B,'Base stats'!E:E),Groups!A:A,Groups!Z:Z)*150 + 0.5 + _xlfn.XLOOKUP(B70,'Base stats'!B:B,'Base stats'!BT:BT),
0.05))</f>
        <v>1.85</v>
      </c>
      <c r="S70" s="3" t="str">
        <f>IF(Animals!AH70="No","No",
IF(_xlfn.XLOOKUP(B70,'Base stats'!B:B,'Base stats'!U:U)="No",
MAX(MROUND(_xlfn.XLOOKUP(B70,'Base stats'!B:B,'Base stats'!BQ:BQ) * _xlfn.XLOOKUP(B70,'Base stats'!B:B,'Base stats'!BM:BM)^0.9 / 21 * _xlfn.XLOOKUP(B70,'Base stats'!B:B,'Base stats'!BU:BU),0.1),0.05),
MAX(MROUND(((MIN(12,_xlfn.XLOOKUP(B70,'Base stats'!B:B,'Base stats'!U:U)))^0.4*_xlfn.XLOOKUP(B70,'Base stats'!B:B,'Base stats'!BE:BE)^0.73)^0.6 * _xlfn.XLOOKUP(B70,'Base stats'!B:B,'Base stats'!BU:BU),0.1),0.05)
))</f>
        <v>No</v>
      </c>
      <c r="T70" s="11" t="str">
        <f>IF(S70="No","No",
MAX(0.01,MROUND(_xlfn.XLOOKUP(B70,'Base stats'!B:B,'Base stats'!BE:BE) * 0.01 * 2, 0.01))
)</f>
        <v>No</v>
      </c>
      <c r="U70" s="5" t="str">
        <f>IF(S70="No","No",IF(_xlfn.XLOOKUP(B70,'Base stats'!B:B,'Base stats'!U:U)="No","No",
MAX(0.01,MROUND(_xlfn.XLOOKUP(B70,'Base stats'!B:B,'Base stats'!BQ:BQ)/10000,0.01))
))</f>
        <v>No</v>
      </c>
      <c r="V70" s="4" t="str">
        <f>IF(S70="No","No",
MROUND(_xlfn.XLOOKUP(B70,'Base stats'!B:B,'Base stats'!BC:BC)^0.25
/((_xlfn.XLOOKUP(B70,'Base stats'!B:B,'Base stats'!BL:BL))*10)*_xlfn.XLOOKUP(_xlfn.XLOOKUP(B70,'Base stats'!B:B,'Base stats'!E:E),Groups!A:A,Groups!AE:AE)*150 + 0.5 + _xlfn.XLOOKUP(B70,'Base stats'!B:B,'Base stats'!BT:BT),
0.05))</f>
        <v>No</v>
      </c>
      <c r="W70" s="8">
        <f>MROUND(_xlfn.XLOOKUP(_xlfn.XLOOKUP(B70,'Base stats'!B:B,'Base stats'!E:E),Groups!A:A,Groups!BF:BF)*_xlfn.XLOOKUP(B70,'Base stats'!B:B,'Base stats'!C:C)^-0.165,0.01)</f>
        <v>0.82000000000000006</v>
      </c>
      <c r="X70" s="1">
        <f>MROUND(_xlfn.XLOOKUP(_xlfn.XLOOKUP(B70,'Base stats'!B:B,'Base stats'!E:E),Groups!A:A,Groups!BG:BG)*_xlfn.XLOOKUP(B70,'Base stats'!B:B,'Base stats'!C:C)^0.165,0.01)</f>
        <v>0</v>
      </c>
      <c r="Y70" s="8">
        <f>MROUND(_xlfn.XLOOKUP(_xlfn.XLOOKUP(B70,'Base stats'!B:B,'Base stats'!E:E),Groups!A:A,Groups!BH:BH)*_xlfn.XLOOKUP(B70,'Base stats'!B:B,'Base stats'!C:C)^0.165,0.01)</f>
        <v>0</v>
      </c>
      <c r="Z70" s="18">
        <f>_xlfn.XLOOKUP(B70,'Base stats'!B:B,'Base stats'!AN:AN)*_xlfn.XLOOKUP(_xlfn.XLOOKUP(B70,'Base stats'!B:B,'Base stats'!E:E),Groups!A:A,Groups!H:H)/1000</f>
        <v>1.23311211107864E-3</v>
      </c>
      <c r="AA70" s="18">
        <f>(1/2)*(_xlfn.XLOOKUP(_xlfn.XLOOKUP(B70,'Base stats'!B:B,'Base stats'!E:E),Groups!A:A,Groups!H:H)*_xlfn.XLOOKUP(_xlfn.XLOOKUP(B70,'Base stats'!B:B,'Base stats'!E:E),Groups!A:A,Groups!I:I))*_xlfn.XLOOKUP(B70,'Base stats'!B:B,'Base stats'!AN:AN)*0.01</f>
        <v>6.1655605553932007E-3</v>
      </c>
      <c r="AB70" s="18">
        <f>250*(Animals!AN70+Animals!AO70)</f>
        <v>125</v>
      </c>
      <c r="AC70" s="18" t="str">
        <f>_xlfn.XLOOKUP(_xlfn.XLOOKUP(B70,'Base stats'!B:B,'Base stats'!E:E),Groups!A:A,Groups!BI:BI)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stats'!BP:BP) * (_xlfn.XLOOKUP(B71,'Base stats'!B:B,'Base stats'!AL:AL)*5%)^0.9 / 21,0.1),0.05)</f>
        <v>1.2000000000000002</v>
      </c>
      <c r="E71" s="11">
        <f>MAX(0.01,MROUND(_xlfn.XLOOKUP(B71,'Base stats'!B:B,'Base stats'!BD:BD) * 0.01 * 2, 0.01))</f>
        <v>0.96</v>
      </c>
      <c r="F71" s="7">
        <f>MROUND(_xlfn.XLOOKUP(B71,'Base stats'!B:B,'Base stats'!BA:BA)^0.25 / (_xlfn.XLOOKUP(B71,'Base stats'!B:B,'Base stats'!BH:BH) * 10) * 150 + 0.5 + _xlfn.XLOOKUP(B71,'Base stats'!B:B,'Base stats'!BT:BT), 0.05)</f>
        <v>1.75</v>
      </c>
      <c r="G71" s="3" t="str">
        <f>IF(Animals!R71="No","No",
IF(_xlfn.XLOOKUP(B71,'Base stats'!B:B,'Base stats'!U:U)="No",
MAX(MROUND(_xlfn.XLOOKUP(B71,'Base stats'!B:B,'Base stats'!BQ:BQ) * _xlfn.XLOOKUP(B71,'Base stats'!B:B,'Base stats'!BM:BM)^0.9 / 21 * _xlfn.XLOOKUP(B71,'Base stats'!B:B,'Base stats'!BU:BU),0.1),0.05),
MAX(MROUND(((MIN(10,_xlfn.XLOOKUP(B71,'Base stats'!B:B,'Base stats'!U:U)))^0.4*_xlfn.XLOOKUP(B71,'Base stats'!B:B,'Base stats'!BE:BE)^0.73)^0.6 * _xlfn.XLOOKUP(B71,'Base stats'!B:B,'Base stats'!BU:BU),0.1),0.05)
))</f>
        <v>No</v>
      </c>
      <c r="H71" s="11" t="str">
        <f>IF(G71="No","No",
MAX(0.01,MROUND(_xlfn.XLOOKUP(B71,'Base stats'!B:B,'Base stats'!BE:BE) * 0.01 * 2, 0.01))
)</f>
        <v>No</v>
      </c>
      <c r="I71" s="11" t="str">
        <f>IF(G71="No","No",IF(_xlfn.XLOOKUP(B71,'Base stats'!B:B,'Base stats'!U:U)="No","No",
MAX(0.01,MROUND(_xlfn.XLOOKUP(B71,'Base stats'!B:B,'Base stats'!BQ:BQ)/10000,0.01))
))</f>
        <v>No</v>
      </c>
      <c r="J71" s="4" t="str">
        <f>IF(G71="No","No",
MROUND(_xlfn.XLOOKUP(B71,'Base stats'!B:B,'Base stats'!BB:BB)^0.25
/((_xlfn.XLOOKUP(B71,'Base stats'!B:B,'Base stats'!BI:BI))*10)*_xlfn.XLOOKUP(_xlfn.XLOOKUP(B71,'Base stats'!B:B,'Base stats'!E:E),Groups!A:A,Groups!Q:Q)*150 + 0.5 + _xlfn.XLOOKUP(B71,'Base stats'!B:B,'Base stats'!BT:BT),
0.05))</f>
        <v>No</v>
      </c>
      <c r="K71" s="3" t="str">
        <f>IF(Animals!W71="No","No",
IF(_xlfn.XLOOKUP(_xlfn.XLOOKUP(B71,'Base stats'!B:B,'Base stats'!E:E),Groups!A:A,Groups!BC:BC)=1,
MAX(MROUND(_xlfn.XLOOKUP(B71,'Base stats'!B:B,'Base stats'!BR:BR) * _xlfn.XLOOKUP(B71,'Base stats'!B:B,'Base stats'!BN:BN)^0.9 / 21 *_xlfn.XLOOKUP(B71,'Base stats'!B:B,'Base stats'!BU:BU),0.1),0.05),
MAX(MROUND(((MIN(10,_xlfn.XLOOKUP(B71,'Base stats'!B:B,'Base stats'!W:W)))^0.4*_xlfn.XLOOKUP(B71,'Base stats'!B:B,'Base stats'!BF:BF)^0.73)^0.6 *_xlfn.XLOOKUP(B71,'Base stats'!B:B,'Base stats'!BU:BU),0.1),0.05)
))</f>
        <v>No</v>
      </c>
      <c r="L71" s="11" t="str">
        <f>IF(K71="No","No",
MAX(0.01,MROUND(_xlfn.XLOOKUP(B71,'Base stats'!B:B,'Base stats'!BF:BF) * 0.01 *2, 0.01))
)</f>
        <v>No</v>
      </c>
      <c r="M71" s="5" t="str">
        <f>IF(K71="No","No",IF(_xlfn.XLOOKUP(_xlfn.XLOOKUP(B71,'Base stats'!B:B,'Base stats'!E:E),Groups!A:A,Groups!BC:BC)=1,"No",
MAX(0.01,MROUND(_xlfn.XLOOKUP(B71,'Base stats'!B:B,'Base stats'!BR:BR)/10000,0.01))
))</f>
        <v>No</v>
      </c>
      <c r="N71" s="4" t="str">
        <f>IF(K71="No","No",
MROUND(
  _xlfn.XLOOKUP(B71,'Base stats'!B:B,'Base stats'!AZ:AZ)^0.25
  / (_xlfn.XLOOKUP(B71,'Base stats'!B:B,'Base stats'!BJ:BJ)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stats'!BT:BT),
0.05))</f>
        <v>No</v>
      </c>
      <c r="O71" s="3">
        <f>IF(Animals!AC71="No","No",
MAX(MROUND((MIN(10,_xlfn.XLOOKUP(B71,'Base stats'!B:B,'Base stats'!V:V)*IF(_xlfn.XLOOKUP(_xlfn.XLOOKUP(B71,'Base stats'!B:B,'Base stats'!E:E),Groups!A:A,Groups!O:O)=0,1,0.33))^0.4*_xlfn.XLOOKUP(B71,'Base stats'!B:B,'Base stats'!BG:BG)^0.73)^0.6 *_xlfn.XLOOKUP(B71,'Base stats'!B:B,'Base stats'!BU:BU),0.1),0.05)
)</f>
        <v>3.4000000000000004</v>
      </c>
      <c r="P71" s="11">
        <f>IF(O71="No","No",
MAX(0.01,MROUND(_xlfn.XLOOKUP(B71,'Base stats'!B:B,'Base stats'!BG:BG) * 0.01 * 2, 0.01))
)</f>
        <v>0.19</v>
      </c>
      <c r="Q71" s="5">
        <f>IF(O71="No","No",
MAX(0.01,MROUND(_xlfn.XLOOKUP(B71,'Base stats'!B:B,'Base stats'!BS:BS)/10000,0.01))
)</f>
        <v>0.02</v>
      </c>
      <c r="R71" s="4">
        <f>IF(O71="No","No",
MROUND(_xlfn.XLOOKUP(B71,'Base stats'!B:B,'Base stats'!AY:AY)^0.25
/((_xlfn.XLOOKUP(B71,'Base stats'!B:B,'Base stats'!BK:BK))*10)*_xlfn.XLOOKUP(_xlfn.XLOOKUP(B71,'Base stats'!B:B,'Base stats'!E:E),Groups!A:A,Groups!Z:Z)*150 + 0.5 + _xlfn.XLOOKUP(B71,'Base stats'!B:B,'Base stats'!BT:BT),
0.05))</f>
        <v>2.1</v>
      </c>
      <c r="S71" s="3" t="str">
        <f>IF(Animals!AH71="No","No",
IF(_xlfn.XLOOKUP(B71,'Base stats'!B:B,'Base stats'!U:U)="No",
MAX(MROUND(_xlfn.XLOOKUP(B71,'Base stats'!B:B,'Base stats'!BQ:BQ) * _xlfn.XLOOKUP(B71,'Base stats'!B:B,'Base stats'!BM:BM)^0.9 / 21 * _xlfn.XLOOKUP(B71,'Base stats'!B:B,'Base stats'!BU:BU),0.1),0.05),
MAX(MROUND(((MIN(12,_xlfn.XLOOKUP(B71,'Base stats'!B:B,'Base stats'!U:U)))^0.4*_xlfn.XLOOKUP(B71,'Base stats'!B:B,'Base stats'!BE:BE)^0.73)^0.6 * _xlfn.XLOOKUP(B71,'Base stats'!B:B,'Base stats'!BU:BU),0.1),0.05)
))</f>
        <v>No</v>
      </c>
      <c r="T71" s="11" t="str">
        <f>IF(S71="No","No",
MAX(0.01,MROUND(_xlfn.XLOOKUP(B71,'Base stats'!B:B,'Base stats'!BE:BE) * 0.01 * 2, 0.01))
)</f>
        <v>No</v>
      </c>
      <c r="U71" s="5" t="str">
        <f>IF(S71="No","No",IF(_xlfn.XLOOKUP(B71,'Base stats'!B:B,'Base stats'!U:U)="No","No",
MAX(0.01,MROUND(_xlfn.XLOOKUP(B71,'Base stats'!B:B,'Base stats'!BQ:BQ)/10000,0.01))
))</f>
        <v>No</v>
      </c>
      <c r="V71" s="4" t="str">
        <f>IF(S71="No","No",
MROUND(_xlfn.XLOOKUP(B71,'Base stats'!B:B,'Base stats'!BC:BC)^0.25
/((_xlfn.XLOOKUP(B71,'Base stats'!B:B,'Base stats'!BL:BL))*10)*_xlfn.XLOOKUP(_xlfn.XLOOKUP(B71,'Base stats'!B:B,'Base stats'!E:E),Groups!A:A,Groups!AE:AE)*150 + 0.5 + _xlfn.XLOOKUP(B71,'Base stats'!B:B,'Base stats'!BT:BT),
0.05))</f>
        <v>No</v>
      </c>
      <c r="W71" s="8">
        <f>MROUND(_xlfn.XLOOKUP(_xlfn.XLOOKUP(B71,'Base stats'!B:B,'Base stats'!E:E),Groups!A:A,Groups!BF:BF)*_xlfn.XLOOKUP(B71,'Base stats'!B:B,'Base stats'!C:C)^-0.165,0.01)</f>
        <v>0.56000000000000005</v>
      </c>
      <c r="X71" s="1">
        <f>MROUND(_xlfn.XLOOKUP(_xlfn.XLOOKUP(B71,'Base stats'!B:B,'Base stats'!E:E),Groups!A:A,Groups!BG:BG)*_xlfn.XLOOKUP(B71,'Base stats'!B:B,'Base stats'!C:C)^0.165,0.01)</f>
        <v>0</v>
      </c>
      <c r="Y71" s="8">
        <f>MROUND(_xlfn.XLOOKUP(_xlfn.XLOOKUP(B71,'Base stats'!B:B,'Base stats'!E:E),Groups!A:A,Groups!BH:BH)*_xlfn.XLOOKUP(B71,'Base stats'!B:B,'Base stats'!C:C)^0.165,0.01)</f>
        <v>0</v>
      </c>
      <c r="Z71" s="18">
        <f>_xlfn.XLOOKUP(B71,'Base stats'!B:B,'Base stats'!AN:AN)*_xlfn.XLOOKUP(_xlfn.XLOOKUP(B71,'Base stats'!B:B,'Base stats'!E:E),Groups!A:A,Groups!H:H)/1000</f>
        <v>2.4308366963678757E-3</v>
      </c>
      <c r="AA71" s="18">
        <f>(1/2)*(_xlfn.XLOOKUP(_xlfn.XLOOKUP(B71,'Base stats'!B:B,'Base stats'!E:E),Groups!A:A,Groups!H:H)*_xlfn.XLOOKUP(_xlfn.XLOOKUP(B71,'Base stats'!B:B,'Base stats'!E:E),Groups!A:A,Groups!I:I))*_xlfn.XLOOKUP(B71,'Base stats'!B:B,'Base stats'!AN:AN)*0.01</f>
        <v>1.2154183481839378E-2</v>
      </c>
      <c r="AB71" s="18">
        <f>250*(Animals!AN71+Animals!AO71)</f>
        <v>350.00000000000006</v>
      </c>
      <c r="AC71" s="18" t="str">
        <f>_xlfn.XLOOKUP(_xlfn.XLOOKUP(B71,'Base stats'!B:B,'Base stats'!E:E),Groups!A:A,Groups!BI:BI)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stats'!BP:BP) * (_xlfn.XLOOKUP(B72,'Base stats'!B:B,'Base stats'!AL:AL)*5%)^0.9 / 21,0.1),0.05)</f>
        <v>0.2</v>
      </c>
      <c r="E72" s="11">
        <f>MAX(0.01,MROUND(_xlfn.XLOOKUP(B72,'Base stats'!B:B,'Base stats'!BD:BD) * 0.01 * 2, 0.01))</f>
        <v>0.14000000000000001</v>
      </c>
      <c r="F72" s="7">
        <f>MROUND(_xlfn.XLOOKUP(B72,'Base stats'!B:B,'Base stats'!BA:BA)^0.25 / (_xlfn.XLOOKUP(B72,'Base stats'!B:B,'Base stats'!BH:BH) * 10) * 150 + 0.5 + _xlfn.XLOOKUP(B72,'Base stats'!B:B,'Base stats'!BT:BT), 0.05)</f>
        <v>1.3</v>
      </c>
      <c r="G72" s="3">
        <f>IF(Animals!R72="No","No",
IF(_xlfn.XLOOKUP(B72,'Base stats'!B:B,'Base stats'!U:U)="No",
MAX(MROUND(_xlfn.XLOOKUP(B72,'Base stats'!B:B,'Base stats'!BQ:BQ) * _xlfn.XLOOKUP(B72,'Base stats'!B:B,'Base stats'!BM:BM)^0.9 / 21 * _xlfn.XLOOKUP(B72,'Base stats'!B:B,'Base stats'!BU:BU),0.1),0.05),
MAX(MROUND(((MIN(10,_xlfn.XLOOKUP(B72,'Base stats'!B:B,'Base stats'!U:U)))^0.4*_xlfn.XLOOKUP(B72,'Base stats'!B:B,'Base stats'!BE:BE)^0.73)^0.6 * _xlfn.XLOOKUP(B72,'Base stats'!B:B,'Base stats'!BU:BU),0.1),0.05)
))</f>
        <v>3.3000000000000003</v>
      </c>
      <c r="H72" s="11">
        <f>IF(G72="No","No",
MAX(0.01,MROUND(_xlfn.XLOOKUP(B72,'Base stats'!B:B,'Base stats'!BE:BE) * 0.01 * 2, 0.01))
)</f>
        <v>0.22</v>
      </c>
      <c r="I72" s="11">
        <f>IF(G72="No","No",IF(_xlfn.XLOOKUP(B72,'Base stats'!B:B,'Base stats'!U:U)="No","No",
MAX(0.01,MROUND(_xlfn.XLOOKUP(B72,'Base stats'!B:B,'Base stats'!BQ:BQ)/10000,0.01))
))</f>
        <v>0.04</v>
      </c>
      <c r="J72" s="4">
        <f>IF(G72="No","No",
MROUND(_xlfn.XLOOKUP(B72,'Base stats'!B:B,'Base stats'!BB:BB)^0.25
/((_xlfn.XLOOKUP(B72,'Base stats'!B:B,'Base stats'!BI:BI))*10)*_xlfn.XLOOKUP(_xlfn.XLOOKUP(B72,'Base stats'!B:B,'Base stats'!E:E),Groups!A:A,Groups!Q:Q)*150 + 0.5 + _xlfn.XLOOKUP(B72,'Base stats'!B:B,'Base stats'!BT:BT),
0.05))</f>
        <v>2.15</v>
      </c>
      <c r="K72" s="3" t="str">
        <f>IF(Animals!W72="No","No",
IF(_xlfn.XLOOKUP(_xlfn.XLOOKUP(B72,'Base stats'!B:B,'Base stats'!E:E),Groups!A:A,Groups!BC:BC)=1,
MAX(MROUND(_xlfn.XLOOKUP(B72,'Base stats'!B:B,'Base stats'!BR:BR) * _xlfn.XLOOKUP(B72,'Base stats'!B:B,'Base stats'!BN:BN)^0.9 / 21 *_xlfn.XLOOKUP(B72,'Base stats'!B:B,'Base stats'!BU:BU),0.1),0.05),
MAX(MROUND(((MIN(10,_xlfn.XLOOKUP(B72,'Base stats'!B:B,'Base stats'!W:W)))^0.4*_xlfn.XLOOKUP(B72,'Base stats'!B:B,'Base stats'!BF:BF)^0.73)^0.6 *_xlfn.XLOOKUP(B72,'Base stats'!B:B,'Base stats'!BU:BU),0.1),0.05)
))</f>
        <v>No</v>
      </c>
      <c r="L72" s="11" t="str">
        <f>IF(K72="No","No",
MAX(0.01,MROUND(_xlfn.XLOOKUP(B72,'Base stats'!B:B,'Base stats'!BF:BF) * 0.01 *2, 0.01))
)</f>
        <v>No</v>
      </c>
      <c r="M72" s="5" t="str">
        <f>IF(K72="No","No",IF(_xlfn.XLOOKUP(_xlfn.XLOOKUP(B72,'Base stats'!B:B,'Base stats'!E:E),Groups!A:A,Groups!BC:BC)=1,"No",
MAX(0.01,MROUND(_xlfn.XLOOKUP(B72,'Base stats'!B:B,'Base stats'!BR:BR)/10000,0.01))
))</f>
        <v>No</v>
      </c>
      <c r="N72" s="4" t="str">
        <f>IF(K72="No","No",
MROUND(
  _xlfn.XLOOKUP(B72,'Base stats'!B:B,'Base stats'!AZ:AZ)^0.25
  / (_xlfn.XLOOKUP(B72,'Base stats'!B:B,'Base stats'!BJ:BJ)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stats'!BT:BT),
0.05))</f>
        <v>No</v>
      </c>
      <c r="O72" s="3">
        <f>IF(Animals!AC72="No","No",
MAX(MROUND((MIN(10,_xlfn.XLOOKUP(B72,'Base stats'!B:B,'Base stats'!V:V)*IF(_xlfn.XLOOKUP(_xlfn.XLOOKUP(B72,'Base stats'!B:B,'Base stats'!E:E),Groups!A:A,Groups!O:O)=0,1,0.33))^0.4*_xlfn.XLOOKUP(B72,'Base stats'!B:B,'Base stats'!BG:BG)^0.73)^0.6 *_xlfn.XLOOKUP(B72,'Base stats'!B:B,'Base stats'!BU:BU),0.1),0.05)
)</f>
        <v>1.1000000000000001</v>
      </c>
      <c r="P72" s="11">
        <f>IF(O72="No","No",
MAX(0.01,MROUND(_xlfn.XLOOKUP(B72,'Base stats'!B:B,'Base stats'!BG:BG) * 0.01 * 2, 0.01))
)</f>
        <v>0.04</v>
      </c>
      <c r="Q72" s="5">
        <f>IF(O72="No","No",
MAX(0.01,MROUND(_xlfn.XLOOKUP(B72,'Base stats'!B:B,'Base stats'!BS:BS)/10000,0.01))
)</f>
        <v>0.01</v>
      </c>
      <c r="R72" s="4">
        <f>IF(O72="No","No",
MROUND(_xlfn.XLOOKUP(B72,'Base stats'!B:B,'Base stats'!AY:AY)^0.25
/((_xlfn.XLOOKUP(B72,'Base stats'!B:B,'Base stats'!BK:BK))*10)*_xlfn.XLOOKUP(_xlfn.XLOOKUP(B72,'Base stats'!B:B,'Base stats'!E:E),Groups!A:A,Groups!Z:Z)*150 + 0.5 + _xlfn.XLOOKUP(B72,'Base stats'!B:B,'Base stats'!BT:BT),
0.05))</f>
        <v>2.25</v>
      </c>
      <c r="S72" s="3" t="str">
        <f>IF(Animals!AH72="No","No",
IF(_xlfn.XLOOKUP(B72,'Base stats'!B:B,'Base stats'!U:U)="No",
MAX(MROUND(_xlfn.XLOOKUP(B72,'Base stats'!B:B,'Base stats'!BQ:BQ) * _xlfn.XLOOKUP(B72,'Base stats'!B:B,'Base stats'!BM:BM)^0.9 / 21 * _xlfn.XLOOKUP(B72,'Base stats'!B:B,'Base stats'!BU:BU),0.1),0.05),
MAX(MROUND(((MIN(12,_xlfn.XLOOKUP(B72,'Base stats'!B:B,'Base stats'!U:U)))^0.4*_xlfn.XLOOKUP(B72,'Base stats'!B:B,'Base stats'!BE:BE)^0.73)^0.6 * _xlfn.XLOOKUP(B72,'Base stats'!B:B,'Base stats'!BU:BU),0.1),0.05)
))</f>
        <v>No</v>
      </c>
      <c r="T72" s="11" t="str">
        <f>IF(S72="No","No",
MAX(0.01,MROUND(_xlfn.XLOOKUP(B72,'Base stats'!B:B,'Base stats'!BE:BE) * 0.01 * 2, 0.01))
)</f>
        <v>No</v>
      </c>
      <c r="U72" s="5" t="str">
        <f>IF(S72="No","No",IF(_xlfn.XLOOKUP(B72,'Base stats'!B:B,'Base stats'!U:U)="No","No",
MAX(0.01,MROUND(_xlfn.XLOOKUP(B72,'Base stats'!B:B,'Base stats'!BQ:BQ)/10000,0.01))
))</f>
        <v>No</v>
      </c>
      <c r="V72" s="4" t="str">
        <f>IF(S72="No","No",
MROUND(_xlfn.XLOOKUP(B72,'Base stats'!B:B,'Base stats'!BC:BC)^0.25
/((_xlfn.XLOOKUP(B72,'Base stats'!B:B,'Base stats'!BL:BL))*10)*_xlfn.XLOOKUP(_xlfn.XLOOKUP(B72,'Base stats'!B:B,'Base stats'!E:E),Groups!A:A,Groups!AE:AE)*150 + 0.5 + _xlfn.XLOOKUP(B72,'Base stats'!B:B,'Base stats'!BT:BT),
0.05))</f>
        <v>No</v>
      </c>
      <c r="W72" s="8">
        <f>MROUND(_xlfn.XLOOKUP(_xlfn.XLOOKUP(B72,'Base stats'!B:B,'Base stats'!E:E),Groups!A:A,Groups!BF:BF)*_xlfn.XLOOKUP(B72,'Base stats'!B:B,'Base stats'!C:C)^-0.165,0.01)</f>
        <v>0.79</v>
      </c>
      <c r="X72" s="1">
        <f>MROUND(_xlfn.XLOOKUP(_xlfn.XLOOKUP(B72,'Base stats'!B:B,'Base stats'!E:E),Groups!A:A,Groups!BG:BG)*_xlfn.XLOOKUP(B72,'Base stats'!B:B,'Base stats'!C:C)^0.165,0.01)</f>
        <v>0</v>
      </c>
      <c r="Y72" s="8">
        <f>MROUND(_xlfn.XLOOKUP(_xlfn.XLOOKUP(B72,'Base stats'!B:B,'Base stats'!E:E),Groups!A:A,Groups!BH:BH)*_xlfn.XLOOKUP(B72,'Base stats'!B:B,'Base stats'!C:C)^0.165,0.01)</f>
        <v>0</v>
      </c>
      <c r="Z72" s="18">
        <f>_xlfn.XLOOKUP(B72,'Base stats'!B:B,'Base stats'!AN:AN)*_xlfn.XLOOKUP(_xlfn.XLOOKUP(B72,'Base stats'!B:B,'Base stats'!E:E),Groups!A:A,Groups!H:H)/1000</f>
        <v>1.3283076772458648E-3</v>
      </c>
      <c r="AA72" s="18">
        <f>(1/2)*(_xlfn.XLOOKUP(_xlfn.XLOOKUP(B72,'Base stats'!B:B,'Base stats'!E:E),Groups!A:A,Groups!H:H)*_xlfn.XLOOKUP(_xlfn.XLOOKUP(B72,'Base stats'!B:B,'Base stats'!E:E),Groups!A:A,Groups!I:I))*_xlfn.XLOOKUP(B72,'Base stats'!B:B,'Base stats'!AN:AN)*0.01</f>
        <v>6.6415383862293243E-3</v>
      </c>
      <c r="AB72" s="18">
        <f>250*(Animals!AN72+Animals!AO72)</f>
        <v>150.00000000000003</v>
      </c>
      <c r="AC72" s="18" t="str">
        <f>_xlfn.XLOOKUP(_xlfn.XLOOKUP(B72,'Base stats'!B:B,'Base stats'!E:E),Groups!A:A,Groups!BI:BI)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stats'!BP:BP) * (_xlfn.XLOOKUP(B73,'Base stats'!B:B,'Base stats'!AL:AL)*5%)^0.9 / 21,0.1),0.05)</f>
        <v>0.30000000000000004</v>
      </c>
      <c r="E73" s="11">
        <f>MAX(0.01,MROUND(_xlfn.XLOOKUP(B73,'Base stats'!B:B,'Base stats'!BD:BD) * 0.01 * 2, 0.01))</f>
        <v>0.18</v>
      </c>
      <c r="F73" s="7">
        <f>MROUND(_xlfn.XLOOKUP(B73,'Base stats'!B:B,'Base stats'!BA:BA)^0.25 / (_xlfn.XLOOKUP(B73,'Base stats'!B:B,'Base stats'!BH:BH) * 10) * 150 + 0.5 + _xlfn.XLOOKUP(B73,'Base stats'!B:B,'Base stats'!BT:BT), 0.05)</f>
        <v>1.4500000000000002</v>
      </c>
      <c r="G73" s="3">
        <f>IF(Animals!R73="No","No",
IF(_xlfn.XLOOKUP(B73,'Base stats'!B:B,'Base stats'!U:U)="No",
MAX(MROUND(_xlfn.XLOOKUP(B73,'Base stats'!B:B,'Base stats'!BQ:BQ) * _xlfn.XLOOKUP(B73,'Base stats'!B:B,'Base stats'!BM:BM)^0.9 / 21 * _xlfn.XLOOKUP(B73,'Base stats'!B:B,'Base stats'!BU:BU),0.1),0.05),
MAX(MROUND(((MIN(10,_xlfn.XLOOKUP(B73,'Base stats'!B:B,'Base stats'!U:U)))^0.4*_xlfn.XLOOKUP(B73,'Base stats'!B:B,'Base stats'!BE:BE)^0.73)^0.6 * _xlfn.XLOOKUP(B73,'Base stats'!B:B,'Base stats'!BU:BU),0.1),0.05)
))</f>
        <v>3.7</v>
      </c>
      <c r="H73" s="11">
        <f>IF(G73="No","No",
MAX(0.01,MROUND(_xlfn.XLOOKUP(B73,'Base stats'!B:B,'Base stats'!BE:BE) * 0.01 * 2, 0.01))
)</f>
        <v>0.27</v>
      </c>
      <c r="I73" s="11">
        <f>IF(G73="No","No",IF(_xlfn.XLOOKUP(B73,'Base stats'!B:B,'Base stats'!U:U)="No","No",
MAX(0.01,MROUND(_xlfn.XLOOKUP(B73,'Base stats'!B:B,'Base stats'!BQ:BQ)/10000,0.01))
))</f>
        <v>0.05</v>
      </c>
      <c r="J73" s="4">
        <f>IF(G73="No","No",
MROUND(_xlfn.XLOOKUP(B73,'Base stats'!B:B,'Base stats'!BB:BB)^0.25
/((_xlfn.XLOOKUP(B73,'Base stats'!B:B,'Base stats'!BI:BI))*10)*_xlfn.XLOOKUP(_xlfn.XLOOKUP(B73,'Base stats'!B:B,'Base stats'!E:E),Groups!A:A,Groups!Q:Q)*150 + 0.5 + _xlfn.XLOOKUP(B73,'Base stats'!B:B,'Base stats'!BT:BT),
0.05))</f>
        <v>2.25</v>
      </c>
      <c r="K73" s="3" t="str">
        <f>IF(Animals!W73="No","No",
IF(_xlfn.XLOOKUP(_xlfn.XLOOKUP(B73,'Base stats'!B:B,'Base stats'!E:E),Groups!A:A,Groups!BC:BC)=1,
MAX(MROUND(_xlfn.XLOOKUP(B73,'Base stats'!B:B,'Base stats'!BR:BR) * _xlfn.XLOOKUP(B73,'Base stats'!B:B,'Base stats'!BN:BN)^0.9 / 21 *_xlfn.XLOOKUP(B73,'Base stats'!B:B,'Base stats'!BU:BU),0.1),0.05),
MAX(MROUND(((MIN(10,_xlfn.XLOOKUP(B73,'Base stats'!B:B,'Base stats'!W:W)))^0.4*_xlfn.XLOOKUP(B73,'Base stats'!B:B,'Base stats'!BF:BF)^0.73)^0.6 *_xlfn.XLOOKUP(B73,'Base stats'!B:B,'Base stats'!BU:BU),0.1),0.05)
))</f>
        <v>No</v>
      </c>
      <c r="L73" s="11" t="str">
        <f>IF(K73="No","No",
MAX(0.01,MROUND(_xlfn.XLOOKUP(B73,'Base stats'!B:B,'Base stats'!BF:BF) * 0.01 *2, 0.01))
)</f>
        <v>No</v>
      </c>
      <c r="M73" s="5" t="str">
        <f>IF(K73="No","No",IF(_xlfn.XLOOKUP(_xlfn.XLOOKUP(B73,'Base stats'!B:B,'Base stats'!E:E),Groups!A:A,Groups!BC:BC)=1,"No",
MAX(0.01,MROUND(_xlfn.XLOOKUP(B73,'Base stats'!B:B,'Base stats'!BR:BR)/10000,0.01))
))</f>
        <v>No</v>
      </c>
      <c r="N73" s="4" t="str">
        <f>IF(K73="No","No",
MROUND(
  _xlfn.XLOOKUP(B73,'Base stats'!B:B,'Base stats'!AZ:AZ)^0.25
  / (_xlfn.XLOOKUP(B73,'Base stats'!B:B,'Base stats'!BJ:BJ)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stats'!BT:BT),
0.05))</f>
        <v>No</v>
      </c>
      <c r="O73" s="3">
        <f>IF(Animals!AC73="No","No",
MAX(MROUND((MIN(10,_xlfn.XLOOKUP(B73,'Base stats'!B:B,'Base stats'!V:V)*IF(_xlfn.XLOOKUP(_xlfn.XLOOKUP(B73,'Base stats'!B:B,'Base stats'!E:E),Groups!A:A,Groups!O:O)=0,1,0.33))^0.4*_xlfn.XLOOKUP(B73,'Base stats'!B:B,'Base stats'!BG:BG)^0.73)^0.6 *_xlfn.XLOOKUP(B73,'Base stats'!B:B,'Base stats'!BU:BU),0.1),0.05)
)</f>
        <v>1.6</v>
      </c>
      <c r="P73" s="11">
        <f>IF(O73="No","No",
MAX(0.01,MROUND(_xlfn.XLOOKUP(B73,'Base stats'!B:B,'Base stats'!BG:BG) * 0.01 * 2, 0.01))
)</f>
        <v>0.05</v>
      </c>
      <c r="Q73" s="5">
        <f>IF(O73="No","No",
MAX(0.01,MROUND(_xlfn.XLOOKUP(B73,'Base stats'!B:B,'Base stats'!BS:BS)/10000,0.01))
)</f>
        <v>0.01</v>
      </c>
      <c r="R73" s="4">
        <f>IF(O73="No","No",
MROUND(_xlfn.XLOOKUP(B73,'Base stats'!B:B,'Base stats'!AY:AY)^0.25
/((_xlfn.XLOOKUP(B73,'Base stats'!B:B,'Base stats'!BK:BK))*10)*_xlfn.XLOOKUP(_xlfn.XLOOKUP(B73,'Base stats'!B:B,'Base stats'!E:E),Groups!A:A,Groups!Z:Z)*150 + 0.5 + _xlfn.XLOOKUP(B73,'Base stats'!B:B,'Base stats'!BT:BT),
0.05))</f>
        <v>2.35</v>
      </c>
      <c r="S73" s="3" t="str">
        <f>IF(Animals!AH73="No","No",
IF(_xlfn.XLOOKUP(B73,'Base stats'!B:B,'Base stats'!U:U)="No",
MAX(MROUND(_xlfn.XLOOKUP(B73,'Base stats'!B:B,'Base stats'!BQ:BQ) * _xlfn.XLOOKUP(B73,'Base stats'!B:B,'Base stats'!BM:BM)^0.9 / 21 * _xlfn.XLOOKUP(B73,'Base stats'!B:B,'Base stats'!BU:BU),0.1),0.05),
MAX(MROUND(((MIN(12,_xlfn.XLOOKUP(B73,'Base stats'!B:B,'Base stats'!U:U)))^0.4*_xlfn.XLOOKUP(B73,'Base stats'!B:B,'Base stats'!BE:BE)^0.73)^0.6 * _xlfn.XLOOKUP(B73,'Base stats'!B:B,'Base stats'!BU:BU),0.1),0.05)
))</f>
        <v>No</v>
      </c>
      <c r="T73" s="11" t="str">
        <f>IF(S73="No","No",
MAX(0.01,MROUND(_xlfn.XLOOKUP(B73,'Base stats'!B:B,'Base stats'!BE:BE) * 0.01 * 2, 0.01))
)</f>
        <v>No</v>
      </c>
      <c r="U73" s="5" t="str">
        <f>IF(S73="No","No",IF(_xlfn.XLOOKUP(B73,'Base stats'!B:B,'Base stats'!U:U)="No","No",
MAX(0.01,MROUND(_xlfn.XLOOKUP(B73,'Base stats'!B:B,'Base stats'!BQ:BQ)/10000,0.01))
))</f>
        <v>No</v>
      </c>
      <c r="V73" s="4" t="str">
        <f>IF(S73="No","No",
MROUND(_xlfn.XLOOKUP(B73,'Base stats'!B:B,'Base stats'!BC:BC)^0.25
/((_xlfn.XLOOKUP(B73,'Base stats'!B:B,'Base stats'!BL:BL))*10)*_xlfn.XLOOKUP(_xlfn.XLOOKUP(B73,'Base stats'!B:B,'Base stats'!E:E),Groups!A:A,Groups!AE:AE)*150 + 0.5 + _xlfn.XLOOKUP(B73,'Base stats'!B:B,'Base stats'!BT:BT),
0.05))</f>
        <v>No</v>
      </c>
      <c r="W73" s="8">
        <f>MROUND(_xlfn.XLOOKUP(_xlfn.XLOOKUP(B73,'Base stats'!B:B,'Base stats'!E:E),Groups!A:A,Groups!BF:BF)*_xlfn.XLOOKUP(B73,'Base stats'!B:B,'Base stats'!C:C)^-0.165,0.01)</f>
        <v>0.76</v>
      </c>
      <c r="X73" s="1">
        <f>MROUND(_xlfn.XLOOKUP(_xlfn.XLOOKUP(B73,'Base stats'!B:B,'Base stats'!E:E),Groups!A:A,Groups!BG:BG)*_xlfn.XLOOKUP(B73,'Base stats'!B:B,'Base stats'!C:C)^0.165,0.01)</f>
        <v>0.13</v>
      </c>
      <c r="Y73" s="8">
        <f>MROUND(_xlfn.XLOOKUP(_xlfn.XLOOKUP(B73,'Base stats'!B:B,'Base stats'!E:E),Groups!A:A,Groups!BH:BH)*_xlfn.XLOOKUP(B73,'Base stats'!B:B,'Base stats'!C:C)^0.165,0.01)</f>
        <v>0.03</v>
      </c>
      <c r="Z73" s="18">
        <f>_xlfn.XLOOKUP(B73,'Base stats'!B:B,'Base stats'!AN:AN)*_xlfn.XLOOKUP(_xlfn.XLOOKUP(B73,'Base stats'!B:B,'Base stats'!E:E),Groups!A:A,Groups!H:H)/1000</f>
        <v>1.431257920320954E-3</v>
      </c>
      <c r="AA73" s="18">
        <f>(1/2)*(_xlfn.XLOOKUP(_xlfn.XLOOKUP(B73,'Base stats'!B:B,'Base stats'!E:E),Groups!A:A,Groups!H:H)*_xlfn.XLOOKUP(_xlfn.XLOOKUP(B73,'Base stats'!B:B,'Base stats'!E:E),Groups!A:A,Groups!I:I))*_xlfn.XLOOKUP(B73,'Base stats'!B:B,'Base stats'!AN:AN)*0.01</f>
        <v>7.1562896016047709E-3</v>
      </c>
      <c r="AB73" s="18">
        <f>250*(Animals!AN73+Animals!AO73)</f>
        <v>150.00000000000003</v>
      </c>
      <c r="AC73" s="18" t="str">
        <f>_xlfn.XLOOKUP(_xlfn.XLOOKUP(B73,'Base stats'!B:B,'Base stats'!E:E),Groups!A:A,Groups!BI:BI)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stats'!BP:BP) * (_xlfn.XLOOKUP(B74,'Base stats'!B:B,'Base stats'!AL:AL)*5%)^0.9 / 21,0.1),0.05)</f>
        <v>5</v>
      </c>
      <c r="E74" s="11">
        <f>MAX(0.01,MROUND(_xlfn.XLOOKUP(B74,'Base stats'!B:B,'Base stats'!BD:BD) * 0.01 * 2, 0.01))</f>
        <v>4.42</v>
      </c>
      <c r="F74" s="7">
        <f>MROUND(_xlfn.XLOOKUP(B74,'Base stats'!B:B,'Base stats'!BA:BA)^0.25 / (_xlfn.XLOOKUP(B74,'Base stats'!B:B,'Base stats'!BH:BH) * 10) * 150 + 0.5 + _xlfn.XLOOKUP(B74,'Base stats'!B:B,'Base stats'!BT:BT), 0.05)</f>
        <v>2.15</v>
      </c>
      <c r="G74" s="3" t="str">
        <f>IF(Animals!R74="No","No",
IF(_xlfn.XLOOKUP(B74,'Base stats'!B:B,'Base stats'!U:U)="No",
MAX(MROUND(_xlfn.XLOOKUP(B74,'Base stats'!B:B,'Base stats'!BQ:BQ) * _xlfn.XLOOKUP(B74,'Base stats'!B:B,'Base stats'!BM:BM)^0.9 / 21 * _xlfn.XLOOKUP(B74,'Base stats'!B:B,'Base stats'!BU:BU),0.1),0.05),
MAX(MROUND(((MIN(10,_xlfn.XLOOKUP(B74,'Base stats'!B:B,'Base stats'!U:U)))^0.4*_xlfn.XLOOKUP(B74,'Base stats'!B:B,'Base stats'!BE:BE)^0.73)^0.6 * _xlfn.XLOOKUP(B74,'Base stats'!B:B,'Base stats'!BU:BU),0.1),0.05)
))</f>
        <v>No</v>
      </c>
      <c r="H74" s="11" t="str">
        <f>IF(G74="No","No",
MAX(0.01,MROUND(_xlfn.XLOOKUP(B74,'Base stats'!B:B,'Base stats'!BE:BE) * 0.01 * 2, 0.01))
)</f>
        <v>No</v>
      </c>
      <c r="I74" s="11" t="str">
        <f>IF(G74="No","No",IF(_xlfn.XLOOKUP(B74,'Base stats'!B:B,'Base stats'!U:U)="No","No",
MAX(0.01,MROUND(_xlfn.XLOOKUP(B74,'Base stats'!B:B,'Base stats'!BQ:BQ)/10000,0.01))
))</f>
        <v>No</v>
      </c>
      <c r="J74" s="4" t="str">
        <f>IF(G74="No","No",
MROUND(_xlfn.XLOOKUP(B74,'Base stats'!B:B,'Base stats'!BB:BB)^0.25
/((_xlfn.XLOOKUP(B74,'Base stats'!B:B,'Base stats'!BI:BI))*10)*_xlfn.XLOOKUP(_xlfn.XLOOKUP(B74,'Base stats'!B:B,'Base stats'!E:E),Groups!A:A,Groups!Q:Q)*150 + 0.5 + _xlfn.XLOOKUP(B74,'Base stats'!B:B,'Base stats'!BT:BT),
0.05))</f>
        <v>No</v>
      </c>
      <c r="K74" s="3" t="str">
        <f>IF(Animals!W74="No","No",
IF(_xlfn.XLOOKUP(_xlfn.XLOOKUP(B74,'Base stats'!B:B,'Base stats'!E:E),Groups!A:A,Groups!BC:BC)=1,
MAX(MROUND(_xlfn.XLOOKUP(B74,'Base stats'!B:B,'Base stats'!BR:BR) * _xlfn.XLOOKUP(B74,'Base stats'!B:B,'Base stats'!BN:BN)^0.9 / 21 *_xlfn.XLOOKUP(B74,'Base stats'!B:B,'Base stats'!BU:BU),0.1),0.05),
MAX(MROUND(((MIN(10,_xlfn.XLOOKUP(B74,'Base stats'!B:B,'Base stats'!W:W)))^0.4*_xlfn.XLOOKUP(B74,'Base stats'!B:B,'Base stats'!BF:BF)^0.73)^0.6 *_xlfn.XLOOKUP(B74,'Base stats'!B:B,'Base stats'!BU:BU),0.1),0.05)
))</f>
        <v>No</v>
      </c>
      <c r="L74" s="11" t="str">
        <f>IF(K74="No","No",
MAX(0.01,MROUND(_xlfn.XLOOKUP(B74,'Base stats'!B:B,'Base stats'!BF:BF) * 0.01 *2, 0.01))
)</f>
        <v>No</v>
      </c>
      <c r="M74" s="5" t="str">
        <f>IF(K74="No","No",IF(_xlfn.XLOOKUP(_xlfn.XLOOKUP(B74,'Base stats'!B:B,'Base stats'!E:E),Groups!A:A,Groups!BC:BC)=1,"No",
MAX(0.01,MROUND(_xlfn.XLOOKUP(B74,'Base stats'!B:B,'Base stats'!BR:BR)/10000,0.01))
))</f>
        <v>No</v>
      </c>
      <c r="N74" s="4" t="str">
        <f>IF(K74="No","No",
MROUND(
  _xlfn.XLOOKUP(B74,'Base stats'!B:B,'Base stats'!AZ:AZ)^0.25
  / (_xlfn.XLOOKUP(B74,'Base stats'!B:B,'Base stats'!BJ:BJ)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stats'!BT:BT),
0.05))</f>
        <v>No</v>
      </c>
      <c r="O74" s="3">
        <f>IF(Animals!AC74="No","No",
MAX(MROUND((MIN(10,_xlfn.XLOOKUP(B74,'Base stats'!B:B,'Base stats'!V:V)*IF(_xlfn.XLOOKUP(_xlfn.XLOOKUP(B74,'Base stats'!B:B,'Base stats'!E:E),Groups!A:A,Groups!O:O)=0,1,0.33))^0.4*_xlfn.XLOOKUP(B74,'Base stats'!B:B,'Base stats'!BG:BG)^0.73)^0.6 *_xlfn.XLOOKUP(B74,'Base stats'!B:B,'Base stats'!BU:BU),0.1),0.05)
)</f>
        <v>27.1</v>
      </c>
      <c r="P74" s="11">
        <f>IF(O74="No","No",
MAX(0.01,MROUND(_xlfn.XLOOKUP(B74,'Base stats'!B:B,'Base stats'!BG:BG) * 0.01 * 2, 0.01))
)</f>
        <v>13.36</v>
      </c>
      <c r="Q74" s="5">
        <f>IF(O74="No","No",
MAX(0.01,MROUND(_xlfn.XLOOKUP(B74,'Base stats'!B:B,'Base stats'!BS:BS)/10000,0.01))
)</f>
        <v>0.55000000000000004</v>
      </c>
      <c r="R74" s="4">
        <f>IF(O74="No","No",
MROUND(_xlfn.XLOOKUP(B74,'Base stats'!B:B,'Base stats'!AY:AY)^0.25
/((_xlfn.XLOOKUP(B74,'Base stats'!B:B,'Base stats'!BK:BK))*10)*_xlfn.XLOOKUP(_xlfn.XLOOKUP(B74,'Base stats'!B:B,'Base stats'!E:E),Groups!A:A,Groups!Z:Z)*150 + 0.5 + _xlfn.XLOOKUP(B74,'Base stats'!B:B,'Base stats'!BT:BT),
0.05))</f>
        <v>2</v>
      </c>
      <c r="S74" s="3">
        <f>IF(Animals!AH74="No","No",
IF(_xlfn.XLOOKUP(B74,'Base stats'!B:B,'Base stats'!U:U)="No",
MAX(MROUND(_xlfn.XLOOKUP(B74,'Base stats'!B:B,'Base stats'!BQ:BQ) * _xlfn.XLOOKUP(B74,'Base stats'!B:B,'Base stats'!BM:BM)^0.9 / 21 * _xlfn.XLOOKUP(B74,'Base stats'!B:B,'Base stats'!BU:BU),0.1),0.05),
MAX(MROUND(((MIN(12,_xlfn.XLOOKUP(B74,'Base stats'!B:B,'Base stats'!U:U)))^0.4*_xlfn.XLOOKUP(B74,'Base stats'!B:B,'Base stats'!BE:BE)^0.73)^0.6 * _xlfn.XLOOKUP(B74,'Base stats'!B:B,'Base stats'!BU:BU),0.1),0.05)
))</f>
        <v>19.200000000000003</v>
      </c>
      <c r="T74" s="11">
        <f>IF(S74="No","No",
MAX(0.01,MROUND(_xlfn.XLOOKUP(B74,'Base stats'!B:B,'Base stats'!BE:BE) * 0.01 * 2, 0.01))
)</f>
        <v>5.38</v>
      </c>
      <c r="U74" s="5">
        <f>IF(S74="No","No",IF(_xlfn.XLOOKUP(B74,'Base stats'!B:B,'Base stats'!U:U)="No","No",
MAX(0.01,MROUND(_xlfn.XLOOKUP(B74,'Base stats'!B:B,'Base stats'!BQ:BQ)/10000,0.01))
))</f>
        <v>0.22</v>
      </c>
      <c r="V74" s="4">
        <f>IF(S74="No","No",
MROUND(_xlfn.XLOOKUP(B74,'Base stats'!B:B,'Base stats'!BC:BC)^0.25
/((_xlfn.XLOOKUP(B74,'Base stats'!B:B,'Base stats'!BL:BL))*10)*_xlfn.XLOOKUP(_xlfn.XLOOKUP(B74,'Base stats'!B:B,'Base stats'!E:E),Groups!A:A,Groups!AE:AE)*150 + 0.5 + _xlfn.XLOOKUP(B74,'Base stats'!B:B,'Base stats'!BT:BT),
0.05))</f>
        <v>1.5</v>
      </c>
      <c r="W74" s="8">
        <f>MROUND(_xlfn.XLOOKUP(_xlfn.XLOOKUP(B74,'Base stats'!B:B,'Base stats'!E:E),Groups!A:A,Groups!BF:BF)*_xlfn.XLOOKUP(B74,'Base stats'!B:B,'Base stats'!C:C)^-0.165,0.01)</f>
        <v>0.53</v>
      </c>
      <c r="X74" s="1">
        <f>MROUND(_xlfn.XLOOKUP(_xlfn.XLOOKUP(B74,'Base stats'!B:B,'Base stats'!E:E),Groups!A:A,Groups!BG:BG)*_xlfn.XLOOKUP(B74,'Base stats'!B:B,'Base stats'!C:C)^0.165,0.01)</f>
        <v>0.59</v>
      </c>
      <c r="Y74" s="8">
        <f>MROUND(_xlfn.XLOOKUP(_xlfn.XLOOKUP(B74,'Base stats'!B:B,'Base stats'!E:E),Groups!A:A,Groups!BH:BH)*_xlfn.XLOOKUP(B74,'Base stats'!B:B,'Base stats'!C:C)^0.165,0.01)</f>
        <v>0.06</v>
      </c>
      <c r="Z74" s="18">
        <f>_xlfn.XLOOKUP(B74,'Base stats'!B:B,'Base stats'!AN:AN)*_xlfn.XLOOKUP(_xlfn.XLOOKUP(B74,'Base stats'!B:B,'Base stats'!E:E),Groups!A:A,Groups!H:H)/1000</f>
        <v>0.13723653331461244</v>
      </c>
      <c r="AA74" s="18">
        <f>(1/2)*(_xlfn.XLOOKUP(_xlfn.XLOOKUP(B74,'Base stats'!B:B,'Base stats'!E:E),Groups!A:A,Groups!H:H)*_xlfn.XLOOKUP(_xlfn.XLOOKUP(B74,'Base stats'!B:B,'Base stats'!E:E),Groups!A:A,Groups!I:I))*_xlfn.XLOOKUP(B74,'Base stats'!B:B,'Base stats'!AN:AN)*0.01</f>
        <v>1.0292739998595934</v>
      </c>
      <c r="AB74" s="18">
        <f>250*(Animals!AN74+Animals!AO74)</f>
        <v>937.50000000000011</v>
      </c>
      <c r="AC74" s="18" t="str">
        <f>_xlfn.XLOOKUP(_xlfn.XLOOKUP(B74,'Base stats'!B:B,'Base stats'!E:E),Groups!A:A,Groups!BI:BI)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stats'!BP:BP) * (_xlfn.XLOOKUP(B75,'Base stats'!B:B,'Base stats'!AL:AL)*5%)^0.9 / 21,0.1),0.05)</f>
        <v>5.9</v>
      </c>
      <c r="E75" s="11">
        <f>MAX(0.01,MROUND(_xlfn.XLOOKUP(B75,'Base stats'!B:B,'Base stats'!BD:BD) * 0.01 * 2, 0.01))</f>
        <v>5.22</v>
      </c>
      <c r="F75" s="7">
        <f>MROUND(_xlfn.XLOOKUP(B75,'Base stats'!B:B,'Base stats'!BA:BA)^0.25 / (_xlfn.XLOOKUP(B75,'Base stats'!B:B,'Base stats'!BH:BH) * 10) * 150 + 0.5 + _xlfn.XLOOKUP(B75,'Base stats'!B:B,'Base stats'!BT:BT), 0.05)</f>
        <v>2.2000000000000002</v>
      </c>
      <c r="G75" s="3" t="str">
        <f>IF(Animals!R75="No","No",
IF(_xlfn.XLOOKUP(B75,'Base stats'!B:B,'Base stats'!U:U)="No",
MAX(MROUND(_xlfn.XLOOKUP(B75,'Base stats'!B:B,'Base stats'!BQ:BQ) * _xlfn.XLOOKUP(B75,'Base stats'!B:B,'Base stats'!BM:BM)^0.9 / 21 * _xlfn.XLOOKUP(B75,'Base stats'!B:B,'Base stats'!BU:BU),0.1),0.05),
MAX(MROUND(((MIN(10,_xlfn.XLOOKUP(B75,'Base stats'!B:B,'Base stats'!U:U)))^0.4*_xlfn.XLOOKUP(B75,'Base stats'!B:B,'Base stats'!BE:BE)^0.73)^0.6 * _xlfn.XLOOKUP(B75,'Base stats'!B:B,'Base stats'!BU:BU),0.1),0.05)
))</f>
        <v>No</v>
      </c>
      <c r="H75" s="11" t="str">
        <f>IF(G75="No","No",
MAX(0.01,MROUND(_xlfn.XLOOKUP(B75,'Base stats'!B:B,'Base stats'!BE:BE) * 0.01 * 2, 0.01))
)</f>
        <v>No</v>
      </c>
      <c r="I75" s="11" t="str">
        <f>IF(G75="No","No",IF(_xlfn.XLOOKUP(B75,'Base stats'!B:B,'Base stats'!U:U)="No","No",
MAX(0.01,MROUND(_xlfn.XLOOKUP(B75,'Base stats'!B:B,'Base stats'!BQ:BQ)/10000,0.01))
))</f>
        <v>No</v>
      </c>
      <c r="J75" s="4" t="str">
        <f>IF(G75="No","No",
MROUND(_xlfn.XLOOKUP(B75,'Base stats'!B:B,'Base stats'!BB:BB)^0.25
/((_xlfn.XLOOKUP(B75,'Base stats'!B:B,'Base stats'!BI:BI))*10)*_xlfn.XLOOKUP(_xlfn.XLOOKUP(B75,'Base stats'!B:B,'Base stats'!E:E),Groups!A:A,Groups!Q:Q)*150 + 0.5 + _xlfn.XLOOKUP(B75,'Base stats'!B:B,'Base stats'!BT:BT),
0.05))</f>
        <v>No</v>
      </c>
      <c r="K75" s="3" t="str">
        <f>IF(Animals!W75="No","No",
IF(_xlfn.XLOOKUP(_xlfn.XLOOKUP(B75,'Base stats'!B:B,'Base stats'!E:E),Groups!A:A,Groups!BC:BC)=1,
MAX(MROUND(_xlfn.XLOOKUP(B75,'Base stats'!B:B,'Base stats'!BR:BR) * _xlfn.XLOOKUP(B75,'Base stats'!B:B,'Base stats'!BN:BN)^0.9 / 21 *_xlfn.XLOOKUP(B75,'Base stats'!B:B,'Base stats'!BU:BU),0.1),0.05),
MAX(MROUND(((MIN(10,_xlfn.XLOOKUP(B75,'Base stats'!B:B,'Base stats'!W:W)))^0.4*_xlfn.XLOOKUP(B75,'Base stats'!B:B,'Base stats'!BF:BF)^0.73)^0.6 *_xlfn.XLOOKUP(B75,'Base stats'!B:B,'Base stats'!BU:BU),0.1),0.05)
))</f>
        <v>No</v>
      </c>
      <c r="L75" s="11" t="str">
        <f>IF(K75="No","No",
MAX(0.01,MROUND(_xlfn.XLOOKUP(B75,'Base stats'!B:B,'Base stats'!BF:BF) * 0.01 *2, 0.01))
)</f>
        <v>No</v>
      </c>
      <c r="M75" s="5" t="str">
        <f>IF(K75="No","No",IF(_xlfn.XLOOKUP(_xlfn.XLOOKUP(B75,'Base stats'!B:B,'Base stats'!E:E),Groups!A:A,Groups!BC:BC)=1,"No",
MAX(0.01,MROUND(_xlfn.XLOOKUP(B75,'Base stats'!B:B,'Base stats'!BR:BR)/10000,0.01))
))</f>
        <v>No</v>
      </c>
      <c r="N75" s="4" t="str">
        <f>IF(K75="No","No",
MROUND(
  _xlfn.XLOOKUP(B75,'Base stats'!B:B,'Base stats'!AZ:AZ)^0.25
  / (_xlfn.XLOOKUP(B75,'Base stats'!B:B,'Base stats'!BJ:BJ)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stats'!BT:BT),
0.05))</f>
        <v>No</v>
      </c>
      <c r="O75" s="3">
        <f>IF(Animals!AC75="No","No",
MAX(MROUND((MIN(10,_xlfn.XLOOKUP(B75,'Base stats'!B:B,'Base stats'!V:V)*IF(_xlfn.XLOOKUP(_xlfn.XLOOKUP(B75,'Base stats'!B:B,'Base stats'!E:E),Groups!A:A,Groups!O:O)=0,1,0.33))^0.4*_xlfn.XLOOKUP(B75,'Base stats'!B:B,'Base stats'!BG:BG)^0.73)^0.6 *_xlfn.XLOOKUP(B75,'Base stats'!B:B,'Base stats'!BU:BU),0.1),0.05)
)</f>
        <v>28.5</v>
      </c>
      <c r="P75" s="11">
        <f>IF(O75="No","No",
MAX(0.01,MROUND(_xlfn.XLOOKUP(B75,'Base stats'!B:B,'Base stats'!BG:BG) * 0.01 * 2, 0.01))
)</f>
        <v>11.86</v>
      </c>
      <c r="Q75" s="5">
        <f>IF(O75="No","No",
MAX(0.01,MROUND(_xlfn.XLOOKUP(B75,'Base stats'!B:B,'Base stats'!BS:BS)/10000,0.01))
)</f>
        <v>0.45</v>
      </c>
      <c r="R75" s="4">
        <f>IF(O75="No","No",
MROUND(_xlfn.XLOOKUP(B75,'Base stats'!B:B,'Base stats'!AY:AY)^0.25
/((_xlfn.XLOOKUP(B75,'Base stats'!B:B,'Base stats'!BK:BK))*10)*_xlfn.XLOOKUP(_xlfn.XLOOKUP(B75,'Base stats'!B:B,'Base stats'!E:E),Groups!A:A,Groups!Z:Z)*150 + 0.5 + _xlfn.XLOOKUP(B75,'Base stats'!B:B,'Base stats'!BT:BT),
0.05))</f>
        <v>2.1</v>
      </c>
      <c r="S75" s="3">
        <f>IF(Animals!AH75="No","No",
IF(_xlfn.XLOOKUP(B75,'Base stats'!B:B,'Base stats'!U:U)="No",
MAX(MROUND(_xlfn.XLOOKUP(B75,'Base stats'!B:B,'Base stats'!BQ:BQ) * _xlfn.XLOOKUP(B75,'Base stats'!B:B,'Base stats'!BM:BM)^0.9 / 21 * _xlfn.XLOOKUP(B75,'Base stats'!B:B,'Base stats'!BU:BU),0.1),0.05),
MAX(MROUND(((MIN(12,_xlfn.XLOOKUP(B75,'Base stats'!B:B,'Base stats'!U:U)))^0.4*_xlfn.XLOOKUP(B75,'Base stats'!B:B,'Base stats'!BE:BE)^0.73)^0.6 * _xlfn.XLOOKUP(B75,'Base stats'!B:B,'Base stats'!BU:BU),0.1),0.05)
))</f>
        <v>20.6</v>
      </c>
      <c r="T75" s="11">
        <f>IF(S75="No","No",
MAX(0.01,MROUND(_xlfn.XLOOKUP(B75,'Base stats'!B:B,'Base stats'!BE:BE) * 0.01 * 2, 0.01))
)</f>
        <v>6.29</v>
      </c>
      <c r="U75" s="5">
        <f>IF(S75="No","No",IF(_xlfn.XLOOKUP(B75,'Base stats'!B:B,'Base stats'!U:U)="No","No",
MAX(0.01,MROUND(_xlfn.XLOOKUP(B75,'Base stats'!B:B,'Base stats'!BQ:BQ)/10000,0.01))
))</f>
        <v>0.24</v>
      </c>
      <c r="V75" s="4">
        <f>IF(S75="No","No",
MROUND(_xlfn.XLOOKUP(B75,'Base stats'!B:B,'Base stats'!BC:BC)^0.25
/((_xlfn.XLOOKUP(B75,'Base stats'!B:B,'Base stats'!BL:BL))*10)*_xlfn.XLOOKUP(_xlfn.XLOOKUP(B75,'Base stats'!B:B,'Base stats'!E:E),Groups!A:A,Groups!AE:AE)*150 + 0.5 + _xlfn.XLOOKUP(B75,'Base stats'!B:B,'Base stats'!BT:BT),
0.05))</f>
        <v>1.55</v>
      </c>
      <c r="W75" s="8">
        <f>MROUND(_xlfn.XLOOKUP(_xlfn.XLOOKUP(B75,'Base stats'!B:B,'Base stats'!E:E),Groups!A:A,Groups!BF:BF)*_xlfn.XLOOKUP(B75,'Base stats'!B:B,'Base stats'!C:C)^-0.165,0.01)</f>
        <v>0.51</v>
      </c>
      <c r="X75" s="1">
        <f>MROUND(_xlfn.XLOOKUP(_xlfn.XLOOKUP(B75,'Base stats'!B:B,'Base stats'!E:E),Groups!A:A,Groups!BG:BG)*_xlfn.XLOOKUP(B75,'Base stats'!B:B,'Base stats'!C:C)^0.165,0.01)</f>
        <v>0.61</v>
      </c>
      <c r="Y75" s="8">
        <f>MROUND(_xlfn.XLOOKUP(_xlfn.XLOOKUP(B75,'Base stats'!B:B,'Base stats'!E:E),Groups!A:A,Groups!BH:BH)*_xlfn.XLOOKUP(B75,'Base stats'!B:B,'Base stats'!C:C)^0.165,0.01)</f>
        <v>0.06</v>
      </c>
      <c r="Z75" s="18">
        <f>_xlfn.XLOOKUP(B75,'Base stats'!B:B,'Base stats'!AN:AN)*_xlfn.XLOOKUP(_xlfn.XLOOKUP(B75,'Base stats'!B:B,'Base stats'!E:E),Groups!A:A,Groups!H:H)/1000</f>
        <v>0.14626994360916007</v>
      </c>
      <c r="AA75" s="18">
        <f>(1/2)*(_xlfn.XLOOKUP(_xlfn.XLOOKUP(B75,'Base stats'!B:B,'Base stats'!E:E),Groups!A:A,Groups!H:H)*_xlfn.XLOOKUP(_xlfn.XLOOKUP(B75,'Base stats'!B:B,'Base stats'!E:E),Groups!A:A,Groups!I:I))*_xlfn.XLOOKUP(B75,'Base stats'!B:B,'Base stats'!AN:AN)*0.01</f>
        <v>1.0970245770687006</v>
      </c>
      <c r="AB75" s="18">
        <f>250*(Animals!AN75+Animals!AO75)</f>
        <v>1050</v>
      </c>
      <c r="AC75" s="18" t="str">
        <f>_xlfn.XLOOKUP(_xlfn.XLOOKUP(B75,'Base stats'!B:B,'Base stats'!E:E),Groups!A:A,Groups!BI:BI)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stats'!BP:BP) * (_xlfn.XLOOKUP(B76,'Base stats'!B:B,'Base stats'!AL:AL)*5%)^0.9 / 21,0.1),0.05)</f>
        <v>0.05</v>
      </c>
      <c r="E76" s="11">
        <f>MAX(0.01,MROUND(_xlfn.XLOOKUP(B76,'Base stats'!B:B,'Base stats'!BD:BD) * 0.01 * 2, 0.01))</f>
        <v>0.02</v>
      </c>
      <c r="F76" s="7">
        <f>MROUND(_xlfn.XLOOKUP(B76,'Base stats'!B:B,'Base stats'!BA:BA)^0.25 / (_xlfn.XLOOKUP(B76,'Base stats'!B:B,'Base stats'!BH:BH) * 10) * 150 + 0.5 + _xlfn.XLOOKUP(B76,'Base stats'!B:B,'Base stats'!BT:BT), 0.05)</f>
        <v>1.1500000000000001</v>
      </c>
      <c r="G76" s="3" t="str">
        <f>IF(Animals!R76="No","No",
IF(_xlfn.XLOOKUP(B76,'Base stats'!B:B,'Base stats'!U:U)="No",
MAX(MROUND(_xlfn.XLOOKUP(B76,'Base stats'!B:B,'Base stats'!BQ:BQ) * _xlfn.XLOOKUP(B76,'Base stats'!B:B,'Base stats'!BM:BM)^0.9 / 21 * _xlfn.XLOOKUP(B76,'Base stats'!B:B,'Base stats'!BU:BU),0.1),0.05),
MAX(MROUND(((MIN(10,_xlfn.XLOOKUP(B76,'Base stats'!B:B,'Base stats'!U:U)))^0.4*_xlfn.XLOOKUP(B76,'Base stats'!B:B,'Base stats'!BE:BE)^0.73)^0.6 * _xlfn.XLOOKUP(B76,'Base stats'!B:B,'Base stats'!BU:BU),0.1),0.05)
))</f>
        <v>No</v>
      </c>
      <c r="H76" s="11" t="str">
        <f>IF(G76="No","No",
MAX(0.01,MROUND(_xlfn.XLOOKUP(B76,'Base stats'!B:B,'Base stats'!BE:BE) * 0.01 * 2, 0.01))
)</f>
        <v>No</v>
      </c>
      <c r="I76" s="11" t="str">
        <f>IF(G76="No","No",IF(_xlfn.XLOOKUP(B76,'Base stats'!B:B,'Base stats'!U:U)="No","No",
MAX(0.01,MROUND(_xlfn.XLOOKUP(B76,'Base stats'!B:B,'Base stats'!BQ:BQ)/10000,0.01))
))</f>
        <v>No</v>
      </c>
      <c r="J76" s="4" t="str">
        <f>IF(G76="No","No",
MROUND(_xlfn.XLOOKUP(B76,'Base stats'!B:B,'Base stats'!BB:BB)^0.25
/((_xlfn.XLOOKUP(B76,'Base stats'!B:B,'Base stats'!BI:BI))*10)*_xlfn.XLOOKUP(_xlfn.XLOOKUP(B76,'Base stats'!B:B,'Base stats'!E:E),Groups!A:A,Groups!Q:Q)*150 + 0.5 + _xlfn.XLOOKUP(B76,'Base stats'!B:B,'Base stats'!BT:BT),
0.05))</f>
        <v>No</v>
      </c>
      <c r="K76" s="3" t="str">
        <f>IF(Animals!W76="No","No",
IF(_xlfn.XLOOKUP(_xlfn.XLOOKUP(B76,'Base stats'!B:B,'Base stats'!E:E),Groups!A:A,Groups!BC:BC)=1,
MAX(MROUND(_xlfn.XLOOKUP(B76,'Base stats'!B:B,'Base stats'!BR:BR) * _xlfn.XLOOKUP(B76,'Base stats'!B:B,'Base stats'!BN:BN)^0.9 / 21 *_xlfn.XLOOKUP(B76,'Base stats'!B:B,'Base stats'!BU:BU),0.1),0.05),
MAX(MROUND(((MIN(10,_xlfn.XLOOKUP(B76,'Base stats'!B:B,'Base stats'!W:W)))^0.4*_xlfn.XLOOKUP(B76,'Base stats'!B:B,'Base stats'!BF:BF)^0.73)^0.6 *_xlfn.XLOOKUP(B76,'Base stats'!B:B,'Base stats'!BU:BU),0.1),0.05)
))</f>
        <v>No</v>
      </c>
      <c r="L76" s="11" t="str">
        <f>IF(K76="No","No",
MAX(0.01,MROUND(_xlfn.XLOOKUP(B76,'Base stats'!B:B,'Base stats'!BF:BF) * 0.01 *2, 0.01))
)</f>
        <v>No</v>
      </c>
      <c r="M76" s="5" t="str">
        <f>IF(K76="No","No",IF(_xlfn.XLOOKUP(_xlfn.XLOOKUP(B76,'Base stats'!B:B,'Base stats'!E:E),Groups!A:A,Groups!BC:BC)=1,"No",
MAX(0.01,MROUND(_xlfn.XLOOKUP(B76,'Base stats'!B:B,'Base stats'!BR:BR)/10000,0.01))
))</f>
        <v>No</v>
      </c>
      <c r="N76" s="4" t="str">
        <f>IF(K76="No","No",
MROUND(
  _xlfn.XLOOKUP(B76,'Base stats'!B:B,'Base stats'!AZ:AZ)^0.25
  / (_xlfn.XLOOKUP(B76,'Base stats'!B:B,'Base stats'!BJ:BJ)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stats'!BT:BT),
0.05))</f>
        <v>No</v>
      </c>
      <c r="O76" s="3">
        <f>IF(Animals!AC76="No","No",
MAX(MROUND((MIN(10,_xlfn.XLOOKUP(B76,'Base stats'!B:B,'Base stats'!V:V)*IF(_xlfn.XLOOKUP(_xlfn.XLOOKUP(B76,'Base stats'!B:B,'Base stats'!E:E),Groups!A:A,Groups!O:O)=0,1,0.33))^0.4*_xlfn.XLOOKUP(B76,'Base stats'!B:B,'Base stats'!BG:BG)^0.73)^0.6 *_xlfn.XLOOKUP(B76,'Base stats'!B:B,'Base stats'!BU:BU),0.1),0.05)
)</f>
        <v>1.3</v>
      </c>
      <c r="P76" s="11">
        <f>IF(O76="No","No",
MAX(0.01,MROUND(_xlfn.XLOOKUP(B76,'Base stats'!B:B,'Base stats'!BG:BG) * 0.01 * 2, 0.01))
)</f>
        <v>0.04</v>
      </c>
      <c r="Q76" s="5">
        <f>IF(O76="No","No",
MAX(0.01,MROUND(_xlfn.XLOOKUP(B76,'Base stats'!B:B,'Base stats'!BS:BS)/10000,0.01))
)</f>
        <v>0.02</v>
      </c>
      <c r="R76" s="4">
        <f>IF(O76="No","No",
MROUND(_xlfn.XLOOKUP(B76,'Base stats'!B:B,'Base stats'!AY:AY)^0.25
/((_xlfn.XLOOKUP(B76,'Base stats'!B:B,'Base stats'!BK:BK))*10)*_xlfn.XLOOKUP(_xlfn.XLOOKUP(B76,'Base stats'!B:B,'Base stats'!E:E),Groups!A:A,Groups!Z:Z)*150 + 0.5 + _xlfn.XLOOKUP(B76,'Base stats'!B:B,'Base stats'!BT:BT),
0.05))</f>
        <v>1.9000000000000001</v>
      </c>
      <c r="S76" s="3" t="str">
        <f>IF(Animals!AH76="No","No",
IF(_xlfn.XLOOKUP(B76,'Base stats'!B:B,'Base stats'!U:U)="No",
MAX(MROUND(_xlfn.XLOOKUP(B76,'Base stats'!B:B,'Base stats'!BQ:BQ) * _xlfn.XLOOKUP(B76,'Base stats'!B:B,'Base stats'!BM:BM)^0.9 / 21 * _xlfn.XLOOKUP(B76,'Base stats'!B:B,'Base stats'!BU:BU),0.1),0.05),
MAX(MROUND(((MIN(12,_xlfn.XLOOKUP(B76,'Base stats'!B:B,'Base stats'!U:U)))^0.4*_xlfn.XLOOKUP(B76,'Base stats'!B:B,'Base stats'!BE:BE)^0.73)^0.6 * _xlfn.XLOOKUP(B76,'Base stats'!B:B,'Base stats'!BU:BU),0.1),0.05)
))</f>
        <v>No</v>
      </c>
      <c r="T76" s="11" t="str">
        <f>IF(S76="No","No",
MAX(0.01,MROUND(_xlfn.XLOOKUP(B76,'Base stats'!B:B,'Base stats'!BE:BE) * 0.01 * 2, 0.01))
)</f>
        <v>No</v>
      </c>
      <c r="U76" s="5" t="str">
        <f>IF(S76="No","No",IF(_xlfn.XLOOKUP(B76,'Base stats'!B:B,'Base stats'!U:U)="No","No",
MAX(0.01,MROUND(_xlfn.XLOOKUP(B76,'Base stats'!B:B,'Base stats'!BQ:BQ)/10000,0.01))
))</f>
        <v>No</v>
      </c>
      <c r="V76" s="4" t="str">
        <f>IF(S76="No","No",
MROUND(_xlfn.XLOOKUP(B76,'Base stats'!B:B,'Base stats'!BC:BC)^0.25
/((_xlfn.XLOOKUP(B76,'Base stats'!B:B,'Base stats'!BL:BL))*10)*_xlfn.XLOOKUP(_xlfn.XLOOKUP(B76,'Base stats'!B:B,'Base stats'!E:E),Groups!A:A,Groups!AE:AE)*150 + 0.5 + _xlfn.XLOOKUP(B76,'Base stats'!B:B,'Base stats'!BT:BT),
0.05))</f>
        <v>No</v>
      </c>
      <c r="W76" s="8">
        <f>MROUND(_xlfn.XLOOKUP(_xlfn.XLOOKUP(B76,'Base stats'!B:B,'Base stats'!E:E),Groups!A:A,Groups!BF:BF)*_xlfn.XLOOKUP(B76,'Base stats'!B:B,'Base stats'!C:C)^-0.165,0.01)</f>
        <v>0.56000000000000005</v>
      </c>
      <c r="X76" s="1">
        <f>MROUND(_xlfn.XLOOKUP(_xlfn.XLOOKUP(B76,'Base stats'!B:B,'Base stats'!E:E),Groups!A:A,Groups!BG:BG)*_xlfn.XLOOKUP(B76,'Base stats'!B:B,'Base stats'!C:C)^0.165,0.01)</f>
        <v>0</v>
      </c>
      <c r="Y76" s="8">
        <f>MROUND(_xlfn.XLOOKUP(_xlfn.XLOOKUP(B76,'Base stats'!B:B,'Base stats'!E:E),Groups!A:A,Groups!BH:BH)*_xlfn.XLOOKUP(B76,'Base stats'!B:B,'Base stats'!C:C)^0.165,0.01)</f>
        <v>0</v>
      </c>
      <c r="Z76" s="18">
        <f>_xlfn.XLOOKUP(B76,'Base stats'!B:B,'Base stats'!AN:AN)*_xlfn.XLOOKUP(_xlfn.XLOOKUP(B76,'Base stats'!B:B,'Base stats'!E:E),Groups!A:A,Groups!H:H)/1000</f>
        <v>8.9797971085678052E-3</v>
      </c>
      <c r="AA76" s="18">
        <f>(1/2)*(_xlfn.XLOOKUP(_xlfn.XLOOKUP(B76,'Base stats'!B:B,'Base stats'!E:E),Groups!A:A,Groups!H:H)*_xlfn.XLOOKUP(_xlfn.XLOOKUP(B76,'Base stats'!B:B,'Base stats'!E:E),Groups!A:A,Groups!I:I))*_xlfn.XLOOKUP(B76,'Base stats'!B:B,'Base stats'!AN:AN)*0.01</f>
        <v>3.9349470929744126E-2</v>
      </c>
      <c r="AB76" s="18">
        <f>250*(Animals!AN76+Animals!AO76)</f>
        <v>50</v>
      </c>
      <c r="AC76" s="18" t="str">
        <f>_xlfn.XLOOKUP(_xlfn.XLOOKUP(B76,'Base stats'!B:B,'Base stats'!E:E),Groups!A:A,Groups!BI:BI)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stats'!BP:BP) * (_xlfn.XLOOKUP(B77,'Base stats'!B:B,'Base stats'!AL:AL)*5%)^0.9 / 21,0.1),0.05)</f>
        <v>1.8</v>
      </c>
      <c r="E77" s="11">
        <f>MAX(0.01,MROUND(_xlfn.XLOOKUP(B77,'Base stats'!B:B,'Base stats'!BD:BD) * 0.01 * 2, 0.01))</f>
        <v>1.5</v>
      </c>
      <c r="F77" s="7">
        <f>MROUND(_xlfn.XLOOKUP(B77,'Base stats'!B:B,'Base stats'!BA:BA)^0.25 / (_xlfn.XLOOKUP(B77,'Base stats'!B:B,'Base stats'!BH:BH) * 10) * 150 + 0.5 + _xlfn.XLOOKUP(B77,'Base stats'!B:B,'Base stats'!BT:BT), 0.05)</f>
        <v>1.9000000000000001</v>
      </c>
      <c r="G77" s="3" t="str">
        <f>IF(Animals!R77="No","No",
IF(_xlfn.XLOOKUP(B77,'Base stats'!B:B,'Base stats'!U:U)="No",
MAX(MROUND(_xlfn.XLOOKUP(B77,'Base stats'!B:B,'Base stats'!BQ:BQ) * _xlfn.XLOOKUP(B77,'Base stats'!B:B,'Base stats'!BM:BM)^0.9 / 21 * _xlfn.XLOOKUP(B77,'Base stats'!B:B,'Base stats'!BU:BU),0.1),0.05),
MAX(MROUND(((MIN(10,_xlfn.XLOOKUP(B77,'Base stats'!B:B,'Base stats'!U:U)))^0.4*_xlfn.XLOOKUP(B77,'Base stats'!B:B,'Base stats'!BE:BE)^0.73)^0.6 * _xlfn.XLOOKUP(B77,'Base stats'!B:B,'Base stats'!BU:BU),0.1),0.05)
))</f>
        <v>No</v>
      </c>
      <c r="H77" s="11" t="str">
        <f>IF(G77="No","No",
MAX(0.01,MROUND(_xlfn.XLOOKUP(B77,'Base stats'!B:B,'Base stats'!BE:BE) * 0.01 * 2, 0.01))
)</f>
        <v>No</v>
      </c>
      <c r="I77" s="11" t="str">
        <f>IF(G77="No","No",IF(_xlfn.XLOOKUP(B77,'Base stats'!B:B,'Base stats'!U:U)="No","No",
MAX(0.01,MROUND(_xlfn.XLOOKUP(B77,'Base stats'!B:B,'Base stats'!BQ:BQ)/10000,0.01))
))</f>
        <v>No</v>
      </c>
      <c r="J77" s="4" t="str">
        <f>IF(G77="No","No",
MROUND(_xlfn.XLOOKUP(B77,'Base stats'!B:B,'Base stats'!BB:BB)^0.25
/((_xlfn.XLOOKUP(B77,'Base stats'!B:B,'Base stats'!BI:BI))*10)*_xlfn.XLOOKUP(_xlfn.XLOOKUP(B77,'Base stats'!B:B,'Base stats'!E:E),Groups!A:A,Groups!Q:Q)*150 + 0.5 + _xlfn.XLOOKUP(B77,'Base stats'!B:B,'Base stats'!BT:BT),
0.05))</f>
        <v>No</v>
      </c>
      <c r="K77" s="3" t="str">
        <f>IF(Animals!W77="No","No",
IF(_xlfn.XLOOKUP(_xlfn.XLOOKUP(B77,'Base stats'!B:B,'Base stats'!E:E),Groups!A:A,Groups!BC:BC)=1,
MAX(MROUND(_xlfn.XLOOKUP(B77,'Base stats'!B:B,'Base stats'!BR:BR) * _xlfn.XLOOKUP(B77,'Base stats'!B:B,'Base stats'!BN:BN)^0.9 / 21 *_xlfn.XLOOKUP(B77,'Base stats'!B:B,'Base stats'!BU:BU),0.1),0.05),
MAX(MROUND(((MIN(10,_xlfn.XLOOKUP(B77,'Base stats'!B:B,'Base stats'!W:W)))^0.4*_xlfn.XLOOKUP(B77,'Base stats'!B:B,'Base stats'!BF:BF)^0.73)^0.6 *_xlfn.XLOOKUP(B77,'Base stats'!B:B,'Base stats'!BU:BU),0.1),0.05)
))</f>
        <v>No</v>
      </c>
      <c r="L77" s="11" t="str">
        <f>IF(K77="No","No",
MAX(0.01,MROUND(_xlfn.XLOOKUP(B77,'Base stats'!B:B,'Base stats'!BF:BF) * 0.01 *2, 0.01))
)</f>
        <v>No</v>
      </c>
      <c r="M77" s="5" t="str">
        <f>IF(K77="No","No",IF(_xlfn.XLOOKUP(_xlfn.XLOOKUP(B77,'Base stats'!B:B,'Base stats'!E:E),Groups!A:A,Groups!BC:BC)=1,"No",
MAX(0.01,MROUND(_xlfn.XLOOKUP(B77,'Base stats'!B:B,'Base stats'!BR:BR)/10000,0.01))
))</f>
        <v>No</v>
      </c>
      <c r="N77" s="4" t="str">
        <f>IF(K77="No","No",
MROUND(
  _xlfn.XLOOKUP(B77,'Base stats'!B:B,'Base stats'!AZ:AZ)^0.25
  / (_xlfn.XLOOKUP(B77,'Base stats'!B:B,'Base stats'!BJ:BJ)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stats'!BT:BT),
0.05))</f>
        <v>No</v>
      </c>
      <c r="O77" s="3">
        <f>IF(Animals!AC77="No","No",
MAX(MROUND((MIN(10,_xlfn.XLOOKUP(B77,'Base stats'!B:B,'Base stats'!V:V)*IF(_xlfn.XLOOKUP(_xlfn.XLOOKUP(B77,'Base stats'!B:B,'Base stats'!E:E),Groups!A:A,Groups!O:O)=0,1,0.33))^0.4*_xlfn.XLOOKUP(B77,'Base stats'!B:B,'Base stats'!BG:BG)^0.73)^0.6 *_xlfn.XLOOKUP(B77,'Base stats'!B:B,'Base stats'!BU:BU),0.1),0.05)
)</f>
        <v>8.7000000000000011</v>
      </c>
      <c r="P77" s="11">
        <f>IF(O77="No","No",
MAX(0.01,MROUND(_xlfn.XLOOKUP(B77,'Base stats'!B:B,'Base stats'!BG:BG) * 0.01 * 2, 0.01))
)</f>
        <v>1.1500000000000001</v>
      </c>
      <c r="Q77" s="5">
        <f>IF(O77="No","No",
MAX(0.01,MROUND(_xlfn.XLOOKUP(B77,'Base stats'!B:B,'Base stats'!BS:BS)/10000,0.01))
)</f>
        <v>0.08</v>
      </c>
      <c r="R77" s="4">
        <f>IF(O77="No","No",
MROUND(_xlfn.XLOOKUP(B77,'Base stats'!B:B,'Base stats'!AY:AY)^0.25
/((_xlfn.XLOOKUP(B77,'Base stats'!B:B,'Base stats'!BK:BK))*10)*_xlfn.XLOOKUP(_xlfn.XLOOKUP(B77,'Base stats'!B:B,'Base stats'!E:E),Groups!A:A,Groups!Z:Z)*150 + 0.5 + _xlfn.XLOOKUP(B77,'Base stats'!B:B,'Base stats'!BT:BT),
0.05))</f>
        <v>2.3000000000000003</v>
      </c>
      <c r="S77" s="3" t="str">
        <f>IF(Animals!AH77="No","No",
IF(_xlfn.XLOOKUP(B77,'Base stats'!B:B,'Base stats'!U:U)="No",
MAX(MROUND(_xlfn.XLOOKUP(B77,'Base stats'!B:B,'Base stats'!BQ:BQ) * _xlfn.XLOOKUP(B77,'Base stats'!B:B,'Base stats'!BM:BM)^0.9 / 21 * _xlfn.XLOOKUP(B77,'Base stats'!B:B,'Base stats'!BU:BU),0.1),0.05),
MAX(MROUND(((MIN(12,_xlfn.XLOOKUP(B77,'Base stats'!B:B,'Base stats'!U:U)))^0.4*_xlfn.XLOOKUP(B77,'Base stats'!B:B,'Base stats'!BE:BE)^0.73)^0.6 * _xlfn.XLOOKUP(B77,'Base stats'!B:B,'Base stats'!BU:BU),0.1),0.05)
))</f>
        <v>No</v>
      </c>
      <c r="T77" s="11" t="str">
        <f>IF(S77="No","No",
MAX(0.01,MROUND(_xlfn.XLOOKUP(B77,'Base stats'!B:B,'Base stats'!BE:BE) * 0.01 * 2, 0.01))
)</f>
        <v>No</v>
      </c>
      <c r="U77" s="5" t="str">
        <f>IF(S77="No","No",IF(_xlfn.XLOOKUP(B77,'Base stats'!B:B,'Base stats'!U:U)="No","No",
MAX(0.01,MROUND(_xlfn.XLOOKUP(B77,'Base stats'!B:B,'Base stats'!BQ:BQ)/10000,0.01))
))</f>
        <v>No</v>
      </c>
      <c r="V77" s="4" t="str">
        <f>IF(S77="No","No",
MROUND(_xlfn.XLOOKUP(B77,'Base stats'!B:B,'Base stats'!BC:BC)^0.25
/((_xlfn.XLOOKUP(B77,'Base stats'!B:B,'Base stats'!BL:BL))*10)*_xlfn.XLOOKUP(_xlfn.XLOOKUP(B77,'Base stats'!B:B,'Base stats'!E:E),Groups!A:A,Groups!AE:AE)*150 + 0.5 + _xlfn.XLOOKUP(B77,'Base stats'!B:B,'Base stats'!BT:BT),
0.05))</f>
        <v>No</v>
      </c>
      <c r="W77" s="8">
        <f>MROUND(_xlfn.XLOOKUP(_xlfn.XLOOKUP(B77,'Base stats'!B:B,'Base stats'!E:E),Groups!A:A,Groups!BF:BF)*_xlfn.XLOOKUP(B77,'Base stats'!B:B,'Base stats'!C:C)^-0.165,0.01)</f>
        <v>0.26</v>
      </c>
      <c r="X77" s="1">
        <f>MROUND(_xlfn.XLOOKUP(_xlfn.XLOOKUP(B77,'Base stats'!B:B,'Base stats'!E:E),Groups!A:A,Groups!BG:BG)*_xlfn.XLOOKUP(B77,'Base stats'!B:B,'Base stats'!C:C)^0.165,0.01)</f>
        <v>0</v>
      </c>
      <c r="Y77" s="8">
        <f>MROUND(_xlfn.XLOOKUP(_xlfn.XLOOKUP(B77,'Base stats'!B:B,'Base stats'!E:E),Groups!A:A,Groups!BH:BH)*_xlfn.XLOOKUP(B77,'Base stats'!B:B,'Base stats'!C:C)^0.165,0.01)</f>
        <v>0</v>
      </c>
      <c r="Z77" s="18">
        <f>_xlfn.XLOOKUP(B77,'Base stats'!B:B,'Base stats'!AN:AN)*_xlfn.XLOOKUP(_xlfn.XLOOKUP(B77,'Base stats'!B:B,'Base stats'!E:E),Groups!A:A,Groups!H:H)/1000</f>
        <v>3.5097032910626866E-2</v>
      </c>
      <c r="AA77" s="18">
        <f>(1/2)*(_xlfn.XLOOKUP(_xlfn.XLOOKUP(B77,'Base stats'!B:B,'Base stats'!E:E),Groups!A:A,Groups!H:H)*_xlfn.XLOOKUP(_xlfn.XLOOKUP(B77,'Base stats'!B:B,'Base stats'!E:E),Groups!A:A,Groups!I:I))*_xlfn.XLOOKUP(B77,'Base stats'!B:B,'Base stats'!AN:AN)*0.01</f>
        <v>0.15379519821436693</v>
      </c>
      <c r="AB77" s="18">
        <f>250*(Animals!AN77+Animals!AO77)</f>
        <v>450</v>
      </c>
      <c r="AC77" s="18" t="str">
        <f>_xlfn.XLOOKUP(_xlfn.XLOOKUP(B77,'Base stats'!B:B,'Base stats'!E:E),Groups!A:A,Groups!BI:BI)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stats'!BP:BP) * (_xlfn.XLOOKUP(B78,'Base stats'!B:B,'Base stats'!AL:AL)*5%)^0.9 / 21,0.1),0.05)</f>
        <v>27.200000000000003</v>
      </c>
      <c r="E78" s="11">
        <f>MAX(0.01,MROUND(_xlfn.XLOOKUP(B78,'Base stats'!B:B,'Base stats'!BD:BD) * 0.01 * 2, 0.01))</f>
        <v>27.26</v>
      </c>
      <c r="F78" s="7">
        <f>MROUND(_xlfn.XLOOKUP(B78,'Base stats'!B:B,'Base stats'!BA:BA)^0.25 / (_xlfn.XLOOKUP(B78,'Base stats'!B:B,'Base stats'!BH:BH) * 10) * 150 + 0.5 + _xlfn.XLOOKUP(B78,'Base stats'!B:B,'Base stats'!BT:BT), 0.05)</f>
        <v>2</v>
      </c>
      <c r="G78" s="3" t="str">
        <f>IF(Animals!R78="No","No",
IF(_xlfn.XLOOKUP(B78,'Base stats'!B:B,'Base stats'!U:U)="No",
MAX(MROUND(_xlfn.XLOOKUP(B78,'Base stats'!B:B,'Base stats'!BQ:BQ) * _xlfn.XLOOKUP(B78,'Base stats'!B:B,'Base stats'!BM:BM)^0.9 / 21 * _xlfn.XLOOKUP(B78,'Base stats'!B:B,'Base stats'!BU:BU),0.1),0.05),
MAX(MROUND(((MIN(10,_xlfn.XLOOKUP(B78,'Base stats'!B:B,'Base stats'!U:U)))^0.4*_xlfn.XLOOKUP(B78,'Base stats'!B:B,'Base stats'!BE:BE)^0.73)^0.6 * _xlfn.XLOOKUP(B78,'Base stats'!B:B,'Base stats'!BU:BU),0.1),0.05)
))</f>
        <v>No</v>
      </c>
      <c r="H78" s="11" t="str">
        <f>IF(G78="No","No",
MAX(0.01,MROUND(_xlfn.XLOOKUP(B78,'Base stats'!B:B,'Base stats'!BE:BE) * 0.01 * 2, 0.01))
)</f>
        <v>No</v>
      </c>
      <c r="I78" s="11" t="str">
        <f>IF(G78="No","No",IF(_xlfn.XLOOKUP(B78,'Base stats'!B:B,'Base stats'!U:U)="No","No",
MAX(0.01,MROUND(_xlfn.XLOOKUP(B78,'Base stats'!B:B,'Base stats'!BQ:BQ)/10000,0.01))
))</f>
        <v>No</v>
      </c>
      <c r="J78" s="4" t="str">
        <f>IF(G78="No","No",
MROUND(_xlfn.XLOOKUP(B78,'Base stats'!B:B,'Base stats'!BB:BB)^0.25
/((_xlfn.XLOOKUP(B78,'Base stats'!B:B,'Base stats'!BI:BI))*10)*_xlfn.XLOOKUP(_xlfn.XLOOKUP(B78,'Base stats'!B:B,'Base stats'!E:E),Groups!A:A,Groups!Q:Q)*150 + 0.5 + _xlfn.XLOOKUP(B78,'Base stats'!B:B,'Base stats'!BT:BT),
0.05))</f>
        <v>No</v>
      </c>
      <c r="K78" s="3" t="str">
        <f>IF(Animals!W78="No","No",
IF(_xlfn.XLOOKUP(_xlfn.XLOOKUP(B78,'Base stats'!B:B,'Base stats'!E:E),Groups!A:A,Groups!BC:BC)=1,
MAX(MROUND(_xlfn.XLOOKUP(B78,'Base stats'!B:B,'Base stats'!BR:BR) * _xlfn.XLOOKUP(B78,'Base stats'!B:B,'Base stats'!BN:BN)^0.9 / 21 *_xlfn.XLOOKUP(B78,'Base stats'!B:B,'Base stats'!BU:BU),0.1),0.05),
MAX(MROUND(((MIN(10,_xlfn.XLOOKUP(B78,'Base stats'!B:B,'Base stats'!W:W)))^0.4*_xlfn.XLOOKUP(B78,'Base stats'!B:B,'Base stats'!BF:BF)^0.73)^0.6 *_xlfn.XLOOKUP(B78,'Base stats'!B:B,'Base stats'!BU:BU),0.1),0.05)
))</f>
        <v>No</v>
      </c>
      <c r="L78" s="11" t="str">
        <f>IF(K78="No","No",
MAX(0.01,MROUND(_xlfn.XLOOKUP(B78,'Base stats'!B:B,'Base stats'!BF:BF) * 0.01 *2, 0.01))
)</f>
        <v>No</v>
      </c>
      <c r="M78" s="5" t="str">
        <f>IF(K78="No","No",IF(_xlfn.XLOOKUP(_xlfn.XLOOKUP(B78,'Base stats'!B:B,'Base stats'!E:E),Groups!A:A,Groups!BC:BC)=1,"No",
MAX(0.01,MROUND(_xlfn.XLOOKUP(B78,'Base stats'!B:B,'Base stats'!BR:BR)/10000,0.01))
))</f>
        <v>No</v>
      </c>
      <c r="N78" s="4" t="str">
        <f>IF(K78="No","No",
MROUND(
  _xlfn.XLOOKUP(B78,'Base stats'!B:B,'Base stats'!AZ:AZ)^0.25
  / (_xlfn.XLOOKUP(B78,'Base stats'!B:B,'Base stats'!BJ:BJ)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stats'!BT:BT),
0.05))</f>
        <v>No</v>
      </c>
      <c r="O78" s="3">
        <f>IF(Animals!AC78="No","No",
MAX(MROUND((MIN(10,_xlfn.XLOOKUP(B78,'Base stats'!B:B,'Base stats'!V:V)*IF(_xlfn.XLOOKUP(_xlfn.XLOOKUP(B78,'Base stats'!B:B,'Base stats'!E:E),Groups!A:A,Groups!O:O)=0,1,0.33))^0.4*_xlfn.XLOOKUP(B78,'Base stats'!B:B,'Base stats'!BG:BG)^0.73)^0.6 *_xlfn.XLOOKUP(B78,'Base stats'!B:B,'Base stats'!BU:BU),0.1),0.05)
)</f>
        <v>33.4</v>
      </c>
      <c r="P78" s="11">
        <f>IF(O78="No","No",
MAX(0.01,MROUND(_xlfn.XLOOKUP(B78,'Base stats'!B:B,'Base stats'!BG:BG) * 0.01 * 2, 0.01))
)</f>
        <v>17.059999999999999</v>
      </c>
      <c r="Q78" s="5">
        <f>IF(O78="No","No",
MAX(0.01,MROUND(_xlfn.XLOOKUP(B78,'Base stats'!B:B,'Base stats'!BS:BS)/10000,0.01))
)</f>
        <v>0.1</v>
      </c>
      <c r="R78" s="4">
        <f>IF(O78="No","No",
MROUND(_xlfn.XLOOKUP(B78,'Base stats'!B:B,'Base stats'!AY:AY)^0.25
/((_xlfn.XLOOKUP(B78,'Base stats'!B:B,'Base stats'!BK:BK))*10)*_xlfn.XLOOKUP(_xlfn.XLOOKUP(B78,'Base stats'!B:B,'Base stats'!E:E),Groups!A:A,Groups!Z:Z)*150 + 0.5 + _xlfn.XLOOKUP(B78,'Base stats'!B:B,'Base stats'!BT:BT),
0.05))</f>
        <v>2.7</v>
      </c>
      <c r="S78" s="3" t="str">
        <f>IF(Animals!AH78="No","No",
IF(_xlfn.XLOOKUP(B78,'Base stats'!B:B,'Base stats'!U:U)="No",
MAX(MROUND(_xlfn.XLOOKUP(B78,'Base stats'!B:B,'Base stats'!BQ:BQ) * _xlfn.XLOOKUP(B78,'Base stats'!B:B,'Base stats'!BM:BM)^0.9 / 21 * _xlfn.XLOOKUP(B78,'Base stats'!B:B,'Base stats'!BU:BU),0.1),0.05),
MAX(MROUND(((MIN(12,_xlfn.XLOOKUP(B78,'Base stats'!B:B,'Base stats'!U:U)))^0.4*_xlfn.XLOOKUP(B78,'Base stats'!B:B,'Base stats'!BE:BE)^0.73)^0.6 * _xlfn.XLOOKUP(B78,'Base stats'!B:B,'Base stats'!BU:BU),0.1),0.05)
))</f>
        <v>No</v>
      </c>
      <c r="T78" s="11" t="str">
        <f>IF(S78="No","No",
MAX(0.01,MROUND(_xlfn.XLOOKUP(B78,'Base stats'!B:B,'Base stats'!BE:BE) * 0.01 * 2, 0.01))
)</f>
        <v>No</v>
      </c>
      <c r="U78" s="5" t="str">
        <f>IF(S78="No","No",IF(_xlfn.XLOOKUP(B78,'Base stats'!B:B,'Base stats'!U:U)="No","No",
MAX(0.01,MROUND(_xlfn.XLOOKUP(B78,'Base stats'!B:B,'Base stats'!BQ:BQ)/10000,0.01))
))</f>
        <v>No</v>
      </c>
      <c r="V78" s="4" t="str">
        <f>IF(S78="No","No",
MROUND(_xlfn.XLOOKUP(B78,'Base stats'!B:B,'Base stats'!BC:BC)^0.25
/((_xlfn.XLOOKUP(B78,'Base stats'!B:B,'Base stats'!BL:BL))*10)*_xlfn.XLOOKUP(_xlfn.XLOOKUP(B78,'Base stats'!B:B,'Base stats'!E:E),Groups!A:A,Groups!AE:AE)*150 + 0.5 + _xlfn.XLOOKUP(B78,'Base stats'!B:B,'Base stats'!BT:BT),
0.05))</f>
        <v>No</v>
      </c>
      <c r="W78" s="8">
        <f>MROUND(_xlfn.XLOOKUP(_xlfn.XLOOKUP(B78,'Base stats'!B:B,'Base stats'!E:E),Groups!A:A,Groups!BF:BF)*_xlfn.XLOOKUP(B78,'Base stats'!B:B,'Base stats'!C:C)^-0.165,0.01)</f>
        <v>0.08</v>
      </c>
      <c r="X78" s="1">
        <f>MROUND(_xlfn.XLOOKUP(_xlfn.XLOOKUP(B78,'Base stats'!B:B,'Base stats'!E:E),Groups!A:A,Groups!BG:BG)*_xlfn.XLOOKUP(B78,'Base stats'!B:B,'Base stats'!C:C)^0.165,0.01)</f>
        <v>0.33</v>
      </c>
      <c r="Y78" s="8">
        <f>MROUND(_xlfn.XLOOKUP(_xlfn.XLOOKUP(B78,'Base stats'!B:B,'Base stats'!E:E),Groups!A:A,Groups!BH:BH)*_xlfn.XLOOKUP(B78,'Base stats'!B:B,'Base stats'!C:C)^0.165,0.01)</f>
        <v>0.08</v>
      </c>
      <c r="Z78" s="18">
        <f>_xlfn.XLOOKUP(B78,'Base stats'!B:B,'Base stats'!AN:AN)*_xlfn.XLOOKUP(_xlfn.XLOOKUP(B78,'Base stats'!B:B,'Base stats'!E:E),Groups!A:A,Groups!H:H)/1000</f>
        <v>0.39892864560173569</v>
      </c>
      <c r="AA78" s="18">
        <f>(1/2)*(_xlfn.XLOOKUP(_xlfn.XLOOKUP(B78,'Base stats'!B:B,'Base stats'!E:E),Groups!A:A,Groups!H:H)*_xlfn.XLOOKUP(_xlfn.XLOOKUP(B78,'Base stats'!B:B,'Base stats'!E:E),Groups!A:A,Groups!I:I))*_xlfn.XLOOKUP(B78,'Base stats'!B:B,'Base stats'!AN:AN)*0.01</f>
        <v>2.1941075508095467</v>
      </c>
      <c r="AB78" s="18">
        <f>250*(Animals!AN78+Animals!AO78)</f>
        <v>2062.5</v>
      </c>
      <c r="AC78" s="18" t="str">
        <f>_xlfn.XLOOKUP(_xlfn.XLOOKUP(B78,'Base stats'!B:B,'Base stats'!E:E),Groups!A:A,Groups!BI:BI)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stats'!BP:BP) * (_xlfn.XLOOKUP(B79,'Base stats'!B:B,'Base stats'!AL:AL)*5%)^0.9 / 21,0.1),0.05)</f>
        <v>48.400000000000006</v>
      </c>
      <c r="E79" s="11">
        <f>MAX(0.01,MROUND(_xlfn.XLOOKUP(B79,'Base stats'!B:B,'Base stats'!BD:BD) * 0.01 * 2, 0.01))</f>
        <v>53.410000000000004</v>
      </c>
      <c r="F79" s="7">
        <f>MROUND(_xlfn.XLOOKUP(B79,'Base stats'!B:B,'Base stats'!BA:BA)^0.25 / (_xlfn.XLOOKUP(B79,'Base stats'!B:B,'Base stats'!BH:BH) * 10) * 150 + 0.5 + _xlfn.XLOOKUP(B79,'Base stats'!B:B,'Base stats'!BT:BT), 0.05)</f>
        <v>3.1500000000000004</v>
      </c>
      <c r="G79" s="3">
        <f>IF(Animals!R79="No","No",
IF(_xlfn.XLOOKUP(B79,'Base stats'!B:B,'Base stats'!U:U)="No",
MAX(MROUND(_xlfn.XLOOKUP(B79,'Base stats'!B:B,'Base stats'!BQ:BQ) * _xlfn.XLOOKUP(B79,'Base stats'!B:B,'Base stats'!BM:BM)^0.9 / 21 * _xlfn.XLOOKUP(B79,'Base stats'!B:B,'Base stats'!BU:BU),0.1),0.05),
MAX(MROUND(((MIN(10,_xlfn.XLOOKUP(B79,'Base stats'!B:B,'Base stats'!U:U)))^0.4*_xlfn.XLOOKUP(B79,'Base stats'!B:B,'Base stats'!BE:BE)^0.73)^0.6 * _xlfn.XLOOKUP(B79,'Base stats'!B:B,'Base stats'!BU:BU),0.1),0.05)
))</f>
        <v>55.900000000000006</v>
      </c>
      <c r="H79" s="11">
        <f>IF(G79="No","No",
MAX(0.01,MROUND(_xlfn.XLOOKUP(B79,'Base stats'!B:B,'Base stats'!BE:BE) * 0.01 * 2, 0.01))
)</f>
        <v>46.35</v>
      </c>
      <c r="I79" s="11" t="str">
        <f>IF(G79="No","No",IF(_xlfn.XLOOKUP(B79,'Base stats'!B:B,'Base stats'!U:U)="No","No",
MAX(0.01,MROUND(_xlfn.XLOOKUP(B79,'Base stats'!B:B,'Base stats'!BQ:BQ)/10000,0.01))
))</f>
        <v>No</v>
      </c>
      <c r="J79" s="4">
        <f>IF(G79="No","No",
MROUND(_xlfn.XLOOKUP(B79,'Base stats'!B:B,'Base stats'!BB:BB)^0.25
/((_xlfn.XLOOKUP(B79,'Base stats'!B:B,'Base stats'!BI:BI))*10)*_xlfn.XLOOKUP(_xlfn.XLOOKUP(B79,'Base stats'!B:B,'Base stats'!E:E),Groups!A:A,Groups!Q:Q)*150 + 0.5 + _xlfn.XLOOKUP(B79,'Base stats'!B:B,'Base stats'!BT:BT),
0.05))</f>
        <v>3.5500000000000003</v>
      </c>
      <c r="K79" s="3">
        <f>IF(Animals!W79="No","No",
IF(_xlfn.XLOOKUP(_xlfn.XLOOKUP(B79,'Base stats'!B:B,'Base stats'!E:E),Groups!A:A,Groups!BC:BC)=1,
MAX(MROUND(_xlfn.XLOOKUP(B79,'Base stats'!B:B,'Base stats'!BR:BR) * _xlfn.XLOOKUP(B79,'Base stats'!B:B,'Base stats'!BN:BN)^0.9 / 21 *_xlfn.XLOOKUP(B79,'Base stats'!B:B,'Base stats'!BU:BU),0.1),0.05),
MAX(MROUND(((MIN(10,_xlfn.XLOOKUP(B79,'Base stats'!B:B,'Base stats'!W:W)))^0.4*_xlfn.XLOOKUP(B79,'Base stats'!B:B,'Base stats'!BF:BF)^0.73)^0.6 *_xlfn.XLOOKUP(B79,'Base stats'!B:B,'Base stats'!BU:BU),0.1),0.05)
))</f>
        <v>56</v>
      </c>
      <c r="L79" s="11">
        <f>IF(K79="No","No",
MAX(0.01,MROUND(_xlfn.XLOOKUP(B79,'Base stats'!B:B,'Base stats'!BF:BF) * 0.01 *2, 0.01))
)</f>
        <v>55.61</v>
      </c>
      <c r="M79" s="5">
        <f>IF(K79="No","No",IF(_xlfn.XLOOKUP(_xlfn.XLOOKUP(B79,'Base stats'!B:B,'Base stats'!E:E),Groups!A:A,Groups!BC:BC)=1,"No",
MAX(0.01,MROUND(_xlfn.XLOOKUP(B79,'Base stats'!B:B,'Base stats'!BR:BR)/10000,0.01))
))</f>
        <v>2.35</v>
      </c>
      <c r="N79" s="4">
        <f>IF(K79="No","No",
MROUND(
  _xlfn.XLOOKUP(B79,'Base stats'!B:B,'Base stats'!AZ:AZ)^0.25
  / (_xlfn.XLOOKUP(B79,'Base stats'!B:B,'Base stats'!BJ:BJ)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stats'!BT:BT),
0.05))</f>
        <v>3.95</v>
      </c>
      <c r="O79" s="3" t="str">
        <f>IF(Animals!AC79="No","No",
MAX(MROUND((MIN(10,_xlfn.XLOOKUP(B79,'Base stats'!B:B,'Base stats'!V:V)*IF(_xlfn.XLOOKUP(_xlfn.XLOOKUP(B79,'Base stats'!B:B,'Base stats'!E:E),Groups!A:A,Groups!O:O)=0,1,0.33))^0.4*_xlfn.XLOOKUP(B79,'Base stats'!B:B,'Base stats'!BG:BG)^0.73)^0.6 *_xlfn.XLOOKUP(B79,'Base stats'!B:B,'Base stats'!BU:BU),0.1),0.05)
)</f>
        <v>No</v>
      </c>
      <c r="P79" s="11" t="str">
        <f>IF(O79="No","No",
MAX(0.01,MROUND(_xlfn.XLOOKUP(B79,'Base stats'!B:B,'Base stats'!BG:BG) * 0.01 * 2, 0.01))
)</f>
        <v>No</v>
      </c>
      <c r="Q79" s="5" t="str">
        <f>IF(O79="No","No",
MAX(0.01,MROUND(_xlfn.XLOOKUP(B79,'Base stats'!B:B,'Base stats'!BS:BS)/10000,0.01))
)</f>
        <v>No</v>
      </c>
      <c r="R79" s="4" t="str">
        <f>IF(O79="No","No",
MROUND(_xlfn.XLOOKUP(B79,'Base stats'!B:B,'Base stats'!AY:AY)^0.25
/((_xlfn.XLOOKUP(B79,'Base stats'!B:B,'Base stats'!BK:BK))*10)*_xlfn.XLOOKUP(_xlfn.XLOOKUP(B79,'Base stats'!B:B,'Base stats'!E:E),Groups!A:A,Groups!Z:Z)*150 + 0.5 + _xlfn.XLOOKUP(B79,'Base stats'!B:B,'Base stats'!BT:BT),
0.05))</f>
        <v>No</v>
      </c>
      <c r="S79" s="3" t="str">
        <f>IF(Animals!AH79="No","No",
IF(_xlfn.XLOOKUP(B79,'Base stats'!B:B,'Base stats'!U:U)="No",
MAX(MROUND(_xlfn.XLOOKUP(B79,'Base stats'!B:B,'Base stats'!BQ:BQ) * _xlfn.XLOOKUP(B79,'Base stats'!B:B,'Base stats'!BM:BM)^0.9 / 21 * _xlfn.XLOOKUP(B79,'Base stats'!B:B,'Base stats'!BU:BU),0.1),0.05),
MAX(MROUND(((MIN(12,_xlfn.XLOOKUP(B79,'Base stats'!B:B,'Base stats'!U:U)))^0.4*_xlfn.XLOOKUP(B79,'Base stats'!B:B,'Base stats'!BE:BE)^0.73)^0.6 * _xlfn.XLOOKUP(B79,'Base stats'!B:B,'Base stats'!BU:BU),0.1),0.05)
))</f>
        <v>No</v>
      </c>
      <c r="T79" s="11" t="str">
        <f>IF(S79="No","No",
MAX(0.01,MROUND(_xlfn.XLOOKUP(B79,'Base stats'!B:B,'Base stats'!BE:BE) * 0.01 * 2, 0.01))
)</f>
        <v>No</v>
      </c>
      <c r="U79" s="5" t="str">
        <f>IF(S79="No","No",IF(_xlfn.XLOOKUP(B79,'Base stats'!B:B,'Base stats'!U:U)="No","No",
MAX(0.01,MROUND(_xlfn.XLOOKUP(B79,'Base stats'!B:B,'Base stats'!BQ:BQ)/10000,0.01))
))</f>
        <v>No</v>
      </c>
      <c r="V79" s="4" t="str">
        <f>IF(S79="No","No",
MROUND(_xlfn.XLOOKUP(B79,'Base stats'!B:B,'Base stats'!BC:BC)^0.25
/((_xlfn.XLOOKUP(B79,'Base stats'!B:B,'Base stats'!BL:BL))*10)*_xlfn.XLOOKUP(_xlfn.XLOOKUP(B79,'Base stats'!B:B,'Base stats'!E:E),Groups!A:A,Groups!AE:AE)*150 + 0.5 + _xlfn.XLOOKUP(B79,'Base stats'!B:B,'Base stats'!BT:BT),
0.05))</f>
        <v>No</v>
      </c>
      <c r="W79" s="8">
        <f>MROUND(_xlfn.XLOOKUP(_xlfn.XLOOKUP(B79,'Base stats'!B:B,'Base stats'!E:E),Groups!A:A,Groups!BF:BF)*_xlfn.XLOOKUP(B79,'Base stats'!B:B,'Base stats'!C:C)^-0.165,0.01)</f>
        <v>0.06</v>
      </c>
      <c r="X79" s="1">
        <f>MROUND(_xlfn.XLOOKUP(_xlfn.XLOOKUP(B79,'Base stats'!B:B,'Base stats'!E:E),Groups!A:A,Groups!BG:BG)*_xlfn.XLOOKUP(B79,'Base stats'!B:B,'Base stats'!C:C)^0.165,0.01)</f>
        <v>0.42</v>
      </c>
      <c r="Y79" s="8">
        <f>MROUND(_xlfn.XLOOKUP(_xlfn.XLOOKUP(B79,'Base stats'!B:B,'Base stats'!E:E),Groups!A:A,Groups!BH:BH)*_xlfn.XLOOKUP(B79,'Base stats'!B:B,'Base stats'!C:C)^0.165,0.01)</f>
        <v>0.21</v>
      </c>
      <c r="Z79" s="18">
        <f>_xlfn.XLOOKUP(B79,'Base stats'!B:B,'Base stats'!AN:AN)*_xlfn.XLOOKUP(_xlfn.XLOOKUP(B79,'Base stats'!B:B,'Base stats'!E:E),Groups!A:A,Groups!H:H)/1000</f>
        <v>0.19688676147243975</v>
      </c>
      <c r="AA79" s="18">
        <f>(1/2)*(_xlfn.XLOOKUP(_xlfn.XLOOKUP(B79,'Base stats'!B:B,'Base stats'!E:E),Groups!A:A,Groups!H:H)*_xlfn.XLOOKUP(_xlfn.XLOOKUP(B79,'Base stats'!B:B,'Base stats'!E:E),Groups!A:A,Groups!I:I))*_xlfn.XLOOKUP(B79,'Base stats'!B:B,'Base stats'!AN:AN)*0.01</f>
        <v>1.0828771880984189</v>
      </c>
      <c r="AB79" s="18">
        <f>250*(Animals!AN79+Animals!AO79)</f>
        <v>2750</v>
      </c>
      <c r="AC79" s="18" t="str">
        <f>_xlfn.XLOOKUP(_xlfn.XLOOKUP(B79,'Base stats'!B:B,'Base stats'!E:E),Groups!A:A,Groups!BI:BI)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stats'!BP:BP) * (_xlfn.XLOOKUP(B80,'Base stats'!B:B,'Base stats'!AL:AL)*5%)^0.9 / 21,0.1),0.05)</f>
        <v>55.1</v>
      </c>
      <c r="E80" s="11">
        <f>MAX(0.01,MROUND(_xlfn.XLOOKUP(B80,'Base stats'!B:B,'Base stats'!BD:BD) * 0.01 * 2, 0.01))</f>
        <v>61.45</v>
      </c>
      <c r="F80" s="7">
        <f>MROUND(_xlfn.XLOOKUP(B80,'Base stats'!B:B,'Base stats'!BA:BA)^0.25 / (_xlfn.XLOOKUP(B80,'Base stats'!B:B,'Base stats'!BH:BH) * 10) * 150 + 0.5 + _xlfn.XLOOKUP(B80,'Base stats'!B:B,'Base stats'!BT:BT), 0.05)</f>
        <v>3.0500000000000003</v>
      </c>
      <c r="G80" s="3">
        <f>IF(Animals!R80="No","No",
IF(_xlfn.XLOOKUP(B80,'Base stats'!B:B,'Base stats'!U:U)="No",
MAX(MROUND(_xlfn.XLOOKUP(B80,'Base stats'!B:B,'Base stats'!BQ:BQ) * _xlfn.XLOOKUP(B80,'Base stats'!B:B,'Base stats'!BM:BM)^0.9 / 21 * _xlfn.XLOOKUP(B80,'Base stats'!B:B,'Base stats'!BU:BU),0.1),0.05),
MAX(MROUND(((MIN(10,_xlfn.XLOOKUP(B80,'Base stats'!B:B,'Base stats'!U:U)))^0.4*_xlfn.XLOOKUP(B80,'Base stats'!B:B,'Base stats'!BE:BE)^0.73)^0.6 * _xlfn.XLOOKUP(B80,'Base stats'!B:B,'Base stats'!BU:BU),0.1),0.05)
))</f>
        <v>62.900000000000006</v>
      </c>
      <c r="H80" s="11">
        <f>IF(G80="No","No",
MAX(0.01,MROUND(_xlfn.XLOOKUP(B80,'Base stats'!B:B,'Base stats'!BE:BE) * 0.01 * 2, 0.01))
)</f>
        <v>52.86</v>
      </c>
      <c r="I80" s="11" t="str">
        <f>IF(G80="No","No",IF(_xlfn.XLOOKUP(B80,'Base stats'!B:B,'Base stats'!U:U)="No","No",
MAX(0.01,MROUND(_xlfn.XLOOKUP(B80,'Base stats'!B:B,'Base stats'!BQ:BQ)/10000,0.01))
))</f>
        <v>No</v>
      </c>
      <c r="J80" s="4">
        <f>IF(G80="No","No",
MROUND(_xlfn.XLOOKUP(B80,'Base stats'!B:B,'Base stats'!BB:BB)^0.25
/((_xlfn.XLOOKUP(B80,'Base stats'!B:B,'Base stats'!BI:BI))*10)*_xlfn.XLOOKUP(_xlfn.XLOOKUP(B80,'Base stats'!B:B,'Base stats'!E:E),Groups!A:A,Groups!Q:Q)*150 + 0.5 + _xlfn.XLOOKUP(B80,'Base stats'!B:B,'Base stats'!BT:BT),
0.05))</f>
        <v>3.6</v>
      </c>
      <c r="K80" s="3">
        <f>IF(Animals!W80="No","No",
IF(_xlfn.XLOOKUP(_xlfn.XLOOKUP(B80,'Base stats'!B:B,'Base stats'!E:E),Groups!A:A,Groups!BC:BC)=1,
MAX(MROUND(_xlfn.XLOOKUP(B80,'Base stats'!B:B,'Base stats'!BR:BR) * _xlfn.XLOOKUP(B80,'Base stats'!B:B,'Base stats'!BN:BN)^0.9 / 21 *_xlfn.XLOOKUP(B80,'Base stats'!B:B,'Base stats'!BU:BU),0.1),0.05),
MAX(MROUND(((MIN(10,_xlfn.XLOOKUP(B80,'Base stats'!B:B,'Base stats'!W:W)))^0.4*_xlfn.XLOOKUP(B80,'Base stats'!B:B,'Base stats'!BF:BF)^0.73)^0.6 *_xlfn.XLOOKUP(B80,'Base stats'!B:B,'Base stats'!BU:BU),0.1),0.05)
))</f>
        <v>63.400000000000006</v>
      </c>
      <c r="L80" s="11">
        <f>IF(K80="No","No",
MAX(0.01,MROUND(_xlfn.XLOOKUP(B80,'Base stats'!B:B,'Base stats'!BF:BF) * 0.01 *2, 0.01))
)</f>
        <v>73.739999999999995</v>
      </c>
      <c r="M80" s="5">
        <f>IF(K80="No","No",IF(_xlfn.XLOOKUP(_xlfn.XLOOKUP(B80,'Base stats'!B:B,'Base stats'!E:E),Groups!A:A,Groups!BC:BC)=1,"No",
MAX(0.01,MROUND(_xlfn.XLOOKUP(B80,'Base stats'!B:B,'Base stats'!BR:BR)/10000,0.01))
))</f>
        <v>30.79</v>
      </c>
      <c r="N80" s="4">
        <f>IF(K80="No","No",
MROUND(
  _xlfn.XLOOKUP(B80,'Base stats'!B:B,'Base stats'!AZ:AZ)^0.25
  / (_xlfn.XLOOKUP(B80,'Base stats'!B:B,'Base stats'!BJ:BJ)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stats'!BT:BT),
0.05))</f>
        <v>3.2</v>
      </c>
      <c r="O80" s="3" t="str">
        <f>IF(Animals!AC80="No","No",
MAX(MROUND((MIN(10,_xlfn.XLOOKUP(B80,'Base stats'!B:B,'Base stats'!V:V)*IF(_xlfn.XLOOKUP(_xlfn.XLOOKUP(B80,'Base stats'!B:B,'Base stats'!E:E),Groups!A:A,Groups!O:O)=0,1,0.33))^0.4*_xlfn.XLOOKUP(B80,'Base stats'!B:B,'Base stats'!BG:BG)^0.73)^0.6 *_xlfn.XLOOKUP(B80,'Base stats'!B:B,'Base stats'!BU:BU),0.1),0.05)
)</f>
        <v>No</v>
      </c>
      <c r="P80" s="11" t="str">
        <f>IF(O80="No","No",
MAX(0.01,MROUND(_xlfn.XLOOKUP(B80,'Base stats'!B:B,'Base stats'!BG:BG) * 0.01 * 2, 0.01))
)</f>
        <v>No</v>
      </c>
      <c r="Q80" s="5" t="str">
        <f>IF(O80="No","No",
MAX(0.01,MROUND(_xlfn.XLOOKUP(B80,'Base stats'!B:B,'Base stats'!BS:BS)/10000,0.01))
)</f>
        <v>No</v>
      </c>
      <c r="R80" s="4" t="str">
        <f>IF(O80="No","No",
MROUND(_xlfn.XLOOKUP(B80,'Base stats'!B:B,'Base stats'!AY:AY)^0.25
/((_xlfn.XLOOKUP(B80,'Base stats'!B:B,'Base stats'!BK:BK))*10)*_xlfn.XLOOKUP(_xlfn.XLOOKUP(B80,'Base stats'!B:B,'Base stats'!E:E),Groups!A:A,Groups!Z:Z)*150 + 0.5 + _xlfn.XLOOKUP(B80,'Base stats'!B:B,'Base stats'!BT:BT),
0.05))</f>
        <v>No</v>
      </c>
      <c r="S80" s="3" t="str">
        <f>IF(Animals!AH80="No","No",
IF(_xlfn.XLOOKUP(B80,'Base stats'!B:B,'Base stats'!U:U)="No",
MAX(MROUND(_xlfn.XLOOKUP(B80,'Base stats'!B:B,'Base stats'!BQ:BQ) * _xlfn.XLOOKUP(B80,'Base stats'!B:B,'Base stats'!BM:BM)^0.9 / 21 * _xlfn.XLOOKUP(B80,'Base stats'!B:B,'Base stats'!BU:BU),0.1),0.05),
MAX(MROUND(((MIN(12,_xlfn.XLOOKUP(B80,'Base stats'!B:B,'Base stats'!U:U)))^0.4*_xlfn.XLOOKUP(B80,'Base stats'!B:B,'Base stats'!BE:BE)^0.73)^0.6 * _xlfn.XLOOKUP(B80,'Base stats'!B:B,'Base stats'!BU:BU),0.1),0.05)
))</f>
        <v>No</v>
      </c>
      <c r="T80" s="11" t="str">
        <f>IF(S80="No","No",
MAX(0.01,MROUND(_xlfn.XLOOKUP(B80,'Base stats'!B:B,'Base stats'!BE:BE) * 0.01 * 2, 0.01))
)</f>
        <v>No</v>
      </c>
      <c r="U80" s="5" t="str">
        <f>IF(S80="No","No",IF(_xlfn.XLOOKUP(B80,'Base stats'!B:B,'Base stats'!U:U)="No","No",
MAX(0.01,MROUND(_xlfn.XLOOKUP(B80,'Base stats'!B:B,'Base stats'!BQ:BQ)/10000,0.01))
))</f>
        <v>No</v>
      </c>
      <c r="V80" s="4" t="str">
        <f>IF(S80="No","No",
MROUND(_xlfn.XLOOKUP(B80,'Base stats'!B:B,'Base stats'!BC:BC)^0.25
/((_xlfn.XLOOKUP(B80,'Base stats'!B:B,'Base stats'!BL:BL))*10)*_xlfn.XLOOKUP(_xlfn.XLOOKUP(B80,'Base stats'!B:B,'Base stats'!E:E),Groups!A:A,Groups!AE:AE)*150 + 0.5 + _xlfn.XLOOKUP(B80,'Base stats'!B:B,'Base stats'!BT:BT),
0.05))</f>
        <v>No</v>
      </c>
      <c r="W80" s="8">
        <f>MROUND(_xlfn.XLOOKUP(_xlfn.XLOOKUP(B80,'Base stats'!B:B,'Base stats'!E:E),Groups!A:A,Groups!BF:BF)*_xlfn.XLOOKUP(B80,'Base stats'!B:B,'Base stats'!C:C)^-0.165,0.01)</f>
        <v>0.16</v>
      </c>
      <c r="X80" s="1">
        <f>MROUND(_xlfn.XLOOKUP(_xlfn.XLOOKUP(B80,'Base stats'!B:B,'Base stats'!E:E),Groups!A:A,Groups!BG:BG)*_xlfn.XLOOKUP(B80,'Base stats'!B:B,'Base stats'!C:C)^0.165,0.01)</f>
        <v>0.65</v>
      </c>
      <c r="Y80" s="8">
        <f>MROUND(_xlfn.XLOOKUP(_xlfn.XLOOKUP(B80,'Base stats'!B:B,'Base stats'!E:E),Groups!A:A,Groups!BH:BH)*_xlfn.XLOOKUP(B80,'Base stats'!B:B,'Base stats'!C:C)^0.165,0.01)</f>
        <v>0.22</v>
      </c>
      <c r="Z80" s="18">
        <f>_xlfn.XLOOKUP(B80,'Base stats'!B:B,'Base stats'!AN:AN)*_xlfn.XLOOKUP(_xlfn.XLOOKUP(B80,'Base stats'!B:B,'Base stats'!E:E),Groups!A:A,Groups!H:H)/1000</f>
        <v>2.2838354813239716</v>
      </c>
      <c r="AA80" s="18">
        <f>(1/2)*(_xlfn.XLOOKUP(_xlfn.XLOOKUP(B80,'Base stats'!B:B,'Base stats'!E:E),Groups!A:A,Groups!H:H)*_xlfn.XLOOKUP(_xlfn.XLOOKUP(B80,'Base stats'!B:B,'Base stats'!E:E),Groups!A:A,Groups!I:I))*_xlfn.XLOOKUP(B80,'Base stats'!B:B,'Base stats'!AN:AN)*0.01</f>
        <v>2.2838354813239721</v>
      </c>
      <c r="AB80" s="18">
        <f>250*(Animals!AN80+Animals!AO80)</f>
        <v>3750</v>
      </c>
      <c r="AC80" s="18" t="str">
        <f>_xlfn.XLOOKUP(_xlfn.XLOOKUP(B80,'Base stats'!B:B,'Base stats'!E:E),Groups!A:A,Groups!BI:BI)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Dasypus novemcinctus</v>
      </c>
      <c r="C81" s="1" t="str">
        <f>Animals!C81</f>
        <v>&lt;li&gt;Armadillo&lt;/li&gt;</v>
      </c>
      <c r="D81" s="47">
        <f>MAX(MROUND(_xlfn.XLOOKUP(B81,'Base stats'!B:B,'Base stats'!BP:BP) * (_xlfn.XLOOKUP(B81,'Base stats'!B:B,'Base stats'!AL:AL)*5%)^0.9 / 21,0.1),0.05)</f>
        <v>0.2</v>
      </c>
      <c r="E81" s="11">
        <f>MAX(0.01,MROUND(_xlfn.XLOOKUP(B81,'Base stats'!B:B,'Base stats'!BD:BD) * 0.01 * 2, 0.01))</f>
        <v>0.15</v>
      </c>
      <c r="F81" s="7">
        <f>MROUND(_xlfn.XLOOKUP(B81,'Base stats'!B:B,'Base stats'!BA:BA)^0.25 / (_xlfn.XLOOKUP(B81,'Base stats'!B:B,'Base stats'!BH:BH) * 10) * 150 + 0.5 + _xlfn.XLOOKUP(B81,'Base stats'!B:B,'Base stats'!BT:BT), 0.05)</f>
        <v>1.4000000000000001</v>
      </c>
      <c r="G81" s="3" t="str">
        <f>IF(Animals!R81="No","No",
IF(_xlfn.XLOOKUP(B81,'Base stats'!B:B,'Base stats'!U:U)="No",
MAX(MROUND(_xlfn.XLOOKUP(B81,'Base stats'!B:B,'Base stats'!BQ:BQ) * _xlfn.XLOOKUP(B81,'Base stats'!B:B,'Base stats'!BM:BM)^0.9 / 21 * _xlfn.XLOOKUP(B81,'Base stats'!B:B,'Base stats'!BU:BU),0.1),0.05),
MAX(MROUND(((MIN(10,_xlfn.XLOOKUP(B81,'Base stats'!B:B,'Base stats'!U:U)))^0.4*_xlfn.XLOOKUP(B81,'Base stats'!B:B,'Base stats'!BE:BE)^0.73)^0.6 * _xlfn.XLOOKUP(B81,'Base stats'!B:B,'Base stats'!BU:BU),0.1),0.05)
))</f>
        <v>No</v>
      </c>
      <c r="H81" s="11" t="str">
        <f>IF(G81="No","No",
MAX(0.01,MROUND(_xlfn.XLOOKUP(B81,'Base stats'!B:B,'Base stats'!BE:BE) * 0.01 * 2, 0.01))
)</f>
        <v>No</v>
      </c>
      <c r="I81" s="11" t="str">
        <f>IF(G81="No","No",IF(_xlfn.XLOOKUP(B81,'Base stats'!B:B,'Base stats'!U:U)="No","No",
MAX(0.01,MROUND(_xlfn.XLOOKUP(B81,'Base stats'!B:B,'Base stats'!BQ:BQ)/10000,0.01))
))</f>
        <v>No</v>
      </c>
      <c r="J81" s="4" t="str">
        <f>IF(G81="No","No",
MROUND(_xlfn.XLOOKUP(B81,'Base stats'!B:B,'Base stats'!BB:BB)^0.25
/((_xlfn.XLOOKUP(B81,'Base stats'!B:B,'Base stats'!BI:BI))*10)*_xlfn.XLOOKUP(_xlfn.XLOOKUP(B81,'Base stats'!B:B,'Base stats'!E:E),Groups!A:A,Groups!Q:Q)*150 + 0.5 + _xlfn.XLOOKUP(B81,'Base stats'!B:B,'Base stats'!BT:BT),
0.05))</f>
        <v>No</v>
      </c>
      <c r="K81" s="3" t="str">
        <f>IF(Animals!W81="No","No",
IF(_xlfn.XLOOKUP(_xlfn.XLOOKUP(B81,'Base stats'!B:B,'Base stats'!E:E),Groups!A:A,Groups!BC:BC)=1,
MAX(MROUND(_xlfn.XLOOKUP(B81,'Base stats'!B:B,'Base stats'!BR:BR) * _xlfn.XLOOKUP(B81,'Base stats'!B:B,'Base stats'!BN:BN)^0.9 / 21 *_xlfn.XLOOKUP(B81,'Base stats'!B:B,'Base stats'!BU:BU),0.1),0.05),
MAX(MROUND(((MIN(10,_xlfn.XLOOKUP(B81,'Base stats'!B:B,'Base stats'!W:W)))^0.4*_xlfn.XLOOKUP(B81,'Base stats'!B:B,'Base stats'!BF:BF)^0.73)^0.6 *_xlfn.XLOOKUP(B81,'Base stats'!B:B,'Base stats'!BU:BU),0.1),0.05)
))</f>
        <v>No</v>
      </c>
      <c r="L81" s="11" t="str">
        <f>IF(K81="No","No",
MAX(0.01,MROUND(_xlfn.XLOOKUP(B81,'Base stats'!B:B,'Base stats'!BF:BF) * 0.01 *2, 0.01))
)</f>
        <v>No</v>
      </c>
      <c r="M81" s="5" t="str">
        <f>IF(K81="No","No",IF(_xlfn.XLOOKUP(_xlfn.XLOOKUP(B81,'Base stats'!B:B,'Base stats'!E:E),Groups!A:A,Groups!BC:BC)=1,"No",
MAX(0.01,MROUND(_xlfn.XLOOKUP(B81,'Base stats'!B:B,'Base stats'!BR:BR)/10000,0.01))
))</f>
        <v>No</v>
      </c>
      <c r="N81" s="4" t="str">
        <f>IF(K81="No","No",
MROUND(
  _xlfn.XLOOKUP(B81,'Base stats'!B:B,'Base stats'!AZ:AZ)^0.25
  / (_xlfn.XLOOKUP(B81,'Base stats'!B:B,'Base stats'!BJ:BJ)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stats'!BT:BT),
0.05))</f>
        <v>No</v>
      </c>
      <c r="O81" s="3">
        <f>IF(Animals!AC81="No","No",
MAX(MROUND((MIN(10,_xlfn.XLOOKUP(B81,'Base stats'!B:B,'Base stats'!V:V)*IF(_xlfn.XLOOKUP(_xlfn.XLOOKUP(B81,'Base stats'!B:B,'Base stats'!E:E),Groups!A:A,Groups!O:O)=0,1,0.33))^0.4*_xlfn.XLOOKUP(B81,'Base stats'!B:B,'Base stats'!BG:BG)^0.73)^0.6 *_xlfn.XLOOKUP(B81,'Base stats'!B:B,'Base stats'!BU:BU),0.1),0.05)
)</f>
        <v>3.3000000000000003</v>
      </c>
      <c r="P81" s="11">
        <f>IF(O81="No","No",
MAX(0.01,MROUND(_xlfn.XLOOKUP(B81,'Base stats'!B:B,'Base stats'!BG:BG) * 0.01 * 2, 0.01))
)</f>
        <v>0.24</v>
      </c>
      <c r="Q81" s="5">
        <f>IF(O81="No","No",
MAX(0.01,MROUND(_xlfn.XLOOKUP(B81,'Base stats'!B:B,'Base stats'!BS:BS)/10000,0.01))
)</f>
        <v>0.05</v>
      </c>
      <c r="R81" s="4">
        <f>IF(O81="No","No",
MROUND(_xlfn.XLOOKUP(B81,'Base stats'!B:B,'Base stats'!AY:AY)^0.25
/((_xlfn.XLOOKUP(B81,'Base stats'!B:B,'Base stats'!BK:BK))*10)*_xlfn.XLOOKUP(_xlfn.XLOOKUP(B81,'Base stats'!B:B,'Base stats'!E:E),Groups!A:A,Groups!Z:Z)*150 + 0.5 + _xlfn.XLOOKUP(B81,'Base stats'!B:B,'Base stats'!BT:BT),
0.05))</f>
        <v>1.9500000000000002</v>
      </c>
      <c r="S81" s="3" t="str">
        <f>IF(Animals!AH81="No","No",
IF(_xlfn.XLOOKUP(B81,'Base stats'!B:B,'Base stats'!U:U)="No",
MAX(MROUND(_xlfn.XLOOKUP(B81,'Base stats'!B:B,'Base stats'!BQ:BQ) * _xlfn.XLOOKUP(B81,'Base stats'!B:B,'Base stats'!BM:BM)^0.9 / 21 * _xlfn.XLOOKUP(B81,'Base stats'!B:B,'Base stats'!BU:BU),0.1),0.05),
MAX(MROUND(((MIN(12,_xlfn.XLOOKUP(B81,'Base stats'!B:B,'Base stats'!U:U)))^0.4*_xlfn.XLOOKUP(B81,'Base stats'!B:B,'Base stats'!BE:BE)^0.73)^0.6 * _xlfn.XLOOKUP(B81,'Base stats'!B:B,'Base stats'!BU:BU),0.1),0.05)
))</f>
        <v>No</v>
      </c>
      <c r="T81" s="11" t="str">
        <f>IF(S81="No","No",
MAX(0.01,MROUND(_xlfn.XLOOKUP(B81,'Base stats'!B:B,'Base stats'!BE:BE) * 0.01 * 2, 0.01))
)</f>
        <v>No</v>
      </c>
      <c r="U81" s="5" t="str">
        <f>IF(S81="No","No",IF(_xlfn.XLOOKUP(B81,'Base stats'!B:B,'Base stats'!U:U)="No","No",
MAX(0.01,MROUND(_xlfn.XLOOKUP(B81,'Base stats'!B:B,'Base stats'!BQ:BQ)/10000,0.01))
))</f>
        <v>No</v>
      </c>
      <c r="V81" s="4" t="str">
        <f>IF(S81="No","No",
MROUND(_xlfn.XLOOKUP(B81,'Base stats'!B:B,'Base stats'!BC:BC)^0.25
/((_xlfn.XLOOKUP(B81,'Base stats'!B:B,'Base stats'!BL:BL))*10)*_xlfn.XLOOKUP(_xlfn.XLOOKUP(B81,'Base stats'!B:B,'Base stats'!E:E),Groups!A:A,Groups!AE:AE)*150 + 0.5 + _xlfn.XLOOKUP(B81,'Base stats'!B:B,'Base stats'!BT:BT),
0.05))</f>
        <v>No</v>
      </c>
      <c r="W81" s="8">
        <f>MROUND(_xlfn.XLOOKUP(_xlfn.XLOOKUP(B81,'Base stats'!B:B,'Base stats'!E:E),Groups!A:A,Groups!BF:BF)*_xlfn.XLOOKUP(B81,'Base stats'!B:B,'Base stats'!C:C)^-0.165,0.01)</f>
        <v>0.39</v>
      </c>
      <c r="X81" s="1">
        <f>MROUND(_xlfn.XLOOKUP(_xlfn.XLOOKUP(B81,'Base stats'!B:B,'Base stats'!E:E),Groups!A:A,Groups!BG:BG)*_xlfn.XLOOKUP(B81,'Base stats'!B:B,'Base stats'!C:C)^0.165,0.01)</f>
        <v>0</v>
      </c>
      <c r="Y81" s="8">
        <f>MROUND(_xlfn.XLOOKUP(_xlfn.XLOOKUP(B81,'Base stats'!B:B,'Base stats'!E:E),Groups!A:A,Groups!BH:BH)*_xlfn.XLOOKUP(B81,'Base stats'!B:B,'Base stats'!C:C)^0.165,0.01)</f>
        <v>0</v>
      </c>
      <c r="Z81" s="18">
        <f>_xlfn.XLOOKUP(B81,'Base stats'!B:B,'Base stats'!AN:AN)*_xlfn.XLOOKUP(_xlfn.XLOOKUP(B81,'Base stats'!B:B,'Base stats'!E:E),Groups!A:A,Groups!H:H)/1000</f>
        <v>0.43236311545144479</v>
      </c>
      <c r="AA81" s="18">
        <f>(1/2)*(_xlfn.XLOOKUP(_xlfn.XLOOKUP(B81,'Base stats'!B:B,'Base stats'!E:E),Groups!A:A,Groups!H:H)*_xlfn.XLOOKUP(_xlfn.XLOOKUP(B81,'Base stats'!B:B,'Base stats'!E:E),Groups!A:A,Groups!I:I))*_xlfn.XLOOKUP(B81,'Base stats'!B:B,'Base stats'!AN:AN)*0.01</f>
        <v>0.3102205353364117</v>
      </c>
      <c r="AB81" s="18">
        <f>250*(Animals!AN81+Animals!AO81)</f>
        <v>150.00000000000003</v>
      </c>
      <c r="AC81" s="18" t="str">
        <f>_xlfn.XLOOKUP(_xlfn.XLOOKUP(B81,'Base stats'!B:B,'Base stats'!E:E),Groups!A:A,Groups!BI:BI)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stats'!BP:BP) * (_xlfn.XLOOKUP(B82,'Base stats'!B:B,'Base stats'!AL:AL)*5%)^0.9 / 21,0.1),0.05)</f>
        <v>0.8</v>
      </c>
      <c r="E82" s="11">
        <f>MAX(0.01,MROUND(_xlfn.XLOOKUP(B82,'Base stats'!B:B,'Base stats'!BD:BD) * 0.01 * 2, 0.01))</f>
        <v>0.59</v>
      </c>
      <c r="F82" s="7">
        <f>MROUND(_xlfn.XLOOKUP(B82,'Base stats'!B:B,'Base stats'!BA:BA)^0.25 / (_xlfn.XLOOKUP(B82,'Base stats'!B:B,'Base stats'!BH:BH) * 10) * 150 + 0.5 + _xlfn.XLOOKUP(B82,'Base stats'!B:B,'Base stats'!BT:BT), 0.05)</f>
        <v>1.6</v>
      </c>
      <c r="G82" s="3" t="str">
        <f>IF(Animals!R82="No","No",
IF(_xlfn.XLOOKUP(B82,'Base stats'!B:B,'Base stats'!U:U)="No",
MAX(MROUND(_xlfn.XLOOKUP(B82,'Base stats'!B:B,'Base stats'!BQ:BQ) * _xlfn.XLOOKUP(B82,'Base stats'!B:B,'Base stats'!BM:BM)^0.9 / 21 * _xlfn.XLOOKUP(B82,'Base stats'!B:B,'Base stats'!BU:BU),0.1),0.05),
MAX(MROUND(((MIN(10,_xlfn.XLOOKUP(B82,'Base stats'!B:B,'Base stats'!U:U)))^0.4*_xlfn.XLOOKUP(B82,'Base stats'!B:B,'Base stats'!BE:BE)^0.73)^0.6 * _xlfn.XLOOKUP(B82,'Base stats'!B:B,'Base stats'!BU:BU),0.1),0.05)
))</f>
        <v>No</v>
      </c>
      <c r="H82" s="11" t="str">
        <f>IF(G82="No","No",
MAX(0.01,MROUND(_xlfn.XLOOKUP(B82,'Base stats'!B:B,'Base stats'!BE:BE) * 0.01 * 2, 0.01))
)</f>
        <v>No</v>
      </c>
      <c r="I82" s="11" t="str">
        <f>IF(G82="No","No",IF(_xlfn.XLOOKUP(B82,'Base stats'!B:B,'Base stats'!U:U)="No","No",
MAX(0.01,MROUND(_xlfn.XLOOKUP(B82,'Base stats'!B:B,'Base stats'!BQ:BQ)/10000,0.01))
))</f>
        <v>No</v>
      </c>
      <c r="J82" s="4" t="str">
        <f>IF(G82="No","No",
MROUND(_xlfn.XLOOKUP(B82,'Base stats'!B:B,'Base stats'!BB:BB)^0.25
/((_xlfn.XLOOKUP(B82,'Base stats'!B:B,'Base stats'!BI:BI))*10)*_xlfn.XLOOKUP(_xlfn.XLOOKUP(B82,'Base stats'!B:B,'Base stats'!E:E),Groups!A:A,Groups!Q:Q)*150 + 0.5 + _xlfn.XLOOKUP(B82,'Base stats'!B:B,'Base stats'!BT:BT),
0.05))</f>
        <v>No</v>
      </c>
      <c r="K82" s="3" t="str">
        <f>IF(Animals!W82="No","No",
IF(_xlfn.XLOOKUP(_xlfn.XLOOKUP(B82,'Base stats'!B:B,'Base stats'!E:E),Groups!A:A,Groups!BC:BC)=1,
MAX(MROUND(_xlfn.XLOOKUP(B82,'Base stats'!B:B,'Base stats'!BR:BR) * _xlfn.XLOOKUP(B82,'Base stats'!B:B,'Base stats'!BN:BN)^0.9 / 21 *_xlfn.XLOOKUP(B82,'Base stats'!B:B,'Base stats'!BU:BU),0.1),0.05),
MAX(MROUND(((MIN(10,_xlfn.XLOOKUP(B82,'Base stats'!B:B,'Base stats'!W:W)))^0.4*_xlfn.XLOOKUP(B82,'Base stats'!B:B,'Base stats'!BF:BF)^0.73)^0.6 *_xlfn.XLOOKUP(B82,'Base stats'!B:B,'Base stats'!BU:BU),0.1),0.05)
))</f>
        <v>No</v>
      </c>
      <c r="L82" s="11" t="str">
        <f>IF(K82="No","No",
MAX(0.01,MROUND(_xlfn.XLOOKUP(B82,'Base stats'!B:B,'Base stats'!BF:BF) * 0.01 *2, 0.01))
)</f>
        <v>No</v>
      </c>
      <c r="M82" s="5" t="str">
        <f>IF(K82="No","No",IF(_xlfn.XLOOKUP(_xlfn.XLOOKUP(B82,'Base stats'!B:B,'Base stats'!E:E),Groups!A:A,Groups!BC:BC)=1,"No",
MAX(0.01,MROUND(_xlfn.XLOOKUP(B82,'Base stats'!B:B,'Base stats'!BR:BR)/10000,0.01))
))</f>
        <v>No</v>
      </c>
      <c r="N82" s="4" t="str">
        <f>IF(K82="No","No",
MROUND(
  _xlfn.XLOOKUP(B82,'Base stats'!B:B,'Base stats'!AZ:AZ)^0.25
  / (_xlfn.XLOOKUP(B82,'Base stats'!B:B,'Base stats'!BJ:BJ)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stats'!BT:BT),
0.05))</f>
        <v>No</v>
      </c>
      <c r="O82" s="3">
        <f>IF(Animals!AC82="No","No",
MAX(MROUND((MIN(10,_xlfn.XLOOKUP(B82,'Base stats'!B:B,'Base stats'!V:V)*IF(_xlfn.XLOOKUP(_xlfn.XLOOKUP(B82,'Base stats'!B:B,'Base stats'!E:E),Groups!A:A,Groups!O:O)=0,1,0.33))^0.4*_xlfn.XLOOKUP(B82,'Base stats'!B:B,'Base stats'!BG:BG)^0.73)^0.6 *_xlfn.XLOOKUP(B82,'Base stats'!B:B,'Base stats'!BU:BU),0.1),0.05)
)</f>
        <v>9.4</v>
      </c>
      <c r="P82" s="11">
        <f>IF(O82="No","No",
MAX(0.01,MROUND(_xlfn.XLOOKUP(B82,'Base stats'!B:B,'Base stats'!BG:BG) * 0.01 * 2, 0.01))
)</f>
        <v>1.92</v>
      </c>
      <c r="Q82" s="5">
        <f>IF(O82="No","No",
MAX(0.01,MROUND(_xlfn.XLOOKUP(B82,'Base stats'!B:B,'Base stats'!BS:BS)/10000,0.01))
)</f>
        <v>0.19</v>
      </c>
      <c r="R82" s="4">
        <f>IF(O82="No","No",
MROUND(_xlfn.XLOOKUP(B82,'Base stats'!B:B,'Base stats'!AY:AY)^0.25
/((_xlfn.XLOOKUP(B82,'Base stats'!B:B,'Base stats'!BK:BK))*10)*_xlfn.XLOOKUP(_xlfn.XLOOKUP(B82,'Base stats'!B:B,'Base stats'!E:E),Groups!A:A,Groups!Z:Z)*150 + 0.5 + _xlfn.XLOOKUP(B82,'Base stats'!B:B,'Base stats'!BT:BT),
0.05))</f>
        <v>2.1</v>
      </c>
      <c r="S82" s="3">
        <f>IF(Animals!AH82="No","No",
IF(_xlfn.XLOOKUP(B82,'Base stats'!B:B,'Base stats'!U:U)="No",
MAX(MROUND(_xlfn.XLOOKUP(B82,'Base stats'!B:B,'Base stats'!BQ:BQ) * _xlfn.XLOOKUP(B82,'Base stats'!B:B,'Base stats'!BM:BM)^0.9 / 21 * _xlfn.XLOOKUP(B82,'Base stats'!B:B,'Base stats'!BU:BU),0.1),0.05),
MAX(MROUND(((MIN(12,_xlfn.XLOOKUP(B82,'Base stats'!B:B,'Base stats'!U:U)))^0.4*_xlfn.XLOOKUP(B82,'Base stats'!B:B,'Base stats'!BE:BE)^0.73)^0.6 * _xlfn.XLOOKUP(B82,'Base stats'!B:B,'Base stats'!BU:BU),0.1),0.05)
))</f>
        <v>7</v>
      </c>
      <c r="T82" s="11">
        <f>IF(S82="No","No",
MAX(0.01,MROUND(_xlfn.XLOOKUP(B82,'Base stats'!B:B,'Base stats'!BE:BE) * 0.01 * 2, 0.01))
)</f>
        <v>0.81</v>
      </c>
      <c r="U82" s="5">
        <f>IF(S82="No","No",IF(_xlfn.XLOOKUP(B82,'Base stats'!B:B,'Base stats'!U:U)="No","No",
MAX(0.01,MROUND(_xlfn.XLOOKUP(B82,'Base stats'!B:B,'Base stats'!BQ:BQ)/10000,0.01))
))</f>
        <v>0.08</v>
      </c>
      <c r="V82" s="4">
        <f>IF(S82="No","No",
MROUND(_xlfn.XLOOKUP(B82,'Base stats'!B:B,'Base stats'!BC:BC)^0.25
/((_xlfn.XLOOKUP(B82,'Base stats'!B:B,'Base stats'!BL:BL))*10)*_xlfn.XLOOKUP(_xlfn.XLOOKUP(B82,'Base stats'!B:B,'Base stats'!E:E),Groups!A:A,Groups!AE:AE)*150 + 0.5 + _xlfn.XLOOKUP(B82,'Base stats'!B:B,'Base stats'!BT:BT),
0.05))</f>
        <v>1.25</v>
      </c>
      <c r="W82" s="8">
        <f>MROUND(_xlfn.XLOOKUP(_xlfn.XLOOKUP(B82,'Base stats'!B:B,'Base stats'!E:E),Groups!A:A,Groups!BF:BF)*_xlfn.XLOOKUP(B82,'Base stats'!B:B,'Base stats'!C:C)^-0.165,0.01)</f>
        <v>0.67</v>
      </c>
      <c r="X82" s="1">
        <f>MROUND(_xlfn.XLOOKUP(_xlfn.XLOOKUP(B82,'Base stats'!B:B,'Base stats'!E:E),Groups!A:A,Groups!BG:BG)*_xlfn.XLOOKUP(B82,'Base stats'!B:B,'Base stats'!C:C)^0.165,0.01)</f>
        <v>0.33</v>
      </c>
      <c r="Y82" s="8">
        <f>MROUND(_xlfn.XLOOKUP(_xlfn.XLOOKUP(B82,'Base stats'!B:B,'Base stats'!E:E),Groups!A:A,Groups!BH:BH)*_xlfn.XLOOKUP(B82,'Base stats'!B:B,'Base stats'!C:C)^0.165,0.01)</f>
        <v>0.04</v>
      </c>
      <c r="Z82" s="18">
        <f>_xlfn.XLOOKUP(B82,'Base stats'!B:B,'Base stats'!AN:AN)*_xlfn.XLOOKUP(_xlfn.XLOOKUP(B82,'Base stats'!B:B,'Base stats'!E:E),Groups!A:A,Groups!H:H)/1000</f>
        <v>6.2987872931890621E-2</v>
      </c>
      <c r="AA82" s="18">
        <f>(1/2)*(_xlfn.XLOOKUP(_xlfn.XLOOKUP(B82,'Base stats'!B:B,'Base stats'!E:E),Groups!A:A,Groups!H:H)*_xlfn.XLOOKUP(_xlfn.XLOOKUP(B82,'Base stats'!B:B,'Base stats'!E:E),Groups!A:A,Groups!I:I))*_xlfn.XLOOKUP(B82,'Base stats'!B:B,'Base stats'!AN:AN)*0.01</f>
        <v>0.47240904698917968</v>
      </c>
      <c r="AB82" s="18">
        <f>250*(Animals!AN82+Animals!AO82)</f>
        <v>300.00000000000006</v>
      </c>
      <c r="AC82" s="18" t="str">
        <f>_xlfn.XLOOKUP(_xlfn.XLOOKUP(B82,'Base stats'!B:B,'Base stats'!E:E),Groups!A:A,Groups!BI:BI)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stats'!BP:BP) * (_xlfn.XLOOKUP(B83,'Base stats'!B:B,'Base stats'!AL:AL)*5%)^0.9 / 21,0.1),0.05)</f>
        <v>0.1</v>
      </c>
      <c r="E83" s="11">
        <f>MAX(0.01,MROUND(_xlfn.XLOOKUP(B83,'Base stats'!B:B,'Base stats'!BD:BD) * 0.01 * 2, 0.01))</f>
        <v>0.04</v>
      </c>
      <c r="F83" s="7">
        <f>MROUND(_xlfn.XLOOKUP(B83,'Base stats'!B:B,'Base stats'!BA:BA)^0.25 / (_xlfn.XLOOKUP(B83,'Base stats'!B:B,'Base stats'!BH:BH) * 10) * 150 + 0.5 + _xlfn.XLOOKUP(B83,'Base stats'!B:B,'Base stats'!BT:BT), 0.05)</f>
        <v>1.25</v>
      </c>
      <c r="G83" s="3" t="str">
        <f>IF(Animals!R83="No","No",
IF(_xlfn.XLOOKUP(B83,'Base stats'!B:B,'Base stats'!U:U)="No",
MAX(MROUND(_xlfn.XLOOKUP(B83,'Base stats'!B:B,'Base stats'!BQ:BQ) * _xlfn.XLOOKUP(B83,'Base stats'!B:B,'Base stats'!BM:BM)^0.9 / 21 * _xlfn.XLOOKUP(B83,'Base stats'!B:B,'Base stats'!BU:BU),0.1),0.05),
MAX(MROUND(((MIN(10,_xlfn.XLOOKUP(B83,'Base stats'!B:B,'Base stats'!U:U)))^0.4*_xlfn.XLOOKUP(B83,'Base stats'!B:B,'Base stats'!BE:BE)^0.73)^0.6 * _xlfn.XLOOKUP(B83,'Base stats'!B:B,'Base stats'!BU:BU),0.1),0.05)
))</f>
        <v>No</v>
      </c>
      <c r="H83" s="11" t="str">
        <f>IF(G83="No","No",
MAX(0.01,MROUND(_xlfn.XLOOKUP(B83,'Base stats'!B:B,'Base stats'!BE:BE) * 0.01 * 2, 0.01))
)</f>
        <v>No</v>
      </c>
      <c r="I83" s="11" t="str">
        <f>IF(G83="No","No",IF(_xlfn.XLOOKUP(B83,'Base stats'!B:B,'Base stats'!U:U)="No","No",
MAX(0.01,MROUND(_xlfn.XLOOKUP(B83,'Base stats'!B:B,'Base stats'!BQ:BQ)/10000,0.01))
))</f>
        <v>No</v>
      </c>
      <c r="J83" s="4" t="str">
        <f>IF(G83="No","No",
MROUND(_xlfn.XLOOKUP(B83,'Base stats'!B:B,'Base stats'!BB:BB)^0.25
/((_xlfn.XLOOKUP(B83,'Base stats'!B:B,'Base stats'!BI:BI))*10)*_xlfn.XLOOKUP(_xlfn.XLOOKUP(B83,'Base stats'!B:B,'Base stats'!E:E),Groups!A:A,Groups!Q:Q)*150 + 0.5 + _xlfn.XLOOKUP(B83,'Base stats'!B:B,'Base stats'!BT:BT),
0.05))</f>
        <v>No</v>
      </c>
      <c r="K83" s="3" t="str">
        <f>IF(Animals!W83="No","No",
IF(_xlfn.XLOOKUP(_xlfn.XLOOKUP(B83,'Base stats'!B:B,'Base stats'!E:E),Groups!A:A,Groups!BC:BC)=1,
MAX(MROUND(_xlfn.XLOOKUP(B83,'Base stats'!B:B,'Base stats'!BR:BR) * _xlfn.XLOOKUP(B83,'Base stats'!B:B,'Base stats'!BN:BN)^0.9 / 21 *_xlfn.XLOOKUP(B83,'Base stats'!B:B,'Base stats'!BU:BU),0.1),0.05),
MAX(MROUND(((MIN(10,_xlfn.XLOOKUP(B83,'Base stats'!B:B,'Base stats'!W:W)))^0.4*_xlfn.XLOOKUP(B83,'Base stats'!B:B,'Base stats'!BF:BF)^0.73)^0.6 *_xlfn.XLOOKUP(B83,'Base stats'!B:B,'Base stats'!BU:BU),0.1),0.05)
))</f>
        <v>No</v>
      </c>
      <c r="L83" s="11" t="str">
        <f>IF(K83="No","No",
MAX(0.01,MROUND(_xlfn.XLOOKUP(B83,'Base stats'!B:B,'Base stats'!BF:BF) * 0.01 *2, 0.01))
)</f>
        <v>No</v>
      </c>
      <c r="M83" s="5" t="str">
        <f>IF(K83="No","No",IF(_xlfn.XLOOKUP(_xlfn.XLOOKUP(B83,'Base stats'!B:B,'Base stats'!E:E),Groups!A:A,Groups!BC:BC)=1,"No",
MAX(0.01,MROUND(_xlfn.XLOOKUP(B83,'Base stats'!B:B,'Base stats'!BR:BR)/10000,0.01))
))</f>
        <v>No</v>
      </c>
      <c r="N83" s="4" t="str">
        <f>IF(K83="No","No",
MROUND(
  _xlfn.XLOOKUP(B83,'Base stats'!B:B,'Base stats'!AZ:AZ)^0.25
  / (_xlfn.XLOOKUP(B83,'Base stats'!B:B,'Base stats'!BJ:BJ)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stats'!BT:BT),
0.05))</f>
        <v>No</v>
      </c>
      <c r="O83" s="3">
        <f>IF(Animals!AC83="No","No",
MAX(MROUND((MIN(10,_xlfn.XLOOKUP(B83,'Base stats'!B:B,'Base stats'!V:V)*IF(_xlfn.XLOOKUP(_xlfn.XLOOKUP(B83,'Base stats'!B:B,'Base stats'!E:E),Groups!A:A,Groups!O:O)=0,1,0.33))^0.4*_xlfn.XLOOKUP(B83,'Base stats'!B:B,'Base stats'!BG:BG)^0.73)^0.6 *_xlfn.XLOOKUP(B83,'Base stats'!B:B,'Base stats'!BU:BU),0.1),0.05)
)</f>
        <v>1.9000000000000001</v>
      </c>
      <c r="P83" s="11">
        <f>IF(O83="No","No",
MAX(0.01,MROUND(_xlfn.XLOOKUP(B83,'Base stats'!B:B,'Base stats'!BG:BG) * 0.01 * 2, 0.01))
)</f>
        <v>0.08</v>
      </c>
      <c r="Q83" s="5">
        <f>IF(O83="No","No",
MAX(0.01,MROUND(_xlfn.XLOOKUP(B83,'Base stats'!B:B,'Base stats'!BS:BS)/10000,0.01))
)</f>
        <v>0.03</v>
      </c>
      <c r="R83" s="4">
        <f>IF(O83="No","No",
MROUND(_xlfn.XLOOKUP(B83,'Base stats'!B:B,'Base stats'!AY:AY)^0.25
/((_xlfn.XLOOKUP(B83,'Base stats'!B:B,'Base stats'!BK:BK))*10)*_xlfn.XLOOKUP(_xlfn.XLOOKUP(B83,'Base stats'!B:B,'Base stats'!E:E),Groups!A:A,Groups!Z:Z)*150 + 0.5 + _xlfn.XLOOKUP(B83,'Base stats'!B:B,'Base stats'!BT:BT),
0.05))</f>
        <v>1.8</v>
      </c>
      <c r="S83" s="3">
        <f>IF(Animals!AH83="No","No",
IF(_xlfn.XLOOKUP(B83,'Base stats'!B:B,'Base stats'!U:U)="No",
MAX(MROUND(_xlfn.XLOOKUP(B83,'Base stats'!B:B,'Base stats'!BQ:BQ) * _xlfn.XLOOKUP(B83,'Base stats'!B:B,'Base stats'!BM:BM)^0.9 / 21 * _xlfn.XLOOKUP(B83,'Base stats'!B:B,'Base stats'!BU:BU),0.1),0.05),
MAX(MROUND(((MIN(12,_xlfn.XLOOKUP(B83,'Base stats'!B:B,'Base stats'!U:U)))^0.4*_xlfn.XLOOKUP(B83,'Base stats'!B:B,'Base stats'!BE:BE)^0.73)^0.6 * _xlfn.XLOOKUP(B83,'Base stats'!B:B,'Base stats'!BU:BU),0.1),0.05)
))</f>
        <v>1.6</v>
      </c>
      <c r="T83" s="11">
        <f>IF(S83="No","No",
MAX(0.01,MROUND(_xlfn.XLOOKUP(B83,'Base stats'!B:B,'Base stats'!BE:BE) * 0.01 * 2, 0.01))
)</f>
        <v>0.06</v>
      </c>
      <c r="U83" s="5">
        <f>IF(S83="No","No",IF(_xlfn.XLOOKUP(B83,'Base stats'!B:B,'Base stats'!U:U)="No","No",
MAX(0.01,MROUND(_xlfn.XLOOKUP(B83,'Base stats'!B:B,'Base stats'!BQ:BQ)/10000,0.01))
))</f>
        <v>0.02</v>
      </c>
      <c r="V83" s="4">
        <f>IF(S83="No","No",
MROUND(_xlfn.XLOOKUP(B83,'Base stats'!B:B,'Base stats'!BC:BC)^0.25
/((_xlfn.XLOOKUP(B83,'Base stats'!B:B,'Base stats'!BL:BL))*10)*_xlfn.XLOOKUP(_xlfn.XLOOKUP(B83,'Base stats'!B:B,'Base stats'!E:E),Groups!A:A,Groups!AE:AE)*150 + 0.5 + _xlfn.XLOOKUP(B83,'Base stats'!B:B,'Base stats'!BT:BT),
0.05))</f>
        <v>1</v>
      </c>
      <c r="W83" s="8">
        <f>MROUND(_xlfn.XLOOKUP(_xlfn.XLOOKUP(B83,'Base stats'!B:B,'Base stats'!E:E),Groups!A:A,Groups!BF:BF)*_xlfn.XLOOKUP(B83,'Base stats'!B:B,'Base stats'!C:C)^-0.165,0.01)</f>
        <v>1.1100000000000001</v>
      </c>
      <c r="X83" s="1">
        <f>MROUND(_xlfn.XLOOKUP(_xlfn.XLOOKUP(B83,'Base stats'!B:B,'Base stats'!E:E),Groups!A:A,Groups!BG:BG)*_xlfn.XLOOKUP(B83,'Base stats'!B:B,'Base stats'!C:C)^0.165,0.01)</f>
        <v>0.2</v>
      </c>
      <c r="Y83" s="8">
        <f>MROUND(_xlfn.XLOOKUP(_xlfn.XLOOKUP(B83,'Base stats'!B:B,'Base stats'!E:E),Groups!A:A,Groups!BH:BH)*_xlfn.XLOOKUP(B83,'Base stats'!B:B,'Base stats'!C:C)^0.165,0.01)</f>
        <v>0.02</v>
      </c>
      <c r="Z83" s="18">
        <f>_xlfn.XLOOKUP(B83,'Base stats'!B:B,'Base stats'!AN:AN)*_xlfn.XLOOKUP(_xlfn.XLOOKUP(B83,'Base stats'!B:B,'Base stats'!E:E),Groups!A:A,Groups!H:H)/1000</f>
        <v>2.1834636271448674E-2</v>
      </c>
      <c r="AA83" s="18">
        <f>(1/2)*(_xlfn.XLOOKUP(_xlfn.XLOOKUP(B83,'Base stats'!B:B,'Base stats'!E:E),Groups!A:A,Groups!H:H)*_xlfn.XLOOKUP(_xlfn.XLOOKUP(B83,'Base stats'!B:B,'Base stats'!E:E),Groups!A:A,Groups!I:I))*_xlfn.XLOOKUP(B83,'Base stats'!B:B,'Base stats'!AN:AN)*0.01</f>
        <v>0.16375977203586509</v>
      </c>
      <c r="AB83" s="18">
        <f>250*(Animals!AN83+Animals!AO83)</f>
        <v>87.500000000000014</v>
      </c>
      <c r="AC83" s="18" t="str">
        <f>_xlfn.XLOOKUP(_xlfn.XLOOKUP(B83,'Base stats'!B:B,'Base stats'!E:E),Groups!A:A,Groups!BI:BI)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stats'!BP:BP) * (_xlfn.XLOOKUP(B84,'Base stats'!B:B,'Base stats'!AL:AL)*5%)^0.9 / 21,0.1),0.05)</f>
        <v>0.5</v>
      </c>
      <c r="E84" s="11">
        <f>MAX(0.01,MROUND(_xlfn.XLOOKUP(B84,'Base stats'!B:B,'Base stats'!BD:BD) * 0.01 * 2, 0.01))</f>
        <v>0.4</v>
      </c>
      <c r="F84" s="7">
        <f>MROUND(_xlfn.XLOOKUP(B84,'Base stats'!B:B,'Base stats'!BA:BA)^0.25 / (_xlfn.XLOOKUP(B84,'Base stats'!B:B,'Base stats'!BH:BH) * 10) * 150 + 0.5 + _xlfn.XLOOKUP(B84,'Base stats'!B:B,'Base stats'!BT:BT), 0.05)</f>
        <v>1.4000000000000001</v>
      </c>
      <c r="G84" s="3" t="str">
        <f>IF(Animals!R84="No","No",
IF(_xlfn.XLOOKUP(B84,'Base stats'!B:B,'Base stats'!U:U)="No",
MAX(MROUND(_xlfn.XLOOKUP(B84,'Base stats'!B:B,'Base stats'!BQ:BQ) * _xlfn.XLOOKUP(B84,'Base stats'!B:B,'Base stats'!BM:BM)^0.9 / 21 * _xlfn.XLOOKUP(B84,'Base stats'!B:B,'Base stats'!BU:BU),0.1),0.05),
MAX(MROUND(((MIN(10,_xlfn.XLOOKUP(B84,'Base stats'!B:B,'Base stats'!U:U)))^0.4*_xlfn.XLOOKUP(B84,'Base stats'!B:B,'Base stats'!BE:BE)^0.73)^0.6 * _xlfn.XLOOKUP(B84,'Base stats'!B:B,'Base stats'!BU:BU),0.1),0.05)
))</f>
        <v>No</v>
      </c>
      <c r="H84" s="11" t="str">
        <f>IF(G84="No","No",
MAX(0.01,MROUND(_xlfn.XLOOKUP(B84,'Base stats'!B:B,'Base stats'!BE:BE) * 0.01 * 2, 0.01))
)</f>
        <v>No</v>
      </c>
      <c r="I84" s="11" t="str">
        <f>IF(G84="No","No",IF(_xlfn.XLOOKUP(B84,'Base stats'!B:B,'Base stats'!U:U)="No","No",
MAX(0.01,MROUND(_xlfn.XLOOKUP(B84,'Base stats'!B:B,'Base stats'!BQ:BQ)/10000,0.01))
))</f>
        <v>No</v>
      </c>
      <c r="J84" s="4" t="str">
        <f>IF(G84="No","No",
MROUND(_xlfn.XLOOKUP(B84,'Base stats'!B:B,'Base stats'!BB:BB)^0.25
/((_xlfn.XLOOKUP(B84,'Base stats'!B:B,'Base stats'!BI:BI))*10)*_xlfn.XLOOKUP(_xlfn.XLOOKUP(B84,'Base stats'!B:B,'Base stats'!E:E),Groups!A:A,Groups!Q:Q)*150 + 0.5 + _xlfn.XLOOKUP(B84,'Base stats'!B:B,'Base stats'!BT:BT),
0.05))</f>
        <v>No</v>
      </c>
      <c r="K84" s="3" t="str">
        <f>IF(Animals!W84="No","No",
IF(_xlfn.XLOOKUP(_xlfn.XLOOKUP(B84,'Base stats'!B:B,'Base stats'!E:E),Groups!A:A,Groups!BC:BC)=1,
MAX(MROUND(_xlfn.XLOOKUP(B84,'Base stats'!B:B,'Base stats'!BR:BR) * _xlfn.XLOOKUP(B84,'Base stats'!B:B,'Base stats'!BN:BN)^0.9 / 21 *_xlfn.XLOOKUP(B84,'Base stats'!B:B,'Base stats'!BU:BU),0.1),0.05),
MAX(MROUND(((MIN(10,_xlfn.XLOOKUP(B84,'Base stats'!B:B,'Base stats'!W:W)))^0.4*_xlfn.XLOOKUP(B84,'Base stats'!B:B,'Base stats'!BF:BF)^0.73)^0.6 *_xlfn.XLOOKUP(B84,'Base stats'!B:B,'Base stats'!BU:BU),0.1),0.05)
))</f>
        <v>No</v>
      </c>
      <c r="L84" s="11" t="str">
        <f>IF(K84="No","No",
MAX(0.01,MROUND(_xlfn.XLOOKUP(B84,'Base stats'!B:B,'Base stats'!BF:BF) * 0.01 *2, 0.01))
)</f>
        <v>No</v>
      </c>
      <c r="M84" s="5" t="str">
        <f>IF(K84="No","No",IF(_xlfn.XLOOKUP(_xlfn.XLOOKUP(B84,'Base stats'!B:B,'Base stats'!E:E),Groups!A:A,Groups!BC:BC)=1,"No",
MAX(0.01,MROUND(_xlfn.XLOOKUP(B84,'Base stats'!B:B,'Base stats'!BR:BR)/10000,0.01))
))</f>
        <v>No</v>
      </c>
      <c r="N84" s="4" t="str">
        <f>IF(K84="No","No",
MROUND(
  _xlfn.XLOOKUP(B84,'Base stats'!B:B,'Base stats'!AZ:AZ)^0.25
  / (_xlfn.XLOOKUP(B84,'Base stats'!B:B,'Base stats'!BJ:BJ)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stats'!BT:BT),
0.05))</f>
        <v>No</v>
      </c>
      <c r="O84" s="3">
        <f>IF(Animals!AC84="No","No",
MAX(MROUND((MIN(10,_xlfn.XLOOKUP(B84,'Base stats'!B:B,'Base stats'!V:V)*IF(_xlfn.XLOOKUP(_xlfn.XLOOKUP(B84,'Base stats'!B:B,'Base stats'!E:E),Groups!A:A,Groups!O:O)=0,1,0.33))^0.4*_xlfn.XLOOKUP(B84,'Base stats'!B:B,'Base stats'!BG:BG)^0.73)^0.6 *_xlfn.XLOOKUP(B84,'Base stats'!B:B,'Base stats'!BU:BU),0.1),0.05)
)</f>
        <v>5.2</v>
      </c>
      <c r="P84" s="11">
        <f>IF(O84="No","No",
MAX(0.01,MROUND(_xlfn.XLOOKUP(B84,'Base stats'!B:B,'Base stats'!BG:BG) * 0.01 * 2, 0.01))
)</f>
        <v>0.59</v>
      </c>
      <c r="Q84" s="5">
        <f>IF(O84="No","No",
MAX(0.01,MROUND(_xlfn.XLOOKUP(B84,'Base stats'!B:B,'Base stats'!BS:BS)/10000,0.01))
)</f>
        <v>7.0000000000000007E-2</v>
      </c>
      <c r="R84" s="4">
        <f>IF(O84="No","No",
MROUND(_xlfn.XLOOKUP(B84,'Base stats'!B:B,'Base stats'!AY:AY)^0.25
/((_xlfn.XLOOKUP(B84,'Base stats'!B:B,'Base stats'!BK:BK))*10)*_xlfn.XLOOKUP(_xlfn.XLOOKUP(B84,'Base stats'!B:B,'Base stats'!E:E),Groups!A:A,Groups!Z:Z)*150 + 0.5 + _xlfn.XLOOKUP(B84,'Base stats'!B:B,'Base stats'!BT:BT),
0.05))</f>
        <v>1.9000000000000001</v>
      </c>
      <c r="S84" s="3">
        <f>IF(Animals!AH84="No","No",
IF(_xlfn.XLOOKUP(B84,'Base stats'!B:B,'Base stats'!U:U)="No",
MAX(MROUND(_xlfn.XLOOKUP(B84,'Base stats'!B:B,'Base stats'!BQ:BQ) * _xlfn.XLOOKUP(B84,'Base stats'!B:B,'Base stats'!BM:BM)^0.9 / 21 * _xlfn.XLOOKUP(B84,'Base stats'!B:B,'Base stats'!BU:BU),0.1),0.05),
MAX(MROUND(((MIN(12,_xlfn.XLOOKUP(B84,'Base stats'!B:B,'Base stats'!U:U)))^0.4*_xlfn.XLOOKUP(B84,'Base stats'!B:B,'Base stats'!BE:BE)^0.73)^0.6 * _xlfn.XLOOKUP(B84,'Base stats'!B:B,'Base stats'!BU:BU),0.1),0.05)
))</f>
        <v>5.9</v>
      </c>
      <c r="T84" s="11">
        <f>IF(S84="No","No",
MAX(0.01,MROUND(_xlfn.XLOOKUP(B84,'Base stats'!B:B,'Base stats'!BE:BE) * 0.01 * 2, 0.01))
)</f>
        <v>0.57000000000000006</v>
      </c>
      <c r="U84" s="5">
        <f>IF(S84="No","No",IF(_xlfn.XLOOKUP(B84,'Base stats'!B:B,'Base stats'!U:U)="No","No",
MAX(0.01,MROUND(_xlfn.XLOOKUP(B84,'Base stats'!B:B,'Base stats'!BQ:BQ)/10000,0.01))
))</f>
        <v>7.0000000000000007E-2</v>
      </c>
      <c r="V84" s="4">
        <f>IF(S84="No","No",
MROUND(_xlfn.XLOOKUP(B84,'Base stats'!B:B,'Base stats'!BC:BC)^0.25
/((_xlfn.XLOOKUP(B84,'Base stats'!B:B,'Base stats'!BL:BL))*10)*_xlfn.XLOOKUP(_xlfn.XLOOKUP(B84,'Base stats'!B:B,'Base stats'!E:E),Groups!A:A,Groups!AE:AE)*150 + 0.5 + _xlfn.XLOOKUP(B84,'Base stats'!B:B,'Base stats'!BT:BT),
0.05))</f>
        <v>1.2000000000000002</v>
      </c>
      <c r="W84" s="8">
        <f>MROUND(_xlfn.XLOOKUP(_xlfn.XLOOKUP(B84,'Base stats'!B:B,'Base stats'!E:E),Groups!A:A,Groups!BF:BF)*_xlfn.XLOOKUP(B84,'Base stats'!B:B,'Base stats'!C:C)^-0.165,0.01)</f>
        <v>0.72</v>
      </c>
      <c r="X84" s="1">
        <f>MROUND(_xlfn.XLOOKUP(_xlfn.XLOOKUP(B84,'Base stats'!B:B,'Base stats'!E:E),Groups!A:A,Groups!BG:BG)*_xlfn.XLOOKUP(B84,'Base stats'!B:B,'Base stats'!C:C)^0.165,0.01)</f>
        <v>0.31</v>
      </c>
      <c r="Y84" s="8">
        <f>MROUND(_xlfn.XLOOKUP(_xlfn.XLOOKUP(B84,'Base stats'!B:B,'Base stats'!E:E),Groups!A:A,Groups!BH:BH)*_xlfn.XLOOKUP(B84,'Base stats'!B:B,'Base stats'!C:C)^0.165,0.01)</f>
        <v>0.04</v>
      </c>
      <c r="Z84" s="18">
        <f>_xlfn.XLOOKUP(B84,'Base stats'!B:B,'Base stats'!AN:AN)*_xlfn.XLOOKUP(_xlfn.XLOOKUP(B84,'Base stats'!B:B,'Base stats'!E:E),Groups!A:A,Groups!H:H)/1000</f>
        <v>5.4654383775678154E-2</v>
      </c>
      <c r="AA84" s="18">
        <f>(1/2)*(_xlfn.XLOOKUP(_xlfn.XLOOKUP(B84,'Base stats'!B:B,'Base stats'!E:E),Groups!A:A,Groups!H:H)*_xlfn.XLOOKUP(_xlfn.XLOOKUP(B84,'Base stats'!B:B,'Base stats'!E:E),Groups!A:A,Groups!I:I))*_xlfn.XLOOKUP(B84,'Base stats'!B:B,'Base stats'!AN:AN)*0.01</f>
        <v>0.40990787831758618</v>
      </c>
      <c r="AB84" s="18">
        <f>250*(Animals!AN84+Animals!AO84)</f>
        <v>250</v>
      </c>
      <c r="AC84" s="18" t="str">
        <f>_xlfn.XLOOKUP(_xlfn.XLOOKUP(B84,'Base stats'!B:B,'Base stats'!E:E),Groups!A:A,Groups!BI:BI)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stats'!BP:BP) * (_xlfn.XLOOKUP(B85,'Base stats'!B:B,'Base stats'!AL:AL)*5%)^0.9 / 21,0.1),0.05)</f>
        <v>0.5</v>
      </c>
      <c r="E85" s="11">
        <f>MAX(0.01,MROUND(_xlfn.XLOOKUP(B85,'Base stats'!B:B,'Base stats'!BD:BD) * 0.01 * 2, 0.01))</f>
        <v>0.35000000000000003</v>
      </c>
      <c r="F85" s="7">
        <f>MROUND(_xlfn.XLOOKUP(B85,'Base stats'!B:B,'Base stats'!BA:BA)^0.25 / (_xlfn.XLOOKUP(B85,'Base stats'!B:B,'Base stats'!BH:BH) * 10) * 150 + 0.5 + _xlfn.XLOOKUP(B85,'Base stats'!B:B,'Base stats'!BT:BT), 0.05)</f>
        <v>1.6</v>
      </c>
      <c r="G85" s="3" t="str">
        <f>IF(Animals!R85="No","No",
IF(_xlfn.XLOOKUP(B85,'Base stats'!B:B,'Base stats'!U:U)="No",
MAX(MROUND(_xlfn.XLOOKUP(B85,'Base stats'!B:B,'Base stats'!BQ:BQ) * _xlfn.XLOOKUP(B85,'Base stats'!B:B,'Base stats'!BM:BM)^0.9 / 21 * _xlfn.XLOOKUP(B85,'Base stats'!B:B,'Base stats'!BU:BU),0.1),0.05),
MAX(MROUND(((MIN(10,_xlfn.XLOOKUP(B85,'Base stats'!B:B,'Base stats'!U:U)))^0.4*_xlfn.XLOOKUP(B85,'Base stats'!B:B,'Base stats'!BE:BE)^0.73)^0.6 * _xlfn.XLOOKUP(B85,'Base stats'!B:B,'Base stats'!BU:BU),0.1),0.05)
))</f>
        <v>No</v>
      </c>
      <c r="H85" s="11" t="str">
        <f>IF(G85="No","No",
MAX(0.01,MROUND(_xlfn.XLOOKUP(B85,'Base stats'!B:B,'Base stats'!BE:BE) * 0.01 * 2, 0.01))
)</f>
        <v>No</v>
      </c>
      <c r="I85" s="11" t="str">
        <f>IF(G85="No","No",IF(_xlfn.XLOOKUP(B85,'Base stats'!B:B,'Base stats'!U:U)="No","No",
MAX(0.01,MROUND(_xlfn.XLOOKUP(B85,'Base stats'!B:B,'Base stats'!BQ:BQ)/10000,0.01))
))</f>
        <v>No</v>
      </c>
      <c r="J85" s="4" t="str">
        <f>IF(G85="No","No",
MROUND(_xlfn.XLOOKUP(B85,'Base stats'!B:B,'Base stats'!BB:BB)^0.25
/((_xlfn.XLOOKUP(B85,'Base stats'!B:B,'Base stats'!BI:BI))*10)*_xlfn.XLOOKUP(_xlfn.XLOOKUP(B85,'Base stats'!B:B,'Base stats'!E:E),Groups!A:A,Groups!Q:Q)*150 + 0.5 + _xlfn.XLOOKUP(B85,'Base stats'!B:B,'Base stats'!BT:BT),
0.05))</f>
        <v>No</v>
      </c>
      <c r="K85" s="3" t="str">
        <f>IF(Animals!W85="No","No",
IF(_xlfn.XLOOKUP(_xlfn.XLOOKUP(B85,'Base stats'!B:B,'Base stats'!E:E),Groups!A:A,Groups!BC:BC)=1,
MAX(MROUND(_xlfn.XLOOKUP(B85,'Base stats'!B:B,'Base stats'!BR:BR) * _xlfn.XLOOKUP(B85,'Base stats'!B:B,'Base stats'!BN:BN)^0.9 / 21 *_xlfn.XLOOKUP(B85,'Base stats'!B:B,'Base stats'!BU:BU),0.1),0.05),
MAX(MROUND(((MIN(10,_xlfn.XLOOKUP(B85,'Base stats'!B:B,'Base stats'!W:W)))^0.4*_xlfn.XLOOKUP(B85,'Base stats'!B:B,'Base stats'!BF:BF)^0.73)^0.6 *_xlfn.XLOOKUP(B85,'Base stats'!B:B,'Base stats'!BU:BU),0.1),0.05)
))</f>
        <v>No</v>
      </c>
      <c r="L85" s="11" t="str">
        <f>IF(K85="No","No",
MAX(0.01,MROUND(_xlfn.XLOOKUP(B85,'Base stats'!B:B,'Base stats'!BF:BF) * 0.01 *2, 0.01))
)</f>
        <v>No</v>
      </c>
      <c r="M85" s="5" t="str">
        <f>IF(K85="No","No",IF(_xlfn.XLOOKUP(_xlfn.XLOOKUP(B85,'Base stats'!B:B,'Base stats'!E:E),Groups!A:A,Groups!BC:BC)=1,"No",
MAX(0.01,MROUND(_xlfn.XLOOKUP(B85,'Base stats'!B:B,'Base stats'!BR:BR)/10000,0.01))
))</f>
        <v>No</v>
      </c>
      <c r="N85" s="4" t="str">
        <f>IF(K85="No","No",
MROUND(
  _xlfn.XLOOKUP(B85,'Base stats'!B:B,'Base stats'!AZ:AZ)^0.25
  / (_xlfn.XLOOKUP(B85,'Base stats'!B:B,'Base stats'!BJ:BJ)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stats'!BT:BT),
0.05))</f>
        <v>No</v>
      </c>
      <c r="O85" s="3">
        <f>IF(Animals!AC85="No","No",
MAX(MROUND((MIN(10,_xlfn.XLOOKUP(B85,'Base stats'!B:B,'Base stats'!V:V)*IF(_xlfn.XLOOKUP(_xlfn.XLOOKUP(B85,'Base stats'!B:B,'Base stats'!E:E),Groups!A:A,Groups!O:O)=0,1,0.33))^0.4*_xlfn.XLOOKUP(B85,'Base stats'!B:B,'Base stats'!BG:BG)^0.73)^0.6 *_xlfn.XLOOKUP(B85,'Base stats'!B:B,'Base stats'!BU:BU),0.1),0.05)
)</f>
        <v>4.5</v>
      </c>
      <c r="P85" s="11">
        <f>IF(O85="No","No",
MAX(0.01,MROUND(_xlfn.XLOOKUP(B85,'Base stats'!B:B,'Base stats'!BG:BG) * 0.01 * 2, 0.01))
)</f>
        <v>0.52</v>
      </c>
      <c r="Q85" s="5">
        <f>IF(O85="No","No",
MAX(0.01,MROUND(_xlfn.XLOOKUP(B85,'Base stats'!B:B,'Base stats'!BS:BS)/10000,0.01))
)</f>
        <v>7.0000000000000007E-2</v>
      </c>
      <c r="R85" s="4">
        <f>IF(O85="No","No",
MROUND(_xlfn.XLOOKUP(B85,'Base stats'!B:B,'Base stats'!AY:AY)^0.25
/((_xlfn.XLOOKUP(B85,'Base stats'!B:B,'Base stats'!BK:BK))*10)*_xlfn.XLOOKUP(_xlfn.XLOOKUP(B85,'Base stats'!B:B,'Base stats'!E:E),Groups!A:A,Groups!Z:Z)*150 + 0.5 + _xlfn.XLOOKUP(B85,'Base stats'!B:B,'Base stats'!BT:BT),
0.05))</f>
        <v>1.9000000000000001</v>
      </c>
      <c r="S85" s="3">
        <f>IF(Animals!AH85="No","No",
IF(_xlfn.XLOOKUP(B85,'Base stats'!B:B,'Base stats'!U:U)="No",
MAX(MROUND(_xlfn.XLOOKUP(B85,'Base stats'!B:B,'Base stats'!BQ:BQ) * _xlfn.XLOOKUP(B85,'Base stats'!B:B,'Base stats'!BM:BM)^0.9 / 21 * _xlfn.XLOOKUP(B85,'Base stats'!B:B,'Base stats'!BU:BU),0.1),0.05),
MAX(MROUND(((MIN(12,_xlfn.XLOOKUP(B85,'Base stats'!B:B,'Base stats'!U:U)))^0.4*_xlfn.XLOOKUP(B85,'Base stats'!B:B,'Base stats'!BE:BE)^0.73)^0.6 * _xlfn.XLOOKUP(B85,'Base stats'!B:B,'Base stats'!BU:BU),0.1),0.05)
))</f>
        <v>4.1000000000000005</v>
      </c>
      <c r="T85" s="11">
        <f>IF(S85="No","No",
MAX(0.01,MROUND(_xlfn.XLOOKUP(B85,'Base stats'!B:B,'Base stats'!BE:BE) * 0.01 * 2, 0.01))
)</f>
        <v>0.5</v>
      </c>
      <c r="U85" s="5">
        <f>IF(S85="No","No",IF(_xlfn.XLOOKUP(B85,'Base stats'!B:B,'Base stats'!U:U)="No","No",
MAX(0.01,MROUND(_xlfn.XLOOKUP(B85,'Base stats'!B:B,'Base stats'!BQ:BQ)/10000,0.01))
))</f>
        <v>0.06</v>
      </c>
      <c r="V85" s="4">
        <f>IF(S85="No","No",
MROUND(_xlfn.XLOOKUP(B85,'Base stats'!B:B,'Base stats'!BC:BC)^0.25
/((_xlfn.XLOOKUP(B85,'Base stats'!B:B,'Base stats'!BL:BL))*10)*_xlfn.XLOOKUP(_xlfn.XLOOKUP(B85,'Base stats'!B:B,'Base stats'!E:E),Groups!A:A,Groups!AE:AE)*150 + 0.5 + _xlfn.XLOOKUP(B85,'Base stats'!B:B,'Base stats'!BT:BT),
0.05))</f>
        <v>1.2000000000000002</v>
      </c>
      <c r="W85" s="8">
        <f>MROUND(_xlfn.XLOOKUP(_xlfn.XLOOKUP(B85,'Base stats'!B:B,'Base stats'!E:E),Groups!A:A,Groups!BF:BF)*_xlfn.XLOOKUP(B85,'Base stats'!B:B,'Base stats'!C:C)^-0.165,0.01)</f>
        <v>0.74</v>
      </c>
      <c r="X85" s="1">
        <f>MROUND(_xlfn.XLOOKUP(_xlfn.XLOOKUP(B85,'Base stats'!B:B,'Base stats'!E:E),Groups!A:A,Groups!BG:BG)*_xlfn.XLOOKUP(B85,'Base stats'!B:B,'Base stats'!C:C)^0.165,0.01)</f>
        <v>0.3</v>
      </c>
      <c r="Y85" s="8">
        <f>MROUND(_xlfn.XLOOKUP(_xlfn.XLOOKUP(B85,'Base stats'!B:B,'Base stats'!E:E),Groups!A:A,Groups!BH:BH)*_xlfn.XLOOKUP(B85,'Base stats'!B:B,'Base stats'!C:C)^0.165,0.01)</f>
        <v>0.04</v>
      </c>
      <c r="Z85" s="18">
        <f>_xlfn.XLOOKUP(B85,'Base stats'!B:B,'Base stats'!AN:AN)*_xlfn.XLOOKUP(_xlfn.XLOOKUP(B85,'Base stats'!B:B,'Base stats'!E:E),Groups!A:A,Groups!H:H)/1000</f>
        <v>5.1550263160956442E-2</v>
      </c>
      <c r="AA85" s="18">
        <f>(1/2)*(_xlfn.XLOOKUP(_xlfn.XLOOKUP(B85,'Base stats'!B:B,'Base stats'!E:E),Groups!A:A,Groups!H:H)*_xlfn.XLOOKUP(_xlfn.XLOOKUP(B85,'Base stats'!B:B,'Base stats'!E:E),Groups!A:A,Groups!I:I))*_xlfn.XLOOKUP(B85,'Base stats'!B:B,'Base stats'!AN:AN)*0.01</f>
        <v>0.3866269737071733</v>
      </c>
      <c r="AB85" s="18">
        <f>250*(Animals!AN85+Animals!AO85)</f>
        <v>250</v>
      </c>
      <c r="AC85" s="18" t="str">
        <f>_xlfn.XLOOKUP(_xlfn.XLOOKUP(B85,'Base stats'!B:B,'Base stats'!E:E),Groups!A:A,Groups!BI:BI)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stats'!BP:BP) * (_xlfn.XLOOKUP(B86,'Base stats'!B:B,'Base stats'!AL:AL)*5%)^0.9 / 21,0.1),0.05)</f>
        <v>6.1000000000000005</v>
      </c>
      <c r="E86" s="11">
        <f>MAX(0.01,MROUND(_xlfn.XLOOKUP(B86,'Base stats'!B:B,'Base stats'!BD:BD) * 0.01 * 2, 0.01))</f>
        <v>5.4</v>
      </c>
      <c r="F86" s="7">
        <f>MROUND(_xlfn.XLOOKUP(B86,'Base stats'!B:B,'Base stats'!BA:BA)^0.25 / (_xlfn.XLOOKUP(B86,'Base stats'!B:B,'Base stats'!BH:BH) * 10) * 150 + 0.5 + _xlfn.XLOOKUP(B86,'Base stats'!B:B,'Base stats'!BT:BT), 0.05)</f>
        <v>2.2000000000000002</v>
      </c>
      <c r="G86" s="3" t="str">
        <f>IF(Animals!R86="No","No",
IF(_xlfn.XLOOKUP(B86,'Base stats'!B:B,'Base stats'!U:U)="No",
MAX(MROUND(_xlfn.XLOOKUP(B86,'Base stats'!B:B,'Base stats'!BQ:BQ) * _xlfn.XLOOKUP(B86,'Base stats'!B:B,'Base stats'!BM:BM)^0.9 / 21 * _xlfn.XLOOKUP(B86,'Base stats'!B:B,'Base stats'!BU:BU),0.1),0.05),
MAX(MROUND(((MIN(10,_xlfn.XLOOKUP(B86,'Base stats'!B:B,'Base stats'!U:U)))^0.4*_xlfn.XLOOKUP(B86,'Base stats'!B:B,'Base stats'!BE:BE)^0.73)^0.6 * _xlfn.XLOOKUP(B86,'Base stats'!B:B,'Base stats'!BU:BU),0.1),0.05)
))</f>
        <v>No</v>
      </c>
      <c r="H86" s="11" t="str">
        <f>IF(G86="No","No",
MAX(0.01,MROUND(_xlfn.XLOOKUP(B86,'Base stats'!B:B,'Base stats'!BE:BE) * 0.01 * 2, 0.01))
)</f>
        <v>No</v>
      </c>
      <c r="I86" s="11" t="str">
        <f>IF(G86="No","No",IF(_xlfn.XLOOKUP(B86,'Base stats'!B:B,'Base stats'!U:U)="No","No",
MAX(0.01,MROUND(_xlfn.XLOOKUP(B86,'Base stats'!B:B,'Base stats'!BQ:BQ)/10000,0.01))
))</f>
        <v>No</v>
      </c>
      <c r="J86" s="4" t="str">
        <f>IF(G86="No","No",
MROUND(_xlfn.XLOOKUP(B86,'Base stats'!B:B,'Base stats'!BB:BB)^0.25
/((_xlfn.XLOOKUP(B86,'Base stats'!B:B,'Base stats'!BI:BI))*10)*_xlfn.XLOOKUP(_xlfn.XLOOKUP(B86,'Base stats'!B:B,'Base stats'!E:E),Groups!A:A,Groups!Q:Q)*150 + 0.5 + _xlfn.XLOOKUP(B86,'Base stats'!B:B,'Base stats'!BT:BT),
0.05))</f>
        <v>No</v>
      </c>
      <c r="K86" s="3" t="str">
        <f>IF(Animals!W86="No","No",
IF(_xlfn.XLOOKUP(_xlfn.XLOOKUP(B86,'Base stats'!B:B,'Base stats'!E:E),Groups!A:A,Groups!BC:BC)=1,
MAX(MROUND(_xlfn.XLOOKUP(B86,'Base stats'!B:B,'Base stats'!BR:BR) * _xlfn.XLOOKUP(B86,'Base stats'!B:B,'Base stats'!BN:BN)^0.9 / 21 *_xlfn.XLOOKUP(B86,'Base stats'!B:B,'Base stats'!BU:BU),0.1),0.05),
MAX(MROUND(((MIN(10,_xlfn.XLOOKUP(B86,'Base stats'!B:B,'Base stats'!W:W)))^0.4*_xlfn.XLOOKUP(B86,'Base stats'!B:B,'Base stats'!BF:BF)^0.73)^0.6 *_xlfn.XLOOKUP(B86,'Base stats'!B:B,'Base stats'!BU:BU),0.1),0.05)
))</f>
        <v>No</v>
      </c>
      <c r="L86" s="11" t="str">
        <f>IF(K86="No","No",
MAX(0.01,MROUND(_xlfn.XLOOKUP(B86,'Base stats'!B:B,'Base stats'!BF:BF) * 0.01 *2, 0.01))
)</f>
        <v>No</v>
      </c>
      <c r="M86" s="5" t="str">
        <f>IF(K86="No","No",IF(_xlfn.XLOOKUP(_xlfn.XLOOKUP(B86,'Base stats'!B:B,'Base stats'!E:E),Groups!A:A,Groups!BC:BC)=1,"No",
MAX(0.01,MROUND(_xlfn.XLOOKUP(B86,'Base stats'!B:B,'Base stats'!BR:BR)/10000,0.01))
))</f>
        <v>No</v>
      </c>
      <c r="N86" s="4" t="str">
        <f>IF(K86="No","No",
MROUND(
  _xlfn.XLOOKUP(B86,'Base stats'!B:B,'Base stats'!AZ:AZ)^0.25
  / (_xlfn.XLOOKUP(B86,'Base stats'!B:B,'Base stats'!BJ:BJ)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stats'!BT:BT),
0.05))</f>
        <v>No</v>
      </c>
      <c r="O86" s="3">
        <f>IF(Animals!AC86="No","No",
MAX(MROUND((MIN(10,_xlfn.XLOOKUP(B86,'Base stats'!B:B,'Base stats'!V:V)*IF(_xlfn.XLOOKUP(_xlfn.XLOOKUP(B86,'Base stats'!B:B,'Base stats'!E:E),Groups!A:A,Groups!O:O)=0,1,0.33))^0.4*_xlfn.XLOOKUP(B86,'Base stats'!B:B,'Base stats'!BG:BG)^0.73)^0.6 *_xlfn.XLOOKUP(B86,'Base stats'!B:B,'Base stats'!BU:BU),0.1),0.05)
)</f>
        <v>18.2</v>
      </c>
      <c r="P86" s="11">
        <f>IF(O86="No","No",
MAX(0.01,MROUND(_xlfn.XLOOKUP(B86,'Base stats'!B:B,'Base stats'!BG:BG) * 0.01 * 2, 0.01))
)</f>
        <v>5.9</v>
      </c>
      <c r="Q86" s="5">
        <f>IF(O86="No","No",
MAX(0.01,MROUND(_xlfn.XLOOKUP(B86,'Base stats'!B:B,'Base stats'!BS:BS)/10000,0.01))
)</f>
        <v>0.22</v>
      </c>
      <c r="R86" s="4">
        <f>IF(O86="No","No",
MROUND(_xlfn.XLOOKUP(B86,'Base stats'!B:B,'Base stats'!AY:AY)^0.25
/((_xlfn.XLOOKUP(B86,'Base stats'!B:B,'Base stats'!BK:BK))*10)*_xlfn.XLOOKUP(_xlfn.XLOOKUP(B86,'Base stats'!B:B,'Base stats'!E:E),Groups!A:A,Groups!Z:Z)*150 + 0.5 + _xlfn.XLOOKUP(B86,'Base stats'!B:B,'Base stats'!BT:BT),
0.05))</f>
        <v>2.2000000000000002</v>
      </c>
      <c r="S86" s="3" t="str">
        <f>IF(Animals!AH86="No","No",
IF(_xlfn.XLOOKUP(B86,'Base stats'!B:B,'Base stats'!U:U)="No",
MAX(MROUND(_xlfn.XLOOKUP(B86,'Base stats'!B:B,'Base stats'!BQ:BQ) * _xlfn.XLOOKUP(B86,'Base stats'!B:B,'Base stats'!BM:BM)^0.9 / 21 * _xlfn.XLOOKUP(B86,'Base stats'!B:B,'Base stats'!BU:BU),0.1),0.05),
MAX(MROUND(((MIN(12,_xlfn.XLOOKUP(B86,'Base stats'!B:B,'Base stats'!U:U)))^0.4*_xlfn.XLOOKUP(B86,'Base stats'!B:B,'Base stats'!BE:BE)^0.73)^0.6 * _xlfn.XLOOKUP(B86,'Base stats'!B:B,'Base stats'!BU:BU),0.1),0.05)
))</f>
        <v>No</v>
      </c>
      <c r="T86" s="11" t="str">
        <f>IF(S86="No","No",
MAX(0.01,MROUND(_xlfn.XLOOKUP(B86,'Base stats'!B:B,'Base stats'!BE:BE) * 0.01 * 2, 0.01))
)</f>
        <v>No</v>
      </c>
      <c r="U86" s="5" t="str">
        <f>IF(S86="No","No",IF(_xlfn.XLOOKUP(B86,'Base stats'!B:B,'Base stats'!U:U)="No","No",
MAX(0.01,MROUND(_xlfn.XLOOKUP(B86,'Base stats'!B:B,'Base stats'!BQ:BQ)/10000,0.01))
))</f>
        <v>No</v>
      </c>
      <c r="V86" s="4" t="str">
        <f>IF(S86="No","No",
MROUND(_xlfn.XLOOKUP(B86,'Base stats'!B:B,'Base stats'!BC:BC)^0.25
/((_xlfn.XLOOKUP(B86,'Base stats'!B:B,'Base stats'!BL:BL))*10)*_xlfn.XLOOKUP(_xlfn.XLOOKUP(B86,'Base stats'!B:B,'Base stats'!E:E),Groups!A:A,Groups!AE:AE)*150 + 0.5 + _xlfn.XLOOKUP(B86,'Base stats'!B:B,'Base stats'!BT:BT),
0.05))</f>
        <v>No</v>
      </c>
      <c r="W86" s="8">
        <f>MROUND(_xlfn.XLOOKUP(_xlfn.XLOOKUP(B86,'Base stats'!B:B,'Base stats'!E:E),Groups!A:A,Groups!BF:BF)*_xlfn.XLOOKUP(B86,'Base stats'!B:B,'Base stats'!C:C)^-0.165,0.01)</f>
        <v>0.28999999999999998</v>
      </c>
      <c r="X86" s="1">
        <f>MROUND(_xlfn.XLOOKUP(_xlfn.XLOOKUP(B86,'Base stats'!B:B,'Base stats'!E:E),Groups!A:A,Groups!BG:BG)*_xlfn.XLOOKUP(B86,'Base stats'!B:B,'Base stats'!C:C)^0.165,0.01)</f>
        <v>0.24</v>
      </c>
      <c r="Y86" s="8">
        <f>MROUND(_xlfn.XLOOKUP(_xlfn.XLOOKUP(B86,'Base stats'!B:B,'Base stats'!E:E),Groups!A:A,Groups!BH:BH)*_xlfn.XLOOKUP(B86,'Base stats'!B:B,'Base stats'!C:C)^0.165,0.01)</f>
        <v>0.06</v>
      </c>
      <c r="Z86" s="18">
        <f>_xlfn.XLOOKUP(B86,'Base stats'!B:B,'Base stats'!AN:AN)*_xlfn.XLOOKUP(_xlfn.XLOOKUP(B86,'Base stats'!B:B,'Base stats'!E:E),Groups!A:A,Groups!H:H)/1000</f>
        <v>0.14825478183077007</v>
      </c>
      <c r="AA86" s="18">
        <f>(1/2)*(_xlfn.XLOOKUP(_xlfn.XLOOKUP(B86,'Base stats'!B:B,'Base stats'!E:E),Groups!A:A,Groups!H:H)*_xlfn.XLOOKUP(_xlfn.XLOOKUP(B86,'Base stats'!B:B,'Base stats'!E:E),Groups!A:A,Groups!I:I))*_xlfn.XLOOKUP(B86,'Base stats'!B:B,'Base stats'!AN:AN)*0.01</f>
        <v>0.8154013000692355</v>
      </c>
      <c r="AB86" s="18">
        <f>250*(Animals!AN86+Animals!AO86)</f>
        <v>1100</v>
      </c>
      <c r="AC86" s="18" t="str">
        <f>_xlfn.XLOOKUP(_xlfn.XLOOKUP(B86,'Base stats'!B:B,'Base stats'!E:E),Groups!A:A,Groups!BI:BI)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stats'!BP:BP) * (_xlfn.XLOOKUP(B87,'Base stats'!B:B,'Base stats'!AL:AL)*5%)^0.9 / 21,0.1),0.05)</f>
        <v>3.1</v>
      </c>
      <c r="E87" s="11">
        <f>MAX(0.01,MROUND(_xlfn.XLOOKUP(B87,'Base stats'!B:B,'Base stats'!BD:BD) * 0.01 * 2, 0.01))</f>
        <v>2.59</v>
      </c>
      <c r="F87" s="7">
        <f>MROUND(_xlfn.XLOOKUP(B87,'Base stats'!B:B,'Base stats'!BA:BA)^0.25 / (_xlfn.XLOOKUP(B87,'Base stats'!B:B,'Base stats'!BH:BH) * 10) * 150 + 0.5 + _xlfn.XLOOKUP(B87,'Base stats'!B:B,'Base stats'!BT:BT), 0.05)</f>
        <v>2.1</v>
      </c>
      <c r="G87" s="3" t="str">
        <f>IF(Animals!R87="No","No",
IF(_xlfn.XLOOKUP(B87,'Base stats'!B:B,'Base stats'!U:U)="No",
MAX(MROUND(_xlfn.XLOOKUP(B87,'Base stats'!B:B,'Base stats'!BQ:BQ) * _xlfn.XLOOKUP(B87,'Base stats'!B:B,'Base stats'!BM:BM)^0.9 / 21 * _xlfn.XLOOKUP(B87,'Base stats'!B:B,'Base stats'!BU:BU),0.1),0.05),
MAX(MROUND(((MIN(10,_xlfn.XLOOKUP(B87,'Base stats'!B:B,'Base stats'!U:U)))^0.4*_xlfn.XLOOKUP(B87,'Base stats'!B:B,'Base stats'!BE:BE)^0.73)^0.6 * _xlfn.XLOOKUP(B87,'Base stats'!B:B,'Base stats'!BU:BU),0.1),0.05)
))</f>
        <v>No</v>
      </c>
      <c r="H87" s="11" t="str">
        <f>IF(G87="No","No",
MAX(0.01,MROUND(_xlfn.XLOOKUP(B87,'Base stats'!B:B,'Base stats'!BE:BE) * 0.01 * 2, 0.01))
)</f>
        <v>No</v>
      </c>
      <c r="I87" s="11" t="str">
        <f>IF(G87="No","No",IF(_xlfn.XLOOKUP(B87,'Base stats'!B:B,'Base stats'!U:U)="No","No",
MAX(0.01,MROUND(_xlfn.XLOOKUP(B87,'Base stats'!B:B,'Base stats'!BQ:BQ)/10000,0.01))
))</f>
        <v>No</v>
      </c>
      <c r="J87" s="4" t="str">
        <f>IF(G87="No","No",
MROUND(_xlfn.XLOOKUP(B87,'Base stats'!B:B,'Base stats'!BB:BB)^0.25
/((_xlfn.XLOOKUP(B87,'Base stats'!B:B,'Base stats'!BI:BI))*10)*_xlfn.XLOOKUP(_xlfn.XLOOKUP(B87,'Base stats'!B:B,'Base stats'!E:E),Groups!A:A,Groups!Q:Q)*150 + 0.5 + _xlfn.XLOOKUP(B87,'Base stats'!B:B,'Base stats'!BT:BT),
0.05))</f>
        <v>No</v>
      </c>
      <c r="K87" s="3" t="str">
        <f>IF(Animals!W87="No","No",
IF(_xlfn.XLOOKUP(_xlfn.XLOOKUP(B87,'Base stats'!B:B,'Base stats'!E:E),Groups!A:A,Groups!BC:BC)=1,
MAX(MROUND(_xlfn.XLOOKUP(B87,'Base stats'!B:B,'Base stats'!BR:BR) * _xlfn.XLOOKUP(B87,'Base stats'!B:B,'Base stats'!BN:BN)^0.9 / 21 *_xlfn.XLOOKUP(B87,'Base stats'!B:B,'Base stats'!BU:BU),0.1),0.05),
MAX(MROUND(((MIN(10,_xlfn.XLOOKUP(B87,'Base stats'!B:B,'Base stats'!W:W)))^0.4*_xlfn.XLOOKUP(B87,'Base stats'!B:B,'Base stats'!BF:BF)^0.73)^0.6 *_xlfn.XLOOKUP(B87,'Base stats'!B:B,'Base stats'!BU:BU),0.1),0.05)
))</f>
        <v>No</v>
      </c>
      <c r="L87" s="11" t="str">
        <f>IF(K87="No","No",
MAX(0.01,MROUND(_xlfn.XLOOKUP(B87,'Base stats'!B:B,'Base stats'!BF:BF) * 0.01 *2, 0.01))
)</f>
        <v>No</v>
      </c>
      <c r="M87" s="5" t="str">
        <f>IF(K87="No","No",IF(_xlfn.XLOOKUP(_xlfn.XLOOKUP(B87,'Base stats'!B:B,'Base stats'!E:E),Groups!A:A,Groups!BC:BC)=1,"No",
MAX(0.01,MROUND(_xlfn.XLOOKUP(B87,'Base stats'!B:B,'Base stats'!BR:BR)/10000,0.01))
))</f>
        <v>No</v>
      </c>
      <c r="N87" s="4" t="str">
        <f>IF(K87="No","No",
MROUND(
  _xlfn.XLOOKUP(B87,'Base stats'!B:B,'Base stats'!AZ:AZ)^0.25
  / (_xlfn.XLOOKUP(B87,'Base stats'!B:B,'Base stats'!BJ:BJ)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stats'!BT:BT),
0.05))</f>
        <v>No</v>
      </c>
      <c r="O87" s="3">
        <f>IF(Animals!AC87="No","No",
MAX(MROUND((MIN(10,_xlfn.XLOOKUP(B87,'Base stats'!B:B,'Base stats'!V:V)*IF(_xlfn.XLOOKUP(_xlfn.XLOOKUP(B87,'Base stats'!B:B,'Base stats'!E:E),Groups!A:A,Groups!O:O)=0,1,0.33))^0.4*_xlfn.XLOOKUP(B87,'Base stats'!B:B,'Base stats'!BG:BG)^0.73)^0.6 *_xlfn.XLOOKUP(B87,'Base stats'!B:B,'Base stats'!BU:BU),0.1),0.05)
)</f>
        <v>12.8</v>
      </c>
      <c r="P87" s="11">
        <f>IF(O87="No","No",
MAX(0.01,MROUND(_xlfn.XLOOKUP(B87,'Base stats'!B:B,'Base stats'!BG:BG) * 0.01 * 2, 0.01))
)</f>
        <v>3.0700000000000003</v>
      </c>
      <c r="Q87" s="5">
        <f>IF(O87="No","No",
MAX(0.01,MROUND(_xlfn.XLOOKUP(B87,'Base stats'!B:B,'Base stats'!BS:BS)/10000,0.01))
)</f>
        <v>0.16</v>
      </c>
      <c r="R87" s="4">
        <f>IF(O87="No","No",
MROUND(_xlfn.XLOOKUP(B87,'Base stats'!B:B,'Base stats'!AY:AY)^0.25
/((_xlfn.XLOOKUP(B87,'Base stats'!B:B,'Base stats'!BK:BK))*10)*_xlfn.XLOOKUP(_xlfn.XLOOKUP(B87,'Base stats'!B:B,'Base stats'!E:E),Groups!A:A,Groups!Z:Z)*150 + 0.5 + _xlfn.XLOOKUP(B87,'Base stats'!B:B,'Base stats'!BT:BT),
0.05))</f>
        <v>2.15</v>
      </c>
      <c r="S87" s="3" t="str">
        <f>IF(Animals!AH87="No","No",
IF(_xlfn.XLOOKUP(B87,'Base stats'!B:B,'Base stats'!U:U)="No",
MAX(MROUND(_xlfn.XLOOKUP(B87,'Base stats'!B:B,'Base stats'!BQ:BQ) * _xlfn.XLOOKUP(B87,'Base stats'!B:B,'Base stats'!BM:BM)^0.9 / 21 * _xlfn.XLOOKUP(B87,'Base stats'!B:B,'Base stats'!BU:BU),0.1),0.05),
MAX(MROUND(((MIN(12,_xlfn.XLOOKUP(B87,'Base stats'!B:B,'Base stats'!U:U)))^0.4*_xlfn.XLOOKUP(B87,'Base stats'!B:B,'Base stats'!BE:BE)^0.73)^0.6 * _xlfn.XLOOKUP(B87,'Base stats'!B:B,'Base stats'!BU:BU),0.1),0.05)
))</f>
        <v>No</v>
      </c>
      <c r="T87" s="11" t="str">
        <f>IF(S87="No","No",
MAX(0.01,MROUND(_xlfn.XLOOKUP(B87,'Base stats'!B:B,'Base stats'!BE:BE) * 0.01 * 2, 0.01))
)</f>
        <v>No</v>
      </c>
      <c r="U87" s="5" t="str">
        <f>IF(S87="No","No",IF(_xlfn.XLOOKUP(B87,'Base stats'!B:B,'Base stats'!U:U)="No","No",
MAX(0.01,MROUND(_xlfn.XLOOKUP(B87,'Base stats'!B:B,'Base stats'!BQ:BQ)/10000,0.01))
))</f>
        <v>No</v>
      </c>
      <c r="V87" s="4" t="str">
        <f>IF(S87="No","No",
MROUND(_xlfn.XLOOKUP(B87,'Base stats'!B:B,'Base stats'!BC:BC)^0.25
/((_xlfn.XLOOKUP(B87,'Base stats'!B:B,'Base stats'!BL:BL))*10)*_xlfn.XLOOKUP(_xlfn.XLOOKUP(B87,'Base stats'!B:B,'Base stats'!E:E),Groups!A:A,Groups!AE:AE)*150 + 0.5 + _xlfn.XLOOKUP(B87,'Base stats'!B:B,'Base stats'!BT:BT),
0.05))</f>
        <v>No</v>
      </c>
      <c r="W87" s="8">
        <f>MROUND(_xlfn.XLOOKUP(_xlfn.XLOOKUP(B87,'Base stats'!B:B,'Base stats'!E:E),Groups!A:A,Groups!BF:BF)*_xlfn.XLOOKUP(B87,'Base stats'!B:B,'Base stats'!C:C)^-0.165,0.01)</f>
        <v>0.33</v>
      </c>
      <c r="X87" s="1">
        <f>MROUND(_xlfn.XLOOKUP(_xlfn.XLOOKUP(B87,'Base stats'!B:B,'Base stats'!E:E),Groups!A:A,Groups!BG:BG)*_xlfn.XLOOKUP(B87,'Base stats'!B:B,'Base stats'!C:C)^0.165,0.01)</f>
        <v>0.21</v>
      </c>
      <c r="Y87" s="8">
        <f>MROUND(_xlfn.XLOOKUP(_xlfn.XLOOKUP(B87,'Base stats'!B:B,'Base stats'!E:E),Groups!A:A,Groups!BH:BH)*_xlfn.XLOOKUP(B87,'Base stats'!B:B,'Base stats'!C:C)^0.165,0.01)</f>
        <v>0.05</v>
      </c>
      <c r="Z87" s="18">
        <f>_xlfn.XLOOKUP(B87,'Base stats'!B:B,'Base stats'!AN:AN)*_xlfn.XLOOKUP(_xlfn.XLOOKUP(B87,'Base stats'!B:B,'Base stats'!E:E),Groups!A:A,Groups!H:H)/1000</f>
        <v>0.11162072235160321</v>
      </c>
      <c r="AA87" s="18">
        <f>(1/2)*(_xlfn.XLOOKUP(_xlfn.XLOOKUP(B87,'Base stats'!B:B,'Base stats'!E:E),Groups!A:A,Groups!H:H)*_xlfn.XLOOKUP(_xlfn.XLOOKUP(B87,'Base stats'!B:B,'Base stats'!E:E),Groups!A:A,Groups!I:I))*_xlfn.XLOOKUP(B87,'Base stats'!B:B,'Base stats'!AN:AN)*0.01</f>
        <v>0.61391397293381778</v>
      </c>
      <c r="AB87" s="18">
        <f>250*(Animals!AN87+Animals!AO87)</f>
        <v>687.5</v>
      </c>
      <c r="AC87" s="18" t="str">
        <f>_xlfn.XLOOKUP(_xlfn.XLOOKUP(B87,'Base stats'!B:B,'Base stats'!E:E),Groups!A:A,Groups!BI:BI)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stats'!BP:BP) * (_xlfn.XLOOKUP(B88,'Base stats'!B:B,'Base stats'!AL:AL)*5%)^0.9 / 21,0.1),0.05)</f>
        <v>18.100000000000001</v>
      </c>
      <c r="E88" s="11">
        <f>MAX(0.01,MROUND(_xlfn.XLOOKUP(B88,'Base stats'!B:B,'Base stats'!BD:BD) * 0.01 * 2, 0.01))</f>
        <v>17.600000000000001</v>
      </c>
      <c r="F88" s="7">
        <f>MROUND(_xlfn.XLOOKUP(B88,'Base stats'!B:B,'Base stats'!BA:BA)^0.25 / (_xlfn.XLOOKUP(B88,'Base stats'!B:B,'Base stats'!BH:BH) * 10) * 150 + 0.5 + _xlfn.XLOOKUP(B88,'Base stats'!B:B,'Base stats'!BT:BT), 0.05)</f>
        <v>2.5500000000000003</v>
      </c>
      <c r="G88" s="3" t="str">
        <f>IF(Animals!R88="No","No",
IF(_xlfn.XLOOKUP(B88,'Base stats'!B:B,'Base stats'!U:U)="No",
MAX(MROUND(_xlfn.XLOOKUP(B88,'Base stats'!B:B,'Base stats'!BQ:BQ) * _xlfn.XLOOKUP(B88,'Base stats'!B:B,'Base stats'!BM:BM)^0.9 / 21 * _xlfn.XLOOKUP(B88,'Base stats'!B:B,'Base stats'!BU:BU),0.1),0.05),
MAX(MROUND(((MIN(10,_xlfn.XLOOKUP(B88,'Base stats'!B:B,'Base stats'!U:U)))^0.4*_xlfn.XLOOKUP(B88,'Base stats'!B:B,'Base stats'!BE:BE)^0.73)^0.6 * _xlfn.XLOOKUP(B88,'Base stats'!B:B,'Base stats'!BU:BU),0.1),0.05)
))</f>
        <v>No</v>
      </c>
      <c r="H88" s="11" t="str">
        <f>IF(G88="No","No",
MAX(0.01,MROUND(_xlfn.XLOOKUP(B88,'Base stats'!B:B,'Base stats'!BE:BE) * 0.01 * 2, 0.01))
)</f>
        <v>No</v>
      </c>
      <c r="I88" s="11" t="str">
        <f>IF(G88="No","No",IF(_xlfn.XLOOKUP(B88,'Base stats'!B:B,'Base stats'!U:U)="No","No",
MAX(0.01,MROUND(_xlfn.XLOOKUP(B88,'Base stats'!B:B,'Base stats'!BQ:BQ)/10000,0.01))
))</f>
        <v>No</v>
      </c>
      <c r="J88" s="4" t="str">
        <f>IF(G88="No","No",
MROUND(_xlfn.XLOOKUP(B88,'Base stats'!B:B,'Base stats'!BB:BB)^0.25
/((_xlfn.XLOOKUP(B88,'Base stats'!B:B,'Base stats'!BI:BI))*10)*_xlfn.XLOOKUP(_xlfn.XLOOKUP(B88,'Base stats'!B:B,'Base stats'!E:E),Groups!A:A,Groups!Q:Q)*150 + 0.5 + _xlfn.XLOOKUP(B88,'Base stats'!B:B,'Base stats'!BT:BT),
0.05))</f>
        <v>No</v>
      </c>
      <c r="K88" s="3">
        <f>IF(Animals!W88="No","No",
IF(_xlfn.XLOOKUP(_xlfn.XLOOKUP(B88,'Base stats'!B:B,'Base stats'!E:E),Groups!A:A,Groups!BC:BC)=1,
MAX(MROUND(_xlfn.XLOOKUP(B88,'Base stats'!B:B,'Base stats'!BR:BR) * _xlfn.XLOOKUP(B88,'Base stats'!B:B,'Base stats'!BN:BN)^0.9 / 21 *_xlfn.XLOOKUP(B88,'Base stats'!B:B,'Base stats'!BU:BU),0.1),0.05),
MAX(MROUND(((MIN(10,_xlfn.XLOOKUP(B88,'Base stats'!B:B,'Base stats'!W:W)))^0.4*_xlfn.XLOOKUP(B88,'Base stats'!B:B,'Base stats'!BF:BF)^0.73)^0.6 *_xlfn.XLOOKUP(B88,'Base stats'!B:B,'Base stats'!BU:BU),0.1),0.05)
))</f>
        <v>38.5</v>
      </c>
      <c r="L88" s="11">
        <f>IF(K88="No","No",
MAX(0.01,MROUND(_xlfn.XLOOKUP(B88,'Base stats'!B:B,'Base stats'!BF:BF) * 0.01 *2, 0.01))
)</f>
        <v>23.63</v>
      </c>
      <c r="M88" s="5">
        <f>IF(K88="No","No",IF(_xlfn.XLOOKUP(_xlfn.XLOOKUP(B88,'Base stats'!B:B,'Base stats'!E:E),Groups!A:A,Groups!BC:BC)=1,"No",
MAX(0.01,MROUND(_xlfn.XLOOKUP(B88,'Base stats'!B:B,'Base stats'!BR:BR)/10000,0.01))
))</f>
        <v>1.19</v>
      </c>
      <c r="N88" s="4">
        <f>IF(K88="No","No",
MROUND(
  _xlfn.XLOOKUP(B88,'Base stats'!B:B,'Base stats'!AZ:AZ)^0.25
  / (_xlfn.XLOOKUP(B88,'Base stats'!B:B,'Base stats'!BJ:BJ)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stats'!BT:BT),
0.05))</f>
        <v>3.1</v>
      </c>
      <c r="O88" s="3" t="str">
        <f>IF(Animals!AC88="No","No",
MAX(MROUND((MIN(10,_xlfn.XLOOKUP(B88,'Base stats'!B:B,'Base stats'!V:V)*IF(_xlfn.XLOOKUP(_xlfn.XLOOKUP(B88,'Base stats'!B:B,'Base stats'!E:E),Groups!A:A,Groups!O:O)=0,1,0.33))^0.4*_xlfn.XLOOKUP(B88,'Base stats'!B:B,'Base stats'!BG:BG)^0.73)^0.6 *_xlfn.XLOOKUP(B88,'Base stats'!B:B,'Base stats'!BU:BU),0.1),0.05)
)</f>
        <v>No</v>
      </c>
      <c r="P88" s="11" t="str">
        <f>IF(O88="No","No",
MAX(0.01,MROUND(_xlfn.XLOOKUP(B88,'Base stats'!B:B,'Base stats'!BG:BG) * 0.01 * 2, 0.01))
)</f>
        <v>No</v>
      </c>
      <c r="Q88" s="5" t="str">
        <f>IF(O88="No","No",
MAX(0.01,MROUND(_xlfn.XLOOKUP(B88,'Base stats'!B:B,'Base stats'!BS:BS)/10000,0.01))
)</f>
        <v>No</v>
      </c>
      <c r="R88" s="4" t="str">
        <f>IF(O88="No","No",
MROUND(_xlfn.XLOOKUP(B88,'Base stats'!B:B,'Base stats'!AY:AY)^0.25
/((_xlfn.XLOOKUP(B88,'Base stats'!B:B,'Base stats'!BK:BK))*10)*_xlfn.XLOOKUP(_xlfn.XLOOKUP(B88,'Base stats'!B:B,'Base stats'!E:E),Groups!A:A,Groups!Z:Z)*150 + 0.5 + _xlfn.XLOOKUP(B88,'Base stats'!B:B,'Base stats'!BT:BT),
0.05))</f>
        <v>No</v>
      </c>
      <c r="S88" s="3" t="str">
        <f>IF(Animals!AH88="No","No",
IF(_xlfn.XLOOKUP(B88,'Base stats'!B:B,'Base stats'!U:U)="No",
MAX(MROUND(_xlfn.XLOOKUP(B88,'Base stats'!B:B,'Base stats'!BQ:BQ) * _xlfn.XLOOKUP(B88,'Base stats'!B:B,'Base stats'!BM:BM)^0.9 / 21 * _xlfn.XLOOKUP(B88,'Base stats'!B:B,'Base stats'!BU:BU),0.1),0.05),
MAX(MROUND(((MIN(12,_xlfn.XLOOKUP(B88,'Base stats'!B:B,'Base stats'!U:U)))^0.4*_xlfn.XLOOKUP(B88,'Base stats'!B:B,'Base stats'!BE:BE)^0.73)^0.6 * _xlfn.XLOOKUP(B88,'Base stats'!B:B,'Base stats'!BU:BU),0.1),0.05)
))</f>
        <v>No</v>
      </c>
      <c r="T88" s="11" t="str">
        <f>IF(S88="No","No",
MAX(0.01,MROUND(_xlfn.XLOOKUP(B88,'Base stats'!B:B,'Base stats'!BE:BE) * 0.01 * 2, 0.01))
)</f>
        <v>No</v>
      </c>
      <c r="U88" s="5" t="str">
        <f>IF(S88="No","No",IF(_xlfn.XLOOKUP(B88,'Base stats'!B:B,'Base stats'!U:U)="No","No",
MAX(0.01,MROUND(_xlfn.XLOOKUP(B88,'Base stats'!B:B,'Base stats'!BQ:BQ)/10000,0.01))
))</f>
        <v>No</v>
      </c>
      <c r="V88" s="4" t="str">
        <f>IF(S88="No","No",
MROUND(_xlfn.XLOOKUP(B88,'Base stats'!B:B,'Base stats'!BC:BC)^0.25
/((_xlfn.XLOOKUP(B88,'Base stats'!B:B,'Base stats'!BL:BL))*10)*_xlfn.XLOOKUP(_xlfn.XLOOKUP(B88,'Base stats'!B:B,'Base stats'!E:E),Groups!A:A,Groups!AE:AE)*150 + 0.5 + _xlfn.XLOOKUP(B88,'Base stats'!B:B,'Base stats'!BT:BT),
0.05))</f>
        <v>No</v>
      </c>
      <c r="W88" s="8">
        <f>MROUND(_xlfn.XLOOKUP(_xlfn.XLOOKUP(B88,'Base stats'!B:B,'Base stats'!E:E),Groups!A:A,Groups!BF:BF)*_xlfn.XLOOKUP(B88,'Base stats'!B:B,'Base stats'!C:C)^-0.165,0.01)</f>
        <v>0.23</v>
      </c>
      <c r="X88" s="1">
        <f>MROUND(_xlfn.XLOOKUP(_xlfn.XLOOKUP(B88,'Base stats'!B:B,'Base stats'!E:E),Groups!A:A,Groups!BG:BG)*_xlfn.XLOOKUP(B88,'Base stats'!B:B,'Base stats'!C:C)^0.165,0.01)</f>
        <v>0.3</v>
      </c>
      <c r="Y88" s="8">
        <f>MROUND(_xlfn.XLOOKUP(_xlfn.XLOOKUP(B88,'Base stats'!B:B,'Base stats'!E:E),Groups!A:A,Groups!BH:BH)*_xlfn.XLOOKUP(B88,'Base stats'!B:B,'Base stats'!C:C)^0.165,0.01)</f>
        <v>0.08</v>
      </c>
      <c r="Z88" s="18">
        <f>_xlfn.XLOOKUP(B88,'Base stats'!B:B,'Base stats'!AN:AN)*_xlfn.XLOOKUP(_xlfn.XLOOKUP(B88,'Base stats'!B:B,'Base stats'!E:E),Groups!A:A,Groups!H:H)/1000</f>
        <v>0.23361660628717207</v>
      </c>
      <c r="AA88" s="18">
        <f>(1/2)*(_xlfn.XLOOKUP(_xlfn.XLOOKUP(B88,'Base stats'!B:B,'Base stats'!E:E),Groups!A:A,Groups!H:H)*_xlfn.XLOOKUP(_xlfn.XLOOKUP(B88,'Base stats'!B:B,'Base stats'!E:E),Groups!A:A,Groups!I:I))*_xlfn.XLOOKUP(B88,'Base stats'!B:B,'Base stats'!AN:AN)*0.01</f>
        <v>1.2848913345794466</v>
      </c>
      <c r="AB88" s="18">
        <f>250*(Animals!AN88+Animals!AO88)</f>
        <v>1787.5</v>
      </c>
      <c r="AC88" s="18" t="str">
        <f>_xlfn.XLOOKUP(_xlfn.XLOOKUP(B88,'Base stats'!B:B,'Base stats'!E:E),Groups!A:A,Groups!BI:BI)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stats'!BP:BP) * (_xlfn.XLOOKUP(B89,'Base stats'!B:B,'Base stats'!AL:AL)*5%)^0.9 / 21,0.1),0.05)</f>
        <v>4.3</v>
      </c>
      <c r="E89" s="11">
        <f>MAX(0.01,MROUND(_xlfn.XLOOKUP(B89,'Base stats'!B:B,'Base stats'!BD:BD) * 0.01 * 2, 0.01))</f>
        <v>3.74</v>
      </c>
      <c r="F89" s="7">
        <f>MROUND(_xlfn.XLOOKUP(B89,'Base stats'!B:B,'Base stats'!BA:BA)^0.25 / (_xlfn.XLOOKUP(B89,'Base stats'!B:B,'Base stats'!BH:BH) * 10) * 150 + 0.5 + _xlfn.XLOOKUP(B89,'Base stats'!B:B,'Base stats'!BT:BT), 0.05)</f>
        <v>1.75</v>
      </c>
      <c r="G89" s="3" t="str">
        <f>IF(Animals!R89="No","No",
IF(_xlfn.XLOOKUP(B89,'Base stats'!B:B,'Base stats'!U:U)="No",
MAX(MROUND(_xlfn.XLOOKUP(B89,'Base stats'!B:B,'Base stats'!BQ:BQ) * _xlfn.XLOOKUP(B89,'Base stats'!B:B,'Base stats'!BM:BM)^0.9 / 21 * _xlfn.XLOOKUP(B89,'Base stats'!B:B,'Base stats'!BU:BU),0.1),0.05),
MAX(MROUND(((MIN(10,_xlfn.XLOOKUP(B89,'Base stats'!B:B,'Base stats'!U:U)))^0.4*_xlfn.XLOOKUP(B89,'Base stats'!B:B,'Base stats'!BE:BE)^0.73)^0.6 * _xlfn.XLOOKUP(B89,'Base stats'!B:B,'Base stats'!BU:BU),0.1),0.05)
))</f>
        <v>No</v>
      </c>
      <c r="H89" s="11" t="str">
        <f>IF(G89="No","No",
MAX(0.01,MROUND(_xlfn.XLOOKUP(B89,'Base stats'!B:B,'Base stats'!BE:BE) * 0.01 * 2, 0.01))
)</f>
        <v>No</v>
      </c>
      <c r="I89" s="11" t="str">
        <f>IF(G89="No","No",IF(_xlfn.XLOOKUP(B89,'Base stats'!B:B,'Base stats'!U:U)="No","No",
MAX(0.01,MROUND(_xlfn.XLOOKUP(B89,'Base stats'!B:B,'Base stats'!BQ:BQ)/10000,0.01))
))</f>
        <v>No</v>
      </c>
      <c r="J89" s="4" t="str">
        <f>IF(G89="No","No",
MROUND(_xlfn.XLOOKUP(B89,'Base stats'!B:B,'Base stats'!BB:BB)^0.25
/((_xlfn.XLOOKUP(B89,'Base stats'!B:B,'Base stats'!BI:BI))*10)*_xlfn.XLOOKUP(_xlfn.XLOOKUP(B89,'Base stats'!B:B,'Base stats'!E:E),Groups!A:A,Groups!Q:Q)*150 + 0.5 + _xlfn.XLOOKUP(B89,'Base stats'!B:B,'Base stats'!BT:BT),
0.05))</f>
        <v>No</v>
      </c>
      <c r="K89" s="3" t="str">
        <f>IF(Animals!W89="No","No",
IF(_xlfn.XLOOKUP(_xlfn.XLOOKUP(B89,'Base stats'!B:B,'Base stats'!E:E),Groups!A:A,Groups!BC:BC)=1,
MAX(MROUND(_xlfn.XLOOKUP(B89,'Base stats'!B:B,'Base stats'!BR:BR) * _xlfn.XLOOKUP(B89,'Base stats'!B:B,'Base stats'!BN:BN)^0.9 / 21 *_xlfn.XLOOKUP(B89,'Base stats'!B:B,'Base stats'!BU:BU),0.1),0.05),
MAX(MROUND(((MIN(10,_xlfn.XLOOKUP(B89,'Base stats'!B:B,'Base stats'!W:W)))^0.4*_xlfn.XLOOKUP(B89,'Base stats'!B:B,'Base stats'!BF:BF)^0.73)^0.6 *_xlfn.XLOOKUP(B89,'Base stats'!B:B,'Base stats'!BU:BU),0.1),0.05)
))</f>
        <v>No</v>
      </c>
      <c r="L89" s="11" t="str">
        <f>IF(K89="No","No",
MAX(0.01,MROUND(_xlfn.XLOOKUP(B89,'Base stats'!B:B,'Base stats'!BF:BF) * 0.01 *2, 0.01))
)</f>
        <v>No</v>
      </c>
      <c r="M89" s="5" t="str">
        <f>IF(K89="No","No",IF(_xlfn.XLOOKUP(_xlfn.XLOOKUP(B89,'Base stats'!B:B,'Base stats'!E:E),Groups!A:A,Groups!BC:BC)=1,"No",
MAX(0.01,MROUND(_xlfn.XLOOKUP(B89,'Base stats'!B:B,'Base stats'!BR:BR)/10000,0.01))
))</f>
        <v>No</v>
      </c>
      <c r="N89" s="4" t="str">
        <f>IF(K89="No","No",
MROUND(
  _xlfn.XLOOKUP(B89,'Base stats'!B:B,'Base stats'!AZ:AZ)^0.25
  / (_xlfn.XLOOKUP(B89,'Base stats'!B:B,'Base stats'!BJ:BJ)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stats'!BT:BT),
0.05))</f>
        <v>No</v>
      </c>
      <c r="O89" s="3">
        <f>IF(Animals!AC89="No","No",
MAX(MROUND((MIN(10,_xlfn.XLOOKUP(B89,'Base stats'!B:B,'Base stats'!V:V)*IF(_xlfn.XLOOKUP(_xlfn.XLOOKUP(B89,'Base stats'!B:B,'Base stats'!E:E),Groups!A:A,Groups!O:O)=0,1,0.33))^0.4*_xlfn.XLOOKUP(B89,'Base stats'!B:B,'Base stats'!BG:BG)^0.73)^0.6 *_xlfn.XLOOKUP(B89,'Base stats'!B:B,'Base stats'!BU:BU),0.1),0.05)
)</f>
        <v>11.5</v>
      </c>
      <c r="P89" s="11">
        <f>IF(O89="No","No",
MAX(0.01,MROUND(_xlfn.XLOOKUP(B89,'Base stats'!B:B,'Base stats'!BG:BG) * 0.01 * 2, 0.01))
)</f>
        <v>2.79</v>
      </c>
      <c r="Q89" s="5">
        <f>IF(O89="No","No",
MAX(0.01,MROUND(_xlfn.XLOOKUP(B89,'Base stats'!B:B,'Base stats'!BS:BS)/10000,0.01))
)</f>
        <v>0.12</v>
      </c>
      <c r="R89" s="4">
        <f>IF(O89="No","No",
MROUND(_xlfn.XLOOKUP(B89,'Base stats'!B:B,'Base stats'!AY:AY)^0.25
/((_xlfn.XLOOKUP(B89,'Base stats'!B:B,'Base stats'!BK:BK))*10)*_xlfn.XLOOKUP(_xlfn.XLOOKUP(B89,'Base stats'!B:B,'Base stats'!E:E),Groups!A:A,Groups!Z:Z)*150 + 0.5 + _xlfn.XLOOKUP(B89,'Base stats'!B:B,'Base stats'!BT:BT),
0.05))</f>
        <v>2.1</v>
      </c>
      <c r="S89" s="3">
        <f>IF(Animals!AH89="No","No",
IF(_xlfn.XLOOKUP(B89,'Base stats'!B:B,'Base stats'!U:U)="No",
MAX(MROUND(_xlfn.XLOOKUP(B89,'Base stats'!B:B,'Base stats'!BQ:BQ) * _xlfn.XLOOKUP(B89,'Base stats'!B:B,'Base stats'!BM:BM)^0.9 / 21 * _xlfn.XLOOKUP(B89,'Base stats'!B:B,'Base stats'!BU:BU),0.1),0.05),
MAX(MROUND(((MIN(12,_xlfn.XLOOKUP(B89,'Base stats'!B:B,'Base stats'!U:U)))^0.4*_xlfn.XLOOKUP(B89,'Base stats'!B:B,'Base stats'!BE:BE)^0.73)^0.6 * _xlfn.XLOOKUP(B89,'Base stats'!B:B,'Base stats'!BU:BU),0.1),0.05)
))</f>
        <v>9.2000000000000011</v>
      </c>
      <c r="T89" s="11">
        <f>IF(S89="No","No",
MAX(0.01,MROUND(_xlfn.XLOOKUP(B89,'Base stats'!B:B,'Base stats'!BE:BE) * 0.01 * 2, 0.01))
)</f>
        <v>4.6000000000000005</v>
      </c>
      <c r="U89" s="5" t="str">
        <f>IF(S89="No","No",IF(_xlfn.XLOOKUP(B89,'Base stats'!B:B,'Base stats'!U:U)="No","No",
MAX(0.01,MROUND(_xlfn.XLOOKUP(B89,'Base stats'!B:B,'Base stats'!BQ:BQ)/10000,0.01))
))</f>
        <v>No</v>
      </c>
      <c r="V89" s="4">
        <f>IF(S89="No","No",
MROUND(_xlfn.XLOOKUP(B89,'Base stats'!B:B,'Base stats'!BC:BC)^0.25
/((_xlfn.XLOOKUP(B89,'Base stats'!B:B,'Base stats'!BL:BL))*10)*_xlfn.XLOOKUP(_xlfn.XLOOKUP(B89,'Base stats'!B:B,'Base stats'!E:E),Groups!A:A,Groups!AE:AE)*150 + 0.5 + _xlfn.XLOOKUP(B89,'Base stats'!B:B,'Base stats'!BT:BT),
0.05))</f>
        <v>1.4500000000000002</v>
      </c>
      <c r="W89" s="8">
        <f>MROUND(_xlfn.XLOOKUP(_xlfn.XLOOKUP(B89,'Base stats'!B:B,'Base stats'!E:E),Groups!A:A,Groups!BF:BF)*_xlfn.XLOOKUP(B89,'Base stats'!B:B,'Base stats'!C:C)^-0.165,0.01)</f>
        <v>0.44</v>
      </c>
      <c r="X89" s="1">
        <f>MROUND(_xlfn.XLOOKUP(_xlfn.XLOOKUP(B89,'Base stats'!B:B,'Base stats'!E:E),Groups!A:A,Groups!BG:BG)*_xlfn.XLOOKUP(B89,'Base stats'!B:B,'Base stats'!C:C)^0.165,0.01)</f>
        <v>0.23</v>
      </c>
      <c r="Y89" s="8">
        <f>MROUND(_xlfn.XLOOKUP(_xlfn.XLOOKUP(B89,'Base stats'!B:B,'Base stats'!E:E),Groups!A:A,Groups!BH:BH)*_xlfn.XLOOKUP(B89,'Base stats'!B:B,'Base stats'!C:C)^0.165,0.01)</f>
        <v>0.11</v>
      </c>
      <c r="Z89" s="18">
        <f>_xlfn.XLOOKUP(B89,'Base stats'!B:B,'Base stats'!AN:AN)*_xlfn.XLOOKUP(_xlfn.XLOOKUP(B89,'Base stats'!B:B,'Base stats'!E:E),Groups!A:A,Groups!H:H)/1000</f>
        <v>5.3106284927497957E-2</v>
      </c>
      <c r="AA89" s="18">
        <f>(1/2)*(_xlfn.XLOOKUP(_xlfn.XLOOKUP(B89,'Base stats'!B:B,'Base stats'!E:E),Groups!A:A,Groups!H:H)*_xlfn.XLOOKUP(_xlfn.XLOOKUP(B89,'Base stats'!B:B,'Base stats'!E:E),Groups!A:A,Groups!I:I))*_xlfn.XLOOKUP(B89,'Base stats'!B:B,'Base stats'!AN:AN)*0.01</f>
        <v>0.29208456710123881</v>
      </c>
      <c r="AB89" s="18">
        <f>250*(Animals!AN89+Animals!AO89)</f>
        <v>750</v>
      </c>
      <c r="AC89" s="18" t="str">
        <f>_xlfn.XLOOKUP(_xlfn.XLOOKUP(B89,'Base stats'!B:B,'Base stats'!E:E),Groups!A:A,Groups!BI:BI)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stats'!BP:BP) * (_xlfn.XLOOKUP(B90,'Base stats'!B:B,'Base stats'!AL:AL)*5%)^0.9 / 21,0.1),0.05)</f>
        <v>2.5</v>
      </c>
      <c r="E90" s="11">
        <f>MAX(0.01,MROUND(_xlfn.XLOOKUP(B90,'Base stats'!B:B,'Base stats'!BD:BD) * 0.01 * 2, 0.01))</f>
        <v>2.06</v>
      </c>
      <c r="F90" s="7">
        <f>MROUND(_xlfn.XLOOKUP(B90,'Base stats'!B:B,'Base stats'!BA:BA)^0.25 / (_xlfn.XLOOKUP(B90,'Base stats'!B:B,'Base stats'!BH:BH) * 10) * 150 + 0.5 + _xlfn.XLOOKUP(B90,'Base stats'!B:B,'Base stats'!BT:BT), 0.05)</f>
        <v>2</v>
      </c>
      <c r="G90" s="3" t="str">
        <f>IF(Animals!R90="No","No",
IF(_xlfn.XLOOKUP(B90,'Base stats'!B:B,'Base stats'!U:U)="No",
MAX(MROUND(_xlfn.XLOOKUP(B90,'Base stats'!B:B,'Base stats'!BQ:BQ) * _xlfn.XLOOKUP(B90,'Base stats'!B:B,'Base stats'!BM:BM)^0.9 / 21 * _xlfn.XLOOKUP(B90,'Base stats'!B:B,'Base stats'!BU:BU),0.1),0.05),
MAX(MROUND(((MIN(10,_xlfn.XLOOKUP(B90,'Base stats'!B:B,'Base stats'!U:U)))^0.4*_xlfn.XLOOKUP(B90,'Base stats'!B:B,'Base stats'!BE:BE)^0.73)^0.6 * _xlfn.XLOOKUP(B90,'Base stats'!B:B,'Base stats'!BU:BU),0.1),0.05)
))</f>
        <v>No</v>
      </c>
      <c r="H90" s="11" t="str">
        <f>IF(G90="No","No",
MAX(0.01,MROUND(_xlfn.XLOOKUP(B90,'Base stats'!B:B,'Base stats'!BE:BE) * 0.01 * 2, 0.01))
)</f>
        <v>No</v>
      </c>
      <c r="I90" s="11" t="str">
        <f>IF(G90="No","No",IF(_xlfn.XLOOKUP(B90,'Base stats'!B:B,'Base stats'!U:U)="No","No",
MAX(0.01,MROUND(_xlfn.XLOOKUP(B90,'Base stats'!B:B,'Base stats'!BQ:BQ)/10000,0.01))
))</f>
        <v>No</v>
      </c>
      <c r="J90" s="4" t="str">
        <f>IF(G90="No","No",
MROUND(_xlfn.XLOOKUP(B90,'Base stats'!B:B,'Base stats'!BB:BB)^0.25
/((_xlfn.XLOOKUP(B90,'Base stats'!B:B,'Base stats'!BI:BI))*10)*_xlfn.XLOOKUP(_xlfn.XLOOKUP(B90,'Base stats'!B:B,'Base stats'!E:E),Groups!A:A,Groups!Q:Q)*150 + 0.5 + _xlfn.XLOOKUP(B90,'Base stats'!B:B,'Base stats'!BT:BT),
0.05))</f>
        <v>No</v>
      </c>
      <c r="K90" s="3" t="str">
        <f>IF(Animals!W90="No","No",
IF(_xlfn.XLOOKUP(_xlfn.XLOOKUP(B90,'Base stats'!B:B,'Base stats'!E:E),Groups!A:A,Groups!BC:BC)=1,
MAX(MROUND(_xlfn.XLOOKUP(B90,'Base stats'!B:B,'Base stats'!BR:BR) * _xlfn.XLOOKUP(B90,'Base stats'!B:B,'Base stats'!BN:BN)^0.9 / 21 *_xlfn.XLOOKUP(B90,'Base stats'!B:B,'Base stats'!BU:BU),0.1),0.05),
MAX(MROUND(((MIN(10,_xlfn.XLOOKUP(B90,'Base stats'!B:B,'Base stats'!W:W)))^0.4*_xlfn.XLOOKUP(B90,'Base stats'!B:B,'Base stats'!BF:BF)^0.73)^0.6 *_xlfn.XLOOKUP(B90,'Base stats'!B:B,'Base stats'!BU:BU),0.1),0.05)
))</f>
        <v>No</v>
      </c>
      <c r="L90" s="11" t="str">
        <f>IF(K90="No","No",
MAX(0.01,MROUND(_xlfn.XLOOKUP(B90,'Base stats'!B:B,'Base stats'!BF:BF) * 0.01 *2, 0.01))
)</f>
        <v>No</v>
      </c>
      <c r="M90" s="5" t="str">
        <f>IF(K90="No","No",IF(_xlfn.XLOOKUP(_xlfn.XLOOKUP(B90,'Base stats'!B:B,'Base stats'!E:E),Groups!A:A,Groups!BC:BC)=1,"No",
MAX(0.01,MROUND(_xlfn.XLOOKUP(B90,'Base stats'!B:B,'Base stats'!BR:BR)/10000,0.01))
))</f>
        <v>No</v>
      </c>
      <c r="N90" s="4" t="str">
        <f>IF(K90="No","No",
MROUND(
  _xlfn.XLOOKUP(B90,'Base stats'!B:B,'Base stats'!AZ:AZ)^0.25
  / (_xlfn.XLOOKUP(B90,'Base stats'!B:B,'Base stats'!BJ:BJ)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stats'!BT:BT),
0.05))</f>
        <v>No</v>
      </c>
      <c r="O90" s="3">
        <f>IF(Animals!AC90="No","No",
MAX(MROUND((MIN(10,_xlfn.XLOOKUP(B90,'Base stats'!B:B,'Base stats'!V:V)*IF(_xlfn.XLOOKUP(_xlfn.XLOOKUP(B90,'Base stats'!B:B,'Base stats'!E:E),Groups!A:A,Groups!O:O)=0,1,0.33))^0.4*_xlfn.XLOOKUP(B90,'Base stats'!B:B,'Base stats'!BG:BG)^0.73)^0.6 *_xlfn.XLOOKUP(B90,'Base stats'!B:B,'Base stats'!BU:BU),0.1),0.05)
)</f>
        <v>12.5</v>
      </c>
      <c r="P90" s="11">
        <f>IF(O90="No","No",
MAX(0.01,MROUND(_xlfn.XLOOKUP(B90,'Base stats'!B:B,'Base stats'!BG:BG) * 0.01 * 2, 0.01))
)</f>
        <v>3.89</v>
      </c>
      <c r="Q90" s="5">
        <f>IF(O90="No","No",
MAX(0.01,MROUND(_xlfn.XLOOKUP(B90,'Base stats'!B:B,'Base stats'!BS:BS)/10000,0.01))
)</f>
        <v>0.22</v>
      </c>
      <c r="R90" s="4">
        <f>IF(O90="No","No",
MROUND(_xlfn.XLOOKUP(B90,'Base stats'!B:B,'Base stats'!AY:AY)^0.25
/((_xlfn.XLOOKUP(B90,'Base stats'!B:B,'Base stats'!BK:BK))*10)*_xlfn.XLOOKUP(_xlfn.XLOOKUP(B90,'Base stats'!B:B,'Base stats'!E:E),Groups!A:A,Groups!Z:Z)*150 + 0.5 + _xlfn.XLOOKUP(B90,'Base stats'!B:B,'Base stats'!BT:BT),
0.05))</f>
        <v>2.25</v>
      </c>
      <c r="S90" s="3">
        <f>IF(Animals!AH90="No","No",
IF(_xlfn.XLOOKUP(B90,'Base stats'!B:B,'Base stats'!U:U)="No",
MAX(MROUND(_xlfn.XLOOKUP(B90,'Base stats'!B:B,'Base stats'!BQ:BQ) * _xlfn.XLOOKUP(B90,'Base stats'!B:B,'Base stats'!BM:BM)^0.9 / 21 * _xlfn.XLOOKUP(B90,'Base stats'!B:B,'Base stats'!BU:BU),0.1),0.05),
MAX(MROUND(((MIN(12,_xlfn.XLOOKUP(B90,'Base stats'!B:B,'Base stats'!U:U)))^0.4*_xlfn.XLOOKUP(B90,'Base stats'!B:B,'Base stats'!BE:BE)^0.73)^0.6 * _xlfn.XLOOKUP(B90,'Base stats'!B:B,'Base stats'!BU:BU),0.1),0.05)
))</f>
        <v>10</v>
      </c>
      <c r="T90" s="11">
        <f>IF(S90="No","No",
MAX(0.01,MROUND(_xlfn.XLOOKUP(B90,'Base stats'!B:B,'Base stats'!BE:BE) * 0.01 * 2, 0.01))
)</f>
        <v>2.63</v>
      </c>
      <c r="U90" s="5">
        <f>IF(S90="No","No",IF(_xlfn.XLOOKUP(B90,'Base stats'!B:B,'Base stats'!U:U)="No","No",
MAX(0.01,MROUND(_xlfn.XLOOKUP(B90,'Base stats'!B:B,'Base stats'!BQ:BQ)/10000,0.01))
))</f>
        <v>0.15</v>
      </c>
      <c r="V90" s="4">
        <f>IF(S90="No","No",
MROUND(_xlfn.XLOOKUP(B90,'Base stats'!B:B,'Base stats'!BC:BC)^0.25
/((_xlfn.XLOOKUP(B90,'Base stats'!B:B,'Base stats'!BL:BL))*10)*_xlfn.XLOOKUP(_xlfn.XLOOKUP(B90,'Base stats'!B:B,'Base stats'!E:E),Groups!A:A,Groups!AE:AE)*150 + 0.5 + _xlfn.XLOOKUP(B90,'Base stats'!B:B,'Base stats'!BT:BT),
0.05))</f>
        <v>1.5</v>
      </c>
      <c r="W90" s="8">
        <f>MROUND(_xlfn.XLOOKUP(_xlfn.XLOOKUP(B90,'Base stats'!B:B,'Base stats'!E:E),Groups!A:A,Groups!BF:BF)*_xlfn.XLOOKUP(B90,'Base stats'!B:B,'Base stats'!C:C)^-0.165,0.01)</f>
        <v>0.24</v>
      </c>
      <c r="X90" s="1">
        <f>MROUND(_xlfn.XLOOKUP(_xlfn.XLOOKUP(B90,'Base stats'!B:B,'Base stats'!E:E),Groups!A:A,Groups!BG:BG)*_xlfn.XLOOKUP(B90,'Base stats'!B:B,'Base stats'!C:C)^0.165,0.01)</f>
        <v>0.41000000000000003</v>
      </c>
      <c r="Y90" s="8">
        <f>MROUND(_xlfn.XLOOKUP(_xlfn.XLOOKUP(B90,'Base stats'!B:B,'Base stats'!E:E),Groups!A:A,Groups!BH:BH)*_xlfn.XLOOKUP(B90,'Base stats'!B:B,'Base stats'!C:C)^0.165,0.01)</f>
        <v>0.05</v>
      </c>
      <c r="Z90" s="18">
        <f>_xlfn.XLOOKUP(B90,'Base stats'!B:B,'Base stats'!AN:AN)*_xlfn.XLOOKUP(_xlfn.XLOOKUP(B90,'Base stats'!B:B,'Base stats'!E:E),Groups!A:A,Groups!H:H)/1000</f>
        <v>6.5024766089538416E-2</v>
      </c>
      <c r="AA90" s="18">
        <f>(1/2)*(_xlfn.XLOOKUP(_xlfn.XLOOKUP(B90,'Base stats'!B:B,'Base stats'!E:E),Groups!A:A,Groups!H:H)*_xlfn.XLOOKUP(_xlfn.XLOOKUP(B90,'Base stats'!B:B,'Base stats'!E:E),Groups!A:A,Groups!I:I))*_xlfn.XLOOKUP(B90,'Base stats'!B:B,'Base stats'!AN:AN)*0.01</f>
        <v>0.27635525588053828</v>
      </c>
      <c r="AB90" s="18">
        <f>250*(Animals!AN90+Animals!AO90)</f>
        <v>575</v>
      </c>
      <c r="AC90" s="18" t="str">
        <f>_xlfn.XLOOKUP(_xlfn.XLOOKUP(B90,'Base stats'!B:B,'Base stats'!E:E),Groups!A:A,Groups!BI:BI)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stats'!BP:BP) * (_xlfn.XLOOKUP(B91,'Base stats'!B:B,'Base stats'!AL:AL)*5%)^0.9 / 21,0.1),0.05)</f>
        <v>4.3</v>
      </c>
      <c r="E91" s="11">
        <f>MAX(0.01,MROUND(_xlfn.XLOOKUP(B91,'Base stats'!B:B,'Base stats'!BD:BD) * 0.01 * 2, 0.01))</f>
        <v>3.7800000000000002</v>
      </c>
      <c r="F91" s="7">
        <f>MROUND(_xlfn.XLOOKUP(B91,'Base stats'!B:B,'Base stats'!BA:BA)^0.25 / (_xlfn.XLOOKUP(B91,'Base stats'!B:B,'Base stats'!BH:BH) * 10) * 150 + 0.5 + _xlfn.XLOOKUP(B91,'Base stats'!B:B,'Base stats'!BT:BT), 0.05)</f>
        <v>2.1</v>
      </c>
      <c r="G91" s="3" t="str">
        <f>IF(Animals!R91="No","No",
IF(_xlfn.XLOOKUP(B91,'Base stats'!B:B,'Base stats'!U:U)="No",
MAX(MROUND(_xlfn.XLOOKUP(B91,'Base stats'!B:B,'Base stats'!BQ:BQ) * _xlfn.XLOOKUP(B91,'Base stats'!B:B,'Base stats'!BM:BM)^0.9 / 21 * _xlfn.XLOOKUP(B91,'Base stats'!B:B,'Base stats'!BU:BU),0.1),0.05),
MAX(MROUND(((MIN(10,_xlfn.XLOOKUP(B91,'Base stats'!B:B,'Base stats'!U:U)))^0.4*_xlfn.XLOOKUP(B91,'Base stats'!B:B,'Base stats'!BE:BE)^0.73)^0.6 * _xlfn.XLOOKUP(B91,'Base stats'!B:B,'Base stats'!BU:BU),0.1),0.05)
))</f>
        <v>No</v>
      </c>
      <c r="H91" s="11" t="str">
        <f>IF(G91="No","No",
MAX(0.01,MROUND(_xlfn.XLOOKUP(B91,'Base stats'!B:B,'Base stats'!BE:BE) * 0.01 * 2, 0.01))
)</f>
        <v>No</v>
      </c>
      <c r="I91" s="11" t="str">
        <f>IF(G91="No","No",IF(_xlfn.XLOOKUP(B91,'Base stats'!B:B,'Base stats'!U:U)="No","No",
MAX(0.01,MROUND(_xlfn.XLOOKUP(B91,'Base stats'!B:B,'Base stats'!BQ:BQ)/10000,0.01))
))</f>
        <v>No</v>
      </c>
      <c r="J91" s="4" t="str">
        <f>IF(G91="No","No",
MROUND(_xlfn.XLOOKUP(B91,'Base stats'!B:B,'Base stats'!BB:BB)^0.25
/((_xlfn.XLOOKUP(B91,'Base stats'!B:B,'Base stats'!BI:BI))*10)*_xlfn.XLOOKUP(_xlfn.XLOOKUP(B91,'Base stats'!B:B,'Base stats'!E:E),Groups!A:A,Groups!Q:Q)*150 + 0.5 + _xlfn.XLOOKUP(B91,'Base stats'!B:B,'Base stats'!BT:BT),
0.05))</f>
        <v>No</v>
      </c>
      <c r="K91" s="3" t="str">
        <f>IF(Animals!W91="No","No",
IF(_xlfn.XLOOKUP(_xlfn.XLOOKUP(B91,'Base stats'!B:B,'Base stats'!E:E),Groups!A:A,Groups!BC:BC)=1,
MAX(MROUND(_xlfn.XLOOKUP(B91,'Base stats'!B:B,'Base stats'!BR:BR) * _xlfn.XLOOKUP(B91,'Base stats'!B:B,'Base stats'!BN:BN)^0.9 / 21 *_xlfn.XLOOKUP(B91,'Base stats'!B:B,'Base stats'!BU:BU),0.1),0.05),
MAX(MROUND(((MIN(10,_xlfn.XLOOKUP(B91,'Base stats'!B:B,'Base stats'!W:W)))^0.4*_xlfn.XLOOKUP(B91,'Base stats'!B:B,'Base stats'!BF:BF)^0.73)^0.6 *_xlfn.XLOOKUP(B91,'Base stats'!B:B,'Base stats'!BU:BU),0.1),0.05)
))</f>
        <v>No</v>
      </c>
      <c r="L91" s="11" t="str">
        <f>IF(K91="No","No",
MAX(0.01,MROUND(_xlfn.XLOOKUP(B91,'Base stats'!B:B,'Base stats'!BF:BF) * 0.01 *2, 0.01))
)</f>
        <v>No</v>
      </c>
      <c r="M91" s="5" t="str">
        <f>IF(K91="No","No",IF(_xlfn.XLOOKUP(_xlfn.XLOOKUP(B91,'Base stats'!B:B,'Base stats'!E:E),Groups!A:A,Groups!BC:BC)=1,"No",
MAX(0.01,MROUND(_xlfn.XLOOKUP(B91,'Base stats'!B:B,'Base stats'!BR:BR)/10000,0.01))
))</f>
        <v>No</v>
      </c>
      <c r="N91" s="4" t="str">
        <f>IF(K91="No","No",
MROUND(
  _xlfn.XLOOKUP(B91,'Base stats'!B:B,'Base stats'!AZ:AZ)^0.25
  / (_xlfn.XLOOKUP(B91,'Base stats'!B:B,'Base stats'!BJ:BJ)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stats'!BT:BT),
0.05))</f>
        <v>No</v>
      </c>
      <c r="O91" s="3">
        <f>IF(Animals!AC91="No","No",
MAX(MROUND((MIN(10,_xlfn.XLOOKUP(B91,'Base stats'!B:B,'Base stats'!V:V)*IF(_xlfn.XLOOKUP(_xlfn.XLOOKUP(B91,'Base stats'!B:B,'Base stats'!E:E),Groups!A:A,Groups!O:O)=0,1,0.33))^0.4*_xlfn.XLOOKUP(B91,'Base stats'!B:B,'Base stats'!BG:BG)^0.73)^0.6 *_xlfn.XLOOKUP(B91,'Base stats'!B:B,'Base stats'!BU:BU),0.1),0.05)
)</f>
        <v>24.400000000000002</v>
      </c>
      <c r="P91" s="11">
        <f>IF(O91="No","No",
MAX(0.01,MROUND(_xlfn.XLOOKUP(B91,'Base stats'!B:B,'Base stats'!BG:BG) * 0.01 * 2, 0.01))
)</f>
        <v>16.149999999999999</v>
      </c>
      <c r="Q91" s="5">
        <f>IF(O91="No","No",
MAX(0.01,MROUND(_xlfn.XLOOKUP(B91,'Base stats'!B:B,'Base stats'!BS:BS)/10000,0.01))
)</f>
        <v>0.57999999999999996</v>
      </c>
      <c r="R91" s="4">
        <f>IF(O91="No","No",
MROUND(_xlfn.XLOOKUP(B91,'Base stats'!B:B,'Base stats'!AY:AY)^0.25
/((_xlfn.XLOOKUP(B91,'Base stats'!B:B,'Base stats'!BK:BK))*10)*_xlfn.XLOOKUP(_xlfn.XLOOKUP(B91,'Base stats'!B:B,'Base stats'!E:E),Groups!A:A,Groups!Z:Z)*150 + 0.5 + _xlfn.XLOOKUP(B91,'Base stats'!B:B,'Base stats'!BT:BT),
0.05))</f>
        <v>2.6500000000000004</v>
      </c>
      <c r="S91" s="3" t="str">
        <f>IF(Animals!AH91="No","No",
IF(_xlfn.XLOOKUP(B91,'Base stats'!B:B,'Base stats'!U:U)="No",
MAX(MROUND(_xlfn.XLOOKUP(B91,'Base stats'!B:B,'Base stats'!BQ:BQ) * _xlfn.XLOOKUP(B91,'Base stats'!B:B,'Base stats'!BM:BM)^0.9 / 21 * _xlfn.XLOOKUP(B91,'Base stats'!B:B,'Base stats'!BU:BU),0.1),0.05),
MAX(MROUND(((MIN(12,_xlfn.XLOOKUP(B91,'Base stats'!B:B,'Base stats'!U:U)))^0.4*_xlfn.XLOOKUP(B91,'Base stats'!B:B,'Base stats'!BE:BE)^0.73)^0.6 * _xlfn.XLOOKUP(B91,'Base stats'!B:B,'Base stats'!BU:BU),0.1),0.05)
))</f>
        <v>No</v>
      </c>
      <c r="T91" s="11" t="str">
        <f>IF(S91="No","No",
MAX(0.01,MROUND(_xlfn.XLOOKUP(B91,'Base stats'!B:B,'Base stats'!BE:BE) * 0.01 * 2, 0.01))
)</f>
        <v>No</v>
      </c>
      <c r="U91" s="5" t="str">
        <f>IF(S91="No","No",IF(_xlfn.XLOOKUP(B91,'Base stats'!B:B,'Base stats'!U:U)="No","No",
MAX(0.01,MROUND(_xlfn.XLOOKUP(B91,'Base stats'!B:B,'Base stats'!BQ:BQ)/10000,0.01))
))</f>
        <v>No</v>
      </c>
      <c r="V91" s="4" t="str">
        <f>IF(S91="No","No",
MROUND(_xlfn.XLOOKUP(B91,'Base stats'!B:B,'Base stats'!BC:BC)^0.25
/((_xlfn.XLOOKUP(B91,'Base stats'!B:B,'Base stats'!BL:BL))*10)*_xlfn.XLOOKUP(_xlfn.XLOOKUP(B91,'Base stats'!B:B,'Base stats'!E:E),Groups!A:A,Groups!AE:AE)*150 + 0.5 + _xlfn.XLOOKUP(B91,'Base stats'!B:B,'Base stats'!BT:BT),
0.05))</f>
        <v>No</v>
      </c>
      <c r="W91" s="8">
        <f>MROUND(_xlfn.XLOOKUP(_xlfn.XLOOKUP(B91,'Base stats'!B:B,'Base stats'!E:E),Groups!A:A,Groups!BF:BF)*_xlfn.XLOOKUP(B91,'Base stats'!B:B,'Base stats'!C:C)^-0.165,0.01)</f>
        <v>0.11</v>
      </c>
      <c r="X91" s="1">
        <f>MROUND(_xlfn.XLOOKUP(_xlfn.XLOOKUP(B91,'Base stats'!B:B,'Base stats'!E:E),Groups!A:A,Groups!BG:BG)*_xlfn.XLOOKUP(B91,'Base stats'!B:B,'Base stats'!C:C)^0.165,0.01)</f>
        <v>0.23</v>
      </c>
      <c r="Y91" s="8">
        <f>MROUND(_xlfn.XLOOKUP(_xlfn.XLOOKUP(B91,'Base stats'!B:B,'Base stats'!E:E),Groups!A:A,Groups!BH:BH)*_xlfn.XLOOKUP(B91,'Base stats'!B:B,'Base stats'!C:C)^0.165,0.01)</f>
        <v>0.06</v>
      </c>
      <c r="Z91" s="18">
        <f>_xlfn.XLOOKUP(B91,'Base stats'!B:B,'Base stats'!AN:AN)*_xlfn.XLOOKUP(_xlfn.XLOOKUP(B91,'Base stats'!B:B,'Base stats'!E:E),Groups!A:A,Groups!H:H)/1000</f>
        <v>0.3106715619307176</v>
      </c>
      <c r="AA91" s="18">
        <f>(1/2)*(_xlfn.XLOOKUP(_xlfn.XLOOKUP(B91,'Base stats'!B:B,'Base stats'!E:E),Groups!A:A,Groups!H:H)*_xlfn.XLOOKUP(_xlfn.XLOOKUP(B91,'Base stats'!B:B,'Base stats'!E:E),Groups!A:A,Groups!I:I))*_xlfn.XLOOKUP(B91,'Base stats'!B:B,'Base stats'!AN:AN)*0.01</f>
        <v>0.34940194998474705</v>
      </c>
      <c r="AB91" s="18">
        <f>250*(Animals!AN91+Animals!AO91)</f>
        <v>875</v>
      </c>
      <c r="AC91" s="18" t="str">
        <f>_xlfn.XLOOKUP(_xlfn.XLOOKUP(B91,'Base stats'!B:B,'Base stats'!E:E),Groups!A:A,Groups!BI:BI)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stats'!BP:BP) * (_xlfn.XLOOKUP(B92,'Base stats'!B:B,'Base stats'!AL:AL)*5%)^0.9 / 21,0.1),0.05)</f>
        <v>2.4000000000000004</v>
      </c>
      <c r="E92" s="11">
        <f>MAX(0.01,MROUND(_xlfn.XLOOKUP(B92,'Base stats'!B:B,'Base stats'!BD:BD) * 0.01 * 2, 0.01))</f>
        <v>2.1</v>
      </c>
      <c r="F92" s="7">
        <f>MROUND(_xlfn.XLOOKUP(B92,'Base stats'!B:B,'Base stats'!BA:BA)^0.25 / (_xlfn.XLOOKUP(B92,'Base stats'!B:B,'Base stats'!BH:BH) * 10) * 150 + 0.5 + _xlfn.XLOOKUP(B92,'Base stats'!B:B,'Base stats'!BT:BT), 0.05)</f>
        <v>2.25</v>
      </c>
      <c r="G92" s="3" t="str">
        <f>IF(Animals!R92="No","No",
IF(_xlfn.XLOOKUP(B92,'Base stats'!B:B,'Base stats'!U:U)="No",
MAX(MROUND(_xlfn.XLOOKUP(B92,'Base stats'!B:B,'Base stats'!BQ:BQ) * _xlfn.XLOOKUP(B92,'Base stats'!B:B,'Base stats'!BM:BM)^0.9 / 21 * _xlfn.XLOOKUP(B92,'Base stats'!B:B,'Base stats'!BU:BU),0.1),0.05),
MAX(MROUND(((MIN(10,_xlfn.XLOOKUP(B92,'Base stats'!B:B,'Base stats'!U:U)))^0.4*_xlfn.XLOOKUP(B92,'Base stats'!B:B,'Base stats'!BE:BE)^0.73)^0.6 * _xlfn.XLOOKUP(B92,'Base stats'!B:B,'Base stats'!BU:BU),0.1),0.05)
))</f>
        <v>No</v>
      </c>
      <c r="H92" s="11" t="str">
        <f>IF(G92="No","No",
MAX(0.01,MROUND(_xlfn.XLOOKUP(B92,'Base stats'!B:B,'Base stats'!BE:BE) * 0.01 * 2, 0.01))
)</f>
        <v>No</v>
      </c>
      <c r="I92" s="11" t="str">
        <f>IF(G92="No","No",IF(_xlfn.XLOOKUP(B92,'Base stats'!B:B,'Base stats'!U:U)="No","No",
MAX(0.01,MROUND(_xlfn.XLOOKUP(B92,'Base stats'!B:B,'Base stats'!BQ:BQ)/10000,0.01))
))</f>
        <v>No</v>
      </c>
      <c r="J92" s="4" t="str">
        <f>IF(G92="No","No",
MROUND(_xlfn.XLOOKUP(B92,'Base stats'!B:B,'Base stats'!BB:BB)^0.25
/((_xlfn.XLOOKUP(B92,'Base stats'!B:B,'Base stats'!BI:BI))*10)*_xlfn.XLOOKUP(_xlfn.XLOOKUP(B92,'Base stats'!B:B,'Base stats'!E:E),Groups!A:A,Groups!Q:Q)*150 + 0.5 + _xlfn.XLOOKUP(B92,'Base stats'!B:B,'Base stats'!BT:BT),
0.05))</f>
        <v>No</v>
      </c>
      <c r="K92" s="3" t="str">
        <f>IF(Animals!W92="No","No",
IF(_xlfn.XLOOKUP(_xlfn.XLOOKUP(B92,'Base stats'!B:B,'Base stats'!E:E),Groups!A:A,Groups!BC:BC)=1,
MAX(MROUND(_xlfn.XLOOKUP(B92,'Base stats'!B:B,'Base stats'!BR:BR) * _xlfn.XLOOKUP(B92,'Base stats'!B:B,'Base stats'!BN:BN)^0.9 / 21 *_xlfn.XLOOKUP(B92,'Base stats'!B:B,'Base stats'!BU:BU),0.1),0.05),
MAX(MROUND(((MIN(10,_xlfn.XLOOKUP(B92,'Base stats'!B:B,'Base stats'!W:W)))^0.4*_xlfn.XLOOKUP(B92,'Base stats'!B:B,'Base stats'!BF:BF)^0.73)^0.6 *_xlfn.XLOOKUP(B92,'Base stats'!B:B,'Base stats'!BU:BU),0.1),0.05)
))</f>
        <v>No</v>
      </c>
      <c r="L92" s="11" t="str">
        <f>IF(K92="No","No",
MAX(0.01,MROUND(_xlfn.XLOOKUP(B92,'Base stats'!B:B,'Base stats'!BF:BF) * 0.01 *2, 0.01))
)</f>
        <v>No</v>
      </c>
      <c r="M92" s="5" t="str">
        <f>IF(K92="No","No",IF(_xlfn.XLOOKUP(_xlfn.XLOOKUP(B92,'Base stats'!B:B,'Base stats'!E:E),Groups!A:A,Groups!BC:BC)=1,"No",
MAX(0.01,MROUND(_xlfn.XLOOKUP(B92,'Base stats'!B:B,'Base stats'!BR:BR)/10000,0.01))
))</f>
        <v>No</v>
      </c>
      <c r="N92" s="4" t="str">
        <f>IF(K92="No","No",
MROUND(
  _xlfn.XLOOKUP(B92,'Base stats'!B:B,'Base stats'!AZ:AZ)^0.25
  / (_xlfn.XLOOKUP(B92,'Base stats'!B:B,'Base stats'!BJ:BJ)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stats'!BT:BT),
0.05))</f>
        <v>No</v>
      </c>
      <c r="O92" s="3">
        <f>IF(Animals!AC92="No","No",
MAX(MROUND((MIN(10,_xlfn.XLOOKUP(B92,'Base stats'!B:B,'Base stats'!V:V)*IF(_xlfn.XLOOKUP(_xlfn.XLOOKUP(B92,'Base stats'!B:B,'Base stats'!E:E),Groups!A:A,Groups!O:O)=0,1,0.33))^0.4*_xlfn.XLOOKUP(B92,'Base stats'!B:B,'Base stats'!BG:BG)^0.73)^0.6 *_xlfn.XLOOKUP(B92,'Base stats'!B:B,'Base stats'!BU:BU),0.1),0.05)
)</f>
        <v>9.5</v>
      </c>
      <c r="P92" s="11">
        <f>IF(O92="No","No",
MAX(0.01,MROUND(_xlfn.XLOOKUP(B92,'Base stats'!B:B,'Base stats'!BG:BG) * 0.01 * 2, 0.01))
)</f>
        <v>2.59</v>
      </c>
      <c r="Q92" s="5">
        <f>IF(O92="No","No",
MAX(0.01,MROUND(_xlfn.XLOOKUP(B92,'Base stats'!B:B,'Base stats'!BS:BS)/10000,0.01))
)</f>
        <v>0.09</v>
      </c>
      <c r="R92" s="4">
        <f>IF(O92="No","No",
MROUND(_xlfn.XLOOKUP(B92,'Base stats'!B:B,'Base stats'!AY:AY)^0.25
/((_xlfn.XLOOKUP(B92,'Base stats'!B:B,'Base stats'!BK:BK))*10)*_xlfn.XLOOKUP(_xlfn.XLOOKUP(B92,'Base stats'!B:B,'Base stats'!E:E),Groups!A:A,Groups!Z:Z)*150 + 0.5 + _xlfn.XLOOKUP(B92,'Base stats'!B:B,'Base stats'!BT:BT),
0.05))</f>
        <v>2.35</v>
      </c>
      <c r="S92" s="3" t="str">
        <f>IF(Animals!AH92="No","No",
IF(_xlfn.XLOOKUP(B92,'Base stats'!B:B,'Base stats'!U:U)="No",
MAX(MROUND(_xlfn.XLOOKUP(B92,'Base stats'!B:B,'Base stats'!BQ:BQ) * _xlfn.XLOOKUP(B92,'Base stats'!B:B,'Base stats'!BM:BM)^0.9 / 21 * _xlfn.XLOOKUP(B92,'Base stats'!B:B,'Base stats'!BU:BU),0.1),0.05),
MAX(MROUND(((MIN(12,_xlfn.XLOOKUP(B92,'Base stats'!B:B,'Base stats'!U:U)))^0.4*_xlfn.XLOOKUP(B92,'Base stats'!B:B,'Base stats'!BE:BE)^0.73)^0.6 * _xlfn.XLOOKUP(B92,'Base stats'!B:B,'Base stats'!BU:BU),0.1),0.05)
))</f>
        <v>No</v>
      </c>
      <c r="T92" s="11" t="str">
        <f>IF(S92="No","No",
MAX(0.01,MROUND(_xlfn.XLOOKUP(B92,'Base stats'!B:B,'Base stats'!BE:BE) * 0.01 * 2, 0.01))
)</f>
        <v>No</v>
      </c>
      <c r="U92" s="5" t="str">
        <f>IF(S92="No","No",IF(_xlfn.XLOOKUP(B92,'Base stats'!B:B,'Base stats'!U:U)="No","No",
MAX(0.01,MROUND(_xlfn.XLOOKUP(B92,'Base stats'!B:B,'Base stats'!BQ:BQ)/10000,0.01))
))</f>
        <v>No</v>
      </c>
      <c r="V92" s="4" t="str">
        <f>IF(S92="No","No",
MROUND(_xlfn.XLOOKUP(B92,'Base stats'!B:B,'Base stats'!BC:BC)^0.25
/((_xlfn.XLOOKUP(B92,'Base stats'!B:B,'Base stats'!BL:BL))*10)*_xlfn.XLOOKUP(_xlfn.XLOOKUP(B92,'Base stats'!B:B,'Base stats'!E:E),Groups!A:A,Groups!AE:AE)*150 + 0.5 + _xlfn.XLOOKUP(B92,'Base stats'!B:B,'Base stats'!BT:BT),
0.05))</f>
        <v>No</v>
      </c>
      <c r="W92" s="8">
        <f>MROUND(_xlfn.XLOOKUP(_xlfn.XLOOKUP(B92,'Base stats'!B:B,'Base stats'!E:E),Groups!A:A,Groups!BF:BF)*_xlfn.XLOOKUP(B92,'Base stats'!B:B,'Base stats'!C:C)^-0.165,0.01)</f>
        <v>0.11</v>
      </c>
      <c r="X92" s="1">
        <f>MROUND(_xlfn.XLOOKUP(_xlfn.XLOOKUP(B92,'Base stats'!B:B,'Base stats'!E:E),Groups!A:A,Groups!BG:BG)*_xlfn.XLOOKUP(B92,'Base stats'!B:B,'Base stats'!C:C)^0.165,0.01)</f>
        <v>0</v>
      </c>
      <c r="Y92" s="8">
        <f>MROUND(_xlfn.XLOOKUP(_xlfn.XLOOKUP(B92,'Base stats'!B:B,'Base stats'!E:E),Groups!A:A,Groups!BH:BH)*_xlfn.XLOOKUP(B92,'Base stats'!B:B,'Base stats'!C:C)^0.165,0.01)</f>
        <v>0</v>
      </c>
      <c r="Z92" s="18">
        <f>_xlfn.XLOOKUP(B92,'Base stats'!B:B,'Base stats'!AN:AN)*_xlfn.XLOOKUP(_xlfn.XLOOKUP(B92,'Base stats'!B:B,'Base stats'!E:E),Groups!A:A,Groups!H:H)/1000</f>
        <v>2.1609641327781604</v>
      </c>
      <c r="AA92" s="18">
        <f>(1/2)*(_xlfn.XLOOKUP(_xlfn.XLOOKUP(B92,'Base stats'!B:B,'Base stats'!E:E),Groups!A:A,Groups!H:H)*_xlfn.XLOOKUP(_xlfn.XLOOKUP(B92,'Base stats'!B:B,'Base stats'!E:E),Groups!A:A,Groups!I:I))*_xlfn.XLOOKUP(B92,'Base stats'!B:B,'Base stats'!AN:AN)*0.01</f>
        <v>3.8008719281428376</v>
      </c>
      <c r="AB92" s="18">
        <f>250*(Animals!AN92+Animals!AO92)</f>
        <v>850.00000000000011</v>
      </c>
      <c r="AC92" s="18" t="str">
        <f>_xlfn.XLOOKUP(_xlfn.XLOOKUP(B92,'Base stats'!B:B,'Base stats'!E:E),Groups!A:A,Groups!BI:BI)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stats'!BP:BP) * (_xlfn.XLOOKUP(B93,'Base stats'!B:B,'Base stats'!AL:AL)*5%)^0.9 / 21,0.1),0.05)</f>
        <v>0.1</v>
      </c>
      <c r="E93" s="11">
        <f>MAX(0.01,MROUND(_xlfn.XLOOKUP(B93,'Base stats'!B:B,'Base stats'!BD:BD) * 0.01 * 2, 0.01))</f>
        <v>0.05</v>
      </c>
      <c r="F93" s="7">
        <f>MROUND(_xlfn.XLOOKUP(B93,'Base stats'!B:B,'Base stats'!BA:BA)^0.25 / (_xlfn.XLOOKUP(B93,'Base stats'!B:B,'Base stats'!BH:BH) * 10) * 150 + 0.5 + _xlfn.XLOOKUP(B93,'Base stats'!B:B,'Base stats'!BT:BT), 0.05)</f>
        <v>1.2000000000000002</v>
      </c>
      <c r="G93" s="3" t="str">
        <f>IF(Animals!R93="No","No",
IF(_xlfn.XLOOKUP(B93,'Base stats'!B:B,'Base stats'!U:U)="No",
MAX(MROUND(_xlfn.XLOOKUP(B93,'Base stats'!B:B,'Base stats'!BQ:BQ) * _xlfn.XLOOKUP(B93,'Base stats'!B:B,'Base stats'!BM:BM)^0.9 / 21 * _xlfn.XLOOKUP(B93,'Base stats'!B:B,'Base stats'!BU:BU),0.1),0.05),
MAX(MROUND(((MIN(10,_xlfn.XLOOKUP(B93,'Base stats'!B:B,'Base stats'!U:U)))^0.4*_xlfn.XLOOKUP(B93,'Base stats'!B:B,'Base stats'!BE:BE)^0.73)^0.6 * _xlfn.XLOOKUP(B93,'Base stats'!B:B,'Base stats'!BU:BU),0.1),0.05)
))</f>
        <v>No</v>
      </c>
      <c r="H93" s="11" t="str">
        <f>IF(G93="No","No",
MAX(0.01,MROUND(_xlfn.XLOOKUP(B93,'Base stats'!B:B,'Base stats'!BE:BE) * 0.01 * 2, 0.01))
)</f>
        <v>No</v>
      </c>
      <c r="I93" s="11" t="str">
        <f>IF(G93="No","No",IF(_xlfn.XLOOKUP(B93,'Base stats'!B:B,'Base stats'!U:U)="No","No",
MAX(0.01,MROUND(_xlfn.XLOOKUP(B93,'Base stats'!B:B,'Base stats'!BQ:BQ)/10000,0.01))
))</f>
        <v>No</v>
      </c>
      <c r="J93" s="4" t="str">
        <f>IF(G93="No","No",
MROUND(_xlfn.XLOOKUP(B93,'Base stats'!B:B,'Base stats'!BB:BB)^0.25
/((_xlfn.XLOOKUP(B93,'Base stats'!B:B,'Base stats'!BI:BI))*10)*_xlfn.XLOOKUP(_xlfn.XLOOKUP(B93,'Base stats'!B:B,'Base stats'!E:E),Groups!A:A,Groups!Q:Q)*150 + 0.5 + _xlfn.XLOOKUP(B93,'Base stats'!B:B,'Base stats'!BT:BT),
0.05))</f>
        <v>No</v>
      </c>
      <c r="K93" s="3" t="str">
        <f>IF(Animals!W93="No","No",
IF(_xlfn.XLOOKUP(_xlfn.XLOOKUP(B93,'Base stats'!B:B,'Base stats'!E:E),Groups!A:A,Groups!BC:BC)=1,
MAX(MROUND(_xlfn.XLOOKUP(B93,'Base stats'!B:B,'Base stats'!BR:BR) * _xlfn.XLOOKUP(B93,'Base stats'!B:B,'Base stats'!BN:BN)^0.9 / 21 *_xlfn.XLOOKUP(B93,'Base stats'!B:B,'Base stats'!BU:BU),0.1),0.05),
MAX(MROUND(((MIN(10,_xlfn.XLOOKUP(B93,'Base stats'!B:B,'Base stats'!W:W)))^0.4*_xlfn.XLOOKUP(B93,'Base stats'!B:B,'Base stats'!BF:BF)^0.73)^0.6 *_xlfn.XLOOKUP(B93,'Base stats'!B:B,'Base stats'!BU:BU),0.1),0.05)
))</f>
        <v>No</v>
      </c>
      <c r="L93" s="11" t="str">
        <f>IF(K93="No","No",
MAX(0.01,MROUND(_xlfn.XLOOKUP(B93,'Base stats'!B:B,'Base stats'!BF:BF) * 0.01 *2, 0.01))
)</f>
        <v>No</v>
      </c>
      <c r="M93" s="5" t="str">
        <f>IF(K93="No","No",IF(_xlfn.XLOOKUP(_xlfn.XLOOKUP(B93,'Base stats'!B:B,'Base stats'!E:E),Groups!A:A,Groups!BC:BC)=1,"No",
MAX(0.01,MROUND(_xlfn.XLOOKUP(B93,'Base stats'!B:B,'Base stats'!BR:BR)/10000,0.01))
))</f>
        <v>No</v>
      </c>
      <c r="N93" s="4" t="str">
        <f>IF(K93="No","No",
MROUND(
  _xlfn.XLOOKUP(B93,'Base stats'!B:B,'Base stats'!AZ:AZ)^0.25
  / (_xlfn.XLOOKUP(B93,'Base stats'!B:B,'Base stats'!BJ:BJ)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stats'!BT:BT),
0.05))</f>
        <v>No</v>
      </c>
      <c r="O93" s="3">
        <f>IF(Animals!AC93="No","No",
MAX(MROUND((MIN(10,_xlfn.XLOOKUP(B93,'Base stats'!B:B,'Base stats'!V:V)*IF(_xlfn.XLOOKUP(_xlfn.XLOOKUP(B93,'Base stats'!B:B,'Base stats'!E:E),Groups!A:A,Groups!O:O)=0,1,0.33))^0.4*_xlfn.XLOOKUP(B93,'Base stats'!B:B,'Base stats'!BG:BG)^0.73)^0.6 *_xlfn.XLOOKUP(B93,'Base stats'!B:B,'Base stats'!BU:BU),0.1),0.05)
)</f>
        <v>1.6</v>
      </c>
      <c r="P93" s="11">
        <f>IF(O93="No","No",
MAX(0.01,MROUND(_xlfn.XLOOKUP(B93,'Base stats'!B:B,'Base stats'!BG:BG) * 0.01 * 2, 0.01))
)</f>
        <v>0.1</v>
      </c>
      <c r="Q93" s="5">
        <f>IF(O93="No","No",
MAX(0.01,MROUND(_xlfn.XLOOKUP(B93,'Base stats'!B:B,'Base stats'!BS:BS)/10000,0.01))
)</f>
        <v>0.03</v>
      </c>
      <c r="R93" s="4">
        <f>IF(O93="No","No",
MROUND(_xlfn.XLOOKUP(B93,'Base stats'!B:B,'Base stats'!AY:AY)^0.25
/((_xlfn.XLOOKUP(B93,'Base stats'!B:B,'Base stats'!BK:BK))*10)*_xlfn.XLOOKUP(_xlfn.XLOOKUP(B93,'Base stats'!B:B,'Base stats'!E:E),Groups!A:A,Groups!Z:Z)*150 + 0.5 + _xlfn.XLOOKUP(B93,'Base stats'!B:B,'Base stats'!BT:BT),
0.05))</f>
        <v>1.85</v>
      </c>
      <c r="S93" s="3" t="str">
        <f>IF(Animals!AH93="No","No",
IF(_xlfn.XLOOKUP(B93,'Base stats'!B:B,'Base stats'!U:U)="No",
MAX(MROUND(_xlfn.XLOOKUP(B93,'Base stats'!B:B,'Base stats'!BQ:BQ) * _xlfn.XLOOKUP(B93,'Base stats'!B:B,'Base stats'!BM:BM)^0.9 / 21 * _xlfn.XLOOKUP(B93,'Base stats'!B:B,'Base stats'!BU:BU),0.1),0.05),
MAX(MROUND(((MIN(12,_xlfn.XLOOKUP(B93,'Base stats'!B:B,'Base stats'!U:U)))^0.4*_xlfn.XLOOKUP(B93,'Base stats'!B:B,'Base stats'!BE:BE)^0.73)^0.6 * _xlfn.XLOOKUP(B93,'Base stats'!B:B,'Base stats'!BU:BU),0.1),0.05)
))</f>
        <v>No</v>
      </c>
      <c r="T93" s="11" t="str">
        <f>IF(S93="No","No",
MAX(0.01,MROUND(_xlfn.XLOOKUP(B93,'Base stats'!B:B,'Base stats'!BE:BE) * 0.01 * 2, 0.01))
)</f>
        <v>No</v>
      </c>
      <c r="U93" s="5" t="str">
        <f>IF(S93="No","No",IF(_xlfn.XLOOKUP(B93,'Base stats'!B:B,'Base stats'!U:U)="No","No",
MAX(0.01,MROUND(_xlfn.XLOOKUP(B93,'Base stats'!B:B,'Base stats'!BQ:BQ)/10000,0.01))
))</f>
        <v>No</v>
      </c>
      <c r="V93" s="4" t="str">
        <f>IF(S93="No","No",
MROUND(_xlfn.XLOOKUP(B93,'Base stats'!B:B,'Base stats'!BC:BC)^0.25
/((_xlfn.XLOOKUP(B93,'Base stats'!B:B,'Base stats'!BL:BL))*10)*_xlfn.XLOOKUP(_xlfn.XLOOKUP(B93,'Base stats'!B:B,'Base stats'!E:E),Groups!A:A,Groups!AE:AE)*150 + 0.5 + _xlfn.XLOOKUP(B93,'Base stats'!B:B,'Base stats'!BT:BT),
0.05))</f>
        <v>No</v>
      </c>
      <c r="W93" s="8">
        <f>MROUND(_xlfn.XLOOKUP(_xlfn.XLOOKUP(B93,'Base stats'!B:B,'Base stats'!E:E),Groups!A:A,Groups!BF:BF)*_xlfn.XLOOKUP(B93,'Base stats'!B:B,'Base stats'!C:C)^-0.165,0.01)</f>
        <v>0.67</v>
      </c>
      <c r="X93" s="1">
        <f>MROUND(_xlfn.XLOOKUP(_xlfn.XLOOKUP(B93,'Base stats'!B:B,'Base stats'!E:E),Groups!A:A,Groups!BG:BG)*_xlfn.XLOOKUP(B93,'Base stats'!B:B,'Base stats'!C:C)^0.165,0.01)</f>
        <v>0</v>
      </c>
      <c r="Y93" s="8">
        <f>MROUND(_xlfn.XLOOKUP(_xlfn.XLOOKUP(B93,'Base stats'!B:B,'Base stats'!E:E),Groups!A:A,Groups!BH:BH)*_xlfn.XLOOKUP(B93,'Base stats'!B:B,'Base stats'!C:C)^0.165,0.01)</f>
        <v>0</v>
      </c>
      <c r="Z93" s="18">
        <f>_xlfn.XLOOKUP(B93,'Base stats'!B:B,'Base stats'!AN:AN)*_xlfn.XLOOKUP(_xlfn.XLOOKUP(B93,'Base stats'!B:B,'Base stats'!E:E),Groups!A:A,Groups!H:H)/1000</f>
        <v>1.3588628433800602E-2</v>
      </c>
      <c r="AA93" s="18">
        <f>(1/2)*(_xlfn.XLOOKUP(_xlfn.XLOOKUP(B93,'Base stats'!B:B,'Base stats'!E:E),Groups!A:A,Groups!H:H)*_xlfn.XLOOKUP(_xlfn.XLOOKUP(B93,'Base stats'!B:B,'Base stats'!E:E),Groups!A:A,Groups!I:I))*_xlfn.XLOOKUP(B93,'Base stats'!B:B,'Base stats'!AN:AN)*0.01</f>
        <v>7.4737456385903317E-2</v>
      </c>
      <c r="AB93" s="18">
        <f>250*(Animals!AN93+Animals!AO93)</f>
        <v>75.000000000000014</v>
      </c>
      <c r="AC93" s="18" t="str">
        <f>_xlfn.XLOOKUP(_xlfn.XLOOKUP(B93,'Base stats'!B:B,'Base stats'!E:E),Groups!A:A,Groups!BI:BI)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stats'!BP:BP) * (_xlfn.XLOOKUP(B94,'Base stats'!B:B,'Base stats'!AL:AL)*5%)^0.9 / 21,0.1),0.05)</f>
        <v>0.60000000000000009</v>
      </c>
      <c r="E94" s="11">
        <f>MAX(0.01,MROUND(_xlfn.XLOOKUP(B94,'Base stats'!B:B,'Base stats'!BD:BD) * 0.01 * 2, 0.01))</f>
        <v>0.46</v>
      </c>
      <c r="F94" s="7">
        <f>MROUND(_xlfn.XLOOKUP(B94,'Base stats'!B:B,'Base stats'!BA:BA)^0.25 / (_xlfn.XLOOKUP(B94,'Base stats'!B:B,'Base stats'!BH:BH) * 10) * 150 + 0.5 + _xlfn.XLOOKUP(B94,'Base stats'!B:B,'Base stats'!BT:BT), 0.05)</f>
        <v>1.4500000000000002</v>
      </c>
      <c r="G94" s="3" t="str">
        <f>IF(Animals!R94="No","No",
IF(_xlfn.XLOOKUP(B94,'Base stats'!B:B,'Base stats'!U:U)="No",
MAX(MROUND(_xlfn.XLOOKUP(B94,'Base stats'!B:B,'Base stats'!BQ:BQ) * _xlfn.XLOOKUP(B94,'Base stats'!B:B,'Base stats'!BM:BM)^0.9 / 21 * _xlfn.XLOOKUP(B94,'Base stats'!B:B,'Base stats'!BU:BU),0.1),0.05),
MAX(MROUND(((MIN(10,_xlfn.XLOOKUP(B94,'Base stats'!B:B,'Base stats'!U:U)))^0.4*_xlfn.XLOOKUP(B94,'Base stats'!B:B,'Base stats'!BE:BE)^0.73)^0.6 * _xlfn.XLOOKUP(B94,'Base stats'!B:B,'Base stats'!BU:BU),0.1),0.05)
))</f>
        <v>No</v>
      </c>
      <c r="H94" s="11" t="str">
        <f>IF(G94="No","No",
MAX(0.01,MROUND(_xlfn.XLOOKUP(B94,'Base stats'!B:B,'Base stats'!BE:BE) * 0.01 * 2, 0.01))
)</f>
        <v>No</v>
      </c>
      <c r="I94" s="11" t="str">
        <f>IF(G94="No","No",IF(_xlfn.XLOOKUP(B94,'Base stats'!B:B,'Base stats'!U:U)="No","No",
MAX(0.01,MROUND(_xlfn.XLOOKUP(B94,'Base stats'!B:B,'Base stats'!BQ:BQ)/10000,0.01))
))</f>
        <v>No</v>
      </c>
      <c r="J94" s="4" t="str">
        <f>IF(G94="No","No",
MROUND(_xlfn.XLOOKUP(B94,'Base stats'!B:B,'Base stats'!BB:BB)^0.25
/((_xlfn.XLOOKUP(B94,'Base stats'!B:B,'Base stats'!BI:BI))*10)*_xlfn.XLOOKUP(_xlfn.XLOOKUP(B94,'Base stats'!B:B,'Base stats'!E:E),Groups!A:A,Groups!Q:Q)*150 + 0.5 + _xlfn.XLOOKUP(B94,'Base stats'!B:B,'Base stats'!BT:BT),
0.05))</f>
        <v>No</v>
      </c>
      <c r="K94" s="3" t="str">
        <f>IF(Animals!W94="No","No",
IF(_xlfn.XLOOKUP(_xlfn.XLOOKUP(B94,'Base stats'!B:B,'Base stats'!E:E),Groups!A:A,Groups!BC:BC)=1,
MAX(MROUND(_xlfn.XLOOKUP(B94,'Base stats'!B:B,'Base stats'!BR:BR) * _xlfn.XLOOKUP(B94,'Base stats'!B:B,'Base stats'!BN:BN)^0.9 / 21 *_xlfn.XLOOKUP(B94,'Base stats'!B:B,'Base stats'!BU:BU),0.1),0.05),
MAX(MROUND(((MIN(10,_xlfn.XLOOKUP(B94,'Base stats'!B:B,'Base stats'!W:W)))^0.4*_xlfn.XLOOKUP(B94,'Base stats'!B:B,'Base stats'!BF:BF)^0.73)^0.6 *_xlfn.XLOOKUP(B94,'Base stats'!B:B,'Base stats'!BU:BU),0.1),0.05)
))</f>
        <v>No</v>
      </c>
      <c r="L94" s="11" t="str">
        <f>IF(K94="No","No",
MAX(0.01,MROUND(_xlfn.XLOOKUP(B94,'Base stats'!B:B,'Base stats'!BF:BF) * 0.01 *2, 0.01))
)</f>
        <v>No</v>
      </c>
      <c r="M94" s="5" t="str">
        <f>IF(K94="No","No",IF(_xlfn.XLOOKUP(_xlfn.XLOOKUP(B94,'Base stats'!B:B,'Base stats'!E:E),Groups!A:A,Groups!BC:BC)=1,"No",
MAX(0.01,MROUND(_xlfn.XLOOKUP(B94,'Base stats'!B:B,'Base stats'!BR:BR)/10000,0.01))
))</f>
        <v>No</v>
      </c>
      <c r="N94" s="4" t="str">
        <f>IF(K94="No","No",
MROUND(
  _xlfn.XLOOKUP(B94,'Base stats'!B:B,'Base stats'!AZ:AZ)^0.25
  / (_xlfn.XLOOKUP(B94,'Base stats'!B:B,'Base stats'!BJ:BJ)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stats'!BT:BT),
0.05))</f>
        <v>No</v>
      </c>
      <c r="O94" s="3">
        <f>IF(Animals!AC94="No","No",
MAX(MROUND((MIN(10,_xlfn.XLOOKUP(B94,'Base stats'!B:B,'Base stats'!V:V)*IF(_xlfn.XLOOKUP(_xlfn.XLOOKUP(B94,'Base stats'!B:B,'Base stats'!E:E),Groups!A:A,Groups!O:O)=0,1,0.33))^0.4*_xlfn.XLOOKUP(B94,'Base stats'!B:B,'Base stats'!BG:BG)^0.73)^0.6 *_xlfn.XLOOKUP(B94,'Base stats'!B:B,'Base stats'!BU:BU),0.1),0.05)
)</f>
        <v>4.9000000000000004</v>
      </c>
      <c r="P94" s="11">
        <f>IF(O94="No","No",
MAX(0.01,MROUND(_xlfn.XLOOKUP(B94,'Base stats'!B:B,'Base stats'!BG:BG) * 0.01 * 2, 0.01))
)</f>
        <v>0.42</v>
      </c>
      <c r="Q94" s="5">
        <f>IF(O94="No","No",
MAX(0.01,MROUND(_xlfn.XLOOKUP(B94,'Base stats'!B:B,'Base stats'!BS:BS)/10000,0.01))
)</f>
        <v>0.05</v>
      </c>
      <c r="R94" s="4">
        <f>IF(O94="No","No",
MROUND(_xlfn.XLOOKUP(B94,'Base stats'!B:B,'Base stats'!AY:AY)^0.25
/((_xlfn.XLOOKUP(B94,'Base stats'!B:B,'Base stats'!BK:BK))*10)*_xlfn.XLOOKUP(_xlfn.XLOOKUP(B94,'Base stats'!B:B,'Base stats'!E:E),Groups!A:A,Groups!Z:Z)*150 + 0.5 + _xlfn.XLOOKUP(B94,'Base stats'!B:B,'Base stats'!BT:BT),
0.05))</f>
        <v>2.0500000000000003</v>
      </c>
      <c r="S94" s="3" t="str">
        <f>IF(Animals!AH94="No","No",
IF(_xlfn.XLOOKUP(B94,'Base stats'!B:B,'Base stats'!U:U)="No",
MAX(MROUND(_xlfn.XLOOKUP(B94,'Base stats'!B:B,'Base stats'!BQ:BQ) * _xlfn.XLOOKUP(B94,'Base stats'!B:B,'Base stats'!BM:BM)^0.9 / 21 * _xlfn.XLOOKUP(B94,'Base stats'!B:B,'Base stats'!BU:BU),0.1),0.05),
MAX(MROUND(((MIN(12,_xlfn.XLOOKUP(B94,'Base stats'!B:B,'Base stats'!U:U)))^0.4*_xlfn.XLOOKUP(B94,'Base stats'!B:B,'Base stats'!BE:BE)^0.73)^0.6 * _xlfn.XLOOKUP(B94,'Base stats'!B:B,'Base stats'!BU:BU),0.1),0.05)
))</f>
        <v>No</v>
      </c>
      <c r="T94" s="11" t="str">
        <f>IF(S94="No","No",
MAX(0.01,MROUND(_xlfn.XLOOKUP(B94,'Base stats'!B:B,'Base stats'!BE:BE) * 0.01 * 2, 0.01))
)</f>
        <v>No</v>
      </c>
      <c r="U94" s="5" t="str">
        <f>IF(S94="No","No",IF(_xlfn.XLOOKUP(B94,'Base stats'!B:B,'Base stats'!U:U)="No","No",
MAX(0.01,MROUND(_xlfn.XLOOKUP(B94,'Base stats'!B:B,'Base stats'!BQ:BQ)/10000,0.01))
))</f>
        <v>No</v>
      </c>
      <c r="V94" s="4" t="str">
        <f>IF(S94="No","No",
MROUND(_xlfn.XLOOKUP(B94,'Base stats'!B:B,'Base stats'!BC:BC)^0.25
/((_xlfn.XLOOKUP(B94,'Base stats'!B:B,'Base stats'!BL:BL))*10)*_xlfn.XLOOKUP(_xlfn.XLOOKUP(B94,'Base stats'!B:B,'Base stats'!E:E),Groups!A:A,Groups!AE:AE)*150 + 0.5 + _xlfn.XLOOKUP(B94,'Base stats'!B:B,'Base stats'!BT:BT),
0.05))</f>
        <v>No</v>
      </c>
      <c r="W94" s="8">
        <f>MROUND(_xlfn.XLOOKUP(_xlfn.XLOOKUP(B94,'Base stats'!B:B,'Base stats'!E:E),Groups!A:A,Groups!BF:BF)*_xlfn.XLOOKUP(B94,'Base stats'!B:B,'Base stats'!C:C)^-0.165,0.01)</f>
        <v>0.45</v>
      </c>
      <c r="X94" s="1">
        <f>MROUND(_xlfn.XLOOKUP(_xlfn.XLOOKUP(B94,'Base stats'!B:B,'Base stats'!E:E),Groups!A:A,Groups!BG:BG)*_xlfn.XLOOKUP(B94,'Base stats'!B:B,'Base stats'!C:C)^0.165,0.01)</f>
        <v>0</v>
      </c>
      <c r="Y94" s="8">
        <f>MROUND(_xlfn.XLOOKUP(_xlfn.XLOOKUP(B94,'Base stats'!B:B,'Base stats'!E:E),Groups!A:A,Groups!BH:BH)*_xlfn.XLOOKUP(B94,'Base stats'!B:B,'Base stats'!C:C)^0.165,0.01)</f>
        <v>0</v>
      </c>
      <c r="Z94" s="18">
        <f>_xlfn.XLOOKUP(B94,'Base stats'!B:B,'Base stats'!AN:AN)*_xlfn.XLOOKUP(_xlfn.XLOOKUP(B94,'Base stats'!B:B,'Base stats'!E:E),Groups!A:A,Groups!H:H)/1000</f>
        <v>2.723616278655638E-2</v>
      </c>
      <c r="AA94" s="18">
        <f>(1/2)*(_xlfn.XLOOKUP(_xlfn.XLOOKUP(B94,'Base stats'!B:B,'Base stats'!E:E),Groups!A:A,Groups!H:H)*_xlfn.XLOOKUP(_xlfn.XLOOKUP(B94,'Base stats'!B:B,'Base stats'!E:E),Groups!A:A,Groups!I:I))*_xlfn.XLOOKUP(B94,'Base stats'!B:B,'Base stats'!AN:AN)*0.01</f>
        <v>0.14979889532606014</v>
      </c>
      <c r="AB94" s="18">
        <f>250*(Animals!AN94+Animals!AO94)</f>
        <v>250</v>
      </c>
      <c r="AC94" s="18" t="str">
        <f>_xlfn.XLOOKUP(_xlfn.XLOOKUP(B94,'Base stats'!B:B,'Base stats'!E:E),Groups!A:A,Groups!BI:BI)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stats'!BP:BP) * (_xlfn.XLOOKUP(B95,'Base stats'!B:B,'Base stats'!AL:AL)*5%)^0.9 / 21,0.1),0.05)</f>
        <v>2</v>
      </c>
      <c r="E95" s="11">
        <f>MAX(0.01,MROUND(_xlfn.XLOOKUP(B95,'Base stats'!B:B,'Base stats'!BD:BD) * 0.01 * 2, 0.01))</f>
        <v>1.6300000000000001</v>
      </c>
      <c r="F95" s="7">
        <f>MROUND(_xlfn.XLOOKUP(B95,'Base stats'!B:B,'Base stats'!BA:BA)^0.25 / (_xlfn.XLOOKUP(B95,'Base stats'!B:B,'Base stats'!BH:BH) * 10) * 150 + 0.5 + _xlfn.XLOOKUP(B95,'Base stats'!B:B,'Base stats'!BT:BT), 0.05)</f>
        <v>1.6</v>
      </c>
      <c r="G95" s="3" t="str">
        <f>IF(Animals!R95="No","No",
IF(_xlfn.XLOOKUP(B95,'Base stats'!B:B,'Base stats'!U:U)="No",
MAX(MROUND(_xlfn.XLOOKUP(B95,'Base stats'!B:B,'Base stats'!BQ:BQ) * _xlfn.XLOOKUP(B95,'Base stats'!B:B,'Base stats'!BM:BM)^0.9 / 21 * _xlfn.XLOOKUP(B95,'Base stats'!B:B,'Base stats'!BU:BU),0.1),0.05),
MAX(MROUND(((MIN(10,_xlfn.XLOOKUP(B95,'Base stats'!B:B,'Base stats'!U:U)))^0.4*_xlfn.XLOOKUP(B95,'Base stats'!B:B,'Base stats'!BE:BE)^0.73)^0.6 * _xlfn.XLOOKUP(B95,'Base stats'!B:B,'Base stats'!BU:BU),0.1),0.05)
))</f>
        <v>No</v>
      </c>
      <c r="H95" s="11" t="str">
        <f>IF(G95="No","No",
MAX(0.01,MROUND(_xlfn.XLOOKUP(B95,'Base stats'!B:B,'Base stats'!BE:BE) * 0.01 * 2, 0.01))
)</f>
        <v>No</v>
      </c>
      <c r="I95" s="11" t="str">
        <f>IF(G95="No","No",IF(_xlfn.XLOOKUP(B95,'Base stats'!B:B,'Base stats'!U:U)="No","No",
MAX(0.01,MROUND(_xlfn.XLOOKUP(B95,'Base stats'!B:B,'Base stats'!BQ:BQ)/10000,0.01))
))</f>
        <v>No</v>
      </c>
      <c r="J95" s="4" t="str">
        <f>IF(G95="No","No",
MROUND(_xlfn.XLOOKUP(B95,'Base stats'!B:B,'Base stats'!BB:BB)^0.25
/((_xlfn.XLOOKUP(B95,'Base stats'!B:B,'Base stats'!BI:BI))*10)*_xlfn.XLOOKUP(_xlfn.XLOOKUP(B95,'Base stats'!B:B,'Base stats'!E:E),Groups!A:A,Groups!Q:Q)*150 + 0.5 + _xlfn.XLOOKUP(B95,'Base stats'!B:B,'Base stats'!BT:BT),
0.05))</f>
        <v>No</v>
      </c>
      <c r="K95" s="3" t="str">
        <f>IF(Animals!W95="No","No",
IF(_xlfn.XLOOKUP(_xlfn.XLOOKUP(B95,'Base stats'!B:B,'Base stats'!E:E),Groups!A:A,Groups!BC:BC)=1,
MAX(MROUND(_xlfn.XLOOKUP(B95,'Base stats'!B:B,'Base stats'!BR:BR) * _xlfn.XLOOKUP(B95,'Base stats'!B:B,'Base stats'!BN:BN)^0.9 / 21 *_xlfn.XLOOKUP(B95,'Base stats'!B:B,'Base stats'!BU:BU),0.1),0.05),
MAX(MROUND(((MIN(10,_xlfn.XLOOKUP(B95,'Base stats'!B:B,'Base stats'!W:W)))^0.4*_xlfn.XLOOKUP(B95,'Base stats'!B:B,'Base stats'!BF:BF)^0.73)^0.6 *_xlfn.XLOOKUP(B95,'Base stats'!B:B,'Base stats'!BU:BU),0.1),0.05)
))</f>
        <v>No</v>
      </c>
      <c r="L95" s="11" t="str">
        <f>IF(K95="No","No",
MAX(0.01,MROUND(_xlfn.XLOOKUP(B95,'Base stats'!B:B,'Base stats'!BF:BF) * 0.01 *2, 0.01))
)</f>
        <v>No</v>
      </c>
      <c r="M95" s="5" t="str">
        <f>IF(K95="No","No",IF(_xlfn.XLOOKUP(_xlfn.XLOOKUP(B95,'Base stats'!B:B,'Base stats'!E:E),Groups!A:A,Groups!BC:BC)=1,"No",
MAX(0.01,MROUND(_xlfn.XLOOKUP(B95,'Base stats'!B:B,'Base stats'!BR:BR)/10000,0.01))
))</f>
        <v>No</v>
      </c>
      <c r="N95" s="4" t="str">
        <f>IF(K95="No","No",
MROUND(
  _xlfn.XLOOKUP(B95,'Base stats'!B:B,'Base stats'!AZ:AZ)^0.25
  / (_xlfn.XLOOKUP(B95,'Base stats'!B:B,'Base stats'!BJ:BJ)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stats'!BT:BT),
0.05))</f>
        <v>No</v>
      </c>
      <c r="O95" s="3">
        <f>IF(Animals!AC95="No","No",
MAX(MROUND((MIN(10,_xlfn.XLOOKUP(B95,'Base stats'!B:B,'Base stats'!V:V)*IF(_xlfn.XLOOKUP(_xlfn.XLOOKUP(B95,'Base stats'!B:B,'Base stats'!E:E),Groups!A:A,Groups!O:O)=0,1,0.33))^0.4*_xlfn.XLOOKUP(B95,'Base stats'!B:B,'Base stats'!BG:BG)^0.73)^0.6 *_xlfn.XLOOKUP(B95,'Base stats'!B:B,'Base stats'!BU:BU),0.1),0.05)
)</f>
        <v>9.5</v>
      </c>
      <c r="P95" s="11">
        <f>IF(O95="No","No",
MAX(0.01,MROUND(_xlfn.XLOOKUP(B95,'Base stats'!B:B,'Base stats'!BG:BG) * 0.01 * 2, 0.01))
)</f>
        <v>0.98</v>
      </c>
      <c r="Q95" s="5">
        <f>IF(O95="No","No",
MAX(0.01,MROUND(_xlfn.XLOOKUP(B95,'Base stats'!B:B,'Base stats'!BS:BS)/10000,0.01))
)</f>
        <v>0.06</v>
      </c>
      <c r="R95" s="4">
        <f>IF(O95="No","No",
MROUND(_xlfn.XLOOKUP(B95,'Base stats'!B:B,'Base stats'!AY:AY)^0.25
/((_xlfn.XLOOKUP(B95,'Base stats'!B:B,'Base stats'!BK:BK))*10)*_xlfn.XLOOKUP(_xlfn.XLOOKUP(B95,'Base stats'!B:B,'Base stats'!E:E),Groups!A:A,Groups!Z:Z)*150 + 0.5 + _xlfn.XLOOKUP(B95,'Base stats'!B:B,'Base stats'!BT:BT),
0.05))</f>
        <v>2.15</v>
      </c>
      <c r="S95" s="3" t="str">
        <f>IF(Animals!AH95="No","No",
IF(_xlfn.XLOOKUP(B95,'Base stats'!B:B,'Base stats'!U:U)="No",
MAX(MROUND(_xlfn.XLOOKUP(B95,'Base stats'!B:B,'Base stats'!BQ:BQ) * _xlfn.XLOOKUP(B95,'Base stats'!B:B,'Base stats'!BM:BM)^0.9 / 21 * _xlfn.XLOOKUP(B95,'Base stats'!B:B,'Base stats'!BU:BU),0.1),0.05),
MAX(MROUND(((MIN(12,_xlfn.XLOOKUP(B95,'Base stats'!B:B,'Base stats'!U:U)))^0.4*_xlfn.XLOOKUP(B95,'Base stats'!B:B,'Base stats'!BE:BE)^0.73)^0.6 * _xlfn.XLOOKUP(B95,'Base stats'!B:B,'Base stats'!BU:BU),0.1),0.05)
))</f>
        <v>No</v>
      </c>
      <c r="T95" s="11" t="str">
        <f>IF(S95="No","No",
MAX(0.01,MROUND(_xlfn.XLOOKUP(B95,'Base stats'!B:B,'Base stats'!BE:BE) * 0.01 * 2, 0.01))
)</f>
        <v>No</v>
      </c>
      <c r="U95" s="5" t="str">
        <f>IF(S95="No","No",IF(_xlfn.XLOOKUP(B95,'Base stats'!B:B,'Base stats'!U:U)="No","No",
MAX(0.01,MROUND(_xlfn.XLOOKUP(B95,'Base stats'!B:B,'Base stats'!BQ:BQ)/10000,0.01))
))</f>
        <v>No</v>
      </c>
      <c r="V95" s="4" t="str">
        <f>IF(S95="No","No",
MROUND(_xlfn.XLOOKUP(B95,'Base stats'!B:B,'Base stats'!BC:BC)^0.25
/((_xlfn.XLOOKUP(B95,'Base stats'!B:B,'Base stats'!BL:BL))*10)*_xlfn.XLOOKUP(_xlfn.XLOOKUP(B95,'Base stats'!B:B,'Base stats'!E:E),Groups!A:A,Groups!AE:AE)*150 + 0.5 + _xlfn.XLOOKUP(B95,'Base stats'!B:B,'Base stats'!BT:BT),
0.05))</f>
        <v>No</v>
      </c>
      <c r="W95" s="8">
        <f>MROUND(_xlfn.XLOOKUP(_xlfn.XLOOKUP(B95,'Base stats'!B:B,'Base stats'!E:E),Groups!A:A,Groups!BF:BF)*_xlfn.XLOOKUP(B95,'Base stats'!B:B,'Base stats'!C:C)^-0.165,0.01)</f>
        <v>0.36</v>
      </c>
      <c r="X95" s="1">
        <f>MROUND(_xlfn.XLOOKUP(_xlfn.XLOOKUP(B95,'Base stats'!B:B,'Base stats'!E:E),Groups!A:A,Groups!BG:BG)*_xlfn.XLOOKUP(B95,'Base stats'!B:B,'Base stats'!C:C)^0.165,0.01)</f>
        <v>0</v>
      </c>
      <c r="Y95" s="8">
        <f>MROUND(_xlfn.XLOOKUP(_xlfn.XLOOKUP(B95,'Base stats'!B:B,'Base stats'!E:E),Groups!A:A,Groups!BH:BH)*_xlfn.XLOOKUP(B95,'Base stats'!B:B,'Base stats'!C:C)^0.165,0.01)</f>
        <v>0</v>
      </c>
      <c r="Z95" s="18">
        <f>_xlfn.XLOOKUP(B95,'Base stats'!B:B,'Base stats'!AN:AN)*_xlfn.XLOOKUP(_xlfn.XLOOKUP(B95,'Base stats'!B:B,'Base stats'!E:E),Groups!A:A,Groups!H:H)/1000</f>
        <v>4.0713957477182677E-2</v>
      </c>
      <c r="AA95" s="18">
        <f>(1/2)*(_xlfn.XLOOKUP(_xlfn.XLOOKUP(B95,'Base stats'!B:B,'Base stats'!E:E),Groups!A:A,Groups!H:H)*_xlfn.XLOOKUP(_xlfn.XLOOKUP(B95,'Base stats'!B:B,'Base stats'!E:E),Groups!A:A,Groups!I:I))*_xlfn.XLOOKUP(B95,'Base stats'!B:B,'Base stats'!AN:AN)*0.01</f>
        <v>0.22392676612450474</v>
      </c>
      <c r="AB95" s="18">
        <f>250*(Animals!AN95+Animals!AO95)</f>
        <v>475.00000000000006</v>
      </c>
      <c r="AC95" s="18" t="str">
        <f>_xlfn.XLOOKUP(_xlfn.XLOOKUP(B95,'Base stats'!B:B,'Base stats'!E:E),Groups!A:A,Groups!BI:BI)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stats'!BP:BP) * (_xlfn.XLOOKUP(B96,'Base stats'!B:B,'Base stats'!AL:AL)*5%)^0.9 / 21,0.1),0.05)</f>
        <v>9</v>
      </c>
      <c r="E96" s="11">
        <f>MAX(0.01,MROUND(_xlfn.XLOOKUP(B96,'Base stats'!B:B,'Base stats'!BD:BD) * 0.01 * 2, 0.01))</f>
        <v>8.26</v>
      </c>
      <c r="F96" s="7">
        <f>MROUND(_xlfn.XLOOKUP(B96,'Base stats'!B:B,'Base stats'!BA:BA)^0.25 / (_xlfn.XLOOKUP(B96,'Base stats'!B:B,'Base stats'!BH:BH) * 10) * 150 + 0.5 + _xlfn.XLOOKUP(B96,'Base stats'!B:B,'Base stats'!BT:BT), 0.05)</f>
        <v>1.85</v>
      </c>
      <c r="G96" s="3">
        <f>IF(Animals!R96="No","No",
IF(_xlfn.XLOOKUP(B96,'Base stats'!B:B,'Base stats'!U:U)="No",
MAX(MROUND(_xlfn.XLOOKUP(B96,'Base stats'!B:B,'Base stats'!BQ:BQ) * _xlfn.XLOOKUP(B96,'Base stats'!B:B,'Base stats'!BM:BM)^0.9 / 21 * _xlfn.XLOOKUP(B96,'Base stats'!B:B,'Base stats'!BU:BU),0.1),0.05),
MAX(MROUND(((MIN(10,_xlfn.XLOOKUP(B96,'Base stats'!B:B,'Base stats'!U:U)))^0.4*_xlfn.XLOOKUP(B96,'Base stats'!B:B,'Base stats'!BE:BE)^0.73)^0.6 * _xlfn.XLOOKUP(B96,'Base stats'!B:B,'Base stats'!BU:BU),0.1),0.05)
))</f>
        <v>15.200000000000001</v>
      </c>
      <c r="H96" s="11">
        <f>IF(G96="No","No",
MAX(0.01,MROUND(_xlfn.XLOOKUP(B96,'Base stats'!B:B,'Base stats'!BE:BE) * 0.01 * 2, 0.01))
)</f>
        <v>9.68</v>
      </c>
      <c r="I96" s="11" t="str">
        <f>IF(G96="No","No",IF(_xlfn.XLOOKUP(B96,'Base stats'!B:B,'Base stats'!U:U)="No","No",
MAX(0.01,MROUND(_xlfn.XLOOKUP(B96,'Base stats'!B:B,'Base stats'!BQ:BQ)/10000,0.01))
))</f>
        <v>No</v>
      </c>
      <c r="J96" s="4">
        <f>IF(G96="No","No",
MROUND(_xlfn.XLOOKUP(B96,'Base stats'!B:B,'Base stats'!BB:BB)^0.25
/((_xlfn.XLOOKUP(B96,'Base stats'!B:B,'Base stats'!BI:BI))*10)*_xlfn.XLOOKUP(_xlfn.XLOOKUP(B96,'Base stats'!B:B,'Base stats'!E:E),Groups!A:A,Groups!Q:Q)*150 + 0.5 + _xlfn.XLOOKUP(B96,'Base stats'!B:B,'Base stats'!BT:BT),
0.05))</f>
        <v>2.7</v>
      </c>
      <c r="K96" s="3">
        <f>IF(Animals!W96="No","No",
IF(_xlfn.XLOOKUP(_xlfn.XLOOKUP(B96,'Base stats'!B:B,'Base stats'!E:E),Groups!A:A,Groups!BC:BC)=1,
MAX(MROUND(_xlfn.XLOOKUP(B96,'Base stats'!B:B,'Base stats'!BR:BR) * _xlfn.XLOOKUP(B96,'Base stats'!B:B,'Base stats'!BN:BN)^0.9 / 21 *_xlfn.XLOOKUP(B96,'Base stats'!B:B,'Base stats'!BU:BU),0.1),0.05),
MAX(MROUND(((MIN(10,_xlfn.XLOOKUP(B96,'Base stats'!B:B,'Base stats'!W:W)))^0.4*_xlfn.XLOOKUP(B96,'Base stats'!B:B,'Base stats'!BF:BF)^0.73)^0.6 *_xlfn.XLOOKUP(B96,'Base stats'!B:B,'Base stats'!BU:BU),0.1),0.05)
))</f>
        <v>28.200000000000003</v>
      </c>
      <c r="L96" s="11">
        <f>IF(K96="No","No",
MAX(0.01,MROUND(_xlfn.XLOOKUP(B96,'Base stats'!B:B,'Base stats'!BF:BF) * 0.01 *2, 0.01))
)</f>
        <v>11.620000000000001</v>
      </c>
      <c r="M96" s="5">
        <f>IF(K96="No","No",IF(_xlfn.XLOOKUP(_xlfn.XLOOKUP(B96,'Base stats'!B:B,'Base stats'!E:E),Groups!A:A,Groups!BC:BC)=1,"No",
MAX(0.01,MROUND(_xlfn.XLOOKUP(B96,'Base stats'!B:B,'Base stats'!BR:BR)/10000,0.01))
))</f>
        <v>0.64</v>
      </c>
      <c r="N96" s="4">
        <f>IF(K96="No","No",
MROUND(
  _xlfn.XLOOKUP(B96,'Base stats'!B:B,'Base stats'!AZ:AZ)^0.25
  / (_xlfn.XLOOKUP(B96,'Base stats'!B:B,'Base stats'!BJ:BJ)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stats'!BT:BT),
0.05))</f>
        <v>3.1500000000000004</v>
      </c>
      <c r="O96" s="3" t="str">
        <f>IF(Animals!AC96="No","No",
MAX(MROUND((MIN(10,_xlfn.XLOOKUP(B96,'Base stats'!B:B,'Base stats'!V:V)*IF(_xlfn.XLOOKUP(_xlfn.XLOOKUP(B96,'Base stats'!B:B,'Base stats'!E:E),Groups!A:A,Groups!O:O)=0,1,0.33))^0.4*_xlfn.XLOOKUP(B96,'Base stats'!B:B,'Base stats'!BG:BG)^0.73)^0.6 *_xlfn.XLOOKUP(B96,'Base stats'!B:B,'Base stats'!BU:BU),0.1),0.05)
)</f>
        <v>No</v>
      </c>
      <c r="P96" s="11" t="str">
        <f>IF(O96="No","No",
MAX(0.01,MROUND(_xlfn.XLOOKUP(B96,'Base stats'!B:B,'Base stats'!BG:BG) * 0.01 * 2, 0.01))
)</f>
        <v>No</v>
      </c>
      <c r="Q96" s="5" t="str">
        <f>IF(O96="No","No",
MAX(0.01,MROUND(_xlfn.XLOOKUP(B96,'Base stats'!B:B,'Base stats'!BS:BS)/10000,0.01))
)</f>
        <v>No</v>
      </c>
      <c r="R96" s="4" t="str">
        <f>IF(O96="No","No",
MROUND(_xlfn.XLOOKUP(B96,'Base stats'!B:B,'Base stats'!AY:AY)^0.25
/((_xlfn.XLOOKUP(B96,'Base stats'!B:B,'Base stats'!BK:BK))*10)*_xlfn.XLOOKUP(_xlfn.XLOOKUP(B96,'Base stats'!B:B,'Base stats'!E:E),Groups!A:A,Groups!Z:Z)*150 + 0.5 + _xlfn.XLOOKUP(B96,'Base stats'!B:B,'Base stats'!BT:BT),
0.05))</f>
        <v>No</v>
      </c>
      <c r="S96" s="3" t="str">
        <f>IF(Animals!AH96="No","No",
IF(_xlfn.XLOOKUP(B96,'Base stats'!B:B,'Base stats'!U:U)="No",
MAX(MROUND(_xlfn.XLOOKUP(B96,'Base stats'!B:B,'Base stats'!BQ:BQ) * _xlfn.XLOOKUP(B96,'Base stats'!B:B,'Base stats'!BM:BM)^0.9 / 21 * _xlfn.XLOOKUP(B96,'Base stats'!B:B,'Base stats'!BU:BU),0.1),0.05),
MAX(MROUND(((MIN(12,_xlfn.XLOOKUP(B96,'Base stats'!B:B,'Base stats'!U:U)))^0.4*_xlfn.XLOOKUP(B96,'Base stats'!B:B,'Base stats'!BE:BE)^0.73)^0.6 * _xlfn.XLOOKUP(B96,'Base stats'!B:B,'Base stats'!BU:BU),0.1),0.05)
))</f>
        <v>No</v>
      </c>
      <c r="T96" s="11" t="str">
        <f>IF(S96="No","No",
MAX(0.01,MROUND(_xlfn.XLOOKUP(B96,'Base stats'!B:B,'Base stats'!BE:BE) * 0.01 * 2, 0.01))
)</f>
        <v>No</v>
      </c>
      <c r="U96" s="5" t="str">
        <f>IF(S96="No","No",IF(_xlfn.XLOOKUP(B96,'Base stats'!B:B,'Base stats'!U:U)="No","No",
MAX(0.01,MROUND(_xlfn.XLOOKUP(B96,'Base stats'!B:B,'Base stats'!BQ:BQ)/10000,0.01))
))</f>
        <v>No</v>
      </c>
      <c r="V96" s="4" t="str">
        <f>IF(S96="No","No",
MROUND(_xlfn.XLOOKUP(B96,'Base stats'!B:B,'Base stats'!BC:BC)^0.25
/((_xlfn.XLOOKUP(B96,'Base stats'!B:B,'Base stats'!BL:BL))*10)*_xlfn.XLOOKUP(_xlfn.XLOOKUP(B96,'Base stats'!B:B,'Base stats'!E:E),Groups!A:A,Groups!AE:AE)*150 + 0.5 + _xlfn.XLOOKUP(B96,'Base stats'!B:B,'Base stats'!BT:BT),
0.05))</f>
        <v>No</v>
      </c>
      <c r="W96" s="8">
        <f>MROUND(_xlfn.XLOOKUP(_xlfn.XLOOKUP(B96,'Base stats'!B:B,'Base stats'!E:E),Groups!A:A,Groups!BF:BF)*_xlfn.XLOOKUP(B96,'Base stats'!B:B,'Base stats'!C:C)^-0.165,0.01)</f>
        <v>0.19</v>
      </c>
      <c r="X96" s="1">
        <f>MROUND(_xlfn.XLOOKUP(_xlfn.XLOOKUP(B96,'Base stats'!B:B,'Base stats'!E:E),Groups!A:A,Groups!BG:BG)*_xlfn.XLOOKUP(B96,'Base stats'!B:B,'Base stats'!C:C)^0.165,0.01)</f>
        <v>0</v>
      </c>
      <c r="Y96" s="8">
        <f>MROUND(_xlfn.XLOOKUP(_xlfn.XLOOKUP(B96,'Base stats'!B:B,'Base stats'!E:E),Groups!A:A,Groups!BH:BH)*_xlfn.XLOOKUP(B96,'Base stats'!B:B,'Base stats'!C:C)^0.165,0.01)</f>
        <v>0</v>
      </c>
      <c r="Z96" s="18">
        <f>_xlfn.XLOOKUP(B96,'Base stats'!B:B,'Base stats'!AN:AN)*_xlfn.XLOOKUP(_xlfn.XLOOKUP(B96,'Base stats'!B:B,'Base stats'!E:E),Groups!A:A,Groups!H:H)/1000</f>
        <v>6.8399912812781571E-2</v>
      </c>
      <c r="AA96" s="18">
        <f>(1/2)*(_xlfn.XLOOKUP(_xlfn.XLOOKUP(B96,'Base stats'!B:B,'Base stats'!E:E),Groups!A:A,Groups!H:H)*_xlfn.XLOOKUP(_xlfn.XLOOKUP(B96,'Base stats'!B:B,'Base stats'!E:E),Groups!A:A,Groups!I:I))*_xlfn.XLOOKUP(B96,'Base stats'!B:B,'Base stats'!AN:AN)*0.01</f>
        <v>0.3761995204702987</v>
      </c>
      <c r="AB96" s="18">
        <f>250*(Animals!AN96+Animals!AO96)</f>
        <v>1250</v>
      </c>
      <c r="AC96" s="18" t="str">
        <f>_xlfn.XLOOKUP(_xlfn.XLOOKUP(B96,'Base stats'!B:B,'Base stats'!E:E),Groups!A:A,Groups!BI:BI)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stats'!BP:BP) * (_xlfn.XLOOKUP(B97,'Base stats'!B:B,'Base stats'!AL:AL)*5%)^0.9 / 21,0.1),0.05)</f>
        <v>11.200000000000001</v>
      </c>
      <c r="E97" s="11">
        <f>MAX(0.01,MROUND(_xlfn.XLOOKUP(B97,'Base stats'!B:B,'Base stats'!BD:BD) * 0.01 * 2, 0.01))</f>
        <v>10.200000000000001</v>
      </c>
      <c r="F97" s="7">
        <f>MROUND(_xlfn.XLOOKUP(B97,'Base stats'!B:B,'Base stats'!BA:BA)^0.25 / (_xlfn.XLOOKUP(B97,'Base stats'!B:B,'Base stats'!BH:BH) * 10) * 150 + 0.5 + _xlfn.XLOOKUP(B97,'Base stats'!B:B,'Base stats'!BT:BT), 0.05)</f>
        <v>1.6</v>
      </c>
      <c r="G97" s="3">
        <f>IF(Animals!R97="No","No",
IF(_xlfn.XLOOKUP(B97,'Base stats'!B:B,'Base stats'!U:U)="No",
MAX(MROUND(_xlfn.XLOOKUP(B97,'Base stats'!B:B,'Base stats'!BQ:BQ) * _xlfn.XLOOKUP(B97,'Base stats'!B:B,'Base stats'!BM:BM)^0.9 / 21 * _xlfn.XLOOKUP(B97,'Base stats'!B:B,'Base stats'!BU:BU),0.1),0.05),
MAX(MROUND(((MIN(10,_xlfn.XLOOKUP(B97,'Base stats'!B:B,'Base stats'!U:U)))^0.4*_xlfn.XLOOKUP(B97,'Base stats'!B:B,'Base stats'!BE:BE)^0.73)^0.6 * _xlfn.XLOOKUP(B97,'Base stats'!B:B,'Base stats'!BU:BU),0.1),0.05)
))</f>
        <v>13.600000000000001</v>
      </c>
      <c r="H97" s="11">
        <f>IF(G97="No","No",
MAX(0.01,MROUND(_xlfn.XLOOKUP(B97,'Base stats'!B:B,'Base stats'!BE:BE) * 0.01 * 2, 0.01))
)</f>
        <v>8.6</v>
      </c>
      <c r="I97" s="11" t="str">
        <f>IF(G97="No","No",IF(_xlfn.XLOOKUP(B97,'Base stats'!B:B,'Base stats'!U:U)="No","No",
MAX(0.01,MROUND(_xlfn.XLOOKUP(B97,'Base stats'!B:B,'Base stats'!BQ:BQ)/10000,0.01))
))</f>
        <v>No</v>
      </c>
      <c r="J97" s="4">
        <f>IF(G97="No","No",
MROUND(_xlfn.XLOOKUP(B97,'Base stats'!B:B,'Base stats'!BB:BB)^0.25
/((_xlfn.XLOOKUP(B97,'Base stats'!B:B,'Base stats'!BI:BI))*10)*_xlfn.XLOOKUP(_xlfn.XLOOKUP(B97,'Base stats'!B:B,'Base stats'!E:E),Groups!A:A,Groups!Q:Q)*150 + 0.5 + _xlfn.XLOOKUP(B97,'Base stats'!B:B,'Base stats'!BT:BT),
0.05))</f>
        <v>2.6500000000000004</v>
      </c>
      <c r="K97" s="3">
        <f>IF(Animals!W97="No","No",
IF(_xlfn.XLOOKUP(_xlfn.XLOOKUP(B97,'Base stats'!B:B,'Base stats'!E:E),Groups!A:A,Groups!BC:BC)=1,
MAX(MROUND(_xlfn.XLOOKUP(B97,'Base stats'!B:B,'Base stats'!BR:BR) * _xlfn.XLOOKUP(B97,'Base stats'!B:B,'Base stats'!BN:BN)^0.9 / 21 *_xlfn.XLOOKUP(B97,'Base stats'!B:B,'Base stats'!BU:BU),0.1),0.05),
MAX(MROUND(((MIN(10,_xlfn.XLOOKUP(B97,'Base stats'!B:B,'Base stats'!W:W)))^0.4*_xlfn.XLOOKUP(B97,'Base stats'!B:B,'Base stats'!BF:BF)^0.73)^0.6 *_xlfn.XLOOKUP(B97,'Base stats'!B:B,'Base stats'!BU:BU),0.1),0.05)
))</f>
        <v>13.4</v>
      </c>
      <c r="L97" s="11">
        <f>IF(K97="No","No",
MAX(0.01,MROUND(_xlfn.XLOOKUP(B97,'Base stats'!B:B,'Base stats'!BF:BF) * 0.01 *2, 0.01))
)</f>
        <v>12.24</v>
      </c>
      <c r="M97" s="5" t="str">
        <f>IF(K97="No","No",IF(_xlfn.XLOOKUP(_xlfn.XLOOKUP(B97,'Base stats'!B:B,'Base stats'!E:E),Groups!A:A,Groups!BC:BC)=1,"No",
MAX(0.01,MROUND(_xlfn.XLOOKUP(B97,'Base stats'!B:B,'Base stats'!BR:BR)/10000,0.01))
))</f>
        <v>No</v>
      </c>
      <c r="N97" s="4">
        <f>IF(K97="No","No",
MROUND(
  _xlfn.XLOOKUP(B97,'Base stats'!B:B,'Base stats'!AZ:AZ)^0.25
  / (_xlfn.XLOOKUP(B97,'Base stats'!B:B,'Base stats'!BJ:BJ)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stats'!BT:BT),
0.05))</f>
        <v>2.6</v>
      </c>
      <c r="O97" s="3" t="str">
        <f>IF(Animals!AC97="No","No",
MAX(MROUND((MIN(10,_xlfn.XLOOKUP(B97,'Base stats'!B:B,'Base stats'!V:V)*IF(_xlfn.XLOOKUP(_xlfn.XLOOKUP(B97,'Base stats'!B:B,'Base stats'!E:E),Groups!A:A,Groups!O:O)=0,1,0.33))^0.4*_xlfn.XLOOKUP(B97,'Base stats'!B:B,'Base stats'!BG:BG)^0.73)^0.6 *_xlfn.XLOOKUP(B97,'Base stats'!B:B,'Base stats'!BU:BU),0.1),0.05)
)</f>
        <v>No</v>
      </c>
      <c r="P97" s="11" t="str">
        <f>IF(O97="No","No",
MAX(0.01,MROUND(_xlfn.XLOOKUP(B97,'Base stats'!B:B,'Base stats'!BG:BG) * 0.01 * 2, 0.01))
)</f>
        <v>No</v>
      </c>
      <c r="Q97" s="5" t="str">
        <f>IF(O97="No","No",
MAX(0.01,MROUND(_xlfn.XLOOKUP(B97,'Base stats'!B:B,'Base stats'!BS:BS)/10000,0.01))
)</f>
        <v>No</v>
      </c>
      <c r="R97" s="4" t="str">
        <f>IF(O97="No","No",
MROUND(_xlfn.XLOOKUP(B97,'Base stats'!B:B,'Base stats'!AY:AY)^0.25
/((_xlfn.XLOOKUP(B97,'Base stats'!B:B,'Base stats'!BK:BK))*10)*_xlfn.XLOOKUP(_xlfn.XLOOKUP(B97,'Base stats'!B:B,'Base stats'!E:E),Groups!A:A,Groups!Z:Z)*150 + 0.5 + _xlfn.XLOOKUP(B97,'Base stats'!B:B,'Base stats'!BT:BT),
0.05))</f>
        <v>No</v>
      </c>
      <c r="S97" s="3" t="str">
        <f>IF(Animals!AH97="No","No",
IF(_xlfn.XLOOKUP(B97,'Base stats'!B:B,'Base stats'!U:U)="No",
MAX(MROUND(_xlfn.XLOOKUP(B97,'Base stats'!B:B,'Base stats'!BQ:BQ) * _xlfn.XLOOKUP(B97,'Base stats'!B:B,'Base stats'!BM:BM)^0.9 / 21 * _xlfn.XLOOKUP(B97,'Base stats'!B:B,'Base stats'!BU:BU),0.1),0.05),
MAX(MROUND(((MIN(12,_xlfn.XLOOKUP(B97,'Base stats'!B:B,'Base stats'!U:U)))^0.4*_xlfn.XLOOKUP(B97,'Base stats'!B:B,'Base stats'!BE:BE)^0.73)^0.6 * _xlfn.XLOOKUP(B97,'Base stats'!B:B,'Base stats'!BU:BU),0.1),0.05)
))</f>
        <v>No</v>
      </c>
      <c r="T97" s="11" t="str">
        <f>IF(S97="No","No",
MAX(0.01,MROUND(_xlfn.XLOOKUP(B97,'Base stats'!B:B,'Base stats'!BE:BE) * 0.01 * 2, 0.01))
)</f>
        <v>No</v>
      </c>
      <c r="U97" s="5" t="str">
        <f>IF(S97="No","No",IF(_xlfn.XLOOKUP(B97,'Base stats'!B:B,'Base stats'!U:U)="No","No",
MAX(0.01,MROUND(_xlfn.XLOOKUP(B97,'Base stats'!B:B,'Base stats'!BQ:BQ)/10000,0.01))
))</f>
        <v>No</v>
      </c>
      <c r="V97" s="4" t="str">
        <f>IF(S97="No","No",
MROUND(_xlfn.XLOOKUP(B97,'Base stats'!B:B,'Base stats'!BC:BC)^0.25
/((_xlfn.XLOOKUP(B97,'Base stats'!B:B,'Base stats'!BL:BL))*10)*_xlfn.XLOOKUP(_xlfn.XLOOKUP(B97,'Base stats'!B:B,'Base stats'!E:E),Groups!A:A,Groups!AE:AE)*150 + 0.5 + _xlfn.XLOOKUP(B97,'Base stats'!B:B,'Base stats'!BT:BT),
0.05))</f>
        <v>No</v>
      </c>
      <c r="W97" s="8">
        <f>MROUND(_xlfn.XLOOKUP(_xlfn.XLOOKUP(B97,'Base stats'!B:B,'Base stats'!E:E),Groups!A:A,Groups!BF:BF)*_xlfn.XLOOKUP(B97,'Base stats'!B:B,'Base stats'!C:C)^-0.165,0.01)</f>
        <v>0.19</v>
      </c>
      <c r="X97" s="1">
        <f>MROUND(_xlfn.XLOOKUP(_xlfn.XLOOKUP(B97,'Base stats'!B:B,'Base stats'!E:E),Groups!A:A,Groups!BG:BG)*_xlfn.XLOOKUP(B97,'Base stats'!B:B,'Base stats'!C:C)^0.165,0.01)</f>
        <v>0</v>
      </c>
      <c r="Y97" s="8">
        <f>MROUND(_xlfn.XLOOKUP(_xlfn.XLOOKUP(B97,'Base stats'!B:B,'Base stats'!E:E),Groups!A:A,Groups!BH:BH)*_xlfn.XLOOKUP(B97,'Base stats'!B:B,'Base stats'!C:C)^0.165,0.01)</f>
        <v>0</v>
      </c>
      <c r="Z97" s="18">
        <f>_xlfn.XLOOKUP(B97,'Base stats'!B:B,'Base stats'!AN:AN)*_xlfn.XLOOKUP(_xlfn.XLOOKUP(B97,'Base stats'!B:B,'Base stats'!E:E),Groups!A:A,Groups!H:H)/1000</f>
        <v>6.5703115353881292E-2</v>
      </c>
      <c r="AA97" s="18">
        <f>(1/2)*(_xlfn.XLOOKUP(_xlfn.XLOOKUP(B97,'Base stats'!B:B,'Base stats'!E:E),Groups!A:A,Groups!H:H)*_xlfn.XLOOKUP(_xlfn.XLOOKUP(B97,'Base stats'!B:B,'Base stats'!E:E),Groups!A:A,Groups!I:I))*_xlfn.XLOOKUP(B97,'Base stats'!B:B,'Base stats'!AN:AN)*0.01</f>
        <v>0.3613671344463471</v>
      </c>
      <c r="AB97" s="18">
        <f>250*(Animals!AN97+Animals!AO97)</f>
        <v>1125</v>
      </c>
      <c r="AC97" s="18" t="str">
        <f>_xlfn.XLOOKUP(_xlfn.XLOOKUP(B97,'Base stats'!B:B,'Base stats'!E:E),Groups!A:A,Groups!BI:BI)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stats'!BP:BP) * (_xlfn.XLOOKUP(B98,'Base stats'!B:B,'Base stats'!AL:AL)*5%)^0.9 / 21,0.1),0.05)</f>
        <v>0.9</v>
      </c>
      <c r="E98" s="11">
        <f>MAX(0.01,MROUND(_xlfn.XLOOKUP(B98,'Base stats'!B:B,'Base stats'!BD:BD) * 0.01 * 2, 0.01))</f>
        <v>0.69000000000000006</v>
      </c>
      <c r="F98" s="7">
        <f>MROUND(_xlfn.XLOOKUP(B98,'Base stats'!B:B,'Base stats'!BA:BA)^0.25 / (_xlfn.XLOOKUP(B98,'Base stats'!B:B,'Base stats'!BH:BH) * 10) * 150 + 0.5 + _xlfn.XLOOKUP(B98,'Base stats'!B:B,'Base stats'!BT:BT), 0.05)</f>
        <v>2.0500000000000003</v>
      </c>
      <c r="G98" s="3" t="str">
        <f>IF(Animals!R98="No","No",
IF(_xlfn.XLOOKUP(B98,'Base stats'!B:B,'Base stats'!U:U)="No",
MAX(MROUND(_xlfn.XLOOKUP(B98,'Base stats'!B:B,'Base stats'!BQ:BQ) * _xlfn.XLOOKUP(B98,'Base stats'!B:B,'Base stats'!BM:BM)^0.9 / 21 * _xlfn.XLOOKUP(B98,'Base stats'!B:B,'Base stats'!BU:BU),0.1),0.05),
MAX(MROUND(((MIN(10,_xlfn.XLOOKUP(B98,'Base stats'!B:B,'Base stats'!U:U)))^0.4*_xlfn.XLOOKUP(B98,'Base stats'!B:B,'Base stats'!BE:BE)^0.73)^0.6 * _xlfn.XLOOKUP(B98,'Base stats'!B:B,'Base stats'!BU:BU),0.1),0.05)
))</f>
        <v>No</v>
      </c>
      <c r="H98" s="11" t="str">
        <f>IF(G98="No","No",
MAX(0.01,MROUND(_xlfn.XLOOKUP(B98,'Base stats'!B:B,'Base stats'!BE:BE) * 0.01 * 2, 0.01))
)</f>
        <v>No</v>
      </c>
      <c r="I98" s="11" t="str">
        <f>IF(G98="No","No",IF(_xlfn.XLOOKUP(B98,'Base stats'!B:B,'Base stats'!U:U)="No","No",
MAX(0.01,MROUND(_xlfn.XLOOKUP(B98,'Base stats'!B:B,'Base stats'!BQ:BQ)/10000,0.01))
))</f>
        <v>No</v>
      </c>
      <c r="J98" s="4" t="str">
        <f>IF(G98="No","No",
MROUND(_xlfn.XLOOKUP(B98,'Base stats'!B:B,'Base stats'!BB:BB)^0.25
/((_xlfn.XLOOKUP(B98,'Base stats'!B:B,'Base stats'!BI:BI))*10)*_xlfn.XLOOKUP(_xlfn.XLOOKUP(B98,'Base stats'!B:B,'Base stats'!E:E),Groups!A:A,Groups!Q:Q)*150 + 0.5 + _xlfn.XLOOKUP(B98,'Base stats'!B:B,'Base stats'!BT:BT),
0.05))</f>
        <v>No</v>
      </c>
      <c r="K98" s="3" t="str">
        <f>IF(Animals!W98="No","No",
IF(_xlfn.XLOOKUP(_xlfn.XLOOKUP(B98,'Base stats'!B:B,'Base stats'!E:E),Groups!A:A,Groups!BC:BC)=1,
MAX(MROUND(_xlfn.XLOOKUP(B98,'Base stats'!B:B,'Base stats'!BR:BR) * _xlfn.XLOOKUP(B98,'Base stats'!B:B,'Base stats'!BN:BN)^0.9 / 21 *_xlfn.XLOOKUP(B98,'Base stats'!B:B,'Base stats'!BU:BU),0.1),0.05),
MAX(MROUND(((MIN(10,_xlfn.XLOOKUP(B98,'Base stats'!B:B,'Base stats'!W:W)))^0.4*_xlfn.XLOOKUP(B98,'Base stats'!B:B,'Base stats'!BF:BF)^0.73)^0.6 *_xlfn.XLOOKUP(B98,'Base stats'!B:B,'Base stats'!BU:BU),0.1),0.05)
))</f>
        <v>No</v>
      </c>
      <c r="L98" s="11" t="str">
        <f>IF(K98="No","No",
MAX(0.01,MROUND(_xlfn.XLOOKUP(B98,'Base stats'!B:B,'Base stats'!BF:BF) * 0.01 *2, 0.01))
)</f>
        <v>No</v>
      </c>
      <c r="M98" s="5" t="str">
        <f>IF(K98="No","No",IF(_xlfn.XLOOKUP(_xlfn.XLOOKUP(B98,'Base stats'!B:B,'Base stats'!E:E),Groups!A:A,Groups!BC:BC)=1,"No",
MAX(0.01,MROUND(_xlfn.XLOOKUP(B98,'Base stats'!B:B,'Base stats'!BR:BR)/10000,0.01))
))</f>
        <v>No</v>
      </c>
      <c r="N98" s="4" t="str">
        <f>IF(K98="No","No",
MROUND(
  _xlfn.XLOOKUP(B98,'Base stats'!B:B,'Base stats'!AZ:AZ)^0.25
  / (_xlfn.XLOOKUP(B98,'Base stats'!B:B,'Base stats'!BJ:BJ)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stats'!BT:BT),
0.05))</f>
        <v>No</v>
      </c>
      <c r="O98" s="3">
        <f>IF(Animals!AC98="No","No",
MAX(MROUND((MIN(10,_xlfn.XLOOKUP(B98,'Base stats'!B:B,'Base stats'!V:V)*IF(_xlfn.XLOOKUP(_xlfn.XLOOKUP(B98,'Base stats'!B:B,'Base stats'!E:E),Groups!A:A,Groups!O:O)=0,1,0.33))^0.4*_xlfn.XLOOKUP(B98,'Base stats'!B:B,'Base stats'!BG:BG)^0.73)^0.6 *_xlfn.XLOOKUP(B98,'Base stats'!B:B,'Base stats'!BU:BU),0.1),0.05)
)</f>
        <v>5.7</v>
      </c>
      <c r="P98" s="11">
        <f>IF(O98="No","No",
MAX(0.01,MROUND(_xlfn.XLOOKUP(B98,'Base stats'!B:B,'Base stats'!BG:BG) * 0.01 * 2, 0.01))
)</f>
        <v>1.07</v>
      </c>
      <c r="Q98" s="5">
        <f>IF(O98="No","No",
MAX(0.01,MROUND(_xlfn.XLOOKUP(B98,'Base stats'!B:B,'Base stats'!BS:BS)/10000,0.01))
)</f>
        <v>7.0000000000000007E-2</v>
      </c>
      <c r="R98" s="4">
        <f>IF(O98="No","No",
MROUND(_xlfn.XLOOKUP(B98,'Base stats'!B:B,'Base stats'!AY:AY)^0.25
/((_xlfn.XLOOKUP(B98,'Base stats'!B:B,'Base stats'!BK:BK))*10)*_xlfn.XLOOKUP(_xlfn.XLOOKUP(B98,'Base stats'!B:B,'Base stats'!E:E),Groups!A:A,Groups!Z:Z)*150 + 0.5 + _xlfn.XLOOKUP(B98,'Base stats'!B:B,'Base stats'!BT:BT),
0.05))</f>
        <v>2.25</v>
      </c>
      <c r="S98" s="3" t="str">
        <f>IF(Animals!AH98="No","No",
IF(_xlfn.XLOOKUP(B98,'Base stats'!B:B,'Base stats'!U:U)="No",
MAX(MROUND(_xlfn.XLOOKUP(B98,'Base stats'!B:B,'Base stats'!BQ:BQ) * _xlfn.XLOOKUP(B98,'Base stats'!B:B,'Base stats'!BM:BM)^0.9 / 21 * _xlfn.XLOOKUP(B98,'Base stats'!B:B,'Base stats'!BU:BU),0.1),0.05),
MAX(MROUND(((MIN(12,_xlfn.XLOOKUP(B98,'Base stats'!B:B,'Base stats'!U:U)))^0.4*_xlfn.XLOOKUP(B98,'Base stats'!B:B,'Base stats'!BE:BE)^0.73)^0.6 * _xlfn.XLOOKUP(B98,'Base stats'!B:B,'Base stats'!BU:BU),0.1),0.05)
))</f>
        <v>No</v>
      </c>
      <c r="T98" s="11" t="str">
        <f>IF(S98="No","No",
MAX(0.01,MROUND(_xlfn.XLOOKUP(B98,'Base stats'!B:B,'Base stats'!BE:BE) * 0.01 * 2, 0.01))
)</f>
        <v>No</v>
      </c>
      <c r="U98" s="5" t="str">
        <f>IF(S98="No","No",IF(_xlfn.XLOOKUP(B98,'Base stats'!B:B,'Base stats'!U:U)="No","No",
MAX(0.01,MROUND(_xlfn.XLOOKUP(B98,'Base stats'!B:B,'Base stats'!BQ:BQ)/10000,0.01))
))</f>
        <v>No</v>
      </c>
      <c r="V98" s="4" t="str">
        <f>IF(S98="No","No",
MROUND(_xlfn.XLOOKUP(B98,'Base stats'!B:B,'Base stats'!BC:BC)^0.25
/((_xlfn.XLOOKUP(B98,'Base stats'!B:B,'Base stats'!BL:BL))*10)*_xlfn.XLOOKUP(_xlfn.XLOOKUP(B98,'Base stats'!B:B,'Base stats'!E:E),Groups!A:A,Groups!AE:AE)*150 + 0.5 + _xlfn.XLOOKUP(B98,'Base stats'!B:B,'Base stats'!BT:BT),
0.05))</f>
        <v>No</v>
      </c>
      <c r="W98" s="8">
        <f>MROUND(_xlfn.XLOOKUP(_xlfn.XLOOKUP(B98,'Base stats'!B:B,'Base stats'!E:E),Groups!A:A,Groups!BF:BF)*_xlfn.XLOOKUP(B98,'Base stats'!B:B,'Base stats'!C:C)^-0.165,0.01)</f>
        <v>0.13</v>
      </c>
      <c r="X98" s="1">
        <f>MROUND(_xlfn.XLOOKUP(_xlfn.XLOOKUP(B98,'Base stats'!B:B,'Base stats'!E:E),Groups!A:A,Groups!BG:BG)*_xlfn.XLOOKUP(B98,'Base stats'!B:B,'Base stats'!C:C)^0.165,0.01)</f>
        <v>0</v>
      </c>
      <c r="Y98" s="8">
        <f>MROUND(_xlfn.XLOOKUP(_xlfn.XLOOKUP(B98,'Base stats'!B:B,'Base stats'!E:E),Groups!A:A,Groups!BH:BH)*_xlfn.XLOOKUP(B98,'Base stats'!B:B,'Base stats'!C:C)^0.165,0.01)</f>
        <v>0</v>
      </c>
      <c r="Z98" s="18">
        <f>_xlfn.XLOOKUP(B98,'Base stats'!B:B,'Base stats'!AN:AN)*_xlfn.XLOOKUP(_xlfn.XLOOKUP(B98,'Base stats'!B:B,'Base stats'!E:E),Groups!A:A,Groups!H:H)/1000</f>
        <v>1.1210216452606561</v>
      </c>
      <c r="AA98" s="18">
        <f>(1/2)*(_xlfn.XLOOKUP(_xlfn.XLOOKUP(B98,'Base stats'!B:B,'Base stats'!E:E),Groups!A:A,Groups!H:H)*_xlfn.XLOOKUP(_xlfn.XLOOKUP(B98,'Base stats'!B:B,'Base stats'!E:E),Groups!A:A,Groups!I:I))*_xlfn.XLOOKUP(B98,'Base stats'!B:B,'Base stats'!AN:AN)*0.01</f>
        <v>2.7714146230055109E-2</v>
      </c>
      <c r="AB98" s="18">
        <f>250*(Animals!AN98+Animals!AO98)</f>
        <v>425.00000000000006</v>
      </c>
      <c r="AC98" s="18" t="str">
        <f>_xlfn.XLOOKUP(_xlfn.XLOOKUP(B98,'Base stats'!B:B,'Base stats'!E:E),Groups!A:A,Groups!BI:BI)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stats'!BP:BP) * (_xlfn.XLOOKUP(B99,'Base stats'!B:B,'Base stats'!AL:AL)*5%)^0.9 / 21,0.1),0.05)</f>
        <v>1.6</v>
      </c>
      <c r="E99" s="11">
        <f>MAX(0.01,MROUND(_xlfn.XLOOKUP(B99,'Base stats'!B:B,'Base stats'!BD:BD) * 0.01 * 2, 0.01))</f>
        <v>1.25</v>
      </c>
      <c r="F99" s="7">
        <f>MROUND(_xlfn.XLOOKUP(B99,'Base stats'!B:B,'Base stats'!BA:BA)^0.25 / (_xlfn.XLOOKUP(B99,'Base stats'!B:B,'Base stats'!BH:BH) * 10) * 150 + 0.5 + _xlfn.XLOOKUP(B99,'Base stats'!B:B,'Base stats'!BT:BT), 0.05)</f>
        <v>1.85</v>
      </c>
      <c r="G99" s="3" t="str">
        <f>IF(Animals!R99="No","No",
IF(_xlfn.XLOOKUP(B99,'Base stats'!B:B,'Base stats'!U:U)="No",
MAX(MROUND(_xlfn.XLOOKUP(B99,'Base stats'!B:B,'Base stats'!BQ:BQ) * _xlfn.XLOOKUP(B99,'Base stats'!B:B,'Base stats'!BM:BM)^0.9 / 21 * _xlfn.XLOOKUP(B99,'Base stats'!B:B,'Base stats'!BU:BU),0.1),0.05),
MAX(MROUND(((MIN(10,_xlfn.XLOOKUP(B99,'Base stats'!B:B,'Base stats'!U:U)))^0.4*_xlfn.XLOOKUP(B99,'Base stats'!B:B,'Base stats'!BE:BE)^0.73)^0.6 * _xlfn.XLOOKUP(B99,'Base stats'!B:B,'Base stats'!BU:BU),0.1),0.05)
))</f>
        <v>No</v>
      </c>
      <c r="H99" s="11" t="str">
        <f>IF(G99="No","No",
MAX(0.01,MROUND(_xlfn.XLOOKUP(B99,'Base stats'!B:B,'Base stats'!BE:BE) * 0.01 * 2, 0.01))
)</f>
        <v>No</v>
      </c>
      <c r="I99" s="11" t="str">
        <f>IF(G99="No","No",IF(_xlfn.XLOOKUP(B99,'Base stats'!B:B,'Base stats'!U:U)="No","No",
MAX(0.01,MROUND(_xlfn.XLOOKUP(B99,'Base stats'!B:B,'Base stats'!BQ:BQ)/10000,0.01))
))</f>
        <v>No</v>
      </c>
      <c r="J99" s="4" t="str">
        <f>IF(G99="No","No",
MROUND(_xlfn.XLOOKUP(B99,'Base stats'!B:B,'Base stats'!BB:BB)^0.25
/((_xlfn.XLOOKUP(B99,'Base stats'!B:B,'Base stats'!BI:BI))*10)*_xlfn.XLOOKUP(_xlfn.XLOOKUP(B99,'Base stats'!B:B,'Base stats'!E:E),Groups!A:A,Groups!Q:Q)*150 + 0.5 + _xlfn.XLOOKUP(B99,'Base stats'!B:B,'Base stats'!BT:BT),
0.05))</f>
        <v>No</v>
      </c>
      <c r="K99" s="3" t="str">
        <f>IF(Animals!W99="No","No",
IF(_xlfn.XLOOKUP(_xlfn.XLOOKUP(B99,'Base stats'!B:B,'Base stats'!E:E),Groups!A:A,Groups!BC:BC)=1,
MAX(MROUND(_xlfn.XLOOKUP(B99,'Base stats'!B:B,'Base stats'!BR:BR) * _xlfn.XLOOKUP(B99,'Base stats'!B:B,'Base stats'!BN:BN)^0.9 / 21 *_xlfn.XLOOKUP(B99,'Base stats'!B:B,'Base stats'!BU:BU),0.1),0.05),
MAX(MROUND(((MIN(10,_xlfn.XLOOKUP(B99,'Base stats'!B:B,'Base stats'!W:W)))^0.4*_xlfn.XLOOKUP(B99,'Base stats'!B:B,'Base stats'!BF:BF)^0.73)^0.6 *_xlfn.XLOOKUP(B99,'Base stats'!B:B,'Base stats'!BU:BU),0.1),0.05)
))</f>
        <v>No</v>
      </c>
      <c r="L99" s="11" t="str">
        <f>IF(K99="No","No",
MAX(0.01,MROUND(_xlfn.XLOOKUP(B99,'Base stats'!B:B,'Base stats'!BF:BF) * 0.01 *2, 0.01))
)</f>
        <v>No</v>
      </c>
      <c r="M99" s="5" t="str">
        <f>IF(K99="No","No",IF(_xlfn.XLOOKUP(_xlfn.XLOOKUP(B99,'Base stats'!B:B,'Base stats'!E:E),Groups!A:A,Groups!BC:BC)=1,"No",
MAX(0.01,MROUND(_xlfn.XLOOKUP(B99,'Base stats'!B:B,'Base stats'!BR:BR)/10000,0.01))
))</f>
        <v>No</v>
      </c>
      <c r="N99" s="4" t="str">
        <f>IF(K99="No","No",
MROUND(
  _xlfn.XLOOKUP(B99,'Base stats'!B:B,'Base stats'!AZ:AZ)^0.25
  / (_xlfn.XLOOKUP(B99,'Base stats'!B:B,'Base stats'!BJ:BJ)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stats'!BT:BT),
0.05))</f>
        <v>No</v>
      </c>
      <c r="O99" s="3">
        <f>IF(Animals!AC99="No","No",
MAX(MROUND((MIN(10,_xlfn.XLOOKUP(B99,'Base stats'!B:B,'Base stats'!V:V)*IF(_xlfn.XLOOKUP(_xlfn.XLOOKUP(B99,'Base stats'!B:B,'Base stats'!E:E),Groups!A:A,Groups!O:O)=0,1,0.33))^0.4*_xlfn.XLOOKUP(B99,'Base stats'!B:B,'Base stats'!BG:BG)^0.73)^0.6 *_xlfn.XLOOKUP(B99,'Base stats'!B:B,'Base stats'!BU:BU),0.1),0.05)
)</f>
        <v>14.8</v>
      </c>
      <c r="P99" s="11">
        <f>IF(O99="No","No",
MAX(0.01,MROUND(_xlfn.XLOOKUP(B99,'Base stats'!B:B,'Base stats'!BG:BG) * 0.01 * 2, 0.01))
)</f>
        <v>4.9000000000000004</v>
      </c>
      <c r="Q99" s="5">
        <f>IF(O99="No","No",
MAX(0.01,MROUND(_xlfn.XLOOKUP(B99,'Base stats'!B:B,'Base stats'!BS:BS)/10000,0.01))
)</f>
        <v>0.35000000000000003</v>
      </c>
      <c r="R99" s="4">
        <f>IF(O99="No","No",
MROUND(_xlfn.XLOOKUP(B99,'Base stats'!B:B,'Base stats'!AY:AY)^0.25
/((_xlfn.XLOOKUP(B99,'Base stats'!B:B,'Base stats'!BK:BK))*10)*_xlfn.XLOOKUP(_xlfn.XLOOKUP(B99,'Base stats'!B:B,'Base stats'!E:E),Groups!A:A,Groups!Z:Z)*150 + 0.5 + _xlfn.XLOOKUP(B99,'Base stats'!B:B,'Base stats'!BT:BT),
0.05))</f>
        <v>2.25</v>
      </c>
      <c r="S99" s="3" t="str">
        <f>IF(Animals!AH99="No","No",
IF(_xlfn.XLOOKUP(B99,'Base stats'!B:B,'Base stats'!U:U)="No",
MAX(MROUND(_xlfn.XLOOKUP(B99,'Base stats'!B:B,'Base stats'!BQ:BQ) * _xlfn.XLOOKUP(B99,'Base stats'!B:B,'Base stats'!BM:BM)^0.9 / 21 * _xlfn.XLOOKUP(B99,'Base stats'!B:B,'Base stats'!BU:BU),0.1),0.05),
MAX(MROUND(((MIN(12,_xlfn.XLOOKUP(B99,'Base stats'!B:B,'Base stats'!U:U)))^0.4*_xlfn.XLOOKUP(B99,'Base stats'!B:B,'Base stats'!BE:BE)^0.73)^0.6 * _xlfn.XLOOKUP(B99,'Base stats'!B:B,'Base stats'!BU:BU),0.1),0.05)
))</f>
        <v>No</v>
      </c>
      <c r="T99" s="11" t="str">
        <f>IF(S99="No","No",
MAX(0.01,MROUND(_xlfn.XLOOKUP(B99,'Base stats'!B:B,'Base stats'!BE:BE) * 0.01 * 2, 0.01))
)</f>
        <v>No</v>
      </c>
      <c r="U99" s="5" t="str">
        <f>IF(S99="No","No",IF(_xlfn.XLOOKUP(B99,'Base stats'!B:B,'Base stats'!U:U)="No","No",
MAX(0.01,MROUND(_xlfn.XLOOKUP(B99,'Base stats'!B:B,'Base stats'!BQ:BQ)/10000,0.01))
))</f>
        <v>No</v>
      </c>
      <c r="V99" s="4" t="str">
        <f>IF(S99="No","No",
MROUND(_xlfn.XLOOKUP(B99,'Base stats'!B:B,'Base stats'!BC:BC)^0.25
/((_xlfn.XLOOKUP(B99,'Base stats'!B:B,'Base stats'!BL:BL))*10)*_xlfn.XLOOKUP(_xlfn.XLOOKUP(B99,'Base stats'!B:B,'Base stats'!E:E),Groups!A:A,Groups!AE:AE)*150 + 0.5 + _xlfn.XLOOKUP(B99,'Base stats'!B:B,'Base stats'!BT:BT),
0.05))</f>
        <v>No</v>
      </c>
      <c r="W99" s="8">
        <f>MROUND(_xlfn.XLOOKUP(_xlfn.XLOOKUP(B99,'Base stats'!B:B,'Base stats'!E:E),Groups!A:A,Groups!BF:BF)*_xlfn.XLOOKUP(B99,'Base stats'!B:B,'Base stats'!C:C)^-0.165,0.01)</f>
        <v>0.53</v>
      </c>
      <c r="X99" s="1">
        <f>MROUND(_xlfn.XLOOKUP(_xlfn.XLOOKUP(B99,'Base stats'!B:B,'Base stats'!E:E),Groups!A:A,Groups!BG:BG)*_xlfn.XLOOKUP(B99,'Base stats'!B:B,'Base stats'!C:C)^0.165,0.01)</f>
        <v>0.37</v>
      </c>
      <c r="Y99" s="8">
        <f>MROUND(_xlfn.XLOOKUP(_xlfn.XLOOKUP(B99,'Base stats'!B:B,'Base stats'!E:E),Groups!A:A,Groups!BH:BH)*_xlfn.XLOOKUP(B99,'Base stats'!B:B,'Base stats'!C:C)^0.165,0.01)</f>
        <v>0.05</v>
      </c>
      <c r="Z99" s="18">
        <f>_xlfn.XLOOKUP(B99,'Base stats'!B:B,'Base stats'!AN:AN)*_xlfn.XLOOKUP(_xlfn.XLOOKUP(B99,'Base stats'!B:B,'Base stats'!E:E),Groups!A:A,Groups!H:H)/1000</f>
        <v>8.4405201022109563E-2</v>
      </c>
      <c r="AA99" s="18">
        <f>(1/2)*(_xlfn.XLOOKUP(_xlfn.XLOOKUP(B99,'Base stats'!B:B,'Base stats'!E:E),Groups!A:A,Groups!H:H)*_xlfn.XLOOKUP(_xlfn.XLOOKUP(B99,'Base stats'!B:B,'Base stats'!E:E),Groups!A:A,Groups!I:I))*_xlfn.XLOOKUP(B99,'Base stats'!B:B,'Base stats'!AN:AN)*0.01</f>
        <v>0.63303900766582177</v>
      </c>
      <c r="AB99" s="18">
        <f>250*(Animals!AN99+Animals!AO99)</f>
        <v>437.5</v>
      </c>
      <c r="AC99" s="18" t="str">
        <f>_xlfn.XLOOKUP(_xlfn.XLOOKUP(B99,'Base stats'!B:B,'Base stats'!E:E),Groups!A:A,Groups!BI:BI)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stats'!BP:BP) * (_xlfn.XLOOKUP(B100,'Base stats'!B:B,'Base stats'!AL:AL)*5%)^0.9 / 21,0.1),0.05)</f>
        <v>2.2000000000000002</v>
      </c>
      <c r="E100" s="11">
        <f>MAX(0.01,MROUND(_xlfn.XLOOKUP(B100,'Base stats'!B:B,'Base stats'!BD:BD) * 0.01 * 2, 0.01))</f>
        <v>1.82</v>
      </c>
      <c r="F100" s="7">
        <f>MROUND(_xlfn.XLOOKUP(B100,'Base stats'!B:B,'Base stats'!BA:BA)^0.25 / (_xlfn.XLOOKUP(B100,'Base stats'!B:B,'Base stats'!BH:BH) * 10) * 150 + 0.5 + _xlfn.XLOOKUP(B100,'Base stats'!B:B,'Base stats'!BT:BT), 0.05)</f>
        <v>1.9500000000000002</v>
      </c>
      <c r="G100" s="3" t="str">
        <f>IF(Animals!R100="No","No",
IF(_xlfn.XLOOKUP(B100,'Base stats'!B:B,'Base stats'!U:U)="No",
MAX(MROUND(_xlfn.XLOOKUP(B100,'Base stats'!B:B,'Base stats'!BQ:BQ) * _xlfn.XLOOKUP(B100,'Base stats'!B:B,'Base stats'!BM:BM)^0.9 / 21 * _xlfn.XLOOKUP(B100,'Base stats'!B:B,'Base stats'!BU:BU),0.1),0.05),
MAX(MROUND(((MIN(10,_xlfn.XLOOKUP(B100,'Base stats'!B:B,'Base stats'!U:U)))^0.4*_xlfn.XLOOKUP(B100,'Base stats'!B:B,'Base stats'!BE:BE)^0.73)^0.6 * _xlfn.XLOOKUP(B100,'Base stats'!B:B,'Base stats'!BU:BU),0.1),0.05)
))</f>
        <v>No</v>
      </c>
      <c r="H100" s="11" t="str">
        <f>IF(G100="No","No",
MAX(0.01,MROUND(_xlfn.XLOOKUP(B100,'Base stats'!B:B,'Base stats'!BE:BE) * 0.01 * 2, 0.01))
)</f>
        <v>No</v>
      </c>
      <c r="I100" s="11" t="str">
        <f>IF(G100="No","No",IF(_xlfn.XLOOKUP(B100,'Base stats'!B:B,'Base stats'!U:U)="No","No",
MAX(0.01,MROUND(_xlfn.XLOOKUP(B100,'Base stats'!B:B,'Base stats'!BQ:BQ)/10000,0.01))
))</f>
        <v>No</v>
      </c>
      <c r="J100" s="4" t="str">
        <f>IF(G100="No","No",
MROUND(_xlfn.XLOOKUP(B100,'Base stats'!B:B,'Base stats'!BB:BB)^0.25
/((_xlfn.XLOOKUP(B100,'Base stats'!B:B,'Base stats'!BI:BI))*10)*_xlfn.XLOOKUP(_xlfn.XLOOKUP(B100,'Base stats'!B:B,'Base stats'!E:E),Groups!A:A,Groups!Q:Q)*150 + 0.5 + _xlfn.XLOOKUP(B100,'Base stats'!B:B,'Base stats'!BT:BT),
0.05))</f>
        <v>No</v>
      </c>
      <c r="K100" s="3" t="str">
        <f>IF(Animals!W100="No","No",
IF(_xlfn.XLOOKUP(_xlfn.XLOOKUP(B100,'Base stats'!B:B,'Base stats'!E:E),Groups!A:A,Groups!BC:BC)=1,
MAX(MROUND(_xlfn.XLOOKUP(B100,'Base stats'!B:B,'Base stats'!BR:BR) * _xlfn.XLOOKUP(B100,'Base stats'!B:B,'Base stats'!BN:BN)^0.9 / 21 *_xlfn.XLOOKUP(B100,'Base stats'!B:B,'Base stats'!BU:BU),0.1),0.05),
MAX(MROUND(((MIN(10,_xlfn.XLOOKUP(B100,'Base stats'!B:B,'Base stats'!W:W)))^0.4*_xlfn.XLOOKUP(B100,'Base stats'!B:B,'Base stats'!BF:BF)^0.73)^0.6 *_xlfn.XLOOKUP(B100,'Base stats'!B:B,'Base stats'!BU:BU),0.1),0.05)
))</f>
        <v>No</v>
      </c>
      <c r="L100" s="11" t="str">
        <f>IF(K100="No","No",
MAX(0.01,MROUND(_xlfn.XLOOKUP(B100,'Base stats'!B:B,'Base stats'!BF:BF) * 0.01 *2, 0.01))
)</f>
        <v>No</v>
      </c>
      <c r="M100" s="5" t="str">
        <f>IF(K100="No","No",IF(_xlfn.XLOOKUP(_xlfn.XLOOKUP(B100,'Base stats'!B:B,'Base stats'!E:E),Groups!A:A,Groups!BC:BC)=1,"No",
MAX(0.01,MROUND(_xlfn.XLOOKUP(B100,'Base stats'!B:B,'Base stats'!BR:BR)/10000,0.01))
))</f>
        <v>No</v>
      </c>
      <c r="N100" s="4" t="str">
        <f>IF(K100="No","No",
MROUND(
  _xlfn.XLOOKUP(B100,'Base stats'!B:B,'Base stats'!AZ:AZ)^0.25
  / (_xlfn.XLOOKUP(B100,'Base stats'!B:B,'Base stats'!BJ:BJ)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stats'!BT:BT),
0.05))</f>
        <v>No</v>
      </c>
      <c r="O100" s="3">
        <f>IF(Animals!AC100="No","No",
MAX(MROUND((MIN(10,_xlfn.XLOOKUP(B100,'Base stats'!B:B,'Base stats'!V:V)*IF(_xlfn.XLOOKUP(_xlfn.XLOOKUP(B100,'Base stats'!B:B,'Base stats'!E:E),Groups!A:A,Groups!O:O)=0,1,0.33))^0.4*_xlfn.XLOOKUP(B100,'Base stats'!B:B,'Base stats'!BG:BG)^0.73)^0.6 *_xlfn.XLOOKUP(B100,'Base stats'!B:B,'Base stats'!BU:BU),0.1),0.05)
)</f>
        <v>17.5</v>
      </c>
      <c r="P100" s="11">
        <f>IF(O100="No","No",
MAX(0.01,MROUND(_xlfn.XLOOKUP(B100,'Base stats'!B:B,'Base stats'!BG:BG) * 0.01 * 2, 0.01))
)</f>
        <v>6.79</v>
      </c>
      <c r="Q100" s="5">
        <f>IF(O100="No","No",
MAX(0.01,MROUND(_xlfn.XLOOKUP(B100,'Base stats'!B:B,'Base stats'!BS:BS)/10000,0.01))
)</f>
        <v>0.41000000000000003</v>
      </c>
      <c r="R100" s="4">
        <f>IF(O100="No","No",
MROUND(_xlfn.XLOOKUP(B100,'Base stats'!B:B,'Base stats'!AY:AY)^0.25
/((_xlfn.XLOOKUP(B100,'Base stats'!B:B,'Base stats'!BK:BK))*10)*_xlfn.XLOOKUP(_xlfn.XLOOKUP(B100,'Base stats'!B:B,'Base stats'!E:E),Groups!A:A,Groups!Z:Z)*150 + 0.5 + _xlfn.XLOOKUP(B100,'Base stats'!B:B,'Base stats'!BT:BT),
0.05))</f>
        <v>2.15</v>
      </c>
      <c r="S100" s="3" t="str">
        <f>IF(Animals!AH100="No","No",
IF(_xlfn.XLOOKUP(B100,'Base stats'!B:B,'Base stats'!U:U)="No",
MAX(MROUND(_xlfn.XLOOKUP(B100,'Base stats'!B:B,'Base stats'!BQ:BQ) * _xlfn.XLOOKUP(B100,'Base stats'!B:B,'Base stats'!BM:BM)^0.9 / 21 * _xlfn.XLOOKUP(B100,'Base stats'!B:B,'Base stats'!BU:BU),0.1),0.05),
MAX(MROUND(((MIN(12,_xlfn.XLOOKUP(B100,'Base stats'!B:B,'Base stats'!U:U)))^0.4*_xlfn.XLOOKUP(B100,'Base stats'!B:B,'Base stats'!BE:BE)^0.73)^0.6 * _xlfn.XLOOKUP(B100,'Base stats'!B:B,'Base stats'!BU:BU),0.1),0.05)
))</f>
        <v>No</v>
      </c>
      <c r="T100" s="11" t="str">
        <f>IF(S100="No","No",
MAX(0.01,MROUND(_xlfn.XLOOKUP(B100,'Base stats'!B:B,'Base stats'!BE:BE) * 0.01 * 2, 0.01))
)</f>
        <v>No</v>
      </c>
      <c r="U100" s="5" t="str">
        <f>IF(S100="No","No",IF(_xlfn.XLOOKUP(B100,'Base stats'!B:B,'Base stats'!U:U)="No","No",
MAX(0.01,MROUND(_xlfn.XLOOKUP(B100,'Base stats'!B:B,'Base stats'!BQ:BQ)/10000,0.01))
))</f>
        <v>No</v>
      </c>
      <c r="V100" s="4" t="str">
        <f>IF(S100="No","No",
MROUND(_xlfn.XLOOKUP(B100,'Base stats'!B:B,'Base stats'!BC:BC)^0.25
/((_xlfn.XLOOKUP(B100,'Base stats'!B:B,'Base stats'!BL:BL))*10)*_xlfn.XLOOKUP(_xlfn.XLOOKUP(B100,'Base stats'!B:B,'Base stats'!E:E),Groups!A:A,Groups!AE:AE)*150 + 0.5 + _xlfn.XLOOKUP(B100,'Base stats'!B:B,'Base stats'!BT:BT),
0.05))</f>
        <v>No</v>
      </c>
      <c r="W100" s="8">
        <f>MROUND(_xlfn.XLOOKUP(_xlfn.XLOOKUP(B100,'Base stats'!B:B,'Base stats'!E:E),Groups!A:A,Groups!BF:BF)*_xlfn.XLOOKUP(B100,'Base stats'!B:B,'Base stats'!C:C)^-0.165,0.01)</f>
        <v>0.5</v>
      </c>
      <c r="X100" s="1">
        <f>MROUND(_xlfn.XLOOKUP(_xlfn.XLOOKUP(B100,'Base stats'!B:B,'Base stats'!E:E),Groups!A:A,Groups!BG:BG)*_xlfn.XLOOKUP(B100,'Base stats'!B:B,'Base stats'!C:C)^0.165,0.01)</f>
        <v>0.4</v>
      </c>
      <c r="Y100" s="8">
        <f>MROUND(_xlfn.XLOOKUP(_xlfn.XLOOKUP(B100,'Base stats'!B:B,'Base stats'!E:E),Groups!A:A,Groups!BH:BH)*_xlfn.XLOOKUP(B100,'Base stats'!B:B,'Base stats'!C:C)^0.165,0.01)</f>
        <v>0.05</v>
      </c>
      <c r="Z100" s="18">
        <f>_xlfn.XLOOKUP(B100,'Base stats'!B:B,'Base stats'!AN:AN)*_xlfn.XLOOKUP(_xlfn.XLOOKUP(B100,'Base stats'!B:B,'Base stats'!E:E),Groups!A:A,Groups!H:H)/1000</f>
        <v>9.7526569500718377E-2</v>
      </c>
      <c r="AA100" s="18">
        <f>(1/2)*(_xlfn.XLOOKUP(_xlfn.XLOOKUP(B100,'Base stats'!B:B,'Base stats'!E:E),Groups!A:A,Groups!H:H)*_xlfn.XLOOKUP(_xlfn.XLOOKUP(B100,'Base stats'!B:B,'Base stats'!E:E),Groups!A:A,Groups!I:I))*_xlfn.XLOOKUP(B100,'Base stats'!B:B,'Base stats'!AN:AN)*0.01</f>
        <v>0.73144927125538806</v>
      </c>
      <c r="AB100" s="18">
        <f>250*(Animals!AN100+Animals!AO100)</f>
        <v>550</v>
      </c>
      <c r="AC100" s="18" t="str">
        <f>_xlfn.XLOOKUP(_xlfn.XLOOKUP(B100,'Base stats'!B:B,'Base stats'!E:E),Groups!A:A,Groups!BI:BI)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stats'!BP:BP) * (_xlfn.XLOOKUP(B101,'Base stats'!B:B,'Base stats'!AL:AL)*5%)^0.9 / 21,0.1),0.05)</f>
        <v>0.05</v>
      </c>
      <c r="E101" s="11">
        <f>MAX(0.01,MROUND(_xlfn.XLOOKUP(B101,'Base stats'!B:B,'Base stats'!BD:BD) * 0.01 * 2, 0.01))</f>
        <v>0.01</v>
      </c>
      <c r="F101" s="7">
        <f>MROUND(_xlfn.XLOOKUP(B101,'Base stats'!B:B,'Base stats'!BA:BA)^0.25 / (_xlfn.XLOOKUP(B101,'Base stats'!B:B,'Base stats'!BH:BH) * 10) * 150 + 0.5 + _xlfn.XLOOKUP(B101,'Base stats'!B:B,'Base stats'!BT:BT), 0.05)</f>
        <v>1.4000000000000001</v>
      </c>
      <c r="G101" s="3" t="str">
        <f>IF(Animals!R101="No","No",
IF(_xlfn.XLOOKUP(B101,'Base stats'!B:B,'Base stats'!U:U)="No",
MAX(MROUND(_xlfn.XLOOKUP(B101,'Base stats'!B:B,'Base stats'!BQ:BQ) * _xlfn.XLOOKUP(B101,'Base stats'!B:B,'Base stats'!BM:BM)^0.9 / 21 * _xlfn.XLOOKUP(B101,'Base stats'!B:B,'Base stats'!BU:BU),0.1),0.05),
MAX(MROUND(((MIN(10,_xlfn.XLOOKUP(B101,'Base stats'!B:B,'Base stats'!U:U)))^0.4*_xlfn.XLOOKUP(B101,'Base stats'!B:B,'Base stats'!BE:BE)^0.73)^0.6 * _xlfn.XLOOKUP(B101,'Base stats'!B:B,'Base stats'!BU:BU),0.1),0.05)
))</f>
        <v>No</v>
      </c>
      <c r="H101" s="11" t="str">
        <f>IF(G101="No","No",
MAX(0.01,MROUND(_xlfn.XLOOKUP(B101,'Base stats'!B:B,'Base stats'!BE:BE) * 0.01 * 2, 0.01))
)</f>
        <v>No</v>
      </c>
      <c r="I101" s="11" t="str">
        <f>IF(G101="No","No",IF(_xlfn.XLOOKUP(B101,'Base stats'!B:B,'Base stats'!U:U)="No","No",
MAX(0.01,MROUND(_xlfn.XLOOKUP(B101,'Base stats'!B:B,'Base stats'!BQ:BQ)/10000,0.01))
))</f>
        <v>No</v>
      </c>
      <c r="J101" s="4" t="str">
        <f>IF(G101="No","No",
MROUND(_xlfn.XLOOKUP(B101,'Base stats'!B:B,'Base stats'!BB:BB)^0.25
/((_xlfn.XLOOKUP(B101,'Base stats'!B:B,'Base stats'!BI:BI))*10)*_xlfn.XLOOKUP(_xlfn.XLOOKUP(B101,'Base stats'!B:B,'Base stats'!E:E),Groups!A:A,Groups!Q:Q)*150 + 0.5 + _xlfn.XLOOKUP(B101,'Base stats'!B:B,'Base stats'!BT:BT),
0.05))</f>
        <v>No</v>
      </c>
      <c r="K101" s="3" t="str">
        <f>IF(Animals!W101="No","No",
IF(_xlfn.XLOOKUP(_xlfn.XLOOKUP(B101,'Base stats'!B:B,'Base stats'!E:E),Groups!A:A,Groups!BC:BC)=1,
MAX(MROUND(_xlfn.XLOOKUP(B101,'Base stats'!B:B,'Base stats'!BR:BR) * _xlfn.XLOOKUP(B101,'Base stats'!B:B,'Base stats'!BN:BN)^0.9 / 21 *_xlfn.XLOOKUP(B101,'Base stats'!B:B,'Base stats'!BU:BU),0.1),0.05),
MAX(MROUND(((MIN(10,_xlfn.XLOOKUP(B101,'Base stats'!B:B,'Base stats'!W:W)))^0.4*_xlfn.XLOOKUP(B101,'Base stats'!B:B,'Base stats'!BF:BF)^0.73)^0.6 *_xlfn.XLOOKUP(B101,'Base stats'!B:B,'Base stats'!BU:BU),0.1),0.05)
))</f>
        <v>No</v>
      </c>
      <c r="L101" s="11" t="str">
        <f>IF(K101="No","No",
MAX(0.01,MROUND(_xlfn.XLOOKUP(B101,'Base stats'!B:B,'Base stats'!BF:BF) * 0.01 *2, 0.01))
)</f>
        <v>No</v>
      </c>
      <c r="M101" s="5" t="str">
        <f>IF(K101="No","No",IF(_xlfn.XLOOKUP(_xlfn.XLOOKUP(B101,'Base stats'!B:B,'Base stats'!E:E),Groups!A:A,Groups!BC:BC)=1,"No",
MAX(0.01,MROUND(_xlfn.XLOOKUP(B101,'Base stats'!B:B,'Base stats'!BR:BR)/10000,0.01))
))</f>
        <v>No</v>
      </c>
      <c r="N101" s="4" t="str">
        <f>IF(K101="No","No",
MROUND(
  _xlfn.XLOOKUP(B101,'Base stats'!B:B,'Base stats'!AZ:AZ)^0.25
  / (_xlfn.XLOOKUP(B101,'Base stats'!B:B,'Base stats'!BJ:BJ)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stats'!BT:BT),
0.05))</f>
        <v>No</v>
      </c>
      <c r="O101" s="3" t="str">
        <f>IF(Animals!AC101="No","No",
MAX(MROUND((MIN(10,_xlfn.XLOOKUP(B101,'Base stats'!B:B,'Base stats'!V:V)*IF(_xlfn.XLOOKUP(_xlfn.XLOOKUP(B101,'Base stats'!B:B,'Base stats'!E:E),Groups!A:A,Groups!O:O)=0,1,0.33))^0.4*_xlfn.XLOOKUP(B101,'Base stats'!B:B,'Base stats'!BG:BG)^0.73)^0.6 *_xlfn.XLOOKUP(B101,'Base stats'!B:B,'Base stats'!BU:BU),0.1),0.05)
)</f>
        <v>No</v>
      </c>
      <c r="P101" s="11" t="str">
        <f>IF(O101="No","No",
MAX(0.01,MROUND(_xlfn.XLOOKUP(B101,'Base stats'!B:B,'Base stats'!BG:BG) * 0.01 * 2, 0.01))
)</f>
        <v>No</v>
      </c>
      <c r="Q101" s="5" t="str">
        <f>IF(O101="No","No",
MAX(0.01,MROUND(_xlfn.XLOOKUP(B101,'Base stats'!B:B,'Base stats'!BS:BS)/10000,0.01))
)</f>
        <v>No</v>
      </c>
      <c r="R101" s="4" t="str">
        <f>IF(O101="No","No",
MROUND(_xlfn.XLOOKUP(B101,'Base stats'!B:B,'Base stats'!AY:AY)^0.25
/((_xlfn.XLOOKUP(B101,'Base stats'!B:B,'Base stats'!BK:BK))*10)*_xlfn.XLOOKUP(_xlfn.XLOOKUP(B101,'Base stats'!B:B,'Base stats'!E:E),Groups!A:A,Groups!Z:Z)*150 + 0.5 + _xlfn.XLOOKUP(B101,'Base stats'!B:B,'Base stats'!BT:BT),
0.05))</f>
        <v>No</v>
      </c>
      <c r="S101" s="3">
        <f>IF(Animals!AH101="No","No",
IF(_xlfn.XLOOKUP(B101,'Base stats'!B:B,'Base stats'!U:U)="No",
MAX(MROUND(_xlfn.XLOOKUP(B101,'Base stats'!B:B,'Base stats'!BQ:BQ) * _xlfn.XLOOKUP(B101,'Base stats'!B:B,'Base stats'!BM:BM)^0.9 / 21 * _xlfn.XLOOKUP(B101,'Base stats'!B:B,'Base stats'!BU:BU),0.1),0.05),
MAX(MROUND(((MIN(12,_xlfn.XLOOKUP(B101,'Base stats'!B:B,'Base stats'!U:U)))^0.4*_xlfn.XLOOKUP(B101,'Base stats'!B:B,'Base stats'!BE:BE)^0.73)^0.6 * _xlfn.XLOOKUP(B101,'Base stats'!B:B,'Base stats'!BU:BU),0.1),0.05)
))</f>
        <v>2</v>
      </c>
      <c r="T101" s="11">
        <f>IF(S101="No","No",
MAX(0.01,MROUND(_xlfn.XLOOKUP(B101,'Base stats'!B:B,'Base stats'!BE:BE) * 0.01 * 2, 0.01))
)</f>
        <v>0.08</v>
      </c>
      <c r="U101" s="5">
        <f>IF(S101="No","No",IF(_xlfn.XLOOKUP(B101,'Base stats'!B:B,'Base stats'!U:U)="No","No",
MAX(0.01,MROUND(_xlfn.XLOOKUP(B101,'Base stats'!B:B,'Base stats'!BQ:BQ)/10000,0.01))
))</f>
        <v>0.04</v>
      </c>
      <c r="V101" s="4">
        <f>IF(S101="No","No",
MROUND(_xlfn.XLOOKUP(B101,'Base stats'!B:B,'Base stats'!BC:BC)^0.25
/((_xlfn.XLOOKUP(B101,'Base stats'!B:B,'Base stats'!BL:BL))*10)*_xlfn.XLOOKUP(_xlfn.XLOOKUP(B101,'Base stats'!B:B,'Base stats'!E:E),Groups!A:A,Groups!AE:AE)*150 + 0.5 + _xlfn.XLOOKUP(B101,'Base stats'!B:B,'Base stats'!BT:BT),
0.05))</f>
        <v>1.4500000000000002</v>
      </c>
      <c r="W101" s="8">
        <f>MROUND(_xlfn.XLOOKUP(_xlfn.XLOOKUP(B101,'Base stats'!B:B,'Base stats'!E:E),Groups!A:A,Groups!BF:BF)*_xlfn.XLOOKUP(B101,'Base stats'!B:B,'Base stats'!C:C)^-0.165,0.01)</f>
        <v>0.3</v>
      </c>
      <c r="X101" s="1">
        <f>MROUND(_xlfn.XLOOKUP(_xlfn.XLOOKUP(B101,'Base stats'!B:B,'Base stats'!E:E),Groups!A:A,Groups!BG:BG)*_xlfn.XLOOKUP(B101,'Base stats'!B:B,'Base stats'!C:C)^0.165,0.01)</f>
        <v>0</v>
      </c>
      <c r="Y101" s="8">
        <f>MROUND(_xlfn.XLOOKUP(_xlfn.XLOOKUP(B101,'Base stats'!B:B,'Base stats'!E:E),Groups!A:A,Groups!BH:BH)*_xlfn.XLOOKUP(B101,'Base stats'!B:B,'Base stats'!C:C)^0.165,0.01)</f>
        <v>0</v>
      </c>
      <c r="Z101" s="18">
        <f>_xlfn.XLOOKUP(B101,'Base stats'!B:B,'Base stats'!AN:AN)*_xlfn.XLOOKUP(_xlfn.XLOOKUP(B101,'Base stats'!B:B,'Base stats'!E:E),Groups!A:A,Groups!H:H)/1000</f>
        <v>3.1857802535879283E-2</v>
      </c>
      <c r="AA101" s="18">
        <f>(1/2)*(_xlfn.XLOOKUP(_xlfn.XLOOKUP(B101,'Base stats'!B:B,'Base stats'!E:E),Groups!A:A,Groups!H:H)*_xlfn.XLOOKUP(_xlfn.XLOOKUP(B101,'Base stats'!B:B,'Base stats'!E:E),Groups!A:A,Groups!I:I))*_xlfn.XLOOKUP(B101,'Base stats'!B:B,'Base stats'!AN:AN)*0.01</f>
        <v>3.9209603121082194E-4</v>
      </c>
      <c r="AB101" s="18">
        <f>250*(Animals!AN101+Animals!AO101)</f>
        <v>50</v>
      </c>
      <c r="AC101" s="18" t="str">
        <f>_xlfn.XLOOKUP(_xlfn.XLOOKUP(B101,'Base stats'!B:B,'Base stats'!E:E),Groups!A:A,Groups!BI:BI)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stats'!BP:BP) * (_xlfn.XLOOKUP(B102,'Base stats'!B:B,'Base stats'!AL:AL)*5%)^0.9 / 21,0.1),0.05)</f>
        <v>0.05</v>
      </c>
      <c r="E102" s="11">
        <f>MAX(0.01,MROUND(_xlfn.XLOOKUP(B102,'Base stats'!B:B,'Base stats'!BD:BD) * 0.01 * 2, 0.01))</f>
        <v>0.01</v>
      </c>
      <c r="F102" s="7">
        <f>MROUND(_xlfn.XLOOKUP(B102,'Base stats'!B:B,'Base stats'!BA:BA)^0.25 / (_xlfn.XLOOKUP(B102,'Base stats'!B:B,'Base stats'!BH:BH) * 10) * 150 + 0.5 + _xlfn.XLOOKUP(B102,'Base stats'!B:B,'Base stats'!BT:BT), 0.05)</f>
        <v>1.4000000000000001</v>
      </c>
      <c r="G102" s="3" t="str">
        <f>IF(Animals!R102="No","No",
IF(_xlfn.XLOOKUP(B102,'Base stats'!B:B,'Base stats'!U:U)="No",
MAX(MROUND(_xlfn.XLOOKUP(B102,'Base stats'!B:B,'Base stats'!BQ:BQ) * _xlfn.XLOOKUP(B102,'Base stats'!B:B,'Base stats'!BM:BM)^0.9 / 21 * _xlfn.XLOOKUP(B102,'Base stats'!B:B,'Base stats'!BU:BU),0.1),0.05),
MAX(MROUND(((MIN(10,_xlfn.XLOOKUP(B102,'Base stats'!B:B,'Base stats'!U:U)))^0.4*_xlfn.XLOOKUP(B102,'Base stats'!B:B,'Base stats'!BE:BE)^0.73)^0.6 * _xlfn.XLOOKUP(B102,'Base stats'!B:B,'Base stats'!BU:BU),0.1),0.05)
))</f>
        <v>No</v>
      </c>
      <c r="H102" s="11" t="str">
        <f>IF(G102="No","No",
MAX(0.01,MROUND(_xlfn.XLOOKUP(B102,'Base stats'!B:B,'Base stats'!BE:BE) * 0.01 * 2, 0.01))
)</f>
        <v>No</v>
      </c>
      <c r="I102" s="11" t="str">
        <f>IF(G102="No","No",IF(_xlfn.XLOOKUP(B102,'Base stats'!B:B,'Base stats'!U:U)="No","No",
MAX(0.01,MROUND(_xlfn.XLOOKUP(B102,'Base stats'!B:B,'Base stats'!BQ:BQ)/10000,0.01))
))</f>
        <v>No</v>
      </c>
      <c r="J102" s="4" t="str">
        <f>IF(G102="No","No",
MROUND(_xlfn.XLOOKUP(B102,'Base stats'!B:B,'Base stats'!BB:BB)^0.25
/((_xlfn.XLOOKUP(B102,'Base stats'!B:B,'Base stats'!BI:BI))*10)*_xlfn.XLOOKUP(_xlfn.XLOOKUP(B102,'Base stats'!B:B,'Base stats'!E:E),Groups!A:A,Groups!Q:Q)*150 + 0.5 + _xlfn.XLOOKUP(B102,'Base stats'!B:B,'Base stats'!BT:BT),
0.05))</f>
        <v>No</v>
      </c>
      <c r="K102" s="3" t="str">
        <f>IF(Animals!W102="No","No",
IF(_xlfn.XLOOKUP(_xlfn.XLOOKUP(B102,'Base stats'!B:B,'Base stats'!E:E),Groups!A:A,Groups!BC:BC)=1,
MAX(MROUND(_xlfn.XLOOKUP(B102,'Base stats'!B:B,'Base stats'!BR:BR) * _xlfn.XLOOKUP(B102,'Base stats'!B:B,'Base stats'!BN:BN)^0.9 / 21 *_xlfn.XLOOKUP(B102,'Base stats'!B:B,'Base stats'!BU:BU),0.1),0.05),
MAX(MROUND(((MIN(10,_xlfn.XLOOKUP(B102,'Base stats'!B:B,'Base stats'!W:W)))^0.4*_xlfn.XLOOKUP(B102,'Base stats'!B:B,'Base stats'!BF:BF)^0.73)^0.6 *_xlfn.XLOOKUP(B102,'Base stats'!B:B,'Base stats'!BU:BU),0.1),0.05)
))</f>
        <v>No</v>
      </c>
      <c r="L102" s="11" t="str">
        <f>IF(K102="No","No",
MAX(0.01,MROUND(_xlfn.XLOOKUP(B102,'Base stats'!B:B,'Base stats'!BF:BF) * 0.01 *2, 0.01))
)</f>
        <v>No</v>
      </c>
      <c r="M102" s="5" t="str">
        <f>IF(K102="No","No",IF(_xlfn.XLOOKUP(_xlfn.XLOOKUP(B102,'Base stats'!B:B,'Base stats'!E:E),Groups!A:A,Groups!BC:BC)=1,"No",
MAX(0.01,MROUND(_xlfn.XLOOKUP(B102,'Base stats'!B:B,'Base stats'!BR:BR)/10000,0.01))
))</f>
        <v>No</v>
      </c>
      <c r="N102" s="4" t="str">
        <f>IF(K102="No","No",
MROUND(
  _xlfn.XLOOKUP(B102,'Base stats'!B:B,'Base stats'!AZ:AZ)^0.25
  / (_xlfn.XLOOKUP(B102,'Base stats'!B:B,'Base stats'!BJ:BJ)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stats'!BT:BT),
0.05))</f>
        <v>No</v>
      </c>
      <c r="O102" s="3" t="str">
        <f>IF(Animals!AC102="No","No",
MAX(MROUND((MIN(10,_xlfn.XLOOKUP(B102,'Base stats'!B:B,'Base stats'!V:V)*IF(_xlfn.XLOOKUP(_xlfn.XLOOKUP(B102,'Base stats'!B:B,'Base stats'!E:E),Groups!A:A,Groups!O:O)=0,1,0.33))^0.4*_xlfn.XLOOKUP(B102,'Base stats'!B:B,'Base stats'!BG:BG)^0.73)^0.6 *_xlfn.XLOOKUP(B102,'Base stats'!B:B,'Base stats'!BU:BU),0.1),0.05)
)</f>
        <v>No</v>
      </c>
      <c r="P102" s="11" t="str">
        <f>IF(O102="No","No",
MAX(0.01,MROUND(_xlfn.XLOOKUP(B102,'Base stats'!B:B,'Base stats'!BG:BG) * 0.01 * 2, 0.01))
)</f>
        <v>No</v>
      </c>
      <c r="Q102" s="5" t="str">
        <f>IF(O102="No","No",
MAX(0.01,MROUND(_xlfn.XLOOKUP(B102,'Base stats'!B:B,'Base stats'!BS:BS)/10000,0.01))
)</f>
        <v>No</v>
      </c>
      <c r="R102" s="4" t="str">
        <f>IF(O102="No","No",
MROUND(_xlfn.XLOOKUP(B102,'Base stats'!B:B,'Base stats'!AY:AY)^0.25
/((_xlfn.XLOOKUP(B102,'Base stats'!B:B,'Base stats'!BK:BK))*10)*_xlfn.XLOOKUP(_xlfn.XLOOKUP(B102,'Base stats'!B:B,'Base stats'!E:E),Groups!A:A,Groups!Z:Z)*150 + 0.5 + _xlfn.XLOOKUP(B102,'Base stats'!B:B,'Base stats'!BT:BT),
0.05))</f>
        <v>No</v>
      </c>
      <c r="S102" s="3">
        <f>IF(Animals!AH102="No","No",
IF(_xlfn.XLOOKUP(B102,'Base stats'!B:B,'Base stats'!U:U)="No",
MAX(MROUND(_xlfn.XLOOKUP(B102,'Base stats'!B:B,'Base stats'!BQ:BQ) * _xlfn.XLOOKUP(B102,'Base stats'!B:B,'Base stats'!BM:BM)^0.9 / 21 * _xlfn.XLOOKUP(B102,'Base stats'!B:B,'Base stats'!BU:BU),0.1),0.05),
MAX(MROUND(((MIN(12,_xlfn.XLOOKUP(B102,'Base stats'!B:B,'Base stats'!U:U)))^0.4*_xlfn.XLOOKUP(B102,'Base stats'!B:B,'Base stats'!BE:BE)^0.73)^0.6 * _xlfn.XLOOKUP(B102,'Base stats'!B:B,'Base stats'!BU:BU),0.1),0.05)
))</f>
        <v>2</v>
      </c>
      <c r="T102" s="11">
        <f>IF(S102="No","No",
MAX(0.01,MROUND(_xlfn.XLOOKUP(B102,'Base stats'!B:B,'Base stats'!BE:BE) * 0.01 * 2, 0.01))
)</f>
        <v>0.08</v>
      </c>
      <c r="U102" s="5">
        <f>IF(S102="No","No",IF(_xlfn.XLOOKUP(B102,'Base stats'!B:B,'Base stats'!U:U)="No","No",
MAX(0.01,MROUND(_xlfn.XLOOKUP(B102,'Base stats'!B:B,'Base stats'!BQ:BQ)/10000,0.01))
))</f>
        <v>0.04</v>
      </c>
      <c r="V102" s="4">
        <f>IF(S102="No","No",
MROUND(_xlfn.XLOOKUP(B102,'Base stats'!B:B,'Base stats'!BC:BC)^0.25
/((_xlfn.XLOOKUP(B102,'Base stats'!B:B,'Base stats'!BL:BL))*10)*_xlfn.XLOOKUP(_xlfn.XLOOKUP(B102,'Base stats'!B:B,'Base stats'!E:E),Groups!A:A,Groups!AE:AE)*150 + 0.5 + _xlfn.XLOOKUP(B102,'Base stats'!B:B,'Base stats'!BT:BT),
0.05))</f>
        <v>1.4500000000000002</v>
      </c>
      <c r="W102" s="8">
        <f>MROUND(_xlfn.XLOOKUP(_xlfn.XLOOKUP(B102,'Base stats'!B:B,'Base stats'!E:E),Groups!A:A,Groups!BF:BF)*_xlfn.XLOOKUP(B102,'Base stats'!B:B,'Base stats'!C:C)^-0.165,0.01)</f>
        <v>0.3</v>
      </c>
      <c r="X102" s="1">
        <f>MROUND(_xlfn.XLOOKUP(_xlfn.XLOOKUP(B102,'Base stats'!B:B,'Base stats'!E:E),Groups!A:A,Groups!BG:BG)*_xlfn.XLOOKUP(B102,'Base stats'!B:B,'Base stats'!C:C)^0.165,0.01)</f>
        <v>0</v>
      </c>
      <c r="Y102" s="8">
        <f>MROUND(_xlfn.XLOOKUP(_xlfn.XLOOKUP(B102,'Base stats'!B:B,'Base stats'!E:E),Groups!A:A,Groups!BH:BH)*_xlfn.XLOOKUP(B102,'Base stats'!B:B,'Base stats'!C:C)^0.165,0.01)</f>
        <v>0</v>
      </c>
      <c r="Z102" s="18">
        <f>_xlfn.XLOOKUP(B102,'Base stats'!B:B,'Base stats'!AN:AN)*_xlfn.XLOOKUP(_xlfn.XLOOKUP(B102,'Base stats'!B:B,'Base stats'!E:E),Groups!A:A,Groups!H:H)/1000</f>
        <v>3.1857802535879283E-2</v>
      </c>
      <c r="AA102" s="18">
        <f>(1/2)*(_xlfn.XLOOKUP(_xlfn.XLOOKUP(B102,'Base stats'!B:B,'Base stats'!E:E),Groups!A:A,Groups!H:H)*_xlfn.XLOOKUP(_xlfn.XLOOKUP(B102,'Base stats'!B:B,'Base stats'!E:E),Groups!A:A,Groups!I:I))*_xlfn.XLOOKUP(B102,'Base stats'!B:B,'Base stats'!AN:AN)*0.01</f>
        <v>3.9209603121082194E-4</v>
      </c>
      <c r="AB102" s="18">
        <f>250*(Animals!AN102+Animals!AO102)</f>
        <v>50</v>
      </c>
      <c r="AC102" s="18" t="str">
        <f>_xlfn.XLOOKUP(_xlfn.XLOOKUP(B102,'Base stats'!B:B,'Base stats'!E:E),Groups!A:A,Groups!BI:BI)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stats'!BP:BP) * (_xlfn.XLOOKUP(B103,'Base stats'!B:B,'Base stats'!AL:AL)*5%)^0.9 / 21,0.1),0.05)</f>
        <v>0.5</v>
      </c>
      <c r="E103" s="11">
        <f>MAX(0.01,MROUND(_xlfn.XLOOKUP(B103,'Base stats'!B:B,'Base stats'!BD:BD) * 0.01 * 2, 0.01))</f>
        <v>0.37</v>
      </c>
      <c r="F103" s="7">
        <f>MROUND(_xlfn.XLOOKUP(B103,'Base stats'!B:B,'Base stats'!BA:BA)^0.25 / (_xlfn.XLOOKUP(B103,'Base stats'!B:B,'Base stats'!BH:BH) * 10) * 150 + 0.5 + _xlfn.XLOOKUP(B103,'Base stats'!B:B,'Base stats'!BT:BT), 0.05)</f>
        <v>2.15</v>
      </c>
      <c r="G103" s="3" t="str">
        <f>IF(Animals!R103="No","No",
IF(_xlfn.XLOOKUP(B103,'Base stats'!B:B,'Base stats'!U:U)="No",
MAX(MROUND(_xlfn.XLOOKUP(B103,'Base stats'!B:B,'Base stats'!BQ:BQ) * _xlfn.XLOOKUP(B103,'Base stats'!B:B,'Base stats'!BM:BM)^0.9 / 21 * _xlfn.XLOOKUP(B103,'Base stats'!B:B,'Base stats'!BU:BU),0.1),0.05),
MAX(MROUND(((MIN(10,_xlfn.XLOOKUP(B103,'Base stats'!B:B,'Base stats'!U:U)))^0.4*_xlfn.XLOOKUP(B103,'Base stats'!B:B,'Base stats'!BE:BE)^0.73)^0.6 * _xlfn.XLOOKUP(B103,'Base stats'!B:B,'Base stats'!BU:BU),0.1),0.05)
))</f>
        <v>No</v>
      </c>
      <c r="H103" s="11" t="str">
        <f>IF(G103="No","No",
MAX(0.01,MROUND(_xlfn.XLOOKUP(B103,'Base stats'!B:B,'Base stats'!BE:BE) * 0.01 * 2, 0.01))
)</f>
        <v>No</v>
      </c>
      <c r="I103" s="11" t="str">
        <f>IF(G103="No","No",IF(_xlfn.XLOOKUP(B103,'Base stats'!B:B,'Base stats'!U:U)="No","No",
MAX(0.01,MROUND(_xlfn.XLOOKUP(B103,'Base stats'!B:B,'Base stats'!BQ:BQ)/10000,0.01))
))</f>
        <v>No</v>
      </c>
      <c r="J103" s="4" t="str">
        <f>IF(G103="No","No",
MROUND(_xlfn.XLOOKUP(B103,'Base stats'!B:B,'Base stats'!BB:BB)^0.25
/((_xlfn.XLOOKUP(B103,'Base stats'!B:B,'Base stats'!BI:BI))*10)*_xlfn.XLOOKUP(_xlfn.XLOOKUP(B103,'Base stats'!B:B,'Base stats'!E:E),Groups!A:A,Groups!Q:Q)*150 + 0.5 + _xlfn.XLOOKUP(B103,'Base stats'!B:B,'Base stats'!BT:BT),
0.05))</f>
        <v>No</v>
      </c>
      <c r="K103" s="3" t="str">
        <f>IF(Animals!W103="No","No",
IF(_xlfn.XLOOKUP(_xlfn.XLOOKUP(B103,'Base stats'!B:B,'Base stats'!E:E),Groups!A:A,Groups!BC:BC)=1,
MAX(MROUND(_xlfn.XLOOKUP(B103,'Base stats'!B:B,'Base stats'!BR:BR) * _xlfn.XLOOKUP(B103,'Base stats'!B:B,'Base stats'!BN:BN)^0.9 / 21 *_xlfn.XLOOKUP(B103,'Base stats'!B:B,'Base stats'!BU:BU),0.1),0.05),
MAX(MROUND(((MIN(10,_xlfn.XLOOKUP(B103,'Base stats'!B:B,'Base stats'!W:W)))^0.4*_xlfn.XLOOKUP(B103,'Base stats'!B:B,'Base stats'!BF:BF)^0.73)^0.6 *_xlfn.XLOOKUP(B103,'Base stats'!B:B,'Base stats'!BU:BU),0.1),0.05)
))</f>
        <v>No</v>
      </c>
      <c r="L103" s="11" t="str">
        <f>IF(K103="No","No",
MAX(0.01,MROUND(_xlfn.XLOOKUP(B103,'Base stats'!B:B,'Base stats'!BF:BF) * 0.01 *2, 0.01))
)</f>
        <v>No</v>
      </c>
      <c r="M103" s="5" t="str">
        <f>IF(K103="No","No",IF(_xlfn.XLOOKUP(_xlfn.XLOOKUP(B103,'Base stats'!B:B,'Base stats'!E:E),Groups!A:A,Groups!BC:BC)=1,"No",
MAX(0.01,MROUND(_xlfn.XLOOKUP(B103,'Base stats'!B:B,'Base stats'!BR:BR)/10000,0.01))
))</f>
        <v>No</v>
      </c>
      <c r="N103" s="4" t="str">
        <f>IF(K103="No","No",
MROUND(
  _xlfn.XLOOKUP(B103,'Base stats'!B:B,'Base stats'!AZ:AZ)^0.25
  / (_xlfn.XLOOKUP(B103,'Base stats'!B:B,'Base stats'!BJ:BJ)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stats'!BT:BT),
0.05))</f>
        <v>No</v>
      </c>
      <c r="O103" s="3">
        <f>IF(Animals!AC103="No","No",
MAX(MROUND((MIN(10,_xlfn.XLOOKUP(B103,'Base stats'!B:B,'Base stats'!V:V)*IF(_xlfn.XLOOKUP(_xlfn.XLOOKUP(B103,'Base stats'!B:B,'Base stats'!E:E),Groups!A:A,Groups!O:O)=0,1,0.33))^0.4*_xlfn.XLOOKUP(B103,'Base stats'!B:B,'Base stats'!BG:BG)^0.73)^0.6 *_xlfn.XLOOKUP(B103,'Base stats'!B:B,'Base stats'!BU:BU),0.1),0.05)
)</f>
        <v>15.4</v>
      </c>
      <c r="P103" s="11">
        <f>IF(O103="No","No",
MAX(0.01,MROUND(_xlfn.XLOOKUP(B103,'Base stats'!B:B,'Base stats'!BG:BG) * 0.01 * 2, 0.01))
)</f>
        <v>3.3000000000000003</v>
      </c>
      <c r="Q103" s="5">
        <f>IF(O103="No","No",
MAX(0.01,MROUND(_xlfn.XLOOKUP(B103,'Base stats'!B:B,'Base stats'!BS:BS)/10000,0.01))
)</f>
        <v>0.3</v>
      </c>
      <c r="R103" s="4">
        <f>IF(O103="No","No",
MROUND(_xlfn.XLOOKUP(B103,'Base stats'!B:B,'Base stats'!AY:AY)^0.25
/((_xlfn.XLOOKUP(B103,'Base stats'!B:B,'Base stats'!BK:BK))*10)*_xlfn.XLOOKUP(_xlfn.XLOOKUP(B103,'Base stats'!B:B,'Base stats'!E:E),Groups!A:A,Groups!Z:Z)*150 + 0.5 + _xlfn.XLOOKUP(B103,'Base stats'!B:B,'Base stats'!BT:BT),
0.05))</f>
        <v>1.8</v>
      </c>
      <c r="S103" s="3" t="str">
        <f>IF(Animals!AH103="No","No",
IF(_xlfn.XLOOKUP(B103,'Base stats'!B:B,'Base stats'!U:U)="No",
MAX(MROUND(_xlfn.XLOOKUP(B103,'Base stats'!B:B,'Base stats'!BQ:BQ) * _xlfn.XLOOKUP(B103,'Base stats'!B:B,'Base stats'!BM:BM)^0.9 / 21 * _xlfn.XLOOKUP(B103,'Base stats'!B:B,'Base stats'!BU:BU),0.1),0.05),
MAX(MROUND(((MIN(12,_xlfn.XLOOKUP(B103,'Base stats'!B:B,'Base stats'!U:U)))^0.4*_xlfn.XLOOKUP(B103,'Base stats'!B:B,'Base stats'!BE:BE)^0.73)^0.6 * _xlfn.XLOOKUP(B103,'Base stats'!B:B,'Base stats'!BU:BU),0.1),0.05)
))</f>
        <v>No</v>
      </c>
      <c r="T103" s="11" t="str">
        <f>IF(S103="No","No",
MAX(0.01,MROUND(_xlfn.XLOOKUP(B103,'Base stats'!B:B,'Base stats'!BE:BE) * 0.01 * 2, 0.01))
)</f>
        <v>No</v>
      </c>
      <c r="U103" s="5" t="str">
        <f>IF(S103="No","No",IF(_xlfn.XLOOKUP(B103,'Base stats'!B:B,'Base stats'!U:U)="No","No",
MAX(0.01,MROUND(_xlfn.XLOOKUP(B103,'Base stats'!B:B,'Base stats'!BQ:BQ)/10000,0.01))
))</f>
        <v>No</v>
      </c>
      <c r="V103" s="4" t="str">
        <f>IF(S103="No","No",
MROUND(_xlfn.XLOOKUP(B103,'Base stats'!B:B,'Base stats'!BC:BC)^0.25
/((_xlfn.XLOOKUP(B103,'Base stats'!B:B,'Base stats'!BL:BL))*10)*_xlfn.XLOOKUP(_xlfn.XLOOKUP(B103,'Base stats'!B:B,'Base stats'!E:E),Groups!A:A,Groups!AE:AE)*150 + 0.5 + _xlfn.XLOOKUP(B103,'Base stats'!B:B,'Base stats'!BT:BT),
0.05))</f>
        <v>No</v>
      </c>
      <c r="W103" s="8">
        <f>MROUND(_xlfn.XLOOKUP(_xlfn.XLOOKUP(B103,'Base stats'!B:B,'Base stats'!E:E),Groups!A:A,Groups!BF:BF)*_xlfn.XLOOKUP(B103,'Base stats'!B:B,'Base stats'!C:C)^-0.165,0.01)</f>
        <v>0.15</v>
      </c>
      <c r="X103" s="1">
        <f>MROUND(_xlfn.XLOOKUP(_xlfn.XLOOKUP(B103,'Base stats'!B:B,'Base stats'!E:E),Groups!A:A,Groups!BG:BG)*_xlfn.XLOOKUP(B103,'Base stats'!B:B,'Base stats'!C:C)^0.165,0.01)</f>
        <v>0.17</v>
      </c>
      <c r="Y103" s="8">
        <f>MROUND(_xlfn.XLOOKUP(_xlfn.XLOOKUP(B103,'Base stats'!B:B,'Base stats'!E:E),Groups!A:A,Groups!BH:BH)*_xlfn.XLOOKUP(B103,'Base stats'!B:B,'Base stats'!C:C)^0.165,0.01)</f>
        <v>0.04</v>
      </c>
      <c r="Z103" s="18">
        <f>_xlfn.XLOOKUP(B103,'Base stats'!B:B,'Base stats'!AN:AN)*_xlfn.XLOOKUP(_xlfn.XLOOKUP(B103,'Base stats'!B:B,'Base stats'!E:E),Groups!A:A,Groups!H:H)/1000</f>
        <v>0.70412272622703798</v>
      </c>
      <c r="AA103" s="18">
        <f>(1/2)*(_xlfn.XLOOKUP(_xlfn.XLOOKUP(B103,'Base stats'!B:B,'Base stats'!E:E),Groups!A:A,Groups!H:H)*_xlfn.XLOOKUP(_xlfn.XLOOKUP(B103,'Base stats'!B:B,'Base stats'!E:E),Groups!A:A,Groups!I:I))*_xlfn.XLOOKUP(B103,'Base stats'!B:B,'Base stats'!AN:AN)*0.01</f>
        <v>4.7440892901821713E-2</v>
      </c>
      <c r="AB103" s="18">
        <f>250*(Animals!AN103+Animals!AO103)</f>
        <v>325</v>
      </c>
      <c r="AC103" s="18" t="str">
        <f>_xlfn.XLOOKUP(_xlfn.XLOOKUP(B103,'Base stats'!B:B,'Base stats'!E:E),Groups!A:A,Groups!BI:BI)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stats'!BP:BP) * (_xlfn.XLOOKUP(B104,'Base stats'!B:B,'Base stats'!AL:AL)*5%)^0.9 / 21,0.1),0.05)</f>
        <v>2.1</v>
      </c>
      <c r="E104" s="11">
        <f>MAX(0.01,MROUND(_xlfn.XLOOKUP(B104,'Base stats'!B:B,'Base stats'!BD:BD) * 0.01 * 2, 0.01))</f>
        <v>1.87</v>
      </c>
      <c r="F104" s="7">
        <f>MROUND(_xlfn.XLOOKUP(B104,'Base stats'!B:B,'Base stats'!BA:BA)^0.25 / (_xlfn.XLOOKUP(B104,'Base stats'!B:B,'Base stats'!BH:BH) * 10) * 150 + 0.5 + _xlfn.XLOOKUP(B104,'Base stats'!B:B,'Base stats'!BT:BT), 0.05)</f>
        <v>2.85</v>
      </c>
      <c r="G104" s="3" t="str">
        <f>IF(Animals!R104="No","No",
IF(_xlfn.XLOOKUP(B104,'Base stats'!B:B,'Base stats'!U:U)="No",
MAX(MROUND(_xlfn.XLOOKUP(B104,'Base stats'!B:B,'Base stats'!BQ:BQ) * _xlfn.XLOOKUP(B104,'Base stats'!B:B,'Base stats'!BM:BM)^0.9 / 21 * _xlfn.XLOOKUP(B104,'Base stats'!B:B,'Base stats'!BU:BU),0.1),0.05),
MAX(MROUND(((MIN(10,_xlfn.XLOOKUP(B104,'Base stats'!B:B,'Base stats'!U:U)))^0.4*_xlfn.XLOOKUP(B104,'Base stats'!B:B,'Base stats'!BE:BE)^0.73)^0.6 * _xlfn.XLOOKUP(B104,'Base stats'!B:B,'Base stats'!BU:BU),0.1),0.05)
))</f>
        <v>No</v>
      </c>
      <c r="H104" s="11" t="str">
        <f>IF(G104="No","No",
MAX(0.01,MROUND(_xlfn.XLOOKUP(B104,'Base stats'!B:B,'Base stats'!BE:BE) * 0.01 * 2, 0.01))
)</f>
        <v>No</v>
      </c>
      <c r="I104" s="11" t="str">
        <f>IF(G104="No","No",IF(_xlfn.XLOOKUP(B104,'Base stats'!B:B,'Base stats'!U:U)="No","No",
MAX(0.01,MROUND(_xlfn.XLOOKUP(B104,'Base stats'!B:B,'Base stats'!BQ:BQ)/10000,0.01))
))</f>
        <v>No</v>
      </c>
      <c r="J104" s="4" t="str">
        <f>IF(G104="No","No",
MROUND(_xlfn.XLOOKUP(B104,'Base stats'!B:B,'Base stats'!BB:BB)^0.25
/((_xlfn.XLOOKUP(B104,'Base stats'!B:B,'Base stats'!BI:BI))*10)*_xlfn.XLOOKUP(_xlfn.XLOOKUP(B104,'Base stats'!B:B,'Base stats'!E:E),Groups!A:A,Groups!Q:Q)*150 + 0.5 + _xlfn.XLOOKUP(B104,'Base stats'!B:B,'Base stats'!BT:BT),
0.05))</f>
        <v>No</v>
      </c>
      <c r="K104" s="3" t="str">
        <f>IF(Animals!W104="No","No",
IF(_xlfn.XLOOKUP(_xlfn.XLOOKUP(B104,'Base stats'!B:B,'Base stats'!E:E),Groups!A:A,Groups!BC:BC)=1,
MAX(MROUND(_xlfn.XLOOKUP(B104,'Base stats'!B:B,'Base stats'!BR:BR) * _xlfn.XLOOKUP(B104,'Base stats'!B:B,'Base stats'!BN:BN)^0.9 / 21 *_xlfn.XLOOKUP(B104,'Base stats'!B:B,'Base stats'!BU:BU),0.1),0.05),
MAX(MROUND(((MIN(10,_xlfn.XLOOKUP(B104,'Base stats'!B:B,'Base stats'!W:W)))^0.4*_xlfn.XLOOKUP(B104,'Base stats'!B:B,'Base stats'!BF:BF)^0.73)^0.6 *_xlfn.XLOOKUP(B104,'Base stats'!B:B,'Base stats'!BU:BU),0.1),0.05)
))</f>
        <v>No</v>
      </c>
      <c r="L104" s="11" t="str">
        <f>IF(K104="No","No",
MAX(0.01,MROUND(_xlfn.XLOOKUP(B104,'Base stats'!B:B,'Base stats'!BF:BF) * 0.01 *2, 0.01))
)</f>
        <v>No</v>
      </c>
      <c r="M104" s="5" t="str">
        <f>IF(K104="No","No",IF(_xlfn.XLOOKUP(_xlfn.XLOOKUP(B104,'Base stats'!B:B,'Base stats'!E:E),Groups!A:A,Groups!BC:BC)=1,"No",
MAX(0.01,MROUND(_xlfn.XLOOKUP(B104,'Base stats'!B:B,'Base stats'!BR:BR)/10000,0.01))
))</f>
        <v>No</v>
      </c>
      <c r="N104" s="4" t="str">
        <f>IF(K104="No","No",
MROUND(
  _xlfn.XLOOKUP(B104,'Base stats'!B:B,'Base stats'!AZ:AZ)^0.25
  / (_xlfn.XLOOKUP(B104,'Base stats'!B:B,'Base stats'!BJ:BJ)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stats'!BT:BT),
0.05))</f>
        <v>No</v>
      </c>
      <c r="O104" s="3">
        <f>IF(Animals!AC104="No","No",
MAX(MROUND((MIN(10,_xlfn.XLOOKUP(B104,'Base stats'!B:B,'Base stats'!V:V)*IF(_xlfn.XLOOKUP(_xlfn.XLOOKUP(B104,'Base stats'!B:B,'Base stats'!E:E),Groups!A:A,Groups!O:O)=0,1,0.33))^0.4*_xlfn.XLOOKUP(B104,'Base stats'!B:B,'Base stats'!BG:BG)^0.73)^0.6 *_xlfn.XLOOKUP(B104,'Base stats'!B:B,'Base stats'!BU:BU),0.1),0.05)
)</f>
        <v>30.5</v>
      </c>
      <c r="P104" s="11">
        <f>IF(O104="No","No",
MAX(0.01,MROUND(_xlfn.XLOOKUP(B104,'Base stats'!B:B,'Base stats'!BG:BG) * 0.01 * 2, 0.01))
)</f>
        <v>13.88</v>
      </c>
      <c r="Q104" s="5">
        <f>IF(O104="No","No",
MAX(0.01,MROUND(_xlfn.XLOOKUP(B104,'Base stats'!B:B,'Base stats'!BS:BS)/10000,0.01))
)</f>
        <v>0.61</v>
      </c>
      <c r="R104" s="4">
        <f>IF(O104="No","No",
MROUND(_xlfn.XLOOKUP(B104,'Base stats'!B:B,'Base stats'!AY:AY)^0.25
/((_xlfn.XLOOKUP(B104,'Base stats'!B:B,'Base stats'!BK:BK))*10)*_xlfn.XLOOKUP(_xlfn.XLOOKUP(B104,'Base stats'!B:B,'Base stats'!E:E),Groups!A:A,Groups!Z:Z)*150 + 0.5 + _xlfn.XLOOKUP(B104,'Base stats'!B:B,'Base stats'!BT:BT),
0.05))</f>
        <v>2.5500000000000003</v>
      </c>
      <c r="S104" s="3">
        <f>IF(Animals!AH104="No","No",
IF(_xlfn.XLOOKUP(B104,'Base stats'!B:B,'Base stats'!U:U)="No",
MAX(MROUND(_xlfn.XLOOKUP(B104,'Base stats'!B:B,'Base stats'!BQ:BQ) * _xlfn.XLOOKUP(B104,'Base stats'!B:B,'Base stats'!BM:BM)^0.9 / 21 * _xlfn.XLOOKUP(B104,'Base stats'!B:B,'Base stats'!BU:BU),0.1),0.05),
MAX(MROUND(((MIN(12,_xlfn.XLOOKUP(B104,'Base stats'!B:B,'Base stats'!U:U)))^0.4*_xlfn.XLOOKUP(B104,'Base stats'!B:B,'Base stats'!BE:BE)^0.73)^0.6 * _xlfn.XLOOKUP(B104,'Base stats'!B:B,'Base stats'!BU:BU),0.1),0.05)
))</f>
        <v>24.5</v>
      </c>
      <c r="T104" s="11">
        <f>IF(S104="No","No",
MAX(0.01,MROUND(_xlfn.XLOOKUP(B104,'Base stats'!B:B,'Base stats'!BE:BE) * 0.01 * 2, 0.01))
)</f>
        <v>11.11</v>
      </c>
      <c r="U104" s="5">
        <f>IF(S104="No","No",IF(_xlfn.XLOOKUP(B104,'Base stats'!B:B,'Base stats'!U:U)="No","No",
MAX(0.01,MROUND(_xlfn.XLOOKUP(B104,'Base stats'!B:B,'Base stats'!BQ:BQ)/10000,0.01))
))</f>
        <v>4.8899999999999997</v>
      </c>
      <c r="V104" s="4">
        <f>IF(S104="No","No",
MROUND(_xlfn.XLOOKUP(B104,'Base stats'!B:B,'Base stats'!BC:BC)^0.25
/((_xlfn.XLOOKUP(B104,'Base stats'!B:B,'Base stats'!BL:BL))*10)*_xlfn.XLOOKUP(_xlfn.XLOOKUP(B104,'Base stats'!B:B,'Base stats'!E:E),Groups!A:A,Groups!AE:AE)*150 + 0.5 + _xlfn.XLOOKUP(B104,'Base stats'!B:B,'Base stats'!BT:BT),
0.05))</f>
        <v>3.0500000000000003</v>
      </c>
      <c r="W104" s="8">
        <f>MROUND(_xlfn.XLOOKUP(_xlfn.XLOOKUP(B104,'Base stats'!B:B,'Base stats'!E:E),Groups!A:A,Groups!BF:BF)*_xlfn.XLOOKUP(B104,'Base stats'!B:B,'Base stats'!C:C)^-0.165,0.01)</f>
        <v>0.11</v>
      </c>
      <c r="X104" s="1">
        <f>MROUND(_xlfn.XLOOKUP(_xlfn.XLOOKUP(B104,'Base stats'!B:B,'Base stats'!E:E),Groups!A:A,Groups!BG:BG)*_xlfn.XLOOKUP(B104,'Base stats'!B:B,'Base stats'!C:C)^0.165,0.01)</f>
        <v>0.23</v>
      </c>
      <c r="Y104" s="8">
        <f>MROUND(_xlfn.XLOOKUP(_xlfn.XLOOKUP(B104,'Base stats'!B:B,'Base stats'!E:E),Groups!A:A,Groups!BH:BH)*_xlfn.XLOOKUP(B104,'Base stats'!B:B,'Base stats'!C:C)^0.165,0.01)</f>
        <v>0.06</v>
      </c>
      <c r="Z104" s="18">
        <f>_xlfn.XLOOKUP(B104,'Base stats'!B:B,'Base stats'!AN:AN)*_xlfn.XLOOKUP(_xlfn.XLOOKUP(B104,'Base stats'!B:B,'Base stats'!E:E),Groups!A:A,Groups!H:H)/1000</f>
        <v>1.3182606828923142</v>
      </c>
      <c r="AA104" s="18">
        <f>(1/2)*(_xlfn.XLOOKUP(_xlfn.XLOOKUP(B104,'Base stats'!B:B,'Base stats'!E:E),Groups!A:A,Groups!H:H)*_xlfn.XLOOKUP(_xlfn.XLOOKUP(B104,'Base stats'!B:B,'Base stats'!E:E),Groups!A:A,Groups!I:I))*_xlfn.XLOOKUP(B104,'Base stats'!B:B,'Base stats'!AN:AN)*0.01</f>
        <v>8.8818982180687844E-2</v>
      </c>
      <c r="AB104" s="18">
        <f>250*(Animals!AN104+Animals!AO104)</f>
        <v>750</v>
      </c>
      <c r="AC104" s="18" t="str">
        <f>_xlfn.XLOOKUP(_xlfn.XLOOKUP(B104,'Base stats'!B:B,'Base stats'!E:E),Groups!A:A,Groups!BI:BI)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stats'!BP:BP) * (_xlfn.XLOOKUP(B105,'Base stats'!B:B,'Base stats'!AL:AL)*5%)^0.9 / 21,0.1),0.05)</f>
        <v>3.9000000000000004</v>
      </c>
      <c r="E105" s="11">
        <f>MAX(0.01,MROUND(_xlfn.XLOOKUP(B105,'Base stats'!B:B,'Base stats'!BD:BD) * 0.01 * 2, 0.01))</f>
        <v>3.5100000000000002</v>
      </c>
      <c r="F105" s="7">
        <f>MROUND(_xlfn.XLOOKUP(B105,'Base stats'!B:B,'Base stats'!BA:BA)^0.25 / (_xlfn.XLOOKUP(B105,'Base stats'!B:B,'Base stats'!BH:BH) * 10) * 150 + 0.5 + _xlfn.XLOOKUP(B105,'Base stats'!B:B,'Base stats'!BT:BT), 0.05)</f>
        <v>3.25</v>
      </c>
      <c r="G105" s="3" t="str">
        <f>IF(Animals!R105="No","No",
IF(_xlfn.XLOOKUP(B105,'Base stats'!B:B,'Base stats'!U:U)="No",
MAX(MROUND(_xlfn.XLOOKUP(B105,'Base stats'!B:B,'Base stats'!BQ:BQ) * _xlfn.XLOOKUP(B105,'Base stats'!B:B,'Base stats'!BM:BM)^0.9 / 21 * _xlfn.XLOOKUP(B105,'Base stats'!B:B,'Base stats'!BU:BU),0.1),0.05),
MAX(MROUND(((MIN(10,_xlfn.XLOOKUP(B105,'Base stats'!B:B,'Base stats'!U:U)))^0.4*_xlfn.XLOOKUP(B105,'Base stats'!B:B,'Base stats'!BE:BE)^0.73)^0.6 * _xlfn.XLOOKUP(B105,'Base stats'!B:B,'Base stats'!BU:BU),0.1),0.05)
))</f>
        <v>No</v>
      </c>
      <c r="H105" s="11" t="str">
        <f>IF(G105="No","No",
MAX(0.01,MROUND(_xlfn.XLOOKUP(B105,'Base stats'!B:B,'Base stats'!BE:BE) * 0.01 * 2, 0.01))
)</f>
        <v>No</v>
      </c>
      <c r="I105" s="11" t="str">
        <f>IF(G105="No","No",IF(_xlfn.XLOOKUP(B105,'Base stats'!B:B,'Base stats'!U:U)="No","No",
MAX(0.01,MROUND(_xlfn.XLOOKUP(B105,'Base stats'!B:B,'Base stats'!BQ:BQ)/10000,0.01))
))</f>
        <v>No</v>
      </c>
      <c r="J105" s="4" t="str">
        <f>IF(G105="No","No",
MROUND(_xlfn.XLOOKUP(B105,'Base stats'!B:B,'Base stats'!BB:BB)^0.25
/((_xlfn.XLOOKUP(B105,'Base stats'!B:B,'Base stats'!BI:BI))*10)*_xlfn.XLOOKUP(_xlfn.XLOOKUP(B105,'Base stats'!B:B,'Base stats'!E:E),Groups!A:A,Groups!Q:Q)*150 + 0.5 + _xlfn.XLOOKUP(B105,'Base stats'!B:B,'Base stats'!BT:BT),
0.05))</f>
        <v>No</v>
      </c>
      <c r="K105" s="3" t="str">
        <f>IF(Animals!W105="No","No",
IF(_xlfn.XLOOKUP(_xlfn.XLOOKUP(B105,'Base stats'!B:B,'Base stats'!E:E),Groups!A:A,Groups!BC:BC)=1,
MAX(MROUND(_xlfn.XLOOKUP(B105,'Base stats'!B:B,'Base stats'!BR:BR) * _xlfn.XLOOKUP(B105,'Base stats'!B:B,'Base stats'!BN:BN)^0.9 / 21 *_xlfn.XLOOKUP(B105,'Base stats'!B:B,'Base stats'!BU:BU),0.1),0.05),
MAX(MROUND(((MIN(10,_xlfn.XLOOKUP(B105,'Base stats'!B:B,'Base stats'!W:W)))^0.4*_xlfn.XLOOKUP(B105,'Base stats'!B:B,'Base stats'!BF:BF)^0.73)^0.6 *_xlfn.XLOOKUP(B105,'Base stats'!B:B,'Base stats'!BU:BU),0.1),0.05)
))</f>
        <v>No</v>
      </c>
      <c r="L105" s="11" t="str">
        <f>IF(K105="No","No",
MAX(0.01,MROUND(_xlfn.XLOOKUP(B105,'Base stats'!B:B,'Base stats'!BF:BF) * 0.01 *2, 0.01))
)</f>
        <v>No</v>
      </c>
      <c r="M105" s="5" t="str">
        <f>IF(K105="No","No",IF(_xlfn.XLOOKUP(_xlfn.XLOOKUP(B105,'Base stats'!B:B,'Base stats'!E:E),Groups!A:A,Groups!BC:BC)=1,"No",
MAX(0.01,MROUND(_xlfn.XLOOKUP(B105,'Base stats'!B:B,'Base stats'!BR:BR)/10000,0.01))
))</f>
        <v>No</v>
      </c>
      <c r="N105" s="4" t="str">
        <f>IF(K105="No","No",
MROUND(
  _xlfn.XLOOKUP(B105,'Base stats'!B:B,'Base stats'!AZ:AZ)^0.25
  / (_xlfn.XLOOKUP(B105,'Base stats'!B:B,'Base stats'!BJ:BJ)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stats'!BT:BT),
0.05))</f>
        <v>No</v>
      </c>
      <c r="O105" s="3">
        <f>IF(Animals!AC105="No","No",
MAX(MROUND((MIN(10,_xlfn.XLOOKUP(B105,'Base stats'!B:B,'Base stats'!V:V)*IF(_xlfn.XLOOKUP(_xlfn.XLOOKUP(B105,'Base stats'!B:B,'Base stats'!E:E),Groups!A:A,Groups!O:O)=0,1,0.33))^0.4*_xlfn.XLOOKUP(B105,'Base stats'!B:B,'Base stats'!BG:BG)^0.73)^0.6 *_xlfn.XLOOKUP(B105,'Base stats'!B:B,'Base stats'!BU:BU),0.1),0.05)
)</f>
        <v>38.900000000000006</v>
      </c>
      <c r="P105" s="11">
        <f>IF(O105="No","No",
MAX(0.01,MROUND(_xlfn.XLOOKUP(B105,'Base stats'!B:B,'Base stats'!BG:BG) * 0.01 * 2, 0.01))
)</f>
        <v>24.19</v>
      </c>
      <c r="Q105" s="5">
        <f>IF(O105="No","No",
MAX(0.01,MROUND(_xlfn.XLOOKUP(B105,'Base stats'!B:B,'Base stats'!BS:BS)/10000,0.01))
)</f>
        <v>0.8</v>
      </c>
      <c r="R105" s="4">
        <f>IF(O105="No","No",
MROUND(_xlfn.XLOOKUP(B105,'Base stats'!B:B,'Base stats'!AY:AY)^0.25
/((_xlfn.XLOOKUP(B105,'Base stats'!B:B,'Base stats'!BK:BK))*10)*_xlfn.XLOOKUP(_xlfn.XLOOKUP(B105,'Base stats'!B:B,'Base stats'!E:E),Groups!A:A,Groups!Z:Z)*150 + 0.5 + _xlfn.XLOOKUP(B105,'Base stats'!B:B,'Base stats'!BT:BT),
0.05))</f>
        <v>2.85</v>
      </c>
      <c r="S105" s="3">
        <f>IF(Animals!AH105="No","No",
IF(_xlfn.XLOOKUP(B105,'Base stats'!B:B,'Base stats'!U:U)="No",
MAX(MROUND(_xlfn.XLOOKUP(B105,'Base stats'!B:B,'Base stats'!BQ:BQ) * _xlfn.XLOOKUP(B105,'Base stats'!B:B,'Base stats'!BM:BM)^0.9 / 21 * _xlfn.XLOOKUP(B105,'Base stats'!B:B,'Base stats'!BU:BU),0.1),0.05),
MAX(MROUND(((MIN(12,_xlfn.XLOOKUP(B105,'Base stats'!B:B,'Base stats'!U:U)))^0.4*_xlfn.XLOOKUP(B105,'Base stats'!B:B,'Base stats'!BE:BE)^0.73)^0.6 * _xlfn.XLOOKUP(B105,'Base stats'!B:B,'Base stats'!BU:BU),0.1),0.05)
))</f>
        <v>33.5</v>
      </c>
      <c r="T105" s="11">
        <f>IF(S105="No","No",
MAX(0.01,MROUND(_xlfn.XLOOKUP(B105,'Base stats'!B:B,'Base stats'!BE:BE) * 0.01 * 2, 0.01))
)</f>
        <v>19.350000000000001</v>
      </c>
      <c r="U105" s="5">
        <f>IF(S105="No","No",IF(_xlfn.XLOOKUP(B105,'Base stats'!B:B,'Base stats'!U:U)="No","No",
MAX(0.01,MROUND(_xlfn.XLOOKUP(B105,'Base stats'!B:B,'Base stats'!BQ:BQ)/10000,0.01))
))</f>
        <v>6.43</v>
      </c>
      <c r="V105" s="4">
        <f>IF(S105="No","No",
MROUND(_xlfn.XLOOKUP(B105,'Base stats'!B:B,'Base stats'!BC:BC)^0.25
/((_xlfn.XLOOKUP(B105,'Base stats'!B:B,'Base stats'!BL:BL))*10)*_xlfn.XLOOKUP(_xlfn.XLOOKUP(B105,'Base stats'!B:B,'Base stats'!E:E),Groups!A:A,Groups!AE:AE)*150 + 0.5 + _xlfn.XLOOKUP(B105,'Base stats'!B:B,'Base stats'!BT:BT),
0.05))</f>
        <v>3.45</v>
      </c>
      <c r="W105" s="8">
        <f>MROUND(_xlfn.XLOOKUP(_xlfn.XLOOKUP(B105,'Base stats'!B:B,'Base stats'!E:E),Groups!A:A,Groups!BF:BF)*_xlfn.XLOOKUP(B105,'Base stats'!B:B,'Base stats'!C:C)^-0.165,0.01)</f>
        <v>0.1</v>
      </c>
      <c r="X105" s="1">
        <f>MROUND(_xlfn.XLOOKUP(_xlfn.XLOOKUP(B105,'Base stats'!B:B,'Base stats'!E:E),Groups!A:A,Groups!BG:BG)*_xlfn.XLOOKUP(B105,'Base stats'!B:B,'Base stats'!C:C)^0.165,0.01)</f>
        <v>0.26</v>
      </c>
      <c r="Y105" s="8">
        <f>MROUND(_xlfn.XLOOKUP(_xlfn.XLOOKUP(B105,'Base stats'!B:B,'Base stats'!E:E),Groups!A:A,Groups!BH:BH)*_xlfn.XLOOKUP(B105,'Base stats'!B:B,'Base stats'!C:C)^0.165,0.01)</f>
        <v>0.06</v>
      </c>
      <c r="Z105" s="18">
        <f>_xlfn.XLOOKUP(B105,'Base stats'!B:B,'Base stats'!AN:AN)*_xlfn.XLOOKUP(_xlfn.XLOOKUP(B105,'Base stats'!B:B,'Base stats'!E:E),Groups!A:A,Groups!H:H)/1000</f>
        <v>1.6802031629575462</v>
      </c>
      <c r="AA105" s="18">
        <f>(1/2)*(_xlfn.XLOOKUP(_xlfn.XLOOKUP(B105,'Base stats'!B:B,'Base stats'!E:E),Groups!A:A,Groups!H:H)*_xlfn.XLOOKUP(_xlfn.XLOOKUP(B105,'Base stats'!B:B,'Base stats'!E:E),Groups!A:A,Groups!I:I))*_xlfn.XLOOKUP(B105,'Base stats'!B:B,'Base stats'!AN:AN)*0.01</f>
        <v>0.11320517764607582</v>
      </c>
      <c r="AB105" s="18">
        <f>250*(Animals!AN105+Animals!AO105)</f>
        <v>1125</v>
      </c>
      <c r="AC105" s="18" t="str">
        <f>_xlfn.XLOOKUP(_xlfn.XLOOKUP(B105,'Base stats'!B:B,'Base stats'!E:E),Groups!A:A,Groups!BI:BI)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stats'!BP:BP) * (_xlfn.XLOOKUP(B106,'Base stats'!B:B,'Base stats'!AL:AL)*5%)^0.9 / 21,0.1),0.05)</f>
        <v>51.7</v>
      </c>
      <c r="E106" s="11">
        <f>MAX(0.01,MROUND(_xlfn.XLOOKUP(B106,'Base stats'!B:B,'Base stats'!BD:BD) * 0.01 * 2, 0.01))</f>
        <v>57.45</v>
      </c>
      <c r="F106" s="7">
        <f>MROUND(_xlfn.XLOOKUP(B106,'Base stats'!B:B,'Base stats'!BA:BA)^0.25 / (_xlfn.XLOOKUP(B106,'Base stats'!B:B,'Base stats'!BH:BH) * 10) * 150 + 0.5 + _xlfn.XLOOKUP(B106,'Base stats'!B:B,'Base stats'!BT:BT), 0.05)</f>
        <v>5.1000000000000005</v>
      </c>
      <c r="G106" s="3" t="str">
        <f>IF(Animals!R106="No","No",
IF(_xlfn.XLOOKUP(B106,'Base stats'!B:B,'Base stats'!U:U)="No",
MAX(MROUND(_xlfn.XLOOKUP(B106,'Base stats'!B:B,'Base stats'!BQ:BQ) * _xlfn.XLOOKUP(B106,'Base stats'!B:B,'Base stats'!BM:BM)^0.9 / 21 * _xlfn.XLOOKUP(B106,'Base stats'!B:B,'Base stats'!BU:BU),0.1),0.05),
MAX(MROUND(((MIN(10,_xlfn.XLOOKUP(B106,'Base stats'!B:B,'Base stats'!U:U)))^0.4*_xlfn.XLOOKUP(B106,'Base stats'!B:B,'Base stats'!BE:BE)^0.73)^0.6 * _xlfn.XLOOKUP(B106,'Base stats'!B:B,'Base stats'!BU:BU),0.1),0.05)
))</f>
        <v>No</v>
      </c>
      <c r="H106" s="11" t="str">
        <f>IF(G106="No","No",
MAX(0.01,MROUND(_xlfn.XLOOKUP(B106,'Base stats'!B:B,'Base stats'!BE:BE) * 0.01 * 2, 0.01))
)</f>
        <v>No</v>
      </c>
      <c r="I106" s="11" t="str">
        <f>IF(G106="No","No",IF(_xlfn.XLOOKUP(B106,'Base stats'!B:B,'Base stats'!U:U)="No","No",
MAX(0.01,MROUND(_xlfn.XLOOKUP(B106,'Base stats'!B:B,'Base stats'!BQ:BQ)/10000,0.01))
))</f>
        <v>No</v>
      </c>
      <c r="J106" s="4" t="str">
        <f>IF(G106="No","No",
MROUND(_xlfn.XLOOKUP(B106,'Base stats'!B:B,'Base stats'!BB:BB)^0.25
/((_xlfn.XLOOKUP(B106,'Base stats'!B:B,'Base stats'!BI:BI))*10)*_xlfn.XLOOKUP(_xlfn.XLOOKUP(B106,'Base stats'!B:B,'Base stats'!E:E),Groups!A:A,Groups!Q:Q)*150 + 0.5 + _xlfn.XLOOKUP(B106,'Base stats'!B:B,'Base stats'!BT:BT),
0.05))</f>
        <v>No</v>
      </c>
      <c r="K106" s="3" t="str">
        <f>IF(Animals!W106="No","No",
IF(_xlfn.XLOOKUP(_xlfn.XLOOKUP(B106,'Base stats'!B:B,'Base stats'!E:E),Groups!A:A,Groups!BC:BC)=1,
MAX(MROUND(_xlfn.XLOOKUP(B106,'Base stats'!B:B,'Base stats'!BR:BR) * _xlfn.XLOOKUP(B106,'Base stats'!B:B,'Base stats'!BN:BN)^0.9 / 21 *_xlfn.XLOOKUP(B106,'Base stats'!B:B,'Base stats'!BU:BU),0.1),0.05),
MAX(MROUND(((MIN(10,_xlfn.XLOOKUP(B106,'Base stats'!B:B,'Base stats'!W:W)))^0.4*_xlfn.XLOOKUP(B106,'Base stats'!B:B,'Base stats'!BF:BF)^0.73)^0.6 *_xlfn.XLOOKUP(B106,'Base stats'!B:B,'Base stats'!BU:BU),0.1),0.05)
))</f>
        <v>No</v>
      </c>
      <c r="L106" s="11" t="str">
        <f>IF(K106="No","No",
MAX(0.01,MROUND(_xlfn.XLOOKUP(B106,'Base stats'!B:B,'Base stats'!BF:BF) * 0.01 *2, 0.01))
)</f>
        <v>No</v>
      </c>
      <c r="M106" s="5" t="str">
        <f>IF(K106="No","No",IF(_xlfn.XLOOKUP(_xlfn.XLOOKUP(B106,'Base stats'!B:B,'Base stats'!E:E),Groups!A:A,Groups!BC:BC)=1,"No",
MAX(0.01,MROUND(_xlfn.XLOOKUP(B106,'Base stats'!B:B,'Base stats'!BR:BR)/10000,0.01))
))</f>
        <v>No</v>
      </c>
      <c r="N106" s="4" t="str">
        <f>IF(K106="No","No",
MROUND(
  _xlfn.XLOOKUP(B106,'Base stats'!B:B,'Base stats'!AZ:AZ)^0.25
  / (_xlfn.XLOOKUP(B106,'Base stats'!B:B,'Base stats'!BJ:BJ)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stats'!BT:BT),
0.05))</f>
        <v>No</v>
      </c>
      <c r="O106" s="3">
        <f>IF(Animals!AC106="No","No",
MAX(MROUND((MIN(10,_xlfn.XLOOKUP(B106,'Base stats'!B:B,'Base stats'!V:V)*IF(_xlfn.XLOOKUP(_xlfn.XLOOKUP(B106,'Base stats'!B:B,'Base stats'!E:E),Groups!A:A,Groups!O:O)=0,1,0.33))^0.4*_xlfn.XLOOKUP(B106,'Base stats'!B:B,'Base stats'!BG:BG)^0.73)^0.6 *_xlfn.XLOOKUP(B106,'Base stats'!B:B,'Base stats'!BU:BU),0.1),0.05)
)</f>
        <v>114.5</v>
      </c>
      <c r="P106" s="11">
        <f>IF(O106="No","No",
MAX(0.01,MROUND(_xlfn.XLOOKUP(B106,'Base stats'!B:B,'Base stats'!BG:BG) * 0.01 * 2, 0.01))
)</f>
        <v>284.11</v>
      </c>
      <c r="Q106" s="5">
        <f>IF(O106="No","No",
MAX(0.01,MROUND(_xlfn.XLOOKUP(B106,'Base stats'!B:B,'Base stats'!BS:BS)/10000,0.01))
)</f>
        <v>2.69</v>
      </c>
      <c r="R106" s="4">
        <f>IF(O106="No","No",
MROUND(_xlfn.XLOOKUP(B106,'Base stats'!B:B,'Base stats'!AY:AY)^0.25
/((_xlfn.XLOOKUP(B106,'Base stats'!B:B,'Base stats'!BK:BK))*10)*_xlfn.XLOOKUP(_xlfn.XLOOKUP(B106,'Base stats'!B:B,'Base stats'!E:E),Groups!A:A,Groups!Z:Z)*150 + 0.5 + _xlfn.XLOOKUP(B106,'Base stats'!B:B,'Base stats'!BT:BT),
0.05))</f>
        <v>4.95</v>
      </c>
      <c r="S106" s="3" t="str">
        <f>IF(Animals!AH106="No","No",
IF(_xlfn.XLOOKUP(B106,'Base stats'!B:B,'Base stats'!U:U)="No",
MAX(MROUND(_xlfn.XLOOKUP(B106,'Base stats'!B:B,'Base stats'!BQ:BQ) * _xlfn.XLOOKUP(B106,'Base stats'!B:B,'Base stats'!BM:BM)^0.9 / 21 * _xlfn.XLOOKUP(B106,'Base stats'!B:B,'Base stats'!BU:BU),0.1),0.05),
MAX(MROUND(((MIN(12,_xlfn.XLOOKUP(B106,'Base stats'!B:B,'Base stats'!U:U)))^0.4*_xlfn.XLOOKUP(B106,'Base stats'!B:B,'Base stats'!BE:BE)^0.73)^0.6 * _xlfn.XLOOKUP(B106,'Base stats'!B:B,'Base stats'!BU:BU),0.1),0.05)
))</f>
        <v>No</v>
      </c>
      <c r="T106" s="11" t="str">
        <f>IF(S106="No","No",
MAX(0.01,MROUND(_xlfn.XLOOKUP(B106,'Base stats'!B:B,'Base stats'!BE:BE) * 0.01 * 2, 0.01))
)</f>
        <v>No</v>
      </c>
      <c r="U106" s="5" t="str">
        <f>IF(S106="No","No",IF(_xlfn.XLOOKUP(B106,'Base stats'!B:B,'Base stats'!U:U)="No","No",
MAX(0.01,MROUND(_xlfn.XLOOKUP(B106,'Base stats'!B:B,'Base stats'!BQ:BQ)/10000,0.01))
))</f>
        <v>No</v>
      </c>
      <c r="V106" s="4" t="str">
        <f>IF(S106="No","No",
MROUND(_xlfn.XLOOKUP(B106,'Base stats'!B:B,'Base stats'!BC:BC)^0.25
/((_xlfn.XLOOKUP(B106,'Base stats'!B:B,'Base stats'!BL:BL))*10)*_xlfn.XLOOKUP(_xlfn.XLOOKUP(B106,'Base stats'!B:B,'Base stats'!E:E),Groups!A:A,Groups!AE:AE)*150 + 0.5 + _xlfn.XLOOKUP(B106,'Base stats'!B:B,'Base stats'!BT:BT),
0.05))</f>
        <v>No</v>
      </c>
      <c r="W106" s="8">
        <f>MROUND(_xlfn.XLOOKUP(_xlfn.XLOOKUP(B106,'Base stats'!B:B,'Base stats'!E:E),Groups!A:A,Groups!BF:BF)*_xlfn.XLOOKUP(B106,'Base stats'!B:B,'Base stats'!C:C)^-0.165,0.01)</f>
        <v>0.06</v>
      </c>
      <c r="X106" s="1">
        <f>MROUND(_xlfn.XLOOKUP(_xlfn.XLOOKUP(B106,'Base stats'!B:B,'Base stats'!E:E),Groups!A:A,Groups!BG:BG)*_xlfn.XLOOKUP(B106,'Base stats'!B:B,'Base stats'!C:C)^0.165,0.01)</f>
        <v>0.43</v>
      </c>
      <c r="Y106" s="8">
        <f>MROUND(_xlfn.XLOOKUP(_xlfn.XLOOKUP(B106,'Base stats'!B:B,'Base stats'!E:E),Groups!A:A,Groups!BH:BH)*_xlfn.XLOOKUP(B106,'Base stats'!B:B,'Base stats'!C:C)^0.165,0.01)</f>
        <v>0.11</v>
      </c>
      <c r="Z106" s="18">
        <f>_xlfn.XLOOKUP(B106,'Base stats'!B:B,'Base stats'!AN:AN)*_xlfn.XLOOKUP(_xlfn.XLOOKUP(B106,'Base stats'!B:B,'Base stats'!E:E),Groups!A:A,Groups!H:H)/1000</f>
        <v>4.9304780942066833</v>
      </c>
      <c r="AA106" s="18">
        <f>(1/2)*(_xlfn.XLOOKUP(_xlfn.XLOOKUP(B106,'Base stats'!B:B,'Base stats'!E:E),Groups!A:A,Groups!H:H)*_xlfn.XLOOKUP(_xlfn.XLOOKUP(B106,'Base stats'!B:B,'Base stats'!E:E),Groups!A:A,Groups!I:I))*_xlfn.XLOOKUP(B106,'Base stats'!B:B,'Base stats'!AN:AN)*0.01</f>
        <v>0.33219533258839362</v>
      </c>
      <c r="AB106" s="18">
        <f>250*(Animals!AN106+Animals!AO106)</f>
        <v>2750</v>
      </c>
      <c r="AC106" s="18" t="str">
        <f>_xlfn.XLOOKUP(_xlfn.XLOOKUP(B106,'Base stats'!B:B,'Base stats'!E:E),Groups!A:A,Groups!BI:BI)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stats'!BP:BP) * (_xlfn.XLOOKUP(B107,'Base stats'!B:B,'Base stats'!AL:AL)*5%)^0.9 / 21,0.1),0.05)</f>
        <v>0.30000000000000004</v>
      </c>
      <c r="E107" s="11">
        <f>MAX(0.01,MROUND(_xlfn.XLOOKUP(B107,'Base stats'!B:B,'Base stats'!BD:BD) * 0.01 * 2, 0.01))</f>
        <v>0.23</v>
      </c>
      <c r="F107" s="7">
        <f>MROUND(_xlfn.XLOOKUP(B107,'Base stats'!B:B,'Base stats'!BA:BA)^0.25 / (_xlfn.XLOOKUP(B107,'Base stats'!B:B,'Base stats'!BH:BH) * 10) * 150 + 0.5 + _xlfn.XLOOKUP(B107,'Base stats'!B:B,'Base stats'!BT:BT), 0.05)</f>
        <v>2.15</v>
      </c>
      <c r="G107" s="3" t="str">
        <f>IF(Animals!R107="No","No",
IF(_xlfn.XLOOKUP(B107,'Base stats'!B:B,'Base stats'!U:U)="No",
MAX(MROUND(_xlfn.XLOOKUP(B107,'Base stats'!B:B,'Base stats'!BQ:BQ) * _xlfn.XLOOKUP(B107,'Base stats'!B:B,'Base stats'!BM:BM)^0.9 / 21 * _xlfn.XLOOKUP(B107,'Base stats'!B:B,'Base stats'!BU:BU),0.1),0.05),
MAX(MROUND(((MIN(10,_xlfn.XLOOKUP(B107,'Base stats'!B:B,'Base stats'!U:U)))^0.4*_xlfn.XLOOKUP(B107,'Base stats'!B:B,'Base stats'!BE:BE)^0.73)^0.6 * _xlfn.XLOOKUP(B107,'Base stats'!B:B,'Base stats'!BU:BU),0.1),0.05)
))</f>
        <v>No</v>
      </c>
      <c r="H107" s="11" t="str">
        <f>IF(G107="No","No",
MAX(0.01,MROUND(_xlfn.XLOOKUP(B107,'Base stats'!B:B,'Base stats'!BE:BE) * 0.01 * 2, 0.01))
)</f>
        <v>No</v>
      </c>
      <c r="I107" s="11" t="str">
        <f>IF(G107="No","No",IF(_xlfn.XLOOKUP(B107,'Base stats'!B:B,'Base stats'!U:U)="No","No",
MAX(0.01,MROUND(_xlfn.XLOOKUP(B107,'Base stats'!B:B,'Base stats'!BQ:BQ)/10000,0.01))
))</f>
        <v>No</v>
      </c>
      <c r="J107" s="4" t="str">
        <f>IF(G107="No","No",
MROUND(_xlfn.XLOOKUP(B107,'Base stats'!B:B,'Base stats'!BB:BB)^0.25
/((_xlfn.XLOOKUP(B107,'Base stats'!B:B,'Base stats'!BI:BI))*10)*_xlfn.XLOOKUP(_xlfn.XLOOKUP(B107,'Base stats'!B:B,'Base stats'!E:E),Groups!A:A,Groups!Q:Q)*150 + 0.5 + _xlfn.XLOOKUP(B107,'Base stats'!B:B,'Base stats'!BT:BT),
0.05))</f>
        <v>No</v>
      </c>
      <c r="K107" s="3" t="str">
        <f>IF(Animals!W107="No","No",
IF(_xlfn.XLOOKUP(_xlfn.XLOOKUP(B107,'Base stats'!B:B,'Base stats'!E:E),Groups!A:A,Groups!BC:BC)=1,
MAX(MROUND(_xlfn.XLOOKUP(B107,'Base stats'!B:B,'Base stats'!BR:BR) * _xlfn.XLOOKUP(B107,'Base stats'!B:B,'Base stats'!BN:BN)^0.9 / 21 *_xlfn.XLOOKUP(B107,'Base stats'!B:B,'Base stats'!BU:BU),0.1),0.05),
MAX(MROUND(((MIN(10,_xlfn.XLOOKUP(B107,'Base stats'!B:B,'Base stats'!W:W)))^0.4*_xlfn.XLOOKUP(B107,'Base stats'!B:B,'Base stats'!BF:BF)^0.73)^0.6 *_xlfn.XLOOKUP(B107,'Base stats'!B:B,'Base stats'!BU:BU),0.1),0.05)
))</f>
        <v>No</v>
      </c>
      <c r="L107" s="11" t="str">
        <f>IF(K107="No","No",
MAX(0.01,MROUND(_xlfn.XLOOKUP(B107,'Base stats'!B:B,'Base stats'!BF:BF) * 0.01 *2, 0.01))
)</f>
        <v>No</v>
      </c>
      <c r="M107" s="5" t="str">
        <f>IF(K107="No","No",IF(_xlfn.XLOOKUP(_xlfn.XLOOKUP(B107,'Base stats'!B:B,'Base stats'!E:E),Groups!A:A,Groups!BC:BC)=1,"No",
MAX(0.01,MROUND(_xlfn.XLOOKUP(B107,'Base stats'!B:B,'Base stats'!BR:BR)/10000,0.01))
))</f>
        <v>No</v>
      </c>
      <c r="N107" s="4" t="str">
        <f>IF(K107="No","No",
MROUND(
  _xlfn.XLOOKUP(B107,'Base stats'!B:B,'Base stats'!AZ:AZ)^0.25
  / (_xlfn.XLOOKUP(B107,'Base stats'!B:B,'Base stats'!BJ:BJ)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stats'!BT:BT),
0.05))</f>
        <v>No</v>
      </c>
      <c r="O107" s="3">
        <f>IF(Animals!AC107="No","No",
MAX(MROUND((MIN(10,_xlfn.XLOOKUP(B107,'Base stats'!B:B,'Base stats'!V:V)*IF(_xlfn.XLOOKUP(_xlfn.XLOOKUP(B107,'Base stats'!B:B,'Base stats'!E:E),Groups!A:A,Groups!O:O)=0,1,0.33))^0.4*_xlfn.XLOOKUP(B107,'Base stats'!B:B,'Base stats'!BG:BG)^0.73)^0.6 *_xlfn.XLOOKUP(B107,'Base stats'!B:B,'Base stats'!BU:BU),0.1),0.05)
)</f>
        <v>12</v>
      </c>
      <c r="P107" s="11">
        <f>IF(O107="No","No",
MAX(0.01,MROUND(_xlfn.XLOOKUP(B107,'Base stats'!B:B,'Base stats'!BG:BG) * 0.01 * 2, 0.01))
)</f>
        <v>2.2000000000000002</v>
      </c>
      <c r="Q107" s="5">
        <f>IF(O107="No","No",
MAX(0.01,MROUND(_xlfn.XLOOKUP(B107,'Base stats'!B:B,'Base stats'!BS:BS)/10000,0.01))
)</f>
        <v>0.25</v>
      </c>
      <c r="R107" s="4">
        <f>IF(O107="No","No",
MROUND(_xlfn.XLOOKUP(B107,'Base stats'!B:B,'Base stats'!AY:AY)^0.25
/((_xlfn.XLOOKUP(B107,'Base stats'!B:B,'Base stats'!BK:BK))*10)*_xlfn.XLOOKUP(_xlfn.XLOOKUP(B107,'Base stats'!B:B,'Base stats'!E:E),Groups!A:A,Groups!Z:Z)*150 + 0.5 + _xlfn.XLOOKUP(B107,'Base stats'!B:B,'Base stats'!BT:BT),
0.05))</f>
        <v>1.7000000000000002</v>
      </c>
      <c r="S107" s="3" t="str">
        <f>IF(Animals!AH107="No","No",
IF(_xlfn.XLOOKUP(B107,'Base stats'!B:B,'Base stats'!U:U)="No",
MAX(MROUND(_xlfn.XLOOKUP(B107,'Base stats'!B:B,'Base stats'!BQ:BQ) * _xlfn.XLOOKUP(B107,'Base stats'!B:B,'Base stats'!BM:BM)^0.9 / 21 * _xlfn.XLOOKUP(B107,'Base stats'!B:B,'Base stats'!BU:BU),0.1),0.05),
MAX(MROUND(((MIN(12,_xlfn.XLOOKUP(B107,'Base stats'!B:B,'Base stats'!U:U)))^0.4*_xlfn.XLOOKUP(B107,'Base stats'!B:B,'Base stats'!BE:BE)^0.73)^0.6 * _xlfn.XLOOKUP(B107,'Base stats'!B:B,'Base stats'!BU:BU),0.1),0.05)
))</f>
        <v>No</v>
      </c>
      <c r="T107" s="11" t="str">
        <f>IF(S107="No","No",
MAX(0.01,MROUND(_xlfn.XLOOKUP(B107,'Base stats'!B:B,'Base stats'!BE:BE) * 0.01 * 2, 0.01))
)</f>
        <v>No</v>
      </c>
      <c r="U107" s="5" t="str">
        <f>IF(S107="No","No",IF(_xlfn.XLOOKUP(B107,'Base stats'!B:B,'Base stats'!U:U)="No","No",
MAX(0.01,MROUND(_xlfn.XLOOKUP(B107,'Base stats'!B:B,'Base stats'!BQ:BQ)/10000,0.01))
))</f>
        <v>No</v>
      </c>
      <c r="V107" s="4" t="str">
        <f>IF(S107="No","No",
MROUND(_xlfn.XLOOKUP(B107,'Base stats'!B:B,'Base stats'!BC:BC)^0.25
/((_xlfn.XLOOKUP(B107,'Base stats'!B:B,'Base stats'!BL:BL))*10)*_xlfn.XLOOKUP(_xlfn.XLOOKUP(B107,'Base stats'!B:B,'Base stats'!E:E),Groups!A:A,Groups!AE:AE)*150 + 0.5 + _xlfn.XLOOKUP(B107,'Base stats'!B:B,'Base stats'!BT:BT),
0.05))</f>
        <v>No</v>
      </c>
      <c r="W107" s="8">
        <f>MROUND(_xlfn.XLOOKUP(_xlfn.XLOOKUP(B107,'Base stats'!B:B,'Base stats'!E:E),Groups!A:A,Groups!BF:BF)*_xlfn.XLOOKUP(B107,'Base stats'!B:B,'Base stats'!C:C)^-0.165,0.01)</f>
        <v>0.16</v>
      </c>
      <c r="X107" s="1">
        <f>MROUND(_xlfn.XLOOKUP(_xlfn.XLOOKUP(B107,'Base stats'!B:B,'Base stats'!E:E),Groups!A:A,Groups!BG:BG)*_xlfn.XLOOKUP(B107,'Base stats'!B:B,'Base stats'!C:C)^0.165,0.01)</f>
        <v>0.16</v>
      </c>
      <c r="Y107" s="8">
        <f>MROUND(_xlfn.XLOOKUP(_xlfn.XLOOKUP(B107,'Base stats'!B:B,'Base stats'!E:E),Groups!A:A,Groups!BH:BH)*_xlfn.XLOOKUP(B107,'Base stats'!B:B,'Base stats'!C:C)^0.165,0.01)</f>
        <v>0.04</v>
      </c>
      <c r="Z107" s="18">
        <f>_xlfn.XLOOKUP(B107,'Base stats'!B:B,'Base stats'!AN:AN)*_xlfn.XLOOKUP(_xlfn.XLOOKUP(B107,'Base stats'!B:B,'Base stats'!E:E),Groups!A:A,Groups!H:H)/1000</f>
        <v>0.5888454172257207</v>
      </c>
      <c r="AA107" s="18">
        <f>(1/2)*(_xlfn.XLOOKUP(_xlfn.XLOOKUP(B107,'Base stats'!B:B,'Base stats'!E:E),Groups!A:A,Groups!H:H)*_xlfn.XLOOKUP(_xlfn.XLOOKUP(B107,'Base stats'!B:B,'Base stats'!E:E),Groups!A:A,Groups!I:I))*_xlfn.XLOOKUP(B107,'Base stats'!B:B,'Base stats'!AN:AN)*0.01</f>
        <v>3.9673982011662029E-2</v>
      </c>
      <c r="AB107" s="18">
        <f>250*(Animals!AN107+Animals!AO107)</f>
        <v>250</v>
      </c>
      <c r="AC107" s="18" t="str">
        <f>_xlfn.XLOOKUP(_xlfn.XLOOKUP(B107,'Base stats'!B:B,'Base stats'!E:E),Groups!A:A,Groups!BI:BI)</f>
        <v>QuadrupedLow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stats'!BP:BP) * (_xlfn.XLOOKUP(B108,'Base stats'!B:B,'Base stats'!AL:AL)*5%)^0.9 / 21,0.1),0.05)</f>
        <v>0.60000000000000009</v>
      </c>
      <c r="E108" s="11">
        <f>MAX(0.01,MROUND(_xlfn.XLOOKUP(B108,'Base stats'!B:B,'Base stats'!BD:BD) * 0.01 * 2, 0.01))</f>
        <v>0.43</v>
      </c>
      <c r="F108" s="7">
        <f>MROUND(_xlfn.XLOOKUP(B108,'Base stats'!B:B,'Base stats'!BA:BA)^0.25 / (_xlfn.XLOOKUP(B108,'Base stats'!B:B,'Base stats'!BH:BH) * 10) * 150 + 0.5 + _xlfn.XLOOKUP(B108,'Base stats'!B:B,'Base stats'!BT:BT), 0.05)</f>
        <v>2.2000000000000002</v>
      </c>
      <c r="G108" s="3" t="str">
        <f>IF(Animals!R108="No","No",
IF(_xlfn.XLOOKUP(B108,'Base stats'!B:B,'Base stats'!U:U)="No",
MAX(MROUND(_xlfn.XLOOKUP(B108,'Base stats'!B:B,'Base stats'!BQ:BQ) * _xlfn.XLOOKUP(B108,'Base stats'!B:B,'Base stats'!BM:BM)^0.9 / 21 * _xlfn.XLOOKUP(B108,'Base stats'!B:B,'Base stats'!BU:BU),0.1),0.05),
MAX(MROUND(((MIN(10,_xlfn.XLOOKUP(B108,'Base stats'!B:B,'Base stats'!U:U)))^0.4*_xlfn.XLOOKUP(B108,'Base stats'!B:B,'Base stats'!BE:BE)^0.73)^0.6 * _xlfn.XLOOKUP(B108,'Base stats'!B:B,'Base stats'!BU:BU),0.1),0.05)
))</f>
        <v>No</v>
      </c>
      <c r="H108" s="11" t="str">
        <f>IF(G108="No","No",
MAX(0.01,MROUND(_xlfn.XLOOKUP(B108,'Base stats'!B:B,'Base stats'!BE:BE) * 0.01 * 2, 0.01))
)</f>
        <v>No</v>
      </c>
      <c r="I108" s="11" t="str">
        <f>IF(G108="No","No",IF(_xlfn.XLOOKUP(B108,'Base stats'!B:B,'Base stats'!U:U)="No","No",
MAX(0.01,MROUND(_xlfn.XLOOKUP(B108,'Base stats'!B:B,'Base stats'!BQ:BQ)/10000,0.01))
))</f>
        <v>No</v>
      </c>
      <c r="J108" s="4" t="str">
        <f>IF(G108="No","No",
MROUND(_xlfn.XLOOKUP(B108,'Base stats'!B:B,'Base stats'!BB:BB)^0.25
/((_xlfn.XLOOKUP(B108,'Base stats'!B:B,'Base stats'!BI:BI))*10)*_xlfn.XLOOKUP(_xlfn.XLOOKUP(B108,'Base stats'!B:B,'Base stats'!E:E),Groups!A:A,Groups!Q:Q)*150 + 0.5 + _xlfn.XLOOKUP(B108,'Base stats'!B:B,'Base stats'!BT:BT),
0.05))</f>
        <v>No</v>
      </c>
      <c r="K108" s="3" t="str">
        <f>IF(Animals!W108="No","No",
IF(_xlfn.XLOOKUP(_xlfn.XLOOKUP(B108,'Base stats'!B:B,'Base stats'!E:E),Groups!A:A,Groups!BC:BC)=1,
MAX(MROUND(_xlfn.XLOOKUP(B108,'Base stats'!B:B,'Base stats'!BR:BR) * _xlfn.XLOOKUP(B108,'Base stats'!B:B,'Base stats'!BN:BN)^0.9 / 21 *_xlfn.XLOOKUP(B108,'Base stats'!B:B,'Base stats'!BU:BU),0.1),0.05),
MAX(MROUND(((MIN(10,_xlfn.XLOOKUP(B108,'Base stats'!B:B,'Base stats'!W:W)))^0.4*_xlfn.XLOOKUP(B108,'Base stats'!B:B,'Base stats'!BF:BF)^0.73)^0.6 *_xlfn.XLOOKUP(B108,'Base stats'!B:B,'Base stats'!BU:BU),0.1),0.05)
))</f>
        <v>No</v>
      </c>
      <c r="L108" s="11" t="str">
        <f>IF(K108="No","No",
MAX(0.01,MROUND(_xlfn.XLOOKUP(B108,'Base stats'!B:B,'Base stats'!BF:BF) * 0.01 *2, 0.01))
)</f>
        <v>No</v>
      </c>
      <c r="M108" s="5" t="str">
        <f>IF(K108="No","No",IF(_xlfn.XLOOKUP(_xlfn.XLOOKUP(B108,'Base stats'!B:B,'Base stats'!E:E),Groups!A:A,Groups!BC:BC)=1,"No",
MAX(0.01,MROUND(_xlfn.XLOOKUP(B108,'Base stats'!B:B,'Base stats'!BR:BR)/10000,0.01))
))</f>
        <v>No</v>
      </c>
      <c r="N108" s="4" t="str">
        <f>IF(K108="No","No",
MROUND(
  _xlfn.XLOOKUP(B108,'Base stats'!B:B,'Base stats'!AZ:AZ)^0.25
  / (_xlfn.XLOOKUP(B108,'Base stats'!B:B,'Base stats'!BJ:BJ)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stats'!BT:BT),
0.05))</f>
        <v>No</v>
      </c>
      <c r="O108" s="3">
        <f>IF(Animals!AC108="No","No",
MAX(MROUND((MIN(10,_xlfn.XLOOKUP(B108,'Base stats'!B:B,'Base stats'!V:V)*IF(_xlfn.XLOOKUP(_xlfn.XLOOKUP(B108,'Base stats'!B:B,'Base stats'!E:E),Groups!A:A,Groups!O:O)=0,1,0.33))^0.4*_xlfn.XLOOKUP(B108,'Base stats'!B:B,'Base stats'!BG:BG)^0.73)^0.6 *_xlfn.XLOOKUP(B108,'Base stats'!B:B,'Base stats'!BU:BU),0.1),0.05)
)</f>
        <v>16.900000000000002</v>
      </c>
      <c r="P108" s="11">
        <f>IF(O108="No","No",
MAX(0.01,MROUND(_xlfn.XLOOKUP(B108,'Base stats'!B:B,'Base stats'!BG:BG) * 0.01 * 2, 0.01))
)</f>
        <v>3.8200000000000003</v>
      </c>
      <c r="Q108" s="5">
        <f>IF(O108="No","No",
MAX(0.01,MROUND(_xlfn.XLOOKUP(B108,'Base stats'!B:B,'Base stats'!BS:BS)/10000,0.01))
)</f>
        <v>0.32</v>
      </c>
      <c r="R108" s="4">
        <f>IF(O108="No","No",
MROUND(_xlfn.XLOOKUP(B108,'Base stats'!B:B,'Base stats'!AY:AY)^0.25
/((_xlfn.XLOOKUP(B108,'Base stats'!B:B,'Base stats'!BK:BK))*10)*_xlfn.XLOOKUP(_xlfn.XLOOKUP(B108,'Base stats'!B:B,'Base stats'!E:E),Groups!A:A,Groups!Z:Z)*150 + 0.5 + _xlfn.XLOOKUP(B108,'Base stats'!B:B,'Base stats'!BT:BT),
0.05))</f>
        <v>1.85</v>
      </c>
      <c r="S108" s="3" t="str">
        <f>IF(Animals!AH108="No","No",
IF(_xlfn.XLOOKUP(B108,'Base stats'!B:B,'Base stats'!U:U)="No",
MAX(MROUND(_xlfn.XLOOKUP(B108,'Base stats'!B:B,'Base stats'!BQ:BQ) * _xlfn.XLOOKUP(B108,'Base stats'!B:B,'Base stats'!BM:BM)^0.9 / 21 * _xlfn.XLOOKUP(B108,'Base stats'!B:B,'Base stats'!BU:BU),0.1),0.05),
MAX(MROUND(((MIN(12,_xlfn.XLOOKUP(B108,'Base stats'!B:B,'Base stats'!U:U)))^0.4*_xlfn.XLOOKUP(B108,'Base stats'!B:B,'Base stats'!BE:BE)^0.73)^0.6 * _xlfn.XLOOKUP(B108,'Base stats'!B:B,'Base stats'!BU:BU),0.1),0.05)
))</f>
        <v>No</v>
      </c>
      <c r="T108" s="11" t="str">
        <f>IF(S108="No","No",
MAX(0.01,MROUND(_xlfn.XLOOKUP(B108,'Base stats'!B:B,'Base stats'!BE:BE) * 0.01 * 2, 0.01))
)</f>
        <v>No</v>
      </c>
      <c r="U108" s="5" t="str">
        <f>IF(S108="No","No",IF(_xlfn.XLOOKUP(B108,'Base stats'!B:B,'Base stats'!U:U)="No","No",
MAX(0.01,MROUND(_xlfn.XLOOKUP(B108,'Base stats'!B:B,'Base stats'!BQ:BQ)/10000,0.01))
))</f>
        <v>No</v>
      </c>
      <c r="V108" s="4" t="str">
        <f>IF(S108="No","No",
MROUND(_xlfn.XLOOKUP(B108,'Base stats'!B:B,'Base stats'!BC:BC)^0.25
/((_xlfn.XLOOKUP(B108,'Base stats'!B:B,'Base stats'!BL:BL))*10)*_xlfn.XLOOKUP(_xlfn.XLOOKUP(B108,'Base stats'!B:B,'Base stats'!E:E),Groups!A:A,Groups!AE:AE)*150 + 0.5 + _xlfn.XLOOKUP(B108,'Base stats'!B:B,'Base stats'!BT:BT),
0.05))</f>
        <v>No</v>
      </c>
      <c r="W108" s="8">
        <f>MROUND(_xlfn.XLOOKUP(_xlfn.XLOOKUP(B108,'Base stats'!B:B,'Base stats'!E:E),Groups!A:A,Groups!BF:BF)*_xlfn.XLOOKUP(B108,'Base stats'!B:B,'Base stats'!C:C)^-0.165,0.01)</f>
        <v>0.14000000000000001</v>
      </c>
      <c r="X108" s="1">
        <f>MROUND(_xlfn.XLOOKUP(_xlfn.XLOOKUP(B108,'Base stats'!B:B,'Base stats'!E:E),Groups!A:A,Groups!BG:BG)*_xlfn.XLOOKUP(B108,'Base stats'!B:B,'Base stats'!C:C)^0.165,0.01)</f>
        <v>0.18</v>
      </c>
      <c r="Y108" s="8">
        <f>MROUND(_xlfn.XLOOKUP(_xlfn.XLOOKUP(B108,'Base stats'!B:B,'Base stats'!E:E),Groups!A:A,Groups!BH:BH)*_xlfn.XLOOKUP(B108,'Base stats'!B:B,'Base stats'!C:C)^0.165,0.01)</f>
        <v>0.04</v>
      </c>
      <c r="Z108" s="18">
        <f>_xlfn.XLOOKUP(B108,'Base stats'!B:B,'Base stats'!AN:AN)*_xlfn.XLOOKUP(_xlfn.XLOOKUP(B108,'Base stats'!B:B,'Base stats'!E:E),Groups!A:A,Groups!H:H)/1000</f>
        <v>0.75051918437328691</v>
      </c>
      <c r="AA108" s="18">
        <f>(1/2)*(_xlfn.XLOOKUP(_xlfn.XLOOKUP(B108,'Base stats'!B:B,'Base stats'!E:E),Groups!A:A,Groups!H:H)*_xlfn.XLOOKUP(_xlfn.XLOOKUP(B108,'Base stats'!B:B,'Base stats'!E:E),Groups!A:A,Groups!I:I))*_xlfn.XLOOKUP(B108,'Base stats'!B:B,'Base stats'!AN:AN)*0.01</f>
        <v>5.0566895401037051E-2</v>
      </c>
      <c r="AB108" s="18">
        <f>250*(Animals!AN108+Animals!AO108)</f>
        <v>350.00000000000006</v>
      </c>
      <c r="AC108" s="18" t="str">
        <f>_xlfn.XLOOKUP(_xlfn.XLOOKUP(B108,'Base stats'!B:B,'Base stats'!E:E),Groups!A:A,Groups!BI:BI)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stats'!BP:BP) * (_xlfn.XLOOKUP(B109,'Base stats'!B:B,'Base stats'!AL:AL)*5%)^0.9 / 21,0.1),0.05)</f>
        <v>0.60000000000000009</v>
      </c>
      <c r="E109" s="11">
        <f>MAX(0.01,MROUND(_xlfn.XLOOKUP(B109,'Base stats'!B:B,'Base stats'!BD:BD) * 0.01 * 2, 0.01))</f>
        <v>0.41000000000000003</v>
      </c>
      <c r="F109" s="7">
        <f>MROUND(_xlfn.XLOOKUP(B109,'Base stats'!B:B,'Base stats'!BA:BA)^0.25 / (_xlfn.XLOOKUP(B109,'Base stats'!B:B,'Base stats'!BH:BH) * 10) * 150 + 0.5 + _xlfn.XLOOKUP(B109,'Base stats'!B:B,'Base stats'!BT:BT), 0.05)</f>
        <v>1.55</v>
      </c>
      <c r="G109" s="3" t="str">
        <f>IF(Animals!R109="No","No",
IF(_xlfn.XLOOKUP(B109,'Base stats'!B:B,'Base stats'!U:U)="No",
MAX(MROUND(_xlfn.XLOOKUP(B109,'Base stats'!B:B,'Base stats'!BQ:BQ) * _xlfn.XLOOKUP(B109,'Base stats'!B:B,'Base stats'!BM:BM)^0.9 / 21 * _xlfn.XLOOKUP(B109,'Base stats'!B:B,'Base stats'!BU:BU),0.1),0.05),
MAX(MROUND(((MIN(10,_xlfn.XLOOKUP(B109,'Base stats'!B:B,'Base stats'!U:U)))^0.4*_xlfn.XLOOKUP(B109,'Base stats'!B:B,'Base stats'!BE:BE)^0.73)^0.6 * _xlfn.XLOOKUP(B109,'Base stats'!B:B,'Base stats'!BU:BU),0.1),0.05)
))</f>
        <v>No</v>
      </c>
      <c r="H109" s="11" t="str">
        <f>IF(G109="No","No",
MAX(0.01,MROUND(_xlfn.XLOOKUP(B109,'Base stats'!B:B,'Base stats'!BE:BE) * 0.01 * 2, 0.01))
)</f>
        <v>No</v>
      </c>
      <c r="I109" s="11" t="str">
        <f>IF(G109="No","No",IF(_xlfn.XLOOKUP(B109,'Base stats'!B:B,'Base stats'!U:U)="No","No",
MAX(0.01,MROUND(_xlfn.XLOOKUP(B109,'Base stats'!B:B,'Base stats'!BQ:BQ)/10000,0.01))
))</f>
        <v>No</v>
      </c>
      <c r="J109" s="4" t="str">
        <f>IF(G109="No","No",
MROUND(_xlfn.XLOOKUP(B109,'Base stats'!B:B,'Base stats'!BB:BB)^0.25
/((_xlfn.XLOOKUP(B109,'Base stats'!B:B,'Base stats'!BI:BI))*10)*_xlfn.XLOOKUP(_xlfn.XLOOKUP(B109,'Base stats'!B:B,'Base stats'!E:E),Groups!A:A,Groups!Q:Q)*150 + 0.5 + _xlfn.XLOOKUP(B109,'Base stats'!B:B,'Base stats'!BT:BT),
0.05))</f>
        <v>No</v>
      </c>
      <c r="K109" s="3" t="str">
        <f>IF(Animals!W109="No","No",
IF(_xlfn.XLOOKUP(_xlfn.XLOOKUP(B109,'Base stats'!B:B,'Base stats'!E:E),Groups!A:A,Groups!BC:BC)=1,
MAX(MROUND(_xlfn.XLOOKUP(B109,'Base stats'!B:B,'Base stats'!BR:BR) * _xlfn.XLOOKUP(B109,'Base stats'!B:B,'Base stats'!BN:BN)^0.9 / 21 *_xlfn.XLOOKUP(B109,'Base stats'!B:B,'Base stats'!BU:BU),0.1),0.05),
MAX(MROUND(((MIN(10,_xlfn.XLOOKUP(B109,'Base stats'!B:B,'Base stats'!W:W)))^0.4*_xlfn.XLOOKUP(B109,'Base stats'!B:B,'Base stats'!BF:BF)^0.73)^0.6 *_xlfn.XLOOKUP(B109,'Base stats'!B:B,'Base stats'!BU:BU),0.1),0.05)
))</f>
        <v>No</v>
      </c>
      <c r="L109" s="11" t="str">
        <f>IF(K109="No","No",
MAX(0.01,MROUND(_xlfn.XLOOKUP(B109,'Base stats'!B:B,'Base stats'!BF:BF) * 0.01 *2, 0.01))
)</f>
        <v>No</v>
      </c>
      <c r="M109" s="5" t="str">
        <f>IF(K109="No","No",IF(_xlfn.XLOOKUP(_xlfn.XLOOKUP(B109,'Base stats'!B:B,'Base stats'!E:E),Groups!A:A,Groups!BC:BC)=1,"No",
MAX(0.01,MROUND(_xlfn.XLOOKUP(B109,'Base stats'!B:B,'Base stats'!BR:BR)/10000,0.01))
))</f>
        <v>No</v>
      </c>
      <c r="N109" s="4" t="str">
        <f>IF(K109="No","No",
MROUND(
  _xlfn.XLOOKUP(B109,'Base stats'!B:B,'Base stats'!AZ:AZ)^0.25
  / (_xlfn.XLOOKUP(B109,'Base stats'!B:B,'Base stats'!BJ:BJ)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stats'!BT:BT),
0.05))</f>
        <v>No</v>
      </c>
      <c r="O109" s="3">
        <f>IF(Animals!AC109="No","No",
MAX(MROUND((MIN(10,_xlfn.XLOOKUP(B109,'Base stats'!B:B,'Base stats'!V:V)*IF(_xlfn.XLOOKUP(_xlfn.XLOOKUP(B109,'Base stats'!B:B,'Base stats'!E:E),Groups!A:A,Groups!O:O)=0,1,0.33))^0.4*_xlfn.XLOOKUP(B109,'Base stats'!B:B,'Base stats'!BG:BG)^0.73)^0.6 *_xlfn.XLOOKUP(B109,'Base stats'!B:B,'Base stats'!BU:BU),0.1),0.05)
)</f>
        <v>7</v>
      </c>
      <c r="P109" s="11">
        <f>IF(O109="No","No",
MAX(0.01,MROUND(_xlfn.XLOOKUP(B109,'Base stats'!B:B,'Base stats'!BG:BG) * 0.01 * 2, 0.01))
)</f>
        <v>1.08</v>
      </c>
      <c r="Q109" s="5">
        <f>IF(O109="No","No",
MAX(0.01,MROUND(_xlfn.XLOOKUP(B109,'Base stats'!B:B,'Base stats'!BS:BS)/10000,0.01))
)</f>
        <v>0.13</v>
      </c>
      <c r="R109" s="4">
        <f>IF(O109="No","No",
MROUND(_xlfn.XLOOKUP(B109,'Base stats'!B:B,'Base stats'!AY:AY)^0.25
/((_xlfn.XLOOKUP(B109,'Base stats'!B:B,'Base stats'!BK:BK))*10)*_xlfn.XLOOKUP(_xlfn.XLOOKUP(B109,'Base stats'!B:B,'Base stats'!E:E),Groups!A:A,Groups!Z:Z)*150 + 0.5 + _xlfn.XLOOKUP(B109,'Base stats'!B:B,'Base stats'!BT:BT),
0.05))</f>
        <v>1.9000000000000001</v>
      </c>
      <c r="S109" s="3" t="str">
        <f>IF(Animals!AH109="No","No",
IF(_xlfn.XLOOKUP(B109,'Base stats'!B:B,'Base stats'!U:U)="No",
MAX(MROUND(_xlfn.XLOOKUP(B109,'Base stats'!B:B,'Base stats'!BQ:BQ) * _xlfn.XLOOKUP(B109,'Base stats'!B:B,'Base stats'!BM:BM)^0.9 / 21 * _xlfn.XLOOKUP(B109,'Base stats'!B:B,'Base stats'!BU:BU),0.1),0.05),
MAX(MROUND(((MIN(12,_xlfn.XLOOKUP(B109,'Base stats'!B:B,'Base stats'!U:U)))^0.4*_xlfn.XLOOKUP(B109,'Base stats'!B:B,'Base stats'!BE:BE)^0.73)^0.6 * _xlfn.XLOOKUP(B109,'Base stats'!B:B,'Base stats'!BU:BU),0.1),0.05)
))</f>
        <v>No</v>
      </c>
      <c r="T109" s="11" t="str">
        <f>IF(S109="No","No",
MAX(0.01,MROUND(_xlfn.XLOOKUP(B109,'Base stats'!B:B,'Base stats'!BE:BE) * 0.01 * 2, 0.01))
)</f>
        <v>No</v>
      </c>
      <c r="U109" s="5" t="str">
        <f>IF(S109="No","No",IF(_xlfn.XLOOKUP(B109,'Base stats'!B:B,'Base stats'!U:U)="No","No",
MAX(0.01,MROUND(_xlfn.XLOOKUP(B109,'Base stats'!B:B,'Base stats'!BQ:BQ)/10000,0.01))
))</f>
        <v>No</v>
      </c>
      <c r="V109" s="4" t="str">
        <f>IF(S109="No","No",
MROUND(_xlfn.XLOOKUP(B109,'Base stats'!B:B,'Base stats'!BC:BC)^0.25
/((_xlfn.XLOOKUP(B109,'Base stats'!B:B,'Base stats'!BL:BL))*10)*_xlfn.XLOOKUP(_xlfn.XLOOKUP(B109,'Base stats'!B:B,'Base stats'!E:E),Groups!A:A,Groups!AE:AE)*150 + 0.5 + _xlfn.XLOOKUP(B109,'Base stats'!B:B,'Base stats'!BT:BT),
0.05))</f>
        <v>No</v>
      </c>
      <c r="W109" s="8">
        <f>MROUND(_xlfn.XLOOKUP(_xlfn.XLOOKUP(B109,'Base stats'!B:B,'Base stats'!E:E),Groups!A:A,Groups!BF:BF)*_xlfn.XLOOKUP(B109,'Base stats'!B:B,'Base stats'!C:C)^-0.165,0.01)</f>
        <v>0.65</v>
      </c>
      <c r="X109" s="1">
        <f>MROUND(_xlfn.XLOOKUP(_xlfn.XLOOKUP(B109,'Base stats'!B:B,'Base stats'!E:E),Groups!A:A,Groups!BG:BG)*_xlfn.XLOOKUP(B109,'Base stats'!B:B,'Base stats'!C:C)^0.165,0.01)</f>
        <v>0.31</v>
      </c>
      <c r="Y109" s="8">
        <f>MROUND(_xlfn.XLOOKUP(_xlfn.XLOOKUP(B109,'Base stats'!B:B,'Base stats'!E:E),Groups!A:A,Groups!BH:BH)*_xlfn.XLOOKUP(B109,'Base stats'!B:B,'Base stats'!C:C)^0.165,0.01)</f>
        <v>0.04</v>
      </c>
      <c r="Z109" s="18">
        <f>_xlfn.XLOOKUP(B109,'Base stats'!B:B,'Base stats'!AN:AN)*_xlfn.XLOOKUP(_xlfn.XLOOKUP(B109,'Base stats'!B:B,'Base stats'!E:E),Groups!A:A,Groups!H:H)/1000</f>
        <v>5.5019974670075016E-2</v>
      </c>
      <c r="AA109" s="18">
        <f>(1/2)*(_xlfn.XLOOKUP(_xlfn.XLOOKUP(B109,'Base stats'!B:B,'Base stats'!E:E),Groups!A:A,Groups!H:H)*_xlfn.XLOOKUP(_xlfn.XLOOKUP(B109,'Base stats'!B:B,'Base stats'!E:E),Groups!A:A,Groups!I:I))*_xlfn.XLOOKUP(B109,'Base stats'!B:B,'Base stats'!AN:AN)*0.01</f>
        <v>0.41264981002556267</v>
      </c>
      <c r="AB109" s="18">
        <f>250*(Animals!AN109+Animals!AO109)</f>
        <v>275</v>
      </c>
      <c r="AC109" s="18" t="str">
        <f>_xlfn.XLOOKUP(_xlfn.XLOOKUP(B109,'Base stats'!B:B,'Base stats'!E:E),Groups!A:A,Groups!BI:BI)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stats'!BP:BP) * (_xlfn.XLOOKUP(B110,'Base stats'!B:B,'Base stats'!AL:AL)*5%)^0.9 / 21,0.1),0.05)</f>
        <v>21.5</v>
      </c>
      <c r="E110" s="11">
        <f>MAX(0.01,MROUND(_xlfn.XLOOKUP(B110,'Base stats'!B:B,'Base stats'!BD:BD) * 0.01 * 2, 0.01))</f>
        <v>21.150000000000002</v>
      </c>
      <c r="F110" s="7">
        <f>MROUND(_xlfn.XLOOKUP(B110,'Base stats'!B:B,'Base stats'!BA:BA)^0.25 / (_xlfn.XLOOKUP(B110,'Base stats'!B:B,'Base stats'!BH:BH) * 10) * 150 + 0.5 + _xlfn.XLOOKUP(B110,'Base stats'!B:B,'Base stats'!BT:BT), 0.05)</f>
        <v>2.2000000000000002</v>
      </c>
      <c r="G110" s="3">
        <f>IF(Animals!R110="No","No",
IF(_xlfn.XLOOKUP(B110,'Base stats'!B:B,'Base stats'!U:U)="No",
MAX(MROUND(_xlfn.XLOOKUP(B110,'Base stats'!B:B,'Base stats'!BQ:BQ) * _xlfn.XLOOKUP(B110,'Base stats'!B:B,'Base stats'!BM:BM)^0.9 / 21 * _xlfn.XLOOKUP(B110,'Base stats'!B:B,'Base stats'!BU:BU),0.1),0.05),
MAX(MROUND(((MIN(10,_xlfn.XLOOKUP(B110,'Base stats'!B:B,'Base stats'!U:U)))^0.4*_xlfn.XLOOKUP(B110,'Base stats'!B:B,'Base stats'!BE:BE)^0.73)^0.6 * _xlfn.XLOOKUP(B110,'Base stats'!B:B,'Base stats'!BU:BU),0.1),0.05)
))</f>
        <v>33.4</v>
      </c>
      <c r="H110" s="11">
        <f>IF(G110="No","No",
MAX(0.01,MROUND(_xlfn.XLOOKUP(B110,'Base stats'!B:B,'Base stats'!BE:BE) * 0.01 * 2, 0.01))
)</f>
        <v>23.400000000000002</v>
      </c>
      <c r="I110" s="11" t="str">
        <f>IF(G110="No","No",IF(_xlfn.XLOOKUP(B110,'Base stats'!B:B,'Base stats'!U:U)="No","No",
MAX(0.01,MROUND(_xlfn.XLOOKUP(B110,'Base stats'!B:B,'Base stats'!BQ:BQ)/10000,0.01))
))</f>
        <v>No</v>
      </c>
      <c r="J110" s="4">
        <f>IF(G110="No","No",
MROUND(_xlfn.XLOOKUP(B110,'Base stats'!B:B,'Base stats'!BB:BB)^0.25
/((_xlfn.XLOOKUP(B110,'Base stats'!B:B,'Base stats'!BI:BI))*10)*_xlfn.XLOOKUP(_xlfn.XLOOKUP(B110,'Base stats'!B:B,'Base stats'!E:E),Groups!A:A,Groups!Q:Q)*150 + 0.5 + _xlfn.XLOOKUP(B110,'Base stats'!B:B,'Base stats'!BT:BT),
0.05))</f>
        <v>3.25</v>
      </c>
      <c r="K110" s="3" t="str">
        <f>IF(Animals!W110="No","No",
IF(_xlfn.XLOOKUP(_xlfn.XLOOKUP(B110,'Base stats'!B:B,'Base stats'!E:E),Groups!A:A,Groups!BC:BC)=1,
MAX(MROUND(_xlfn.XLOOKUP(B110,'Base stats'!B:B,'Base stats'!BR:BR) * _xlfn.XLOOKUP(B110,'Base stats'!B:B,'Base stats'!BN:BN)^0.9 / 21 *_xlfn.XLOOKUP(B110,'Base stats'!B:B,'Base stats'!BU:BU),0.1),0.05),
MAX(MROUND(((MIN(10,_xlfn.XLOOKUP(B110,'Base stats'!B:B,'Base stats'!W:W)))^0.4*_xlfn.XLOOKUP(B110,'Base stats'!B:B,'Base stats'!BF:BF)^0.73)^0.6 *_xlfn.XLOOKUP(B110,'Base stats'!B:B,'Base stats'!BU:BU),0.1),0.05)
))</f>
        <v>No</v>
      </c>
      <c r="L110" s="11" t="str">
        <f>IF(K110="No","No",
MAX(0.01,MROUND(_xlfn.XLOOKUP(B110,'Base stats'!B:B,'Base stats'!BF:BF) * 0.01 *2, 0.01))
)</f>
        <v>No</v>
      </c>
      <c r="M110" s="5" t="str">
        <f>IF(K110="No","No",IF(_xlfn.XLOOKUP(_xlfn.XLOOKUP(B110,'Base stats'!B:B,'Base stats'!E:E),Groups!A:A,Groups!BC:BC)=1,"No",
MAX(0.01,MROUND(_xlfn.XLOOKUP(B110,'Base stats'!B:B,'Base stats'!BR:BR)/10000,0.01))
))</f>
        <v>No</v>
      </c>
      <c r="N110" s="4" t="str">
        <f>IF(K110="No","No",
MROUND(
  _xlfn.XLOOKUP(B110,'Base stats'!B:B,'Base stats'!AZ:AZ)^0.25
  / (_xlfn.XLOOKUP(B110,'Base stats'!B:B,'Base stats'!BJ:BJ)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stats'!BT:BT),
0.05))</f>
        <v>No</v>
      </c>
      <c r="O110" s="3" t="str">
        <f>IF(Animals!AC110="No","No",
MAX(MROUND((MIN(10,_xlfn.XLOOKUP(B110,'Base stats'!B:B,'Base stats'!V:V)*IF(_xlfn.XLOOKUP(_xlfn.XLOOKUP(B110,'Base stats'!B:B,'Base stats'!E:E),Groups!A:A,Groups!O:O)=0,1,0.33))^0.4*_xlfn.XLOOKUP(B110,'Base stats'!B:B,'Base stats'!BG:BG)^0.73)^0.6 *_xlfn.XLOOKUP(B110,'Base stats'!B:B,'Base stats'!BU:BU),0.1),0.05)
)</f>
        <v>No</v>
      </c>
      <c r="P110" s="11" t="str">
        <f>IF(O110="No","No",
MAX(0.01,MROUND(_xlfn.XLOOKUP(B110,'Base stats'!B:B,'Base stats'!BG:BG) * 0.01 * 2, 0.01))
)</f>
        <v>No</v>
      </c>
      <c r="Q110" s="5" t="str">
        <f>IF(O110="No","No",
MAX(0.01,MROUND(_xlfn.XLOOKUP(B110,'Base stats'!B:B,'Base stats'!BS:BS)/10000,0.01))
)</f>
        <v>No</v>
      </c>
      <c r="R110" s="4" t="str">
        <f>IF(O110="No","No",
MROUND(_xlfn.XLOOKUP(B110,'Base stats'!B:B,'Base stats'!AY:AY)^0.25
/((_xlfn.XLOOKUP(B110,'Base stats'!B:B,'Base stats'!BK:BK))*10)*_xlfn.XLOOKUP(_xlfn.XLOOKUP(B110,'Base stats'!B:B,'Base stats'!E:E),Groups!A:A,Groups!Z:Z)*150 + 0.5 + _xlfn.XLOOKUP(B110,'Base stats'!B:B,'Base stats'!BT:BT),
0.05))</f>
        <v>No</v>
      </c>
      <c r="S110" s="3" t="str">
        <f>IF(Animals!AH110="No","No",
IF(_xlfn.XLOOKUP(B110,'Base stats'!B:B,'Base stats'!U:U)="No",
MAX(MROUND(_xlfn.XLOOKUP(B110,'Base stats'!B:B,'Base stats'!BQ:BQ) * _xlfn.XLOOKUP(B110,'Base stats'!B:B,'Base stats'!BM:BM)^0.9 / 21 * _xlfn.XLOOKUP(B110,'Base stats'!B:B,'Base stats'!BU:BU),0.1),0.05),
MAX(MROUND(((MIN(12,_xlfn.XLOOKUP(B110,'Base stats'!B:B,'Base stats'!U:U)))^0.4*_xlfn.XLOOKUP(B110,'Base stats'!B:B,'Base stats'!BE:BE)^0.73)^0.6 * _xlfn.XLOOKUP(B110,'Base stats'!B:B,'Base stats'!BU:BU),0.1),0.05)
))</f>
        <v>No</v>
      </c>
      <c r="T110" s="11" t="str">
        <f>IF(S110="No","No",
MAX(0.01,MROUND(_xlfn.XLOOKUP(B110,'Base stats'!B:B,'Base stats'!BE:BE) * 0.01 * 2, 0.01))
)</f>
        <v>No</v>
      </c>
      <c r="U110" s="5" t="str">
        <f>IF(S110="No","No",IF(_xlfn.XLOOKUP(B110,'Base stats'!B:B,'Base stats'!U:U)="No","No",
MAX(0.01,MROUND(_xlfn.XLOOKUP(B110,'Base stats'!B:B,'Base stats'!BQ:BQ)/10000,0.01))
))</f>
        <v>No</v>
      </c>
      <c r="V110" s="4" t="str">
        <f>IF(S110="No","No",
MROUND(_xlfn.XLOOKUP(B110,'Base stats'!B:B,'Base stats'!BC:BC)^0.25
/((_xlfn.XLOOKUP(B110,'Base stats'!B:B,'Base stats'!BL:BL))*10)*_xlfn.XLOOKUP(_xlfn.XLOOKUP(B110,'Base stats'!B:B,'Base stats'!E:E),Groups!A:A,Groups!AE:AE)*150 + 0.5 + _xlfn.XLOOKUP(B110,'Base stats'!B:B,'Base stats'!BT:BT),
0.05))</f>
        <v>No</v>
      </c>
      <c r="W110" s="8">
        <f>MROUND(_xlfn.XLOOKUP(_xlfn.XLOOKUP(B110,'Base stats'!B:B,'Base stats'!E:E),Groups!A:A,Groups!BF:BF)*_xlfn.XLOOKUP(B110,'Base stats'!B:B,'Base stats'!C:C)^-0.165,0.01)</f>
        <v>0.16</v>
      </c>
      <c r="X110" s="1">
        <f>MROUND(_xlfn.XLOOKUP(_xlfn.XLOOKUP(B110,'Base stats'!B:B,'Base stats'!E:E),Groups!A:A,Groups!BG:BG)*_xlfn.XLOOKUP(B110,'Base stats'!B:B,'Base stats'!C:C)^0.165,0.01)</f>
        <v>0</v>
      </c>
      <c r="Y110" s="8">
        <f>MROUND(_xlfn.XLOOKUP(_xlfn.XLOOKUP(B110,'Base stats'!B:B,'Base stats'!E:E),Groups!A:A,Groups!BH:BH)*_xlfn.XLOOKUP(B110,'Base stats'!B:B,'Base stats'!C:C)^0.165,0.01)</f>
        <v>0</v>
      </c>
      <c r="Z110" s="18">
        <f>_xlfn.XLOOKUP(B110,'Base stats'!B:B,'Base stats'!AN:AN)*_xlfn.XLOOKUP(_xlfn.XLOOKUP(B110,'Base stats'!B:B,'Base stats'!E:E),Groups!A:A,Groups!H:H)/1000</f>
        <v>9.232783555535784E-2</v>
      </c>
      <c r="AA110" s="18">
        <f>(1/2)*(_xlfn.XLOOKUP(_xlfn.XLOOKUP(B110,'Base stats'!B:B,'Base stats'!E:E),Groups!A:A,Groups!H:H)*_xlfn.XLOOKUP(_xlfn.XLOOKUP(B110,'Base stats'!B:B,'Base stats'!E:E),Groups!A:A,Groups!I:I))*_xlfn.XLOOKUP(B110,'Base stats'!B:B,'Base stats'!AN:AN)*0.01</f>
        <v>0.50780309555446823</v>
      </c>
      <c r="AB110" s="18">
        <f>250*(Animals!AN110+Animals!AO110)</f>
        <v>1750</v>
      </c>
      <c r="AC110" s="18" t="str">
        <f>_xlfn.XLOOKUP(_xlfn.XLOOKUP(B110,'Base stats'!B:B,'Base stats'!E:E),Groups!A:A,Groups!BI:BI)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stats'!BP:BP) * (_xlfn.XLOOKUP(B111,'Base stats'!B:B,'Base stats'!AL:AL)*5%)^0.9 / 21,0.1),0.05)</f>
        <v>7.9</v>
      </c>
      <c r="E111" s="11">
        <f>MAX(0.01,MROUND(_xlfn.XLOOKUP(B111,'Base stats'!B:B,'Base stats'!BD:BD) * 0.01 * 2, 0.01))</f>
        <v>7.18</v>
      </c>
      <c r="F111" s="7">
        <f>MROUND(_xlfn.XLOOKUP(B111,'Base stats'!B:B,'Base stats'!BA:BA)^0.25 / (_xlfn.XLOOKUP(B111,'Base stats'!B:B,'Base stats'!BH:BH) * 10) * 150 + 0.5 + _xlfn.XLOOKUP(B111,'Base stats'!B:B,'Base stats'!BT:BT), 0.05)</f>
        <v>1.8</v>
      </c>
      <c r="G111" s="3">
        <f>IF(Animals!R111="No","No",
IF(_xlfn.XLOOKUP(B111,'Base stats'!B:B,'Base stats'!U:U)="No",
MAX(MROUND(_xlfn.XLOOKUP(B111,'Base stats'!B:B,'Base stats'!BQ:BQ) * _xlfn.XLOOKUP(B111,'Base stats'!B:B,'Base stats'!BM:BM)^0.9 / 21 * _xlfn.XLOOKUP(B111,'Base stats'!B:B,'Base stats'!BU:BU),0.1),0.05),
MAX(MROUND(((MIN(10,_xlfn.XLOOKUP(B111,'Base stats'!B:B,'Base stats'!U:U)))^0.4*_xlfn.XLOOKUP(B111,'Base stats'!B:B,'Base stats'!BE:BE)^0.73)^0.6 * _xlfn.XLOOKUP(B111,'Base stats'!B:B,'Base stats'!BU:BU),0.1),0.05)
))</f>
        <v>13.5</v>
      </c>
      <c r="H111" s="11">
        <f>IF(G111="No","No",
MAX(0.01,MROUND(_xlfn.XLOOKUP(B111,'Base stats'!B:B,'Base stats'!BE:BE) * 0.01 * 2, 0.01))
)</f>
        <v>8.48</v>
      </c>
      <c r="I111" s="11" t="str">
        <f>IF(G111="No","No",IF(_xlfn.XLOOKUP(B111,'Base stats'!B:B,'Base stats'!U:U)="No","No",
MAX(0.01,MROUND(_xlfn.XLOOKUP(B111,'Base stats'!B:B,'Base stats'!BQ:BQ)/10000,0.01))
))</f>
        <v>No</v>
      </c>
      <c r="J111" s="4">
        <f>IF(G111="No","No",
MROUND(_xlfn.XLOOKUP(B111,'Base stats'!B:B,'Base stats'!BB:BB)^0.25
/((_xlfn.XLOOKUP(B111,'Base stats'!B:B,'Base stats'!BI:BI))*10)*_xlfn.XLOOKUP(_xlfn.XLOOKUP(B111,'Base stats'!B:B,'Base stats'!E:E),Groups!A:A,Groups!Q:Q)*150 + 0.5 + _xlfn.XLOOKUP(B111,'Base stats'!B:B,'Base stats'!BT:BT),
0.05))</f>
        <v>2.35</v>
      </c>
      <c r="K111" s="3" t="str">
        <f>IF(Animals!W111="No","No",
IF(_xlfn.XLOOKUP(_xlfn.XLOOKUP(B111,'Base stats'!B:B,'Base stats'!E:E),Groups!A:A,Groups!BC:BC)=1,
MAX(MROUND(_xlfn.XLOOKUP(B111,'Base stats'!B:B,'Base stats'!BR:BR) * _xlfn.XLOOKUP(B111,'Base stats'!B:B,'Base stats'!BN:BN)^0.9 / 21 *_xlfn.XLOOKUP(B111,'Base stats'!B:B,'Base stats'!BU:BU),0.1),0.05),
MAX(MROUND(((MIN(10,_xlfn.XLOOKUP(B111,'Base stats'!B:B,'Base stats'!W:W)))^0.4*_xlfn.XLOOKUP(B111,'Base stats'!B:B,'Base stats'!BF:BF)^0.73)^0.6 *_xlfn.XLOOKUP(B111,'Base stats'!B:B,'Base stats'!BU:BU),0.1),0.05)
))</f>
        <v>No</v>
      </c>
      <c r="L111" s="11" t="str">
        <f>IF(K111="No","No",
MAX(0.01,MROUND(_xlfn.XLOOKUP(B111,'Base stats'!B:B,'Base stats'!BF:BF) * 0.01 *2, 0.01))
)</f>
        <v>No</v>
      </c>
      <c r="M111" s="5" t="str">
        <f>IF(K111="No","No",IF(_xlfn.XLOOKUP(_xlfn.XLOOKUP(B111,'Base stats'!B:B,'Base stats'!E:E),Groups!A:A,Groups!BC:BC)=1,"No",
MAX(0.01,MROUND(_xlfn.XLOOKUP(B111,'Base stats'!B:B,'Base stats'!BR:BR)/10000,0.01))
))</f>
        <v>No</v>
      </c>
      <c r="N111" s="4" t="str">
        <f>IF(K111="No","No",
MROUND(
  _xlfn.XLOOKUP(B111,'Base stats'!B:B,'Base stats'!AZ:AZ)^0.25
  / (_xlfn.XLOOKUP(B111,'Base stats'!B:B,'Base stats'!BJ:BJ)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stats'!BT:BT),
0.05))</f>
        <v>No</v>
      </c>
      <c r="O111" s="3">
        <f>IF(Animals!AC111="No","No",
MAX(MROUND((MIN(10,_xlfn.XLOOKUP(B111,'Base stats'!B:B,'Base stats'!V:V)*IF(_xlfn.XLOOKUP(_xlfn.XLOOKUP(B111,'Base stats'!B:B,'Base stats'!E:E),Groups!A:A,Groups!O:O)=0,1,0.33))^0.4*_xlfn.XLOOKUP(B111,'Base stats'!B:B,'Base stats'!BG:BG)^0.73)^0.6 *_xlfn.XLOOKUP(B111,'Base stats'!B:B,'Base stats'!BU:BU),0.1),0.05)
)</f>
        <v>13</v>
      </c>
      <c r="P111" s="11">
        <f>IF(O111="No","No",
MAX(0.01,MROUND(_xlfn.XLOOKUP(B111,'Base stats'!B:B,'Base stats'!BG:BG) * 0.01 * 2, 0.01))
)</f>
        <v>5.57</v>
      </c>
      <c r="Q111" s="5">
        <f>IF(O111="No","No",
MAX(0.01,MROUND(_xlfn.XLOOKUP(B111,'Base stats'!B:B,'Base stats'!BS:BS)/10000,0.01))
)</f>
        <v>0.12</v>
      </c>
      <c r="R111" s="4">
        <f>IF(O111="No","No",
MROUND(_xlfn.XLOOKUP(B111,'Base stats'!B:B,'Base stats'!AY:AY)^0.25
/((_xlfn.XLOOKUP(B111,'Base stats'!B:B,'Base stats'!BK:BK))*10)*_xlfn.XLOOKUP(_xlfn.XLOOKUP(B111,'Base stats'!B:B,'Base stats'!E:E),Groups!A:A,Groups!Z:Z)*150 + 0.5 + _xlfn.XLOOKUP(B111,'Base stats'!B:B,'Base stats'!BT:BT),
0.05))</f>
        <v>2.8000000000000003</v>
      </c>
      <c r="S111" s="3" t="str">
        <f>IF(Animals!AH111="No","No",
IF(_xlfn.XLOOKUP(B111,'Base stats'!B:B,'Base stats'!U:U)="No",
MAX(MROUND(_xlfn.XLOOKUP(B111,'Base stats'!B:B,'Base stats'!BQ:BQ) * _xlfn.XLOOKUP(B111,'Base stats'!B:B,'Base stats'!BM:BM)^0.9 / 21 * _xlfn.XLOOKUP(B111,'Base stats'!B:B,'Base stats'!BU:BU),0.1),0.05),
MAX(MROUND(((MIN(12,_xlfn.XLOOKUP(B111,'Base stats'!B:B,'Base stats'!U:U)))^0.4*_xlfn.XLOOKUP(B111,'Base stats'!B:B,'Base stats'!BE:BE)^0.73)^0.6 * _xlfn.XLOOKUP(B111,'Base stats'!B:B,'Base stats'!BU:BU),0.1),0.05)
))</f>
        <v>No</v>
      </c>
      <c r="T111" s="11" t="str">
        <f>IF(S111="No","No",
MAX(0.01,MROUND(_xlfn.XLOOKUP(B111,'Base stats'!B:B,'Base stats'!BE:BE) * 0.01 * 2, 0.01))
)</f>
        <v>No</v>
      </c>
      <c r="U111" s="5" t="str">
        <f>IF(S111="No","No",IF(_xlfn.XLOOKUP(B111,'Base stats'!B:B,'Base stats'!U:U)="No","No",
MAX(0.01,MROUND(_xlfn.XLOOKUP(B111,'Base stats'!B:B,'Base stats'!BQ:BQ)/10000,0.01))
))</f>
        <v>No</v>
      </c>
      <c r="V111" s="4" t="str">
        <f>IF(S111="No","No",
MROUND(_xlfn.XLOOKUP(B111,'Base stats'!B:B,'Base stats'!BC:BC)^0.25
/((_xlfn.XLOOKUP(B111,'Base stats'!B:B,'Base stats'!BL:BL))*10)*_xlfn.XLOOKUP(_xlfn.XLOOKUP(B111,'Base stats'!B:B,'Base stats'!E:E),Groups!A:A,Groups!AE:AE)*150 + 0.5 + _xlfn.XLOOKUP(B111,'Base stats'!B:B,'Base stats'!BT:BT),
0.05))</f>
        <v>No</v>
      </c>
      <c r="W111" s="8">
        <f>MROUND(_xlfn.XLOOKUP(_xlfn.XLOOKUP(B111,'Base stats'!B:B,'Base stats'!E:E),Groups!A:A,Groups!BF:BF)*_xlfn.XLOOKUP(B111,'Base stats'!B:B,'Base stats'!C:C)^-0.165,0.01)</f>
        <v>0.27</v>
      </c>
      <c r="X111" s="1">
        <f>MROUND(_xlfn.XLOOKUP(_xlfn.XLOOKUP(B111,'Base stats'!B:B,'Base stats'!E:E),Groups!A:A,Groups!BG:BG)*_xlfn.XLOOKUP(B111,'Base stats'!B:B,'Base stats'!C:C)^0.165,0.01)</f>
        <v>0</v>
      </c>
      <c r="Y111" s="8">
        <f>MROUND(_xlfn.XLOOKUP(_xlfn.XLOOKUP(B111,'Base stats'!B:B,'Base stats'!E:E),Groups!A:A,Groups!BH:BH)*_xlfn.XLOOKUP(B111,'Base stats'!B:B,'Base stats'!C:C)^0.165,0.01)</f>
        <v>0</v>
      </c>
      <c r="Z111" s="18">
        <f>_xlfn.XLOOKUP(B111,'Base stats'!B:B,'Base stats'!AN:AN)*_xlfn.XLOOKUP(_xlfn.XLOOKUP(B111,'Base stats'!B:B,'Base stats'!E:E),Groups!A:A,Groups!H:H)/1000</f>
        <v>6.5396505314283065E-2</v>
      </c>
      <c r="AA111" s="18">
        <f>(1/2)*(_xlfn.XLOOKUP(_xlfn.XLOOKUP(B111,'Base stats'!B:B,'Base stats'!E:E),Groups!A:A,Groups!H:H)*_xlfn.XLOOKUP(_xlfn.XLOOKUP(B111,'Base stats'!B:B,'Base stats'!E:E),Groups!A:A,Groups!I:I))*_xlfn.XLOOKUP(B111,'Base stats'!B:B,'Base stats'!AN:AN)*0.01</f>
        <v>0.35968077922855685</v>
      </c>
      <c r="AB111" s="18">
        <f>250*(Animals!AN111+Animals!AO111)</f>
        <v>1125</v>
      </c>
      <c r="AC111" s="18" t="str">
        <f>_xlfn.XLOOKUP(_xlfn.XLOOKUP(B111,'Base stats'!B:B,'Base stats'!E:E),Groups!A:A,Groups!BI:BI)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stats'!BP:BP) * (_xlfn.XLOOKUP(B112,'Base stats'!B:B,'Base stats'!AL:AL)*5%)^0.9 / 21,0.1),0.05)</f>
        <v>6.1000000000000005</v>
      </c>
      <c r="E112" s="11">
        <f>MAX(0.01,MROUND(_xlfn.XLOOKUP(B112,'Base stats'!B:B,'Base stats'!BD:BD) * 0.01 * 2, 0.01))</f>
        <v>5.4</v>
      </c>
      <c r="F112" s="7">
        <f>MROUND(_xlfn.XLOOKUP(B112,'Base stats'!B:B,'Base stats'!BA:BA)^0.25 / (_xlfn.XLOOKUP(B112,'Base stats'!B:B,'Base stats'!BH:BH) * 10) * 150 + 0.5 + _xlfn.XLOOKUP(B112,'Base stats'!B:B,'Base stats'!BT:BT), 0.05)</f>
        <v>1.75</v>
      </c>
      <c r="G112" s="3">
        <f>IF(Animals!R112="No","No",
IF(_xlfn.XLOOKUP(B112,'Base stats'!B:B,'Base stats'!U:U)="No",
MAX(MROUND(_xlfn.XLOOKUP(B112,'Base stats'!B:B,'Base stats'!BQ:BQ) * _xlfn.XLOOKUP(B112,'Base stats'!B:B,'Base stats'!BM:BM)^0.9 / 21 * _xlfn.XLOOKUP(B112,'Base stats'!B:B,'Base stats'!BU:BU),0.1),0.05),
MAX(MROUND(((MIN(10,_xlfn.XLOOKUP(B112,'Base stats'!B:B,'Base stats'!U:U)))^0.4*_xlfn.XLOOKUP(B112,'Base stats'!B:B,'Base stats'!BE:BE)^0.73)^0.6 * _xlfn.XLOOKUP(B112,'Base stats'!B:B,'Base stats'!BU:BU),0.1),0.05)
))</f>
        <v>10.600000000000001</v>
      </c>
      <c r="H112" s="11">
        <f>IF(G112="No","No",
MAX(0.01,MROUND(_xlfn.XLOOKUP(B112,'Base stats'!B:B,'Base stats'!BE:BE) * 0.01 * 2, 0.01))
)</f>
        <v>6.5</v>
      </c>
      <c r="I112" s="11" t="str">
        <f>IF(G112="No","No",IF(_xlfn.XLOOKUP(B112,'Base stats'!B:B,'Base stats'!U:U)="No","No",
MAX(0.01,MROUND(_xlfn.XLOOKUP(B112,'Base stats'!B:B,'Base stats'!BQ:BQ)/10000,0.01))
))</f>
        <v>No</v>
      </c>
      <c r="J112" s="4">
        <f>IF(G112="No","No",
MROUND(_xlfn.XLOOKUP(B112,'Base stats'!B:B,'Base stats'!BB:BB)^0.25
/((_xlfn.XLOOKUP(B112,'Base stats'!B:B,'Base stats'!BI:BI))*10)*_xlfn.XLOOKUP(_xlfn.XLOOKUP(B112,'Base stats'!B:B,'Base stats'!E:E),Groups!A:A,Groups!Q:Q)*150 + 0.5 + _xlfn.XLOOKUP(B112,'Base stats'!B:B,'Base stats'!BT:BT),
0.05))</f>
        <v>2.5</v>
      </c>
      <c r="K112" s="3">
        <f>IF(Animals!W112="No","No",
IF(_xlfn.XLOOKUP(_xlfn.XLOOKUP(B112,'Base stats'!B:B,'Base stats'!E:E),Groups!A:A,Groups!BC:BC)=1,
MAX(MROUND(_xlfn.XLOOKUP(B112,'Base stats'!B:B,'Base stats'!BR:BR) * _xlfn.XLOOKUP(B112,'Base stats'!B:B,'Base stats'!BN:BN)^0.9 / 21 *_xlfn.XLOOKUP(B112,'Base stats'!B:B,'Base stats'!BU:BU),0.1),0.05),
MAX(MROUND(((MIN(10,_xlfn.XLOOKUP(B112,'Base stats'!B:B,'Base stats'!W:W)))^0.4*_xlfn.XLOOKUP(B112,'Base stats'!B:B,'Base stats'!BF:BF)^0.73)^0.6 *_xlfn.XLOOKUP(B112,'Base stats'!B:B,'Base stats'!BU:BU),0.1),0.05)
))</f>
        <v>23.700000000000003</v>
      </c>
      <c r="L112" s="11">
        <f>IF(K112="No","No",
MAX(0.01,MROUND(_xlfn.XLOOKUP(B112,'Base stats'!B:B,'Base stats'!BF:BF) * 0.01 *2, 0.01))
)</f>
        <v>7.8</v>
      </c>
      <c r="M112" s="5">
        <f>IF(K112="No","No",IF(_xlfn.XLOOKUP(_xlfn.XLOOKUP(B112,'Base stats'!B:B,'Base stats'!E:E),Groups!A:A,Groups!BC:BC)=1,"No",
MAX(0.01,MROUND(_xlfn.XLOOKUP(B112,'Base stats'!B:B,'Base stats'!BR:BR)/10000,0.01))
))</f>
        <v>0.45</v>
      </c>
      <c r="N112" s="4">
        <f>IF(K112="No","No",
MROUND(
  _xlfn.XLOOKUP(B112,'Base stats'!B:B,'Base stats'!AZ:AZ)^0.25
  / (_xlfn.XLOOKUP(B112,'Base stats'!B:B,'Base stats'!BJ:BJ)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stats'!BT:BT),
0.05))</f>
        <v>3.0500000000000003</v>
      </c>
      <c r="O112" s="3" t="str">
        <f>IF(Animals!AC112="No","No",
MAX(MROUND((MIN(10,_xlfn.XLOOKUP(B112,'Base stats'!B:B,'Base stats'!V:V)*IF(_xlfn.XLOOKUP(_xlfn.XLOOKUP(B112,'Base stats'!B:B,'Base stats'!E:E),Groups!A:A,Groups!O:O)=0,1,0.33))^0.4*_xlfn.XLOOKUP(B112,'Base stats'!B:B,'Base stats'!BG:BG)^0.73)^0.6 *_xlfn.XLOOKUP(B112,'Base stats'!B:B,'Base stats'!BU:BU),0.1),0.05)
)</f>
        <v>No</v>
      </c>
      <c r="P112" s="11" t="str">
        <f>IF(O112="No","No",
MAX(0.01,MROUND(_xlfn.XLOOKUP(B112,'Base stats'!B:B,'Base stats'!BG:BG) * 0.01 * 2, 0.01))
)</f>
        <v>No</v>
      </c>
      <c r="Q112" s="5" t="str">
        <f>IF(O112="No","No",
MAX(0.01,MROUND(_xlfn.XLOOKUP(B112,'Base stats'!B:B,'Base stats'!BS:BS)/10000,0.01))
)</f>
        <v>No</v>
      </c>
      <c r="R112" s="4" t="str">
        <f>IF(O112="No","No",
MROUND(_xlfn.XLOOKUP(B112,'Base stats'!B:B,'Base stats'!AY:AY)^0.25
/((_xlfn.XLOOKUP(B112,'Base stats'!B:B,'Base stats'!BK:BK))*10)*_xlfn.XLOOKUP(_xlfn.XLOOKUP(B112,'Base stats'!B:B,'Base stats'!E:E),Groups!A:A,Groups!Z:Z)*150 + 0.5 + _xlfn.XLOOKUP(B112,'Base stats'!B:B,'Base stats'!BT:BT),
0.05))</f>
        <v>No</v>
      </c>
      <c r="S112" s="3" t="str">
        <f>IF(Animals!AH112="No","No",
IF(_xlfn.XLOOKUP(B112,'Base stats'!B:B,'Base stats'!U:U)="No",
MAX(MROUND(_xlfn.XLOOKUP(B112,'Base stats'!B:B,'Base stats'!BQ:BQ) * _xlfn.XLOOKUP(B112,'Base stats'!B:B,'Base stats'!BM:BM)^0.9 / 21 * _xlfn.XLOOKUP(B112,'Base stats'!B:B,'Base stats'!BU:BU),0.1),0.05),
MAX(MROUND(((MIN(12,_xlfn.XLOOKUP(B112,'Base stats'!B:B,'Base stats'!U:U)))^0.4*_xlfn.XLOOKUP(B112,'Base stats'!B:B,'Base stats'!BE:BE)^0.73)^0.6 * _xlfn.XLOOKUP(B112,'Base stats'!B:B,'Base stats'!BU:BU),0.1),0.05)
))</f>
        <v>No</v>
      </c>
      <c r="T112" s="11" t="str">
        <f>IF(S112="No","No",
MAX(0.01,MROUND(_xlfn.XLOOKUP(B112,'Base stats'!B:B,'Base stats'!BE:BE) * 0.01 * 2, 0.01))
)</f>
        <v>No</v>
      </c>
      <c r="U112" s="5" t="str">
        <f>IF(S112="No","No",IF(_xlfn.XLOOKUP(B112,'Base stats'!B:B,'Base stats'!U:U)="No","No",
MAX(0.01,MROUND(_xlfn.XLOOKUP(B112,'Base stats'!B:B,'Base stats'!BQ:BQ)/10000,0.01))
))</f>
        <v>No</v>
      </c>
      <c r="V112" s="4" t="str">
        <f>IF(S112="No","No",
MROUND(_xlfn.XLOOKUP(B112,'Base stats'!B:B,'Base stats'!BC:BC)^0.25
/((_xlfn.XLOOKUP(B112,'Base stats'!B:B,'Base stats'!BL:BL))*10)*_xlfn.XLOOKUP(_xlfn.XLOOKUP(B112,'Base stats'!B:B,'Base stats'!E:E),Groups!A:A,Groups!AE:AE)*150 + 0.5 + _xlfn.XLOOKUP(B112,'Base stats'!B:B,'Base stats'!BT:BT),
0.05))</f>
        <v>No</v>
      </c>
      <c r="W112" s="8">
        <f>MROUND(_xlfn.XLOOKUP(_xlfn.XLOOKUP(B112,'Base stats'!B:B,'Base stats'!E:E),Groups!A:A,Groups!BF:BF)*_xlfn.XLOOKUP(B112,'Base stats'!B:B,'Base stats'!C:C)^-0.165,0.01)</f>
        <v>0.2</v>
      </c>
      <c r="X112" s="1">
        <f>MROUND(_xlfn.XLOOKUP(_xlfn.XLOOKUP(B112,'Base stats'!B:B,'Base stats'!E:E),Groups!A:A,Groups!BG:BG)*_xlfn.XLOOKUP(B112,'Base stats'!B:B,'Base stats'!C:C)^0.165,0.01)</f>
        <v>0</v>
      </c>
      <c r="Y112" s="8">
        <f>MROUND(_xlfn.XLOOKUP(_xlfn.XLOOKUP(B112,'Base stats'!B:B,'Base stats'!E:E),Groups!A:A,Groups!BH:BH)*_xlfn.XLOOKUP(B112,'Base stats'!B:B,'Base stats'!C:C)^0.165,0.01)</f>
        <v>0</v>
      </c>
      <c r="Z112" s="18">
        <f>_xlfn.XLOOKUP(B112,'Base stats'!B:B,'Base stats'!AN:AN)*_xlfn.XLOOKUP(_xlfn.XLOOKUP(B112,'Base stats'!B:B,'Base stats'!E:E),Groups!A:A,Groups!H:H)/1000</f>
        <v>5.9732733072442375E-2</v>
      </c>
      <c r="AA112" s="18">
        <f>(1/2)*(_xlfn.XLOOKUP(_xlfn.XLOOKUP(B112,'Base stats'!B:B,'Base stats'!E:E),Groups!A:A,Groups!H:H)*_xlfn.XLOOKUP(_xlfn.XLOOKUP(B112,'Base stats'!B:B,'Base stats'!E:E),Groups!A:A,Groups!I:I))*_xlfn.XLOOKUP(B112,'Base stats'!B:B,'Base stats'!AN:AN)*0.01</f>
        <v>0.32853003189843316</v>
      </c>
      <c r="AB112" s="18">
        <f>250*(Animals!AN112+Animals!AO112)</f>
        <v>1000</v>
      </c>
      <c r="AC112" s="18" t="str">
        <f>_xlfn.XLOOKUP(_xlfn.XLOOKUP(B112,'Base stats'!B:B,'Base stats'!E:E),Groups!A:A,Groups!BI:BI)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stats'!BP:BP) * (_xlfn.XLOOKUP(B113,'Base stats'!B:B,'Base stats'!AL:AL)*5%)^0.9 / 21,0.1),0.05)</f>
        <v>10.700000000000001</v>
      </c>
      <c r="E113" s="11">
        <f>MAX(0.01,MROUND(_xlfn.XLOOKUP(B113,'Base stats'!B:B,'Base stats'!BD:BD) * 0.01 * 2, 0.01))</f>
        <v>9.98</v>
      </c>
      <c r="F113" s="7">
        <f>MROUND(_xlfn.XLOOKUP(B113,'Base stats'!B:B,'Base stats'!BA:BA)^0.25 / (_xlfn.XLOOKUP(B113,'Base stats'!B:B,'Base stats'!BH:BH) * 10) * 150 + 0.5 + _xlfn.XLOOKUP(B113,'Base stats'!B:B,'Base stats'!BT:BT), 0.05)</f>
        <v>2.4500000000000002</v>
      </c>
      <c r="G113" s="3" t="str">
        <f>IF(Animals!R113="No","No",
IF(_xlfn.XLOOKUP(B113,'Base stats'!B:B,'Base stats'!U:U)="No",
MAX(MROUND(_xlfn.XLOOKUP(B113,'Base stats'!B:B,'Base stats'!BQ:BQ) * _xlfn.XLOOKUP(B113,'Base stats'!B:B,'Base stats'!BM:BM)^0.9 / 21 * _xlfn.XLOOKUP(B113,'Base stats'!B:B,'Base stats'!BU:BU),0.1),0.05),
MAX(MROUND(((MIN(10,_xlfn.XLOOKUP(B113,'Base stats'!B:B,'Base stats'!U:U)))^0.4*_xlfn.XLOOKUP(B113,'Base stats'!B:B,'Base stats'!BE:BE)^0.73)^0.6 * _xlfn.XLOOKUP(B113,'Base stats'!B:B,'Base stats'!BU:BU),0.1),0.05)
))</f>
        <v>No</v>
      </c>
      <c r="H113" s="11" t="str">
        <f>IF(G113="No","No",
MAX(0.01,MROUND(_xlfn.XLOOKUP(B113,'Base stats'!B:B,'Base stats'!BE:BE) * 0.01 * 2, 0.01))
)</f>
        <v>No</v>
      </c>
      <c r="I113" s="11" t="str">
        <f>IF(G113="No","No",IF(_xlfn.XLOOKUP(B113,'Base stats'!B:B,'Base stats'!U:U)="No","No",
MAX(0.01,MROUND(_xlfn.XLOOKUP(B113,'Base stats'!B:B,'Base stats'!BQ:BQ)/10000,0.01))
))</f>
        <v>No</v>
      </c>
      <c r="J113" s="4" t="str">
        <f>IF(G113="No","No",
MROUND(_xlfn.XLOOKUP(B113,'Base stats'!B:B,'Base stats'!BB:BB)^0.25
/((_xlfn.XLOOKUP(B113,'Base stats'!B:B,'Base stats'!BI:BI))*10)*_xlfn.XLOOKUP(_xlfn.XLOOKUP(B113,'Base stats'!B:B,'Base stats'!E:E),Groups!A:A,Groups!Q:Q)*150 + 0.5 + _xlfn.XLOOKUP(B113,'Base stats'!B:B,'Base stats'!BT:BT),
0.05))</f>
        <v>No</v>
      </c>
      <c r="K113" s="3" t="str">
        <f>IF(Animals!W113="No","No",
IF(_xlfn.XLOOKUP(_xlfn.XLOOKUP(B113,'Base stats'!B:B,'Base stats'!E:E),Groups!A:A,Groups!BC:BC)=1,
MAX(MROUND(_xlfn.XLOOKUP(B113,'Base stats'!B:B,'Base stats'!BR:BR) * _xlfn.XLOOKUP(B113,'Base stats'!B:B,'Base stats'!BN:BN)^0.9 / 21 *_xlfn.XLOOKUP(B113,'Base stats'!B:B,'Base stats'!BU:BU),0.1),0.05),
MAX(MROUND(((MIN(10,_xlfn.XLOOKUP(B113,'Base stats'!B:B,'Base stats'!W:W)))^0.4*_xlfn.XLOOKUP(B113,'Base stats'!B:B,'Base stats'!BF:BF)^0.73)^0.6 *_xlfn.XLOOKUP(B113,'Base stats'!B:B,'Base stats'!BU:BU),0.1),0.05)
))</f>
        <v>No</v>
      </c>
      <c r="L113" s="11" t="str">
        <f>IF(K113="No","No",
MAX(0.01,MROUND(_xlfn.XLOOKUP(B113,'Base stats'!B:B,'Base stats'!BF:BF) * 0.01 *2, 0.01))
)</f>
        <v>No</v>
      </c>
      <c r="M113" s="5" t="str">
        <f>IF(K113="No","No",IF(_xlfn.XLOOKUP(_xlfn.XLOOKUP(B113,'Base stats'!B:B,'Base stats'!E:E),Groups!A:A,Groups!BC:BC)=1,"No",
MAX(0.01,MROUND(_xlfn.XLOOKUP(B113,'Base stats'!B:B,'Base stats'!BR:BR)/10000,0.01))
))</f>
        <v>No</v>
      </c>
      <c r="N113" s="4" t="str">
        <f>IF(K113="No","No",
MROUND(
  _xlfn.XLOOKUP(B113,'Base stats'!B:B,'Base stats'!AZ:AZ)^0.25
  / (_xlfn.XLOOKUP(B113,'Base stats'!B:B,'Base stats'!BJ:BJ)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stats'!BT:BT),
0.05))</f>
        <v>No</v>
      </c>
      <c r="O113" s="3">
        <f>IF(Animals!AC113="No","No",
MAX(MROUND((MIN(10,_xlfn.XLOOKUP(B113,'Base stats'!B:B,'Base stats'!V:V)*IF(_xlfn.XLOOKUP(_xlfn.XLOOKUP(B113,'Base stats'!B:B,'Base stats'!E:E),Groups!A:A,Groups!O:O)=0,1,0.33))^0.4*_xlfn.XLOOKUP(B113,'Base stats'!B:B,'Base stats'!BG:BG)^0.73)^0.6 *_xlfn.XLOOKUP(B113,'Base stats'!B:B,'Base stats'!BU:BU),0.1),0.05)
)</f>
        <v>33.9</v>
      </c>
      <c r="P113" s="11">
        <f>IF(O113="No","No",
MAX(0.01,MROUND(_xlfn.XLOOKUP(B113,'Base stats'!B:B,'Base stats'!BG:BG) * 0.01 * 2, 0.01))
)</f>
        <v>23.400000000000002</v>
      </c>
      <c r="Q113" s="5">
        <f>IF(O113="No","No",
MAX(0.01,MROUND(_xlfn.XLOOKUP(B113,'Base stats'!B:B,'Base stats'!BS:BS)/10000,0.01))
)</f>
        <v>0.36</v>
      </c>
      <c r="R113" s="4">
        <f>IF(O113="No","No",
MROUND(_xlfn.XLOOKUP(B113,'Base stats'!B:B,'Base stats'!AY:AY)^0.25
/((_xlfn.XLOOKUP(B113,'Base stats'!B:B,'Base stats'!BK:BK))*10)*_xlfn.XLOOKUP(_xlfn.XLOOKUP(B113,'Base stats'!B:B,'Base stats'!E:E),Groups!A:A,Groups!Z:Z)*150 + 0.5 + _xlfn.XLOOKUP(B113,'Base stats'!B:B,'Base stats'!BT:BT),
0.05))</f>
        <v>2.8000000000000003</v>
      </c>
      <c r="S113" s="3" t="str">
        <f>IF(Animals!AH113="No","No",
IF(_xlfn.XLOOKUP(B113,'Base stats'!B:B,'Base stats'!U:U)="No",
MAX(MROUND(_xlfn.XLOOKUP(B113,'Base stats'!B:B,'Base stats'!BQ:BQ) * _xlfn.XLOOKUP(B113,'Base stats'!B:B,'Base stats'!BM:BM)^0.9 / 21 * _xlfn.XLOOKUP(B113,'Base stats'!B:B,'Base stats'!BU:BU),0.1),0.05),
MAX(MROUND(((MIN(12,_xlfn.XLOOKUP(B113,'Base stats'!B:B,'Base stats'!U:U)))^0.4*_xlfn.XLOOKUP(B113,'Base stats'!B:B,'Base stats'!BE:BE)^0.73)^0.6 * _xlfn.XLOOKUP(B113,'Base stats'!B:B,'Base stats'!BU:BU),0.1),0.05)
))</f>
        <v>No</v>
      </c>
      <c r="T113" s="11" t="str">
        <f>IF(S113="No","No",
MAX(0.01,MROUND(_xlfn.XLOOKUP(B113,'Base stats'!B:B,'Base stats'!BE:BE) * 0.01 * 2, 0.01))
)</f>
        <v>No</v>
      </c>
      <c r="U113" s="5" t="str">
        <f>IF(S113="No","No",IF(_xlfn.XLOOKUP(B113,'Base stats'!B:B,'Base stats'!U:U)="No","No",
MAX(0.01,MROUND(_xlfn.XLOOKUP(B113,'Base stats'!B:B,'Base stats'!BQ:BQ)/10000,0.01))
))</f>
        <v>No</v>
      </c>
      <c r="V113" s="4" t="str">
        <f>IF(S113="No","No",
MROUND(_xlfn.XLOOKUP(B113,'Base stats'!B:B,'Base stats'!BC:BC)^0.25
/((_xlfn.XLOOKUP(B113,'Base stats'!B:B,'Base stats'!BL:BL))*10)*_xlfn.XLOOKUP(_xlfn.XLOOKUP(B113,'Base stats'!B:B,'Base stats'!E:E),Groups!A:A,Groups!AE:AE)*150 + 0.5 + _xlfn.XLOOKUP(B113,'Base stats'!B:B,'Base stats'!BT:BT),
0.05))</f>
        <v>No</v>
      </c>
      <c r="W113" s="8">
        <f>MROUND(_xlfn.XLOOKUP(_xlfn.XLOOKUP(B113,'Base stats'!B:B,'Base stats'!E:E),Groups!A:A,Groups!BF:BF)*_xlfn.XLOOKUP(B113,'Base stats'!B:B,'Base stats'!C:C)^-0.165,0.01)</f>
        <v>0.09</v>
      </c>
      <c r="X113" s="1">
        <f>MROUND(_xlfn.XLOOKUP(_xlfn.XLOOKUP(B113,'Base stats'!B:B,'Base stats'!E:E),Groups!A:A,Groups!BG:BG)*_xlfn.XLOOKUP(B113,'Base stats'!B:B,'Base stats'!C:C)^0.165,0.01)</f>
        <v>0.27</v>
      </c>
      <c r="Y113" s="8">
        <f>MROUND(_xlfn.XLOOKUP(_xlfn.XLOOKUP(B113,'Base stats'!B:B,'Base stats'!E:E),Groups!A:A,Groups!BH:BH)*_xlfn.XLOOKUP(B113,'Base stats'!B:B,'Base stats'!C:C)^0.165,0.01)</f>
        <v>7.0000000000000007E-2</v>
      </c>
      <c r="Z113" s="18">
        <f>_xlfn.XLOOKUP(B113,'Base stats'!B:B,'Base stats'!AN:AN)*_xlfn.XLOOKUP(_xlfn.XLOOKUP(B113,'Base stats'!B:B,'Base stats'!E:E),Groups!A:A,Groups!H:H)/1000</f>
        <v>0.45136025196226526</v>
      </c>
      <c r="AA113" s="18">
        <f>(1/2)*(_xlfn.XLOOKUP(_xlfn.XLOOKUP(B113,'Base stats'!B:B,'Base stats'!E:E),Groups!A:A,Groups!H:H)*_xlfn.XLOOKUP(_xlfn.XLOOKUP(B113,'Base stats'!B:B,'Base stats'!E:E),Groups!A:A,Groups!I:I))*_xlfn.XLOOKUP(B113,'Base stats'!B:B,'Base stats'!AN:AN)*0.01</f>
        <v>0.50762983004022766</v>
      </c>
      <c r="AB113" s="18">
        <f>250*(Animals!AN113+Animals!AO113)</f>
        <v>1512.5000000000002</v>
      </c>
      <c r="AC113" s="18" t="str">
        <f>_xlfn.XLOOKUP(_xlfn.XLOOKUP(B113,'Base stats'!B:B,'Base stats'!E:E),Groups!A:A,Groups!BI:BI)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stats'!BP:BP) * (_xlfn.XLOOKUP(B114,'Base stats'!B:B,'Base stats'!AL:AL)*5%)^0.9 / 21,0.1),0.05)</f>
        <v>1.4000000000000001</v>
      </c>
      <c r="E114" s="11">
        <f>MAX(0.01,MROUND(_xlfn.XLOOKUP(B114,'Base stats'!B:B,'Base stats'!BD:BD) * 0.01 * 2, 0.01))</f>
        <v>1.1500000000000001</v>
      </c>
      <c r="F114" s="7">
        <f>MROUND(_xlfn.XLOOKUP(B114,'Base stats'!B:B,'Base stats'!BA:BA)^0.25 / (_xlfn.XLOOKUP(B114,'Base stats'!B:B,'Base stats'!BH:BH) * 10) * 150 + 0.5 + _xlfn.XLOOKUP(B114,'Base stats'!B:B,'Base stats'!BT:BT), 0.05)</f>
        <v>1.8</v>
      </c>
      <c r="G114" s="3" t="str">
        <f>IF(Animals!R114="No","No",
IF(_xlfn.XLOOKUP(B114,'Base stats'!B:B,'Base stats'!U:U)="No",
MAX(MROUND(_xlfn.XLOOKUP(B114,'Base stats'!B:B,'Base stats'!BQ:BQ) * _xlfn.XLOOKUP(B114,'Base stats'!B:B,'Base stats'!BM:BM)^0.9 / 21 * _xlfn.XLOOKUP(B114,'Base stats'!B:B,'Base stats'!BU:BU),0.1),0.05),
MAX(MROUND(((MIN(10,_xlfn.XLOOKUP(B114,'Base stats'!B:B,'Base stats'!U:U)))^0.4*_xlfn.XLOOKUP(B114,'Base stats'!B:B,'Base stats'!BE:BE)^0.73)^0.6 * _xlfn.XLOOKUP(B114,'Base stats'!B:B,'Base stats'!BU:BU),0.1),0.05)
))</f>
        <v>No</v>
      </c>
      <c r="H114" s="11" t="str">
        <f>IF(G114="No","No",
MAX(0.01,MROUND(_xlfn.XLOOKUP(B114,'Base stats'!B:B,'Base stats'!BE:BE) * 0.01 * 2, 0.01))
)</f>
        <v>No</v>
      </c>
      <c r="I114" s="11" t="str">
        <f>IF(G114="No","No",IF(_xlfn.XLOOKUP(B114,'Base stats'!B:B,'Base stats'!U:U)="No","No",
MAX(0.01,MROUND(_xlfn.XLOOKUP(B114,'Base stats'!B:B,'Base stats'!BQ:BQ)/10000,0.01))
))</f>
        <v>No</v>
      </c>
      <c r="J114" s="4" t="str">
        <f>IF(G114="No","No",
MROUND(_xlfn.XLOOKUP(B114,'Base stats'!B:B,'Base stats'!BB:BB)^0.25
/((_xlfn.XLOOKUP(B114,'Base stats'!B:B,'Base stats'!BI:BI))*10)*_xlfn.XLOOKUP(_xlfn.XLOOKUP(B114,'Base stats'!B:B,'Base stats'!E:E),Groups!A:A,Groups!Q:Q)*150 + 0.5 + _xlfn.XLOOKUP(B114,'Base stats'!B:B,'Base stats'!BT:BT),
0.05))</f>
        <v>No</v>
      </c>
      <c r="K114" s="3" t="str">
        <f>IF(Animals!W114="No","No",
IF(_xlfn.XLOOKUP(_xlfn.XLOOKUP(B114,'Base stats'!B:B,'Base stats'!E:E),Groups!A:A,Groups!BC:BC)=1,
MAX(MROUND(_xlfn.XLOOKUP(B114,'Base stats'!B:B,'Base stats'!BR:BR) * _xlfn.XLOOKUP(B114,'Base stats'!B:B,'Base stats'!BN:BN)^0.9 / 21 *_xlfn.XLOOKUP(B114,'Base stats'!B:B,'Base stats'!BU:BU),0.1),0.05),
MAX(MROUND(((MIN(10,_xlfn.XLOOKUP(B114,'Base stats'!B:B,'Base stats'!W:W)))^0.4*_xlfn.XLOOKUP(B114,'Base stats'!B:B,'Base stats'!BF:BF)^0.73)^0.6 *_xlfn.XLOOKUP(B114,'Base stats'!B:B,'Base stats'!BU:BU),0.1),0.05)
))</f>
        <v>No</v>
      </c>
      <c r="L114" s="11" t="str">
        <f>IF(K114="No","No",
MAX(0.01,MROUND(_xlfn.XLOOKUP(B114,'Base stats'!B:B,'Base stats'!BF:BF) * 0.01 *2, 0.01))
)</f>
        <v>No</v>
      </c>
      <c r="M114" s="5" t="str">
        <f>IF(K114="No","No",IF(_xlfn.XLOOKUP(_xlfn.XLOOKUP(B114,'Base stats'!B:B,'Base stats'!E:E),Groups!A:A,Groups!BC:BC)=1,"No",
MAX(0.01,MROUND(_xlfn.XLOOKUP(B114,'Base stats'!B:B,'Base stats'!BR:BR)/10000,0.01))
))</f>
        <v>No</v>
      </c>
      <c r="N114" s="4" t="str">
        <f>IF(K114="No","No",
MROUND(
  _xlfn.XLOOKUP(B114,'Base stats'!B:B,'Base stats'!AZ:AZ)^0.25
  / (_xlfn.XLOOKUP(B114,'Base stats'!B:B,'Base stats'!BJ:BJ)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stats'!BT:BT),
0.05))</f>
        <v>No</v>
      </c>
      <c r="O114" s="3">
        <f>IF(Animals!AC114="No","No",
MAX(MROUND((MIN(10,_xlfn.XLOOKUP(B114,'Base stats'!B:B,'Base stats'!V:V)*IF(_xlfn.XLOOKUP(_xlfn.XLOOKUP(B114,'Base stats'!B:B,'Base stats'!E:E),Groups!A:A,Groups!O:O)=0,1,0.33))^0.4*_xlfn.XLOOKUP(B114,'Base stats'!B:B,'Base stats'!BG:BG)^0.73)^0.6 *_xlfn.XLOOKUP(B114,'Base stats'!B:B,'Base stats'!BU:BU),0.1),0.05)
)</f>
        <v>10.200000000000001</v>
      </c>
      <c r="P114" s="11">
        <f>IF(O114="No","No",
MAX(0.01,MROUND(_xlfn.XLOOKUP(B114,'Base stats'!B:B,'Base stats'!BG:BG) * 0.01 * 2, 0.01))
)</f>
        <v>1.98</v>
      </c>
      <c r="Q114" s="5">
        <f>IF(O114="No","No",
MAX(0.01,MROUND(_xlfn.XLOOKUP(B114,'Base stats'!B:B,'Base stats'!BS:BS)/10000,0.01))
)</f>
        <v>0.15</v>
      </c>
      <c r="R114" s="4">
        <f>IF(O114="No","No",
MROUND(_xlfn.XLOOKUP(B114,'Base stats'!B:B,'Base stats'!AY:AY)^0.25
/((_xlfn.XLOOKUP(B114,'Base stats'!B:B,'Base stats'!BK:BK))*10)*_xlfn.XLOOKUP(_xlfn.XLOOKUP(B114,'Base stats'!B:B,'Base stats'!E:E),Groups!A:A,Groups!Z:Z)*150 + 0.5 + _xlfn.XLOOKUP(B114,'Base stats'!B:B,'Base stats'!BT:BT),
0.05))</f>
        <v>1.9000000000000001</v>
      </c>
      <c r="S114" s="3">
        <f>IF(Animals!AH114="No","No",
IF(_xlfn.XLOOKUP(B114,'Base stats'!B:B,'Base stats'!U:U)="No",
MAX(MROUND(_xlfn.XLOOKUP(B114,'Base stats'!B:B,'Base stats'!BQ:BQ) * _xlfn.XLOOKUP(B114,'Base stats'!B:B,'Base stats'!BM:BM)^0.9 / 21 * _xlfn.XLOOKUP(B114,'Base stats'!B:B,'Base stats'!BU:BU),0.1),0.05),
MAX(MROUND(((MIN(12,_xlfn.XLOOKUP(B114,'Base stats'!B:B,'Base stats'!U:U)))^0.4*_xlfn.XLOOKUP(B114,'Base stats'!B:B,'Base stats'!BE:BE)^0.73)^0.6 * _xlfn.XLOOKUP(B114,'Base stats'!B:B,'Base stats'!BU:BU),0.1),0.05)
))</f>
        <v>8.3000000000000007</v>
      </c>
      <c r="T114" s="11">
        <f>IF(S114="No","No",
MAX(0.01,MROUND(_xlfn.XLOOKUP(B114,'Base stats'!B:B,'Base stats'!BE:BE) * 0.01 * 2, 0.01))
)</f>
        <v>1.52</v>
      </c>
      <c r="U114" s="5">
        <f>IF(S114="No","No",IF(_xlfn.XLOOKUP(B114,'Base stats'!B:B,'Base stats'!U:U)="No","No",
MAX(0.01,MROUND(_xlfn.XLOOKUP(B114,'Base stats'!B:B,'Base stats'!BQ:BQ)/10000,0.01))
))</f>
        <v>0.11</v>
      </c>
      <c r="V114" s="4">
        <f>IF(S114="No","No",
MROUND(_xlfn.XLOOKUP(B114,'Base stats'!B:B,'Base stats'!BC:BC)^0.25
/((_xlfn.XLOOKUP(B114,'Base stats'!B:B,'Base stats'!BL:BL))*10)*_xlfn.XLOOKUP(_xlfn.XLOOKUP(B114,'Base stats'!B:B,'Base stats'!E:E),Groups!A:A,Groups!AE:AE)*150 + 0.5 + _xlfn.XLOOKUP(B114,'Base stats'!B:B,'Base stats'!BT:BT),
0.05))</f>
        <v>1.3</v>
      </c>
      <c r="W114" s="8">
        <f>MROUND(_xlfn.XLOOKUP(_xlfn.XLOOKUP(B114,'Base stats'!B:B,'Base stats'!E:E),Groups!A:A,Groups!BF:BF)*_xlfn.XLOOKUP(B114,'Base stats'!B:B,'Base stats'!C:C)^-0.165,0.01)</f>
        <v>0.68</v>
      </c>
      <c r="X114" s="1">
        <f>MROUND(_xlfn.XLOOKUP(_xlfn.XLOOKUP(B114,'Base stats'!B:B,'Base stats'!E:E),Groups!A:A,Groups!BG:BG)*_xlfn.XLOOKUP(B114,'Base stats'!B:B,'Base stats'!C:C)^0.165,0.01)</f>
        <v>0.46</v>
      </c>
      <c r="Y114" s="8">
        <f>MROUND(_xlfn.XLOOKUP(_xlfn.XLOOKUP(B114,'Base stats'!B:B,'Base stats'!E:E),Groups!A:A,Groups!BH:BH)*_xlfn.XLOOKUP(B114,'Base stats'!B:B,'Base stats'!C:C)^0.165,0.01)</f>
        <v>0.05</v>
      </c>
      <c r="Z114" s="18">
        <f>_xlfn.XLOOKUP(B114,'Base stats'!B:B,'Base stats'!AN:AN)*_xlfn.XLOOKUP(_xlfn.XLOOKUP(B114,'Base stats'!B:B,'Base stats'!E:E),Groups!A:A,Groups!H:H)/1000</f>
        <v>8.1699458596229943E-2</v>
      </c>
      <c r="AA114" s="18">
        <f>(1/2)*(_xlfn.XLOOKUP(_xlfn.XLOOKUP(B114,'Base stats'!B:B,'Base stats'!E:E),Groups!A:A,Groups!H:H)*_xlfn.XLOOKUP(_xlfn.XLOOKUP(B114,'Base stats'!B:B,'Base stats'!E:E),Groups!A:A,Groups!I:I))*_xlfn.XLOOKUP(B114,'Base stats'!B:B,'Base stats'!AN:AN)*0.01</f>
        <v>0.61274593947172462</v>
      </c>
      <c r="AB114" s="18">
        <f>250*(Animals!AN114+Animals!AO114)</f>
        <v>437.5</v>
      </c>
      <c r="AC114" s="18" t="str">
        <f>_xlfn.XLOOKUP(_xlfn.XLOOKUP(B114,'Base stats'!B:B,'Base stats'!E:E),Groups!A:A,Groups!BI:BI)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stats'!BP:BP) * (_xlfn.XLOOKUP(B115,'Base stats'!B:B,'Base stats'!AL:AL)*5%)^0.9 / 21,0.1),0.05)</f>
        <v>1</v>
      </c>
      <c r="E115" s="11">
        <f>MAX(0.01,MROUND(_xlfn.XLOOKUP(B115,'Base stats'!B:B,'Base stats'!BD:BD) * 0.01 * 2, 0.01))</f>
        <v>0.75</v>
      </c>
      <c r="F115" s="7">
        <f>MROUND(_xlfn.XLOOKUP(B115,'Base stats'!B:B,'Base stats'!BA:BA)^0.25 / (_xlfn.XLOOKUP(B115,'Base stats'!B:B,'Base stats'!BH:BH) * 10) * 150 + 0.5 + _xlfn.XLOOKUP(B115,'Base stats'!B:B,'Base stats'!BT:BT), 0.05)</f>
        <v>1.5</v>
      </c>
      <c r="G115" s="3" t="str">
        <f>IF(Animals!R115="No","No",
IF(_xlfn.XLOOKUP(B115,'Base stats'!B:B,'Base stats'!U:U)="No",
MAX(MROUND(_xlfn.XLOOKUP(B115,'Base stats'!B:B,'Base stats'!BQ:BQ) * _xlfn.XLOOKUP(B115,'Base stats'!B:B,'Base stats'!BM:BM)^0.9 / 21 * _xlfn.XLOOKUP(B115,'Base stats'!B:B,'Base stats'!BU:BU),0.1),0.05),
MAX(MROUND(((MIN(10,_xlfn.XLOOKUP(B115,'Base stats'!B:B,'Base stats'!U:U)))^0.4*_xlfn.XLOOKUP(B115,'Base stats'!B:B,'Base stats'!BE:BE)^0.73)^0.6 * _xlfn.XLOOKUP(B115,'Base stats'!B:B,'Base stats'!BU:BU),0.1),0.05)
))</f>
        <v>No</v>
      </c>
      <c r="H115" s="11" t="str">
        <f>IF(G115="No","No",
MAX(0.01,MROUND(_xlfn.XLOOKUP(B115,'Base stats'!B:B,'Base stats'!BE:BE) * 0.01 * 2, 0.01))
)</f>
        <v>No</v>
      </c>
      <c r="I115" s="11" t="str">
        <f>IF(G115="No","No",IF(_xlfn.XLOOKUP(B115,'Base stats'!B:B,'Base stats'!U:U)="No","No",
MAX(0.01,MROUND(_xlfn.XLOOKUP(B115,'Base stats'!B:B,'Base stats'!BQ:BQ)/10000,0.01))
))</f>
        <v>No</v>
      </c>
      <c r="J115" s="4" t="str">
        <f>IF(G115="No","No",
MROUND(_xlfn.XLOOKUP(B115,'Base stats'!B:B,'Base stats'!BB:BB)^0.25
/((_xlfn.XLOOKUP(B115,'Base stats'!B:B,'Base stats'!BI:BI))*10)*_xlfn.XLOOKUP(_xlfn.XLOOKUP(B115,'Base stats'!B:B,'Base stats'!E:E),Groups!A:A,Groups!Q:Q)*150 + 0.5 + _xlfn.XLOOKUP(B115,'Base stats'!B:B,'Base stats'!BT:BT),
0.05))</f>
        <v>No</v>
      </c>
      <c r="K115" s="3" t="str">
        <f>IF(Animals!W115="No","No",
IF(_xlfn.XLOOKUP(_xlfn.XLOOKUP(B115,'Base stats'!B:B,'Base stats'!E:E),Groups!A:A,Groups!BC:BC)=1,
MAX(MROUND(_xlfn.XLOOKUP(B115,'Base stats'!B:B,'Base stats'!BR:BR) * _xlfn.XLOOKUP(B115,'Base stats'!B:B,'Base stats'!BN:BN)^0.9 / 21 *_xlfn.XLOOKUP(B115,'Base stats'!B:B,'Base stats'!BU:BU),0.1),0.05),
MAX(MROUND(((MIN(10,_xlfn.XLOOKUP(B115,'Base stats'!B:B,'Base stats'!W:W)))^0.4*_xlfn.XLOOKUP(B115,'Base stats'!B:B,'Base stats'!BF:BF)^0.73)^0.6 *_xlfn.XLOOKUP(B115,'Base stats'!B:B,'Base stats'!BU:BU),0.1),0.05)
))</f>
        <v>No</v>
      </c>
      <c r="L115" s="11" t="str">
        <f>IF(K115="No","No",
MAX(0.01,MROUND(_xlfn.XLOOKUP(B115,'Base stats'!B:B,'Base stats'!BF:BF) * 0.01 *2, 0.01))
)</f>
        <v>No</v>
      </c>
      <c r="M115" s="5" t="str">
        <f>IF(K115="No","No",IF(_xlfn.XLOOKUP(_xlfn.XLOOKUP(B115,'Base stats'!B:B,'Base stats'!E:E),Groups!A:A,Groups!BC:BC)=1,"No",
MAX(0.01,MROUND(_xlfn.XLOOKUP(B115,'Base stats'!B:B,'Base stats'!BR:BR)/10000,0.01))
))</f>
        <v>No</v>
      </c>
      <c r="N115" s="4" t="str">
        <f>IF(K115="No","No",
MROUND(
  _xlfn.XLOOKUP(B115,'Base stats'!B:B,'Base stats'!AZ:AZ)^0.25
  / (_xlfn.XLOOKUP(B115,'Base stats'!B:B,'Base stats'!BJ:BJ)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stats'!BT:BT),
0.05))</f>
        <v>No</v>
      </c>
      <c r="O115" s="3">
        <f>IF(Animals!AC115="No","No",
MAX(MROUND((MIN(10,_xlfn.XLOOKUP(B115,'Base stats'!B:B,'Base stats'!V:V)*IF(_xlfn.XLOOKUP(_xlfn.XLOOKUP(B115,'Base stats'!B:B,'Base stats'!E:E),Groups!A:A,Groups!O:O)=0,1,0.33))^0.4*_xlfn.XLOOKUP(B115,'Base stats'!B:B,'Base stats'!BG:BG)^0.73)^0.6 *_xlfn.XLOOKUP(B115,'Base stats'!B:B,'Base stats'!BU:BU),0.1),0.05)
)</f>
        <v>5.2</v>
      </c>
      <c r="P115" s="11">
        <f>IF(O115="No","No",
MAX(0.01,MROUND(_xlfn.XLOOKUP(B115,'Base stats'!B:B,'Base stats'!BG:BG) * 0.01 * 2, 0.01))
)</f>
        <v>0.57999999999999996</v>
      </c>
      <c r="Q115" s="5">
        <f>IF(O115="No","No",
MAX(0.01,MROUND(_xlfn.XLOOKUP(B115,'Base stats'!B:B,'Base stats'!BS:BS)/10000,0.01))
)</f>
        <v>0.05</v>
      </c>
      <c r="R115" s="4">
        <f>IF(O115="No","No",
MROUND(_xlfn.XLOOKUP(B115,'Base stats'!B:B,'Base stats'!AY:AY)^0.25
/((_xlfn.XLOOKUP(B115,'Base stats'!B:B,'Base stats'!BK:BK))*10)*_xlfn.XLOOKUP(_xlfn.XLOOKUP(B115,'Base stats'!B:B,'Base stats'!E:E),Groups!A:A,Groups!Z:Z)*150 + 0.5 + _xlfn.XLOOKUP(B115,'Base stats'!B:B,'Base stats'!BT:BT),
0.05))</f>
        <v>2.15</v>
      </c>
      <c r="S115" s="3">
        <f>IF(Animals!AH115="No","No",
IF(_xlfn.XLOOKUP(B115,'Base stats'!B:B,'Base stats'!U:U)="No",
MAX(MROUND(_xlfn.XLOOKUP(B115,'Base stats'!B:B,'Base stats'!BQ:BQ) * _xlfn.XLOOKUP(B115,'Base stats'!B:B,'Base stats'!BM:BM)^0.9 / 21 * _xlfn.XLOOKUP(B115,'Base stats'!B:B,'Base stats'!BU:BU),0.1),0.05),
MAX(MROUND(((MIN(12,_xlfn.XLOOKUP(B115,'Base stats'!B:B,'Base stats'!U:U)))^0.4*_xlfn.XLOOKUP(B115,'Base stats'!B:B,'Base stats'!BE:BE)^0.73)^0.6 * _xlfn.XLOOKUP(B115,'Base stats'!B:B,'Base stats'!BU:BU),0.1),0.05)
))</f>
        <v>7.3000000000000007</v>
      </c>
      <c r="T115" s="11">
        <f>IF(S115="No","No",
MAX(0.01,MROUND(_xlfn.XLOOKUP(B115,'Base stats'!B:B,'Base stats'!BE:BE) * 0.01 * 2, 0.01))
)</f>
        <v>1.01</v>
      </c>
      <c r="U115" s="5">
        <f>IF(S115="No","No",IF(_xlfn.XLOOKUP(B115,'Base stats'!B:B,'Base stats'!U:U)="No","No",
MAX(0.01,MROUND(_xlfn.XLOOKUP(B115,'Base stats'!B:B,'Base stats'!BQ:BQ)/10000,0.01))
))</f>
        <v>0.09</v>
      </c>
      <c r="V115" s="4">
        <f>IF(S115="No","No",
MROUND(_xlfn.XLOOKUP(B115,'Base stats'!B:B,'Base stats'!BC:BC)^0.25
/((_xlfn.XLOOKUP(B115,'Base stats'!B:B,'Base stats'!BL:BL))*10)*_xlfn.XLOOKUP(_xlfn.XLOOKUP(B115,'Base stats'!B:B,'Base stats'!E:E),Groups!A:A,Groups!AE:AE)*150 + 0.5 + _xlfn.XLOOKUP(B115,'Base stats'!B:B,'Base stats'!BT:BT),
0.05))</f>
        <v>1.3</v>
      </c>
      <c r="W115" s="8">
        <f>MROUND(_xlfn.XLOOKUP(_xlfn.XLOOKUP(B115,'Base stats'!B:B,'Base stats'!E:E),Groups!A:A,Groups!BF:BF)*_xlfn.XLOOKUP(B115,'Base stats'!B:B,'Base stats'!C:C)^-0.165,0.01)</f>
        <v>0.28999999999999998</v>
      </c>
      <c r="X115" s="1">
        <f>MROUND(_xlfn.XLOOKUP(_xlfn.XLOOKUP(B115,'Base stats'!B:B,'Base stats'!E:E),Groups!A:A,Groups!BG:BG)*_xlfn.XLOOKUP(B115,'Base stats'!B:B,'Base stats'!C:C)^0.165,0.01)</f>
        <v>0</v>
      </c>
      <c r="Y115" s="8">
        <f>MROUND(_xlfn.XLOOKUP(_xlfn.XLOOKUP(B115,'Base stats'!B:B,'Base stats'!E:E),Groups!A:A,Groups!BH:BH)*_xlfn.XLOOKUP(B115,'Base stats'!B:B,'Base stats'!C:C)^0.165,0.01)</f>
        <v>0</v>
      </c>
      <c r="Z115" s="18">
        <f>_xlfn.XLOOKUP(B115,'Base stats'!B:B,'Base stats'!AN:AN)*_xlfn.XLOOKUP(_xlfn.XLOOKUP(B115,'Base stats'!B:B,'Base stats'!E:E),Groups!A:A,Groups!H:H)/1000</f>
        <v>3.1766993080631599E-2</v>
      </c>
      <c r="AA115" s="18">
        <f>(1/2)*(_xlfn.XLOOKUP(_xlfn.XLOOKUP(B115,'Base stats'!B:B,'Base stats'!E:E),Groups!A:A,Groups!H:H)*_xlfn.XLOOKUP(_xlfn.XLOOKUP(B115,'Base stats'!B:B,'Base stats'!E:E),Groups!A:A,Groups!I:I))*_xlfn.XLOOKUP(B115,'Base stats'!B:B,'Base stats'!AN:AN)*0.01</f>
        <v>0.17471846194347382</v>
      </c>
      <c r="AB115" s="18">
        <f>250*(Animals!AN115+Animals!AO115)</f>
        <v>325</v>
      </c>
      <c r="AC115" s="18" t="str">
        <f>_xlfn.XLOOKUP(_xlfn.XLOOKUP(B115,'Base stats'!B:B,'Base stats'!E:E),Groups!A:A,Groups!BI:BI)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stats'!BP:BP) * (_xlfn.XLOOKUP(B116,'Base stats'!B:B,'Base stats'!AL:AL)*5%)^0.9 / 21,0.1),0.05)</f>
        <v>1.8</v>
      </c>
      <c r="E116" s="11">
        <f>MAX(0.01,MROUND(_xlfn.XLOOKUP(B116,'Base stats'!B:B,'Base stats'!BD:BD) * 0.01 * 2, 0.01))</f>
        <v>1.5</v>
      </c>
      <c r="F116" s="7">
        <f>MROUND(_xlfn.XLOOKUP(B116,'Base stats'!B:B,'Base stats'!BA:BA)^0.25 / (_xlfn.XLOOKUP(B116,'Base stats'!B:B,'Base stats'!BH:BH) * 10) * 150 + 0.5 + _xlfn.XLOOKUP(B116,'Base stats'!B:B,'Base stats'!BT:BT), 0.05)</f>
        <v>1.6</v>
      </c>
      <c r="G116" s="3">
        <f>IF(Animals!R116="No","No",
IF(_xlfn.XLOOKUP(B116,'Base stats'!B:B,'Base stats'!U:U)="No",
MAX(MROUND(_xlfn.XLOOKUP(B116,'Base stats'!B:B,'Base stats'!BQ:BQ) * _xlfn.XLOOKUP(B116,'Base stats'!B:B,'Base stats'!BM:BM)^0.9 / 21 * _xlfn.XLOOKUP(B116,'Base stats'!B:B,'Base stats'!BU:BU),0.1),0.05),
MAX(MROUND(((MIN(10,_xlfn.XLOOKUP(B116,'Base stats'!B:B,'Base stats'!U:U)))^0.4*_xlfn.XLOOKUP(B116,'Base stats'!B:B,'Base stats'!BE:BE)^0.73)^0.6 * _xlfn.XLOOKUP(B116,'Base stats'!B:B,'Base stats'!BU:BU),0.1),0.05)
))</f>
        <v>10.9</v>
      </c>
      <c r="H116" s="11">
        <f>IF(G116="No","No",
MAX(0.01,MROUND(_xlfn.XLOOKUP(B116,'Base stats'!B:B,'Base stats'!BE:BE) * 0.01 * 2, 0.01))
)</f>
        <v>1.95</v>
      </c>
      <c r="I116" s="11">
        <f>IF(G116="No","No",IF(_xlfn.XLOOKUP(B116,'Base stats'!B:B,'Base stats'!U:U)="No","No",
MAX(0.01,MROUND(_xlfn.XLOOKUP(B116,'Base stats'!B:B,'Base stats'!BQ:BQ)/10000,0.01))
))</f>
        <v>0.13</v>
      </c>
      <c r="J116" s="4">
        <f>IF(G116="No","No",
MROUND(_xlfn.XLOOKUP(B116,'Base stats'!B:B,'Base stats'!BB:BB)^0.25
/((_xlfn.XLOOKUP(B116,'Base stats'!B:B,'Base stats'!BI:BI))*10)*_xlfn.XLOOKUP(_xlfn.XLOOKUP(B116,'Base stats'!B:B,'Base stats'!E:E),Groups!A:A,Groups!Q:Q)*150 + 0.5 + _xlfn.XLOOKUP(B116,'Base stats'!B:B,'Base stats'!BT:BT),
0.05))</f>
        <v>2.9000000000000004</v>
      </c>
      <c r="K116" s="3" t="str">
        <f>IF(Animals!W116="No","No",
IF(_xlfn.XLOOKUP(_xlfn.XLOOKUP(B116,'Base stats'!B:B,'Base stats'!E:E),Groups!A:A,Groups!BC:BC)=1,
MAX(MROUND(_xlfn.XLOOKUP(B116,'Base stats'!B:B,'Base stats'!BR:BR) * _xlfn.XLOOKUP(B116,'Base stats'!B:B,'Base stats'!BN:BN)^0.9 / 21 *_xlfn.XLOOKUP(B116,'Base stats'!B:B,'Base stats'!BU:BU),0.1),0.05),
MAX(MROUND(((MIN(10,_xlfn.XLOOKUP(B116,'Base stats'!B:B,'Base stats'!W:W)))^0.4*_xlfn.XLOOKUP(B116,'Base stats'!B:B,'Base stats'!BF:BF)^0.73)^0.6 *_xlfn.XLOOKUP(B116,'Base stats'!B:B,'Base stats'!BU:BU),0.1),0.05)
))</f>
        <v>No</v>
      </c>
      <c r="L116" s="11" t="str">
        <f>IF(K116="No","No",
MAX(0.01,MROUND(_xlfn.XLOOKUP(B116,'Base stats'!B:B,'Base stats'!BF:BF) * 0.01 *2, 0.01))
)</f>
        <v>No</v>
      </c>
      <c r="M116" s="5" t="str">
        <f>IF(K116="No","No",IF(_xlfn.XLOOKUP(_xlfn.XLOOKUP(B116,'Base stats'!B:B,'Base stats'!E:E),Groups!A:A,Groups!BC:BC)=1,"No",
MAX(0.01,MROUND(_xlfn.XLOOKUP(B116,'Base stats'!B:B,'Base stats'!BR:BR)/10000,0.01))
))</f>
        <v>No</v>
      </c>
      <c r="N116" s="4" t="str">
        <f>IF(K116="No","No",
MROUND(
  _xlfn.XLOOKUP(B116,'Base stats'!B:B,'Base stats'!AZ:AZ)^0.25
  / (_xlfn.XLOOKUP(B116,'Base stats'!B:B,'Base stats'!BJ:BJ)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stats'!BT:BT),
0.05))</f>
        <v>No</v>
      </c>
      <c r="O116" s="3" t="str">
        <f>IF(Animals!AC116="No","No",
MAX(MROUND((MIN(10,_xlfn.XLOOKUP(B116,'Base stats'!B:B,'Base stats'!V:V)*IF(_xlfn.XLOOKUP(_xlfn.XLOOKUP(B116,'Base stats'!B:B,'Base stats'!E:E),Groups!A:A,Groups!O:O)=0,1,0.33))^0.4*_xlfn.XLOOKUP(B116,'Base stats'!B:B,'Base stats'!BG:BG)^0.73)^0.6 *_xlfn.XLOOKUP(B116,'Base stats'!B:B,'Base stats'!BU:BU),0.1),0.05)
)</f>
        <v>No</v>
      </c>
      <c r="P116" s="11" t="str">
        <f>IF(O116="No","No",
MAX(0.01,MROUND(_xlfn.XLOOKUP(B116,'Base stats'!B:B,'Base stats'!BG:BG) * 0.01 * 2, 0.01))
)</f>
        <v>No</v>
      </c>
      <c r="Q116" s="5" t="str">
        <f>IF(O116="No","No",
MAX(0.01,MROUND(_xlfn.XLOOKUP(B116,'Base stats'!B:B,'Base stats'!BS:BS)/10000,0.01))
)</f>
        <v>No</v>
      </c>
      <c r="R116" s="4" t="str">
        <f>IF(O116="No","No",
MROUND(_xlfn.XLOOKUP(B116,'Base stats'!B:B,'Base stats'!AY:AY)^0.25
/((_xlfn.XLOOKUP(B116,'Base stats'!B:B,'Base stats'!BK:BK))*10)*_xlfn.XLOOKUP(_xlfn.XLOOKUP(B116,'Base stats'!B:B,'Base stats'!E:E),Groups!A:A,Groups!Z:Z)*150 + 0.5 + _xlfn.XLOOKUP(B116,'Base stats'!B:B,'Base stats'!BT:BT),
0.05))</f>
        <v>No</v>
      </c>
      <c r="S116" s="3">
        <f>IF(Animals!AH116="No","No",
IF(_xlfn.XLOOKUP(B116,'Base stats'!B:B,'Base stats'!U:U)="No",
MAX(MROUND(_xlfn.XLOOKUP(B116,'Base stats'!B:B,'Base stats'!BQ:BQ) * _xlfn.XLOOKUP(B116,'Base stats'!B:B,'Base stats'!BM:BM)^0.9 / 21 * _xlfn.XLOOKUP(B116,'Base stats'!B:B,'Base stats'!BU:BU),0.1),0.05),
MAX(MROUND(((MIN(12,_xlfn.XLOOKUP(B116,'Base stats'!B:B,'Base stats'!U:U)))^0.4*_xlfn.XLOOKUP(B116,'Base stats'!B:B,'Base stats'!BE:BE)^0.73)^0.6 * _xlfn.XLOOKUP(B116,'Base stats'!B:B,'Base stats'!BU:BU),0.1),0.05)
))</f>
        <v>10.9</v>
      </c>
      <c r="T116" s="11">
        <f>IF(S116="No","No",
MAX(0.01,MROUND(_xlfn.XLOOKUP(B116,'Base stats'!B:B,'Base stats'!BE:BE) * 0.01 * 2, 0.01))
)</f>
        <v>1.95</v>
      </c>
      <c r="U116" s="5">
        <f>IF(S116="No","No",IF(_xlfn.XLOOKUP(B116,'Base stats'!B:B,'Base stats'!U:U)="No","No",
MAX(0.01,MROUND(_xlfn.XLOOKUP(B116,'Base stats'!B:B,'Base stats'!BQ:BQ)/10000,0.01))
))</f>
        <v>0.13</v>
      </c>
      <c r="V116" s="4">
        <f>IF(S116="No","No",
MROUND(_xlfn.XLOOKUP(B116,'Base stats'!B:B,'Base stats'!BC:BC)^0.25
/((_xlfn.XLOOKUP(B116,'Base stats'!B:B,'Base stats'!BL:BL))*10)*_xlfn.XLOOKUP(_xlfn.XLOOKUP(B116,'Base stats'!B:B,'Base stats'!E:E),Groups!A:A,Groups!AE:AE)*150 + 0.5 + _xlfn.XLOOKUP(B116,'Base stats'!B:B,'Base stats'!BT:BT),
0.05))</f>
        <v>1.4500000000000002</v>
      </c>
      <c r="W116" s="8">
        <f>MROUND(_xlfn.XLOOKUP(_xlfn.XLOOKUP(B116,'Base stats'!B:B,'Base stats'!E:E),Groups!A:A,Groups!BF:BF)*_xlfn.XLOOKUP(B116,'Base stats'!B:B,'Base stats'!C:C)^-0.165,0.01)</f>
        <v>0.36</v>
      </c>
      <c r="X116" s="1">
        <f>MROUND(_xlfn.XLOOKUP(_xlfn.XLOOKUP(B116,'Base stats'!B:B,'Base stats'!E:E),Groups!A:A,Groups!BG:BG)*_xlfn.XLOOKUP(B116,'Base stats'!B:B,'Base stats'!C:C)^0.165,0.01)</f>
        <v>0</v>
      </c>
      <c r="Y116" s="8">
        <f>MROUND(_xlfn.XLOOKUP(_xlfn.XLOOKUP(B116,'Base stats'!B:B,'Base stats'!E:E),Groups!A:A,Groups!BH:BH)*_xlfn.XLOOKUP(B116,'Base stats'!B:B,'Base stats'!C:C)^0.165,0.01)</f>
        <v>0</v>
      </c>
      <c r="Z116" s="18">
        <f>_xlfn.XLOOKUP(B116,'Base stats'!B:B,'Base stats'!AN:AN)*_xlfn.XLOOKUP(_xlfn.XLOOKUP(B116,'Base stats'!B:B,'Base stats'!E:E),Groups!A:A,Groups!H:H)/1000</f>
        <v>3.9699463346838874E-2</v>
      </c>
      <c r="AA116" s="18">
        <f>(1/2)*(_xlfn.XLOOKUP(_xlfn.XLOOKUP(B116,'Base stats'!B:B,'Base stats'!E:E),Groups!A:A,Groups!H:H)*_xlfn.XLOOKUP(_xlfn.XLOOKUP(B116,'Base stats'!B:B,'Base stats'!E:E),Groups!A:A,Groups!I:I))*_xlfn.XLOOKUP(B116,'Base stats'!B:B,'Base stats'!AN:AN)*0.01</f>
        <v>0.21834704840761388</v>
      </c>
      <c r="AB116" s="18">
        <f>250*(Animals!AN116+Animals!AO116)</f>
        <v>450</v>
      </c>
      <c r="AC116" s="18" t="str">
        <f>_xlfn.XLOOKUP(_xlfn.XLOOKUP(B116,'Base stats'!B:B,'Base stats'!E:E),Groups!A:A,Groups!BI:BI)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stats'!BP:BP) * (_xlfn.XLOOKUP(B117,'Base stats'!B:B,'Base stats'!AL:AL)*5%)^0.9 / 21,0.1),0.05)</f>
        <v>0.4</v>
      </c>
      <c r="E117" s="11">
        <f>MAX(0.01,MROUND(_xlfn.XLOOKUP(B117,'Base stats'!B:B,'Base stats'!BD:BD) * 0.01 * 2, 0.01))</f>
        <v>0.3</v>
      </c>
      <c r="F117" s="7">
        <f>MROUND(_xlfn.XLOOKUP(B117,'Base stats'!B:B,'Base stats'!BA:BA)^0.25 / (_xlfn.XLOOKUP(B117,'Base stats'!B:B,'Base stats'!BH:BH) * 10) * 150 + 0.5 + _xlfn.XLOOKUP(B117,'Base stats'!B:B,'Base stats'!BT:BT), 0.05)</f>
        <v>1.4000000000000001</v>
      </c>
      <c r="G117" s="3" t="str">
        <f>IF(Animals!R117="No","No",
IF(_xlfn.XLOOKUP(B117,'Base stats'!B:B,'Base stats'!U:U)="No",
MAX(MROUND(_xlfn.XLOOKUP(B117,'Base stats'!B:B,'Base stats'!BQ:BQ) * _xlfn.XLOOKUP(B117,'Base stats'!B:B,'Base stats'!BM:BM)^0.9 / 21 * _xlfn.XLOOKUP(B117,'Base stats'!B:B,'Base stats'!BU:BU),0.1),0.05),
MAX(MROUND(((MIN(10,_xlfn.XLOOKUP(B117,'Base stats'!B:B,'Base stats'!U:U)))^0.4*_xlfn.XLOOKUP(B117,'Base stats'!B:B,'Base stats'!BE:BE)^0.73)^0.6 * _xlfn.XLOOKUP(B117,'Base stats'!B:B,'Base stats'!BU:BU),0.1),0.05)
))</f>
        <v>No</v>
      </c>
      <c r="H117" s="11" t="str">
        <f>IF(G117="No","No",
MAX(0.01,MROUND(_xlfn.XLOOKUP(B117,'Base stats'!B:B,'Base stats'!BE:BE) * 0.01 * 2, 0.01))
)</f>
        <v>No</v>
      </c>
      <c r="I117" s="11" t="str">
        <f>IF(G117="No","No",IF(_xlfn.XLOOKUP(B117,'Base stats'!B:B,'Base stats'!U:U)="No","No",
MAX(0.01,MROUND(_xlfn.XLOOKUP(B117,'Base stats'!B:B,'Base stats'!BQ:BQ)/10000,0.01))
))</f>
        <v>No</v>
      </c>
      <c r="J117" s="4" t="str">
        <f>IF(G117="No","No",
MROUND(_xlfn.XLOOKUP(B117,'Base stats'!B:B,'Base stats'!BB:BB)^0.25
/((_xlfn.XLOOKUP(B117,'Base stats'!B:B,'Base stats'!BI:BI))*10)*_xlfn.XLOOKUP(_xlfn.XLOOKUP(B117,'Base stats'!B:B,'Base stats'!E:E),Groups!A:A,Groups!Q:Q)*150 + 0.5 + _xlfn.XLOOKUP(B117,'Base stats'!B:B,'Base stats'!BT:BT),
0.05))</f>
        <v>No</v>
      </c>
      <c r="K117" s="3" t="str">
        <f>IF(Animals!W117="No","No",
IF(_xlfn.XLOOKUP(_xlfn.XLOOKUP(B117,'Base stats'!B:B,'Base stats'!E:E),Groups!A:A,Groups!BC:BC)=1,
MAX(MROUND(_xlfn.XLOOKUP(B117,'Base stats'!B:B,'Base stats'!BR:BR) * _xlfn.XLOOKUP(B117,'Base stats'!B:B,'Base stats'!BN:BN)^0.9 / 21 *_xlfn.XLOOKUP(B117,'Base stats'!B:B,'Base stats'!BU:BU),0.1),0.05),
MAX(MROUND(((MIN(10,_xlfn.XLOOKUP(B117,'Base stats'!B:B,'Base stats'!W:W)))^0.4*_xlfn.XLOOKUP(B117,'Base stats'!B:B,'Base stats'!BF:BF)^0.73)^0.6 *_xlfn.XLOOKUP(B117,'Base stats'!B:B,'Base stats'!BU:BU),0.1),0.05)
))</f>
        <v>No</v>
      </c>
      <c r="L117" s="11" t="str">
        <f>IF(K117="No","No",
MAX(0.01,MROUND(_xlfn.XLOOKUP(B117,'Base stats'!B:B,'Base stats'!BF:BF) * 0.01 *2, 0.01))
)</f>
        <v>No</v>
      </c>
      <c r="M117" s="5" t="str">
        <f>IF(K117="No","No",IF(_xlfn.XLOOKUP(_xlfn.XLOOKUP(B117,'Base stats'!B:B,'Base stats'!E:E),Groups!A:A,Groups!BC:BC)=1,"No",
MAX(0.01,MROUND(_xlfn.XLOOKUP(B117,'Base stats'!B:B,'Base stats'!BR:BR)/10000,0.01))
))</f>
        <v>No</v>
      </c>
      <c r="N117" s="4" t="str">
        <f>IF(K117="No","No",
MROUND(
  _xlfn.XLOOKUP(B117,'Base stats'!B:B,'Base stats'!AZ:AZ)^0.25
  / (_xlfn.XLOOKUP(B117,'Base stats'!B:B,'Base stats'!BJ:BJ)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stats'!BT:BT),
0.05))</f>
        <v>No</v>
      </c>
      <c r="O117" s="3">
        <f>IF(Animals!AC117="No","No",
MAX(MROUND((MIN(10,_xlfn.XLOOKUP(B117,'Base stats'!B:B,'Base stats'!V:V)*IF(_xlfn.XLOOKUP(_xlfn.XLOOKUP(B117,'Base stats'!B:B,'Base stats'!E:E),Groups!A:A,Groups!O:O)=0,1,0.33))^0.4*_xlfn.XLOOKUP(B117,'Base stats'!B:B,'Base stats'!BG:BG)^0.73)^0.6 *_xlfn.XLOOKUP(B117,'Base stats'!B:B,'Base stats'!BU:BU),0.1),0.05)
)</f>
        <v>2.8000000000000003</v>
      </c>
      <c r="P117" s="11">
        <f>IF(O117="No","No",
MAX(0.01,MROUND(_xlfn.XLOOKUP(B117,'Base stats'!B:B,'Base stats'!BG:BG) * 0.01 * 2, 0.01))
)</f>
        <v>0.32</v>
      </c>
      <c r="Q117" s="5">
        <f>IF(O117="No","No",
MAX(0.01,MROUND(_xlfn.XLOOKUP(B117,'Base stats'!B:B,'Base stats'!BS:BS)/10000,0.01))
)</f>
        <v>0.04</v>
      </c>
      <c r="R117" s="4">
        <f>IF(O117="No","No",
MROUND(_xlfn.XLOOKUP(B117,'Base stats'!B:B,'Base stats'!AY:AY)^0.25
/((_xlfn.XLOOKUP(B117,'Base stats'!B:B,'Base stats'!BK:BK))*10)*_xlfn.XLOOKUP(_xlfn.XLOOKUP(B117,'Base stats'!B:B,'Base stats'!E:E),Groups!A:A,Groups!Z:Z)*150 + 0.5 + _xlfn.XLOOKUP(B117,'Base stats'!B:B,'Base stats'!BT:BT),
0.05))</f>
        <v>1.9500000000000002</v>
      </c>
      <c r="S117" s="3">
        <f>IF(Animals!AH117="No","No",
IF(_xlfn.XLOOKUP(B117,'Base stats'!B:B,'Base stats'!U:U)="No",
MAX(MROUND(_xlfn.XLOOKUP(B117,'Base stats'!B:B,'Base stats'!BQ:BQ) * _xlfn.XLOOKUP(B117,'Base stats'!B:B,'Base stats'!BM:BM)^0.9 / 21 * _xlfn.XLOOKUP(B117,'Base stats'!B:B,'Base stats'!BU:BU),0.1),0.05),
MAX(MROUND(((MIN(12,_xlfn.XLOOKUP(B117,'Base stats'!B:B,'Base stats'!U:U)))^0.4*_xlfn.XLOOKUP(B117,'Base stats'!B:B,'Base stats'!BE:BE)^0.73)^0.6 * _xlfn.XLOOKUP(B117,'Base stats'!B:B,'Base stats'!BU:BU),0.1),0.05)
))</f>
        <v>4.8000000000000007</v>
      </c>
      <c r="T117" s="11">
        <f>IF(S117="No","No",
MAX(0.01,MROUND(_xlfn.XLOOKUP(B117,'Base stats'!B:B,'Base stats'!BE:BE) * 0.01 * 2, 0.01))
)</f>
        <v>0.43</v>
      </c>
      <c r="U117" s="5">
        <f>IF(S117="No","No",IF(_xlfn.XLOOKUP(B117,'Base stats'!B:B,'Base stats'!U:U)="No","No",
MAX(0.01,MROUND(_xlfn.XLOOKUP(B117,'Base stats'!B:B,'Base stats'!BQ:BQ)/10000,0.01))
))</f>
        <v>0.06</v>
      </c>
      <c r="V117" s="4">
        <f>IF(S117="No","No",
MROUND(_xlfn.XLOOKUP(B117,'Base stats'!B:B,'Base stats'!BC:BC)^0.25
/((_xlfn.XLOOKUP(B117,'Base stats'!B:B,'Base stats'!BL:BL))*10)*_xlfn.XLOOKUP(_xlfn.XLOOKUP(B117,'Base stats'!B:B,'Base stats'!E:E),Groups!A:A,Groups!AE:AE)*150 + 0.5 + _xlfn.XLOOKUP(B117,'Base stats'!B:B,'Base stats'!BT:BT),
0.05))</f>
        <v>1.2000000000000002</v>
      </c>
      <c r="W117" s="8">
        <f>MROUND(_xlfn.XLOOKUP(_xlfn.XLOOKUP(B117,'Base stats'!B:B,'Base stats'!E:E),Groups!A:A,Groups!BF:BF)*_xlfn.XLOOKUP(B117,'Base stats'!B:B,'Base stats'!C:C)^-0.165,0.01)</f>
        <v>0.35000000000000003</v>
      </c>
      <c r="X117" s="1">
        <f>MROUND(_xlfn.XLOOKUP(_xlfn.XLOOKUP(B117,'Base stats'!B:B,'Base stats'!E:E),Groups!A:A,Groups!BG:BG)*_xlfn.XLOOKUP(B117,'Base stats'!B:B,'Base stats'!C:C)^0.165,0.01)</f>
        <v>0</v>
      </c>
      <c r="Y117" s="8">
        <f>MROUND(_xlfn.XLOOKUP(_xlfn.XLOOKUP(B117,'Base stats'!B:B,'Base stats'!E:E),Groups!A:A,Groups!BH:BH)*_xlfn.XLOOKUP(B117,'Base stats'!B:B,'Base stats'!C:C)^0.165,0.01)</f>
        <v>0</v>
      </c>
      <c r="Z117" s="18">
        <f>_xlfn.XLOOKUP(B117,'Base stats'!B:B,'Base stats'!AN:AN)*_xlfn.XLOOKUP(_xlfn.XLOOKUP(B117,'Base stats'!B:B,'Base stats'!E:E),Groups!A:A,Groups!H:H)/1000</f>
        <v>2.3710434421951247E-2</v>
      </c>
      <c r="AA117" s="18">
        <f>(1/2)*(_xlfn.XLOOKUP(_xlfn.XLOOKUP(B117,'Base stats'!B:B,'Base stats'!E:E),Groups!A:A,Groups!H:H)*_xlfn.XLOOKUP(_xlfn.XLOOKUP(B117,'Base stats'!B:B,'Base stats'!E:E),Groups!A:A,Groups!I:I))*_xlfn.XLOOKUP(B117,'Base stats'!B:B,'Base stats'!AN:AN)*0.01</f>
        <v>0.1304073893207319</v>
      </c>
      <c r="AB117" s="18">
        <f>250*(Animals!AN117+Animals!AO117)</f>
        <v>200</v>
      </c>
      <c r="AC117" s="18" t="str">
        <f>_xlfn.XLOOKUP(_xlfn.XLOOKUP(B117,'Base stats'!B:B,'Base stats'!E:E),Groups!A:A,Groups!BI:BI)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stats'!BP:BP) * (_xlfn.XLOOKUP(B118,'Base stats'!B:B,'Base stats'!AL:AL)*5%)^0.9 / 21,0.1),0.05)</f>
        <v>0.1</v>
      </c>
      <c r="E118" s="11">
        <f>MAX(0.01,MROUND(_xlfn.XLOOKUP(B118,'Base stats'!B:B,'Base stats'!BD:BD) * 0.01 * 2, 0.01))</f>
        <v>0.05</v>
      </c>
      <c r="F118" s="7">
        <f>MROUND(_xlfn.XLOOKUP(B118,'Base stats'!B:B,'Base stats'!BA:BA)^0.25 / (_xlfn.XLOOKUP(B118,'Base stats'!B:B,'Base stats'!BH:BH) * 10) * 150 + 0.5 + _xlfn.XLOOKUP(B118,'Base stats'!B:B,'Base stats'!BT:BT), 0.05)</f>
        <v>1.2000000000000002</v>
      </c>
      <c r="G118" s="3">
        <f>IF(Animals!R118="No","No",
IF(_xlfn.XLOOKUP(B118,'Base stats'!B:B,'Base stats'!U:U)="No",
MAX(MROUND(_xlfn.XLOOKUP(B118,'Base stats'!B:B,'Base stats'!BQ:BQ) * _xlfn.XLOOKUP(B118,'Base stats'!B:B,'Base stats'!BM:BM)^0.9 / 21 * _xlfn.XLOOKUP(B118,'Base stats'!B:B,'Base stats'!BU:BU),0.1),0.05),
MAX(MROUND(((MIN(10,_xlfn.XLOOKUP(B118,'Base stats'!B:B,'Base stats'!U:U)))^0.4*_xlfn.XLOOKUP(B118,'Base stats'!B:B,'Base stats'!BE:BE)^0.73)^0.6 * _xlfn.XLOOKUP(B118,'Base stats'!B:B,'Base stats'!BU:BU),0.1),0.05)
))</f>
        <v>2.1</v>
      </c>
      <c r="H118" s="11">
        <f>IF(G118="No","No",
MAX(0.01,MROUND(_xlfn.XLOOKUP(B118,'Base stats'!B:B,'Base stats'!BE:BE) * 0.01 * 2, 0.01))
)</f>
        <v>0.08</v>
      </c>
      <c r="I118" s="11">
        <f>IF(G118="No","No",IF(_xlfn.XLOOKUP(B118,'Base stats'!B:B,'Base stats'!U:U)="No","No",
MAX(0.01,MROUND(_xlfn.XLOOKUP(B118,'Base stats'!B:B,'Base stats'!BQ:BQ)/10000,0.01))
))</f>
        <v>0.02</v>
      </c>
      <c r="J118" s="4">
        <f>IF(G118="No","No",
MROUND(_xlfn.XLOOKUP(B118,'Base stats'!B:B,'Base stats'!BB:BB)^0.25
/((_xlfn.XLOOKUP(B118,'Base stats'!B:B,'Base stats'!BI:BI))*10)*_xlfn.XLOOKUP(_xlfn.XLOOKUP(B118,'Base stats'!B:B,'Base stats'!E:E),Groups!A:A,Groups!Q:Q)*150 + 0.5 + _xlfn.XLOOKUP(B118,'Base stats'!B:B,'Base stats'!BT:BT),
0.05))</f>
        <v>1.3</v>
      </c>
      <c r="K118" s="3" t="str">
        <f>IF(Animals!W118="No","No",
IF(_xlfn.XLOOKUP(_xlfn.XLOOKUP(B118,'Base stats'!B:B,'Base stats'!E:E),Groups!A:A,Groups!BC:BC)=1,
MAX(MROUND(_xlfn.XLOOKUP(B118,'Base stats'!B:B,'Base stats'!BR:BR) * _xlfn.XLOOKUP(B118,'Base stats'!B:B,'Base stats'!BN:BN)^0.9 / 21 *_xlfn.XLOOKUP(B118,'Base stats'!B:B,'Base stats'!BU:BU),0.1),0.05),
MAX(MROUND(((MIN(10,_xlfn.XLOOKUP(B118,'Base stats'!B:B,'Base stats'!W:W)))^0.4*_xlfn.XLOOKUP(B118,'Base stats'!B:B,'Base stats'!BF:BF)^0.73)^0.6 *_xlfn.XLOOKUP(B118,'Base stats'!B:B,'Base stats'!BU:BU),0.1),0.05)
))</f>
        <v>No</v>
      </c>
      <c r="L118" s="11" t="str">
        <f>IF(K118="No","No",
MAX(0.01,MROUND(_xlfn.XLOOKUP(B118,'Base stats'!B:B,'Base stats'!BF:BF) * 0.01 *2, 0.01))
)</f>
        <v>No</v>
      </c>
      <c r="M118" s="5" t="str">
        <f>IF(K118="No","No",IF(_xlfn.XLOOKUP(_xlfn.XLOOKUP(B118,'Base stats'!B:B,'Base stats'!E:E),Groups!A:A,Groups!BC:BC)=1,"No",
MAX(0.01,MROUND(_xlfn.XLOOKUP(B118,'Base stats'!B:B,'Base stats'!BR:BR)/10000,0.01))
))</f>
        <v>No</v>
      </c>
      <c r="N118" s="4" t="str">
        <f>IF(K118="No","No",
MROUND(
  _xlfn.XLOOKUP(B118,'Base stats'!B:B,'Base stats'!AZ:AZ)^0.25
  / (_xlfn.XLOOKUP(B118,'Base stats'!B:B,'Base stats'!BJ:BJ)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stats'!BT:BT),
0.05))</f>
        <v>No</v>
      </c>
      <c r="O118" s="3">
        <f>IF(Animals!AC118="No","No",
MAX(MROUND((MIN(10,_xlfn.XLOOKUP(B118,'Base stats'!B:B,'Base stats'!V:V)*IF(_xlfn.XLOOKUP(_xlfn.XLOOKUP(B118,'Base stats'!B:B,'Base stats'!E:E),Groups!A:A,Groups!O:O)=0,1,0.33))^0.4*_xlfn.XLOOKUP(B118,'Base stats'!B:B,'Base stats'!BG:BG)^0.73)^0.6 *_xlfn.XLOOKUP(B118,'Base stats'!B:B,'Base stats'!BU:BU),0.1),0.05)
)</f>
        <v>1</v>
      </c>
      <c r="P118" s="11">
        <f>IF(O118="No","No",
MAX(0.01,MROUND(_xlfn.XLOOKUP(B118,'Base stats'!B:B,'Base stats'!BG:BG) * 0.01 * 2, 0.01))
)</f>
        <v>0.02</v>
      </c>
      <c r="Q118" s="5">
        <f>IF(O118="No","No",
MAX(0.01,MROUND(_xlfn.XLOOKUP(B118,'Base stats'!B:B,'Base stats'!BS:BS)/10000,0.01))
)</f>
        <v>0.01</v>
      </c>
      <c r="R118" s="4">
        <f>IF(O118="No","No",
MROUND(_xlfn.XLOOKUP(B118,'Base stats'!B:B,'Base stats'!AY:AY)^0.25
/((_xlfn.XLOOKUP(B118,'Base stats'!B:B,'Base stats'!BK:BK))*10)*_xlfn.XLOOKUP(_xlfn.XLOOKUP(B118,'Base stats'!B:B,'Base stats'!E:E),Groups!A:A,Groups!Z:Z)*150 + 0.5 + _xlfn.XLOOKUP(B118,'Base stats'!B:B,'Base stats'!BT:BT),
0.05))</f>
        <v>1.8</v>
      </c>
      <c r="S118" s="3" t="str">
        <f>IF(Animals!AH118="No","No",
IF(_xlfn.XLOOKUP(B118,'Base stats'!B:B,'Base stats'!U:U)="No",
MAX(MROUND(_xlfn.XLOOKUP(B118,'Base stats'!B:B,'Base stats'!BQ:BQ) * _xlfn.XLOOKUP(B118,'Base stats'!B:B,'Base stats'!BM:BM)^0.9 / 21 * _xlfn.XLOOKUP(B118,'Base stats'!B:B,'Base stats'!BU:BU),0.1),0.05),
MAX(MROUND(((MIN(12,_xlfn.XLOOKUP(B118,'Base stats'!B:B,'Base stats'!U:U)))^0.4*_xlfn.XLOOKUP(B118,'Base stats'!B:B,'Base stats'!BE:BE)^0.73)^0.6 * _xlfn.XLOOKUP(B118,'Base stats'!B:B,'Base stats'!BU:BU),0.1),0.05)
))</f>
        <v>No</v>
      </c>
      <c r="T118" s="11" t="str">
        <f>IF(S118="No","No",
MAX(0.01,MROUND(_xlfn.XLOOKUP(B118,'Base stats'!B:B,'Base stats'!BE:BE) * 0.01 * 2, 0.01))
)</f>
        <v>No</v>
      </c>
      <c r="U118" s="5" t="str">
        <f>IF(S118="No","No",IF(_xlfn.XLOOKUP(B118,'Base stats'!B:B,'Base stats'!U:U)="No","No",
MAX(0.01,MROUND(_xlfn.XLOOKUP(B118,'Base stats'!B:B,'Base stats'!BQ:BQ)/10000,0.01))
))</f>
        <v>No</v>
      </c>
      <c r="V118" s="4" t="str">
        <f>IF(S118="No","No",
MROUND(_xlfn.XLOOKUP(B118,'Base stats'!B:B,'Base stats'!BC:BC)^0.25
/((_xlfn.XLOOKUP(B118,'Base stats'!B:B,'Base stats'!BL:BL))*10)*_xlfn.XLOOKUP(_xlfn.XLOOKUP(B118,'Base stats'!B:B,'Base stats'!E:E),Groups!A:A,Groups!AE:AE)*150 + 0.5 + _xlfn.XLOOKUP(B118,'Base stats'!B:B,'Base stats'!BT:BT),
0.05))</f>
        <v>No</v>
      </c>
      <c r="W118" s="8">
        <f>MROUND(_xlfn.XLOOKUP(_xlfn.XLOOKUP(B118,'Base stats'!B:B,'Base stats'!E:E),Groups!A:A,Groups!BF:BF)*_xlfn.XLOOKUP(B118,'Base stats'!B:B,'Base stats'!C:C)^-0.165,0.01)</f>
        <v>0.48</v>
      </c>
      <c r="X118" s="1">
        <f>MROUND(_xlfn.XLOOKUP(_xlfn.XLOOKUP(B118,'Base stats'!B:B,'Base stats'!E:E),Groups!A:A,Groups!BG:BG)*_xlfn.XLOOKUP(B118,'Base stats'!B:B,'Base stats'!C:C)^0.165,0.01)</f>
        <v>0</v>
      </c>
      <c r="Y118" s="8">
        <f>MROUND(_xlfn.XLOOKUP(_xlfn.XLOOKUP(B118,'Base stats'!B:B,'Base stats'!E:E),Groups!A:A,Groups!BH:BH)*_xlfn.XLOOKUP(B118,'Base stats'!B:B,'Base stats'!C:C)^0.165,0.01)</f>
        <v>0</v>
      </c>
      <c r="Z118" s="18">
        <f>_xlfn.XLOOKUP(B118,'Base stats'!B:B,'Base stats'!AN:AN)*_xlfn.XLOOKUP(_xlfn.XLOOKUP(B118,'Base stats'!B:B,'Base stats'!E:E),Groups!A:A,Groups!H:H)/1000</f>
        <v>1.3249007925125319E-2</v>
      </c>
      <c r="AA118" s="18">
        <f>(1/2)*(_xlfn.XLOOKUP(_xlfn.XLOOKUP(B118,'Base stats'!B:B,'Base stats'!E:E),Groups!A:A,Groups!H:H)*_xlfn.XLOOKUP(_xlfn.XLOOKUP(B118,'Base stats'!B:B,'Base stats'!E:E),Groups!A:A,Groups!I:I))*_xlfn.XLOOKUP(B118,'Base stats'!B:B,'Base stats'!AN:AN)*0.01</f>
        <v>7.286954358818927E-2</v>
      </c>
      <c r="AB118" s="18">
        <f>250*(Animals!AN118+Animals!AO118)</f>
        <v>75.000000000000014</v>
      </c>
      <c r="AC118" s="18" t="str">
        <f>_xlfn.XLOOKUP(_xlfn.XLOOKUP(B118,'Base stats'!B:B,'Base stats'!E:E),Groups!A:A,Groups!BI:BI)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stats'!BP:BP) * (_xlfn.XLOOKUP(B119,'Base stats'!B:B,'Base stats'!AL:AL)*5%)^0.9 / 21,0.1),0.05)</f>
        <v>0.60000000000000009</v>
      </c>
      <c r="E119" s="11">
        <f>MAX(0.01,MROUND(_xlfn.XLOOKUP(B119,'Base stats'!B:B,'Base stats'!BD:BD) * 0.01 * 2, 0.01))</f>
        <v>0.41000000000000003</v>
      </c>
      <c r="F119" s="7">
        <f>MROUND(_xlfn.XLOOKUP(B119,'Base stats'!B:B,'Base stats'!BA:BA)^0.25 / (_xlfn.XLOOKUP(B119,'Base stats'!B:B,'Base stats'!BH:BH) * 10) * 150 + 0.5 + _xlfn.XLOOKUP(B119,'Base stats'!B:B,'Base stats'!BT:BT), 0.05)</f>
        <v>1.55</v>
      </c>
      <c r="G119" s="3" t="str">
        <f>IF(Animals!R119="No","No",
IF(_xlfn.XLOOKUP(B119,'Base stats'!B:B,'Base stats'!U:U)="No",
MAX(MROUND(_xlfn.XLOOKUP(B119,'Base stats'!B:B,'Base stats'!BQ:BQ) * _xlfn.XLOOKUP(B119,'Base stats'!B:B,'Base stats'!BM:BM)^0.9 / 21 * _xlfn.XLOOKUP(B119,'Base stats'!B:B,'Base stats'!BU:BU),0.1),0.05),
MAX(MROUND(((MIN(10,_xlfn.XLOOKUP(B119,'Base stats'!B:B,'Base stats'!U:U)))^0.4*_xlfn.XLOOKUP(B119,'Base stats'!B:B,'Base stats'!BE:BE)^0.73)^0.6 * _xlfn.XLOOKUP(B119,'Base stats'!B:B,'Base stats'!BU:BU),0.1),0.05)
))</f>
        <v>No</v>
      </c>
      <c r="H119" s="11" t="str">
        <f>IF(G119="No","No",
MAX(0.01,MROUND(_xlfn.XLOOKUP(B119,'Base stats'!B:B,'Base stats'!BE:BE) * 0.01 * 2, 0.01))
)</f>
        <v>No</v>
      </c>
      <c r="I119" s="11" t="str">
        <f>IF(G119="No","No",IF(_xlfn.XLOOKUP(B119,'Base stats'!B:B,'Base stats'!U:U)="No","No",
MAX(0.01,MROUND(_xlfn.XLOOKUP(B119,'Base stats'!B:B,'Base stats'!BQ:BQ)/10000,0.01))
))</f>
        <v>No</v>
      </c>
      <c r="J119" s="4" t="str">
        <f>IF(G119="No","No",
MROUND(_xlfn.XLOOKUP(B119,'Base stats'!B:B,'Base stats'!BB:BB)^0.25
/((_xlfn.XLOOKUP(B119,'Base stats'!B:B,'Base stats'!BI:BI))*10)*_xlfn.XLOOKUP(_xlfn.XLOOKUP(B119,'Base stats'!B:B,'Base stats'!E:E),Groups!A:A,Groups!Q:Q)*150 + 0.5 + _xlfn.XLOOKUP(B119,'Base stats'!B:B,'Base stats'!BT:BT),
0.05))</f>
        <v>No</v>
      </c>
      <c r="K119" s="3" t="str">
        <f>IF(Animals!W119="No","No",
IF(_xlfn.XLOOKUP(_xlfn.XLOOKUP(B119,'Base stats'!B:B,'Base stats'!E:E),Groups!A:A,Groups!BC:BC)=1,
MAX(MROUND(_xlfn.XLOOKUP(B119,'Base stats'!B:B,'Base stats'!BR:BR) * _xlfn.XLOOKUP(B119,'Base stats'!B:B,'Base stats'!BN:BN)^0.9 / 21 *_xlfn.XLOOKUP(B119,'Base stats'!B:B,'Base stats'!BU:BU),0.1),0.05),
MAX(MROUND(((MIN(10,_xlfn.XLOOKUP(B119,'Base stats'!B:B,'Base stats'!W:W)))^0.4*_xlfn.XLOOKUP(B119,'Base stats'!B:B,'Base stats'!BF:BF)^0.73)^0.6 *_xlfn.XLOOKUP(B119,'Base stats'!B:B,'Base stats'!BU:BU),0.1),0.05)
))</f>
        <v>No</v>
      </c>
      <c r="L119" s="11" t="str">
        <f>IF(K119="No","No",
MAX(0.01,MROUND(_xlfn.XLOOKUP(B119,'Base stats'!B:B,'Base stats'!BF:BF) * 0.01 *2, 0.01))
)</f>
        <v>No</v>
      </c>
      <c r="M119" s="5" t="str">
        <f>IF(K119="No","No",IF(_xlfn.XLOOKUP(_xlfn.XLOOKUP(B119,'Base stats'!B:B,'Base stats'!E:E),Groups!A:A,Groups!BC:BC)=1,"No",
MAX(0.01,MROUND(_xlfn.XLOOKUP(B119,'Base stats'!B:B,'Base stats'!BR:BR)/10000,0.01))
))</f>
        <v>No</v>
      </c>
      <c r="N119" s="4" t="str">
        <f>IF(K119="No","No",
MROUND(
  _xlfn.XLOOKUP(B119,'Base stats'!B:B,'Base stats'!AZ:AZ)^0.25
  / (_xlfn.XLOOKUP(B119,'Base stats'!B:B,'Base stats'!BJ:BJ)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stats'!BT:BT),
0.05))</f>
        <v>No</v>
      </c>
      <c r="O119" s="3">
        <f>IF(Animals!AC119="No","No",
MAX(MROUND((MIN(10,_xlfn.XLOOKUP(B119,'Base stats'!B:B,'Base stats'!V:V)*IF(_xlfn.XLOOKUP(_xlfn.XLOOKUP(B119,'Base stats'!B:B,'Base stats'!E:E),Groups!A:A,Groups!O:O)=0,1,0.33))^0.4*_xlfn.XLOOKUP(B119,'Base stats'!B:B,'Base stats'!BG:BG)^0.73)^0.6 *_xlfn.XLOOKUP(B119,'Base stats'!B:B,'Base stats'!BU:BU),0.1),0.05)
)</f>
        <v>7</v>
      </c>
      <c r="P119" s="11">
        <f>IF(O119="No","No",
MAX(0.01,MROUND(_xlfn.XLOOKUP(B119,'Base stats'!B:B,'Base stats'!BG:BG) * 0.01 * 2, 0.01))
)</f>
        <v>1.08</v>
      </c>
      <c r="Q119" s="5">
        <f>IF(O119="No","No",
MAX(0.01,MROUND(_xlfn.XLOOKUP(B119,'Base stats'!B:B,'Base stats'!BS:BS)/10000,0.01))
)</f>
        <v>0.13</v>
      </c>
      <c r="R119" s="4">
        <f>IF(O119="No","No",
MROUND(_xlfn.XLOOKUP(B119,'Base stats'!B:B,'Base stats'!AY:AY)^0.25
/((_xlfn.XLOOKUP(B119,'Base stats'!B:B,'Base stats'!BK:BK))*10)*_xlfn.XLOOKUP(_xlfn.XLOOKUP(B119,'Base stats'!B:B,'Base stats'!E:E),Groups!A:A,Groups!Z:Z)*150 + 0.5 + _xlfn.XLOOKUP(B119,'Base stats'!B:B,'Base stats'!BT:BT),
0.05))</f>
        <v>1.9000000000000001</v>
      </c>
      <c r="S119" s="3" t="str">
        <f>IF(Animals!AH119="No","No",
IF(_xlfn.XLOOKUP(B119,'Base stats'!B:B,'Base stats'!U:U)="No",
MAX(MROUND(_xlfn.XLOOKUP(B119,'Base stats'!B:B,'Base stats'!BQ:BQ) * _xlfn.XLOOKUP(B119,'Base stats'!B:B,'Base stats'!BM:BM)^0.9 / 21 * _xlfn.XLOOKUP(B119,'Base stats'!B:B,'Base stats'!BU:BU),0.1),0.05),
MAX(MROUND(((MIN(12,_xlfn.XLOOKUP(B119,'Base stats'!B:B,'Base stats'!U:U)))^0.4*_xlfn.XLOOKUP(B119,'Base stats'!B:B,'Base stats'!BE:BE)^0.73)^0.6 * _xlfn.XLOOKUP(B119,'Base stats'!B:B,'Base stats'!BU:BU),0.1),0.05)
))</f>
        <v>No</v>
      </c>
      <c r="T119" s="11" t="str">
        <f>IF(S119="No","No",
MAX(0.01,MROUND(_xlfn.XLOOKUP(B119,'Base stats'!B:B,'Base stats'!BE:BE) * 0.01 * 2, 0.01))
)</f>
        <v>No</v>
      </c>
      <c r="U119" s="5" t="str">
        <f>IF(S119="No","No",IF(_xlfn.XLOOKUP(B119,'Base stats'!B:B,'Base stats'!U:U)="No","No",
MAX(0.01,MROUND(_xlfn.XLOOKUP(B119,'Base stats'!B:B,'Base stats'!BQ:BQ)/10000,0.01))
))</f>
        <v>No</v>
      </c>
      <c r="V119" s="4" t="str">
        <f>IF(S119="No","No",
MROUND(_xlfn.XLOOKUP(B119,'Base stats'!B:B,'Base stats'!BC:BC)^0.25
/((_xlfn.XLOOKUP(B119,'Base stats'!B:B,'Base stats'!BL:BL))*10)*_xlfn.XLOOKUP(_xlfn.XLOOKUP(B119,'Base stats'!B:B,'Base stats'!E:E),Groups!A:A,Groups!AE:AE)*150 + 0.5 + _xlfn.XLOOKUP(B119,'Base stats'!B:B,'Base stats'!BT:BT),
0.05))</f>
        <v>No</v>
      </c>
      <c r="W119" s="8">
        <f>MROUND(_xlfn.XLOOKUP(_xlfn.XLOOKUP(B119,'Base stats'!B:B,'Base stats'!E:E),Groups!A:A,Groups!BF:BF)*_xlfn.XLOOKUP(B119,'Base stats'!B:B,'Base stats'!C:C)^-0.165,0.01)</f>
        <v>0.65</v>
      </c>
      <c r="X119" s="1">
        <f>MROUND(_xlfn.XLOOKUP(_xlfn.XLOOKUP(B119,'Base stats'!B:B,'Base stats'!E:E),Groups!A:A,Groups!BG:BG)*_xlfn.XLOOKUP(B119,'Base stats'!B:B,'Base stats'!C:C)^0.165,0.01)</f>
        <v>0.31</v>
      </c>
      <c r="Y119" s="8">
        <f>MROUND(_xlfn.XLOOKUP(_xlfn.XLOOKUP(B119,'Base stats'!B:B,'Base stats'!E:E),Groups!A:A,Groups!BH:BH)*_xlfn.XLOOKUP(B119,'Base stats'!B:B,'Base stats'!C:C)^0.165,0.01)</f>
        <v>0.04</v>
      </c>
      <c r="Z119" s="18">
        <f>_xlfn.XLOOKUP(B119,'Base stats'!B:B,'Base stats'!AN:AN)*_xlfn.XLOOKUP(_xlfn.XLOOKUP(B119,'Base stats'!B:B,'Base stats'!E:E),Groups!A:A,Groups!H:H)/1000</f>
        <v>5.5019974670075016E-2</v>
      </c>
      <c r="AA119" s="18">
        <f>(1/2)*(_xlfn.XLOOKUP(_xlfn.XLOOKUP(B119,'Base stats'!B:B,'Base stats'!E:E),Groups!A:A,Groups!H:H)*_xlfn.XLOOKUP(_xlfn.XLOOKUP(B119,'Base stats'!B:B,'Base stats'!E:E),Groups!A:A,Groups!I:I))*_xlfn.XLOOKUP(B119,'Base stats'!B:B,'Base stats'!AN:AN)*0.01</f>
        <v>0.41264981002556267</v>
      </c>
      <c r="AB119" s="18">
        <f>250*(Animals!AN119+Animals!AO119)</f>
        <v>275</v>
      </c>
      <c r="AC119" s="18" t="str">
        <f>_xlfn.XLOOKUP(_xlfn.XLOOKUP(B119,'Base stats'!B:B,'Base stats'!E:E),Groups!A:A,Groups!BI:BI)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stats'!BP:BP) * (_xlfn.XLOOKUP(B120,'Base stats'!B:B,'Base stats'!AL:AL)*5%)^0.9 / 21,0.1),0.05)</f>
        <v>4.4000000000000004</v>
      </c>
      <c r="E120" s="11">
        <f>MAX(0.01,MROUND(_xlfn.XLOOKUP(B120,'Base stats'!B:B,'Base stats'!BD:BD) * 0.01 * 2, 0.01))</f>
        <v>3.83</v>
      </c>
      <c r="F120" s="7">
        <f>MROUND(_xlfn.XLOOKUP(B120,'Base stats'!B:B,'Base stats'!BA:BA)^0.25 / (_xlfn.XLOOKUP(B120,'Base stats'!B:B,'Base stats'!BH:BH) * 10) * 150 + 0.5 + _xlfn.XLOOKUP(B120,'Base stats'!B:B,'Base stats'!BT:BT), 0.05)</f>
        <v>2.1</v>
      </c>
      <c r="G120" s="3" t="str">
        <f>IF(Animals!R120="No","No",
IF(_xlfn.XLOOKUP(B120,'Base stats'!B:B,'Base stats'!U:U)="No",
MAX(MROUND(_xlfn.XLOOKUP(B120,'Base stats'!B:B,'Base stats'!BQ:BQ) * _xlfn.XLOOKUP(B120,'Base stats'!B:B,'Base stats'!BM:BM)^0.9 / 21 * _xlfn.XLOOKUP(B120,'Base stats'!B:B,'Base stats'!BU:BU),0.1),0.05),
MAX(MROUND(((MIN(10,_xlfn.XLOOKUP(B120,'Base stats'!B:B,'Base stats'!U:U)))^0.4*_xlfn.XLOOKUP(B120,'Base stats'!B:B,'Base stats'!BE:BE)^0.73)^0.6 * _xlfn.XLOOKUP(B120,'Base stats'!B:B,'Base stats'!BU:BU),0.1),0.05)
))</f>
        <v>No</v>
      </c>
      <c r="H120" s="11" t="str">
        <f>IF(G120="No","No",
MAX(0.01,MROUND(_xlfn.XLOOKUP(B120,'Base stats'!B:B,'Base stats'!BE:BE) * 0.01 * 2, 0.01))
)</f>
        <v>No</v>
      </c>
      <c r="I120" s="11" t="str">
        <f>IF(G120="No","No",IF(_xlfn.XLOOKUP(B120,'Base stats'!B:B,'Base stats'!U:U)="No","No",
MAX(0.01,MROUND(_xlfn.XLOOKUP(B120,'Base stats'!B:B,'Base stats'!BQ:BQ)/10000,0.01))
))</f>
        <v>No</v>
      </c>
      <c r="J120" s="4" t="str">
        <f>IF(G120="No","No",
MROUND(_xlfn.XLOOKUP(B120,'Base stats'!B:B,'Base stats'!BB:BB)^0.25
/((_xlfn.XLOOKUP(B120,'Base stats'!B:B,'Base stats'!BI:BI))*10)*_xlfn.XLOOKUP(_xlfn.XLOOKUP(B120,'Base stats'!B:B,'Base stats'!E:E),Groups!A:A,Groups!Q:Q)*150 + 0.5 + _xlfn.XLOOKUP(B120,'Base stats'!B:B,'Base stats'!BT:BT),
0.05))</f>
        <v>No</v>
      </c>
      <c r="K120" s="3" t="str">
        <f>IF(Animals!W120="No","No",
IF(_xlfn.XLOOKUP(_xlfn.XLOOKUP(B120,'Base stats'!B:B,'Base stats'!E:E),Groups!A:A,Groups!BC:BC)=1,
MAX(MROUND(_xlfn.XLOOKUP(B120,'Base stats'!B:B,'Base stats'!BR:BR) * _xlfn.XLOOKUP(B120,'Base stats'!B:B,'Base stats'!BN:BN)^0.9 / 21 *_xlfn.XLOOKUP(B120,'Base stats'!B:B,'Base stats'!BU:BU),0.1),0.05),
MAX(MROUND(((MIN(10,_xlfn.XLOOKUP(B120,'Base stats'!B:B,'Base stats'!W:W)))^0.4*_xlfn.XLOOKUP(B120,'Base stats'!B:B,'Base stats'!BF:BF)^0.73)^0.6 *_xlfn.XLOOKUP(B120,'Base stats'!B:B,'Base stats'!BU:BU),0.1),0.05)
))</f>
        <v>No</v>
      </c>
      <c r="L120" s="11" t="str">
        <f>IF(K120="No","No",
MAX(0.01,MROUND(_xlfn.XLOOKUP(B120,'Base stats'!B:B,'Base stats'!BF:BF) * 0.01 *2, 0.01))
)</f>
        <v>No</v>
      </c>
      <c r="M120" s="5" t="str">
        <f>IF(K120="No","No",IF(_xlfn.XLOOKUP(_xlfn.XLOOKUP(B120,'Base stats'!B:B,'Base stats'!E:E),Groups!A:A,Groups!BC:BC)=1,"No",
MAX(0.01,MROUND(_xlfn.XLOOKUP(B120,'Base stats'!B:B,'Base stats'!BR:BR)/10000,0.01))
))</f>
        <v>No</v>
      </c>
      <c r="N120" s="4" t="str">
        <f>IF(K120="No","No",
MROUND(
  _xlfn.XLOOKUP(B120,'Base stats'!B:B,'Base stats'!AZ:AZ)^0.25
  / (_xlfn.XLOOKUP(B120,'Base stats'!B:B,'Base stats'!BJ:BJ)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stats'!BT:BT),
0.05))</f>
        <v>No</v>
      </c>
      <c r="O120" s="3">
        <f>IF(Animals!AC120="No","No",
MAX(MROUND((MIN(10,_xlfn.XLOOKUP(B120,'Base stats'!B:B,'Base stats'!V:V)*IF(_xlfn.XLOOKUP(_xlfn.XLOOKUP(B120,'Base stats'!B:B,'Base stats'!E:E),Groups!A:A,Groups!O:O)=0,1,0.33))^0.4*_xlfn.XLOOKUP(B120,'Base stats'!B:B,'Base stats'!BG:BG)^0.73)^0.6 *_xlfn.XLOOKUP(B120,'Base stats'!B:B,'Base stats'!BU:BU),0.1),0.05)
)</f>
        <v>14.4</v>
      </c>
      <c r="P120" s="11">
        <f>IF(O120="No","No",
MAX(0.01,MROUND(_xlfn.XLOOKUP(B120,'Base stats'!B:B,'Base stats'!BG:BG) * 0.01 * 2, 0.01))
)</f>
        <v>4.72</v>
      </c>
      <c r="Q120" s="5">
        <f>IF(O120="No","No",
MAX(0.01,MROUND(_xlfn.XLOOKUP(B120,'Base stats'!B:B,'Base stats'!BS:BS)/10000,0.01))
)</f>
        <v>0.21</v>
      </c>
      <c r="R120" s="4">
        <f>IF(O120="No","No",
MROUND(_xlfn.XLOOKUP(B120,'Base stats'!B:B,'Base stats'!AY:AY)^0.25
/((_xlfn.XLOOKUP(B120,'Base stats'!B:B,'Base stats'!BK:BK))*10)*_xlfn.XLOOKUP(_xlfn.XLOOKUP(B120,'Base stats'!B:B,'Base stats'!E:E),Groups!A:A,Groups!Z:Z)*150 + 0.5 + _xlfn.XLOOKUP(B120,'Base stats'!B:B,'Base stats'!BT:BT),
0.05))</f>
        <v>2.3000000000000003</v>
      </c>
      <c r="S120" s="3">
        <f>IF(Animals!AH120="No","No",
IF(_xlfn.XLOOKUP(B120,'Base stats'!B:B,'Base stats'!U:U)="No",
MAX(MROUND(_xlfn.XLOOKUP(B120,'Base stats'!B:B,'Base stats'!BQ:BQ) * _xlfn.XLOOKUP(B120,'Base stats'!B:B,'Base stats'!BM:BM)^0.9 / 21 * _xlfn.XLOOKUP(B120,'Base stats'!B:B,'Base stats'!BU:BU),0.1),0.05),
MAX(MROUND(((MIN(12,_xlfn.XLOOKUP(B120,'Base stats'!B:B,'Base stats'!U:U)))^0.4*_xlfn.XLOOKUP(B120,'Base stats'!B:B,'Base stats'!BE:BE)^0.73)^0.6 * _xlfn.XLOOKUP(B120,'Base stats'!B:B,'Base stats'!BU:BU),0.1),0.05)
))</f>
        <v>15.700000000000001</v>
      </c>
      <c r="T120" s="11">
        <f>IF(S120="No","No",
MAX(0.01,MROUND(_xlfn.XLOOKUP(B120,'Base stats'!B:B,'Base stats'!BE:BE) * 0.01 * 2, 0.01))
)</f>
        <v>4.71</v>
      </c>
      <c r="U120" s="5">
        <f>IF(S120="No","No",IF(_xlfn.XLOOKUP(B120,'Base stats'!B:B,'Base stats'!U:U)="No","No",
MAX(0.01,MROUND(_xlfn.XLOOKUP(B120,'Base stats'!B:B,'Base stats'!BQ:BQ)/10000,0.01))
))</f>
        <v>0.21</v>
      </c>
      <c r="V120" s="4">
        <f>IF(S120="No","No",
MROUND(_xlfn.XLOOKUP(B120,'Base stats'!B:B,'Base stats'!BC:BC)^0.25
/((_xlfn.XLOOKUP(B120,'Base stats'!B:B,'Base stats'!BL:BL))*10)*_xlfn.XLOOKUP(_xlfn.XLOOKUP(B120,'Base stats'!B:B,'Base stats'!E:E),Groups!A:A,Groups!AE:AE)*150 + 0.5 + _xlfn.XLOOKUP(B120,'Base stats'!B:B,'Base stats'!BT:BT),
0.05))</f>
        <v>1.4500000000000002</v>
      </c>
      <c r="W120" s="8">
        <f>MROUND(_xlfn.XLOOKUP(_xlfn.XLOOKUP(B120,'Base stats'!B:B,'Base stats'!E:E),Groups!A:A,Groups!BF:BF)*_xlfn.XLOOKUP(B120,'Base stats'!B:B,'Base stats'!C:C)^-0.165,0.01)</f>
        <v>0.3</v>
      </c>
      <c r="X120" s="1">
        <f>MROUND(_xlfn.XLOOKUP(_xlfn.XLOOKUP(B120,'Base stats'!B:B,'Base stats'!E:E),Groups!A:A,Groups!BG:BG)*_xlfn.XLOOKUP(B120,'Base stats'!B:B,'Base stats'!C:C)^0.165,0.01)</f>
        <v>0.34</v>
      </c>
      <c r="Y120" s="8">
        <f>MROUND(_xlfn.XLOOKUP(_xlfn.XLOOKUP(B120,'Base stats'!B:B,'Base stats'!E:E),Groups!A:A,Groups!BH:BH)*_xlfn.XLOOKUP(B120,'Base stats'!B:B,'Base stats'!C:C)^0.165,0.01)</f>
        <v>0.06</v>
      </c>
      <c r="Z120" s="18">
        <f>_xlfn.XLOOKUP(B120,'Base stats'!B:B,'Base stats'!AN:AN)*_xlfn.XLOOKUP(_xlfn.XLOOKUP(B120,'Base stats'!B:B,'Base stats'!E:E),Groups!A:A,Groups!H:H)/1000</f>
        <v>0.12990433354495165</v>
      </c>
      <c r="AA120" s="18">
        <f>(1/2)*(_xlfn.XLOOKUP(_xlfn.XLOOKUP(B120,'Base stats'!B:B,'Base stats'!E:E),Groups!A:A,Groups!H:H)*_xlfn.XLOOKUP(_xlfn.XLOOKUP(B120,'Base stats'!B:B,'Base stats'!E:E),Groups!A:A,Groups!I:I))*_xlfn.XLOOKUP(B120,'Base stats'!B:B,'Base stats'!AN:AN)*0.01</f>
        <v>0.97428250158713758</v>
      </c>
      <c r="AB120" s="18">
        <f>250*(Animals!AN120+Animals!AO120)</f>
        <v>875</v>
      </c>
      <c r="AC120" s="18" t="str">
        <f>_xlfn.XLOOKUP(_xlfn.XLOOKUP(B120,'Base stats'!B:B,'Base stats'!E:E),Groups!A:A,Groups!BI:BI)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stats'!BP:BP) * (_xlfn.XLOOKUP(B121,'Base stats'!B:B,'Base stats'!AL:AL)*5%)^0.9 / 21,0.1),0.05)</f>
        <v>2.1</v>
      </c>
      <c r="E121" s="11">
        <f>MAX(0.01,MROUND(_xlfn.XLOOKUP(B121,'Base stats'!B:B,'Base stats'!BD:BD) * 0.01 * 2, 0.01))</f>
        <v>1.7</v>
      </c>
      <c r="F121" s="7">
        <f>MROUND(_xlfn.XLOOKUP(B121,'Base stats'!B:B,'Base stats'!BA:BA)^0.25 / (_xlfn.XLOOKUP(B121,'Base stats'!B:B,'Base stats'!BH:BH) * 10) * 150 + 0.5 + _xlfn.XLOOKUP(B121,'Base stats'!B:B,'Base stats'!BT:BT), 0.05)</f>
        <v>1.9500000000000002</v>
      </c>
      <c r="G121" s="3" t="str">
        <f>IF(Animals!R121="No","No",
IF(_xlfn.XLOOKUP(B121,'Base stats'!B:B,'Base stats'!U:U)="No",
MAX(MROUND(_xlfn.XLOOKUP(B121,'Base stats'!B:B,'Base stats'!BQ:BQ) * _xlfn.XLOOKUP(B121,'Base stats'!B:B,'Base stats'!BM:BM)^0.9 / 21 * _xlfn.XLOOKUP(B121,'Base stats'!B:B,'Base stats'!BU:BU),0.1),0.05),
MAX(MROUND(((MIN(10,_xlfn.XLOOKUP(B121,'Base stats'!B:B,'Base stats'!U:U)))^0.4*_xlfn.XLOOKUP(B121,'Base stats'!B:B,'Base stats'!BE:BE)^0.73)^0.6 * _xlfn.XLOOKUP(B121,'Base stats'!B:B,'Base stats'!BU:BU),0.1),0.05)
))</f>
        <v>No</v>
      </c>
      <c r="H121" s="11" t="str">
        <f>IF(G121="No","No",
MAX(0.01,MROUND(_xlfn.XLOOKUP(B121,'Base stats'!B:B,'Base stats'!BE:BE) * 0.01 * 2, 0.01))
)</f>
        <v>No</v>
      </c>
      <c r="I121" s="11" t="str">
        <f>IF(G121="No","No",IF(_xlfn.XLOOKUP(B121,'Base stats'!B:B,'Base stats'!U:U)="No","No",
MAX(0.01,MROUND(_xlfn.XLOOKUP(B121,'Base stats'!B:B,'Base stats'!BQ:BQ)/10000,0.01))
))</f>
        <v>No</v>
      </c>
      <c r="J121" s="4" t="str">
        <f>IF(G121="No","No",
MROUND(_xlfn.XLOOKUP(B121,'Base stats'!B:B,'Base stats'!BB:BB)^0.25
/((_xlfn.XLOOKUP(B121,'Base stats'!B:B,'Base stats'!BI:BI))*10)*_xlfn.XLOOKUP(_xlfn.XLOOKUP(B121,'Base stats'!B:B,'Base stats'!E:E),Groups!A:A,Groups!Q:Q)*150 + 0.5 + _xlfn.XLOOKUP(B121,'Base stats'!B:B,'Base stats'!BT:BT),
0.05))</f>
        <v>No</v>
      </c>
      <c r="K121" s="3" t="str">
        <f>IF(Animals!W121="No","No",
IF(_xlfn.XLOOKUP(_xlfn.XLOOKUP(B121,'Base stats'!B:B,'Base stats'!E:E),Groups!A:A,Groups!BC:BC)=1,
MAX(MROUND(_xlfn.XLOOKUP(B121,'Base stats'!B:B,'Base stats'!BR:BR) * _xlfn.XLOOKUP(B121,'Base stats'!B:B,'Base stats'!BN:BN)^0.9 / 21 *_xlfn.XLOOKUP(B121,'Base stats'!B:B,'Base stats'!BU:BU),0.1),0.05),
MAX(MROUND(((MIN(10,_xlfn.XLOOKUP(B121,'Base stats'!B:B,'Base stats'!W:W)))^0.4*_xlfn.XLOOKUP(B121,'Base stats'!B:B,'Base stats'!BF:BF)^0.73)^0.6 *_xlfn.XLOOKUP(B121,'Base stats'!B:B,'Base stats'!BU:BU),0.1),0.05)
))</f>
        <v>No</v>
      </c>
      <c r="L121" s="11" t="str">
        <f>IF(K121="No","No",
MAX(0.01,MROUND(_xlfn.XLOOKUP(B121,'Base stats'!B:B,'Base stats'!BF:BF) * 0.01 *2, 0.01))
)</f>
        <v>No</v>
      </c>
      <c r="M121" s="5" t="str">
        <f>IF(K121="No","No",IF(_xlfn.XLOOKUP(_xlfn.XLOOKUP(B121,'Base stats'!B:B,'Base stats'!E:E),Groups!A:A,Groups!BC:BC)=1,"No",
MAX(0.01,MROUND(_xlfn.XLOOKUP(B121,'Base stats'!B:B,'Base stats'!BR:BR)/10000,0.01))
))</f>
        <v>No</v>
      </c>
      <c r="N121" s="4" t="str">
        <f>IF(K121="No","No",
MROUND(
  _xlfn.XLOOKUP(B121,'Base stats'!B:B,'Base stats'!AZ:AZ)^0.25
  / (_xlfn.XLOOKUP(B121,'Base stats'!B:B,'Base stats'!BJ:BJ)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stats'!BT:BT),
0.05))</f>
        <v>No</v>
      </c>
      <c r="O121" s="3">
        <f>IF(Animals!AC121="No","No",
MAX(MROUND((MIN(10,_xlfn.XLOOKUP(B121,'Base stats'!B:B,'Base stats'!V:V)*IF(_xlfn.XLOOKUP(_xlfn.XLOOKUP(B121,'Base stats'!B:B,'Base stats'!E:E),Groups!A:A,Groups!O:O)=0,1,0.33))^0.4*_xlfn.XLOOKUP(B121,'Base stats'!B:B,'Base stats'!BG:BG)^0.73)^0.6 *_xlfn.XLOOKUP(B121,'Base stats'!B:B,'Base stats'!BU:BU),0.1),0.05)
)</f>
        <v>18.3</v>
      </c>
      <c r="P121" s="11">
        <f>IF(O121="No","No",
MAX(0.01,MROUND(_xlfn.XLOOKUP(B121,'Base stats'!B:B,'Base stats'!BG:BG) * 0.01 * 2, 0.01))
)</f>
        <v>8.4700000000000006</v>
      </c>
      <c r="Q121" s="5">
        <f>IF(O121="No","No",
MAX(0.01,MROUND(_xlfn.XLOOKUP(B121,'Base stats'!B:B,'Base stats'!BS:BS)/10000,0.01))
)</f>
        <v>0.53</v>
      </c>
      <c r="R121" s="4">
        <f>IF(O121="No","No",
MROUND(_xlfn.XLOOKUP(B121,'Base stats'!B:B,'Base stats'!AY:AY)^0.25
/((_xlfn.XLOOKUP(B121,'Base stats'!B:B,'Base stats'!BK:BK))*10)*_xlfn.XLOOKUP(_xlfn.XLOOKUP(B121,'Base stats'!B:B,'Base stats'!E:E),Groups!A:A,Groups!Z:Z)*150 + 0.5 + _xlfn.XLOOKUP(B121,'Base stats'!B:B,'Base stats'!BT:BT),
0.05))</f>
        <v>2.25</v>
      </c>
      <c r="S121" s="3" t="str">
        <f>IF(Animals!AH121="No","No",
IF(_xlfn.XLOOKUP(B121,'Base stats'!B:B,'Base stats'!U:U)="No",
MAX(MROUND(_xlfn.XLOOKUP(B121,'Base stats'!B:B,'Base stats'!BQ:BQ) * _xlfn.XLOOKUP(B121,'Base stats'!B:B,'Base stats'!BM:BM)^0.9 / 21 * _xlfn.XLOOKUP(B121,'Base stats'!B:B,'Base stats'!BU:BU),0.1),0.05),
MAX(MROUND(((MIN(12,_xlfn.XLOOKUP(B121,'Base stats'!B:B,'Base stats'!U:U)))^0.4*_xlfn.XLOOKUP(B121,'Base stats'!B:B,'Base stats'!BE:BE)^0.73)^0.6 * _xlfn.XLOOKUP(B121,'Base stats'!B:B,'Base stats'!BU:BU),0.1),0.05)
))</f>
        <v>No</v>
      </c>
      <c r="T121" s="11" t="str">
        <f>IF(S121="No","No",
MAX(0.01,MROUND(_xlfn.XLOOKUP(B121,'Base stats'!B:B,'Base stats'!BE:BE) * 0.01 * 2, 0.01))
)</f>
        <v>No</v>
      </c>
      <c r="U121" s="5" t="str">
        <f>IF(S121="No","No",IF(_xlfn.XLOOKUP(B121,'Base stats'!B:B,'Base stats'!U:U)="No","No",
MAX(0.01,MROUND(_xlfn.XLOOKUP(B121,'Base stats'!B:B,'Base stats'!BQ:BQ)/10000,0.01))
))</f>
        <v>No</v>
      </c>
      <c r="V121" s="4" t="str">
        <f>IF(S121="No","No",
MROUND(_xlfn.XLOOKUP(B121,'Base stats'!B:B,'Base stats'!BC:BC)^0.25
/((_xlfn.XLOOKUP(B121,'Base stats'!B:B,'Base stats'!BL:BL))*10)*_xlfn.XLOOKUP(_xlfn.XLOOKUP(B121,'Base stats'!B:B,'Base stats'!E:E),Groups!A:A,Groups!AE:AE)*150 + 0.5 + _xlfn.XLOOKUP(B121,'Base stats'!B:B,'Base stats'!BT:BT),
0.05))</f>
        <v>No</v>
      </c>
      <c r="W121" s="8">
        <f>MROUND(_xlfn.XLOOKUP(_xlfn.XLOOKUP(B121,'Base stats'!B:B,'Base stats'!E:E),Groups!A:A,Groups!BF:BF)*_xlfn.XLOOKUP(B121,'Base stats'!B:B,'Base stats'!C:C)^-0.165,0.01)</f>
        <v>0.5</v>
      </c>
      <c r="X121" s="1">
        <f>MROUND(_xlfn.XLOOKUP(_xlfn.XLOOKUP(B121,'Base stats'!B:B,'Base stats'!E:E),Groups!A:A,Groups!BG:BG)*_xlfn.XLOOKUP(B121,'Base stats'!B:B,'Base stats'!C:C)^0.165,0.01)</f>
        <v>0.4</v>
      </c>
      <c r="Y121" s="8">
        <f>MROUND(_xlfn.XLOOKUP(_xlfn.XLOOKUP(B121,'Base stats'!B:B,'Base stats'!E:E),Groups!A:A,Groups!BH:BH)*_xlfn.XLOOKUP(B121,'Base stats'!B:B,'Base stats'!C:C)^0.165,0.01)</f>
        <v>0.05</v>
      </c>
      <c r="Z121" s="18">
        <f>_xlfn.XLOOKUP(B121,'Base stats'!B:B,'Base stats'!AN:AN)*_xlfn.XLOOKUP(_xlfn.XLOOKUP(B121,'Base stats'!B:B,'Base stats'!E:E),Groups!A:A,Groups!H:H)/1000</f>
        <v>9.4954112676561453E-2</v>
      </c>
      <c r="AA121" s="18">
        <f>(1/2)*(_xlfn.XLOOKUP(_xlfn.XLOOKUP(B121,'Base stats'!B:B,'Base stats'!E:E),Groups!A:A,Groups!H:H)*_xlfn.XLOOKUP(_xlfn.XLOOKUP(B121,'Base stats'!B:B,'Base stats'!E:E),Groups!A:A,Groups!I:I))*_xlfn.XLOOKUP(B121,'Base stats'!B:B,'Base stats'!AN:AN)*0.01</f>
        <v>0.71215584507421081</v>
      </c>
      <c r="AB121" s="18">
        <f>250*(Animals!AN121+Animals!AO121)</f>
        <v>525</v>
      </c>
      <c r="AC121" s="18" t="str">
        <f>_xlfn.XLOOKUP(_xlfn.XLOOKUP(B121,'Base stats'!B:B,'Base stats'!E:E),Groups!A:A,Groups!BI:BI)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stats'!BP:BP) * (_xlfn.XLOOKUP(B122,'Base stats'!B:B,'Base stats'!AL:AL)*5%)^0.9 / 21,0.1),0.05)</f>
        <v>0.70000000000000007</v>
      </c>
      <c r="E122" s="11">
        <f>MAX(0.01,MROUND(_xlfn.XLOOKUP(B122,'Base stats'!B:B,'Base stats'!BD:BD) * 0.01 * 2, 0.01))</f>
        <v>0.6</v>
      </c>
      <c r="F122" s="7">
        <f>MROUND(_xlfn.XLOOKUP(B122,'Base stats'!B:B,'Base stats'!BA:BA)^0.25 / (_xlfn.XLOOKUP(B122,'Base stats'!B:B,'Base stats'!BH:BH) * 10) * 150 + 0.5 + _xlfn.XLOOKUP(B122,'Base stats'!B:B,'Base stats'!BT:BT), 0.05)</f>
        <v>2</v>
      </c>
      <c r="G122" s="3" t="str">
        <f>IF(Animals!R122="No","No",
IF(_xlfn.XLOOKUP(B122,'Base stats'!B:B,'Base stats'!U:U)="No",
MAX(MROUND(_xlfn.XLOOKUP(B122,'Base stats'!B:B,'Base stats'!BQ:BQ) * _xlfn.XLOOKUP(B122,'Base stats'!B:B,'Base stats'!BM:BM)^0.9 / 21 * _xlfn.XLOOKUP(B122,'Base stats'!B:B,'Base stats'!BU:BU),0.1),0.05),
MAX(MROUND(((MIN(10,_xlfn.XLOOKUP(B122,'Base stats'!B:B,'Base stats'!U:U)))^0.4*_xlfn.XLOOKUP(B122,'Base stats'!B:B,'Base stats'!BE:BE)^0.73)^0.6 * _xlfn.XLOOKUP(B122,'Base stats'!B:B,'Base stats'!BU:BU),0.1),0.05)
))</f>
        <v>No</v>
      </c>
      <c r="H122" s="11" t="str">
        <f>IF(G122="No","No",
MAX(0.01,MROUND(_xlfn.XLOOKUP(B122,'Base stats'!B:B,'Base stats'!BE:BE) * 0.01 * 2, 0.01))
)</f>
        <v>No</v>
      </c>
      <c r="I122" s="11" t="str">
        <f>IF(G122="No","No",IF(_xlfn.XLOOKUP(B122,'Base stats'!B:B,'Base stats'!U:U)="No","No",
MAX(0.01,MROUND(_xlfn.XLOOKUP(B122,'Base stats'!B:B,'Base stats'!BQ:BQ)/10000,0.01))
))</f>
        <v>No</v>
      </c>
      <c r="J122" s="4" t="str">
        <f>IF(G122="No","No",
MROUND(_xlfn.XLOOKUP(B122,'Base stats'!B:B,'Base stats'!BB:BB)^0.25
/((_xlfn.XLOOKUP(B122,'Base stats'!B:B,'Base stats'!BI:BI))*10)*_xlfn.XLOOKUP(_xlfn.XLOOKUP(B122,'Base stats'!B:B,'Base stats'!E:E),Groups!A:A,Groups!Q:Q)*150 + 0.5 + _xlfn.XLOOKUP(B122,'Base stats'!B:B,'Base stats'!BT:BT),
0.05))</f>
        <v>No</v>
      </c>
      <c r="K122" s="3" t="str">
        <f>IF(Animals!W122="No","No",
IF(_xlfn.XLOOKUP(_xlfn.XLOOKUP(B122,'Base stats'!B:B,'Base stats'!E:E),Groups!A:A,Groups!BC:BC)=1,
MAX(MROUND(_xlfn.XLOOKUP(B122,'Base stats'!B:B,'Base stats'!BR:BR) * _xlfn.XLOOKUP(B122,'Base stats'!B:B,'Base stats'!BN:BN)^0.9 / 21 *_xlfn.XLOOKUP(B122,'Base stats'!B:B,'Base stats'!BU:BU),0.1),0.05),
MAX(MROUND(((MIN(10,_xlfn.XLOOKUP(B122,'Base stats'!B:B,'Base stats'!W:W)))^0.4*_xlfn.XLOOKUP(B122,'Base stats'!B:B,'Base stats'!BF:BF)^0.73)^0.6 *_xlfn.XLOOKUP(B122,'Base stats'!B:B,'Base stats'!BU:BU),0.1),0.05)
))</f>
        <v>No</v>
      </c>
      <c r="L122" s="11" t="str">
        <f>IF(K122="No","No",
MAX(0.01,MROUND(_xlfn.XLOOKUP(B122,'Base stats'!B:B,'Base stats'!BF:BF) * 0.01 *2, 0.01))
)</f>
        <v>No</v>
      </c>
      <c r="M122" s="5" t="str">
        <f>IF(K122="No","No",IF(_xlfn.XLOOKUP(_xlfn.XLOOKUP(B122,'Base stats'!B:B,'Base stats'!E:E),Groups!A:A,Groups!BC:BC)=1,"No",
MAX(0.01,MROUND(_xlfn.XLOOKUP(B122,'Base stats'!B:B,'Base stats'!BR:BR)/10000,0.01))
))</f>
        <v>No</v>
      </c>
      <c r="N122" s="4" t="str">
        <f>IF(K122="No","No",
MROUND(
  _xlfn.XLOOKUP(B122,'Base stats'!B:B,'Base stats'!AZ:AZ)^0.25
  / (_xlfn.XLOOKUP(B122,'Base stats'!B:B,'Base stats'!BJ:BJ)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stats'!BT:BT),
0.05))</f>
        <v>No</v>
      </c>
      <c r="O122" s="3">
        <f>IF(Animals!AC122="No","No",
MAX(MROUND((MIN(10,_xlfn.XLOOKUP(B122,'Base stats'!B:B,'Base stats'!V:V)*IF(_xlfn.XLOOKUP(_xlfn.XLOOKUP(B122,'Base stats'!B:B,'Base stats'!E:E),Groups!A:A,Groups!O:O)=0,1,0.33))^0.4*_xlfn.XLOOKUP(B122,'Base stats'!B:B,'Base stats'!BG:BG)^0.73)^0.6 *_xlfn.XLOOKUP(B122,'Base stats'!B:B,'Base stats'!BU:BU),0.1),0.05)
)</f>
        <v>6.2</v>
      </c>
      <c r="P122" s="11">
        <f>IF(O122="No","No",
MAX(0.01,MROUND(_xlfn.XLOOKUP(B122,'Base stats'!B:B,'Base stats'!BG:BG) * 0.01 * 2, 0.01))
)</f>
        <v>0.96</v>
      </c>
      <c r="Q122" s="5">
        <f>IF(O122="No","No",
MAX(0.01,MROUND(_xlfn.XLOOKUP(B122,'Base stats'!B:B,'Base stats'!BS:BS)/10000,0.01))
)</f>
        <v>7.0000000000000007E-2</v>
      </c>
      <c r="R122" s="4">
        <f>IF(O122="No","No",
MROUND(_xlfn.XLOOKUP(B122,'Base stats'!B:B,'Base stats'!AY:AY)^0.25
/((_xlfn.XLOOKUP(B122,'Base stats'!B:B,'Base stats'!BK:BK))*10)*_xlfn.XLOOKUP(_xlfn.XLOOKUP(B122,'Base stats'!B:B,'Base stats'!E:E),Groups!A:A,Groups!Z:Z)*150 + 0.5 + _xlfn.XLOOKUP(B122,'Base stats'!B:B,'Base stats'!BT:BT),
0.05))</f>
        <v>2.2000000000000002</v>
      </c>
      <c r="S122" s="3" t="str">
        <f>IF(Animals!AH122="No","No",
IF(_xlfn.XLOOKUP(B122,'Base stats'!B:B,'Base stats'!U:U)="No",
MAX(MROUND(_xlfn.XLOOKUP(B122,'Base stats'!B:B,'Base stats'!BQ:BQ) * _xlfn.XLOOKUP(B122,'Base stats'!B:B,'Base stats'!BM:BM)^0.9 / 21 * _xlfn.XLOOKUP(B122,'Base stats'!B:B,'Base stats'!BU:BU),0.1),0.05),
MAX(MROUND(((MIN(12,_xlfn.XLOOKUP(B122,'Base stats'!B:B,'Base stats'!U:U)))^0.4*_xlfn.XLOOKUP(B122,'Base stats'!B:B,'Base stats'!BE:BE)^0.73)^0.6 * _xlfn.XLOOKUP(B122,'Base stats'!B:B,'Base stats'!BU:BU),0.1),0.05)
))</f>
        <v>No</v>
      </c>
      <c r="T122" s="11" t="str">
        <f>IF(S122="No","No",
MAX(0.01,MROUND(_xlfn.XLOOKUP(B122,'Base stats'!B:B,'Base stats'!BE:BE) * 0.01 * 2, 0.01))
)</f>
        <v>No</v>
      </c>
      <c r="U122" s="5" t="str">
        <f>IF(S122="No","No",IF(_xlfn.XLOOKUP(B122,'Base stats'!B:B,'Base stats'!U:U)="No","No",
MAX(0.01,MROUND(_xlfn.XLOOKUP(B122,'Base stats'!B:B,'Base stats'!BQ:BQ)/10000,0.01))
))</f>
        <v>No</v>
      </c>
      <c r="V122" s="4" t="str">
        <f>IF(S122="No","No",
MROUND(_xlfn.XLOOKUP(B122,'Base stats'!B:B,'Base stats'!BC:BC)^0.25
/((_xlfn.XLOOKUP(B122,'Base stats'!B:B,'Base stats'!BL:BL))*10)*_xlfn.XLOOKUP(_xlfn.XLOOKUP(B122,'Base stats'!B:B,'Base stats'!E:E),Groups!A:A,Groups!AE:AE)*150 + 0.5 + _xlfn.XLOOKUP(B122,'Base stats'!B:B,'Base stats'!BT:BT),
0.05))</f>
        <v>No</v>
      </c>
      <c r="W122" s="8">
        <f>MROUND(_xlfn.XLOOKUP(_xlfn.XLOOKUP(B122,'Base stats'!B:B,'Base stats'!E:E),Groups!A:A,Groups!BF:BF)*_xlfn.XLOOKUP(B122,'Base stats'!B:B,'Base stats'!C:C)^-0.165,0.01)</f>
        <v>0.13</v>
      </c>
      <c r="X122" s="1">
        <f>MROUND(_xlfn.XLOOKUP(_xlfn.XLOOKUP(B122,'Base stats'!B:B,'Base stats'!E:E),Groups!A:A,Groups!BG:BG)*_xlfn.XLOOKUP(B122,'Base stats'!B:B,'Base stats'!C:C)^0.165,0.01)</f>
        <v>0</v>
      </c>
      <c r="Y122" s="8">
        <f>MROUND(_xlfn.XLOOKUP(_xlfn.XLOOKUP(B122,'Base stats'!B:B,'Base stats'!E:E),Groups!A:A,Groups!BH:BH)*_xlfn.XLOOKUP(B122,'Base stats'!B:B,'Base stats'!C:C)^0.165,0.01)</f>
        <v>0</v>
      </c>
      <c r="Z122" s="18">
        <f>_xlfn.XLOOKUP(B122,'Base stats'!B:B,'Base stats'!AN:AN)*_xlfn.XLOOKUP(_xlfn.XLOOKUP(B122,'Base stats'!B:B,'Base stats'!E:E),Groups!A:A,Groups!H:H)/1000</f>
        <v>1.3348620653573813</v>
      </c>
      <c r="AA122" s="18">
        <f>(1/2)*(_xlfn.XLOOKUP(_xlfn.XLOOKUP(B122,'Base stats'!B:B,'Base stats'!E:E),Groups!A:A,Groups!H:H)*_xlfn.XLOOKUP(_xlfn.XLOOKUP(B122,'Base stats'!B:B,'Base stats'!E:E),Groups!A:A,Groups!I:I))*_xlfn.XLOOKUP(B122,'Base stats'!B:B,'Base stats'!AN:AN)*0.01</f>
        <v>2.3478593074272407</v>
      </c>
      <c r="AB122" s="18">
        <f>250*(Animals!AN122+Animals!AO122)</f>
        <v>400</v>
      </c>
      <c r="AC122" s="18" t="str">
        <f>_xlfn.XLOOKUP(_xlfn.XLOOKUP(B122,'Base stats'!B:B,'Base stats'!E:E),Groups!A:A,Groups!BI:BI)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stats'!BP:BP) * (_xlfn.XLOOKUP(B123,'Base stats'!B:B,'Base stats'!AL:AL)*5%)^0.9 / 21,0.1),0.05)</f>
        <v>4.8000000000000007</v>
      </c>
      <c r="E123" s="11">
        <f>MAX(0.01,MROUND(_xlfn.XLOOKUP(B123,'Base stats'!B:B,'Base stats'!BD:BD) * 0.01 * 2, 0.01))</f>
        <v>4.21</v>
      </c>
      <c r="F123" s="7">
        <f>MROUND(_xlfn.XLOOKUP(B123,'Base stats'!B:B,'Base stats'!BA:BA)^0.25 / (_xlfn.XLOOKUP(B123,'Base stats'!B:B,'Base stats'!BH:BH) * 10) * 150 + 0.5 + _xlfn.XLOOKUP(B123,'Base stats'!B:B,'Base stats'!BT:BT), 0.05)</f>
        <v>2.1</v>
      </c>
      <c r="G123" s="3" t="str">
        <f>IF(Animals!R123="No","No",
IF(_xlfn.XLOOKUP(B123,'Base stats'!B:B,'Base stats'!U:U)="No",
MAX(MROUND(_xlfn.XLOOKUP(B123,'Base stats'!B:B,'Base stats'!BQ:BQ) * _xlfn.XLOOKUP(B123,'Base stats'!B:B,'Base stats'!BM:BM)^0.9 / 21 * _xlfn.XLOOKUP(B123,'Base stats'!B:B,'Base stats'!BU:BU),0.1),0.05),
MAX(MROUND(((MIN(10,_xlfn.XLOOKUP(B123,'Base stats'!B:B,'Base stats'!U:U)))^0.4*_xlfn.XLOOKUP(B123,'Base stats'!B:B,'Base stats'!BE:BE)^0.73)^0.6 * _xlfn.XLOOKUP(B123,'Base stats'!B:B,'Base stats'!BU:BU),0.1),0.05)
))</f>
        <v>No</v>
      </c>
      <c r="H123" s="11" t="str">
        <f>IF(G123="No","No",
MAX(0.01,MROUND(_xlfn.XLOOKUP(B123,'Base stats'!B:B,'Base stats'!BE:BE) * 0.01 * 2, 0.01))
)</f>
        <v>No</v>
      </c>
      <c r="I123" s="11" t="str">
        <f>IF(G123="No","No",IF(_xlfn.XLOOKUP(B123,'Base stats'!B:B,'Base stats'!U:U)="No","No",
MAX(0.01,MROUND(_xlfn.XLOOKUP(B123,'Base stats'!B:B,'Base stats'!BQ:BQ)/10000,0.01))
))</f>
        <v>No</v>
      </c>
      <c r="J123" s="4" t="str">
        <f>IF(G123="No","No",
MROUND(_xlfn.XLOOKUP(B123,'Base stats'!B:B,'Base stats'!BB:BB)^0.25
/((_xlfn.XLOOKUP(B123,'Base stats'!B:B,'Base stats'!BI:BI))*10)*_xlfn.XLOOKUP(_xlfn.XLOOKUP(B123,'Base stats'!B:B,'Base stats'!E:E),Groups!A:A,Groups!Q:Q)*150 + 0.5 + _xlfn.XLOOKUP(B123,'Base stats'!B:B,'Base stats'!BT:BT),
0.05))</f>
        <v>No</v>
      </c>
      <c r="K123" s="3" t="str">
        <f>IF(Animals!W123="No","No",
IF(_xlfn.XLOOKUP(_xlfn.XLOOKUP(B123,'Base stats'!B:B,'Base stats'!E:E),Groups!A:A,Groups!BC:BC)=1,
MAX(MROUND(_xlfn.XLOOKUP(B123,'Base stats'!B:B,'Base stats'!BR:BR) * _xlfn.XLOOKUP(B123,'Base stats'!B:B,'Base stats'!BN:BN)^0.9 / 21 *_xlfn.XLOOKUP(B123,'Base stats'!B:B,'Base stats'!BU:BU),0.1),0.05),
MAX(MROUND(((MIN(10,_xlfn.XLOOKUP(B123,'Base stats'!B:B,'Base stats'!W:W)))^0.4*_xlfn.XLOOKUP(B123,'Base stats'!B:B,'Base stats'!BF:BF)^0.73)^0.6 *_xlfn.XLOOKUP(B123,'Base stats'!B:B,'Base stats'!BU:BU),0.1),0.05)
))</f>
        <v>No</v>
      </c>
      <c r="L123" s="11" t="str">
        <f>IF(K123="No","No",
MAX(0.01,MROUND(_xlfn.XLOOKUP(B123,'Base stats'!B:B,'Base stats'!BF:BF) * 0.01 *2, 0.01))
)</f>
        <v>No</v>
      </c>
      <c r="M123" s="5" t="str">
        <f>IF(K123="No","No",IF(_xlfn.XLOOKUP(_xlfn.XLOOKUP(B123,'Base stats'!B:B,'Base stats'!E:E),Groups!A:A,Groups!BC:BC)=1,"No",
MAX(0.01,MROUND(_xlfn.XLOOKUP(B123,'Base stats'!B:B,'Base stats'!BR:BR)/10000,0.01))
))</f>
        <v>No</v>
      </c>
      <c r="N123" s="4" t="str">
        <f>IF(K123="No","No",
MROUND(
  _xlfn.XLOOKUP(B123,'Base stats'!B:B,'Base stats'!AZ:AZ)^0.25
  / (_xlfn.XLOOKUP(B123,'Base stats'!B:B,'Base stats'!BJ:BJ)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stats'!BT:BT),
0.05))</f>
        <v>No</v>
      </c>
      <c r="O123" s="3">
        <f>IF(Animals!AC123="No","No",
MAX(MROUND((MIN(10,_xlfn.XLOOKUP(B123,'Base stats'!B:B,'Base stats'!V:V)*IF(_xlfn.XLOOKUP(_xlfn.XLOOKUP(B123,'Base stats'!B:B,'Base stats'!E:E),Groups!A:A,Groups!O:O)=0,1,0.33))^0.4*_xlfn.XLOOKUP(B123,'Base stats'!B:B,'Base stats'!BG:BG)^0.73)^0.6 *_xlfn.XLOOKUP(B123,'Base stats'!B:B,'Base stats'!BU:BU),0.1),0.05)
)</f>
        <v>23.3</v>
      </c>
      <c r="P123" s="11">
        <f>IF(O123="No","No",
MAX(0.01,MROUND(_xlfn.XLOOKUP(B123,'Base stats'!B:B,'Base stats'!BG:BG) * 0.01 * 2, 0.01))
)</f>
        <v>10.24</v>
      </c>
      <c r="Q123" s="5">
        <f>IF(O123="No","No",
MAX(0.01,MROUND(_xlfn.XLOOKUP(B123,'Base stats'!B:B,'Base stats'!BS:BS)/10000,0.01))
)</f>
        <v>0.43</v>
      </c>
      <c r="R123" s="4">
        <f>IF(O123="No","No",
MROUND(_xlfn.XLOOKUP(B123,'Base stats'!B:B,'Base stats'!AY:AY)^0.25
/((_xlfn.XLOOKUP(B123,'Base stats'!B:B,'Base stats'!BK:BK))*10)*_xlfn.XLOOKUP(_xlfn.XLOOKUP(B123,'Base stats'!B:B,'Base stats'!E:E),Groups!A:A,Groups!Z:Z)*150 + 0.5 + _xlfn.XLOOKUP(B123,'Base stats'!B:B,'Base stats'!BT:BT),
0.05))</f>
        <v>2.0500000000000003</v>
      </c>
      <c r="S123" s="3">
        <f>IF(Animals!AH123="No","No",
IF(_xlfn.XLOOKUP(B123,'Base stats'!B:B,'Base stats'!U:U)="No",
MAX(MROUND(_xlfn.XLOOKUP(B123,'Base stats'!B:B,'Base stats'!BQ:BQ) * _xlfn.XLOOKUP(B123,'Base stats'!B:B,'Base stats'!BM:BM)^0.9 / 21 * _xlfn.XLOOKUP(B123,'Base stats'!B:B,'Base stats'!BU:BU),0.1),0.05),
MAX(MROUND(((MIN(12,_xlfn.XLOOKUP(B123,'Base stats'!B:B,'Base stats'!U:U)))^0.4*_xlfn.XLOOKUP(B123,'Base stats'!B:B,'Base stats'!BE:BE)^0.73)^0.6 * _xlfn.XLOOKUP(B123,'Base stats'!B:B,'Base stats'!BU:BU),0.1),0.05)
))</f>
        <v>18.100000000000001</v>
      </c>
      <c r="T123" s="11">
        <f>IF(S123="No","No",
MAX(0.01,MROUND(_xlfn.XLOOKUP(B123,'Base stats'!B:B,'Base stats'!BE:BE) * 0.01 * 2, 0.01))
)</f>
        <v>5.14</v>
      </c>
      <c r="U123" s="5">
        <f>IF(S123="No","No",IF(_xlfn.XLOOKUP(B123,'Base stats'!B:B,'Base stats'!U:U)="No","No",
MAX(0.01,MROUND(_xlfn.XLOOKUP(B123,'Base stats'!B:B,'Base stats'!BQ:BQ)/10000,0.01))
))</f>
        <v>0.21</v>
      </c>
      <c r="V123" s="4">
        <f>IF(S123="No","No",
MROUND(_xlfn.XLOOKUP(B123,'Base stats'!B:B,'Base stats'!BC:BC)^0.25
/((_xlfn.XLOOKUP(B123,'Base stats'!B:B,'Base stats'!BL:BL))*10)*_xlfn.XLOOKUP(_xlfn.XLOOKUP(B123,'Base stats'!B:B,'Base stats'!E:E),Groups!A:A,Groups!AE:AE)*150 + 0.5 + _xlfn.XLOOKUP(B123,'Base stats'!B:B,'Base stats'!BT:BT),
0.05))</f>
        <v>1.5</v>
      </c>
      <c r="W123" s="8">
        <f>MROUND(_xlfn.XLOOKUP(_xlfn.XLOOKUP(B123,'Base stats'!B:B,'Base stats'!E:E),Groups!A:A,Groups!BF:BF)*_xlfn.XLOOKUP(B123,'Base stats'!B:B,'Base stats'!C:C)^-0.165,0.01)</f>
        <v>0.54</v>
      </c>
      <c r="X123" s="1">
        <f>MROUND(_xlfn.XLOOKUP(_xlfn.XLOOKUP(B123,'Base stats'!B:B,'Base stats'!E:E),Groups!A:A,Groups!BG:BG)*_xlfn.XLOOKUP(B123,'Base stats'!B:B,'Base stats'!C:C)^0.165,0.01)</f>
        <v>0.57999999999999996</v>
      </c>
      <c r="Y123" s="8">
        <f>MROUND(_xlfn.XLOOKUP(_xlfn.XLOOKUP(B123,'Base stats'!B:B,'Base stats'!E:E),Groups!A:A,Groups!BH:BH)*_xlfn.XLOOKUP(B123,'Base stats'!B:B,'Base stats'!C:C)^0.165,0.01)</f>
        <v>0.06</v>
      </c>
      <c r="Z123" s="18">
        <f>_xlfn.XLOOKUP(B123,'Base stats'!B:B,'Base stats'!AN:AN)*_xlfn.XLOOKUP(_xlfn.XLOOKUP(B123,'Base stats'!B:B,'Base stats'!E:E),Groups!A:A,Groups!H:H)/1000</f>
        <v>0.13467701044040178</v>
      </c>
      <c r="AA123" s="18">
        <f>(1/2)*(_xlfn.XLOOKUP(_xlfn.XLOOKUP(B123,'Base stats'!B:B,'Base stats'!E:E),Groups!A:A,Groups!H:H)*_xlfn.XLOOKUP(_xlfn.XLOOKUP(B123,'Base stats'!B:B,'Base stats'!E:E),Groups!A:A,Groups!I:I))*_xlfn.XLOOKUP(B123,'Base stats'!B:B,'Base stats'!AN:AN)*0.01</f>
        <v>1.0100775783030134</v>
      </c>
      <c r="AB123" s="18">
        <f>250*(Animals!AN123+Animals!AO123)</f>
        <v>937.50000000000011</v>
      </c>
      <c r="AC123" s="18" t="str">
        <f>_xlfn.XLOOKUP(_xlfn.XLOOKUP(B123,'Base stats'!B:B,'Base stats'!E:E),Groups!A:A,Groups!BI:BI)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stats'!BP:BP) * (_xlfn.XLOOKUP(B124,'Base stats'!B:B,'Base stats'!AL:AL)*5%)^0.9 / 21,0.1),0.05)</f>
        <v>0.1</v>
      </c>
      <c r="E124" s="11">
        <f>MAX(0.01,MROUND(_xlfn.XLOOKUP(B124,'Base stats'!B:B,'Base stats'!BD:BD) * 0.01 * 2, 0.01))</f>
        <v>0.05</v>
      </c>
      <c r="F124" s="7">
        <f>MROUND(_xlfn.XLOOKUP(B124,'Base stats'!B:B,'Base stats'!BA:BA)^0.25 / (_xlfn.XLOOKUP(B124,'Base stats'!B:B,'Base stats'!BH:BH) * 10) * 150 + 0.5 + _xlfn.XLOOKUP(B124,'Base stats'!B:B,'Base stats'!BT:BT), 0.05)</f>
        <v>1.2000000000000002</v>
      </c>
      <c r="G124" s="3" t="str">
        <f>IF(Animals!R124="No","No",
IF(_xlfn.XLOOKUP(B124,'Base stats'!B:B,'Base stats'!U:U)="No",
MAX(MROUND(_xlfn.XLOOKUP(B124,'Base stats'!B:B,'Base stats'!BQ:BQ) * _xlfn.XLOOKUP(B124,'Base stats'!B:B,'Base stats'!BM:BM)^0.9 / 21 * _xlfn.XLOOKUP(B124,'Base stats'!B:B,'Base stats'!BU:BU),0.1),0.05),
MAX(MROUND(((MIN(10,_xlfn.XLOOKUP(B124,'Base stats'!B:B,'Base stats'!U:U)))^0.4*_xlfn.XLOOKUP(B124,'Base stats'!B:B,'Base stats'!BE:BE)^0.73)^0.6 * _xlfn.XLOOKUP(B124,'Base stats'!B:B,'Base stats'!BU:BU),0.1),0.05)
))</f>
        <v>No</v>
      </c>
      <c r="H124" s="11" t="str">
        <f>IF(G124="No","No",
MAX(0.01,MROUND(_xlfn.XLOOKUP(B124,'Base stats'!B:B,'Base stats'!BE:BE) * 0.01 * 2, 0.01))
)</f>
        <v>No</v>
      </c>
      <c r="I124" s="11" t="str">
        <f>IF(G124="No","No",IF(_xlfn.XLOOKUP(B124,'Base stats'!B:B,'Base stats'!U:U)="No","No",
MAX(0.01,MROUND(_xlfn.XLOOKUP(B124,'Base stats'!B:B,'Base stats'!BQ:BQ)/10000,0.01))
))</f>
        <v>No</v>
      </c>
      <c r="J124" s="4" t="str">
        <f>IF(G124="No","No",
MROUND(_xlfn.XLOOKUP(B124,'Base stats'!B:B,'Base stats'!BB:BB)^0.25
/((_xlfn.XLOOKUP(B124,'Base stats'!B:B,'Base stats'!BI:BI))*10)*_xlfn.XLOOKUP(_xlfn.XLOOKUP(B124,'Base stats'!B:B,'Base stats'!E:E),Groups!A:A,Groups!Q:Q)*150 + 0.5 + _xlfn.XLOOKUP(B124,'Base stats'!B:B,'Base stats'!BT:BT),
0.05))</f>
        <v>No</v>
      </c>
      <c r="K124" s="3" t="str">
        <f>IF(Animals!W124="No","No",
IF(_xlfn.XLOOKUP(_xlfn.XLOOKUP(B124,'Base stats'!B:B,'Base stats'!E:E),Groups!A:A,Groups!BC:BC)=1,
MAX(MROUND(_xlfn.XLOOKUP(B124,'Base stats'!B:B,'Base stats'!BR:BR) * _xlfn.XLOOKUP(B124,'Base stats'!B:B,'Base stats'!BN:BN)^0.9 / 21 *_xlfn.XLOOKUP(B124,'Base stats'!B:B,'Base stats'!BU:BU),0.1),0.05),
MAX(MROUND(((MIN(10,_xlfn.XLOOKUP(B124,'Base stats'!B:B,'Base stats'!W:W)))^0.4*_xlfn.XLOOKUP(B124,'Base stats'!B:B,'Base stats'!BF:BF)^0.73)^0.6 *_xlfn.XLOOKUP(B124,'Base stats'!B:B,'Base stats'!BU:BU),0.1),0.05)
))</f>
        <v>No</v>
      </c>
      <c r="L124" s="11" t="str">
        <f>IF(K124="No","No",
MAX(0.01,MROUND(_xlfn.XLOOKUP(B124,'Base stats'!B:B,'Base stats'!BF:BF) * 0.01 *2, 0.01))
)</f>
        <v>No</v>
      </c>
      <c r="M124" s="5" t="str">
        <f>IF(K124="No","No",IF(_xlfn.XLOOKUP(_xlfn.XLOOKUP(B124,'Base stats'!B:B,'Base stats'!E:E),Groups!A:A,Groups!BC:BC)=1,"No",
MAX(0.01,MROUND(_xlfn.XLOOKUP(B124,'Base stats'!B:B,'Base stats'!BR:BR)/10000,0.01))
))</f>
        <v>No</v>
      </c>
      <c r="N124" s="4" t="str">
        <f>IF(K124="No","No",
MROUND(
  _xlfn.XLOOKUP(B124,'Base stats'!B:B,'Base stats'!AZ:AZ)^0.25
  / (_xlfn.XLOOKUP(B124,'Base stats'!B:B,'Base stats'!BJ:BJ)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stats'!BT:BT),
0.05))</f>
        <v>No</v>
      </c>
      <c r="O124" s="3">
        <f>IF(Animals!AC124="No","No",
MAX(MROUND((MIN(10,_xlfn.XLOOKUP(B124,'Base stats'!B:B,'Base stats'!V:V)*IF(_xlfn.XLOOKUP(_xlfn.XLOOKUP(B124,'Base stats'!B:B,'Base stats'!E:E),Groups!A:A,Groups!O:O)=0,1,0.33))^0.4*_xlfn.XLOOKUP(B124,'Base stats'!B:B,'Base stats'!BG:BG)^0.73)^0.6 *_xlfn.XLOOKUP(B124,'Base stats'!B:B,'Base stats'!BU:BU),0.1),0.05)
)</f>
        <v>3</v>
      </c>
      <c r="P124" s="11">
        <f>IF(O124="No","No",
MAX(0.01,MROUND(_xlfn.XLOOKUP(B124,'Base stats'!B:B,'Base stats'!BG:BG) * 0.01 * 2, 0.01))
)</f>
        <v>0.37</v>
      </c>
      <c r="Q124" s="5">
        <f>IF(O124="No","No",
MAX(0.01,MROUND(_xlfn.XLOOKUP(B124,'Base stats'!B:B,'Base stats'!BS:BS)/10000,0.01))
)</f>
        <v>0.11</v>
      </c>
      <c r="R124" s="4">
        <f>IF(O124="No","No",
MROUND(_xlfn.XLOOKUP(B124,'Base stats'!B:B,'Base stats'!AY:AY)^0.25
/((_xlfn.XLOOKUP(B124,'Base stats'!B:B,'Base stats'!BK:BK))*10)*_xlfn.XLOOKUP(_xlfn.XLOOKUP(B124,'Base stats'!B:B,'Base stats'!E:E),Groups!A:A,Groups!Z:Z)*150 + 0.5 + _xlfn.XLOOKUP(B124,'Base stats'!B:B,'Base stats'!BT:BT),
0.05))</f>
        <v>2.1</v>
      </c>
      <c r="S124" s="3">
        <f>IF(Animals!AH124="No","No",
IF(_xlfn.XLOOKUP(B124,'Base stats'!B:B,'Base stats'!U:U)="No",
MAX(MROUND(_xlfn.XLOOKUP(B124,'Base stats'!B:B,'Base stats'!BQ:BQ) * _xlfn.XLOOKUP(B124,'Base stats'!B:B,'Base stats'!BM:BM)^0.9 / 21 * _xlfn.XLOOKUP(B124,'Base stats'!B:B,'Base stats'!BU:BU),0.1),0.05),
MAX(MROUND(((MIN(12,_xlfn.XLOOKUP(B124,'Base stats'!B:B,'Base stats'!U:U)))^0.4*_xlfn.XLOOKUP(B124,'Base stats'!B:B,'Base stats'!BE:BE)^0.73)^0.6 * _xlfn.XLOOKUP(B124,'Base stats'!B:B,'Base stats'!BU:BU),0.1),0.05)
))</f>
        <v>1.5</v>
      </c>
      <c r="T124" s="11">
        <f>IF(S124="No","No",
MAX(0.01,MROUND(_xlfn.XLOOKUP(B124,'Base stats'!B:B,'Base stats'!BE:BE) * 0.01 * 2, 0.01))
)</f>
        <v>0.08</v>
      </c>
      <c r="U124" s="5">
        <f>IF(S124="No","No",IF(_xlfn.XLOOKUP(B124,'Base stats'!B:B,'Base stats'!U:U)="No","No",
MAX(0.01,MROUND(_xlfn.XLOOKUP(B124,'Base stats'!B:B,'Base stats'!BQ:BQ)/10000,0.01))
))</f>
        <v>0.02</v>
      </c>
      <c r="V124" s="4">
        <f>IF(S124="No","No",
MROUND(_xlfn.XLOOKUP(B124,'Base stats'!B:B,'Base stats'!BC:BC)^0.25
/((_xlfn.XLOOKUP(B124,'Base stats'!B:B,'Base stats'!BL:BL))*10)*_xlfn.XLOOKUP(_xlfn.XLOOKUP(B124,'Base stats'!B:B,'Base stats'!E:E),Groups!A:A,Groups!AE:AE)*150 + 0.5 + _xlfn.XLOOKUP(B124,'Base stats'!B:B,'Base stats'!BT:BT),
0.05))</f>
        <v>1.05</v>
      </c>
      <c r="W124" s="8">
        <f>MROUND(_xlfn.XLOOKUP(_xlfn.XLOOKUP(B124,'Base stats'!B:B,'Base stats'!E:E),Groups!A:A,Groups!BF:BF)*_xlfn.XLOOKUP(B124,'Base stats'!B:B,'Base stats'!C:C)^-0.165,0.01)</f>
        <v>0.48</v>
      </c>
      <c r="X124" s="1">
        <f>MROUND(_xlfn.XLOOKUP(_xlfn.XLOOKUP(B124,'Base stats'!B:B,'Base stats'!E:E),Groups!A:A,Groups!BG:BG)*_xlfn.XLOOKUP(B124,'Base stats'!B:B,'Base stats'!C:C)^0.165,0.01)</f>
        <v>0.21</v>
      </c>
      <c r="Y124" s="8">
        <f>MROUND(_xlfn.XLOOKUP(_xlfn.XLOOKUP(B124,'Base stats'!B:B,'Base stats'!E:E),Groups!A:A,Groups!BH:BH)*_xlfn.XLOOKUP(B124,'Base stats'!B:B,'Base stats'!C:C)^0.165,0.01)</f>
        <v>0.03</v>
      </c>
      <c r="Z124" s="18">
        <f>_xlfn.XLOOKUP(B124,'Base stats'!B:B,'Base stats'!AN:AN)*_xlfn.XLOOKUP(_xlfn.XLOOKUP(B124,'Base stats'!B:B,'Base stats'!E:E),Groups!A:A,Groups!H:H)/1000</f>
        <v>1.9600790805345113E-2</v>
      </c>
      <c r="AA124" s="18">
        <f>(1/2)*(_xlfn.XLOOKUP(_xlfn.XLOOKUP(B124,'Base stats'!B:B,'Base stats'!E:E),Groups!A:A,Groups!H:H)*_xlfn.XLOOKUP(_xlfn.XLOOKUP(B124,'Base stats'!B:B,'Base stats'!E:E),Groups!A:A,Groups!I:I))*_xlfn.XLOOKUP(B124,'Base stats'!B:B,'Base stats'!AN:AN)*0.01</f>
        <v>8.3303360922716715E-2</v>
      </c>
      <c r="AB124" s="18">
        <f>250*(Animals!AN124+Animals!AO124)</f>
        <v>87.500000000000014</v>
      </c>
      <c r="AC124" s="18" t="str">
        <f>_xlfn.XLOOKUP(_xlfn.XLOOKUP(B124,'Base stats'!B:B,'Base stats'!E:E),Groups!A:A,Groups!BI:BI)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stats'!BP:BP) * (_xlfn.XLOOKUP(B125,'Base stats'!B:B,'Base stats'!AL:AL)*5%)^0.9 / 21,0.1),0.05)</f>
        <v>15.600000000000001</v>
      </c>
      <c r="E125" s="11">
        <f>MAX(0.01,MROUND(_xlfn.XLOOKUP(B125,'Base stats'!B:B,'Base stats'!BD:BD) * 0.01 * 2, 0.01))</f>
        <v>14.96</v>
      </c>
      <c r="F125" s="7">
        <f>MROUND(_xlfn.XLOOKUP(B125,'Base stats'!B:B,'Base stats'!BA:BA)^0.25 / (_xlfn.XLOOKUP(B125,'Base stats'!B:B,'Base stats'!BH:BH) * 10) * 150 + 0.5 + _xlfn.XLOOKUP(B125,'Base stats'!B:B,'Base stats'!BT:BT), 0.05)</f>
        <v>1.9500000000000002</v>
      </c>
      <c r="G125" s="3">
        <f>IF(Animals!R125="No","No",
IF(_xlfn.XLOOKUP(B125,'Base stats'!B:B,'Base stats'!U:U)="No",
MAX(MROUND(_xlfn.XLOOKUP(B125,'Base stats'!B:B,'Base stats'!BQ:BQ) * _xlfn.XLOOKUP(B125,'Base stats'!B:B,'Base stats'!BM:BM)^0.9 / 21 * _xlfn.XLOOKUP(B125,'Base stats'!B:B,'Base stats'!BU:BU),0.1),0.05),
MAX(MROUND(((MIN(10,_xlfn.XLOOKUP(B125,'Base stats'!B:B,'Base stats'!U:U)))^0.4*_xlfn.XLOOKUP(B125,'Base stats'!B:B,'Base stats'!BE:BE)^0.73)^0.6 * _xlfn.XLOOKUP(B125,'Base stats'!B:B,'Base stats'!BU:BU),0.1),0.05)
))</f>
        <v>25</v>
      </c>
      <c r="H125" s="11">
        <f>IF(G125="No","No",
MAX(0.01,MROUND(_xlfn.XLOOKUP(B125,'Base stats'!B:B,'Base stats'!BE:BE) * 0.01 * 2, 0.01))
)</f>
        <v>16.899999999999999</v>
      </c>
      <c r="I125" s="11" t="str">
        <f>IF(G125="No","No",IF(_xlfn.XLOOKUP(B125,'Base stats'!B:B,'Base stats'!U:U)="No","No",
MAX(0.01,MROUND(_xlfn.XLOOKUP(B125,'Base stats'!B:B,'Base stats'!BQ:BQ)/10000,0.01))
))</f>
        <v>No</v>
      </c>
      <c r="J125" s="4">
        <f>IF(G125="No","No",
MROUND(_xlfn.XLOOKUP(B125,'Base stats'!B:B,'Base stats'!BB:BB)^0.25
/((_xlfn.XLOOKUP(B125,'Base stats'!B:B,'Base stats'!BI:BI))*10)*_xlfn.XLOOKUP(_xlfn.XLOOKUP(B125,'Base stats'!B:B,'Base stats'!E:E),Groups!A:A,Groups!Q:Q)*150 + 0.5 + _xlfn.XLOOKUP(B125,'Base stats'!B:B,'Base stats'!BT:BT),
0.05))</f>
        <v>2.7</v>
      </c>
      <c r="K125" s="3" t="str">
        <f>IF(Animals!W125="No","No",
IF(_xlfn.XLOOKUP(_xlfn.XLOOKUP(B125,'Base stats'!B:B,'Base stats'!E:E),Groups!A:A,Groups!BC:BC)=1,
MAX(MROUND(_xlfn.XLOOKUP(B125,'Base stats'!B:B,'Base stats'!BR:BR) * _xlfn.XLOOKUP(B125,'Base stats'!B:B,'Base stats'!BN:BN)^0.9 / 21 *_xlfn.XLOOKUP(B125,'Base stats'!B:B,'Base stats'!BU:BU),0.1),0.05),
MAX(MROUND(((MIN(10,_xlfn.XLOOKUP(B125,'Base stats'!B:B,'Base stats'!W:W)))^0.4*_xlfn.XLOOKUP(B125,'Base stats'!B:B,'Base stats'!BF:BF)^0.73)^0.6 *_xlfn.XLOOKUP(B125,'Base stats'!B:B,'Base stats'!BU:BU),0.1),0.05)
))</f>
        <v>No</v>
      </c>
      <c r="L125" s="11" t="str">
        <f>IF(K125="No","No",
MAX(0.01,MROUND(_xlfn.XLOOKUP(B125,'Base stats'!B:B,'Base stats'!BF:BF) * 0.01 *2, 0.01))
)</f>
        <v>No</v>
      </c>
      <c r="M125" s="5" t="str">
        <f>IF(K125="No","No",IF(_xlfn.XLOOKUP(_xlfn.XLOOKUP(B125,'Base stats'!B:B,'Base stats'!E:E),Groups!A:A,Groups!BC:BC)=1,"No",
MAX(0.01,MROUND(_xlfn.XLOOKUP(B125,'Base stats'!B:B,'Base stats'!BR:BR)/10000,0.01))
))</f>
        <v>No</v>
      </c>
      <c r="N125" s="4" t="str">
        <f>IF(K125="No","No",
MROUND(
  _xlfn.XLOOKUP(B125,'Base stats'!B:B,'Base stats'!AZ:AZ)^0.25
  / (_xlfn.XLOOKUP(B125,'Base stats'!B:B,'Base stats'!BJ:BJ)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stats'!BT:BT),
0.05))</f>
        <v>No</v>
      </c>
      <c r="O125" s="3">
        <f>IF(Animals!AC125="No","No",
MAX(MROUND((MIN(10,_xlfn.XLOOKUP(B125,'Base stats'!B:B,'Base stats'!V:V)*IF(_xlfn.XLOOKUP(_xlfn.XLOOKUP(B125,'Base stats'!B:B,'Base stats'!E:E),Groups!A:A,Groups!O:O)=0,1,0.33))^0.4*_xlfn.XLOOKUP(B125,'Base stats'!B:B,'Base stats'!BG:BG)^0.73)^0.6 *_xlfn.XLOOKUP(B125,'Base stats'!B:B,'Base stats'!BU:BU),0.1),0.05)
)</f>
        <v>21.8</v>
      </c>
      <c r="P125" s="11">
        <f>IF(O125="No","No",
MAX(0.01,MROUND(_xlfn.XLOOKUP(B125,'Base stats'!B:B,'Base stats'!BG:BG) * 0.01 * 2, 0.01))
)</f>
        <v>9.94</v>
      </c>
      <c r="Q125" s="5">
        <f>IF(O125="No","No",
MAX(0.01,MROUND(_xlfn.XLOOKUP(B125,'Base stats'!B:B,'Base stats'!BS:BS)/10000,0.01))
)</f>
        <v>0.1</v>
      </c>
      <c r="R125" s="4">
        <f>IF(O125="No","No",
MROUND(_xlfn.XLOOKUP(B125,'Base stats'!B:B,'Base stats'!AY:AY)^0.25
/((_xlfn.XLOOKUP(B125,'Base stats'!B:B,'Base stats'!BK:BK))*10)*_xlfn.XLOOKUP(_xlfn.XLOOKUP(B125,'Base stats'!B:B,'Base stats'!E:E),Groups!A:A,Groups!Z:Z)*150 + 0.5 + _xlfn.XLOOKUP(B125,'Base stats'!B:B,'Base stats'!BT:BT),
0.05))</f>
        <v>3.0500000000000003</v>
      </c>
      <c r="S125" s="3" t="str">
        <f>IF(Animals!AH125="No","No",
IF(_xlfn.XLOOKUP(B125,'Base stats'!B:B,'Base stats'!U:U)="No",
MAX(MROUND(_xlfn.XLOOKUP(B125,'Base stats'!B:B,'Base stats'!BQ:BQ) * _xlfn.XLOOKUP(B125,'Base stats'!B:B,'Base stats'!BM:BM)^0.9 / 21 * _xlfn.XLOOKUP(B125,'Base stats'!B:B,'Base stats'!BU:BU),0.1),0.05),
MAX(MROUND(((MIN(12,_xlfn.XLOOKUP(B125,'Base stats'!B:B,'Base stats'!U:U)))^0.4*_xlfn.XLOOKUP(B125,'Base stats'!B:B,'Base stats'!BE:BE)^0.73)^0.6 * _xlfn.XLOOKUP(B125,'Base stats'!B:B,'Base stats'!BU:BU),0.1),0.05)
))</f>
        <v>No</v>
      </c>
      <c r="T125" s="11" t="str">
        <f>IF(S125="No","No",
MAX(0.01,MROUND(_xlfn.XLOOKUP(B125,'Base stats'!B:B,'Base stats'!BE:BE) * 0.01 * 2, 0.01))
)</f>
        <v>No</v>
      </c>
      <c r="U125" s="5" t="str">
        <f>IF(S125="No","No",IF(_xlfn.XLOOKUP(B125,'Base stats'!B:B,'Base stats'!U:U)="No","No",
MAX(0.01,MROUND(_xlfn.XLOOKUP(B125,'Base stats'!B:B,'Base stats'!BQ:BQ)/10000,0.01))
))</f>
        <v>No</v>
      </c>
      <c r="V125" s="4" t="str">
        <f>IF(S125="No","No",
MROUND(_xlfn.XLOOKUP(B125,'Base stats'!B:B,'Base stats'!BC:BC)^0.25
/((_xlfn.XLOOKUP(B125,'Base stats'!B:B,'Base stats'!BL:BL))*10)*_xlfn.XLOOKUP(_xlfn.XLOOKUP(B125,'Base stats'!B:B,'Base stats'!E:E),Groups!A:A,Groups!AE:AE)*150 + 0.5 + _xlfn.XLOOKUP(B125,'Base stats'!B:B,'Base stats'!BT:BT),
0.05))</f>
        <v>No</v>
      </c>
      <c r="W125" s="8">
        <f>MROUND(_xlfn.XLOOKUP(_xlfn.XLOOKUP(B125,'Base stats'!B:B,'Base stats'!E:E),Groups!A:A,Groups!BF:BF)*_xlfn.XLOOKUP(B125,'Base stats'!B:B,'Base stats'!C:C)^-0.165,0.01)</f>
        <v>0.17</v>
      </c>
      <c r="X125" s="1">
        <f>MROUND(_xlfn.XLOOKUP(_xlfn.XLOOKUP(B125,'Base stats'!B:B,'Base stats'!E:E),Groups!A:A,Groups!BG:BG)*_xlfn.XLOOKUP(B125,'Base stats'!B:B,'Base stats'!C:C)^0.165,0.01)</f>
        <v>0</v>
      </c>
      <c r="Y125" s="8">
        <f>MROUND(_xlfn.XLOOKUP(_xlfn.XLOOKUP(B125,'Base stats'!B:B,'Base stats'!E:E),Groups!A:A,Groups!BH:BH)*_xlfn.XLOOKUP(B125,'Base stats'!B:B,'Base stats'!C:C)^0.165,0.01)</f>
        <v>0</v>
      </c>
      <c r="Z125" s="18">
        <f>_xlfn.XLOOKUP(B125,'Base stats'!B:B,'Base stats'!AN:AN)*_xlfn.XLOOKUP(_xlfn.XLOOKUP(B125,'Base stats'!B:B,'Base stats'!E:E),Groups!A:A,Groups!H:H)/1000</f>
        <v>8.2669572614515019E-2</v>
      </c>
      <c r="AA125" s="18">
        <f>(1/2)*(_xlfn.XLOOKUP(_xlfn.XLOOKUP(B125,'Base stats'!B:B,'Base stats'!E:E),Groups!A:A,Groups!H:H)*_xlfn.XLOOKUP(_xlfn.XLOOKUP(B125,'Base stats'!B:B,'Base stats'!E:E),Groups!A:A,Groups!I:I))*_xlfn.XLOOKUP(B125,'Base stats'!B:B,'Base stats'!AN:AN)*0.01</f>
        <v>0.45468264937983266</v>
      </c>
      <c r="AB125" s="18">
        <f>250*(Animals!AN125+Animals!AO125)</f>
        <v>1500</v>
      </c>
      <c r="AC125" s="18" t="str">
        <f>_xlfn.XLOOKUP(_xlfn.XLOOKUP(B125,'Base stats'!B:B,'Base stats'!E:E),Groups!A:A,Groups!BI:BI)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stats'!BP:BP) * (_xlfn.XLOOKUP(B126,'Base stats'!B:B,'Base stats'!AL:AL)*5%)^0.9 / 21,0.1),0.05)</f>
        <v>0.30000000000000004</v>
      </c>
      <c r="E126" s="11">
        <f>MAX(0.01,MROUND(_xlfn.XLOOKUP(B126,'Base stats'!B:B,'Base stats'!BD:BD) * 0.01 * 2, 0.01))</f>
        <v>0.19</v>
      </c>
      <c r="F126" s="7">
        <f>MROUND(_xlfn.XLOOKUP(B126,'Base stats'!B:B,'Base stats'!BA:BA)^0.25 / (_xlfn.XLOOKUP(B126,'Base stats'!B:B,'Base stats'!BH:BH) * 10) * 150 + 0.5 + _xlfn.XLOOKUP(B126,'Base stats'!B:B,'Base stats'!BT:BT), 0.05)</f>
        <v>1.4500000000000002</v>
      </c>
      <c r="G126" s="3" t="str">
        <f>IF(Animals!R126="No","No",
IF(_xlfn.XLOOKUP(B126,'Base stats'!B:B,'Base stats'!U:U)="No",
MAX(MROUND(_xlfn.XLOOKUP(B126,'Base stats'!B:B,'Base stats'!BQ:BQ) * _xlfn.XLOOKUP(B126,'Base stats'!B:B,'Base stats'!BM:BM)^0.9 / 21 * _xlfn.XLOOKUP(B126,'Base stats'!B:B,'Base stats'!BU:BU),0.1),0.05),
MAX(MROUND(((MIN(10,_xlfn.XLOOKUP(B126,'Base stats'!B:B,'Base stats'!U:U)))^0.4*_xlfn.XLOOKUP(B126,'Base stats'!B:B,'Base stats'!BE:BE)^0.73)^0.6 * _xlfn.XLOOKUP(B126,'Base stats'!B:B,'Base stats'!BU:BU),0.1),0.05)
))</f>
        <v>No</v>
      </c>
      <c r="H126" s="11" t="str">
        <f>IF(G126="No","No",
MAX(0.01,MROUND(_xlfn.XLOOKUP(B126,'Base stats'!B:B,'Base stats'!BE:BE) * 0.01 * 2, 0.01))
)</f>
        <v>No</v>
      </c>
      <c r="I126" s="11" t="str">
        <f>IF(G126="No","No",IF(_xlfn.XLOOKUP(B126,'Base stats'!B:B,'Base stats'!U:U)="No","No",
MAX(0.01,MROUND(_xlfn.XLOOKUP(B126,'Base stats'!B:B,'Base stats'!BQ:BQ)/10000,0.01))
))</f>
        <v>No</v>
      </c>
      <c r="J126" s="4" t="str">
        <f>IF(G126="No","No",
MROUND(_xlfn.XLOOKUP(B126,'Base stats'!B:B,'Base stats'!BB:BB)^0.25
/((_xlfn.XLOOKUP(B126,'Base stats'!B:B,'Base stats'!BI:BI))*10)*_xlfn.XLOOKUP(_xlfn.XLOOKUP(B126,'Base stats'!B:B,'Base stats'!E:E),Groups!A:A,Groups!Q:Q)*150 + 0.5 + _xlfn.XLOOKUP(B126,'Base stats'!B:B,'Base stats'!BT:BT),
0.05))</f>
        <v>No</v>
      </c>
      <c r="K126" s="3" t="str">
        <f>IF(Animals!W126="No","No",
IF(_xlfn.XLOOKUP(_xlfn.XLOOKUP(B126,'Base stats'!B:B,'Base stats'!E:E),Groups!A:A,Groups!BC:BC)=1,
MAX(MROUND(_xlfn.XLOOKUP(B126,'Base stats'!B:B,'Base stats'!BR:BR) * _xlfn.XLOOKUP(B126,'Base stats'!B:B,'Base stats'!BN:BN)^0.9 / 21 *_xlfn.XLOOKUP(B126,'Base stats'!B:B,'Base stats'!BU:BU),0.1),0.05),
MAX(MROUND(((MIN(10,_xlfn.XLOOKUP(B126,'Base stats'!B:B,'Base stats'!W:W)))^0.4*_xlfn.XLOOKUP(B126,'Base stats'!B:B,'Base stats'!BF:BF)^0.73)^0.6 *_xlfn.XLOOKUP(B126,'Base stats'!B:B,'Base stats'!BU:BU),0.1),0.05)
))</f>
        <v>No</v>
      </c>
      <c r="L126" s="11" t="str">
        <f>IF(K126="No","No",
MAX(0.01,MROUND(_xlfn.XLOOKUP(B126,'Base stats'!B:B,'Base stats'!BF:BF) * 0.01 *2, 0.01))
)</f>
        <v>No</v>
      </c>
      <c r="M126" s="5" t="str">
        <f>IF(K126="No","No",IF(_xlfn.XLOOKUP(_xlfn.XLOOKUP(B126,'Base stats'!B:B,'Base stats'!E:E),Groups!A:A,Groups!BC:BC)=1,"No",
MAX(0.01,MROUND(_xlfn.XLOOKUP(B126,'Base stats'!B:B,'Base stats'!BR:BR)/10000,0.01))
))</f>
        <v>No</v>
      </c>
      <c r="N126" s="4" t="str">
        <f>IF(K126="No","No",
MROUND(
  _xlfn.XLOOKUP(B126,'Base stats'!B:B,'Base stats'!AZ:AZ)^0.25
  / (_xlfn.XLOOKUP(B126,'Base stats'!B:B,'Base stats'!BJ:BJ)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stats'!BT:BT),
0.05))</f>
        <v>No</v>
      </c>
      <c r="O126" s="3">
        <f>IF(Animals!AC126="No","No",
MAX(MROUND((MIN(10,_xlfn.XLOOKUP(B126,'Base stats'!B:B,'Base stats'!V:V)*IF(_xlfn.XLOOKUP(_xlfn.XLOOKUP(B126,'Base stats'!B:B,'Base stats'!E:E),Groups!A:A,Groups!O:O)=0,1,0.33))^0.4*_xlfn.XLOOKUP(B126,'Base stats'!B:B,'Base stats'!BG:BG)^0.73)^0.6 *_xlfn.XLOOKUP(B126,'Base stats'!B:B,'Base stats'!BU:BU),0.1),0.05)
)</f>
        <v>3.3000000000000003</v>
      </c>
      <c r="P126" s="11">
        <f>IF(O126="No","No",
MAX(0.01,MROUND(_xlfn.XLOOKUP(B126,'Base stats'!B:B,'Base stats'!BG:BG) * 0.01 * 2, 0.01))
)</f>
        <v>0.19</v>
      </c>
      <c r="Q126" s="5">
        <f>IF(O126="No","No",
MAX(0.01,MROUND(_xlfn.XLOOKUP(B126,'Base stats'!B:B,'Base stats'!BS:BS)/10000,0.01))
)</f>
        <v>0.03</v>
      </c>
      <c r="R126" s="4">
        <f>IF(O126="No","No",
MROUND(_xlfn.XLOOKUP(B126,'Base stats'!B:B,'Base stats'!AY:AY)^0.25
/((_xlfn.XLOOKUP(B126,'Base stats'!B:B,'Base stats'!BK:BK))*10)*_xlfn.XLOOKUP(_xlfn.XLOOKUP(B126,'Base stats'!B:B,'Base stats'!E:E),Groups!A:A,Groups!Z:Z)*150 + 0.5 + _xlfn.XLOOKUP(B126,'Base stats'!B:B,'Base stats'!BT:BT),
0.05))</f>
        <v>1.8</v>
      </c>
      <c r="S126" s="3" t="str">
        <f>IF(Animals!AH126="No","No",
IF(_xlfn.XLOOKUP(B126,'Base stats'!B:B,'Base stats'!U:U)="No",
MAX(MROUND(_xlfn.XLOOKUP(B126,'Base stats'!B:B,'Base stats'!BQ:BQ) * _xlfn.XLOOKUP(B126,'Base stats'!B:B,'Base stats'!BM:BM)^0.9 / 21 * _xlfn.XLOOKUP(B126,'Base stats'!B:B,'Base stats'!BU:BU),0.1),0.05),
MAX(MROUND(((MIN(12,_xlfn.XLOOKUP(B126,'Base stats'!B:B,'Base stats'!U:U)))^0.4*_xlfn.XLOOKUP(B126,'Base stats'!B:B,'Base stats'!BE:BE)^0.73)^0.6 * _xlfn.XLOOKUP(B126,'Base stats'!B:B,'Base stats'!BU:BU),0.1),0.05)
))</f>
        <v>No</v>
      </c>
      <c r="T126" s="11" t="str">
        <f>IF(S126="No","No",
MAX(0.01,MROUND(_xlfn.XLOOKUP(B126,'Base stats'!B:B,'Base stats'!BE:BE) * 0.01 * 2, 0.01))
)</f>
        <v>No</v>
      </c>
      <c r="U126" s="5" t="str">
        <f>IF(S126="No","No",IF(_xlfn.XLOOKUP(B126,'Base stats'!B:B,'Base stats'!U:U)="No","No",
MAX(0.01,MROUND(_xlfn.XLOOKUP(B126,'Base stats'!B:B,'Base stats'!BQ:BQ)/10000,0.01))
))</f>
        <v>No</v>
      </c>
      <c r="V126" s="4" t="str">
        <f>IF(S126="No","No",
MROUND(_xlfn.XLOOKUP(B126,'Base stats'!B:B,'Base stats'!BC:BC)^0.25
/((_xlfn.XLOOKUP(B126,'Base stats'!B:B,'Base stats'!BL:BL))*10)*_xlfn.XLOOKUP(_xlfn.XLOOKUP(B126,'Base stats'!B:B,'Base stats'!E:E),Groups!A:A,Groups!AE:AE)*150 + 0.5 + _xlfn.XLOOKUP(B126,'Base stats'!B:B,'Base stats'!BT:BT),
0.05))</f>
        <v>No</v>
      </c>
      <c r="W126" s="8">
        <f>MROUND(_xlfn.XLOOKUP(_xlfn.XLOOKUP(B126,'Base stats'!B:B,'Base stats'!E:E),Groups!A:A,Groups!BF:BF)*_xlfn.XLOOKUP(B126,'Base stats'!B:B,'Base stats'!C:C)^-0.165,0.01)</f>
        <v>0.38</v>
      </c>
      <c r="X126" s="1">
        <f>MROUND(_xlfn.XLOOKUP(_xlfn.XLOOKUP(B126,'Base stats'!B:B,'Base stats'!E:E),Groups!A:A,Groups!BG:BG)*_xlfn.XLOOKUP(B126,'Base stats'!B:B,'Base stats'!C:C)^0.165,0.01)</f>
        <v>0.13</v>
      </c>
      <c r="Y126" s="8">
        <f>MROUND(_xlfn.XLOOKUP(_xlfn.XLOOKUP(B126,'Base stats'!B:B,'Base stats'!E:E),Groups!A:A,Groups!BH:BH)*_xlfn.XLOOKUP(B126,'Base stats'!B:B,'Base stats'!C:C)^0.165,0.01)</f>
        <v>0.03</v>
      </c>
      <c r="Z126" s="18">
        <f>_xlfn.XLOOKUP(B126,'Base stats'!B:B,'Base stats'!AN:AN)*_xlfn.XLOOKUP(_xlfn.XLOOKUP(B126,'Base stats'!B:B,'Base stats'!E:E),Groups!A:A,Groups!H:H)/1000</f>
        <v>3.0438677857122252E-2</v>
      </c>
      <c r="AA126" s="18">
        <f>(1/2)*(_xlfn.XLOOKUP(_xlfn.XLOOKUP(B126,'Base stats'!B:B,'Base stats'!E:E),Groups!A:A,Groups!H:H)*_xlfn.XLOOKUP(_xlfn.XLOOKUP(B126,'Base stats'!B:B,'Base stats'!E:E),Groups!A:A,Groups!I:I))*_xlfn.XLOOKUP(B126,'Base stats'!B:B,'Base stats'!AN:AN)*0.01</f>
        <v>0.12936438089276955</v>
      </c>
      <c r="AB126" s="18">
        <f>250*(Animals!AN126+Animals!AO126)</f>
        <v>175.00000000000003</v>
      </c>
      <c r="AC126" s="18" t="str">
        <f>_xlfn.XLOOKUP(_xlfn.XLOOKUP(B126,'Base stats'!B:B,'Base stats'!E:E),Groups!A:A,Groups!BI:BI)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stats'!BP:BP) * (_xlfn.XLOOKUP(B127,'Base stats'!B:B,'Base stats'!AL:AL)*5%)^0.9 / 21,0.1),0.05)</f>
        <v>4.9000000000000004</v>
      </c>
      <c r="E127" s="11">
        <f>MAX(0.01,MROUND(_xlfn.XLOOKUP(B127,'Base stats'!B:B,'Base stats'!BD:BD) * 0.01 * 2, 0.01))</f>
        <v>4.5600000000000005</v>
      </c>
      <c r="F127" s="7">
        <f>MROUND(_xlfn.XLOOKUP(B127,'Base stats'!B:B,'Base stats'!BA:BA)^0.25 / (_xlfn.XLOOKUP(B127,'Base stats'!B:B,'Base stats'!BH:BH) * 10) * 150 + 0.5 + _xlfn.XLOOKUP(B127,'Base stats'!B:B,'Base stats'!BT:BT), 0.05)</f>
        <v>3.4000000000000004</v>
      </c>
      <c r="G127" s="3" t="str">
        <f>IF(Animals!R127="No","No",
IF(_xlfn.XLOOKUP(B127,'Base stats'!B:B,'Base stats'!U:U)="No",
MAX(MROUND(_xlfn.XLOOKUP(B127,'Base stats'!B:B,'Base stats'!BQ:BQ) * _xlfn.XLOOKUP(B127,'Base stats'!B:B,'Base stats'!BM:BM)^0.9 / 21 * _xlfn.XLOOKUP(B127,'Base stats'!B:B,'Base stats'!BU:BU),0.1),0.05),
MAX(MROUND(((MIN(10,_xlfn.XLOOKUP(B127,'Base stats'!B:B,'Base stats'!U:U)))^0.4*_xlfn.XLOOKUP(B127,'Base stats'!B:B,'Base stats'!BE:BE)^0.73)^0.6 * _xlfn.XLOOKUP(B127,'Base stats'!B:B,'Base stats'!BU:BU),0.1),0.05)
))</f>
        <v>No</v>
      </c>
      <c r="H127" s="11" t="str">
        <f>IF(G127="No","No",
MAX(0.01,MROUND(_xlfn.XLOOKUP(B127,'Base stats'!B:B,'Base stats'!BE:BE) * 0.01 * 2, 0.01))
)</f>
        <v>No</v>
      </c>
      <c r="I127" s="11" t="str">
        <f>IF(G127="No","No",IF(_xlfn.XLOOKUP(B127,'Base stats'!B:B,'Base stats'!U:U)="No","No",
MAX(0.01,MROUND(_xlfn.XLOOKUP(B127,'Base stats'!B:B,'Base stats'!BQ:BQ)/10000,0.01))
))</f>
        <v>No</v>
      </c>
      <c r="J127" s="4" t="str">
        <f>IF(G127="No","No",
MROUND(_xlfn.XLOOKUP(B127,'Base stats'!B:B,'Base stats'!BB:BB)^0.25
/((_xlfn.XLOOKUP(B127,'Base stats'!B:B,'Base stats'!BI:BI))*10)*_xlfn.XLOOKUP(_xlfn.XLOOKUP(B127,'Base stats'!B:B,'Base stats'!E:E),Groups!A:A,Groups!Q:Q)*150 + 0.5 + _xlfn.XLOOKUP(B127,'Base stats'!B:B,'Base stats'!BT:BT),
0.05))</f>
        <v>No</v>
      </c>
      <c r="K127" s="3" t="str">
        <f>IF(Animals!W127="No","No",
IF(_xlfn.XLOOKUP(_xlfn.XLOOKUP(B127,'Base stats'!B:B,'Base stats'!E:E),Groups!A:A,Groups!BC:BC)=1,
MAX(MROUND(_xlfn.XLOOKUP(B127,'Base stats'!B:B,'Base stats'!BR:BR) * _xlfn.XLOOKUP(B127,'Base stats'!B:B,'Base stats'!BN:BN)^0.9 / 21 *_xlfn.XLOOKUP(B127,'Base stats'!B:B,'Base stats'!BU:BU),0.1),0.05),
MAX(MROUND(((MIN(10,_xlfn.XLOOKUP(B127,'Base stats'!B:B,'Base stats'!W:W)))^0.4*_xlfn.XLOOKUP(B127,'Base stats'!B:B,'Base stats'!BF:BF)^0.73)^0.6 *_xlfn.XLOOKUP(B127,'Base stats'!B:B,'Base stats'!BU:BU),0.1),0.05)
))</f>
        <v>No</v>
      </c>
      <c r="L127" s="11" t="str">
        <f>IF(K127="No","No",
MAX(0.01,MROUND(_xlfn.XLOOKUP(B127,'Base stats'!B:B,'Base stats'!BF:BF) * 0.01 *2, 0.01))
)</f>
        <v>No</v>
      </c>
      <c r="M127" s="5" t="str">
        <f>IF(K127="No","No",IF(_xlfn.XLOOKUP(_xlfn.XLOOKUP(B127,'Base stats'!B:B,'Base stats'!E:E),Groups!A:A,Groups!BC:BC)=1,"No",
MAX(0.01,MROUND(_xlfn.XLOOKUP(B127,'Base stats'!B:B,'Base stats'!BR:BR)/10000,0.01))
))</f>
        <v>No</v>
      </c>
      <c r="N127" s="4" t="str">
        <f>IF(K127="No","No",
MROUND(
  _xlfn.XLOOKUP(B127,'Base stats'!B:B,'Base stats'!AZ:AZ)^0.25
  / (_xlfn.XLOOKUP(B127,'Base stats'!B:B,'Base stats'!BJ:BJ)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stats'!BT:BT),
0.05))</f>
        <v>No</v>
      </c>
      <c r="O127" s="3">
        <f>IF(Animals!AC127="No","No",
MAX(MROUND((MIN(10,_xlfn.XLOOKUP(B127,'Base stats'!B:B,'Base stats'!V:V)*IF(_xlfn.XLOOKUP(_xlfn.XLOOKUP(B127,'Base stats'!B:B,'Base stats'!E:E),Groups!A:A,Groups!O:O)=0,1,0.33))^0.4*_xlfn.XLOOKUP(B127,'Base stats'!B:B,'Base stats'!BG:BG)^0.73)^0.6 *_xlfn.XLOOKUP(B127,'Base stats'!B:B,'Base stats'!BU:BU),0.1),0.05)
)</f>
        <v>43.1</v>
      </c>
      <c r="P127" s="11">
        <f>IF(O127="No","No",
MAX(0.01,MROUND(_xlfn.XLOOKUP(B127,'Base stats'!B:B,'Base stats'!BG:BG) * 0.01 * 2, 0.01))
)</f>
        <v>30.45</v>
      </c>
      <c r="Q127" s="5">
        <f>IF(O127="No","No",
MAX(0.01,MROUND(_xlfn.XLOOKUP(B127,'Base stats'!B:B,'Base stats'!BS:BS)/10000,0.01))
)</f>
        <v>0.9</v>
      </c>
      <c r="R127" s="4">
        <f>IF(O127="No","No",
MROUND(_xlfn.XLOOKUP(B127,'Base stats'!B:B,'Base stats'!AY:AY)^0.25
/((_xlfn.XLOOKUP(B127,'Base stats'!B:B,'Base stats'!BK:BK))*10)*_xlfn.XLOOKUP(_xlfn.XLOOKUP(B127,'Base stats'!B:B,'Base stats'!E:E),Groups!A:A,Groups!Z:Z)*150 + 0.5 + _xlfn.XLOOKUP(B127,'Base stats'!B:B,'Base stats'!BT:BT),
0.05))</f>
        <v>3</v>
      </c>
      <c r="S127" s="3">
        <f>IF(Animals!AH127="No","No",
IF(_xlfn.XLOOKUP(B127,'Base stats'!B:B,'Base stats'!U:U)="No",
MAX(MROUND(_xlfn.XLOOKUP(B127,'Base stats'!B:B,'Base stats'!BQ:BQ) * _xlfn.XLOOKUP(B127,'Base stats'!B:B,'Base stats'!BM:BM)^0.9 / 21 * _xlfn.XLOOKUP(B127,'Base stats'!B:B,'Base stats'!BU:BU),0.1),0.05),
MAX(MROUND(((MIN(12,_xlfn.XLOOKUP(B127,'Base stats'!B:B,'Base stats'!U:U)))^0.4*_xlfn.XLOOKUP(B127,'Base stats'!B:B,'Base stats'!BE:BE)^0.73)^0.6 * _xlfn.XLOOKUP(B127,'Base stats'!B:B,'Base stats'!BU:BU),0.1),0.05)
))</f>
        <v>39</v>
      </c>
      <c r="T127" s="11">
        <f>IF(S127="No","No",
MAX(0.01,MROUND(_xlfn.XLOOKUP(B127,'Base stats'!B:B,'Base stats'!BE:BE) * 0.01 * 2, 0.01))
)</f>
        <v>24.36</v>
      </c>
      <c r="U127" s="5">
        <f>IF(S127="No","No",IF(_xlfn.XLOOKUP(B127,'Base stats'!B:B,'Base stats'!U:U)="No","No",
MAX(0.01,MROUND(_xlfn.XLOOKUP(B127,'Base stats'!B:B,'Base stats'!BQ:BQ)/10000,0.01))
))</f>
        <v>7.19</v>
      </c>
      <c r="V127" s="4">
        <f>IF(S127="No","No",
MROUND(_xlfn.XLOOKUP(B127,'Base stats'!B:B,'Base stats'!BC:BC)^0.25
/((_xlfn.XLOOKUP(B127,'Base stats'!B:B,'Base stats'!BL:BL))*10)*_xlfn.XLOOKUP(_xlfn.XLOOKUP(B127,'Base stats'!B:B,'Base stats'!E:E),Groups!A:A,Groups!AE:AE)*150 + 0.5 + _xlfn.XLOOKUP(B127,'Base stats'!B:B,'Base stats'!BT:BT),
0.05))</f>
        <v>3.6</v>
      </c>
      <c r="W127" s="8">
        <f>MROUND(_xlfn.XLOOKUP(_xlfn.XLOOKUP(B127,'Base stats'!B:B,'Base stats'!E:E),Groups!A:A,Groups!BF:BF)*_xlfn.XLOOKUP(B127,'Base stats'!B:B,'Base stats'!C:C)^-0.165,0.01)</f>
        <v>0.09</v>
      </c>
      <c r="X127" s="1">
        <f>MROUND(_xlfn.XLOOKUP(_xlfn.XLOOKUP(B127,'Base stats'!B:B,'Base stats'!E:E),Groups!A:A,Groups!BG:BG)*_xlfn.XLOOKUP(B127,'Base stats'!B:B,'Base stats'!C:C)^0.165,0.01)</f>
        <v>0.27</v>
      </c>
      <c r="Y127" s="8">
        <f>MROUND(_xlfn.XLOOKUP(_xlfn.XLOOKUP(B127,'Base stats'!B:B,'Base stats'!E:E),Groups!A:A,Groups!BH:BH)*_xlfn.XLOOKUP(B127,'Base stats'!B:B,'Base stats'!C:C)^0.165,0.01)</f>
        <v>7.0000000000000007E-2</v>
      </c>
      <c r="Z127" s="18">
        <f>_xlfn.XLOOKUP(B127,'Base stats'!B:B,'Base stats'!AN:AN)*_xlfn.XLOOKUP(_xlfn.XLOOKUP(B127,'Base stats'!B:B,'Base stats'!E:E),Groups!A:A,Groups!H:H)/1000</f>
        <v>1.8581910148231071</v>
      </c>
      <c r="AA127" s="18">
        <f>(1/2)*(_xlfn.XLOOKUP(_xlfn.XLOOKUP(B127,'Base stats'!B:B,'Base stats'!E:E),Groups!A:A,Groups!H:H)*_xlfn.XLOOKUP(_xlfn.XLOOKUP(B127,'Base stats'!B:B,'Base stats'!E:E),Groups!A:A,Groups!I:I))*_xlfn.XLOOKUP(B127,'Base stats'!B:B,'Base stats'!AN:AN)*0.01</f>
        <v>0.12519726695616679</v>
      </c>
      <c r="AB127" s="18">
        <f>250*(Animals!AN127+Animals!AO127)</f>
        <v>1375</v>
      </c>
      <c r="AC127" s="18" t="str">
        <f>_xlfn.XLOOKUP(_xlfn.XLOOKUP(B127,'Base stats'!B:B,'Base stats'!E:E),Groups!A:A,Groups!BI:BI)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stats'!BP:BP) * (_xlfn.XLOOKUP(B128,'Base stats'!B:B,'Base stats'!AL:AL)*5%)^0.9 / 21,0.1),0.05)</f>
        <v>0.2</v>
      </c>
      <c r="E128" s="11">
        <f>MAX(0.01,MROUND(_xlfn.XLOOKUP(B128,'Base stats'!B:B,'Base stats'!BD:BD) * 0.01 * 2, 0.01))</f>
        <v>0.15</v>
      </c>
      <c r="F128" s="7">
        <f>MROUND(_xlfn.XLOOKUP(B128,'Base stats'!B:B,'Base stats'!BA:BA)^0.25 / (_xlfn.XLOOKUP(B128,'Base stats'!B:B,'Base stats'!BH:BH) * 10) * 150 + 0.5 + _xlfn.XLOOKUP(B128,'Base stats'!B:B,'Base stats'!BT:BT), 0.05)</f>
        <v>1.3</v>
      </c>
      <c r="G128" s="3" t="str">
        <f>IF(Animals!R128="No","No",
IF(_xlfn.XLOOKUP(B128,'Base stats'!B:B,'Base stats'!U:U)="No",
MAX(MROUND(_xlfn.XLOOKUP(B128,'Base stats'!B:B,'Base stats'!BQ:BQ) * _xlfn.XLOOKUP(B128,'Base stats'!B:B,'Base stats'!BM:BM)^0.9 / 21 * _xlfn.XLOOKUP(B128,'Base stats'!B:B,'Base stats'!BU:BU),0.1),0.05),
MAX(MROUND(((MIN(10,_xlfn.XLOOKUP(B128,'Base stats'!B:B,'Base stats'!U:U)))^0.4*_xlfn.XLOOKUP(B128,'Base stats'!B:B,'Base stats'!BE:BE)^0.73)^0.6 * _xlfn.XLOOKUP(B128,'Base stats'!B:B,'Base stats'!BU:BU),0.1),0.05)
))</f>
        <v>No</v>
      </c>
      <c r="H128" s="11" t="str">
        <f>IF(G128="No","No",
MAX(0.01,MROUND(_xlfn.XLOOKUP(B128,'Base stats'!B:B,'Base stats'!BE:BE) * 0.01 * 2, 0.01))
)</f>
        <v>No</v>
      </c>
      <c r="I128" s="11" t="str">
        <f>IF(G128="No","No",IF(_xlfn.XLOOKUP(B128,'Base stats'!B:B,'Base stats'!U:U)="No","No",
MAX(0.01,MROUND(_xlfn.XLOOKUP(B128,'Base stats'!B:B,'Base stats'!BQ:BQ)/10000,0.01))
))</f>
        <v>No</v>
      </c>
      <c r="J128" s="4" t="str">
        <f>IF(G128="No","No",
MROUND(_xlfn.XLOOKUP(B128,'Base stats'!B:B,'Base stats'!BB:BB)^0.25
/((_xlfn.XLOOKUP(B128,'Base stats'!B:B,'Base stats'!BI:BI))*10)*_xlfn.XLOOKUP(_xlfn.XLOOKUP(B128,'Base stats'!B:B,'Base stats'!E:E),Groups!A:A,Groups!Q:Q)*150 + 0.5 + _xlfn.XLOOKUP(B128,'Base stats'!B:B,'Base stats'!BT:BT),
0.05))</f>
        <v>No</v>
      </c>
      <c r="K128" s="3" t="str">
        <f>IF(Animals!W128="No","No",
IF(_xlfn.XLOOKUP(_xlfn.XLOOKUP(B128,'Base stats'!B:B,'Base stats'!E:E),Groups!A:A,Groups!BC:BC)=1,
MAX(MROUND(_xlfn.XLOOKUP(B128,'Base stats'!B:B,'Base stats'!BR:BR) * _xlfn.XLOOKUP(B128,'Base stats'!B:B,'Base stats'!BN:BN)^0.9 / 21 *_xlfn.XLOOKUP(B128,'Base stats'!B:B,'Base stats'!BU:BU),0.1),0.05),
MAX(MROUND(((MIN(10,_xlfn.XLOOKUP(B128,'Base stats'!B:B,'Base stats'!W:W)))^0.4*_xlfn.XLOOKUP(B128,'Base stats'!B:B,'Base stats'!BF:BF)^0.73)^0.6 *_xlfn.XLOOKUP(B128,'Base stats'!B:B,'Base stats'!BU:BU),0.1),0.05)
))</f>
        <v>No</v>
      </c>
      <c r="L128" s="11" t="str">
        <f>IF(K128="No","No",
MAX(0.01,MROUND(_xlfn.XLOOKUP(B128,'Base stats'!B:B,'Base stats'!BF:BF) * 0.01 *2, 0.01))
)</f>
        <v>No</v>
      </c>
      <c r="M128" s="5" t="str">
        <f>IF(K128="No","No",IF(_xlfn.XLOOKUP(_xlfn.XLOOKUP(B128,'Base stats'!B:B,'Base stats'!E:E),Groups!A:A,Groups!BC:BC)=1,"No",
MAX(0.01,MROUND(_xlfn.XLOOKUP(B128,'Base stats'!B:B,'Base stats'!BR:BR)/10000,0.01))
))</f>
        <v>No</v>
      </c>
      <c r="N128" s="4" t="str">
        <f>IF(K128="No","No",
MROUND(
  _xlfn.XLOOKUP(B128,'Base stats'!B:B,'Base stats'!AZ:AZ)^0.25
  / (_xlfn.XLOOKUP(B128,'Base stats'!B:B,'Base stats'!BJ:BJ)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stats'!BT:BT),
0.05))</f>
        <v>No</v>
      </c>
      <c r="O128" s="3">
        <f>IF(Animals!AC128="No","No",
MAX(MROUND((MIN(10,_xlfn.XLOOKUP(B128,'Base stats'!B:B,'Base stats'!V:V)*IF(_xlfn.XLOOKUP(_xlfn.XLOOKUP(B128,'Base stats'!B:B,'Base stats'!E:E),Groups!A:A,Groups!O:O)=0,1,0.33))^0.4*_xlfn.XLOOKUP(B128,'Base stats'!B:B,'Base stats'!BG:BG)^0.73)^0.6 *_xlfn.XLOOKUP(B128,'Base stats'!B:B,'Base stats'!BU:BU),0.1),0.05)
)</f>
        <v>3.7</v>
      </c>
      <c r="P128" s="11">
        <f>IF(O128="No","No",
MAX(0.01,MROUND(_xlfn.XLOOKUP(B128,'Base stats'!B:B,'Base stats'!BG:BG) * 0.01 * 2, 0.01))
)</f>
        <v>0.37</v>
      </c>
      <c r="Q128" s="5">
        <f>IF(O128="No","No",
MAX(0.01,MROUND(_xlfn.XLOOKUP(B128,'Base stats'!B:B,'Base stats'!BS:BS)/10000,0.01))
)</f>
        <v>7.0000000000000007E-2</v>
      </c>
      <c r="R128" s="4">
        <f>IF(O128="No","No",
MROUND(_xlfn.XLOOKUP(B128,'Base stats'!B:B,'Base stats'!AY:AY)^0.25
/((_xlfn.XLOOKUP(B128,'Base stats'!B:B,'Base stats'!BK:BK))*10)*_xlfn.XLOOKUP(_xlfn.XLOOKUP(B128,'Base stats'!B:B,'Base stats'!E:E),Groups!A:A,Groups!Z:Z)*150 + 0.5 + _xlfn.XLOOKUP(B128,'Base stats'!B:B,'Base stats'!BT:BT),
0.05))</f>
        <v>1.8</v>
      </c>
      <c r="S128" s="3">
        <f>IF(Animals!AH128="No","No",
IF(_xlfn.XLOOKUP(B128,'Base stats'!B:B,'Base stats'!U:U)="No",
MAX(MROUND(_xlfn.XLOOKUP(B128,'Base stats'!B:B,'Base stats'!BQ:BQ) * _xlfn.XLOOKUP(B128,'Base stats'!B:B,'Base stats'!BM:BM)^0.9 / 21 * _xlfn.XLOOKUP(B128,'Base stats'!B:B,'Base stats'!BU:BU),0.1),0.05),
MAX(MROUND(((MIN(12,_xlfn.XLOOKUP(B128,'Base stats'!B:B,'Base stats'!U:U)))^0.4*_xlfn.XLOOKUP(B128,'Base stats'!B:B,'Base stats'!BE:BE)^0.73)^0.6 * _xlfn.XLOOKUP(B128,'Base stats'!B:B,'Base stats'!BU:BU),0.1),0.05)
))</f>
        <v>2.9000000000000004</v>
      </c>
      <c r="T128" s="11">
        <f>IF(S128="No","No",
MAX(0.01,MROUND(_xlfn.XLOOKUP(B128,'Base stats'!B:B,'Base stats'!BE:BE) * 0.01 * 2, 0.01))
)</f>
        <v>0.22</v>
      </c>
      <c r="U128" s="5">
        <f>IF(S128="No","No",IF(_xlfn.XLOOKUP(B128,'Base stats'!B:B,'Base stats'!U:U)="No","No",
MAX(0.01,MROUND(_xlfn.XLOOKUP(B128,'Base stats'!B:B,'Base stats'!BQ:BQ)/10000,0.01))
))</f>
        <v>0.04</v>
      </c>
      <c r="V128" s="4">
        <f>IF(S128="No","No",
MROUND(_xlfn.XLOOKUP(B128,'Base stats'!B:B,'Base stats'!BC:BC)^0.25
/((_xlfn.XLOOKUP(B128,'Base stats'!B:B,'Base stats'!BL:BL))*10)*_xlfn.XLOOKUP(_xlfn.XLOOKUP(B128,'Base stats'!B:B,'Base stats'!E:E),Groups!A:A,Groups!AE:AE)*150 + 0.5 + _xlfn.XLOOKUP(B128,'Base stats'!B:B,'Base stats'!BT:BT),
0.05))</f>
        <v>1.1000000000000001</v>
      </c>
      <c r="W128" s="8">
        <f>MROUND(_xlfn.XLOOKUP(_xlfn.XLOOKUP(B128,'Base stats'!B:B,'Base stats'!E:E),Groups!A:A,Groups!BF:BF)*_xlfn.XLOOKUP(B128,'Base stats'!B:B,'Base stats'!C:C)^-0.165,0.01)</f>
        <v>0.86</v>
      </c>
      <c r="X128" s="1">
        <f>MROUND(_xlfn.XLOOKUP(_xlfn.XLOOKUP(B128,'Base stats'!B:B,'Base stats'!E:E),Groups!A:A,Groups!BG:BG)*_xlfn.XLOOKUP(B128,'Base stats'!B:B,'Base stats'!C:C)^0.165,0.01)</f>
        <v>0.25</v>
      </c>
      <c r="Y128" s="8">
        <f>MROUND(_xlfn.XLOOKUP(_xlfn.XLOOKUP(B128,'Base stats'!B:B,'Base stats'!E:E),Groups!A:A,Groups!BH:BH)*_xlfn.XLOOKUP(B128,'Base stats'!B:B,'Base stats'!C:C)^0.165,0.01)</f>
        <v>0.03</v>
      </c>
      <c r="Z128" s="18">
        <f>_xlfn.XLOOKUP(B128,'Base stats'!B:B,'Base stats'!AN:AN)*_xlfn.XLOOKUP(_xlfn.XLOOKUP(B128,'Base stats'!B:B,'Base stats'!E:E),Groups!A:A,Groups!H:H)/1000</f>
        <v>3.7182618256083683E-2</v>
      </c>
      <c r="AA128" s="18">
        <f>(1/2)*(_xlfn.XLOOKUP(_xlfn.XLOOKUP(B128,'Base stats'!B:B,'Base stats'!E:E),Groups!A:A,Groups!H:H)*_xlfn.XLOOKUP(_xlfn.XLOOKUP(B128,'Base stats'!B:B,'Base stats'!E:E),Groups!A:A,Groups!I:I))*_xlfn.XLOOKUP(B128,'Base stats'!B:B,'Base stats'!AN:AN)*0.01</f>
        <v>0.27886963692062766</v>
      </c>
      <c r="AB128" s="18">
        <f>250*(Animals!AN128+Animals!AO128)</f>
        <v>162.50000000000003</v>
      </c>
      <c r="AC128" s="18" t="str">
        <f>_xlfn.XLOOKUP(_xlfn.XLOOKUP(B128,'Base stats'!B:B,'Base stats'!E:E),Groups!A:A,Groups!BI:BI)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stats'!BP:BP) * (_xlfn.XLOOKUP(B129,'Base stats'!B:B,'Base stats'!AL:AL)*5%)^0.9 / 21,0.1),0.05)</f>
        <v>0.2</v>
      </c>
      <c r="E129" s="11">
        <f>MAX(0.01,MROUND(_xlfn.XLOOKUP(B129,'Base stats'!B:B,'Base stats'!BD:BD) * 0.01 * 2, 0.01))</f>
        <v>0.11</v>
      </c>
      <c r="F129" s="7">
        <f>MROUND(_xlfn.XLOOKUP(B129,'Base stats'!B:B,'Base stats'!BA:BA)^0.25 / (_xlfn.XLOOKUP(B129,'Base stats'!B:B,'Base stats'!BH:BH) * 10) * 150 + 0.5 + _xlfn.XLOOKUP(B129,'Base stats'!B:B,'Base stats'!BT:BT), 0.05)</f>
        <v>1.35</v>
      </c>
      <c r="G129" s="3" t="str">
        <f>IF(Animals!R129="No","No",
IF(_xlfn.XLOOKUP(B129,'Base stats'!B:B,'Base stats'!U:U)="No",
MAX(MROUND(_xlfn.XLOOKUP(B129,'Base stats'!B:B,'Base stats'!BQ:BQ) * _xlfn.XLOOKUP(B129,'Base stats'!B:B,'Base stats'!BM:BM)^0.9 / 21 * _xlfn.XLOOKUP(B129,'Base stats'!B:B,'Base stats'!BU:BU),0.1),0.05),
MAX(MROUND(((MIN(10,_xlfn.XLOOKUP(B129,'Base stats'!B:B,'Base stats'!U:U)))^0.4*_xlfn.XLOOKUP(B129,'Base stats'!B:B,'Base stats'!BE:BE)^0.73)^0.6 * _xlfn.XLOOKUP(B129,'Base stats'!B:B,'Base stats'!BU:BU),0.1),0.05)
))</f>
        <v>No</v>
      </c>
      <c r="H129" s="11" t="str">
        <f>IF(G129="No","No",
MAX(0.01,MROUND(_xlfn.XLOOKUP(B129,'Base stats'!B:B,'Base stats'!BE:BE) * 0.01 * 2, 0.01))
)</f>
        <v>No</v>
      </c>
      <c r="I129" s="11" t="str">
        <f>IF(G129="No","No",IF(_xlfn.XLOOKUP(B129,'Base stats'!B:B,'Base stats'!U:U)="No","No",
MAX(0.01,MROUND(_xlfn.XLOOKUP(B129,'Base stats'!B:B,'Base stats'!BQ:BQ)/10000,0.01))
))</f>
        <v>No</v>
      </c>
      <c r="J129" s="4" t="str">
        <f>IF(G129="No","No",
MROUND(_xlfn.XLOOKUP(B129,'Base stats'!B:B,'Base stats'!BB:BB)^0.25
/((_xlfn.XLOOKUP(B129,'Base stats'!B:B,'Base stats'!BI:BI))*10)*_xlfn.XLOOKUP(_xlfn.XLOOKUP(B129,'Base stats'!B:B,'Base stats'!E:E),Groups!A:A,Groups!Q:Q)*150 + 0.5 + _xlfn.XLOOKUP(B129,'Base stats'!B:B,'Base stats'!BT:BT),
0.05))</f>
        <v>No</v>
      </c>
      <c r="K129" s="3" t="str">
        <f>IF(Animals!W129="No","No",
IF(_xlfn.XLOOKUP(_xlfn.XLOOKUP(B129,'Base stats'!B:B,'Base stats'!E:E),Groups!A:A,Groups!BC:BC)=1,
MAX(MROUND(_xlfn.XLOOKUP(B129,'Base stats'!B:B,'Base stats'!BR:BR) * _xlfn.XLOOKUP(B129,'Base stats'!B:B,'Base stats'!BN:BN)^0.9 / 21 *_xlfn.XLOOKUP(B129,'Base stats'!B:B,'Base stats'!BU:BU),0.1),0.05),
MAX(MROUND(((MIN(10,_xlfn.XLOOKUP(B129,'Base stats'!B:B,'Base stats'!W:W)))^0.4*_xlfn.XLOOKUP(B129,'Base stats'!B:B,'Base stats'!BF:BF)^0.73)^0.6 *_xlfn.XLOOKUP(B129,'Base stats'!B:B,'Base stats'!BU:BU),0.1),0.05)
))</f>
        <v>No</v>
      </c>
      <c r="L129" s="11" t="str">
        <f>IF(K129="No","No",
MAX(0.01,MROUND(_xlfn.XLOOKUP(B129,'Base stats'!B:B,'Base stats'!BF:BF) * 0.01 *2, 0.01))
)</f>
        <v>No</v>
      </c>
      <c r="M129" s="5" t="str">
        <f>IF(K129="No","No",IF(_xlfn.XLOOKUP(_xlfn.XLOOKUP(B129,'Base stats'!B:B,'Base stats'!E:E),Groups!A:A,Groups!BC:BC)=1,"No",
MAX(0.01,MROUND(_xlfn.XLOOKUP(B129,'Base stats'!B:B,'Base stats'!BR:BR)/10000,0.01))
))</f>
        <v>No</v>
      </c>
      <c r="N129" s="4" t="str">
        <f>IF(K129="No","No",
MROUND(
  _xlfn.XLOOKUP(B129,'Base stats'!B:B,'Base stats'!AZ:AZ)^0.25
  / (_xlfn.XLOOKUP(B129,'Base stats'!B:B,'Base stats'!BJ:BJ)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stats'!BT:BT),
0.05))</f>
        <v>No</v>
      </c>
      <c r="O129" s="3">
        <f>IF(Animals!AC129="No","No",
MAX(MROUND((MIN(10,_xlfn.XLOOKUP(B129,'Base stats'!B:B,'Base stats'!V:V)*IF(_xlfn.XLOOKUP(_xlfn.XLOOKUP(B129,'Base stats'!B:B,'Base stats'!E:E),Groups!A:A,Groups!O:O)=0,1,0.33))^0.4*_xlfn.XLOOKUP(B129,'Base stats'!B:B,'Base stats'!BG:BG)^0.73)^0.6 *_xlfn.XLOOKUP(B129,'Base stats'!B:B,'Base stats'!BU:BU),0.1),0.05)
)</f>
        <v>1.5</v>
      </c>
      <c r="P129" s="11">
        <f>IF(O129="No","No",
MAX(0.01,MROUND(_xlfn.XLOOKUP(B129,'Base stats'!B:B,'Base stats'!BG:BG) * 0.01 * 2, 0.01))
)</f>
        <v>0.03</v>
      </c>
      <c r="Q129" s="5">
        <f>IF(O129="No","No",
MAX(0.01,MROUND(_xlfn.XLOOKUP(B129,'Base stats'!B:B,'Base stats'!BS:BS)/10000,0.01))
)</f>
        <v>0.01</v>
      </c>
      <c r="R129" s="4">
        <f>IF(O129="No","No",
MROUND(_xlfn.XLOOKUP(B129,'Base stats'!B:B,'Base stats'!AY:AY)^0.25
/((_xlfn.XLOOKUP(B129,'Base stats'!B:B,'Base stats'!BK:BK))*10)*_xlfn.XLOOKUP(_xlfn.XLOOKUP(B129,'Base stats'!B:B,'Base stats'!E:E),Groups!A:A,Groups!Z:Z)*150 + 0.5 + _xlfn.XLOOKUP(B129,'Base stats'!B:B,'Base stats'!BT:BT),
0.05))</f>
        <v>1.85</v>
      </c>
      <c r="S129" s="3" t="str">
        <f>IF(Animals!AH129="No","No",
IF(_xlfn.XLOOKUP(B129,'Base stats'!B:B,'Base stats'!U:U)="No",
MAX(MROUND(_xlfn.XLOOKUP(B129,'Base stats'!B:B,'Base stats'!BQ:BQ) * _xlfn.XLOOKUP(B129,'Base stats'!B:B,'Base stats'!BM:BM)^0.9 / 21 * _xlfn.XLOOKUP(B129,'Base stats'!B:B,'Base stats'!BU:BU),0.1),0.05),
MAX(MROUND(((MIN(12,_xlfn.XLOOKUP(B129,'Base stats'!B:B,'Base stats'!U:U)))^0.4*_xlfn.XLOOKUP(B129,'Base stats'!B:B,'Base stats'!BE:BE)^0.73)^0.6 * _xlfn.XLOOKUP(B129,'Base stats'!B:B,'Base stats'!BU:BU),0.1),0.05)
))</f>
        <v>No</v>
      </c>
      <c r="T129" s="11" t="str">
        <f>IF(S129="No","No",
MAX(0.01,MROUND(_xlfn.XLOOKUP(B129,'Base stats'!B:B,'Base stats'!BE:BE) * 0.01 * 2, 0.01))
)</f>
        <v>No</v>
      </c>
      <c r="U129" s="5" t="str">
        <f>IF(S129="No","No",IF(_xlfn.XLOOKUP(B129,'Base stats'!B:B,'Base stats'!U:U)="No","No",
MAX(0.01,MROUND(_xlfn.XLOOKUP(B129,'Base stats'!B:B,'Base stats'!BQ:BQ)/10000,0.01))
))</f>
        <v>No</v>
      </c>
      <c r="V129" s="4" t="str">
        <f>IF(S129="No","No",
MROUND(_xlfn.XLOOKUP(B129,'Base stats'!B:B,'Base stats'!BC:BC)^0.25
/((_xlfn.XLOOKUP(B129,'Base stats'!B:B,'Base stats'!BL:BL))*10)*_xlfn.XLOOKUP(_xlfn.XLOOKUP(B129,'Base stats'!B:B,'Base stats'!E:E),Groups!A:A,Groups!AE:AE)*150 + 0.5 + _xlfn.XLOOKUP(B129,'Base stats'!B:B,'Base stats'!BT:BT),
0.05))</f>
        <v>No</v>
      </c>
      <c r="W129" s="8">
        <f>MROUND(_xlfn.XLOOKUP(_xlfn.XLOOKUP(B129,'Base stats'!B:B,'Base stats'!E:E),Groups!A:A,Groups!BF:BF)*_xlfn.XLOOKUP(B129,'Base stats'!B:B,'Base stats'!C:C)^-0.165,0.01)</f>
        <v>0.83000000000000007</v>
      </c>
      <c r="X129" s="1">
        <f>MROUND(_xlfn.XLOOKUP(_xlfn.XLOOKUP(B129,'Base stats'!B:B,'Base stats'!E:E),Groups!A:A,Groups!BG:BG)*_xlfn.XLOOKUP(B129,'Base stats'!B:B,'Base stats'!C:C)^0.165,0.01)</f>
        <v>0</v>
      </c>
      <c r="Y129" s="8">
        <f>MROUND(_xlfn.XLOOKUP(_xlfn.XLOOKUP(B129,'Base stats'!B:B,'Base stats'!E:E),Groups!A:A,Groups!BH:BH)*_xlfn.XLOOKUP(B129,'Base stats'!B:B,'Base stats'!C:C)^0.165,0.01)</f>
        <v>0</v>
      </c>
      <c r="Z129" s="18">
        <f>_xlfn.XLOOKUP(B129,'Base stats'!B:B,'Base stats'!AN:AN)*_xlfn.XLOOKUP(_xlfn.XLOOKUP(B129,'Base stats'!B:B,'Base stats'!E:E),Groups!A:A,Groups!H:H)/1000</f>
        <v>1.22758022062484E-3</v>
      </c>
      <c r="AA129" s="18">
        <f>(1/2)*(_xlfn.XLOOKUP(_xlfn.XLOOKUP(B129,'Base stats'!B:B,'Base stats'!E:E),Groups!A:A,Groups!H:H)*_xlfn.XLOOKUP(_xlfn.XLOOKUP(B129,'Base stats'!B:B,'Base stats'!E:E),Groups!A:A,Groups!I:I))*_xlfn.XLOOKUP(B129,'Base stats'!B:B,'Base stats'!AN:AN)*0.01</f>
        <v>6.1379011031242004E-3</v>
      </c>
      <c r="AB129" s="18">
        <f>250*(Animals!AN129+Animals!AO129)</f>
        <v>125</v>
      </c>
      <c r="AC129" s="18" t="str">
        <f>_xlfn.XLOOKUP(_xlfn.XLOOKUP(B129,'Base stats'!B:B,'Base stats'!E:E),Groups!A:A,Groups!BI:BI)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stats'!BP:BP) * (_xlfn.XLOOKUP(B130,'Base stats'!B:B,'Base stats'!AL:AL)*5%)^0.9 / 21,0.1),0.05)</f>
        <v>0.9</v>
      </c>
      <c r="E130" s="11">
        <f>MAX(0.01,MROUND(_xlfn.XLOOKUP(B130,'Base stats'!B:B,'Base stats'!BD:BD) * 0.01 * 2, 0.01))</f>
        <v>0.73</v>
      </c>
      <c r="F130" s="7">
        <f>MROUND(_xlfn.XLOOKUP(B130,'Base stats'!B:B,'Base stats'!BA:BA)^0.25 / (_xlfn.XLOOKUP(B130,'Base stats'!B:B,'Base stats'!BH:BH) * 10) * 150 + 0.5 + _xlfn.XLOOKUP(B130,'Base stats'!B:B,'Base stats'!BT:BT), 0.05)</f>
        <v>1.5</v>
      </c>
      <c r="G130" s="3" t="str">
        <f>IF(Animals!R130="No","No",
IF(_xlfn.XLOOKUP(B130,'Base stats'!B:B,'Base stats'!U:U)="No",
MAX(MROUND(_xlfn.XLOOKUP(B130,'Base stats'!B:B,'Base stats'!BQ:BQ) * _xlfn.XLOOKUP(B130,'Base stats'!B:B,'Base stats'!BM:BM)^0.9 / 21 * _xlfn.XLOOKUP(B130,'Base stats'!B:B,'Base stats'!BU:BU),0.1),0.05),
MAX(MROUND(((MIN(10,_xlfn.XLOOKUP(B130,'Base stats'!B:B,'Base stats'!U:U)))^0.4*_xlfn.XLOOKUP(B130,'Base stats'!B:B,'Base stats'!BE:BE)^0.73)^0.6 * _xlfn.XLOOKUP(B130,'Base stats'!B:B,'Base stats'!BU:BU),0.1),0.05)
))</f>
        <v>No</v>
      </c>
      <c r="H130" s="11" t="str">
        <f>IF(G130="No","No",
MAX(0.01,MROUND(_xlfn.XLOOKUP(B130,'Base stats'!B:B,'Base stats'!BE:BE) * 0.01 * 2, 0.01))
)</f>
        <v>No</v>
      </c>
      <c r="I130" s="11" t="str">
        <f>IF(G130="No","No",IF(_xlfn.XLOOKUP(B130,'Base stats'!B:B,'Base stats'!U:U)="No","No",
MAX(0.01,MROUND(_xlfn.XLOOKUP(B130,'Base stats'!B:B,'Base stats'!BQ:BQ)/10000,0.01))
))</f>
        <v>No</v>
      </c>
      <c r="J130" s="4" t="str">
        <f>IF(G130="No","No",
MROUND(_xlfn.XLOOKUP(B130,'Base stats'!B:B,'Base stats'!BB:BB)^0.25
/((_xlfn.XLOOKUP(B130,'Base stats'!B:B,'Base stats'!BI:BI))*10)*_xlfn.XLOOKUP(_xlfn.XLOOKUP(B130,'Base stats'!B:B,'Base stats'!E:E),Groups!A:A,Groups!Q:Q)*150 + 0.5 + _xlfn.XLOOKUP(B130,'Base stats'!B:B,'Base stats'!BT:BT),
0.05))</f>
        <v>No</v>
      </c>
      <c r="K130" s="3" t="str">
        <f>IF(Animals!W130="No","No",
IF(_xlfn.XLOOKUP(_xlfn.XLOOKUP(B130,'Base stats'!B:B,'Base stats'!E:E),Groups!A:A,Groups!BC:BC)=1,
MAX(MROUND(_xlfn.XLOOKUP(B130,'Base stats'!B:B,'Base stats'!BR:BR) * _xlfn.XLOOKUP(B130,'Base stats'!B:B,'Base stats'!BN:BN)^0.9 / 21 *_xlfn.XLOOKUP(B130,'Base stats'!B:B,'Base stats'!BU:BU),0.1),0.05),
MAX(MROUND(((MIN(10,_xlfn.XLOOKUP(B130,'Base stats'!B:B,'Base stats'!W:W)))^0.4*_xlfn.XLOOKUP(B130,'Base stats'!B:B,'Base stats'!BF:BF)^0.73)^0.6 *_xlfn.XLOOKUP(B130,'Base stats'!B:B,'Base stats'!BU:BU),0.1),0.05)
))</f>
        <v>No</v>
      </c>
      <c r="L130" s="11" t="str">
        <f>IF(K130="No","No",
MAX(0.01,MROUND(_xlfn.XLOOKUP(B130,'Base stats'!B:B,'Base stats'!BF:BF) * 0.01 *2, 0.01))
)</f>
        <v>No</v>
      </c>
      <c r="M130" s="5" t="str">
        <f>IF(K130="No","No",IF(_xlfn.XLOOKUP(_xlfn.XLOOKUP(B130,'Base stats'!B:B,'Base stats'!E:E),Groups!A:A,Groups!BC:BC)=1,"No",
MAX(0.01,MROUND(_xlfn.XLOOKUP(B130,'Base stats'!B:B,'Base stats'!BR:BR)/10000,0.01))
))</f>
        <v>No</v>
      </c>
      <c r="N130" s="4" t="str">
        <f>IF(K130="No","No",
MROUND(
  _xlfn.XLOOKUP(B130,'Base stats'!B:B,'Base stats'!AZ:AZ)^0.25
  / (_xlfn.XLOOKUP(B130,'Base stats'!B:B,'Base stats'!BJ:BJ)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stats'!BT:BT),
0.05))</f>
        <v>No</v>
      </c>
      <c r="O130" s="3">
        <f>IF(Animals!AC130="No","No",
MAX(MROUND((MIN(10,_xlfn.XLOOKUP(B130,'Base stats'!B:B,'Base stats'!V:V)*IF(_xlfn.XLOOKUP(_xlfn.XLOOKUP(B130,'Base stats'!B:B,'Base stats'!E:E),Groups!A:A,Groups!O:O)=0,1,0.33))^0.4*_xlfn.XLOOKUP(B130,'Base stats'!B:B,'Base stats'!BG:BG)^0.73)^0.6 *_xlfn.XLOOKUP(B130,'Base stats'!B:B,'Base stats'!BU:BU),0.1),0.05)
)</f>
        <v>6.6000000000000005</v>
      </c>
      <c r="P130" s="11">
        <f>IF(O130="No","No",
MAX(0.01,MROUND(_xlfn.XLOOKUP(B130,'Base stats'!B:B,'Base stats'!BG:BG) * 0.01 * 2, 0.01))
)</f>
        <v>0.94000000000000006</v>
      </c>
      <c r="Q130" s="5">
        <f>IF(O130="No","No",
MAX(0.01,MROUND(_xlfn.XLOOKUP(B130,'Base stats'!B:B,'Base stats'!BS:BS)/10000,0.01))
)</f>
        <v>0.09</v>
      </c>
      <c r="R130" s="4">
        <f>IF(O130="No","No",
MROUND(_xlfn.XLOOKUP(B130,'Base stats'!B:B,'Base stats'!AY:AY)^0.25
/((_xlfn.XLOOKUP(B130,'Base stats'!B:B,'Base stats'!BK:BK))*10)*_xlfn.XLOOKUP(_xlfn.XLOOKUP(B130,'Base stats'!B:B,'Base stats'!E:E),Groups!A:A,Groups!Z:Z)*150 + 0.5 + _xlfn.XLOOKUP(B130,'Base stats'!B:B,'Base stats'!BT:BT),
0.05))</f>
        <v>2.1</v>
      </c>
      <c r="S130" s="3" t="str">
        <f>IF(Animals!AH130="No","No",
IF(_xlfn.XLOOKUP(B130,'Base stats'!B:B,'Base stats'!U:U)="No",
MAX(MROUND(_xlfn.XLOOKUP(B130,'Base stats'!B:B,'Base stats'!BQ:BQ) * _xlfn.XLOOKUP(B130,'Base stats'!B:B,'Base stats'!BM:BM)^0.9 / 21 * _xlfn.XLOOKUP(B130,'Base stats'!B:B,'Base stats'!BU:BU),0.1),0.05),
MAX(MROUND(((MIN(12,_xlfn.XLOOKUP(B130,'Base stats'!B:B,'Base stats'!U:U)))^0.4*_xlfn.XLOOKUP(B130,'Base stats'!B:B,'Base stats'!BE:BE)^0.73)^0.6 * _xlfn.XLOOKUP(B130,'Base stats'!B:B,'Base stats'!BU:BU),0.1),0.05)
))</f>
        <v>No</v>
      </c>
      <c r="T130" s="11" t="str">
        <f>IF(S130="No","No",
MAX(0.01,MROUND(_xlfn.XLOOKUP(B130,'Base stats'!B:B,'Base stats'!BE:BE) * 0.01 * 2, 0.01))
)</f>
        <v>No</v>
      </c>
      <c r="U130" s="5" t="str">
        <f>IF(S130="No","No",IF(_xlfn.XLOOKUP(B130,'Base stats'!B:B,'Base stats'!U:U)="No","No",
MAX(0.01,MROUND(_xlfn.XLOOKUP(B130,'Base stats'!B:B,'Base stats'!BQ:BQ)/10000,0.01))
))</f>
        <v>No</v>
      </c>
      <c r="V130" s="4" t="str">
        <f>IF(S130="No","No",
MROUND(_xlfn.XLOOKUP(B130,'Base stats'!B:B,'Base stats'!BC:BC)^0.25
/((_xlfn.XLOOKUP(B130,'Base stats'!B:B,'Base stats'!BL:BL))*10)*_xlfn.XLOOKUP(_xlfn.XLOOKUP(B130,'Base stats'!B:B,'Base stats'!E:E),Groups!A:A,Groups!AE:AE)*150 + 0.5 + _xlfn.XLOOKUP(B130,'Base stats'!B:B,'Base stats'!BT:BT),
0.05))</f>
        <v>No</v>
      </c>
      <c r="W130" s="8">
        <f>MROUND(_xlfn.XLOOKUP(_xlfn.XLOOKUP(B130,'Base stats'!B:B,'Base stats'!E:E),Groups!A:A,Groups!BF:BF)*_xlfn.XLOOKUP(B130,'Base stats'!B:B,'Base stats'!C:C)^-0.165,0.01)</f>
        <v>0.41000000000000003</v>
      </c>
      <c r="X130" s="1">
        <f>MROUND(_xlfn.XLOOKUP(_xlfn.XLOOKUP(B130,'Base stats'!B:B,'Base stats'!E:E),Groups!A:A,Groups!BG:BG)*_xlfn.XLOOKUP(B130,'Base stats'!B:B,'Base stats'!C:C)^0.165,0.01)</f>
        <v>0</v>
      </c>
      <c r="Y130" s="8">
        <f>MROUND(_xlfn.XLOOKUP(_xlfn.XLOOKUP(B130,'Base stats'!B:B,'Base stats'!E:E),Groups!A:A,Groups!BH:BH)*_xlfn.XLOOKUP(B130,'Base stats'!B:B,'Base stats'!C:C)^0.165,0.01)</f>
        <v>0</v>
      </c>
      <c r="Z130" s="18">
        <f>_xlfn.XLOOKUP(B130,'Base stats'!B:B,'Base stats'!AN:AN)*_xlfn.XLOOKUP(_xlfn.XLOOKUP(B130,'Base stats'!B:B,'Base stats'!E:E),Groups!A:A,Groups!H:H)/1000</f>
        <v>3.1585085628112672E-2</v>
      </c>
      <c r="AA130" s="18">
        <f>(1/2)*(_xlfn.XLOOKUP(_xlfn.XLOOKUP(B130,'Base stats'!B:B,'Base stats'!E:E),Groups!A:A,Groups!H:H)*_xlfn.XLOOKUP(_xlfn.XLOOKUP(B130,'Base stats'!B:B,'Base stats'!E:E),Groups!A:A,Groups!I:I))*_xlfn.XLOOKUP(B130,'Base stats'!B:B,'Base stats'!AN:AN)*0.01</f>
        <v>0.17371797095461972</v>
      </c>
      <c r="AB130" s="18">
        <f>250*(Animals!AN130+Animals!AO130)</f>
        <v>325</v>
      </c>
      <c r="AC130" s="18" t="str">
        <f>_xlfn.XLOOKUP(_xlfn.XLOOKUP(B130,'Base stats'!B:B,'Base stats'!E:E),Groups!A:A,Groups!BI:BI)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stats'!BP:BP) * (_xlfn.XLOOKUP(B131,'Base stats'!B:B,'Base stats'!AL:AL)*5%)^0.9 / 21,0.1),0.05)</f>
        <v>0.1</v>
      </c>
      <c r="E131" s="11">
        <f>MAX(0.01,MROUND(_xlfn.XLOOKUP(B131,'Base stats'!B:B,'Base stats'!BD:BD) * 0.01 * 2, 0.01))</f>
        <v>0.05</v>
      </c>
      <c r="F131" s="7">
        <f>MROUND(_xlfn.XLOOKUP(B131,'Base stats'!B:B,'Base stats'!BA:BA)^0.25 / (_xlfn.XLOOKUP(B131,'Base stats'!B:B,'Base stats'!BH:BH) * 10) * 150 + 0.5 + _xlfn.XLOOKUP(B131,'Base stats'!B:B,'Base stats'!BT:BT), 0.05)</f>
        <v>1.2000000000000002</v>
      </c>
      <c r="G131" s="3" t="str">
        <f>IF(Animals!R131="No","No",
IF(_xlfn.XLOOKUP(B131,'Base stats'!B:B,'Base stats'!U:U)="No",
MAX(MROUND(_xlfn.XLOOKUP(B131,'Base stats'!B:B,'Base stats'!BQ:BQ) * _xlfn.XLOOKUP(B131,'Base stats'!B:B,'Base stats'!BM:BM)^0.9 / 21 * _xlfn.XLOOKUP(B131,'Base stats'!B:B,'Base stats'!BU:BU),0.1),0.05),
MAX(MROUND(((MIN(10,_xlfn.XLOOKUP(B131,'Base stats'!B:B,'Base stats'!U:U)))^0.4*_xlfn.XLOOKUP(B131,'Base stats'!B:B,'Base stats'!BE:BE)^0.73)^0.6 * _xlfn.XLOOKUP(B131,'Base stats'!B:B,'Base stats'!BU:BU),0.1),0.05)
))</f>
        <v>No</v>
      </c>
      <c r="H131" s="11" t="str">
        <f>IF(G131="No","No",
MAX(0.01,MROUND(_xlfn.XLOOKUP(B131,'Base stats'!B:B,'Base stats'!BE:BE) * 0.01 * 2, 0.01))
)</f>
        <v>No</v>
      </c>
      <c r="I131" s="11" t="str">
        <f>IF(G131="No","No",IF(_xlfn.XLOOKUP(B131,'Base stats'!B:B,'Base stats'!U:U)="No","No",
MAX(0.01,MROUND(_xlfn.XLOOKUP(B131,'Base stats'!B:B,'Base stats'!BQ:BQ)/10000,0.01))
))</f>
        <v>No</v>
      </c>
      <c r="J131" s="4" t="str">
        <f>IF(G131="No","No",
MROUND(_xlfn.XLOOKUP(B131,'Base stats'!B:B,'Base stats'!BB:BB)^0.25
/((_xlfn.XLOOKUP(B131,'Base stats'!B:B,'Base stats'!BI:BI))*10)*_xlfn.XLOOKUP(_xlfn.XLOOKUP(B131,'Base stats'!B:B,'Base stats'!E:E),Groups!A:A,Groups!Q:Q)*150 + 0.5 + _xlfn.XLOOKUP(B131,'Base stats'!B:B,'Base stats'!BT:BT),
0.05))</f>
        <v>No</v>
      </c>
      <c r="K131" s="3" t="str">
        <f>IF(Animals!W131="No","No",
IF(_xlfn.XLOOKUP(_xlfn.XLOOKUP(B131,'Base stats'!B:B,'Base stats'!E:E),Groups!A:A,Groups!BC:BC)=1,
MAX(MROUND(_xlfn.XLOOKUP(B131,'Base stats'!B:B,'Base stats'!BR:BR) * _xlfn.XLOOKUP(B131,'Base stats'!B:B,'Base stats'!BN:BN)^0.9 / 21 *_xlfn.XLOOKUP(B131,'Base stats'!B:B,'Base stats'!BU:BU),0.1),0.05),
MAX(MROUND(((MIN(10,_xlfn.XLOOKUP(B131,'Base stats'!B:B,'Base stats'!W:W)))^0.4*_xlfn.XLOOKUP(B131,'Base stats'!B:B,'Base stats'!BF:BF)^0.73)^0.6 *_xlfn.XLOOKUP(B131,'Base stats'!B:B,'Base stats'!BU:BU),0.1),0.05)
))</f>
        <v>No</v>
      </c>
      <c r="L131" s="11" t="str">
        <f>IF(K131="No","No",
MAX(0.01,MROUND(_xlfn.XLOOKUP(B131,'Base stats'!B:B,'Base stats'!BF:BF) * 0.01 *2, 0.01))
)</f>
        <v>No</v>
      </c>
      <c r="M131" s="5" t="str">
        <f>IF(K131="No","No",IF(_xlfn.XLOOKUP(_xlfn.XLOOKUP(B131,'Base stats'!B:B,'Base stats'!E:E),Groups!A:A,Groups!BC:BC)=1,"No",
MAX(0.01,MROUND(_xlfn.XLOOKUP(B131,'Base stats'!B:B,'Base stats'!BR:BR)/10000,0.01))
))</f>
        <v>No</v>
      </c>
      <c r="N131" s="4" t="str">
        <f>IF(K131="No","No",
MROUND(
  _xlfn.XLOOKUP(B131,'Base stats'!B:B,'Base stats'!AZ:AZ)^0.25
  / (_xlfn.XLOOKUP(B131,'Base stats'!B:B,'Base stats'!BJ:BJ)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stats'!BT:BT),
0.05))</f>
        <v>No</v>
      </c>
      <c r="O131" s="3">
        <f>IF(Animals!AC131="No","No",
MAX(MROUND((MIN(10,_xlfn.XLOOKUP(B131,'Base stats'!B:B,'Base stats'!V:V)*IF(_xlfn.XLOOKUP(_xlfn.XLOOKUP(B131,'Base stats'!B:B,'Base stats'!E:E),Groups!A:A,Groups!O:O)=0,1,0.33))^0.4*_xlfn.XLOOKUP(B131,'Base stats'!B:B,'Base stats'!BG:BG)^0.73)^0.6 *_xlfn.XLOOKUP(B131,'Base stats'!B:B,'Base stats'!BU:BU),0.1),0.05)
)</f>
        <v>1.6</v>
      </c>
      <c r="P131" s="11">
        <f>IF(O131="No","No",
MAX(0.01,MROUND(_xlfn.XLOOKUP(B131,'Base stats'!B:B,'Base stats'!BG:BG) * 0.01 * 2, 0.01))
)</f>
        <v>0.09</v>
      </c>
      <c r="Q131" s="5">
        <f>IF(O131="No","No",
MAX(0.01,MROUND(_xlfn.XLOOKUP(B131,'Base stats'!B:B,'Base stats'!BS:BS)/10000,0.01))
)</f>
        <v>0.03</v>
      </c>
      <c r="R131" s="4">
        <f>IF(O131="No","No",
MROUND(_xlfn.XLOOKUP(B131,'Base stats'!B:B,'Base stats'!AY:AY)^0.25
/((_xlfn.XLOOKUP(B131,'Base stats'!B:B,'Base stats'!BK:BK))*10)*_xlfn.XLOOKUP(_xlfn.XLOOKUP(B131,'Base stats'!B:B,'Base stats'!E:E),Groups!A:A,Groups!Z:Z)*150 + 0.5 + _xlfn.XLOOKUP(B131,'Base stats'!B:B,'Base stats'!BT:BT),
0.05))</f>
        <v>1.7000000000000002</v>
      </c>
      <c r="S131" s="3" t="str">
        <f>IF(Animals!AH131="No","No",
IF(_xlfn.XLOOKUP(B131,'Base stats'!B:B,'Base stats'!U:U)="No",
MAX(MROUND(_xlfn.XLOOKUP(B131,'Base stats'!B:B,'Base stats'!BQ:BQ) * _xlfn.XLOOKUP(B131,'Base stats'!B:B,'Base stats'!BM:BM)^0.9 / 21 * _xlfn.XLOOKUP(B131,'Base stats'!B:B,'Base stats'!BU:BU),0.1),0.05),
MAX(MROUND(((MIN(12,_xlfn.XLOOKUP(B131,'Base stats'!B:B,'Base stats'!U:U)))^0.4*_xlfn.XLOOKUP(B131,'Base stats'!B:B,'Base stats'!BE:BE)^0.73)^0.6 * _xlfn.XLOOKUP(B131,'Base stats'!B:B,'Base stats'!BU:BU),0.1),0.05)
))</f>
        <v>No</v>
      </c>
      <c r="T131" s="11" t="str">
        <f>IF(S131="No","No",
MAX(0.01,MROUND(_xlfn.XLOOKUP(B131,'Base stats'!B:B,'Base stats'!BE:BE) * 0.01 * 2, 0.01))
)</f>
        <v>No</v>
      </c>
      <c r="U131" s="5" t="str">
        <f>IF(S131="No","No",IF(_xlfn.XLOOKUP(B131,'Base stats'!B:B,'Base stats'!U:U)="No","No",
MAX(0.01,MROUND(_xlfn.XLOOKUP(B131,'Base stats'!B:B,'Base stats'!BQ:BQ)/10000,0.01))
))</f>
        <v>No</v>
      </c>
      <c r="V131" s="4" t="str">
        <f>IF(S131="No","No",
MROUND(_xlfn.XLOOKUP(B131,'Base stats'!B:B,'Base stats'!BC:BC)^0.25
/((_xlfn.XLOOKUP(B131,'Base stats'!B:B,'Base stats'!BL:BL))*10)*_xlfn.XLOOKUP(_xlfn.XLOOKUP(B131,'Base stats'!B:B,'Base stats'!E:E),Groups!A:A,Groups!AE:AE)*150 + 0.5 + _xlfn.XLOOKUP(B131,'Base stats'!B:B,'Base stats'!BT:BT),
0.05))</f>
        <v>No</v>
      </c>
      <c r="W131" s="8">
        <f>MROUND(_xlfn.XLOOKUP(_xlfn.XLOOKUP(B131,'Base stats'!B:B,'Base stats'!E:E),Groups!A:A,Groups!BF:BF)*_xlfn.XLOOKUP(B131,'Base stats'!B:B,'Base stats'!C:C)^-0.165,0.01)</f>
        <v>0.68</v>
      </c>
      <c r="X131" s="1">
        <f>MROUND(_xlfn.XLOOKUP(_xlfn.XLOOKUP(B131,'Base stats'!B:B,'Base stats'!E:E),Groups!A:A,Groups!BG:BG)*_xlfn.XLOOKUP(B131,'Base stats'!B:B,'Base stats'!C:C)^0.165,0.01)</f>
        <v>0</v>
      </c>
      <c r="Y131" s="8">
        <f>MROUND(_xlfn.XLOOKUP(_xlfn.XLOOKUP(B131,'Base stats'!B:B,'Base stats'!E:E),Groups!A:A,Groups!BH:BH)*_xlfn.XLOOKUP(B131,'Base stats'!B:B,'Base stats'!C:C)^0.165,0.01)</f>
        <v>0</v>
      </c>
      <c r="Z131" s="18">
        <f>_xlfn.XLOOKUP(B131,'Base stats'!B:B,'Base stats'!AN:AN)*_xlfn.XLOOKUP(_xlfn.XLOOKUP(B131,'Base stats'!B:B,'Base stats'!E:E),Groups!A:A,Groups!H:H)/1000</f>
        <v>1.3135632589325843E-2</v>
      </c>
      <c r="AA131" s="18">
        <f>(1/2)*(_xlfn.XLOOKUP(_xlfn.XLOOKUP(B131,'Base stats'!B:B,'Base stats'!E:E),Groups!A:A,Groups!H:H)*_xlfn.XLOOKUP(_xlfn.XLOOKUP(B131,'Base stats'!B:B,'Base stats'!E:E),Groups!A:A,Groups!I:I))*_xlfn.XLOOKUP(B131,'Base stats'!B:B,'Base stats'!AN:AN)*0.01</f>
        <v>7.2245979241292155E-2</v>
      </c>
      <c r="AB131" s="18">
        <f>250*(Animals!AN131+Animals!AO131)</f>
        <v>75.000000000000014</v>
      </c>
      <c r="AC131" s="18" t="str">
        <f>_xlfn.XLOOKUP(_xlfn.XLOOKUP(B131,'Base stats'!B:B,'Base stats'!E:E),Groups!A:A,Groups!BI:BI)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stats'!BP:BP) * (_xlfn.XLOOKUP(B132,'Base stats'!B:B,'Base stats'!AL:AL)*5%)^0.9 / 21,0.1),0.05)</f>
        <v>2.8000000000000003</v>
      </c>
      <c r="E132" s="11">
        <f>MAX(0.01,MROUND(_xlfn.XLOOKUP(B132,'Base stats'!B:B,'Base stats'!BD:BD) * 0.01 * 2, 0.01))</f>
        <v>2.36</v>
      </c>
      <c r="F132" s="7">
        <f>MROUND(_xlfn.XLOOKUP(B132,'Base stats'!B:B,'Base stats'!BA:BA)^0.25 / (_xlfn.XLOOKUP(B132,'Base stats'!B:B,'Base stats'!BH:BH) * 10) * 150 + 0.5 + _xlfn.XLOOKUP(B132,'Base stats'!B:B,'Base stats'!BT:BT), 0.05)</f>
        <v>2.0500000000000003</v>
      </c>
      <c r="G132" s="3" t="str">
        <f>IF(Animals!R132="No","No",
IF(_xlfn.XLOOKUP(B132,'Base stats'!B:B,'Base stats'!U:U)="No",
MAX(MROUND(_xlfn.XLOOKUP(B132,'Base stats'!B:B,'Base stats'!BQ:BQ) * _xlfn.XLOOKUP(B132,'Base stats'!B:B,'Base stats'!BM:BM)^0.9 / 21 * _xlfn.XLOOKUP(B132,'Base stats'!B:B,'Base stats'!BU:BU),0.1),0.05),
MAX(MROUND(((MIN(10,_xlfn.XLOOKUP(B132,'Base stats'!B:B,'Base stats'!U:U)))^0.4*_xlfn.XLOOKUP(B132,'Base stats'!B:B,'Base stats'!BE:BE)^0.73)^0.6 * _xlfn.XLOOKUP(B132,'Base stats'!B:B,'Base stats'!BU:BU),0.1),0.05)
))</f>
        <v>No</v>
      </c>
      <c r="H132" s="11" t="str">
        <f>IF(G132="No","No",
MAX(0.01,MROUND(_xlfn.XLOOKUP(B132,'Base stats'!B:B,'Base stats'!BE:BE) * 0.01 * 2, 0.01))
)</f>
        <v>No</v>
      </c>
      <c r="I132" s="11" t="str">
        <f>IF(G132="No","No",IF(_xlfn.XLOOKUP(B132,'Base stats'!B:B,'Base stats'!U:U)="No","No",
MAX(0.01,MROUND(_xlfn.XLOOKUP(B132,'Base stats'!B:B,'Base stats'!BQ:BQ)/10000,0.01))
))</f>
        <v>No</v>
      </c>
      <c r="J132" s="4" t="str">
        <f>IF(G132="No","No",
MROUND(_xlfn.XLOOKUP(B132,'Base stats'!B:B,'Base stats'!BB:BB)^0.25
/((_xlfn.XLOOKUP(B132,'Base stats'!B:B,'Base stats'!BI:BI))*10)*_xlfn.XLOOKUP(_xlfn.XLOOKUP(B132,'Base stats'!B:B,'Base stats'!E:E),Groups!A:A,Groups!Q:Q)*150 + 0.5 + _xlfn.XLOOKUP(B132,'Base stats'!B:B,'Base stats'!BT:BT),
0.05))</f>
        <v>No</v>
      </c>
      <c r="K132" s="3" t="str">
        <f>IF(Animals!W132="No","No",
IF(_xlfn.XLOOKUP(_xlfn.XLOOKUP(B132,'Base stats'!B:B,'Base stats'!E:E),Groups!A:A,Groups!BC:BC)=1,
MAX(MROUND(_xlfn.XLOOKUP(B132,'Base stats'!B:B,'Base stats'!BR:BR) * _xlfn.XLOOKUP(B132,'Base stats'!B:B,'Base stats'!BN:BN)^0.9 / 21 *_xlfn.XLOOKUP(B132,'Base stats'!B:B,'Base stats'!BU:BU),0.1),0.05),
MAX(MROUND(((MIN(10,_xlfn.XLOOKUP(B132,'Base stats'!B:B,'Base stats'!W:W)))^0.4*_xlfn.XLOOKUP(B132,'Base stats'!B:B,'Base stats'!BF:BF)^0.73)^0.6 *_xlfn.XLOOKUP(B132,'Base stats'!B:B,'Base stats'!BU:BU),0.1),0.05)
))</f>
        <v>No</v>
      </c>
      <c r="L132" s="11" t="str">
        <f>IF(K132="No","No",
MAX(0.01,MROUND(_xlfn.XLOOKUP(B132,'Base stats'!B:B,'Base stats'!BF:BF) * 0.01 *2, 0.01))
)</f>
        <v>No</v>
      </c>
      <c r="M132" s="5" t="str">
        <f>IF(K132="No","No",IF(_xlfn.XLOOKUP(_xlfn.XLOOKUP(B132,'Base stats'!B:B,'Base stats'!E:E),Groups!A:A,Groups!BC:BC)=1,"No",
MAX(0.01,MROUND(_xlfn.XLOOKUP(B132,'Base stats'!B:B,'Base stats'!BR:BR)/10000,0.01))
))</f>
        <v>No</v>
      </c>
      <c r="N132" s="4" t="str">
        <f>IF(K132="No","No",
MROUND(
  _xlfn.XLOOKUP(B132,'Base stats'!B:B,'Base stats'!AZ:AZ)^0.25
  / (_xlfn.XLOOKUP(B132,'Base stats'!B:B,'Base stats'!BJ:BJ)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stats'!BT:BT),
0.05))</f>
        <v>No</v>
      </c>
      <c r="O132" s="3">
        <f>IF(Animals!AC132="No","No",
MAX(MROUND((MIN(10,_xlfn.XLOOKUP(B132,'Base stats'!B:B,'Base stats'!V:V)*IF(_xlfn.XLOOKUP(_xlfn.XLOOKUP(B132,'Base stats'!B:B,'Base stats'!E:E),Groups!A:A,Groups!O:O)=0,1,0.33))^0.4*_xlfn.XLOOKUP(B132,'Base stats'!B:B,'Base stats'!BG:BG)^0.73)^0.6 *_xlfn.XLOOKUP(B132,'Base stats'!B:B,'Base stats'!BU:BU),0.1),0.05)
)</f>
        <v>22.200000000000003</v>
      </c>
      <c r="P132" s="11">
        <f>IF(O132="No","No",
MAX(0.01,MROUND(_xlfn.XLOOKUP(B132,'Base stats'!B:B,'Base stats'!BG:BG) * 0.01 * 2, 0.01))
)</f>
        <v>10.200000000000001</v>
      </c>
      <c r="Q132" s="5">
        <f>IF(O132="No","No",
MAX(0.01,MROUND(_xlfn.XLOOKUP(B132,'Base stats'!B:B,'Base stats'!BS:BS)/10000,0.01))
)</f>
        <v>0.55000000000000004</v>
      </c>
      <c r="R132" s="4">
        <f>IF(O132="No","No",
MROUND(_xlfn.XLOOKUP(B132,'Base stats'!B:B,'Base stats'!AY:AY)^0.25
/((_xlfn.XLOOKUP(B132,'Base stats'!B:B,'Base stats'!BK:BK))*10)*_xlfn.XLOOKUP(_xlfn.XLOOKUP(B132,'Base stats'!B:B,'Base stats'!E:E),Groups!A:A,Groups!Z:Z)*150 + 0.5 + _xlfn.XLOOKUP(B132,'Base stats'!B:B,'Base stats'!BT:BT),
0.05))</f>
        <v>2.1</v>
      </c>
      <c r="S132" s="3">
        <f>IF(Animals!AH132="No","No",
IF(_xlfn.XLOOKUP(B132,'Base stats'!B:B,'Base stats'!U:U)="No",
MAX(MROUND(_xlfn.XLOOKUP(B132,'Base stats'!B:B,'Base stats'!BQ:BQ) * _xlfn.XLOOKUP(B132,'Base stats'!B:B,'Base stats'!BM:BM)^0.9 / 21 * _xlfn.XLOOKUP(B132,'Base stats'!B:B,'Base stats'!BU:BU),0.1),0.05),
MAX(MROUND(((MIN(12,_xlfn.XLOOKUP(B132,'Base stats'!B:B,'Base stats'!U:U)))^0.4*_xlfn.XLOOKUP(B132,'Base stats'!B:B,'Base stats'!BE:BE)^0.73)^0.6 * _xlfn.XLOOKUP(B132,'Base stats'!B:B,'Base stats'!BU:BU),0.1),0.05)
))</f>
        <v>13.5</v>
      </c>
      <c r="T132" s="11">
        <f>IF(S132="No","No",
MAX(0.01,MROUND(_xlfn.XLOOKUP(B132,'Base stats'!B:B,'Base stats'!BE:BE) * 0.01 * 2, 0.01))
)</f>
        <v>2.99</v>
      </c>
      <c r="U132" s="5">
        <f>IF(S132="No","No",IF(_xlfn.XLOOKUP(B132,'Base stats'!B:B,'Base stats'!U:U)="No","No",
MAX(0.01,MROUND(_xlfn.XLOOKUP(B132,'Base stats'!B:B,'Base stats'!BQ:BQ)/10000,0.01))
))</f>
        <v>0.16</v>
      </c>
      <c r="V132" s="4">
        <f>IF(S132="No","No",
MROUND(_xlfn.XLOOKUP(B132,'Base stats'!B:B,'Base stats'!BC:BC)^0.25
/((_xlfn.XLOOKUP(B132,'Base stats'!B:B,'Base stats'!BL:BL))*10)*_xlfn.XLOOKUP(_xlfn.XLOOKUP(B132,'Base stats'!B:B,'Base stats'!E:E),Groups!A:A,Groups!AE:AE)*150 + 0.5 + _xlfn.XLOOKUP(B132,'Base stats'!B:B,'Base stats'!BT:BT),
0.05))</f>
        <v>1.4500000000000002</v>
      </c>
      <c r="W132" s="8">
        <f>MROUND(_xlfn.XLOOKUP(_xlfn.XLOOKUP(B132,'Base stats'!B:B,'Base stats'!E:E),Groups!A:A,Groups!BF:BF)*_xlfn.XLOOKUP(B132,'Base stats'!B:B,'Base stats'!C:C)^-0.165,0.01)</f>
        <v>0.59</v>
      </c>
      <c r="X132" s="1">
        <f>MROUND(_xlfn.XLOOKUP(_xlfn.XLOOKUP(B132,'Base stats'!B:B,'Base stats'!E:E),Groups!A:A,Groups!BG:BG)*_xlfn.XLOOKUP(B132,'Base stats'!B:B,'Base stats'!C:C)^0.165,0.01)</f>
        <v>0.53</v>
      </c>
      <c r="Y132" s="8">
        <f>MROUND(_xlfn.XLOOKUP(_xlfn.XLOOKUP(B132,'Base stats'!B:B,'Base stats'!E:E),Groups!A:A,Groups!BH:BH)*_xlfn.XLOOKUP(B132,'Base stats'!B:B,'Base stats'!C:C)^0.165,0.01)</f>
        <v>0.05</v>
      </c>
      <c r="Z132" s="18">
        <f>_xlfn.XLOOKUP(B132,'Base stats'!B:B,'Base stats'!AN:AN)*_xlfn.XLOOKUP(_xlfn.XLOOKUP(B132,'Base stats'!B:B,'Base stats'!E:E),Groups!A:A,Groups!H:H)/1000</f>
        <v>0.10783002301540008</v>
      </c>
      <c r="AA132" s="18">
        <f>(1/2)*(_xlfn.XLOOKUP(_xlfn.XLOOKUP(B132,'Base stats'!B:B,'Base stats'!E:E),Groups!A:A,Groups!H:H)*_xlfn.XLOOKUP(_xlfn.XLOOKUP(B132,'Base stats'!B:B,'Base stats'!E:E),Groups!A:A,Groups!I:I))*_xlfn.XLOOKUP(B132,'Base stats'!B:B,'Base stats'!AN:AN)*0.01</f>
        <v>0.8087251726155007</v>
      </c>
      <c r="AB132" s="18">
        <f>250*(Animals!AN132+Animals!AO132)</f>
        <v>637.50000000000011</v>
      </c>
      <c r="AC132" s="18" t="str">
        <f>_xlfn.XLOOKUP(_xlfn.XLOOKUP(B132,'Base stats'!B:B,'Base stats'!E:E),Groups!A:A,Groups!BI:BI)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stats'!BP:BP) * (_xlfn.XLOOKUP(B133,'Base stats'!B:B,'Base stats'!AL:AL)*5%)^0.9 / 21,0.1),0.05)</f>
        <v>0.1</v>
      </c>
      <c r="E133" s="11">
        <f>MAX(0.01,MROUND(_xlfn.XLOOKUP(B133,'Base stats'!B:B,'Base stats'!BD:BD) * 0.01 * 2, 0.01))</f>
        <v>0.09</v>
      </c>
      <c r="F133" s="7">
        <f>MROUND(_xlfn.XLOOKUP(B133,'Base stats'!B:B,'Base stats'!BA:BA)^0.25 / (_xlfn.XLOOKUP(B133,'Base stats'!B:B,'Base stats'!BH:BH) * 10) * 150 + 0.5 + _xlfn.XLOOKUP(B133,'Base stats'!B:B,'Base stats'!BT:BT), 0.05)</f>
        <v>1.3</v>
      </c>
      <c r="G133" s="3" t="str">
        <f>IF(Animals!R133="No","No",
IF(_xlfn.XLOOKUP(B133,'Base stats'!B:B,'Base stats'!U:U)="No",
MAX(MROUND(_xlfn.XLOOKUP(B133,'Base stats'!B:B,'Base stats'!BQ:BQ) * _xlfn.XLOOKUP(B133,'Base stats'!B:B,'Base stats'!BM:BM)^0.9 / 21 * _xlfn.XLOOKUP(B133,'Base stats'!B:B,'Base stats'!BU:BU),0.1),0.05),
MAX(MROUND(((MIN(10,_xlfn.XLOOKUP(B133,'Base stats'!B:B,'Base stats'!U:U)))^0.4*_xlfn.XLOOKUP(B133,'Base stats'!B:B,'Base stats'!BE:BE)^0.73)^0.6 * _xlfn.XLOOKUP(B133,'Base stats'!B:B,'Base stats'!BU:BU),0.1),0.05)
))</f>
        <v>No</v>
      </c>
      <c r="H133" s="11" t="str">
        <f>IF(G133="No","No",
MAX(0.01,MROUND(_xlfn.XLOOKUP(B133,'Base stats'!B:B,'Base stats'!BE:BE) * 0.01 * 2, 0.01))
)</f>
        <v>No</v>
      </c>
      <c r="I133" s="11" t="str">
        <f>IF(G133="No","No",IF(_xlfn.XLOOKUP(B133,'Base stats'!B:B,'Base stats'!U:U)="No","No",
MAX(0.01,MROUND(_xlfn.XLOOKUP(B133,'Base stats'!B:B,'Base stats'!BQ:BQ)/10000,0.01))
))</f>
        <v>No</v>
      </c>
      <c r="J133" s="4" t="str">
        <f>IF(G133="No","No",
MROUND(_xlfn.XLOOKUP(B133,'Base stats'!B:B,'Base stats'!BB:BB)^0.25
/((_xlfn.XLOOKUP(B133,'Base stats'!B:B,'Base stats'!BI:BI))*10)*_xlfn.XLOOKUP(_xlfn.XLOOKUP(B133,'Base stats'!B:B,'Base stats'!E:E),Groups!A:A,Groups!Q:Q)*150 + 0.5 + _xlfn.XLOOKUP(B133,'Base stats'!B:B,'Base stats'!BT:BT),
0.05))</f>
        <v>No</v>
      </c>
      <c r="K133" s="3" t="str">
        <f>IF(Animals!W133="No","No",
IF(_xlfn.XLOOKUP(_xlfn.XLOOKUP(B133,'Base stats'!B:B,'Base stats'!E:E),Groups!A:A,Groups!BC:BC)=1,
MAX(MROUND(_xlfn.XLOOKUP(B133,'Base stats'!B:B,'Base stats'!BR:BR) * _xlfn.XLOOKUP(B133,'Base stats'!B:B,'Base stats'!BN:BN)^0.9 / 21 *_xlfn.XLOOKUP(B133,'Base stats'!B:B,'Base stats'!BU:BU),0.1),0.05),
MAX(MROUND(((MIN(10,_xlfn.XLOOKUP(B133,'Base stats'!B:B,'Base stats'!W:W)))^0.4*_xlfn.XLOOKUP(B133,'Base stats'!B:B,'Base stats'!BF:BF)^0.73)^0.6 *_xlfn.XLOOKUP(B133,'Base stats'!B:B,'Base stats'!BU:BU),0.1),0.05)
))</f>
        <v>No</v>
      </c>
      <c r="L133" s="11" t="str">
        <f>IF(K133="No","No",
MAX(0.01,MROUND(_xlfn.XLOOKUP(B133,'Base stats'!B:B,'Base stats'!BF:BF) * 0.01 *2, 0.01))
)</f>
        <v>No</v>
      </c>
      <c r="M133" s="5" t="str">
        <f>IF(K133="No","No",IF(_xlfn.XLOOKUP(_xlfn.XLOOKUP(B133,'Base stats'!B:B,'Base stats'!E:E),Groups!A:A,Groups!BC:BC)=1,"No",
MAX(0.01,MROUND(_xlfn.XLOOKUP(B133,'Base stats'!B:B,'Base stats'!BR:BR)/10000,0.01))
))</f>
        <v>No</v>
      </c>
      <c r="N133" s="4" t="str">
        <f>IF(K133="No","No",
MROUND(
  _xlfn.XLOOKUP(B133,'Base stats'!B:B,'Base stats'!AZ:AZ)^0.25
  / (_xlfn.XLOOKUP(B133,'Base stats'!B:B,'Base stats'!BJ:BJ)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stats'!BT:BT),
0.05))</f>
        <v>No</v>
      </c>
      <c r="O133" s="3">
        <f>IF(Animals!AC133="No","No",
MAX(MROUND((MIN(10,_xlfn.XLOOKUP(B133,'Base stats'!B:B,'Base stats'!V:V)*IF(_xlfn.XLOOKUP(_xlfn.XLOOKUP(B133,'Base stats'!B:B,'Base stats'!E:E),Groups!A:A,Groups!O:O)=0,1,0.33))^0.4*_xlfn.XLOOKUP(B133,'Base stats'!B:B,'Base stats'!BG:BG)^0.73)^0.6 *_xlfn.XLOOKUP(B133,'Base stats'!B:B,'Base stats'!BU:BU),0.1),0.05)
)</f>
        <v>1.7000000000000002</v>
      </c>
      <c r="P133" s="11">
        <f>IF(O133="No","No",
MAX(0.01,MROUND(_xlfn.XLOOKUP(B133,'Base stats'!B:B,'Base stats'!BG:BG) * 0.01 * 2, 0.01))
)</f>
        <v>7.0000000000000007E-2</v>
      </c>
      <c r="Q133" s="5">
        <f>IF(O133="No","No",
MAX(0.01,MROUND(_xlfn.XLOOKUP(B133,'Base stats'!B:B,'Base stats'!BS:BS)/10000,0.01))
)</f>
        <v>0.02</v>
      </c>
      <c r="R133" s="4">
        <f>IF(O133="No","No",
MROUND(_xlfn.XLOOKUP(B133,'Base stats'!B:B,'Base stats'!AY:AY)^0.25
/((_xlfn.XLOOKUP(B133,'Base stats'!B:B,'Base stats'!BK:BK))*10)*_xlfn.XLOOKUP(_xlfn.XLOOKUP(B133,'Base stats'!B:B,'Base stats'!E:E),Groups!A:A,Groups!Z:Z)*150 + 0.5 + _xlfn.XLOOKUP(B133,'Base stats'!B:B,'Base stats'!BT:BT),
0.05))</f>
        <v>1.8</v>
      </c>
      <c r="S133" s="3">
        <f>IF(Animals!AH133="No","No",
IF(_xlfn.XLOOKUP(B133,'Base stats'!B:B,'Base stats'!U:U)="No",
MAX(MROUND(_xlfn.XLOOKUP(B133,'Base stats'!B:B,'Base stats'!BQ:BQ) * _xlfn.XLOOKUP(B133,'Base stats'!B:B,'Base stats'!BM:BM)^0.9 / 21 * _xlfn.XLOOKUP(B133,'Base stats'!B:B,'Base stats'!BU:BU),0.1),0.05),
MAX(MROUND(((MIN(12,_xlfn.XLOOKUP(B133,'Base stats'!B:B,'Base stats'!U:U)))^0.4*_xlfn.XLOOKUP(B133,'Base stats'!B:B,'Base stats'!BE:BE)^0.73)^0.6 * _xlfn.XLOOKUP(B133,'Base stats'!B:B,'Base stats'!BU:BU),0.1),0.05)
))</f>
        <v>0.4</v>
      </c>
      <c r="T133" s="11">
        <f>IF(S133="No","No",
MAX(0.01,MROUND(_xlfn.XLOOKUP(B133,'Base stats'!B:B,'Base stats'!BE:BE) * 0.01 * 2, 0.01))
)</f>
        <v>0.14000000000000001</v>
      </c>
      <c r="U133" s="5" t="str">
        <f>IF(S133="No","No",IF(_xlfn.XLOOKUP(B133,'Base stats'!B:B,'Base stats'!U:U)="No","No",
MAX(0.01,MROUND(_xlfn.XLOOKUP(B133,'Base stats'!B:B,'Base stats'!BQ:BQ)/10000,0.01))
))</f>
        <v>No</v>
      </c>
      <c r="V133" s="4">
        <f>IF(S133="No","No",
MROUND(_xlfn.XLOOKUP(B133,'Base stats'!B:B,'Base stats'!BC:BC)^0.25
/((_xlfn.XLOOKUP(B133,'Base stats'!B:B,'Base stats'!BL:BL))*10)*_xlfn.XLOOKUP(_xlfn.XLOOKUP(B133,'Base stats'!B:B,'Base stats'!E:E),Groups!A:A,Groups!AE:AE)*150 + 0.5 + _xlfn.XLOOKUP(B133,'Base stats'!B:B,'Base stats'!BT:BT),
0.05))</f>
        <v>1.1000000000000001</v>
      </c>
      <c r="W133" s="8">
        <f>MROUND(_xlfn.XLOOKUP(_xlfn.XLOOKUP(B133,'Base stats'!B:B,'Base stats'!E:E),Groups!A:A,Groups!BF:BF)*_xlfn.XLOOKUP(B133,'Base stats'!B:B,'Base stats'!C:C)^-0.165,0.01)</f>
        <v>0.86</v>
      </c>
      <c r="X133" s="1">
        <f>MROUND(_xlfn.XLOOKUP(_xlfn.XLOOKUP(B133,'Base stats'!B:B,'Base stats'!E:E),Groups!A:A,Groups!BG:BG)*_xlfn.XLOOKUP(B133,'Base stats'!B:B,'Base stats'!C:C)^0.165,0.01)</f>
        <v>0.12</v>
      </c>
      <c r="Y133" s="8">
        <f>MROUND(_xlfn.XLOOKUP(_xlfn.XLOOKUP(B133,'Base stats'!B:B,'Base stats'!E:E),Groups!A:A,Groups!BH:BH)*_xlfn.XLOOKUP(B133,'Base stats'!B:B,'Base stats'!C:C)^0.165,0.01)</f>
        <v>0.06</v>
      </c>
      <c r="Z133" s="18">
        <f>_xlfn.XLOOKUP(B133,'Base stats'!B:B,'Base stats'!AN:AN)*_xlfn.XLOOKUP(_xlfn.XLOOKUP(B133,'Base stats'!B:B,'Base stats'!E:E),Groups!A:A,Groups!H:H)/1000</f>
        <v>1.6301321710068279E-2</v>
      </c>
      <c r="AA133" s="18">
        <f>(1/2)*(_xlfn.XLOOKUP(_xlfn.XLOOKUP(B133,'Base stats'!B:B,'Base stats'!E:E),Groups!A:A,Groups!H:H)*_xlfn.XLOOKUP(_xlfn.XLOOKUP(B133,'Base stats'!B:B,'Base stats'!E:E),Groups!A:A,Groups!I:I))*_xlfn.XLOOKUP(B133,'Base stats'!B:B,'Base stats'!AN:AN)*0.01</f>
        <v>8.965726940537555E-2</v>
      </c>
      <c r="AB133" s="18">
        <f>250*(Animals!AN133+Animals!AO133)</f>
        <v>125</v>
      </c>
      <c r="AC133" s="18" t="str">
        <f>_xlfn.XLOOKUP(_xlfn.XLOOKUP(B133,'Base stats'!B:B,'Base stats'!E:E),Groups!A:A,Groups!BI:BI)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stats'!BP:BP) * (_xlfn.XLOOKUP(B134,'Base stats'!B:B,'Base stats'!AL:AL)*5%)^0.9 / 21,0.1),0.05)</f>
        <v>0.70000000000000007</v>
      </c>
      <c r="E134" s="11">
        <f>MAX(0.01,MROUND(_xlfn.XLOOKUP(B134,'Base stats'!B:B,'Base stats'!BD:BD) * 0.01 * 2, 0.01))</f>
        <v>0.55000000000000004</v>
      </c>
      <c r="F134" s="7">
        <f>MROUND(_xlfn.XLOOKUP(B134,'Base stats'!B:B,'Base stats'!BA:BA)^0.25 / (_xlfn.XLOOKUP(B134,'Base stats'!B:B,'Base stats'!BH:BH) * 10) * 150 + 0.5 + _xlfn.XLOOKUP(B134,'Base stats'!B:B,'Base stats'!BT:BT), 0.05)</f>
        <v>1.4500000000000002</v>
      </c>
      <c r="G134" s="3" t="str">
        <f>IF(Animals!R134="No","No",
IF(_xlfn.XLOOKUP(B134,'Base stats'!B:B,'Base stats'!U:U)="No",
MAX(MROUND(_xlfn.XLOOKUP(B134,'Base stats'!B:B,'Base stats'!BQ:BQ) * _xlfn.XLOOKUP(B134,'Base stats'!B:B,'Base stats'!BM:BM)^0.9 / 21 * _xlfn.XLOOKUP(B134,'Base stats'!B:B,'Base stats'!BU:BU),0.1),0.05),
MAX(MROUND(((MIN(10,_xlfn.XLOOKUP(B134,'Base stats'!B:B,'Base stats'!U:U)))^0.4*_xlfn.XLOOKUP(B134,'Base stats'!B:B,'Base stats'!BE:BE)^0.73)^0.6 * _xlfn.XLOOKUP(B134,'Base stats'!B:B,'Base stats'!BU:BU),0.1),0.05)
))</f>
        <v>No</v>
      </c>
      <c r="H134" s="11" t="str">
        <f>IF(G134="No","No",
MAX(0.01,MROUND(_xlfn.XLOOKUP(B134,'Base stats'!B:B,'Base stats'!BE:BE) * 0.01 * 2, 0.01))
)</f>
        <v>No</v>
      </c>
      <c r="I134" s="11" t="str">
        <f>IF(G134="No","No",IF(_xlfn.XLOOKUP(B134,'Base stats'!B:B,'Base stats'!U:U)="No","No",
MAX(0.01,MROUND(_xlfn.XLOOKUP(B134,'Base stats'!B:B,'Base stats'!BQ:BQ)/10000,0.01))
))</f>
        <v>No</v>
      </c>
      <c r="J134" s="4" t="str">
        <f>IF(G134="No","No",
MROUND(_xlfn.XLOOKUP(B134,'Base stats'!B:B,'Base stats'!BB:BB)^0.25
/((_xlfn.XLOOKUP(B134,'Base stats'!B:B,'Base stats'!BI:BI))*10)*_xlfn.XLOOKUP(_xlfn.XLOOKUP(B134,'Base stats'!B:B,'Base stats'!E:E),Groups!A:A,Groups!Q:Q)*150 + 0.5 + _xlfn.XLOOKUP(B134,'Base stats'!B:B,'Base stats'!BT:BT),
0.05))</f>
        <v>No</v>
      </c>
      <c r="K134" s="3" t="str">
        <f>IF(Animals!W134="No","No",
IF(_xlfn.XLOOKUP(_xlfn.XLOOKUP(B134,'Base stats'!B:B,'Base stats'!E:E),Groups!A:A,Groups!BC:BC)=1,
MAX(MROUND(_xlfn.XLOOKUP(B134,'Base stats'!B:B,'Base stats'!BR:BR) * _xlfn.XLOOKUP(B134,'Base stats'!B:B,'Base stats'!BN:BN)^0.9 / 21 *_xlfn.XLOOKUP(B134,'Base stats'!B:B,'Base stats'!BU:BU),0.1),0.05),
MAX(MROUND(((MIN(10,_xlfn.XLOOKUP(B134,'Base stats'!B:B,'Base stats'!W:W)))^0.4*_xlfn.XLOOKUP(B134,'Base stats'!B:B,'Base stats'!BF:BF)^0.73)^0.6 *_xlfn.XLOOKUP(B134,'Base stats'!B:B,'Base stats'!BU:BU),0.1),0.05)
))</f>
        <v>No</v>
      </c>
      <c r="L134" s="11" t="str">
        <f>IF(K134="No","No",
MAX(0.01,MROUND(_xlfn.XLOOKUP(B134,'Base stats'!B:B,'Base stats'!BF:BF) * 0.01 *2, 0.01))
)</f>
        <v>No</v>
      </c>
      <c r="M134" s="5" t="str">
        <f>IF(K134="No","No",IF(_xlfn.XLOOKUP(_xlfn.XLOOKUP(B134,'Base stats'!B:B,'Base stats'!E:E),Groups!A:A,Groups!BC:BC)=1,"No",
MAX(0.01,MROUND(_xlfn.XLOOKUP(B134,'Base stats'!B:B,'Base stats'!BR:BR)/10000,0.01))
))</f>
        <v>No</v>
      </c>
      <c r="N134" s="4" t="str">
        <f>IF(K134="No","No",
MROUND(
  _xlfn.XLOOKUP(B134,'Base stats'!B:B,'Base stats'!AZ:AZ)^0.25
  / (_xlfn.XLOOKUP(B134,'Base stats'!B:B,'Base stats'!BJ:BJ)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stats'!BT:BT),
0.05))</f>
        <v>No</v>
      </c>
      <c r="O134" s="3">
        <f>IF(Animals!AC134="No","No",
MAX(MROUND((MIN(10,_xlfn.XLOOKUP(B134,'Base stats'!B:B,'Base stats'!V:V)*IF(_xlfn.XLOOKUP(_xlfn.XLOOKUP(B134,'Base stats'!B:B,'Base stats'!E:E),Groups!A:A,Groups!O:O)=0,1,0.33))^0.4*_xlfn.XLOOKUP(B134,'Base stats'!B:B,'Base stats'!BG:BG)^0.73)^0.6 *_xlfn.XLOOKUP(B134,'Base stats'!B:B,'Base stats'!BU:BU),0.1),0.05)
)</f>
        <v>5.3000000000000007</v>
      </c>
      <c r="P134" s="11">
        <f>IF(O134="No","No",
MAX(0.01,MROUND(_xlfn.XLOOKUP(B134,'Base stats'!B:B,'Base stats'!BG:BG) * 0.01 * 2, 0.01))
)</f>
        <v>0.4</v>
      </c>
      <c r="Q134" s="5">
        <f>IF(O134="No","No",
MAX(0.01,MROUND(_xlfn.XLOOKUP(B134,'Base stats'!B:B,'Base stats'!BS:BS)/10000,0.01))
)</f>
        <v>0.04</v>
      </c>
      <c r="R134" s="4">
        <f>IF(O134="No","No",
MROUND(_xlfn.XLOOKUP(B134,'Base stats'!B:B,'Base stats'!AY:AY)^0.25
/((_xlfn.XLOOKUP(B134,'Base stats'!B:B,'Base stats'!BK:BK))*10)*_xlfn.XLOOKUP(_xlfn.XLOOKUP(B134,'Base stats'!B:B,'Base stats'!E:E),Groups!A:A,Groups!Z:Z)*150 + 0.5 + _xlfn.XLOOKUP(B134,'Base stats'!B:B,'Base stats'!BT:BT),
0.05))</f>
        <v>1.9000000000000001</v>
      </c>
      <c r="S134" s="3">
        <f>IF(Animals!AH134="No","No",
IF(_xlfn.XLOOKUP(B134,'Base stats'!B:B,'Base stats'!U:U)="No",
MAX(MROUND(_xlfn.XLOOKUP(B134,'Base stats'!B:B,'Base stats'!BQ:BQ) * _xlfn.XLOOKUP(B134,'Base stats'!B:B,'Base stats'!BM:BM)^0.9 / 21 * _xlfn.XLOOKUP(B134,'Base stats'!B:B,'Base stats'!BU:BU),0.1),0.05),
MAX(MROUND(((MIN(12,_xlfn.XLOOKUP(B134,'Base stats'!B:B,'Base stats'!U:U)))^0.4*_xlfn.XLOOKUP(B134,'Base stats'!B:B,'Base stats'!BE:BE)^0.73)^0.6 * _xlfn.XLOOKUP(B134,'Base stats'!B:B,'Base stats'!BU:BU),0.1),0.05)
))</f>
        <v>1.8</v>
      </c>
      <c r="T134" s="11">
        <f>IF(S134="No","No",
MAX(0.01,MROUND(_xlfn.XLOOKUP(B134,'Base stats'!B:B,'Base stats'!BE:BE) * 0.01 * 2, 0.01))
)</f>
        <v>0.76</v>
      </c>
      <c r="U134" s="5" t="str">
        <f>IF(S134="No","No",IF(_xlfn.XLOOKUP(B134,'Base stats'!B:B,'Base stats'!U:U)="No","No",
MAX(0.01,MROUND(_xlfn.XLOOKUP(B134,'Base stats'!B:B,'Base stats'!BQ:BQ)/10000,0.01))
))</f>
        <v>No</v>
      </c>
      <c r="V134" s="4">
        <f>IF(S134="No","No",
MROUND(_xlfn.XLOOKUP(B134,'Base stats'!B:B,'Base stats'!BC:BC)^0.25
/((_xlfn.XLOOKUP(B134,'Base stats'!B:B,'Base stats'!BL:BL))*10)*_xlfn.XLOOKUP(_xlfn.XLOOKUP(B134,'Base stats'!B:B,'Base stats'!E:E),Groups!A:A,Groups!AE:AE)*150 + 0.5 + _xlfn.XLOOKUP(B134,'Base stats'!B:B,'Base stats'!BT:BT),
0.05))</f>
        <v>1.25</v>
      </c>
      <c r="W134" s="8">
        <f>MROUND(_xlfn.XLOOKUP(_xlfn.XLOOKUP(B134,'Base stats'!B:B,'Base stats'!E:E),Groups!A:A,Groups!BF:BF)*_xlfn.XLOOKUP(B134,'Base stats'!B:B,'Base stats'!C:C)^-0.165,0.01)</f>
        <v>0.62</v>
      </c>
      <c r="X134" s="1">
        <f>MROUND(_xlfn.XLOOKUP(_xlfn.XLOOKUP(B134,'Base stats'!B:B,'Base stats'!E:E),Groups!A:A,Groups!BG:BG)*_xlfn.XLOOKUP(B134,'Base stats'!B:B,'Base stats'!C:C)^0.165,0.01)</f>
        <v>0.16</v>
      </c>
      <c r="Y134" s="8">
        <f>MROUND(_xlfn.XLOOKUP(_xlfn.XLOOKUP(B134,'Base stats'!B:B,'Base stats'!E:E),Groups!A:A,Groups!BH:BH)*_xlfn.XLOOKUP(B134,'Base stats'!B:B,'Base stats'!C:C)^0.165,0.01)</f>
        <v>0.08</v>
      </c>
      <c r="Z134" s="18">
        <f>_xlfn.XLOOKUP(B134,'Base stats'!B:B,'Base stats'!AN:AN)*_xlfn.XLOOKUP(_xlfn.XLOOKUP(B134,'Base stats'!B:B,'Base stats'!E:E),Groups!A:A,Groups!H:H)/1000</f>
        <v>2.8830023602698245E-2</v>
      </c>
      <c r="AA134" s="18">
        <f>(1/2)*(_xlfn.XLOOKUP(_xlfn.XLOOKUP(B134,'Base stats'!B:B,'Base stats'!E:E),Groups!A:A,Groups!H:H)*_xlfn.XLOOKUP(_xlfn.XLOOKUP(B134,'Base stats'!B:B,'Base stats'!E:E),Groups!A:A,Groups!I:I))*_xlfn.XLOOKUP(B134,'Base stats'!B:B,'Base stats'!AN:AN)*0.01</f>
        <v>0.15856512981484039</v>
      </c>
      <c r="AB134" s="18">
        <f>250*(Animals!AN134+Animals!AO134)</f>
        <v>275</v>
      </c>
      <c r="AC134" s="18" t="str">
        <f>_xlfn.XLOOKUP(_xlfn.XLOOKUP(B134,'Base stats'!B:B,'Base stats'!E:E),Groups!A:A,Groups!BI:BI)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stats'!BP:BP) * (_xlfn.XLOOKUP(B135,'Base stats'!B:B,'Base stats'!AL:AL)*5%)^0.9 / 21,0.1),0.05)</f>
        <v>7.7</v>
      </c>
      <c r="E135" s="11">
        <f>MAX(0.01,MROUND(_xlfn.XLOOKUP(B135,'Base stats'!B:B,'Base stats'!BD:BD) * 0.01 * 2, 0.01))</f>
        <v>7.0200000000000005</v>
      </c>
      <c r="F135" s="7">
        <f>MROUND(_xlfn.XLOOKUP(B135,'Base stats'!B:B,'Base stats'!BA:BA)^0.25 / (_xlfn.XLOOKUP(B135,'Base stats'!B:B,'Base stats'!BH:BH) * 10) * 150 + 0.5 + _xlfn.XLOOKUP(B135,'Base stats'!B:B,'Base stats'!BT:BT), 0.05)</f>
        <v>1.8</v>
      </c>
      <c r="G135" s="3">
        <f>IF(Animals!R135="No","No",
IF(_xlfn.XLOOKUP(B135,'Base stats'!B:B,'Base stats'!U:U)="No",
MAX(MROUND(_xlfn.XLOOKUP(B135,'Base stats'!B:B,'Base stats'!BQ:BQ) * _xlfn.XLOOKUP(B135,'Base stats'!B:B,'Base stats'!BM:BM)^0.9 / 21 * _xlfn.XLOOKUP(B135,'Base stats'!B:B,'Base stats'!BU:BU),0.1),0.05),
MAX(MROUND(((MIN(10,_xlfn.XLOOKUP(B135,'Base stats'!B:B,'Base stats'!U:U)))^0.4*_xlfn.XLOOKUP(B135,'Base stats'!B:B,'Base stats'!BE:BE)^0.73)^0.6 * _xlfn.XLOOKUP(B135,'Base stats'!B:B,'Base stats'!BU:BU),0.1),0.05)
))</f>
        <v>13.200000000000001</v>
      </c>
      <c r="H135" s="11">
        <f>IF(G135="No","No",
MAX(0.01,MROUND(_xlfn.XLOOKUP(B135,'Base stats'!B:B,'Base stats'!BE:BE) * 0.01 * 2, 0.01))
)</f>
        <v>8.31</v>
      </c>
      <c r="I135" s="11" t="str">
        <f>IF(G135="No","No",IF(_xlfn.XLOOKUP(B135,'Base stats'!B:B,'Base stats'!U:U)="No","No",
MAX(0.01,MROUND(_xlfn.XLOOKUP(B135,'Base stats'!B:B,'Base stats'!BQ:BQ)/10000,0.01))
))</f>
        <v>No</v>
      </c>
      <c r="J135" s="4">
        <f>IF(G135="No","No",
MROUND(_xlfn.XLOOKUP(B135,'Base stats'!B:B,'Base stats'!BB:BB)^0.25
/((_xlfn.XLOOKUP(B135,'Base stats'!B:B,'Base stats'!BI:BI))*10)*_xlfn.XLOOKUP(_xlfn.XLOOKUP(B135,'Base stats'!B:B,'Base stats'!E:E),Groups!A:A,Groups!Q:Q)*150 + 0.5 + _xlfn.XLOOKUP(B135,'Base stats'!B:B,'Base stats'!BT:BT),
0.05))</f>
        <v>2.3000000000000003</v>
      </c>
      <c r="K135" s="3" t="str">
        <f>IF(Animals!W135="No","No",
IF(_xlfn.XLOOKUP(_xlfn.XLOOKUP(B135,'Base stats'!B:B,'Base stats'!E:E),Groups!A:A,Groups!BC:BC)=1,
MAX(MROUND(_xlfn.XLOOKUP(B135,'Base stats'!B:B,'Base stats'!BR:BR) * _xlfn.XLOOKUP(B135,'Base stats'!B:B,'Base stats'!BN:BN)^0.9 / 21 *_xlfn.XLOOKUP(B135,'Base stats'!B:B,'Base stats'!BU:BU),0.1),0.05),
MAX(MROUND(((MIN(10,_xlfn.XLOOKUP(B135,'Base stats'!B:B,'Base stats'!W:W)))^0.4*_xlfn.XLOOKUP(B135,'Base stats'!B:B,'Base stats'!BF:BF)^0.73)^0.6 *_xlfn.XLOOKUP(B135,'Base stats'!B:B,'Base stats'!BU:BU),0.1),0.05)
))</f>
        <v>No</v>
      </c>
      <c r="L135" s="11" t="str">
        <f>IF(K135="No","No",
MAX(0.01,MROUND(_xlfn.XLOOKUP(B135,'Base stats'!B:B,'Base stats'!BF:BF) * 0.01 *2, 0.01))
)</f>
        <v>No</v>
      </c>
      <c r="M135" s="5" t="str">
        <f>IF(K135="No","No",IF(_xlfn.XLOOKUP(_xlfn.XLOOKUP(B135,'Base stats'!B:B,'Base stats'!E:E),Groups!A:A,Groups!BC:BC)=1,"No",
MAX(0.01,MROUND(_xlfn.XLOOKUP(B135,'Base stats'!B:B,'Base stats'!BR:BR)/10000,0.01))
))</f>
        <v>No</v>
      </c>
      <c r="N135" s="4" t="str">
        <f>IF(K135="No","No",
MROUND(
  _xlfn.XLOOKUP(B135,'Base stats'!B:B,'Base stats'!AZ:AZ)^0.25
  / (_xlfn.XLOOKUP(B135,'Base stats'!B:B,'Base stats'!BJ:BJ)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stats'!BT:BT),
0.05))</f>
        <v>No</v>
      </c>
      <c r="O135" s="3">
        <f>IF(Animals!AC135="No","No",
MAX(MROUND((MIN(10,_xlfn.XLOOKUP(B135,'Base stats'!B:B,'Base stats'!V:V)*IF(_xlfn.XLOOKUP(_xlfn.XLOOKUP(B135,'Base stats'!B:B,'Base stats'!E:E),Groups!A:A,Groups!O:O)=0,1,0.33))^0.4*_xlfn.XLOOKUP(B135,'Base stats'!B:B,'Base stats'!BG:BG)^0.73)^0.6 *_xlfn.XLOOKUP(B135,'Base stats'!B:B,'Base stats'!BU:BU),0.1),0.05)
)</f>
        <v>12.9</v>
      </c>
      <c r="P135" s="11">
        <f>IF(O135="No","No",
MAX(0.01,MROUND(_xlfn.XLOOKUP(B135,'Base stats'!B:B,'Base stats'!BG:BG) * 0.01 * 2, 0.01))
)</f>
        <v>5.47</v>
      </c>
      <c r="Q135" s="5">
        <f>IF(O135="No","No",
MAX(0.01,MROUND(_xlfn.XLOOKUP(B135,'Base stats'!B:B,'Base stats'!BS:BS)/10000,0.01))
)</f>
        <v>0.12</v>
      </c>
      <c r="R135" s="4">
        <f>IF(O135="No","No",
MROUND(_xlfn.XLOOKUP(B135,'Base stats'!B:B,'Base stats'!AY:AY)^0.25
/((_xlfn.XLOOKUP(B135,'Base stats'!B:B,'Base stats'!BK:BK))*10)*_xlfn.XLOOKUP(_xlfn.XLOOKUP(B135,'Base stats'!B:B,'Base stats'!E:E),Groups!A:A,Groups!Z:Z)*150 + 0.5 + _xlfn.XLOOKUP(B135,'Base stats'!B:B,'Base stats'!BT:BT),
0.05))</f>
        <v>2.75</v>
      </c>
      <c r="S135" s="3" t="str">
        <f>IF(Animals!AH135="No","No",
IF(_xlfn.XLOOKUP(B135,'Base stats'!B:B,'Base stats'!U:U)="No",
MAX(MROUND(_xlfn.XLOOKUP(B135,'Base stats'!B:B,'Base stats'!BQ:BQ) * _xlfn.XLOOKUP(B135,'Base stats'!B:B,'Base stats'!BM:BM)^0.9 / 21 * _xlfn.XLOOKUP(B135,'Base stats'!B:B,'Base stats'!BU:BU),0.1),0.05),
MAX(MROUND(((MIN(12,_xlfn.XLOOKUP(B135,'Base stats'!B:B,'Base stats'!U:U)))^0.4*_xlfn.XLOOKUP(B135,'Base stats'!B:B,'Base stats'!BE:BE)^0.73)^0.6 * _xlfn.XLOOKUP(B135,'Base stats'!B:B,'Base stats'!BU:BU),0.1),0.05)
))</f>
        <v>No</v>
      </c>
      <c r="T135" s="11" t="str">
        <f>IF(S135="No","No",
MAX(0.01,MROUND(_xlfn.XLOOKUP(B135,'Base stats'!B:B,'Base stats'!BE:BE) * 0.01 * 2, 0.01))
)</f>
        <v>No</v>
      </c>
      <c r="U135" s="5" t="str">
        <f>IF(S135="No","No",IF(_xlfn.XLOOKUP(B135,'Base stats'!B:B,'Base stats'!U:U)="No","No",
MAX(0.01,MROUND(_xlfn.XLOOKUP(B135,'Base stats'!B:B,'Base stats'!BQ:BQ)/10000,0.01))
))</f>
        <v>No</v>
      </c>
      <c r="V135" s="4" t="str">
        <f>IF(S135="No","No",
MROUND(_xlfn.XLOOKUP(B135,'Base stats'!B:B,'Base stats'!BC:BC)^0.25
/((_xlfn.XLOOKUP(B135,'Base stats'!B:B,'Base stats'!BL:BL))*10)*_xlfn.XLOOKUP(_xlfn.XLOOKUP(B135,'Base stats'!B:B,'Base stats'!E:E),Groups!A:A,Groups!AE:AE)*150 + 0.5 + _xlfn.XLOOKUP(B135,'Base stats'!B:B,'Base stats'!BT:BT),
0.05))</f>
        <v>No</v>
      </c>
      <c r="W135" s="8">
        <f>MROUND(_xlfn.XLOOKUP(_xlfn.XLOOKUP(B135,'Base stats'!B:B,'Base stats'!E:E),Groups!A:A,Groups!BF:BF)*_xlfn.XLOOKUP(B135,'Base stats'!B:B,'Base stats'!C:C)^-0.165,0.01)</f>
        <v>0.27</v>
      </c>
      <c r="X135" s="1">
        <f>MROUND(_xlfn.XLOOKUP(_xlfn.XLOOKUP(B135,'Base stats'!B:B,'Base stats'!E:E),Groups!A:A,Groups!BG:BG)*_xlfn.XLOOKUP(B135,'Base stats'!B:B,'Base stats'!C:C)^0.165,0.01)</f>
        <v>0</v>
      </c>
      <c r="Y135" s="8">
        <f>MROUND(_xlfn.XLOOKUP(_xlfn.XLOOKUP(B135,'Base stats'!B:B,'Base stats'!E:E),Groups!A:A,Groups!BH:BH)*_xlfn.XLOOKUP(B135,'Base stats'!B:B,'Base stats'!C:C)^0.165,0.01)</f>
        <v>0</v>
      </c>
      <c r="Z135" s="18">
        <f>_xlfn.XLOOKUP(B135,'Base stats'!B:B,'Base stats'!AN:AN)*_xlfn.XLOOKUP(_xlfn.XLOOKUP(B135,'Base stats'!B:B,'Base stats'!E:E),Groups!A:A,Groups!H:H)/1000</f>
        <v>6.4929826461891896E-2</v>
      </c>
      <c r="AA135" s="18">
        <f>(1/2)*(_xlfn.XLOOKUP(_xlfn.XLOOKUP(B135,'Base stats'!B:B,'Base stats'!E:E),Groups!A:A,Groups!H:H)*_xlfn.XLOOKUP(_xlfn.XLOOKUP(B135,'Base stats'!B:B,'Base stats'!E:E),Groups!A:A,Groups!I:I))*_xlfn.XLOOKUP(B135,'Base stats'!B:B,'Base stats'!AN:AN)*0.01</f>
        <v>0.35711404554040549</v>
      </c>
      <c r="AB135" s="18">
        <f>250*(Animals!AN135+Animals!AO135)</f>
        <v>1125</v>
      </c>
      <c r="AC135" s="18" t="str">
        <f>_xlfn.XLOOKUP(_xlfn.XLOOKUP(B135,'Base stats'!B:B,'Base stats'!E:E),Groups!A:A,Groups!BI:BI)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stats'!BP:BP) * (_xlfn.XLOOKUP(B136,'Base stats'!B:B,'Base stats'!AL:AL)*5%)^0.9 / 21,0.1),0.05)</f>
        <v>3</v>
      </c>
      <c r="E136" s="11">
        <f>MAX(0.01,MROUND(_xlfn.XLOOKUP(B136,'Base stats'!B:B,'Base stats'!BD:BD) * 0.01 * 2, 0.01))</f>
        <v>2.5300000000000002</v>
      </c>
      <c r="F136" s="7">
        <f>MROUND(_xlfn.XLOOKUP(B136,'Base stats'!B:B,'Base stats'!BA:BA)^0.25 / (_xlfn.XLOOKUP(B136,'Base stats'!B:B,'Base stats'!BH:BH) * 10) * 150 + 0.5 + _xlfn.XLOOKUP(B136,'Base stats'!B:B,'Base stats'!BT:BT), 0.05)</f>
        <v>2.0500000000000003</v>
      </c>
      <c r="G136" s="3" t="str">
        <f>IF(Animals!R136="No","No",
IF(_xlfn.XLOOKUP(B136,'Base stats'!B:B,'Base stats'!U:U)="No",
MAX(MROUND(_xlfn.XLOOKUP(B136,'Base stats'!B:B,'Base stats'!BQ:BQ) * _xlfn.XLOOKUP(B136,'Base stats'!B:B,'Base stats'!BM:BM)^0.9 / 21 * _xlfn.XLOOKUP(B136,'Base stats'!B:B,'Base stats'!BU:BU),0.1),0.05),
MAX(MROUND(((MIN(10,_xlfn.XLOOKUP(B136,'Base stats'!B:B,'Base stats'!U:U)))^0.4*_xlfn.XLOOKUP(B136,'Base stats'!B:B,'Base stats'!BE:BE)^0.73)^0.6 * _xlfn.XLOOKUP(B136,'Base stats'!B:B,'Base stats'!BU:BU),0.1),0.05)
))</f>
        <v>No</v>
      </c>
      <c r="H136" s="11" t="str">
        <f>IF(G136="No","No",
MAX(0.01,MROUND(_xlfn.XLOOKUP(B136,'Base stats'!B:B,'Base stats'!BE:BE) * 0.01 * 2, 0.01))
)</f>
        <v>No</v>
      </c>
      <c r="I136" s="11" t="str">
        <f>IF(G136="No","No",IF(_xlfn.XLOOKUP(B136,'Base stats'!B:B,'Base stats'!U:U)="No","No",
MAX(0.01,MROUND(_xlfn.XLOOKUP(B136,'Base stats'!B:B,'Base stats'!BQ:BQ)/10000,0.01))
))</f>
        <v>No</v>
      </c>
      <c r="J136" s="4" t="str">
        <f>IF(G136="No","No",
MROUND(_xlfn.XLOOKUP(B136,'Base stats'!B:B,'Base stats'!BB:BB)^0.25
/((_xlfn.XLOOKUP(B136,'Base stats'!B:B,'Base stats'!BI:BI))*10)*_xlfn.XLOOKUP(_xlfn.XLOOKUP(B136,'Base stats'!B:B,'Base stats'!E:E),Groups!A:A,Groups!Q:Q)*150 + 0.5 + _xlfn.XLOOKUP(B136,'Base stats'!B:B,'Base stats'!BT:BT),
0.05))</f>
        <v>No</v>
      </c>
      <c r="K136" s="3" t="str">
        <f>IF(Animals!W136="No","No",
IF(_xlfn.XLOOKUP(_xlfn.XLOOKUP(B136,'Base stats'!B:B,'Base stats'!E:E),Groups!A:A,Groups!BC:BC)=1,
MAX(MROUND(_xlfn.XLOOKUP(B136,'Base stats'!B:B,'Base stats'!BR:BR) * _xlfn.XLOOKUP(B136,'Base stats'!B:B,'Base stats'!BN:BN)^0.9 / 21 *_xlfn.XLOOKUP(B136,'Base stats'!B:B,'Base stats'!BU:BU),0.1),0.05),
MAX(MROUND(((MIN(10,_xlfn.XLOOKUP(B136,'Base stats'!B:B,'Base stats'!W:W)))^0.4*_xlfn.XLOOKUP(B136,'Base stats'!B:B,'Base stats'!BF:BF)^0.73)^0.6 *_xlfn.XLOOKUP(B136,'Base stats'!B:B,'Base stats'!BU:BU),0.1),0.05)
))</f>
        <v>No</v>
      </c>
      <c r="L136" s="11" t="str">
        <f>IF(K136="No","No",
MAX(0.01,MROUND(_xlfn.XLOOKUP(B136,'Base stats'!B:B,'Base stats'!BF:BF) * 0.01 *2, 0.01))
)</f>
        <v>No</v>
      </c>
      <c r="M136" s="5" t="str">
        <f>IF(K136="No","No",IF(_xlfn.XLOOKUP(_xlfn.XLOOKUP(B136,'Base stats'!B:B,'Base stats'!E:E),Groups!A:A,Groups!BC:BC)=1,"No",
MAX(0.01,MROUND(_xlfn.XLOOKUP(B136,'Base stats'!B:B,'Base stats'!BR:BR)/10000,0.01))
))</f>
        <v>No</v>
      </c>
      <c r="N136" s="4" t="str">
        <f>IF(K136="No","No",
MROUND(
  _xlfn.XLOOKUP(B136,'Base stats'!B:B,'Base stats'!AZ:AZ)^0.25
  / (_xlfn.XLOOKUP(B136,'Base stats'!B:B,'Base stats'!BJ:BJ)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stats'!BT:BT),
0.05))</f>
        <v>No</v>
      </c>
      <c r="O136" s="3">
        <f>IF(Animals!AC136="No","No",
MAX(MROUND((MIN(10,_xlfn.XLOOKUP(B136,'Base stats'!B:B,'Base stats'!V:V)*IF(_xlfn.XLOOKUP(_xlfn.XLOOKUP(B136,'Base stats'!B:B,'Base stats'!E:E),Groups!A:A,Groups!O:O)=0,1,0.33))^0.4*_xlfn.XLOOKUP(B136,'Base stats'!B:B,'Base stats'!BG:BG)^0.73)^0.6 *_xlfn.XLOOKUP(B136,'Base stats'!B:B,'Base stats'!BU:BU),0.1),0.05)
)</f>
        <v>8.1</v>
      </c>
      <c r="P136" s="11">
        <f>IF(O136="No","No",
MAX(0.01,MROUND(_xlfn.XLOOKUP(B136,'Base stats'!B:B,'Base stats'!BG:BG) * 0.01 * 2, 0.01))
)</f>
        <v>1.44</v>
      </c>
      <c r="Q136" s="5">
        <f>IF(O136="No","No",
MAX(0.01,MROUND(_xlfn.XLOOKUP(B136,'Base stats'!B:B,'Base stats'!BS:BS)/10000,0.01))
)</f>
        <v>0.08</v>
      </c>
      <c r="R136" s="4">
        <f>IF(O136="No","No",
MROUND(_xlfn.XLOOKUP(B136,'Base stats'!B:B,'Base stats'!AY:AY)^0.25
/((_xlfn.XLOOKUP(B136,'Base stats'!B:B,'Base stats'!BK:BK))*10)*_xlfn.XLOOKUP(_xlfn.XLOOKUP(B136,'Base stats'!B:B,'Base stats'!E:E),Groups!A:A,Groups!Z:Z)*150 + 0.5 + _xlfn.XLOOKUP(B136,'Base stats'!B:B,'Base stats'!BT:BT),
0.05))</f>
        <v>2</v>
      </c>
      <c r="S136" s="3" t="str">
        <f>IF(Animals!AH136="No","No",
IF(_xlfn.XLOOKUP(B136,'Base stats'!B:B,'Base stats'!U:U)="No",
MAX(MROUND(_xlfn.XLOOKUP(B136,'Base stats'!B:B,'Base stats'!BQ:BQ) * _xlfn.XLOOKUP(B136,'Base stats'!B:B,'Base stats'!BM:BM)^0.9 / 21 * _xlfn.XLOOKUP(B136,'Base stats'!B:B,'Base stats'!BU:BU),0.1),0.05),
MAX(MROUND(((MIN(12,_xlfn.XLOOKUP(B136,'Base stats'!B:B,'Base stats'!U:U)))^0.4*_xlfn.XLOOKUP(B136,'Base stats'!B:B,'Base stats'!BE:BE)^0.73)^0.6 * _xlfn.XLOOKUP(B136,'Base stats'!B:B,'Base stats'!BU:BU),0.1),0.05)
))</f>
        <v>No</v>
      </c>
      <c r="T136" s="11" t="str">
        <f>IF(S136="No","No",
MAX(0.01,MROUND(_xlfn.XLOOKUP(B136,'Base stats'!B:B,'Base stats'!BE:BE) * 0.01 * 2, 0.01))
)</f>
        <v>No</v>
      </c>
      <c r="U136" s="5" t="str">
        <f>IF(S136="No","No",IF(_xlfn.XLOOKUP(B136,'Base stats'!B:B,'Base stats'!U:U)="No","No",
MAX(0.01,MROUND(_xlfn.XLOOKUP(B136,'Base stats'!B:B,'Base stats'!BQ:BQ)/10000,0.01))
))</f>
        <v>No</v>
      </c>
      <c r="V136" s="4" t="str">
        <f>IF(S136="No","No",
MROUND(_xlfn.XLOOKUP(B136,'Base stats'!B:B,'Base stats'!BC:BC)^0.25
/((_xlfn.XLOOKUP(B136,'Base stats'!B:B,'Base stats'!BL:BL))*10)*_xlfn.XLOOKUP(_xlfn.XLOOKUP(B136,'Base stats'!B:B,'Base stats'!E:E),Groups!A:A,Groups!AE:AE)*150 + 0.5 + _xlfn.XLOOKUP(B136,'Base stats'!B:B,'Base stats'!BT:BT),
0.05))</f>
        <v>No</v>
      </c>
      <c r="W136" s="8">
        <f>MROUND(_xlfn.XLOOKUP(_xlfn.XLOOKUP(B136,'Base stats'!B:B,'Base stats'!E:E),Groups!A:A,Groups!BF:BF)*_xlfn.XLOOKUP(B136,'Base stats'!B:B,'Base stats'!C:C)^-0.165,0.01)</f>
        <v>0.23</v>
      </c>
      <c r="X136" s="1">
        <f>MROUND(_xlfn.XLOOKUP(_xlfn.XLOOKUP(B136,'Base stats'!B:B,'Base stats'!E:E),Groups!A:A,Groups!BG:BG)*_xlfn.XLOOKUP(B136,'Base stats'!B:B,'Base stats'!C:C)^0.165,0.01)</f>
        <v>0.21</v>
      </c>
      <c r="Y136" s="8">
        <f>MROUND(_xlfn.XLOOKUP(_xlfn.XLOOKUP(B136,'Base stats'!B:B,'Base stats'!E:E),Groups!A:A,Groups!BH:BH)*_xlfn.XLOOKUP(B136,'Base stats'!B:B,'Base stats'!C:C)^0.165,0.01)</f>
        <v>0.05</v>
      </c>
      <c r="Z136" s="18">
        <f>_xlfn.XLOOKUP(B136,'Base stats'!B:B,'Base stats'!AN:AN)*_xlfn.XLOOKUP(_xlfn.XLOOKUP(B136,'Base stats'!B:B,'Base stats'!E:E),Groups!A:A,Groups!H:H)/1000</f>
        <v>6.9436372101362415E-2</v>
      </c>
      <c r="AA136" s="18">
        <f>(1/2)*(_xlfn.XLOOKUP(_xlfn.XLOOKUP(B136,'Base stats'!B:B,'Base stats'!E:E),Groups!A:A,Groups!H:H)*_xlfn.XLOOKUP(_xlfn.XLOOKUP(B136,'Base stats'!B:B,'Base stats'!E:E),Groups!A:A,Groups!I:I))*_xlfn.XLOOKUP(B136,'Base stats'!B:B,'Base stats'!AN:AN)*0.01</f>
        <v>0.29510458143079016</v>
      </c>
      <c r="AB136" s="18">
        <f>250*(Animals!AN136+Animals!AO136)</f>
        <v>600.00000000000011</v>
      </c>
      <c r="AC136" s="18" t="str">
        <f>_xlfn.XLOOKUP(_xlfn.XLOOKUP(B136,'Base stats'!B:B,'Base stats'!E:E),Groups!A:A,Groups!BI:BI)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stats'!BP:BP) * (_xlfn.XLOOKUP(B137,'Base stats'!B:B,'Base stats'!AL:AL)*5%)^0.9 / 21,0.1),0.05)</f>
        <v>29.6</v>
      </c>
      <c r="E137" s="11">
        <f>MAX(0.01,MROUND(_xlfn.XLOOKUP(B137,'Base stats'!B:B,'Base stats'!BD:BD) * 0.01 * 2, 0.01))</f>
        <v>31.45</v>
      </c>
      <c r="F137" s="7">
        <f>MROUND(_xlfn.XLOOKUP(B137,'Base stats'!B:B,'Base stats'!BA:BA)^0.25 / (_xlfn.XLOOKUP(B137,'Base stats'!B:B,'Base stats'!BH:BH) * 10) * 150 + 0.5 + _xlfn.XLOOKUP(B137,'Base stats'!B:B,'Base stats'!BT:BT), 0.05)</f>
        <v>2.85</v>
      </c>
      <c r="G137" s="3">
        <f>IF(Animals!R137="No","No",
IF(_xlfn.XLOOKUP(B137,'Base stats'!B:B,'Base stats'!U:U)="No",
MAX(MROUND(_xlfn.XLOOKUP(B137,'Base stats'!B:B,'Base stats'!BQ:BQ) * _xlfn.XLOOKUP(B137,'Base stats'!B:B,'Base stats'!BM:BM)^0.9 / 21 * _xlfn.XLOOKUP(B137,'Base stats'!B:B,'Base stats'!BU:BU),0.1),0.05),
MAX(MROUND(((MIN(10,_xlfn.XLOOKUP(B137,'Base stats'!B:B,'Base stats'!U:U)))^0.4*_xlfn.XLOOKUP(B137,'Base stats'!B:B,'Base stats'!BE:BE)^0.73)^0.6 * _xlfn.XLOOKUP(B137,'Base stats'!B:B,'Base stats'!BU:BU),0.1),0.05)
))</f>
        <v>35.9</v>
      </c>
      <c r="H137" s="11">
        <f>IF(G137="No","No",
MAX(0.01,MROUND(_xlfn.XLOOKUP(B137,'Base stats'!B:B,'Base stats'!BE:BE) * 0.01 * 2, 0.01))
)</f>
        <v>28.19</v>
      </c>
      <c r="I137" s="11" t="str">
        <f>IF(G137="No","No",IF(_xlfn.XLOOKUP(B137,'Base stats'!B:B,'Base stats'!U:U)="No","No",
MAX(0.01,MROUND(_xlfn.XLOOKUP(B137,'Base stats'!B:B,'Base stats'!BQ:BQ)/10000,0.01))
))</f>
        <v>No</v>
      </c>
      <c r="J137" s="4">
        <f>IF(G137="No","No",
MROUND(_xlfn.XLOOKUP(B137,'Base stats'!B:B,'Base stats'!BB:BB)^0.25
/((_xlfn.XLOOKUP(B137,'Base stats'!B:B,'Base stats'!BI:BI))*10)*_xlfn.XLOOKUP(_xlfn.XLOOKUP(B137,'Base stats'!B:B,'Base stats'!E:E),Groups!A:A,Groups!Q:Q)*150 + 0.5 + _xlfn.XLOOKUP(B137,'Base stats'!B:B,'Base stats'!BT:BT),
0.05))</f>
        <v>3.45</v>
      </c>
      <c r="K137" s="3">
        <f>IF(Animals!W137="No","No",
IF(_xlfn.XLOOKUP(_xlfn.XLOOKUP(B137,'Base stats'!B:B,'Base stats'!E:E),Groups!A:A,Groups!BC:BC)=1,
MAX(MROUND(_xlfn.XLOOKUP(B137,'Base stats'!B:B,'Base stats'!BR:BR) * _xlfn.XLOOKUP(B137,'Base stats'!B:B,'Base stats'!BN:BN)^0.9 / 21 *_xlfn.XLOOKUP(B137,'Base stats'!B:B,'Base stats'!BU:BU),0.1),0.05),
MAX(MROUND(((MIN(10,_xlfn.XLOOKUP(B137,'Base stats'!B:B,'Base stats'!W:W)))^0.4*_xlfn.XLOOKUP(B137,'Base stats'!B:B,'Base stats'!BF:BF)^0.73)^0.6 *_xlfn.XLOOKUP(B137,'Base stats'!B:B,'Base stats'!BU:BU),0.1),0.05)
))</f>
        <v>45.1</v>
      </c>
      <c r="L137" s="11">
        <f>IF(K137="No","No",
MAX(0.01,MROUND(_xlfn.XLOOKUP(B137,'Base stats'!B:B,'Base stats'!BF:BF) * 0.01 *2, 0.01))
)</f>
        <v>33.83</v>
      </c>
      <c r="M137" s="5">
        <f>IF(K137="No","No",IF(_xlfn.XLOOKUP(_xlfn.XLOOKUP(B137,'Base stats'!B:B,'Base stats'!E:E),Groups!A:A,Groups!BC:BC)=1,"No",
MAX(0.01,MROUND(_xlfn.XLOOKUP(B137,'Base stats'!B:B,'Base stats'!BR:BR)/10000,0.01))
))</f>
        <v>1.5</v>
      </c>
      <c r="N137" s="4">
        <f>IF(K137="No","No",
MROUND(
  _xlfn.XLOOKUP(B137,'Base stats'!B:B,'Base stats'!AZ:AZ)^0.25
  / (_xlfn.XLOOKUP(B137,'Base stats'!B:B,'Base stats'!BJ:BJ)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stats'!BT:BT),
0.05))</f>
        <v>3.7</v>
      </c>
      <c r="O137" s="3" t="str">
        <f>IF(Animals!AC137="No","No",
MAX(MROUND((MIN(10,_xlfn.XLOOKUP(B137,'Base stats'!B:B,'Base stats'!V:V)*IF(_xlfn.XLOOKUP(_xlfn.XLOOKUP(B137,'Base stats'!B:B,'Base stats'!E:E),Groups!A:A,Groups!O:O)=0,1,0.33))^0.4*_xlfn.XLOOKUP(B137,'Base stats'!B:B,'Base stats'!BG:BG)^0.73)^0.6 *_xlfn.XLOOKUP(B137,'Base stats'!B:B,'Base stats'!BU:BU),0.1),0.05)
)</f>
        <v>No</v>
      </c>
      <c r="P137" s="11" t="str">
        <f>IF(O137="No","No",
MAX(0.01,MROUND(_xlfn.XLOOKUP(B137,'Base stats'!B:B,'Base stats'!BG:BG) * 0.01 * 2, 0.01))
)</f>
        <v>No</v>
      </c>
      <c r="Q137" s="5" t="str">
        <f>IF(O137="No","No",
MAX(0.01,MROUND(_xlfn.XLOOKUP(B137,'Base stats'!B:B,'Base stats'!BS:BS)/10000,0.01))
)</f>
        <v>No</v>
      </c>
      <c r="R137" s="4" t="str">
        <f>IF(O137="No","No",
MROUND(_xlfn.XLOOKUP(B137,'Base stats'!B:B,'Base stats'!AY:AY)^0.25
/((_xlfn.XLOOKUP(B137,'Base stats'!B:B,'Base stats'!BK:BK))*10)*_xlfn.XLOOKUP(_xlfn.XLOOKUP(B137,'Base stats'!B:B,'Base stats'!E:E),Groups!A:A,Groups!Z:Z)*150 + 0.5 + _xlfn.XLOOKUP(B137,'Base stats'!B:B,'Base stats'!BT:BT),
0.05))</f>
        <v>No</v>
      </c>
      <c r="S137" s="3" t="str">
        <f>IF(Animals!AH137="No","No",
IF(_xlfn.XLOOKUP(B137,'Base stats'!B:B,'Base stats'!U:U)="No",
MAX(MROUND(_xlfn.XLOOKUP(B137,'Base stats'!B:B,'Base stats'!BQ:BQ) * _xlfn.XLOOKUP(B137,'Base stats'!B:B,'Base stats'!BM:BM)^0.9 / 21 * _xlfn.XLOOKUP(B137,'Base stats'!B:B,'Base stats'!BU:BU),0.1),0.05),
MAX(MROUND(((MIN(12,_xlfn.XLOOKUP(B137,'Base stats'!B:B,'Base stats'!U:U)))^0.4*_xlfn.XLOOKUP(B137,'Base stats'!B:B,'Base stats'!BE:BE)^0.73)^0.6 * _xlfn.XLOOKUP(B137,'Base stats'!B:B,'Base stats'!BU:BU),0.1),0.05)
))</f>
        <v>No</v>
      </c>
      <c r="T137" s="11" t="str">
        <f>IF(S137="No","No",
MAX(0.01,MROUND(_xlfn.XLOOKUP(B137,'Base stats'!B:B,'Base stats'!BE:BE) * 0.01 * 2, 0.01))
)</f>
        <v>No</v>
      </c>
      <c r="U137" s="5" t="str">
        <f>IF(S137="No","No",IF(_xlfn.XLOOKUP(B137,'Base stats'!B:B,'Base stats'!U:U)="No","No",
MAX(0.01,MROUND(_xlfn.XLOOKUP(B137,'Base stats'!B:B,'Base stats'!BQ:BQ)/10000,0.01))
))</f>
        <v>No</v>
      </c>
      <c r="V137" s="4" t="str">
        <f>IF(S137="No","No",
MROUND(_xlfn.XLOOKUP(B137,'Base stats'!B:B,'Base stats'!BC:BC)^0.25
/((_xlfn.XLOOKUP(B137,'Base stats'!B:B,'Base stats'!BL:BL))*10)*_xlfn.XLOOKUP(_xlfn.XLOOKUP(B137,'Base stats'!B:B,'Base stats'!E:E),Groups!A:A,Groups!AE:AE)*150 + 0.5 + _xlfn.XLOOKUP(B137,'Base stats'!B:B,'Base stats'!BT:BT),
0.05))</f>
        <v>No</v>
      </c>
      <c r="W137" s="8">
        <f>MROUND(_xlfn.XLOOKUP(_xlfn.XLOOKUP(B137,'Base stats'!B:B,'Base stats'!E:E),Groups!A:A,Groups!BF:BF)*_xlfn.XLOOKUP(B137,'Base stats'!B:B,'Base stats'!C:C)^-0.165,0.01)</f>
        <v>7.0000000000000007E-2</v>
      </c>
      <c r="X137" s="1">
        <f>MROUND(_xlfn.XLOOKUP(_xlfn.XLOOKUP(B137,'Base stats'!B:B,'Base stats'!E:E),Groups!A:A,Groups!BG:BG)*_xlfn.XLOOKUP(B137,'Base stats'!B:B,'Base stats'!C:C)^0.165,0.01)</f>
        <v>0.38</v>
      </c>
      <c r="Y137" s="8">
        <f>MROUND(_xlfn.XLOOKUP(_xlfn.XLOOKUP(B137,'Base stats'!B:B,'Base stats'!E:E),Groups!A:A,Groups!BH:BH)*_xlfn.XLOOKUP(B137,'Base stats'!B:B,'Base stats'!C:C)^0.165,0.01)</f>
        <v>0.19</v>
      </c>
      <c r="Z137" s="18">
        <f>_xlfn.XLOOKUP(B137,'Base stats'!B:B,'Base stats'!AN:AN)*_xlfn.XLOOKUP(_xlfn.XLOOKUP(B137,'Base stats'!B:B,'Base stats'!E:E),Groups!A:A,Groups!H:H)/1000</f>
        <v>0.16055700573370957</v>
      </c>
      <c r="AA137" s="18">
        <f>(1/2)*(_xlfn.XLOOKUP(_xlfn.XLOOKUP(B137,'Base stats'!B:B,'Base stats'!E:E),Groups!A:A,Groups!H:H)*_xlfn.XLOOKUP(_xlfn.XLOOKUP(B137,'Base stats'!B:B,'Base stats'!E:E),Groups!A:A,Groups!I:I))*_xlfn.XLOOKUP(B137,'Base stats'!B:B,'Base stats'!AN:AN)*0.01</f>
        <v>0.88306353153540273</v>
      </c>
      <c r="AB137" s="18">
        <f>250*(Animals!AN137+Animals!AO137)</f>
        <v>2250</v>
      </c>
      <c r="AC137" s="18" t="str">
        <f>_xlfn.XLOOKUP(_xlfn.XLOOKUP(B137,'Base stats'!B:B,'Base stats'!E:E),Groups!A:A,Groups!BI:BI)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stats'!BP:BP) * (_xlfn.XLOOKUP(B138,'Base stats'!B:B,'Base stats'!AL:AL)*5%)^0.9 / 21,0.1),0.05)</f>
        <v>11.9</v>
      </c>
      <c r="E138" s="11">
        <f>MAX(0.01,MROUND(_xlfn.XLOOKUP(B138,'Base stats'!B:B,'Base stats'!BD:BD) * 0.01 * 2, 0.01))</f>
        <v>11.16</v>
      </c>
      <c r="F138" s="7">
        <f>MROUND(_xlfn.XLOOKUP(B138,'Base stats'!B:B,'Base stats'!BA:BA)^0.25 / (_xlfn.XLOOKUP(B138,'Base stats'!B:B,'Base stats'!BH:BH) * 10) * 150 + 0.5 + _xlfn.XLOOKUP(B138,'Base stats'!B:B,'Base stats'!BT:BT), 0.05)</f>
        <v>2.5</v>
      </c>
      <c r="G138" s="3" t="str">
        <f>IF(Animals!R138="No","No",
IF(_xlfn.XLOOKUP(B138,'Base stats'!B:B,'Base stats'!U:U)="No",
MAX(MROUND(_xlfn.XLOOKUP(B138,'Base stats'!B:B,'Base stats'!BQ:BQ) * _xlfn.XLOOKUP(B138,'Base stats'!B:B,'Base stats'!BM:BM)^0.9 / 21 * _xlfn.XLOOKUP(B138,'Base stats'!B:B,'Base stats'!BU:BU),0.1),0.05),
MAX(MROUND(((MIN(10,_xlfn.XLOOKUP(B138,'Base stats'!B:B,'Base stats'!U:U)))^0.4*_xlfn.XLOOKUP(B138,'Base stats'!B:B,'Base stats'!BE:BE)^0.73)^0.6 * _xlfn.XLOOKUP(B138,'Base stats'!B:B,'Base stats'!BU:BU),0.1),0.05)
))</f>
        <v>No</v>
      </c>
      <c r="H138" s="11" t="str">
        <f>IF(G138="No","No",
MAX(0.01,MROUND(_xlfn.XLOOKUP(B138,'Base stats'!B:B,'Base stats'!BE:BE) * 0.01 * 2, 0.01))
)</f>
        <v>No</v>
      </c>
      <c r="I138" s="11" t="str">
        <f>IF(G138="No","No",IF(_xlfn.XLOOKUP(B138,'Base stats'!B:B,'Base stats'!U:U)="No","No",
MAX(0.01,MROUND(_xlfn.XLOOKUP(B138,'Base stats'!B:B,'Base stats'!BQ:BQ)/10000,0.01))
))</f>
        <v>No</v>
      </c>
      <c r="J138" s="4" t="str">
        <f>IF(G138="No","No",
MROUND(_xlfn.XLOOKUP(B138,'Base stats'!B:B,'Base stats'!BB:BB)^0.25
/((_xlfn.XLOOKUP(B138,'Base stats'!B:B,'Base stats'!BI:BI))*10)*_xlfn.XLOOKUP(_xlfn.XLOOKUP(B138,'Base stats'!B:B,'Base stats'!E:E),Groups!A:A,Groups!Q:Q)*150 + 0.5 + _xlfn.XLOOKUP(B138,'Base stats'!B:B,'Base stats'!BT:BT),
0.05))</f>
        <v>No</v>
      </c>
      <c r="K138" s="3" t="str">
        <f>IF(Animals!W138="No","No",
IF(_xlfn.XLOOKUP(_xlfn.XLOOKUP(B138,'Base stats'!B:B,'Base stats'!E:E),Groups!A:A,Groups!BC:BC)=1,
MAX(MROUND(_xlfn.XLOOKUP(B138,'Base stats'!B:B,'Base stats'!BR:BR) * _xlfn.XLOOKUP(B138,'Base stats'!B:B,'Base stats'!BN:BN)^0.9 / 21 *_xlfn.XLOOKUP(B138,'Base stats'!B:B,'Base stats'!BU:BU),0.1),0.05),
MAX(MROUND(((MIN(10,_xlfn.XLOOKUP(B138,'Base stats'!B:B,'Base stats'!W:W)))^0.4*_xlfn.XLOOKUP(B138,'Base stats'!B:B,'Base stats'!BF:BF)^0.73)^0.6 *_xlfn.XLOOKUP(B138,'Base stats'!B:B,'Base stats'!BU:BU),0.1),0.05)
))</f>
        <v>No</v>
      </c>
      <c r="L138" s="11" t="str">
        <f>IF(K138="No","No",
MAX(0.01,MROUND(_xlfn.XLOOKUP(B138,'Base stats'!B:B,'Base stats'!BF:BF) * 0.01 *2, 0.01))
)</f>
        <v>No</v>
      </c>
      <c r="M138" s="5" t="str">
        <f>IF(K138="No","No",IF(_xlfn.XLOOKUP(_xlfn.XLOOKUP(B138,'Base stats'!B:B,'Base stats'!E:E),Groups!A:A,Groups!BC:BC)=1,"No",
MAX(0.01,MROUND(_xlfn.XLOOKUP(B138,'Base stats'!B:B,'Base stats'!BR:BR)/10000,0.01))
))</f>
        <v>No</v>
      </c>
      <c r="N138" s="4" t="str">
        <f>IF(K138="No","No",
MROUND(
  _xlfn.XLOOKUP(B138,'Base stats'!B:B,'Base stats'!AZ:AZ)^0.25
  / (_xlfn.XLOOKUP(B138,'Base stats'!B:B,'Base stats'!BJ:BJ)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stats'!BT:BT),
0.05))</f>
        <v>No</v>
      </c>
      <c r="O138" s="3">
        <f>IF(Animals!AC138="No","No",
MAX(MROUND((MIN(10,_xlfn.XLOOKUP(B138,'Base stats'!B:B,'Base stats'!V:V)*IF(_xlfn.XLOOKUP(_xlfn.XLOOKUP(B138,'Base stats'!B:B,'Base stats'!E:E),Groups!A:A,Groups!O:O)=0,1,0.33))^0.4*_xlfn.XLOOKUP(B138,'Base stats'!B:B,'Base stats'!BG:BG)^0.73)^0.6 *_xlfn.XLOOKUP(B138,'Base stats'!B:B,'Base stats'!BU:BU),0.1),0.05)
)</f>
        <v>39.200000000000003</v>
      </c>
      <c r="P138" s="11">
        <f>IF(O138="No","No",
MAX(0.01,MROUND(_xlfn.XLOOKUP(B138,'Base stats'!B:B,'Base stats'!BG:BG) * 0.01 * 2, 0.01))
)</f>
        <v>26.16</v>
      </c>
      <c r="Q138" s="5">
        <f>IF(O138="No","No",
MAX(0.01,MROUND(_xlfn.XLOOKUP(B138,'Base stats'!B:B,'Base stats'!BS:BS)/10000,0.01))
)</f>
        <v>0.71</v>
      </c>
      <c r="R138" s="4">
        <f>IF(O138="No","No",
MROUND(_xlfn.XLOOKUP(B138,'Base stats'!B:B,'Base stats'!AY:AY)^0.25
/((_xlfn.XLOOKUP(B138,'Base stats'!B:B,'Base stats'!BK:BK))*10)*_xlfn.XLOOKUP(_xlfn.XLOOKUP(B138,'Base stats'!B:B,'Base stats'!E:E),Groups!A:A,Groups!Z:Z)*150 + 0.5 + _xlfn.XLOOKUP(B138,'Base stats'!B:B,'Base stats'!BT:BT),
0.05))</f>
        <v>2.35</v>
      </c>
      <c r="S138" s="3">
        <f>IF(Animals!AH138="No","No",
IF(_xlfn.XLOOKUP(B138,'Base stats'!B:B,'Base stats'!U:U)="No",
MAX(MROUND(_xlfn.XLOOKUP(B138,'Base stats'!B:B,'Base stats'!BQ:BQ) * _xlfn.XLOOKUP(B138,'Base stats'!B:B,'Base stats'!BM:BM)^0.9 / 21 * _xlfn.XLOOKUP(B138,'Base stats'!B:B,'Base stats'!BU:BU),0.1),0.05),
MAX(MROUND(((MIN(12,_xlfn.XLOOKUP(B138,'Base stats'!B:B,'Base stats'!U:U)))^0.4*_xlfn.XLOOKUP(B138,'Base stats'!B:B,'Base stats'!BE:BE)^0.73)^0.6 * _xlfn.XLOOKUP(B138,'Base stats'!B:B,'Base stats'!BU:BU),0.1),0.05)
))</f>
        <v>29.5</v>
      </c>
      <c r="T138" s="11">
        <f>IF(S138="No","No",
MAX(0.01,MROUND(_xlfn.XLOOKUP(B138,'Base stats'!B:B,'Base stats'!BE:BE) * 0.01 * 2, 0.01))
)</f>
        <v>12.84</v>
      </c>
      <c r="U138" s="5">
        <f>IF(S138="No","No",IF(_xlfn.XLOOKUP(B138,'Base stats'!B:B,'Base stats'!U:U)="No","No",
MAX(0.01,MROUND(_xlfn.XLOOKUP(B138,'Base stats'!B:B,'Base stats'!BQ:BQ)/10000,0.01))
))</f>
        <v>0.35000000000000003</v>
      </c>
      <c r="V138" s="4">
        <f>IF(S138="No","No",
MROUND(_xlfn.XLOOKUP(B138,'Base stats'!B:B,'Base stats'!BC:BC)^0.25
/((_xlfn.XLOOKUP(B138,'Base stats'!B:B,'Base stats'!BL:BL))*10)*_xlfn.XLOOKUP(_xlfn.XLOOKUP(B138,'Base stats'!B:B,'Base stats'!E:E),Groups!A:A,Groups!AE:AE)*150 + 0.5 + _xlfn.XLOOKUP(B138,'Base stats'!B:B,'Base stats'!BT:BT),
0.05))</f>
        <v>1.7000000000000002</v>
      </c>
      <c r="W138" s="8">
        <f>MROUND(_xlfn.XLOOKUP(_xlfn.XLOOKUP(B138,'Base stats'!B:B,'Base stats'!E:E),Groups!A:A,Groups!BF:BF)*_xlfn.XLOOKUP(B138,'Base stats'!B:B,'Base stats'!C:C)^-0.165,0.01)</f>
        <v>0.39</v>
      </c>
      <c r="X138" s="1">
        <f>MROUND(_xlfn.XLOOKUP(_xlfn.XLOOKUP(B138,'Base stats'!B:B,'Base stats'!E:E),Groups!A:A,Groups!BG:BG)*_xlfn.XLOOKUP(B138,'Base stats'!B:B,'Base stats'!C:C)^0.165,0.01)</f>
        <v>0.56000000000000005</v>
      </c>
      <c r="Y138" s="8">
        <f>MROUND(_xlfn.XLOOKUP(_xlfn.XLOOKUP(B138,'Base stats'!B:B,'Base stats'!E:E),Groups!A:A,Groups!BH:BH)*_xlfn.XLOOKUP(B138,'Base stats'!B:B,'Base stats'!C:C)^0.165,0.01)</f>
        <v>7.0000000000000007E-2</v>
      </c>
      <c r="Z138" s="18">
        <f>_xlfn.XLOOKUP(B138,'Base stats'!B:B,'Base stats'!AN:AN)*_xlfn.XLOOKUP(_xlfn.XLOOKUP(B138,'Base stats'!B:B,'Base stats'!E:E),Groups!A:A,Groups!H:H)/1000</f>
        <v>0.19605789263738804</v>
      </c>
      <c r="AA138" s="18">
        <f>(1/2)*(_xlfn.XLOOKUP(_xlfn.XLOOKUP(B138,'Base stats'!B:B,'Base stats'!E:E),Groups!A:A,Groups!H:H)*_xlfn.XLOOKUP(_xlfn.XLOOKUP(B138,'Base stats'!B:B,'Base stats'!E:E),Groups!A:A,Groups!I:I))*_xlfn.XLOOKUP(B138,'Base stats'!B:B,'Base stats'!AN:AN)*0.01</f>
        <v>1.4704341947804107</v>
      </c>
      <c r="AB138" s="18">
        <f>250*(Animals!AN138+Animals!AO138)</f>
        <v>1512.5000000000002</v>
      </c>
      <c r="AC138" s="18" t="str">
        <f>_xlfn.XLOOKUP(_xlfn.XLOOKUP(B138,'Base stats'!B:B,'Base stats'!E:E),Groups!A:A,Groups!BI:BI)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stats'!BP:BP) * (_xlfn.XLOOKUP(B139,'Base stats'!B:B,'Base stats'!AL:AL)*5%)^0.9 / 21,0.1),0.05)</f>
        <v>0.4</v>
      </c>
      <c r="E139" s="11">
        <f>MAX(0.01,MROUND(_xlfn.XLOOKUP(B139,'Base stats'!B:B,'Base stats'!BD:BD) * 0.01 * 2, 0.01))</f>
        <v>0.32</v>
      </c>
      <c r="F139" s="7">
        <f>MROUND(_xlfn.XLOOKUP(B139,'Base stats'!B:B,'Base stats'!BA:BA)^0.25 / (_xlfn.XLOOKUP(B139,'Base stats'!B:B,'Base stats'!BH:BH) * 10) * 150 + 0.5 + _xlfn.XLOOKUP(B139,'Base stats'!B:B,'Base stats'!BT:BT), 0.05)</f>
        <v>1.6</v>
      </c>
      <c r="G139" s="3" t="str">
        <f>IF(Animals!R139="No","No",
IF(_xlfn.XLOOKUP(B139,'Base stats'!B:B,'Base stats'!U:U)="No",
MAX(MROUND(_xlfn.XLOOKUP(B139,'Base stats'!B:B,'Base stats'!BQ:BQ) * _xlfn.XLOOKUP(B139,'Base stats'!B:B,'Base stats'!BM:BM)^0.9 / 21 * _xlfn.XLOOKUP(B139,'Base stats'!B:B,'Base stats'!BU:BU),0.1),0.05),
MAX(MROUND(((MIN(10,_xlfn.XLOOKUP(B139,'Base stats'!B:B,'Base stats'!U:U)))^0.4*_xlfn.XLOOKUP(B139,'Base stats'!B:B,'Base stats'!BE:BE)^0.73)^0.6 * _xlfn.XLOOKUP(B139,'Base stats'!B:B,'Base stats'!BU:BU),0.1),0.05)
))</f>
        <v>No</v>
      </c>
      <c r="H139" s="11" t="str">
        <f>IF(G139="No","No",
MAX(0.01,MROUND(_xlfn.XLOOKUP(B139,'Base stats'!B:B,'Base stats'!BE:BE) * 0.01 * 2, 0.01))
)</f>
        <v>No</v>
      </c>
      <c r="I139" s="11" t="str">
        <f>IF(G139="No","No",IF(_xlfn.XLOOKUP(B139,'Base stats'!B:B,'Base stats'!U:U)="No","No",
MAX(0.01,MROUND(_xlfn.XLOOKUP(B139,'Base stats'!B:B,'Base stats'!BQ:BQ)/10000,0.01))
))</f>
        <v>No</v>
      </c>
      <c r="J139" s="4" t="str">
        <f>IF(G139="No","No",
MROUND(_xlfn.XLOOKUP(B139,'Base stats'!B:B,'Base stats'!BB:BB)^0.25
/((_xlfn.XLOOKUP(B139,'Base stats'!B:B,'Base stats'!BI:BI))*10)*_xlfn.XLOOKUP(_xlfn.XLOOKUP(B139,'Base stats'!B:B,'Base stats'!E:E),Groups!A:A,Groups!Q:Q)*150 + 0.5 + _xlfn.XLOOKUP(B139,'Base stats'!B:B,'Base stats'!BT:BT),
0.05))</f>
        <v>No</v>
      </c>
      <c r="K139" s="3" t="str">
        <f>IF(Animals!W139="No","No",
IF(_xlfn.XLOOKUP(_xlfn.XLOOKUP(B139,'Base stats'!B:B,'Base stats'!E:E),Groups!A:A,Groups!BC:BC)=1,
MAX(MROUND(_xlfn.XLOOKUP(B139,'Base stats'!B:B,'Base stats'!BR:BR) * _xlfn.XLOOKUP(B139,'Base stats'!B:B,'Base stats'!BN:BN)^0.9 / 21 *_xlfn.XLOOKUP(B139,'Base stats'!B:B,'Base stats'!BU:BU),0.1),0.05),
MAX(MROUND(((MIN(10,_xlfn.XLOOKUP(B139,'Base stats'!B:B,'Base stats'!W:W)))^0.4*_xlfn.XLOOKUP(B139,'Base stats'!B:B,'Base stats'!BF:BF)^0.73)^0.6 *_xlfn.XLOOKUP(B139,'Base stats'!B:B,'Base stats'!BU:BU),0.1),0.05)
))</f>
        <v>No</v>
      </c>
      <c r="L139" s="11" t="str">
        <f>IF(K139="No","No",
MAX(0.01,MROUND(_xlfn.XLOOKUP(B139,'Base stats'!B:B,'Base stats'!BF:BF) * 0.01 *2, 0.01))
)</f>
        <v>No</v>
      </c>
      <c r="M139" s="5" t="str">
        <f>IF(K139="No","No",IF(_xlfn.XLOOKUP(_xlfn.XLOOKUP(B139,'Base stats'!B:B,'Base stats'!E:E),Groups!A:A,Groups!BC:BC)=1,"No",
MAX(0.01,MROUND(_xlfn.XLOOKUP(B139,'Base stats'!B:B,'Base stats'!BR:BR)/10000,0.01))
))</f>
        <v>No</v>
      </c>
      <c r="N139" s="4" t="str">
        <f>IF(K139="No","No",
MROUND(
  _xlfn.XLOOKUP(B139,'Base stats'!B:B,'Base stats'!AZ:AZ)^0.25
  / (_xlfn.XLOOKUP(B139,'Base stats'!B:B,'Base stats'!BJ:BJ)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stats'!BT:BT),
0.05))</f>
        <v>No</v>
      </c>
      <c r="O139" s="3">
        <f>IF(Animals!AC139="No","No",
MAX(MROUND((MIN(10,_xlfn.XLOOKUP(B139,'Base stats'!B:B,'Base stats'!V:V)*IF(_xlfn.XLOOKUP(_xlfn.XLOOKUP(B139,'Base stats'!B:B,'Base stats'!E:E),Groups!A:A,Groups!O:O)=0,1,0.33))^0.4*_xlfn.XLOOKUP(B139,'Base stats'!B:B,'Base stats'!BG:BG)^0.73)^0.6 *_xlfn.XLOOKUP(B139,'Base stats'!B:B,'Base stats'!BU:BU),0.1),0.05)
)</f>
        <v>5.9</v>
      </c>
      <c r="P139" s="11">
        <f>IF(O139="No","No",
MAX(0.01,MROUND(_xlfn.XLOOKUP(B139,'Base stats'!B:B,'Base stats'!BG:BG) * 0.01 * 2, 0.01))
)</f>
        <v>0.86</v>
      </c>
      <c r="Q139" s="5">
        <f>IF(O139="No","No",
MAX(0.01,MROUND(_xlfn.XLOOKUP(B139,'Base stats'!B:B,'Base stats'!BS:BS)/10000,0.01))
)</f>
        <v>0.11</v>
      </c>
      <c r="R139" s="4">
        <f>IF(O139="No","No",
MROUND(_xlfn.XLOOKUP(B139,'Base stats'!B:B,'Base stats'!AY:AY)^0.25
/((_xlfn.XLOOKUP(B139,'Base stats'!B:B,'Base stats'!BK:BK))*10)*_xlfn.XLOOKUP(_xlfn.XLOOKUP(B139,'Base stats'!B:B,'Base stats'!E:E),Groups!A:A,Groups!Z:Z)*150 + 0.5 + _xlfn.XLOOKUP(B139,'Base stats'!B:B,'Base stats'!BT:BT),
0.05))</f>
        <v>2.0500000000000003</v>
      </c>
      <c r="S139" s="3" t="str">
        <f>IF(Animals!AH139="No","No",
IF(_xlfn.XLOOKUP(B139,'Base stats'!B:B,'Base stats'!U:U)="No",
MAX(MROUND(_xlfn.XLOOKUP(B139,'Base stats'!B:B,'Base stats'!BQ:BQ) * _xlfn.XLOOKUP(B139,'Base stats'!B:B,'Base stats'!BM:BM)^0.9 / 21 * _xlfn.XLOOKUP(B139,'Base stats'!B:B,'Base stats'!BU:BU),0.1),0.05),
MAX(MROUND(((MIN(12,_xlfn.XLOOKUP(B139,'Base stats'!B:B,'Base stats'!U:U)))^0.4*_xlfn.XLOOKUP(B139,'Base stats'!B:B,'Base stats'!BE:BE)^0.73)^0.6 * _xlfn.XLOOKUP(B139,'Base stats'!B:B,'Base stats'!BU:BU),0.1),0.05)
))</f>
        <v>No</v>
      </c>
      <c r="T139" s="11" t="str">
        <f>IF(S139="No","No",
MAX(0.01,MROUND(_xlfn.XLOOKUP(B139,'Base stats'!B:B,'Base stats'!BE:BE) * 0.01 * 2, 0.01))
)</f>
        <v>No</v>
      </c>
      <c r="U139" s="5" t="str">
        <f>IF(S139="No","No",IF(_xlfn.XLOOKUP(B139,'Base stats'!B:B,'Base stats'!U:U)="No","No",
MAX(0.01,MROUND(_xlfn.XLOOKUP(B139,'Base stats'!B:B,'Base stats'!BQ:BQ)/10000,0.01))
))</f>
        <v>No</v>
      </c>
      <c r="V139" s="4" t="str">
        <f>IF(S139="No","No",
MROUND(_xlfn.XLOOKUP(B139,'Base stats'!B:B,'Base stats'!BC:BC)^0.25
/((_xlfn.XLOOKUP(B139,'Base stats'!B:B,'Base stats'!BL:BL))*10)*_xlfn.XLOOKUP(_xlfn.XLOOKUP(B139,'Base stats'!B:B,'Base stats'!E:E),Groups!A:A,Groups!AE:AE)*150 + 0.5 + _xlfn.XLOOKUP(B139,'Base stats'!B:B,'Base stats'!BT:BT),
0.05))</f>
        <v>No</v>
      </c>
      <c r="W139" s="8">
        <f>MROUND(_xlfn.XLOOKUP(_xlfn.XLOOKUP(B139,'Base stats'!B:B,'Base stats'!E:E),Groups!A:A,Groups!BF:BF)*_xlfn.XLOOKUP(B139,'Base stats'!B:B,'Base stats'!C:C)^-0.165,0.01)</f>
        <v>0.68</v>
      </c>
      <c r="X139" s="1">
        <f>MROUND(_xlfn.XLOOKUP(_xlfn.XLOOKUP(B139,'Base stats'!B:B,'Base stats'!E:E),Groups!A:A,Groups!BG:BG)*_xlfn.XLOOKUP(B139,'Base stats'!B:B,'Base stats'!C:C)^0.165,0.01)</f>
        <v>0.28999999999999998</v>
      </c>
      <c r="Y139" s="8">
        <f>MROUND(_xlfn.XLOOKUP(_xlfn.XLOOKUP(B139,'Base stats'!B:B,'Base stats'!E:E),Groups!A:A,Groups!BH:BH)*_xlfn.XLOOKUP(B139,'Base stats'!B:B,'Base stats'!C:C)^0.165,0.01)</f>
        <v>0.04</v>
      </c>
      <c r="Z139" s="18">
        <f>_xlfn.XLOOKUP(B139,'Base stats'!B:B,'Base stats'!AN:AN)*_xlfn.XLOOKUP(_xlfn.XLOOKUP(B139,'Base stats'!B:B,'Base stats'!E:E),Groups!A:A,Groups!H:H)/1000</f>
        <v>5.0205915272530342E-2</v>
      </c>
      <c r="AA139" s="18">
        <f>(1/2)*(_xlfn.XLOOKUP(_xlfn.XLOOKUP(B139,'Base stats'!B:B,'Base stats'!E:E),Groups!A:A,Groups!H:H)*_xlfn.XLOOKUP(_xlfn.XLOOKUP(B139,'Base stats'!B:B,'Base stats'!E:E),Groups!A:A,Groups!I:I))*_xlfn.XLOOKUP(B139,'Base stats'!B:B,'Base stats'!AN:AN)*0.01</f>
        <v>0.37654436454397761</v>
      </c>
      <c r="AB139" s="18">
        <f>250*(Animals!AN139+Animals!AO139)</f>
        <v>225</v>
      </c>
      <c r="AC139" s="18" t="str">
        <f>_xlfn.XLOOKUP(_xlfn.XLOOKUP(B139,'Base stats'!B:B,'Base stats'!E:E),Groups!A:A,Groups!BI:BI)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stats'!BP:BP) * (_xlfn.XLOOKUP(B140,'Base stats'!B:B,'Base stats'!AL:AL)*5%)^0.9 / 21,0.1),0.05)</f>
        <v>0.1</v>
      </c>
      <c r="E140" s="11">
        <f>MAX(0.01,MROUND(_xlfn.XLOOKUP(B140,'Base stats'!B:B,'Base stats'!BD:BD) * 0.01 * 2, 0.01))</f>
        <v>7.0000000000000007E-2</v>
      </c>
      <c r="F140" s="7">
        <f>MROUND(_xlfn.XLOOKUP(B140,'Base stats'!B:B,'Base stats'!BA:BA)^0.25 / (_xlfn.XLOOKUP(B140,'Base stats'!B:B,'Base stats'!BH:BH) * 10) * 150 + 0.5 + _xlfn.XLOOKUP(B140,'Base stats'!B:B,'Base stats'!BT:BT), 0.05)</f>
        <v>1.25</v>
      </c>
      <c r="G140" s="3" t="str">
        <f>IF(Animals!R140="No","No",
IF(_xlfn.XLOOKUP(B140,'Base stats'!B:B,'Base stats'!U:U)="No",
MAX(MROUND(_xlfn.XLOOKUP(B140,'Base stats'!B:B,'Base stats'!BQ:BQ) * _xlfn.XLOOKUP(B140,'Base stats'!B:B,'Base stats'!BM:BM)^0.9 / 21 * _xlfn.XLOOKUP(B140,'Base stats'!B:B,'Base stats'!BU:BU),0.1),0.05),
MAX(MROUND(((MIN(10,_xlfn.XLOOKUP(B140,'Base stats'!B:B,'Base stats'!U:U)))^0.4*_xlfn.XLOOKUP(B140,'Base stats'!B:B,'Base stats'!BE:BE)^0.73)^0.6 * _xlfn.XLOOKUP(B140,'Base stats'!B:B,'Base stats'!BU:BU),0.1),0.05)
))</f>
        <v>No</v>
      </c>
      <c r="H140" s="11" t="str">
        <f>IF(G140="No","No",
MAX(0.01,MROUND(_xlfn.XLOOKUP(B140,'Base stats'!B:B,'Base stats'!BE:BE) * 0.01 * 2, 0.01))
)</f>
        <v>No</v>
      </c>
      <c r="I140" s="11" t="str">
        <f>IF(G140="No","No",IF(_xlfn.XLOOKUP(B140,'Base stats'!B:B,'Base stats'!U:U)="No","No",
MAX(0.01,MROUND(_xlfn.XLOOKUP(B140,'Base stats'!B:B,'Base stats'!BQ:BQ)/10000,0.01))
))</f>
        <v>No</v>
      </c>
      <c r="J140" s="4" t="str">
        <f>IF(G140="No","No",
MROUND(_xlfn.XLOOKUP(B140,'Base stats'!B:B,'Base stats'!BB:BB)^0.25
/((_xlfn.XLOOKUP(B140,'Base stats'!B:B,'Base stats'!BI:BI))*10)*_xlfn.XLOOKUP(_xlfn.XLOOKUP(B140,'Base stats'!B:B,'Base stats'!E:E),Groups!A:A,Groups!Q:Q)*150 + 0.5 + _xlfn.XLOOKUP(B140,'Base stats'!B:B,'Base stats'!BT:BT),
0.05))</f>
        <v>No</v>
      </c>
      <c r="K140" s="3" t="str">
        <f>IF(Animals!W140="No","No",
IF(_xlfn.XLOOKUP(_xlfn.XLOOKUP(B140,'Base stats'!B:B,'Base stats'!E:E),Groups!A:A,Groups!BC:BC)=1,
MAX(MROUND(_xlfn.XLOOKUP(B140,'Base stats'!B:B,'Base stats'!BR:BR) * _xlfn.XLOOKUP(B140,'Base stats'!B:B,'Base stats'!BN:BN)^0.9 / 21 *_xlfn.XLOOKUP(B140,'Base stats'!B:B,'Base stats'!BU:BU),0.1),0.05),
MAX(MROUND(((MIN(10,_xlfn.XLOOKUP(B140,'Base stats'!B:B,'Base stats'!W:W)))^0.4*_xlfn.XLOOKUP(B140,'Base stats'!B:B,'Base stats'!BF:BF)^0.73)^0.6 *_xlfn.XLOOKUP(B140,'Base stats'!B:B,'Base stats'!BU:BU),0.1),0.05)
))</f>
        <v>No</v>
      </c>
      <c r="L140" s="11" t="str">
        <f>IF(K140="No","No",
MAX(0.01,MROUND(_xlfn.XLOOKUP(B140,'Base stats'!B:B,'Base stats'!BF:BF) * 0.01 *2, 0.01))
)</f>
        <v>No</v>
      </c>
      <c r="M140" s="5" t="str">
        <f>IF(K140="No","No",IF(_xlfn.XLOOKUP(_xlfn.XLOOKUP(B140,'Base stats'!B:B,'Base stats'!E:E),Groups!A:A,Groups!BC:BC)=1,"No",
MAX(0.01,MROUND(_xlfn.XLOOKUP(B140,'Base stats'!B:B,'Base stats'!BR:BR)/10000,0.01))
))</f>
        <v>No</v>
      </c>
      <c r="N140" s="4" t="str">
        <f>IF(K140="No","No",
MROUND(
  _xlfn.XLOOKUP(B140,'Base stats'!B:B,'Base stats'!AZ:AZ)^0.25
  / (_xlfn.XLOOKUP(B140,'Base stats'!B:B,'Base stats'!BJ:BJ)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stats'!BT:BT),
0.05))</f>
        <v>No</v>
      </c>
      <c r="O140" s="3">
        <f>IF(Animals!AC140="No","No",
MAX(MROUND((MIN(10,_xlfn.XLOOKUP(B140,'Base stats'!B:B,'Base stats'!V:V)*IF(_xlfn.XLOOKUP(_xlfn.XLOOKUP(B140,'Base stats'!B:B,'Base stats'!E:E),Groups!A:A,Groups!O:O)=0,1,0.33))^0.4*_xlfn.XLOOKUP(B140,'Base stats'!B:B,'Base stats'!BG:BG)^0.73)^0.6 *_xlfn.XLOOKUP(B140,'Base stats'!B:B,'Base stats'!BU:BU),0.1),0.05)
)</f>
        <v>2.7</v>
      </c>
      <c r="P140" s="11">
        <f>IF(O140="No","No",
MAX(0.01,MROUND(_xlfn.XLOOKUP(B140,'Base stats'!B:B,'Base stats'!BG:BG) * 0.01 * 2, 0.01))
)</f>
        <v>0.2</v>
      </c>
      <c r="Q140" s="5">
        <f>IF(O140="No","No",
MAX(0.01,MROUND(_xlfn.XLOOKUP(B140,'Base stats'!B:B,'Base stats'!BS:BS)/10000,0.01))
)</f>
        <v>0.05</v>
      </c>
      <c r="R140" s="4">
        <f>IF(O140="No","No",
MROUND(_xlfn.XLOOKUP(B140,'Base stats'!B:B,'Base stats'!AY:AY)^0.25
/((_xlfn.XLOOKUP(B140,'Base stats'!B:B,'Base stats'!BK:BK))*10)*_xlfn.XLOOKUP(_xlfn.XLOOKUP(B140,'Base stats'!B:B,'Base stats'!E:E),Groups!A:A,Groups!Z:Z)*150 + 0.5 + _xlfn.XLOOKUP(B140,'Base stats'!B:B,'Base stats'!BT:BT),
0.05))</f>
        <v>1.8</v>
      </c>
      <c r="S140" s="3" t="str">
        <f>IF(Animals!AH140="No","No",
IF(_xlfn.XLOOKUP(B140,'Base stats'!B:B,'Base stats'!U:U)="No",
MAX(MROUND(_xlfn.XLOOKUP(B140,'Base stats'!B:B,'Base stats'!BQ:BQ) * _xlfn.XLOOKUP(B140,'Base stats'!B:B,'Base stats'!BM:BM)^0.9 / 21 * _xlfn.XLOOKUP(B140,'Base stats'!B:B,'Base stats'!BU:BU),0.1),0.05),
MAX(MROUND(((MIN(12,_xlfn.XLOOKUP(B140,'Base stats'!B:B,'Base stats'!U:U)))^0.4*_xlfn.XLOOKUP(B140,'Base stats'!B:B,'Base stats'!BE:BE)^0.73)^0.6 * _xlfn.XLOOKUP(B140,'Base stats'!B:B,'Base stats'!BU:BU),0.1),0.05)
))</f>
        <v>No</v>
      </c>
      <c r="T140" s="11" t="str">
        <f>IF(S140="No","No",
MAX(0.01,MROUND(_xlfn.XLOOKUP(B140,'Base stats'!B:B,'Base stats'!BE:BE) * 0.01 * 2, 0.01))
)</f>
        <v>No</v>
      </c>
      <c r="U140" s="5" t="str">
        <f>IF(S140="No","No",IF(_xlfn.XLOOKUP(B140,'Base stats'!B:B,'Base stats'!U:U)="No","No",
MAX(0.01,MROUND(_xlfn.XLOOKUP(B140,'Base stats'!B:B,'Base stats'!BQ:BQ)/10000,0.01))
))</f>
        <v>No</v>
      </c>
      <c r="V140" s="4" t="str">
        <f>IF(S140="No","No",
MROUND(_xlfn.XLOOKUP(B140,'Base stats'!B:B,'Base stats'!BC:BC)^0.25
/((_xlfn.XLOOKUP(B140,'Base stats'!B:B,'Base stats'!BL:BL))*10)*_xlfn.XLOOKUP(_xlfn.XLOOKUP(B140,'Base stats'!B:B,'Base stats'!E:E),Groups!A:A,Groups!AE:AE)*150 + 0.5 + _xlfn.XLOOKUP(B140,'Base stats'!B:B,'Base stats'!BT:BT),
0.05))</f>
        <v>No</v>
      </c>
      <c r="W140" s="8">
        <f>MROUND(_xlfn.XLOOKUP(_xlfn.XLOOKUP(B140,'Base stats'!B:B,'Base stats'!E:E),Groups!A:A,Groups!BF:BF)*_xlfn.XLOOKUP(B140,'Base stats'!B:B,'Base stats'!C:C)^-0.165,0.01)</f>
        <v>0.89</v>
      </c>
      <c r="X140" s="1">
        <f>MROUND(_xlfn.XLOOKUP(_xlfn.XLOOKUP(B140,'Base stats'!B:B,'Base stats'!E:E),Groups!A:A,Groups!BG:BG)*_xlfn.XLOOKUP(B140,'Base stats'!B:B,'Base stats'!C:C)^0.165,0.01)</f>
        <v>0.22</v>
      </c>
      <c r="Y140" s="8">
        <f>MROUND(_xlfn.XLOOKUP(_xlfn.XLOOKUP(B140,'Base stats'!B:B,'Base stats'!E:E),Groups!A:A,Groups!BH:BH)*_xlfn.XLOOKUP(B140,'Base stats'!B:B,'Base stats'!C:C)^0.165,0.01)</f>
        <v>0.03</v>
      </c>
      <c r="Z140" s="18">
        <f>_xlfn.XLOOKUP(B140,'Base stats'!B:B,'Base stats'!AN:AN)*_xlfn.XLOOKUP(_xlfn.XLOOKUP(B140,'Base stats'!B:B,'Base stats'!E:E),Groups!A:A,Groups!H:H)/1000</f>
        <v>2.8386073777787287E-2</v>
      </c>
      <c r="AA140" s="18">
        <f>(1/2)*(_xlfn.XLOOKUP(_xlfn.XLOOKUP(B140,'Base stats'!B:B,'Base stats'!E:E),Groups!A:A,Groups!H:H)*_xlfn.XLOOKUP(_xlfn.XLOOKUP(B140,'Base stats'!B:B,'Base stats'!E:E),Groups!A:A,Groups!I:I))*_xlfn.XLOOKUP(B140,'Base stats'!B:B,'Base stats'!AN:AN)*0.01</f>
        <v>0.21289555333340468</v>
      </c>
      <c r="AB140" s="18">
        <f>250*(Animals!AN140+Animals!AO140)</f>
        <v>112.5</v>
      </c>
      <c r="AC140" s="18" t="str">
        <f>_xlfn.XLOOKUP(_xlfn.XLOOKUP(B140,'Base stats'!B:B,'Base stats'!E:E),Groups!A:A,Groups!BI:BI)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stats'!BP:BP) * (_xlfn.XLOOKUP(B141,'Base stats'!B:B,'Base stats'!AL:AL)*5%)^0.9 / 21,0.1),0.05)</f>
        <v>0.60000000000000009</v>
      </c>
      <c r="E141" s="11">
        <f>MAX(0.01,MROUND(_xlfn.XLOOKUP(B141,'Base stats'!B:B,'Base stats'!BD:BD) * 0.01 * 2, 0.01))</f>
        <v>0.47000000000000003</v>
      </c>
      <c r="F141" s="7">
        <f>MROUND(_xlfn.XLOOKUP(B141,'Base stats'!B:B,'Base stats'!BA:BA)^0.25 / (_xlfn.XLOOKUP(B141,'Base stats'!B:B,'Base stats'!BH:BH) * 10) * 150 + 0.5 + _xlfn.XLOOKUP(B141,'Base stats'!B:B,'Base stats'!BT:BT), 0.05)</f>
        <v>1.55</v>
      </c>
      <c r="G141" s="3" t="str">
        <f>IF(Animals!R141="No","No",
IF(_xlfn.XLOOKUP(B141,'Base stats'!B:B,'Base stats'!U:U)="No",
MAX(MROUND(_xlfn.XLOOKUP(B141,'Base stats'!B:B,'Base stats'!BQ:BQ) * _xlfn.XLOOKUP(B141,'Base stats'!B:B,'Base stats'!BM:BM)^0.9 / 21 * _xlfn.XLOOKUP(B141,'Base stats'!B:B,'Base stats'!BU:BU),0.1),0.05),
MAX(MROUND(((MIN(10,_xlfn.XLOOKUP(B141,'Base stats'!B:B,'Base stats'!U:U)))^0.4*_xlfn.XLOOKUP(B141,'Base stats'!B:B,'Base stats'!BE:BE)^0.73)^0.6 * _xlfn.XLOOKUP(B141,'Base stats'!B:B,'Base stats'!BU:BU),0.1),0.05)
))</f>
        <v>No</v>
      </c>
      <c r="H141" s="11" t="str">
        <f>IF(G141="No","No",
MAX(0.01,MROUND(_xlfn.XLOOKUP(B141,'Base stats'!B:B,'Base stats'!BE:BE) * 0.01 * 2, 0.01))
)</f>
        <v>No</v>
      </c>
      <c r="I141" s="11" t="str">
        <f>IF(G141="No","No",IF(_xlfn.XLOOKUP(B141,'Base stats'!B:B,'Base stats'!U:U)="No","No",
MAX(0.01,MROUND(_xlfn.XLOOKUP(B141,'Base stats'!B:B,'Base stats'!BQ:BQ)/10000,0.01))
))</f>
        <v>No</v>
      </c>
      <c r="J141" s="4" t="str">
        <f>IF(G141="No","No",
MROUND(_xlfn.XLOOKUP(B141,'Base stats'!B:B,'Base stats'!BB:BB)^0.25
/((_xlfn.XLOOKUP(B141,'Base stats'!B:B,'Base stats'!BI:BI))*10)*_xlfn.XLOOKUP(_xlfn.XLOOKUP(B141,'Base stats'!B:B,'Base stats'!E:E),Groups!A:A,Groups!Q:Q)*150 + 0.5 + _xlfn.XLOOKUP(B141,'Base stats'!B:B,'Base stats'!BT:BT),
0.05))</f>
        <v>No</v>
      </c>
      <c r="K141" s="3" t="str">
        <f>IF(Animals!W141="No","No",
IF(_xlfn.XLOOKUP(_xlfn.XLOOKUP(B141,'Base stats'!B:B,'Base stats'!E:E),Groups!A:A,Groups!BC:BC)=1,
MAX(MROUND(_xlfn.XLOOKUP(B141,'Base stats'!B:B,'Base stats'!BR:BR) * _xlfn.XLOOKUP(B141,'Base stats'!B:B,'Base stats'!BN:BN)^0.9 / 21 *_xlfn.XLOOKUP(B141,'Base stats'!B:B,'Base stats'!BU:BU),0.1),0.05),
MAX(MROUND(((MIN(10,_xlfn.XLOOKUP(B141,'Base stats'!B:B,'Base stats'!W:W)))^0.4*_xlfn.XLOOKUP(B141,'Base stats'!B:B,'Base stats'!BF:BF)^0.73)^0.6 *_xlfn.XLOOKUP(B141,'Base stats'!B:B,'Base stats'!BU:BU),0.1),0.05)
))</f>
        <v>No</v>
      </c>
      <c r="L141" s="11" t="str">
        <f>IF(K141="No","No",
MAX(0.01,MROUND(_xlfn.XLOOKUP(B141,'Base stats'!B:B,'Base stats'!BF:BF) * 0.01 *2, 0.01))
)</f>
        <v>No</v>
      </c>
      <c r="M141" s="5" t="str">
        <f>IF(K141="No","No",IF(_xlfn.XLOOKUP(_xlfn.XLOOKUP(B141,'Base stats'!B:B,'Base stats'!E:E),Groups!A:A,Groups!BC:BC)=1,"No",
MAX(0.01,MROUND(_xlfn.XLOOKUP(B141,'Base stats'!B:B,'Base stats'!BR:BR)/10000,0.01))
))</f>
        <v>No</v>
      </c>
      <c r="N141" s="4" t="str">
        <f>IF(K141="No","No",
MROUND(
  _xlfn.XLOOKUP(B141,'Base stats'!B:B,'Base stats'!AZ:AZ)^0.25
  / (_xlfn.XLOOKUP(B141,'Base stats'!B:B,'Base stats'!BJ:BJ)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stats'!BT:BT),
0.05))</f>
        <v>No</v>
      </c>
      <c r="O141" s="3">
        <f>IF(Animals!AC141="No","No",
MAX(MROUND((MIN(10,_xlfn.XLOOKUP(B141,'Base stats'!B:B,'Base stats'!V:V)*IF(_xlfn.XLOOKUP(_xlfn.XLOOKUP(B141,'Base stats'!B:B,'Base stats'!E:E),Groups!A:A,Groups!O:O)=0,1,0.33))^0.4*_xlfn.XLOOKUP(B141,'Base stats'!B:B,'Base stats'!BG:BG)^0.73)^0.6 *_xlfn.XLOOKUP(B141,'Base stats'!B:B,'Base stats'!BU:BU),0.1),0.05)
)</f>
        <v>7.3000000000000007</v>
      </c>
      <c r="P141" s="11">
        <f>IF(O141="No","No",
MAX(0.01,MROUND(_xlfn.XLOOKUP(B141,'Base stats'!B:B,'Base stats'!BG:BG) * 0.01 * 2, 0.01))
)</f>
        <v>1.25</v>
      </c>
      <c r="Q141" s="5">
        <f>IF(O141="No","No",
MAX(0.01,MROUND(_xlfn.XLOOKUP(B141,'Base stats'!B:B,'Base stats'!BS:BS)/10000,0.01))
)</f>
        <v>0.14000000000000001</v>
      </c>
      <c r="R141" s="4">
        <f>IF(O141="No","No",
MROUND(_xlfn.XLOOKUP(B141,'Base stats'!B:B,'Base stats'!AY:AY)^0.25
/((_xlfn.XLOOKUP(B141,'Base stats'!B:B,'Base stats'!BK:BK))*10)*_xlfn.XLOOKUP(_xlfn.XLOOKUP(B141,'Base stats'!B:B,'Base stats'!E:E),Groups!A:A,Groups!Z:Z)*150 + 0.5 + _xlfn.XLOOKUP(B141,'Base stats'!B:B,'Base stats'!BT:BT),
0.05))</f>
        <v>1.9500000000000002</v>
      </c>
      <c r="S141" s="3" t="str">
        <f>IF(Animals!AH141="No","No",
IF(_xlfn.XLOOKUP(B141,'Base stats'!B:B,'Base stats'!U:U)="No",
MAX(MROUND(_xlfn.XLOOKUP(B141,'Base stats'!B:B,'Base stats'!BQ:BQ) * _xlfn.XLOOKUP(B141,'Base stats'!B:B,'Base stats'!BM:BM)^0.9 / 21 * _xlfn.XLOOKUP(B141,'Base stats'!B:B,'Base stats'!BU:BU),0.1),0.05),
MAX(MROUND(((MIN(12,_xlfn.XLOOKUP(B141,'Base stats'!B:B,'Base stats'!U:U)))^0.4*_xlfn.XLOOKUP(B141,'Base stats'!B:B,'Base stats'!BE:BE)^0.73)^0.6 * _xlfn.XLOOKUP(B141,'Base stats'!B:B,'Base stats'!BU:BU),0.1),0.05)
))</f>
        <v>No</v>
      </c>
      <c r="T141" s="11" t="str">
        <f>IF(S141="No","No",
MAX(0.01,MROUND(_xlfn.XLOOKUP(B141,'Base stats'!B:B,'Base stats'!BE:BE) * 0.01 * 2, 0.01))
)</f>
        <v>No</v>
      </c>
      <c r="U141" s="5" t="str">
        <f>IF(S141="No","No",IF(_xlfn.XLOOKUP(B141,'Base stats'!B:B,'Base stats'!U:U)="No","No",
MAX(0.01,MROUND(_xlfn.XLOOKUP(B141,'Base stats'!B:B,'Base stats'!BQ:BQ)/10000,0.01))
))</f>
        <v>No</v>
      </c>
      <c r="V141" s="4" t="str">
        <f>IF(S141="No","No",
MROUND(_xlfn.XLOOKUP(B141,'Base stats'!B:B,'Base stats'!BC:BC)^0.25
/((_xlfn.XLOOKUP(B141,'Base stats'!B:B,'Base stats'!BL:BL))*10)*_xlfn.XLOOKUP(_xlfn.XLOOKUP(B141,'Base stats'!B:B,'Base stats'!E:E),Groups!A:A,Groups!AE:AE)*150 + 0.5 + _xlfn.XLOOKUP(B141,'Base stats'!B:B,'Base stats'!BT:BT),
0.05))</f>
        <v>No</v>
      </c>
      <c r="W141" s="8">
        <f>MROUND(_xlfn.XLOOKUP(_xlfn.XLOOKUP(B141,'Base stats'!B:B,'Base stats'!E:E),Groups!A:A,Groups!BF:BF)*_xlfn.XLOOKUP(B141,'Base stats'!B:B,'Base stats'!C:C)^-0.165,0.01)</f>
        <v>0.64</v>
      </c>
      <c r="X141" s="1">
        <f>MROUND(_xlfn.XLOOKUP(_xlfn.XLOOKUP(B141,'Base stats'!B:B,'Base stats'!E:E),Groups!A:A,Groups!BG:BG)*_xlfn.XLOOKUP(B141,'Base stats'!B:B,'Base stats'!C:C)^0.165,0.01)</f>
        <v>0.31</v>
      </c>
      <c r="Y141" s="8">
        <f>MROUND(_xlfn.XLOOKUP(_xlfn.XLOOKUP(B141,'Base stats'!B:B,'Base stats'!E:E),Groups!A:A,Groups!BH:BH)*_xlfn.XLOOKUP(B141,'Base stats'!B:B,'Base stats'!C:C)^0.165,0.01)</f>
        <v>0.04</v>
      </c>
      <c r="Z141" s="18">
        <f>_xlfn.XLOOKUP(B141,'Base stats'!B:B,'Base stats'!AN:AN)*_xlfn.XLOOKUP(_xlfn.XLOOKUP(B141,'Base stats'!B:B,'Base stats'!E:E),Groups!A:A,Groups!H:H)/1000</f>
        <v>5.812472659428268E-2</v>
      </c>
      <c r="AA141" s="18">
        <f>(1/2)*(_xlfn.XLOOKUP(_xlfn.XLOOKUP(B141,'Base stats'!B:B,'Base stats'!E:E),Groups!A:A,Groups!H:H)*_xlfn.XLOOKUP(_xlfn.XLOOKUP(B141,'Base stats'!B:B,'Base stats'!E:E),Groups!A:A,Groups!I:I))*_xlfn.XLOOKUP(B141,'Base stats'!B:B,'Base stats'!AN:AN)*0.01</f>
        <v>0.43593544945712015</v>
      </c>
      <c r="AB141" s="18">
        <f>250*(Animals!AN141+Animals!AO141)</f>
        <v>275</v>
      </c>
      <c r="AC141" s="18" t="str">
        <f>_xlfn.XLOOKUP(_xlfn.XLOOKUP(B141,'Base stats'!B:B,'Base stats'!E:E),Groups!A:A,Groups!BI:BI)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stats'!BP:BP) * (_xlfn.XLOOKUP(B142,'Base stats'!B:B,'Base stats'!AL:AL)*5%)^0.9 / 21,0.1),0.05)</f>
        <v>0.5</v>
      </c>
      <c r="E142" s="11">
        <f>MAX(0.01,MROUND(_xlfn.XLOOKUP(B142,'Base stats'!B:B,'Base stats'!BD:BD) * 0.01 * 2, 0.01))</f>
        <v>0.35000000000000003</v>
      </c>
      <c r="F142" s="7">
        <f>MROUND(_xlfn.XLOOKUP(B142,'Base stats'!B:B,'Base stats'!BA:BA)^0.25 / (_xlfn.XLOOKUP(B142,'Base stats'!B:B,'Base stats'!BH:BH) * 10) * 150 + 0.5 + _xlfn.XLOOKUP(B142,'Base stats'!B:B,'Base stats'!BT:BT), 0.05)</f>
        <v>1.6</v>
      </c>
      <c r="G142" s="3" t="str">
        <f>IF(Animals!R142="No","No",
IF(_xlfn.XLOOKUP(B142,'Base stats'!B:B,'Base stats'!U:U)="No",
MAX(MROUND(_xlfn.XLOOKUP(B142,'Base stats'!B:B,'Base stats'!BQ:BQ) * _xlfn.XLOOKUP(B142,'Base stats'!B:B,'Base stats'!BM:BM)^0.9 / 21 * _xlfn.XLOOKUP(B142,'Base stats'!B:B,'Base stats'!BU:BU),0.1),0.05),
MAX(MROUND(((MIN(10,_xlfn.XLOOKUP(B142,'Base stats'!B:B,'Base stats'!U:U)))^0.4*_xlfn.XLOOKUP(B142,'Base stats'!B:B,'Base stats'!BE:BE)^0.73)^0.6 * _xlfn.XLOOKUP(B142,'Base stats'!B:B,'Base stats'!BU:BU),0.1),0.05)
))</f>
        <v>No</v>
      </c>
      <c r="H142" s="11" t="str">
        <f>IF(G142="No","No",
MAX(0.01,MROUND(_xlfn.XLOOKUP(B142,'Base stats'!B:B,'Base stats'!BE:BE) * 0.01 * 2, 0.01))
)</f>
        <v>No</v>
      </c>
      <c r="I142" s="11" t="str">
        <f>IF(G142="No","No",IF(_xlfn.XLOOKUP(B142,'Base stats'!B:B,'Base stats'!U:U)="No","No",
MAX(0.01,MROUND(_xlfn.XLOOKUP(B142,'Base stats'!B:B,'Base stats'!BQ:BQ)/10000,0.01))
))</f>
        <v>No</v>
      </c>
      <c r="J142" s="4" t="str">
        <f>IF(G142="No","No",
MROUND(_xlfn.XLOOKUP(B142,'Base stats'!B:B,'Base stats'!BB:BB)^0.25
/((_xlfn.XLOOKUP(B142,'Base stats'!B:B,'Base stats'!BI:BI))*10)*_xlfn.XLOOKUP(_xlfn.XLOOKUP(B142,'Base stats'!B:B,'Base stats'!E:E),Groups!A:A,Groups!Q:Q)*150 + 0.5 + _xlfn.XLOOKUP(B142,'Base stats'!B:B,'Base stats'!BT:BT),
0.05))</f>
        <v>No</v>
      </c>
      <c r="K142" s="3" t="str">
        <f>IF(Animals!W142="No","No",
IF(_xlfn.XLOOKUP(_xlfn.XLOOKUP(B142,'Base stats'!B:B,'Base stats'!E:E),Groups!A:A,Groups!BC:BC)=1,
MAX(MROUND(_xlfn.XLOOKUP(B142,'Base stats'!B:B,'Base stats'!BR:BR) * _xlfn.XLOOKUP(B142,'Base stats'!B:B,'Base stats'!BN:BN)^0.9 / 21 *_xlfn.XLOOKUP(B142,'Base stats'!B:B,'Base stats'!BU:BU),0.1),0.05),
MAX(MROUND(((MIN(10,_xlfn.XLOOKUP(B142,'Base stats'!B:B,'Base stats'!W:W)))^0.4*_xlfn.XLOOKUP(B142,'Base stats'!B:B,'Base stats'!BF:BF)^0.73)^0.6 *_xlfn.XLOOKUP(B142,'Base stats'!B:B,'Base stats'!BU:BU),0.1),0.05)
))</f>
        <v>No</v>
      </c>
      <c r="L142" s="11" t="str">
        <f>IF(K142="No","No",
MAX(0.01,MROUND(_xlfn.XLOOKUP(B142,'Base stats'!B:B,'Base stats'!BF:BF) * 0.01 *2, 0.01))
)</f>
        <v>No</v>
      </c>
      <c r="M142" s="5" t="str">
        <f>IF(K142="No","No",IF(_xlfn.XLOOKUP(_xlfn.XLOOKUP(B142,'Base stats'!B:B,'Base stats'!E:E),Groups!A:A,Groups!BC:BC)=1,"No",
MAX(0.01,MROUND(_xlfn.XLOOKUP(B142,'Base stats'!B:B,'Base stats'!BR:BR)/10000,0.01))
))</f>
        <v>No</v>
      </c>
      <c r="N142" s="4" t="str">
        <f>IF(K142="No","No",
MROUND(
  _xlfn.XLOOKUP(B142,'Base stats'!B:B,'Base stats'!AZ:AZ)^0.25
  / (_xlfn.XLOOKUP(B142,'Base stats'!B:B,'Base stats'!BJ:BJ)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stats'!BT:BT),
0.05))</f>
        <v>No</v>
      </c>
      <c r="O142" s="3">
        <f>IF(Animals!AC142="No","No",
MAX(MROUND((MIN(10,_xlfn.XLOOKUP(B142,'Base stats'!B:B,'Base stats'!V:V)*IF(_xlfn.XLOOKUP(_xlfn.XLOOKUP(B142,'Base stats'!B:B,'Base stats'!E:E),Groups!A:A,Groups!O:O)=0,1,0.33))^0.4*_xlfn.XLOOKUP(B142,'Base stats'!B:B,'Base stats'!BG:BG)^0.73)^0.6 *_xlfn.XLOOKUP(B142,'Base stats'!B:B,'Base stats'!BU:BU),0.1),0.05)
)</f>
        <v>6.2</v>
      </c>
      <c r="P142" s="11">
        <f>IF(O142="No","No",
MAX(0.01,MROUND(_xlfn.XLOOKUP(B142,'Base stats'!B:B,'Base stats'!BG:BG) * 0.01 * 2, 0.01))
)</f>
        <v>0.92</v>
      </c>
      <c r="Q142" s="5">
        <f>IF(O142="No","No",
MAX(0.01,MROUND(_xlfn.XLOOKUP(B142,'Base stats'!B:B,'Base stats'!BS:BS)/10000,0.01))
)</f>
        <v>0.12</v>
      </c>
      <c r="R142" s="4">
        <f>IF(O142="No","No",
MROUND(_xlfn.XLOOKUP(B142,'Base stats'!B:B,'Base stats'!AY:AY)^0.25
/((_xlfn.XLOOKUP(B142,'Base stats'!B:B,'Base stats'!BK:BK))*10)*_xlfn.XLOOKUP(_xlfn.XLOOKUP(B142,'Base stats'!B:B,'Base stats'!E:E),Groups!A:A,Groups!Z:Z)*150 + 0.5 + _xlfn.XLOOKUP(B142,'Base stats'!B:B,'Base stats'!BT:BT),
0.05))</f>
        <v>1.9000000000000001</v>
      </c>
      <c r="S142" s="3" t="str">
        <f>IF(Animals!AH142="No","No",
IF(_xlfn.XLOOKUP(B142,'Base stats'!B:B,'Base stats'!U:U)="No",
MAX(MROUND(_xlfn.XLOOKUP(B142,'Base stats'!B:B,'Base stats'!BQ:BQ) * _xlfn.XLOOKUP(B142,'Base stats'!B:B,'Base stats'!BM:BM)^0.9 / 21 * _xlfn.XLOOKUP(B142,'Base stats'!B:B,'Base stats'!BU:BU),0.1),0.05),
MAX(MROUND(((MIN(12,_xlfn.XLOOKUP(B142,'Base stats'!B:B,'Base stats'!U:U)))^0.4*_xlfn.XLOOKUP(B142,'Base stats'!B:B,'Base stats'!BE:BE)^0.73)^0.6 * _xlfn.XLOOKUP(B142,'Base stats'!B:B,'Base stats'!BU:BU),0.1),0.05)
))</f>
        <v>No</v>
      </c>
      <c r="T142" s="11" t="str">
        <f>IF(S142="No","No",
MAX(0.01,MROUND(_xlfn.XLOOKUP(B142,'Base stats'!B:B,'Base stats'!BE:BE) * 0.01 * 2, 0.01))
)</f>
        <v>No</v>
      </c>
      <c r="U142" s="5" t="str">
        <f>IF(S142="No","No",IF(_xlfn.XLOOKUP(B142,'Base stats'!B:B,'Base stats'!U:U)="No","No",
MAX(0.01,MROUND(_xlfn.XLOOKUP(B142,'Base stats'!B:B,'Base stats'!BQ:BQ)/10000,0.01))
))</f>
        <v>No</v>
      </c>
      <c r="V142" s="4" t="str">
        <f>IF(S142="No","No",
MROUND(_xlfn.XLOOKUP(B142,'Base stats'!B:B,'Base stats'!BC:BC)^0.25
/((_xlfn.XLOOKUP(B142,'Base stats'!B:B,'Base stats'!BL:BL))*10)*_xlfn.XLOOKUP(_xlfn.XLOOKUP(B142,'Base stats'!B:B,'Base stats'!E:E),Groups!A:A,Groups!AE:AE)*150 + 0.5 + _xlfn.XLOOKUP(B142,'Base stats'!B:B,'Base stats'!BT:BT),
0.05))</f>
        <v>No</v>
      </c>
      <c r="W142" s="8">
        <f>MROUND(_xlfn.XLOOKUP(_xlfn.XLOOKUP(B142,'Base stats'!B:B,'Base stats'!E:E),Groups!A:A,Groups!BF:BF)*_xlfn.XLOOKUP(B142,'Base stats'!B:B,'Base stats'!C:C)^-0.165,0.01)</f>
        <v>0.67</v>
      </c>
      <c r="X142" s="1">
        <f>MROUND(_xlfn.XLOOKUP(_xlfn.XLOOKUP(B142,'Base stats'!B:B,'Base stats'!E:E),Groups!A:A,Groups!BG:BG)*_xlfn.XLOOKUP(B142,'Base stats'!B:B,'Base stats'!C:C)^0.165,0.01)</f>
        <v>0.3</v>
      </c>
      <c r="Y142" s="8">
        <f>MROUND(_xlfn.XLOOKUP(_xlfn.XLOOKUP(B142,'Base stats'!B:B,'Base stats'!E:E),Groups!A:A,Groups!BH:BH)*_xlfn.XLOOKUP(B142,'Base stats'!B:B,'Base stats'!C:C)^0.165,0.01)</f>
        <v>0.04</v>
      </c>
      <c r="Z142" s="18">
        <f>_xlfn.XLOOKUP(B142,'Base stats'!B:B,'Base stats'!AN:AN)*_xlfn.XLOOKUP(_xlfn.XLOOKUP(B142,'Base stats'!B:B,'Base stats'!E:E),Groups!A:A,Groups!H:H)/1000</f>
        <v>5.1550427185527541E-2</v>
      </c>
      <c r="AA142" s="18">
        <f>(1/2)*(_xlfn.XLOOKUP(_xlfn.XLOOKUP(B142,'Base stats'!B:B,'Base stats'!E:E),Groups!A:A,Groups!H:H)*_xlfn.XLOOKUP(_xlfn.XLOOKUP(B142,'Base stats'!B:B,'Base stats'!E:E),Groups!A:A,Groups!I:I))*_xlfn.XLOOKUP(B142,'Base stats'!B:B,'Base stats'!AN:AN)*0.01</f>
        <v>0.38662820389145658</v>
      </c>
      <c r="AB142" s="18">
        <f>250*(Animals!AN142+Animals!AO142)</f>
        <v>250</v>
      </c>
      <c r="AC142" s="18" t="str">
        <f>_xlfn.XLOOKUP(_xlfn.XLOOKUP(B142,'Base stats'!B:B,'Base stats'!E:E),Groups!A:A,Groups!BI:BI)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stats'!BP:BP) * (_xlfn.XLOOKUP(B143,'Base stats'!B:B,'Base stats'!AL:AL)*5%)^0.9 / 21,0.1),0.05)</f>
        <v>1.3</v>
      </c>
      <c r="E143" s="11">
        <f>MAX(0.01,MROUND(_xlfn.XLOOKUP(B143,'Base stats'!B:B,'Base stats'!BD:BD) * 0.01 * 2, 0.01))</f>
        <v>1.06</v>
      </c>
      <c r="F143" s="7">
        <f>MROUND(_xlfn.XLOOKUP(B143,'Base stats'!B:B,'Base stats'!BA:BA)^0.25 / (_xlfn.XLOOKUP(B143,'Base stats'!B:B,'Base stats'!BH:BH) * 10) * 150 + 0.5 + _xlfn.XLOOKUP(B143,'Base stats'!B:B,'Base stats'!BT:BT), 0.05)</f>
        <v>1.8</v>
      </c>
      <c r="G143" s="3" t="str">
        <f>IF(Animals!R143="No","No",
IF(_xlfn.XLOOKUP(B143,'Base stats'!B:B,'Base stats'!U:U)="No",
MAX(MROUND(_xlfn.XLOOKUP(B143,'Base stats'!B:B,'Base stats'!BQ:BQ) * _xlfn.XLOOKUP(B143,'Base stats'!B:B,'Base stats'!BM:BM)^0.9 / 21 * _xlfn.XLOOKUP(B143,'Base stats'!B:B,'Base stats'!BU:BU),0.1),0.05),
MAX(MROUND(((MIN(10,_xlfn.XLOOKUP(B143,'Base stats'!B:B,'Base stats'!U:U)))^0.4*_xlfn.XLOOKUP(B143,'Base stats'!B:B,'Base stats'!BE:BE)^0.73)^0.6 * _xlfn.XLOOKUP(B143,'Base stats'!B:B,'Base stats'!BU:BU),0.1),0.05)
))</f>
        <v>No</v>
      </c>
      <c r="H143" s="11" t="str">
        <f>IF(G143="No","No",
MAX(0.01,MROUND(_xlfn.XLOOKUP(B143,'Base stats'!B:B,'Base stats'!BE:BE) * 0.01 * 2, 0.01))
)</f>
        <v>No</v>
      </c>
      <c r="I143" s="11" t="str">
        <f>IF(G143="No","No",IF(_xlfn.XLOOKUP(B143,'Base stats'!B:B,'Base stats'!U:U)="No","No",
MAX(0.01,MROUND(_xlfn.XLOOKUP(B143,'Base stats'!B:B,'Base stats'!BQ:BQ)/10000,0.01))
))</f>
        <v>No</v>
      </c>
      <c r="J143" s="4" t="str">
        <f>IF(G143="No","No",
MROUND(_xlfn.XLOOKUP(B143,'Base stats'!B:B,'Base stats'!BB:BB)^0.25
/((_xlfn.XLOOKUP(B143,'Base stats'!B:B,'Base stats'!BI:BI))*10)*_xlfn.XLOOKUP(_xlfn.XLOOKUP(B143,'Base stats'!B:B,'Base stats'!E:E),Groups!A:A,Groups!Q:Q)*150 + 0.5 + _xlfn.XLOOKUP(B143,'Base stats'!B:B,'Base stats'!BT:BT),
0.05))</f>
        <v>No</v>
      </c>
      <c r="K143" s="3" t="str">
        <f>IF(Animals!W143="No","No",
IF(_xlfn.XLOOKUP(_xlfn.XLOOKUP(B143,'Base stats'!B:B,'Base stats'!E:E),Groups!A:A,Groups!BC:BC)=1,
MAX(MROUND(_xlfn.XLOOKUP(B143,'Base stats'!B:B,'Base stats'!BR:BR) * _xlfn.XLOOKUP(B143,'Base stats'!B:B,'Base stats'!BN:BN)^0.9 / 21 *_xlfn.XLOOKUP(B143,'Base stats'!B:B,'Base stats'!BU:BU),0.1),0.05),
MAX(MROUND(((MIN(10,_xlfn.XLOOKUP(B143,'Base stats'!B:B,'Base stats'!W:W)))^0.4*_xlfn.XLOOKUP(B143,'Base stats'!B:B,'Base stats'!BF:BF)^0.73)^0.6 *_xlfn.XLOOKUP(B143,'Base stats'!B:B,'Base stats'!BU:BU),0.1),0.05)
))</f>
        <v>No</v>
      </c>
      <c r="L143" s="11" t="str">
        <f>IF(K143="No","No",
MAX(0.01,MROUND(_xlfn.XLOOKUP(B143,'Base stats'!B:B,'Base stats'!BF:BF) * 0.01 *2, 0.01))
)</f>
        <v>No</v>
      </c>
      <c r="M143" s="5" t="str">
        <f>IF(K143="No","No",IF(_xlfn.XLOOKUP(_xlfn.XLOOKUP(B143,'Base stats'!B:B,'Base stats'!E:E),Groups!A:A,Groups!BC:BC)=1,"No",
MAX(0.01,MROUND(_xlfn.XLOOKUP(B143,'Base stats'!B:B,'Base stats'!BR:BR)/10000,0.01))
))</f>
        <v>No</v>
      </c>
      <c r="N143" s="4" t="str">
        <f>IF(K143="No","No",
MROUND(
  _xlfn.XLOOKUP(B143,'Base stats'!B:B,'Base stats'!AZ:AZ)^0.25
  / (_xlfn.XLOOKUP(B143,'Base stats'!B:B,'Base stats'!BJ:BJ)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stats'!BT:BT),
0.05))</f>
        <v>No</v>
      </c>
      <c r="O143" s="3">
        <f>IF(Animals!AC143="No","No",
MAX(MROUND((MIN(10,_xlfn.XLOOKUP(B143,'Base stats'!B:B,'Base stats'!V:V)*IF(_xlfn.XLOOKUP(_xlfn.XLOOKUP(B143,'Base stats'!B:B,'Base stats'!E:E),Groups!A:A,Groups!O:O)=0,1,0.33))^0.4*_xlfn.XLOOKUP(B143,'Base stats'!B:B,'Base stats'!BG:BG)^0.73)^0.6 *_xlfn.XLOOKUP(B143,'Base stats'!B:B,'Base stats'!BU:BU),0.1),0.05)
)</f>
        <v>11.100000000000001</v>
      </c>
      <c r="P143" s="11">
        <f>IF(O143="No","No",
MAX(0.01,MROUND(_xlfn.XLOOKUP(B143,'Base stats'!B:B,'Base stats'!BG:BG) * 0.01 * 2, 0.01))
)</f>
        <v>2.7600000000000002</v>
      </c>
      <c r="Q143" s="5">
        <f>IF(O143="No","No",
MAX(0.01,MROUND(_xlfn.XLOOKUP(B143,'Base stats'!B:B,'Base stats'!BS:BS)/10000,0.01))
)</f>
        <v>0.21</v>
      </c>
      <c r="R143" s="4">
        <f>IF(O143="No","No",
MROUND(_xlfn.XLOOKUP(B143,'Base stats'!B:B,'Base stats'!AY:AY)^0.25
/((_xlfn.XLOOKUP(B143,'Base stats'!B:B,'Base stats'!BK:BK))*10)*_xlfn.XLOOKUP(_xlfn.XLOOKUP(B143,'Base stats'!B:B,'Base stats'!E:E),Groups!A:A,Groups!Z:Z)*150 + 0.5 + _xlfn.XLOOKUP(B143,'Base stats'!B:B,'Base stats'!BT:BT),
0.05))</f>
        <v>2.0500000000000003</v>
      </c>
      <c r="S143" s="3" t="str">
        <f>IF(Animals!AH143="No","No",
IF(_xlfn.XLOOKUP(B143,'Base stats'!B:B,'Base stats'!U:U)="No",
MAX(MROUND(_xlfn.XLOOKUP(B143,'Base stats'!B:B,'Base stats'!BQ:BQ) * _xlfn.XLOOKUP(B143,'Base stats'!B:B,'Base stats'!BM:BM)^0.9 / 21 * _xlfn.XLOOKUP(B143,'Base stats'!B:B,'Base stats'!BU:BU),0.1),0.05),
MAX(MROUND(((MIN(12,_xlfn.XLOOKUP(B143,'Base stats'!B:B,'Base stats'!U:U)))^0.4*_xlfn.XLOOKUP(B143,'Base stats'!B:B,'Base stats'!BE:BE)^0.73)^0.6 * _xlfn.XLOOKUP(B143,'Base stats'!B:B,'Base stats'!BU:BU),0.1),0.05)
))</f>
        <v>No</v>
      </c>
      <c r="T143" s="11" t="str">
        <f>IF(S143="No","No",
MAX(0.01,MROUND(_xlfn.XLOOKUP(B143,'Base stats'!B:B,'Base stats'!BE:BE) * 0.01 * 2, 0.01))
)</f>
        <v>No</v>
      </c>
      <c r="U143" s="5" t="str">
        <f>IF(S143="No","No",IF(_xlfn.XLOOKUP(B143,'Base stats'!B:B,'Base stats'!U:U)="No","No",
MAX(0.01,MROUND(_xlfn.XLOOKUP(B143,'Base stats'!B:B,'Base stats'!BQ:BQ)/10000,0.01))
))</f>
        <v>No</v>
      </c>
      <c r="V143" s="4" t="str">
        <f>IF(S143="No","No",
MROUND(_xlfn.XLOOKUP(B143,'Base stats'!B:B,'Base stats'!BC:BC)^0.25
/((_xlfn.XLOOKUP(B143,'Base stats'!B:B,'Base stats'!BL:BL))*10)*_xlfn.XLOOKUP(_xlfn.XLOOKUP(B143,'Base stats'!B:B,'Base stats'!E:E),Groups!A:A,Groups!AE:AE)*150 + 0.5 + _xlfn.XLOOKUP(B143,'Base stats'!B:B,'Base stats'!BT:BT),
0.05))</f>
        <v>No</v>
      </c>
      <c r="W143" s="8">
        <f>MROUND(_xlfn.XLOOKUP(_xlfn.XLOOKUP(B143,'Base stats'!B:B,'Base stats'!E:E),Groups!A:A,Groups!BF:BF)*_xlfn.XLOOKUP(B143,'Base stats'!B:B,'Base stats'!C:C)^-0.165,0.01)</f>
        <v>0.55000000000000004</v>
      </c>
      <c r="X143" s="1">
        <f>MROUND(_xlfn.XLOOKUP(_xlfn.XLOOKUP(B143,'Base stats'!B:B,'Base stats'!E:E),Groups!A:A,Groups!BG:BG)*_xlfn.XLOOKUP(B143,'Base stats'!B:B,'Base stats'!C:C)^0.165,0.01)</f>
        <v>0.36</v>
      </c>
      <c r="Y143" s="8">
        <f>MROUND(_xlfn.XLOOKUP(_xlfn.XLOOKUP(B143,'Base stats'!B:B,'Base stats'!E:E),Groups!A:A,Groups!BH:BH)*_xlfn.XLOOKUP(B143,'Base stats'!B:B,'Base stats'!C:C)^0.165,0.01)</f>
        <v>0.05</v>
      </c>
      <c r="Z143" s="18">
        <f>_xlfn.XLOOKUP(B143,'Base stats'!B:B,'Base stats'!AN:AN)*_xlfn.XLOOKUP(_xlfn.XLOOKUP(B143,'Base stats'!B:B,'Base stats'!E:E),Groups!A:A,Groups!H:H)/1000</f>
        <v>7.9094857725356182E-2</v>
      </c>
      <c r="AA143" s="18">
        <f>(1/2)*(_xlfn.XLOOKUP(_xlfn.XLOOKUP(B143,'Base stats'!B:B,'Base stats'!E:E),Groups!A:A,Groups!H:H)*_xlfn.XLOOKUP(_xlfn.XLOOKUP(B143,'Base stats'!B:B,'Base stats'!E:E),Groups!A:A,Groups!I:I))*_xlfn.XLOOKUP(B143,'Base stats'!B:B,'Base stats'!AN:AN)*0.01</f>
        <v>0.59321143294017142</v>
      </c>
      <c r="AB143" s="18">
        <f>250*(Animals!AN143+Animals!AO143)</f>
        <v>412.5</v>
      </c>
      <c r="AC143" s="18" t="str">
        <f>_xlfn.XLOOKUP(_xlfn.XLOOKUP(B143,'Base stats'!B:B,'Base stats'!E:E),Groups!A:A,Groups!BI:BI)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stats'!BP:BP) * (_xlfn.XLOOKUP(B144,'Base stats'!B:B,'Base stats'!AL:AL)*5%)^0.9 / 21,0.1),0.05)</f>
        <v>2.1</v>
      </c>
      <c r="E144" s="11">
        <f>MAX(0.01,MROUND(_xlfn.XLOOKUP(B144,'Base stats'!B:B,'Base stats'!BD:BD) * 0.01 * 2, 0.01))</f>
        <v>1.72</v>
      </c>
      <c r="F144" s="7">
        <f>MROUND(_xlfn.XLOOKUP(B144,'Base stats'!B:B,'Base stats'!BA:BA)^0.25 / (_xlfn.XLOOKUP(B144,'Base stats'!B:B,'Base stats'!BH:BH) * 10) * 150 + 0.5 + _xlfn.XLOOKUP(B144,'Base stats'!B:B,'Base stats'!BT:BT), 0.05)</f>
        <v>1.9500000000000002</v>
      </c>
      <c r="G144" s="3" t="str">
        <f>IF(Animals!R144="No","No",
IF(_xlfn.XLOOKUP(B144,'Base stats'!B:B,'Base stats'!U:U)="No",
MAX(MROUND(_xlfn.XLOOKUP(B144,'Base stats'!B:B,'Base stats'!BQ:BQ) * _xlfn.XLOOKUP(B144,'Base stats'!B:B,'Base stats'!BM:BM)^0.9 / 21 * _xlfn.XLOOKUP(B144,'Base stats'!B:B,'Base stats'!BU:BU),0.1),0.05),
MAX(MROUND(((MIN(10,_xlfn.XLOOKUP(B144,'Base stats'!B:B,'Base stats'!U:U)))^0.4*_xlfn.XLOOKUP(B144,'Base stats'!B:B,'Base stats'!BE:BE)^0.73)^0.6 * _xlfn.XLOOKUP(B144,'Base stats'!B:B,'Base stats'!BU:BU),0.1),0.05)
))</f>
        <v>No</v>
      </c>
      <c r="H144" s="11" t="str">
        <f>IF(G144="No","No",
MAX(0.01,MROUND(_xlfn.XLOOKUP(B144,'Base stats'!B:B,'Base stats'!BE:BE) * 0.01 * 2, 0.01))
)</f>
        <v>No</v>
      </c>
      <c r="I144" s="11" t="str">
        <f>IF(G144="No","No",IF(_xlfn.XLOOKUP(B144,'Base stats'!B:B,'Base stats'!U:U)="No","No",
MAX(0.01,MROUND(_xlfn.XLOOKUP(B144,'Base stats'!B:B,'Base stats'!BQ:BQ)/10000,0.01))
))</f>
        <v>No</v>
      </c>
      <c r="J144" s="4" t="str">
        <f>IF(G144="No","No",
MROUND(_xlfn.XLOOKUP(B144,'Base stats'!B:B,'Base stats'!BB:BB)^0.25
/((_xlfn.XLOOKUP(B144,'Base stats'!B:B,'Base stats'!BI:BI))*10)*_xlfn.XLOOKUP(_xlfn.XLOOKUP(B144,'Base stats'!B:B,'Base stats'!E:E),Groups!A:A,Groups!Q:Q)*150 + 0.5 + _xlfn.XLOOKUP(B144,'Base stats'!B:B,'Base stats'!BT:BT),
0.05))</f>
        <v>No</v>
      </c>
      <c r="K144" s="3" t="str">
        <f>IF(Animals!W144="No","No",
IF(_xlfn.XLOOKUP(_xlfn.XLOOKUP(B144,'Base stats'!B:B,'Base stats'!E:E),Groups!A:A,Groups!BC:BC)=1,
MAX(MROUND(_xlfn.XLOOKUP(B144,'Base stats'!B:B,'Base stats'!BR:BR) * _xlfn.XLOOKUP(B144,'Base stats'!B:B,'Base stats'!BN:BN)^0.9 / 21 *_xlfn.XLOOKUP(B144,'Base stats'!B:B,'Base stats'!BU:BU),0.1),0.05),
MAX(MROUND(((MIN(10,_xlfn.XLOOKUP(B144,'Base stats'!B:B,'Base stats'!W:W)))^0.4*_xlfn.XLOOKUP(B144,'Base stats'!B:B,'Base stats'!BF:BF)^0.73)^0.6 *_xlfn.XLOOKUP(B144,'Base stats'!B:B,'Base stats'!BU:BU),0.1),0.05)
))</f>
        <v>No</v>
      </c>
      <c r="L144" s="11" t="str">
        <f>IF(K144="No","No",
MAX(0.01,MROUND(_xlfn.XLOOKUP(B144,'Base stats'!B:B,'Base stats'!BF:BF) * 0.01 *2, 0.01))
)</f>
        <v>No</v>
      </c>
      <c r="M144" s="5" t="str">
        <f>IF(K144="No","No",IF(_xlfn.XLOOKUP(_xlfn.XLOOKUP(B144,'Base stats'!B:B,'Base stats'!E:E),Groups!A:A,Groups!BC:BC)=1,"No",
MAX(0.01,MROUND(_xlfn.XLOOKUP(B144,'Base stats'!B:B,'Base stats'!BR:BR)/10000,0.01))
))</f>
        <v>No</v>
      </c>
      <c r="N144" s="4" t="str">
        <f>IF(K144="No","No",
MROUND(
  _xlfn.XLOOKUP(B144,'Base stats'!B:B,'Base stats'!AZ:AZ)^0.25
  / (_xlfn.XLOOKUP(B144,'Base stats'!B:B,'Base stats'!BJ:BJ)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stats'!BT:BT),
0.05))</f>
        <v>No</v>
      </c>
      <c r="O144" s="3">
        <f>IF(Animals!AC144="No","No",
MAX(MROUND((MIN(10,_xlfn.XLOOKUP(B144,'Base stats'!B:B,'Base stats'!V:V)*IF(_xlfn.XLOOKUP(_xlfn.XLOOKUP(B144,'Base stats'!B:B,'Base stats'!E:E),Groups!A:A,Groups!O:O)=0,1,0.33))^0.4*_xlfn.XLOOKUP(B144,'Base stats'!B:B,'Base stats'!BG:BG)^0.73)^0.6 *_xlfn.XLOOKUP(B144,'Base stats'!B:B,'Base stats'!BU:BU),0.1),0.05)
)</f>
        <v>14.3</v>
      </c>
      <c r="P144" s="11">
        <f>IF(O144="No","No",
MAX(0.01,MROUND(_xlfn.XLOOKUP(B144,'Base stats'!B:B,'Base stats'!BG:BG) * 0.01 * 2, 0.01))
)</f>
        <v>4.46</v>
      </c>
      <c r="Q144" s="5">
        <f>IF(O144="No","No",
MAX(0.01,MROUND(_xlfn.XLOOKUP(B144,'Base stats'!B:B,'Base stats'!BS:BS)/10000,0.01))
)</f>
        <v>0.28000000000000003</v>
      </c>
      <c r="R144" s="4">
        <f>IF(O144="No","No",
MROUND(_xlfn.XLOOKUP(B144,'Base stats'!B:B,'Base stats'!AY:AY)^0.25
/((_xlfn.XLOOKUP(B144,'Base stats'!B:B,'Base stats'!BK:BK))*10)*_xlfn.XLOOKUP(_xlfn.XLOOKUP(B144,'Base stats'!B:B,'Base stats'!E:E),Groups!A:A,Groups!Z:Z)*150 + 0.5 + _xlfn.XLOOKUP(B144,'Base stats'!B:B,'Base stats'!BT:BT),
0.05))</f>
        <v>2.2000000000000002</v>
      </c>
      <c r="S144" s="3" t="str">
        <f>IF(Animals!AH144="No","No",
IF(_xlfn.XLOOKUP(B144,'Base stats'!B:B,'Base stats'!U:U)="No",
MAX(MROUND(_xlfn.XLOOKUP(B144,'Base stats'!B:B,'Base stats'!BQ:BQ) * _xlfn.XLOOKUP(B144,'Base stats'!B:B,'Base stats'!BM:BM)^0.9 / 21 * _xlfn.XLOOKUP(B144,'Base stats'!B:B,'Base stats'!BU:BU),0.1),0.05),
MAX(MROUND(((MIN(12,_xlfn.XLOOKUP(B144,'Base stats'!B:B,'Base stats'!U:U)))^0.4*_xlfn.XLOOKUP(B144,'Base stats'!B:B,'Base stats'!BE:BE)^0.73)^0.6 * _xlfn.XLOOKUP(B144,'Base stats'!B:B,'Base stats'!BU:BU),0.1),0.05)
))</f>
        <v>No</v>
      </c>
      <c r="T144" s="11" t="str">
        <f>IF(S144="No","No",
MAX(0.01,MROUND(_xlfn.XLOOKUP(B144,'Base stats'!B:B,'Base stats'!BE:BE) * 0.01 * 2, 0.01))
)</f>
        <v>No</v>
      </c>
      <c r="U144" s="5" t="str">
        <f>IF(S144="No","No",IF(_xlfn.XLOOKUP(B144,'Base stats'!B:B,'Base stats'!U:U)="No","No",
MAX(0.01,MROUND(_xlfn.XLOOKUP(B144,'Base stats'!B:B,'Base stats'!BQ:BQ)/10000,0.01))
))</f>
        <v>No</v>
      </c>
      <c r="V144" s="4" t="str">
        <f>IF(S144="No","No",
MROUND(_xlfn.XLOOKUP(B144,'Base stats'!B:B,'Base stats'!BC:BC)^0.25
/((_xlfn.XLOOKUP(B144,'Base stats'!B:B,'Base stats'!BL:BL))*10)*_xlfn.XLOOKUP(_xlfn.XLOOKUP(B144,'Base stats'!B:B,'Base stats'!E:E),Groups!A:A,Groups!AE:AE)*150 + 0.5 + _xlfn.XLOOKUP(B144,'Base stats'!B:B,'Base stats'!BT:BT),
0.05))</f>
        <v>No</v>
      </c>
      <c r="W144" s="8">
        <f>MROUND(_xlfn.XLOOKUP(_xlfn.XLOOKUP(B144,'Base stats'!B:B,'Base stats'!E:E),Groups!A:A,Groups!BF:BF)*_xlfn.XLOOKUP(B144,'Base stats'!B:B,'Base stats'!C:C)^-0.165,0.01)</f>
        <v>0.5</v>
      </c>
      <c r="X144" s="1">
        <f>MROUND(_xlfn.XLOOKUP(_xlfn.XLOOKUP(B144,'Base stats'!B:B,'Base stats'!E:E),Groups!A:A,Groups!BG:BG)*_xlfn.XLOOKUP(B144,'Base stats'!B:B,'Base stats'!C:C)^0.165,0.01)</f>
        <v>0.4</v>
      </c>
      <c r="Y144" s="8">
        <f>MROUND(_xlfn.XLOOKUP(_xlfn.XLOOKUP(B144,'Base stats'!B:B,'Base stats'!E:E),Groups!A:A,Groups!BH:BH)*_xlfn.XLOOKUP(B144,'Base stats'!B:B,'Base stats'!C:C)^0.165,0.01)</f>
        <v>0.05</v>
      </c>
      <c r="Z144" s="18">
        <f>_xlfn.XLOOKUP(B144,'Base stats'!B:B,'Base stats'!AN:AN)*_xlfn.XLOOKUP(_xlfn.XLOOKUP(B144,'Base stats'!B:B,'Base stats'!E:E),Groups!A:A,Groups!H:H)/1000</f>
        <v>9.5348286970200369E-2</v>
      </c>
      <c r="AA144" s="18">
        <f>(1/2)*(_xlfn.XLOOKUP(_xlfn.XLOOKUP(B144,'Base stats'!B:B,'Base stats'!E:E),Groups!A:A,Groups!H:H)*_xlfn.XLOOKUP(_xlfn.XLOOKUP(B144,'Base stats'!B:B,'Base stats'!E:E),Groups!A:A,Groups!I:I))*_xlfn.XLOOKUP(B144,'Base stats'!B:B,'Base stats'!AN:AN)*0.01</f>
        <v>0.71511215227650271</v>
      </c>
      <c r="AB144" s="18">
        <f>250*(Animals!AN144+Animals!AO144)</f>
        <v>525</v>
      </c>
      <c r="AC144" s="18" t="str">
        <f>_xlfn.XLOOKUP(_xlfn.XLOOKUP(B144,'Base stats'!B:B,'Base stats'!E:E),Groups!A:A,Groups!BI:BI)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stats'!BP:BP) * (_xlfn.XLOOKUP(B145,'Base stats'!B:B,'Base stats'!AL:AL)*5%)^0.9 / 21,0.1),0.05)</f>
        <v>1</v>
      </c>
      <c r="E145" s="11">
        <f>MAX(0.01,MROUND(_xlfn.XLOOKUP(B145,'Base stats'!B:B,'Base stats'!BD:BD) * 0.01 * 2, 0.01))</f>
        <v>0.76</v>
      </c>
      <c r="F145" s="7">
        <f>MROUND(_xlfn.XLOOKUP(B145,'Base stats'!B:B,'Base stats'!BA:BA)^0.25 / (_xlfn.XLOOKUP(B145,'Base stats'!B:B,'Base stats'!BH:BH) * 10) * 150 + 0.5 + _xlfn.XLOOKUP(B145,'Base stats'!B:B,'Base stats'!BT:BT), 0.05)</f>
        <v>1.7000000000000002</v>
      </c>
      <c r="G145" s="3" t="str">
        <f>IF(Animals!R145="No","No",
IF(_xlfn.XLOOKUP(B145,'Base stats'!B:B,'Base stats'!U:U)="No",
MAX(MROUND(_xlfn.XLOOKUP(B145,'Base stats'!B:B,'Base stats'!BQ:BQ) * _xlfn.XLOOKUP(B145,'Base stats'!B:B,'Base stats'!BM:BM)^0.9 / 21 * _xlfn.XLOOKUP(B145,'Base stats'!B:B,'Base stats'!BU:BU),0.1),0.05),
MAX(MROUND(((MIN(10,_xlfn.XLOOKUP(B145,'Base stats'!B:B,'Base stats'!U:U)))^0.4*_xlfn.XLOOKUP(B145,'Base stats'!B:B,'Base stats'!BE:BE)^0.73)^0.6 * _xlfn.XLOOKUP(B145,'Base stats'!B:B,'Base stats'!BU:BU),0.1),0.05)
))</f>
        <v>No</v>
      </c>
      <c r="H145" s="11" t="str">
        <f>IF(G145="No","No",
MAX(0.01,MROUND(_xlfn.XLOOKUP(B145,'Base stats'!B:B,'Base stats'!BE:BE) * 0.01 * 2, 0.01))
)</f>
        <v>No</v>
      </c>
      <c r="I145" s="11" t="str">
        <f>IF(G145="No","No",IF(_xlfn.XLOOKUP(B145,'Base stats'!B:B,'Base stats'!U:U)="No","No",
MAX(0.01,MROUND(_xlfn.XLOOKUP(B145,'Base stats'!B:B,'Base stats'!BQ:BQ)/10000,0.01))
))</f>
        <v>No</v>
      </c>
      <c r="J145" s="4" t="str">
        <f>IF(G145="No","No",
MROUND(_xlfn.XLOOKUP(B145,'Base stats'!B:B,'Base stats'!BB:BB)^0.25
/((_xlfn.XLOOKUP(B145,'Base stats'!B:B,'Base stats'!BI:BI))*10)*_xlfn.XLOOKUP(_xlfn.XLOOKUP(B145,'Base stats'!B:B,'Base stats'!E:E),Groups!A:A,Groups!Q:Q)*150 + 0.5 + _xlfn.XLOOKUP(B145,'Base stats'!B:B,'Base stats'!BT:BT),
0.05))</f>
        <v>No</v>
      </c>
      <c r="K145" s="3" t="str">
        <f>IF(Animals!W145="No","No",
IF(_xlfn.XLOOKUP(_xlfn.XLOOKUP(B145,'Base stats'!B:B,'Base stats'!E:E),Groups!A:A,Groups!BC:BC)=1,
MAX(MROUND(_xlfn.XLOOKUP(B145,'Base stats'!B:B,'Base stats'!BR:BR) * _xlfn.XLOOKUP(B145,'Base stats'!B:B,'Base stats'!BN:BN)^0.9 / 21 *_xlfn.XLOOKUP(B145,'Base stats'!B:B,'Base stats'!BU:BU),0.1),0.05),
MAX(MROUND(((MIN(10,_xlfn.XLOOKUP(B145,'Base stats'!B:B,'Base stats'!W:W)))^0.4*_xlfn.XLOOKUP(B145,'Base stats'!B:B,'Base stats'!BF:BF)^0.73)^0.6 *_xlfn.XLOOKUP(B145,'Base stats'!B:B,'Base stats'!BU:BU),0.1),0.05)
))</f>
        <v>No</v>
      </c>
      <c r="L145" s="11" t="str">
        <f>IF(K145="No","No",
MAX(0.01,MROUND(_xlfn.XLOOKUP(B145,'Base stats'!B:B,'Base stats'!BF:BF) * 0.01 *2, 0.01))
)</f>
        <v>No</v>
      </c>
      <c r="M145" s="5" t="str">
        <f>IF(K145="No","No",IF(_xlfn.XLOOKUP(_xlfn.XLOOKUP(B145,'Base stats'!B:B,'Base stats'!E:E),Groups!A:A,Groups!BC:BC)=1,"No",
MAX(0.01,MROUND(_xlfn.XLOOKUP(B145,'Base stats'!B:B,'Base stats'!BR:BR)/10000,0.01))
))</f>
        <v>No</v>
      </c>
      <c r="N145" s="4" t="str">
        <f>IF(K145="No","No",
MROUND(
  _xlfn.XLOOKUP(B145,'Base stats'!B:B,'Base stats'!AZ:AZ)^0.25
  / (_xlfn.XLOOKUP(B145,'Base stats'!B:B,'Base stats'!BJ:BJ)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stats'!BT:BT),
0.05))</f>
        <v>No</v>
      </c>
      <c r="O145" s="3">
        <f>IF(Animals!AC145="No","No",
MAX(MROUND((MIN(10,_xlfn.XLOOKUP(B145,'Base stats'!B:B,'Base stats'!V:V)*IF(_xlfn.XLOOKUP(_xlfn.XLOOKUP(B145,'Base stats'!B:B,'Base stats'!E:E),Groups!A:A,Groups!O:O)=0,1,0.33))^0.4*_xlfn.XLOOKUP(B145,'Base stats'!B:B,'Base stats'!BG:BG)^0.73)^0.6 *_xlfn.XLOOKUP(B145,'Base stats'!B:B,'Base stats'!BU:BU),0.1),0.05)
)</f>
        <v>9.3000000000000007</v>
      </c>
      <c r="P145" s="11">
        <f>IF(O145="No","No",
MAX(0.01,MROUND(_xlfn.XLOOKUP(B145,'Base stats'!B:B,'Base stats'!BG:BG) * 0.01 * 2, 0.01))
)</f>
        <v>1.99</v>
      </c>
      <c r="Q145" s="5">
        <f>IF(O145="No","No",
MAX(0.01,MROUND(_xlfn.XLOOKUP(B145,'Base stats'!B:B,'Base stats'!BS:BS)/10000,0.01))
)</f>
        <v>0.18</v>
      </c>
      <c r="R145" s="4">
        <f>IF(O145="No","No",
MROUND(_xlfn.XLOOKUP(B145,'Base stats'!B:B,'Base stats'!AY:AY)^0.25
/((_xlfn.XLOOKUP(B145,'Base stats'!B:B,'Base stats'!BK:BK))*10)*_xlfn.XLOOKUP(_xlfn.XLOOKUP(B145,'Base stats'!B:B,'Base stats'!E:E),Groups!A:A,Groups!Z:Z)*150 + 0.5 + _xlfn.XLOOKUP(B145,'Base stats'!B:B,'Base stats'!BT:BT),
0.05))</f>
        <v>2.1</v>
      </c>
      <c r="S145" s="3" t="str">
        <f>IF(Animals!AH145="No","No",
IF(_xlfn.XLOOKUP(B145,'Base stats'!B:B,'Base stats'!U:U)="No",
MAX(MROUND(_xlfn.XLOOKUP(B145,'Base stats'!B:B,'Base stats'!BQ:BQ) * _xlfn.XLOOKUP(B145,'Base stats'!B:B,'Base stats'!BM:BM)^0.9 / 21 * _xlfn.XLOOKUP(B145,'Base stats'!B:B,'Base stats'!BU:BU),0.1),0.05),
MAX(MROUND(((MIN(12,_xlfn.XLOOKUP(B145,'Base stats'!B:B,'Base stats'!U:U)))^0.4*_xlfn.XLOOKUP(B145,'Base stats'!B:B,'Base stats'!BE:BE)^0.73)^0.6 * _xlfn.XLOOKUP(B145,'Base stats'!B:B,'Base stats'!BU:BU),0.1),0.05)
))</f>
        <v>No</v>
      </c>
      <c r="T145" s="11" t="str">
        <f>IF(S145="No","No",
MAX(0.01,MROUND(_xlfn.XLOOKUP(B145,'Base stats'!B:B,'Base stats'!BE:BE) * 0.01 * 2, 0.01))
)</f>
        <v>No</v>
      </c>
      <c r="U145" s="5" t="str">
        <f>IF(S145="No","No",IF(_xlfn.XLOOKUP(B145,'Base stats'!B:B,'Base stats'!U:U)="No","No",
MAX(0.01,MROUND(_xlfn.XLOOKUP(B145,'Base stats'!B:B,'Base stats'!BQ:BQ)/10000,0.01))
))</f>
        <v>No</v>
      </c>
      <c r="V145" s="4" t="str">
        <f>IF(S145="No","No",
MROUND(_xlfn.XLOOKUP(B145,'Base stats'!B:B,'Base stats'!BC:BC)^0.25
/((_xlfn.XLOOKUP(B145,'Base stats'!B:B,'Base stats'!BL:BL))*10)*_xlfn.XLOOKUP(_xlfn.XLOOKUP(B145,'Base stats'!B:B,'Base stats'!E:E),Groups!A:A,Groups!AE:AE)*150 + 0.5 + _xlfn.XLOOKUP(B145,'Base stats'!B:B,'Base stats'!BT:BT),
0.05))</f>
        <v>No</v>
      </c>
      <c r="W145" s="8">
        <f>MROUND(_xlfn.XLOOKUP(_xlfn.XLOOKUP(B145,'Base stats'!B:B,'Base stats'!E:E),Groups!A:A,Groups!BF:BF)*_xlfn.XLOOKUP(B145,'Base stats'!B:B,'Base stats'!C:C)^-0.165,0.01)</f>
        <v>0.57999999999999996</v>
      </c>
      <c r="X145" s="1">
        <f>MROUND(_xlfn.XLOOKUP(_xlfn.XLOOKUP(B145,'Base stats'!B:B,'Base stats'!E:E),Groups!A:A,Groups!BG:BG)*_xlfn.XLOOKUP(B145,'Base stats'!B:B,'Base stats'!C:C)^0.165,0.01)</f>
        <v>0.34</v>
      </c>
      <c r="Y145" s="8">
        <f>MROUND(_xlfn.XLOOKUP(_xlfn.XLOOKUP(B145,'Base stats'!B:B,'Base stats'!E:E),Groups!A:A,Groups!BH:BH)*_xlfn.XLOOKUP(B145,'Base stats'!B:B,'Base stats'!C:C)^0.165,0.01)</f>
        <v>0.04</v>
      </c>
      <c r="Z145" s="18">
        <f>_xlfn.XLOOKUP(B145,'Base stats'!B:B,'Base stats'!AN:AN)*_xlfn.XLOOKUP(_xlfn.XLOOKUP(B145,'Base stats'!B:B,'Base stats'!E:E),Groups!A:A,Groups!H:H)/1000</f>
        <v>6.9660325670876058E-2</v>
      </c>
      <c r="AA145" s="18">
        <f>(1/2)*(_xlfn.XLOOKUP(_xlfn.XLOOKUP(B145,'Base stats'!B:B,'Base stats'!E:E),Groups!A:A,Groups!H:H)*_xlfn.XLOOKUP(_xlfn.XLOOKUP(B145,'Base stats'!B:B,'Base stats'!E:E),Groups!A:A,Groups!I:I))*_xlfn.XLOOKUP(B145,'Base stats'!B:B,'Base stats'!AN:AN)*0.01</f>
        <v>0.52245244253157053</v>
      </c>
      <c r="AB145" s="18">
        <f>250*(Animals!AN145+Animals!AO145)</f>
        <v>362.50000000000006</v>
      </c>
      <c r="AC145" s="18" t="str">
        <f>_xlfn.XLOOKUP(_xlfn.XLOOKUP(B145,'Base stats'!B:B,'Base stats'!E:E),Groups!A:A,Groups!BI:BI)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stats'!BP:BP) * (_xlfn.XLOOKUP(B146,'Base stats'!B:B,'Base stats'!AL:AL)*5%)^0.9 / 21,0.1),0.05)</f>
        <v>0.30000000000000004</v>
      </c>
      <c r="E146" s="11">
        <f>MAX(0.01,MROUND(_xlfn.XLOOKUP(B146,'Base stats'!B:B,'Base stats'!BD:BD) * 0.01 * 2, 0.01))</f>
        <v>0.24</v>
      </c>
      <c r="F146" s="7">
        <f>MROUND(_xlfn.XLOOKUP(B146,'Base stats'!B:B,'Base stats'!BA:BA)^0.25 / (_xlfn.XLOOKUP(B146,'Base stats'!B:B,'Base stats'!BH:BH) * 10) * 150 + 0.5 + _xlfn.XLOOKUP(B146,'Base stats'!B:B,'Base stats'!BT:BT), 0.05)</f>
        <v>1.5</v>
      </c>
      <c r="G146" s="3" t="str">
        <f>IF(Animals!R146="No","No",
IF(_xlfn.XLOOKUP(B146,'Base stats'!B:B,'Base stats'!U:U)="No",
MAX(MROUND(_xlfn.XLOOKUP(B146,'Base stats'!B:B,'Base stats'!BQ:BQ) * _xlfn.XLOOKUP(B146,'Base stats'!B:B,'Base stats'!BM:BM)^0.9 / 21 * _xlfn.XLOOKUP(B146,'Base stats'!B:B,'Base stats'!BU:BU),0.1),0.05),
MAX(MROUND(((MIN(10,_xlfn.XLOOKUP(B146,'Base stats'!B:B,'Base stats'!U:U)))^0.4*_xlfn.XLOOKUP(B146,'Base stats'!B:B,'Base stats'!BE:BE)^0.73)^0.6 * _xlfn.XLOOKUP(B146,'Base stats'!B:B,'Base stats'!BU:BU),0.1),0.05)
))</f>
        <v>No</v>
      </c>
      <c r="H146" s="11" t="str">
        <f>IF(G146="No","No",
MAX(0.01,MROUND(_xlfn.XLOOKUP(B146,'Base stats'!B:B,'Base stats'!BE:BE) * 0.01 * 2, 0.01))
)</f>
        <v>No</v>
      </c>
      <c r="I146" s="11" t="str">
        <f>IF(G146="No","No",IF(_xlfn.XLOOKUP(B146,'Base stats'!B:B,'Base stats'!U:U)="No","No",
MAX(0.01,MROUND(_xlfn.XLOOKUP(B146,'Base stats'!B:B,'Base stats'!BQ:BQ)/10000,0.01))
))</f>
        <v>No</v>
      </c>
      <c r="J146" s="4" t="str">
        <f>IF(G146="No","No",
MROUND(_xlfn.XLOOKUP(B146,'Base stats'!B:B,'Base stats'!BB:BB)^0.25
/((_xlfn.XLOOKUP(B146,'Base stats'!B:B,'Base stats'!BI:BI))*10)*_xlfn.XLOOKUP(_xlfn.XLOOKUP(B146,'Base stats'!B:B,'Base stats'!E:E),Groups!A:A,Groups!Q:Q)*150 + 0.5 + _xlfn.XLOOKUP(B146,'Base stats'!B:B,'Base stats'!BT:BT),
0.05))</f>
        <v>No</v>
      </c>
      <c r="K146" s="3" t="str">
        <f>IF(Animals!W146="No","No",
IF(_xlfn.XLOOKUP(_xlfn.XLOOKUP(B146,'Base stats'!B:B,'Base stats'!E:E),Groups!A:A,Groups!BC:BC)=1,
MAX(MROUND(_xlfn.XLOOKUP(B146,'Base stats'!B:B,'Base stats'!BR:BR) * _xlfn.XLOOKUP(B146,'Base stats'!B:B,'Base stats'!BN:BN)^0.9 / 21 *_xlfn.XLOOKUP(B146,'Base stats'!B:B,'Base stats'!BU:BU),0.1),0.05),
MAX(MROUND(((MIN(10,_xlfn.XLOOKUP(B146,'Base stats'!B:B,'Base stats'!W:W)))^0.4*_xlfn.XLOOKUP(B146,'Base stats'!B:B,'Base stats'!BF:BF)^0.73)^0.6 *_xlfn.XLOOKUP(B146,'Base stats'!B:B,'Base stats'!BU:BU),0.1),0.05)
))</f>
        <v>No</v>
      </c>
      <c r="L146" s="11" t="str">
        <f>IF(K146="No","No",
MAX(0.01,MROUND(_xlfn.XLOOKUP(B146,'Base stats'!B:B,'Base stats'!BF:BF) * 0.01 *2, 0.01))
)</f>
        <v>No</v>
      </c>
      <c r="M146" s="5" t="str">
        <f>IF(K146="No","No",IF(_xlfn.XLOOKUP(_xlfn.XLOOKUP(B146,'Base stats'!B:B,'Base stats'!E:E),Groups!A:A,Groups!BC:BC)=1,"No",
MAX(0.01,MROUND(_xlfn.XLOOKUP(B146,'Base stats'!B:B,'Base stats'!BR:BR)/10000,0.01))
))</f>
        <v>No</v>
      </c>
      <c r="N146" s="4" t="str">
        <f>IF(K146="No","No",
MROUND(
  _xlfn.XLOOKUP(B146,'Base stats'!B:B,'Base stats'!AZ:AZ)^0.25
  / (_xlfn.XLOOKUP(B146,'Base stats'!B:B,'Base stats'!BJ:BJ)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stats'!BT:BT),
0.05))</f>
        <v>No</v>
      </c>
      <c r="O146" s="3">
        <f>IF(Animals!AC146="No","No",
MAX(MROUND((MIN(10,_xlfn.XLOOKUP(B146,'Base stats'!B:B,'Base stats'!V:V)*IF(_xlfn.XLOOKUP(_xlfn.XLOOKUP(B146,'Base stats'!B:B,'Base stats'!E:E),Groups!A:A,Groups!O:O)=0,1,0.33))^0.4*_xlfn.XLOOKUP(B146,'Base stats'!B:B,'Base stats'!BG:BG)^0.73)^0.6 *_xlfn.XLOOKUP(B146,'Base stats'!B:B,'Base stats'!BU:BU),0.1),0.05)
)</f>
        <v>5</v>
      </c>
      <c r="P146" s="11">
        <f>IF(O146="No","No",
MAX(0.01,MROUND(_xlfn.XLOOKUP(B146,'Base stats'!B:B,'Base stats'!BG:BG) * 0.01 * 2, 0.01))
)</f>
        <v>0.63</v>
      </c>
      <c r="Q146" s="5">
        <f>IF(O146="No","No",
MAX(0.01,MROUND(_xlfn.XLOOKUP(B146,'Base stats'!B:B,'Base stats'!BS:BS)/10000,0.01))
)</f>
        <v>0.1</v>
      </c>
      <c r="R146" s="4">
        <f>IF(O146="No","No",
MROUND(_xlfn.XLOOKUP(B146,'Base stats'!B:B,'Base stats'!AY:AY)^0.25
/((_xlfn.XLOOKUP(B146,'Base stats'!B:B,'Base stats'!BK:BK))*10)*_xlfn.XLOOKUP(_xlfn.XLOOKUP(B146,'Base stats'!B:B,'Base stats'!E:E),Groups!A:A,Groups!Z:Z)*150 + 0.5 + _xlfn.XLOOKUP(B146,'Base stats'!B:B,'Base stats'!BT:BT),
0.05))</f>
        <v>1.9500000000000002</v>
      </c>
      <c r="S146" s="3" t="str">
        <f>IF(Animals!AH146="No","No",
IF(_xlfn.XLOOKUP(B146,'Base stats'!B:B,'Base stats'!U:U)="No",
MAX(MROUND(_xlfn.XLOOKUP(B146,'Base stats'!B:B,'Base stats'!BQ:BQ) * _xlfn.XLOOKUP(B146,'Base stats'!B:B,'Base stats'!BM:BM)^0.9 / 21 * _xlfn.XLOOKUP(B146,'Base stats'!B:B,'Base stats'!BU:BU),0.1),0.05),
MAX(MROUND(((MIN(12,_xlfn.XLOOKUP(B146,'Base stats'!B:B,'Base stats'!U:U)))^0.4*_xlfn.XLOOKUP(B146,'Base stats'!B:B,'Base stats'!BE:BE)^0.73)^0.6 * _xlfn.XLOOKUP(B146,'Base stats'!B:B,'Base stats'!BU:BU),0.1),0.05)
))</f>
        <v>No</v>
      </c>
      <c r="T146" s="11" t="str">
        <f>IF(S146="No","No",
MAX(0.01,MROUND(_xlfn.XLOOKUP(B146,'Base stats'!B:B,'Base stats'!BE:BE) * 0.01 * 2, 0.01))
)</f>
        <v>No</v>
      </c>
      <c r="U146" s="5" t="str">
        <f>IF(S146="No","No",IF(_xlfn.XLOOKUP(B146,'Base stats'!B:B,'Base stats'!U:U)="No","No",
MAX(0.01,MROUND(_xlfn.XLOOKUP(B146,'Base stats'!B:B,'Base stats'!BQ:BQ)/10000,0.01))
))</f>
        <v>No</v>
      </c>
      <c r="V146" s="4" t="str">
        <f>IF(S146="No","No",
MROUND(_xlfn.XLOOKUP(B146,'Base stats'!B:B,'Base stats'!BC:BC)^0.25
/((_xlfn.XLOOKUP(B146,'Base stats'!B:B,'Base stats'!BL:BL))*10)*_xlfn.XLOOKUP(_xlfn.XLOOKUP(B146,'Base stats'!B:B,'Base stats'!E:E),Groups!A:A,Groups!AE:AE)*150 + 0.5 + _xlfn.XLOOKUP(B146,'Base stats'!B:B,'Base stats'!BT:BT),
0.05))</f>
        <v>No</v>
      </c>
      <c r="W146" s="8">
        <f>MROUND(_xlfn.XLOOKUP(_xlfn.XLOOKUP(B146,'Base stats'!B:B,'Base stats'!E:E),Groups!A:A,Groups!BF:BF)*_xlfn.XLOOKUP(B146,'Base stats'!B:B,'Base stats'!C:C)^-0.165,0.01)</f>
        <v>0.72</v>
      </c>
      <c r="X146" s="1">
        <f>MROUND(_xlfn.XLOOKUP(_xlfn.XLOOKUP(B146,'Base stats'!B:B,'Base stats'!E:E),Groups!A:A,Groups!BG:BG)*_xlfn.XLOOKUP(B146,'Base stats'!B:B,'Base stats'!C:C)^0.165,0.01)</f>
        <v>0.28000000000000003</v>
      </c>
      <c r="Y146" s="8">
        <f>MROUND(_xlfn.XLOOKUP(_xlfn.XLOOKUP(B146,'Base stats'!B:B,'Base stats'!E:E),Groups!A:A,Groups!BH:BH)*_xlfn.XLOOKUP(B146,'Base stats'!B:B,'Base stats'!C:C)^0.165,0.01)</f>
        <v>0.03</v>
      </c>
      <c r="Z146" s="18">
        <f>_xlfn.XLOOKUP(B146,'Base stats'!B:B,'Base stats'!AN:AN)*_xlfn.XLOOKUP(_xlfn.XLOOKUP(B146,'Base stats'!B:B,'Base stats'!E:E),Groups!A:A,Groups!H:H)/1000</f>
        <v>4.4562333506410957E-2</v>
      </c>
      <c r="AA146" s="18">
        <f>(1/2)*(_xlfn.XLOOKUP(_xlfn.XLOOKUP(B146,'Base stats'!B:B,'Base stats'!E:E),Groups!A:A,Groups!H:H)*_xlfn.XLOOKUP(_xlfn.XLOOKUP(B146,'Base stats'!B:B,'Base stats'!E:E),Groups!A:A,Groups!I:I))*_xlfn.XLOOKUP(B146,'Base stats'!B:B,'Base stats'!AN:AN)*0.01</f>
        <v>0.33421750129808225</v>
      </c>
      <c r="AB146" s="18">
        <f>250*(Animals!AN146+Animals!AO146)</f>
        <v>187.5</v>
      </c>
      <c r="AC146" s="18" t="str">
        <f>_xlfn.XLOOKUP(_xlfn.XLOOKUP(B146,'Base stats'!B:B,'Base stats'!E:E),Groups!A:A,Groups!BI:BI)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stats'!BP:BP) * (_xlfn.XLOOKUP(B147,'Base stats'!B:B,'Base stats'!AL:AL)*5%)^0.9 / 21,0.1),0.05)</f>
        <v>1.7000000000000002</v>
      </c>
      <c r="E147" s="11">
        <f>MAX(0.01,MROUND(_xlfn.XLOOKUP(B147,'Base stats'!B:B,'Base stats'!BD:BD) * 0.01 * 2, 0.01))</f>
        <v>1.33</v>
      </c>
      <c r="F147" s="7">
        <f>MROUND(_xlfn.XLOOKUP(B147,'Base stats'!B:B,'Base stats'!BA:BA)^0.25 / (_xlfn.XLOOKUP(B147,'Base stats'!B:B,'Base stats'!BH:BH) * 10) * 150 + 0.5 + _xlfn.XLOOKUP(B147,'Base stats'!B:B,'Base stats'!BT:BT), 0.05)</f>
        <v>1.85</v>
      </c>
      <c r="G147" s="3" t="str">
        <f>IF(Animals!R147="No","No",
IF(_xlfn.XLOOKUP(B147,'Base stats'!B:B,'Base stats'!U:U)="No",
MAX(MROUND(_xlfn.XLOOKUP(B147,'Base stats'!B:B,'Base stats'!BQ:BQ) * _xlfn.XLOOKUP(B147,'Base stats'!B:B,'Base stats'!BM:BM)^0.9 / 21 * _xlfn.XLOOKUP(B147,'Base stats'!B:B,'Base stats'!BU:BU),0.1),0.05),
MAX(MROUND(((MIN(10,_xlfn.XLOOKUP(B147,'Base stats'!B:B,'Base stats'!U:U)))^0.4*_xlfn.XLOOKUP(B147,'Base stats'!B:B,'Base stats'!BE:BE)^0.73)^0.6 * _xlfn.XLOOKUP(B147,'Base stats'!B:B,'Base stats'!BU:BU),0.1),0.05)
))</f>
        <v>No</v>
      </c>
      <c r="H147" s="11" t="str">
        <f>IF(G147="No","No",
MAX(0.01,MROUND(_xlfn.XLOOKUP(B147,'Base stats'!B:B,'Base stats'!BE:BE) * 0.01 * 2, 0.01))
)</f>
        <v>No</v>
      </c>
      <c r="I147" s="11" t="str">
        <f>IF(G147="No","No",IF(_xlfn.XLOOKUP(B147,'Base stats'!B:B,'Base stats'!U:U)="No","No",
MAX(0.01,MROUND(_xlfn.XLOOKUP(B147,'Base stats'!B:B,'Base stats'!BQ:BQ)/10000,0.01))
))</f>
        <v>No</v>
      </c>
      <c r="J147" s="4" t="str">
        <f>IF(G147="No","No",
MROUND(_xlfn.XLOOKUP(B147,'Base stats'!B:B,'Base stats'!BB:BB)^0.25
/((_xlfn.XLOOKUP(B147,'Base stats'!B:B,'Base stats'!BI:BI))*10)*_xlfn.XLOOKUP(_xlfn.XLOOKUP(B147,'Base stats'!B:B,'Base stats'!E:E),Groups!A:A,Groups!Q:Q)*150 + 0.5 + _xlfn.XLOOKUP(B147,'Base stats'!B:B,'Base stats'!BT:BT),
0.05))</f>
        <v>No</v>
      </c>
      <c r="K147" s="3" t="str">
        <f>IF(Animals!W147="No","No",
IF(_xlfn.XLOOKUP(_xlfn.XLOOKUP(B147,'Base stats'!B:B,'Base stats'!E:E),Groups!A:A,Groups!BC:BC)=1,
MAX(MROUND(_xlfn.XLOOKUP(B147,'Base stats'!B:B,'Base stats'!BR:BR) * _xlfn.XLOOKUP(B147,'Base stats'!B:B,'Base stats'!BN:BN)^0.9 / 21 *_xlfn.XLOOKUP(B147,'Base stats'!B:B,'Base stats'!BU:BU),0.1),0.05),
MAX(MROUND(((MIN(10,_xlfn.XLOOKUP(B147,'Base stats'!B:B,'Base stats'!W:W)))^0.4*_xlfn.XLOOKUP(B147,'Base stats'!B:B,'Base stats'!BF:BF)^0.73)^0.6 *_xlfn.XLOOKUP(B147,'Base stats'!B:B,'Base stats'!BU:BU),0.1),0.05)
))</f>
        <v>No</v>
      </c>
      <c r="L147" s="11" t="str">
        <f>IF(K147="No","No",
MAX(0.01,MROUND(_xlfn.XLOOKUP(B147,'Base stats'!B:B,'Base stats'!BF:BF) * 0.01 *2, 0.01))
)</f>
        <v>No</v>
      </c>
      <c r="M147" s="5" t="str">
        <f>IF(K147="No","No",IF(_xlfn.XLOOKUP(_xlfn.XLOOKUP(B147,'Base stats'!B:B,'Base stats'!E:E),Groups!A:A,Groups!BC:BC)=1,"No",
MAX(0.01,MROUND(_xlfn.XLOOKUP(B147,'Base stats'!B:B,'Base stats'!BR:BR)/10000,0.01))
))</f>
        <v>No</v>
      </c>
      <c r="N147" s="4" t="str">
        <f>IF(K147="No","No",
MROUND(
  _xlfn.XLOOKUP(B147,'Base stats'!B:B,'Base stats'!AZ:AZ)^0.25
  / (_xlfn.XLOOKUP(B147,'Base stats'!B:B,'Base stats'!BJ:BJ)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stats'!BT:BT),
0.05))</f>
        <v>No</v>
      </c>
      <c r="O147" s="3">
        <f>IF(Animals!AC147="No","No",
MAX(MROUND((MIN(10,_xlfn.XLOOKUP(B147,'Base stats'!B:B,'Base stats'!V:V)*IF(_xlfn.XLOOKUP(_xlfn.XLOOKUP(B147,'Base stats'!B:B,'Base stats'!E:E),Groups!A:A,Groups!O:O)=0,1,0.33))^0.4*_xlfn.XLOOKUP(B147,'Base stats'!B:B,'Base stats'!BG:BG)^0.73)^0.6 *_xlfn.XLOOKUP(B147,'Base stats'!B:B,'Base stats'!BU:BU),0.1),0.05)
)</f>
        <v>12.5</v>
      </c>
      <c r="P147" s="11">
        <f>IF(O147="No","No",
MAX(0.01,MROUND(_xlfn.XLOOKUP(B147,'Base stats'!B:B,'Base stats'!BG:BG) * 0.01 * 2, 0.01))
)</f>
        <v>3.47</v>
      </c>
      <c r="Q147" s="5">
        <f>IF(O147="No","No",
MAX(0.01,MROUND(_xlfn.XLOOKUP(B147,'Base stats'!B:B,'Base stats'!BS:BS)/10000,0.01))
)</f>
        <v>0.24</v>
      </c>
      <c r="R147" s="4">
        <f>IF(O147="No","No",
MROUND(_xlfn.XLOOKUP(B147,'Base stats'!B:B,'Base stats'!AY:AY)^0.25
/((_xlfn.XLOOKUP(B147,'Base stats'!B:B,'Base stats'!BK:BK))*10)*_xlfn.XLOOKUP(_xlfn.XLOOKUP(B147,'Base stats'!B:B,'Base stats'!E:E),Groups!A:A,Groups!Z:Z)*150 + 0.5 + _xlfn.XLOOKUP(B147,'Base stats'!B:B,'Base stats'!BT:BT),
0.05))</f>
        <v>2.1</v>
      </c>
      <c r="S147" s="3" t="str">
        <f>IF(Animals!AH147="No","No",
IF(_xlfn.XLOOKUP(B147,'Base stats'!B:B,'Base stats'!U:U)="No",
MAX(MROUND(_xlfn.XLOOKUP(B147,'Base stats'!B:B,'Base stats'!BQ:BQ) * _xlfn.XLOOKUP(B147,'Base stats'!B:B,'Base stats'!BM:BM)^0.9 / 21 * _xlfn.XLOOKUP(B147,'Base stats'!B:B,'Base stats'!BU:BU),0.1),0.05),
MAX(MROUND(((MIN(12,_xlfn.XLOOKUP(B147,'Base stats'!B:B,'Base stats'!U:U)))^0.4*_xlfn.XLOOKUP(B147,'Base stats'!B:B,'Base stats'!BE:BE)^0.73)^0.6 * _xlfn.XLOOKUP(B147,'Base stats'!B:B,'Base stats'!BU:BU),0.1),0.05)
))</f>
        <v>No</v>
      </c>
      <c r="T147" s="11" t="str">
        <f>IF(S147="No","No",
MAX(0.01,MROUND(_xlfn.XLOOKUP(B147,'Base stats'!B:B,'Base stats'!BE:BE) * 0.01 * 2, 0.01))
)</f>
        <v>No</v>
      </c>
      <c r="U147" s="5" t="str">
        <f>IF(S147="No","No",IF(_xlfn.XLOOKUP(B147,'Base stats'!B:B,'Base stats'!U:U)="No","No",
MAX(0.01,MROUND(_xlfn.XLOOKUP(B147,'Base stats'!B:B,'Base stats'!BQ:BQ)/10000,0.01))
))</f>
        <v>No</v>
      </c>
      <c r="V147" s="4" t="str">
        <f>IF(S147="No","No",
MROUND(_xlfn.XLOOKUP(B147,'Base stats'!B:B,'Base stats'!BC:BC)^0.25
/((_xlfn.XLOOKUP(B147,'Base stats'!B:B,'Base stats'!BL:BL))*10)*_xlfn.XLOOKUP(_xlfn.XLOOKUP(B147,'Base stats'!B:B,'Base stats'!E:E),Groups!A:A,Groups!AE:AE)*150 + 0.5 + _xlfn.XLOOKUP(B147,'Base stats'!B:B,'Base stats'!BT:BT),
0.05))</f>
        <v>No</v>
      </c>
      <c r="W147" s="8">
        <f>MROUND(_xlfn.XLOOKUP(_xlfn.XLOOKUP(B147,'Base stats'!B:B,'Base stats'!E:E),Groups!A:A,Groups!BF:BF)*_xlfn.XLOOKUP(B147,'Base stats'!B:B,'Base stats'!C:C)^-0.165,0.01)</f>
        <v>0.53</v>
      </c>
      <c r="X147" s="1">
        <f>MROUND(_xlfn.XLOOKUP(_xlfn.XLOOKUP(B147,'Base stats'!B:B,'Base stats'!E:E),Groups!A:A,Groups!BG:BG)*_xlfn.XLOOKUP(B147,'Base stats'!B:B,'Base stats'!C:C)^0.165,0.01)</f>
        <v>0.38</v>
      </c>
      <c r="Y147" s="8">
        <f>MROUND(_xlfn.XLOOKUP(_xlfn.XLOOKUP(B147,'Base stats'!B:B,'Base stats'!E:E),Groups!A:A,Groups!BH:BH)*_xlfn.XLOOKUP(B147,'Base stats'!B:B,'Base stats'!C:C)^0.165,0.01)</f>
        <v>0.05</v>
      </c>
      <c r="Z147" s="18">
        <f>_xlfn.XLOOKUP(B147,'Base stats'!B:B,'Base stats'!AN:AN)*_xlfn.XLOOKUP(_xlfn.XLOOKUP(B147,'Base stats'!B:B,'Base stats'!E:E),Groups!A:A,Groups!H:H)/1000</f>
        <v>8.6490596019752453E-2</v>
      </c>
      <c r="AA147" s="18">
        <f>(1/2)*(_xlfn.XLOOKUP(_xlfn.XLOOKUP(B147,'Base stats'!B:B,'Base stats'!E:E),Groups!A:A,Groups!H:H)*_xlfn.XLOOKUP(_xlfn.XLOOKUP(B147,'Base stats'!B:B,'Base stats'!E:E),Groups!A:A,Groups!I:I))*_xlfn.XLOOKUP(B147,'Base stats'!B:B,'Base stats'!AN:AN)*0.01</f>
        <v>0.64867947014814353</v>
      </c>
      <c r="AB147" s="18">
        <f>250*(Animals!AN147+Animals!AO147)</f>
        <v>462.5</v>
      </c>
      <c r="AC147" s="18" t="str">
        <f>_xlfn.XLOOKUP(_xlfn.XLOOKUP(B147,'Base stats'!B:B,'Base stats'!E:E),Groups!A:A,Groups!BI:BI)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stats'!BP:BP) * (_xlfn.XLOOKUP(B148,'Base stats'!B:B,'Base stats'!AL:AL)*5%)^0.9 / 21,0.1),0.05)</f>
        <v>0.30000000000000004</v>
      </c>
      <c r="E148" s="11">
        <f>MAX(0.01,MROUND(_xlfn.XLOOKUP(B148,'Base stats'!B:B,'Base stats'!BD:BD) * 0.01 * 2, 0.01))</f>
        <v>0.19</v>
      </c>
      <c r="F148" s="7">
        <f>MROUND(_xlfn.XLOOKUP(B148,'Base stats'!B:B,'Base stats'!BA:BA)^0.25 / (_xlfn.XLOOKUP(B148,'Base stats'!B:B,'Base stats'!BH:BH) * 10) * 150 + 0.5 + _xlfn.XLOOKUP(B148,'Base stats'!B:B,'Base stats'!BT:BT), 0.05)</f>
        <v>1.4500000000000002</v>
      </c>
      <c r="G148" s="3" t="str">
        <f>IF(Animals!R148="No","No",
IF(_xlfn.XLOOKUP(B148,'Base stats'!B:B,'Base stats'!U:U)="No",
MAX(MROUND(_xlfn.XLOOKUP(B148,'Base stats'!B:B,'Base stats'!BQ:BQ) * _xlfn.XLOOKUP(B148,'Base stats'!B:B,'Base stats'!BM:BM)^0.9 / 21 * _xlfn.XLOOKUP(B148,'Base stats'!B:B,'Base stats'!BU:BU),0.1),0.05),
MAX(MROUND(((MIN(10,_xlfn.XLOOKUP(B148,'Base stats'!B:B,'Base stats'!U:U)))^0.4*_xlfn.XLOOKUP(B148,'Base stats'!B:B,'Base stats'!BE:BE)^0.73)^0.6 * _xlfn.XLOOKUP(B148,'Base stats'!B:B,'Base stats'!BU:BU),0.1),0.05)
))</f>
        <v>No</v>
      </c>
      <c r="H148" s="11" t="str">
        <f>IF(G148="No","No",
MAX(0.01,MROUND(_xlfn.XLOOKUP(B148,'Base stats'!B:B,'Base stats'!BE:BE) * 0.01 * 2, 0.01))
)</f>
        <v>No</v>
      </c>
      <c r="I148" s="11" t="str">
        <f>IF(G148="No","No",IF(_xlfn.XLOOKUP(B148,'Base stats'!B:B,'Base stats'!U:U)="No","No",
MAX(0.01,MROUND(_xlfn.XLOOKUP(B148,'Base stats'!B:B,'Base stats'!BQ:BQ)/10000,0.01))
))</f>
        <v>No</v>
      </c>
      <c r="J148" s="4" t="str">
        <f>IF(G148="No","No",
MROUND(_xlfn.XLOOKUP(B148,'Base stats'!B:B,'Base stats'!BB:BB)^0.25
/((_xlfn.XLOOKUP(B148,'Base stats'!B:B,'Base stats'!BI:BI))*10)*_xlfn.XLOOKUP(_xlfn.XLOOKUP(B148,'Base stats'!B:B,'Base stats'!E:E),Groups!A:A,Groups!Q:Q)*150 + 0.5 + _xlfn.XLOOKUP(B148,'Base stats'!B:B,'Base stats'!BT:BT),
0.05))</f>
        <v>No</v>
      </c>
      <c r="K148" s="3" t="str">
        <f>IF(Animals!W148="No","No",
IF(_xlfn.XLOOKUP(_xlfn.XLOOKUP(B148,'Base stats'!B:B,'Base stats'!E:E),Groups!A:A,Groups!BC:BC)=1,
MAX(MROUND(_xlfn.XLOOKUP(B148,'Base stats'!B:B,'Base stats'!BR:BR) * _xlfn.XLOOKUP(B148,'Base stats'!B:B,'Base stats'!BN:BN)^0.9 / 21 *_xlfn.XLOOKUP(B148,'Base stats'!B:B,'Base stats'!BU:BU),0.1),0.05),
MAX(MROUND(((MIN(10,_xlfn.XLOOKUP(B148,'Base stats'!B:B,'Base stats'!W:W)))^0.4*_xlfn.XLOOKUP(B148,'Base stats'!B:B,'Base stats'!BF:BF)^0.73)^0.6 *_xlfn.XLOOKUP(B148,'Base stats'!B:B,'Base stats'!BU:BU),0.1),0.05)
))</f>
        <v>No</v>
      </c>
      <c r="L148" s="11" t="str">
        <f>IF(K148="No","No",
MAX(0.01,MROUND(_xlfn.XLOOKUP(B148,'Base stats'!B:B,'Base stats'!BF:BF) * 0.01 *2, 0.01))
)</f>
        <v>No</v>
      </c>
      <c r="M148" s="5" t="str">
        <f>IF(K148="No","No",IF(_xlfn.XLOOKUP(_xlfn.XLOOKUP(B148,'Base stats'!B:B,'Base stats'!E:E),Groups!A:A,Groups!BC:BC)=1,"No",
MAX(0.01,MROUND(_xlfn.XLOOKUP(B148,'Base stats'!B:B,'Base stats'!BR:BR)/10000,0.01))
))</f>
        <v>No</v>
      </c>
      <c r="N148" s="4" t="str">
        <f>IF(K148="No","No",
MROUND(
  _xlfn.XLOOKUP(B148,'Base stats'!B:B,'Base stats'!AZ:AZ)^0.25
  / (_xlfn.XLOOKUP(B148,'Base stats'!B:B,'Base stats'!BJ:BJ)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stats'!BT:BT),
0.05))</f>
        <v>No</v>
      </c>
      <c r="O148" s="3">
        <f>IF(Animals!AC148="No","No",
MAX(MROUND((MIN(10,_xlfn.XLOOKUP(B148,'Base stats'!B:B,'Base stats'!V:V)*IF(_xlfn.XLOOKUP(_xlfn.XLOOKUP(B148,'Base stats'!B:B,'Base stats'!E:E),Groups!A:A,Groups!O:O)=0,1,0.33))^0.4*_xlfn.XLOOKUP(B148,'Base stats'!B:B,'Base stats'!BG:BG)^0.73)^0.6 *_xlfn.XLOOKUP(B148,'Base stats'!B:B,'Base stats'!BU:BU),0.1),0.05)
)</f>
        <v>4.5</v>
      </c>
      <c r="P148" s="11">
        <f>IF(O148="No","No",
MAX(0.01,MROUND(_xlfn.XLOOKUP(B148,'Base stats'!B:B,'Base stats'!BG:BG) * 0.01 * 2, 0.01))
)</f>
        <v>0.51</v>
      </c>
      <c r="Q148" s="5">
        <f>IF(O148="No","No",
MAX(0.01,MROUND(_xlfn.XLOOKUP(B148,'Base stats'!B:B,'Base stats'!BS:BS)/10000,0.01))
)</f>
        <v>0.09</v>
      </c>
      <c r="R148" s="4">
        <f>IF(O148="No","No",
MROUND(_xlfn.XLOOKUP(B148,'Base stats'!B:B,'Base stats'!AY:AY)^0.25
/((_xlfn.XLOOKUP(B148,'Base stats'!B:B,'Base stats'!BK:BK))*10)*_xlfn.XLOOKUP(_xlfn.XLOOKUP(B148,'Base stats'!B:B,'Base stats'!E:E),Groups!A:A,Groups!Z:Z)*150 + 0.5 + _xlfn.XLOOKUP(B148,'Base stats'!B:B,'Base stats'!BT:BT),
0.05))</f>
        <v>1.9000000000000001</v>
      </c>
      <c r="S148" s="3" t="str">
        <f>IF(Animals!AH148="No","No",
IF(_xlfn.XLOOKUP(B148,'Base stats'!B:B,'Base stats'!U:U)="No",
MAX(MROUND(_xlfn.XLOOKUP(B148,'Base stats'!B:B,'Base stats'!BQ:BQ) * _xlfn.XLOOKUP(B148,'Base stats'!B:B,'Base stats'!BM:BM)^0.9 / 21 * _xlfn.XLOOKUP(B148,'Base stats'!B:B,'Base stats'!BU:BU),0.1),0.05),
MAX(MROUND(((MIN(12,_xlfn.XLOOKUP(B148,'Base stats'!B:B,'Base stats'!U:U)))^0.4*_xlfn.XLOOKUP(B148,'Base stats'!B:B,'Base stats'!BE:BE)^0.73)^0.6 * _xlfn.XLOOKUP(B148,'Base stats'!B:B,'Base stats'!BU:BU),0.1),0.05)
))</f>
        <v>No</v>
      </c>
      <c r="T148" s="11" t="str">
        <f>IF(S148="No","No",
MAX(0.01,MROUND(_xlfn.XLOOKUP(B148,'Base stats'!B:B,'Base stats'!BE:BE) * 0.01 * 2, 0.01))
)</f>
        <v>No</v>
      </c>
      <c r="U148" s="5" t="str">
        <f>IF(S148="No","No",IF(_xlfn.XLOOKUP(B148,'Base stats'!B:B,'Base stats'!U:U)="No","No",
MAX(0.01,MROUND(_xlfn.XLOOKUP(B148,'Base stats'!B:B,'Base stats'!BQ:BQ)/10000,0.01))
))</f>
        <v>No</v>
      </c>
      <c r="V148" s="4" t="str">
        <f>IF(S148="No","No",
MROUND(_xlfn.XLOOKUP(B148,'Base stats'!B:B,'Base stats'!BC:BC)^0.25
/((_xlfn.XLOOKUP(B148,'Base stats'!B:B,'Base stats'!BL:BL))*10)*_xlfn.XLOOKUP(_xlfn.XLOOKUP(B148,'Base stats'!B:B,'Base stats'!E:E),Groups!A:A,Groups!AE:AE)*150 + 0.5 + _xlfn.XLOOKUP(B148,'Base stats'!B:B,'Base stats'!BT:BT),
0.05))</f>
        <v>No</v>
      </c>
      <c r="W148" s="8">
        <f>MROUND(_xlfn.XLOOKUP(_xlfn.XLOOKUP(B148,'Base stats'!B:B,'Base stats'!E:E),Groups!A:A,Groups!BF:BF)*_xlfn.XLOOKUP(B148,'Base stats'!B:B,'Base stats'!C:C)^-0.165,0.01)</f>
        <v>0.75</v>
      </c>
      <c r="X148" s="1">
        <f>MROUND(_xlfn.XLOOKUP(_xlfn.XLOOKUP(B148,'Base stats'!B:B,'Base stats'!E:E),Groups!A:A,Groups!BG:BG)*_xlfn.XLOOKUP(B148,'Base stats'!B:B,'Base stats'!C:C)^0.165,0.01)</f>
        <v>0.27</v>
      </c>
      <c r="Y148" s="8">
        <f>MROUND(_xlfn.XLOOKUP(_xlfn.XLOOKUP(B148,'Base stats'!B:B,'Base stats'!E:E),Groups!A:A,Groups!BH:BH)*_xlfn.XLOOKUP(B148,'Base stats'!B:B,'Base stats'!C:C)^0.165,0.01)</f>
        <v>0.03</v>
      </c>
      <c r="Z148" s="18">
        <f>_xlfn.XLOOKUP(B148,'Base stats'!B:B,'Base stats'!AN:AN)*_xlfn.XLOOKUP(_xlfn.XLOOKUP(B148,'Base stats'!B:B,'Base stats'!E:E),Groups!A:A,Groups!H:H)/1000</f>
        <v>4.1079824009189289E-2</v>
      </c>
      <c r="AA148" s="18">
        <f>(1/2)*(_xlfn.XLOOKUP(_xlfn.XLOOKUP(B148,'Base stats'!B:B,'Base stats'!E:E),Groups!A:A,Groups!H:H)*_xlfn.XLOOKUP(_xlfn.XLOOKUP(B148,'Base stats'!B:B,'Base stats'!E:E),Groups!A:A,Groups!I:I))*_xlfn.XLOOKUP(B148,'Base stats'!B:B,'Base stats'!AN:AN)*0.01</f>
        <v>0.30809868006891972</v>
      </c>
      <c r="AB148" s="18">
        <f>250*(Animals!AN148+Animals!AO148)</f>
        <v>187.5</v>
      </c>
      <c r="AC148" s="18" t="str">
        <f>_xlfn.XLOOKUP(_xlfn.XLOOKUP(B148,'Base stats'!B:B,'Base stats'!E:E),Groups!A:A,Groups!BI:BI)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stats'!BP:BP) * (_xlfn.XLOOKUP(B149,'Base stats'!B:B,'Base stats'!AL:AL)*5%)^0.9 / 21,0.1),0.05)</f>
        <v>0.9</v>
      </c>
      <c r="E149" s="11">
        <f>MAX(0.01,MROUND(_xlfn.XLOOKUP(B149,'Base stats'!B:B,'Base stats'!BD:BD) * 0.01 * 2, 0.01))</f>
        <v>0.67</v>
      </c>
      <c r="F149" s="7">
        <f>MROUND(_xlfn.XLOOKUP(B149,'Base stats'!B:B,'Base stats'!BA:BA)^0.25 / (_xlfn.XLOOKUP(B149,'Base stats'!B:B,'Base stats'!BH:BH) * 10) * 150 + 0.5 + _xlfn.XLOOKUP(B149,'Base stats'!B:B,'Base stats'!BT:BT), 0.05)</f>
        <v>1.6500000000000001</v>
      </c>
      <c r="G149" s="3" t="str">
        <f>IF(Animals!R149="No","No",
IF(_xlfn.XLOOKUP(B149,'Base stats'!B:B,'Base stats'!U:U)="No",
MAX(MROUND(_xlfn.XLOOKUP(B149,'Base stats'!B:B,'Base stats'!BQ:BQ) * _xlfn.XLOOKUP(B149,'Base stats'!B:B,'Base stats'!BM:BM)^0.9 / 21 * _xlfn.XLOOKUP(B149,'Base stats'!B:B,'Base stats'!BU:BU),0.1),0.05),
MAX(MROUND(((MIN(10,_xlfn.XLOOKUP(B149,'Base stats'!B:B,'Base stats'!U:U)))^0.4*_xlfn.XLOOKUP(B149,'Base stats'!B:B,'Base stats'!BE:BE)^0.73)^0.6 * _xlfn.XLOOKUP(B149,'Base stats'!B:B,'Base stats'!BU:BU),0.1),0.05)
))</f>
        <v>No</v>
      </c>
      <c r="H149" s="11" t="str">
        <f>IF(G149="No","No",
MAX(0.01,MROUND(_xlfn.XLOOKUP(B149,'Base stats'!B:B,'Base stats'!BE:BE) * 0.01 * 2, 0.01))
)</f>
        <v>No</v>
      </c>
      <c r="I149" s="11" t="str">
        <f>IF(G149="No","No",IF(_xlfn.XLOOKUP(B149,'Base stats'!B:B,'Base stats'!U:U)="No","No",
MAX(0.01,MROUND(_xlfn.XLOOKUP(B149,'Base stats'!B:B,'Base stats'!BQ:BQ)/10000,0.01))
))</f>
        <v>No</v>
      </c>
      <c r="J149" s="4" t="str">
        <f>IF(G149="No","No",
MROUND(_xlfn.XLOOKUP(B149,'Base stats'!B:B,'Base stats'!BB:BB)^0.25
/((_xlfn.XLOOKUP(B149,'Base stats'!B:B,'Base stats'!BI:BI))*10)*_xlfn.XLOOKUP(_xlfn.XLOOKUP(B149,'Base stats'!B:B,'Base stats'!E:E),Groups!A:A,Groups!Q:Q)*150 + 0.5 + _xlfn.XLOOKUP(B149,'Base stats'!B:B,'Base stats'!BT:BT),
0.05))</f>
        <v>No</v>
      </c>
      <c r="K149" s="3" t="str">
        <f>IF(Animals!W149="No","No",
IF(_xlfn.XLOOKUP(_xlfn.XLOOKUP(B149,'Base stats'!B:B,'Base stats'!E:E),Groups!A:A,Groups!BC:BC)=1,
MAX(MROUND(_xlfn.XLOOKUP(B149,'Base stats'!B:B,'Base stats'!BR:BR) * _xlfn.XLOOKUP(B149,'Base stats'!B:B,'Base stats'!BN:BN)^0.9 / 21 *_xlfn.XLOOKUP(B149,'Base stats'!B:B,'Base stats'!BU:BU),0.1),0.05),
MAX(MROUND(((MIN(10,_xlfn.XLOOKUP(B149,'Base stats'!B:B,'Base stats'!W:W)))^0.4*_xlfn.XLOOKUP(B149,'Base stats'!B:B,'Base stats'!BF:BF)^0.73)^0.6 *_xlfn.XLOOKUP(B149,'Base stats'!B:B,'Base stats'!BU:BU),0.1),0.05)
))</f>
        <v>No</v>
      </c>
      <c r="L149" s="11" t="str">
        <f>IF(K149="No","No",
MAX(0.01,MROUND(_xlfn.XLOOKUP(B149,'Base stats'!B:B,'Base stats'!BF:BF) * 0.01 *2, 0.01))
)</f>
        <v>No</v>
      </c>
      <c r="M149" s="5" t="str">
        <f>IF(K149="No","No",IF(_xlfn.XLOOKUP(_xlfn.XLOOKUP(B149,'Base stats'!B:B,'Base stats'!E:E),Groups!A:A,Groups!BC:BC)=1,"No",
MAX(0.01,MROUND(_xlfn.XLOOKUP(B149,'Base stats'!B:B,'Base stats'!BR:BR)/10000,0.01))
))</f>
        <v>No</v>
      </c>
      <c r="N149" s="4" t="str">
        <f>IF(K149="No","No",
MROUND(
  _xlfn.XLOOKUP(B149,'Base stats'!B:B,'Base stats'!AZ:AZ)^0.25
  / (_xlfn.XLOOKUP(B149,'Base stats'!B:B,'Base stats'!BJ:BJ)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stats'!BT:BT),
0.05))</f>
        <v>No</v>
      </c>
      <c r="O149" s="3">
        <f>IF(Animals!AC149="No","No",
MAX(MROUND((MIN(10,_xlfn.XLOOKUP(B149,'Base stats'!B:B,'Base stats'!V:V)*IF(_xlfn.XLOOKUP(_xlfn.XLOOKUP(B149,'Base stats'!B:B,'Base stats'!E:E),Groups!A:A,Groups!O:O)=0,1,0.33))^0.4*_xlfn.XLOOKUP(B149,'Base stats'!B:B,'Base stats'!BG:BG)^0.73)^0.6 *_xlfn.XLOOKUP(B149,'Base stats'!B:B,'Base stats'!BU:BU),0.1),0.05)
)</f>
        <v>8.7000000000000011</v>
      </c>
      <c r="P149" s="11">
        <f>IF(O149="No","No",
MAX(0.01,MROUND(_xlfn.XLOOKUP(B149,'Base stats'!B:B,'Base stats'!BG:BG) * 0.01 * 2, 0.01))
)</f>
        <v>1.75</v>
      </c>
      <c r="Q149" s="5">
        <f>IF(O149="No","No",
MAX(0.01,MROUND(_xlfn.XLOOKUP(B149,'Base stats'!B:B,'Base stats'!BS:BS)/10000,0.01))
)</f>
        <v>0.17</v>
      </c>
      <c r="R149" s="4">
        <f>IF(O149="No","No",
MROUND(_xlfn.XLOOKUP(B149,'Base stats'!B:B,'Base stats'!AY:AY)^0.25
/((_xlfn.XLOOKUP(B149,'Base stats'!B:B,'Base stats'!BK:BK))*10)*_xlfn.XLOOKUP(_xlfn.XLOOKUP(B149,'Base stats'!B:B,'Base stats'!E:E),Groups!A:A,Groups!Z:Z)*150 + 0.5 + _xlfn.XLOOKUP(B149,'Base stats'!B:B,'Base stats'!BT:BT),
0.05))</f>
        <v>2.0500000000000003</v>
      </c>
      <c r="S149" s="3" t="str">
        <f>IF(Animals!AH149="No","No",
IF(_xlfn.XLOOKUP(B149,'Base stats'!B:B,'Base stats'!U:U)="No",
MAX(MROUND(_xlfn.XLOOKUP(B149,'Base stats'!B:B,'Base stats'!BQ:BQ) * _xlfn.XLOOKUP(B149,'Base stats'!B:B,'Base stats'!BM:BM)^0.9 / 21 * _xlfn.XLOOKUP(B149,'Base stats'!B:B,'Base stats'!BU:BU),0.1),0.05),
MAX(MROUND(((MIN(12,_xlfn.XLOOKUP(B149,'Base stats'!B:B,'Base stats'!U:U)))^0.4*_xlfn.XLOOKUP(B149,'Base stats'!B:B,'Base stats'!BE:BE)^0.73)^0.6 * _xlfn.XLOOKUP(B149,'Base stats'!B:B,'Base stats'!BU:BU),0.1),0.05)
))</f>
        <v>No</v>
      </c>
      <c r="T149" s="11" t="str">
        <f>IF(S149="No","No",
MAX(0.01,MROUND(_xlfn.XLOOKUP(B149,'Base stats'!B:B,'Base stats'!BE:BE) * 0.01 * 2, 0.01))
)</f>
        <v>No</v>
      </c>
      <c r="U149" s="5" t="str">
        <f>IF(S149="No","No",IF(_xlfn.XLOOKUP(B149,'Base stats'!B:B,'Base stats'!U:U)="No","No",
MAX(0.01,MROUND(_xlfn.XLOOKUP(B149,'Base stats'!B:B,'Base stats'!BQ:BQ)/10000,0.01))
))</f>
        <v>No</v>
      </c>
      <c r="V149" s="4" t="str">
        <f>IF(S149="No","No",
MROUND(_xlfn.XLOOKUP(B149,'Base stats'!B:B,'Base stats'!BC:BC)^0.25
/((_xlfn.XLOOKUP(B149,'Base stats'!B:B,'Base stats'!BL:BL))*10)*_xlfn.XLOOKUP(_xlfn.XLOOKUP(B149,'Base stats'!B:B,'Base stats'!E:E),Groups!A:A,Groups!AE:AE)*150 + 0.5 + _xlfn.XLOOKUP(B149,'Base stats'!B:B,'Base stats'!BT:BT),
0.05))</f>
        <v>No</v>
      </c>
      <c r="W149" s="8">
        <f>MROUND(_xlfn.XLOOKUP(_xlfn.XLOOKUP(B149,'Base stats'!B:B,'Base stats'!E:E),Groups!A:A,Groups!BF:BF)*_xlfn.XLOOKUP(B149,'Base stats'!B:B,'Base stats'!C:C)^-0.165,0.01)</f>
        <v>0.6</v>
      </c>
      <c r="X149" s="1">
        <f>MROUND(_xlfn.XLOOKUP(_xlfn.XLOOKUP(B149,'Base stats'!B:B,'Base stats'!E:E),Groups!A:A,Groups!BG:BG)*_xlfn.XLOOKUP(B149,'Base stats'!B:B,'Base stats'!C:C)^0.165,0.01)</f>
        <v>0.33</v>
      </c>
      <c r="Y149" s="8">
        <f>MROUND(_xlfn.XLOOKUP(_xlfn.XLOOKUP(B149,'Base stats'!B:B,'Base stats'!E:E),Groups!A:A,Groups!BH:BH)*_xlfn.XLOOKUP(B149,'Base stats'!B:B,'Base stats'!C:C)^0.165,0.01)</f>
        <v>0.04</v>
      </c>
      <c r="Z149" s="18">
        <f>_xlfn.XLOOKUP(B149,'Base stats'!B:B,'Base stats'!AN:AN)*_xlfn.XLOOKUP(_xlfn.XLOOKUP(B149,'Base stats'!B:B,'Base stats'!E:E),Groups!A:A,Groups!H:H)/1000</f>
        <v>6.6222978501725732E-2</v>
      </c>
      <c r="AA149" s="18">
        <f>(1/2)*(_xlfn.XLOOKUP(_xlfn.XLOOKUP(B149,'Base stats'!B:B,'Base stats'!E:E),Groups!A:A,Groups!H:H)*_xlfn.XLOOKUP(_xlfn.XLOOKUP(B149,'Base stats'!B:B,'Base stats'!E:E),Groups!A:A,Groups!I:I))*_xlfn.XLOOKUP(B149,'Base stats'!B:B,'Base stats'!AN:AN)*0.01</f>
        <v>0.49667233876294303</v>
      </c>
      <c r="AB149" s="18">
        <f>250*(Animals!AN149+Animals!AO149)</f>
        <v>325.00000000000006</v>
      </c>
      <c r="AC149" s="18" t="str">
        <f>_xlfn.XLOOKUP(_xlfn.XLOOKUP(B149,'Base stats'!B:B,'Base stats'!E:E),Groups!A:A,Groups!BI:BI)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stats'!BP:BP) * (_xlfn.XLOOKUP(B150,'Base stats'!B:B,'Base stats'!AL:AL)*5%)^0.9 / 21,0.1),0.05)</f>
        <v>0.2</v>
      </c>
      <c r="E150" s="11">
        <f>MAX(0.01,MROUND(_xlfn.XLOOKUP(B150,'Base stats'!B:B,'Base stats'!BD:BD) * 0.01 * 2, 0.01))</f>
        <v>0.15</v>
      </c>
      <c r="F150" s="7">
        <f>MROUND(_xlfn.XLOOKUP(B150,'Base stats'!B:B,'Base stats'!BA:BA)^0.25 / (_xlfn.XLOOKUP(B150,'Base stats'!B:B,'Base stats'!BH:BH) * 10) * 150 + 0.5 + _xlfn.XLOOKUP(B150,'Base stats'!B:B,'Base stats'!BT:BT), 0.05)</f>
        <v>1.4000000000000001</v>
      </c>
      <c r="G150" s="3" t="str">
        <f>IF(Animals!R150="No","No",
IF(_xlfn.XLOOKUP(B150,'Base stats'!B:B,'Base stats'!U:U)="No",
MAX(MROUND(_xlfn.XLOOKUP(B150,'Base stats'!B:B,'Base stats'!BQ:BQ) * _xlfn.XLOOKUP(B150,'Base stats'!B:B,'Base stats'!BM:BM)^0.9 / 21 * _xlfn.XLOOKUP(B150,'Base stats'!B:B,'Base stats'!BU:BU),0.1),0.05),
MAX(MROUND(((MIN(10,_xlfn.XLOOKUP(B150,'Base stats'!B:B,'Base stats'!U:U)))^0.4*_xlfn.XLOOKUP(B150,'Base stats'!B:B,'Base stats'!BE:BE)^0.73)^0.6 * _xlfn.XLOOKUP(B150,'Base stats'!B:B,'Base stats'!BU:BU),0.1),0.05)
))</f>
        <v>No</v>
      </c>
      <c r="H150" s="11" t="str">
        <f>IF(G150="No","No",
MAX(0.01,MROUND(_xlfn.XLOOKUP(B150,'Base stats'!B:B,'Base stats'!BE:BE) * 0.01 * 2, 0.01))
)</f>
        <v>No</v>
      </c>
      <c r="I150" s="11" t="str">
        <f>IF(G150="No","No",IF(_xlfn.XLOOKUP(B150,'Base stats'!B:B,'Base stats'!U:U)="No","No",
MAX(0.01,MROUND(_xlfn.XLOOKUP(B150,'Base stats'!B:B,'Base stats'!BQ:BQ)/10000,0.01))
))</f>
        <v>No</v>
      </c>
      <c r="J150" s="4" t="str">
        <f>IF(G150="No","No",
MROUND(_xlfn.XLOOKUP(B150,'Base stats'!B:B,'Base stats'!BB:BB)^0.25
/((_xlfn.XLOOKUP(B150,'Base stats'!B:B,'Base stats'!BI:BI))*10)*_xlfn.XLOOKUP(_xlfn.XLOOKUP(B150,'Base stats'!B:B,'Base stats'!E:E),Groups!A:A,Groups!Q:Q)*150 + 0.5 + _xlfn.XLOOKUP(B150,'Base stats'!B:B,'Base stats'!BT:BT),
0.05))</f>
        <v>No</v>
      </c>
      <c r="K150" s="3" t="str">
        <f>IF(Animals!W150="No","No",
IF(_xlfn.XLOOKUP(_xlfn.XLOOKUP(B150,'Base stats'!B:B,'Base stats'!E:E),Groups!A:A,Groups!BC:BC)=1,
MAX(MROUND(_xlfn.XLOOKUP(B150,'Base stats'!B:B,'Base stats'!BR:BR) * _xlfn.XLOOKUP(B150,'Base stats'!B:B,'Base stats'!BN:BN)^0.9 / 21 *_xlfn.XLOOKUP(B150,'Base stats'!B:B,'Base stats'!BU:BU),0.1),0.05),
MAX(MROUND(((MIN(10,_xlfn.XLOOKUP(B150,'Base stats'!B:B,'Base stats'!W:W)))^0.4*_xlfn.XLOOKUP(B150,'Base stats'!B:B,'Base stats'!BF:BF)^0.73)^0.6 *_xlfn.XLOOKUP(B150,'Base stats'!B:B,'Base stats'!BU:BU),0.1),0.05)
))</f>
        <v>No</v>
      </c>
      <c r="L150" s="11" t="str">
        <f>IF(K150="No","No",
MAX(0.01,MROUND(_xlfn.XLOOKUP(B150,'Base stats'!B:B,'Base stats'!BF:BF) * 0.01 *2, 0.01))
)</f>
        <v>No</v>
      </c>
      <c r="M150" s="5" t="str">
        <f>IF(K150="No","No",IF(_xlfn.XLOOKUP(_xlfn.XLOOKUP(B150,'Base stats'!B:B,'Base stats'!E:E),Groups!A:A,Groups!BC:BC)=1,"No",
MAX(0.01,MROUND(_xlfn.XLOOKUP(B150,'Base stats'!B:B,'Base stats'!BR:BR)/10000,0.01))
))</f>
        <v>No</v>
      </c>
      <c r="N150" s="4" t="str">
        <f>IF(K150="No","No",
MROUND(
  _xlfn.XLOOKUP(B150,'Base stats'!B:B,'Base stats'!AZ:AZ)^0.25
  / (_xlfn.XLOOKUP(B150,'Base stats'!B:B,'Base stats'!BJ:BJ)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stats'!BT:BT),
0.05))</f>
        <v>No</v>
      </c>
      <c r="O150" s="3">
        <f>IF(Animals!AC150="No","No",
MAX(MROUND((MIN(10,_xlfn.XLOOKUP(B150,'Base stats'!B:B,'Base stats'!V:V)*IF(_xlfn.XLOOKUP(_xlfn.XLOOKUP(B150,'Base stats'!B:B,'Base stats'!E:E),Groups!A:A,Groups!O:O)=0,1,0.33))^0.4*_xlfn.XLOOKUP(B150,'Base stats'!B:B,'Base stats'!BG:BG)^0.73)^0.6 *_xlfn.XLOOKUP(B150,'Base stats'!B:B,'Base stats'!BU:BU),0.1),0.05)
)</f>
        <v>4</v>
      </c>
      <c r="P150" s="11">
        <f>IF(O150="No","No",
MAX(0.01,MROUND(_xlfn.XLOOKUP(B150,'Base stats'!B:B,'Base stats'!BG:BG) * 0.01 * 2, 0.01))
)</f>
        <v>0.41000000000000003</v>
      </c>
      <c r="Q150" s="5">
        <f>IF(O150="No","No",
MAX(0.01,MROUND(_xlfn.XLOOKUP(B150,'Base stats'!B:B,'Base stats'!BS:BS)/10000,0.01))
)</f>
        <v>0.08</v>
      </c>
      <c r="R150" s="4">
        <f>IF(O150="No","No",
MROUND(_xlfn.XLOOKUP(B150,'Base stats'!B:B,'Base stats'!AY:AY)^0.25
/((_xlfn.XLOOKUP(B150,'Base stats'!B:B,'Base stats'!BK:BK))*10)*_xlfn.XLOOKUP(_xlfn.XLOOKUP(B150,'Base stats'!B:B,'Base stats'!E:E),Groups!A:A,Groups!Z:Z)*150 + 0.5 + _xlfn.XLOOKUP(B150,'Base stats'!B:B,'Base stats'!BT:BT),
0.05))</f>
        <v>1.6500000000000001</v>
      </c>
      <c r="S150" s="3">
        <f>IF(Animals!AH150="No","No",
IF(_xlfn.XLOOKUP(B150,'Base stats'!B:B,'Base stats'!U:U)="No",
MAX(MROUND(_xlfn.XLOOKUP(B150,'Base stats'!B:B,'Base stats'!BQ:BQ) * _xlfn.XLOOKUP(B150,'Base stats'!B:B,'Base stats'!BM:BM)^0.9 / 21 * _xlfn.XLOOKUP(B150,'Base stats'!B:B,'Base stats'!BU:BU),0.1),0.05),
MAX(MROUND(((MIN(12,_xlfn.XLOOKUP(B150,'Base stats'!B:B,'Base stats'!U:U)))^0.4*_xlfn.XLOOKUP(B150,'Base stats'!B:B,'Base stats'!BE:BE)^0.73)^0.6 * _xlfn.XLOOKUP(B150,'Base stats'!B:B,'Base stats'!BU:BU),0.1),0.05)
))</f>
        <v>3.1</v>
      </c>
      <c r="T150" s="11">
        <f>IF(S150="No","No",
MAX(0.01,MROUND(_xlfn.XLOOKUP(B150,'Base stats'!B:B,'Base stats'!BE:BE) * 0.01 * 2, 0.01))
)</f>
        <v>0.23</v>
      </c>
      <c r="U150" s="5">
        <f>IF(S150="No","No",IF(_xlfn.XLOOKUP(B150,'Base stats'!B:B,'Base stats'!U:U)="No","No",
MAX(0.01,MROUND(_xlfn.XLOOKUP(B150,'Base stats'!B:B,'Base stats'!BQ:BQ)/10000,0.01))
))</f>
        <v>0.04</v>
      </c>
      <c r="V150" s="4">
        <f>IF(S150="No","No",
MROUND(_xlfn.XLOOKUP(B150,'Base stats'!B:B,'Base stats'!BC:BC)^0.25
/((_xlfn.XLOOKUP(B150,'Base stats'!B:B,'Base stats'!BL:BL))*10)*_xlfn.XLOOKUP(_xlfn.XLOOKUP(B150,'Base stats'!B:B,'Base stats'!E:E),Groups!A:A,Groups!AE:AE)*150 + 0.5 + _xlfn.XLOOKUP(B150,'Base stats'!B:B,'Base stats'!BT:BT),
0.05))</f>
        <v>1.1000000000000001</v>
      </c>
      <c r="W150" s="8">
        <f>MROUND(_xlfn.XLOOKUP(_xlfn.XLOOKUP(B150,'Base stats'!B:B,'Base stats'!E:E),Groups!A:A,Groups!BF:BF)*_xlfn.XLOOKUP(B150,'Base stats'!B:B,'Base stats'!C:C)^-0.165,0.01)</f>
        <v>0.98</v>
      </c>
      <c r="X150" s="1">
        <f>MROUND(_xlfn.XLOOKUP(_xlfn.XLOOKUP(B150,'Base stats'!B:B,'Base stats'!E:E),Groups!A:A,Groups!BG:BG)*_xlfn.XLOOKUP(B150,'Base stats'!B:B,'Base stats'!C:C)^0.165,0.01)</f>
        <v>0.32</v>
      </c>
      <c r="Y150" s="8">
        <f>MROUND(_xlfn.XLOOKUP(_xlfn.XLOOKUP(B150,'Base stats'!B:B,'Base stats'!E:E),Groups!A:A,Groups!BH:BH)*_xlfn.XLOOKUP(B150,'Base stats'!B:B,'Base stats'!C:C)^0.165,0.01)</f>
        <v>0.03</v>
      </c>
      <c r="Z150" s="18">
        <f>_xlfn.XLOOKUP(B150,'Base stats'!B:B,'Base stats'!AN:AN)*_xlfn.XLOOKUP(_xlfn.XLOOKUP(B150,'Base stats'!B:B,'Base stats'!E:E),Groups!A:A,Groups!H:H)/1000</f>
        <v>3.770241838878003E-2</v>
      </c>
      <c r="AA150" s="18">
        <f>(1/2)*(_xlfn.XLOOKUP(_xlfn.XLOOKUP(B150,'Base stats'!B:B,'Base stats'!E:E),Groups!A:A,Groups!H:H)*_xlfn.XLOOKUP(_xlfn.XLOOKUP(B150,'Base stats'!B:B,'Base stats'!E:E),Groups!A:A,Groups!I:I))*_xlfn.XLOOKUP(B150,'Base stats'!B:B,'Base stats'!AN:AN)*0.01</f>
        <v>0.28276813791585026</v>
      </c>
      <c r="AB150" s="18">
        <f>250*(Animals!AN150+Animals!AO150)</f>
        <v>162.50000000000003</v>
      </c>
      <c r="AC150" s="18" t="str">
        <f>_xlfn.XLOOKUP(_xlfn.XLOOKUP(B150,'Base stats'!B:B,'Base stats'!E:E),Groups!A:A,Groups!BI:BI)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stats'!BP:BP) * (_xlfn.XLOOKUP(B151,'Base stats'!B:B,'Base stats'!AL:AL)*5%)^0.9 / 21,0.1),0.05)</f>
        <v>0.30000000000000004</v>
      </c>
      <c r="E151" s="11">
        <f>MAX(0.01,MROUND(_xlfn.XLOOKUP(B151,'Base stats'!B:B,'Base stats'!BD:BD) * 0.01 * 2, 0.01))</f>
        <v>0.19</v>
      </c>
      <c r="F151" s="7">
        <f>MROUND(_xlfn.XLOOKUP(B151,'Base stats'!B:B,'Base stats'!BA:BA)^0.25 / (_xlfn.XLOOKUP(B151,'Base stats'!B:B,'Base stats'!BH:BH) * 10) * 150 + 0.5 + _xlfn.XLOOKUP(B151,'Base stats'!B:B,'Base stats'!BT:BT), 0.05)</f>
        <v>1.4500000000000002</v>
      </c>
      <c r="G151" s="3" t="str">
        <f>IF(Animals!R151="No","No",
IF(_xlfn.XLOOKUP(B151,'Base stats'!B:B,'Base stats'!U:U)="No",
MAX(MROUND(_xlfn.XLOOKUP(B151,'Base stats'!B:B,'Base stats'!BQ:BQ) * _xlfn.XLOOKUP(B151,'Base stats'!B:B,'Base stats'!BM:BM)^0.9 / 21 * _xlfn.XLOOKUP(B151,'Base stats'!B:B,'Base stats'!BU:BU),0.1),0.05),
MAX(MROUND(((MIN(10,_xlfn.XLOOKUP(B151,'Base stats'!B:B,'Base stats'!U:U)))^0.4*_xlfn.XLOOKUP(B151,'Base stats'!B:B,'Base stats'!BE:BE)^0.73)^0.6 * _xlfn.XLOOKUP(B151,'Base stats'!B:B,'Base stats'!BU:BU),0.1),0.05)
))</f>
        <v>No</v>
      </c>
      <c r="H151" s="11" t="str">
        <f>IF(G151="No","No",
MAX(0.01,MROUND(_xlfn.XLOOKUP(B151,'Base stats'!B:B,'Base stats'!BE:BE) * 0.01 * 2, 0.01))
)</f>
        <v>No</v>
      </c>
      <c r="I151" s="11" t="str">
        <f>IF(G151="No","No",IF(_xlfn.XLOOKUP(B151,'Base stats'!B:B,'Base stats'!U:U)="No","No",
MAX(0.01,MROUND(_xlfn.XLOOKUP(B151,'Base stats'!B:B,'Base stats'!BQ:BQ)/10000,0.01))
))</f>
        <v>No</v>
      </c>
      <c r="J151" s="4" t="str">
        <f>IF(G151="No","No",
MROUND(_xlfn.XLOOKUP(B151,'Base stats'!B:B,'Base stats'!BB:BB)^0.25
/((_xlfn.XLOOKUP(B151,'Base stats'!B:B,'Base stats'!BI:BI))*10)*_xlfn.XLOOKUP(_xlfn.XLOOKUP(B151,'Base stats'!B:B,'Base stats'!E:E),Groups!A:A,Groups!Q:Q)*150 + 0.5 + _xlfn.XLOOKUP(B151,'Base stats'!B:B,'Base stats'!BT:BT),
0.05))</f>
        <v>No</v>
      </c>
      <c r="K151" s="3" t="str">
        <f>IF(Animals!W151="No","No",
IF(_xlfn.XLOOKUP(_xlfn.XLOOKUP(B151,'Base stats'!B:B,'Base stats'!E:E),Groups!A:A,Groups!BC:BC)=1,
MAX(MROUND(_xlfn.XLOOKUP(B151,'Base stats'!B:B,'Base stats'!BR:BR) * _xlfn.XLOOKUP(B151,'Base stats'!B:B,'Base stats'!BN:BN)^0.9 / 21 *_xlfn.XLOOKUP(B151,'Base stats'!B:B,'Base stats'!BU:BU),0.1),0.05),
MAX(MROUND(((MIN(10,_xlfn.XLOOKUP(B151,'Base stats'!B:B,'Base stats'!W:W)))^0.4*_xlfn.XLOOKUP(B151,'Base stats'!B:B,'Base stats'!BF:BF)^0.73)^0.6 *_xlfn.XLOOKUP(B151,'Base stats'!B:B,'Base stats'!BU:BU),0.1),0.05)
))</f>
        <v>No</v>
      </c>
      <c r="L151" s="11" t="str">
        <f>IF(K151="No","No",
MAX(0.01,MROUND(_xlfn.XLOOKUP(B151,'Base stats'!B:B,'Base stats'!BF:BF) * 0.01 *2, 0.01))
)</f>
        <v>No</v>
      </c>
      <c r="M151" s="5" t="str">
        <f>IF(K151="No","No",IF(_xlfn.XLOOKUP(_xlfn.XLOOKUP(B151,'Base stats'!B:B,'Base stats'!E:E),Groups!A:A,Groups!BC:BC)=1,"No",
MAX(0.01,MROUND(_xlfn.XLOOKUP(B151,'Base stats'!B:B,'Base stats'!BR:BR)/10000,0.01))
))</f>
        <v>No</v>
      </c>
      <c r="N151" s="4" t="str">
        <f>IF(K151="No","No",
MROUND(
  _xlfn.XLOOKUP(B151,'Base stats'!B:B,'Base stats'!AZ:AZ)^0.25
  / (_xlfn.XLOOKUP(B151,'Base stats'!B:B,'Base stats'!BJ:BJ)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stats'!BT:BT),
0.05))</f>
        <v>No</v>
      </c>
      <c r="O151" s="3">
        <f>IF(Animals!AC151="No","No",
MAX(MROUND((MIN(10,_xlfn.XLOOKUP(B151,'Base stats'!B:B,'Base stats'!V:V)*IF(_xlfn.XLOOKUP(_xlfn.XLOOKUP(B151,'Base stats'!B:B,'Base stats'!E:E),Groups!A:A,Groups!O:O)=0,1,0.33))^0.4*_xlfn.XLOOKUP(B151,'Base stats'!B:B,'Base stats'!BG:BG)^0.73)^0.6 *_xlfn.XLOOKUP(B151,'Base stats'!B:B,'Base stats'!BU:BU),0.1),0.05)
)</f>
        <v>4.3</v>
      </c>
      <c r="P151" s="11">
        <f>IF(O151="No","No",
MAX(0.01,MROUND(_xlfn.XLOOKUP(B151,'Base stats'!B:B,'Base stats'!BG:BG) * 0.01 * 2, 0.01))
)</f>
        <v>0.49</v>
      </c>
      <c r="Q151" s="5">
        <f>IF(O151="No","No",
MAX(0.01,MROUND(_xlfn.XLOOKUP(B151,'Base stats'!B:B,'Base stats'!BS:BS)/10000,0.01))
)</f>
        <v>0.08</v>
      </c>
      <c r="R151" s="4">
        <f>IF(O151="No","No",
MROUND(_xlfn.XLOOKUP(B151,'Base stats'!B:B,'Base stats'!AY:AY)^0.25
/((_xlfn.XLOOKUP(B151,'Base stats'!B:B,'Base stats'!BK:BK))*10)*_xlfn.XLOOKUP(_xlfn.XLOOKUP(B151,'Base stats'!B:B,'Base stats'!E:E),Groups!A:A,Groups!Z:Z)*150 + 0.5 + _xlfn.XLOOKUP(B151,'Base stats'!B:B,'Base stats'!BT:BT),
0.05))</f>
        <v>1.7000000000000002</v>
      </c>
      <c r="S151" s="3">
        <f>IF(Animals!AH151="No","No",
IF(_xlfn.XLOOKUP(B151,'Base stats'!B:B,'Base stats'!U:U)="No",
MAX(MROUND(_xlfn.XLOOKUP(B151,'Base stats'!B:B,'Base stats'!BQ:BQ) * _xlfn.XLOOKUP(B151,'Base stats'!B:B,'Base stats'!BM:BM)^0.9 / 21 * _xlfn.XLOOKUP(B151,'Base stats'!B:B,'Base stats'!BU:BU),0.1),0.05),
MAX(MROUND(((MIN(12,_xlfn.XLOOKUP(B151,'Base stats'!B:B,'Base stats'!U:U)))^0.4*_xlfn.XLOOKUP(B151,'Base stats'!B:B,'Base stats'!BE:BE)^0.73)^0.6 * _xlfn.XLOOKUP(B151,'Base stats'!B:B,'Base stats'!BU:BU),0.1),0.05)
))</f>
        <v>3.3000000000000003</v>
      </c>
      <c r="T151" s="11">
        <f>IF(S151="No","No",
MAX(0.01,MROUND(_xlfn.XLOOKUP(B151,'Base stats'!B:B,'Base stats'!BE:BE) * 0.01 * 2, 0.01))
)</f>
        <v>0.27</v>
      </c>
      <c r="U151" s="5">
        <f>IF(S151="No","No",IF(_xlfn.XLOOKUP(B151,'Base stats'!B:B,'Base stats'!U:U)="No","No",
MAX(0.01,MROUND(_xlfn.XLOOKUP(B151,'Base stats'!B:B,'Base stats'!BQ:BQ)/10000,0.01))
))</f>
        <v>0.05</v>
      </c>
      <c r="V151" s="4">
        <f>IF(S151="No","No",
MROUND(_xlfn.XLOOKUP(B151,'Base stats'!B:B,'Base stats'!BC:BC)^0.25
/((_xlfn.XLOOKUP(B151,'Base stats'!B:B,'Base stats'!BL:BL))*10)*_xlfn.XLOOKUP(_xlfn.XLOOKUP(B151,'Base stats'!B:B,'Base stats'!E:E),Groups!A:A,Groups!AE:AE)*150 + 0.5 + _xlfn.XLOOKUP(B151,'Base stats'!B:B,'Base stats'!BT:BT),
0.05))</f>
        <v>1.1000000000000001</v>
      </c>
      <c r="W151" s="8">
        <f>MROUND(_xlfn.XLOOKUP(_xlfn.XLOOKUP(B151,'Base stats'!B:B,'Base stats'!E:E),Groups!A:A,Groups!BF:BF)*_xlfn.XLOOKUP(B151,'Base stats'!B:B,'Base stats'!C:C)^-0.165,0.01)</f>
        <v>0.94000000000000006</v>
      </c>
      <c r="X151" s="1">
        <f>MROUND(_xlfn.XLOOKUP(_xlfn.XLOOKUP(B151,'Base stats'!B:B,'Base stats'!E:E),Groups!A:A,Groups!BG:BG)*_xlfn.XLOOKUP(B151,'Base stats'!B:B,'Base stats'!C:C)^0.165,0.01)</f>
        <v>0.33</v>
      </c>
      <c r="Y151" s="8">
        <f>MROUND(_xlfn.XLOOKUP(_xlfn.XLOOKUP(B151,'Base stats'!B:B,'Base stats'!E:E),Groups!A:A,Groups!BH:BH)*_xlfn.XLOOKUP(B151,'Base stats'!B:B,'Base stats'!C:C)^0.165,0.01)</f>
        <v>0.03</v>
      </c>
      <c r="Z151" s="18">
        <f>_xlfn.XLOOKUP(B151,'Base stats'!B:B,'Base stats'!AN:AN)*_xlfn.XLOOKUP(_xlfn.XLOOKUP(B151,'Base stats'!B:B,'Base stats'!E:E),Groups!A:A,Groups!H:H)/1000</f>
        <v>4.0445645409549265E-2</v>
      </c>
      <c r="AA151" s="18">
        <f>(1/2)*(_xlfn.XLOOKUP(_xlfn.XLOOKUP(B151,'Base stats'!B:B,'Base stats'!E:E),Groups!A:A,Groups!H:H)*_xlfn.XLOOKUP(_xlfn.XLOOKUP(B151,'Base stats'!B:B,'Base stats'!E:E),Groups!A:A,Groups!I:I))*_xlfn.XLOOKUP(B151,'Base stats'!B:B,'Base stats'!AN:AN)*0.01</f>
        <v>0.30334234057161952</v>
      </c>
      <c r="AB151" s="18">
        <f>250*(Animals!AN151+Animals!AO151)</f>
        <v>162.50000000000003</v>
      </c>
      <c r="AC151" s="18" t="str">
        <f>_xlfn.XLOOKUP(_xlfn.XLOOKUP(B151,'Base stats'!B:B,'Base stats'!E:E),Groups!A:A,Groups!BI:BI)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stats'!BP:BP) * (_xlfn.XLOOKUP(B152,'Base stats'!B:B,'Base stats'!AL:AL)*5%)^0.9 / 21,0.1),0.05)</f>
        <v>0.2</v>
      </c>
      <c r="E152" s="11">
        <f>MAX(0.01,MROUND(_xlfn.XLOOKUP(B152,'Base stats'!B:B,'Base stats'!BD:BD) * 0.01 * 2, 0.01))</f>
        <v>0.17</v>
      </c>
      <c r="F152" s="7">
        <f>MROUND(_xlfn.XLOOKUP(B152,'Base stats'!B:B,'Base stats'!BA:BA)^0.25 / (_xlfn.XLOOKUP(B152,'Base stats'!B:B,'Base stats'!BH:BH) * 10) * 150 + 0.5 + _xlfn.XLOOKUP(B152,'Base stats'!B:B,'Base stats'!BT:BT), 0.05)</f>
        <v>1.4500000000000002</v>
      </c>
      <c r="G152" s="3" t="str">
        <f>IF(Animals!R152="No","No",
IF(_xlfn.XLOOKUP(B152,'Base stats'!B:B,'Base stats'!U:U)="No",
MAX(MROUND(_xlfn.XLOOKUP(B152,'Base stats'!B:B,'Base stats'!BQ:BQ) * _xlfn.XLOOKUP(B152,'Base stats'!B:B,'Base stats'!BM:BM)^0.9 / 21 * _xlfn.XLOOKUP(B152,'Base stats'!B:B,'Base stats'!BU:BU),0.1),0.05),
MAX(MROUND(((MIN(10,_xlfn.XLOOKUP(B152,'Base stats'!B:B,'Base stats'!U:U)))^0.4*_xlfn.XLOOKUP(B152,'Base stats'!B:B,'Base stats'!BE:BE)^0.73)^0.6 * _xlfn.XLOOKUP(B152,'Base stats'!B:B,'Base stats'!BU:BU),0.1),0.05)
))</f>
        <v>No</v>
      </c>
      <c r="H152" s="11" t="str">
        <f>IF(G152="No","No",
MAX(0.01,MROUND(_xlfn.XLOOKUP(B152,'Base stats'!B:B,'Base stats'!BE:BE) * 0.01 * 2, 0.01))
)</f>
        <v>No</v>
      </c>
      <c r="I152" s="11" t="str">
        <f>IF(G152="No","No",IF(_xlfn.XLOOKUP(B152,'Base stats'!B:B,'Base stats'!U:U)="No","No",
MAX(0.01,MROUND(_xlfn.XLOOKUP(B152,'Base stats'!B:B,'Base stats'!BQ:BQ)/10000,0.01))
))</f>
        <v>No</v>
      </c>
      <c r="J152" s="4" t="str">
        <f>IF(G152="No","No",
MROUND(_xlfn.XLOOKUP(B152,'Base stats'!B:B,'Base stats'!BB:BB)^0.25
/((_xlfn.XLOOKUP(B152,'Base stats'!B:B,'Base stats'!BI:BI))*10)*_xlfn.XLOOKUP(_xlfn.XLOOKUP(B152,'Base stats'!B:B,'Base stats'!E:E),Groups!A:A,Groups!Q:Q)*150 + 0.5 + _xlfn.XLOOKUP(B152,'Base stats'!B:B,'Base stats'!BT:BT),
0.05))</f>
        <v>No</v>
      </c>
      <c r="K152" s="3" t="str">
        <f>IF(Animals!W152="No","No",
IF(_xlfn.XLOOKUP(_xlfn.XLOOKUP(B152,'Base stats'!B:B,'Base stats'!E:E),Groups!A:A,Groups!BC:BC)=1,
MAX(MROUND(_xlfn.XLOOKUP(B152,'Base stats'!B:B,'Base stats'!BR:BR) * _xlfn.XLOOKUP(B152,'Base stats'!B:B,'Base stats'!BN:BN)^0.9 / 21 *_xlfn.XLOOKUP(B152,'Base stats'!B:B,'Base stats'!BU:BU),0.1),0.05),
MAX(MROUND(((MIN(10,_xlfn.XLOOKUP(B152,'Base stats'!B:B,'Base stats'!W:W)))^0.4*_xlfn.XLOOKUP(B152,'Base stats'!B:B,'Base stats'!BF:BF)^0.73)^0.6 *_xlfn.XLOOKUP(B152,'Base stats'!B:B,'Base stats'!BU:BU),0.1),0.05)
))</f>
        <v>No</v>
      </c>
      <c r="L152" s="11" t="str">
        <f>IF(K152="No","No",
MAX(0.01,MROUND(_xlfn.XLOOKUP(B152,'Base stats'!B:B,'Base stats'!BF:BF) * 0.01 *2, 0.01))
)</f>
        <v>No</v>
      </c>
      <c r="M152" s="5" t="str">
        <f>IF(K152="No","No",IF(_xlfn.XLOOKUP(_xlfn.XLOOKUP(B152,'Base stats'!B:B,'Base stats'!E:E),Groups!A:A,Groups!BC:BC)=1,"No",
MAX(0.01,MROUND(_xlfn.XLOOKUP(B152,'Base stats'!B:B,'Base stats'!BR:BR)/10000,0.01))
))</f>
        <v>No</v>
      </c>
      <c r="N152" s="4" t="str">
        <f>IF(K152="No","No",
MROUND(
  _xlfn.XLOOKUP(B152,'Base stats'!B:B,'Base stats'!AZ:AZ)^0.25
  / (_xlfn.XLOOKUP(B152,'Base stats'!B:B,'Base stats'!BJ:BJ)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stats'!BT:BT),
0.05))</f>
        <v>No</v>
      </c>
      <c r="O152" s="3">
        <f>IF(Animals!AC152="No","No",
MAX(MROUND((MIN(10,_xlfn.XLOOKUP(B152,'Base stats'!B:B,'Base stats'!V:V)*IF(_xlfn.XLOOKUP(_xlfn.XLOOKUP(B152,'Base stats'!B:B,'Base stats'!E:E),Groups!A:A,Groups!O:O)=0,1,0.33))^0.4*_xlfn.XLOOKUP(B152,'Base stats'!B:B,'Base stats'!BG:BG)^0.73)^0.6 *_xlfn.XLOOKUP(B152,'Base stats'!B:B,'Base stats'!BU:BU),0.1),0.05)
)</f>
        <v>4.2</v>
      </c>
      <c r="P152" s="11">
        <f>IF(O152="No","No",
MAX(0.01,MROUND(_xlfn.XLOOKUP(B152,'Base stats'!B:B,'Base stats'!BG:BG) * 0.01 * 2, 0.01))
)</f>
        <v>0.45</v>
      </c>
      <c r="Q152" s="5">
        <f>IF(O152="No","No",
MAX(0.01,MROUND(_xlfn.XLOOKUP(B152,'Base stats'!B:B,'Base stats'!BS:BS)/10000,0.01))
)</f>
        <v>0.08</v>
      </c>
      <c r="R152" s="4">
        <f>IF(O152="No","No",
MROUND(_xlfn.XLOOKUP(B152,'Base stats'!B:B,'Base stats'!AY:AY)^0.25
/((_xlfn.XLOOKUP(B152,'Base stats'!B:B,'Base stats'!BK:BK))*10)*_xlfn.XLOOKUP(_xlfn.XLOOKUP(B152,'Base stats'!B:B,'Base stats'!E:E),Groups!A:A,Groups!Z:Z)*150 + 0.5 + _xlfn.XLOOKUP(B152,'Base stats'!B:B,'Base stats'!BT:BT),
0.05))</f>
        <v>1.7000000000000002</v>
      </c>
      <c r="S152" s="3">
        <f>IF(Animals!AH152="No","No",
IF(_xlfn.XLOOKUP(B152,'Base stats'!B:B,'Base stats'!U:U)="No",
MAX(MROUND(_xlfn.XLOOKUP(B152,'Base stats'!B:B,'Base stats'!BQ:BQ) * _xlfn.XLOOKUP(B152,'Base stats'!B:B,'Base stats'!BM:BM)^0.9 / 21 * _xlfn.XLOOKUP(B152,'Base stats'!B:B,'Base stats'!BU:BU),0.1),0.05),
MAX(MROUND(((MIN(12,_xlfn.XLOOKUP(B152,'Base stats'!B:B,'Base stats'!U:U)))^0.4*_xlfn.XLOOKUP(B152,'Base stats'!B:B,'Base stats'!BE:BE)^0.73)^0.6 * _xlfn.XLOOKUP(B152,'Base stats'!B:B,'Base stats'!BU:BU),0.1),0.05)
))</f>
        <v>3.2</v>
      </c>
      <c r="T152" s="11">
        <f>IF(S152="No","No",
MAX(0.01,MROUND(_xlfn.XLOOKUP(B152,'Base stats'!B:B,'Base stats'!BE:BE) * 0.01 * 2, 0.01))
)</f>
        <v>0.25</v>
      </c>
      <c r="U152" s="5">
        <f>IF(S152="No","No",IF(_xlfn.XLOOKUP(B152,'Base stats'!B:B,'Base stats'!U:U)="No","No",
MAX(0.01,MROUND(_xlfn.XLOOKUP(B152,'Base stats'!B:B,'Base stats'!BQ:BQ)/10000,0.01))
))</f>
        <v>0.04</v>
      </c>
      <c r="V152" s="4">
        <f>IF(S152="No","No",
MROUND(_xlfn.XLOOKUP(B152,'Base stats'!B:B,'Base stats'!BC:BC)^0.25
/((_xlfn.XLOOKUP(B152,'Base stats'!B:B,'Base stats'!BL:BL))*10)*_xlfn.XLOOKUP(_xlfn.XLOOKUP(B152,'Base stats'!B:B,'Base stats'!E:E),Groups!A:A,Groups!AE:AE)*150 + 0.5 + _xlfn.XLOOKUP(B152,'Base stats'!B:B,'Base stats'!BT:BT),
0.05))</f>
        <v>1.1000000000000001</v>
      </c>
      <c r="W152" s="8">
        <f>MROUND(_xlfn.XLOOKUP(_xlfn.XLOOKUP(B152,'Base stats'!B:B,'Base stats'!E:E),Groups!A:A,Groups!BF:BF)*_xlfn.XLOOKUP(B152,'Base stats'!B:B,'Base stats'!C:C)^-0.165,0.01)</f>
        <v>0.96</v>
      </c>
      <c r="X152" s="1">
        <f>MROUND(_xlfn.XLOOKUP(_xlfn.XLOOKUP(B152,'Base stats'!B:B,'Base stats'!E:E),Groups!A:A,Groups!BG:BG)*_xlfn.XLOOKUP(B152,'Base stats'!B:B,'Base stats'!C:C)^0.165,0.01)</f>
        <v>0.33</v>
      </c>
      <c r="Y152" s="8">
        <f>MROUND(_xlfn.XLOOKUP(_xlfn.XLOOKUP(B152,'Base stats'!B:B,'Base stats'!E:E),Groups!A:A,Groups!BH:BH)*_xlfn.XLOOKUP(B152,'Base stats'!B:B,'Base stats'!C:C)^0.165,0.01)</f>
        <v>0.03</v>
      </c>
      <c r="Z152" s="18">
        <f>_xlfn.XLOOKUP(B152,'Base stats'!B:B,'Base stats'!AN:AN)*_xlfn.XLOOKUP(_xlfn.XLOOKUP(B152,'Base stats'!B:B,'Base stats'!E:E),Groups!A:A,Groups!H:H)/1000</f>
        <v>3.911869247315948E-2</v>
      </c>
      <c r="AA152" s="18">
        <f>(1/2)*(_xlfn.XLOOKUP(_xlfn.XLOOKUP(B152,'Base stats'!B:B,'Base stats'!E:E),Groups!A:A,Groups!H:H)*_xlfn.XLOOKUP(_xlfn.XLOOKUP(B152,'Base stats'!B:B,'Base stats'!E:E),Groups!A:A,Groups!I:I))*_xlfn.XLOOKUP(B152,'Base stats'!B:B,'Base stats'!AN:AN)*0.01</f>
        <v>0.29339019354869611</v>
      </c>
      <c r="AB152" s="18">
        <f>250*(Animals!AN152+Animals!AO152)</f>
        <v>162.50000000000003</v>
      </c>
      <c r="AC152" s="18" t="str">
        <f>_xlfn.XLOOKUP(_xlfn.XLOOKUP(B152,'Base stats'!B:B,'Base stats'!E:E),Groups!A:A,Groups!BI:BI)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stats'!BP:BP) * (_xlfn.XLOOKUP(B153,'Base stats'!B:B,'Base stats'!AL:AL)*5%)^0.9 / 21,0.1),0.05)</f>
        <v>0.30000000000000004</v>
      </c>
      <c r="E153" s="11">
        <f>MAX(0.01,MROUND(_xlfn.XLOOKUP(B153,'Base stats'!B:B,'Base stats'!BD:BD) * 0.01 * 2, 0.01))</f>
        <v>0.25</v>
      </c>
      <c r="F153" s="7">
        <f>MROUND(_xlfn.XLOOKUP(B153,'Base stats'!B:B,'Base stats'!BA:BA)^0.25 / (_xlfn.XLOOKUP(B153,'Base stats'!B:B,'Base stats'!BH:BH) * 10) * 150 + 0.5 + _xlfn.XLOOKUP(B153,'Base stats'!B:B,'Base stats'!BT:BT), 0.05)</f>
        <v>1.5</v>
      </c>
      <c r="G153" s="3" t="str">
        <f>IF(Animals!R153="No","No",
IF(_xlfn.XLOOKUP(B153,'Base stats'!B:B,'Base stats'!U:U)="No",
MAX(MROUND(_xlfn.XLOOKUP(B153,'Base stats'!B:B,'Base stats'!BQ:BQ) * _xlfn.XLOOKUP(B153,'Base stats'!B:B,'Base stats'!BM:BM)^0.9 / 21 * _xlfn.XLOOKUP(B153,'Base stats'!B:B,'Base stats'!BU:BU),0.1),0.05),
MAX(MROUND(((MIN(10,_xlfn.XLOOKUP(B153,'Base stats'!B:B,'Base stats'!U:U)))^0.4*_xlfn.XLOOKUP(B153,'Base stats'!B:B,'Base stats'!BE:BE)^0.73)^0.6 * _xlfn.XLOOKUP(B153,'Base stats'!B:B,'Base stats'!BU:BU),0.1),0.05)
))</f>
        <v>No</v>
      </c>
      <c r="H153" s="11" t="str">
        <f>IF(G153="No","No",
MAX(0.01,MROUND(_xlfn.XLOOKUP(B153,'Base stats'!B:B,'Base stats'!BE:BE) * 0.01 * 2, 0.01))
)</f>
        <v>No</v>
      </c>
      <c r="I153" s="11" t="str">
        <f>IF(G153="No","No",IF(_xlfn.XLOOKUP(B153,'Base stats'!B:B,'Base stats'!U:U)="No","No",
MAX(0.01,MROUND(_xlfn.XLOOKUP(B153,'Base stats'!B:B,'Base stats'!BQ:BQ)/10000,0.01))
))</f>
        <v>No</v>
      </c>
      <c r="J153" s="4" t="str">
        <f>IF(G153="No","No",
MROUND(_xlfn.XLOOKUP(B153,'Base stats'!B:B,'Base stats'!BB:BB)^0.25
/((_xlfn.XLOOKUP(B153,'Base stats'!B:B,'Base stats'!BI:BI))*10)*_xlfn.XLOOKUP(_xlfn.XLOOKUP(B153,'Base stats'!B:B,'Base stats'!E:E),Groups!A:A,Groups!Q:Q)*150 + 0.5 + _xlfn.XLOOKUP(B153,'Base stats'!B:B,'Base stats'!BT:BT),
0.05))</f>
        <v>No</v>
      </c>
      <c r="K153" s="3" t="str">
        <f>IF(Animals!W153="No","No",
IF(_xlfn.XLOOKUP(_xlfn.XLOOKUP(B153,'Base stats'!B:B,'Base stats'!E:E),Groups!A:A,Groups!BC:BC)=1,
MAX(MROUND(_xlfn.XLOOKUP(B153,'Base stats'!B:B,'Base stats'!BR:BR) * _xlfn.XLOOKUP(B153,'Base stats'!B:B,'Base stats'!BN:BN)^0.9 / 21 *_xlfn.XLOOKUP(B153,'Base stats'!B:B,'Base stats'!BU:BU),0.1),0.05),
MAX(MROUND(((MIN(10,_xlfn.XLOOKUP(B153,'Base stats'!B:B,'Base stats'!W:W)))^0.4*_xlfn.XLOOKUP(B153,'Base stats'!B:B,'Base stats'!BF:BF)^0.73)^0.6 *_xlfn.XLOOKUP(B153,'Base stats'!B:B,'Base stats'!BU:BU),0.1),0.05)
))</f>
        <v>No</v>
      </c>
      <c r="L153" s="11" t="str">
        <f>IF(K153="No","No",
MAX(0.01,MROUND(_xlfn.XLOOKUP(B153,'Base stats'!B:B,'Base stats'!BF:BF) * 0.01 *2, 0.01))
)</f>
        <v>No</v>
      </c>
      <c r="M153" s="5" t="str">
        <f>IF(K153="No","No",IF(_xlfn.XLOOKUP(_xlfn.XLOOKUP(B153,'Base stats'!B:B,'Base stats'!E:E),Groups!A:A,Groups!BC:BC)=1,"No",
MAX(0.01,MROUND(_xlfn.XLOOKUP(B153,'Base stats'!B:B,'Base stats'!BR:BR)/10000,0.01))
))</f>
        <v>No</v>
      </c>
      <c r="N153" s="4" t="str">
        <f>IF(K153="No","No",
MROUND(
  _xlfn.XLOOKUP(B153,'Base stats'!B:B,'Base stats'!AZ:AZ)^0.25
  / (_xlfn.XLOOKUP(B153,'Base stats'!B:B,'Base stats'!BJ:BJ)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stats'!BT:BT),
0.05))</f>
        <v>No</v>
      </c>
      <c r="O153" s="3">
        <f>IF(Animals!AC153="No","No",
MAX(MROUND((MIN(10,_xlfn.XLOOKUP(B153,'Base stats'!B:B,'Base stats'!V:V)*IF(_xlfn.XLOOKUP(_xlfn.XLOOKUP(B153,'Base stats'!B:B,'Base stats'!E:E),Groups!A:A,Groups!O:O)=0,1,0.33))^0.4*_xlfn.XLOOKUP(B153,'Base stats'!B:B,'Base stats'!BG:BG)^0.73)^0.6 *_xlfn.XLOOKUP(B153,'Base stats'!B:B,'Base stats'!BU:BU),0.1),0.05)
)</f>
        <v>5</v>
      </c>
      <c r="P153" s="11">
        <f>IF(O153="No","No",
MAX(0.01,MROUND(_xlfn.XLOOKUP(B153,'Base stats'!B:B,'Base stats'!BG:BG) * 0.01 * 2, 0.01))
)</f>
        <v>0.64</v>
      </c>
      <c r="Q153" s="5">
        <f>IF(O153="No","No",
MAX(0.01,MROUND(_xlfn.XLOOKUP(B153,'Base stats'!B:B,'Base stats'!BS:BS)/10000,0.01))
)</f>
        <v>0.1</v>
      </c>
      <c r="R153" s="4">
        <f>IF(O153="No","No",
MROUND(_xlfn.XLOOKUP(B153,'Base stats'!B:B,'Base stats'!AY:AY)^0.25
/((_xlfn.XLOOKUP(B153,'Base stats'!B:B,'Base stats'!BK:BK))*10)*_xlfn.XLOOKUP(_xlfn.XLOOKUP(B153,'Base stats'!B:B,'Base stats'!E:E),Groups!A:A,Groups!Z:Z)*150 + 0.5 + _xlfn.XLOOKUP(B153,'Base stats'!B:B,'Base stats'!BT:BT),
0.05))</f>
        <v>1.75</v>
      </c>
      <c r="S153" s="3">
        <f>IF(Animals!AH153="No","No",
IF(_xlfn.XLOOKUP(B153,'Base stats'!B:B,'Base stats'!U:U)="No",
MAX(MROUND(_xlfn.XLOOKUP(B153,'Base stats'!B:B,'Base stats'!BQ:BQ) * _xlfn.XLOOKUP(B153,'Base stats'!B:B,'Base stats'!BM:BM)^0.9 / 21 * _xlfn.XLOOKUP(B153,'Base stats'!B:B,'Base stats'!BU:BU),0.1),0.05),
MAX(MROUND(((MIN(12,_xlfn.XLOOKUP(B153,'Base stats'!B:B,'Base stats'!U:U)))^0.4*_xlfn.XLOOKUP(B153,'Base stats'!B:B,'Base stats'!BE:BE)^0.73)^0.6 * _xlfn.XLOOKUP(B153,'Base stats'!B:B,'Base stats'!BU:BU),0.1),0.05)
))</f>
        <v>3.9000000000000004</v>
      </c>
      <c r="T153" s="11">
        <f>IF(S153="No","No",
MAX(0.01,MROUND(_xlfn.XLOOKUP(B153,'Base stats'!B:B,'Base stats'!BE:BE) * 0.01 * 2, 0.01))
)</f>
        <v>0.36</v>
      </c>
      <c r="U153" s="5">
        <f>IF(S153="No","No",IF(_xlfn.XLOOKUP(B153,'Base stats'!B:B,'Base stats'!U:U)="No","No",
MAX(0.01,MROUND(_xlfn.XLOOKUP(B153,'Base stats'!B:B,'Base stats'!BQ:BQ)/10000,0.01))
))</f>
        <v>0.05</v>
      </c>
      <c r="V153" s="4">
        <f>IF(S153="No","No",
MROUND(_xlfn.XLOOKUP(B153,'Base stats'!B:B,'Base stats'!BC:BC)^0.25
/((_xlfn.XLOOKUP(B153,'Base stats'!B:B,'Base stats'!BL:BL))*10)*_xlfn.XLOOKUP(_xlfn.XLOOKUP(B153,'Base stats'!B:B,'Base stats'!E:E),Groups!A:A,Groups!AE:AE)*150 + 0.5 + _xlfn.XLOOKUP(B153,'Base stats'!B:B,'Base stats'!BT:BT),
0.05))</f>
        <v>1.1500000000000001</v>
      </c>
      <c r="W153" s="8">
        <f>MROUND(_xlfn.XLOOKUP(_xlfn.XLOOKUP(B153,'Base stats'!B:B,'Base stats'!E:E),Groups!A:A,Groups!BF:BF)*_xlfn.XLOOKUP(B153,'Base stats'!B:B,'Base stats'!C:C)^-0.165,0.01)</f>
        <v>0.89</v>
      </c>
      <c r="X153" s="1">
        <f>MROUND(_xlfn.XLOOKUP(_xlfn.XLOOKUP(B153,'Base stats'!B:B,'Base stats'!E:E),Groups!A:A,Groups!BG:BG)*_xlfn.XLOOKUP(B153,'Base stats'!B:B,'Base stats'!C:C)^0.165,0.01)</f>
        <v>0.35000000000000003</v>
      </c>
      <c r="Y153" s="8">
        <f>MROUND(_xlfn.XLOOKUP(_xlfn.XLOOKUP(B153,'Base stats'!B:B,'Base stats'!E:E),Groups!A:A,Groups!BH:BH)*_xlfn.XLOOKUP(B153,'Base stats'!B:B,'Base stats'!C:C)^0.165,0.01)</f>
        <v>0.03</v>
      </c>
      <c r="Z153" s="18">
        <f>_xlfn.XLOOKUP(B153,'Base stats'!B:B,'Base stats'!AN:AN)*_xlfn.XLOOKUP(_xlfn.XLOOKUP(B153,'Base stats'!B:B,'Base stats'!E:E),Groups!A:A,Groups!H:H)/1000</f>
        <v>4.5292843429537849E-2</v>
      </c>
      <c r="AA153" s="18">
        <f>(1/2)*(_xlfn.XLOOKUP(_xlfn.XLOOKUP(B153,'Base stats'!B:B,'Base stats'!E:E),Groups!A:A,Groups!H:H)*_xlfn.XLOOKUP(_xlfn.XLOOKUP(B153,'Base stats'!B:B,'Base stats'!E:E),Groups!A:A,Groups!I:I))*_xlfn.XLOOKUP(B153,'Base stats'!B:B,'Base stats'!AN:AN)*0.01</f>
        <v>0.33969632572153385</v>
      </c>
      <c r="AB153" s="18">
        <f>250*(Animals!AN153+Animals!AO153)</f>
        <v>187.5</v>
      </c>
      <c r="AC153" s="18" t="str">
        <f>_xlfn.XLOOKUP(_xlfn.XLOOKUP(B153,'Base stats'!B:B,'Base stats'!E:E),Groups!A:A,Groups!BI:BI)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stats'!BP:BP) * (_xlfn.XLOOKUP(B154,'Base stats'!B:B,'Base stats'!AL:AL)*5%)^0.9 / 21,0.1),0.05)</f>
        <v>0.2</v>
      </c>
      <c r="E154" s="11">
        <f>MAX(0.01,MROUND(_xlfn.XLOOKUP(B154,'Base stats'!B:B,'Base stats'!BD:BD) * 0.01 * 2, 0.01))</f>
        <v>0.12</v>
      </c>
      <c r="F154" s="7">
        <f>MROUND(_xlfn.XLOOKUP(B154,'Base stats'!B:B,'Base stats'!BA:BA)^0.25 / (_xlfn.XLOOKUP(B154,'Base stats'!B:B,'Base stats'!BH:BH) * 10) * 150 + 0.5 + _xlfn.XLOOKUP(B154,'Base stats'!B:B,'Base stats'!BT:BT), 0.05)</f>
        <v>1.35</v>
      </c>
      <c r="G154" s="3" t="str">
        <f>IF(Animals!R154="No","No",
IF(_xlfn.XLOOKUP(B154,'Base stats'!B:B,'Base stats'!U:U)="No",
MAX(MROUND(_xlfn.XLOOKUP(B154,'Base stats'!B:B,'Base stats'!BQ:BQ) * _xlfn.XLOOKUP(B154,'Base stats'!B:B,'Base stats'!BM:BM)^0.9 / 21 * _xlfn.XLOOKUP(B154,'Base stats'!B:B,'Base stats'!BU:BU),0.1),0.05),
MAX(MROUND(((MIN(10,_xlfn.XLOOKUP(B154,'Base stats'!B:B,'Base stats'!U:U)))^0.4*_xlfn.XLOOKUP(B154,'Base stats'!B:B,'Base stats'!BE:BE)^0.73)^0.6 * _xlfn.XLOOKUP(B154,'Base stats'!B:B,'Base stats'!BU:BU),0.1),0.05)
))</f>
        <v>No</v>
      </c>
      <c r="H154" s="11" t="str">
        <f>IF(G154="No","No",
MAX(0.01,MROUND(_xlfn.XLOOKUP(B154,'Base stats'!B:B,'Base stats'!BE:BE) * 0.01 * 2, 0.01))
)</f>
        <v>No</v>
      </c>
      <c r="I154" s="11" t="str">
        <f>IF(G154="No","No",IF(_xlfn.XLOOKUP(B154,'Base stats'!B:B,'Base stats'!U:U)="No","No",
MAX(0.01,MROUND(_xlfn.XLOOKUP(B154,'Base stats'!B:B,'Base stats'!BQ:BQ)/10000,0.01))
))</f>
        <v>No</v>
      </c>
      <c r="J154" s="4" t="str">
        <f>IF(G154="No","No",
MROUND(_xlfn.XLOOKUP(B154,'Base stats'!B:B,'Base stats'!BB:BB)^0.25
/((_xlfn.XLOOKUP(B154,'Base stats'!B:B,'Base stats'!BI:BI))*10)*_xlfn.XLOOKUP(_xlfn.XLOOKUP(B154,'Base stats'!B:B,'Base stats'!E:E),Groups!A:A,Groups!Q:Q)*150 + 0.5 + _xlfn.XLOOKUP(B154,'Base stats'!B:B,'Base stats'!BT:BT),
0.05))</f>
        <v>No</v>
      </c>
      <c r="K154" s="3" t="str">
        <f>IF(Animals!W154="No","No",
IF(_xlfn.XLOOKUP(_xlfn.XLOOKUP(B154,'Base stats'!B:B,'Base stats'!E:E),Groups!A:A,Groups!BC:BC)=1,
MAX(MROUND(_xlfn.XLOOKUP(B154,'Base stats'!B:B,'Base stats'!BR:BR) * _xlfn.XLOOKUP(B154,'Base stats'!B:B,'Base stats'!BN:BN)^0.9 / 21 *_xlfn.XLOOKUP(B154,'Base stats'!B:B,'Base stats'!BU:BU),0.1),0.05),
MAX(MROUND(((MIN(10,_xlfn.XLOOKUP(B154,'Base stats'!B:B,'Base stats'!W:W)))^0.4*_xlfn.XLOOKUP(B154,'Base stats'!B:B,'Base stats'!BF:BF)^0.73)^0.6 *_xlfn.XLOOKUP(B154,'Base stats'!B:B,'Base stats'!BU:BU),0.1),0.05)
))</f>
        <v>No</v>
      </c>
      <c r="L154" s="11" t="str">
        <f>IF(K154="No","No",
MAX(0.01,MROUND(_xlfn.XLOOKUP(B154,'Base stats'!B:B,'Base stats'!BF:BF) * 0.01 *2, 0.01))
)</f>
        <v>No</v>
      </c>
      <c r="M154" s="5" t="str">
        <f>IF(K154="No","No",IF(_xlfn.XLOOKUP(_xlfn.XLOOKUP(B154,'Base stats'!B:B,'Base stats'!E:E),Groups!A:A,Groups!BC:BC)=1,"No",
MAX(0.01,MROUND(_xlfn.XLOOKUP(B154,'Base stats'!B:B,'Base stats'!BR:BR)/10000,0.01))
))</f>
        <v>No</v>
      </c>
      <c r="N154" s="4" t="str">
        <f>IF(K154="No","No",
MROUND(
  _xlfn.XLOOKUP(B154,'Base stats'!B:B,'Base stats'!AZ:AZ)^0.25
  / (_xlfn.XLOOKUP(B154,'Base stats'!B:B,'Base stats'!BJ:BJ)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stats'!BT:BT),
0.05))</f>
        <v>No</v>
      </c>
      <c r="O154" s="3">
        <f>IF(Animals!AC154="No","No",
MAX(MROUND((MIN(10,_xlfn.XLOOKUP(B154,'Base stats'!B:B,'Base stats'!V:V)*IF(_xlfn.XLOOKUP(_xlfn.XLOOKUP(B154,'Base stats'!B:B,'Base stats'!E:E),Groups!A:A,Groups!O:O)=0,1,0.33))^0.4*_xlfn.XLOOKUP(B154,'Base stats'!B:B,'Base stats'!BG:BG)^0.73)^0.6 *_xlfn.XLOOKUP(B154,'Base stats'!B:B,'Base stats'!BU:BU),0.1),0.05)
)</f>
        <v>3.5</v>
      </c>
      <c r="P154" s="11">
        <f>IF(O154="No","No",
MAX(0.01,MROUND(_xlfn.XLOOKUP(B154,'Base stats'!B:B,'Base stats'!BG:BG) * 0.01 * 2, 0.01))
)</f>
        <v>0.33</v>
      </c>
      <c r="Q154" s="5">
        <f>IF(O154="No","No",
MAX(0.01,MROUND(_xlfn.XLOOKUP(B154,'Base stats'!B:B,'Base stats'!BS:BS)/10000,0.01))
)</f>
        <v>7.0000000000000007E-2</v>
      </c>
      <c r="R154" s="4">
        <f>IF(O154="No","No",
MROUND(_xlfn.XLOOKUP(B154,'Base stats'!B:B,'Base stats'!AY:AY)^0.25
/((_xlfn.XLOOKUP(B154,'Base stats'!B:B,'Base stats'!BK:BK))*10)*_xlfn.XLOOKUP(_xlfn.XLOOKUP(B154,'Base stats'!B:B,'Base stats'!E:E),Groups!A:A,Groups!Z:Z)*150 + 0.5 + _xlfn.XLOOKUP(B154,'Base stats'!B:B,'Base stats'!BT:BT),
0.05))</f>
        <v>1.6</v>
      </c>
      <c r="S154" s="3">
        <f>IF(Animals!AH154="No","No",
IF(_xlfn.XLOOKUP(B154,'Base stats'!B:B,'Base stats'!U:U)="No",
MAX(MROUND(_xlfn.XLOOKUP(B154,'Base stats'!B:B,'Base stats'!BQ:BQ) * _xlfn.XLOOKUP(B154,'Base stats'!B:B,'Base stats'!BM:BM)^0.9 / 21 * _xlfn.XLOOKUP(B154,'Base stats'!B:B,'Base stats'!BU:BU),0.1),0.05),
MAX(MROUND(((MIN(12,_xlfn.XLOOKUP(B154,'Base stats'!B:B,'Base stats'!U:U)))^0.4*_xlfn.XLOOKUP(B154,'Base stats'!B:B,'Base stats'!BE:BE)^0.73)^0.6 * _xlfn.XLOOKUP(B154,'Base stats'!B:B,'Base stats'!BU:BU),0.1),0.05)
))</f>
        <v>2.7</v>
      </c>
      <c r="T154" s="11">
        <f>IF(S154="No","No",
MAX(0.01,MROUND(_xlfn.XLOOKUP(B154,'Base stats'!B:B,'Base stats'!BE:BE) * 0.01 * 2, 0.01))
)</f>
        <v>0.18</v>
      </c>
      <c r="U154" s="5">
        <f>IF(S154="No","No",IF(_xlfn.XLOOKUP(B154,'Base stats'!B:B,'Base stats'!U:U)="No","No",
MAX(0.01,MROUND(_xlfn.XLOOKUP(B154,'Base stats'!B:B,'Base stats'!BQ:BQ)/10000,0.01))
))</f>
        <v>0.04</v>
      </c>
      <c r="V154" s="4">
        <f>IF(S154="No","No",
MROUND(_xlfn.XLOOKUP(B154,'Base stats'!B:B,'Base stats'!BC:BC)^0.25
/((_xlfn.XLOOKUP(B154,'Base stats'!B:B,'Base stats'!BL:BL))*10)*_xlfn.XLOOKUP(_xlfn.XLOOKUP(B154,'Base stats'!B:B,'Base stats'!E:E),Groups!A:A,Groups!AE:AE)*150 + 0.5 + _xlfn.XLOOKUP(B154,'Base stats'!B:B,'Base stats'!BT:BT),
0.05))</f>
        <v>1.1000000000000001</v>
      </c>
      <c r="W154" s="8">
        <f>MROUND(_xlfn.XLOOKUP(_xlfn.XLOOKUP(B154,'Base stats'!B:B,'Base stats'!E:E),Groups!A:A,Groups!BF:BF)*_xlfn.XLOOKUP(B154,'Base stats'!B:B,'Base stats'!C:C)^-0.165,0.01)</f>
        <v>1.02</v>
      </c>
      <c r="X154" s="1">
        <f>MROUND(_xlfn.XLOOKUP(_xlfn.XLOOKUP(B154,'Base stats'!B:B,'Base stats'!E:E),Groups!A:A,Groups!BG:BG)*_xlfn.XLOOKUP(B154,'Base stats'!B:B,'Base stats'!C:C)^0.165,0.01)</f>
        <v>0.31</v>
      </c>
      <c r="Y154" s="8">
        <f>MROUND(_xlfn.XLOOKUP(_xlfn.XLOOKUP(B154,'Base stats'!B:B,'Base stats'!E:E),Groups!A:A,Groups!BH:BH)*_xlfn.XLOOKUP(B154,'Base stats'!B:B,'Base stats'!C:C)^0.165,0.01)</f>
        <v>0.03</v>
      </c>
      <c r="Z154" s="18">
        <f>_xlfn.XLOOKUP(B154,'Base stats'!B:B,'Base stats'!AN:AN)*_xlfn.XLOOKUP(_xlfn.XLOOKUP(B154,'Base stats'!B:B,'Base stats'!E:E),Groups!A:A,Groups!H:H)/1000</f>
        <v>3.4179243780946736E-2</v>
      </c>
      <c r="AA154" s="18">
        <f>(1/2)*(_xlfn.XLOOKUP(_xlfn.XLOOKUP(B154,'Base stats'!B:B,'Base stats'!E:E),Groups!A:A,Groups!H:H)*_xlfn.XLOOKUP(_xlfn.XLOOKUP(B154,'Base stats'!B:B,'Base stats'!E:E),Groups!A:A,Groups!I:I))*_xlfn.XLOOKUP(B154,'Base stats'!B:B,'Base stats'!AN:AN)*0.01</f>
        <v>0.25634432835710053</v>
      </c>
      <c r="AB154" s="18">
        <f>250*(Animals!AN154+Animals!AO154)</f>
        <v>137.5</v>
      </c>
      <c r="AC154" s="18" t="str">
        <f>_xlfn.XLOOKUP(_xlfn.XLOOKUP(B154,'Base stats'!B:B,'Base stats'!E:E),Groups!A:A,Groups!BI:BI)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stats'!BP:BP) * (_xlfn.XLOOKUP(B155,'Base stats'!B:B,'Base stats'!AL:AL)*5%)^0.9 / 21,0.1),0.05)</f>
        <v>0.30000000000000004</v>
      </c>
      <c r="E155" s="11">
        <f>MAX(0.01,MROUND(_xlfn.XLOOKUP(B155,'Base stats'!B:B,'Base stats'!BD:BD) * 0.01 * 2, 0.01))</f>
        <v>0.21</v>
      </c>
      <c r="F155" s="7">
        <f>MROUND(_xlfn.XLOOKUP(B155,'Base stats'!B:B,'Base stats'!BA:BA)^0.25 / (_xlfn.XLOOKUP(B155,'Base stats'!B:B,'Base stats'!BH:BH) * 10) * 150 + 0.5 + _xlfn.XLOOKUP(B155,'Base stats'!B:B,'Base stats'!BT:BT), 0.05)</f>
        <v>1.5</v>
      </c>
      <c r="G155" s="3" t="str">
        <f>IF(Animals!R155="No","No",
IF(_xlfn.XLOOKUP(B155,'Base stats'!B:B,'Base stats'!U:U)="No",
MAX(MROUND(_xlfn.XLOOKUP(B155,'Base stats'!B:B,'Base stats'!BQ:BQ) * _xlfn.XLOOKUP(B155,'Base stats'!B:B,'Base stats'!BM:BM)^0.9 / 21 * _xlfn.XLOOKUP(B155,'Base stats'!B:B,'Base stats'!BU:BU),0.1),0.05),
MAX(MROUND(((MIN(10,_xlfn.XLOOKUP(B155,'Base stats'!B:B,'Base stats'!U:U)))^0.4*_xlfn.XLOOKUP(B155,'Base stats'!B:B,'Base stats'!BE:BE)^0.73)^0.6 * _xlfn.XLOOKUP(B155,'Base stats'!B:B,'Base stats'!BU:BU),0.1),0.05)
))</f>
        <v>No</v>
      </c>
      <c r="H155" s="11" t="str">
        <f>IF(G155="No","No",
MAX(0.01,MROUND(_xlfn.XLOOKUP(B155,'Base stats'!B:B,'Base stats'!BE:BE) * 0.01 * 2, 0.01))
)</f>
        <v>No</v>
      </c>
      <c r="I155" s="11" t="str">
        <f>IF(G155="No","No",IF(_xlfn.XLOOKUP(B155,'Base stats'!B:B,'Base stats'!U:U)="No","No",
MAX(0.01,MROUND(_xlfn.XLOOKUP(B155,'Base stats'!B:B,'Base stats'!BQ:BQ)/10000,0.01))
))</f>
        <v>No</v>
      </c>
      <c r="J155" s="4" t="str">
        <f>IF(G155="No","No",
MROUND(_xlfn.XLOOKUP(B155,'Base stats'!B:B,'Base stats'!BB:BB)^0.25
/((_xlfn.XLOOKUP(B155,'Base stats'!B:B,'Base stats'!BI:BI))*10)*_xlfn.XLOOKUP(_xlfn.XLOOKUP(B155,'Base stats'!B:B,'Base stats'!E:E),Groups!A:A,Groups!Q:Q)*150 + 0.5 + _xlfn.XLOOKUP(B155,'Base stats'!B:B,'Base stats'!BT:BT),
0.05))</f>
        <v>No</v>
      </c>
      <c r="K155" s="3" t="str">
        <f>IF(Animals!W155="No","No",
IF(_xlfn.XLOOKUP(_xlfn.XLOOKUP(B155,'Base stats'!B:B,'Base stats'!E:E),Groups!A:A,Groups!BC:BC)=1,
MAX(MROUND(_xlfn.XLOOKUP(B155,'Base stats'!B:B,'Base stats'!BR:BR) * _xlfn.XLOOKUP(B155,'Base stats'!B:B,'Base stats'!BN:BN)^0.9 / 21 *_xlfn.XLOOKUP(B155,'Base stats'!B:B,'Base stats'!BU:BU),0.1),0.05),
MAX(MROUND(((MIN(10,_xlfn.XLOOKUP(B155,'Base stats'!B:B,'Base stats'!W:W)))^0.4*_xlfn.XLOOKUP(B155,'Base stats'!B:B,'Base stats'!BF:BF)^0.73)^0.6 *_xlfn.XLOOKUP(B155,'Base stats'!B:B,'Base stats'!BU:BU),0.1),0.05)
))</f>
        <v>No</v>
      </c>
      <c r="L155" s="11" t="str">
        <f>IF(K155="No","No",
MAX(0.01,MROUND(_xlfn.XLOOKUP(B155,'Base stats'!B:B,'Base stats'!BF:BF) * 0.01 *2, 0.01))
)</f>
        <v>No</v>
      </c>
      <c r="M155" s="5" t="str">
        <f>IF(K155="No","No",IF(_xlfn.XLOOKUP(_xlfn.XLOOKUP(B155,'Base stats'!B:B,'Base stats'!E:E),Groups!A:A,Groups!BC:BC)=1,"No",
MAX(0.01,MROUND(_xlfn.XLOOKUP(B155,'Base stats'!B:B,'Base stats'!BR:BR)/10000,0.01))
))</f>
        <v>No</v>
      </c>
      <c r="N155" s="4" t="str">
        <f>IF(K155="No","No",
MROUND(
  _xlfn.XLOOKUP(B155,'Base stats'!B:B,'Base stats'!AZ:AZ)^0.25
  / (_xlfn.XLOOKUP(B155,'Base stats'!B:B,'Base stats'!BJ:BJ)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stats'!BT:BT),
0.05))</f>
        <v>No</v>
      </c>
      <c r="O155" s="3">
        <f>IF(Animals!AC155="No","No",
MAX(MROUND((MIN(10,_xlfn.XLOOKUP(B155,'Base stats'!B:B,'Base stats'!V:V)*IF(_xlfn.XLOOKUP(_xlfn.XLOOKUP(B155,'Base stats'!B:B,'Base stats'!E:E),Groups!A:A,Groups!O:O)=0,1,0.33))^0.4*_xlfn.XLOOKUP(B155,'Base stats'!B:B,'Base stats'!BG:BG)^0.73)^0.6 *_xlfn.XLOOKUP(B155,'Base stats'!B:B,'Base stats'!BU:BU),0.1),0.05)
)</f>
        <v>4.6000000000000005</v>
      </c>
      <c r="P155" s="11">
        <f>IF(O155="No","No",
MAX(0.01,MROUND(_xlfn.XLOOKUP(B155,'Base stats'!B:B,'Base stats'!BG:BG) * 0.01 * 2, 0.01))
)</f>
        <v>0.55000000000000004</v>
      </c>
      <c r="Q155" s="5">
        <f>IF(O155="No","No",
MAX(0.01,MROUND(_xlfn.XLOOKUP(B155,'Base stats'!B:B,'Base stats'!BS:BS)/10000,0.01))
)</f>
        <v>0.09</v>
      </c>
      <c r="R155" s="4">
        <f>IF(O155="No","No",
MROUND(_xlfn.XLOOKUP(B155,'Base stats'!B:B,'Base stats'!AY:AY)^0.25
/((_xlfn.XLOOKUP(B155,'Base stats'!B:B,'Base stats'!BK:BK))*10)*_xlfn.XLOOKUP(_xlfn.XLOOKUP(B155,'Base stats'!B:B,'Base stats'!E:E),Groups!A:A,Groups!Z:Z)*150 + 0.5 + _xlfn.XLOOKUP(B155,'Base stats'!B:B,'Base stats'!BT:BT),
0.05))</f>
        <v>1.7000000000000002</v>
      </c>
      <c r="S155" s="3">
        <f>IF(Animals!AH155="No","No",
IF(_xlfn.XLOOKUP(B155,'Base stats'!B:B,'Base stats'!U:U)="No",
MAX(MROUND(_xlfn.XLOOKUP(B155,'Base stats'!B:B,'Base stats'!BQ:BQ) * _xlfn.XLOOKUP(B155,'Base stats'!B:B,'Base stats'!BM:BM)^0.9 / 21 * _xlfn.XLOOKUP(B155,'Base stats'!B:B,'Base stats'!BU:BU),0.1),0.05),
MAX(MROUND(((MIN(12,_xlfn.XLOOKUP(B155,'Base stats'!B:B,'Base stats'!U:U)))^0.4*_xlfn.XLOOKUP(B155,'Base stats'!B:B,'Base stats'!BE:BE)^0.73)^0.6 * _xlfn.XLOOKUP(B155,'Base stats'!B:B,'Base stats'!BU:BU),0.1),0.05)
))</f>
        <v>3.6</v>
      </c>
      <c r="T155" s="11">
        <f>IF(S155="No","No",
MAX(0.01,MROUND(_xlfn.XLOOKUP(B155,'Base stats'!B:B,'Base stats'!BE:BE) * 0.01 * 2, 0.01))
)</f>
        <v>0.31</v>
      </c>
      <c r="U155" s="5">
        <f>IF(S155="No","No",IF(_xlfn.XLOOKUP(B155,'Base stats'!B:B,'Base stats'!U:U)="No","No",
MAX(0.01,MROUND(_xlfn.XLOOKUP(B155,'Base stats'!B:B,'Base stats'!BQ:BQ)/10000,0.01))
))</f>
        <v>0.05</v>
      </c>
      <c r="V155" s="4">
        <f>IF(S155="No","No",
MROUND(_xlfn.XLOOKUP(B155,'Base stats'!B:B,'Base stats'!BC:BC)^0.25
/((_xlfn.XLOOKUP(B155,'Base stats'!B:B,'Base stats'!BL:BL))*10)*_xlfn.XLOOKUP(_xlfn.XLOOKUP(B155,'Base stats'!B:B,'Base stats'!E:E),Groups!A:A,Groups!AE:AE)*150 + 0.5 + _xlfn.XLOOKUP(B155,'Base stats'!B:B,'Base stats'!BT:BT),
0.05))</f>
        <v>1.1000000000000001</v>
      </c>
      <c r="W155" s="8">
        <f>MROUND(_xlfn.XLOOKUP(_xlfn.XLOOKUP(B155,'Base stats'!B:B,'Base stats'!E:E),Groups!A:A,Groups!BF:BF)*_xlfn.XLOOKUP(B155,'Base stats'!B:B,'Base stats'!C:C)^-0.165,0.01)</f>
        <v>0.92</v>
      </c>
      <c r="X155" s="1">
        <f>MROUND(_xlfn.XLOOKUP(_xlfn.XLOOKUP(B155,'Base stats'!B:B,'Base stats'!E:E),Groups!A:A,Groups!BG:BG)*_xlfn.XLOOKUP(B155,'Base stats'!B:B,'Base stats'!C:C)^0.165,0.01)</f>
        <v>0.34</v>
      </c>
      <c r="Y155" s="8">
        <f>MROUND(_xlfn.XLOOKUP(_xlfn.XLOOKUP(B155,'Base stats'!B:B,'Base stats'!E:E),Groups!A:A,Groups!BH:BH)*_xlfn.XLOOKUP(B155,'Base stats'!B:B,'Base stats'!C:C)^0.165,0.01)</f>
        <v>0.03</v>
      </c>
      <c r="Z155" s="18">
        <f>_xlfn.XLOOKUP(B155,'Base stats'!B:B,'Base stats'!AN:AN)*_xlfn.XLOOKUP(_xlfn.XLOOKUP(B155,'Base stats'!B:B,'Base stats'!E:E),Groups!A:A,Groups!H:H)/1000</f>
        <v>4.2355482580417665E-2</v>
      </c>
      <c r="AA155" s="18">
        <f>(1/2)*(_xlfn.XLOOKUP(_xlfn.XLOOKUP(B155,'Base stats'!B:B,'Base stats'!E:E),Groups!A:A,Groups!H:H)*_xlfn.XLOOKUP(_xlfn.XLOOKUP(B155,'Base stats'!B:B,'Base stats'!E:E),Groups!A:A,Groups!I:I))*_xlfn.XLOOKUP(B155,'Base stats'!B:B,'Base stats'!AN:AN)*0.01</f>
        <v>0.31766611935313249</v>
      </c>
      <c r="AB155" s="18">
        <f>250*(Animals!AN155+Animals!AO155)</f>
        <v>187.5</v>
      </c>
      <c r="AC155" s="18" t="str">
        <f>_xlfn.XLOOKUP(_xlfn.XLOOKUP(B155,'Base stats'!B:B,'Base stats'!E:E),Groups!A:A,Groups!BI:BI)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stats'!BP:BP) * (_xlfn.XLOOKUP(B156,'Base stats'!B:B,'Base stats'!AL:AL)*5%)^0.9 / 21,0.1),0.05)</f>
        <v>0.2</v>
      </c>
      <c r="E156" s="11">
        <f>MAX(0.01,MROUND(_xlfn.XLOOKUP(B156,'Base stats'!B:B,'Base stats'!BD:BD) * 0.01 * 2, 0.01))</f>
        <v>0.12</v>
      </c>
      <c r="F156" s="7">
        <f>MROUND(_xlfn.XLOOKUP(B156,'Base stats'!B:B,'Base stats'!BA:BA)^0.25 / (_xlfn.XLOOKUP(B156,'Base stats'!B:B,'Base stats'!BH:BH) * 10) * 150 + 0.5 + _xlfn.XLOOKUP(B156,'Base stats'!B:B,'Base stats'!BT:BT), 0.05)</f>
        <v>1.35</v>
      </c>
      <c r="G156" s="3" t="str">
        <f>IF(Animals!R156="No","No",
IF(_xlfn.XLOOKUP(B156,'Base stats'!B:B,'Base stats'!U:U)="No",
MAX(MROUND(_xlfn.XLOOKUP(B156,'Base stats'!B:B,'Base stats'!BQ:BQ) * _xlfn.XLOOKUP(B156,'Base stats'!B:B,'Base stats'!BM:BM)^0.9 / 21 * _xlfn.XLOOKUP(B156,'Base stats'!B:B,'Base stats'!BU:BU),0.1),0.05),
MAX(MROUND(((MIN(10,_xlfn.XLOOKUP(B156,'Base stats'!B:B,'Base stats'!U:U)))^0.4*_xlfn.XLOOKUP(B156,'Base stats'!B:B,'Base stats'!BE:BE)^0.73)^0.6 * _xlfn.XLOOKUP(B156,'Base stats'!B:B,'Base stats'!BU:BU),0.1),0.05)
))</f>
        <v>No</v>
      </c>
      <c r="H156" s="11" t="str">
        <f>IF(G156="No","No",
MAX(0.01,MROUND(_xlfn.XLOOKUP(B156,'Base stats'!B:B,'Base stats'!BE:BE) * 0.01 * 2, 0.01))
)</f>
        <v>No</v>
      </c>
      <c r="I156" s="11" t="str">
        <f>IF(G156="No","No",IF(_xlfn.XLOOKUP(B156,'Base stats'!B:B,'Base stats'!U:U)="No","No",
MAX(0.01,MROUND(_xlfn.XLOOKUP(B156,'Base stats'!B:B,'Base stats'!BQ:BQ)/10000,0.01))
))</f>
        <v>No</v>
      </c>
      <c r="J156" s="4" t="str">
        <f>IF(G156="No","No",
MROUND(_xlfn.XLOOKUP(B156,'Base stats'!B:B,'Base stats'!BB:BB)^0.25
/((_xlfn.XLOOKUP(B156,'Base stats'!B:B,'Base stats'!BI:BI))*10)*_xlfn.XLOOKUP(_xlfn.XLOOKUP(B156,'Base stats'!B:B,'Base stats'!E:E),Groups!A:A,Groups!Q:Q)*150 + 0.5 + _xlfn.XLOOKUP(B156,'Base stats'!B:B,'Base stats'!BT:BT),
0.05))</f>
        <v>No</v>
      </c>
      <c r="K156" s="3" t="str">
        <f>IF(Animals!W156="No","No",
IF(_xlfn.XLOOKUP(_xlfn.XLOOKUP(B156,'Base stats'!B:B,'Base stats'!E:E),Groups!A:A,Groups!BC:BC)=1,
MAX(MROUND(_xlfn.XLOOKUP(B156,'Base stats'!B:B,'Base stats'!BR:BR) * _xlfn.XLOOKUP(B156,'Base stats'!B:B,'Base stats'!BN:BN)^0.9 / 21 *_xlfn.XLOOKUP(B156,'Base stats'!B:B,'Base stats'!BU:BU),0.1),0.05),
MAX(MROUND(((MIN(10,_xlfn.XLOOKUP(B156,'Base stats'!B:B,'Base stats'!W:W)))^0.4*_xlfn.XLOOKUP(B156,'Base stats'!B:B,'Base stats'!BF:BF)^0.73)^0.6 *_xlfn.XLOOKUP(B156,'Base stats'!B:B,'Base stats'!BU:BU),0.1),0.05)
))</f>
        <v>No</v>
      </c>
      <c r="L156" s="11" t="str">
        <f>IF(K156="No","No",
MAX(0.01,MROUND(_xlfn.XLOOKUP(B156,'Base stats'!B:B,'Base stats'!BF:BF) * 0.01 *2, 0.01))
)</f>
        <v>No</v>
      </c>
      <c r="M156" s="5" t="str">
        <f>IF(K156="No","No",IF(_xlfn.XLOOKUP(_xlfn.XLOOKUP(B156,'Base stats'!B:B,'Base stats'!E:E),Groups!A:A,Groups!BC:BC)=1,"No",
MAX(0.01,MROUND(_xlfn.XLOOKUP(B156,'Base stats'!B:B,'Base stats'!BR:BR)/10000,0.01))
))</f>
        <v>No</v>
      </c>
      <c r="N156" s="4" t="str">
        <f>IF(K156="No","No",
MROUND(
  _xlfn.XLOOKUP(B156,'Base stats'!B:B,'Base stats'!AZ:AZ)^0.25
  / (_xlfn.XLOOKUP(B156,'Base stats'!B:B,'Base stats'!BJ:BJ)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stats'!BT:BT),
0.05))</f>
        <v>No</v>
      </c>
      <c r="O156" s="3">
        <f>IF(Animals!AC156="No","No",
MAX(MROUND((MIN(10,_xlfn.XLOOKUP(B156,'Base stats'!B:B,'Base stats'!V:V)*IF(_xlfn.XLOOKUP(_xlfn.XLOOKUP(B156,'Base stats'!B:B,'Base stats'!E:E),Groups!A:A,Groups!O:O)=0,1,0.33))^0.4*_xlfn.XLOOKUP(B156,'Base stats'!B:B,'Base stats'!BG:BG)^0.73)^0.6 *_xlfn.XLOOKUP(B156,'Base stats'!B:B,'Base stats'!BU:BU),0.1),0.05)
)</f>
        <v>3.6</v>
      </c>
      <c r="P156" s="11">
        <f>IF(O156="No","No",
MAX(0.01,MROUND(_xlfn.XLOOKUP(B156,'Base stats'!B:B,'Base stats'!BG:BG) * 0.01 * 2, 0.01))
)</f>
        <v>0.34</v>
      </c>
      <c r="Q156" s="5">
        <f>IF(O156="No","No",
MAX(0.01,MROUND(_xlfn.XLOOKUP(B156,'Base stats'!B:B,'Base stats'!BS:BS)/10000,0.01))
)</f>
        <v>7.0000000000000007E-2</v>
      </c>
      <c r="R156" s="4">
        <f>IF(O156="No","No",
MROUND(_xlfn.XLOOKUP(B156,'Base stats'!B:B,'Base stats'!AY:AY)^0.25
/((_xlfn.XLOOKUP(B156,'Base stats'!B:B,'Base stats'!BK:BK))*10)*_xlfn.XLOOKUP(_xlfn.XLOOKUP(B156,'Base stats'!B:B,'Base stats'!E:E),Groups!A:A,Groups!Z:Z)*150 + 0.5 + _xlfn.XLOOKUP(B156,'Base stats'!B:B,'Base stats'!BT:BT),
0.05))</f>
        <v>1.6</v>
      </c>
      <c r="S156" s="3">
        <f>IF(Animals!AH156="No","No",
IF(_xlfn.XLOOKUP(B156,'Base stats'!B:B,'Base stats'!U:U)="No",
MAX(MROUND(_xlfn.XLOOKUP(B156,'Base stats'!B:B,'Base stats'!BQ:BQ) * _xlfn.XLOOKUP(B156,'Base stats'!B:B,'Base stats'!BM:BM)^0.9 / 21 * _xlfn.XLOOKUP(B156,'Base stats'!B:B,'Base stats'!BU:BU),0.1),0.05),
MAX(MROUND(((MIN(12,_xlfn.XLOOKUP(B156,'Base stats'!B:B,'Base stats'!U:U)))^0.4*_xlfn.XLOOKUP(B156,'Base stats'!B:B,'Base stats'!BE:BE)^0.73)^0.6 * _xlfn.XLOOKUP(B156,'Base stats'!B:B,'Base stats'!BU:BU),0.1),0.05)
))</f>
        <v>2.8000000000000003</v>
      </c>
      <c r="T156" s="11">
        <f>IF(S156="No","No",
MAX(0.01,MROUND(_xlfn.XLOOKUP(B156,'Base stats'!B:B,'Base stats'!BE:BE) * 0.01 * 2, 0.01))
)</f>
        <v>0.19</v>
      </c>
      <c r="U156" s="5">
        <f>IF(S156="No","No",IF(_xlfn.XLOOKUP(B156,'Base stats'!B:B,'Base stats'!U:U)="No","No",
MAX(0.01,MROUND(_xlfn.XLOOKUP(B156,'Base stats'!B:B,'Base stats'!BQ:BQ)/10000,0.01))
))</f>
        <v>0.04</v>
      </c>
      <c r="V156" s="4">
        <f>IF(S156="No","No",
MROUND(_xlfn.XLOOKUP(B156,'Base stats'!B:B,'Base stats'!BC:BC)^0.25
/((_xlfn.XLOOKUP(B156,'Base stats'!B:B,'Base stats'!BL:BL))*10)*_xlfn.XLOOKUP(_xlfn.XLOOKUP(B156,'Base stats'!B:B,'Base stats'!E:E),Groups!A:A,Groups!AE:AE)*150 + 0.5 + _xlfn.XLOOKUP(B156,'Base stats'!B:B,'Base stats'!BT:BT),
0.05))</f>
        <v>1.1000000000000001</v>
      </c>
      <c r="W156" s="8">
        <f>MROUND(_xlfn.XLOOKUP(_xlfn.XLOOKUP(B156,'Base stats'!B:B,'Base stats'!E:E),Groups!A:A,Groups!BF:BF)*_xlfn.XLOOKUP(B156,'Base stats'!B:B,'Base stats'!C:C)^-0.165,0.01)</f>
        <v>1.01</v>
      </c>
      <c r="X156" s="1">
        <f>MROUND(_xlfn.XLOOKUP(_xlfn.XLOOKUP(B156,'Base stats'!B:B,'Base stats'!E:E),Groups!A:A,Groups!BG:BG)*_xlfn.XLOOKUP(B156,'Base stats'!B:B,'Base stats'!C:C)^0.165,0.01)</f>
        <v>0.31</v>
      </c>
      <c r="Y156" s="8">
        <f>MROUND(_xlfn.XLOOKUP(_xlfn.XLOOKUP(B156,'Base stats'!B:B,'Base stats'!E:E),Groups!A:A,Groups!BH:BH)*_xlfn.XLOOKUP(B156,'Base stats'!B:B,'Base stats'!C:C)^0.165,0.01)</f>
        <v>0.03</v>
      </c>
      <c r="Z156" s="18">
        <f>_xlfn.XLOOKUP(B156,'Base stats'!B:B,'Base stats'!AN:AN)*_xlfn.XLOOKUP(_xlfn.XLOOKUP(B156,'Base stats'!B:B,'Base stats'!E:E),Groups!A:A,Groups!H:H)/1000</f>
        <v>3.4699622675504554E-2</v>
      </c>
      <c r="AA156" s="18">
        <f>(1/2)*(_xlfn.XLOOKUP(_xlfn.XLOOKUP(B156,'Base stats'!B:B,'Base stats'!E:E),Groups!A:A,Groups!H:H)*_xlfn.XLOOKUP(_xlfn.XLOOKUP(B156,'Base stats'!B:B,'Base stats'!E:E),Groups!A:A,Groups!I:I))*_xlfn.XLOOKUP(B156,'Base stats'!B:B,'Base stats'!AN:AN)*0.01</f>
        <v>0.26024717006628417</v>
      </c>
      <c r="AB156" s="18">
        <f>250*(Animals!AN156+Animals!AO156)</f>
        <v>137.5</v>
      </c>
      <c r="AC156" s="18" t="str">
        <f>_xlfn.XLOOKUP(_xlfn.XLOOKUP(B156,'Base stats'!B:B,'Base stats'!E:E),Groups!A:A,Groups!BI:BI)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stats'!BP:BP) * (_xlfn.XLOOKUP(B157,'Base stats'!B:B,'Base stats'!AL:AL)*5%)^0.9 / 21,0.1),0.05)</f>
        <v>0.2</v>
      </c>
      <c r="E157" s="11">
        <f>MAX(0.01,MROUND(_xlfn.XLOOKUP(B157,'Base stats'!B:B,'Base stats'!BD:BD) * 0.01 * 2, 0.01))</f>
        <v>0.16</v>
      </c>
      <c r="F157" s="7">
        <f>MROUND(_xlfn.XLOOKUP(B157,'Base stats'!B:B,'Base stats'!BA:BA)^0.25 / (_xlfn.XLOOKUP(B157,'Base stats'!B:B,'Base stats'!BH:BH) * 10) * 150 + 0.5 + _xlfn.XLOOKUP(B157,'Base stats'!B:B,'Base stats'!BT:BT), 0.05)</f>
        <v>1.4000000000000001</v>
      </c>
      <c r="G157" s="3" t="str">
        <f>IF(Animals!R157="No","No",
IF(_xlfn.XLOOKUP(B157,'Base stats'!B:B,'Base stats'!U:U)="No",
MAX(MROUND(_xlfn.XLOOKUP(B157,'Base stats'!B:B,'Base stats'!BQ:BQ) * _xlfn.XLOOKUP(B157,'Base stats'!B:B,'Base stats'!BM:BM)^0.9 / 21 * _xlfn.XLOOKUP(B157,'Base stats'!B:B,'Base stats'!BU:BU),0.1),0.05),
MAX(MROUND(((MIN(10,_xlfn.XLOOKUP(B157,'Base stats'!B:B,'Base stats'!U:U)))^0.4*_xlfn.XLOOKUP(B157,'Base stats'!B:B,'Base stats'!BE:BE)^0.73)^0.6 * _xlfn.XLOOKUP(B157,'Base stats'!B:B,'Base stats'!BU:BU),0.1),0.05)
))</f>
        <v>No</v>
      </c>
      <c r="H157" s="11" t="str">
        <f>IF(G157="No","No",
MAX(0.01,MROUND(_xlfn.XLOOKUP(B157,'Base stats'!B:B,'Base stats'!BE:BE) * 0.01 * 2, 0.01))
)</f>
        <v>No</v>
      </c>
      <c r="I157" s="11" t="str">
        <f>IF(G157="No","No",IF(_xlfn.XLOOKUP(B157,'Base stats'!B:B,'Base stats'!U:U)="No","No",
MAX(0.01,MROUND(_xlfn.XLOOKUP(B157,'Base stats'!B:B,'Base stats'!BQ:BQ)/10000,0.01))
))</f>
        <v>No</v>
      </c>
      <c r="J157" s="4" t="str">
        <f>IF(G157="No","No",
MROUND(_xlfn.XLOOKUP(B157,'Base stats'!B:B,'Base stats'!BB:BB)^0.25
/((_xlfn.XLOOKUP(B157,'Base stats'!B:B,'Base stats'!BI:BI))*10)*_xlfn.XLOOKUP(_xlfn.XLOOKUP(B157,'Base stats'!B:B,'Base stats'!E:E),Groups!A:A,Groups!Q:Q)*150 + 0.5 + _xlfn.XLOOKUP(B157,'Base stats'!B:B,'Base stats'!BT:BT),
0.05))</f>
        <v>No</v>
      </c>
      <c r="K157" s="3" t="str">
        <f>IF(Animals!W157="No","No",
IF(_xlfn.XLOOKUP(_xlfn.XLOOKUP(B157,'Base stats'!B:B,'Base stats'!E:E),Groups!A:A,Groups!BC:BC)=1,
MAX(MROUND(_xlfn.XLOOKUP(B157,'Base stats'!B:B,'Base stats'!BR:BR) * _xlfn.XLOOKUP(B157,'Base stats'!B:B,'Base stats'!BN:BN)^0.9 / 21 *_xlfn.XLOOKUP(B157,'Base stats'!B:B,'Base stats'!BU:BU),0.1),0.05),
MAX(MROUND(((MIN(10,_xlfn.XLOOKUP(B157,'Base stats'!B:B,'Base stats'!W:W)))^0.4*_xlfn.XLOOKUP(B157,'Base stats'!B:B,'Base stats'!BF:BF)^0.73)^0.6 *_xlfn.XLOOKUP(B157,'Base stats'!B:B,'Base stats'!BU:BU),0.1),0.05)
))</f>
        <v>No</v>
      </c>
      <c r="L157" s="11" t="str">
        <f>IF(K157="No","No",
MAX(0.01,MROUND(_xlfn.XLOOKUP(B157,'Base stats'!B:B,'Base stats'!BF:BF) * 0.01 *2, 0.01))
)</f>
        <v>No</v>
      </c>
      <c r="M157" s="5" t="str">
        <f>IF(K157="No","No",IF(_xlfn.XLOOKUP(_xlfn.XLOOKUP(B157,'Base stats'!B:B,'Base stats'!E:E),Groups!A:A,Groups!BC:BC)=1,"No",
MAX(0.01,MROUND(_xlfn.XLOOKUP(B157,'Base stats'!B:B,'Base stats'!BR:BR)/10000,0.01))
))</f>
        <v>No</v>
      </c>
      <c r="N157" s="4" t="str">
        <f>IF(K157="No","No",
MROUND(
  _xlfn.XLOOKUP(B157,'Base stats'!B:B,'Base stats'!AZ:AZ)^0.25
  / (_xlfn.XLOOKUP(B157,'Base stats'!B:B,'Base stats'!BJ:BJ)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stats'!BT:BT),
0.05))</f>
        <v>No</v>
      </c>
      <c r="O157" s="3">
        <f>IF(Animals!AC157="No","No",
MAX(MROUND((MIN(10,_xlfn.XLOOKUP(B157,'Base stats'!B:B,'Base stats'!V:V)*IF(_xlfn.XLOOKUP(_xlfn.XLOOKUP(B157,'Base stats'!B:B,'Base stats'!E:E),Groups!A:A,Groups!O:O)=0,1,0.33))^0.4*_xlfn.XLOOKUP(B157,'Base stats'!B:B,'Base stats'!BG:BG)^0.73)^0.6 *_xlfn.XLOOKUP(B157,'Base stats'!B:B,'Base stats'!BU:BU),0.1),0.05)
)</f>
        <v>4</v>
      </c>
      <c r="P157" s="11">
        <f>IF(O157="No","No",
MAX(0.01,MROUND(_xlfn.XLOOKUP(B157,'Base stats'!B:B,'Base stats'!BG:BG) * 0.01 * 2, 0.01))
)</f>
        <v>0.42</v>
      </c>
      <c r="Q157" s="5">
        <f>IF(O157="No","No",
MAX(0.01,MROUND(_xlfn.XLOOKUP(B157,'Base stats'!B:B,'Base stats'!BS:BS)/10000,0.01))
)</f>
        <v>0.08</v>
      </c>
      <c r="R157" s="4">
        <f>IF(O157="No","No",
MROUND(_xlfn.XLOOKUP(B157,'Base stats'!B:B,'Base stats'!AY:AY)^0.25
/((_xlfn.XLOOKUP(B157,'Base stats'!B:B,'Base stats'!BK:BK))*10)*_xlfn.XLOOKUP(_xlfn.XLOOKUP(B157,'Base stats'!B:B,'Base stats'!E:E),Groups!A:A,Groups!Z:Z)*150 + 0.5 + _xlfn.XLOOKUP(B157,'Base stats'!B:B,'Base stats'!BT:BT),
0.05))</f>
        <v>1.6500000000000001</v>
      </c>
      <c r="S157" s="3">
        <f>IF(Animals!AH157="No","No",
IF(_xlfn.XLOOKUP(B157,'Base stats'!B:B,'Base stats'!U:U)="No",
MAX(MROUND(_xlfn.XLOOKUP(B157,'Base stats'!B:B,'Base stats'!BQ:BQ) * _xlfn.XLOOKUP(B157,'Base stats'!B:B,'Base stats'!BM:BM)^0.9 / 21 * _xlfn.XLOOKUP(B157,'Base stats'!B:B,'Base stats'!BU:BU),0.1),0.05),
MAX(MROUND(((MIN(12,_xlfn.XLOOKUP(B157,'Base stats'!B:B,'Base stats'!U:U)))^0.4*_xlfn.XLOOKUP(B157,'Base stats'!B:B,'Base stats'!BE:BE)^0.73)^0.6 * _xlfn.XLOOKUP(B157,'Base stats'!B:B,'Base stats'!BU:BU),0.1),0.05)
))</f>
        <v>3.1</v>
      </c>
      <c r="T157" s="11">
        <f>IF(S157="No","No",
MAX(0.01,MROUND(_xlfn.XLOOKUP(B157,'Base stats'!B:B,'Base stats'!BE:BE) * 0.01 * 2, 0.01))
)</f>
        <v>0.23</v>
      </c>
      <c r="U157" s="5">
        <f>IF(S157="No","No",IF(_xlfn.XLOOKUP(B157,'Base stats'!B:B,'Base stats'!U:U)="No","No",
MAX(0.01,MROUND(_xlfn.XLOOKUP(B157,'Base stats'!B:B,'Base stats'!BQ:BQ)/10000,0.01))
))</f>
        <v>0.04</v>
      </c>
      <c r="V157" s="4">
        <f>IF(S157="No","No",
MROUND(_xlfn.XLOOKUP(B157,'Base stats'!B:B,'Base stats'!BC:BC)^0.25
/((_xlfn.XLOOKUP(B157,'Base stats'!B:B,'Base stats'!BL:BL))*10)*_xlfn.XLOOKUP(_xlfn.XLOOKUP(B157,'Base stats'!B:B,'Base stats'!E:E),Groups!A:A,Groups!AE:AE)*150 + 0.5 + _xlfn.XLOOKUP(B157,'Base stats'!B:B,'Base stats'!BT:BT),
0.05))</f>
        <v>1.1000000000000001</v>
      </c>
      <c r="W157" s="8">
        <f>MROUND(_xlfn.XLOOKUP(_xlfn.XLOOKUP(B157,'Base stats'!B:B,'Base stats'!E:E),Groups!A:A,Groups!BF:BF)*_xlfn.XLOOKUP(B157,'Base stats'!B:B,'Base stats'!C:C)^-0.165,0.01)</f>
        <v>0.97</v>
      </c>
      <c r="X157" s="1">
        <f>MROUND(_xlfn.XLOOKUP(_xlfn.XLOOKUP(B157,'Base stats'!B:B,'Base stats'!E:E),Groups!A:A,Groups!BG:BG)*_xlfn.XLOOKUP(B157,'Base stats'!B:B,'Base stats'!C:C)^0.165,0.01)</f>
        <v>0.32</v>
      </c>
      <c r="Y157" s="8">
        <f>MROUND(_xlfn.XLOOKUP(_xlfn.XLOOKUP(B157,'Base stats'!B:B,'Base stats'!E:E),Groups!A:A,Groups!BH:BH)*_xlfn.XLOOKUP(B157,'Base stats'!B:B,'Base stats'!C:C)^0.165,0.01)</f>
        <v>0.03</v>
      </c>
      <c r="Z157" s="18">
        <f>_xlfn.XLOOKUP(B157,'Base stats'!B:B,'Base stats'!AN:AN)*_xlfn.XLOOKUP(_xlfn.XLOOKUP(B157,'Base stats'!B:B,'Base stats'!E:E),Groups!A:A,Groups!H:H)/1000</f>
        <v>3.7921168672067677E-2</v>
      </c>
      <c r="AA157" s="18">
        <f>(1/2)*(_xlfn.XLOOKUP(_xlfn.XLOOKUP(B157,'Base stats'!B:B,'Base stats'!E:E),Groups!A:A,Groups!H:H)*_xlfn.XLOOKUP(_xlfn.XLOOKUP(B157,'Base stats'!B:B,'Base stats'!E:E),Groups!A:A,Groups!I:I))*_xlfn.XLOOKUP(B157,'Base stats'!B:B,'Base stats'!AN:AN)*0.01</f>
        <v>0.28440876504050766</v>
      </c>
      <c r="AB157" s="18">
        <f>250*(Animals!AN157+Animals!AO157)</f>
        <v>162.50000000000003</v>
      </c>
      <c r="AC157" s="18" t="str">
        <f>_xlfn.XLOOKUP(_xlfn.XLOOKUP(B157,'Base stats'!B:B,'Base stats'!E:E),Groups!A:A,Groups!BI:BI)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stats'!BP:BP) * (_xlfn.XLOOKUP(B158,'Base stats'!B:B,'Base stats'!AL:AL)*5%)^0.9 / 21,0.1),0.05)</f>
        <v>0.2</v>
      </c>
      <c r="E158" s="11">
        <f>MAX(0.01,MROUND(_xlfn.XLOOKUP(B158,'Base stats'!B:B,'Base stats'!BD:BD) * 0.01 * 2, 0.01))</f>
        <v>0.15</v>
      </c>
      <c r="F158" s="7">
        <f>MROUND(_xlfn.XLOOKUP(B158,'Base stats'!B:B,'Base stats'!BA:BA)^0.25 / (_xlfn.XLOOKUP(B158,'Base stats'!B:B,'Base stats'!BH:BH) * 10) * 150 + 0.5 + _xlfn.XLOOKUP(B158,'Base stats'!B:B,'Base stats'!BT:BT), 0.05)</f>
        <v>1.4000000000000001</v>
      </c>
      <c r="G158" s="3" t="str">
        <f>IF(Animals!R158="No","No",
IF(_xlfn.XLOOKUP(B158,'Base stats'!B:B,'Base stats'!U:U)="No",
MAX(MROUND(_xlfn.XLOOKUP(B158,'Base stats'!B:B,'Base stats'!BQ:BQ) * _xlfn.XLOOKUP(B158,'Base stats'!B:B,'Base stats'!BM:BM)^0.9 / 21 * _xlfn.XLOOKUP(B158,'Base stats'!B:B,'Base stats'!BU:BU),0.1),0.05),
MAX(MROUND(((MIN(10,_xlfn.XLOOKUP(B158,'Base stats'!B:B,'Base stats'!U:U)))^0.4*_xlfn.XLOOKUP(B158,'Base stats'!B:B,'Base stats'!BE:BE)^0.73)^0.6 * _xlfn.XLOOKUP(B158,'Base stats'!B:B,'Base stats'!BU:BU),0.1),0.05)
))</f>
        <v>No</v>
      </c>
      <c r="H158" s="11" t="str">
        <f>IF(G158="No","No",
MAX(0.01,MROUND(_xlfn.XLOOKUP(B158,'Base stats'!B:B,'Base stats'!BE:BE) * 0.01 * 2, 0.01))
)</f>
        <v>No</v>
      </c>
      <c r="I158" s="11" t="str">
        <f>IF(G158="No","No",IF(_xlfn.XLOOKUP(B158,'Base stats'!B:B,'Base stats'!U:U)="No","No",
MAX(0.01,MROUND(_xlfn.XLOOKUP(B158,'Base stats'!B:B,'Base stats'!BQ:BQ)/10000,0.01))
))</f>
        <v>No</v>
      </c>
      <c r="J158" s="4" t="str">
        <f>IF(G158="No","No",
MROUND(_xlfn.XLOOKUP(B158,'Base stats'!B:B,'Base stats'!BB:BB)^0.25
/((_xlfn.XLOOKUP(B158,'Base stats'!B:B,'Base stats'!BI:BI))*10)*_xlfn.XLOOKUP(_xlfn.XLOOKUP(B158,'Base stats'!B:B,'Base stats'!E:E),Groups!A:A,Groups!Q:Q)*150 + 0.5 + _xlfn.XLOOKUP(B158,'Base stats'!B:B,'Base stats'!BT:BT),
0.05))</f>
        <v>No</v>
      </c>
      <c r="K158" s="3" t="str">
        <f>IF(Animals!W158="No","No",
IF(_xlfn.XLOOKUP(_xlfn.XLOOKUP(B158,'Base stats'!B:B,'Base stats'!E:E),Groups!A:A,Groups!BC:BC)=1,
MAX(MROUND(_xlfn.XLOOKUP(B158,'Base stats'!B:B,'Base stats'!BR:BR) * _xlfn.XLOOKUP(B158,'Base stats'!B:B,'Base stats'!BN:BN)^0.9 / 21 *_xlfn.XLOOKUP(B158,'Base stats'!B:B,'Base stats'!BU:BU),0.1),0.05),
MAX(MROUND(((MIN(10,_xlfn.XLOOKUP(B158,'Base stats'!B:B,'Base stats'!W:W)))^0.4*_xlfn.XLOOKUP(B158,'Base stats'!B:B,'Base stats'!BF:BF)^0.73)^0.6 *_xlfn.XLOOKUP(B158,'Base stats'!B:B,'Base stats'!BU:BU),0.1),0.05)
))</f>
        <v>No</v>
      </c>
      <c r="L158" s="11" t="str">
        <f>IF(K158="No","No",
MAX(0.01,MROUND(_xlfn.XLOOKUP(B158,'Base stats'!B:B,'Base stats'!BF:BF) * 0.01 *2, 0.01))
)</f>
        <v>No</v>
      </c>
      <c r="M158" s="5" t="str">
        <f>IF(K158="No","No",IF(_xlfn.XLOOKUP(_xlfn.XLOOKUP(B158,'Base stats'!B:B,'Base stats'!E:E),Groups!A:A,Groups!BC:BC)=1,"No",
MAX(0.01,MROUND(_xlfn.XLOOKUP(B158,'Base stats'!B:B,'Base stats'!BR:BR)/10000,0.01))
))</f>
        <v>No</v>
      </c>
      <c r="N158" s="4" t="str">
        <f>IF(K158="No","No",
MROUND(
  _xlfn.XLOOKUP(B158,'Base stats'!B:B,'Base stats'!AZ:AZ)^0.25
  / (_xlfn.XLOOKUP(B158,'Base stats'!B:B,'Base stats'!BJ:BJ)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stats'!BT:BT),
0.05))</f>
        <v>No</v>
      </c>
      <c r="O158" s="3">
        <f>IF(Animals!AC158="No","No",
MAX(MROUND((MIN(10,_xlfn.XLOOKUP(B158,'Base stats'!B:B,'Base stats'!V:V)*IF(_xlfn.XLOOKUP(_xlfn.XLOOKUP(B158,'Base stats'!B:B,'Base stats'!E:E),Groups!A:A,Groups!O:O)=0,1,0.33))^0.4*_xlfn.XLOOKUP(B158,'Base stats'!B:B,'Base stats'!BG:BG)^0.73)^0.6 *_xlfn.XLOOKUP(B158,'Base stats'!B:B,'Base stats'!BU:BU),0.1),0.05)
)</f>
        <v>4</v>
      </c>
      <c r="P158" s="11">
        <f>IF(O158="No","No",
MAX(0.01,MROUND(_xlfn.XLOOKUP(B158,'Base stats'!B:B,'Base stats'!BG:BG) * 0.01 * 2, 0.01))
)</f>
        <v>0.41000000000000003</v>
      </c>
      <c r="Q158" s="5">
        <f>IF(O158="No","No",
MAX(0.01,MROUND(_xlfn.XLOOKUP(B158,'Base stats'!B:B,'Base stats'!BS:BS)/10000,0.01))
)</f>
        <v>0.08</v>
      </c>
      <c r="R158" s="4">
        <f>IF(O158="No","No",
MROUND(_xlfn.XLOOKUP(B158,'Base stats'!B:B,'Base stats'!AY:AY)^0.25
/((_xlfn.XLOOKUP(B158,'Base stats'!B:B,'Base stats'!BK:BK))*10)*_xlfn.XLOOKUP(_xlfn.XLOOKUP(B158,'Base stats'!B:B,'Base stats'!E:E),Groups!A:A,Groups!Z:Z)*150 + 0.5 + _xlfn.XLOOKUP(B158,'Base stats'!B:B,'Base stats'!BT:BT),
0.05))</f>
        <v>1.6500000000000001</v>
      </c>
      <c r="S158" s="3">
        <f>IF(Animals!AH158="No","No",
IF(_xlfn.XLOOKUP(B158,'Base stats'!B:B,'Base stats'!U:U)="No",
MAX(MROUND(_xlfn.XLOOKUP(B158,'Base stats'!B:B,'Base stats'!BQ:BQ) * _xlfn.XLOOKUP(B158,'Base stats'!B:B,'Base stats'!BM:BM)^0.9 / 21 * _xlfn.XLOOKUP(B158,'Base stats'!B:B,'Base stats'!BU:BU),0.1),0.05),
MAX(MROUND(((MIN(12,_xlfn.XLOOKUP(B158,'Base stats'!B:B,'Base stats'!U:U)))^0.4*_xlfn.XLOOKUP(B158,'Base stats'!B:B,'Base stats'!BE:BE)^0.73)^0.6 * _xlfn.XLOOKUP(B158,'Base stats'!B:B,'Base stats'!BU:BU),0.1),0.05)
))</f>
        <v>3.1</v>
      </c>
      <c r="T158" s="11">
        <f>IF(S158="No","No",
MAX(0.01,MROUND(_xlfn.XLOOKUP(B158,'Base stats'!B:B,'Base stats'!BE:BE) * 0.01 * 2, 0.01))
)</f>
        <v>0.23</v>
      </c>
      <c r="U158" s="5">
        <f>IF(S158="No","No",IF(_xlfn.XLOOKUP(B158,'Base stats'!B:B,'Base stats'!U:U)="No","No",
MAX(0.01,MROUND(_xlfn.XLOOKUP(B158,'Base stats'!B:B,'Base stats'!BQ:BQ)/10000,0.01))
))</f>
        <v>0.04</v>
      </c>
      <c r="V158" s="4">
        <f>IF(S158="No","No",
MROUND(_xlfn.XLOOKUP(B158,'Base stats'!B:B,'Base stats'!BC:BC)^0.25
/((_xlfn.XLOOKUP(B158,'Base stats'!B:B,'Base stats'!BL:BL))*10)*_xlfn.XLOOKUP(_xlfn.XLOOKUP(B158,'Base stats'!B:B,'Base stats'!E:E),Groups!A:A,Groups!AE:AE)*150 + 0.5 + _xlfn.XLOOKUP(B158,'Base stats'!B:B,'Base stats'!BT:BT),
0.05))</f>
        <v>1.1000000000000001</v>
      </c>
      <c r="W158" s="8">
        <f>MROUND(_xlfn.XLOOKUP(_xlfn.XLOOKUP(B158,'Base stats'!B:B,'Base stats'!E:E),Groups!A:A,Groups!BF:BF)*_xlfn.XLOOKUP(B158,'Base stats'!B:B,'Base stats'!C:C)^-0.165,0.01)</f>
        <v>0.98</v>
      </c>
      <c r="X158" s="1">
        <f>MROUND(_xlfn.XLOOKUP(_xlfn.XLOOKUP(B158,'Base stats'!B:B,'Base stats'!E:E),Groups!A:A,Groups!BG:BG)*_xlfn.XLOOKUP(B158,'Base stats'!B:B,'Base stats'!C:C)^0.165,0.01)</f>
        <v>0.32</v>
      </c>
      <c r="Y158" s="8">
        <f>MROUND(_xlfn.XLOOKUP(_xlfn.XLOOKUP(B158,'Base stats'!B:B,'Base stats'!E:E),Groups!A:A,Groups!BH:BH)*_xlfn.XLOOKUP(B158,'Base stats'!B:B,'Base stats'!C:C)^0.165,0.01)</f>
        <v>0.03</v>
      </c>
      <c r="Z158" s="18">
        <f>_xlfn.XLOOKUP(B158,'Base stats'!B:B,'Base stats'!AN:AN)*_xlfn.XLOOKUP(_xlfn.XLOOKUP(B158,'Base stats'!B:B,'Base stats'!E:E),Groups!A:A,Groups!H:H)/1000</f>
        <v>3.770241838878003E-2</v>
      </c>
      <c r="AA158" s="18">
        <f>(1/2)*(_xlfn.XLOOKUP(_xlfn.XLOOKUP(B158,'Base stats'!B:B,'Base stats'!E:E),Groups!A:A,Groups!H:H)*_xlfn.XLOOKUP(_xlfn.XLOOKUP(B158,'Base stats'!B:B,'Base stats'!E:E),Groups!A:A,Groups!I:I))*_xlfn.XLOOKUP(B158,'Base stats'!B:B,'Base stats'!AN:AN)*0.01</f>
        <v>0.28276813791585026</v>
      </c>
      <c r="AB158" s="18">
        <f>250*(Animals!AN158+Animals!AO158)</f>
        <v>162.50000000000003</v>
      </c>
      <c r="AC158" s="18" t="str">
        <f>_xlfn.XLOOKUP(_xlfn.XLOOKUP(B158,'Base stats'!B:B,'Base stats'!E:E),Groups!A:A,Groups!BI:BI)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stats'!BP:BP) * (_xlfn.XLOOKUP(B159,'Base stats'!B:B,'Base stats'!AL:AL)*5%)^0.9 / 21,0.1),0.05)</f>
        <v>0.30000000000000004</v>
      </c>
      <c r="E159" s="11">
        <f>MAX(0.01,MROUND(_xlfn.XLOOKUP(B159,'Base stats'!B:B,'Base stats'!BD:BD) * 0.01 * 2, 0.01))</f>
        <v>0.18</v>
      </c>
      <c r="F159" s="7">
        <f>MROUND(_xlfn.XLOOKUP(B159,'Base stats'!B:B,'Base stats'!BA:BA)^0.25 / (_xlfn.XLOOKUP(B159,'Base stats'!B:B,'Base stats'!BH:BH) * 10) * 150 + 0.5 + _xlfn.XLOOKUP(B159,'Base stats'!B:B,'Base stats'!BT:BT), 0.05)</f>
        <v>1.4500000000000002</v>
      </c>
      <c r="G159" s="3" t="str">
        <f>IF(Animals!R159="No","No",
IF(_xlfn.XLOOKUP(B159,'Base stats'!B:B,'Base stats'!U:U)="No",
MAX(MROUND(_xlfn.XLOOKUP(B159,'Base stats'!B:B,'Base stats'!BQ:BQ) * _xlfn.XLOOKUP(B159,'Base stats'!B:B,'Base stats'!BM:BM)^0.9 / 21 * _xlfn.XLOOKUP(B159,'Base stats'!B:B,'Base stats'!BU:BU),0.1),0.05),
MAX(MROUND(((MIN(10,_xlfn.XLOOKUP(B159,'Base stats'!B:B,'Base stats'!U:U)))^0.4*_xlfn.XLOOKUP(B159,'Base stats'!B:B,'Base stats'!BE:BE)^0.73)^0.6 * _xlfn.XLOOKUP(B159,'Base stats'!B:B,'Base stats'!BU:BU),0.1),0.05)
))</f>
        <v>No</v>
      </c>
      <c r="H159" s="11" t="str">
        <f>IF(G159="No","No",
MAX(0.01,MROUND(_xlfn.XLOOKUP(B159,'Base stats'!B:B,'Base stats'!BE:BE) * 0.01 * 2, 0.01))
)</f>
        <v>No</v>
      </c>
      <c r="I159" s="11" t="str">
        <f>IF(G159="No","No",IF(_xlfn.XLOOKUP(B159,'Base stats'!B:B,'Base stats'!U:U)="No","No",
MAX(0.01,MROUND(_xlfn.XLOOKUP(B159,'Base stats'!B:B,'Base stats'!BQ:BQ)/10000,0.01))
))</f>
        <v>No</v>
      </c>
      <c r="J159" s="4" t="str">
        <f>IF(G159="No","No",
MROUND(_xlfn.XLOOKUP(B159,'Base stats'!B:B,'Base stats'!BB:BB)^0.25
/((_xlfn.XLOOKUP(B159,'Base stats'!B:B,'Base stats'!BI:BI))*10)*_xlfn.XLOOKUP(_xlfn.XLOOKUP(B159,'Base stats'!B:B,'Base stats'!E:E),Groups!A:A,Groups!Q:Q)*150 + 0.5 + _xlfn.XLOOKUP(B159,'Base stats'!B:B,'Base stats'!BT:BT),
0.05))</f>
        <v>No</v>
      </c>
      <c r="K159" s="3" t="str">
        <f>IF(Animals!W159="No","No",
IF(_xlfn.XLOOKUP(_xlfn.XLOOKUP(B159,'Base stats'!B:B,'Base stats'!E:E),Groups!A:A,Groups!BC:BC)=1,
MAX(MROUND(_xlfn.XLOOKUP(B159,'Base stats'!B:B,'Base stats'!BR:BR) * _xlfn.XLOOKUP(B159,'Base stats'!B:B,'Base stats'!BN:BN)^0.9 / 21 *_xlfn.XLOOKUP(B159,'Base stats'!B:B,'Base stats'!BU:BU),0.1),0.05),
MAX(MROUND(((MIN(10,_xlfn.XLOOKUP(B159,'Base stats'!B:B,'Base stats'!W:W)))^0.4*_xlfn.XLOOKUP(B159,'Base stats'!B:B,'Base stats'!BF:BF)^0.73)^0.6 *_xlfn.XLOOKUP(B159,'Base stats'!B:B,'Base stats'!BU:BU),0.1),0.05)
))</f>
        <v>No</v>
      </c>
      <c r="L159" s="11" t="str">
        <f>IF(K159="No","No",
MAX(0.01,MROUND(_xlfn.XLOOKUP(B159,'Base stats'!B:B,'Base stats'!BF:BF) * 0.01 *2, 0.01))
)</f>
        <v>No</v>
      </c>
      <c r="M159" s="5" t="str">
        <f>IF(K159="No","No",IF(_xlfn.XLOOKUP(_xlfn.XLOOKUP(B159,'Base stats'!B:B,'Base stats'!E:E),Groups!A:A,Groups!BC:BC)=1,"No",
MAX(0.01,MROUND(_xlfn.XLOOKUP(B159,'Base stats'!B:B,'Base stats'!BR:BR)/10000,0.01))
))</f>
        <v>No</v>
      </c>
      <c r="N159" s="4" t="str">
        <f>IF(K159="No","No",
MROUND(
  _xlfn.XLOOKUP(B159,'Base stats'!B:B,'Base stats'!AZ:AZ)^0.25
  / (_xlfn.XLOOKUP(B159,'Base stats'!B:B,'Base stats'!BJ:BJ)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stats'!BT:BT),
0.05))</f>
        <v>No</v>
      </c>
      <c r="O159" s="3">
        <f>IF(Animals!AC159="No","No",
MAX(MROUND((MIN(10,_xlfn.XLOOKUP(B159,'Base stats'!B:B,'Base stats'!V:V)*IF(_xlfn.XLOOKUP(_xlfn.XLOOKUP(B159,'Base stats'!B:B,'Base stats'!E:E),Groups!A:A,Groups!O:O)=0,1,0.33))^0.4*_xlfn.XLOOKUP(B159,'Base stats'!B:B,'Base stats'!BG:BG)^0.73)^0.6 *_xlfn.XLOOKUP(B159,'Base stats'!B:B,'Base stats'!BU:BU),0.1),0.05)
)</f>
        <v>4.2</v>
      </c>
      <c r="P159" s="11">
        <f>IF(O159="No","No",
MAX(0.01,MROUND(_xlfn.XLOOKUP(B159,'Base stats'!B:B,'Base stats'!BG:BG) * 0.01 * 2, 0.01))
)</f>
        <v>0.47000000000000003</v>
      </c>
      <c r="Q159" s="5">
        <f>IF(O159="No","No",
MAX(0.01,MROUND(_xlfn.XLOOKUP(B159,'Base stats'!B:B,'Base stats'!BS:BS)/10000,0.01))
)</f>
        <v>0.08</v>
      </c>
      <c r="R159" s="4">
        <f>IF(O159="No","No",
MROUND(_xlfn.XLOOKUP(B159,'Base stats'!B:B,'Base stats'!AY:AY)^0.25
/((_xlfn.XLOOKUP(B159,'Base stats'!B:B,'Base stats'!BK:BK))*10)*_xlfn.XLOOKUP(_xlfn.XLOOKUP(B159,'Base stats'!B:B,'Base stats'!E:E),Groups!A:A,Groups!Z:Z)*150 + 0.5 + _xlfn.XLOOKUP(B159,'Base stats'!B:B,'Base stats'!BT:BT),
0.05))</f>
        <v>1.7000000000000002</v>
      </c>
      <c r="S159" s="3">
        <f>IF(Animals!AH159="No","No",
IF(_xlfn.XLOOKUP(B159,'Base stats'!B:B,'Base stats'!U:U)="No",
MAX(MROUND(_xlfn.XLOOKUP(B159,'Base stats'!B:B,'Base stats'!BQ:BQ) * _xlfn.XLOOKUP(B159,'Base stats'!B:B,'Base stats'!BM:BM)^0.9 / 21 * _xlfn.XLOOKUP(B159,'Base stats'!B:B,'Base stats'!BU:BU),0.1),0.05),
MAX(MROUND(((MIN(12,_xlfn.XLOOKUP(B159,'Base stats'!B:B,'Base stats'!U:U)))^0.4*_xlfn.XLOOKUP(B159,'Base stats'!B:B,'Base stats'!BE:BE)^0.73)^0.6 * _xlfn.XLOOKUP(B159,'Base stats'!B:B,'Base stats'!BU:BU),0.1),0.05)
))</f>
        <v>3.2</v>
      </c>
      <c r="T159" s="11">
        <f>IF(S159="No","No",
MAX(0.01,MROUND(_xlfn.XLOOKUP(B159,'Base stats'!B:B,'Base stats'!BE:BE) * 0.01 * 2, 0.01))
)</f>
        <v>0.26</v>
      </c>
      <c r="U159" s="5">
        <f>IF(S159="No","No",IF(_xlfn.XLOOKUP(B159,'Base stats'!B:B,'Base stats'!U:U)="No","No",
MAX(0.01,MROUND(_xlfn.XLOOKUP(B159,'Base stats'!B:B,'Base stats'!BQ:BQ)/10000,0.01))
))</f>
        <v>0.05</v>
      </c>
      <c r="V159" s="4">
        <f>IF(S159="No","No",
MROUND(_xlfn.XLOOKUP(B159,'Base stats'!B:B,'Base stats'!BC:BC)^0.25
/((_xlfn.XLOOKUP(B159,'Base stats'!B:B,'Base stats'!BL:BL))*10)*_xlfn.XLOOKUP(_xlfn.XLOOKUP(B159,'Base stats'!B:B,'Base stats'!E:E),Groups!A:A,Groups!AE:AE)*150 + 0.5 + _xlfn.XLOOKUP(B159,'Base stats'!B:B,'Base stats'!BT:BT),
0.05))</f>
        <v>1.1000000000000001</v>
      </c>
      <c r="W159" s="8">
        <f>MROUND(_xlfn.XLOOKUP(_xlfn.XLOOKUP(B159,'Base stats'!B:B,'Base stats'!E:E),Groups!A:A,Groups!BF:BF)*_xlfn.XLOOKUP(B159,'Base stats'!B:B,'Base stats'!C:C)^-0.165,0.01)</f>
        <v>0.95000000000000007</v>
      </c>
      <c r="X159" s="1">
        <f>MROUND(_xlfn.XLOOKUP(_xlfn.XLOOKUP(B159,'Base stats'!B:B,'Base stats'!E:E),Groups!A:A,Groups!BG:BG)*_xlfn.XLOOKUP(B159,'Base stats'!B:B,'Base stats'!C:C)^0.165,0.01)</f>
        <v>0.33</v>
      </c>
      <c r="Y159" s="8">
        <f>MROUND(_xlfn.XLOOKUP(_xlfn.XLOOKUP(B159,'Base stats'!B:B,'Base stats'!E:E),Groups!A:A,Groups!BH:BH)*_xlfn.XLOOKUP(B159,'Base stats'!B:B,'Base stats'!C:C)^0.165,0.01)</f>
        <v>0.03</v>
      </c>
      <c r="Z159" s="18">
        <f>_xlfn.XLOOKUP(B159,'Base stats'!B:B,'Base stats'!AN:AN)*_xlfn.XLOOKUP(_xlfn.XLOOKUP(B159,'Base stats'!B:B,'Base stats'!E:E),Groups!A:A,Groups!H:H)/1000</f>
        <v>3.9792441356153715E-2</v>
      </c>
      <c r="AA159" s="18">
        <f>(1/2)*(_xlfn.XLOOKUP(_xlfn.XLOOKUP(B159,'Base stats'!B:B,'Base stats'!E:E),Groups!A:A,Groups!H:H)*_xlfn.XLOOKUP(_xlfn.XLOOKUP(B159,'Base stats'!B:B,'Base stats'!E:E),Groups!A:A,Groups!I:I))*_xlfn.XLOOKUP(B159,'Base stats'!B:B,'Base stats'!AN:AN)*0.01</f>
        <v>0.29844331017115289</v>
      </c>
      <c r="AB159" s="18">
        <f>250*(Animals!AN159+Animals!AO159)</f>
        <v>162.50000000000003</v>
      </c>
      <c r="AC159" s="18" t="str">
        <f>_xlfn.XLOOKUP(_xlfn.XLOOKUP(B159,'Base stats'!B:B,'Base stats'!E:E),Groups!A:A,Groups!BI:BI)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stats'!BP:BP) * (_xlfn.XLOOKUP(B160,'Base stats'!B:B,'Base stats'!AL:AL)*5%)^0.9 / 21,0.1),0.05)</f>
        <v>148.80000000000001</v>
      </c>
      <c r="E160" s="11">
        <f>MAX(0.01,MROUND(_xlfn.XLOOKUP(B160,'Base stats'!B:B,'Base stats'!BD:BD) * 0.01 * 2, 0.01))</f>
        <v>169.95000000000002</v>
      </c>
      <c r="F160" s="7">
        <f>MROUND(_xlfn.XLOOKUP(B160,'Base stats'!B:B,'Base stats'!BA:BA)^0.25 / (_xlfn.XLOOKUP(B160,'Base stats'!B:B,'Base stats'!BH:BH) * 10) * 150 + 0.5 + _xlfn.XLOOKUP(B160,'Base stats'!B:B,'Base stats'!BT:BT), 0.05)</f>
        <v>3.75</v>
      </c>
      <c r="G160" s="3" t="str">
        <f>IF(Animals!R160="No","No",
IF(_xlfn.XLOOKUP(B160,'Base stats'!B:B,'Base stats'!U:U)="No",
MAX(MROUND(_xlfn.XLOOKUP(B160,'Base stats'!B:B,'Base stats'!BQ:BQ) * _xlfn.XLOOKUP(B160,'Base stats'!B:B,'Base stats'!BM:BM)^0.9 / 21 * _xlfn.XLOOKUP(B160,'Base stats'!B:B,'Base stats'!BU:BU),0.1),0.05),
MAX(MROUND(((MIN(10,_xlfn.XLOOKUP(B160,'Base stats'!B:B,'Base stats'!U:U)))^0.4*_xlfn.XLOOKUP(B160,'Base stats'!B:B,'Base stats'!BE:BE)^0.73)^0.6 * _xlfn.XLOOKUP(B160,'Base stats'!B:B,'Base stats'!BU:BU),0.1),0.05)
))</f>
        <v>No</v>
      </c>
      <c r="H160" s="11" t="str">
        <f>IF(G160="No","No",
MAX(0.01,MROUND(_xlfn.XLOOKUP(B160,'Base stats'!B:B,'Base stats'!BE:BE) * 0.01 * 2, 0.01))
)</f>
        <v>No</v>
      </c>
      <c r="I160" s="11" t="str">
        <f>IF(G160="No","No",IF(_xlfn.XLOOKUP(B160,'Base stats'!B:B,'Base stats'!U:U)="No","No",
MAX(0.01,MROUND(_xlfn.XLOOKUP(B160,'Base stats'!B:B,'Base stats'!BQ:BQ)/10000,0.01))
))</f>
        <v>No</v>
      </c>
      <c r="J160" s="4" t="str">
        <f>IF(G160="No","No",
MROUND(_xlfn.XLOOKUP(B160,'Base stats'!B:B,'Base stats'!BB:BB)^0.25
/((_xlfn.XLOOKUP(B160,'Base stats'!B:B,'Base stats'!BI:BI))*10)*_xlfn.XLOOKUP(_xlfn.XLOOKUP(B160,'Base stats'!B:B,'Base stats'!E:E),Groups!A:A,Groups!Q:Q)*150 + 0.5 + _xlfn.XLOOKUP(B160,'Base stats'!B:B,'Base stats'!BT:BT),
0.05))</f>
        <v>No</v>
      </c>
      <c r="K160" s="3" t="str">
        <f>IF(Animals!W160="No","No",
IF(_xlfn.XLOOKUP(_xlfn.XLOOKUP(B160,'Base stats'!B:B,'Base stats'!E:E),Groups!A:A,Groups!BC:BC)=1,
MAX(MROUND(_xlfn.XLOOKUP(B160,'Base stats'!B:B,'Base stats'!BR:BR) * _xlfn.XLOOKUP(B160,'Base stats'!B:B,'Base stats'!BN:BN)^0.9 / 21 *_xlfn.XLOOKUP(B160,'Base stats'!B:B,'Base stats'!BU:BU),0.1),0.05),
MAX(MROUND(((MIN(10,_xlfn.XLOOKUP(B160,'Base stats'!B:B,'Base stats'!W:W)))^0.4*_xlfn.XLOOKUP(B160,'Base stats'!B:B,'Base stats'!BF:BF)^0.73)^0.6 *_xlfn.XLOOKUP(B160,'Base stats'!B:B,'Base stats'!BU:BU),0.1),0.05)
))</f>
        <v>No</v>
      </c>
      <c r="L160" s="11" t="str">
        <f>IF(K160="No","No",
MAX(0.01,MROUND(_xlfn.XLOOKUP(B160,'Base stats'!B:B,'Base stats'!BF:BF) * 0.01 *2, 0.01))
)</f>
        <v>No</v>
      </c>
      <c r="M160" s="5" t="str">
        <f>IF(K160="No","No",IF(_xlfn.XLOOKUP(_xlfn.XLOOKUP(B160,'Base stats'!B:B,'Base stats'!E:E),Groups!A:A,Groups!BC:BC)=1,"No",
MAX(0.01,MROUND(_xlfn.XLOOKUP(B160,'Base stats'!B:B,'Base stats'!BR:BR)/10000,0.01))
))</f>
        <v>No</v>
      </c>
      <c r="N160" s="4" t="str">
        <f>IF(K160="No","No",
MROUND(
  _xlfn.XLOOKUP(B160,'Base stats'!B:B,'Base stats'!AZ:AZ)^0.25
  / (_xlfn.XLOOKUP(B160,'Base stats'!B:B,'Base stats'!BJ:BJ)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stats'!BT:BT),
0.05))</f>
        <v>No</v>
      </c>
      <c r="O160" s="3">
        <f>IF(Animals!AC160="No","No",
MAX(MROUND((MIN(10,_xlfn.XLOOKUP(B160,'Base stats'!B:B,'Base stats'!V:V)*IF(_xlfn.XLOOKUP(_xlfn.XLOOKUP(B160,'Base stats'!B:B,'Base stats'!E:E),Groups!A:A,Groups!O:O)=0,1,0.33))^0.4*_xlfn.XLOOKUP(B160,'Base stats'!B:B,'Base stats'!BG:BG)^0.73)^0.6 *_xlfn.XLOOKUP(B160,'Base stats'!B:B,'Base stats'!BU:BU),0.1),0.05)
)</f>
        <v>67.7</v>
      </c>
      <c r="P160" s="11">
        <f>IF(O160="No","No",
MAX(0.01,MROUND(_xlfn.XLOOKUP(B160,'Base stats'!B:B,'Base stats'!BG:BG) * 0.01 * 2, 0.01))
)</f>
        <v>125.26</v>
      </c>
      <c r="Q160" s="5">
        <f>IF(O160="No","No",
MAX(0.01,MROUND(_xlfn.XLOOKUP(B160,'Base stats'!B:B,'Base stats'!BS:BS)/10000,0.01))
)</f>
        <v>9.9500000000000011</v>
      </c>
      <c r="R160" s="4">
        <f>IF(O160="No","No",
MROUND(_xlfn.XLOOKUP(B160,'Base stats'!B:B,'Base stats'!AY:AY)^0.25
/((_xlfn.XLOOKUP(B160,'Base stats'!B:B,'Base stats'!BK:BK))*10)*_xlfn.XLOOKUP(_xlfn.XLOOKUP(B160,'Base stats'!B:B,'Base stats'!E:E),Groups!A:A,Groups!Z:Z)*150 + 0.5 + _xlfn.XLOOKUP(B160,'Base stats'!B:B,'Base stats'!BT:BT),
0.05))</f>
        <v>2.6500000000000004</v>
      </c>
      <c r="S160" s="3">
        <f>IF(Animals!AH160="No","No",
IF(_xlfn.XLOOKUP(B160,'Base stats'!B:B,'Base stats'!U:U)="No",
MAX(MROUND(_xlfn.XLOOKUP(B160,'Base stats'!B:B,'Base stats'!BQ:BQ) * _xlfn.XLOOKUP(B160,'Base stats'!B:B,'Base stats'!BM:BM)^0.9 / 21 * _xlfn.XLOOKUP(B160,'Base stats'!B:B,'Base stats'!BU:BU),0.1),0.05),
MAX(MROUND(((MIN(12,_xlfn.XLOOKUP(B160,'Base stats'!B:B,'Base stats'!U:U)))^0.4*_xlfn.XLOOKUP(B160,'Base stats'!B:B,'Base stats'!BE:BE)^0.73)^0.6 * _xlfn.XLOOKUP(B160,'Base stats'!B:B,'Base stats'!BU:BU),0.1),0.05)
))</f>
        <v>90.300000000000011</v>
      </c>
      <c r="T160" s="11">
        <f>IF(S160="No","No",
MAX(0.01,MROUND(_xlfn.XLOOKUP(B160,'Base stats'!B:B,'Base stats'!BE:BE) * 0.01 * 2, 0.01))
)</f>
        <v>165.35</v>
      </c>
      <c r="U160" s="5">
        <f>IF(S160="No","No",IF(_xlfn.XLOOKUP(B160,'Base stats'!B:B,'Base stats'!U:U)="No","No",
MAX(0.01,MROUND(_xlfn.XLOOKUP(B160,'Base stats'!B:B,'Base stats'!BQ:BQ)/10000,0.01))
))</f>
        <v>13.14</v>
      </c>
      <c r="V160" s="4">
        <f>IF(S160="No","No",
MROUND(_xlfn.XLOOKUP(B160,'Base stats'!B:B,'Base stats'!BC:BC)^0.25
/((_xlfn.XLOOKUP(B160,'Base stats'!B:B,'Base stats'!BL:BL))*10)*_xlfn.XLOOKUP(_xlfn.XLOOKUP(B160,'Base stats'!B:B,'Base stats'!E:E),Groups!A:A,Groups!AE:AE)*150 + 0.5 + _xlfn.XLOOKUP(B160,'Base stats'!B:B,'Base stats'!BT:BT),
0.05))</f>
        <v>2.35</v>
      </c>
      <c r="W160" s="8">
        <f>MROUND(_xlfn.XLOOKUP(_xlfn.XLOOKUP(B160,'Base stats'!B:B,'Base stats'!E:E),Groups!A:A,Groups!BF:BF)*_xlfn.XLOOKUP(B160,'Base stats'!B:B,'Base stats'!C:C)^-0.165,0.01)</f>
        <v>0.22</v>
      </c>
      <c r="X160" s="1">
        <f>MROUND(_xlfn.XLOOKUP(_xlfn.XLOOKUP(B160,'Base stats'!B:B,'Base stats'!E:E),Groups!A:A,Groups!BG:BG)*_xlfn.XLOOKUP(B160,'Base stats'!B:B,'Base stats'!C:C)^0.165,0.01)</f>
        <v>1.1400000000000001</v>
      </c>
      <c r="Y160" s="8">
        <f>MROUND(_xlfn.XLOOKUP(_xlfn.XLOOKUP(B160,'Base stats'!B:B,'Base stats'!E:E),Groups!A:A,Groups!BH:BH)*_xlfn.XLOOKUP(B160,'Base stats'!B:B,'Base stats'!C:C)^0.165,0.01)</f>
        <v>0.23</v>
      </c>
      <c r="Z160" s="18">
        <f>_xlfn.XLOOKUP(B160,'Base stats'!B:B,'Base stats'!AN:AN)*_xlfn.XLOOKUP(_xlfn.XLOOKUP(B160,'Base stats'!B:B,'Base stats'!E:E),Groups!A:A,Groups!H:H)/1000</f>
        <v>2.5327153599316983</v>
      </c>
      <c r="AA160" s="18">
        <f>(1/2)*(_xlfn.XLOOKUP(_xlfn.XLOOKUP(B160,'Base stats'!B:B,'Base stats'!E:E),Groups!A:A,Groups!H:H)*_xlfn.XLOOKUP(_xlfn.XLOOKUP(B160,'Base stats'!B:B,'Base stats'!E:E),Groups!A:A,Groups!I:I))*_xlfn.XLOOKUP(B160,'Base stats'!B:B,'Base stats'!AN:AN)*0.01</f>
        <v>2.5327153599316987</v>
      </c>
      <c r="AB160" s="18">
        <f>250*(Animals!AN160+Animals!AO160)</f>
        <v>4062.5</v>
      </c>
      <c r="AC160" s="18" t="str">
        <f>_xlfn.XLOOKUP(_xlfn.XLOOKUP(B160,'Base stats'!B:B,'Base stats'!E:E),Groups!A:A,Groups!BI:BI)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stats'!BP:BP) * (_xlfn.XLOOKUP(B161,'Base stats'!B:B,'Base stats'!AL:AL)*5%)^0.9 / 21,0.1),0.05)</f>
        <v>9.2000000000000011</v>
      </c>
      <c r="E161" s="11">
        <f>MAX(0.01,MROUND(_xlfn.XLOOKUP(B161,'Base stats'!B:B,'Base stats'!BD:BD) * 0.01 * 2, 0.01))</f>
        <v>8.4700000000000006</v>
      </c>
      <c r="F161" s="7">
        <f>MROUND(_xlfn.XLOOKUP(B161,'Base stats'!B:B,'Base stats'!BA:BA)^0.25 / (_xlfn.XLOOKUP(B161,'Base stats'!B:B,'Base stats'!BH:BH) * 10) * 150 + 0.5 + _xlfn.XLOOKUP(B161,'Base stats'!B:B,'Base stats'!BT:BT), 0.05)</f>
        <v>2.4000000000000004</v>
      </c>
      <c r="G161" s="3" t="str">
        <f>IF(Animals!R161="No","No",
IF(_xlfn.XLOOKUP(B161,'Base stats'!B:B,'Base stats'!U:U)="No",
MAX(MROUND(_xlfn.XLOOKUP(B161,'Base stats'!B:B,'Base stats'!BQ:BQ) * _xlfn.XLOOKUP(B161,'Base stats'!B:B,'Base stats'!BM:BM)^0.9 / 21 * _xlfn.XLOOKUP(B161,'Base stats'!B:B,'Base stats'!BU:BU),0.1),0.05),
MAX(MROUND(((MIN(10,_xlfn.XLOOKUP(B161,'Base stats'!B:B,'Base stats'!U:U)))^0.4*_xlfn.XLOOKUP(B161,'Base stats'!B:B,'Base stats'!BE:BE)^0.73)^0.6 * _xlfn.XLOOKUP(B161,'Base stats'!B:B,'Base stats'!BU:BU),0.1),0.05)
))</f>
        <v>No</v>
      </c>
      <c r="H161" s="11" t="str">
        <f>IF(G161="No","No",
MAX(0.01,MROUND(_xlfn.XLOOKUP(B161,'Base stats'!B:B,'Base stats'!BE:BE) * 0.01 * 2, 0.01))
)</f>
        <v>No</v>
      </c>
      <c r="I161" s="11" t="str">
        <f>IF(G161="No","No",IF(_xlfn.XLOOKUP(B161,'Base stats'!B:B,'Base stats'!U:U)="No","No",
MAX(0.01,MROUND(_xlfn.XLOOKUP(B161,'Base stats'!B:B,'Base stats'!BQ:BQ)/10000,0.01))
))</f>
        <v>No</v>
      </c>
      <c r="J161" s="4" t="str">
        <f>IF(G161="No","No",
MROUND(_xlfn.XLOOKUP(B161,'Base stats'!B:B,'Base stats'!BB:BB)^0.25
/((_xlfn.XLOOKUP(B161,'Base stats'!B:B,'Base stats'!BI:BI))*10)*_xlfn.XLOOKUP(_xlfn.XLOOKUP(B161,'Base stats'!B:B,'Base stats'!E:E),Groups!A:A,Groups!Q:Q)*150 + 0.5 + _xlfn.XLOOKUP(B161,'Base stats'!B:B,'Base stats'!BT:BT),
0.05))</f>
        <v>No</v>
      </c>
      <c r="K161" s="3" t="str">
        <f>IF(Animals!W161="No","No",
IF(_xlfn.XLOOKUP(_xlfn.XLOOKUP(B161,'Base stats'!B:B,'Base stats'!E:E),Groups!A:A,Groups!BC:BC)=1,
MAX(MROUND(_xlfn.XLOOKUP(B161,'Base stats'!B:B,'Base stats'!BR:BR) * _xlfn.XLOOKUP(B161,'Base stats'!B:B,'Base stats'!BN:BN)^0.9 / 21 *_xlfn.XLOOKUP(B161,'Base stats'!B:B,'Base stats'!BU:BU),0.1),0.05),
MAX(MROUND(((MIN(10,_xlfn.XLOOKUP(B161,'Base stats'!B:B,'Base stats'!W:W)))^0.4*_xlfn.XLOOKUP(B161,'Base stats'!B:B,'Base stats'!BF:BF)^0.73)^0.6 *_xlfn.XLOOKUP(B161,'Base stats'!B:B,'Base stats'!BU:BU),0.1),0.05)
))</f>
        <v>No</v>
      </c>
      <c r="L161" s="11" t="str">
        <f>IF(K161="No","No",
MAX(0.01,MROUND(_xlfn.XLOOKUP(B161,'Base stats'!B:B,'Base stats'!BF:BF) * 0.01 *2, 0.01))
)</f>
        <v>No</v>
      </c>
      <c r="M161" s="5" t="str">
        <f>IF(K161="No","No",IF(_xlfn.XLOOKUP(_xlfn.XLOOKUP(B161,'Base stats'!B:B,'Base stats'!E:E),Groups!A:A,Groups!BC:BC)=1,"No",
MAX(0.01,MROUND(_xlfn.XLOOKUP(B161,'Base stats'!B:B,'Base stats'!BR:BR)/10000,0.01))
))</f>
        <v>No</v>
      </c>
      <c r="N161" s="4" t="str">
        <f>IF(K161="No","No",
MROUND(
  _xlfn.XLOOKUP(B161,'Base stats'!B:B,'Base stats'!AZ:AZ)^0.25
  / (_xlfn.XLOOKUP(B161,'Base stats'!B:B,'Base stats'!BJ:BJ)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stats'!BT:BT),
0.05))</f>
        <v>No</v>
      </c>
      <c r="O161" s="3">
        <f>IF(Animals!AC161="No","No",
MAX(MROUND((MIN(10,_xlfn.XLOOKUP(B161,'Base stats'!B:B,'Base stats'!V:V)*IF(_xlfn.XLOOKUP(_xlfn.XLOOKUP(B161,'Base stats'!B:B,'Base stats'!E:E),Groups!A:A,Groups!O:O)=0,1,0.33))^0.4*_xlfn.XLOOKUP(B161,'Base stats'!B:B,'Base stats'!BG:BG)^0.73)^0.6 *_xlfn.XLOOKUP(B161,'Base stats'!B:B,'Base stats'!BU:BU),0.1),0.05)
)</f>
        <v>27.5</v>
      </c>
      <c r="P161" s="11">
        <f>IF(O161="No","No",
MAX(0.01,MROUND(_xlfn.XLOOKUP(B161,'Base stats'!B:B,'Base stats'!BG:BG) * 0.01 * 2, 0.01))
)</f>
        <v>10.97</v>
      </c>
      <c r="Q161" s="5">
        <f>IF(O161="No","No",
MAX(0.01,MROUND(_xlfn.XLOOKUP(B161,'Base stats'!B:B,'Base stats'!BS:BS)/10000,0.01))
)</f>
        <v>0.33</v>
      </c>
      <c r="R161" s="4">
        <f>IF(O161="No","No",
MROUND(_xlfn.XLOOKUP(B161,'Base stats'!B:B,'Base stats'!AY:AY)^0.25
/((_xlfn.XLOOKUP(B161,'Base stats'!B:B,'Base stats'!BK:BK))*10)*_xlfn.XLOOKUP(_xlfn.XLOOKUP(B161,'Base stats'!B:B,'Base stats'!E:E),Groups!A:A,Groups!Z:Z)*150 + 0.5 + _xlfn.XLOOKUP(B161,'Base stats'!B:B,'Base stats'!BT:BT),
0.05))</f>
        <v>1.9500000000000002</v>
      </c>
      <c r="S161" s="3">
        <f>IF(Animals!AH161="No","No",
IF(_xlfn.XLOOKUP(B161,'Base stats'!B:B,'Base stats'!U:U)="No",
MAX(MROUND(_xlfn.XLOOKUP(B161,'Base stats'!B:B,'Base stats'!BQ:BQ) * _xlfn.XLOOKUP(B161,'Base stats'!B:B,'Base stats'!BM:BM)^0.9 / 21 * _xlfn.XLOOKUP(B161,'Base stats'!B:B,'Base stats'!BU:BU),0.1),0.05),
MAX(MROUND(((MIN(12,_xlfn.XLOOKUP(B161,'Base stats'!B:B,'Base stats'!U:U)))^0.4*_xlfn.XLOOKUP(B161,'Base stats'!B:B,'Base stats'!BE:BE)^0.73)^0.6 * _xlfn.XLOOKUP(B161,'Base stats'!B:B,'Base stats'!BU:BU),0.1),0.05)
))</f>
        <v>27.5</v>
      </c>
      <c r="T161" s="11">
        <f>IF(S161="No","No",
MAX(0.01,MROUND(_xlfn.XLOOKUP(B161,'Base stats'!B:B,'Base stats'!BE:BE) * 0.01 * 2, 0.01))
)</f>
        <v>9.91</v>
      </c>
      <c r="U161" s="5">
        <f>IF(S161="No","No",IF(_xlfn.XLOOKUP(B161,'Base stats'!B:B,'Base stats'!U:U)="No","No",
MAX(0.01,MROUND(_xlfn.XLOOKUP(B161,'Base stats'!B:B,'Base stats'!BQ:BQ)/10000,0.01))
))</f>
        <v>0.3</v>
      </c>
      <c r="V161" s="4">
        <f>IF(S161="No","No",
MROUND(_xlfn.XLOOKUP(B161,'Base stats'!B:B,'Base stats'!BC:BC)^0.25
/((_xlfn.XLOOKUP(B161,'Base stats'!B:B,'Base stats'!BL:BL))*10)*_xlfn.XLOOKUP(_xlfn.XLOOKUP(B161,'Base stats'!B:B,'Base stats'!E:E),Groups!A:A,Groups!AE:AE)*150 + 0.5 + _xlfn.XLOOKUP(B161,'Base stats'!B:B,'Base stats'!BT:BT),
0.05))</f>
        <v>1.6500000000000001</v>
      </c>
      <c r="W161" s="8">
        <f>MROUND(_xlfn.XLOOKUP(_xlfn.XLOOKUP(B161,'Base stats'!B:B,'Base stats'!E:E),Groups!A:A,Groups!BF:BF)*_xlfn.XLOOKUP(B161,'Base stats'!B:B,'Base stats'!C:C)^-0.165,0.01)</f>
        <v>0.47000000000000003</v>
      </c>
      <c r="X161" s="1">
        <f>MROUND(_xlfn.XLOOKUP(_xlfn.XLOOKUP(B161,'Base stats'!B:B,'Base stats'!E:E),Groups!A:A,Groups!BG:BG)*_xlfn.XLOOKUP(B161,'Base stats'!B:B,'Base stats'!C:C)^0.165,0.01)</f>
        <v>0.66</v>
      </c>
      <c r="Y161" s="8">
        <f>MROUND(_xlfn.XLOOKUP(_xlfn.XLOOKUP(B161,'Base stats'!B:B,'Base stats'!E:E),Groups!A:A,Groups!BH:BH)*_xlfn.XLOOKUP(B161,'Base stats'!B:B,'Base stats'!C:C)^0.165,0.01)</f>
        <v>7.0000000000000007E-2</v>
      </c>
      <c r="Z161" s="18">
        <f>_xlfn.XLOOKUP(B161,'Base stats'!B:B,'Base stats'!AN:AN)*_xlfn.XLOOKUP(_xlfn.XLOOKUP(B161,'Base stats'!B:B,'Base stats'!E:E),Groups!A:A,Groups!H:H)/1000</f>
        <v>0.17628041200364156</v>
      </c>
      <c r="AA161" s="18">
        <f>(1/2)*(_xlfn.XLOOKUP(_xlfn.XLOOKUP(B161,'Base stats'!B:B,'Base stats'!E:E),Groups!A:A,Groups!H:H)*_xlfn.XLOOKUP(_xlfn.XLOOKUP(B161,'Base stats'!B:B,'Base stats'!E:E),Groups!A:A,Groups!I:I))*_xlfn.XLOOKUP(B161,'Base stats'!B:B,'Base stats'!AN:AN)*0.01</f>
        <v>1.3221030900273119</v>
      </c>
      <c r="AB161" s="18">
        <f>250*(Animals!AN161+Animals!AO161)</f>
        <v>1375</v>
      </c>
      <c r="AC161" s="18" t="str">
        <f>_xlfn.XLOOKUP(_xlfn.XLOOKUP(B161,'Base stats'!B:B,'Base stats'!E:E),Groups!A:A,Groups!BI:BI)</f>
        <v>Quadruped</v>
      </c>
    </row>
    <row r="162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48"/>
  <sheetViews>
    <sheetView zoomScale="85" zoomScaleNormal="85" workbookViewId="0">
      <selection activeCell="R1" sqref="R1"/>
    </sheetView>
  </sheetViews>
  <sheetFormatPr defaultRowHeight="15" x14ac:dyDescent="0.25"/>
  <cols>
    <col min="2" max="3" width="19" bestFit="1" customWidth="1"/>
    <col min="4" max="4" width="25.5703125" bestFit="1" customWidth="1"/>
    <col min="5" max="6" width="23.5703125" bestFit="1" customWidth="1"/>
    <col min="7" max="7" width="24.7109375" bestFit="1" customWidth="1"/>
    <col min="8" max="8" width="23.7109375" style="16" bestFit="1" customWidth="1"/>
    <col min="9" max="9" width="24.7109375" bestFit="1" customWidth="1"/>
    <col min="10" max="14" width="28.140625" bestFit="1" customWidth="1"/>
    <col min="15" max="17" width="28.85546875" bestFit="1" customWidth="1"/>
    <col min="18" max="18" width="19.5703125" bestFit="1" customWidth="1"/>
    <col min="19" max="19" width="20" bestFit="1" customWidth="1"/>
    <col min="20" max="20" width="17.5703125" bestFit="1" customWidth="1"/>
  </cols>
  <sheetData>
    <row r="1" spans="2:21" x14ac:dyDescent="0.25">
      <c r="B1" t="s">
        <v>864</v>
      </c>
      <c r="C1" t="s">
        <v>863</v>
      </c>
      <c r="D1" s="16" t="s">
        <v>680</v>
      </c>
      <c r="E1" t="s">
        <v>877</v>
      </c>
      <c r="F1" t="s">
        <v>865</v>
      </c>
      <c r="G1" t="s">
        <v>866</v>
      </c>
      <c r="H1" s="16" t="s">
        <v>867</v>
      </c>
      <c r="I1" t="s">
        <v>868</v>
      </c>
      <c r="J1" t="s">
        <v>869</v>
      </c>
      <c r="K1" t="s">
        <v>874</v>
      </c>
      <c r="L1" t="s">
        <v>876</v>
      </c>
      <c r="M1" t="s">
        <v>870</v>
      </c>
      <c r="N1" t="s">
        <v>871</v>
      </c>
      <c r="O1" t="s">
        <v>872</v>
      </c>
      <c r="P1" t="s">
        <v>873</v>
      </c>
      <c r="Q1" t="s">
        <v>875</v>
      </c>
      <c r="R1" t="s">
        <v>878</v>
      </c>
      <c r="S1" t="s">
        <v>1148</v>
      </c>
      <c r="T1" t="s">
        <v>1149</v>
      </c>
      <c r="U1" t="s">
        <v>1150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Animals!C63</f>
        <v>&lt;li&gt;Sparrow&lt;/li&gt;</v>
      </c>
      <c r="E2" t="str">
        <f>Animals!C63</f>
        <v>&lt;li&gt;Sparrow&lt;/li&gt;</v>
      </c>
      <c r="F2" s="16" t="str">
        <f>Animals!C63</f>
        <v>&lt;li&gt;Sparrow&lt;/li&gt;</v>
      </c>
      <c r="G2" t="str">
        <f>Animals!C63</f>
        <v>&lt;li&gt;Sparrow&lt;/li&gt;</v>
      </c>
      <c r="H2" s="16" t="str">
        <f>Animals!C63</f>
        <v>&lt;li&gt;Sparrow&lt;/li&gt;</v>
      </c>
      <c r="I2" t="str">
        <f>Animals!C63</f>
        <v>&lt;li&gt;Sparrow&lt;/li&gt;</v>
      </c>
      <c r="J2" t="str">
        <f>Animals!C63</f>
        <v>&lt;li&gt;Sparrow&lt;/li&gt;</v>
      </c>
      <c r="K2" t="str">
        <f>Animals!C63</f>
        <v>&lt;li&gt;Sparrow&lt;/li&gt;</v>
      </c>
      <c r="L2" t="str">
        <f>Animals!C63</f>
        <v>&lt;li&gt;Sparrow&lt;/li&gt;</v>
      </c>
      <c r="M2" t="str">
        <f>Animals!C63</f>
        <v>&lt;li&gt;Sparrow&lt;/li&gt;</v>
      </c>
      <c r="N2" t="str">
        <f>Animals!C73</f>
        <v>&lt;li&gt;Vulture&lt;/li&gt;</v>
      </c>
      <c r="O2" t="str">
        <f>Animals!C63</f>
        <v>&lt;li&gt;Sparrow&lt;/li&gt;</v>
      </c>
      <c r="P2" t="str">
        <f>Animals!C63</f>
        <v>&lt;li&gt;Sparrow&lt;/li&gt;</v>
      </c>
      <c r="Q2" t="str">
        <f>Animals!C63</f>
        <v>&lt;li&gt;Sparrow&lt;/li&gt;</v>
      </c>
      <c r="R2" t="str">
        <f>Animals!C63</f>
        <v>&lt;li&gt;Sparrow&lt;/li&gt;</v>
      </c>
      <c r="S2" t="str">
        <f>Animals!C50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Animals!C65</f>
        <v>&lt;li&gt;Crow&lt;/li&gt;</v>
      </c>
      <c r="E3" t="str">
        <f>Animals!C64</f>
        <v>&lt;li&gt;Bluebird&lt;/li&gt;</v>
      </c>
      <c r="F3" t="str">
        <f>Animals!C64</f>
        <v>&lt;li&gt;Bluebird&lt;/li&gt;</v>
      </c>
      <c r="G3" t="str">
        <f>Animals!C64</f>
        <v>&lt;li&gt;Bluebird&lt;/li&gt;</v>
      </c>
      <c r="H3" s="16" t="str">
        <f>Animals!C64</f>
        <v>&lt;li&gt;Bluebird&lt;/li&gt;</v>
      </c>
      <c r="I3" t="str">
        <f>Animals!C64</f>
        <v>&lt;li&gt;Bluebird&lt;/li&gt;</v>
      </c>
      <c r="J3" t="str">
        <f>Animals!C67</f>
        <v>&lt;li&gt;Quail&lt;/li&gt;</v>
      </c>
      <c r="K3" t="str">
        <f>Animals!C67</f>
        <v>&lt;li&gt;Quail&lt;/li&gt;</v>
      </c>
      <c r="L3" t="str">
        <f>Animals!C67</f>
        <v>&lt;li&gt;Quail&lt;/li&gt;</v>
      </c>
      <c r="M3" t="str">
        <f>Animals!C35</f>
        <v>&lt;li&gt;Rat&lt;/li&gt;</v>
      </c>
      <c r="N3" t="str">
        <f>Animals!C81</f>
        <v>&lt;li&gt;Armadillo&lt;/li&gt;</v>
      </c>
      <c r="O3" t="str">
        <f>Animals!C35</f>
        <v>&lt;li&gt;Rat&lt;/li&gt;</v>
      </c>
      <c r="P3" t="str">
        <f>Animals!C35</f>
        <v>&lt;li&gt;Rat&lt;/li&gt;</v>
      </c>
      <c r="Q3" t="str">
        <f>Animals!C35</f>
        <v>&lt;li&gt;Rat&lt;/li&gt;</v>
      </c>
      <c r="R3" t="str">
        <f>Animals!C35</f>
        <v>&lt;li&gt;Rat&lt;/li&gt;</v>
      </c>
      <c r="S3" t="str">
        <f>Animals!C45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Animals!C36</f>
        <v>&lt;li&gt;Squirrel&lt;/li&gt;</v>
      </c>
      <c r="F4" s="16" t="str">
        <f>Animals!C35</f>
        <v>&lt;li&gt;Rat&lt;/li&gt;</v>
      </c>
      <c r="G4" t="str">
        <f>Animals!C35</f>
        <v>&lt;li&gt;Rat&lt;/li&gt;</v>
      </c>
      <c r="H4" s="16" t="str">
        <f>Animals!C67</f>
        <v>&lt;li&gt;Quail&lt;/li&gt;</v>
      </c>
      <c r="I4" t="str">
        <f>Animals!C67</f>
        <v>&lt;li&gt;Quail&lt;/li&gt;</v>
      </c>
      <c r="J4" t="str">
        <f>Animals!C35</f>
        <v>&lt;li&gt;Rat&lt;/li&gt;</v>
      </c>
      <c r="K4" t="str">
        <f>Animals!C35</f>
        <v>&lt;li&gt;Rat&lt;/li&gt;</v>
      </c>
      <c r="L4" t="str">
        <f>Animals!C35</f>
        <v>&lt;li&gt;Rat&lt;/li&gt;</v>
      </c>
      <c r="M4" t="str">
        <f>Animals!C65</f>
        <v>&lt;li&gt;Crow&lt;/li&gt;</v>
      </c>
      <c r="N4" t="str">
        <f>Animals!C41</f>
        <v>&lt;li&gt;Boomrat&lt;/li&gt;</v>
      </c>
      <c r="O4" s="16" t="str">
        <f>Animals!C37</f>
        <v>&lt;li&gt;GuineaPig&lt;/li&gt;</v>
      </c>
      <c r="P4" t="str">
        <f>Animals!C37</f>
        <v>&lt;li&gt;GuineaPig&lt;/li&gt;</v>
      </c>
      <c r="Q4" t="str">
        <f>Animals!C37</f>
        <v>&lt;li&gt;GuineaPig&lt;/li&gt;</v>
      </c>
      <c r="R4" t="str">
        <f>Animals!C65</f>
        <v>&lt;li&gt;Crow&lt;/li&gt;</v>
      </c>
      <c r="S4" t="str">
        <f>Animals!C125</f>
        <v>&lt;li&gt;AEXP_Camel&lt;/li&gt;</v>
      </c>
    </row>
    <row r="5" spans="2:21" x14ac:dyDescent="0.25">
      <c r="B5" t="str">
        <f>Animals!C86</f>
        <v>&lt;li&gt;SeaLion&lt;/li&gt;</v>
      </c>
      <c r="C5" s="16" t="str">
        <f>Animals!C86</f>
        <v>&lt;li&gt;SeaLion&lt;/li&gt;</v>
      </c>
      <c r="D5" s="16" t="str">
        <f>Animals!$C$49</f>
        <v>&lt;li&gt;Caribou&lt;/li&gt;</v>
      </c>
      <c r="E5" t="str">
        <f>Animals!C65</f>
        <v>&lt;li&gt;Crow&lt;/li&gt;</v>
      </c>
      <c r="F5" t="str">
        <f>Animals!C36</f>
        <v>&lt;li&gt;Squirrel&lt;/li&gt;</v>
      </c>
      <c r="G5" t="str">
        <f>Animals!C36</f>
        <v>&lt;li&gt;Squirrel&lt;/li&gt;</v>
      </c>
      <c r="H5" s="16" t="str">
        <f>Animals!C35</f>
        <v>&lt;li&gt;Rat&lt;/li&gt;</v>
      </c>
      <c r="I5" t="str">
        <f>Animals!C35</f>
        <v>&lt;li&gt;Rat&lt;/li&gt;</v>
      </c>
      <c r="J5" t="str">
        <f>Animals!C65</f>
        <v>&lt;li&gt;Crow&lt;/li&gt;</v>
      </c>
      <c r="K5" t="str">
        <f>Animals!C93</f>
        <v>&lt;li&gt;PrairieDog&lt;/li&gt;</v>
      </c>
      <c r="L5" t="str">
        <f>Animals!C65</f>
        <v>&lt;li&gt;Crow&lt;/li&gt;</v>
      </c>
      <c r="M5" t="str">
        <f>Animals!C23</f>
        <v>&lt;li&gt;Hare&lt;/li&gt;</v>
      </c>
      <c r="N5" t="str">
        <f>Animals!C115</f>
        <v>&lt;li&gt;AEXP_Boombat&lt;/li&gt;</v>
      </c>
      <c r="O5" t="str">
        <f>Animals!C38</f>
        <v>&lt;li&gt;Chinchilla&lt;/li&gt;</v>
      </c>
      <c r="P5" t="str">
        <f>Animals!C38</f>
        <v>&lt;li&gt;Chinchilla&lt;/li&gt;</v>
      </c>
      <c r="Q5" t="str">
        <f>Animals!C38</f>
        <v>&lt;li&gt;Chinchilla&lt;/li&gt;</v>
      </c>
      <c r="R5" t="str">
        <f>Animals!C4</f>
        <v>&lt;li&gt;Raccoon&lt;/li&gt;</v>
      </c>
      <c r="S5" t="str">
        <f>Animals!C61</f>
        <v>&lt;li&gt;WasteRat&lt;/li&gt;</v>
      </c>
    </row>
    <row r="6" spans="2:21" x14ac:dyDescent="0.25">
      <c r="B6" s="16" t="str">
        <f>Animals!C87</f>
        <v>&lt;li&gt;Seal&lt;/li&gt;</v>
      </c>
      <c r="C6" s="16" t="str">
        <f>Animals!C87</f>
        <v>&lt;li&gt;Seal&lt;/li&gt;</v>
      </c>
      <c r="D6" s="16" t="str">
        <f>Animals!$C$97</f>
        <v>&lt;li&gt;Muskox&lt;/li&gt;</v>
      </c>
      <c r="E6" t="str">
        <f>Animals!C23</f>
        <v>&lt;li&gt;Hare&lt;/li&gt;</v>
      </c>
      <c r="F6" s="16" t="str">
        <f>Animals!C65</f>
        <v>&lt;li&gt;Crow&lt;/li&gt;</v>
      </c>
      <c r="G6" t="str">
        <f>Animals!C65</f>
        <v>&lt;li&gt;Crow&lt;/li&gt;</v>
      </c>
      <c r="H6" s="16" t="str">
        <f>Animals!C36</f>
        <v>&lt;li&gt;Squirrel&lt;/li&gt;</v>
      </c>
      <c r="I6" t="str">
        <f>Animals!C36</f>
        <v>&lt;li&gt;Squirrel&lt;/li&gt;</v>
      </c>
      <c r="J6" t="str">
        <f>Animals!C23</f>
        <v>&lt;li&gt;Hare&lt;/li&gt;</v>
      </c>
      <c r="K6" t="str">
        <f>Animals!C65</f>
        <v>&lt;li&gt;Crow&lt;/li&gt;</v>
      </c>
      <c r="L6" t="str">
        <f>Animals!C23</f>
        <v>&lt;li&gt;Hare&lt;/li&gt;</v>
      </c>
      <c r="M6" t="str">
        <f>Animals!C73</f>
        <v>&lt;li&gt;Vulture&lt;/li&gt;</v>
      </c>
      <c r="N6" t="str">
        <f>Animals!C122</f>
        <v>&lt;li&gt;AEXP_DesertTortoise&lt;/li&gt;</v>
      </c>
      <c r="O6" s="16" t="str">
        <f>Animals!C65</f>
        <v>&lt;li&gt;Crow&lt;/li&gt;</v>
      </c>
      <c r="P6" t="str">
        <f>Animals!C65</f>
        <v>&lt;li&gt;Crow&lt;/li&gt;</v>
      </c>
      <c r="Q6" t="str">
        <f>Animals!C65</f>
        <v>&lt;li&gt;Crow&lt;/li&gt;</v>
      </c>
      <c r="R6" t="str">
        <f>Animals!C41</f>
        <v>&lt;li&gt;Boomrat&lt;/li&gt;</v>
      </c>
    </row>
    <row r="7" spans="2:21" x14ac:dyDescent="0.25">
      <c r="B7" s="16" t="str">
        <f>Animals!C88</f>
        <v>&lt;li&gt;Walrus&lt;/li&gt;</v>
      </c>
      <c r="C7" s="16" t="str">
        <f>Animals!C88</f>
        <v>&lt;li&gt;Walrus&lt;/li&gt;</v>
      </c>
      <c r="D7" s="16" t="str">
        <f>Animals!$C$44</f>
        <v>&lt;li&gt;Muffalo&lt;/li&gt;</v>
      </c>
      <c r="E7" t="str">
        <f>Animals!C4</f>
        <v>&lt;li&gt;Raccoon&lt;/li&gt;</v>
      </c>
      <c r="F7" t="str">
        <f>Animals!C23</f>
        <v>&lt;li&gt;Hare&lt;/li&gt;</v>
      </c>
      <c r="G7" t="str">
        <f>Animals!C23</f>
        <v>&lt;li&gt;Hare&lt;/li&gt;</v>
      </c>
      <c r="H7" s="16" t="str">
        <f>Animals!C131</f>
        <v>&lt;li&gt;AEXP_Hedgehog&lt;/li&gt;</v>
      </c>
      <c r="I7" t="str">
        <f>Animals!C131</f>
        <v>&lt;li&gt;AEXP_Hedgehog&lt;/li&gt;</v>
      </c>
      <c r="J7" t="str">
        <f>Animals!C73</f>
        <v>&lt;li&gt;Vulture&lt;/li&gt;</v>
      </c>
      <c r="K7" t="str">
        <f>Animals!C23</f>
        <v>&lt;li&gt;Hare&lt;/li&gt;</v>
      </c>
      <c r="L7" t="str">
        <f>Animals!C73</f>
        <v>&lt;li&gt;Vulture&lt;/li&gt;</v>
      </c>
      <c r="M7" t="str">
        <f>Animals!C81</f>
        <v>&lt;li&gt;Armadillo&lt;/li&gt;</v>
      </c>
      <c r="N7" t="str">
        <f>Animals!C22</f>
        <v>&lt;li&gt;Donkey&lt;/li&gt;</v>
      </c>
      <c r="O7" s="16" t="str">
        <f>Animals!C66</f>
        <v>&lt;li&gt;Macaw&lt;/li&gt;</v>
      </c>
      <c r="P7" t="str">
        <f>Animals!C66</f>
        <v>&lt;li&gt;Macaw&lt;/li&gt;</v>
      </c>
      <c r="Q7" t="str">
        <f>Animals!C133</f>
        <v>&lt;li&gt;AEXP_Lemur&lt;/li&gt;</v>
      </c>
      <c r="R7" t="str">
        <f>Animals!C29</f>
        <v>&lt;li&gt;WildBoar&lt;/li&gt;</v>
      </c>
    </row>
    <row r="8" spans="2:21" x14ac:dyDescent="0.25">
      <c r="B8" t="str">
        <f>Animals!C71</f>
        <v>&lt;li&gt;Penguin&lt;/li&gt;</v>
      </c>
      <c r="C8" s="16" t="str">
        <f>Animals!C71</f>
        <v>&lt;li&gt;Penguin&lt;/li&gt;</v>
      </c>
      <c r="D8" s="16" t="str">
        <f>Animals!$C$96</f>
        <v>&lt;li&gt;Moose&lt;/li&gt;</v>
      </c>
      <c r="E8" t="str">
        <f>Animals!C94</f>
        <v>&lt;li&gt;Porcupine&lt;/li&gt;</v>
      </c>
      <c r="F8" t="str">
        <f>Animals!C4</f>
        <v>&lt;li&gt;Raccoon&lt;/li&gt;</v>
      </c>
      <c r="G8" t="str">
        <f>Animals!C4</f>
        <v>&lt;li&gt;Raccoon&lt;/li&gt;</v>
      </c>
      <c r="H8" s="16" t="str">
        <f>Animals!C65</f>
        <v>&lt;li&gt;Crow&lt;/li&gt;</v>
      </c>
      <c r="I8" t="str">
        <f>Animals!C65</f>
        <v>&lt;li&gt;Crow&lt;/li&gt;</v>
      </c>
      <c r="J8" t="str">
        <f>Animals!C81</f>
        <v>&lt;li&gt;Armadillo&lt;/li&gt;</v>
      </c>
      <c r="K8" t="str">
        <f>Animals!C73</f>
        <v>&lt;li&gt;Vulture&lt;/li&gt;</v>
      </c>
      <c r="L8" t="str">
        <f>Animals!C81</f>
        <v>&lt;li&gt;Armadillo&lt;/li&gt;</v>
      </c>
      <c r="M8" t="str">
        <f>Animals!C41</f>
        <v>&lt;li&gt;Boomrat&lt;/li&gt;</v>
      </c>
      <c r="N8" t="str">
        <f>Animals!C12</f>
        <v>&lt;li&gt;Dromedary&lt;/li&gt;</v>
      </c>
      <c r="O8" s="16" t="str">
        <f>Animals!C133</f>
        <v>&lt;li&gt;AEXP_Lemur&lt;/li&gt;</v>
      </c>
      <c r="P8" t="str">
        <f>Animals!C133</f>
        <v>&lt;li&gt;AEXP_Lemur&lt;/li&gt;</v>
      </c>
      <c r="Q8" t="str">
        <f>Animals!C31</f>
        <v>&lt;li&gt;Monkey&lt;/li&gt;</v>
      </c>
      <c r="R8" t="str">
        <f>Animals!C30</f>
        <v>&lt;li&gt;Pig&lt;/li&gt;</v>
      </c>
    </row>
    <row r="9" spans="2:21" x14ac:dyDescent="0.25">
      <c r="D9" s="16" t="str">
        <f>Animals!$C$59</f>
        <v xml:space="preserve">&lt;li&gt;Fox_Arctic&lt;/li&gt; </v>
      </c>
      <c r="E9" t="str">
        <f>Animals!C84</f>
        <v>&lt;li&gt;Badger&lt;/li&gt;</v>
      </c>
      <c r="F9" t="str">
        <f>Animals!C94</f>
        <v>&lt;li&gt;Porcupine&lt;/li&gt;</v>
      </c>
      <c r="G9" t="str">
        <f>Animals!C94</f>
        <v>&lt;li&gt;Porcupine&lt;/li&gt;</v>
      </c>
      <c r="H9" s="16" t="str">
        <f>Animals!C23</f>
        <v>&lt;li&gt;Hare&lt;/li&gt;</v>
      </c>
      <c r="I9" t="str">
        <f>Animals!C23</f>
        <v>&lt;li&gt;Hare&lt;/li&gt;</v>
      </c>
      <c r="J9" s="16" t="str">
        <f>Animals!C117</f>
        <v>&lt;li&gt;AEXP_Koala&lt;/li&gt;</v>
      </c>
      <c r="K9" t="str">
        <f>Animals!C81</f>
        <v>&lt;li&gt;Armadillo&lt;/li&gt;</v>
      </c>
      <c r="L9" t="str">
        <f>Animals!C117</f>
        <v>&lt;li&gt;AEXP_Koala&lt;/li&gt;</v>
      </c>
      <c r="M9" t="str">
        <f>Animals!C115</f>
        <v>&lt;li&gt;AEXP_Boombat&lt;/li&gt;</v>
      </c>
      <c r="N9" t="str">
        <f>Animals!C124</f>
        <v>&lt;li&gt;AEXP_GilaMonster&lt;/li&gt;</v>
      </c>
      <c r="O9" t="str">
        <f>Animals!C31</f>
        <v>&lt;li&gt;Monkey&lt;/li&gt;</v>
      </c>
      <c r="P9" t="str">
        <f>Animals!C31</f>
        <v>&lt;li&gt;Monkey&lt;/li&gt;</v>
      </c>
      <c r="Q9" t="str">
        <f>Animals!C117</f>
        <v>&lt;li&gt;AEXP_Koala&lt;/li&gt;</v>
      </c>
      <c r="R9" t="str">
        <f>Animals!C47</f>
        <v>&lt;li&gt;Boomalope&lt;/li&gt;</v>
      </c>
    </row>
    <row r="10" spans="2:21" x14ac:dyDescent="0.25">
      <c r="D10" t="str">
        <f>Animals!C119</f>
        <v>&lt;li&gt;AEXP_ArcticCoyote&lt;/li&gt;</v>
      </c>
      <c r="E10" t="str">
        <f>Animals!C53</f>
        <v>&lt;li&gt;Deer&lt;/li&gt;</v>
      </c>
      <c r="F10" t="str">
        <f>Animals!C84</f>
        <v>&lt;li&gt;Badger&lt;/li&gt;</v>
      </c>
      <c r="G10" t="str">
        <f>Animals!C84</f>
        <v>&lt;li&gt;Badger&lt;/li&gt;</v>
      </c>
      <c r="H10" s="16" t="str">
        <f>Animals!C4</f>
        <v>&lt;li&gt;Raccoon&lt;/li&gt;</v>
      </c>
      <c r="I10" t="str">
        <f>Animals!C4</f>
        <v>&lt;li&gt;Raccoon&lt;/li&gt;</v>
      </c>
      <c r="J10" t="str">
        <f>Animals!C41</f>
        <v>&lt;li&gt;Boomrat&lt;/li&gt;</v>
      </c>
      <c r="K10" t="str">
        <f>Animals!C117</f>
        <v>&lt;li&gt;AEXP_Koala&lt;/li&gt;</v>
      </c>
      <c r="L10" t="str">
        <f>Animals!C41</f>
        <v>&lt;li&gt;Boomrat&lt;/li&gt;</v>
      </c>
      <c r="M10" t="str">
        <f>Animals!C54</f>
        <v>&lt;li&gt;Gazelle&lt;/li&gt;</v>
      </c>
      <c r="N10" t="str">
        <f>Animals!C126</f>
        <v>&lt;li&gt;AEXP_Rattlesnake&lt;/li&gt;</v>
      </c>
      <c r="O10" t="str">
        <f>Animals!C117</f>
        <v>&lt;li&gt;AEXP_Koala&lt;/li&gt;</v>
      </c>
      <c r="P10" t="str">
        <f>Animals!C117</f>
        <v>&lt;li&gt;AEXP_Koala&lt;/li&gt;</v>
      </c>
      <c r="Q10" t="str">
        <f>Animals!C81</f>
        <v>&lt;li&gt;Armadillo&lt;/li&gt;</v>
      </c>
      <c r="R10" s="16" t="str">
        <f>Animals!C22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Animals!C53</f>
        <v>&lt;li&gt;Deer&lt;/li&gt;</v>
      </c>
      <c r="G11" t="str">
        <f>Animals!C53</f>
        <v>&lt;li&gt;Deer&lt;/li&gt;</v>
      </c>
      <c r="H11" s="16" t="str">
        <f>Animals!C128</f>
        <v>&lt;li&gt;AEXP_RedPanda&lt;/li&gt;</v>
      </c>
      <c r="I11" t="str">
        <f>Animals!C128</f>
        <v>&lt;li&gt;AEXP_RedPanda&lt;/li&gt;</v>
      </c>
      <c r="J11" s="16" t="str">
        <f>Animals!C115</f>
        <v>&lt;li&gt;AEXP_Boombat&lt;/li&gt;</v>
      </c>
      <c r="K11" t="str">
        <f>Animals!C41</f>
        <v>&lt;li&gt;Boomrat&lt;/li&gt;</v>
      </c>
      <c r="L11" t="str">
        <f>Animals!C115</f>
        <v>&lt;li&gt;AEXP_Boombat&lt;/li&gt;</v>
      </c>
      <c r="M11" t="str">
        <f>Animals!C122</f>
        <v>&lt;li&gt;AEXP_DesertTortoise&lt;/li&gt;</v>
      </c>
      <c r="N11" t="str">
        <f>Animals!C60</f>
        <v xml:space="preserve">&lt;li&gt;Fox_Fennec&lt;/li&gt; </v>
      </c>
      <c r="O11" t="str">
        <f>Animals!C81</f>
        <v>&lt;li&gt;Armadillo&lt;/li&gt;</v>
      </c>
      <c r="P11" t="str">
        <f>Animals!C81</f>
        <v>&lt;li&gt;Armadillo&lt;/li&gt;</v>
      </c>
      <c r="Q11" t="str">
        <f>Animals!C41</f>
        <v>&lt;li&gt;Boomrat&lt;/li&gt;</v>
      </c>
      <c r="R11" t="str">
        <f>Animals!C21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Animals!C46</f>
        <v>&lt;li&gt;Elk&lt;/li&gt;</v>
      </c>
      <c r="F12" s="16" t="str">
        <f>Animals!C29</f>
        <v>&lt;li&gt;WildBoar&lt;/li&gt;</v>
      </c>
      <c r="G12" t="str">
        <f>Animals!C29</f>
        <v>&lt;li&gt;WildBoar&lt;/li&gt;</v>
      </c>
      <c r="H12" s="16" t="str">
        <f>Animals!C8</f>
        <v>&lt;li&gt;Turkey&lt;/li&gt;</v>
      </c>
      <c r="I12" t="str">
        <f>Animals!C8</f>
        <v>&lt;li&gt;Turkey&lt;/li&gt;</v>
      </c>
      <c r="J12" t="str">
        <f>Animals!C54</f>
        <v>&lt;li&gt;Gazelle&lt;/li&gt;</v>
      </c>
      <c r="K12" t="str">
        <f>Animals!C115</f>
        <v>&lt;li&gt;AEXP_Boombat&lt;/li&gt;</v>
      </c>
      <c r="L12" t="str">
        <f>Animals!C54</f>
        <v>&lt;li&gt;Gazelle&lt;/li&gt;</v>
      </c>
      <c r="M12" t="str">
        <f>Animals!C7</f>
        <v>&lt;li&gt;Emu&lt;/li&gt;</v>
      </c>
      <c r="N12" t="str">
        <f>Animals!C101</f>
        <v>&lt;li&gt;StoneCrab&lt;/li&gt;</v>
      </c>
      <c r="O12" t="str">
        <f>Animals!C41</f>
        <v>&lt;li&gt;Boomrat&lt;/li&gt;</v>
      </c>
      <c r="P12" t="str">
        <f>Animals!C41</f>
        <v>&lt;li&gt;Boomrat&lt;/li&gt;</v>
      </c>
      <c r="Q12" t="str">
        <f>Animals!C72</f>
        <v>&lt;li&gt;Peacock&lt;/li&gt;</v>
      </c>
      <c r="R12" t="str">
        <f>Animals!C12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Animals!C46</f>
        <v>&lt;li&gt;Elk&lt;/li&gt;</v>
      </c>
      <c r="G13" t="str">
        <f>Animals!C46</f>
        <v>&lt;li&gt;Elk&lt;/li&gt;</v>
      </c>
      <c r="H13" s="16" t="str">
        <f>Animals!C94</f>
        <v>&lt;li&gt;Porcupine&lt;/li&gt;</v>
      </c>
      <c r="I13" t="str">
        <f>Animals!C94</f>
        <v>&lt;li&gt;Porcupine&lt;/li&gt;</v>
      </c>
      <c r="J13" s="16" t="str">
        <f>Animals!C122</f>
        <v>&lt;li&gt;AEXP_DesertTortoise&lt;/li&gt;</v>
      </c>
      <c r="K13" t="str">
        <f>Animals!C54</f>
        <v>&lt;li&gt;Gazelle&lt;/li&gt;</v>
      </c>
      <c r="L13" t="str">
        <f>Animals!C122</f>
        <v>&lt;li&gt;AEXP_DesertTortoise&lt;/li&gt;</v>
      </c>
      <c r="M13" t="str">
        <f>Animals!C116</f>
        <v>&lt;li&gt;AEXP_Kangaroo&lt;/li&gt;</v>
      </c>
      <c r="N13" s="16" t="str">
        <f>Animals!C102</f>
        <v>&lt;li&gt;HermitCrab&lt;/li&gt;</v>
      </c>
      <c r="O13" s="16" t="str">
        <f>Animals!C72</f>
        <v>&lt;li&gt;Peacock&lt;/li&gt;</v>
      </c>
      <c r="P13" t="str">
        <f>Animals!C72</f>
        <v>&lt;li&gt;Peacock&lt;/li&gt;</v>
      </c>
      <c r="Q13" t="str">
        <f>Animals!C34</f>
        <v>&lt;li&gt;Tortoise&lt;/li&gt;</v>
      </c>
      <c r="R13" t="str">
        <f>Animals!C20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Animals!C44</f>
        <v>&lt;li&gt;Muffalo&lt;/li&gt;</v>
      </c>
      <c r="F14" t="str">
        <f>Animals!C44</f>
        <v>&lt;li&gt;Muffalo&lt;/li&gt;</v>
      </c>
      <c r="G14" t="str">
        <f>Animals!C44</f>
        <v>&lt;li&gt;Muffalo&lt;/li&gt;</v>
      </c>
      <c r="H14" s="16" t="str">
        <f>Animals!C84</f>
        <v>&lt;li&gt;Badger&lt;/li&gt;</v>
      </c>
      <c r="I14" t="str">
        <f>Animals!C84</f>
        <v>&lt;li&gt;Badger&lt;/li&gt;</v>
      </c>
      <c r="J14" s="16" t="str">
        <f>Animals!C7</f>
        <v>&lt;li&gt;Emu&lt;/li&gt;</v>
      </c>
      <c r="K14" t="str">
        <f>Animals!C122</f>
        <v>&lt;li&gt;AEXP_DesertTortoise&lt;/li&gt;</v>
      </c>
      <c r="L14" t="str">
        <f>Animals!C7</f>
        <v>&lt;li&gt;Emu&lt;/li&gt;</v>
      </c>
      <c r="M14" t="str">
        <f>Animals!C5</f>
        <v>&lt;li&gt;Ostrich&lt;/li&gt;</v>
      </c>
      <c r="N14" t="str">
        <f>Animals!C61</f>
        <v>&lt;li&gt;WasteRat&lt;/li&gt;</v>
      </c>
      <c r="O14" t="str">
        <f>Animals!C32</f>
        <v>&lt;li&gt;Iguana&lt;/li&gt;</v>
      </c>
      <c r="P14" t="str">
        <f>Animals!C32</f>
        <v>&lt;li&gt;Iguana&lt;/li&gt;</v>
      </c>
      <c r="Q14" t="str">
        <f>Animals!C134</f>
        <v>&lt;li&gt;AEXP_Mandrill&lt;/li&gt;</v>
      </c>
      <c r="R14" t="str">
        <f>Animals!C99</f>
        <v>&lt;li&gt;BogHound&lt;/li&gt;</v>
      </c>
    </row>
    <row r="15" spans="2:21" x14ac:dyDescent="0.25">
      <c r="D15" s="16" t="str">
        <f>Animals!C86</f>
        <v>&lt;li&gt;SeaLion&lt;/li&gt;</v>
      </c>
      <c r="E15" t="str">
        <f>Animals!C96</f>
        <v>&lt;li&gt;Moose&lt;/li&gt;</v>
      </c>
      <c r="F15" s="16" t="str">
        <f>Animals!C96</f>
        <v>&lt;li&gt;Moose&lt;/li&gt;</v>
      </c>
      <c r="G15" t="str">
        <f>Animals!C96</f>
        <v>&lt;li&gt;Moose&lt;/li&gt;</v>
      </c>
      <c r="H15" s="16" t="str">
        <f>Animals!C41</f>
        <v>&lt;li&gt;Boomrat&lt;/li&gt;</v>
      </c>
      <c r="I15" t="str">
        <f>Animals!C41</f>
        <v>&lt;li&gt;Boomrat&lt;/li&gt;</v>
      </c>
      <c r="J15" s="16" t="str">
        <f>Animals!C116</f>
        <v>&lt;li&gt;AEXP_Kangaroo&lt;/li&gt;</v>
      </c>
      <c r="K15" t="str">
        <f>Animals!C7</f>
        <v>&lt;li&gt;Emu&lt;/li&gt;</v>
      </c>
      <c r="L15" t="str">
        <f>Animals!C116</f>
        <v>&lt;li&gt;AEXP_Kangaroo&lt;/li&gt;</v>
      </c>
      <c r="M15" t="str">
        <f>Animals!C47</f>
        <v>&lt;li&gt;Boomalope&lt;/li&gt;</v>
      </c>
      <c r="N15" t="str">
        <f>Animals!C48</f>
        <v>&lt;li&gt;Toxalope&lt;/li&gt;</v>
      </c>
      <c r="O15" s="16" t="str">
        <f>Animals!C34</f>
        <v>&lt;li&gt;Tortoise&lt;/li&gt;</v>
      </c>
      <c r="P15" s="16" t="str">
        <f>Animals!C34</f>
        <v>&lt;li&gt;Tortoise&lt;/li&gt;</v>
      </c>
      <c r="Q15" t="str">
        <f>Animals!C6</f>
        <v>&lt;li&gt;Cassowary&lt;/li&gt;</v>
      </c>
      <c r="R15" t="str">
        <f>Animals!C55</f>
        <v>&lt;li&gt;Warg&lt;/li&gt;</v>
      </c>
    </row>
    <row r="16" spans="2:21" x14ac:dyDescent="0.25">
      <c r="D16" s="16" t="str">
        <f>Animals!C87</f>
        <v>&lt;li&gt;Seal&lt;/li&gt;</v>
      </c>
      <c r="E16" t="str">
        <f>Animals!C42</f>
        <v>&lt;li&gt;Bison&lt;/li&gt;</v>
      </c>
      <c r="F16" t="str">
        <f>Animals!C42</f>
        <v>&lt;li&gt;Bison&lt;/li&gt;</v>
      </c>
      <c r="G16" t="str">
        <f>Animals!C42</f>
        <v>&lt;li&gt;Bison&lt;/li&gt;</v>
      </c>
      <c r="H16" s="16" t="str">
        <f>Animals!C53</f>
        <v>&lt;li&gt;Deer&lt;/li&gt;</v>
      </c>
      <c r="I16" t="str">
        <f>Animals!C53</f>
        <v>&lt;li&gt;Deer&lt;/li&gt;</v>
      </c>
      <c r="J16" t="str">
        <f>Animals!C5</f>
        <v>&lt;li&gt;Ostrich&lt;/li&gt;</v>
      </c>
      <c r="K16" t="str">
        <f>Animals!C116</f>
        <v>&lt;li&gt;AEXP_Kangaroo&lt;/li&gt;</v>
      </c>
      <c r="L16" t="str">
        <f>Animals!C5</f>
        <v>&lt;li&gt;Ostrich&lt;/li&gt;</v>
      </c>
      <c r="M16" t="str">
        <f>Animals!C22</f>
        <v>&lt;li&gt;Donkey&lt;/li&gt;</v>
      </c>
      <c r="O16" s="16" t="str">
        <f>Animals!C134</f>
        <v>&lt;li&gt;AEXP_Mandrill&lt;/li&gt;</v>
      </c>
      <c r="P16" t="str">
        <f>Animals!C134</f>
        <v>&lt;li&gt;AEXP_Mandrill&lt;/li&gt;</v>
      </c>
      <c r="Q16" t="str">
        <f>Animals!C39</f>
        <v>&lt;li&gt;Capybara&lt;/li&gt;</v>
      </c>
      <c r="R16" t="str">
        <f>Animals!C101</f>
        <v>&lt;li&gt;StoneCrab&lt;/li&gt;</v>
      </c>
    </row>
    <row r="17" spans="4:18" x14ac:dyDescent="0.25">
      <c r="D17" s="16" t="str">
        <f>Animals!C88</f>
        <v>&lt;li&gt;Walrus&lt;/li&gt;</v>
      </c>
      <c r="E17" t="str">
        <f>Animals!C28</f>
        <v>&lt;li&gt;Megasloth&lt;/li&gt;</v>
      </c>
      <c r="F17" t="str">
        <f>Animals!C28</f>
        <v>&lt;li&gt;Megasloth&lt;/li&gt;</v>
      </c>
      <c r="G17" t="str">
        <f>Animals!C28</f>
        <v>&lt;li&gt;Megasloth&lt;/li&gt;</v>
      </c>
      <c r="H17" s="16" t="str">
        <f>Animals!C29</f>
        <v>&lt;li&gt;WildBoar&lt;/li&gt;</v>
      </c>
      <c r="I17" t="str">
        <f>Animals!C29</f>
        <v>&lt;li&gt;WildBoar&lt;/li&gt;</v>
      </c>
      <c r="J17" t="str">
        <f>Animals!C47</f>
        <v>&lt;li&gt;Boomalope&lt;/li&gt;</v>
      </c>
      <c r="K17" t="str">
        <f>Animals!C5</f>
        <v>&lt;li&gt;Ostrich&lt;/li&gt;</v>
      </c>
      <c r="L17" t="str">
        <f>Animals!C47</f>
        <v>&lt;li&gt;Boomalope&lt;/li&gt;</v>
      </c>
      <c r="M17" t="str">
        <f>Animals!C112</f>
        <v>&lt;li&gt;AEXP_Wildebeest&lt;/li&gt;</v>
      </c>
      <c r="O17" s="16" t="str">
        <f>Animals!C6</f>
        <v>&lt;li&gt;Cassowary&lt;/li&gt;</v>
      </c>
      <c r="P17" t="str">
        <f>Animals!C6</f>
        <v>&lt;li&gt;Cassowary&lt;/li&gt;</v>
      </c>
      <c r="Q17" t="str">
        <f>Animals!C95</f>
        <v>&lt;li&gt;Megavole&lt;/li&gt;</v>
      </c>
      <c r="R17" t="str">
        <f>Animals!C61</f>
        <v>&lt;li&gt;WasteRat&lt;/li&gt;</v>
      </c>
    </row>
    <row r="18" spans="4:18" x14ac:dyDescent="0.25">
      <c r="D18" t="str">
        <f>Animals!C71</f>
        <v>&lt;li&gt;Penguin&lt;/li&gt;</v>
      </c>
      <c r="E18" t="str">
        <f>Animals!C79</f>
        <v>&lt;li&gt;Mastodon&lt;/li&gt;</v>
      </c>
      <c r="F18" t="str">
        <f>Animals!C83</f>
        <v>&lt;li&gt;Mink&lt;/li&gt;</v>
      </c>
      <c r="G18" t="str">
        <f>Animals!C83</f>
        <v>&lt;li&gt;Mink&lt;/li&gt;</v>
      </c>
      <c r="H18" s="16" t="str">
        <f>Animals!C47</f>
        <v>&lt;li&gt;Boomalope&lt;/li&gt;</v>
      </c>
      <c r="I18" t="str">
        <f>Animals!C47</f>
        <v>&lt;li&gt;Boomalope&lt;/li&gt;</v>
      </c>
      <c r="J18" t="str">
        <f>Animals!C22</f>
        <v>&lt;li&gt;Donkey&lt;/li&gt;</v>
      </c>
      <c r="K18" t="str">
        <f>Animals!C47</f>
        <v>&lt;li&gt;Boomalope&lt;/li&gt;</v>
      </c>
      <c r="L18" t="str">
        <f>Animals!C22</f>
        <v>&lt;li&gt;Donkey&lt;/li&gt;</v>
      </c>
      <c r="M18" t="str">
        <f>Animals!C111</f>
        <v>&lt;li&gt;AEXP_Zebra&lt;/li&gt;</v>
      </c>
      <c r="O18" t="str">
        <f>Animals!C39</f>
        <v>&lt;li&gt;Capybara&lt;/li&gt;</v>
      </c>
      <c r="P18" t="str">
        <f>Animals!C39</f>
        <v>&lt;li&gt;Capybara&lt;/li&gt;</v>
      </c>
      <c r="Q18" t="str">
        <f>Animals!C29</f>
        <v>&lt;li&gt;WildBoar&lt;/li&gt;</v>
      </c>
      <c r="R18" t="str">
        <f>Animals!C48</f>
        <v>&lt;li&gt;Toxalope&lt;/li&gt;</v>
      </c>
    </row>
    <row r="19" spans="4:18" x14ac:dyDescent="0.25">
      <c r="E19" s="16" t="str">
        <f>Animals!C83</f>
        <v>&lt;li&gt;Mink&lt;/li&gt;</v>
      </c>
      <c r="F19" t="str">
        <f>Animals!C58</f>
        <v>&lt;li&gt;Fox_Red&lt;/li&gt;</v>
      </c>
      <c r="G19" t="str">
        <f>Animals!C58</f>
        <v>&lt;li&gt;Fox_Red&lt;/li&gt;</v>
      </c>
      <c r="H19" s="16" t="str">
        <f>Animals!C46</f>
        <v>&lt;li&gt;Elk&lt;/li&gt;</v>
      </c>
      <c r="I19" t="str">
        <f>Animals!C46</f>
        <v>&lt;li&gt;Elk&lt;/li&gt;</v>
      </c>
      <c r="J19" s="16" t="str">
        <f>Animals!C112</f>
        <v>&lt;li&gt;AEXP_Wildebeest&lt;/li&gt;</v>
      </c>
      <c r="K19" t="str">
        <f>Animals!C22</f>
        <v>&lt;li&gt;Donkey&lt;/li&gt;</v>
      </c>
      <c r="L19" t="str">
        <f>Animals!C112</f>
        <v>&lt;li&gt;AEXP_Wildebeest&lt;/li&gt;</v>
      </c>
      <c r="M19" t="str">
        <f>Animals!C12</f>
        <v>&lt;li&gt;Dromedary&lt;/li&gt;</v>
      </c>
      <c r="O19" t="str">
        <f>Animals!C29</f>
        <v>&lt;li&gt;WildBoar&lt;/li&gt;</v>
      </c>
      <c r="P19" t="str">
        <f>Animals!C29</f>
        <v>&lt;li&gt;WildBoar&lt;/li&gt;</v>
      </c>
      <c r="Q19" t="str">
        <f>Animals!C89</f>
        <v>&lt;li&gt;Gorilla&lt;/li&gt;</v>
      </c>
    </row>
    <row r="20" spans="4:18" x14ac:dyDescent="0.25">
      <c r="E20" t="str">
        <f>Animals!C58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Animals!C44</f>
        <v>&lt;li&gt;Muffalo&lt;/li&gt;</v>
      </c>
      <c r="I20" t="str">
        <f>Animals!C44</f>
        <v>&lt;li&gt;Muffalo&lt;/li&gt;</v>
      </c>
      <c r="J20" s="16" t="str">
        <f>Animals!C111</f>
        <v>&lt;li&gt;AEXP_Zebra&lt;/li&gt;</v>
      </c>
      <c r="K20" t="str">
        <f>Animals!C112</f>
        <v>&lt;li&gt;AEXP_Wildebeest&lt;/li&gt;</v>
      </c>
      <c r="L20" t="str">
        <f>Animals!C111</f>
        <v>&lt;li&gt;AEXP_Zebra&lt;/li&gt;</v>
      </c>
      <c r="M20" t="str">
        <f>Animals!C124</f>
        <v>&lt;li&gt;AEXP_GilaMonster&lt;/li&gt;</v>
      </c>
      <c r="O20" t="str">
        <f>Animals!C89</f>
        <v>&lt;li&gt;Gorilla&lt;/li&gt;</v>
      </c>
      <c r="P20" t="str">
        <f>Animals!C89</f>
        <v>&lt;li&gt;Gorilla&lt;/li&gt;</v>
      </c>
      <c r="Q20" t="str">
        <f>Animals!C47</f>
        <v>&lt;li&gt;Boomalope&lt;/li&gt;</v>
      </c>
    </row>
    <row r="21" spans="4:18" x14ac:dyDescent="0.25"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Animals!C21</f>
        <v>&lt;li&gt;Horse&lt;/li&gt;</v>
      </c>
      <c r="I21" t="str">
        <f>Animals!C21</f>
        <v>&lt;li&gt;Horse&lt;/li&gt;</v>
      </c>
      <c r="J21" t="str">
        <f>Animals!C21</f>
        <v>&lt;li&gt;Horse&lt;/li&gt;</v>
      </c>
      <c r="K21" t="str">
        <f>Animals!C111</f>
        <v>&lt;li&gt;AEXP_Zebra&lt;/li&gt;</v>
      </c>
      <c r="L21" t="str">
        <f>Animals!C12</f>
        <v>&lt;li&gt;Dromedary&lt;/li&gt;</v>
      </c>
      <c r="M21" t="str">
        <f>Animals!C126</f>
        <v>&lt;li&gt;AEXP_Rattlesnake&lt;/li&gt;</v>
      </c>
      <c r="O21" t="str">
        <f>Animals!C47</f>
        <v>&lt;li&gt;Boomalope&lt;/li&gt;</v>
      </c>
      <c r="P21" t="str">
        <f>Animals!C47</f>
        <v>&lt;li&gt;Boomalope&lt;/li&gt;</v>
      </c>
      <c r="Q21" t="str">
        <f>Animals!C135</f>
        <v>&lt;li&gt;AEXP_Tapir&lt;/li&gt;</v>
      </c>
    </row>
    <row r="22" spans="4:18" x14ac:dyDescent="0.25">
      <c r="D22" s="16"/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Animals!C96</f>
        <v>&lt;li&gt;Moose&lt;/li&gt;</v>
      </c>
      <c r="I22" t="str">
        <f>Animals!C96</f>
        <v>&lt;li&gt;Moose&lt;/li&gt;</v>
      </c>
      <c r="J22" t="str">
        <f>Animals!C12</f>
        <v>&lt;li&gt;Dromedary&lt;/li&gt;</v>
      </c>
      <c r="K22" t="str">
        <f>Animals!C21</f>
        <v>&lt;li&gt;Horse&lt;/li&gt;</v>
      </c>
      <c r="L22" t="str">
        <f>Animals!C124</f>
        <v>&lt;li&gt;AEXP_GilaMonster&lt;/li&gt;</v>
      </c>
      <c r="M22" t="str">
        <f>Animals!C60</f>
        <v xml:space="preserve">&lt;li&gt;Fox_Fennec&lt;/li&gt; </v>
      </c>
      <c r="O22" s="16" t="str">
        <f>Animals!C135</f>
        <v>&lt;li&gt;AEXP_Tapir&lt;/li&gt;</v>
      </c>
      <c r="P22" t="str">
        <f>Animals!C135</f>
        <v>&lt;li&gt;AEXP_Tapir&lt;/li&gt;</v>
      </c>
      <c r="Q22" t="str">
        <f>Animals!C137</f>
        <v>&lt;li&gt;AEXP_IndianElephant&lt;/li&gt;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Animals!C42</f>
        <v>&lt;li&gt;Bison&lt;/li&gt;</v>
      </c>
      <c r="I23" t="str">
        <f>Animals!C42</f>
        <v>&lt;li&gt;Bison&lt;/li&gt;</v>
      </c>
      <c r="J23" s="16" t="str">
        <f>Animals!C110</f>
        <v>&lt;li&gt;AEXP_Giraffe&lt;/li&gt;</v>
      </c>
      <c r="K23" t="str">
        <f>Animals!C42</f>
        <v>&lt;li&gt;Bison&lt;/li&gt;</v>
      </c>
      <c r="L23" t="str">
        <f>Animals!C126</f>
        <v>&lt;li&gt;AEXP_Rattlesnake&lt;/li&gt;</v>
      </c>
      <c r="M23" t="str">
        <f>Animals!C109</f>
        <v>&lt;li&gt;AEXP_Coyote&lt;/li&gt;</v>
      </c>
      <c r="O23" s="16" t="str">
        <f>Animals!C137</f>
        <v>&lt;li&gt;AEXP_IndianElephant&lt;/li&gt;</v>
      </c>
      <c r="P23" t="str">
        <f>Animals!C137</f>
        <v>&lt;li&gt;AEXP_IndianElephant&lt;/li&gt;</v>
      </c>
      <c r="Q23" t="str">
        <f>Animals!C33</f>
        <v>&lt;li&gt;Cobra&lt;/li&gt;</v>
      </c>
    </row>
    <row r="24" spans="4:18" x14ac:dyDescent="0.25">
      <c r="E24" t="str">
        <f>Animals!$C$56</f>
        <v>&lt;li&gt;Wolf_Timber&lt;/li&gt;</v>
      </c>
      <c r="F24" t="str">
        <f>Animals!C17</f>
        <v>&lt;li&gt;Cougar&lt;/li&gt;</v>
      </c>
      <c r="G24" t="str">
        <f>Animals!C17</f>
        <v>&lt;li&gt;Cougar&lt;/li&gt;</v>
      </c>
      <c r="H24" s="16" t="str">
        <f>Animals!C28</f>
        <v>&lt;li&gt;Megasloth&lt;/li&gt;</v>
      </c>
      <c r="I24" t="str">
        <f>Animals!C28</f>
        <v>&lt;li&gt;Megasloth&lt;/li&gt;</v>
      </c>
      <c r="J24" t="str">
        <f>Animals!C25</f>
        <v>&lt;li&gt;Rhinoceros&lt;/li&gt;</v>
      </c>
      <c r="K24" t="str">
        <f>Animals!C110</f>
        <v>&lt;li&gt;AEXP_Giraffe&lt;/li&gt;</v>
      </c>
      <c r="L24" t="str">
        <f>Animals!C60</f>
        <v xml:space="preserve">&lt;li&gt;Fox_Fennec&lt;/li&gt; </v>
      </c>
      <c r="M24" t="str">
        <f>Animals!C114</f>
        <v>&lt;li&gt;AEXP_Cheetah&lt;/li&gt;</v>
      </c>
      <c r="O24" t="str">
        <f>Animals!C33</f>
        <v>&lt;li&gt;Cobra&lt;/li&gt;</v>
      </c>
      <c r="P24" t="str">
        <f>Animals!C33</f>
        <v>&lt;li&gt;Cobra&lt;/li&gt;</v>
      </c>
      <c r="Q24" t="str">
        <f>Animals!C18</f>
        <v>&lt;li&gt;Panther&lt;/li&gt;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Animals!C62</f>
        <v>&lt;li&gt;Panda&lt;/li&gt;</v>
      </c>
      <c r="I25" t="str">
        <f>Animals!C62</f>
        <v>&lt;li&gt;Panda&lt;/li&gt;</v>
      </c>
      <c r="J25" s="16" t="str">
        <f>Animals!C26</f>
        <v>&lt;li&gt;Elephant&lt;/li&gt;</v>
      </c>
      <c r="K25" t="str">
        <f>Animals!C25</f>
        <v>&lt;li&gt;Rhinoceros&lt;/li&gt;</v>
      </c>
      <c r="L25" t="str">
        <f>Animals!C109</f>
        <v>&lt;li&gt;AEXP_Coyote&lt;/li&gt;</v>
      </c>
      <c r="M25" t="str">
        <f>Animals!C17</f>
        <v>&lt;li&gt;Cougar&lt;/li&gt;</v>
      </c>
      <c r="O25" t="str">
        <f>Animals!C18</f>
        <v>&lt;li&gt;Panther&lt;/li&gt;</v>
      </c>
      <c r="P25" t="str">
        <f>Animals!C18</f>
        <v>&lt;li&gt;Panther&lt;/li&gt;</v>
      </c>
      <c r="Q25" t="str">
        <f>Animals!C132</f>
        <v>&lt;li&gt;AEXP_Jaguar&lt;/li&gt;</v>
      </c>
    </row>
    <row r="26" spans="4:18" x14ac:dyDescent="0.25">
      <c r="E26" t="str">
        <f>Animals!C17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Animals!C83</f>
        <v>&lt;li&gt;Mink&lt;/li&gt;</v>
      </c>
      <c r="I26" t="str">
        <f>Animals!C83</f>
        <v>&lt;li&gt;Mink&lt;/li&gt;</v>
      </c>
      <c r="J26" s="16" t="str">
        <f>Animals!C124</f>
        <v>&lt;li&gt;AEXP_GilaMonster&lt;/li&gt;</v>
      </c>
      <c r="K26" t="str">
        <f>Animals!C28</f>
        <v>&lt;li&gt;Megasloth&lt;/li&gt;</v>
      </c>
      <c r="L26" t="str">
        <f>Animals!C114</f>
        <v>&lt;li&gt;AEXP_Cheetah&lt;/li&gt;</v>
      </c>
      <c r="M26" t="str">
        <f>Animals!C121</f>
        <v>&lt;li&gt;AEXP_Hyena&lt;/li&gt;</v>
      </c>
      <c r="O26" s="16" t="str">
        <f>Animals!C132</f>
        <v>&lt;li&gt;AEXP_Jaguar&lt;/li&gt;</v>
      </c>
      <c r="P26" t="str">
        <f>Animals!C132</f>
        <v>&lt;li&gt;AEXP_Jaguar&lt;/li&gt;</v>
      </c>
      <c r="Q26" t="str">
        <f>Animals!C74</f>
        <v>&lt;li&gt;Tiger&lt;/li&gt;</v>
      </c>
    </row>
    <row r="27" spans="4:18" x14ac:dyDescent="0.25">
      <c r="E27" t="str">
        <f>Animals!$C$120</f>
        <v>&lt;li&gt;AEXP_BlackBear&lt;/li&gt;</v>
      </c>
      <c r="F27" s="16" t="str">
        <f>Animals!C86</f>
        <v>&lt;li&gt;SeaLion&lt;/li&gt;</v>
      </c>
      <c r="G27" t="str">
        <f>Animals!C86</f>
        <v>&lt;li&gt;SeaLion&lt;/li&gt;</v>
      </c>
      <c r="H27" s="16" t="str">
        <f>Animals!C58</f>
        <v>&lt;li&gt;Fox_Red&lt;/li&gt;</v>
      </c>
      <c r="I27" t="str">
        <f>Animals!C58</f>
        <v>&lt;li&gt;Fox_Red&lt;/li&gt;</v>
      </c>
      <c r="J27" s="16" t="str">
        <f>Animals!C126</f>
        <v>&lt;li&gt;AEXP_Rattlesnake&lt;/li&gt;</v>
      </c>
      <c r="K27" t="str">
        <f>Animals!C26</f>
        <v>&lt;li&gt;Elephant&lt;/li&gt;</v>
      </c>
      <c r="L27" t="str">
        <f>Animals!C90</f>
        <v>&lt;li&gt;MonitorLizard&lt;/li&gt;</v>
      </c>
      <c r="M27" t="str">
        <f>Animals!C123</f>
        <v>&lt;li&gt;AEXP_Lion&lt;/li&gt;</v>
      </c>
      <c r="O27" s="16" t="str">
        <f>Animals!C74</f>
        <v>&lt;li&gt;Tiger&lt;/li&gt;</v>
      </c>
      <c r="P27" t="str">
        <f>Animals!C74</f>
        <v>&lt;li&gt;Tiger&lt;/li&gt;</v>
      </c>
      <c r="Q27" t="str">
        <f>Animals!C92</f>
        <v>&lt;li&gt;SeaTurtle&lt;/li&gt;</v>
      </c>
    </row>
    <row r="28" spans="4:18" x14ac:dyDescent="0.25">
      <c r="E28" t="str">
        <f>Animals!$C$75</f>
        <v>&lt;li&gt;Cat_Scimitar&lt;/li&gt;</v>
      </c>
      <c r="F28" t="str">
        <f>Animals!C87</f>
        <v>&lt;li&gt;Seal&lt;/li&gt;</v>
      </c>
      <c r="G28" s="16" t="str">
        <f>Animals!C87</f>
        <v>&lt;li&gt;Seal&lt;/li&gt;</v>
      </c>
      <c r="H28" s="16" t="str">
        <f>Animals!$C$109</f>
        <v>&lt;li&gt;AEXP_Coyote&lt;/li&gt;</v>
      </c>
      <c r="I28" t="str">
        <f>Animals!$C$109</f>
        <v>&lt;li&gt;AEXP_Coyote&lt;/li&gt;</v>
      </c>
      <c r="J28" s="16" t="str">
        <f>Animals!C60</f>
        <v xml:space="preserve">&lt;li&gt;Fox_Fennec&lt;/li&gt; </v>
      </c>
      <c r="K28" t="str">
        <f>Animals!C109</f>
        <v>&lt;li&gt;AEXP_Coyote&lt;/li&gt;</v>
      </c>
      <c r="L28" s="16" t="str">
        <f>Animals!C17</f>
        <v>&lt;li&gt;Cougar&lt;/li&gt;</v>
      </c>
      <c r="M28" t="str">
        <f>Animals!C92</f>
        <v>&lt;li&gt;SeaTurtle&lt;/li&gt;</v>
      </c>
      <c r="O28" t="str">
        <f>Animals!C92</f>
        <v>&lt;li&gt;SeaTurtle&lt;/li&gt;</v>
      </c>
      <c r="P28" t="str">
        <f>Animals!C92</f>
        <v>&lt;li&gt;SeaTurtle&lt;/li&gt;</v>
      </c>
      <c r="Q28" s="16" t="str">
        <f>Animals!C101</f>
        <v>&lt;li&gt;StoneCrab&lt;/li&gt;</v>
      </c>
    </row>
    <row r="29" spans="4:18" x14ac:dyDescent="0.25">
      <c r="E29" t="str">
        <f>Animals!$C$3</f>
        <v>&lt;li&gt;Bear_Grizzly&lt;/li&gt;</v>
      </c>
      <c r="F29" t="str">
        <f>Animals!C61</f>
        <v>&lt;li&gt;WasteRat&lt;/li&gt;</v>
      </c>
      <c r="G29" s="16" t="str">
        <f>Animals!C10</f>
        <v>&lt;li&gt;Duck&lt;/li&gt;</v>
      </c>
      <c r="H29" s="16" t="str">
        <f>Animals!$C$19</f>
        <v>&lt;li&gt;Lynx&lt;/li&gt;</v>
      </c>
      <c r="I29" t="str">
        <f>Animals!$C$19</f>
        <v>&lt;li&gt;Lynx&lt;/li&gt;</v>
      </c>
      <c r="J29" t="str">
        <f>Animals!C109</f>
        <v>&lt;li&gt;AEXP_Coyote&lt;/li&gt;</v>
      </c>
      <c r="K29" t="str">
        <f>Animals!C114</f>
        <v>&lt;li&gt;AEXP_Cheetah&lt;/li&gt;</v>
      </c>
      <c r="L29" t="str">
        <f>Animals!C123</f>
        <v>&lt;li&gt;AEXP_Lion&lt;/li&gt;</v>
      </c>
      <c r="M29" t="str">
        <f>Animals!C101</f>
        <v>&lt;li&gt;StoneCrab&lt;/li&gt;</v>
      </c>
      <c r="O29" t="str">
        <f>Animals!C101</f>
        <v>&lt;li&gt;StoneCrab&lt;/li&gt;</v>
      </c>
      <c r="P29" s="16" t="str">
        <f>Animals!C101</f>
        <v>&lt;li&gt;StoneCrab&lt;/li&gt;</v>
      </c>
      <c r="Q29" t="str">
        <f>Animals!C102</f>
        <v>&lt;li&gt;HermitCrab&lt;/li&gt;</v>
      </c>
    </row>
    <row r="30" spans="4:18" x14ac:dyDescent="0.25">
      <c r="E30" t="str">
        <f>Animals!C86</f>
        <v>&lt;li&gt;SeaLion&lt;/li&gt;</v>
      </c>
      <c r="F30" s="16" t="str">
        <f>Animals!C48</f>
        <v>&lt;li&gt;Toxalope&lt;/li&gt;</v>
      </c>
      <c r="G30" s="16" t="str">
        <f>Animals!C68</f>
        <v>&lt;li&gt;Swan&lt;/li&gt;</v>
      </c>
      <c r="H30" s="16" t="str">
        <f>Animals!$C$56</f>
        <v>&lt;li&gt;Wolf_Timber&lt;/li&gt;</v>
      </c>
      <c r="I30" t="str">
        <f>Animals!$C$56</f>
        <v>&lt;li&gt;Wolf_Timber&lt;/li&gt;</v>
      </c>
      <c r="J30" s="16" t="str">
        <f>Animals!C114</f>
        <v>&lt;li&gt;AEXP_Cheetah&lt;/li&gt;</v>
      </c>
      <c r="K30" t="str">
        <f>Animals!C90</f>
        <v>&lt;li&gt;MonitorLizard&lt;/li&gt;</v>
      </c>
      <c r="L30" t="str">
        <f>Animals!C92</f>
        <v>&lt;li&gt;SeaTurtle&lt;/li&gt;</v>
      </c>
      <c r="M30" s="16" t="str">
        <f>Animals!C102</f>
        <v>&lt;li&gt;HermitCrab&lt;/li&gt;</v>
      </c>
      <c r="O30" s="16" t="str">
        <f>Animals!C102</f>
        <v>&lt;li&gt;HermitCrab&lt;/li&gt;</v>
      </c>
      <c r="P30" s="16" t="str">
        <f>Animals!C102</f>
        <v>&lt;li&gt;HermitCrab&lt;/li&gt;</v>
      </c>
      <c r="Q30" t="str">
        <f>Animals!C113</f>
        <v>&lt;li&gt;AEXP_Crocodile&lt;/li&gt;</v>
      </c>
    </row>
    <row r="31" spans="4:18" x14ac:dyDescent="0.25">
      <c r="E31" s="16" t="str">
        <f>Animals!C87</f>
        <v>&lt;li&gt;Seal&lt;/li&gt;</v>
      </c>
      <c r="G31" s="16" t="str">
        <f>Animals!C69</f>
        <v>&lt;li&gt;Heron&lt;/li&gt;</v>
      </c>
      <c r="H31" s="16" t="str">
        <f>Animals!C17</f>
        <v>&lt;li&gt;Cougar&lt;/li&gt;</v>
      </c>
      <c r="I31" t="str">
        <f>Animals!C17</f>
        <v>&lt;li&gt;Cougar&lt;/li&gt;</v>
      </c>
      <c r="J31" t="str">
        <f>Animals!C90</f>
        <v>&lt;li&gt;MonitorLizard&lt;/li&gt;</v>
      </c>
      <c r="K31" t="str">
        <f>Animals!C121</f>
        <v>&lt;li&gt;AEXP_Hyena&lt;/li&gt;</v>
      </c>
      <c r="L31" t="str">
        <f>Animals!C101</f>
        <v>&lt;li&gt;StoneCrab&lt;/li&gt;</v>
      </c>
      <c r="M31" t="str">
        <f>Animals!C61</f>
        <v>&lt;li&gt;WasteRat&lt;/li&gt;</v>
      </c>
      <c r="O31" s="16" t="str">
        <f>Animals!C113</f>
        <v>&lt;li&gt;AEXP_Crocodile&lt;/li&gt;</v>
      </c>
      <c r="P31" s="16" t="str">
        <f>Animals!C113</f>
        <v>&lt;li&gt;AEXP_Crocodile&lt;/li&gt;</v>
      </c>
      <c r="Q31" t="str">
        <f>Animals!C76</f>
        <v>&lt;li&gt;Bullfrog&lt;/li&gt;</v>
      </c>
    </row>
    <row r="32" spans="4:18" s="16" customFormat="1" x14ac:dyDescent="0.25">
      <c r="F32"/>
      <c r="G32" t="str">
        <f>Animals!C85</f>
        <v>&lt;li&gt;Otter&lt;/li&gt;</v>
      </c>
      <c r="H32" s="16" t="str">
        <f>Animals!$C$120</f>
        <v>&lt;li&gt;AEXP_BlackBear&lt;/li&gt;</v>
      </c>
      <c r="I32" s="16" t="str">
        <f>Animals!$C$120</f>
        <v>&lt;li&gt;AEXP_BlackBear&lt;/li&gt;</v>
      </c>
      <c r="J32" s="16" t="str">
        <f>Animals!C121</f>
        <v>&lt;li&gt;AEXP_Hyena&lt;/li&gt;</v>
      </c>
      <c r="K32" t="str">
        <f>Animals!C123</f>
        <v>&lt;li&gt;AEXP_Lion&lt;/li&gt;</v>
      </c>
      <c r="L32" t="str">
        <f>Animals!C102</f>
        <v>&lt;li&gt;HermitCrab&lt;/li&gt;</v>
      </c>
      <c r="M32" s="16" t="str">
        <f>Animals!C48</f>
        <v>&lt;li&gt;Toxalope&lt;/li&gt;</v>
      </c>
      <c r="O32" t="str">
        <f>Animals!C61</f>
        <v>&lt;li&gt;WasteRat&lt;/li&gt;</v>
      </c>
      <c r="P32" s="16" t="str">
        <f>Animals!C76</f>
        <v>&lt;li&gt;Bullfrog&lt;/li&gt;</v>
      </c>
      <c r="Q32" t="str">
        <f>Animals!C69</f>
        <v>&lt;li&gt;Heron&lt;/li&gt;</v>
      </c>
    </row>
    <row r="33" spans="7:17" x14ac:dyDescent="0.25">
      <c r="G33" t="str">
        <f>Animals!C130</f>
        <v>&lt;li&gt;AEXP_Beaver&lt;/li&gt;</v>
      </c>
      <c r="H33" s="16" t="str">
        <f>Animals!C55</f>
        <v>&lt;li&gt;Warg&lt;/li&gt;</v>
      </c>
      <c r="I33" t="str">
        <f>Animals!C55</f>
        <v>&lt;li&gt;Warg&lt;/li&gt;</v>
      </c>
      <c r="J33" t="str">
        <f>Animals!C17</f>
        <v>&lt;li&gt;Cougar&lt;/li&gt;</v>
      </c>
      <c r="K33" t="str">
        <f>Animals!C92</f>
        <v>&lt;li&gt;SeaTurtle&lt;/li&gt;</v>
      </c>
      <c r="L33" s="16" t="str">
        <f>Animals!C113</f>
        <v>&lt;li&gt;AEXP_Crocodile&lt;/li&gt;</v>
      </c>
      <c r="O33" t="str">
        <f>Animals!C48</f>
        <v>&lt;li&gt;Toxalope&lt;/li&gt;</v>
      </c>
      <c r="P33" s="16" t="str">
        <f>Animals!C69</f>
        <v>&lt;li&gt;Heron&lt;/li&gt;</v>
      </c>
      <c r="Q33" t="str">
        <f>Animals!C77</f>
        <v>&lt;li&gt;ColossusToad&lt;/li&gt;</v>
      </c>
    </row>
    <row r="34" spans="7:17" x14ac:dyDescent="0.25">
      <c r="G34" t="str">
        <f>Animals!C129</f>
        <v>&lt;li&gt;AEXP_WildGoose&lt;/li&gt;</v>
      </c>
      <c r="H34" s="16" t="str">
        <f>Animals!$C$3</f>
        <v>&lt;li&gt;Bear_Grizzly&lt;/li&gt;</v>
      </c>
      <c r="I34" t="str">
        <f>Animals!$C$3</f>
        <v>&lt;li&gt;Bear_Grizzly&lt;/li&gt;</v>
      </c>
      <c r="J34" s="16" t="str">
        <f>Animals!C123</f>
        <v>&lt;li&gt;AEXP_Lion&lt;/li&gt;</v>
      </c>
      <c r="K34" t="str">
        <f>Animals!C101</f>
        <v>&lt;li&gt;StoneCrab&lt;/li&gt;</v>
      </c>
      <c r="L34" t="str">
        <f>Animals!C61</f>
        <v>&lt;li&gt;WasteRat&lt;/li&gt;</v>
      </c>
      <c r="P34" s="16" t="str">
        <f>Animals!C70</f>
        <v>&lt;li&gt;Flamingo&lt;/li&gt;</v>
      </c>
      <c r="Q34" t="str">
        <f>Animals!C78</f>
        <v>&lt;li&gt;Hippo&lt;/li&gt;</v>
      </c>
    </row>
    <row r="35" spans="7:17" x14ac:dyDescent="0.25">
      <c r="G35" t="str">
        <f>Animals!C61</f>
        <v>&lt;li&gt;WasteRat&lt;/li&gt;</v>
      </c>
      <c r="H35" s="16" t="str">
        <f>Animals!C86</f>
        <v>&lt;li&gt;SeaLion&lt;/li&gt;</v>
      </c>
      <c r="I35" t="str">
        <f>Animals!C86</f>
        <v>&lt;li&gt;SeaLion&lt;/li&gt;</v>
      </c>
      <c r="J35" s="16" t="str">
        <f>Animals!C92</f>
        <v>&lt;li&gt;SeaTurtle&lt;/li&gt;</v>
      </c>
      <c r="K35" s="16" t="str">
        <f>Animals!C102</f>
        <v>&lt;li&gt;HermitCrab&lt;/li&gt;</v>
      </c>
      <c r="L35" t="str">
        <f>Animals!C48</f>
        <v>&lt;li&gt;Toxalope&lt;/li&gt;</v>
      </c>
      <c r="P35" s="16" t="str">
        <f>Animals!C77</f>
        <v>&lt;li&gt;ColossusToad&lt;/li&gt;</v>
      </c>
      <c r="Q35" t="str">
        <f>Animals!C136</f>
        <v>&lt;li&gt;AEXP_Anaconda&lt;/li&gt;</v>
      </c>
    </row>
    <row r="36" spans="7:17" x14ac:dyDescent="0.25">
      <c r="G36" t="str">
        <f>Animals!C48</f>
        <v>&lt;li&gt;Toxalope&lt;/li&gt;</v>
      </c>
      <c r="H36" s="16" t="str">
        <f>Animals!C87</f>
        <v>&lt;li&gt;Seal&lt;/li&gt;</v>
      </c>
      <c r="I36" s="16" t="str">
        <f>Animals!C87</f>
        <v>&lt;li&gt;Seal&lt;/li&gt;</v>
      </c>
      <c r="J36" s="16" t="str">
        <f>Animals!C101</f>
        <v>&lt;li&gt;StoneCrab&lt;/li&gt;</v>
      </c>
      <c r="K36" s="16" t="str">
        <f>Animals!C113</f>
        <v>&lt;li&gt;AEXP_Crocodile&lt;/li&gt;</v>
      </c>
      <c r="O36" s="16"/>
      <c r="P36" t="str">
        <f>Animals!C78</f>
        <v>&lt;li&gt;Hippo&lt;/li&gt;</v>
      </c>
      <c r="Q36" t="str">
        <f>Animals!C91</f>
        <v>&lt;li&gt;Alligator&lt;/li&gt;</v>
      </c>
    </row>
    <row r="37" spans="7:17" x14ac:dyDescent="0.25">
      <c r="H37" s="16" t="str">
        <f>Animals!C101</f>
        <v>&lt;li&gt;StoneCrab&lt;/li&gt;</v>
      </c>
      <c r="I37" t="str">
        <f>Animals!C101</f>
        <v>&lt;li&gt;StoneCrab&lt;/li&gt;</v>
      </c>
      <c r="J37" s="16" t="str">
        <f>Animals!C102</f>
        <v>&lt;li&gt;HermitCrab&lt;/li&gt;</v>
      </c>
      <c r="K37" t="str">
        <f>Animals!C61</f>
        <v>&lt;li&gt;WasteRat&lt;/li&gt;</v>
      </c>
      <c r="M37" s="16"/>
      <c r="O37" s="16"/>
      <c r="P37" t="str">
        <f>Animals!C136</f>
        <v>&lt;li&gt;AEXP_Anaconda&lt;/li&gt;</v>
      </c>
      <c r="Q37" t="str">
        <f>Animals!C61</f>
        <v>&lt;li&gt;WasteRat&lt;/li&gt;</v>
      </c>
    </row>
    <row r="38" spans="7:17" s="16" customFormat="1" x14ac:dyDescent="0.25">
      <c r="H38" s="16" t="str">
        <f>Animals!C61</f>
        <v>&lt;li&gt;WasteRat&lt;/li&gt;</v>
      </c>
      <c r="I38" t="str">
        <f>Animals!C76</f>
        <v>&lt;li&gt;Bullfrog&lt;/li&gt;</v>
      </c>
      <c r="J38" t="str">
        <f>Animals!C113</f>
        <v>&lt;li&gt;AEXP_Crocodile&lt;/li&gt;</v>
      </c>
      <c r="K38" s="16" t="str">
        <f>Animals!C48</f>
        <v>&lt;li&gt;Toxalope&lt;/li&gt;</v>
      </c>
      <c r="P38" t="str">
        <f>Animals!C91</f>
        <v>&lt;li&gt;Alligator&lt;/li&gt;</v>
      </c>
      <c r="Q38" s="16" t="str">
        <f>Animals!C48</f>
        <v>&lt;li&gt;Toxalope&lt;/li&gt;</v>
      </c>
    </row>
    <row r="39" spans="7:17" s="16" customFormat="1" x14ac:dyDescent="0.25">
      <c r="H39" s="16" t="str">
        <f>Animals!C48</f>
        <v>&lt;li&gt;Toxalope&lt;/li&gt;</v>
      </c>
      <c r="I39" t="str">
        <f>Animals!C118</f>
        <v>&lt;li&gt;AEXP_Platypus&lt;/li&gt;</v>
      </c>
      <c r="J39" s="16" t="str">
        <f>Animals!C61</f>
        <v>&lt;li&gt;WasteRat&lt;/li&gt;</v>
      </c>
      <c r="O39"/>
      <c r="P39" t="str">
        <f>Animals!C61</f>
        <v>&lt;li&gt;WasteRat&lt;/li&gt;</v>
      </c>
    </row>
    <row r="40" spans="7:17" x14ac:dyDescent="0.25">
      <c r="I40" s="16" t="str">
        <f>Animals!C10</f>
        <v>&lt;li&gt;Duck&lt;/li&gt;</v>
      </c>
      <c r="J40" t="str">
        <f>Animals!C48</f>
        <v>&lt;li&gt;Toxalope&lt;/li&gt;</v>
      </c>
      <c r="P40" t="str">
        <f>Animals!C48</f>
        <v>&lt;li&gt;Toxalope&lt;/li&gt;</v>
      </c>
    </row>
    <row r="41" spans="7:17" x14ac:dyDescent="0.25">
      <c r="I41" t="str">
        <f>Animals!C68</f>
        <v>&lt;li&gt;Swan&lt;/li&gt;</v>
      </c>
    </row>
    <row r="42" spans="7:17" x14ac:dyDescent="0.25">
      <c r="I42" t="str">
        <f>Animals!C69</f>
        <v>&lt;li&gt;Heron&lt;/li&gt;</v>
      </c>
    </row>
    <row r="43" spans="7:17" x14ac:dyDescent="0.25">
      <c r="I43" t="str">
        <f>Animals!C130</f>
        <v>&lt;li&gt;AEXP_Beaver&lt;/li&gt;</v>
      </c>
    </row>
    <row r="44" spans="7:17" x14ac:dyDescent="0.25">
      <c r="I44" t="str">
        <f>Animals!C85</f>
        <v>&lt;li&gt;Otter&lt;/li&gt;</v>
      </c>
    </row>
    <row r="45" spans="7:17" x14ac:dyDescent="0.25">
      <c r="I45" t="str">
        <f>Animals!C129</f>
        <v>&lt;li&gt;AEXP_WildGoose&lt;/li&gt;</v>
      </c>
    </row>
    <row r="46" spans="7:17" x14ac:dyDescent="0.25">
      <c r="I46" t="str">
        <f>Animals!C91</f>
        <v>&lt;li&gt;Alligator&lt;/li&gt;</v>
      </c>
    </row>
    <row r="47" spans="7:17" x14ac:dyDescent="0.25">
      <c r="I47" t="str">
        <f>Animals!C61</f>
        <v>&lt;li&gt;WasteRat&lt;/li&gt;</v>
      </c>
    </row>
    <row r="48" spans="7:17" x14ac:dyDescent="0.25">
      <c r="I48" t="str">
        <f>Animals!C48</f>
        <v>&lt;li&gt;Toxalope&lt;/li&gt;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36"/>
  <sheetViews>
    <sheetView workbookViewId="0">
      <selection activeCell="L18" sqref="L18"/>
    </sheetView>
  </sheetViews>
  <sheetFormatPr defaultRowHeight="15" x14ac:dyDescent="0.25"/>
  <cols>
    <col min="1" max="1" width="14.425781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309</v>
      </c>
      <c r="B1" s="21" t="s">
        <v>241</v>
      </c>
      <c r="C1" s="21" t="s">
        <v>425</v>
      </c>
      <c r="D1" s="21" t="s">
        <v>422</v>
      </c>
      <c r="E1" s="21" t="s">
        <v>423</v>
      </c>
      <c r="F1" s="21" t="s">
        <v>424</v>
      </c>
      <c r="G1" s="21" t="s">
        <v>308</v>
      </c>
      <c r="H1" s="21" t="s">
        <v>306</v>
      </c>
      <c r="I1" s="21" t="s">
        <v>307</v>
      </c>
      <c r="K1" s="21" t="s">
        <v>309</v>
      </c>
      <c r="L1" s="21" t="s">
        <v>418</v>
      </c>
      <c r="M1" s="21" t="s">
        <v>420</v>
      </c>
      <c r="N1" s="21" t="s">
        <v>421</v>
      </c>
      <c r="P1" s="21" t="s">
        <v>309</v>
      </c>
      <c r="Q1" s="21" t="s">
        <v>418</v>
      </c>
      <c r="R1" s="21" t="s">
        <v>619</v>
      </c>
      <c r="S1" s="21" t="s">
        <v>628</v>
      </c>
      <c r="T1" s="21" t="s">
        <v>630</v>
      </c>
      <c r="U1" s="21" t="s">
        <v>629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144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100</v>
      </c>
      <c r="Q2">
        <f>_xlfn.XLOOKUP(P2,Meat!A:A,Meat!G:G)</f>
        <v>0.96000000000000019</v>
      </c>
      <c r="R2" t="s">
        <v>620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162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164</v>
      </c>
      <c r="Q3" s="16">
        <f>_xlfn.XLOOKUP(P3,Meat!A:A,Meat!G:G)</f>
        <v>0.88000000000000012</v>
      </c>
      <c r="R3" s="16" t="s">
        <v>621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150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169</v>
      </c>
      <c r="Q4" s="16">
        <f>_xlfn.XLOOKUP(P4,Meat!A:A,Meat!G:G)</f>
        <v>4.16</v>
      </c>
      <c r="R4" s="16" t="s">
        <v>622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92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142</v>
      </c>
      <c r="Q5" s="16">
        <f>_xlfn.XLOOKUP(P5,Meat!A:A,Meat!G:G)</f>
        <v>1.8400000000000003</v>
      </c>
      <c r="R5" s="16" t="s">
        <v>623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90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148</v>
      </c>
      <c r="Q6" s="16">
        <f>_xlfn.XLOOKUP(P6,Meat!A:A,Meat!G:G)</f>
        <v>1.6800000000000002</v>
      </c>
      <c r="R6" s="16" t="s">
        <v>624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158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212</v>
      </c>
      <c r="Q7" s="16">
        <f>_xlfn.XLOOKUP(P7,Meat!A:A,Meat!G:G)</f>
        <v>1.5200000000000002</v>
      </c>
      <c r="R7" s="16" t="s">
        <v>625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154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286</v>
      </c>
      <c r="Q8" s="16">
        <f>_xlfn.XLOOKUP(P8,Meat!A:A,Meat!G:G)</f>
        <v>4.5600000000000005</v>
      </c>
      <c r="R8" s="16" t="s">
        <v>626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87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87</v>
      </c>
      <c r="Q9" s="16">
        <f>_xlfn.XLOOKUP(P9,Meat!A:A,Meat!G:G)</f>
        <v>1.8400000000000003</v>
      </c>
      <c r="R9" s="16" t="s">
        <v>627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90</v>
      </c>
      <c r="Q10" s="16">
        <f>_xlfn.XLOOKUP(P10,Meat!A:A,Meat!G:G)</f>
        <v>1.7600000000000002</v>
      </c>
      <c r="R10" s="16" t="s">
        <v>627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218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292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468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475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479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481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650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1167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1188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1189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309</v>
      </c>
      <c r="B1" s="21" t="s">
        <v>412</v>
      </c>
      <c r="C1" s="21" t="s">
        <v>413</v>
      </c>
      <c r="D1" s="21" t="s">
        <v>414</v>
      </c>
      <c r="E1" s="21" t="s">
        <v>415</v>
      </c>
      <c r="F1" s="21" t="s">
        <v>416</v>
      </c>
      <c r="G1" s="21" t="s">
        <v>418</v>
      </c>
      <c r="H1" s="21" t="s">
        <v>417</v>
      </c>
      <c r="I1" s="21" t="s">
        <v>419</v>
      </c>
      <c r="J1" s="22" t="s">
        <v>438</v>
      </c>
    </row>
    <row r="2" spans="1:10" x14ac:dyDescent="0.25">
      <c r="A2" s="16" t="str">
        <f>Animals!A2</f>
        <v>Polar bear</v>
      </c>
      <c r="B2" s="16">
        <f>_xlfn.XLOOKUP(A2,Animals!A:A,Animals!AN:AN)</f>
        <v>2.25</v>
      </c>
      <c r="C2" s="16">
        <f>_xlfn.XLOOKUP(A2,Animals!A:A,Animals!AP:AP)</f>
        <v>0.95000000000000007</v>
      </c>
      <c r="D2" s="16">
        <f>_xlfn.XLOOKUP(A2,Animals!A:A,Animals!AS:AS)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_xlfn.XLOOKUP(A3,Animals!A:A,Animals!AN:AN)</f>
        <v>2</v>
      </c>
      <c r="C3" s="16">
        <f>_xlfn.XLOOKUP(A3,Animals!A:A,Animals!AP:AP)</f>
        <v>0.9</v>
      </c>
      <c r="D3" s="16">
        <f>_xlfn.XLOOKUP(A3,Animals!A:A,Animals!AS:AS)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_xlfn.XLOOKUP(A4,Animals!A:A,Animals!AN:AN)</f>
        <v>0.35000000000000003</v>
      </c>
      <c r="C4" s="16">
        <f>_xlfn.XLOOKUP(A4,Animals!A:A,Animals!AP:AP)</f>
        <v>0.30000000000000004</v>
      </c>
      <c r="D4" s="16">
        <f>_xlfn.XLOOKUP(A4,Animals!A:A,Animals!AS:AS)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_xlfn.XLOOKUP(A5,Animals!A:A,Animals!AN:AN)</f>
        <v>1.3</v>
      </c>
      <c r="C5" s="16">
        <f>_xlfn.XLOOKUP(A5,Animals!A:A,Animals!AP:AP)</f>
        <v>0.8</v>
      </c>
      <c r="D5" s="16">
        <f>_xlfn.XLOOKUP(A5,Animals!A:A,Animals!AS:AS)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_xlfn.XLOOKUP(A6,Animals!A:A,Animals!AN:AN)</f>
        <v>0.8</v>
      </c>
      <c r="C6" s="16">
        <f>_xlfn.XLOOKUP(A6,Animals!A:A,Animals!AP:AP)</f>
        <v>0.60000000000000009</v>
      </c>
      <c r="D6" s="16">
        <f>_xlfn.XLOOKUP(A6,Animals!A:A,Animals!AS:AS)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_xlfn.XLOOKUP(A7,Animals!A:A,Animals!AN:AN)</f>
        <v>0.75</v>
      </c>
      <c r="C7" s="16">
        <f>_xlfn.XLOOKUP(A7,Animals!A:A,Animals!AP:AP)</f>
        <v>0.55000000000000004</v>
      </c>
      <c r="D7" s="16">
        <f>_xlfn.XLOOKUP(A7,Animals!A:A,Animals!AS:AS)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_xlfn.XLOOKUP(A8,Animals!A:A,Animals!AN:AN)</f>
        <v>0.35000000000000003</v>
      </c>
      <c r="C8" s="16">
        <f>_xlfn.XLOOKUP(A8,Animals!A:A,Animals!AP:AP)</f>
        <v>0.4</v>
      </c>
      <c r="D8" s="16">
        <f>_xlfn.XLOOKUP(A8,Animals!A:A,Animals!AS:AS)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_xlfn.XLOOKUP(A9,Animals!A:A,Animals!AN:AN)</f>
        <v>0.35000000000000003</v>
      </c>
      <c r="C9" s="16">
        <f>_xlfn.XLOOKUP(A9,Animals!A:A,Animals!AP:AP)</f>
        <v>0.4</v>
      </c>
      <c r="D9" s="16">
        <f>_xlfn.XLOOKUP(A9,Animals!A:A,Animals!AS:AS)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_xlfn.XLOOKUP(A10,Animals!A:A,Animals!AN:AN)</f>
        <v>0.15000000000000002</v>
      </c>
      <c r="C10" s="16">
        <f>_xlfn.XLOOKUP(A10,Animals!A:A,Animals!AP:AP)</f>
        <v>0.30000000000000004</v>
      </c>
      <c r="D10" s="16">
        <f>_xlfn.XLOOKUP(A10,Animals!A:A,Animals!AS:AS)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_xlfn.XLOOKUP(A11,Animals!A:A,Animals!AN:AN)</f>
        <v>0.2</v>
      </c>
      <c r="C11" s="16">
        <f>_xlfn.XLOOKUP(A11,Animals!A:A,Animals!AP:AP)</f>
        <v>0.30000000000000004</v>
      </c>
      <c r="D11" s="16">
        <f>_xlfn.XLOOKUP(A11,Animals!A:A,Animals!AS:AS)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_xlfn.XLOOKUP(A12,Animals!A:A,Animals!AN:AN)</f>
        <v>2.75</v>
      </c>
      <c r="C12" s="16">
        <f>_xlfn.XLOOKUP(A12,Animals!A:A,Animals!AP:AP)</f>
        <v>1.1000000000000001</v>
      </c>
      <c r="D12" s="16">
        <f>_xlfn.XLOOKUP(A12,Animals!A:A,Animals!AS:AS)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_xlfn.XLOOKUP(A13,Animals!A:A,Animals!AN:AN)</f>
        <v>1.05</v>
      </c>
      <c r="C13" s="16">
        <f>_xlfn.XLOOKUP(A13,Animals!A:A,Animals!AP:AP)</f>
        <v>0.60000000000000009</v>
      </c>
      <c r="D13" s="16">
        <f>_xlfn.XLOOKUP(A13,Animals!A:A,Animals!AS:AS)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_xlfn.XLOOKUP(A14,Animals!A:A,Animals!AN:AN)</f>
        <v>0.2</v>
      </c>
      <c r="C14" s="16">
        <f>_xlfn.XLOOKUP(A14,Animals!A:A,Animals!AP:AP)</f>
        <v>0.25</v>
      </c>
      <c r="D14" s="16">
        <f>_xlfn.XLOOKUP(A14,Animals!A:A,Animals!AS:AS)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_xlfn.XLOOKUP(A15,Animals!A:A,Animals!AN:AN)</f>
        <v>0.70000000000000007</v>
      </c>
      <c r="C15" s="16">
        <f>_xlfn.XLOOKUP(A15,Animals!A:A,Animals!AP:AP)</f>
        <v>0.45</v>
      </c>
      <c r="D15" s="16">
        <f>_xlfn.XLOOKUP(A15,Animals!A:A,Animals!AS:AS)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_xlfn.XLOOKUP(A16,Animals!A:A,Animals!AN:AN)</f>
        <v>0.75</v>
      </c>
      <c r="C16" s="16">
        <f>_xlfn.XLOOKUP(A16,Animals!A:A,Animals!AP:AP)</f>
        <v>0.5</v>
      </c>
      <c r="D16" s="16">
        <f>_xlfn.XLOOKUP(A16,Animals!A:A,Animals!AS:AS)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_xlfn.XLOOKUP(A17,Animals!A:A,Animals!AN:AN)</f>
        <v>0.95000000000000007</v>
      </c>
      <c r="C17" s="16">
        <f>_xlfn.XLOOKUP(A17,Animals!A:A,Animals!AP:AP)</f>
        <v>0.55000000000000004</v>
      </c>
      <c r="D17" s="16">
        <f>_xlfn.XLOOKUP(A17,Animals!A:A,Animals!AS:AS)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_xlfn.XLOOKUP(A18,Animals!A:A,Animals!AN:AN)</f>
        <v>0.9</v>
      </c>
      <c r="C18" s="16">
        <f>_xlfn.XLOOKUP(A18,Animals!A:A,Animals!AP:AP)</f>
        <v>0.55000000000000004</v>
      </c>
      <c r="D18" s="16">
        <f>_xlfn.XLOOKUP(A18,Animals!A:A,Animals!AS:AS)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_xlfn.XLOOKUP(A19,Animals!A:A,Animals!AN:AN)</f>
        <v>0.60000000000000009</v>
      </c>
      <c r="C19" s="16">
        <f>_xlfn.XLOOKUP(A19,Animals!A:A,Animals!AP:AP)</f>
        <v>0.4</v>
      </c>
      <c r="D19" s="16">
        <f>_xlfn.XLOOKUP(A19,Animals!A:A,Animals!AS:AS)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_xlfn.XLOOKUP(A20,Animals!A:A,Animals!AN:AN)</f>
        <v>0.30000000000000004</v>
      </c>
      <c r="C20" s="16">
        <f>_xlfn.XLOOKUP(A20,Animals!A:A,Animals!AP:AP)</f>
        <v>0.30000000000000004</v>
      </c>
      <c r="D20" s="16">
        <f>_xlfn.XLOOKUP(A20,Animals!A:A,Animals!AS:AS)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_xlfn.XLOOKUP(A21,Animals!A:A,Animals!AN:AN)</f>
        <v>2.75</v>
      </c>
      <c r="C21" s="16">
        <f>_xlfn.XLOOKUP(A21,Animals!A:A,Animals!AP:AP)</f>
        <v>1.1000000000000001</v>
      </c>
      <c r="D21" s="16">
        <f>_xlfn.XLOOKUP(A21,Animals!A:A,Animals!AS:AS)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_xlfn.XLOOKUP(A22,Animals!A:A,Animals!AN:AN)</f>
        <v>1.6</v>
      </c>
      <c r="C22" s="16">
        <f>_xlfn.XLOOKUP(A22,Animals!A:A,Animals!AP:AP)</f>
        <v>0.75</v>
      </c>
      <c r="D22" s="16">
        <f>_xlfn.XLOOKUP(A22,Animals!A:A,Animals!AS:AS)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_xlfn.XLOOKUP(A23,Animals!A:A,Animals!AN:AN)</f>
        <v>0.30000000000000004</v>
      </c>
      <c r="C23" s="16">
        <f>_xlfn.XLOOKUP(A23,Animals!A:A,Animals!AP:AP)</f>
        <v>0.30000000000000004</v>
      </c>
      <c r="D23" s="16">
        <f>_xlfn.XLOOKUP(A23,Animals!A:A,Animals!AS:AS)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_xlfn.XLOOKUP(A24,Animals!A:A,Animals!AN:AN)</f>
        <v>0.30000000000000004</v>
      </c>
      <c r="C24" s="16">
        <f>_xlfn.XLOOKUP(A24,Animals!A:A,Animals!AP:AP)</f>
        <v>0.30000000000000004</v>
      </c>
      <c r="D24" s="16">
        <f>_xlfn.XLOOKUP(A24,Animals!A:A,Animals!AS:AS)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_xlfn.XLOOKUP(A25,Animals!A:A,Animals!AN:AN)</f>
        <v>3.75</v>
      </c>
      <c r="C25" s="16">
        <f>_xlfn.XLOOKUP(A25,Animals!A:A,Animals!AP:AP)</f>
        <v>2.2000000000000002</v>
      </c>
      <c r="D25" s="16">
        <f>_xlfn.XLOOKUP(A25,Animals!A:A,Animals!AS:AS)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_xlfn.XLOOKUP(A26,Animals!A:A,Animals!AN:AN)</f>
        <v>5</v>
      </c>
      <c r="C26" s="16">
        <f>_xlfn.XLOOKUP(A26,Animals!A:A,Animals!AP:AP)</f>
        <v>2.7</v>
      </c>
      <c r="D26" s="16">
        <f>_xlfn.XLOOKUP(A26,Animals!A:A,Animals!AS:AS)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_xlfn.XLOOKUP(A27,Animals!A:A,Animals!AN:AN)</f>
        <v>5.5</v>
      </c>
      <c r="C27" s="16">
        <f>_xlfn.XLOOKUP(A27,Animals!A:A,Animals!AP:AP)</f>
        <v>2.85</v>
      </c>
      <c r="D27" s="16">
        <f>_xlfn.XLOOKUP(A27,Animals!A:A,Animals!AS:AS)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_xlfn.XLOOKUP(A28,Animals!A:A,Animals!AN:AN)</f>
        <v>4.75</v>
      </c>
      <c r="C28" s="16">
        <f>_xlfn.XLOOKUP(A28,Animals!A:A,Animals!AP:AP)</f>
        <v>2.6</v>
      </c>
      <c r="D28" s="16">
        <f>_xlfn.XLOOKUP(A28,Animals!A:A,Animals!AS:AS)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_xlfn.XLOOKUP(A29,Animals!A:A,Animals!AN:AN)</f>
        <v>1.5</v>
      </c>
      <c r="C29" s="16">
        <f>_xlfn.XLOOKUP(A29,Animals!A:A,Animals!AP:AP)</f>
        <v>0.75</v>
      </c>
      <c r="D29" s="16">
        <f>_xlfn.XLOOKUP(A29,Animals!A:A,Animals!AS:AS)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_xlfn.XLOOKUP(A30,Animals!A:A,Animals!AN:AN)</f>
        <v>2.25</v>
      </c>
      <c r="C30" s="16">
        <f>_xlfn.XLOOKUP(A30,Animals!A:A,Animals!AP:AP)</f>
        <v>0.95000000000000007</v>
      </c>
      <c r="D30" s="16">
        <f>_xlfn.XLOOKUP(A30,Animals!A:A,Animals!AS:AS)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_xlfn.XLOOKUP(A31,Animals!A:A,Animals!AN:AN)</f>
        <v>0.35000000000000003</v>
      </c>
      <c r="C31" s="16">
        <f>_xlfn.XLOOKUP(A31,Animals!A:A,Animals!AP:AP)</f>
        <v>0.30000000000000004</v>
      </c>
      <c r="D31" s="16">
        <f>_xlfn.XLOOKUP(A31,Animals!A:A,Animals!AS:AS)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_xlfn.XLOOKUP(A32,Animals!A:A,Animals!AN:AN)</f>
        <v>0.2</v>
      </c>
      <c r="C32" s="16">
        <f>_xlfn.XLOOKUP(A32,Animals!A:A,Animals!AP:AP)</f>
        <v>0.05</v>
      </c>
      <c r="D32" s="16">
        <f>_xlfn.XLOOKUP(A32,Animals!A:A,Animals!AS:AS)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_xlfn.XLOOKUP(A33,Animals!A:A,Animals!AN:AN)</f>
        <v>0.4</v>
      </c>
      <c r="C33" s="16">
        <f>_xlfn.XLOOKUP(A33,Animals!A:A,Animals!AP:AP)</f>
        <v>0.05</v>
      </c>
      <c r="D33" s="16">
        <f>_xlfn.XLOOKUP(A33,Animals!A:A,Animals!AS:AS)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_xlfn.XLOOKUP(A34,Animals!A:A,Animals!AN:AN)</f>
        <v>0.65</v>
      </c>
      <c r="C34" s="16">
        <f>_xlfn.XLOOKUP(A34,Animals!A:A,Animals!AP:AP)</f>
        <v>0.1</v>
      </c>
      <c r="D34" s="16">
        <f>_xlfn.XLOOKUP(A34,Animals!A:A,Animals!AS:AS)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_xlfn.XLOOKUP(A35,Animals!A:A,Animals!AN:AN)</f>
        <v>0.1</v>
      </c>
      <c r="C35" s="16">
        <f>_xlfn.XLOOKUP(A35,Animals!A:A,Animals!AP:AP)</f>
        <v>0.2</v>
      </c>
      <c r="D35" s="16">
        <f>_xlfn.XLOOKUP(A35,Animals!A:A,Animals!AS:AS)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_xlfn.XLOOKUP(A36,Animals!A:A,Animals!AN:AN)</f>
        <v>0.15000000000000002</v>
      </c>
      <c r="C36" s="16">
        <f>_xlfn.XLOOKUP(A36,Animals!A:A,Animals!AP:AP)</f>
        <v>0.25</v>
      </c>
      <c r="D36" s="16">
        <f>_xlfn.XLOOKUP(A36,Animals!A:A,Animals!AS:AS)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_xlfn.XLOOKUP(A37,Animals!A:A,Animals!AN:AN)</f>
        <v>0.15000000000000002</v>
      </c>
      <c r="C37" s="16">
        <f>_xlfn.XLOOKUP(A37,Animals!A:A,Animals!AP:AP)</f>
        <v>0.25</v>
      </c>
      <c r="D37" s="16">
        <f>_xlfn.XLOOKUP(A37,Animals!A:A,Animals!AS:AS)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_xlfn.XLOOKUP(A38,Animals!A:A,Animals!AN:AN)</f>
        <v>0.15000000000000002</v>
      </c>
      <c r="C38" s="16">
        <f>_xlfn.XLOOKUP(A38,Animals!A:A,Animals!AP:AP)</f>
        <v>0.25</v>
      </c>
      <c r="D38" s="16">
        <f>_xlfn.XLOOKUP(A38,Animals!A:A,Animals!AS:AS)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_xlfn.XLOOKUP(A39,Animals!A:A,Animals!AN:AN)</f>
        <v>0.9</v>
      </c>
      <c r="C39" s="16">
        <f>_xlfn.XLOOKUP(A39,Animals!A:A,Animals!AP:AP)</f>
        <v>0.55000000000000004</v>
      </c>
      <c r="D39" s="16">
        <f>_xlfn.XLOOKUP(A39,Animals!A:A,Animals!AS:AS)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_xlfn.XLOOKUP(A40,Animals!A:A,Animals!AN:AN)</f>
        <v>0.75</v>
      </c>
      <c r="C40" s="16">
        <f>_xlfn.XLOOKUP(A40,Animals!A:A,Animals!AP:AP)</f>
        <v>0.5</v>
      </c>
      <c r="D40" s="16">
        <f>_xlfn.XLOOKUP(A40,Animals!A:A,Animals!AS:AS)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_xlfn.XLOOKUP(A41,Animals!A:A,Animals!AN:AN)</f>
        <v>0.4</v>
      </c>
      <c r="C41" s="16">
        <f>_xlfn.XLOOKUP(A41,Animals!A:A,Animals!AP:AP)</f>
        <v>0.35000000000000003</v>
      </c>
      <c r="D41" s="16">
        <f>_xlfn.XLOOKUP(A41,Animals!A:A,Animals!AS:AS)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_xlfn.XLOOKUP(A42,Animals!A:A,Animals!AN:AN)</f>
        <v>3</v>
      </c>
      <c r="C42" s="16">
        <f>_xlfn.XLOOKUP(A42,Animals!A:A,Animals!AP:AP)</f>
        <v>1.1500000000000001</v>
      </c>
      <c r="D42" s="16">
        <f>_xlfn.XLOOKUP(A42,Animals!A:A,Animals!AS:AS)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_xlfn.XLOOKUP(A43,Animals!A:A,Animals!AN:AN)</f>
        <v>3</v>
      </c>
      <c r="C43" s="16">
        <f>_xlfn.XLOOKUP(A43,Animals!A:A,Animals!AP:AP)</f>
        <v>1.1500000000000001</v>
      </c>
      <c r="D43" s="16">
        <f>_xlfn.XLOOKUP(A43,Animals!A:A,Animals!AS:AS)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_xlfn.XLOOKUP(A44,Animals!A:A,Animals!AN:AN)</f>
        <v>2.5</v>
      </c>
      <c r="C44" s="16">
        <f>_xlfn.XLOOKUP(A44,Animals!A:A,Animals!AP:AP)</f>
        <v>1.05</v>
      </c>
      <c r="D44" s="16">
        <f>_xlfn.XLOOKUP(A44,Animals!A:A,Animals!AS:AS)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_xlfn.XLOOKUP(A45,Animals!A:A,Animals!AN:AN)</f>
        <v>3</v>
      </c>
      <c r="C45" s="16">
        <f>_xlfn.XLOOKUP(A45,Animals!A:A,Animals!AP:AP)</f>
        <v>1.1500000000000001</v>
      </c>
      <c r="D45" s="16">
        <f>_xlfn.XLOOKUP(A45,Animals!A:A,Animals!AS:AS)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_xlfn.XLOOKUP(A46,Animals!A:A,Animals!AN:AN)</f>
        <v>1.8</v>
      </c>
      <c r="C46" s="16">
        <f>_xlfn.XLOOKUP(A46,Animals!A:A,Animals!AP:AP)</f>
        <v>0.85000000000000009</v>
      </c>
      <c r="D46" s="16">
        <f>_xlfn.XLOOKUP(A46,Animals!A:A,Animals!AS:AS)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_xlfn.XLOOKUP(A47,Animals!A:A,Animals!AN:AN)</f>
        <v>1.5</v>
      </c>
      <c r="C47" s="16">
        <f>_xlfn.XLOOKUP(A47,Animals!A:A,Animals!AP:AP)</f>
        <v>0.75</v>
      </c>
      <c r="D47" s="16">
        <f>_xlfn.XLOOKUP(A47,Animals!A:A,Animals!AS:AS)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_xlfn.XLOOKUP(A48,Animals!A:A,Animals!AN:AN)</f>
        <v>1.5</v>
      </c>
      <c r="C48" s="16">
        <f>_xlfn.XLOOKUP(A48,Animals!A:A,Animals!AP:AP)</f>
        <v>0.75</v>
      </c>
      <c r="D48" s="16">
        <f>_xlfn.XLOOKUP(A48,Animals!A:A,Animals!AS:AS)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_xlfn.XLOOKUP(A49,Animals!A:A,Animals!AN:AN)</f>
        <v>1.3</v>
      </c>
      <c r="C49" s="16">
        <f>_xlfn.XLOOKUP(A49,Animals!A:A,Animals!AP:AP)</f>
        <v>0.65</v>
      </c>
      <c r="D49" s="16">
        <f>_xlfn.XLOOKUP(A49,Animals!A:A,Animals!AS:AS)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_xlfn.XLOOKUP(A50,Animals!A:A,Animals!AN:AN)</f>
        <v>1.1000000000000001</v>
      </c>
      <c r="C50" s="16">
        <f>_xlfn.XLOOKUP(A50,Animals!A:A,Animals!AP:AP)</f>
        <v>0.60000000000000009</v>
      </c>
      <c r="D50" s="16">
        <f>_xlfn.XLOOKUP(A50,Animals!A:A,Animals!AS:AS)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_xlfn.XLOOKUP(A51,Animals!A:A,Animals!AN:AN)</f>
        <v>0.95000000000000007</v>
      </c>
      <c r="C51" s="16">
        <f>_xlfn.XLOOKUP(A51,Animals!A:A,Animals!AP:AP)</f>
        <v>0.55000000000000004</v>
      </c>
      <c r="D51" s="16">
        <f>_xlfn.XLOOKUP(A51,Animals!A:A,Animals!AS:AS)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_xlfn.XLOOKUP(A52,Animals!A:A,Animals!AN:AN)</f>
        <v>0.95000000000000007</v>
      </c>
      <c r="C52" s="16">
        <f>_xlfn.XLOOKUP(A52,Animals!A:A,Animals!AP:AP)</f>
        <v>0.55000000000000004</v>
      </c>
      <c r="D52" s="16">
        <f>_xlfn.XLOOKUP(A52,Animals!A:A,Animals!AS:AS)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_xlfn.XLOOKUP(A53,Animals!A:A,Animals!AN:AN)</f>
        <v>0.9</v>
      </c>
      <c r="C53" s="16">
        <f>_xlfn.XLOOKUP(A53,Animals!A:A,Animals!AP:AP)</f>
        <v>0.55000000000000004</v>
      </c>
      <c r="D53" s="16">
        <f>_xlfn.XLOOKUP(A53,Animals!A:A,Animals!AS:AS)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_xlfn.XLOOKUP(A54,Animals!A:A,Animals!AN:AN)</f>
        <v>0.60000000000000009</v>
      </c>
      <c r="C54" s="16">
        <f>_xlfn.XLOOKUP(A54,Animals!A:A,Animals!AP:AP)</f>
        <v>0.4</v>
      </c>
      <c r="D54" s="16">
        <f>_xlfn.XLOOKUP(A54,Animals!A:A,Animals!AS:AS)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_xlfn.XLOOKUP(A55,Animals!A:A,Animals!AN:AN)</f>
        <v>1.8</v>
      </c>
      <c r="C55" s="16">
        <f>_xlfn.XLOOKUP(A55,Animals!A:A,Animals!AP:AP)</f>
        <v>0.85000000000000009</v>
      </c>
      <c r="D55" s="16">
        <f>_xlfn.XLOOKUP(A55,Animals!A:A,Animals!AS:AS)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_xlfn.XLOOKUP(A56,Animals!A:A,Animals!AN:AN)</f>
        <v>0.8</v>
      </c>
      <c r="C56" s="16">
        <f>_xlfn.XLOOKUP(A56,Animals!A:A,Animals!AP:AP)</f>
        <v>0.5</v>
      </c>
      <c r="D56" s="16">
        <f>_xlfn.XLOOKUP(A56,Animals!A:A,Animals!AS:AS)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_xlfn.XLOOKUP(A57,Animals!A:A,Animals!AN:AN)</f>
        <v>0.8</v>
      </c>
      <c r="C57" s="16">
        <f>_xlfn.XLOOKUP(A57,Animals!A:A,Animals!AP:AP)</f>
        <v>0.5</v>
      </c>
      <c r="D57" s="16">
        <f>_xlfn.XLOOKUP(A57,Animals!A:A,Animals!AS:AS)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_xlfn.XLOOKUP(A58,Animals!A:A,Animals!AN:AN)</f>
        <v>0.35000000000000003</v>
      </c>
      <c r="C58" s="16">
        <f>_xlfn.XLOOKUP(A58,Animals!A:A,Animals!AP:AP)</f>
        <v>0.30000000000000004</v>
      </c>
      <c r="D58" s="16">
        <f>_xlfn.XLOOKUP(A58,Animals!A:A,Animals!AS:AS)</f>
        <v>0.3</v>
      </c>
      <c r="E58" s="16">
        <f t="shared" si="0"/>
        <v>18</v>
      </c>
      <c r="F58" s="16">
        <f t="shared" si="1"/>
        <v>49.000000000000007</v>
      </c>
      <c r="G58" s="16">
        <f t="shared" si="2"/>
        <v>0.48000000000000009</v>
      </c>
      <c r="H58" s="16">
        <f t="shared" si="3"/>
        <v>8.6400000000000023</v>
      </c>
      <c r="I58" s="10">
        <f t="shared" si="4"/>
        <v>5.6712962962962958</v>
      </c>
      <c r="J58" s="10">
        <f t="shared" si="5"/>
        <v>0.28356481481481483</v>
      </c>
    </row>
    <row r="59" spans="1:10" x14ac:dyDescent="0.25">
      <c r="A59" s="16" t="str">
        <f>Animals!A59</f>
        <v>Arctic fox</v>
      </c>
      <c r="B59" s="16">
        <f>_xlfn.XLOOKUP(A59,Animals!A:A,Animals!AN:AN)</f>
        <v>0.25</v>
      </c>
      <c r="C59" s="16">
        <f>_xlfn.XLOOKUP(A59,Animals!A:A,Animals!AP:AP)</f>
        <v>0.25</v>
      </c>
      <c r="D59" s="16">
        <f>_xlfn.XLOOKUP(A59,Animals!A:A,Animals!AS:AS)</f>
        <v>0.3</v>
      </c>
      <c r="E59" s="16">
        <f t="shared" si="0"/>
        <v>18</v>
      </c>
      <c r="F59" s="16">
        <f t="shared" si="1"/>
        <v>35</v>
      </c>
      <c r="G59" s="16">
        <f t="shared" si="2"/>
        <v>0.4</v>
      </c>
      <c r="H59" s="16">
        <f t="shared" si="3"/>
        <v>7.2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_xlfn.XLOOKUP(A60,Animals!A:A,Animals!AN:AN)</f>
        <v>0.2</v>
      </c>
      <c r="C60" s="16">
        <f>_xlfn.XLOOKUP(A60,Animals!A:A,Animals!AP:AP)</f>
        <v>0.25</v>
      </c>
      <c r="D60" s="16">
        <f>_xlfn.XLOOKUP(A60,Animals!A:A,Animals!AS:AS)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_xlfn.XLOOKUP(A61,Animals!A:A,Animals!AN:AN)</f>
        <v>0.4</v>
      </c>
      <c r="C61" s="16">
        <f>_xlfn.XLOOKUP(A61,Animals!A:A,Animals!AP:AP)</f>
        <v>0.35000000000000003</v>
      </c>
      <c r="D61" s="16">
        <f>_xlfn.XLOOKUP(A61,Animals!A:A,Animals!AS:AS)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_xlfn.XLOOKUP(A62,Animals!A:A,Animals!AN:AN)</f>
        <v>1.3</v>
      </c>
      <c r="C62" s="16">
        <f>_xlfn.XLOOKUP(A62,Animals!A:A,Animals!AP:AP)</f>
        <v>0.65</v>
      </c>
      <c r="D62" s="16">
        <f>_xlfn.XLOOKUP(A62,Animals!A:A,Animals!AS:AS)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_xlfn.XLOOKUP(A63,Animals!A:A,Animals!AN:AN)</f>
        <v>0.05</v>
      </c>
      <c r="C63" s="16">
        <f>_xlfn.XLOOKUP(A63,Animals!A:A,Animals!AP:AP)</f>
        <v>0.25</v>
      </c>
      <c r="D63" s="16">
        <f>_xlfn.XLOOKUP(A63,Animals!A:A,Animals!AS:AS)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_xlfn.XLOOKUP(A64,Animals!A:A,Animals!AN:AN)</f>
        <v>0.05</v>
      </c>
      <c r="C64" s="16">
        <f>_xlfn.XLOOKUP(A64,Animals!A:A,Animals!AP:AP)</f>
        <v>0.25</v>
      </c>
      <c r="D64" s="16">
        <f>_xlfn.XLOOKUP(A64,Animals!A:A,Animals!AS:AS)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_xlfn.XLOOKUP(A65,Animals!A:A,Animals!AN:AN)</f>
        <v>0.1</v>
      </c>
      <c r="C65" s="16">
        <f>_xlfn.XLOOKUP(A65,Animals!A:A,Animals!AP:AP)</f>
        <v>0.25</v>
      </c>
      <c r="D65" s="16">
        <f>_xlfn.XLOOKUP(A65,Animals!A:A,Animals!AS:AS)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_xlfn.XLOOKUP(A66,Animals!A:A,Animals!AN:AN)</f>
        <v>0.15000000000000002</v>
      </c>
      <c r="C66" s="16">
        <f>_xlfn.XLOOKUP(A66,Animals!A:A,Animals!AP:AP)</f>
        <v>0.30000000000000004</v>
      </c>
      <c r="D66" s="16">
        <f>_xlfn.XLOOKUP(A66,Animals!A:A,Animals!AS:AS)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_xlfn.XLOOKUP(A67,Animals!A:A,Animals!AN:AN)</f>
        <v>0.1</v>
      </c>
      <c r="C67" s="16">
        <f>_xlfn.XLOOKUP(A67,Animals!A:A,Animals!AP:AP)</f>
        <v>0.25</v>
      </c>
      <c r="D67" s="16">
        <f>_xlfn.XLOOKUP(A67,Animals!A:A,Animals!AS:AS)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_xlfn.XLOOKUP(A68,Animals!A:A,Animals!AN:AN)</f>
        <v>0.4</v>
      </c>
      <c r="C68" s="16">
        <f>_xlfn.XLOOKUP(A68,Animals!A:A,Animals!AP:AP)</f>
        <v>0.4</v>
      </c>
      <c r="D68" s="16">
        <f>_xlfn.XLOOKUP(A68,Animals!A:A,Animals!AS:AS)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_xlfn.XLOOKUP(A69,Animals!A:A,Animals!AN:AN)</f>
        <v>0.2</v>
      </c>
      <c r="C69" s="16">
        <f>_xlfn.XLOOKUP(A69,Animals!A:A,Animals!AP:AP)</f>
        <v>0.30000000000000004</v>
      </c>
      <c r="D69" s="16">
        <f>_xlfn.XLOOKUP(A69,Animals!A:A,Animals!AS:AS)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_xlfn.XLOOKUP(A70,Animals!A:A,Animals!AN:AN)</f>
        <v>0.25</v>
      </c>
      <c r="C70" s="16">
        <f>_xlfn.XLOOKUP(A70,Animals!A:A,Animals!AP:AP)</f>
        <v>0.35000000000000003</v>
      </c>
      <c r="D70" s="16">
        <f>_xlfn.XLOOKUP(A70,Animals!A:A,Animals!AS:AS)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_xlfn.XLOOKUP(A71,Animals!A:A,Animals!AN:AN)</f>
        <v>0.70000000000000007</v>
      </c>
      <c r="C71" s="16">
        <f>_xlfn.XLOOKUP(A71,Animals!A:A,Animals!AP:AP)</f>
        <v>0.55000000000000004</v>
      </c>
      <c r="D71" s="16">
        <f>_xlfn.XLOOKUP(A71,Animals!A:A,Animals!AS:AS)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_xlfn.XLOOKUP(A72,Animals!A:A,Animals!AN:AN)</f>
        <v>0.30000000000000004</v>
      </c>
      <c r="C72" s="16">
        <f>_xlfn.XLOOKUP(A72,Animals!A:A,Animals!AP:AP)</f>
        <v>0.35000000000000003</v>
      </c>
      <c r="D72" s="16">
        <f>_xlfn.XLOOKUP(A72,Animals!A:A,Animals!AS:AS)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_xlfn.XLOOKUP(A73,Animals!A:A,Animals!AN:AN)</f>
        <v>0.30000000000000004</v>
      </c>
      <c r="C73" s="16">
        <f>_xlfn.XLOOKUP(A73,Animals!A:A,Animals!AP:AP)</f>
        <v>0.35000000000000003</v>
      </c>
      <c r="D73" s="16">
        <f>_xlfn.XLOOKUP(A73,Animals!A:A,Animals!AS:AS)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_xlfn.XLOOKUP(A74,Animals!A:A,Animals!AN:AN)</f>
        <v>1.7000000000000002</v>
      </c>
      <c r="C74" s="16">
        <f>_xlfn.XLOOKUP(A74,Animals!A:A,Animals!AP:AP)</f>
        <v>0.8</v>
      </c>
      <c r="D74" s="16">
        <f>_xlfn.XLOOKUP(A74,Animals!A:A,Animals!AS:AS)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_xlfn.XLOOKUP(A75,Animals!A:A,Animals!AN:AN)</f>
        <v>1.9000000000000001</v>
      </c>
      <c r="C75" s="16">
        <f>_xlfn.XLOOKUP(A75,Animals!A:A,Animals!AP:AP)</f>
        <v>0.85000000000000009</v>
      </c>
      <c r="D75" s="16">
        <f>_xlfn.XLOOKUP(A75,Animals!A:A,Animals!AS:AS)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_xlfn.XLOOKUP(A76,Animals!A:A,Animals!AN:AN)</f>
        <v>0.1</v>
      </c>
      <c r="C76" s="16">
        <f>_xlfn.XLOOKUP(A76,Animals!A:A,Animals!AP:AP)</f>
        <v>0.05</v>
      </c>
      <c r="D76" s="16">
        <f>_xlfn.XLOOKUP(A76,Animals!A:A,Animals!AS:AS)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_xlfn.XLOOKUP(A77,Animals!A:A,Animals!AN:AN)</f>
        <v>0.9</v>
      </c>
      <c r="C77" s="16">
        <f>_xlfn.XLOOKUP(A77,Animals!A:A,Animals!AP:AP)</f>
        <v>0.15000000000000002</v>
      </c>
      <c r="D77" s="16">
        <f>_xlfn.XLOOKUP(A77,Animals!A:A,Animals!AS:AS)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_xlfn.XLOOKUP(A78,Animals!A:A,Animals!AN:AN)</f>
        <v>3.75</v>
      </c>
      <c r="C78" s="16">
        <f>_xlfn.XLOOKUP(A78,Animals!A:A,Animals!AP:AP)</f>
        <v>2.2000000000000002</v>
      </c>
      <c r="D78" s="16">
        <f>_xlfn.XLOOKUP(A78,Animals!A:A,Animals!AS:AS)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_xlfn.XLOOKUP(A79,Animals!A:A,Animals!AN:AN)</f>
        <v>5.5</v>
      </c>
      <c r="C79" s="16">
        <f>_xlfn.XLOOKUP(A79,Animals!A:A,Animals!AP:AP)</f>
        <v>2.85</v>
      </c>
      <c r="D79" s="16">
        <f>_xlfn.XLOOKUP(A79,Animals!A:A,Animals!AS:AS)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_xlfn.XLOOKUP(A80,Animals!A:A,Animals!AN:AN)</f>
        <v>6</v>
      </c>
      <c r="C80" s="16">
        <f>_xlfn.XLOOKUP(A80,Animals!A:A,Animals!AP:AP)</f>
        <v>3.0500000000000003</v>
      </c>
      <c r="D80" s="16">
        <f>_xlfn.XLOOKUP(A80,Animals!A:A,Animals!AS:AS)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_xlfn.XLOOKUP(A81,Animals!A:A,Animals!AN:AN)</f>
        <v>0.30000000000000004</v>
      </c>
      <c r="C81" s="16">
        <f>_xlfn.XLOOKUP(A81,Animals!A:A,Animals!AP:AP)</f>
        <v>0.30000000000000004</v>
      </c>
      <c r="D81" s="16">
        <f>_xlfn.XLOOKUP(A81,Animals!A:A,Animals!AS:AS)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_xlfn.XLOOKUP(A82,Animals!A:A,Animals!AN:AN)</f>
        <v>0.55000000000000004</v>
      </c>
      <c r="C82" s="16">
        <f>_xlfn.XLOOKUP(A82,Animals!A:A,Animals!AP:AP)</f>
        <v>0.4</v>
      </c>
      <c r="D82" s="16">
        <f>_xlfn.XLOOKUP(A82,Animals!A:A,Animals!AS:AS)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_xlfn.XLOOKUP(A83,Animals!A:A,Animals!AN:AN)</f>
        <v>0.15000000000000002</v>
      </c>
      <c r="C83" s="16">
        <f>_xlfn.XLOOKUP(A83,Animals!A:A,Animals!AP:AP)</f>
        <v>0.25</v>
      </c>
      <c r="D83" s="16">
        <f>_xlfn.XLOOKUP(A83,Animals!A:A,Animals!AS:AS)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_xlfn.XLOOKUP(A84,Animals!A:A,Animals!AN:AN)</f>
        <v>0.45</v>
      </c>
      <c r="C84" s="16">
        <f>_xlfn.XLOOKUP(A84,Animals!A:A,Animals!AP:AP)</f>
        <v>0.35000000000000003</v>
      </c>
      <c r="D84" s="16">
        <f>_xlfn.XLOOKUP(A84,Animals!A:A,Animals!AS:AS)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_xlfn.XLOOKUP(A85,Animals!A:A,Animals!AN:AN)</f>
        <v>0.45</v>
      </c>
      <c r="C85" s="16">
        <f>_xlfn.XLOOKUP(A85,Animals!A:A,Animals!AP:AP)</f>
        <v>0.35000000000000003</v>
      </c>
      <c r="D85" s="16">
        <f>_xlfn.XLOOKUP(A85,Animals!A:A,Animals!AS:AS)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_xlfn.XLOOKUP(A86,Animals!A:A,Animals!AN:AN)</f>
        <v>2</v>
      </c>
      <c r="C86" s="16">
        <f>_xlfn.XLOOKUP(A86,Animals!A:A,Animals!AP:AP)</f>
        <v>0.9</v>
      </c>
      <c r="D86" s="16">
        <f>_xlfn.XLOOKUP(A86,Animals!A:A,Animals!AS:AS)</f>
        <v>0.4</v>
      </c>
      <c r="E86" s="16">
        <f t="shared" si="6"/>
        <v>24</v>
      </c>
      <c r="F86" s="16">
        <f t="shared" si="7"/>
        <v>280</v>
      </c>
      <c r="G86" s="16">
        <f t="shared" si="8"/>
        <v>1.4400000000000002</v>
      </c>
      <c r="H86" s="16">
        <f t="shared" si="9"/>
        <v>34.56</v>
      </c>
      <c r="I86" s="10">
        <f t="shared" si="10"/>
        <v>8.1018518518518512</v>
      </c>
      <c r="J86" s="10">
        <f t="shared" si="11"/>
        <v>0.40509259259259256</v>
      </c>
    </row>
    <row r="87" spans="1:10" x14ac:dyDescent="0.25">
      <c r="A87" s="16" t="str">
        <f>Animals!A87</f>
        <v>Seal</v>
      </c>
      <c r="B87" s="16">
        <f>_xlfn.XLOOKUP(A87,Animals!A:A,Animals!AN:AN)</f>
        <v>1.25</v>
      </c>
      <c r="C87" s="16">
        <f>_xlfn.XLOOKUP(A87,Animals!A:A,Animals!AP:AP)</f>
        <v>0.65</v>
      </c>
      <c r="D87" s="16">
        <f>_xlfn.XLOOKUP(A87,Animals!A:A,Animals!AS:AS)</f>
        <v>0.4</v>
      </c>
      <c r="E87" s="16">
        <f t="shared" si="6"/>
        <v>24</v>
      </c>
      <c r="F87" s="16">
        <f t="shared" si="7"/>
        <v>175</v>
      </c>
      <c r="G87" s="16">
        <f t="shared" si="8"/>
        <v>1.04</v>
      </c>
      <c r="H87" s="16">
        <f t="shared" si="9"/>
        <v>24.96</v>
      </c>
      <c r="I87" s="10">
        <f t="shared" si="10"/>
        <v>7.0112179487179489</v>
      </c>
      <c r="J87" s="10">
        <f t="shared" si="11"/>
        <v>0.35056089743589747</v>
      </c>
    </row>
    <row r="88" spans="1:10" x14ac:dyDescent="0.25">
      <c r="A88" s="16" t="str">
        <f>Animals!A88</f>
        <v>Walrus</v>
      </c>
      <c r="B88" s="16">
        <f>_xlfn.XLOOKUP(A88,Animals!A:A,Animals!AN:AN)</f>
        <v>3.25</v>
      </c>
      <c r="C88" s="16">
        <f>_xlfn.XLOOKUP(A88,Animals!A:A,Animals!AP:AP)</f>
        <v>1.25</v>
      </c>
      <c r="D88" s="16">
        <f>_xlfn.XLOOKUP(A88,Animals!A:A,Animals!AS:AS)</f>
        <v>0.8</v>
      </c>
      <c r="E88" s="16">
        <f t="shared" si="6"/>
        <v>48</v>
      </c>
      <c r="F88" s="16">
        <f t="shared" si="7"/>
        <v>455</v>
      </c>
      <c r="G88" s="16">
        <f t="shared" si="8"/>
        <v>2</v>
      </c>
      <c r="H88" s="16">
        <f t="shared" si="9"/>
        <v>96</v>
      </c>
      <c r="I88" s="10">
        <f t="shared" si="10"/>
        <v>4.739583333333333</v>
      </c>
      <c r="J88" s="10">
        <f t="shared" si="11"/>
        <v>0.23697916666666666</v>
      </c>
    </row>
    <row r="89" spans="1:10" x14ac:dyDescent="0.25">
      <c r="A89" s="16" t="str">
        <f>Animals!A89</f>
        <v>Gorilla</v>
      </c>
      <c r="B89" s="16">
        <f>_xlfn.XLOOKUP(A89,Animals!A:A,Animals!AN:AN)</f>
        <v>1.5</v>
      </c>
      <c r="C89" s="16">
        <f>_xlfn.XLOOKUP(A89,Animals!A:A,Animals!AP:AP)</f>
        <v>0.75</v>
      </c>
      <c r="D89" s="16">
        <f>_xlfn.XLOOKUP(A89,Animals!A:A,Animals!AS:AS)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_xlfn.XLOOKUP(A90,Animals!A:A,Animals!AN:AN)</f>
        <v>1.05</v>
      </c>
      <c r="C90" s="16">
        <f>_xlfn.XLOOKUP(A90,Animals!A:A,Animals!AP:AP)</f>
        <v>0.15000000000000002</v>
      </c>
      <c r="D90" s="16">
        <f>_xlfn.XLOOKUP(A90,Animals!A:A,Animals!AS:AS)</f>
        <v>0.8</v>
      </c>
      <c r="E90" s="16">
        <f t="shared" si="6"/>
        <v>48</v>
      </c>
      <c r="F90" s="16">
        <f t="shared" si="7"/>
        <v>147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12.760416666666663</v>
      </c>
      <c r="J90" s="10">
        <f t="shared" si="11"/>
        <v>0.63802083333333315</v>
      </c>
    </row>
    <row r="91" spans="1:10" x14ac:dyDescent="0.25">
      <c r="A91" s="16" t="str">
        <f>Animals!A91</f>
        <v>Alligator</v>
      </c>
      <c r="B91" s="16">
        <f>_xlfn.XLOOKUP(A91,Animals!A:A,Animals!AN:AN)</f>
        <v>1.6</v>
      </c>
      <c r="C91" s="16">
        <f>_xlfn.XLOOKUP(A91,Animals!A:A,Animals!AP:AP)</f>
        <v>0.2</v>
      </c>
      <c r="D91" s="16">
        <f>_xlfn.XLOOKUP(A91,Animals!A:A,Animals!AS:AS)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_xlfn.XLOOKUP(A92,Animals!A:A,Animals!AN:AN)</f>
        <v>1.7000000000000002</v>
      </c>
      <c r="C92" s="16">
        <f>_xlfn.XLOOKUP(A92,Animals!A:A,Animals!AP:AP)</f>
        <v>0.2</v>
      </c>
      <c r="D92" s="16">
        <f>_xlfn.XLOOKUP(A92,Animals!A:A,Animals!AS:AS)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_xlfn.XLOOKUP(A93,Animals!A:A,Animals!AN:AN)</f>
        <v>0.15000000000000002</v>
      </c>
      <c r="C93" s="16">
        <f>_xlfn.XLOOKUP(A93,Animals!A:A,Animals!AP:AP)</f>
        <v>0.25</v>
      </c>
      <c r="D93" s="16">
        <f>_xlfn.XLOOKUP(A93,Animals!A:A,Animals!AS:AS)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_xlfn.XLOOKUP(A94,Animals!A:A,Animals!AN:AN)</f>
        <v>0.5</v>
      </c>
      <c r="C94" s="16">
        <f>_xlfn.XLOOKUP(A94,Animals!A:A,Animals!AP:AP)</f>
        <v>0.4</v>
      </c>
      <c r="D94" s="16">
        <f>_xlfn.XLOOKUP(A94,Animals!A:A,Animals!AS:AS)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_xlfn.XLOOKUP(A95,Animals!A:A,Animals!AN:AN)</f>
        <v>0.95000000000000007</v>
      </c>
      <c r="C95" s="16">
        <f>_xlfn.XLOOKUP(A95,Animals!A:A,Animals!AP:AP)</f>
        <v>0.55000000000000004</v>
      </c>
      <c r="D95" s="16">
        <f>_xlfn.XLOOKUP(A95,Animals!A:A,Animals!AS:AS)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_xlfn.XLOOKUP(A96,Animals!A:A,Animals!AN:AN)</f>
        <v>2.5</v>
      </c>
      <c r="C96" s="16">
        <f>_xlfn.XLOOKUP(A96,Animals!A:A,Animals!AP:AP)</f>
        <v>1.05</v>
      </c>
      <c r="D96" s="16">
        <f>_xlfn.XLOOKUP(A96,Animals!A:A,Animals!AS:AS)</f>
        <v>0.4</v>
      </c>
      <c r="E96" s="16">
        <f t="shared" si="6"/>
        <v>24</v>
      </c>
      <c r="F96" s="16">
        <f t="shared" si="7"/>
        <v>350</v>
      </c>
      <c r="G96" s="16">
        <f t="shared" si="8"/>
        <v>1.6800000000000002</v>
      </c>
      <c r="H96" s="16">
        <f t="shared" si="9"/>
        <v>40.320000000000007</v>
      </c>
      <c r="I96" s="10">
        <f t="shared" si="10"/>
        <v>8.6805555555555536</v>
      </c>
      <c r="J96" s="10">
        <f t="shared" si="11"/>
        <v>0.43402777777777768</v>
      </c>
    </row>
    <row r="97" spans="1:10" x14ac:dyDescent="0.25">
      <c r="A97" s="16" t="str">
        <f>Animals!A97</f>
        <v>Muskox</v>
      </c>
      <c r="B97" s="16">
        <f>_xlfn.XLOOKUP(A97,Animals!A:A,Animals!AN:AN)</f>
        <v>2.25</v>
      </c>
      <c r="C97" s="16">
        <f>_xlfn.XLOOKUP(A97,Animals!A:A,Animals!AP:AP)</f>
        <v>0.95000000000000007</v>
      </c>
      <c r="D97" s="16">
        <f>_xlfn.XLOOKUP(A97,Animals!A:A,Animals!AS:AS)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_xlfn.XLOOKUP(A98,Animals!A:A,Animals!AN:AN)</f>
        <v>0.85000000000000009</v>
      </c>
      <c r="C98" s="16">
        <f>_xlfn.XLOOKUP(A98,Animals!A:A,Animals!AP:AP)</f>
        <v>0.1</v>
      </c>
      <c r="D98" s="16">
        <f>_xlfn.XLOOKUP(A98,Animals!A:A,Animals!AS:AS)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_xlfn.XLOOKUP(A99,Animals!A:A,Animals!AN:AN)</f>
        <v>0.8</v>
      </c>
      <c r="C99" s="16">
        <f>_xlfn.XLOOKUP(A99,Animals!A:A,Animals!AP:AP)</f>
        <v>0.5</v>
      </c>
      <c r="D99" s="16">
        <f>_xlfn.XLOOKUP(A99,Animals!A:A,Animals!AS:AS)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_xlfn.XLOOKUP(A100,Animals!A:A,Animals!AN:AN)</f>
        <v>1</v>
      </c>
      <c r="C100" s="16">
        <f>_xlfn.XLOOKUP(A100,Animals!A:A,Animals!AP:AP)</f>
        <v>0.55000000000000004</v>
      </c>
      <c r="D100" s="16">
        <f>_xlfn.XLOOKUP(A100,Animals!A:A,Animals!AS:AS)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_xlfn.XLOOKUP(A101,Animals!A:A,Animals!AN:AN)</f>
        <v>0.5</v>
      </c>
      <c r="C101" s="16">
        <f>_xlfn.XLOOKUP(A101,Animals!A:A,Animals!AP:AP)</f>
        <v>0.4</v>
      </c>
      <c r="D101" s="16">
        <f>_xlfn.XLOOKUP(A101,Animals!A:A,Animals!AS:AS)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_xlfn.XLOOKUP(A102,Animals!A:A,Animals!AN:AN)</f>
        <v>3.5</v>
      </c>
      <c r="C102" s="16">
        <f>_xlfn.XLOOKUP(A102,Animals!A:A,Animals!AP:AP)</f>
        <v>1.75</v>
      </c>
      <c r="D102" s="16">
        <f>_xlfn.XLOOKUP(A102,Animals!A:A,Animals!AS:AS)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_xlfn.XLOOKUP(A103,Animals!A:A,Animals!AN:AN)</f>
        <v>2.25</v>
      </c>
      <c r="C103" s="16">
        <f>_xlfn.XLOOKUP(A103,Animals!A:A,Animals!AP:AP)</f>
        <v>0.95000000000000007</v>
      </c>
      <c r="D103" s="16">
        <f>_xlfn.XLOOKUP(A103,Animals!A:A,Animals!AS:AS)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_xlfn.XLOOKUP(A104,Animals!A:A,Animals!AN:AN)</f>
        <v>2</v>
      </c>
      <c r="C104" s="16">
        <f>_xlfn.XLOOKUP(A104,Animals!A:A,Animals!AP:AP)</f>
        <v>0.9</v>
      </c>
      <c r="D104" s="16">
        <f>_xlfn.XLOOKUP(A104,Animals!A:A,Animals!AS:AS)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_xlfn.XLOOKUP(A105,Animals!A:A,Animals!AN:AN)</f>
        <v>2.75</v>
      </c>
      <c r="C105" s="16">
        <f>_xlfn.XLOOKUP(A105,Animals!A:A,Animals!AP:AP)</f>
        <v>0.30000000000000004</v>
      </c>
      <c r="D105" s="16">
        <f>_xlfn.XLOOKUP(A105,Animals!A:A,Animals!AS:AS)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_xlfn.XLOOKUP(A106,Animals!A:A,Animals!AN:AN)</f>
        <v>0.8</v>
      </c>
      <c r="C106" s="16">
        <f>_xlfn.XLOOKUP(A106,Animals!A:A,Animals!AP:AP)</f>
        <v>0.5</v>
      </c>
      <c r="D106" s="16">
        <f>_xlfn.XLOOKUP(A106,Animals!A:A,Animals!AS:AS)</f>
        <v>0.3</v>
      </c>
      <c r="E106" s="16">
        <f t="shared" si="6"/>
        <v>18</v>
      </c>
      <c r="F106" s="16">
        <f t="shared" si="7"/>
        <v>112</v>
      </c>
      <c r="G106" s="16">
        <f t="shared" si="8"/>
        <v>0.8</v>
      </c>
      <c r="H106" s="16">
        <f t="shared" si="9"/>
        <v>14.4</v>
      </c>
      <c r="I106" s="10">
        <f t="shared" si="10"/>
        <v>7.7777777777777777</v>
      </c>
      <c r="J106" s="10">
        <f t="shared" si="11"/>
        <v>0.3888888888888889</v>
      </c>
    </row>
    <row r="107" spans="1:10" x14ac:dyDescent="0.25">
      <c r="A107" s="16" t="str">
        <f>Animals!A115</f>
        <v>Boombat</v>
      </c>
      <c r="B107" s="16">
        <f>_xlfn.XLOOKUP(A107,Animals!A:A,Animals!AN:AN)</f>
        <v>0.65</v>
      </c>
      <c r="C107" s="16">
        <f>_xlfn.XLOOKUP(A107,Animals!A:A,Animals!AP:AP)</f>
        <v>0.45</v>
      </c>
      <c r="D107" s="16">
        <f>_xlfn.XLOOKUP(A107,Animals!A:A,Animals!AS:AS)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_xlfn.XLOOKUP(A108,Animals!A:A,Animals!AN:AN)</f>
        <v>0.9</v>
      </c>
      <c r="C108" s="16">
        <f>_xlfn.XLOOKUP(A108,Animals!A:A,Animals!AP:AP)</f>
        <v>0.55000000000000004</v>
      </c>
      <c r="D108" s="16">
        <f>_xlfn.XLOOKUP(A108,Animals!A:A,Animals!AS:AS)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_xlfn.XLOOKUP(A109,Animals!A:A,Animals!AN:AN)</f>
        <v>0.4</v>
      </c>
      <c r="C109" s="16">
        <f>_xlfn.XLOOKUP(A109,Animals!A:A,Animals!AP:AP)</f>
        <v>0.35000000000000003</v>
      </c>
      <c r="D109" s="16">
        <f>_xlfn.XLOOKUP(A109,Animals!A:A,Animals!AS:AS)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_xlfn.XLOOKUP(A110,Animals!A:A,Animals!AN:AN)</f>
        <v>0.15000000000000002</v>
      </c>
      <c r="C110" s="16">
        <f>_xlfn.XLOOKUP(A110,Animals!A:A,Animals!AP:AP)</f>
        <v>0.25</v>
      </c>
      <c r="D110" s="16">
        <f>_xlfn.XLOOKUP(A110,Animals!A:A,Animals!AS:AS)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_xlfn.XLOOKUP(A111,Animals!A:A,Animals!AN:AN)</f>
        <v>0.5</v>
      </c>
      <c r="C111" s="16">
        <f>_xlfn.XLOOKUP(A111,Animals!A:A,Animals!AP:AP)</f>
        <v>0.4</v>
      </c>
      <c r="D111" s="16">
        <f>_xlfn.XLOOKUP(A111,Animals!A:A,Animals!AS:AS)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_xlfn.XLOOKUP(A112,Animals!A:A,Animals!AN:AN)</f>
        <v>1.6</v>
      </c>
      <c r="C112" s="16">
        <f>_xlfn.XLOOKUP(A112,Animals!A:A,Animals!AP:AP)</f>
        <v>0.75</v>
      </c>
      <c r="D112" s="16">
        <f>_xlfn.XLOOKUP(A112,Animals!A:A,Animals!AS:AS)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_xlfn.XLOOKUP(A113,Animals!A:A,Animals!AN:AN)</f>
        <v>0.95000000000000007</v>
      </c>
      <c r="C113" s="16">
        <f>_xlfn.XLOOKUP(A113,Animals!A:A,Animals!AP:AP)</f>
        <v>0.55000000000000004</v>
      </c>
      <c r="D113" s="16">
        <f>_xlfn.XLOOKUP(A113,Animals!A:A,Animals!AS:AS)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_xlfn.XLOOKUP(A114,Animals!A:A,Animals!AN:AN)</f>
        <v>0.8</v>
      </c>
      <c r="C114" s="16">
        <f>_xlfn.XLOOKUP(A114,Animals!A:A,Animals!AP:AP)</f>
        <v>0.1</v>
      </c>
      <c r="D114" s="16">
        <f>_xlfn.XLOOKUP(A114,Animals!A:A,Animals!AS:AS)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_xlfn.XLOOKUP(A115,Animals!A:A,Animals!AN:AN)</f>
        <v>1.7000000000000002</v>
      </c>
      <c r="C115" s="16">
        <f>_xlfn.XLOOKUP(A115,Animals!A:A,Animals!AP:AP)</f>
        <v>0.8</v>
      </c>
      <c r="D115" s="16">
        <f>_xlfn.XLOOKUP(A115,Animals!A:A,Animals!AS:AS)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_xlfn.XLOOKUP(A116,Animals!A:A,Animals!AN:AN)</f>
        <v>0.15000000000000002</v>
      </c>
      <c r="C116" s="16">
        <f>_xlfn.XLOOKUP(A116,Animals!A:A,Animals!AP:AP)</f>
        <v>0.05</v>
      </c>
      <c r="D116" s="16">
        <f>_xlfn.XLOOKUP(A116,Animals!A:A,Animals!AS:AS)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_xlfn.XLOOKUP(A117,Animals!A:A,Animals!AN:AN)</f>
        <v>3</v>
      </c>
      <c r="C117" s="16">
        <f>_xlfn.XLOOKUP(A117,Animals!A:A,Animals!AP:AP)</f>
        <v>1.1500000000000001</v>
      </c>
      <c r="D117" s="16">
        <f>_xlfn.XLOOKUP(A117,Animals!A:A,Animals!AS:AS)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_xlfn.XLOOKUP(A118,Animals!A:A,Animals!AN:AN)</f>
        <v>0.35000000000000003</v>
      </c>
      <c r="C118" s="16">
        <f>_xlfn.XLOOKUP(A118,Animals!A:A,Animals!AP:AP)</f>
        <v>0.05</v>
      </c>
      <c r="D118" s="16">
        <f>_xlfn.XLOOKUP(A118,Animals!A:A,Animals!AS:AS)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29"/>
  <sheetViews>
    <sheetView workbookViewId="0">
      <selection activeCell="E29" sqref="E29"/>
    </sheetView>
  </sheetViews>
  <sheetFormatPr defaultRowHeight="15" x14ac:dyDescent="0.25"/>
  <cols>
    <col min="1" max="1" width="22.2851562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309</v>
      </c>
      <c r="B1" s="21" t="s">
        <v>375</v>
      </c>
      <c r="C1" s="21" t="s">
        <v>376</v>
      </c>
      <c r="D1" s="21" t="s">
        <v>377</v>
      </c>
      <c r="E1" s="21" t="s">
        <v>378</v>
      </c>
      <c r="F1" s="21" t="s">
        <v>379</v>
      </c>
      <c r="G1" s="21" t="s">
        <v>380</v>
      </c>
    </row>
    <row r="2" spans="1:7" x14ac:dyDescent="0.25">
      <c r="A2" s="16" t="s">
        <v>381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382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383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384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385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386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387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388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389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390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391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392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393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394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395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396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397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398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399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400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401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402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403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374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404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405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465</v>
      </c>
      <c r="B29" s="16">
        <v>21</v>
      </c>
      <c r="C29" s="16">
        <v>7</v>
      </c>
      <c r="D29" s="16">
        <v>2.12</v>
      </c>
      <c r="E29" s="16">
        <v>0.6</v>
      </c>
      <c r="F29" s="16">
        <v>32</v>
      </c>
      <c r="G29" s="16">
        <v>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447</v>
      </c>
      <c r="B1" s="16" t="s">
        <v>442</v>
      </c>
      <c r="C1" t="s">
        <v>439</v>
      </c>
      <c r="D1" t="s">
        <v>440</v>
      </c>
      <c r="E1" t="s">
        <v>441</v>
      </c>
      <c r="F1" t="s">
        <v>443</v>
      </c>
      <c r="G1" t="s">
        <v>444</v>
      </c>
      <c r="H1" t="s">
        <v>445</v>
      </c>
      <c r="I1" t="s">
        <v>454</v>
      </c>
      <c r="J1" s="16" t="s">
        <v>450</v>
      </c>
      <c r="K1" s="16" t="s">
        <v>453</v>
      </c>
      <c r="L1" t="s">
        <v>448</v>
      </c>
      <c r="M1" s="16" t="s">
        <v>449</v>
      </c>
      <c r="N1" s="16" t="s">
        <v>451</v>
      </c>
      <c r="O1" s="16" t="s">
        <v>452</v>
      </c>
      <c r="P1" s="16" t="s">
        <v>300</v>
      </c>
      <c r="Q1" s="16" t="s">
        <v>301</v>
      </c>
      <c r="R1" s="16" t="s">
        <v>302</v>
      </c>
      <c r="S1" t="s">
        <v>267</v>
      </c>
      <c r="T1" s="16" t="s">
        <v>250</v>
      </c>
      <c r="U1" s="16" t="s">
        <v>252</v>
      </c>
      <c r="V1" s="16" t="s">
        <v>455</v>
      </c>
      <c r="W1" s="16" t="s">
        <v>275</v>
      </c>
      <c r="X1" s="16" t="s">
        <v>276</v>
      </c>
    </row>
    <row r="2" spans="1:24" x14ac:dyDescent="0.25">
      <c r="A2" s="16" t="s">
        <v>456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457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458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446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331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327</v>
      </c>
      <c r="B2" t="s">
        <v>329</v>
      </c>
      <c r="C2" t="s">
        <v>328</v>
      </c>
      <c r="D2" t="s">
        <v>323</v>
      </c>
      <c r="E2" t="s">
        <v>257</v>
      </c>
      <c r="F2" t="s">
        <v>330</v>
      </c>
      <c r="G2" s="3" t="s">
        <v>321</v>
      </c>
      <c r="H2" s="4" t="s">
        <v>322</v>
      </c>
      <c r="I2" s="16" t="s">
        <v>337</v>
      </c>
      <c r="J2" s="16" t="s">
        <v>339</v>
      </c>
      <c r="K2" t="s">
        <v>336</v>
      </c>
      <c r="L2" t="s">
        <v>335</v>
      </c>
      <c r="M2" t="s">
        <v>334</v>
      </c>
      <c r="N2" t="s">
        <v>338</v>
      </c>
      <c r="O2" s="3" t="s">
        <v>333</v>
      </c>
      <c r="P2" s="1" t="s">
        <v>343</v>
      </c>
      <c r="Q2" s="1" t="s">
        <v>341</v>
      </c>
      <c r="R2" s="4" t="s">
        <v>340</v>
      </c>
    </row>
    <row r="3" spans="1:18" ht="16.5" thickTop="1" thickBot="1" x14ac:dyDescent="0.3">
      <c r="A3" t="s">
        <v>344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324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345</v>
      </c>
      <c r="B4" s="16">
        <v>24.99</v>
      </c>
      <c r="C4" s="16">
        <f t="shared" si="0"/>
        <v>0.5</v>
      </c>
      <c r="D4" s="16" t="s">
        <v>324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346</v>
      </c>
      <c r="B5">
        <v>70.989999999999995</v>
      </c>
      <c r="C5" s="16">
        <f t="shared" si="0"/>
        <v>1</v>
      </c>
      <c r="D5" s="16" t="s">
        <v>324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347</v>
      </c>
      <c r="B6">
        <v>250.99</v>
      </c>
      <c r="C6" s="16">
        <f t="shared" si="0"/>
        <v>2</v>
      </c>
      <c r="D6" s="16" t="s">
        <v>324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348</v>
      </c>
      <c r="B7">
        <v>1000.99</v>
      </c>
      <c r="C7" s="16">
        <f t="shared" si="0"/>
        <v>3.5</v>
      </c>
      <c r="D7" s="16" t="s">
        <v>324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349</v>
      </c>
      <c r="B8">
        <v>5000.99</v>
      </c>
      <c r="C8" s="16">
        <f t="shared" si="0"/>
        <v>5</v>
      </c>
      <c r="D8" s="16" t="s">
        <v>324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350</v>
      </c>
      <c r="B9" s="16">
        <v>2.99</v>
      </c>
      <c r="C9" s="16">
        <f t="shared" si="0"/>
        <v>0.2</v>
      </c>
      <c r="D9" t="s">
        <v>325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351</v>
      </c>
      <c r="B10" s="16">
        <v>24.99</v>
      </c>
      <c r="C10" s="16">
        <f t="shared" si="0"/>
        <v>0.5</v>
      </c>
      <c r="D10" s="16" t="s">
        <v>325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352</v>
      </c>
      <c r="B11" s="16">
        <v>70.989999999999995</v>
      </c>
      <c r="C11" s="16">
        <f t="shared" si="0"/>
        <v>1</v>
      </c>
      <c r="D11" s="16" t="s">
        <v>325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353</v>
      </c>
      <c r="B12" s="16">
        <v>250.99</v>
      </c>
      <c r="C12" s="16">
        <f t="shared" si="0"/>
        <v>2</v>
      </c>
      <c r="D12" s="16" t="s">
        <v>325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354</v>
      </c>
      <c r="B13" s="16">
        <v>1000.99</v>
      </c>
      <c r="C13" s="16">
        <f t="shared" si="0"/>
        <v>3.5</v>
      </c>
      <c r="D13" s="16" t="s">
        <v>325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355</v>
      </c>
      <c r="B14" s="16">
        <v>5000.99</v>
      </c>
      <c r="C14" s="16">
        <f t="shared" si="0"/>
        <v>5</v>
      </c>
      <c r="D14" s="16" t="s">
        <v>325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356</v>
      </c>
      <c r="B15" s="16">
        <v>2.99</v>
      </c>
      <c r="C15" s="16">
        <f t="shared" si="0"/>
        <v>0.2</v>
      </c>
      <c r="D15" t="s">
        <v>326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357</v>
      </c>
      <c r="B16" s="16">
        <v>24.99</v>
      </c>
      <c r="C16" s="16">
        <f t="shared" si="0"/>
        <v>0.5</v>
      </c>
      <c r="D16" s="16" t="s">
        <v>326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358</v>
      </c>
      <c r="B17" s="16">
        <v>70.989999999999995</v>
      </c>
      <c r="C17" s="16">
        <f t="shared" si="0"/>
        <v>1</v>
      </c>
      <c r="D17" s="16" t="s">
        <v>326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359</v>
      </c>
      <c r="B18" s="16">
        <v>250.99</v>
      </c>
      <c r="C18" s="16">
        <f t="shared" si="0"/>
        <v>2</v>
      </c>
      <c r="D18" s="16" t="s">
        <v>326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360</v>
      </c>
      <c r="B19" s="16">
        <v>1000.99</v>
      </c>
      <c r="C19" s="16">
        <f t="shared" si="0"/>
        <v>3.5</v>
      </c>
      <c r="D19" s="16" t="s">
        <v>326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361</v>
      </c>
      <c r="B20" s="16">
        <v>5000.99</v>
      </c>
      <c r="C20" s="16">
        <f t="shared" si="0"/>
        <v>5</v>
      </c>
      <c r="D20" s="16" t="s">
        <v>326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332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327</v>
      </c>
      <c r="B22" s="16" t="s">
        <v>329</v>
      </c>
      <c r="C22" s="16" t="s">
        <v>328</v>
      </c>
      <c r="D22" s="16" t="s">
        <v>323</v>
      </c>
      <c r="E22" s="16" t="s">
        <v>257</v>
      </c>
      <c r="F22" s="16" t="s">
        <v>330</v>
      </c>
      <c r="G22" s="3" t="s">
        <v>321</v>
      </c>
      <c r="H22" s="4" t="s">
        <v>322</v>
      </c>
      <c r="I22" s="16" t="s">
        <v>337</v>
      </c>
      <c r="J22" s="16" t="s">
        <v>339</v>
      </c>
      <c r="K22" s="16" t="s">
        <v>336</v>
      </c>
      <c r="L22" s="16" t="s">
        <v>335</v>
      </c>
      <c r="M22" s="16" t="s">
        <v>334</v>
      </c>
      <c r="N22" s="16" t="s">
        <v>338</v>
      </c>
      <c r="O22" s="3" t="s">
        <v>333</v>
      </c>
      <c r="P22" s="1" t="s">
        <v>342</v>
      </c>
      <c r="Q22" s="1" t="s">
        <v>341</v>
      </c>
      <c r="R22" s="4" t="s">
        <v>340</v>
      </c>
    </row>
    <row r="23" spans="1:18" ht="16.5" thickTop="1" thickBot="1" x14ac:dyDescent="0.3">
      <c r="A23" s="16" t="s">
        <v>362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324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363</v>
      </c>
      <c r="B24" s="16">
        <v>24.99</v>
      </c>
      <c r="C24" s="16">
        <f t="shared" si="15"/>
        <v>0.5</v>
      </c>
      <c r="D24" s="16" t="s">
        <v>324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364</v>
      </c>
      <c r="B25" s="16">
        <v>70.989999999999995</v>
      </c>
      <c r="C25" s="16">
        <f t="shared" si="15"/>
        <v>1</v>
      </c>
      <c r="D25" s="16" t="s">
        <v>324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365</v>
      </c>
      <c r="B26" s="16">
        <v>250.99</v>
      </c>
      <c r="C26" s="16">
        <f t="shared" si="15"/>
        <v>2</v>
      </c>
      <c r="D26" s="16" t="s">
        <v>324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366</v>
      </c>
      <c r="B27" s="16">
        <v>1000.99</v>
      </c>
      <c r="C27" s="16">
        <f t="shared" si="15"/>
        <v>3.5</v>
      </c>
      <c r="D27" s="16" t="s">
        <v>324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367</v>
      </c>
      <c r="B28" s="16">
        <v>5000.99</v>
      </c>
      <c r="C28" s="16">
        <f t="shared" si="15"/>
        <v>5</v>
      </c>
      <c r="D28" s="16" t="s">
        <v>324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368</v>
      </c>
      <c r="B29" s="16">
        <v>2.99</v>
      </c>
      <c r="C29" s="16">
        <f t="shared" si="15"/>
        <v>0.2</v>
      </c>
      <c r="D29" s="16" t="s">
        <v>325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369</v>
      </c>
      <c r="B30" s="16">
        <v>24.99</v>
      </c>
      <c r="C30" s="16">
        <f t="shared" si="15"/>
        <v>0.5</v>
      </c>
      <c r="D30" s="16" t="s">
        <v>325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370</v>
      </c>
      <c r="B31" s="16">
        <v>70.989999999999995</v>
      </c>
      <c r="C31" s="16">
        <f t="shared" si="15"/>
        <v>1</v>
      </c>
      <c r="D31" s="16" t="s">
        <v>325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371</v>
      </c>
      <c r="B32" s="16">
        <v>250.99</v>
      </c>
      <c r="C32" s="16">
        <f t="shared" si="15"/>
        <v>2</v>
      </c>
      <c r="D32" s="16" t="s">
        <v>325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372</v>
      </c>
      <c r="B33" s="16">
        <v>1000.99</v>
      </c>
      <c r="C33" s="16">
        <f t="shared" si="15"/>
        <v>3.5</v>
      </c>
      <c r="D33" s="16" t="s">
        <v>325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373</v>
      </c>
      <c r="B34" s="16">
        <v>5000.99</v>
      </c>
      <c r="C34" s="16">
        <f t="shared" si="15"/>
        <v>5</v>
      </c>
      <c r="D34" s="16" t="s">
        <v>325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2026-03-29T14:38:50Z</dcterms:modified>
</cp:coreProperties>
</file>